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7.xml.rels" ContentType="application/vnd.openxmlformats-package.relationships+xml"/>
  <Override PartName="/xl/worksheets/_rels/sheet37.xml.rels" ContentType="application/vnd.openxmlformats-package.relationship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16.xml.rels" ContentType="application/vnd.openxmlformats-package.relationships+xml"/>
  <Override PartName="/xl/worksheets/_rels/sheet39.xml.rels" ContentType="application/vnd.openxmlformats-package.relationships+xml"/>
  <Override PartName="/xl/worksheets/_rels/sheet36.xml.rels" ContentType="application/vnd.openxmlformats-package.relationships+xml"/>
  <Override PartName="/xl/worksheets/_rels/sheet3.xml.rels" ContentType="application/vnd.openxmlformats-package.relationships+xml"/>
  <Override PartName="/xl/worksheets/_rels/sheet38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8.xml.rels" ContentType="application/vnd.openxmlformats-package.relationships+xml"/>
  <Override PartName="/xl/worksheets/_rels/sheet35.xml.rels" ContentType="application/vnd.openxmlformats-package.relationships+xml"/>
  <Override PartName="/xl/worksheets/sheet27.xml" ContentType="application/vnd.openxmlformats-officedocument.spreadsheetml.worksheet+xml"/>
  <Override PartName="/xl/worksheets/sheet9.xml" ContentType="application/vnd.openxmlformats-officedocument.spreadsheetml.worksheet+xml"/>
  <Override PartName="/xl/worksheets/sheet26.xml" ContentType="application/vnd.openxmlformats-officedocument.spreadsheetml.worksheet+xml"/>
  <Override PartName="/xl/worksheets/sheet8.xml" ContentType="application/vnd.openxmlformats-officedocument.spreadsheetml.worksheet+xml"/>
  <Override PartName="/xl/worksheets/sheet25.xml" ContentType="application/vnd.openxmlformats-officedocument.spreadsheetml.worksheet+xml"/>
  <Override PartName="/xl/worksheets/sheet7.xml" ContentType="application/vnd.openxmlformats-officedocument.spreadsheetml.worksheet+xml"/>
  <Override PartName="/xl/worksheets/sheet24.xml" ContentType="application/vnd.openxmlformats-officedocument.spreadsheetml.worksheet+xml"/>
  <Override PartName="/xl/worksheets/sheet6.xml" ContentType="application/vnd.openxmlformats-officedocument.spreadsheetml.worksheet+xml"/>
  <Override PartName="/xl/worksheets/sheet23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31.xml" ContentType="application/vnd.openxmlformats-officedocument.spreadsheetml.worksheet+xml"/>
  <Override PartName="/xl/worksheets/sheet43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_rels/drawing1.xml.rels" ContentType="application/vnd.openxmlformats-package.relationships+xml"/>
  <Override PartName="/xl/drawings/_rels/drawing4.xml.rels" ContentType="application/vnd.openxmlformats-package.relationships+xml"/>
  <Override PartName="/xl/drawings/_rels/drawing2.xml.rels" ContentType="application/vnd.openxmlformats-package.relationships+xml"/>
  <Override PartName="/xl/drawings/_rels/drawing5.xml.rels" ContentType="application/vnd.openxmlformats-package.relationships+xml"/>
  <Override PartName="/xl/drawings/_rels/drawing3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4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6.xml" ContentType="application/vnd.openxmlformats-officedocument.drawing+xml"/>
  <Override PartName="/xl/drawings/drawing11.xml" ContentType="application/vnd.openxmlformats-officedocument.drawing+xml"/>
  <Override PartName="/xl/drawings/drawing7.xml" ContentType="application/vnd.openxmlformats-officedocument.drawing+xml"/>
  <Override PartName="/xl/drawings/drawing12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README" sheetId="1" state="visible" r:id="rId2"/>
    <sheet name="01_Report_Registry" sheetId="2" state="visible" r:id="rId3"/>
    <sheet name="R-01_Budget_Control_Summary" sheetId="3" state="visible" r:id="rId4"/>
    <sheet name="R-02_Plan_Fact_Explorer" sheetId="4" state="visible" r:id="rId5"/>
    <sheet name="R-03_Variance_Waterfall" sheetId="5" state="visible" r:id="rId6"/>
    <sheet name="R-04_HC_Vacancy_Bridge" sheetId="6" state="visible" r:id="rId7"/>
    <sheet name="R-05_Compensation_Detail" sheetId="7" state="visible" r:id="rId8"/>
    <sheet name="R-06_АХР_Dashboard" sheetId="8" state="visible" r:id="rId9"/>
    <sheet name="R-07_Reconciliation" sheetId="9" state="visible" r:id="rId10"/>
    <sheet name="R-08_Data_Quality" sheetId="10" state="visible" r:id="rId11"/>
    <sheet name="R-09_Comments_Actions" sheetId="11" state="visible" r:id="rId12"/>
    <sheet name="11_Metric_Dictionary" sheetId="12" state="visible" r:id="rId13"/>
    <sheet name="12_Factor_Dictionary" sheetId="13" state="visible" r:id="rId14"/>
    <sheet name="13_Field_Dictionary" sheetId="14" state="visible" r:id="rId15"/>
    <sheet name="14_Access_Rights" sheetId="15" state="visible" r:id="rId16"/>
    <sheet name="15_UAT_Cases" sheetId="16" state="visible" r:id="rId17"/>
    <sheet name="16_Backlog_Roadmap" sheetId="17" state="visible" r:id="rId18"/>
    <sheet name="IN_Salary charging" sheetId="18" state="visible" r:id="rId19"/>
    <sheet name="IN_Bonus charging" sheetId="19" state="visible" r:id="rId20"/>
    <sheet name="IN_Benefits" sheetId="20" state="visible" r:id="rId21"/>
    <sheet name="IN_Rates" sheetId="21" state="visible" r:id="rId22"/>
    <sheet name="IN_FX Rates" sheetId="22" state="visible" r:id="rId23"/>
    <sheet name="IN_Manual Adjustment" sheetId="23" state="visible" r:id="rId24"/>
    <sheet name="IN_Deferral" sheetId="24" state="visible" r:id="rId25"/>
    <sheet name="IN_Vacation Distr" sheetId="25" state="visible" r:id="rId26"/>
    <sheet name="IN_Vacancy" sheetId="26" state="visible" r:id="rId27"/>
    <sheet name="IN_Compensation" sheetId="27" state="visible" r:id="rId28"/>
    <sheet name="FACT_МСФО Comp_Non Comp" sheetId="28" state="visible" r:id="rId29"/>
    <sheet name="FACT_Загрузка МСФО Банк" sheetId="29" state="visible" r:id="rId30"/>
    <sheet name="FACT_Загрузка поименная Банк" sheetId="30" state="visible" r:id="rId31"/>
    <sheet name="FACT_Страхование" sheetId="31" state="visible" r:id="rId32"/>
    <sheet name="HCT_Summary_MIR" sheetId="32" state="visible" r:id="rId33"/>
    <sheet name="HCT_Summary_GD" sheetId="33" state="visible" r:id="rId34"/>
    <sheet name="HCT_Summary_MIR_pools" sheetId="34" state="visible" r:id="rId35"/>
    <sheet name="HCT_Movement_ACT_MIR" sheetId="35" state="visible" r:id="rId36"/>
    <sheet name="HCT_Movement_ACT_weekly" sheetId="36" state="visible" r:id="rId37"/>
    <sheet name="HCT_Movement_TGT_MIR" sheetId="37" state="visible" r:id="rId38"/>
    <sheet name="HCT_Movement_Vacancy_MIR" sheetId="38" state="visible" r:id="rId39"/>
    <sheet name="HCT_Form" sheetId="39" state="visible" r:id="rId40"/>
    <sheet name="REP_Finance Report" sheetId="40" state="visible" r:id="rId41"/>
    <sheet name="REP_Name by Name" sheetId="41" state="visible" r:id="rId42"/>
    <sheet name="REP_SameStore" sheetId="42" state="visible" r:id="rId43"/>
    <sheet name="REP_Samestore Summary" sheetId="43" state="visible" r:id="rId44"/>
  </sheets>
  <definedNames>
    <definedName function="false" hidden="true" localSheetId="11" name="_xlnm._FilterDatabase" vbProcedure="false">11_Metric_Dictionary!$B$5:$G$43</definedName>
    <definedName function="false" hidden="true" localSheetId="15" name="_xlnm._FilterDatabase" vbProcedure="false">15_UAT_Cases!$B$5:$F$29</definedName>
    <definedName function="false" hidden="true" localSheetId="38" name="_xlnm._FilterDatabase" vbProcedure="false">HCT_Form!$B$10:$AG$15</definedName>
    <definedName function="false" hidden="true" localSheetId="34" name="_xlnm._FilterDatabase" vbProcedure="false">HCT_Movement_ACT_MIR!$B$6:$H$1039</definedName>
    <definedName function="false" hidden="true" localSheetId="35" name="_xlnm._FilterDatabase" vbProcedure="false">HCT_Movement_ACT_weekly!$B$7:$AF$1040</definedName>
    <definedName function="false" hidden="true" localSheetId="36" name="_xlnm._FilterDatabase" vbProcedure="false">HCT_Movement_TGT_MIR!$B$6:$P$1144</definedName>
    <definedName function="false" hidden="true" localSheetId="37" name="_xlnm._FilterDatabase" vbProcedure="false">HCT_Movement_Vacancy_MIR!$B$6:$J$148</definedName>
    <definedName function="false" hidden="true" localSheetId="26" name="_xlnm._FilterDatabase" vbProcedure="false">IN_Compensation!$A$11:$S$30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<sst xmlns="http://schemas.openxmlformats.org/spreadsheetml/2006/main" count="83497" uniqueCount="3756">
  <si>
    <t xml:space="preserve">Альбом отчетных форм бюджетной системы</t>
  </si>
  <si>
    <t xml:space="preserve">⇦ Оглавление</t>
  </si>
  <si>
    <t xml:space="preserve">Бюджетная система по затратам на персонал · версия 2.1 (MVP + навигационный альбом as-is форм) · июль 2026</t>
  </si>
  <si>
    <t xml:space="preserve">Назначение</t>
  </si>
  <si>
    <t xml:space="preserve">Альбом — целостный комплект отчетности для контроля исполнения бюджета по затратам на персонал:</t>
  </si>
  <si>
    <t xml:space="preserve">budget control cockpit, а не набор разрозненных Excel-таблиц. Формы связаны единым контекстом и drill-down.</t>
  </si>
  <si>
    <t xml:space="preserve">Версия 2.1: 43 вкладки — 9 новых форм (R-01…R-09), 6 спецификаций и 26 форм as-is в одном файле;</t>
  </si>
  <si>
    <t xml:space="preserve">навигация гиперссылками через реестр 01_Report_Registry («⇦ Оглавление» — на каждой вкладке).</t>
  </si>
  <si>
    <t xml:space="preserve">Пользователи: Head of HR Operations, HRD, Head of Reward, HRBP, Reward, Finance, HRIS, Recruitment, LoD.</t>
  </si>
  <si>
    <t xml:space="preserve">Статус: мокап BI-прототипа для обсуждения со стейкхолдерами; все данные синтетические (demo).</t>
  </si>
  <si>
    <t xml:space="preserve">Ключевые принципы</t>
  </si>
  <si>
    <t xml:space="preserve">1. Видна не только сумма, но и причина отклонения — факторный анализ встроен в каждую форму.</t>
  </si>
  <si>
    <t xml:space="preserve">2. HR-факт — основа факторного анализа (factor engine: HR Tracker + HRPT).</t>
  </si>
  <si>
    <t xml:space="preserve">3. Finance-факт — слой reconciliation (R-07), а не конкурирующий источник для факторизации.</t>
  </si>
  <si>
    <t xml:space="preserve">4. Отображаются все отклонения, а не только существенные.</t>
  </si>
  <si>
    <t xml:space="preserve">5. Комментарий обязателен: ФОТ/АХР при |отклонении| &gt; 5%; HC/MSU — при любом отклонении.</t>
  </si>
  <si>
    <t xml:space="preserve">6. Drill-down до сотрудника / вакансии / MIR-code / Legal Entity / P&amp;L / budget element.</t>
  </si>
  <si>
    <t xml:space="preserve">7. Data Quality Status показывается пользователю до управленческих решений (дублируется на R-01).</t>
  </si>
  <si>
    <t xml:space="preserve">8. Используется MSU (доля оклада назначения) вместо FTE.</t>
  </si>
  <si>
    <t xml:space="preserve">Демо-контекст</t>
  </si>
  <si>
    <t xml:space="preserve">Отчетный год: 2026; закрыт период январь–июнь 2026.</t>
  </si>
  <si>
    <t xml:space="preserve">Сценарий июля: Actual Jan–Jun + Forecast Jul–Dec vs Budget Final v1.0 (YTD+RF).</t>
  </si>
  <si>
    <t xml:space="preserve">Валюта: млн RUB; численность — HC (ед.); загрузка — MSU (доля, 1 знак); проценты — в %-пунктах.</t>
  </si>
  <si>
    <t xml:space="preserve">Данные синтетические и взаимно согласованные: waterfall v3 сходится к +165.0; юрлица — к 6 385.0.</t>
  </si>
  <si>
    <t xml:space="preserve">Факторный анализ v3: 12 групп факторов (F01…F12) + Residual; Data Quality / Matching (F99) —</t>
  </si>
  <si>
    <t xml:space="preserve">технический фактор самопроверки: из диаграмм и пользовательских представлений исключен, DQ-контроль — на R-08.</t>
  </si>
  <si>
    <t xml:space="preserve">Формы as-is (26 вкладок IN_/FACT_/HCT_/REP_) перенесены без изменений: значения (кэш), формулы не переносились.</t>
  </si>
  <si>
    <t xml:space="preserve">Обновлено: 02.07.2026 06:40 · Closing status: Ready with Warnings.</t>
  </si>
  <si>
    <t xml:space="preserve">Навигация по листам (43 вкладки; полный реестр с гиперссылками — 01_Report_Registry)</t>
  </si>
  <si>
    <t xml:space="preserve">Вкладка</t>
  </si>
  <si>
    <t xml:space="preserve">Содержание</t>
  </si>
  <si>
    <t xml:space="preserve">Альбом</t>
  </si>
  <si>
    <t xml:space="preserve">00_README</t>
  </si>
  <si>
    <t xml:space="preserve">Обложка: назначение, принципы, демо-контекст, навигация, легенда</t>
  </si>
  <si>
    <t xml:space="preserve">01_Report_Registry</t>
  </si>
  <si>
    <t xml:space="preserve">Реестр всех форм с гиперссылками (оглавление альбома)</t>
  </si>
  <si>
    <t xml:space="preserve">Стратегический уровень</t>
  </si>
  <si>
    <t xml:space="preserve">R-01_Budget_Control_Summary</t>
  </si>
  <si>
    <t xml:space="preserve">R-01 · Управленческий обзор исполнения бюджета (дашборд)</t>
  </si>
  <si>
    <t xml:space="preserve">Тактический уровень</t>
  </si>
  <si>
    <t xml:space="preserve">R-02_Plan_Fact_Explorer</t>
  </si>
  <si>
    <t xml:space="preserve">R-02 · Интерактивный анализ отклонений по всем разрезам</t>
  </si>
  <si>
    <t xml:space="preserve">R-03_Variance_Waterfall</t>
  </si>
  <si>
    <t xml:space="preserve">R-03 · Факторный анализ отклонения ФОТ v3 (12 групп + Residual)</t>
  </si>
  <si>
    <t xml:space="preserve">R-04_HC_Vacancy_Bridge</t>
  </si>
  <si>
    <t xml:space="preserve">R-04 · Движение численности, вакансий и MSU (bridge)</t>
  </si>
  <si>
    <t xml:space="preserve">R-06_АХР_Dashboard</t>
  </si>
  <si>
    <t xml:space="preserve">R-06 · Контроль некомпенсационных расходов (АХР)</t>
  </si>
  <si>
    <t xml:space="preserve">Операционный уровень</t>
  </si>
  <si>
    <t xml:space="preserve">R-05_Compensation_Detail</t>
  </si>
  <si>
    <t xml:space="preserve">R-05 · Детализация ФОТ по 19 бюджетным элементам</t>
  </si>
  <si>
    <t xml:space="preserve">R-07_Reconciliation</t>
  </si>
  <si>
    <t xml:space="preserve">R-07 · Сверка HR-факта и Finance-факта</t>
  </si>
  <si>
    <t xml:space="preserve">R-08_Data_Quality</t>
  </si>
  <si>
    <t xml:space="preserve">R-08 · Качество данных (вкл. DQ-фактор) и готовность к закрытию</t>
  </si>
  <si>
    <t xml:space="preserve">R-09_Comments_Actions</t>
  </si>
  <si>
    <t xml:space="preserve">R-09 · Workflow комментариев и действий</t>
  </si>
  <si>
    <t xml:space="preserve">Спецификации</t>
  </si>
  <si>
    <t xml:space="preserve">11_Metric_Dictionary</t>
  </si>
  <si>
    <t xml:space="preserve">Словарь метрик (38): определения, формулы, источники</t>
  </si>
  <si>
    <t xml:space="preserve">12_Factor_Dictionary</t>
  </si>
  <si>
    <t xml:space="preserve">12 групп факторов + F99 · приоритет · правила детекции · Event Register</t>
  </si>
  <si>
    <t xml:space="preserve">13_Field_Dictionary</t>
  </si>
  <si>
    <t xml:space="preserve">Словарь полей источников (39 полей, по системам)</t>
  </si>
  <si>
    <t xml:space="preserve">14_Access_Rights</t>
  </si>
  <si>
    <t xml:space="preserve">Матрица прав доступа: роли × формы</t>
  </si>
  <si>
    <t xml:space="preserve">15_UAT_Cases</t>
  </si>
  <si>
    <t xml:space="preserve">24 UAT-кейса приемочного тестирования (вкл. навигацию и as-is)</t>
  </si>
  <si>
    <t xml:space="preserve">16_Backlog_Roadmap</t>
  </si>
  <si>
    <t xml:space="preserve">Дорожная карта: MVP / Wave 2 / Wave 3 / Run</t>
  </si>
  <si>
    <t xml:space="preserve">Формы внесения данных (as-is)</t>
  </si>
  <si>
    <t xml:space="preserve">IN_Salary charging</t>
  </si>
  <si>
    <t xml:space="preserve">IN-01 · Salary charging — форма внесения данных as-is</t>
  </si>
  <si>
    <t xml:space="preserve">IN_Bonus charging</t>
  </si>
  <si>
    <t xml:space="preserve">IN-02 · Bonus charging — форма внесения данных as-is</t>
  </si>
  <si>
    <t xml:space="preserve">IN_Benefits</t>
  </si>
  <si>
    <t xml:space="preserve">IN-03 · Benefits — форма внесения данных as-is</t>
  </si>
  <si>
    <t xml:space="preserve">IN_Rates</t>
  </si>
  <si>
    <t xml:space="preserve">IN-04 · Rates — форма внесения данных as-is</t>
  </si>
  <si>
    <t xml:space="preserve">IN_FX Rates</t>
  </si>
  <si>
    <t xml:space="preserve">IN-05 · FX Rates — форма внесения данных as-is</t>
  </si>
  <si>
    <t xml:space="preserve">IN_Manual Adjustment</t>
  </si>
  <si>
    <t xml:space="preserve">IN-06 · Manual Adjustment — форма внесения данных as-is</t>
  </si>
  <si>
    <t xml:space="preserve">IN_Deferral</t>
  </si>
  <si>
    <t xml:space="preserve">IN-07 · Deferral — форма внесения данных as-is</t>
  </si>
  <si>
    <t xml:space="preserve">IN_Vacation Distr</t>
  </si>
  <si>
    <t xml:space="preserve">IN-08 · Vacation Distr — форма внесения данных as-is</t>
  </si>
  <si>
    <t xml:space="preserve">IN_Vacancy</t>
  </si>
  <si>
    <t xml:space="preserve">IN-09 · Vacancy — форма внесения данных as-is</t>
  </si>
  <si>
    <t xml:space="preserve">IN_Compensation</t>
  </si>
  <si>
    <t xml:space="preserve">IN-10 · Compensation — форма внесения данных as-is</t>
  </si>
  <si>
    <t xml:space="preserve">Формы загрузки факта (as-is)</t>
  </si>
  <si>
    <t xml:space="preserve">FACT_МСФО Comp_Non Comp</t>
  </si>
  <si>
    <t xml:space="preserve">FACT-01 · МСФО VTBC Comp/Non Comp — загрузка факта as-is</t>
  </si>
  <si>
    <t xml:space="preserve">FACT_Загрузка МСФО Банк</t>
  </si>
  <si>
    <t xml:space="preserve">FACT-02 · Загрузка МСФО (Банк) — загрузка факта as-is</t>
  </si>
  <si>
    <t xml:space="preserve">FACT_Загрузка поименная Банк</t>
  </si>
  <si>
    <t xml:space="preserve">FACT-03 · Загрузка поименная (Банк) — загрузка факта as-is</t>
  </si>
  <si>
    <t xml:space="preserve">FACT_Страхование</t>
  </si>
  <si>
    <t xml:space="preserve">FACT-04 · Загрузка страхования — загрузка факта as-is</t>
  </si>
  <si>
    <t xml:space="preserve">HC Tracker (as-is)</t>
  </si>
  <si>
    <t xml:space="preserve">HCT_Summary_MIR</t>
  </si>
  <si>
    <t xml:space="preserve">HCT-01 · Summary_MIR — HC Tracker as-is</t>
  </si>
  <si>
    <t xml:space="preserve">HCT_Summary_GD</t>
  </si>
  <si>
    <t xml:space="preserve">HCT-02 · Summary_GD — HC Tracker as-is</t>
  </si>
  <si>
    <t xml:space="preserve">HCT_Summary_MIR_pools</t>
  </si>
  <si>
    <t xml:space="preserve">HCT-03 · Summary_MIR_pools — HC Tracker as-is</t>
  </si>
  <si>
    <t xml:space="preserve">HCT_Movement_ACT_MIR</t>
  </si>
  <si>
    <t xml:space="preserve">HCT-04 · Movement_ACT_MIR — HC Tracker as-is</t>
  </si>
  <si>
    <t xml:space="preserve">HCT_Movement_ACT_weekly</t>
  </si>
  <si>
    <t xml:space="preserve">HCT-05 · Movement_ACT_MIR_weekly — HC Tracker as-is</t>
  </si>
  <si>
    <t xml:space="preserve">HCT_Movement_TGT_MIR</t>
  </si>
  <si>
    <t xml:space="preserve">HCT-06 · Movement_TGT_MIR — HC Tracker as-is</t>
  </si>
  <si>
    <t xml:space="preserve">HCT_Movement_Vacancy_MIR</t>
  </si>
  <si>
    <t xml:space="preserve">HCT-07 · Movement_Vacancy_MIR — HC Tracker as-is</t>
  </si>
  <si>
    <t xml:space="preserve">HCT_Form</t>
  </si>
  <si>
    <t xml:space="preserve">HCT-08 · Form — HC Tracker as-is</t>
  </si>
  <si>
    <t xml:space="preserve">Отчетные формы (as-is)</t>
  </si>
  <si>
    <t xml:space="preserve">REP_Finance Report</t>
  </si>
  <si>
    <t xml:space="preserve">REP-01 · Finance Report — отчетная форма as-is</t>
  </si>
  <si>
    <t xml:space="preserve">REP_Name by Name</t>
  </si>
  <si>
    <t xml:space="preserve">REP-02 · Name by Name — отчетная форма as-is</t>
  </si>
  <si>
    <t xml:space="preserve">REP_SameStore</t>
  </si>
  <si>
    <t xml:space="preserve">REP-03 · SameStore — отчетная форма as-is</t>
  </si>
  <si>
    <t xml:space="preserve">REP_Samestore Summary</t>
  </si>
  <si>
    <t xml:space="preserve">REP-04 · Samestore Summary — отчетная форма as-is</t>
  </si>
  <si>
    <t xml:space="preserve">Ключевые демо-показатели</t>
  </si>
  <si>
    <t xml:space="preserve">BUDGET YTD, МЛН RUB</t>
  </si>
  <si>
    <t xml:space="preserve">ACTUAL YTD, МЛН RUB</t>
  </si>
  <si>
    <t xml:space="preserve">FORECAST FY, МЛН RUB</t>
  </si>
  <si>
    <t xml:space="preserve">HC (30.06.2026), ЕД.</t>
  </si>
  <si>
    <t xml:space="preserve">MSU (30.06.2026)</t>
  </si>
  <si>
    <t xml:space="preserve">CLOSING STATUS</t>
  </si>
  <si>
    <t xml:space="preserve">Ready with Warnings</t>
  </si>
  <si>
    <t xml:space="preserve">Budget Final v1.0</t>
  </si>
  <si>
    <t xml:space="preserve">▲ +165.0 (+2.7%) к Budget</t>
  </si>
  <si>
    <t xml:space="preserve">vs Budget FY 12 945.0 · +380.0</t>
  </si>
  <si>
    <t xml:space="preserve">к Plan 1 011: −23</t>
  </si>
  <si>
    <t xml:space="preserve">к Plan 1 002.5: −31.2</t>
  </si>
  <si>
    <t xml:space="preserve">10 warnings · 0 critical</t>
  </si>
  <si>
    <t xml:space="preserve">Легенда</t>
  </si>
  <si>
    <t xml:space="preserve">OK · в норме</t>
  </si>
  <si>
    <t xml:space="preserve">Warning · требуется действие</t>
  </si>
  <si>
    <t xml:space="preserve">Critical · риск / эскалация</t>
  </si>
  <si>
    <t xml:space="preserve">▲ — перерасход (отклонение выше бюджета, риск); ▼ — недорасход / экономия; знак Δ — отклонение от плана/бюджета.</t>
  </si>
  <si>
    <t xml:space="preserve">Чипы фильтров (например, «Год: 2026 ▾») показывают контекст дашборда; в прототипе неактивны.</t>
  </si>
  <si>
    <t xml:space="preserve">АХР — административно-хозяйственные расходы, связанные с персоналом (recruitment, training, workshops, contractors).</t>
  </si>
  <si>
    <t xml:space="preserve">MSU — доля оклада назначения к совокупному окладу сотрудника по всем LE; используется вместо FTE.</t>
  </si>
  <si>
    <t xml:space="preserve">Демо-данные · Альбом отчетных форм v2.1 · 00_README · Обновлено: 02.07.2026 06:40</t>
  </si>
  <si>
    <t xml:space="preserve">01 · Реестр отчетных форм — оглавление альбома</t>
  </si>
  <si>
    <t xml:space="preserve">43 вкладки: R-01…R-09 по уровням · спецификации · 26 форм as-is · заменяемые формы · колонка «Форма» — гиперссылки</t>
  </si>
  <si>
    <t xml:space="preserve">ID</t>
  </si>
  <si>
    <t xml:space="preserve">Форма (гиперссылка)</t>
  </si>
  <si>
    <t xml:space="preserve">Уровень / тип</t>
  </si>
  <si>
    <t xml:space="preserve">Аудитория</t>
  </si>
  <si>
    <t xml:space="preserve">Ключевой вопрос</t>
  </si>
  <si>
    <t xml:space="preserve">Частота</t>
  </si>
  <si>
    <t xml:space="preserve">Источники</t>
  </si>
  <si>
    <t xml:space="preserve">Релиз</t>
  </si>
  <si>
    <t xml:space="preserve">Статус vs as-is</t>
  </si>
  <si>
    <t xml:space="preserve">АЛЬБОМ</t>
  </si>
  <si>
    <t xml:space="preserve">00</t>
  </si>
  <si>
    <t xml:space="preserve">00 · README (обложка)</t>
  </si>
  <si>
    <t xml:space="preserve">Все роли</t>
  </si>
  <si>
    <t xml:space="preserve">Назначение, принципы, демо-контекст, навигация по 43 вкладкам, легенда</t>
  </si>
  <si>
    <t xml:space="preserve">Что это за альбом и как им пользоваться?</t>
  </si>
  <si>
    <t xml:space="preserve">—</t>
  </si>
  <si>
    <t xml:space="preserve">MVP</t>
  </si>
  <si>
    <t xml:space="preserve">Обложка</t>
  </si>
  <si>
    <t xml:space="preserve">СТРАТЕГИЧЕСКИЙ УРОВЕНЬ</t>
  </si>
  <si>
    <t xml:space="preserve">R-01</t>
  </si>
  <si>
    <t xml:space="preserve">R-01 · Budget Control Summary</t>
  </si>
  <si>
    <t xml:space="preserve">Стратегический</t>
  </si>
  <si>
    <t xml:space="preserve">Executive: Head of HR Operations, HRD, Head of Reward</t>
  </si>
  <si>
    <t xml:space="preserve">Управленческий обзор исполнения бюджета: KPI, FY outlook, факторы, топ-отклонения, статус закрытия</t>
  </si>
  <si>
    <t xml:space="preserve">Как исполняется бюджет и что формирует отклонение?</t>
  </si>
  <si>
    <t xml:space="preserve">Ежемесячно</t>
  </si>
  <si>
    <t xml:space="preserve">Budget DB, HRPT, HR Tracker, Finance files, DQ</t>
  </si>
  <si>
    <t xml:space="preserve">Новая (заменяет COMP COST DASHBOARD)</t>
  </si>
  <si>
    <t xml:space="preserve">ТАКТИЧЕСКИЙ УРОВЕНЬ</t>
  </si>
  <si>
    <t xml:space="preserve">R-02</t>
  </si>
  <si>
    <t xml:space="preserve">R-02 · Plan-Fact Explorer</t>
  </si>
  <si>
    <t xml:space="preserve">Тактический</t>
  </si>
  <si>
    <t xml:space="preserve">Reward, Finance, HRBP, HR Operations</t>
  </si>
  <si>
    <t xml:space="preserve">Интерактивный анализ отклонений по всем разрезам с heatmap и drill-down</t>
  </si>
  <si>
    <t xml:space="preserve">Где именно возникло отклонение и требует ли комментария?</t>
  </si>
  <si>
    <t xml:space="preserve">Ежемесячно / on-demand</t>
  </si>
  <si>
    <t xml:space="preserve">Budget DB, HRPT, Finance files</t>
  </si>
  <si>
    <t xml:space="preserve">Новая (развитие «План Vs Факт»)</t>
  </si>
  <si>
    <t xml:space="preserve">R-03</t>
  </si>
  <si>
    <t xml:space="preserve">R-03 · Variance Waterfall / Factor Analysis</t>
  </si>
  <si>
    <t xml:space="preserve">Head of HR Operations, Reward, Finance, HRBP</t>
  </si>
  <si>
    <t xml:space="preserve">Факторная декомпозиция отклонения: 12 групп факторов, подфакторы, приоритеты, владельцы</t>
  </si>
  <si>
    <t xml:space="preserve">Какие факторы сформировали отклонение и кто за них отвечает?</t>
  </si>
  <si>
    <t xml:space="preserve">Factor engine (HR-факт), Event Register</t>
  </si>
  <si>
    <t xml:space="preserve">Новая (заменяет «факторный анализ»)</t>
  </si>
  <si>
    <t xml:space="preserve">R-04</t>
  </si>
  <si>
    <t xml:space="preserve">R-04 · HC &amp; Vacancy Bridge</t>
  </si>
  <si>
    <t xml:space="preserve">HRBP, Recruitment, Head of HR Operations</t>
  </si>
  <si>
    <t xml:space="preserve">Движение численности, вакансий и MSU с подфакторами</t>
  </si>
  <si>
    <t xml:space="preserve">Почему фактическая численность отличается от плана?</t>
  </si>
  <si>
    <t xml:space="preserve">Еженедельно / ежемесячно</t>
  </si>
  <si>
    <t xml:space="preserve">HR Tracker, Budget DB</t>
  </si>
  <si>
    <t xml:space="preserve">Новая (заменяет дашборды НП/СП; HC Tracker summaries — в переработку)</t>
  </si>
  <si>
    <t xml:space="preserve">R-06</t>
  </si>
  <si>
    <t xml:space="preserve">R-06 · АХР / Non-compensation Dashboard</t>
  </si>
  <si>
    <t xml:space="preserve">HR Operations, Finance, LoD, Recruitment</t>
  </si>
  <si>
    <t xml:space="preserve">Контроль некомпенсационных расходов по категориям и владельцам</t>
  </si>
  <si>
    <t xml:space="preserve">Где перерасход/недоиспользование АХР?</t>
  </si>
  <si>
    <t xml:space="preserve">Budget DB, Finance files</t>
  </si>
  <si>
    <t xml:space="preserve">Новая</t>
  </si>
  <si>
    <t xml:space="preserve">ОПЕРАЦИОННЫЙ УРОВЕНЬ</t>
  </si>
  <si>
    <t xml:space="preserve">R-05</t>
  </si>
  <si>
    <t xml:space="preserve">R-05 · Compensation Detail</t>
  </si>
  <si>
    <t xml:space="preserve">Операционный</t>
  </si>
  <si>
    <t xml:space="preserve">Reward, Finance, HR Operations</t>
  </si>
  <si>
    <t xml:space="preserve">Детализация ФОТ по 19 бюджетным элементам с drill-down до сотрудника</t>
  </si>
  <si>
    <t xml:space="preserve">Из каких элементов складывается ФОТ и где отклонения?</t>
  </si>
  <si>
    <t xml:space="preserve">Budget DB, HRPT</t>
  </si>
  <si>
    <t xml:space="preserve">Новая (детализация уровня Finance Report / Name by Name)</t>
  </si>
  <si>
    <t xml:space="preserve">R-07</t>
  </si>
  <si>
    <t xml:space="preserve">R-07 · HR vs Finance Reconciliation</t>
  </si>
  <si>
    <t xml:space="preserve">Finance, Reward, HRIS, Head of HR Operations</t>
  </si>
  <si>
    <t xml:space="preserve">Сверка HR-факта и Finance-факта по типам расхождений</t>
  </si>
  <si>
    <t xml:space="preserve">Можно ли закрывать период и чем объясняются расхождения?</t>
  </si>
  <si>
    <t xml:space="preserve">HRPT, Finance files (МСФО), mapping</t>
  </si>
  <si>
    <t xml:space="preserve">Новая (формализация «МСФО VTBC Comp_Non Comp» как отчета сверки)</t>
  </si>
  <si>
    <t xml:space="preserve">R-08</t>
  </si>
  <si>
    <t xml:space="preserve">R-08 · Data Quality &amp; Closing Readiness</t>
  </si>
  <si>
    <t xml:space="preserve">HRIS, HR Operations, Reward, Finance</t>
  </si>
  <si>
    <t xml:space="preserve">Контроль качества данных (вкл. технический DQ-фактор) и готовности к закрытию</t>
  </si>
  <si>
    <t xml:space="preserve">Можно ли доверять данным и закрывать период?</t>
  </si>
  <si>
    <t xml:space="preserve">Ежедневно в период закрытия</t>
  </si>
  <si>
    <t xml:space="preserve">Load monitors, DQ rules engine</t>
  </si>
  <si>
    <t xml:space="preserve">R-09</t>
  </si>
  <si>
    <t xml:space="preserve">R-09 · Comments &amp; Actions Tracker</t>
  </si>
  <si>
    <t xml:space="preserve">HRBP, Reward, Finance, HR Operations</t>
  </si>
  <si>
    <t xml:space="preserve">Workflow комментариев: статусы, владельцы, SLA, эскалации</t>
  </si>
  <si>
    <t xml:space="preserve">Все ли обязательные отклонения прокомментированы?</t>
  </si>
  <si>
    <t xml:space="preserve">Variance service, Comment store</t>
  </si>
  <si>
    <t xml:space="preserve">СПЕЦИФИКАЦИИ</t>
  </si>
  <si>
    <t xml:space="preserve">SPEC-01</t>
  </si>
  <si>
    <t xml:space="preserve">SPEC-01 · Metric Dictionary</t>
  </si>
  <si>
    <t xml:space="preserve">Спецификация</t>
  </si>
  <si>
    <t xml:space="preserve">Словарь метрик и формул</t>
  </si>
  <si>
    <t xml:space="preserve">SPEC-02</t>
  </si>
  <si>
    <t xml:space="preserve">SPEC-02 · Factor Dictionary</t>
  </si>
  <si>
    <t xml:space="preserve">12 групп факторов + приоритет + правила детекции + Event Register</t>
  </si>
  <si>
    <t xml:space="preserve">SPEC-03</t>
  </si>
  <si>
    <t xml:space="preserve">SPEC-03 · Field Dictionary</t>
  </si>
  <si>
    <t xml:space="preserve">Словарь полей по источникам</t>
  </si>
  <si>
    <t xml:space="preserve">SPEC-04</t>
  </si>
  <si>
    <t xml:space="preserve">SPEC-04 · Access Rights</t>
  </si>
  <si>
    <t xml:space="preserve">Матрица прав по формам</t>
  </si>
  <si>
    <t xml:space="preserve">SPEC-05</t>
  </si>
  <si>
    <t xml:space="preserve">SPEC-05 · UAT Cases</t>
  </si>
  <si>
    <t xml:space="preserve">24 приемочных кейса</t>
  </si>
  <si>
    <t xml:space="preserve">SPEC-06</t>
  </si>
  <si>
    <t xml:space="preserve">SPEC-06 · Backlog &amp; Roadmap</t>
  </si>
  <si>
    <t xml:space="preserve">Волны MVP / Wave 2 / Wave 3 / Run</t>
  </si>
  <si>
    <t xml:space="preserve">ФОРМЫ ВНЕСЕНИЯ ДАННЫХ (AS-IS)</t>
  </si>
  <si>
    <t xml:space="preserve">IN-01</t>
  </si>
  <si>
    <t xml:space="preserve">IN-01 · Salary charging</t>
  </si>
  <si>
    <t xml:space="preserve">Форма внесения данных</t>
  </si>
  <si>
    <t xml:space="preserve">Без изменений — формат загрузки в систему соответствует ФТ</t>
  </si>
  <si>
    <t xml:space="preserve">Остается (as-is)</t>
  </si>
  <si>
    <t xml:space="preserve">IN-02</t>
  </si>
  <si>
    <t xml:space="preserve">IN-02 · Bonus charging</t>
  </si>
  <si>
    <t xml:space="preserve">Без изменений</t>
  </si>
  <si>
    <t xml:space="preserve">IN-03</t>
  </si>
  <si>
    <t xml:space="preserve">IN-03 · Benefits (ввод)</t>
  </si>
  <si>
    <t xml:space="preserve">IN-04</t>
  </si>
  <si>
    <t xml:space="preserve">IN-04 · Rates</t>
  </si>
  <si>
    <t xml:space="preserve">IN-05</t>
  </si>
  <si>
    <t xml:space="preserve">IN-05 · FX Rates</t>
  </si>
  <si>
    <t xml:space="preserve">IN-06</t>
  </si>
  <si>
    <t xml:space="preserve">IN-06 · Manual Adjustment</t>
  </si>
  <si>
    <t xml:space="preserve">IN-07</t>
  </si>
  <si>
    <t xml:space="preserve">IN-07 · Deferral</t>
  </si>
  <si>
    <t xml:space="preserve">IN-08</t>
  </si>
  <si>
    <t xml:space="preserve">IN-08 · Vacation Distr</t>
  </si>
  <si>
    <t xml:space="preserve">IN-09</t>
  </si>
  <si>
    <t xml:space="preserve">IN-09 · Vacancy (ввод)</t>
  </si>
  <si>
    <t xml:space="preserve">IN-10</t>
  </si>
  <si>
    <t xml:space="preserve">IN-10 · Compensation (ввод)</t>
  </si>
  <si>
    <t xml:space="preserve">ФОРМЫ ЗАГРУЗКИ ФАКТА (AS-IS)</t>
  </si>
  <si>
    <t xml:space="preserve">FACT-01</t>
  </si>
  <si>
    <t xml:space="preserve">FACT-01 · МСФО VTBC Comp/Non Comp</t>
  </si>
  <si>
    <t xml:space="preserve">Форма загрузки факта</t>
  </si>
  <si>
    <t xml:space="preserve">Без изменений — формат получения фактических данных</t>
  </si>
  <si>
    <t xml:space="preserve">FACT-02</t>
  </si>
  <si>
    <t xml:space="preserve">FACT-02 · Загрузка МСФО (Банк)</t>
  </si>
  <si>
    <t xml:space="preserve">FACT-03</t>
  </si>
  <si>
    <t xml:space="preserve">FACT-03 · Загрузка поименная (Банк)</t>
  </si>
  <si>
    <t xml:space="preserve">FACT-04</t>
  </si>
  <si>
    <t xml:space="preserve">FACT-04 · Загрузка страхования</t>
  </si>
  <si>
    <t xml:space="preserve">HC TRACKER (AS-IS)</t>
  </si>
  <si>
    <t xml:space="preserve">HCT-01</t>
  </si>
  <si>
    <t xml:space="preserve">HCT-01 · Summary_MIR</t>
  </si>
  <si>
    <t xml:space="preserve">HC Tracker</t>
  </si>
  <si>
    <t xml:space="preserve">Без изменений — блок будет переработан отдельно</t>
  </si>
  <si>
    <t xml:space="preserve">HCT-02</t>
  </si>
  <si>
    <t xml:space="preserve">HCT-02 · Summary_GD</t>
  </si>
  <si>
    <t xml:space="preserve">HCT-03</t>
  </si>
  <si>
    <t xml:space="preserve">HCT-03 · Summary_MIR_pools</t>
  </si>
  <si>
    <t xml:space="preserve">HCT-04</t>
  </si>
  <si>
    <t xml:space="preserve">HCT-04 · Movement_ACT_MIR</t>
  </si>
  <si>
    <t xml:space="preserve">HCT-05</t>
  </si>
  <si>
    <t xml:space="preserve">HCT-05 · Movement_ACT_MIR_weekly</t>
  </si>
  <si>
    <t xml:space="preserve">HCT-06</t>
  </si>
  <si>
    <t xml:space="preserve">HCT-06 · Movement_TGT_MIR</t>
  </si>
  <si>
    <t xml:space="preserve">HCT-07</t>
  </si>
  <si>
    <t xml:space="preserve">HCT-07 · Movement_Vacancy_MIR</t>
  </si>
  <si>
    <t xml:space="preserve">HCT-08</t>
  </si>
  <si>
    <t xml:space="preserve">HCT-08 · Form (HC Tracker)</t>
  </si>
  <si>
    <t xml:space="preserve">ОТЧЕТНЫЕ ФОРМЫ (AS-IS)</t>
  </si>
  <si>
    <t xml:space="preserve">REP-01</t>
  </si>
  <si>
    <t xml:space="preserve">REP-01 · Finance Report</t>
  </si>
  <si>
    <t xml:space="preserve">Отчетная форма as-is</t>
  </si>
  <si>
    <t xml:space="preserve">REP-02</t>
  </si>
  <si>
    <t xml:space="preserve">REP-02 · Name by Name</t>
  </si>
  <si>
    <t xml:space="preserve">REP-03</t>
  </si>
  <si>
    <t xml:space="preserve">REP-03 · SameStore</t>
  </si>
  <si>
    <t xml:space="preserve">REP-04</t>
  </si>
  <si>
    <t xml:space="preserve">REP-04 · Samestore Summary</t>
  </si>
  <si>
    <t xml:space="preserve">Без изменений (блок SameStore)</t>
  </si>
  <si>
    <t xml:space="preserve">ЗАМЕНЯЕМЫЕ ФОРМЫ</t>
  </si>
  <si>
    <t xml:space="preserve">План Vs Факт</t>
  </si>
  <si>
    <t xml:space="preserve">Заменена на R-02 Plan-Fact Explorer</t>
  </si>
  <si>
    <t xml:space="preserve">факторный анализ</t>
  </si>
  <si>
    <t xml:space="preserve">Заменена на R-03 Variance Waterfall / Factor Analysis</t>
  </si>
  <si>
    <t xml:space="preserve">COMP COST DASHBOARD</t>
  </si>
  <si>
    <t xml:space="preserve">Заменена на R-01 Budget Control Summary</t>
  </si>
  <si>
    <t xml:space="preserve">НРБ регулярный отчет</t>
  </si>
  <si>
    <t xml:space="preserve">Функциональность учтена в R-01 / R-05 (deferred bonus)</t>
  </si>
  <si>
    <t xml:space="preserve">НП</t>
  </si>
  <si>
    <t xml:space="preserve">Функциональность учтена в R-04 / R-06</t>
  </si>
  <si>
    <t xml:space="preserve">СП</t>
  </si>
  <si>
    <t xml:space="preserve">Навигация: колонка «Форма» — гиперссылка на вкладку (на B2); возврат — ссылка «⇦ Оглавление» в строке заголовка каждой вкладки.</t>
  </si>
  <si>
    <t xml:space="preserve">Уровни: Стратегический (R-01) → Тактический (R-02, R-03, R-04, R-06) → Операционный (R-05, R-07, R-08, R-09).</t>
  </si>
  <si>
    <t xml:space="preserve">MVP / Wave 2 / Wave 3 / Run — волны внедрения (см. 16_Backlog_Roadmap).</t>
  </si>
  <si>
    <t xml:space="preserve">Формы as-is (IN_/FACT_/HCT_/REP_): перенесены из исходного файла без изменений — значения (кэш вычислений), формулы не переносились.</t>
  </si>
  <si>
    <t xml:space="preserve">Демо-данные · Альбом отчетных форм v2.1 · 01_Report_Registry · Обновлено: 02.07.2026 06:40</t>
  </si>
  <si>
    <t xml:space="preserve">данные для диаграмм (не печатать)</t>
  </si>
  <si>
    <t xml:space="preserve">Уровень: Стратегический · Управленческий обзор исполнения бюджета · Аудитория: Head of HR Operations, HRD, Head of Reward</t>
  </si>
  <si>
    <t xml:space="preserve">Месяц</t>
  </si>
  <si>
    <t xml:space="preserve">Budget</t>
  </si>
  <si>
    <t xml:space="preserve">Actual</t>
  </si>
  <si>
    <t xml:space="preserve">Forecast</t>
  </si>
  <si>
    <t xml:space="preserve">Янв</t>
  </si>
  <si>
    <t xml:space="preserve">Год: 2026 ▾</t>
  </si>
  <si>
    <t xml:space="preserve">Период: Янв–Июн ▾</t>
  </si>
  <si>
    <t xml:space="preserve">Сценарий: Actual vs Budget Final ▾</t>
  </si>
  <si>
    <t xml:space="preserve">Версия: Budget Final v1.0 ▾</t>
  </si>
  <si>
    <t xml:space="preserve">Legal Entity: Все ▾</t>
  </si>
  <si>
    <t xml:space="preserve">MIR-code: Все ▾</t>
  </si>
  <si>
    <t xml:space="preserve">Обновлено: 02.07.2026 06:40</t>
  </si>
  <si>
    <t xml:space="preserve">Фев</t>
  </si>
  <si>
    <t xml:space="preserve">Мар</t>
  </si>
  <si>
    <t xml:space="preserve">АХР YTD, МЛН RUB</t>
  </si>
  <si>
    <t xml:space="preserve">Апр</t>
  </si>
  <si>
    <t xml:space="preserve">Май</t>
  </si>
  <si>
    <t xml:space="preserve">▲ +165.0 (+2.7%) к Budget YTD</t>
  </si>
  <si>
    <t xml:space="preserve">▲ +380.0 (+2.9%) к Budget FY</t>
  </si>
  <si>
    <t xml:space="preserve">▼ к Plan 1 011: −23</t>
  </si>
  <si>
    <t xml:space="preserve">▼ к Plan 1 002.5: −31.2</t>
  </si>
  <si>
    <t xml:space="preserve">▲ +28.4 (+11.8%) к Budget 240.0</t>
  </si>
  <si>
    <t xml:space="preserve">Июн</t>
  </si>
  <si>
    <t xml:space="preserve">Июл</t>
  </si>
  <si>
    <t xml:space="preserve">Динамика ФОТ: Budget / Actual / Forecast, млн RUB</t>
  </si>
  <si>
    <t xml:space="preserve">Факторы отклонения ФОТ YTD v3 (waterfall), млн RUB</t>
  </si>
  <si>
    <t xml:space="preserve">Авг</t>
  </si>
  <si>
    <t xml:space="preserve">Сен</t>
  </si>
  <si>
    <t xml:space="preserve">Окт</t>
  </si>
  <si>
    <t xml:space="preserve">Ноя</t>
  </si>
  <si>
    <t xml:space="preserve">Дек</t>
  </si>
  <si>
    <t xml:space="preserve">Factor</t>
  </si>
  <si>
    <t xml:space="preserve">Base</t>
  </si>
  <si>
    <t xml:space="preserve">Bar</t>
  </si>
  <si>
    <t xml:space="preserve">Budget YTD</t>
  </si>
  <si>
    <t xml:space="preserve">F01</t>
  </si>
  <si>
    <t xml:space="preserve">F02</t>
  </si>
  <si>
    <t xml:space="preserve">F03</t>
  </si>
  <si>
    <t xml:space="preserve">F04</t>
  </si>
  <si>
    <t xml:space="preserve">F05</t>
  </si>
  <si>
    <t xml:space="preserve">F06</t>
  </si>
  <si>
    <t xml:space="preserve">F07</t>
  </si>
  <si>
    <t xml:space="preserve">F08</t>
  </si>
  <si>
    <t xml:space="preserve">F09</t>
  </si>
  <si>
    <t xml:space="preserve">F10</t>
  </si>
  <si>
    <t xml:space="preserve">Top-5 отклонений</t>
  </si>
  <si>
    <t xml:space="preserve">Статус контроля</t>
  </si>
  <si>
    <t xml:space="preserve">F11</t>
  </si>
  <si>
    <t xml:space="preserve">Сегмент</t>
  </si>
  <si>
    <t xml:space="preserve">Блок</t>
  </si>
  <si>
    <t xml:space="preserve">Δ, млн RUB</t>
  </si>
  <si>
    <t xml:space="preserve">Δ, %</t>
  </si>
  <si>
    <t xml:space="preserve">Основной фактор</t>
  </si>
  <si>
    <t xml:space="preserve">Comment Status</t>
  </si>
  <si>
    <t xml:space="preserve">DATA QUALITY</t>
  </si>
  <si>
    <t xml:space="preserve">RECONCILIATION</t>
  </si>
  <si>
    <t xml:space="preserve">КОММЕНТАРИИ</t>
  </si>
  <si>
    <t xml:space="preserve">CLOSING READINESS</t>
  </si>
  <si>
    <t xml:space="preserve">F12</t>
  </si>
  <si>
    <t xml:space="preserve">xxx Bank / IT (TITM)</t>
  </si>
  <si>
    <t xml:space="preserve">ФОТ</t>
  </si>
  <si>
    <t xml:space="preserve">Salary rate + unplanned hires</t>
  </si>
  <si>
    <t xml:space="preserve">Escalated</t>
  </si>
  <si>
    <t xml:space="preserve">Warning</t>
  </si>
  <si>
    <t xml:space="preserve">18 open</t>
  </si>
  <si>
    <t xml:space="preserve">Residual</t>
  </si>
  <si>
    <t xml:space="preserve">xxx InvMan / Global Markets</t>
  </si>
  <si>
    <t xml:space="preserve">Bonus base effect</t>
  </si>
  <si>
    <t xml:space="preserve">Under Review</t>
  </si>
  <si>
    <t xml:space="preserve">+27.0 млн (0.4%) · 4 open issues</t>
  </si>
  <si>
    <t xml:space="preserve">42 обязат. · 3 escalated</t>
  </si>
  <si>
    <t xml:space="preserve">critical 0 · recon &lt; tolerance</t>
  </si>
  <si>
    <t xml:space="preserve">Actual YTD</t>
  </si>
  <si>
    <t xml:space="preserve">Subs / прочие</t>
  </si>
  <si>
    <t xml:space="preserve">Vacation reserve + manual adj.</t>
  </si>
  <si>
    <t xml:space="preserve">Needs Comment</t>
  </si>
  <si>
    <t xml:space="preserve">Recruitment Expenses (Группа)</t>
  </si>
  <si>
    <t xml:space="preserve">АХР</t>
  </si>
  <si>
    <t xml:space="preserve">Unplanned АХР / agency fees</t>
  </si>
  <si>
    <t xml:space="preserve">Commented</t>
  </si>
  <si>
    <t xml:space="preserve">xxx Trust / Finance</t>
  </si>
  <si>
    <t xml:space="preserve">Unplanned hire + charging</t>
  </si>
  <si>
    <t xml:space="preserve">АХР в KPI включен справочно; детальный разбор — на листе R-06_АХР_Dashboard.</t>
  </si>
  <si>
    <t xml:space="preserve">Data Quality / Matching (F99) — технический фактор, из диаграмм исключен; DQ-контроль — на листе R-08_Data_Quality.</t>
  </si>
  <si>
    <t xml:space="preserve">Демо-данные · Альбом отчетных форм v2.1 · R-01_Budget_Control_Summary · Обновлено: 02.07.2026 06:40</t>
  </si>
  <si>
    <t xml:space="preserve">Уровень: Тактический · Интерактивный анализ отклонений · Аудитория: Reward, Finance, HRBP, HR Operations</t>
  </si>
  <si>
    <t xml:space="preserve">Budget Element: Все ▾</t>
  </si>
  <si>
    <t xml:space="preserve">P&amp;L Account: Все ▾</t>
  </si>
  <si>
    <t xml:space="preserve">VARIANCE, МЛН RUB</t>
  </si>
  <si>
    <t xml:space="preserve">VARIANCE, %</t>
  </si>
  <si>
    <t xml:space="preserve">ОБЯЗАТЕЛЬНЫХ КОММЕНТАРИЕВ (OPEN)</t>
  </si>
  <si>
    <t xml:space="preserve">Actual − Budget</t>
  </si>
  <si>
    <t xml:space="preserve">порог комментария: 5%</t>
  </si>
  <si>
    <t xml:space="preserve">из 42 обязательных</t>
  </si>
  <si>
    <t xml:space="preserve">Heatmap отклонений, млн RUB: Budget Element × Legal Entity</t>
  </si>
  <si>
    <t xml:space="preserve">Budget Element</t>
  </si>
  <si>
    <t xml:space="preserve">xxx Bank</t>
  </si>
  <si>
    <t xml:space="preserve">xxx Capital</t>
  </si>
  <si>
    <t xml:space="preserve">xxx Leasing</t>
  </si>
  <si>
    <t xml:space="preserve">xxx Trust</t>
  </si>
  <si>
    <t xml:space="preserve">xxx InvMan</t>
  </si>
  <si>
    <t xml:space="preserve">Итого</t>
  </si>
  <si>
    <t xml:space="preserve">Salary</t>
  </si>
  <si>
    <t xml:space="preserve">Salary Uplift</t>
  </si>
  <si>
    <t xml:space="preserve">Quarterly Bonus</t>
  </si>
  <si>
    <t xml:space="preserve">Discretionary Bonus</t>
  </si>
  <si>
    <t xml:space="preserve">Vacation Pay / Reserve</t>
  </si>
  <si>
    <t xml:space="preserve">Social Tax Salary</t>
  </si>
  <si>
    <t xml:space="preserve">Total Benefits</t>
  </si>
  <si>
    <t xml:space="preserve">Other Compensation</t>
  </si>
  <si>
    <t xml:space="preserve">Прочие элементы</t>
  </si>
  <si>
    <t xml:space="preserve">Детализация (demo-срез): Variance и Variance % — формулы</t>
  </si>
  <si>
    <t xml:space="preserve">Month</t>
  </si>
  <si>
    <t xml:space="preserve">Version</t>
  </si>
  <si>
    <t xml:space="preserve">Legal Entity</t>
  </si>
  <si>
    <t xml:space="preserve">MIR-code</t>
  </si>
  <si>
    <t xml:space="preserve">P&amp;L Account</t>
  </si>
  <si>
    <t xml:space="preserve">Variance</t>
  </si>
  <si>
    <t xml:space="preserve">Variance %</t>
  </si>
  <si>
    <t xml:space="preserve">Factor Group</t>
  </si>
  <si>
    <t xml:space="preserve">Comment Required</t>
  </si>
  <si>
    <t xml:space="preserve">2026-06</t>
  </si>
  <si>
    <t xml:space="preserve">TITM</t>
  </si>
  <si>
    <t xml:space="preserve">4015100010~Salaries</t>
  </si>
  <si>
    <t xml:space="preserve">Salary Rate / Increase</t>
  </si>
  <si>
    <t xml:space="preserve">Да</t>
  </si>
  <si>
    <t xml:space="preserve">4015110010~Quarterly bonus</t>
  </si>
  <si>
    <t xml:space="preserve">Bonus / Incentives</t>
  </si>
  <si>
    <t xml:space="preserve">GMRE</t>
  </si>
  <si>
    <t xml:space="preserve">GBDM</t>
  </si>
  <si>
    <t xml:space="preserve">Нет</t>
  </si>
  <si>
    <t xml:space="preserve">SFIN</t>
  </si>
  <si>
    <t xml:space="preserve">Unplanned hire</t>
  </si>
  <si>
    <t xml:space="preserve">LND</t>
  </si>
  <si>
    <t xml:space="preserve">Population &amp; Timing</t>
  </si>
  <si>
    <t xml:space="preserve">SCRM</t>
  </si>
  <si>
    <t xml:space="preserve">4015300010~Other comp.</t>
  </si>
  <si>
    <t xml:space="preserve">One-off / Manual / Timing</t>
  </si>
  <si>
    <t xml:space="preserve">GCEO</t>
  </si>
  <si>
    <t xml:space="preserve">4015200010~Benefits</t>
  </si>
  <si>
    <t xml:space="preserve">Benefits</t>
  </si>
  <si>
    <t xml:space="preserve">Drill-down: Month → Legal Entity → MIR-code → P&amp;L Account → Budget Element → Employee / Vacancy</t>
  </si>
  <si>
    <t xml:space="preserve">Demo-срез: 8 строк полной детализации; heatmap и детализация согласованы с Variance YTD +165.0.</t>
  </si>
  <si>
    <t xml:space="preserve">Демо-данные · Альбом отчетных форм v2.1 · R-02_Plan_Fact_Explorer · Обновлено: 02.07.2026 06:40</t>
  </si>
  <si>
    <t xml:space="preserve">Уровень: Тактический · Факторный анализ отклонения ФОТ v3 (HR-факт): 12 групп + Residual · Аудитория: Head of HR Operations, Reward, Finance, HRBP</t>
  </si>
  <si>
    <t xml:space="preserve">Factor Group: Все ▾</t>
  </si>
  <si>
    <t xml:space="preserve">Как читать waterfall v3</t>
  </si>
  <si>
    <t xml:space="preserve">• 12 групп факторов (F01…F12) + Residual.</t>
  </si>
  <si>
    <t xml:space="preserve">• Построен на HR-факте (factor engine).</t>
  </si>
  <si>
    <t xml:space="preserve">• Finance-факт — слой reconciliation (R-07).</t>
  </si>
  <si>
    <t xml:space="preserve">• HC и MSU — расчетные драйверы и</t>
  </si>
  <si>
    <t xml:space="preserve">  диагностика, не конкурирующие факторы.</t>
  </si>
  <si>
    <t xml:space="preserve">• Каждый рубль отклонения — один primary</t>
  </si>
  <si>
    <t xml:space="preserve">  factor (приоритет 0–13, таблица ниже).</t>
  </si>
  <si>
    <t xml:space="preserve">• Data Quality / Matching (F99) — технический</t>
  </si>
  <si>
    <t xml:space="preserve">  слой: из диаграмм исключен, DQ-контроль</t>
  </si>
  <si>
    <t xml:space="preserve">  на R-08.</t>
  </si>
  <si>
    <t xml:space="preserve">• АХР факторизуется отдельно (R-06).</t>
  </si>
  <si>
    <t xml:space="preserve">• Итог факторов = Variance YTD = +165.0.</t>
  </si>
  <si>
    <t xml:space="preserve">Подфакторы v3 (40): эффекты, автоматизация, владельцы, статусы комментариев</t>
  </si>
  <si>
    <t xml:space="preserve">FactorID</t>
  </si>
  <si>
    <t xml:space="preserve">Подфактор</t>
  </si>
  <si>
    <t xml:space="preserve">Effect, млн RUB</t>
  </si>
  <si>
    <t xml:space="preserve">Автоматизация</t>
  </si>
  <si>
    <t xml:space="preserve">Owner</t>
  </si>
  <si>
    <t xml:space="preserve">F01 · Численность и сроки найма/ухода</t>
  </si>
  <si>
    <t xml:space="preserve">HIR001</t>
  </si>
  <si>
    <t xml:space="preserve">Отставание плана по найму (экономия)</t>
  </si>
  <si>
    <t xml:space="preserve">A4</t>
  </si>
  <si>
    <t xml:space="preserve">HRBP</t>
  </si>
  <si>
    <t xml:space="preserve">HIR002</t>
  </si>
  <si>
    <t xml:space="preserve">Найм раньше плана</t>
  </si>
  <si>
    <t xml:space="preserve">A5</t>
  </si>
  <si>
    <t xml:space="preserve">HIR003</t>
  </si>
  <si>
    <t xml:space="preserve">Сдвиг найма внутри года</t>
  </si>
  <si>
    <t xml:space="preserve">Auto-classified</t>
  </si>
  <si>
    <t xml:space="preserve">TER001</t>
  </si>
  <si>
    <t xml:space="preserve">Увольнение раньше плана (экономия)</t>
  </si>
  <si>
    <t xml:space="preserve">TER002</t>
  </si>
  <si>
    <t xml:space="preserve">Увольнение позже плана</t>
  </si>
  <si>
    <t xml:space="preserve">HC008</t>
  </si>
  <si>
    <t xml:space="preserve">Двойное замещение на период handover</t>
  </si>
  <si>
    <t xml:space="preserve">A3</t>
  </si>
  <si>
    <t xml:space="preserve">F02 · Позиции, вакансии и замещение</t>
  </si>
  <si>
    <t xml:space="preserve">HC005</t>
  </si>
  <si>
    <t xml:space="preserve">Незапланированная позиция</t>
  </si>
  <si>
    <t xml:space="preserve">HC006</t>
  </si>
  <si>
    <t xml:space="preserve">Отмененная бюджетная позиция</t>
  </si>
  <si>
    <t xml:space="preserve">HC007</t>
  </si>
  <si>
    <t xml:space="preserve">Позиция on hold / hiring freeze</t>
  </si>
  <si>
    <t xml:space="preserve">A2</t>
  </si>
  <si>
    <t xml:space="preserve">HIR005</t>
  </si>
  <si>
    <t xml:space="preserve">Вакансия закрыта на другую роль/грейд</t>
  </si>
  <si>
    <t xml:space="preserve">HRBP / Recruitment</t>
  </si>
  <si>
    <t xml:space="preserve">HIR008</t>
  </si>
  <si>
    <t xml:space="preserve">Backfill дороже ушедшего сотрудника</t>
  </si>
  <si>
    <t xml:space="preserve">HIR009</t>
  </si>
  <si>
    <t xml:space="preserve">Backfill дешевле ушедшего сотрудника</t>
  </si>
  <si>
    <t xml:space="preserve">F03 · Оклады и ставка</t>
  </si>
  <si>
    <t xml:space="preserve">SAL001</t>
  </si>
  <si>
    <t xml:space="preserve">Оклад выше бюджетного (rate variance)</t>
  </si>
  <si>
    <t xml:space="preserve">Reward</t>
  </si>
  <si>
    <t xml:space="preserve">SAL008</t>
  </si>
  <si>
    <t xml:space="preserve">Повышение в должности / promotion</t>
  </si>
  <si>
    <t xml:space="preserve">SAL010</t>
  </si>
  <si>
    <t xml:space="preserve">Повышение для удержания (retention)</t>
  </si>
  <si>
    <t xml:space="preserve">MIX001</t>
  </si>
  <si>
    <t xml:space="preserve">Нанят сотрудник более высокого грейда</t>
  </si>
  <si>
    <t xml:space="preserve">MIX002</t>
  </si>
  <si>
    <t xml:space="preserve">Нанят сотрудник более низкого грейда</t>
  </si>
  <si>
    <t xml:space="preserve">SAL012</t>
  </si>
  <si>
    <t xml:space="preserve">Доплата до МРОТ/минимального уровня (в демо-периоде отсутствует)</t>
  </si>
  <si>
    <t xml:space="preserve">F04 · Индексация и политика оплаты</t>
  </si>
  <si>
    <t xml:space="preserve">SAL003</t>
  </si>
  <si>
    <t xml:space="preserve">Индексация выше бюджета (event E-2026-01)</t>
  </si>
  <si>
    <t xml:space="preserve">A5→A2</t>
  </si>
  <si>
    <t xml:space="preserve">Confirmed</t>
  </si>
  <si>
    <t xml:space="preserve">F05 · Премии и variable pay</t>
  </si>
  <si>
    <t xml:space="preserve">BON012</t>
  </si>
  <si>
    <t xml:space="preserve">Изменение базы расчета премии</t>
  </si>
  <si>
    <t xml:space="preserve">BON001</t>
  </si>
  <si>
    <t xml:space="preserve">Bonus accrual выше бюджета (run-rate)</t>
  </si>
  <si>
    <t xml:space="preserve">BON009</t>
  </si>
  <si>
    <t xml:space="preserve">Разовая премия вне бюджета (event E-2026-11)</t>
  </si>
  <si>
    <t xml:space="preserve">BON011</t>
  </si>
  <si>
    <t xml:space="preserve">Корректировка bonus accrual / true-up, фин. часть (в демо-периоде отсутствует)</t>
  </si>
  <si>
    <t xml:space="preserve">Finance / Reward</t>
  </si>
  <si>
    <t xml:space="preserve">F06 · Налоги и взносы (вкл. порог)</t>
  </si>
  <si>
    <t xml:space="preserve">TAX-BASE</t>
  </si>
  <si>
    <t xml:space="preserve">Эффект налогооблагаемой базы (следует за ФОТ)</t>
  </si>
  <si>
    <t xml:space="preserve">TAX005</t>
  </si>
  <si>
    <t xml:space="preserve">Достижение предельной базы раньше плана (экономия)</t>
  </si>
  <si>
    <t xml:space="preserve">Finance / Payroll</t>
  </si>
  <si>
    <t xml:space="preserve">F07 · Отпускные и средний заработок</t>
  </si>
  <si>
    <t xml:space="preserve">VAC001</t>
  </si>
  <si>
    <t xml:space="preserve">Резерв отпусков выше бюджета</t>
  </si>
  <si>
    <t xml:space="preserve">VAC003</t>
  </si>
  <si>
    <t xml:space="preserve">Рост среднего заработка (пересчет после годового бонуса, март)</t>
  </si>
  <si>
    <t xml:space="preserve">Reward / Payroll / Finance</t>
  </si>
  <si>
    <t xml:space="preserve">VAC010</t>
  </si>
  <si>
    <t xml:space="preserve">Перерасчет отпускных за прошлые периоды</t>
  </si>
  <si>
    <t xml:space="preserve">F08 · Severance и выплаты при увольнении</t>
  </si>
  <si>
    <t xml:space="preserve">TER003</t>
  </si>
  <si>
    <t xml:space="preserve">Выходные пособия (не бюджетируются, только факт)</t>
  </si>
  <si>
    <t xml:space="preserve">HRBP / Payroll / Legal</t>
  </si>
  <si>
    <t xml:space="preserve">TER004</t>
  </si>
  <si>
    <t xml:space="preserve">Компенсация неиспользованного отпуска при увольнении (опционально; в демо-периоде отсутствует)</t>
  </si>
  <si>
    <t xml:space="preserve">HRBP / Payroll</t>
  </si>
  <si>
    <t xml:space="preserve">TER007</t>
  </si>
  <si>
    <t xml:space="preserve">Массовое сокращение / restructuring exit cost (крайне редко, при событии) (в демо-периоде отсутствует)</t>
  </si>
  <si>
    <t xml:space="preserve">HRBP / Legal / Finance</t>
  </si>
  <si>
    <t xml:space="preserve">F09 · Benefits</t>
  </si>
  <si>
    <t xml:space="preserve">BEN001</t>
  </si>
  <si>
    <t xml:space="preserve">Стоимость ДМС выше бюджета</t>
  </si>
  <si>
    <t xml:space="preserve">Reward / Benefits</t>
  </si>
  <si>
    <t xml:space="preserve">BEN007</t>
  </si>
  <si>
    <t xml:space="preserve">Релокационные выплаты</t>
  </si>
  <si>
    <t xml:space="preserve">F10 · Оргструктура и аллокации</t>
  </si>
  <si>
    <t xml:space="preserve">HC004</t>
  </si>
  <si>
    <t xml:space="preserve">MSU ниже бюджета при том же HC</t>
  </si>
  <si>
    <t xml:space="preserve">HRBP / Reward</t>
  </si>
  <si>
    <t xml:space="preserve">CHG</t>
  </si>
  <si>
    <t xml:space="preserve">Salary charging variance</t>
  </si>
  <si>
    <t xml:space="preserve">Reward + HRIS</t>
  </si>
  <si>
    <t xml:space="preserve">ORG001/002</t>
  </si>
  <si>
    <t xml:space="preserve">Переводы между cost centers / юрлицами (net)</t>
  </si>
  <si>
    <t xml:space="preserve">HRBP / Finance</t>
  </si>
  <si>
    <t xml:space="preserve">F11 · Капитализация ФОТ</t>
  </si>
  <si>
    <t xml:space="preserve">CAP001</t>
  </si>
  <si>
    <t xml:space="preserve">Рост капитализируемой доли ФОТ (проектные работы; отпускные исключены из базы)</t>
  </si>
  <si>
    <t xml:space="preserve">Finance</t>
  </si>
  <si>
    <t xml:space="preserve">F12 · Прочее и one-off</t>
  </si>
  <si>
    <t xml:space="preserve">ONE006</t>
  </si>
  <si>
    <t xml:space="preserve">Ручная корректировка Finance (март)</t>
  </si>
  <si>
    <t xml:space="preserve">OTH004</t>
  </si>
  <si>
    <t xml:space="preserve">Работа в выходные/праздники выше бюджета</t>
  </si>
  <si>
    <t xml:space="preserve">HR Operations / Payroll</t>
  </si>
  <si>
    <t xml:space="preserve">Residual / Needs Review</t>
  </si>
  <si>
    <t xml:space="preserve">RES</t>
  </si>
  <si>
    <t xml:space="preserve">Неклассифицированный остаток</t>
  </si>
  <si>
    <t xml:space="preserve">Reward / Finance / HRIS</t>
  </si>
  <si>
    <t xml:space="preserve">Итого подфакторы</t>
  </si>
  <si>
    <t xml:space="preserve">Контроль: Σ подфакторов = Variance YTD (Actual − Budget = +165.0); Σ групп = итогам waterfall</t>
  </si>
  <si>
    <t xml:space="preserve">Приоритет классификации (anti-double-counting): 2 яруса · шаги 0–20</t>
  </si>
  <si>
    <t xml:space="preserve">Шаг</t>
  </si>
  <si>
    <t xml:space="preserve">Ярус</t>
  </si>
  <si>
    <t xml:space="preserve">Что классифицируем</t>
  </si>
  <si>
    <t xml:space="preserve">Правило</t>
  </si>
  <si>
    <t xml:space="preserve">Группа</t>
  </si>
  <si>
    <t xml:space="preserve">Техн.</t>
  </si>
  <si>
    <t xml:space="preserve">DQ / Matching</t>
  </si>
  <si>
    <t xml:space="preserve">Дефекты данных исправляются ДО факторного анализа; целевому пользователю не отображается</t>
  </si>
  <si>
    <t xml:space="preserve">DQ001–DQ010</t>
  </si>
  <si>
    <t xml:space="preserve">Ярус 1</t>
  </si>
  <si>
    <t xml:space="preserve">Переводы между cost centers и юрлицами</t>
  </si>
  <si>
    <t xml:space="preserve">Первым отделяем перемещения затрат от истинных отклонений (reclass); на консолидированном уровне net ≈ 0</t>
  </si>
  <si>
    <t xml:space="preserve">ORG001, ORG002</t>
  </si>
  <si>
    <t xml:space="preserve">Severance (выходные пособия)</t>
  </si>
  <si>
    <t xml:space="preserve">Прямая идентификация из payroll; бюджет = 0, весь факт — отклонение</t>
  </si>
  <si>
    <t xml:space="preserve">Увольнение раньше / позже плана</t>
  </si>
  <si>
    <t xml:space="preserve">Эффект сроков увольнений при бюджетных ставках</t>
  </si>
  <si>
    <t xml:space="preserve">TER001, TER002</t>
  </si>
  <si>
    <t xml:space="preserve">Разовая премия вне бюджета</t>
  </si>
  <si>
    <t xml:space="preserve">По Event Register / прямой идентификации</t>
  </si>
  <si>
    <t xml:space="preserve">(Actual Bonus Base − Budget Bonus Base) × Budget Bonus %</t>
  </si>
  <si>
    <t xml:space="preserve">Отпускные резервы и перерасчеты</t>
  </si>
  <si>
    <t xml:space="preserve">Резерв выше/ниже бюджета; накопление неиспользованных дней; перерасчет прошлых периодов</t>
  </si>
  <si>
    <t xml:space="preserve">VAC001, VAC002, VAC006, VAC010</t>
  </si>
  <si>
    <t xml:space="preserve">Ярус 2</t>
  </si>
  <si>
    <t xml:space="preserve">Зарегистрированные события и политика оплаты</t>
  </si>
  <si>
    <t xml:space="preserve">Индексация, регуляторные изменения — только при наличии события в Event Register, иначе Needs Review</t>
  </si>
  <si>
    <t xml:space="preserve">SAL003, REG001–REG004</t>
  </si>
  <si>
    <t xml:space="preserve">Незапланированные позиции и вакансии вне бюджета</t>
  </si>
  <si>
    <t xml:space="preserve">Вся стоимость позиции, включая оклад выше вилки (anti-double-counting: оклад НЕ идет в F03)</t>
  </si>
  <si>
    <t xml:space="preserve">HC005, HIR004</t>
  </si>
  <si>
    <t xml:space="preserve">Численность и сроки найма</t>
  </si>
  <si>
    <t xml:space="preserve">Отставание/опережение найма, сдвиг внутри года, handover</t>
  </si>
  <si>
    <t xml:space="preserve">HIR001–HIR003, HC008</t>
  </si>
  <si>
    <t xml:space="preserve">Замещение и grade mix</t>
  </si>
  <si>
    <t xml:space="preserve">Backfill дороже/дешевле, закрытие на другую роль/грейд</t>
  </si>
  <si>
    <t xml:space="preserve">HIR005, HIR008, HIR009, MIX001, MIX002</t>
  </si>
  <si>
    <t xml:space="preserve">MSU и charging</t>
  </si>
  <si>
    <t xml:space="preserve">Изменение доли MSU и % распределения при неизменном HC</t>
  </si>
  <si>
    <t xml:space="preserve">HC003/HC004 (MSU), CHG</t>
  </si>
  <si>
    <t xml:space="preserve">Оклады и ставка</t>
  </si>
  <si>
    <t xml:space="preserve">Остаточный rate variance сопоставимой популяции; внецикловые повышения; доплата до МРОТ</t>
  </si>
  <si>
    <t xml:space="preserve">SAL001, SAL002, SAL007, SAL008, SAL010, SAL012</t>
  </si>
  <si>
    <t xml:space="preserve">Премии прочие</t>
  </si>
  <si>
    <t xml:space="preserve">Bonus accrual run-rate, новые схемы, eligibility, гарантии, true-up (фин. часть), sales incentives (ДК)</t>
  </si>
  <si>
    <t xml:space="preserve">BON001–BON003, BON007, BON008, BON010, BON011, INC001–INC005</t>
  </si>
  <si>
    <t xml:space="preserve">Налоги и взносы</t>
  </si>
  <si>
    <t xml:space="preserve">Производный расчет: эффект базы + порог предельной базы + льготные тарифы</t>
  </si>
  <si>
    <t xml:space="preserve">TAX-BASE, TAX005, TAX006</t>
  </si>
  <si>
    <t xml:space="preserve">Средний заработок (отпускные)</t>
  </si>
  <si>
    <t xml:space="preserve">Рост среднего заработка, включая годовой бонус в базе (R006); ошибки остатков — диагностика</t>
  </si>
  <si>
    <t xml:space="preserve">VAC003, VAC004, VAC008</t>
  </si>
  <si>
    <t xml:space="preserve">Выплаты при увольнении прочие</t>
  </si>
  <si>
    <t xml:space="preserve">Компенсация неиспользованного отпуска; restructuring exit cost (при событии)</t>
  </si>
  <si>
    <t xml:space="preserve">TER004, TER007</t>
  </si>
  <si>
    <t xml:space="preserve">ДМС, релокация, жилье — поименно / агрегатно</t>
  </si>
  <si>
    <t xml:space="preserve">BEN001, BEN002, BEN007, BEN008</t>
  </si>
  <si>
    <t xml:space="preserve">Капитализация ФОТ</t>
  </si>
  <si>
    <t xml:space="preserve">Contra-эффект после всех компенсационных факторов; база = оклады + премии + взносы на них, ИСКЛЮЧАЯ отпускные</t>
  </si>
  <si>
    <t xml:space="preserve">CAP001, ORG005</t>
  </si>
  <si>
    <t xml:space="preserve">Прочее и one-off</t>
  </si>
  <si>
    <t xml:space="preserve">Ручные корректировки, исправление ошибок бюджета, реклассы, переработки, sign-on/referral, длительные отсутствия</t>
  </si>
  <si>
    <t xml:space="preserve">ONE004, ONE006, ONE007, OTH004, HIR006, HIR007, ABS003</t>
  </si>
  <si>
    <t xml:space="preserve">Остаток; &gt; tolerance (±0.5%) → Needs Review + обязательный комментарий</t>
  </si>
  <si>
    <t xml:space="preserve">Ярус 1 (шаги 1–6): 11 факторов корпоративного справочника с «Очередность = 1» — ORG001/002, TER001–003, BON009/012, VAC001/002/006/010 — классифицируются первыми; ярус 2 (шаги 7–19) — остальные по anti-double-counting.</t>
  </si>
  <si>
    <t xml:space="preserve">Шаг 0 (DQ / Matching) — технический слой: дефекты исправляются ДО факторного анализа, в пользовательские представления не выводится.</t>
  </si>
  <si>
    <t xml:space="preserve">Пример: сотрудник на незапланированной позиции с окладом выше вилки → primary factor = F02 (шаг 8, ярус 2), оклад НЕ идет в F03 — двойной счет исключен.</t>
  </si>
  <si>
    <t xml:space="preserve">Residual (шаг 20): допуск ±0.5% от Budget YTD (±31.1); текущий residual −4.0 — в пределах допуска, статус Needs Comment назначен по правилу.</t>
  </si>
  <si>
    <t xml:space="preserve">Словарь факторов, правила детекции (R001–R010) и Event Register — на листе 12_Factor_Dictionary.</t>
  </si>
  <si>
    <t xml:space="preserve">Демо-данные · Альбом отчетных форм v2.1 · R-03_Variance_Waterfall · Обновлено: 02.07.2026 06:40</t>
  </si>
  <si>
    <t xml:space="preserve">Уровень: Тактический · Движение численности, вакансий и MSU · Аудитория: HRBP, Recruitment, Head of HR Operations</t>
  </si>
  <si>
    <t xml:space="preserve">Step</t>
  </si>
  <si>
    <t xml:space="preserve">Value</t>
  </si>
  <si>
    <t xml:space="preserve">Opening HC (01.01.2026)</t>
  </si>
  <si>
    <t xml:space="preserve">HRBP perimeter: Все ▾</t>
  </si>
  <si>
    <t xml:space="preserve">Hires</t>
  </si>
  <si>
    <t xml:space="preserve">Leavers</t>
  </si>
  <si>
    <t xml:space="preserve">OPENING HC (01.01.2026), ЕД.</t>
  </si>
  <si>
    <t xml:space="preserve">HIRES H1 2026, ЕД.</t>
  </si>
  <si>
    <t xml:space="preserve">LEAVERS H1 2026, ЕД.</t>
  </si>
  <si>
    <t xml:space="preserve">CLOSING HC (30.06.2026), ЕД.</t>
  </si>
  <si>
    <t xml:space="preserve">PLAN HC (30.06.2026), ЕД.</t>
  </si>
  <si>
    <t xml:space="preserve">Transfers In</t>
  </si>
  <si>
    <t xml:space="preserve">Transfers Out</t>
  </si>
  <si>
    <t xml:space="preserve">HR Tracker</t>
  </si>
  <si>
    <t xml:space="preserve">наймы</t>
  </si>
  <si>
    <t xml:space="preserve">увольнения</t>
  </si>
  <si>
    <t xml:space="preserve">движение H1: +36</t>
  </si>
  <si>
    <t xml:space="preserve">Δ факт к плану: −23</t>
  </si>
  <si>
    <t xml:space="preserve">Closing HC (30.06.2026)</t>
  </si>
  <si>
    <t xml:space="preserve">Plan HC (30.06.2026)</t>
  </si>
  <si>
    <t xml:space="preserve">HC bridge H1 2026, ед. (Opening → Closing)</t>
  </si>
  <si>
    <t xml:space="preserve">Вакансии (demo)</t>
  </si>
  <si>
    <t xml:space="preserve">MSU movement H1 2026</t>
  </si>
  <si>
    <t xml:space="preserve">Показатель</t>
  </si>
  <si>
    <t xml:space="preserve">Значение</t>
  </si>
  <si>
    <t xml:space="preserve">MSU</t>
  </si>
  <si>
    <t xml:space="preserve">Vacancy_New (одобренные)</t>
  </si>
  <si>
    <t xml:space="preserve">Opening MSU (01.01.2026)</t>
  </si>
  <si>
    <t xml:space="preserve">Vacancy_Replacement</t>
  </si>
  <si>
    <t xml:space="preserve">Всего открытых вакансий</t>
  </si>
  <si>
    <t xml:space="preserve">Закрыто наймом H1</t>
  </si>
  <si>
    <t xml:space="preserve">Transfers (net)</t>
  </si>
  <si>
    <t xml:space="preserve">Просрочено vs плановая дата</t>
  </si>
  <si>
    <t xml:space="preserve">MSU / charging change</t>
  </si>
  <si>
    <t xml:space="preserve">Средний срок закрытия, дней</t>
  </si>
  <si>
    <t xml:space="preserve">Closing MSU (30.06.2026)</t>
  </si>
  <si>
    <t xml:space="preserve">Отклонение HC от плана по подфакторам, ед.</t>
  </si>
  <si>
    <t xml:space="preserve">Subfactor</t>
  </si>
  <si>
    <t xml:space="preserve">Δ HC vs Plan</t>
  </si>
  <si>
    <t xml:space="preserve">Delayed hire</t>
  </si>
  <si>
    <t xml:space="preserve">Vacancy not filled</t>
  </si>
  <si>
    <t xml:space="preserve">Recruitment</t>
  </si>
  <si>
    <t xml:space="preserve">Early hire</t>
  </si>
  <si>
    <t xml:space="preserve">Early leaver</t>
  </si>
  <si>
    <t xml:space="preserve">Delayed leaver</t>
  </si>
  <si>
    <t xml:space="preserve">Unplanned leaver</t>
  </si>
  <si>
    <t xml:space="preserve">Maternity / replacement timing</t>
  </si>
  <si>
    <t xml:space="preserve">Итого (факт 988 vs план 1 011)</t>
  </si>
  <si>
    <t xml:space="preserve">Drill-down до сотрудника / вакансии (demo)</t>
  </si>
  <si>
    <t xml:space="preserve">Тип</t>
  </si>
  <si>
    <t xml:space="preserve">Позиция / подразделение</t>
  </si>
  <si>
    <t xml:space="preserve">Плановая дата</t>
  </si>
  <si>
    <t xml:space="preserve">Статус / факт</t>
  </si>
  <si>
    <t xml:space="preserve">VAC-2214</t>
  </si>
  <si>
    <t xml:space="preserve">Вакансия</t>
  </si>
  <si>
    <t xml:space="preserve">Senior Analyst, Credit Business</t>
  </si>
  <si>
    <t xml:space="preserve">GBIB</t>
  </si>
  <si>
    <t xml:space="preserve">01.03.2026</t>
  </si>
  <si>
    <t xml:space="preserve">Open · просрочена</t>
  </si>
  <si>
    <t xml:space="preserve">Delayed hire / Vacancy not filled</t>
  </si>
  <si>
    <t xml:space="preserve">HRBP · Recruitment</t>
  </si>
  <si>
    <t xml:space="preserve">VAC-2301</t>
  </si>
  <si>
    <t xml:space="preserve">Developer, IT</t>
  </si>
  <si>
    <t xml:space="preserve">15.04.2026</t>
  </si>
  <si>
    <t xml:space="preserve">EMP-100287</t>
  </si>
  <si>
    <t xml:space="preserve">Сотрудник</t>
  </si>
  <si>
    <t xml:space="preserve">Associate Director, IT</t>
  </si>
  <si>
    <t xml:space="preserve">01.02.2026</t>
  </si>
  <si>
    <t xml:space="preserve">Hired 15.01.2026 (план 01.03)</t>
  </si>
  <si>
    <t xml:space="preserve">EMP-101512</t>
  </si>
  <si>
    <t xml:space="preserve">Director, Global Markets</t>
  </si>
  <si>
    <t xml:space="preserve">Hired вне плана 02.05</t>
  </si>
  <si>
    <t xml:space="preserve">EMP-100831</t>
  </si>
  <si>
    <t xml:space="preserve">Expert, GTB</t>
  </si>
  <si>
    <t xml:space="preserve">GTBM</t>
  </si>
  <si>
    <t xml:space="preserve">Уволен 30.05 (план 30.09)</t>
  </si>
  <si>
    <t xml:space="preserve">VAC-2255</t>
  </si>
  <si>
    <t xml:space="preserve">Manager, Finance</t>
  </si>
  <si>
    <t xml:space="preserve">01.06.2026</t>
  </si>
  <si>
    <t xml:space="preserve">Closed 28.05</t>
  </si>
  <si>
    <t xml:space="preserve">On-time</t>
  </si>
  <si>
    <t xml:space="preserve">Демо-данные · Альбом отчетных форм v2.1 · R-04_HC_Vacancy_Bridge · Обновлено: 02.07.2026 06:40</t>
  </si>
  <si>
    <t xml:space="preserve">Уровень: Операционный · Детализация ФОТ по бюджетным элементам · Аудитория: Reward, Finance, HR Operations</t>
  </si>
  <si>
    <t xml:space="preserve">Actual по месяцам, млн RUB + YTD / Budget / Variance</t>
  </si>
  <si>
    <t xml:space="preserve">YTD Actual</t>
  </si>
  <si>
    <t xml:space="preserve">Quarterly Bonus Uplift</t>
  </si>
  <si>
    <t xml:space="preserve">Capitalized Compensation</t>
  </si>
  <si>
    <t xml:space="preserve">Social Tax Salary Uplift</t>
  </si>
  <si>
    <t xml:space="preserve">Deferred Discretionary Bonus</t>
  </si>
  <si>
    <t xml:space="preserve">Social Tax Quarterly Bonus</t>
  </si>
  <si>
    <t xml:space="preserve">Social Tax Quarterly Bonus Uplift</t>
  </si>
  <si>
    <t xml:space="preserve">Social Tax Discretionary Bonus</t>
  </si>
  <si>
    <t xml:space="preserve">Social Tax Deferred Discretionary Bonus</t>
  </si>
  <si>
    <t xml:space="preserve">Social Tax Vacation Pay</t>
  </si>
  <si>
    <t xml:space="preserve">Social Tax Other Compensation</t>
  </si>
  <si>
    <t xml:space="preserve">Payments to Board Members</t>
  </si>
  <si>
    <t xml:space="preserve">Итого ФОТ</t>
  </si>
  <si>
    <t xml:space="preserve">Drill-down до сотрудника / назначения (demo), млн RUB</t>
  </si>
  <si>
    <t xml:space="preserve">Person_Id</t>
  </si>
  <si>
    <t xml:space="preserve">Assignment</t>
  </si>
  <si>
    <t xml:space="preserve">Фактор / комментарий</t>
  </si>
  <si>
    <t xml:space="preserve">ASG-2</t>
  </si>
  <si>
    <t xml:space="preserve">Early hire + salary above budget</t>
  </si>
  <si>
    <t xml:space="preserve">ASG-1</t>
  </si>
  <si>
    <t xml:space="preserve">Unplanned hire (bonus base)</t>
  </si>
  <si>
    <t xml:space="preserve">Benefits tariff change</t>
  </si>
  <si>
    <t xml:space="preserve">ASG-3</t>
  </si>
  <si>
    <t xml:space="preserve">Salary increase campaign</t>
  </si>
  <si>
    <t xml:space="preserve">Полный перечень — 19 бюджетных элементов по методологии бюджетной системы, включая Capitalized compensation и Payments to Board Members.</t>
  </si>
  <si>
    <t xml:space="preserve">Демо-данные · Альбом отчетных форм v2.1 · R-05_Compensation_Detail · Обновлено: 02.07.2026 06:40</t>
  </si>
  <si>
    <t xml:space="preserve">Уровень: Тактический · Контроль некомпенсационных расходов · Аудитория: HR Operations, Finance, LoD, Recruitment</t>
  </si>
  <si>
    <t xml:space="preserve">Category</t>
  </si>
  <si>
    <t xml:space="preserve">Recruitment Expenses</t>
  </si>
  <si>
    <t xml:space="preserve">АХР Category: Все ▾</t>
  </si>
  <si>
    <t xml:space="preserve">Owner: Все ▾</t>
  </si>
  <si>
    <t xml:space="preserve">Staff Training / Seminars</t>
  </si>
  <si>
    <t xml:space="preserve">Workshops / Offsites</t>
  </si>
  <si>
    <t xml:space="preserve">BUDGET YTD АХР, МЛН RUB</t>
  </si>
  <si>
    <t xml:space="preserve">ACTUAL YTD АХР, МЛН RUB</t>
  </si>
  <si>
    <t xml:space="preserve">VARIANCE АХР, МЛН RUB</t>
  </si>
  <si>
    <t xml:space="preserve">КАТЕГОРИЙ С ПЕРЕРАСХОДОМ</t>
  </si>
  <si>
    <t xml:space="preserve">Temporary Staff &amp; Contractors</t>
  </si>
  <si>
    <t xml:space="preserve">4 категории АХР</t>
  </si>
  <si>
    <t xml:space="preserve">Finance files + Budget DB</t>
  </si>
  <si>
    <t xml:space="preserve">▲ +28.4 (+11.8%) к Budget YTD</t>
  </si>
  <si>
    <t xml:space="preserve">перерасход — риск-зона</t>
  </si>
  <si>
    <t xml:space="preserve">Budget vs Actual по категориям АХР, млн RUB</t>
  </si>
  <si>
    <t xml:space="preserve">MVP-логика АХР</t>
  </si>
  <si>
    <t xml:space="preserve">• АХР Variance = Actual − Budget (без volume/rate).</t>
  </si>
  <si>
    <t xml:space="preserve">• Стабильных драйверов нет — volume/rate</t>
  </si>
  <si>
    <t xml:space="preserve">  декомпозиция перенесена в Wave 2 (пилот Recruitment).</t>
  </si>
  <si>
    <t xml:space="preserve">• Подфакторы: overspend, underspend, unplanned,</t>
  </si>
  <si>
    <t xml:space="preserve">  planned not spent, timing, one-off,</t>
  </si>
  <si>
    <t xml:space="preserve">  contractors variance, manual Finance adjustment.</t>
  </si>
  <si>
    <t xml:space="preserve">• Detail level: LE / MIR / P&amp;L / Category / Owner —</t>
  </si>
  <si>
    <t xml:space="preserve">  доступно; до сотрудника — не требуется.</t>
  </si>
  <si>
    <t xml:space="preserve">Категории АХР: подфакторы, владельцы, статусы</t>
  </si>
  <si>
    <t xml:space="preserve">АХР Category</t>
  </si>
  <si>
    <t xml:space="preserve">АХР overspend / unplanned АХР</t>
  </si>
  <si>
    <t xml:space="preserve">Recruitment / Finance</t>
  </si>
  <si>
    <t xml:space="preserve">Timing difference / planned not spent</t>
  </si>
  <si>
    <t xml:space="preserve">LoD / Finance</t>
  </si>
  <si>
    <t xml:space="preserve">One-off АХР (kick-off Q2)</t>
  </si>
  <si>
    <t xml:space="preserve">HR Operations / Finance</t>
  </si>
  <si>
    <t xml:space="preserve">Contractors variance</t>
  </si>
  <si>
    <t xml:space="preserve">Итого АХР</t>
  </si>
  <si>
    <t xml:space="preserve">АХР — административно-хозяйственные расходы, связанные с персоналом. Variance и Variance % вычисляются формулами.</t>
  </si>
  <si>
    <t xml:space="preserve">Демо-данные · Альбом отчетных форм v2.1 · R-06_АХР_Dashboard · Обновлено: 02.07.2026 06:40</t>
  </si>
  <si>
    <t xml:space="preserve">Уровень: Операционный · Сверка HR-факта и Finance-факта · Аудитория: Finance, Reward, HRIS, Head of HR Operations</t>
  </si>
  <si>
    <t xml:space="preserve">Type</t>
  </si>
  <si>
    <t xml:space="preserve">Amount</t>
  </si>
  <si>
    <t xml:space="preserve">Timing difference</t>
  </si>
  <si>
    <t xml:space="preserve">Difference Type: Все ▾</t>
  </si>
  <si>
    <t xml:space="preserve">Status: Все ▾</t>
  </si>
  <si>
    <t xml:space="preserve">Accrual / reserve difference</t>
  </si>
  <si>
    <t xml:space="preserve">Finance manual adjustment</t>
  </si>
  <si>
    <t xml:space="preserve">HR ACTUAL YTD (ФОТ), МЛН RUB</t>
  </si>
  <si>
    <t xml:space="preserve">FINANCE ACTUAL YTD (ФОТ), МЛН RUB</t>
  </si>
  <si>
    <t xml:space="preserve">DIFFERENCE (FIN − HR), МЛН RUB</t>
  </si>
  <si>
    <t xml:space="preserve">OPEN ISSUES</t>
  </si>
  <si>
    <t xml:space="preserve">CONTROLLED EXCEPTIONS</t>
  </si>
  <si>
    <t xml:space="preserve">Mapping difference</t>
  </si>
  <si>
    <t xml:space="preserve">Granularity difference</t>
  </si>
  <si>
    <t xml:space="preserve">HRPT / factor engine</t>
  </si>
  <si>
    <t xml:space="preserve">Finance files (МСФО)</t>
  </si>
  <si>
    <t xml:space="preserve">▲ 0.42% · разбор по типам ниже</t>
  </si>
  <si>
    <t xml:space="preserve">SLA назначен владельцам</t>
  </si>
  <si>
    <t xml:space="preserve">не блокируют closing</t>
  </si>
  <si>
    <t xml:space="preserve">Capitalization difference</t>
  </si>
  <si>
    <t xml:space="preserve">Missing HR object</t>
  </si>
  <si>
    <t xml:space="preserve">Матрица сверки, млн RUB</t>
  </si>
  <si>
    <t xml:space="preserve">Расхождения по типам, млн RUB</t>
  </si>
  <si>
    <t xml:space="preserve">Unclassified residual</t>
  </si>
  <si>
    <t xml:space="preserve">Block</t>
  </si>
  <si>
    <t xml:space="preserve">HR Actual YTD</t>
  </si>
  <si>
    <t xml:space="preserve">Finance Actual YTD</t>
  </si>
  <si>
    <t xml:space="preserve">Difference</t>
  </si>
  <si>
    <t xml:space="preserve">Difference %</t>
  </si>
  <si>
    <t xml:space="preserve">Итого затраты на персонал</t>
  </si>
  <si>
    <t xml:space="preserve">Типы расхождений: описание, владельцы, статусы</t>
  </si>
  <si>
    <t xml:space="preserve">Difference Type</t>
  </si>
  <si>
    <t xml:space="preserve">Amount, млн RUB</t>
  </si>
  <si>
    <t xml:space="preserve">Описание</t>
  </si>
  <si>
    <t xml:space="preserve">Status</t>
  </si>
  <si>
    <t xml:space="preserve">Квартальный бонус: начисление в HR в месяц выплаты, в Finance — равномерно</t>
  </si>
  <si>
    <t xml:space="preserve">Resolved</t>
  </si>
  <si>
    <t xml:space="preserve">Vacation reserve: методика 31/247/12 vs фактическое начисление</t>
  </si>
  <si>
    <t xml:space="preserve">Controlled exception</t>
  </si>
  <si>
    <t xml:space="preserve">Ручная корректировка МСФО по Банку (март), подтверждена</t>
  </si>
  <si>
    <t xml:space="preserve">3 новых MIR-code не замаплены на P&amp;L (июльская реорганизация)</t>
  </si>
  <si>
    <t xml:space="preserve">HRIS</t>
  </si>
  <si>
    <t xml:space="preserve">Open</t>
  </si>
  <si>
    <t xml:space="preserve">Benefits: HR поименно, Finance агрегатно по LE</t>
  </si>
  <si>
    <t xml:space="preserve">Capitalized compensation: расчетная оценка HR vs проводки Finance</t>
  </si>
  <si>
    <t xml:space="preserve">2 сотрудника Банка отсутствуют в HRPT (внешние совместители)</t>
  </si>
  <si>
    <t xml:space="preserve">Требует разбора до закрытия периода</t>
  </si>
  <si>
    <t xml:space="preserve">Reward / Finance</t>
  </si>
  <si>
    <t xml:space="preserve">Controlled exceptions (ожидаемые расхождения)</t>
  </si>
  <si>
    <t xml:space="preserve">Closing status</t>
  </si>
  <si>
    <t xml:space="preserve">• discretionary bonus · deferred bonus</t>
  </si>
  <si>
    <t xml:space="preserve">Unclassified residual −2.0 млн (&lt; 0.05% — допустимо).</t>
  </si>
  <si>
    <t xml:space="preserve">• benefits (granularity: HR поименно / Finance агрегатно)</t>
  </si>
  <si>
    <t xml:space="preserve">4 open issues со SLA — не блокируют закрытие.</t>
  </si>
  <si>
    <t xml:space="preserve">• other compensation</t>
  </si>
  <si>
    <t xml:space="preserve">Controlled exceptions подтверждены Finance.</t>
  </si>
  <si>
    <t xml:space="preserve">• capitalized compensation</t>
  </si>
  <si>
    <t xml:space="preserve">Период может быть закрыт с предупреждениями.</t>
  </si>
  <si>
    <t xml:space="preserve">• recruitment expenses · training</t>
  </si>
  <si>
    <t xml:space="preserve">• workshops / offsites</t>
  </si>
  <si>
    <t xml:space="preserve">Демо-данные · Альбом отчетных форм v2.1 · R-07_Reconciliation · Обновлено: 02.07.2026 06:40</t>
  </si>
  <si>
    <t xml:space="preserve">Уровень: Операционный · Контроль качества данных (вкл. технический DQ-фактор) и готовности к закрытию · Аудитория: HRIS, HR Operations, Reward, Finance</t>
  </si>
  <si>
    <t xml:space="preserve">Source System: Все ▾</t>
  </si>
  <si>
    <t xml:space="preserve">Error Type: Все ▾</t>
  </si>
  <si>
    <t xml:space="preserve">READY TO CLOSE</t>
  </si>
  <si>
    <t xml:space="preserve">READY WITH WARNINGS</t>
  </si>
  <si>
    <t xml:space="preserve">BLOCKED</t>
  </si>
  <si>
    <t xml:space="preserve">UNDER INVESTIGATION</t>
  </si>
  <si>
    <t xml:space="preserve">●</t>
  </si>
  <si>
    <t xml:space="preserve">не активен</t>
  </si>
  <si>
    <t xml:space="preserve">текущий статус</t>
  </si>
  <si>
    <t xml:space="preserve">critical = 0 ∧ все проверки OK</t>
  </si>
  <si>
    <t xml:space="preserve">critical errors &gt; 0</t>
  </si>
  <si>
    <t xml:space="preserve">разбор расхождений</t>
  </si>
  <si>
    <t xml:space="preserve">CRITICAL ERRORS</t>
  </si>
  <si>
    <t xml:space="preserve">WARNINGS</t>
  </si>
  <si>
    <t xml:space="preserve">ПРОСРОЧЕНО SLA (&gt;5 ДНЕЙ)</t>
  </si>
  <si>
    <t xml:space="preserve">Правило закрытия периода</t>
  </si>
  <si>
    <t xml:space="preserve">critical = 0  ∧  recon residual &lt; tolerance</t>
  </si>
  <si>
    <t xml:space="preserve">допуск: 0 — выполнено</t>
  </si>
  <si>
    <t xml:space="preserve">SLA по каждому warning</t>
  </si>
  <si>
    <t xml:space="preserve">charging history · MIR mapping</t>
  </si>
  <si>
    <t xml:space="preserve">∧  покрытие обязательных комментариев ≥ 90%</t>
  </si>
  <si>
    <t xml:space="preserve">Проверки качества данных (13)</t>
  </si>
  <si>
    <t xml:space="preserve">Проверка</t>
  </si>
  <si>
    <t xml:space="preserve">Статус</t>
  </si>
  <si>
    <t xml:space="preserve">Обновлено</t>
  </si>
  <si>
    <t xml:space="preserve">Детали</t>
  </si>
  <si>
    <t xml:space="preserve">Light</t>
  </si>
  <si>
    <t xml:space="preserve">SLA / aging</t>
  </si>
  <si>
    <t xml:space="preserve">Загрузка HRPT (1С/ETL)</t>
  </si>
  <si>
    <t xml:space="preserve">OK</t>
  </si>
  <si>
    <t xml:space="preserve">02.07.2026 06:15</t>
  </si>
  <si>
    <t xml:space="preserve">48 312 записей, расхождений 0</t>
  </si>
  <si>
    <t xml:space="preserve">Синхронизация HR Tracker</t>
  </si>
  <si>
    <t xml:space="preserve">02.07.2026 06:40</t>
  </si>
  <si>
    <t xml:space="preserve">HC/вакансии/движения за 01.07 учтены</t>
  </si>
  <si>
    <t xml:space="preserve">Файлы Finance (МСФО)</t>
  </si>
  <si>
    <t xml:space="preserve">Partial</t>
  </si>
  <si>
    <t xml:space="preserve">02.07.2026 09:05</t>
  </si>
  <si>
    <t xml:space="preserve">Файл Банка загружен; файл Subs ожидается 03.07</t>
  </si>
  <si>
    <t xml:space="preserve">1 день</t>
  </si>
  <si>
    <t xml:space="preserve">Незамапленные MIR-code</t>
  </si>
  <si>
    <t xml:space="preserve">Issue</t>
  </si>
  <si>
    <t xml:space="preserve">3 новых кода июльской реорганизации</t>
  </si>
  <si>
    <t xml:space="preserve">2 дня</t>
  </si>
  <si>
    <t xml:space="preserve">Незамапленные P&amp;L accounts</t>
  </si>
  <si>
    <t xml:space="preserve">0</t>
  </si>
  <si>
    <t xml:space="preserve">Ошибки Legal Entity</t>
  </si>
  <si>
    <t xml:space="preserve">Ошибки salary charging (Σ≠100%)</t>
  </si>
  <si>
    <t xml:space="preserve">2 сотрудника, auto-fix ожидает подтверждения</t>
  </si>
  <si>
    <t xml:space="preserve">3 дня</t>
  </si>
  <si>
    <t xml:space="preserve">Ошибки bonus charging</t>
  </si>
  <si>
    <t xml:space="preserve">Missing Employee ID</t>
  </si>
  <si>
    <t xml:space="preserve">Missing Assignment ID</t>
  </si>
  <si>
    <t xml:space="preserve">1 назначение (перевод 30.06)</t>
  </si>
  <si>
    <t xml:space="preserve">Missing Vacancy ID</t>
  </si>
  <si>
    <t xml:space="preserve">Дубли записей</t>
  </si>
  <si>
    <t xml:space="preserve">Broken charging history</t>
  </si>
  <si>
    <t xml:space="preserve">4 сотрудника (разрывы истории charging)</t>
  </si>
  <si>
    <t xml:space="preserve">6 дней</t>
  </si>
  <si>
    <t xml:space="preserve">DQ Status показывается пользователю ДО управленческих решений (дублируется на R-01).</t>
  </si>
  <si>
    <t xml:space="preserve">Технический фактор F99 Data Quality / Matching контролируется на этом листе (правила DQ001–DQ010, вкл. R010 unmapped pay elements); в пользовательские представления не выводится.</t>
  </si>
  <si>
    <t xml:space="preserve">Демо-данные · Альбом отчетных форм v2.1 · R-08_Data_Quality · Обновлено: 02.07.2026 06:40</t>
  </si>
  <si>
    <t xml:space="preserve">Уровень: Операционный · Workflow комментариев и действий · Аудитория: HRBP, Reward, Finance, HR Operations</t>
  </si>
  <si>
    <t xml:space="preserve">Count</t>
  </si>
  <si>
    <t xml:space="preserve">Только обязательные: Да ▾</t>
  </si>
  <si>
    <t xml:space="preserve">ВСЕГО ОБЯЗАТЕЛЬНЫХ</t>
  </si>
  <si>
    <t xml:space="preserve">COMMENTED</t>
  </si>
  <si>
    <t xml:space="preserve">UNDER REVIEW</t>
  </si>
  <si>
    <t xml:space="preserve">NEEDS COMMENT</t>
  </si>
  <si>
    <t xml:space="preserve">ESCALATED</t>
  </si>
  <si>
    <t xml:space="preserve">ФОТ/АХР &gt;5% · HC/MSU любые</t>
  </si>
  <si>
    <t xml:space="preserve">57% обязательных</t>
  </si>
  <si>
    <t xml:space="preserve">на проверке у владельца</t>
  </si>
  <si>
    <t xml:space="preserve">требуется комментарий</t>
  </si>
  <si>
    <t xml:space="preserve">&gt; 5 раб. дней без реакции</t>
  </si>
  <si>
    <t xml:space="preserve">Обязательные комментарии по статусам</t>
  </si>
  <si>
    <t xml:space="preserve">Правила обязательности и маршрутизация</t>
  </si>
  <si>
    <t xml:space="preserve">• ФОТ и АХР: комментарий при |отклонении| &gt; 5%.</t>
  </si>
  <si>
    <t xml:space="preserve">• HC и MSU: комментарий при любом отклонении.</t>
  </si>
  <si>
    <t xml:space="preserve">• Эскалация: Needs Comment &gt; 5 раб. дней → Escalated.</t>
  </si>
  <si>
    <t xml:space="preserve">Маршрутизация владельцев:</t>
  </si>
  <si>
    <t xml:space="preserve">• HC / вакансии / наймы / увольнения → HRBP</t>
  </si>
  <si>
    <t xml:space="preserve">• salary / uplift / bonus / benefits → Reward</t>
  </si>
  <si>
    <t xml:space="preserve">• MIR / charging / справочники → Reward + HRIS</t>
  </si>
  <si>
    <t xml:space="preserve">• P&amp;L / accounts / posting → Finance</t>
  </si>
  <si>
    <t xml:space="preserve">• технические загрузки → HRIS</t>
  </si>
  <si>
    <t xml:space="preserve">• recruitment АХР → Recruitment / Finance</t>
  </si>
  <si>
    <t xml:space="preserve">• training АХР → LoD / Finance</t>
  </si>
  <si>
    <t xml:space="preserve">• executive summary → Head of HR Operations / Reward</t>
  </si>
  <si>
    <t xml:space="preserve">Реестр комментариев и действий (demo, 8 строк)</t>
  </si>
  <si>
    <t xml:space="preserve">Отклонение</t>
  </si>
  <si>
    <t xml:space="preserve">Δ сумма</t>
  </si>
  <si>
    <t xml:space="preserve">Δ %</t>
  </si>
  <si>
    <t xml:space="preserve">Обязателен</t>
  </si>
  <si>
    <t xml:space="preserve">Due date</t>
  </si>
  <si>
    <t xml:space="preserve">Aging, дней</t>
  </si>
  <si>
    <t xml:space="preserve">Escalation</t>
  </si>
  <si>
    <t xml:space="preserve">VAR-2026-0481</t>
  </si>
  <si>
    <t xml:space="preserve">ФОТ · xxx InvMan · Salary Uplift · Июн</t>
  </si>
  <si>
    <t xml:space="preserve">Да (&gt;5%)</t>
  </si>
  <si>
    <t xml:space="preserve">05.07.2026</t>
  </si>
  <si>
    <t xml:space="preserve">VAR-2026-0479</t>
  </si>
  <si>
    <t xml:space="preserve">HC · Global Markets · Vacancy not filled</t>
  </si>
  <si>
    <t xml:space="preserve">Да (HC)</t>
  </si>
  <si>
    <t xml:space="preserve">03.07.2026</t>
  </si>
  <si>
    <t xml:space="preserve">VAR-2026-0475</t>
  </si>
  <si>
    <t xml:space="preserve">АХР · Recruitment Expenses · YTD</t>
  </si>
  <si>
    <t xml:space="preserve">04.07.2026</t>
  </si>
  <si>
    <t xml:space="preserve">VAR-2026-0468</t>
  </si>
  <si>
    <t xml:space="preserve">ФОТ · xxx Bank · Other Compensation</t>
  </si>
  <si>
    <t xml:space="preserve">VAR-2026-0462</t>
  </si>
  <si>
    <t xml:space="preserve">MSU · xxx Capital · GTB</t>
  </si>
  <si>
    <t xml:space="preserve">Да (MSU)</t>
  </si>
  <si>
    <t xml:space="preserve">06.07.2026</t>
  </si>
  <si>
    <t xml:space="preserve">VAR-2026-0455</t>
  </si>
  <si>
    <t xml:space="preserve">ФОТ · Subs · Vacation Pay Reserve</t>
  </si>
  <si>
    <t xml:space="preserve">VAR-2026-0451</t>
  </si>
  <si>
    <t xml:space="preserve">HC · IT · Unplanned hire</t>
  </si>
  <si>
    <t xml:space="preserve">02.07.2026</t>
  </si>
  <si>
    <t xml:space="preserve">VAR-2026-0443</t>
  </si>
  <si>
    <t xml:space="preserve">Recon · Mapping difference (MIR)</t>
  </si>
  <si>
    <t xml:space="preserve">01.07.2026</t>
  </si>
  <si>
    <t xml:space="preserve">Демо-данные · Альбом отчетных форм v2.1 · R-09_Comments_Actions · Обновлено: 02.07.2026 06:40</t>
  </si>
  <si>
    <t xml:space="preserve">11 · Словарь метрик</t>
  </si>
  <si>
    <t xml:space="preserve">38 метрик бюджетной системы (вкл. факторные эффекты v2): определения, формулы, источники, единицы · использование в формах R-01…R-09</t>
  </si>
  <si>
    <t xml:space="preserve">Metric</t>
  </si>
  <si>
    <t xml:space="preserve">Определение</t>
  </si>
  <si>
    <t xml:space="preserve">Formula</t>
  </si>
  <si>
    <t xml:space="preserve">Source</t>
  </si>
  <si>
    <t xml:space="preserve">Unit</t>
  </si>
  <si>
    <t xml:space="preserve">Используется в</t>
  </si>
  <si>
    <t xml:space="preserve">Бюджет накопительно с начала года</t>
  </si>
  <si>
    <t xml:space="preserve">Σ Budget по месяцам Jan..N</t>
  </si>
  <si>
    <t xml:space="preserve">Budget DB (MG Compensation)</t>
  </si>
  <si>
    <t xml:space="preserve">млн RUB</t>
  </si>
  <si>
    <t xml:space="preserve">Все формы</t>
  </si>
  <si>
    <t xml:space="preserve">Actual YTD (HR)</t>
  </si>
  <si>
    <t xml:space="preserve">HR-факт накопительно</t>
  </si>
  <si>
    <t xml:space="preserve">Σ HR Actual Jan..N</t>
  </si>
  <si>
    <t xml:space="preserve">HRPT / 1С через ETL</t>
  </si>
  <si>
    <t xml:space="preserve">Финансовый факт накопительно</t>
  </si>
  <si>
    <t xml:space="preserve">Σ Finance Actual Jan..N</t>
  </si>
  <si>
    <t xml:space="preserve">R-01, R-07</t>
  </si>
  <si>
    <t xml:space="preserve">Forecast FY</t>
  </si>
  <si>
    <t xml:space="preserve">Прогноз годового исполнения</t>
  </si>
  <si>
    <t xml:space="preserve">Actual YTD + Σ Forecast(N+1..Dec)</t>
  </si>
  <si>
    <t xml:space="preserve">Budget DB + HRPT</t>
  </si>
  <si>
    <t xml:space="preserve">R-01, R-02</t>
  </si>
  <si>
    <t xml:space="preserve">Variance Amount</t>
  </si>
  <si>
    <t xml:space="preserve">Абсолютное отклонение</t>
  </si>
  <si>
    <t xml:space="preserve">Actual − Budget (по сценарию сравнения)</t>
  </si>
  <si>
    <t xml:space="preserve">Расчет</t>
  </si>
  <si>
    <t xml:space="preserve">Относительное отклонение</t>
  </si>
  <si>
    <t xml:space="preserve">(Actual − Budget) / Budget</t>
  </si>
  <si>
    <t xml:space="preserve">%</t>
  </si>
  <si>
    <t xml:space="preserve">FY Outlook Variance</t>
  </si>
  <si>
    <t xml:space="preserve">Отклонение прогноза года от бюджета</t>
  </si>
  <si>
    <t xml:space="preserve">Forecast FY − Budget FY</t>
  </si>
  <si>
    <t xml:space="preserve">HC Plan / Actual</t>
  </si>
  <si>
    <t xml:space="preserve">Плановая и фактическая численность на дату</t>
  </si>
  <si>
    <t xml:space="preserve">HC = 1 для основного места работы (кроме декретниц с замещающим); список исключений</t>
  </si>
  <si>
    <t xml:space="preserve">ед.</t>
  </si>
  <si>
    <t xml:space="preserve">R-01, R-04</t>
  </si>
  <si>
    <t xml:space="preserve">MSU Plan / Actual</t>
  </si>
  <si>
    <t xml:space="preserve">Доля оклада назначения к совокупному окладу сотрудника</t>
  </si>
  <si>
    <t xml:space="preserve">MSU = оклад назначения / совокупный оклад по всем LE; 0 при неоплачиваемом отпуске</t>
  </si>
  <si>
    <t xml:space="preserve">HR Tracker / HRPT</t>
  </si>
  <si>
    <t xml:space="preserve">доля</t>
  </si>
  <si>
    <t xml:space="preserve">Active Share</t>
  </si>
  <si>
    <t xml:space="preserve">Доля активного времени сотрудника в месяце</t>
  </si>
  <si>
    <t xml:space="preserve">Дни активности / календарные дни месяца</t>
  </si>
  <si>
    <t xml:space="preserve">HRPT</t>
  </si>
  <si>
    <t xml:space="preserve">Factor engine</t>
  </si>
  <si>
    <t xml:space="preserve">Charging % (Salary/Bonus)</t>
  </si>
  <si>
    <t xml:space="preserve">Процент распределения оклада/бонуса по юрлицам</t>
  </si>
  <si>
    <t xml:space="preserve">Сумма charging по сотруднику = 100%</t>
  </si>
  <si>
    <t xml:space="preserve">Budget DB (charging history)</t>
  </si>
  <si>
    <t xml:space="preserve">R-02, factor engine</t>
  </si>
  <si>
    <t xml:space="preserve">Population / Timing Effect</t>
  </si>
  <si>
    <t xml:space="preserve">Эффект численности и сроков</t>
  </si>
  <si>
    <t xml:space="preserve">(Actual Active Share − Budget Active Share) × Budget MSU × Budget Charging % × Budget Rate</t>
  </si>
  <si>
    <t xml:space="preserve">Allocation / MSU / Charging Effect</t>
  </si>
  <si>
    <t xml:space="preserve">Эффект распределения</t>
  </si>
  <si>
    <t xml:space="preserve">Actual Active Share × Budget Rate × (Actual MSU × Actual Charging % − Budget MSU × Budget Charging %)</t>
  </si>
  <si>
    <t xml:space="preserve">Salary Rate Effect</t>
  </si>
  <si>
    <t xml:space="preserve">Эффект ставки оклада</t>
  </si>
  <si>
    <t xml:space="preserve">Actual Active Share × Actual MSU × Actual Charging % × (Actual Rate − Budget Rate)</t>
  </si>
  <si>
    <t xml:space="preserve">Budget Quarterly Bonus</t>
  </si>
  <si>
    <t xml:space="preserve">Плановый квартальный бонус</t>
  </si>
  <si>
    <t xml:space="preserve">Budget Salary Base × Budget Bonus % (IT: 25% от оклада за квартал)</t>
  </si>
  <si>
    <t xml:space="preserve">Budget DB</t>
  </si>
  <si>
    <t xml:space="preserve">Bonus Base Effect</t>
  </si>
  <si>
    <t xml:space="preserve">Эффект базы бонуса</t>
  </si>
  <si>
    <t xml:space="preserve">Bonus Rate Effect</t>
  </si>
  <si>
    <t xml:space="preserve">Эффект ставки бонуса</t>
  </si>
  <si>
    <t xml:space="preserve">Actual Bonus Base × (Actual Bonus % − Budget Bonus %)</t>
  </si>
  <si>
    <t xml:space="preserve">Social Security Base Effect</t>
  </si>
  <si>
    <t xml:space="preserve">Эффект базы взносов</t>
  </si>
  <si>
    <t xml:space="preserve">(Actual Taxable Base − Budget Taxable Base) × Budget Effective Rate</t>
  </si>
  <si>
    <t xml:space="preserve">Social Security Rate/Threshold Effect</t>
  </si>
  <si>
    <t xml:space="preserve">Эффект ставки/порога взносов</t>
  </si>
  <si>
    <t xml:space="preserve">Actual Taxable Base × (Actual Effective Rate − Budget Effective Rate)</t>
  </si>
  <si>
    <t xml:space="preserve">Factor engine (поименно с порогами)</t>
  </si>
  <si>
    <t xml:space="preserve">Vacation Pay Reserve</t>
  </si>
  <si>
    <t xml:space="preserve">Резерв на отпуска от годового бонуса</t>
  </si>
  <si>
    <t xml:space="preserve">Факт бонуса за год × 31/247/12 (капитальные LE)</t>
  </si>
  <si>
    <t xml:space="preserve">Finance methodology</t>
  </si>
  <si>
    <t xml:space="preserve">Отложенное вознаграждение текущего года</t>
  </si>
  <si>
    <t xml:space="preserve">40% × Discretionary Bonus (список риск-тейкеров НРБ)</t>
  </si>
  <si>
    <t xml:space="preserve">Benefits Variance (employee level)</t>
  </si>
  <si>
    <t xml:space="preserve">Отклонение benefits поименно</t>
  </si>
  <si>
    <t xml:space="preserve">Actual Benefits − Budget Benefits по сотруднику</t>
  </si>
  <si>
    <t xml:space="preserve">HRPT / страхование</t>
  </si>
  <si>
    <t xml:space="preserve">Benefits Variance (aggregated)</t>
  </si>
  <si>
    <t xml:space="preserve">Отклонение benefits агрегатно</t>
  </si>
  <si>
    <t xml:space="preserve">Actual(LE/MIR/Month) − Budget(LE/MIR/Month)</t>
  </si>
  <si>
    <t xml:space="preserve">Finance files</t>
  </si>
  <si>
    <t xml:space="preserve">АХР Variance</t>
  </si>
  <si>
    <t xml:space="preserve">Отклонение АХР (MVP)</t>
  </si>
  <si>
    <t xml:space="preserve">Actual АХР − Budget АХР</t>
  </si>
  <si>
    <t xml:space="preserve">Нераспределенный остаток</t>
  </si>
  <si>
    <t xml:space="preserve">Total Variance − Σ Classified Factor Effects</t>
  </si>
  <si>
    <t xml:space="preserve">Reconciliation Difference</t>
  </si>
  <si>
    <t xml:space="preserve">Расхождение HR/Finance</t>
  </si>
  <si>
    <t xml:space="preserve">Finance Actual − HR Actual</t>
  </si>
  <si>
    <t xml:space="preserve">Recon service</t>
  </si>
  <si>
    <t xml:space="preserve">Reconciliation Difference %</t>
  </si>
  <si>
    <t xml:space="preserve">Относительное расхождение</t>
  </si>
  <si>
    <t xml:space="preserve">(Finance − HR) / HR Actual</t>
  </si>
  <si>
    <t xml:space="preserve">Comment Coverage</t>
  </si>
  <si>
    <t xml:space="preserve">Покрытие обязательных комментариев</t>
  </si>
  <si>
    <t xml:space="preserve">Commented+Confirmed / все обязательные отклонения</t>
  </si>
  <si>
    <t xml:space="preserve">Comment store</t>
  </si>
  <si>
    <t xml:space="preserve">R-01, R-09</t>
  </si>
  <si>
    <t xml:space="preserve">Comment Required Flag</t>
  </si>
  <si>
    <t xml:space="preserve">Признак обязательности комментария</t>
  </si>
  <si>
    <t xml:space="preserve">ФОТ/АХР: |Variance %| &gt; 5%; HC/MSU: любое отклонение</t>
  </si>
  <si>
    <t xml:space="preserve">Variance service</t>
  </si>
  <si>
    <t xml:space="preserve">flag</t>
  </si>
  <si>
    <t xml:space="preserve">R-02, R-09</t>
  </si>
  <si>
    <t xml:space="preserve">DQ Critical Errors</t>
  </si>
  <si>
    <t xml:space="preserve">Количество критических ошибок данных</t>
  </si>
  <si>
    <t xml:space="preserve">Σ проверок со статусом Critical</t>
  </si>
  <si>
    <t xml:space="preserve">DQ rules engine</t>
  </si>
  <si>
    <t xml:space="preserve">шт.</t>
  </si>
  <si>
    <t xml:space="preserve">Closing Readiness</t>
  </si>
  <si>
    <t xml:space="preserve">Готовность к закрытию периода</t>
  </si>
  <si>
    <t xml:space="preserve">Ready to Close / Ready with Warnings / Blocked / Under Investigation (от critical errors, recon, comments)</t>
  </si>
  <si>
    <t xml:space="preserve">DQ + Recon + Comments</t>
  </si>
  <si>
    <t xml:space="preserve">status</t>
  </si>
  <si>
    <t xml:space="preserve">R-01, R-08</t>
  </si>
  <si>
    <t xml:space="preserve">Escalation Aging</t>
  </si>
  <si>
    <t xml:space="preserve">Возраст комментария без реакции</t>
  </si>
  <si>
    <t xml:space="preserve">Рабочие дни со статуса Needs Comment</t>
  </si>
  <si>
    <t xml:space="preserve">дни</t>
  </si>
  <si>
    <t xml:space="preserve">Severance Effect</t>
  </si>
  <si>
    <t xml:space="preserve">Эффект выходных пособий</t>
  </si>
  <si>
    <t xml:space="preserve">Actual Severance − Budget (бюджет = 0)</t>
  </si>
  <si>
    <t xml:space="preserve">Payroll (pay element)</t>
  </si>
  <si>
    <t xml:space="preserve">R-03, фактор F08</t>
  </si>
  <si>
    <t xml:space="preserve">Capitalization Effect</t>
  </si>
  <si>
    <t xml:space="preserve">Эффект капитализации ФОТ (contra)</t>
  </si>
  <si>
    <t xml:space="preserve">−[Actual Cap Rate × Actual база (оклады + премии + начисленные на них взносы, excl. Vacation Pay) − Budget Cap Rate × Budget база]</t>
  </si>
  <si>
    <t xml:space="preserve">Budget DB + проектный учет</t>
  </si>
  <si>
    <t xml:space="preserve">R-03, фактор F11</t>
  </si>
  <si>
    <t xml:space="preserve">Social Security Threshold Effect</t>
  </si>
  <si>
    <t xml:space="preserve">Эффект достижения предельной базы взносов</t>
  </si>
  <si>
    <t xml:space="preserve">Σ по сотрудникам [Взносы(факт. шкала) − Взносы(бюдж. шкала)] при одинаковой базе</t>
  </si>
  <si>
    <t xml:space="preserve">R-03, фактор F06</t>
  </si>
  <si>
    <t xml:space="preserve">Average Earnings Effect</t>
  </si>
  <si>
    <t xml:space="preserve">Эффект роста среднего заработка на отпускные/резерв</t>
  </si>
  <si>
    <t xml:space="preserve">Дни обязательства × (Actual среднедневной заработок − Budget среднедневной заработок); подфактор: годовой бонус в базе (R006)</t>
  </si>
  <si>
    <t xml:space="preserve">HRPT + Leave system</t>
  </si>
  <si>
    <t xml:space="preserve">R-03, фактор F07</t>
  </si>
  <si>
    <t xml:space="preserve">Timing Effect (HC)</t>
  </si>
  <si>
    <t xml:space="preserve">R-03, фактор F01</t>
  </si>
  <si>
    <t xml:space="preserve">Rate Effect (Salary)</t>
  </si>
  <si>
    <t xml:space="preserve">R-03, фактор F03</t>
  </si>
  <si>
    <t xml:space="preserve">Variance Amount = Actual − Budget; Variance % = Variance / Budget × 100 — на формах вычисляются формулами Excel (см. листы R-02, R-05, R-06, R-07).</t>
  </si>
  <si>
    <t xml:space="preserve">Единицы: деньги — млн RUB (1 знак); HC — ед.; MSU — доля (1 знак); проценты — в %-пунктах (1 знак).</t>
  </si>
  <si>
    <t xml:space="preserve">Active Share, Charging %, MSU — расчетные драйверы factor engine; HC и MSU — диагностические показатели, не отдельные факторы.</t>
  </si>
  <si>
    <t xml:space="preserve">Метрики v2 (Severance / Capitalization / Threshold / Average Earnings / Timing / Rate Effects) — факторы F01…F12, см. 12_Factor_Dictionary.</t>
  </si>
  <si>
    <t xml:space="preserve">Демо-данные · Альбом отчетных форм v2.1 · 11_Metric_Dictionary · Обновлено: 02.07.2026 06:40</t>
  </si>
  <si>
    <t xml:space="preserve">12 · Словарь факторов и подфакторов v3</t>
  </si>
  <si>
    <t xml:space="preserve">12 групп факторов (F01…F12) + технический слой F99 · приоритет классификации: 2 яруса (шаги 0–20) · правила детекции R001–R010 · Event Register (demo)</t>
  </si>
  <si>
    <t xml:space="preserve">Группы факторов v3 (12 + F99): логика расчета, источники, владельцы, автоматизация</t>
  </si>
  <si>
    <t xml:space="preserve">FactorIDs (справочник)</t>
  </si>
  <si>
    <t xml:space="preserve">Что означает</t>
  </si>
  <si>
    <t xml:space="preserve">Когда возникает</t>
  </si>
  <si>
    <t xml:space="preserve">Формула / логика расчета</t>
  </si>
  <si>
    <t xml:space="preserve">Источник данных</t>
  </si>
  <si>
    <t xml:space="preserve">Владелец объяснения</t>
  </si>
  <si>
    <t xml:space="preserve">Риск двойного счета / примечание</t>
  </si>
  <si>
    <t xml:space="preserve">Волна</t>
  </si>
  <si>
    <t xml:space="preserve">Численность и сроки найма/ухода</t>
  </si>
  <si>
    <t xml:space="preserve">HIR001, HIR002, HIR003, TER001, TER002, HC008, HC001/HC002 (диагностика)</t>
  </si>
  <si>
    <t xml:space="preserve">Эффект отличия фактической численности и сроков выхода/ухода людей от бюджетного плана при бюджетных ставках оплаты. Отвечает на вопрос: «мы потратили меньше/больше, потому что людей было меньше/больше или они пришли/ушли не тогда?»</t>
  </si>
  <si>
    <t xml:space="preserve">Найм позже/раньше плановой даты; сдвиг найма внутри года; увольнение раньше/позже плана; двойное замещение на handover</t>
  </si>
  <si>
    <t xml:space="preserve">Timing Effect = (Actual Active Share − Budget Active Share) × Budget MSU × Budget Charging % × Budget Rate</t>
  </si>
  <si>
    <t xml:space="preserve">HR Tracker + HRPT</t>
  </si>
  <si>
    <t xml:space="preserve">A4–A5</t>
  </si>
  <si>
    <t xml:space="preserve">Средний: пересекается с F02 (незапланированные позиции выделяются раньше)</t>
  </si>
  <si>
    <t xml:space="preserve">Позиции, вакансии и замещение</t>
  </si>
  <si>
    <t xml:space="preserve">HC005, HC006, HC007, HIR004, HIR005, HIR008, HIR009</t>
  </si>
  <si>
    <t xml:space="preserve">Эффект изменения состава позиций против бюджета: появились позиции, которых не было в бюджете (и наоборот), вакансии закрыты на другую роль/грейд, замещение ушедшего стоит дороже/дешевле. Отвечает на вопрос: «структура штата изменилась»</t>
  </si>
  <si>
    <t xml:space="preserve">Незапланированная/отмененная позиция; позиция on hold; вакансия вне бюджета; закрытие вакансии на другую роль; backfill дороже/дешевле</t>
  </si>
  <si>
    <t xml:space="preserve">Position Effect = Σ по измененным позициям (Actual стоимость позиции − Budget стоимость сопоставимой позиции), при фактических сроках</t>
  </si>
  <si>
    <t xml:space="preserve">A2–A4</t>
  </si>
  <si>
    <t xml:space="preserve">Средний: grade mix от закрытия вакансии — здесь, а не в F03</t>
  </si>
  <si>
    <t xml:space="preserve">MVP (частично Wave 2)</t>
  </si>
  <si>
    <t xml:space="preserve">SAL001, SAL002, SAL007, SAL008, SAL010, SAL012, MIX001, MIX002</t>
  </si>
  <si>
    <t xml:space="preserve">Отклонение фактических окладов от бюджетных для сопоставимой популяции: наняли дороже вилки, внецикловые повышения, promotion, retention, микс грейдов. Отвечает на вопрос: «те же люди/роли стали дороже»</t>
  </si>
  <si>
    <t xml:space="preserve">Оклад выше/ниже бюджетного; индивидуальное повышение вне цикла; promotion; retention; найм на более высокий/низкий грейд; доплата до МРОТ/минимального уровня (не существенно)</t>
  </si>
  <si>
    <t xml:space="preserve">Rate Effect = Actual Active Share × Actual MSU × Actual Charging % × (Actual Rate − Budget Rate); grade mix — через разницу грейдовых вилок</t>
  </si>
  <si>
    <t xml:space="preserve">HRPT + HR Tracker</t>
  </si>
  <si>
    <t xml:space="preserve">Высокий с F01/F02: rate считается ПОСЛЕ выделения timing и позиционных эффектов</t>
  </si>
  <si>
    <t xml:space="preserve">Индексация и политика оплаты</t>
  </si>
  <si>
    <t xml:space="preserve">SAL003, REG001, REG002, REG003, REG004</t>
  </si>
  <si>
    <t xml:space="preserve">Плановые массовые изменения оплаты и регуляторные требования: индексация выше/ниже бюджетной, изменение обязательных правил расчета, МРОТ, корпоративная политика, ЛНА. Event-driven: фактор присваивается только при зарегистрированном событии</t>
  </si>
  <si>
    <t xml:space="preserve">Индексация отличается от бюджетной; новые требования законодательства; изменение компенсационной политики</t>
  </si>
  <si>
    <t xml:space="preserve">Indexation Effect = Σ по популяции события [(Actual % повышения − Budget % повышения) × Budget Base] — только при наличии события в Event Register, иначе Needs Review</t>
  </si>
  <si>
    <t xml:space="preserve">Event Register + HRPT</t>
  </si>
  <si>
    <t xml:space="preserve">Reward / HRBP</t>
  </si>
  <si>
    <t xml:space="preserve">A2 (событие) / A5 (расчет)</t>
  </si>
  <si>
    <t xml:space="preserve">Низкий при дисциплине Event Register; без события — Needs Review</t>
  </si>
  <si>
    <t xml:space="preserve">Wave 2</t>
  </si>
  <si>
    <t xml:space="preserve">Премии и variable pay</t>
  </si>
  <si>
    <t xml:space="preserve">BON001, BON002, BON003, BON007, BON008, BON009, BON010, BON011, BON012, INC001–INC005 (только ДК)</t>
  </si>
  <si>
    <t xml:space="preserve">Отклонение переменной части: начисление резерва бонуса (run-rate), изменение базы расчета, разовые премии, новые схемы, eligibility, гарантии, timing годового бонуса, комиссии дочерних компаний</t>
  </si>
  <si>
    <t xml:space="preserve">База премии выросла (оклады/численность); изменился % выплаты; разовая премия; новая схема премирования; корректировка bonus accrual / true-up (финансовая часть); комиссии ДК</t>
  </si>
  <si>
    <t xml:space="preserve">Base Effect = (Actual Bonus Base − Budget Bonus Base) × Budget Bonus %; Rate Effect = Actual Bonus Base × (Actual Bonus % − Budget Bonus %); квартальный бонус: база = оклад, ставка = 25% (IT) и др.</t>
  </si>
  <si>
    <t xml:space="preserve">Budget DB + HRPT + Event Register</t>
  </si>
  <si>
    <t xml:space="preserve">A4–A5 (схемы — A2)</t>
  </si>
  <si>
    <t xml:space="preserve">Средний: база премии следует за окладами — считать после F03/F04</t>
  </si>
  <si>
    <t xml:space="preserve">Налоги и взносы (вкл. порог)</t>
  </si>
  <si>
    <t xml:space="preserve">TAX-BASE (производный), TAX005, TAX006</t>
  </si>
  <si>
    <t xml:space="preserve">Отклонение страховых взносов: эффект базы (следует механически за ФОТ) и эффект ставки — в первую очередь достижение предельной базы раньше/позже плана (регрессивная шкала по законодательству), льготные тарифы</t>
  </si>
  <si>
    <t xml:space="preserve">Рост ФОТ тянет взносы; сотрудник пересек порог предельной базы раньше/позже бюджетного месяца; применен/потерян льготный тариф</t>
  </si>
  <si>
    <t xml:space="preserve">Base Effect = (Actual Taxable Base − Budget Taxable Base) × Budget Effective Rate; Threshold Effect = Σ по сотрудникам [Взносы(фактическая шкала) − Взносы(бюджетная шкала)] при одинаковой базе (расчет поименно с порогами)</t>
  </si>
  <si>
    <t xml:space="preserve">HRPT + ставки взносов (Budget DB)</t>
  </si>
  <si>
    <t xml:space="preserve">Reward / Finance / Payroll</t>
  </si>
  <si>
    <t xml:space="preserve">A5 (TAX006 — A2)</t>
  </si>
  <si>
    <t xml:space="preserve">Низкий: считается производным от уже классифицированных элементов</t>
  </si>
  <si>
    <t xml:space="preserve">Отпускные и средний заработок</t>
  </si>
  <si>
    <t xml:space="preserve">VAC001, VAC002, VAC003, VAC006, VAC007, VAC010, VAC004 (правило R006)</t>
  </si>
  <si>
    <t xml:space="preserve">Отклонение отпускных и резерва: объем резерва, рост среднего заработка (в т.ч. пересчет после выплаты годового бонуса в феврале–марте — бонус входит в базу среднего заработка и увеличивает отпускные), перерасчеты прошлых периодов, остатки дней</t>
  </si>
  <si>
    <t xml:space="preserve">После выплаты годового бонуса средний заработок пересчитывается вверх; накопление неиспользованных дней; массовое использование отпусков; retro-перерасчеты</t>
  </si>
  <si>
    <t xml:space="preserve">Avg Earnings Effect = Дни обязательства × (Actual среднедневной заработок − Budget среднедневной заработок); подфактор R006: Δ среднего заработка от включения годового бонуса в расчетный период; Reserve = Comp Base × 31/247/12 (капитальные LE)</t>
  </si>
  <si>
    <t xml:space="preserve">HRPT + Leave system + Finance reserve</t>
  </si>
  <si>
    <t xml:space="preserve">Средний: не дублировать бонус (F05) — здесь только его влияние на средний заработок</t>
  </si>
  <si>
    <t xml:space="preserve">Severance и выплаты при увольнении</t>
  </si>
  <si>
    <t xml:space="preserve">TER003, TER004, TER007</t>
  </si>
  <si>
    <t xml:space="preserve">Выплаты, связанные с увольнением: выходные пособия, компенсация неиспользованного отпуска, расходы на массовое сокращение (restructuring exit cost). Не бюджетируются (бюджет = 0), поэтому весь факт — отклонение. Выделяются отдельной строкой, чтобы не маскировать операционные отклонения</t>
  </si>
  <si>
    <t xml:space="preserve">Увольнение с выплатой выходного пособия; компенсация неиспользованного отпуска при увольнении (опционально); массовое сокращение / restructuring (крайне редко, регистрируется как событие)</t>
  </si>
  <si>
    <t xml:space="preserve">Severance Effect = Actual Severance и выплаты при увольнении (Budget = 0); идентифицируется напрямую из payroll по pay element; TER007 — через Event Register</t>
  </si>
  <si>
    <t xml:space="preserve">HRIS + Payroll</t>
  </si>
  <si>
    <t xml:space="preserve">Низкий: прямая идентификация, приоритет выше F01 (дата увольнения — отдельно)</t>
  </si>
  <si>
    <t xml:space="preserve">Отклонение стоимости льгот: ДМС (тарифы, число застрахованных), релокационные выплаты, корпоративное жилье</t>
  </si>
  <si>
    <t xml:space="preserve">Перетарификация страховщика; изменение списка застрахованных; релокации</t>
  </si>
  <si>
    <t xml:space="preserve">Поименно: Actual − Budget по программе; агрегатно: Actual(LE/MIR/Month) − Budget(LE/MIR/Month)</t>
  </si>
  <si>
    <t xml:space="preserve">Страхование + Benefits system + Finance invoices</t>
  </si>
  <si>
    <t xml:space="preserve">A5 (BEN008 — A3)</t>
  </si>
  <si>
    <t xml:space="preserve">Низкий</t>
  </si>
  <si>
    <t xml:space="preserve">Оргструктура и аллокации</t>
  </si>
  <si>
    <t xml:space="preserve">ORG001, ORG002, ORG003, ORG006, ORG007, ORG008, EXT003, HC003/HC004 (MSU), CHG (charging), HC010</t>
  </si>
  <si>
    <t xml:space="preserve">Перемещение затрат между юрлицами/подразделениями без изменения общей суммы: переводы, реорганизации, изменение MSU и charging %, аутсорсинг, внешний персонал. На консолидированном уровне ≈ 0, значимо на срезах LE/MIR</t>
  </si>
  <si>
    <t xml:space="preserve">Перевод между CC/LE; реорганизация (old-to-new bridge); изменение доли MSU или charging; функция передана на аутсорсинг</t>
  </si>
  <si>
    <t xml:space="preserve">Allocation Effect = Actual Active Share × Budget Rate × (Actual MSU × Actual Charging % − Budget MSU × Budget Charging %); reorg — через old-to-new mapping (правило R009)</t>
  </si>
  <si>
    <t xml:space="preserve">HRPT + HR Tracker + Org Event Register</t>
  </si>
  <si>
    <t xml:space="preserve">HRBP / Finance / HRIS</t>
  </si>
  <si>
    <t xml:space="preserve">A2–A5</t>
  </si>
  <si>
    <t xml:space="preserve">Средний: отделить reclass от истинного отклонения (R009)</t>
  </si>
  <si>
    <t xml:space="preserve">MVP (transfers/MSU), Wave 2 (reorg)</t>
  </si>
  <si>
    <t xml:space="preserve">CAP001 (новый), ORG005 (рекласс OPEX/CAPEX)</t>
  </si>
  <si>
    <t xml:space="preserve">Изменение капитализируемой доли ФОТ (затраты на проектные/капитальные работы переносятся из OPEX в CAPEX, contra-элемент Capitalized Compensation). База капитализации: оклады и премии сотрудников, занятых в капитализируемых проектах, а также страховые взносы, начисленные на эти капитализируемые выплаты. Отпускные из базы ИСКЛЮЧАЮТСЯ</t>
  </si>
  <si>
    <t xml:space="preserve">Рост/снижение доли проектного времени; реклассификация OPEX/CAPEX; изменение норматива капитализации</t>
  </si>
  <si>
    <t xml:space="preserve">Cap Effect = −[Actual Cap Rate × (Actual база капитализации: оклады + премии + начисленные на них взносы, excl. Vacation Pay) − Budget Cap Rate × Budget база]; отрицательный эффект = экономия OPEX</t>
  </si>
  <si>
    <t xml:space="preserve">Budget DB + Finance (проектный учет)</t>
  </si>
  <si>
    <t xml:space="preserve">Средний: не капитализировать отпускные дважды (связь с F07)</t>
  </si>
  <si>
    <t xml:space="preserve">ONE004, ONE006, ONE007, OTH004, HIR006, HIR007, ABS003, FOR001 (диагностика)</t>
  </si>
  <si>
    <t xml:space="preserve">Разовые и нестандартные эффекты: ручные корректировки Finance, исправление ошибок исходного бюджета, реклассы между cost types, работа в выходные, sign-on/referral бонусы, длительные отсутствия</t>
  </si>
  <si>
    <t xml:space="preserve">Ручная проводка без причины; бюджетная ошибка; переработки в праздники; sign-on бонус; long-term leave</t>
  </si>
  <si>
    <t xml:space="preserve">Прямая идентификация суммы корректировки/выплаты; reclass — парные записи (net 0 на консолидированном уровне)</t>
  </si>
  <si>
    <t xml:space="preserve">Finance files + HRPT + Event Register</t>
  </si>
  <si>
    <t xml:space="preserve">Finance / HR Operations</t>
  </si>
  <si>
    <t xml:space="preserve">A3–A5</t>
  </si>
  <si>
    <t xml:space="preserve">Средний: manual journal требует обязательного комментария</t>
  </si>
  <si>
    <t xml:space="preserve">F99</t>
  </si>
  <si>
    <t xml:space="preserve">Data Quality / Matching (ТЕХНИЧЕСКИЙ СЛОЙ — не отображается)</t>
  </si>
  <si>
    <t xml:space="preserve">Технический фактор для черновой версии и самопроверки команды: незамапленные элементы, разрывы истории, дубли. ИСКЛЮЧЕН из всех диаграмм и пользовательских представлений; суммы DQ после исправления данных перераспределяются в содержательные факторы; до исправления — показываются только на R-08 Data Quality</t>
  </si>
  <si>
    <t xml:space="preserve">Unmapped pay elements/MIR; broken charging history; дубли; missing IDs</t>
  </si>
  <si>
    <t xml:space="preserve">Выявляется DQ-правилами (R010); не участвует в waterfall целевого пользователя</t>
  </si>
  <si>
    <t xml:space="preserve">Технический слой</t>
  </si>
  <si>
    <t xml:space="preserve">⚠ F99 Data Quality / Matching — технический слой для самопроверки; целевому пользователю не отображается (исключен из диаграмм и форм)</t>
  </si>
  <si>
    <t xml:space="preserve">HC и MSU — драйверы расчета и диагностика, НЕ отдельные факторы; каждый рубль отклонения относится ровно к одному primary factor (приоритет ниже).</t>
  </si>
  <si>
    <t xml:space="preserve">Ярус 1 (шаги 1–6) — 11 факторов корпоративного справочника с «Очередность = 1»: ORG001/002, TER001–003, BON009/012, VAC001/002/006/010 — классифицируются первыми (прямая идентификация); ярус 2 (шаги 7–19) — остальные факторы по anti-double-counting.</t>
  </si>
  <si>
    <t xml:space="preserve">Шаг 0 (DQ / Matching) — технический: дефекты исправляются ДО факторного анализа; в пользовательские представления не выводится. Шаг 20 — Residual / Needs Review.</t>
  </si>
  <si>
    <t xml:space="preserve">Правила детекции MVP (R001–R010)</t>
  </si>
  <si>
    <t xml:space="preserve">RuleID</t>
  </si>
  <si>
    <t xml:space="preserve">FactorIDs</t>
  </si>
  <si>
    <t xml:space="preserve">Название правила</t>
  </si>
  <si>
    <t xml:space="preserve">Условие / формула</t>
  </si>
  <si>
    <t xml:space="preserve">Обязательные поля</t>
  </si>
  <si>
    <t xml:space="preserve">Результат</t>
  </si>
  <si>
    <t xml:space="preserve">Требует подтверждения</t>
  </si>
  <si>
    <t xml:space="preserve">R001</t>
  </si>
  <si>
    <t xml:space="preserve">HC001/HC002</t>
  </si>
  <si>
    <t xml:space="preserve">HC variance</t>
  </si>
  <si>
    <t xml:space="preserve">HC Actual − HC Budget по Month × Org × CostCenter</t>
  </si>
  <si>
    <t xml:space="preserve">Month, EmployeeID, Status, MSU, BudgetHC</t>
  </si>
  <si>
    <t xml:space="preserve">HC/MSU variance</t>
  </si>
  <si>
    <t xml:space="preserve">R002</t>
  </si>
  <si>
    <t xml:space="preserve">Hiring delay saving</t>
  </si>
  <si>
    <t xml:space="preserve">Gap days × budget daily cost</t>
  </si>
  <si>
    <t xml:space="preserve">PositionID, planned/actual start dates, budget salary</t>
  </si>
  <si>
    <t xml:space="preserve">Экономия от задержки найма</t>
  </si>
  <si>
    <t xml:space="preserve">R003</t>
  </si>
  <si>
    <t xml:space="preserve">SAL001/SAL002</t>
  </si>
  <si>
    <t xml:space="preserve">Salary rate variance</t>
  </si>
  <si>
    <t xml:space="preserve">(ActualSalary/MSU − BudgetSalary/MSU) × ActualMSU</t>
  </si>
  <si>
    <t xml:space="preserve">Salary, MSU, PositionID, BudgetSalary</t>
  </si>
  <si>
    <t xml:space="preserve">Rate variance</t>
  </si>
  <si>
    <t xml:space="preserve">R004</t>
  </si>
  <si>
    <t xml:space="preserve">Indexation impact</t>
  </si>
  <si>
    <t xml:space="preserve">Фактическое повышение популяции события vs бюджетная индексация</t>
  </si>
  <si>
    <t xml:space="preserve">EventRegister, SalaryHistory, eligible population</t>
  </si>
  <si>
    <t xml:space="preserve">Indexation variance</t>
  </si>
  <si>
    <t xml:space="preserve">R005</t>
  </si>
  <si>
    <t xml:space="preserve">BON003</t>
  </si>
  <si>
    <t xml:space="preserve">Bonus scheme change</t>
  </si>
  <si>
    <t xml:space="preserve">Payout по новой схеме − payout по бюджетной схеме</t>
  </si>
  <si>
    <t xml:space="preserve">Reward event, SchemeVersion, Formula, KPI data</t>
  </si>
  <si>
    <t xml:space="preserve">Policy effect</t>
  </si>
  <si>
    <t xml:space="preserve">R006</t>
  </si>
  <si>
    <t xml:space="preserve">VAC004/VAC003</t>
  </si>
  <si>
    <t xml:space="preserve">Annual bonus in average earnings</t>
  </si>
  <si>
    <t xml:space="preserve">Бонус включен в базу среднего заработка → Δ среднего заработка → Δ отпускных/резерва</t>
  </si>
  <si>
    <t xml:space="preserve">PayElement inclusion flag, payment date, calc period</t>
  </si>
  <si>
    <t xml:space="preserve">Reserve/payment impact</t>
  </si>
  <si>
    <t xml:space="preserve">R007</t>
  </si>
  <si>
    <t xml:space="preserve">TAX001/TAX004/TAX005</t>
  </si>
  <si>
    <t xml:space="preserve">Tax decomposition</t>
  </si>
  <si>
    <t xml:space="preserve">A5/A4</t>
  </si>
  <si>
    <t xml:space="preserve">Tax variance = base effect + effective rate/threshold effect</t>
  </si>
  <si>
    <t xml:space="preserve">TaxableBase, Contributions, Rates, thresholds</t>
  </si>
  <si>
    <t xml:space="preserve">Base/rate/threshold split</t>
  </si>
  <si>
    <t xml:space="preserve">Частично</t>
  </si>
  <si>
    <t xml:space="preserve">R008</t>
  </si>
  <si>
    <t xml:space="preserve">OTH002</t>
  </si>
  <si>
    <t xml:space="preserve">Overtime due to vacancy</t>
  </si>
  <si>
    <t xml:space="preserve">Overtime variance &gt; threshold И vacancy gap &gt; threshold в том же подразделении</t>
  </si>
  <si>
    <t xml:space="preserve">Overtime cost, vacancy gap</t>
  </si>
  <si>
    <t xml:space="preserve">Suggested factor</t>
  </si>
  <si>
    <t xml:space="preserve">R009</t>
  </si>
  <si>
    <t xml:space="preserve">ORG003</t>
  </si>
  <si>
    <t xml:space="preserve">Reorganization bridge</t>
  </si>
  <si>
    <t xml:space="preserve">Old-to-new org mapping отделяет reclass от истинного отклонения</t>
  </si>
  <si>
    <t xml:space="preserve">Org event, mapping, effective date</t>
  </si>
  <si>
    <t xml:space="preserve">Reclass vs true variance</t>
  </si>
  <si>
    <t xml:space="preserve">R010</t>
  </si>
  <si>
    <t xml:space="preserve">DQ001</t>
  </si>
  <si>
    <t xml:space="preserve">Unmapped pay elements</t>
  </si>
  <si>
    <t xml:space="preserve">PayElement не найден в Mapping_PayElements</t>
  </si>
  <si>
    <t xml:space="preserve">PayElement, amount, mapping table</t>
  </si>
  <si>
    <t xml:space="preserve">Unmapped amount (технический слой)</t>
  </si>
  <si>
    <t xml:space="preserve">Автоматизация: A5 — полный расчет движком; A4 — расчет + выборочная проверка; A3 — suggested factor (подтверждение владельца); A2 — событие/экспертиза.</t>
  </si>
  <si>
    <t xml:space="preserve">Event Register (demo): зарегистрированные события для факторизации</t>
  </si>
  <si>
    <t xml:space="preserve">Event ID</t>
  </si>
  <si>
    <t xml:space="preserve">Event Type</t>
  </si>
  <si>
    <t xml:space="preserve">Effective From</t>
  </si>
  <si>
    <t xml:space="preserve">Effective To</t>
  </si>
  <si>
    <t xml:space="preserve">Affected Population</t>
  </si>
  <si>
    <t xml:space="preserve">Affected Budget Elements</t>
  </si>
  <si>
    <t xml:space="preserve">Expected Impact</t>
  </si>
  <si>
    <t xml:space="preserve">Approval Status</t>
  </si>
  <si>
    <t xml:space="preserve">Source Document</t>
  </si>
  <si>
    <t xml:space="preserve">E-2026-01</t>
  </si>
  <si>
    <t xml:space="preserve">31.12.2026</t>
  </si>
  <si>
    <t xml:space="preserve">Все периметры (кроме exclusion list)</t>
  </si>
  <si>
    <t xml:space="preserve">Salary Uplift; Social Tax Salary Uplift; Quarterly Bonus Uplift</t>
  </si>
  <si>
    <t xml:space="preserve">+4.2% к окладам, ~+88 млн RUB FY</t>
  </si>
  <si>
    <t xml:space="preserve">Approved</t>
  </si>
  <si>
    <t xml:space="preserve">Приказ об индексации от 20.01.2026</t>
  </si>
  <si>
    <t xml:space="preserve">E-2026-02</t>
  </si>
  <si>
    <t xml:space="preserve">Promotion cycle</t>
  </si>
  <si>
    <t xml:space="preserve">01.04.2026</t>
  </si>
  <si>
    <t xml:space="preserve">30.04.2026</t>
  </si>
  <si>
    <t xml:space="preserve">42 сотрудника</t>
  </si>
  <si>
    <t xml:space="preserve">Salary; Social Tax Salary</t>
  </si>
  <si>
    <t xml:space="preserve">+14 млн RUB YTD</t>
  </si>
  <si>
    <t xml:space="preserve">Promo list апрель 2026</t>
  </si>
  <si>
    <t xml:space="preserve">E-2026-03</t>
  </si>
  <si>
    <t xml:space="preserve">Methodology change: vacation reserve</t>
  </si>
  <si>
    <t xml:space="preserve">01.05.2026</t>
  </si>
  <si>
    <t xml:space="preserve">Капитальные юрлица</t>
  </si>
  <si>
    <t xml:space="preserve">Переход на формулу 31/247/12</t>
  </si>
  <si>
    <t xml:space="preserve">Методологический протокол №3</t>
  </si>
  <si>
    <t xml:space="preserve">E-2026-11</t>
  </si>
  <si>
    <t xml:space="preserve">One-off management decision</t>
  </si>
  <si>
    <t xml:space="preserve">30.06.2026</t>
  </si>
  <si>
    <t xml:space="preserve">Global Banking</t>
  </si>
  <si>
    <t xml:space="preserve">+8 млн RUB разовая выплата</t>
  </si>
  <si>
    <t xml:space="preserve">Head of HR Operations</t>
  </si>
  <si>
    <t xml:space="preserve">Решение комитета 12.06.2026</t>
  </si>
  <si>
    <t xml:space="preserve">Принцип: событие не зарегистрировано → фактор не присваивается, отклонение уходит в Residual / Needs Review.</t>
  </si>
  <si>
    <t xml:space="preserve">Wave 2: Event Register UI + approval workflow (см. 16_Backlog_Roadmap); в MVP реестр ведет Reward.</t>
  </si>
  <si>
    <t xml:space="preserve">Демо-данные · Альбом отчетных форм v2.1 · 12_Factor_Dictionary · Обновлено: 02.07.2026 06:40</t>
  </si>
  <si>
    <t xml:space="preserve">13 · Словарь полей источников</t>
  </si>
  <si>
    <t xml:space="preserve">39 полей по системам-источникам: HRPT / 1С, HR Tracker, Budget DB, Finance files и др. · обязательность и комментарии</t>
  </si>
  <si>
    <t xml:space="preserve">Entity</t>
  </si>
  <si>
    <t xml:space="preserve">Field</t>
  </si>
  <si>
    <t xml:space="preserve">Required</t>
  </si>
  <si>
    <t xml:space="preserve">Комментарий</t>
  </si>
  <si>
    <t xml:space="preserve">HRPT / 1С (ETL) · полей: 18</t>
  </si>
  <si>
    <t xml:space="preserve">Employee</t>
  </si>
  <si>
    <t xml:space="preserve">Person ID</t>
  </si>
  <si>
    <t xml:space="preserve">string</t>
  </si>
  <si>
    <t xml:space="preserve">Ключ сотрудника</t>
  </si>
  <si>
    <t xml:space="preserve">Assignment number</t>
  </si>
  <si>
    <t xml:space="preserve">Ключ назначения</t>
  </si>
  <si>
    <t xml:space="preserve">Full name (local/eng)</t>
  </si>
  <si>
    <t xml:space="preserve">Global structure (Department/Area/Desk/Pool)</t>
  </si>
  <si>
    <t xml:space="preserve">dict</t>
  </si>
  <si>
    <t xml:space="preserve">Функциональная структура</t>
  </si>
  <si>
    <t xml:space="preserve">Financial structure (MIR code, Fin Area, Fin Desk, Segment)</t>
  </si>
  <si>
    <t xml:space="preserve">MIR Dictionary</t>
  </si>
  <si>
    <t xml:space="preserve">Legal entity (eng/local)</t>
  </si>
  <si>
    <t xml:space="preserve">Perimeter</t>
  </si>
  <si>
    <t xml:space="preserve">Old/New Perimeter</t>
  </si>
  <si>
    <t xml:space="preserve">Corporate title</t>
  </si>
  <si>
    <t xml:space="preserve">Для бонусных схем и вилок</t>
  </si>
  <si>
    <t xml:space="preserve">Position (eng/rus)</t>
  </si>
  <si>
    <t xml:space="preserve">Grade</t>
  </si>
  <si>
    <t xml:space="preserve">CIB Start date / End date</t>
  </si>
  <si>
    <t xml:space="preserve">date</t>
  </si>
  <si>
    <t xml:space="preserve">Для Active Share</t>
  </si>
  <si>
    <t xml:space="preserve">Assignment status</t>
  </si>
  <si>
    <t xml:space="preserve">Active/Terminated/Maternity</t>
  </si>
  <si>
    <t xml:space="preserve">CIB Primary flag</t>
  </si>
  <si>
    <t xml:space="preserve">Основное место работы → HC=1</t>
  </si>
  <si>
    <t xml:space="preserve">Special job type</t>
  </si>
  <si>
    <t xml:space="preserve">IT Vendors, Quota Job</t>
  </si>
  <si>
    <t xml:space="preserve">Salary + Currency</t>
  </si>
  <si>
    <t xml:space="preserve">number</t>
  </si>
  <si>
    <t xml:space="preserve">Установленный оклад</t>
  </si>
  <si>
    <t xml:space="preserve">HC</t>
  </si>
  <si>
    <t xml:space="preserve">0/1 по правилу + список исключений</t>
  </si>
  <si>
    <t xml:space="preserve">Доля оклада назначения</t>
  </si>
  <si>
    <t xml:space="preserve">Bonus Scheme / Type of compensation scheme</t>
  </si>
  <si>
    <t xml:space="preserve">IT 25%, HNWI и др.</t>
  </si>
  <si>
    <t xml:space="preserve">HR Tracker · полей: 7</t>
  </si>
  <si>
    <t xml:space="preserve">Vacancy</t>
  </si>
  <si>
    <t xml:space="preserve">Vacancy ID</t>
  </si>
  <si>
    <t xml:space="preserve">Vacancy Type (New/Replacement)</t>
  </si>
  <si>
    <t xml:space="preserve">Vacancy Status (Open/In progress/Offer/Closed)</t>
  </si>
  <si>
    <t xml:space="preserve">Planned hire date (Effective Date)</t>
  </si>
  <si>
    <t xml:space="preserve">Для delayed hire</t>
  </si>
  <si>
    <t xml:space="preserve">Approved flag (Approved/Unapproved)</t>
  </si>
  <si>
    <t xml:space="preserve">Популяция бюджета по методологии версии</t>
  </si>
  <si>
    <t xml:space="preserve">Movement</t>
  </si>
  <si>
    <t xml:space="preserve">Event Type (Hire/Leaver/Transfer In/Out)</t>
  </si>
  <si>
    <t xml:space="preserve">Event date</t>
  </si>
  <si>
    <t xml:space="preserve">Для timing-подфакторов</t>
  </si>
  <si>
    <t xml:space="preserve">Budget DB / MG Compensation · полей: 7</t>
  </si>
  <si>
    <t xml:space="preserve">Year; Scenario (Budget/Forecast/Samestore); Version name; Status (Draft/Final); Dem/Comp Effective Date</t>
  </si>
  <si>
    <t xml:space="preserve">Версионность</t>
  </si>
  <si>
    <t xml:space="preserve">Position</t>
  </si>
  <si>
    <t xml:space="preserve">Salary charging % by LE (history)</t>
  </si>
  <si>
    <t xml:space="preserve">Критично: история charging</t>
  </si>
  <si>
    <t xml:space="preserve">Bonus charging % by LE (history)</t>
  </si>
  <si>
    <t xml:space="preserve">Amounts</t>
  </si>
  <si>
    <t xml:space="preserve">Budget/Forecast amount by Month × LE × MIR × P&amp;L × Budget Element</t>
  </si>
  <si>
    <t xml:space="preserve">Rates</t>
  </si>
  <si>
    <t xml:space="preserve">Ставки страховых взносов по LE; методология (пороги / средние ставки)</t>
  </si>
  <si>
    <t xml:space="preserve">Salary ranges (вилки по корп. титулам)</t>
  </si>
  <si>
    <t xml:space="preserve">Для вакансий без согласованного оклада</t>
  </si>
  <si>
    <t xml:space="preserve">% повышения окладов; % премирования; коэфф. vacation reserve; ставки benefits</t>
  </si>
  <si>
    <t xml:space="preserve">List of assumptions</t>
  </si>
  <si>
    <t xml:space="preserve">Finance files (МСФО) · полей: 1</t>
  </si>
  <si>
    <t xml:space="preserve">Finance Actual</t>
  </si>
  <si>
    <t xml:space="preserve">Компания / Счет / MIR-code / Сумма / Месяц</t>
  </si>
  <si>
    <t xml:space="preserve">Знаковая конвенция расходов</t>
  </si>
  <si>
    <t xml:space="preserve">Finance files (Банк) · полей: 1</t>
  </si>
  <si>
    <t xml:space="preserve">План/факт; месяц; статья; СС; ПФМ; MIR-код; комментарий; сумма</t>
  </si>
  <si>
    <t xml:space="preserve">Поименная загрузка Банка</t>
  </si>
  <si>
    <t xml:space="preserve">Страхование · полей: 1</t>
  </si>
  <si>
    <t xml:space="preserve">Benefits Actual</t>
  </si>
  <si>
    <t xml:space="preserve">Договор; застрахованный; группа; Person ID; MIR; помесячные суммы</t>
  </si>
  <si>
    <t xml:space="preserve">Онко, НСиБ, ДМС</t>
  </si>
  <si>
    <t xml:space="preserve">Event Register · полей: 1</t>
  </si>
  <si>
    <t xml:space="preserve">Event</t>
  </si>
  <si>
    <t xml:space="preserve">Event ID; Event Type; Effective From/To; Affected Population; Affected Budget Elements; Expected Impact; Owner; Approval Status; Source Document</t>
  </si>
  <si>
    <t xml:space="preserve">mixed</t>
  </si>
  <si>
    <t xml:space="preserve">Без регистрации — Needs Review</t>
  </si>
  <si>
    <t xml:space="preserve">Comment store · полей: 1</t>
  </si>
  <si>
    <t xml:space="preserve">Comment</t>
  </si>
  <si>
    <t xml:space="preserve">Variance ID; Owner; Status; Text; Created/Updated; Due date; Escalation flag</t>
  </si>
  <si>
    <t xml:space="preserve">Workflow</t>
  </si>
  <si>
    <t xml:space="preserve">DQ rules engine · полей: 1</t>
  </si>
  <si>
    <t xml:space="preserve">DQ Issue</t>
  </si>
  <si>
    <t xml:space="preserve">Source System; Load Date; Period; Error Type; Severity; Owner; SLA due; Status</t>
  </si>
  <si>
    <t xml:space="preserve">Mapping tables · полей: 1</t>
  </si>
  <si>
    <t xml:space="preserve">Mapping</t>
  </si>
  <si>
    <t xml:space="preserve">MIR → P&amp;L; Budget Element → P&amp;L Account; LE → Finance Legal</t>
  </si>
  <si>
    <t xml:space="preserve">Основа recon</t>
  </si>
  <si>
    <t xml:space="preserve">Required = «Да» — поле обязательно для factor engine и reconciliation; отсутствие → DQ Issue (лист R-08_Data_Quality).</t>
  </si>
  <si>
    <t xml:space="preserve">Тип dict — ссылка на справочник (MIR Dictionary, Legal Entity, Perimeter и т.п.); mixed — составное поле.</t>
  </si>
  <si>
    <t xml:space="preserve">Демо-данные · Альбом отчетных форм v2.1 · 13_Field_Dictionary · Обновлено: 02.07.2026 06:40</t>
  </si>
  <si>
    <t xml:space="preserve">14 · Матрица прав доступа</t>
  </si>
  <si>
    <t xml:space="preserve">Роли × формы R-01…R-09: чтение / запись / комментирование / approve · периметр данных (data scope)</t>
  </si>
  <si>
    <t xml:space="preserve">Роль</t>
  </si>
  <si>
    <t xml:space="preserve">R-01 Budget Control Summary</t>
  </si>
  <si>
    <t xml:space="preserve">R-02 Plan-Fact Explorer</t>
  </si>
  <si>
    <t xml:space="preserve">R-03 Variance Waterfall</t>
  </si>
  <si>
    <t xml:space="preserve">R-04 HC &amp; Vacancy Bridge</t>
  </si>
  <si>
    <t xml:space="preserve">R-05 Compensation Detail</t>
  </si>
  <si>
    <t xml:space="preserve">R-06 АХР Dashboard</t>
  </si>
  <si>
    <t xml:space="preserve">R-07 Reconciliation</t>
  </si>
  <si>
    <t xml:space="preserve">R-08 Data Quality</t>
  </si>
  <si>
    <t xml:space="preserve">R-09 Comments &amp; Actions</t>
  </si>
  <si>
    <t xml:space="preserve">Data scope</t>
  </si>
  <si>
    <t xml:space="preserve">R</t>
  </si>
  <si>
    <t xml:space="preserve">R + approve</t>
  </si>
  <si>
    <t xml:space="preserve">Все периметры</t>
  </si>
  <si>
    <t xml:space="preserve">HRD</t>
  </si>
  <si>
    <t xml:space="preserve">Head of Reward</t>
  </si>
  <si>
    <t xml:space="preserve">R/W</t>
  </si>
  <si>
    <t xml:space="preserve">Senior HRBP</t>
  </si>
  <si>
    <t xml:space="preserve">R/W (comment)</t>
  </si>
  <si>
    <t xml:space="preserve">Свой HRBP perimeter</t>
  </si>
  <si>
    <t xml:space="preserve">Reward (аналитик)</t>
  </si>
  <si>
    <t xml:space="preserve">Finance (контролер)</t>
  </si>
  <si>
    <t xml:space="preserve">R/W (DQ issues)</t>
  </si>
  <si>
    <t xml:space="preserve">Технический доступ</t>
  </si>
  <si>
    <t xml:space="preserve">HR Reporting</t>
  </si>
  <si>
    <t xml:space="preserve">Все периметры (read)</t>
  </si>
  <si>
    <t xml:space="preserve">Recruitment АХР, вакансии</t>
  </si>
  <si>
    <t xml:space="preserve">LoD</t>
  </si>
  <si>
    <t xml:space="preserve">Training АХР</t>
  </si>
  <si>
    <t xml:space="preserve">— чтение + запись / корректировка</t>
  </si>
  <si>
    <t xml:space="preserve">— чтение + подтверждение комментариев / закрытия</t>
  </si>
  <si>
    <t xml:space="preserve">— нет доступа к форме</t>
  </si>
  <si>
    <t xml:space="preserve">R — чтение; W — запись / корректировка; comment — комментирование отклонений (обязательных по правилам); approve — подтверждение комментариев и закрытия периода.</t>
  </si>
  <si>
    <t xml:space="preserve">Data scope — периметр данных роли: все периметры / свой HRBP perimeter / технический доступ / предметный срез (Recruitment АХР, Training АХР).</t>
  </si>
  <si>
    <t xml:space="preserve">HRD не имеет доступа к R-08 Data Quality (техническая форма HRIS); HR Reporting — read-only по всем формам.</t>
  </si>
  <si>
    <t xml:space="preserve">Демо-данные · Альбом отчетных форм v2.1 · 14_Access_Rights · Обновлено: 02.07.2026 06:40</t>
  </si>
  <si>
    <t xml:space="preserve">15 · UAT Cases — приемочное тестирование</t>
  </si>
  <si>
    <t xml:space="preserve">24 кейса приемки MVP: сходимость waterfall, DQ не отображается, severance / капитализация / порог / средний заработок, ярус 1 приоритета, возвращенные факторы, навигация, as-is</t>
  </si>
  <si>
    <t xml:space="preserve">Сценарий</t>
  </si>
  <si>
    <t xml:space="preserve">Ожидаемый результат</t>
  </si>
  <si>
    <t xml:space="preserve">UAT-01</t>
  </si>
  <si>
    <t xml:space="preserve">Сходимость waterfall</t>
  </si>
  <si>
    <t xml:space="preserve">ФОТ YTD: сумма факторов (без DQ) = общему отклонению</t>
  </si>
  <si>
    <t xml:space="preserve">Σ 12 факторов + Residual = +165.0 = Actual − Budget</t>
  </si>
  <si>
    <t xml:space="preserve">готов</t>
  </si>
  <si>
    <t xml:space="preserve">UAT-02</t>
  </si>
  <si>
    <t xml:space="preserve">DQ не отображается</t>
  </si>
  <si>
    <t xml:space="preserve">В модели присутствуют DQ-суммы (технический слой)</t>
  </si>
  <si>
    <t xml:space="preserve">Ни на одном пользовательском дашборде/диаграмме нет фактора Data Quality / Matching; DQ виден только на R-08</t>
  </si>
  <si>
    <t xml:space="preserve">UAT-03</t>
  </si>
  <si>
    <t xml:space="preserve">Приоритет классификации</t>
  </si>
  <si>
    <t xml:space="preserve">Сотрудник на незапланированной позиции с окладом выше вилки</t>
  </si>
  <si>
    <t xml:space="preserve">Primary factor = F02 Незапланированная позиция (вся стоимость); оклад НЕ попадает в F03 — двойного счета нет</t>
  </si>
  <si>
    <t xml:space="preserve">UAT-04</t>
  </si>
  <si>
    <t xml:space="preserve">Severance не бюджетируется</t>
  </si>
  <si>
    <t xml:space="preserve">Факт выходного пособия 9.0 при бюджете 0</t>
  </si>
  <si>
    <t xml:space="preserve">Фактор = F08 Severance (не Residual); отдельная строка waterfall; комментарий обязателен</t>
  </si>
  <si>
    <t xml:space="preserve">UAT-05</t>
  </si>
  <si>
    <t xml:space="preserve">Капитализация excl. отпускные</t>
  </si>
  <si>
    <t xml:space="preserve">Проектный сотрудник с отпускными и премией в месяце</t>
  </si>
  <si>
    <t xml:space="preserve">База капитализации = оклады + премии + начисленные на них взносы, ИСКЛЮЧАЯ отпускные; contra-эффект со знаком минус</t>
  </si>
  <si>
    <t xml:space="preserve">UAT-06</t>
  </si>
  <si>
    <t xml:space="preserve">Порог предельной базы</t>
  </si>
  <si>
    <t xml:space="preserve">Сотрудник пересек порог взносов в мае (план — июнь)</t>
  </si>
  <si>
    <t xml:space="preserve">Threshold Effect выделен отдельно от Base Effect; экономия отображается со знаком минус в F06</t>
  </si>
  <si>
    <t xml:space="preserve">UAT-07</t>
  </si>
  <si>
    <t xml:space="preserve">Средний заработок после бонуса</t>
  </si>
  <si>
    <t xml:space="preserve">Март: выплачен годовой бонус → пересчет отпускных</t>
  </si>
  <si>
    <t xml:space="preserve">Фактор = F07 Рост среднего заработка (правило R006), а не F05; сумма бонуса не дублируется</t>
  </si>
  <si>
    <t xml:space="preserve">UAT-08</t>
  </si>
  <si>
    <t xml:space="preserve">Порог комментария ФОТ/АХР</t>
  </si>
  <si>
    <t xml:space="preserve">Отклонение элемента 5.1% и 4.9%</t>
  </si>
  <si>
    <t xml:space="preserve">5.1% → Comment Required = Да; 4.9% → Нет</t>
  </si>
  <si>
    <t xml:space="preserve">UAT-09</t>
  </si>
  <si>
    <t xml:space="preserve">Комментарий по HC/MSU</t>
  </si>
  <si>
    <t xml:space="preserve">Любое отклонение HC/MSU, включая 0.1</t>
  </si>
  <si>
    <t xml:space="preserve">Comment Required = Да всегда</t>
  </si>
  <si>
    <t xml:space="preserve">UAT-10</t>
  </si>
  <si>
    <t xml:space="preserve">HC/MSU — драйвер, не фактор</t>
  </si>
  <si>
    <t xml:space="preserve">Отклонение объяснено отставанием найма</t>
  </si>
  <si>
    <t xml:space="preserve">Фактор = F01; HC/MSU — диагностика на R-04, не конкурирующий фактор waterfall</t>
  </si>
  <si>
    <t xml:space="preserve">UAT-11</t>
  </si>
  <si>
    <t xml:space="preserve">MSU вместо FTE</t>
  </si>
  <si>
    <t xml:space="preserve">Все формы и словари (FTE-факторы справочника HC003/HC004)</t>
  </si>
  <si>
    <t xml:space="preserve">Термин FTE не используется; FTE-факторы интерпретированы как MSU-эффект в F10</t>
  </si>
  <si>
    <t xml:space="preserve">UAT-12</t>
  </si>
  <si>
    <t xml:space="preserve">Bonus base/rate split</t>
  </si>
  <si>
    <t xml:space="preserve">Квартальный бонус = база × %</t>
  </si>
  <si>
    <t xml:space="preserve">Base Effect + Rate Effect = Quarterly Bonus Variance</t>
  </si>
  <si>
    <t xml:space="preserve">UAT-13</t>
  </si>
  <si>
    <t xml:space="preserve">Event-driven без регистрации</t>
  </si>
  <si>
    <t xml:space="preserve">Отклонение похоже на индексацию, событие не зарегистрировано</t>
  </si>
  <si>
    <t xml:space="preserve">Фактор = Needs Review, не F04; задача на Reward</t>
  </si>
  <si>
    <t xml:space="preserve">UAT-14</t>
  </si>
  <si>
    <t xml:space="preserve">Benefits: два режима</t>
  </si>
  <si>
    <t xml:space="preserve">Поименно vs агрегат LE-MIR-Month</t>
  </si>
  <si>
    <t xml:space="preserve">Итог Benefits одинаков в обоих режимах</t>
  </si>
  <si>
    <t xml:space="preserve">UAT-15</t>
  </si>
  <si>
    <t xml:space="preserve">Reorg bridge</t>
  </si>
  <si>
    <t xml:space="preserve">Перевод подразделения между LE 01.04</t>
  </si>
  <si>
    <t xml:space="preserve">R009: reclass отделен от истинного отклонения; на консолидированном уровне эффект ≈ 0</t>
  </si>
  <si>
    <t xml:space="preserve">UAT-16</t>
  </si>
  <si>
    <t xml:space="preserve">Recon controlled exception</t>
  </si>
  <si>
    <t xml:space="preserve">Benefits granularity difference</t>
  </si>
  <si>
    <t xml:space="preserve">Controlled Exception, не блокирует closing</t>
  </si>
  <si>
    <t xml:space="preserve">UAT-17</t>
  </si>
  <si>
    <t xml:space="preserve">DQ блокировка закрытия</t>
  </si>
  <si>
    <t xml:space="preserve">Critical error = 1</t>
  </si>
  <si>
    <t xml:space="preserve">Closing Readiness = Blocked; красный статус на R-01</t>
  </si>
  <si>
    <t xml:space="preserve">UAT-18</t>
  </si>
  <si>
    <t xml:space="preserve">YTD+RF сценарий</t>
  </si>
  <si>
    <t xml:space="preserve">Июль: Actual Jan–Jun + Forecast Jul–Dec vs Budget Final</t>
  </si>
  <si>
    <t xml:space="preserve">Forecast FY = 13 325; отклонение +380 (+2.9%)</t>
  </si>
  <si>
    <t xml:space="preserve">UAT-19</t>
  </si>
  <si>
    <t xml:space="preserve">Deferred bonus 40%</t>
  </si>
  <si>
    <t xml:space="preserve">Сотрудник НРБ из списка риск-тейкеров</t>
  </si>
  <si>
    <t xml:space="preserve">Deferred = 40% × Discretionary; соцвзносы отдельной строкой</t>
  </si>
  <si>
    <t xml:space="preserve">UAT-20</t>
  </si>
  <si>
    <t xml:space="preserve">Эскалация комментария</t>
  </si>
  <si>
    <t xml:space="preserve">Needs Comment &gt; 5 раб. дней</t>
  </si>
  <si>
    <t xml:space="preserve">Status → Escalated; уведомление Head of HR Operations</t>
  </si>
  <si>
    <t xml:space="preserve">UAT-21</t>
  </si>
  <si>
    <t xml:space="preserve">Навигация по альбому</t>
  </si>
  <si>
    <t xml:space="preserve">Реестр → любая форма → обратно</t>
  </si>
  <si>
    <t xml:space="preserve">Все 42 ссылки из реестра ведут на нужные вкладки; на каждой вкладке ссылка «⇦ Оглавление» работает</t>
  </si>
  <si>
    <t xml:space="preserve">UAT-22</t>
  </si>
  <si>
    <t xml:space="preserve">As-is формы без изменений</t>
  </si>
  <si>
    <t xml:space="preserve">Сверка 26 as-is вкладок с исходным файлом</t>
  </si>
  <si>
    <t xml:space="preserve">Состав колонок и данных идентичен; формулы заменены значениями (кэш), разрывных ссылок нет</t>
  </si>
  <si>
    <t xml:space="preserve">UAT-23</t>
  </si>
  <si>
    <t xml:space="preserve">Ярус 1 приоритета</t>
  </si>
  <si>
    <t xml:space="preserve">Отклонение кандидат на несколько факторов (перевод LE + severance + timing найма)</t>
  </si>
  <si>
    <t xml:space="preserve">Сначала классифицируются 11 факторов первой очередности справочника (ORG001/002, TER001–003, BON009/012, VAC001/002/006/010), затем ярус 2; двойного счета нет</t>
  </si>
  <si>
    <t xml:space="preserve">UAT-24</t>
  </si>
  <si>
    <t xml:space="preserve">Возвращенные факторы</t>
  </si>
  <si>
    <t xml:space="preserve">Возникновение TER004 / TER007 / SAL012 / BON011</t>
  </si>
  <si>
    <t xml:space="preserve">Факторы присутствуют в целевом наборе и словаре; при нулевом эффекте в периоде не отображаются в waterfall</t>
  </si>
  <si>
    <t xml:space="preserve">Колонка «Статус» заполняется по итогам выполнения: Pass / Fail; на момент сборки альбома все кейсы готовы.</t>
  </si>
  <si>
    <t xml:space="preserve">Критерий приемки MVP: 24/24 Pass; Fail по P0-кейсу блокирует закрытие периода в продуктиве.</t>
  </si>
  <si>
    <t xml:space="preserve">UAT-21: навигация (реестр → вкладка → «⇦ Оглавление»); UAT-22: 26 as-is вкладок идентичны исходнику, формулы заменены кэшем значений.</t>
  </si>
  <si>
    <t xml:space="preserve">UAT-23: ярус 1 приоритета — 11 факторов с «Очередность = 1» классифицируются первыми; UAT-24: SAL012 / TER004 / TER007 / BON011 при нулевом эффекте в waterfall не отображаются.</t>
  </si>
  <si>
    <t xml:space="preserve">Демо-данные · Альбом отчетных форм v2.1 · 15_UAT_Cases · Обновлено: 02.07.2026 06:40</t>
  </si>
  <si>
    <t xml:space="preserve">16 · Бэклог и дорожная карта</t>
  </si>
  <si>
    <t xml:space="preserve">Волны внедрения: MVP (Q4 2026) → Wave 2 (Q1 2027) → Wave 3 (Q2 2027) → Run (H2 2027+) · scope, критерии готовности, зависимости</t>
  </si>
  <si>
    <t xml:space="preserve">Волны внедрения: scope и критерии готовности</t>
  </si>
  <si>
    <t xml:space="preserve">Волна / релиз</t>
  </si>
  <si>
    <t xml:space="preserve">Срок</t>
  </si>
  <si>
    <t xml:space="preserve">Scope</t>
  </si>
  <si>
    <t xml:space="preserve">Критерий готовности</t>
  </si>
  <si>
    <t xml:space="preserve">0–6 недель, Q4 2026</t>
  </si>
  <si>
    <t xml:space="preserve">Формы: все 9 форм (R-01…R-09) + навигационный альбом с as-is вкладками; доставка Excel + SSRS. Факторный анализ: A5/A4-факторы — F01 (timing), F03 (rate), F05 (bonus accrual/base), F06 (tax decomposition вкл. порог), F08 (severance), F09 (benefits), F10 (transfers/MSU/charging), F12 (one-off); DQ-технический слой; recon; comment workflow</t>
  </si>
  <si>
    <t xml:space="preserve">объясняется 70–80% суммы отклонений</t>
  </si>
  <si>
    <t xml:space="preserve">6–12 недель, Q1 2027</t>
  </si>
  <si>
    <t xml:space="preserve">Event Register UI + approval workflow; event-driven факторы (F04 индексация/политика, новые бонусные схемы, reorg bridge R009); F07 отпускные/средний заработок (R006); F11 капитализация; benefits поименно для всех LE; BI self-service (Power BI)</t>
  </si>
  <si>
    <t xml:space="preserve">Event-факторы классифицируются не хуже A4; версии справочников стабильны</t>
  </si>
  <si>
    <t xml:space="preserve">Wave 3</t>
  </si>
  <si>
    <t xml:space="preserve">3–6 мес, Q2 2027</t>
  </si>
  <si>
    <t xml:space="preserve">Полуавтоматические suggested factors (A3): overtime из-за вакансий (R008), contractors vs вакансии, housing; авто-классификация с подтверждением владельца; what-if симулятор; мобильный executive view</t>
  </si>
  <si>
    <t xml:space="preserve">Система предлагает фактор, владелец подтверждает; ≥90% автоклассификации</t>
  </si>
  <si>
    <t xml:space="preserve">Run</t>
  </si>
  <si>
    <t xml:space="preserve">постоянно, с H2 2027</t>
  </si>
  <si>
    <t xml:space="preserve">Monthly variance management: SLA по комментариям, RACI, decision log; предиктивный прогноз исполнения; факт в разрезе продуктов; интеграция с Hyperion; автогенерация narrative</t>
  </si>
  <si>
    <t xml:space="preserve">Каждое существенное отклонение имеет фактор и владельца</t>
  </si>
  <si>
    <t xml:space="preserve">Зависимости и допущения</t>
  </si>
  <si>
    <t xml:space="preserve">#</t>
  </si>
  <si>
    <t xml:space="preserve">Зависимость / допущение</t>
  </si>
  <si>
    <t xml:space="preserve">Влияет на</t>
  </si>
  <si>
    <t xml:space="preserve">Event Register UI с approval workflow нужен для event-driven факторов (F04, новые схемы, reorg bridge R009)</t>
  </si>
  <si>
    <t xml:space="preserve">12_Factor_Dictionary · factor engine</t>
  </si>
  <si>
    <t xml:space="preserve">Benefits поименно для всех LE требует доработки выгрузки страховщика (поименный feed)</t>
  </si>
  <si>
    <t xml:space="preserve">Benefits variance (employee level) · R-03</t>
  </si>
  <si>
    <t xml:space="preserve">F07 отпускные / средний заработок (R006) и F11 капитализация — расчетные доработки factor engine</t>
  </si>
  <si>
    <t xml:space="preserve">R-03 · factor engine</t>
  </si>
  <si>
    <t xml:space="preserve">АХР volume/rate декомпозиция требует драйверов объема от Finance (пилот Recruitment)</t>
  </si>
  <si>
    <t xml:space="preserve">BI self-service требует выбора платформы (Power BI) и построения витрины данных</t>
  </si>
  <si>
    <t xml:space="preserve">Все формы R-01…R-09</t>
  </si>
  <si>
    <t xml:space="preserve">Полуавтоматические suggested factors (A3): overtime из-за вакансий (R008), contractors, housing</t>
  </si>
  <si>
    <t xml:space="preserve">Интеграция с Hyperion: согласование интерфейсов и маппинга планов счетов</t>
  </si>
  <si>
    <t xml:space="preserve">R-07_Reconciliation · загрузка Finance-факта</t>
  </si>
  <si>
    <t xml:space="preserve">Допущение: данные альбома синтетические; продуктивные источники — HRPT/1С, HR Tracker, Budget DB, Finance files</t>
  </si>
  <si>
    <t xml:space="preserve">Весь альбом</t>
  </si>
  <si>
    <t xml:space="preserve">MVP — критичный контур закрытия периода (объясняется 70–80% отклонений); Wave 2 — события и автоматизация классификации; Wave 3 — suggested factors; Run — variance management.</t>
  </si>
  <si>
    <t xml:space="preserve">Демо-данные · Альбом отчетных форм v2.1 · 16_Backlog_Roadmap · Обновлено: 02.07.2026 06:40</t>
  </si>
  <si>
    <t xml:space="preserve">Charge Salary</t>
  </si>
  <si>
    <t xml:space="preserve">у перечню форм</t>
  </si>
  <si>
    <t xml:space="preserve">In Progress</t>
  </si>
  <si>
    <t xml:space="preserve">No changes</t>
  </si>
  <si>
    <t xml:space="preserve">Changes (changes have been made in the table)</t>
  </si>
  <si>
    <t xml:space="preserve">As Is</t>
  </si>
  <si>
    <t xml:space="preserve">Total</t>
  </si>
  <si>
    <t xml:space="preserve">To Be</t>
  </si>
  <si>
    <t xml:space="preserve">New Perimeter</t>
  </si>
  <si>
    <t xml:space="preserve">Old Perimeter</t>
  </si>
  <si>
    <t xml:space="preserve">Non CIB Project Companies</t>
  </si>
  <si>
    <t xml:space="preserve">Other Subs</t>
  </si>
  <si>
    <t xml:space="preserve">Out of CIB</t>
  </si>
  <si>
    <t xml:space="preserve">Person_Id / Vacancy_Id</t>
  </si>
  <si>
    <t xml:space="preserve">SAP Tab number</t>
  </si>
  <si>
    <t xml:space="preserve">HC Status</t>
  </si>
  <si>
    <t xml:space="preserve">Name</t>
  </si>
  <si>
    <t xml:space="preserve">Global Department As Is</t>
  </si>
  <si>
    <t xml:space="preserve">Global Area AS Is</t>
  </si>
  <si>
    <t xml:space="preserve">Global Desk As Is</t>
  </si>
  <si>
    <t xml:space="preserve">Global Department To Be</t>
  </si>
  <si>
    <t xml:space="preserve">Global Area To Be</t>
  </si>
  <si>
    <t xml:space="preserve">Global Desk To Be</t>
  </si>
  <si>
    <t xml:space="preserve">Effective GU change date</t>
  </si>
  <si>
    <t xml:space="preserve">Corporate Title</t>
  </si>
  <si>
    <t xml:space="preserve">Hire Date</t>
  </si>
  <si>
    <t xml:space="preserve">Termination Date As Is</t>
  </si>
  <si>
    <t xml:space="preserve">Termination Date</t>
  </si>
  <si>
    <t xml:space="preserve">Primary Legal Entity As Is</t>
  </si>
  <si>
    <t xml:space="preserve">Primary Legal Entity To Be</t>
  </si>
  <si>
    <t xml:space="preserve">Effective LE splits change date</t>
  </si>
  <si>
    <t xml:space="preserve">MIR Code As Is</t>
  </si>
  <si>
    <t xml:space="preserve">MIR Code To Be</t>
  </si>
  <si>
    <t xml:space="preserve">Effective MIR change date</t>
  </si>
  <si>
    <t xml:space="preserve">Cost_Split_XML</t>
  </si>
  <si>
    <t xml:space="preserve">Has Charging</t>
  </si>
  <si>
    <t xml:space="preserve">Business Process</t>
  </si>
  <si>
    <t xml:space="preserve">JSCB "zzzank" (JSC)</t>
  </si>
  <si>
    <t xml:space="preserve">LE_1</t>
  </si>
  <si>
    <t xml:space="preserve">LE_2</t>
  </si>
  <si>
    <t xml:space="preserve">LE_3</t>
  </si>
  <si>
    <t xml:space="preserve">LE_4</t>
  </si>
  <si>
    <t xml:space="preserve">LE_5</t>
  </si>
  <si>
    <t xml:space="preserve">LE_6</t>
  </si>
  <si>
    <t xml:space="preserve">LE_7</t>
  </si>
  <si>
    <t xml:space="preserve">LE_8</t>
  </si>
  <si>
    <t xml:space="preserve">LE_9</t>
  </si>
  <si>
    <t xml:space="preserve">LE_10</t>
  </si>
  <si>
    <t xml:space="preserve">LE_11</t>
  </si>
  <si>
    <t xml:space="preserve">LE_12</t>
  </si>
  <si>
    <t xml:space="preserve">LE_13</t>
  </si>
  <si>
    <t xml:space="preserve">LE_14</t>
  </si>
  <si>
    <t xml:space="preserve">LE_15</t>
  </si>
  <si>
    <t xml:space="preserve">LE_16</t>
  </si>
  <si>
    <t xml:space="preserve">LE_17</t>
  </si>
  <si>
    <t xml:space="preserve">LE_18</t>
  </si>
  <si>
    <t xml:space="preserve">LE_19</t>
  </si>
  <si>
    <t xml:space="preserve">LE_20</t>
  </si>
  <si>
    <t xml:space="preserve">LE_21</t>
  </si>
  <si>
    <t xml:space="preserve">LE_22</t>
  </si>
  <si>
    <t xml:space="preserve">LE_23</t>
  </si>
  <si>
    <t xml:space="preserve">LE_24</t>
  </si>
  <si>
    <t xml:space="preserve">LE_25</t>
  </si>
  <si>
    <t xml:space="preserve">LE_26</t>
  </si>
  <si>
    <t xml:space="preserve">LE_27</t>
  </si>
  <si>
    <t xml:space="preserve">LE_28</t>
  </si>
  <si>
    <t xml:space="preserve">LE_29</t>
  </si>
  <si>
    <t xml:space="preserve">LE_30</t>
  </si>
  <si>
    <t xml:space="preserve">LE_31</t>
  </si>
  <si>
    <t xml:space="preserve">LE_32</t>
  </si>
  <si>
    <t xml:space="preserve">LE_33</t>
  </si>
  <si>
    <t xml:space="preserve">LE_34</t>
  </si>
  <si>
    <t xml:space="preserve">LE_35</t>
  </si>
  <si>
    <t xml:space="preserve">LE_36</t>
  </si>
  <si>
    <t xml:space="preserve">LE_37</t>
  </si>
  <si>
    <t xml:space="preserve">LE_38</t>
  </si>
  <si>
    <t xml:space="preserve">LE_39</t>
  </si>
  <si>
    <t xml:space="preserve">LE_40</t>
  </si>
  <si>
    <t xml:space="preserve">LE_41</t>
  </si>
  <si>
    <t xml:space="preserve">LE_42</t>
  </si>
  <si>
    <t xml:space="preserve">LE_43</t>
  </si>
  <si>
    <t xml:space="preserve">LE_44</t>
  </si>
  <si>
    <t xml:space="preserve">70099661</t>
  </si>
  <si>
    <t xml:space="preserve">General Management</t>
  </si>
  <si>
    <t xml:space="preserve">Assistants</t>
  </si>
  <si>
    <t xml:space="preserve"> </t>
  </si>
  <si>
    <t xml:space="preserve">(blank)</t>
  </si>
  <si>
    <t xml:space="preserve">помощник руководителя</t>
  </si>
  <si>
    <t xml:space="preserve">13</t>
  </si>
  <si>
    <t xml:space="preserve">No Corporate Title</t>
  </si>
  <si>
    <t xml:space="preserve">2019-11-06</t>
  </si>
  <si>
    <t xml:space="preserve">xxx Bank (PJSC)</t>
  </si>
  <si>
    <t xml:space="preserve">MNGM</t>
  </si>
  <si>
    <t xml:space="preserve">UPLOADED</t>
  </si>
  <si>
    <t xml:space="preserve">70151417</t>
  </si>
  <si>
    <t xml:space="preserve">Custody</t>
  </si>
  <si>
    <t xml:space="preserve">Operational Control</t>
  </si>
  <si>
    <t xml:space="preserve">Broker</t>
  </si>
  <si>
    <t xml:space="preserve">эксперт</t>
  </si>
  <si>
    <t xml:space="preserve">14</t>
  </si>
  <si>
    <t xml:space="preserve">Not Applicable</t>
  </si>
  <si>
    <t xml:space="preserve">2021-04-16</t>
  </si>
  <si>
    <t xml:space="preserve">TIBC</t>
  </si>
  <si>
    <t xml:space="preserve">70151420</t>
  </si>
  <si>
    <t xml:space="preserve">Global Markets</t>
  </si>
  <si>
    <t xml:space="preserve">Securitization</t>
  </si>
  <si>
    <t xml:space="preserve">секретарь-референт</t>
  </si>
  <si>
    <t xml:space="preserve">2021-09-02</t>
  </si>
  <si>
    <t xml:space="preserve">GMSE</t>
  </si>
  <si>
    <t xml:space="preserve">70151157</t>
  </si>
  <si>
    <t xml:space="preserve">GTB</t>
  </si>
  <si>
    <t xml:space="preserve">Electronic products development and support</t>
  </si>
  <si>
    <t xml:space="preserve">директор</t>
  </si>
  <si>
    <t xml:space="preserve">16</t>
  </si>
  <si>
    <t xml:space="preserve">2021-04-12</t>
  </si>
  <si>
    <t xml:space="preserve">GCDE</t>
  </si>
  <si>
    <t xml:space="preserve">Форма для корректировки распределения окладов по юридическим лицам и для обозначени сотрудников к увольнению</t>
  </si>
  <si>
    <t xml:space="preserve">Charge Discretionary Bonus</t>
  </si>
  <si>
    <t xml:space="preserve">Scenario:</t>
  </si>
  <si>
    <t xml:space="preserve">Year:</t>
  </si>
  <si>
    <t xml:space="preserve">Dem Date:</t>
  </si>
  <si>
    <t xml:space="preserve">Comp Date:</t>
  </si>
  <si>
    <t xml:space="preserve">Version:</t>
  </si>
  <si>
    <t xml:space="preserve">Budget 2026 NP as of 28 feb 2026</t>
  </si>
  <si>
    <t xml:space="preserve">Check</t>
  </si>
  <si>
    <t xml:space="preserve">Business Group</t>
  </si>
  <si>
    <t xml:space="preserve">Legal Name</t>
  </si>
  <si>
    <t xml:space="preserve">Country</t>
  </si>
  <si>
    <t xml:space="preserve">City</t>
  </si>
  <si>
    <t xml:space="preserve">Total Bonus Cash</t>
  </si>
  <si>
    <t xml:space="preserve">Total Deferral</t>
  </si>
  <si>
    <t xml:space="preserve">Table Name</t>
  </si>
  <si>
    <t xml:space="preserve">Bonus %</t>
  </si>
  <si>
    <t xml:space="preserve">Deferral %</t>
  </si>
  <si>
    <t xml:space="preserve">Russian Federation</t>
  </si>
  <si>
    <t xml:space="preserve">Moscow</t>
  </si>
  <si>
    <t xml:space="preserve">dbo.tbl_CHARGE</t>
  </si>
  <si>
    <t xml:space="preserve">70150710</t>
  </si>
  <si>
    <t xml:space="preserve">Для распределения годовой премии в бюджете (Same Store)</t>
  </si>
  <si>
    <t xml:space="preserve">Данные на</t>
  </si>
  <si>
    <t xml:space="preserve">Таб №</t>
  </si>
  <si>
    <t xml:space="preserve">ФИО сотрудника</t>
  </si>
  <si>
    <t xml:space="preserve">Онко</t>
  </si>
  <si>
    <t xml:space="preserve">НСиБ</t>
  </si>
  <si>
    <t xml:space="preserve">ДМС</t>
  </si>
  <si>
    <t xml:space="preserve">Increase</t>
  </si>
  <si>
    <t xml:space="preserve">Страхование берется на основании факта выплат за страхование фсотрудника +10% на повышение стоимости контракта</t>
  </si>
  <si>
    <t xml:space="preserve">Legal Type</t>
  </si>
  <si>
    <t xml:space="preserve">Global Line</t>
  </si>
  <si>
    <t xml:space="preserve">Global Department</t>
  </si>
  <si>
    <t xml:space="preserve">Global Area</t>
  </si>
  <si>
    <t xml:space="preserve">Global Desk</t>
  </si>
  <si>
    <t xml:space="preserve">Global Pool</t>
  </si>
  <si>
    <t xml:space="preserve">Component</t>
  </si>
  <si>
    <t xml:space="preserve">Infrastructure</t>
  </si>
  <si>
    <t xml:space="preserve">IT</t>
  </si>
  <si>
    <t xml:space="preserve">Director</t>
  </si>
  <si>
    <t xml:space="preserve">Associate Director</t>
  </si>
  <si>
    <t xml:space="preserve">Senior Associate</t>
  </si>
  <si>
    <t xml:space="preserve">Senior Analyst</t>
  </si>
  <si>
    <t xml:space="preserve">Analyst</t>
  </si>
  <si>
    <t xml:space="preserve">Associate</t>
  </si>
  <si>
    <t xml:space="preserve">Social Tax</t>
  </si>
  <si>
    <t xml:space="preserve">В форме задаются параметры квартального премирования в зависимости от корпоративного титула и % соцвзносов</t>
  </si>
  <si>
    <t xml:space="preserve">Квартальное премирование - на основании действующей на момент формирования бюджета премиальной схемы (или извстных изменений)</t>
  </si>
  <si>
    <t xml:space="preserve">Соц взносы- на основании статистики по конкретному ЮЛ, и понимании изменений в законодательстве </t>
  </si>
  <si>
    <t xml:space="preserve">FX Rates</t>
  </si>
  <si>
    <t xml:space="preserve">Currency From</t>
  </si>
  <si>
    <t xml:space="preserve">Currency To</t>
  </si>
  <si>
    <t xml:space="preserve">AMD</t>
  </si>
  <si>
    <t xml:space="preserve">RUB</t>
  </si>
  <si>
    <t xml:space="preserve">AOA</t>
  </si>
  <si>
    <t xml:space="preserve">AZN</t>
  </si>
  <si>
    <t xml:space="preserve">BYN</t>
  </si>
  <si>
    <t xml:space="preserve">CHF</t>
  </si>
  <si>
    <t xml:space="preserve">CNY</t>
  </si>
  <si>
    <t xml:space="preserve">EUR</t>
  </si>
  <si>
    <t xml:space="preserve">GBP</t>
  </si>
  <si>
    <t xml:space="preserve">GEL</t>
  </si>
  <si>
    <t xml:space="preserve">HKD</t>
  </si>
  <si>
    <t xml:space="preserve">INR</t>
  </si>
  <si>
    <t xml:space="preserve">KZT</t>
  </si>
  <si>
    <t xml:space="preserve">USD</t>
  </si>
  <si>
    <t xml:space="preserve">Для бюджете берется курс из макроэкономического прогноза финансов на соответствующий год</t>
  </si>
  <si>
    <t xml:space="preserve">Manual Adjustment</t>
  </si>
  <si>
    <t xml:space="preserve">Net Status</t>
  </si>
  <si>
    <t xml:space="preserve">HRR_PRS_ID</t>
  </si>
  <si>
    <t xml:space="preserve">Oracle Number</t>
  </si>
  <si>
    <t xml:space="preserve">SAP Number</t>
  </si>
  <si>
    <t xml:space="preserve">Currency</t>
  </si>
  <si>
    <t xml:space="preserve">Comments</t>
  </si>
  <si>
    <t xml:space="preserve">Добавление компенсационных элементов, не предусмотренных бюджетом, или когда расчет отличается от стандартного</t>
  </si>
  <si>
    <t xml:space="preserve">severance</t>
  </si>
  <si>
    <t xml:space="preserve">bonus commitment</t>
  </si>
  <si>
    <t xml:space="preserve">Q Bonus</t>
  </si>
  <si>
    <t xml:space="preserve">Доработка</t>
  </si>
  <si>
    <t xml:space="preserve">Изменение или добавление любых компенсационных данных. Например:</t>
  </si>
  <si>
    <t xml:space="preserve">точечное изменение оклада</t>
  </si>
  <si>
    <t xml:space="preserve">изменение HC</t>
  </si>
  <si>
    <t xml:space="preserve">Deferral Model</t>
  </si>
  <si>
    <t xml:space="preserve">Model</t>
  </si>
  <si>
    <t xml:space="preserve">Start Value</t>
  </si>
  <si>
    <t xml:space="preserve">Stop Value</t>
  </si>
  <si>
    <t xml:space="preserve">Total Percent</t>
  </si>
  <si>
    <t xml:space="preserve">Deferral 0 Percent</t>
  </si>
  <si>
    <t xml:space="preserve">Deferral 1 Percent</t>
  </si>
  <si>
    <t xml:space="preserve">Deferral 2 Percent</t>
  </si>
  <si>
    <t xml:space="preserve">Deferral 3 Percent</t>
  </si>
  <si>
    <t xml:space="preserve">zzz26</t>
  </si>
  <si>
    <t xml:space="preserve">В форме указываются процент выделения отложенной выплаты из суммы годовой премии и проценты распределения отложенных выплат по годам.</t>
  </si>
  <si>
    <t xml:space="preserve">0 - выплата в том же году, что и премия</t>
  </si>
  <si>
    <t xml:space="preserve">1- через год</t>
  </si>
  <si>
    <t xml:space="preserve">2- через 2 года</t>
  </si>
  <si>
    <t xml:space="preserve">3- через 3 года</t>
  </si>
  <si>
    <t xml:space="preserve">Vacation monthly distribution</t>
  </si>
  <si>
    <t xml:space="preserve">Total actual variable payment * 31.00 / 247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</si>
  <si>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</si>
  <si>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</si>
  <si>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</si>
  <si>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</si>
  <si>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</si>
  <si>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</si>
  <si>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</si>
  <si>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</si>
  <si>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</si>
  <si>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</si>
  <si>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</si>
  <si>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</si>
  <si>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В форме указываются проценты распределения отпуска по юрлицам и месяцам. Необходимо для расчета и распределения отпускных. Сумма всех процентов может быть больше 100%</t>
  </si>
  <si>
    <t xml:space="preserve">For choice splitted Employee from the list double click in the cell</t>
  </si>
  <si>
    <t xml:space="preserve">Id</t>
  </si>
  <si>
    <t xml:space="preserve">Code</t>
  </si>
  <si>
    <t xml:space="preserve">Mir Code</t>
  </si>
  <si>
    <t xml:space="preserve">Effective Date</t>
  </si>
  <si>
    <t xml:space="preserve">Primary Legal Entity</t>
  </si>
  <si>
    <t xml:space="preserve">Organization Level 1</t>
  </si>
  <si>
    <t xml:space="preserve">Organization Level 2</t>
  </si>
  <si>
    <t xml:space="preserve">Organization Level 3</t>
  </si>
  <si>
    <t xml:space="preserve">Organization Level 4</t>
  </si>
  <si>
    <t xml:space="preserve">Organization Level 5</t>
  </si>
  <si>
    <t xml:space="preserve">Organization Level 6</t>
  </si>
  <si>
    <t xml:space="preserve">Organization Level 7</t>
  </si>
  <si>
    <t xml:space="preserve">Organization Level 8</t>
  </si>
  <si>
    <t xml:space="preserve">Bonus Scheme</t>
  </si>
  <si>
    <t xml:space="preserve">Monthly Salary</t>
  </si>
  <si>
    <t xml:space="preserve">Quarterly Bonus Percent</t>
  </si>
  <si>
    <t xml:space="preserve">Annual Bonus Percent</t>
  </si>
  <si>
    <t xml:space="preserve">Форма используется для:</t>
  </si>
  <si>
    <t xml:space="preserve">добавления новых вакансий</t>
  </si>
  <si>
    <t xml:space="preserve">корректировки существующх вакансий</t>
  </si>
  <si>
    <t xml:space="preserve">Compensation</t>
  </si>
  <si>
    <t xml:space="preserve">Uplift</t>
  </si>
  <si>
    <t xml:space="preserve">Not assigned</t>
  </si>
  <si>
    <t xml:space="preserve">NA</t>
  </si>
  <si>
    <t xml:space="preserve">Managing Director</t>
  </si>
  <si>
    <t xml:space="preserve">Total Discretionary Bonus</t>
  </si>
  <si>
    <t xml:space="preserve">Executive Director</t>
  </si>
  <si>
    <t xml:space="preserve">Business</t>
  </si>
  <si>
    <t xml:space="preserve">WIM</t>
  </si>
  <si>
    <t xml:space="preserve">Total Salary</t>
  </si>
  <si>
    <t xml:space="preserve">определения оклада по вакансиям - используется значение минимума зарплатного диапазона для соответствующего титула/города/функции</t>
  </si>
  <si>
    <t xml:space="preserve">определения годовой премии для для вакансий, а также для сотрудников, которые не получали ГП в предыдущем году- расчет среднего значения по титулу на основании методологии SameStore</t>
  </si>
  <si>
    <t xml:space="preserve">для определения величины бенефитов для вакансий- средняя по юридическому лицу</t>
  </si>
  <si>
    <t xml:space="preserve">для введения параметров пересмотра заработной платы</t>
  </si>
  <si>
    <t xml:space="preserve">Компания_lower level</t>
  </si>
  <si>
    <t xml:space="preserve">Счет_Lower level</t>
  </si>
  <si>
    <t xml:space="preserve">Mir code_lower level</t>
  </si>
  <si>
    <t xml:space="preserve">Actual 31.01.2026</t>
  </si>
  <si>
    <t xml:space="preserve">Actual 28.02.2026</t>
  </si>
  <si>
    <t xml:space="preserve">Actual 31.03.2026</t>
  </si>
  <si>
    <t xml:space="preserve">E_yyyCAP~yyy CAPITAL</t>
  </si>
  <si>
    <t xml:space="preserve">M_AMTM~GM Trading Management</t>
  </si>
  <si>
    <t xml:space="preserve">M_FEXP~Treasury Expenses</t>
  </si>
  <si>
    <t xml:space="preserve">M_GBDM~DCM</t>
  </si>
  <si>
    <t xml:space="preserve">M_GBEM~ECM</t>
  </si>
  <si>
    <t xml:space="preserve">M_GBIB~Industry Banking &amp; M&amp;A</t>
  </si>
  <si>
    <t xml:space="preserve">M_GBMT~GB Management Profit</t>
  </si>
  <si>
    <t xml:space="preserve">M_GCEO~CEO Profit</t>
  </si>
  <si>
    <t xml:space="preserve">M_GEAT~Global Equities Algo Trading</t>
  </si>
  <si>
    <t xml:space="preserve">M_GFIB~Trading bonds</t>
  </si>
  <si>
    <t xml:space="preserve">M_GMQS~Quantitative Research</t>
  </si>
  <si>
    <t xml:space="preserve">M_GMST~Structuring</t>
  </si>
  <si>
    <t xml:space="preserve">M_ITIR~IT iRise Product</t>
  </si>
  <si>
    <t xml:space="preserve">M_SCOM~Compliance</t>
  </si>
  <si>
    <t xml:space="preserve">M_SCRM~Credit Risk</t>
  </si>
  <si>
    <t xml:space="preserve">M_SFIN~Finance</t>
  </si>
  <si>
    <t xml:space="preserve">M_SINA~Internal Audit</t>
  </si>
  <si>
    <t xml:space="preserve">M_SLEG~Legal</t>
  </si>
  <si>
    <t xml:space="preserve">M_SMRM~Market Risk</t>
  </si>
  <si>
    <t xml:space="preserve">M_SORM~Operational Risk</t>
  </si>
  <si>
    <t xml:space="preserve">M_SPDP~Special Department</t>
  </si>
  <si>
    <t xml:space="preserve">M_SRMP~Risk Management pool</t>
  </si>
  <si>
    <t xml:space="preserve">M_STAX~Tax</t>
  </si>
  <si>
    <t xml:space="preserve">M_TIBT~Transaction BSS</t>
  </si>
  <si>
    <t xml:space="preserve">M_TICH~HR</t>
  </si>
  <si>
    <t xml:space="preserve">M_TICR~CRES</t>
  </si>
  <si>
    <t xml:space="preserve">M_TISC~Security information (ADMEX)</t>
  </si>
  <si>
    <t xml:space="preserve">M_TITB~IT Business Applications</t>
  </si>
  <si>
    <t xml:space="preserve">M_TITM~IT Infrastructure</t>
  </si>
  <si>
    <t xml:space="preserve">M_XSAL~Salary pool</t>
  </si>
  <si>
    <t xml:space="preserve">4015100020~Social securities on salaries</t>
  </si>
  <si>
    <t xml:space="preserve">M_XSSS~Social Security on Salaries pool</t>
  </si>
  <si>
    <t xml:space="preserve">4015100050~Accruals for unused vacations</t>
  </si>
  <si>
    <t xml:space="preserve">M_XSUV~Unused vacation pool</t>
  </si>
  <si>
    <t xml:space="preserve">4015100060~Social Security on accruals for unused vacations</t>
  </si>
  <si>
    <t xml:space="preserve">4015230010~Health &amp; welfare - Non-state mandated</t>
  </si>
  <si>
    <t xml:space="preserve">4015230020~Other benefits - Non-state mandated</t>
  </si>
  <si>
    <t xml:space="preserve">4015400010~Direct severance payments - cash</t>
  </si>
  <si>
    <t xml:space="preserve">M_XSPC~Direct severance cash pool</t>
  </si>
  <si>
    <t xml:space="preserve">4015640010~Under-/overaccruals - cash</t>
  </si>
  <si>
    <t xml:space="preserve">M_XCPB~Prior year bonus</t>
  </si>
  <si>
    <t xml:space="preserve">M_XQBD~Quarterly bonus</t>
  </si>
  <si>
    <t xml:space="preserve">4015640030~Under-/overaccruals - contribution to social secur</t>
  </si>
  <si>
    <t xml:space="preserve">M_XCUS~Social Security on Prior Year Bonus pool</t>
  </si>
  <si>
    <t xml:space="preserve">M_XQBS~Social Security on quarterly bonus</t>
  </si>
  <si>
    <t xml:space="preserve">4015690010~Quarterly bonus</t>
  </si>
  <si>
    <t xml:space="preserve">4015690020~Social Security on quarterly bonus</t>
  </si>
  <si>
    <t xml:space="preserve">4015700025~Sick leave compensation</t>
  </si>
  <si>
    <t xml:space="preserve">M_XBON~Other benefits- N/s. m</t>
  </si>
  <si>
    <t xml:space="preserve">4015700026~Social Security on Sick leave compensation</t>
  </si>
  <si>
    <t xml:space="preserve">4016610010~Costs for temporary staff &amp; contractors</t>
  </si>
  <si>
    <t xml:space="preserve">M_ACBM~New CIB Management</t>
  </si>
  <si>
    <t xml:space="preserve">M_TISM~General Pool by sq metres</t>
  </si>
  <si>
    <t xml:space="preserve">4017310000~Expenses for staff training, seminars</t>
  </si>
  <si>
    <t xml:space="preserve">E_CAAC~JSC Capital Active</t>
  </si>
  <si>
    <t xml:space="preserve">4016691000~Recruitment Expenses</t>
  </si>
  <si>
    <t xml:space="preserve">план /
факт</t>
  </si>
  <si>
    <t xml:space="preserve">месяц</t>
  </si>
  <si>
    <t xml:space="preserve">статья</t>
  </si>
  <si>
    <t xml:space="preserve">ГО / Сеть</t>
  </si>
  <si>
    <t xml:space="preserve">Блок/ ПиК</t>
  </si>
  <si>
    <t xml:space="preserve">Наименование ССП</t>
  </si>
  <si>
    <t xml:space="preserve">ПФМ</t>
  </si>
  <si>
    <t xml:space="preserve">MIR-код</t>
  </si>
  <si>
    <t xml:space="preserve">Программа бюджета</t>
  </si>
  <si>
    <t xml:space="preserve">комментарий</t>
  </si>
  <si>
    <t xml:space="preserve">Сумма</t>
  </si>
  <si>
    <t xml:space="preserve">Факт</t>
  </si>
  <si>
    <t xml:space="preserve">03_Март</t>
  </si>
  <si>
    <t xml:space="preserve">01.01.05.01_КВ</t>
  </si>
  <si>
    <t xml:space="preserve">Сеть</t>
  </si>
  <si>
    <t xml:space="preserve">Блок КИБ</t>
  </si>
  <si>
    <t xml:space="preserve">Департамент по работе с клиентами рыночных отраслей</t>
  </si>
  <si>
    <t xml:space="preserve">Z0192</t>
  </si>
  <si>
    <t xml:space="preserve">RCS_801_M</t>
  </si>
  <si>
    <t xml:space="preserve">Резерв КВ премия (1 кв. 2026)</t>
  </si>
  <si>
    <t xml:space="preserve">01.01.03.04</t>
  </si>
  <si>
    <t xml:space="preserve">Департамент по работе с клиентами базовых отраслей</t>
  </si>
  <si>
    <t xml:space="preserve">RCS_801_ST</t>
  </si>
  <si>
    <t xml:space="preserve">Z0540</t>
  </si>
  <si>
    <t xml:space="preserve">Z0594</t>
  </si>
  <si>
    <t xml:space="preserve">Z0651</t>
  </si>
  <si>
    <t xml:space="preserve">Z0795</t>
  </si>
  <si>
    <t xml:space="preserve">Z0851</t>
  </si>
  <si>
    <t xml:space="preserve">Z1008</t>
  </si>
  <si>
    <t xml:space="preserve">Z1014</t>
  </si>
  <si>
    <t xml:space="preserve">Z1015</t>
  </si>
  <si>
    <t xml:space="preserve">Z1016</t>
  </si>
  <si>
    <t xml:space="preserve">Z1031</t>
  </si>
  <si>
    <t xml:space="preserve">Z1043</t>
  </si>
  <si>
    <t xml:space="preserve">Z1050</t>
  </si>
  <si>
    <t xml:space="preserve">Z1051</t>
  </si>
  <si>
    <t xml:space="preserve">Z1052</t>
  </si>
  <si>
    <t xml:space="preserve">Z1053</t>
  </si>
  <si>
    <t xml:space="preserve">Z1054</t>
  </si>
  <si>
    <t xml:space="preserve">Z1056</t>
  </si>
  <si>
    <t xml:space="preserve">Z1057</t>
  </si>
  <si>
    <t xml:space="preserve">Z1061</t>
  </si>
  <si>
    <t xml:space="preserve">Z1062</t>
  </si>
  <si>
    <t xml:space="preserve">Z1068</t>
  </si>
  <si>
    <t xml:space="preserve">Z1218</t>
  </si>
  <si>
    <t xml:space="preserve">Z1251</t>
  </si>
  <si>
    <t xml:space="preserve">Z1262</t>
  </si>
  <si>
    <t xml:space="preserve">Z1351</t>
  </si>
  <si>
    <t xml:space="preserve">Z1440</t>
  </si>
  <si>
    <t xml:space="preserve">Z1589</t>
  </si>
  <si>
    <t xml:space="preserve">Z1751</t>
  </si>
  <si>
    <t xml:space="preserve">Z2005</t>
  </si>
  <si>
    <t xml:space="preserve">Z2007</t>
  </si>
  <si>
    <t xml:space="preserve">Z2011</t>
  </si>
  <si>
    <t xml:space="preserve">Z2042</t>
  </si>
  <si>
    <t xml:space="preserve">Z2046</t>
  </si>
  <si>
    <t xml:space="preserve">Z2049</t>
  </si>
  <si>
    <t xml:space="preserve">Z2064</t>
  </si>
  <si>
    <t xml:space="preserve">Z2424</t>
  </si>
  <si>
    <t xml:space="preserve">Z2551</t>
  </si>
  <si>
    <t xml:space="preserve">Z2954</t>
  </si>
  <si>
    <t xml:space="preserve">Z3045</t>
  </si>
  <si>
    <t xml:space="preserve">Z3395</t>
  </si>
  <si>
    <t xml:space="preserve">Z3459</t>
  </si>
  <si>
    <t xml:space="preserve">Z4041</t>
  </si>
  <si>
    <t xml:space="preserve">Z4323</t>
  </si>
  <si>
    <t xml:space="preserve">Z4684</t>
  </si>
  <si>
    <t xml:space="preserve">RNKB_CIB_K</t>
  </si>
  <si>
    <t xml:space="preserve">Z5545</t>
  </si>
  <si>
    <t xml:space="preserve">Департамент транзакционного бизнеса</t>
  </si>
  <si>
    <t xml:space="preserve">GTB_012_CIB</t>
  </si>
  <si>
    <t xml:space="preserve">RNKB_CIB</t>
  </si>
  <si>
    <t xml:space="preserve">Сторно Резерв КВ премия (01_январь и 02_февраль)</t>
  </si>
  <si>
    <t xml:space="preserve">NVR</t>
  </si>
  <si>
    <t xml:space="preserve">01.01.03.06</t>
  </si>
  <si>
    <t xml:space="preserve">ГО</t>
  </si>
  <si>
    <t xml:space="preserve">Z6608</t>
  </si>
  <si>
    <t xml:space="preserve">RCS_904</t>
  </si>
  <si>
    <t xml:space="preserve">Резерв Кросс премия за 1 кв. 2026 (03_март) </t>
  </si>
  <si>
    <t xml:space="preserve">01.01.05.01_Крос</t>
  </si>
  <si>
    <t xml:space="preserve">Z660801</t>
  </si>
  <si>
    <t xml:space="preserve">RCS_017</t>
  </si>
  <si>
    <t xml:space="preserve">RCS_029</t>
  </si>
  <si>
    <t xml:space="preserve">RCS_030</t>
  </si>
  <si>
    <t xml:space="preserve">Z660802</t>
  </si>
  <si>
    <t xml:space="preserve">RCS_015</t>
  </si>
  <si>
    <t xml:space="preserve">RCS_016</t>
  </si>
  <si>
    <t xml:space="preserve">RCS_018</t>
  </si>
  <si>
    <t xml:space="preserve">RCS_020</t>
  </si>
  <si>
    <t xml:space="preserve">RCS_021</t>
  </si>
  <si>
    <t xml:space="preserve">RCS_022</t>
  </si>
  <si>
    <t xml:space="preserve">RCS_023</t>
  </si>
  <si>
    <t xml:space="preserve">RCS_027</t>
  </si>
  <si>
    <t xml:space="preserve">Z660803</t>
  </si>
  <si>
    <t xml:space="preserve">BFKO_CIB</t>
  </si>
  <si>
    <t xml:space="preserve">Z6090</t>
  </si>
  <si>
    <t xml:space="preserve">RCS_903</t>
  </si>
  <si>
    <t xml:space="preserve">Z6091</t>
  </si>
  <si>
    <t xml:space="preserve">RCS_004</t>
  </si>
  <si>
    <t xml:space="preserve">Z6092</t>
  </si>
  <si>
    <t xml:space="preserve">RCS_005</t>
  </si>
  <si>
    <t xml:space="preserve">Z6093</t>
  </si>
  <si>
    <t xml:space="preserve">RCS_006</t>
  </si>
  <si>
    <t xml:space="preserve">Z6095</t>
  </si>
  <si>
    <t xml:space="preserve">RCS_008</t>
  </si>
  <si>
    <t xml:space="preserve">Z6096</t>
  </si>
  <si>
    <t xml:space="preserve">RCS_010</t>
  </si>
  <si>
    <t xml:space="preserve">Z6097</t>
  </si>
  <si>
    <t xml:space="preserve">RCS_011</t>
  </si>
  <si>
    <t xml:space="preserve">Z6098</t>
  </si>
  <si>
    <t xml:space="preserve">RCS_013</t>
  </si>
  <si>
    <t xml:space="preserve">Z6099</t>
  </si>
  <si>
    <t xml:space="preserve">RCS_014</t>
  </si>
  <si>
    <t xml:space="preserve">Z6101</t>
  </si>
  <si>
    <t xml:space="preserve">RCS_009</t>
  </si>
  <si>
    <t xml:space="preserve">Z6102</t>
  </si>
  <si>
    <t xml:space="preserve">RCS_032</t>
  </si>
  <si>
    <t xml:space="preserve">Z6103</t>
  </si>
  <si>
    <t xml:space="preserve">Z6104</t>
  </si>
  <si>
    <t xml:space="preserve">RCS_033</t>
  </si>
  <si>
    <t xml:space="preserve">Управление обслуживания приоритетных клиентов</t>
  </si>
  <si>
    <t xml:space="preserve">Z4925</t>
  </si>
  <si>
    <t xml:space="preserve">BSS_601_D03</t>
  </si>
  <si>
    <t xml:space="preserve">MNG_003</t>
  </si>
  <si>
    <t xml:space="preserve">STR_004</t>
  </si>
  <si>
    <t xml:space="preserve">Z6044</t>
  </si>
  <si>
    <t xml:space="preserve">01.01.03.03</t>
  </si>
  <si>
    <t xml:space="preserve">Аппарат Блока корпоративно-инвестиционного бизнеса</t>
  </si>
  <si>
    <t xml:space="preserve">Z666200</t>
  </si>
  <si>
    <t xml:space="preserve">MNG_009</t>
  </si>
  <si>
    <t xml:space="preserve">Резерв ГП  (03_март)</t>
  </si>
  <si>
    <t xml:space="preserve">01.01.05.01_ГП</t>
  </si>
  <si>
    <t xml:space="preserve">RCS_026</t>
  </si>
  <si>
    <t xml:space="preserve">Департамент брокерского обслуживания</t>
  </si>
  <si>
    <t xml:space="preserve">Z6460</t>
  </si>
  <si>
    <t xml:space="preserve">IBS_033_CIB</t>
  </si>
  <si>
    <t xml:space="preserve">IBS_037_CIB</t>
  </si>
  <si>
    <t xml:space="preserve">BFKO_OB</t>
  </si>
  <si>
    <t xml:space="preserve">Z646001</t>
  </si>
  <si>
    <t xml:space="preserve">IBS_030_CIB</t>
  </si>
  <si>
    <t xml:space="preserve">Z6462</t>
  </si>
  <si>
    <t xml:space="preserve">IBS_034_CIB</t>
  </si>
  <si>
    <t xml:space="preserve">Z6464</t>
  </si>
  <si>
    <t xml:space="preserve">IBS_036_CIB</t>
  </si>
  <si>
    <t xml:space="preserve">Z6466</t>
  </si>
  <si>
    <t xml:space="preserve">IBS_035_CIB</t>
  </si>
  <si>
    <t xml:space="preserve">Департамент инвестиционных продуктов</t>
  </si>
  <si>
    <t xml:space="preserve">Z6070</t>
  </si>
  <si>
    <t xml:space="preserve">IBS_040_CIB</t>
  </si>
  <si>
    <t xml:space="preserve">IBS_901_CIB</t>
  </si>
  <si>
    <t xml:space="preserve">RCS_040</t>
  </si>
  <si>
    <t xml:space="preserve">Z6072</t>
  </si>
  <si>
    <t xml:space="preserve">IBS_001_CIB</t>
  </si>
  <si>
    <t xml:space="preserve">IBS_002_CIB</t>
  </si>
  <si>
    <t xml:space="preserve">IBS_003_CIB</t>
  </si>
  <si>
    <t xml:space="preserve">IBS_004_CIB</t>
  </si>
  <si>
    <t xml:space="preserve">IBS_006_CIB</t>
  </si>
  <si>
    <t xml:space="preserve">IBS_050_CIB</t>
  </si>
  <si>
    <t xml:space="preserve">Z6073</t>
  </si>
  <si>
    <t xml:space="preserve">IBS_009_CIB</t>
  </si>
  <si>
    <t xml:space="preserve">Z6075</t>
  </si>
  <si>
    <t xml:space="preserve">IBS_010_CIB</t>
  </si>
  <si>
    <t xml:space="preserve">Департамент координации и анализа бизнеса</t>
  </si>
  <si>
    <t xml:space="preserve">Z6080</t>
  </si>
  <si>
    <t xml:space="preserve">Z608009</t>
  </si>
  <si>
    <t xml:space="preserve">Z608015</t>
  </si>
  <si>
    <t xml:space="preserve">Z608018</t>
  </si>
  <si>
    <t xml:space="preserve">CFT</t>
  </si>
  <si>
    <t xml:space="preserve">Департамент международных продуктовых решений и финансирования</t>
  </si>
  <si>
    <t xml:space="preserve">Z660701</t>
  </si>
  <si>
    <t xml:space="preserve">GTB_100_CIB</t>
  </si>
  <si>
    <t xml:space="preserve">PRJ_036</t>
  </si>
  <si>
    <t xml:space="preserve">GTB_101_CIB</t>
  </si>
  <si>
    <t xml:space="preserve">TRF_001</t>
  </si>
  <si>
    <t xml:space="preserve">Департамент операций на рынке акций</t>
  </si>
  <si>
    <t xml:space="preserve">Z6047</t>
  </si>
  <si>
    <t xml:space="preserve">IBS_014_CIB</t>
  </si>
  <si>
    <t xml:space="preserve">IBS_016_CIB</t>
  </si>
  <si>
    <t xml:space="preserve">IBS_099_CIB</t>
  </si>
  <si>
    <t xml:space="preserve">Z604701</t>
  </si>
  <si>
    <t xml:space="preserve">Z604702</t>
  </si>
  <si>
    <t xml:space="preserve">IBS_012_CIB</t>
  </si>
  <si>
    <t xml:space="preserve">Z604703</t>
  </si>
  <si>
    <t xml:space="preserve">IBS_005_CIB</t>
  </si>
  <si>
    <t xml:space="preserve">Z604704</t>
  </si>
  <si>
    <t xml:space="preserve">Департамент продаж продуктов финансовых рынков</t>
  </si>
  <si>
    <t xml:space="preserve">Z607402</t>
  </si>
  <si>
    <t xml:space="preserve">RCS_028</t>
  </si>
  <si>
    <t xml:space="preserve">Z6076</t>
  </si>
  <si>
    <t xml:space="preserve">RCS_041</t>
  </si>
  <si>
    <t xml:space="preserve">RCS_042</t>
  </si>
  <si>
    <t xml:space="preserve">RCS_043</t>
  </si>
  <si>
    <t xml:space="preserve">RCS_045</t>
  </si>
  <si>
    <t xml:space="preserve">Z607600</t>
  </si>
  <si>
    <t xml:space="preserve">RCS_046</t>
  </si>
  <si>
    <t xml:space="preserve">Департамент структурных продуктов и структурирования</t>
  </si>
  <si>
    <t xml:space="preserve">Z6059</t>
  </si>
  <si>
    <t xml:space="preserve">RCS_003</t>
  </si>
  <si>
    <t xml:space="preserve">Z605901</t>
  </si>
  <si>
    <t xml:space="preserve">Z605902</t>
  </si>
  <si>
    <t xml:space="preserve">Z605903</t>
  </si>
  <si>
    <t xml:space="preserve">Z605913</t>
  </si>
  <si>
    <t xml:space="preserve">Z6280</t>
  </si>
  <si>
    <t xml:space="preserve">GTB_013_CIB</t>
  </si>
  <si>
    <t xml:space="preserve">GTB_029_CIB</t>
  </si>
  <si>
    <t xml:space="preserve">GTB_902</t>
  </si>
  <si>
    <t xml:space="preserve">Z6281</t>
  </si>
  <si>
    <t xml:space="preserve">GTB_017</t>
  </si>
  <si>
    <t xml:space="preserve">Z6283</t>
  </si>
  <si>
    <t xml:space="preserve">GTB_014</t>
  </si>
  <si>
    <t xml:space="preserve">Z6284</t>
  </si>
  <si>
    <t xml:space="preserve">Z6285</t>
  </si>
  <si>
    <t xml:space="preserve">GTB_022</t>
  </si>
  <si>
    <t xml:space="preserve">Z6286</t>
  </si>
  <si>
    <t xml:space="preserve">GTB_024</t>
  </si>
  <si>
    <t xml:space="preserve">GTB_024_CKP</t>
  </si>
  <si>
    <t xml:space="preserve">CKP</t>
  </si>
  <si>
    <t xml:space="preserve">GTB_024_PRJ_036</t>
  </si>
  <si>
    <t xml:space="preserve">Z628602</t>
  </si>
  <si>
    <t xml:space="preserve">Z628603</t>
  </si>
  <si>
    <t xml:space="preserve">Депозитарий</t>
  </si>
  <si>
    <t xml:space="preserve">Z6013</t>
  </si>
  <si>
    <t xml:space="preserve">BSS_012</t>
  </si>
  <si>
    <t xml:space="preserve">BSS_012_BRK</t>
  </si>
  <si>
    <t xml:space="preserve">BM_2773</t>
  </si>
  <si>
    <t xml:space="preserve">GTB_011</t>
  </si>
  <si>
    <t xml:space="preserve">Кредитный департамент</t>
  </si>
  <si>
    <t xml:space="preserve">Z6180</t>
  </si>
  <si>
    <t xml:space="preserve">LND_002_CIB</t>
  </si>
  <si>
    <t xml:space="preserve">Z6181</t>
  </si>
  <si>
    <t xml:space="preserve">Z6182</t>
  </si>
  <si>
    <t xml:space="preserve">LND_003_CIB</t>
  </si>
  <si>
    <t xml:space="preserve">Z6184</t>
  </si>
  <si>
    <t xml:space="preserve">IBS_008_CIB</t>
  </si>
  <si>
    <t xml:space="preserve">LND_001_CIB</t>
  </si>
  <si>
    <t xml:space="preserve">LND_043_CIB</t>
  </si>
  <si>
    <t xml:space="preserve">Z6187</t>
  </si>
  <si>
    <t xml:space="preserve">LND_031_CIB</t>
  </si>
  <si>
    <t xml:space="preserve">Управление координации строительных проектов</t>
  </si>
  <si>
    <t xml:space="preserve">Z6043</t>
  </si>
  <si>
    <t xml:space="preserve">RCS_034</t>
  </si>
  <si>
    <t xml:space="preserve">BSS_601</t>
  </si>
  <si>
    <t xml:space="preserve">GOZ</t>
  </si>
  <si>
    <t xml:space="preserve">BSS_601_D03_GOZ</t>
  </si>
  <si>
    <t xml:space="preserve">Блок КИБ (спец.отдел)</t>
  </si>
  <si>
    <t xml:space="preserve">Специальный отдел</t>
  </si>
  <si>
    <t xml:space="preserve">Z6015</t>
  </si>
  <si>
    <t xml:space="preserve">SEC_006</t>
  </si>
  <si>
    <t xml:space="preserve">RNKB_PIK_L</t>
  </si>
  <si>
    <t xml:space="preserve">ЗФ</t>
  </si>
  <si>
    <t xml:space="preserve">Филиал Банка xxx (ПАО) в г.Нью-Дели (Индия)</t>
  </si>
  <si>
    <t xml:space="preserve">Z00260</t>
  </si>
  <si>
    <t xml:space="preserve">BSS_006</t>
  </si>
  <si>
    <t xml:space="preserve">BSS_032</t>
  </si>
  <si>
    <t xml:space="preserve">BSS_603</t>
  </si>
  <si>
    <t xml:space="preserve">CIA_002</t>
  </si>
  <si>
    <t xml:space="preserve">CIA_003</t>
  </si>
  <si>
    <t xml:space="preserve">FIN_003</t>
  </si>
  <si>
    <t xml:space="preserve">FIN_030</t>
  </si>
  <si>
    <t xml:space="preserve">ITI_801</t>
  </si>
  <si>
    <t xml:space="preserve">RMG_801</t>
  </si>
  <si>
    <t xml:space="preserve">SEC_801</t>
  </si>
  <si>
    <t xml:space="preserve">Филиал Банка xxx (ПАО) в г.Шанхай (Китай)</t>
  </si>
  <si>
    <t xml:space="preserve">Z00160</t>
  </si>
  <si>
    <t xml:space="preserve">BSS_603_SH_01</t>
  </si>
  <si>
    <t xml:space="preserve">BSS_603_SH_02</t>
  </si>
  <si>
    <t xml:space="preserve">BSS_603_SH_02_A</t>
  </si>
  <si>
    <t xml:space="preserve">BSS_603_SH_02_B</t>
  </si>
  <si>
    <t xml:space="preserve">BSS_603_SH_04</t>
  </si>
  <si>
    <t xml:space="preserve">BSS_603_SH_04_A</t>
  </si>
  <si>
    <t xml:space="preserve">BSS_603_SH_04_B</t>
  </si>
  <si>
    <t xml:space="preserve">BSS_603_SH_04_C</t>
  </si>
  <si>
    <t xml:space="preserve">BSS_603_SH_05</t>
  </si>
  <si>
    <t xml:space="preserve">CIA_001</t>
  </si>
  <si>
    <t xml:space="preserve">CRE_801</t>
  </si>
  <si>
    <t xml:space="preserve">FIN_034</t>
  </si>
  <si>
    <t xml:space="preserve">HRE_001</t>
  </si>
  <si>
    <t xml:space="preserve">ITI_801_SH_01_A</t>
  </si>
  <si>
    <t xml:space="preserve">ITI_801_SH_01_B</t>
  </si>
  <si>
    <t xml:space="preserve">ITI_801_SH_02</t>
  </si>
  <si>
    <t xml:space="preserve">ITI_801_SH_03</t>
  </si>
  <si>
    <t xml:space="preserve">ITI_801_SH_04</t>
  </si>
  <si>
    <t xml:space="preserve">LEG_701</t>
  </si>
  <si>
    <t xml:space="preserve">MNG_003_SH_01</t>
  </si>
  <si>
    <t xml:space="preserve">MNG_003_SH_02</t>
  </si>
  <si>
    <t xml:space="preserve">MNG_003_SH_03</t>
  </si>
  <si>
    <t xml:space="preserve">RCS_019</t>
  </si>
  <si>
    <t xml:space="preserve">RCS_036</t>
  </si>
  <si>
    <t xml:space="preserve">RCS_036_SH_01</t>
  </si>
  <si>
    <t xml:space="preserve">RCS_036_SH_02</t>
  </si>
  <si>
    <t xml:space="preserve">RCS_036_SH_03</t>
  </si>
  <si>
    <t xml:space="preserve">01.01.01.02</t>
  </si>
  <si>
    <t xml:space="preserve">(пусто)</t>
  </si>
  <si>
    <t xml:space="preserve">Резерв отпусков (03_март)</t>
  </si>
  <si>
    <t xml:space="preserve">Группа по развитию и координации международного бизнеса</t>
  </si>
  <si>
    <t xml:space="preserve">Z6042</t>
  </si>
  <si>
    <t xml:space="preserve">RCS_035</t>
  </si>
  <si>
    <t xml:space="preserve">Z6465</t>
  </si>
  <si>
    <t xml:space="preserve">IBS_032_CIB</t>
  </si>
  <si>
    <t xml:space="preserve">RP</t>
  </si>
  <si>
    <t xml:space="preserve">Z0000</t>
  </si>
  <si>
    <t xml:space="preserve">RCS_905</t>
  </si>
  <si>
    <t xml:space="preserve">Z604404</t>
  </si>
  <si>
    <t xml:space="preserve">01.01.05.03</t>
  </si>
  <si>
    <t xml:space="preserve">ЗФ на стороне ГО</t>
  </si>
  <si>
    <t xml:space="preserve">сторно Резерв ГП 2025 г.</t>
  </si>
  <si>
    <t xml:space="preserve">GTB_001_CIB</t>
  </si>
  <si>
    <t xml:space="preserve">GTB_005_CIB</t>
  </si>
  <si>
    <t xml:space="preserve">GTB_006_CIB</t>
  </si>
  <si>
    <t xml:space="preserve">01.03.00.01</t>
  </si>
  <si>
    <t xml:space="preserve">ДМС (УВХД)_1 кв. 2026</t>
  </si>
  <si>
    <t xml:space="preserve">12.01.01.04</t>
  </si>
  <si>
    <t xml:space="preserve">НПО (УВХД)_1 кв. 2026</t>
  </si>
  <si>
    <t xml:space="preserve">сторно ДМС (УВХД)_01_янв, 02_фев.</t>
  </si>
  <si>
    <t xml:space="preserve">MNG_005</t>
  </si>
  <si>
    <t xml:space="preserve">сторно ДМС аллокация 4 кв. (7 млн руб.)</t>
  </si>
  <si>
    <t xml:space="preserve">ДМС (УВХД)_аллокация 1 кв.2026 (15 млн руб.)</t>
  </si>
  <si>
    <t xml:space="preserve">12.01.01.03</t>
  </si>
  <si>
    <t xml:space="preserve">платежи ЗП и ЗФ (03_март)</t>
  </si>
  <si>
    <t xml:space="preserve">01.01.05.01</t>
  </si>
  <si>
    <t xml:space="preserve">платежи ЗП и ЗФ (СВ_02_февраль)</t>
  </si>
  <si>
    <t xml:space="preserve">LEG_801</t>
  </si>
  <si>
    <t xml:space="preserve">01.01.01.01</t>
  </si>
  <si>
    <t xml:space="preserve">BSS_603_SH_03</t>
  </si>
  <si>
    <t xml:space="preserve">CRE_701</t>
  </si>
  <si>
    <t xml:space="preserve">GTB_100_CIB-65%</t>
  </si>
  <si>
    <t xml:space="preserve">GTB_101_CIB-35%</t>
  </si>
  <si>
    <t xml:space="preserve">ССЧ</t>
  </si>
  <si>
    <t xml:space="preserve">платежи</t>
  </si>
  <si>
    <t xml:space="preserve">01.01.02.01</t>
  </si>
  <si>
    <t xml:space="preserve">12.01.01.01</t>
  </si>
  <si>
    <t xml:space="preserve">01.01.02.07</t>
  </si>
  <si>
    <t xml:space="preserve">01.01.02.02</t>
  </si>
  <si>
    <t xml:space="preserve">01.01.02.08</t>
  </si>
  <si>
    <t xml:space="preserve">01.01.02.04</t>
  </si>
  <si>
    <t xml:space="preserve">52.01.03.13_ЗП</t>
  </si>
  <si>
    <t xml:space="preserve">52.01.03.10</t>
  </si>
  <si>
    <t xml:space="preserve">Факт ГП за 2025 г. (как дельта к резерву)</t>
  </si>
  <si>
    <t xml:space="preserve">сторно Факт ГП за 2025 г.</t>
  </si>
  <si>
    <t xml:space="preserve">рекласс расходов</t>
  </si>
  <si>
    <t xml:space="preserve">Загрузка поименная Банк</t>
  </si>
  <si>
    <t xml:space="preserve">Таб номер</t>
  </si>
  <si>
    <t xml:space="preserve">ФИО</t>
  </si>
  <si>
    <t xml:space="preserve">Должность</t>
  </si>
  <si>
    <t xml:space="preserve">Подразделение 1 уровня</t>
  </si>
  <si>
    <t xml:space="preserve">Подразделение 2 уровня</t>
  </si>
  <si>
    <t xml:space="preserve">Подразделение 3 уровня</t>
  </si>
  <si>
    <t xml:space="preserve">Подразделение 4 уровня</t>
  </si>
  <si>
    <t xml:space="preserve">Подразделение 5 уровня</t>
  </si>
  <si>
    <t xml:space="preserve">Подразделение 6 уровня</t>
  </si>
  <si>
    <t xml:space="preserve">Подразделение 7 уровня</t>
  </si>
  <si>
    <t xml:space="preserve">Подразделение 8 уровня</t>
  </si>
  <si>
    <t xml:space="preserve">Подразделение 9 уровня</t>
  </si>
  <si>
    <t xml:space="preserve">Подразделение 10 уровня</t>
  </si>
  <si>
    <t xml:space="preserve">Подразделение 11 уровня</t>
  </si>
  <si>
    <t xml:space="preserve">Подразделение 12 уровня</t>
  </si>
  <si>
    <t xml:space="preserve">Mir-код</t>
  </si>
  <si>
    <t xml:space="preserve">МВЗ</t>
  </si>
  <si>
    <t xml:space="preserve">ГБЛ</t>
  </si>
  <si>
    <t xml:space="preserve">Функциональная вертикаль (Владелец ТРМ)</t>
  </si>
  <si>
    <t xml:space="preserve">ТРМ код</t>
  </si>
  <si>
    <t xml:space="preserve">ТРМ наименование</t>
  </si>
  <si>
    <t xml:space="preserve">Город</t>
  </si>
  <si>
    <t xml:space="preserve">Бранч</t>
  </si>
  <si>
    <t xml:space="preserve">ведущий специалист - аналитик</t>
  </si>
  <si>
    <t xml:space="preserve">ГОЛОВНАЯ ОРГАНИЗАЦИЯ БАНКА xxx (ПАО)</t>
  </si>
  <si>
    <t xml:space="preserve">Блок корпоративно-инвестиционного бизнеса</t>
  </si>
  <si>
    <t xml:space="preserve">Управление структурирования транзакций</t>
  </si>
  <si>
    <t xml:space="preserve">группа сопровождения структурных сделок</t>
  </si>
  <si>
    <t xml:space="preserve">ГБЛ КИБ ГО</t>
  </si>
  <si>
    <t xml:space="preserve">Москва</t>
  </si>
  <si>
    <t xml:space="preserve">/3C1
СФР (ПФ - общий)</t>
  </si>
  <si>
    <t xml:space="preserve">/3C5
Соц.Страх(НСП)-общий</t>
  </si>
  <si>
    <t xml:space="preserve">0001
Оклад (дни)</t>
  </si>
  <si>
    <t xml:space="preserve">0002
Оклад (часы)</t>
  </si>
  <si>
    <t xml:space="preserve">1010
Допл.за раб.в ночн.время</t>
  </si>
  <si>
    <t xml:space="preserve">1020
Допл.сверхур.перв.2ч(50%)</t>
  </si>
  <si>
    <t xml:space="preserve">1021
Допл.сверхур.&gt;2ч(100%)</t>
  </si>
  <si>
    <t xml:space="preserve">1030
Опл.работы вых/празд.(k1)</t>
  </si>
  <si>
    <t xml:space="preserve">Номер договора</t>
  </si>
  <si>
    <t xml:space="preserve">Дата</t>
  </si>
  <si>
    <t xml:space="preserve">Застрахованный</t>
  </si>
  <si>
    <t xml:space="preserve">Группа 2</t>
  </si>
  <si>
    <t xml:space="preserve">Табельный номер</t>
  </si>
  <si>
    <t xml:space="preserve">Mir code</t>
  </si>
  <si>
    <t xml:space="preserve">ДС</t>
  </si>
  <si>
    <t xml:space="preserve">дек.25</t>
  </si>
  <si>
    <t xml:space="preserve">янв.26</t>
  </si>
  <si>
    <t xml:space="preserve">фев.26</t>
  </si>
  <si>
    <t xml:space="preserve">мар.26</t>
  </si>
  <si>
    <t xml:space="preserve">апр.26</t>
  </si>
  <si>
    <t xml:space="preserve">май.26</t>
  </si>
  <si>
    <t xml:space="preserve">июн.26</t>
  </si>
  <si>
    <t xml:space="preserve">июл.26</t>
  </si>
  <si>
    <t xml:space="preserve">авг.26</t>
  </si>
  <si>
    <t xml:space="preserve">сен.26</t>
  </si>
  <si>
    <t xml:space="preserve">окт.26</t>
  </si>
  <si>
    <t xml:space="preserve">ноя.26</t>
  </si>
  <si>
    <t xml:space="preserve">Сотрудники</t>
  </si>
  <si>
    <t xml:space="preserve">сотрудники</t>
  </si>
  <si>
    <t xml:space="preserve">GFPT</t>
  </si>
  <si>
    <t xml:space="preserve">Договор</t>
  </si>
  <si>
    <t xml:space="preserve">супруги</t>
  </si>
  <si>
    <t xml:space="preserve">родственники</t>
  </si>
  <si>
    <t xml:space="preserve">дети</t>
  </si>
  <si>
    <t xml:space="preserve">TIBT</t>
  </si>
  <si>
    <t xml:space="preserve">FEXP</t>
  </si>
  <si>
    <t xml:space="preserve">Разбивка по страховани заливается сразу на год помесячно</t>
  </si>
  <si>
    <t xml:space="preserve">каждый квартал вносятся корректировки  по прикреплениям и откреплениям</t>
  </si>
  <si>
    <t xml:space="preserve">Target HC 2026 by MIR Structure</t>
  </si>
  <si>
    <t xml:space="preserve">Dec. Target</t>
  </si>
  <si>
    <t xml:space="preserve">Dec. Actual</t>
  </si>
  <si>
    <t xml:space="preserve">Dec.Target vs
Dec. Actual</t>
  </si>
  <si>
    <t xml:space="preserve">Apr. Target</t>
  </si>
  <si>
    <t xml:space="preserve">Apr. Actual</t>
  </si>
  <si>
    <t xml:space="preserve">Apr.Target vs
Apr. Actual</t>
  </si>
  <si>
    <t xml:space="preserve">Dec 26 Target vs. 
Apr 26 Actual</t>
  </si>
  <si>
    <t xml:space="preserve">Row Labels</t>
  </si>
  <si>
    <t xml:space="preserve">Sum of TargetДекабрь 2025</t>
  </si>
  <si>
    <t xml:space="preserve">Sum of ACTДекабрь 2025</t>
  </si>
  <si>
    <t xml:space="preserve">Sum of дек2025 Tg-Act</t>
  </si>
  <si>
    <t xml:space="preserve">Sum of TargetАпрель 2026</t>
  </si>
  <si>
    <t xml:space="preserve">Sum of ACTАпрель 2026</t>
  </si>
  <si>
    <t xml:space="preserve">Sum of Апрель Tg-Act</t>
  </si>
  <si>
    <t xml:space="preserve">Sum of TargetДекабрь 2026</t>
  </si>
  <si>
    <t xml:space="preserve">Sum of Dec26Tg-Apr26Act</t>
  </si>
  <si>
    <t xml:space="preserve">Business&amp;Support Total</t>
  </si>
  <si>
    <t xml:space="preserve">CIB</t>
  </si>
  <si>
    <t xml:space="preserve">CIB Management and Other</t>
  </si>
  <si>
    <t xml:space="preserve">Credit Business</t>
  </si>
  <si>
    <t xml:space="preserve">Corporate Sales</t>
  </si>
  <si>
    <t xml:space="preserve">Management</t>
  </si>
  <si>
    <t xml:space="preserve">Project Office</t>
  </si>
  <si>
    <t xml:space="preserve">Structuring</t>
  </si>
  <si>
    <t xml:space="preserve">WIM&amp;RTL</t>
  </si>
  <si>
    <t xml:space="preserve">Support</t>
  </si>
  <si>
    <t xml:space="preserve">COO</t>
  </si>
  <si>
    <t xml:space="preserve">BSS</t>
  </si>
  <si>
    <t xml:space="preserve">WIM Support</t>
  </si>
  <si>
    <t xml:space="preserve">Communications &amp; Marketing</t>
  </si>
  <si>
    <t xml:space="preserve">Compliance</t>
  </si>
  <si>
    <t xml:space="preserve">CRES</t>
  </si>
  <si>
    <t xml:space="preserve">Legal</t>
  </si>
  <si>
    <t xml:space="preserve">Security</t>
  </si>
  <si>
    <t xml:space="preserve">HR</t>
  </si>
  <si>
    <t xml:space="preserve">Internal Audit</t>
  </si>
  <si>
    <t xml:space="preserve">Risk</t>
  </si>
  <si>
    <t xml:space="preserve">Special Department</t>
  </si>
  <si>
    <t xml:space="preserve">Quota Job</t>
  </si>
  <si>
    <t xml:space="preserve">Research</t>
  </si>
  <si>
    <t xml:space="preserve">FTA &amp; Elevate Prog</t>
  </si>
  <si>
    <t xml:space="preserve">Grand Total</t>
  </si>
  <si>
    <t xml:space="preserve">Target HC 2026 by Global Structure</t>
  </si>
  <si>
    <t xml:space="preserve">Business Management</t>
  </si>
  <si>
    <t xml:space="preserve">Credit
 HCMC 18.09.2025</t>
  </si>
  <si>
    <t xml:space="preserve">Криптоактивы</t>
  </si>
  <si>
    <t xml:space="preserve">УК ВИМ
HCMC 26.02.2026</t>
  </si>
  <si>
    <t xml:space="preserve">iRise
HCMC 13.02.2026</t>
  </si>
  <si>
    <t xml:space="preserve">HCMC 20.03.2026</t>
  </si>
  <si>
    <t xml:space="preserve">Mar. Target</t>
  </si>
  <si>
    <t xml:space="preserve">Mar. Actual</t>
  </si>
  <si>
    <t xml:space="preserve">Mar.Target vs
Mar. Actual</t>
  </si>
  <si>
    <t xml:space="preserve">Dec 26 Target vs. 
Mar 26 Actual</t>
  </si>
  <si>
    <t xml:space="preserve">Column Labels</t>
  </si>
  <si>
    <t xml:space="preserve">Credit HCMC 18/09/2025</t>
  </si>
  <si>
    <t xml:space="preserve">УК ВИМ, HCMC 26/02/2026</t>
  </si>
  <si>
    <t xml:space="preserve">iRise, HCMC 13/02/2026</t>
  </si>
  <si>
    <t xml:space="preserve">Current HC movement during the period by MIR structure</t>
  </si>
  <si>
    <t xml:space="preserve">22.04.2026 - 29.04.2026</t>
  </si>
  <si>
    <t xml:space="preserve">HC 
as of
22.04.2026</t>
  </si>
  <si>
    <t xml:space="preserve">Movement for period</t>
  </si>
  <si>
    <t xml:space="preserve">HC 
as of
29.04.2026</t>
  </si>
  <si>
    <t xml:space="preserve">Hire</t>
  </si>
  <si>
    <t xml:space="preserve">Leaver</t>
  </si>
  <si>
    <t xml:space="preserve">Transfer IN</t>
  </si>
  <si>
    <t xml:space="preserve">Transfer OUT</t>
  </si>
  <si>
    <t xml:space="preserve">Business &amp; Support Total</t>
  </si>
  <si>
    <t xml:space="preserve">Бузоверя Виталий Николаевич</t>
  </si>
  <si>
    <t xml:space="preserve">Бутрин Михаил Робертович</t>
  </si>
  <si>
    <t xml:space="preserve">Воронова Екатерина Алексеевна</t>
  </si>
  <si>
    <t xml:space="preserve">Гречишникова Галина Владимировна</t>
  </si>
  <si>
    <t xml:space="preserve">Колотова Дарья Борисовна</t>
  </si>
  <si>
    <t xml:space="preserve">Кудров Роман Алексеевич</t>
  </si>
  <si>
    <t xml:space="preserve">Павлычева Дарья Анатольевна</t>
  </si>
  <si>
    <t xml:space="preserve">Пазухин Александр Геннадьевич</t>
  </si>
  <si>
    <t xml:space="preserve">Белова Евгения Андреевна</t>
  </si>
  <si>
    <t xml:space="preserve">Бородина Елена Владимировна</t>
  </si>
  <si>
    <t xml:space="preserve">Ващук Ольга Игоревна</t>
  </si>
  <si>
    <t xml:space="preserve">Власов Валерий Анатольевич</t>
  </si>
  <si>
    <t xml:space="preserve">Гашицкая Марина Анатольевна</t>
  </si>
  <si>
    <t xml:space="preserve">Горбачева Оксана Юрьевна</t>
  </si>
  <si>
    <t xml:space="preserve">Дзюбалов Илья Александрович</t>
  </si>
  <si>
    <t xml:space="preserve">Дроздов Алексей Юрьевич</t>
  </si>
  <si>
    <t xml:space="preserve">Жаворонкова Ольга Геннадьевна</t>
  </si>
  <si>
    <t xml:space="preserve">Загребнева Марина Юрьевна</t>
  </si>
  <si>
    <t xml:space="preserve">Зубакова Елена Юрьевна</t>
  </si>
  <si>
    <t xml:space="preserve">Иванова Екатерина Игоревна</t>
  </si>
  <si>
    <t xml:space="preserve">Колесницкий Георгий Михайлович</t>
  </si>
  <si>
    <t xml:space="preserve">Кочеткова Наталья Александровна</t>
  </si>
  <si>
    <t xml:space="preserve">Кузнецова Росина Васильевна</t>
  </si>
  <si>
    <t xml:space="preserve">Ларина Лилия Дамировна</t>
  </si>
  <si>
    <t xml:space="preserve">Полищук Георгий Аланович</t>
  </si>
  <si>
    <t xml:space="preserve">Расторгуев Дмитрий Валентинович</t>
  </si>
  <si>
    <t xml:space="preserve">Родионов Игорь Станиславович</t>
  </si>
  <si>
    <t xml:space="preserve">Семенова Наталья Анатольевна</t>
  </si>
  <si>
    <t xml:space="preserve">Судоша Татьяна Владимировна</t>
  </si>
  <si>
    <t xml:space="preserve">Суханова Евгения Эрнестовна</t>
  </si>
  <si>
    <t xml:space="preserve">Шаврова Анна Владимировна</t>
  </si>
  <si>
    <t xml:space="preserve">Шатнёв Андрей Владимирович</t>
  </si>
  <si>
    <t xml:space="preserve">Алексеев Андрей Александрович</t>
  </si>
  <si>
    <t xml:space="preserve">Амирзадова Алина Владиславовна</t>
  </si>
  <si>
    <t xml:space="preserve">Андреев Андрей Дмитриевич</t>
  </si>
  <si>
    <t xml:space="preserve">Аскер-Заде Инара Вагиф кызы</t>
  </si>
  <si>
    <t xml:space="preserve">Ахвердян Александр Габриелович</t>
  </si>
  <si>
    <t xml:space="preserve">Бакотин Игорь Геннадьевич</t>
  </si>
  <si>
    <t xml:space="preserve">Беседина Екатерина Юрьевна</t>
  </si>
  <si>
    <t xml:space="preserve">Болотова Мария Юрьевна</t>
  </si>
  <si>
    <t xml:space="preserve">Гребенников Игорь Вячеславович</t>
  </si>
  <si>
    <t xml:space="preserve">Дружкин Георгий Юрьевич</t>
  </si>
  <si>
    <t xml:space="preserve">Дудина Елизавета Анатольевна</t>
  </si>
  <si>
    <t xml:space="preserve">Зотов Виктор Сергеевич</t>
  </si>
  <si>
    <t xml:space="preserve">Какабадзе Александр Изалмерович</t>
  </si>
  <si>
    <t xml:space="preserve">Качкуркин Кирилл Сергеевич</t>
  </si>
  <si>
    <t xml:space="preserve">Квасов Борис Борисович</t>
  </si>
  <si>
    <t xml:space="preserve">Керимханова Наза Расуловна</t>
  </si>
  <si>
    <t xml:space="preserve">Ковылева Ксения Алексеевна</t>
  </si>
  <si>
    <t xml:space="preserve">Кокешов Алихан Эдуардович</t>
  </si>
  <si>
    <t xml:space="preserve">Лавров Олег Сергеевич</t>
  </si>
  <si>
    <t xml:space="preserve">Манзулин Владислав Альбертович</t>
  </si>
  <si>
    <t xml:space="preserve">Мартоян Сэвак Дживанович</t>
  </si>
  <si>
    <t xml:space="preserve">Мартынов Александр Дмитриевич</t>
  </si>
  <si>
    <t xml:space="preserve">Муллагалеев Тимур Булатович</t>
  </si>
  <si>
    <t xml:space="preserve">Мясников Алексей Владимирович</t>
  </si>
  <si>
    <t xml:space="preserve">Надыров Георгий Шанович</t>
  </si>
  <si>
    <t xml:space="preserve">Нефедов Дмитрий Александрович</t>
  </si>
  <si>
    <t xml:space="preserve">Омаров Магомед Зайналабидович</t>
  </si>
  <si>
    <t xml:space="preserve">Подрезенкова Полина Борисовна</t>
  </si>
  <si>
    <t xml:space="preserve">Попович Виталий Владимирович</t>
  </si>
  <si>
    <t xml:space="preserve">Рагимов Гамид Арзу оглы</t>
  </si>
  <si>
    <t xml:space="preserve">Скворцова Екатерина Александровна</t>
  </si>
  <si>
    <t xml:space="preserve">Слепокуров Максим Валерьевич</t>
  </si>
  <si>
    <t xml:space="preserve">Соколов Александр Евгеньевич</t>
  </si>
  <si>
    <t xml:space="preserve">Соловьев Сергей Владиславович</t>
  </si>
  <si>
    <t xml:space="preserve">Стародубцев Юрий Георгиевич</t>
  </si>
  <si>
    <t xml:space="preserve">Степанов Андрей Сергеевич</t>
  </si>
  <si>
    <t xml:space="preserve">Степанченко Евгений Александрович</t>
  </si>
  <si>
    <t xml:space="preserve">Тагиев Солтан Алескерович</t>
  </si>
  <si>
    <t xml:space="preserve">Томилин Алексей Владимирович</t>
  </si>
  <si>
    <t xml:space="preserve">Устинова Юлия Александровна</t>
  </si>
  <si>
    <t xml:space="preserve">Энгель Сергей Сергеевич</t>
  </si>
  <si>
    <t xml:space="preserve">Балхин Даниил Заурович</t>
  </si>
  <si>
    <t xml:space="preserve">Боровиков Михаил Александрович</t>
  </si>
  <si>
    <t xml:space="preserve">Виноградова Мария Владимировна</t>
  </si>
  <si>
    <t xml:space="preserve">Гарипов Евгений Владимирович</t>
  </si>
  <si>
    <t xml:space="preserve">Голдовская Юлия Владимировна</t>
  </si>
  <si>
    <t xml:space="preserve">Гордеев Юрий Алексеевич</t>
  </si>
  <si>
    <t xml:space="preserve">Гузь Евгений Игоревич</t>
  </si>
  <si>
    <t xml:space="preserve">Гусева Мария</t>
  </si>
  <si>
    <t xml:space="preserve">Деркач Александр Сергеевич</t>
  </si>
  <si>
    <t xml:space="preserve">Джомидава Ольга Руслановна</t>
  </si>
  <si>
    <t xml:space="preserve">Егоров Денис Андреевич</t>
  </si>
  <si>
    <t xml:space="preserve">Елистратов Никита Игоревич</t>
  </si>
  <si>
    <t xml:space="preserve">Жила Илья Витальевич</t>
  </si>
  <si>
    <t xml:space="preserve">Золотарева Иоанна Левановна</t>
  </si>
  <si>
    <t xml:space="preserve">Ковалевич Сергей Александрович</t>
  </si>
  <si>
    <t xml:space="preserve">Конопатова Екатерина Васильевна</t>
  </si>
  <si>
    <t xml:space="preserve">Коноплев Александр Сергеевич</t>
  </si>
  <si>
    <t xml:space="preserve">Константинов Филипп Алексеевич</t>
  </si>
  <si>
    <t xml:space="preserve">Коробкина Дарья Павловна</t>
  </si>
  <si>
    <t xml:space="preserve">Кучин Борис Владимирович</t>
  </si>
  <si>
    <t xml:space="preserve">Лебединец Игорь</t>
  </si>
  <si>
    <t xml:space="preserve">Любан Юрий Алексеевич</t>
  </si>
  <si>
    <t xml:space="preserve">Матросов Кирилл Александрович</t>
  </si>
  <si>
    <t xml:space="preserve">Матюхин Дмитрий Александрович</t>
  </si>
  <si>
    <t xml:space="preserve">Михалченко Дарья Сергеевна</t>
  </si>
  <si>
    <t xml:space="preserve">Нигматулин Артур Владиславович</t>
  </si>
  <si>
    <t xml:space="preserve">Планкин Дмитрий Юрьевич</t>
  </si>
  <si>
    <t xml:space="preserve">Платонов Станислав Валерьевич</t>
  </si>
  <si>
    <t xml:space="preserve">Прядкина Анна Владимировна</t>
  </si>
  <si>
    <t xml:space="preserve">Пугачев Артемий Станиславович</t>
  </si>
  <si>
    <t xml:space="preserve">Рожкова Анастасия Владимировна</t>
  </si>
  <si>
    <t xml:space="preserve">Самолюк Сергей Александрович</t>
  </si>
  <si>
    <t xml:space="preserve">Смоленцева Светлана Александровна</t>
  </si>
  <si>
    <t xml:space="preserve">Тарасов Андрей Сергеевич</t>
  </si>
  <si>
    <t xml:space="preserve">Филатов Антон Андреевич</t>
  </si>
  <si>
    <t xml:space="preserve">Цветков Игорь Викторович</t>
  </si>
  <si>
    <t xml:space="preserve">Шангин Владимир Викторович</t>
  </si>
  <si>
    <t xml:space="preserve">Якубанец Сергей Владимирович</t>
  </si>
  <si>
    <t xml:space="preserve">Герасимова Татьяна Геннадиевна</t>
  </si>
  <si>
    <t xml:space="preserve">Иванов Антон Владимирович</t>
  </si>
  <si>
    <t xml:space="preserve">Камалов Фарит Александрович</t>
  </si>
  <si>
    <t xml:space="preserve">Карпов Роман Юрьевич</t>
  </si>
  <si>
    <t xml:space="preserve">Коваленко Евгений Андреевич</t>
  </si>
  <si>
    <t xml:space="preserve">Полесская Елена Геннадьевна</t>
  </si>
  <si>
    <t xml:space="preserve">Смирнова Светлана Алексеевна</t>
  </si>
  <si>
    <t xml:space="preserve">Тарасова Алена Валерьевна</t>
  </si>
  <si>
    <t xml:space="preserve">Терехов Алексей Викторович</t>
  </si>
  <si>
    <t xml:space="preserve">Фенченко Мария Александровна</t>
  </si>
  <si>
    <t xml:space="preserve">Штауффенберг Алёна Игоревна</t>
  </si>
  <si>
    <t xml:space="preserve">Юдина Алла Юрьевна</t>
  </si>
  <si>
    <t xml:space="preserve">Шейко Александр Семенович</t>
  </si>
  <si>
    <t xml:space="preserve">Горшкова Екатерина Олеговна</t>
  </si>
  <si>
    <t xml:space="preserve">Дубинин Илья Андреевич</t>
  </si>
  <si>
    <t xml:space="preserve">Залётин Юрий Александрович</t>
  </si>
  <si>
    <t xml:space="preserve">Зорин Дмитрий Викторович</t>
  </si>
  <si>
    <t xml:space="preserve">Идноева Нурана Физулиевна</t>
  </si>
  <si>
    <t xml:space="preserve">Кафланова Камилла Алмасовна</t>
  </si>
  <si>
    <t xml:space="preserve">Перинский Александр Олегович</t>
  </si>
  <si>
    <t xml:space="preserve">Петренко Александр Алексеевич</t>
  </si>
  <si>
    <t xml:space="preserve">Роман София Михайловна</t>
  </si>
  <si>
    <t xml:space="preserve">Санников Максим Владимирович</t>
  </si>
  <si>
    <t xml:space="preserve">Сидоров Евгений Павлович</t>
  </si>
  <si>
    <t xml:space="preserve">Табачкова Ольга Александровна</t>
  </si>
  <si>
    <t xml:space="preserve">Шафеева Татьяна Борисовна</t>
  </si>
  <si>
    <t xml:space="preserve">Ширинская Нигина Таировна</t>
  </si>
  <si>
    <t xml:space="preserve">Юматов Андрей Александрович</t>
  </si>
  <si>
    <t xml:space="preserve">Яблокова Дарья Николаевна</t>
  </si>
  <si>
    <t xml:space="preserve">Холощак Анастасия Сергеевна</t>
  </si>
  <si>
    <t xml:space="preserve">Алиев Эмил</t>
  </si>
  <si>
    <t xml:space="preserve">Гладких Александра Сергеевна</t>
  </si>
  <si>
    <t xml:space="preserve">Зайков Дмитрий Алексеевич</t>
  </si>
  <si>
    <t xml:space="preserve">Калиев Айдар Муратович</t>
  </si>
  <si>
    <t xml:space="preserve">Колесник Елена Александровна</t>
  </si>
  <si>
    <t xml:space="preserve">Кулаков Александр Михайлович</t>
  </si>
  <si>
    <t xml:space="preserve">Курдюкова Ольга Игоревна</t>
  </si>
  <si>
    <t xml:space="preserve">Левковский Александр Анатольевич</t>
  </si>
  <si>
    <t xml:space="preserve">Лукина Дарья Игоревна</t>
  </si>
  <si>
    <t xml:space="preserve">Марущенко Анастасия Олеговна</t>
  </si>
  <si>
    <t xml:space="preserve">Мерлинкина Инна Андреевна</t>
  </si>
  <si>
    <t xml:space="preserve">Молчанов Юрий Вячеславович</t>
  </si>
  <si>
    <t xml:space="preserve">Назмутдинова Анастасия Дмитриевна</t>
  </si>
  <si>
    <t xml:space="preserve">Нестеренко Мария Алексеевна</t>
  </si>
  <si>
    <t xml:space="preserve">Никифорова Наталья Викторовна</t>
  </si>
  <si>
    <t xml:space="preserve">Смирнова Анна Сергеевна</t>
  </si>
  <si>
    <t xml:space="preserve">Снытко Анастасия Николаевна</t>
  </si>
  <si>
    <t xml:space="preserve">Трененкова Евгения Вячеславовна</t>
  </si>
  <si>
    <t xml:space="preserve">Трохина Вера Евгеньевна</t>
  </si>
  <si>
    <t xml:space="preserve">Чекалкин Дмитрий Викторович</t>
  </si>
  <si>
    <t xml:space="preserve">Чеснокова Ольга Николаевна</t>
  </si>
  <si>
    <t xml:space="preserve">Шишкова Мария Вячеславовна</t>
  </si>
  <si>
    <t xml:space="preserve">Шумилин Валерий Алексеевич</t>
  </si>
  <si>
    <t xml:space="preserve">Юркевич Андрей Николаевич</t>
  </si>
  <si>
    <t xml:space="preserve">Яковицкий Алексей Андреевич</t>
  </si>
  <si>
    <t xml:space="preserve">Яковлев Сергей Викторович</t>
  </si>
  <si>
    <t xml:space="preserve">Агеева Марина Александровна</t>
  </si>
  <si>
    <t xml:space="preserve">Макущенко Андрей Александрович</t>
  </si>
  <si>
    <t xml:space="preserve">Сидоренко Алексей Андреевич</t>
  </si>
  <si>
    <t xml:space="preserve">Диголь Иван Денисович</t>
  </si>
  <si>
    <t xml:space="preserve">Киселев Александр Анатольевич</t>
  </si>
  <si>
    <t xml:space="preserve">Кожев Иван Викторович</t>
  </si>
  <si>
    <t xml:space="preserve">Коновалов Алексей Андреевич</t>
  </si>
  <si>
    <t xml:space="preserve">Леваков Пётр Павлович</t>
  </si>
  <si>
    <t xml:space="preserve">Лопушанский Денис Игоревич</t>
  </si>
  <si>
    <t xml:space="preserve">Полуденный Владислав Игоревич</t>
  </si>
  <si>
    <t xml:space="preserve">Суспицын Дмитрий Сергеевич</t>
  </si>
  <si>
    <t xml:space="preserve">Тартычева Юлия Николаевна</t>
  </si>
  <si>
    <t xml:space="preserve">Абросимова Полина Александровна</t>
  </si>
  <si>
    <t xml:space="preserve">Аксенов Андрей Игоревич</t>
  </si>
  <si>
    <t xml:space="preserve">Аксенова Ольга Вячеславовна</t>
  </si>
  <si>
    <t xml:space="preserve">Алиева Гулбарият Асадуллаевна</t>
  </si>
  <si>
    <t xml:space="preserve">Аперян Полина Вазгеновна</t>
  </si>
  <si>
    <t xml:space="preserve">Арефьева Анна Григорьевна</t>
  </si>
  <si>
    <t xml:space="preserve">Асхабов Магомед Асхабович</t>
  </si>
  <si>
    <t xml:space="preserve">Ахадова Элина Эльшадовна</t>
  </si>
  <si>
    <t xml:space="preserve">Байрамов Вадим Абдулахович</t>
  </si>
  <si>
    <t xml:space="preserve">Барченкова Татьяна Вадимовна</t>
  </si>
  <si>
    <t xml:space="preserve">Бахмутская Анна Александровна</t>
  </si>
  <si>
    <t xml:space="preserve">Беляева Юлия Юрьевна</t>
  </si>
  <si>
    <t xml:space="preserve">Болтнев Илья Владимирович</t>
  </si>
  <si>
    <t xml:space="preserve">Бурдина Мария Сергеевна</t>
  </si>
  <si>
    <t xml:space="preserve">Вальков Даниил Леонидович</t>
  </si>
  <si>
    <t xml:space="preserve">Васюков Савелий Дмитриевич</t>
  </si>
  <si>
    <t xml:space="preserve">Вовченко Любовь Всеволодовна</t>
  </si>
  <si>
    <t xml:space="preserve">Володин Артем Анатольевич</t>
  </si>
  <si>
    <t xml:space="preserve">Герасименко Юлия Сергеевна</t>
  </si>
  <si>
    <t xml:space="preserve">Гуляев Александр Александрович</t>
  </si>
  <si>
    <t xml:space="preserve">Дворницкая Юлия Григорьевна</t>
  </si>
  <si>
    <t xml:space="preserve">Дмитриева Марина Александровна</t>
  </si>
  <si>
    <t xml:space="preserve">Дробжева Екатерина Михайловна</t>
  </si>
  <si>
    <t xml:space="preserve">Дубовицкий Федор Сергеевич</t>
  </si>
  <si>
    <t xml:space="preserve">Дубров Александр Михайлович</t>
  </si>
  <si>
    <t xml:space="preserve">Дубровский Дмитрий Владимирович</t>
  </si>
  <si>
    <t xml:space="preserve">Дунаева Анастасия Вячеславовна</t>
  </si>
  <si>
    <t xml:space="preserve">Дюдин Сергей Геннадьевич</t>
  </si>
  <si>
    <t xml:space="preserve">Дюсембаев Роман</t>
  </si>
  <si>
    <t xml:space="preserve">Ермолаев Владимир Германович</t>
  </si>
  <si>
    <t xml:space="preserve">Есаков Михаил Константинович</t>
  </si>
  <si>
    <t xml:space="preserve">Ефимова Елизавета Николаевна</t>
  </si>
  <si>
    <t xml:space="preserve">Журавлев Иван Андреевич</t>
  </si>
  <si>
    <t xml:space="preserve">Журавлёва Анна Вячеславовна</t>
  </si>
  <si>
    <t xml:space="preserve">Звягинцева Ирина Александровна</t>
  </si>
  <si>
    <t xml:space="preserve">Золотарева Ольга Геннадьевна</t>
  </si>
  <si>
    <t xml:space="preserve">Ивлиев Иван Дмитриевич</t>
  </si>
  <si>
    <t xml:space="preserve">Измайлов Даниял Маратович</t>
  </si>
  <si>
    <t xml:space="preserve">Ильин Алексей Александрович</t>
  </si>
  <si>
    <t xml:space="preserve">Исыченко Елизавета Сергеевна</t>
  </si>
  <si>
    <t xml:space="preserve">Казарихин Николай Николаевич</t>
  </si>
  <si>
    <t xml:space="preserve">Карпенкова Екатерина Игоревна</t>
  </si>
  <si>
    <t xml:space="preserve">Карпов Александр Викторович</t>
  </si>
  <si>
    <t xml:space="preserve">Квителашвили Анри Михайлович</t>
  </si>
  <si>
    <t xml:space="preserve">Кехян Лианна</t>
  </si>
  <si>
    <t xml:space="preserve">Ким Алексей Геннович</t>
  </si>
  <si>
    <t xml:space="preserve">Кириллов Владимир Ефимович</t>
  </si>
  <si>
    <t xml:space="preserve">Кирсанова Екатерина Александровна</t>
  </si>
  <si>
    <t xml:space="preserve">Колокольников Андрей Борисович</t>
  </si>
  <si>
    <t xml:space="preserve">Королева Александра Александровна</t>
  </si>
  <si>
    <t xml:space="preserve">Корчунов Валентин Александрович</t>
  </si>
  <si>
    <t xml:space="preserve">Костюк Екатерина Николаевна</t>
  </si>
  <si>
    <t xml:space="preserve">Котова Елизавета Андреевна</t>
  </si>
  <si>
    <t xml:space="preserve">Крайнов Юрий Олегович</t>
  </si>
  <si>
    <t xml:space="preserve">Ксенофонтова Анастасия Михайловна</t>
  </si>
  <si>
    <t xml:space="preserve">Кузнецов Евгений Валерьевич</t>
  </si>
  <si>
    <t xml:space="preserve">Леонтьева Анна Владимировна</t>
  </si>
  <si>
    <t xml:space="preserve">Лукьянов Владислав Викторович</t>
  </si>
  <si>
    <t xml:space="preserve">Лухманова Мария Сергеевна</t>
  </si>
  <si>
    <t xml:space="preserve">Мамин Денис Ринатович</t>
  </si>
  <si>
    <t xml:space="preserve">Маричев Иван Сергеевич</t>
  </si>
  <si>
    <t xml:space="preserve">Матузко Данила Витальевич</t>
  </si>
  <si>
    <t xml:space="preserve">Милосердов Александр Анатольевич</t>
  </si>
  <si>
    <t xml:space="preserve">Мифтахов Ильнар Илгизярович</t>
  </si>
  <si>
    <t xml:space="preserve">Мишин Дмитрий Эдуардович</t>
  </si>
  <si>
    <t xml:space="preserve">Моисеев Александр Александрович</t>
  </si>
  <si>
    <t xml:space="preserve">Морозов Дмитрий Юрьевич</t>
  </si>
  <si>
    <t xml:space="preserve">Мурзагалиев Таир Асылбекович</t>
  </si>
  <si>
    <t xml:space="preserve">Мусаев Рауль Меджнун оглы</t>
  </si>
  <si>
    <t xml:space="preserve">Образцова Анна Александровна</t>
  </si>
  <si>
    <t xml:space="preserve">Осипов Вадим Сергеевич</t>
  </si>
  <si>
    <t xml:space="preserve">Отопкова Алена Витальевна</t>
  </si>
  <si>
    <t xml:space="preserve">Пайчадзе Нана Борисовна</t>
  </si>
  <si>
    <t xml:space="preserve">Папоян Наира Арамовна</t>
  </si>
  <si>
    <t xml:space="preserve">Парсамян Андраник Агванович</t>
  </si>
  <si>
    <t xml:space="preserve">Пахомова Юлия Александровна</t>
  </si>
  <si>
    <t xml:space="preserve">Пекшева Наталья Петровна</t>
  </si>
  <si>
    <t xml:space="preserve">Перепелкина Ирина Евгеньевна</t>
  </si>
  <si>
    <t xml:space="preserve">Персиянов Николай Игоревич</t>
  </si>
  <si>
    <t xml:space="preserve">Першин Александр Викторович</t>
  </si>
  <si>
    <t xml:space="preserve">Подлесных Евгения Геннадьевна</t>
  </si>
  <si>
    <t xml:space="preserve">Потапов Владимир Михайлович</t>
  </si>
  <si>
    <t xml:space="preserve">Приходько Лев Борисович</t>
  </si>
  <si>
    <t xml:space="preserve">Прозоров Харитон Харитонович</t>
  </si>
  <si>
    <t xml:space="preserve">Пушкина Марина Юрьевна</t>
  </si>
  <si>
    <t xml:space="preserve">Рехтина Анна Викторовна</t>
  </si>
  <si>
    <t xml:space="preserve">Сабанашвили Марина Сергеевна</t>
  </si>
  <si>
    <t xml:space="preserve">Салынов Савр Анатольевич</t>
  </si>
  <si>
    <t xml:space="preserve">Сачёв Лев Владимирович</t>
  </si>
  <si>
    <t xml:space="preserve">Сачков Александр Анатольевич</t>
  </si>
  <si>
    <t xml:space="preserve">Севастьянова Елена Сергеевна</t>
  </si>
  <si>
    <t xml:space="preserve">Севостьянов Никита Анатольевич</t>
  </si>
  <si>
    <t xml:space="preserve">Седых Юрий Александрович</t>
  </si>
  <si>
    <t xml:space="preserve">Семенова Ирина Юрьевна</t>
  </si>
  <si>
    <t xml:space="preserve">Серов Борис Семенович</t>
  </si>
  <si>
    <t xml:space="preserve">Симаков Сергей Алексеевич</t>
  </si>
  <si>
    <t xml:space="preserve">Синёва Кристина Евгеньевна</t>
  </si>
  <si>
    <t xml:space="preserve">Ситников Григорий Олегович</t>
  </si>
  <si>
    <t xml:space="preserve">Скопинов Александр Сергеевич</t>
  </si>
  <si>
    <t xml:space="preserve">Скрипниченко Наталья Сергеевна</t>
  </si>
  <si>
    <t xml:space="preserve">Смирнова Ирина Анатольевна</t>
  </si>
  <si>
    <t xml:space="preserve">Смирнова Мария Валерьевна</t>
  </si>
  <si>
    <t xml:space="preserve">Соколова Татьяна Владимировна</t>
  </si>
  <si>
    <t xml:space="preserve">Сочина Анна Александровна</t>
  </si>
  <si>
    <t xml:space="preserve">Старцева Валерия Олеговна</t>
  </si>
  <si>
    <t xml:space="preserve">Степанян Никита Игоревич</t>
  </si>
  <si>
    <t xml:space="preserve">Струкова Анна Викторовна</t>
  </si>
  <si>
    <t xml:space="preserve">Ступин Андрей Олегович</t>
  </si>
  <si>
    <t xml:space="preserve">Тесля Александр Геннадьевич</t>
  </si>
  <si>
    <t xml:space="preserve">Тихомирова Оксана Владимировна</t>
  </si>
  <si>
    <t xml:space="preserve">Ткачев Руслан Евгеньевич</t>
  </si>
  <si>
    <t xml:space="preserve">Тропин Александр Игоревич</t>
  </si>
  <si>
    <t xml:space="preserve">Тыркалов Александр Олегович</t>
  </si>
  <si>
    <t xml:space="preserve">Филатов Роман Анатольевич</t>
  </si>
  <si>
    <t xml:space="preserve">Фролова Полина Борисовна</t>
  </si>
  <si>
    <t xml:space="preserve">Хованов Алексей Геннадьевич</t>
  </si>
  <si>
    <t xml:space="preserve">Хораськин Юрий Николаевич</t>
  </si>
  <si>
    <t xml:space="preserve">Хохобая Давид Дмитриевич</t>
  </si>
  <si>
    <t xml:space="preserve">Хрянина Валерия Александровна</t>
  </si>
  <si>
    <t xml:space="preserve">Цецегов Олег Евгеньевич</t>
  </si>
  <si>
    <t xml:space="preserve">Чебесков Савелий Олегович</t>
  </si>
  <si>
    <t xml:space="preserve">Черникова Анна Андреевна</t>
  </si>
  <si>
    <t xml:space="preserve">Чернова Татьяна Николаевна</t>
  </si>
  <si>
    <t xml:space="preserve">Чернышов Евгений Александрович</t>
  </si>
  <si>
    <t xml:space="preserve">Чижова Анна Александровна</t>
  </si>
  <si>
    <t xml:space="preserve">Чисторосов Николай Дмитриевич</t>
  </si>
  <si>
    <t xml:space="preserve">Чустузиан Роман Александрович</t>
  </si>
  <si>
    <t xml:space="preserve">Шаврыгин Максим Сергеевич</t>
  </si>
  <si>
    <t xml:space="preserve">Шарипов Артур Маратович</t>
  </si>
  <si>
    <t xml:space="preserve">Шатров Сергей Владимирович</t>
  </si>
  <si>
    <t xml:space="preserve">Шипилова Дарья Сергеевна</t>
  </si>
  <si>
    <t xml:space="preserve">Шуляков Алексей Борисович</t>
  </si>
  <si>
    <t xml:space="preserve">Юдинцева Александра Сергеевна</t>
  </si>
  <si>
    <t xml:space="preserve">Горбунов Евгений Александрович</t>
  </si>
  <si>
    <t xml:space="preserve">Титарь Никита Сергеевич</t>
  </si>
  <si>
    <t xml:space="preserve">Манаев Антон Львович</t>
  </si>
  <si>
    <t xml:space="preserve">Сердитов Кирилл Михайлович</t>
  </si>
  <si>
    <t xml:space="preserve">Боровков Евгений Игоревич</t>
  </si>
  <si>
    <t xml:space="preserve">Рицик Александр Владимирович</t>
  </si>
  <si>
    <t xml:space="preserve">Рудометов Сергей Александрович</t>
  </si>
  <si>
    <t xml:space="preserve">Лапуцкова Мария Николаевна</t>
  </si>
  <si>
    <t xml:space="preserve">Петрова Юлия Валерьевна</t>
  </si>
  <si>
    <t xml:space="preserve">Салахов Антон Александрович</t>
  </si>
  <si>
    <t xml:space="preserve">Алексеев Константин Михайлович</t>
  </si>
  <si>
    <t xml:space="preserve">Алешина Елена Анатольевна</t>
  </si>
  <si>
    <t xml:space="preserve">Бабкина Елена Олеговна</t>
  </si>
  <si>
    <t xml:space="preserve">Боровов Александр Игоревич</t>
  </si>
  <si>
    <t xml:space="preserve">Булгатова Валентина Аполинарьевна</t>
  </si>
  <si>
    <t xml:space="preserve">Бульков Александр Николаевич</t>
  </si>
  <si>
    <t xml:space="preserve">Варганов Дмитрий Юрьевич</t>
  </si>
  <si>
    <t xml:space="preserve">Ваулина Ирина Евгеньевна</t>
  </si>
  <si>
    <t xml:space="preserve">Ветушкин Александр Михайлович</t>
  </si>
  <si>
    <t xml:space="preserve">Ворогущина Екатерина Николаевна</t>
  </si>
  <si>
    <t xml:space="preserve">Габигер Дмитрий Павлович</t>
  </si>
  <si>
    <t xml:space="preserve">Гаряева Буйнта Николаевна</t>
  </si>
  <si>
    <t xml:space="preserve">Гончарова Наталья Николаевна</t>
  </si>
  <si>
    <t xml:space="preserve">Грачева Юлия Александровна</t>
  </si>
  <si>
    <t xml:space="preserve">Гутникова Марина Ивановна</t>
  </si>
  <si>
    <t xml:space="preserve">Денисова Наталья Александровна</t>
  </si>
  <si>
    <t xml:space="preserve">Еременко Татьяна Валерьевна</t>
  </si>
  <si>
    <t xml:space="preserve">Ерофеева Любовь Вячеславовна</t>
  </si>
  <si>
    <t xml:space="preserve">Захарова Елена Владимировна</t>
  </si>
  <si>
    <t xml:space="preserve">Землянская Татьяна Владимировна</t>
  </si>
  <si>
    <t xml:space="preserve">Зиганшина Елена Борисовна</t>
  </si>
  <si>
    <t xml:space="preserve">Иванова Алена Станиславовна</t>
  </si>
  <si>
    <t xml:space="preserve">Игнатова Юлия Владимировна</t>
  </si>
  <si>
    <t xml:space="preserve">Касимов Никита Маратович</t>
  </si>
  <si>
    <t xml:space="preserve">Кириллова Светлана Алексеевна</t>
  </si>
  <si>
    <t xml:space="preserve">Клименко Татьяна Владимировна</t>
  </si>
  <si>
    <t xml:space="preserve">Кобзева Наталья Михайловна</t>
  </si>
  <si>
    <t xml:space="preserve">Коростелев Никита Викторович</t>
  </si>
  <si>
    <t xml:space="preserve">Кочкина Александра Николаевна</t>
  </si>
  <si>
    <t xml:space="preserve">Кошелева Наталья Петровна</t>
  </si>
  <si>
    <t xml:space="preserve">Кукушкина Александра Алексеевна</t>
  </si>
  <si>
    <t xml:space="preserve">Куликов Андрей Викторович</t>
  </si>
  <si>
    <t xml:space="preserve">Ласкина Ирина Николаевна</t>
  </si>
  <si>
    <t xml:space="preserve">Леоненко Ксения Васильевна</t>
  </si>
  <si>
    <t xml:space="preserve">Малиновский Вэл Кристиан</t>
  </si>
  <si>
    <t xml:space="preserve">Марков Роман Андреевич</t>
  </si>
  <si>
    <t xml:space="preserve">Мацнева Ирина Анатольевна</t>
  </si>
  <si>
    <t xml:space="preserve">Мыльникова Кристина Валентиновна</t>
  </si>
  <si>
    <t xml:space="preserve">Новикова Кристина Владимировна</t>
  </si>
  <si>
    <t xml:space="preserve">Павельева Татьяна Олеговна</t>
  </si>
  <si>
    <t xml:space="preserve">Павлов Павел Владимирович</t>
  </si>
  <si>
    <t xml:space="preserve">Пигасова Александра Юрьевна</t>
  </si>
  <si>
    <t xml:space="preserve">Полевая Дарья Сергеевна</t>
  </si>
  <si>
    <t xml:space="preserve">Поморцев Владимир Владимирович</t>
  </si>
  <si>
    <t xml:space="preserve">Посысаева Людмила Ивановна</t>
  </si>
  <si>
    <t xml:space="preserve">Романова Екатерина Евгеньевна</t>
  </si>
  <si>
    <t xml:space="preserve">Рыжикова Елена Анатольевна</t>
  </si>
  <si>
    <t xml:space="preserve">Ряжских Екатерина Юрьевна</t>
  </si>
  <si>
    <t xml:space="preserve">Сакадынская Дарья Николаевна</t>
  </si>
  <si>
    <t xml:space="preserve">Самуйлова Юлия Евгеньевна</t>
  </si>
  <si>
    <t xml:space="preserve">Семагина Яна Александровна</t>
  </si>
  <si>
    <t xml:space="preserve">Сиверток Алена Федоровна</t>
  </si>
  <si>
    <t xml:space="preserve">Стуруа Татьяна Александровна</t>
  </si>
  <si>
    <t xml:space="preserve">Тимофеева Юлия Сергеевна</t>
  </si>
  <si>
    <t xml:space="preserve">Токарева Виктория Александровна</t>
  </si>
  <si>
    <t xml:space="preserve">Трофимова Марина Владимировна</t>
  </si>
  <si>
    <t xml:space="preserve">Фисенко Юлия Викторовна</t>
  </si>
  <si>
    <t xml:space="preserve">Цветкова Оксана Александровна</t>
  </si>
  <si>
    <t xml:space="preserve">Цебенко Мариэтта Анатольевна</t>
  </si>
  <si>
    <t xml:space="preserve">Чупина Ольга Андреевна</t>
  </si>
  <si>
    <t xml:space="preserve">Шипова Евгения Анатольевна</t>
  </si>
  <si>
    <t xml:space="preserve">Шмидт Марина Петровна</t>
  </si>
  <si>
    <t xml:space="preserve">Щепелева Екатерина Юрьевна</t>
  </si>
  <si>
    <t xml:space="preserve">Ягодик Вета Викторовна</t>
  </si>
  <si>
    <t xml:space="preserve">Айвазова Анна Александровна</t>
  </si>
  <si>
    <t xml:space="preserve">Бадмаева Ксения Андреевна</t>
  </si>
  <si>
    <t xml:space="preserve">Баранова Ольга Викторовна</t>
  </si>
  <si>
    <t xml:space="preserve">Баулина Елена Михайловна</t>
  </si>
  <si>
    <t xml:space="preserve">Бирюкова Татьяна Сергеевна</t>
  </si>
  <si>
    <t xml:space="preserve">Бобкова Виктория Владимировна</t>
  </si>
  <si>
    <t xml:space="preserve">Влюшина Анна Владимировна</t>
  </si>
  <si>
    <t xml:space="preserve">Волкова Ольга Семеновна</t>
  </si>
  <si>
    <t xml:space="preserve">Галкина Екатерина Андреевна</t>
  </si>
  <si>
    <t xml:space="preserve">Гордеева Наталья Викторовна</t>
  </si>
  <si>
    <t xml:space="preserve">Горностаев Денис Владимирович</t>
  </si>
  <si>
    <t xml:space="preserve">Горохова Юлия Глебовна</t>
  </si>
  <si>
    <t xml:space="preserve">Гришкова Полина Александровна</t>
  </si>
  <si>
    <t xml:space="preserve">Гурьянова Алена Евгеньевна</t>
  </si>
  <si>
    <t xml:space="preserve">Денежкина Анна Владимировна</t>
  </si>
  <si>
    <t xml:space="preserve">Дускабилова Вероника Турсунпулотовна</t>
  </si>
  <si>
    <t xml:space="preserve">Егорова Анна Александровна</t>
  </si>
  <si>
    <t xml:space="preserve">Захарова Екатерина Андреевна</t>
  </si>
  <si>
    <t xml:space="preserve">Иванов Юрий Анатольевич</t>
  </si>
  <si>
    <t xml:space="preserve">Карасева Ольга Борисовна</t>
  </si>
  <si>
    <t xml:space="preserve">Карплюкова Жанна Васильевна</t>
  </si>
  <si>
    <t xml:space="preserve">Кинев Евгений Валентинович</t>
  </si>
  <si>
    <t xml:space="preserve">Козлов Кирилл Дмитриевич</t>
  </si>
  <si>
    <t xml:space="preserve">Кочанова Марина Павловна</t>
  </si>
  <si>
    <t xml:space="preserve">Крикунова Наталья Игоревна</t>
  </si>
  <si>
    <t xml:space="preserve">Кузьмина Арина Юрьевна</t>
  </si>
  <si>
    <t xml:space="preserve">Кукушкин Вадим Юрьевич</t>
  </si>
  <si>
    <t xml:space="preserve">Лебедева Ирина Владимировна</t>
  </si>
  <si>
    <t xml:space="preserve">Лесина Наталья Владимировна</t>
  </si>
  <si>
    <t xml:space="preserve">Лиференко Михаил Владимирович</t>
  </si>
  <si>
    <t xml:space="preserve">Маркова Оксана Викторовна</t>
  </si>
  <si>
    <t xml:space="preserve">Мартиросян Мария Акобовна</t>
  </si>
  <si>
    <t xml:space="preserve">Нечаева Галина Игоревна</t>
  </si>
  <si>
    <t xml:space="preserve">Нечитаева Ксения Игоревна</t>
  </si>
  <si>
    <t xml:space="preserve">Окунева Светлана Ивановна</t>
  </si>
  <si>
    <t xml:space="preserve">Петрихина Ольга Викторовна</t>
  </si>
  <si>
    <t xml:space="preserve">Плеханова Ольга Федоровна</t>
  </si>
  <si>
    <t xml:space="preserve">Погорелова Светлана Геннадьевна</t>
  </si>
  <si>
    <t xml:space="preserve">Позляева Наталия Юрьевна</t>
  </si>
  <si>
    <t xml:space="preserve">Пономарев Олег Юрьевич</t>
  </si>
  <si>
    <t xml:space="preserve">Савина Людмила Александровна</t>
  </si>
  <si>
    <t xml:space="preserve">Селезнёва Елена Валерьевна</t>
  </si>
  <si>
    <t xml:space="preserve">Семёнова Кристина Павловна</t>
  </si>
  <si>
    <t xml:space="preserve">Сидорова Наталия Юрьевна</t>
  </si>
  <si>
    <t xml:space="preserve">Сидорович Светлана Алексеевна</t>
  </si>
  <si>
    <t xml:space="preserve">Синько Ксения Геннадьевна</t>
  </si>
  <si>
    <t xml:space="preserve">Сополнова Екатерина Александровна</t>
  </si>
  <si>
    <t xml:space="preserve">Старынина Татьяна Юрьевна</t>
  </si>
  <si>
    <t xml:space="preserve">Стрелова Елена Дмитриевна</t>
  </si>
  <si>
    <t xml:space="preserve">Студеникина Оксана Александровна</t>
  </si>
  <si>
    <t xml:space="preserve">Тарасенко Ольга Анатольевна</t>
  </si>
  <si>
    <t xml:space="preserve">Тарельникова Анастасия Олеговна</t>
  </si>
  <si>
    <t xml:space="preserve">Трескова Марина Михайловна</t>
  </si>
  <si>
    <t xml:space="preserve">Турищева Елена Владиславовна</t>
  </si>
  <si>
    <t xml:space="preserve">Тюрина Елена Анатольевна</t>
  </si>
  <si>
    <t xml:space="preserve">Чухачов Александр Геннадьевич</t>
  </si>
  <si>
    <t xml:space="preserve">Шагова Алина Викторовна</t>
  </si>
  <si>
    <t xml:space="preserve">Шилин Денис Олегович</t>
  </si>
  <si>
    <t xml:space="preserve">Юрашева Юлия Юрьевна</t>
  </si>
  <si>
    <t xml:space="preserve">Бахарева Полина Вячеславовна</t>
  </si>
  <si>
    <t xml:space="preserve">Дарьина Арина</t>
  </si>
  <si>
    <t xml:space="preserve">Мелешкина Маргарита Игоревна</t>
  </si>
  <si>
    <t xml:space="preserve">Паракшин Виктор Владимирович</t>
  </si>
  <si>
    <t xml:space="preserve">Смирнов Станислав Сергеевич</t>
  </si>
  <si>
    <t xml:space="preserve">Стюжнев Степан Александрович</t>
  </si>
  <si>
    <t xml:space="preserve">Бабич Анна Сергеевна</t>
  </si>
  <si>
    <t xml:space="preserve">Беленская Екатерина Александровна</t>
  </si>
  <si>
    <t xml:space="preserve">Бобко Елена Николаевна</t>
  </si>
  <si>
    <t xml:space="preserve">Голаев Юрий Евгеньевич</t>
  </si>
  <si>
    <t xml:space="preserve">Елемешина Елена Анатольевна</t>
  </si>
  <si>
    <t xml:space="preserve">Жирикова Наталья Георгиевна</t>
  </si>
  <si>
    <t xml:space="preserve">Иванова Арина Александровна</t>
  </si>
  <si>
    <t xml:space="preserve">Карзанова Екатерина Викторовна</t>
  </si>
  <si>
    <t xml:space="preserve">Константинова Екатерина Викторовна</t>
  </si>
  <si>
    <t xml:space="preserve">Кретова Наталья Анатольевна</t>
  </si>
  <si>
    <t xml:space="preserve">Курдюков Михаил Владимирович</t>
  </si>
  <si>
    <t xml:space="preserve">Лыткина Вероника Александровна</t>
  </si>
  <si>
    <t xml:space="preserve">Метелин Алексей Сергеевич</t>
  </si>
  <si>
    <t xml:space="preserve">Резник Мария Сергеевна</t>
  </si>
  <si>
    <t xml:space="preserve">Рудык Ирина Владимировна</t>
  </si>
  <si>
    <t xml:space="preserve">Сахарова Нина Ивановна</t>
  </si>
  <si>
    <t xml:space="preserve">Синицина Ирина Геннадьевна</t>
  </si>
  <si>
    <t xml:space="preserve">Сташевич Наталья Григорьевна</t>
  </si>
  <si>
    <t xml:space="preserve">Федотов Евгений Евгеньевич</t>
  </si>
  <si>
    <t xml:space="preserve">Хусяинова Венера Сергеевна</t>
  </si>
  <si>
    <t xml:space="preserve">Цыганкова Янина Алексеевна</t>
  </si>
  <si>
    <t xml:space="preserve">Шевякова Елена Владимировна</t>
  </si>
  <si>
    <t xml:space="preserve">Ярченко Маргарита Романовна</t>
  </si>
  <si>
    <t xml:space="preserve">Авачева Екатерина Константиновна</t>
  </si>
  <si>
    <t xml:space="preserve">Алиева Рена Мехмановна</t>
  </si>
  <si>
    <t xml:space="preserve">Анисимова Любовь Павловна</t>
  </si>
  <si>
    <t xml:space="preserve">Артемьев Виктор Викторович</t>
  </si>
  <si>
    <t xml:space="preserve">Бондаревская Анастасия Дмитриевна</t>
  </si>
  <si>
    <t xml:space="preserve">Борисова Елена Константиновна</t>
  </si>
  <si>
    <t xml:space="preserve">Горшкова Мария Леонидовна</t>
  </si>
  <si>
    <t xml:space="preserve">Дмитриева Екатерина Романовна</t>
  </si>
  <si>
    <t xml:space="preserve">Зотов Сергей Сергеевич</t>
  </si>
  <si>
    <t xml:space="preserve">Иванов Кирилл Юрьевич</t>
  </si>
  <si>
    <t xml:space="preserve">Пасеко Алексей Леонидович</t>
  </si>
  <si>
    <t xml:space="preserve">Усакова Наталья Владимировна</t>
  </si>
  <si>
    <t xml:space="preserve">Чупракова Наталья Александровна</t>
  </si>
  <si>
    <t xml:space="preserve">Бобарыкина Мария Валерьевна</t>
  </si>
  <si>
    <t xml:space="preserve">Боголюбов Денис Владимирович</t>
  </si>
  <si>
    <t xml:space="preserve">Бойко Эльмира Габиловна</t>
  </si>
  <si>
    <t xml:space="preserve">Бычков Сергей Александрович</t>
  </si>
  <si>
    <t xml:space="preserve">Гаркавенко Екатерина Андреевна</t>
  </si>
  <si>
    <t xml:space="preserve">Голованов Александр Александрович</t>
  </si>
  <si>
    <t xml:space="preserve">Дрожжина Елена Борисовна</t>
  </si>
  <si>
    <t xml:space="preserve">Дунаева Скайдрите Владиславовна</t>
  </si>
  <si>
    <t xml:space="preserve">Жекшембеева Евгения Иргалиевна</t>
  </si>
  <si>
    <t xml:space="preserve">Иконникова Юлия Владимировна</t>
  </si>
  <si>
    <t xml:space="preserve">Коротеева Юлия Олеговна</t>
  </si>
  <si>
    <t xml:space="preserve">Корчагина Наталья Николаевна</t>
  </si>
  <si>
    <t xml:space="preserve">Недельская Елена Юрьевна</t>
  </si>
  <si>
    <t xml:space="preserve">Репин Вячеслав Павлович</t>
  </si>
  <si>
    <t xml:space="preserve">Романова Анастасия Павловна</t>
  </si>
  <si>
    <t xml:space="preserve">Хрикулова Марина Александровна</t>
  </si>
  <si>
    <t xml:space="preserve">Агапов Дмитрий Николаевич</t>
  </si>
  <si>
    <t xml:space="preserve">Александров Владимир Владимирович</t>
  </si>
  <si>
    <t xml:space="preserve">Алексеев Андрей Владимирович</t>
  </si>
  <si>
    <t xml:space="preserve">Алексеев Дмитрий Геннадьевич</t>
  </si>
  <si>
    <t xml:space="preserve">Алёшин Егор Олегович</t>
  </si>
  <si>
    <t xml:space="preserve">Аллазова Назенин Ризвановна</t>
  </si>
  <si>
    <t xml:space="preserve">Ананьева Виктория Сергеевна</t>
  </si>
  <si>
    <t xml:space="preserve">Балакирев Дмитрий Евгеньевич</t>
  </si>
  <si>
    <t xml:space="preserve">Баландин Михаил Владимирович</t>
  </si>
  <si>
    <t xml:space="preserve">Балашова Илона Алексеевна</t>
  </si>
  <si>
    <t xml:space="preserve">Батурина Анастасия Игоревна</t>
  </si>
  <si>
    <t xml:space="preserve">Бахныкин Константин Михайлович</t>
  </si>
  <si>
    <t xml:space="preserve">Белокур Андрей Андреевич</t>
  </si>
  <si>
    <t xml:space="preserve">Белолипецкий Кирилл Станиславович</t>
  </si>
  <si>
    <t xml:space="preserve">Белоусов Сергей Олегович</t>
  </si>
  <si>
    <t xml:space="preserve">Бельмасов Данила Юрьевич</t>
  </si>
  <si>
    <t xml:space="preserve">Боботов Никита Андреевич</t>
  </si>
  <si>
    <t xml:space="preserve">Богомолова Мария Михайловна</t>
  </si>
  <si>
    <t xml:space="preserve">Бубенцов Александр Андреевич</t>
  </si>
  <si>
    <t xml:space="preserve">Бурганова Елена Юрьевна</t>
  </si>
  <si>
    <t xml:space="preserve">Буцкий Максим Юрьевич</t>
  </si>
  <si>
    <t xml:space="preserve">Бушуев Анатолий Игоревич</t>
  </si>
  <si>
    <t xml:space="preserve">Вильгельм Константин Петрович</t>
  </si>
  <si>
    <t xml:space="preserve">Виткина Ольга Асановна</t>
  </si>
  <si>
    <t xml:space="preserve">Владимиров Лев Михайлович</t>
  </si>
  <si>
    <t xml:space="preserve">Володин Сергей Юрьевич</t>
  </si>
  <si>
    <t xml:space="preserve">Волошин Александр Викторович</t>
  </si>
  <si>
    <t xml:space="preserve">Воробьев Станислав Владимирович</t>
  </si>
  <si>
    <t xml:space="preserve">Воронов Александр Николаевич</t>
  </si>
  <si>
    <t xml:space="preserve">Гаврилов Никита Владиславович</t>
  </si>
  <si>
    <t xml:space="preserve">Герасимов Денис Анатольевич</t>
  </si>
  <si>
    <t xml:space="preserve">Герасимов Дмитрий Николаевич</t>
  </si>
  <si>
    <t xml:space="preserve">Головин Андрей Викторович</t>
  </si>
  <si>
    <t xml:space="preserve">Головина Ирина Салаватовна</t>
  </si>
  <si>
    <t xml:space="preserve">Горячев Иван Александрович</t>
  </si>
  <si>
    <t xml:space="preserve">Горячева Наталья Викторовна</t>
  </si>
  <si>
    <t xml:space="preserve">Гращенко Игорь Васильевич</t>
  </si>
  <si>
    <t xml:space="preserve">Григорьев Павел Сергеевич</t>
  </si>
  <si>
    <t xml:space="preserve">Грушецкий Андрей Владимирович</t>
  </si>
  <si>
    <t xml:space="preserve">Гусев Олег Анатольевич</t>
  </si>
  <si>
    <t xml:space="preserve">Давышин Алексей Сергеевич</t>
  </si>
  <si>
    <t xml:space="preserve">Даниленко Владислав Геннадьевич</t>
  </si>
  <si>
    <t xml:space="preserve">Данилов Андрей Николаевич</t>
  </si>
  <si>
    <t xml:space="preserve">Дворянинов Виктор Александрович</t>
  </si>
  <si>
    <t xml:space="preserve">Дмитриев Алексей Владимирович</t>
  </si>
  <si>
    <t xml:space="preserve">Донской Алексей Сергеевич</t>
  </si>
  <si>
    <t xml:space="preserve">Дроганов Дмитрий Александрович</t>
  </si>
  <si>
    <t xml:space="preserve">Друзягин Иван Викторович</t>
  </si>
  <si>
    <t xml:space="preserve">Еванов Андрей Анатольевич</t>
  </si>
  <si>
    <t xml:space="preserve">Евсеев Денис Евгеньевич</t>
  </si>
  <si>
    <t xml:space="preserve">Ершов Антон Сергеевич</t>
  </si>
  <si>
    <t xml:space="preserve">Ефимкин Сергей Дмитриевич</t>
  </si>
  <si>
    <t xml:space="preserve">Жуков Александр Викторович</t>
  </si>
  <si>
    <t xml:space="preserve">Зарьянов Алексей Эдуардович</t>
  </si>
  <si>
    <t xml:space="preserve">Зверев Александр Михайлович</t>
  </si>
  <si>
    <t xml:space="preserve">Зверев Андрей Александрович</t>
  </si>
  <si>
    <t xml:space="preserve">Змеев Александр Николаевич</t>
  </si>
  <si>
    <t xml:space="preserve">Зобнин Дмитрий Валерьевич</t>
  </si>
  <si>
    <t xml:space="preserve">Итченко Александр Анатольевич</t>
  </si>
  <si>
    <t xml:space="preserve">Калабухин Иван Сергеевич</t>
  </si>
  <si>
    <t xml:space="preserve">Карпенко Алексей Игоревич</t>
  </si>
  <si>
    <t xml:space="preserve">Карпов Александр Сергеевич</t>
  </si>
  <si>
    <t xml:space="preserve">Каторгин Владимир Дмитриевич</t>
  </si>
  <si>
    <t xml:space="preserve">Катречко Ксения Викторовна</t>
  </si>
  <si>
    <t xml:space="preserve">Качанко Евгений Олегович</t>
  </si>
  <si>
    <t xml:space="preserve">Киселев Егор Викторович</t>
  </si>
  <si>
    <t xml:space="preserve">Князев Геннадий Александрович</t>
  </si>
  <si>
    <t xml:space="preserve">Козлов Максим Владиславович</t>
  </si>
  <si>
    <t xml:space="preserve">Козлов Максим Павлович</t>
  </si>
  <si>
    <t xml:space="preserve">Козырев Николай Николаевич</t>
  </si>
  <si>
    <t xml:space="preserve">Колодий Сергей Сергеевич</t>
  </si>
  <si>
    <t xml:space="preserve">Комарова Юлия Сергеевна</t>
  </si>
  <si>
    <t xml:space="preserve">Компанец Дмитрий Константинович</t>
  </si>
  <si>
    <t xml:space="preserve">Копылова Надежда Николаевна</t>
  </si>
  <si>
    <t xml:space="preserve">Корбалев Антон Викторович</t>
  </si>
  <si>
    <t xml:space="preserve">Коробейников Михаил Андреевич</t>
  </si>
  <si>
    <t xml:space="preserve">Коровайцев Олег Николаевич</t>
  </si>
  <si>
    <t xml:space="preserve">Косарев Алексей Александрович</t>
  </si>
  <si>
    <t xml:space="preserve">Коченихин Станислав Владимирович</t>
  </si>
  <si>
    <t xml:space="preserve">Кочеткова Полина Владимировна</t>
  </si>
  <si>
    <t xml:space="preserve">Кошмин Дмитрий Александрович</t>
  </si>
  <si>
    <t xml:space="preserve">Кузнецов Николай Андреевич</t>
  </si>
  <si>
    <t xml:space="preserve">Куликов Алексей Анатольевич</t>
  </si>
  <si>
    <t xml:space="preserve">Курбатов Андрей Александрович</t>
  </si>
  <si>
    <t xml:space="preserve">Куринный Андрей Вячеславович</t>
  </si>
  <si>
    <t xml:space="preserve">Кусякин Григорий Петрович</t>
  </si>
  <si>
    <t xml:space="preserve">Лебедева Елена Владимировна</t>
  </si>
  <si>
    <t xml:space="preserve">Ленский Владимир Михайлович</t>
  </si>
  <si>
    <t xml:space="preserve">Логовской Игорь Валерьевич</t>
  </si>
  <si>
    <t xml:space="preserve">Локтева Анастасия Александровна</t>
  </si>
  <si>
    <t xml:space="preserve">Лушникова Наталия Георгиевна</t>
  </si>
  <si>
    <t xml:space="preserve">Лыгин Валерий Сергеевич</t>
  </si>
  <si>
    <t xml:space="preserve">Ляпин Сергей Владимирович</t>
  </si>
  <si>
    <t xml:space="preserve">Ляшков Сергей Павлович</t>
  </si>
  <si>
    <t xml:space="preserve">Мазуренко Ирина Александровна</t>
  </si>
  <si>
    <t xml:space="preserve">Макаренко Сергей Владимирович</t>
  </si>
  <si>
    <t xml:space="preserve">Макаров Степан Владимирович</t>
  </si>
  <si>
    <t xml:space="preserve">Максимов Станислав Юрьевич</t>
  </si>
  <si>
    <t xml:space="preserve">Малашта Денис Валериевич</t>
  </si>
  <si>
    <t xml:space="preserve">Маслов Роман Викторович</t>
  </si>
  <si>
    <t xml:space="preserve">Маслова Татьяна Павловна</t>
  </si>
  <si>
    <t xml:space="preserve">Матюшенко Дмитрий Владимирович</t>
  </si>
  <si>
    <t xml:space="preserve">Махметов Амангельды Ойратович</t>
  </si>
  <si>
    <t xml:space="preserve">Медведева Ирина Андреевна</t>
  </si>
  <si>
    <t xml:space="preserve">Мингазова Дина Ильфатовна</t>
  </si>
  <si>
    <t xml:space="preserve">Миронов Игорь Валерьевич</t>
  </si>
  <si>
    <t xml:space="preserve">Миронов Николай Константинович</t>
  </si>
  <si>
    <t xml:space="preserve">Миськов Максим Дмитриевич</t>
  </si>
  <si>
    <t xml:space="preserve">Михалев Василий Викторович</t>
  </si>
  <si>
    <t xml:space="preserve">Молчанова Александра Алексеевна</t>
  </si>
  <si>
    <t xml:space="preserve">Монженко Максим Валерьевич</t>
  </si>
  <si>
    <t xml:space="preserve">Мулюшкин Виталий Игоревич</t>
  </si>
  <si>
    <t xml:space="preserve">Нескин Роман Алексеевич</t>
  </si>
  <si>
    <t xml:space="preserve">Никифоров Виктор Сергеевич</t>
  </si>
  <si>
    <t xml:space="preserve">Николин Антон Андреевич</t>
  </si>
  <si>
    <t xml:space="preserve">Нищетов Олег Александрович</t>
  </si>
  <si>
    <t xml:space="preserve">Нурисламов Ильдар Фанисович</t>
  </si>
  <si>
    <t xml:space="preserve">Овчинников Владимир Игоревич</t>
  </si>
  <si>
    <t xml:space="preserve">Олимпиев Алексей Дмитриевич</t>
  </si>
  <si>
    <t xml:space="preserve">Орлов Антон Игоревич</t>
  </si>
  <si>
    <t xml:space="preserve">Орлов Дмитрий Александрович</t>
  </si>
  <si>
    <t xml:space="preserve">Павлин Алексей Владимирович</t>
  </si>
  <si>
    <t xml:space="preserve">Падерин Максим Александрович</t>
  </si>
  <si>
    <t xml:space="preserve">Панков Алексей Анатольевич</t>
  </si>
  <si>
    <t xml:space="preserve">Патешенков Алексей Сергеевич</t>
  </si>
  <si>
    <t xml:space="preserve">Патрикеев Павел Борисович</t>
  </si>
  <si>
    <t xml:space="preserve">Пермяков Константин Юрьевич</t>
  </si>
  <si>
    <t xml:space="preserve">Плисов Константин Ильич</t>
  </si>
  <si>
    <t xml:space="preserve">Подвязников Александр Александрович</t>
  </si>
  <si>
    <t xml:space="preserve">Подойницын Даниил Сергеевич</t>
  </si>
  <si>
    <t xml:space="preserve">Поздняков Максим Владимирович</t>
  </si>
  <si>
    <t xml:space="preserve">Покровская Анна Вячеславовна</t>
  </si>
  <si>
    <t xml:space="preserve">Полкунов Юрий Сергеевич</t>
  </si>
  <si>
    <t xml:space="preserve">Понамарчук Александр Олегович</t>
  </si>
  <si>
    <t xml:space="preserve">Постарнаков Андрей Александрович</t>
  </si>
  <si>
    <t xml:space="preserve">Приезжев Дмитрий Александрович</t>
  </si>
  <si>
    <t xml:space="preserve">Приходько Кирилл Сергеевич</t>
  </si>
  <si>
    <t xml:space="preserve">Радченко Ольга Витальевна</t>
  </si>
  <si>
    <t xml:space="preserve">Решетов Павел Владимирович</t>
  </si>
  <si>
    <t xml:space="preserve">Ржешевский Василий Григорьевич</t>
  </si>
  <si>
    <t xml:space="preserve">Родионов Владислав Андреевич</t>
  </si>
  <si>
    <t xml:space="preserve">Рудников Сергей Павлович</t>
  </si>
  <si>
    <t xml:space="preserve">Русаков Владислав Евгеньевич</t>
  </si>
  <si>
    <t xml:space="preserve">Савенков Андрей Сергеевич</t>
  </si>
  <si>
    <t xml:space="preserve">Савенков Дмитрий Сергеевич</t>
  </si>
  <si>
    <t xml:space="preserve">Самбуров Андрей Владимирович</t>
  </si>
  <si>
    <t xml:space="preserve">Седов Игорь Викторович</t>
  </si>
  <si>
    <t xml:space="preserve">Селиверстов Алексей Юрьевич</t>
  </si>
  <si>
    <t xml:space="preserve">Сенюшкина Ольга Викторовна</t>
  </si>
  <si>
    <t xml:space="preserve">Сероштанов Денис Владимирович</t>
  </si>
  <si>
    <t xml:space="preserve">Сибгатуллин Илья Аркадьевич</t>
  </si>
  <si>
    <t xml:space="preserve">Симоненко Владислав Андреевич</t>
  </si>
  <si>
    <t xml:space="preserve">Синицын Андрей Викторович</t>
  </si>
  <si>
    <t xml:space="preserve">Ситдиков Али Алиевич</t>
  </si>
  <si>
    <t xml:space="preserve">Ситников Дмитрий Сергеевич</t>
  </si>
  <si>
    <t xml:space="preserve">Смирнов Александр Александрович</t>
  </si>
  <si>
    <t xml:space="preserve">Смирнов Алексей Владимирович</t>
  </si>
  <si>
    <t xml:space="preserve">Соколов Сергей Аркадьевич</t>
  </si>
  <si>
    <t xml:space="preserve">Соловьев Юрий Владимирович</t>
  </si>
  <si>
    <t xml:space="preserve">Солодова Наталия Валериевна</t>
  </si>
  <si>
    <t xml:space="preserve">Соснин Илья Сергеевич</t>
  </si>
  <si>
    <t xml:space="preserve">Скворцов Сергей Евгеньевич</t>
  </si>
  <si>
    <t xml:space="preserve">Сторожук Сергей Васильевич</t>
  </si>
  <si>
    <t xml:space="preserve">Ступин Михаил Сергеевич</t>
  </si>
  <si>
    <t xml:space="preserve">Суров Олег Владимирович</t>
  </si>
  <si>
    <t xml:space="preserve">Сутулов Евгений Александрович</t>
  </si>
  <si>
    <t xml:space="preserve">Сухореброва Татьяна Николаевна</t>
  </si>
  <si>
    <t xml:space="preserve">Сыртланов Дмитрий Радикович</t>
  </si>
  <si>
    <t xml:space="preserve">Табурчинский Анатолий Олегович</t>
  </si>
  <si>
    <t xml:space="preserve">Татаев Артур Ханпашаевич</t>
  </si>
  <si>
    <t xml:space="preserve">Татауров Михаил Иосифович</t>
  </si>
  <si>
    <t xml:space="preserve">Тевс Сергей Станиславович</t>
  </si>
  <si>
    <t xml:space="preserve">Тезин Николай Александрович</t>
  </si>
  <si>
    <t xml:space="preserve">Тесюль Владимир Владимирович</t>
  </si>
  <si>
    <t xml:space="preserve">Ткачев Дмитрий Александрович</t>
  </si>
  <si>
    <t xml:space="preserve">Требухин Андрей Николаевич</t>
  </si>
  <si>
    <t xml:space="preserve">Трегуб Дмитрий Станиславович</t>
  </si>
  <si>
    <t xml:space="preserve">Третьякова Елена Владимировна</t>
  </si>
  <si>
    <t xml:space="preserve">Туктаров Рустем Камилович</t>
  </si>
  <si>
    <t xml:space="preserve">Тютиков Николай Сергеевич</t>
  </si>
  <si>
    <t xml:space="preserve">Украинский Дмитрий Юрьевич</t>
  </si>
  <si>
    <t xml:space="preserve">Усманов Артур Камилевич</t>
  </si>
  <si>
    <t xml:space="preserve">Федянин Анатолий Анатольевич</t>
  </si>
  <si>
    <t xml:space="preserve">Фесенко Евгений Владимирович</t>
  </si>
  <si>
    <t xml:space="preserve">Формазонов Валерий Павлович</t>
  </si>
  <si>
    <t xml:space="preserve">Фролова Елизавета Александровна</t>
  </si>
  <si>
    <t xml:space="preserve">Фурса Светлана Юрьевна</t>
  </si>
  <si>
    <t xml:space="preserve">Харитонов Андрей Александрович</t>
  </si>
  <si>
    <t xml:space="preserve">Харитонова Флюра Наиловна</t>
  </si>
  <si>
    <t xml:space="preserve">Хаустов Александр Иванович</t>
  </si>
  <si>
    <t xml:space="preserve">Хомяков Михаил Александрович</t>
  </si>
  <si>
    <t xml:space="preserve">Хуртина Марина Алексеевна</t>
  </si>
  <si>
    <t xml:space="preserve">Цюрюпа Егор Владимирович</t>
  </si>
  <si>
    <t xml:space="preserve">Чернышев Алексей Викторович</t>
  </si>
  <si>
    <t xml:space="preserve">Чернышов Константин Борисович</t>
  </si>
  <si>
    <t xml:space="preserve">Чигиренкова Арифа Гаджи Ага кызы</t>
  </si>
  <si>
    <t xml:space="preserve">Шарапов Александр Александрович</t>
  </si>
  <si>
    <t xml:space="preserve">Шарманжинов Сергей Александрович</t>
  </si>
  <si>
    <t xml:space="preserve">Шкарин Иван Дмитриевич</t>
  </si>
  <si>
    <t xml:space="preserve">Шорников Герман Борисович</t>
  </si>
  <si>
    <t xml:space="preserve">Шувалов Сергей Владимирович</t>
  </si>
  <si>
    <t xml:space="preserve">Яровой Антон Дмитриевич</t>
  </si>
  <si>
    <t xml:space="preserve">Гвоздев Кирилл Владимирович</t>
  </si>
  <si>
    <t xml:space="preserve">Богданов Виктор Алексеевич</t>
  </si>
  <si>
    <t xml:space="preserve">Веселов Павел Сергеевич</t>
  </si>
  <si>
    <t xml:space="preserve">Волкова Людмила Николаевна</t>
  </si>
  <si>
    <t xml:space="preserve">Дегтяренко Дмитрий Олегович</t>
  </si>
  <si>
    <t xml:space="preserve">Долматкин Андрей Николаевич</t>
  </si>
  <si>
    <t xml:space="preserve">Иконников Кирилл Федорович</t>
  </si>
  <si>
    <t xml:space="preserve">Камнев Артем Витальевич</t>
  </si>
  <si>
    <t xml:space="preserve">Катков Михаил Владимирович</t>
  </si>
  <si>
    <t xml:space="preserve">Катунин Роман Владимирович</t>
  </si>
  <si>
    <t xml:space="preserve">Климова Полина Антоновна</t>
  </si>
  <si>
    <t xml:space="preserve">Константинов Алексей Владимирович</t>
  </si>
  <si>
    <t xml:space="preserve">Корабельников Герман Александрович</t>
  </si>
  <si>
    <t xml:space="preserve">Кротов Алексей Васильевич</t>
  </si>
  <si>
    <t xml:space="preserve">Кудряшов Павел Николаевич</t>
  </si>
  <si>
    <t xml:space="preserve">Лоевец Эвелина Руслановна</t>
  </si>
  <si>
    <t xml:space="preserve">Маливанов Николай Игоревич</t>
  </si>
  <si>
    <t xml:space="preserve">Мишина Анастасия Георгиевна</t>
  </si>
  <si>
    <t xml:space="preserve">Никишкин Владимир Владимирович</t>
  </si>
  <si>
    <t xml:space="preserve">Ожиганов Николай Николаевич</t>
  </si>
  <si>
    <t xml:space="preserve">Пажуков Максим Александрович</t>
  </si>
  <si>
    <t xml:space="preserve">Попов Михаил Владиленович</t>
  </si>
  <si>
    <t xml:space="preserve">Савельев Максим Николаевич</t>
  </si>
  <si>
    <t xml:space="preserve">Солопова Елена Алишеровна</t>
  </si>
  <si>
    <t xml:space="preserve">Степанишин Святослав Александрович</t>
  </si>
  <si>
    <t xml:space="preserve">Умаров Дмитрий Рахимджанович</t>
  </si>
  <si>
    <t xml:space="preserve">Уханаева Юлия Батоевна</t>
  </si>
  <si>
    <t xml:space="preserve">Фесенко Анастасия</t>
  </si>
  <si>
    <t xml:space="preserve">Филимонова Наталья Александровна</t>
  </si>
  <si>
    <t xml:space="preserve">Ушакова Екатерина Александровна</t>
  </si>
  <si>
    <t xml:space="preserve">Харитонов Дмитрий Викторович</t>
  </si>
  <si>
    <t xml:space="preserve">Чебыкин Алексей Сергеевич</t>
  </si>
  <si>
    <t xml:space="preserve">Чмыхалов Алексей Анатольевич</t>
  </si>
  <si>
    <t xml:space="preserve">Шарунов Андрей Александрович</t>
  </si>
  <si>
    <t xml:space="preserve">Гришин Михаил Анатольевич</t>
  </si>
  <si>
    <t xml:space="preserve">Хромов Сергей Владимирович</t>
  </si>
  <si>
    <t xml:space="preserve">Ахметзянов Ренат Хамитович</t>
  </si>
  <si>
    <t xml:space="preserve">Борисов Иван Владимирович</t>
  </si>
  <si>
    <t xml:space="preserve">Гульняева Лилия Александровна</t>
  </si>
  <si>
    <t xml:space="preserve">Заварзина Елена Владимировна</t>
  </si>
  <si>
    <t xml:space="preserve">Иванова Татьяна Владимировна</t>
  </si>
  <si>
    <t xml:space="preserve">Карих Илья Юрьевич</t>
  </si>
  <si>
    <t xml:space="preserve">Кондратенко Светлана Ивановна</t>
  </si>
  <si>
    <t xml:space="preserve">Конопатова Анна Владимировна</t>
  </si>
  <si>
    <t xml:space="preserve">Кузнецова Алина Юрьевна</t>
  </si>
  <si>
    <t xml:space="preserve">Кузнецова Владислава Анатольевна</t>
  </si>
  <si>
    <t xml:space="preserve">Мартынов Николай Александрович</t>
  </si>
  <si>
    <t xml:space="preserve">Меркулова Полина Юрьевна</t>
  </si>
  <si>
    <t xml:space="preserve">Пархоменко Светлана Евгеньевна</t>
  </si>
  <si>
    <t xml:space="preserve">Передерий Екатерина Геннадиевна</t>
  </si>
  <si>
    <t xml:space="preserve">Старцев Дмитрий Дмитриевич</t>
  </si>
  <si>
    <t xml:space="preserve">Терентьева Елена Александровна</t>
  </si>
  <si>
    <t xml:space="preserve">Чернышев Ярослав Владимирович</t>
  </si>
  <si>
    <t xml:space="preserve">Арефьев Дмитрий Витальевич</t>
  </si>
  <si>
    <t xml:space="preserve">Водолазов Кирилл Александрович</t>
  </si>
  <si>
    <t xml:space="preserve">Волгин Олег Николаевич</t>
  </si>
  <si>
    <t xml:space="preserve">Злотников Артем Витальевич</t>
  </si>
  <si>
    <t xml:space="preserve">Ивашкин Юрий Борисович</t>
  </si>
  <si>
    <t xml:space="preserve">Козлов Сергей Андреевич</t>
  </si>
  <si>
    <t xml:space="preserve">Котельникова Екатерина Валерьевна</t>
  </si>
  <si>
    <t xml:space="preserve">Рогаткин Павел Сергеевич</t>
  </si>
  <si>
    <t xml:space="preserve">Семёшин Илья Владимирович</t>
  </si>
  <si>
    <t xml:space="preserve">Чалмаева Анастасия Вадимовна</t>
  </si>
  <si>
    <t xml:space="preserve">Шевченко Олег Михайлович</t>
  </si>
  <si>
    <t xml:space="preserve">Андреева Александра Владимировна</t>
  </si>
  <si>
    <t xml:space="preserve">Андрианов Евгений Юрьевич</t>
  </si>
  <si>
    <t xml:space="preserve">Геращенко Илья Олегович</t>
  </si>
  <si>
    <t xml:space="preserve">Евсенин Алексей Николаевич</t>
  </si>
  <si>
    <t xml:space="preserve">Жиляев Иван Алексеевич</t>
  </si>
  <si>
    <t xml:space="preserve">Климанов Константин Алексеевич</t>
  </si>
  <si>
    <t xml:space="preserve">Кожухов Олег Анатольевич</t>
  </si>
  <si>
    <t xml:space="preserve">Лагуткин Михаил Борисович</t>
  </si>
  <si>
    <t xml:space="preserve">Лежнева Екатерина Валерьевна</t>
  </si>
  <si>
    <t xml:space="preserve">Малеев Алексей Витальевич</t>
  </si>
  <si>
    <t xml:space="preserve">Митрофанов Александр Юрьевич</t>
  </si>
  <si>
    <t xml:space="preserve">Митруков Семен Ильич</t>
  </si>
  <si>
    <t xml:space="preserve">Михайлюк Роман Владимирович</t>
  </si>
  <si>
    <t xml:space="preserve">Портненко Дмитрий Олегович</t>
  </si>
  <si>
    <t xml:space="preserve">Пшиемский Юрий Владиславович</t>
  </si>
  <si>
    <t xml:space="preserve">Рафиков Тимур Фатихович</t>
  </si>
  <si>
    <t xml:space="preserve">Солнцев Борис Романович</t>
  </si>
  <si>
    <t xml:space="preserve">Уланов Максим Николаевич</t>
  </si>
  <si>
    <t xml:space="preserve">Цирульников Евгений Владимирович</t>
  </si>
  <si>
    <t xml:space="preserve">Цымбаленко Максим Сергеевич</t>
  </si>
  <si>
    <t xml:space="preserve">Чельцова Елизавета Владимировна</t>
  </si>
  <si>
    <t xml:space="preserve">Чернокозинский Сергей Алексеевич</t>
  </si>
  <si>
    <t xml:space="preserve">Абдельмалак Бернард Юсеф</t>
  </si>
  <si>
    <t xml:space="preserve">Абдуллаева Елена Комековна</t>
  </si>
  <si>
    <t xml:space="preserve">Абдуллаева Фатима Султановна</t>
  </si>
  <si>
    <t xml:space="preserve">Анисимова Елена Васильевна</t>
  </si>
  <si>
    <t xml:space="preserve">Арнаут Ангелина Сергеевна</t>
  </si>
  <si>
    <t xml:space="preserve">Баскакова Валентина Федоровна</t>
  </si>
  <si>
    <t xml:space="preserve">Башкатова Татьяна Викторовна</t>
  </si>
  <si>
    <t xml:space="preserve">Белевская Инна Викторовна</t>
  </si>
  <si>
    <t xml:space="preserve">Будкина Анна Романовна</t>
  </si>
  <si>
    <t xml:space="preserve">Буздина Ольга Александровна</t>
  </si>
  <si>
    <t xml:space="preserve">Булов Алексей Александрович</t>
  </si>
  <si>
    <t xml:space="preserve">Варламова Наталия Александровна</t>
  </si>
  <si>
    <t xml:space="preserve">Владимирова Валерия Юрьевна</t>
  </si>
  <si>
    <t xml:space="preserve">Воронина Алла Анатольевна</t>
  </si>
  <si>
    <t xml:space="preserve">Ганин Андрей Витальевич</t>
  </si>
  <si>
    <t xml:space="preserve">Гессен Татьяна Сергеевна</t>
  </si>
  <si>
    <t xml:space="preserve">Гордеева Татьяна Алексеевна</t>
  </si>
  <si>
    <t xml:space="preserve">Джумаев Мухаммед Оразович</t>
  </si>
  <si>
    <t xml:space="preserve">Дога Павел Владимирович</t>
  </si>
  <si>
    <t xml:space="preserve">Дунаева Екатерина Владимировна</t>
  </si>
  <si>
    <t xml:space="preserve">Евтушенко Дарья Петровна</t>
  </si>
  <si>
    <t xml:space="preserve">Земчихина Элла Сергеевна</t>
  </si>
  <si>
    <t xml:space="preserve">Иванова Елена Николаевна</t>
  </si>
  <si>
    <t xml:space="preserve">Илюшина Вера Анатольевна</t>
  </si>
  <si>
    <t xml:space="preserve">Исмайлова Нармин Джанбулат кызы</t>
  </si>
  <si>
    <t xml:space="preserve">Ифантиди Юлия Христофоровна</t>
  </si>
  <si>
    <t xml:space="preserve">Калитенко Ирина Олеговна</t>
  </si>
  <si>
    <t xml:space="preserve">Кальсин Владимир Сергеевич</t>
  </si>
  <si>
    <t xml:space="preserve">Камалетдинова Зарина Рамазановна</t>
  </si>
  <si>
    <t xml:space="preserve">Канахина Евгения Евгеньевна</t>
  </si>
  <si>
    <t xml:space="preserve">Капусткина Ольга Валерьевна</t>
  </si>
  <si>
    <t xml:space="preserve">Коломацкая Ольга Александровна</t>
  </si>
  <si>
    <t xml:space="preserve">Колпаков Андрей Михайлович</t>
  </si>
  <si>
    <t xml:space="preserve">Круглова Мария Юрьевна</t>
  </si>
  <si>
    <t xml:space="preserve">Кужелев Евгений Артемович</t>
  </si>
  <si>
    <t xml:space="preserve">Кусова Мария Владимировна</t>
  </si>
  <si>
    <t xml:space="preserve">Лавренц Данил Викторович</t>
  </si>
  <si>
    <t xml:space="preserve">Лётка Денис Дмитриевич</t>
  </si>
  <si>
    <t xml:space="preserve">Литош Яна Николаевна</t>
  </si>
  <si>
    <t xml:space="preserve">Логвинов Евгений Леонидович</t>
  </si>
  <si>
    <t xml:space="preserve">Лопанова Ирина Валерьевна</t>
  </si>
  <si>
    <t xml:space="preserve">Меднис Илона Владимировна</t>
  </si>
  <si>
    <t xml:space="preserve">Мещарякова Марина Владимировна</t>
  </si>
  <si>
    <t xml:space="preserve">Михайлова Анастасия Сергеевна</t>
  </si>
  <si>
    <t xml:space="preserve">Молоканова Татьяна Александровна</t>
  </si>
  <si>
    <t xml:space="preserve">Монахов Алексей Владимирович</t>
  </si>
  <si>
    <t xml:space="preserve">Моркель Николай Васильевич</t>
  </si>
  <si>
    <t xml:space="preserve">Мухитдинов Роздон Джамшедович</t>
  </si>
  <si>
    <t xml:space="preserve">Наянзин Денис Валериевич</t>
  </si>
  <si>
    <t xml:space="preserve">Ниженков Антон Сергеевич</t>
  </si>
  <si>
    <t xml:space="preserve">Пашкова Оксана Александровна</t>
  </si>
  <si>
    <t xml:space="preserve">Петрова Ольга Алексеевна</t>
  </si>
  <si>
    <t xml:space="preserve">Постнова Светлана Викторовна</t>
  </si>
  <si>
    <t xml:space="preserve">Решетникова Любовь Евгеньевна</t>
  </si>
  <si>
    <t xml:space="preserve">Ровас Александр Анатольевич</t>
  </si>
  <si>
    <t xml:space="preserve">Савина Елена Сергеевна</t>
  </si>
  <si>
    <t xml:space="preserve">Савицкая Жанна Сергеевна</t>
  </si>
  <si>
    <t xml:space="preserve">Седунов Алексей Федорович</t>
  </si>
  <si>
    <t xml:space="preserve">Селявина Татьяна Алексеевна</t>
  </si>
  <si>
    <t xml:space="preserve">Серова Наталья Владимировна</t>
  </si>
  <si>
    <t xml:space="preserve">Смирнова Дарья Викторовна</t>
  </si>
  <si>
    <t xml:space="preserve">Треус Юлиана Юрьевна</t>
  </si>
  <si>
    <t xml:space="preserve">Трошина Екатерина Сергеевна</t>
  </si>
  <si>
    <t xml:space="preserve">Фадеев Алексей Михайлович</t>
  </si>
  <si>
    <t xml:space="preserve">Федоренко Светлана Сергеевна</t>
  </si>
  <si>
    <t xml:space="preserve">Цураев Ахмед Рустамович</t>
  </si>
  <si>
    <t xml:space="preserve">Чернышенко Оксана Олеговна</t>
  </si>
  <si>
    <t xml:space="preserve">Шабанова Юлия Владиславовна</t>
  </si>
  <si>
    <t xml:space="preserve">Швед Елена Васильевна</t>
  </si>
  <si>
    <t xml:space="preserve">Щепеткова Елена Аркадьевна</t>
  </si>
  <si>
    <t xml:space="preserve">Элбакиева Татьяна Александровна</t>
  </si>
  <si>
    <t xml:space="preserve">Юматова Оксана Юрьевна</t>
  </si>
  <si>
    <t xml:space="preserve">Ягловская Юлия Борисовна</t>
  </si>
  <si>
    <t xml:space="preserve">Алабердин Евгений Ренатович</t>
  </si>
  <si>
    <t xml:space="preserve">Алиева Наталья Игоревна</t>
  </si>
  <si>
    <t xml:space="preserve">Балашова Алёна Олеговна</t>
  </si>
  <si>
    <t xml:space="preserve">Барсукова Мария Викторовна</t>
  </si>
  <si>
    <t xml:space="preserve">Бондикова Татьяна Владимировна</t>
  </si>
  <si>
    <t xml:space="preserve">Бычкова Алтнай Хаджи Муратовна</t>
  </si>
  <si>
    <t xml:space="preserve">Воеводина Светлана Олеговна</t>
  </si>
  <si>
    <t xml:space="preserve">Жерновая Диана Олеговна</t>
  </si>
  <si>
    <t xml:space="preserve">Караханиди Елена Владимировна</t>
  </si>
  <si>
    <t xml:space="preserve">Кияшко Дарья Алексеевна</t>
  </si>
  <si>
    <t xml:space="preserve">Колесов Александр Олегович</t>
  </si>
  <si>
    <t xml:space="preserve">Лабутин Илья Алексеевич</t>
  </si>
  <si>
    <t xml:space="preserve">Лукашов-Серафонов Владислав Сергеевич</t>
  </si>
  <si>
    <t xml:space="preserve">Минина Анна Юрьевна</t>
  </si>
  <si>
    <t xml:space="preserve">Новодворская Маргарита Гарриевна</t>
  </si>
  <si>
    <t xml:space="preserve">Павлова Наталья Львовна</t>
  </si>
  <si>
    <t xml:space="preserve">Рудковский Юрий Николаевич</t>
  </si>
  <si>
    <t xml:space="preserve">Сабанина Ольга Владимировна</t>
  </si>
  <si>
    <t xml:space="preserve">Стадникова Жанна Васильевна</t>
  </si>
  <si>
    <t xml:space="preserve">Сухарева Тамара Владимировна</t>
  </si>
  <si>
    <t xml:space="preserve">Фукина Наталья Игоревна</t>
  </si>
  <si>
    <t xml:space="preserve">Черкина Екатерина Станиславовна</t>
  </si>
  <si>
    <t xml:space="preserve">Шашкова Надежда Николаевна</t>
  </si>
  <si>
    <t xml:space="preserve">Шевчук Евгения Игоревна</t>
  </si>
  <si>
    <t xml:space="preserve">Шульженко Екатерина Валерьевна</t>
  </si>
  <si>
    <t xml:space="preserve">Медведев Виталий Алексеевич</t>
  </si>
  <si>
    <t xml:space="preserve">Давыдова Галина Федоровна</t>
  </si>
  <si>
    <t xml:space="preserve">Курязов Тимур Розымбаевич</t>
  </si>
  <si>
    <t xml:space="preserve">Лучко Анна Игоревна</t>
  </si>
  <si>
    <t xml:space="preserve">Прокошев Антон Павлович</t>
  </si>
  <si>
    <t xml:space="preserve">Серюков Александр Николаевич</t>
  </si>
  <si>
    <t xml:space="preserve">Тарасов Михаил Александрович</t>
  </si>
  <si>
    <t xml:space="preserve">Антюхова Виктория Юрьевна</t>
  </si>
  <si>
    <t xml:space="preserve">Богданович Сергей Станиславович</t>
  </si>
  <si>
    <t xml:space="preserve">Голубов Андрей Павлович</t>
  </si>
  <si>
    <t xml:space="preserve">Дмитриев Антон Сергеевич</t>
  </si>
  <si>
    <t xml:space="preserve">Ермаков Игорь Геннадиевич</t>
  </si>
  <si>
    <t xml:space="preserve">Загидуллина Юлиана Наильевна</t>
  </si>
  <si>
    <t xml:space="preserve">Крылова Анна Витальевна</t>
  </si>
  <si>
    <t xml:space="preserve">Мазавина Валерия Евгеньевна</t>
  </si>
  <si>
    <t xml:space="preserve">Марценюк Владислав Владимирович</t>
  </si>
  <si>
    <t xml:space="preserve">Марченко Наталья Викторовна</t>
  </si>
  <si>
    <t xml:space="preserve">Мочалов Владимир Александрович</t>
  </si>
  <si>
    <t xml:space="preserve">Мусин Рустем Фанихович</t>
  </si>
  <si>
    <t xml:space="preserve">Пермякова Марина Геннадьевна</t>
  </si>
  <si>
    <t xml:space="preserve">Полиматиди Илья Валерьевич</t>
  </si>
  <si>
    <t xml:space="preserve">Решетников Виталий Николаевич</t>
  </si>
  <si>
    <t xml:space="preserve">Руцкая Ксения Игоревна</t>
  </si>
  <si>
    <t xml:space="preserve">Тетёркин Юрий Леонидович</t>
  </si>
  <si>
    <t xml:space="preserve">Тимофеев Алексей Игоревич</t>
  </si>
  <si>
    <t xml:space="preserve">Титаренко Олеся Александровна</t>
  </si>
  <si>
    <t xml:space="preserve">Чухломин Александр Павлович</t>
  </si>
  <si>
    <t xml:space="preserve">Эсбергенов Рашид Анварбекович</t>
  </si>
  <si>
    <t xml:space="preserve">Данилова Цаган Юрьевна</t>
  </si>
  <si>
    <t xml:space="preserve">Мельник Александр Олегович</t>
  </si>
  <si>
    <t xml:space="preserve">Михарская Анастасия Владимировна</t>
  </si>
  <si>
    <t xml:space="preserve">Седнева Ульяна Евгеньевна</t>
  </si>
  <si>
    <t xml:space="preserve">Хаваева Анастасия Владимировна</t>
  </si>
  <si>
    <t xml:space="preserve">Штатнова Инна Сергеевна</t>
  </si>
  <si>
    <t xml:space="preserve">Головин Тимур Игоревич</t>
  </si>
  <si>
    <t xml:space="preserve">Матказина Мария Касимовна</t>
  </si>
  <si>
    <t xml:space="preserve">Дорожкин Дмитрий Александрович</t>
  </si>
  <si>
    <t xml:space="preserve">Кабилов Азим Мирзорахимович</t>
  </si>
  <si>
    <t xml:space="preserve">Кизил Семен Федорович</t>
  </si>
  <si>
    <t xml:space="preserve">Чубей Надежда Васильевна</t>
  </si>
  <si>
    <t xml:space="preserve">Чумичев Алексей Александрович</t>
  </si>
  <si>
    <t xml:space="preserve">Косницкая Мария Александровна</t>
  </si>
  <si>
    <t xml:space="preserve">Total excl. FTA &amp; Elevate Prog</t>
  </si>
  <si>
    <t xml:space="preserve">Алеев Егор Андреевич</t>
  </si>
  <si>
    <t xml:space="preserve">Антонова Алена Юрьевна</t>
  </si>
  <si>
    <t xml:space="preserve">Асадова Айгюн Джабировна</t>
  </si>
  <si>
    <t xml:space="preserve">Бады Денис Орланович</t>
  </si>
  <si>
    <t xml:space="preserve">Баранов Илья Андреевич</t>
  </si>
  <si>
    <t xml:space="preserve">Бирюков Никита Александрович</t>
  </si>
  <si>
    <t xml:space="preserve">Булычев Алексей Ашотович</t>
  </si>
  <si>
    <t xml:space="preserve">Веселов Фока Сергеевич</t>
  </si>
  <si>
    <t xml:space="preserve">Вивчар Роман Олегович</t>
  </si>
  <si>
    <t xml:space="preserve">Воробьева Галина Евгеньевна</t>
  </si>
  <si>
    <t xml:space="preserve">Глазунов Константин Андреевич</t>
  </si>
  <si>
    <t xml:space="preserve">Григорьев Павел Вячеславович</t>
  </si>
  <si>
    <t xml:space="preserve">Гришин Дмитрий Васильевич</t>
  </si>
  <si>
    <t xml:space="preserve">Гришин Павел Евгеньевич</t>
  </si>
  <si>
    <t xml:space="preserve">Данилов Павел Васильевич</t>
  </si>
  <si>
    <t xml:space="preserve">Дарий Никита Сергеевич</t>
  </si>
  <si>
    <t xml:space="preserve">Дронов Дмитрий Сергеевич</t>
  </si>
  <si>
    <t xml:space="preserve">Ефимов Владимир Андреевич</t>
  </si>
  <si>
    <t xml:space="preserve">Жмуда Даниил Михайлович</t>
  </si>
  <si>
    <t xml:space="preserve">Замараева Наталия Сергеевна</t>
  </si>
  <si>
    <t xml:space="preserve">Зенин Сергей Константинович</t>
  </si>
  <si>
    <t xml:space="preserve">Иванова Ольга Игоревна</t>
  </si>
  <si>
    <t xml:space="preserve">Камалов Михаил Юрьевич</t>
  </si>
  <si>
    <t xml:space="preserve">Карелина Владислава Владимировна</t>
  </si>
  <si>
    <t xml:space="preserve">Каширский Владимир Сергеевич</t>
  </si>
  <si>
    <t xml:space="preserve">Киушкин Денис Олегович</t>
  </si>
  <si>
    <t xml:space="preserve">Клеенкина Екатерина Константиновна</t>
  </si>
  <si>
    <t xml:space="preserve">Коняева Марина Александровна</t>
  </si>
  <si>
    <t xml:space="preserve">Крокс Есения Александровна</t>
  </si>
  <si>
    <t xml:space="preserve">Кулебякина Елизавета Маратовна</t>
  </si>
  <si>
    <t xml:space="preserve">Люкшина Наталья Александровна</t>
  </si>
  <si>
    <t xml:space="preserve">Магомадов Магомед Русланович</t>
  </si>
  <si>
    <t xml:space="preserve">Максименко Дарья Дмитриевна</t>
  </si>
  <si>
    <t xml:space="preserve">Малашенко Виктория Андреевна</t>
  </si>
  <si>
    <t xml:space="preserve">Манташев Асадулла Уллубиевич</t>
  </si>
  <si>
    <t xml:space="preserve">Манукян Саркис Арменович</t>
  </si>
  <si>
    <t xml:space="preserve">Мартынова Ольга Витальевна</t>
  </si>
  <si>
    <t xml:space="preserve">Муллаяров Георгий Данилович</t>
  </si>
  <si>
    <t xml:space="preserve">Немиц Егор Андреевич</t>
  </si>
  <si>
    <t xml:space="preserve">Неустроева Ольга Геннадьевна</t>
  </si>
  <si>
    <t xml:space="preserve">Петухов Петр Алексеевич</t>
  </si>
  <si>
    <t xml:space="preserve">Русина Арина Алексеевна</t>
  </si>
  <si>
    <t xml:space="preserve">Самарина Ольга Сергеевна</t>
  </si>
  <si>
    <t xml:space="preserve">Сарткозиев Аманбай</t>
  </si>
  <si>
    <t xml:space="preserve">Скорых Елизавета Максимовна</t>
  </si>
  <si>
    <t xml:space="preserve">Слюнин Александр Викторович</t>
  </si>
  <si>
    <t xml:space="preserve">Соломина Полина Максимовна</t>
  </si>
  <si>
    <t xml:space="preserve">Сысоев Максим Романович</t>
  </si>
  <si>
    <t xml:space="preserve">Теракопов Андрей Тимурович</t>
  </si>
  <si>
    <t xml:space="preserve">Тищенко Екатерина Сергеевна</t>
  </si>
  <si>
    <t xml:space="preserve">Утенков Георгий Константинович</t>
  </si>
  <si>
    <t xml:space="preserve">Халиков Эмиль</t>
  </si>
  <si>
    <t xml:space="preserve">Хитин Артём Михайлович</t>
  </si>
  <si>
    <t xml:space="preserve">Христолюбов Роман Андреевич</t>
  </si>
  <si>
    <t xml:space="preserve">Цепков Иван Сергеевич</t>
  </si>
  <si>
    <t xml:space="preserve">Шин Владимир Юрьевич</t>
  </si>
  <si>
    <t xml:space="preserve">Шошин Родион Дмитриевич</t>
  </si>
  <si>
    <t xml:space="preserve">Эрднеев Бата Анатольевич</t>
  </si>
  <si>
    <t xml:space="preserve">Патров Иван Николаевич</t>
  </si>
  <si>
    <t xml:space="preserve">Current HC movement during the period bt MIR structure</t>
  </si>
  <si>
    <t xml:space="preserve">01.04.2026 - 30.04.2026</t>
  </si>
  <si>
    <t xml:space="preserve">HC 
as of
01.04.2026</t>
  </si>
  <si>
    <t xml:space="preserve">HC 
as of
30.04.2026</t>
  </si>
  <si>
    <t xml:space="preserve">week 01.04.2024 - 01.04.2026</t>
  </si>
  <si>
    <t xml:space="preserve">week 02.04.2024 - 08.04.2026</t>
  </si>
  <si>
    <t xml:space="preserve">week 09.04.2024 - 15.04.2026</t>
  </si>
  <si>
    <t xml:space="preserve">week 16.04.2024 - 22.04.2026</t>
  </si>
  <si>
    <t xml:space="preserve">week 23.04.2024 - 29.04.2026</t>
  </si>
  <si>
    <t xml:space="preserve">week 30.04.2024 - 30.04.2026</t>
  </si>
  <si>
    <t xml:space="preserve">Total movement</t>
  </si>
  <si>
    <t xml:space="preserve">Target HC movement during the period by MIR Structure</t>
  </si>
  <si>
    <t xml:space="preserve">Target HC as of 22.04.2026</t>
  </si>
  <si>
    <t xml:space="preserve">Targer HC as of 29.04.2026</t>
  </si>
  <si>
    <t xml:space="preserve">Current</t>
  </si>
  <si>
    <t xml:space="preserve">Vacancy
 New</t>
  </si>
  <si>
    <t xml:space="preserve">Vacancy
 Replacement</t>
  </si>
  <si>
    <t xml:space="preserve">Total HC</t>
  </si>
  <si>
    <t xml:space="preserve">Vacancy_New_Главный менеджер</t>
  </si>
  <si>
    <t xml:space="preserve">Vacancy_New_Директор по работе с клиентами</t>
  </si>
  <si>
    <t xml:space="preserve">Vacancy_new_A&amp;A Pool2</t>
  </si>
  <si>
    <t xml:space="preserve">Vacancy_new_A&amp;A Pool3</t>
  </si>
  <si>
    <t xml:space="preserve">Vacancy_new_A&amp;A Pool4</t>
  </si>
  <si>
    <t xml:space="preserve">Vacancy_new_A&amp;A Pool5</t>
  </si>
  <si>
    <t xml:space="preserve">Vacancy_repl.Esaulov, Kirill</t>
  </si>
  <si>
    <t xml:space="preserve">Vacancy_new_HCMC 20.03.2026_Algo Trader_Director</t>
  </si>
  <si>
    <t xml:space="preserve">Vacancy_new_HCMC 20.03.2026_Bonds Trader_Associate Director</t>
  </si>
  <si>
    <t xml:space="preserve">Vacancy_new_HCMC 20.03.2026_Institutional Sales_Associate Director</t>
  </si>
  <si>
    <t xml:space="preserve">Vacancy_new_HCMC 20.03.2026_Institutional Sales_Director</t>
  </si>
  <si>
    <t xml:space="preserve">Vacancy_new_HCMC 20.03.2026_Middle office manager_Senior Associate</t>
  </si>
  <si>
    <t xml:space="preserve">Vacancy_new_Team Assistant</t>
  </si>
  <si>
    <t xml:space="preserve">Vacancy_new_Трейдер (Crypto)</t>
  </si>
  <si>
    <t xml:space="preserve">Vacancy_new_HCMC 20.03.2026_GTB_Associate Director1</t>
  </si>
  <si>
    <t xml:space="preserve">Vacancy_new_HCMC 20.03.2026_GTB_Director</t>
  </si>
  <si>
    <t xml:space="preserve">Vacancy_new_HCMC 20.03.2026_Credit Sales_Director</t>
  </si>
  <si>
    <t xml:space="preserve">Vacancy_new_HCMC 20.03.2026_Credit Sales_Executive Director</t>
  </si>
  <si>
    <t xml:space="preserve">Vacancy_new_HCMC 20.03.2026_Derivative Sales_Executive Director</t>
  </si>
  <si>
    <t xml:space="preserve">Vacancy_new_HCMC 20.03.2026_GTB Sales_Associate Director</t>
  </si>
  <si>
    <t xml:space="preserve">Vacancy_new_HCMC 20.03.2026_GTB Sales_Director</t>
  </si>
  <si>
    <t xml:space="preserve">Vacancy_repl.Palei, Mikhail</t>
  </si>
  <si>
    <t xml:space="preserve">Vacancy_repl.Шальнов Павел Сергеевич</t>
  </si>
  <si>
    <t xml:space="preserve">Vacancy_new_(О.Рыжкова, MD WIM Private Equity)</t>
  </si>
  <si>
    <t xml:space="preserve">Vacancy_new_УК_ Associate Director_HNWI sales</t>
  </si>
  <si>
    <t xml:space="preserve">Vacancy_new_УК_ Senior Associate_Real estate</t>
  </si>
  <si>
    <t xml:space="preserve">Vacancy_new_УК_ Senior Associate2_Digital</t>
  </si>
  <si>
    <t xml:space="preserve">Vacancy_new_УК_ Senior Associate3_Digital</t>
  </si>
  <si>
    <t xml:space="preserve">Vacancy_new_УК_ Senior Associate4_Digital</t>
  </si>
  <si>
    <t xml:space="preserve">Vacancy_new_УК_ Senior Associate5_Digital</t>
  </si>
  <si>
    <t xml:space="preserve">Vacancy_new_УК_ Senior Associate6_Digital</t>
  </si>
  <si>
    <t xml:space="preserve">Vacancy_repl. Dudinskaya, Kseniya</t>
  </si>
  <si>
    <t xml:space="preserve">Vacancy_repl. Telegin V.</t>
  </si>
  <si>
    <t xml:space="preserve">Vacancy_repl. Берлинер А.Б.</t>
  </si>
  <si>
    <t xml:space="preserve">Vacancy_repl. Гобеджишвили Е.З.</t>
  </si>
  <si>
    <t xml:space="preserve">Vacancy_repl. Ерусланова Л.</t>
  </si>
  <si>
    <t xml:space="preserve">Vacancy_repl. Крайнюк А.</t>
  </si>
  <si>
    <t xml:space="preserve">Vacancy_repl. Назыров И.Р.</t>
  </si>
  <si>
    <t xml:space="preserve">Vacancy_repl. Счастливов</t>
  </si>
  <si>
    <t xml:space="preserve">Vacancy_repl. Торовичук А.О.</t>
  </si>
  <si>
    <t xml:space="preserve">Vacancy_Окатов В.А.</t>
  </si>
  <si>
    <t xml:space="preserve">Vacancy_repl. Комков Иван Викторович</t>
  </si>
  <si>
    <t xml:space="preserve">Vacancy_repl.Егупов Иван Евгеньевич</t>
  </si>
  <si>
    <t xml:space="preserve">Vacancy_repl.Самокиш Антон Владимирович</t>
  </si>
  <si>
    <t xml:space="preserve">Бойцова Екатерина Олеговна</t>
  </si>
  <si>
    <t xml:space="preserve">Дубровин Никита Сергеевич</t>
  </si>
  <si>
    <t xml:space="preserve">Егупов Иван Евгеньевич</t>
  </si>
  <si>
    <t xml:space="preserve">Комков Иван Викторович</t>
  </si>
  <si>
    <t xml:space="preserve">Пятигорец Марина Олеговна</t>
  </si>
  <si>
    <t xml:space="preserve">Самокиш Антон Владимирович</t>
  </si>
  <si>
    <t xml:space="preserve">Vacancy_new_HCMC 20.03.2026_COO_Director</t>
  </si>
  <si>
    <t xml:space="preserve">Vacancy_new_УК_ Director</t>
  </si>
  <si>
    <t xml:space="preserve">Vacancy_new_HCMC_18.09.2025_Главный специалист</t>
  </si>
  <si>
    <t xml:space="preserve">Vacancy_new_Ведущий специалист (Crypto)</t>
  </si>
  <si>
    <t xml:space="preserve">Vacancy_new_Ведущий специалист (Crypto) </t>
  </si>
  <si>
    <t xml:space="preserve">Vacancy_new_УК_  Associate2</t>
  </si>
  <si>
    <t xml:space="preserve">Vacancy_new_УК_  Senior Associate2</t>
  </si>
  <si>
    <t xml:space="preserve">Vacancy_repl. Логачева Т.Е.</t>
  </si>
  <si>
    <t xml:space="preserve">Vacancy_new_Копирайтер/PR менеджер</t>
  </si>
  <si>
    <t xml:space="preserve">Vacancy_repl.Березина Анастасия Евгеньевна</t>
  </si>
  <si>
    <t xml:space="preserve">Vacancy_repl.Бахарева Полина Вячеславовна</t>
  </si>
  <si>
    <t xml:space="preserve">Vacancy_new_Старший специалист по цифровому комплаенсу (Crypto)</t>
  </si>
  <si>
    <t xml:space="preserve">Vacancy_new_УК_  Associate Director</t>
  </si>
  <si>
    <t xml:space="preserve">Vacancy_new_УК_ Senior Associate</t>
  </si>
  <si>
    <t xml:space="preserve">Vacancy_new_Front end разработчик (Crypto)</t>
  </si>
  <si>
    <t xml:space="preserve">Vacancy_new_HCMC 20.03.2026_IT_Associate Director1</t>
  </si>
  <si>
    <t xml:space="preserve">Vacancy_new_HCMC 20.03.2026_IT_Associate Director2</t>
  </si>
  <si>
    <t xml:space="preserve">Vacancy_new_HCMC 20.03.2026_IT_Executive Director</t>
  </si>
  <si>
    <t xml:space="preserve">Vacancy_new_HCMC 20.03.2026_IT_Senior Associate</t>
  </si>
  <si>
    <t xml:space="preserve">Vacancy_new_IRise_Backend разработчик1</t>
  </si>
  <si>
    <t xml:space="preserve">Vacancy_new_IRise_Backend разработчик2</t>
  </si>
  <si>
    <t xml:space="preserve">Vacancy_new_IRise_Front-end разработчик</t>
  </si>
  <si>
    <t xml:space="preserve">Vacancy_new_IRise_Fullstack разработчик</t>
  </si>
  <si>
    <t xml:space="preserve">Vacancy_new_IRise_Бизнес-аналитик</t>
  </si>
  <si>
    <t xml:space="preserve">Vacancy_new_IRise_Тимлид backend разработки</t>
  </si>
  <si>
    <t xml:space="preserve">Vacancy_new_Тестировщик (Crypto)</t>
  </si>
  <si>
    <t xml:space="preserve">Vacancy_repl_Вяткин Василий Владимирович</t>
  </si>
  <si>
    <t xml:space="preserve">Vacancy_repl_Разработчик</t>
  </si>
  <si>
    <t xml:space="preserve">Vacancy_repl.Парамонов Иван Евгеньевич</t>
  </si>
  <si>
    <t xml:space="preserve">Vacancy_New_УК_ Associate1</t>
  </si>
  <si>
    <t xml:space="preserve">Vacancy_New_УК_ Associate2</t>
  </si>
  <si>
    <t xml:space="preserve">Vacancy_new_УК_ Senior Associate1</t>
  </si>
  <si>
    <t xml:space="preserve">Vacancy_new_УК_ Senior Associate10</t>
  </si>
  <si>
    <t xml:space="preserve">Vacancy_new_УК_ Senior Associate11</t>
  </si>
  <si>
    <t xml:space="preserve">Vacancy_new_УК_ Senior Associate2</t>
  </si>
  <si>
    <t xml:space="preserve">Vacancy_new_УК_ Senior Associate3</t>
  </si>
  <si>
    <t xml:space="preserve">Vacancy_new_УК_ Senior Associate4</t>
  </si>
  <si>
    <t xml:space="preserve">Vacancy_new_УК_ Senior Associate5</t>
  </si>
  <si>
    <t xml:space="preserve">Vacancy_new_УК_ Senior Associate6</t>
  </si>
  <si>
    <t xml:space="preserve">Vacancy_new_УК_ Senior Associate7</t>
  </si>
  <si>
    <t xml:space="preserve">Vacancy_repl_Мохов А.А.</t>
  </si>
  <si>
    <t xml:space="preserve">Vacancy_repl_Чмыхалов Алексей Анатольевич (СБ Брокер)</t>
  </si>
  <si>
    <t xml:space="preserve">Vacancy_repl. Гальцев Б.С.</t>
  </si>
  <si>
    <t xml:space="preserve">Елистратова Анастасия Николаевна</t>
  </si>
  <si>
    <t xml:space="preserve">Vacancy_new_HCMC 20.03.2026_Risk_Analyst</t>
  </si>
  <si>
    <t xml:space="preserve">Vacancy_new_HCMC 20.03.2026_Risk_Associate Director</t>
  </si>
  <si>
    <t xml:space="preserve">Vacancy_new_HCMC 20.03.2026_Risk_Senior Associate</t>
  </si>
  <si>
    <t xml:space="preserve">Vacancy_repl.Маргулис Даниил Евгеньевич</t>
  </si>
  <si>
    <t xml:space="preserve">Vacancy_New_УК_ Associate Director2</t>
  </si>
  <si>
    <t xml:space="preserve">vacancy_repl_Фирсов Вячеслав Александрович</t>
  </si>
  <si>
    <t xml:space="preserve">Vacancy_repl.Крапивкина Александра Викторовна</t>
  </si>
  <si>
    <t xml:space="preserve">Vacancy_repl. Бронш Е.</t>
  </si>
  <si>
    <t xml:space="preserve">Vacancy FTA</t>
  </si>
  <si>
    <t xml:space="preserve">Vacancy as of 22.04.2026</t>
  </si>
  <si>
    <t xml:space="preserve">Vacancy as of 29.04.2026</t>
  </si>
  <si>
    <t xml:space="preserve">Total Vacancy</t>
  </si>
  <si>
    <t xml:space="preserve">1.В ленту добавить кнопки, которые вызывают создание форм</t>
  </si>
  <si>
    <t xml:space="preserve">2. Также добавить возможность открывать/добавлять эти формы по нажатию правой кнопкой мыши встав на строчку в трекере</t>
  </si>
  <si>
    <t xml:space="preserve">HC Authorization</t>
  </si>
  <si>
    <t xml:space="preserve">Offer Authorization</t>
  </si>
  <si>
    <t xml:space="preserve">Change table</t>
  </si>
  <si>
    <t xml:space="preserve">Mass transfer</t>
  </si>
  <si>
    <t xml:space="preserve">HC Tracker 2025-2026</t>
  </si>
  <si>
    <t xml:space="preserve">2026 Week 10 (05.03 - 11.03)</t>
  </si>
  <si>
    <t xml:space="preserve">Person / Vacancy ID</t>
  </si>
  <si>
    <t xml:space="preserve">Document Status</t>
  </si>
  <si>
    <t xml:space="preserve">Vacancy Type</t>
  </si>
  <si>
    <t xml:space="preserve">Vacancy Status</t>
  </si>
  <si>
    <t xml:space="preserve">Assignment Status As Is</t>
  </si>
  <si>
    <t xml:space="preserve">Assignment Status  To Be</t>
  </si>
  <si>
    <t xml:space="preserve">Effective Start Date</t>
  </si>
  <si>
    <t xml:space="preserve">Effective End Date</t>
  </si>
  <si>
    <t xml:space="preserve">Planed Termination Date</t>
  </si>
  <si>
    <t xml:space="preserve">Global Area As Is</t>
  </si>
  <si>
    <t xml:space="preserve">Corporate Title
To Be</t>
  </si>
  <si>
    <t xml:space="preserve">Effective CT change date</t>
  </si>
  <si>
    <t xml:space="preserve">Effective LE change date</t>
  </si>
  <si>
    <t xml:space="preserve">Директор</t>
  </si>
  <si>
    <t xml:space="preserve">2020-08-17</t>
  </si>
  <si>
    <t xml:space="preserve">Active</t>
  </si>
  <si>
    <t xml:space="preserve">Global Markets &amp; FP Sales</t>
  </si>
  <si>
    <t xml:space="preserve">GM Fx &amp; rates Sales</t>
  </si>
  <si>
    <t xml:space="preserve">GFFS</t>
  </si>
  <si>
    <t xml:space="preserve">помощник руководителя департамента</t>
  </si>
  <si>
    <t xml:space="preserve">REPO</t>
  </si>
  <si>
    <t xml:space="preserve">Commodities Sales</t>
  </si>
  <si>
    <t xml:space="preserve">GMEF</t>
  </si>
  <si>
    <t xml:space="preserve">Terminated</t>
  </si>
  <si>
    <t xml:space="preserve">JSC "Capital Aktiv"</t>
  </si>
  <si>
    <t xml:space="preserve">Unapproved</t>
  </si>
  <si>
    <t xml:space="preserve">Replacement</t>
  </si>
  <si>
    <t xml:space="preserve">Менеджер</t>
  </si>
  <si>
    <t xml:space="preserve">New</t>
  </si>
  <si>
    <t xml:space="preserve">Ведущий Менеджер</t>
  </si>
  <si>
    <t xml:space="preserve">Closed</t>
  </si>
  <si>
    <t xml:space="preserve">LLC Business-Finance</t>
  </si>
  <si>
    <t xml:space="preserve">Finance Report</t>
  </si>
  <si>
    <t xml:space="preserve">Month Short Name</t>
  </si>
  <si>
    <t xml:space="preserve">Finance Legal</t>
  </si>
  <si>
    <t xml:space="preserve">Finance Legal Code</t>
  </si>
  <si>
    <t xml:space="preserve">Finance_Legal_Name</t>
  </si>
  <si>
    <t xml:space="preserve">Account</t>
  </si>
  <si>
    <t xml:space="preserve">Account Code</t>
  </si>
  <si>
    <t xml:space="preserve">Account Name</t>
  </si>
  <si>
    <t xml:space="preserve">Finance MIR</t>
  </si>
  <si>
    <t xml:space="preserve">MIR Code</t>
  </si>
  <si>
    <t xml:space="preserve">Finance NetStatus</t>
  </si>
  <si>
    <t xml:space="preserve">Special Status</t>
  </si>
  <si>
    <t xml:space="preserve">5000000011~Headcount</t>
  </si>
  <si>
    <t xml:space="preserve">5000000011</t>
  </si>
  <si>
    <t xml:space="preserve">Headcount</t>
  </si>
  <si>
    <t xml:space="preserve">M_GFRP~Repack of loan deals</t>
  </si>
  <si>
    <t xml:space="preserve">GFRP</t>
  </si>
  <si>
    <t xml:space="preserve">CURRENT</t>
  </si>
  <si>
    <t xml:space="preserve">Other</t>
  </si>
  <si>
    <t xml:space="preserve">E_yyyCAP~yyyCAP</t>
  </si>
  <si>
    <t xml:space="preserve">E_yyyCAP</t>
  </si>
  <si>
    <t xml:space="preserve">yyyCAP</t>
  </si>
  <si>
    <t xml:space="preserve">4015100010</t>
  </si>
  <si>
    <t xml:space="preserve">Salaries</t>
  </si>
  <si>
    <t xml:space="preserve">AMTM</t>
  </si>
  <si>
    <t xml:space="preserve">GBEM</t>
  </si>
  <si>
    <t xml:space="preserve">GBMT</t>
  </si>
  <si>
    <t xml:space="preserve">E_INVMAN~LLC xxx Capital Trading</t>
  </si>
  <si>
    <t xml:space="preserve">E_INVMAN</t>
  </si>
  <si>
    <t xml:space="preserve">LLC xxx Capital Trading</t>
  </si>
  <si>
    <t xml:space="preserve">M_CICT~Corporate &amp; Inv. Cov. Management Group (CIS)</t>
  </si>
  <si>
    <t xml:space="preserve">CICT</t>
  </si>
  <si>
    <t xml:space="preserve">4015100020</t>
  </si>
  <si>
    <t xml:space="preserve">Social securities on salaries</t>
  </si>
  <si>
    <t xml:space="preserve">M_GFPT~Trading</t>
  </si>
  <si>
    <t xml:space="preserve">4015100050</t>
  </si>
  <si>
    <t xml:space="preserve">Accruals for unused vacations</t>
  </si>
  <si>
    <t xml:space="preserve">4015100060</t>
  </si>
  <si>
    <t xml:space="preserve">Social Security on accruals for unused vacations</t>
  </si>
  <si>
    <t xml:space="preserve">M_GFST~Management</t>
  </si>
  <si>
    <t xml:space="preserve">GFST</t>
  </si>
  <si>
    <t xml:space="preserve">4015230010</t>
  </si>
  <si>
    <t xml:space="preserve">Health &amp; welfare - Non-state mandated</t>
  </si>
  <si>
    <t xml:space="preserve">4015510010~Bonus - cash awards (discretionary)</t>
  </si>
  <si>
    <t xml:space="preserve">4015510010</t>
  </si>
  <si>
    <t xml:space="preserve">Bonus - cash awards (discretionary)</t>
  </si>
  <si>
    <t xml:space="preserve">SLEG</t>
  </si>
  <si>
    <t xml:space="preserve">4015510050~Social Security on discretionary Bonus</t>
  </si>
  <si>
    <t xml:space="preserve">4015510050</t>
  </si>
  <si>
    <t xml:space="preserve">Social Security on discretionary Bonus</t>
  </si>
  <si>
    <t xml:space="preserve">M_GFFA~Digital Financial assets</t>
  </si>
  <si>
    <t xml:space="preserve">GFFA</t>
  </si>
  <si>
    <t xml:space="preserve">Name by Name Report</t>
  </si>
  <si>
    <t xml:space="preserve">Heacount</t>
  </si>
  <si>
    <t xml:space="preserve">MSU Salary</t>
  </si>
  <si>
    <t xml:space="preserve">Total Vacation Pay</t>
  </si>
  <si>
    <t xml:space="preserve">Social Tax (Salary Uplift)</t>
  </si>
  <si>
    <t xml:space="preserve">Social Tax (Quarterly Bonus)</t>
  </si>
  <si>
    <t xml:space="preserve">Social Tax (Quarterly Bonus Uplift)</t>
  </si>
  <si>
    <t xml:space="preserve">Social Tax(Total Discretionary Bonus)</t>
  </si>
  <si>
    <t xml:space="preserve">Full Name</t>
  </si>
  <si>
    <t xml:space="preserve">CIB Start Date</t>
  </si>
  <si>
    <t xml:space="preserve">1000169</t>
  </si>
  <si>
    <t xml:space="preserve">1/16/2025</t>
  </si>
  <si>
    <t xml:space="preserve">1000257</t>
  </si>
  <si>
    <t xml:space="preserve">4/15/2016</t>
  </si>
  <si>
    <t xml:space="preserve">1000287</t>
  </si>
  <si>
    <t xml:space="preserve">7/2/2019</t>
  </si>
  <si>
    <t xml:space="preserve">1000295</t>
  </si>
  <si>
    <t xml:space="preserve">8/1/2019</t>
  </si>
  <si>
    <t xml:space="preserve">1000307</t>
  </si>
  <si>
    <t xml:space="preserve">10/10/2019</t>
  </si>
  <si>
    <t xml:space="preserve">1000347</t>
  </si>
  <si>
    <t xml:space="preserve">3/18/2021</t>
  </si>
  <si>
    <t xml:space="preserve">1000353</t>
  </si>
  <si>
    <t xml:space="preserve">5/22/2017</t>
  </si>
  <si>
    <t xml:space="preserve">1000365</t>
  </si>
  <si>
    <t xml:space="preserve">10/6/2008</t>
  </si>
  <si>
    <t xml:space="preserve">1000371</t>
  </si>
  <si>
    <t xml:space="preserve">11/15/2010</t>
  </si>
  <si>
    <t xml:space="preserve">GFIB</t>
  </si>
  <si>
    <t xml:space="preserve">1000373</t>
  </si>
  <si>
    <t xml:space="preserve">2/14/2011</t>
  </si>
  <si>
    <t xml:space="preserve">Samestore Report</t>
  </si>
  <si>
    <t xml:space="preserve">Year End Y-1</t>
  </si>
  <si>
    <t xml:space="preserve">SS Y</t>
  </si>
  <si>
    <t xml:space="preserve">Leave Date</t>
  </si>
  <si>
    <t xml:space="preserve">Maternity Start Date</t>
  </si>
  <si>
    <t xml:space="preserve">Maternity End Date</t>
  </si>
  <si>
    <t xml:space="preserve">ProRate PY</t>
  </si>
  <si>
    <t xml:space="preserve">ProRate CY</t>
  </si>
  <si>
    <t xml:space="preserve">Regional top up</t>
  </si>
  <si>
    <t xml:space="preserve">Business Trip Deduction</t>
  </si>
  <si>
    <t xml:space="preserve">Year End Total</t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</si>
</sst>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.0"/>
    <numFmt numFmtId="166" formatCode="#,##0"/>
    <numFmt numFmtId="167" formatCode="\+#,##0.0;\-#,##0.0;0.0"/>
    <numFmt numFmtId="168" formatCode="0.0\%"/>
    <numFmt numFmtId="169" formatCode="\+0.0\%;\-0.0\%;0.0\%"/>
    <numFmt numFmtId="170" formatCode="\+#,##0;\-#,##0;0"/>
    <numFmt numFmtId="171" formatCode="#,##0.00"/>
    <numFmt numFmtId="172" formatCode="\+#,##0.00;\-#,##0.00;0.00"/>
    <numFmt numFmtId="173" formatCode="0%"/>
    <numFmt numFmtId="174" formatCode="0.0%"/>
    <numFmt numFmtId="175" formatCode="m/d/yyyy"/>
    <numFmt numFmtId="176" formatCode="0.00%"/>
    <numFmt numFmtId="177" formatCode="@"/>
    <numFmt numFmtId="178" formatCode="#,##0;\-#,##0;\-"/>
    <numFmt numFmtId="179" formatCode="0.00000%"/>
    <numFmt numFmtId="180" formatCode="_(* #,##0_);_(* \(#,##0\);_(* \-??_);_(@_)"/>
    <numFmt numFmtId="181" formatCode="yyyy/mm/dd"/>
    <numFmt numFmtId="182" formatCode="_-* #,##0.0_-;\-* #,##0.0_-;_-* \-??_-;_-@_-"/>
    <numFmt numFmtId="183" formatCode="_-* #,##0.00_-;\-* #,##0.00_-;_-* \-??_-;_-@_-"/>
    <numFmt numFmtId="184" formatCode="mmm\-yy"/>
    <numFmt numFmtId="185" formatCode="_-* #,##0.00&quot; ₽&quot;_-;\-* #,##0.00&quot; ₽&quot;_-;_-* \-??&quot; ₽&quot;_-;_-@_-"/>
    <numFmt numFmtId="186" formatCode="#,##0.00;\-#,##0.00;\-"/>
  </numFmts>
  <fonts count="9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Calibri"/>
      <family val="0"/>
      <charset val="1"/>
    </font>
    <font>
      <u val="single"/>
      <sz val="9"/>
      <color rgb="FF1F3864"/>
      <name val="Calibri"/>
      <family val="0"/>
      <charset val="1"/>
    </font>
    <font>
      <sz val="10"/>
      <color rgb="FF7A828E"/>
      <name val="Calibri"/>
      <family val="0"/>
      <charset val="1"/>
    </font>
    <font>
      <b val="true"/>
      <sz val="11"/>
      <color rgb="FF3B3F46"/>
      <name val="Calibri"/>
      <family val="0"/>
      <charset val="1"/>
    </font>
    <font>
      <b val="true"/>
      <sz val="9.5"/>
      <color rgb="FFFFFFFF"/>
      <name val="Calibri"/>
      <family val="0"/>
      <charset val="1"/>
    </font>
    <font>
      <b val="true"/>
      <sz val="9.5"/>
      <color rgb="FF1F3864"/>
      <name val="Calibri"/>
      <family val="0"/>
      <charset val="1"/>
    </font>
    <font>
      <sz val="10"/>
      <color rgb="FF3B3F46"/>
      <name val="Calibri"/>
      <family val="0"/>
      <charset val="1"/>
    </font>
    <font>
      <b val="true"/>
      <sz val="8.5"/>
      <color rgb="FF7A828E"/>
      <name val="Calibri"/>
      <family val="0"/>
      <charset val="1"/>
    </font>
    <font>
      <b val="true"/>
      <sz val="18"/>
      <color rgb="FF1F3864"/>
      <name val="Calibri"/>
      <family val="0"/>
      <charset val="1"/>
    </font>
    <font>
      <b val="true"/>
      <sz val="11"/>
      <color rgb="FF1F3864"/>
      <name val="Calibri"/>
      <family val="0"/>
      <charset val="1"/>
    </font>
    <font>
      <b val="true"/>
      <sz val="9"/>
      <color rgb="FF7A828E"/>
      <name val="Calibri"/>
      <family val="0"/>
      <charset val="1"/>
    </font>
    <font>
      <b val="true"/>
      <sz val="9"/>
      <color rgb="FFC0392B"/>
      <name val="Calibri"/>
      <family val="0"/>
      <charset val="1"/>
    </font>
    <font>
      <b val="true"/>
      <sz val="9"/>
      <color rgb="FFB7791F"/>
      <name val="Calibri"/>
      <family val="0"/>
      <charset val="1"/>
    </font>
    <font>
      <b val="true"/>
      <sz val="9"/>
      <color rgb="FF2E7D32"/>
      <name val="Calibri"/>
      <family val="0"/>
      <charset val="1"/>
    </font>
    <font>
      <sz val="9"/>
      <color rgb="FF7A828E"/>
      <name val="Calibri"/>
      <family val="0"/>
      <charset val="1"/>
    </font>
    <font>
      <sz val="8.5"/>
      <color rgb="FF7A828E"/>
      <name val="Calibri"/>
      <family val="0"/>
      <charset val="1"/>
    </font>
    <font>
      <b val="true"/>
      <sz val="16"/>
      <color rgb="FF1F3864"/>
      <name val="Calibri"/>
      <family val="0"/>
      <charset val="1"/>
    </font>
    <font>
      <u val="single"/>
      <sz val="10"/>
      <color rgb="FF1F3864"/>
      <name val="Calibri"/>
      <family val="0"/>
      <charset val="1"/>
    </font>
    <font>
      <b val="true"/>
      <sz val="10"/>
      <color rgb="FF3B3F46"/>
      <name val="Calibri"/>
      <family val="0"/>
      <charset val="1"/>
    </font>
    <font>
      <i val="true"/>
      <sz val="8"/>
      <color rgb="FF7A828E"/>
      <name val="Calibri"/>
      <family val="0"/>
      <charset val="1"/>
    </font>
    <font>
      <b val="true"/>
      <sz val="8"/>
      <color rgb="FF7A828E"/>
      <name val="Calibri"/>
      <family val="0"/>
      <charset val="1"/>
    </font>
    <font>
      <sz val="8"/>
      <color rgb="FF7A828E"/>
      <name val="Calibri"/>
      <family val="0"/>
      <charset val="1"/>
    </font>
    <font>
      <sz val="9"/>
      <color rgb="FF1F3864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1F3864"/>
      <name val="Calibri"/>
      <family val="0"/>
      <charset val="1"/>
    </font>
    <font>
      <sz val="9"/>
      <color rgb="FF3B3F46"/>
      <name val="Calibri"/>
      <family val="0"/>
      <charset val="1"/>
    </font>
    <font>
      <b val="true"/>
      <sz val="9"/>
      <color rgb="FF1F3864"/>
      <name val="Calibri"/>
      <family val="0"/>
      <charset val="1"/>
    </font>
    <font>
      <i val="true"/>
      <sz val="10"/>
      <color rgb="FF7A828E"/>
      <name val="Calibri"/>
      <family val="0"/>
      <charset val="1"/>
    </font>
    <font>
      <b val="true"/>
      <sz val="9"/>
      <color rgb="FF3B3F46"/>
      <name val="Calibri"/>
      <family val="0"/>
      <charset val="1"/>
    </font>
    <font>
      <b val="true"/>
      <sz val="12"/>
      <color rgb="FFC9D2DE"/>
      <name val="Calibri"/>
      <family val="0"/>
      <charset val="1"/>
    </font>
    <font>
      <b val="true"/>
      <sz val="12"/>
      <color rgb="FFB7791F"/>
      <name val="Calibri"/>
      <family val="0"/>
      <charset val="1"/>
    </font>
    <font>
      <sz val="8.5"/>
      <color rgb="FFB7791F"/>
      <name val="Calibri"/>
      <family val="0"/>
      <charset val="1"/>
    </font>
    <font>
      <b val="true"/>
      <sz val="12"/>
      <color rgb="FF2E7D32"/>
      <name val="Calibri"/>
      <family val="0"/>
      <charset val="1"/>
    </font>
    <font>
      <b val="true"/>
      <sz val="9.5"/>
      <color rgb="FF7A828E"/>
      <name val="Calibri"/>
      <family val="0"/>
      <charset val="1"/>
    </font>
    <font>
      <b val="true"/>
      <sz val="10"/>
      <color rgb="FF2E7D32"/>
      <name val="Calibri"/>
      <family val="0"/>
      <charset val="1"/>
    </font>
    <font>
      <b val="true"/>
      <sz val="10"/>
      <color rgb="FF7A828E"/>
      <name val="Calibri"/>
      <family val="0"/>
      <charset val="1"/>
    </font>
    <font>
      <b val="true"/>
      <sz val="10"/>
      <color rgb="FFB7791F"/>
      <name val="Calibri"/>
      <family val="0"/>
      <charset val="1"/>
    </font>
    <font>
      <b val="true"/>
      <sz val="16"/>
      <color rgb="FF215968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u val="single"/>
      <sz val="11"/>
      <color rgb="FF0000FF"/>
      <name val="Calibri"/>
      <family val="2"/>
      <charset val="204"/>
    </font>
    <font>
      <sz val="11"/>
      <color rgb="FF000000"/>
      <name val="Calibri"/>
      <family val="2"/>
      <charset val="204"/>
    </font>
    <font>
      <b val="true"/>
      <sz val="14"/>
      <color rgb="FF000000"/>
      <name val="Calibri"/>
      <family val="2"/>
      <charset val="204"/>
    </font>
    <font>
      <b val="true"/>
      <sz val="11"/>
      <color rgb="FF215968"/>
      <name val="Calibri"/>
      <family val="2"/>
      <charset val="1"/>
    </font>
    <font>
      <sz val="11"/>
      <color rgb="FF000000"/>
      <name val="Wingdings 3"/>
      <family val="1"/>
      <charset val="2"/>
    </font>
    <font>
      <b val="true"/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color rgb="FFBFBFBF"/>
      <name val="Calibri"/>
      <family val="2"/>
      <charset val="1"/>
    </font>
    <font>
      <sz val="11"/>
      <name val="Calibri"/>
      <family val="2"/>
      <charset val="1"/>
    </font>
    <font>
      <i val="true"/>
      <sz val="11"/>
      <color rgb="FF00B050"/>
      <name val="Calibri"/>
      <family val="2"/>
      <charset val="204"/>
    </font>
    <font>
      <i val="true"/>
      <sz val="9"/>
      <color rgb="FF7F7F7F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sz val="11"/>
      <color rgb="FF002060"/>
      <name val="Calibri"/>
      <family val="2"/>
      <charset val="1"/>
    </font>
    <font>
      <b val="true"/>
      <sz val="10"/>
      <color rgb="FFFFFFFF"/>
      <name val="Arial Narrow"/>
      <family val="2"/>
      <charset val="204"/>
    </font>
    <font>
      <sz val="11"/>
      <name val="Calibri"/>
      <family val="2"/>
      <charset val="204"/>
    </font>
    <font>
      <sz val="11"/>
      <color rgb="FF7F7F7F"/>
      <name val="Calibri"/>
      <family val="2"/>
      <charset val="204"/>
    </font>
    <font>
      <b val="true"/>
      <sz val="20"/>
      <color rgb="FF002060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b val="true"/>
      <i val="true"/>
      <u val="single"/>
      <sz val="11"/>
      <color rgb="FF000000"/>
      <name val="Calibri"/>
      <family val="2"/>
      <charset val="204"/>
    </font>
    <font>
      <b val="true"/>
      <sz val="11"/>
      <color rgb="FF002060"/>
      <name val="Calibri"/>
      <family val="2"/>
      <charset val="204"/>
    </font>
    <font>
      <i val="true"/>
      <sz val="12"/>
      <color rgb="FF002060"/>
      <name val="Calibri"/>
      <family val="2"/>
      <charset val="204"/>
    </font>
    <font>
      <i val="true"/>
      <sz val="10"/>
      <color rgb="FF00B050"/>
      <name val="Calibri"/>
      <family val="2"/>
      <charset val="204"/>
    </font>
    <font>
      <sz val="11"/>
      <color rgb="FF595959"/>
      <name val="Calibri"/>
      <family val="2"/>
      <charset val="204"/>
    </font>
    <font>
      <b val="true"/>
      <u val="single"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b val="true"/>
      <sz val="8"/>
      <name val="Arial"/>
      <family val="2"/>
      <charset val="1"/>
    </font>
    <font>
      <b val="true"/>
      <sz val="10"/>
      <name val="Arial"/>
      <family val="2"/>
      <charset val="204"/>
    </font>
    <font>
      <sz val="9"/>
      <name val="Arial Cyr"/>
      <family val="0"/>
      <charset val="204"/>
    </font>
    <font>
      <sz val="10"/>
      <name val="Arial Cyr"/>
      <family val="0"/>
      <charset val="204"/>
    </font>
    <font>
      <b val="true"/>
      <sz val="14"/>
      <color rgb="FFC00000"/>
      <name val="Calibri"/>
      <family val="2"/>
      <charset val="204"/>
    </font>
    <font>
      <b val="true"/>
      <sz val="14"/>
      <color rgb="FFFFFFFF"/>
      <name val="Calibri"/>
      <family val="2"/>
      <charset val="204"/>
    </font>
    <font>
      <sz val="11"/>
      <color rgb="FFFFFFFF"/>
      <name val="Calibri"/>
      <family val="2"/>
      <charset val="204"/>
    </font>
    <font>
      <i val="true"/>
      <sz val="10"/>
      <color rgb="FF808080"/>
      <name val="Calibri"/>
      <family val="2"/>
      <charset val="204"/>
    </font>
    <font>
      <i val="true"/>
      <sz val="11"/>
      <color rgb="FF808080"/>
      <name val="Calibri"/>
      <family val="2"/>
      <charset val="204"/>
    </font>
    <font>
      <b val="true"/>
      <sz val="12"/>
      <color rgb="FFFFFFFF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i val="true"/>
      <sz val="10"/>
      <color rgb="FF808080"/>
      <name val="Calibri"/>
      <family val="2"/>
      <charset val="204"/>
    </font>
    <font>
      <i val="true"/>
      <sz val="11"/>
      <color rgb="FF000000"/>
      <name val="Calibri"/>
      <family val="2"/>
      <charset val="204"/>
    </font>
    <font>
      <b val="true"/>
      <sz val="16"/>
      <color rgb="FF002060"/>
      <name val="Calibri"/>
      <family val="2"/>
      <charset val="204"/>
    </font>
    <font>
      <i val="true"/>
      <sz val="14"/>
      <color rgb="FF002060"/>
      <name val="Calibri"/>
      <family val="2"/>
      <charset val="204"/>
    </font>
    <font>
      <b val="true"/>
      <sz val="12"/>
      <color rgb="FF002060"/>
      <name val="Calibri"/>
      <family val="2"/>
      <charset val="204"/>
    </font>
    <font>
      <sz val="11"/>
      <color rgb="FFFF0000"/>
      <name val="Calibri"/>
      <family val="2"/>
      <charset val="1"/>
    </font>
    <font>
      <sz val="11"/>
      <color rgb="FF002060"/>
      <name val="Calibri"/>
      <family val="2"/>
      <charset val="204"/>
    </font>
    <font>
      <b val="true"/>
      <sz val="11"/>
      <color rgb="FF000000"/>
      <name val="Calibri"/>
      <family val="2"/>
      <charset val="1"/>
    </font>
  </fonts>
  <fills count="54">
    <fill>
      <patternFill patternType="none"/>
    </fill>
    <fill>
      <patternFill patternType="gray125"/>
    </fill>
    <fill>
      <patternFill patternType="solid">
        <fgColor rgb="FF1F3864"/>
        <bgColor rgb="FF3B3F46"/>
      </patternFill>
    </fill>
    <fill>
      <patternFill patternType="solid">
        <fgColor rgb="FFDEE6F6"/>
        <bgColor rgb="FFDBEEF4"/>
      </patternFill>
    </fill>
    <fill>
      <patternFill patternType="solid">
        <fgColor rgb="FFFFFFFF"/>
        <bgColor rgb="FFF7F7F7"/>
      </patternFill>
    </fill>
    <fill>
      <patternFill patternType="solid">
        <fgColor rgb="FFF5F7FA"/>
        <bgColor rgb="FFF7F7F7"/>
      </patternFill>
    </fill>
    <fill>
      <patternFill patternType="solid">
        <fgColor rgb="FFE6F2E6"/>
        <bgColor rgb="FFEDF0F3"/>
      </patternFill>
    </fill>
    <fill>
      <patternFill patternType="solid">
        <fgColor rgb="FFFDF3D8"/>
        <bgColor rgb="FFFFF4D5"/>
      </patternFill>
    </fill>
    <fill>
      <patternFill patternType="darkGray">
        <fgColor rgb="FFFCE7E0"/>
        <bgColor rgb="FFFFE5E5"/>
      </patternFill>
    </fill>
    <fill>
      <patternFill patternType="solid">
        <fgColor rgb="FFE8EAEE"/>
        <bgColor rgb="FFEDF0F3"/>
      </patternFill>
    </fill>
    <fill>
      <patternFill patternType="solid">
        <fgColor rgb="FF81B7DD"/>
        <bgColor rgb="FF95B3D7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4D5"/>
      </patternFill>
    </fill>
    <fill>
      <patternFill patternType="solid">
        <fgColor rgb="FFF2DCDB"/>
        <bgColor rgb="FFE6E0EC"/>
      </patternFill>
    </fill>
    <fill>
      <patternFill patternType="solid">
        <fgColor rgb="FFBFBFBF"/>
        <bgColor rgb="FFC0C0C0"/>
      </patternFill>
    </fill>
    <fill>
      <patternFill patternType="solid">
        <fgColor rgb="FF95B3D7"/>
        <bgColor rgb="FF81B7DD"/>
      </patternFill>
    </fill>
    <fill>
      <patternFill patternType="solid">
        <fgColor rgb="FF215968"/>
        <bgColor rgb="FF2F5597"/>
      </patternFill>
    </fill>
    <fill>
      <patternFill patternType="solid">
        <fgColor rgb="FFDBEEF4"/>
        <bgColor rgb="FFDEE6F6"/>
      </patternFill>
    </fill>
    <fill>
      <patternFill patternType="solid">
        <fgColor rgb="FFFCCEA3"/>
        <bgColor rgb="FFFFCCCC"/>
      </patternFill>
    </fill>
    <fill>
      <patternFill patternType="solid">
        <fgColor rgb="FFDCD9D3"/>
        <bgColor rgb="FFE6D4D2"/>
      </patternFill>
    </fill>
    <fill>
      <patternFill patternType="mediumGray">
        <fgColor rgb="FF95B3D7"/>
        <bgColor rgb="FF81B7DD"/>
      </patternFill>
    </fill>
    <fill>
      <patternFill patternType="solid">
        <fgColor rgb="FF9997FF"/>
        <bgColor rgb="FF95B3D7"/>
      </patternFill>
    </fill>
    <fill>
      <patternFill patternType="darkGray">
        <fgColor rgb="FFA7A6AC"/>
        <bgColor rgb="FFC39A97"/>
      </patternFill>
    </fill>
    <fill>
      <patternFill patternType="solid">
        <fgColor rgb="FFD99694"/>
        <bgColor rgb="FFC39A97"/>
      </patternFill>
    </fill>
    <fill>
      <patternFill patternType="solid">
        <fgColor rgb="FFF2F2F2"/>
        <bgColor rgb="FFEDF0F3"/>
      </patternFill>
    </fill>
    <fill>
      <patternFill patternType="solid">
        <fgColor rgb="FF31859D"/>
        <bgColor rgb="FF128672"/>
      </patternFill>
    </fill>
    <fill>
      <patternFill patternType="solid">
        <fgColor rgb="FF7F7F7F"/>
        <bgColor rgb="FF808080"/>
      </patternFill>
    </fill>
    <fill>
      <patternFill patternType="darkGray">
        <fgColor rgb="FF6C4340"/>
        <bgColor rgb="FF3B3F46"/>
      </patternFill>
    </fill>
    <fill>
      <patternFill patternType="solid">
        <fgColor rgb="FFFF0000"/>
        <bgColor rgb="FFC0392B"/>
      </patternFill>
    </fill>
    <fill>
      <patternFill patternType="darkGray">
        <fgColor rgb="FFDCD9D3"/>
        <bgColor rgb="FFE6D4D2"/>
      </patternFill>
    </fill>
    <fill>
      <patternFill patternType="solid">
        <fgColor rgb="FFC0C0C0"/>
        <bgColor rgb="FFBFBFBF"/>
      </patternFill>
    </fill>
    <fill>
      <patternFill patternType="mediumGray">
        <fgColor rgb="FFFCCEA3"/>
        <bgColor rgb="FFFFCCCC"/>
      </patternFill>
    </fill>
    <fill>
      <patternFill patternType="solid">
        <fgColor rgb="FF0070C0"/>
        <bgColor rgb="FF128672"/>
      </patternFill>
    </fill>
    <fill>
      <patternFill patternType="solid">
        <fgColor rgb="FFF6EEEE"/>
        <bgColor rgb="FFF3EAE9"/>
      </patternFill>
    </fill>
    <fill>
      <patternFill patternType="solid">
        <fgColor rgb="FFB9CDE5"/>
        <bgColor rgb="FFC9D2DE"/>
      </patternFill>
    </fill>
    <fill>
      <patternFill patternType="solid">
        <fgColor rgb="FF376092"/>
        <bgColor rgb="FF2F5597"/>
      </patternFill>
    </fill>
    <fill>
      <patternFill patternType="solid">
        <fgColor rgb="FF6C4340"/>
        <bgColor rgb="FF3B3F46"/>
      </patternFill>
    </fill>
    <fill>
      <patternFill patternType="solid">
        <fgColor rgb="FFC39A97"/>
        <bgColor rgb="FFD99694"/>
      </patternFill>
    </fill>
    <fill>
      <patternFill patternType="solid">
        <fgColor rgb="FFE6D4D2"/>
        <bgColor rgb="FFDCD9D3"/>
      </patternFill>
    </fill>
    <fill>
      <patternFill patternType="solid">
        <fgColor rgb="FFF3EAE9"/>
        <bgColor rgb="FFF6EEEE"/>
      </patternFill>
    </fill>
    <fill>
      <patternFill patternType="solid">
        <fgColor rgb="FFEDF0F3"/>
        <bgColor rgb="FFF2F2F2"/>
      </patternFill>
    </fill>
    <fill>
      <patternFill patternType="solid">
        <fgColor rgb="FFFDEFE7"/>
        <bgColor rgb="FFF6EEEE"/>
      </patternFill>
    </fill>
    <fill>
      <patternFill patternType="solid">
        <fgColor rgb="FFEFF6FB"/>
        <bgColor rgb="FFF5F7FA"/>
      </patternFill>
    </fill>
    <fill>
      <patternFill patternType="solid">
        <fgColor rgb="FFE7F1F9"/>
        <bgColor rgb="FFEDF0F3"/>
      </patternFill>
    </fill>
    <fill>
      <patternFill patternType="solid">
        <fgColor rgb="FFFFF8E5"/>
        <bgColor rgb="FFFDF3D8"/>
      </patternFill>
    </fill>
    <fill>
      <patternFill patternType="solid">
        <fgColor rgb="FFFFF4D5"/>
        <bgColor rgb="FFFDF3D8"/>
      </patternFill>
    </fill>
    <fill>
      <patternFill patternType="solid">
        <fgColor rgb="FFFFE5E5"/>
        <bgColor rgb="FFFCE7E0"/>
      </patternFill>
    </fill>
    <fill>
      <patternFill patternType="solid">
        <fgColor rgb="FFF7F7F7"/>
        <bgColor rgb="FFF5F7FA"/>
      </patternFill>
    </fill>
    <fill>
      <patternFill patternType="darkGray">
        <fgColor rgb="FFDEE6F6"/>
        <bgColor rgb="FFE8EAEE"/>
      </patternFill>
    </fill>
    <fill>
      <patternFill patternType="darkGray">
        <fgColor rgb="FFDEE6F6"/>
        <bgColor rgb="FFDBEEF4"/>
      </patternFill>
    </fill>
    <fill>
      <patternFill patternType="solid">
        <fgColor rgb="FFE6E0EC"/>
        <bgColor rgb="FFDEE6F6"/>
      </patternFill>
    </fill>
    <fill>
      <patternFill patternType="solid">
        <fgColor rgb="FFFFEDB9"/>
        <bgColor rgb="FFFFF4D5"/>
      </patternFill>
    </fill>
    <fill>
      <patternFill patternType="solid">
        <fgColor rgb="FFFFCCCC"/>
        <bgColor rgb="FFFCCEA3"/>
      </patternFill>
    </fill>
    <fill>
      <patternFill patternType="solid">
        <fgColor rgb="FFFCE7E0"/>
        <bgColor rgb="FFFFE5E5"/>
      </patternFill>
    </fill>
  </fills>
  <borders count="9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 style="thin">
        <color rgb="FF2F5597"/>
      </top>
      <bottom style="thin">
        <color rgb="FF2F5597"/>
      </bottom>
      <diagonal/>
    </border>
    <border diagonalUp="false" diagonalDown="false">
      <left/>
      <right/>
      <top/>
      <bottom style="thin">
        <color rgb="FFC9D2DE"/>
      </bottom>
      <diagonal/>
    </border>
    <border diagonalUp="false" diagonalDown="false">
      <left style="thin">
        <color rgb="FFC9D2DE"/>
      </left>
      <right style="thin">
        <color rgb="FFC9D2DE"/>
      </right>
      <top style="medium">
        <color rgb="FF128672"/>
      </top>
      <bottom/>
      <diagonal/>
    </border>
    <border diagonalUp="false" diagonalDown="false">
      <left style="thin">
        <color rgb="FFC9D2DE"/>
      </left>
      <right style="thin">
        <color rgb="FFC9D2DE"/>
      </right>
      <top style="medium">
        <color rgb="FF1F3864"/>
      </top>
      <bottom/>
      <diagonal/>
    </border>
    <border diagonalUp="false" diagonalDown="false">
      <left style="thin">
        <color rgb="FFC9D2DE"/>
      </left>
      <right style="thin">
        <color rgb="FFC9D2DE"/>
      </right>
      <top/>
      <bottom/>
      <diagonal/>
    </border>
    <border diagonalUp="false" diagonalDown="false">
      <left style="thin">
        <color rgb="FFC9D2DE"/>
      </left>
      <right style="thin">
        <color rgb="FFC9D2DE"/>
      </right>
      <top/>
      <bottom style="thin">
        <color rgb="FFC9D2DE"/>
      </bottom>
      <diagonal/>
    </border>
    <border diagonalUp="false" diagonalDown="false">
      <left style="thin">
        <color rgb="FF128672"/>
      </left>
      <right style="thin">
        <color rgb="FF128672"/>
      </right>
      <top style="thin">
        <color rgb="FF128672"/>
      </top>
      <bottom style="thin">
        <color rgb="FF128672"/>
      </bottom>
      <diagonal/>
    </border>
    <border diagonalUp="false" diagonalDown="false">
      <left style="thin">
        <color rgb="FFB7791F"/>
      </left>
      <right style="thin">
        <color rgb="FFB7791F"/>
      </right>
      <top style="thin">
        <color rgb="FFB7791F"/>
      </top>
      <bottom style="thin">
        <color rgb="FFB7791F"/>
      </bottom>
      <diagonal/>
    </border>
    <border diagonalUp="false" diagonalDown="false">
      <left style="thin">
        <color rgb="FFC0392B"/>
      </left>
      <right style="thin">
        <color rgb="FFC0392B"/>
      </right>
      <top style="thin">
        <color rgb="FFC0392B"/>
      </top>
      <bottom style="thin">
        <color rgb="FFC0392B"/>
      </bottom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  <border diagonalUp="false" diagonalDown="false">
      <left/>
      <right/>
      <top style="thin">
        <color rgb="FF1F3864"/>
      </top>
      <bottom style="medium">
        <color rgb="FF1F3864"/>
      </bottom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/>
      <diagonal/>
    </border>
    <border diagonalUp="false" diagonalDown="false">
      <left style="medium">
        <color rgb="FFB7791F"/>
      </left>
      <right style="thin">
        <color rgb="FFB7791F"/>
      </right>
      <top style="medium">
        <color rgb="FFB7791F"/>
      </top>
      <bottom/>
      <diagonal/>
    </border>
    <border diagonalUp="false" diagonalDown="false">
      <left style="thin">
        <color rgb="FFC9D2DE"/>
      </left>
      <right/>
      <top/>
      <bottom/>
      <diagonal/>
    </border>
    <border diagonalUp="false" diagonalDown="false">
      <left/>
      <right style="thin">
        <color rgb="FFC9D2DE"/>
      </right>
      <top/>
      <bottom/>
      <diagonal/>
    </border>
    <border diagonalUp="false" diagonalDown="false">
      <left style="thin">
        <color rgb="FFB7791F"/>
      </left>
      <right/>
      <top/>
      <bottom/>
      <diagonal/>
    </border>
    <border diagonalUp="false" diagonalDown="false">
      <left/>
      <right style="thin">
        <color rgb="FFB7791F"/>
      </right>
      <top/>
      <bottom/>
      <diagonal/>
    </border>
    <border diagonalUp="false" diagonalDown="false">
      <left style="thin">
        <color rgb="FFB7791F"/>
      </left>
      <right style="thin">
        <color rgb="FFB7791F"/>
      </right>
      <top/>
      <bottom style="thin">
        <color rgb="FFB7791F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7F7F7F"/>
      </left>
      <right style="thin">
        <color rgb="FFBFBFB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BFBFB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/>
      <bottom style="thin">
        <color rgb="FFBFBFBF"/>
      </bottom>
      <diagonal/>
    </border>
    <border diagonalUp="false" diagonalDown="false">
      <left style="thin">
        <color rgb="FF808080"/>
      </left>
      <right style="thin">
        <color rgb="FFFFFF99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FFFF99"/>
      </left>
      <right style="thin">
        <color rgb="FFFFFF99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/>
      <bottom style="thin">
        <color rgb="FFFFFF99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7F7F7F"/>
      </bottom>
      <diagonal/>
    </border>
    <border diagonalUp="false" diagonalDown="false">
      <left style="thin">
        <color rgb="FF808080"/>
      </left>
      <right style="thin">
        <color rgb="FF95B3D7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95B3D7"/>
      </left>
      <right style="thin">
        <color rgb="FF95B3D7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95B3D7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1B7DD"/>
      </left>
      <right style="thin">
        <color rgb="FF215968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5968"/>
      </left>
      <right style="thin">
        <color rgb="FF215968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215968"/>
      </left>
      <right style="thin">
        <color rgb="FF81B7DD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1B7DD"/>
      </left>
      <right style="thin">
        <color rgb="FF81B7DD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1B7DD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A7A6AC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1859D"/>
      </left>
      <right style="thin">
        <color rgb="FF81B7DD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1B7DD"/>
      </left>
      <right style="thin">
        <color rgb="FF81B7DD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1B7DD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9997FF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/>
      <right style="thin"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>
        <color rgb="FFFFFF99"/>
      </top>
      <bottom style="thin">
        <color rgb="FFFFFF99"/>
      </bottom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thin"/>
      <right style="thin"/>
      <top style="thin">
        <color rgb="FFBFBFBF"/>
      </top>
      <bottom style="thin"/>
      <diagonal/>
    </border>
    <border diagonalUp="false" diagonalDown="false">
      <left style="thin"/>
      <right style="thin"/>
      <top style="thin">
        <color rgb="FFFFFF99"/>
      </top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>
        <color rgb="FFFFFFFF"/>
      </right>
      <top/>
      <bottom style="thin">
        <color rgb="FF31859D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31859D"/>
      </bottom>
      <diagonal/>
    </border>
    <border diagonalUp="false" diagonalDown="false">
      <left style="thin">
        <color rgb="FFFFFFFF"/>
      </left>
      <right style="thin">
        <color rgb="FFFFFFFF"/>
      </right>
      <top/>
      <bottom style="thin">
        <color rgb="FF2F5597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A7A6AC"/>
      </left>
      <right style="thin">
        <color rgb="FFA7A6AC"/>
      </right>
      <top/>
      <bottom style="thin">
        <color rgb="FFA7A6AC"/>
      </bottom>
      <diagonal/>
    </border>
    <border diagonalUp="false" diagonalDown="false">
      <left/>
      <right/>
      <top/>
      <bottom style="thin">
        <color rgb="FF95B3D7"/>
      </bottom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>
        <color rgb="FF7F7F7F"/>
      </left>
      <right style="thin">
        <color rgb="FFFFFFFF"/>
      </right>
      <top style="thin">
        <color rgb="FF7F7F7F"/>
      </top>
      <bottom style="thin">
        <color rgb="FF7F7F7F"/>
      </bottom>
      <diagonal/>
    </border>
    <border diagonalUp="false" diagonalDown="false">
      <left style="thin">
        <color rgb="FF31859D"/>
      </left>
      <right style="thin">
        <color rgb="FFFFFFFF"/>
      </right>
      <top/>
      <bottom style="thin">
        <color rgb="FF31859D"/>
      </bottom>
      <diagonal/>
    </border>
    <border diagonalUp="false" diagonalDown="false">
      <left style="thin"/>
      <right style="thin"/>
      <top style="thin"/>
      <bottom style="thin">
        <color rgb="FF95B3D7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double">
        <color rgb="FF808080"/>
      </left>
      <right style="double">
        <color rgb="FF808080"/>
      </right>
      <top style="double">
        <color rgb="FF808080"/>
      </top>
      <bottom style="double">
        <color rgb="FF808080"/>
      </bottom>
      <diagonal/>
    </border>
    <border diagonalUp="false" diagonalDown="false">
      <left style="double">
        <color rgb="FFA7A6AC"/>
      </left>
      <right style="double">
        <color rgb="FF808080"/>
      </right>
      <top/>
      <bottom style="double">
        <color rgb="FF808080"/>
      </bottom>
      <diagonal/>
    </border>
    <border diagonalUp="false" diagonalDown="false">
      <left style="double">
        <color rgb="FF808080"/>
      </left>
      <right style="double">
        <color rgb="FF808080"/>
      </right>
      <top/>
      <bottom style="double">
        <color rgb="FF808080"/>
      </bottom>
      <diagonal/>
    </border>
    <border diagonalUp="false" diagonalDown="false">
      <left style="hair">
        <color rgb="FFA7A6AC"/>
      </left>
      <right/>
      <top style="hair">
        <color rgb="FFA7A6AC"/>
      </top>
      <bottom style="hair">
        <color rgb="FFA7A6AC"/>
      </bottom>
      <diagonal/>
    </border>
    <border diagonalUp="false" diagonalDown="false">
      <left style="hair">
        <color rgb="FFA7A6AC"/>
      </left>
      <right style="hair">
        <color rgb="FFA7A6AC"/>
      </right>
      <top style="hair">
        <color rgb="FFA7A6AC"/>
      </top>
      <bottom style="hair">
        <color rgb="FFA7A6AC"/>
      </bottom>
      <diagonal/>
    </border>
    <border diagonalUp="false" diagonalDown="false"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  <border diagonalUp="false" diagonalDown="false">
      <left style="hair">
        <color rgb="FFA7A6AC"/>
      </left>
      <right/>
      <top style="hair">
        <color rgb="FFA7A6AC"/>
      </top>
      <bottom/>
      <diagonal/>
    </border>
    <border diagonalUp="false" diagonalDown="false">
      <left style="double">
        <color rgb="FFA7A6AC"/>
      </left>
      <right/>
      <top/>
      <bottom style="double">
        <color rgb="FFA7A6AC"/>
      </bottom>
      <diagonal/>
    </border>
    <border diagonalUp="false" diagonalDown="false">
      <left/>
      <right/>
      <top/>
      <bottom style="double">
        <color rgb="FFA7A6AC"/>
      </bottom>
      <diagonal/>
    </border>
    <border diagonalUp="false" diagonalDown="false">
      <left style="double">
        <color rgb="FFA7A6AC"/>
      </left>
      <right/>
      <top style="double">
        <color rgb="FFA7A6AC"/>
      </top>
      <bottom style="double">
        <color rgb="FFA7A6AC"/>
      </bottom>
      <diagonal/>
    </border>
    <border diagonalUp="false" diagonalDown="false">
      <left style="double">
        <color rgb="FFA7A6AC"/>
      </left>
      <right style="hair">
        <color rgb="FFA7A6AC"/>
      </right>
      <top style="double">
        <color rgb="FFA7A6AC"/>
      </top>
      <bottom style="double">
        <color rgb="FFA7A6AC"/>
      </bottom>
      <diagonal/>
    </border>
    <border diagonalUp="false" diagonalDown="false">
      <left style="double">
        <color rgb="FFA7A6AC"/>
      </left>
      <right style="double">
        <color rgb="FFA7A6AC"/>
      </right>
      <top style="double">
        <color rgb="FFA7A6AC"/>
      </top>
      <bottom style="double">
        <color rgb="FFA7A6AC"/>
      </bottom>
      <diagonal/>
    </border>
    <border diagonalUp="false" diagonalDown="false">
      <left style="double">
        <color rgb="FFA7A6AC"/>
      </left>
      <right style="double">
        <color rgb="FFA7A6AC"/>
      </right>
      <top/>
      <bottom style="double">
        <color rgb="FFA7A6AC"/>
      </bottom>
      <diagonal/>
    </border>
    <border diagonalUp="false" diagonalDown="false">
      <left style="hair">
        <color rgb="FFA7A6AC"/>
      </left>
      <right/>
      <top/>
      <bottom style="hair">
        <color rgb="FFA7A6AC"/>
      </bottom>
      <diagonal/>
    </border>
    <border diagonalUp="false" diagonalDown="false">
      <left style="double">
        <color rgb="FF808080"/>
      </left>
      <right style="double">
        <color rgb="FF808080"/>
      </right>
      <top style="double">
        <color rgb="FF808080"/>
      </top>
      <bottom/>
      <diagonal/>
    </border>
    <border diagonalUp="false" diagonalDown="false">
      <left style="hair">
        <color rgb="FFBFBFBF"/>
      </left>
      <right/>
      <top style="hair">
        <color rgb="FFBFBFBF"/>
      </top>
      <bottom style="hair">
        <color rgb="FFBFBFBF"/>
      </bottom>
      <diagonal/>
    </border>
    <border diagonalUp="false" diagonalDown="false"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 diagonalUp="false" diagonalDown="false">
      <left style="hair">
        <color rgb="FFBFBFBF"/>
      </left>
      <right/>
      <top/>
      <bottom style="hair">
        <color rgb="FFBFBFBF"/>
      </bottom>
      <diagonal/>
    </border>
    <border diagonalUp="false" diagonalDown="false">
      <left style="hair">
        <color rgb="FFBFBFBF"/>
      </left>
      <right style="hair">
        <color rgb="FFBFBFBF"/>
      </right>
      <top/>
      <bottom style="hair">
        <color rgb="FFA7A6AC"/>
      </bottom>
      <diagonal/>
    </border>
    <border diagonalUp="false" diagonalDown="false">
      <left style="double">
        <color rgb="FF808080"/>
      </left>
      <right/>
      <top style="double">
        <color rgb="FF808080"/>
      </top>
      <bottom style="double">
        <color rgb="FF808080"/>
      </bottom>
      <diagonal/>
    </border>
    <border diagonalUp="false" diagonalDown="false">
      <left style="double">
        <color rgb="FFA7A6AC"/>
      </left>
      <right/>
      <top style="double">
        <color rgb="FF808080"/>
      </top>
      <bottom style="double">
        <color rgb="FF808080"/>
      </bottom>
      <diagonal/>
    </border>
    <border diagonalUp="false" diagonalDown="false">
      <left style="double">
        <color rgb="FFA7A6AC"/>
      </left>
      <right style="double">
        <color rgb="FF808080"/>
      </right>
      <top style="double">
        <color rgb="FF808080"/>
      </top>
      <bottom style="double">
        <color rgb="FF808080"/>
      </bottom>
      <diagonal/>
    </border>
    <border diagonalUp="false" diagonalDown="false">
      <left style="double">
        <color rgb="FFA7A6AC"/>
      </left>
      <right style="double">
        <color rgb="FF808080"/>
      </right>
      <top style="double">
        <color rgb="FF808080"/>
      </top>
      <bottom/>
      <diagonal/>
    </border>
    <border diagonalUp="false" diagonalDown="false">
      <left style="double">
        <color rgb="FFA7A6AC"/>
      </left>
      <right/>
      <top style="hair">
        <color rgb="FFBFBFBF"/>
      </top>
      <bottom style="hair">
        <color rgb="FFBFBFBF"/>
      </bottom>
      <diagonal/>
    </border>
    <border diagonalUp="false" diagonalDown="false">
      <left style="double">
        <color rgb="FFA7A6AC"/>
      </left>
      <right style="hair">
        <color rgb="FFBFBFBF"/>
      </right>
      <top/>
      <bottom style="hair">
        <color rgb="FFA7A6AC"/>
      </bottom>
      <diagonal/>
    </border>
    <border diagonalUp="false" diagonalDown="false">
      <left style="double">
        <color rgb="FFA7A6AC"/>
      </left>
      <right style="hair">
        <color rgb="FFA7A6AC"/>
      </right>
      <top style="hair">
        <color rgb="FFA7A6AC"/>
      </top>
      <bottom style="hair">
        <color rgb="FFA7A6AC"/>
      </bottom>
      <diagonal/>
    </border>
    <border diagonalUp="false" diagonalDown="false">
      <left/>
      <right/>
      <top style="hair">
        <color rgb="FFBFBFBF"/>
      </top>
      <bottom style="hair">
        <color rgb="FFBFBFBF"/>
      </bottom>
      <diagonal/>
    </border>
    <border diagonalUp="false" diagonalDown="false">
      <left/>
      <right style="hair">
        <color rgb="FFBFBFBF"/>
      </right>
      <top/>
      <bottom style="hair">
        <color rgb="FFA7A6AC"/>
      </bottom>
      <diagonal/>
    </border>
    <border diagonalUp="false" diagonalDown="false">
      <left/>
      <right style="hair">
        <color rgb="FFA7A6AC"/>
      </right>
      <top style="hair">
        <color rgb="FFA7A6AC"/>
      </top>
      <bottom style="hair">
        <color rgb="FFA7A6AC"/>
      </bottom>
      <diagonal/>
    </border>
    <border diagonalUp="false" diagonalDown="false">
      <left/>
      <right style="double">
        <color rgb="FF808080"/>
      </right>
      <top style="double">
        <color rgb="FF808080"/>
      </top>
      <bottom style="double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4" borderId="5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9" fontId="1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1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22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0" fillId="5" borderId="1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5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5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2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5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3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4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7" fontId="33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9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22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2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6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4" borderId="7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2" fillId="5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5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7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7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0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1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5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6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3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1" fillId="5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42" fillId="7" borderId="3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6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49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73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0" fillId="4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4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1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1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1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4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5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5" borderId="3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6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6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6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7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8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19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0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0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0" fillId="21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4" borderId="4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14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1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17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7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7" borderId="4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17" borderId="4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0" fillId="17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0" fillId="22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5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14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3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6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4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20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1" fillId="11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1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4" fillId="12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4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4" fillId="24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4" fillId="24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4" fillId="24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4" fillId="24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0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4" fillId="12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6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5" fontId="4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5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2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25" borderId="4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7" fillId="25" borderId="5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7" fillId="25" borderId="5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26" borderId="5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9" fillId="27" borderId="5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6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1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6" fillId="1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6" fillId="12" borderId="5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4" fillId="3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4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3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8" fillId="23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6" fillId="12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24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12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8" fillId="2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6" fillId="2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25" borderId="5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2" fillId="28" borderId="5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7" fillId="2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2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9" fontId="4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46" fillId="1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9" fontId="46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6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9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7" fillId="25" borderId="57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5" borderId="49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7" fillId="25" borderId="5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0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6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0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7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6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6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6" fillId="2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7" fontId="46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6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8" fontId="4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1" fontId="46" fillId="1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3" fillId="3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63" fillId="3" borderId="5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5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6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3" fillId="29" borderId="5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29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4" fillId="15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4" fillId="15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4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7" fontId="74" fillId="3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0" borderId="4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4" fontId="74" fillId="31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3" fontId="7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8" fillId="32" borderId="6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7" fillId="3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32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32" borderId="6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32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33" borderId="6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46" fillId="0" borderId="6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78" fontId="46" fillId="3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46" fillId="34" borderId="6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9" fillId="35" borderId="6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79" fillId="35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15" borderId="6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60" fillId="15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65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8" fontId="46" fillId="3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34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65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46" fillId="0" borderId="65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4" fontId="46" fillId="15" borderId="6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46" fillId="15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65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78" fontId="63" fillId="3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3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3" fillId="34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0" borderId="65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78" fontId="80" fillId="3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0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0" fillId="34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6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65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4" fontId="80" fillId="0" borderId="65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78" fontId="81" fillId="3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1" fillId="0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1" fillId="34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8" fillId="32" borderId="6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8" fillId="32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32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32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32" borderId="7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3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32" borderId="7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8" fontId="4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35" borderId="6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0" fillId="15" borderId="6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46" fillId="0" borderId="63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78" fontId="46" fillId="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63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46" fillId="0" borderId="63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64" fontId="46" fillId="15" borderId="63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3" fillId="0" borderId="63" xfId="0" applyFont="true" applyBorder="true" applyAlignment="true" applyProtection="false">
      <alignment horizontal="left" vertical="bottom" textRotation="0" wrapText="false" indent="4" shrinkToFit="false"/>
      <protection locked="true" hidden="false"/>
    </xf>
    <xf numFmtId="178" fontId="63" fillId="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0" borderId="73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78" fontId="80" fillId="3" borderId="6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0" fillId="0" borderId="66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64" fontId="47" fillId="36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7" fillId="36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6" borderId="6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6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36" borderId="6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8" fontId="57" fillId="36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3" fillId="37" borderId="7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83" fillId="37" borderId="7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3" fillId="37" borderId="7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0" borderId="65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78" fontId="63" fillId="38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38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65" xfId="0" applyFont="true" applyBorder="true" applyAlignment="true" applyProtection="false">
      <alignment horizontal="left" vertical="bottom" textRotation="0" wrapText="false" indent="6" shrinkToFit="false"/>
      <protection locked="true" hidden="false"/>
    </xf>
    <xf numFmtId="164" fontId="46" fillId="0" borderId="0" xfId="0" applyFont="true" applyBorder="false" applyAlignment="true" applyProtection="false">
      <alignment horizontal="left" vertical="bottom" textRotation="0" wrapText="false" indent="6" shrinkToFit="false"/>
      <protection locked="true" hidden="false"/>
    </xf>
    <xf numFmtId="164" fontId="63" fillId="37" borderId="65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63" fillId="37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4" fillId="0" borderId="65" xfId="0" applyFont="true" applyBorder="true" applyAlignment="true" applyProtection="false">
      <alignment horizontal="left" vertical="bottom" textRotation="0" wrapText="false" indent="5" shrinkToFit="false"/>
      <protection locked="true" hidden="false"/>
    </xf>
    <xf numFmtId="178" fontId="84" fillId="38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36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6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6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2" fillId="36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57" fillId="36" borderId="8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3" fillId="37" borderId="8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6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8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3" fillId="37" borderId="8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7" fillId="36" borderId="6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36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57" fillId="36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3" fillId="37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3" fillId="39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8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39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3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3" fillId="37" borderId="7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8" fontId="63" fillId="37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84" fillId="39" borderId="7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0" borderId="63" xfId="0" applyFont="true" applyBorder="true" applyAlignment="true" applyProtection="false">
      <alignment horizontal="left" vertical="bottom" textRotation="0" wrapText="false" indent="6" shrinkToFit="false"/>
      <protection locked="true" hidden="false"/>
    </xf>
    <xf numFmtId="164" fontId="57" fillId="36" borderId="8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63" fillId="24" borderId="4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13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4" fillId="13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9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9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9" fillId="12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89" fillId="13" borderId="4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9" fillId="12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54" fillId="0" borderId="4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5" fontId="4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6" fillId="2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1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2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3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5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6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7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8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3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49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5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51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6" fillId="52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6" fontId="46" fillId="41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2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3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5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6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7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8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3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49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50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51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52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6" fillId="24" borderId="4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4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1" fillId="53" borderId="4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7">
    <dxf>
      <fill>
        <patternFill patternType="solid">
          <fgColor rgb="FF1F3864"/>
        </patternFill>
      </fill>
    </dxf>
    <dxf>
      <fill>
        <patternFill patternType="solid">
          <fgColor rgb="FFF5F7FA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3B3F46"/>
        </patternFill>
      </fill>
    </dxf>
    <dxf>
      <fill>
        <patternFill patternType="solid">
          <fgColor rgb="FFDCE6F2"/>
        </patternFill>
      </fill>
    </dxf>
    <dxf>
      <fill>
        <patternFill patternType="solid">
          <fgColor rgb="FF31859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CC"/>
        </patternFill>
      </fill>
    </dxf>
    <dxf>
      <fill>
        <patternFill patternType="solid">
          <fgColor rgb="FF6D423F"/>
        </patternFill>
      </fill>
    </dxf>
    <dxf>
      <fill>
        <patternFill patternType="solid">
          <fgColor rgb="FFC39A97"/>
        </patternFill>
      </fill>
    </dxf>
    <dxf>
      <fill>
        <patternFill patternType="solid">
          <fgColor rgb="FF808080"/>
        </patternFill>
      </fill>
    </dxf>
    <dxf>
      <fill>
        <patternFill patternType="solid">
          <fgColor rgb="FFE6D4D2"/>
        </patternFill>
      </fill>
    </dxf>
    <dxf>
      <fill>
        <patternFill patternType="solid">
          <fgColor rgb="FFF3EAE9"/>
        </patternFill>
      </fill>
    </dxf>
    <dxf>
      <fill>
        <patternFill patternType="solid">
          <fgColor rgb="FFDBEEF4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F2DCDB"/>
        </patternFill>
      </fill>
    </dxf>
  </dxfs>
  <colors>
    <indexedColors>
      <rgbColor rgb="FF000000"/>
      <rgbColor rgb="FFFFFFFF"/>
      <rgbColor rgb="FFFF0000"/>
      <rgbColor rgb="FFE6E0EC"/>
      <rgbColor rgb="FF0000FF"/>
      <rgbColor rgb="FFFFEDB9"/>
      <rgbColor rgb="FFFFE5E5"/>
      <rgbColor rgb="FFDEE6F6"/>
      <rgbColor rgb="FFFDF3D8"/>
      <rgbColor rgb="FFF3EAE9"/>
      <rgbColor rgb="FFF7F7F7"/>
      <rgbColor rgb="FFB7791F"/>
      <rgbColor rgb="FFF6EEEE"/>
      <rgbColor rgb="FF128672"/>
      <rgbColor rgb="FFC0C0C0"/>
      <rgbColor rgb="FF808080"/>
      <rgbColor rgb="FF9997FF"/>
      <rgbColor rgb="FF6C4340"/>
      <rgbColor rgb="FFFFFFCC"/>
      <rgbColor rgb="FFDBEEF4"/>
      <rgbColor rgb="FFFDEFE7"/>
      <rgbColor rgb="FFD99694"/>
      <rgbColor rgb="FF0070C0"/>
      <rgbColor rgb="FFC9D2DE"/>
      <rgbColor rgb="FFFFF8E5"/>
      <rgbColor rgb="FFFCE7E0"/>
      <rgbColor rgb="FFFFF4D5"/>
      <rgbColor rgb="FFE8EAEE"/>
      <rgbColor rgb="FFEDF0F3"/>
      <rgbColor rgb="FFF2F2F2"/>
      <rgbColor rgb="FF215968"/>
      <rgbColor rgb="FFF5F7FA"/>
      <rgbColor rgb="FF95B3D7"/>
      <rgbColor rgb="FFE7F1F9"/>
      <rgbColor rgb="FFE6F2E6"/>
      <rgbColor rgb="FFFFFF99"/>
      <rgbColor rgb="FFB9CDE5"/>
      <rgbColor rgb="FFFFCCCC"/>
      <rgbColor rgb="FFC39A97"/>
      <rgbColor rgb="FFFCCEA3"/>
      <rgbColor rgb="FF376092"/>
      <rgbColor rgb="FF81B7DD"/>
      <rgbColor rgb="FFBFBFBF"/>
      <rgbColor rgb="FFE6D4D2"/>
      <rgbColor rgb="FFDCD9D3"/>
      <rgbColor rgb="FFF2DCDB"/>
      <rgbColor rgb="FF7A828E"/>
      <rgbColor rgb="FFA7A6AC"/>
      <rgbColor rgb="FF002060"/>
      <rgbColor rgb="FF31859D"/>
      <rgbColor rgb="FFEFF6FB"/>
      <rgbColor rgb="FF2F5597"/>
      <rgbColor rgb="FFC0392B"/>
      <rgbColor rgb="FF7F7F7F"/>
      <rgbColor rgb="FF1F3864"/>
      <rgbColor rgb="FF3B3F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Динамика ФОТ, млн RUB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'R-01_Budget_Control_Summary'!AB3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'R-01_Budget_Control_Summary'!$AA$4:$AA$15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'R-01_Budget_Control_Summary'!$AB$4:$AB$15</c:f>
              <c:numCache>
                <c:formatCode>General</c:formatCode>
                <c:ptCount val="12"/>
                <c:pt idx="0">
                  <c:v>985</c:v>
                </c:pt>
                <c:pt idx="1">
                  <c:v>990</c:v>
                </c:pt>
                <c:pt idx="2">
                  <c:v>1120</c:v>
                </c:pt>
                <c:pt idx="3">
                  <c:v>995</c:v>
                </c:pt>
                <c:pt idx="4">
                  <c:v>1000</c:v>
                </c:pt>
                <c:pt idx="5">
                  <c:v>1130</c:v>
                </c:pt>
                <c:pt idx="6">
                  <c:v>1005</c:v>
                </c:pt>
                <c:pt idx="7">
                  <c:v>1010</c:v>
                </c:pt>
                <c:pt idx="8">
                  <c:v>1135</c:v>
                </c:pt>
                <c:pt idx="9">
                  <c:v>1010</c:v>
                </c:pt>
                <c:pt idx="10">
                  <c:v>1015</c:v>
                </c:pt>
                <c:pt idx="11">
                  <c:v>1550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'R-01_Budget_Control_Summary'!AC3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858c"/>
            </a:solidFill>
            <a:ln w="28080">
              <a:solidFill>
                <a:srgbClr val="17858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'R-01_Budget_Control_Summary'!$AA$4:$AA$15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'R-01_Budget_Control_Summary'!$AC$4:$AC$15</c:f>
              <c:numCache>
                <c:formatCode>General</c:formatCode>
                <c:ptCount val="12"/>
                <c:pt idx="0">
                  <c:v>998</c:v>
                </c:pt>
                <c:pt idx="1">
                  <c:v>1012</c:v>
                </c:pt>
                <c:pt idx="2">
                  <c:v>1118</c:v>
                </c:pt>
                <c:pt idx="3">
                  <c:v>1038</c:v>
                </c:pt>
                <c:pt idx="4">
                  <c:v>1041</c:v>
                </c:pt>
                <c:pt idx="5">
                  <c:v>1178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'R-01_Budget_Control_Summary'!AD3</c:f>
              <c:strCache>
                <c:ptCount val="1"/>
                <c:pt idx="0">
                  <c:v>Forecast</c:v>
                </c:pt>
              </c:strCache>
            </c:strRef>
          </c:tx>
          <c:spPr>
            <a:solidFill>
              <a:srgbClr val="3b3f46"/>
            </a:solidFill>
            <a:ln w="28440">
              <a:solidFill>
                <a:srgbClr val="3b3f46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'R-01_Budget_Control_Summary'!$AA$4:$AA$15</c:f>
              <c:strCache>
                <c:ptCount val="12"/>
                <c:pt idx="0">
                  <c:v>Янв</c:v>
                </c:pt>
                <c:pt idx="1">
                  <c:v>Фев</c:v>
                </c:pt>
                <c:pt idx="2">
                  <c:v>Мар</c:v>
                </c:pt>
                <c:pt idx="3">
                  <c:v>Апр</c:v>
                </c:pt>
                <c:pt idx="4">
                  <c:v>Май</c:v>
                </c:pt>
                <c:pt idx="5">
                  <c:v>Июн</c:v>
                </c:pt>
                <c:pt idx="6">
                  <c:v>Июл</c:v>
                </c:pt>
                <c:pt idx="7">
                  <c:v>Авг</c:v>
                </c:pt>
                <c:pt idx="8">
                  <c:v>Сен</c:v>
                </c:pt>
                <c:pt idx="9">
                  <c:v>Окт</c:v>
                </c:pt>
                <c:pt idx="10">
                  <c:v>Ноя</c:v>
                </c:pt>
                <c:pt idx="11">
                  <c:v>Дек</c:v>
                </c:pt>
              </c:strCache>
            </c:strRef>
          </c:cat>
          <c:val>
            <c:numRef>
              <c:f>'R-01_Budget_Control_Summary'!$AD$4:$AD$15</c:f>
              <c:numCache>
                <c:formatCode>General</c:formatCode>
                <c:ptCount val="12"/>
                <c:pt idx="6">
                  <c:v>1045</c:v>
                </c:pt>
                <c:pt idx="7">
                  <c:v>1050</c:v>
                </c:pt>
                <c:pt idx="8">
                  <c:v>1160</c:v>
                </c:pt>
                <c:pt idx="9">
                  <c:v>1040</c:v>
                </c:pt>
                <c:pt idx="10">
                  <c:v>1045</c:v>
                </c:pt>
                <c:pt idx="11">
                  <c:v>1600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396486"/>
        <c:axId val="46733136"/>
      </c:lineChart>
      <c:catAx>
        <c:axId val="723964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33136"/>
        <c:crosses val="autoZero"/>
        <c:auto val="1"/>
        <c:lblAlgn val="ctr"/>
        <c:lblOffset val="100"/>
        <c:noMultiLvlLbl val="0"/>
      </c:catAx>
      <c:valAx>
        <c:axId val="4673313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RUB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39648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hartSpace xmlns="http://schemas.openxmlformats.org/drawingml/2006/chart" xmlns:a="http://schemas.openxmlformats.org/drawingml/2006/main" xmlns:ns2="http://schemas.microsoft.com/office/drawing/2012/chart">
  <lang val="en-US"/>
  <roundedCorners val="0"/>
  <chart>
    <title>
      <tx>
        <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Waterfall отклонения ФОТ YTD v3, млн RUB</a:t>
            </a:r>
          </a:p>
        </rich>
      </tx>
      <overlay val="0"/>
      <spPr>
        <a:noFill/>
        <a:ln w="0">
          <a:noFill/>
        </a:ln>
      </spPr>
    </title>
    <autoTitleDeleted val="0"/>
    <plotArea>
      <barChart>
        <barDir val="col"/>
        <grouping val="stacked"/>
        <varyColors val="0"/>
        <ser>
          <idx val="0"/>
          <order val="0"/>
          <tx>
            <strRef>
              <f>'R-01_Budget_Control_Summary'!AB18</f>
              <strCache>
                <ptCount val="1"/>
                <pt idx="0">
                  <v>Base</v>
                </pt>
              </strCache>
            </strRef>
          </tx>
          <spPr>
            <a:noFill/>
            <a:ln w="0">
              <a:noFill/>
            </a:ln>
          </spPr>
          <invertIfNegative val="0"/>
          <dLbls>
            <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txPr>
            <showLegendKey val="0"/>
            <showVal val="0"/>
            <showCatName val="0"/>
            <showSerName val="0"/>
            <showPercent val="0"/>
            <separator>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'R-01_Budget_Control_Summary'!$AA$19:$AA$33</f>
              <strCache>
                <ptCount val="15"/>
                <pt idx="0">
                  <v>Budget YTD</v>
                </pt>
                <pt idx="1">
                  <v>F01</v>
                </pt>
                <pt idx="2">
                  <v>F02</v>
                </pt>
                <pt idx="3">
                  <v>F03</v>
                </pt>
                <pt idx="4">
                  <v>F04</v>
                </pt>
                <pt idx="5">
                  <v>F05</v>
                </pt>
                <pt idx="6">
                  <v>F06</v>
                </pt>
                <pt idx="7">
                  <v>F07</v>
                </pt>
                <pt idx="8">
                  <v>F08</v>
                </pt>
                <pt idx="9">
                  <v>F09</v>
                </pt>
                <pt idx="10">
                  <v>F10</v>
                </pt>
                <pt idx="11">
                  <v>F11</v>
                </pt>
                <pt idx="12">
                  <v>F12</v>
                </pt>
                <pt idx="13">
                  <v>Residual</v>
                </pt>
                <pt idx="14">
                  <v>Actual YTD</v>
                </pt>
              </strCache>
            </strRef>
          </cat>
          <val>
            <numRef>
              <f>'R-01_Budget_Control_Summary'!$AB$19:$AB$33</f>
              <numCache>
                <formatCode>General</formatCode>
                <ptCount val="15"/>
                <pt idx="0">
                  <v>0</v>
                </pt>
                <pt idx="1">
                  <v>6182</v>
                </pt>
                <pt idx="2">
                  <v>6182</v>
                </pt>
                <pt idx="3">
                  <v>6223</v>
                </pt>
                <pt idx="4">
                  <v>6271</v>
                </pt>
                <pt idx="5">
                  <v>6299</v>
                </pt>
                <pt idx="6">
                  <v>6337</v>
                </pt>
                <pt idx="7">
                  <v>6355</v>
                </pt>
                <pt idx="8">
                  <v>6370</v>
                </pt>
                <pt idx="9">
                  <v>6379</v>
                </pt>
                <pt idx="10">
                  <v>6387</v>
                </pt>
                <pt idx="11">
                  <v>6381</v>
                </pt>
                <pt idx="12">
                  <v>6381</v>
                </pt>
                <pt idx="13">
                  <v>6385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'R-01_Budget_Control_Summary'!AC18</f>
              <strCache>
                <ptCount val="1"/>
                <pt idx="0">
                  <v>Bar</v>
                </pt>
              </strCache>
            </strRef>
          </tx>
          <spPr>
            <a:solidFill>
              <a:srgbClr val="2f5597"/>
            </a:solidFill>
            <a:ln w="0">
              <a:noFill/>
            </a:ln>
          </spPr>
          <invertIfNegative val="0"/>
          <dPt>
            <idx val="0"/>
            <invertIfNegative val="0"/>
            <spPr>
              <a:solidFill>
                <a:srgbClr val="1f3864"/>
              </a:solidFill>
              <a:ln w="0">
                <a:noFill/>
              </a:ln>
            </spPr>
          </dPt>
          <dPt>
            <idx val="1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2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3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4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5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6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7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8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9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10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1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2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13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4"/>
            <invertIfNegative val="0"/>
            <spPr>
              <a:solidFill>
                <a:srgbClr val="1f3864"/>
              </a:solidFill>
              <a:ln w="0">
                <a:noFill/>
              </a:ln>
            </spPr>
          </dPt>
          <dLbls>
            <numFmt formatCode="#,##0.0" sourceLinked="1"/>
            <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txPr>
            <dLblPos val="ctr"/>
            <showLegendKey val="0"/>
            <showVal val="1"/>
            <showCatName val="0"/>
            <showSerName val="0"/>
            <showPercent val="0"/>
            <separator>;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'R-01_Budget_Control_Summary'!$AA$19:$AA$33</f>
              <strCache>
                <ptCount val="15"/>
                <pt idx="0">
                  <v>Budget YTD</v>
                </pt>
                <pt idx="1">
                  <v>F01</v>
                </pt>
                <pt idx="2">
                  <v>F02</v>
                </pt>
                <pt idx="3">
                  <v>F03</v>
                </pt>
                <pt idx="4">
                  <v>F04</v>
                </pt>
                <pt idx="5">
                  <v>F05</v>
                </pt>
                <pt idx="6">
                  <v>F06</v>
                </pt>
                <pt idx="7">
                  <v>F07</v>
                </pt>
                <pt idx="8">
                  <v>F08</v>
                </pt>
                <pt idx="9">
                  <v>F09</v>
                </pt>
                <pt idx="10">
                  <v>F10</v>
                </pt>
                <pt idx="11">
                  <v>F11</v>
                </pt>
                <pt idx="12">
                  <v>F12</v>
                </pt>
                <pt idx="13">
                  <v>Residual</v>
                </pt>
                <pt idx="14">
                  <v>Actual YTD</v>
                </pt>
              </strCache>
            </strRef>
          </cat>
          <val>
            <numRef>
              <f>'R-01_Budget_Control_Summary'!$AC$19:$AC$33</f>
              <numCache>
                <formatCode>General</formatCode>
                <ptCount val="15"/>
                <pt idx="0">
                  <v>6220</v>
                </pt>
                <pt idx="1">
                  <v>38</v>
                </pt>
                <pt idx="2">
                  <v>41</v>
                </pt>
                <pt idx="3">
                  <v>48</v>
                </pt>
                <pt idx="4">
                  <v>28</v>
                </pt>
                <pt idx="5">
                  <v>38</v>
                </pt>
                <pt idx="6">
                  <v>18</v>
                </pt>
                <pt idx="7">
                  <v>15</v>
                </pt>
                <pt idx="8">
                  <v>9</v>
                </pt>
                <pt idx="9">
                  <v>10</v>
                </pt>
                <pt idx="10">
                  <v>2</v>
                </pt>
                <pt idx="11">
                  <v>6</v>
                </pt>
                <pt idx="12">
                  <v>8</v>
                </pt>
                <pt idx="13">
                  <v>4</v>
                </pt>
                <pt idx="14">
                  <v>6385</v>
                </pt>
              </numCache>
            </numRef>
          </val>
        </ser>
        <gapWidth val="30"/>
        <overlap val="100"/>
        <axId val="53631569"/>
        <axId val="76354936"/>
      </barChart>
      <catAx>
        <axId val="5363156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76354936"/>
        <crosses val="autoZero"/>
        <auto val="1"/>
        <lblAlgn val="ctr"/>
        <lblOffset val="100"/>
        <noMultiLvlLbl val="0"/>
      </catAx>
      <valAx>
        <axId val="76354936"/>
        <scaling>
          <orientation val="minMax"/>
          <max val="6500"/>
          <min val="6000"/>
        </scaling>
        <delete val="0"/>
        <axPos val="l"/>
        <majorGridlines>
          <spPr>
            <a:ln w="9360">
              <a:solidFill>
                <a:srgbClr val="878787"/>
              </a:solidFill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RUB</a:t>
                </a:r>
              </a:p>
            </rich>
          </tx>
          <overlay val="0"/>
          <spPr>
            <a:noFill/>
            <a:ln w="0">
              <a:noFill/>
            </a:ln>
          </spPr>
        </title>
        <numFmt formatCode="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53631569"/>
        <crosses val="autoZero"/>
        <crossBetween val="between"/>
      </valAx>
      <spPr>
        <a:noFill/>
        <a:ln w="0">
          <a:noFill/>
        </a:ln>
      </spPr>
    </plotArea>
    <plotVisOnly val="1"/>
    <dispBlanksAs val="gap"/>
  </chart>
  <spPr>
    <a:solidFill>
      <a:srgbClr val="ffffff"/>
    </a:solidFill>
    <a:ln w="9360">
      <a:solidFill>
        <a:srgbClr val="d9d9d9"/>
      </a:solidFill>
      <a:round/>
    </a:ln>
  </spPr>
</chartSpace>
</file>

<file path=xl/charts/chart3.xml><?xml version="1.0" encoding="utf-8"?>
<chartSpace xmlns="http://schemas.openxmlformats.org/drawingml/2006/chart" xmlns:a="http://schemas.openxmlformats.org/drawingml/2006/main" xmlns:ns2="http://schemas.microsoft.com/office/drawing/2012/chart">
  <lang val="en-US"/>
  <roundedCorners val="0"/>
  <chart>
    <title>
      <tx>
        <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Факторы отклонения ФОТ YTD v3, млн RUB (Budget 6 220.0 → Actual 6 385.0)</a:t>
            </a:r>
          </a:p>
        </rich>
      </tx>
      <overlay val="0"/>
      <spPr>
        <a:noFill/>
        <a:ln w="0">
          <a:noFill/>
        </a:ln>
      </spPr>
    </title>
    <autoTitleDeleted val="0"/>
    <plotArea>
      <barChart>
        <barDir val="col"/>
        <grouping val="stacked"/>
        <varyColors val="0"/>
        <ser>
          <idx val="0"/>
          <order val="0"/>
          <tx>
            <strRef>
              <f>'R-03_Variance_Waterfall'!AB3</f>
              <strCache>
                <ptCount val="1"/>
                <pt idx="0">
                  <v>Base</v>
                </pt>
              </strCache>
            </strRef>
          </tx>
          <spPr>
            <a:noFill/>
            <a:ln w="0">
              <a:noFill/>
            </a:ln>
          </spPr>
          <invertIfNegative val="0"/>
          <dLbls>
            <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txPr>
            <showLegendKey val="0"/>
            <showVal val="0"/>
            <showCatName val="0"/>
            <showSerName val="0"/>
            <showPercent val="0"/>
            <separator>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'R-03_Variance_Waterfall'!$AA$4:$AA$18</f>
              <strCache>
                <ptCount val="15"/>
                <pt idx="0">
                  <v>Budget YTD</v>
                </pt>
                <pt idx="1">
                  <v>F01</v>
                </pt>
                <pt idx="2">
                  <v>F02</v>
                </pt>
                <pt idx="3">
                  <v>F03</v>
                </pt>
                <pt idx="4">
                  <v>F04</v>
                </pt>
                <pt idx="5">
                  <v>F05</v>
                </pt>
                <pt idx="6">
                  <v>F06</v>
                </pt>
                <pt idx="7">
                  <v>F07</v>
                </pt>
                <pt idx="8">
                  <v>F08</v>
                </pt>
                <pt idx="9">
                  <v>F09</v>
                </pt>
                <pt idx="10">
                  <v>F10</v>
                </pt>
                <pt idx="11">
                  <v>F11</v>
                </pt>
                <pt idx="12">
                  <v>F12</v>
                </pt>
                <pt idx="13">
                  <v>Residual</v>
                </pt>
                <pt idx="14">
                  <v>Actual YTD</v>
                </pt>
              </strCache>
            </strRef>
          </cat>
          <val>
            <numRef>
              <f>'R-03_Variance_Waterfall'!$AB$4:$AB$18</f>
              <numCache>
                <formatCode>General</formatCode>
                <ptCount val="15"/>
                <pt idx="0">
                  <v>0</v>
                </pt>
                <pt idx="1">
                  <v>6182</v>
                </pt>
                <pt idx="2">
                  <v>6182</v>
                </pt>
                <pt idx="3">
                  <v>6223</v>
                </pt>
                <pt idx="4">
                  <v>6271</v>
                </pt>
                <pt idx="5">
                  <v>6299</v>
                </pt>
                <pt idx="6">
                  <v>6337</v>
                </pt>
                <pt idx="7">
                  <v>6355</v>
                </pt>
                <pt idx="8">
                  <v>6370</v>
                </pt>
                <pt idx="9">
                  <v>6379</v>
                </pt>
                <pt idx="10">
                  <v>6387</v>
                </pt>
                <pt idx="11">
                  <v>6381</v>
                </pt>
                <pt idx="12">
                  <v>6381</v>
                </pt>
                <pt idx="13">
                  <v>6385</v>
                </pt>
                <pt idx="14">
                  <v>0</v>
                </pt>
              </numCache>
            </numRef>
          </val>
        </ser>
        <ser>
          <idx val="1"/>
          <order val="1"/>
          <tx>
            <strRef>
              <f>'R-03_Variance_Waterfall'!AC3</f>
              <strCache>
                <ptCount val="1"/>
                <pt idx="0">
                  <v>Bar</v>
                </pt>
              </strCache>
            </strRef>
          </tx>
          <spPr>
            <a:solidFill>
              <a:srgbClr val="2f5597"/>
            </a:solidFill>
            <a:ln w="0">
              <a:noFill/>
            </a:ln>
          </spPr>
          <invertIfNegative val="0"/>
          <dPt>
            <idx val="0"/>
            <invertIfNegative val="0"/>
            <spPr>
              <a:solidFill>
                <a:srgbClr val="1f3864"/>
              </a:solidFill>
              <a:ln w="0">
                <a:noFill/>
              </a:ln>
            </spPr>
          </dPt>
          <dPt>
            <idx val="1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2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3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4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5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6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7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8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9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10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1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2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13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4"/>
            <invertIfNegative val="0"/>
            <spPr>
              <a:solidFill>
                <a:srgbClr val="1f3864"/>
              </a:solidFill>
              <a:ln w="0">
                <a:noFill/>
              </a:ln>
            </spPr>
          </dPt>
          <dLbls>
            <numFmt formatCode="#,##0.0" sourceLinked="1"/>
            <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txPr>
            <dLblPos val="ctr"/>
            <showLegendKey val="0"/>
            <showVal val="1"/>
            <showCatName val="0"/>
            <showSerName val="0"/>
            <showPercent val="0"/>
            <separator>;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'R-03_Variance_Waterfall'!$AA$4:$AA$18</f>
              <strCache>
                <ptCount val="15"/>
                <pt idx="0">
                  <v>Budget YTD</v>
                </pt>
                <pt idx="1">
                  <v>F01</v>
                </pt>
                <pt idx="2">
                  <v>F02</v>
                </pt>
                <pt idx="3">
                  <v>F03</v>
                </pt>
                <pt idx="4">
                  <v>F04</v>
                </pt>
                <pt idx="5">
                  <v>F05</v>
                </pt>
                <pt idx="6">
                  <v>F06</v>
                </pt>
                <pt idx="7">
                  <v>F07</v>
                </pt>
                <pt idx="8">
                  <v>F08</v>
                </pt>
                <pt idx="9">
                  <v>F09</v>
                </pt>
                <pt idx="10">
                  <v>F10</v>
                </pt>
                <pt idx="11">
                  <v>F11</v>
                </pt>
                <pt idx="12">
                  <v>F12</v>
                </pt>
                <pt idx="13">
                  <v>Residual</v>
                </pt>
                <pt idx="14">
                  <v>Actual YTD</v>
                </pt>
              </strCache>
            </strRef>
          </cat>
          <val>
            <numRef>
              <f>'R-03_Variance_Waterfall'!$AC$4:$AC$18</f>
              <numCache>
                <formatCode>General</formatCode>
                <ptCount val="15"/>
                <pt idx="0">
                  <v>6220</v>
                </pt>
                <pt idx="1">
                  <v>38</v>
                </pt>
                <pt idx="2">
                  <v>41</v>
                </pt>
                <pt idx="3">
                  <v>48</v>
                </pt>
                <pt idx="4">
                  <v>28</v>
                </pt>
                <pt idx="5">
                  <v>38</v>
                </pt>
                <pt idx="6">
                  <v>18</v>
                </pt>
                <pt idx="7">
                  <v>15</v>
                </pt>
                <pt idx="8">
                  <v>9</v>
                </pt>
                <pt idx="9">
                  <v>10</v>
                </pt>
                <pt idx="10">
                  <v>2</v>
                </pt>
                <pt idx="11">
                  <v>6</v>
                </pt>
                <pt idx="12">
                  <v>8</v>
                </pt>
                <pt idx="13">
                  <v>4</v>
                </pt>
                <pt idx="14">
                  <v>6385</v>
                </pt>
              </numCache>
            </numRef>
          </val>
        </ser>
        <gapWidth val="25"/>
        <overlap val="100"/>
        <axId val="83138618"/>
        <axId val="33996151"/>
      </barChart>
      <catAx>
        <axId val="8313861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33996151"/>
        <crosses val="autoZero"/>
        <auto val="1"/>
        <lblAlgn val="ctr"/>
        <lblOffset val="100"/>
        <noMultiLvlLbl val="0"/>
      </catAx>
      <valAx>
        <axId val="33996151"/>
        <scaling>
          <orientation val="minMax"/>
          <max val="6500"/>
          <min val="6000"/>
        </scaling>
        <delete val="0"/>
        <axPos val="l"/>
        <majorGridlines>
          <spPr>
            <a:ln w="9360">
              <a:solidFill>
                <a:srgbClr val="878787"/>
              </a:solidFill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RUB</a:t>
                </a:r>
              </a:p>
            </rich>
          </tx>
          <overlay val="0"/>
          <spPr>
            <a:noFill/>
            <a:ln w="0">
              <a:noFill/>
            </a:ln>
          </spPr>
        </title>
        <numFmt formatCode="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83138618"/>
        <crosses val="autoZero"/>
        <crossBetween val="between"/>
      </valAx>
      <spPr>
        <a:noFill/>
        <a:ln w="0">
          <a:noFill/>
        </a:ln>
      </spPr>
    </plotArea>
    <plotVisOnly val="1"/>
    <dispBlanksAs val="gap"/>
  </chart>
  <spPr>
    <a:solidFill>
      <a:srgbClr val="ffffff"/>
    </a:solidFill>
    <a:ln w="9360">
      <a:solidFill>
        <a:srgbClr val="d9d9d9"/>
      </a:solidFill>
      <a:round/>
    </a:ln>
  </spPr>
</chartSpace>
</file>

<file path=xl/charts/chart4.xml><?xml version="1.0" encoding="utf-8"?>
<chartSpace xmlns="http://schemas.openxmlformats.org/drawingml/2006/chart" xmlns:a="http://schemas.openxmlformats.org/drawingml/2006/main" xmlns:ns2="http://schemas.microsoft.com/office/drawing/2012/chart">
  <lang val="en-US"/>
  <roundedCorners val="0"/>
  <chart>
    <title>
      <tx>
        <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HC bridge, ед.</a:t>
            </a:r>
          </a:p>
        </rich>
      </tx>
      <overlay val="0"/>
      <spPr>
        <a:noFill/>
        <a:ln w="0">
          <a:noFill/>
        </a:ln>
      </spPr>
    </title>
    <autoTitleDeleted val="0"/>
    <plotArea>
      <barChart>
        <barDir val="col"/>
        <grouping val="stacked"/>
        <varyColors val="0"/>
        <ser>
          <idx val="0"/>
          <order val="0"/>
          <tx>
            <strRef>
              <f>'R-04_HC_Vacancy_Bridge'!AC3</f>
              <strCache>
                <ptCount val="1"/>
                <pt idx="0">
                  <v>Base</v>
                </pt>
              </strCache>
            </strRef>
          </tx>
          <spPr>
            <a:noFill/>
            <a:ln w="0">
              <a:noFill/>
            </a:ln>
          </spPr>
          <invertIfNegative val="0"/>
          <dLbls>
            <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txPr>
            <showLegendKey val="0"/>
            <showVal val="0"/>
            <showCatName val="0"/>
            <showSerName val="0"/>
            <showPercent val="0"/>
            <separator>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'R-04_HC_Vacancy_Bridge'!$AA$4:$AA$9</f>
              <strCache>
                <ptCount val="6"/>
                <pt idx="0">
                  <v>Opening HC (01.01.2026)</v>
                </pt>
                <pt idx="1">
                  <v>Hires</v>
                </pt>
                <pt idx="2">
                  <v>Leavers</v>
                </pt>
                <pt idx="3">
                  <v>Transfers In</v>
                </pt>
                <pt idx="4">
                  <v>Transfers Out</v>
                </pt>
                <pt idx="5">
                  <v>Closing HC (30.06.2026)</v>
                </pt>
              </strCache>
            </strRef>
          </cat>
          <val>
            <numRef>
              <f>'R-04_HC_Vacancy_Bridge'!$AC$4:$AC$9</f>
              <numCache>
                <formatCode>General</formatCode>
                <ptCount val="6"/>
                <pt idx="0">
                  <v>0</v>
                </pt>
                <pt idx="1">
                  <v>952</v>
                </pt>
                <pt idx="2">
                  <v>996</v>
                </pt>
                <pt idx="3">
                  <v>996</v>
                </pt>
                <pt idx="4">
                  <v>988</v>
                </pt>
                <pt idx="5">
                  <v>0</v>
                </pt>
              </numCache>
            </numRef>
          </val>
        </ser>
        <ser>
          <idx val="1"/>
          <order val="1"/>
          <tx>
            <strRef>
              <f>'R-04_HC_Vacancy_Bridge'!AD3</f>
              <strCache>
                <ptCount val="1"/>
                <pt idx="0">
                  <v>Bar</v>
                </pt>
              </strCache>
            </strRef>
          </tx>
          <spPr>
            <a:solidFill>
              <a:srgbClr val="2f5597"/>
            </a:solidFill>
            <a:ln w="0">
              <a:noFill/>
            </a:ln>
          </spPr>
          <invertIfNegative val="0"/>
          <dPt>
            <idx val="0"/>
            <invertIfNegative val="0"/>
            <spPr>
              <a:solidFill>
                <a:srgbClr val="1f3864"/>
              </a:solidFill>
              <a:ln w="0">
                <a:noFill/>
              </a:ln>
            </spPr>
          </dPt>
          <dPt>
            <idx val="1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2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3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4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5"/>
            <invertIfNegative val="0"/>
            <spPr>
              <a:solidFill>
                <a:srgbClr val="1f3864"/>
              </a:solidFill>
              <a:ln w="0">
                <a:noFill/>
              </a:ln>
            </spPr>
          </dPt>
          <dLbls>
            <numFmt formatCode="#,##0" sourceLinked="1"/>
            <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txPr>
            <dLblPos val="ctr"/>
            <showLegendKey val="0"/>
            <showVal val="1"/>
            <showCatName val="0"/>
            <showSerName val="0"/>
            <showPercent val="0"/>
            <separator>;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'R-04_HC_Vacancy_Bridge'!$AA$4:$AA$9</f>
              <strCache>
                <ptCount val="6"/>
                <pt idx="0">
                  <v>Opening HC (01.01.2026)</v>
                </pt>
                <pt idx="1">
                  <v>Hires</v>
                </pt>
                <pt idx="2">
                  <v>Leavers</v>
                </pt>
                <pt idx="3">
                  <v>Transfers In</v>
                </pt>
                <pt idx="4">
                  <v>Transfers Out</v>
                </pt>
                <pt idx="5">
                  <v>Closing HC (30.06.2026)</v>
                </pt>
              </strCache>
            </strRef>
          </cat>
          <val>
            <numRef>
              <f>'R-04_HC_Vacancy_Bridge'!$AD$4:$AD$9</f>
              <numCache>
                <formatCode>General</formatCode>
                <ptCount val="6"/>
                <pt idx="0">
                  <v>952</v>
                </pt>
                <pt idx="1">
                  <v>80</v>
                </pt>
                <pt idx="2">
                  <v>36</v>
                </pt>
                <pt idx="3">
                  <v>14</v>
                </pt>
                <pt idx="4">
                  <v>22</v>
                </pt>
                <pt idx="5">
                  <v>988</v>
                </pt>
              </numCache>
            </numRef>
          </val>
        </ser>
        <gapWidth val="30"/>
        <overlap val="100"/>
        <axId val="13097099"/>
        <axId val="11266716"/>
      </barChart>
      <catAx>
        <axId val="13097099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11266716"/>
        <crosses val="autoZero"/>
        <auto val="1"/>
        <lblAlgn val="ctr"/>
        <lblOffset val="100"/>
        <noMultiLvlLbl val="0"/>
      </catAx>
      <valAx>
        <axId val="11266716"/>
        <scaling>
          <orientation val="minMax"/>
          <max val="1060"/>
          <min val="900"/>
        </scaling>
        <delete val="0"/>
        <axPos val="l"/>
        <majorGridlines>
          <spPr>
            <a:ln w="9360">
              <a:solidFill>
                <a:srgbClr val="878787"/>
              </a:solidFill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ед.</a:t>
                </a:r>
              </a:p>
            </rich>
          </tx>
          <overlay val="0"/>
          <spPr>
            <a:noFill/>
            <a:ln w="0">
              <a:noFill/>
            </a:ln>
          </spPr>
        </title>
        <numFmt formatCode="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13097099"/>
        <crosses val="autoZero"/>
        <crossBetween val="between"/>
      </valAx>
      <spPr>
        <a:noFill/>
        <a:ln w="0">
          <a:noFill/>
        </a:ln>
      </spPr>
    </plotArea>
    <plotVisOnly val="1"/>
    <dispBlanksAs val="gap"/>
  </chart>
  <spPr>
    <a:solidFill>
      <a:srgbClr val="ffffff"/>
    </a:solidFill>
    <a:ln w="9360">
      <a:solidFill>
        <a:srgbClr val="d9d9d9"/>
      </a:solidFill>
      <a:round/>
    </a:ln>
  </spPr>
</chartSpace>
</file>

<file path=xl/charts/chart5.xml><?xml version="1.0" encoding="utf-8"?>
<chartSpace xmlns="http://schemas.openxmlformats.org/drawingml/2006/chart" xmlns:a="http://schemas.openxmlformats.org/drawingml/2006/main" xmlns:ns2="http://schemas.microsoft.com/office/drawing/2012/chart">
  <lang val="en-US"/>
  <roundedCorners val="0"/>
  <chart>
    <title>
      <tx>
        <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Variance by element, млн RUB (top-10)</a:t>
            </a:r>
          </a:p>
        </rich>
      </tx>
      <overlay val="0"/>
      <spPr>
        <a:noFill/>
        <a:ln w="0">
          <a:noFill/>
        </a:ln>
      </spPr>
    </title>
    <autoTitleDeleted val="0"/>
    <plotArea>
      <barChart>
        <barDir val="bar"/>
        <grouping val="clustered"/>
        <varyColors val="0"/>
        <ser>
          <idx val="0"/>
          <order val="0"/>
          <tx>
            <strRef>
              <f>'R-05_Compensation_Detail'!AB3</f>
              <strCache>
                <ptCount val="1"/>
                <pt idx="0">
                  <v>Variance</v>
                </pt>
              </strCache>
            </strRef>
          </tx>
          <spPr>
            <a:solidFill>
              <a:srgbClr val="2f5597"/>
            </a:solidFill>
            <a:ln w="0">
              <a:noFill/>
            </a:ln>
          </spPr>
          <invertIfNegative val="0"/>
          <dPt>
            <idx val="0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1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2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3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4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5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6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7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Pt>
            <idx val="8"/>
            <invertIfNegative val="0"/>
            <spPr>
              <a:solidFill>
                <a:srgbClr val="17858c"/>
              </a:solidFill>
              <a:ln w="0">
                <a:noFill/>
              </a:ln>
            </spPr>
          </dPt>
          <dPt>
            <idx val="9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Lbls>
            <numFmt formatCode="\+#,##0.0;\-#,##0.0;0.0" sourceLinked="1"/>
            <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txPr>
            <dLblPos val="outEnd"/>
            <showLegendKey val="0"/>
            <showVal val="1"/>
            <showCatName val="0"/>
            <showSerName val="0"/>
            <showPercent val="0"/>
            <separator>;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'R-05_Compensation_Detail'!$AA$4:$AA$13</f>
              <strCache>
                <ptCount val="10"/>
                <pt idx="0">
                  <v>Salary Uplift</v>
                </pt>
                <pt idx="1">
                  <v>Salary</v>
                </pt>
                <pt idx="2">
                  <v>Quarterly Bonus</v>
                </pt>
                <pt idx="3">
                  <v>Discretionary Bonus</v>
                </pt>
                <pt idx="4">
                  <v>Vacation Pay / Reserve</v>
                </pt>
                <pt idx="5">
                  <v>Other Compensation</v>
                </pt>
                <pt idx="6">
                  <v>Social Tax Salary</v>
                </pt>
                <pt idx="7">
                  <v>Total Benefits</v>
                </pt>
                <pt idx="8">
                  <v>Capitalized Compensation</v>
                </pt>
                <pt idx="9">
                  <v>Social Tax Salary Uplift</v>
                </pt>
              </strCache>
            </strRef>
          </cat>
          <val>
            <numRef>
              <f>'R-05_Compensation_Detail'!$AB$4:$AB$13</f>
              <numCache>
                <formatCode>General</formatCode>
                <ptCount val="10"/>
                <pt idx="0">
                  <v>36</v>
                </pt>
                <pt idx="1">
                  <v>31</v>
                </pt>
                <pt idx="2">
                  <v>19</v>
                </pt>
                <pt idx="3">
                  <v>13</v>
                </pt>
                <pt idx="4">
                  <v>13</v>
                </pt>
                <pt idx="5">
                  <v>13</v>
                </pt>
                <pt idx="6">
                  <v>11</v>
                </pt>
                <pt idx="7">
                  <v>11</v>
                </pt>
                <pt idx="8">
                  <v>-6</v>
                </pt>
                <pt idx="9">
                  <v>5.5</v>
                </pt>
              </numCache>
            </numRef>
          </val>
        </ser>
        <gapWidth val="40"/>
        <overlap val="0"/>
        <axId val="87620860"/>
        <axId val="51678338"/>
      </barChart>
      <catAx>
        <axId val="8762086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51678338"/>
        <crosses val="autoZero"/>
        <auto val="1"/>
        <lblAlgn val="ctr"/>
        <lblOffset val="100"/>
        <noMultiLvlLbl val="0"/>
      </catAx>
      <valAx>
        <axId val="51678338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round/>
            </a:ln>
          </spPr>
        </majorGridlines>
        <title>
          <tx>
            <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RUB</a:t>
                </a:r>
              </a:p>
            </rich>
          </tx>
          <overlay val="0"/>
          <spPr>
            <a:noFill/>
            <a:ln w="0">
              <a:noFill/>
            </a:ln>
          </spPr>
        </title>
        <numFmt formatCode="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87620860"/>
        <crosses val="autoZero"/>
        <crossBetween val="between"/>
      </valAx>
      <spPr>
        <a:noFill/>
        <a:ln w="0">
          <a:noFill/>
        </a:ln>
      </spPr>
    </plotArea>
    <plotVisOnly val="1"/>
    <dispBlanksAs val="gap"/>
  </chart>
  <spPr>
    <a:solidFill>
      <a:srgbClr val="ffffff"/>
    </a:solidFill>
    <a:ln w="9360">
      <a:solidFill>
        <a:srgbClr val="d9d9d9"/>
      </a:solidFill>
      <a:round/>
    </a:ln>
  </spPr>
</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АХР: Budget vs Actual, млн RUB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'R-06_АХР_Dashboard'!AB3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'R-06_АХР_Dashboard'!$AA$4:$AA$7</c:f>
              <c:strCache>
                <c:ptCount val="4"/>
                <c:pt idx="0">
                  <c:v>Recruitment Expenses</c:v>
                </c:pt>
                <c:pt idx="1">
                  <c:v>Staff Training / Seminars</c:v>
                </c:pt>
                <c:pt idx="2">
                  <c:v>Workshops / Offsites</c:v>
                </c:pt>
                <c:pt idx="3">
                  <c:v>Temporary Staff &amp; Contractors</c:v>
                </c:pt>
              </c:strCache>
            </c:strRef>
          </c:cat>
          <c:val>
            <c:numRef>
              <c:f>'R-06_АХР_Dashboard'!$AB$4:$AB$7</c:f>
              <c:numCache>
                <c:formatCode>General</c:formatCode>
                <c:ptCount val="4"/>
                <c:pt idx="0">
                  <c:v>85</c:v>
                </c:pt>
                <c:pt idx="1">
                  <c:v>70</c:v>
                </c:pt>
                <c:pt idx="2">
                  <c:v>45</c:v>
                </c:pt>
                <c:pt idx="3">
                  <c:v>40</c:v>
                </c:pt>
              </c:numCache>
            </c:numRef>
          </c:val>
        </c:ser>
        <c:ser>
          <c:idx val="1"/>
          <c:order val="1"/>
          <c:tx>
            <c:strRef>
              <c:f>'R-06_АХР_Dashboard'!AC3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17858c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'R-06_АХР_Dashboard'!$AA$4:$AA$7</c:f>
              <c:strCache>
                <c:ptCount val="4"/>
                <c:pt idx="0">
                  <c:v>Recruitment Expenses</c:v>
                </c:pt>
                <c:pt idx="1">
                  <c:v>Staff Training / Seminars</c:v>
                </c:pt>
                <c:pt idx="2">
                  <c:v>Workshops / Offsites</c:v>
                </c:pt>
                <c:pt idx="3">
                  <c:v>Temporary Staff &amp; Contractors</c:v>
                </c:pt>
              </c:strCache>
            </c:strRef>
          </c:cat>
          <c:val>
            <c:numRef>
              <c:f>'R-06_АХР_Dashboard'!$AC$4:$AC$7</c:f>
              <c:numCache>
                <c:formatCode>General</c:formatCode>
                <c:ptCount val="4"/>
                <c:pt idx="0">
                  <c:v>109.5</c:v>
                </c:pt>
                <c:pt idx="1">
                  <c:v>61.2</c:v>
                </c:pt>
                <c:pt idx="2">
                  <c:v>52.9</c:v>
                </c:pt>
                <c:pt idx="3">
                  <c:v>44.8</c:v>
                </c:pt>
              </c:numCache>
            </c:numRef>
          </c:val>
        </c:ser>
        <c:gapWidth val="50"/>
        <c:overlap val="0"/>
        <c:axId val="3525171"/>
        <c:axId val="52995451"/>
      </c:barChart>
      <c:catAx>
        <c:axId val="35251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95451"/>
        <c:crosses val="autoZero"/>
        <c:auto val="1"/>
        <c:lblAlgn val="ctr"/>
        <c:lblOffset val="100"/>
        <c:noMultiLvlLbl val="0"/>
      </c:catAx>
      <c:valAx>
        <c:axId val="529954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RUB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2517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Расхождения HR vs Finance по типам, млн RUB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'R-07_Reconciliation'!AB3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numFmt formatCode="#,##0.0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'R-07_Reconciliation'!$AA$4:$AA$11</c:f>
              <c:strCache>
                <c:ptCount val="8"/>
                <c:pt idx="0">
                  <c:v>Timing difference</c:v>
                </c:pt>
                <c:pt idx="1">
                  <c:v>Accrual / reserve difference</c:v>
                </c:pt>
                <c:pt idx="2">
                  <c:v>Finance manual adjustment</c:v>
                </c:pt>
                <c:pt idx="3">
                  <c:v>Mapping difference</c:v>
                </c:pt>
                <c:pt idx="4">
                  <c:v>Granularity difference</c:v>
                </c:pt>
                <c:pt idx="5">
                  <c:v>Capitalization difference</c:v>
                </c:pt>
                <c:pt idx="6">
                  <c:v>Missing HR object</c:v>
                </c:pt>
                <c:pt idx="7">
                  <c:v>Unclassified residual</c:v>
                </c:pt>
              </c:strCache>
            </c:strRef>
          </c:cat>
          <c:val>
            <c:numRef>
              <c:f>'R-07_Reconciliation'!$AB$4:$AB$11</c:f>
              <c:numCache>
                <c:formatCode>General</c:formatCode>
                <c:ptCount val="8"/>
                <c:pt idx="0">
                  <c:v>10</c:v>
                </c:pt>
                <c:pt idx="1">
                  <c:v>6.5</c:v>
                </c:pt>
                <c:pt idx="2">
                  <c:v>4</c:v>
                </c:pt>
                <c:pt idx="3">
                  <c:v>1.5</c:v>
                </c:pt>
                <c:pt idx="4">
                  <c:v>0.8</c:v>
                </c:pt>
                <c:pt idx="5">
                  <c:v>1.2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gapWidth val="40"/>
        <c:overlap val="0"/>
        <c:axId val="35636640"/>
        <c:axId val="75159425"/>
      </c:barChart>
      <c:catAx>
        <c:axId val="3563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59425"/>
        <c:crosses val="autoZero"/>
        <c:auto val="1"/>
        <c:lblAlgn val="ctr"/>
        <c:lblOffset val="100"/>
        <c:noMultiLvlLbl val="0"/>
      </c:catAx>
      <c:valAx>
        <c:axId val="75159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млн RUB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636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hartSpace xmlns="http://schemas.openxmlformats.org/drawingml/2006/chart" xmlns:a="http://schemas.openxmlformats.org/drawingml/2006/main" xmlns:ns2="http://schemas.microsoft.com/office/drawing/2012/chart">
  <lang val="en-US"/>
  <roundedCorners val="0"/>
  <chart>
    <title>
      <tx>
        <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Комментарии по статусам, шт.</a:t>
            </a:r>
          </a:p>
        </rich>
      </tx>
      <overlay val="0"/>
      <spPr>
        <a:noFill/>
        <a:ln w="0">
          <a:noFill/>
        </a:ln>
      </spPr>
    </title>
    <autoTitleDeleted val="0"/>
    <plotArea>
      <barChart>
        <barDir val="col"/>
        <grouping val="clustered"/>
        <varyColors val="0"/>
        <ser>
          <idx val="0"/>
          <order val="0"/>
          <tx>
            <strRef>
              <f>'R-09_Comments_Actions'!AB3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2f5597"/>
            </a:solidFill>
            <a:ln w="0">
              <a:noFill/>
            </a:ln>
          </spPr>
          <invertIfNegative val="0"/>
          <dPt>
            <idx val="0"/>
            <invertIfNegative val="0"/>
            <spPr>
              <a:solidFill>
                <a:srgbClr val="2e7d32"/>
              </a:solidFill>
              <a:ln w="0">
                <a:noFill/>
              </a:ln>
            </spPr>
          </dPt>
          <dPt>
            <idx val="1"/>
            <invertIfNegative val="0"/>
            <spPr>
              <a:solidFill>
                <a:srgbClr val="2f5597"/>
              </a:solidFill>
              <a:ln w="0">
                <a:noFill/>
              </a:ln>
            </spPr>
          </dPt>
          <dPt>
            <idx val="2"/>
            <invertIfNegative val="0"/>
            <spPr>
              <a:solidFill>
                <a:srgbClr val="b7791f"/>
              </a:solidFill>
              <a:ln w="0">
                <a:noFill/>
              </a:ln>
            </spPr>
          </dPt>
          <dPt>
            <idx val="3"/>
            <invertIfNegative val="0"/>
            <spPr>
              <a:solidFill>
                <a:srgbClr val="c0392b"/>
              </a:solidFill>
              <a:ln w="0">
                <a:noFill/>
              </a:ln>
            </spPr>
          </dPt>
          <dLbls>
            <numFmt formatCode="#,##0" sourceLinked="1"/>
            <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txPr>
            <dLblPos val="outEnd"/>
            <showLegendKey val="0"/>
            <showVal val="1"/>
            <showCatName val="0"/>
            <showSerName val="0"/>
            <showPercent val="0"/>
            <separator>; </separator>
            <showLeaderLines val="1"/>
            <extLst>
              <ext uri="{CE6537A1-D6FC-4f65-9D91-7224C49458BB}">
                <ns2:showLeaderLines val="1"/>
              </ext>
            </extLst>
          </dLbls>
          <cat>
            <strRef>
              <f>'R-09_Comments_Actions'!$AA$4:$AA$7</f>
              <strCache>
                <ptCount val="4"/>
                <pt idx="0">
                  <v>Commented</v>
                </pt>
                <pt idx="1">
                  <v>Under Review</v>
                </pt>
                <pt idx="2">
                  <v>Needs Comment</v>
                </pt>
                <pt idx="3">
                  <v>Escalated</v>
                </pt>
              </strCache>
            </strRef>
          </cat>
          <val>
            <numRef>
              <f>'R-09_Comments_Actions'!$AB$4:$AB$7</f>
              <numCache>
                <formatCode>General</formatCode>
                <ptCount val="4"/>
                <pt idx="0">
                  <v>24</v>
                </pt>
                <pt idx="1">
                  <v>8</v>
                </pt>
                <pt idx="2">
                  <v>7</v>
                </pt>
                <pt idx="3">
                  <v>3</v>
                </pt>
              </numCache>
            </numRef>
          </val>
        </ser>
        <gapWidth val="60"/>
        <overlap val="0"/>
        <axId val="5285306"/>
        <axId val="71329561"/>
      </barChart>
      <catAx>
        <axId val="528530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71329561"/>
        <crosses val="autoZero"/>
        <auto val="1"/>
        <lblAlgn val="ctr"/>
        <lblOffset val="100"/>
        <noMultiLvlLbl val="0"/>
      </catAx>
      <valAx>
        <axId val="71329561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шт.</a:t>
                </a:r>
              </a:p>
            </rich>
          </tx>
          <overlay val="0"/>
          <spPr>
            <a:noFill/>
            <a:ln w="0">
              <a:noFill/>
            </a:ln>
          </spPr>
        </title>
        <numFmt formatCode="#,##0" sourceLinked="0"/>
        <majorTickMark val="none"/>
        <minorTickMark val="none"/>
        <tickLblPos val="nextTo"/>
        <spPr>
          <a:ln w="9360">
            <a:solidFill>
              <a:srgbClr val="878787"/>
            </a:solidFill>
            <a:round/>
          </a:ln>
        </spPr>
        <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txPr>
        <crossAx val="5285306"/>
        <crosses val="autoZero"/>
        <crossBetween val="between"/>
      </valAx>
      <spPr>
        <a:noFill/>
        <a:ln w="0">
          <a:noFill/>
        </a:ln>
      </spPr>
    </plotArea>
    <plotVisOnly val="1"/>
    <dispBlanksAs val="gap"/>
  </chart>
  <spPr>
    <a:solidFill>
      <a:srgbClr val="ffffff"/>
    </a:solidFill>
    <a:ln w="9360">
      <a:solidFill>
        <a:srgbClr val="d9d9d9"/>
      </a:solidFill>
      <a:round/>
    </a:ln>
  </spPr>
</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397080</xdr:colOff>
      <xdr:row>27</xdr:row>
      <xdr:rowOff>47520</xdr:rowOff>
    </xdr:to>
    <xdr:graphicFrame>
      <xdr:nvGraphicFramePr>
        <xdr:cNvPr id="0" name="Chart 1"/>
        <xdr:cNvGraphicFramePr/>
      </xdr:nvGraphicFramePr>
      <xdr:xfrm>
        <a:off x="141120" y="24382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11</xdr:row>
      <xdr:rowOff>0</xdr:rowOff>
    </xdr:from>
    <xdr:to>
      <xdr:col>17</xdr:col>
      <xdr:colOff>396720</xdr:colOff>
      <xdr:row>27</xdr:row>
      <xdr:rowOff>47520</xdr:rowOff>
    </xdr:to>
    <xdr:graphicFrame>
      <xdr:nvGraphicFramePr>
        <xdr:cNvPr id="1" name="Chart 2"/>
        <xdr:cNvGraphicFramePr/>
      </xdr:nvGraphicFramePr>
      <xdr:xfrm>
        <a:off x="6804720" y="24382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6</xdr:row>
      <xdr:rowOff>0</xdr:rowOff>
    </xdr:from>
    <xdr:to>
      <xdr:col>9</xdr:col>
      <xdr:colOff>16560</xdr:colOff>
      <xdr:row>23</xdr:row>
      <xdr:rowOff>145440</xdr:rowOff>
    </xdr:to>
    <xdr:graphicFrame>
      <xdr:nvGraphicFramePr>
        <xdr:cNvPr id="2" name="Chart 1"/>
        <xdr:cNvGraphicFramePr/>
      </xdr:nvGraphicFramePr>
      <xdr:xfrm>
        <a:off x="141120" y="1343160"/>
        <a:ext cx="5939640" cy="338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397080</xdr:colOff>
      <xdr:row>27</xdr:row>
      <xdr:rowOff>9360</xdr:rowOff>
    </xdr:to>
    <xdr:graphicFrame>
      <xdr:nvGraphicFramePr>
        <xdr:cNvPr id="3" name="Chart 1"/>
        <xdr:cNvGraphicFramePr/>
      </xdr:nvGraphicFramePr>
      <xdr:xfrm>
        <a:off x="141120" y="24382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6</xdr:row>
      <xdr:rowOff>0</xdr:rowOff>
    </xdr:from>
    <xdr:to>
      <xdr:col>20</xdr:col>
      <xdr:colOff>546120</xdr:colOff>
      <xdr:row>25</xdr:row>
      <xdr:rowOff>360</xdr:rowOff>
    </xdr:to>
    <xdr:graphicFrame>
      <xdr:nvGraphicFramePr>
        <xdr:cNvPr id="4" name="Chart 1"/>
        <xdr:cNvGraphicFramePr/>
      </xdr:nvGraphicFramePr>
      <xdr:xfrm>
        <a:off x="9766440" y="1343160"/>
        <a:ext cx="4859640" cy="374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397080</xdr:colOff>
      <xdr:row>27</xdr:row>
      <xdr:rowOff>47520</xdr:rowOff>
    </xdr:to>
    <xdr:graphicFrame>
      <xdr:nvGraphicFramePr>
        <xdr:cNvPr id="5" name="Chart 1"/>
        <xdr:cNvGraphicFramePr/>
      </xdr:nvGraphicFramePr>
      <xdr:xfrm>
        <a:off x="141120" y="24382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11</xdr:row>
      <xdr:rowOff>0</xdr:rowOff>
    </xdr:from>
    <xdr:to>
      <xdr:col>15</xdr:col>
      <xdr:colOff>36720</xdr:colOff>
      <xdr:row>23</xdr:row>
      <xdr:rowOff>110160</xdr:rowOff>
    </xdr:to>
    <xdr:graphicFrame>
      <xdr:nvGraphicFramePr>
        <xdr:cNvPr id="6" name="Chart 1"/>
        <xdr:cNvGraphicFramePr/>
      </xdr:nvGraphicFramePr>
      <xdr:xfrm>
        <a:off x="5323680" y="2438280"/>
        <a:ext cx="5219640" cy="316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0</xdr:rowOff>
    </xdr:from>
    <xdr:to>
      <xdr:col>8</xdr:col>
      <xdr:colOff>397080</xdr:colOff>
      <xdr:row>27</xdr:row>
      <xdr:rowOff>47520</xdr:rowOff>
    </xdr:to>
    <xdr:graphicFrame>
      <xdr:nvGraphicFramePr>
        <xdr:cNvPr id="7" name="Chart 1"/>
        <xdr:cNvGraphicFramePr/>
      </xdr:nvGraphicFramePr>
      <xdr:xfrm>
        <a:off x="141120" y="2438280"/>
        <a:ext cx="5579640" cy="309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2:N1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14" min="3" style="0" width="13"/>
  </cols>
  <sheetData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1</v>
      </c>
      <c r="N2" s="2"/>
    </row>
    <row r="3" customFormat="false" ht="15" hidden="false" customHeight="true" outlineLevel="0" collapsed="false"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5" customFormat="false" ht="18" hidden="false" customHeight="true" outlineLevel="0" collapsed="false">
      <c r="B5" s="4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customFormat="false" ht="15" hidden="false" customHeight="false" outlineLevel="0" collapsed="false">
      <c r="B6" s="3" t="s">
        <v>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customFormat="false" ht="15" hidden="false" customHeight="false" outlineLevel="0" collapsed="false">
      <c r="B7" s="3" t="s">
        <v>5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customFormat="false" ht="15" hidden="false" customHeight="false" outlineLevel="0" collapsed="false">
      <c r="B8" s="3" t="s">
        <v>6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customFormat="false" ht="15" hidden="false" customHeight="false" outlineLevel="0" collapsed="false">
      <c r="B9" s="3" t="s">
        <v>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customFormat="false" ht="15" hidden="false" customHeight="false" outlineLevel="0" collapsed="false">
      <c r="B10" s="3" t="s">
        <v>8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customFormat="false" ht="15" hidden="false" customHeight="false" outlineLevel="0" collapsed="false">
      <c r="B11" s="3" t="s">
        <v>9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3" customFormat="false" ht="18" hidden="false" customHeight="true" outlineLevel="0" collapsed="false">
      <c r="B13" s="4" t="s">
        <v>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15" hidden="false" customHeight="false" outlineLevel="0" collapsed="false">
      <c r="B14" s="3" t="s">
        <v>11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customFormat="false" ht="15" hidden="false" customHeight="false" outlineLevel="0" collapsed="false">
      <c r="B15" s="3" t="s">
        <v>12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customFormat="false" ht="15" hidden="false" customHeight="false" outlineLevel="0" collapsed="false">
      <c r="B16" s="3" t="s">
        <v>13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15" hidden="false" customHeight="false" outlineLevel="0" collapsed="false">
      <c r="B17" s="3" t="s">
        <v>14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customFormat="false" ht="15" hidden="false" customHeight="false" outlineLevel="0" collapsed="false">
      <c r="B18" s="3" t="s">
        <v>15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customFormat="false" ht="15" hidden="false" customHeight="false" outlineLevel="0" collapsed="false">
      <c r="B19" s="3" t="s">
        <v>16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customFormat="false" ht="15" hidden="false" customHeight="false" outlineLevel="0" collapsed="false">
      <c r="B20" s="3" t="s">
        <v>17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customFormat="false" ht="15" hidden="false" customHeight="false" outlineLevel="0" collapsed="false">
      <c r="B21" s="3" t="s">
        <v>18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3" customFormat="false" ht="18" hidden="false" customHeight="true" outlineLevel="0" collapsed="false">
      <c r="B23" s="4" t="s">
        <v>19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customFormat="false" ht="15" hidden="false" customHeight="false" outlineLevel="0" collapsed="false">
      <c r="B24" s="3" t="s">
        <v>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customFormat="false" ht="15" hidden="false" customHeight="false" outlineLevel="0" collapsed="false">
      <c r="B25" s="3" t="s">
        <v>21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customFormat="false" ht="15" hidden="false" customHeight="false" outlineLevel="0" collapsed="false">
      <c r="B26" s="3" t="s">
        <v>22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customFormat="false" ht="15" hidden="false" customHeight="false" outlineLevel="0" collapsed="false">
      <c r="B27" s="3" t="s">
        <v>23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customFormat="false" ht="15" hidden="false" customHeight="false" outlineLevel="0" collapsed="false">
      <c r="B28" s="3" t="s">
        <v>24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customFormat="false" ht="15" hidden="false" customHeight="false" outlineLevel="0" collapsed="false">
      <c r="B29" s="3" t="s">
        <v>25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customFormat="false" ht="15" hidden="false" customHeight="false" outlineLevel="0" collapsed="false">
      <c r="B30" s="3" t="s">
        <v>26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customFormat="false" ht="15" hidden="false" customHeight="false" outlineLevel="0" collapsed="false">
      <c r="B31" s="3" t="s">
        <v>27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3" customFormat="false" ht="18" hidden="false" customHeight="true" outlineLevel="0" collapsed="false">
      <c r="B33" s="4" t="s">
        <v>28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customFormat="false" ht="18" hidden="false" customHeight="true" outlineLevel="0" collapsed="false">
      <c r="B34" s="5" t="s">
        <v>29</v>
      </c>
      <c r="C34" s="5"/>
      <c r="D34" s="5"/>
      <c r="E34" s="5" t="s">
        <v>30</v>
      </c>
      <c r="F34" s="5"/>
      <c r="G34" s="5"/>
      <c r="H34" s="5"/>
      <c r="I34" s="5"/>
      <c r="J34" s="5"/>
      <c r="K34" s="5"/>
      <c r="L34" s="5"/>
      <c r="M34" s="5"/>
      <c r="N34" s="5"/>
    </row>
    <row r="35" customFormat="false" ht="15.75" hidden="false" customHeight="true" outlineLevel="0" collapsed="false">
      <c r="B35" s="6" t="s">
        <v>31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customFormat="false" ht="15" hidden="false" customHeight="true" outlineLevel="0" collapsed="false">
      <c r="B36" s="7" t="s">
        <v>32</v>
      </c>
      <c r="C36" s="7"/>
      <c r="D36" s="7"/>
      <c r="E36" s="8" t="s">
        <v>33</v>
      </c>
      <c r="F36" s="8"/>
      <c r="G36" s="8"/>
      <c r="H36" s="8"/>
      <c r="I36" s="8"/>
      <c r="J36" s="8"/>
      <c r="K36" s="8"/>
      <c r="L36" s="8"/>
      <c r="M36" s="8"/>
      <c r="N36" s="8"/>
    </row>
    <row r="37" customFormat="false" ht="15" hidden="false" customHeight="true" outlineLevel="0" collapsed="false">
      <c r="B37" s="9" t="s">
        <v>34</v>
      </c>
      <c r="C37" s="9"/>
      <c r="D37" s="9"/>
      <c r="E37" s="10" t="s">
        <v>35</v>
      </c>
      <c r="F37" s="10"/>
      <c r="G37" s="10"/>
      <c r="H37" s="10"/>
      <c r="I37" s="10"/>
      <c r="J37" s="10"/>
      <c r="K37" s="10"/>
      <c r="L37" s="10"/>
      <c r="M37" s="10"/>
      <c r="N37" s="10"/>
    </row>
    <row r="38" customFormat="false" ht="15.75" hidden="false" customHeight="true" outlineLevel="0" collapsed="false">
      <c r="B38" s="6" t="s">
        <v>36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customFormat="false" ht="15" hidden="false" customHeight="true" outlineLevel="0" collapsed="false">
      <c r="B39" s="7" t="s">
        <v>37</v>
      </c>
      <c r="C39" s="7"/>
      <c r="D39" s="7"/>
      <c r="E39" s="8" t="s">
        <v>38</v>
      </c>
      <c r="F39" s="8"/>
      <c r="G39" s="8"/>
      <c r="H39" s="8"/>
      <c r="I39" s="8"/>
      <c r="J39" s="8"/>
      <c r="K39" s="8"/>
      <c r="L39" s="8"/>
      <c r="M39" s="8"/>
      <c r="N39" s="8"/>
    </row>
    <row r="40" customFormat="false" ht="15.75" hidden="false" customHeight="true" outlineLevel="0" collapsed="false">
      <c r="B40" s="6" t="s">
        <v>39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customFormat="false" ht="15" hidden="false" customHeight="true" outlineLevel="0" collapsed="false">
      <c r="B41" s="9" t="s">
        <v>40</v>
      </c>
      <c r="C41" s="9"/>
      <c r="D41" s="9"/>
      <c r="E41" s="10" t="s">
        <v>41</v>
      </c>
      <c r="F41" s="10"/>
      <c r="G41" s="10"/>
      <c r="H41" s="10"/>
      <c r="I41" s="10"/>
      <c r="J41" s="10"/>
      <c r="K41" s="10"/>
      <c r="L41" s="10"/>
      <c r="M41" s="10"/>
      <c r="N41" s="10"/>
    </row>
    <row r="42" customFormat="false" ht="15" hidden="false" customHeight="true" outlineLevel="0" collapsed="false">
      <c r="B42" s="7" t="s">
        <v>42</v>
      </c>
      <c r="C42" s="7"/>
      <c r="D42" s="7"/>
      <c r="E42" s="8" t="s">
        <v>43</v>
      </c>
      <c r="F42" s="8"/>
      <c r="G42" s="8"/>
      <c r="H42" s="8"/>
      <c r="I42" s="8"/>
      <c r="J42" s="8"/>
      <c r="K42" s="8"/>
      <c r="L42" s="8"/>
      <c r="M42" s="8"/>
      <c r="N42" s="8"/>
    </row>
    <row r="43" customFormat="false" ht="15" hidden="false" customHeight="true" outlineLevel="0" collapsed="false">
      <c r="B43" s="9" t="s">
        <v>44</v>
      </c>
      <c r="C43" s="9"/>
      <c r="D43" s="9"/>
      <c r="E43" s="10" t="s">
        <v>45</v>
      </c>
      <c r="F43" s="10"/>
      <c r="G43" s="10"/>
      <c r="H43" s="10"/>
      <c r="I43" s="10"/>
      <c r="J43" s="10"/>
      <c r="K43" s="10"/>
      <c r="L43" s="10"/>
      <c r="M43" s="10"/>
      <c r="N43" s="10"/>
    </row>
    <row r="44" customFormat="false" ht="15" hidden="false" customHeight="true" outlineLevel="0" collapsed="false">
      <c r="B44" s="7" t="s">
        <v>46</v>
      </c>
      <c r="C44" s="7"/>
      <c r="D44" s="7"/>
      <c r="E44" s="8" t="s">
        <v>47</v>
      </c>
      <c r="F44" s="8"/>
      <c r="G44" s="8"/>
      <c r="H44" s="8"/>
      <c r="I44" s="8"/>
      <c r="J44" s="8"/>
      <c r="K44" s="8"/>
      <c r="L44" s="8"/>
      <c r="M44" s="8"/>
      <c r="N44" s="8"/>
    </row>
    <row r="45" customFormat="false" ht="15.75" hidden="false" customHeight="true" outlineLevel="0" collapsed="false">
      <c r="B45" s="6" t="s">
        <v>48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customFormat="false" ht="15" hidden="false" customHeight="true" outlineLevel="0" collapsed="false">
      <c r="B46" s="9" t="s">
        <v>49</v>
      </c>
      <c r="C46" s="9"/>
      <c r="D46" s="9"/>
      <c r="E46" s="10" t="s">
        <v>50</v>
      </c>
      <c r="F46" s="10"/>
      <c r="G46" s="10"/>
      <c r="H46" s="10"/>
      <c r="I46" s="10"/>
      <c r="J46" s="10"/>
      <c r="K46" s="10"/>
      <c r="L46" s="10"/>
      <c r="M46" s="10"/>
      <c r="N46" s="10"/>
    </row>
    <row r="47" customFormat="false" ht="15" hidden="false" customHeight="true" outlineLevel="0" collapsed="false">
      <c r="B47" s="7" t="s">
        <v>51</v>
      </c>
      <c r="C47" s="7"/>
      <c r="D47" s="7"/>
      <c r="E47" s="8" t="s">
        <v>52</v>
      </c>
      <c r="F47" s="8"/>
      <c r="G47" s="8"/>
      <c r="H47" s="8"/>
      <c r="I47" s="8"/>
      <c r="J47" s="8"/>
      <c r="K47" s="8"/>
      <c r="L47" s="8"/>
      <c r="M47" s="8"/>
      <c r="N47" s="8"/>
    </row>
    <row r="48" customFormat="false" ht="15" hidden="false" customHeight="true" outlineLevel="0" collapsed="false">
      <c r="B48" s="9" t="s">
        <v>53</v>
      </c>
      <c r="C48" s="9"/>
      <c r="D48" s="9"/>
      <c r="E48" s="10" t="s">
        <v>54</v>
      </c>
      <c r="F48" s="10"/>
      <c r="G48" s="10"/>
      <c r="H48" s="10"/>
      <c r="I48" s="10"/>
      <c r="J48" s="10"/>
      <c r="K48" s="10"/>
      <c r="L48" s="10"/>
      <c r="M48" s="10"/>
      <c r="N48" s="10"/>
    </row>
    <row r="49" customFormat="false" ht="15" hidden="false" customHeight="true" outlineLevel="0" collapsed="false">
      <c r="B49" s="7" t="s">
        <v>55</v>
      </c>
      <c r="C49" s="7"/>
      <c r="D49" s="7"/>
      <c r="E49" s="8" t="s">
        <v>56</v>
      </c>
      <c r="F49" s="8"/>
      <c r="G49" s="8"/>
      <c r="H49" s="8"/>
      <c r="I49" s="8"/>
      <c r="J49" s="8"/>
      <c r="K49" s="8"/>
      <c r="L49" s="8"/>
      <c r="M49" s="8"/>
      <c r="N49" s="8"/>
    </row>
    <row r="50" customFormat="false" ht="15.75" hidden="false" customHeight="true" outlineLevel="0" collapsed="false">
      <c r="B50" s="6" t="s">
        <v>57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customFormat="false" ht="15" hidden="false" customHeight="true" outlineLevel="0" collapsed="false">
      <c r="B51" s="9" t="s">
        <v>58</v>
      </c>
      <c r="C51" s="9"/>
      <c r="D51" s="9"/>
      <c r="E51" s="10" t="s">
        <v>59</v>
      </c>
      <c r="F51" s="10"/>
      <c r="G51" s="10"/>
      <c r="H51" s="10"/>
      <c r="I51" s="10"/>
      <c r="J51" s="10"/>
      <c r="K51" s="10"/>
      <c r="L51" s="10"/>
      <c r="M51" s="10"/>
      <c r="N51" s="10"/>
    </row>
    <row r="52" customFormat="false" ht="15" hidden="false" customHeight="true" outlineLevel="0" collapsed="false">
      <c r="B52" s="7" t="s">
        <v>60</v>
      </c>
      <c r="C52" s="7"/>
      <c r="D52" s="7"/>
      <c r="E52" s="8" t="s">
        <v>61</v>
      </c>
      <c r="F52" s="8"/>
      <c r="G52" s="8"/>
      <c r="H52" s="8"/>
      <c r="I52" s="8"/>
      <c r="J52" s="8"/>
      <c r="K52" s="8"/>
      <c r="L52" s="8"/>
      <c r="M52" s="8"/>
      <c r="N52" s="8"/>
    </row>
    <row r="53" customFormat="false" ht="15" hidden="false" customHeight="true" outlineLevel="0" collapsed="false">
      <c r="B53" s="9" t="s">
        <v>62</v>
      </c>
      <c r="C53" s="9"/>
      <c r="D53" s="9"/>
      <c r="E53" s="10" t="s">
        <v>63</v>
      </c>
      <c r="F53" s="10"/>
      <c r="G53" s="10"/>
      <c r="H53" s="10"/>
      <c r="I53" s="10"/>
      <c r="J53" s="10"/>
      <c r="K53" s="10"/>
      <c r="L53" s="10"/>
      <c r="M53" s="10"/>
      <c r="N53" s="10"/>
    </row>
    <row r="54" customFormat="false" ht="15" hidden="false" customHeight="true" outlineLevel="0" collapsed="false">
      <c r="B54" s="7" t="s">
        <v>64</v>
      </c>
      <c r="C54" s="7"/>
      <c r="D54" s="7"/>
      <c r="E54" s="8" t="s">
        <v>65</v>
      </c>
      <c r="F54" s="8"/>
      <c r="G54" s="8"/>
      <c r="H54" s="8"/>
      <c r="I54" s="8"/>
      <c r="J54" s="8"/>
      <c r="K54" s="8"/>
      <c r="L54" s="8"/>
      <c r="M54" s="8"/>
      <c r="N54" s="8"/>
    </row>
    <row r="55" customFormat="false" ht="15" hidden="false" customHeight="true" outlineLevel="0" collapsed="false">
      <c r="B55" s="9" t="s">
        <v>66</v>
      </c>
      <c r="C55" s="9"/>
      <c r="D55" s="9"/>
      <c r="E55" s="10" t="s">
        <v>67</v>
      </c>
      <c r="F55" s="10"/>
      <c r="G55" s="10"/>
      <c r="H55" s="10"/>
      <c r="I55" s="10"/>
      <c r="J55" s="10"/>
      <c r="K55" s="10"/>
      <c r="L55" s="10"/>
      <c r="M55" s="10"/>
      <c r="N55" s="10"/>
    </row>
    <row r="56" customFormat="false" ht="15" hidden="false" customHeight="true" outlineLevel="0" collapsed="false">
      <c r="B56" s="7" t="s">
        <v>68</v>
      </c>
      <c r="C56" s="7"/>
      <c r="D56" s="7"/>
      <c r="E56" s="8" t="s">
        <v>69</v>
      </c>
      <c r="F56" s="8"/>
      <c r="G56" s="8"/>
      <c r="H56" s="8"/>
      <c r="I56" s="8"/>
      <c r="J56" s="8"/>
      <c r="K56" s="8"/>
      <c r="L56" s="8"/>
      <c r="M56" s="8"/>
      <c r="N56" s="8"/>
    </row>
    <row r="57" customFormat="false" ht="15.75" hidden="false" customHeight="true" outlineLevel="0" collapsed="false">
      <c r="B57" s="6" t="s">
        <v>70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customFormat="false" ht="15" hidden="false" customHeight="true" outlineLevel="0" collapsed="false">
      <c r="B58" s="9" t="s">
        <v>71</v>
      </c>
      <c r="C58" s="9"/>
      <c r="D58" s="9"/>
      <c r="E58" s="10" t="s">
        <v>72</v>
      </c>
      <c r="F58" s="10"/>
      <c r="G58" s="10"/>
      <c r="H58" s="10"/>
      <c r="I58" s="10"/>
      <c r="J58" s="10"/>
      <c r="K58" s="10"/>
      <c r="L58" s="10"/>
      <c r="M58" s="10"/>
      <c r="N58" s="10"/>
    </row>
    <row r="59" customFormat="false" ht="15" hidden="false" customHeight="true" outlineLevel="0" collapsed="false">
      <c r="B59" s="7" t="s">
        <v>73</v>
      </c>
      <c r="C59" s="7"/>
      <c r="D59" s="7"/>
      <c r="E59" s="8" t="s">
        <v>74</v>
      </c>
      <c r="F59" s="8"/>
      <c r="G59" s="8"/>
      <c r="H59" s="8"/>
      <c r="I59" s="8"/>
      <c r="J59" s="8"/>
      <c r="K59" s="8"/>
      <c r="L59" s="8"/>
      <c r="M59" s="8"/>
      <c r="N59" s="8"/>
    </row>
    <row r="60" customFormat="false" ht="15" hidden="false" customHeight="true" outlineLevel="0" collapsed="false">
      <c r="B60" s="9" t="s">
        <v>75</v>
      </c>
      <c r="C60" s="9"/>
      <c r="D60" s="9"/>
      <c r="E60" s="10" t="s">
        <v>76</v>
      </c>
      <c r="F60" s="10"/>
      <c r="G60" s="10"/>
      <c r="H60" s="10"/>
      <c r="I60" s="10"/>
      <c r="J60" s="10"/>
      <c r="K60" s="10"/>
      <c r="L60" s="10"/>
      <c r="M60" s="10"/>
      <c r="N60" s="10"/>
    </row>
    <row r="61" customFormat="false" ht="15" hidden="false" customHeight="true" outlineLevel="0" collapsed="false">
      <c r="B61" s="7" t="s">
        <v>77</v>
      </c>
      <c r="C61" s="7"/>
      <c r="D61" s="7"/>
      <c r="E61" s="8" t="s">
        <v>78</v>
      </c>
      <c r="F61" s="8"/>
      <c r="G61" s="8"/>
      <c r="H61" s="8"/>
      <c r="I61" s="8"/>
      <c r="J61" s="8"/>
      <c r="K61" s="8"/>
      <c r="L61" s="8"/>
      <c r="M61" s="8"/>
      <c r="N61" s="8"/>
    </row>
    <row r="62" customFormat="false" ht="15" hidden="false" customHeight="true" outlineLevel="0" collapsed="false">
      <c r="B62" s="9" t="s">
        <v>79</v>
      </c>
      <c r="C62" s="9"/>
      <c r="D62" s="9"/>
      <c r="E62" s="10" t="s">
        <v>80</v>
      </c>
      <c r="F62" s="10"/>
      <c r="G62" s="10"/>
      <c r="H62" s="10"/>
      <c r="I62" s="10"/>
      <c r="J62" s="10"/>
      <c r="K62" s="10"/>
      <c r="L62" s="10"/>
      <c r="M62" s="10"/>
      <c r="N62" s="10"/>
    </row>
    <row r="63" customFormat="false" ht="15" hidden="false" customHeight="true" outlineLevel="0" collapsed="false">
      <c r="B63" s="7" t="s">
        <v>81</v>
      </c>
      <c r="C63" s="7"/>
      <c r="D63" s="7"/>
      <c r="E63" s="8" t="s">
        <v>82</v>
      </c>
      <c r="F63" s="8"/>
      <c r="G63" s="8"/>
      <c r="H63" s="8"/>
      <c r="I63" s="8"/>
      <c r="J63" s="8"/>
      <c r="K63" s="8"/>
      <c r="L63" s="8"/>
      <c r="M63" s="8"/>
      <c r="N63" s="8"/>
    </row>
    <row r="64" customFormat="false" ht="15" hidden="false" customHeight="true" outlineLevel="0" collapsed="false">
      <c r="B64" s="9" t="s">
        <v>83</v>
      </c>
      <c r="C64" s="9"/>
      <c r="D64" s="9"/>
      <c r="E64" s="10" t="s">
        <v>84</v>
      </c>
      <c r="F64" s="10"/>
      <c r="G64" s="10"/>
      <c r="H64" s="10"/>
      <c r="I64" s="10"/>
      <c r="J64" s="10"/>
      <c r="K64" s="10"/>
      <c r="L64" s="10"/>
      <c r="M64" s="10"/>
      <c r="N64" s="10"/>
    </row>
    <row r="65" customFormat="false" ht="15" hidden="false" customHeight="true" outlineLevel="0" collapsed="false">
      <c r="B65" s="7" t="s">
        <v>85</v>
      </c>
      <c r="C65" s="7"/>
      <c r="D65" s="7"/>
      <c r="E65" s="8" t="s">
        <v>86</v>
      </c>
      <c r="F65" s="8"/>
      <c r="G65" s="8"/>
      <c r="H65" s="8"/>
      <c r="I65" s="8"/>
      <c r="J65" s="8"/>
      <c r="K65" s="8"/>
      <c r="L65" s="8"/>
      <c r="M65" s="8"/>
      <c r="N65" s="8"/>
    </row>
    <row r="66" customFormat="false" ht="15" hidden="false" customHeight="true" outlineLevel="0" collapsed="false">
      <c r="B66" s="9" t="s">
        <v>87</v>
      </c>
      <c r="C66" s="9"/>
      <c r="D66" s="9"/>
      <c r="E66" s="10" t="s">
        <v>88</v>
      </c>
      <c r="F66" s="10"/>
      <c r="G66" s="10"/>
      <c r="H66" s="10"/>
      <c r="I66" s="10"/>
      <c r="J66" s="10"/>
      <c r="K66" s="10"/>
      <c r="L66" s="10"/>
      <c r="M66" s="10"/>
      <c r="N66" s="10"/>
    </row>
    <row r="67" customFormat="false" ht="15" hidden="false" customHeight="true" outlineLevel="0" collapsed="false">
      <c r="B67" s="7" t="s">
        <v>89</v>
      </c>
      <c r="C67" s="7"/>
      <c r="D67" s="7"/>
      <c r="E67" s="8" t="s">
        <v>90</v>
      </c>
      <c r="F67" s="8"/>
      <c r="G67" s="8"/>
      <c r="H67" s="8"/>
      <c r="I67" s="8"/>
      <c r="J67" s="8"/>
      <c r="K67" s="8"/>
      <c r="L67" s="8"/>
      <c r="M67" s="8"/>
      <c r="N67" s="8"/>
    </row>
    <row r="68" customFormat="false" ht="15.75" hidden="false" customHeight="true" outlineLevel="0" collapsed="false">
      <c r="B68" s="6" t="s">
        <v>91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customFormat="false" ht="15" hidden="false" customHeight="true" outlineLevel="0" collapsed="false">
      <c r="B69" s="9" t="s">
        <v>92</v>
      </c>
      <c r="C69" s="9"/>
      <c r="D69" s="9"/>
      <c r="E69" s="10" t="s">
        <v>93</v>
      </c>
      <c r="F69" s="10"/>
      <c r="G69" s="10"/>
      <c r="H69" s="10"/>
      <c r="I69" s="10"/>
      <c r="J69" s="10"/>
      <c r="K69" s="10"/>
      <c r="L69" s="10"/>
      <c r="M69" s="10"/>
      <c r="N69" s="10"/>
    </row>
    <row r="70" customFormat="false" ht="15" hidden="false" customHeight="true" outlineLevel="0" collapsed="false">
      <c r="B70" s="7" t="s">
        <v>94</v>
      </c>
      <c r="C70" s="7"/>
      <c r="D70" s="7"/>
      <c r="E70" s="8" t="s">
        <v>95</v>
      </c>
      <c r="F70" s="8"/>
      <c r="G70" s="8"/>
      <c r="H70" s="8"/>
      <c r="I70" s="8"/>
      <c r="J70" s="8"/>
      <c r="K70" s="8"/>
      <c r="L70" s="8"/>
      <c r="M70" s="8"/>
      <c r="N70" s="8"/>
    </row>
    <row r="71" customFormat="false" ht="15" hidden="false" customHeight="true" outlineLevel="0" collapsed="false">
      <c r="B71" s="9" t="s">
        <v>96</v>
      </c>
      <c r="C71" s="9"/>
      <c r="D71" s="9"/>
      <c r="E71" s="10" t="s">
        <v>97</v>
      </c>
      <c r="F71" s="10"/>
      <c r="G71" s="10"/>
      <c r="H71" s="10"/>
      <c r="I71" s="10"/>
      <c r="J71" s="10"/>
      <c r="K71" s="10"/>
      <c r="L71" s="10"/>
      <c r="M71" s="10"/>
      <c r="N71" s="10"/>
    </row>
    <row r="72" customFormat="false" ht="15" hidden="false" customHeight="true" outlineLevel="0" collapsed="false">
      <c r="B72" s="7" t="s">
        <v>98</v>
      </c>
      <c r="C72" s="7"/>
      <c r="D72" s="7"/>
      <c r="E72" s="8" t="s">
        <v>99</v>
      </c>
      <c r="F72" s="8"/>
      <c r="G72" s="8"/>
      <c r="H72" s="8"/>
      <c r="I72" s="8"/>
      <c r="J72" s="8"/>
      <c r="K72" s="8"/>
      <c r="L72" s="8"/>
      <c r="M72" s="8"/>
      <c r="N72" s="8"/>
    </row>
    <row r="73" customFormat="false" ht="15.75" hidden="false" customHeight="true" outlineLevel="0" collapsed="false">
      <c r="B73" s="6" t="s">
        <v>100</v>
      </c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customFormat="false" ht="15" hidden="false" customHeight="true" outlineLevel="0" collapsed="false">
      <c r="B74" s="9" t="s">
        <v>101</v>
      </c>
      <c r="C74" s="9"/>
      <c r="D74" s="9"/>
      <c r="E74" s="10" t="s">
        <v>102</v>
      </c>
      <c r="F74" s="10"/>
      <c r="G74" s="10"/>
      <c r="H74" s="10"/>
      <c r="I74" s="10"/>
      <c r="J74" s="10"/>
      <c r="K74" s="10"/>
      <c r="L74" s="10"/>
      <c r="M74" s="10"/>
      <c r="N74" s="10"/>
    </row>
    <row r="75" customFormat="false" ht="15" hidden="false" customHeight="true" outlineLevel="0" collapsed="false">
      <c r="B75" s="7" t="s">
        <v>103</v>
      </c>
      <c r="C75" s="7"/>
      <c r="D75" s="7"/>
      <c r="E75" s="8" t="s">
        <v>104</v>
      </c>
      <c r="F75" s="8"/>
      <c r="G75" s="8"/>
      <c r="H75" s="8"/>
      <c r="I75" s="8"/>
      <c r="J75" s="8"/>
      <c r="K75" s="8"/>
      <c r="L75" s="8"/>
      <c r="M75" s="8"/>
      <c r="N75" s="8"/>
    </row>
    <row r="76" customFormat="false" ht="15" hidden="false" customHeight="true" outlineLevel="0" collapsed="false">
      <c r="B76" s="9" t="s">
        <v>105</v>
      </c>
      <c r="C76" s="9"/>
      <c r="D76" s="9"/>
      <c r="E76" s="10" t="s">
        <v>106</v>
      </c>
      <c r="F76" s="10"/>
      <c r="G76" s="10"/>
      <c r="H76" s="10"/>
      <c r="I76" s="10"/>
      <c r="J76" s="10"/>
      <c r="K76" s="10"/>
      <c r="L76" s="10"/>
      <c r="M76" s="10"/>
      <c r="N76" s="10"/>
    </row>
    <row r="77" customFormat="false" ht="15" hidden="false" customHeight="true" outlineLevel="0" collapsed="false">
      <c r="B77" s="7" t="s">
        <v>107</v>
      </c>
      <c r="C77" s="7"/>
      <c r="D77" s="7"/>
      <c r="E77" s="8" t="s">
        <v>108</v>
      </c>
      <c r="F77" s="8"/>
      <c r="G77" s="8"/>
      <c r="H77" s="8"/>
      <c r="I77" s="8"/>
      <c r="J77" s="8"/>
      <c r="K77" s="8"/>
      <c r="L77" s="8"/>
      <c r="M77" s="8"/>
      <c r="N77" s="8"/>
    </row>
    <row r="78" customFormat="false" ht="15" hidden="false" customHeight="true" outlineLevel="0" collapsed="false">
      <c r="B78" s="9" t="s">
        <v>109</v>
      </c>
      <c r="C78" s="9"/>
      <c r="D78" s="9"/>
      <c r="E78" s="10" t="s">
        <v>110</v>
      </c>
      <c r="F78" s="10"/>
      <c r="G78" s="10"/>
      <c r="H78" s="10"/>
      <c r="I78" s="10"/>
      <c r="J78" s="10"/>
      <c r="K78" s="10"/>
      <c r="L78" s="10"/>
      <c r="M78" s="10"/>
      <c r="N78" s="10"/>
    </row>
    <row r="79" customFormat="false" ht="15" hidden="false" customHeight="true" outlineLevel="0" collapsed="false">
      <c r="B79" s="7" t="s">
        <v>111</v>
      </c>
      <c r="C79" s="7"/>
      <c r="D79" s="7"/>
      <c r="E79" s="8" t="s">
        <v>112</v>
      </c>
      <c r="F79" s="8"/>
      <c r="G79" s="8"/>
      <c r="H79" s="8"/>
      <c r="I79" s="8"/>
      <c r="J79" s="8"/>
      <c r="K79" s="8"/>
      <c r="L79" s="8"/>
      <c r="M79" s="8"/>
      <c r="N79" s="8"/>
    </row>
    <row r="80" customFormat="false" ht="15" hidden="false" customHeight="true" outlineLevel="0" collapsed="false">
      <c r="B80" s="9" t="s">
        <v>113</v>
      </c>
      <c r="C80" s="9"/>
      <c r="D80" s="9"/>
      <c r="E80" s="10" t="s">
        <v>114</v>
      </c>
      <c r="F80" s="10"/>
      <c r="G80" s="10"/>
      <c r="H80" s="10"/>
      <c r="I80" s="10"/>
      <c r="J80" s="10"/>
      <c r="K80" s="10"/>
      <c r="L80" s="10"/>
      <c r="M80" s="10"/>
      <c r="N80" s="10"/>
    </row>
    <row r="81" customFormat="false" ht="15" hidden="false" customHeight="true" outlineLevel="0" collapsed="false">
      <c r="B81" s="7" t="s">
        <v>115</v>
      </c>
      <c r="C81" s="7"/>
      <c r="D81" s="7"/>
      <c r="E81" s="8" t="s">
        <v>116</v>
      </c>
      <c r="F81" s="8"/>
      <c r="G81" s="8"/>
      <c r="H81" s="8"/>
      <c r="I81" s="8"/>
      <c r="J81" s="8"/>
      <c r="K81" s="8"/>
      <c r="L81" s="8"/>
      <c r="M81" s="8"/>
      <c r="N81" s="8"/>
    </row>
    <row r="82" customFormat="false" ht="15.75" hidden="false" customHeight="true" outlineLevel="0" collapsed="false">
      <c r="B82" s="6" t="s">
        <v>117</v>
      </c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customFormat="false" ht="15" hidden="false" customHeight="true" outlineLevel="0" collapsed="false">
      <c r="B83" s="9" t="s">
        <v>118</v>
      </c>
      <c r="C83" s="9"/>
      <c r="D83" s="9"/>
      <c r="E83" s="10" t="s">
        <v>119</v>
      </c>
      <c r="F83" s="10"/>
      <c r="G83" s="10"/>
      <c r="H83" s="10"/>
      <c r="I83" s="10"/>
      <c r="J83" s="10"/>
      <c r="K83" s="10"/>
      <c r="L83" s="10"/>
      <c r="M83" s="10"/>
      <c r="N83" s="10"/>
    </row>
    <row r="84" customFormat="false" ht="15" hidden="false" customHeight="true" outlineLevel="0" collapsed="false">
      <c r="B84" s="7" t="s">
        <v>120</v>
      </c>
      <c r="C84" s="7"/>
      <c r="D84" s="7"/>
      <c r="E84" s="8" t="s">
        <v>121</v>
      </c>
      <c r="F84" s="8"/>
      <c r="G84" s="8"/>
      <c r="H84" s="8"/>
      <c r="I84" s="8"/>
      <c r="J84" s="8"/>
      <c r="K84" s="8"/>
      <c r="L84" s="8"/>
      <c r="M84" s="8"/>
      <c r="N84" s="8"/>
    </row>
    <row r="85" customFormat="false" ht="15" hidden="false" customHeight="true" outlineLevel="0" collapsed="false">
      <c r="B85" s="9" t="s">
        <v>122</v>
      </c>
      <c r="C85" s="9"/>
      <c r="D85" s="9"/>
      <c r="E85" s="10" t="s">
        <v>123</v>
      </c>
      <c r="F85" s="10"/>
      <c r="G85" s="10"/>
      <c r="H85" s="10"/>
      <c r="I85" s="10"/>
      <c r="J85" s="10"/>
      <c r="K85" s="10"/>
      <c r="L85" s="10"/>
      <c r="M85" s="10"/>
      <c r="N85" s="10"/>
    </row>
    <row r="86" customFormat="false" ht="15" hidden="false" customHeight="true" outlineLevel="0" collapsed="false">
      <c r="B86" s="7" t="s">
        <v>124</v>
      </c>
      <c r="C86" s="7"/>
      <c r="D86" s="7"/>
      <c r="E86" s="8" t="s">
        <v>125</v>
      </c>
      <c r="F86" s="8"/>
      <c r="G86" s="8"/>
      <c r="H86" s="8"/>
      <c r="I86" s="8"/>
      <c r="J86" s="8"/>
      <c r="K86" s="8"/>
      <c r="L86" s="8"/>
      <c r="M86" s="8"/>
      <c r="N86" s="8"/>
    </row>
    <row r="88" customFormat="false" ht="18" hidden="false" customHeight="true" outlineLevel="0" collapsed="false">
      <c r="B88" s="4" t="s">
        <v>126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customFormat="false" ht="12.75" hidden="false" customHeight="true" outlineLevel="0" collapsed="false">
      <c r="B89" s="11" t="s">
        <v>127</v>
      </c>
      <c r="C89" s="11"/>
      <c r="D89" s="11" t="s">
        <v>128</v>
      </c>
      <c r="E89" s="11"/>
      <c r="F89" s="11" t="s">
        <v>129</v>
      </c>
      <c r="G89" s="11"/>
      <c r="H89" s="12" t="s">
        <v>130</v>
      </c>
      <c r="I89" s="12"/>
      <c r="J89" s="12" t="s">
        <v>131</v>
      </c>
      <c r="K89" s="12"/>
      <c r="L89" s="12" t="s">
        <v>132</v>
      </c>
      <c r="M89" s="12"/>
    </row>
    <row r="90" customFormat="false" ht="25.5" hidden="false" customHeight="true" outlineLevel="0" collapsed="false">
      <c r="B90" s="13" t="n">
        <v>6220</v>
      </c>
      <c r="C90" s="13"/>
      <c r="D90" s="13" t="n">
        <v>6385</v>
      </c>
      <c r="E90" s="13"/>
      <c r="F90" s="13" t="n">
        <v>13325</v>
      </c>
      <c r="G90" s="13"/>
      <c r="H90" s="14" t="n">
        <v>988</v>
      </c>
      <c r="I90" s="14"/>
      <c r="J90" s="13" t="n">
        <v>971.3</v>
      </c>
      <c r="K90" s="13"/>
      <c r="L90" s="15" t="s">
        <v>133</v>
      </c>
      <c r="M90" s="15"/>
    </row>
    <row r="91" customFormat="false" ht="15" hidden="false" customHeight="true" outlineLevel="0" collapsed="false">
      <c r="B91" s="16" t="s">
        <v>134</v>
      </c>
      <c r="C91" s="16"/>
      <c r="D91" s="17" t="s">
        <v>135</v>
      </c>
      <c r="E91" s="17"/>
      <c r="F91" s="17" t="s">
        <v>136</v>
      </c>
      <c r="G91" s="17"/>
      <c r="H91" s="18" t="s">
        <v>137</v>
      </c>
      <c r="I91" s="18"/>
      <c r="J91" s="18" t="s">
        <v>138</v>
      </c>
      <c r="K91" s="18"/>
      <c r="L91" s="18" t="s">
        <v>139</v>
      </c>
      <c r="M91" s="18"/>
    </row>
    <row r="93" customFormat="false" ht="18" hidden="false" customHeight="true" outlineLevel="0" collapsed="false">
      <c r="B93" s="4" t="s">
        <v>140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customFormat="false" ht="15" hidden="false" customHeight="false" outlineLevel="0" collapsed="false">
      <c r="B94" s="19" t="s">
        <v>141</v>
      </c>
      <c r="C94" s="19"/>
      <c r="D94" s="19"/>
      <c r="F94" s="20" t="s">
        <v>142</v>
      </c>
      <c r="G94" s="20"/>
      <c r="H94" s="20"/>
      <c r="I94" s="20"/>
      <c r="K94" s="21" t="s">
        <v>143</v>
      </c>
      <c r="L94" s="21"/>
      <c r="M94" s="21"/>
      <c r="N94" s="21"/>
    </row>
    <row r="95" customFormat="false" ht="15" hidden="false" customHeight="false" outlineLevel="0" collapsed="false">
      <c r="B95" s="22" t="s">
        <v>144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</row>
    <row r="96" customFormat="false" ht="15" hidden="false" customHeight="false" outlineLevel="0" collapsed="false">
      <c r="B96" s="22" t="s">
        <v>145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</row>
    <row r="97" customFormat="false" ht="15" hidden="false" customHeight="false" outlineLevel="0" collapsed="false">
      <c r="B97" s="22" t="s">
        <v>146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</row>
    <row r="98" customFormat="false" ht="15" hidden="false" customHeight="false" outlineLevel="0" collapsed="false">
      <c r="B98" s="22" t="s">
        <v>147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</row>
    <row r="100" customFormat="false" ht="15" hidden="false" customHeight="false" outlineLevel="0" collapsed="false">
      <c r="B100" s="23" t="s">
        <v>148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</row>
  </sheetData>
  <mergeCells count="154">
    <mergeCell ref="B2:L2"/>
    <mergeCell ref="M2:N2"/>
    <mergeCell ref="B3:N3"/>
    <mergeCell ref="B5:N5"/>
    <mergeCell ref="B6:N6"/>
    <mergeCell ref="B7:N7"/>
    <mergeCell ref="B8:N8"/>
    <mergeCell ref="B9:N9"/>
    <mergeCell ref="B10:N10"/>
    <mergeCell ref="B11:N11"/>
    <mergeCell ref="B13:N13"/>
    <mergeCell ref="B14:N14"/>
    <mergeCell ref="B15:N15"/>
    <mergeCell ref="B16:N16"/>
    <mergeCell ref="B17:N17"/>
    <mergeCell ref="B18:N18"/>
    <mergeCell ref="B19:N19"/>
    <mergeCell ref="B20:N20"/>
    <mergeCell ref="B21:N21"/>
    <mergeCell ref="B23:N23"/>
    <mergeCell ref="B24:N24"/>
    <mergeCell ref="B25:N25"/>
    <mergeCell ref="B26:N26"/>
    <mergeCell ref="B27:N27"/>
    <mergeCell ref="B28:N28"/>
    <mergeCell ref="B29:N29"/>
    <mergeCell ref="B30:N30"/>
    <mergeCell ref="B31:N31"/>
    <mergeCell ref="B33:N33"/>
    <mergeCell ref="B34:D34"/>
    <mergeCell ref="E34:N34"/>
    <mergeCell ref="B35:N35"/>
    <mergeCell ref="B36:D36"/>
    <mergeCell ref="E36:N36"/>
    <mergeCell ref="B37:D37"/>
    <mergeCell ref="E37:N37"/>
    <mergeCell ref="B38:N38"/>
    <mergeCell ref="B39:D39"/>
    <mergeCell ref="E39:N39"/>
    <mergeCell ref="B40:N40"/>
    <mergeCell ref="B41:D41"/>
    <mergeCell ref="E41:N41"/>
    <mergeCell ref="B42:D42"/>
    <mergeCell ref="E42:N42"/>
    <mergeCell ref="B43:D43"/>
    <mergeCell ref="E43:N43"/>
    <mergeCell ref="B44:D44"/>
    <mergeCell ref="E44:N44"/>
    <mergeCell ref="B45:N45"/>
    <mergeCell ref="B46:D46"/>
    <mergeCell ref="E46:N46"/>
    <mergeCell ref="B47:D47"/>
    <mergeCell ref="E47:N47"/>
    <mergeCell ref="B48:D48"/>
    <mergeCell ref="E48:N48"/>
    <mergeCell ref="B49:D49"/>
    <mergeCell ref="E49:N49"/>
    <mergeCell ref="B50:N50"/>
    <mergeCell ref="B51:D51"/>
    <mergeCell ref="E51:N51"/>
    <mergeCell ref="B52:D52"/>
    <mergeCell ref="E52:N52"/>
    <mergeCell ref="B53:D53"/>
    <mergeCell ref="E53:N53"/>
    <mergeCell ref="B54:D54"/>
    <mergeCell ref="E54:N54"/>
    <mergeCell ref="B55:D55"/>
    <mergeCell ref="E55:N55"/>
    <mergeCell ref="B56:D56"/>
    <mergeCell ref="E56:N56"/>
    <mergeCell ref="B57:N57"/>
    <mergeCell ref="B58:D58"/>
    <mergeCell ref="E58:N58"/>
    <mergeCell ref="B59:D59"/>
    <mergeCell ref="E59:N59"/>
    <mergeCell ref="B60:D60"/>
    <mergeCell ref="E60:N60"/>
    <mergeCell ref="B61:D61"/>
    <mergeCell ref="E61:N61"/>
    <mergeCell ref="B62:D62"/>
    <mergeCell ref="E62:N62"/>
    <mergeCell ref="B63:D63"/>
    <mergeCell ref="E63:N63"/>
    <mergeCell ref="B64:D64"/>
    <mergeCell ref="E64:N64"/>
    <mergeCell ref="B65:D65"/>
    <mergeCell ref="E65:N65"/>
    <mergeCell ref="B66:D66"/>
    <mergeCell ref="E66:N66"/>
    <mergeCell ref="B67:D67"/>
    <mergeCell ref="E67:N67"/>
    <mergeCell ref="B68:N68"/>
    <mergeCell ref="B69:D69"/>
    <mergeCell ref="E69:N69"/>
    <mergeCell ref="B70:D70"/>
    <mergeCell ref="E70:N70"/>
    <mergeCell ref="B71:D71"/>
    <mergeCell ref="E71:N71"/>
    <mergeCell ref="B72:D72"/>
    <mergeCell ref="E72:N72"/>
    <mergeCell ref="B73:N73"/>
    <mergeCell ref="B74:D74"/>
    <mergeCell ref="E74:N74"/>
    <mergeCell ref="B75:D75"/>
    <mergeCell ref="E75:N75"/>
    <mergeCell ref="B76:D76"/>
    <mergeCell ref="E76:N76"/>
    <mergeCell ref="B77:D77"/>
    <mergeCell ref="E77:N77"/>
    <mergeCell ref="B78:D78"/>
    <mergeCell ref="E78:N78"/>
    <mergeCell ref="B79:D79"/>
    <mergeCell ref="E79:N79"/>
    <mergeCell ref="B80:D80"/>
    <mergeCell ref="E80:N80"/>
    <mergeCell ref="B81:D81"/>
    <mergeCell ref="E81:N81"/>
    <mergeCell ref="B82:N82"/>
    <mergeCell ref="B83:D83"/>
    <mergeCell ref="E83:N83"/>
    <mergeCell ref="B84:D84"/>
    <mergeCell ref="E84:N84"/>
    <mergeCell ref="B85:D85"/>
    <mergeCell ref="E85:N85"/>
    <mergeCell ref="B86:D86"/>
    <mergeCell ref="E86:N86"/>
    <mergeCell ref="B88:N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N93"/>
    <mergeCell ref="B94:D94"/>
    <mergeCell ref="F94:I94"/>
    <mergeCell ref="K94:N94"/>
    <mergeCell ref="B95:N95"/>
    <mergeCell ref="B96:N96"/>
    <mergeCell ref="B97:N97"/>
    <mergeCell ref="B98:N98"/>
    <mergeCell ref="B100:N100"/>
  </mergeCells>
  <hyperlinks>
    <hyperlink ref="M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K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17"/>
    <col collapsed="false" customWidth="true" hidden="false" outlineLevel="0" max="5" min="5" style="0" width="26"/>
    <col collapsed="false" customWidth="true" hidden="false" outlineLevel="0" max="6" min="6" style="0" width="42"/>
    <col collapsed="false" customWidth="true" hidden="false" outlineLevel="0" max="7" min="7" style="0" width="33"/>
    <col collapsed="false" customWidth="true" hidden="false" outlineLevel="0" max="8" min="8" style="0" width="15"/>
    <col collapsed="false" customWidth="true" hidden="false" outlineLevel="0" max="9" min="9" style="0" width="29"/>
    <col collapsed="false" customWidth="true" hidden="false" outlineLevel="0" max="10" min="10" style="0" width="9"/>
    <col collapsed="false" customWidth="true" hidden="false" outlineLevel="0" max="11" min="11" style="0" width="26"/>
  </cols>
  <sheetData>
    <row r="2" customFormat="false" ht="27.75" hidden="false" customHeight="true" outlineLevel="0" collapsed="false">
      <c r="B2" s="24" t="s">
        <v>149</v>
      </c>
      <c r="C2" s="24"/>
      <c r="D2" s="24"/>
      <c r="E2" s="24"/>
      <c r="F2" s="24"/>
      <c r="G2" s="24"/>
      <c r="H2" s="24"/>
      <c r="I2" s="24"/>
      <c r="J2" s="24"/>
      <c r="K2" s="24"/>
    </row>
    <row r="3" customFormat="false" ht="15" hidden="false" customHeight="true" outlineLevel="0" collapsed="false">
      <c r="B3" s="3" t="s">
        <v>150</v>
      </c>
      <c r="C3" s="3"/>
      <c r="D3" s="3"/>
      <c r="E3" s="3"/>
      <c r="F3" s="3"/>
      <c r="G3" s="3"/>
      <c r="H3" s="3"/>
      <c r="I3" s="3"/>
      <c r="J3" s="3"/>
      <c r="K3" s="3"/>
    </row>
    <row r="5" customFormat="false" ht="24" hidden="false" customHeight="true" outlineLevel="0" collapsed="false">
      <c r="B5" s="25" t="s">
        <v>151</v>
      </c>
      <c r="C5" s="25" t="s">
        <v>152</v>
      </c>
      <c r="D5" s="25" t="s">
        <v>153</v>
      </c>
      <c r="E5" s="25" t="s">
        <v>154</v>
      </c>
      <c r="F5" s="25" t="s">
        <v>3</v>
      </c>
      <c r="G5" s="25" t="s">
        <v>155</v>
      </c>
      <c r="H5" s="25" t="s">
        <v>156</v>
      </c>
      <c r="I5" s="25" t="s">
        <v>157</v>
      </c>
      <c r="J5" s="25" t="s">
        <v>158</v>
      </c>
      <c r="K5" s="25" t="s">
        <v>159</v>
      </c>
    </row>
    <row r="6" customFormat="false" ht="15.75" hidden="false" customHeight="true" outlineLevel="0" collapsed="false">
      <c r="B6" s="6" t="s">
        <v>160</v>
      </c>
      <c r="C6" s="6"/>
      <c r="D6" s="6"/>
      <c r="E6" s="6"/>
      <c r="F6" s="6"/>
      <c r="G6" s="6"/>
      <c r="H6" s="6"/>
      <c r="I6" s="6"/>
      <c r="J6" s="6"/>
      <c r="K6" s="6"/>
    </row>
    <row r="7" customFormat="false" ht="30" hidden="false" customHeight="true" outlineLevel="0" collapsed="false">
      <c r="B7" s="26" t="s">
        <v>161</v>
      </c>
      <c r="C7" s="27" t="s">
        <v>162</v>
      </c>
      <c r="D7" s="28" t="s">
        <v>31</v>
      </c>
      <c r="E7" s="28" t="s">
        <v>163</v>
      </c>
      <c r="F7" s="28" t="s">
        <v>164</v>
      </c>
      <c r="G7" s="28" t="s">
        <v>165</v>
      </c>
      <c r="H7" s="26" t="s">
        <v>166</v>
      </c>
      <c r="I7" s="28" t="s">
        <v>166</v>
      </c>
      <c r="J7" s="26" t="s">
        <v>167</v>
      </c>
      <c r="K7" s="28" t="s">
        <v>168</v>
      </c>
    </row>
    <row r="8" customFormat="false" ht="15.75" hidden="false" customHeight="true" outlineLevel="0" collapsed="false">
      <c r="B8" s="6" t="s">
        <v>169</v>
      </c>
      <c r="C8" s="6"/>
      <c r="D8" s="6"/>
      <c r="E8" s="6"/>
      <c r="F8" s="6"/>
      <c r="G8" s="6"/>
      <c r="H8" s="6"/>
      <c r="I8" s="6"/>
      <c r="J8" s="6"/>
      <c r="K8" s="6"/>
    </row>
    <row r="9" customFormat="false" ht="42" hidden="false" customHeight="true" outlineLevel="0" collapsed="false">
      <c r="B9" s="29" t="s">
        <v>170</v>
      </c>
      <c r="C9" s="30" t="s">
        <v>171</v>
      </c>
      <c r="D9" s="31" t="s">
        <v>172</v>
      </c>
      <c r="E9" s="31" t="s">
        <v>173</v>
      </c>
      <c r="F9" s="31" t="s">
        <v>174</v>
      </c>
      <c r="G9" s="31" t="s">
        <v>175</v>
      </c>
      <c r="H9" s="29" t="s">
        <v>176</v>
      </c>
      <c r="I9" s="31" t="s">
        <v>177</v>
      </c>
      <c r="J9" s="29" t="s">
        <v>167</v>
      </c>
      <c r="K9" s="31" t="s">
        <v>178</v>
      </c>
    </row>
    <row r="10" customFormat="false" ht="15.75" hidden="false" customHeight="true" outlineLevel="0" collapsed="false">
      <c r="B10" s="6" t="s">
        <v>179</v>
      </c>
      <c r="C10" s="6"/>
      <c r="D10" s="6"/>
      <c r="E10" s="6"/>
      <c r="F10" s="6"/>
      <c r="G10" s="6"/>
      <c r="H10" s="6"/>
      <c r="I10" s="6"/>
      <c r="J10" s="6"/>
      <c r="K10" s="6"/>
    </row>
    <row r="11" customFormat="false" ht="30" hidden="false" customHeight="true" outlineLevel="0" collapsed="false">
      <c r="B11" s="26" t="s">
        <v>180</v>
      </c>
      <c r="C11" s="27" t="s">
        <v>181</v>
      </c>
      <c r="D11" s="28" t="s">
        <v>182</v>
      </c>
      <c r="E11" s="28" t="s">
        <v>183</v>
      </c>
      <c r="F11" s="28" t="s">
        <v>184</v>
      </c>
      <c r="G11" s="28" t="s">
        <v>185</v>
      </c>
      <c r="H11" s="26" t="s">
        <v>186</v>
      </c>
      <c r="I11" s="28" t="s">
        <v>187</v>
      </c>
      <c r="J11" s="26" t="s">
        <v>167</v>
      </c>
      <c r="K11" s="28" t="s">
        <v>188</v>
      </c>
    </row>
    <row r="12" customFormat="false" ht="30" hidden="false" customHeight="true" outlineLevel="0" collapsed="false">
      <c r="B12" s="29" t="s">
        <v>189</v>
      </c>
      <c r="C12" s="30" t="s">
        <v>190</v>
      </c>
      <c r="D12" s="31" t="s">
        <v>182</v>
      </c>
      <c r="E12" s="31" t="s">
        <v>191</v>
      </c>
      <c r="F12" s="31" t="s">
        <v>192</v>
      </c>
      <c r="G12" s="31" t="s">
        <v>193</v>
      </c>
      <c r="H12" s="29" t="s">
        <v>176</v>
      </c>
      <c r="I12" s="31" t="s">
        <v>194</v>
      </c>
      <c r="J12" s="29" t="s">
        <v>167</v>
      </c>
      <c r="K12" s="31" t="s">
        <v>195</v>
      </c>
    </row>
    <row r="13" customFormat="false" ht="42" hidden="false" customHeight="true" outlineLevel="0" collapsed="false">
      <c r="B13" s="26" t="s">
        <v>196</v>
      </c>
      <c r="C13" s="27" t="s">
        <v>197</v>
      </c>
      <c r="D13" s="28" t="s">
        <v>182</v>
      </c>
      <c r="E13" s="28" t="s">
        <v>198</v>
      </c>
      <c r="F13" s="28" t="s">
        <v>199</v>
      </c>
      <c r="G13" s="28" t="s">
        <v>200</v>
      </c>
      <c r="H13" s="26" t="s">
        <v>201</v>
      </c>
      <c r="I13" s="28" t="s">
        <v>202</v>
      </c>
      <c r="J13" s="26" t="s">
        <v>167</v>
      </c>
      <c r="K13" s="28" t="s">
        <v>203</v>
      </c>
    </row>
    <row r="14" customFormat="false" ht="30" hidden="false" customHeight="true" outlineLevel="0" collapsed="false">
      <c r="B14" s="29" t="s">
        <v>204</v>
      </c>
      <c r="C14" s="30" t="s">
        <v>205</v>
      </c>
      <c r="D14" s="31" t="s">
        <v>182</v>
      </c>
      <c r="E14" s="31" t="s">
        <v>206</v>
      </c>
      <c r="F14" s="31" t="s">
        <v>207</v>
      </c>
      <c r="G14" s="31" t="s">
        <v>208</v>
      </c>
      <c r="H14" s="29" t="s">
        <v>176</v>
      </c>
      <c r="I14" s="31" t="s">
        <v>209</v>
      </c>
      <c r="J14" s="29" t="s">
        <v>167</v>
      </c>
      <c r="K14" s="31" t="s">
        <v>210</v>
      </c>
    </row>
    <row r="15" customFormat="false" ht="15.75" hidden="false" customHeight="true" outlineLevel="0" collapsed="false">
      <c r="B15" s="6" t="s">
        <v>211</v>
      </c>
      <c r="C15" s="6"/>
      <c r="D15" s="6"/>
      <c r="E15" s="6"/>
      <c r="F15" s="6"/>
      <c r="G15" s="6"/>
      <c r="H15" s="6"/>
      <c r="I15" s="6"/>
      <c r="J15" s="6"/>
      <c r="K15" s="6"/>
    </row>
    <row r="16" customFormat="false" ht="30" hidden="false" customHeight="true" outlineLevel="0" collapsed="false">
      <c r="B16" s="26" t="s">
        <v>212</v>
      </c>
      <c r="C16" s="27" t="s">
        <v>213</v>
      </c>
      <c r="D16" s="28" t="s">
        <v>214</v>
      </c>
      <c r="E16" s="28" t="s">
        <v>215</v>
      </c>
      <c r="F16" s="28" t="s">
        <v>216</v>
      </c>
      <c r="G16" s="28" t="s">
        <v>217</v>
      </c>
      <c r="H16" s="26" t="s">
        <v>176</v>
      </c>
      <c r="I16" s="28" t="s">
        <v>218</v>
      </c>
      <c r="J16" s="26" t="s">
        <v>167</v>
      </c>
      <c r="K16" s="28" t="s">
        <v>219</v>
      </c>
    </row>
    <row r="17" customFormat="false" ht="42" hidden="false" customHeight="true" outlineLevel="0" collapsed="false">
      <c r="B17" s="29" t="s">
        <v>220</v>
      </c>
      <c r="C17" s="30" t="s">
        <v>221</v>
      </c>
      <c r="D17" s="31" t="s">
        <v>214</v>
      </c>
      <c r="E17" s="31" t="s">
        <v>222</v>
      </c>
      <c r="F17" s="31" t="s">
        <v>223</v>
      </c>
      <c r="G17" s="31" t="s">
        <v>224</v>
      </c>
      <c r="H17" s="29" t="s">
        <v>176</v>
      </c>
      <c r="I17" s="31" t="s">
        <v>225</v>
      </c>
      <c r="J17" s="29" t="s">
        <v>167</v>
      </c>
      <c r="K17" s="31" t="s">
        <v>226</v>
      </c>
    </row>
    <row r="18" customFormat="false" ht="30" hidden="false" customHeight="true" outlineLevel="0" collapsed="false">
      <c r="B18" s="26" t="s">
        <v>227</v>
      </c>
      <c r="C18" s="27" t="s">
        <v>228</v>
      </c>
      <c r="D18" s="28" t="s">
        <v>214</v>
      </c>
      <c r="E18" s="28" t="s">
        <v>229</v>
      </c>
      <c r="F18" s="28" t="s">
        <v>230</v>
      </c>
      <c r="G18" s="28" t="s">
        <v>231</v>
      </c>
      <c r="H18" s="26" t="s">
        <v>232</v>
      </c>
      <c r="I18" s="28" t="s">
        <v>233</v>
      </c>
      <c r="J18" s="26" t="s">
        <v>167</v>
      </c>
      <c r="K18" s="28" t="s">
        <v>210</v>
      </c>
    </row>
    <row r="19" customFormat="false" ht="30" hidden="false" customHeight="true" outlineLevel="0" collapsed="false">
      <c r="B19" s="29" t="s">
        <v>234</v>
      </c>
      <c r="C19" s="30" t="s">
        <v>235</v>
      </c>
      <c r="D19" s="31" t="s">
        <v>214</v>
      </c>
      <c r="E19" s="31" t="s">
        <v>236</v>
      </c>
      <c r="F19" s="31" t="s">
        <v>237</v>
      </c>
      <c r="G19" s="31" t="s">
        <v>238</v>
      </c>
      <c r="H19" s="29" t="s">
        <v>232</v>
      </c>
      <c r="I19" s="31" t="s">
        <v>239</v>
      </c>
      <c r="J19" s="29" t="s">
        <v>167</v>
      </c>
      <c r="K19" s="31" t="s">
        <v>210</v>
      </c>
    </row>
    <row r="20" customFormat="false" ht="15.75" hidden="false" customHeight="true" outlineLevel="0" collapsed="false">
      <c r="B20" s="6" t="s">
        <v>240</v>
      </c>
      <c r="C20" s="6"/>
      <c r="D20" s="6"/>
      <c r="E20" s="6"/>
      <c r="F20" s="6"/>
      <c r="G20" s="6"/>
      <c r="H20" s="6"/>
      <c r="I20" s="6"/>
      <c r="J20" s="6"/>
      <c r="K20" s="6"/>
    </row>
    <row r="21" customFormat="false" ht="17.25" hidden="false" customHeight="true" outlineLevel="0" collapsed="false">
      <c r="B21" s="26" t="s">
        <v>241</v>
      </c>
      <c r="C21" s="27" t="s">
        <v>242</v>
      </c>
      <c r="D21" s="28" t="s">
        <v>243</v>
      </c>
      <c r="E21" s="28" t="s">
        <v>166</v>
      </c>
      <c r="F21" s="28" t="s">
        <v>244</v>
      </c>
      <c r="G21" s="28" t="s">
        <v>166</v>
      </c>
      <c r="H21" s="26" t="s">
        <v>166</v>
      </c>
      <c r="I21" s="28" t="s">
        <v>166</v>
      </c>
      <c r="J21" s="26" t="s">
        <v>166</v>
      </c>
      <c r="K21" s="28" t="s">
        <v>243</v>
      </c>
    </row>
    <row r="22" customFormat="false" ht="30" hidden="false" customHeight="true" outlineLevel="0" collapsed="false">
      <c r="B22" s="29" t="s">
        <v>245</v>
      </c>
      <c r="C22" s="30" t="s">
        <v>246</v>
      </c>
      <c r="D22" s="31" t="s">
        <v>243</v>
      </c>
      <c r="E22" s="31" t="s">
        <v>166</v>
      </c>
      <c r="F22" s="31" t="s">
        <v>247</v>
      </c>
      <c r="G22" s="31" t="s">
        <v>166</v>
      </c>
      <c r="H22" s="29" t="s">
        <v>166</v>
      </c>
      <c r="I22" s="31" t="s">
        <v>166</v>
      </c>
      <c r="J22" s="29" t="s">
        <v>166</v>
      </c>
      <c r="K22" s="31" t="s">
        <v>243</v>
      </c>
    </row>
    <row r="23" customFormat="false" ht="17.25" hidden="false" customHeight="true" outlineLevel="0" collapsed="false">
      <c r="B23" s="26" t="s">
        <v>248</v>
      </c>
      <c r="C23" s="27" t="s">
        <v>249</v>
      </c>
      <c r="D23" s="28" t="s">
        <v>243</v>
      </c>
      <c r="E23" s="28" t="s">
        <v>166</v>
      </c>
      <c r="F23" s="28" t="s">
        <v>250</v>
      </c>
      <c r="G23" s="28" t="s">
        <v>166</v>
      </c>
      <c r="H23" s="26" t="s">
        <v>166</v>
      </c>
      <c r="I23" s="28" t="s">
        <v>166</v>
      </c>
      <c r="J23" s="26" t="s">
        <v>166</v>
      </c>
      <c r="K23" s="28" t="s">
        <v>243</v>
      </c>
    </row>
    <row r="24" customFormat="false" ht="17.25" hidden="false" customHeight="true" outlineLevel="0" collapsed="false">
      <c r="B24" s="29" t="s">
        <v>251</v>
      </c>
      <c r="C24" s="30" t="s">
        <v>252</v>
      </c>
      <c r="D24" s="31" t="s">
        <v>243</v>
      </c>
      <c r="E24" s="31" t="s">
        <v>166</v>
      </c>
      <c r="F24" s="31" t="s">
        <v>253</v>
      </c>
      <c r="G24" s="31" t="s">
        <v>166</v>
      </c>
      <c r="H24" s="29" t="s">
        <v>166</v>
      </c>
      <c r="I24" s="31" t="s">
        <v>166</v>
      </c>
      <c r="J24" s="29" t="s">
        <v>166</v>
      </c>
      <c r="K24" s="31" t="s">
        <v>243</v>
      </c>
    </row>
    <row r="25" customFormat="false" ht="17.25" hidden="false" customHeight="true" outlineLevel="0" collapsed="false">
      <c r="B25" s="26" t="s">
        <v>254</v>
      </c>
      <c r="C25" s="27" t="s">
        <v>255</v>
      </c>
      <c r="D25" s="28" t="s">
        <v>243</v>
      </c>
      <c r="E25" s="28" t="s">
        <v>166</v>
      </c>
      <c r="F25" s="28" t="s">
        <v>256</v>
      </c>
      <c r="G25" s="28" t="s">
        <v>166</v>
      </c>
      <c r="H25" s="26" t="s">
        <v>166</v>
      </c>
      <c r="I25" s="28" t="s">
        <v>166</v>
      </c>
      <c r="J25" s="26" t="s">
        <v>166</v>
      </c>
      <c r="K25" s="28" t="s">
        <v>243</v>
      </c>
    </row>
    <row r="26" customFormat="false" ht="17.25" hidden="false" customHeight="true" outlineLevel="0" collapsed="false">
      <c r="B26" s="29" t="s">
        <v>257</v>
      </c>
      <c r="C26" s="30" t="s">
        <v>258</v>
      </c>
      <c r="D26" s="31" t="s">
        <v>243</v>
      </c>
      <c r="E26" s="31" t="s">
        <v>166</v>
      </c>
      <c r="F26" s="31" t="s">
        <v>259</v>
      </c>
      <c r="G26" s="31" t="s">
        <v>166</v>
      </c>
      <c r="H26" s="29" t="s">
        <v>166</v>
      </c>
      <c r="I26" s="31" t="s">
        <v>166</v>
      </c>
      <c r="J26" s="29" t="s">
        <v>166</v>
      </c>
      <c r="K26" s="31" t="s">
        <v>243</v>
      </c>
    </row>
    <row r="27" customFormat="false" ht="15.75" hidden="false" customHeight="true" outlineLevel="0" collapsed="false">
      <c r="B27" s="6" t="s">
        <v>260</v>
      </c>
      <c r="C27" s="6"/>
      <c r="D27" s="6"/>
      <c r="E27" s="6"/>
      <c r="F27" s="6"/>
      <c r="G27" s="6"/>
      <c r="H27" s="6"/>
      <c r="I27" s="6"/>
      <c r="J27" s="6"/>
      <c r="K27" s="6"/>
    </row>
    <row r="28" customFormat="false" ht="30" hidden="false" customHeight="true" outlineLevel="0" collapsed="false">
      <c r="B28" s="26" t="s">
        <v>261</v>
      </c>
      <c r="C28" s="27" t="s">
        <v>262</v>
      </c>
      <c r="D28" s="28" t="s">
        <v>263</v>
      </c>
      <c r="E28" s="28" t="s">
        <v>166</v>
      </c>
      <c r="F28" s="28" t="s">
        <v>264</v>
      </c>
      <c r="G28" s="28" t="s">
        <v>166</v>
      </c>
      <c r="H28" s="26" t="s">
        <v>166</v>
      </c>
      <c r="I28" s="28" t="s">
        <v>166</v>
      </c>
      <c r="J28" s="26" t="s">
        <v>166</v>
      </c>
      <c r="K28" s="28" t="s">
        <v>265</v>
      </c>
    </row>
    <row r="29" customFormat="false" ht="30" hidden="false" customHeight="true" outlineLevel="0" collapsed="false">
      <c r="B29" s="29" t="s">
        <v>266</v>
      </c>
      <c r="C29" s="30" t="s">
        <v>267</v>
      </c>
      <c r="D29" s="31" t="s">
        <v>263</v>
      </c>
      <c r="E29" s="31" t="s">
        <v>166</v>
      </c>
      <c r="F29" s="31" t="s">
        <v>268</v>
      </c>
      <c r="G29" s="31" t="s">
        <v>166</v>
      </c>
      <c r="H29" s="29" t="s">
        <v>166</v>
      </c>
      <c r="I29" s="31" t="s">
        <v>166</v>
      </c>
      <c r="J29" s="29" t="s">
        <v>166</v>
      </c>
      <c r="K29" s="31" t="s">
        <v>265</v>
      </c>
    </row>
    <row r="30" customFormat="false" ht="30" hidden="false" customHeight="true" outlineLevel="0" collapsed="false">
      <c r="B30" s="26" t="s">
        <v>269</v>
      </c>
      <c r="C30" s="27" t="s">
        <v>270</v>
      </c>
      <c r="D30" s="28" t="s">
        <v>263</v>
      </c>
      <c r="E30" s="28" t="s">
        <v>166</v>
      </c>
      <c r="F30" s="28" t="s">
        <v>268</v>
      </c>
      <c r="G30" s="28" t="s">
        <v>166</v>
      </c>
      <c r="H30" s="26" t="s">
        <v>166</v>
      </c>
      <c r="I30" s="28" t="s">
        <v>166</v>
      </c>
      <c r="J30" s="26" t="s">
        <v>166</v>
      </c>
      <c r="K30" s="28" t="s">
        <v>265</v>
      </c>
    </row>
    <row r="31" customFormat="false" ht="30" hidden="false" customHeight="true" outlineLevel="0" collapsed="false">
      <c r="B31" s="29" t="s">
        <v>271</v>
      </c>
      <c r="C31" s="30" t="s">
        <v>272</v>
      </c>
      <c r="D31" s="31" t="s">
        <v>263</v>
      </c>
      <c r="E31" s="31" t="s">
        <v>166</v>
      </c>
      <c r="F31" s="31" t="s">
        <v>268</v>
      </c>
      <c r="G31" s="31" t="s">
        <v>166</v>
      </c>
      <c r="H31" s="29" t="s">
        <v>166</v>
      </c>
      <c r="I31" s="31" t="s">
        <v>166</v>
      </c>
      <c r="J31" s="29" t="s">
        <v>166</v>
      </c>
      <c r="K31" s="31" t="s">
        <v>265</v>
      </c>
    </row>
    <row r="32" customFormat="false" ht="30" hidden="false" customHeight="true" outlineLevel="0" collapsed="false">
      <c r="B32" s="26" t="s">
        <v>273</v>
      </c>
      <c r="C32" s="27" t="s">
        <v>274</v>
      </c>
      <c r="D32" s="28" t="s">
        <v>263</v>
      </c>
      <c r="E32" s="28" t="s">
        <v>166</v>
      </c>
      <c r="F32" s="28" t="s">
        <v>268</v>
      </c>
      <c r="G32" s="28" t="s">
        <v>166</v>
      </c>
      <c r="H32" s="26" t="s">
        <v>166</v>
      </c>
      <c r="I32" s="28" t="s">
        <v>166</v>
      </c>
      <c r="J32" s="26" t="s">
        <v>166</v>
      </c>
      <c r="K32" s="28" t="s">
        <v>265</v>
      </c>
    </row>
    <row r="33" customFormat="false" ht="30" hidden="false" customHeight="true" outlineLevel="0" collapsed="false">
      <c r="B33" s="29" t="s">
        <v>275</v>
      </c>
      <c r="C33" s="30" t="s">
        <v>276</v>
      </c>
      <c r="D33" s="31" t="s">
        <v>263</v>
      </c>
      <c r="E33" s="31" t="s">
        <v>166</v>
      </c>
      <c r="F33" s="31" t="s">
        <v>268</v>
      </c>
      <c r="G33" s="31" t="s">
        <v>166</v>
      </c>
      <c r="H33" s="29" t="s">
        <v>166</v>
      </c>
      <c r="I33" s="31" t="s">
        <v>166</v>
      </c>
      <c r="J33" s="29" t="s">
        <v>166</v>
      </c>
      <c r="K33" s="31" t="s">
        <v>265</v>
      </c>
    </row>
    <row r="34" customFormat="false" ht="30" hidden="false" customHeight="true" outlineLevel="0" collapsed="false">
      <c r="B34" s="26" t="s">
        <v>277</v>
      </c>
      <c r="C34" s="27" t="s">
        <v>278</v>
      </c>
      <c r="D34" s="28" t="s">
        <v>263</v>
      </c>
      <c r="E34" s="28" t="s">
        <v>166</v>
      </c>
      <c r="F34" s="28" t="s">
        <v>268</v>
      </c>
      <c r="G34" s="28" t="s">
        <v>166</v>
      </c>
      <c r="H34" s="26" t="s">
        <v>166</v>
      </c>
      <c r="I34" s="28" t="s">
        <v>166</v>
      </c>
      <c r="J34" s="26" t="s">
        <v>166</v>
      </c>
      <c r="K34" s="28" t="s">
        <v>265</v>
      </c>
    </row>
    <row r="35" customFormat="false" ht="30" hidden="false" customHeight="true" outlineLevel="0" collapsed="false">
      <c r="B35" s="29" t="s">
        <v>279</v>
      </c>
      <c r="C35" s="30" t="s">
        <v>280</v>
      </c>
      <c r="D35" s="31" t="s">
        <v>263</v>
      </c>
      <c r="E35" s="31" t="s">
        <v>166</v>
      </c>
      <c r="F35" s="31" t="s">
        <v>268</v>
      </c>
      <c r="G35" s="31" t="s">
        <v>166</v>
      </c>
      <c r="H35" s="29" t="s">
        <v>166</v>
      </c>
      <c r="I35" s="31" t="s">
        <v>166</v>
      </c>
      <c r="J35" s="29" t="s">
        <v>166</v>
      </c>
      <c r="K35" s="31" t="s">
        <v>265</v>
      </c>
    </row>
    <row r="36" customFormat="false" ht="30" hidden="false" customHeight="true" outlineLevel="0" collapsed="false">
      <c r="B36" s="26" t="s">
        <v>281</v>
      </c>
      <c r="C36" s="27" t="s">
        <v>282</v>
      </c>
      <c r="D36" s="28" t="s">
        <v>263</v>
      </c>
      <c r="E36" s="28" t="s">
        <v>166</v>
      </c>
      <c r="F36" s="28" t="s">
        <v>268</v>
      </c>
      <c r="G36" s="28" t="s">
        <v>166</v>
      </c>
      <c r="H36" s="26" t="s">
        <v>166</v>
      </c>
      <c r="I36" s="28" t="s">
        <v>166</v>
      </c>
      <c r="J36" s="26" t="s">
        <v>166</v>
      </c>
      <c r="K36" s="28" t="s">
        <v>265</v>
      </c>
    </row>
    <row r="37" customFormat="false" ht="30" hidden="false" customHeight="true" outlineLevel="0" collapsed="false">
      <c r="B37" s="29" t="s">
        <v>283</v>
      </c>
      <c r="C37" s="30" t="s">
        <v>284</v>
      </c>
      <c r="D37" s="31" t="s">
        <v>263</v>
      </c>
      <c r="E37" s="31" t="s">
        <v>166</v>
      </c>
      <c r="F37" s="31" t="s">
        <v>268</v>
      </c>
      <c r="G37" s="31" t="s">
        <v>166</v>
      </c>
      <c r="H37" s="29" t="s">
        <v>166</v>
      </c>
      <c r="I37" s="31" t="s">
        <v>166</v>
      </c>
      <c r="J37" s="29" t="s">
        <v>166</v>
      </c>
      <c r="K37" s="31" t="s">
        <v>265</v>
      </c>
    </row>
    <row r="38" customFormat="false" ht="15.75" hidden="false" customHeight="true" outlineLevel="0" collapsed="false">
      <c r="B38" s="6" t="s">
        <v>285</v>
      </c>
      <c r="C38" s="6"/>
      <c r="D38" s="6"/>
      <c r="E38" s="6"/>
      <c r="F38" s="6"/>
      <c r="G38" s="6"/>
      <c r="H38" s="6"/>
      <c r="I38" s="6"/>
      <c r="J38" s="6"/>
      <c r="K38" s="6"/>
    </row>
    <row r="39" customFormat="false" ht="30" hidden="false" customHeight="true" outlineLevel="0" collapsed="false">
      <c r="B39" s="26" t="s">
        <v>286</v>
      </c>
      <c r="C39" s="27" t="s">
        <v>287</v>
      </c>
      <c r="D39" s="28" t="s">
        <v>288</v>
      </c>
      <c r="E39" s="28" t="s">
        <v>166</v>
      </c>
      <c r="F39" s="28" t="s">
        <v>289</v>
      </c>
      <c r="G39" s="28" t="s">
        <v>166</v>
      </c>
      <c r="H39" s="26" t="s">
        <v>166</v>
      </c>
      <c r="I39" s="28" t="s">
        <v>166</v>
      </c>
      <c r="J39" s="26" t="s">
        <v>166</v>
      </c>
      <c r="K39" s="28" t="s">
        <v>265</v>
      </c>
    </row>
    <row r="40" customFormat="false" ht="30" hidden="false" customHeight="true" outlineLevel="0" collapsed="false">
      <c r="B40" s="29" t="s">
        <v>290</v>
      </c>
      <c r="C40" s="30" t="s">
        <v>291</v>
      </c>
      <c r="D40" s="31" t="s">
        <v>288</v>
      </c>
      <c r="E40" s="31" t="s">
        <v>166</v>
      </c>
      <c r="F40" s="31" t="s">
        <v>268</v>
      </c>
      <c r="G40" s="31" t="s">
        <v>166</v>
      </c>
      <c r="H40" s="29" t="s">
        <v>166</v>
      </c>
      <c r="I40" s="31" t="s">
        <v>166</v>
      </c>
      <c r="J40" s="29" t="s">
        <v>166</v>
      </c>
      <c r="K40" s="31" t="s">
        <v>265</v>
      </c>
    </row>
    <row r="41" customFormat="false" ht="30" hidden="false" customHeight="true" outlineLevel="0" collapsed="false">
      <c r="B41" s="26" t="s">
        <v>292</v>
      </c>
      <c r="C41" s="27" t="s">
        <v>293</v>
      </c>
      <c r="D41" s="28" t="s">
        <v>288</v>
      </c>
      <c r="E41" s="28" t="s">
        <v>166</v>
      </c>
      <c r="F41" s="28" t="s">
        <v>268</v>
      </c>
      <c r="G41" s="28" t="s">
        <v>166</v>
      </c>
      <c r="H41" s="26" t="s">
        <v>166</v>
      </c>
      <c r="I41" s="28" t="s">
        <v>166</v>
      </c>
      <c r="J41" s="26" t="s">
        <v>166</v>
      </c>
      <c r="K41" s="28" t="s">
        <v>265</v>
      </c>
    </row>
    <row r="42" customFormat="false" ht="30" hidden="false" customHeight="true" outlineLevel="0" collapsed="false">
      <c r="B42" s="29" t="s">
        <v>294</v>
      </c>
      <c r="C42" s="30" t="s">
        <v>295</v>
      </c>
      <c r="D42" s="31" t="s">
        <v>288</v>
      </c>
      <c r="E42" s="31" t="s">
        <v>166</v>
      </c>
      <c r="F42" s="31" t="s">
        <v>268</v>
      </c>
      <c r="G42" s="31" t="s">
        <v>166</v>
      </c>
      <c r="H42" s="29" t="s">
        <v>166</v>
      </c>
      <c r="I42" s="31" t="s">
        <v>166</v>
      </c>
      <c r="J42" s="29" t="s">
        <v>166</v>
      </c>
      <c r="K42" s="31" t="s">
        <v>265</v>
      </c>
    </row>
    <row r="43" customFormat="false" ht="15.75" hidden="false" customHeight="true" outlineLevel="0" collapsed="false">
      <c r="B43" s="6" t="s">
        <v>296</v>
      </c>
      <c r="C43" s="6"/>
      <c r="D43" s="6"/>
      <c r="E43" s="6"/>
      <c r="F43" s="6"/>
      <c r="G43" s="6"/>
      <c r="H43" s="6"/>
      <c r="I43" s="6"/>
      <c r="J43" s="6"/>
      <c r="K43" s="6"/>
    </row>
    <row r="44" customFormat="false" ht="17.25" hidden="false" customHeight="true" outlineLevel="0" collapsed="false">
      <c r="B44" s="26" t="s">
        <v>297</v>
      </c>
      <c r="C44" s="27" t="s">
        <v>298</v>
      </c>
      <c r="D44" s="28" t="s">
        <v>299</v>
      </c>
      <c r="E44" s="28" t="s">
        <v>166</v>
      </c>
      <c r="F44" s="28" t="s">
        <v>300</v>
      </c>
      <c r="G44" s="28" t="s">
        <v>166</v>
      </c>
      <c r="H44" s="26" t="s">
        <v>166</v>
      </c>
      <c r="I44" s="28" t="s">
        <v>166</v>
      </c>
      <c r="J44" s="26" t="s">
        <v>166</v>
      </c>
      <c r="K44" s="28" t="s">
        <v>265</v>
      </c>
    </row>
    <row r="45" customFormat="false" ht="17.25" hidden="false" customHeight="true" outlineLevel="0" collapsed="false">
      <c r="B45" s="29" t="s">
        <v>301</v>
      </c>
      <c r="C45" s="30" t="s">
        <v>302</v>
      </c>
      <c r="D45" s="31" t="s">
        <v>299</v>
      </c>
      <c r="E45" s="31" t="s">
        <v>166</v>
      </c>
      <c r="F45" s="31" t="s">
        <v>268</v>
      </c>
      <c r="G45" s="31" t="s">
        <v>166</v>
      </c>
      <c r="H45" s="29" t="s">
        <v>166</v>
      </c>
      <c r="I45" s="31" t="s">
        <v>166</v>
      </c>
      <c r="J45" s="29" t="s">
        <v>166</v>
      </c>
      <c r="K45" s="31" t="s">
        <v>265</v>
      </c>
    </row>
    <row r="46" customFormat="false" ht="17.25" hidden="false" customHeight="true" outlineLevel="0" collapsed="false">
      <c r="B46" s="26" t="s">
        <v>303</v>
      </c>
      <c r="C46" s="27" t="s">
        <v>304</v>
      </c>
      <c r="D46" s="28" t="s">
        <v>299</v>
      </c>
      <c r="E46" s="28" t="s">
        <v>166</v>
      </c>
      <c r="F46" s="28" t="s">
        <v>268</v>
      </c>
      <c r="G46" s="28" t="s">
        <v>166</v>
      </c>
      <c r="H46" s="26" t="s">
        <v>166</v>
      </c>
      <c r="I46" s="28" t="s">
        <v>166</v>
      </c>
      <c r="J46" s="26" t="s">
        <v>166</v>
      </c>
      <c r="K46" s="28" t="s">
        <v>265</v>
      </c>
    </row>
    <row r="47" customFormat="false" ht="17.25" hidden="false" customHeight="true" outlineLevel="0" collapsed="false">
      <c r="B47" s="29" t="s">
        <v>305</v>
      </c>
      <c r="C47" s="30" t="s">
        <v>306</v>
      </c>
      <c r="D47" s="31" t="s">
        <v>299</v>
      </c>
      <c r="E47" s="31" t="s">
        <v>166</v>
      </c>
      <c r="F47" s="31" t="s">
        <v>268</v>
      </c>
      <c r="G47" s="31" t="s">
        <v>166</v>
      </c>
      <c r="H47" s="29" t="s">
        <v>166</v>
      </c>
      <c r="I47" s="31" t="s">
        <v>166</v>
      </c>
      <c r="J47" s="29" t="s">
        <v>166</v>
      </c>
      <c r="K47" s="31" t="s">
        <v>265</v>
      </c>
    </row>
    <row r="48" customFormat="false" ht="17.25" hidden="false" customHeight="true" outlineLevel="0" collapsed="false">
      <c r="B48" s="26" t="s">
        <v>307</v>
      </c>
      <c r="C48" s="27" t="s">
        <v>308</v>
      </c>
      <c r="D48" s="28" t="s">
        <v>299</v>
      </c>
      <c r="E48" s="28" t="s">
        <v>166</v>
      </c>
      <c r="F48" s="28" t="s">
        <v>268</v>
      </c>
      <c r="G48" s="28" t="s">
        <v>166</v>
      </c>
      <c r="H48" s="26" t="s">
        <v>166</v>
      </c>
      <c r="I48" s="28" t="s">
        <v>166</v>
      </c>
      <c r="J48" s="26" t="s">
        <v>166</v>
      </c>
      <c r="K48" s="28" t="s">
        <v>265</v>
      </c>
    </row>
    <row r="49" customFormat="false" ht="17.25" hidden="false" customHeight="true" outlineLevel="0" collapsed="false">
      <c r="B49" s="29" t="s">
        <v>309</v>
      </c>
      <c r="C49" s="30" t="s">
        <v>310</v>
      </c>
      <c r="D49" s="31" t="s">
        <v>299</v>
      </c>
      <c r="E49" s="31" t="s">
        <v>166</v>
      </c>
      <c r="F49" s="31" t="s">
        <v>268</v>
      </c>
      <c r="G49" s="31" t="s">
        <v>166</v>
      </c>
      <c r="H49" s="29" t="s">
        <v>166</v>
      </c>
      <c r="I49" s="31" t="s">
        <v>166</v>
      </c>
      <c r="J49" s="29" t="s">
        <v>166</v>
      </c>
      <c r="K49" s="31" t="s">
        <v>265</v>
      </c>
    </row>
    <row r="50" customFormat="false" ht="17.25" hidden="false" customHeight="true" outlineLevel="0" collapsed="false">
      <c r="B50" s="26" t="s">
        <v>311</v>
      </c>
      <c r="C50" s="27" t="s">
        <v>312</v>
      </c>
      <c r="D50" s="28" t="s">
        <v>299</v>
      </c>
      <c r="E50" s="28" t="s">
        <v>166</v>
      </c>
      <c r="F50" s="28" t="s">
        <v>268</v>
      </c>
      <c r="G50" s="28" t="s">
        <v>166</v>
      </c>
      <c r="H50" s="26" t="s">
        <v>166</v>
      </c>
      <c r="I50" s="28" t="s">
        <v>166</v>
      </c>
      <c r="J50" s="26" t="s">
        <v>166</v>
      </c>
      <c r="K50" s="28" t="s">
        <v>265</v>
      </c>
    </row>
    <row r="51" customFormat="false" ht="17.25" hidden="false" customHeight="true" outlineLevel="0" collapsed="false">
      <c r="B51" s="29" t="s">
        <v>313</v>
      </c>
      <c r="C51" s="30" t="s">
        <v>314</v>
      </c>
      <c r="D51" s="31" t="s">
        <v>299</v>
      </c>
      <c r="E51" s="31" t="s">
        <v>166</v>
      </c>
      <c r="F51" s="31" t="s">
        <v>268</v>
      </c>
      <c r="G51" s="31" t="s">
        <v>166</v>
      </c>
      <c r="H51" s="29" t="s">
        <v>166</v>
      </c>
      <c r="I51" s="31" t="s">
        <v>166</v>
      </c>
      <c r="J51" s="29" t="s">
        <v>166</v>
      </c>
      <c r="K51" s="31" t="s">
        <v>265</v>
      </c>
    </row>
    <row r="52" customFormat="false" ht="15.75" hidden="false" customHeight="true" outlineLevel="0" collapsed="false">
      <c r="B52" s="6" t="s">
        <v>315</v>
      </c>
      <c r="C52" s="6"/>
      <c r="D52" s="6"/>
      <c r="E52" s="6"/>
      <c r="F52" s="6"/>
      <c r="G52" s="6"/>
      <c r="H52" s="6"/>
      <c r="I52" s="6"/>
      <c r="J52" s="6"/>
      <c r="K52" s="6"/>
    </row>
    <row r="53" customFormat="false" ht="30" hidden="false" customHeight="true" outlineLevel="0" collapsed="false">
      <c r="B53" s="26" t="s">
        <v>316</v>
      </c>
      <c r="C53" s="27" t="s">
        <v>317</v>
      </c>
      <c r="D53" s="28" t="s">
        <v>318</v>
      </c>
      <c r="E53" s="28" t="s">
        <v>166</v>
      </c>
      <c r="F53" s="28" t="s">
        <v>268</v>
      </c>
      <c r="G53" s="28" t="s">
        <v>166</v>
      </c>
      <c r="H53" s="26" t="s">
        <v>166</v>
      </c>
      <c r="I53" s="28" t="s">
        <v>166</v>
      </c>
      <c r="J53" s="26" t="s">
        <v>166</v>
      </c>
      <c r="K53" s="28" t="s">
        <v>265</v>
      </c>
    </row>
    <row r="54" customFormat="false" ht="30" hidden="false" customHeight="true" outlineLevel="0" collapsed="false">
      <c r="B54" s="29" t="s">
        <v>319</v>
      </c>
      <c r="C54" s="30" t="s">
        <v>320</v>
      </c>
      <c r="D54" s="31" t="s">
        <v>318</v>
      </c>
      <c r="E54" s="31" t="s">
        <v>166</v>
      </c>
      <c r="F54" s="31" t="s">
        <v>268</v>
      </c>
      <c r="G54" s="31" t="s">
        <v>166</v>
      </c>
      <c r="H54" s="29" t="s">
        <v>166</v>
      </c>
      <c r="I54" s="31" t="s">
        <v>166</v>
      </c>
      <c r="J54" s="29" t="s">
        <v>166</v>
      </c>
      <c r="K54" s="31" t="s">
        <v>265</v>
      </c>
    </row>
    <row r="55" customFormat="false" ht="30" hidden="false" customHeight="true" outlineLevel="0" collapsed="false">
      <c r="B55" s="26" t="s">
        <v>321</v>
      </c>
      <c r="C55" s="27" t="s">
        <v>322</v>
      </c>
      <c r="D55" s="28" t="s">
        <v>318</v>
      </c>
      <c r="E55" s="28" t="s">
        <v>166</v>
      </c>
      <c r="F55" s="28" t="s">
        <v>268</v>
      </c>
      <c r="G55" s="28" t="s">
        <v>166</v>
      </c>
      <c r="H55" s="26" t="s">
        <v>166</v>
      </c>
      <c r="I55" s="28" t="s">
        <v>166</v>
      </c>
      <c r="J55" s="26" t="s">
        <v>166</v>
      </c>
      <c r="K55" s="28" t="s">
        <v>265</v>
      </c>
    </row>
    <row r="56" customFormat="false" ht="30" hidden="false" customHeight="true" outlineLevel="0" collapsed="false">
      <c r="B56" s="29" t="s">
        <v>323</v>
      </c>
      <c r="C56" s="30" t="s">
        <v>324</v>
      </c>
      <c r="D56" s="31" t="s">
        <v>318</v>
      </c>
      <c r="E56" s="31" t="s">
        <v>166</v>
      </c>
      <c r="F56" s="31" t="s">
        <v>325</v>
      </c>
      <c r="G56" s="31" t="s">
        <v>166</v>
      </c>
      <c r="H56" s="29" t="s">
        <v>166</v>
      </c>
      <c r="I56" s="31" t="s">
        <v>166</v>
      </c>
      <c r="J56" s="29" t="s">
        <v>166</v>
      </c>
      <c r="K56" s="31" t="s">
        <v>265</v>
      </c>
    </row>
    <row r="57" customFormat="false" ht="15.75" hidden="false" customHeight="true" outlineLevel="0" collapsed="false">
      <c r="B57" s="6" t="s">
        <v>326</v>
      </c>
      <c r="C57" s="6"/>
      <c r="D57" s="6"/>
      <c r="E57" s="6"/>
      <c r="F57" s="6"/>
      <c r="G57" s="6"/>
      <c r="H57" s="6"/>
      <c r="I57" s="6"/>
      <c r="J57" s="6"/>
      <c r="K57" s="6"/>
    </row>
    <row r="58" customFormat="false" ht="15" hidden="false" customHeight="true" outlineLevel="0" collapsed="false">
      <c r="B58" s="32" t="s">
        <v>327</v>
      </c>
      <c r="C58" s="32"/>
      <c r="D58" s="32"/>
      <c r="E58" s="8" t="s">
        <v>328</v>
      </c>
      <c r="F58" s="8"/>
      <c r="G58" s="8"/>
      <c r="H58" s="8"/>
      <c r="I58" s="8"/>
      <c r="J58" s="8"/>
      <c r="K58" s="8"/>
    </row>
    <row r="59" customFormat="false" ht="15" hidden="false" customHeight="true" outlineLevel="0" collapsed="false">
      <c r="B59" s="33" t="s">
        <v>329</v>
      </c>
      <c r="C59" s="33"/>
      <c r="D59" s="33"/>
      <c r="E59" s="10" t="s">
        <v>330</v>
      </c>
      <c r="F59" s="10"/>
      <c r="G59" s="10"/>
      <c r="H59" s="10"/>
      <c r="I59" s="10"/>
      <c r="J59" s="10"/>
      <c r="K59" s="10"/>
    </row>
    <row r="60" customFormat="false" ht="15" hidden="false" customHeight="true" outlineLevel="0" collapsed="false">
      <c r="B60" s="32" t="s">
        <v>331</v>
      </c>
      <c r="C60" s="32"/>
      <c r="D60" s="32"/>
      <c r="E60" s="8" t="s">
        <v>332</v>
      </c>
      <c r="F60" s="8"/>
      <c r="G60" s="8"/>
      <c r="H60" s="8"/>
      <c r="I60" s="8"/>
      <c r="J60" s="8"/>
      <c r="K60" s="8"/>
    </row>
    <row r="61" customFormat="false" ht="15" hidden="false" customHeight="true" outlineLevel="0" collapsed="false">
      <c r="B61" s="33" t="s">
        <v>333</v>
      </c>
      <c r="C61" s="33"/>
      <c r="D61" s="33"/>
      <c r="E61" s="10" t="s">
        <v>334</v>
      </c>
      <c r="F61" s="10"/>
      <c r="G61" s="10"/>
      <c r="H61" s="10"/>
      <c r="I61" s="10"/>
      <c r="J61" s="10"/>
      <c r="K61" s="10"/>
    </row>
    <row r="62" customFormat="false" ht="15" hidden="false" customHeight="true" outlineLevel="0" collapsed="false">
      <c r="B62" s="32" t="s">
        <v>335</v>
      </c>
      <c r="C62" s="32"/>
      <c r="D62" s="32"/>
      <c r="E62" s="8" t="s">
        <v>336</v>
      </c>
      <c r="F62" s="8"/>
      <c r="G62" s="8"/>
      <c r="H62" s="8"/>
      <c r="I62" s="8"/>
      <c r="J62" s="8"/>
      <c r="K62" s="8"/>
    </row>
    <row r="63" customFormat="false" ht="15" hidden="false" customHeight="true" outlineLevel="0" collapsed="false">
      <c r="B63" s="33" t="s">
        <v>337</v>
      </c>
      <c r="C63" s="33"/>
      <c r="D63" s="33"/>
      <c r="E63" s="10" t="s">
        <v>336</v>
      </c>
      <c r="F63" s="10"/>
      <c r="G63" s="10"/>
      <c r="H63" s="10"/>
      <c r="I63" s="10"/>
      <c r="J63" s="10"/>
      <c r="K63" s="10"/>
    </row>
    <row r="65" customFormat="false" ht="15" hidden="false" customHeight="false" outlineLevel="0" collapsed="false">
      <c r="B65" s="22" t="s">
        <v>338</v>
      </c>
      <c r="C65" s="22"/>
      <c r="D65" s="22"/>
      <c r="E65" s="22"/>
      <c r="F65" s="22"/>
      <c r="G65" s="22"/>
      <c r="H65" s="22"/>
      <c r="I65" s="22"/>
      <c r="J65" s="22"/>
      <c r="K65" s="22"/>
    </row>
    <row r="66" customFormat="false" ht="15" hidden="false" customHeight="false" outlineLevel="0" collapsed="false">
      <c r="B66" s="22" t="s">
        <v>339</v>
      </c>
      <c r="C66" s="22"/>
      <c r="D66" s="22"/>
      <c r="E66" s="22"/>
      <c r="F66" s="22"/>
      <c r="G66" s="22"/>
      <c r="H66" s="22"/>
      <c r="I66" s="22"/>
      <c r="J66" s="22"/>
      <c r="K66" s="22"/>
    </row>
    <row r="67" customFormat="false" ht="15" hidden="false" customHeight="false" outlineLevel="0" collapsed="false">
      <c r="B67" s="22" t="s">
        <v>340</v>
      </c>
      <c r="C67" s="22"/>
      <c r="D67" s="22"/>
      <c r="E67" s="22"/>
      <c r="F67" s="22"/>
      <c r="G67" s="22"/>
      <c r="H67" s="22"/>
      <c r="I67" s="22"/>
      <c r="J67" s="22"/>
      <c r="K67" s="22"/>
    </row>
    <row r="68" customFormat="false" ht="15" hidden="false" customHeight="false" outlineLevel="0" collapsed="false">
      <c r="B68" s="22" t="s">
        <v>341</v>
      </c>
      <c r="C68" s="22"/>
      <c r="D68" s="22"/>
      <c r="E68" s="22"/>
      <c r="F68" s="22"/>
      <c r="G68" s="22"/>
      <c r="H68" s="22"/>
      <c r="I68" s="22"/>
      <c r="J68" s="22"/>
      <c r="K68" s="22"/>
    </row>
    <row r="70" customFormat="false" ht="15" hidden="false" customHeight="false" outlineLevel="0" collapsed="false">
      <c r="B70" s="23" t="s">
        <v>342</v>
      </c>
      <c r="C70" s="23"/>
      <c r="D70" s="23"/>
      <c r="E70" s="23"/>
      <c r="F70" s="23"/>
      <c r="G70" s="23"/>
      <c r="H70" s="23"/>
      <c r="I70" s="23"/>
      <c r="J70" s="23"/>
      <c r="K70" s="23"/>
    </row>
  </sheetData>
  <mergeCells count="29">
    <mergeCell ref="B2:K2"/>
    <mergeCell ref="B3:K3"/>
    <mergeCell ref="B6:K6"/>
    <mergeCell ref="B8:K8"/>
    <mergeCell ref="B10:K10"/>
    <mergeCell ref="B15:K15"/>
    <mergeCell ref="B20:K20"/>
    <mergeCell ref="B27:K27"/>
    <mergeCell ref="B38:K38"/>
    <mergeCell ref="B43:K43"/>
    <mergeCell ref="B52:K52"/>
    <mergeCell ref="B57:K57"/>
    <mergeCell ref="B58:D58"/>
    <mergeCell ref="E58:K58"/>
    <mergeCell ref="B59:D59"/>
    <mergeCell ref="E59:K59"/>
    <mergeCell ref="B60:D60"/>
    <mergeCell ref="E60:K60"/>
    <mergeCell ref="B61:D61"/>
    <mergeCell ref="E61:K61"/>
    <mergeCell ref="B62:D62"/>
    <mergeCell ref="E62:K62"/>
    <mergeCell ref="B63:D63"/>
    <mergeCell ref="E63:K63"/>
    <mergeCell ref="B65:K65"/>
    <mergeCell ref="B66:K66"/>
    <mergeCell ref="B67:K67"/>
    <mergeCell ref="B68:K68"/>
    <mergeCell ref="B70:K70"/>
  </mergeCells>
  <hyperlinks>
    <hyperlink ref="C7" location="'00_README'!B2" display="00 · README (обложка)"/>
    <hyperlink ref="C9" location="'R-01_Budget_Control_Summary'!B2" display="R-01 · Budget Control Summary"/>
    <hyperlink ref="C11" location="'R-02_Plan_Fact_Explorer'!B2" display="R-02 · Plan-Fact Explorer"/>
    <hyperlink ref="C12" location="'R-03_Variance_Waterfall'!B2" display="R-03 · Variance Waterfall / Factor Analysis"/>
    <hyperlink ref="C13" location="'R-04_HC_Vacancy_Bridge'!B2" display="R-04 · HC &amp; Vacancy Bridge"/>
    <hyperlink ref="C14" location="'R-06_АХР_Dashboard'!B2" display="R-06 · АХР / Non-compensation Dashboard"/>
    <hyperlink ref="C16" location="'R-05_Compensation_Detail'!B2" display="R-05 · Compensation Detail"/>
    <hyperlink ref="C17" location="'R-07_Reconciliation'!B2" display="R-07 · HR vs Finance Reconciliation"/>
    <hyperlink ref="C18" location="'R-08_Data_Quality'!B2" display="R-08 · Data Quality &amp; Closing Readiness"/>
    <hyperlink ref="C19" location="'R-09_Comments_Actions'!B2" display="R-09 · Comments &amp; Actions Tracker"/>
    <hyperlink ref="C21" location="'11_Metric_Dictionary'!B2" display="SPEC-01 · Metric Dictionary"/>
    <hyperlink ref="C22" location="'12_Factor_Dictionary'!B2" display="SPEC-02 · Factor Dictionary"/>
    <hyperlink ref="C23" location="'13_Field_Dictionary'!B2" display="SPEC-03 · Field Dictionary"/>
    <hyperlink ref="C24" location="'14_Access_Rights'!B2" display="SPEC-04 · Access Rights"/>
    <hyperlink ref="C25" location="'15_UAT_Cases'!B2" display="SPEC-05 · UAT Cases"/>
    <hyperlink ref="C26" location="'16_Backlog_Roadmap'!B2" display="SPEC-06 · Backlog &amp; Roadmap"/>
    <hyperlink ref="C28" location="'IN_Salary charging'!B2" display="IN-01 · Salary charging"/>
    <hyperlink ref="C29" location="'IN_Bonus charging'!B2" display="IN-02 · Bonus charging"/>
    <hyperlink ref="C30" location="'IN_Benefits'!B2" display="IN-03 · Benefits (ввод)"/>
    <hyperlink ref="C31" location="'IN_Rates'!B2" display="IN-04 · Rates"/>
    <hyperlink ref="C32" location="'IN_FX Rates'!B2" display="IN-05 · FX Rates"/>
    <hyperlink ref="C33" location="'IN_Manual Adjustment'!B2" display="IN-06 · Manual Adjustment"/>
    <hyperlink ref="C34" location="'IN_Deferral'!B2" display="IN-07 · Deferral"/>
    <hyperlink ref="C35" location="'IN_Vacation Distr'!B2" display="IN-08 · Vacation Distr"/>
    <hyperlink ref="C36" location="'IN_Vacancy'!B2" display="IN-09 · Vacancy (ввод)"/>
    <hyperlink ref="C37" location="'IN_Compensation'!B2" display="IN-10 · Compensation (ввод)"/>
    <hyperlink ref="C39" location="'FACT_МСФО Comp_Non Comp'!B2" display="FACT-01 · МСФО VTBC Comp/Non Comp"/>
    <hyperlink ref="C40" location="'FACT_Загрузка МСФО Банк'!B2" display="FACT-02 · Загрузка МСФО (Банк)"/>
    <hyperlink ref="C41" location="'FACT_Загрузка поименная Банк'!B2" display="FACT-03 · Загрузка поименная (Банк)"/>
    <hyperlink ref="C42" location="'FACT_Страхование'!B2" display="FACT-04 · Загрузка страхования"/>
    <hyperlink ref="C44" location="'HCT_Summary_MIR'!B2" display="HCT-01 · Summary_MIR"/>
    <hyperlink ref="C45" location="'HCT_Summary_GD'!B2" display="HCT-02 · Summary_GD"/>
    <hyperlink ref="C46" location="'HCT_Summary_MIR_pools'!B2" display="HCT-03 · Summary_MIR_pools"/>
    <hyperlink ref="C47" location="'HCT_Movement_ACT_MIR'!B2" display="HCT-04 · Movement_ACT_MIR"/>
    <hyperlink ref="C48" location="'HCT_Movement_ACT_weekly'!B2" display="HCT-05 · Movement_ACT_MIR_weekly"/>
    <hyperlink ref="C49" location="'HCT_Movement_TGT_MIR'!B2" display="HCT-06 · Movement_TGT_MIR"/>
    <hyperlink ref="C50" location="'HCT_Movement_Vacancy_MIR'!B2" display="HCT-07 · Movement_Vacancy_MIR"/>
    <hyperlink ref="C51" location="'HCT_Form'!B2" display="HCT-08 · Form (HC Tracker)"/>
    <hyperlink ref="C53" location="'REP_Finance Report'!B2" display="REP-01 · Finance Report"/>
    <hyperlink ref="C54" location="'REP_Name by Name'!B2" display="REP-02 · Name by Name"/>
    <hyperlink ref="C55" location="'REP_SameStore'!B2" display="REP-03 · SameStore"/>
    <hyperlink ref="C56" location="'REP_Samestore Summary'!B2" display="REP-04 · Samestore Summar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D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3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171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" t="s">
        <v>1</v>
      </c>
      <c r="W2" s="2"/>
    </row>
    <row r="3" customFormat="false" ht="15" hidden="false" customHeight="true" outlineLevel="0" collapsed="false">
      <c r="B3" s="3" t="s">
        <v>344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AA3" s="35" t="s">
        <v>345</v>
      </c>
      <c r="AB3" s="35" t="s">
        <v>346</v>
      </c>
      <c r="AC3" s="35" t="s">
        <v>347</v>
      </c>
      <c r="AD3" s="35" t="s">
        <v>348</v>
      </c>
    </row>
    <row r="4" customFormat="false" ht="15" hidden="false" customHeight="false" outlineLevel="0" collapsed="false">
      <c r="AA4" s="36" t="s">
        <v>349</v>
      </c>
      <c r="AB4" s="37" t="n">
        <v>985</v>
      </c>
      <c r="AC4" s="37" t="n">
        <v>998</v>
      </c>
      <c r="AD4" s="37"/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352</v>
      </c>
      <c r="G5" s="38"/>
      <c r="H5" s="38"/>
      <c r="I5" s="38"/>
      <c r="J5" s="38" t="s">
        <v>353</v>
      </c>
      <c r="K5" s="38"/>
      <c r="L5" s="38"/>
      <c r="M5" s="38" t="s">
        <v>354</v>
      </c>
      <c r="N5" s="38"/>
      <c r="O5" s="38" t="s">
        <v>355</v>
      </c>
      <c r="P5" s="38"/>
      <c r="Q5" s="39" t="s">
        <v>356</v>
      </c>
      <c r="R5" s="39"/>
      <c r="S5" s="39"/>
      <c r="U5" s="20" t="s">
        <v>133</v>
      </c>
      <c r="V5" s="20"/>
      <c r="W5" s="20"/>
      <c r="AA5" s="36" t="s">
        <v>357</v>
      </c>
      <c r="AB5" s="37" t="n">
        <v>990</v>
      </c>
      <c r="AC5" s="37" t="n">
        <v>1012</v>
      </c>
      <c r="AD5" s="37"/>
    </row>
    <row r="6" customFormat="false" ht="15" hidden="false" customHeight="false" outlineLevel="0" collapsed="false">
      <c r="AA6" s="36" t="s">
        <v>358</v>
      </c>
      <c r="AB6" s="37" t="n">
        <v>1120</v>
      </c>
      <c r="AC6" s="37" t="n">
        <v>1118</v>
      </c>
      <c r="AD6" s="37"/>
    </row>
    <row r="7" customFormat="false" ht="12.75" hidden="false" customHeight="true" outlineLevel="0" collapsed="false">
      <c r="B7" s="11" t="s">
        <v>127</v>
      </c>
      <c r="C7" s="11"/>
      <c r="D7" s="11"/>
      <c r="E7" s="11" t="s">
        <v>128</v>
      </c>
      <c r="F7" s="11"/>
      <c r="G7" s="11"/>
      <c r="H7" s="11" t="s">
        <v>129</v>
      </c>
      <c r="I7" s="11"/>
      <c r="J7" s="11"/>
      <c r="K7" s="12" t="s">
        <v>130</v>
      </c>
      <c r="L7" s="12"/>
      <c r="M7" s="12"/>
      <c r="N7" s="12" t="s">
        <v>131</v>
      </c>
      <c r="O7" s="12"/>
      <c r="P7" s="12"/>
      <c r="Q7" s="12" t="s">
        <v>359</v>
      </c>
      <c r="R7" s="12"/>
      <c r="S7" s="12"/>
      <c r="AA7" s="36" t="s">
        <v>360</v>
      </c>
      <c r="AB7" s="37" t="n">
        <v>995</v>
      </c>
      <c r="AC7" s="37" t="n">
        <v>1038</v>
      </c>
      <c r="AD7" s="37"/>
    </row>
    <row r="8" customFormat="false" ht="25.5" hidden="false" customHeight="true" outlineLevel="0" collapsed="false">
      <c r="B8" s="13" t="n">
        <f aca="false">SUM(AB4:AB9)</f>
        <v>6220</v>
      </c>
      <c r="C8" s="13"/>
      <c r="D8" s="13"/>
      <c r="E8" s="13" t="n">
        <f aca="false">SUM(AC4:AC9)</f>
        <v>6385</v>
      </c>
      <c r="F8" s="13"/>
      <c r="G8" s="13"/>
      <c r="H8" s="13" t="n">
        <f aca="false">SUM(AC4:AC9)+SUM(AD10:AD15)</f>
        <v>13325</v>
      </c>
      <c r="I8" s="13"/>
      <c r="J8" s="13"/>
      <c r="K8" s="14" t="n">
        <v>988</v>
      </c>
      <c r="L8" s="14"/>
      <c r="M8" s="14"/>
      <c r="N8" s="13" t="n">
        <v>971.3</v>
      </c>
      <c r="O8" s="13"/>
      <c r="P8" s="13"/>
      <c r="Q8" s="13" t="n">
        <v>268.4</v>
      </c>
      <c r="R8" s="13"/>
      <c r="S8" s="13"/>
      <c r="AA8" s="36" t="s">
        <v>361</v>
      </c>
      <c r="AB8" s="37" t="n">
        <v>1000</v>
      </c>
      <c r="AC8" s="37" t="n">
        <v>1041</v>
      </c>
      <c r="AD8" s="37"/>
    </row>
    <row r="9" customFormat="false" ht="15" hidden="false" customHeight="true" outlineLevel="0" collapsed="false">
      <c r="B9" s="16" t="s">
        <v>134</v>
      </c>
      <c r="C9" s="16"/>
      <c r="D9" s="16"/>
      <c r="E9" s="17" t="s">
        <v>362</v>
      </c>
      <c r="F9" s="17"/>
      <c r="G9" s="17"/>
      <c r="H9" s="17" t="s">
        <v>363</v>
      </c>
      <c r="I9" s="17"/>
      <c r="J9" s="17"/>
      <c r="K9" s="18" t="s">
        <v>364</v>
      </c>
      <c r="L9" s="18"/>
      <c r="M9" s="18"/>
      <c r="N9" s="18" t="s">
        <v>365</v>
      </c>
      <c r="O9" s="18"/>
      <c r="P9" s="18"/>
      <c r="Q9" s="17" t="s">
        <v>366</v>
      </c>
      <c r="R9" s="17"/>
      <c r="S9" s="17"/>
      <c r="AA9" s="36" t="s">
        <v>367</v>
      </c>
      <c r="AB9" s="37" t="n">
        <v>1130</v>
      </c>
      <c r="AC9" s="37" t="n">
        <v>1178</v>
      </c>
      <c r="AD9" s="37"/>
    </row>
    <row r="10" customFormat="false" ht="15" hidden="false" customHeight="false" outlineLevel="0" collapsed="false">
      <c r="AA10" s="36" t="s">
        <v>368</v>
      </c>
      <c r="AB10" s="37" t="n">
        <v>1005</v>
      </c>
      <c r="AC10" s="37"/>
      <c r="AD10" s="37" t="n">
        <v>1045</v>
      </c>
    </row>
    <row r="11" customFormat="false" ht="18" hidden="false" customHeight="true" outlineLevel="0" collapsed="false">
      <c r="B11" s="4" t="s">
        <v>369</v>
      </c>
      <c r="C11" s="4"/>
      <c r="D11" s="4"/>
      <c r="E11" s="4"/>
      <c r="F11" s="4"/>
      <c r="G11" s="4"/>
      <c r="H11" s="4"/>
      <c r="I11" s="4"/>
      <c r="K11" s="4" t="s">
        <v>370</v>
      </c>
      <c r="L11" s="4"/>
      <c r="M11" s="4"/>
      <c r="N11" s="4"/>
      <c r="O11" s="4"/>
      <c r="P11" s="4"/>
      <c r="Q11" s="4"/>
      <c r="R11" s="4"/>
      <c r="S11" s="4"/>
      <c r="AA11" s="36" t="s">
        <v>371</v>
      </c>
      <c r="AB11" s="37" t="n">
        <v>1010</v>
      </c>
      <c r="AC11" s="37"/>
      <c r="AD11" s="37" t="n">
        <v>1050</v>
      </c>
    </row>
    <row r="12" customFormat="false" ht="15" hidden="false" customHeight="false" outlineLevel="0" collapsed="false">
      <c r="AA12" s="36" t="s">
        <v>372</v>
      </c>
      <c r="AB12" s="37" t="n">
        <v>1135</v>
      </c>
      <c r="AC12" s="37"/>
      <c r="AD12" s="37" t="n">
        <v>1160</v>
      </c>
    </row>
    <row r="13" customFormat="false" ht="15" hidden="false" customHeight="false" outlineLevel="0" collapsed="false">
      <c r="AA13" s="36" t="s">
        <v>373</v>
      </c>
      <c r="AB13" s="37" t="n">
        <v>1010</v>
      </c>
      <c r="AC13" s="37"/>
      <c r="AD13" s="37" t="n">
        <v>1040</v>
      </c>
    </row>
    <row r="14" customFormat="false" ht="15" hidden="false" customHeight="false" outlineLevel="0" collapsed="false">
      <c r="AA14" s="36" t="s">
        <v>374</v>
      </c>
      <c r="AB14" s="37" t="n">
        <v>1015</v>
      </c>
      <c r="AC14" s="37"/>
      <c r="AD14" s="37" t="n">
        <v>1045</v>
      </c>
    </row>
    <row r="15" customFormat="false" ht="15" hidden="false" customHeight="false" outlineLevel="0" collapsed="false">
      <c r="AA15" s="36" t="s">
        <v>375</v>
      </c>
      <c r="AB15" s="37" t="n">
        <v>1550</v>
      </c>
      <c r="AC15" s="37"/>
      <c r="AD15" s="37" t="n">
        <v>1600</v>
      </c>
    </row>
    <row r="18" customFormat="false" ht="15" hidden="false" customHeight="false" outlineLevel="0" collapsed="false">
      <c r="AA18" s="35" t="s">
        <v>376</v>
      </c>
      <c r="AB18" s="35" t="s">
        <v>377</v>
      </c>
      <c r="AC18" s="35" t="s">
        <v>378</v>
      </c>
    </row>
    <row r="19" customFormat="false" ht="15" hidden="false" customHeight="false" outlineLevel="0" collapsed="false">
      <c r="AA19" s="36" t="s">
        <v>379</v>
      </c>
      <c r="AB19" s="37" t="n">
        <v>0</v>
      </c>
      <c r="AC19" s="37" t="n">
        <v>6220</v>
      </c>
    </row>
    <row r="20" customFormat="false" ht="15" hidden="false" customHeight="false" outlineLevel="0" collapsed="false">
      <c r="AA20" s="36" t="s">
        <v>380</v>
      </c>
      <c r="AB20" s="37" t="n">
        <v>6182</v>
      </c>
      <c r="AC20" s="37" t="n">
        <v>38</v>
      </c>
    </row>
    <row r="21" customFormat="false" ht="15" hidden="false" customHeight="false" outlineLevel="0" collapsed="false">
      <c r="AA21" s="36" t="s">
        <v>381</v>
      </c>
      <c r="AB21" s="37" t="n">
        <v>6182</v>
      </c>
      <c r="AC21" s="37" t="n">
        <v>41</v>
      </c>
    </row>
    <row r="22" customFormat="false" ht="15" hidden="false" customHeight="false" outlineLevel="0" collapsed="false">
      <c r="AA22" s="36" t="s">
        <v>382</v>
      </c>
      <c r="AB22" s="37" t="n">
        <v>6223</v>
      </c>
      <c r="AC22" s="37" t="n">
        <v>48</v>
      </c>
    </row>
    <row r="23" customFormat="false" ht="15" hidden="false" customHeight="false" outlineLevel="0" collapsed="false">
      <c r="AA23" s="36" t="s">
        <v>383</v>
      </c>
      <c r="AB23" s="37" t="n">
        <v>6271</v>
      </c>
      <c r="AC23" s="37" t="n">
        <v>28</v>
      </c>
    </row>
    <row r="24" customFormat="false" ht="15" hidden="false" customHeight="false" outlineLevel="0" collapsed="false">
      <c r="AA24" s="36" t="s">
        <v>384</v>
      </c>
      <c r="AB24" s="37" t="n">
        <v>6299</v>
      </c>
      <c r="AC24" s="37" t="n">
        <v>38</v>
      </c>
    </row>
    <row r="25" customFormat="false" ht="15" hidden="false" customHeight="false" outlineLevel="0" collapsed="false">
      <c r="AA25" s="36" t="s">
        <v>385</v>
      </c>
      <c r="AB25" s="37" t="n">
        <v>6337</v>
      </c>
      <c r="AC25" s="37" t="n">
        <v>18</v>
      </c>
    </row>
    <row r="26" customFormat="false" ht="15" hidden="false" customHeight="false" outlineLevel="0" collapsed="false">
      <c r="AA26" s="36" t="s">
        <v>386</v>
      </c>
      <c r="AB26" s="37" t="n">
        <v>6355</v>
      </c>
      <c r="AC26" s="37" t="n">
        <v>15</v>
      </c>
    </row>
    <row r="27" customFormat="false" ht="15" hidden="false" customHeight="false" outlineLevel="0" collapsed="false">
      <c r="AA27" s="36" t="s">
        <v>387</v>
      </c>
      <c r="AB27" s="37" t="n">
        <v>6370</v>
      </c>
      <c r="AC27" s="37" t="n">
        <v>9</v>
      </c>
    </row>
    <row r="28" customFormat="false" ht="15" hidden="false" customHeight="false" outlineLevel="0" collapsed="false">
      <c r="AA28" s="36" t="s">
        <v>388</v>
      </c>
      <c r="AB28" s="37" t="n">
        <v>6379</v>
      </c>
      <c r="AC28" s="37" t="n">
        <v>10</v>
      </c>
    </row>
    <row r="29" customFormat="false" ht="15" hidden="false" customHeight="false" outlineLevel="0" collapsed="false">
      <c r="AA29" s="36" t="s">
        <v>389</v>
      </c>
      <c r="AB29" s="37" t="n">
        <v>6387</v>
      </c>
      <c r="AC29" s="37" t="n">
        <v>2</v>
      </c>
    </row>
    <row r="30" customFormat="false" ht="18" hidden="false" customHeight="true" outlineLevel="0" collapsed="false">
      <c r="B30" s="4" t="s">
        <v>390</v>
      </c>
      <c r="C30" s="4"/>
      <c r="D30" s="4"/>
      <c r="E30" s="4"/>
      <c r="F30" s="4"/>
      <c r="G30" s="4"/>
      <c r="H30" s="4"/>
      <c r="I30" s="4"/>
      <c r="J30" s="4"/>
      <c r="K30" s="4"/>
      <c r="M30" s="4" t="s">
        <v>391</v>
      </c>
      <c r="N30" s="4"/>
      <c r="O30" s="4"/>
      <c r="P30" s="4"/>
      <c r="Q30" s="4"/>
      <c r="R30" s="4"/>
      <c r="S30" s="4"/>
      <c r="T30" s="4"/>
      <c r="U30" s="4"/>
      <c r="V30" s="4"/>
      <c r="W30" s="4"/>
      <c r="AA30" s="36" t="s">
        <v>392</v>
      </c>
      <c r="AB30" s="37" t="n">
        <v>6381</v>
      </c>
      <c r="AC30" s="37" t="n">
        <v>6</v>
      </c>
    </row>
    <row r="31" customFormat="false" ht="12.75" hidden="false" customHeight="true" outlineLevel="0" collapsed="false">
      <c r="B31" s="40" t="s">
        <v>393</v>
      </c>
      <c r="C31" s="40"/>
      <c r="D31" s="25" t="s">
        <v>394</v>
      </c>
      <c r="E31" s="25" t="s">
        <v>395</v>
      </c>
      <c r="F31" s="25" t="s">
        <v>396</v>
      </c>
      <c r="G31" s="40" t="s">
        <v>397</v>
      </c>
      <c r="H31" s="40"/>
      <c r="I31" s="40"/>
      <c r="J31" s="40" t="s">
        <v>398</v>
      </c>
      <c r="K31" s="40"/>
      <c r="M31" s="12" t="s">
        <v>399</v>
      </c>
      <c r="N31" s="12"/>
      <c r="O31" s="12" t="s">
        <v>400</v>
      </c>
      <c r="P31" s="12"/>
      <c r="Q31" s="12" t="s">
        <v>401</v>
      </c>
      <c r="R31" s="12"/>
      <c r="S31" s="12" t="s">
        <v>402</v>
      </c>
      <c r="T31" s="12"/>
      <c r="AA31" s="36" t="s">
        <v>403</v>
      </c>
      <c r="AB31" s="37" t="n">
        <v>6381</v>
      </c>
      <c r="AC31" s="37" t="n">
        <v>8</v>
      </c>
    </row>
    <row r="32" customFormat="false" ht="25.5" hidden="false" customHeight="true" outlineLevel="0" collapsed="false">
      <c r="B32" s="8" t="s">
        <v>404</v>
      </c>
      <c r="C32" s="8"/>
      <c r="D32" s="8" t="s">
        <v>405</v>
      </c>
      <c r="E32" s="41" t="n">
        <v>58</v>
      </c>
      <c r="F32" s="42" t="n">
        <v>7.1</v>
      </c>
      <c r="G32" s="8" t="s">
        <v>406</v>
      </c>
      <c r="H32" s="8"/>
      <c r="I32" s="8"/>
      <c r="J32" s="43" t="s">
        <v>407</v>
      </c>
      <c r="K32" s="43"/>
      <c r="M32" s="15" t="s">
        <v>133</v>
      </c>
      <c r="N32" s="15"/>
      <c r="O32" s="15" t="s">
        <v>408</v>
      </c>
      <c r="P32" s="15"/>
      <c r="Q32" s="15" t="s">
        <v>409</v>
      </c>
      <c r="R32" s="15"/>
      <c r="S32" s="15" t="s">
        <v>133</v>
      </c>
      <c r="T32" s="15"/>
      <c r="AA32" s="36" t="s">
        <v>410</v>
      </c>
      <c r="AB32" s="37" t="n">
        <v>6385</v>
      </c>
      <c r="AC32" s="37" t="n">
        <v>4</v>
      </c>
    </row>
    <row r="33" customFormat="false" ht="15" hidden="false" customHeight="true" outlineLevel="0" collapsed="false">
      <c r="B33" s="10" t="s">
        <v>411</v>
      </c>
      <c r="C33" s="10"/>
      <c r="D33" s="10" t="s">
        <v>405</v>
      </c>
      <c r="E33" s="44" t="n">
        <v>33</v>
      </c>
      <c r="F33" s="45" t="n">
        <v>6.6</v>
      </c>
      <c r="G33" s="10" t="s">
        <v>412</v>
      </c>
      <c r="H33" s="10"/>
      <c r="I33" s="10"/>
      <c r="J33" s="46" t="s">
        <v>413</v>
      </c>
      <c r="K33" s="46"/>
      <c r="M33" s="18" t="s">
        <v>139</v>
      </c>
      <c r="N33" s="18"/>
      <c r="O33" s="18" t="s">
        <v>414</v>
      </c>
      <c r="P33" s="18"/>
      <c r="Q33" s="18" t="s">
        <v>415</v>
      </c>
      <c r="R33" s="18"/>
      <c r="S33" s="18" t="s">
        <v>416</v>
      </c>
      <c r="T33" s="18"/>
      <c r="AA33" s="36" t="s">
        <v>417</v>
      </c>
      <c r="AB33" s="37" t="n">
        <v>0</v>
      </c>
      <c r="AC33" s="37" t="n">
        <v>6385</v>
      </c>
    </row>
    <row r="34" customFormat="false" ht="15.75" hidden="false" customHeight="true" outlineLevel="0" collapsed="false">
      <c r="B34" s="8" t="s">
        <v>418</v>
      </c>
      <c r="C34" s="8"/>
      <c r="D34" s="8" t="s">
        <v>405</v>
      </c>
      <c r="E34" s="41" t="n">
        <v>26</v>
      </c>
      <c r="F34" s="42" t="n">
        <v>5.2</v>
      </c>
      <c r="G34" s="8" t="s">
        <v>419</v>
      </c>
      <c r="H34" s="8"/>
      <c r="I34" s="8"/>
      <c r="J34" s="46" t="s">
        <v>420</v>
      </c>
      <c r="K34" s="46"/>
    </row>
    <row r="35" customFormat="false" ht="15.75" hidden="false" customHeight="true" outlineLevel="0" collapsed="false">
      <c r="B35" s="10" t="s">
        <v>421</v>
      </c>
      <c r="C35" s="10"/>
      <c r="D35" s="10" t="s">
        <v>422</v>
      </c>
      <c r="E35" s="44" t="n">
        <v>24.5</v>
      </c>
      <c r="F35" s="45" t="n">
        <v>28.8</v>
      </c>
      <c r="G35" s="10" t="s">
        <v>423</v>
      </c>
      <c r="H35" s="10"/>
      <c r="I35" s="10"/>
      <c r="J35" s="47" t="s">
        <v>424</v>
      </c>
      <c r="K35" s="47"/>
    </row>
    <row r="36" customFormat="false" ht="15.75" hidden="false" customHeight="true" outlineLevel="0" collapsed="false">
      <c r="B36" s="8" t="s">
        <v>425</v>
      </c>
      <c r="C36" s="8"/>
      <c r="D36" s="8" t="s">
        <v>405</v>
      </c>
      <c r="E36" s="41" t="n">
        <v>13</v>
      </c>
      <c r="F36" s="42" t="n">
        <v>5.2</v>
      </c>
      <c r="G36" s="8" t="s">
        <v>426</v>
      </c>
      <c r="H36" s="8"/>
      <c r="I36" s="8"/>
      <c r="J36" s="47" t="s">
        <v>424</v>
      </c>
      <c r="K36" s="47"/>
    </row>
    <row r="38" customFormat="false" ht="15" hidden="false" customHeight="false" outlineLevel="0" collapsed="false">
      <c r="B38" s="22" t="s">
        <v>427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</row>
    <row r="39" customFormat="false" ht="15" hidden="false" customHeight="false" outlineLevel="0" collapsed="false">
      <c r="B39" s="22" t="s">
        <v>428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1" customFormat="false" ht="15" hidden="false" customHeight="false" outlineLevel="0" collapsed="false">
      <c r="B41" s="23" t="s">
        <v>429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</row>
  </sheetData>
  <mergeCells count="66">
    <mergeCell ref="B2:U2"/>
    <mergeCell ref="V2:W2"/>
    <mergeCell ref="B3:W3"/>
    <mergeCell ref="B5:C5"/>
    <mergeCell ref="D5:E5"/>
    <mergeCell ref="F5:I5"/>
    <mergeCell ref="J5:L5"/>
    <mergeCell ref="M5:N5"/>
    <mergeCell ref="O5:P5"/>
    <mergeCell ref="Q5:S5"/>
    <mergeCell ref="U5:W5"/>
    <mergeCell ref="B7:D7"/>
    <mergeCell ref="E7:G7"/>
    <mergeCell ref="H7:J7"/>
    <mergeCell ref="K7:M7"/>
    <mergeCell ref="N7:P7"/>
    <mergeCell ref="Q7:S7"/>
    <mergeCell ref="B8:D8"/>
    <mergeCell ref="E8:G8"/>
    <mergeCell ref="H8:J8"/>
    <mergeCell ref="K8:M8"/>
    <mergeCell ref="N8:P8"/>
    <mergeCell ref="Q8:S8"/>
    <mergeCell ref="B9:D9"/>
    <mergeCell ref="E9:G9"/>
    <mergeCell ref="H9:J9"/>
    <mergeCell ref="K9:M9"/>
    <mergeCell ref="N9:P9"/>
    <mergeCell ref="Q9:S9"/>
    <mergeCell ref="B11:I11"/>
    <mergeCell ref="K11:S11"/>
    <mergeCell ref="B30:K30"/>
    <mergeCell ref="M30:W30"/>
    <mergeCell ref="B31:C31"/>
    <mergeCell ref="G31:I31"/>
    <mergeCell ref="J31:K31"/>
    <mergeCell ref="M31:N31"/>
    <mergeCell ref="O31:P31"/>
    <mergeCell ref="Q31:R31"/>
    <mergeCell ref="S31:T31"/>
    <mergeCell ref="B32:C32"/>
    <mergeCell ref="G32:I32"/>
    <mergeCell ref="J32:K32"/>
    <mergeCell ref="M32:N32"/>
    <mergeCell ref="O32:P32"/>
    <mergeCell ref="Q32:R32"/>
    <mergeCell ref="S32:T32"/>
    <mergeCell ref="B33:C33"/>
    <mergeCell ref="G33:I33"/>
    <mergeCell ref="J33:K33"/>
    <mergeCell ref="M33:N33"/>
    <mergeCell ref="O33:P33"/>
    <mergeCell ref="Q33:R33"/>
    <mergeCell ref="S33:T33"/>
    <mergeCell ref="B34:C34"/>
    <mergeCell ref="G34:I34"/>
    <mergeCell ref="J34:K34"/>
    <mergeCell ref="B35:C35"/>
    <mergeCell ref="G35:I35"/>
    <mergeCell ref="J35:K35"/>
    <mergeCell ref="B36:C36"/>
    <mergeCell ref="G36:I36"/>
    <mergeCell ref="J36:K36"/>
    <mergeCell ref="B38:W38"/>
    <mergeCell ref="B39:W39"/>
    <mergeCell ref="B41:W41"/>
  </mergeCells>
  <hyperlinks>
    <hyperlink ref="V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2:X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4" min="2" style="0" width="10.51"/>
  </cols>
  <sheetData>
    <row r="2" customFormat="false" ht="27.75" hidden="false" customHeight="true" outlineLevel="0" collapsed="false">
      <c r="B2" s="24" t="s">
        <v>181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" t="s">
        <v>1</v>
      </c>
      <c r="X2" s="2"/>
    </row>
    <row r="3" customFormat="false" ht="15" hidden="false" customHeight="true" outlineLevel="0" collapsed="false">
      <c r="B3" s="3" t="s">
        <v>430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352</v>
      </c>
      <c r="G5" s="38"/>
      <c r="H5" s="38"/>
      <c r="I5" s="38"/>
      <c r="J5" s="38" t="s">
        <v>353</v>
      </c>
      <c r="K5" s="38"/>
      <c r="L5" s="38"/>
      <c r="M5" s="38" t="s">
        <v>354</v>
      </c>
      <c r="N5" s="38"/>
      <c r="O5" s="38" t="s">
        <v>355</v>
      </c>
      <c r="P5" s="38"/>
      <c r="Q5" s="38" t="s">
        <v>431</v>
      </c>
      <c r="R5" s="38"/>
      <c r="S5" s="38"/>
      <c r="T5" s="38" t="s">
        <v>432</v>
      </c>
      <c r="U5" s="38"/>
      <c r="V5" s="39" t="s">
        <v>356</v>
      </c>
      <c r="W5" s="39"/>
      <c r="X5" s="39"/>
    </row>
    <row r="7" customFormat="false" ht="12.75" hidden="false" customHeight="true" outlineLevel="0" collapsed="false">
      <c r="B7" s="11" t="s">
        <v>127</v>
      </c>
      <c r="C7" s="11"/>
      <c r="D7" s="11"/>
      <c r="E7" s="11" t="s">
        <v>128</v>
      </c>
      <c r="F7" s="11"/>
      <c r="G7" s="11"/>
      <c r="H7" s="12" t="s">
        <v>433</v>
      </c>
      <c r="I7" s="12"/>
      <c r="J7" s="12"/>
      <c r="K7" s="12" t="s">
        <v>434</v>
      </c>
      <c r="L7" s="12"/>
      <c r="M7" s="12"/>
      <c r="N7" s="12" t="s">
        <v>435</v>
      </c>
      <c r="O7" s="12"/>
      <c r="P7" s="12"/>
    </row>
    <row r="8" customFormat="false" ht="25.5" hidden="false" customHeight="true" outlineLevel="0" collapsed="false">
      <c r="B8" s="13" t="n">
        <v>6220</v>
      </c>
      <c r="C8" s="13"/>
      <c r="D8" s="13"/>
      <c r="E8" s="13" t="n">
        <v>6385</v>
      </c>
      <c r="F8" s="13"/>
      <c r="G8" s="13"/>
      <c r="H8" s="48" t="n">
        <f aca="false">E8-B8</f>
        <v>165</v>
      </c>
      <c r="I8" s="48"/>
      <c r="J8" s="48"/>
      <c r="K8" s="49" t="n">
        <f aca="false">(E8-B8)/B8*100</f>
        <v>2.65273311897106</v>
      </c>
      <c r="L8" s="49"/>
      <c r="M8" s="49"/>
      <c r="N8" s="14" t="n">
        <v>18</v>
      </c>
      <c r="O8" s="14"/>
      <c r="P8" s="14"/>
    </row>
    <row r="9" customFormat="false" ht="15" hidden="false" customHeight="true" outlineLevel="0" collapsed="false">
      <c r="B9" s="16" t="s">
        <v>134</v>
      </c>
      <c r="C9" s="16"/>
      <c r="D9" s="16"/>
      <c r="E9" s="17" t="s">
        <v>362</v>
      </c>
      <c r="F9" s="17"/>
      <c r="G9" s="17"/>
      <c r="H9" s="16" t="s">
        <v>436</v>
      </c>
      <c r="I9" s="16"/>
      <c r="J9" s="16"/>
      <c r="K9" s="16" t="s">
        <v>437</v>
      </c>
      <c r="L9" s="16"/>
      <c r="M9" s="16"/>
      <c r="N9" s="18" t="s">
        <v>438</v>
      </c>
      <c r="O9" s="18"/>
      <c r="P9" s="18"/>
    </row>
    <row r="11" customFormat="false" ht="18" hidden="false" customHeight="true" outlineLevel="0" collapsed="false">
      <c r="B11" s="4" t="s">
        <v>439</v>
      </c>
      <c r="C11" s="4"/>
      <c r="D11" s="4"/>
      <c r="E11" s="4"/>
      <c r="F11" s="4"/>
      <c r="G11" s="4"/>
      <c r="H11" s="4"/>
      <c r="I11" s="4"/>
      <c r="J11" s="4"/>
    </row>
    <row r="12" customFormat="false" ht="21.75" hidden="false" customHeight="true" outlineLevel="0" collapsed="false">
      <c r="B12" s="40" t="s">
        <v>440</v>
      </c>
      <c r="C12" s="40"/>
      <c r="D12" s="25" t="s">
        <v>441</v>
      </c>
      <c r="E12" s="25" t="s">
        <v>442</v>
      </c>
      <c r="F12" s="25" t="s">
        <v>443</v>
      </c>
      <c r="G12" s="25" t="s">
        <v>444</v>
      </c>
      <c r="H12" s="25" t="s">
        <v>445</v>
      </c>
      <c r="I12" s="25" t="s">
        <v>418</v>
      </c>
      <c r="J12" s="25" t="s">
        <v>446</v>
      </c>
    </row>
    <row r="13" customFormat="false" ht="15.75" hidden="false" customHeight="true" outlineLevel="0" collapsed="false">
      <c r="B13" s="8" t="s">
        <v>447</v>
      </c>
      <c r="C13" s="8"/>
      <c r="D13" s="41" t="n">
        <v>11.9</v>
      </c>
      <c r="E13" s="41" t="n">
        <v>1.5</v>
      </c>
      <c r="F13" s="41" t="n">
        <v>12.4</v>
      </c>
      <c r="G13" s="41" t="n">
        <v>15</v>
      </c>
      <c r="H13" s="41" t="n">
        <v>-7.7</v>
      </c>
      <c r="I13" s="41" t="n">
        <v>-2.1</v>
      </c>
      <c r="J13" s="41" t="n">
        <f aca="false">SUM(D13:I13)</f>
        <v>31</v>
      </c>
    </row>
    <row r="14" customFormat="false" ht="15.75" hidden="false" customHeight="true" outlineLevel="0" collapsed="false">
      <c r="B14" s="10" t="s">
        <v>448</v>
      </c>
      <c r="C14" s="10"/>
      <c r="D14" s="44" t="n">
        <v>7.5</v>
      </c>
      <c r="E14" s="44" t="n">
        <v>4.2</v>
      </c>
      <c r="F14" s="44" t="n">
        <v>3.2</v>
      </c>
      <c r="G14" s="44" t="n">
        <v>-2.3</v>
      </c>
      <c r="H14" s="44" t="n">
        <v>11.9</v>
      </c>
      <c r="I14" s="44" t="n">
        <v>11.5</v>
      </c>
      <c r="J14" s="44" t="n">
        <f aca="false">SUM(D14:I14)</f>
        <v>36</v>
      </c>
    </row>
    <row r="15" customFormat="false" ht="15.75" hidden="false" customHeight="true" outlineLevel="0" collapsed="false">
      <c r="B15" s="8" t="s">
        <v>449</v>
      </c>
      <c r="C15" s="8"/>
      <c r="D15" s="41" t="n">
        <v>4.7</v>
      </c>
      <c r="E15" s="41" t="n">
        <v>13.5</v>
      </c>
      <c r="F15" s="41" t="n">
        <v>4.8</v>
      </c>
      <c r="G15" s="41" t="n">
        <v>-4.7</v>
      </c>
      <c r="H15" s="41" t="n">
        <v>5.5</v>
      </c>
      <c r="I15" s="41" t="n">
        <v>-4.8</v>
      </c>
      <c r="J15" s="41" t="n">
        <f aca="false">SUM(D15:I15)</f>
        <v>19</v>
      </c>
    </row>
    <row r="16" customFormat="false" ht="15.75" hidden="false" customHeight="true" outlineLevel="0" collapsed="false">
      <c r="B16" s="10" t="s">
        <v>450</v>
      </c>
      <c r="C16" s="10"/>
      <c r="D16" s="44" t="n">
        <v>9.1</v>
      </c>
      <c r="E16" s="44" t="n">
        <v>2</v>
      </c>
      <c r="F16" s="44" t="n">
        <v>-2.5</v>
      </c>
      <c r="G16" s="44" t="n">
        <v>-5.4</v>
      </c>
      <c r="H16" s="44" t="n">
        <v>10.2</v>
      </c>
      <c r="I16" s="44" t="n">
        <v>-0.4</v>
      </c>
      <c r="J16" s="44" t="n">
        <f aca="false">SUM(D16:I16)</f>
        <v>13</v>
      </c>
    </row>
    <row r="17" customFormat="false" ht="15.75" hidden="false" customHeight="true" outlineLevel="0" collapsed="false">
      <c r="B17" s="8" t="s">
        <v>451</v>
      </c>
      <c r="C17" s="8"/>
      <c r="D17" s="41" t="n">
        <v>-1.3</v>
      </c>
      <c r="E17" s="41" t="n">
        <v>-0.4</v>
      </c>
      <c r="F17" s="41" t="n">
        <v>3.3</v>
      </c>
      <c r="G17" s="41" t="n">
        <v>3.1</v>
      </c>
      <c r="H17" s="41" t="n">
        <v>3.8</v>
      </c>
      <c r="I17" s="41" t="n">
        <v>4.5</v>
      </c>
      <c r="J17" s="41" t="n">
        <f aca="false">SUM(D17:I17)</f>
        <v>13</v>
      </c>
    </row>
    <row r="18" customFormat="false" ht="15.75" hidden="false" customHeight="true" outlineLevel="0" collapsed="false">
      <c r="B18" s="10" t="s">
        <v>452</v>
      </c>
      <c r="C18" s="10"/>
      <c r="D18" s="44" t="n">
        <v>17.4</v>
      </c>
      <c r="E18" s="44" t="n">
        <v>-2.7</v>
      </c>
      <c r="F18" s="44" t="n">
        <v>-7</v>
      </c>
      <c r="G18" s="44" t="n">
        <v>-8.3</v>
      </c>
      <c r="H18" s="44" t="n">
        <v>3.5</v>
      </c>
      <c r="I18" s="44" t="n">
        <v>8.1</v>
      </c>
      <c r="J18" s="44" t="n">
        <f aca="false">SUM(D18:I18)</f>
        <v>11</v>
      </c>
    </row>
    <row r="19" customFormat="false" ht="15.75" hidden="false" customHeight="true" outlineLevel="0" collapsed="false">
      <c r="B19" s="8" t="s">
        <v>453</v>
      </c>
      <c r="C19" s="8"/>
      <c r="D19" s="41" t="n">
        <v>2</v>
      </c>
      <c r="E19" s="41" t="n">
        <v>-3.5</v>
      </c>
      <c r="F19" s="41" t="n">
        <v>-6.8</v>
      </c>
      <c r="G19" s="41" t="n">
        <v>6.1</v>
      </c>
      <c r="H19" s="41" t="n">
        <v>7.2</v>
      </c>
      <c r="I19" s="41" t="n">
        <v>6</v>
      </c>
      <c r="J19" s="41" t="n">
        <f aca="false">SUM(D19:I19)</f>
        <v>11</v>
      </c>
    </row>
    <row r="20" customFormat="false" ht="15.75" hidden="false" customHeight="true" outlineLevel="0" collapsed="false">
      <c r="B20" s="10" t="s">
        <v>454</v>
      </c>
      <c r="C20" s="10"/>
      <c r="D20" s="44" t="n">
        <v>-3.2</v>
      </c>
      <c r="E20" s="44" t="n">
        <v>4.3</v>
      </c>
      <c r="F20" s="44" t="n">
        <v>-0.1</v>
      </c>
      <c r="G20" s="44" t="n">
        <v>1.9</v>
      </c>
      <c r="H20" s="44" t="n">
        <v>7.5</v>
      </c>
      <c r="I20" s="44" t="n">
        <v>2.6</v>
      </c>
      <c r="J20" s="44" t="n">
        <f aca="false">SUM(D20:I20)</f>
        <v>13</v>
      </c>
    </row>
    <row r="21" customFormat="false" ht="15.75" hidden="false" customHeight="true" outlineLevel="0" collapsed="false">
      <c r="B21" s="8" t="s">
        <v>455</v>
      </c>
      <c r="C21" s="8"/>
      <c r="D21" s="41" t="n">
        <v>9.9</v>
      </c>
      <c r="E21" s="41" t="n">
        <v>5.2</v>
      </c>
      <c r="F21" s="41" t="n">
        <v>3.6</v>
      </c>
      <c r="G21" s="41" t="n">
        <v>7.5</v>
      </c>
      <c r="H21" s="41" t="n">
        <v>-8.9</v>
      </c>
      <c r="I21" s="41" t="n">
        <v>0.7</v>
      </c>
      <c r="J21" s="41" t="n">
        <f aca="false">SUM(D21:I21)</f>
        <v>18</v>
      </c>
    </row>
    <row r="22" customFormat="false" ht="15.75" hidden="false" customHeight="true" outlineLevel="0" collapsed="false">
      <c r="B22" s="50" t="s">
        <v>446</v>
      </c>
      <c r="C22" s="50"/>
      <c r="D22" s="51" t="n">
        <f aca="false">SUM(D13:D21)</f>
        <v>58</v>
      </c>
      <c r="E22" s="51" t="n">
        <f aca="false">SUM(E13:E21)</f>
        <v>24.1</v>
      </c>
      <c r="F22" s="51" t="n">
        <f aca="false">SUM(F13:F21)</f>
        <v>10.9</v>
      </c>
      <c r="G22" s="51" t="n">
        <f aca="false">SUM(G13:G21)</f>
        <v>12.9</v>
      </c>
      <c r="H22" s="51" t="n">
        <f aca="false">SUM(H13:H21)</f>
        <v>33</v>
      </c>
      <c r="I22" s="51" t="n">
        <f aca="false">SUM(I13:I21)</f>
        <v>26.1</v>
      </c>
      <c r="J22" s="51" t="n">
        <f aca="false">SUM(J13:J21)</f>
        <v>165</v>
      </c>
    </row>
    <row r="24" customFormat="false" ht="18" hidden="false" customHeight="true" outlineLevel="0" collapsed="false">
      <c r="B24" s="4" t="s">
        <v>456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customFormat="false" ht="24" hidden="false" customHeight="true" outlineLevel="0" collapsed="false">
      <c r="B25" s="25" t="s">
        <v>457</v>
      </c>
      <c r="C25" s="40" t="s">
        <v>458</v>
      </c>
      <c r="D25" s="40"/>
      <c r="E25" s="25" t="s">
        <v>459</v>
      </c>
      <c r="F25" s="25" t="s">
        <v>460</v>
      </c>
      <c r="G25" s="40" t="s">
        <v>461</v>
      </c>
      <c r="H25" s="40"/>
      <c r="I25" s="25" t="s">
        <v>440</v>
      </c>
      <c r="J25" s="25" t="s">
        <v>379</v>
      </c>
      <c r="K25" s="25" t="s">
        <v>417</v>
      </c>
      <c r="L25" s="25" t="s">
        <v>462</v>
      </c>
      <c r="M25" s="25" t="s">
        <v>463</v>
      </c>
      <c r="N25" s="40" t="s">
        <v>464</v>
      </c>
      <c r="O25" s="40"/>
      <c r="P25" s="40"/>
      <c r="Q25" s="25" t="s">
        <v>465</v>
      </c>
    </row>
    <row r="26" customFormat="false" ht="15" hidden="false" customHeight="true" outlineLevel="0" collapsed="false">
      <c r="B26" s="8" t="s">
        <v>466</v>
      </c>
      <c r="C26" s="8" t="s">
        <v>134</v>
      </c>
      <c r="D26" s="8"/>
      <c r="E26" s="8" t="s">
        <v>441</v>
      </c>
      <c r="F26" s="8" t="s">
        <v>467</v>
      </c>
      <c r="G26" s="8" t="s">
        <v>468</v>
      </c>
      <c r="H26" s="8"/>
      <c r="I26" s="8" t="s">
        <v>447</v>
      </c>
      <c r="J26" s="52" t="n">
        <v>812.4</v>
      </c>
      <c r="K26" s="52" t="n">
        <v>846.1</v>
      </c>
      <c r="L26" s="41" t="n">
        <f aca="false">K26-J26</f>
        <v>33.7</v>
      </c>
      <c r="M26" s="53" t="n">
        <f aca="false">(K26-J26)/J26*100</f>
        <v>4.1482028557361</v>
      </c>
      <c r="N26" s="8" t="s">
        <v>469</v>
      </c>
      <c r="O26" s="8"/>
      <c r="P26" s="8"/>
      <c r="Q26" s="46" t="s">
        <v>470</v>
      </c>
    </row>
    <row r="27" customFormat="false" ht="15" hidden="false" customHeight="true" outlineLevel="0" collapsed="false">
      <c r="B27" s="10" t="s">
        <v>466</v>
      </c>
      <c r="C27" s="10" t="s">
        <v>134</v>
      </c>
      <c r="D27" s="10"/>
      <c r="E27" s="10" t="s">
        <v>441</v>
      </c>
      <c r="F27" s="10" t="s">
        <v>467</v>
      </c>
      <c r="G27" s="10" t="s">
        <v>471</v>
      </c>
      <c r="H27" s="10"/>
      <c r="I27" s="10" t="s">
        <v>449</v>
      </c>
      <c r="J27" s="54" t="n">
        <v>74.5</v>
      </c>
      <c r="K27" s="54" t="n">
        <v>81.2</v>
      </c>
      <c r="L27" s="44" t="n">
        <f aca="false">K27-J27</f>
        <v>6.7</v>
      </c>
      <c r="M27" s="55" t="n">
        <f aca="false">(K27-J27)/J27*100</f>
        <v>8.99328859060403</v>
      </c>
      <c r="N27" s="10" t="s">
        <v>472</v>
      </c>
      <c r="O27" s="10"/>
      <c r="P27" s="10"/>
      <c r="Q27" s="46" t="s">
        <v>470</v>
      </c>
    </row>
    <row r="28" customFormat="false" ht="15" hidden="false" customHeight="true" outlineLevel="0" collapsed="false">
      <c r="B28" s="8" t="s">
        <v>466</v>
      </c>
      <c r="C28" s="8" t="s">
        <v>134</v>
      </c>
      <c r="D28" s="8"/>
      <c r="E28" s="8" t="s">
        <v>445</v>
      </c>
      <c r="F28" s="8" t="s">
        <v>473</v>
      </c>
      <c r="G28" s="8" t="s">
        <v>468</v>
      </c>
      <c r="H28" s="8"/>
      <c r="I28" s="8" t="s">
        <v>447</v>
      </c>
      <c r="J28" s="52" t="n">
        <v>118.2</v>
      </c>
      <c r="K28" s="52" t="n">
        <v>129.6</v>
      </c>
      <c r="L28" s="41" t="n">
        <f aca="false">K28-J28</f>
        <v>11.4</v>
      </c>
      <c r="M28" s="53" t="n">
        <f aca="false">(K28-J28)/J28*100</f>
        <v>9.64467005076141</v>
      </c>
      <c r="N28" s="8" t="s">
        <v>469</v>
      </c>
      <c r="O28" s="8"/>
      <c r="P28" s="8"/>
      <c r="Q28" s="46" t="s">
        <v>470</v>
      </c>
    </row>
    <row r="29" customFormat="false" ht="15" hidden="false" customHeight="true" outlineLevel="0" collapsed="false">
      <c r="B29" s="10" t="s">
        <v>466</v>
      </c>
      <c r="C29" s="10" t="s">
        <v>134</v>
      </c>
      <c r="D29" s="10"/>
      <c r="E29" s="10" t="s">
        <v>442</v>
      </c>
      <c r="F29" s="10" t="s">
        <v>474</v>
      </c>
      <c r="G29" s="10" t="s">
        <v>468</v>
      </c>
      <c r="H29" s="10"/>
      <c r="I29" s="10" t="s">
        <v>447</v>
      </c>
      <c r="J29" s="54" t="n">
        <v>96.8</v>
      </c>
      <c r="K29" s="54" t="n">
        <v>97.1</v>
      </c>
      <c r="L29" s="44" t="n">
        <f aca="false">K29-J29</f>
        <v>0.299999999999997</v>
      </c>
      <c r="M29" s="55" t="n">
        <f aca="false">(K29-J29)/J29*100</f>
        <v>0.309917355371898</v>
      </c>
      <c r="N29" s="10" t="s">
        <v>166</v>
      </c>
      <c r="O29" s="10"/>
      <c r="P29" s="10"/>
      <c r="Q29" s="56" t="s">
        <v>475</v>
      </c>
    </row>
    <row r="30" customFormat="false" ht="15" hidden="false" customHeight="true" outlineLevel="0" collapsed="false">
      <c r="B30" s="8" t="s">
        <v>466</v>
      </c>
      <c r="C30" s="8" t="s">
        <v>134</v>
      </c>
      <c r="D30" s="8"/>
      <c r="E30" s="8" t="s">
        <v>444</v>
      </c>
      <c r="F30" s="8" t="s">
        <v>476</v>
      </c>
      <c r="G30" s="8" t="s">
        <v>468</v>
      </c>
      <c r="H30" s="8"/>
      <c r="I30" s="8" t="s">
        <v>447</v>
      </c>
      <c r="J30" s="52" t="n">
        <v>44.1</v>
      </c>
      <c r="K30" s="52" t="n">
        <v>47.9</v>
      </c>
      <c r="L30" s="41" t="n">
        <f aca="false">K30-J30</f>
        <v>3.8</v>
      </c>
      <c r="M30" s="53" t="n">
        <f aca="false">(K30-J30)/J30*100</f>
        <v>8.61678004535147</v>
      </c>
      <c r="N30" s="8" t="s">
        <v>477</v>
      </c>
      <c r="O30" s="8"/>
      <c r="P30" s="8"/>
      <c r="Q30" s="46" t="s">
        <v>470</v>
      </c>
    </row>
    <row r="31" customFormat="false" ht="15" hidden="false" customHeight="true" outlineLevel="0" collapsed="false">
      <c r="B31" s="10" t="s">
        <v>466</v>
      </c>
      <c r="C31" s="10" t="s">
        <v>134</v>
      </c>
      <c r="D31" s="10"/>
      <c r="E31" s="10" t="s">
        <v>443</v>
      </c>
      <c r="F31" s="10" t="s">
        <v>478</v>
      </c>
      <c r="G31" s="10" t="s">
        <v>468</v>
      </c>
      <c r="H31" s="10"/>
      <c r="I31" s="10" t="s">
        <v>447</v>
      </c>
      <c r="J31" s="54" t="n">
        <v>51.2</v>
      </c>
      <c r="K31" s="54" t="n">
        <v>53</v>
      </c>
      <c r="L31" s="44" t="n">
        <f aca="false">K31-J31</f>
        <v>1.8</v>
      </c>
      <c r="M31" s="55" t="n">
        <f aca="false">(K31-J31)/J31*100</f>
        <v>3.51562499999999</v>
      </c>
      <c r="N31" s="10" t="s">
        <v>479</v>
      </c>
      <c r="O31" s="10"/>
      <c r="P31" s="10"/>
      <c r="Q31" s="56" t="s">
        <v>475</v>
      </c>
    </row>
    <row r="32" customFormat="false" ht="15" hidden="false" customHeight="true" outlineLevel="0" collapsed="false">
      <c r="B32" s="8" t="s">
        <v>466</v>
      </c>
      <c r="C32" s="8" t="s">
        <v>134</v>
      </c>
      <c r="D32" s="8"/>
      <c r="E32" s="8" t="s">
        <v>418</v>
      </c>
      <c r="F32" s="8" t="s">
        <v>480</v>
      </c>
      <c r="G32" s="8" t="s">
        <v>481</v>
      </c>
      <c r="H32" s="8"/>
      <c r="I32" s="8" t="s">
        <v>454</v>
      </c>
      <c r="J32" s="52" t="n">
        <v>9.5</v>
      </c>
      <c r="K32" s="52" t="n">
        <v>15.6</v>
      </c>
      <c r="L32" s="41" t="n">
        <f aca="false">K32-J32</f>
        <v>6.1</v>
      </c>
      <c r="M32" s="53" t="n">
        <f aca="false">(K32-J32)/J32*100</f>
        <v>64.2105263157895</v>
      </c>
      <c r="N32" s="8" t="s">
        <v>482</v>
      </c>
      <c r="O32" s="8"/>
      <c r="P32" s="8"/>
      <c r="Q32" s="46" t="s">
        <v>470</v>
      </c>
    </row>
    <row r="33" customFormat="false" ht="15" hidden="false" customHeight="true" outlineLevel="0" collapsed="false">
      <c r="B33" s="10" t="s">
        <v>466</v>
      </c>
      <c r="C33" s="10" t="s">
        <v>134</v>
      </c>
      <c r="D33" s="10"/>
      <c r="E33" s="10" t="s">
        <v>441</v>
      </c>
      <c r="F33" s="10" t="s">
        <v>483</v>
      </c>
      <c r="G33" s="10" t="s">
        <v>484</v>
      </c>
      <c r="H33" s="10"/>
      <c r="I33" s="10" t="s">
        <v>453</v>
      </c>
      <c r="J33" s="54" t="n">
        <v>31</v>
      </c>
      <c r="K33" s="54" t="n">
        <v>34.2</v>
      </c>
      <c r="L33" s="44" t="n">
        <f aca="false">K33-J33</f>
        <v>3.2</v>
      </c>
      <c r="M33" s="55" t="n">
        <f aca="false">(K33-J33)/J33*100</f>
        <v>10.3225806451613</v>
      </c>
      <c r="N33" s="10" t="s">
        <v>485</v>
      </c>
      <c r="O33" s="10"/>
      <c r="P33" s="10"/>
      <c r="Q33" s="46" t="s">
        <v>470</v>
      </c>
    </row>
    <row r="35" customFormat="false" ht="15.75" hidden="false" customHeight="true" outlineLevel="0" collapsed="false">
      <c r="B35" s="57" t="s">
        <v>486</v>
      </c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customFormat="false" ht="15" hidden="false" customHeight="false" outlineLevel="0" collapsed="false">
      <c r="B36" s="22" t="s">
        <v>487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</row>
    <row r="38" customFormat="false" ht="15" hidden="false" customHeight="false" outlineLevel="0" collapsed="false">
      <c r="B38" s="23" t="s">
        <v>488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</row>
  </sheetData>
  <mergeCells count="70">
    <mergeCell ref="B2:V2"/>
    <mergeCell ref="W2:X2"/>
    <mergeCell ref="B3:X3"/>
    <mergeCell ref="B5:C5"/>
    <mergeCell ref="D5:E5"/>
    <mergeCell ref="F5:I5"/>
    <mergeCell ref="J5:L5"/>
    <mergeCell ref="M5:N5"/>
    <mergeCell ref="O5:P5"/>
    <mergeCell ref="Q5:S5"/>
    <mergeCell ref="T5:U5"/>
    <mergeCell ref="V5:X5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11:J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4:Q24"/>
    <mergeCell ref="C25:D25"/>
    <mergeCell ref="G25:H25"/>
    <mergeCell ref="N25:P25"/>
    <mergeCell ref="C26:D26"/>
    <mergeCell ref="G26:H26"/>
    <mergeCell ref="N26:P26"/>
    <mergeCell ref="C27:D27"/>
    <mergeCell ref="G27:H27"/>
    <mergeCell ref="N27:P27"/>
    <mergeCell ref="C28:D28"/>
    <mergeCell ref="G28:H28"/>
    <mergeCell ref="N28:P28"/>
    <mergeCell ref="C29:D29"/>
    <mergeCell ref="G29:H29"/>
    <mergeCell ref="N29:P29"/>
    <mergeCell ref="C30:D30"/>
    <mergeCell ref="G30:H30"/>
    <mergeCell ref="N30:P30"/>
    <mergeCell ref="C31:D31"/>
    <mergeCell ref="G31:H31"/>
    <mergeCell ref="N31:P31"/>
    <mergeCell ref="C32:D32"/>
    <mergeCell ref="G32:H32"/>
    <mergeCell ref="N32:P32"/>
    <mergeCell ref="C33:D33"/>
    <mergeCell ref="G33:H33"/>
    <mergeCell ref="N33:P33"/>
    <mergeCell ref="B35:Q35"/>
    <mergeCell ref="B36:X36"/>
    <mergeCell ref="B38:X38"/>
  </mergeCells>
  <conditionalFormatting sqref="D13:I21">
    <cfRule type="colorScale" priority="2">
      <colorScale>
        <cfvo type="min" val="0"/>
        <cfvo type="num" val="0"/>
        <cfvo type="max" val="0"/>
        <color rgb="FF17858C"/>
        <color rgb="FFFFFFFF"/>
        <color rgb="FFC0392B"/>
      </colorScale>
    </cfRule>
  </conditionalFormatting>
  <conditionalFormatting sqref="L26:L33">
    <cfRule type="dataBar" priority="3">
      <dataBar showValue="1" minLength="10" maxLength="90">
        <cfvo type="min" val="0"/>
        <cfvo type="max" val="0"/>
        <color rgb="FF2F5597"/>
      </dataBar>
      <extLst>
        <ext xmlns:x14="http://schemas.microsoft.com/office/spreadsheetml/2009/9/main" uri="{B025F937-C7B1-47D3-B67F-A62EFF666E3E}">
          <x14:id>{4A3BC51C-A0ED-4817-8EC0-528A1671A0A4}</x14:id>
        </ext>
      </extLst>
    </cfRule>
  </conditionalFormatting>
  <hyperlinks>
    <hyperlink ref="W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3BC51C-A0ED-4817-8EC0-528A1671A0A4}">
            <x14:dataBar minLength="10" maxLength="90" axisPosition="none" gradient="true">
              <x14:cfvo type="min"/>
              <x14:cfvo type="max"/>
              <x14:negativeFillColor rgb="FF2F5597"/>
              <x14:axisColor rgb="FF000000"/>
            </x14:dataBar>
          </x14:cfRule>
          <xm:sqref>L26:L33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C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190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" t="s">
        <v>1</v>
      </c>
      <c r="U2" s="2"/>
    </row>
    <row r="3" customFormat="false" ht="15" hidden="false" customHeight="true" outlineLevel="0" collapsed="false">
      <c r="B3" s="3" t="s">
        <v>489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AA3" s="35" t="s">
        <v>376</v>
      </c>
      <c r="AB3" s="35" t="s">
        <v>377</v>
      </c>
      <c r="AC3" s="35" t="s">
        <v>378</v>
      </c>
    </row>
    <row r="4" customFormat="false" ht="15" hidden="false" customHeight="false" outlineLevel="0" collapsed="false">
      <c r="AA4" s="36" t="s">
        <v>379</v>
      </c>
      <c r="AB4" s="37" t="n">
        <v>0</v>
      </c>
      <c r="AC4" s="37" t="n">
        <v>6220</v>
      </c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352</v>
      </c>
      <c r="G5" s="38"/>
      <c r="H5" s="38"/>
      <c r="I5" s="38"/>
      <c r="J5" s="38" t="s">
        <v>353</v>
      </c>
      <c r="K5" s="38"/>
      <c r="L5" s="38"/>
      <c r="M5" s="38" t="s">
        <v>354</v>
      </c>
      <c r="N5" s="38"/>
      <c r="O5" s="38" t="s">
        <v>355</v>
      </c>
      <c r="P5" s="38"/>
      <c r="Q5" s="38" t="s">
        <v>490</v>
      </c>
      <c r="R5" s="38"/>
      <c r="S5" s="39" t="s">
        <v>356</v>
      </c>
      <c r="T5" s="39"/>
      <c r="U5" s="39"/>
      <c r="AA5" s="36" t="s">
        <v>380</v>
      </c>
      <c r="AB5" s="37" t="n">
        <v>6182</v>
      </c>
      <c r="AC5" s="37" t="n">
        <v>38</v>
      </c>
    </row>
    <row r="6" customFormat="false" ht="15" hidden="false" customHeight="false" outlineLevel="0" collapsed="false">
      <c r="AA6" s="36" t="s">
        <v>381</v>
      </c>
      <c r="AB6" s="37" t="n">
        <v>6182</v>
      </c>
      <c r="AC6" s="37" t="n">
        <v>41</v>
      </c>
    </row>
    <row r="7" customFormat="false" ht="15" hidden="false" customHeight="true" outlineLevel="0" collapsed="false">
      <c r="L7" s="58" t="s">
        <v>491</v>
      </c>
      <c r="M7" s="58"/>
      <c r="N7" s="58"/>
      <c r="O7" s="58"/>
      <c r="P7" s="58"/>
      <c r="Q7" s="58"/>
      <c r="R7" s="58"/>
      <c r="S7" s="58"/>
      <c r="T7" s="58"/>
      <c r="AA7" s="36" t="s">
        <v>382</v>
      </c>
      <c r="AB7" s="37" t="n">
        <v>6223</v>
      </c>
      <c r="AC7" s="37" t="n">
        <v>48</v>
      </c>
    </row>
    <row r="8" customFormat="false" ht="15" hidden="false" customHeight="true" outlineLevel="0" collapsed="false">
      <c r="L8" s="59" t="s">
        <v>492</v>
      </c>
      <c r="M8" s="59"/>
      <c r="N8" s="59"/>
      <c r="O8" s="59"/>
      <c r="P8" s="59"/>
      <c r="Q8" s="59"/>
      <c r="R8" s="59"/>
      <c r="S8" s="59"/>
      <c r="T8" s="59"/>
      <c r="AA8" s="36" t="s">
        <v>383</v>
      </c>
      <c r="AB8" s="37" t="n">
        <v>6271</v>
      </c>
      <c r="AC8" s="37" t="n">
        <v>28</v>
      </c>
    </row>
    <row r="9" customFormat="false" ht="15" hidden="false" customHeight="true" outlineLevel="0" collapsed="false">
      <c r="L9" s="59" t="s">
        <v>493</v>
      </c>
      <c r="M9" s="59"/>
      <c r="N9" s="59"/>
      <c r="O9" s="59"/>
      <c r="P9" s="59"/>
      <c r="Q9" s="59"/>
      <c r="R9" s="59"/>
      <c r="S9" s="59"/>
      <c r="T9" s="59"/>
      <c r="AA9" s="36" t="s">
        <v>384</v>
      </c>
      <c r="AB9" s="37" t="n">
        <v>6299</v>
      </c>
      <c r="AC9" s="37" t="n">
        <v>38</v>
      </c>
    </row>
    <row r="10" customFormat="false" ht="15" hidden="false" customHeight="true" outlineLevel="0" collapsed="false">
      <c r="L10" s="59" t="s">
        <v>494</v>
      </c>
      <c r="M10" s="59"/>
      <c r="N10" s="59"/>
      <c r="O10" s="59"/>
      <c r="P10" s="59"/>
      <c r="Q10" s="59"/>
      <c r="R10" s="59"/>
      <c r="S10" s="59"/>
      <c r="T10" s="59"/>
      <c r="AA10" s="36" t="s">
        <v>385</v>
      </c>
      <c r="AB10" s="37" t="n">
        <v>6337</v>
      </c>
      <c r="AC10" s="37" t="n">
        <v>18</v>
      </c>
    </row>
    <row r="11" customFormat="false" ht="15" hidden="false" customHeight="true" outlineLevel="0" collapsed="false">
      <c r="L11" s="59" t="s">
        <v>495</v>
      </c>
      <c r="M11" s="59"/>
      <c r="N11" s="59"/>
      <c r="O11" s="59"/>
      <c r="P11" s="59"/>
      <c r="Q11" s="59"/>
      <c r="R11" s="59"/>
      <c r="S11" s="59"/>
      <c r="T11" s="59"/>
      <c r="AA11" s="36" t="s">
        <v>386</v>
      </c>
      <c r="AB11" s="37" t="n">
        <v>6355</v>
      </c>
      <c r="AC11" s="37" t="n">
        <v>15</v>
      </c>
    </row>
    <row r="12" customFormat="false" ht="15" hidden="false" customHeight="true" outlineLevel="0" collapsed="false">
      <c r="L12" s="59" t="s">
        <v>496</v>
      </c>
      <c r="M12" s="59"/>
      <c r="N12" s="59"/>
      <c r="O12" s="59"/>
      <c r="P12" s="59"/>
      <c r="Q12" s="59"/>
      <c r="R12" s="59"/>
      <c r="S12" s="59"/>
      <c r="T12" s="59"/>
      <c r="AA12" s="36" t="s">
        <v>387</v>
      </c>
      <c r="AB12" s="37" t="n">
        <v>6370</v>
      </c>
      <c r="AC12" s="37" t="n">
        <v>9</v>
      </c>
    </row>
    <row r="13" customFormat="false" ht="15" hidden="false" customHeight="true" outlineLevel="0" collapsed="false">
      <c r="L13" s="59" t="s">
        <v>497</v>
      </c>
      <c r="M13" s="59"/>
      <c r="N13" s="59"/>
      <c r="O13" s="59"/>
      <c r="P13" s="59"/>
      <c r="Q13" s="59"/>
      <c r="R13" s="59"/>
      <c r="S13" s="59"/>
      <c r="T13" s="59"/>
      <c r="AA13" s="36" t="s">
        <v>388</v>
      </c>
      <c r="AB13" s="37" t="n">
        <v>6379</v>
      </c>
      <c r="AC13" s="37" t="n">
        <v>10</v>
      </c>
    </row>
    <row r="14" customFormat="false" ht="15" hidden="false" customHeight="true" outlineLevel="0" collapsed="false">
      <c r="L14" s="59" t="s">
        <v>498</v>
      </c>
      <c r="M14" s="59"/>
      <c r="N14" s="59"/>
      <c r="O14" s="59"/>
      <c r="P14" s="59"/>
      <c r="Q14" s="59"/>
      <c r="R14" s="59"/>
      <c r="S14" s="59"/>
      <c r="T14" s="59"/>
      <c r="AA14" s="36" t="s">
        <v>389</v>
      </c>
      <c r="AB14" s="37" t="n">
        <v>6387</v>
      </c>
      <c r="AC14" s="37" t="n">
        <v>2</v>
      </c>
    </row>
    <row r="15" customFormat="false" ht="15" hidden="false" customHeight="true" outlineLevel="0" collapsed="false">
      <c r="L15" s="59" t="s">
        <v>499</v>
      </c>
      <c r="M15" s="59"/>
      <c r="N15" s="59"/>
      <c r="O15" s="59"/>
      <c r="P15" s="59"/>
      <c r="Q15" s="59"/>
      <c r="R15" s="59"/>
      <c r="S15" s="59"/>
      <c r="T15" s="59"/>
      <c r="AA15" s="36" t="s">
        <v>392</v>
      </c>
      <c r="AB15" s="37" t="n">
        <v>6381</v>
      </c>
      <c r="AC15" s="37" t="n">
        <v>6</v>
      </c>
    </row>
    <row r="16" customFormat="false" ht="15" hidden="false" customHeight="true" outlineLevel="0" collapsed="false">
      <c r="L16" s="59" t="s">
        <v>500</v>
      </c>
      <c r="M16" s="59"/>
      <c r="N16" s="59"/>
      <c r="O16" s="59"/>
      <c r="P16" s="59"/>
      <c r="Q16" s="59"/>
      <c r="R16" s="59"/>
      <c r="S16" s="59"/>
      <c r="T16" s="59"/>
      <c r="AA16" s="36" t="s">
        <v>403</v>
      </c>
      <c r="AB16" s="37" t="n">
        <v>6381</v>
      </c>
      <c r="AC16" s="37" t="n">
        <v>8</v>
      </c>
    </row>
    <row r="17" customFormat="false" ht="15" hidden="false" customHeight="true" outlineLevel="0" collapsed="false">
      <c r="L17" s="59" t="s">
        <v>501</v>
      </c>
      <c r="M17" s="59"/>
      <c r="N17" s="59"/>
      <c r="O17" s="59"/>
      <c r="P17" s="59"/>
      <c r="Q17" s="59"/>
      <c r="R17" s="59"/>
      <c r="S17" s="59"/>
      <c r="T17" s="59"/>
      <c r="AA17" s="36" t="s">
        <v>410</v>
      </c>
      <c r="AB17" s="37" t="n">
        <v>6385</v>
      </c>
      <c r="AC17" s="37" t="n">
        <v>4</v>
      </c>
    </row>
    <row r="18" customFormat="false" ht="15" hidden="false" customHeight="true" outlineLevel="0" collapsed="false">
      <c r="L18" s="59" t="s">
        <v>502</v>
      </c>
      <c r="M18" s="59"/>
      <c r="N18" s="59"/>
      <c r="O18" s="59"/>
      <c r="P18" s="59"/>
      <c r="Q18" s="59"/>
      <c r="R18" s="59"/>
      <c r="S18" s="59"/>
      <c r="T18" s="59"/>
      <c r="AA18" s="36" t="s">
        <v>417</v>
      </c>
      <c r="AB18" s="37" t="n">
        <v>0</v>
      </c>
      <c r="AC18" s="37" t="n">
        <v>6385</v>
      </c>
    </row>
    <row r="19" customFormat="false" ht="15" hidden="false" customHeight="true" outlineLevel="0" collapsed="false">
      <c r="L19" s="60" t="s">
        <v>503</v>
      </c>
      <c r="M19" s="60"/>
      <c r="N19" s="60"/>
      <c r="O19" s="60"/>
      <c r="P19" s="60"/>
      <c r="Q19" s="60"/>
      <c r="R19" s="60"/>
      <c r="S19" s="60"/>
      <c r="T19" s="60"/>
    </row>
    <row r="28" customFormat="false" ht="18" hidden="false" customHeight="true" outlineLevel="0" collapsed="false">
      <c r="B28" s="4" t="s">
        <v>504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customFormat="false" ht="21.75" hidden="false" customHeight="true" outlineLevel="0" collapsed="false">
      <c r="B29" s="40" t="s">
        <v>464</v>
      </c>
      <c r="C29" s="40"/>
      <c r="D29" s="40"/>
      <c r="E29" s="25" t="s">
        <v>505</v>
      </c>
      <c r="F29" s="40" t="s">
        <v>506</v>
      </c>
      <c r="G29" s="40"/>
      <c r="H29" s="40"/>
      <c r="I29" s="40"/>
      <c r="J29" s="25" t="s">
        <v>507</v>
      </c>
      <c r="K29" s="25" t="s">
        <v>508</v>
      </c>
      <c r="L29" s="40" t="s">
        <v>509</v>
      </c>
      <c r="M29" s="40"/>
      <c r="N29" s="40" t="s">
        <v>398</v>
      </c>
      <c r="O29" s="40"/>
    </row>
    <row r="30" customFormat="false" ht="30" hidden="false" customHeight="true" outlineLevel="0" collapsed="false">
      <c r="B30" s="28" t="s">
        <v>510</v>
      </c>
      <c r="C30" s="28"/>
      <c r="D30" s="28"/>
      <c r="E30" s="8" t="s">
        <v>511</v>
      </c>
      <c r="F30" s="28" t="s">
        <v>512</v>
      </c>
      <c r="G30" s="28"/>
      <c r="H30" s="28"/>
      <c r="I30" s="28"/>
      <c r="J30" s="41" t="n">
        <v>-48</v>
      </c>
      <c r="K30" s="26" t="s">
        <v>513</v>
      </c>
      <c r="L30" s="28" t="s">
        <v>514</v>
      </c>
      <c r="M30" s="28"/>
      <c r="N30" s="47" t="s">
        <v>424</v>
      </c>
      <c r="O30" s="47"/>
    </row>
    <row r="31" customFormat="false" ht="30" hidden="false" customHeight="true" outlineLevel="0" collapsed="false">
      <c r="B31" s="31" t="s">
        <v>510</v>
      </c>
      <c r="C31" s="31"/>
      <c r="D31" s="31"/>
      <c r="E31" s="10" t="s">
        <v>515</v>
      </c>
      <c r="F31" s="31" t="s">
        <v>516</v>
      </c>
      <c r="G31" s="31"/>
      <c r="H31" s="31"/>
      <c r="I31" s="31"/>
      <c r="J31" s="44" t="n">
        <v>18</v>
      </c>
      <c r="K31" s="29" t="s">
        <v>517</v>
      </c>
      <c r="L31" s="31" t="s">
        <v>514</v>
      </c>
      <c r="M31" s="31"/>
      <c r="N31" s="47" t="s">
        <v>424</v>
      </c>
      <c r="O31" s="47"/>
    </row>
    <row r="32" customFormat="false" ht="30" hidden="false" customHeight="true" outlineLevel="0" collapsed="false">
      <c r="B32" s="28" t="s">
        <v>510</v>
      </c>
      <c r="C32" s="28"/>
      <c r="D32" s="28"/>
      <c r="E32" s="8" t="s">
        <v>518</v>
      </c>
      <c r="F32" s="28" t="s">
        <v>519</v>
      </c>
      <c r="G32" s="28"/>
      <c r="H32" s="28"/>
      <c r="I32" s="28"/>
      <c r="J32" s="41" t="n">
        <v>-4</v>
      </c>
      <c r="K32" s="26" t="s">
        <v>513</v>
      </c>
      <c r="L32" s="28" t="s">
        <v>514</v>
      </c>
      <c r="M32" s="28"/>
      <c r="N32" s="61" t="s">
        <v>520</v>
      </c>
      <c r="O32" s="61"/>
    </row>
    <row r="33" customFormat="false" ht="30" hidden="false" customHeight="true" outlineLevel="0" collapsed="false">
      <c r="B33" s="31" t="s">
        <v>510</v>
      </c>
      <c r="C33" s="31"/>
      <c r="D33" s="31"/>
      <c r="E33" s="10" t="s">
        <v>521</v>
      </c>
      <c r="F33" s="31" t="s">
        <v>522</v>
      </c>
      <c r="G33" s="31"/>
      <c r="H33" s="31"/>
      <c r="I33" s="31"/>
      <c r="J33" s="44" t="n">
        <v>-14</v>
      </c>
      <c r="K33" s="29" t="s">
        <v>517</v>
      </c>
      <c r="L33" s="31" t="s">
        <v>514</v>
      </c>
      <c r="M33" s="31"/>
      <c r="N33" s="47" t="s">
        <v>424</v>
      </c>
      <c r="O33" s="47"/>
    </row>
    <row r="34" customFormat="false" ht="30" hidden="false" customHeight="true" outlineLevel="0" collapsed="false">
      <c r="B34" s="28" t="s">
        <v>510</v>
      </c>
      <c r="C34" s="28"/>
      <c r="D34" s="28"/>
      <c r="E34" s="8" t="s">
        <v>523</v>
      </c>
      <c r="F34" s="28" t="s">
        <v>524</v>
      </c>
      <c r="G34" s="28"/>
      <c r="H34" s="28"/>
      <c r="I34" s="28"/>
      <c r="J34" s="41" t="n">
        <v>8</v>
      </c>
      <c r="K34" s="26" t="s">
        <v>517</v>
      </c>
      <c r="L34" s="28" t="s">
        <v>514</v>
      </c>
      <c r="M34" s="28"/>
      <c r="N34" s="61" t="s">
        <v>520</v>
      </c>
      <c r="O34" s="61"/>
    </row>
    <row r="35" customFormat="false" ht="30" hidden="false" customHeight="true" outlineLevel="0" collapsed="false">
      <c r="B35" s="31" t="s">
        <v>510</v>
      </c>
      <c r="C35" s="31"/>
      <c r="D35" s="31"/>
      <c r="E35" s="10" t="s">
        <v>525</v>
      </c>
      <c r="F35" s="31" t="s">
        <v>526</v>
      </c>
      <c r="G35" s="31"/>
      <c r="H35" s="31"/>
      <c r="I35" s="31"/>
      <c r="J35" s="44" t="n">
        <v>2</v>
      </c>
      <c r="K35" s="29" t="s">
        <v>527</v>
      </c>
      <c r="L35" s="31" t="s">
        <v>514</v>
      </c>
      <c r="M35" s="31"/>
      <c r="N35" s="46" t="s">
        <v>413</v>
      </c>
      <c r="O35" s="46"/>
    </row>
    <row r="36" customFormat="false" ht="17.25" hidden="false" customHeight="true" outlineLevel="0" collapsed="false">
      <c r="B36" s="28" t="s">
        <v>528</v>
      </c>
      <c r="C36" s="28"/>
      <c r="D36" s="28"/>
      <c r="E36" s="8" t="s">
        <v>529</v>
      </c>
      <c r="F36" s="28" t="s">
        <v>530</v>
      </c>
      <c r="G36" s="28"/>
      <c r="H36" s="28"/>
      <c r="I36" s="28"/>
      <c r="J36" s="41" t="n">
        <v>46</v>
      </c>
      <c r="K36" s="26" t="s">
        <v>513</v>
      </c>
      <c r="L36" s="28" t="s">
        <v>514</v>
      </c>
      <c r="M36" s="28"/>
      <c r="N36" s="43" t="s">
        <v>407</v>
      </c>
      <c r="O36" s="43"/>
    </row>
    <row r="37" customFormat="false" ht="17.25" hidden="false" customHeight="true" outlineLevel="0" collapsed="false">
      <c r="B37" s="31" t="s">
        <v>528</v>
      </c>
      <c r="C37" s="31"/>
      <c r="D37" s="31"/>
      <c r="E37" s="10" t="s">
        <v>531</v>
      </c>
      <c r="F37" s="31" t="s">
        <v>532</v>
      </c>
      <c r="G37" s="31"/>
      <c r="H37" s="31"/>
      <c r="I37" s="31"/>
      <c r="J37" s="44" t="n">
        <v>-11</v>
      </c>
      <c r="K37" s="29" t="s">
        <v>513</v>
      </c>
      <c r="L37" s="31" t="s">
        <v>514</v>
      </c>
      <c r="M37" s="31"/>
      <c r="N37" s="47" t="s">
        <v>424</v>
      </c>
      <c r="O37" s="47"/>
    </row>
    <row r="38" customFormat="false" ht="17.25" hidden="false" customHeight="true" outlineLevel="0" collapsed="false">
      <c r="B38" s="28" t="s">
        <v>528</v>
      </c>
      <c r="C38" s="28"/>
      <c r="D38" s="28"/>
      <c r="E38" s="8" t="s">
        <v>533</v>
      </c>
      <c r="F38" s="28" t="s">
        <v>534</v>
      </c>
      <c r="G38" s="28"/>
      <c r="H38" s="28"/>
      <c r="I38" s="28"/>
      <c r="J38" s="41" t="n">
        <v>-4</v>
      </c>
      <c r="K38" s="26" t="s">
        <v>535</v>
      </c>
      <c r="L38" s="28" t="s">
        <v>514</v>
      </c>
      <c r="M38" s="28"/>
      <c r="N38" s="61" t="s">
        <v>520</v>
      </c>
      <c r="O38" s="61"/>
    </row>
    <row r="39" customFormat="false" ht="17.25" hidden="false" customHeight="true" outlineLevel="0" collapsed="false">
      <c r="B39" s="31" t="s">
        <v>528</v>
      </c>
      <c r="C39" s="31"/>
      <c r="D39" s="31"/>
      <c r="E39" s="10" t="s">
        <v>536</v>
      </c>
      <c r="F39" s="31" t="s">
        <v>537</v>
      </c>
      <c r="G39" s="31"/>
      <c r="H39" s="31"/>
      <c r="I39" s="31"/>
      <c r="J39" s="44" t="n">
        <v>6</v>
      </c>
      <c r="K39" s="29" t="s">
        <v>513</v>
      </c>
      <c r="L39" s="31" t="s">
        <v>538</v>
      </c>
      <c r="M39" s="31"/>
      <c r="N39" s="46" t="s">
        <v>413</v>
      </c>
      <c r="O39" s="46"/>
    </row>
    <row r="40" customFormat="false" ht="17.25" hidden="false" customHeight="true" outlineLevel="0" collapsed="false">
      <c r="B40" s="28" t="s">
        <v>528</v>
      </c>
      <c r="C40" s="28"/>
      <c r="D40" s="28"/>
      <c r="E40" s="8" t="s">
        <v>539</v>
      </c>
      <c r="F40" s="28" t="s">
        <v>540</v>
      </c>
      <c r="G40" s="28"/>
      <c r="H40" s="28"/>
      <c r="I40" s="28"/>
      <c r="J40" s="41" t="n">
        <v>9</v>
      </c>
      <c r="K40" s="26" t="s">
        <v>513</v>
      </c>
      <c r="L40" s="28" t="s">
        <v>514</v>
      </c>
      <c r="M40" s="28"/>
      <c r="N40" s="47" t="s">
        <v>424</v>
      </c>
      <c r="O40" s="47"/>
    </row>
    <row r="41" customFormat="false" ht="17.25" hidden="false" customHeight="true" outlineLevel="0" collapsed="false">
      <c r="B41" s="31" t="s">
        <v>528</v>
      </c>
      <c r="C41" s="31"/>
      <c r="D41" s="31"/>
      <c r="E41" s="10" t="s">
        <v>541</v>
      </c>
      <c r="F41" s="31" t="s">
        <v>542</v>
      </c>
      <c r="G41" s="31"/>
      <c r="H41" s="31"/>
      <c r="I41" s="31"/>
      <c r="J41" s="44" t="n">
        <v>-5</v>
      </c>
      <c r="K41" s="29" t="s">
        <v>513</v>
      </c>
      <c r="L41" s="31" t="s">
        <v>514</v>
      </c>
      <c r="M41" s="31"/>
      <c r="N41" s="61" t="s">
        <v>520</v>
      </c>
      <c r="O41" s="61"/>
    </row>
    <row r="42" customFormat="false" ht="17.25" hidden="false" customHeight="true" outlineLevel="0" collapsed="false">
      <c r="B42" s="28" t="s">
        <v>543</v>
      </c>
      <c r="C42" s="28"/>
      <c r="D42" s="28"/>
      <c r="E42" s="8" t="s">
        <v>544</v>
      </c>
      <c r="F42" s="28" t="s">
        <v>545</v>
      </c>
      <c r="G42" s="28"/>
      <c r="H42" s="28"/>
      <c r="I42" s="28"/>
      <c r="J42" s="41" t="n">
        <v>28</v>
      </c>
      <c r="K42" s="26" t="s">
        <v>513</v>
      </c>
      <c r="L42" s="28" t="s">
        <v>546</v>
      </c>
      <c r="M42" s="28"/>
      <c r="N42" s="47" t="s">
        <v>424</v>
      </c>
      <c r="O42" s="47"/>
    </row>
    <row r="43" customFormat="false" ht="17.25" hidden="false" customHeight="true" outlineLevel="0" collapsed="false">
      <c r="B43" s="31" t="s">
        <v>543</v>
      </c>
      <c r="C43" s="31"/>
      <c r="D43" s="31"/>
      <c r="E43" s="10" t="s">
        <v>547</v>
      </c>
      <c r="F43" s="31" t="s">
        <v>548</v>
      </c>
      <c r="G43" s="31"/>
      <c r="H43" s="31"/>
      <c r="I43" s="31"/>
      <c r="J43" s="44" t="n">
        <v>12</v>
      </c>
      <c r="K43" s="29" t="s">
        <v>513</v>
      </c>
      <c r="L43" s="31" t="s">
        <v>546</v>
      </c>
      <c r="M43" s="31"/>
      <c r="N43" s="47" t="s">
        <v>424</v>
      </c>
      <c r="O43" s="47"/>
    </row>
    <row r="44" customFormat="false" ht="17.25" hidden="false" customHeight="true" outlineLevel="0" collapsed="false">
      <c r="B44" s="28" t="s">
        <v>543</v>
      </c>
      <c r="C44" s="28"/>
      <c r="D44" s="28"/>
      <c r="E44" s="8" t="s">
        <v>549</v>
      </c>
      <c r="F44" s="28" t="s">
        <v>550</v>
      </c>
      <c r="G44" s="28"/>
      <c r="H44" s="28"/>
      <c r="I44" s="28"/>
      <c r="J44" s="41" t="n">
        <v>4</v>
      </c>
      <c r="K44" s="26" t="s">
        <v>513</v>
      </c>
      <c r="L44" s="28" t="s">
        <v>546</v>
      </c>
      <c r="M44" s="28"/>
      <c r="N44" s="46" t="s">
        <v>413</v>
      </c>
      <c r="O44" s="46"/>
    </row>
    <row r="45" customFormat="false" ht="17.25" hidden="false" customHeight="true" outlineLevel="0" collapsed="false">
      <c r="B45" s="31" t="s">
        <v>543</v>
      </c>
      <c r="C45" s="31"/>
      <c r="D45" s="31"/>
      <c r="E45" s="10" t="s">
        <v>551</v>
      </c>
      <c r="F45" s="31" t="s">
        <v>552</v>
      </c>
      <c r="G45" s="31"/>
      <c r="H45" s="31"/>
      <c r="I45" s="31"/>
      <c r="J45" s="44" t="n">
        <v>6</v>
      </c>
      <c r="K45" s="29" t="s">
        <v>513</v>
      </c>
      <c r="L45" s="31" t="s">
        <v>546</v>
      </c>
      <c r="M45" s="31"/>
      <c r="N45" s="61" t="s">
        <v>520</v>
      </c>
      <c r="O45" s="61"/>
    </row>
    <row r="46" customFormat="false" ht="17.25" hidden="false" customHeight="true" outlineLevel="0" collapsed="false">
      <c r="B46" s="28" t="s">
        <v>543</v>
      </c>
      <c r="C46" s="28"/>
      <c r="D46" s="28"/>
      <c r="E46" s="8" t="s">
        <v>553</v>
      </c>
      <c r="F46" s="28" t="s">
        <v>554</v>
      </c>
      <c r="G46" s="28"/>
      <c r="H46" s="28"/>
      <c r="I46" s="28"/>
      <c r="J46" s="41" t="n">
        <v>-2</v>
      </c>
      <c r="K46" s="26" t="s">
        <v>513</v>
      </c>
      <c r="L46" s="28" t="s">
        <v>546</v>
      </c>
      <c r="M46" s="28"/>
      <c r="N46" s="61" t="s">
        <v>520</v>
      </c>
      <c r="O46" s="61"/>
    </row>
    <row r="47" customFormat="false" ht="30" hidden="false" customHeight="true" outlineLevel="0" collapsed="false">
      <c r="B47" s="62" t="s">
        <v>543</v>
      </c>
      <c r="C47" s="62"/>
      <c r="D47" s="62"/>
      <c r="E47" s="63" t="s">
        <v>555</v>
      </c>
      <c r="F47" s="62" t="s">
        <v>556</v>
      </c>
      <c r="G47" s="62"/>
      <c r="H47" s="62"/>
      <c r="I47" s="62"/>
      <c r="J47" s="64" t="n">
        <v>0</v>
      </c>
      <c r="K47" s="65" t="s">
        <v>513</v>
      </c>
      <c r="L47" s="62" t="s">
        <v>546</v>
      </c>
      <c r="M47" s="62"/>
      <c r="N47" s="65" t="s">
        <v>166</v>
      </c>
      <c r="O47" s="65"/>
    </row>
    <row r="48" customFormat="false" ht="17.25" hidden="false" customHeight="true" outlineLevel="0" collapsed="false">
      <c r="B48" s="28" t="s">
        <v>557</v>
      </c>
      <c r="C48" s="28"/>
      <c r="D48" s="28"/>
      <c r="E48" s="8" t="s">
        <v>558</v>
      </c>
      <c r="F48" s="28" t="s">
        <v>559</v>
      </c>
      <c r="G48" s="28"/>
      <c r="H48" s="28"/>
      <c r="I48" s="28"/>
      <c r="J48" s="41" t="n">
        <v>28</v>
      </c>
      <c r="K48" s="26" t="s">
        <v>560</v>
      </c>
      <c r="L48" s="28" t="s">
        <v>546</v>
      </c>
      <c r="M48" s="28"/>
      <c r="N48" s="47" t="s">
        <v>561</v>
      </c>
      <c r="O48" s="47"/>
    </row>
    <row r="49" customFormat="false" ht="17.25" hidden="false" customHeight="true" outlineLevel="0" collapsed="false">
      <c r="B49" s="31" t="s">
        <v>562</v>
      </c>
      <c r="C49" s="31"/>
      <c r="D49" s="31"/>
      <c r="E49" s="10" t="s">
        <v>563</v>
      </c>
      <c r="F49" s="31" t="s">
        <v>564</v>
      </c>
      <c r="G49" s="31"/>
      <c r="H49" s="31"/>
      <c r="I49" s="31"/>
      <c r="J49" s="44" t="n">
        <v>26</v>
      </c>
      <c r="K49" s="29" t="s">
        <v>513</v>
      </c>
      <c r="L49" s="31" t="s">
        <v>546</v>
      </c>
      <c r="M49" s="31"/>
      <c r="N49" s="47" t="s">
        <v>424</v>
      </c>
      <c r="O49" s="47"/>
    </row>
    <row r="50" customFormat="false" ht="17.25" hidden="false" customHeight="true" outlineLevel="0" collapsed="false">
      <c r="B50" s="28" t="s">
        <v>562</v>
      </c>
      <c r="C50" s="28"/>
      <c r="D50" s="28"/>
      <c r="E50" s="8" t="s">
        <v>565</v>
      </c>
      <c r="F50" s="28" t="s">
        <v>566</v>
      </c>
      <c r="G50" s="28"/>
      <c r="H50" s="28"/>
      <c r="I50" s="28"/>
      <c r="J50" s="41" t="n">
        <v>4</v>
      </c>
      <c r="K50" s="26" t="s">
        <v>517</v>
      </c>
      <c r="L50" s="28" t="s">
        <v>546</v>
      </c>
      <c r="M50" s="28"/>
      <c r="N50" s="61" t="s">
        <v>520</v>
      </c>
      <c r="O50" s="61"/>
    </row>
    <row r="51" customFormat="false" ht="17.25" hidden="false" customHeight="true" outlineLevel="0" collapsed="false">
      <c r="B51" s="31" t="s">
        <v>562</v>
      </c>
      <c r="C51" s="31"/>
      <c r="D51" s="31"/>
      <c r="E51" s="10" t="s">
        <v>567</v>
      </c>
      <c r="F51" s="31" t="s">
        <v>568</v>
      </c>
      <c r="G51" s="31"/>
      <c r="H51" s="31"/>
      <c r="I51" s="31"/>
      <c r="J51" s="44" t="n">
        <v>8</v>
      </c>
      <c r="K51" s="29" t="s">
        <v>513</v>
      </c>
      <c r="L51" s="31" t="s">
        <v>546</v>
      </c>
      <c r="M51" s="31"/>
      <c r="N51" s="47" t="s">
        <v>561</v>
      </c>
      <c r="O51" s="47"/>
    </row>
    <row r="52" customFormat="false" ht="30" hidden="false" customHeight="true" outlineLevel="0" collapsed="false">
      <c r="B52" s="66" t="s">
        <v>562</v>
      </c>
      <c r="C52" s="66"/>
      <c r="D52" s="66"/>
      <c r="E52" s="67" t="s">
        <v>569</v>
      </c>
      <c r="F52" s="66" t="s">
        <v>570</v>
      </c>
      <c r="G52" s="66"/>
      <c r="H52" s="66"/>
      <c r="I52" s="66"/>
      <c r="J52" s="68" t="n">
        <v>0</v>
      </c>
      <c r="K52" s="69" t="s">
        <v>527</v>
      </c>
      <c r="L52" s="66" t="s">
        <v>571</v>
      </c>
      <c r="M52" s="66"/>
      <c r="N52" s="65" t="s">
        <v>166</v>
      </c>
      <c r="O52" s="65"/>
    </row>
    <row r="53" customFormat="false" ht="17.25" hidden="false" customHeight="true" outlineLevel="0" collapsed="false">
      <c r="B53" s="31" t="s">
        <v>572</v>
      </c>
      <c r="C53" s="31"/>
      <c r="D53" s="31"/>
      <c r="E53" s="10" t="s">
        <v>573</v>
      </c>
      <c r="F53" s="31" t="s">
        <v>574</v>
      </c>
      <c r="G53" s="31"/>
      <c r="H53" s="31"/>
      <c r="I53" s="31"/>
      <c r="J53" s="44" t="n">
        <v>20</v>
      </c>
      <c r="K53" s="29" t="s">
        <v>517</v>
      </c>
      <c r="L53" s="31" t="s">
        <v>546</v>
      </c>
      <c r="M53" s="31"/>
      <c r="N53" s="61" t="s">
        <v>520</v>
      </c>
      <c r="O53" s="61"/>
    </row>
    <row r="54" customFormat="false" ht="30" hidden="false" customHeight="true" outlineLevel="0" collapsed="false">
      <c r="B54" s="28" t="s">
        <v>572</v>
      </c>
      <c r="C54" s="28"/>
      <c r="D54" s="28"/>
      <c r="E54" s="8" t="s">
        <v>575</v>
      </c>
      <c r="F54" s="28" t="s">
        <v>576</v>
      </c>
      <c r="G54" s="28"/>
      <c r="H54" s="28"/>
      <c r="I54" s="28"/>
      <c r="J54" s="41" t="n">
        <v>-2</v>
      </c>
      <c r="K54" s="26" t="s">
        <v>517</v>
      </c>
      <c r="L54" s="28" t="s">
        <v>577</v>
      </c>
      <c r="M54" s="28"/>
      <c r="N54" s="61" t="s">
        <v>520</v>
      </c>
      <c r="O54" s="61"/>
    </row>
    <row r="55" customFormat="false" ht="17.25" hidden="false" customHeight="true" outlineLevel="0" collapsed="false">
      <c r="B55" s="31" t="s">
        <v>578</v>
      </c>
      <c r="C55" s="31"/>
      <c r="D55" s="31"/>
      <c r="E55" s="10" t="s">
        <v>579</v>
      </c>
      <c r="F55" s="31" t="s">
        <v>580</v>
      </c>
      <c r="G55" s="31"/>
      <c r="H55" s="31"/>
      <c r="I55" s="31"/>
      <c r="J55" s="44" t="n">
        <v>5</v>
      </c>
      <c r="K55" s="29" t="s">
        <v>517</v>
      </c>
      <c r="L55" s="31" t="s">
        <v>571</v>
      </c>
      <c r="M55" s="31"/>
      <c r="N55" s="61" t="s">
        <v>520</v>
      </c>
      <c r="O55" s="61"/>
    </row>
    <row r="56" customFormat="false" ht="30" hidden="false" customHeight="true" outlineLevel="0" collapsed="false">
      <c r="B56" s="28" t="s">
        <v>578</v>
      </c>
      <c r="C56" s="28"/>
      <c r="D56" s="28"/>
      <c r="E56" s="8" t="s">
        <v>581</v>
      </c>
      <c r="F56" s="28" t="s">
        <v>582</v>
      </c>
      <c r="G56" s="28"/>
      <c r="H56" s="28"/>
      <c r="I56" s="28"/>
      <c r="J56" s="41" t="n">
        <v>7</v>
      </c>
      <c r="K56" s="26" t="s">
        <v>513</v>
      </c>
      <c r="L56" s="28" t="s">
        <v>583</v>
      </c>
      <c r="M56" s="28"/>
      <c r="N56" s="47" t="s">
        <v>424</v>
      </c>
      <c r="O56" s="47"/>
    </row>
    <row r="57" customFormat="false" ht="30" hidden="false" customHeight="true" outlineLevel="0" collapsed="false">
      <c r="B57" s="31" t="s">
        <v>578</v>
      </c>
      <c r="C57" s="31"/>
      <c r="D57" s="31"/>
      <c r="E57" s="10" t="s">
        <v>584</v>
      </c>
      <c r="F57" s="31" t="s">
        <v>585</v>
      </c>
      <c r="G57" s="31"/>
      <c r="H57" s="31"/>
      <c r="I57" s="31"/>
      <c r="J57" s="44" t="n">
        <v>3</v>
      </c>
      <c r="K57" s="29" t="s">
        <v>513</v>
      </c>
      <c r="L57" s="31" t="s">
        <v>583</v>
      </c>
      <c r="M57" s="31"/>
      <c r="N57" s="46" t="s">
        <v>413</v>
      </c>
      <c r="O57" s="46"/>
    </row>
    <row r="58" customFormat="false" ht="30" hidden="false" customHeight="true" outlineLevel="0" collapsed="false">
      <c r="B58" s="28" t="s">
        <v>586</v>
      </c>
      <c r="C58" s="28"/>
      <c r="D58" s="28"/>
      <c r="E58" s="8" t="s">
        <v>587</v>
      </c>
      <c r="F58" s="28" t="s">
        <v>588</v>
      </c>
      <c r="G58" s="28"/>
      <c r="H58" s="28"/>
      <c r="I58" s="28"/>
      <c r="J58" s="41" t="n">
        <v>9</v>
      </c>
      <c r="K58" s="26" t="s">
        <v>517</v>
      </c>
      <c r="L58" s="28" t="s">
        <v>589</v>
      </c>
      <c r="M58" s="28"/>
      <c r="N58" s="47" t="s">
        <v>424</v>
      </c>
      <c r="O58" s="47"/>
    </row>
    <row r="59" customFormat="false" ht="30" hidden="false" customHeight="true" outlineLevel="0" collapsed="false">
      <c r="B59" s="62" t="s">
        <v>586</v>
      </c>
      <c r="C59" s="62"/>
      <c r="D59" s="62"/>
      <c r="E59" s="63" t="s">
        <v>590</v>
      </c>
      <c r="F59" s="62" t="s">
        <v>591</v>
      </c>
      <c r="G59" s="62"/>
      <c r="H59" s="62"/>
      <c r="I59" s="62"/>
      <c r="J59" s="64" t="n">
        <v>0</v>
      </c>
      <c r="K59" s="65" t="s">
        <v>513</v>
      </c>
      <c r="L59" s="62" t="s">
        <v>592</v>
      </c>
      <c r="M59" s="62"/>
      <c r="N59" s="65" t="s">
        <v>166</v>
      </c>
      <c r="O59" s="65"/>
    </row>
    <row r="60" customFormat="false" ht="42" hidden="false" customHeight="true" outlineLevel="0" collapsed="false">
      <c r="B60" s="66" t="s">
        <v>586</v>
      </c>
      <c r="C60" s="66"/>
      <c r="D60" s="66"/>
      <c r="E60" s="67" t="s">
        <v>593</v>
      </c>
      <c r="F60" s="66" t="s">
        <v>594</v>
      </c>
      <c r="G60" s="66"/>
      <c r="H60" s="66"/>
      <c r="I60" s="66"/>
      <c r="J60" s="68" t="n">
        <v>0</v>
      </c>
      <c r="K60" s="69" t="s">
        <v>535</v>
      </c>
      <c r="L60" s="66" t="s">
        <v>595</v>
      </c>
      <c r="M60" s="66"/>
      <c r="N60" s="65" t="s">
        <v>166</v>
      </c>
      <c r="O60" s="65"/>
    </row>
    <row r="61" customFormat="false" ht="17.25" hidden="false" customHeight="true" outlineLevel="0" collapsed="false">
      <c r="B61" s="31" t="s">
        <v>596</v>
      </c>
      <c r="C61" s="31"/>
      <c r="D61" s="31"/>
      <c r="E61" s="10" t="s">
        <v>597</v>
      </c>
      <c r="F61" s="31" t="s">
        <v>598</v>
      </c>
      <c r="G61" s="31"/>
      <c r="H61" s="31"/>
      <c r="I61" s="31"/>
      <c r="J61" s="44" t="n">
        <v>8</v>
      </c>
      <c r="K61" s="29" t="s">
        <v>517</v>
      </c>
      <c r="L61" s="31" t="s">
        <v>599</v>
      </c>
      <c r="M61" s="31"/>
      <c r="N61" s="47" t="s">
        <v>424</v>
      </c>
      <c r="O61" s="47"/>
    </row>
    <row r="62" customFormat="false" ht="17.25" hidden="false" customHeight="true" outlineLevel="0" collapsed="false">
      <c r="B62" s="28" t="s">
        <v>596</v>
      </c>
      <c r="C62" s="28"/>
      <c r="D62" s="28"/>
      <c r="E62" s="8" t="s">
        <v>600</v>
      </c>
      <c r="F62" s="28" t="s">
        <v>601</v>
      </c>
      <c r="G62" s="28"/>
      <c r="H62" s="28"/>
      <c r="I62" s="28"/>
      <c r="J62" s="41" t="n">
        <v>2</v>
      </c>
      <c r="K62" s="26" t="s">
        <v>513</v>
      </c>
      <c r="L62" s="28" t="s">
        <v>599</v>
      </c>
      <c r="M62" s="28"/>
      <c r="N62" s="61" t="s">
        <v>520</v>
      </c>
      <c r="O62" s="61"/>
    </row>
    <row r="63" customFormat="false" ht="17.25" hidden="false" customHeight="true" outlineLevel="0" collapsed="false">
      <c r="B63" s="31" t="s">
        <v>602</v>
      </c>
      <c r="C63" s="31"/>
      <c r="D63" s="31"/>
      <c r="E63" s="10" t="s">
        <v>603</v>
      </c>
      <c r="F63" s="31" t="s">
        <v>604</v>
      </c>
      <c r="G63" s="31"/>
      <c r="H63" s="31"/>
      <c r="I63" s="31"/>
      <c r="J63" s="44" t="n">
        <v>-1.5</v>
      </c>
      <c r="K63" s="29" t="s">
        <v>517</v>
      </c>
      <c r="L63" s="31" t="s">
        <v>605</v>
      </c>
      <c r="M63" s="31"/>
      <c r="N63" s="61" t="s">
        <v>520</v>
      </c>
      <c r="O63" s="61"/>
    </row>
    <row r="64" customFormat="false" ht="17.25" hidden="false" customHeight="true" outlineLevel="0" collapsed="false">
      <c r="B64" s="28" t="s">
        <v>602</v>
      </c>
      <c r="C64" s="28"/>
      <c r="D64" s="28"/>
      <c r="E64" s="8" t="s">
        <v>606</v>
      </c>
      <c r="F64" s="28" t="s">
        <v>607</v>
      </c>
      <c r="G64" s="28"/>
      <c r="H64" s="28"/>
      <c r="I64" s="28"/>
      <c r="J64" s="41" t="n">
        <v>-0.5</v>
      </c>
      <c r="K64" s="26" t="s">
        <v>517</v>
      </c>
      <c r="L64" s="28" t="s">
        <v>608</v>
      </c>
      <c r="M64" s="28"/>
      <c r="N64" s="61" t="s">
        <v>520</v>
      </c>
      <c r="O64" s="61"/>
    </row>
    <row r="65" customFormat="false" ht="17.25" hidden="false" customHeight="true" outlineLevel="0" collapsed="false">
      <c r="B65" s="31" t="s">
        <v>602</v>
      </c>
      <c r="C65" s="31"/>
      <c r="D65" s="31"/>
      <c r="E65" s="10" t="s">
        <v>609</v>
      </c>
      <c r="F65" s="31" t="s">
        <v>610</v>
      </c>
      <c r="G65" s="31"/>
      <c r="H65" s="31"/>
      <c r="I65" s="31"/>
      <c r="J65" s="44" t="n">
        <v>0</v>
      </c>
      <c r="K65" s="29" t="s">
        <v>517</v>
      </c>
      <c r="L65" s="31" t="s">
        <v>611</v>
      </c>
      <c r="M65" s="31"/>
      <c r="N65" s="61" t="s">
        <v>520</v>
      </c>
      <c r="O65" s="61"/>
    </row>
    <row r="66" customFormat="false" ht="30" hidden="false" customHeight="true" outlineLevel="0" collapsed="false">
      <c r="B66" s="28" t="s">
        <v>612</v>
      </c>
      <c r="C66" s="28"/>
      <c r="D66" s="28"/>
      <c r="E66" s="8" t="s">
        <v>613</v>
      </c>
      <c r="F66" s="28" t="s">
        <v>614</v>
      </c>
      <c r="G66" s="28"/>
      <c r="H66" s="28"/>
      <c r="I66" s="28"/>
      <c r="J66" s="41" t="n">
        <v>-6</v>
      </c>
      <c r="K66" s="26" t="s">
        <v>513</v>
      </c>
      <c r="L66" s="28" t="s">
        <v>615</v>
      </c>
      <c r="M66" s="28"/>
      <c r="N66" s="47" t="s">
        <v>424</v>
      </c>
      <c r="O66" s="47"/>
    </row>
    <row r="67" customFormat="false" ht="17.25" hidden="false" customHeight="true" outlineLevel="0" collapsed="false">
      <c r="B67" s="31" t="s">
        <v>616</v>
      </c>
      <c r="C67" s="31"/>
      <c r="D67" s="31"/>
      <c r="E67" s="10" t="s">
        <v>617</v>
      </c>
      <c r="F67" s="31" t="s">
        <v>618</v>
      </c>
      <c r="G67" s="31"/>
      <c r="H67" s="31"/>
      <c r="I67" s="31"/>
      <c r="J67" s="44" t="n">
        <v>6</v>
      </c>
      <c r="K67" s="29" t="s">
        <v>527</v>
      </c>
      <c r="L67" s="31" t="s">
        <v>615</v>
      </c>
      <c r="M67" s="31"/>
      <c r="N67" s="47" t="s">
        <v>424</v>
      </c>
      <c r="O67" s="47"/>
    </row>
    <row r="68" customFormat="false" ht="17.25" hidden="false" customHeight="true" outlineLevel="0" collapsed="false">
      <c r="B68" s="28" t="s">
        <v>616</v>
      </c>
      <c r="C68" s="28"/>
      <c r="D68" s="28"/>
      <c r="E68" s="8" t="s">
        <v>619</v>
      </c>
      <c r="F68" s="28" t="s">
        <v>620</v>
      </c>
      <c r="G68" s="28"/>
      <c r="H68" s="28"/>
      <c r="I68" s="28"/>
      <c r="J68" s="41" t="n">
        <v>2</v>
      </c>
      <c r="K68" s="26" t="s">
        <v>517</v>
      </c>
      <c r="L68" s="28" t="s">
        <v>621</v>
      </c>
      <c r="M68" s="28"/>
      <c r="N68" s="61" t="s">
        <v>520</v>
      </c>
      <c r="O68" s="61"/>
    </row>
    <row r="69" customFormat="false" ht="17.25" hidden="false" customHeight="true" outlineLevel="0" collapsed="false">
      <c r="B69" s="31" t="s">
        <v>622</v>
      </c>
      <c r="C69" s="31"/>
      <c r="D69" s="31"/>
      <c r="E69" s="10" t="s">
        <v>623</v>
      </c>
      <c r="F69" s="31" t="s">
        <v>624</v>
      </c>
      <c r="G69" s="31"/>
      <c r="H69" s="31"/>
      <c r="I69" s="31"/>
      <c r="J69" s="44" t="n">
        <v>-4</v>
      </c>
      <c r="K69" s="29" t="s">
        <v>166</v>
      </c>
      <c r="L69" s="31" t="s">
        <v>625</v>
      </c>
      <c r="M69" s="31"/>
      <c r="N69" s="46" t="s">
        <v>420</v>
      </c>
      <c r="O69" s="46"/>
    </row>
    <row r="70" customFormat="false" ht="17.25" hidden="false" customHeight="true" outlineLevel="0" collapsed="false">
      <c r="B70" s="70" t="s">
        <v>626</v>
      </c>
      <c r="C70" s="70"/>
      <c r="D70" s="70"/>
      <c r="E70" s="50"/>
      <c r="F70" s="70"/>
      <c r="G70" s="70"/>
      <c r="H70" s="70"/>
      <c r="I70" s="70"/>
      <c r="J70" s="51" t="n">
        <f aca="false">SUM(J30:J69)</f>
        <v>165</v>
      </c>
      <c r="K70" s="71"/>
      <c r="L70" s="70"/>
      <c r="M70" s="70"/>
      <c r="N70" s="50"/>
      <c r="O70" s="50"/>
    </row>
    <row r="71" customFormat="false" ht="15" hidden="false" customHeight="false" outlineLevel="0" collapsed="false">
      <c r="B71" s="72" t="s">
        <v>627</v>
      </c>
      <c r="C71" s="72"/>
      <c r="D71" s="72"/>
      <c r="E71" s="72"/>
      <c r="F71" s="72"/>
      <c r="G71" s="72"/>
      <c r="H71" s="72"/>
      <c r="I71" s="72"/>
      <c r="J71" s="47" t="str">
        <f aca="false">IF(ABS(J70-165)&lt;0.05,"OK","ПРОВЕРИТЬ")</f>
        <v>OK</v>
      </c>
    </row>
    <row r="73" customFormat="false" ht="18" hidden="false" customHeight="true" outlineLevel="0" collapsed="false">
      <c r="B73" s="4" t="s">
        <v>628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</row>
    <row r="74" customFormat="false" ht="21.75" hidden="false" customHeight="true" outlineLevel="0" collapsed="false">
      <c r="B74" s="25" t="s">
        <v>629</v>
      </c>
      <c r="C74" s="25" t="s">
        <v>630</v>
      </c>
      <c r="D74" s="40" t="s">
        <v>631</v>
      </c>
      <c r="E74" s="40"/>
      <c r="F74" s="40"/>
      <c r="G74" s="40" t="s">
        <v>632</v>
      </c>
      <c r="H74" s="40"/>
      <c r="I74" s="40"/>
      <c r="J74" s="40"/>
      <c r="K74" s="40"/>
      <c r="L74" s="40" t="s">
        <v>505</v>
      </c>
      <c r="M74" s="40"/>
      <c r="N74" s="40"/>
      <c r="O74" s="25" t="s">
        <v>633</v>
      </c>
    </row>
    <row r="75" customFormat="false" ht="30" hidden="false" customHeight="true" outlineLevel="0" collapsed="false">
      <c r="B75" s="73" t="n">
        <v>0</v>
      </c>
      <c r="C75" s="73" t="s">
        <v>634</v>
      </c>
      <c r="D75" s="74" t="s">
        <v>635</v>
      </c>
      <c r="E75" s="74"/>
      <c r="F75" s="74"/>
      <c r="G75" s="74" t="s">
        <v>636</v>
      </c>
      <c r="H75" s="74"/>
      <c r="I75" s="74"/>
      <c r="J75" s="74"/>
      <c r="K75" s="74"/>
      <c r="L75" s="74" t="s">
        <v>637</v>
      </c>
      <c r="M75" s="74"/>
      <c r="N75" s="74"/>
      <c r="O75" s="73" t="s">
        <v>166</v>
      </c>
    </row>
    <row r="76" customFormat="false" ht="30" hidden="false" customHeight="true" outlineLevel="0" collapsed="false">
      <c r="B76" s="29" t="n">
        <v>1</v>
      </c>
      <c r="C76" s="75" t="s">
        <v>638</v>
      </c>
      <c r="D76" s="31" t="s">
        <v>639</v>
      </c>
      <c r="E76" s="31"/>
      <c r="F76" s="31"/>
      <c r="G76" s="31" t="s">
        <v>640</v>
      </c>
      <c r="H76" s="31"/>
      <c r="I76" s="31"/>
      <c r="J76" s="31"/>
      <c r="K76" s="31"/>
      <c r="L76" s="31" t="s">
        <v>641</v>
      </c>
      <c r="M76" s="31"/>
      <c r="N76" s="31"/>
      <c r="O76" s="29" t="s">
        <v>389</v>
      </c>
    </row>
    <row r="77" customFormat="false" ht="30" hidden="false" customHeight="true" outlineLevel="0" collapsed="false">
      <c r="B77" s="26" t="n">
        <v>2</v>
      </c>
      <c r="C77" s="75" t="s">
        <v>638</v>
      </c>
      <c r="D77" s="28" t="s">
        <v>642</v>
      </c>
      <c r="E77" s="28"/>
      <c r="F77" s="28"/>
      <c r="G77" s="28" t="s">
        <v>643</v>
      </c>
      <c r="H77" s="28"/>
      <c r="I77" s="28"/>
      <c r="J77" s="28"/>
      <c r="K77" s="28"/>
      <c r="L77" s="28" t="s">
        <v>587</v>
      </c>
      <c r="M77" s="28"/>
      <c r="N77" s="28"/>
      <c r="O77" s="26" t="s">
        <v>387</v>
      </c>
    </row>
    <row r="78" customFormat="false" ht="17.25" hidden="false" customHeight="true" outlineLevel="0" collapsed="false">
      <c r="B78" s="29" t="n">
        <v>3</v>
      </c>
      <c r="C78" s="75" t="s">
        <v>638</v>
      </c>
      <c r="D78" s="31" t="s">
        <v>644</v>
      </c>
      <c r="E78" s="31"/>
      <c r="F78" s="31"/>
      <c r="G78" s="31" t="s">
        <v>645</v>
      </c>
      <c r="H78" s="31"/>
      <c r="I78" s="31"/>
      <c r="J78" s="31"/>
      <c r="K78" s="31"/>
      <c r="L78" s="31" t="s">
        <v>646</v>
      </c>
      <c r="M78" s="31"/>
      <c r="N78" s="31"/>
      <c r="O78" s="29" t="s">
        <v>380</v>
      </c>
    </row>
    <row r="79" customFormat="false" ht="17.25" hidden="false" customHeight="true" outlineLevel="0" collapsed="false">
      <c r="B79" s="26" t="n">
        <v>4</v>
      </c>
      <c r="C79" s="75" t="s">
        <v>638</v>
      </c>
      <c r="D79" s="28" t="s">
        <v>647</v>
      </c>
      <c r="E79" s="28"/>
      <c r="F79" s="28"/>
      <c r="G79" s="28" t="s">
        <v>648</v>
      </c>
      <c r="H79" s="28"/>
      <c r="I79" s="28"/>
      <c r="J79" s="28"/>
      <c r="K79" s="28"/>
      <c r="L79" s="28" t="s">
        <v>567</v>
      </c>
      <c r="M79" s="28"/>
      <c r="N79" s="28"/>
      <c r="O79" s="26" t="s">
        <v>384</v>
      </c>
    </row>
    <row r="80" customFormat="false" ht="17.25" hidden="false" customHeight="true" outlineLevel="0" collapsed="false">
      <c r="B80" s="29" t="n">
        <v>5</v>
      </c>
      <c r="C80" s="75" t="s">
        <v>638</v>
      </c>
      <c r="D80" s="31" t="s">
        <v>564</v>
      </c>
      <c r="E80" s="31"/>
      <c r="F80" s="31"/>
      <c r="G80" s="31" t="s">
        <v>649</v>
      </c>
      <c r="H80" s="31"/>
      <c r="I80" s="31"/>
      <c r="J80" s="31"/>
      <c r="K80" s="31"/>
      <c r="L80" s="31" t="s">
        <v>563</v>
      </c>
      <c r="M80" s="31"/>
      <c r="N80" s="31"/>
      <c r="O80" s="29" t="s">
        <v>384</v>
      </c>
    </row>
    <row r="81" customFormat="false" ht="30" hidden="false" customHeight="true" outlineLevel="0" collapsed="false">
      <c r="B81" s="26" t="n">
        <v>6</v>
      </c>
      <c r="C81" s="75" t="s">
        <v>638</v>
      </c>
      <c r="D81" s="28" t="s">
        <v>650</v>
      </c>
      <c r="E81" s="28"/>
      <c r="F81" s="28"/>
      <c r="G81" s="28" t="s">
        <v>651</v>
      </c>
      <c r="H81" s="28"/>
      <c r="I81" s="28"/>
      <c r="J81" s="28"/>
      <c r="K81" s="28"/>
      <c r="L81" s="28" t="s">
        <v>652</v>
      </c>
      <c r="M81" s="28"/>
      <c r="N81" s="28"/>
      <c r="O81" s="26" t="s">
        <v>386</v>
      </c>
    </row>
    <row r="82" customFormat="false" ht="30" hidden="false" customHeight="true" outlineLevel="0" collapsed="false">
      <c r="B82" s="29" t="n">
        <v>7</v>
      </c>
      <c r="C82" s="29" t="s">
        <v>653</v>
      </c>
      <c r="D82" s="31" t="s">
        <v>654</v>
      </c>
      <c r="E82" s="31"/>
      <c r="F82" s="31"/>
      <c r="G82" s="31" t="s">
        <v>655</v>
      </c>
      <c r="H82" s="31"/>
      <c r="I82" s="31"/>
      <c r="J82" s="31"/>
      <c r="K82" s="31"/>
      <c r="L82" s="31" t="s">
        <v>656</v>
      </c>
      <c r="M82" s="31"/>
      <c r="N82" s="31"/>
      <c r="O82" s="29" t="s">
        <v>383</v>
      </c>
    </row>
    <row r="83" customFormat="false" ht="30" hidden="false" customHeight="true" outlineLevel="0" collapsed="false">
      <c r="B83" s="26" t="n">
        <v>8</v>
      </c>
      <c r="C83" s="26" t="s">
        <v>653</v>
      </c>
      <c r="D83" s="28" t="s">
        <v>657</v>
      </c>
      <c r="E83" s="28"/>
      <c r="F83" s="28"/>
      <c r="G83" s="28" t="s">
        <v>658</v>
      </c>
      <c r="H83" s="28"/>
      <c r="I83" s="28"/>
      <c r="J83" s="28"/>
      <c r="K83" s="28"/>
      <c r="L83" s="28" t="s">
        <v>659</v>
      </c>
      <c r="M83" s="28"/>
      <c r="N83" s="28"/>
      <c r="O83" s="26" t="s">
        <v>381</v>
      </c>
    </row>
    <row r="84" customFormat="false" ht="17.25" hidden="false" customHeight="true" outlineLevel="0" collapsed="false">
      <c r="B84" s="29" t="n">
        <v>9</v>
      </c>
      <c r="C84" s="29" t="s">
        <v>653</v>
      </c>
      <c r="D84" s="31" t="s">
        <v>660</v>
      </c>
      <c r="E84" s="31"/>
      <c r="F84" s="31"/>
      <c r="G84" s="31" t="s">
        <v>661</v>
      </c>
      <c r="H84" s="31"/>
      <c r="I84" s="31"/>
      <c r="J84" s="31"/>
      <c r="K84" s="31"/>
      <c r="L84" s="31" t="s">
        <v>662</v>
      </c>
      <c r="M84" s="31"/>
      <c r="N84" s="31"/>
      <c r="O84" s="29" t="s">
        <v>380</v>
      </c>
    </row>
    <row r="85" customFormat="false" ht="30" hidden="false" customHeight="true" outlineLevel="0" collapsed="false">
      <c r="B85" s="26" t="n">
        <v>10</v>
      </c>
      <c r="C85" s="26" t="s">
        <v>653</v>
      </c>
      <c r="D85" s="28" t="s">
        <v>663</v>
      </c>
      <c r="E85" s="28"/>
      <c r="F85" s="28"/>
      <c r="G85" s="28" t="s">
        <v>664</v>
      </c>
      <c r="H85" s="28"/>
      <c r="I85" s="28"/>
      <c r="J85" s="28"/>
      <c r="K85" s="28"/>
      <c r="L85" s="28" t="s">
        <v>665</v>
      </c>
      <c r="M85" s="28"/>
      <c r="N85" s="28"/>
      <c r="O85" s="26" t="s">
        <v>381</v>
      </c>
    </row>
    <row r="86" customFormat="false" ht="17.25" hidden="false" customHeight="true" outlineLevel="0" collapsed="false">
      <c r="B86" s="29" t="n">
        <v>11</v>
      </c>
      <c r="C86" s="29" t="s">
        <v>653</v>
      </c>
      <c r="D86" s="31" t="s">
        <v>666</v>
      </c>
      <c r="E86" s="31"/>
      <c r="F86" s="31"/>
      <c r="G86" s="31" t="s">
        <v>667</v>
      </c>
      <c r="H86" s="31"/>
      <c r="I86" s="31"/>
      <c r="J86" s="31"/>
      <c r="K86" s="31"/>
      <c r="L86" s="31" t="s">
        <v>668</v>
      </c>
      <c r="M86" s="31"/>
      <c r="N86" s="31"/>
      <c r="O86" s="29" t="s">
        <v>389</v>
      </c>
    </row>
    <row r="87" customFormat="false" ht="30" hidden="false" customHeight="true" outlineLevel="0" collapsed="false">
      <c r="B87" s="26" t="n">
        <v>12</v>
      </c>
      <c r="C87" s="26" t="s">
        <v>653</v>
      </c>
      <c r="D87" s="28" t="s">
        <v>669</v>
      </c>
      <c r="E87" s="28"/>
      <c r="F87" s="28"/>
      <c r="G87" s="28" t="s">
        <v>670</v>
      </c>
      <c r="H87" s="28"/>
      <c r="I87" s="28"/>
      <c r="J87" s="28"/>
      <c r="K87" s="28"/>
      <c r="L87" s="28" t="s">
        <v>671</v>
      </c>
      <c r="M87" s="28"/>
      <c r="N87" s="28"/>
      <c r="O87" s="26" t="s">
        <v>382</v>
      </c>
    </row>
    <row r="88" customFormat="false" ht="30" hidden="false" customHeight="true" outlineLevel="0" collapsed="false">
      <c r="B88" s="29" t="n">
        <v>13</v>
      </c>
      <c r="C88" s="29" t="s">
        <v>653</v>
      </c>
      <c r="D88" s="31" t="s">
        <v>672</v>
      </c>
      <c r="E88" s="31"/>
      <c r="F88" s="31"/>
      <c r="G88" s="31" t="s">
        <v>673</v>
      </c>
      <c r="H88" s="31"/>
      <c r="I88" s="31"/>
      <c r="J88" s="31"/>
      <c r="K88" s="31"/>
      <c r="L88" s="31" t="s">
        <v>674</v>
      </c>
      <c r="M88" s="31"/>
      <c r="N88" s="31"/>
      <c r="O88" s="29" t="s">
        <v>384</v>
      </c>
    </row>
    <row r="89" customFormat="false" ht="30" hidden="false" customHeight="true" outlineLevel="0" collapsed="false">
      <c r="B89" s="26" t="n">
        <v>14</v>
      </c>
      <c r="C89" s="26" t="s">
        <v>653</v>
      </c>
      <c r="D89" s="28" t="s">
        <v>675</v>
      </c>
      <c r="E89" s="28"/>
      <c r="F89" s="28"/>
      <c r="G89" s="28" t="s">
        <v>676</v>
      </c>
      <c r="H89" s="28"/>
      <c r="I89" s="28"/>
      <c r="J89" s="28"/>
      <c r="K89" s="28"/>
      <c r="L89" s="28" t="s">
        <v>677</v>
      </c>
      <c r="M89" s="28"/>
      <c r="N89" s="28"/>
      <c r="O89" s="26" t="s">
        <v>385</v>
      </c>
    </row>
    <row r="90" customFormat="false" ht="30" hidden="false" customHeight="true" outlineLevel="0" collapsed="false">
      <c r="B90" s="29" t="n">
        <v>15</v>
      </c>
      <c r="C90" s="29" t="s">
        <v>653</v>
      </c>
      <c r="D90" s="31" t="s">
        <v>678</v>
      </c>
      <c r="E90" s="31"/>
      <c r="F90" s="31"/>
      <c r="G90" s="31" t="s">
        <v>679</v>
      </c>
      <c r="H90" s="31"/>
      <c r="I90" s="31"/>
      <c r="J90" s="31"/>
      <c r="K90" s="31"/>
      <c r="L90" s="31" t="s">
        <v>680</v>
      </c>
      <c r="M90" s="31"/>
      <c r="N90" s="31"/>
      <c r="O90" s="29" t="s">
        <v>386</v>
      </c>
    </row>
    <row r="91" customFormat="false" ht="30" hidden="false" customHeight="true" outlineLevel="0" collapsed="false">
      <c r="B91" s="26" t="n">
        <v>16</v>
      </c>
      <c r="C91" s="26" t="s">
        <v>653</v>
      </c>
      <c r="D91" s="28" t="s">
        <v>681</v>
      </c>
      <c r="E91" s="28"/>
      <c r="F91" s="28"/>
      <c r="G91" s="28" t="s">
        <v>682</v>
      </c>
      <c r="H91" s="28"/>
      <c r="I91" s="28"/>
      <c r="J91" s="28"/>
      <c r="K91" s="28"/>
      <c r="L91" s="28" t="s">
        <v>683</v>
      </c>
      <c r="M91" s="28"/>
      <c r="N91" s="28"/>
      <c r="O91" s="26" t="s">
        <v>387</v>
      </c>
    </row>
    <row r="92" customFormat="false" ht="17.25" hidden="false" customHeight="true" outlineLevel="0" collapsed="false">
      <c r="B92" s="29" t="n">
        <v>17</v>
      </c>
      <c r="C92" s="29" t="s">
        <v>653</v>
      </c>
      <c r="D92" s="31" t="s">
        <v>485</v>
      </c>
      <c r="E92" s="31"/>
      <c r="F92" s="31"/>
      <c r="G92" s="31" t="s">
        <v>684</v>
      </c>
      <c r="H92" s="31"/>
      <c r="I92" s="31"/>
      <c r="J92" s="31"/>
      <c r="K92" s="31"/>
      <c r="L92" s="31" t="s">
        <v>685</v>
      </c>
      <c r="M92" s="31"/>
      <c r="N92" s="31"/>
      <c r="O92" s="29" t="s">
        <v>388</v>
      </c>
    </row>
    <row r="93" customFormat="false" ht="30" hidden="false" customHeight="true" outlineLevel="0" collapsed="false">
      <c r="B93" s="26" t="n">
        <v>18</v>
      </c>
      <c r="C93" s="26" t="s">
        <v>653</v>
      </c>
      <c r="D93" s="28" t="s">
        <v>686</v>
      </c>
      <c r="E93" s="28"/>
      <c r="F93" s="28"/>
      <c r="G93" s="28" t="s">
        <v>687</v>
      </c>
      <c r="H93" s="28"/>
      <c r="I93" s="28"/>
      <c r="J93" s="28"/>
      <c r="K93" s="28"/>
      <c r="L93" s="28" t="s">
        <v>688</v>
      </c>
      <c r="M93" s="28"/>
      <c r="N93" s="28"/>
      <c r="O93" s="26" t="s">
        <v>392</v>
      </c>
    </row>
    <row r="94" customFormat="false" ht="30" hidden="false" customHeight="true" outlineLevel="0" collapsed="false">
      <c r="B94" s="29" t="n">
        <v>19</v>
      </c>
      <c r="C94" s="29" t="s">
        <v>653</v>
      </c>
      <c r="D94" s="31" t="s">
        <v>689</v>
      </c>
      <c r="E94" s="31"/>
      <c r="F94" s="31"/>
      <c r="G94" s="31" t="s">
        <v>690</v>
      </c>
      <c r="H94" s="31"/>
      <c r="I94" s="31"/>
      <c r="J94" s="31"/>
      <c r="K94" s="31"/>
      <c r="L94" s="31" t="s">
        <v>691</v>
      </c>
      <c r="M94" s="31"/>
      <c r="N94" s="31"/>
      <c r="O94" s="29" t="s">
        <v>403</v>
      </c>
    </row>
    <row r="95" customFormat="false" ht="30" hidden="false" customHeight="true" outlineLevel="0" collapsed="false">
      <c r="B95" s="26" t="n">
        <v>20</v>
      </c>
      <c r="C95" s="26" t="s">
        <v>166</v>
      </c>
      <c r="D95" s="28" t="s">
        <v>622</v>
      </c>
      <c r="E95" s="28"/>
      <c r="F95" s="28"/>
      <c r="G95" s="28" t="s">
        <v>692</v>
      </c>
      <c r="H95" s="28"/>
      <c r="I95" s="28"/>
      <c r="J95" s="28"/>
      <c r="K95" s="28"/>
      <c r="L95" s="28" t="s">
        <v>623</v>
      </c>
      <c r="M95" s="28"/>
      <c r="N95" s="28"/>
      <c r="O95" s="26" t="s">
        <v>166</v>
      </c>
    </row>
    <row r="97" customFormat="false" ht="15" hidden="false" customHeight="false" outlineLevel="0" collapsed="false">
      <c r="B97" s="23" t="s">
        <v>693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</row>
    <row r="98" customFormat="false" ht="15" hidden="false" customHeight="false" outlineLevel="0" collapsed="false">
      <c r="B98" s="23" t="s">
        <v>694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</row>
    <row r="99" customFormat="false" ht="15" hidden="false" customHeight="false" outlineLevel="0" collapsed="false">
      <c r="B99" s="23" t="s">
        <v>695</v>
      </c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</row>
    <row r="100" customFormat="false" ht="15" hidden="false" customHeight="false" outlineLevel="0" collapsed="false">
      <c r="B100" s="23" t="s">
        <v>696</v>
      </c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</row>
    <row r="101" customFormat="false" ht="15" hidden="false" customHeight="false" outlineLevel="0" collapsed="false">
      <c r="B101" s="23" t="s">
        <v>697</v>
      </c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</row>
    <row r="103" customFormat="false" ht="15" hidden="false" customHeight="false" outlineLevel="0" collapsed="false">
      <c r="B103" s="23" t="s">
        <v>698</v>
      </c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</row>
  </sheetData>
  <mergeCells count="267">
    <mergeCell ref="B2:S2"/>
    <mergeCell ref="T2:U2"/>
    <mergeCell ref="B3:U3"/>
    <mergeCell ref="B5:C5"/>
    <mergeCell ref="D5:E5"/>
    <mergeCell ref="F5:I5"/>
    <mergeCell ref="J5:L5"/>
    <mergeCell ref="M5:N5"/>
    <mergeCell ref="O5:P5"/>
    <mergeCell ref="Q5:R5"/>
    <mergeCell ref="S5:U5"/>
    <mergeCell ref="L7:T7"/>
    <mergeCell ref="L8:T8"/>
    <mergeCell ref="L9:T9"/>
    <mergeCell ref="L10:T10"/>
    <mergeCell ref="L11:T11"/>
    <mergeCell ref="L12:T12"/>
    <mergeCell ref="L13:T13"/>
    <mergeCell ref="L14:T14"/>
    <mergeCell ref="L15:T15"/>
    <mergeCell ref="L16:T16"/>
    <mergeCell ref="L17:T17"/>
    <mergeCell ref="L18:T18"/>
    <mergeCell ref="L19:T19"/>
    <mergeCell ref="B28:O28"/>
    <mergeCell ref="B29:D29"/>
    <mergeCell ref="F29:I29"/>
    <mergeCell ref="L29:M29"/>
    <mergeCell ref="N29:O29"/>
    <mergeCell ref="B30:D30"/>
    <mergeCell ref="F30:I30"/>
    <mergeCell ref="L30:M30"/>
    <mergeCell ref="N30:O30"/>
    <mergeCell ref="B31:D31"/>
    <mergeCell ref="F31:I31"/>
    <mergeCell ref="L31:M31"/>
    <mergeCell ref="N31:O31"/>
    <mergeCell ref="B32:D32"/>
    <mergeCell ref="F32:I32"/>
    <mergeCell ref="L32:M32"/>
    <mergeCell ref="N32:O32"/>
    <mergeCell ref="B33:D33"/>
    <mergeCell ref="F33:I33"/>
    <mergeCell ref="L33:M33"/>
    <mergeCell ref="N33:O33"/>
    <mergeCell ref="B34:D34"/>
    <mergeCell ref="F34:I34"/>
    <mergeCell ref="L34:M34"/>
    <mergeCell ref="N34:O34"/>
    <mergeCell ref="B35:D35"/>
    <mergeCell ref="F35:I35"/>
    <mergeCell ref="L35:M35"/>
    <mergeCell ref="N35:O35"/>
    <mergeCell ref="B36:D36"/>
    <mergeCell ref="F36:I36"/>
    <mergeCell ref="L36:M36"/>
    <mergeCell ref="N36:O36"/>
    <mergeCell ref="B37:D37"/>
    <mergeCell ref="F37:I37"/>
    <mergeCell ref="L37:M37"/>
    <mergeCell ref="N37:O37"/>
    <mergeCell ref="B38:D38"/>
    <mergeCell ref="F38:I38"/>
    <mergeCell ref="L38:M38"/>
    <mergeCell ref="N38:O38"/>
    <mergeCell ref="B39:D39"/>
    <mergeCell ref="F39:I39"/>
    <mergeCell ref="L39:M39"/>
    <mergeCell ref="N39:O39"/>
    <mergeCell ref="B40:D40"/>
    <mergeCell ref="F40:I40"/>
    <mergeCell ref="L40:M40"/>
    <mergeCell ref="N40:O40"/>
    <mergeCell ref="B41:D41"/>
    <mergeCell ref="F41:I41"/>
    <mergeCell ref="L41:M41"/>
    <mergeCell ref="N41:O41"/>
    <mergeCell ref="B42:D42"/>
    <mergeCell ref="F42:I42"/>
    <mergeCell ref="L42:M42"/>
    <mergeCell ref="N42:O42"/>
    <mergeCell ref="B43:D43"/>
    <mergeCell ref="F43:I43"/>
    <mergeCell ref="L43:M43"/>
    <mergeCell ref="N43:O43"/>
    <mergeCell ref="B44:D44"/>
    <mergeCell ref="F44:I44"/>
    <mergeCell ref="L44:M44"/>
    <mergeCell ref="N44:O44"/>
    <mergeCell ref="B45:D45"/>
    <mergeCell ref="F45:I45"/>
    <mergeCell ref="L45:M45"/>
    <mergeCell ref="N45:O45"/>
    <mergeCell ref="B46:D46"/>
    <mergeCell ref="F46:I46"/>
    <mergeCell ref="L46:M46"/>
    <mergeCell ref="N46:O46"/>
    <mergeCell ref="B47:D47"/>
    <mergeCell ref="F47:I47"/>
    <mergeCell ref="L47:M47"/>
    <mergeCell ref="N47:O47"/>
    <mergeCell ref="B48:D48"/>
    <mergeCell ref="F48:I48"/>
    <mergeCell ref="L48:M48"/>
    <mergeCell ref="N48:O48"/>
    <mergeCell ref="B49:D49"/>
    <mergeCell ref="F49:I49"/>
    <mergeCell ref="L49:M49"/>
    <mergeCell ref="N49:O49"/>
    <mergeCell ref="B50:D50"/>
    <mergeCell ref="F50:I50"/>
    <mergeCell ref="L50:M50"/>
    <mergeCell ref="N50:O50"/>
    <mergeCell ref="B51:D51"/>
    <mergeCell ref="F51:I51"/>
    <mergeCell ref="L51:M51"/>
    <mergeCell ref="N51:O51"/>
    <mergeCell ref="B52:D52"/>
    <mergeCell ref="F52:I52"/>
    <mergeCell ref="L52:M52"/>
    <mergeCell ref="N52:O52"/>
    <mergeCell ref="B53:D53"/>
    <mergeCell ref="F53:I53"/>
    <mergeCell ref="L53:M53"/>
    <mergeCell ref="N53:O53"/>
    <mergeCell ref="B54:D54"/>
    <mergeCell ref="F54:I54"/>
    <mergeCell ref="L54:M54"/>
    <mergeCell ref="N54:O54"/>
    <mergeCell ref="B55:D55"/>
    <mergeCell ref="F55:I55"/>
    <mergeCell ref="L55:M55"/>
    <mergeCell ref="N55:O55"/>
    <mergeCell ref="B56:D56"/>
    <mergeCell ref="F56:I56"/>
    <mergeCell ref="L56:M56"/>
    <mergeCell ref="N56:O56"/>
    <mergeCell ref="B57:D57"/>
    <mergeCell ref="F57:I57"/>
    <mergeCell ref="L57:M57"/>
    <mergeCell ref="N57:O57"/>
    <mergeCell ref="B58:D58"/>
    <mergeCell ref="F58:I58"/>
    <mergeCell ref="L58:M58"/>
    <mergeCell ref="N58:O58"/>
    <mergeCell ref="B59:D59"/>
    <mergeCell ref="F59:I59"/>
    <mergeCell ref="L59:M59"/>
    <mergeCell ref="N59:O59"/>
    <mergeCell ref="B60:D60"/>
    <mergeCell ref="F60:I60"/>
    <mergeCell ref="L60:M60"/>
    <mergeCell ref="N60:O60"/>
    <mergeCell ref="B61:D61"/>
    <mergeCell ref="F61:I61"/>
    <mergeCell ref="L61:M61"/>
    <mergeCell ref="N61:O61"/>
    <mergeCell ref="B62:D62"/>
    <mergeCell ref="F62:I62"/>
    <mergeCell ref="L62:M62"/>
    <mergeCell ref="N62:O62"/>
    <mergeCell ref="B63:D63"/>
    <mergeCell ref="F63:I63"/>
    <mergeCell ref="L63:M63"/>
    <mergeCell ref="N63:O63"/>
    <mergeCell ref="B64:D64"/>
    <mergeCell ref="F64:I64"/>
    <mergeCell ref="L64:M64"/>
    <mergeCell ref="N64:O64"/>
    <mergeCell ref="B65:D65"/>
    <mergeCell ref="F65:I65"/>
    <mergeCell ref="L65:M65"/>
    <mergeCell ref="N65:O65"/>
    <mergeCell ref="B66:D66"/>
    <mergeCell ref="F66:I66"/>
    <mergeCell ref="L66:M66"/>
    <mergeCell ref="N66:O66"/>
    <mergeCell ref="B67:D67"/>
    <mergeCell ref="F67:I67"/>
    <mergeCell ref="L67:M67"/>
    <mergeCell ref="N67:O67"/>
    <mergeCell ref="B68:D68"/>
    <mergeCell ref="F68:I68"/>
    <mergeCell ref="L68:M68"/>
    <mergeCell ref="N68:O68"/>
    <mergeCell ref="B69:D69"/>
    <mergeCell ref="F69:I69"/>
    <mergeCell ref="L69:M69"/>
    <mergeCell ref="N69:O69"/>
    <mergeCell ref="B70:D70"/>
    <mergeCell ref="F70:I70"/>
    <mergeCell ref="L70:M70"/>
    <mergeCell ref="N70:O70"/>
    <mergeCell ref="B71:I71"/>
    <mergeCell ref="B73:O73"/>
    <mergeCell ref="D74:F74"/>
    <mergeCell ref="G74:K74"/>
    <mergeCell ref="L74:N74"/>
    <mergeCell ref="D75:F75"/>
    <mergeCell ref="G75:K75"/>
    <mergeCell ref="L75:N75"/>
    <mergeCell ref="D76:F76"/>
    <mergeCell ref="G76:K76"/>
    <mergeCell ref="L76:N76"/>
    <mergeCell ref="D77:F77"/>
    <mergeCell ref="G77:K77"/>
    <mergeCell ref="L77:N77"/>
    <mergeCell ref="D78:F78"/>
    <mergeCell ref="G78:K78"/>
    <mergeCell ref="L78:N78"/>
    <mergeCell ref="D79:F79"/>
    <mergeCell ref="G79:K79"/>
    <mergeCell ref="L79:N79"/>
    <mergeCell ref="D80:F80"/>
    <mergeCell ref="G80:K80"/>
    <mergeCell ref="L80:N80"/>
    <mergeCell ref="D81:F81"/>
    <mergeCell ref="G81:K81"/>
    <mergeCell ref="L81:N81"/>
    <mergeCell ref="D82:F82"/>
    <mergeCell ref="G82:K82"/>
    <mergeCell ref="L82:N82"/>
    <mergeCell ref="D83:F83"/>
    <mergeCell ref="G83:K83"/>
    <mergeCell ref="L83:N83"/>
    <mergeCell ref="D84:F84"/>
    <mergeCell ref="G84:K84"/>
    <mergeCell ref="L84:N84"/>
    <mergeCell ref="D85:F85"/>
    <mergeCell ref="G85:K85"/>
    <mergeCell ref="L85:N85"/>
    <mergeCell ref="D86:F86"/>
    <mergeCell ref="G86:K86"/>
    <mergeCell ref="L86:N86"/>
    <mergeCell ref="D87:F87"/>
    <mergeCell ref="G87:K87"/>
    <mergeCell ref="L87:N87"/>
    <mergeCell ref="D88:F88"/>
    <mergeCell ref="G88:K88"/>
    <mergeCell ref="L88:N88"/>
    <mergeCell ref="D89:F89"/>
    <mergeCell ref="G89:K89"/>
    <mergeCell ref="L89:N89"/>
    <mergeCell ref="D90:F90"/>
    <mergeCell ref="G90:K90"/>
    <mergeCell ref="L90:N90"/>
    <mergeCell ref="D91:F91"/>
    <mergeCell ref="G91:K91"/>
    <mergeCell ref="L91:N91"/>
    <mergeCell ref="D92:F92"/>
    <mergeCell ref="G92:K92"/>
    <mergeCell ref="L92:N92"/>
    <mergeCell ref="D93:F93"/>
    <mergeCell ref="G93:K93"/>
    <mergeCell ref="L93:N93"/>
    <mergeCell ref="D94:F94"/>
    <mergeCell ref="G94:K94"/>
    <mergeCell ref="L94:N94"/>
    <mergeCell ref="D95:F95"/>
    <mergeCell ref="G95:K95"/>
    <mergeCell ref="L95:N95"/>
    <mergeCell ref="B97:U97"/>
    <mergeCell ref="B98:U98"/>
    <mergeCell ref="B99:U99"/>
    <mergeCell ref="B100:U100"/>
    <mergeCell ref="B101:U101"/>
    <mergeCell ref="B103:U103"/>
  </mergeCells>
  <hyperlinks>
    <hyperlink ref="T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D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0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197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" t="s">
        <v>1</v>
      </c>
      <c r="T2" s="2"/>
    </row>
    <row r="3" customFormat="false" ht="15" hidden="false" customHeight="true" outlineLevel="0" collapsed="false">
      <c r="B3" s="3" t="s">
        <v>699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AA3" s="35" t="s">
        <v>700</v>
      </c>
      <c r="AB3" s="35" t="s">
        <v>701</v>
      </c>
      <c r="AC3" s="35" t="s">
        <v>377</v>
      </c>
      <c r="AD3" s="35" t="s">
        <v>378</v>
      </c>
    </row>
    <row r="4" customFormat="false" ht="15" hidden="false" customHeight="false" outlineLevel="0" collapsed="false">
      <c r="AA4" s="36" t="s">
        <v>702</v>
      </c>
      <c r="AB4" s="36" t="n">
        <v>952</v>
      </c>
      <c r="AC4" s="36" t="n">
        <v>0</v>
      </c>
      <c r="AD4" s="36" t="n">
        <v>952</v>
      </c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353</v>
      </c>
      <c r="G5" s="38"/>
      <c r="H5" s="38"/>
      <c r="I5" s="38" t="s">
        <v>354</v>
      </c>
      <c r="J5" s="38"/>
      <c r="K5" s="38" t="s">
        <v>355</v>
      </c>
      <c r="L5" s="38"/>
      <c r="M5" s="38" t="s">
        <v>703</v>
      </c>
      <c r="N5" s="38"/>
      <c r="O5" s="38"/>
      <c r="P5" s="39" t="s">
        <v>356</v>
      </c>
      <c r="Q5" s="39"/>
      <c r="R5" s="39"/>
      <c r="AA5" s="36" t="s">
        <v>704</v>
      </c>
      <c r="AB5" s="36" t="n">
        <v>80</v>
      </c>
      <c r="AC5" s="36" t="n">
        <v>952</v>
      </c>
      <c r="AD5" s="36" t="n">
        <v>80</v>
      </c>
    </row>
    <row r="6" customFormat="false" ht="15" hidden="false" customHeight="false" outlineLevel="0" collapsed="false">
      <c r="AA6" s="36" t="s">
        <v>705</v>
      </c>
      <c r="AB6" s="36" t="n">
        <v>-36</v>
      </c>
      <c r="AC6" s="36" t="n">
        <v>996</v>
      </c>
      <c r="AD6" s="36" t="n">
        <v>36</v>
      </c>
    </row>
    <row r="7" customFormat="false" ht="12.75" hidden="false" customHeight="true" outlineLevel="0" collapsed="false">
      <c r="B7" s="12" t="s">
        <v>706</v>
      </c>
      <c r="C7" s="12"/>
      <c r="D7" s="12"/>
      <c r="E7" s="11" t="s">
        <v>707</v>
      </c>
      <c r="F7" s="11"/>
      <c r="G7" s="11"/>
      <c r="H7" s="12" t="s">
        <v>708</v>
      </c>
      <c r="I7" s="12"/>
      <c r="J7" s="12"/>
      <c r="K7" s="11" t="s">
        <v>709</v>
      </c>
      <c r="L7" s="11"/>
      <c r="M7" s="11"/>
      <c r="N7" s="12" t="s">
        <v>710</v>
      </c>
      <c r="O7" s="12"/>
      <c r="P7" s="12"/>
      <c r="Q7" s="12" t="s">
        <v>131</v>
      </c>
      <c r="R7" s="12"/>
      <c r="S7" s="12"/>
      <c r="AA7" s="36" t="s">
        <v>711</v>
      </c>
      <c r="AB7" s="36" t="n">
        <v>14</v>
      </c>
      <c r="AC7" s="36" t="n">
        <v>996</v>
      </c>
      <c r="AD7" s="36" t="n">
        <v>14</v>
      </c>
    </row>
    <row r="8" customFormat="false" ht="25.5" hidden="false" customHeight="true" outlineLevel="0" collapsed="false">
      <c r="B8" s="14" t="n">
        <f aca="false">AB4</f>
        <v>952</v>
      </c>
      <c r="C8" s="14"/>
      <c r="D8" s="14"/>
      <c r="E8" s="76" t="n">
        <f aca="false">AB5</f>
        <v>80</v>
      </c>
      <c r="F8" s="76"/>
      <c r="G8" s="76"/>
      <c r="H8" s="76" t="n">
        <f aca="false">AB6</f>
        <v>-36</v>
      </c>
      <c r="I8" s="76"/>
      <c r="J8" s="76"/>
      <c r="K8" s="14" t="n">
        <f aca="false">AB4+SUM(AB5:AB8)</f>
        <v>988</v>
      </c>
      <c r="L8" s="14"/>
      <c r="M8" s="14"/>
      <c r="N8" s="14" t="n">
        <f aca="false">AB10</f>
        <v>1011</v>
      </c>
      <c r="O8" s="14"/>
      <c r="P8" s="14"/>
      <c r="Q8" s="13" t="n">
        <f aca="false">Q18</f>
        <v>971.3</v>
      </c>
      <c r="R8" s="13"/>
      <c r="S8" s="13"/>
      <c r="AA8" s="36" t="s">
        <v>712</v>
      </c>
      <c r="AB8" s="36" t="n">
        <v>-22</v>
      </c>
      <c r="AC8" s="36" t="n">
        <v>988</v>
      </c>
      <c r="AD8" s="36" t="n">
        <v>22</v>
      </c>
    </row>
    <row r="9" customFormat="false" ht="15" hidden="false" customHeight="true" outlineLevel="0" collapsed="false">
      <c r="B9" s="16" t="s">
        <v>713</v>
      </c>
      <c r="C9" s="16"/>
      <c r="D9" s="16"/>
      <c r="E9" s="16" t="s">
        <v>714</v>
      </c>
      <c r="F9" s="16"/>
      <c r="G9" s="16"/>
      <c r="H9" s="16" t="s">
        <v>715</v>
      </c>
      <c r="I9" s="16"/>
      <c r="J9" s="16"/>
      <c r="K9" s="16" t="s">
        <v>716</v>
      </c>
      <c r="L9" s="16"/>
      <c r="M9" s="16"/>
      <c r="N9" s="18" t="s">
        <v>717</v>
      </c>
      <c r="O9" s="18"/>
      <c r="P9" s="18"/>
      <c r="Q9" s="18" t="s">
        <v>365</v>
      </c>
      <c r="R9" s="18"/>
      <c r="S9" s="18"/>
      <c r="AA9" s="36" t="s">
        <v>718</v>
      </c>
      <c r="AB9" s="36" t="n">
        <v>988</v>
      </c>
      <c r="AC9" s="36" t="n">
        <v>0</v>
      </c>
      <c r="AD9" s="36" t="n">
        <v>988</v>
      </c>
    </row>
    <row r="10" customFormat="false" ht="15" hidden="false" customHeight="false" outlineLevel="0" collapsed="false">
      <c r="AA10" s="36" t="s">
        <v>719</v>
      </c>
      <c r="AB10" s="36" t="n">
        <v>1011</v>
      </c>
      <c r="AC10" s="36" t="n">
        <v>0</v>
      </c>
      <c r="AD10" s="36" t="n">
        <v>1011</v>
      </c>
    </row>
    <row r="11" customFormat="false" ht="18" hidden="false" customHeight="true" outlineLevel="0" collapsed="false">
      <c r="B11" s="4" t="s">
        <v>720</v>
      </c>
      <c r="C11" s="4"/>
      <c r="D11" s="4"/>
      <c r="E11" s="4"/>
      <c r="F11" s="4"/>
      <c r="G11" s="4"/>
      <c r="H11" s="4"/>
      <c r="I11" s="4"/>
      <c r="K11" s="4" t="s">
        <v>721</v>
      </c>
      <c r="L11" s="4"/>
      <c r="M11" s="4"/>
      <c r="N11" s="4"/>
      <c r="O11" s="4" t="s">
        <v>722</v>
      </c>
      <c r="P11" s="4"/>
      <c r="Q11" s="4"/>
      <c r="R11" s="4"/>
    </row>
    <row r="12" customFormat="false" ht="18" hidden="false" customHeight="true" outlineLevel="0" collapsed="false">
      <c r="K12" s="40" t="s">
        <v>723</v>
      </c>
      <c r="L12" s="40"/>
      <c r="M12" s="40"/>
      <c r="N12" s="25" t="s">
        <v>724</v>
      </c>
      <c r="O12" s="40" t="s">
        <v>700</v>
      </c>
      <c r="P12" s="40"/>
      <c r="Q12" s="25" t="s">
        <v>725</v>
      </c>
    </row>
    <row r="13" customFormat="false" ht="15" hidden="false" customHeight="true" outlineLevel="0" collapsed="false">
      <c r="K13" s="8" t="s">
        <v>726</v>
      </c>
      <c r="L13" s="8"/>
      <c r="M13" s="8"/>
      <c r="N13" s="77" t="n">
        <v>64</v>
      </c>
      <c r="O13" s="8" t="s">
        <v>727</v>
      </c>
      <c r="P13" s="8"/>
      <c r="Q13" s="52" t="n">
        <v>944.6</v>
      </c>
    </row>
    <row r="14" customFormat="false" ht="15" hidden="false" customHeight="true" outlineLevel="0" collapsed="false">
      <c r="K14" s="10" t="s">
        <v>728</v>
      </c>
      <c r="L14" s="10"/>
      <c r="M14" s="10"/>
      <c r="N14" s="78" t="n">
        <v>25</v>
      </c>
      <c r="O14" s="10" t="s">
        <v>704</v>
      </c>
      <c r="P14" s="10"/>
      <c r="Q14" s="54" t="n">
        <v>74.2</v>
      </c>
    </row>
    <row r="15" customFormat="false" ht="15" hidden="false" customHeight="true" outlineLevel="0" collapsed="false">
      <c r="K15" s="8" t="s">
        <v>729</v>
      </c>
      <c r="L15" s="8"/>
      <c r="M15" s="8"/>
      <c r="N15" s="77" t="n">
        <v>89</v>
      </c>
      <c r="O15" s="8" t="s">
        <v>705</v>
      </c>
      <c r="P15" s="8"/>
      <c r="Q15" s="52" t="n">
        <v>-33.9</v>
      </c>
    </row>
    <row r="16" customFormat="false" ht="15" hidden="false" customHeight="true" outlineLevel="0" collapsed="false">
      <c r="K16" s="10" t="s">
        <v>730</v>
      </c>
      <c r="L16" s="10"/>
      <c r="M16" s="10"/>
      <c r="N16" s="78" t="n">
        <v>71</v>
      </c>
      <c r="O16" s="10" t="s">
        <v>731</v>
      </c>
      <c r="P16" s="10"/>
      <c r="Q16" s="54" t="n">
        <v>-5.1</v>
      </c>
    </row>
    <row r="17" customFormat="false" ht="15" hidden="false" customHeight="true" outlineLevel="0" collapsed="false">
      <c r="K17" s="8" t="s">
        <v>732</v>
      </c>
      <c r="L17" s="8"/>
      <c r="M17" s="8"/>
      <c r="N17" s="77" t="n">
        <v>23</v>
      </c>
      <c r="O17" s="8" t="s">
        <v>733</v>
      </c>
      <c r="P17" s="8"/>
      <c r="Q17" s="52" t="n">
        <v>-8.5</v>
      </c>
    </row>
    <row r="18" customFormat="false" ht="15" hidden="false" customHeight="true" outlineLevel="0" collapsed="false">
      <c r="K18" s="10" t="s">
        <v>734</v>
      </c>
      <c r="L18" s="10"/>
      <c r="M18" s="10"/>
      <c r="N18" s="78" t="n">
        <v>54</v>
      </c>
      <c r="O18" s="50" t="s">
        <v>735</v>
      </c>
      <c r="P18" s="50"/>
      <c r="Q18" s="79" t="n">
        <f aca="false">SUM(Q13:Q17)</f>
        <v>971.3</v>
      </c>
    </row>
    <row r="30" customFormat="false" ht="18" hidden="false" customHeight="true" outlineLevel="0" collapsed="false">
      <c r="B30" s="4" t="s">
        <v>736</v>
      </c>
      <c r="C30" s="4"/>
      <c r="D30" s="4"/>
      <c r="E30" s="4"/>
      <c r="F30" s="4"/>
      <c r="G30" s="4"/>
      <c r="H30" s="4"/>
      <c r="I30" s="4"/>
    </row>
    <row r="31" customFormat="false" ht="19.5" hidden="false" customHeight="true" outlineLevel="0" collapsed="false">
      <c r="B31" s="40" t="s">
        <v>737</v>
      </c>
      <c r="C31" s="40"/>
      <c r="D31" s="25" t="s">
        <v>738</v>
      </c>
      <c r="E31" s="25" t="s">
        <v>509</v>
      </c>
      <c r="F31" s="40" t="s">
        <v>398</v>
      </c>
      <c r="G31" s="40"/>
    </row>
    <row r="32" customFormat="false" ht="15" hidden="false" customHeight="true" outlineLevel="0" collapsed="false">
      <c r="B32" s="8" t="s">
        <v>739</v>
      </c>
      <c r="C32" s="8"/>
      <c r="D32" s="80" t="n">
        <v>-17</v>
      </c>
      <c r="E32" s="8" t="s">
        <v>514</v>
      </c>
      <c r="F32" s="47" t="s">
        <v>424</v>
      </c>
      <c r="G32" s="47"/>
    </row>
    <row r="33" customFormat="false" ht="15" hidden="false" customHeight="true" outlineLevel="0" collapsed="false">
      <c r="B33" s="10" t="s">
        <v>740</v>
      </c>
      <c r="C33" s="10"/>
      <c r="D33" s="81" t="n">
        <v>-23</v>
      </c>
      <c r="E33" s="10" t="s">
        <v>741</v>
      </c>
      <c r="F33" s="46" t="s">
        <v>413</v>
      </c>
      <c r="G33" s="46"/>
    </row>
    <row r="34" customFormat="false" ht="15" hidden="false" customHeight="true" outlineLevel="0" collapsed="false">
      <c r="B34" s="8" t="s">
        <v>742</v>
      </c>
      <c r="C34" s="8"/>
      <c r="D34" s="80" t="n">
        <v>12</v>
      </c>
      <c r="E34" s="8" t="s">
        <v>514</v>
      </c>
      <c r="F34" s="47" t="s">
        <v>424</v>
      </c>
      <c r="G34" s="47"/>
    </row>
    <row r="35" customFormat="false" ht="15" hidden="false" customHeight="true" outlineLevel="0" collapsed="false">
      <c r="B35" s="10" t="s">
        <v>477</v>
      </c>
      <c r="C35" s="10"/>
      <c r="D35" s="81" t="n">
        <v>9</v>
      </c>
      <c r="E35" s="10" t="s">
        <v>514</v>
      </c>
      <c r="F35" s="43" t="s">
        <v>407</v>
      </c>
      <c r="G35" s="43"/>
    </row>
    <row r="36" customFormat="false" ht="15" hidden="false" customHeight="true" outlineLevel="0" collapsed="false">
      <c r="B36" s="8" t="s">
        <v>743</v>
      </c>
      <c r="C36" s="8"/>
      <c r="D36" s="80" t="n">
        <v>5</v>
      </c>
      <c r="E36" s="8" t="s">
        <v>514</v>
      </c>
      <c r="F36" s="47" t="s">
        <v>424</v>
      </c>
      <c r="G36" s="47"/>
    </row>
    <row r="37" customFormat="false" ht="15" hidden="false" customHeight="true" outlineLevel="0" collapsed="false">
      <c r="B37" s="10" t="s">
        <v>744</v>
      </c>
      <c r="C37" s="10"/>
      <c r="D37" s="81" t="n">
        <v>-4</v>
      </c>
      <c r="E37" s="10" t="s">
        <v>514</v>
      </c>
      <c r="F37" s="61" t="s">
        <v>520</v>
      </c>
      <c r="G37" s="61"/>
    </row>
    <row r="38" customFormat="false" ht="15" hidden="false" customHeight="true" outlineLevel="0" collapsed="false">
      <c r="B38" s="8" t="s">
        <v>745</v>
      </c>
      <c r="C38" s="8"/>
      <c r="D38" s="80" t="n">
        <v>-7</v>
      </c>
      <c r="E38" s="8" t="s">
        <v>514</v>
      </c>
      <c r="F38" s="47" t="s">
        <v>424</v>
      </c>
      <c r="G38" s="47"/>
    </row>
    <row r="39" customFormat="false" ht="15" hidden="false" customHeight="true" outlineLevel="0" collapsed="false">
      <c r="B39" s="10" t="s">
        <v>746</v>
      </c>
      <c r="C39" s="10"/>
      <c r="D39" s="81" t="n">
        <v>2</v>
      </c>
      <c r="E39" s="10" t="s">
        <v>514</v>
      </c>
      <c r="F39" s="61" t="s">
        <v>520</v>
      </c>
      <c r="G39" s="61"/>
    </row>
    <row r="40" customFormat="false" ht="15" hidden="false" customHeight="true" outlineLevel="0" collapsed="false">
      <c r="B40" s="50" t="s">
        <v>747</v>
      </c>
      <c r="C40" s="50"/>
      <c r="D40" s="82" t="n">
        <f aca="false">SUM(D32:D39)</f>
        <v>-23</v>
      </c>
      <c r="E40" s="50"/>
      <c r="F40" s="50"/>
      <c r="G40" s="50"/>
    </row>
    <row r="43" customFormat="false" ht="18" hidden="false" customHeight="true" outlineLevel="0" collapsed="false">
      <c r="B43" s="4" t="s">
        <v>748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customFormat="false" ht="19.5" hidden="false" customHeight="true" outlineLevel="0" collapsed="false">
      <c r="B44" s="25" t="s">
        <v>151</v>
      </c>
      <c r="C44" s="25" t="s">
        <v>749</v>
      </c>
      <c r="D44" s="40" t="s">
        <v>750</v>
      </c>
      <c r="E44" s="40"/>
      <c r="F44" s="40"/>
      <c r="G44" s="25" t="s">
        <v>460</v>
      </c>
      <c r="H44" s="25" t="s">
        <v>459</v>
      </c>
      <c r="I44" s="25" t="s">
        <v>751</v>
      </c>
      <c r="J44" s="40" t="s">
        <v>752</v>
      </c>
      <c r="K44" s="40"/>
      <c r="L44" s="40"/>
      <c r="M44" s="40" t="s">
        <v>506</v>
      </c>
      <c r="N44" s="40"/>
      <c r="O44" s="40"/>
      <c r="P44" s="40" t="s">
        <v>509</v>
      </c>
      <c r="Q44" s="40"/>
    </row>
    <row r="45" customFormat="false" ht="15" hidden="false" customHeight="true" outlineLevel="0" collapsed="false">
      <c r="B45" s="8" t="s">
        <v>753</v>
      </c>
      <c r="C45" s="8" t="s">
        <v>754</v>
      </c>
      <c r="D45" s="8" t="s">
        <v>755</v>
      </c>
      <c r="E45" s="8"/>
      <c r="F45" s="8"/>
      <c r="G45" s="26" t="s">
        <v>756</v>
      </c>
      <c r="H45" s="8" t="s">
        <v>441</v>
      </c>
      <c r="I45" s="26" t="s">
        <v>757</v>
      </c>
      <c r="J45" s="8" t="s">
        <v>758</v>
      </c>
      <c r="K45" s="8"/>
      <c r="L45" s="8"/>
      <c r="M45" s="8" t="s">
        <v>759</v>
      </c>
      <c r="N45" s="8"/>
      <c r="O45" s="8"/>
      <c r="P45" s="8" t="s">
        <v>760</v>
      </c>
      <c r="Q45" s="8"/>
    </row>
    <row r="46" customFormat="false" ht="15" hidden="false" customHeight="true" outlineLevel="0" collapsed="false">
      <c r="B46" s="10" t="s">
        <v>761</v>
      </c>
      <c r="C46" s="10" t="s">
        <v>754</v>
      </c>
      <c r="D46" s="10" t="s">
        <v>762</v>
      </c>
      <c r="E46" s="10"/>
      <c r="F46" s="10"/>
      <c r="G46" s="29" t="s">
        <v>467</v>
      </c>
      <c r="H46" s="10" t="s">
        <v>441</v>
      </c>
      <c r="I46" s="29" t="s">
        <v>763</v>
      </c>
      <c r="J46" s="10" t="s">
        <v>758</v>
      </c>
      <c r="K46" s="10"/>
      <c r="L46" s="10"/>
      <c r="M46" s="10" t="s">
        <v>740</v>
      </c>
      <c r="N46" s="10"/>
      <c r="O46" s="10"/>
      <c r="P46" s="10" t="s">
        <v>741</v>
      </c>
      <c r="Q46" s="10"/>
    </row>
    <row r="47" customFormat="false" ht="15" hidden="false" customHeight="true" outlineLevel="0" collapsed="false">
      <c r="B47" s="8" t="s">
        <v>764</v>
      </c>
      <c r="C47" s="8" t="s">
        <v>765</v>
      </c>
      <c r="D47" s="8" t="s">
        <v>766</v>
      </c>
      <c r="E47" s="8"/>
      <c r="F47" s="8"/>
      <c r="G47" s="26" t="s">
        <v>467</v>
      </c>
      <c r="H47" s="8" t="s">
        <v>441</v>
      </c>
      <c r="I47" s="26" t="s">
        <v>767</v>
      </c>
      <c r="J47" s="8" t="s">
        <v>768</v>
      </c>
      <c r="K47" s="8"/>
      <c r="L47" s="8"/>
      <c r="M47" s="8" t="s">
        <v>742</v>
      </c>
      <c r="N47" s="8"/>
      <c r="O47" s="8"/>
      <c r="P47" s="8" t="s">
        <v>514</v>
      </c>
      <c r="Q47" s="8"/>
    </row>
    <row r="48" customFormat="false" ht="15" hidden="false" customHeight="true" outlineLevel="0" collapsed="false">
      <c r="B48" s="10" t="s">
        <v>769</v>
      </c>
      <c r="C48" s="10" t="s">
        <v>765</v>
      </c>
      <c r="D48" s="10" t="s">
        <v>770</v>
      </c>
      <c r="E48" s="10"/>
      <c r="F48" s="10"/>
      <c r="G48" s="29" t="s">
        <v>473</v>
      </c>
      <c r="H48" s="10" t="s">
        <v>445</v>
      </c>
      <c r="I48" s="29" t="s">
        <v>166</v>
      </c>
      <c r="J48" s="10" t="s">
        <v>771</v>
      </c>
      <c r="K48" s="10"/>
      <c r="L48" s="10"/>
      <c r="M48" s="10" t="s">
        <v>477</v>
      </c>
      <c r="N48" s="10"/>
      <c r="O48" s="10"/>
      <c r="P48" s="10" t="s">
        <v>514</v>
      </c>
      <c r="Q48" s="10"/>
    </row>
    <row r="49" customFormat="false" ht="15" hidden="false" customHeight="true" outlineLevel="0" collapsed="false">
      <c r="B49" s="8" t="s">
        <v>772</v>
      </c>
      <c r="C49" s="8" t="s">
        <v>765</v>
      </c>
      <c r="D49" s="8" t="s">
        <v>773</v>
      </c>
      <c r="E49" s="8"/>
      <c r="F49" s="8"/>
      <c r="G49" s="26" t="s">
        <v>774</v>
      </c>
      <c r="H49" s="8" t="s">
        <v>442</v>
      </c>
      <c r="I49" s="26" t="s">
        <v>166</v>
      </c>
      <c r="J49" s="8" t="s">
        <v>775</v>
      </c>
      <c r="K49" s="8"/>
      <c r="L49" s="8"/>
      <c r="M49" s="8" t="s">
        <v>743</v>
      </c>
      <c r="N49" s="8"/>
      <c r="O49" s="8"/>
      <c r="P49" s="8" t="s">
        <v>514</v>
      </c>
      <c r="Q49" s="8"/>
    </row>
    <row r="50" customFormat="false" ht="15" hidden="false" customHeight="true" outlineLevel="0" collapsed="false">
      <c r="B50" s="10" t="s">
        <v>776</v>
      </c>
      <c r="C50" s="10" t="s">
        <v>754</v>
      </c>
      <c r="D50" s="10" t="s">
        <v>777</v>
      </c>
      <c r="E50" s="10"/>
      <c r="F50" s="10"/>
      <c r="G50" s="29" t="s">
        <v>476</v>
      </c>
      <c r="H50" s="10" t="s">
        <v>444</v>
      </c>
      <c r="I50" s="29" t="s">
        <v>778</v>
      </c>
      <c r="J50" s="10" t="s">
        <v>779</v>
      </c>
      <c r="K50" s="10"/>
      <c r="L50" s="10"/>
      <c r="M50" s="10" t="s">
        <v>780</v>
      </c>
      <c r="N50" s="10"/>
      <c r="O50" s="10"/>
      <c r="P50" s="10" t="s">
        <v>166</v>
      </c>
      <c r="Q50" s="10"/>
    </row>
    <row r="52" customFormat="false" ht="15" hidden="false" customHeight="false" outlineLevel="0" collapsed="false">
      <c r="B52" s="23" t="s">
        <v>781</v>
      </c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</row>
  </sheetData>
  <mergeCells count="96">
    <mergeCell ref="B2:R2"/>
    <mergeCell ref="S2:T2"/>
    <mergeCell ref="B3:T3"/>
    <mergeCell ref="B5:C5"/>
    <mergeCell ref="D5:E5"/>
    <mergeCell ref="F5:H5"/>
    <mergeCell ref="I5:J5"/>
    <mergeCell ref="K5:L5"/>
    <mergeCell ref="M5:O5"/>
    <mergeCell ref="P5:R5"/>
    <mergeCell ref="B7:D7"/>
    <mergeCell ref="E7:G7"/>
    <mergeCell ref="H7:J7"/>
    <mergeCell ref="K7:M7"/>
    <mergeCell ref="N7:P7"/>
    <mergeCell ref="Q7:S7"/>
    <mergeCell ref="B8:D8"/>
    <mergeCell ref="E8:G8"/>
    <mergeCell ref="H8:J8"/>
    <mergeCell ref="K8:M8"/>
    <mergeCell ref="N8:P8"/>
    <mergeCell ref="Q8:S8"/>
    <mergeCell ref="B9:D9"/>
    <mergeCell ref="E9:G9"/>
    <mergeCell ref="H9:J9"/>
    <mergeCell ref="K9:M9"/>
    <mergeCell ref="N9:P9"/>
    <mergeCell ref="Q9:S9"/>
    <mergeCell ref="B11:I11"/>
    <mergeCell ref="K11:N11"/>
    <mergeCell ref="O11:R11"/>
    <mergeCell ref="K12:M12"/>
    <mergeCell ref="O12:P12"/>
    <mergeCell ref="K13:M13"/>
    <mergeCell ref="O13:P13"/>
    <mergeCell ref="K14:M14"/>
    <mergeCell ref="O14:P14"/>
    <mergeCell ref="K15:M15"/>
    <mergeCell ref="O15:P15"/>
    <mergeCell ref="K16:M16"/>
    <mergeCell ref="O16:P16"/>
    <mergeCell ref="K17:M17"/>
    <mergeCell ref="O17:P17"/>
    <mergeCell ref="K18:M18"/>
    <mergeCell ref="O18:P18"/>
    <mergeCell ref="B30:I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B39:C39"/>
    <mergeCell ref="F39:G39"/>
    <mergeCell ref="B40:C40"/>
    <mergeCell ref="F40:G40"/>
    <mergeCell ref="B43:Q43"/>
    <mergeCell ref="D44:F44"/>
    <mergeCell ref="J44:L44"/>
    <mergeCell ref="M44:O44"/>
    <mergeCell ref="P44:Q44"/>
    <mergeCell ref="D45:F45"/>
    <mergeCell ref="J45:L45"/>
    <mergeCell ref="M45:O45"/>
    <mergeCell ref="P45:Q45"/>
    <mergeCell ref="D46:F46"/>
    <mergeCell ref="J46:L46"/>
    <mergeCell ref="M46:O46"/>
    <mergeCell ref="P46:Q46"/>
    <mergeCell ref="D47:F47"/>
    <mergeCell ref="J47:L47"/>
    <mergeCell ref="M47:O47"/>
    <mergeCell ref="P47:Q47"/>
    <mergeCell ref="D48:F48"/>
    <mergeCell ref="J48:L48"/>
    <mergeCell ref="M48:O48"/>
    <mergeCell ref="P48:Q48"/>
    <mergeCell ref="D49:F49"/>
    <mergeCell ref="J49:L49"/>
    <mergeCell ref="M49:O49"/>
    <mergeCell ref="P49:Q49"/>
    <mergeCell ref="D50:F50"/>
    <mergeCell ref="J50:L50"/>
    <mergeCell ref="M50:O50"/>
    <mergeCell ref="P50:Q50"/>
    <mergeCell ref="B52:T52"/>
  </mergeCells>
  <hyperlinks>
    <hyperlink ref="S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213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 t="s">
        <v>1</v>
      </c>
      <c r="S2" s="2"/>
    </row>
    <row r="3" customFormat="false" ht="15" hidden="false" customHeight="true" outlineLevel="0" collapsed="false">
      <c r="B3" s="3" t="s">
        <v>782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AA3" s="35" t="s">
        <v>440</v>
      </c>
      <c r="AB3" s="35" t="s">
        <v>462</v>
      </c>
    </row>
    <row r="4" customFormat="false" ht="15" hidden="false" customHeight="false" outlineLevel="0" collapsed="false">
      <c r="AA4" s="36" t="s">
        <v>448</v>
      </c>
      <c r="AB4" s="83" t="n">
        <v>36</v>
      </c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352</v>
      </c>
      <c r="G5" s="38"/>
      <c r="H5" s="38"/>
      <c r="I5" s="38"/>
      <c r="J5" s="38" t="s">
        <v>353</v>
      </c>
      <c r="K5" s="38"/>
      <c r="L5" s="38"/>
      <c r="M5" s="38" t="s">
        <v>354</v>
      </c>
      <c r="N5" s="38"/>
      <c r="O5" s="38" t="s">
        <v>355</v>
      </c>
      <c r="P5" s="38"/>
      <c r="Q5" s="38" t="s">
        <v>431</v>
      </c>
      <c r="R5" s="38"/>
      <c r="S5" s="38"/>
      <c r="T5" s="39" t="s">
        <v>356</v>
      </c>
      <c r="U5" s="39"/>
      <c r="V5" s="39"/>
      <c r="AA5" s="36" t="s">
        <v>447</v>
      </c>
      <c r="AB5" s="83" t="n">
        <v>31</v>
      </c>
    </row>
    <row r="6" customFormat="false" ht="15" hidden="false" customHeight="false" outlineLevel="0" collapsed="false">
      <c r="AA6" s="36" t="s">
        <v>449</v>
      </c>
      <c r="AB6" s="83" t="n">
        <v>19</v>
      </c>
    </row>
    <row r="7" customFormat="false" ht="18" hidden="false" customHeight="true" outlineLevel="0" collapsed="false">
      <c r="B7" s="4" t="s">
        <v>783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AA7" s="36" t="s">
        <v>450</v>
      </c>
      <c r="AB7" s="83" t="n">
        <v>13</v>
      </c>
    </row>
    <row r="8" customFormat="false" ht="21.75" hidden="false" customHeight="true" outlineLevel="0" collapsed="false">
      <c r="B8" s="40" t="s">
        <v>440</v>
      </c>
      <c r="C8" s="40"/>
      <c r="D8" s="25" t="s">
        <v>349</v>
      </c>
      <c r="E8" s="25" t="s">
        <v>357</v>
      </c>
      <c r="F8" s="25" t="s">
        <v>358</v>
      </c>
      <c r="G8" s="25" t="s">
        <v>360</v>
      </c>
      <c r="H8" s="25" t="s">
        <v>361</v>
      </c>
      <c r="I8" s="25" t="s">
        <v>367</v>
      </c>
      <c r="J8" s="25" t="s">
        <v>784</v>
      </c>
      <c r="K8" s="25" t="s">
        <v>379</v>
      </c>
      <c r="L8" s="25" t="s">
        <v>462</v>
      </c>
      <c r="M8" s="25" t="s">
        <v>463</v>
      </c>
      <c r="AA8" s="36" t="s">
        <v>451</v>
      </c>
      <c r="AB8" s="83" t="n">
        <v>13</v>
      </c>
    </row>
    <row r="9" customFormat="false" ht="15" hidden="false" customHeight="true" outlineLevel="0" collapsed="false">
      <c r="B9" s="8" t="s">
        <v>447</v>
      </c>
      <c r="C9" s="8"/>
      <c r="D9" s="52" t="n">
        <v>626.6</v>
      </c>
      <c r="E9" s="52" t="n">
        <v>641.1</v>
      </c>
      <c r="F9" s="52" t="n">
        <v>696.1</v>
      </c>
      <c r="G9" s="52" t="n">
        <v>634.3</v>
      </c>
      <c r="H9" s="52" t="n">
        <v>644.7</v>
      </c>
      <c r="I9" s="52" t="n">
        <v>717.5</v>
      </c>
      <c r="J9" s="52" t="n">
        <f aca="false">SUM(D9:I9)</f>
        <v>3960.3</v>
      </c>
      <c r="K9" s="52" t="n">
        <v>3929.3</v>
      </c>
      <c r="L9" s="41" t="n">
        <f aca="false">J9-K9</f>
        <v>31</v>
      </c>
      <c r="M9" s="53" t="n">
        <f aca="false">(J9-K9)/K9*100</f>
        <v>0.788944595729519</v>
      </c>
      <c r="AA9" s="36" t="s">
        <v>454</v>
      </c>
      <c r="AB9" s="83" t="n">
        <v>13</v>
      </c>
    </row>
    <row r="10" customFormat="false" ht="15" hidden="false" customHeight="true" outlineLevel="0" collapsed="false">
      <c r="B10" s="10" t="s">
        <v>448</v>
      </c>
      <c r="C10" s="10"/>
      <c r="D10" s="54" t="n">
        <v>38.3</v>
      </c>
      <c r="E10" s="54" t="n">
        <v>40.3</v>
      </c>
      <c r="F10" s="54" t="n">
        <v>42.2</v>
      </c>
      <c r="G10" s="54" t="n">
        <v>39</v>
      </c>
      <c r="H10" s="54" t="n">
        <v>40.5</v>
      </c>
      <c r="I10" s="54" t="n">
        <v>45.7</v>
      </c>
      <c r="J10" s="54" t="n">
        <f aca="false">SUM(D10:I10)</f>
        <v>246</v>
      </c>
      <c r="K10" s="54" t="n">
        <v>210</v>
      </c>
      <c r="L10" s="44" t="n">
        <f aca="false">J10-K10</f>
        <v>36</v>
      </c>
      <c r="M10" s="55" t="n">
        <f aca="false">(J10-K10)/K10*100</f>
        <v>17.1428571428571</v>
      </c>
      <c r="AA10" s="36" t="s">
        <v>452</v>
      </c>
      <c r="AB10" s="83" t="n">
        <v>11</v>
      </c>
    </row>
    <row r="11" customFormat="false" ht="15" hidden="false" customHeight="true" outlineLevel="0" collapsed="false">
      <c r="B11" s="8" t="s">
        <v>449</v>
      </c>
      <c r="C11" s="8"/>
      <c r="D11" s="52" t="n">
        <v>61.9</v>
      </c>
      <c r="E11" s="52" t="n">
        <v>60.8</v>
      </c>
      <c r="F11" s="52" t="n">
        <v>69.1</v>
      </c>
      <c r="G11" s="52" t="n">
        <v>65.5</v>
      </c>
      <c r="H11" s="52" t="n">
        <v>61.8</v>
      </c>
      <c r="I11" s="52" t="n">
        <v>71.9</v>
      </c>
      <c r="J11" s="52" t="n">
        <f aca="false">SUM(D11:I11)</f>
        <v>391</v>
      </c>
      <c r="K11" s="52" t="n">
        <v>372</v>
      </c>
      <c r="L11" s="41" t="n">
        <f aca="false">J11-K11</f>
        <v>19</v>
      </c>
      <c r="M11" s="53" t="n">
        <f aca="false">(J11-K11)/K11*100</f>
        <v>5.10752688172043</v>
      </c>
      <c r="AA11" s="36" t="s">
        <v>453</v>
      </c>
      <c r="AB11" s="83" t="n">
        <v>11</v>
      </c>
    </row>
    <row r="12" customFormat="false" ht="15" hidden="false" customHeight="true" outlineLevel="0" collapsed="false">
      <c r="B12" s="10" t="s">
        <v>785</v>
      </c>
      <c r="C12" s="10"/>
      <c r="D12" s="54" t="n">
        <v>3.8</v>
      </c>
      <c r="E12" s="54" t="n">
        <v>3.9</v>
      </c>
      <c r="F12" s="54" t="n">
        <v>4.3</v>
      </c>
      <c r="G12" s="54" t="n">
        <v>4.2</v>
      </c>
      <c r="H12" s="54" t="n">
        <v>4</v>
      </c>
      <c r="I12" s="54" t="n">
        <v>4.8</v>
      </c>
      <c r="J12" s="54" t="n">
        <f aca="false">SUM(D12:I12)</f>
        <v>25</v>
      </c>
      <c r="K12" s="54" t="n">
        <v>22</v>
      </c>
      <c r="L12" s="44" t="n">
        <f aca="false">J12-K12</f>
        <v>3</v>
      </c>
      <c r="M12" s="55" t="n">
        <f aca="false">(J12-K12)/K12*100</f>
        <v>13.6363636363636</v>
      </c>
      <c r="AA12" s="36" t="s">
        <v>786</v>
      </c>
      <c r="AB12" s="83" t="n">
        <v>-6</v>
      </c>
    </row>
    <row r="13" customFormat="false" ht="15" hidden="false" customHeight="true" outlineLevel="0" collapsed="false">
      <c r="B13" s="8" t="s">
        <v>450</v>
      </c>
      <c r="C13" s="8"/>
      <c r="D13" s="52" t="n">
        <v>74.7</v>
      </c>
      <c r="E13" s="52" t="n">
        <v>74.9</v>
      </c>
      <c r="F13" s="52" t="n">
        <v>77</v>
      </c>
      <c r="G13" s="52" t="n">
        <v>76</v>
      </c>
      <c r="H13" s="52" t="n">
        <v>77.4</v>
      </c>
      <c r="I13" s="52" t="n">
        <v>88</v>
      </c>
      <c r="J13" s="52" t="n">
        <f aca="false">SUM(D13:I13)</f>
        <v>468</v>
      </c>
      <c r="K13" s="52" t="n">
        <v>455</v>
      </c>
      <c r="L13" s="41" t="n">
        <f aca="false">J13-K13</f>
        <v>13</v>
      </c>
      <c r="M13" s="53" t="n">
        <f aca="false">(J13-K13)/K13*100</f>
        <v>2.85714285714286</v>
      </c>
      <c r="AA13" s="36" t="s">
        <v>787</v>
      </c>
      <c r="AB13" s="83" t="n">
        <v>5.5</v>
      </c>
    </row>
    <row r="14" customFormat="false" ht="15" hidden="false" customHeight="true" outlineLevel="0" collapsed="false">
      <c r="B14" s="10" t="s">
        <v>788</v>
      </c>
      <c r="C14" s="10"/>
      <c r="D14" s="54" t="n">
        <v>28.4</v>
      </c>
      <c r="E14" s="54" t="n">
        <v>29.7</v>
      </c>
      <c r="F14" s="54" t="n">
        <v>32.4</v>
      </c>
      <c r="G14" s="54" t="n">
        <v>30.2</v>
      </c>
      <c r="H14" s="54" t="n">
        <v>32</v>
      </c>
      <c r="I14" s="54" t="n">
        <v>34.3</v>
      </c>
      <c r="J14" s="54" t="n">
        <f aca="false">SUM(D14:I14)</f>
        <v>187</v>
      </c>
      <c r="K14" s="54" t="n">
        <v>182</v>
      </c>
      <c r="L14" s="44" t="n">
        <f aca="false">J14-K14</f>
        <v>5</v>
      </c>
      <c r="M14" s="55" t="n">
        <f aca="false">(J14-K14)/K14*100</f>
        <v>2.74725274725275</v>
      </c>
    </row>
    <row r="15" customFormat="false" ht="15" hidden="false" customHeight="true" outlineLevel="0" collapsed="false">
      <c r="B15" s="8" t="s">
        <v>451</v>
      </c>
      <c r="C15" s="8"/>
      <c r="D15" s="52" t="n">
        <v>20.4</v>
      </c>
      <c r="E15" s="52" t="n">
        <v>21.3</v>
      </c>
      <c r="F15" s="52" t="n">
        <v>22.5</v>
      </c>
      <c r="G15" s="52" t="n">
        <v>21.2</v>
      </c>
      <c r="H15" s="52" t="n">
        <v>21.4</v>
      </c>
      <c r="I15" s="52" t="n">
        <v>24.2</v>
      </c>
      <c r="J15" s="52" t="n">
        <f aca="false">SUM(D15:I15)</f>
        <v>131</v>
      </c>
      <c r="K15" s="52" t="n">
        <v>118</v>
      </c>
      <c r="L15" s="41" t="n">
        <f aca="false">J15-K15</f>
        <v>13</v>
      </c>
      <c r="M15" s="53" t="n">
        <f aca="false">(J15-K15)/K15*100</f>
        <v>11.0169491525424</v>
      </c>
    </row>
    <row r="16" customFormat="false" ht="15" hidden="false" customHeight="true" outlineLevel="0" collapsed="false">
      <c r="B16" s="10" t="s">
        <v>452</v>
      </c>
      <c r="C16" s="10"/>
      <c r="D16" s="54" t="n">
        <v>88.2</v>
      </c>
      <c r="E16" s="54" t="n">
        <v>93</v>
      </c>
      <c r="F16" s="54" t="n">
        <v>106.7</v>
      </c>
      <c r="G16" s="54" t="n">
        <v>90.8</v>
      </c>
      <c r="H16" s="54" t="n">
        <v>97.9</v>
      </c>
      <c r="I16" s="54" t="n">
        <v>108.4</v>
      </c>
      <c r="J16" s="54" t="n">
        <f aca="false">SUM(D16:I16)</f>
        <v>585</v>
      </c>
      <c r="K16" s="54" t="n">
        <v>574</v>
      </c>
      <c r="L16" s="44" t="n">
        <f aca="false">J16-K16</f>
        <v>11</v>
      </c>
      <c r="M16" s="55" t="n">
        <f aca="false">(J16-K16)/K16*100</f>
        <v>1.91637630662021</v>
      </c>
    </row>
    <row r="17" customFormat="false" ht="15" hidden="false" customHeight="true" outlineLevel="0" collapsed="false">
      <c r="B17" s="8" t="s">
        <v>787</v>
      </c>
      <c r="C17" s="8"/>
      <c r="D17" s="52" t="n">
        <v>5.6</v>
      </c>
      <c r="E17" s="52" t="n">
        <v>6.2</v>
      </c>
      <c r="F17" s="52" t="n">
        <v>6.6</v>
      </c>
      <c r="G17" s="52" t="n">
        <v>5.8</v>
      </c>
      <c r="H17" s="52" t="n">
        <v>6</v>
      </c>
      <c r="I17" s="52" t="n">
        <v>6.8</v>
      </c>
      <c r="J17" s="52" t="n">
        <f aca="false">SUM(D17:I17)</f>
        <v>37</v>
      </c>
      <c r="K17" s="52" t="n">
        <v>31.5</v>
      </c>
      <c r="L17" s="41" t="n">
        <f aca="false">J17-K17</f>
        <v>5.5</v>
      </c>
      <c r="M17" s="53" t="n">
        <f aca="false">(J17-K17)/K17*100</f>
        <v>17.4603174603175</v>
      </c>
    </row>
    <row r="18" customFormat="false" ht="15" hidden="false" customHeight="true" outlineLevel="0" collapsed="false">
      <c r="B18" s="10" t="s">
        <v>789</v>
      </c>
      <c r="C18" s="10"/>
      <c r="D18" s="54" t="n">
        <v>9.1</v>
      </c>
      <c r="E18" s="54" t="n">
        <v>9.5</v>
      </c>
      <c r="F18" s="54" t="n">
        <v>10.2</v>
      </c>
      <c r="G18" s="54" t="n">
        <v>9.7</v>
      </c>
      <c r="H18" s="54" t="n">
        <v>9.9</v>
      </c>
      <c r="I18" s="54" t="n">
        <v>10.6</v>
      </c>
      <c r="J18" s="54" t="n">
        <f aca="false">SUM(D18:I18)</f>
        <v>59</v>
      </c>
      <c r="K18" s="54" t="n">
        <v>56</v>
      </c>
      <c r="L18" s="44" t="n">
        <f aca="false">J18-K18</f>
        <v>3</v>
      </c>
      <c r="M18" s="55" t="n">
        <f aca="false">(J18-K18)/K18*100</f>
        <v>5.35714285714286</v>
      </c>
    </row>
    <row r="19" customFormat="false" ht="15" hidden="false" customHeight="true" outlineLevel="0" collapsed="false">
      <c r="B19" s="8" t="s">
        <v>790</v>
      </c>
      <c r="C19" s="8"/>
      <c r="D19" s="52" t="n">
        <v>0.6</v>
      </c>
      <c r="E19" s="52" t="n">
        <v>0.6</v>
      </c>
      <c r="F19" s="52" t="n">
        <v>0.7</v>
      </c>
      <c r="G19" s="52" t="n">
        <v>0.6</v>
      </c>
      <c r="H19" s="52" t="n">
        <v>0.6</v>
      </c>
      <c r="I19" s="52" t="n">
        <v>0.7</v>
      </c>
      <c r="J19" s="52" t="n">
        <f aca="false">SUM(D19:I19)</f>
        <v>3.8</v>
      </c>
      <c r="K19" s="52" t="n">
        <v>3.3</v>
      </c>
      <c r="L19" s="41" t="n">
        <f aca="false">J19-K19</f>
        <v>0.5</v>
      </c>
      <c r="M19" s="53" t="n">
        <f aca="false">(J19-K19)/K19*100</f>
        <v>15.1515151515152</v>
      </c>
    </row>
    <row r="20" customFormat="false" ht="15" hidden="false" customHeight="true" outlineLevel="0" collapsed="false">
      <c r="B20" s="10" t="s">
        <v>791</v>
      </c>
      <c r="C20" s="10"/>
      <c r="D20" s="54" t="n">
        <v>11.4</v>
      </c>
      <c r="E20" s="54" t="n">
        <v>11.7</v>
      </c>
      <c r="F20" s="54" t="n">
        <v>12</v>
      </c>
      <c r="G20" s="54" t="n">
        <v>11.3</v>
      </c>
      <c r="H20" s="54" t="n">
        <v>11.8</v>
      </c>
      <c r="I20" s="54" t="n">
        <v>12.3</v>
      </c>
      <c r="J20" s="54" t="n">
        <f aca="false">SUM(D20:I20)</f>
        <v>70.5</v>
      </c>
      <c r="K20" s="54" t="n">
        <v>68.5</v>
      </c>
      <c r="L20" s="44" t="n">
        <f aca="false">J20-K20</f>
        <v>2</v>
      </c>
      <c r="M20" s="55" t="n">
        <f aca="false">(J20-K20)/K20*100</f>
        <v>2.91970802919708</v>
      </c>
    </row>
    <row r="21" customFormat="false" ht="15" hidden="false" customHeight="true" outlineLevel="0" collapsed="false">
      <c r="B21" s="8" t="s">
        <v>792</v>
      </c>
      <c r="C21" s="8"/>
      <c r="D21" s="52" t="n">
        <v>4.4</v>
      </c>
      <c r="E21" s="52" t="n">
        <v>4.5</v>
      </c>
      <c r="F21" s="52" t="n">
        <v>5.2</v>
      </c>
      <c r="G21" s="52" t="n">
        <v>4.7</v>
      </c>
      <c r="H21" s="52" t="n">
        <v>4.6</v>
      </c>
      <c r="I21" s="52" t="n">
        <v>5.1</v>
      </c>
      <c r="J21" s="52" t="n">
        <f aca="false">SUM(D21:I21)</f>
        <v>28.5</v>
      </c>
      <c r="K21" s="52" t="n">
        <v>27.5</v>
      </c>
      <c r="L21" s="41" t="n">
        <f aca="false">J21-K21</f>
        <v>1</v>
      </c>
      <c r="M21" s="53" t="n">
        <f aca="false">(J21-K21)/K21*100</f>
        <v>3.63636363636364</v>
      </c>
    </row>
    <row r="22" customFormat="false" ht="15" hidden="false" customHeight="true" outlineLevel="0" collapsed="false">
      <c r="B22" s="10" t="s">
        <v>793</v>
      </c>
      <c r="C22" s="10"/>
      <c r="D22" s="54" t="n">
        <v>3</v>
      </c>
      <c r="E22" s="54" t="n">
        <v>3.3</v>
      </c>
      <c r="F22" s="54" t="n">
        <v>3.4</v>
      </c>
      <c r="G22" s="54" t="n">
        <v>3.2</v>
      </c>
      <c r="H22" s="54" t="n">
        <v>3.2</v>
      </c>
      <c r="I22" s="54" t="n">
        <v>3.6</v>
      </c>
      <c r="J22" s="54" t="n">
        <f aca="false">SUM(D22:I22)</f>
        <v>19.7</v>
      </c>
      <c r="K22" s="54" t="n">
        <v>17.7</v>
      </c>
      <c r="L22" s="44" t="n">
        <f aca="false">J22-K22</f>
        <v>2</v>
      </c>
      <c r="M22" s="55" t="n">
        <f aca="false">(J22-K22)/K22*100</f>
        <v>11.2994350282486</v>
      </c>
    </row>
    <row r="23" customFormat="false" ht="15" hidden="false" customHeight="true" outlineLevel="0" collapsed="false">
      <c r="B23" s="8" t="s">
        <v>453</v>
      </c>
      <c r="C23" s="8"/>
      <c r="D23" s="52" t="n">
        <v>25.3</v>
      </c>
      <c r="E23" s="52" t="n">
        <v>24.9</v>
      </c>
      <c r="F23" s="52" t="n">
        <v>28.5</v>
      </c>
      <c r="G23" s="52" t="n">
        <v>26.1</v>
      </c>
      <c r="H23" s="52" t="n">
        <v>27.5</v>
      </c>
      <c r="I23" s="52" t="n">
        <v>30.7</v>
      </c>
      <c r="J23" s="52" t="n">
        <f aca="false">SUM(D23:I23)</f>
        <v>163</v>
      </c>
      <c r="K23" s="52" t="n">
        <v>152</v>
      </c>
      <c r="L23" s="41" t="n">
        <f aca="false">J23-K23</f>
        <v>11</v>
      </c>
      <c r="M23" s="53" t="n">
        <f aca="false">(J23-K23)/K23*100</f>
        <v>7.23684210526316</v>
      </c>
    </row>
    <row r="24" customFormat="false" ht="15" hidden="false" customHeight="true" outlineLevel="0" collapsed="false">
      <c r="B24" s="10" t="s">
        <v>454</v>
      </c>
      <c r="C24" s="10"/>
      <c r="D24" s="54" t="n">
        <v>9.4</v>
      </c>
      <c r="E24" s="54" t="n">
        <v>9.8</v>
      </c>
      <c r="F24" s="54" t="n">
        <v>10.5</v>
      </c>
      <c r="G24" s="54" t="n">
        <v>10.1</v>
      </c>
      <c r="H24" s="54" t="n">
        <v>9.8</v>
      </c>
      <c r="I24" s="54" t="n">
        <v>11.4</v>
      </c>
      <c r="J24" s="54" t="n">
        <f aca="false">SUM(D24:I24)</f>
        <v>61</v>
      </c>
      <c r="K24" s="54" t="n">
        <v>48</v>
      </c>
      <c r="L24" s="44" t="n">
        <f aca="false">J24-K24</f>
        <v>13</v>
      </c>
      <c r="M24" s="55" t="n">
        <f aca="false">(J24-K24)/K24*100</f>
        <v>27.0833333333333</v>
      </c>
    </row>
    <row r="25" customFormat="false" ht="15" hidden="false" customHeight="true" outlineLevel="0" collapsed="false">
      <c r="B25" s="8" t="s">
        <v>794</v>
      </c>
      <c r="C25" s="8"/>
      <c r="D25" s="52" t="n">
        <v>1.4</v>
      </c>
      <c r="E25" s="52" t="n">
        <v>1.5</v>
      </c>
      <c r="F25" s="52" t="n">
        <v>1.6</v>
      </c>
      <c r="G25" s="52" t="n">
        <v>1.4</v>
      </c>
      <c r="H25" s="52" t="n">
        <v>1.5</v>
      </c>
      <c r="I25" s="52" t="n">
        <v>1.8</v>
      </c>
      <c r="J25" s="52" t="n">
        <f aca="false">SUM(D25:I25)</f>
        <v>9.2</v>
      </c>
      <c r="K25" s="52" t="n">
        <v>7.2</v>
      </c>
      <c r="L25" s="41" t="n">
        <f aca="false">J25-K25</f>
        <v>2</v>
      </c>
      <c r="M25" s="53" t="n">
        <f aca="false">(J25-K25)/K25*100</f>
        <v>27.7777777777778</v>
      </c>
    </row>
    <row r="26" customFormat="false" ht="15" hidden="false" customHeight="true" outlineLevel="0" collapsed="false">
      <c r="B26" s="10" t="s">
        <v>795</v>
      </c>
      <c r="C26" s="10"/>
      <c r="D26" s="54" t="n">
        <v>4.1</v>
      </c>
      <c r="E26" s="54" t="n">
        <v>4.4</v>
      </c>
      <c r="F26" s="54" t="n">
        <v>4.4</v>
      </c>
      <c r="G26" s="54" t="n">
        <v>4.1</v>
      </c>
      <c r="H26" s="54" t="n">
        <v>4.2</v>
      </c>
      <c r="I26" s="54" t="n">
        <v>4.8</v>
      </c>
      <c r="J26" s="54" t="n">
        <f aca="false">SUM(D26:I26)</f>
        <v>26</v>
      </c>
      <c r="K26" s="54" t="n">
        <v>26</v>
      </c>
      <c r="L26" s="44" t="n">
        <f aca="false">J26-K26</f>
        <v>0</v>
      </c>
      <c r="M26" s="55" t="n">
        <f aca="false">(J26-K26)/K26*100</f>
        <v>0</v>
      </c>
    </row>
    <row r="27" customFormat="false" ht="15" hidden="false" customHeight="true" outlineLevel="0" collapsed="false">
      <c r="B27" s="8" t="s">
        <v>786</v>
      </c>
      <c r="C27" s="8"/>
      <c r="D27" s="52" t="n">
        <v>-13.4</v>
      </c>
      <c r="E27" s="52" t="n">
        <v>-13.6</v>
      </c>
      <c r="F27" s="52" t="n">
        <v>-15.4</v>
      </c>
      <c r="G27" s="52" t="n">
        <v>-14.2</v>
      </c>
      <c r="H27" s="52" t="n">
        <v>-13.6</v>
      </c>
      <c r="I27" s="52" t="n">
        <v>-15.8</v>
      </c>
      <c r="J27" s="52" t="n">
        <f aca="false">SUM(D27:I27)</f>
        <v>-86</v>
      </c>
      <c r="K27" s="52" t="n">
        <v>-80</v>
      </c>
      <c r="L27" s="41" t="n">
        <f aca="false">J27-K27</f>
        <v>-6</v>
      </c>
      <c r="M27" s="53" t="n">
        <f aca="false">(J27-K27)/K27*100</f>
        <v>7.5</v>
      </c>
    </row>
    <row r="28" customFormat="false" ht="15" hidden="false" customHeight="true" outlineLevel="0" collapsed="false">
      <c r="B28" s="50" t="s">
        <v>796</v>
      </c>
      <c r="C28" s="50"/>
      <c r="D28" s="79" t="n">
        <f aca="false">SUM(D9:D27)</f>
        <v>1003.2</v>
      </c>
      <c r="E28" s="79" t="n">
        <f aca="false">SUM(E9:E27)</f>
        <v>1027.8</v>
      </c>
      <c r="F28" s="79" t="n">
        <f aca="false">SUM(F9:F27)</f>
        <v>1118</v>
      </c>
      <c r="G28" s="79" t="n">
        <f aca="false">SUM(G9:G27)</f>
        <v>1024</v>
      </c>
      <c r="H28" s="79" t="n">
        <f aca="false">SUM(H9:H27)</f>
        <v>1045.2</v>
      </c>
      <c r="I28" s="79" t="n">
        <f aca="false">SUM(I9:I27)</f>
        <v>1166.8</v>
      </c>
      <c r="J28" s="79" t="n">
        <f aca="false">SUM(J9:J27)</f>
        <v>6385</v>
      </c>
      <c r="K28" s="79" t="n">
        <f aca="false">SUM(K9:K27)</f>
        <v>6220</v>
      </c>
      <c r="L28" s="51" t="n">
        <f aca="false">J28-K28</f>
        <v>165</v>
      </c>
      <c r="M28" s="84" t="n">
        <f aca="false">(J28-K28)/K28*100</f>
        <v>2.65273311897106</v>
      </c>
    </row>
    <row r="31" customFormat="false" ht="18" hidden="false" customHeight="true" outlineLevel="0" collapsed="false">
      <c r="B31" s="4" t="s">
        <v>797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customFormat="false" ht="19.5" hidden="false" customHeight="true" outlineLevel="0" collapsed="false">
      <c r="B32" s="25" t="s">
        <v>798</v>
      </c>
      <c r="C32" s="25" t="s">
        <v>799</v>
      </c>
      <c r="D32" s="25" t="s">
        <v>459</v>
      </c>
      <c r="E32" s="25" t="s">
        <v>460</v>
      </c>
      <c r="F32" s="40" t="s">
        <v>440</v>
      </c>
      <c r="G32" s="40"/>
      <c r="H32" s="25" t="s">
        <v>379</v>
      </c>
      <c r="I32" s="25" t="s">
        <v>417</v>
      </c>
      <c r="J32" s="25" t="s">
        <v>462</v>
      </c>
      <c r="K32" s="40" t="s">
        <v>800</v>
      </c>
      <c r="L32" s="40"/>
      <c r="M32" s="40"/>
    </row>
    <row r="33" customFormat="false" ht="15" hidden="false" customHeight="true" outlineLevel="0" collapsed="false">
      <c r="B33" s="77" t="n">
        <v>100287</v>
      </c>
      <c r="C33" s="8" t="s">
        <v>801</v>
      </c>
      <c r="D33" s="8" t="s">
        <v>441</v>
      </c>
      <c r="E33" s="8" t="s">
        <v>467</v>
      </c>
      <c r="F33" s="8" t="s">
        <v>447</v>
      </c>
      <c r="G33" s="8"/>
      <c r="H33" s="85" t="n">
        <v>1.35</v>
      </c>
      <c r="I33" s="85" t="n">
        <v>1.42</v>
      </c>
      <c r="J33" s="86" t="n">
        <f aca="false">I33-H33</f>
        <v>0.0699999999999998</v>
      </c>
      <c r="K33" s="8" t="s">
        <v>802</v>
      </c>
      <c r="L33" s="8"/>
      <c r="M33" s="8"/>
    </row>
    <row r="34" customFormat="false" ht="15" hidden="false" customHeight="true" outlineLevel="0" collapsed="false">
      <c r="B34" s="78" t="n">
        <v>100287</v>
      </c>
      <c r="C34" s="10" t="s">
        <v>801</v>
      </c>
      <c r="D34" s="10" t="s">
        <v>441</v>
      </c>
      <c r="E34" s="10" t="s">
        <v>467</v>
      </c>
      <c r="F34" s="10" t="s">
        <v>452</v>
      </c>
      <c r="G34" s="10"/>
      <c r="H34" s="87" t="n">
        <v>0.41</v>
      </c>
      <c r="I34" s="87" t="n">
        <v>0.43</v>
      </c>
      <c r="J34" s="88" t="n">
        <f aca="false">I34-H34</f>
        <v>0.02</v>
      </c>
      <c r="K34" s="10" t="s">
        <v>166</v>
      </c>
      <c r="L34" s="10"/>
      <c r="M34" s="10"/>
    </row>
    <row r="35" customFormat="false" ht="15" hidden="false" customHeight="true" outlineLevel="0" collapsed="false">
      <c r="B35" s="77" t="n">
        <v>101512</v>
      </c>
      <c r="C35" s="8" t="s">
        <v>803</v>
      </c>
      <c r="D35" s="8" t="s">
        <v>445</v>
      </c>
      <c r="E35" s="8" t="s">
        <v>473</v>
      </c>
      <c r="F35" s="8" t="s">
        <v>447</v>
      </c>
      <c r="G35" s="8"/>
      <c r="H35" s="85" t="n">
        <v>0</v>
      </c>
      <c r="I35" s="85" t="n">
        <v>0.98</v>
      </c>
      <c r="J35" s="86" t="n">
        <f aca="false">I35-H35</f>
        <v>0.98</v>
      </c>
      <c r="K35" s="8" t="s">
        <v>477</v>
      </c>
      <c r="L35" s="8"/>
      <c r="M35" s="8"/>
    </row>
    <row r="36" customFormat="false" ht="15" hidden="false" customHeight="true" outlineLevel="0" collapsed="false">
      <c r="B36" s="78" t="n">
        <v>101512</v>
      </c>
      <c r="C36" s="10" t="s">
        <v>803</v>
      </c>
      <c r="D36" s="10" t="s">
        <v>445</v>
      </c>
      <c r="E36" s="10" t="s">
        <v>473</v>
      </c>
      <c r="F36" s="10" t="s">
        <v>449</v>
      </c>
      <c r="G36" s="10"/>
      <c r="H36" s="87" t="n">
        <v>0</v>
      </c>
      <c r="I36" s="87" t="n">
        <v>0.24</v>
      </c>
      <c r="J36" s="88" t="n">
        <f aca="false">I36-H36</f>
        <v>0.24</v>
      </c>
      <c r="K36" s="10" t="s">
        <v>804</v>
      </c>
      <c r="L36" s="10"/>
      <c r="M36" s="10"/>
    </row>
    <row r="37" customFormat="false" ht="15" hidden="false" customHeight="true" outlineLevel="0" collapsed="false">
      <c r="B37" s="77" t="n">
        <v>100130</v>
      </c>
      <c r="C37" s="8" t="s">
        <v>803</v>
      </c>
      <c r="D37" s="8" t="s">
        <v>442</v>
      </c>
      <c r="E37" s="8" t="s">
        <v>483</v>
      </c>
      <c r="F37" s="8" t="s">
        <v>453</v>
      </c>
      <c r="G37" s="8"/>
      <c r="H37" s="85" t="n">
        <v>0.31</v>
      </c>
      <c r="I37" s="85" t="n">
        <v>0.37</v>
      </c>
      <c r="J37" s="86" t="n">
        <f aca="false">I37-H37</f>
        <v>0.06</v>
      </c>
      <c r="K37" s="8" t="s">
        <v>805</v>
      </c>
      <c r="L37" s="8"/>
      <c r="M37" s="8"/>
    </row>
    <row r="38" customFormat="false" ht="15" hidden="false" customHeight="true" outlineLevel="0" collapsed="false">
      <c r="B38" s="78" t="n">
        <v>100996</v>
      </c>
      <c r="C38" s="10" t="s">
        <v>806</v>
      </c>
      <c r="D38" s="10" t="s">
        <v>444</v>
      </c>
      <c r="E38" s="10" t="s">
        <v>476</v>
      </c>
      <c r="F38" s="10" t="s">
        <v>448</v>
      </c>
      <c r="G38" s="10"/>
      <c r="H38" s="87" t="n">
        <v>0.06</v>
      </c>
      <c r="I38" s="87" t="n">
        <v>0.09</v>
      </c>
      <c r="J38" s="88" t="n">
        <f aca="false">I38-H38</f>
        <v>0.03</v>
      </c>
      <c r="K38" s="10" t="s">
        <v>807</v>
      </c>
      <c r="L38" s="10"/>
      <c r="M38" s="10"/>
    </row>
    <row r="40" customFormat="false" ht="15" hidden="false" customHeight="false" outlineLevel="0" collapsed="false">
      <c r="B40" s="22" t="s">
        <v>808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</row>
    <row r="42" customFormat="false" ht="15" hidden="false" customHeight="false" outlineLevel="0" collapsed="false">
      <c r="B42" s="23" t="s">
        <v>809</v>
      </c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</row>
  </sheetData>
  <mergeCells count="50">
    <mergeCell ref="B2:Q2"/>
    <mergeCell ref="R2:S2"/>
    <mergeCell ref="B3:S3"/>
    <mergeCell ref="B5:C5"/>
    <mergeCell ref="D5:E5"/>
    <mergeCell ref="F5:I5"/>
    <mergeCell ref="J5:L5"/>
    <mergeCell ref="M5:N5"/>
    <mergeCell ref="O5:P5"/>
    <mergeCell ref="Q5:S5"/>
    <mergeCell ref="T5:V5"/>
    <mergeCell ref="B7:M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1:M31"/>
    <mergeCell ref="F32:G32"/>
    <mergeCell ref="K32:M32"/>
    <mergeCell ref="F33:G33"/>
    <mergeCell ref="K33:M33"/>
    <mergeCell ref="F34:G34"/>
    <mergeCell ref="K34:M34"/>
    <mergeCell ref="F35:G35"/>
    <mergeCell ref="K35:M35"/>
    <mergeCell ref="F36:G36"/>
    <mergeCell ref="K36:M36"/>
    <mergeCell ref="F37:G37"/>
    <mergeCell ref="K37:M37"/>
    <mergeCell ref="F38:G38"/>
    <mergeCell ref="K38:M38"/>
    <mergeCell ref="B40:S40"/>
    <mergeCell ref="B42:S42"/>
  </mergeCells>
  <conditionalFormatting sqref="M9:M27">
    <cfRule type="colorScale" priority="2">
      <colorScale>
        <cfvo type="min" val="0"/>
        <cfvo type="num" val="0"/>
        <cfvo type="max" val="0"/>
        <color rgb="FF17858C"/>
        <color rgb="FFFFFFFF"/>
        <color rgb="FFC0392B"/>
      </colorScale>
    </cfRule>
  </conditionalFormatting>
  <hyperlinks>
    <hyperlink ref="R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C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205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 t="s">
        <v>1</v>
      </c>
      <c r="S2" s="2"/>
    </row>
    <row r="3" customFormat="false" ht="15" hidden="false" customHeight="true" outlineLevel="0" collapsed="false">
      <c r="B3" s="3" t="s">
        <v>810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AA3" s="35" t="s">
        <v>811</v>
      </c>
      <c r="AB3" s="35" t="s">
        <v>346</v>
      </c>
      <c r="AC3" s="35" t="s">
        <v>347</v>
      </c>
    </row>
    <row r="4" customFormat="false" ht="15" hidden="false" customHeight="false" outlineLevel="0" collapsed="false">
      <c r="AA4" s="36" t="s">
        <v>812</v>
      </c>
      <c r="AB4" s="37" t="n">
        <v>85</v>
      </c>
      <c r="AC4" s="37" t="n">
        <v>109.5</v>
      </c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354</v>
      </c>
      <c r="G5" s="38"/>
      <c r="H5" s="38" t="s">
        <v>355</v>
      </c>
      <c r="I5" s="38"/>
      <c r="J5" s="38" t="s">
        <v>813</v>
      </c>
      <c r="K5" s="38"/>
      <c r="L5" s="38" t="s">
        <v>814</v>
      </c>
      <c r="M5" s="38"/>
      <c r="N5" s="39" t="s">
        <v>356</v>
      </c>
      <c r="O5" s="39"/>
      <c r="P5" s="39"/>
      <c r="AA5" s="36" t="s">
        <v>815</v>
      </c>
      <c r="AB5" s="37" t="n">
        <v>70</v>
      </c>
      <c r="AC5" s="37" t="n">
        <v>61.2</v>
      </c>
    </row>
    <row r="6" customFormat="false" ht="15" hidden="false" customHeight="false" outlineLevel="0" collapsed="false">
      <c r="AA6" s="36" t="s">
        <v>816</v>
      </c>
      <c r="AB6" s="37" t="n">
        <v>45</v>
      </c>
      <c r="AC6" s="37" t="n">
        <v>52.9</v>
      </c>
    </row>
    <row r="7" customFormat="false" ht="12.75" hidden="false" customHeight="true" outlineLevel="0" collapsed="false">
      <c r="B7" s="11" t="s">
        <v>817</v>
      </c>
      <c r="C7" s="11"/>
      <c r="D7" s="11"/>
      <c r="E7" s="11" t="s">
        <v>818</v>
      </c>
      <c r="F7" s="11"/>
      <c r="G7" s="11"/>
      <c r="H7" s="12" t="s">
        <v>819</v>
      </c>
      <c r="I7" s="12"/>
      <c r="J7" s="12"/>
      <c r="K7" s="12" t="s">
        <v>820</v>
      </c>
      <c r="L7" s="12"/>
      <c r="M7" s="12"/>
      <c r="AA7" s="36" t="s">
        <v>821</v>
      </c>
      <c r="AB7" s="37" t="n">
        <v>40</v>
      </c>
      <c r="AC7" s="37" t="n">
        <v>44.8</v>
      </c>
    </row>
    <row r="8" customFormat="false" ht="25.5" hidden="false" customHeight="true" outlineLevel="0" collapsed="false">
      <c r="B8" s="13" t="n">
        <f aca="false">SUM(E32:E35)</f>
        <v>240</v>
      </c>
      <c r="C8" s="13"/>
      <c r="D8" s="13"/>
      <c r="E8" s="13" t="n">
        <f aca="false">SUM(F32:F35)</f>
        <v>268.4</v>
      </c>
      <c r="F8" s="13"/>
      <c r="G8" s="13"/>
      <c r="H8" s="48" t="n">
        <f aca="false">E8-B8</f>
        <v>28.4</v>
      </c>
      <c r="I8" s="48"/>
      <c r="J8" s="48"/>
      <c r="K8" s="89" t="str">
        <f aca="false">COUNTIF(G32:G35,"&gt;0")&amp;" из 4"</f>
        <v>3 из 4</v>
      </c>
      <c r="L8" s="89"/>
      <c r="M8" s="89"/>
    </row>
    <row r="9" customFormat="false" ht="15" hidden="false" customHeight="true" outlineLevel="0" collapsed="false">
      <c r="B9" s="16" t="s">
        <v>822</v>
      </c>
      <c r="C9" s="16"/>
      <c r="D9" s="16"/>
      <c r="E9" s="16" t="s">
        <v>823</v>
      </c>
      <c r="F9" s="16"/>
      <c r="G9" s="16"/>
      <c r="H9" s="17" t="s">
        <v>824</v>
      </c>
      <c r="I9" s="17"/>
      <c r="J9" s="17"/>
      <c r="K9" s="18" t="s">
        <v>825</v>
      </c>
      <c r="L9" s="18"/>
      <c r="M9" s="18"/>
    </row>
    <row r="11" customFormat="false" ht="18" hidden="false" customHeight="true" outlineLevel="0" collapsed="false">
      <c r="B11" s="4" t="s">
        <v>826</v>
      </c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K12" s="58" t="s">
        <v>827</v>
      </c>
      <c r="L12" s="58"/>
      <c r="M12" s="58"/>
      <c r="N12" s="58"/>
      <c r="O12" s="58"/>
      <c r="P12" s="58"/>
      <c r="Q12" s="58"/>
      <c r="R12" s="58"/>
    </row>
    <row r="13" customFormat="false" ht="15" hidden="false" customHeight="true" outlineLevel="0" collapsed="false">
      <c r="K13" s="59" t="s">
        <v>828</v>
      </c>
      <c r="L13" s="59"/>
      <c r="M13" s="59"/>
      <c r="N13" s="59"/>
      <c r="O13" s="59"/>
      <c r="P13" s="59"/>
      <c r="Q13" s="59"/>
      <c r="R13" s="59"/>
    </row>
    <row r="14" customFormat="false" ht="15" hidden="false" customHeight="true" outlineLevel="0" collapsed="false">
      <c r="K14" s="59" t="s">
        <v>829</v>
      </c>
      <c r="L14" s="59"/>
      <c r="M14" s="59"/>
      <c r="N14" s="59"/>
      <c r="O14" s="59"/>
      <c r="P14" s="59"/>
      <c r="Q14" s="59"/>
      <c r="R14" s="59"/>
    </row>
    <row r="15" customFormat="false" ht="15" hidden="false" customHeight="true" outlineLevel="0" collapsed="false">
      <c r="K15" s="59" t="s">
        <v>830</v>
      </c>
      <c r="L15" s="59"/>
      <c r="M15" s="59"/>
      <c r="N15" s="59"/>
      <c r="O15" s="59"/>
      <c r="P15" s="59"/>
      <c r="Q15" s="59"/>
      <c r="R15" s="59"/>
    </row>
    <row r="16" customFormat="false" ht="15" hidden="false" customHeight="true" outlineLevel="0" collapsed="false">
      <c r="K16" s="59" t="s">
        <v>831</v>
      </c>
      <c r="L16" s="59"/>
      <c r="M16" s="59"/>
      <c r="N16" s="59"/>
      <c r="O16" s="59"/>
      <c r="P16" s="59"/>
      <c r="Q16" s="59"/>
      <c r="R16" s="59"/>
    </row>
    <row r="17" customFormat="false" ht="15" hidden="false" customHeight="true" outlineLevel="0" collapsed="false">
      <c r="K17" s="59" t="s">
        <v>832</v>
      </c>
      <c r="L17" s="59"/>
      <c r="M17" s="59"/>
      <c r="N17" s="59"/>
      <c r="O17" s="59"/>
      <c r="P17" s="59"/>
      <c r="Q17" s="59"/>
      <c r="R17" s="59"/>
    </row>
    <row r="18" customFormat="false" ht="15" hidden="false" customHeight="true" outlineLevel="0" collapsed="false">
      <c r="K18" s="59" t="s">
        <v>833</v>
      </c>
      <c r="L18" s="59"/>
      <c r="M18" s="59"/>
      <c r="N18" s="59"/>
      <c r="O18" s="59"/>
      <c r="P18" s="59"/>
      <c r="Q18" s="59"/>
      <c r="R18" s="59"/>
    </row>
    <row r="19" customFormat="false" ht="15" hidden="false" customHeight="true" outlineLevel="0" collapsed="false">
      <c r="K19" s="59" t="s">
        <v>834</v>
      </c>
      <c r="L19" s="59"/>
      <c r="M19" s="59"/>
      <c r="N19" s="59"/>
      <c r="O19" s="59"/>
      <c r="P19" s="59"/>
      <c r="Q19" s="59"/>
      <c r="R19" s="59"/>
    </row>
    <row r="20" customFormat="false" ht="15" hidden="false" customHeight="true" outlineLevel="0" collapsed="false">
      <c r="K20" s="60" t="s">
        <v>835</v>
      </c>
      <c r="L20" s="60"/>
      <c r="M20" s="60"/>
      <c r="N20" s="60"/>
      <c r="O20" s="60"/>
      <c r="P20" s="60"/>
      <c r="Q20" s="60"/>
      <c r="R20" s="60"/>
    </row>
    <row r="30" customFormat="false" ht="18" hidden="false" customHeight="true" outlineLevel="0" collapsed="false">
      <c r="B30" s="4" t="s">
        <v>836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customFormat="false" ht="21.75" hidden="false" customHeight="true" outlineLevel="0" collapsed="false">
      <c r="B31" s="40" t="s">
        <v>837</v>
      </c>
      <c r="C31" s="40"/>
      <c r="D31" s="40"/>
      <c r="E31" s="25" t="s">
        <v>379</v>
      </c>
      <c r="F31" s="25" t="s">
        <v>417</v>
      </c>
      <c r="G31" s="25" t="s">
        <v>462</v>
      </c>
      <c r="H31" s="25" t="s">
        <v>463</v>
      </c>
      <c r="I31" s="40" t="s">
        <v>506</v>
      </c>
      <c r="J31" s="40"/>
      <c r="K31" s="40"/>
      <c r="L31" s="40" t="s">
        <v>509</v>
      </c>
      <c r="M31" s="40"/>
      <c r="N31" s="40" t="s">
        <v>398</v>
      </c>
      <c r="O31" s="40"/>
    </row>
    <row r="32" customFormat="false" ht="15.75" hidden="false" customHeight="true" outlineLevel="0" collapsed="false">
      <c r="B32" s="8" t="s">
        <v>812</v>
      </c>
      <c r="C32" s="8"/>
      <c r="D32" s="8"/>
      <c r="E32" s="52" t="n">
        <v>85</v>
      </c>
      <c r="F32" s="52" t="n">
        <v>109.5</v>
      </c>
      <c r="G32" s="41" t="n">
        <f aca="false">F32-E32</f>
        <v>24.5</v>
      </c>
      <c r="H32" s="53" t="n">
        <f aca="false">(F32-E32)/E32*100</f>
        <v>28.8235294117647</v>
      </c>
      <c r="I32" s="8" t="s">
        <v>838</v>
      </c>
      <c r="J32" s="8"/>
      <c r="K32" s="8"/>
      <c r="L32" s="8" t="s">
        <v>839</v>
      </c>
      <c r="M32" s="8"/>
      <c r="N32" s="47" t="s">
        <v>424</v>
      </c>
      <c r="O32" s="47"/>
    </row>
    <row r="33" customFormat="false" ht="15.75" hidden="false" customHeight="true" outlineLevel="0" collapsed="false">
      <c r="B33" s="10" t="s">
        <v>815</v>
      </c>
      <c r="C33" s="10"/>
      <c r="D33" s="10"/>
      <c r="E33" s="54" t="n">
        <v>70</v>
      </c>
      <c r="F33" s="54" t="n">
        <v>61.2</v>
      </c>
      <c r="G33" s="44" t="n">
        <f aca="false">F33-E33</f>
        <v>-8.8</v>
      </c>
      <c r="H33" s="55" t="n">
        <f aca="false">(F33-E33)/E33*100</f>
        <v>-12.5714285714286</v>
      </c>
      <c r="I33" s="10" t="s">
        <v>840</v>
      </c>
      <c r="J33" s="10"/>
      <c r="K33" s="10"/>
      <c r="L33" s="10" t="s">
        <v>841</v>
      </c>
      <c r="M33" s="10"/>
      <c r="N33" s="46" t="s">
        <v>413</v>
      </c>
      <c r="O33" s="46"/>
    </row>
    <row r="34" customFormat="false" ht="15.75" hidden="false" customHeight="true" outlineLevel="0" collapsed="false">
      <c r="B34" s="8" t="s">
        <v>816</v>
      </c>
      <c r="C34" s="8"/>
      <c r="D34" s="8"/>
      <c r="E34" s="52" t="n">
        <v>45</v>
      </c>
      <c r="F34" s="52" t="n">
        <v>52.9</v>
      </c>
      <c r="G34" s="41" t="n">
        <f aca="false">F34-E34</f>
        <v>7.9</v>
      </c>
      <c r="H34" s="53" t="n">
        <f aca="false">(F34-E34)/E34*100</f>
        <v>17.5555555555556</v>
      </c>
      <c r="I34" s="8" t="s">
        <v>842</v>
      </c>
      <c r="J34" s="8"/>
      <c r="K34" s="8"/>
      <c r="L34" s="8" t="s">
        <v>843</v>
      </c>
      <c r="M34" s="8"/>
      <c r="N34" s="47" t="s">
        <v>424</v>
      </c>
      <c r="O34" s="47"/>
    </row>
    <row r="35" customFormat="false" ht="15.75" hidden="false" customHeight="true" outlineLevel="0" collapsed="false">
      <c r="B35" s="10" t="s">
        <v>821</v>
      </c>
      <c r="C35" s="10"/>
      <c r="D35" s="10"/>
      <c r="E35" s="54" t="n">
        <v>40</v>
      </c>
      <c r="F35" s="54" t="n">
        <v>44.8</v>
      </c>
      <c r="G35" s="44" t="n">
        <f aca="false">F35-E35</f>
        <v>4.8</v>
      </c>
      <c r="H35" s="55" t="n">
        <f aca="false">(F35-E35)/E35*100</f>
        <v>12</v>
      </c>
      <c r="I35" s="10" t="s">
        <v>844</v>
      </c>
      <c r="J35" s="10"/>
      <c r="K35" s="10"/>
      <c r="L35" s="10" t="s">
        <v>843</v>
      </c>
      <c r="M35" s="10"/>
      <c r="N35" s="46" t="s">
        <v>420</v>
      </c>
      <c r="O35" s="46"/>
    </row>
    <row r="36" customFormat="false" ht="15.75" hidden="false" customHeight="true" outlineLevel="0" collapsed="false">
      <c r="B36" s="50" t="s">
        <v>845</v>
      </c>
      <c r="C36" s="50"/>
      <c r="D36" s="50"/>
      <c r="E36" s="79" t="n">
        <f aca="false">SUM(E32:E35)</f>
        <v>240</v>
      </c>
      <c r="F36" s="79" t="n">
        <f aca="false">SUM(F32:F35)</f>
        <v>268.4</v>
      </c>
      <c r="G36" s="51" t="n">
        <f aca="false">F36-E36</f>
        <v>28.4</v>
      </c>
      <c r="H36" s="84" t="n">
        <f aca="false">(F36-E36)/E36*100</f>
        <v>11.8333333333333</v>
      </c>
      <c r="I36" s="50"/>
      <c r="J36" s="50"/>
      <c r="K36" s="50"/>
      <c r="L36" s="50"/>
      <c r="M36" s="50"/>
      <c r="N36" s="50"/>
      <c r="O36" s="50"/>
    </row>
    <row r="38" customFormat="false" ht="15" hidden="false" customHeight="false" outlineLevel="0" collapsed="false">
      <c r="B38" s="22" t="s">
        <v>846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</row>
    <row r="40" customFormat="false" ht="15" hidden="false" customHeight="false" outlineLevel="0" collapsed="false">
      <c r="B40" s="23" t="s">
        <v>847</v>
      </c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</row>
  </sheetData>
  <mergeCells count="59">
    <mergeCell ref="B2:Q2"/>
    <mergeCell ref="R2:S2"/>
    <mergeCell ref="B3:S3"/>
    <mergeCell ref="B5:C5"/>
    <mergeCell ref="D5:E5"/>
    <mergeCell ref="F5:G5"/>
    <mergeCell ref="H5:I5"/>
    <mergeCell ref="J5:K5"/>
    <mergeCell ref="L5:M5"/>
    <mergeCell ref="N5:P5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I1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B30:O30"/>
    <mergeCell ref="B31:D31"/>
    <mergeCell ref="I31:K31"/>
    <mergeCell ref="L31:M31"/>
    <mergeCell ref="N31:O31"/>
    <mergeCell ref="B32:D32"/>
    <mergeCell ref="I32:K32"/>
    <mergeCell ref="L32:M32"/>
    <mergeCell ref="N32:O32"/>
    <mergeCell ref="B33:D33"/>
    <mergeCell ref="I33:K33"/>
    <mergeCell ref="L33:M33"/>
    <mergeCell ref="N33:O33"/>
    <mergeCell ref="B34:D34"/>
    <mergeCell ref="I34:K34"/>
    <mergeCell ref="L34:M34"/>
    <mergeCell ref="N34:O34"/>
    <mergeCell ref="B35:D35"/>
    <mergeCell ref="I35:K35"/>
    <mergeCell ref="L35:M35"/>
    <mergeCell ref="N35:O35"/>
    <mergeCell ref="B36:D36"/>
    <mergeCell ref="I36:K36"/>
    <mergeCell ref="L36:M36"/>
    <mergeCell ref="N36:O36"/>
    <mergeCell ref="B38:S38"/>
    <mergeCell ref="B40:S40"/>
  </mergeCells>
  <hyperlinks>
    <hyperlink ref="R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221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 t="s">
        <v>1</v>
      </c>
      <c r="S2" s="2"/>
    </row>
    <row r="3" customFormat="false" ht="15" hidden="false" customHeight="true" outlineLevel="0" collapsed="false">
      <c r="B3" s="3" t="s">
        <v>848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AA3" s="35" t="s">
        <v>849</v>
      </c>
      <c r="AB3" s="35" t="s">
        <v>850</v>
      </c>
    </row>
    <row r="4" customFormat="false" ht="15" hidden="false" customHeight="false" outlineLevel="0" collapsed="false">
      <c r="AA4" s="36" t="s">
        <v>851</v>
      </c>
      <c r="AB4" s="37" t="n">
        <v>10</v>
      </c>
    </row>
    <row r="5" customFormat="false" ht="18" hidden="false" customHeight="true" outlineLevel="0" collapsed="false">
      <c r="B5" s="38" t="s">
        <v>350</v>
      </c>
      <c r="C5" s="38"/>
      <c r="D5" s="38" t="s">
        <v>351</v>
      </c>
      <c r="E5" s="38"/>
      <c r="F5" s="38" t="s">
        <v>354</v>
      </c>
      <c r="G5" s="38"/>
      <c r="H5" s="38" t="s">
        <v>355</v>
      </c>
      <c r="I5" s="38"/>
      <c r="J5" s="38" t="s">
        <v>852</v>
      </c>
      <c r="K5" s="38"/>
      <c r="L5" s="38"/>
      <c r="M5" s="38" t="s">
        <v>853</v>
      </c>
      <c r="N5" s="38"/>
      <c r="O5" s="39" t="s">
        <v>356</v>
      </c>
      <c r="P5" s="39"/>
      <c r="Q5" s="39"/>
      <c r="AA5" s="36" t="s">
        <v>854</v>
      </c>
      <c r="AB5" s="37" t="n">
        <v>6.5</v>
      </c>
    </row>
    <row r="6" customFormat="false" ht="15" hidden="false" customHeight="false" outlineLevel="0" collapsed="false">
      <c r="AA6" s="36" t="s">
        <v>855</v>
      </c>
      <c r="AB6" s="37" t="n">
        <v>4</v>
      </c>
    </row>
    <row r="7" customFormat="false" ht="12.75" hidden="false" customHeight="true" outlineLevel="0" collapsed="false">
      <c r="B7" s="11" t="s">
        <v>856</v>
      </c>
      <c r="C7" s="11"/>
      <c r="D7" s="11"/>
      <c r="E7" s="11" t="s">
        <v>857</v>
      </c>
      <c r="F7" s="11"/>
      <c r="G7" s="11"/>
      <c r="H7" s="12" t="s">
        <v>858</v>
      </c>
      <c r="I7" s="12"/>
      <c r="J7" s="12"/>
      <c r="K7" s="12" t="s">
        <v>859</v>
      </c>
      <c r="L7" s="12"/>
      <c r="M7" s="12"/>
      <c r="N7" s="12" t="s">
        <v>860</v>
      </c>
      <c r="O7" s="12"/>
      <c r="P7" s="12"/>
      <c r="AA7" s="36" t="s">
        <v>861</v>
      </c>
      <c r="AB7" s="37" t="n">
        <v>1.5</v>
      </c>
    </row>
    <row r="8" customFormat="false" ht="25.5" hidden="false" customHeight="true" outlineLevel="0" collapsed="false">
      <c r="B8" s="13" t="n">
        <f aca="false">D13</f>
        <v>6385</v>
      </c>
      <c r="C8" s="13"/>
      <c r="D8" s="13"/>
      <c r="E8" s="13" t="n">
        <f aca="false">E13</f>
        <v>6412</v>
      </c>
      <c r="F8" s="13"/>
      <c r="G8" s="13"/>
      <c r="H8" s="48" t="n">
        <f aca="false">F13</f>
        <v>27</v>
      </c>
      <c r="I8" s="48"/>
      <c r="J8" s="48"/>
      <c r="K8" s="14" t="n">
        <f aca="false">COUNTIF(L20:L27,"Open")</f>
        <v>4</v>
      </c>
      <c r="L8" s="14"/>
      <c r="M8" s="14"/>
      <c r="N8" s="14" t="n">
        <f aca="false">COUNTIF(L20:L27,"Controlled exception")</f>
        <v>3</v>
      </c>
      <c r="O8" s="14"/>
      <c r="P8" s="14"/>
      <c r="AA8" s="36" t="s">
        <v>862</v>
      </c>
      <c r="AB8" s="37" t="n">
        <v>0.8</v>
      </c>
    </row>
    <row r="9" customFormat="false" ht="15" hidden="false" customHeight="true" outlineLevel="0" collapsed="false">
      <c r="B9" s="16" t="s">
        <v>863</v>
      </c>
      <c r="C9" s="16"/>
      <c r="D9" s="16"/>
      <c r="E9" s="16" t="s">
        <v>864</v>
      </c>
      <c r="F9" s="16"/>
      <c r="G9" s="16"/>
      <c r="H9" s="18" t="s">
        <v>865</v>
      </c>
      <c r="I9" s="18"/>
      <c r="J9" s="18"/>
      <c r="K9" s="18" t="s">
        <v>866</v>
      </c>
      <c r="L9" s="18"/>
      <c r="M9" s="18"/>
      <c r="N9" s="90" t="s">
        <v>867</v>
      </c>
      <c r="O9" s="90"/>
      <c r="P9" s="90"/>
      <c r="AA9" s="36" t="s">
        <v>868</v>
      </c>
      <c r="AB9" s="37" t="n">
        <v>1.2</v>
      </c>
    </row>
    <row r="10" customFormat="false" ht="15" hidden="false" customHeight="false" outlineLevel="0" collapsed="false">
      <c r="AA10" s="36" t="s">
        <v>869</v>
      </c>
      <c r="AB10" s="37" t="n">
        <v>1</v>
      </c>
    </row>
    <row r="11" customFormat="false" ht="18" hidden="false" customHeight="true" outlineLevel="0" collapsed="false">
      <c r="B11" s="4" t="s">
        <v>870</v>
      </c>
      <c r="C11" s="4"/>
      <c r="D11" s="4"/>
      <c r="E11" s="4"/>
      <c r="F11" s="4"/>
      <c r="G11" s="4"/>
      <c r="I11" s="4" t="s">
        <v>871</v>
      </c>
      <c r="J11" s="4"/>
      <c r="K11" s="4"/>
      <c r="L11" s="4"/>
      <c r="M11" s="4"/>
      <c r="N11" s="4"/>
      <c r="O11" s="4"/>
      <c r="AA11" s="36" t="s">
        <v>872</v>
      </c>
      <c r="AB11" s="37" t="n">
        <v>2</v>
      </c>
    </row>
    <row r="12" customFormat="false" ht="21.75" hidden="false" customHeight="true" outlineLevel="0" collapsed="false">
      <c r="B12" s="40" t="s">
        <v>873</v>
      </c>
      <c r="C12" s="40"/>
      <c r="D12" s="25" t="s">
        <v>874</v>
      </c>
      <c r="E12" s="25" t="s">
        <v>875</v>
      </c>
      <c r="F12" s="25" t="s">
        <v>876</v>
      </c>
      <c r="G12" s="25" t="s">
        <v>877</v>
      </c>
    </row>
    <row r="13" customFormat="false" ht="15.75" hidden="false" customHeight="true" outlineLevel="0" collapsed="false">
      <c r="B13" s="8" t="s">
        <v>405</v>
      </c>
      <c r="C13" s="8"/>
      <c r="D13" s="52" t="n">
        <v>6385</v>
      </c>
      <c r="E13" s="52" t="n">
        <v>6412</v>
      </c>
      <c r="F13" s="41" t="n">
        <f aca="false">E13-D13</f>
        <v>27</v>
      </c>
      <c r="G13" s="42" t="n">
        <f aca="false">(E13-D13)/D13*100</f>
        <v>0.422866092404072</v>
      </c>
    </row>
    <row r="14" customFormat="false" ht="15.75" hidden="false" customHeight="true" outlineLevel="0" collapsed="false">
      <c r="B14" s="10" t="s">
        <v>422</v>
      </c>
      <c r="C14" s="10"/>
      <c r="D14" s="54" t="n">
        <v>268.4</v>
      </c>
      <c r="E14" s="54" t="n">
        <v>271</v>
      </c>
      <c r="F14" s="44" t="n">
        <f aca="false">E14-D14</f>
        <v>2.60000000000002</v>
      </c>
      <c r="G14" s="45" t="n">
        <f aca="false">(E14-D14)/D14*100</f>
        <v>0.96870342771983</v>
      </c>
    </row>
    <row r="15" customFormat="false" ht="15.75" hidden="false" customHeight="true" outlineLevel="0" collapsed="false">
      <c r="B15" s="50" t="s">
        <v>878</v>
      </c>
      <c r="C15" s="50"/>
      <c r="D15" s="79" t="n">
        <f aca="false">D13+D14</f>
        <v>6653.4</v>
      </c>
      <c r="E15" s="79" t="n">
        <f aca="false">E13+E14</f>
        <v>6683</v>
      </c>
      <c r="F15" s="51" t="n">
        <f aca="false">E15-D15</f>
        <v>29.6000000000004</v>
      </c>
      <c r="G15" s="91" t="n">
        <f aca="false">(E15-D15)/D15*100</f>
        <v>0.444885321790368</v>
      </c>
    </row>
    <row r="18" customFormat="false" ht="18" hidden="false" customHeight="true" outlineLevel="0" collapsed="false">
      <c r="B18" s="4" t="s">
        <v>879</v>
      </c>
      <c r="C18" s="4"/>
      <c r="D18" s="4"/>
      <c r="E18" s="4"/>
      <c r="F18" s="4"/>
      <c r="G18" s="4"/>
    </row>
    <row r="19" customFormat="false" ht="21.75" hidden="false" customHeight="true" outlineLevel="0" collapsed="false">
      <c r="B19" s="40" t="s">
        <v>880</v>
      </c>
      <c r="C19" s="40"/>
      <c r="D19" s="40"/>
      <c r="E19" s="25" t="s">
        <v>881</v>
      </c>
      <c r="F19" s="40" t="s">
        <v>882</v>
      </c>
      <c r="G19" s="40"/>
      <c r="H19" s="40"/>
      <c r="I19" s="40"/>
      <c r="J19" s="40" t="s">
        <v>509</v>
      </c>
      <c r="K19" s="40"/>
      <c r="L19" s="40" t="s">
        <v>883</v>
      </c>
      <c r="M19" s="40"/>
    </row>
    <row r="20" customFormat="false" ht="25.5" hidden="false" customHeight="true" outlineLevel="0" collapsed="false">
      <c r="B20" s="28" t="s">
        <v>851</v>
      </c>
      <c r="C20" s="28"/>
      <c r="D20" s="28"/>
      <c r="E20" s="52" t="n">
        <v>10</v>
      </c>
      <c r="F20" s="28" t="s">
        <v>884</v>
      </c>
      <c r="G20" s="28"/>
      <c r="H20" s="28"/>
      <c r="I20" s="28"/>
      <c r="J20" s="8" t="s">
        <v>615</v>
      </c>
      <c r="K20" s="8"/>
      <c r="L20" s="47" t="s">
        <v>885</v>
      </c>
      <c r="M20" s="47"/>
    </row>
    <row r="21" customFormat="false" ht="25.5" hidden="false" customHeight="true" outlineLevel="0" collapsed="false">
      <c r="B21" s="31" t="s">
        <v>854</v>
      </c>
      <c r="C21" s="31"/>
      <c r="D21" s="31"/>
      <c r="E21" s="54" t="n">
        <v>6.5</v>
      </c>
      <c r="F21" s="31" t="s">
        <v>886</v>
      </c>
      <c r="G21" s="31"/>
      <c r="H21" s="31"/>
      <c r="I21" s="31"/>
      <c r="J21" s="10" t="s">
        <v>615</v>
      </c>
      <c r="K21" s="10"/>
      <c r="L21" s="61" t="s">
        <v>887</v>
      </c>
      <c r="M21" s="61"/>
    </row>
    <row r="22" customFormat="false" ht="25.5" hidden="false" customHeight="true" outlineLevel="0" collapsed="false">
      <c r="B22" s="28" t="s">
        <v>855</v>
      </c>
      <c r="C22" s="28"/>
      <c r="D22" s="28"/>
      <c r="E22" s="52" t="n">
        <v>4</v>
      </c>
      <c r="F22" s="28" t="s">
        <v>888</v>
      </c>
      <c r="G22" s="28"/>
      <c r="H22" s="28"/>
      <c r="I22" s="28"/>
      <c r="J22" s="8" t="s">
        <v>615</v>
      </c>
      <c r="K22" s="8"/>
      <c r="L22" s="61" t="s">
        <v>887</v>
      </c>
      <c r="M22" s="61"/>
    </row>
    <row r="23" customFormat="false" ht="25.5" hidden="false" customHeight="true" outlineLevel="0" collapsed="false">
      <c r="B23" s="31" t="s">
        <v>861</v>
      </c>
      <c r="C23" s="31"/>
      <c r="D23" s="31"/>
      <c r="E23" s="54" t="n">
        <v>1.5</v>
      </c>
      <c r="F23" s="31" t="s">
        <v>889</v>
      </c>
      <c r="G23" s="31"/>
      <c r="H23" s="31"/>
      <c r="I23" s="31"/>
      <c r="J23" s="10" t="s">
        <v>890</v>
      </c>
      <c r="K23" s="10"/>
      <c r="L23" s="43" t="s">
        <v>891</v>
      </c>
      <c r="M23" s="43"/>
    </row>
    <row r="24" customFormat="false" ht="25.5" hidden="false" customHeight="true" outlineLevel="0" collapsed="false">
      <c r="B24" s="28" t="s">
        <v>862</v>
      </c>
      <c r="C24" s="28"/>
      <c r="D24" s="28"/>
      <c r="E24" s="52" t="n">
        <v>0.8</v>
      </c>
      <c r="F24" s="28" t="s">
        <v>892</v>
      </c>
      <c r="G24" s="28"/>
      <c r="H24" s="28"/>
      <c r="I24" s="28"/>
      <c r="J24" s="8" t="s">
        <v>546</v>
      </c>
      <c r="K24" s="8"/>
      <c r="L24" s="61" t="s">
        <v>887</v>
      </c>
      <c r="M24" s="61"/>
    </row>
    <row r="25" customFormat="false" ht="25.5" hidden="false" customHeight="true" outlineLevel="0" collapsed="false">
      <c r="B25" s="31" t="s">
        <v>868</v>
      </c>
      <c r="C25" s="31"/>
      <c r="D25" s="31"/>
      <c r="E25" s="54" t="n">
        <v>1.2</v>
      </c>
      <c r="F25" s="31" t="s">
        <v>893</v>
      </c>
      <c r="G25" s="31"/>
      <c r="H25" s="31"/>
      <c r="I25" s="31"/>
      <c r="J25" s="10" t="s">
        <v>615</v>
      </c>
      <c r="K25" s="10"/>
      <c r="L25" s="43" t="s">
        <v>891</v>
      </c>
      <c r="M25" s="43"/>
    </row>
    <row r="26" customFormat="false" ht="25.5" hidden="false" customHeight="true" outlineLevel="0" collapsed="false">
      <c r="B26" s="28" t="s">
        <v>869</v>
      </c>
      <c r="C26" s="28"/>
      <c r="D26" s="28"/>
      <c r="E26" s="52" t="n">
        <v>1</v>
      </c>
      <c r="F26" s="28" t="s">
        <v>894</v>
      </c>
      <c r="G26" s="28"/>
      <c r="H26" s="28"/>
      <c r="I26" s="28"/>
      <c r="J26" s="8" t="s">
        <v>890</v>
      </c>
      <c r="K26" s="8"/>
      <c r="L26" s="43" t="s">
        <v>891</v>
      </c>
      <c r="M26" s="43"/>
    </row>
    <row r="27" customFormat="false" ht="25.5" hidden="false" customHeight="true" outlineLevel="0" collapsed="false">
      <c r="B27" s="31" t="s">
        <v>872</v>
      </c>
      <c r="C27" s="31"/>
      <c r="D27" s="31"/>
      <c r="E27" s="54" t="n">
        <v>2</v>
      </c>
      <c r="F27" s="31" t="s">
        <v>895</v>
      </c>
      <c r="G27" s="31"/>
      <c r="H27" s="31"/>
      <c r="I27" s="31"/>
      <c r="J27" s="10" t="s">
        <v>896</v>
      </c>
      <c r="K27" s="10"/>
      <c r="L27" s="43" t="s">
        <v>891</v>
      </c>
      <c r="M27" s="43"/>
    </row>
    <row r="30" customFormat="false" ht="15" hidden="false" customHeight="true" outlineLevel="0" collapsed="false">
      <c r="B30" s="58" t="s">
        <v>897</v>
      </c>
      <c r="C30" s="58"/>
      <c r="D30" s="58"/>
      <c r="E30" s="58"/>
      <c r="F30" s="58"/>
      <c r="G30" s="58"/>
      <c r="I30" s="58" t="s">
        <v>898</v>
      </c>
      <c r="J30" s="58"/>
      <c r="K30" s="58"/>
      <c r="L30" s="58"/>
      <c r="M30" s="58"/>
      <c r="N30" s="58"/>
      <c r="P30" s="20" t="s">
        <v>133</v>
      </c>
      <c r="Q30" s="20"/>
      <c r="R30" s="20"/>
    </row>
    <row r="31" customFormat="false" ht="15" hidden="false" customHeight="true" outlineLevel="0" collapsed="false">
      <c r="B31" s="59" t="s">
        <v>899</v>
      </c>
      <c r="C31" s="59"/>
      <c r="D31" s="59"/>
      <c r="E31" s="59"/>
      <c r="F31" s="59"/>
      <c r="G31" s="59"/>
      <c r="I31" s="59" t="s">
        <v>900</v>
      </c>
      <c r="J31" s="59"/>
      <c r="K31" s="59"/>
      <c r="L31" s="59"/>
      <c r="M31" s="59"/>
      <c r="N31" s="59"/>
    </row>
    <row r="32" customFormat="false" ht="15" hidden="false" customHeight="true" outlineLevel="0" collapsed="false">
      <c r="B32" s="59" t="s">
        <v>901</v>
      </c>
      <c r="C32" s="59"/>
      <c r="D32" s="59"/>
      <c r="E32" s="59"/>
      <c r="F32" s="59"/>
      <c r="G32" s="59"/>
      <c r="I32" s="59" t="s">
        <v>902</v>
      </c>
      <c r="J32" s="59"/>
      <c r="K32" s="59"/>
      <c r="L32" s="59"/>
      <c r="M32" s="59"/>
      <c r="N32" s="59"/>
    </row>
    <row r="33" customFormat="false" ht="15" hidden="false" customHeight="true" outlineLevel="0" collapsed="false">
      <c r="B33" s="59" t="s">
        <v>903</v>
      </c>
      <c r="C33" s="59"/>
      <c r="D33" s="59"/>
      <c r="E33" s="59"/>
      <c r="F33" s="59"/>
      <c r="G33" s="59"/>
      <c r="I33" s="59" t="s">
        <v>904</v>
      </c>
      <c r="J33" s="59"/>
      <c r="K33" s="59"/>
      <c r="L33" s="59"/>
      <c r="M33" s="59"/>
      <c r="N33" s="59"/>
    </row>
    <row r="34" customFormat="false" ht="15" hidden="false" customHeight="true" outlineLevel="0" collapsed="false">
      <c r="B34" s="59" t="s">
        <v>905</v>
      </c>
      <c r="C34" s="59"/>
      <c r="D34" s="59"/>
      <c r="E34" s="59"/>
      <c r="F34" s="59"/>
      <c r="G34" s="59"/>
      <c r="I34" s="60" t="s">
        <v>906</v>
      </c>
      <c r="J34" s="60"/>
      <c r="K34" s="60"/>
      <c r="L34" s="60"/>
      <c r="M34" s="60"/>
      <c r="N34" s="60"/>
    </row>
    <row r="35" customFormat="false" ht="15" hidden="false" customHeight="true" outlineLevel="0" collapsed="false">
      <c r="B35" s="59" t="s">
        <v>907</v>
      </c>
      <c r="C35" s="59"/>
      <c r="D35" s="59"/>
      <c r="E35" s="59"/>
      <c r="F35" s="59"/>
      <c r="G35" s="59"/>
    </row>
    <row r="36" customFormat="false" ht="15" hidden="false" customHeight="true" outlineLevel="0" collapsed="false">
      <c r="B36" s="60" t="s">
        <v>908</v>
      </c>
      <c r="C36" s="60"/>
      <c r="D36" s="60"/>
      <c r="E36" s="60"/>
      <c r="F36" s="60"/>
      <c r="G36" s="60"/>
    </row>
    <row r="38" customFormat="false" ht="15" hidden="false" customHeight="false" outlineLevel="0" collapsed="false">
      <c r="B38" s="23" t="s">
        <v>909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</row>
  </sheetData>
  <mergeCells count="82">
    <mergeCell ref="B2:Q2"/>
    <mergeCell ref="R2:S2"/>
    <mergeCell ref="B3:S3"/>
    <mergeCell ref="B5:C5"/>
    <mergeCell ref="D5:E5"/>
    <mergeCell ref="F5:G5"/>
    <mergeCell ref="H5:I5"/>
    <mergeCell ref="J5:L5"/>
    <mergeCell ref="M5:N5"/>
    <mergeCell ref="O5:Q5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11:G11"/>
    <mergeCell ref="I11:O11"/>
    <mergeCell ref="B12:C12"/>
    <mergeCell ref="B13:C13"/>
    <mergeCell ref="B14:C14"/>
    <mergeCell ref="B15:C15"/>
    <mergeCell ref="B18:G18"/>
    <mergeCell ref="B19:D19"/>
    <mergeCell ref="F19:I19"/>
    <mergeCell ref="J19:K19"/>
    <mergeCell ref="L19:M19"/>
    <mergeCell ref="B20:D20"/>
    <mergeCell ref="F20:I20"/>
    <mergeCell ref="J20:K20"/>
    <mergeCell ref="L20:M20"/>
    <mergeCell ref="B21:D21"/>
    <mergeCell ref="F21:I21"/>
    <mergeCell ref="J21:K21"/>
    <mergeCell ref="L21:M21"/>
    <mergeCell ref="B22:D22"/>
    <mergeCell ref="F22:I22"/>
    <mergeCell ref="J22:K22"/>
    <mergeCell ref="L22:M22"/>
    <mergeCell ref="B23:D23"/>
    <mergeCell ref="F23:I23"/>
    <mergeCell ref="J23:K23"/>
    <mergeCell ref="L23:M23"/>
    <mergeCell ref="B24:D24"/>
    <mergeCell ref="F24:I24"/>
    <mergeCell ref="J24:K24"/>
    <mergeCell ref="L24:M24"/>
    <mergeCell ref="B25:D25"/>
    <mergeCell ref="F25:I25"/>
    <mergeCell ref="J25:K25"/>
    <mergeCell ref="L25:M25"/>
    <mergeCell ref="B26:D26"/>
    <mergeCell ref="F26:I26"/>
    <mergeCell ref="J26:K26"/>
    <mergeCell ref="L26:M26"/>
    <mergeCell ref="B27:D27"/>
    <mergeCell ref="F27:I27"/>
    <mergeCell ref="J27:K27"/>
    <mergeCell ref="L27:M27"/>
    <mergeCell ref="B30:G30"/>
    <mergeCell ref="I30:N30"/>
    <mergeCell ref="P30:R30"/>
    <mergeCell ref="B31:G31"/>
    <mergeCell ref="I31:N31"/>
    <mergeCell ref="B32:G32"/>
    <mergeCell ref="I32:N32"/>
    <mergeCell ref="B33:G33"/>
    <mergeCell ref="I33:N33"/>
    <mergeCell ref="B34:G34"/>
    <mergeCell ref="I34:N34"/>
    <mergeCell ref="B35:G35"/>
    <mergeCell ref="B36:G36"/>
    <mergeCell ref="B38:S38"/>
  </mergeCells>
  <hyperlinks>
    <hyperlink ref="R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2:S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0.51"/>
  </cols>
  <sheetData>
    <row r="2" customFormat="false" ht="27.75" hidden="false" customHeight="true" outlineLevel="0" collapsed="false">
      <c r="B2" s="24" t="s">
        <v>228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 t="s">
        <v>1</v>
      </c>
      <c r="S2" s="2"/>
    </row>
    <row r="3" customFormat="false" ht="15" hidden="false" customHeight="true" outlineLevel="0" collapsed="false">
      <c r="B3" s="3" t="s">
        <v>910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5" customFormat="false" ht="18" hidden="false" customHeight="true" outlineLevel="0" collapsed="false">
      <c r="B5" s="38" t="s">
        <v>351</v>
      </c>
      <c r="C5" s="38"/>
      <c r="D5" s="38" t="s">
        <v>911</v>
      </c>
      <c r="E5" s="38"/>
      <c r="F5" s="38" t="s">
        <v>912</v>
      </c>
      <c r="G5" s="38"/>
      <c r="H5" s="38" t="s">
        <v>814</v>
      </c>
      <c r="I5" s="38"/>
      <c r="J5" s="39" t="s">
        <v>356</v>
      </c>
      <c r="K5" s="39"/>
      <c r="L5" s="39"/>
    </row>
    <row r="7" customFormat="false" ht="15" hidden="false" customHeight="true" outlineLevel="0" collapsed="false">
      <c r="B7" s="92" t="s">
        <v>913</v>
      </c>
      <c r="C7" s="92"/>
      <c r="D7" s="92"/>
      <c r="E7" s="93" t="s">
        <v>914</v>
      </c>
      <c r="F7" s="93"/>
      <c r="G7" s="93"/>
      <c r="H7" s="92" t="s">
        <v>915</v>
      </c>
      <c r="I7" s="92"/>
      <c r="J7" s="92"/>
      <c r="K7" s="92" t="s">
        <v>916</v>
      </c>
      <c r="L7" s="92"/>
      <c r="M7" s="92"/>
    </row>
    <row r="8" customFormat="false" ht="15.75" hidden="false" customHeight="true" outlineLevel="0" collapsed="false">
      <c r="B8" s="94" t="s">
        <v>917</v>
      </c>
      <c r="C8" s="95" t="s">
        <v>918</v>
      </c>
      <c r="D8" s="96"/>
      <c r="E8" s="97" t="s">
        <v>917</v>
      </c>
      <c r="F8" s="98" t="s">
        <v>919</v>
      </c>
      <c r="G8" s="99"/>
      <c r="H8" s="94" t="s">
        <v>917</v>
      </c>
      <c r="I8" s="95" t="s">
        <v>918</v>
      </c>
      <c r="J8" s="96"/>
      <c r="K8" s="94" t="s">
        <v>917</v>
      </c>
      <c r="L8" s="95" t="s">
        <v>918</v>
      </c>
      <c r="M8" s="96"/>
    </row>
    <row r="9" customFormat="false" ht="13.5" hidden="false" customHeight="true" outlineLevel="0" collapsed="false">
      <c r="B9" s="100" t="s">
        <v>920</v>
      </c>
      <c r="C9" s="100"/>
      <c r="D9" s="100"/>
      <c r="E9" s="101" t="s">
        <v>139</v>
      </c>
      <c r="F9" s="101"/>
      <c r="G9" s="101"/>
      <c r="H9" s="100" t="s">
        <v>921</v>
      </c>
      <c r="I9" s="100"/>
      <c r="J9" s="100"/>
      <c r="K9" s="100" t="s">
        <v>922</v>
      </c>
      <c r="L9" s="100"/>
      <c r="M9" s="100"/>
    </row>
    <row r="12" customFormat="false" ht="15.75" hidden="false" customHeight="true" outlineLevel="0" collapsed="false">
      <c r="B12" s="11" t="s">
        <v>923</v>
      </c>
      <c r="C12" s="11"/>
      <c r="D12" s="11"/>
      <c r="E12" s="12" t="s">
        <v>924</v>
      </c>
      <c r="F12" s="12"/>
      <c r="G12" s="12"/>
      <c r="H12" s="12" t="s">
        <v>925</v>
      </c>
      <c r="I12" s="12"/>
      <c r="J12" s="12"/>
      <c r="K12" s="58" t="s">
        <v>926</v>
      </c>
      <c r="L12" s="58"/>
      <c r="M12" s="58"/>
      <c r="N12" s="58"/>
      <c r="O12" s="58"/>
      <c r="P12" s="58"/>
      <c r="Q12" s="58"/>
      <c r="R12" s="58"/>
    </row>
    <row r="13" customFormat="false" ht="15.75" hidden="false" customHeight="true" outlineLevel="0" collapsed="false">
      <c r="B13" s="14" t="n">
        <v>0</v>
      </c>
      <c r="C13" s="14"/>
      <c r="D13" s="14"/>
      <c r="E13" s="14" t="n">
        <v>10</v>
      </c>
      <c r="F13" s="14"/>
      <c r="G13" s="14"/>
      <c r="H13" s="14" t="n">
        <v>2</v>
      </c>
      <c r="I13" s="14"/>
      <c r="J13" s="14"/>
      <c r="K13" s="59" t="s">
        <v>927</v>
      </c>
      <c r="L13" s="59"/>
      <c r="M13" s="59"/>
      <c r="N13" s="59"/>
      <c r="O13" s="59"/>
      <c r="P13" s="59"/>
      <c r="Q13" s="59"/>
      <c r="R13" s="59"/>
    </row>
    <row r="14" customFormat="false" ht="15.75" hidden="false" customHeight="true" outlineLevel="0" collapsed="false">
      <c r="B14" s="90" t="s">
        <v>928</v>
      </c>
      <c r="C14" s="90"/>
      <c r="D14" s="90"/>
      <c r="E14" s="18" t="s">
        <v>929</v>
      </c>
      <c r="F14" s="18"/>
      <c r="G14" s="18"/>
      <c r="H14" s="17" t="s">
        <v>930</v>
      </c>
      <c r="I14" s="17"/>
      <c r="J14" s="17"/>
      <c r="K14" s="60" t="s">
        <v>931</v>
      </c>
      <c r="L14" s="60"/>
      <c r="M14" s="60"/>
      <c r="N14" s="60"/>
      <c r="O14" s="60"/>
      <c r="P14" s="60"/>
      <c r="Q14" s="60"/>
      <c r="R14" s="60"/>
    </row>
    <row r="17" customFormat="false" ht="18" hidden="false" customHeight="true" outlineLevel="0" collapsed="false">
      <c r="B17" s="4" t="s">
        <v>932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customFormat="false" ht="21.75" hidden="false" customHeight="true" outlineLevel="0" collapsed="false">
      <c r="B18" s="40" t="s">
        <v>933</v>
      </c>
      <c r="C18" s="40"/>
      <c r="D18" s="40"/>
      <c r="E18" s="25" t="s">
        <v>509</v>
      </c>
      <c r="F18" s="25" t="s">
        <v>934</v>
      </c>
      <c r="G18" s="40" t="s">
        <v>935</v>
      </c>
      <c r="H18" s="40"/>
      <c r="I18" s="40" t="s">
        <v>936</v>
      </c>
      <c r="J18" s="40"/>
      <c r="K18" s="40"/>
      <c r="L18" s="40"/>
      <c r="M18" s="25" t="s">
        <v>937</v>
      </c>
      <c r="N18" s="25" t="s">
        <v>938</v>
      </c>
    </row>
    <row r="19" customFormat="false" ht="15.75" hidden="false" customHeight="true" outlineLevel="0" collapsed="false">
      <c r="B19" s="8" t="s">
        <v>939</v>
      </c>
      <c r="C19" s="8"/>
      <c r="D19" s="8"/>
      <c r="E19" s="8" t="s">
        <v>890</v>
      </c>
      <c r="F19" s="47" t="s">
        <v>940</v>
      </c>
      <c r="G19" s="8" t="s">
        <v>941</v>
      </c>
      <c r="H19" s="8"/>
      <c r="I19" s="8" t="s">
        <v>942</v>
      </c>
      <c r="J19" s="8"/>
      <c r="K19" s="8"/>
      <c r="L19" s="8"/>
      <c r="M19" s="102" t="s">
        <v>917</v>
      </c>
      <c r="N19" s="26" t="s">
        <v>166</v>
      </c>
    </row>
    <row r="20" customFormat="false" ht="15.75" hidden="false" customHeight="true" outlineLevel="0" collapsed="false">
      <c r="B20" s="10" t="s">
        <v>943</v>
      </c>
      <c r="C20" s="10"/>
      <c r="D20" s="10"/>
      <c r="E20" s="10" t="s">
        <v>890</v>
      </c>
      <c r="F20" s="47" t="s">
        <v>940</v>
      </c>
      <c r="G20" s="10" t="s">
        <v>944</v>
      </c>
      <c r="H20" s="10"/>
      <c r="I20" s="10" t="s">
        <v>945</v>
      </c>
      <c r="J20" s="10"/>
      <c r="K20" s="10"/>
      <c r="L20" s="10"/>
      <c r="M20" s="103" t="s">
        <v>917</v>
      </c>
      <c r="N20" s="29" t="s">
        <v>166</v>
      </c>
    </row>
    <row r="21" customFormat="false" ht="15.75" hidden="false" customHeight="true" outlineLevel="0" collapsed="false">
      <c r="B21" s="8" t="s">
        <v>946</v>
      </c>
      <c r="C21" s="8"/>
      <c r="D21" s="8"/>
      <c r="E21" s="8" t="s">
        <v>615</v>
      </c>
      <c r="F21" s="46" t="s">
        <v>947</v>
      </c>
      <c r="G21" s="8" t="s">
        <v>948</v>
      </c>
      <c r="H21" s="8"/>
      <c r="I21" s="8" t="s">
        <v>949</v>
      </c>
      <c r="J21" s="8"/>
      <c r="K21" s="8"/>
      <c r="L21" s="8"/>
      <c r="M21" s="104" t="s">
        <v>917</v>
      </c>
      <c r="N21" s="26" t="s">
        <v>950</v>
      </c>
    </row>
    <row r="22" customFormat="false" ht="15.75" hidden="false" customHeight="true" outlineLevel="0" collapsed="false">
      <c r="B22" s="10" t="s">
        <v>951</v>
      </c>
      <c r="C22" s="10"/>
      <c r="D22" s="10"/>
      <c r="E22" s="10" t="s">
        <v>890</v>
      </c>
      <c r="F22" s="43" t="s">
        <v>952</v>
      </c>
      <c r="G22" s="10" t="s">
        <v>166</v>
      </c>
      <c r="H22" s="10"/>
      <c r="I22" s="10" t="s">
        <v>953</v>
      </c>
      <c r="J22" s="10"/>
      <c r="K22" s="10"/>
      <c r="L22" s="10"/>
      <c r="M22" s="105" t="s">
        <v>917</v>
      </c>
      <c r="N22" s="29" t="s">
        <v>954</v>
      </c>
    </row>
    <row r="23" customFormat="false" ht="15.75" hidden="false" customHeight="true" outlineLevel="0" collapsed="false">
      <c r="B23" s="8" t="s">
        <v>955</v>
      </c>
      <c r="C23" s="8"/>
      <c r="D23" s="8"/>
      <c r="E23" s="8" t="s">
        <v>615</v>
      </c>
      <c r="F23" s="47" t="s">
        <v>940</v>
      </c>
      <c r="G23" s="8" t="s">
        <v>166</v>
      </c>
      <c r="H23" s="8"/>
      <c r="I23" s="8" t="s">
        <v>956</v>
      </c>
      <c r="J23" s="8"/>
      <c r="K23" s="8"/>
      <c r="L23" s="8"/>
      <c r="M23" s="102" t="s">
        <v>917</v>
      </c>
      <c r="N23" s="26" t="s">
        <v>166</v>
      </c>
    </row>
    <row r="24" customFormat="false" ht="15.75" hidden="false" customHeight="true" outlineLevel="0" collapsed="false">
      <c r="B24" s="10" t="s">
        <v>957</v>
      </c>
      <c r="C24" s="10"/>
      <c r="D24" s="10"/>
      <c r="E24" s="10" t="s">
        <v>890</v>
      </c>
      <c r="F24" s="47" t="s">
        <v>940</v>
      </c>
      <c r="G24" s="10" t="s">
        <v>166</v>
      </c>
      <c r="H24" s="10"/>
      <c r="I24" s="10" t="s">
        <v>956</v>
      </c>
      <c r="J24" s="10"/>
      <c r="K24" s="10"/>
      <c r="L24" s="10"/>
      <c r="M24" s="103" t="s">
        <v>917</v>
      </c>
      <c r="N24" s="29" t="s">
        <v>166</v>
      </c>
    </row>
    <row r="25" customFormat="false" ht="15.75" hidden="false" customHeight="true" outlineLevel="0" collapsed="false">
      <c r="B25" s="8" t="s">
        <v>958</v>
      </c>
      <c r="C25" s="8"/>
      <c r="D25" s="8"/>
      <c r="E25" s="8" t="s">
        <v>546</v>
      </c>
      <c r="F25" s="46" t="s">
        <v>408</v>
      </c>
      <c r="G25" s="8" t="s">
        <v>166</v>
      </c>
      <c r="H25" s="8"/>
      <c r="I25" s="8" t="s">
        <v>959</v>
      </c>
      <c r="J25" s="8"/>
      <c r="K25" s="8"/>
      <c r="L25" s="8"/>
      <c r="M25" s="104" t="s">
        <v>917</v>
      </c>
      <c r="N25" s="26" t="s">
        <v>960</v>
      </c>
    </row>
    <row r="26" customFormat="false" ht="15.75" hidden="false" customHeight="true" outlineLevel="0" collapsed="false">
      <c r="B26" s="10" t="s">
        <v>961</v>
      </c>
      <c r="C26" s="10"/>
      <c r="D26" s="10"/>
      <c r="E26" s="10" t="s">
        <v>546</v>
      </c>
      <c r="F26" s="47" t="s">
        <v>940</v>
      </c>
      <c r="G26" s="10" t="s">
        <v>166</v>
      </c>
      <c r="H26" s="10"/>
      <c r="I26" s="10" t="s">
        <v>956</v>
      </c>
      <c r="J26" s="10"/>
      <c r="K26" s="10"/>
      <c r="L26" s="10"/>
      <c r="M26" s="103" t="s">
        <v>917</v>
      </c>
      <c r="N26" s="29" t="s">
        <v>166</v>
      </c>
    </row>
    <row r="27" customFormat="false" ht="15.75" hidden="false" customHeight="true" outlineLevel="0" collapsed="false">
      <c r="B27" s="8" t="s">
        <v>962</v>
      </c>
      <c r="C27" s="8"/>
      <c r="D27" s="8"/>
      <c r="E27" s="8" t="s">
        <v>890</v>
      </c>
      <c r="F27" s="47" t="s">
        <v>940</v>
      </c>
      <c r="G27" s="8" t="s">
        <v>166</v>
      </c>
      <c r="H27" s="8"/>
      <c r="I27" s="8" t="s">
        <v>956</v>
      </c>
      <c r="J27" s="8"/>
      <c r="K27" s="8"/>
      <c r="L27" s="8"/>
      <c r="M27" s="102" t="s">
        <v>917</v>
      </c>
      <c r="N27" s="26" t="s">
        <v>166</v>
      </c>
    </row>
    <row r="28" customFormat="false" ht="15.75" hidden="false" customHeight="true" outlineLevel="0" collapsed="false">
      <c r="B28" s="10" t="s">
        <v>963</v>
      </c>
      <c r="C28" s="10"/>
      <c r="D28" s="10"/>
      <c r="E28" s="10" t="s">
        <v>890</v>
      </c>
      <c r="F28" s="46" t="s">
        <v>408</v>
      </c>
      <c r="G28" s="10" t="s">
        <v>166</v>
      </c>
      <c r="H28" s="10"/>
      <c r="I28" s="10" t="s">
        <v>964</v>
      </c>
      <c r="J28" s="10"/>
      <c r="K28" s="10"/>
      <c r="L28" s="10"/>
      <c r="M28" s="105" t="s">
        <v>917</v>
      </c>
      <c r="N28" s="29" t="s">
        <v>950</v>
      </c>
    </row>
    <row r="29" customFormat="false" ht="15.75" hidden="false" customHeight="true" outlineLevel="0" collapsed="false">
      <c r="B29" s="8" t="s">
        <v>965</v>
      </c>
      <c r="C29" s="8"/>
      <c r="D29" s="8"/>
      <c r="E29" s="8" t="s">
        <v>741</v>
      </c>
      <c r="F29" s="47" t="s">
        <v>940</v>
      </c>
      <c r="G29" s="8" t="s">
        <v>166</v>
      </c>
      <c r="H29" s="8"/>
      <c r="I29" s="8" t="s">
        <v>956</v>
      </c>
      <c r="J29" s="8"/>
      <c r="K29" s="8"/>
      <c r="L29" s="8"/>
      <c r="M29" s="102" t="s">
        <v>917</v>
      </c>
      <c r="N29" s="26" t="s">
        <v>166</v>
      </c>
    </row>
    <row r="30" customFormat="false" ht="15.75" hidden="false" customHeight="true" outlineLevel="0" collapsed="false">
      <c r="B30" s="10" t="s">
        <v>966</v>
      </c>
      <c r="C30" s="10"/>
      <c r="D30" s="10"/>
      <c r="E30" s="10" t="s">
        <v>890</v>
      </c>
      <c r="F30" s="47" t="s">
        <v>940</v>
      </c>
      <c r="G30" s="10" t="s">
        <v>166</v>
      </c>
      <c r="H30" s="10"/>
      <c r="I30" s="10" t="s">
        <v>956</v>
      </c>
      <c r="J30" s="10"/>
      <c r="K30" s="10"/>
      <c r="L30" s="10"/>
      <c r="M30" s="103" t="s">
        <v>917</v>
      </c>
      <c r="N30" s="29" t="s">
        <v>166</v>
      </c>
    </row>
    <row r="31" customFormat="false" ht="15.75" hidden="false" customHeight="true" outlineLevel="0" collapsed="false">
      <c r="B31" s="8" t="s">
        <v>967</v>
      </c>
      <c r="C31" s="8"/>
      <c r="D31" s="8"/>
      <c r="E31" s="8" t="s">
        <v>890</v>
      </c>
      <c r="F31" s="46" t="s">
        <v>408</v>
      </c>
      <c r="G31" s="8" t="s">
        <v>166</v>
      </c>
      <c r="H31" s="8"/>
      <c r="I31" s="8" t="s">
        <v>968</v>
      </c>
      <c r="J31" s="8"/>
      <c r="K31" s="8"/>
      <c r="L31" s="8"/>
      <c r="M31" s="104" t="s">
        <v>917</v>
      </c>
      <c r="N31" s="26" t="s">
        <v>969</v>
      </c>
    </row>
    <row r="33" customFormat="false" ht="15" hidden="false" customHeight="false" outlineLevel="0" collapsed="false">
      <c r="B33" s="22" t="s">
        <v>970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customFormat="false" ht="15" hidden="false" customHeight="false" outlineLevel="0" collapsed="false">
      <c r="B34" s="22" t="s">
        <v>971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6" customFormat="false" ht="15" hidden="false" customHeight="false" outlineLevel="0" collapsed="false">
      <c r="B36" s="23" t="s">
        <v>972</v>
      </c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</row>
  </sheetData>
  <mergeCells count="74">
    <mergeCell ref="B2:Q2"/>
    <mergeCell ref="R2:S2"/>
    <mergeCell ref="B3:S3"/>
    <mergeCell ref="B5:C5"/>
    <mergeCell ref="D5:E5"/>
    <mergeCell ref="F5:G5"/>
    <mergeCell ref="H5:I5"/>
    <mergeCell ref="J5:L5"/>
    <mergeCell ref="B7:D7"/>
    <mergeCell ref="E7:G7"/>
    <mergeCell ref="H7:J7"/>
    <mergeCell ref="K7:M7"/>
    <mergeCell ref="B9:D9"/>
    <mergeCell ref="E9:G9"/>
    <mergeCell ref="H9:J9"/>
    <mergeCell ref="K9:M9"/>
    <mergeCell ref="B12:D12"/>
    <mergeCell ref="E12:G12"/>
    <mergeCell ref="H12:J12"/>
    <mergeCell ref="K12:R12"/>
    <mergeCell ref="B13:D13"/>
    <mergeCell ref="E13:G13"/>
    <mergeCell ref="H13:J13"/>
    <mergeCell ref="K13:R13"/>
    <mergeCell ref="B14:D14"/>
    <mergeCell ref="E14:G14"/>
    <mergeCell ref="H14:J14"/>
    <mergeCell ref="K14:R14"/>
    <mergeCell ref="B17:N17"/>
    <mergeCell ref="B18:D18"/>
    <mergeCell ref="G18:H18"/>
    <mergeCell ref="I18:L18"/>
    <mergeCell ref="B19:D19"/>
    <mergeCell ref="G19:H19"/>
    <mergeCell ref="I19:L19"/>
    <mergeCell ref="B20:D20"/>
    <mergeCell ref="G20:H20"/>
    <mergeCell ref="I20:L20"/>
    <mergeCell ref="B21:D21"/>
    <mergeCell ref="G21:H21"/>
    <mergeCell ref="I21:L21"/>
    <mergeCell ref="B22:D22"/>
    <mergeCell ref="G22:H22"/>
    <mergeCell ref="I22:L22"/>
    <mergeCell ref="B23:D23"/>
    <mergeCell ref="G23:H23"/>
    <mergeCell ref="I23:L23"/>
    <mergeCell ref="B24:D24"/>
    <mergeCell ref="G24:H24"/>
    <mergeCell ref="I24:L24"/>
    <mergeCell ref="B25:D25"/>
    <mergeCell ref="G25:H25"/>
    <mergeCell ref="I25:L25"/>
    <mergeCell ref="B26:D26"/>
    <mergeCell ref="G26:H26"/>
    <mergeCell ref="I26:L26"/>
    <mergeCell ref="B27:D27"/>
    <mergeCell ref="G27:H27"/>
    <mergeCell ref="I27:L27"/>
    <mergeCell ref="B28:D28"/>
    <mergeCell ref="G28:H28"/>
    <mergeCell ref="I28:L28"/>
    <mergeCell ref="B29:D29"/>
    <mergeCell ref="G29:H29"/>
    <mergeCell ref="I29:L29"/>
    <mergeCell ref="B30:D30"/>
    <mergeCell ref="G30:H30"/>
    <mergeCell ref="I30:L30"/>
    <mergeCell ref="B31:D31"/>
    <mergeCell ref="G31:H31"/>
    <mergeCell ref="I31:L31"/>
    <mergeCell ref="B33:S33"/>
    <mergeCell ref="B34:S34"/>
    <mergeCell ref="B36:S36"/>
  </mergeCells>
  <hyperlinks>
    <hyperlink ref="R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858C"/>
    <pageSetUpPr fitToPage="false"/>
  </sheetPr>
  <dimension ref="B1:AB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9" min="2" style="0" width="10.51"/>
  </cols>
  <sheetData>
    <row r="1" customFormat="false" ht="15" hidden="false" customHeight="false" outlineLevel="0" collapsed="false">
      <c r="AA1" s="34" t="s">
        <v>343</v>
      </c>
    </row>
    <row r="2" customFormat="false" ht="27.75" hidden="false" customHeight="true" outlineLevel="0" collapsed="false">
      <c r="B2" s="24" t="s">
        <v>235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" t="s">
        <v>1</v>
      </c>
      <c r="S2" s="2"/>
    </row>
    <row r="3" customFormat="false" ht="15" hidden="false" customHeight="true" outlineLevel="0" collapsed="false">
      <c r="B3" s="3" t="s">
        <v>973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AA3" s="35" t="s">
        <v>883</v>
      </c>
      <c r="AB3" s="35" t="s">
        <v>974</v>
      </c>
    </row>
    <row r="4" customFormat="false" ht="15" hidden="false" customHeight="false" outlineLevel="0" collapsed="false">
      <c r="AA4" s="36" t="s">
        <v>424</v>
      </c>
      <c r="AB4" s="36" t="n">
        <v>24</v>
      </c>
    </row>
    <row r="5" customFormat="false" ht="18" hidden="false" customHeight="true" outlineLevel="0" collapsed="false">
      <c r="B5" s="38" t="s">
        <v>351</v>
      </c>
      <c r="C5" s="38"/>
      <c r="D5" s="38" t="s">
        <v>814</v>
      </c>
      <c r="E5" s="38"/>
      <c r="F5" s="38" t="s">
        <v>853</v>
      </c>
      <c r="G5" s="38"/>
      <c r="H5" s="38" t="s">
        <v>975</v>
      </c>
      <c r="I5" s="38"/>
      <c r="J5" s="38"/>
      <c r="K5" s="39" t="s">
        <v>356</v>
      </c>
      <c r="L5" s="39"/>
      <c r="M5" s="39"/>
      <c r="AA5" s="36" t="s">
        <v>413</v>
      </c>
      <c r="AB5" s="36" t="n">
        <v>8</v>
      </c>
    </row>
    <row r="6" customFormat="false" ht="15" hidden="false" customHeight="false" outlineLevel="0" collapsed="false">
      <c r="AA6" s="36" t="s">
        <v>420</v>
      </c>
      <c r="AB6" s="36" t="n">
        <v>7</v>
      </c>
    </row>
    <row r="7" customFormat="false" ht="12.75" hidden="false" customHeight="true" outlineLevel="0" collapsed="false">
      <c r="B7" s="11" t="s">
        <v>976</v>
      </c>
      <c r="C7" s="11"/>
      <c r="D7" s="11"/>
      <c r="E7" s="12" t="s">
        <v>977</v>
      </c>
      <c r="F7" s="12"/>
      <c r="G7" s="12"/>
      <c r="H7" s="12" t="s">
        <v>978</v>
      </c>
      <c r="I7" s="12"/>
      <c r="J7" s="12"/>
      <c r="K7" s="12" t="s">
        <v>979</v>
      </c>
      <c r="L7" s="12"/>
      <c r="M7" s="12"/>
      <c r="N7" s="12" t="s">
        <v>980</v>
      </c>
      <c r="O7" s="12"/>
      <c r="P7" s="12"/>
      <c r="AA7" s="36" t="s">
        <v>407</v>
      </c>
      <c r="AB7" s="36" t="n">
        <v>3</v>
      </c>
    </row>
    <row r="8" customFormat="false" ht="25.5" hidden="false" customHeight="true" outlineLevel="0" collapsed="false">
      <c r="B8" s="14" t="n">
        <f aca="false">SUM(AB4:AB7)</f>
        <v>42</v>
      </c>
      <c r="C8" s="14"/>
      <c r="D8" s="14"/>
      <c r="E8" s="14" t="n">
        <f aca="false">AB4</f>
        <v>24</v>
      </c>
      <c r="F8" s="14"/>
      <c r="G8" s="14"/>
      <c r="H8" s="14" t="n">
        <f aca="false">AB5</f>
        <v>8</v>
      </c>
      <c r="I8" s="14"/>
      <c r="J8" s="14"/>
      <c r="K8" s="14" t="n">
        <f aca="false">AB6</f>
        <v>7</v>
      </c>
      <c r="L8" s="14"/>
      <c r="M8" s="14"/>
      <c r="N8" s="14" t="n">
        <f aca="false">AB7</f>
        <v>3</v>
      </c>
      <c r="O8" s="14"/>
      <c r="P8" s="14"/>
    </row>
    <row r="9" customFormat="false" ht="15" hidden="false" customHeight="true" outlineLevel="0" collapsed="false">
      <c r="B9" s="16" t="s">
        <v>981</v>
      </c>
      <c r="C9" s="16"/>
      <c r="D9" s="16"/>
      <c r="E9" s="90" t="s">
        <v>982</v>
      </c>
      <c r="F9" s="90"/>
      <c r="G9" s="90"/>
      <c r="H9" s="16" t="s">
        <v>983</v>
      </c>
      <c r="I9" s="16"/>
      <c r="J9" s="16"/>
      <c r="K9" s="18" t="s">
        <v>984</v>
      </c>
      <c r="L9" s="18"/>
      <c r="M9" s="18"/>
      <c r="N9" s="17" t="s">
        <v>985</v>
      </c>
      <c r="O9" s="17"/>
      <c r="P9" s="17"/>
    </row>
    <row r="11" customFormat="false" ht="18" hidden="false" customHeight="true" outlineLevel="0" collapsed="false">
      <c r="B11" s="4" t="s">
        <v>986</v>
      </c>
      <c r="C11" s="4"/>
      <c r="D11" s="4"/>
      <c r="E11" s="4"/>
      <c r="F11" s="4"/>
      <c r="G11" s="4"/>
      <c r="H11" s="4"/>
      <c r="I11" s="4"/>
    </row>
    <row r="12" customFormat="false" ht="15" hidden="false" customHeight="true" outlineLevel="0" collapsed="false">
      <c r="K12" s="58" t="s">
        <v>987</v>
      </c>
      <c r="L12" s="58"/>
      <c r="M12" s="58"/>
      <c r="N12" s="58"/>
      <c r="O12" s="58"/>
      <c r="P12" s="58"/>
      <c r="Q12" s="58"/>
      <c r="R12" s="58"/>
    </row>
    <row r="13" customFormat="false" ht="15" hidden="false" customHeight="true" outlineLevel="0" collapsed="false">
      <c r="K13" s="59" t="s">
        <v>988</v>
      </c>
      <c r="L13" s="59"/>
      <c r="M13" s="59"/>
      <c r="N13" s="59"/>
      <c r="O13" s="59"/>
      <c r="P13" s="59"/>
      <c r="Q13" s="59"/>
      <c r="R13" s="59"/>
    </row>
    <row r="14" customFormat="false" ht="15" hidden="false" customHeight="true" outlineLevel="0" collapsed="false">
      <c r="K14" s="59" t="s">
        <v>989</v>
      </c>
      <c r="L14" s="59"/>
      <c r="M14" s="59"/>
      <c r="N14" s="59"/>
      <c r="O14" s="59"/>
      <c r="P14" s="59"/>
      <c r="Q14" s="59"/>
      <c r="R14" s="59"/>
    </row>
    <row r="15" customFormat="false" ht="15" hidden="false" customHeight="true" outlineLevel="0" collapsed="false">
      <c r="K15" s="59" t="s">
        <v>990</v>
      </c>
      <c r="L15" s="59"/>
      <c r="M15" s="59"/>
      <c r="N15" s="59"/>
      <c r="O15" s="59"/>
      <c r="P15" s="59"/>
      <c r="Q15" s="59"/>
      <c r="R15" s="59"/>
    </row>
    <row r="16" customFormat="false" ht="15" hidden="false" customHeight="true" outlineLevel="0" collapsed="false">
      <c r="K16" s="59" t="s">
        <v>991</v>
      </c>
      <c r="L16" s="59"/>
      <c r="M16" s="59"/>
      <c r="N16" s="59"/>
      <c r="O16" s="59"/>
      <c r="P16" s="59"/>
      <c r="Q16" s="59"/>
      <c r="R16" s="59"/>
    </row>
    <row r="17" customFormat="false" ht="15" hidden="false" customHeight="true" outlineLevel="0" collapsed="false">
      <c r="K17" s="59" t="s">
        <v>992</v>
      </c>
      <c r="L17" s="59"/>
      <c r="M17" s="59"/>
      <c r="N17" s="59"/>
      <c r="O17" s="59"/>
      <c r="P17" s="59"/>
      <c r="Q17" s="59"/>
      <c r="R17" s="59"/>
    </row>
    <row r="18" customFormat="false" ht="15" hidden="false" customHeight="true" outlineLevel="0" collapsed="false">
      <c r="K18" s="59" t="s">
        <v>993</v>
      </c>
      <c r="L18" s="59"/>
      <c r="M18" s="59"/>
      <c r="N18" s="59"/>
      <c r="O18" s="59"/>
      <c r="P18" s="59"/>
      <c r="Q18" s="59"/>
      <c r="R18" s="59"/>
    </row>
    <row r="19" customFormat="false" ht="15" hidden="false" customHeight="true" outlineLevel="0" collapsed="false">
      <c r="K19" s="59" t="s">
        <v>994</v>
      </c>
      <c r="L19" s="59"/>
      <c r="M19" s="59"/>
      <c r="N19" s="59"/>
      <c r="O19" s="59"/>
      <c r="P19" s="59"/>
      <c r="Q19" s="59"/>
      <c r="R19" s="59"/>
    </row>
    <row r="20" customFormat="false" ht="15" hidden="false" customHeight="true" outlineLevel="0" collapsed="false">
      <c r="K20" s="59" t="s">
        <v>995</v>
      </c>
      <c r="L20" s="59"/>
      <c r="M20" s="59"/>
      <c r="N20" s="59"/>
      <c r="O20" s="59"/>
      <c r="P20" s="59"/>
      <c r="Q20" s="59"/>
      <c r="R20" s="59"/>
    </row>
    <row r="21" customFormat="false" ht="15" hidden="false" customHeight="true" outlineLevel="0" collapsed="false">
      <c r="K21" s="59" t="s">
        <v>996</v>
      </c>
      <c r="L21" s="59"/>
      <c r="M21" s="59"/>
      <c r="N21" s="59"/>
      <c r="O21" s="59"/>
      <c r="P21" s="59"/>
      <c r="Q21" s="59"/>
      <c r="R21" s="59"/>
    </row>
    <row r="22" customFormat="false" ht="15" hidden="false" customHeight="true" outlineLevel="0" collapsed="false">
      <c r="K22" s="59" t="s">
        <v>997</v>
      </c>
      <c r="L22" s="59"/>
      <c r="M22" s="59"/>
      <c r="N22" s="59"/>
      <c r="O22" s="59"/>
      <c r="P22" s="59"/>
      <c r="Q22" s="59"/>
      <c r="R22" s="59"/>
    </row>
    <row r="23" customFormat="false" ht="15" hidden="false" customHeight="true" outlineLevel="0" collapsed="false">
      <c r="K23" s="59" t="s">
        <v>998</v>
      </c>
      <c r="L23" s="59"/>
      <c r="M23" s="59"/>
      <c r="N23" s="59"/>
      <c r="O23" s="59"/>
      <c r="P23" s="59"/>
      <c r="Q23" s="59"/>
      <c r="R23" s="59"/>
    </row>
    <row r="24" customFormat="false" ht="15" hidden="false" customHeight="true" outlineLevel="0" collapsed="false">
      <c r="K24" s="60" t="s">
        <v>999</v>
      </c>
      <c r="L24" s="60"/>
      <c r="M24" s="60"/>
      <c r="N24" s="60"/>
      <c r="O24" s="60"/>
      <c r="P24" s="60"/>
      <c r="Q24" s="60"/>
      <c r="R24" s="60"/>
    </row>
    <row r="30" customFormat="false" ht="18" hidden="false" customHeight="true" outlineLevel="0" collapsed="false">
      <c r="B30" s="4" t="s">
        <v>1000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customFormat="false" ht="21.75" hidden="false" customHeight="true" outlineLevel="0" collapsed="false">
      <c r="B31" s="40" t="s">
        <v>151</v>
      </c>
      <c r="C31" s="40"/>
      <c r="D31" s="40" t="s">
        <v>1001</v>
      </c>
      <c r="E31" s="40"/>
      <c r="F31" s="40"/>
      <c r="G31" s="25" t="s">
        <v>1002</v>
      </c>
      <c r="H31" s="25" t="s">
        <v>1003</v>
      </c>
      <c r="I31" s="25" t="s">
        <v>1004</v>
      </c>
      <c r="J31" s="40" t="s">
        <v>509</v>
      </c>
      <c r="K31" s="40"/>
      <c r="L31" s="40" t="s">
        <v>883</v>
      </c>
      <c r="M31" s="40"/>
      <c r="N31" s="25" t="s">
        <v>1005</v>
      </c>
      <c r="O31" s="25" t="s">
        <v>1006</v>
      </c>
      <c r="P31" s="25" t="s">
        <v>1007</v>
      </c>
    </row>
    <row r="32" customFormat="false" ht="15.75" hidden="false" customHeight="true" outlineLevel="0" collapsed="false">
      <c r="B32" s="8" t="s">
        <v>1008</v>
      </c>
      <c r="C32" s="8"/>
      <c r="D32" s="8" t="s">
        <v>1009</v>
      </c>
      <c r="E32" s="8"/>
      <c r="F32" s="8"/>
      <c r="G32" s="41" t="n">
        <v>12.4</v>
      </c>
      <c r="H32" s="42" t="n">
        <v>18.2</v>
      </c>
      <c r="I32" s="46" t="s">
        <v>1010</v>
      </c>
      <c r="J32" s="8" t="s">
        <v>546</v>
      </c>
      <c r="K32" s="8"/>
      <c r="L32" s="46" t="s">
        <v>413</v>
      </c>
      <c r="M32" s="46"/>
      <c r="N32" s="26" t="s">
        <v>1011</v>
      </c>
      <c r="O32" s="106" t="n">
        <v>2</v>
      </c>
      <c r="P32" s="56" t="s">
        <v>475</v>
      </c>
    </row>
    <row r="33" customFormat="false" ht="15.75" hidden="false" customHeight="true" outlineLevel="0" collapsed="false">
      <c r="B33" s="10" t="s">
        <v>1012</v>
      </c>
      <c r="C33" s="10"/>
      <c r="D33" s="10" t="s">
        <v>1013</v>
      </c>
      <c r="E33" s="10"/>
      <c r="F33" s="10"/>
      <c r="G33" s="44" t="n">
        <v>-23</v>
      </c>
      <c r="H33" s="78"/>
      <c r="I33" s="46" t="s">
        <v>1014</v>
      </c>
      <c r="J33" s="10" t="s">
        <v>514</v>
      </c>
      <c r="K33" s="10"/>
      <c r="L33" s="43" t="s">
        <v>407</v>
      </c>
      <c r="M33" s="43"/>
      <c r="N33" s="29" t="s">
        <v>1015</v>
      </c>
      <c r="O33" s="107" t="n">
        <v>6</v>
      </c>
      <c r="P33" s="43" t="s">
        <v>470</v>
      </c>
    </row>
    <row r="34" customFormat="false" ht="15.75" hidden="false" customHeight="true" outlineLevel="0" collapsed="false">
      <c r="B34" s="8" t="s">
        <v>1016</v>
      </c>
      <c r="C34" s="8"/>
      <c r="D34" s="8" t="s">
        <v>1017</v>
      </c>
      <c r="E34" s="8"/>
      <c r="F34" s="8"/>
      <c r="G34" s="41" t="n">
        <v>24.5</v>
      </c>
      <c r="H34" s="42" t="n">
        <v>28.8</v>
      </c>
      <c r="I34" s="46" t="s">
        <v>1010</v>
      </c>
      <c r="J34" s="8" t="s">
        <v>839</v>
      </c>
      <c r="K34" s="8"/>
      <c r="L34" s="47" t="s">
        <v>424</v>
      </c>
      <c r="M34" s="47"/>
      <c r="N34" s="26" t="s">
        <v>1018</v>
      </c>
      <c r="O34" s="106" t="n">
        <v>0</v>
      </c>
      <c r="P34" s="56" t="s">
        <v>475</v>
      </c>
    </row>
    <row r="35" customFormat="false" ht="15.75" hidden="false" customHeight="true" outlineLevel="0" collapsed="false">
      <c r="B35" s="10" t="s">
        <v>1019</v>
      </c>
      <c r="C35" s="10"/>
      <c r="D35" s="10" t="s">
        <v>1020</v>
      </c>
      <c r="E35" s="10"/>
      <c r="F35" s="10"/>
      <c r="G35" s="44" t="n">
        <v>13</v>
      </c>
      <c r="H35" s="45" t="n">
        <v>27.1</v>
      </c>
      <c r="I35" s="46" t="s">
        <v>1010</v>
      </c>
      <c r="J35" s="10" t="s">
        <v>615</v>
      </c>
      <c r="K35" s="10"/>
      <c r="L35" s="47" t="s">
        <v>424</v>
      </c>
      <c r="M35" s="47"/>
      <c r="N35" s="29" t="s">
        <v>1018</v>
      </c>
      <c r="O35" s="107" t="n">
        <v>0</v>
      </c>
      <c r="P35" s="56" t="s">
        <v>475</v>
      </c>
    </row>
    <row r="36" customFormat="false" ht="15.75" hidden="false" customHeight="true" outlineLevel="0" collapsed="false">
      <c r="B36" s="8" t="s">
        <v>1021</v>
      </c>
      <c r="C36" s="8"/>
      <c r="D36" s="8" t="s">
        <v>1022</v>
      </c>
      <c r="E36" s="8"/>
      <c r="F36" s="8"/>
      <c r="G36" s="41" t="n">
        <v>-4.2</v>
      </c>
      <c r="H36" s="77"/>
      <c r="I36" s="46" t="s">
        <v>1023</v>
      </c>
      <c r="J36" s="8" t="s">
        <v>514</v>
      </c>
      <c r="K36" s="8"/>
      <c r="L36" s="46" t="s">
        <v>420</v>
      </c>
      <c r="M36" s="46"/>
      <c r="N36" s="26" t="s">
        <v>1024</v>
      </c>
      <c r="O36" s="106" t="n">
        <v>1</v>
      </c>
      <c r="P36" s="56" t="s">
        <v>475</v>
      </c>
    </row>
    <row r="37" customFormat="false" ht="15.75" hidden="false" customHeight="true" outlineLevel="0" collapsed="false">
      <c r="B37" s="10" t="s">
        <v>1025</v>
      </c>
      <c r="C37" s="10"/>
      <c r="D37" s="10" t="s">
        <v>1026</v>
      </c>
      <c r="E37" s="10"/>
      <c r="F37" s="10"/>
      <c r="G37" s="44" t="n">
        <v>6.1</v>
      </c>
      <c r="H37" s="45" t="n">
        <v>11.4</v>
      </c>
      <c r="I37" s="46" t="s">
        <v>1010</v>
      </c>
      <c r="J37" s="10" t="s">
        <v>615</v>
      </c>
      <c r="K37" s="10"/>
      <c r="L37" s="46" t="s">
        <v>420</v>
      </c>
      <c r="M37" s="46"/>
      <c r="N37" s="29" t="s">
        <v>1024</v>
      </c>
      <c r="O37" s="107" t="n">
        <v>1</v>
      </c>
      <c r="P37" s="56" t="s">
        <v>475</v>
      </c>
    </row>
    <row r="38" customFormat="false" ht="15.75" hidden="false" customHeight="true" outlineLevel="0" collapsed="false">
      <c r="B38" s="8" t="s">
        <v>1027</v>
      </c>
      <c r="C38" s="8"/>
      <c r="D38" s="8" t="s">
        <v>1028</v>
      </c>
      <c r="E38" s="8"/>
      <c r="F38" s="8"/>
      <c r="G38" s="41" t="n">
        <v>9</v>
      </c>
      <c r="H38" s="77"/>
      <c r="I38" s="46" t="s">
        <v>1014</v>
      </c>
      <c r="J38" s="8" t="s">
        <v>514</v>
      </c>
      <c r="K38" s="8"/>
      <c r="L38" s="43" t="s">
        <v>407</v>
      </c>
      <c r="M38" s="43"/>
      <c r="N38" s="26" t="s">
        <v>1029</v>
      </c>
      <c r="O38" s="106" t="n">
        <v>8</v>
      </c>
      <c r="P38" s="43" t="s">
        <v>470</v>
      </c>
    </row>
    <row r="39" customFormat="false" ht="15.75" hidden="false" customHeight="true" outlineLevel="0" collapsed="false">
      <c r="B39" s="10" t="s">
        <v>1030</v>
      </c>
      <c r="C39" s="10"/>
      <c r="D39" s="10" t="s">
        <v>1031</v>
      </c>
      <c r="E39" s="10"/>
      <c r="F39" s="10"/>
      <c r="G39" s="44" t="n">
        <v>-1.5</v>
      </c>
      <c r="H39" s="78"/>
      <c r="I39" s="56" t="s">
        <v>475</v>
      </c>
      <c r="J39" s="10" t="s">
        <v>890</v>
      </c>
      <c r="K39" s="10"/>
      <c r="L39" s="43" t="s">
        <v>407</v>
      </c>
      <c r="M39" s="43"/>
      <c r="N39" s="29" t="s">
        <v>1032</v>
      </c>
      <c r="O39" s="107" t="n">
        <v>9</v>
      </c>
      <c r="P39" s="43" t="s">
        <v>470</v>
      </c>
    </row>
    <row r="41" customFormat="false" ht="15" hidden="false" customHeight="false" outlineLevel="0" collapsed="false">
      <c r="B41" s="23" t="s">
        <v>1033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</row>
  </sheetData>
  <mergeCells count="75">
    <mergeCell ref="B2:Q2"/>
    <mergeCell ref="R2:S2"/>
    <mergeCell ref="B3:S3"/>
    <mergeCell ref="B5:C5"/>
    <mergeCell ref="D5:E5"/>
    <mergeCell ref="F5:G5"/>
    <mergeCell ref="H5:J5"/>
    <mergeCell ref="K5:M5"/>
    <mergeCell ref="B7:D7"/>
    <mergeCell ref="E7:G7"/>
    <mergeCell ref="H7:J7"/>
    <mergeCell ref="K7:M7"/>
    <mergeCell ref="N7:P7"/>
    <mergeCell ref="B8:D8"/>
    <mergeCell ref="E8:G8"/>
    <mergeCell ref="H8:J8"/>
    <mergeCell ref="K8:M8"/>
    <mergeCell ref="N8:P8"/>
    <mergeCell ref="B9:D9"/>
    <mergeCell ref="E9:G9"/>
    <mergeCell ref="H9:J9"/>
    <mergeCell ref="K9:M9"/>
    <mergeCell ref="N9:P9"/>
    <mergeCell ref="B11:I11"/>
    <mergeCell ref="K12:R12"/>
    <mergeCell ref="K13:R13"/>
    <mergeCell ref="K14:R14"/>
    <mergeCell ref="K15:R15"/>
    <mergeCell ref="K16:R16"/>
    <mergeCell ref="K17:R17"/>
    <mergeCell ref="K18:R18"/>
    <mergeCell ref="K19:R19"/>
    <mergeCell ref="K20:R20"/>
    <mergeCell ref="K21:R21"/>
    <mergeCell ref="K22:R22"/>
    <mergeCell ref="K23:R23"/>
    <mergeCell ref="K24:R24"/>
    <mergeCell ref="B30:P30"/>
    <mergeCell ref="B31:C31"/>
    <mergeCell ref="D31:F31"/>
    <mergeCell ref="J31:K31"/>
    <mergeCell ref="L31:M31"/>
    <mergeCell ref="B32:C32"/>
    <mergeCell ref="D32:F32"/>
    <mergeCell ref="J32:K32"/>
    <mergeCell ref="L32:M32"/>
    <mergeCell ref="B33:C33"/>
    <mergeCell ref="D33:F33"/>
    <mergeCell ref="J33:K33"/>
    <mergeCell ref="L33:M33"/>
    <mergeCell ref="B34:C34"/>
    <mergeCell ref="D34:F34"/>
    <mergeCell ref="J34:K34"/>
    <mergeCell ref="L34:M34"/>
    <mergeCell ref="B35:C35"/>
    <mergeCell ref="D35:F35"/>
    <mergeCell ref="J35:K35"/>
    <mergeCell ref="L35:M35"/>
    <mergeCell ref="B36:C36"/>
    <mergeCell ref="D36:F36"/>
    <mergeCell ref="J36:K36"/>
    <mergeCell ref="L36:M36"/>
    <mergeCell ref="B37:C37"/>
    <mergeCell ref="D37:F37"/>
    <mergeCell ref="J37:K37"/>
    <mergeCell ref="L37:M37"/>
    <mergeCell ref="B38:C38"/>
    <mergeCell ref="D38:F38"/>
    <mergeCell ref="J38:K38"/>
    <mergeCell ref="L38:M38"/>
    <mergeCell ref="B39:C39"/>
    <mergeCell ref="D39:F39"/>
    <mergeCell ref="J39:K39"/>
    <mergeCell ref="L39:M39"/>
    <mergeCell ref="B41:S41"/>
  </mergeCells>
  <hyperlinks>
    <hyperlink ref="R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G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42"/>
    <col collapsed="false" customWidth="true" hidden="false" outlineLevel="0" max="4" min="4" style="0" width="48"/>
    <col collapsed="false" customWidth="true" hidden="false" outlineLevel="0" max="5" min="5" style="0" width="26"/>
    <col collapsed="false" customWidth="true" hidden="false" outlineLevel="0" max="6" min="6" style="0" width="10"/>
    <col collapsed="false" customWidth="true" hidden="false" outlineLevel="0" max="7" min="7" style="0" width="20"/>
  </cols>
  <sheetData>
    <row r="2" customFormat="false" ht="27.75" hidden="false" customHeight="true" outlineLevel="0" collapsed="false">
      <c r="B2" s="24" t="s">
        <v>1034</v>
      </c>
      <c r="C2" s="24"/>
      <c r="D2" s="24"/>
      <c r="E2" s="24"/>
      <c r="F2" s="2" t="s">
        <v>1</v>
      </c>
      <c r="G2" s="2"/>
    </row>
    <row r="3" customFormat="false" ht="15" hidden="false" customHeight="true" outlineLevel="0" collapsed="false">
      <c r="B3" s="3" t="s">
        <v>1035</v>
      </c>
      <c r="C3" s="3"/>
      <c r="D3" s="3"/>
      <c r="E3" s="3"/>
      <c r="F3" s="3"/>
      <c r="G3" s="3"/>
    </row>
    <row r="5" customFormat="false" ht="21.75" hidden="false" customHeight="true" outlineLevel="0" collapsed="false">
      <c r="B5" s="25" t="s">
        <v>1036</v>
      </c>
      <c r="C5" s="25" t="s">
        <v>1037</v>
      </c>
      <c r="D5" s="25" t="s">
        <v>1038</v>
      </c>
      <c r="E5" s="25" t="s">
        <v>1039</v>
      </c>
      <c r="F5" s="25" t="s">
        <v>1040</v>
      </c>
      <c r="G5" s="25" t="s">
        <v>1041</v>
      </c>
    </row>
    <row r="6" customFormat="false" ht="17.25" hidden="false" customHeight="true" outlineLevel="0" collapsed="false">
      <c r="B6" s="28" t="s">
        <v>379</v>
      </c>
      <c r="C6" s="28" t="s">
        <v>1042</v>
      </c>
      <c r="D6" s="28" t="s">
        <v>1043</v>
      </c>
      <c r="E6" s="28" t="s">
        <v>1044</v>
      </c>
      <c r="F6" s="26" t="s">
        <v>1045</v>
      </c>
      <c r="G6" s="28" t="s">
        <v>1046</v>
      </c>
    </row>
    <row r="7" customFormat="false" ht="17.25" hidden="false" customHeight="true" outlineLevel="0" collapsed="false">
      <c r="B7" s="31" t="s">
        <v>1047</v>
      </c>
      <c r="C7" s="31" t="s">
        <v>1048</v>
      </c>
      <c r="D7" s="31" t="s">
        <v>1049</v>
      </c>
      <c r="E7" s="31" t="s">
        <v>1050</v>
      </c>
      <c r="F7" s="29" t="s">
        <v>1045</v>
      </c>
      <c r="G7" s="31" t="s">
        <v>1046</v>
      </c>
    </row>
    <row r="8" customFormat="false" ht="17.25" hidden="false" customHeight="true" outlineLevel="0" collapsed="false">
      <c r="B8" s="28" t="s">
        <v>875</v>
      </c>
      <c r="C8" s="28" t="s">
        <v>1051</v>
      </c>
      <c r="D8" s="28" t="s">
        <v>1052</v>
      </c>
      <c r="E8" s="28" t="s">
        <v>864</v>
      </c>
      <c r="F8" s="26" t="s">
        <v>1045</v>
      </c>
      <c r="G8" s="28" t="s">
        <v>1053</v>
      </c>
    </row>
    <row r="9" customFormat="false" ht="17.25" hidden="false" customHeight="true" outlineLevel="0" collapsed="false">
      <c r="B9" s="31" t="s">
        <v>1054</v>
      </c>
      <c r="C9" s="31" t="s">
        <v>1055</v>
      </c>
      <c r="D9" s="31" t="s">
        <v>1056</v>
      </c>
      <c r="E9" s="31" t="s">
        <v>1057</v>
      </c>
      <c r="F9" s="29" t="s">
        <v>1045</v>
      </c>
      <c r="G9" s="31" t="s">
        <v>1058</v>
      </c>
    </row>
    <row r="10" customFormat="false" ht="17.25" hidden="false" customHeight="true" outlineLevel="0" collapsed="false">
      <c r="B10" s="28" t="s">
        <v>1059</v>
      </c>
      <c r="C10" s="28" t="s">
        <v>1060</v>
      </c>
      <c r="D10" s="28" t="s">
        <v>1061</v>
      </c>
      <c r="E10" s="28" t="s">
        <v>1062</v>
      </c>
      <c r="F10" s="26" t="s">
        <v>1045</v>
      </c>
      <c r="G10" s="28" t="s">
        <v>1046</v>
      </c>
    </row>
    <row r="11" customFormat="false" ht="17.25" hidden="false" customHeight="true" outlineLevel="0" collapsed="false">
      <c r="B11" s="31" t="s">
        <v>463</v>
      </c>
      <c r="C11" s="31" t="s">
        <v>1063</v>
      </c>
      <c r="D11" s="31" t="s">
        <v>1064</v>
      </c>
      <c r="E11" s="31" t="s">
        <v>1062</v>
      </c>
      <c r="F11" s="29" t="s">
        <v>1065</v>
      </c>
      <c r="G11" s="31" t="s">
        <v>1046</v>
      </c>
    </row>
    <row r="12" customFormat="false" ht="17.25" hidden="false" customHeight="true" outlineLevel="0" collapsed="false">
      <c r="B12" s="28" t="s">
        <v>1066</v>
      </c>
      <c r="C12" s="28" t="s">
        <v>1067</v>
      </c>
      <c r="D12" s="28" t="s">
        <v>1068</v>
      </c>
      <c r="E12" s="28" t="s">
        <v>1062</v>
      </c>
      <c r="F12" s="26" t="s">
        <v>1045</v>
      </c>
      <c r="G12" s="28" t="s">
        <v>170</v>
      </c>
    </row>
    <row r="13" customFormat="false" ht="30" hidden="false" customHeight="true" outlineLevel="0" collapsed="false">
      <c r="B13" s="31" t="s">
        <v>1069</v>
      </c>
      <c r="C13" s="31" t="s">
        <v>1070</v>
      </c>
      <c r="D13" s="31" t="s">
        <v>1071</v>
      </c>
      <c r="E13" s="31" t="s">
        <v>713</v>
      </c>
      <c r="F13" s="29" t="s">
        <v>1072</v>
      </c>
      <c r="G13" s="31" t="s">
        <v>1073</v>
      </c>
    </row>
    <row r="14" customFormat="false" ht="30" hidden="false" customHeight="true" outlineLevel="0" collapsed="false">
      <c r="B14" s="28" t="s">
        <v>1074</v>
      </c>
      <c r="C14" s="28" t="s">
        <v>1075</v>
      </c>
      <c r="D14" s="28" t="s">
        <v>1076</v>
      </c>
      <c r="E14" s="28" t="s">
        <v>1077</v>
      </c>
      <c r="F14" s="26" t="s">
        <v>1078</v>
      </c>
      <c r="G14" s="28" t="s">
        <v>1073</v>
      </c>
    </row>
    <row r="15" customFormat="false" ht="17.25" hidden="false" customHeight="true" outlineLevel="0" collapsed="false">
      <c r="B15" s="31" t="s">
        <v>1079</v>
      </c>
      <c r="C15" s="31" t="s">
        <v>1080</v>
      </c>
      <c r="D15" s="31" t="s">
        <v>1081</v>
      </c>
      <c r="E15" s="31" t="s">
        <v>1082</v>
      </c>
      <c r="F15" s="29" t="s">
        <v>1078</v>
      </c>
      <c r="G15" s="31" t="s">
        <v>1083</v>
      </c>
    </row>
    <row r="16" customFormat="false" ht="17.25" hidden="false" customHeight="true" outlineLevel="0" collapsed="false">
      <c r="B16" s="28" t="s">
        <v>1084</v>
      </c>
      <c r="C16" s="28" t="s">
        <v>1085</v>
      </c>
      <c r="D16" s="28" t="s">
        <v>1086</v>
      </c>
      <c r="E16" s="28" t="s">
        <v>1087</v>
      </c>
      <c r="F16" s="26" t="s">
        <v>1065</v>
      </c>
      <c r="G16" s="28" t="s">
        <v>1088</v>
      </c>
    </row>
    <row r="17" customFormat="false" ht="30" hidden="false" customHeight="true" outlineLevel="0" collapsed="false">
      <c r="B17" s="31" t="s">
        <v>1089</v>
      </c>
      <c r="C17" s="31" t="s">
        <v>1090</v>
      </c>
      <c r="D17" s="31" t="s">
        <v>1091</v>
      </c>
      <c r="E17" s="31" t="s">
        <v>1083</v>
      </c>
      <c r="F17" s="29" t="s">
        <v>1045</v>
      </c>
      <c r="G17" s="31" t="s">
        <v>189</v>
      </c>
    </row>
    <row r="18" customFormat="false" ht="30" hidden="false" customHeight="true" outlineLevel="0" collapsed="false">
      <c r="B18" s="28" t="s">
        <v>1092</v>
      </c>
      <c r="C18" s="28" t="s">
        <v>1093</v>
      </c>
      <c r="D18" s="28" t="s">
        <v>1094</v>
      </c>
      <c r="E18" s="28" t="s">
        <v>1083</v>
      </c>
      <c r="F18" s="26" t="s">
        <v>1045</v>
      </c>
      <c r="G18" s="28" t="s">
        <v>189</v>
      </c>
    </row>
    <row r="19" customFormat="false" ht="30" hidden="false" customHeight="true" outlineLevel="0" collapsed="false">
      <c r="B19" s="31" t="s">
        <v>1095</v>
      </c>
      <c r="C19" s="31" t="s">
        <v>1096</v>
      </c>
      <c r="D19" s="31" t="s">
        <v>1097</v>
      </c>
      <c r="E19" s="31" t="s">
        <v>1083</v>
      </c>
      <c r="F19" s="29" t="s">
        <v>1045</v>
      </c>
      <c r="G19" s="31" t="s">
        <v>189</v>
      </c>
    </row>
    <row r="20" customFormat="false" ht="30" hidden="false" customHeight="true" outlineLevel="0" collapsed="false">
      <c r="B20" s="28" t="s">
        <v>1098</v>
      </c>
      <c r="C20" s="28" t="s">
        <v>1099</v>
      </c>
      <c r="D20" s="28" t="s">
        <v>1100</v>
      </c>
      <c r="E20" s="28" t="s">
        <v>1101</v>
      </c>
      <c r="F20" s="26" t="s">
        <v>1045</v>
      </c>
      <c r="G20" s="28" t="s">
        <v>212</v>
      </c>
    </row>
    <row r="21" customFormat="false" ht="30" hidden="false" customHeight="true" outlineLevel="0" collapsed="false">
      <c r="B21" s="31" t="s">
        <v>1102</v>
      </c>
      <c r="C21" s="31" t="s">
        <v>1103</v>
      </c>
      <c r="D21" s="31" t="s">
        <v>649</v>
      </c>
      <c r="E21" s="31" t="s">
        <v>1083</v>
      </c>
      <c r="F21" s="29" t="s">
        <v>1045</v>
      </c>
      <c r="G21" s="31" t="s">
        <v>189</v>
      </c>
    </row>
    <row r="22" customFormat="false" ht="17.25" hidden="false" customHeight="true" outlineLevel="0" collapsed="false">
      <c r="B22" s="28" t="s">
        <v>1104</v>
      </c>
      <c r="C22" s="28" t="s">
        <v>1105</v>
      </c>
      <c r="D22" s="28" t="s">
        <v>1106</v>
      </c>
      <c r="E22" s="28" t="s">
        <v>1083</v>
      </c>
      <c r="F22" s="26" t="s">
        <v>1045</v>
      </c>
      <c r="G22" s="28" t="s">
        <v>189</v>
      </c>
    </row>
    <row r="23" customFormat="false" ht="30" hidden="false" customHeight="true" outlineLevel="0" collapsed="false">
      <c r="B23" s="31" t="s">
        <v>1107</v>
      </c>
      <c r="C23" s="31" t="s">
        <v>1108</v>
      </c>
      <c r="D23" s="31" t="s">
        <v>1109</v>
      </c>
      <c r="E23" s="31" t="s">
        <v>1083</v>
      </c>
      <c r="F23" s="29" t="s">
        <v>1045</v>
      </c>
      <c r="G23" s="31" t="s">
        <v>189</v>
      </c>
    </row>
    <row r="24" customFormat="false" ht="30" hidden="false" customHeight="true" outlineLevel="0" collapsed="false">
      <c r="B24" s="28" t="s">
        <v>1110</v>
      </c>
      <c r="C24" s="28" t="s">
        <v>1111</v>
      </c>
      <c r="D24" s="28" t="s">
        <v>1112</v>
      </c>
      <c r="E24" s="28" t="s">
        <v>1113</v>
      </c>
      <c r="F24" s="26" t="s">
        <v>1045</v>
      </c>
      <c r="G24" s="28" t="s">
        <v>189</v>
      </c>
    </row>
    <row r="25" customFormat="false" ht="17.25" hidden="false" customHeight="true" outlineLevel="0" collapsed="false">
      <c r="B25" s="31" t="s">
        <v>1114</v>
      </c>
      <c r="C25" s="31" t="s">
        <v>1115</v>
      </c>
      <c r="D25" s="31" t="s">
        <v>1116</v>
      </c>
      <c r="E25" s="31" t="s">
        <v>1117</v>
      </c>
      <c r="F25" s="29" t="s">
        <v>1045</v>
      </c>
      <c r="G25" s="31" t="s">
        <v>212</v>
      </c>
    </row>
    <row r="26" customFormat="false" ht="30" hidden="false" customHeight="true" outlineLevel="0" collapsed="false">
      <c r="B26" s="28" t="s">
        <v>788</v>
      </c>
      <c r="C26" s="28" t="s">
        <v>1118</v>
      </c>
      <c r="D26" s="28" t="s">
        <v>1119</v>
      </c>
      <c r="E26" s="28" t="s">
        <v>1101</v>
      </c>
      <c r="F26" s="26" t="s">
        <v>1045</v>
      </c>
      <c r="G26" s="28" t="s">
        <v>212</v>
      </c>
    </row>
    <row r="27" customFormat="false" ht="30" hidden="false" customHeight="true" outlineLevel="0" collapsed="false">
      <c r="B27" s="31" t="s">
        <v>1120</v>
      </c>
      <c r="C27" s="31" t="s">
        <v>1121</v>
      </c>
      <c r="D27" s="31" t="s">
        <v>1122</v>
      </c>
      <c r="E27" s="31" t="s">
        <v>1123</v>
      </c>
      <c r="F27" s="29" t="s">
        <v>1045</v>
      </c>
      <c r="G27" s="31" t="s">
        <v>212</v>
      </c>
    </row>
    <row r="28" customFormat="false" ht="30" hidden="false" customHeight="true" outlineLevel="0" collapsed="false">
      <c r="B28" s="28" t="s">
        <v>1124</v>
      </c>
      <c r="C28" s="28" t="s">
        <v>1125</v>
      </c>
      <c r="D28" s="28" t="s">
        <v>1126</v>
      </c>
      <c r="E28" s="28" t="s">
        <v>1127</v>
      </c>
      <c r="F28" s="26" t="s">
        <v>1045</v>
      </c>
      <c r="G28" s="28" t="s">
        <v>212</v>
      </c>
    </row>
    <row r="29" customFormat="false" ht="17.25" hidden="false" customHeight="true" outlineLevel="0" collapsed="false">
      <c r="B29" s="31" t="s">
        <v>1128</v>
      </c>
      <c r="C29" s="31" t="s">
        <v>1129</v>
      </c>
      <c r="D29" s="31" t="s">
        <v>1130</v>
      </c>
      <c r="E29" s="31" t="s">
        <v>1127</v>
      </c>
      <c r="F29" s="29" t="s">
        <v>1045</v>
      </c>
      <c r="G29" s="31" t="s">
        <v>204</v>
      </c>
    </row>
    <row r="30" customFormat="false" ht="17.25" hidden="false" customHeight="true" outlineLevel="0" collapsed="false">
      <c r="B30" s="28" t="s">
        <v>410</v>
      </c>
      <c r="C30" s="28" t="s">
        <v>1131</v>
      </c>
      <c r="D30" s="28" t="s">
        <v>1132</v>
      </c>
      <c r="E30" s="28" t="s">
        <v>1083</v>
      </c>
      <c r="F30" s="26" t="s">
        <v>1045</v>
      </c>
      <c r="G30" s="28" t="s">
        <v>189</v>
      </c>
    </row>
    <row r="31" customFormat="false" ht="17.25" hidden="false" customHeight="true" outlineLevel="0" collapsed="false">
      <c r="B31" s="31" t="s">
        <v>1133</v>
      </c>
      <c r="C31" s="31" t="s">
        <v>1134</v>
      </c>
      <c r="D31" s="31" t="s">
        <v>1135</v>
      </c>
      <c r="E31" s="31" t="s">
        <v>1136</v>
      </c>
      <c r="F31" s="29" t="s">
        <v>1045</v>
      </c>
      <c r="G31" s="31" t="s">
        <v>220</v>
      </c>
    </row>
    <row r="32" customFormat="false" ht="30" hidden="false" customHeight="true" outlineLevel="0" collapsed="false">
      <c r="B32" s="28" t="s">
        <v>1137</v>
      </c>
      <c r="C32" s="28" t="s">
        <v>1138</v>
      </c>
      <c r="D32" s="28" t="s">
        <v>1139</v>
      </c>
      <c r="E32" s="28" t="s">
        <v>1136</v>
      </c>
      <c r="F32" s="26" t="s">
        <v>1065</v>
      </c>
      <c r="G32" s="28" t="s">
        <v>220</v>
      </c>
    </row>
    <row r="33" customFormat="false" ht="17.25" hidden="false" customHeight="true" outlineLevel="0" collapsed="false">
      <c r="B33" s="31" t="s">
        <v>1140</v>
      </c>
      <c r="C33" s="31" t="s">
        <v>1141</v>
      </c>
      <c r="D33" s="31" t="s">
        <v>1142</v>
      </c>
      <c r="E33" s="31" t="s">
        <v>1143</v>
      </c>
      <c r="F33" s="29" t="s">
        <v>1065</v>
      </c>
      <c r="G33" s="31" t="s">
        <v>1144</v>
      </c>
    </row>
    <row r="34" customFormat="false" ht="17.25" hidden="false" customHeight="true" outlineLevel="0" collapsed="false">
      <c r="B34" s="28" t="s">
        <v>1145</v>
      </c>
      <c r="C34" s="28" t="s">
        <v>1146</v>
      </c>
      <c r="D34" s="28" t="s">
        <v>1147</v>
      </c>
      <c r="E34" s="28" t="s">
        <v>1148</v>
      </c>
      <c r="F34" s="26" t="s">
        <v>1149</v>
      </c>
      <c r="G34" s="28" t="s">
        <v>1150</v>
      </c>
    </row>
    <row r="35" customFormat="false" ht="17.25" hidden="false" customHeight="true" outlineLevel="0" collapsed="false">
      <c r="B35" s="31" t="s">
        <v>1151</v>
      </c>
      <c r="C35" s="31" t="s">
        <v>1152</v>
      </c>
      <c r="D35" s="31" t="s">
        <v>1153</v>
      </c>
      <c r="E35" s="31" t="s">
        <v>1154</v>
      </c>
      <c r="F35" s="29" t="s">
        <v>1155</v>
      </c>
      <c r="G35" s="31" t="s">
        <v>227</v>
      </c>
    </row>
    <row r="36" customFormat="false" ht="30" hidden="false" customHeight="true" outlineLevel="0" collapsed="false">
      <c r="B36" s="28" t="s">
        <v>1156</v>
      </c>
      <c r="C36" s="28" t="s">
        <v>1157</v>
      </c>
      <c r="D36" s="28" t="s">
        <v>1158</v>
      </c>
      <c r="E36" s="28" t="s">
        <v>1159</v>
      </c>
      <c r="F36" s="26" t="s">
        <v>1160</v>
      </c>
      <c r="G36" s="28" t="s">
        <v>1161</v>
      </c>
    </row>
    <row r="37" customFormat="false" ht="17.25" hidden="false" customHeight="true" outlineLevel="0" collapsed="false">
      <c r="B37" s="31" t="s">
        <v>1162</v>
      </c>
      <c r="C37" s="31" t="s">
        <v>1163</v>
      </c>
      <c r="D37" s="31" t="s">
        <v>1164</v>
      </c>
      <c r="E37" s="31" t="s">
        <v>1143</v>
      </c>
      <c r="F37" s="29" t="s">
        <v>1165</v>
      </c>
      <c r="G37" s="31" t="s">
        <v>234</v>
      </c>
    </row>
    <row r="38" customFormat="false" ht="17.25" hidden="false" customHeight="true" outlineLevel="0" collapsed="false">
      <c r="B38" s="28" t="s">
        <v>1166</v>
      </c>
      <c r="C38" s="28" t="s">
        <v>1167</v>
      </c>
      <c r="D38" s="28" t="s">
        <v>1168</v>
      </c>
      <c r="E38" s="28" t="s">
        <v>1169</v>
      </c>
      <c r="F38" s="26" t="s">
        <v>1045</v>
      </c>
      <c r="G38" s="28" t="s">
        <v>1170</v>
      </c>
    </row>
    <row r="39" customFormat="false" ht="42" hidden="false" customHeight="true" outlineLevel="0" collapsed="false">
      <c r="B39" s="31" t="s">
        <v>1171</v>
      </c>
      <c r="C39" s="31" t="s">
        <v>1172</v>
      </c>
      <c r="D39" s="31" t="s">
        <v>1173</v>
      </c>
      <c r="E39" s="31" t="s">
        <v>1174</v>
      </c>
      <c r="F39" s="29" t="s">
        <v>1045</v>
      </c>
      <c r="G39" s="31" t="s">
        <v>1175</v>
      </c>
    </row>
    <row r="40" customFormat="false" ht="30" hidden="false" customHeight="true" outlineLevel="0" collapsed="false">
      <c r="B40" s="28" t="s">
        <v>1176</v>
      </c>
      <c r="C40" s="28" t="s">
        <v>1177</v>
      </c>
      <c r="D40" s="28" t="s">
        <v>1178</v>
      </c>
      <c r="E40" s="28" t="s">
        <v>1113</v>
      </c>
      <c r="F40" s="26" t="s">
        <v>1045</v>
      </c>
      <c r="G40" s="28" t="s">
        <v>1179</v>
      </c>
    </row>
    <row r="41" customFormat="false" ht="42" hidden="false" customHeight="true" outlineLevel="0" collapsed="false">
      <c r="B41" s="31" t="s">
        <v>1180</v>
      </c>
      <c r="C41" s="31" t="s">
        <v>1181</v>
      </c>
      <c r="D41" s="31" t="s">
        <v>1182</v>
      </c>
      <c r="E41" s="31" t="s">
        <v>1183</v>
      </c>
      <c r="F41" s="29" t="s">
        <v>1045</v>
      </c>
      <c r="G41" s="31" t="s">
        <v>1184</v>
      </c>
    </row>
    <row r="42" customFormat="false" ht="30" hidden="false" customHeight="true" outlineLevel="0" collapsed="false">
      <c r="B42" s="28" t="s">
        <v>1185</v>
      </c>
      <c r="C42" s="28" t="s">
        <v>1090</v>
      </c>
      <c r="D42" s="28" t="s">
        <v>1091</v>
      </c>
      <c r="E42" s="28" t="s">
        <v>1083</v>
      </c>
      <c r="F42" s="26" t="s">
        <v>1045</v>
      </c>
      <c r="G42" s="28" t="s">
        <v>1186</v>
      </c>
    </row>
    <row r="43" customFormat="false" ht="30" hidden="false" customHeight="true" outlineLevel="0" collapsed="false">
      <c r="B43" s="31" t="s">
        <v>1187</v>
      </c>
      <c r="C43" s="31" t="s">
        <v>1096</v>
      </c>
      <c r="D43" s="31" t="s">
        <v>1097</v>
      </c>
      <c r="E43" s="31" t="s">
        <v>1083</v>
      </c>
      <c r="F43" s="29" t="s">
        <v>1045</v>
      </c>
      <c r="G43" s="31" t="s">
        <v>1188</v>
      </c>
    </row>
    <row r="45" customFormat="false" ht="15" hidden="false" customHeight="false" outlineLevel="0" collapsed="false">
      <c r="B45" s="22" t="s">
        <v>1189</v>
      </c>
      <c r="C45" s="22"/>
      <c r="D45" s="22"/>
      <c r="E45" s="22"/>
      <c r="F45" s="22"/>
      <c r="G45" s="22"/>
    </row>
    <row r="46" customFormat="false" ht="15" hidden="false" customHeight="false" outlineLevel="0" collapsed="false">
      <c r="B46" s="22" t="s">
        <v>1190</v>
      </c>
      <c r="C46" s="22"/>
      <c r="D46" s="22"/>
      <c r="E46" s="22"/>
      <c r="F46" s="22"/>
      <c r="G46" s="22"/>
    </row>
    <row r="47" customFormat="false" ht="15" hidden="false" customHeight="false" outlineLevel="0" collapsed="false">
      <c r="B47" s="22" t="s">
        <v>1191</v>
      </c>
      <c r="C47" s="22"/>
      <c r="D47" s="22"/>
      <c r="E47" s="22"/>
      <c r="F47" s="22"/>
      <c r="G47" s="22"/>
    </row>
    <row r="48" customFormat="false" ht="15" hidden="false" customHeight="false" outlineLevel="0" collapsed="false">
      <c r="B48" s="22" t="s">
        <v>1192</v>
      </c>
      <c r="C48" s="22"/>
      <c r="D48" s="22"/>
      <c r="E48" s="22"/>
      <c r="F48" s="22"/>
      <c r="G48" s="22"/>
    </row>
    <row r="50" customFormat="false" ht="15" hidden="false" customHeight="false" outlineLevel="0" collapsed="false">
      <c r="B50" s="23" t="s">
        <v>1193</v>
      </c>
      <c r="C50" s="23"/>
      <c r="D50" s="23"/>
      <c r="E50" s="23"/>
      <c r="F50" s="23"/>
      <c r="G50" s="23"/>
    </row>
  </sheetData>
  <autoFilter ref="B5:G43"/>
  <mergeCells count="8">
    <mergeCell ref="B2:E2"/>
    <mergeCell ref="F2:G2"/>
    <mergeCell ref="B3:G3"/>
    <mergeCell ref="B45:G45"/>
    <mergeCell ref="B46:G46"/>
    <mergeCell ref="B47:G47"/>
    <mergeCell ref="B48:G48"/>
    <mergeCell ref="B50:G50"/>
  </mergeCells>
  <hyperlinks>
    <hyperlink ref="F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L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7"/>
    <col collapsed="false" customWidth="true" hidden="false" outlineLevel="0" max="3" min="3" style="0" width="17"/>
    <col collapsed="false" customWidth="true" hidden="false" outlineLevel="0" max="4" min="4" style="0" width="20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7" min="7" style="0" width="38"/>
    <col collapsed="false" customWidth="true" hidden="false" outlineLevel="0" max="8" min="8" style="0" width="17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26"/>
    <col collapsed="false" customWidth="true" hidden="false" outlineLevel="0" max="12" min="12" style="0" width="11"/>
  </cols>
  <sheetData>
    <row r="2" customFormat="false" ht="27.75" hidden="false" customHeight="true" outlineLevel="0" collapsed="false">
      <c r="B2" s="24" t="s">
        <v>1194</v>
      </c>
      <c r="C2" s="24"/>
      <c r="D2" s="24"/>
      <c r="E2" s="24"/>
      <c r="F2" s="24"/>
      <c r="G2" s="24"/>
      <c r="H2" s="24"/>
      <c r="I2" s="24"/>
      <c r="J2" s="24"/>
      <c r="K2" s="2" t="s">
        <v>1</v>
      </c>
      <c r="L2" s="2"/>
    </row>
    <row r="3" customFormat="false" ht="15" hidden="false" customHeight="true" outlineLevel="0" collapsed="false">
      <c r="B3" s="3" t="s">
        <v>1195</v>
      </c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18" hidden="false" customHeight="true" outlineLevel="0" collapsed="false">
      <c r="B5" s="4" t="s">
        <v>1196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4" hidden="false" customHeight="true" outlineLevel="0" collapsed="false">
      <c r="B6" s="25" t="s">
        <v>151</v>
      </c>
      <c r="C6" s="25" t="s">
        <v>464</v>
      </c>
      <c r="D6" s="25" t="s">
        <v>1197</v>
      </c>
      <c r="E6" s="25" t="s">
        <v>1198</v>
      </c>
      <c r="F6" s="25" t="s">
        <v>1199</v>
      </c>
      <c r="G6" s="25" t="s">
        <v>1200</v>
      </c>
      <c r="H6" s="25" t="s">
        <v>1201</v>
      </c>
      <c r="I6" s="25" t="s">
        <v>1202</v>
      </c>
      <c r="J6" s="25" t="s">
        <v>508</v>
      </c>
      <c r="K6" s="25" t="s">
        <v>1203</v>
      </c>
      <c r="L6" s="25" t="s">
        <v>1204</v>
      </c>
    </row>
    <row r="7" customFormat="false" ht="79.5" hidden="false" customHeight="true" outlineLevel="0" collapsed="false">
      <c r="B7" s="108" t="s">
        <v>380</v>
      </c>
      <c r="C7" s="28" t="s">
        <v>1205</v>
      </c>
      <c r="D7" s="28" t="s">
        <v>1206</v>
      </c>
      <c r="E7" s="28" t="s">
        <v>1207</v>
      </c>
      <c r="F7" s="28" t="s">
        <v>1208</v>
      </c>
      <c r="G7" s="28" t="s">
        <v>1209</v>
      </c>
      <c r="H7" s="28" t="s">
        <v>1210</v>
      </c>
      <c r="I7" s="28" t="s">
        <v>514</v>
      </c>
      <c r="J7" s="108" t="s">
        <v>1211</v>
      </c>
      <c r="K7" s="28" t="s">
        <v>1212</v>
      </c>
      <c r="L7" s="108" t="s">
        <v>167</v>
      </c>
    </row>
    <row r="8" customFormat="false" ht="79.5" hidden="false" customHeight="true" outlineLevel="0" collapsed="false">
      <c r="B8" s="109" t="s">
        <v>381</v>
      </c>
      <c r="C8" s="31" t="s">
        <v>1213</v>
      </c>
      <c r="D8" s="31" t="s">
        <v>1214</v>
      </c>
      <c r="E8" s="31" t="s">
        <v>1215</v>
      </c>
      <c r="F8" s="31" t="s">
        <v>1216</v>
      </c>
      <c r="G8" s="31" t="s">
        <v>1217</v>
      </c>
      <c r="H8" s="31" t="s">
        <v>1210</v>
      </c>
      <c r="I8" s="31" t="s">
        <v>514</v>
      </c>
      <c r="J8" s="109" t="s">
        <v>1218</v>
      </c>
      <c r="K8" s="31" t="s">
        <v>1219</v>
      </c>
      <c r="L8" s="109" t="s">
        <v>1220</v>
      </c>
    </row>
    <row r="9" customFormat="false" ht="79.5" hidden="false" customHeight="true" outlineLevel="0" collapsed="false">
      <c r="B9" s="108" t="s">
        <v>382</v>
      </c>
      <c r="C9" s="28" t="s">
        <v>669</v>
      </c>
      <c r="D9" s="28" t="s">
        <v>1221</v>
      </c>
      <c r="E9" s="28" t="s">
        <v>1222</v>
      </c>
      <c r="F9" s="28" t="s">
        <v>1223</v>
      </c>
      <c r="G9" s="28" t="s">
        <v>1224</v>
      </c>
      <c r="H9" s="28" t="s">
        <v>1225</v>
      </c>
      <c r="I9" s="28" t="s">
        <v>546</v>
      </c>
      <c r="J9" s="108" t="s">
        <v>513</v>
      </c>
      <c r="K9" s="28" t="s">
        <v>1226</v>
      </c>
      <c r="L9" s="108" t="s">
        <v>167</v>
      </c>
    </row>
    <row r="10" customFormat="false" ht="79.5" hidden="false" customHeight="true" outlineLevel="0" collapsed="false">
      <c r="B10" s="109" t="s">
        <v>383</v>
      </c>
      <c r="C10" s="31" t="s">
        <v>1227</v>
      </c>
      <c r="D10" s="31" t="s">
        <v>1228</v>
      </c>
      <c r="E10" s="31" t="s">
        <v>1229</v>
      </c>
      <c r="F10" s="31" t="s">
        <v>1230</v>
      </c>
      <c r="G10" s="31" t="s">
        <v>1231</v>
      </c>
      <c r="H10" s="31" t="s">
        <v>1232</v>
      </c>
      <c r="I10" s="31" t="s">
        <v>1233</v>
      </c>
      <c r="J10" s="109" t="s">
        <v>1234</v>
      </c>
      <c r="K10" s="31" t="s">
        <v>1235</v>
      </c>
      <c r="L10" s="109" t="s">
        <v>1236</v>
      </c>
    </row>
    <row r="11" customFormat="false" ht="79.5" hidden="false" customHeight="true" outlineLevel="0" collapsed="false">
      <c r="B11" s="108" t="s">
        <v>384</v>
      </c>
      <c r="C11" s="28" t="s">
        <v>1237</v>
      </c>
      <c r="D11" s="28" t="s">
        <v>1238</v>
      </c>
      <c r="E11" s="28" t="s">
        <v>1239</v>
      </c>
      <c r="F11" s="28" t="s">
        <v>1240</v>
      </c>
      <c r="G11" s="28" t="s">
        <v>1241</v>
      </c>
      <c r="H11" s="28" t="s">
        <v>1242</v>
      </c>
      <c r="I11" s="28" t="s">
        <v>546</v>
      </c>
      <c r="J11" s="108" t="s">
        <v>1243</v>
      </c>
      <c r="K11" s="28" t="s">
        <v>1244</v>
      </c>
      <c r="L11" s="108" t="s">
        <v>167</v>
      </c>
    </row>
    <row r="12" customFormat="false" ht="79.5" hidden="false" customHeight="true" outlineLevel="0" collapsed="false">
      <c r="B12" s="109" t="s">
        <v>385</v>
      </c>
      <c r="C12" s="31" t="s">
        <v>1245</v>
      </c>
      <c r="D12" s="31" t="s">
        <v>1246</v>
      </c>
      <c r="E12" s="31" t="s">
        <v>1247</v>
      </c>
      <c r="F12" s="31" t="s">
        <v>1248</v>
      </c>
      <c r="G12" s="31" t="s">
        <v>1249</v>
      </c>
      <c r="H12" s="31" t="s">
        <v>1250</v>
      </c>
      <c r="I12" s="31" t="s">
        <v>1251</v>
      </c>
      <c r="J12" s="109" t="s">
        <v>1252</v>
      </c>
      <c r="K12" s="31" t="s">
        <v>1253</v>
      </c>
      <c r="L12" s="109" t="s">
        <v>167</v>
      </c>
    </row>
    <row r="13" customFormat="false" ht="79.5" hidden="false" customHeight="true" outlineLevel="0" collapsed="false">
      <c r="B13" s="108" t="s">
        <v>386</v>
      </c>
      <c r="C13" s="28" t="s">
        <v>1254</v>
      </c>
      <c r="D13" s="28" t="s">
        <v>1255</v>
      </c>
      <c r="E13" s="28" t="s">
        <v>1256</v>
      </c>
      <c r="F13" s="28" t="s">
        <v>1257</v>
      </c>
      <c r="G13" s="28" t="s">
        <v>1258</v>
      </c>
      <c r="H13" s="28" t="s">
        <v>1259</v>
      </c>
      <c r="I13" s="28" t="s">
        <v>583</v>
      </c>
      <c r="J13" s="108" t="s">
        <v>1211</v>
      </c>
      <c r="K13" s="28" t="s">
        <v>1260</v>
      </c>
      <c r="L13" s="108" t="s">
        <v>1236</v>
      </c>
    </row>
    <row r="14" customFormat="false" ht="92.25" hidden="false" customHeight="true" outlineLevel="0" collapsed="false">
      <c r="B14" s="109" t="s">
        <v>387</v>
      </c>
      <c r="C14" s="31" t="s">
        <v>1261</v>
      </c>
      <c r="D14" s="31" t="s">
        <v>1262</v>
      </c>
      <c r="E14" s="31" t="s">
        <v>1263</v>
      </c>
      <c r="F14" s="31" t="s">
        <v>1264</v>
      </c>
      <c r="G14" s="31" t="s">
        <v>1265</v>
      </c>
      <c r="H14" s="31" t="s">
        <v>1266</v>
      </c>
      <c r="I14" s="31" t="s">
        <v>589</v>
      </c>
      <c r="J14" s="109" t="s">
        <v>517</v>
      </c>
      <c r="K14" s="31" t="s">
        <v>1267</v>
      </c>
      <c r="L14" s="109" t="s">
        <v>167</v>
      </c>
    </row>
    <row r="15" customFormat="false" ht="42" hidden="false" customHeight="true" outlineLevel="0" collapsed="false">
      <c r="B15" s="108" t="s">
        <v>388</v>
      </c>
      <c r="C15" s="28" t="s">
        <v>485</v>
      </c>
      <c r="D15" s="28" t="s">
        <v>685</v>
      </c>
      <c r="E15" s="28" t="s">
        <v>1268</v>
      </c>
      <c r="F15" s="28" t="s">
        <v>1269</v>
      </c>
      <c r="G15" s="28" t="s">
        <v>1270</v>
      </c>
      <c r="H15" s="28" t="s">
        <v>1271</v>
      </c>
      <c r="I15" s="28" t="s">
        <v>599</v>
      </c>
      <c r="J15" s="108" t="s">
        <v>1272</v>
      </c>
      <c r="K15" s="28" t="s">
        <v>1273</v>
      </c>
      <c r="L15" s="108" t="s">
        <v>167</v>
      </c>
    </row>
    <row r="16" customFormat="false" ht="79.5" hidden="false" customHeight="true" outlineLevel="0" collapsed="false">
      <c r="B16" s="109" t="s">
        <v>389</v>
      </c>
      <c r="C16" s="31" t="s">
        <v>1274</v>
      </c>
      <c r="D16" s="31" t="s">
        <v>1275</v>
      </c>
      <c r="E16" s="31" t="s">
        <v>1276</v>
      </c>
      <c r="F16" s="31" t="s">
        <v>1277</v>
      </c>
      <c r="G16" s="31" t="s">
        <v>1278</v>
      </c>
      <c r="H16" s="31" t="s">
        <v>1279</v>
      </c>
      <c r="I16" s="31" t="s">
        <v>1280</v>
      </c>
      <c r="J16" s="109" t="s">
        <v>1281</v>
      </c>
      <c r="K16" s="31" t="s">
        <v>1282</v>
      </c>
      <c r="L16" s="109" t="s">
        <v>1283</v>
      </c>
    </row>
    <row r="17" customFormat="false" ht="105" hidden="false" customHeight="true" outlineLevel="0" collapsed="false">
      <c r="B17" s="108" t="s">
        <v>392</v>
      </c>
      <c r="C17" s="28" t="s">
        <v>686</v>
      </c>
      <c r="D17" s="28" t="s">
        <v>1284</v>
      </c>
      <c r="E17" s="28" t="s">
        <v>1285</v>
      </c>
      <c r="F17" s="28" t="s">
        <v>1286</v>
      </c>
      <c r="G17" s="28" t="s">
        <v>1287</v>
      </c>
      <c r="H17" s="28" t="s">
        <v>1288</v>
      </c>
      <c r="I17" s="28" t="s">
        <v>615</v>
      </c>
      <c r="J17" s="108" t="s">
        <v>513</v>
      </c>
      <c r="K17" s="28" t="s">
        <v>1289</v>
      </c>
      <c r="L17" s="108" t="s">
        <v>1236</v>
      </c>
    </row>
    <row r="18" customFormat="false" ht="67.5" hidden="false" customHeight="true" outlineLevel="0" collapsed="false">
      <c r="B18" s="109" t="s">
        <v>403</v>
      </c>
      <c r="C18" s="31" t="s">
        <v>689</v>
      </c>
      <c r="D18" s="31" t="s">
        <v>1290</v>
      </c>
      <c r="E18" s="31" t="s">
        <v>1291</v>
      </c>
      <c r="F18" s="31" t="s">
        <v>1292</v>
      </c>
      <c r="G18" s="31" t="s">
        <v>1293</v>
      </c>
      <c r="H18" s="31" t="s">
        <v>1294</v>
      </c>
      <c r="I18" s="31" t="s">
        <v>1295</v>
      </c>
      <c r="J18" s="109" t="s">
        <v>1296</v>
      </c>
      <c r="K18" s="31" t="s">
        <v>1297</v>
      </c>
      <c r="L18" s="109" t="s">
        <v>167</v>
      </c>
    </row>
    <row r="19" customFormat="false" ht="105" hidden="false" customHeight="true" outlineLevel="0" collapsed="false">
      <c r="B19" s="110" t="s">
        <v>1298</v>
      </c>
      <c r="C19" s="74" t="s">
        <v>1299</v>
      </c>
      <c r="D19" s="74" t="s">
        <v>637</v>
      </c>
      <c r="E19" s="74" t="s">
        <v>1300</v>
      </c>
      <c r="F19" s="74" t="s">
        <v>1301</v>
      </c>
      <c r="G19" s="74" t="s">
        <v>1302</v>
      </c>
      <c r="H19" s="74" t="s">
        <v>1154</v>
      </c>
      <c r="I19" s="74" t="s">
        <v>890</v>
      </c>
      <c r="J19" s="110" t="s">
        <v>517</v>
      </c>
      <c r="K19" s="74" t="s">
        <v>166</v>
      </c>
      <c r="L19" s="110" t="s">
        <v>1303</v>
      </c>
    </row>
    <row r="20" customFormat="false" ht="18" hidden="false" customHeight="true" outlineLevel="0" collapsed="false">
      <c r="B20" s="20" t="s">
        <v>1304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customFormat="false" ht="15" hidden="false" customHeight="false" outlineLevel="0" collapsed="false">
      <c r="B21" s="22" t="s">
        <v>1305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3" customFormat="false" ht="18" hidden="false" customHeight="true" outlineLevel="0" collapsed="false">
      <c r="B23" s="4" t="s">
        <v>628</v>
      </c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9.5" hidden="false" customHeight="true" outlineLevel="0" collapsed="false">
      <c r="B24" s="25" t="s">
        <v>629</v>
      </c>
      <c r="C24" s="25" t="s">
        <v>630</v>
      </c>
      <c r="D24" s="40" t="s">
        <v>631</v>
      </c>
      <c r="E24" s="40"/>
      <c r="F24" s="40" t="s">
        <v>632</v>
      </c>
      <c r="G24" s="40"/>
      <c r="H24" s="40"/>
      <c r="I24" s="40" t="s">
        <v>505</v>
      </c>
      <c r="J24" s="40"/>
      <c r="K24" s="40"/>
      <c r="L24" s="25" t="s">
        <v>633</v>
      </c>
    </row>
    <row r="25" customFormat="false" ht="17.25" hidden="false" customHeight="true" outlineLevel="0" collapsed="false">
      <c r="B25" s="73" t="n">
        <v>0</v>
      </c>
      <c r="C25" s="73" t="s">
        <v>634</v>
      </c>
      <c r="D25" s="74" t="s">
        <v>635</v>
      </c>
      <c r="E25" s="74"/>
      <c r="F25" s="74" t="s">
        <v>636</v>
      </c>
      <c r="G25" s="74"/>
      <c r="H25" s="74"/>
      <c r="I25" s="74" t="s">
        <v>637</v>
      </c>
      <c r="J25" s="74"/>
      <c r="K25" s="74"/>
      <c r="L25" s="73" t="s">
        <v>166</v>
      </c>
    </row>
    <row r="26" customFormat="false" ht="30" hidden="false" customHeight="true" outlineLevel="0" collapsed="false">
      <c r="B26" s="29" t="n">
        <v>1</v>
      </c>
      <c r="C26" s="75" t="s">
        <v>638</v>
      </c>
      <c r="D26" s="31" t="s">
        <v>639</v>
      </c>
      <c r="E26" s="31"/>
      <c r="F26" s="31" t="s">
        <v>640</v>
      </c>
      <c r="G26" s="31"/>
      <c r="H26" s="31"/>
      <c r="I26" s="31" t="s">
        <v>641</v>
      </c>
      <c r="J26" s="31"/>
      <c r="K26" s="31"/>
      <c r="L26" s="29" t="s">
        <v>389</v>
      </c>
    </row>
    <row r="27" customFormat="false" ht="17.25" hidden="false" customHeight="true" outlineLevel="0" collapsed="false">
      <c r="B27" s="26" t="n">
        <v>2</v>
      </c>
      <c r="C27" s="75" t="s">
        <v>638</v>
      </c>
      <c r="D27" s="28" t="s">
        <v>642</v>
      </c>
      <c r="E27" s="28"/>
      <c r="F27" s="28" t="s">
        <v>643</v>
      </c>
      <c r="G27" s="28"/>
      <c r="H27" s="28"/>
      <c r="I27" s="28" t="s">
        <v>587</v>
      </c>
      <c r="J27" s="28"/>
      <c r="K27" s="28"/>
      <c r="L27" s="26" t="s">
        <v>387</v>
      </c>
    </row>
    <row r="28" customFormat="false" ht="17.25" hidden="false" customHeight="true" outlineLevel="0" collapsed="false">
      <c r="B28" s="29" t="n">
        <v>3</v>
      </c>
      <c r="C28" s="75" t="s">
        <v>638</v>
      </c>
      <c r="D28" s="31" t="s">
        <v>644</v>
      </c>
      <c r="E28" s="31"/>
      <c r="F28" s="31" t="s">
        <v>645</v>
      </c>
      <c r="G28" s="31"/>
      <c r="H28" s="31"/>
      <c r="I28" s="31" t="s">
        <v>646</v>
      </c>
      <c r="J28" s="31"/>
      <c r="K28" s="31"/>
      <c r="L28" s="29" t="s">
        <v>380</v>
      </c>
    </row>
    <row r="29" customFormat="false" ht="17.25" hidden="false" customHeight="true" outlineLevel="0" collapsed="false">
      <c r="B29" s="26" t="n">
        <v>4</v>
      </c>
      <c r="C29" s="75" t="s">
        <v>638</v>
      </c>
      <c r="D29" s="28" t="s">
        <v>647</v>
      </c>
      <c r="E29" s="28"/>
      <c r="F29" s="28" t="s">
        <v>648</v>
      </c>
      <c r="G29" s="28"/>
      <c r="H29" s="28"/>
      <c r="I29" s="28" t="s">
        <v>567</v>
      </c>
      <c r="J29" s="28"/>
      <c r="K29" s="28"/>
      <c r="L29" s="26" t="s">
        <v>384</v>
      </c>
    </row>
    <row r="30" customFormat="false" ht="17.25" hidden="false" customHeight="true" outlineLevel="0" collapsed="false">
      <c r="B30" s="29" t="n">
        <v>5</v>
      </c>
      <c r="C30" s="75" t="s">
        <v>638</v>
      </c>
      <c r="D30" s="31" t="s">
        <v>564</v>
      </c>
      <c r="E30" s="31"/>
      <c r="F30" s="31" t="s">
        <v>649</v>
      </c>
      <c r="G30" s="31"/>
      <c r="H30" s="31"/>
      <c r="I30" s="31" t="s">
        <v>563</v>
      </c>
      <c r="J30" s="31"/>
      <c r="K30" s="31"/>
      <c r="L30" s="29" t="s">
        <v>384</v>
      </c>
    </row>
    <row r="31" customFormat="false" ht="17.25" hidden="false" customHeight="true" outlineLevel="0" collapsed="false">
      <c r="B31" s="26" t="n">
        <v>6</v>
      </c>
      <c r="C31" s="75" t="s">
        <v>638</v>
      </c>
      <c r="D31" s="28" t="s">
        <v>650</v>
      </c>
      <c r="E31" s="28"/>
      <c r="F31" s="28" t="s">
        <v>651</v>
      </c>
      <c r="G31" s="28"/>
      <c r="H31" s="28"/>
      <c r="I31" s="28" t="s">
        <v>652</v>
      </c>
      <c r="J31" s="28"/>
      <c r="K31" s="28"/>
      <c r="L31" s="26" t="s">
        <v>386</v>
      </c>
    </row>
    <row r="32" customFormat="false" ht="30" hidden="false" customHeight="true" outlineLevel="0" collapsed="false">
      <c r="B32" s="29" t="n">
        <v>7</v>
      </c>
      <c r="C32" s="29" t="s">
        <v>653</v>
      </c>
      <c r="D32" s="31" t="s">
        <v>654</v>
      </c>
      <c r="E32" s="31"/>
      <c r="F32" s="31" t="s">
        <v>655</v>
      </c>
      <c r="G32" s="31"/>
      <c r="H32" s="31"/>
      <c r="I32" s="31" t="s">
        <v>656</v>
      </c>
      <c r="J32" s="31"/>
      <c r="K32" s="31"/>
      <c r="L32" s="29" t="s">
        <v>383</v>
      </c>
    </row>
    <row r="33" customFormat="false" ht="17.25" hidden="false" customHeight="true" outlineLevel="0" collapsed="false">
      <c r="B33" s="26" t="n">
        <v>8</v>
      </c>
      <c r="C33" s="26" t="s">
        <v>653</v>
      </c>
      <c r="D33" s="28" t="s">
        <v>657</v>
      </c>
      <c r="E33" s="28"/>
      <c r="F33" s="28" t="s">
        <v>658</v>
      </c>
      <c r="G33" s="28"/>
      <c r="H33" s="28"/>
      <c r="I33" s="28" t="s">
        <v>659</v>
      </c>
      <c r="J33" s="28"/>
      <c r="K33" s="28"/>
      <c r="L33" s="26" t="s">
        <v>381</v>
      </c>
    </row>
    <row r="34" customFormat="false" ht="17.25" hidden="false" customHeight="true" outlineLevel="0" collapsed="false">
      <c r="B34" s="29" t="n">
        <v>9</v>
      </c>
      <c r="C34" s="29" t="s">
        <v>653</v>
      </c>
      <c r="D34" s="31" t="s">
        <v>660</v>
      </c>
      <c r="E34" s="31"/>
      <c r="F34" s="31" t="s">
        <v>661</v>
      </c>
      <c r="G34" s="31"/>
      <c r="H34" s="31"/>
      <c r="I34" s="31" t="s">
        <v>662</v>
      </c>
      <c r="J34" s="31"/>
      <c r="K34" s="31"/>
      <c r="L34" s="29" t="s">
        <v>380</v>
      </c>
    </row>
    <row r="35" customFormat="false" ht="17.25" hidden="false" customHeight="true" outlineLevel="0" collapsed="false">
      <c r="B35" s="26" t="n">
        <v>10</v>
      </c>
      <c r="C35" s="26" t="s">
        <v>653</v>
      </c>
      <c r="D35" s="28" t="s">
        <v>663</v>
      </c>
      <c r="E35" s="28"/>
      <c r="F35" s="28" t="s">
        <v>664</v>
      </c>
      <c r="G35" s="28"/>
      <c r="H35" s="28"/>
      <c r="I35" s="28" t="s">
        <v>665</v>
      </c>
      <c r="J35" s="28"/>
      <c r="K35" s="28"/>
      <c r="L35" s="26" t="s">
        <v>381</v>
      </c>
    </row>
    <row r="36" customFormat="false" ht="17.25" hidden="false" customHeight="true" outlineLevel="0" collapsed="false">
      <c r="B36" s="29" t="n">
        <v>11</v>
      </c>
      <c r="C36" s="29" t="s">
        <v>653</v>
      </c>
      <c r="D36" s="31" t="s">
        <v>666</v>
      </c>
      <c r="E36" s="31"/>
      <c r="F36" s="31" t="s">
        <v>667</v>
      </c>
      <c r="G36" s="31"/>
      <c r="H36" s="31"/>
      <c r="I36" s="31" t="s">
        <v>668</v>
      </c>
      <c r="J36" s="31"/>
      <c r="K36" s="31"/>
      <c r="L36" s="29" t="s">
        <v>389</v>
      </c>
    </row>
    <row r="37" customFormat="false" ht="17.25" hidden="false" customHeight="true" outlineLevel="0" collapsed="false">
      <c r="B37" s="26" t="n">
        <v>12</v>
      </c>
      <c r="C37" s="26" t="s">
        <v>653</v>
      </c>
      <c r="D37" s="28" t="s">
        <v>669</v>
      </c>
      <c r="E37" s="28"/>
      <c r="F37" s="28" t="s">
        <v>670</v>
      </c>
      <c r="G37" s="28"/>
      <c r="H37" s="28"/>
      <c r="I37" s="28" t="s">
        <v>671</v>
      </c>
      <c r="J37" s="28"/>
      <c r="K37" s="28"/>
      <c r="L37" s="26" t="s">
        <v>382</v>
      </c>
    </row>
    <row r="38" customFormat="false" ht="30" hidden="false" customHeight="true" outlineLevel="0" collapsed="false">
      <c r="B38" s="29" t="n">
        <v>13</v>
      </c>
      <c r="C38" s="29" t="s">
        <v>653</v>
      </c>
      <c r="D38" s="31" t="s">
        <v>672</v>
      </c>
      <c r="E38" s="31"/>
      <c r="F38" s="31" t="s">
        <v>673</v>
      </c>
      <c r="G38" s="31"/>
      <c r="H38" s="31"/>
      <c r="I38" s="31" t="s">
        <v>674</v>
      </c>
      <c r="J38" s="31"/>
      <c r="K38" s="31"/>
      <c r="L38" s="29" t="s">
        <v>384</v>
      </c>
    </row>
    <row r="39" customFormat="false" ht="17.25" hidden="false" customHeight="true" outlineLevel="0" collapsed="false">
      <c r="B39" s="26" t="n">
        <v>14</v>
      </c>
      <c r="C39" s="26" t="s">
        <v>653</v>
      </c>
      <c r="D39" s="28" t="s">
        <v>675</v>
      </c>
      <c r="E39" s="28"/>
      <c r="F39" s="28" t="s">
        <v>676</v>
      </c>
      <c r="G39" s="28"/>
      <c r="H39" s="28"/>
      <c r="I39" s="28" t="s">
        <v>677</v>
      </c>
      <c r="J39" s="28"/>
      <c r="K39" s="28"/>
      <c r="L39" s="26" t="s">
        <v>385</v>
      </c>
    </row>
    <row r="40" customFormat="false" ht="17.25" hidden="false" customHeight="true" outlineLevel="0" collapsed="false">
      <c r="B40" s="29" t="n">
        <v>15</v>
      </c>
      <c r="C40" s="29" t="s">
        <v>653</v>
      </c>
      <c r="D40" s="31" t="s">
        <v>678</v>
      </c>
      <c r="E40" s="31"/>
      <c r="F40" s="31" t="s">
        <v>679</v>
      </c>
      <c r="G40" s="31"/>
      <c r="H40" s="31"/>
      <c r="I40" s="31" t="s">
        <v>680</v>
      </c>
      <c r="J40" s="31"/>
      <c r="K40" s="31"/>
      <c r="L40" s="29" t="s">
        <v>386</v>
      </c>
    </row>
    <row r="41" customFormat="false" ht="17.25" hidden="false" customHeight="true" outlineLevel="0" collapsed="false">
      <c r="B41" s="26" t="n">
        <v>16</v>
      </c>
      <c r="C41" s="26" t="s">
        <v>653</v>
      </c>
      <c r="D41" s="28" t="s">
        <v>681</v>
      </c>
      <c r="E41" s="28"/>
      <c r="F41" s="28" t="s">
        <v>682</v>
      </c>
      <c r="G41" s="28"/>
      <c r="H41" s="28"/>
      <c r="I41" s="28" t="s">
        <v>683</v>
      </c>
      <c r="J41" s="28"/>
      <c r="K41" s="28"/>
      <c r="L41" s="26" t="s">
        <v>387</v>
      </c>
    </row>
    <row r="42" customFormat="false" ht="17.25" hidden="false" customHeight="true" outlineLevel="0" collapsed="false">
      <c r="B42" s="29" t="n">
        <v>17</v>
      </c>
      <c r="C42" s="29" t="s">
        <v>653</v>
      </c>
      <c r="D42" s="31" t="s">
        <v>485</v>
      </c>
      <c r="E42" s="31"/>
      <c r="F42" s="31" t="s">
        <v>684</v>
      </c>
      <c r="G42" s="31"/>
      <c r="H42" s="31"/>
      <c r="I42" s="31" t="s">
        <v>685</v>
      </c>
      <c r="J42" s="31"/>
      <c r="K42" s="31"/>
      <c r="L42" s="29" t="s">
        <v>388</v>
      </c>
    </row>
    <row r="43" customFormat="false" ht="30" hidden="false" customHeight="true" outlineLevel="0" collapsed="false">
      <c r="B43" s="26" t="n">
        <v>18</v>
      </c>
      <c r="C43" s="26" t="s">
        <v>653</v>
      </c>
      <c r="D43" s="28" t="s">
        <v>686</v>
      </c>
      <c r="E43" s="28"/>
      <c r="F43" s="28" t="s">
        <v>687</v>
      </c>
      <c r="G43" s="28"/>
      <c r="H43" s="28"/>
      <c r="I43" s="28" t="s">
        <v>688</v>
      </c>
      <c r="J43" s="28"/>
      <c r="K43" s="28"/>
      <c r="L43" s="26" t="s">
        <v>392</v>
      </c>
    </row>
    <row r="44" customFormat="false" ht="30" hidden="false" customHeight="true" outlineLevel="0" collapsed="false">
      <c r="B44" s="29" t="n">
        <v>19</v>
      </c>
      <c r="C44" s="29" t="s">
        <v>653</v>
      </c>
      <c r="D44" s="31" t="s">
        <v>689</v>
      </c>
      <c r="E44" s="31"/>
      <c r="F44" s="31" t="s">
        <v>690</v>
      </c>
      <c r="G44" s="31"/>
      <c r="H44" s="31"/>
      <c r="I44" s="31" t="s">
        <v>691</v>
      </c>
      <c r="J44" s="31"/>
      <c r="K44" s="31"/>
      <c r="L44" s="29" t="s">
        <v>403</v>
      </c>
    </row>
    <row r="45" customFormat="false" ht="17.25" hidden="false" customHeight="true" outlineLevel="0" collapsed="false">
      <c r="B45" s="26" t="n">
        <v>20</v>
      </c>
      <c r="C45" s="26" t="s">
        <v>166</v>
      </c>
      <c r="D45" s="28" t="s">
        <v>622</v>
      </c>
      <c r="E45" s="28"/>
      <c r="F45" s="28" t="s">
        <v>692</v>
      </c>
      <c r="G45" s="28"/>
      <c r="H45" s="28"/>
      <c r="I45" s="28" t="s">
        <v>623</v>
      </c>
      <c r="J45" s="28"/>
      <c r="K45" s="28"/>
      <c r="L45" s="26" t="s">
        <v>166</v>
      </c>
    </row>
    <row r="46" customFormat="false" ht="15" hidden="false" customHeight="false" outlineLevel="0" collapsed="false">
      <c r="B46" s="22" t="s">
        <v>1306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</row>
    <row r="47" customFormat="false" ht="15" hidden="false" customHeight="false" outlineLevel="0" collapsed="false">
      <c r="B47" s="22" t="s">
        <v>1307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</row>
    <row r="49" customFormat="false" ht="18" hidden="false" customHeight="true" outlineLevel="0" collapsed="false">
      <c r="B49" s="4" t="s">
        <v>1308</v>
      </c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21.75" hidden="false" customHeight="true" outlineLevel="0" collapsed="false">
      <c r="B50" s="25" t="s">
        <v>1309</v>
      </c>
      <c r="C50" s="25" t="s">
        <v>1310</v>
      </c>
      <c r="D50" s="40" t="s">
        <v>1311</v>
      </c>
      <c r="E50" s="40"/>
      <c r="F50" s="25" t="s">
        <v>749</v>
      </c>
      <c r="G50" s="40" t="s">
        <v>1312</v>
      </c>
      <c r="H50" s="40"/>
      <c r="I50" s="40" t="s">
        <v>1313</v>
      </c>
      <c r="J50" s="40"/>
      <c r="K50" s="25" t="s">
        <v>1314</v>
      </c>
      <c r="L50" s="25" t="s">
        <v>1315</v>
      </c>
    </row>
    <row r="51" customFormat="false" ht="30" hidden="false" customHeight="true" outlineLevel="0" collapsed="false">
      <c r="B51" s="26" t="s">
        <v>1316</v>
      </c>
      <c r="C51" s="28" t="s">
        <v>1317</v>
      </c>
      <c r="D51" s="28" t="s">
        <v>1318</v>
      </c>
      <c r="E51" s="28"/>
      <c r="F51" s="26" t="s">
        <v>517</v>
      </c>
      <c r="G51" s="28" t="s">
        <v>1319</v>
      </c>
      <c r="H51" s="28"/>
      <c r="I51" s="28" t="s">
        <v>1320</v>
      </c>
      <c r="J51" s="28"/>
      <c r="K51" s="28" t="s">
        <v>1321</v>
      </c>
      <c r="L51" s="26" t="s">
        <v>475</v>
      </c>
    </row>
    <row r="52" customFormat="false" ht="30" hidden="false" customHeight="true" outlineLevel="0" collapsed="false">
      <c r="B52" s="29" t="s">
        <v>1322</v>
      </c>
      <c r="C52" s="31" t="s">
        <v>511</v>
      </c>
      <c r="D52" s="31" t="s">
        <v>1323</v>
      </c>
      <c r="E52" s="31"/>
      <c r="F52" s="29" t="s">
        <v>517</v>
      </c>
      <c r="G52" s="31" t="s">
        <v>1324</v>
      </c>
      <c r="H52" s="31"/>
      <c r="I52" s="31" t="s">
        <v>1325</v>
      </c>
      <c r="J52" s="31"/>
      <c r="K52" s="31" t="s">
        <v>1326</v>
      </c>
      <c r="L52" s="29" t="s">
        <v>475</v>
      </c>
    </row>
    <row r="53" customFormat="false" ht="30" hidden="false" customHeight="true" outlineLevel="0" collapsed="false">
      <c r="B53" s="26" t="s">
        <v>1327</v>
      </c>
      <c r="C53" s="28" t="s">
        <v>1328</v>
      </c>
      <c r="D53" s="28" t="s">
        <v>1329</v>
      </c>
      <c r="E53" s="28"/>
      <c r="F53" s="26" t="s">
        <v>517</v>
      </c>
      <c r="G53" s="28" t="s">
        <v>1330</v>
      </c>
      <c r="H53" s="28"/>
      <c r="I53" s="28" t="s">
        <v>1331</v>
      </c>
      <c r="J53" s="28"/>
      <c r="K53" s="28" t="s">
        <v>1332</v>
      </c>
      <c r="L53" s="26" t="s">
        <v>475</v>
      </c>
    </row>
    <row r="54" customFormat="false" ht="30" hidden="false" customHeight="true" outlineLevel="0" collapsed="false">
      <c r="B54" s="29" t="s">
        <v>1333</v>
      </c>
      <c r="C54" s="31" t="s">
        <v>558</v>
      </c>
      <c r="D54" s="31" t="s">
        <v>1334</v>
      </c>
      <c r="E54" s="31"/>
      <c r="F54" s="29" t="s">
        <v>535</v>
      </c>
      <c r="G54" s="31" t="s">
        <v>1335</v>
      </c>
      <c r="H54" s="31"/>
      <c r="I54" s="31" t="s">
        <v>1336</v>
      </c>
      <c r="J54" s="31"/>
      <c r="K54" s="31" t="s">
        <v>1337</v>
      </c>
      <c r="L54" s="29" t="s">
        <v>470</v>
      </c>
    </row>
    <row r="55" customFormat="false" ht="30" hidden="false" customHeight="true" outlineLevel="0" collapsed="false">
      <c r="B55" s="26" t="s">
        <v>1338</v>
      </c>
      <c r="C55" s="28" t="s">
        <v>1339</v>
      </c>
      <c r="D55" s="28" t="s">
        <v>1340</v>
      </c>
      <c r="E55" s="28"/>
      <c r="F55" s="26" t="s">
        <v>535</v>
      </c>
      <c r="G55" s="28" t="s">
        <v>1341</v>
      </c>
      <c r="H55" s="28"/>
      <c r="I55" s="28" t="s">
        <v>1342</v>
      </c>
      <c r="J55" s="28"/>
      <c r="K55" s="28" t="s">
        <v>1343</v>
      </c>
      <c r="L55" s="26" t="s">
        <v>470</v>
      </c>
    </row>
    <row r="56" customFormat="false" ht="30" hidden="false" customHeight="true" outlineLevel="0" collapsed="false">
      <c r="B56" s="29" t="s">
        <v>1344</v>
      </c>
      <c r="C56" s="31" t="s">
        <v>1345</v>
      </c>
      <c r="D56" s="31" t="s">
        <v>1346</v>
      </c>
      <c r="E56" s="31"/>
      <c r="F56" s="29" t="s">
        <v>513</v>
      </c>
      <c r="G56" s="31" t="s">
        <v>1347</v>
      </c>
      <c r="H56" s="31"/>
      <c r="I56" s="31" t="s">
        <v>1348</v>
      </c>
      <c r="J56" s="31"/>
      <c r="K56" s="31" t="s">
        <v>1349</v>
      </c>
      <c r="L56" s="29" t="s">
        <v>470</v>
      </c>
    </row>
    <row r="57" customFormat="false" ht="30" hidden="false" customHeight="true" outlineLevel="0" collapsed="false">
      <c r="B57" s="26" t="s">
        <v>1350</v>
      </c>
      <c r="C57" s="28" t="s">
        <v>1351</v>
      </c>
      <c r="D57" s="28" t="s">
        <v>1352</v>
      </c>
      <c r="E57" s="28"/>
      <c r="F57" s="26" t="s">
        <v>1353</v>
      </c>
      <c r="G57" s="28" t="s">
        <v>1354</v>
      </c>
      <c r="H57" s="28"/>
      <c r="I57" s="28" t="s">
        <v>1355</v>
      </c>
      <c r="J57" s="28"/>
      <c r="K57" s="28" t="s">
        <v>1356</v>
      </c>
      <c r="L57" s="26" t="s">
        <v>1357</v>
      </c>
    </row>
    <row r="58" customFormat="false" ht="30" hidden="false" customHeight="true" outlineLevel="0" collapsed="false">
      <c r="B58" s="29" t="s">
        <v>1358</v>
      </c>
      <c r="C58" s="31" t="s">
        <v>1359</v>
      </c>
      <c r="D58" s="31" t="s">
        <v>1360</v>
      </c>
      <c r="E58" s="31"/>
      <c r="F58" s="29" t="s">
        <v>527</v>
      </c>
      <c r="G58" s="31" t="s">
        <v>1361</v>
      </c>
      <c r="H58" s="31"/>
      <c r="I58" s="31" t="s">
        <v>1362</v>
      </c>
      <c r="J58" s="31"/>
      <c r="K58" s="31" t="s">
        <v>1363</v>
      </c>
      <c r="L58" s="29" t="s">
        <v>470</v>
      </c>
    </row>
    <row r="59" customFormat="false" ht="30" hidden="false" customHeight="true" outlineLevel="0" collapsed="false">
      <c r="B59" s="26" t="s">
        <v>1364</v>
      </c>
      <c r="C59" s="28" t="s">
        <v>1365</v>
      </c>
      <c r="D59" s="28" t="s">
        <v>1366</v>
      </c>
      <c r="E59" s="28"/>
      <c r="F59" s="26" t="s">
        <v>535</v>
      </c>
      <c r="G59" s="28" t="s">
        <v>1367</v>
      </c>
      <c r="H59" s="28"/>
      <c r="I59" s="28" t="s">
        <v>1368</v>
      </c>
      <c r="J59" s="28"/>
      <c r="K59" s="28" t="s">
        <v>1369</v>
      </c>
      <c r="L59" s="26" t="s">
        <v>470</v>
      </c>
    </row>
    <row r="60" customFormat="false" ht="30" hidden="false" customHeight="true" outlineLevel="0" collapsed="false">
      <c r="B60" s="29" t="s">
        <v>1370</v>
      </c>
      <c r="C60" s="31" t="s">
        <v>1371</v>
      </c>
      <c r="D60" s="31" t="s">
        <v>1372</v>
      </c>
      <c r="E60" s="31"/>
      <c r="F60" s="29" t="s">
        <v>517</v>
      </c>
      <c r="G60" s="31" t="s">
        <v>1373</v>
      </c>
      <c r="H60" s="31"/>
      <c r="I60" s="31" t="s">
        <v>1374</v>
      </c>
      <c r="J60" s="31"/>
      <c r="K60" s="31" t="s">
        <v>1375</v>
      </c>
      <c r="L60" s="29" t="s">
        <v>470</v>
      </c>
    </row>
    <row r="61" customFormat="false" ht="15" hidden="false" customHeight="false" outlineLevel="0" collapsed="false">
      <c r="B61" s="22" t="s">
        <v>1376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3" customFormat="false" ht="18" hidden="false" customHeight="true" outlineLevel="0" collapsed="false">
      <c r="B63" s="4" t="s">
        <v>1377</v>
      </c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24" hidden="false" customHeight="true" outlineLevel="0" collapsed="false">
      <c r="B64" s="25" t="s">
        <v>1378</v>
      </c>
      <c r="C64" s="25" t="s">
        <v>1379</v>
      </c>
      <c r="D64" s="25" t="s">
        <v>1380</v>
      </c>
      <c r="E64" s="25" t="s">
        <v>1381</v>
      </c>
      <c r="F64" s="40" t="s">
        <v>1382</v>
      </c>
      <c r="G64" s="40"/>
      <c r="H64" s="25" t="s">
        <v>1383</v>
      </c>
      <c r="I64" s="25" t="s">
        <v>1384</v>
      </c>
      <c r="J64" s="25" t="s">
        <v>509</v>
      </c>
      <c r="K64" s="25" t="s">
        <v>1385</v>
      </c>
      <c r="L64" s="25" t="s">
        <v>1386</v>
      </c>
    </row>
    <row r="65" customFormat="false" ht="54.75" hidden="false" customHeight="true" outlineLevel="0" collapsed="false">
      <c r="B65" s="8" t="s">
        <v>1387</v>
      </c>
      <c r="C65" s="28" t="s">
        <v>807</v>
      </c>
      <c r="D65" s="26" t="s">
        <v>767</v>
      </c>
      <c r="E65" s="26" t="s">
        <v>1388</v>
      </c>
      <c r="F65" s="28" t="s">
        <v>1389</v>
      </c>
      <c r="G65" s="28"/>
      <c r="H65" s="28" t="s">
        <v>1390</v>
      </c>
      <c r="I65" s="28" t="s">
        <v>1391</v>
      </c>
      <c r="J65" s="8" t="s">
        <v>546</v>
      </c>
      <c r="K65" s="47" t="s">
        <v>1392</v>
      </c>
      <c r="L65" s="28" t="s">
        <v>1393</v>
      </c>
    </row>
    <row r="66" customFormat="false" ht="30" hidden="false" customHeight="true" outlineLevel="0" collapsed="false">
      <c r="B66" s="10" t="s">
        <v>1394</v>
      </c>
      <c r="C66" s="31" t="s">
        <v>1395</v>
      </c>
      <c r="D66" s="29" t="s">
        <v>1396</v>
      </c>
      <c r="E66" s="29" t="s">
        <v>1397</v>
      </c>
      <c r="F66" s="31" t="s">
        <v>1398</v>
      </c>
      <c r="G66" s="31"/>
      <c r="H66" s="31" t="s">
        <v>1399</v>
      </c>
      <c r="I66" s="31" t="s">
        <v>1400</v>
      </c>
      <c r="J66" s="10" t="s">
        <v>546</v>
      </c>
      <c r="K66" s="47" t="s">
        <v>1392</v>
      </c>
      <c r="L66" s="31" t="s">
        <v>1401</v>
      </c>
    </row>
    <row r="67" customFormat="false" ht="42" hidden="false" customHeight="true" outlineLevel="0" collapsed="false">
      <c r="B67" s="8" t="s">
        <v>1402</v>
      </c>
      <c r="C67" s="28" t="s">
        <v>1403</v>
      </c>
      <c r="D67" s="26" t="s">
        <v>1404</v>
      </c>
      <c r="E67" s="26" t="s">
        <v>166</v>
      </c>
      <c r="F67" s="28" t="s">
        <v>1405</v>
      </c>
      <c r="G67" s="28"/>
      <c r="H67" s="28" t="s">
        <v>451</v>
      </c>
      <c r="I67" s="28" t="s">
        <v>1406</v>
      </c>
      <c r="J67" s="8" t="s">
        <v>615</v>
      </c>
      <c r="K67" s="47" t="s">
        <v>1392</v>
      </c>
      <c r="L67" s="28" t="s">
        <v>1407</v>
      </c>
    </row>
    <row r="68" customFormat="false" ht="42" hidden="false" customHeight="true" outlineLevel="0" collapsed="false">
      <c r="B68" s="10" t="s">
        <v>1408</v>
      </c>
      <c r="C68" s="31" t="s">
        <v>1409</v>
      </c>
      <c r="D68" s="29" t="s">
        <v>778</v>
      </c>
      <c r="E68" s="29" t="s">
        <v>1410</v>
      </c>
      <c r="F68" s="31" t="s">
        <v>1411</v>
      </c>
      <c r="G68" s="31"/>
      <c r="H68" s="31" t="s">
        <v>454</v>
      </c>
      <c r="I68" s="31" t="s">
        <v>1412</v>
      </c>
      <c r="J68" s="10" t="s">
        <v>1413</v>
      </c>
      <c r="K68" s="47" t="s">
        <v>1392</v>
      </c>
      <c r="L68" s="31" t="s">
        <v>1414</v>
      </c>
    </row>
    <row r="70" customFormat="false" ht="15" hidden="false" customHeight="false" outlineLevel="0" collapsed="false">
      <c r="B70" s="22" t="s">
        <v>1415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</row>
    <row r="71" customFormat="false" ht="15" hidden="false" customHeight="false" outlineLevel="0" collapsed="false">
      <c r="B71" s="22" t="s">
        <v>1416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</row>
    <row r="73" customFormat="false" ht="15" hidden="false" customHeight="false" outlineLevel="0" collapsed="false">
      <c r="B73" s="23" t="s">
        <v>1417</v>
      </c>
      <c r="C73" s="23"/>
      <c r="D73" s="23"/>
      <c r="E73" s="23"/>
      <c r="F73" s="23"/>
      <c r="G73" s="23"/>
      <c r="H73" s="23"/>
      <c r="I73" s="23"/>
      <c r="J73" s="23"/>
      <c r="K73" s="23"/>
      <c r="L73" s="23"/>
    </row>
  </sheetData>
  <mergeCells count="119">
    <mergeCell ref="B2:J2"/>
    <mergeCell ref="K2:L2"/>
    <mergeCell ref="B3:L3"/>
    <mergeCell ref="B5:L5"/>
    <mergeCell ref="B20:L20"/>
    <mergeCell ref="B21:L21"/>
    <mergeCell ref="B23:L23"/>
    <mergeCell ref="D24:E24"/>
    <mergeCell ref="F24:H24"/>
    <mergeCell ref="I24:K24"/>
    <mergeCell ref="D25:E25"/>
    <mergeCell ref="F25:H25"/>
    <mergeCell ref="I25:K25"/>
    <mergeCell ref="D26:E26"/>
    <mergeCell ref="F26:H26"/>
    <mergeCell ref="I26:K26"/>
    <mergeCell ref="D27:E27"/>
    <mergeCell ref="F27:H27"/>
    <mergeCell ref="I27:K27"/>
    <mergeCell ref="D28:E28"/>
    <mergeCell ref="F28:H28"/>
    <mergeCell ref="I28:K28"/>
    <mergeCell ref="D29:E29"/>
    <mergeCell ref="F29:H29"/>
    <mergeCell ref="I29:K29"/>
    <mergeCell ref="D30:E30"/>
    <mergeCell ref="F30:H30"/>
    <mergeCell ref="I30:K30"/>
    <mergeCell ref="D31:E31"/>
    <mergeCell ref="F31:H31"/>
    <mergeCell ref="I31:K31"/>
    <mergeCell ref="D32:E32"/>
    <mergeCell ref="F32:H32"/>
    <mergeCell ref="I32:K32"/>
    <mergeCell ref="D33:E33"/>
    <mergeCell ref="F33:H33"/>
    <mergeCell ref="I33:K33"/>
    <mergeCell ref="D34:E34"/>
    <mergeCell ref="F34:H34"/>
    <mergeCell ref="I34:K34"/>
    <mergeCell ref="D35:E35"/>
    <mergeCell ref="F35:H35"/>
    <mergeCell ref="I35:K35"/>
    <mergeCell ref="D36:E36"/>
    <mergeCell ref="F36:H36"/>
    <mergeCell ref="I36:K36"/>
    <mergeCell ref="D37:E37"/>
    <mergeCell ref="F37:H37"/>
    <mergeCell ref="I37:K37"/>
    <mergeCell ref="D38:E38"/>
    <mergeCell ref="F38:H38"/>
    <mergeCell ref="I38:K38"/>
    <mergeCell ref="D39:E39"/>
    <mergeCell ref="F39:H39"/>
    <mergeCell ref="I39:K39"/>
    <mergeCell ref="D40:E40"/>
    <mergeCell ref="F40:H40"/>
    <mergeCell ref="I40:K40"/>
    <mergeCell ref="D41:E41"/>
    <mergeCell ref="F41:H41"/>
    <mergeCell ref="I41:K41"/>
    <mergeCell ref="D42:E42"/>
    <mergeCell ref="F42:H42"/>
    <mergeCell ref="I42:K42"/>
    <mergeCell ref="D43:E43"/>
    <mergeCell ref="F43:H43"/>
    <mergeCell ref="I43:K43"/>
    <mergeCell ref="D44:E44"/>
    <mergeCell ref="F44:H44"/>
    <mergeCell ref="I44:K44"/>
    <mergeCell ref="D45:E45"/>
    <mergeCell ref="F45:H45"/>
    <mergeCell ref="I45:K45"/>
    <mergeCell ref="B46:L46"/>
    <mergeCell ref="B47:L47"/>
    <mergeCell ref="B49:L49"/>
    <mergeCell ref="D50:E50"/>
    <mergeCell ref="G50:H50"/>
    <mergeCell ref="I50:J50"/>
    <mergeCell ref="D51:E51"/>
    <mergeCell ref="G51:H51"/>
    <mergeCell ref="I51:J51"/>
    <mergeCell ref="D52:E52"/>
    <mergeCell ref="G52:H52"/>
    <mergeCell ref="I52:J52"/>
    <mergeCell ref="D53:E53"/>
    <mergeCell ref="G53:H53"/>
    <mergeCell ref="I53:J53"/>
    <mergeCell ref="D54:E54"/>
    <mergeCell ref="G54:H54"/>
    <mergeCell ref="I54:J54"/>
    <mergeCell ref="D55:E55"/>
    <mergeCell ref="G55:H55"/>
    <mergeCell ref="I55:J55"/>
    <mergeCell ref="D56:E56"/>
    <mergeCell ref="G56:H56"/>
    <mergeCell ref="I56:J56"/>
    <mergeCell ref="D57:E57"/>
    <mergeCell ref="G57:H57"/>
    <mergeCell ref="I57:J57"/>
    <mergeCell ref="D58:E58"/>
    <mergeCell ref="G58:H58"/>
    <mergeCell ref="I58:J58"/>
    <mergeCell ref="D59:E59"/>
    <mergeCell ref="G59:H59"/>
    <mergeCell ref="I59:J59"/>
    <mergeCell ref="D60:E60"/>
    <mergeCell ref="G60:H60"/>
    <mergeCell ref="I60:J60"/>
    <mergeCell ref="B61:L61"/>
    <mergeCell ref="B63:L63"/>
    <mergeCell ref="F64:G64"/>
    <mergeCell ref="F65:G65"/>
    <mergeCell ref="F66:G66"/>
    <mergeCell ref="F67:G67"/>
    <mergeCell ref="F68:G68"/>
    <mergeCell ref="B70:L70"/>
    <mergeCell ref="B71:L71"/>
    <mergeCell ref="B73:L73"/>
  </mergeCells>
  <hyperlinks>
    <hyperlink ref="K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G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24"/>
    <col collapsed="false" customWidth="true" hidden="false" outlineLevel="0" max="7" min="7" style="0" width="18"/>
  </cols>
  <sheetData>
    <row r="2" customFormat="false" ht="27.75" hidden="false" customHeight="true" outlineLevel="0" collapsed="false">
      <c r="B2" s="24" t="s">
        <v>1418</v>
      </c>
      <c r="C2" s="24"/>
      <c r="D2" s="24"/>
      <c r="E2" s="24"/>
      <c r="F2" s="2" t="s">
        <v>1</v>
      </c>
      <c r="G2" s="2"/>
    </row>
    <row r="3" customFormat="false" ht="15" hidden="false" customHeight="true" outlineLevel="0" collapsed="false">
      <c r="B3" s="3" t="s">
        <v>1419</v>
      </c>
      <c r="C3" s="3"/>
      <c r="D3" s="3"/>
      <c r="E3" s="3"/>
      <c r="F3" s="3"/>
      <c r="G3" s="3"/>
    </row>
    <row r="5" customFormat="false" ht="19.5" hidden="false" customHeight="true" outlineLevel="0" collapsed="false">
      <c r="B5" s="111" t="s">
        <v>1420</v>
      </c>
      <c r="C5" s="111" t="s">
        <v>1421</v>
      </c>
      <c r="D5" s="111" t="s">
        <v>849</v>
      </c>
      <c r="E5" s="111" t="s">
        <v>1422</v>
      </c>
      <c r="F5" s="5" t="s">
        <v>1423</v>
      </c>
      <c r="G5" s="5"/>
    </row>
    <row r="6" customFormat="false" ht="15.75" hidden="false" customHeight="true" outlineLevel="0" collapsed="false">
      <c r="B6" s="6" t="s">
        <v>1424</v>
      </c>
      <c r="C6" s="6"/>
      <c r="D6" s="6"/>
      <c r="E6" s="6"/>
      <c r="F6" s="6"/>
      <c r="G6" s="6"/>
    </row>
    <row r="7" customFormat="false" ht="17.25" hidden="false" customHeight="true" outlineLevel="0" collapsed="false">
      <c r="B7" s="8" t="s">
        <v>1425</v>
      </c>
      <c r="C7" s="28" t="s">
        <v>1426</v>
      </c>
      <c r="D7" s="26" t="s">
        <v>1427</v>
      </c>
      <c r="E7" s="26" t="s">
        <v>470</v>
      </c>
      <c r="F7" s="28" t="s">
        <v>1428</v>
      </c>
      <c r="G7" s="28"/>
    </row>
    <row r="8" customFormat="false" ht="17.25" hidden="false" customHeight="true" outlineLevel="0" collapsed="false">
      <c r="B8" s="10" t="s">
        <v>1425</v>
      </c>
      <c r="C8" s="31" t="s">
        <v>1429</v>
      </c>
      <c r="D8" s="29" t="s">
        <v>1427</v>
      </c>
      <c r="E8" s="29" t="s">
        <v>470</v>
      </c>
      <c r="F8" s="31" t="s">
        <v>1430</v>
      </c>
      <c r="G8" s="31"/>
    </row>
    <row r="9" customFormat="false" ht="17.25" hidden="false" customHeight="true" outlineLevel="0" collapsed="false">
      <c r="B9" s="8" t="s">
        <v>1425</v>
      </c>
      <c r="C9" s="28" t="s">
        <v>1431</v>
      </c>
      <c r="D9" s="26" t="s">
        <v>1427</v>
      </c>
      <c r="E9" s="26" t="s">
        <v>470</v>
      </c>
      <c r="F9" s="28"/>
      <c r="G9" s="28"/>
    </row>
    <row r="10" customFormat="false" ht="17.25" hidden="false" customHeight="true" outlineLevel="0" collapsed="false">
      <c r="B10" s="10" t="s">
        <v>1425</v>
      </c>
      <c r="C10" s="31" t="s">
        <v>1432</v>
      </c>
      <c r="D10" s="29" t="s">
        <v>1433</v>
      </c>
      <c r="E10" s="29" t="s">
        <v>470</v>
      </c>
      <c r="F10" s="31" t="s">
        <v>1434</v>
      </c>
      <c r="G10" s="31"/>
    </row>
    <row r="11" customFormat="false" ht="30" hidden="false" customHeight="true" outlineLevel="0" collapsed="false">
      <c r="B11" s="8" t="s">
        <v>1425</v>
      </c>
      <c r="C11" s="28" t="s">
        <v>1435</v>
      </c>
      <c r="D11" s="26" t="s">
        <v>1433</v>
      </c>
      <c r="E11" s="26" t="s">
        <v>470</v>
      </c>
      <c r="F11" s="28" t="s">
        <v>1436</v>
      </c>
      <c r="G11" s="28"/>
    </row>
    <row r="12" customFormat="false" ht="17.25" hidden="false" customHeight="true" outlineLevel="0" collapsed="false">
      <c r="B12" s="10" t="s">
        <v>1425</v>
      </c>
      <c r="C12" s="31" t="s">
        <v>1437</v>
      </c>
      <c r="D12" s="29" t="s">
        <v>1433</v>
      </c>
      <c r="E12" s="29" t="s">
        <v>470</v>
      </c>
      <c r="F12" s="31"/>
      <c r="G12" s="31"/>
    </row>
    <row r="13" customFormat="false" ht="17.25" hidden="false" customHeight="true" outlineLevel="0" collapsed="false">
      <c r="B13" s="8" t="s">
        <v>1425</v>
      </c>
      <c r="C13" s="28" t="s">
        <v>1438</v>
      </c>
      <c r="D13" s="26" t="s">
        <v>1433</v>
      </c>
      <c r="E13" s="26" t="s">
        <v>470</v>
      </c>
      <c r="F13" s="28" t="s">
        <v>1439</v>
      </c>
      <c r="G13" s="28"/>
    </row>
    <row r="14" customFormat="false" ht="17.25" hidden="false" customHeight="true" outlineLevel="0" collapsed="false">
      <c r="B14" s="10" t="s">
        <v>1425</v>
      </c>
      <c r="C14" s="31" t="s">
        <v>1440</v>
      </c>
      <c r="D14" s="29" t="s">
        <v>1433</v>
      </c>
      <c r="E14" s="29" t="s">
        <v>470</v>
      </c>
      <c r="F14" s="31" t="s">
        <v>1441</v>
      </c>
      <c r="G14" s="31"/>
    </row>
    <row r="15" customFormat="false" ht="17.25" hidden="false" customHeight="true" outlineLevel="0" collapsed="false">
      <c r="B15" s="8" t="s">
        <v>1425</v>
      </c>
      <c r="C15" s="28" t="s">
        <v>1442</v>
      </c>
      <c r="D15" s="26" t="s">
        <v>1427</v>
      </c>
      <c r="E15" s="26" t="s">
        <v>470</v>
      </c>
      <c r="F15" s="28"/>
      <c r="G15" s="28"/>
    </row>
    <row r="16" customFormat="false" ht="17.25" hidden="false" customHeight="true" outlineLevel="0" collapsed="false">
      <c r="B16" s="10" t="s">
        <v>1425</v>
      </c>
      <c r="C16" s="31" t="s">
        <v>1443</v>
      </c>
      <c r="D16" s="29" t="s">
        <v>1427</v>
      </c>
      <c r="E16" s="29" t="s">
        <v>475</v>
      </c>
      <c r="F16" s="31"/>
      <c r="G16" s="31"/>
    </row>
    <row r="17" customFormat="false" ht="17.25" hidden="false" customHeight="true" outlineLevel="0" collapsed="false">
      <c r="B17" s="8" t="s">
        <v>1425</v>
      </c>
      <c r="C17" s="28" t="s">
        <v>1444</v>
      </c>
      <c r="D17" s="26" t="s">
        <v>1445</v>
      </c>
      <c r="E17" s="26" t="s">
        <v>470</v>
      </c>
      <c r="F17" s="28" t="s">
        <v>1446</v>
      </c>
      <c r="G17" s="28"/>
    </row>
    <row r="18" customFormat="false" ht="17.25" hidden="false" customHeight="true" outlineLevel="0" collapsed="false">
      <c r="B18" s="10" t="s">
        <v>1425</v>
      </c>
      <c r="C18" s="31" t="s">
        <v>1447</v>
      </c>
      <c r="D18" s="29" t="s">
        <v>1433</v>
      </c>
      <c r="E18" s="29" t="s">
        <v>470</v>
      </c>
      <c r="F18" s="31" t="s">
        <v>1448</v>
      </c>
      <c r="G18" s="31"/>
    </row>
    <row r="19" customFormat="false" ht="17.25" hidden="false" customHeight="true" outlineLevel="0" collapsed="false">
      <c r="B19" s="8" t="s">
        <v>1425</v>
      </c>
      <c r="C19" s="28" t="s">
        <v>1449</v>
      </c>
      <c r="D19" s="26" t="s">
        <v>1433</v>
      </c>
      <c r="E19" s="26" t="s">
        <v>470</v>
      </c>
      <c r="F19" s="28" t="s">
        <v>1450</v>
      </c>
      <c r="G19" s="28"/>
    </row>
    <row r="20" customFormat="false" ht="17.25" hidden="false" customHeight="true" outlineLevel="0" collapsed="false">
      <c r="B20" s="10" t="s">
        <v>1425</v>
      </c>
      <c r="C20" s="31" t="s">
        <v>1451</v>
      </c>
      <c r="D20" s="29" t="s">
        <v>1433</v>
      </c>
      <c r="E20" s="29" t="s">
        <v>475</v>
      </c>
      <c r="F20" s="31" t="s">
        <v>1452</v>
      </c>
      <c r="G20" s="31"/>
    </row>
    <row r="21" customFormat="false" ht="17.25" hidden="false" customHeight="true" outlineLevel="0" collapsed="false">
      <c r="B21" s="8" t="s">
        <v>1425</v>
      </c>
      <c r="C21" s="28" t="s">
        <v>1453</v>
      </c>
      <c r="D21" s="26" t="s">
        <v>1454</v>
      </c>
      <c r="E21" s="26" t="s">
        <v>470</v>
      </c>
      <c r="F21" s="28" t="s">
        <v>1455</v>
      </c>
      <c r="G21" s="28"/>
    </row>
    <row r="22" customFormat="false" ht="17.25" hidden="false" customHeight="true" outlineLevel="0" collapsed="false">
      <c r="B22" s="10" t="s">
        <v>1425</v>
      </c>
      <c r="C22" s="31" t="s">
        <v>1456</v>
      </c>
      <c r="D22" s="29" t="s">
        <v>1454</v>
      </c>
      <c r="E22" s="29" t="s">
        <v>470</v>
      </c>
      <c r="F22" s="31" t="s">
        <v>1457</v>
      </c>
      <c r="G22" s="31"/>
    </row>
    <row r="23" customFormat="false" ht="17.25" hidden="false" customHeight="true" outlineLevel="0" collapsed="false">
      <c r="B23" s="8" t="s">
        <v>1425</v>
      </c>
      <c r="C23" s="28" t="s">
        <v>725</v>
      </c>
      <c r="D23" s="26" t="s">
        <v>1454</v>
      </c>
      <c r="E23" s="26" t="s">
        <v>470</v>
      </c>
      <c r="F23" s="28" t="s">
        <v>1458</v>
      </c>
      <c r="G23" s="28"/>
    </row>
    <row r="24" customFormat="false" ht="17.25" hidden="false" customHeight="true" outlineLevel="0" collapsed="false">
      <c r="B24" s="10" t="s">
        <v>1425</v>
      </c>
      <c r="C24" s="31" t="s">
        <v>1459</v>
      </c>
      <c r="D24" s="29" t="s">
        <v>1433</v>
      </c>
      <c r="E24" s="29" t="s">
        <v>470</v>
      </c>
      <c r="F24" s="31" t="s">
        <v>1460</v>
      </c>
      <c r="G24" s="31"/>
    </row>
    <row r="25" customFormat="false" ht="15.75" hidden="false" customHeight="true" outlineLevel="0" collapsed="false">
      <c r="B25" s="6" t="s">
        <v>1461</v>
      </c>
      <c r="C25" s="6"/>
      <c r="D25" s="6"/>
      <c r="E25" s="6"/>
      <c r="F25" s="6"/>
      <c r="G25" s="6"/>
    </row>
    <row r="26" customFormat="false" ht="17.25" hidden="false" customHeight="true" outlineLevel="0" collapsed="false">
      <c r="B26" s="8" t="s">
        <v>1462</v>
      </c>
      <c r="C26" s="28" t="s">
        <v>1463</v>
      </c>
      <c r="D26" s="26" t="s">
        <v>1427</v>
      </c>
      <c r="E26" s="26" t="s">
        <v>470</v>
      </c>
      <c r="F26" s="28"/>
      <c r="G26" s="28"/>
    </row>
    <row r="27" customFormat="false" ht="17.25" hidden="false" customHeight="true" outlineLevel="0" collapsed="false">
      <c r="B27" s="10" t="s">
        <v>1462</v>
      </c>
      <c r="C27" s="31" t="s">
        <v>1464</v>
      </c>
      <c r="D27" s="29" t="s">
        <v>1433</v>
      </c>
      <c r="E27" s="29" t="s">
        <v>470</v>
      </c>
      <c r="F27" s="31"/>
      <c r="G27" s="31"/>
    </row>
    <row r="28" customFormat="false" ht="17.25" hidden="false" customHeight="true" outlineLevel="0" collapsed="false">
      <c r="B28" s="8" t="s">
        <v>1462</v>
      </c>
      <c r="C28" s="28" t="s">
        <v>1465</v>
      </c>
      <c r="D28" s="26" t="s">
        <v>1433</v>
      </c>
      <c r="E28" s="26" t="s">
        <v>470</v>
      </c>
      <c r="F28" s="28"/>
      <c r="G28" s="28"/>
    </row>
    <row r="29" customFormat="false" ht="17.25" hidden="false" customHeight="true" outlineLevel="0" collapsed="false">
      <c r="B29" s="10" t="s">
        <v>1462</v>
      </c>
      <c r="C29" s="31" t="s">
        <v>1466</v>
      </c>
      <c r="D29" s="29" t="s">
        <v>1445</v>
      </c>
      <c r="E29" s="29" t="s">
        <v>470</v>
      </c>
      <c r="F29" s="31" t="s">
        <v>1467</v>
      </c>
      <c r="G29" s="31"/>
    </row>
    <row r="30" customFormat="false" ht="17.25" hidden="false" customHeight="true" outlineLevel="0" collapsed="false">
      <c r="B30" s="8" t="s">
        <v>1462</v>
      </c>
      <c r="C30" s="28" t="s">
        <v>1468</v>
      </c>
      <c r="D30" s="26" t="s">
        <v>1433</v>
      </c>
      <c r="E30" s="26" t="s">
        <v>470</v>
      </c>
      <c r="F30" s="28" t="s">
        <v>1469</v>
      </c>
      <c r="G30" s="28"/>
    </row>
    <row r="31" customFormat="false" ht="17.25" hidden="false" customHeight="true" outlineLevel="0" collapsed="false">
      <c r="B31" s="10" t="s">
        <v>1470</v>
      </c>
      <c r="C31" s="31" t="s">
        <v>1471</v>
      </c>
      <c r="D31" s="29" t="s">
        <v>1433</v>
      </c>
      <c r="E31" s="29" t="s">
        <v>470</v>
      </c>
      <c r="F31" s="31"/>
      <c r="G31" s="31"/>
    </row>
    <row r="32" customFormat="false" ht="17.25" hidden="false" customHeight="true" outlineLevel="0" collapsed="false">
      <c r="B32" s="8" t="s">
        <v>1470</v>
      </c>
      <c r="C32" s="28" t="s">
        <v>1472</v>
      </c>
      <c r="D32" s="26" t="s">
        <v>1445</v>
      </c>
      <c r="E32" s="26" t="s">
        <v>470</v>
      </c>
      <c r="F32" s="28" t="s">
        <v>1473</v>
      </c>
      <c r="G32" s="28"/>
    </row>
    <row r="33" customFormat="false" ht="15.75" hidden="false" customHeight="true" outlineLevel="0" collapsed="false">
      <c r="B33" s="6" t="s">
        <v>1474</v>
      </c>
      <c r="C33" s="6"/>
      <c r="D33" s="6"/>
      <c r="E33" s="6"/>
      <c r="F33" s="6"/>
      <c r="G33" s="6"/>
    </row>
    <row r="34" customFormat="false" ht="42" hidden="false" customHeight="true" outlineLevel="0" collapsed="false">
      <c r="B34" s="10" t="s">
        <v>458</v>
      </c>
      <c r="C34" s="31" t="s">
        <v>1475</v>
      </c>
      <c r="D34" s="29" t="s">
        <v>1433</v>
      </c>
      <c r="E34" s="29" t="s">
        <v>470</v>
      </c>
      <c r="F34" s="31" t="s">
        <v>1476</v>
      </c>
      <c r="G34" s="31"/>
    </row>
    <row r="35" customFormat="false" ht="17.25" hidden="false" customHeight="true" outlineLevel="0" collapsed="false">
      <c r="B35" s="8" t="s">
        <v>1477</v>
      </c>
      <c r="C35" s="28" t="s">
        <v>1478</v>
      </c>
      <c r="D35" s="26" t="s">
        <v>1454</v>
      </c>
      <c r="E35" s="26" t="s">
        <v>470</v>
      </c>
      <c r="F35" s="28" t="s">
        <v>1479</v>
      </c>
      <c r="G35" s="28"/>
    </row>
    <row r="36" customFormat="false" ht="17.25" hidden="false" customHeight="true" outlineLevel="0" collapsed="false">
      <c r="B36" s="10" t="s">
        <v>1477</v>
      </c>
      <c r="C36" s="31" t="s">
        <v>1480</v>
      </c>
      <c r="D36" s="29" t="s">
        <v>1454</v>
      </c>
      <c r="E36" s="29" t="s">
        <v>470</v>
      </c>
      <c r="F36" s="31"/>
      <c r="G36" s="31"/>
    </row>
    <row r="37" customFormat="false" ht="30" hidden="false" customHeight="true" outlineLevel="0" collapsed="false">
      <c r="B37" s="8" t="s">
        <v>1481</v>
      </c>
      <c r="C37" s="28" t="s">
        <v>1482</v>
      </c>
      <c r="D37" s="26" t="s">
        <v>1454</v>
      </c>
      <c r="E37" s="26" t="s">
        <v>470</v>
      </c>
      <c r="F37" s="28"/>
      <c r="G37" s="28"/>
    </row>
    <row r="38" customFormat="false" ht="30" hidden="false" customHeight="true" outlineLevel="0" collapsed="false">
      <c r="B38" s="10" t="s">
        <v>1483</v>
      </c>
      <c r="C38" s="31" t="s">
        <v>1484</v>
      </c>
      <c r="D38" s="29" t="s">
        <v>1433</v>
      </c>
      <c r="E38" s="29" t="s">
        <v>470</v>
      </c>
      <c r="F38" s="31"/>
      <c r="G38" s="31"/>
    </row>
    <row r="39" customFormat="false" ht="17.25" hidden="false" customHeight="true" outlineLevel="0" collapsed="false">
      <c r="B39" s="8" t="s">
        <v>1483</v>
      </c>
      <c r="C39" s="28" t="s">
        <v>1485</v>
      </c>
      <c r="D39" s="26" t="s">
        <v>1454</v>
      </c>
      <c r="E39" s="26" t="s">
        <v>470</v>
      </c>
      <c r="F39" s="28" t="s">
        <v>1486</v>
      </c>
      <c r="G39" s="28"/>
    </row>
    <row r="40" customFormat="false" ht="30" hidden="false" customHeight="true" outlineLevel="0" collapsed="false">
      <c r="B40" s="10" t="s">
        <v>1483</v>
      </c>
      <c r="C40" s="31" t="s">
        <v>1487</v>
      </c>
      <c r="D40" s="29" t="s">
        <v>1454</v>
      </c>
      <c r="E40" s="29" t="s">
        <v>470</v>
      </c>
      <c r="F40" s="31" t="s">
        <v>1488</v>
      </c>
      <c r="G40" s="31"/>
    </row>
    <row r="41" customFormat="false" ht="15.75" hidden="false" customHeight="true" outlineLevel="0" collapsed="false">
      <c r="B41" s="6" t="s">
        <v>1489</v>
      </c>
      <c r="C41" s="6"/>
      <c r="D41" s="6"/>
      <c r="E41" s="6"/>
      <c r="F41" s="6"/>
      <c r="G41" s="6"/>
    </row>
    <row r="42" customFormat="false" ht="17.25" hidden="false" customHeight="true" outlineLevel="0" collapsed="false">
      <c r="B42" s="8" t="s">
        <v>1490</v>
      </c>
      <c r="C42" s="28" t="s">
        <v>1491</v>
      </c>
      <c r="D42" s="26" t="s">
        <v>1454</v>
      </c>
      <c r="E42" s="26" t="s">
        <v>470</v>
      </c>
      <c r="F42" s="28" t="s">
        <v>1492</v>
      </c>
      <c r="G42" s="28"/>
    </row>
    <row r="43" customFormat="false" ht="15.75" hidden="false" customHeight="true" outlineLevel="0" collapsed="false">
      <c r="B43" s="6" t="s">
        <v>1493</v>
      </c>
      <c r="C43" s="6"/>
      <c r="D43" s="6"/>
      <c r="E43" s="6"/>
      <c r="F43" s="6"/>
      <c r="G43" s="6"/>
    </row>
    <row r="44" customFormat="false" ht="30" hidden="false" customHeight="true" outlineLevel="0" collapsed="false">
      <c r="B44" s="10" t="s">
        <v>1490</v>
      </c>
      <c r="C44" s="31" t="s">
        <v>1494</v>
      </c>
      <c r="D44" s="29" t="s">
        <v>1454</v>
      </c>
      <c r="E44" s="29" t="s">
        <v>470</v>
      </c>
      <c r="F44" s="31" t="s">
        <v>1495</v>
      </c>
      <c r="G44" s="31"/>
    </row>
    <row r="45" customFormat="false" ht="15.75" hidden="false" customHeight="true" outlineLevel="0" collapsed="false">
      <c r="B45" s="6" t="s">
        <v>1496</v>
      </c>
      <c r="C45" s="6"/>
      <c r="D45" s="6"/>
      <c r="E45" s="6"/>
      <c r="F45" s="6"/>
      <c r="G45" s="6"/>
    </row>
    <row r="46" customFormat="false" ht="30" hidden="false" customHeight="true" outlineLevel="0" collapsed="false">
      <c r="B46" s="8" t="s">
        <v>1497</v>
      </c>
      <c r="C46" s="28" t="s">
        <v>1498</v>
      </c>
      <c r="D46" s="26" t="s">
        <v>1454</v>
      </c>
      <c r="E46" s="26" t="s">
        <v>470</v>
      </c>
      <c r="F46" s="28" t="s">
        <v>1499</v>
      </c>
      <c r="G46" s="28"/>
    </row>
    <row r="47" customFormat="false" ht="15.75" hidden="false" customHeight="true" outlineLevel="0" collapsed="false">
      <c r="B47" s="6" t="s">
        <v>1500</v>
      </c>
      <c r="C47" s="6"/>
      <c r="D47" s="6"/>
      <c r="E47" s="6"/>
      <c r="F47" s="6"/>
      <c r="G47" s="6"/>
    </row>
    <row r="48" customFormat="false" ht="42" hidden="false" customHeight="true" outlineLevel="0" collapsed="false">
      <c r="B48" s="10" t="s">
        <v>1501</v>
      </c>
      <c r="C48" s="31" t="s">
        <v>1502</v>
      </c>
      <c r="D48" s="29" t="s">
        <v>1503</v>
      </c>
      <c r="E48" s="29" t="s">
        <v>470</v>
      </c>
      <c r="F48" s="31" t="s">
        <v>1504</v>
      </c>
      <c r="G48" s="31"/>
    </row>
    <row r="49" customFormat="false" ht="15.75" hidden="false" customHeight="true" outlineLevel="0" collapsed="false">
      <c r="B49" s="6" t="s">
        <v>1505</v>
      </c>
      <c r="C49" s="6"/>
      <c r="D49" s="6"/>
      <c r="E49" s="6"/>
      <c r="F49" s="6"/>
      <c r="G49" s="6"/>
    </row>
    <row r="50" customFormat="false" ht="30" hidden="false" customHeight="true" outlineLevel="0" collapsed="false">
      <c r="B50" s="8" t="s">
        <v>1506</v>
      </c>
      <c r="C50" s="28" t="s">
        <v>1507</v>
      </c>
      <c r="D50" s="26" t="s">
        <v>1503</v>
      </c>
      <c r="E50" s="26" t="s">
        <v>470</v>
      </c>
      <c r="F50" s="28" t="s">
        <v>1508</v>
      </c>
      <c r="G50" s="28"/>
    </row>
    <row r="51" customFormat="false" ht="15.75" hidden="false" customHeight="true" outlineLevel="0" collapsed="false">
      <c r="B51" s="6" t="s">
        <v>1509</v>
      </c>
      <c r="C51" s="6"/>
      <c r="D51" s="6"/>
      <c r="E51" s="6"/>
      <c r="F51" s="6"/>
      <c r="G51" s="6"/>
    </row>
    <row r="52" customFormat="false" ht="30" hidden="false" customHeight="true" outlineLevel="0" collapsed="false">
      <c r="B52" s="10" t="s">
        <v>1510</v>
      </c>
      <c r="C52" s="31" t="s">
        <v>1511</v>
      </c>
      <c r="D52" s="29" t="s">
        <v>1503</v>
      </c>
      <c r="E52" s="29" t="s">
        <v>470</v>
      </c>
      <c r="F52" s="31"/>
      <c r="G52" s="31"/>
    </row>
    <row r="53" customFormat="false" ht="15.75" hidden="false" customHeight="true" outlineLevel="0" collapsed="false">
      <c r="B53" s="6" t="s">
        <v>1512</v>
      </c>
      <c r="C53" s="6"/>
      <c r="D53" s="6"/>
      <c r="E53" s="6"/>
      <c r="F53" s="6"/>
      <c r="G53" s="6"/>
    </row>
    <row r="54" customFormat="false" ht="30" hidden="false" customHeight="true" outlineLevel="0" collapsed="false">
      <c r="B54" s="8" t="s">
        <v>1513</v>
      </c>
      <c r="C54" s="28" t="s">
        <v>1514</v>
      </c>
      <c r="D54" s="26" t="s">
        <v>1433</v>
      </c>
      <c r="E54" s="26" t="s">
        <v>470</v>
      </c>
      <c r="F54" s="28" t="s">
        <v>1515</v>
      </c>
      <c r="G54" s="28"/>
    </row>
    <row r="56" customFormat="false" ht="15" hidden="false" customHeight="false" outlineLevel="0" collapsed="false">
      <c r="B56" s="22" t="s">
        <v>1516</v>
      </c>
      <c r="C56" s="22"/>
      <c r="D56" s="22"/>
      <c r="E56" s="22"/>
      <c r="F56" s="22"/>
      <c r="G56" s="22"/>
    </row>
    <row r="57" customFormat="false" ht="15" hidden="false" customHeight="false" outlineLevel="0" collapsed="false">
      <c r="B57" s="22" t="s">
        <v>1517</v>
      </c>
      <c r="C57" s="22"/>
      <c r="D57" s="22"/>
      <c r="E57" s="22"/>
      <c r="F57" s="22"/>
      <c r="G57" s="22"/>
    </row>
    <row r="59" customFormat="false" ht="15" hidden="false" customHeight="false" outlineLevel="0" collapsed="false">
      <c r="B59" s="23" t="s">
        <v>1518</v>
      </c>
      <c r="C59" s="23"/>
      <c r="D59" s="23"/>
      <c r="E59" s="23"/>
      <c r="F59" s="23"/>
      <c r="G59" s="23"/>
    </row>
  </sheetData>
  <mergeCells count="56">
    <mergeCell ref="B2:E2"/>
    <mergeCell ref="F2:G2"/>
    <mergeCell ref="B3:G3"/>
    <mergeCell ref="F5:G5"/>
    <mergeCell ref="B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B25:G25"/>
    <mergeCell ref="F26:G26"/>
    <mergeCell ref="F27:G27"/>
    <mergeCell ref="F28:G28"/>
    <mergeCell ref="F29:G29"/>
    <mergeCell ref="F30:G30"/>
    <mergeCell ref="F31:G31"/>
    <mergeCell ref="F32:G32"/>
    <mergeCell ref="B33:G33"/>
    <mergeCell ref="F34:G34"/>
    <mergeCell ref="F35:G35"/>
    <mergeCell ref="F36:G36"/>
    <mergeCell ref="F37:G37"/>
    <mergeCell ref="F38:G38"/>
    <mergeCell ref="F39:G39"/>
    <mergeCell ref="F40:G40"/>
    <mergeCell ref="B41:G41"/>
    <mergeCell ref="F42:G42"/>
    <mergeCell ref="B43:G43"/>
    <mergeCell ref="F44:G44"/>
    <mergeCell ref="B45:G45"/>
    <mergeCell ref="F46:G46"/>
    <mergeCell ref="B47:G47"/>
    <mergeCell ref="F48:G48"/>
    <mergeCell ref="B49:G49"/>
    <mergeCell ref="F50:G50"/>
    <mergeCell ref="B51:G51"/>
    <mergeCell ref="F52:G52"/>
    <mergeCell ref="B53:G53"/>
    <mergeCell ref="F54:G54"/>
    <mergeCell ref="B56:G56"/>
    <mergeCell ref="B57:G57"/>
    <mergeCell ref="B59:G59"/>
  </mergeCells>
  <hyperlinks>
    <hyperlink ref="F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11" min="3" style="0" width="11"/>
    <col collapsed="false" customWidth="true" hidden="false" outlineLevel="0" max="12" min="12" style="0" width="13"/>
    <col collapsed="false" customWidth="true" hidden="false" outlineLevel="0" max="13" min="13" style="0" width="15"/>
  </cols>
  <sheetData>
    <row r="2" customFormat="false" ht="27.75" hidden="false" customHeight="true" outlineLevel="0" collapsed="false">
      <c r="B2" s="24" t="s">
        <v>1519</v>
      </c>
      <c r="C2" s="24"/>
      <c r="D2" s="24"/>
      <c r="E2" s="24"/>
      <c r="F2" s="24"/>
      <c r="G2" s="24"/>
      <c r="H2" s="24"/>
      <c r="I2" s="24"/>
      <c r="J2" s="24"/>
      <c r="K2" s="24"/>
      <c r="L2" s="2" t="s">
        <v>1</v>
      </c>
      <c r="M2" s="2"/>
    </row>
    <row r="3" customFormat="false" ht="15" hidden="false" customHeight="true" outlineLevel="0" collapsed="false">
      <c r="B3" s="3" t="s">
        <v>1520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customFormat="false" ht="43.5" hidden="false" customHeight="true" outlineLevel="0" collapsed="false">
      <c r="B5" s="25" t="s">
        <v>1521</v>
      </c>
      <c r="C5" s="25" t="s">
        <v>1522</v>
      </c>
      <c r="D5" s="25" t="s">
        <v>1523</v>
      </c>
      <c r="E5" s="25" t="s">
        <v>1524</v>
      </c>
      <c r="F5" s="25" t="s">
        <v>1525</v>
      </c>
      <c r="G5" s="25" t="s">
        <v>1526</v>
      </c>
      <c r="H5" s="25" t="s">
        <v>1527</v>
      </c>
      <c r="I5" s="25" t="s">
        <v>1528</v>
      </c>
      <c r="J5" s="25" t="s">
        <v>1529</v>
      </c>
      <c r="K5" s="25" t="s">
        <v>1530</v>
      </c>
      <c r="L5" s="40" t="s">
        <v>1531</v>
      </c>
      <c r="M5" s="40"/>
    </row>
    <row r="6" customFormat="false" ht="17.25" hidden="false" customHeight="true" outlineLevel="0" collapsed="false">
      <c r="B6" s="28" t="s">
        <v>1413</v>
      </c>
      <c r="C6" s="26" t="s">
        <v>1532</v>
      </c>
      <c r="D6" s="26" t="s">
        <v>1532</v>
      </c>
      <c r="E6" s="26" t="s">
        <v>1532</v>
      </c>
      <c r="F6" s="26" t="s">
        <v>1532</v>
      </c>
      <c r="G6" s="26" t="s">
        <v>1532</v>
      </c>
      <c r="H6" s="26" t="s">
        <v>1532</v>
      </c>
      <c r="I6" s="26" t="s">
        <v>1532</v>
      </c>
      <c r="J6" s="26" t="s">
        <v>1532</v>
      </c>
      <c r="K6" s="112" t="s">
        <v>1533</v>
      </c>
      <c r="L6" s="28" t="s">
        <v>1534</v>
      </c>
      <c r="M6" s="28"/>
    </row>
    <row r="7" customFormat="false" ht="17.25" hidden="false" customHeight="true" outlineLevel="0" collapsed="false">
      <c r="B7" s="31" t="s">
        <v>1535</v>
      </c>
      <c r="C7" s="29" t="s">
        <v>1532</v>
      </c>
      <c r="D7" s="29" t="s">
        <v>1532</v>
      </c>
      <c r="E7" s="29" t="s">
        <v>1532</v>
      </c>
      <c r="F7" s="29" t="s">
        <v>1532</v>
      </c>
      <c r="G7" s="29" t="s">
        <v>1532</v>
      </c>
      <c r="H7" s="29" t="s">
        <v>1532</v>
      </c>
      <c r="I7" s="29" t="s">
        <v>1532</v>
      </c>
      <c r="J7" s="113" t="s">
        <v>166</v>
      </c>
      <c r="K7" s="29" t="s">
        <v>1532</v>
      </c>
      <c r="L7" s="31" t="s">
        <v>1534</v>
      </c>
      <c r="M7" s="31"/>
    </row>
    <row r="8" customFormat="false" ht="17.25" hidden="false" customHeight="true" outlineLevel="0" collapsed="false">
      <c r="B8" s="28" t="s">
        <v>1536</v>
      </c>
      <c r="C8" s="26" t="s">
        <v>1532</v>
      </c>
      <c r="D8" s="114" t="s">
        <v>1537</v>
      </c>
      <c r="E8" s="114" t="s">
        <v>1537</v>
      </c>
      <c r="F8" s="26" t="s">
        <v>1532</v>
      </c>
      <c r="G8" s="114" t="s">
        <v>1537</v>
      </c>
      <c r="H8" s="26" t="s">
        <v>1532</v>
      </c>
      <c r="I8" s="26" t="s">
        <v>1532</v>
      </c>
      <c r="J8" s="26" t="s">
        <v>1532</v>
      </c>
      <c r="K8" s="112" t="s">
        <v>1533</v>
      </c>
      <c r="L8" s="28" t="s">
        <v>1534</v>
      </c>
      <c r="M8" s="28"/>
    </row>
    <row r="9" customFormat="false" ht="17.25" hidden="false" customHeight="true" outlineLevel="0" collapsed="false">
      <c r="B9" s="31" t="s">
        <v>1538</v>
      </c>
      <c r="C9" s="29" t="s">
        <v>1532</v>
      </c>
      <c r="D9" s="29" t="s">
        <v>1532</v>
      </c>
      <c r="E9" s="29" t="s">
        <v>1532</v>
      </c>
      <c r="F9" s="29" t="s">
        <v>1532</v>
      </c>
      <c r="G9" s="29" t="s">
        <v>1532</v>
      </c>
      <c r="H9" s="113" t="s">
        <v>166</v>
      </c>
      <c r="I9" s="113" t="s">
        <v>166</v>
      </c>
      <c r="J9" s="113" t="s">
        <v>166</v>
      </c>
      <c r="K9" s="114" t="s">
        <v>1539</v>
      </c>
      <c r="L9" s="31" t="s">
        <v>1540</v>
      </c>
      <c r="M9" s="31"/>
    </row>
    <row r="10" customFormat="false" ht="17.25" hidden="false" customHeight="true" outlineLevel="0" collapsed="false">
      <c r="B10" s="28" t="s">
        <v>1541</v>
      </c>
      <c r="C10" s="113" t="s">
        <v>166</v>
      </c>
      <c r="D10" s="114" t="s">
        <v>1537</v>
      </c>
      <c r="E10" s="114" t="s">
        <v>1537</v>
      </c>
      <c r="F10" s="26" t="s">
        <v>1532</v>
      </c>
      <c r="G10" s="114" t="s">
        <v>1537</v>
      </c>
      <c r="H10" s="26" t="s">
        <v>1532</v>
      </c>
      <c r="I10" s="114" t="s">
        <v>1537</v>
      </c>
      <c r="J10" s="114" t="s">
        <v>1537</v>
      </c>
      <c r="K10" s="114" t="s">
        <v>1539</v>
      </c>
      <c r="L10" s="28" t="s">
        <v>1534</v>
      </c>
      <c r="M10" s="28"/>
    </row>
    <row r="11" customFormat="false" ht="17.25" hidden="false" customHeight="true" outlineLevel="0" collapsed="false">
      <c r="B11" s="31" t="s">
        <v>1542</v>
      </c>
      <c r="C11" s="29" t="s">
        <v>1532</v>
      </c>
      <c r="D11" s="29" t="s">
        <v>1532</v>
      </c>
      <c r="E11" s="29" t="s">
        <v>1532</v>
      </c>
      <c r="F11" s="113" t="s">
        <v>166</v>
      </c>
      <c r="G11" s="29" t="s">
        <v>1532</v>
      </c>
      <c r="H11" s="114" t="s">
        <v>1537</v>
      </c>
      <c r="I11" s="114" t="s">
        <v>1537</v>
      </c>
      <c r="J11" s="29" t="s">
        <v>1532</v>
      </c>
      <c r="K11" s="114" t="s">
        <v>1539</v>
      </c>
      <c r="L11" s="31" t="s">
        <v>1534</v>
      </c>
      <c r="M11" s="31"/>
    </row>
    <row r="12" customFormat="false" ht="17.25" hidden="false" customHeight="true" outlineLevel="0" collapsed="false">
      <c r="B12" s="28" t="s">
        <v>514</v>
      </c>
      <c r="C12" s="113" t="s">
        <v>166</v>
      </c>
      <c r="D12" s="26" t="s">
        <v>1532</v>
      </c>
      <c r="E12" s="26" t="s">
        <v>1532</v>
      </c>
      <c r="F12" s="114" t="s">
        <v>1537</v>
      </c>
      <c r="G12" s="26" t="s">
        <v>1532</v>
      </c>
      <c r="H12" s="113" t="s">
        <v>166</v>
      </c>
      <c r="I12" s="113" t="s">
        <v>166</v>
      </c>
      <c r="J12" s="113" t="s">
        <v>166</v>
      </c>
      <c r="K12" s="114" t="s">
        <v>1539</v>
      </c>
      <c r="L12" s="28" t="s">
        <v>1540</v>
      </c>
      <c r="M12" s="28"/>
    </row>
    <row r="13" customFormat="false" ht="17.25" hidden="false" customHeight="true" outlineLevel="0" collapsed="false">
      <c r="B13" s="31" t="s">
        <v>890</v>
      </c>
      <c r="C13" s="113" t="s">
        <v>166</v>
      </c>
      <c r="D13" s="29" t="s">
        <v>1532</v>
      </c>
      <c r="E13" s="29" t="s">
        <v>1532</v>
      </c>
      <c r="F13" s="113" t="s">
        <v>166</v>
      </c>
      <c r="G13" s="113" t="s">
        <v>166</v>
      </c>
      <c r="H13" s="113" t="s">
        <v>166</v>
      </c>
      <c r="I13" s="114" t="s">
        <v>1537</v>
      </c>
      <c r="J13" s="114" t="s">
        <v>1537</v>
      </c>
      <c r="K13" s="114" t="s">
        <v>1543</v>
      </c>
      <c r="L13" s="31" t="s">
        <v>1544</v>
      </c>
      <c r="M13" s="31"/>
    </row>
    <row r="14" customFormat="false" ht="17.25" hidden="false" customHeight="true" outlineLevel="0" collapsed="false">
      <c r="B14" s="28" t="s">
        <v>1545</v>
      </c>
      <c r="C14" s="26" t="s">
        <v>1532</v>
      </c>
      <c r="D14" s="26" t="s">
        <v>1532</v>
      </c>
      <c r="E14" s="26" t="s">
        <v>1532</v>
      </c>
      <c r="F14" s="26" t="s">
        <v>1532</v>
      </c>
      <c r="G14" s="26" t="s">
        <v>1532</v>
      </c>
      <c r="H14" s="26" t="s">
        <v>1532</v>
      </c>
      <c r="I14" s="26" t="s">
        <v>1532</v>
      </c>
      <c r="J14" s="26" t="s">
        <v>1532</v>
      </c>
      <c r="K14" s="26" t="s">
        <v>1532</v>
      </c>
      <c r="L14" s="28" t="s">
        <v>1546</v>
      </c>
      <c r="M14" s="28"/>
    </row>
    <row r="15" customFormat="false" ht="17.25" hidden="false" customHeight="true" outlineLevel="0" collapsed="false">
      <c r="B15" s="31" t="s">
        <v>741</v>
      </c>
      <c r="C15" s="113" t="s">
        <v>166</v>
      </c>
      <c r="D15" s="29" t="s">
        <v>1532</v>
      </c>
      <c r="E15" s="113" t="s">
        <v>166</v>
      </c>
      <c r="F15" s="114" t="s">
        <v>1537</v>
      </c>
      <c r="G15" s="113" t="s">
        <v>166</v>
      </c>
      <c r="H15" s="114" t="s">
        <v>1537</v>
      </c>
      <c r="I15" s="113" t="s">
        <v>166</v>
      </c>
      <c r="J15" s="113" t="s">
        <v>166</v>
      </c>
      <c r="K15" s="114" t="s">
        <v>1539</v>
      </c>
      <c r="L15" s="31" t="s">
        <v>1547</v>
      </c>
      <c r="M15" s="31"/>
    </row>
    <row r="16" customFormat="false" ht="17.25" hidden="false" customHeight="true" outlineLevel="0" collapsed="false">
      <c r="B16" s="28" t="s">
        <v>1548</v>
      </c>
      <c r="C16" s="113" t="s">
        <v>166</v>
      </c>
      <c r="D16" s="113" t="s">
        <v>166</v>
      </c>
      <c r="E16" s="113" t="s">
        <v>166</v>
      </c>
      <c r="F16" s="113" t="s">
        <v>166</v>
      </c>
      <c r="G16" s="113" t="s">
        <v>166</v>
      </c>
      <c r="H16" s="114" t="s">
        <v>1537</v>
      </c>
      <c r="I16" s="113" t="s">
        <v>166</v>
      </c>
      <c r="J16" s="113" t="s">
        <v>166</v>
      </c>
      <c r="K16" s="114" t="s">
        <v>1539</v>
      </c>
      <c r="L16" s="28" t="s">
        <v>1549</v>
      </c>
      <c r="M16" s="28"/>
    </row>
    <row r="18" customFormat="false" ht="18" hidden="false" customHeight="true" outlineLevel="0" collapsed="false">
      <c r="B18" s="4" t="s">
        <v>140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customFormat="false" ht="15" hidden="false" customHeight="true" outlineLevel="0" collapsed="false">
      <c r="B19" s="115" t="s">
        <v>1537</v>
      </c>
      <c r="C19" s="116" t="s">
        <v>1550</v>
      </c>
      <c r="D19" s="116"/>
      <c r="E19" s="116"/>
      <c r="F19" s="116"/>
      <c r="G19" s="116"/>
      <c r="H19" s="116"/>
      <c r="I19" s="116"/>
      <c r="J19" s="116"/>
      <c r="K19" s="116"/>
    </row>
    <row r="20" customFormat="false" ht="15" hidden="false" customHeight="true" outlineLevel="0" collapsed="false">
      <c r="B20" s="117" t="s">
        <v>1533</v>
      </c>
      <c r="C20" s="116" t="s">
        <v>1551</v>
      </c>
      <c r="D20" s="116"/>
      <c r="E20" s="116"/>
      <c r="F20" s="116"/>
      <c r="G20" s="116"/>
      <c r="H20" s="116"/>
      <c r="I20" s="116"/>
      <c r="J20" s="116"/>
      <c r="K20" s="116"/>
    </row>
    <row r="21" customFormat="false" ht="15" hidden="false" customHeight="true" outlineLevel="0" collapsed="false">
      <c r="B21" s="118" t="s">
        <v>166</v>
      </c>
      <c r="C21" s="116" t="s">
        <v>1552</v>
      </c>
      <c r="D21" s="116"/>
      <c r="E21" s="116"/>
      <c r="F21" s="116"/>
      <c r="G21" s="116"/>
      <c r="H21" s="116"/>
      <c r="I21" s="116"/>
      <c r="J21" s="116"/>
      <c r="K21" s="116"/>
    </row>
    <row r="22" customFormat="false" ht="15" hidden="false" customHeight="false" outlineLevel="0" collapsed="false">
      <c r="B22" s="22" t="s">
        <v>1553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customFormat="false" ht="15" hidden="false" customHeight="false" outlineLevel="0" collapsed="false">
      <c r="B23" s="22" t="s">
        <v>1554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customFormat="false" ht="15" hidden="false" customHeight="false" outlineLevel="0" collapsed="false">
      <c r="B24" s="22" t="s">
        <v>1555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6" customFormat="false" ht="15" hidden="false" customHeight="false" outlineLevel="0" collapsed="false">
      <c r="B26" s="23" t="s">
        <v>1556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</sheetData>
  <mergeCells count="23">
    <mergeCell ref="B2:K2"/>
    <mergeCell ref="L2:M2"/>
    <mergeCell ref="B3:M3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B18:M18"/>
    <mergeCell ref="C19:K19"/>
    <mergeCell ref="C20:K20"/>
    <mergeCell ref="C21:K21"/>
    <mergeCell ref="B22:M22"/>
    <mergeCell ref="B23:M23"/>
    <mergeCell ref="B24:M24"/>
    <mergeCell ref="B26:M26"/>
  </mergeCells>
  <hyperlinks>
    <hyperlink ref="L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9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48"/>
    <col collapsed="false" customWidth="true" hidden="false" outlineLevel="0" max="6" min="6" style="0" width="20"/>
  </cols>
  <sheetData>
    <row r="2" customFormat="false" ht="27.75" hidden="false" customHeight="true" outlineLevel="0" collapsed="false">
      <c r="B2" s="24" t="s">
        <v>1557</v>
      </c>
      <c r="C2" s="24"/>
      <c r="D2" s="24"/>
      <c r="E2" s="2" t="s">
        <v>1</v>
      </c>
      <c r="F2" s="2"/>
    </row>
    <row r="3" customFormat="false" ht="15" hidden="false" customHeight="true" outlineLevel="0" collapsed="false">
      <c r="B3" s="3" t="s">
        <v>1558</v>
      </c>
      <c r="C3" s="3"/>
      <c r="D3" s="3"/>
      <c r="E3" s="3"/>
      <c r="F3" s="3"/>
    </row>
    <row r="5" customFormat="false" ht="21.75" hidden="false" customHeight="true" outlineLevel="0" collapsed="false">
      <c r="B5" s="25" t="s">
        <v>151</v>
      </c>
      <c r="C5" s="25" t="s">
        <v>933</v>
      </c>
      <c r="D5" s="25" t="s">
        <v>1559</v>
      </c>
      <c r="E5" s="25" t="s">
        <v>1560</v>
      </c>
      <c r="F5" s="25" t="s">
        <v>934</v>
      </c>
    </row>
    <row r="6" customFormat="false" ht="30" hidden="false" customHeight="true" outlineLevel="0" collapsed="false">
      <c r="B6" s="26" t="s">
        <v>1561</v>
      </c>
      <c r="C6" s="28" t="s">
        <v>1562</v>
      </c>
      <c r="D6" s="28" t="s">
        <v>1563</v>
      </c>
      <c r="E6" s="28" t="s">
        <v>1564</v>
      </c>
      <c r="F6" s="61" t="s">
        <v>1565</v>
      </c>
    </row>
    <row r="7" customFormat="false" ht="42" hidden="false" customHeight="true" outlineLevel="0" collapsed="false">
      <c r="B7" s="29" t="s">
        <v>1566</v>
      </c>
      <c r="C7" s="31" t="s">
        <v>1567</v>
      </c>
      <c r="D7" s="31" t="s">
        <v>1568</v>
      </c>
      <c r="E7" s="31" t="s">
        <v>1569</v>
      </c>
      <c r="F7" s="61" t="s">
        <v>1565</v>
      </c>
    </row>
    <row r="8" customFormat="false" ht="42" hidden="false" customHeight="true" outlineLevel="0" collapsed="false">
      <c r="B8" s="26" t="s">
        <v>1570</v>
      </c>
      <c r="C8" s="28" t="s">
        <v>1571</v>
      </c>
      <c r="D8" s="28" t="s">
        <v>1572</v>
      </c>
      <c r="E8" s="28" t="s">
        <v>1573</v>
      </c>
      <c r="F8" s="61" t="s">
        <v>1565</v>
      </c>
    </row>
    <row r="9" customFormat="false" ht="30" hidden="false" customHeight="true" outlineLevel="0" collapsed="false">
      <c r="B9" s="29" t="s">
        <v>1574</v>
      </c>
      <c r="C9" s="31" t="s">
        <v>1575</v>
      </c>
      <c r="D9" s="31" t="s">
        <v>1576</v>
      </c>
      <c r="E9" s="31" t="s">
        <v>1577</v>
      </c>
      <c r="F9" s="61" t="s">
        <v>1565</v>
      </c>
    </row>
    <row r="10" customFormat="false" ht="42" hidden="false" customHeight="true" outlineLevel="0" collapsed="false">
      <c r="B10" s="26" t="s">
        <v>1578</v>
      </c>
      <c r="C10" s="28" t="s">
        <v>1579</v>
      </c>
      <c r="D10" s="28" t="s">
        <v>1580</v>
      </c>
      <c r="E10" s="28" t="s">
        <v>1581</v>
      </c>
      <c r="F10" s="61" t="s">
        <v>1565</v>
      </c>
    </row>
    <row r="11" customFormat="false" ht="30" hidden="false" customHeight="true" outlineLevel="0" collapsed="false">
      <c r="B11" s="29" t="s">
        <v>1582</v>
      </c>
      <c r="C11" s="31" t="s">
        <v>1583</v>
      </c>
      <c r="D11" s="31" t="s">
        <v>1584</v>
      </c>
      <c r="E11" s="31" t="s">
        <v>1585</v>
      </c>
      <c r="F11" s="61" t="s">
        <v>1565</v>
      </c>
    </row>
    <row r="12" customFormat="false" ht="30" hidden="false" customHeight="true" outlineLevel="0" collapsed="false">
      <c r="B12" s="26" t="s">
        <v>1586</v>
      </c>
      <c r="C12" s="28" t="s">
        <v>1587</v>
      </c>
      <c r="D12" s="28" t="s">
        <v>1588</v>
      </c>
      <c r="E12" s="28" t="s">
        <v>1589</v>
      </c>
      <c r="F12" s="61" t="s">
        <v>1565</v>
      </c>
    </row>
    <row r="13" customFormat="false" ht="17.25" hidden="false" customHeight="true" outlineLevel="0" collapsed="false">
      <c r="B13" s="29" t="s">
        <v>1590</v>
      </c>
      <c r="C13" s="31" t="s">
        <v>1591</v>
      </c>
      <c r="D13" s="31" t="s">
        <v>1592</v>
      </c>
      <c r="E13" s="31" t="s">
        <v>1593</v>
      </c>
      <c r="F13" s="61" t="s">
        <v>1565</v>
      </c>
    </row>
    <row r="14" customFormat="false" ht="17.25" hidden="false" customHeight="true" outlineLevel="0" collapsed="false">
      <c r="B14" s="26" t="s">
        <v>1594</v>
      </c>
      <c r="C14" s="28" t="s">
        <v>1595</v>
      </c>
      <c r="D14" s="28" t="s">
        <v>1596</v>
      </c>
      <c r="E14" s="28" t="s">
        <v>1597</v>
      </c>
      <c r="F14" s="61" t="s">
        <v>1565</v>
      </c>
    </row>
    <row r="15" customFormat="false" ht="30" hidden="false" customHeight="true" outlineLevel="0" collapsed="false">
      <c r="B15" s="29" t="s">
        <v>1598</v>
      </c>
      <c r="C15" s="31" t="s">
        <v>1599</v>
      </c>
      <c r="D15" s="31" t="s">
        <v>1600</v>
      </c>
      <c r="E15" s="31" t="s">
        <v>1601</v>
      </c>
      <c r="F15" s="61" t="s">
        <v>1565</v>
      </c>
    </row>
    <row r="16" customFormat="false" ht="30" hidden="false" customHeight="true" outlineLevel="0" collapsed="false">
      <c r="B16" s="26" t="s">
        <v>1602</v>
      </c>
      <c r="C16" s="28" t="s">
        <v>1603</v>
      </c>
      <c r="D16" s="28" t="s">
        <v>1604</v>
      </c>
      <c r="E16" s="28" t="s">
        <v>1605</v>
      </c>
      <c r="F16" s="61" t="s">
        <v>1565</v>
      </c>
    </row>
    <row r="17" customFormat="false" ht="17.25" hidden="false" customHeight="true" outlineLevel="0" collapsed="false">
      <c r="B17" s="29" t="s">
        <v>1606</v>
      </c>
      <c r="C17" s="31" t="s">
        <v>1607</v>
      </c>
      <c r="D17" s="31" t="s">
        <v>1608</v>
      </c>
      <c r="E17" s="31" t="s">
        <v>1609</v>
      </c>
      <c r="F17" s="61" t="s">
        <v>1565</v>
      </c>
    </row>
    <row r="18" customFormat="false" ht="30" hidden="false" customHeight="true" outlineLevel="0" collapsed="false">
      <c r="B18" s="26" t="s">
        <v>1610</v>
      </c>
      <c r="C18" s="28" t="s">
        <v>1611</v>
      </c>
      <c r="D18" s="28" t="s">
        <v>1612</v>
      </c>
      <c r="E18" s="28" t="s">
        <v>1613</v>
      </c>
      <c r="F18" s="61" t="s">
        <v>1565</v>
      </c>
    </row>
    <row r="19" customFormat="false" ht="17.25" hidden="false" customHeight="true" outlineLevel="0" collapsed="false">
      <c r="B19" s="29" t="s">
        <v>1614</v>
      </c>
      <c r="C19" s="31" t="s">
        <v>1615</v>
      </c>
      <c r="D19" s="31" t="s">
        <v>1616</v>
      </c>
      <c r="E19" s="31" t="s">
        <v>1617</v>
      </c>
      <c r="F19" s="61" t="s">
        <v>1565</v>
      </c>
    </row>
    <row r="20" customFormat="false" ht="30" hidden="false" customHeight="true" outlineLevel="0" collapsed="false">
      <c r="B20" s="26" t="s">
        <v>1618</v>
      </c>
      <c r="C20" s="28" t="s">
        <v>1619</v>
      </c>
      <c r="D20" s="28" t="s">
        <v>1620</v>
      </c>
      <c r="E20" s="28" t="s">
        <v>1621</v>
      </c>
      <c r="F20" s="61" t="s">
        <v>1565</v>
      </c>
    </row>
    <row r="21" customFormat="false" ht="17.25" hidden="false" customHeight="true" outlineLevel="0" collapsed="false">
      <c r="B21" s="29" t="s">
        <v>1622</v>
      </c>
      <c r="C21" s="31" t="s">
        <v>1623</v>
      </c>
      <c r="D21" s="31" t="s">
        <v>1624</v>
      </c>
      <c r="E21" s="31" t="s">
        <v>1625</v>
      </c>
      <c r="F21" s="61" t="s">
        <v>1565</v>
      </c>
    </row>
    <row r="22" customFormat="false" ht="17.25" hidden="false" customHeight="true" outlineLevel="0" collapsed="false">
      <c r="B22" s="26" t="s">
        <v>1626</v>
      </c>
      <c r="C22" s="28" t="s">
        <v>1627</v>
      </c>
      <c r="D22" s="28" t="s">
        <v>1628</v>
      </c>
      <c r="E22" s="28" t="s">
        <v>1629</v>
      </c>
      <c r="F22" s="61" t="s">
        <v>1565</v>
      </c>
    </row>
    <row r="23" customFormat="false" ht="30" hidden="false" customHeight="true" outlineLevel="0" collapsed="false">
      <c r="B23" s="29" t="s">
        <v>1630</v>
      </c>
      <c r="C23" s="31" t="s">
        <v>1631</v>
      </c>
      <c r="D23" s="31" t="s">
        <v>1632</v>
      </c>
      <c r="E23" s="31" t="s">
        <v>1633</v>
      </c>
      <c r="F23" s="61" t="s">
        <v>1565</v>
      </c>
    </row>
    <row r="24" customFormat="false" ht="30" hidden="false" customHeight="true" outlineLevel="0" collapsed="false">
      <c r="B24" s="26" t="s">
        <v>1634</v>
      </c>
      <c r="C24" s="28" t="s">
        <v>1635</v>
      </c>
      <c r="D24" s="28" t="s">
        <v>1636</v>
      </c>
      <c r="E24" s="28" t="s">
        <v>1637</v>
      </c>
      <c r="F24" s="61" t="s">
        <v>1565</v>
      </c>
    </row>
    <row r="25" customFormat="false" ht="17.25" hidden="false" customHeight="true" outlineLevel="0" collapsed="false">
      <c r="B25" s="29" t="s">
        <v>1638</v>
      </c>
      <c r="C25" s="31" t="s">
        <v>1639</v>
      </c>
      <c r="D25" s="31" t="s">
        <v>1640</v>
      </c>
      <c r="E25" s="31" t="s">
        <v>1641</v>
      </c>
      <c r="F25" s="61" t="s">
        <v>1565</v>
      </c>
    </row>
    <row r="26" customFormat="false" ht="30" hidden="false" customHeight="true" outlineLevel="0" collapsed="false">
      <c r="B26" s="26" t="s">
        <v>1642</v>
      </c>
      <c r="C26" s="28" t="s">
        <v>1643</v>
      </c>
      <c r="D26" s="28" t="s">
        <v>1644</v>
      </c>
      <c r="E26" s="28" t="s">
        <v>1645</v>
      </c>
      <c r="F26" s="61" t="s">
        <v>1565</v>
      </c>
    </row>
    <row r="27" customFormat="false" ht="30" hidden="false" customHeight="true" outlineLevel="0" collapsed="false">
      <c r="B27" s="29" t="s">
        <v>1646</v>
      </c>
      <c r="C27" s="31" t="s">
        <v>1647</v>
      </c>
      <c r="D27" s="31" t="s">
        <v>1648</v>
      </c>
      <c r="E27" s="31" t="s">
        <v>1649</v>
      </c>
      <c r="F27" s="61" t="s">
        <v>1565</v>
      </c>
    </row>
    <row r="28" customFormat="false" ht="42" hidden="false" customHeight="true" outlineLevel="0" collapsed="false">
      <c r="B28" s="26" t="s">
        <v>1650</v>
      </c>
      <c r="C28" s="28" t="s">
        <v>1651</v>
      </c>
      <c r="D28" s="28" t="s">
        <v>1652</v>
      </c>
      <c r="E28" s="28" t="s">
        <v>1653</v>
      </c>
      <c r="F28" s="61" t="s">
        <v>1565</v>
      </c>
    </row>
    <row r="29" customFormat="false" ht="30" hidden="false" customHeight="true" outlineLevel="0" collapsed="false">
      <c r="B29" s="29" t="s">
        <v>1654</v>
      </c>
      <c r="C29" s="31" t="s">
        <v>1655</v>
      </c>
      <c r="D29" s="31" t="s">
        <v>1656</v>
      </c>
      <c r="E29" s="31" t="s">
        <v>1657</v>
      </c>
      <c r="F29" s="61" t="s">
        <v>1565</v>
      </c>
    </row>
    <row r="31" customFormat="false" ht="15" hidden="false" customHeight="false" outlineLevel="0" collapsed="false">
      <c r="B31" s="22" t="s">
        <v>1658</v>
      </c>
      <c r="C31" s="22"/>
      <c r="D31" s="22"/>
      <c r="E31" s="22"/>
      <c r="F31" s="22"/>
    </row>
    <row r="32" customFormat="false" ht="15" hidden="false" customHeight="false" outlineLevel="0" collapsed="false">
      <c r="B32" s="22" t="s">
        <v>1659</v>
      </c>
      <c r="C32" s="22"/>
      <c r="D32" s="22"/>
      <c r="E32" s="22"/>
      <c r="F32" s="22"/>
    </row>
    <row r="33" customFormat="false" ht="15" hidden="false" customHeight="false" outlineLevel="0" collapsed="false">
      <c r="B33" s="22" t="s">
        <v>1660</v>
      </c>
      <c r="C33" s="22"/>
      <c r="D33" s="22"/>
      <c r="E33" s="22"/>
      <c r="F33" s="22"/>
    </row>
    <row r="34" customFormat="false" ht="15" hidden="false" customHeight="false" outlineLevel="0" collapsed="false">
      <c r="B34" s="22" t="s">
        <v>1661</v>
      </c>
      <c r="C34" s="22"/>
      <c r="D34" s="22"/>
      <c r="E34" s="22"/>
      <c r="F34" s="22"/>
    </row>
    <row r="36" customFormat="false" ht="15" hidden="false" customHeight="false" outlineLevel="0" collapsed="false">
      <c r="B36" s="23" t="s">
        <v>1662</v>
      </c>
      <c r="C36" s="23"/>
      <c r="D36" s="23"/>
      <c r="E36" s="23"/>
      <c r="F36" s="23"/>
    </row>
  </sheetData>
  <autoFilter ref="B5:F29"/>
  <mergeCells count="8">
    <mergeCell ref="B2:D2"/>
    <mergeCell ref="E2:F2"/>
    <mergeCell ref="B3:F3"/>
    <mergeCell ref="B31:F31"/>
    <mergeCell ref="B32:F32"/>
    <mergeCell ref="B33:F33"/>
    <mergeCell ref="B34:F34"/>
    <mergeCell ref="B36:F36"/>
  </mergeCells>
  <hyperlinks>
    <hyperlink ref="E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B2:U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1" min="2" style="0" width="10.51"/>
  </cols>
  <sheetData>
    <row r="2" customFormat="false" ht="27.75" hidden="false" customHeight="true" outlineLevel="0" collapsed="false">
      <c r="B2" s="24" t="s">
        <v>1663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" t="s">
        <v>1</v>
      </c>
      <c r="U2" s="2"/>
    </row>
    <row r="3" customFormat="false" ht="15" hidden="false" customHeight="true" outlineLevel="0" collapsed="false">
      <c r="B3" s="3" t="s">
        <v>1664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5" customFormat="false" ht="18" hidden="false" customHeight="true" outlineLevel="0" collapsed="false">
      <c r="B5" s="4" t="s">
        <v>1665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</row>
    <row r="6" customFormat="false" ht="21.75" hidden="false" customHeight="true" outlineLevel="0" collapsed="false">
      <c r="B6" s="40" t="s">
        <v>1666</v>
      </c>
      <c r="C6" s="40"/>
      <c r="D6" s="40" t="s">
        <v>1667</v>
      </c>
      <c r="E6" s="40"/>
      <c r="F6" s="40" t="s">
        <v>1668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 t="s">
        <v>1669</v>
      </c>
      <c r="R6" s="40"/>
      <c r="S6" s="40"/>
      <c r="T6" s="40"/>
      <c r="U6" s="40"/>
    </row>
    <row r="7" customFormat="false" ht="42" hidden="false" customHeight="true" outlineLevel="0" collapsed="false">
      <c r="B7" s="119" t="s">
        <v>167</v>
      </c>
      <c r="C7" s="119"/>
      <c r="D7" s="8" t="s">
        <v>1670</v>
      </c>
      <c r="E7" s="8"/>
      <c r="F7" s="28" t="s">
        <v>1671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 t="s">
        <v>1672</v>
      </c>
      <c r="R7" s="28"/>
      <c r="S7" s="28"/>
      <c r="T7" s="28"/>
      <c r="U7" s="28"/>
    </row>
    <row r="8" customFormat="false" ht="30" hidden="false" customHeight="true" outlineLevel="0" collapsed="false">
      <c r="B8" s="120" t="s">
        <v>1236</v>
      </c>
      <c r="C8" s="120"/>
      <c r="D8" s="10" t="s">
        <v>1673</v>
      </c>
      <c r="E8" s="10"/>
      <c r="F8" s="31" t="s">
        <v>1674</v>
      </c>
      <c r="G8" s="31"/>
      <c r="H8" s="31"/>
      <c r="I8" s="31"/>
      <c r="J8" s="31"/>
      <c r="K8" s="31"/>
      <c r="L8" s="31"/>
      <c r="M8" s="31"/>
      <c r="N8" s="31"/>
      <c r="O8" s="31"/>
      <c r="P8" s="31"/>
      <c r="Q8" s="31" t="s">
        <v>1675</v>
      </c>
      <c r="R8" s="31"/>
      <c r="S8" s="31"/>
      <c r="T8" s="31"/>
      <c r="U8" s="31"/>
    </row>
    <row r="9" customFormat="false" ht="30" hidden="false" customHeight="true" outlineLevel="0" collapsed="false">
      <c r="B9" s="121" t="s">
        <v>1676</v>
      </c>
      <c r="C9" s="121"/>
      <c r="D9" s="8" t="s">
        <v>1677</v>
      </c>
      <c r="E9" s="8"/>
      <c r="F9" s="28" t="s">
        <v>1678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 t="s">
        <v>1679</v>
      </c>
      <c r="R9" s="28"/>
      <c r="S9" s="28"/>
      <c r="T9" s="28"/>
      <c r="U9" s="28"/>
    </row>
    <row r="10" customFormat="false" ht="30" hidden="false" customHeight="true" outlineLevel="0" collapsed="false">
      <c r="B10" s="122" t="s">
        <v>1680</v>
      </c>
      <c r="C10" s="122"/>
      <c r="D10" s="10" t="s">
        <v>1681</v>
      </c>
      <c r="E10" s="10"/>
      <c r="F10" s="31" t="s">
        <v>1682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 t="s">
        <v>1683</v>
      </c>
      <c r="R10" s="31"/>
      <c r="S10" s="31"/>
      <c r="T10" s="31"/>
      <c r="U10" s="31"/>
    </row>
    <row r="12" customFormat="false" ht="18" hidden="false" customHeight="true" outlineLevel="0" collapsed="false">
      <c r="B12" s="4" t="s">
        <v>1684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customFormat="false" ht="19.5" hidden="false" customHeight="true" outlineLevel="0" collapsed="false">
      <c r="B13" s="25" t="s">
        <v>1685</v>
      </c>
      <c r="C13" s="40" t="s">
        <v>1686</v>
      </c>
      <c r="D13" s="40"/>
      <c r="E13" s="40"/>
      <c r="F13" s="40"/>
      <c r="G13" s="40"/>
      <c r="H13" s="40"/>
      <c r="I13" s="40"/>
      <c r="J13" s="40"/>
      <c r="K13" s="40"/>
      <c r="L13" s="40"/>
      <c r="M13" s="40" t="s">
        <v>1687</v>
      </c>
      <c r="N13" s="40"/>
      <c r="O13" s="40"/>
      <c r="P13" s="40"/>
      <c r="Q13" s="40"/>
      <c r="R13" s="40"/>
      <c r="S13" s="40" t="s">
        <v>1204</v>
      </c>
      <c r="T13" s="40"/>
      <c r="U13" s="40"/>
    </row>
    <row r="14" customFormat="false" ht="17.25" hidden="false" customHeight="true" outlineLevel="0" collapsed="false">
      <c r="B14" s="26" t="n">
        <v>1</v>
      </c>
      <c r="C14" s="28" t="s">
        <v>1688</v>
      </c>
      <c r="D14" s="28"/>
      <c r="E14" s="28"/>
      <c r="F14" s="28"/>
      <c r="G14" s="28"/>
      <c r="H14" s="28"/>
      <c r="I14" s="28"/>
      <c r="J14" s="28"/>
      <c r="K14" s="28"/>
      <c r="L14" s="28"/>
      <c r="M14" s="28" t="s">
        <v>1689</v>
      </c>
      <c r="N14" s="28"/>
      <c r="O14" s="28"/>
      <c r="P14" s="28"/>
      <c r="Q14" s="28"/>
      <c r="R14" s="28"/>
      <c r="S14" s="61" t="s">
        <v>1236</v>
      </c>
      <c r="T14" s="61"/>
      <c r="U14" s="61"/>
    </row>
    <row r="15" customFormat="false" ht="17.25" hidden="false" customHeight="true" outlineLevel="0" collapsed="false">
      <c r="B15" s="29" t="n">
        <v>2</v>
      </c>
      <c r="C15" s="31" t="s">
        <v>1690</v>
      </c>
      <c r="D15" s="31"/>
      <c r="E15" s="31"/>
      <c r="F15" s="31"/>
      <c r="G15" s="31"/>
      <c r="H15" s="31"/>
      <c r="I15" s="31"/>
      <c r="J15" s="31"/>
      <c r="K15" s="31"/>
      <c r="L15" s="31"/>
      <c r="M15" s="31" t="s">
        <v>1691</v>
      </c>
      <c r="N15" s="31"/>
      <c r="O15" s="31"/>
      <c r="P15" s="31"/>
      <c r="Q15" s="31"/>
      <c r="R15" s="31"/>
      <c r="S15" s="61" t="s">
        <v>1236</v>
      </c>
      <c r="T15" s="61"/>
      <c r="U15" s="61"/>
    </row>
    <row r="16" customFormat="false" ht="17.25" hidden="false" customHeight="true" outlineLevel="0" collapsed="false">
      <c r="B16" s="26" t="n">
        <v>3</v>
      </c>
      <c r="C16" s="28" t="s">
        <v>1692</v>
      </c>
      <c r="D16" s="28"/>
      <c r="E16" s="28"/>
      <c r="F16" s="28"/>
      <c r="G16" s="28"/>
      <c r="H16" s="28"/>
      <c r="I16" s="28"/>
      <c r="J16" s="28"/>
      <c r="K16" s="28"/>
      <c r="L16" s="28"/>
      <c r="M16" s="28" t="s">
        <v>1693</v>
      </c>
      <c r="N16" s="28"/>
      <c r="O16" s="28"/>
      <c r="P16" s="28"/>
      <c r="Q16" s="28"/>
      <c r="R16" s="28"/>
      <c r="S16" s="61" t="s">
        <v>1236</v>
      </c>
      <c r="T16" s="61"/>
      <c r="U16" s="61"/>
    </row>
    <row r="17" customFormat="false" ht="17.25" hidden="false" customHeight="true" outlineLevel="0" collapsed="false">
      <c r="B17" s="29" t="n">
        <v>4</v>
      </c>
      <c r="C17" s="31" t="s">
        <v>1694</v>
      </c>
      <c r="D17" s="31"/>
      <c r="E17" s="31"/>
      <c r="F17" s="31"/>
      <c r="G17" s="31"/>
      <c r="H17" s="31"/>
      <c r="I17" s="31"/>
      <c r="J17" s="31"/>
      <c r="K17" s="31"/>
      <c r="L17" s="31"/>
      <c r="M17" s="31" t="s">
        <v>46</v>
      </c>
      <c r="N17" s="31"/>
      <c r="O17" s="31"/>
      <c r="P17" s="31"/>
      <c r="Q17" s="31"/>
      <c r="R17" s="31"/>
      <c r="S17" s="61" t="s">
        <v>1236</v>
      </c>
      <c r="T17" s="61"/>
      <c r="U17" s="61"/>
    </row>
    <row r="18" customFormat="false" ht="17.25" hidden="false" customHeight="true" outlineLevel="0" collapsed="false">
      <c r="B18" s="26" t="n">
        <v>5</v>
      </c>
      <c r="C18" s="28" t="s">
        <v>1695</v>
      </c>
      <c r="D18" s="28"/>
      <c r="E18" s="28"/>
      <c r="F18" s="28"/>
      <c r="G18" s="28"/>
      <c r="H18" s="28"/>
      <c r="I18" s="28"/>
      <c r="J18" s="28"/>
      <c r="K18" s="28"/>
      <c r="L18" s="28"/>
      <c r="M18" s="28" t="s">
        <v>1696</v>
      </c>
      <c r="N18" s="28"/>
      <c r="O18" s="28"/>
      <c r="P18" s="28"/>
      <c r="Q18" s="28"/>
      <c r="R18" s="28"/>
      <c r="S18" s="61" t="s">
        <v>1236</v>
      </c>
      <c r="T18" s="61"/>
      <c r="U18" s="61"/>
    </row>
    <row r="19" customFormat="false" ht="17.25" hidden="false" customHeight="true" outlineLevel="0" collapsed="false">
      <c r="B19" s="29" t="n">
        <v>6</v>
      </c>
      <c r="C19" s="31" t="s">
        <v>1697</v>
      </c>
      <c r="D19" s="31"/>
      <c r="E19" s="31"/>
      <c r="F19" s="31"/>
      <c r="G19" s="31"/>
      <c r="H19" s="31"/>
      <c r="I19" s="31"/>
      <c r="J19" s="31"/>
      <c r="K19" s="31"/>
      <c r="L19" s="31"/>
      <c r="M19" s="31" t="s">
        <v>1693</v>
      </c>
      <c r="N19" s="31"/>
      <c r="O19" s="31"/>
      <c r="P19" s="31"/>
      <c r="Q19" s="31"/>
      <c r="R19" s="31"/>
      <c r="S19" s="56" t="s">
        <v>1676</v>
      </c>
      <c r="T19" s="56"/>
      <c r="U19" s="56"/>
    </row>
    <row r="20" customFormat="false" ht="17.25" hidden="false" customHeight="true" outlineLevel="0" collapsed="false">
      <c r="B20" s="26" t="n">
        <v>7</v>
      </c>
      <c r="C20" s="28" t="s">
        <v>1698</v>
      </c>
      <c r="D20" s="28"/>
      <c r="E20" s="28"/>
      <c r="F20" s="28"/>
      <c r="G20" s="28"/>
      <c r="H20" s="28"/>
      <c r="I20" s="28"/>
      <c r="J20" s="28"/>
      <c r="K20" s="28"/>
      <c r="L20" s="28"/>
      <c r="M20" s="28" t="s">
        <v>1699</v>
      </c>
      <c r="N20" s="28"/>
      <c r="O20" s="28"/>
      <c r="P20" s="28"/>
      <c r="Q20" s="28"/>
      <c r="R20" s="28"/>
      <c r="S20" s="56" t="s">
        <v>1676</v>
      </c>
      <c r="T20" s="56"/>
      <c r="U20" s="56"/>
    </row>
    <row r="21" customFormat="false" ht="17.25" hidden="false" customHeight="true" outlineLevel="0" collapsed="false">
      <c r="B21" s="29" t="n">
        <v>8</v>
      </c>
      <c r="C21" s="31" t="s">
        <v>1700</v>
      </c>
      <c r="D21" s="31"/>
      <c r="E21" s="31"/>
      <c r="F21" s="31"/>
      <c r="G21" s="31"/>
      <c r="H21" s="31"/>
      <c r="I21" s="31"/>
      <c r="J21" s="31"/>
      <c r="K21" s="31"/>
      <c r="L21" s="31"/>
      <c r="M21" s="31" t="s">
        <v>1701</v>
      </c>
      <c r="N21" s="31"/>
      <c r="O21" s="31"/>
      <c r="P21" s="31"/>
      <c r="Q21" s="31"/>
      <c r="R21" s="31"/>
      <c r="S21" s="47" t="s">
        <v>167</v>
      </c>
      <c r="T21" s="47"/>
      <c r="U21" s="47"/>
    </row>
    <row r="23" customFormat="false" ht="15" hidden="false" customHeight="false" outlineLevel="0" collapsed="false">
      <c r="B23" s="22" t="s">
        <v>1702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</row>
    <row r="25" customFormat="false" ht="15" hidden="false" customHeight="false" outlineLevel="0" collapsed="false">
      <c r="B25" s="23" t="s">
        <v>1703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</row>
  </sheetData>
  <mergeCells count="54">
    <mergeCell ref="B2:S2"/>
    <mergeCell ref="T2:U2"/>
    <mergeCell ref="B3:U3"/>
    <mergeCell ref="B5:T5"/>
    <mergeCell ref="B6:C6"/>
    <mergeCell ref="D6:E6"/>
    <mergeCell ref="F6:P6"/>
    <mergeCell ref="Q6:U6"/>
    <mergeCell ref="B7:C7"/>
    <mergeCell ref="D7:E7"/>
    <mergeCell ref="F7:P7"/>
    <mergeCell ref="Q7:U7"/>
    <mergeCell ref="B8:C8"/>
    <mergeCell ref="D8:E8"/>
    <mergeCell ref="F8:P8"/>
    <mergeCell ref="Q8:U8"/>
    <mergeCell ref="B9:C9"/>
    <mergeCell ref="D9:E9"/>
    <mergeCell ref="F9:P9"/>
    <mergeCell ref="Q9:U9"/>
    <mergeCell ref="B10:C10"/>
    <mergeCell ref="D10:E10"/>
    <mergeCell ref="F10:P10"/>
    <mergeCell ref="Q10:U10"/>
    <mergeCell ref="B12:T12"/>
    <mergeCell ref="C13:L13"/>
    <mergeCell ref="M13:R13"/>
    <mergeCell ref="S13:U13"/>
    <mergeCell ref="C14:L14"/>
    <mergeCell ref="M14:R14"/>
    <mergeCell ref="S14:U14"/>
    <mergeCell ref="C15:L15"/>
    <mergeCell ref="M15:R15"/>
    <mergeCell ref="S15:U15"/>
    <mergeCell ref="C16:L16"/>
    <mergeCell ref="M16:R16"/>
    <mergeCell ref="S16:U16"/>
    <mergeCell ref="C17:L17"/>
    <mergeCell ref="M17:R17"/>
    <mergeCell ref="S17:U17"/>
    <mergeCell ref="C18:L18"/>
    <mergeCell ref="M18:R18"/>
    <mergeCell ref="S18:U18"/>
    <mergeCell ref="C19:L19"/>
    <mergeCell ref="M19:R19"/>
    <mergeCell ref="S19:U19"/>
    <mergeCell ref="C20:L20"/>
    <mergeCell ref="M20:R20"/>
    <mergeCell ref="S20:U20"/>
    <mergeCell ref="C21:L21"/>
    <mergeCell ref="M21:R21"/>
    <mergeCell ref="S21:U21"/>
    <mergeCell ref="B23:U23"/>
    <mergeCell ref="B25:U25"/>
  </mergeCells>
  <hyperlinks>
    <hyperlink ref="T2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D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10.85"/>
    <col collapsed="false" customWidth="true" hidden="false" outlineLevel="0" max="3" min="3" style="0" width="9.14"/>
    <col collapsed="false" customWidth="true" hidden="false" outlineLevel="0" max="4" min="4" style="0" width="13.86"/>
    <col collapsed="false" customWidth="true" hidden="false" outlineLevel="0" max="5" min="5" style="0" width="28.42"/>
    <col collapsed="false" customWidth="true" hidden="false" outlineLevel="0" max="6" min="6" style="0" width="19.14"/>
    <col collapsed="false" customWidth="true" hidden="false" outlineLevel="0" max="7" min="7" style="0" width="13.57"/>
    <col collapsed="false" customWidth="true" hidden="false" outlineLevel="0" max="8" min="8" style="0" width="9.14"/>
    <col collapsed="false" customWidth="true" hidden="false" outlineLevel="0" max="9" min="9" style="0" width="23.29"/>
    <col collapsed="false" customWidth="true" hidden="false" outlineLevel="0" max="10" min="10" style="0" width="28.42"/>
    <col collapsed="false" customWidth="true" hidden="false" outlineLevel="0" max="11" min="11" style="0" width="9.14"/>
    <col collapsed="false" customWidth="true" hidden="false" outlineLevel="0" max="13" min="13" style="0" width="19.71"/>
    <col collapsed="false" customWidth="true" hidden="false" outlineLevel="0" max="14" min="14" style="0" width="9.14"/>
    <col collapsed="false" customWidth="true" hidden="false" outlineLevel="0" max="15" min="15" style="0" width="18.29"/>
    <col collapsed="false" customWidth="true" hidden="false" outlineLevel="0" max="16" min="16" style="0" width="11.57"/>
    <col collapsed="false" customWidth="true" hidden="true" outlineLevel="0" max="17" min="17" style="0" width="12.86"/>
    <col collapsed="false" customWidth="true" hidden="false" outlineLevel="0" max="18" min="18" style="0" width="12.42"/>
    <col collapsed="false" customWidth="true" hidden="false" outlineLevel="0" max="19" min="19" style="0" width="25"/>
    <col collapsed="false" customWidth="true" hidden="false" outlineLevel="0" max="20" min="20" style="0" width="19.42"/>
    <col collapsed="false" customWidth="true" hidden="false" outlineLevel="0" max="21" min="21" style="0" width="9.14"/>
    <col collapsed="false" customWidth="true" hidden="false" outlineLevel="0" max="24" min="24" style="0" width="12.29"/>
    <col collapsed="false" customWidth="true" hidden="true" outlineLevel="0" max="25" min="25" style="0" width="13"/>
    <col collapsed="false" customWidth="true" hidden="true" outlineLevel="0" max="28" min="28" style="0" width="14.57"/>
    <col collapsed="false" customWidth="true" hidden="false" outlineLevel="0" max="29" min="29" style="0" width="9.14"/>
  </cols>
  <sheetData>
    <row r="1" customFormat="false" ht="21" hidden="false" customHeight="true" outlineLevel="0" collapsed="false">
      <c r="A1" s="123" t="s">
        <v>1</v>
      </c>
      <c r="B1" s="124" t="s">
        <v>1704</v>
      </c>
      <c r="E1" s="125"/>
      <c r="J1" s="126" t="s">
        <v>1705</v>
      </c>
      <c r="L1" s="127"/>
      <c r="N1" s="128"/>
      <c r="O1" s="128"/>
      <c r="Q1" s="127"/>
      <c r="T1" s="127"/>
      <c r="W1" s="127"/>
    </row>
    <row r="2" customFormat="false" ht="15" hidden="false" customHeight="false" outlineLevel="0" collapsed="false">
      <c r="B2" s="129"/>
      <c r="L2" s="127"/>
      <c r="N2" s="130"/>
      <c r="O2" s="131" t="s">
        <v>1706</v>
      </c>
      <c r="Q2" s="127"/>
      <c r="T2" s="132"/>
      <c r="U2" s="133"/>
      <c r="W2" s="127"/>
    </row>
    <row r="3" customFormat="false" ht="15" hidden="false" customHeight="false" outlineLevel="0" collapsed="false">
      <c r="B3" s="129"/>
      <c r="L3" s="127"/>
      <c r="N3" s="134"/>
      <c r="O3" s="131" t="s">
        <v>1707</v>
      </c>
      <c r="Q3" s="127"/>
      <c r="T3" s="127"/>
      <c r="W3" s="127"/>
    </row>
    <row r="4" customFormat="false" ht="15" hidden="false" customHeight="false" outlineLevel="0" collapsed="false">
      <c r="B4" s="129"/>
      <c r="L4" s="127"/>
      <c r="N4" s="135"/>
      <c r="O4" s="131" t="s">
        <v>1708</v>
      </c>
      <c r="Q4" s="127"/>
      <c r="T4" s="127"/>
      <c r="W4" s="127"/>
    </row>
    <row r="5" customFormat="false" ht="15.75" hidden="false" customHeight="true" outlineLevel="0" collapsed="false"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7" t="s">
        <v>1709</v>
      </c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  <c r="AW5" s="138"/>
      <c r="AX5" s="138"/>
      <c r="AY5" s="138"/>
      <c r="AZ5" s="138"/>
      <c r="BA5" s="138"/>
      <c r="BB5" s="138"/>
      <c r="BC5" s="138"/>
      <c r="BD5" s="138"/>
      <c r="BE5" s="138"/>
      <c r="BF5" s="138"/>
      <c r="BG5" s="138"/>
      <c r="BH5" s="138"/>
      <c r="BI5" s="138"/>
      <c r="BJ5" s="138"/>
      <c r="BK5" s="138"/>
      <c r="BL5" s="138"/>
      <c r="BM5" s="138"/>
      <c r="BN5" s="138"/>
      <c r="BO5" s="138"/>
      <c r="BP5" s="138"/>
      <c r="BQ5" s="139"/>
      <c r="BR5" s="140" t="s">
        <v>1710</v>
      </c>
      <c r="BS5" s="141" t="s">
        <v>1711</v>
      </c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2"/>
      <c r="CI5" s="142"/>
      <c r="CJ5" s="142"/>
      <c r="CK5" s="142"/>
      <c r="CL5" s="142"/>
      <c r="CM5" s="142"/>
      <c r="CN5" s="142"/>
      <c r="CO5" s="142"/>
      <c r="CP5" s="142"/>
      <c r="CQ5" s="142"/>
      <c r="CR5" s="142"/>
      <c r="CS5" s="142"/>
      <c r="CT5" s="142"/>
      <c r="CU5" s="142"/>
      <c r="CV5" s="142"/>
      <c r="CW5" s="142"/>
      <c r="CX5" s="142"/>
      <c r="CY5" s="142"/>
      <c r="CZ5" s="142"/>
      <c r="DA5" s="142"/>
      <c r="DB5" s="142"/>
      <c r="DC5" s="142"/>
      <c r="DD5" s="142"/>
      <c r="DE5" s="142"/>
      <c r="DF5" s="142"/>
      <c r="DG5" s="142"/>
      <c r="DH5" s="142"/>
      <c r="DI5" s="142"/>
      <c r="DJ5" s="142"/>
      <c r="DK5" s="142"/>
      <c r="DL5" s="143" t="s">
        <v>1710</v>
      </c>
    </row>
    <row r="6" customFormat="false" ht="15.75" hidden="false" customHeight="true" outlineLevel="0" collapsed="false"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5" t="s">
        <v>1712</v>
      </c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7"/>
      <c r="AP6" s="148" t="s">
        <v>1713</v>
      </c>
      <c r="AQ6" s="149"/>
      <c r="AR6" s="149"/>
      <c r="AS6" s="149"/>
      <c r="AT6" s="149"/>
      <c r="AU6" s="149"/>
      <c r="AV6" s="149"/>
      <c r="AW6" s="149"/>
      <c r="AX6" s="149"/>
      <c r="AY6" s="149"/>
      <c r="AZ6" s="150"/>
      <c r="BA6" s="151"/>
      <c r="BB6" s="151"/>
      <c r="BC6" s="151"/>
      <c r="BD6" s="152"/>
      <c r="BE6" s="153" t="s">
        <v>1714</v>
      </c>
      <c r="BF6" s="154" t="s">
        <v>1715</v>
      </c>
      <c r="BG6" s="155"/>
      <c r="BH6" s="155"/>
      <c r="BI6" s="155"/>
      <c r="BJ6" s="155"/>
      <c r="BK6" s="155"/>
      <c r="BL6" s="155"/>
      <c r="BM6" s="155"/>
      <c r="BN6" s="155"/>
      <c r="BO6" s="155"/>
      <c r="BP6" s="156"/>
      <c r="BQ6" s="157" t="s">
        <v>1716</v>
      </c>
      <c r="BR6" s="158"/>
      <c r="BS6" s="145" t="s">
        <v>1712</v>
      </c>
      <c r="BT6" s="146"/>
      <c r="BU6" s="146"/>
      <c r="BV6" s="146"/>
      <c r="BW6" s="146"/>
      <c r="BX6" s="146"/>
      <c r="BY6" s="146"/>
      <c r="BZ6" s="146"/>
      <c r="CA6" s="146"/>
      <c r="CB6" s="146"/>
      <c r="CC6" s="146"/>
      <c r="CD6" s="146"/>
      <c r="CE6" s="146"/>
      <c r="CF6" s="146"/>
      <c r="CG6" s="146"/>
      <c r="CH6" s="147"/>
      <c r="CI6" s="148" t="s">
        <v>1713</v>
      </c>
      <c r="CJ6" s="149"/>
      <c r="CK6" s="149"/>
      <c r="CL6" s="149"/>
      <c r="CM6" s="149"/>
      <c r="CN6" s="149"/>
      <c r="CO6" s="149"/>
      <c r="CP6" s="149"/>
      <c r="CQ6" s="149"/>
      <c r="CR6" s="149"/>
      <c r="CS6" s="149"/>
      <c r="CT6" s="149"/>
      <c r="CU6" s="149"/>
      <c r="CV6" s="150"/>
      <c r="CW6" s="151"/>
      <c r="CX6" s="152"/>
      <c r="CY6" s="159" t="s">
        <v>1714</v>
      </c>
      <c r="CZ6" s="154" t="s">
        <v>1715</v>
      </c>
      <c r="DA6" s="155"/>
      <c r="DB6" s="155"/>
      <c r="DC6" s="155"/>
      <c r="DD6" s="155"/>
      <c r="DE6" s="155"/>
      <c r="DF6" s="155"/>
      <c r="DG6" s="155"/>
      <c r="DH6" s="155"/>
      <c r="DI6" s="155"/>
      <c r="DJ6" s="156"/>
      <c r="DK6" s="157" t="s">
        <v>1716</v>
      </c>
      <c r="DL6" s="160"/>
    </row>
    <row r="7" customFormat="false" ht="27" hidden="false" customHeight="true" outlineLevel="0" collapsed="false">
      <c r="B7" s="161" t="s">
        <v>1717</v>
      </c>
      <c r="C7" s="162" t="s">
        <v>1718</v>
      </c>
      <c r="D7" s="161" t="s">
        <v>1719</v>
      </c>
      <c r="E7" s="161" t="s">
        <v>1720</v>
      </c>
      <c r="F7" s="163" t="s">
        <v>1721</v>
      </c>
      <c r="G7" s="163" t="s">
        <v>1722</v>
      </c>
      <c r="H7" s="162" t="s">
        <v>1723</v>
      </c>
      <c r="I7" s="163" t="s">
        <v>1724</v>
      </c>
      <c r="J7" s="163" t="s">
        <v>1725</v>
      </c>
      <c r="K7" s="163" t="s">
        <v>1726</v>
      </c>
      <c r="L7" s="162" t="s">
        <v>1727</v>
      </c>
      <c r="M7" s="161" t="s">
        <v>1477</v>
      </c>
      <c r="N7" s="161" t="s">
        <v>1443</v>
      </c>
      <c r="O7" s="161" t="s">
        <v>1728</v>
      </c>
      <c r="P7" s="161" t="s">
        <v>1729</v>
      </c>
      <c r="Q7" s="162" t="s">
        <v>1730</v>
      </c>
      <c r="R7" s="161" t="s">
        <v>1731</v>
      </c>
      <c r="S7" s="164" t="s">
        <v>1732</v>
      </c>
      <c r="T7" s="164" t="s">
        <v>1733</v>
      </c>
      <c r="U7" s="161" t="s">
        <v>1734</v>
      </c>
      <c r="V7" s="162" t="s">
        <v>1735</v>
      </c>
      <c r="W7" s="162" t="s">
        <v>1736</v>
      </c>
      <c r="X7" s="162" t="s">
        <v>1737</v>
      </c>
      <c r="Y7" s="165" t="s">
        <v>1738</v>
      </c>
      <c r="Z7" s="162" t="s">
        <v>1739</v>
      </c>
      <c r="AA7" s="165" t="s">
        <v>883</v>
      </c>
      <c r="AB7" s="162" t="s">
        <v>1740</v>
      </c>
      <c r="AC7" s="166" t="s">
        <v>1741</v>
      </c>
      <c r="AD7" s="167" t="s">
        <v>1742</v>
      </c>
      <c r="AE7" s="167" t="s">
        <v>1743</v>
      </c>
      <c r="AF7" s="167" t="s">
        <v>1744</v>
      </c>
      <c r="AG7" s="167" t="s">
        <v>1745</v>
      </c>
      <c r="AH7" s="167" t="s">
        <v>1746</v>
      </c>
      <c r="AI7" s="167" t="s">
        <v>1747</v>
      </c>
      <c r="AJ7" s="167" t="s">
        <v>1748</v>
      </c>
      <c r="AK7" s="167" t="s">
        <v>1749</v>
      </c>
      <c r="AL7" s="167" t="s">
        <v>1750</v>
      </c>
      <c r="AM7" s="167" t="s">
        <v>1751</v>
      </c>
      <c r="AN7" s="167" t="s">
        <v>1752</v>
      </c>
      <c r="AO7" s="167" t="s">
        <v>1753</v>
      </c>
      <c r="AP7" s="167" t="s">
        <v>1754</v>
      </c>
      <c r="AQ7" s="167" t="s">
        <v>1755</v>
      </c>
      <c r="AR7" s="167" t="s">
        <v>1756</v>
      </c>
      <c r="AS7" s="167" t="s">
        <v>1757</v>
      </c>
      <c r="AT7" s="167" t="s">
        <v>1758</v>
      </c>
      <c r="AU7" s="167" t="s">
        <v>1759</v>
      </c>
      <c r="AV7" s="167" t="s">
        <v>1760</v>
      </c>
      <c r="AW7" s="167" t="s">
        <v>1761</v>
      </c>
      <c r="AX7" s="167" t="s">
        <v>1762</v>
      </c>
      <c r="AY7" s="167" t="s">
        <v>1763</v>
      </c>
      <c r="AZ7" s="167" t="s">
        <v>1764</v>
      </c>
      <c r="BA7" s="167" t="s">
        <v>1765</v>
      </c>
      <c r="BB7" s="167" t="s">
        <v>1766</v>
      </c>
      <c r="BC7" s="167" t="s">
        <v>1767</v>
      </c>
      <c r="BD7" s="167" t="s">
        <v>1768</v>
      </c>
      <c r="BE7" s="167" t="s">
        <v>1769</v>
      </c>
      <c r="BF7" s="167" t="s">
        <v>1770</v>
      </c>
      <c r="BG7" s="167" t="s">
        <v>1771</v>
      </c>
      <c r="BH7" s="167" t="s">
        <v>1772</v>
      </c>
      <c r="BI7" s="167" t="s">
        <v>1773</v>
      </c>
      <c r="BJ7" s="167" t="s">
        <v>1774</v>
      </c>
      <c r="BK7" s="167" t="s">
        <v>1775</v>
      </c>
      <c r="BL7" s="167" t="s">
        <v>1776</v>
      </c>
      <c r="BM7" s="167" t="s">
        <v>1777</v>
      </c>
      <c r="BN7" s="167" t="s">
        <v>1778</v>
      </c>
      <c r="BO7" s="167" t="s">
        <v>1779</v>
      </c>
      <c r="BP7" s="167" t="s">
        <v>1780</v>
      </c>
      <c r="BQ7" s="167" t="s">
        <v>1781</v>
      </c>
      <c r="BR7" s="168"/>
      <c r="BS7" s="166" t="s">
        <v>1741</v>
      </c>
      <c r="BT7" s="167" t="s">
        <v>1742</v>
      </c>
      <c r="BU7" s="167" t="s">
        <v>1743</v>
      </c>
      <c r="BV7" s="167" t="s">
        <v>1744</v>
      </c>
      <c r="BW7" s="167" t="s">
        <v>1745</v>
      </c>
      <c r="BX7" s="167" t="s">
        <v>1746</v>
      </c>
      <c r="BY7" s="167" t="s">
        <v>1747</v>
      </c>
      <c r="BZ7" s="167" t="s">
        <v>1748</v>
      </c>
      <c r="CA7" s="167" t="s">
        <v>1749</v>
      </c>
      <c r="CB7" s="167" t="s">
        <v>1750</v>
      </c>
      <c r="CC7" s="169" t="s">
        <v>1751</v>
      </c>
      <c r="CD7" s="169" t="s">
        <v>1752</v>
      </c>
      <c r="CE7" s="169" t="s">
        <v>1753</v>
      </c>
      <c r="CF7" s="162" t="s">
        <v>1754</v>
      </c>
      <c r="CG7" s="162" t="s">
        <v>1755</v>
      </c>
      <c r="CH7" s="162" t="s">
        <v>1756</v>
      </c>
      <c r="CI7" s="170" t="s">
        <v>1757</v>
      </c>
      <c r="CJ7" s="170" t="s">
        <v>1758</v>
      </c>
      <c r="CK7" s="170" t="s">
        <v>1759</v>
      </c>
      <c r="CL7" s="170" t="s">
        <v>1760</v>
      </c>
      <c r="CM7" s="170" t="s">
        <v>1761</v>
      </c>
      <c r="CN7" s="170" t="s">
        <v>1762</v>
      </c>
      <c r="CO7" s="170" t="s">
        <v>1763</v>
      </c>
      <c r="CP7" s="170" t="s">
        <v>1764</v>
      </c>
      <c r="CQ7" s="170" t="s">
        <v>1765</v>
      </c>
      <c r="CR7" s="170" t="s">
        <v>1766</v>
      </c>
      <c r="CS7" s="170" t="s">
        <v>1767</v>
      </c>
      <c r="CT7" s="170" t="s">
        <v>1768</v>
      </c>
      <c r="CU7" s="170" t="s">
        <v>1769</v>
      </c>
      <c r="CV7" s="170" t="s">
        <v>1770</v>
      </c>
      <c r="CW7" s="162" t="s">
        <v>1771</v>
      </c>
      <c r="CX7" s="162" t="s">
        <v>1772</v>
      </c>
      <c r="CY7" s="171" t="s">
        <v>1773</v>
      </c>
      <c r="CZ7" s="172" t="s">
        <v>1774</v>
      </c>
      <c r="DA7" s="172" t="s">
        <v>1775</v>
      </c>
      <c r="DB7" s="172" t="s">
        <v>1776</v>
      </c>
      <c r="DC7" s="172" t="s">
        <v>1777</v>
      </c>
      <c r="DD7" s="172" t="s">
        <v>1778</v>
      </c>
      <c r="DE7" s="172" t="s">
        <v>1779</v>
      </c>
      <c r="DF7" s="172" t="s">
        <v>1780</v>
      </c>
      <c r="DG7" s="172" t="s">
        <v>1781</v>
      </c>
      <c r="DH7" s="172" t="s">
        <v>1782</v>
      </c>
      <c r="DI7" s="172" t="s">
        <v>1783</v>
      </c>
      <c r="DJ7" s="172" t="s">
        <v>1784</v>
      </c>
      <c r="DK7" s="172" t="s">
        <v>1785</v>
      </c>
      <c r="DL7" s="173"/>
    </row>
    <row r="8" customFormat="false" ht="15" hidden="false" customHeight="false" outlineLevel="0" collapsed="false">
      <c r="B8" s="174" t="n">
        <v>1000130</v>
      </c>
      <c r="C8" s="174" t="s">
        <v>1786</v>
      </c>
      <c r="D8" s="174" t="s">
        <v>1425</v>
      </c>
      <c r="E8" s="174"/>
      <c r="F8" s="174" t="s">
        <v>1787</v>
      </c>
      <c r="G8" s="174" t="s">
        <v>1788</v>
      </c>
      <c r="H8" s="174" t="s">
        <v>1789</v>
      </c>
      <c r="I8" s="175" t="s">
        <v>1787</v>
      </c>
      <c r="J8" s="175" t="s">
        <v>1788</v>
      </c>
      <c r="K8" s="175" t="s">
        <v>1789</v>
      </c>
      <c r="L8" s="176" t="s">
        <v>1790</v>
      </c>
      <c r="M8" s="174" t="s">
        <v>1791</v>
      </c>
      <c r="N8" s="177" t="s">
        <v>1792</v>
      </c>
      <c r="O8" s="174" t="s">
        <v>1793</v>
      </c>
      <c r="P8" s="174" t="s">
        <v>1794</v>
      </c>
      <c r="Q8" s="174" t="s">
        <v>1790</v>
      </c>
      <c r="R8" s="176" t="s">
        <v>1790</v>
      </c>
      <c r="S8" s="174" t="s">
        <v>1795</v>
      </c>
      <c r="T8" s="175" t="s">
        <v>1795</v>
      </c>
      <c r="U8" s="176" t="s">
        <v>1790</v>
      </c>
      <c r="V8" s="174" t="s">
        <v>1796</v>
      </c>
      <c r="W8" s="175" t="s">
        <v>1796</v>
      </c>
      <c r="X8" s="176" t="s">
        <v>1790</v>
      </c>
      <c r="Y8" s="174" t="s">
        <v>1790</v>
      </c>
      <c r="Z8" s="177" t="n">
        <v>0</v>
      </c>
      <c r="AA8" s="178" t="s">
        <v>1789</v>
      </c>
      <c r="AB8" s="174" t="s">
        <v>1797</v>
      </c>
      <c r="AC8" s="179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 t="n">
        <v>0.1</v>
      </c>
      <c r="AQ8" s="180"/>
      <c r="AR8" s="180"/>
      <c r="AS8" s="180"/>
      <c r="AT8" s="180"/>
      <c r="AU8" s="180"/>
      <c r="AV8" s="180"/>
      <c r="AW8" s="180"/>
      <c r="AX8" s="180"/>
      <c r="AY8" s="180"/>
      <c r="AZ8" s="180" t="n">
        <v>0.9</v>
      </c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/>
      <c r="BO8" s="180"/>
      <c r="BP8" s="180"/>
      <c r="BQ8" s="181"/>
      <c r="BR8" s="182" t="n">
        <v>1</v>
      </c>
      <c r="BS8" s="183"/>
      <c r="BT8" s="183"/>
      <c r="BU8" s="183"/>
      <c r="BV8" s="183"/>
      <c r="BW8" s="183"/>
      <c r="BX8" s="183"/>
      <c r="BY8" s="183"/>
      <c r="BZ8" s="183"/>
      <c r="CA8" s="183"/>
      <c r="CB8" s="183"/>
      <c r="CC8" s="183"/>
      <c r="CD8" s="183"/>
      <c r="CE8" s="183"/>
      <c r="CF8" s="183"/>
      <c r="CG8" s="183"/>
      <c r="CH8" s="183"/>
      <c r="CI8" s="183" t="n">
        <v>0.1</v>
      </c>
      <c r="CJ8" s="183"/>
      <c r="CK8" s="183"/>
      <c r="CL8" s="183"/>
      <c r="CM8" s="183"/>
      <c r="CN8" s="183"/>
      <c r="CO8" s="183"/>
      <c r="CP8" s="183"/>
      <c r="CQ8" s="183"/>
      <c r="CR8" s="183"/>
      <c r="CS8" s="183" t="n">
        <v>0.9</v>
      </c>
      <c r="CT8" s="183"/>
      <c r="CU8" s="183"/>
      <c r="CV8" s="183"/>
      <c r="CW8" s="183"/>
      <c r="CX8" s="183"/>
      <c r="CY8" s="183"/>
      <c r="CZ8" s="183"/>
      <c r="DA8" s="183"/>
      <c r="DB8" s="183"/>
      <c r="DC8" s="183"/>
      <c r="DD8" s="183"/>
      <c r="DE8" s="183"/>
      <c r="DF8" s="183"/>
      <c r="DG8" s="183"/>
      <c r="DH8" s="183"/>
      <c r="DI8" s="183"/>
      <c r="DJ8" s="183"/>
      <c r="DK8" s="183"/>
      <c r="DL8" s="182" t="n">
        <v>1</v>
      </c>
    </row>
    <row r="9" customFormat="false" ht="15" hidden="false" customHeight="false" outlineLevel="0" collapsed="false">
      <c r="B9" s="174" t="n">
        <v>1000133</v>
      </c>
      <c r="C9" s="174" t="s">
        <v>1798</v>
      </c>
      <c r="D9" s="174" t="s">
        <v>1425</v>
      </c>
      <c r="E9" s="174"/>
      <c r="F9" s="174" t="s">
        <v>1799</v>
      </c>
      <c r="G9" s="174" t="s">
        <v>1800</v>
      </c>
      <c r="H9" s="174" t="s">
        <v>1801</v>
      </c>
      <c r="I9" s="175" t="s">
        <v>1799</v>
      </c>
      <c r="J9" s="175" t="s">
        <v>1800</v>
      </c>
      <c r="K9" s="175" t="s">
        <v>1801</v>
      </c>
      <c r="L9" s="176" t="s">
        <v>1790</v>
      </c>
      <c r="M9" s="174" t="s">
        <v>1802</v>
      </c>
      <c r="N9" s="177" t="s">
        <v>1803</v>
      </c>
      <c r="O9" s="174" t="s">
        <v>1804</v>
      </c>
      <c r="P9" s="174" t="s">
        <v>1805</v>
      </c>
      <c r="Q9" s="174" t="s">
        <v>1790</v>
      </c>
      <c r="R9" s="176" t="s">
        <v>1790</v>
      </c>
      <c r="S9" s="174" t="s">
        <v>1795</v>
      </c>
      <c r="T9" s="175" t="s">
        <v>1795</v>
      </c>
      <c r="U9" s="176" t="s">
        <v>1790</v>
      </c>
      <c r="V9" s="174" t="s">
        <v>1806</v>
      </c>
      <c r="W9" s="175" t="s">
        <v>1806</v>
      </c>
      <c r="X9" s="176" t="s">
        <v>1790</v>
      </c>
      <c r="Y9" s="174" t="s">
        <v>1790</v>
      </c>
      <c r="Z9" s="177" t="n">
        <v>0</v>
      </c>
      <c r="AA9" s="178" t="s">
        <v>1789</v>
      </c>
      <c r="AB9" s="174" t="s">
        <v>1797</v>
      </c>
      <c r="AC9" s="179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 t="n">
        <v>1</v>
      </c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1"/>
      <c r="BR9" s="182" t="n">
        <v>1</v>
      </c>
      <c r="BS9" s="183"/>
      <c r="BT9" s="183"/>
      <c r="BU9" s="183"/>
      <c r="BV9" s="183"/>
      <c r="BW9" s="183"/>
      <c r="BX9" s="183"/>
      <c r="BY9" s="183"/>
      <c r="BZ9" s="183"/>
      <c r="CA9" s="183"/>
      <c r="CB9" s="183"/>
      <c r="CC9" s="183"/>
      <c r="CD9" s="183"/>
      <c r="CE9" s="183"/>
      <c r="CF9" s="183"/>
      <c r="CG9" s="183"/>
      <c r="CH9" s="183"/>
      <c r="CI9" s="183"/>
      <c r="CJ9" s="183"/>
      <c r="CK9" s="183"/>
      <c r="CL9" s="183"/>
      <c r="CM9" s="183"/>
      <c r="CN9" s="183"/>
      <c r="CO9" s="183"/>
      <c r="CP9" s="183"/>
      <c r="CQ9" s="183"/>
      <c r="CR9" s="183"/>
      <c r="CS9" s="183" t="n">
        <v>1</v>
      </c>
      <c r="CT9" s="183"/>
      <c r="CU9" s="183"/>
      <c r="CV9" s="183"/>
      <c r="CW9" s="183"/>
      <c r="CX9" s="183"/>
      <c r="CY9" s="183"/>
      <c r="CZ9" s="183"/>
      <c r="DA9" s="183"/>
      <c r="DB9" s="183"/>
      <c r="DC9" s="183"/>
      <c r="DD9" s="183"/>
      <c r="DE9" s="183"/>
      <c r="DF9" s="183"/>
      <c r="DG9" s="183"/>
      <c r="DH9" s="183"/>
      <c r="DI9" s="183"/>
      <c r="DJ9" s="183"/>
      <c r="DK9" s="183"/>
      <c r="DL9" s="182" t="n">
        <v>1</v>
      </c>
    </row>
    <row r="10" customFormat="false" ht="15" hidden="false" customHeight="false" outlineLevel="0" collapsed="false">
      <c r="B10" s="174" t="n">
        <v>1000135</v>
      </c>
      <c r="C10" s="174" t="s">
        <v>1807</v>
      </c>
      <c r="D10" s="174" t="s">
        <v>1425</v>
      </c>
      <c r="E10" s="174"/>
      <c r="F10" s="174" t="s">
        <v>1808</v>
      </c>
      <c r="G10" s="174" t="s">
        <v>1809</v>
      </c>
      <c r="H10" s="174" t="s">
        <v>1789</v>
      </c>
      <c r="I10" s="175" t="s">
        <v>1808</v>
      </c>
      <c r="J10" s="175" t="s">
        <v>1809</v>
      </c>
      <c r="K10" s="175" t="s">
        <v>1789</v>
      </c>
      <c r="L10" s="176" t="s">
        <v>1790</v>
      </c>
      <c r="M10" s="174" t="s">
        <v>1810</v>
      </c>
      <c r="N10" s="177" t="s">
        <v>1792</v>
      </c>
      <c r="O10" s="174" t="s">
        <v>1793</v>
      </c>
      <c r="P10" s="174" t="s">
        <v>1811</v>
      </c>
      <c r="Q10" s="174" t="s">
        <v>1790</v>
      </c>
      <c r="R10" s="176" t="s">
        <v>1790</v>
      </c>
      <c r="S10" s="174" t="s">
        <v>1795</v>
      </c>
      <c r="T10" s="175" t="s">
        <v>1795</v>
      </c>
      <c r="U10" s="176" t="s">
        <v>1790</v>
      </c>
      <c r="V10" s="174" t="s">
        <v>1812</v>
      </c>
      <c r="W10" s="175" t="s">
        <v>1812</v>
      </c>
      <c r="X10" s="176" t="s">
        <v>1790</v>
      </c>
      <c r="Y10" s="174" t="s">
        <v>1790</v>
      </c>
      <c r="Z10" s="177" t="n">
        <v>0</v>
      </c>
      <c r="AA10" s="178" t="s">
        <v>1789</v>
      </c>
      <c r="AB10" s="174" t="s">
        <v>1797</v>
      </c>
      <c r="AC10" s="179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 t="n">
        <v>0.102040816326531</v>
      </c>
      <c r="AQ10" s="180"/>
      <c r="AR10" s="180"/>
      <c r="AS10" s="180"/>
      <c r="AT10" s="180"/>
      <c r="AU10" s="180"/>
      <c r="AV10" s="180"/>
      <c r="AW10" s="180"/>
      <c r="AX10" s="180"/>
      <c r="AY10" s="180"/>
      <c r="AZ10" s="180" t="n">
        <v>0.897959183673469</v>
      </c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1"/>
      <c r="BR10" s="182" t="n">
        <v>1</v>
      </c>
      <c r="BS10" s="183"/>
      <c r="BT10" s="183"/>
      <c r="BU10" s="183"/>
      <c r="BV10" s="183"/>
      <c r="BW10" s="183"/>
      <c r="BX10" s="183"/>
      <c r="BY10" s="183"/>
      <c r="BZ10" s="183"/>
      <c r="CA10" s="183"/>
      <c r="CB10" s="183"/>
      <c r="CC10" s="183"/>
      <c r="CD10" s="183"/>
      <c r="CE10" s="183"/>
      <c r="CF10" s="183"/>
      <c r="CG10" s="183"/>
      <c r="CH10" s="183"/>
      <c r="CI10" s="183" t="n">
        <v>0.102040816326531</v>
      </c>
      <c r="CJ10" s="183"/>
      <c r="CK10" s="183"/>
      <c r="CL10" s="183"/>
      <c r="CM10" s="183"/>
      <c r="CN10" s="183"/>
      <c r="CO10" s="183"/>
      <c r="CP10" s="183"/>
      <c r="CQ10" s="183"/>
      <c r="CR10" s="183"/>
      <c r="CS10" s="183" t="n">
        <v>0.897959183673469</v>
      </c>
      <c r="CT10" s="183"/>
      <c r="CU10" s="183"/>
      <c r="CV10" s="183"/>
      <c r="CW10" s="183"/>
      <c r="CX10" s="183"/>
      <c r="CY10" s="183"/>
      <c r="CZ10" s="183"/>
      <c r="DA10" s="183"/>
      <c r="DB10" s="183"/>
      <c r="DC10" s="183"/>
      <c r="DD10" s="183"/>
      <c r="DE10" s="183"/>
      <c r="DF10" s="183"/>
      <c r="DG10" s="183"/>
      <c r="DH10" s="183"/>
      <c r="DI10" s="183"/>
      <c r="DJ10" s="183"/>
      <c r="DK10" s="183"/>
      <c r="DL10" s="182" t="n">
        <v>1</v>
      </c>
    </row>
    <row r="11" customFormat="false" ht="15" hidden="false" customHeight="false" outlineLevel="0" collapsed="false">
      <c r="B11" s="174" t="n">
        <v>1000138</v>
      </c>
      <c r="C11" s="174" t="s">
        <v>1813</v>
      </c>
      <c r="D11" s="174" t="s">
        <v>1425</v>
      </c>
      <c r="E11" s="174"/>
      <c r="F11" s="174" t="s">
        <v>1814</v>
      </c>
      <c r="G11" s="174" t="s">
        <v>1815</v>
      </c>
      <c r="H11" s="174" t="s">
        <v>1789</v>
      </c>
      <c r="I11" s="175" t="s">
        <v>1814</v>
      </c>
      <c r="J11" s="175" t="s">
        <v>1815</v>
      </c>
      <c r="K11" s="175" t="s">
        <v>1789</v>
      </c>
      <c r="L11" s="176" t="s">
        <v>1790</v>
      </c>
      <c r="M11" s="174" t="s">
        <v>1816</v>
      </c>
      <c r="N11" s="177" t="s">
        <v>1817</v>
      </c>
      <c r="O11" s="174" t="s">
        <v>1804</v>
      </c>
      <c r="P11" s="174" t="s">
        <v>1818</v>
      </c>
      <c r="Q11" s="174" t="s">
        <v>1790</v>
      </c>
      <c r="R11" s="176" t="s">
        <v>1790</v>
      </c>
      <c r="S11" s="174" t="s">
        <v>1795</v>
      </c>
      <c r="T11" s="175" t="s">
        <v>1795</v>
      </c>
      <c r="U11" s="176" t="s">
        <v>1790</v>
      </c>
      <c r="V11" s="174" t="s">
        <v>1819</v>
      </c>
      <c r="W11" s="175" t="s">
        <v>1819</v>
      </c>
      <c r="X11" s="176" t="s">
        <v>1790</v>
      </c>
      <c r="Y11" s="174" t="s">
        <v>1790</v>
      </c>
      <c r="Z11" s="177" t="n">
        <v>0</v>
      </c>
      <c r="AA11" s="178" t="s">
        <v>1789</v>
      </c>
      <c r="AB11" s="174" t="s">
        <v>1797</v>
      </c>
      <c r="AC11" s="179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 t="n">
        <v>1</v>
      </c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1"/>
      <c r="BR11" s="182" t="n">
        <v>1</v>
      </c>
      <c r="BS11" s="183"/>
      <c r="BT11" s="183"/>
      <c r="BU11" s="183"/>
      <c r="BV11" s="183"/>
      <c r="BW11" s="183"/>
      <c r="BX11" s="183"/>
      <c r="BY11" s="183"/>
      <c r="BZ11" s="183"/>
      <c r="CA11" s="183"/>
      <c r="CB11" s="183"/>
      <c r="CC11" s="183"/>
      <c r="CD11" s="183"/>
      <c r="CE11" s="183"/>
      <c r="CF11" s="183"/>
      <c r="CG11" s="183"/>
      <c r="CH11" s="183"/>
      <c r="CI11" s="183"/>
      <c r="CJ11" s="183"/>
      <c r="CK11" s="183"/>
      <c r="CL11" s="183"/>
      <c r="CM11" s="183"/>
      <c r="CN11" s="183"/>
      <c r="CO11" s="183"/>
      <c r="CP11" s="183"/>
      <c r="CQ11" s="183"/>
      <c r="CR11" s="183"/>
      <c r="CS11" s="183" t="n">
        <v>1</v>
      </c>
      <c r="CT11" s="183"/>
      <c r="CU11" s="183"/>
      <c r="CV11" s="183"/>
      <c r="CW11" s="183"/>
      <c r="CX11" s="183"/>
      <c r="CY11" s="183"/>
      <c r="CZ11" s="183"/>
      <c r="DA11" s="183"/>
      <c r="DB11" s="183"/>
      <c r="DC11" s="183"/>
      <c r="DD11" s="183"/>
      <c r="DE11" s="183"/>
      <c r="DF11" s="183"/>
      <c r="DG11" s="183"/>
      <c r="DH11" s="183"/>
      <c r="DI11" s="183"/>
      <c r="DJ11" s="183"/>
      <c r="DK11" s="183"/>
      <c r="DL11" s="182" t="n">
        <v>1</v>
      </c>
    </row>
    <row r="14" customFormat="false" ht="15" hidden="false" customHeight="false" outlineLevel="0" collapsed="false">
      <c r="B14" s="184" t="s">
        <v>1820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42"/>
    <col collapsed="false" customWidth="true" hidden="false" outlineLevel="0" max="2" min="2" style="0" width="10"/>
    <col collapsed="false" customWidth="true" hidden="false" outlineLevel="0" max="3" min="3" style="0" width="15.42"/>
    <col collapsed="false" customWidth="true" hidden="false" outlineLevel="0" max="4" min="4" style="0" width="9.14"/>
    <col collapsed="false" customWidth="true" hidden="false" outlineLevel="0" max="6" min="6" style="0" width="15.71"/>
    <col collapsed="false" customWidth="true" hidden="false" outlineLevel="0" max="7" min="7" style="0" width="19.86"/>
    <col collapsed="false" customWidth="true" hidden="false" outlineLevel="0" max="8" min="8" style="0" width="12.86"/>
    <col collapsed="false" customWidth="true" hidden="false" outlineLevel="0" max="9" min="9" style="0" width="9.14"/>
    <col collapsed="false" customWidth="true" hidden="true" outlineLevel="0" max="12" min="12" style="0" width="13"/>
    <col collapsed="false" customWidth="true" hidden="false" outlineLevel="0" max="14" min="14" style="0" width="9.14"/>
  </cols>
  <sheetData>
    <row r="1" customFormat="false" ht="21.75" hidden="false" customHeight="true" outlineLevel="0" collapsed="false">
      <c r="A1" s="185" t="s">
        <v>1</v>
      </c>
      <c r="B1" s="124" t="s">
        <v>1821</v>
      </c>
      <c r="C1" s="186"/>
      <c r="Q1" s="126" t="s">
        <v>1705</v>
      </c>
    </row>
    <row r="2" customFormat="false" ht="13.5" hidden="false" customHeight="true" outlineLevel="0" collapsed="false">
      <c r="B2" s="129" t="s">
        <v>1822</v>
      </c>
      <c r="C2" s="187" t="s">
        <v>346</v>
      </c>
    </row>
    <row r="3" customFormat="false" ht="13.5" hidden="false" customHeight="true" outlineLevel="0" collapsed="false">
      <c r="B3" s="129" t="s">
        <v>1823</v>
      </c>
      <c r="C3" s="188" t="n">
        <v>2026</v>
      </c>
    </row>
    <row r="4" customFormat="false" ht="13.5" hidden="false" customHeight="true" outlineLevel="0" collapsed="false">
      <c r="B4" s="129" t="s">
        <v>1824</v>
      </c>
      <c r="C4" s="189" t="n">
        <v>46081</v>
      </c>
    </row>
    <row r="5" customFormat="false" ht="13.5" hidden="false" customHeight="true" outlineLevel="0" collapsed="false">
      <c r="B5" s="129" t="s">
        <v>1825</v>
      </c>
      <c r="C5" s="189" t="n">
        <v>46081</v>
      </c>
    </row>
    <row r="6" customFormat="false" ht="14.25" hidden="false" customHeight="true" outlineLevel="0" collapsed="false">
      <c r="B6" s="129" t="s">
        <v>1826</v>
      </c>
      <c r="C6" s="190" t="s">
        <v>1827</v>
      </c>
    </row>
    <row r="7" customFormat="false" ht="10.5" hidden="false" customHeight="true" outlineLevel="0" collapsed="false">
      <c r="B7" s="191" t="n">
        <v>1</v>
      </c>
      <c r="C7" s="191" t="n">
        <v>2</v>
      </c>
      <c r="D7" s="191" t="n">
        <v>4</v>
      </c>
      <c r="E7" s="191" t="n">
        <v>5</v>
      </c>
      <c r="F7" s="191" t="n">
        <v>6</v>
      </c>
      <c r="G7" s="191" t="n">
        <v>7</v>
      </c>
      <c r="H7" s="191" t="n">
        <v>8</v>
      </c>
      <c r="I7" s="191" t="n">
        <v>9</v>
      </c>
      <c r="J7" s="191" t="n">
        <v>10</v>
      </c>
      <c r="K7" s="191" t="n">
        <v>11</v>
      </c>
      <c r="L7" s="191" t="n">
        <v>12</v>
      </c>
      <c r="M7" s="191" t="n">
        <v>13</v>
      </c>
      <c r="N7" s="192" t="s">
        <v>1828</v>
      </c>
      <c r="O7" s="192"/>
    </row>
    <row r="8" customFormat="false" ht="45" hidden="false" customHeight="true" outlineLevel="0" collapsed="false">
      <c r="B8" s="193" t="s">
        <v>798</v>
      </c>
      <c r="C8" s="193" t="s">
        <v>1720</v>
      </c>
      <c r="D8" s="193" t="s">
        <v>1718</v>
      </c>
      <c r="E8" s="193" t="s">
        <v>1438</v>
      </c>
      <c r="F8" s="194" t="s">
        <v>1829</v>
      </c>
      <c r="G8" s="194" t="s">
        <v>1830</v>
      </c>
      <c r="H8" s="194" t="s">
        <v>1831</v>
      </c>
      <c r="I8" s="194" t="s">
        <v>1832</v>
      </c>
      <c r="J8" s="194" t="s">
        <v>1833</v>
      </c>
      <c r="K8" s="195" t="s">
        <v>1834</v>
      </c>
      <c r="L8" s="196" t="s">
        <v>883</v>
      </c>
      <c r="M8" s="197" t="s">
        <v>1835</v>
      </c>
      <c r="N8" s="198" t="s">
        <v>1836</v>
      </c>
      <c r="O8" s="198" t="s">
        <v>1837</v>
      </c>
    </row>
    <row r="9" customFormat="false" ht="15" hidden="false" customHeight="false" outlineLevel="0" collapsed="false">
      <c r="B9" s="199" t="n">
        <v>1000130</v>
      </c>
      <c r="C9" s="199"/>
      <c r="D9" s="199" t="s">
        <v>1786</v>
      </c>
      <c r="E9" s="199" t="s">
        <v>1713</v>
      </c>
      <c r="F9" s="184" t="s">
        <v>442</v>
      </c>
      <c r="G9" s="134"/>
      <c r="H9" s="134" t="s">
        <v>1838</v>
      </c>
      <c r="I9" s="134" t="s">
        <v>1839</v>
      </c>
      <c r="J9" s="200" t="n">
        <v>1</v>
      </c>
      <c r="K9" s="200"/>
      <c r="L9" s="201"/>
      <c r="M9" s="202" t="s">
        <v>1840</v>
      </c>
      <c r="N9" s="203"/>
      <c r="O9" s="203"/>
    </row>
    <row r="10" customFormat="false" ht="15" hidden="false" customHeight="false" outlineLevel="0" collapsed="false">
      <c r="B10" s="199" t="n">
        <v>1000135</v>
      </c>
      <c r="C10" s="199"/>
      <c r="D10" s="199" t="s">
        <v>1807</v>
      </c>
      <c r="E10" s="199" t="s">
        <v>1713</v>
      </c>
      <c r="F10" s="184" t="s">
        <v>442</v>
      </c>
      <c r="G10" s="134"/>
      <c r="H10" s="134" t="s">
        <v>1838</v>
      </c>
      <c r="I10" s="134" t="s">
        <v>1839</v>
      </c>
      <c r="J10" s="200" t="n">
        <v>1</v>
      </c>
      <c r="K10" s="200"/>
      <c r="L10" s="201"/>
      <c r="M10" s="202" t="s">
        <v>1840</v>
      </c>
      <c r="N10" s="203"/>
      <c r="O10" s="203"/>
    </row>
    <row r="11" customFormat="false" ht="15" hidden="false" customHeight="false" outlineLevel="0" collapsed="false">
      <c r="B11" s="199" t="n">
        <v>1000144</v>
      </c>
      <c r="C11" s="199"/>
      <c r="D11" s="199" t="s">
        <v>1841</v>
      </c>
      <c r="E11" s="199" t="s">
        <v>1713</v>
      </c>
      <c r="F11" s="184" t="s">
        <v>441</v>
      </c>
      <c r="G11" s="134"/>
      <c r="H11" s="134" t="s">
        <v>1838</v>
      </c>
      <c r="I11" s="134" t="s">
        <v>1839</v>
      </c>
      <c r="J11" s="200" t="n">
        <v>0.1</v>
      </c>
      <c r="K11" s="200"/>
      <c r="L11" s="201"/>
      <c r="M11" s="202" t="s">
        <v>1840</v>
      </c>
      <c r="N11" s="203"/>
      <c r="O11" s="203"/>
    </row>
    <row r="12" customFormat="false" ht="15" hidden="false" customHeight="false" outlineLevel="0" collapsed="false">
      <c r="B12" s="199" t="n">
        <v>1000144</v>
      </c>
      <c r="C12" s="199"/>
      <c r="D12" s="199" t="s">
        <v>1841</v>
      </c>
      <c r="E12" s="199" t="s">
        <v>1713</v>
      </c>
      <c r="F12" s="184" t="s">
        <v>442</v>
      </c>
      <c r="G12" s="134"/>
      <c r="H12" s="134" t="s">
        <v>1838</v>
      </c>
      <c r="I12" s="134" t="s">
        <v>1839</v>
      </c>
      <c r="J12" s="200" t="n">
        <v>0.9</v>
      </c>
      <c r="K12" s="200"/>
      <c r="L12" s="201"/>
      <c r="M12" s="202" t="s">
        <v>1840</v>
      </c>
      <c r="N12" s="203"/>
      <c r="O12" s="203"/>
    </row>
    <row r="16" customFormat="false" ht="15" hidden="false" customHeight="false" outlineLevel="0" collapsed="false">
      <c r="B16" s="184" t="s">
        <v>1842</v>
      </c>
    </row>
  </sheetData>
  <mergeCells count="1">
    <mergeCell ref="N7:O7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71"/>
    <col collapsed="false" customWidth="true" hidden="false" outlineLevel="0" max="2" min="2" style="0" width="17.71"/>
    <col collapsed="false" customWidth="true" hidden="false" outlineLevel="0" max="3" min="3" style="0" width="37"/>
    <col collapsed="false" customWidth="true" hidden="false" outlineLevel="0" max="4" min="4" style="0" width="12.42"/>
    <col collapsed="false" customWidth="true" hidden="false" outlineLevel="0" max="5" min="5" style="0" width="13.15"/>
    <col collapsed="false" customWidth="true" hidden="false" outlineLevel="0" max="6" min="6" style="0" width="12.15"/>
    <col collapsed="false" customWidth="true" hidden="false" outlineLevel="0" max="8" min="8" style="0" width="9.14"/>
  </cols>
  <sheetData>
    <row r="1" customFormat="false" ht="26.25" hidden="false" customHeight="true" outlineLevel="0" collapsed="false">
      <c r="A1" s="185" t="s">
        <v>1</v>
      </c>
      <c r="B1" s="204" t="s">
        <v>485</v>
      </c>
      <c r="O1" s="126" t="s">
        <v>1705</v>
      </c>
    </row>
    <row r="2" customFormat="false" ht="15" hidden="false" customHeight="false" outlineLevel="0" collapsed="false">
      <c r="B2" s="205" t="s">
        <v>1843</v>
      </c>
      <c r="C2" s="206"/>
    </row>
    <row r="3" customFormat="false" ht="15" hidden="false" customHeight="false" outlineLevel="0" collapsed="false">
      <c r="B3" s="207" t="n">
        <v>45338</v>
      </c>
    </row>
    <row r="4" customFormat="false" ht="48.75" hidden="false" customHeight="true" outlineLevel="0" collapsed="false"/>
    <row r="5" customFormat="false" ht="15" hidden="false" customHeight="false" outlineLevel="0" collapsed="false">
      <c r="B5" s="208" t="s">
        <v>1844</v>
      </c>
      <c r="C5" s="208" t="s">
        <v>1845</v>
      </c>
      <c r="D5" s="208" t="s">
        <v>1846</v>
      </c>
      <c r="E5" s="208" t="s">
        <v>1847</v>
      </c>
      <c r="F5" s="208" t="s">
        <v>1848</v>
      </c>
      <c r="G5" s="208" t="s">
        <v>1710</v>
      </c>
      <c r="H5" s="208" t="s">
        <v>1849</v>
      </c>
    </row>
    <row r="6" customFormat="false" ht="15" hidden="false" customHeight="false" outlineLevel="0" collapsed="false">
      <c r="B6" s="209" t="n">
        <v>2</v>
      </c>
      <c r="C6" s="210"/>
      <c r="D6" s="211" t="n">
        <v>6218</v>
      </c>
      <c r="E6" s="211" t="n">
        <v>13797.6</v>
      </c>
      <c r="F6" s="211" t="n">
        <v>346232.624</v>
      </c>
      <c r="G6" s="211" t="n">
        <v>366248.224</v>
      </c>
    </row>
    <row r="7" customFormat="false" ht="15" hidden="false" customHeight="false" outlineLevel="0" collapsed="false">
      <c r="B7" s="209" t="n">
        <v>100049</v>
      </c>
      <c r="C7" s="210"/>
      <c r="D7" s="211" t="n">
        <v>6218</v>
      </c>
      <c r="E7" s="211" t="n">
        <v>18405.6</v>
      </c>
      <c r="F7" s="211" t="n">
        <v>197072.532</v>
      </c>
      <c r="G7" s="211" t="n">
        <v>221696.132</v>
      </c>
    </row>
    <row r="8" customFormat="false" ht="15" hidden="false" customHeight="false" outlineLevel="0" collapsed="false">
      <c r="B8" s="209" t="n">
        <v>100050</v>
      </c>
      <c r="C8" s="210"/>
      <c r="D8" s="211" t="n">
        <v>6218</v>
      </c>
      <c r="E8" s="211" t="n">
        <v>18405.6</v>
      </c>
      <c r="F8" s="211" t="n">
        <v>229067.092</v>
      </c>
      <c r="G8" s="211" t="n">
        <v>253690.692</v>
      </c>
    </row>
    <row r="9" customFormat="false" ht="15" hidden="false" customHeight="false" outlineLevel="0" collapsed="false">
      <c r="B9" s="209" t="n">
        <v>100065</v>
      </c>
      <c r="C9" s="210"/>
      <c r="D9" s="211" t="n">
        <v>6218</v>
      </c>
      <c r="E9" s="211" t="n">
        <v>18405.6</v>
      </c>
      <c r="F9" s="211" t="n">
        <v>241030.312</v>
      </c>
      <c r="G9" s="211" t="n">
        <v>265653.912</v>
      </c>
    </row>
    <row r="10" customFormat="false" ht="15" hidden="false" customHeight="false" outlineLevel="0" collapsed="false">
      <c r="B10" s="209" t="n">
        <v>100122</v>
      </c>
      <c r="C10" s="210"/>
      <c r="D10" s="211" t="n">
        <v>6218</v>
      </c>
      <c r="E10" s="211" t="n">
        <v>18405.6</v>
      </c>
      <c r="F10" s="211" t="n">
        <v>197072.532</v>
      </c>
      <c r="G10" s="211" t="n">
        <v>221696.132</v>
      </c>
    </row>
    <row r="11" customFormat="false" ht="15" hidden="false" customHeight="false" outlineLevel="0" collapsed="false">
      <c r="B11" s="209" t="n">
        <v>100274</v>
      </c>
      <c r="C11" s="210"/>
      <c r="D11" s="211" t="n">
        <v>6218</v>
      </c>
      <c r="E11" s="211" t="n">
        <v>33765.6</v>
      </c>
      <c r="F11" s="211" t="n">
        <v>335407.622</v>
      </c>
      <c r="G11" s="211" t="n">
        <v>375391.222</v>
      </c>
    </row>
    <row r="12" customFormat="false" ht="15" hidden="false" customHeight="false" outlineLevel="0" collapsed="false">
      <c r="B12" s="209" t="n">
        <v>100279</v>
      </c>
      <c r="C12" s="210"/>
      <c r="D12" s="211" t="n">
        <v>6218</v>
      </c>
      <c r="E12" s="211" t="n">
        <v>18405.6</v>
      </c>
      <c r="F12" s="211" t="n">
        <v>338224.064</v>
      </c>
      <c r="G12" s="211" t="n">
        <v>362847.664</v>
      </c>
    </row>
    <row r="17" customFormat="false" ht="15" hidden="false" customHeight="false" outlineLevel="0" collapsed="false">
      <c r="B17" s="184" t="s">
        <v>1850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M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29"/>
    <col collapsed="false" customWidth="true" hidden="false" outlineLevel="0" max="2" min="2" style="0" width="15.29"/>
    <col collapsed="false" customWidth="true" hidden="false" outlineLevel="0" max="4" min="4" style="0" width="55.29"/>
    <col collapsed="false" customWidth="true" hidden="false" outlineLevel="0" max="5" min="5" style="0" width="15.29"/>
    <col collapsed="false" customWidth="true" hidden="false" outlineLevel="0" max="8" min="8" style="0" width="15.29"/>
    <col collapsed="false" customWidth="true" hidden="false" outlineLevel="0" max="14" min="14" style="0" width="9.14"/>
  </cols>
  <sheetData>
    <row r="1" customFormat="false" ht="15" hidden="false" customHeight="false" outlineLevel="0" collapsed="false">
      <c r="A1" s="185" t="s">
        <v>1</v>
      </c>
      <c r="B1" s="184"/>
      <c r="C1" s="184"/>
      <c r="D1" s="184"/>
      <c r="E1" s="184"/>
      <c r="F1" s="184"/>
      <c r="G1" s="184"/>
    </row>
    <row r="2" customFormat="false" ht="15" hidden="false" customHeight="false" outlineLevel="0" collapsed="false">
      <c r="B2" s="184"/>
      <c r="C2" s="184"/>
      <c r="D2" s="184"/>
      <c r="E2" s="184"/>
      <c r="F2" s="184"/>
      <c r="G2" s="184"/>
      <c r="L2" s="126" t="s">
        <v>1705</v>
      </c>
    </row>
    <row r="3" customFormat="false" ht="15" hidden="false" customHeight="false" outlineLevel="0" collapsed="false">
      <c r="B3" s="184"/>
      <c r="C3" s="184"/>
      <c r="D3" s="184"/>
      <c r="E3" s="184"/>
      <c r="F3" s="184"/>
      <c r="G3" s="184"/>
    </row>
    <row r="4" customFormat="false" ht="21" hidden="false" customHeight="true" outlineLevel="0" collapsed="false">
      <c r="B4" s="212" t="s">
        <v>1483</v>
      </c>
      <c r="C4" s="184"/>
      <c r="D4" s="184"/>
      <c r="E4" s="184"/>
      <c r="F4" s="184"/>
      <c r="G4" s="184"/>
    </row>
    <row r="5" customFormat="false" ht="15" hidden="false" customHeight="false" outlineLevel="0" collapsed="false">
      <c r="B5" s="213" t="s">
        <v>1822</v>
      </c>
      <c r="C5" s="187" t="s">
        <v>346</v>
      </c>
      <c r="D5" s="184"/>
      <c r="E5" s="184"/>
      <c r="F5" s="184"/>
      <c r="G5" s="184"/>
    </row>
    <row r="6" customFormat="false" ht="15" hidden="false" customHeight="false" outlineLevel="0" collapsed="false">
      <c r="B6" s="213" t="s">
        <v>1823</v>
      </c>
      <c r="C6" s="188" t="n">
        <v>2026</v>
      </c>
      <c r="D6" s="184"/>
      <c r="E6" s="184"/>
      <c r="F6" s="184"/>
      <c r="G6" s="184"/>
    </row>
    <row r="7" customFormat="false" ht="15" hidden="false" customHeight="false" outlineLevel="0" collapsed="false">
      <c r="B7" s="213" t="s">
        <v>1824</v>
      </c>
      <c r="C7" s="189" t="n">
        <v>46081</v>
      </c>
      <c r="D7" s="184"/>
      <c r="E7" s="184"/>
      <c r="F7" s="184"/>
      <c r="G7" s="184"/>
    </row>
    <row r="8" customFormat="false" ht="15" hidden="false" customHeight="false" outlineLevel="0" collapsed="false">
      <c r="B8" s="213" t="s">
        <v>1825</v>
      </c>
      <c r="C8" s="189" t="n">
        <v>46081</v>
      </c>
      <c r="D8" s="184"/>
      <c r="E8" s="184"/>
      <c r="F8" s="184"/>
      <c r="G8" s="184"/>
    </row>
    <row r="9" customFormat="false" ht="15" hidden="false" customHeight="false" outlineLevel="0" collapsed="false">
      <c r="B9" s="213" t="s">
        <v>1826</v>
      </c>
      <c r="C9" s="190" t="s">
        <v>1827</v>
      </c>
      <c r="D9" s="184"/>
      <c r="E9" s="184"/>
      <c r="F9" s="184"/>
      <c r="G9" s="184"/>
    </row>
    <row r="10" customFormat="false" ht="15" hidden="false" customHeight="false" outlineLevel="0" collapsed="false">
      <c r="B10" s="214" t="s">
        <v>1438</v>
      </c>
      <c r="C10" s="214" t="s">
        <v>1851</v>
      </c>
      <c r="D10" s="214" t="s">
        <v>1830</v>
      </c>
      <c r="E10" s="214" t="s">
        <v>1852</v>
      </c>
      <c r="F10" s="214" t="s">
        <v>1853</v>
      </c>
      <c r="G10" s="214" t="s">
        <v>1854</v>
      </c>
      <c r="H10" s="214" t="s">
        <v>1855</v>
      </c>
      <c r="I10" s="214" t="s">
        <v>1856</v>
      </c>
      <c r="J10" s="214" t="s">
        <v>1728</v>
      </c>
      <c r="K10" s="214" t="s">
        <v>1857</v>
      </c>
      <c r="L10" s="214" t="s">
        <v>850</v>
      </c>
      <c r="M10" s="215" t="s">
        <v>883</v>
      </c>
    </row>
    <row r="11" customFormat="false" ht="15" hidden="false" customHeight="false" outlineLevel="0" collapsed="false">
      <c r="B11" s="214"/>
      <c r="C11" s="214"/>
      <c r="D11" s="214"/>
      <c r="E11" s="214" t="s">
        <v>1858</v>
      </c>
      <c r="F11" s="214" t="s">
        <v>1859</v>
      </c>
      <c r="G11" s="214"/>
      <c r="H11" s="214"/>
      <c r="I11" s="214"/>
      <c r="J11" s="214" t="s">
        <v>1860</v>
      </c>
      <c r="K11" s="214" t="s">
        <v>449</v>
      </c>
      <c r="L11" s="216" t="n">
        <v>0.25</v>
      </c>
      <c r="M11" s="217"/>
    </row>
    <row r="12" customFormat="false" ht="15" hidden="false" customHeight="false" outlineLevel="0" collapsed="false">
      <c r="B12" s="214"/>
      <c r="C12" s="214"/>
      <c r="D12" s="214"/>
      <c r="E12" s="214" t="s">
        <v>1858</v>
      </c>
      <c r="F12" s="214" t="s">
        <v>1859</v>
      </c>
      <c r="G12" s="214"/>
      <c r="H12" s="214"/>
      <c r="I12" s="214"/>
      <c r="J12" s="214" t="s">
        <v>1861</v>
      </c>
      <c r="K12" s="214" t="s">
        <v>449</v>
      </c>
      <c r="L12" s="216" t="n">
        <v>0.25</v>
      </c>
      <c r="M12" s="217"/>
    </row>
    <row r="13" customFormat="false" ht="15" hidden="false" customHeight="false" outlineLevel="0" collapsed="false">
      <c r="B13" s="214"/>
      <c r="C13" s="214"/>
      <c r="D13" s="214"/>
      <c r="E13" s="214" t="s">
        <v>1858</v>
      </c>
      <c r="F13" s="214" t="s">
        <v>1859</v>
      </c>
      <c r="G13" s="214"/>
      <c r="H13" s="214"/>
      <c r="I13" s="214"/>
      <c r="J13" s="214" t="s">
        <v>1862</v>
      </c>
      <c r="K13" s="214" t="s">
        <v>449</v>
      </c>
      <c r="L13" s="216" t="n">
        <v>0.25</v>
      </c>
      <c r="M13" s="217"/>
    </row>
    <row r="14" customFormat="false" ht="15" hidden="false" customHeight="false" outlineLevel="0" collapsed="false">
      <c r="B14" s="214"/>
      <c r="C14" s="214"/>
      <c r="D14" s="214"/>
      <c r="E14" s="214" t="s">
        <v>1858</v>
      </c>
      <c r="F14" s="214" t="s">
        <v>1859</v>
      </c>
      <c r="G14" s="214"/>
      <c r="H14" s="214"/>
      <c r="I14" s="214"/>
      <c r="J14" s="214" t="s">
        <v>1863</v>
      </c>
      <c r="K14" s="214" t="s">
        <v>449</v>
      </c>
      <c r="L14" s="216" t="n">
        <v>0.25</v>
      </c>
      <c r="M14" s="217"/>
    </row>
    <row r="15" customFormat="false" ht="15" hidden="false" customHeight="false" outlineLevel="0" collapsed="false">
      <c r="B15" s="214"/>
      <c r="C15" s="214"/>
      <c r="D15" s="214"/>
      <c r="E15" s="214" t="s">
        <v>1858</v>
      </c>
      <c r="F15" s="214" t="s">
        <v>1859</v>
      </c>
      <c r="G15" s="214"/>
      <c r="H15" s="214"/>
      <c r="I15" s="214"/>
      <c r="J15" s="214" t="s">
        <v>1864</v>
      </c>
      <c r="K15" s="214" t="s">
        <v>449</v>
      </c>
      <c r="L15" s="216" t="n">
        <v>0.25</v>
      </c>
      <c r="M15" s="217"/>
    </row>
    <row r="16" customFormat="false" ht="15" hidden="false" customHeight="false" outlineLevel="0" collapsed="false">
      <c r="B16" s="214"/>
      <c r="C16" s="214"/>
      <c r="D16" s="214"/>
      <c r="E16" s="214" t="s">
        <v>1858</v>
      </c>
      <c r="F16" s="214" t="s">
        <v>1859</v>
      </c>
      <c r="G16" s="214"/>
      <c r="H16" s="214"/>
      <c r="I16" s="214"/>
      <c r="J16" s="214" t="s">
        <v>1793</v>
      </c>
      <c r="K16" s="214" t="s">
        <v>449</v>
      </c>
      <c r="L16" s="216" t="n">
        <v>0.25</v>
      </c>
      <c r="M16" s="217"/>
    </row>
    <row r="17" customFormat="false" ht="15" hidden="false" customHeight="false" outlineLevel="0" collapsed="false">
      <c r="B17" s="214"/>
      <c r="C17" s="214"/>
      <c r="D17" s="214"/>
      <c r="E17" s="214" t="s">
        <v>1858</v>
      </c>
      <c r="F17" s="214" t="s">
        <v>1859</v>
      </c>
      <c r="G17" s="214"/>
      <c r="H17" s="214"/>
      <c r="I17" s="214"/>
      <c r="J17" s="214" t="s">
        <v>1865</v>
      </c>
      <c r="K17" s="214" t="s">
        <v>449</v>
      </c>
      <c r="L17" s="216" t="n">
        <v>0.25</v>
      </c>
      <c r="M17" s="217"/>
    </row>
    <row r="18" customFormat="false" ht="15" hidden="false" customHeight="false" outlineLevel="0" collapsed="false">
      <c r="B18" s="214" t="s">
        <v>1712</v>
      </c>
      <c r="C18" s="214" t="s">
        <v>459</v>
      </c>
      <c r="D18" s="214" t="s">
        <v>1742</v>
      </c>
      <c r="E18" s="214"/>
      <c r="F18" s="214"/>
      <c r="G18" s="214"/>
      <c r="H18" s="214"/>
      <c r="I18" s="214"/>
      <c r="J18" s="214"/>
      <c r="K18" s="214" t="s">
        <v>1866</v>
      </c>
      <c r="L18" s="216" t="n">
        <v>0.225</v>
      </c>
      <c r="M18" s="217"/>
    </row>
    <row r="19" customFormat="false" ht="15" hidden="false" customHeight="false" outlineLevel="0" collapsed="false">
      <c r="B19" s="214" t="s">
        <v>1712</v>
      </c>
      <c r="C19" s="214" t="s">
        <v>459</v>
      </c>
      <c r="D19" s="214" t="s">
        <v>1743</v>
      </c>
      <c r="E19" s="214"/>
      <c r="F19" s="214"/>
      <c r="G19" s="214"/>
      <c r="H19" s="214"/>
      <c r="I19" s="214"/>
      <c r="J19" s="214"/>
      <c r="K19" s="214" t="s">
        <v>1866</v>
      </c>
      <c r="L19" s="216" t="n">
        <v>0.235</v>
      </c>
      <c r="M19" s="217"/>
    </row>
    <row r="20" customFormat="false" ht="15" hidden="false" customHeight="false" outlineLevel="0" collapsed="false">
      <c r="B20" s="214" t="s">
        <v>1712</v>
      </c>
      <c r="C20" s="214" t="s">
        <v>459</v>
      </c>
      <c r="D20" s="214" t="s">
        <v>1744</v>
      </c>
      <c r="E20" s="214"/>
      <c r="F20" s="214"/>
      <c r="G20" s="214"/>
      <c r="H20" s="214"/>
      <c r="I20" s="214"/>
      <c r="J20" s="214"/>
      <c r="K20" s="214" t="s">
        <v>1866</v>
      </c>
      <c r="L20" s="216" t="n">
        <v>0.338774432097895</v>
      </c>
      <c r="M20" s="217"/>
    </row>
    <row r="21" customFormat="false" ht="15" hidden="false" customHeight="false" outlineLevel="0" collapsed="false">
      <c r="B21" s="214" t="s">
        <v>1712</v>
      </c>
      <c r="C21" s="214" t="s">
        <v>459</v>
      </c>
      <c r="D21" s="214" t="s">
        <v>1745</v>
      </c>
      <c r="E21" s="214"/>
      <c r="F21" s="214"/>
      <c r="G21" s="214"/>
      <c r="H21" s="214"/>
      <c r="I21" s="214"/>
      <c r="J21" s="214"/>
      <c r="K21" s="214" t="s">
        <v>1866</v>
      </c>
      <c r="L21" s="216" t="n">
        <v>0.185</v>
      </c>
      <c r="M21" s="217"/>
    </row>
    <row r="22" customFormat="false" ht="15" hidden="false" customHeight="false" outlineLevel="0" collapsed="false">
      <c r="B22" s="214" t="s">
        <v>1712</v>
      </c>
      <c r="C22" s="214" t="s">
        <v>459</v>
      </c>
      <c r="D22" s="214" t="s">
        <v>1746</v>
      </c>
      <c r="E22" s="214"/>
      <c r="F22" s="214"/>
      <c r="G22" s="214"/>
      <c r="H22" s="214"/>
      <c r="I22" s="214"/>
      <c r="J22" s="214"/>
      <c r="K22" s="214" t="s">
        <v>1866</v>
      </c>
      <c r="L22" s="216" t="n">
        <v>0.26</v>
      </c>
      <c r="M22" s="217"/>
    </row>
    <row r="23" customFormat="false" ht="15" hidden="false" customHeight="false" outlineLevel="0" collapsed="false">
      <c r="B23" s="214" t="s">
        <v>1712</v>
      </c>
      <c r="C23" s="214" t="s">
        <v>459</v>
      </c>
      <c r="D23" s="214" t="s">
        <v>1747</v>
      </c>
      <c r="E23" s="214"/>
      <c r="F23" s="214"/>
      <c r="G23" s="214"/>
      <c r="H23" s="214"/>
      <c r="I23" s="214"/>
      <c r="J23" s="214"/>
      <c r="K23" s="214" t="s">
        <v>1866</v>
      </c>
      <c r="L23" s="216" t="n">
        <v>0.25</v>
      </c>
      <c r="M23" s="217"/>
    </row>
    <row r="24" customFormat="false" ht="15" hidden="false" customHeight="false" outlineLevel="0" collapsed="false">
      <c r="B24" s="214" t="s">
        <v>1712</v>
      </c>
      <c r="C24" s="214" t="s">
        <v>459</v>
      </c>
      <c r="D24" s="214" t="s">
        <v>1748</v>
      </c>
      <c r="E24" s="214"/>
      <c r="F24" s="214"/>
      <c r="G24" s="214"/>
      <c r="H24" s="214"/>
      <c r="I24" s="214"/>
      <c r="J24" s="214"/>
      <c r="K24" s="214" t="s">
        <v>1866</v>
      </c>
      <c r="L24" s="216" t="n">
        <v>0.21</v>
      </c>
      <c r="M24" s="217"/>
    </row>
    <row r="25" customFormat="false" ht="15" hidden="false" customHeight="false" outlineLevel="0" collapsed="false">
      <c r="B25" s="214" t="s">
        <v>1712</v>
      </c>
      <c r="C25" s="214" t="s">
        <v>459</v>
      </c>
      <c r="D25" s="214" t="s">
        <v>1749</v>
      </c>
      <c r="E25" s="214"/>
      <c r="F25" s="214"/>
      <c r="G25" s="214"/>
      <c r="H25" s="214"/>
      <c r="I25" s="214"/>
      <c r="J25" s="214"/>
      <c r="K25" s="214" t="s">
        <v>1866</v>
      </c>
      <c r="L25" s="216" t="n">
        <v>0.225</v>
      </c>
      <c r="M25" s="217"/>
    </row>
    <row r="26" customFormat="false" ht="15" hidden="false" customHeight="false" outlineLevel="0" collapsed="false">
      <c r="B26" s="214" t="s">
        <v>1712</v>
      </c>
      <c r="C26" s="214" t="s">
        <v>459</v>
      </c>
      <c r="D26" s="214" t="s">
        <v>1750</v>
      </c>
      <c r="E26" s="214"/>
      <c r="F26" s="214"/>
      <c r="G26" s="214"/>
      <c r="H26" s="214"/>
      <c r="I26" s="214"/>
      <c r="J26" s="214"/>
      <c r="K26" s="214" t="s">
        <v>1866</v>
      </c>
      <c r="L26" s="216" t="n">
        <v>0.302</v>
      </c>
      <c r="M26" s="217"/>
    </row>
    <row r="27" customFormat="false" ht="15" hidden="false" customHeight="false" outlineLevel="0" collapsed="false">
      <c r="B27" s="214" t="s">
        <v>1712</v>
      </c>
      <c r="C27" s="214" t="s">
        <v>459</v>
      </c>
      <c r="D27" s="214" t="s">
        <v>1751</v>
      </c>
      <c r="E27" s="214"/>
      <c r="F27" s="214"/>
      <c r="G27" s="214"/>
      <c r="H27" s="214"/>
      <c r="I27" s="214"/>
      <c r="J27" s="214"/>
      <c r="K27" s="214" t="s">
        <v>1866</v>
      </c>
      <c r="L27" s="216" t="n">
        <v>0.302</v>
      </c>
      <c r="M27" s="217"/>
    </row>
    <row r="28" customFormat="false" ht="15" hidden="false" customHeight="false" outlineLevel="0" collapsed="false">
      <c r="B28" s="214" t="s">
        <v>1712</v>
      </c>
      <c r="C28" s="214" t="s">
        <v>459</v>
      </c>
      <c r="D28" s="214" t="s">
        <v>1752</v>
      </c>
      <c r="E28" s="214"/>
      <c r="F28" s="214"/>
      <c r="G28" s="214"/>
      <c r="H28" s="214"/>
      <c r="I28" s="214"/>
      <c r="J28" s="214"/>
      <c r="K28" s="214" t="s">
        <v>1866</v>
      </c>
      <c r="L28" s="216" t="n">
        <v>0.1</v>
      </c>
      <c r="M28" s="217"/>
    </row>
    <row r="29" customFormat="false" ht="15" hidden="false" customHeight="false" outlineLevel="0" collapsed="false">
      <c r="B29" s="214" t="s">
        <v>1712</v>
      </c>
      <c r="C29" s="214" t="s">
        <v>459</v>
      </c>
      <c r="D29" s="214" t="s">
        <v>1753</v>
      </c>
      <c r="E29" s="214"/>
      <c r="F29" s="214"/>
      <c r="G29" s="214"/>
      <c r="H29" s="214"/>
      <c r="I29" s="214"/>
      <c r="J29" s="214"/>
      <c r="K29" s="214" t="s">
        <v>1866</v>
      </c>
      <c r="L29" s="216" t="n">
        <v>0.302</v>
      </c>
      <c r="M29" s="217"/>
    </row>
    <row r="30" customFormat="false" ht="15" hidden="false" customHeight="false" outlineLevel="0" collapsed="false">
      <c r="B30" s="214" t="s">
        <v>1712</v>
      </c>
      <c r="C30" s="214" t="s">
        <v>459</v>
      </c>
      <c r="D30" s="214" t="s">
        <v>1754</v>
      </c>
      <c r="E30" s="214"/>
      <c r="F30" s="214"/>
      <c r="G30" s="214"/>
      <c r="H30" s="214"/>
      <c r="I30" s="214"/>
      <c r="J30" s="214"/>
      <c r="K30" s="214" t="s">
        <v>1866</v>
      </c>
      <c r="L30" s="216" t="n">
        <v>0.302</v>
      </c>
      <c r="M30" s="217"/>
    </row>
    <row r="31" customFormat="false" ht="15" hidden="false" customHeight="false" outlineLevel="0" collapsed="false">
      <c r="B31" s="214" t="s">
        <v>1714</v>
      </c>
      <c r="C31" s="214" t="s">
        <v>459</v>
      </c>
      <c r="D31" s="214" t="s">
        <v>1755</v>
      </c>
      <c r="E31" s="214"/>
      <c r="F31" s="214"/>
      <c r="G31" s="214"/>
      <c r="H31" s="214"/>
      <c r="I31" s="214"/>
      <c r="J31" s="214"/>
      <c r="K31" s="214" t="s">
        <v>1866</v>
      </c>
      <c r="L31" s="216" t="n">
        <v>0.1564</v>
      </c>
      <c r="M31" s="217"/>
    </row>
    <row r="32" customFormat="false" ht="15" hidden="false" customHeight="false" outlineLevel="0" collapsed="false">
      <c r="B32" s="214" t="s">
        <v>1713</v>
      </c>
      <c r="C32" s="214" t="s">
        <v>459</v>
      </c>
      <c r="D32" s="214" t="s">
        <v>1756</v>
      </c>
      <c r="E32" s="214"/>
      <c r="F32" s="214"/>
      <c r="G32" s="214"/>
      <c r="H32" s="214"/>
      <c r="I32" s="214"/>
      <c r="J32" s="214"/>
      <c r="K32" s="214" t="s">
        <v>1866</v>
      </c>
      <c r="L32" s="216" t="n">
        <v>0.302</v>
      </c>
      <c r="M32" s="217"/>
    </row>
    <row r="33" customFormat="false" ht="15" hidden="false" customHeight="false" outlineLevel="0" collapsed="false">
      <c r="B33" s="214" t="s">
        <v>1713</v>
      </c>
      <c r="C33" s="214" t="s">
        <v>459</v>
      </c>
      <c r="D33" s="214" t="s">
        <v>1757</v>
      </c>
      <c r="E33" s="214"/>
      <c r="F33" s="214"/>
      <c r="G33" s="214"/>
      <c r="H33" s="214"/>
      <c r="I33" s="214"/>
      <c r="J33" s="214"/>
      <c r="K33" s="214" t="s">
        <v>1866</v>
      </c>
      <c r="L33" s="216" t="n">
        <v>0.302</v>
      </c>
      <c r="M33" s="217"/>
    </row>
    <row r="34" customFormat="false" ht="15" hidden="false" customHeight="false" outlineLevel="0" collapsed="false">
      <c r="B34" s="214" t="s">
        <v>1713</v>
      </c>
      <c r="C34" s="214" t="s">
        <v>459</v>
      </c>
      <c r="D34" s="214" t="s">
        <v>1758</v>
      </c>
      <c r="E34" s="214"/>
      <c r="F34" s="214"/>
      <c r="G34" s="214"/>
      <c r="H34" s="214"/>
      <c r="I34" s="214"/>
      <c r="J34" s="214"/>
      <c r="K34" s="214" t="s">
        <v>1866</v>
      </c>
      <c r="L34" s="216" t="n">
        <v>0.25</v>
      </c>
      <c r="M34" s="217"/>
    </row>
    <row r="35" customFormat="false" ht="15" hidden="false" customHeight="false" outlineLevel="0" collapsed="false">
      <c r="B35" s="214" t="s">
        <v>1713</v>
      </c>
      <c r="C35" s="214" t="s">
        <v>459</v>
      </c>
      <c r="D35" s="214" t="s">
        <v>1759</v>
      </c>
      <c r="E35" s="214"/>
      <c r="F35" s="214"/>
      <c r="G35" s="214"/>
      <c r="H35" s="214"/>
      <c r="I35" s="214"/>
      <c r="J35" s="214"/>
      <c r="K35" s="214" t="s">
        <v>1866</v>
      </c>
      <c r="L35" s="216" t="n">
        <v>0.217611697150255</v>
      </c>
      <c r="M35" s="217"/>
    </row>
    <row r="36" customFormat="false" ht="15" hidden="false" customHeight="false" outlineLevel="0" collapsed="false">
      <c r="B36" s="214" t="s">
        <v>1713</v>
      </c>
      <c r="C36" s="214" t="s">
        <v>459</v>
      </c>
      <c r="D36" s="214" t="s">
        <v>1760</v>
      </c>
      <c r="E36" s="214"/>
      <c r="F36" s="214"/>
      <c r="G36" s="214"/>
      <c r="H36" s="214"/>
      <c r="I36" s="214"/>
      <c r="J36" s="214"/>
      <c r="K36" s="214" t="s">
        <v>1866</v>
      </c>
      <c r="L36" s="216" t="n">
        <v>0.302</v>
      </c>
      <c r="M36" s="217"/>
    </row>
    <row r="37" customFormat="false" ht="15" hidden="false" customHeight="false" outlineLevel="0" collapsed="false">
      <c r="B37" s="214" t="s">
        <v>1713</v>
      </c>
      <c r="C37" s="214" t="s">
        <v>459</v>
      </c>
      <c r="D37" s="214" t="s">
        <v>1761</v>
      </c>
      <c r="E37" s="214"/>
      <c r="F37" s="214"/>
      <c r="G37" s="214"/>
      <c r="H37" s="214"/>
      <c r="I37" s="214"/>
      <c r="J37" s="214"/>
      <c r="K37" s="214" t="s">
        <v>1866</v>
      </c>
      <c r="L37" s="216" t="n">
        <v>0.302</v>
      </c>
      <c r="M37" s="217"/>
    </row>
    <row r="38" customFormat="false" ht="15" hidden="false" customHeight="false" outlineLevel="0" collapsed="false">
      <c r="B38" s="214" t="s">
        <v>1713</v>
      </c>
      <c r="C38" s="214" t="s">
        <v>459</v>
      </c>
      <c r="D38" s="214" t="s">
        <v>1762</v>
      </c>
      <c r="E38" s="214"/>
      <c r="F38" s="214"/>
      <c r="G38" s="214"/>
      <c r="H38" s="214"/>
      <c r="I38" s="214"/>
      <c r="J38" s="214"/>
      <c r="K38" s="214" t="s">
        <v>1866</v>
      </c>
      <c r="L38" s="216" t="n">
        <v>0.302</v>
      </c>
      <c r="M38" s="217"/>
    </row>
    <row r="39" customFormat="false" ht="15" hidden="false" customHeight="false" outlineLevel="0" collapsed="false">
      <c r="B39" s="214" t="s">
        <v>1713</v>
      </c>
      <c r="C39" s="214" t="s">
        <v>459</v>
      </c>
      <c r="D39" s="214" t="s">
        <v>1763</v>
      </c>
      <c r="E39" s="214"/>
      <c r="F39" s="214"/>
      <c r="G39" s="214"/>
      <c r="H39" s="214"/>
      <c r="I39" s="214"/>
      <c r="J39" s="214"/>
      <c r="K39" s="214" t="s">
        <v>1866</v>
      </c>
      <c r="L39" s="216" t="n">
        <v>0.302</v>
      </c>
      <c r="M39" s="217"/>
    </row>
    <row r="40" customFormat="false" ht="15" hidden="false" customHeight="false" outlineLevel="0" collapsed="false">
      <c r="B40" s="214" t="s">
        <v>1713</v>
      </c>
      <c r="C40" s="214" t="s">
        <v>459</v>
      </c>
      <c r="D40" s="214" t="s">
        <v>1764</v>
      </c>
      <c r="E40" s="214"/>
      <c r="F40" s="214"/>
      <c r="G40" s="214"/>
      <c r="H40" s="214"/>
      <c r="I40" s="214"/>
      <c r="J40" s="214"/>
      <c r="K40" s="214" t="s">
        <v>1866</v>
      </c>
      <c r="L40" s="216" t="n">
        <v>0.2</v>
      </c>
      <c r="M40" s="217"/>
    </row>
    <row r="41" customFormat="false" ht="15" hidden="false" customHeight="false" outlineLevel="0" collapsed="false">
      <c r="B41" s="214" t="s">
        <v>1713</v>
      </c>
      <c r="C41" s="214" t="s">
        <v>459</v>
      </c>
      <c r="D41" s="214" t="s">
        <v>1765</v>
      </c>
      <c r="E41" s="214"/>
      <c r="F41" s="214"/>
      <c r="G41" s="214"/>
      <c r="H41" s="214"/>
      <c r="I41" s="214"/>
      <c r="J41" s="214"/>
      <c r="K41" s="214" t="s">
        <v>1866</v>
      </c>
      <c r="L41" s="216" t="n">
        <v>0.302</v>
      </c>
      <c r="M41" s="217"/>
    </row>
    <row r="42" customFormat="false" ht="15" hidden="false" customHeight="false" outlineLevel="0" collapsed="false">
      <c r="B42" s="214" t="s">
        <v>1713</v>
      </c>
      <c r="C42" s="214" t="s">
        <v>459</v>
      </c>
      <c r="D42" s="214" t="s">
        <v>1766</v>
      </c>
      <c r="E42" s="214"/>
      <c r="F42" s="214"/>
      <c r="G42" s="214"/>
      <c r="H42" s="214"/>
      <c r="I42" s="214"/>
      <c r="J42" s="214"/>
      <c r="K42" s="214" t="s">
        <v>1866</v>
      </c>
      <c r="L42" s="216" t="n">
        <v>0.200379860130379</v>
      </c>
      <c r="M42" s="217"/>
    </row>
    <row r="43" customFormat="false" ht="15" hidden="false" customHeight="false" outlineLevel="0" collapsed="false">
      <c r="B43" s="214" t="s">
        <v>1713</v>
      </c>
      <c r="C43" s="214" t="s">
        <v>459</v>
      </c>
      <c r="D43" s="214" t="s">
        <v>1767</v>
      </c>
      <c r="E43" s="214"/>
      <c r="F43" s="214"/>
      <c r="G43" s="214"/>
      <c r="H43" s="214"/>
      <c r="I43" s="214"/>
      <c r="J43" s="214"/>
      <c r="K43" s="214" t="s">
        <v>1866</v>
      </c>
      <c r="L43" s="216" t="n">
        <v>0.1</v>
      </c>
      <c r="M43" s="217"/>
    </row>
    <row r="44" customFormat="false" ht="15" hidden="false" customHeight="false" outlineLevel="0" collapsed="false">
      <c r="B44" s="214" t="s">
        <v>1713</v>
      </c>
      <c r="C44" s="214" t="s">
        <v>459</v>
      </c>
      <c r="D44" s="214" t="s">
        <v>1768</v>
      </c>
      <c r="E44" s="214"/>
      <c r="F44" s="214"/>
      <c r="G44" s="214"/>
      <c r="H44" s="214"/>
      <c r="I44" s="214"/>
      <c r="J44" s="214"/>
      <c r="K44" s="214" t="s">
        <v>1866</v>
      </c>
      <c r="L44" s="216" t="n">
        <v>0.25</v>
      </c>
      <c r="M44" s="217"/>
    </row>
    <row r="45" customFormat="false" ht="15" hidden="false" customHeight="false" outlineLevel="0" collapsed="false">
      <c r="B45" s="214" t="s">
        <v>1713</v>
      </c>
      <c r="C45" s="214" t="s">
        <v>459</v>
      </c>
      <c r="D45" s="214" t="s">
        <v>1769</v>
      </c>
      <c r="E45" s="214"/>
      <c r="F45" s="214"/>
      <c r="G45" s="214"/>
      <c r="H45" s="214"/>
      <c r="I45" s="214"/>
      <c r="J45" s="214"/>
      <c r="K45" s="214" t="s">
        <v>1866</v>
      </c>
      <c r="L45" s="216" t="n">
        <v>0.18211596469675</v>
      </c>
      <c r="M45" s="217"/>
    </row>
    <row r="46" customFormat="false" ht="15" hidden="false" customHeight="false" outlineLevel="0" collapsed="false">
      <c r="B46" s="214" t="s">
        <v>1713</v>
      </c>
      <c r="C46" s="214" t="s">
        <v>459</v>
      </c>
      <c r="D46" s="214" t="s">
        <v>1770</v>
      </c>
      <c r="E46" s="214"/>
      <c r="F46" s="214"/>
      <c r="G46" s="214"/>
      <c r="H46" s="214"/>
      <c r="I46" s="214"/>
      <c r="J46" s="214"/>
      <c r="K46" s="214" t="s">
        <v>1866</v>
      </c>
      <c r="L46" s="216" t="n">
        <v>0.0112383347501903</v>
      </c>
      <c r="M46" s="217"/>
    </row>
    <row r="47" customFormat="false" ht="15" hidden="false" customHeight="false" outlineLevel="0" collapsed="false">
      <c r="B47" s="214" t="s">
        <v>1713</v>
      </c>
      <c r="C47" s="214" t="s">
        <v>459</v>
      </c>
      <c r="D47" s="214" t="s">
        <v>1771</v>
      </c>
      <c r="E47" s="214"/>
      <c r="F47" s="214"/>
      <c r="G47" s="214"/>
      <c r="H47" s="214"/>
      <c r="I47" s="214"/>
      <c r="J47" s="214"/>
      <c r="K47" s="214" t="s">
        <v>1866</v>
      </c>
      <c r="L47" s="216" t="n">
        <v>0.302</v>
      </c>
      <c r="M47" s="217"/>
    </row>
    <row r="48" customFormat="false" ht="15" hidden="false" customHeight="false" outlineLevel="0" collapsed="false">
      <c r="B48" s="214" t="s">
        <v>1713</v>
      </c>
      <c r="C48" s="214" t="s">
        <v>459</v>
      </c>
      <c r="D48" s="214" t="s">
        <v>1772</v>
      </c>
      <c r="E48" s="214"/>
      <c r="F48" s="214"/>
      <c r="G48" s="214"/>
      <c r="H48" s="214"/>
      <c r="I48" s="214"/>
      <c r="J48" s="214"/>
      <c r="K48" s="214" t="s">
        <v>1866</v>
      </c>
      <c r="L48" s="216" t="n">
        <v>0.2</v>
      </c>
      <c r="M48" s="217"/>
    </row>
    <row r="49" customFormat="false" ht="15" hidden="false" customHeight="false" outlineLevel="0" collapsed="false">
      <c r="B49" s="214" t="s">
        <v>1715</v>
      </c>
      <c r="C49" s="214" t="s">
        <v>459</v>
      </c>
      <c r="D49" s="214" t="s">
        <v>1773</v>
      </c>
      <c r="E49" s="214"/>
      <c r="F49" s="214"/>
      <c r="G49" s="214"/>
      <c r="H49" s="214"/>
      <c r="I49" s="214"/>
      <c r="J49" s="214"/>
      <c r="K49" s="214" t="s">
        <v>1866</v>
      </c>
      <c r="L49" s="216" t="n">
        <v>0.25</v>
      </c>
      <c r="M49" s="217"/>
    </row>
    <row r="50" customFormat="false" ht="15" hidden="false" customHeight="false" outlineLevel="0" collapsed="false">
      <c r="B50" s="214" t="s">
        <v>1716</v>
      </c>
      <c r="C50" s="214" t="s">
        <v>459</v>
      </c>
      <c r="D50" s="214" t="s">
        <v>1774</v>
      </c>
      <c r="E50" s="214"/>
      <c r="F50" s="214"/>
      <c r="G50" s="214"/>
      <c r="H50" s="214"/>
      <c r="I50" s="214"/>
      <c r="J50" s="214"/>
      <c r="K50" s="214" t="s">
        <v>1866</v>
      </c>
      <c r="L50" s="216" t="n">
        <v>0.302</v>
      </c>
      <c r="M50" s="217"/>
    </row>
    <row r="51" customFormat="false" ht="15" hidden="false" customHeight="false" outlineLevel="0" collapsed="false">
      <c r="B51" s="214" t="s">
        <v>1716</v>
      </c>
      <c r="C51" s="214" t="s">
        <v>459</v>
      </c>
      <c r="D51" s="214" t="s">
        <v>1775</v>
      </c>
      <c r="E51" s="214"/>
      <c r="F51" s="214"/>
      <c r="G51" s="214"/>
      <c r="H51" s="214"/>
      <c r="I51" s="214"/>
      <c r="J51" s="214"/>
      <c r="K51" s="214" t="s">
        <v>1866</v>
      </c>
      <c r="L51" s="216" t="n">
        <v>0.302</v>
      </c>
      <c r="M51" s="217"/>
    </row>
    <row r="52" customFormat="false" ht="15" hidden="false" customHeight="false" outlineLevel="0" collapsed="false">
      <c r="B52" s="214" t="s">
        <v>1716</v>
      </c>
      <c r="C52" s="214" t="s">
        <v>459</v>
      </c>
      <c r="D52" s="214" t="s">
        <v>1776</v>
      </c>
      <c r="E52" s="214"/>
      <c r="F52" s="214"/>
      <c r="G52" s="214"/>
      <c r="H52" s="214"/>
      <c r="I52" s="214"/>
      <c r="J52" s="214"/>
      <c r="K52" s="214" t="s">
        <v>1866</v>
      </c>
      <c r="L52" s="216" t="n">
        <v>0.302</v>
      </c>
      <c r="M52" s="217"/>
    </row>
    <row r="53" customFormat="false" ht="15" hidden="false" customHeight="false" outlineLevel="0" collapsed="false">
      <c r="B53" s="218"/>
    </row>
    <row r="54" customFormat="false" ht="15" hidden="false" customHeight="false" outlineLevel="0" collapsed="false">
      <c r="B54" s="184"/>
      <c r="C54" s="184"/>
      <c r="D54" s="184"/>
      <c r="E54" s="184"/>
      <c r="F54" s="184"/>
      <c r="G54" s="184"/>
    </row>
    <row r="55" customFormat="false" ht="15" hidden="false" customHeight="false" outlineLevel="0" collapsed="false">
      <c r="B55" s="184" t="s">
        <v>1867</v>
      </c>
      <c r="C55" s="184"/>
      <c r="D55" s="184"/>
      <c r="E55" s="184"/>
      <c r="F55" s="184"/>
      <c r="G55" s="184"/>
    </row>
    <row r="56" customFormat="false" ht="15" hidden="false" customHeight="false" outlineLevel="0" collapsed="false">
      <c r="B56" s="184"/>
      <c r="C56" s="184"/>
      <c r="D56" s="184"/>
      <c r="E56" s="184"/>
      <c r="F56" s="184"/>
      <c r="G56" s="184"/>
    </row>
    <row r="57" customFormat="false" ht="15" hidden="false" customHeight="false" outlineLevel="0" collapsed="false">
      <c r="B57" s="184" t="s">
        <v>1868</v>
      </c>
      <c r="C57" s="184"/>
      <c r="D57" s="184"/>
      <c r="E57" s="184"/>
      <c r="F57" s="184"/>
      <c r="G57" s="184"/>
    </row>
    <row r="58" customFormat="false" ht="15" hidden="false" customHeight="false" outlineLevel="0" collapsed="false">
      <c r="B58" s="184" t="s">
        <v>1869</v>
      </c>
      <c r="C58" s="184"/>
      <c r="D58" s="184"/>
      <c r="E58" s="184"/>
      <c r="F58" s="184"/>
      <c r="G58" s="184"/>
    </row>
    <row r="59" customFormat="false" ht="15" hidden="false" customHeight="false" outlineLevel="0" collapsed="false">
      <c r="B59" s="184"/>
      <c r="C59" s="184"/>
      <c r="D59" s="184"/>
      <c r="E59" s="184"/>
      <c r="F59" s="184"/>
      <c r="G59" s="184"/>
    </row>
    <row r="60" customFormat="false" ht="15" hidden="false" customHeight="false" outlineLevel="0" collapsed="false">
      <c r="B60" s="184"/>
      <c r="C60" s="184"/>
      <c r="D60" s="184"/>
      <c r="E60" s="184"/>
      <c r="F60" s="184"/>
      <c r="G60" s="184"/>
    </row>
    <row r="61" customFormat="false" ht="15" hidden="false" customHeight="false" outlineLevel="0" collapsed="false">
      <c r="B61" s="184"/>
      <c r="C61" s="184"/>
      <c r="D61" s="184"/>
      <c r="E61" s="184"/>
      <c r="F61" s="184"/>
      <c r="G61" s="184"/>
    </row>
    <row r="62" customFormat="false" ht="15" hidden="false" customHeight="false" outlineLevel="0" collapsed="false">
      <c r="B62" s="184"/>
      <c r="C62" s="184"/>
      <c r="D62" s="184"/>
      <c r="E62" s="184"/>
      <c r="F62" s="184"/>
      <c r="G62" s="184"/>
    </row>
    <row r="63" customFormat="false" ht="15" hidden="false" customHeight="false" outlineLevel="0" collapsed="false">
      <c r="B63" s="184"/>
      <c r="C63" s="184"/>
      <c r="D63" s="184"/>
      <c r="E63" s="184"/>
      <c r="F63" s="184"/>
      <c r="G63" s="184"/>
    </row>
    <row r="64" customFormat="false" ht="15" hidden="false" customHeight="false" outlineLevel="0" collapsed="false">
      <c r="B64" s="184"/>
      <c r="C64" s="184"/>
      <c r="D64" s="184"/>
      <c r="E64" s="184"/>
      <c r="F64" s="184"/>
      <c r="G64" s="184"/>
    </row>
    <row r="65" customFormat="false" ht="15" hidden="false" customHeight="false" outlineLevel="0" collapsed="false">
      <c r="B65" s="184"/>
      <c r="C65" s="184"/>
      <c r="D65" s="184"/>
      <c r="E65" s="184"/>
      <c r="F65" s="184"/>
      <c r="G65" s="184"/>
    </row>
    <row r="66" customFormat="false" ht="15" hidden="false" customHeight="false" outlineLevel="0" collapsed="false">
      <c r="B66" s="184"/>
      <c r="C66" s="184"/>
      <c r="D66" s="184"/>
      <c r="E66" s="184"/>
      <c r="F66" s="184"/>
      <c r="G66" s="184"/>
    </row>
    <row r="67" customFormat="false" ht="15" hidden="false" customHeight="false" outlineLevel="0" collapsed="false">
      <c r="B67" s="184"/>
      <c r="C67" s="184"/>
      <c r="D67" s="184"/>
      <c r="E67" s="184"/>
      <c r="F67" s="184"/>
      <c r="G67" s="184"/>
    </row>
    <row r="68" customFormat="false" ht="15" hidden="false" customHeight="false" outlineLevel="0" collapsed="false">
      <c r="B68" s="184"/>
      <c r="C68" s="184"/>
      <c r="D68" s="184"/>
      <c r="E68" s="184"/>
      <c r="F68" s="184"/>
      <c r="G68" s="184"/>
    </row>
    <row r="69" customFormat="false" ht="15" hidden="false" customHeight="false" outlineLevel="0" collapsed="false">
      <c r="B69" s="184"/>
      <c r="C69" s="184"/>
      <c r="D69" s="184"/>
      <c r="E69" s="184"/>
      <c r="F69" s="184"/>
      <c r="G69" s="184"/>
    </row>
    <row r="70" customFormat="false" ht="15" hidden="false" customHeight="false" outlineLevel="0" collapsed="false">
      <c r="B70" s="184"/>
      <c r="C70" s="184"/>
      <c r="D70" s="184"/>
      <c r="E70" s="184"/>
      <c r="F70" s="184"/>
      <c r="G70" s="184"/>
    </row>
    <row r="71" customFormat="false" ht="15" hidden="false" customHeight="false" outlineLevel="0" collapsed="false">
      <c r="B71" s="184"/>
      <c r="C71" s="184"/>
      <c r="D71" s="184"/>
      <c r="E71" s="184"/>
      <c r="F71" s="184"/>
      <c r="G71" s="184"/>
    </row>
    <row r="72" customFormat="false" ht="15" hidden="false" customHeight="false" outlineLevel="0" collapsed="false">
      <c r="B72" s="184"/>
      <c r="C72" s="184"/>
      <c r="D72" s="184"/>
      <c r="E72" s="184"/>
      <c r="F72" s="184"/>
      <c r="G72" s="184"/>
    </row>
    <row r="73" customFormat="false" ht="15" hidden="false" customHeight="false" outlineLevel="0" collapsed="false">
      <c r="B73" s="184"/>
      <c r="C73" s="184"/>
      <c r="D73" s="184"/>
      <c r="E73" s="184"/>
      <c r="F73" s="184"/>
      <c r="G73" s="184"/>
    </row>
    <row r="74" customFormat="false" ht="15" hidden="false" customHeight="false" outlineLevel="0" collapsed="false">
      <c r="B74" s="184"/>
      <c r="C74" s="184"/>
      <c r="D74" s="184"/>
      <c r="E74" s="184"/>
      <c r="F74" s="184"/>
      <c r="G74" s="184"/>
    </row>
    <row r="75" customFormat="false" ht="15" hidden="false" customHeight="false" outlineLevel="0" collapsed="false">
      <c r="B75" s="184"/>
      <c r="C75" s="184"/>
      <c r="D75" s="184"/>
      <c r="E75" s="184"/>
      <c r="F75" s="184"/>
      <c r="G75" s="184"/>
    </row>
    <row r="76" customFormat="false" ht="15" hidden="false" customHeight="false" outlineLevel="0" collapsed="false">
      <c r="B76" s="184"/>
      <c r="C76" s="184"/>
      <c r="D76" s="184"/>
      <c r="E76" s="184"/>
      <c r="F76" s="184"/>
      <c r="G76" s="184"/>
    </row>
    <row r="77" customFormat="false" ht="15" hidden="false" customHeight="false" outlineLevel="0" collapsed="false">
      <c r="B77" s="184"/>
      <c r="C77" s="184"/>
      <c r="D77" s="184"/>
      <c r="E77" s="184"/>
      <c r="F77" s="184"/>
      <c r="G77" s="184"/>
    </row>
    <row r="78" customFormat="false" ht="15" hidden="false" customHeight="false" outlineLevel="0" collapsed="false">
      <c r="B78" s="184"/>
      <c r="C78" s="184"/>
      <c r="D78" s="184"/>
      <c r="E78" s="184"/>
      <c r="F78" s="184"/>
      <c r="G78" s="184"/>
    </row>
    <row r="79" customFormat="false" ht="15" hidden="false" customHeight="false" outlineLevel="0" collapsed="false">
      <c r="B79" s="184"/>
      <c r="C79" s="184"/>
      <c r="D79" s="184"/>
      <c r="E79" s="184"/>
      <c r="F79" s="184"/>
      <c r="G79" s="184"/>
    </row>
    <row r="80" customFormat="false" ht="15" hidden="false" customHeight="false" outlineLevel="0" collapsed="false">
      <c r="B80" s="184"/>
      <c r="C80" s="184"/>
      <c r="D80" s="184"/>
      <c r="E80" s="184"/>
      <c r="F80" s="184"/>
      <c r="G80" s="184"/>
    </row>
    <row r="81" customFormat="false" ht="15" hidden="false" customHeight="false" outlineLevel="0" collapsed="false">
      <c r="B81" s="184"/>
      <c r="C81" s="184"/>
      <c r="D81" s="184"/>
      <c r="E81" s="184"/>
      <c r="F81" s="184"/>
      <c r="G81" s="184"/>
    </row>
    <row r="82" customFormat="false" ht="15" hidden="false" customHeight="false" outlineLevel="0" collapsed="false">
      <c r="B82" s="184"/>
      <c r="C82" s="184"/>
      <c r="D82" s="184"/>
      <c r="E82" s="184"/>
      <c r="F82" s="184"/>
      <c r="G82" s="184"/>
    </row>
    <row r="83" customFormat="false" ht="15" hidden="false" customHeight="false" outlineLevel="0" collapsed="false">
      <c r="B83" s="184"/>
      <c r="C83" s="184"/>
      <c r="D83" s="184"/>
      <c r="E83" s="184"/>
      <c r="F83" s="184"/>
      <c r="G83" s="184"/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.43"/>
    <col collapsed="false" customWidth="true" hidden="false" outlineLevel="0" max="3" min="3" style="0" width="14.71"/>
  </cols>
  <sheetData>
    <row r="1" customFormat="false" ht="15" hidden="false" customHeight="false" outlineLevel="0" collapsed="false">
      <c r="A1" s="219" t="s">
        <v>1</v>
      </c>
      <c r="B1" s="184"/>
      <c r="C1" s="184"/>
      <c r="D1" s="184"/>
      <c r="K1" s="126" t="s">
        <v>1705</v>
      </c>
    </row>
    <row r="2" customFormat="false" ht="21" hidden="false" customHeight="true" outlineLevel="0" collapsed="false">
      <c r="A2" s="212" t="s">
        <v>1870</v>
      </c>
      <c r="B2" s="184"/>
      <c r="C2" s="184"/>
      <c r="D2" s="184"/>
    </row>
    <row r="3" customFormat="false" ht="15" hidden="false" customHeight="false" outlineLevel="0" collapsed="false">
      <c r="A3" s="213" t="s">
        <v>1822</v>
      </c>
      <c r="B3" s="187" t="s">
        <v>346</v>
      </c>
      <c r="C3" s="184"/>
      <c r="D3" s="184"/>
    </row>
    <row r="4" customFormat="false" ht="15" hidden="false" customHeight="false" outlineLevel="0" collapsed="false">
      <c r="A4" s="213" t="s">
        <v>1823</v>
      </c>
      <c r="B4" s="188"/>
      <c r="C4" s="184"/>
      <c r="D4" s="184"/>
    </row>
    <row r="5" customFormat="false" ht="30" hidden="false" customHeight="true" outlineLevel="0" collapsed="false">
      <c r="A5" s="213" t="s">
        <v>1824</v>
      </c>
      <c r="B5" s="189"/>
      <c r="C5" s="184"/>
      <c r="D5" s="184"/>
    </row>
    <row r="6" customFormat="false" ht="30" hidden="false" customHeight="true" outlineLevel="0" collapsed="false">
      <c r="A6" s="213" t="s">
        <v>1825</v>
      </c>
      <c r="B6" s="189"/>
      <c r="C6" s="184"/>
      <c r="D6" s="184"/>
    </row>
    <row r="7" customFormat="false" ht="15" hidden="false" customHeight="false" outlineLevel="0" collapsed="false">
      <c r="A7" s="213" t="s">
        <v>1826</v>
      </c>
      <c r="B7" s="190"/>
      <c r="C7" s="184"/>
      <c r="D7" s="184"/>
    </row>
    <row r="8" customFormat="false" ht="15" hidden="false" customHeight="false" outlineLevel="0" collapsed="false">
      <c r="A8" s="214" t="s">
        <v>1871</v>
      </c>
      <c r="B8" s="214" t="s">
        <v>1872</v>
      </c>
      <c r="C8" s="214" t="s">
        <v>850</v>
      </c>
      <c r="D8" s="215" t="s">
        <v>883</v>
      </c>
    </row>
    <row r="9" customFormat="false" ht="15" hidden="false" customHeight="false" outlineLevel="0" collapsed="false">
      <c r="A9" s="214" t="s">
        <v>1873</v>
      </c>
      <c r="B9" s="214" t="s">
        <v>1874</v>
      </c>
      <c r="C9" s="220" t="n">
        <v>0.225278077608463</v>
      </c>
      <c r="D9" s="221"/>
    </row>
    <row r="10" customFormat="false" ht="15" hidden="false" customHeight="false" outlineLevel="0" collapsed="false">
      <c r="A10" s="214" t="s">
        <v>1875</v>
      </c>
      <c r="B10" s="214" t="s">
        <v>1874</v>
      </c>
      <c r="C10" s="220" t="n">
        <v>0.10325245224041</v>
      </c>
      <c r="D10" s="222"/>
    </row>
    <row r="11" customFormat="false" ht="15" hidden="false" customHeight="false" outlineLevel="0" collapsed="false">
      <c r="A11" s="214" t="s">
        <v>1876</v>
      </c>
      <c r="B11" s="214" t="s">
        <v>1874</v>
      </c>
      <c r="C11" s="220" t="n">
        <v>53.4753836798125</v>
      </c>
      <c r="D11" s="222"/>
    </row>
    <row r="12" customFormat="false" ht="15" hidden="false" customHeight="false" outlineLevel="0" collapsed="false">
      <c r="A12" s="214" t="s">
        <v>1877</v>
      </c>
      <c r="B12" s="214" t="s">
        <v>1874</v>
      </c>
      <c r="C12" s="220" t="n">
        <v>30.4782465830581</v>
      </c>
      <c r="D12" s="222"/>
    </row>
    <row r="13" customFormat="false" ht="15" hidden="false" customHeight="false" outlineLevel="0" collapsed="false">
      <c r="A13" s="214" t="s">
        <v>1878</v>
      </c>
      <c r="B13" s="214" t="s">
        <v>1874</v>
      </c>
      <c r="C13" s="220" t="n">
        <v>89.2382785154847</v>
      </c>
      <c r="D13" s="222"/>
    </row>
    <row r="14" customFormat="false" ht="15" hidden="false" customHeight="false" outlineLevel="0" collapsed="false">
      <c r="A14" s="214" t="s">
        <v>1879</v>
      </c>
      <c r="B14" s="214" t="s">
        <v>1874</v>
      </c>
      <c r="C14" s="220" t="n">
        <v>12.9159431170294</v>
      </c>
      <c r="D14" s="222"/>
    </row>
    <row r="15" customFormat="false" ht="15" hidden="false" customHeight="false" outlineLevel="0" collapsed="false">
      <c r="A15" s="214" t="s">
        <v>1880</v>
      </c>
      <c r="B15" s="214" t="s">
        <v>1874</v>
      </c>
      <c r="C15" s="220" t="n">
        <v>102.811282715377</v>
      </c>
      <c r="D15" s="222"/>
    </row>
    <row r="16" customFormat="false" ht="15" hidden="false" customHeight="false" outlineLevel="0" collapsed="false">
      <c r="A16" s="214" t="s">
        <v>1881</v>
      </c>
      <c r="B16" s="214" t="s">
        <v>1874</v>
      </c>
      <c r="C16" s="220" t="n">
        <v>127.892241999407</v>
      </c>
      <c r="D16" s="222"/>
    </row>
    <row r="17" customFormat="false" ht="15" hidden="false" customHeight="false" outlineLevel="0" collapsed="false">
      <c r="A17" s="214" t="s">
        <v>1882</v>
      </c>
      <c r="B17" s="214" t="s">
        <v>1874</v>
      </c>
      <c r="C17" s="220" t="n">
        <v>31.0883747108923</v>
      </c>
      <c r="D17" s="222"/>
    </row>
    <row r="18" customFormat="false" ht="15" hidden="false" customHeight="false" outlineLevel="0" collapsed="false">
      <c r="A18" s="214" t="s">
        <v>1883</v>
      </c>
      <c r="B18" s="214" t="s">
        <v>1874</v>
      </c>
      <c r="C18" s="220" t="n">
        <v>11.3260430846007</v>
      </c>
      <c r="D18" s="222"/>
    </row>
    <row r="19" customFormat="false" ht="15" hidden="false" customHeight="false" outlineLevel="0" collapsed="false">
      <c r="A19" s="214" t="s">
        <v>1884</v>
      </c>
      <c r="B19" s="214" t="s">
        <v>1874</v>
      </c>
      <c r="C19" s="220" t="n">
        <v>1.10761721495173</v>
      </c>
      <c r="D19" s="222"/>
    </row>
    <row r="20" customFormat="false" ht="15" hidden="false" customHeight="false" outlineLevel="0" collapsed="false">
      <c r="A20" s="214" t="s">
        <v>1885</v>
      </c>
      <c r="B20" s="214" t="s">
        <v>1874</v>
      </c>
      <c r="C20" s="220" t="n">
        <v>0.187731731355892</v>
      </c>
      <c r="D20" s="222"/>
    </row>
    <row r="21" customFormat="false" ht="15" hidden="false" customHeight="false" outlineLevel="0" collapsed="false">
      <c r="A21" s="214" t="s">
        <v>1874</v>
      </c>
      <c r="B21" s="214" t="s">
        <v>1874</v>
      </c>
      <c r="C21" s="220" t="n">
        <v>1</v>
      </c>
      <c r="D21" s="222"/>
    </row>
    <row r="22" customFormat="false" ht="15" hidden="false" customHeight="false" outlineLevel="0" collapsed="false">
      <c r="A22" s="214" t="s">
        <v>1886</v>
      </c>
      <c r="B22" s="214" t="s">
        <v>1874</v>
      </c>
      <c r="C22" s="220" t="n">
        <v>90.9090909090909</v>
      </c>
      <c r="D22" s="222"/>
    </row>
    <row r="25" customFormat="false" ht="15" hidden="false" customHeight="false" outlineLevel="0" collapsed="false">
      <c r="A25" s="0" t="s">
        <v>1887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O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.57"/>
    <col collapsed="false" customWidth="true" hidden="false" outlineLevel="0" max="2" min="2" style="0" width="12.71"/>
  </cols>
  <sheetData>
    <row r="1" customFormat="false" ht="21" hidden="false" customHeight="true" outlineLevel="0" collapsed="false">
      <c r="A1" s="124" t="s">
        <v>1888</v>
      </c>
      <c r="B1" s="185" t="s">
        <v>1</v>
      </c>
      <c r="K1" s="223"/>
      <c r="N1" s="126" t="s">
        <v>1705</v>
      </c>
    </row>
    <row r="2" customFormat="false" ht="12.75" hidden="false" customHeight="true" outlineLevel="0" collapsed="false">
      <c r="A2" s="129" t="s">
        <v>1822</v>
      </c>
      <c r="B2" s="187" t="s">
        <v>346</v>
      </c>
      <c r="K2" s="223"/>
    </row>
    <row r="3" customFormat="false" ht="12.75" hidden="false" customHeight="true" outlineLevel="0" collapsed="false">
      <c r="A3" s="129" t="s">
        <v>1823</v>
      </c>
      <c r="B3" s="188" t="n">
        <v>2026</v>
      </c>
      <c r="K3" s="223"/>
    </row>
    <row r="4" customFormat="false" ht="12.75" hidden="false" customHeight="true" outlineLevel="0" collapsed="false">
      <c r="A4" s="129" t="s">
        <v>1824</v>
      </c>
      <c r="B4" s="189" t="n">
        <v>46081</v>
      </c>
      <c r="C4" s="129"/>
      <c r="K4" s="223"/>
    </row>
    <row r="5" customFormat="false" ht="12.75" hidden="false" customHeight="true" outlineLevel="0" collapsed="false">
      <c r="A5" s="129" t="s">
        <v>1825</v>
      </c>
      <c r="B5" s="189" t="n">
        <v>46081</v>
      </c>
      <c r="K5" s="223"/>
    </row>
    <row r="6" customFormat="false" ht="12.75" hidden="false" customHeight="true" outlineLevel="0" collapsed="false">
      <c r="A6" s="129" t="s">
        <v>1826</v>
      </c>
      <c r="B6" s="190" t="s">
        <v>1827</v>
      </c>
      <c r="K6" s="223"/>
    </row>
    <row r="7" customFormat="false" ht="30" hidden="false" customHeight="true" outlineLevel="0" collapsed="false">
      <c r="A7" s="224" t="s">
        <v>1889</v>
      </c>
      <c r="B7" s="224" t="s">
        <v>798</v>
      </c>
      <c r="C7" s="225" t="s">
        <v>1890</v>
      </c>
      <c r="D7" s="224" t="s">
        <v>1720</v>
      </c>
      <c r="E7" s="225" t="s">
        <v>1891</v>
      </c>
      <c r="F7" s="224" t="s">
        <v>1892</v>
      </c>
      <c r="G7" s="224" t="s">
        <v>1438</v>
      </c>
      <c r="H7" s="224" t="s">
        <v>1829</v>
      </c>
      <c r="I7" s="224" t="s">
        <v>1830</v>
      </c>
      <c r="J7" s="224" t="s">
        <v>1857</v>
      </c>
      <c r="K7" s="224" t="s">
        <v>457</v>
      </c>
      <c r="L7" s="224" t="s">
        <v>1893</v>
      </c>
      <c r="M7" s="224" t="s">
        <v>850</v>
      </c>
      <c r="N7" s="224" t="s">
        <v>1894</v>
      </c>
      <c r="O7" s="224" t="s">
        <v>883</v>
      </c>
    </row>
    <row r="12" customFormat="false" ht="15" hidden="false" customHeight="false" outlineLevel="0" collapsed="false">
      <c r="A12" s="226" t="s">
        <v>1895</v>
      </c>
    </row>
    <row r="13" customFormat="false" ht="15" hidden="false" customHeight="false" outlineLevel="0" collapsed="false">
      <c r="A13" s="131" t="s">
        <v>1896</v>
      </c>
    </row>
    <row r="14" customFormat="false" ht="15" hidden="false" customHeight="false" outlineLevel="0" collapsed="false">
      <c r="A14" s="131" t="s">
        <v>1897</v>
      </c>
    </row>
    <row r="15" customFormat="false" ht="15" hidden="false" customHeight="false" outlineLevel="0" collapsed="false">
      <c r="A15" s="131" t="s">
        <v>1898</v>
      </c>
    </row>
    <row r="17" customFormat="false" ht="15" hidden="false" customHeight="false" outlineLevel="0" collapsed="false">
      <c r="A17" s="226" t="s">
        <v>1899</v>
      </c>
    </row>
    <row r="18" customFormat="false" ht="15" hidden="false" customHeight="false" outlineLevel="0" collapsed="false">
      <c r="A18" s="0" t="s">
        <v>1900</v>
      </c>
    </row>
    <row r="19" customFormat="false" ht="15" hidden="false" customHeight="false" outlineLevel="0" collapsed="false">
      <c r="A19" s="227" t="s">
        <v>1901</v>
      </c>
    </row>
    <row r="20" customFormat="false" ht="15" hidden="false" customHeight="false" outlineLevel="0" collapsed="false">
      <c r="A20" s="227" t="s">
        <v>1902</v>
      </c>
    </row>
  </sheetData>
  <hyperlinks>
    <hyperlink ref="B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N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11.85"/>
    <col collapsed="false" customWidth="true" hidden="false" outlineLevel="0" max="3" min="3" style="0" width="11"/>
    <col collapsed="false" customWidth="true" hidden="false" outlineLevel="0" max="4" min="4" style="0" width="19.42"/>
    <col collapsed="false" customWidth="true" hidden="false" outlineLevel="0" max="5" min="5" style="0" width="11"/>
    <col collapsed="false" customWidth="true" hidden="false" outlineLevel="0" max="6" min="6" style="0" width="20.42"/>
    <col collapsed="false" customWidth="true" hidden="false" outlineLevel="0" max="10" min="10" style="0" width="10.42"/>
  </cols>
  <sheetData>
    <row r="1" customFormat="false" ht="21" hidden="false" customHeight="true" outlineLevel="0" collapsed="false">
      <c r="A1" s="185" t="s">
        <v>1</v>
      </c>
      <c r="B1" s="124" t="s">
        <v>1903</v>
      </c>
    </row>
    <row r="2" customFormat="false" ht="15" hidden="false" customHeight="false" outlineLevel="0" collapsed="false">
      <c r="B2" s="129" t="s">
        <v>1822</v>
      </c>
      <c r="C2" s="187" t="s">
        <v>346</v>
      </c>
      <c r="I2" s="126" t="s">
        <v>1705</v>
      </c>
    </row>
    <row r="3" customFormat="false" ht="15" hidden="false" customHeight="false" outlineLevel="0" collapsed="false">
      <c r="B3" s="129" t="s">
        <v>1823</v>
      </c>
      <c r="C3" s="188" t="n">
        <v>2026</v>
      </c>
    </row>
    <row r="4" customFormat="false" ht="15" hidden="false" customHeight="false" outlineLevel="0" collapsed="false">
      <c r="B4" s="129" t="s">
        <v>1824</v>
      </c>
      <c r="C4" s="189" t="n">
        <v>46081</v>
      </c>
    </row>
    <row r="5" customFormat="false" ht="15" hidden="false" customHeight="false" outlineLevel="0" collapsed="false">
      <c r="B5" s="129" t="s">
        <v>1825</v>
      </c>
      <c r="C5" s="189" t="n">
        <v>46081</v>
      </c>
    </row>
    <row r="6" customFormat="false" ht="15" hidden="false" customHeight="false" outlineLevel="0" collapsed="false">
      <c r="B6" s="129" t="s">
        <v>1826</v>
      </c>
      <c r="C6" s="190" t="s">
        <v>1827</v>
      </c>
    </row>
    <row r="8" customFormat="false" ht="30" hidden="false" customHeight="true" outlineLevel="0" collapsed="false">
      <c r="A8" s="228"/>
      <c r="B8" s="224" t="s">
        <v>1904</v>
      </c>
      <c r="C8" s="224" t="s">
        <v>1851</v>
      </c>
      <c r="D8" s="224" t="s">
        <v>1830</v>
      </c>
      <c r="E8" s="224" t="s">
        <v>798</v>
      </c>
      <c r="F8" s="224" t="s">
        <v>1720</v>
      </c>
      <c r="G8" s="224" t="s">
        <v>1905</v>
      </c>
      <c r="H8" s="224" t="s">
        <v>1906</v>
      </c>
      <c r="I8" s="224" t="s">
        <v>1907</v>
      </c>
      <c r="J8" s="224" t="s">
        <v>1908</v>
      </c>
      <c r="K8" s="224" t="s">
        <v>1909</v>
      </c>
      <c r="L8" s="224" t="s">
        <v>1910</v>
      </c>
      <c r="M8" s="224" t="s">
        <v>1911</v>
      </c>
      <c r="N8" s="229" t="s">
        <v>883</v>
      </c>
    </row>
    <row r="9" customFormat="false" ht="15" hidden="false" customHeight="false" outlineLevel="0" collapsed="false">
      <c r="B9" s="0" t="s">
        <v>1912</v>
      </c>
      <c r="C9" s="134" t="s">
        <v>459</v>
      </c>
      <c r="D9" s="134" t="s">
        <v>1741</v>
      </c>
      <c r="E9" s="134" t="n">
        <v>1001152</v>
      </c>
      <c r="F9" s="230"/>
      <c r="G9" s="231"/>
      <c r="H9" s="231"/>
      <c r="I9" s="232" t="n">
        <v>0.4</v>
      </c>
      <c r="J9" s="232" t="n">
        <v>0</v>
      </c>
      <c r="K9" s="232" t="n">
        <v>0.13</v>
      </c>
      <c r="L9" s="232" t="n">
        <v>0.13</v>
      </c>
      <c r="M9" s="232" t="n">
        <v>0.14</v>
      </c>
      <c r="N9" s="233"/>
    </row>
    <row r="10" customFormat="false" ht="15" hidden="false" customHeight="false" outlineLevel="0" collapsed="false">
      <c r="B10" s="0" t="s">
        <v>1912</v>
      </c>
      <c r="C10" s="134" t="s">
        <v>459</v>
      </c>
      <c r="D10" s="134" t="s">
        <v>1741</v>
      </c>
      <c r="E10" s="134" t="n">
        <v>1001277</v>
      </c>
      <c r="F10" s="230"/>
      <c r="G10" s="231"/>
      <c r="H10" s="231"/>
      <c r="I10" s="232" t="n">
        <v>0.4</v>
      </c>
      <c r="J10" s="232" t="n">
        <v>0</v>
      </c>
      <c r="K10" s="232" t="n">
        <v>0.13</v>
      </c>
      <c r="L10" s="232" t="n">
        <v>0.13</v>
      </c>
      <c r="M10" s="232" t="n">
        <v>0.14</v>
      </c>
      <c r="N10" s="233"/>
    </row>
    <row r="11" customFormat="false" ht="15" hidden="false" customHeight="false" outlineLevel="0" collapsed="false">
      <c r="B11" s="0" t="s">
        <v>1912</v>
      </c>
      <c r="C11" s="134" t="s">
        <v>459</v>
      </c>
      <c r="D11" s="134" t="s">
        <v>1741</v>
      </c>
      <c r="E11" s="134" t="n">
        <v>1016248</v>
      </c>
      <c r="F11" s="230"/>
      <c r="G11" s="231"/>
      <c r="H11" s="231"/>
      <c r="I11" s="232" t="n">
        <v>0.4</v>
      </c>
      <c r="J11" s="232" t="n">
        <v>0</v>
      </c>
      <c r="K11" s="232" t="n">
        <v>0.13</v>
      </c>
      <c r="L11" s="232" t="n">
        <v>0.13</v>
      </c>
      <c r="M11" s="232" t="n">
        <v>0.14</v>
      </c>
      <c r="N11" s="233"/>
    </row>
    <row r="12" customFormat="false" ht="15" hidden="false" customHeight="false" outlineLevel="0" collapsed="false">
      <c r="B12" s="0" t="s">
        <v>1912</v>
      </c>
      <c r="C12" s="134" t="s">
        <v>459</v>
      </c>
      <c r="D12" s="134" t="s">
        <v>1741</v>
      </c>
      <c r="E12" s="134" t="n">
        <v>1016256</v>
      </c>
      <c r="F12" s="230"/>
      <c r="G12" s="231"/>
      <c r="H12" s="231"/>
      <c r="I12" s="232" t="n">
        <v>0.4</v>
      </c>
      <c r="J12" s="232" t="n">
        <v>0</v>
      </c>
      <c r="K12" s="232" t="n">
        <v>0.13</v>
      </c>
      <c r="L12" s="232" t="n">
        <v>0.13</v>
      </c>
      <c r="M12" s="232" t="n">
        <v>0.14</v>
      </c>
      <c r="N12" s="233"/>
    </row>
    <row r="13" customFormat="false" ht="15" hidden="false" customHeight="false" outlineLevel="0" collapsed="false">
      <c r="B13" s="0" t="s">
        <v>1912</v>
      </c>
      <c r="C13" s="134" t="s">
        <v>459</v>
      </c>
      <c r="D13" s="134" t="s">
        <v>1741</v>
      </c>
      <c r="E13" s="134" t="n">
        <v>1015119</v>
      </c>
      <c r="F13" s="230"/>
      <c r="G13" s="231"/>
      <c r="H13" s="231"/>
      <c r="I13" s="232" t="n">
        <v>0.4</v>
      </c>
      <c r="J13" s="232" t="n">
        <v>0</v>
      </c>
      <c r="K13" s="232" t="n">
        <v>0.13</v>
      </c>
      <c r="L13" s="232" t="n">
        <v>0.13</v>
      </c>
      <c r="M13" s="232" t="n">
        <v>0.14</v>
      </c>
      <c r="N13" s="233"/>
    </row>
    <row r="14" customFormat="false" ht="15" hidden="false" customHeight="false" outlineLevel="0" collapsed="false">
      <c r="B14" s="0" t="s">
        <v>1912</v>
      </c>
      <c r="C14" s="134" t="s">
        <v>459</v>
      </c>
      <c r="D14" s="134" t="s">
        <v>1741</v>
      </c>
      <c r="E14" s="134" t="n">
        <v>1015515</v>
      </c>
      <c r="F14" s="230"/>
      <c r="G14" s="231"/>
      <c r="H14" s="231"/>
      <c r="I14" s="232" t="n">
        <v>0.4</v>
      </c>
      <c r="J14" s="232" t="n">
        <v>0</v>
      </c>
      <c r="K14" s="232" t="n">
        <v>0.13</v>
      </c>
      <c r="L14" s="232" t="n">
        <v>0.13</v>
      </c>
      <c r="M14" s="232" t="n">
        <v>0.14</v>
      </c>
      <c r="N14" s="233"/>
    </row>
    <row r="17" customFormat="false" ht="15" hidden="false" customHeight="false" outlineLevel="0" collapsed="false">
      <c r="B17" s="0" t="s">
        <v>1913</v>
      </c>
    </row>
    <row r="18" customFormat="false" ht="15" hidden="false" customHeight="false" outlineLevel="0" collapsed="false">
      <c r="B18" s="0" t="s">
        <v>1914</v>
      </c>
    </row>
    <row r="19" customFormat="false" ht="15" hidden="false" customHeight="false" outlineLevel="0" collapsed="false">
      <c r="B19" s="0" t="s">
        <v>1915</v>
      </c>
    </row>
    <row r="20" customFormat="false" ht="15" hidden="false" customHeight="false" outlineLevel="0" collapsed="false">
      <c r="B20" s="0" t="s">
        <v>1916</v>
      </c>
    </row>
    <row r="21" customFormat="false" ht="15" hidden="false" customHeight="false" outlineLevel="0" collapsed="false">
      <c r="B21" s="0" t="s">
        <v>1917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Q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.57"/>
    <col collapsed="false" customWidth="true" hidden="false" outlineLevel="0" max="2" min="2" style="0" width="11.85"/>
    <col collapsed="false" customWidth="true" hidden="false" outlineLevel="0" max="3" min="3" style="0" width="35.57"/>
  </cols>
  <sheetData>
    <row r="1" customFormat="false" ht="21" hidden="false" customHeight="true" outlineLevel="0" collapsed="false">
      <c r="A1" s="124" t="s">
        <v>1918</v>
      </c>
      <c r="B1" s="185" t="s">
        <v>1</v>
      </c>
      <c r="D1" s="234" t="s">
        <v>1919</v>
      </c>
    </row>
    <row r="2" customFormat="false" ht="15" hidden="false" customHeight="false" outlineLevel="0" collapsed="false">
      <c r="A2" s="129" t="s">
        <v>1822</v>
      </c>
      <c r="B2" s="187" t="s">
        <v>346</v>
      </c>
      <c r="K2" s="126" t="s">
        <v>1705</v>
      </c>
    </row>
    <row r="3" customFormat="false" ht="15" hidden="false" customHeight="false" outlineLevel="0" collapsed="false">
      <c r="A3" s="129" t="s">
        <v>1823</v>
      </c>
      <c r="B3" s="188" t="n">
        <v>2026</v>
      </c>
    </row>
    <row r="4" customFormat="false" ht="15" hidden="false" customHeight="false" outlineLevel="0" collapsed="false">
      <c r="A4" s="129" t="s">
        <v>1824</v>
      </c>
      <c r="B4" s="189" t="n">
        <v>46081</v>
      </c>
    </row>
    <row r="5" customFormat="false" ht="15" hidden="false" customHeight="false" outlineLevel="0" collapsed="false">
      <c r="A5" s="129" t="s">
        <v>1825</v>
      </c>
      <c r="B5" s="189" t="n">
        <v>46081</v>
      </c>
    </row>
    <row r="6" customFormat="false" ht="15" hidden="false" customHeight="false" outlineLevel="0" collapsed="false">
      <c r="A6" s="129" t="s">
        <v>1826</v>
      </c>
      <c r="B6" s="190" t="s">
        <v>1827</v>
      </c>
    </row>
    <row r="8" customFormat="false" ht="15" hidden="false" customHeight="false" outlineLevel="0" collapsed="false">
      <c r="A8" s="224" t="s">
        <v>1438</v>
      </c>
      <c r="B8" s="224" t="s">
        <v>1851</v>
      </c>
      <c r="C8" s="224" t="s">
        <v>1830</v>
      </c>
      <c r="D8" s="224" t="s">
        <v>1920</v>
      </c>
      <c r="E8" s="224" t="s">
        <v>1921</v>
      </c>
      <c r="F8" s="224" t="s">
        <v>1922</v>
      </c>
      <c r="G8" s="224" t="s">
        <v>1923</v>
      </c>
      <c r="H8" s="224" t="s">
        <v>1924</v>
      </c>
      <c r="I8" s="224" t="s">
        <v>1925</v>
      </c>
      <c r="J8" s="224" t="s">
        <v>1926</v>
      </c>
      <c r="K8" s="224" t="s">
        <v>1927</v>
      </c>
      <c r="L8" s="224" t="s">
        <v>1928</v>
      </c>
      <c r="M8" s="224" t="s">
        <v>1929</v>
      </c>
      <c r="N8" s="224" t="s">
        <v>1930</v>
      </c>
      <c r="O8" s="224" t="s">
        <v>1931</v>
      </c>
      <c r="P8" s="229" t="s">
        <v>883</v>
      </c>
      <c r="Q8" s="224" t="s">
        <v>1710</v>
      </c>
    </row>
    <row r="9" customFormat="false" ht="15" hidden="false" customHeight="false" outlineLevel="0" collapsed="false">
      <c r="A9" s="235" t="s">
        <v>1712</v>
      </c>
      <c r="B9" s="235" t="s">
        <v>459</v>
      </c>
      <c r="C9" s="236"/>
      <c r="D9" s="237" t="n">
        <v>0.083333</v>
      </c>
      <c r="E9" s="237" t="n">
        <v>0.083333</v>
      </c>
      <c r="F9" s="237" t="n">
        <v>0.083333</v>
      </c>
      <c r="G9" s="237" t="n">
        <v>0.083333</v>
      </c>
      <c r="H9" s="237" t="n">
        <v>0.083333</v>
      </c>
      <c r="I9" s="237" t="n">
        <v>0.083333</v>
      </c>
      <c r="J9" s="237" t="n">
        <v>0.083333</v>
      </c>
      <c r="K9" s="237" t="n">
        <v>0.083333</v>
      </c>
      <c r="L9" s="237" t="n">
        <v>0.083333</v>
      </c>
      <c r="M9" s="237" t="n">
        <v>0.083333</v>
      </c>
      <c r="N9" s="237" t="n">
        <v>0.083333</v>
      </c>
      <c r="O9" s="237" t="n">
        <v>0.083333</v>
      </c>
      <c r="P9" s="238"/>
      <c r="Q9" s="239" t="n">
        <v>0.999996</v>
      </c>
    </row>
    <row r="10" customFormat="false" ht="15" hidden="false" customHeight="false" outlineLevel="0" collapsed="false">
      <c r="A10" s="235" t="s">
        <v>1712</v>
      </c>
      <c r="B10" s="235" t="s">
        <v>459</v>
      </c>
      <c r="C10" s="236"/>
      <c r="D10" s="237" t="n">
        <v>0.083333</v>
      </c>
      <c r="E10" s="237" t="n">
        <v>0.083333</v>
      </c>
      <c r="F10" s="237" t="n">
        <v>0.083333</v>
      </c>
      <c r="G10" s="237" t="n">
        <v>0.083333</v>
      </c>
      <c r="H10" s="237" t="n">
        <v>0.083333</v>
      </c>
      <c r="I10" s="237" t="n">
        <v>0.083333</v>
      </c>
      <c r="J10" s="237" t="n">
        <v>0.083333</v>
      </c>
      <c r="K10" s="237" t="n">
        <v>0.083333</v>
      </c>
      <c r="L10" s="237" t="n">
        <v>0.083333</v>
      </c>
      <c r="M10" s="237" t="n">
        <v>0.083333</v>
      </c>
      <c r="N10" s="237" t="n">
        <v>0.083333</v>
      </c>
      <c r="O10" s="237" t="n">
        <v>0.083333</v>
      </c>
      <c r="P10" s="238"/>
      <c r="Q10" s="239" t="n">
        <v>0.999996</v>
      </c>
    </row>
    <row r="11" customFormat="false" ht="15" hidden="false" customHeight="false" outlineLevel="0" collapsed="false">
      <c r="A11" s="235" t="s">
        <v>1712</v>
      </c>
      <c r="B11" s="235" t="s">
        <v>459</v>
      </c>
      <c r="C11" s="236"/>
      <c r="D11" s="237" t="n">
        <v>0.083333</v>
      </c>
      <c r="E11" s="237" t="n">
        <v>0.083333</v>
      </c>
      <c r="F11" s="237" t="n">
        <v>0.083333</v>
      </c>
      <c r="G11" s="237" t="n">
        <v>0.083333</v>
      </c>
      <c r="H11" s="237" t="n">
        <v>0.083333</v>
      </c>
      <c r="I11" s="237" t="n">
        <v>0.083333</v>
      </c>
      <c r="J11" s="237" t="n">
        <v>0.083333</v>
      </c>
      <c r="K11" s="237" t="n">
        <v>0.083333</v>
      </c>
      <c r="L11" s="237" t="n">
        <v>0.083333</v>
      </c>
      <c r="M11" s="237" t="n">
        <v>0.083333</v>
      </c>
      <c r="N11" s="237" t="n">
        <v>0.083333</v>
      </c>
      <c r="O11" s="237" t="n">
        <v>0.083333</v>
      </c>
      <c r="P11" s="238"/>
      <c r="Q11" s="239" t="n">
        <v>0.999996</v>
      </c>
    </row>
    <row r="12" customFormat="false" ht="15" hidden="false" customHeight="false" outlineLevel="0" collapsed="false">
      <c r="A12" s="235" t="s">
        <v>1712</v>
      </c>
      <c r="B12" s="235" t="s">
        <v>459</v>
      </c>
      <c r="C12" s="236"/>
      <c r="D12" s="237" t="n">
        <v>0.083333</v>
      </c>
      <c r="E12" s="237" t="n">
        <v>0.083333</v>
      </c>
      <c r="F12" s="237" t="n">
        <v>0.083333</v>
      </c>
      <c r="G12" s="237" t="n">
        <v>0.083333</v>
      </c>
      <c r="H12" s="237" t="n">
        <v>0.083333</v>
      </c>
      <c r="I12" s="237" t="n">
        <v>0.083333</v>
      </c>
      <c r="J12" s="237" t="n">
        <v>0.083333</v>
      </c>
      <c r="K12" s="237" t="n">
        <v>0.083333</v>
      </c>
      <c r="L12" s="237" t="n">
        <v>0.083333</v>
      </c>
      <c r="M12" s="237" t="n">
        <v>0.083333</v>
      </c>
      <c r="N12" s="237" t="n">
        <v>0.083333</v>
      </c>
      <c r="O12" s="237" t="n">
        <v>0.083333</v>
      </c>
      <c r="P12" s="238"/>
      <c r="Q12" s="239" t="n">
        <v>0.999996</v>
      </c>
    </row>
    <row r="13" customFormat="false" ht="15" hidden="false" customHeight="false" outlineLevel="0" collapsed="false">
      <c r="A13" s="235" t="s">
        <v>1712</v>
      </c>
      <c r="B13" s="235" t="s">
        <v>459</v>
      </c>
      <c r="C13" s="236"/>
      <c r="D13" s="237" t="n">
        <v>0.083333</v>
      </c>
      <c r="E13" s="237" t="n">
        <v>0.083333</v>
      </c>
      <c r="F13" s="237" t="n">
        <v>0.083333</v>
      </c>
      <c r="G13" s="237" t="n">
        <v>0.083333</v>
      </c>
      <c r="H13" s="237" t="n">
        <v>0.083333</v>
      </c>
      <c r="I13" s="237" t="n">
        <v>0.083333</v>
      </c>
      <c r="J13" s="237" t="n">
        <v>0.083333</v>
      </c>
      <c r="K13" s="237" t="n">
        <v>0.083333</v>
      </c>
      <c r="L13" s="237" t="n">
        <v>0.083333</v>
      </c>
      <c r="M13" s="237" t="n">
        <v>0.083333</v>
      </c>
      <c r="N13" s="237" t="n">
        <v>0.083333</v>
      </c>
      <c r="O13" s="237" t="n">
        <v>0.083333</v>
      </c>
      <c r="P13" s="238"/>
      <c r="Q13" s="239" t="n">
        <v>0.999996</v>
      </c>
    </row>
    <row r="14" customFormat="false" ht="15" hidden="false" customHeight="false" outlineLevel="0" collapsed="false">
      <c r="A14" s="235" t="s">
        <v>1712</v>
      </c>
      <c r="B14" s="235" t="s">
        <v>459</v>
      </c>
      <c r="C14" s="236"/>
      <c r="D14" s="237" t="n">
        <v>0.083333</v>
      </c>
      <c r="E14" s="237" t="n">
        <v>0.083333</v>
      </c>
      <c r="F14" s="237" t="n">
        <v>0.083333</v>
      </c>
      <c r="G14" s="237" t="n">
        <v>0.083333</v>
      </c>
      <c r="H14" s="237" t="n">
        <v>0.083333</v>
      </c>
      <c r="I14" s="237" t="n">
        <v>0.083333</v>
      </c>
      <c r="J14" s="237" t="n">
        <v>0.083333</v>
      </c>
      <c r="K14" s="237" t="n">
        <v>0.083333</v>
      </c>
      <c r="L14" s="237" t="n">
        <v>0.083333</v>
      </c>
      <c r="M14" s="237" t="n">
        <v>0.083333</v>
      </c>
      <c r="N14" s="237" t="n">
        <v>0.083333</v>
      </c>
      <c r="O14" s="237" t="n">
        <v>0.083333</v>
      </c>
      <c r="P14" s="238"/>
      <c r="Q14" s="239" t="n">
        <v>0.999996</v>
      </c>
    </row>
    <row r="15" customFormat="false" ht="15" hidden="false" customHeight="false" outlineLevel="0" collapsed="false">
      <c r="A15" s="235" t="s">
        <v>1712</v>
      </c>
      <c r="B15" s="235" t="s">
        <v>459</v>
      </c>
      <c r="C15" s="236"/>
      <c r="D15" s="237" t="n">
        <v>0.083333</v>
      </c>
      <c r="E15" s="237" t="n">
        <v>0.083333</v>
      </c>
      <c r="F15" s="237" t="n">
        <v>0.083333</v>
      </c>
      <c r="G15" s="237" t="n">
        <v>0.083333</v>
      </c>
      <c r="H15" s="237" t="n">
        <v>0.083333</v>
      </c>
      <c r="I15" s="237" t="n">
        <v>0.083333</v>
      </c>
      <c r="J15" s="237" t="n">
        <v>0.083333</v>
      </c>
      <c r="K15" s="237" t="n">
        <v>0.083333</v>
      </c>
      <c r="L15" s="237" t="n">
        <v>0.083333</v>
      </c>
      <c r="M15" s="237" t="n">
        <v>0.083333</v>
      </c>
      <c r="N15" s="237" t="n">
        <v>0.083333</v>
      </c>
      <c r="O15" s="237" t="n">
        <v>0.083333</v>
      </c>
      <c r="P15" s="238"/>
      <c r="Q15" s="239" t="n">
        <v>0.999996</v>
      </c>
    </row>
    <row r="16" customFormat="false" ht="15" hidden="false" customHeight="false" outlineLevel="0" collapsed="false">
      <c r="A16" s="235" t="s">
        <v>1712</v>
      </c>
      <c r="B16" s="235" t="s">
        <v>459</v>
      </c>
      <c r="C16" s="236"/>
      <c r="D16" s="237" t="n">
        <v>0.083333</v>
      </c>
      <c r="E16" s="237" t="n">
        <v>0.083333</v>
      </c>
      <c r="F16" s="237" t="n">
        <v>0.083333</v>
      </c>
      <c r="G16" s="237" t="n">
        <v>0.083333</v>
      </c>
      <c r="H16" s="237" t="n">
        <v>0.083333</v>
      </c>
      <c r="I16" s="237" t="n">
        <v>0.083333</v>
      </c>
      <c r="J16" s="237" t="n">
        <v>0.083333</v>
      </c>
      <c r="K16" s="237" t="n">
        <v>0.083333</v>
      </c>
      <c r="L16" s="237" t="n">
        <v>0.083333</v>
      </c>
      <c r="M16" s="237" t="n">
        <v>0.083333</v>
      </c>
      <c r="N16" s="237" t="n">
        <v>0.083333</v>
      </c>
      <c r="O16" s="237" t="n">
        <v>0.083333</v>
      </c>
      <c r="P16" s="238"/>
      <c r="Q16" s="239" t="n">
        <v>0.999996</v>
      </c>
    </row>
    <row r="17" customFormat="false" ht="15" hidden="false" customHeight="false" outlineLevel="0" collapsed="false">
      <c r="A17" s="235" t="s">
        <v>1712</v>
      </c>
      <c r="B17" s="235" t="s">
        <v>459</v>
      </c>
      <c r="C17" s="236"/>
      <c r="D17" s="237" t="n">
        <v>0.083333</v>
      </c>
      <c r="E17" s="237" t="n">
        <v>0.083333</v>
      </c>
      <c r="F17" s="237" t="n">
        <v>0.083333</v>
      </c>
      <c r="G17" s="237" t="n">
        <v>0.083333</v>
      </c>
      <c r="H17" s="237" t="n">
        <v>0.083333</v>
      </c>
      <c r="I17" s="237" t="n">
        <v>0.083333</v>
      </c>
      <c r="J17" s="237" t="n">
        <v>0.083333</v>
      </c>
      <c r="K17" s="237" t="n">
        <v>0.083333</v>
      </c>
      <c r="L17" s="237" t="n">
        <v>0.083333</v>
      </c>
      <c r="M17" s="237" t="n">
        <v>0.083333</v>
      </c>
      <c r="N17" s="237" t="n">
        <v>0.083333</v>
      </c>
      <c r="O17" s="237" t="n">
        <v>0.083333</v>
      </c>
      <c r="P17" s="238"/>
      <c r="Q17" s="239" t="n">
        <v>0.999996</v>
      </c>
    </row>
    <row r="20" customFormat="false" ht="15" hidden="false" customHeight="false" outlineLevel="0" collapsed="false">
      <c r="A20" s="235" t="s">
        <v>1932</v>
      </c>
    </row>
  </sheetData>
  <hyperlinks>
    <hyperlink ref="B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A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0" style="0" width="12.42"/>
  </cols>
  <sheetData>
    <row r="1" customFormat="false" ht="15" hidden="false" customHeight="false" outlineLevel="0" collapsed="false">
      <c r="A1" s="185" t="s">
        <v>1</v>
      </c>
    </row>
    <row r="2" customFormat="false" ht="15" hidden="false" customHeight="false" outlineLevel="0" collapsed="false">
      <c r="S2" s="126" t="s">
        <v>1705</v>
      </c>
    </row>
    <row r="3" customFormat="false" ht="21" hidden="false" customHeight="true" outlineLevel="0" collapsed="false">
      <c r="A3" s="124" t="s">
        <v>1462</v>
      </c>
      <c r="B3" s="124"/>
      <c r="D3" s="186"/>
      <c r="J3" s="240" t="s">
        <v>1933</v>
      </c>
    </row>
    <row r="4" customFormat="false" ht="15" hidden="false" customHeight="false" outlineLevel="0" collapsed="false">
      <c r="A4" s="129" t="s">
        <v>1822</v>
      </c>
      <c r="B4" s="187"/>
      <c r="J4" s="240"/>
    </row>
    <row r="5" customFormat="false" ht="15" hidden="false" customHeight="false" outlineLevel="0" collapsed="false">
      <c r="A5" s="129" t="s">
        <v>1823</v>
      </c>
      <c r="B5" s="188"/>
      <c r="D5" s="127"/>
      <c r="J5" s="240"/>
    </row>
    <row r="6" customFormat="false" ht="30" hidden="false" customHeight="true" outlineLevel="0" collapsed="false">
      <c r="A6" s="129" t="s">
        <v>1824</v>
      </c>
      <c r="B6" s="189"/>
      <c r="D6" s="188"/>
      <c r="J6" s="240"/>
    </row>
    <row r="7" customFormat="false" ht="30" hidden="false" customHeight="true" outlineLevel="0" collapsed="false">
      <c r="A7" s="129" t="s">
        <v>1825</v>
      </c>
      <c r="B7" s="189"/>
      <c r="D7" s="184"/>
      <c r="J7" s="240"/>
      <c r="N7" s="241"/>
      <c r="O7" s="241"/>
      <c r="P7" s="241"/>
      <c r="Q7" s="242"/>
      <c r="R7" s="243"/>
    </row>
    <row r="8" customFormat="false" ht="15" hidden="false" customHeight="false" outlineLevel="0" collapsed="false">
      <c r="A8" s="129" t="s">
        <v>1826</v>
      </c>
      <c r="B8" s="190"/>
      <c r="D8" s="244"/>
      <c r="J8" s="240"/>
    </row>
    <row r="9" customFormat="false" ht="45" hidden="false" customHeight="true" outlineLevel="0" collapsed="false">
      <c r="A9" s="245" t="s">
        <v>1934</v>
      </c>
      <c r="B9" s="246" t="s">
        <v>1740</v>
      </c>
      <c r="C9" s="246" t="s">
        <v>1889</v>
      </c>
      <c r="D9" s="247" t="s">
        <v>1853</v>
      </c>
      <c r="E9" s="247" t="s">
        <v>1854</v>
      </c>
      <c r="F9" s="247" t="s">
        <v>1855</v>
      </c>
      <c r="G9" s="247" t="s">
        <v>1856</v>
      </c>
      <c r="H9" s="247" t="s">
        <v>1935</v>
      </c>
      <c r="I9" s="247" t="s">
        <v>1720</v>
      </c>
      <c r="J9" s="247" t="s">
        <v>798</v>
      </c>
      <c r="K9" s="247" t="s">
        <v>1477</v>
      </c>
      <c r="L9" s="247" t="s">
        <v>1443</v>
      </c>
      <c r="M9" s="247" t="s">
        <v>1728</v>
      </c>
      <c r="N9" s="247" t="s">
        <v>1832</v>
      </c>
      <c r="O9" s="247" t="s">
        <v>1936</v>
      </c>
      <c r="P9" s="247" t="s">
        <v>1937</v>
      </c>
      <c r="Q9" s="247" t="s">
        <v>1438</v>
      </c>
      <c r="R9" s="247" t="s">
        <v>1938</v>
      </c>
      <c r="S9" s="247" t="s">
        <v>1939</v>
      </c>
      <c r="T9" s="247" t="s">
        <v>1940</v>
      </c>
      <c r="U9" s="247" t="s">
        <v>1941</v>
      </c>
      <c r="V9" s="247" t="s">
        <v>1942</v>
      </c>
      <c r="W9" s="247" t="s">
        <v>1943</v>
      </c>
      <c r="X9" s="247" t="s">
        <v>1944</v>
      </c>
      <c r="Y9" s="247" t="s">
        <v>1945</v>
      </c>
      <c r="Z9" s="247" t="s">
        <v>1946</v>
      </c>
      <c r="AA9" s="247" t="s">
        <v>1947</v>
      </c>
      <c r="AB9" s="247" t="s">
        <v>1456</v>
      </c>
      <c r="AC9" s="247" t="s">
        <v>1948</v>
      </c>
      <c r="AD9" s="247" t="s">
        <v>1949</v>
      </c>
      <c r="AE9" s="247" t="s">
        <v>1950</v>
      </c>
      <c r="AF9" s="196" t="s">
        <v>883</v>
      </c>
    </row>
    <row r="10" customFormat="false" ht="15" hidden="false" customHeight="false" outlineLevel="0" collapsed="false">
      <c r="A10" s="248"/>
      <c r="B10" s="249"/>
      <c r="C10" s="250"/>
      <c r="D10" s="134"/>
      <c r="E10" s="134"/>
      <c r="F10" s="134"/>
      <c r="G10" s="134"/>
      <c r="H10" s="134"/>
      <c r="I10" s="134"/>
      <c r="J10" s="251"/>
      <c r="K10" s="134"/>
      <c r="L10" s="134"/>
      <c r="M10" s="134"/>
      <c r="N10" s="134"/>
      <c r="O10" s="252"/>
      <c r="P10" s="253"/>
      <c r="Q10" s="254"/>
      <c r="R10" s="251"/>
      <c r="S10" s="255"/>
      <c r="T10" s="255"/>
      <c r="U10" s="255"/>
      <c r="V10" s="255"/>
      <c r="W10" s="255"/>
      <c r="X10" s="255"/>
      <c r="Y10" s="255"/>
      <c r="Z10" s="233"/>
      <c r="AA10" s="256"/>
      <c r="AB10" s="257"/>
      <c r="AC10" s="258"/>
      <c r="AD10" s="259"/>
      <c r="AE10" s="134"/>
      <c r="AF10" s="202"/>
    </row>
    <row r="15" customFormat="false" ht="15" hidden="false" customHeight="false" outlineLevel="0" collapsed="false">
      <c r="A15" s="260" t="s">
        <v>1951</v>
      </c>
    </row>
    <row r="16" customFormat="false" ht="15" hidden="false" customHeight="false" outlineLevel="0" collapsed="false">
      <c r="A16" s="131" t="s">
        <v>1952</v>
      </c>
    </row>
    <row r="17" customFormat="false" ht="15" hidden="false" customHeight="false" outlineLevel="0" collapsed="false">
      <c r="A17" s="131" t="s">
        <v>1953</v>
      </c>
    </row>
  </sheetData>
  <mergeCells count="2">
    <mergeCell ref="J3:J8"/>
    <mergeCell ref="N7:P7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S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.14"/>
    <col collapsed="false" customWidth="true" hidden="false" outlineLevel="0" max="2" min="2" style="0" width="20.42"/>
    <col collapsed="false" customWidth="true" hidden="false" outlineLevel="0" max="3" min="3" style="0" width="19"/>
    <col collapsed="false" customWidth="true" hidden="false" outlineLevel="0" max="5" min="5" style="0" width="30.43"/>
    <col collapsed="false" customWidth="true" hidden="false" outlineLevel="0" max="9" min="9" style="0" width="25.29"/>
    <col collapsed="false" customWidth="true" hidden="false" outlineLevel="0" max="11" min="11" style="0" width="23.42"/>
    <col collapsed="false" customWidth="true" hidden="false" outlineLevel="0" max="14" min="14" style="0" width="24.57"/>
    <col collapsed="false" customWidth="true" hidden="false" outlineLevel="0" max="16" min="16" style="0" width="13.71"/>
  </cols>
  <sheetData>
    <row r="1" customFormat="false" ht="15" hidden="false" customHeight="false" outlineLevel="0" collapsed="false">
      <c r="A1" s="185" t="s">
        <v>1</v>
      </c>
      <c r="I1" s="126" t="s">
        <v>1705</v>
      </c>
    </row>
    <row r="5" customFormat="false" ht="21" hidden="false" customHeight="true" outlineLevel="0" collapsed="false">
      <c r="A5" s="124" t="s">
        <v>1954</v>
      </c>
    </row>
    <row r="6" customFormat="false" ht="12.75" hidden="false" customHeight="true" outlineLevel="0" collapsed="false">
      <c r="A6" s="129" t="s">
        <v>1822</v>
      </c>
      <c r="B6" s="187"/>
    </row>
    <row r="7" customFormat="false" ht="12.75" hidden="false" customHeight="true" outlineLevel="0" collapsed="false">
      <c r="A7" s="129" t="s">
        <v>1823</v>
      </c>
      <c r="B7" s="188"/>
    </row>
    <row r="8" customFormat="false" ht="12.75" hidden="false" customHeight="true" outlineLevel="0" collapsed="false">
      <c r="A8" s="129" t="s">
        <v>1824</v>
      </c>
      <c r="B8" s="189"/>
    </row>
    <row r="9" customFormat="false" ht="12.75" hidden="false" customHeight="true" outlineLevel="0" collapsed="false">
      <c r="A9" s="129" t="s">
        <v>1825</v>
      </c>
      <c r="B9" s="189"/>
    </row>
    <row r="10" customFormat="false" ht="12.75" hidden="false" customHeight="true" outlineLevel="0" collapsed="false">
      <c r="A10" s="129" t="s">
        <v>1826</v>
      </c>
      <c r="B10" s="190"/>
    </row>
    <row r="11" customFormat="false" ht="30" hidden="false" customHeight="true" outlineLevel="0" collapsed="false">
      <c r="A11" s="224" t="s">
        <v>1438</v>
      </c>
      <c r="B11" s="224" t="s">
        <v>1851</v>
      </c>
      <c r="C11" s="224" t="s">
        <v>1830</v>
      </c>
      <c r="D11" s="224" t="s">
        <v>1852</v>
      </c>
      <c r="E11" s="224" t="s">
        <v>1853</v>
      </c>
      <c r="F11" s="224" t="s">
        <v>1854</v>
      </c>
      <c r="G11" s="224" t="s">
        <v>1855</v>
      </c>
      <c r="H11" s="224" t="s">
        <v>1856</v>
      </c>
      <c r="I11" s="224" t="s">
        <v>1831</v>
      </c>
      <c r="J11" s="224" t="s">
        <v>1832</v>
      </c>
      <c r="K11" s="224" t="s">
        <v>1728</v>
      </c>
      <c r="L11" s="224" t="s">
        <v>1443</v>
      </c>
      <c r="M11" s="224" t="s">
        <v>1477</v>
      </c>
      <c r="N11" s="224" t="s">
        <v>1857</v>
      </c>
      <c r="O11" s="224" t="s">
        <v>1893</v>
      </c>
      <c r="P11" s="224" t="s">
        <v>850</v>
      </c>
      <c r="Q11" s="224" t="s">
        <v>1955</v>
      </c>
      <c r="R11" s="224" t="s">
        <v>1937</v>
      </c>
      <c r="S11" s="224" t="s">
        <v>883</v>
      </c>
    </row>
    <row r="12" customFormat="false" ht="15" hidden="false" customHeight="false" outlineLevel="0" collapsed="false">
      <c r="A12" s="0" t="s">
        <v>1713</v>
      </c>
      <c r="B12" s="0" t="s">
        <v>1829</v>
      </c>
      <c r="C12" s="0" t="s">
        <v>442</v>
      </c>
      <c r="D12" s="223" t="s">
        <v>1956</v>
      </c>
      <c r="E12" s="0" t="s">
        <v>1956</v>
      </c>
      <c r="F12" s="223" t="s">
        <v>1956</v>
      </c>
      <c r="G12" s="223" t="s">
        <v>1956</v>
      </c>
      <c r="H12" s="223" t="s">
        <v>1956</v>
      </c>
      <c r="I12" s="0" t="s">
        <v>1838</v>
      </c>
      <c r="J12" s="0" t="s">
        <v>1839</v>
      </c>
      <c r="L12" s="261"/>
      <c r="M12" s="127" t="s">
        <v>1957</v>
      </c>
      <c r="N12" s="0" t="s">
        <v>453</v>
      </c>
      <c r="O12" s="261" t="s">
        <v>1874</v>
      </c>
      <c r="P12" s="231" t="n">
        <v>14944.5384615385</v>
      </c>
      <c r="Q12" s="259"/>
      <c r="R12" s="262"/>
      <c r="S12" s="233"/>
    </row>
    <row r="13" customFormat="false" ht="15" hidden="false" customHeight="false" outlineLevel="0" collapsed="false">
      <c r="A13" s="0" t="s">
        <v>1713</v>
      </c>
      <c r="B13" s="0" t="s">
        <v>1829</v>
      </c>
      <c r="C13" s="0" t="s">
        <v>442</v>
      </c>
      <c r="D13" s="223" t="s">
        <v>1858</v>
      </c>
      <c r="E13" s="0" t="s">
        <v>1859</v>
      </c>
      <c r="F13" s="223"/>
      <c r="G13" s="223"/>
      <c r="H13" s="223"/>
      <c r="I13" s="0" t="s">
        <v>1838</v>
      </c>
      <c r="J13" s="0" t="s">
        <v>1839</v>
      </c>
      <c r="K13" s="0" t="s">
        <v>1958</v>
      </c>
      <c r="L13" s="261"/>
      <c r="M13" s="127" t="s">
        <v>1957</v>
      </c>
      <c r="N13" s="0" t="s">
        <v>1959</v>
      </c>
      <c r="O13" s="261" t="s">
        <v>1874</v>
      </c>
      <c r="P13" s="231" t="n">
        <v>930769.230769231</v>
      </c>
      <c r="Q13" s="259"/>
      <c r="R13" s="262"/>
      <c r="S13" s="233"/>
    </row>
    <row r="14" customFormat="false" ht="15" hidden="false" customHeight="false" outlineLevel="0" collapsed="false">
      <c r="A14" s="0" t="s">
        <v>1713</v>
      </c>
      <c r="B14" s="0" t="s">
        <v>1829</v>
      </c>
      <c r="C14" s="0" t="s">
        <v>442</v>
      </c>
      <c r="D14" s="223" t="s">
        <v>1858</v>
      </c>
      <c r="E14" s="0" t="s">
        <v>1859</v>
      </c>
      <c r="F14" s="223"/>
      <c r="G14" s="223"/>
      <c r="H14" s="223"/>
      <c r="I14" s="0" t="s">
        <v>1838</v>
      </c>
      <c r="J14" s="0" t="s">
        <v>1839</v>
      </c>
      <c r="K14" s="0" t="s">
        <v>1960</v>
      </c>
      <c r="L14" s="261"/>
      <c r="M14" s="127" t="s">
        <v>1957</v>
      </c>
      <c r="N14" s="0" t="s">
        <v>1959</v>
      </c>
      <c r="O14" s="261" t="s">
        <v>1874</v>
      </c>
      <c r="P14" s="231" t="n">
        <v>847863.247863248</v>
      </c>
      <c r="Q14" s="259"/>
      <c r="R14" s="262"/>
      <c r="S14" s="233"/>
    </row>
    <row r="15" customFormat="false" ht="15" hidden="false" customHeight="false" outlineLevel="0" collapsed="false">
      <c r="A15" s="0" t="s">
        <v>1713</v>
      </c>
      <c r="B15" s="0" t="s">
        <v>1829</v>
      </c>
      <c r="C15" s="0" t="s">
        <v>442</v>
      </c>
      <c r="D15" s="223" t="s">
        <v>1858</v>
      </c>
      <c r="E15" s="0" t="s">
        <v>1859</v>
      </c>
      <c r="F15" s="223"/>
      <c r="G15" s="223"/>
      <c r="H15" s="223"/>
      <c r="I15" s="0" t="s">
        <v>1838</v>
      </c>
      <c r="J15" s="0" t="s">
        <v>1839</v>
      </c>
      <c r="K15" s="0" t="s">
        <v>1860</v>
      </c>
      <c r="L15" s="261"/>
      <c r="M15" s="127" t="s">
        <v>1957</v>
      </c>
      <c r="N15" s="0" t="s">
        <v>1959</v>
      </c>
      <c r="O15" s="261" t="s">
        <v>1874</v>
      </c>
      <c r="P15" s="231" t="n">
        <v>356570.512820513</v>
      </c>
      <c r="Q15" s="259"/>
      <c r="R15" s="262"/>
      <c r="S15" s="233"/>
    </row>
    <row r="16" customFormat="false" ht="15" hidden="false" customHeight="false" outlineLevel="0" collapsed="false">
      <c r="A16" s="0" t="s">
        <v>1713</v>
      </c>
      <c r="B16" s="0" t="s">
        <v>1829</v>
      </c>
      <c r="C16" s="0" t="s">
        <v>442</v>
      </c>
      <c r="D16" s="223" t="s">
        <v>1858</v>
      </c>
      <c r="E16" s="0" t="s">
        <v>1859</v>
      </c>
      <c r="F16" s="223"/>
      <c r="G16" s="223"/>
      <c r="H16" s="223"/>
      <c r="I16" s="0" t="s">
        <v>1838</v>
      </c>
      <c r="J16" s="0" t="s">
        <v>1839</v>
      </c>
      <c r="K16" s="0" t="s">
        <v>1861</v>
      </c>
      <c r="L16" s="261"/>
      <c r="M16" s="127" t="s">
        <v>1957</v>
      </c>
      <c r="N16" s="0" t="s">
        <v>1959</v>
      </c>
      <c r="O16" s="261" t="s">
        <v>1874</v>
      </c>
      <c r="P16" s="231" t="n">
        <v>124892.812105927</v>
      </c>
      <c r="Q16" s="259"/>
      <c r="R16" s="262"/>
      <c r="S16" s="233"/>
    </row>
    <row r="17" customFormat="false" ht="15" hidden="false" customHeight="false" outlineLevel="0" collapsed="false">
      <c r="A17" s="0" t="s">
        <v>1713</v>
      </c>
      <c r="B17" s="0" t="s">
        <v>1829</v>
      </c>
      <c r="C17" s="0" t="s">
        <v>442</v>
      </c>
      <c r="D17" s="223" t="s">
        <v>1858</v>
      </c>
      <c r="E17" s="0" t="s">
        <v>1859</v>
      </c>
      <c r="F17" s="223"/>
      <c r="G17" s="223"/>
      <c r="H17" s="223"/>
      <c r="I17" s="0" t="s">
        <v>1838</v>
      </c>
      <c r="J17" s="0" t="s">
        <v>1839</v>
      </c>
      <c r="K17" s="0" t="s">
        <v>1862</v>
      </c>
      <c r="L17" s="261"/>
      <c r="M17" s="127" t="s">
        <v>1957</v>
      </c>
      <c r="N17" s="0" t="s">
        <v>1959</v>
      </c>
      <c r="O17" s="261" t="s">
        <v>1874</v>
      </c>
      <c r="P17" s="231" t="n">
        <v>64896.1538461538</v>
      </c>
      <c r="Q17" s="259"/>
      <c r="R17" s="262"/>
      <c r="S17" s="233"/>
    </row>
    <row r="18" customFormat="false" ht="15" hidden="false" customHeight="false" outlineLevel="0" collapsed="false">
      <c r="A18" s="0" t="s">
        <v>1713</v>
      </c>
      <c r="B18" s="0" t="s">
        <v>1829</v>
      </c>
      <c r="C18" s="0" t="s">
        <v>442</v>
      </c>
      <c r="D18" s="223" t="s">
        <v>1858</v>
      </c>
      <c r="E18" s="0" t="s">
        <v>1859</v>
      </c>
      <c r="F18" s="223"/>
      <c r="G18" s="223"/>
      <c r="H18" s="223"/>
      <c r="I18" s="0" t="s">
        <v>1838</v>
      </c>
      <c r="J18" s="0" t="s">
        <v>1839</v>
      </c>
      <c r="K18" s="0" t="s">
        <v>1865</v>
      </c>
      <c r="L18" s="261"/>
      <c r="M18" s="127" t="s">
        <v>1957</v>
      </c>
      <c r="N18" s="0" t="s">
        <v>1959</v>
      </c>
      <c r="O18" s="261" t="s">
        <v>1874</v>
      </c>
      <c r="P18" s="231" t="n">
        <v>59760.9147609148</v>
      </c>
      <c r="Q18" s="259"/>
      <c r="R18" s="262"/>
      <c r="S18" s="233"/>
    </row>
    <row r="19" customFormat="false" ht="15" hidden="false" customHeight="false" outlineLevel="0" collapsed="false">
      <c r="A19" s="0" t="s">
        <v>1713</v>
      </c>
      <c r="B19" s="0" t="s">
        <v>1829</v>
      </c>
      <c r="C19" s="0" t="s">
        <v>442</v>
      </c>
      <c r="D19" s="223" t="s">
        <v>1858</v>
      </c>
      <c r="E19" s="0" t="s">
        <v>1859</v>
      </c>
      <c r="F19" s="223"/>
      <c r="G19" s="223"/>
      <c r="H19" s="223"/>
      <c r="I19" s="0" t="s">
        <v>1838</v>
      </c>
      <c r="J19" s="0" t="s">
        <v>1839</v>
      </c>
      <c r="K19" s="0" t="s">
        <v>1863</v>
      </c>
      <c r="L19" s="261"/>
      <c r="M19" s="127" t="s">
        <v>1957</v>
      </c>
      <c r="N19" s="0" t="s">
        <v>1959</v>
      </c>
      <c r="O19" s="261" t="s">
        <v>1874</v>
      </c>
      <c r="P19" s="231" t="n">
        <v>38076.9230769231</v>
      </c>
      <c r="Q19" s="259"/>
      <c r="R19" s="262"/>
      <c r="S19" s="233"/>
    </row>
    <row r="20" customFormat="false" ht="15" hidden="false" customHeight="false" outlineLevel="0" collapsed="false">
      <c r="A20" s="0" t="s">
        <v>1713</v>
      </c>
      <c r="B20" s="0" t="s">
        <v>1829</v>
      </c>
      <c r="C20" s="0" t="s">
        <v>442</v>
      </c>
      <c r="D20" s="223" t="s">
        <v>1858</v>
      </c>
      <c r="E20" s="0" t="s">
        <v>1859</v>
      </c>
      <c r="F20" s="223"/>
      <c r="G20" s="223"/>
      <c r="H20" s="223"/>
      <c r="I20" s="0" t="s">
        <v>1838</v>
      </c>
      <c r="J20" s="0" t="s">
        <v>1839</v>
      </c>
      <c r="K20" s="0" t="s">
        <v>1864</v>
      </c>
      <c r="L20" s="261"/>
      <c r="M20" s="127" t="s">
        <v>1957</v>
      </c>
      <c r="N20" s="0" t="s">
        <v>1959</v>
      </c>
      <c r="O20" s="261" t="s">
        <v>1874</v>
      </c>
      <c r="P20" s="231" t="n">
        <v>30307.6923076923</v>
      </c>
      <c r="Q20" s="259"/>
      <c r="R20" s="262"/>
      <c r="S20" s="233"/>
    </row>
    <row r="21" customFormat="false" ht="15" hidden="false" customHeight="false" outlineLevel="0" collapsed="false">
      <c r="A21" s="0" t="s">
        <v>1713</v>
      </c>
      <c r="B21" s="0" t="s">
        <v>1829</v>
      </c>
      <c r="C21" s="0" t="s">
        <v>442</v>
      </c>
      <c r="D21" s="223" t="s">
        <v>1858</v>
      </c>
      <c r="E21" s="0" t="s">
        <v>1859</v>
      </c>
      <c r="F21" s="223"/>
      <c r="G21" s="223"/>
      <c r="H21" s="223"/>
      <c r="I21" s="0" t="s">
        <v>1838</v>
      </c>
      <c r="J21" s="0" t="s">
        <v>1839</v>
      </c>
      <c r="K21" s="0" t="s">
        <v>1793</v>
      </c>
      <c r="L21" s="261"/>
      <c r="M21" s="127" t="s">
        <v>1957</v>
      </c>
      <c r="N21" s="0" t="s">
        <v>1959</v>
      </c>
      <c r="O21" s="261" t="s">
        <v>1874</v>
      </c>
      <c r="P21" s="231" t="n">
        <v>130219.78021978</v>
      </c>
      <c r="Q21" s="259"/>
      <c r="R21" s="262"/>
      <c r="S21" s="233"/>
    </row>
    <row r="22" customFormat="false" ht="15" hidden="false" customHeight="false" outlineLevel="0" collapsed="false">
      <c r="A22" s="0" t="s">
        <v>1713</v>
      </c>
      <c r="B22" s="0" t="s">
        <v>1829</v>
      </c>
      <c r="C22" s="0" t="s">
        <v>442</v>
      </c>
      <c r="D22" s="223" t="s">
        <v>1961</v>
      </c>
      <c r="E22" s="0" t="s">
        <v>1962</v>
      </c>
      <c r="F22" s="223"/>
      <c r="G22" s="223"/>
      <c r="H22" s="223"/>
      <c r="I22" s="0" t="s">
        <v>1838</v>
      </c>
      <c r="J22" s="0" t="s">
        <v>1839</v>
      </c>
      <c r="K22" s="0" t="s">
        <v>1958</v>
      </c>
      <c r="L22" s="261"/>
      <c r="M22" s="127" t="s">
        <v>1957</v>
      </c>
      <c r="N22" s="0" t="s">
        <v>1963</v>
      </c>
      <c r="O22" s="261" t="s">
        <v>1874</v>
      </c>
      <c r="P22" s="231" t="n">
        <v>1015384.61538462</v>
      </c>
      <c r="Q22" s="259"/>
      <c r="R22" s="262"/>
      <c r="S22" s="233"/>
    </row>
    <row r="23" customFormat="false" ht="15" hidden="false" customHeight="false" outlineLevel="0" collapsed="false">
      <c r="A23" s="0" t="s">
        <v>1713</v>
      </c>
      <c r="B23" s="0" t="s">
        <v>1829</v>
      </c>
      <c r="C23" s="0" t="s">
        <v>442</v>
      </c>
      <c r="D23" s="223" t="s">
        <v>1961</v>
      </c>
      <c r="E23" s="0" t="s">
        <v>1962</v>
      </c>
      <c r="F23" s="223"/>
      <c r="G23" s="223"/>
      <c r="H23" s="223"/>
      <c r="I23" s="0" t="s">
        <v>1838</v>
      </c>
      <c r="J23" s="0" t="s">
        <v>1839</v>
      </c>
      <c r="K23" s="0" t="s">
        <v>1960</v>
      </c>
      <c r="L23" s="261"/>
      <c r="M23" s="127" t="s">
        <v>1957</v>
      </c>
      <c r="N23" s="0" t="s">
        <v>1963</v>
      </c>
      <c r="O23" s="261" t="s">
        <v>1874</v>
      </c>
      <c r="P23" s="231" t="n">
        <v>553846.153846154</v>
      </c>
      <c r="Q23" s="259"/>
      <c r="R23" s="262"/>
      <c r="S23" s="233"/>
    </row>
    <row r="24" customFormat="false" ht="15" hidden="false" customHeight="false" outlineLevel="0" collapsed="false">
      <c r="A24" s="0" t="s">
        <v>1713</v>
      </c>
      <c r="B24" s="0" t="s">
        <v>1829</v>
      </c>
      <c r="C24" s="0" t="s">
        <v>442</v>
      </c>
      <c r="D24" s="223" t="s">
        <v>1961</v>
      </c>
      <c r="E24" s="0" t="s">
        <v>1962</v>
      </c>
      <c r="F24" s="223"/>
      <c r="G24" s="223"/>
      <c r="H24" s="223"/>
      <c r="I24" s="0" t="s">
        <v>1838</v>
      </c>
      <c r="J24" s="0" t="s">
        <v>1839</v>
      </c>
      <c r="K24" s="0" t="s">
        <v>1860</v>
      </c>
      <c r="L24" s="261"/>
      <c r="M24" s="127" t="s">
        <v>1957</v>
      </c>
      <c r="N24" s="0" t="s">
        <v>1963</v>
      </c>
      <c r="O24" s="261" t="s">
        <v>1874</v>
      </c>
      <c r="P24" s="231" t="n">
        <v>469230.769230769</v>
      </c>
      <c r="Q24" s="259"/>
      <c r="R24" s="262"/>
      <c r="S24" s="233"/>
    </row>
    <row r="25" customFormat="false" ht="15" hidden="false" customHeight="false" outlineLevel="0" collapsed="false">
      <c r="A25" s="0" t="s">
        <v>1713</v>
      </c>
      <c r="B25" s="0" t="s">
        <v>1829</v>
      </c>
      <c r="C25" s="0" t="s">
        <v>442</v>
      </c>
      <c r="D25" s="223" t="s">
        <v>1961</v>
      </c>
      <c r="E25" s="0" t="s">
        <v>1962</v>
      </c>
      <c r="F25" s="223"/>
      <c r="G25" s="223"/>
      <c r="H25" s="223"/>
      <c r="I25" s="0" t="s">
        <v>1838</v>
      </c>
      <c r="J25" s="0" t="s">
        <v>1839</v>
      </c>
      <c r="K25" s="0" t="s">
        <v>1861</v>
      </c>
      <c r="L25" s="261"/>
      <c r="M25" s="127" t="s">
        <v>1957</v>
      </c>
      <c r="N25" s="0" t="s">
        <v>1963</v>
      </c>
      <c r="O25" s="261" t="s">
        <v>1874</v>
      </c>
      <c r="P25" s="231" t="n">
        <v>276923.076923077</v>
      </c>
      <c r="Q25" s="259"/>
      <c r="R25" s="262"/>
      <c r="S25" s="233"/>
    </row>
    <row r="26" customFormat="false" ht="15" hidden="false" customHeight="false" outlineLevel="0" collapsed="false">
      <c r="A26" s="0" t="s">
        <v>1713</v>
      </c>
      <c r="B26" s="0" t="s">
        <v>1829</v>
      </c>
      <c r="C26" s="0" t="s">
        <v>442</v>
      </c>
      <c r="D26" s="223" t="s">
        <v>1961</v>
      </c>
      <c r="E26" s="0" t="s">
        <v>1962</v>
      </c>
      <c r="F26" s="223"/>
      <c r="G26" s="223"/>
      <c r="H26" s="223"/>
      <c r="I26" s="0" t="s">
        <v>1838</v>
      </c>
      <c r="J26" s="0" t="s">
        <v>1839</v>
      </c>
      <c r="K26" s="0" t="s">
        <v>1862</v>
      </c>
      <c r="L26" s="261"/>
      <c r="M26" s="127" t="s">
        <v>1957</v>
      </c>
      <c r="N26" s="0" t="s">
        <v>1963</v>
      </c>
      <c r="O26" s="261" t="s">
        <v>1874</v>
      </c>
      <c r="P26" s="231" t="n">
        <v>230769.230769231</v>
      </c>
      <c r="Q26" s="259"/>
      <c r="R26" s="262"/>
      <c r="S26" s="233"/>
    </row>
    <row r="27" customFormat="false" ht="15" hidden="false" customHeight="false" outlineLevel="0" collapsed="false">
      <c r="A27" s="0" t="s">
        <v>1713</v>
      </c>
      <c r="B27" s="0" t="s">
        <v>1829</v>
      </c>
      <c r="C27" s="0" t="s">
        <v>442</v>
      </c>
      <c r="D27" s="223" t="s">
        <v>1961</v>
      </c>
      <c r="E27" s="0" t="s">
        <v>1962</v>
      </c>
      <c r="F27" s="223"/>
      <c r="G27" s="223"/>
      <c r="H27" s="223"/>
      <c r="I27" s="0" t="s">
        <v>1838</v>
      </c>
      <c r="J27" s="0" t="s">
        <v>1839</v>
      </c>
      <c r="K27" s="0" t="s">
        <v>1865</v>
      </c>
      <c r="L27" s="261"/>
      <c r="M27" s="127" t="s">
        <v>1957</v>
      </c>
      <c r="N27" s="0" t="s">
        <v>1963</v>
      </c>
      <c r="O27" s="261" t="s">
        <v>1874</v>
      </c>
      <c r="P27" s="231" t="n">
        <v>153846.153846154</v>
      </c>
      <c r="Q27" s="259"/>
      <c r="R27" s="262"/>
      <c r="S27" s="233"/>
    </row>
    <row r="28" customFormat="false" ht="15" hidden="false" customHeight="false" outlineLevel="0" collapsed="false">
      <c r="A28" s="0" t="s">
        <v>1713</v>
      </c>
      <c r="B28" s="0" t="s">
        <v>1829</v>
      </c>
      <c r="C28" s="0" t="s">
        <v>442</v>
      </c>
      <c r="D28" s="223" t="s">
        <v>1961</v>
      </c>
      <c r="E28" s="0" t="s">
        <v>1962</v>
      </c>
      <c r="F28" s="223"/>
      <c r="G28" s="223"/>
      <c r="H28" s="223"/>
      <c r="I28" s="0" t="s">
        <v>1838</v>
      </c>
      <c r="J28" s="0" t="s">
        <v>1839</v>
      </c>
      <c r="K28" s="0" t="s">
        <v>1863</v>
      </c>
      <c r="L28" s="261"/>
      <c r="M28" s="127" t="s">
        <v>1957</v>
      </c>
      <c r="N28" s="0" t="s">
        <v>1963</v>
      </c>
      <c r="O28" s="261" t="s">
        <v>1874</v>
      </c>
      <c r="P28" s="231" t="n">
        <v>138461.538461539</v>
      </c>
      <c r="Q28" s="259"/>
      <c r="R28" s="262"/>
      <c r="S28" s="233"/>
    </row>
    <row r="29" customFormat="false" ht="15" hidden="false" customHeight="false" outlineLevel="0" collapsed="false">
      <c r="A29" s="0" t="s">
        <v>1713</v>
      </c>
      <c r="B29" s="0" t="s">
        <v>1829</v>
      </c>
      <c r="C29" s="0" t="s">
        <v>442</v>
      </c>
      <c r="D29" s="223" t="s">
        <v>1961</v>
      </c>
      <c r="E29" s="0" t="s">
        <v>1962</v>
      </c>
      <c r="F29" s="223"/>
      <c r="G29" s="223"/>
      <c r="H29" s="223"/>
      <c r="I29" s="0" t="s">
        <v>1838</v>
      </c>
      <c r="J29" s="0" t="s">
        <v>1839</v>
      </c>
      <c r="K29" s="0" t="s">
        <v>1864</v>
      </c>
      <c r="L29" s="261"/>
      <c r="M29" s="127" t="s">
        <v>1957</v>
      </c>
      <c r="N29" s="0" t="s">
        <v>1963</v>
      </c>
      <c r="O29" s="261" t="s">
        <v>1874</v>
      </c>
      <c r="P29" s="231" t="n">
        <v>123076.923076923</v>
      </c>
      <c r="Q29" s="259"/>
      <c r="R29" s="262"/>
      <c r="S29" s="233"/>
    </row>
    <row r="30" customFormat="false" ht="15" hidden="false" customHeight="false" outlineLevel="0" collapsed="false">
      <c r="A30" s="0" t="s">
        <v>1713</v>
      </c>
      <c r="B30" s="0" t="s">
        <v>1829</v>
      </c>
      <c r="C30" s="0" t="s">
        <v>442</v>
      </c>
      <c r="D30" s="223" t="s">
        <v>1961</v>
      </c>
      <c r="F30" s="223"/>
      <c r="G30" s="223"/>
      <c r="H30" s="223"/>
      <c r="I30" s="0" t="s">
        <v>1838</v>
      </c>
      <c r="J30" s="0" t="s">
        <v>1839</v>
      </c>
      <c r="K30" s="0" t="s">
        <v>1958</v>
      </c>
      <c r="L30" s="261"/>
      <c r="M30" s="127" t="s">
        <v>1957</v>
      </c>
      <c r="N30" s="0" t="s">
        <v>1963</v>
      </c>
      <c r="O30" s="261" t="s">
        <v>1874</v>
      </c>
      <c r="P30" s="231" t="n">
        <v>1015384.61538462</v>
      </c>
      <c r="Q30" s="259"/>
      <c r="R30" s="262"/>
      <c r="S30" s="233"/>
    </row>
    <row r="34" customFormat="false" ht="15" hidden="false" customHeight="false" outlineLevel="0" collapsed="false">
      <c r="A34" s="260" t="s">
        <v>1951</v>
      </c>
    </row>
    <row r="35" customFormat="false" ht="15" hidden="false" customHeight="false" outlineLevel="0" collapsed="false">
      <c r="A35" s="131" t="s">
        <v>1964</v>
      </c>
    </row>
    <row r="36" customFormat="false" ht="15" hidden="false" customHeight="false" outlineLevel="0" collapsed="false">
      <c r="A36" s="131" t="s">
        <v>1965</v>
      </c>
    </row>
    <row r="37" customFormat="false" ht="15" hidden="false" customHeight="false" outlineLevel="0" collapsed="false">
      <c r="A37" s="131" t="s">
        <v>1966</v>
      </c>
    </row>
    <row r="38" customFormat="false" ht="15" hidden="false" customHeight="false" outlineLevel="0" collapsed="false">
      <c r="A38" s="131" t="s">
        <v>1967</v>
      </c>
    </row>
  </sheetData>
  <autoFilter ref="A11:S30"/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M1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.42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185" t="s">
        <v>1</v>
      </c>
    </row>
    <row r="2" customFormat="false" ht="45" hidden="false" customHeight="true" outlineLevel="0" collapsed="false">
      <c r="M2" s="263" t="s">
        <v>1705</v>
      </c>
    </row>
    <row r="5" customFormat="false" ht="15" hidden="false" customHeight="false" outlineLevel="0" collapsed="false">
      <c r="A5" s="264" t="s">
        <v>1968</v>
      </c>
      <c r="B5" s="264" t="s">
        <v>1969</v>
      </c>
      <c r="C5" s="264" t="s">
        <v>1970</v>
      </c>
      <c r="D5" s="265" t="s">
        <v>1971</v>
      </c>
      <c r="E5" s="265" t="s">
        <v>1972</v>
      </c>
      <c r="F5" s="265" t="s">
        <v>1973</v>
      </c>
    </row>
    <row r="6" customFormat="false" ht="15" hidden="false" customHeight="false" outlineLevel="0" collapsed="false">
      <c r="A6" s="266" t="s">
        <v>1974</v>
      </c>
      <c r="B6" s="266" t="s">
        <v>468</v>
      </c>
      <c r="C6" s="0" t="s">
        <v>1975</v>
      </c>
      <c r="D6" s="267" t="n">
        <v>-4999.99999999934</v>
      </c>
      <c r="E6" s="267" t="n">
        <v>-5000.00000000042</v>
      </c>
      <c r="F6" s="267" t="n">
        <v>-2142.85999999994</v>
      </c>
    </row>
    <row r="7" customFormat="false" ht="15" hidden="false" customHeight="false" outlineLevel="0" collapsed="false">
      <c r="A7" s="266" t="s">
        <v>1974</v>
      </c>
      <c r="B7" s="266" t="s">
        <v>468</v>
      </c>
      <c r="C7" s="0" t="s">
        <v>1976</v>
      </c>
      <c r="D7" s="267" t="n">
        <v>-99666.67</v>
      </c>
      <c r="E7" s="267" t="n">
        <v>-92473.6799999998</v>
      </c>
      <c r="F7" s="267" t="n">
        <v>-93476.1900000005</v>
      </c>
    </row>
    <row r="8" customFormat="false" ht="15" hidden="false" customHeight="false" outlineLevel="0" collapsed="false">
      <c r="A8" s="266" t="s">
        <v>1974</v>
      </c>
      <c r="B8" s="266" t="s">
        <v>468</v>
      </c>
      <c r="C8" s="0" t="s">
        <v>1977</v>
      </c>
      <c r="D8" s="267" t="n">
        <v>-34999.9999999997</v>
      </c>
      <c r="E8" s="267" t="n">
        <v>-35000.0000000002</v>
      </c>
      <c r="F8" s="267" t="n">
        <v>-34999.9999999994</v>
      </c>
    </row>
    <row r="9" customFormat="false" ht="15" hidden="false" customHeight="false" outlineLevel="0" collapsed="false">
      <c r="A9" s="266" t="s">
        <v>1974</v>
      </c>
      <c r="B9" s="266" t="s">
        <v>468</v>
      </c>
      <c r="C9" s="0" t="s">
        <v>1978</v>
      </c>
      <c r="D9" s="267" t="n">
        <v>-622000</v>
      </c>
      <c r="E9" s="267" t="n">
        <v>-261894.74</v>
      </c>
      <c r="F9" s="267" t="n">
        <v>-622000</v>
      </c>
    </row>
    <row r="10" customFormat="false" ht="15" hidden="false" customHeight="false" outlineLevel="0" collapsed="false">
      <c r="A10" s="266" t="s">
        <v>1974</v>
      </c>
      <c r="B10" s="266" t="s">
        <v>468</v>
      </c>
      <c r="C10" s="0" t="s">
        <v>1979</v>
      </c>
      <c r="D10" s="267" t="n">
        <v>-306000</v>
      </c>
      <c r="E10" s="267" t="n">
        <v>-242842.099999999</v>
      </c>
      <c r="F10" s="267" t="n">
        <v>-235285.709999999</v>
      </c>
    </row>
    <row r="11" customFormat="false" ht="15" hidden="false" customHeight="false" outlineLevel="0" collapsed="false">
      <c r="A11" s="266" t="s">
        <v>1974</v>
      </c>
      <c r="B11" s="266" t="s">
        <v>468</v>
      </c>
      <c r="C11" s="0" t="s">
        <v>1980</v>
      </c>
      <c r="D11" s="267" t="n">
        <v>-52999.9999999994</v>
      </c>
      <c r="E11" s="267" t="n">
        <v>-41684.2100000002</v>
      </c>
      <c r="F11" s="267" t="n">
        <v>-53000.0000000002</v>
      </c>
    </row>
    <row r="12" customFormat="false" ht="15" hidden="false" customHeight="false" outlineLevel="0" collapsed="false">
      <c r="A12" s="266" t="s">
        <v>1974</v>
      </c>
      <c r="B12" s="266" t="s">
        <v>468</v>
      </c>
      <c r="C12" s="0" t="s">
        <v>1981</v>
      </c>
      <c r="D12" s="267" t="n">
        <v>-229865.999999999</v>
      </c>
      <c r="E12" s="267" t="n">
        <v>-229866</v>
      </c>
      <c r="F12" s="267" t="n">
        <v>-227234.419999999</v>
      </c>
    </row>
    <row r="13" customFormat="false" ht="15" hidden="false" customHeight="false" outlineLevel="0" collapsed="false">
      <c r="A13" s="266" t="s">
        <v>1974</v>
      </c>
      <c r="B13" s="266" t="s">
        <v>468</v>
      </c>
      <c r="C13" s="0" t="s">
        <v>1982</v>
      </c>
      <c r="D13" s="267" t="n">
        <v>-53333.0000000004</v>
      </c>
      <c r="E13" s="267" t="n">
        <v>-39297.9999999996</v>
      </c>
      <c r="F13" s="267" t="n">
        <v>-53332.9999999999</v>
      </c>
    </row>
    <row r="14" customFormat="false" ht="15" hidden="false" customHeight="false" outlineLevel="0" collapsed="false">
      <c r="A14" s="266" t="s">
        <v>1974</v>
      </c>
      <c r="B14" s="266" t="s">
        <v>468</v>
      </c>
      <c r="C14" s="0" t="s">
        <v>1983</v>
      </c>
      <c r="D14" s="267" t="n">
        <v>-127250</v>
      </c>
      <c r="E14" s="267" t="n">
        <v>-127250</v>
      </c>
      <c r="F14" s="267" t="n">
        <v>-126821.43</v>
      </c>
    </row>
    <row r="15" customFormat="false" ht="15" hidden="false" customHeight="false" outlineLevel="0" collapsed="false">
      <c r="A15" s="266" t="s">
        <v>1974</v>
      </c>
      <c r="B15" s="266" t="s">
        <v>468</v>
      </c>
      <c r="C15" s="0" t="s">
        <v>1984</v>
      </c>
      <c r="D15" s="267" t="n">
        <v>-1629999.99999999</v>
      </c>
      <c r="E15" s="267" t="n">
        <v>-1629999.99999999</v>
      </c>
      <c r="F15" s="267" t="n">
        <v>-1629999.99999999</v>
      </c>
    </row>
    <row r="16" customFormat="false" ht="15" hidden="false" customHeight="false" outlineLevel="0" collapsed="false">
      <c r="A16" s="266" t="s">
        <v>1974</v>
      </c>
      <c r="B16" s="266" t="s">
        <v>468</v>
      </c>
      <c r="C16" s="0" t="s">
        <v>1985</v>
      </c>
      <c r="D16" s="267" t="n">
        <v>-37666.6599999998</v>
      </c>
      <c r="E16" s="267" t="n">
        <v>-53648.7200000003</v>
      </c>
      <c r="F16" s="267" t="n">
        <v>-40238.1000000003</v>
      </c>
    </row>
    <row r="17" customFormat="false" ht="15" hidden="false" customHeight="false" outlineLevel="0" collapsed="false">
      <c r="A17" s="266" t="s">
        <v>1974</v>
      </c>
      <c r="B17" s="266" t="s">
        <v>468</v>
      </c>
      <c r="C17" s="0" t="s">
        <v>1986</v>
      </c>
      <c r="D17" s="267" t="n">
        <v>-1166.67000000035</v>
      </c>
      <c r="E17" s="267" t="n">
        <v>-1250.00000000011</v>
      </c>
      <c r="F17" s="267" t="n">
        <v>-1190.48000000027</v>
      </c>
    </row>
    <row r="18" customFormat="false" ht="15" hidden="false" customHeight="false" outlineLevel="0" collapsed="false">
      <c r="A18" s="266" t="s">
        <v>1974</v>
      </c>
      <c r="B18" s="266" t="s">
        <v>468</v>
      </c>
      <c r="C18" s="0" t="s">
        <v>1987</v>
      </c>
      <c r="D18" s="267" t="n">
        <v>-1058000</v>
      </c>
      <c r="E18" s="267" t="n">
        <v>-1066947.37</v>
      </c>
      <c r="F18" s="267" t="n">
        <v>-912761.899999999</v>
      </c>
    </row>
    <row r="19" customFormat="false" ht="15" hidden="false" customHeight="false" outlineLevel="0" collapsed="false">
      <c r="A19" s="266" t="s">
        <v>1974</v>
      </c>
      <c r="B19" s="266" t="s">
        <v>468</v>
      </c>
      <c r="C19" s="0" t="s">
        <v>1988</v>
      </c>
      <c r="D19" s="267" t="n">
        <v>-1666.66999999941</v>
      </c>
      <c r="E19" s="267" t="n">
        <v>-526.320000000155</v>
      </c>
      <c r="F19" s="267" t="n">
        <v>263.160000000666</v>
      </c>
    </row>
    <row r="20" customFormat="false" ht="15" hidden="false" customHeight="false" outlineLevel="0" collapsed="false">
      <c r="A20" s="266" t="s">
        <v>1974</v>
      </c>
      <c r="B20" s="266" t="s">
        <v>468</v>
      </c>
      <c r="C20" s="0" t="s">
        <v>1989</v>
      </c>
      <c r="D20" s="267" t="n">
        <v>-3569716.42</v>
      </c>
      <c r="E20" s="267" t="n">
        <v>-3316522.85</v>
      </c>
      <c r="F20" s="267" t="n">
        <v>-3158953.25999999</v>
      </c>
    </row>
    <row r="21" customFormat="false" ht="15" hidden="false" customHeight="false" outlineLevel="0" collapsed="false">
      <c r="A21" s="266" t="s">
        <v>1974</v>
      </c>
      <c r="B21" s="266" t="s">
        <v>468</v>
      </c>
      <c r="C21" s="0" t="s">
        <v>1990</v>
      </c>
      <c r="D21" s="267" t="n">
        <v>-57399.9999999992</v>
      </c>
      <c r="E21" s="267" t="n">
        <v>-55368.4200000005</v>
      </c>
      <c r="F21" s="267" t="n">
        <v>-58000.0000000005</v>
      </c>
    </row>
    <row r="22" customFormat="false" ht="15" hidden="false" customHeight="false" outlineLevel="0" collapsed="false">
      <c r="A22" s="266" t="s">
        <v>1974</v>
      </c>
      <c r="B22" s="266" t="s">
        <v>468</v>
      </c>
      <c r="C22" s="0" t="s">
        <v>1991</v>
      </c>
      <c r="D22" s="267" t="n">
        <v>-147499.999999999</v>
      </c>
      <c r="E22" s="267" t="n">
        <v>-110000</v>
      </c>
      <c r="F22" s="267" t="n">
        <v>-147499.999999999</v>
      </c>
    </row>
    <row r="23" customFormat="false" ht="15" hidden="false" customHeight="false" outlineLevel="0" collapsed="false">
      <c r="A23" s="266" t="s">
        <v>1974</v>
      </c>
      <c r="B23" s="266" t="s">
        <v>468</v>
      </c>
      <c r="C23" s="0" t="s">
        <v>1992</v>
      </c>
      <c r="D23" s="267" t="n">
        <v>-3000.00000000018</v>
      </c>
      <c r="E23" s="267" t="n">
        <v>-3000.00000000053</v>
      </c>
      <c r="F23" s="267" t="n">
        <v>-2999.99999999991</v>
      </c>
    </row>
    <row r="24" customFormat="false" ht="15" hidden="false" customHeight="false" outlineLevel="0" collapsed="false">
      <c r="A24" s="266" t="s">
        <v>1974</v>
      </c>
      <c r="B24" s="266" t="s">
        <v>468</v>
      </c>
      <c r="C24" s="0" t="s">
        <v>1993</v>
      </c>
      <c r="D24" s="267" t="n">
        <v>-6000.00000000037</v>
      </c>
      <c r="E24" s="267" t="n">
        <v>-5999.99999999969</v>
      </c>
      <c r="F24" s="267" t="n">
        <v>-5999.99999999982</v>
      </c>
    </row>
    <row r="25" customFormat="false" ht="15" hidden="false" customHeight="false" outlineLevel="0" collapsed="false">
      <c r="A25" s="266" t="s">
        <v>1974</v>
      </c>
      <c r="B25" s="266" t="s">
        <v>468</v>
      </c>
      <c r="C25" s="0" t="s">
        <v>1994</v>
      </c>
      <c r="D25" s="267" t="n">
        <v>-4999.99999999934</v>
      </c>
      <c r="E25" s="267" t="n">
        <v>-4210.5299999996</v>
      </c>
      <c r="F25" s="267" t="n">
        <v>-5000.0000000003</v>
      </c>
    </row>
    <row r="26" customFormat="false" ht="15" hidden="false" customHeight="false" outlineLevel="0" collapsed="false">
      <c r="A26" s="266" t="s">
        <v>1974</v>
      </c>
      <c r="B26" s="266" t="s">
        <v>468</v>
      </c>
      <c r="C26" s="0" t="s">
        <v>1995</v>
      </c>
      <c r="D26" s="267"/>
      <c r="E26" s="267" t="n">
        <v>-1315.78999999961</v>
      </c>
      <c r="F26" s="267" t="n">
        <v>-5000.0000000003</v>
      </c>
    </row>
    <row r="27" customFormat="false" ht="15" hidden="false" customHeight="false" outlineLevel="0" collapsed="false">
      <c r="A27" s="266" t="s">
        <v>1974</v>
      </c>
      <c r="B27" s="266" t="s">
        <v>468</v>
      </c>
      <c r="C27" s="0" t="s">
        <v>1996</v>
      </c>
      <c r="D27" s="267" t="n">
        <v>-460000</v>
      </c>
      <c r="E27" s="267" t="n">
        <v>-459999.999999999</v>
      </c>
      <c r="F27" s="267" t="n">
        <v>-325363.41</v>
      </c>
    </row>
    <row r="28" customFormat="false" ht="15" hidden="false" customHeight="false" outlineLevel="0" collapsed="false">
      <c r="A28" s="266" t="s">
        <v>1974</v>
      </c>
      <c r="B28" s="266" t="s">
        <v>468</v>
      </c>
      <c r="C28" s="0" t="s">
        <v>1997</v>
      </c>
      <c r="D28" s="267" t="n">
        <v>-1368166.67</v>
      </c>
      <c r="E28" s="267" t="n">
        <v>-1279131.58</v>
      </c>
      <c r="F28" s="267" t="n">
        <v>-1200285.7</v>
      </c>
    </row>
    <row r="29" customFormat="false" ht="15" hidden="false" customHeight="false" outlineLevel="0" collapsed="false">
      <c r="A29" s="266" t="s">
        <v>1974</v>
      </c>
      <c r="B29" s="266" t="s">
        <v>468</v>
      </c>
      <c r="C29" s="0" t="s">
        <v>1998</v>
      </c>
      <c r="D29" s="267" t="n">
        <v>-231000</v>
      </c>
      <c r="E29" s="267" t="n">
        <v>-241394.729999999</v>
      </c>
      <c r="F29" s="267" t="n">
        <v>-245404.759999999</v>
      </c>
    </row>
    <row r="30" customFormat="false" ht="15" hidden="false" customHeight="false" outlineLevel="0" collapsed="false">
      <c r="A30" s="266" t="s">
        <v>1974</v>
      </c>
      <c r="B30" s="266" t="s">
        <v>468</v>
      </c>
      <c r="C30" s="0" t="s">
        <v>1999</v>
      </c>
      <c r="D30" s="267" t="n">
        <v>-37499.9999999994</v>
      </c>
      <c r="E30" s="267" t="n">
        <v>-37500.0000000004</v>
      </c>
      <c r="F30" s="267" t="n">
        <v>-37500.0000000002</v>
      </c>
    </row>
    <row r="31" customFormat="false" ht="15" hidden="false" customHeight="false" outlineLevel="0" collapsed="false">
      <c r="A31" s="266" t="s">
        <v>1974</v>
      </c>
      <c r="B31" s="266" t="s">
        <v>468</v>
      </c>
      <c r="C31" s="0" t="s">
        <v>2000</v>
      </c>
      <c r="D31" s="267" t="n">
        <v>-99999.9999999998</v>
      </c>
      <c r="E31" s="267" t="n">
        <v>-92937.3600000002</v>
      </c>
      <c r="F31" s="267" t="n">
        <v>-88095.2399999993</v>
      </c>
    </row>
    <row r="32" customFormat="false" ht="15" hidden="false" customHeight="false" outlineLevel="0" collapsed="false">
      <c r="A32" s="266" t="s">
        <v>1974</v>
      </c>
      <c r="B32" s="266" t="s">
        <v>468</v>
      </c>
      <c r="C32" s="0" t="s">
        <v>2001</v>
      </c>
      <c r="D32" s="267" t="n">
        <v>-2369733.33999999</v>
      </c>
      <c r="E32" s="267" t="n">
        <v>-2319894.73999999</v>
      </c>
      <c r="F32" s="267" t="n">
        <v>-2362785.70999999</v>
      </c>
    </row>
    <row r="33" customFormat="false" ht="15" hidden="false" customHeight="false" outlineLevel="0" collapsed="false">
      <c r="A33" s="266" t="s">
        <v>1974</v>
      </c>
      <c r="B33" s="266" t="s">
        <v>468</v>
      </c>
      <c r="C33" s="0" t="s">
        <v>2002</v>
      </c>
      <c r="D33" s="267" t="n">
        <v>-1921828.32999999</v>
      </c>
      <c r="E33" s="267" t="n">
        <v>-1919600.28</v>
      </c>
      <c r="F33" s="267" t="n">
        <v>-1977002.04999999</v>
      </c>
    </row>
    <row r="34" customFormat="false" ht="15" hidden="false" customHeight="false" outlineLevel="0" collapsed="false">
      <c r="A34" s="266" t="s">
        <v>1974</v>
      </c>
      <c r="B34" s="266" t="s">
        <v>468</v>
      </c>
      <c r="C34" s="0" t="s">
        <v>2003</v>
      </c>
      <c r="D34" s="267" t="n">
        <v>-3.72529029846191E-008</v>
      </c>
      <c r="E34" s="267" t="n">
        <v>-3.16649675369263E-008</v>
      </c>
      <c r="F34" s="267" t="n">
        <v>-5.21540641784668E-008</v>
      </c>
    </row>
    <row r="35" customFormat="false" ht="15" hidden="false" customHeight="false" outlineLevel="0" collapsed="false">
      <c r="A35" s="266" t="s">
        <v>1974</v>
      </c>
      <c r="B35" s="266" t="s">
        <v>2004</v>
      </c>
      <c r="C35" s="0" t="s">
        <v>1975</v>
      </c>
      <c r="D35" s="267" t="n">
        <v>-1510.00000000007</v>
      </c>
      <c r="E35" s="267" t="n">
        <v>-1509.99000000007</v>
      </c>
      <c r="F35" s="267" t="n">
        <v>-647.15000000001</v>
      </c>
    </row>
    <row r="36" customFormat="false" ht="15" hidden="false" customHeight="false" outlineLevel="0" collapsed="false">
      <c r="A36" s="266" t="s">
        <v>1974</v>
      </c>
      <c r="B36" s="266" t="s">
        <v>2004</v>
      </c>
      <c r="C36" s="0" t="s">
        <v>1976</v>
      </c>
      <c r="D36" s="267" t="n">
        <v>-30099.3299999998</v>
      </c>
      <c r="E36" s="267" t="n">
        <v>-27927.0700000001</v>
      </c>
      <c r="F36" s="267" t="n">
        <v>-28229.8299999998</v>
      </c>
    </row>
    <row r="37" customFormat="false" ht="15" hidden="false" customHeight="false" outlineLevel="0" collapsed="false">
      <c r="A37" s="266" t="s">
        <v>1974</v>
      </c>
      <c r="B37" s="266" t="s">
        <v>2004</v>
      </c>
      <c r="C37" s="0" t="s">
        <v>1977</v>
      </c>
      <c r="D37" s="267" t="n">
        <v>-10570</v>
      </c>
      <c r="E37" s="267" t="n">
        <v>-10569.9999999999</v>
      </c>
      <c r="F37" s="267" t="n">
        <v>-10570</v>
      </c>
    </row>
    <row r="38" customFormat="false" ht="15" hidden="false" customHeight="false" outlineLevel="0" collapsed="false">
      <c r="A38" s="266" t="s">
        <v>1974</v>
      </c>
      <c r="B38" s="266" t="s">
        <v>2004</v>
      </c>
      <c r="C38" s="0" t="s">
        <v>1978</v>
      </c>
      <c r="D38" s="267" t="n">
        <v>-187843.99</v>
      </c>
      <c r="E38" s="267" t="n">
        <v>-49943.0099999998</v>
      </c>
      <c r="F38" s="267" t="n">
        <v>-95165.9999999998</v>
      </c>
    </row>
    <row r="39" customFormat="false" ht="15" hidden="false" customHeight="false" outlineLevel="0" collapsed="false">
      <c r="A39" s="266" t="s">
        <v>1974</v>
      </c>
      <c r="B39" s="266" t="s">
        <v>2004</v>
      </c>
      <c r="C39" s="0" t="s">
        <v>1979</v>
      </c>
      <c r="D39" s="267" t="n">
        <v>-92411.9999999996</v>
      </c>
      <c r="E39" s="267" t="n">
        <v>-55352.42</v>
      </c>
      <c r="F39" s="267" t="n">
        <v>-37339.7099999998</v>
      </c>
    </row>
    <row r="40" customFormat="false" ht="15" hidden="false" customHeight="false" outlineLevel="0" collapsed="false">
      <c r="A40" s="266" t="s">
        <v>1974</v>
      </c>
      <c r="B40" s="266" t="s">
        <v>2004</v>
      </c>
      <c r="C40" s="0" t="s">
        <v>1980</v>
      </c>
      <c r="D40" s="267" t="n">
        <v>-16003.6000000001</v>
      </c>
      <c r="E40" s="267" t="n">
        <v>-12586.8599999998</v>
      </c>
      <c r="F40" s="267" t="n">
        <v>-16003.6000000001</v>
      </c>
    </row>
    <row r="41" customFormat="false" ht="15" hidden="false" customHeight="false" outlineLevel="0" collapsed="false">
      <c r="A41" s="266" t="s">
        <v>1974</v>
      </c>
      <c r="B41" s="266" t="s">
        <v>2004</v>
      </c>
      <c r="C41" s="0" t="s">
        <v>1981</v>
      </c>
      <c r="D41" s="267" t="n">
        <v>-74155.8499999999</v>
      </c>
      <c r="E41" s="267" t="n">
        <v>-74155.8499999997</v>
      </c>
      <c r="F41" s="267" t="n">
        <v>-73361.1299999997</v>
      </c>
    </row>
    <row r="42" customFormat="false" ht="15" hidden="false" customHeight="false" outlineLevel="0" collapsed="false">
      <c r="A42" s="266" t="s">
        <v>1974</v>
      </c>
      <c r="B42" s="266" t="s">
        <v>2004</v>
      </c>
      <c r="C42" s="0" t="s">
        <v>1982</v>
      </c>
      <c r="D42" s="267" t="n">
        <v>-16106.5699999998</v>
      </c>
      <c r="E42" s="267" t="n">
        <v>-11867.9999999999</v>
      </c>
      <c r="F42" s="267" t="n">
        <v>-16106.57</v>
      </c>
    </row>
    <row r="43" customFormat="false" ht="15" hidden="false" customHeight="false" outlineLevel="0" collapsed="false">
      <c r="A43" s="266" t="s">
        <v>1974</v>
      </c>
      <c r="B43" s="266" t="s">
        <v>2004</v>
      </c>
      <c r="C43" s="0" t="s">
        <v>1983</v>
      </c>
      <c r="D43" s="267" t="n">
        <v>-38429.4999999999</v>
      </c>
      <c r="E43" s="267" t="n">
        <v>-38429.5000000001</v>
      </c>
      <c r="F43" s="267" t="n">
        <v>-38300.0899999997</v>
      </c>
    </row>
    <row r="44" customFormat="false" ht="15" hidden="false" customHeight="false" outlineLevel="0" collapsed="false">
      <c r="A44" s="266" t="s">
        <v>1974</v>
      </c>
      <c r="B44" s="266" t="s">
        <v>2004</v>
      </c>
      <c r="C44" s="0" t="s">
        <v>1984</v>
      </c>
      <c r="D44" s="267" t="n">
        <v>-492259.999999999</v>
      </c>
      <c r="E44" s="267" t="n">
        <v>-407266.24</v>
      </c>
      <c r="F44" s="267" t="n">
        <v>-323890</v>
      </c>
    </row>
    <row r="45" customFormat="false" ht="15" hidden="false" customHeight="false" outlineLevel="0" collapsed="false">
      <c r="A45" s="266" t="s">
        <v>1974</v>
      </c>
      <c r="B45" s="266" t="s">
        <v>2004</v>
      </c>
      <c r="C45" s="0" t="s">
        <v>1985</v>
      </c>
      <c r="D45" s="267" t="n">
        <v>-16151.66</v>
      </c>
      <c r="E45" s="267" t="n">
        <v>-20978.2499999999</v>
      </c>
      <c r="F45" s="267" t="n">
        <v>-18136.2099999998</v>
      </c>
    </row>
    <row r="46" customFormat="false" ht="15" hidden="false" customHeight="false" outlineLevel="0" collapsed="false">
      <c r="A46" s="266" t="s">
        <v>1974</v>
      </c>
      <c r="B46" s="266" t="s">
        <v>2004</v>
      </c>
      <c r="C46" s="0" t="s">
        <v>1986</v>
      </c>
      <c r="D46" s="267" t="n">
        <v>-352.329999999863</v>
      </c>
      <c r="E46" s="267" t="n">
        <v>-377.489999999936</v>
      </c>
      <c r="F46" s="267" t="n">
        <v>-359.519999999995</v>
      </c>
    </row>
    <row r="47" customFormat="false" ht="15" hidden="false" customHeight="false" outlineLevel="0" collapsed="false">
      <c r="A47" s="266" t="s">
        <v>1974</v>
      </c>
      <c r="B47" s="266" t="s">
        <v>2004</v>
      </c>
      <c r="C47" s="0" t="s">
        <v>1987</v>
      </c>
      <c r="D47" s="267" t="n">
        <v>-324292.33</v>
      </c>
      <c r="E47" s="267" t="n">
        <v>-326994.4</v>
      </c>
      <c r="F47" s="267" t="n">
        <v>-280430.41</v>
      </c>
    </row>
    <row r="48" customFormat="false" ht="15" hidden="false" customHeight="false" outlineLevel="0" collapsed="false">
      <c r="A48" s="266" t="s">
        <v>1974</v>
      </c>
      <c r="B48" s="266" t="s">
        <v>2004</v>
      </c>
      <c r="C48" s="0" t="s">
        <v>1988</v>
      </c>
      <c r="D48" s="267" t="n">
        <v>-502.000000000039</v>
      </c>
      <c r="E48" s="267" t="n">
        <v>-158.520000000122</v>
      </c>
      <c r="F48" s="267"/>
    </row>
    <row r="49" customFormat="false" ht="15" hidden="false" customHeight="false" outlineLevel="0" collapsed="false">
      <c r="A49" s="266" t="s">
        <v>1974</v>
      </c>
      <c r="B49" s="266" t="s">
        <v>2004</v>
      </c>
      <c r="C49" s="0" t="s">
        <v>1989</v>
      </c>
      <c r="D49" s="267" t="n">
        <v>-1082795.88</v>
      </c>
      <c r="E49" s="267" t="n">
        <v>-971433.919999998</v>
      </c>
      <c r="F49" s="267" t="n">
        <v>-908445.269999999</v>
      </c>
    </row>
    <row r="50" customFormat="false" ht="15" hidden="false" customHeight="false" outlineLevel="0" collapsed="false">
      <c r="A50" s="266" t="s">
        <v>1974</v>
      </c>
      <c r="B50" s="266" t="s">
        <v>2004</v>
      </c>
      <c r="C50" s="0" t="s">
        <v>1990</v>
      </c>
      <c r="D50" s="267" t="n">
        <v>-17334.8</v>
      </c>
      <c r="E50" s="267" t="n">
        <v>-10359.6</v>
      </c>
      <c r="F50" s="267" t="n">
        <v>-10066.0000000002</v>
      </c>
    </row>
    <row r="51" customFormat="false" ht="15" hidden="false" customHeight="false" outlineLevel="0" collapsed="false">
      <c r="A51" s="266" t="s">
        <v>1974</v>
      </c>
      <c r="B51" s="266" t="s">
        <v>2004</v>
      </c>
      <c r="C51" s="0" t="s">
        <v>1991</v>
      </c>
      <c r="D51" s="267" t="n">
        <v>-44659.1799999998</v>
      </c>
      <c r="E51" s="267" t="n">
        <v>-33334.1900000001</v>
      </c>
      <c r="F51" s="267" t="n">
        <v>-44655.1899999997</v>
      </c>
    </row>
    <row r="52" customFormat="false" ht="15" hidden="false" customHeight="false" outlineLevel="0" collapsed="false">
      <c r="A52" s="266" t="s">
        <v>1974</v>
      </c>
      <c r="B52" s="266" t="s">
        <v>2004</v>
      </c>
      <c r="C52" s="0" t="s">
        <v>1992</v>
      </c>
      <c r="D52" s="267" t="n">
        <v>-906.000000000039</v>
      </c>
      <c r="E52" s="267" t="n">
        <v>-905.999999999949</v>
      </c>
      <c r="F52" s="267" t="n">
        <v>-906.000000000108</v>
      </c>
    </row>
    <row r="53" customFormat="false" ht="15" hidden="false" customHeight="false" outlineLevel="0" collapsed="false">
      <c r="A53" s="266" t="s">
        <v>1974</v>
      </c>
      <c r="B53" s="266" t="s">
        <v>2004</v>
      </c>
      <c r="C53" s="0" t="s">
        <v>1993</v>
      </c>
      <c r="D53" s="267" t="n">
        <v>-1812.00000000008</v>
      </c>
      <c r="E53" s="267" t="n">
        <v>-1811.9999999999</v>
      </c>
      <c r="F53" s="267" t="n">
        <v>-1811.99999999984</v>
      </c>
    </row>
    <row r="54" customFormat="false" ht="15" hidden="false" customHeight="false" outlineLevel="0" collapsed="false">
      <c r="A54" s="266" t="s">
        <v>1974</v>
      </c>
      <c r="B54" s="266" t="s">
        <v>2004</v>
      </c>
      <c r="C54" s="0" t="s">
        <v>1994</v>
      </c>
      <c r="D54" s="267" t="n">
        <v>-1510.00000000007</v>
      </c>
      <c r="E54" s="267" t="n">
        <v>-1271.58</v>
      </c>
      <c r="F54" s="267" t="n">
        <v>-1510.00000000005</v>
      </c>
    </row>
    <row r="55" customFormat="false" ht="15" hidden="false" customHeight="false" outlineLevel="0" collapsed="false">
      <c r="A55" s="266" t="s">
        <v>1974</v>
      </c>
      <c r="B55" s="266" t="s">
        <v>2004</v>
      </c>
      <c r="C55" s="0" t="s">
        <v>1995</v>
      </c>
      <c r="D55" s="267"/>
      <c r="E55" s="267" t="n">
        <v>-397.369999999946</v>
      </c>
      <c r="F55" s="267" t="n">
        <v>-1510.00000000005</v>
      </c>
    </row>
    <row r="56" customFormat="false" ht="15" hidden="false" customHeight="false" outlineLevel="0" collapsed="false">
      <c r="A56" s="266" t="s">
        <v>1974</v>
      </c>
      <c r="B56" s="266" t="s">
        <v>2004</v>
      </c>
      <c r="C56" s="0" t="s">
        <v>1996</v>
      </c>
      <c r="D56" s="267" t="n">
        <v>-138920</v>
      </c>
      <c r="E56" s="267" t="n">
        <v>-138920.01</v>
      </c>
      <c r="F56" s="267" t="n">
        <v>-98259.7499999998</v>
      </c>
    </row>
    <row r="57" customFormat="false" ht="15" hidden="false" customHeight="false" outlineLevel="0" collapsed="false">
      <c r="A57" s="266" t="s">
        <v>1974</v>
      </c>
      <c r="B57" s="266" t="s">
        <v>2004</v>
      </c>
      <c r="C57" s="0" t="s">
        <v>1997</v>
      </c>
      <c r="D57" s="267" t="n">
        <v>-413414.7</v>
      </c>
      <c r="E57" s="267" t="n">
        <v>-386411.89</v>
      </c>
      <c r="F57" s="267" t="n">
        <v>-362828.82</v>
      </c>
    </row>
    <row r="58" customFormat="false" ht="15" hidden="false" customHeight="false" outlineLevel="0" collapsed="false">
      <c r="A58" s="266" t="s">
        <v>1974</v>
      </c>
      <c r="B58" s="266" t="s">
        <v>2004</v>
      </c>
      <c r="C58" s="0" t="s">
        <v>1998</v>
      </c>
      <c r="D58" s="267" t="n">
        <v>-74538.3199999996</v>
      </c>
      <c r="E58" s="267" t="n">
        <v>-77677.5199999996</v>
      </c>
      <c r="F58" s="267" t="n">
        <v>-78888.5799999998</v>
      </c>
    </row>
    <row r="59" customFormat="false" ht="15" hidden="false" customHeight="false" outlineLevel="0" collapsed="false">
      <c r="A59" s="266" t="s">
        <v>1974</v>
      </c>
      <c r="B59" s="266" t="s">
        <v>2004</v>
      </c>
      <c r="C59" s="0" t="s">
        <v>1999</v>
      </c>
      <c r="D59" s="267" t="n">
        <v>-11325.0000000001</v>
      </c>
      <c r="E59" s="267" t="n">
        <v>-11325.0000000002</v>
      </c>
      <c r="F59" s="267" t="n">
        <v>-11324.9999999998</v>
      </c>
    </row>
    <row r="60" customFormat="false" ht="15" hidden="false" customHeight="false" outlineLevel="0" collapsed="false">
      <c r="A60" s="266" t="s">
        <v>1974</v>
      </c>
      <c r="B60" s="266" t="s">
        <v>2004</v>
      </c>
      <c r="C60" s="0" t="s">
        <v>2000</v>
      </c>
      <c r="D60" s="267" t="n">
        <v>-30200</v>
      </c>
      <c r="E60" s="267" t="n">
        <v>-28067.0900000001</v>
      </c>
      <c r="F60" s="267" t="n">
        <v>-26604.76</v>
      </c>
    </row>
    <row r="61" customFormat="false" ht="15" hidden="false" customHeight="false" outlineLevel="0" collapsed="false">
      <c r="A61" s="266" t="s">
        <v>1974</v>
      </c>
      <c r="B61" s="266" t="s">
        <v>2004</v>
      </c>
      <c r="C61" s="0" t="s">
        <v>2001</v>
      </c>
      <c r="D61" s="267" t="n">
        <v>-715716.589999999</v>
      </c>
      <c r="E61" s="267" t="n">
        <v>-700665.319999997</v>
      </c>
      <c r="F61" s="267" t="n">
        <v>-713561.25</v>
      </c>
    </row>
    <row r="62" customFormat="false" ht="15" hidden="false" customHeight="false" outlineLevel="0" collapsed="false">
      <c r="A62" s="266" t="s">
        <v>1974</v>
      </c>
      <c r="B62" s="266" t="s">
        <v>2004</v>
      </c>
      <c r="C62" s="0" t="s">
        <v>2002</v>
      </c>
      <c r="D62" s="267" t="n">
        <v>-580449.219999998</v>
      </c>
      <c r="E62" s="267" t="n">
        <v>-579776.349999997</v>
      </c>
      <c r="F62" s="267" t="n">
        <v>-597054.629999997</v>
      </c>
    </row>
    <row r="63" customFormat="false" ht="15" hidden="false" customHeight="false" outlineLevel="0" collapsed="false">
      <c r="A63" s="266" t="s">
        <v>1974</v>
      </c>
      <c r="B63" s="266" t="s">
        <v>2004</v>
      </c>
      <c r="C63" s="0" t="s">
        <v>2005</v>
      </c>
      <c r="D63" s="267" t="n">
        <v>-6.51925802230835E-009</v>
      </c>
      <c r="E63" s="267" t="n">
        <v>-9.31322574615479E-009</v>
      </c>
      <c r="F63" s="267" t="n">
        <v>-7.91624188423157E-009</v>
      </c>
    </row>
    <row r="64" customFormat="false" ht="15" hidden="false" customHeight="false" outlineLevel="0" collapsed="false">
      <c r="A64" s="266" t="s">
        <v>1974</v>
      </c>
      <c r="B64" s="266" t="s">
        <v>2006</v>
      </c>
      <c r="C64" s="0" t="s">
        <v>1975</v>
      </c>
      <c r="D64" s="267" t="n">
        <v>-467.426110660549</v>
      </c>
      <c r="E64" s="267" t="n">
        <v>-484.2980708346</v>
      </c>
      <c r="F64" s="267" t="n">
        <v>-489.343747290303</v>
      </c>
    </row>
    <row r="65" customFormat="false" ht="15" hidden="false" customHeight="false" outlineLevel="0" collapsed="false">
      <c r="A65" s="266" t="s">
        <v>1974</v>
      </c>
      <c r="B65" s="266" t="s">
        <v>2006</v>
      </c>
      <c r="C65" s="0" t="s">
        <v>1976</v>
      </c>
      <c r="D65" s="267" t="n">
        <v>-52073.6693982407</v>
      </c>
      <c r="E65" s="267" t="n">
        <v>-10080.818986509</v>
      </c>
      <c r="F65" s="267" t="n">
        <v>-9346.42616886127</v>
      </c>
    </row>
    <row r="66" customFormat="false" ht="15" hidden="false" customHeight="false" outlineLevel="0" collapsed="false">
      <c r="A66" s="266" t="s">
        <v>1974</v>
      </c>
      <c r="B66" s="266" t="s">
        <v>2006</v>
      </c>
      <c r="C66" s="0" t="s">
        <v>1977</v>
      </c>
      <c r="D66" s="267" t="n">
        <v>-3491.06198867099</v>
      </c>
      <c r="E66" s="267" t="n">
        <v>-3381.61087941208</v>
      </c>
      <c r="F66" s="267" t="n">
        <v>-3377.8610703952</v>
      </c>
    </row>
    <row r="67" customFormat="false" ht="15" hidden="false" customHeight="false" outlineLevel="0" collapsed="false">
      <c r="A67" s="266" t="s">
        <v>1974</v>
      </c>
      <c r="B67" s="266" t="s">
        <v>2006</v>
      </c>
      <c r="C67" s="0" t="s">
        <v>1978</v>
      </c>
      <c r="D67" s="267" t="n">
        <v>-56360.035618058</v>
      </c>
      <c r="E67" s="267" t="n">
        <v>-425321.23531056</v>
      </c>
      <c r="F67" s="267" t="n">
        <v>-104320.923708522</v>
      </c>
    </row>
    <row r="68" customFormat="false" ht="15" hidden="false" customHeight="false" outlineLevel="0" collapsed="false">
      <c r="A68" s="266" t="s">
        <v>1974</v>
      </c>
      <c r="B68" s="266" t="s">
        <v>2006</v>
      </c>
      <c r="C68" s="0" t="s">
        <v>1979</v>
      </c>
      <c r="D68" s="267" t="n">
        <v>146375.776173135</v>
      </c>
      <c r="E68" s="267" t="n">
        <v>-280839.280813952</v>
      </c>
      <c r="F68" s="267" t="n">
        <v>-210718.793748296</v>
      </c>
    </row>
    <row r="69" customFormat="false" ht="15" hidden="false" customHeight="false" outlineLevel="0" collapsed="false">
      <c r="A69" s="266" t="s">
        <v>1974</v>
      </c>
      <c r="B69" s="266" t="s">
        <v>2006</v>
      </c>
      <c r="C69" s="0" t="s">
        <v>1980</v>
      </c>
      <c r="D69" s="267" t="n">
        <v>-4752.11874753484</v>
      </c>
      <c r="E69" s="267" t="n">
        <v>-4814.040606519</v>
      </c>
      <c r="F69" s="267" t="n">
        <v>-5084.68287217684</v>
      </c>
    </row>
    <row r="70" customFormat="false" ht="15" hidden="false" customHeight="false" outlineLevel="0" collapsed="false">
      <c r="A70" s="266" t="s">
        <v>1974</v>
      </c>
      <c r="B70" s="266" t="s">
        <v>2006</v>
      </c>
      <c r="C70" s="0" t="s">
        <v>1981</v>
      </c>
      <c r="D70" s="267" t="n">
        <v>30125.0855333337</v>
      </c>
      <c r="E70" s="267" t="n">
        <v>-22846.3695154242</v>
      </c>
      <c r="F70" s="267" t="n">
        <v>-22838.201794675</v>
      </c>
    </row>
    <row r="71" customFormat="false" ht="15" hidden="false" customHeight="false" outlineLevel="0" collapsed="false">
      <c r="A71" s="266" t="s">
        <v>1974</v>
      </c>
      <c r="B71" s="266" t="s">
        <v>2006</v>
      </c>
      <c r="C71" s="0" t="s">
        <v>1982</v>
      </c>
      <c r="D71" s="267" t="n">
        <v>-4931.63253899308</v>
      </c>
      <c r="E71" s="267" t="n">
        <v>-5177.91920852898</v>
      </c>
      <c r="F71" s="267" t="n">
        <v>-5110.68976484045</v>
      </c>
    </row>
    <row r="72" customFormat="false" ht="15" hidden="false" customHeight="false" outlineLevel="0" collapsed="false">
      <c r="A72" s="266" t="s">
        <v>1974</v>
      </c>
      <c r="B72" s="266" t="s">
        <v>2006</v>
      </c>
      <c r="C72" s="0" t="s">
        <v>1983</v>
      </c>
      <c r="D72" s="267" t="n">
        <v>-15220.0117072068</v>
      </c>
      <c r="E72" s="267" t="n">
        <v>-12239.9864846459</v>
      </c>
      <c r="F72" s="267" t="n">
        <v>-12230.9024467489</v>
      </c>
    </row>
    <row r="73" customFormat="false" ht="15" hidden="false" customHeight="false" outlineLevel="0" collapsed="false">
      <c r="A73" s="266" t="s">
        <v>1974</v>
      </c>
      <c r="B73" s="266" t="s">
        <v>2006</v>
      </c>
      <c r="C73" s="0" t="s">
        <v>1984</v>
      </c>
      <c r="D73" s="267" t="n">
        <v>-80535.0533348174</v>
      </c>
      <c r="E73" s="267" t="n">
        <v>-577796.580732816</v>
      </c>
      <c r="F73" s="267" t="n">
        <v>-225632.72385368</v>
      </c>
    </row>
    <row r="74" customFormat="false" ht="15" hidden="false" customHeight="false" outlineLevel="0" collapsed="false">
      <c r="A74" s="266" t="s">
        <v>1974</v>
      </c>
      <c r="B74" s="266" t="s">
        <v>2006</v>
      </c>
      <c r="C74" s="0" t="s">
        <v>1985</v>
      </c>
      <c r="D74" s="267" t="n">
        <v>-7280.36606686204</v>
      </c>
      <c r="E74" s="267" t="n">
        <v>-4462.94282968247</v>
      </c>
      <c r="F74" s="267" t="n">
        <v>-5170.78564060204</v>
      </c>
    </row>
    <row r="75" customFormat="false" ht="15" hidden="false" customHeight="false" outlineLevel="0" collapsed="false">
      <c r="A75" s="266" t="s">
        <v>1974</v>
      </c>
      <c r="B75" s="266" t="s">
        <v>2006</v>
      </c>
      <c r="C75" s="0" t="s">
        <v>1986</v>
      </c>
      <c r="D75" s="267" t="n">
        <v>-661.793951684056</v>
      </c>
      <c r="E75" s="267" t="n">
        <v>414.033020110723</v>
      </c>
      <c r="F75" s="267" t="n">
        <v>582.665063292183</v>
      </c>
    </row>
    <row r="76" customFormat="false" ht="15" hidden="false" customHeight="false" outlineLevel="0" collapsed="false">
      <c r="A76" s="266" t="s">
        <v>1974</v>
      </c>
      <c r="B76" s="266" t="s">
        <v>2006</v>
      </c>
      <c r="C76" s="0" t="s">
        <v>1987</v>
      </c>
      <c r="D76" s="267" t="n">
        <v>-104732.276053972</v>
      </c>
      <c r="E76" s="267" t="n">
        <v>-432946.897379024</v>
      </c>
      <c r="F76" s="267" t="n">
        <v>-135352.654885842</v>
      </c>
    </row>
    <row r="77" customFormat="false" ht="15" hidden="false" customHeight="false" outlineLevel="0" collapsed="false">
      <c r="A77" s="266" t="s">
        <v>1974</v>
      </c>
      <c r="B77" s="266" t="s">
        <v>2006</v>
      </c>
      <c r="C77" s="0" t="s">
        <v>1988</v>
      </c>
      <c r="D77" s="267" t="n">
        <v>-441.753828770391</v>
      </c>
      <c r="E77" s="267" t="n">
        <v>-490.701121020557</v>
      </c>
      <c r="F77" s="267"/>
    </row>
    <row r="78" customFormat="false" ht="15" hidden="false" customHeight="false" outlineLevel="0" collapsed="false">
      <c r="A78" s="266" t="s">
        <v>1974</v>
      </c>
      <c r="B78" s="266" t="s">
        <v>2006</v>
      </c>
      <c r="C78" s="0" t="s">
        <v>1989</v>
      </c>
      <c r="D78" s="267" t="n">
        <v>-187346.584032551</v>
      </c>
      <c r="E78" s="267" t="n">
        <v>-1391941.4378177</v>
      </c>
      <c r="F78" s="267" t="n">
        <v>-450767.166710691</v>
      </c>
    </row>
    <row r="79" customFormat="false" ht="15" hidden="false" customHeight="false" outlineLevel="0" collapsed="false">
      <c r="A79" s="266" t="s">
        <v>1974</v>
      </c>
      <c r="B79" s="266" t="s">
        <v>2006</v>
      </c>
      <c r="C79" s="0" t="s">
        <v>1990</v>
      </c>
      <c r="D79" s="267" t="n">
        <v>2610.22085323551</v>
      </c>
      <c r="E79" s="267" t="n">
        <v>-641315.453606454</v>
      </c>
      <c r="F79" s="267" t="n">
        <v>-144687.82984582</v>
      </c>
    </row>
    <row r="80" customFormat="false" ht="15" hidden="false" customHeight="false" outlineLevel="0" collapsed="false">
      <c r="A80" s="266" t="s">
        <v>1974</v>
      </c>
      <c r="B80" s="266" t="s">
        <v>2006</v>
      </c>
      <c r="C80" s="0" t="s">
        <v>1991</v>
      </c>
      <c r="D80" s="267" t="n">
        <v>-13564.0294116793</v>
      </c>
      <c r="E80" s="267" t="n">
        <v>-13826.7297212326</v>
      </c>
      <c r="F80" s="267" t="n">
        <v>-14119.6048189509</v>
      </c>
    </row>
    <row r="81" customFormat="false" ht="15" hidden="false" customHeight="false" outlineLevel="0" collapsed="false">
      <c r="A81" s="266" t="s">
        <v>1974</v>
      </c>
      <c r="B81" s="266" t="s">
        <v>2006</v>
      </c>
      <c r="C81" s="0" t="s">
        <v>1992</v>
      </c>
      <c r="D81" s="267" t="n">
        <v>-273.490678627173</v>
      </c>
      <c r="E81" s="267" t="n">
        <v>-286.63759661017</v>
      </c>
      <c r="F81" s="267" t="n">
        <v>-284.130751891829</v>
      </c>
    </row>
    <row r="82" customFormat="false" ht="15" hidden="false" customHeight="false" outlineLevel="0" collapsed="false">
      <c r="A82" s="266" t="s">
        <v>1974</v>
      </c>
      <c r="B82" s="266" t="s">
        <v>2006</v>
      </c>
      <c r="C82" s="0" t="s">
        <v>1993</v>
      </c>
      <c r="D82" s="267" t="n">
        <v>-549.655886933433</v>
      </c>
      <c r="E82" s="267" t="n">
        <v>-571.640730409591</v>
      </c>
      <c r="F82" s="267" t="n">
        <v>-568.873529304075</v>
      </c>
    </row>
    <row r="83" customFormat="false" ht="15" hidden="false" customHeight="false" outlineLevel="0" collapsed="false">
      <c r="A83" s="266" t="s">
        <v>1974</v>
      </c>
      <c r="B83" s="266" t="s">
        <v>2006</v>
      </c>
      <c r="C83" s="0" t="s">
        <v>1994</v>
      </c>
      <c r="D83" s="267" t="n">
        <v>-462.813748100119</v>
      </c>
      <c r="E83" s="267" t="n">
        <v>-493.506668009727</v>
      </c>
      <c r="F83" s="267" t="n">
        <v>-480.691550891581</v>
      </c>
    </row>
    <row r="84" customFormat="false" ht="15" hidden="false" customHeight="false" outlineLevel="0" collapsed="false">
      <c r="A84" s="266" t="s">
        <v>1974</v>
      </c>
      <c r="B84" s="266" t="s">
        <v>2006</v>
      </c>
      <c r="C84" s="0" t="s">
        <v>1995</v>
      </c>
      <c r="D84" s="267"/>
      <c r="E84" s="267"/>
      <c r="F84" s="267" t="n">
        <v>-459.371264610687</v>
      </c>
    </row>
    <row r="85" customFormat="false" ht="15" hidden="false" customHeight="false" outlineLevel="0" collapsed="false">
      <c r="A85" s="266" t="s">
        <v>1974</v>
      </c>
      <c r="B85" s="266" t="s">
        <v>2006</v>
      </c>
      <c r="C85" s="0" t="s">
        <v>1996</v>
      </c>
      <c r="D85" s="267" t="n">
        <v>-51417.2565362106</v>
      </c>
      <c r="E85" s="267" t="n">
        <v>-203605.52939575</v>
      </c>
      <c r="F85" s="267" t="n">
        <v>-57996.6198425288</v>
      </c>
    </row>
    <row r="86" customFormat="false" ht="15" hidden="false" customHeight="false" outlineLevel="0" collapsed="false">
      <c r="A86" s="266" t="s">
        <v>1974</v>
      </c>
      <c r="B86" s="266" t="s">
        <v>2006</v>
      </c>
      <c r="C86" s="0" t="s">
        <v>1997</v>
      </c>
      <c r="D86" s="267" t="n">
        <v>-126397.223644134</v>
      </c>
      <c r="E86" s="267" t="n">
        <v>-124512.298503308</v>
      </c>
      <c r="F86" s="267" t="n">
        <v>-100586.972776071</v>
      </c>
    </row>
    <row r="87" customFormat="false" ht="15" hidden="false" customHeight="false" outlineLevel="0" collapsed="false">
      <c r="A87" s="266" t="s">
        <v>1974</v>
      </c>
      <c r="B87" s="266" t="s">
        <v>2006</v>
      </c>
      <c r="C87" s="0" t="s">
        <v>1998</v>
      </c>
      <c r="D87" s="267" t="n">
        <v>-24993.0154123088</v>
      </c>
      <c r="E87" s="267" t="n">
        <v>-139547.33434501</v>
      </c>
      <c r="F87" s="267" t="n">
        <v>-40296.5902737357</v>
      </c>
    </row>
    <row r="88" customFormat="false" ht="15" hidden="false" customHeight="false" outlineLevel="0" collapsed="false">
      <c r="A88" s="266" t="s">
        <v>1974</v>
      </c>
      <c r="B88" s="266" t="s">
        <v>2006</v>
      </c>
      <c r="C88" s="0" t="s">
        <v>1999</v>
      </c>
      <c r="D88" s="267" t="n">
        <v>-3906.72714170886</v>
      </c>
      <c r="E88" s="267" t="n">
        <v>-3108.26803700368</v>
      </c>
      <c r="F88" s="267" t="n">
        <v>-3576.31663333506</v>
      </c>
    </row>
    <row r="89" customFormat="false" ht="15" hidden="false" customHeight="false" outlineLevel="0" collapsed="false">
      <c r="A89" s="266" t="s">
        <v>1974</v>
      </c>
      <c r="B89" s="266" t="s">
        <v>2006</v>
      </c>
      <c r="C89" s="0" t="s">
        <v>2000</v>
      </c>
      <c r="D89" s="267" t="n">
        <v>-10408.2445417679</v>
      </c>
      <c r="E89" s="267" t="n">
        <v>-10914.8583985487</v>
      </c>
      <c r="F89" s="267" t="n">
        <v>-12357.6252651272</v>
      </c>
    </row>
    <row r="90" customFormat="false" ht="15" hidden="false" customHeight="false" outlineLevel="0" collapsed="false">
      <c r="A90" s="266" t="s">
        <v>1974</v>
      </c>
      <c r="B90" s="266" t="s">
        <v>2006</v>
      </c>
      <c r="C90" s="0" t="s">
        <v>2001</v>
      </c>
      <c r="D90" s="267" t="n">
        <v>-174134.055084331</v>
      </c>
      <c r="E90" s="267" t="n">
        <v>-345889.763292049</v>
      </c>
      <c r="F90" s="267" t="n">
        <v>-222056.759344618</v>
      </c>
    </row>
    <row r="91" customFormat="false" ht="15" hidden="false" customHeight="false" outlineLevel="0" collapsed="false">
      <c r="A91" s="266" t="s">
        <v>1974</v>
      </c>
      <c r="B91" s="266" t="s">
        <v>2006</v>
      </c>
      <c r="C91" s="0" t="s">
        <v>2002</v>
      </c>
      <c r="D91" s="267" t="n">
        <v>-162263.14709588</v>
      </c>
      <c r="E91" s="267" t="n">
        <v>5455.08703091703</v>
      </c>
      <c r="F91" s="267" t="n">
        <v>-158250.432753781</v>
      </c>
    </row>
    <row r="92" customFormat="false" ht="15" hidden="false" customHeight="false" outlineLevel="0" collapsed="false">
      <c r="A92" s="266" t="s">
        <v>1974</v>
      </c>
      <c r="B92" s="266" t="s">
        <v>2006</v>
      </c>
      <c r="C92" s="0" t="s">
        <v>2007</v>
      </c>
      <c r="D92" s="267" t="n">
        <v>-2.79396772384644E-009</v>
      </c>
      <c r="E92" s="267" t="n">
        <v>-1.30385160446167E-008</v>
      </c>
      <c r="F92" s="267" t="n">
        <v>-5.82076609134674E-009</v>
      </c>
    </row>
    <row r="93" customFormat="false" ht="15" hidden="false" customHeight="false" outlineLevel="0" collapsed="false">
      <c r="A93" s="266" t="s">
        <v>1974</v>
      </c>
      <c r="B93" s="266" t="s">
        <v>2008</v>
      </c>
      <c r="C93" s="0" t="s">
        <v>1975</v>
      </c>
      <c r="D93" s="267" t="n">
        <v>-116.303889339412</v>
      </c>
      <c r="E93" s="267" t="n">
        <v>-90.5319291654149</v>
      </c>
      <c r="F93" s="267" t="n">
        <v>-94.3262527097396</v>
      </c>
    </row>
    <row r="94" customFormat="false" ht="15" hidden="false" customHeight="false" outlineLevel="0" collapsed="false">
      <c r="A94" s="266" t="s">
        <v>1974</v>
      </c>
      <c r="B94" s="266" t="s">
        <v>2008</v>
      </c>
      <c r="C94" s="0" t="s">
        <v>1976</v>
      </c>
      <c r="D94" s="267" t="n">
        <v>-12956.8506017592</v>
      </c>
      <c r="E94" s="267" t="n">
        <v>-1884.45101349101</v>
      </c>
      <c r="F94" s="267" t="n">
        <v>-1801.62383113872</v>
      </c>
    </row>
    <row r="95" customFormat="false" ht="15" hidden="false" customHeight="false" outlineLevel="0" collapsed="false">
      <c r="A95" s="266" t="s">
        <v>1974</v>
      </c>
      <c r="B95" s="266" t="s">
        <v>2008</v>
      </c>
      <c r="C95" s="0" t="s">
        <v>1977</v>
      </c>
      <c r="D95" s="267" t="n">
        <v>-868.638011328976</v>
      </c>
      <c r="E95" s="267" t="n">
        <v>-632.13912058817</v>
      </c>
      <c r="F95" s="267" t="n">
        <v>-651.118929604851</v>
      </c>
    </row>
    <row r="96" customFormat="false" ht="15" hidden="false" customHeight="false" outlineLevel="0" collapsed="false">
      <c r="A96" s="266" t="s">
        <v>1974</v>
      </c>
      <c r="B96" s="266" t="s">
        <v>2008</v>
      </c>
      <c r="C96" s="0" t="s">
        <v>1978</v>
      </c>
      <c r="D96" s="267" t="n">
        <v>-14023.374381942</v>
      </c>
      <c r="E96" s="267" t="n">
        <v>-79507.1346894398</v>
      </c>
      <c r="F96" s="267" t="n">
        <v>-20108.9762914776</v>
      </c>
    </row>
    <row r="97" customFormat="false" ht="15" hidden="false" customHeight="false" outlineLevel="0" collapsed="false">
      <c r="A97" s="266" t="s">
        <v>1974</v>
      </c>
      <c r="B97" s="266" t="s">
        <v>2008</v>
      </c>
      <c r="C97" s="0" t="s">
        <v>1979</v>
      </c>
      <c r="D97" s="267" t="n">
        <v>36420.8838268642</v>
      </c>
      <c r="E97" s="267" t="n">
        <v>-52498.4991860478</v>
      </c>
      <c r="F97" s="267" t="n">
        <v>-40618.3062517026</v>
      </c>
    </row>
    <row r="98" customFormat="false" ht="15" hidden="false" customHeight="false" outlineLevel="0" collapsed="false">
      <c r="A98" s="266" t="s">
        <v>1974</v>
      </c>
      <c r="B98" s="266" t="s">
        <v>2008</v>
      </c>
      <c r="C98" s="0" t="s">
        <v>1980</v>
      </c>
      <c r="D98" s="267" t="n">
        <v>-1182.41125246511</v>
      </c>
      <c r="E98" s="267" t="n">
        <v>-899.909393481053</v>
      </c>
      <c r="F98" s="267" t="n">
        <v>-980.127127823098</v>
      </c>
    </row>
    <row r="99" customFormat="false" ht="15" hidden="false" customHeight="false" outlineLevel="0" collapsed="false">
      <c r="A99" s="266" t="s">
        <v>1974</v>
      </c>
      <c r="B99" s="266" t="s">
        <v>2008</v>
      </c>
      <c r="C99" s="0" t="s">
        <v>1981</v>
      </c>
      <c r="D99" s="267" t="n">
        <v>7495.6544666662</v>
      </c>
      <c r="E99" s="267" t="n">
        <v>-4270.77048457553</v>
      </c>
      <c r="F99" s="267" t="n">
        <v>-4402.30820532492</v>
      </c>
    </row>
    <row r="100" customFormat="false" ht="15" hidden="false" customHeight="false" outlineLevel="0" collapsed="false">
      <c r="A100" s="266" t="s">
        <v>1974</v>
      </c>
      <c r="B100" s="266" t="s">
        <v>2008</v>
      </c>
      <c r="C100" s="0" t="s">
        <v>1982</v>
      </c>
      <c r="D100" s="267" t="n">
        <v>-1227.07746100694</v>
      </c>
      <c r="E100" s="267" t="n">
        <v>-967.930791470947</v>
      </c>
      <c r="F100" s="267" t="n">
        <v>-985.14023515954</v>
      </c>
    </row>
    <row r="101" customFormat="false" ht="15" hidden="false" customHeight="false" outlineLevel="0" collapsed="false">
      <c r="A101" s="266" t="s">
        <v>1974</v>
      </c>
      <c r="B101" s="266" t="s">
        <v>2008</v>
      </c>
      <c r="C101" s="0" t="s">
        <v>1983</v>
      </c>
      <c r="D101" s="267" t="n">
        <v>-3787.00829279312</v>
      </c>
      <c r="E101" s="267" t="n">
        <v>-2288.07351535382</v>
      </c>
      <c r="F101" s="267" t="n">
        <v>-2357.63755325105</v>
      </c>
    </row>
    <row r="102" customFormat="false" ht="15" hidden="false" customHeight="false" outlineLevel="0" collapsed="false">
      <c r="A102" s="266" t="s">
        <v>1974</v>
      </c>
      <c r="B102" s="266" t="s">
        <v>2008</v>
      </c>
      <c r="C102" s="0" t="s">
        <v>1984</v>
      </c>
      <c r="D102" s="267" t="n">
        <v>-20038.5466651826</v>
      </c>
      <c r="E102" s="267" t="n">
        <v>-108010.00926718</v>
      </c>
      <c r="F102" s="267" t="n">
        <v>-43493.126146318</v>
      </c>
    </row>
    <row r="103" customFormat="false" ht="15" hidden="false" customHeight="false" outlineLevel="0" collapsed="false">
      <c r="A103" s="266" t="s">
        <v>1974</v>
      </c>
      <c r="B103" s="266" t="s">
        <v>2008</v>
      </c>
      <c r="C103" s="0" t="s">
        <v>1985</v>
      </c>
      <c r="D103" s="267" t="n">
        <v>-1811.48393313792</v>
      </c>
      <c r="E103" s="267" t="n">
        <v>-834.277170317491</v>
      </c>
      <c r="F103" s="267" t="n">
        <v>-996.724359397951</v>
      </c>
    </row>
    <row r="104" customFormat="false" ht="15" hidden="false" customHeight="false" outlineLevel="0" collapsed="false">
      <c r="A104" s="266" t="s">
        <v>1974</v>
      </c>
      <c r="B104" s="266" t="s">
        <v>2008</v>
      </c>
      <c r="C104" s="0" t="s">
        <v>1986</v>
      </c>
      <c r="D104" s="267" t="n">
        <v>-164.666048315924</v>
      </c>
      <c r="E104" s="267" t="n">
        <v>77.3969798892885</v>
      </c>
      <c r="F104" s="267" t="n">
        <v>112.314936707732</v>
      </c>
    </row>
    <row r="105" customFormat="false" ht="15" hidden="false" customHeight="false" outlineLevel="0" collapsed="false">
      <c r="A105" s="266" t="s">
        <v>1974</v>
      </c>
      <c r="B105" s="266" t="s">
        <v>2008</v>
      </c>
      <c r="C105" s="0" t="s">
        <v>1987</v>
      </c>
      <c r="D105" s="267" t="n">
        <v>-26059.2439460271</v>
      </c>
      <c r="E105" s="267" t="n">
        <v>-80932.6326209757</v>
      </c>
      <c r="F105" s="267" t="n">
        <v>-26090.6751141583</v>
      </c>
    </row>
    <row r="106" customFormat="false" ht="15" hidden="false" customHeight="false" outlineLevel="0" collapsed="false">
      <c r="A106" s="266" t="s">
        <v>1974</v>
      </c>
      <c r="B106" s="266" t="s">
        <v>2008</v>
      </c>
      <c r="C106" s="0" t="s">
        <v>1988</v>
      </c>
      <c r="D106" s="267" t="n">
        <v>-109.916171229647</v>
      </c>
      <c r="E106" s="267" t="n">
        <v>-91.7288789795627</v>
      </c>
      <c r="F106" s="267"/>
    </row>
    <row r="107" customFormat="false" ht="15" hidden="false" customHeight="false" outlineLevel="0" collapsed="false">
      <c r="A107" s="266" t="s">
        <v>1974</v>
      </c>
      <c r="B107" s="266" t="s">
        <v>2008</v>
      </c>
      <c r="C107" s="0" t="s">
        <v>1989</v>
      </c>
      <c r="D107" s="267" t="n">
        <v>-46615.1459674492</v>
      </c>
      <c r="E107" s="267" t="n">
        <v>-260201.622182293</v>
      </c>
      <c r="F107" s="267" t="n">
        <v>-86890.2032893074</v>
      </c>
    </row>
    <row r="108" customFormat="false" ht="15" hidden="false" customHeight="false" outlineLevel="0" collapsed="false">
      <c r="A108" s="266" t="s">
        <v>1974</v>
      </c>
      <c r="B108" s="266" t="s">
        <v>2008</v>
      </c>
      <c r="C108" s="0" t="s">
        <v>1990</v>
      </c>
      <c r="D108" s="267" t="n">
        <v>649.469146764438</v>
      </c>
      <c r="E108" s="267" t="n">
        <v>-119883.866393542</v>
      </c>
      <c r="F108" s="267" t="n">
        <v>-27890.1301541798</v>
      </c>
    </row>
    <row r="109" customFormat="false" ht="15" hidden="false" customHeight="false" outlineLevel="0" collapsed="false">
      <c r="A109" s="266" t="s">
        <v>1974</v>
      </c>
      <c r="B109" s="266" t="s">
        <v>2008</v>
      </c>
      <c r="C109" s="0" t="s">
        <v>1991</v>
      </c>
      <c r="D109" s="267" t="n">
        <v>-3374.97058832066</v>
      </c>
      <c r="E109" s="267" t="n">
        <v>-2584.69027876734</v>
      </c>
      <c r="F109" s="267" t="n">
        <v>-2721.70518104914</v>
      </c>
    </row>
    <row r="110" customFormat="false" ht="15" hidden="false" customHeight="false" outlineLevel="0" collapsed="false">
      <c r="A110" s="266" t="s">
        <v>1974</v>
      </c>
      <c r="B110" s="266" t="s">
        <v>2008</v>
      </c>
      <c r="C110" s="0" t="s">
        <v>1992</v>
      </c>
      <c r="D110" s="267" t="n">
        <v>-68.0493213728804</v>
      </c>
      <c r="E110" s="267" t="n">
        <v>-53.5824033899966</v>
      </c>
      <c r="F110" s="267" t="n">
        <v>-54.7692481082368</v>
      </c>
    </row>
    <row r="111" customFormat="false" ht="15" hidden="false" customHeight="false" outlineLevel="0" collapsed="false">
      <c r="A111" s="266" t="s">
        <v>1974</v>
      </c>
      <c r="B111" s="266" t="s">
        <v>2008</v>
      </c>
      <c r="C111" s="0" t="s">
        <v>1993</v>
      </c>
      <c r="D111" s="267" t="n">
        <v>-136.764113066604</v>
      </c>
      <c r="E111" s="267" t="n">
        <v>-106.859269590569</v>
      </c>
      <c r="F111" s="267" t="n">
        <v>-109.656470696016</v>
      </c>
    </row>
    <row r="112" customFormat="false" ht="15" hidden="false" customHeight="false" outlineLevel="0" collapsed="false">
      <c r="A112" s="266" t="s">
        <v>1974</v>
      </c>
      <c r="B112" s="266" t="s">
        <v>2008</v>
      </c>
      <c r="C112" s="0" t="s">
        <v>1994</v>
      </c>
      <c r="D112" s="267" t="n">
        <v>-115.156251899853</v>
      </c>
      <c r="E112" s="267" t="n">
        <v>-92.2533319901976</v>
      </c>
      <c r="F112" s="267" t="n">
        <v>-92.6584491084483</v>
      </c>
    </row>
    <row r="113" customFormat="false" ht="15" hidden="false" customHeight="false" outlineLevel="0" collapsed="false">
      <c r="A113" s="266" t="s">
        <v>1974</v>
      </c>
      <c r="B113" s="266" t="s">
        <v>2008</v>
      </c>
      <c r="C113" s="0" t="s">
        <v>1995</v>
      </c>
      <c r="D113" s="267"/>
      <c r="E113" s="267"/>
      <c r="F113" s="267" t="n">
        <v>-88.5487353893875</v>
      </c>
    </row>
    <row r="114" customFormat="false" ht="15" hidden="false" customHeight="false" outlineLevel="0" collapsed="false">
      <c r="A114" s="266" t="s">
        <v>1974</v>
      </c>
      <c r="B114" s="266" t="s">
        <v>2008</v>
      </c>
      <c r="C114" s="0" t="s">
        <v>1996</v>
      </c>
      <c r="D114" s="267" t="n">
        <v>-12793.5234637894</v>
      </c>
      <c r="E114" s="267" t="n">
        <v>-38060.8606042499</v>
      </c>
      <c r="F114" s="267" t="n">
        <v>-11179.4701574712</v>
      </c>
    </row>
    <row r="115" customFormat="false" ht="15" hidden="false" customHeight="false" outlineLevel="0" collapsed="false">
      <c r="A115" s="266" t="s">
        <v>1974</v>
      </c>
      <c r="B115" s="266" t="s">
        <v>2008</v>
      </c>
      <c r="C115" s="0" t="s">
        <v>1997</v>
      </c>
      <c r="D115" s="267" t="n">
        <v>-31449.8663558654</v>
      </c>
      <c r="E115" s="267" t="n">
        <v>-23275.6214966923</v>
      </c>
      <c r="F115" s="267" t="n">
        <v>-19389.2172239294</v>
      </c>
    </row>
    <row r="116" customFormat="false" ht="15" hidden="false" customHeight="false" outlineLevel="0" collapsed="false">
      <c r="A116" s="266" t="s">
        <v>1974</v>
      </c>
      <c r="B116" s="266" t="s">
        <v>2008</v>
      </c>
      <c r="C116" s="0" t="s">
        <v>1998</v>
      </c>
      <c r="D116" s="267" t="n">
        <v>-6218.70458769111</v>
      </c>
      <c r="E116" s="267" t="n">
        <v>-26086.18565499</v>
      </c>
      <c r="F116" s="267" t="n">
        <v>-7767.59972626415</v>
      </c>
    </row>
    <row r="117" customFormat="false" ht="15" hidden="false" customHeight="false" outlineLevel="0" collapsed="false">
      <c r="A117" s="266" t="s">
        <v>1974</v>
      </c>
      <c r="B117" s="266" t="s">
        <v>2008</v>
      </c>
      <c r="C117" s="0" t="s">
        <v>1999</v>
      </c>
      <c r="D117" s="267" t="n">
        <v>-972.062858291096</v>
      </c>
      <c r="E117" s="267" t="n">
        <v>-581.041962996473</v>
      </c>
      <c r="F117" s="267" t="n">
        <v>-689.37336666505</v>
      </c>
    </row>
    <row r="118" customFormat="false" ht="15" hidden="false" customHeight="false" outlineLevel="0" collapsed="false">
      <c r="A118" s="266" t="s">
        <v>1974</v>
      </c>
      <c r="B118" s="266" t="s">
        <v>2008</v>
      </c>
      <c r="C118" s="0" t="s">
        <v>2000</v>
      </c>
      <c r="D118" s="267" t="n">
        <v>-2589.755458232</v>
      </c>
      <c r="E118" s="267" t="n">
        <v>-2040.36160145147</v>
      </c>
      <c r="F118" s="267" t="n">
        <v>-2382.06473487263</v>
      </c>
    </row>
    <row r="119" customFormat="false" ht="15" hidden="false" customHeight="false" outlineLevel="0" collapsed="false">
      <c r="A119" s="266" t="s">
        <v>1974</v>
      </c>
      <c r="B119" s="266" t="s">
        <v>2008</v>
      </c>
      <c r="C119" s="0" t="s">
        <v>2001</v>
      </c>
      <c r="D119" s="267" t="n">
        <v>-43327.6349156682</v>
      </c>
      <c r="E119" s="267" t="n">
        <v>-64658.6667079507</v>
      </c>
      <c r="F119" s="267" t="n">
        <v>-42803.820655381</v>
      </c>
    </row>
    <row r="120" customFormat="false" ht="15" hidden="false" customHeight="false" outlineLevel="0" collapsed="false">
      <c r="A120" s="266" t="s">
        <v>1974</v>
      </c>
      <c r="B120" s="266" t="s">
        <v>2008</v>
      </c>
      <c r="C120" s="0" t="s">
        <v>2002</v>
      </c>
      <c r="D120" s="267" t="n">
        <v>-40373.9429041199</v>
      </c>
      <c r="E120" s="267" t="n">
        <v>1019.74296908323</v>
      </c>
      <c r="F120" s="267" t="n">
        <v>-30504.4672462184</v>
      </c>
    </row>
    <row r="121" customFormat="false" ht="15" hidden="false" customHeight="false" outlineLevel="0" collapsed="false">
      <c r="A121" s="266" t="s">
        <v>1974</v>
      </c>
      <c r="B121" s="266" t="s">
        <v>2008</v>
      </c>
      <c r="C121" s="0" t="s">
        <v>2007</v>
      </c>
      <c r="D121" s="267" t="n">
        <v>-6.40284270048142E-010</v>
      </c>
      <c r="E121" s="267" t="n">
        <v>-2.3283064365387E-009</v>
      </c>
      <c r="F121" s="267" t="n">
        <v>-1.10594555735588E-009</v>
      </c>
    </row>
    <row r="122" customFormat="false" ht="15" hidden="false" customHeight="false" outlineLevel="0" collapsed="false">
      <c r="A122" s="266" t="s">
        <v>1974</v>
      </c>
      <c r="B122" s="266" t="s">
        <v>2009</v>
      </c>
      <c r="C122" s="0" t="s">
        <v>1976</v>
      </c>
      <c r="D122" s="267" t="n">
        <v>-9906.31</v>
      </c>
      <c r="E122" s="267" t="n">
        <v>-8947.62</v>
      </c>
      <c r="F122" s="267" t="n">
        <v>-9906.31</v>
      </c>
    </row>
    <row r="123" customFormat="false" ht="15" hidden="false" customHeight="false" outlineLevel="0" collapsed="false">
      <c r="A123" s="266" t="s">
        <v>1974</v>
      </c>
      <c r="B123" s="266" t="s">
        <v>2009</v>
      </c>
      <c r="C123" s="0" t="s">
        <v>1977</v>
      </c>
      <c r="D123" s="267" t="n">
        <v>-9906.31</v>
      </c>
      <c r="E123" s="267" t="n">
        <v>-8947.62</v>
      </c>
      <c r="F123" s="267" t="n">
        <v>-9906.31</v>
      </c>
    </row>
    <row r="124" customFormat="false" ht="15" hidden="false" customHeight="false" outlineLevel="0" collapsed="false">
      <c r="A124" s="266" t="s">
        <v>1974</v>
      </c>
      <c r="B124" s="266" t="s">
        <v>2009</v>
      </c>
      <c r="C124" s="0" t="s">
        <v>1978</v>
      </c>
      <c r="D124" s="267" t="n">
        <v>-9906.31</v>
      </c>
      <c r="E124" s="267" t="n">
        <v>-8947.62</v>
      </c>
      <c r="F124" s="267" t="n">
        <v>-9906.31</v>
      </c>
    </row>
    <row r="125" customFormat="false" ht="15" hidden="false" customHeight="false" outlineLevel="0" collapsed="false">
      <c r="A125" s="266" t="s">
        <v>1974</v>
      </c>
      <c r="B125" s="266" t="s">
        <v>2009</v>
      </c>
      <c r="C125" s="0" t="s">
        <v>1979</v>
      </c>
      <c r="D125" s="267" t="n">
        <v>-9335.87</v>
      </c>
      <c r="E125" s="267" t="n">
        <v>-8432.39</v>
      </c>
      <c r="F125" s="267" t="n">
        <v>-9335.87</v>
      </c>
    </row>
    <row r="126" customFormat="false" ht="15" hidden="false" customHeight="false" outlineLevel="0" collapsed="false">
      <c r="A126" s="266" t="s">
        <v>1974</v>
      </c>
      <c r="B126" s="266" t="s">
        <v>2009</v>
      </c>
      <c r="C126" s="0" t="s">
        <v>1980</v>
      </c>
      <c r="D126" s="267" t="n">
        <v>-570.32</v>
      </c>
      <c r="E126" s="267" t="n">
        <v>-515.12</v>
      </c>
      <c r="F126" s="267" t="n">
        <v>-570.32</v>
      </c>
    </row>
    <row r="127" customFormat="false" ht="15" hidden="false" customHeight="false" outlineLevel="0" collapsed="false">
      <c r="A127" s="266" t="s">
        <v>1974</v>
      </c>
      <c r="B127" s="266" t="s">
        <v>2009</v>
      </c>
      <c r="C127" s="0" t="s">
        <v>1981</v>
      </c>
      <c r="D127" s="267" t="n">
        <v>-80136.08</v>
      </c>
      <c r="E127" s="267" t="n">
        <v>-72380.97</v>
      </c>
      <c r="F127" s="267" t="n">
        <v>-80136.08</v>
      </c>
    </row>
    <row r="128" customFormat="false" ht="15" hidden="false" customHeight="false" outlineLevel="0" collapsed="false">
      <c r="A128" s="266" t="s">
        <v>1974</v>
      </c>
      <c r="B128" s="266" t="s">
        <v>2009</v>
      </c>
      <c r="C128" s="0" t="s">
        <v>1983</v>
      </c>
      <c r="D128" s="267" t="n">
        <v>-9936.3</v>
      </c>
      <c r="E128" s="267" t="n">
        <v>-8974.71</v>
      </c>
      <c r="F128" s="267" t="n">
        <v>-9936.3</v>
      </c>
    </row>
    <row r="129" customFormat="false" ht="15" hidden="false" customHeight="false" outlineLevel="0" collapsed="false">
      <c r="A129" s="266" t="s">
        <v>1974</v>
      </c>
      <c r="B129" s="266" t="s">
        <v>2009</v>
      </c>
      <c r="C129" s="0" t="s">
        <v>1984</v>
      </c>
      <c r="D129" s="267" t="n">
        <v>-26030.49</v>
      </c>
      <c r="E129" s="267" t="n">
        <v>-17895.15</v>
      </c>
      <c r="F129" s="267" t="n">
        <v>-19812.49</v>
      </c>
    </row>
    <row r="130" customFormat="false" ht="15" hidden="false" customHeight="false" outlineLevel="0" collapsed="false">
      <c r="A130" s="266" t="s">
        <v>1974</v>
      </c>
      <c r="B130" s="266" t="s">
        <v>2009</v>
      </c>
      <c r="C130" s="0" t="s">
        <v>1985</v>
      </c>
      <c r="D130" s="267" t="n">
        <v>-570.32</v>
      </c>
      <c r="E130" s="267" t="n">
        <v>-515.12</v>
      </c>
      <c r="F130" s="267" t="n">
        <v>-570.32</v>
      </c>
    </row>
    <row r="131" customFormat="false" ht="15" hidden="false" customHeight="false" outlineLevel="0" collapsed="false">
      <c r="A131" s="266" t="s">
        <v>1974</v>
      </c>
      <c r="B131" s="266" t="s">
        <v>2009</v>
      </c>
      <c r="C131" s="0" t="s">
        <v>1987</v>
      </c>
      <c r="D131" s="267" t="n">
        <v>-80522.77</v>
      </c>
      <c r="E131" s="267" t="n">
        <v>-72730.24</v>
      </c>
      <c r="F131" s="267" t="n">
        <v>-80522.77</v>
      </c>
    </row>
    <row r="132" customFormat="false" ht="15" hidden="false" customHeight="false" outlineLevel="0" collapsed="false">
      <c r="A132" s="266" t="s">
        <v>1974</v>
      </c>
      <c r="B132" s="266" t="s">
        <v>2009</v>
      </c>
      <c r="C132" s="0" t="s">
        <v>1989</v>
      </c>
      <c r="D132" s="267" t="n">
        <v>-386711.55</v>
      </c>
      <c r="E132" s="267" t="n">
        <v>-349287.85</v>
      </c>
      <c r="F132" s="267" t="n">
        <v>-386711.55</v>
      </c>
    </row>
    <row r="133" customFormat="false" ht="15" hidden="false" customHeight="false" outlineLevel="0" collapsed="false">
      <c r="A133" s="266" t="s">
        <v>1974</v>
      </c>
      <c r="B133" s="266" t="s">
        <v>2009</v>
      </c>
      <c r="C133" s="0" t="s">
        <v>1990</v>
      </c>
      <c r="D133" s="267" t="n">
        <v>-32185.2</v>
      </c>
      <c r="E133" s="267" t="n">
        <v>-29070.5</v>
      </c>
      <c r="F133" s="267" t="n">
        <v>-32185.2</v>
      </c>
    </row>
    <row r="134" customFormat="false" ht="15" hidden="false" customHeight="false" outlineLevel="0" collapsed="false">
      <c r="A134" s="266" t="s">
        <v>1974</v>
      </c>
      <c r="B134" s="266" t="s">
        <v>2009</v>
      </c>
      <c r="C134" s="0" t="s">
        <v>1996</v>
      </c>
      <c r="D134" s="267" t="n">
        <v>-23381.16</v>
      </c>
      <c r="E134" s="267" t="n">
        <v>-21118.45</v>
      </c>
      <c r="F134" s="267" t="n">
        <v>-23381.16</v>
      </c>
    </row>
    <row r="135" customFormat="false" ht="15" hidden="false" customHeight="false" outlineLevel="0" collapsed="false">
      <c r="A135" s="266" t="s">
        <v>1974</v>
      </c>
      <c r="B135" s="266" t="s">
        <v>2009</v>
      </c>
      <c r="C135" s="0" t="s">
        <v>1997</v>
      </c>
      <c r="D135" s="267" t="n">
        <v>-95763.24</v>
      </c>
      <c r="E135" s="267" t="n">
        <v>-86427.69</v>
      </c>
      <c r="F135" s="267" t="n">
        <v>-95763.24</v>
      </c>
    </row>
    <row r="136" customFormat="false" ht="15" hidden="false" customHeight="false" outlineLevel="0" collapsed="false">
      <c r="A136" s="266" t="s">
        <v>1974</v>
      </c>
      <c r="B136" s="266" t="s">
        <v>2009</v>
      </c>
      <c r="C136" s="0" t="s">
        <v>1998</v>
      </c>
      <c r="D136" s="267" t="n">
        <v>-27028.88</v>
      </c>
      <c r="E136" s="267" t="n">
        <v>-24332.95</v>
      </c>
      <c r="F136" s="267" t="n">
        <v>-26977.77</v>
      </c>
    </row>
    <row r="137" customFormat="false" ht="15" hidden="false" customHeight="false" outlineLevel="0" collapsed="false">
      <c r="A137" s="266" t="s">
        <v>1974</v>
      </c>
      <c r="B137" s="266" t="s">
        <v>2009</v>
      </c>
      <c r="C137" s="0" t="s">
        <v>2000</v>
      </c>
      <c r="D137" s="267" t="n">
        <v>-1140.63</v>
      </c>
      <c r="E137" s="267" t="n">
        <v>-1030.25</v>
      </c>
      <c r="F137" s="267" t="n">
        <v>-1140.63</v>
      </c>
    </row>
    <row r="138" customFormat="false" ht="15" hidden="false" customHeight="false" outlineLevel="0" collapsed="false">
      <c r="A138" s="266" t="s">
        <v>1974</v>
      </c>
      <c r="B138" s="266" t="s">
        <v>2009</v>
      </c>
      <c r="C138" s="0" t="s">
        <v>2001</v>
      </c>
      <c r="D138" s="267" t="n">
        <v>-90289.5</v>
      </c>
      <c r="E138" s="267" t="n">
        <v>-81551.82</v>
      </c>
      <c r="F138" s="267" t="n">
        <v>-90289.5</v>
      </c>
    </row>
    <row r="139" customFormat="false" ht="15" hidden="false" customHeight="false" outlineLevel="0" collapsed="false">
      <c r="A139" s="266" t="s">
        <v>1974</v>
      </c>
      <c r="B139" s="266" t="s">
        <v>2009</v>
      </c>
      <c r="C139" s="0" t="s">
        <v>2002</v>
      </c>
      <c r="D139" s="267" t="n">
        <v>-28578.04</v>
      </c>
      <c r="E139" s="267" t="n">
        <v>-25812.42</v>
      </c>
      <c r="F139" s="267" t="n">
        <v>-28578.04</v>
      </c>
    </row>
    <row r="140" customFormat="false" ht="15" hidden="false" customHeight="false" outlineLevel="0" collapsed="false">
      <c r="A140" s="266" t="s">
        <v>1974</v>
      </c>
      <c r="B140" s="266" t="s">
        <v>2010</v>
      </c>
      <c r="C140" s="0" t="s">
        <v>1976</v>
      </c>
      <c r="D140" s="267"/>
      <c r="E140" s="267" t="n">
        <v>-2790.52</v>
      </c>
      <c r="F140" s="267" t="n">
        <v>-1395.3</v>
      </c>
    </row>
    <row r="141" customFormat="false" ht="15" hidden="false" customHeight="false" outlineLevel="0" collapsed="false">
      <c r="A141" s="266" t="s">
        <v>1974</v>
      </c>
      <c r="B141" s="266" t="s">
        <v>2010</v>
      </c>
      <c r="C141" s="0" t="s">
        <v>1977</v>
      </c>
      <c r="D141" s="267"/>
      <c r="E141" s="267" t="n">
        <v>-2091.52</v>
      </c>
      <c r="F141" s="267" t="n">
        <v>-1045.76</v>
      </c>
    </row>
    <row r="142" customFormat="false" ht="15" hidden="false" customHeight="false" outlineLevel="0" collapsed="false">
      <c r="A142" s="266" t="s">
        <v>1974</v>
      </c>
      <c r="B142" s="266" t="s">
        <v>2010</v>
      </c>
      <c r="C142" s="0" t="s">
        <v>1978</v>
      </c>
      <c r="D142" s="267"/>
      <c r="E142" s="267" t="n">
        <v>-2091.52</v>
      </c>
      <c r="F142" s="267" t="n">
        <v>-1045.76</v>
      </c>
    </row>
    <row r="143" customFormat="false" ht="15" hidden="false" customHeight="false" outlineLevel="0" collapsed="false">
      <c r="A143" s="266" t="s">
        <v>1974</v>
      </c>
      <c r="B143" s="266" t="s">
        <v>2010</v>
      </c>
      <c r="C143" s="0" t="s">
        <v>1979</v>
      </c>
      <c r="D143" s="267"/>
      <c r="E143" s="267" t="n">
        <v>-1625.52</v>
      </c>
      <c r="F143" s="267" t="n">
        <v>-812.76</v>
      </c>
    </row>
    <row r="144" customFormat="false" ht="15" hidden="false" customHeight="false" outlineLevel="0" collapsed="false">
      <c r="A144" s="266" t="s">
        <v>1974</v>
      </c>
      <c r="B144" s="266" t="s">
        <v>2010</v>
      </c>
      <c r="C144" s="0" t="s">
        <v>1980</v>
      </c>
      <c r="D144" s="267"/>
      <c r="E144" s="267" t="n">
        <v>-5120.52</v>
      </c>
      <c r="F144" s="267" t="n">
        <v>-2560.26</v>
      </c>
    </row>
    <row r="145" customFormat="false" ht="15" hidden="false" customHeight="false" outlineLevel="0" collapsed="false">
      <c r="A145" s="266" t="s">
        <v>1974</v>
      </c>
      <c r="B145" s="266" t="s">
        <v>2010</v>
      </c>
      <c r="C145" s="0" t="s">
        <v>1981</v>
      </c>
      <c r="D145" s="267"/>
      <c r="E145" s="267" t="n">
        <v>-12094.09</v>
      </c>
      <c r="F145" s="267" t="n">
        <v>12094.09</v>
      </c>
    </row>
    <row r="146" customFormat="false" ht="15" hidden="false" customHeight="false" outlineLevel="0" collapsed="false">
      <c r="A146" s="266" t="s">
        <v>1974</v>
      </c>
      <c r="B146" s="266" t="s">
        <v>2010</v>
      </c>
      <c r="C146" s="0" t="s">
        <v>1983</v>
      </c>
      <c r="D146" s="267"/>
      <c r="E146" s="267" t="n">
        <v>-2790.52</v>
      </c>
      <c r="F146" s="267" t="n">
        <v>-1395.26</v>
      </c>
    </row>
    <row r="147" customFormat="false" ht="15" hidden="false" customHeight="false" outlineLevel="0" collapsed="false">
      <c r="A147" s="266" t="s">
        <v>1974</v>
      </c>
      <c r="B147" s="266" t="s">
        <v>2010</v>
      </c>
      <c r="C147" s="0" t="s">
        <v>1984</v>
      </c>
      <c r="D147" s="267"/>
      <c r="E147" s="267" t="n">
        <v>-4760.07</v>
      </c>
      <c r="F147" s="267" t="n">
        <v>-3191.21</v>
      </c>
    </row>
    <row r="148" customFormat="false" ht="15" hidden="false" customHeight="false" outlineLevel="0" collapsed="false">
      <c r="A148" s="266" t="s">
        <v>1974</v>
      </c>
      <c r="B148" s="266" t="s">
        <v>2010</v>
      </c>
      <c r="C148" s="0" t="s">
        <v>1985</v>
      </c>
      <c r="D148" s="267"/>
      <c r="E148" s="267" t="n">
        <v>-5120.52</v>
      </c>
      <c r="F148" s="267" t="n">
        <v>-2560.26</v>
      </c>
    </row>
    <row r="149" customFormat="false" ht="15" hidden="false" customHeight="false" outlineLevel="0" collapsed="false">
      <c r="A149" s="266" t="s">
        <v>1974</v>
      </c>
      <c r="B149" s="266" t="s">
        <v>2010</v>
      </c>
      <c r="C149" s="0" t="s">
        <v>1987</v>
      </c>
      <c r="D149" s="267"/>
      <c r="E149" s="267" t="n">
        <v>-11628.09</v>
      </c>
      <c r="F149" s="267" t="n">
        <v>-5814.04</v>
      </c>
    </row>
    <row r="150" customFormat="false" ht="15" hidden="false" customHeight="false" outlineLevel="0" collapsed="false">
      <c r="A150" s="266" t="s">
        <v>1974</v>
      </c>
      <c r="B150" s="266" t="s">
        <v>2010</v>
      </c>
      <c r="C150" s="0" t="s">
        <v>1989</v>
      </c>
      <c r="D150" s="267"/>
      <c r="E150" s="267" t="n">
        <v>-35688.81</v>
      </c>
      <c r="F150" s="267" t="n">
        <v>-17844.4</v>
      </c>
    </row>
    <row r="151" customFormat="false" ht="15" hidden="false" customHeight="false" outlineLevel="0" collapsed="false">
      <c r="A151" s="266" t="s">
        <v>1974</v>
      </c>
      <c r="B151" s="266" t="s">
        <v>2010</v>
      </c>
      <c r="C151" s="0" t="s">
        <v>1990</v>
      </c>
      <c r="D151" s="267"/>
      <c r="E151" s="267" t="n">
        <v>-2790.52</v>
      </c>
      <c r="F151" s="267" t="n">
        <v>-1395.26</v>
      </c>
    </row>
    <row r="152" customFormat="false" ht="15" hidden="false" customHeight="false" outlineLevel="0" collapsed="false">
      <c r="A152" s="266" t="s">
        <v>1974</v>
      </c>
      <c r="B152" s="266" t="s">
        <v>2010</v>
      </c>
      <c r="C152" s="0" t="s">
        <v>1996</v>
      </c>
      <c r="D152" s="267"/>
      <c r="E152" s="267" t="n">
        <v>-2091.52</v>
      </c>
      <c r="F152" s="267" t="n">
        <v>-1045.76</v>
      </c>
    </row>
    <row r="153" customFormat="false" ht="15" hidden="false" customHeight="false" outlineLevel="0" collapsed="false">
      <c r="A153" s="266" t="s">
        <v>1974</v>
      </c>
      <c r="B153" s="266" t="s">
        <v>2010</v>
      </c>
      <c r="C153" s="0" t="s">
        <v>1997</v>
      </c>
      <c r="D153" s="267"/>
      <c r="E153" s="267" t="n">
        <v>-4416.04</v>
      </c>
      <c r="F153" s="267" t="n">
        <v>-2208.02</v>
      </c>
    </row>
    <row r="154" customFormat="false" ht="15" hidden="false" customHeight="false" outlineLevel="0" collapsed="false">
      <c r="A154" s="266" t="s">
        <v>1974</v>
      </c>
      <c r="B154" s="266" t="s">
        <v>2010</v>
      </c>
      <c r="C154" s="0" t="s">
        <v>1998</v>
      </c>
      <c r="D154" s="267"/>
      <c r="E154" s="267" t="n">
        <v>-1625.52</v>
      </c>
      <c r="F154" s="267" t="n">
        <v>-812.76</v>
      </c>
    </row>
    <row r="155" customFormat="false" ht="15" hidden="false" customHeight="false" outlineLevel="0" collapsed="false">
      <c r="A155" s="266" t="s">
        <v>1974</v>
      </c>
      <c r="B155" s="266" t="s">
        <v>2010</v>
      </c>
      <c r="C155" s="0" t="s">
        <v>2001</v>
      </c>
      <c r="D155" s="267"/>
      <c r="E155" s="267" t="n">
        <v>-10463.09</v>
      </c>
      <c r="F155" s="267" t="n">
        <v>5088.31</v>
      </c>
    </row>
    <row r="156" customFormat="false" ht="15" hidden="false" customHeight="false" outlineLevel="0" collapsed="false">
      <c r="A156" s="266" t="s">
        <v>1974</v>
      </c>
      <c r="B156" s="266" t="s">
        <v>2010</v>
      </c>
      <c r="C156" s="0" t="s">
        <v>2002</v>
      </c>
      <c r="D156" s="267"/>
      <c r="E156" s="267" t="n">
        <v>-6041.57</v>
      </c>
      <c r="F156" s="267" t="n">
        <v>-3020.79</v>
      </c>
    </row>
    <row r="157" customFormat="false" ht="15" hidden="false" customHeight="false" outlineLevel="0" collapsed="false">
      <c r="A157" s="266" t="s">
        <v>1974</v>
      </c>
      <c r="B157" s="266" t="s">
        <v>2011</v>
      </c>
      <c r="C157" s="0" t="s">
        <v>2012</v>
      </c>
      <c r="D157" s="267"/>
      <c r="E157" s="267" t="n">
        <v>-15000</v>
      </c>
      <c r="F157" s="267"/>
    </row>
    <row r="158" customFormat="false" ht="15" hidden="false" customHeight="false" outlineLevel="0" collapsed="false">
      <c r="A158" s="266" t="s">
        <v>1974</v>
      </c>
      <c r="B158" s="266" t="s">
        <v>2013</v>
      </c>
      <c r="C158" s="0" t="s">
        <v>2001</v>
      </c>
      <c r="D158" s="267"/>
      <c r="E158" s="267" t="n">
        <v>-23556.1961456487</v>
      </c>
      <c r="F158" s="267"/>
    </row>
    <row r="159" customFormat="false" ht="15" hidden="false" customHeight="false" outlineLevel="0" collapsed="false">
      <c r="A159" s="266" t="s">
        <v>1974</v>
      </c>
      <c r="B159" s="266" t="s">
        <v>2013</v>
      </c>
      <c r="C159" s="0" t="s">
        <v>2002</v>
      </c>
      <c r="D159" s="267"/>
      <c r="E159" s="267" t="n">
        <v>-18826.245021964</v>
      </c>
      <c r="F159" s="267"/>
    </row>
    <row r="160" customFormat="false" ht="15" hidden="false" customHeight="false" outlineLevel="0" collapsed="false">
      <c r="A160" s="266" t="s">
        <v>1974</v>
      </c>
      <c r="B160" s="266" t="s">
        <v>2013</v>
      </c>
      <c r="C160" s="0" t="s">
        <v>2014</v>
      </c>
      <c r="D160" s="267"/>
      <c r="E160" s="267" t="n">
        <v>-2918650</v>
      </c>
      <c r="F160" s="267"/>
    </row>
    <row r="161" customFormat="false" ht="15" hidden="false" customHeight="false" outlineLevel="0" collapsed="false">
      <c r="A161" s="266" t="s">
        <v>1974</v>
      </c>
      <c r="B161" s="266" t="s">
        <v>2013</v>
      </c>
      <c r="C161" s="0" t="s">
        <v>2015</v>
      </c>
      <c r="D161" s="267"/>
      <c r="E161" s="267" t="n">
        <v>-19767.5588323874</v>
      </c>
      <c r="F161" s="267"/>
    </row>
    <row r="162" customFormat="false" ht="15" hidden="false" customHeight="false" outlineLevel="0" collapsed="false">
      <c r="A162" s="266" t="s">
        <v>1974</v>
      </c>
      <c r="B162" s="266" t="s">
        <v>2016</v>
      </c>
      <c r="C162" s="0" t="s">
        <v>2001</v>
      </c>
      <c r="D162" s="267"/>
      <c r="E162" s="267" t="n">
        <v>32202.3302839437</v>
      </c>
      <c r="F162" s="267"/>
    </row>
    <row r="163" customFormat="false" ht="15" hidden="false" customHeight="false" outlineLevel="0" collapsed="false">
      <c r="A163" s="266" t="s">
        <v>1974</v>
      </c>
      <c r="B163" s="266" t="s">
        <v>2016</v>
      </c>
      <c r="C163" s="0" t="s">
        <v>2002</v>
      </c>
      <c r="D163" s="267"/>
      <c r="E163" s="267" t="n">
        <v>25948.5315660648</v>
      </c>
      <c r="F163" s="267"/>
    </row>
    <row r="164" customFormat="false" ht="15" hidden="false" customHeight="false" outlineLevel="0" collapsed="false">
      <c r="A164" s="266" t="s">
        <v>1974</v>
      </c>
      <c r="B164" s="266" t="s">
        <v>2016</v>
      </c>
      <c r="C164" s="0" t="s">
        <v>2017</v>
      </c>
      <c r="D164" s="267"/>
      <c r="E164" s="267" t="n">
        <v>1747194.95</v>
      </c>
      <c r="F164" s="267"/>
    </row>
    <row r="165" customFormat="false" ht="15" hidden="false" customHeight="false" outlineLevel="0" collapsed="false">
      <c r="A165" s="266" t="s">
        <v>1974</v>
      </c>
      <c r="B165" s="266" t="s">
        <v>2016</v>
      </c>
      <c r="C165" s="0" t="s">
        <v>2018</v>
      </c>
      <c r="D165" s="267"/>
      <c r="E165" s="267" t="n">
        <v>27128.9381499915</v>
      </c>
      <c r="F165" s="267"/>
    </row>
    <row r="166" customFormat="false" ht="15" hidden="false" customHeight="false" outlineLevel="0" collapsed="false">
      <c r="A166" s="266" t="s">
        <v>1974</v>
      </c>
      <c r="B166" s="266" t="s">
        <v>2019</v>
      </c>
      <c r="C166" s="0" t="s">
        <v>2001</v>
      </c>
      <c r="D166" s="267" t="n">
        <v>-157361.109689777</v>
      </c>
      <c r="E166" s="267" t="n">
        <v>-157361.109689777</v>
      </c>
      <c r="F166" s="267" t="n">
        <v>-472083.333333323</v>
      </c>
    </row>
    <row r="167" customFormat="false" ht="15" hidden="false" customHeight="false" outlineLevel="0" collapsed="false">
      <c r="A167" s="266" t="s">
        <v>1974</v>
      </c>
      <c r="B167" s="266" t="s">
        <v>2019</v>
      </c>
      <c r="C167" s="0" t="s">
        <v>2002</v>
      </c>
      <c r="D167" s="267" t="n">
        <v>-125763.887752952</v>
      </c>
      <c r="E167" s="267" t="n">
        <v>-125763.887752952</v>
      </c>
      <c r="F167" s="267" t="n">
        <v>-377291.666666665</v>
      </c>
    </row>
    <row r="168" customFormat="false" ht="15" hidden="false" customHeight="false" outlineLevel="0" collapsed="false">
      <c r="A168" s="266" t="s">
        <v>1974</v>
      </c>
      <c r="B168" s="266" t="s">
        <v>2019</v>
      </c>
      <c r="C168" s="0" t="s">
        <v>2015</v>
      </c>
      <c r="D168" s="267" t="n">
        <v>-132052.092557271</v>
      </c>
      <c r="E168" s="267" t="n">
        <v>-132052.092557271</v>
      </c>
      <c r="F168" s="267" t="n">
        <v>418659.999999989</v>
      </c>
    </row>
    <row r="169" customFormat="false" ht="15" hidden="false" customHeight="false" outlineLevel="0" collapsed="false">
      <c r="A169" s="266" t="s">
        <v>1974</v>
      </c>
      <c r="B169" s="266" t="s">
        <v>2020</v>
      </c>
      <c r="C169" s="0" t="s">
        <v>2001</v>
      </c>
      <c r="D169" s="267" t="n">
        <v>-40396.5284857929</v>
      </c>
      <c r="E169" s="267" t="n">
        <v>-40396.5284857929</v>
      </c>
      <c r="F169" s="267" t="n">
        <v>-24102.015737398</v>
      </c>
    </row>
    <row r="170" customFormat="false" ht="15" hidden="false" customHeight="false" outlineLevel="0" collapsed="false">
      <c r="A170" s="266" t="s">
        <v>1974</v>
      </c>
      <c r="B170" s="266" t="s">
        <v>2020</v>
      </c>
      <c r="C170" s="0" t="s">
        <v>2002</v>
      </c>
      <c r="D170" s="267" t="n">
        <v>-32551.3894594047</v>
      </c>
      <c r="E170" s="267" t="n">
        <v>-32551.3894594047</v>
      </c>
      <c r="F170" s="267" t="n">
        <v>-19421.3248126176</v>
      </c>
    </row>
    <row r="171" customFormat="false" ht="15" hidden="false" customHeight="false" outlineLevel="0" collapsed="false">
      <c r="A171" s="266" t="s">
        <v>1974</v>
      </c>
      <c r="B171" s="266" t="s">
        <v>2020</v>
      </c>
      <c r="C171" s="0" t="s">
        <v>2018</v>
      </c>
      <c r="D171" s="267" t="n">
        <v>-34032.1620548024</v>
      </c>
      <c r="E171" s="267" t="n">
        <v>-34032.1620548024</v>
      </c>
      <c r="F171" s="267" t="n">
        <v>-42136.6594499844</v>
      </c>
    </row>
    <row r="172" customFormat="false" ht="15" hidden="false" customHeight="false" outlineLevel="0" collapsed="false">
      <c r="A172" s="266" t="s">
        <v>1974</v>
      </c>
      <c r="B172" s="266" t="s">
        <v>2021</v>
      </c>
      <c r="C172" s="0" t="s">
        <v>1976</v>
      </c>
      <c r="D172" s="267"/>
      <c r="E172" s="267"/>
      <c r="F172" s="267" t="n">
        <v>-2358.14129892823</v>
      </c>
    </row>
    <row r="173" customFormat="false" ht="15" hidden="false" customHeight="false" outlineLevel="0" collapsed="false">
      <c r="A173" s="266" t="s">
        <v>1974</v>
      </c>
      <c r="B173" s="266" t="s">
        <v>2021</v>
      </c>
      <c r="C173" s="0" t="s">
        <v>1987</v>
      </c>
      <c r="D173" s="267"/>
      <c r="E173" s="267"/>
      <c r="F173" s="267" t="n">
        <v>-56810.7207807632</v>
      </c>
    </row>
    <row r="174" customFormat="false" ht="15" hidden="false" customHeight="false" outlineLevel="0" collapsed="false">
      <c r="A174" s="266" t="s">
        <v>1974</v>
      </c>
      <c r="B174" s="266" t="s">
        <v>2021</v>
      </c>
      <c r="C174" s="0" t="s">
        <v>1988</v>
      </c>
      <c r="D174" s="267"/>
      <c r="E174" s="267" t="n">
        <v>-2324.8187985701</v>
      </c>
      <c r="F174" s="267" t="n">
        <v>-437.671488027393</v>
      </c>
    </row>
    <row r="175" customFormat="false" ht="15" hidden="false" customHeight="false" outlineLevel="0" collapsed="false">
      <c r="A175" s="266" t="s">
        <v>1974</v>
      </c>
      <c r="B175" s="266" t="s">
        <v>2021</v>
      </c>
      <c r="C175" s="0" t="s">
        <v>1989</v>
      </c>
      <c r="D175" s="267" t="n">
        <v>-1980.66510203484</v>
      </c>
      <c r="E175" s="267"/>
      <c r="F175" s="267"/>
    </row>
    <row r="176" customFormat="false" ht="15" hidden="false" customHeight="false" outlineLevel="0" collapsed="false">
      <c r="A176" s="266" t="s">
        <v>1974</v>
      </c>
      <c r="B176" s="266" t="s">
        <v>2021</v>
      </c>
      <c r="C176" s="0" t="s">
        <v>1990</v>
      </c>
      <c r="D176" s="267" t="n">
        <v>-515.956317656718</v>
      </c>
      <c r="E176" s="267"/>
      <c r="F176" s="267"/>
    </row>
    <row r="177" customFormat="false" ht="15" hidden="false" customHeight="false" outlineLevel="0" collapsed="false">
      <c r="A177" s="266" t="s">
        <v>1974</v>
      </c>
      <c r="B177" s="266" t="s">
        <v>2021</v>
      </c>
      <c r="C177" s="0" t="s">
        <v>1994</v>
      </c>
      <c r="D177" s="267"/>
      <c r="E177" s="267" t="n">
        <v>-789.831201429902</v>
      </c>
      <c r="F177" s="267"/>
    </row>
    <row r="178" customFormat="false" ht="15" hidden="false" customHeight="false" outlineLevel="0" collapsed="false">
      <c r="A178" s="266" t="s">
        <v>1974</v>
      </c>
      <c r="B178" s="266" t="s">
        <v>2021</v>
      </c>
      <c r="C178" s="0" t="s">
        <v>1996</v>
      </c>
      <c r="D178" s="267"/>
      <c r="E178" s="267"/>
      <c r="F178" s="267" t="n">
        <v>-45685.3464322811</v>
      </c>
    </row>
    <row r="179" customFormat="false" ht="15" hidden="false" customHeight="false" outlineLevel="0" collapsed="false">
      <c r="A179" s="266" t="s">
        <v>1974</v>
      </c>
      <c r="B179" s="266" t="s">
        <v>2021</v>
      </c>
      <c r="C179" s="0" t="s">
        <v>2001</v>
      </c>
      <c r="D179" s="267" t="n">
        <v>-3428.37858030843</v>
      </c>
      <c r="E179" s="267"/>
      <c r="F179" s="267"/>
    </row>
    <row r="180" customFormat="false" ht="15" hidden="false" customHeight="false" outlineLevel="0" collapsed="false">
      <c r="A180" s="266" t="s">
        <v>1974</v>
      </c>
      <c r="B180" s="266" t="s">
        <v>2021</v>
      </c>
      <c r="C180" s="0" t="s">
        <v>2022</v>
      </c>
      <c r="D180" s="267" t="n">
        <v>-9.09494701772928E-012</v>
      </c>
      <c r="E180" s="267" t="n">
        <v>-3.18323145620525E-012</v>
      </c>
      <c r="F180" s="267" t="n">
        <v>-1.16415321826935E-010</v>
      </c>
    </row>
    <row r="181" customFormat="false" ht="15" hidden="false" customHeight="false" outlineLevel="0" collapsed="false">
      <c r="A181" s="266" t="s">
        <v>1974</v>
      </c>
      <c r="B181" s="266" t="s">
        <v>2023</v>
      </c>
      <c r="C181" s="0" t="s">
        <v>1976</v>
      </c>
      <c r="D181" s="267"/>
      <c r="E181" s="267"/>
      <c r="F181" s="267" t="n">
        <v>-412.868701071765</v>
      </c>
    </row>
    <row r="182" customFormat="false" ht="15" hidden="false" customHeight="false" outlineLevel="0" collapsed="false">
      <c r="A182" s="266" t="s">
        <v>1974</v>
      </c>
      <c r="B182" s="266" t="s">
        <v>2023</v>
      </c>
      <c r="C182" s="0" t="s">
        <v>1987</v>
      </c>
      <c r="D182" s="267"/>
      <c r="E182" s="267"/>
      <c r="F182" s="267" t="n">
        <v>-9946.54921923673</v>
      </c>
    </row>
    <row r="183" customFormat="false" ht="15" hidden="false" customHeight="false" outlineLevel="0" collapsed="false">
      <c r="A183" s="266" t="s">
        <v>1974</v>
      </c>
      <c r="B183" s="266" t="s">
        <v>2023</v>
      </c>
      <c r="C183" s="0" t="s">
        <v>1988</v>
      </c>
      <c r="D183" s="267"/>
      <c r="E183" s="267" t="n">
        <v>-700.711201429903</v>
      </c>
      <c r="F183" s="267" t="n">
        <v>-76.6285119726052</v>
      </c>
    </row>
    <row r="184" customFormat="false" ht="15" hidden="false" customHeight="false" outlineLevel="0" collapsed="false">
      <c r="A184" s="266" t="s">
        <v>1974</v>
      </c>
      <c r="B184" s="266" t="s">
        <v>2023</v>
      </c>
      <c r="C184" s="0" t="s">
        <v>1989</v>
      </c>
      <c r="D184" s="267" t="n">
        <v>-189.344897965157</v>
      </c>
      <c r="E184" s="267"/>
      <c r="F184" s="267"/>
    </row>
    <row r="185" customFormat="false" ht="15" hidden="false" customHeight="false" outlineLevel="0" collapsed="false">
      <c r="A185" s="266" t="s">
        <v>1974</v>
      </c>
      <c r="B185" s="266" t="s">
        <v>2023</v>
      </c>
      <c r="C185" s="0" t="s">
        <v>1990</v>
      </c>
      <c r="D185" s="267" t="n">
        <v>-49.3236823432813</v>
      </c>
      <c r="E185" s="267"/>
      <c r="F185" s="267"/>
    </row>
    <row r="186" customFormat="false" ht="15" hidden="false" customHeight="false" outlineLevel="0" collapsed="false">
      <c r="A186" s="266" t="s">
        <v>1974</v>
      </c>
      <c r="B186" s="266" t="s">
        <v>2023</v>
      </c>
      <c r="C186" s="0" t="s">
        <v>1994</v>
      </c>
      <c r="D186" s="267"/>
      <c r="E186" s="267" t="n">
        <v>-238.058798570096</v>
      </c>
      <c r="F186" s="267"/>
    </row>
    <row r="187" customFormat="false" ht="15" hidden="false" customHeight="false" outlineLevel="0" collapsed="false">
      <c r="A187" s="266" t="s">
        <v>1974</v>
      </c>
      <c r="B187" s="266" t="s">
        <v>2023</v>
      </c>
      <c r="C187" s="0" t="s">
        <v>1996</v>
      </c>
      <c r="D187" s="267"/>
      <c r="E187" s="267"/>
      <c r="F187" s="267" t="n">
        <v>-7998.69356771889</v>
      </c>
    </row>
    <row r="188" customFormat="false" ht="15" hidden="false" customHeight="false" outlineLevel="0" collapsed="false">
      <c r="A188" s="266" t="s">
        <v>1974</v>
      </c>
      <c r="B188" s="266" t="s">
        <v>2023</v>
      </c>
      <c r="C188" s="0" t="s">
        <v>2001</v>
      </c>
      <c r="D188" s="267" t="n">
        <v>-327.741419691561</v>
      </c>
      <c r="E188" s="267"/>
      <c r="F188" s="267"/>
    </row>
    <row r="189" customFormat="false" ht="15" hidden="false" customHeight="false" outlineLevel="0" collapsed="false">
      <c r="A189" s="268" t="s">
        <v>1974</v>
      </c>
      <c r="B189" s="266" t="s">
        <v>2023</v>
      </c>
      <c r="C189" s="0" t="s">
        <v>2022</v>
      </c>
      <c r="D189" s="267" t="n">
        <v>-7.95807864051312E-013</v>
      </c>
      <c r="E189" s="267" t="n">
        <v>-7.95807864051312E-013</v>
      </c>
      <c r="F189" s="267" t="n">
        <v>-1.81898940354586E-011</v>
      </c>
    </row>
    <row r="190" customFormat="false" ht="15" hidden="false" customHeight="false" outlineLevel="0" collapsed="false">
      <c r="A190" s="266" t="s">
        <v>1974</v>
      </c>
      <c r="B190" s="266" t="s">
        <v>2024</v>
      </c>
      <c r="C190" s="0" t="s">
        <v>2025</v>
      </c>
      <c r="D190" s="269" t="n">
        <v>-926384.08</v>
      </c>
      <c r="E190" s="269" t="n">
        <v>-533649.86</v>
      </c>
      <c r="F190" s="269" t="n">
        <v>-603640.9</v>
      </c>
    </row>
    <row r="191" customFormat="false" ht="15" hidden="false" customHeight="false" outlineLevel="0" collapsed="false">
      <c r="A191" s="266" t="s">
        <v>1974</v>
      </c>
      <c r="B191" s="266" t="s">
        <v>2024</v>
      </c>
      <c r="C191" s="0" t="s">
        <v>1981</v>
      </c>
      <c r="D191" s="269" t="n">
        <v>-97342.01</v>
      </c>
      <c r="E191" s="269" t="n">
        <v>-78433.7</v>
      </c>
      <c r="F191" s="269" t="n">
        <v>-84330.06</v>
      </c>
    </row>
    <row r="192" customFormat="false" ht="15" hidden="false" customHeight="false" outlineLevel="0" collapsed="false">
      <c r="A192" s="266" t="s">
        <v>1974</v>
      </c>
      <c r="B192" s="266" t="s">
        <v>2024</v>
      </c>
      <c r="C192" s="0" t="s">
        <v>2026</v>
      </c>
      <c r="D192" s="269" t="n">
        <v>-951586.69</v>
      </c>
      <c r="E192" s="269" t="n">
        <v>-921844.45</v>
      </c>
      <c r="F192" s="269" t="n">
        <v>-1878572.49</v>
      </c>
    </row>
    <row r="193" customFormat="false" ht="15" hidden="false" customHeight="false" outlineLevel="0" collapsed="false">
      <c r="A193" s="266" t="s">
        <v>1974</v>
      </c>
      <c r="B193" s="266" t="s">
        <v>2024</v>
      </c>
      <c r="C193" s="0" t="s">
        <v>2001</v>
      </c>
      <c r="D193" s="269" t="n">
        <v>-4673693.54</v>
      </c>
      <c r="E193" s="269" t="n">
        <v>-4651113.54</v>
      </c>
      <c r="F193" s="269" t="n">
        <v>-4170601.78</v>
      </c>
    </row>
    <row r="194" customFormat="false" ht="15" hidden="false" customHeight="false" outlineLevel="0" collapsed="false">
      <c r="A194" s="266" t="s">
        <v>1974</v>
      </c>
      <c r="B194" s="266" t="s">
        <v>2027</v>
      </c>
      <c r="C194" s="0" t="s">
        <v>1976</v>
      </c>
      <c r="D194" s="269"/>
      <c r="E194" s="269"/>
      <c r="F194" s="269" t="n">
        <v>-4750</v>
      </c>
    </row>
    <row r="195" customFormat="false" ht="15" hidden="false" customHeight="false" outlineLevel="0" collapsed="false">
      <c r="A195" s="266" t="s">
        <v>1974</v>
      </c>
      <c r="B195" s="266" t="s">
        <v>2027</v>
      </c>
      <c r="C195" s="0" t="s">
        <v>1980</v>
      </c>
      <c r="D195" s="269"/>
      <c r="E195" s="269"/>
      <c r="F195" s="269" t="n">
        <v>-4750</v>
      </c>
    </row>
    <row r="196" customFormat="false" ht="15" hidden="false" customHeight="false" outlineLevel="0" collapsed="false">
      <c r="A196" s="266" t="s">
        <v>2028</v>
      </c>
      <c r="B196" s="266" t="s">
        <v>2029</v>
      </c>
      <c r="C196" s="0" t="s">
        <v>1998</v>
      </c>
      <c r="D196" s="269" t="n">
        <v>-100000</v>
      </c>
      <c r="E196" s="269" t="n">
        <v>-100000</v>
      </c>
      <c r="F196" s="269"/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O76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16.14"/>
    <col collapsed="false" customWidth="true" hidden="false" outlineLevel="0" max="5" min="5" style="0" width="22.86"/>
    <col collapsed="false" customWidth="true" hidden="false" outlineLevel="0" max="6" min="6" style="0" width="69.57"/>
    <col collapsed="false" customWidth="true" hidden="false" outlineLevel="0" max="10" min="10" style="0" width="35.71"/>
    <col collapsed="false" customWidth="true" hidden="false" outlineLevel="0" max="11" min="11" style="0" width="13.71"/>
    <col collapsed="false" customWidth="true" hidden="false" outlineLevel="0" max="15" min="15" style="0" width="19"/>
  </cols>
  <sheetData>
    <row r="1" customFormat="false" ht="15" hidden="false" customHeight="false" outlineLevel="0" collapsed="false">
      <c r="A1" s="185" t="s">
        <v>1</v>
      </c>
      <c r="O1" s="263" t="s">
        <v>1705</v>
      </c>
    </row>
    <row r="3" customFormat="false" ht="15" hidden="false" customHeight="false" outlineLevel="0" collapsed="false">
      <c r="A3" s="270" t="s">
        <v>2030</v>
      </c>
      <c r="B3" s="266" t="s">
        <v>2031</v>
      </c>
      <c r="C3" s="266" t="s">
        <v>2032</v>
      </c>
      <c r="D3" s="266" t="s">
        <v>2033</v>
      </c>
      <c r="E3" s="266" t="s">
        <v>2034</v>
      </c>
      <c r="F3" s="266" t="s">
        <v>2035</v>
      </c>
      <c r="G3" s="266" t="s">
        <v>2036</v>
      </c>
      <c r="H3" s="266" t="s">
        <v>2037</v>
      </c>
      <c r="I3" s="266" t="s">
        <v>2038</v>
      </c>
      <c r="J3" s="266" t="s">
        <v>2039</v>
      </c>
      <c r="K3" s="271" t="s">
        <v>2040</v>
      </c>
    </row>
    <row r="4" customFormat="false" ht="15" hidden="false" customHeight="false" outlineLevel="0" collapsed="false">
      <c r="A4" s="0" t="s">
        <v>2041</v>
      </c>
      <c r="B4" s="0" t="s">
        <v>2042</v>
      </c>
      <c r="C4" s="0" t="s">
        <v>2043</v>
      </c>
      <c r="D4" s="0" t="s">
        <v>2044</v>
      </c>
      <c r="E4" s="0" t="s">
        <v>2045</v>
      </c>
      <c r="F4" s="0" t="s">
        <v>2046</v>
      </c>
      <c r="G4" s="0" t="s">
        <v>2047</v>
      </c>
      <c r="H4" s="0" t="s">
        <v>2048</v>
      </c>
      <c r="J4" s="0" t="s">
        <v>2049</v>
      </c>
      <c r="K4" s="272" t="n">
        <v>38027.816</v>
      </c>
    </row>
    <row r="5" customFormat="false" ht="15" hidden="false" customHeight="false" outlineLevel="0" collapsed="false">
      <c r="A5" s="0" t="s">
        <v>2041</v>
      </c>
      <c r="B5" s="0" t="s">
        <v>2042</v>
      </c>
      <c r="C5" s="0" t="s">
        <v>2050</v>
      </c>
      <c r="D5" s="0" t="s">
        <v>2044</v>
      </c>
      <c r="E5" s="0" t="s">
        <v>2045</v>
      </c>
      <c r="F5" s="0" t="s">
        <v>2046</v>
      </c>
      <c r="G5" s="0" t="s">
        <v>2047</v>
      </c>
      <c r="H5" s="0" t="s">
        <v>2048</v>
      </c>
      <c r="J5" s="0" t="s">
        <v>2049</v>
      </c>
      <c r="K5" s="272" t="n">
        <v>125919.92</v>
      </c>
    </row>
    <row r="6" customFormat="false" ht="15" hidden="false" customHeight="false" outlineLevel="0" collapsed="false">
      <c r="A6" s="0" t="s">
        <v>2041</v>
      </c>
      <c r="B6" s="0" t="s">
        <v>2042</v>
      </c>
      <c r="C6" s="0" t="s">
        <v>2043</v>
      </c>
      <c r="D6" s="0" t="s">
        <v>2044</v>
      </c>
      <c r="E6" s="0" t="s">
        <v>2045</v>
      </c>
      <c r="F6" s="0" t="s">
        <v>2051</v>
      </c>
      <c r="G6" s="0" t="s">
        <v>2047</v>
      </c>
      <c r="H6" s="0" t="s">
        <v>2052</v>
      </c>
      <c r="J6" s="0" t="s">
        <v>2049</v>
      </c>
      <c r="K6" s="272" t="n">
        <v>9506.954</v>
      </c>
    </row>
    <row r="7" customFormat="false" ht="15" hidden="false" customHeight="false" outlineLevel="0" collapsed="false">
      <c r="A7" s="0" t="s">
        <v>2041</v>
      </c>
      <c r="B7" s="0" t="s">
        <v>2042</v>
      </c>
      <c r="C7" s="0" t="s">
        <v>2050</v>
      </c>
      <c r="D7" s="0" t="s">
        <v>2044</v>
      </c>
      <c r="E7" s="0" t="s">
        <v>2045</v>
      </c>
      <c r="F7" s="0" t="s">
        <v>2051</v>
      </c>
      <c r="G7" s="0" t="s">
        <v>2047</v>
      </c>
      <c r="H7" s="0" t="s">
        <v>2052</v>
      </c>
      <c r="J7" s="0" t="s">
        <v>2049</v>
      </c>
      <c r="K7" s="272" t="n">
        <v>31479.98</v>
      </c>
    </row>
    <row r="8" customFormat="false" ht="15" hidden="false" customHeight="false" outlineLevel="0" collapsed="false">
      <c r="A8" s="0" t="s">
        <v>2041</v>
      </c>
      <c r="B8" s="0" t="s">
        <v>2042</v>
      </c>
      <c r="C8" s="0" t="s">
        <v>2043</v>
      </c>
      <c r="D8" s="0" t="s">
        <v>2044</v>
      </c>
      <c r="E8" s="0" t="s">
        <v>2045</v>
      </c>
      <c r="F8" s="0" t="s">
        <v>2046</v>
      </c>
      <c r="G8" s="0" t="s">
        <v>2053</v>
      </c>
      <c r="H8" s="0" t="s">
        <v>2048</v>
      </c>
      <c r="J8" s="0" t="s">
        <v>2049</v>
      </c>
      <c r="K8" s="272" t="n">
        <v>134905.6745</v>
      </c>
    </row>
    <row r="9" customFormat="false" ht="15" hidden="false" customHeight="false" outlineLevel="0" collapsed="false">
      <c r="A9" s="0" t="s">
        <v>2041</v>
      </c>
      <c r="B9" s="0" t="s">
        <v>2042</v>
      </c>
      <c r="C9" s="0" t="s">
        <v>2050</v>
      </c>
      <c r="D9" s="0" t="s">
        <v>2044</v>
      </c>
      <c r="E9" s="0" t="s">
        <v>2045</v>
      </c>
      <c r="F9" s="0" t="s">
        <v>2046</v>
      </c>
      <c r="G9" s="0" t="s">
        <v>2053</v>
      </c>
      <c r="H9" s="0" t="s">
        <v>2048</v>
      </c>
      <c r="J9" s="0" t="s">
        <v>2049</v>
      </c>
      <c r="K9" s="272" t="n">
        <v>446707.554</v>
      </c>
    </row>
    <row r="10" customFormat="false" ht="15" hidden="false" customHeight="false" outlineLevel="0" collapsed="false">
      <c r="A10" s="0" t="s">
        <v>2041</v>
      </c>
      <c r="B10" s="0" t="s">
        <v>2042</v>
      </c>
      <c r="C10" s="0" t="s">
        <v>2043</v>
      </c>
      <c r="D10" s="0" t="s">
        <v>2044</v>
      </c>
      <c r="E10" s="0" t="s">
        <v>2045</v>
      </c>
      <c r="F10" s="0" t="s">
        <v>2051</v>
      </c>
      <c r="G10" s="0" t="s">
        <v>2053</v>
      </c>
      <c r="H10" s="0" t="s">
        <v>2052</v>
      </c>
      <c r="J10" s="0" t="s">
        <v>2049</v>
      </c>
      <c r="K10" s="272" t="n">
        <v>3423.2955</v>
      </c>
    </row>
    <row r="11" customFormat="false" ht="15" hidden="false" customHeight="false" outlineLevel="0" collapsed="false">
      <c r="A11" s="0" t="s">
        <v>2041</v>
      </c>
      <c r="B11" s="0" t="s">
        <v>2042</v>
      </c>
      <c r="C11" s="0" t="s">
        <v>2050</v>
      </c>
      <c r="D11" s="0" t="s">
        <v>2044</v>
      </c>
      <c r="E11" s="0" t="s">
        <v>2045</v>
      </c>
      <c r="F11" s="0" t="s">
        <v>2051</v>
      </c>
      <c r="G11" s="0" t="s">
        <v>2053</v>
      </c>
      <c r="H11" s="0" t="s">
        <v>2052</v>
      </c>
      <c r="J11" s="0" t="s">
        <v>2049</v>
      </c>
      <c r="K11" s="272" t="n">
        <v>11335.416</v>
      </c>
    </row>
    <row r="12" customFormat="false" ht="15" hidden="false" customHeight="false" outlineLevel="0" collapsed="false">
      <c r="A12" s="0" t="s">
        <v>2041</v>
      </c>
      <c r="B12" s="0" t="s">
        <v>2042</v>
      </c>
      <c r="C12" s="0" t="s">
        <v>2043</v>
      </c>
      <c r="D12" s="0" t="s">
        <v>2044</v>
      </c>
      <c r="E12" s="0" t="s">
        <v>2045</v>
      </c>
      <c r="F12" s="0" t="s">
        <v>2046</v>
      </c>
      <c r="G12" s="0" t="s">
        <v>2054</v>
      </c>
      <c r="H12" s="0" t="s">
        <v>2048</v>
      </c>
      <c r="J12" s="0" t="s">
        <v>2049</v>
      </c>
      <c r="K12" s="272" t="n">
        <v>61499.3445</v>
      </c>
    </row>
    <row r="13" customFormat="false" ht="15" hidden="false" customHeight="false" outlineLevel="0" collapsed="false">
      <c r="A13" s="0" t="s">
        <v>2041</v>
      </c>
      <c r="B13" s="0" t="s">
        <v>2042</v>
      </c>
      <c r="C13" s="0" t="s">
        <v>2050</v>
      </c>
      <c r="D13" s="0" t="s">
        <v>2044</v>
      </c>
      <c r="E13" s="0" t="s">
        <v>2045</v>
      </c>
      <c r="F13" s="0" t="s">
        <v>2046</v>
      </c>
      <c r="G13" s="0" t="s">
        <v>2054</v>
      </c>
      <c r="H13" s="0" t="s">
        <v>2048</v>
      </c>
      <c r="J13" s="0" t="s">
        <v>2049</v>
      </c>
      <c r="K13" s="272" t="n">
        <v>203640.2035</v>
      </c>
    </row>
    <row r="14" customFormat="false" ht="15" hidden="false" customHeight="false" outlineLevel="0" collapsed="false">
      <c r="A14" s="0" t="s">
        <v>2041</v>
      </c>
      <c r="B14" s="0" t="s">
        <v>2042</v>
      </c>
      <c r="C14" s="0" t="s">
        <v>2043</v>
      </c>
      <c r="D14" s="0" t="s">
        <v>2044</v>
      </c>
      <c r="E14" s="0" t="s">
        <v>2045</v>
      </c>
      <c r="F14" s="0" t="s">
        <v>2051</v>
      </c>
      <c r="G14" s="0" t="s">
        <v>2054</v>
      </c>
      <c r="H14" s="0" t="s">
        <v>2052</v>
      </c>
      <c r="J14" s="0" t="s">
        <v>2049</v>
      </c>
      <c r="K14" s="272" t="n">
        <v>10852.8255</v>
      </c>
    </row>
    <row r="15" customFormat="false" ht="15" hidden="false" customHeight="false" outlineLevel="0" collapsed="false">
      <c r="A15" s="0" t="s">
        <v>2041</v>
      </c>
      <c r="B15" s="0" t="s">
        <v>2042</v>
      </c>
      <c r="C15" s="0" t="s">
        <v>2050</v>
      </c>
      <c r="D15" s="0" t="s">
        <v>2044</v>
      </c>
      <c r="E15" s="0" t="s">
        <v>2045</v>
      </c>
      <c r="F15" s="0" t="s">
        <v>2051</v>
      </c>
      <c r="G15" s="0" t="s">
        <v>2054</v>
      </c>
      <c r="H15" s="0" t="s">
        <v>2052</v>
      </c>
      <c r="J15" s="0" t="s">
        <v>2049</v>
      </c>
      <c r="K15" s="272" t="n">
        <v>35936.5065</v>
      </c>
    </row>
    <row r="16" customFormat="false" ht="15" hidden="false" customHeight="false" outlineLevel="0" collapsed="false">
      <c r="A16" s="0" t="s">
        <v>2041</v>
      </c>
      <c r="B16" s="0" t="s">
        <v>2042</v>
      </c>
      <c r="C16" s="0" t="s">
        <v>2043</v>
      </c>
      <c r="D16" s="0" t="s">
        <v>2044</v>
      </c>
      <c r="E16" s="0" t="s">
        <v>2045</v>
      </c>
      <c r="F16" s="0" t="s">
        <v>2046</v>
      </c>
      <c r="G16" s="0" t="s">
        <v>2055</v>
      </c>
      <c r="H16" s="0" t="s">
        <v>2048</v>
      </c>
      <c r="J16" s="0" t="s">
        <v>2049</v>
      </c>
      <c r="K16" s="272" t="n">
        <v>23763.6875</v>
      </c>
    </row>
    <row r="17" customFormat="false" ht="15" hidden="false" customHeight="false" outlineLevel="0" collapsed="false">
      <c r="A17" s="0" t="s">
        <v>2041</v>
      </c>
      <c r="B17" s="0" t="s">
        <v>2042</v>
      </c>
      <c r="C17" s="0" t="s">
        <v>2050</v>
      </c>
      <c r="D17" s="0" t="s">
        <v>2044</v>
      </c>
      <c r="E17" s="0" t="s">
        <v>2045</v>
      </c>
      <c r="F17" s="0" t="s">
        <v>2046</v>
      </c>
      <c r="G17" s="0" t="s">
        <v>2055</v>
      </c>
      <c r="H17" s="0" t="s">
        <v>2048</v>
      </c>
      <c r="J17" s="0" t="s">
        <v>2049</v>
      </c>
      <c r="K17" s="272" t="n">
        <v>78687.7</v>
      </c>
    </row>
    <row r="18" customFormat="false" ht="15" hidden="false" customHeight="false" outlineLevel="0" collapsed="false">
      <c r="A18" s="0" t="s">
        <v>2041</v>
      </c>
      <c r="B18" s="0" t="s">
        <v>2042</v>
      </c>
      <c r="C18" s="0" t="s">
        <v>2043</v>
      </c>
      <c r="D18" s="0" t="s">
        <v>2044</v>
      </c>
      <c r="E18" s="0" t="s">
        <v>2045</v>
      </c>
      <c r="F18" s="0" t="s">
        <v>2051</v>
      </c>
      <c r="G18" s="0" t="s">
        <v>2055</v>
      </c>
      <c r="H18" s="0" t="s">
        <v>2052</v>
      </c>
      <c r="J18" s="0" t="s">
        <v>2049</v>
      </c>
      <c r="K18" s="272" t="n">
        <v>71291.0625</v>
      </c>
    </row>
    <row r="19" customFormat="false" ht="15" hidden="false" customHeight="false" outlineLevel="0" collapsed="false">
      <c r="A19" s="0" t="s">
        <v>2041</v>
      </c>
      <c r="B19" s="0" t="s">
        <v>2042</v>
      </c>
      <c r="C19" s="0" t="s">
        <v>2050</v>
      </c>
      <c r="D19" s="0" t="s">
        <v>2044</v>
      </c>
      <c r="E19" s="0" t="s">
        <v>2045</v>
      </c>
      <c r="F19" s="0" t="s">
        <v>2051</v>
      </c>
      <c r="G19" s="0" t="s">
        <v>2055</v>
      </c>
      <c r="H19" s="0" t="s">
        <v>2052</v>
      </c>
      <c r="J19" s="0" t="s">
        <v>2049</v>
      </c>
      <c r="K19" s="272" t="n">
        <v>236063.1</v>
      </c>
    </row>
    <row r="20" customFormat="false" ht="15" hidden="false" customHeight="false" outlineLevel="0" collapsed="false">
      <c r="A20" s="0" t="s">
        <v>2041</v>
      </c>
      <c r="B20" s="0" t="s">
        <v>2042</v>
      </c>
      <c r="C20" s="0" t="s">
        <v>2043</v>
      </c>
      <c r="D20" s="0" t="s">
        <v>2044</v>
      </c>
      <c r="E20" s="0" t="s">
        <v>2045</v>
      </c>
      <c r="F20" s="0" t="s">
        <v>2046</v>
      </c>
      <c r="G20" s="0" t="s">
        <v>2056</v>
      </c>
      <c r="H20" s="0" t="s">
        <v>2048</v>
      </c>
      <c r="J20" s="0" t="s">
        <v>2049</v>
      </c>
      <c r="K20" s="272" t="n">
        <v>7085.394</v>
      </c>
    </row>
    <row r="21" customFormat="false" ht="15" hidden="false" customHeight="false" outlineLevel="0" collapsed="false">
      <c r="A21" s="0" t="s">
        <v>2041</v>
      </c>
      <c r="B21" s="0" t="s">
        <v>2042</v>
      </c>
      <c r="C21" s="0" t="s">
        <v>2050</v>
      </c>
      <c r="D21" s="0" t="s">
        <v>2044</v>
      </c>
      <c r="E21" s="0" t="s">
        <v>2045</v>
      </c>
      <c r="F21" s="0" t="s">
        <v>2046</v>
      </c>
      <c r="G21" s="0" t="s">
        <v>2056</v>
      </c>
      <c r="H21" s="0" t="s">
        <v>2048</v>
      </c>
      <c r="J21" s="0" t="s">
        <v>2049</v>
      </c>
      <c r="K21" s="272" t="n">
        <v>23461.5681</v>
      </c>
    </row>
    <row r="22" customFormat="false" ht="15" hidden="false" customHeight="false" outlineLevel="0" collapsed="false">
      <c r="A22" s="0" t="s">
        <v>2041</v>
      </c>
      <c r="B22" s="0" t="s">
        <v>2042</v>
      </c>
      <c r="C22" s="0" t="s">
        <v>2043</v>
      </c>
      <c r="D22" s="0" t="s">
        <v>2044</v>
      </c>
      <c r="E22" s="0" t="s">
        <v>2045</v>
      </c>
      <c r="F22" s="0" t="s">
        <v>2051</v>
      </c>
      <c r="G22" s="0" t="s">
        <v>2056</v>
      </c>
      <c r="H22" s="0" t="s">
        <v>2052</v>
      </c>
      <c r="J22" s="0" t="s">
        <v>2049</v>
      </c>
      <c r="K22" s="272" t="n">
        <v>71641.206</v>
      </c>
    </row>
    <row r="23" customFormat="false" ht="15" hidden="false" customHeight="false" outlineLevel="0" collapsed="false">
      <c r="A23" s="0" t="s">
        <v>2041</v>
      </c>
      <c r="B23" s="0" t="s">
        <v>2042</v>
      </c>
      <c r="C23" s="0" t="s">
        <v>2050</v>
      </c>
      <c r="D23" s="0" t="s">
        <v>2044</v>
      </c>
      <c r="E23" s="0" t="s">
        <v>2045</v>
      </c>
      <c r="F23" s="0" t="s">
        <v>2051</v>
      </c>
      <c r="G23" s="0" t="s">
        <v>2056</v>
      </c>
      <c r="H23" s="0" t="s">
        <v>2052</v>
      </c>
      <c r="J23" s="0" t="s">
        <v>2049</v>
      </c>
      <c r="K23" s="272" t="n">
        <v>237222.5219</v>
      </c>
    </row>
    <row r="24" customFormat="false" ht="15" hidden="false" customHeight="false" outlineLevel="0" collapsed="false">
      <c r="A24" s="0" t="s">
        <v>2041</v>
      </c>
      <c r="B24" s="0" t="s">
        <v>2042</v>
      </c>
      <c r="C24" s="0" t="s">
        <v>2043</v>
      </c>
      <c r="D24" s="0" t="s">
        <v>2044</v>
      </c>
      <c r="E24" s="0" t="s">
        <v>2045</v>
      </c>
      <c r="F24" s="0" t="s">
        <v>2046</v>
      </c>
      <c r="G24" s="0" t="s">
        <v>2057</v>
      </c>
      <c r="H24" s="0" t="s">
        <v>2048</v>
      </c>
      <c r="J24" s="0" t="s">
        <v>2049</v>
      </c>
      <c r="K24" s="272" t="n">
        <v>48690.405</v>
      </c>
    </row>
    <row r="25" customFormat="false" ht="15" hidden="false" customHeight="false" outlineLevel="0" collapsed="false">
      <c r="A25" s="0" t="s">
        <v>2041</v>
      </c>
      <c r="B25" s="0" t="s">
        <v>2042</v>
      </c>
      <c r="C25" s="0" t="s">
        <v>2050</v>
      </c>
      <c r="D25" s="0" t="s">
        <v>2044</v>
      </c>
      <c r="E25" s="0" t="s">
        <v>2045</v>
      </c>
      <c r="F25" s="0" t="s">
        <v>2046</v>
      </c>
      <c r="G25" s="0" t="s">
        <v>2057</v>
      </c>
      <c r="H25" s="0" t="s">
        <v>2048</v>
      </c>
      <c r="J25" s="0" t="s">
        <v>2049</v>
      </c>
      <c r="K25" s="272" t="n">
        <v>161226.505</v>
      </c>
    </row>
    <row r="26" customFormat="false" ht="15" hidden="false" customHeight="false" outlineLevel="0" collapsed="false">
      <c r="A26" s="0" t="s">
        <v>2041</v>
      </c>
      <c r="B26" s="0" t="s">
        <v>2042</v>
      </c>
      <c r="C26" s="0" t="s">
        <v>2043</v>
      </c>
      <c r="D26" s="0" t="s">
        <v>2044</v>
      </c>
      <c r="E26" s="0" t="s">
        <v>2045</v>
      </c>
      <c r="F26" s="0" t="s">
        <v>2051</v>
      </c>
      <c r="G26" s="0" t="s">
        <v>2057</v>
      </c>
      <c r="H26" s="0" t="s">
        <v>2052</v>
      </c>
      <c r="J26" s="0" t="s">
        <v>2049</v>
      </c>
      <c r="K26" s="272" t="n">
        <v>48690.405</v>
      </c>
    </row>
    <row r="27" customFormat="false" ht="15" hidden="false" customHeight="false" outlineLevel="0" collapsed="false">
      <c r="A27" s="0" t="s">
        <v>2041</v>
      </c>
      <c r="B27" s="0" t="s">
        <v>2042</v>
      </c>
      <c r="C27" s="0" t="s">
        <v>2050</v>
      </c>
      <c r="D27" s="0" t="s">
        <v>2044</v>
      </c>
      <c r="E27" s="0" t="s">
        <v>2045</v>
      </c>
      <c r="F27" s="0" t="s">
        <v>2051</v>
      </c>
      <c r="G27" s="0" t="s">
        <v>2057</v>
      </c>
      <c r="H27" s="0" t="s">
        <v>2052</v>
      </c>
      <c r="J27" s="0" t="s">
        <v>2049</v>
      </c>
      <c r="K27" s="272" t="n">
        <v>161226.505</v>
      </c>
    </row>
    <row r="28" customFormat="false" ht="15" hidden="false" customHeight="false" outlineLevel="0" collapsed="false">
      <c r="A28" s="0" t="s">
        <v>2041</v>
      </c>
      <c r="B28" s="0" t="s">
        <v>2042</v>
      </c>
      <c r="C28" s="0" t="s">
        <v>2043</v>
      </c>
      <c r="D28" s="0" t="s">
        <v>2044</v>
      </c>
      <c r="E28" s="0" t="s">
        <v>2045</v>
      </c>
      <c r="F28" s="0" t="s">
        <v>2046</v>
      </c>
      <c r="G28" s="0" t="s">
        <v>2058</v>
      </c>
      <c r="H28" s="0" t="s">
        <v>2048</v>
      </c>
      <c r="J28" s="0" t="s">
        <v>2049</v>
      </c>
      <c r="K28" s="272" t="n">
        <v>44759.912</v>
      </c>
    </row>
    <row r="29" customFormat="false" ht="15" hidden="false" customHeight="false" outlineLevel="0" collapsed="false">
      <c r="A29" s="0" t="s">
        <v>2041</v>
      </c>
      <c r="B29" s="0" t="s">
        <v>2042</v>
      </c>
      <c r="C29" s="0" t="s">
        <v>2050</v>
      </c>
      <c r="D29" s="0" t="s">
        <v>2044</v>
      </c>
      <c r="E29" s="0" t="s">
        <v>2045</v>
      </c>
      <c r="F29" s="0" t="s">
        <v>2046</v>
      </c>
      <c r="G29" s="0" t="s">
        <v>2058</v>
      </c>
      <c r="H29" s="0" t="s">
        <v>2048</v>
      </c>
      <c r="J29" s="0" t="s">
        <v>2049</v>
      </c>
      <c r="K29" s="272" t="n">
        <v>148211.624</v>
      </c>
    </row>
    <row r="30" customFormat="false" ht="15" hidden="false" customHeight="false" outlineLevel="0" collapsed="false">
      <c r="A30" s="0" t="s">
        <v>2041</v>
      </c>
      <c r="B30" s="0" t="s">
        <v>2042</v>
      </c>
      <c r="C30" s="0" t="s">
        <v>2043</v>
      </c>
      <c r="D30" s="0" t="s">
        <v>2044</v>
      </c>
      <c r="E30" s="0" t="s">
        <v>2045</v>
      </c>
      <c r="F30" s="0" t="s">
        <v>2051</v>
      </c>
      <c r="G30" s="0" t="s">
        <v>2058</v>
      </c>
      <c r="H30" s="0" t="s">
        <v>2052</v>
      </c>
      <c r="J30" s="0" t="s">
        <v>2049</v>
      </c>
      <c r="K30" s="272" t="n">
        <v>11189.978</v>
      </c>
    </row>
    <row r="31" customFormat="false" ht="15" hidden="false" customHeight="false" outlineLevel="0" collapsed="false">
      <c r="A31" s="0" t="s">
        <v>2041</v>
      </c>
      <c r="B31" s="0" t="s">
        <v>2042</v>
      </c>
      <c r="C31" s="0" t="s">
        <v>2050</v>
      </c>
      <c r="D31" s="0" t="s">
        <v>2044</v>
      </c>
      <c r="E31" s="0" t="s">
        <v>2045</v>
      </c>
      <c r="F31" s="0" t="s">
        <v>2051</v>
      </c>
      <c r="G31" s="0" t="s">
        <v>2058</v>
      </c>
      <c r="H31" s="0" t="s">
        <v>2052</v>
      </c>
      <c r="J31" s="0" t="s">
        <v>2049</v>
      </c>
      <c r="K31" s="272" t="n">
        <v>37052.906</v>
      </c>
    </row>
    <row r="32" customFormat="false" ht="15" hidden="false" customHeight="false" outlineLevel="0" collapsed="false">
      <c r="A32" s="0" t="s">
        <v>2041</v>
      </c>
      <c r="B32" s="0" t="s">
        <v>2042</v>
      </c>
      <c r="C32" s="0" t="s">
        <v>2043</v>
      </c>
      <c r="D32" s="0" t="s">
        <v>2044</v>
      </c>
      <c r="E32" s="0" t="s">
        <v>2045</v>
      </c>
      <c r="F32" s="0" t="s">
        <v>2046</v>
      </c>
      <c r="G32" s="0" t="s">
        <v>2059</v>
      </c>
      <c r="H32" s="0" t="s">
        <v>2048</v>
      </c>
      <c r="J32" s="0" t="s">
        <v>2049</v>
      </c>
      <c r="K32" s="272" t="n">
        <v>5413.499</v>
      </c>
    </row>
    <row r="33" customFormat="false" ht="15" hidden="false" customHeight="false" outlineLevel="0" collapsed="false">
      <c r="A33" s="0" t="s">
        <v>2041</v>
      </c>
      <c r="B33" s="0" t="s">
        <v>2042</v>
      </c>
      <c r="C33" s="0" t="s">
        <v>2050</v>
      </c>
      <c r="D33" s="0" t="s">
        <v>2044</v>
      </c>
      <c r="E33" s="0" t="s">
        <v>2045</v>
      </c>
      <c r="F33" s="0" t="s">
        <v>2046</v>
      </c>
      <c r="G33" s="0" t="s">
        <v>2059</v>
      </c>
      <c r="H33" s="0" t="s">
        <v>2048</v>
      </c>
      <c r="J33" s="0" t="s">
        <v>2049</v>
      </c>
      <c r="K33" s="272" t="n">
        <v>17925.502</v>
      </c>
    </row>
    <row r="34" customFormat="false" ht="15" hidden="false" customHeight="false" outlineLevel="0" collapsed="false">
      <c r="A34" s="0" t="s">
        <v>2041</v>
      </c>
      <c r="B34" s="0" t="s">
        <v>2042</v>
      </c>
      <c r="C34" s="0" t="s">
        <v>2043</v>
      </c>
      <c r="D34" s="0" t="s">
        <v>2044</v>
      </c>
      <c r="E34" s="0" t="s">
        <v>2045</v>
      </c>
      <c r="F34" s="0" t="s">
        <v>2051</v>
      </c>
      <c r="G34" s="0" t="s">
        <v>2059</v>
      </c>
      <c r="H34" s="0" t="s">
        <v>2052</v>
      </c>
      <c r="J34" s="0" t="s">
        <v>2049</v>
      </c>
      <c r="K34" s="272" t="n">
        <v>2320.071</v>
      </c>
    </row>
    <row r="35" customFormat="false" ht="15" hidden="false" customHeight="false" outlineLevel="0" collapsed="false">
      <c r="A35" s="0" t="s">
        <v>2041</v>
      </c>
      <c r="B35" s="0" t="s">
        <v>2042</v>
      </c>
      <c r="C35" s="0" t="s">
        <v>2050</v>
      </c>
      <c r="D35" s="0" t="s">
        <v>2044</v>
      </c>
      <c r="E35" s="0" t="s">
        <v>2045</v>
      </c>
      <c r="F35" s="0" t="s">
        <v>2051</v>
      </c>
      <c r="G35" s="0" t="s">
        <v>2059</v>
      </c>
      <c r="H35" s="0" t="s">
        <v>2052</v>
      </c>
      <c r="J35" s="0" t="s">
        <v>2049</v>
      </c>
      <c r="K35" s="272" t="n">
        <v>7682.358</v>
      </c>
    </row>
    <row r="36" customFormat="false" ht="15" hidden="false" customHeight="false" outlineLevel="0" collapsed="false">
      <c r="A36" s="0" t="s">
        <v>2041</v>
      </c>
      <c r="B36" s="0" t="s">
        <v>2042</v>
      </c>
      <c r="C36" s="0" t="s">
        <v>2043</v>
      </c>
      <c r="D36" s="0" t="s">
        <v>2044</v>
      </c>
      <c r="E36" s="0" t="s">
        <v>2045</v>
      </c>
      <c r="F36" s="0" t="s">
        <v>2046</v>
      </c>
      <c r="G36" s="0" t="s">
        <v>2060</v>
      </c>
      <c r="H36" s="0" t="s">
        <v>2048</v>
      </c>
      <c r="J36" s="0" t="s">
        <v>2049</v>
      </c>
      <c r="K36" s="272" t="n">
        <v>243619.0416</v>
      </c>
    </row>
    <row r="37" customFormat="false" ht="15" hidden="false" customHeight="false" outlineLevel="0" collapsed="false">
      <c r="A37" s="0" t="s">
        <v>2041</v>
      </c>
      <c r="B37" s="0" t="s">
        <v>2042</v>
      </c>
      <c r="C37" s="0" t="s">
        <v>2050</v>
      </c>
      <c r="D37" s="0" t="s">
        <v>2044</v>
      </c>
      <c r="E37" s="0" t="s">
        <v>2045</v>
      </c>
      <c r="F37" s="0" t="s">
        <v>2046</v>
      </c>
      <c r="G37" s="0" t="s">
        <v>2060</v>
      </c>
      <c r="H37" s="0" t="s">
        <v>2048</v>
      </c>
      <c r="J37" s="0" t="s">
        <v>2049</v>
      </c>
      <c r="K37" s="272" t="n">
        <v>806685.561</v>
      </c>
    </row>
    <row r="38" customFormat="false" ht="15" hidden="false" customHeight="false" outlineLevel="0" collapsed="false">
      <c r="A38" s="0" t="s">
        <v>2041</v>
      </c>
      <c r="B38" s="0" t="s">
        <v>2042</v>
      </c>
      <c r="C38" s="0" t="s">
        <v>2043</v>
      </c>
      <c r="D38" s="0" t="s">
        <v>2044</v>
      </c>
      <c r="E38" s="0" t="s">
        <v>2045</v>
      </c>
      <c r="F38" s="0" t="s">
        <v>2051</v>
      </c>
      <c r="G38" s="0" t="s">
        <v>2060</v>
      </c>
      <c r="H38" s="0" t="s">
        <v>2052</v>
      </c>
      <c r="J38" s="0" t="s">
        <v>2049</v>
      </c>
      <c r="K38" s="272" t="n">
        <v>2460.7984</v>
      </c>
    </row>
    <row r="39" customFormat="false" ht="15" hidden="false" customHeight="false" outlineLevel="0" collapsed="false">
      <c r="A39" s="0" t="s">
        <v>2041</v>
      </c>
      <c r="B39" s="0" t="s">
        <v>2042</v>
      </c>
      <c r="C39" s="0" t="s">
        <v>2050</v>
      </c>
      <c r="D39" s="0" t="s">
        <v>2044</v>
      </c>
      <c r="E39" s="0" t="s">
        <v>2045</v>
      </c>
      <c r="F39" s="0" t="s">
        <v>2051</v>
      </c>
      <c r="G39" s="0" t="s">
        <v>2060</v>
      </c>
      <c r="H39" s="0" t="s">
        <v>2052</v>
      </c>
      <c r="J39" s="0" t="s">
        <v>2049</v>
      </c>
      <c r="K39" s="272" t="n">
        <v>8148.339</v>
      </c>
    </row>
    <row r="40" customFormat="false" ht="15" hidden="false" customHeight="false" outlineLevel="0" collapsed="false">
      <c r="A40" s="0" t="s">
        <v>2041</v>
      </c>
      <c r="B40" s="0" t="s">
        <v>2042</v>
      </c>
      <c r="C40" s="0" t="s">
        <v>2043</v>
      </c>
      <c r="D40" s="0" t="s">
        <v>2044</v>
      </c>
      <c r="E40" s="0" t="s">
        <v>2045</v>
      </c>
      <c r="F40" s="0" t="s">
        <v>2046</v>
      </c>
      <c r="G40" s="0" t="s">
        <v>2061</v>
      </c>
      <c r="H40" s="0" t="s">
        <v>2048</v>
      </c>
      <c r="J40" s="0" t="s">
        <v>2049</v>
      </c>
      <c r="K40" s="272" t="n">
        <v>164064.9948</v>
      </c>
    </row>
    <row r="41" customFormat="false" ht="15" hidden="false" customHeight="false" outlineLevel="0" collapsed="false">
      <c r="A41" s="0" t="s">
        <v>2041</v>
      </c>
      <c r="B41" s="0" t="s">
        <v>2042</v>
      </c>
      <c r="C41" s="0" t="s">
        <v>2050</v>
      </c>
      <c r="D41" s="0" t="s">
        <v>2044</v>
      </c>
      <c r="E41" s="0" t="s">
        <v>2045</v>
      </c>
      <c r="F41" s="0" t="s">
        <v>2046</v>
      </c>
      <c r="G41" s="0" t="s">
        <v>2061</v>
      </c>
      <c r="H41" s="0" t="s">
        <v>2048</v>
      </c>
      <c r="J41" s="0" t="s">
        <v>2049</v>
      </c>
      <c r="K41" s="272" t="n">
        <v>543261.579</v>
      </c>
    </row>
    <row r="42" customFormat="false" ht="15" hidden="false" customHeight="false" outlineLevel="0" collapsed="false">
      <c r="A42" s="0" t="s">
        <v>2041</v>
      </c>
      <c r="B42" s="0" t="s">
        <v>2042</v>
      </c>
      <c r="C42" s="0" t="s">
        <v>2043</v>
      </c>
      <c r="D42" s="0" t="s">
        <v>2044</v>
      </c>
      <c r="E42" s="0" t="s">
        <v>2045</v>
      </c>
      <c r="F42" s="0" t="s">
        <v>2051</v>
      </c>
      <c r="G42" s="0" t="s">
        <v>2061</v>
      </c>
      <c r="H42" s="0" t="s">
        <v>2052</v>
      </c>
      <c r="J42" s="0" t="s">
        <v>2049</v>
      </c>
      <c r="K42" s="272" t="n">
        <v>3348.2652</v>
      </c>
    </row>
    <row r="43" customFormat="false" ht="15" hidden="false" customHeight="false" outlineLevel="0" collapsed="false">
      <c r="A43" s="0" t="s">
        <v>2041</v>
      </c>
      <c r="B43" s="0" t="s">
        <v>2042</v>
      </c>
      <c r="C43" s="0" t="s">
        <v>2050</v>
      </c>
      <c r="D43" s="0" t="s">
        <v>2044</v>
      </c>
      <c r="E43" s="0" t="s">
        <v>2045</v>
      </c>
      <c r="F43" s="0" t="s">
        <v>2051</v>
      </c>
      <c r="G43" s="0" t="s">
        <v>2061</v>
      </c>
      <c r="H43" s="0" t="s">
        <v>2052</v>
      </c>
      <c r="J43" s="0" t="s">
        <v>2049</v>
      </c>
      <c r="K43" s="272" t="n">
        <v>11086.971</v>
      </c>
    </row>
    <row r="44" customFormat="false" ht="15" hidden="false" customHeight="false" outlineLevel="0" collapsed="false">
      <c r="A44" s="0" t="s">
        <v>2041</v>
      </c>
      <c r="B44" s="0" t="s">
        <v>2042</v>
      </c>
      <c r="C44" s="0" t="s">
        <v>2043</v>
      </c>
      <c r="D44" s="0" t="s">
        <v>2044</v>
      </c>
      <c r="E44" s="0" t="s">
        <v>2045</v>
      </c>
      <c r="F44" s="0" t="s">
        <v>2046</v>
      </c>
      <c r="G44" s="0" t="s">
        <v>2062</v>
      </c>
      <c r="H44" s="0" t="s">
        <v>2048</v>
      </c>
      <c r="J44" s="0" t="s">
        <v>2049</v>
      </c>
      <c r="K44" s="272" t="n">
        <v>74594.6585</v>
      </c>
    </row>
    <row r="45" customFormat="false" ht="15" hidden="false" customHeight="false" outlineLevel="0" collapsed="false">
      <c r="A45" s="0" t="s">
        <v>2041</v>
      </c>
      <c r="B45" s="0" t="s">
        <v>2042</v>
      </c>
      <c r="C45" s="0" t="s">
        <v>2050</v>
      </c>
      <c r="D45" s="0" t="s">
        <v>2044</v>
      </c>
      <c r="E45" s="0" t="s">
        <v>2045</v>
      </c>
      <c r="F45" s="0" t="s">
        <v>2046</v>
      </c>
      <c r="G45" s="0" t="s">
        <v>2062</v>
      </c>
      <c r="H45" s="0" t="s">
        <v>2048</v>
      </c>
      <c r="J45" s="0" t="s">
        <v>2049</v>
      </c>
      <c r="K45" s="272" t="n">
        <v>247002.188</v>
      </c>
    </row>
    <row r="46" customFormat="false" ht="15" hidden="false" customHeight="false" outlineLevel="0" collapsed="false">
      <c r="A46" s="0" t="s">
        <v>2041</v>
      </c>
      <c r="B46" s="0" t="s">
        <v>2042</v>
      </c>
      <c r="C46" s="0" t="s">
        <v>2043</v>
      </c>
      <c r="D46" s="0" t="s">
        <v>2044</v>
      </c>
      <c r="E46" s="0" t="s">
        <v>2045</v>
      </c>
      <c r="F46" s="0" t="s">
        <v>2051</v>
      </c>
      <c r="G46" s="0" t="s">
        <v>2062</v>
      </c>
      <c r="H46" s="0" t="s">
        <v>2052</v>
      </c>
      <c r="J46" s="0" t="s">
        <v>2049</v>
      </c>
      <c r="K46" s="272" t="n">
        <v>12861.1415</v>
      </c>
    </row>
    <row r="47" customFormat="false" ht="15" hidden="false" customHeight="false" outlineLevel="0" collapsed="false">
      <c r="A47" s="0" t="s">
        <v>2041</v>
      </c>
      <c r="B47" s="0" t="s">
        <v>2042</v>
      </c>
      <c r="C47" s="0" t="s">
        <v>2050</v>
      </c>
      <c r="D47" s="0" t="s">
        <v>2044</v>
      </c>
      <c r="E47" s="0" t="s">
        <v>2045</v>
      </c>
      <c r="F47" s="0" t="s">
        <v>2051</v>
      </c>
      <c r="G47" s="0" t="s">
        <v>2062</v>
      </c>
      <c r="H47" s="0" t="s">
        <v>2052</v>
      </c>
      <c r="J47" s="0" t="s">
        <v>2049</v>
      </c>
      <c r="K47" s="272" t="n">
        <v>42586.562</v>
      </c>
    </row>
    <row r="48" customFormat="false" ht="15" hidden="false" customHeight="false" outlineLevel="0" collapsed="false">
      <c r="A48" s="0" t="s">
        <v>2041</v>
      </c>
      <c r="B48" s="0" t="s">
        <v>2042</v>
      </c>
      <c r="C48" s="0" t="s">
        <v>2043</v>
      </c>
      <c r="D48" s="0" t="s">
        <v>2044</v>
      </c>
      <c r="E48" s="0" t="s">
        <v>2045</v>
      </c>
      <c r="F48" s="0" t="s">
        <v>2046</v>
      </c>
      <c r="G48" s="0" t="s">
        <v>2063</v>
      </c>
      <c r="H48" s="0" t="s">
        <v>2048</v>
      </c>
      <c r="J48" s="0" t="s">
        <v>2049</v>
      </c>
      <c r="K48" s="272" t="n">
        <v>79074.912</v>
      </c>
    </row>
    <row r="49" customFormat="false" ht="15" hidden="false" customHeight="false" outlineLevel="0" collapsed="false">
      <c r="A49" s="0" t="s">
        <v>2041</v>
      </c>
      <c r="B49" s="0" t="s">
        <v>2042</v>
      </c>
      <c r="C49" s="0" t="s">
        <v>2050</v>
      </c>
      <c r="D49" s="0" t="s">
        <v>2044</v>
      </c>
      <c r="E49" s="0" t="s">
        <v>2045</v>
      </c>
      <c r="F49" s="0" t="s">
        <v>2046</v>
      </c>
      <c r="G49" s="0" t="s">
        <v>2063</v>
      </c>
      <c r="H49" s="0" t="s">
        <v>2048</v>
      </c>
      <c r="J49" s="0" t="s">
        <v>2049</v>
      </c>
      <c r="K49" s="272" t="n">
        <v>261837.456</v>
      </c>
    </row>
    <row r="50" customFormat="false" ht="15" hidden="false" customHeight="false" outlineLevel="0" collapsed="false">
      <c r="A50" s="0" t="s">
        <v>2041</v>
      </c>
      <c r="B50" s="0" t="s">
        <v>2042</v>
      </c>
      <c r="C50" s="0" t="s">
        <v>2043</v>
      </c>
      <c r="D50" s="0" t="s">
        <v>2044</v>
      </c>
      <c r="E50" s="0" t="s">
        <v>2045</v>
      </c>
      <c r="F50" s="0" t="s">
        <v>2051</v>
      </c>
      <c r="G50" s="0" t="s">
        <v>2063</v>
      </c>
      <c r="H50" s="0" t="s">
        <v>2052</v>
      </c>
      <c r="J50" s="0" t="s">
        <v>2049</v>
      </c>
      <c r="K50" s="272" t="n">
        <v>19768.728</v>
      </c>
    </row>
    <row r="51" customFormat="false" ht="15" hidden="false" customHeight="false" outlineLevel="0" collapsed="false">
      <c r="A51" s="0" t="s">
        <v>2041</v>
      </c>
      <c r="B51" s="0" t="s">
        <v>2042</v>
      </c>
      <c r="C51" s="0" t="s">
        <v>2050</v>
      </c>
      <c r="D51" s="0" t="s">
        <v>2044</v>
      </c>
      <c r="E51" s="0" t="s">
        <v>2045</v>
      </c>
      <c r="F51" s="0" t="s">
        <v>2051</v>
      </c>
      <c r="G51" s="0" t="s">
        <v>2063</v>
      </c>
      <c r="H51" s="0" t="s">
        <v>2052</v>
      </c>
      <c r="J51" s="0" t="s">
        <v>2049</v>
      </c>
      <c r="K51" s="272" t="n">
        <v>65459.364</v>
      </c>
    </row>
    <row r="52" customFormat="false" ht="15" hidden="false" customHeight="false" outlineLevel="0" collapsed="false">
      <c r="A52" s="0" t="s">
        <v>2041</v>
      </c>
      <c r="B52" s="0" t="s">
        <v>2042</v>
      </c>
      <c r="C52" s="0" t="s">
        <v>2043</v>
      </c>
      <c r="D52" s="0" t="s">
        <v>2044</v>
      </c>
      <c r="E52" s="0" t="s">
        <v>2045</v>
      </c>
      <c r="F52" s="0" t="s">
        <v>2046</v>
      </c>
      <c r="G52" s="0" t="s">
        <v>2064</v>
      </c>
      <c r="H52" s="0" t="s">
        <v>2048</v>
      </c>
      <c r="J52" s="0" t="s">
        <v>2049</v>
      </c>
      <c r="K52" s="272" t="n">
        <v>213898.274</v>
      </c>
    </row>
    <row r="53" customFormat="false" ht="15" hidden="false" customHeight="false" outlineLevel="0" collapsed="false">
      <c r="A53" s="0" t="s">
        <v>2041</v>
      </c>
      <c r="B53" s="0" t="s">
        <v>2042</v>
      </c>
      <c r="C53" s="0" t="s">
        <v>2050</v>
      </c>
      <c r="D53" s="0" t="s">
        <v>2044</v>
      </c>
      <c r="E53" s="0" t="s">
        <v>2045</v>
      </c>
      <c r="F53" s="0" t="s">
        <v>2046</v>
      </c>
      <c r="G53" s="0" t="s">
        <v>2064</v>
      </c>
      <c r="H53" s="0" t="s">
        <v>2048</v>
      </c>
      <c r="J53" s="0" t="s">
        <v>2049</v>
      </c>
      <c r="K53" s="272" t="n">
        <v>815657.726</v>
      </c>
    </row>
    <row r="54" customFormat="false" ht="15" hidden="false" customHeight="false" outlineLevel="0" collapsed="false">
      <c r="A54" s="0" t="s">
        <v>2041</v>
      </c>
      <c r="B54" s="0" t="s">
        <v>2042</v>
      </c>
      <c r="C54" s="0" t="s">
        <v>2043</v>
      </c>
      <c r="D54" s="0" t="s">
        <v>2044</v>
      </c>
      <c r="E54" s="0" t="s">
        <v>2045</v>
      </c>
      <c r="F54" s="0" t="s">
        <v>2051</v>
      </c>
      <c r="G54" s="0" t="s">
        <v>2064</v>
      </c>
      <c r="H54" s="0" t="s">
        <v>2052</v>
      </c>
      <c r="J54" s="0" t="s">
        <v>2049</v>
      </c>
      <c r="K54" s="272" t="n">
        <v>176172.266</v>
      </c>
    </row>
    <row r="55" customFormat="false" ht="15" hidden="false" customHeight="false" outlineLevel="0" collapsed="false">
      <c r="A55" s="0" t="s">
        <v>2041</v>
      </c>
      <c r="B55" s="0" t="s">
        <v>2042</v>
      </c>
      <c r="C55" s="0" t="s">
        <v>2050</v>
      </c>
      <c r="D55" s="0" t="s">
        <v>2044</v>
      </c>
      <c r="E55" s="0" t="s">
        <v>2045</v>
      </c>
      <c r="F55" s="0" t="s">
        <v>2051</v>
      </c>
      <c r="G55" s="0" t="s">
        <v>2064</v>
      </c>
      <c r="H55" s="0" t="s">
        <v>2052</v>
      </c>
      <c r="J55" s="0" t="s">
        <v>2049</v>
      </c>
      <c r="K55" s="272" t="n">
        <v>690737.174</v>
      </c>
    </row>
    <row r="56" customFormat="false" ht="15" hidden="false" customHeight="false" outlineLevel="0" collapsed="false">
      <c r="A56" s="0" t="s">
        <v>2041</v>
      </c>
      <c r="B56" s="0" t="s">
        <v>2042</v>
      </c>
      <c r="C56" s="0" t="s">
        <v>2043</v>
      </c>
      <c r="D56" s="0" t="s">
        <v>2044</v>
      </c>
      <c r="E56" s="0" t="s">
        <v>2045</v>
      </c>
      <c r="F56" s="0" t="s">
        <v>2046</v>
      </c>
      <c r="G56" s="0" t="s">
        <v>2065</v>
      </c>
      <c r="H56" s="0" t="s">
        <v>2048</v>
      </c>
      <c r="J56" s="0" t="s">
        <v>2049</v>
      </c>
      <c r="K56" s="272" t="n">
        <v>50331.0258</v>
      </c>
    </row>
    <row r="57" customFormat="false" ht="15" hidden="false" customHeight="false" outlineLevel="0" collapsed="false">
      <c r="A57" s="0" t="s">
        <v>2041</v>
      </c>
      <c r="B57" s="0" t="s">
        <v>2042</v>
      </c>
      <c r="C57" s="0" t="s">
        <v>2050</v>
      </c>
      <c r="D57" s="0" t="s">
        <v>2044</v>
      </c>
      <c r="E57" s="0" t="s">
        <v>2045</v>
      </c>
      <c r="F57" s="0" t="s">
        <v>2046</v>
      </c>
      <c r="G57" s="0" t="s">
        <v>2065</v>
      </c>
      <c r="H57" s="0" t="s">
        <v>2048</v>
      </c>
      <c r="J57" s="0" t="s">
        <v>2049</v>
      </c>
      <c r="K57" s="272" t="n">
        <v>166659.0255</v>
      </c>
    </row>
    <row r="58" customFormat="false" ht="15" hidden="false" customHeight="false" outlineLevel="0" collapsed="false">
      <c r="A58" s="0" t="s">
        <v>2041</v>
      </c>
      <c r="B58" s="0" t="s">
        <v>2042</v>
      </c>
      <c r="C58" s="0" t="s">
        <v>2043</v>
      </c>
      <c r="D58" s="0" t="s">
        <v>2044</v>
      </c>
      <c r="E58" s="0" t="s">
        <v>2045</v>
      </c>
      <c r="F58" s="0" t="s">
        <v>2051</v>
      </c>
      <c r="G58" s="0" t="s">
        <v>2065</v>
      </c>
      <c r="H58" s="0" t="s">
        <v>2052</v>
      </c>
      <c r="J58" s="0" t="s">
        <v>2049</v>
      </c>
      <c r="K58" s="272" t="n">
        <v>508.3942</v>
      </c>
    </row>
    <row r="59" customFormat="false" ht="15" hidden="false" customHeight="false" outlineLevel="0" collapsed="false">
      <c r="A59" s="0" t="s">
        <v>2041</v>
      </c>
      <c r="B59" s="0" t="s">
        <v>2042</v>
      </c>
      <c r="C59" s="0" t="s">
        <v>2050</v>
      </c>
      <c r="D59" s="0" t="s">
        <v>2044</v>
      </c>
      <c r="E59" s="0" t="s">
        <v>2045</v>
      </c>
      <c r="F59" s="0" t="s">
        <v>2051</v>
      </c>
      <c r="G59" s="0" t="s">
        <v>2065</v>
      </c>
      <c r="H59" s="0" t="s">
        <v>2052</v>
      </c>
      <c r="J59" s="0" t="s">
        <v>2049</v>
      </c>
      <c r="K59" s="272" t="n">
        <v>1683.4245</v>
      </c>
    </row>
    <row r="60" customFormat="false" ht="15" hidden="false" customHeight="false" outlineLevel="0" collapsed="false">
      <c r="A60" s="0" t="s">
        <v>2041</v>
      </c>
      <c r="B60" s="0" t="s">
        <v>2042</v>
      </c>
      <c r="C60" s="0" t="s">
        <v>2043</v>
      </c>
      <c r="D60" s="0" t="s">
        <v>2044</v>
      </c>
      <c r="E60" s="0" t="s">
        <v>2045</v>
      </c>
      <c r="F60" s="0" t="s">
        <v>2046</v>
      </c>
      <c r="G60" s="0" t="s">
        <v>2066</v>
      </c>
      <c r="H60" s="0" t="s">
        <v>2048</v>
      </c>
      <c r="J60" s="0" t="s">
        <v>2049</v>
      </c>
      <c r="K60" s="272" t="n">
        <v>122078.9255</v>
      </c>
    </row>
    <row r="61" customFormat="false" ht="15" hidden="false" customHeight="false" outlineLevel="0" collapsed="false">
      <c r="A61" s="0" t="s">
        <v>2041</v>
      </c>
      <c r="B61" s="0" t="s">
        <v>2042</v>
      </c>
      <c r="C61" s="0" t="s">
        <v>2050</v>
      </c>
      <c r="D61" s="0" t="s">
        <v>2044</v>
      </c>
      <c r="E61" s="0" t="s">
        <v>2045</v>
      </c>
      <c r="F61" s="0" t="s">
        <v>2046</v>
      </c>
      <c r="G61" s="0" t="s">
        <v>2066</v>
      </c>
      <c r="H61" s="0" t="s">
        <v>2048</v>
      </c>
      <c r="J61" s="0" t="s">
        <v>2049</v>
      </c>
      <c r="K61" s="272" t="n">
        <v>404234.8425</v>
      </c>
    </row>
    <row r="62" customFormat="false" ht="15" hidden="false" customHeight="false" outlineLevel="0" collapsed="false">
      <c r="A62" s="0" t="s">
        <v>2041</v>
      </c>
      <c r="B62" s="0" t="s">
        <v>2042</v>
      </c>
      <c r="C62" s="0" t="s">
        <v>2043</v>
      </c>
      <c r="D62" s="0" t="s">
        <v>2044</v>
      </c>
      <c r="E62" s="0" t="s">
        <v>2045</v>
      </c>
      <c r="F62" s="0" t="s">
        <v>2051</v>
      </c>
      <c r="G62" s="0" t="s">
        <v>2066</v>
      </c>
      <c r="H62" s="0" t="s">
        <v>2052</v>
      </c>
      <c r="J62" s="0" t="s">
        <v>2049</v>
      </c>
      <c r="K62" s="272" t="n">
        <v>2718.4945</v>
      </c>
    </row>
    <row r="63" customFormat="false" ht="15" hidden="false" customHeight="false" outlineLevel="0" collapsed="false">
      <c r="A63" s="0" t="s">
        <v>2041</v>
      </c>
      <c r="B63" s="0" t="s">
        <v>2042</v>
      </c>
      <c r="C63" s="0" t="s">
        <v>2050</v>
      </c>
      <c r="D63" s="0" t="s">
        <v>2044</v>
      </c>
      <c r="E63" s="0" t="s">
        <v>2045</v>
      </c>
      <c r="F63" s="0" t="s">
        <v>2051</v>
      </c>
      <c r="G63" s="0" t="s">
        <v>2066</v>
      </c>
      <c r="H63" s="0" t="s">
        <v>2052</v>
      </c>
      <c r="J63" s="0" t="s">
        <v>2049</v>
      </c>
      <c r="K63" s="272" t="n">
        <v>9001.6375</v>
      </c>
    </row>
    <row r="64" customFormat="false" ht="15" hidden="false" customHeight="false" outlineLevel="0" collapsed="false">
      <c r="A64" s="0" t="s">
        <v>2041</v>
      </c>
      <c r="B64" s="0" t="s">
        <v>2042</v>
      </c>
      <c r="C64" s="0" t="s">
        <v>2043</v>
      </c>
      <c r="D64" s="0" t="s">
        <v>2044</v>
      </c>
      <c r="E64" s="0" t="s">
        <v>2045</v>
      </c>
      <c r="F64" s="0" t="s">
        <v>2051</v>
      </c>
      <c r="G64" s="0" t="s">
        <v>2067</v>
      </c>
      <c r="H64" s="0" t="s">
        <v>2052</v>
      </c>
      <c r="J64" s="0" t="s">
        <v>2049</v>
      </c>
      <c r="K64" s="272" t="n">
        <v>116956.17</v>
      </c>
    </row>
    <row r="65" customFormat="false" ht="15" hidden="false" customHeight="false" outlineLevel="0" collapsed="false">
      <c r="A65" s="0" t="s">
        <v>2041</v>
      </c>
      <c r="B65" s="0" t="s">
        <v>2042</v>
      </c>
      <c r="C65" s="0" t="s">
        <v>2050</v>
      </c>
      <c r="D65" s="0" t="s">
        <v>2044</v>
      </c>
      <c r="E65" s="0" t="s">
        <v>2045</v>
      </c>
      <c r="F65" s="0" t="s">
        <v>2051</v>
      </c>
      <c r="G65" s="0" t="s">
        <v>2067</v>
      </c>
      <c r="H65" s="0" t="s">
        <v>2052</v>
      </c>
      <c r="J65" s="0" t="s">
        <v>2049</v>
      </c>
      <c r="K65" s="272" t="n">
        <v>387272.08</v>
      </c>
    </row>
    <row r="66" customFormat="false" ht="15" hidden="false" customHeight="false" outlineLevel="0" collapsed="false">
      <c r="A66" s="0" t="s">
        <v>2041</v>
      </c>
      <c r="B66" s="0" t="s">
        <v>2042</v>
      </c>
      <c r="C66" s="0" t="s">
        <v>2043</v>
      </c>
      <c r="D66" s="0" t="s">
        <v>2044</v>
      </c>
      <c r="E66" s="0" t="s">
        <v>2045</v>
      </c>
      <c r="F66" s="0" t="s">
        <v>2046</v>
      </c>
      <c r="G66" s="0" t="s">
        <v>2068</v>
      </c>
      <c r="H66" s="0" t="s">
        <v>2048</v>
      </c>
      <c r="J66" s="0" t="s">
        <v>2049</v>
      </c>
      <c r="K66" s="272" t="n">
        <v>250949.594</v>
      </c>
    </row>
    <row r="67" customFormat="false" ht="15" hidden="false" customHeight="false" outlineLevel="0" collapsed="false">
      <c r="A67" s="0" t="s">
        <v>2041</v>
      </c>
      <c r="B67" s="0" t="s">
        <v>2042</v>
      </c>
      <c r="C67" s="0" t="s">
        <v>2050</v>
      </c>
      <c r="D67" s="0" t="s">
        <v>2044</v>
      </c>
      <c r="E67" s="0" t="s">
        <v>2045</v>
      </c>
      <c r="F67" s="0" t="s">
        <v>2046</v>
      </c>
      <c r="G67" s="0" t="s">
        <v>2068</v>
      </c>
      <c r="H67" s="0" t="s">
        <v>2048</v>
      </c>
      <c r="J67" s="0" t="s">
        <v>2049</v>
      </c>
      <c r="K67" s="272" t="n">
        <v>1059465.699</v>
      </c>
    </row>
    <row r="68" customFormat="false" ht="15" hidden="false" customHeight="false" outlineLevel="0" collapsed="false">
      <c r="A68" s="0" t="s">
        <v>2041</v>
      </c>
      <c r="B68" s="0" t="s">
        <v>2042</v>
      </c>
      <c r="C68" s="0" t="s">
        <v>2043</v>
      </c>
      <c r="D68" s="0" t="s">
        <v>2044</v>
      </c>
      <c r="E68" s="0" t="s">
        <v>2045</v>
      </c>
      <c r="F68" s="0" t="s">
        <v>2051</v>
      </c>
      <c r="G68" s="0" t="s">
        <v>2068</v>
      </c>
      <c r="H68" s="0" t="s">
        <v>2052</v>
      </c>
      <c r="J68" s="0" t="s">
        <v>2049</v>
      </c>
      <c r="K68" s="272" t="n">
        <v>38133.216</v>
      </c>
    </row>
    <row r="69" customFormat="false" ht="15" hidden="false" customHeight="false" outlineLevel="0" collapsed="false">
      <c r="A69" s="0" t="s">
        <v>2041</v>
      </c>
      <c r="B69" s="0" t="s">
        <v>2042</v>
      </c>
      <c r="C69" s="0" t="s">
        <v>2050</v>
      </c>
      <c r="D69" s="0" t="s">
        <v>2044</v>
      </c>
      <c r="E69" s="0" t="s">
        <v>2045</v>
      </c>
      <c r="F69" s="0" t="s">
        <v>2051</v>
      </c>
      <c r="G69" s="0" t="s">
        <v>2068</v>
      </c>
      <c r="H69" s="0" t="s">
        <v>2052</v>
      </c>
      <c r="J69" s="0" t="s">
        <v>2049</v>
      </c>
      <c r="K69" s="272" t="n">
        <v>126268.921</v>
      </c>
    </row>
    <row r="70" customFormat="false" ht="15" hidden="false" customHeight="false" outlineLevel="0" collapsed="false">
      <c r="A70" s="0" t="s">
        <v>2041</v>
      </c>
      <c r="B70" s="0" t="s">
        <v>2042</v>
      </c>
      <c r="C70" s="0" t="s">
        <v>2043</v>
      </c>
      <c r="D70" s="0" t="s">
        <v>2044</v>
      </c>
      <c r="E70" s="0" t="s">
        <v>2045</v>
      </c>
      <c r="F70" s="0" t="s">
        <v>2046</v>
      </c>
      <c r="G70" s="0" t="s">
        <v>2069</v>
      </c>
      <c r="H70" s="0" t="s">
        <v>2048</v>
      </c>
      <c r="J70" s="0" t="s">
        <v>2049</v>
      </c>
      <c r="K70" s="272" t="n">
        <v>101712.27</v>
      </c>
    </row>
    <row r="71" customFormat="false" ht="15" hidden="false" customHeight="false" outlineLevel="0" collapsed="false">
      <c r="A71" s="0" t="s">
        <v>2041</v>
      </c>
      <c r="B71" s="0" t="s">
        <v>2042</v>
      </c>
      <c r="C71" s="0" t="s">
        <v>2050</v>
      </c>
      <c r="D71" s="0" t="s">
        <v>2044</v>
      </c>
      <c r="E71" s="0" t="s">
        <v>2045</v>
      </c>
      <c r="F71" s="0" t="s">
        <v>2046</v>
      </c>
      <c r="G71" s="0" t="s">
        <v>2069</v>
      </c>
      <c r="H71" s="0" t="s">
        <v>2048</v>
      </c>
      <c r="J71" s="0" t="s">
        <v>2049</v>
      </c>
      <c r="K71" s="272" t="n">
        <v>336795.61</v>
      </c>
    </row>
    <row r="72" customFormat="false" ht="15" hidden="false" customHeight="false" outlineLevel="0" collapsed="false">
      <c r="A72" s="0" t="s">
        <v>2041</v>
      </c>
      <c r="B72" s="0" t="s">
        <v>2042</v>
      </c>
      <c r="C72" s="0" t="s">
        <v>2043</v>
      </c>
      <c r="D72" s="0" t="s">
        <v>2044</v>
      </c>
      <c r="E72" s="0" t="s">
        <v>2045</v>
      </c>
      <c r="F72" s="0" t="s">
        <v>2046</v>
      </c>
      <c r="G72" s="0" t="s">
        <v>2070</v>
      </c>
      <c r="H72" s="0" t="s">
        <v>2048</v>
      </c>
      <c r="J72" s="0" t="s">
        <v>2049</v>
      </c>
      <c r="K72" s="272" t="n">
        <v>49335.075</v>
      </c>
    </row>
    <row r="73" customFormat="false" ht="15" hidden="false" customHeight="false" outlineLevel="0" collapsed="false">
      <c r="A73" s="0" t="s">
        <v>2041</v>
      </c>
      <c r="B73" s="0" t="s">
        <v>2042</v>
      </c>
      <c r="C73" s="0" t="s">
        <v>2050</v>
      </c>
      <c r="D73" s="0" t="s">
        <v>2044</v>
      </c>
      <c r="E73" s="0" t="s">
        <v>2045</v>
      </c>
      <c r="F73" s="0" t="s">
        <v>2046</v>
      </c>
      <c r="G73" s="0" t="s">
        <v>2070</v>
      </c>
      <c r="H73" s="0" t="s">
        <v>2048</v>
      </c>
      <c r="J73" s="0" t="s">
        <v>2049</v>
      </c>
      <c r="K73" s="272" t="n">
        <v>163361.175</v>
      </c>
    </row>
    <row r="74" customFormat="false" ht="15" hidden="false" customHeight="false" outlineLevel="0" collapsed="false">
      <c r="A74" s="0" t="s">
        <v>2041</v>
      </c>
      <c r="B74" s="0" t="s">
        <v>2042</v>
      </c>
      <c r="C74" s="0" t="s">
        <v>2043</v>
      </c>
      <c r="D74" s="0" t="s">
        <v>2044</v>
      </c>
      <c r="E74" s="0" t="s">
        <v>2045</v>
      </c>
      <c r="F74" s="0" t="s">
        <v>2051</v>
      </c>
      <c r="G74" s="0" t="s">
        <v>2070</v>
      </c>
      <c r="H74" s="0" t="s">
        <v>2052</v>
      </c>
      <c r="J74" s="0" t="s">
        <v>2049</v>
      </c>
      <c r="K74" s="272" t="n">
        <v>102648.405</v>
      </c>
    </row>
    <row r="75" customFormat="false" ht="15" hidden="false" customHeight="false" outlineLevel="0" collapsed="false">
      <c r="A75" s="0" t="s">
        <v>2041</v>
      </c>
      <c r="B75" s="0" t="s">
        <v>2042</v>
      </c>
      <c r="C75" s="0" t="s">
        <v>2050</v>
      </c>
      <c r="D75" s="0" t="s">
        <v>2044</v>
      </c>
      <c r="E75" s="0" t="s">
        <v>2045</v>
      </c>
      <c r="F75" s="0" t="s">
        <v>2051</v>
      </c>
      <c r="G75" s="0" t="s">
        <v>2070</v>
      </c>
      <c r="H75" s="0" t="s">
        <v>2052</v>
      </c>
      <c r="J75" s="0" t="s">
        <v>2049</v>
      </c>
      <c r="K75" s="272" t="n">
        <v>339895.395</v>
      </c>
    </row>
    <row r="76" customFormat="false" ht="15" hidden="false" customHeight="false" outlineLevel="0" collapsed="false">
      <c r="A76" s="0" t="s">
        <v>2041</v>
      </c>
      <c r="B76" s="0" t="s">
        <v>2042</v>
      </c>
      <c r="C76" s="0" t="s">
        <v>2043</v>
      </c>
      <c r="D76" s="0" t="s">
        <v>2044</v>
      </c>
      <c r="E76" s="0" t="s">
        <v>2045</v>
      </c>
      <c r="F76" s="0" t="s">
        <v>2046</v>
      </c>
      <c r="G76" s="0" t="s">
        <v>2071</v>
      </c>
      <c r="H76" s="0" t="s">
        <v>2048</v>
      </c>
      <c r="J76" s="0" t="s">
        <v>2049</v>
      </c>
      <c r="K76" s="272" t="n">
        <v>32657.2295</v>
      </c>
    </row>
    <row r="77" customFormat="false" ht="15" hidden="false" customHeight="false" outlineLevel="0" collapsed="false">
      <c r="A77" s="0" t="s">
        <v>2041</v>
      </c>
      <c r="B77" s="0" t="s">
        <v>2042</v>
      </c>
      <c r="C77" s="0" t="s">
        <v>2050</v>
      </c>
      <c r="D77" s="0" t="s">
        <v>2044</v>
      </c>
      <c r="E77" s="0" t="s">
        <v>2045</v>
      </c>
      <c r="F77" s="0" t="s">
        <v>2046</v>
      </c>
      <c r="G77" s="0" t="s">
        <v>2071</v>
      </c>
      <c r="H77" s="0" t="s">
        <v>2048</v>
      </c>
      <c r="J77" s="0" t="s">
        <v>2049</v>
      </c>
      <c r="K77" s="272" t="n">
        <v>108136.524</v>
      </c>
    </row>
    <row r="78" customFormat="false" ht="15" hidden="false" customHeight="false" outlineLevel="0" collapsed="false">
      <c r="A78" s="0" t="s">
        <v>2041</v>
      </c>
      <c r="B78" s="0" t="s">
        <v>2042</v>
      </c>
      <c r="C78" s="0" t="s">
        <v>2043</v>
      </c>
      <c r="D78" s="0" t="s">
        <v>2044</v>
      </c>
      <c r="E78" s="0" t="s">
        <v>2045</v>
      </c>
      <c r="F78" s="0" t="s">
        <v>2051</v>
      </c>
      <c r="G78" s="0" t="s">
        <v>2071</v>
      </c>
      <c r="H78" s="0" t="s">
        <v>2052</v>
      </c>
      <c r="J78" s="0" t="s">
        <v>2049</v>
      </c>
      <c r="K78" s="272" t="n">
        <v>5763.0405</v>
      </c>
    </row>
    <row r="79" customFormat="false" ht="15" hidden="false" customHeight="false" outlineLevel="0" collapsed="false">
      <c r="A79" s="0" t="s">
        <v>2041</v>
      </c>
      <c r="B79" s="0" t="s">
        <v>2042</v>
      </c>
      <c r="C79" s="0" t="s">
        <v>2050</v>
      </c>
      <c r="D79" s="0" t="s">
        <v>2044</v>
      </c>
      <c r="E79" s="0" t="s">
        <v>2045</v>
      </c>
      <c r="F79" s="0" t="s">
        <v>2051</v>
      </c>
      <c r="G79" s="0" t="s">
        <v>2071</v>
      </c>
      <c r="H79" s="0" t="s">
        <v>2052</v>
      </c>
      <c r="J79" s="0" t="s">
        <v>2049</v>
      </c>
      <c r="K79" s="272" t="n">
        <v>19082.916</v>
      </c>
    </row>
    <row r="80" customFormat="false" ht="15" hidden="false" customHeight="false" outlineLevel="0" collapsed="false">
      <c r="A80" s="0" t="s">
        <v>2041</v>
      </c>
      <c r="B80" s="0" t="s">
        <v>2042</v>
      </c>
      <c r="C80" s="0" t="s">
        <v>2043</v>
      </c>
      <c r="D80" s="0" t="s">
        <v>2044</v>
      </c>
      <c r="E80" s="0" t="s">
        <v>2045</v>
      </c>
      <c r="F80" s="0" t="s">
        <v>2046</v>
      </c>
      <c r="G80" s="0" t="s">
        <v>2072</v>
      </c>
      <c r="H80" s="0" t="s">
        <v>2048</v>
      </c>
      <c r="J80" s="0" t="s">
        <v>2049</v>
      </c>
      <c r="K80" s="272" t="n">
        <v>68202.562</v>
      </c>
    </row>
    <row r="81" customFormat="false" ht="15" hidden="false" customHeight="false" outlineLevel="0" collapsed="false">
      <c r="A81" s="0" t="s">
        <v>2041</v>
      </c>
      <c r="B81" s="0" t="s">
        <v>2042</v>
      </c>
      <c r="C81" s="0" t="s">
        <v>2050</v>
      </c>
      <c r="D81" s="0" t="s">
        <v>2044</v>
      </c>
      <c r="E81" s="0" t="s">
        <v>2045</v>
      </c>
      <c r="F81" s="0" t="s">
        <v>2046</v>
      </c>
      <c r="G81" s="0" t="s">
        <v>2072</v>
      </c>
      <c r="H81" s="0" t="s">
        <v>2048</v>
      </c>
      <c r="J81" s="0" t="s">
        <v>2049</v>
      </c>
      <c r="K81" s="272" t="n">
        <v>225836.3132</v>
      </c>
    </row>
    <row r="82" customFormat="false" ht="15" hidden="false" customHeight="false" outlineLevel="0" collapsed="false">
      <c r="A82" s="0" t="s">
        <v>2041</v>
      </c>
      <c r="B82" s="0" t="s">
        <v>2042</v>
      </c>
      <c r="C82" s="0" t="s">
        <v>2043</v>
      </c>
      <c r="D82" s="0" t="s">
        <v>2044</v>
      </c>
      <c r="E82" s="0" t="s">
        <v>2045</v>
      </c>
      <c r="F82" s="0" t="s">
        <v>2051</v>
      </c>
      <c r="G82" s="0" t="s">
        <v>2072</v>
      </c>
      <c r="H82" s="0" t="s">
        <v>2052</v>
      </c>
      <c r="J82" s="0" t="s">
        <v>2049</v>
      </c>
      <c r="K82" s="272" t="n">
        <v>93936.408</v>
      </c>
    </row>
    <row r="83" customFormat="false" ht="15" hidden="false" customHeight="false" outlineLevel="0" collapsed="false">
      <c r="A83" s="0" t="s">
        <v>2041</v>
      </c>
      <c r="B83" s="0" t="s">
        <v>2042</v>
      </c>
      <c r="C83" s="0" t="s">
        <v>2050</v>
      </c>
      <c r="D83" s="0" t="s">
        <v>2044</v>
      </c>
      <c r="E83" s="0" t="s">
        <v>2045</v>
      </c>
      <c r="F83" s="0" t="s">
        <v>2051</v>
      </c>
      <c r="G83" s="0" t="s">
        <v>2072</v>
      </c>
      <c r="H83" s="0" t="s">
        <v>2052</v>
      </c>
      <c r="J83" s="0" t="s">
        <v>2049</v>
      </c>
      <c r="K83" s="272" t="n">
        <v>311047.7268</v>
      </c>
    </row>
    <row r="84" customFormat="false" ht="15" hidden="false" customHeight="false" outlineLevel="0" collapsed="false">
      <c r="A84" s="0" t="s">
        <v>2041</v>
      </c>
      <c r="B84" s="0" t="s">
        <v>2042</v>
      </c>
      <c r="C84" s="0" t="s">
        <v>2043</v>
      </c>
      <c r="D84" s="0" t="s">
        <v>2044</v>
      </c>
      <c r="E84" s="0" t="s">
        <v>2045</v>
      </c>
      <c r="F84" s="0" t="s">
        <v>2046</v>
      </c>
      <c r="G84" s="0" t="s">
        <v>2073</v>
      </c>
      <c r="H84" s="0" t="s">
        <v>2048</v>
      </c>
      <c r="J84" s="0" t="s">
        <v>2049</v>
      </c>
      <c r="K84" s="272" t="n">
        <v>85166.953</v>
      </c>
    </row>
    <row r="85" customFormat="false" ht="15" hidden="false" customHeight="false" outlineLevel="0" collapsed="false">
      <c r="A85" s="0" t="s">
        <v>2041</v>
      </c>
      <c r="B85" s="0" t="s">
        <v>2042</v>
      </c>
      <c r="C85" s="0" t="s">
        <v>2050</v>
      </c>
      <c r="D85" s="0" t="s">
        <v>2044</v>
      </c>
      <c r="E85" s="0" t="s">
        <v>2045</v>
      </c>
      <c r="F85" s="0" t="s">
        <v>2046</v>
      </c>
      <c r="G85" s="0" t="s">
        <v>2073</v>
      </c>
      <c r="H85" s="0" t="s">
        <v>2048</v>
      </c>
      <c r="J85" s="0" t="s">
        <v>2049</v>
      </c>
      <c r="K85" s="272" t="n">
        <v>282009.788</v>
      </c>
    </row>
    <row r="86" customFormat="false" ht="15" hidden="false" customHeight="false" outlineLevel="0" collapsed="false">
      <c r="A86" s="0" t="s">
        <v>2041</v>
      </c>
      <c r="B86" s="0" t="s">
        <v>2042</v>
      </c>
      <c r="C86" s="0" t="s">
        <v>2043</v>
      </c>
      <c r="D86" s="0" t="s">
        <v>2044</v>
      </c>
      <c r="E86" s="0" t="s">
        <v>2045</v>
      </c>
      <c r="F86" s="0" t="s">
        <v>2051</v>
      </c>
      <c r="G86" s="0" t="s">
        <v>2073</v>
      </c>
      <c r="H86" s="0" t="s">
        <v>2052</v>
      </c>
      <c r="J86" s="0" t="s">
        <v>2049</v>
      </c>
      <c r="K86" s="272" t="n">
        <v>193954.977</v>
      </c>
    </row>
    <row r="87" customFormat="false" ht="15" hidden="false" customHeight="false" outlineLevel="0" collapsed="false">
      <c r="A87" s="0" t="s">
        <v>2041</v>
      </c>
      <c r="B87" s="0" t="s">
        <v>2042</v>
      </c>
      <c r="C87" s="0" t="s">
        <v>2050</v>
      </c>
      <c r="D87" s="0" t="s">
        <v>2044</v>
      </c>
      <c r="E87" s="0" t="s">
        <v>2045</v>
      </c>
      <c r="F87" s="0" t="s">
        <v>2051</v>
      </c>
      <c r="G87" s="0" t="s">
        <v>2073</v>
      </c>
      <c r="H87" s="0" t="s">
        <v>2052</v>
      </c>
      <c r="J87" s="0" t="s">
        <v>2049</v>
      </c>
      <c r="K87" s="272" t="n">
        <v>642235.032</v>
      </c>
    </row>
    <row r="88" customFormat="false" ht="15" hidden="false" customHeight="false" outlineLevel="0" collapsed="false">
      <c r="A88" s="0" t="s">
        <v>2041</v>
      </c>
      <c r="B88" s="0" t="s">
        <v>2042</v>
      </c>
      <c r="C88" s="0" t="s">
        <v>2043</v>
      </c>
      <c r="D88" s="0" t="s">
        <v>2044</v>
      </c>
      <c r="E88" s="0" t="s">
        <v>2045</v>
      </c>
      <c r="F88" s="0" t="s">
        <v>2046</v>
      </c>
      <c r="G88" s="0" t="s">
        <v>2074</v>
      </c>
      <c r="H88" s="0" t="s">
        <v>2048</v>
      </c>
      <c r="J88" s="0" t="s">
        <v>2049</v>
      </c>
      <c r="K88" s="272" t="n">
        <v>45308.195</v>
      </c>
    </row>
    <row r="89" customFormat="false" ht="15" hidden="false" customHeight="false" outlineLevel="0" collapsed="false">
      <c r="A89" s="0" t="s">
        <v>2041</v>
      </c>
      <c r="B89" s="0" t="s">
        <v>2042</v>
      </c>
      <c r="C89" s="0" t="s">
        <v>2050</v>
      </c>
      <c r="D89" s="0" t="s">
        <v>2044</v>
      </c>
      <c r="E89" s="0" t="s">
        <v>2045</v>
      </c>
      <c r="F89" s="0" t="s">
        <v>2046</v>
      </c>
      <c r="G89" s="0" t="s">
        <v>2074</v>
      </c>
      <c r="H89" s="0" t="s">
        <v>2048</v>
      </c>
      <c r="J89" s="0" t="s">
        <v>2049</v>
      </c>
      <c r="K89" s="272" t="n">
        <v>150027.135</v>
      </c>
    </row>
    <row r="90" customFormat="false" ht="15" hidden="false" customHeight="false" outlineLevel="0" collapsed="false">
      <c r="A90" s="0" t="s">
        <v>2041</v>
      </c>
      <c r="B90" s="0" t="s">
        <v>2042</v>
      </c>
      <c r="C90" s="0" t="s">
        <v>2043</v>
      </c>
      <c r="D90" s="0" t="s">
        <v>2044</v>
      </c>
      <c r="E90" s="0" t="s">
        <v>2045</v>
      </c>
      <c r="F90" s="0" t="s">
        <v>2051</v>
      </c>
      <c r="G90" s="0" t="s">
        <v>2074</v>
      </c>
      <c r="H90" s="0" t="s">
        <v>2052</v>
      </c>
      <c r="J90" s="0" t="s">
        <v>2049</v>
      </c>
      <c r="K90" s="272" t="n">
        <v>45308.195</v>
      </c>
    </row>
    <row r="91" customFormat="false" ht="15" hidden="false" customHeight="false" outlineLevel="0" collapsed="false">
      <c r="A91" s="0" t="s">
        <v>2041</v>
      </c>
      <c r="B91" s="0" t="s">
        <v>2042</v>
      </c>
      <c r="C91" s="0" t="s">
        <v>2050</v>
      </c>
      <c r="D91" s="0" t="s">
        <v>2044</v>
      </c>
      <c r="E91" s="0" t="s">
        <v>2045</v>
      </c>
      <c r="F91" s="0" t="s">
        <v>2051</v>
      </c>
      <c r="G91" s="0" t="s">
        <v>2074</v>
      </c>
      <c r="H91" s="0" t="s">
        <v>2052</v>
      </c>
      <c r="J91" s="0" t="s">
        <v>2049</v>
      </c>
      <c r="K91" s="272" t="n">
        <v>150027.135</v>
      </c>
    </row>
    <row r="92" customFormat="false" ht="15" hidden="false" customHeight="false" outlineLevel="0" collapsed="false">
      <c r="A92" s="0" t="s">
        <v>2041</v>
      </c>
      <c r="B92" s="0" t="s">
        <v>2042</v>
      </c>
      <c r="C92" s="0" t="s">
        <v>2043</v>
      </c>
      <c r="D92" s="0" t="s">
        <v>2044</v>
      </c>
      <c r="E92" s="0" t="s">
        <v>2045</v>
      </c>
      <c r="F92" s="0" t="s">
        <v>2046</v>
      </c>
      <c r="G92" s="0" t="s">
        <v>2075</v>
      </c>
      <c r="H92" s="0" t="s">
        <v>2048</v>
      </c>
      <c r="J92" s="0" t="s">
        <v>2049</v>
      </c>
      <c r="K92" s="272" t="n">
        <v>3282.3666</v>
      </c>
    </row>
    <row r="93" customFormat="false" ht="15" hidden="false" customHeight="false" outlineLevel="0" collapsed="false">
      <c r="A93" s="0" t="s">
        <v>2041</v>
      </c>
      <c r="B93" s="0" t="s">
        <v>2042</v>
      </c>
      <c r="C93" s="0" t="s">
        <v>2050</v>
      </c>
      <c r="D93" s="0" t="s">
        <v>2044</v>
      </c>
      <c r="E93" s="0" t="s">
        <v>2045</v>
      </c>
      <c r="F93" s="0" t="s">
        <v>2046</v>
      </c>
      <c r="G93" s="0" t="s">
        <v>2075</v>
      </c>
      <c r="H93" s="0" t="s">
        <v>2048</v>
      </c>
      <c r="J93" s="0" t="s">
        <v>2049</v>
      </c>
      <c r="K93" s="272" t="n">
        <v>10868.7633</v>
      </c>
    </row>
    <row r="94" customFormat="false" ht="15" hidden="false" customHeight="false" outlineLevel="0" collapsed="false">
      <c r="A94" s="0" t="s">
        <v>2041</v>
      </c>
      <c r="B94" s="0" t="s">
        <v>2042</v>
      </c>
      <c r="C94" s="0" t="s">
        <v>2043</v>
      </c>
      <c r="D94" s="0" t="s">
        <v>2044</v>
      </c>
      <c r="E94" s="0" t="s">
        <v>2045</v>
      </c>
      <c r="F94" s="0" t="s">
        <v>2051</v>
      </c>
      <c r="G94" s="0" t="s">
        <v>2075</v>
      </c>
      <c r="H94" s="0" t="s">
        <v>2052</v>
      </c>
      <c r="J94" s="0" t="s">
        <v>2049</v>
      </c>
      <c r="K94" s="272" t="n">
        <v>106129.8534</v>
      </c>
    </row>
    <row r="95" customFormat="false" ht="15" hidden="false" customHeight="false" outlineLevel="0" collapsed="false">
      <c r="A95" s="0" t="s">
        <v>2041</v>
      </c>
      <c r="B95" s="0" t="s">
        <v>2042</v>
      </c>
      <c r="C95" s="0" t="s">
        <v>2050</v>
      </c>
      <c r="D95" s="0" t="s">
        <v>2044</v>
      </c>
      <c r="E95" s="0" t="s">
        <v>2045</v>
      </c>
      <c r="F95" s="0" t="s">
        <v>2051</v>
      </c>
      <c r="G95" s="0" t="s">
        <v>2075</v>
      </c>
      <c r="H95" s="0" t="s">
        <v>2052</v>
      </c>
      <c r="J95" s="0" t="s">
        <v>2049</v>
      </c>
      <c r="K95" s="272" t="n">
        <v>351423.3467</v>
      </c>
    </row>
    <row r="96" customFormat="false" ht="15" hidden="false" customHeight="false" outlineLevel="0" collapsed="false">
      <c r="A96" s="0" t="s">
        <v>2041</v>
      </c>
      <c r="B96" s="0" t="s">
        <v>2042</v>
      </c>
      <c r="C96" s="0" t="s">
        <v>2043</v>
      </c>
      <c r="D96" s="0" t="s">
        <v>2044</v>
      </c>
      <c r="E96" s="0" t="s">
        <v>2045</v>
      </c>
      <c r="F96" s="0" t="s">
        <v>2046</v>
      </c>
      <c r="G96" s="0" t="s">
        <v>2076</v>
      </c>
      <c r="H96" s="0" t="s">
        <v>2048</v>
      </c>
      <c r="J96" s="0" t="s">
        <v>2049</v>
      </c>
      <c r="K96" s="272" t="n">
        <v>110801.5435</v>
      </c>
    </row>
    <row r="97" customFormat="false" ht="15" hidden="false" customHeight="false" outlineLevel="0" collapsed="false">
      <c r="A97" s="0" t="s">
        <v>2041</v>
      </c>
      <c r="B97" s="0" t="s">
        <v>2042</v>
      </c>
      <c r="C97" s="0" t="s">
        <v>2050</v>
      </c>
      <c r="D97" s="0" t="s">
        <v>2044</v>
      </c>
      <c r="E97" s="0" t="s">
        <v>2045</v>
      </c>
      <c r="F97" s="0" t="s">
        <v>2046</v>
      </c>
      <c r="G97" s="0" t="s">
        <v>2076</v>
      </c>
      <c r="H97" s="0" t="s">
        <v>2048</v>
      </c>
      <c r="J97" s="0" t="s">
        <v>2049</v>
      </c>
      <c r="K97" s="272" t="n">
        <v>416289.543</v>
      </c>
    </row>
    <row r="98" customFormat="false" ht="15" hidden="false" customHeight="false" outlineLevel="0" collapsed="false">
      <c r="A98" s="0" t="s">
        <v>2041</v>
      </c>
      <c r="B98" s="0" t="s">
        <v>2042</v>
      </c>
      <c r="C98" s="0" t="s">
        <v>2043</v>
      </c>
      <c r="D98" s="0" t="s">
        <v>2044</v>
      </c>
      <c r="E98" s="0" t="s">
        <v>2045</v>
      </c>
      <c r="F98" s="0" t="s">
        <v>2051</v>
      </c>
      <c r="G98" s="0" t="s">
        <v>2076</v>
      </c>
      <c r="H98" s="0" t="s">
        <v>2052</v>
      </c>
      <c r="J98" s="0" t="s">
        <v>2049</v>
      </c>
      <c r="K98" s="272" t="n">
        <v>119464.9465</v>
      </c>
    </row>
    <row r="99" customFormat="false" ht="15" hidden="false" customHeight="false" outlineLevel="0" collapsed="false">
      <c r="A99" s="0" t="s">
        <v>2041</v>
      </c>
      <c r="B99" s="0" t="s">
        <v>2042</v>
      </c>
      <c r="C99" s="0" t="s">
        <v>2050</v>
      </c>
      <c r="D99" s="0" t="s">
        <v>2044</v>
      </c>
      <c r="E99" s="0" t="s">
        <v>2045</v>
      </c>
      <c r="F99" s="0" t="s">
        <v>2051</v>
      </c>
      <c r="G99" s="0" t="s">
        <v>2076</v>
      </c>
      <c r="H99" s="0" t="s">
        <v>2052</v>
      </c>
      <c r="J99" s="0" t="s">
        <v>2049</v>
      </c>
      <c r="K99" s="272" t="n">
        <v>543770.347</v>
      </c>
    </row>
    <row r="100" customFormat="false" ht="15" hidden="false" customHeight="false" outlineLevel="0" collapsed="false">
      <c r="A100" s="0" t="s">
        <v>2041</v>
      </c>
      <c r="B100" s="0" t="s">
        <v>2042</v>
      </c>
      <c r="C100" s="0" t="s">
        <v>2043</v>
      </c>
      <c r="D100" s="0" t="s">
        <v>2044</v>
      </c>
      <c r="E100" s="0" t="s">
        <v>2045</v>
      </c>
      <c r="F100" s="0" t="s">
        <v>2046</v>
      </c>
      <c r="G100" s="0" t="s">
        <v>2077</v>
      </c>
      <c r="H100" s="0" t="s">
        <v>2048</v>
      </c>
      <c r="J100" s="0" t="s">
        <v>2049</v>
      </c>
      <c r="K100" s="272" t="n">
        <v>59252.022</v>
      </c>
    </row>
    <row r="101" customFormat="false" ht="15" hidden="false" customHeight="false" outlineLevel="0" collapsed="false">
      <c r="A101" s="0" t="s">
        <v>2041</v>
      </c>
      <c r="B101" s="0" t="s">
        <v>2042</v>
      </c>
      <c r="C101" s="0" t="s">
        <v>2050</v>
      </c>
      <c r="D101" s="0" t="s">
        <v>2044</v>
      </c>
      <c r="E101" s="0" t="s">
        <v>2045</v>
      </c>
      <c r="F101" s="0" t="s">
        <v>2046</v>
      </c>
      <c r="G101" s="0" t="s">
        <v>2077</v>
      </c>
      <c r="H101" s="0" t="s">
        <v>2048</v>
      </c>
      <c r="J101" s="0" t="s">
        <v>2049</v>
      </c>
      <c r="K101" s="272" t="n">
        <v>196198.749</v>
      </c>
    </row>
    <row r="102" customFormat="false" ht="15" hidden="false" customHeight="false" outlineLevel="0" collapsed="false">
      <c r="A102" s="0" t="s">
        <v>2041</v>
      </c>
      <c r="B102" s="0" t="s">
        <v>2042</v>
      </c>
      <c r="C102" s="0" t="s">
        <v>2043</v>
      </c>
      <c r="D102" s="0" t="s">
        <v>2044</v>
      </c>
      <c r="E102" s="0" t="s">
        <v>2045</v>
      </c>
      <c r="F102" s="0" t="s">
        <v>2051</v>
      </c>
      <c r="G102" s="0" t="s">
        <v>2077</v>
      </c>
      <c r="H102" s="0" t="s">
        <v>2052</v>
      </c>
      <c r="J102" s="0" t="s">
        <v>2049</v>
      </c>
      <c r="K102" s="272" t="n">
        <v>6583.558</v>
      </c>
    </row>
    <row r="103" customFormat="false" ht="15" hidden="false" customHeight="false" outlineLevel="0" collapsed="false">
      <c r="A103" s="0" t="s">
        <v>2041</v>
      </c>
      <c r="B103" s="0" t="s">
        <v>2042</v>
      </c>
      <c r="C103" s="0" t="s">
        <v>2050</v>
      </c>
      <c r="D103" s="0" t="s">
        <v>2044</v>
      </c>
      <c r="E103" s="0" t="s">
        <v>2045</v>
      </c>
      <c r="F103" s="0" t="s">
        <v>2051</v>
      </c>
      <c r="G103" s="0" t="s">
        <v>2077</v>
      </c>
      <c r="H103" s="0" t="s">
        <v>2052</v>
      </c>
      <c r="J103" s="0" t="s">
        <v>2049</v>
      </c>
      <c r="K103" s="272" t="n">
        <v>21799.861</v>
      </c>
    </row>
    <row r="104" customFormat="false" ht="15" hidden="false" customHeight="false" outlineLevel="0" collapsed="false">
      <c r="A104" s="0" t="s">
        <v>2041</v>
      </c>
      <c r="B104" s="0" t="s">
        <v>2042</v>
      </c>
      <c r="C104" s="0" t="s">
        <v>2043</v>
      </c>
      <c r="D104" s="0" t="s">
        <v>2044</v>
      </c>
      <c r="E104" s="0" t="s">
        <v>2045</v>
      </c>
      <c r="F104" s="0" t="s">
        <v>2046</v>
      </c>
      <c r="G104" s="0" t="s">
        <v>2078</v>
      </c>
      <c r="H104" s="0" t="s">
        <v>2048</v>
      </c>
      <c r="J104" s="0" t="s">
        <v>2049</v>
      </c>
      <c r="K104" s="272" t="n">
        <v>103582.341</v>
      </c>
    </row>
    <row r="105" customFormat="false" ht="15" hidden="false" customHeight="false" outlineLevel="0" collapsed="false">
      <c r="A105" s="0" t="s">
        <v>2041</v>
      </c>
      <c r="B105" s="0" t="s">
        <v>2042</v>
      </c>
      <c r="C105" s="0" t="s">
        <v>2050</v>
      </c>
      <c r="D105" s="0" t="s">
        <v>2044</v>
      </c>
      <c r="E105" s="0" t="s">
        <v>2045</v>
      </c>
      <c r="F105" s="0" t="s">
        <v>2046</v>
      </c>
      <c r="G105" s="0" t="s">
        <v>2078</v>
      </c>
      <c r="H105" s="0" t="s">
        <v>2048</v>
      </c>
      <c r="J105" s="0" t="s">
        <v>2049</v>
      </c>
      <c r="K105" s="272" t="n">
        <v>342987.885</v>
      </c>
    </row>
    <row r="106" customFormat="false" ht="15" hidden="false" customHeight="false" outlineLevel="0" collapsed="false">
      <c r="A106" s="0" t="s">
        <v>2041</v>
      </c>
      <c r="B106" s="0" t="s">
        <v>2042</v>
      </c>
      <c r="C106" s="0" t="s">
        <v>2043</v>
      </c>
      <c r="D106" s="0" t="s">
        <v>2044</v>
      </c>
      <c r="E106" s="0" t="s">
        <v>2045</v>
      </c>
      <c r="F106" s="0" t="s">
        <v>2051</v>
      </c>
      <c r="G106" s="0" t="s">
        <v>2078</v>
      </c>
      <c r="H106" s="0" t="s">
        <v>2052</v>
      </c>
      <c r="J106" s="0" t="s">
        <v>2049</v>
      </c>
      <c r="K106" s="272" t="n">
        <v>11509.149</v>
      </c>
    </row>
    <row r="107" customFormat="false" ht="15" hidden="false" customHeight="false" outlineLevel="0" collapsed="false">
      <c r="A107" s="0" t="s">
        <v>2041</v>
      </c>
      <c r="B107" s="0" t="s">
        <v>2042</v>
      </c>
      <c r="C107" s="0" t="s">
        <v>2050</v>
      </c>
      <c r="D107" s="0" t="s">
        <v>2044</v>
      </c>
      <c r="E107" s="0" t="s">
        <v>2045</v>
      </c>
      <c r="F107" s="0" t="s">
        <v>2051</v>
      </c>
      <c r="G107" s="0" t="s">
        <v>2078</v>
      </c>
      <c r="H107" s="0" t="s">
        <v>2052</v>
      </c>
      <c r="J107" s="0" t="s">
        <v>2049</v>
      </c>
      <c r="K107" s="272" t="n">
        <v>38109.765</v>
      </c>
    </row>
    <row r="108" customFormat="false" ht="15" hidden="false" customHeight="false" outlineLevel="0" collapsed="false">
      <c r="A108" s="0" t="s">
        <v>2041</v>
      </c>
      <c r="B108" s="0" t="s">
        <v>2042</v>
      </c>
      <c r="C108" s="0" t="s">
        <v>2043</v>
      </c>
      <c r="D108" s="0" t="s">
        <v>2044</v>
      </c>
      <c r="E108" s="0" t="s">
        <v>2045</v>
      </c>
      <c r="F108" s="0" t="s">
        <v>2046</v>
      </c>
      <c r="G108" s="0" t="s">
        <v>2079</v>
      </c>
      <c r="H108" s="0" t="s">
        <v>2048</v>
      </c>
      <c r="J108" s="0" t="s">
        <v>2049</v>
      </c>
      <c r="K108" s="272" t="n">
        <v>46254.32</v>
      </c>
    </row>
    <row r="109" customFormat="false" ht="15" hidden="false" customHeight="false" outlineLevel="0" collapsed="false">
      <c r="A109" s="0" t="s">
        <v>2041</v>
      </c>
      <c r="B109" s="0" t="s">
        <v>2042</v>
      </c>
      <c r="C109" s="0" t="s">
        <v>2050</v>
      </c>
      <c r="D109" s="0" t="s">
        <v>2044</v>
      </c>
      <c r="E109" s="0" t="s">
        <v>2045</v>
      </c>
      <c r="F109" s="0" t="s">
        <v>2046</v>
      </c>
      <c r="G109" s="0" t="s">
        <v>2079</v>
      </c>
      <c r="H109" s="0" t="s">
        <v>2048</v>
      </c>
      <c r="J109" s="0" t="s">
        <v>2049</v>
      </c>
      <c r="K109" s="272" t="n">
        <v>153160</v>
      </c>
    </row>
    <row r="110" customFormat="false" ht="15" hidden="false" customHeight="false" outlineLevel="0" collapsed="false">
      <c r="A110" s="0" t="s">
        <v>2041</v>
      </c>
      <c r="B110" s="0" t="s">
        <v>2042</v>
      </c>
      <c r="C110" s="0" t="s">
        <v>2043</v>
      </c>
      <c r="D110" s="0" t="s">
        <v>2044</v>
      </c>
      <c r="E110" s="0" t="s">
        <v>2045</v>
      </c>
      <c r="F110" s="0" t="s">
        <v>2046</v>
      </c>
      <c r="G110" s="0" t="s">
        <v>2080</v>
      </c>
      <c r="H110" s="0" t="s">
        <v>2048</v>
      </c>
      <c r="J110" s="0" t="s">
        <v>2049</v>
      </c>
      <c r="K110" s="272" t="n">
        <v>88313.126</v>
      </c>
    </row>
    <row r="111" customFormat="false" ht="15" hidden="false" customHeight="false" outlineLevel="0" collapsed="false">
      <c r="A111" s="0" t="s">
        <v>2041</v>
      </c>
      <c r="B111" s="0" t="s">
        <v>2042</v>
      </c>
      <c r="C111" s="0" t="s">
        <v>2050</v>
      </c>
      <c r="D111" s="0" t="s">
        <v>2044</v>
      </c>
      <c r="E111" s="0" t="s">
        <v>2045</v>
      </c>
      <c r="F111" s="0" t="s">
        <v>2046</v>
      </c>
      <c r="G111" s="0" t="s">
        <v>2080</v>
      </c>
      <c r="H111" s="0" t="s">
        <v>2048</v>
      </c>
      <c r="J111" s="0" t="s">
        <v>2049</v>
      </c>
      <c r="K111" s="272" t="n">
        <v>292427.564</v>
      </c>
    </row>
    <row r="112" customFormat="false" ht="15" hidden="false" customHeight="false" outlineLevel="0" collapsed="false">
      <c r="A112" s="0" t="s">
        <v>2041</v>
      </c>
      <c r="B112" s="0" t="s">
        <v>2042</v>
      </c>
      <c r="C112" s="0" t="s">
        <v>2043</v>
      </c>
      <c r="D112" s="0" t="s">
        <v>2044</v>
      </c>
      <c r="E112" s="0" t="s">
        <v>2045</v>
      </c>
      <c r="F112" s="0" t="s">
        <v>2051</v>
      </c>
      <c r="G112" s="0" t="s">
        <v>2080</v>
      </c>
      <c r="H112" s="0" t="s">
        <v>2052</v>
      </c>
      <c r="J112" s="0" t="s">
        <v>2049</v>
      </c>
      <c r="K112" s="272" t="n">
        <v>3143.834</v>
      </c>
    </row>
    <row r="113" customFormat="false" ht="15" hidden="false" customHeight="false" outlineLevel="0" collapsed="false">
      <c r="A113" s="0" t="s">
        <v>2041</v>
      </c>
      <c r="B113" s="0" t="s">
        <v>2042</v>
      </c>
      <c r="C113" s="0" t="s">
        <v>2050</v>
      </c>
      <c r="D113" s="0" t="s">
        <v>2044</v>
      </c>
      <c r="E113" s="0" t="s">
        <v>2045</v>
      </c>
      <c r="F113" s="0" t="s">
        <v>2051</v>
      </c>
      <c r="G113" s="0" t="s">
        <v>2080</v>
      </c>
      <c r="H113" s="0" t="s">
        <v>2052</v>
      </c>
      <c r="J113" s="0" t="s">
        <v>2049</v>
      </c>
      <c r="K113" s="272" t="n">
        <v>10410.046</v>
      </c>
    </row>
    <row r="114" customFormat="false" ht="15" hidden="false" customHeight="false" outlineLevel="0" collapsed="false">
      <c r="A114" s="0" t="s">
        <v>2041</v>
      </c>
      <c r="B114" s="0" t="s">
        <v>2042</v>
      </c>
      <c r="C114" s="0" t="s">
        <v>2043</v>
      </c>
      <c r="D114" s="0" t="s">
        <v>2044</v>
      </c>
      <c r="E114" s="0" t="s">
        <v>2045</v>
      </c>
      <c r="F114" s="0" t="s">
        <v>2046</v>
      </c>
      <c r="G114" s="0" t="s">
        <v>2081</v>
      </c>
      <c r="H114" s="0" t="s">
        <v>2048</v>
      </c>
      <c r="J114" s="0" t="s">
        <v>2049</v>
      </c>
      <c r="K114" s="272" t="n">
        <v>388372.541</v>
      </c>
    </row>
    <row r="115" customFormat="false" ht="15" hidden="false" customHeight="false" outlineLevel="0" collapsed="false">
      <c r="A115" s="0" t="s">
        <v>2041</v>
      </c>
      <c r="B115" s="0" t="s">
        <v>2042</v>
      </c>
      <c r="C115" s="0" t="s">
        <v>2050</v>
      </c>
      <c r="D115" s="0" t="s">
        <v>2044</v>
      </c>
      <c r="E115" s="0" t="s">
        <v>2045</v>
      </c>
      <c r="F115" s="0" t="s">
        <v>2046</v>
      </c>
      <c r="G115" s="0" t="s">
        <v>2081</v>
      </c>
      <c r="H115" s="0" t="s">
        <v>2048</v>
      </c>
      <c r="J115" s="0" t="s">
        <v>2049</v>
      </c>
      <c r="K115" s="272" t="n">
        <v>1286001.767</v>
      </c>
    </row>
    <row r="116" customFormat="false" ht="15" hidden="false" customHeight="false" outlineLevel="0" collapsed="false">
      <c r="A116" s="0" t="s">
        <v>2041</v>
      </c>
      <c r="B116" s="0" t="s">
        <v>2042</v>
      </c>
      <c r="C116" s="0" t="s">
        <v>2043</v>
      </c>
      <c r="D116" s="0" t="s">
        <v>2044</v>
      </c>
      <c r="E116" s="0" t="s">
        <v>2045</v>
      </c>
      <c r="F116" s="0" t="s">
        <v>2051</v>
      </c>
      <c r="G116" s="0" t="s">
        <v>2081</v>
      </c>
      <c r="H116" s="0" t="s">
        <v>2052</v>
      </c>
      <c r="J116" s="0" t="s">
        <v>2049</v>
      </c>
      <c r="K116" s="272" t="n">
        <v>29067.849</v>
      </c>
    </row>
    <row r="117" customFormat="false" ht="15" hidden="false" customHeight="false" outlineLevel="0" collapsed="false">
      <c r="A117" s="0" t="s">
        <v>2041</v>
      </c>
      <c r="B117" s="0" t="s">
        <v>2042</v>
      </c>
      <c r="C117" s="0" t="s">
        <v>2050</v>
      </c>
      <c r="D117" s="0" t="s">
        <v>2044</v>
      </c>
      <c r="E117" s="0" t="s">
        <v>2045</v>
      </c>
      <c r="F117" s="0" t="s">
        <v>2051</v>
      </c>
      <c r="G117" s="0" t="s">
        <v>2081</v>
      </c>
      <c r="H117" s="0" t="s">
        <v>2052</v>
      </c>
      <c r="J117" s="0" t="s">
        <v>2049</v>
      </c>
      <c r="K117" s="272" t="n">
        <v>96251.153</v>
      </c>
    </row>
    <row r="118" customFormat="false" ht="15" hidden="false" customHeight="false" outlineLevel="0" collapsed="false">
      <c r="A118" s="0" t="s">
        <v>2041</v>
      </c>
      <c r="B118" s="0" t="s">
        <v>2042</v>
      </c>
      <c r="C118" s="0" t="s">
        <v>2043</v>
      </c>
      <c r="D118" s="0" t="s">
        <v>2044</v>
      </c>
      <c r="E118" s="0" t="s">
        <v>2045</v>
      </c>
      <c r="F118" s="0" t="s">
        <v>2046</v>
      </c>
      <c r="G118" s="0" t="s">
        <v>2082</v>
      </c>
      <c r="H118" s="0" t="s">
        <v>2048</v>
      </c>
      <c r="J118" s="0" t="s">
        <v>2049</v>
      </c>
      <c r="K118" s="272" t="n">
        <v>311159.18</v>
      </c>
    </row>
    <row r="119" customFormat="false" ht="15" hidden="false" customHeight="false" outlineLevel="0" collapsed="false">
      <c r="A119" s="0" t="s">
        <v>2041</v>
      </c>
      <c r="B119" s="0" t="s">
        <v>2042</v>
      </c>
      <c r="C119" s="0" t="s">
        <v>2050</v>
      </c>
      <c r="D119" s="0" t="s">
        <v>2044</v>
      </c>
      <c r="E119" s="0" t="s">
        <v>2045</v>
      </c>
      <c r="F119" s="0" t="s">
        <v>2046</v>
      </c>
      <c r="G119" s="0" t="s">
        <v>2082</v>
      </c>
      <c r="H119" s="0" t="s">
        <v>2048</v>
      </c>
      <c r="J119" s="0" t="s">
        <v>2049</v>
      </c>
      <c r="K119" s="272" t="n">
        <v>1235921.97</v>
      </c>
    </row>
    <row r="120" customFormat="false" ht="15" hidden="false" customHeight="false" outlineLevel="0" collapsed="false">
      <c r="A120" s="0" t="s">
        <v>2041</v>
      </c>
      <c r="B120" s="0" t="s">
        <v>2042</v>
      </c>
      <c r="C120" s="0" t="s">
        <v>2043</v>
      </c>
      <c r="D120" s="0" t="s">
        <v>2044</v>
      </c>
      <c r="E120" s="0" t="s">
        <v>2045</v>
      </c>
      <c r="F120" s="0" t="s">
        <v>2046</v>
      </c>
      <c r="G120" s="0" t="s">
        <v>2083</v>
      </c>
      <c r="H120" s="0" t="s">
        <v>2048</v>
      </c>
      <c r="J120" s="0" t="s">
        <v>2049</v>
      </c>
      <c r="K120" s="272" t="n">
        <v>174801.2935</v>
      </c>
    </row>
    <row r="121" customFormat="false" ht="15" hidden="false" customHeight="false" outlineLevel="0" collapsed="false">
      <c r="A121" s="0" t="s">
        <v>2041</v>
      </c>
      <c r="B121" s="0" t="s">
        <v>2042</v>
      </c>
      <c r="C121" s="0" t="s">
        <v>2050</v>
      </c>
      <c r="D121" s="0" t="s">
        <v>2044</v>
      </c>
      <c r="E121" s="0" t="s">
        <v>2045</v>
      </c>
      <c r="F121" s="0" t="s">
        <v>2046</v>
      </c>
      <c r="G121" s="0" t="s">
        <v>2083</v>
      </c>
      <c r="H121" s="0" t="s">
        <v>2048</v>
      </c>
      <c r="J121" s="0" t="s">
        <v>2049</v>
      </c>
      <c r="K121" s="272" t="n">
        <v>578812.234</v>
      </c>
    </row>
    <row r="122" customFormat="false" ht="15" hidden="false" customHeight="false" outlineLevel="0" collapsed="false">
      <c r="A122" s="0" t="s">
        <v>2041</v>
      </c>
      <c r="B122" s="0" t="s">
        <v>2042</v>
      </c>
      <c r="C122" s="0" t="s">
        <v>2043</v>
      </c>
      <c r="D122" s="0" t="s">
        <v>2044</v>
      </c>
      <c r="E122" s="0" t="s">
        <v>2045</v>
      </c>
      <c r="F122" s="0" t="s">
        <v>2051</v>
      </c>
      <c r="G122" s="0" t="s">
        <v>2083</v>
      </c>
      <c r="H122" s="0" t="s">
        <v>2052</v>
      </c>
      <c r="J122" s="0" t="s">
        <v>2049</v>
      </c>
      <c r="K122" s="272" t="n">
        <v>4938.6865</v>
      </c>
    </row>
    <row r="123" customFormat="false" ht="15" hidden="false" customHeight="false" outlineLevel="0" collapsed="false">
      <c r="A123" s="0" t="s">
        <v>2041</v>
      </c>
      <c r="B123" s="0" t="s">
        <v>2042</v>
      </c>
      <c r="C123" s="0" t="s">
        <v>2050</v>
      </c>
      <c r="D123" s="0" t="s">
        <v>2044</v>
      </c>
      <c r="E123" s="0" t="s">
        <v>2045</v>
      </c>
      <c r="F123" s="0" t="s">
        <v>2051</v>
      </c>
      <c r="G123" s="0" t="s">
        <v>2083</v>
      </c>
      <c r="H123" s="0" t="s">
        <v>2052</v>
      </c>
      <c r="J123" s="0" t="s">
        <v>2049</v>
      </c>
      <c r="K123" s="272" t="n">
        <v>16353.266</v>
      </c>
    </row>
    <row r="124" customFormat="false" ht="15" hidden="false" customHeight="false" outlineLevel="0" collapsed="false">
      <c r="A124" s="0" t="s">
        <v>2041</v>
      </c>
      <c r="B124" s="0" t="s">
        <v>2042</v>
      </c>
      <c r="C124" s="0" t="s">
        <v>2043</v>
      </c>
      <c r="D124" s="0" t="s">
        <v>2044</v>
      </c>
      <c r="E124" s="0" t="s">
        <v>2045</v>
      </c>
      <c r="F124" s="0" t="s">
        <v>2046</v>
      </c>
      <c r="G124" s="0" t="s">
        <v>2084</v>
      </c>
      <c r="H124" s="0" t="s">
        <v>2048</v>
      </c>
      <c r="J124" s="0" t="s">
        <v>2049</v>
      </c>
      <c r="K124" s="272" t="n">
        <v>60353.851</v>
      </c>
    </row>
    <row r="125" customFormat="false" ht="15" hidden="false" customHeight="false" outlineLevel="0" collapsed="false">
      <c r="A125" s="0" t="s">
        <v>2041</v>
      </c>
      <c r="B125" s="0" t="s">
        <v>2042</v>
      </c>
      <c r="C125" s="0" t="s">
        <v>2050</v>
      </c>
      <c r="D125" s="0" t="s">
        <v>2044</v>
      </c>
      <c r="E125" s="0" t="s">
        <v>2045</v>
      </c>
      <c r="F125" s="0" t="s">
        <v>2046</v>
      </c>
      <c r="G125" s="0" t="s">
        <v>2084</v>
      </c>
      <c r="H125" s="0" t="s">
        <v>2048</v>
      </c>
      <c r="J125" s="0" t="s">
        <v>2049</v>
      </c>
      <c r="K125" s="272" t="n">
        <v>199847.209</v>
      </c>
    </row>
    <row r="126" customFormat="false" ht="15" hidden="false" customHeight="false" outlineLevel="0" collapsed="false">
      <c r="A126" s="0" t="s">
        <v>2041</v>
      </c>
      <c r="B126" s="0" t="s">
        <v>2042</v>
      </c>
      <c r="C126" s="0" t="s">
        <v>2043</v>
      </c>
      <c r="D126" s="0" t="s">
        <v>2044</v>
      </c>
      <c r="E126" s="0" t="s">
        <v>2045</v>
      </c>
      <c r="F126" s="0" t="s">
        <v>2051</v>
      </c>
      <c r="G126" s="0" t="s">
        <v>2084</v>
      </c>
      <c r="H126" s="0" t="s">
        <v>2052</v>
      </c>
      <c r="J126" s="0" t="s">
        <v>2049</v>
      </c>
      <c r="K126" s="272" t="n">
        <v>103785.409</v>
      </c>
    </row>
    <row r="127" customFormat="false" ht="15" hidden="false" customHeight="false" outlineLevel="0" collapsed="false">
      <c r="A127" s="0" t="s">
        <v>2041</v>
      </c>
      <c r="B127" s="0" t="s">
        <v>2042</v>
      </c>
      <c r="C127" s="0" t="s">
        <v>2050</v>
      </c>
      <c r="D127" s="0" t="s">
        <v>2044</v>
      </c>
      <c r="E127" s="0" t="s">
        <v>2045</v>
      </c>
      <c r="F127" s="0" t="s">
        <v>2051</v>
      </c>
      <c r="G127" s="0" t="s">
        <v>2084</v>
      </c>
      <c r="H127" s="0" t="s">
        <v>2052</v>
      </c>
      <c r="J127" s="0" t="s">
        <v>2049</v>
      </c>
      <c r="K127" s="272" t="n">
        <v>343660.321</v>
      </c>
    </row>
    <row r="128" customFormat="false" ht="15" hidden="false" customHeight="false" outlineLevel="0" collapsed="false">
      <c r="A128" s="0" t="s">
        <v>2041</v>
      </c>
      <c r="B128" s="0" t="s">
        <v>2042</v>
      </c>
      <c r="C128" s="0" t="s">
        <v>2043</v>
      </c>
      <c r="D128" s="0" t="s">
        <v>2044</v>
      </c>
      <c r="E128" s="0" t="s">
        <v>2045</v>
      </c>
      <c r="F128" s="0" t="s">
        <v>2046</v>
      </c>
      <c r="G128" s="0" t="s">
        <v>2085</v>
      </c>
      <c r="H128" s="0" t="s">
        <v>2048</v>
      </c>
      <c r="J128" s="0" t="s">
        <v>2049</v>
      </c>
      <c r="K128" s="272" t="n">
        <v>253658.576</v>
      </c>
    </row>
    <row r="129" customFormat="false" ht="15" hidden="false" customHeight="false" outlineLevel="0" collapsed="false">
      <c r="A129" s="0" t="s">
        <v>2041</v>
      </c>
      <c r="B129" s="0" t="s">
        <v>2042</v>
      </c>
      <c r="C129" s="0" t="s">
        <v>2050</v>
      </c>
      <c r="D129" s="0" t="s">
        <v>2044</v>
      </c>
      <c r="E129" s="0" t="s">
        <v>2045</v>
      </c>
      <c r="F129" s="0" t="s">
        <v>2046</v>
      </c>
      <c r="G129" s="0" t="s">
        <v>2085</v>
      </c>
      <c r="H129" s="0" t="s">
        <v>2048</v>
      </c>
      <c r="J129" s="0" t="s">
        <v>2049</v>
      </c>
      <c r="K129" s="272" t="n">
        <v>839929.0595</v>
      </c>
    </row>
    <row r="130" customFormat="false" ht="15" hidden="false" customHeight="false" outlineLevel="0" collapsed="false">
      <c r="A130" s="0" t="s">
        <v>2041</v>
      </c>
      <c r="B130" s="0" t="s">
        <v>2042</v>
      </c>
      <c r="C130" s="0" t="s">
        <v>2043</v>
      </c>
      <c r="D130" s="0" t="s">
        <v>2044</v>
      </c>
      <c r="E130" s="0" t="s">
        <v>2045</v>
      </c>
      <c r="F130" s="0" t="s">
        <v>2051</v>
      </c>
      <c r="G130" s="0" t="s">
        <v>2085</v>
      </c>
      <c r="H130" s="0" t="s">
        <v>2052</v>
      </c>
      <c r="J130" s="0" t="s">
        <v>2049</v>
      </c>
      <c r="K130" s="272" t="n">
        <v>98934.904</v>
      </c>
    </row>
    <row r="131" customFormat="false" ht="15" hidden="false" customHeight="false" outlineLevel="0" collapsed="false">
      <c r="A131" s="0" t="s">
        <v>2041</v>
      </c>
      <c r="B131" s="0" t="s">
        <v>2042</v>
      </c>
      <c r="C131" s="0" t="s">
        <v>2050</v>
      </c>
      <c r="D131" s="0" t="s">
        <v>2044</v>
      </c>
      <c r="E131" s="0" t="s">
        <v>2045</v>
      </c>
      <c r="F131" s="0" t="s">
        <v>2051</v>
      </c>
      <c r="G131" s="0" t="s">
        <v>2085</v>
      </c>
      <c r="H131" s="0" t="s">
        <v>2052</v>
      </c>
      <c r="J131" s="0" t="s">
        <v>2049</v>
      </c>
      <c r="K131" s="272" t="n">
        <v>327599.0105</v>
      </c>
    </row>
    <row r="132" customFormat="false" ht="15" hidden="false" customHeight="false" outlineLevel="0" collapsed="false">
      <c r="A132" s="0" t="s">
        <v>2041</v>
      </c>
      <c r="B132" s="0" t="s">
        <v>2042</v>
      </c>
      <c r="C132" s="0" t="s">
        <v>2043</v>
      </c>
      <c r="D132" s="0" t="s">
        <v>2044</v>
      </c>
      <c r="E132" s="0" t="s">
        <v>2045</v>
      </c>
      <c r="F132" s="0" t="s">
        <v>2046</v>
      </c>
      <c r="G132" s="0" t="s">
        <v>2086</v>
      </c>
      <c r="H132" s="0" t="s">
        <v>2048</v>
      </c>
      <c r="J132" s="0" t="s">
        <v>2049</v>
      </c>
      <c r="K132" s="272" t="n">
        <v>233545.1595</v>
      </c>
    </row>
    <row r="133" customFormat="false" ht="15" hidden="false" customHeight="false" outlineLevel="0" collapsed="false">
      <c r="A133" s="0" t="s">
        <v>2041</v>
      </c>
      <c r="B133" s="0" t="s">
        <v>2042</v>
      </c>
      <c r="C133" s="0" t="s">
        <v>2050</v>
      </c>
      <c r="D133" s="0" t="s">
        <v>2044</v>
      </c>
      <c r="E133" s="0" t="s">
        <v>2045</v>
      </c>
      <c r="F133" s="0" t="s">
        <v>2046</v>
      </c>
      <c r="G133" s="0" t="s">
        <v>2086</v>
      </c>
      <c r="H133" s="0" t="s">
        <v>2048</v>
      </c>
      <c r="J133" s="0" t="s">
        <v>2049</v>
      </c>
      <c r="K133" s="272" t="n">
        <v>773328.3</v>
      </c>
    </row>
    <row r="134" customFormat="false" ht="15" hidden="false" customHeight="false" outlineLevel="0" collapsed="false">
      <c r="A134" s="0" t="s">
        <v>2041</v>
      </c>
      <c r="B134" s="0" t="s">
        <v>2042</v>
      </c>
      <c r="C134" s="0" t="s">
        <v>2043</v>
      </c>
      <c r="D134" s="0" t="s">
        <v>2044</v>
      </c>
      <c r="E134" s="0" t="s">
        <v>2045</v>
      </c>
      <c r="F134" s="0" t="s">
        <v>2051</v>
      </c>
      <c r="G134" s="0" t="s">
        <v>2086</v>
      </c>
      <c r="H134" s="0" t="s">
        <v>2052</v>
      </c>
      <c r="J134" s="0" t="s">
        <v>2049</v>
      </c>
      <c r="K134" s="272" t="n">
        <v>30113.1105</v>
      </c>
    </row>
    <row r="135" customFormat="false" ht="15" hidden="false" customHeight="false" outlineLevel="0" collapsed="false">
      <c r="A135" s="0" t="s">
        <v>2041</v>
      </c>
      <c r="B135" s="0" t="s">
        <v>2042</v>
      </c>
      <c r="C135" s="0" t="s">
        <v>2050</v>
      </c>
      <c r="D135" s="0" t="s">
        <v>2044</v>
      </c>
      <c r="E135" s="0" t="s">
        <v>2045</v>
      </c>
      <c r="F135" s="0" t="s">
        <v>2051</v>
      </c>
      <c r="G135" s="0" t="s">
        <v>2086</v>
      </c>
      <c r="H135" s="0" t="s">
        <v>2052</v>
      </c>
      <c r="J135" s="0" t="s">
        <v>2049</v>
      </c>
      <c r="K135" s="272" t="n">
        <v>99712.28</v>
      </c>
    </row>
    <row r="136" customFormat="false" ht="15" hidden="false" customHeight="false" outlineLevel="0" collapsed="false">
      <c r="A136" s="0" t="s">
        <v>2041</v>
      </c>
      <c r="B136" s="0" t="s">
        <v>2042</v>
      </c>
      <c r="C136" s="0" t="s">
        <v>2043</v>
      </c>
      <c r="D136" s="0" t="s">
        <v>2044</v>
      </c>
      <c r="E136" s="0" t="s">
        <v>2045</v>
      </c>
      <c r="F136" s="0" t="s">
        <v>2046</v>
      </c>
      <c r="G136" s="0" t="s">
        <v>2087</v>
      </c>
      <c r="H136" s="0" t="s">
        <v>2048</v>
      </c>
      <c r="J136" s="0" t="s">
        <v>2049</v>
      </c>
      <c r="K136" s="272" t="n">
        <v>210189.505</v>
      </c>
    </row>
    <row r="137" customFormat="false" ht="15" hidden="false" customHeight="false" outlineLevel="0" collapsed="false">
      <c r="A137" s="0" t="s">
        <v>2041</v>
      </c>
      <c r="B137" s="0" t="s">
        <v>2042</v>
      </c>
      <c r="C137" s="0" t="s">
        <v>2050</v>
      </c>
      <c r="D137" s="0" t="s">
        <v>2044</v>
      </c>
      <c r="E137" s="0" t="s">
        <v>2045</v>
      </c>
      <c r="F137" s="0" t="s">
        <v>2046</v>
      </c>
      <c r="G137" s="0" t="s">
        <v>2087</v>
      </c>
      <c r="H137" s="0" t="s">
        <v>2048</v>
      </c>
      <c r="J137" s="0" t="s">
        <v>2049</v>
      </c>
      <c r="K137" s="272" t="n">
        <v>788024.637</v>
      </c>
    </row>
    <row r="138" customFormat="false" ht="15" hidden="false" customHeight="false" outlineLevel="0" collapsed="false">
      <c r="A138" s="0" t="s">
        <v>2041</v>
      </c>
      <c r="B138" s="0" t="s">
        <v>2042</v>
      </c>
      <c r="C138" s="0" t="s">
        <v>2043</v>
      </c>
      <c r="D138" s="0" t="s">
        <v>2044</v>
      </c>
      <c r="E138" s="0" t="s">
        <v>2045</v>
      </c>
      <c r="F138" s="0" t="s">
        <v>2051</v>
      </c>
      <c r="G138" s="0" t="s">
        <v>2087</v>
      </c>
      <c r="H138" s="0" t="s">
        <v>2052</v>
      </c>
      <c r="J138" s="0" t="s">
        <v>2049</v>
      </c>
      <c r="K138" s="272" t="n">
        <v>234475.795</v>
      </c>
    </row>
    <row r="139" customFormat="false" ht="15" hidden="false" customHeight="false" outlineLevel="0" collapsed="false">
      <c r="A139" s="0" t="s">
        <v>2041</v>
      </c>
      <c r="B139" s="0" t="s">
        <v>2042</v>
      </c>
      <c r="C139" s="0" t="s">
        <v>2050</v>
      </c>
      <c r="D139" s="0" t="s">
        <v>2044</v>
      </c>
      <c r="E139" s="0" t="s">
        <v>2045</v>
      </c>
      <c r="F139" s="0" t="s">
        <v>2051</v>
      </c>
      <c r="G139" s="0" t="s">
        <v>2087</v>
      </c>
      <c r="H139" s="0" t="s">
        <v>2052</v>
      </c>
      <c r="J139" s="0" t="s">
        <v>2049</v>
      </c>
      <c r="K139" s="272" t="n">
        <v>914459.223</v>
      </c>
    </row>
    <row r="140" customFormat="false" ht="15" hidden="false" customHeight="false" outlineLevel="0" collapsed="false">
      <c r="A140" s="0" t="s">
        <v>2041</v>
      </c>
      <c r="B140" s="0" t="s">
        <v>2042</v>
      </c>
      <c r="C140" s="0" t="s">
        <v>2043</v>
      </c>
      <c r="D140" s="0" t="s">
        <v>2044</v>
      </c>
      <c r="E140" s="0" t="s">
        <v>2045</v>
      </c>
      <c r="F140" s="0" t="s">
        <v>2046</v>
      </c>
      <c r="G140" s="0" t="s">
        <v>2088</v>
      </c>
      <c r="H140" s="0" t="s">
        <v>2048</v>
      </c>
      <c r="J140" s="0" t="s">
        <v>2049</v>
      </c>
      <c r="K140" s="272" t="n">
        <v>165381.3995</v>
      </c>
    </row>
    <row r="141" customFormat="false" ht="15" hidden="false" customHeight="false" outlineLevel="0" collapsed="false">
      <c r="A141" s="0" t="s">
        <v>2041</v>
      </c>
      <c r="B141" s="0" t="s">
        <v>2042</v>
      </c>
      <c r="C141" s="0" t="s">
        <v>2050</v>
      </c>
      <c r="D141" s="0" t="s">
        <v>2044</v>
      </c>
      <c r="E141" s="0" t="s">
        <v>2045</v>
      </c>
      <c r="F141" s="0" t="s">
        <v>2046</v>
      </c>
      <c r="G141" s="0" t="s">
        <v>2088</v>
      </c>
      <c r="H141" s="0" t="s">
        <v>2048</v>
      </c>
      <c r="J141" s="0" t="s">
        <v>2049</v>
      </c>
      <c r="K141" s="272" t="n">
        <v>547620.534</v>
      </c>
    </row>
    <row r="142" customFormat="false" ht="15" hidden="false" customHeight="false" outlineLevel="0" collapsed="false">
      <c r="A142" s="0" t="s">
        <v>2041</v>
      </c>
      <c r="B142" s="0" t="s">
        <v>2042</v>
      </c>
      <c r="C142" s="0" t="s">
        <v>2043</v>
      </c>
      <c r="D142" s="0" t="s">
        <v>2044</v>
      </c>
      <c r="E142" s="0" t="s">
        <v>2045</v>
      </c>
      <c r="F142" s="0" t="s">
        <v>2051</v>
      </c>
      <c r="G142" s="0" t="s">
        <v>2088</v>
      </c>
      <c r="H142" s="0" t="s">
        <v>2052</v>
      </c>
      <c r="J142" s="0" t="s">
        <v>2049</v>
      </c>
      <c r="K142" s="272" t="n">
        <v>34790.2205</v>
      </c>
    </row>
    <row r="143" customFormat="false" ht="15" hidden="false" customHeight="false" outlineLevel="0" collapsed="false">
      <c r="A143" s="0" t="s">
        <v>2041</v>
      </c>
      <c r="B143" s="0" t="s">
        <v>2042</v>
      </c>
      <c r="C143" s="0" t="s">
        <v>2050</v>
      </c>
      <c r="D143" s="0" t="s">
        <v>2044</v>
      </c>
      <c r="E143" s="0" t="s">
        <v>2045</v>
      </c>
      <c r="F143" s="0" t="s">
        <v>2051</v>
      </c>
      <c r="G143" s="0" t="s">
        <v>2088</v>
      </c>
      <c r="H143" s="0" t="s">
        <v>2052</v>
      </c>
      <c r="J143" s="0" t="s">
        <v>2049</v>
      </c>
      <c r="K143" s="272" t="n">
        <v>115199.406</v>
      </c>
    </row>
    <row r="144" customFormat="false" ht="15" hidden="false" customHeight="false" outlineLevel="0" collapsed="false">
      <c r="A144" s="0" t="s">
        <v>2041</v>
      </c>
      <c r="B144" s="0" t="s">
        <v>2042</v>
      </c>
      <c r="C144" s="0" t="s">
        <v>2043</v>
      </c>
      <c r="D144" s="0" t="s">
        <v>2044</v>
      </c>
      <c r="E144" s="0" t="s">
        <v>2045</v>
      </c>
      <c r="F144" s="0" t="s">
        <v>2046</v>
      </c>
      <c r="G144" s="0" t="s">
        <v>2089</v>
      </c>
      <c r="H144" s="0" t="s">
        <v>2048</v>
      </c>
      <c r="J144" s="0" t="s">
        <v>2049</v>
      </c>
      <c r="K144" s="272" t="n">
        <v>54924.5763</v>
      </c>
    </row>
    <row r="145" customFormat="false" ht="15" hidden="false" customHeight="false" outlineLevel="0" collapsed="false">
      <c r="A145" s="0" t="s">
        <v>2041</v>
      </c>
      <c r="B145" s="0" t="s">
        <v>2042</v>
      </c>
      <c r="C145" s="0" t="s">
        <v>2050</v>
      </c>
      <c r="D145" s="0" t="s">
        <v>2044</v>
      </c>
      <c r="E145" s="0" t="s">
        <v>2045</v>
      </c>
      <c r="F145" s="0" t="s">
        <v>2046</v>
      </c>
      <c r="G145" s="0" t="s">
        <v>2089</v>
      </c>
      <c r="H145" s="0" t="s">
        <v>2048</v>
      </c>
      <c r="J145" s="0" t="s">
        <v>2049</v>
      </c>
      <c r="K145" s="272" t="n">
        <v>181869.4449</v>
      </c>
    </row>
    <row r="146" customFormat="false" ht="15" hidden="false" customHeight="false" outlineLevel="0" collapsed="false">
      <c r="A146" s="0" t="s">
        <v>2041</v>
      </c>
      <c r="B146" s="0" t="s">
        <v>2042</v>
      </c>
      <c r="C146" s="0" t="s">
        <v>2043</v>
      </c>
      <c r="D146" s="0" t="s">
        <v>2044</v>
      </c>
      <c r="E146" s="0" t="s">
        <v>2045</v>
      </c>
      <c r="F146" s="0" t="s">
        <v>2051</v>
      </c>
      <c r="G146" s="0" t="s">
        <v>2089</v>
      </c>
      <c r="H146" s="0" t="s">
        <v>2052</v>
      </c>
      <c r="J146" s="0" t="s">
        <v>2049</v>
      </c>
      <c r="K146" s="272" t="n">
        <v>554.7937</v>
      </c>
    </row>
    <row r="147" customFormat="false" ht="15" hidden="false" customHeight="false" outlineLevel="0" collapsed="false">
      <c r="A147" s="0" t="s">
        <v>2041</v>
      </c>
      <c r="B147" s="0" t="s">
        <v>2042</v>
      </c>
      <c r="C147" s="0" t="s">
        <v>2050</v>
      </c>
      <c r="D147" s="0" t="s">
        <v>2044</v>
      </c>
      <c r="E147" s="0" t="s">
        <v>2045</v>
      </c>
      <c r="F147" s="0" t="s">
        <v>2051</v>
      </c>
      <c r="G147" s="0" t="s">
        <v>2089</v>
      </c>
      <c r="H147" s="0" t="s">
        <v>2052</v>
      </c>
      <c r="J147" s="0" t="s">
        <v>2049</v>
      </c>
      <c r="K147" s="272" t="n">
        <v>1837.0651</v>
      </c>
    </row>
    <row r="148" customFormat="false" ht="15" hidden="false" customHeight="false" outlineLevel="0" collapsed="false">
      <c r="A148" s="0" t="s">
        <v>2041</v>
      </c>
      <c r="B148" s="0" t="s">
        <v>2042</v>
      </c>
      <c r="C148" s="0" t="s">
        <v>2043</v>
      </c>
      <c r="D148" s="0" t="s">
        <v>2044</v>
      </c>
      <c r="E148" s="0" t="s">
        <v>2045</v>
      </c>
      <c r="F148" s="0" t="s">
        <v>2046</v>
      </c>
      <c r="G148" s="0" t="s">
        <v>2090</v>
      </c>
      <c r="H148" s="0" t="s">
        <v>2048</v>
      </c>
      <c r="J148" s="0" t="s">
        <v>2049</v>
      </c>
      <c r="K148" s="272" t="n">
        <v>381756.668</v>
      </c>
    </row>
    <row r="149" customFormat="false" ht="15" hidden="false" customHeight="false" outlineLevel="0" collapsed="false">
      <c r="A149" s="0" t="s">
        <v>2041</v>
      </c>
      <c r="B149" s="0" t="s">
        <v>2042</v>
      </c>
      <c r="C149" s="0" t="s">
        <v>2050</v>
      </c>
      <c r="D149" s="0" t="s">
        <v>2044</v>
      </c>
      <c r="E149" s="0" t="s">
        <v>2045</v>
      </c>
      <c r="F149" s="0" t="s">
        <v>2046</v>
      </c>
      <c r="G149" s="0" t="s">
        <v>2090</v>
      </c>
      <c r="H149" s="0" t="s">
        <v>2048</v>
      </c>
      <c r="J149" s="0" t="s">
        <v>2049</v>
      </c>
      <c r="K149" s="272" t="n">
        <v>1264094.952</v>
      </c>
    </row>
    <row r="150" customFormat="false" ht="15" hidden="false" customHeight="false" outlineLevel="0" collapsed="false">
      <c r="A150" s="0" t="s">
        <v>2041</v>
      </c>
      <c r="B150" s="0" t="s">
        <v>2042</v>
      </c>
      <c r="C150" s="0" t="s">
        <v>2043</v>
      </c>
      <c r="D150" s="0" t="s">
        <v>2044</v>
      </c>
      <c r="E150" s="0" t="s">
        <v>2045</v>
      </c>
      <c r="F150" s="0" t="s">
        <v>2051</v>
      </c>
      <c r="G150" s="0" t="s">
        <v>2090</v>
      </c>
      <c r="H150" s="0" t="s">
        <v>2052</v>
      </c>
      <c r="J150" s="0" t="s">
        <v>2049</v>
      </c>
      <c r="K150" s="272" t="n">
        <v>103657.132</v>
      </c>
    </row>
    <row r="151" customFormat="false" ht="15" hidden="false" customHeight="false" outlineLevel="0" collapsed="false">
      <c r="A151" s="0" t="s">
        <v>2041</v>
      </c>
      <c r="B151" s="0" t="s">
        <v>2042</v>
      </c>
      <c r="C151" s="0" t="s">
        <v>2050</v>
      </c>
      <c r="D151" s="0" t="s">
        <v>2044</v>
      </c>
      <c r="E151" s="0" t="s">
        <v>2045</v>
      </c>
      <c r="F151" s="0" t="s">
        <v>2051</v>
      </c>
      <c r="G151" s="0" t="s">
        <v>2090</v>
      </c>
      <c r="H151" s="0" t="s">
        <v>2052</v>
      </c>
      <c r="J151" s="0" t="s">
        <v>2049</v>
      </c>
      <c r="K151" s="272" t="n">
        <v>343235.548</v>
      </c>
    </row>
    <row r="152" customFormat="false" ht="15" hidden="false" customHeight="false" outlineLevel="0" collapsed="false">
      <c r="A152" s="0" t="s">
        <v>2041</v>
      </c>
      <c r="B152" s="0" t="s">
        <v>2042</v>
      </c>
      <c r="C152" s="0" t="s">
        <v>2043</v>
      </c>
      <c r="D152" s="0" t="s">
        <v>2044</v>
      </c>
      <c r="E152" s="0" t="s">
        <v>2045</v>
      </c>
      <c r="F152" s="0" t="s">
        <v>2046</v>
      </c>
      <c r="G152" s="0" t="s">
        <v>2091</v>
      </c>
      <c r="H152" s="0" t="s">
        <v>2048</v>
      </c>
      <c r="J152" s="0" t="s">
        <v>2049</v>
      </c>
      <c r="K152" s="272" t="n">
        <v>114569.877</v>
      </c>
    </row>
    <row r="153" customFormat="false" ht="15" hidden="false" customHeight="false" outlineLevel="0" collapsed="false">
      <c r="A153" s="0" t="s">
        <v>2041</v>
      </c>
      <c r="B153" s="0" t="s">
        <v>2042</v>
      </c>
      <c r="C153" s="0" t="s">
        <v>2050</v>
      </c>
      <c r="D153" s="0" t="s">
        <v>2044</v>
      </c>
      <c r="E153" s="0" t="s">
        <v>2045</v>
      </c>
      <c r="F153" s="0" t="s">
        <v>2046</v>
      </c>
      <c r="G153" s="0" t="s">
        <v>2091</v>
      </c>
      <c r="H153" s="0" t="s">
        <v>2048</v>
      </c>
      <c r="J153" s="0" t="s">
        <v>2049</v>
      </c>
      <c r="K153" s="272" t="n">
        <v>444855.629</v>
      </c>
    </row>
    <row r="154" customFormat="false" ht="15" hidden="false" customHeight="false" outlineLevel="0" collapsed="false">
      <c r="A154" s="0" t="s">
        <v>2041</v>
      </c>
      <c r="B154" s="0" t="s">
        <v>2042</v>
      </c>
      <c r="C154" s="0" t="s">
        <v>2043</v>
      </c>
      <c r="D154" s="0" t="s">
        <v>2044</v>
      </c>
      <c r="E154" s="0" t="s">
        <v>2045</v>
      </c>
      <c r="F154" s="0" t="s">
        <v>2051</v>
      </c>
      <c r="G154" s="0" t="s">
        <v>2091</v>
      </c>
      <c r="H154" s="0" t="s">
        <v>2052</v>
      </c>
      <c r="J154" s="0" t="s">
        <v>2049</v>
      </c>
      <c r="K154" s="272" t="n">
        <v>176737.973</v>
      </c>
    </row>
    <row r="155" customFormat="false" ht="15" hidden="false" customHeight="false" outlineLevel="0" collapsed="false">
      <c r="A155" s="0" t="s">
        <v>2041</v>
      </c>
      <c r="B155" s="0" t="s">
        <v>2042</v>
      </c>
      <c r="C155" s="0" t="s">
        <v>2050</v>
      </c>
      <c r="D155" s="0" t="s">
        <v>2044</v>
      </c>
      <c r="E155" s="0" t="s">
        <v>2045</v>
      </c>
      <c r="F155" s="0" t="s">
        <v>2051</v>
      </c>
      <c r="G155" s="0" t="s">
        <v>2091</v>
      </c>
      <c r="H155" s="0" t="s">
        <v>2052</v>
      </c>
      <c r="J155" s="0" t="s">
        <v>2049</v>
      </c>
      <c r="K155" s="272" t="n">
        <v>738023.841</v>
      </c>
    </row>
    <row r="156" customFormat="false" ht="15" hidden="false" customHeight="false" outlineLevel="0" collapsed="false">
      <c r="A156" s="0" t="s">
        <v>2041</v>
      </c>
      <c r="B156" s="0" t="s">
        <v>2042</v>
      </c>
      <c r="C156" s="0" t="s">
        <v>2043</v>
      </c>
      <c r="D156" s="0" t="s">
        <v>2044</v>
      </c>
      <c r="E156" s="0" t="s">
        <v>2045</v>
      </c>
      <c r="F156" s="0" t="s">
        <v>2046</v>
      </c>
      <c r="G156" s="0" t="s">
        <v>2092</v>
      </c>
      <c r="H156" s="0" t="s">
        <v>2048</v>
      </c>
      <c r="J156" s="0" t="s">
        <v>2049</v>
      </c>
      <c r="K156" s="272" t="n">
        <v>70273.932</v>
      </c>
    </row>
    <row r="157" customFormat="false" ht="15" hidden="false" customHeight="false" outlineLevel="0" collapsed="false">
      <c r="A157" s="0" t="s">
        <v>2041</v>
      </c>
      <c r="B157" s="0" t="s">
        <v>2042</v>
      </c>
      <c r="C157" s="0" t="s">
        <v>2050</v>
      </c>
      <c r="D157" s="0" t="s">
        <v>2044</v>
      </c>
      <c r="E157" s="0" t="s">
        <v>2045</v>
      </c>
      <c r="F157" s="0" t="s">
        <v>2046</v>
      </c>
      <c r="G157" s="0" t="s">
        <v>2092</v>
      </c>
      <c r="H157" s="0" t="s">
        <v>2048</v>
      </c>
      <c r="J157" s="0" t="s">
        <v>2049</v>
      </c>
      <c r="K157" s="272" t="n">
        <v>232695.147</v>
      </c>
    </row>
    <row r="158" customFormat="false" ht="15" hidden="false" customHeight="false" outlineLevel="0" collapsed="false">
      <c r="A158" s="0" t="s">
        <v>2041</v>
      </c>
      <c r="B158" s="0" t="s">
        <v>2042</v>
      </c>
      <c r="C158" s="0" t="s">
        <v>2043</v>
      </c>
      <c r="D158" s="0" t="s">
        <v>2044</v>
      </c>
      <c r="E158" s="0" t="s">
        <v>2045</v>
      </c>
      <c r="F158" s="0" t="s">
        <v>2051</v>
      </c>
      <c r="G158" s="0" t="s">
        <v>2092</v>
      </c>
      <c r="H158" s="0" t="s">
        <v>2052</v>
      </c>
      <c r="J158" s="0" t="s">
        <v>2049</v>
      </c>
      <c r="K158" s="272" t="n">
        <v>3698.628</v>
      </c>
    </row>
    <row r="159" customFormat="false" ht="15" hidden="false" customHeight="false" outlineLevel="0" collapsed="false">
      <c r="A159" s="0" t="s">
        <v>2041</v>
      </c>
      <c r="B159" s="0" t="s">
        <v>2042</v>
      </c>
      <c r="C159" s="0" t="s">
        <v>2050</v>
      </c>
      <c r="D159" s="0" t="s">
        <v>2044</v>
      </c>
      <c r="E159" s="0" t="s">
        <v>2045</v>
      </c>
      <c r="F159" s="0" t="s">
        <v>2051</v>
      </c>
      <c r="G159" s="0" t="s">
        <v>2092</v>
      </c>
      <c r="H159" s="0" t="s">
        <v>2052</v>
      </c>
      <c r="J159" s="0" t="s">
        <v>2049</v>
      </c>
      <c r="K159" s="272" t="n">
        <v>12247.113</v>
      </c>
    </row>
    <row r="160" customFormat="false" ht="15" hidden="false" customHeight="false" outlineLevel="0" collapsed="false">
      <c r="A160" s="0" t="s">
        <v>2041</v>
      </c>
      <c r="B160" s="0" t="s">
        <v>2042</v>
      </c>
      <c r="C160" s="0" t="s">
        <v>2043</v>
      </c>
      <c r="D160" s="0" t="s">
        <v>2044</v>
      </c>
      <c r="E160" s="0" t="s">
        <v>2045</v>
      </c>
      <c r="F160" s="0" t="s">
        <v>2046</v>
      </c>
      <c r="G160" s="0" t="s">
        <v>2093</v>
      </c>
      <c r="H160" s="0" t="s">
        <v>2048</v>
      </c>
      <c r="J160" s="0" t="s">
        <v>2049</v>
      </c>
      <c r="K160" s="272" t="n">
        <v>295350.7275</v>
      </c>
    </row>
    <row r="161" customFormat="false" ht="15" hidden="false" customHeight="false" outlineLevel="0" collapsed="false">
      <c r="A161" s="0" t="s">
        <v>2041</v>
      </c>
      <c r="B161" s="0" t="s">
        <v>2042</v>
      </c>
      <c r="C161" s="0" t="s">
        <v>2050</v>
      </c>
      <c r="D161" s="0" t="s">
        <v>2044</v>
      </c>
      <c r="E161" s="0" t="s">
        <v>2045</v>
      </c>
      <c r="F161" s="0" t="s">
        <v>2046</v>
      </c>
      <c r="G161" s="0" t="s">
        <v>2093</v>
      </c>
      <c r="H161" s="0" t="s">
        <v>2048</v>
      </c>
      <c r="J161" s="0" t="s">
        <v>2049</v>
      </c>
      <c r="K161" s="272" t="n">
        <v>977982.5055</v>
      </c>
    </row>
    <row r="162" customFormat="false" ht="15" hidden="false" customHeight="false" outlineLevel="0" collapsed="false">
      <c r="A162" s="0" t="s">
        <v>2041</v>
      </c>
      <c r="B162" s="0" t="s">
        <v>2042</v>
      </c>
      <c r="C162" s="0" t="s">
        <v>2043</v>
      </c>
      <c r="D162" s="0" t="s">
        <v>2044</v>
      </c>
      <c r="E162" s="0" t="s">
        <v>2045</v>
      </c>
      <c r="F162" s="0" t="s">
        <v>2051</v>
      </c>
      <c r="G162" s="0" t="s">
        <v>2093</v>
      </c>
      <c r="H162" s="0" t="s">
        <v>2052</v>
      </c>
      <c r="J162" s="0" t="s">
        <v>2049</v>
      </c>
      <c r="K162" s="272" t="n">
        <v>28033.7525</v>
      </c>
    </row>
    <row r="163" customFormat="false" ht="15" hidden="false" customHeight="false" outlineLevel="0" collapsed="false">
      <c r="A163" s="0" t="s">
        <v>2041</v>
      </c>
      <c r="B163" s="0" t="s">
        <v>2042</v>
      </c>
      <c r="C163" s="0" t="s">
        <v>2050</v>
      </c>
      <c r="D163" s="0" t="s">
        <v>2044</v>
      </c>
      <c r="E163" s="0" t="s">
        <v>2045</v>
      </c>
      <c r="F163" s="0" t="s">
        <v>2051</v>
      </c>
      <c r="G163" s="0" t="s">
        <v>2093</v>
      </c>
      <c r="H163" s="0" t="s">
        <v>2052</v>
      </c>
      <c r="J163" s="0" t="s">
        <v>2049</v>
      </c>
      <c r="K163" s="272" t="n">
        <v>92826.9945</v>
      </c>
    </row>
    <row r="164" customFormat="false" ht="15" hidden="false" customHeight="false" outlineLevel="0" collapsed="false">
      <c r="A164" s="0" t="s">
        <v>2041</v>
      </c>
      <c r="B164" s="0" t="s">
        <v>2042</v>
      </c>
      <c r="C164" s="0" t="s">
        <v>2043</v>
      </c>
      <c r="D164" s="0" t="s">
        <v>2044</v>
      </c>
      <c r="E164" s="0" t="s">
        <v>2045</v>
      </c>
      <c r="F164" s="0" t="s">
        <v>2046</v>
      </c>
      <c r="G164" s="0" t="s">
        <v>2094</v>
      </c>
      <c r="H164" s="0" t="s">
        <v>2048</v>
      </c>
      <c r="J164" s="0" t="s">
        <v>2049</v>
      </c>
      <c r="K164" s="272" t="n">
        <v>167529.0814</v>
      </c>
    </row>
    <row r="165" customFormat="false" ht="15" hidden="false" customHeight="false" outlineLevel="0" collapsed="false">
      <c r="A165" s="0" t="s">
        <v>2041</v>
      </c>
      <c r="B165" s="0" t="s">
        <v>2042</v>
      </c>
      <c r="C165" s="0" t="s">
        <v>2050</v>
      </c>
      <c r="D165" s="0" t="s">
        <v>2044</v>
      </c>
      <c r="E165" s="0" t="s">
        <v>2045</v>
      </c>
      <c r="F165" s="0" t="s">
        <v>2046</v>
      </c>
      <c r="G165" s="0" t="s">
        <v>2094</v>
      </c>
      <c r="H165" s="0" t="s">
        <v>2048</v>
      </c>
      <c r="J165" s="0" t="s">
        <v>2049</v>
      </c>
      <c r="K165" s="272" t="n">
        <v>633660.2386</v>
      </c>
    </row>
    <row r="166" customFormat="false" ht="15" hidden="false" customHeight="false" outlineLevel="0" collapsed="false">
      <c r="A166" s="0" t="s">
        <v>2041</v>
      </c>
      <c r="B166" s="0" t="s">
        <v>2042</v>
      </c>
      <c r="C166" s="0" t="s">
        <v>2043</v>
      </c>
      <c r="D166" s="0" t="s">
        <v>2044</v>
      </c>
      <c r="E166" s="0" t="s">
        <v>2045</v>
      </c>
      <c r="F166" s="0" t="s">
        <v>2051</v>
      </c>
      <c r="G166" s="0" t="s">
        <v>2094</v>
      </c>
      <c r="H166" s="0" t="s">
        <v>2052</v>
      </c>
      <c r="J166" s="0" t="s">
        <v>2049</v>
      </c>
      <c r="K166" s="272" t="n">
        <v>135169.3486</v>
      </c>
    </row>
    <row r="167" customFormat="false" ht="15" hidden="false" customHeight="false" outlineLevel="0" collapsed="false">
      <c r="A167" s="0" t="s">
        <v>2041</v>
      </c>
      <c r="B167" s="0" t="s">
        <v>2042</v>
      </c>
      <c r="C167" s="0" t="s">
        <v>2050</v>
      </c>
      <c r="D167" s="0" t="s">
        <v>2044</v>
      </c>
      <c r="E167" s="0" t="s">
        <v>2045</v>
      </c>
      <c r="F167" s="0" t="s">
        <v>2051</v>
      </c>
      <c r="G167" s="0" t="s">
        <v>2094</v>
      </c>
      <c r="H167" s="0" t="s">
        <v>2052</v>
      </c>
      <c r="J167" s="0" t="s">
        <v>2049</v>
      </c>
      <c r="K167" s="272" t="n">
        <v>556576.6914</v>
      </c>
    </row>
    <row r="168" customFormat="false" ht="15" hidden="false" customHeight="false" outlineLevel="0" collapsed="false">
      <c r="A168" s="0" t="s">
        <v>2041</v>
      </c>
      <c r="B168" s="0" t="s">
        <v>2042</v>
      </c>
      <c r="C168" s="0" t="s">
        <v>2043</v>
      </c>
      <c r="D168" s="0" t="s">
        <v>2044</v>
      </c>
      <c r="E168" s="0" t="s">
        <v>2045</v>
      </c>
      <c r="F168" s="0" t="s">
        <v>2046</v>
      </c>
      <c r="G168" s="0" t="s">
        <v>2095</v>
      </c>
      <c r="H168" s="0" t="s">
        <v>2048</v>
      </c>
      <c r="J168" s="0" t="s">
        <v>2049</v>
      </c>
      <c r="K168" s="272" t="n">
        <v>251185.855</v>
      </c>
    </row>
    <row r="169" customFormat="false" ht="15" hidden="false" customHeight="false" outlineLevel="0" collapsed="false">
      <c r="A169" s="0" t="s">
        <v>2041</v>
      </c>
      <c r="B169" s="0" t="s">
        <v>2042</v>
      </c>
      <c r="C169" s="0" t="s">
        <v>2050</v>
      </c>
      <c r="D169" s="0" t="s">
        <v>2044</v>
      </c>
      <c r="E169" s="0" t="s">
        <v>2045</v>
      </c>
      <c r="F169" s="0" t="s">
        <v>2046</v>
      </c>
      <c r="G169" s="0" t="s">
        <v>2095</v>
      </c>
      <c r="H169" s="0" t="s">
        <v>2048</v>
      </c>
      <c r="J169" s="0" t="s">
        <v>2049</v>
      </c>
      <c r="K169" s="272" t="n">
        <v>831741.21</v>
      </c>
    </row>
    <row r="170" customFormat="false" ht="15" hidden="false" customHeight="false" outlineLevel="0" collapsed="false">
      <c r="A170" s="0" t="s">
        <v>2041</v>
      </c>
      <c r="B170" s="0" t="s">
        <v>2042</v>
      </c>
      <c r="C170" s="0" t="s">
        <v>2043</v>
      </c>
      <c r="D170" s="0" t="s">
        <v>2044</v>
      </c>
      <c r="E170" s="0" t="s">
        <v>2045</v>
      </c>
      <c r="F170" s="0" t="s">
        <v>2051</v>
      </c>
      <c r="G170" s="0" t="s">
        <v>2095</v>
      </c>
      <c r="H170" s="0" t="s">
        <v>2052</v>
      </c>
      <c r="J170" s="0" t="s">
        <v>2049</v>
      </c>
      <c r="K170" s="272" t="n">
        <v>181506.795</v>
      </c>
    </row>
    <row r="171" customFormat="false" ht="15" hidden="false" customHeight="false" outlineLevel="0" collapsed="false">
      <c r="A171" s="0" t="s">
        <v>2041</v>
      </c>
      <c r="B171" s="0" t="s">
        <v>2042</v>
      </c>
      <c r="C171" s="0" t="s">
        <v>2050</v>
      </c>
      <c r="D171" s="0" t="s">
        <v>2044</v>
      </c>
      <c r="E171" s="0" t="s">
        <v>2045</v>
      </c>
      <c r="F171" s="0" t="s">
        <v>2051</v>
      </c>
      <c r="G171" s="0" t="s">
        <v>2095</v>
      </c>
      <c r="H171" s="0" t="s">
        <v>2052</v>
      </c>
      <c r="J171" s="0" t="s">
        <v>2049</v>
      </c>
      <c r="K171" s="272" t="n">
        <v>601015.86</v>
      </c>
    </row>
    <row r="172" customFormat="false" ht="15" hidden="false" customHeight="false" outlineLevel="0" collapsed="false">
      <c r="A172" s="0" t="s">
        <v>2041</v>
      </c>
      <c r="B172" s="0" t="s">
        <v>2042</v>
      </c>
      <c r="C172" s="0" t="s">
        <v>2043</v>
      </c>
      <c r="D172" s="0" t="s">
        <v>2044</v>
      </c>
      <c r="E172" s="0" t="s">
        <v>2045</v>
      </c>
      <c r="F172" s="0" t="s">
        <v>2046</v>
      </c>
      <c r="G172" s="0" t="s">
        <v>2096</v>
      </c>
      <c r="H172" s="0" t="s">
        <v>2048</v>
      </c>
      <c r="I172" s="0" t="s">
        <v>2097</v>
      </c>
      <c r="J172" s="0" t="s">
        <v>2049</v>
      </c>
      <c r="K172" s="272" t="n">
        <v>23080.695</v>
      </c>
    </row>
    <row r="173" customFormat="false" ht="15" hidden="false" customHeight="false" outlineLevel="0" collapsed="false">
      <c r="A173" s="0" t="s">
        <v>2041</v>
      </c>
      <c r="B173" s="0" t="s">
        <v>2042</v>
      </c>
      <c r="C173" s="0" t="s">
        <v>2050</v>
      </c>
      <c r="D173" s="0" t="s">
        <v>2044</v>
      </c>
      <c r="E173" s="0" t="s">
        <v>2045</v>
      </c>
      <c r="F173" s="0" t="s">
        <v>2046</v>
      </c>
      <c r="G173" s="0" t="s">
        <v>2096</v>
      </c>
      <c r="H173" s="0" t="s">
        <v>2048</v>
      </c>
      <c r="I173" s="0" t="s">
        <v>2097</v>
      </c>
      <c r="J173" s="0" t="s">
        <v>2049</v>
      </c>
      <c r="K173" s="272" t="n">
        <v>295906.36</v>
      </c>
    </row>
    <row r="174" customFormat="false" ht="15" hidden="false" customHeight="false" outlineLevel="0" collapsed="false">
      <c r="A174" s="0" t="s">
        <v>2041</v>
      </c>
      <c r="B174" s="0" t="s">
        <v>2042</v>
      </c>
      <c r="C174" s="0" t="s">
        <v>2043</v>
      </c>
      <c r="D174" s="0" t="s">
        <v>2044</v>
      </c>
      <c r="E174" s="0" t="s">
        <v>2045</v>
      </c>
      <c r="F174" s="0" t="s">
        <v>2051</v>
      </c>
      <c r="G174" s="0" t="s">
        <v>2096</v>
      </c>
      <c r="H174" s="0" t="s">
        <v>2052</v>
      </c>
      <c r="I174" s="0" t="s">
        <v>2097</v>
      </c>
      <c r="J174" s="0" t="s">
        <v>2049</v>
      </c>
      <c r="K174" s="272" t="n">
        <v>23080.695</v>
      </c>
    </row>
    <row r="175" customFormat="false" ht="15" hidden="false" customHeight="false" outlineLevel="0" collapsed="false">
      <c r="A175" s="0" t="s">
        <v>2041</v>
      </c>
      <c r="B175" s="0" t="s">
        <v>2042</v>
      </c>
      <c r="C175" s="0" t="s">
        <v>2050</v>
      </c>
      <c r="D175" s="0" t="s">
        <v>2044</v>
      </c>
      <c r="E175" s="0" t="s">
        <v>2045</v>
      </c>
      <c r="F175" s="0" t="s">
        <v>2051</v>
      </c>
      <c r="G175" s="0" t="s">
        <v>2096</v>
      </c>
      <c r="H175" s="0" t="s">
        <v>2052</v>
      </c>
      <c r="I175" s="0" t="s">
        <v>2097</v>
      </c>
      <c r="J175" s="0" t="s">
        <v>2049</v>
      </c>
      <c r="K175" s="272" t="n">
        <v>295906.36</v>
      </c>
    </row>
    <row r="176" customFormat="false" ht="15" hidden="false" customHeight="false" outlineLevel="0" collapsed="false">
      <c r="A176" s="0" t="s">
        <v>2041</v>
      </c>
      <c r="B176" s="0" t="s">
        <v>2042</v>
      </c>
      <c r="C176" s="0" t="s">
        <v>2043</v>
      </c>
      <c r="D176" s="0" t="s">
        <v>2044</v>
      </c>
      <c r="E176" s="0" t="s">
        <v>2045</v>
      </c>
      <c r="F176" s="0" t="s">
        <v>2046</v>
      </c>
      <c r="G176" s="0" t="s">
        <v>2098</v>
      </c>
      <c r="H176" s="0" t="s">
        <v>2048</v>
      </c>
      <c r="J176" s="0" t="s">
        <v>2049</v>
      </c>
      <c r="K176" s="272" t="n">
        <v>86701.7564</v>
      </c>
    </row>
    <row r="177" customFormat="false" ht="15" hidden="false" customHeight="false" outlineLevel="0" collapsed="false">
      <c r="A177" s="0" t="s">
        <v>2041</v>
      </c>
      <c r="B177" s="0" t="s">
        <v>2042</v>
      </c>
      <c r="C177" s="0" t="s">
        <v>2050</v>
      </c>
      <c r="D177" s="0" t="s">
        <v>2044</v>
      </c>
      <c r="E177" s="0" t="s">
        <v>2045</v>
      </c>
      <c r="F177" s="0" t="s">
        <v>2046</v>
      </c>
      <c r="G177" s="0" t="s">
        <v>2098</v>
      </c>
      <c r="H177" s="0" t="s">
        <v>2048</v>
      </c>
      <c r="J177" s="0" t="s">
        <v>2049</v>
      </c>
      <c r="K177" s="272" t="n">
        <v>287091.9212</v>
      </c>
    </row>
    <row r="178" customFormat="false" ht="15" hidden="false" customHeight="false" outlineLevel="0" collapsed="false">
      <c r="A178" s="0" t="s">
        <v>2041</v>
      </c>
      <c r="B178" s="0" t="s">
        <v>2042</v>
      </c>
      <c r="C178" s="0" t="s">
        <v>2043</v>
      </c>
      <c r="D178" s="0" t="s">
        <v>2044</v>
      </c>
      <c r="E178" s="0" t="s">
        <v>2045</v>
      </c>
      <c r="F178" s="0" t="s">
        <v>2051</v>
      </c>
      <c r="G178" s="0" t="s">
        <v>2098</v>
      </c>
      <c r="H178" s="0" t="s">
        <v>2052</v>
      </c>
      <c r="J178" s="0" t="s">
        <v>2049</v>
      </c>
      <c r="K178" s="272" t="n">
        <v>1769.4236</v>
      </c>
    </row>
    <row r="179" customFormat="false" ht="15" hidden="false" customHeight="false" outlineLevel="0" collapsed="false">
      <c r="A179" s="0" t="s">
        <v>2041</v>
      </c>
      <c r="B179" s="0" t="s">
        <v>2042</v>
      </c>
      <c r="C179" s="0" t="s">
        <v>2050</v>
      </c>
      <c r="D179" s="0" t="s">
        <v>2044</v>
      </c>
      <c r="E179" s="0" t="s">
        <v>2045</v>
      </c>
      <c r="F179" s="0" t="s">
        <v>2051</v>
      </c>
      <c r="G179" s="0" t="s">
        <v>2098</v>
      </c>
      <c r="H179" s="0" t="s">
        <v>2052</v>
      </c>
      <c r="J179" s="0" t="s">
        <v>2049</v>
      </c>
      <c r="K179" s="272" t="n">
        <v>5859.0188</v>
      </c>
    </row>
    <row r="180" customFormat="false" ht="15" hidden="false" customHeight="false" outlineLevel="0" collapsed="false">
      <c r="A180" s="0" t="s">
        <v>2041</v>
      </c>
      <c r="B180" s="0" t="s">
        <v>2042</v>
      </c>
      <c r="C180" s="0" t="s">
        <v>2043</v>
      </c>
      <c r="D180" s="0" t="s">
        <v>2044</v>
      </c>
      <c r="E180" s="0" t="s">
        <v>2045</v>
      </c>
      <c r="F180" s="0" t="s">
        <v>2099</v>
      </c>
      <c r="G180" s="0" t="s">
        <v>2064</v>
      </c>
      <c r="H180" s="0" t="s">
        <v>2100</v>
      </c>
      <c r="J180" s="0" t="s">
        <v>2049</v>
      </c>
      <c r="K180" s="272" t="n">
        <v>132262.94</v>
      </c>
    </row>
    <row r="181" customFormat="false" ht="15" hidden="false" customHeight="false" outlineLevel="0" collapsed="false">
      <c r="A181" s="0" t="s">
        <v>2041</v>
      </c>
      <c r="B181" s="0" t="s">
        <v>2042</v>
      </c>
      <c r="C181" s="0" t="s">
        <v>2050</v>
      </c>
      <c r="D181" s="0" t="s">
        <v>2044</v>
      </c>
      <c r="E181" s="0" t="s">
        <v>2045</v>
      </c>
      <c r="F181" s="0" t="s">
        <v>2099</v>
      </c>
      <c r="G181" s="0" t="s">
        <v>2064</v>
      </c>
      <c r="H181" s="0" t="s">
        <v>2100</v>
      </c>
      <c r="J181" s="0" t="s">
        <v>2049</v>
      </c>
      <c r="K181" s="272" t="n">
        <v>437956.76</v>
      </c>
    </row>
    <row r="182" customFormat="false" ht="15" hidden="false" customHeight="false" outlineLevel="0" collapsed="false">
      <c r="A182" s="0" t="s">
        <v>2041</v>
      </c>
      <c r="B182" s="0" t="s">
        <v>2042</v>
      </c>
      <c r="C182" s="0" t="s">
        <v>2043</v>
      </c>
      <c r="D182" s="0" t="s">
        <v>2044</v>
      </c>
      <c r="E182" s="0" t="s">
        <v>2045</v>
      </c>
      <c r="F182" s="0" t="s">
        <v>2099</v>
      </c>
      <c r="G182" s="0" t="s">
        <v>2076</v>
      </c>
      <c r="H182" s="0" t="s">
        <v>2100</v>
      </c>
      <c r="J182" s="0" t="s">
        <v>2049</v>
      </c>
      <c r="K182" s="272" t="n">
        <v>95460.86</v>
      </c>
    </row>
    <row r="183" customFormat="false" ht="15" hidden="false" customHeight="false" outlineLevel="0" collapsed="false">
      <c r="A183" s="0" t="s">
        <v>2041</v>
      </c>
      <c r="B183" s="0" t="s">
        <v>2042</v>
      </c>
      <c r="C183" s="0" t="s">
        <v>2050</v>
      </c>
      <c r="D183" s="0" t="s">
        <v>2044</v>
      </c>
      <c r="E183" s="0" t="s">
        <v>2045</v>
      </c>
      <c r="F183" s="0" t="s">
        <v>2099</v>
      </c>
      <c r="G183" s="0" t="s">
        <v>2076</v>
      </c>
      <c r="H183" s="0" t="s">
        <v>2100</v>
      </c>
      <c r="J183" s="0" t="s">
        <v>2049</v>
      </c>
      <c r="K183" s="272" t="n">
        <v>316095.58</v>
      </c>
    </row>
    <row r="184" customFormat="false" ht="15" hidden="false" customHeight="false" outlineLevel="0" collapsed="false">
      <c r="A184" s="0" t="s">
        <v>2041</v>
      </c>
      <c r="B184" s="0" t="s">
        <v>2042</v>
      </c>
      <c r="C184" s="0" t="s">
        <v>2043</v>
      </c>
      <c r="D184" s="0" t="s">
        <v>2044</v>
      </c>
      <c r="E184" s="0" t="s">
        <v>2045</v>
      </c>
      <c r="F184" s="0" t="s">
        <v>2099</v>
      </c>
      <c r="G184" s="0" t="s">
        <v>2081</v>
      </c>
      <c r="H184" s="0" t="s">
        <v>2100</v>
      </c>
      <c r="J184" s="0" t="s">
        <v>2049</v>
      </c>
      <c r="K184" s="272" t="n">
        <v>89695.14</v>
      </c>
    </row>
    <row r="185" customFormat="false" ht="15" hidden="false" customHeight="false" outlineLevel="0" collapsed="false">
      <c r="A185" s="0" t="s">
        <v>2041</v>
      </c>
      <c r="B185" s="0" t="s">
        <v>2042</v>
      </c>
      <c r="C185" s="0" t="s">
        <v>2050</v>
      </c>
      <c r="D185" s="0" t="s">
        <v>2044</v>
      </c>
      <c r="E185" s="0" t="s">
        <v>2045</v>
      </c>
      <c r="F185" s="0" t="s">
        <v>2099</v>
      </c>
      <c r="G185" s="0" t="s">
        <v>2081</v>
      </c>
      <c r="H185" s="0" t="s">
        <v>2100</v>
      </c>
      <c r="J185" s="0" t="s">
        <v>2049</v>
      </c>
      <c r="K185" s="272" t="n">
        <v>297003.78</v>
      </c>
    </row>
    <row r="186" customFormat="false" ht="15" hidden="false" customHeight="false" outlineLevel="0" collapsed="false">
      <c r="A186" s="0" t="s">
        <v>2041</v>
      </c>
      <c r="B186" s="0" t="s">
        <v>2042</v>
      </c>
      <c r="C186" s="0" t="s">
        <v>2043</v>
      </c>
      <c r="D186" s="0" t="s">
        <v>2044</v>
      </c>
      <c r="E186" s="0" t="s">
        <v>2045</v>
      </c>
      <c r="F186" s="0" t="s">
        <v>2099</v>
      </c>
      <c r="G186" s="0" t="s">
        <v>2085</v>
      </c>
      <c r="H186" s="0" t="s">
        <v>2100</v>
      </c>
      <c r="J186" s="0" t="s">
        <v>2049</v>
      </c>
      <c r="K186" s="272" t="n">
        <v>98809.36</v>
      </c>
    </row>
    <row r="187" customFormat="false" ht="15" hidden="false" customHeight="false" outlineLevel="0" collapsed="false">
      <c r="A187" s="0" t="s">
        <v>2041</v>
      </c>
      <c r="B187" s="0" t="s">
        <v>2042</v>
      </c>
      <c r="C187" s="0" t="s">
        <v>2050</v>
      </c>
      <c r="D187" s="0" t="s">
        <v>2044</v>
      </c>
      <c r="E187" s="0" t="s">
        <v>2045</v>
      </c>
      <c r="F187" s="0" t="s">
        <v>2099</v>
      </c>
      <c r="G187" s="0" t="s">
        <v>2085</v>
      </c>
      <c r="H187" s="0" t="s">
        <v>2100</v>
      </c>
      <c r="J187" s="0" t="s">
        <v>2049</v>
      </c>
      <c r="K187" s="272" t="n">
        <v>327183.3</v>
      </c>
    </row>
    <row r="188" customFormat="false" ht="15" hidden="false" customHeight="false" outlineLevel="0" collapsed="false">
      <c r="A188" s="0" t="s">
        <v>2041</v>
      </c>
      <c r="B188" s="0" t="s">
        <v>2042</v>
      </c>
      <c r="C188" s="0" t="s">
        <v>2043</v>
      </c>
      <c r="D188" s="0" t="s">
        <v>2044</v>
      </c>
      <c r="E188" s="0" t="s">
        <v>2045</v>
      </c>
      <c r="F188" s="0" t="s">
        <v>2099</v>
      </c>
      <c r="G188" s="0" t="s">
        <v>2086</v>
      </c>
      <c r="H188" s="0" t="s">
        <v>2100</v>
      </c>
      <c r="J188" s="0" t="s">
        <v>2049</v>
      </c>
      <c r="K188" s="272" t="n">
        <v>42299.28</v>
      </c>
    </row>
    <row r="189" customFormat="false" ht="15" hidden="false" customHeight="false" outlineLevel="0" collapsed="false">
      <c r="A189" s="0" t="s">
        <v>2041</v>
      </c>
      <c r="B189" s="0" t="s">
        <v>2042</v>
      </c>
      <c r="C189" s="0" t="s">
        <v>2050</v>
      </c>
      <c r="D189" s="0" t="s">
        <v>2044</v>
      </c>
      <c r="E189" s="0" t="s">
        <v>2045</v>
      </c>
      <c r="F189" s="0" t="s">
        <v>2099</v>
      </c>
      <c r="G189" s="0" t="s">
        <v>2086</v>
      </c>
      <c r="H189" s="0" t="s">
        <v>2100</v>
      </c>
      <c r="J189" s="0" t="s">
        <v>2049</v>
      </c>
      <c r="K189" s="272" t="n">
        <v>140063.85</v>
      </c>
    </row>
    <row r="190" customFormat="false" ht="15" hidden="false" customHeight="false" outlineLevel="0" collapsed="false">
      <c r="A190" s="0" t="s">
        <v>2041</v>
      </c>
      <c r="B190" s="0" t="s">
        <v>2042</v>
      </c>
      <c r="C190" s="0" t="s">
        <v>2043</v>
      </c>
      <c r="D190" s="0" t="s">
        <v>2044</v>
      </c>
      <c r="E190" s="0" t="s">
        <v>2045</v>
      </c>
      <c r="F190" s="0" t="s">
        <v>2099</v>
      </c>
      <c r="G190" s="0" t="s">
        <v>2095</v>
      </c>
      <c r="H190" s="0" t="s">
        <v>2100</v>
      </c>
      <c r="J190" s="0" t="s">
        <v>2049</v>
      </c>
      <c r="K190" s="272" t="n">
        <v>53005.15</v>
      </c>
    </row>
    <row r="191" customFormat="false" ht="15" hidden="false" customHeight="false" outlineLevel="0" collapsed="false">
      <c r="A191" s="0" t="s">
        <v>2041</v>
      </c>
      <c r="B191" s="0" t="s">
        <v>2042</v>
      </c>
      <c r="C191" s="0" t="s">
        <v>2050</v>
      </c>
      <c r="D191" s="0" t="s">
        <v>2044</v>
      </c>
      <c r="E191" s="0" t="s">
        <v>2045</v>
      </c>
      <c r="F191" s="0" t="s">
        <v>2099</v>
      </c>
      <c r="G191" s="0" t="s">
        <v>2095</v>
      </c>
      <c r="H191" s="0" t="s">
        <v>2100</v>
      </c>
      <c r="J191" s="0" t="s">
        <v>2049</v>
      </c>
      <c r="K191" s="272" t="n">
        <v>175513.73</v>
      </c>
    </row>
    <row r="192" customFormat="false" ht="15" hidden="false" customHeight="false" outlineLevel="0" collapsed="false">
      <c r="A192" s="0" t="s">
        <v>2041</v>
      </c>
      <c r="B192" s="0" t="s">
        <v>2042</v>
      </c>
      <c r="C192" s="0" t="s">
        <v>2043</v>
      </c>
      <c r="D192" s="0" t="s">
        <v>2044</v>
      </c>
      <c r="E192" s="0" t="s">
        <v>2045</v>
      </c>
      <c r="F192" s="0" t="s">
        <v>2099</v>
      </c>
      <c r="G192" s="0" t="s">
        <v>2096</v>
      </c>
      <c r="H192" s="0" t="s">
        <v>2100</v>
      </c>
      <c r="I192" s="0" t="s">
        <v>2101</v>
      </c>
      <c r="J192" s="0" t="s">
        <v>2049</v>
      </c>
      <c r="K192" s="272" t="n">
        <v>66722.88</v>
      </c>
    </row>
    <row r="193" customFormat="false" ht="15" hidden="false" customHeight="false" outlineLevel="0" collapsed="false">
      <c r="A193" s="0" t="s">
        <v>2041</v>
      </c>
      <c r="B193" s="0" t="s">
        <v>2042</v>
      </c>
      <c r="C193" s="0" t="s">
        <v>2050</v>
      </c>
      <c r="D193" s="0" t="s">
        <v>2044</v>
      </c>
      <c r="E193" s="0" t="s">
        <v>2045</v>
      </c>
      <c r="F193" s="0" t="s">
        <v>2099</v>
      </c>
      <c r="G193" s="0" t="s">
        <v>2096</v>
      </c>
      <c r="H193" s="0" t="s">
        <v>2100</v>
      </c>
      <c r="I193" s="0" t="s">
        <v>2101</v>
      </c>
      <c r="J193" s="0" t="s">
        <v>2049</v>
      </c>
      <c r="K193" s="272" t="n">
        <v>220936.69</v>
      </c>
    </row>
    <row r="194" customFormat="false" ht="15" hidden="false" customHeight="false" outlineLevel="0" collapsed="false">
      <c r="A194" s="0" t="s">
        <v>2041</v>
      </c>
      <c r="B194" s="0" t="s">
        <v>2042</v>
      </c>
      <c r="C194" s="0" t="s">
        <v>2050</v>
      </c>
      <c r="D194" s="0" t="s">
        <v>2044</v>
      </c>
      <c r="E194" s="0" t="s">
        <v>2045</v>
      </c>
      <c r="F194" s="0" t="s">
        <v>2051</v>
      </c>
      <c r="G194" s="0" t="s">
        <v>2047</v>
      </c>
      <c r="H194" s="0" t="s">
        <v>2052</v>
      </c>
      <c r="I194" s="0" t="s">
        <v>1685</v>
      </c>
      <c r="J194" s="0" t="s">
        <v>2102</v>
      </c>
      <c r="K194" s="272" t="n">
        <v>-19792.08</v>
      </c>
    </row>
    <row r="195" customFormat="false" ht="15" hidden="false" customHeight="false" outlineLevel="0" collapsed="false">
      <c r="A195" s="0" t="s">
        <v>2041</v>
      </c>
      <c r="B195" s="0" t="s">
        <v>2042</v>
      </c>
      <c r="C195" s="0" t="s">
        <v>2050</v>
      </c>
      <c r="D195" s="0" t="s">
        <v>2044</v>
      </c>
      <c r="E195" s="0" t="s">
        <v>2045</v>
      </c>
      <c r="F195" s="0" t="s">
        <v>2051</v>
      </c>
      <c r="G195" s="0" t="s">
        <v>2053</v>
      </c>
      <c r="H195" s="0" t="s">
        <v>2052</v>
      </c>
      <c r="I195" s="0" t="s">
        <v>1685</v>
      </c>
      <c r="J195" s="0" t="s">
        <v>2102</v>
      </c>
      <c r="K195" s="272" t="n">
        <v>-8238.51875</v>
      </c>
    </row>
    <row r="196" customFormat="false" ht="15" hidden="false" customHeight="false" outlineLevel="0" collapsed="false">
      <c r="A196" s="0" t="s">
        <v>2041</v>
      </c>
      <c r="B196" s="0" t="s">
        <v>2042</v>
      </c>
      <c r="C196" s="0" t="s">
        <v>2050</v>
      </c>
      <c r="D196" s="0" t="s">
        <v>2044</v>
      </c>
      <c r="E196" s="0" t="s">
        <v>2045</v>
      </c>
      <c r="F196" s="0" t="s">
        <v>2051</v>
      </c>
      <c r="G196" s="0" t="s">
        <v>2054</v>
      </c>
      <c r="H196" s="0" t="s">
        <v>2052</v>
      </c>
      <c r="I196" s="0" t="s">
        <v>1685</v>
      </c>
      <c r="J196" s="0" t="s">
        <v>2102</v>
      </c>
      <c r="K196" s="272" t="n">
        <v>-24404.3415</v>
      </c>
    </row>
    <row r="197" customFormat="false" ht="15" hidden="false" customHeight="false" outlineLevel="0" collapsed="false">
      <c r="A197" s="0" t="s">
        <v>2041</v>
      </c>
      <c r="B197" s="0" t="s">
        <v>2042</v>
      </c>
      <c r="C197" s="0" t="s">
        <v>2050</v>
      </c>
      <c r="D197" s="0" t="s">
        <v>2044</v>
      </c>
      <c r="E197" s="0" t="s">
        <v>2045</v>
      </c>
      <c r="F197" s="0" t="s">
        <v>2051</v>
      </c>
      <c r="G197" s="0" t="s">
        <v>2055</v>
      </c>
      <c r="H197" s="0" t="s">
        <v>2052</v>
      </c>
      <c r="I197" s="0" t="s">
        <v>1685</v>
      </c>
      <c r="J197" s="0" t="s">
        <v>2102</v>
      </c>
      <c r="K197" s="272" t="n">
        <v>-150031.6125</v>
      </c>
    </row>
    <row r="198" customFormat="false" ht="15" hidden="false" customHeight="false" outlineLevel="0" collapsed="false">
      <c r="A198" s="0" t="s">
        <v>2041</v>
      </c>
      <c r="B198" s="0" t="s">
        <v>2042</v>
      </c>
      <c r="C198" s="0" t="s">
        <v>2050</v>
      </c>
      <c r="D198" s="0" t="s">
        <v>2044</v>
      </c>
      <c r="E198" s="0" t="s">
        <v>2045</v>
      </c>
      <c r="F198" s="0" t="s">
        <v>2051</v>
      </c>
      <c r="G198" s="0" t="s">
        <v>2056</v>
      </c>
      <c r="H198" s="0" t="s">
        <v>2052</v>
      </c>
      <c r="I198" s="0" t="s">
        <v>1685</v>
      </c>
      <c r="J198" s="0" t="s">
        <v>2102</v>
      </c>
      <c r="K198" s="272" t="n">
        <v>-149146.44745</v>
      </c>
    </row>
    <row r="199" customFormat="false" ht="15" hidden="false" customHeight="false" outlineLevel="0" collapsed="false">
      <c r="A199" s="0" t="s">
        <v>2041</v>
      </c>
      <c r="B199" s="0" t="s">
        <v>2042</v>
      </c>
      <c r="C199" s="0" t="s">
        <v>2050</v>
      </c>
      <c r="D199" s="0" t="s">
        <v>2044</v>
      </c>
      <c r="E199" s="0" t="s">
        <v>2045</v>
      </c>
      <c r="F199" s="0" t="s">
        <v>2051</v>
      </c>
      <c r="G199" s="0" t="s">
        <v>2057</v>
      </c>
      <c r="H199" s="0" t="s">
        <v>2052</v>
      </c>
      <c r="I199" s="0" t="s">
        <v>1685</v>
      </c>
      <c r="J199" s="0" t="s">
        <v>2102</v>
      </c>
      <c r="K199" s="272" t="n">
        <v>-104957.93</v>
      </c>
    </row>
    <row r="200" customFormat="false" ht="15" hidden="false" customHeight="false" outlineLevel="0" collapsed="false">
      <c r="A200" s="0" t="s">
        <v>2041</v>
      </c>
      <c r="B200" s="0" t="s">
        <v>2042</v>
      </c>
      <c r="C200" s="0" t="s">
        <v>2050</v>
      </c>
      <c r="D200" s="0" t="s">
        <v>2044</v>
      </c>
      <c r="E200" s="0" t="s">
        <v>2045</v>
      </c>
      <c r="F200" s="0" t="s">
        <v>2051</v>
      </c>
      <c r="G200" s="0" t="s">
        <v>2058</v>
      </c>
      <c r="H200" s="0" t="s">
        <v>2052</v>
      </c>
      <c r="I200" s="0" t="s">
        <v>1685</v>
      </c>
      <c r="J200" s="0" t="s">
        <v>2102</v>
      </c>
      <c r="K200" s="272" t="n">
        <v>-25756.5</v>
      </c>
    </row>
    <row r="201" customFormat="false" ht="15" hidden="false" customHeight="false" outlineLevel="0" collapsed="false">
      <c r="A201" s="0" t="s">
        <v>2041</v>
      </c>
      <c r="B201" s="0" t="s">
        <v>2042</v>
      </c>
      <c r="C201" s="0" t="s">
        <v>2050</v>
      </c>
      <c r="D201" s="0" t="s">
        <v>2044</v>
      </c>
      <c r="E201" s="0" t="s">
        <v>2045</v>
      </c>
      <c r="F201" s="0" t="s">
        <v>2051</v>
      </c>
      <c r="G201" s="0" t="s">
        <v>2059</v>
      </c>
      <c r="H201" s="0" t="s">
        <v>2052</v>
      </c>
      <c r="I201" s="0" t="s">
        <v>1685</v>
      </c>
      <c r="J201" s="0" t="s">
        <v>2102</v>
      </c>
      <c r="K201" s="272" t="n">
        <v>-27255.69</v>
      </c>
    </row>
    <row r="202" customFormat="false" ht="15" hidden="false" customHeight="false" outlineLevel="0" collapsed="false">
      <c r="A202" s="0" t="s">
        <v>2041</v>
      </c>
      <c r="B202" s="0" t="s">
        <v>2042</v>
      </c>
      <c r="C202" s="0" t="s">
        <v>2050</v>
      </c>
      <c r="D202" s="0" t="s">
        <v>2044</v>
      </c>
      <c r="E202" s="0" t="s">
        <v>2045</v>
      </c>
      <c r="F202" s="0" t="s">
        <v>2051</v>
      </c>
      <c r="G202" s="0" t="s">
        <v>2060</v>
      </c>
      <c r="H202" s="0" t="s">
        <v>2052</v>
      </c>
      <c r="I202" s="0" t="s">
        <v>1685</v>
      </c>
      <c r="J202" s="0" t="s">
        <v>2102</v>
      </c>
      <c r="K202" s="272" t="n">
        <v>-5754.59885</v>
      </c>
    </row>
    <row r="203" customFormat="false" ht="15" hidden="false" customHeight="false" outlineLevel="0" collapsed="false">
      <c r="A203" s="0" t="s">
        <v>2041</v>
      </c>
      <c r="B203" s="0" t="s">
        <v>2042</v>
      </c>
      <c r="C203" s="0" t="s">
        <v>2050</v>
      </c>
      <c r="D203" s="0" t="s">
        <v>2044</v>
      </c>
      <c r="E203" s="0" t="s">
        <v>2045</v>
      </c>
      <c r="F203" s="0" t="s">
        <v>2051</v>
      </c>
      <c r="G203" s="0" t="s">
        <v>2061</v>
      </c>
      <c r="H203" s="0" t="s">
        <v>2052</v>
      </c>
      <c r="I203" s="0" t="s">
        <v>1685</v>
      </c>
      <c r="J203" s="0" t="s">
        <v>2102</v>
      </c>
      <c r="K203" s="272" t="n">
        <v>-7190.106</v>
      </c>
    </row>
    <row r="204" customFormat="false" ht="15" hidden="false" customHeight="false" outlineLevel="0" collapsed="false">
      <c r="A204" s="0" t="s">
        <v>2041</v>
      </c>
      <c r="B204" s="0" t="s">
        <v>2042</v>
      </c>
      <c r="C204" s="0" t="s">
        <v>2050</v>
      </c>
      <c r="D204" s="0" t="s">
        <v>2044</v>
      </c>
      <c r="E204" s="0" t="s">
        <v>2045</v>
      </c>
      <c r="F204" s="0" t="s">
        <v>2051</v>
      </c>
      <c r="G204" s="0" t="s">
        <v>2062</v>
      </c>
      <c r="H204" s="0" t="s">
        <v>2052</v>
      </c>
      <c r="I204" s="0" t="s">
        <v>1685</v>
      </c>
      <c r="J204" s="0" t="s">
        <v>2102</v>
      </c>
      <c r="K204" s="272" t="n">
        <v>-27592.3725</v>
      </c>
    </row>
    <row r="205" customFormat="false" ht="15" hidden="false" customHeight="false" outlineLevel="0" collapsed="false">
      <c r="A205" s="0" t="s">
        <v>2041</v>
      </c>
      <c r="B205" s="0" t="s">
        <v>2042</v>
      </c>
      <c r="C205" s="0" t="s">
        <v>2050</v>
      </c>
      <c r="D205" s="0" t="s">
        <v>2044</v>
      </c>
      <c r="E205" s="0" t="s">
        <v>2045</v>
      </c>
      <c r="F205" s="0" t="s">
        <v>2051</v>
      </c>
      <c r="G205" s="0" t="s">
        <v>2063</v>
      </c>
      <c r="H205" s="0" t="s">
        <v>2052</v>
      </c>
      <c r="I205" s="0" t="s">
        <v>1685</v>
      </c>
      <c r="J205" s="0" t="s">
        <v>2102</v>
      </c>
      <c r="K205" s="272" t="n">
        <v>-45979.5875</v>
      </c>
    </row>
    <row r="206" customFormat="false" ht="15" hidden="false" customHeight="false" outlineLevel="0" collapsed="false">
      <c r="A206" s="0" t="s">
        <v>2041</v>
      </c>
      <c r="B206" s="0" t="s">
        <v>2042</v>
      </c>
      <c r="C206" s="0" t="s">
        <v>2050</v>
      </c>
      <c r="D206" s="0" t="s">
        <v>2044</v>
      </c>
      <c r="E206" s="0" t="s">
        <v>2045</v>
      </c>
      <c r="F206" s="0" t="s">
        <v>2051</v>
      </c>
      <c r="G206" s="0" t="s">
        <v>2064</v>
      </c>
      <c r="H206" s="0" t="s">
        <v>2052</v>
      </c>
      <c r="I206" s="0" t="s">
        <v>1685</v>
      </c>
      <c r="J206" s="0" t="s">
        <v>2102</v>
      </c>
      <c r="K206" s="272" t="n">
        <v>-435658.3</v>
      </c>
    </row>
    <row r="207" customFormat="false" ht="15" hidden="false" customHeight="false" outlineLevel="0" collapsed="false">
      <c r="A207" s="0" t="s">
        <v>2041</v>
      </c>
      <c r="B207" s="0" t="s">
        <v>2042</v>
      </c>
      <c r="C207" s="0" t="s">
        <v>2050</v>
      </c>
      <c r="D207" s="0" t="s">
        <v>2044</v>
      </c>
      <c r="E207" s="0" t="s">
        <v>2045</v>
      </c>
      <c r="F207" s="0" t="s">
        <v>2051</v>
      </c>
      <c r="G207" s="0" t="s">
        <v>2065</v>
      </c>
      <c r="H207" s="0" t="s">
        <v>2052</v>
      </c>
      <c r="I207" s="0" t="s">
        <v>1685</v>
      </c>
      <c r="J207" s="0" t="s">
        <v>2102</v>
      </c>
      <c r="K207" s="272" t="n">
        <v>-1078</v>
      </c>
    </row>
    <row r="208" customFormat="false" ht="15" hidden="false" customHeight="false" outlineLevel="0" collapsed="false">
      <c r="A208" s="0" t="s">
        <v>2041</v>
      </c>
      <c r="B208" s="0" t="s">
        <v>2042</v>
      </c>
      <c r="C208" s="0" t="s">
        <v>2050</v>
      </c>
      <c r="D208" s="0" t="s">
        <v>2044</v>
      </c>
      <c r="E208" s="0" t="s">
        <v>2045</v>
      </c>
      <c r="F208" s="0" t="s">
        <v>2051</v>
      </c>
      <c r="G208" s="0" t="s">
        <v>2066</v>
      </c>
      <c r="H208" s="0" t="s">
        <v>2052</v>
      </c>
      <c r="I208" s="0" t="s">
        <v>1685</v>
      </c>
      <c r="J208" s="0" t="s">
        <v>2102</v>
      </c>
      <c r="K208" s="272" t="n">
        <v>-6774.6525</v>
      </c>
    </row>
    <row r="209" customFormat="false" ht="15" hidden="false" customHeight="false" outlineLevel="0" collapsed="false">
      <c r="A209" s="0" t="s">
        <v>2041</v>
      </c>
      <c r="B209" s="0" t="s">
        <v>2042</v>
      </c>
      <c r="C209" s="0" t="s">
        <v>2050</v>
      </c>
      <c r="D209" s="0" t="s">
        <v>2044</v>
      </c>
      <c r="E209" s="0" t="s">
        <v>2045</v>
      </c>
      <c r="F209" s="0" t="s">
        <v>2051</v>
      </c>
      <c r="G209" s="0" t="s">
        <v>2067</v>
      </c>
      <c r="H209" s="0" t="s">
        <v>2052</v>
      </c>
      <c r="I209" s="0" t="s">
        <v>1685</v>
      </c>
      <c r="J209" s="0" t="s">
        <v>2102</v>
      </c>
      <c r="K209" s="272" t="n">
        <v>-191980.4425</v>
      </c>
    </row>
    <row r="210" customFormat="false" ht="15" hidden="false" customHeight="false" outlineLevel="0" collapsed="false">
      <c r="A210" s="0" t="s">
        <v>2041</v>
      </c>
      <c r="B210" s="0" t="s">
        <v>2042</v>
      </c>
      <c r="C210" s="0" t="s">
        <v>2050</v>
      </c>
      <c r="D210" s="0" t="s">
        <v>2044</v>
      </c>
      <c r="E210" s="0" t="s">
        <v>2045</v>
      </c>
      <c r="F210" s="0" t="s">
        <v>2051</v>
      </c>
      <c r="G210" s="0" t="s">
        <v>2068</v>
      </c>
      <c r="H210" s="0" t="s">
        <v>2052</v>
      </c>
      <c r="I210" s="0" t="s">
        <v>1685</v>
      </c>
      <c r="J210" s="0" t="s">
        <v>2102</v>
      </c>
      <c r="K210" s="272" t="n">
        <v>-92153.6</v>
      </c>
    </row>
    <row r="211" customFormat="false" ht="15" hidden="false" customHeight="false" outlineLevel="0" collapsed="false">
      <c r="A211" s="0" t="s">
        <v>2041</v>
      </c>
      <c r="B211" s="0" t="s">
        <v>2042</v>
      </c>
      <c r="C211" s="0" t="s">
        <v>2050</v>
      </c>
      <c r="D211" s="0" t="s">
        <v>2044</v>
      </c>
      <c r="E211" s="0" t="s">
        <v>2045</v>
      </c>
      <c r="F211" s="0" t="s">
        <v>2051</v>
      </c>
      <c r="G211" s="0" t="s">
        <v>2070</v>
      </c>
      <c r="H211" s="0" t="s">
        <v>2052</v>
      </c>
      <c r="I211" s="0" t="s">
        <v>1685</v>
      </c>
      <c r="J211" s="0" t="s">
        <v>2102</v>
      </c>
      <c r="K211" s="272" t="n">
        <v>-217091.615125</v>
      </c>
    </row>
    <row r="212" customFormat="false" ht="15" hidden="false" customHeight="false" outlineLevel="0" collapsed="false">
      <c r="A212" s="0" t="s">
        <v>2041</v>
      </c>
      <c r="B212" s="0" t="s">
        <v>2042</v>
      </c>
      <c r="C212" s="0" t="s">
        <v>2050</v>
      </c>
      <c r="D212" s="0" t="s">
        <v>2044</v>
      </c>
      <c r="E212" s="0" t="s">
        <v>2045</v>
      </c>
      <c r="F212" s="0" t="s">
        <v>2051</v>
      </c>
      <c r="G212" s="0" t="s">
        <v>2071</v>
      </c>
      <c r="H212" s="0" t="s">
        <v>2052</v>
      </c>
      <c r="I212" s="0" t="s">
        <v>1685</v>
      </c>
      <c r="J212" s="0" t="s">
        <v>2102</v>
      </c>
      <c r="K212" s="272" t="n">
        <v>-19658.1</v>
      </c>
    </row>
    <row r="213" customFormat="false" ht="15" hidden="false" customHeight="false" outlineLevel="0" collapsed="false">
      <c r="A213" s="0" t="s">
        <v>2041</v>
      </c>
      <c r="B213" s="0" t="s">
        <v>2042</v>
      </c>
      <c r="C213" s="0" t="s">
        <v>2050</v>
      </c>
      <c r="D213" s="0" t="s">
        <v>2044</v>
      </c>
      <c r="E213" s="0" t="s">
        <v>2045</v>
      </c>
      <c r="F213" s="0" t="s">
        <v>2051</v>
      </c>
      <c r="G213" s="0" t="s">
        <v>2072</v>
      </c>
      <c r="H213" s="0" t="s">
        <v>2052</v>
      </c>
      <c r="I213" s="0" t="s">
        <v>1685</v>
      </c>
      <c r="J213" s="0" t="s">
        <v>2102</v>
      </c>
      <c r="K213" s="272" t="n">
        <v>-213808.889525</v>
      </c>
    </row>
    <row r="214" customFormat="false" ht="15" hidden="false" customHeight="false" outlineLevel="0" collapsed="false">
      <c r="A214" s="0" t="s">
        <v>2041</v>
      </c>
      <c r="B214" s="0" t="s">
        <v>2042</v>
      </c>
      <c r="C214" s="0" t="s">
        <v>2050</v>
      </c>
      <c r="D214" s="0" t="s">
        <v>2044</v>
      </c>
      <c r="E214" s="0" t="s">
        <v>2045</v>
      </c>
      <c r="F214" s="0" t="s">
        <v>2051</v>
      </c>
      <c r="G214" s="0" t="s">
        <v>2073</v>
      </c>
      <c r="H214" s="0" t="s">
        <v>2052</v>
      </c>
      <c r="I214" s="0" t="s">
        <v>1685</v>
      </c>
      <c r="J214" s="0" t="s">
        <v>2102</v>
      </c>
      <c r="K214" s="272" t="n">
        <v>-419258.07</v>
      </c>
    </row>
    <row r="215" customFormat="false" ht="15" hidden="false" customHeight="false" outlineLevel="0" collapsed="false">
      <c r="A215" s="0" t="s">
        <v>2041</v>
      </c>
      <c r="B215" s="0" t="s">
        <v>2042</v>
      </c>
      <c r="C215" s="0" t="s">
        <v>2050</v>
      </c>
      <c r="D215" s="0" t="s">
        <v>2044</v>
      </c>
      <c r="E215" s="0" t="s">
        <v>2045</v>
      </c>
      <c r="F215" s="0" t="s">
        <v>2051</v>
      </c>
      <c r="G215" s="0" t="s">
        <v>2074</v>
      </c>
      <c r="H215" s="0" t="s">
        <v>2052</v>
      </c>
      <c r="I215" s="0" t="s">
        <v>1685</v>
      </c>
      <c r="J215" s="0" t="s">
        <v>2102</v>
      </c>
      <c r="K215" s="272" t="n">
        <v>-99984.5</v>
      </c>
    </row>
    <row r="216" customFormat="false" ht="15" hidden="false" customHeight="false" outlineLevel="0" collapsed="false">
      <c r="A216" s="0" t="s">
        <v>2041</v>
      </c>
      <c r="B216" s="0" t="s">
        <v>2042</v>
      </c>
      <c r="C216" s="0" t="s">
        <v>2050</v>
      </c>
      <c r="D216" s="0" t="s">
        <v>2044</v>
      </c>
      <c r="E216" s="0" t="s">
        <v>2045</v>
      </c>
      <c r="F216" s="0" t="s">
        <v>2051</v>
      </c>
      <c r="G216" s="0" t="s">
        <v>2075</v>
      </c>
      <c r="H216" s="0" t="s">
        <v>2052</v>
      </c>
      <c r="I216" s="0" t="s">
        <v>1685</v>
      </c>
      <c r="J216" s="0" t="s">
        <v>2102</v>
      </c>
      <c r="K216" s="272" t="n">
        <v>-222367.068</v>
      </c>
    </row>
    <row r="217" customFormat="false" ht="15" hidden="false" customHeight="false" outlineLevel="0" collapsed="false">
      <c r="A217" s="0" t="s">
        <v>2041</v>
      </c>
      <c r="B217" s="0" t="s">
        <v>2042</v>
      </c>
      <c r="C217" s="0" t="s">
        <v>2050</v>
      </c>
      <c r="D217" s="0" t="s">
        <v>2044</v>
      </c>
      <c r="E217" s="0" t="s">
        <v>2045</v>
      </c>
      <c r="F217" s="0" t="s">
        <v>2051</v>
      </c>
      <c r="G217" s="0" t="s">
        <v>2076</v>
      </c>
      <c r="H217" s="0" t="s">
        <v>2052</v>
      </c>
      <c r="I217" s="0" t="s">
        <v>1685</v>
      </c>
      <c r="J217" s="0" t="s">
        <v>2102</v>
      </c>
      <c r="K217" s="272" t="n">
        <v>-427312.3855</v>
      </c>
    </row>
    <row r="218" customFormat="false" ht="15" hidden="false" customHeight="false" outlineLevel="0" collapsed="false">
      <c r="A218" s="0" t="s">
        <v>2041</v>
      </c>
      <c r="B218" s="0" t="s">
        <v>2042</v>
      </c>
      <c r="C218" s="0" t="s">
        <v>2050</v>
      </c>
      <c r="D218" s="0" t="s">
        <v>2044</v>
      </c>
      <c r="E218" s="0" t="s">
        <v>2045</v>
      </c>
      <c r="F218" s="0" t="s">
        <v>2051</v>
      </c>
      <c r="G218" s="0" t="s">
        <v>2077</v>
      </c>
      <c r="H218" s="0" t="s">
        <v>2052</v>
      </c>
      <c r="I218" s="0" t="s">
        <v>1685</v>
      </c>
      <c r="J218" s="0" t="s">
        <v>2102</v>
      </c>
      <c r="K218" s="272" t="n">
        <v>-14166.075</v>
      </c>
    </row>
    <row r="219" customFormat="false" ht="15" hidden="false" customHeight="false" outlineLevel="0" collapsed="false">
      <c r="A219" s="0" t="s">
        <v>2041</v>
      </c>
      <c r="B219" s="0" t="s">
        <v>2042</v>
      </c>
      <c r="C219" s="0" t="s">
        <v>2050</v>
      </c>
      <c r="D219" s="0" t="s">
        <v>2044</v>
      </c>
      <c r="E219" s="0" t="s">
        <v>2045</v>
      </c>
      <c r="F219" s="0" t="s">
        <v>2051</v>
      </c>
      <c r="G219" s="0" t="s">
        <v>2078</v>
      </c>
      <c r="H219" s="0" t="s">
        <v>2052</v>
      </c>
      <c r="I219" s="0" t="s">
        <v>1685</v>
      </c>
      <c r="J219" s="0" t="s">
        <v>2102</v>
      </c>
      <c r="K219" s="272" t="n">
        <v>-24729.705</v>
      </c>
    </row>
    <row r="220" customFormat="false" ht="15" hidden="false" customHeight="false" outlineLevel="0" collapsed="false">
      <c r="A220" s="0" t="s">
        <v>2041</v>
      </c>
      <c r="B220" s="0" t="s">
        <v>2042</v>
      </c>
      <c r="C220" s="0" t="s">
        <v>2050</v>
      </c>
      <c r="D220" s="0" t="s">
        <v>2044</v>
      </c>
      <c r="E220" s="0" t="s">
        <v>2045</v>
      </c>
      <c r="F220" s="0" t="s">
        <v>2051</v>
      </c>
      <c r="G220" s="0" t="s">
        <v>2080</v>
      </c>
      <c r="H220" s="0" t="s">
        <v>2052</v>
      </c>
      <c r="I220" s="0" t="s">
        <v>1685</v>
      </c>
      <c r="J220" s="0" t="s">
        <v>2102</v>
      </c>
      <c r="K220" s="272" t="n">
        <v>-6545</v>
      </c>
    </row>
    <row r="221" customFormat="false" ht="15" hidden="false" customHeight="false" outlineLevel="0" collapsed="false">
      <c r="A221" s="0" t="s">
        <v>2041</v>
      </c>
      <c r="B221" s="0" t="s">
        <v>2042</v>
      </c>
      <c r="C221" s="0" t="s">
        <v>2050</v>
      </c>
      <c r="D221" s="0" t="s">
        <v>2044</v>
      </c>
      <c r="E221" s="0" t="s">
        <v>2045</v>
      </c>
      <c r="F221" s="0" t="s">
        <v>2051</v>
      </c>
      <c r="G221" s="0" t="s">
        <v>2081</v>
      </c>
      <c r="H221" s="0" t="s">
        <v>2052</v>
      </c>
      <c r="I221" s="0" t="s">
        <v>1685</v>
      </c>
      <c r="J221" s="0" t="s">
        <v>2102</v>
      </c>
      <c r="K221" s="272" t="n">
        <v>-61831</v>
      </c>
    </row>
    <row r="222" customFormat="false" ht="15" hidden="false" customHeight="false" outlineLevel="0" collapsed="false">
      <c r="A222" s="0" t="s">
        <v>2041</v>
      </c>
      <c r="B222" s="0" t="s">
        <v>2042</v>
      </c>
      <c r="C222" s="0" t="s">
        <v>2050</v>
      </c>
      <c r="D222" s="0" t="s">
        <v>2044</v>
      </c>
      <c r="E222" s="0" t="s">
        <v>2045</v>
      </c>
      <c r="F222" s="0" t="s">
        <v>2051</v>
      </c>
      <c r="G222" s="0" t="s">
        <v>2083</v>
      </c>
      <c r="H222" s="0" t="s">
        <v>2052</v>
      </c>
      <c r="I222" s="0" t="s">
        <v>1685</v>
      </c>
      <c r="J222" s="0" t="s">
        <v>2102</v>
      </c>
      <c r="K222" s="272" t="n">
        <v>-10410.4</v>
      </c>
    </row>
    <row r="223" customFormat="false" ht="15" hidden="false" customHeight="false" outlineLevel="0" collapsed="false">
      <c r="A223" s="0" t="s">
        <v>2041</v>
      </c>
      <c r="B223" s="0" t="s">
        <v>2042</v>
      </c>
      <c r="C223" s="0" t="s">
        <v>2050</v>
      </c>
      <c r="D223" s="0" t="s">
        <v>2044</v>
      </c>
      <c r="E223" s="0" t="s">
        <v>2045</v>
      </c>
      <c r="F223" s="0" t="s">
        <v>2051</v>
      </c>
      <c r="G223" s="0" t="s">
        <v>2084</v>
      </c>
      <c r="H223" s="0" t="s">
        <v>2052</v>
      </c>
      <c r="I223" s="0" t="s">
        <v>1685</v>
      </c>
      <c r="J223" s="0" t="s">
        <v>2102</v>
      </c>
      <c r="K223" s="272" t="n">
        <v>-224013.79</v>
      </c>
    </row>
    <row r="224" customFormat="false" ht="15" hidden="false" customHeight="false" outlineLevel="0" collapsed="false">
      <c r="A224" s="0" t="s">
        <v>2041</v>
      </c>
      <c r="B224" s="0" t="s">
        <v>2042</v>
      </c>
      <c r="C224" s="0" t="s">
        <v>2050</v>
      </c>
      <c r="D224" s="0" t="s">
        <v>2044</v>
      </c>
      <c r="E224" s="0" t="s">
        <v>2045</v>
      </c>
      <c r="F224" s="0" t="s">
        <v>2051</v>
      </c>
      <c r="G224" s="0" t="s">
        <v>2085</v>
      </c>
      <c r="H224" s="0" t="s">
        <v>2052</v>
      </c>
      <c r="I224" s="0" t="s">
        <v>1685</v>
      </c>
      <c r="J224" s="0" t="s">
        <v>2102</v>
      </c>
      <c r="K224" s="272" t="n">
        <v>-221599.532</v>
      </c>
    </row>
    <row r="225" customFormat="false" ht="15" hidden="false" customHeight="false" outlineLevel="0" collapsed="false">
      <c r="A225" s="0" t="s">
        <v>2041</v>
      </c>
      <c r="B225" s="0" t="s">
        <v>2042</v>
      </c>
      <c r="C225" s="0" t="s">
        <v>2050</v>
      </c>
      <c r="D225" s="0" t="s">
        <v>2044</v>
      </c>
      <c r="E225" s="0" t="s">
        <v>2045</v>
      </c>
      <c r="F225" s="0" t="s">
        <v>2051</v>
      </c>
      <c r="G225" s="0" t="s">
        <v>2086</v>
      </c>
      <c r="H225" s="0" t="s">
        <v>2052</v>
      </c>
      <c r="I225" s="0" t="s">
        <v>1685</v>
      </c>
      <c r="J225" s="0" t="s">
        <v>2102</v>
      </c>
      <c r="K225" s="272" t="n">
        <v>-60240.565</v>
      </c>
    </row>
    <row r="226" customFormat="false" ht="15" hidden="false" customHeight="false" outlineLevel="0" collapsed="false">
      <c r="A226" s="0" t="s">
        <v>2041</v>
      </c>
      <c r="B226" s="0" t="s">
        <v>2042</v>
      </c>
      <c r="C226" s="0" t="s">
        <v>2050</v>
      </c>
      <c r="D226" s="0" t="s">
        <v>2044</v>
      </c>
      <c r="E226" s="0" t="s">
        <v>2045</v>
      </c>
      <c r="F226" s="0" t="s">
        <v>2051</v>
      </c>
      <c r="G226" s="0" t="s">
        <v>2087</v>
      </c>
      <c r="H226" s="0" t="s">
        <v>2052</v>
      </c>
      <c r="I226" s="0" t="s">
        <v>1685</v>
      </c>
      <c r="J226" s="0" t="s">
        <v>2102</v>
      </c>
      <c r="K226" s="272" t="n">
        <v>-556598.35</v>
      </c>
    </row>
    <row r="227" customFormat="false" ht="15" hidden="false" customHeight="false" outlineLevel="0" collapsed="false">
      <c r="A227" s="0" t="s">
        <v>2041</v>
      </c>
      <c r="B227" s="0" t="s">
        <v>2042</v>
      </c>
      <c r="C227" s="0" t="s">
        <v>2050</v>
      </c>
      <c r="D227" s="0" t="s">
        <v>2044</v>
      </c>
      <c r="E227" s="0" t="s">
        <v>2045</v>
      </c>
      <c r="F227" s="0" t="s">
        <v>2051</v>
      </c>
      <c r="G227" s="0" t="s">
        <v>2088</v>
      </c>
      <c r="H227" s="0" t="s">
        <v>2052</v>
      </c>
      <c r="I227" s="0" t="s">
        <v>1685</v>
      </c>
      <c r="J227" s="0" t="s">
        <v>2102</v>
      </c>
      <c r="K227" s="272" t="n">
        <v>-74786.25</v>
      </c>
    </row>
    <row r="228" customFormat="false" ht="15" hidden="false" customHeight="false" outlineLevel="0" collapsed="false">
      <c r="A228" s="0" t="s">
        <v>2041</v>
      </c>
      <c r="B228" s="0" t="s">
        <v>2042</v>
      </c>
      <c r="C228" s="0" t="s">
        <v>2050</v>
      </c>
      <c r="D228" s="0" t="s">
        <v>2044</v>
      </c>
      <c r="E228" s="0" t="s">
        <v>2045</v>
      </c>
      <c r="F228" s="0" t="s">
        <v>2051</v>
      </c>
      <c r="G228" s="0" t="s">
        <v>2089</v>
      </c>
      <c r="H228" s="0" t="s">
        <v>2052</v>
      </c>
      <c r="I228" s="0" t="s">
        <v>1685</v>
      </c>
      <c r="J228" s="0" t="s">
        <v>2102</v>
      </c>
      <c r="K228" s="272" t="n">
        <v>-1257.7796</v>
      </c>
    </row>
    <row r="229" customFormat="false" ht="15" hidden="false" customHeight="false" outlineLevel="0" collapsed="false">
      <c r="A229" s="0" t="s">
        <v>2041</v>
      </c>
      <c r="B229" s="0" t="s">
        <v>2042</v>
      </c>
      <c r="C229" s="0" t="s">
        <v>2050</v>
      </c>
      <c r="D229" s="0" t="s">
        <v>2044</v>
      </c>
      <c r="E229" s="0" t="s">
        <v>2045</v>
      </c>
      <c r="F229" s="0" t="s">
        <v>2051</v>
      </c>
      <c r="G229" s="0" t="s">
        <v>2090</v>
      </c>
      <c r="H229" s="0" t="s">
        <v>2052</v>
      </c>
      <c r="I229" s="0" t="s">
        <v>1685</v>
      </c>
      <c r="J229" s="0" t="s">
        <v>2102</v>
      </c>
      <c r="K229" s="272" t="n">
        <v>-231554.4</v>
      </c>
    </row>
    <row r="230" customFormat="false" ht="15" hidden="false" customHeight="false" outlineLevel="0" collapsed="false">
      <c r="A230" s="0" t="s">
        <v>2041</v>
      </c>
      <c r="B230" s="0" t="s">
        <v>2042</v>
      </c>
      <c r="C230" s="0" t="s">
        <v>2050</v>
      </c>
      <c r="D230" s="0" t="s">
        <v>2044</v>
      </c>
      <c r="E230" s="0" t="s">
        <v>2045</v>
      </c>
      <c r="F230" s="0" t="s">
        <v>2051</v>
      </c>
      <c r="G230" s="0" t="s">
        <v>2091</v>
      </c>
      <c r="H230" s="0" t="s">
        <v>2052</v>
      </c>
      <c r="I230" s="0" t="s">
        <v>1685</v>
      </c>
      <c r="J230" s="0" t="s">
        <v>2102</v>
      </c>
      <c r="K230" s="272" t="n">
        <v>-471896.733</v>
      </c>
    </row>
    <row r="231" customFormat="false" ht="15" hidden="false" customHeight="false" outlineLevel="0" collapsed="false">
      <c r="A231" s="0" t="s">
        <v>2041</v>
      </c>
      <c r="B231" s="0" t="s">
        <v>2042</v>
      </c>
      <c r="C231" s="0" t="s">
        <v>2050</v>
      </c>
      <c r="D231" s="0" t="s">
        <v>2044</v>
      </c>
      <c r="E231" s="0" t="s">
        <v>2045</v>
      </c>
      <c r="F231" s="0" t="s">
        <v>2051</v>
      </c>
      <c r="G231" s="0" t="s">
        <v>2092</v>
      </c>
      <c r="H231" s="0" t="s">
        <v>2052</v>
      </c>
      <c r="I231" s="0" t="s">
        <v>2103</v>
      </c>
      <c r="J231" s="0" t="s">
        <v>2102</v>
      </c>
      <c r="K231" s="272" t="n">
        <v>-8134.7805</v>
      </c>
    </row>
    <row r="232" customFormat="false" ht="15" hidden="false" customHeight="false" outlineLevel="0" collapsed="false">
      <c r="A232" s="0" t="s">
        <v>2041</v>
      </c>
      <c r="B232" s="0" t="s">
        <v>2042</v>
      </c>
      <c r="C232" s="0" t="s">
        <v>2050</v>
      </c>
      <c r="D232" s="0" t="s">
        <v>2044</v>
      </c>
      <c r="E232" s="0" t="s">
        <v>2045</v>
      </c>
      <c r="F232" s="0" t="s">
        <v>2051</v>
      </c>
      <c r="G232" s="0" t="s">
        <v>2093</v>
      </c>
      <c r="H232" s="0" t="s">
        <v>2052</v>
      </c>
      <c r="I232" s="0" t="s">
        <v>1685</v>
      </c>
      <c r="J232" s="0" t="s">
        <v>2102</v>
      </c>
      <c r="K232" s="272" t="n">
        <v>-59661.525</v>
      </c>
    </row>
    <row r="233" customFormat="false" ht="15" hidden="false" customHeight="false" outlineLevel="0" collapsed="false">
      <c r="A233" s="0" t="s">
        <v>2041</v>
      </c>
      <c r="B233" s="0" t="s">
        <v>2042</v>
      </c>
      <c r="C233" s="0" t="s">
        <v>2050</v>
      </c>
      <c r="D233" s="0" t="s">
        <v>2044</v>
      </c>
      <c r="E233" s="0" t="s">
        <v>2045</v>
      </c>
      <c r="F233" s="0" t="s">
        <v>2051</v>
      </c>
      <c r="G233" s="0" t="s">
        <v>2094</v>
      </c>
      <c r="H233" s="0" t="s">
        <v>2052</v>
      </c>
      <c r="I233" s="0" t="s">
        <v>1685</v>
      </c>
      <c r="J233" s="0" t="s">
        <v>2102</v>
      </c>
      <c r="K233" s="272" t="n">
        <v>-367688.2132</v>
      </c>
    </row>
    <row r="234" customFormat="false" ht="15" hidden="false" customHeight="false" outlineLevel="0" collapsed="false">
      <c r="A234" s="0" t="s">
        <v>2041</v>
      </c>
      <c r="B234" s="0" t="s">
        <v>2042</v>
      </c>
      <c r="C234" s="0" t="s">
        <v>2050</v>
      </c>
      <c r="D234" s="0" t="s">
        <v>2044</v>
      </c>
      <c r="E234" s="0" t="s">
        <v>2045</v>
      </c>
      <c r="F234" s="0" t="s">
        <v>2051</v>
      </c>
      <c r="G234" s="0" t="s">
        <v>2095</v>
      </c>
      <c r="H234" s="0" t="s">
        <v>2052</v>
      </c>
      <c r="I234" s="0" t="s">
        <v>1685</v>
      </c>
      <c r="J234" s="0" t="s">
        <v>2102</v>
      </c>
      <c r="K234" s="272" t="n">
        <v>-390115.88</v>
      </c>
    </row>
    <row r="235" customFormat="false" ht="15" hidden="false" customHeight="false" outlineLevel="0" collapsed="false">
      <c r="A235" s="0" t="s">
        <v>2041</v>
      </c>
      <c r="B235" s="0" t="s">
        <v>2042</v>
      </c>
      <c r="C235" s="0" t="s">
        <v>2050</v>
      </c>
      <c r="D235" s="0" t="s">
        <v>2044</v>
      </c>
      <c r="E235" s="0" t="s">
        <v>2045</v>
      </c>
      <c r="F235" s="0" t="s">
        <v>2051</v>
      </c>
      <c r="G235" s="0" t="s">
        <v>2096</v>
      </c>
      <c r="H235" s="0" t="s">
        <v>2052</v>
      </c>
      <c r="I235" s="0" t="s">
        <v>2097</v>
      </c>
      <c r="J235" s="0" t="s">
        <v>2102</v>
      </c>
      <c r="K235" s="272" t="n">
        <v>-204682.17</v>
      </c>
    </row>
    <row r="236" customFormat="false" ht="15" hidden="false" customHeight="false" outlineLevel="0" collapsed="false">
      <c r="A236" s="0" t="s">
        <v>2041</v>
      </c>
      <c r="B236" s="0" t="s">
        <v>2042</v>
      </c>
      <c r="C236" s="0" t="s">
        <v>2050</v>
      </c>
      <c r="D236" s="0" t="s">
        <v>2044</v>
      </c>
      <c r="E236" s="0" t="s">
        <v>2045</v>
      </c>
      <c r="F236" s="0" t="s">
        <v>2051</v>
      </c>
      <c r="G236" s="0" t="s">
        <v>2098</v>
      </c>
      <c r="H236" s="0" t="s">
        <v>2052</v>
      </c>
      <c r="I236" s="0" t="s">
        <v>1685</v>
      </c>
      <c r="J236" s="0" t="s">
        <v>2102</v>
      </c>
      <c r="K236" s="272" t="n">
        <v>-3683.68</v>
      </c>
    </row>
    <row r="237" customFormat="false" ht="15" hidden="false" customHeight="false" outlineLevel="0" collapsed="false">
      <c r="A237" s="0" t="s">
        <v>2041</v>
      </c>
      <c r="B237" s="0" t="s">
        <v>2042</v>
      </c>
      <c r="C237" s="0" t="s">
        <v>2050</v>
      </c>
      <c r="D237" s="0" t="s">
        <v>2044</v>
      </c>
      <c r="E237" s="0" t="s">
        <v>2045</v>
      </c>
      <c r="F237" s="0" t="s">
        <v>2046</v>
      </c>
      <c r="G237" s="0" t="s">
        <v>2047</v>
      </c>
      <c r="H237" s="0" t="s">
        <v>2048</v>
      </c>
      <c r="I237" s="0" t="s">
        <v>1685</v>
      </c>
      <c r="J237" s="0" t="s">
        <v>2102</v>
      </c>
      <c r="K237" s="272" t="n">
        <v>-79168.32</v>
      </c>
    </row>
    <row r="238" customFormat="false" ht="15" hidden="false" customHeight="false" outlineLevel="0" collapsed="false">
      <c r="A238" s="0" t="s">
        <v>2041</v>
      </c>
      <c r="B238" s="0" t="s">
        <v>2042</v>
      </c>
      <c r="C238" s="0" t="s">
        <v>2050</v>
      </c>
      <c r="D238" s="0" t="s">
        <v>2044</v>
      </c>
      <c r="E238" s="0" t="s">
        <v>2045</v>
      </c>
      <c r="F238" s="0" t="s">
        <v>2046</v>
      </c>
      <c r="G238" s="0" t="s">
        <v>2053</v>
      </c>
      <c r="H238" s="0" t="s">
        <v>2048</v>
      </c>
      <c r="I238" s="0" t="s">
        <v>1685</v>
      </c>
      <c r="J238" s="0" t="s">
        <v>2102</v>
      </c>
      <c r="K238" s="272" t="n">
        <v>-320156.85625</v>
      </c>
    </row>
    <row r="239" customFormat="false" ht="15" hidden="false" customHeight="false" outlineLevel="0" collapsed="false">
      <c r="A239" s="0" t="s">
        <v>2041</v>
      </c>
      <c r="B239" s="0" t="s">
        <v>2042</v>
      </c>
      <c r="C239" s="0" t="s">
        <v>2050</v>
      </c>
      <c r="D239" s="0" t="s">
        <v>2044</v>
      </c>
      <c r="E239" s="0" t="s">
        <v>2045</v>
      </c>
      <c r="F239" s="0" t="s">
        <v>2046</v>
      </c>
      <c r="G239" s="0" t="s">
        <v>2054</v>
      </c>
      <c r="H239" s="0" t="s">
        <v>2048</v>
      </c>
      <c r="I239" s="0" t="s">
        <v>1685</v>
      </c>
      <c r="J239" s="0" t="s">
        <v>2102</v>
      </c>
      <c r="K239" s="272" t="n">
        <v>-138291.2685</v>
      </c>
    </row>
    <row r="240" customFormat="false" ht="15" hidden="false" customHeight="false" outlineLevel="0" collapsed="false">
      <c r="A240" s="0" t="s">
        <v>2041</v>
      </c>
      <c r="B240" s="0" t="s">
        <v>2042</v>
      </c>
      <c r="C240" s="0" t="s">
        <v>2050</v>
      </c>
      <c r="D240" s="0" t="s">
        <v>2044</v>
      </c>
      <c r="E240" s="0" t="s">
        <v>2045</v>
      </c>
      <c r="F240" s="0" t="s">
        <v>2046</v>
      </c>
      <c r="G240" s="0" t="s">
        <v>2055</v>
      </c>
      <c r="H240" s="0" t="s">
        <v>2048</v>
      </c>
      <c r="I240" s="0" t="s">
        <v>1685</v>
      </c>
      <c r="J240" s="0" t="s">
        <v>2102</v>
      </c>
      <c r="K240" s="272" t="n">
        <v>-50010.5375</v>
      </c>
    </row>
    <row r="241" customFormat="false" ht="15" hidden="false" customHeight="false" outlineLevel="0" collapsed="false">
      <c r="A241" s="0" t="s">
        <v>2041</v>
      </c>
      <c r="B241" s="0" t="s">
        <v>2042</v>
      </c>
      <c r="C241" s="0" t="s">
        <v>2050</v>
      </c>
      <c r="D241" s="0" t="s">
        <v>2044</v>
      </c>
      <c r="E241" s="0" t="s">
        <v>2045</v>
      </c>
      <c r="F241" s="0" t="s">
        <v>2046</v>
      </c>
      <c r="G241" s="0" t="s">
        <v>2056</v>
      </c>
      <c r="H241" s="0" t="s">
        <v>2048</v>
      </c>
      <c r="I241" s="0" t="s">
        <v>1685</v>
      </c>
      <c r="J241" s="0" t="s">
        <v>2102</v>
      </c>
      <c r="K241" s="272" t="n">
        <v>-14750.74755</v>
      </c>
    </row>
    <row r="242" customFormat="false" ht="15" hidden="false" customHeight="false" outlineLevel="0" collapsed="false">
      <c r="A242" s="0" t="s">
        <v>2041</v>
      </c>
      <c r="B242" s="0" t="s">
        <v>2042</v>
      </c>
      <c r="C242" s="0" t="s">
        <v>2050</v>
      </c>
      <c r="D242" s="0" t="s">
        <v>2044</v>
      </c>
      <c r="E242" s="0" t="s">
        <v>2045</v>
      </c>
      <c r="F242" s="0" t="s">
        <v>2046</v>
      </c>
      <c r="G242" s="0" t="s">
        <v>2057</v>
      </c>
      <c r="H242" s="0" t="s">
        <v>2048</v>
      </c>
      <c r="I242" s="0" t="s">
        <v>1685</v>
      </c>
      <c r="J242" s="0" t="s">
        <v>2102</v>
      </c>
      <c r="K242" s="272" t="n">
        <v>-104957.93</v>
      </c>
    </row>
    <row r="243" customFormat="false" ht="15" hidden="false" customHeight="false" outlineLevel="0" collapsed="false">
      <c r="A243" s="0" t="s">
        <v>2041</v>
      </c>
      <c r="B243" s="0" t="s">
        <v>2042</v>
      </c>
      <c r="C243" s="0" t="s">
        <v>2050</v>
      </c>
      <c r="D243" s="0" t="s">
        <v>2044</v>
      </c>
      <c r="E243" s="0" t="s">
        <v>2045</v>
      </c>
      <c r="F243" s="0" t="s">
        <v>2046</v>
      </c>
      <c r="G243" s="0" t="s">
        <v>2058</v>
      </c>
      <c r="H243" s="0" t="s">
        <v>2048</v>
      </c>
      <c r="I243" s="0" t="s">
        <v>1685</v>
      </c>
      <c r="J243" s="0" t="s">
        <v>2102</v>
      </c>
      <c r="K243" s="272" t="n">
        <v>-103026</v>
      </c>
    </row>
    <row r="244" customFormat="false" ht="15" hidden="false" customHeight="false" outlineLevel="0" collapsed="false">
      <c r="A244" s="0" t="s">
        <v>2041</v>
      </c>
      <c r="B244" s="0" t="s">
        <v>2042</v>
      </c>
      <c r="C244" s="0" t="s">
        <v>2050</v>
      </c>
      <c r="D244" s="0" t="s">
        <v>2044</v>
      </c>
      <c r="E244" s="0" t="s">
        <v>2045</v>
      </c>
      <c r="F244" s="0" t="s">
        <v>2046</v>
      </c>
      <c r="G244" s="0" t="s">
        <v>2059</v>
      </c>
      <c r="H244" s="0" t="s">
        <v>2048</v>
      </c>
      <c r="I244" s="0" t="s">
        <v>1685</v>
      </c>
      <c r="J244" s="0" t="s">
        <v>2102</v>
      </c>
      <c r="K244" s="272" t="n">
        <v>-63596.61</v>
      </c>
    </row>
    <row r="245" customFormat="false" ht="15" hidden="false" customHeight="false" outlineLevel="0" collapsed="false">
      <c r="A245" s="0" t="s">
        <v>2041</v>
      </c>
      <c r="B245" s="0" t="s">
        <v>2042</v>
      </c>
      <c r="C245" s="0" t="s">
        <v>2050</v>
      </c>
      <c r="D245" s="0" t="s">
        <v>2044</v>
      </c>
      <c r="E245" s="0" t="s">
        <v>2045</v>
      </c>
      <c r="F245" s="0" t="s">
        <v>2046</v>
      </c>
      <c r="G245" s="0" t="s">
        <v>2060</v>
      </c>
      <c r="H245" s="0" t="s">
        <v>2048</v>
      </c>
      <c r="I245" s="0" t="s">
        <v>1685</v>
      </c>
      <c r="J245" s="0" t="s">
        <v>2102</v>
      </c>
      <c r="K245" s="272" t="n">
        <v>-569705.28615</v>
      </c>
    </row>
    <row r="246" customFormat="false" ht="15" hidden="false" customHeight="false" outlineLevel="0" collapsed="false">
      <c r="A246" s="0" t="s">
        <v>2041</v>
      </c>
      <c r="B246" s="0" t="s">
        <v>2042</v>
      </c>
      <c r="C246" s="0" t="s">
        <v>2050</v>
      </c>
      <c r="D246" s="0" t="s">
        <v>2044</v>
      </c>
      <c r="E246" s="0" t="s">
        <v>2045</v>
      </c>
      <c r="F246" s="0" t="s">
        <v>2046</v>
      </c>
      <c r="G246" s="0" t="s">
        <v>2061</v>
      </c>
      <c r="H246" s="0" t="s">
        <v>2048</v>
      </c>
      <c r="I246" s="0" t="s">
        <v>1685</v>
      </c>
      <c r="J246" s="0" t="s">
        <v>2102</v>
      </c>
      <c r="K246" s="272" t="n">
        <v>-352315.194</v>
      </c>
    </row>
    <row r="247" customFormat="false" ht="15" hidden="false" customHeight="false" outlineLevel="0" collapsed="false">
      <c r="A247" s="0" t="s">
        <v>2041</v>
      </c>
      <c r="B247" s="0" t="s">
        <v>2042</v>
      </c>
      <c r="C247" s="0" t="s">
        <v>2050</v>
      </c>
      <c r="D247" s="0" t="s">
        <v>2044</v>
      </c>
      <c r="E247" s="0" t="s">
        <v>2045</v>
      </c>
      <c r="F247" s="0" t="s">
        <v>2046</v>
      </c>
      <c r="G247" s="0" t="s">
        <v>2062</v>
      </c>
      <c r="H247" s="0" t="s">
        <v>2048</v>
      </c>
      <c r="I247" s="0" t="s">
        <v>1685</v>
      </c>
      <c r="J247" s="0" t="s">
        <v>2102</v>
      </c>
      <c r="K247" s="272" t="n">
        <v>-160430.0775</v>
      </c>
    </row>
    <row r="248" customFormat="false" ht="15" hidden="false" customHeight="false" outlineLevel="0" collapsed="false">
      <c r="A248" s="0" t="s">
        <v>2041</v>
      </c>
      <c r="B248" s="0" t="s">
        <v>2042</v>
      </c>
      <c r="C248" s="0" t="s">
        <v>2050</v>
      </c>
      <c r="D248" s="0" t="s">
        <v>2044</v>
      </c>
      <c r="E248" s="0" t="s">
        <v>2045</v>
      </c>
      <c r="F248" s="0" t="s">
        <v>2046</v>
      </c>
      <c r="G248" s="0" t="s">
        <v>2063</v>
      </c>
      <c r="H248" s="0" t="s">
        <v>2048</v>
      </c>
      <c r="I248" s="0" t="s">
        <v>1685</v>
      </c>
      <c r="J248" s="0" t="s">
        <v>2102</v>
      </c>
      <c r="K248" s="272" t="n">
        <v>-183918.35</v>
      </c>
    </row>
    <row r="249" customFormat="false" ht="15" hidden="false" customHeight="false" outlineLevel="0" collapsed="false">
      <c r="A249" s="0" t="s">
        <v>2041</v>
      </c>
      <c r="B249" s="0" t="s">
        <v>2042</v>
      </c>
      <c r="C249" s="0" t="s">
        <v>2050</v>
      </c>
      <c r="D249" s="0" t="s">
        <v>2044</v>
      </c>
      <c r="E249" s="0" t="s">
        <v>2045</v>
      </c>
      <c r="F249" s="0" t="s">
        <v>2046</v>
      </c>
      <c r="G249" s="0" t="s">
        <v>2064</v>
      </c>
      <c r="H249" s="0" t="s">
        <v>2048</v>
      </c>
      <c r="I249" s="0" t="s">
        <v>1685</v>
      </c>
      <c r="J249" s="0" t="s">
        <v>2102</v>
      </c>
      <c r="K249" s="272" t="n">
        <v>-515022.2</v>
      </c>
    </row>
    <row r="250" customFormat="false" ht="15" hidden="false" customHeight="false" outlineLevel="0" collapsed="false">
      <c r="A250" s="0" t="s">
        <v>2041</v>
      </c>
      <c r="B250" s="0" t="s">
        <v>2042</v>
      </c>
      <c r="C250" s="0" t="s">
        <v>2050</v>
      </c>
      <c r="D250" s="0" t="s">
        <v>2044</v>
      </c>
      <c r="E250" s="0" t="s">
        <v>2045</v>
      </c>
      <c r="F250" s="0" t="s">
        <v>2046</v>
      </c>
      <c r="G250" s="0" t="s">
        <v>2065</v>
      </c>
      <c r="H250" s="0" t="s">
        <v>2048</v>
      </c>
      <c r="I250" s="0" t="s">
        <v>1685</v>
      </c>
      <c r="J250" s="0" t="s">
        <v>2102</v>
      </c>
      <c r="K250" s="272" t="n">
        <v>-106722</v>
      </c>
    </row>
    <row r="251" customFormat="false" ht="15" hidden="false" customHeight="false" outlineLevel="0" collapsed="false">
      <c r="A251" s="0" t="s">
        <v>2041</v>
      </c>
      <c r="B251" s="0" t="s">
        <v>2042</v>
      </c>
      <c r="C251" s="0" t="s">
        <v>2050</v>
      </c>
      <c r="D251" s="0" t="s">
        <v>2044</v>
      </c>
      <c r="E251" s="0" t="s">
        <v>2045</v>
      </c>
      <c r="F251" s="0" t="s">
        <v>2046</v>
      </c>
      <c r="G251" s="0" t="s">
        <v>2066</v>
      </c>
      <c r="H251" s="0" t="s">
        <v>2048</v>
      </c>
      <c r="I251" s="0" t="s">
        <v>1685</v>
      </c>
      <c r="J251" s="0" t="s">
        <v>2102</v>
      </c>
      <c r="K251" s="272" t="n">
        <v>-280870.3975</v>
      </c>
    </row>
    <row r="252" customFormat="false" ht="15" hidden="false" customHeight="false" outlineLevel="0" collapsed="false">
      <c r="A252" s="0" t="s">
        <v>2041</v>
      </c>
      <c r="B252" s="0" t="s">
        <v>2042</v>
      </c>
      <c r="C252" s="0" t="s">
        <v>2050</v>
      </c>
      <c r="D252" s="0" t="s">
        <v>2044</v>
      </c>
      <c r="E252" s="0" t="s">
        <v>2045</v>
      </c>
      <c r="F252" s="0" t="s">
        <v>2046</v>
      </c>
      <c r="G252" s="0" t="s">
        <v>2067</v>
      </c>
      <c r="H252" s="0" t="s">
        <v>2048</v>
      </c>
      <c r="I252" s="0" t="s">
        <v>1685</v>
      </c>
      <c r="J252" s="0" t="s">
        <v>2102</v>
      </c>
      <c r="K252" s="272" t="n">
        <v>-51505.1075</v>
      </c>
    </row>
    <row r="253" customFormat="false" ht="15" hidden="false" customHeight="false" outlineLevel="0" collapsed="false">
      <c r="A253" s="0" t="s">
        <v>2041</v>
      </c>
      <c r="B253" s="0" t="s">
        <v>2042</v>
      </c>
      <c r="C253" s="0" t="s">
        <v>2050</v>
      </c>
      <c r="D253" s="0" t="s">
        <v>2044</v>
      </c>
      <c r="E253" s="0" t="s">
        <v>2045</v>
      </c>
      <c r="F253" s="0" t="s">
        <v>2046</v>
      </c>
      <c r="G253" s="0" t="s">
        <v>2068</v>
      </c>
      <c r="H253" s="0" t="s">
        <v>2048</v>
      </c>
      <c r="I253" s="0" t="s">
        <v>1685</v>
      </c>
      <c r="J253" s="0" t="s">
        <v>2102</v>
      </c>
      <c r="K253" s="272" t="n">
        <v>-739138.4</v>
      </c>
    </row>
    <row r="254" customFormat="false" ht="15" hidden="false" customHeight="false" outlineLevel="0" collapsed="false">
      <c r="A254" s="0" t="s">
        <v>2041</v>
      </c>
      <c r="B254" s="0" t="s">
        <v>2042</v>
      </c>
      <c r="C254" s="0" t="s">
        <v>2050</v>
      </c>
      <c r="D254" s="0" t="s">
        <v>2044</v>
      </c>
      <c r="E254" s="0" t="s">
        <v>2045</v>
      </c>
      <c r="F254" s="0" t="s">
        <v>2046</v>
      </c>
      <c r="G254" s="0" t="s">
        <v>2069</v>
      </c>
      <c r="H254" s="0" t="s">
        <v>2048</v>
      </c>
      <c r="I254" s="0" t="s">
        <v>1685</v>
      </c>
      <c r="J254" s="0" t="s">
        <v>2102</v>
      </c>
      <c r="K254" s="272" t="n">
        <v>-214637.5</v>
      </c>
    </row>
    <row r="255" customFormat="false" ht="15" hidden="false" customHeight="false" outlineLevel="0" collapsed="false">
      <c r="A255" s="0" t="s">
        <v>2041</v>
      </c>
      <c r="B255" s="0" t="s">
        <v>2042</v>
      </c>
      <c r="C255" s="0" t="s">
        <v>2050</v>
      </c>
      <c r="D255" s="0" t="s">
        <v>2044</v>
      </c>
      <c r="E255" s="0" t="s">
        <v>2045</v>
      </c>
      <c r="F255" s="0" t="s">
        <v>2046</v>
      </c>
      <c r="G255" s="0" t="s">
        <v>2070</v>
      </c>
      <c r="H255" s="0" t="s">
        <v>2048</v>
      </c>
      <c r="I255" s="0" t="s">
        <v>1685</v>
      </c>
      <c r="J255" s="0" t="s">
        <v>2102</v>
      </c>
      <c r="K255" s="272" t="n">
        <v>-103976.516875</v>
      </c>
    </row>
    <row r="256" customFormat="false" ht="15" hidden="false" customHeight="false" outlineLevel="0" collapsed="false">
      <c r="A256" s="0" t="s">
        <v>2041</v>
      </c>
      <c r="B256" s="0" t="s">
        <v>2042</v>
      </c>
      <c r="C256" s="0" t="s">
        <v>2050</v>
      </c>
      <c r="D256" s="0" t="s">
        <v>2044</v>
      </c>
      <c r="E256" s="0" t="s">
        <v>2045</v>
      </c>
      <c r="F256" s="0" t="s">
        <v>2046</v>
      </c>
      <c r="G256" s="0" t="s">
        <v>2071</v>
      </c>
      <c r="H256" s="0" t="s">
        <v>2048</v>
      </c>
      <c r="I256" s="0" t="s">
        <v>1685</v>
      </c>
      <c r="J256" s="0" t="s">
        <v>2102</v>
      </c>
      <c r="K256" s="272" t="n">
        <v>-111395.9</v>
      </c>
    </row>
    <row r="257" customFormat="false" ht="15" hidden="false" customHeight="false" outlineLevel="0" collapsed="false">
      <c r="A257" s="0" t="s">
        <v>2041</v>
      </c>
      <c r="B257" s="0" t="s">
        <v>2042</v>
      </c>
      <c r="C257" s="0" t="s">
        <v>2050</v>
      </c>
      <c r="D257" s="0" t="s">
        <v>2044</v>
      </c>
      <c r="E257" s="0" t="s">
        <v>2045</v>
      </c>
      <c r="F257" s="0" t="s">
        <v>2046</v>
      </c>
      <c r="G257" s="0" t="s">
        <v>2072</v>
      </c>
      <c r="H257" s="0" t="s">
        <v>2048</v>
      </c>
      <c r="I257" s="0" t="s">
        <v>1685</v>
      </c>
      <c r="J257" s="0" t="s">
        <v>2102</v>
      </c>
      <c r="K257" s="272" t="n">
        <v>-152491.467975</v>
      </c>
    </row>
    <row r="258" customFormat="false" ht="15" hidden="false" customHeight="false" outlineLevel="0" collapsed="false">
      <c r="A258" s="0" t="s">
        <v>2041</v>
      </c>
      <c r="B258" s="0" t="s">
        <v>2042</v>
      </c>
      <c r="C258" s="0" t="s">
        <v>2050</v>
      </c>
      <c r="D258" s="0" t="s">
        <v>2044</v>
      </c>
      <c r="E258" s="0" t="s">
        <v>2045</v>
      </c>
      <c r="F258" s="0" t="s">
        <v>2046</v>
      </c>
      <c r="G258" s="0" t="s">
        <v>2073</v>
      </c>
      <c r="H258" s="0" t="s">
        <v>2048</v>
      </c>
      <c r="I258" s="0" t="s">
        <v>1685</v>
      </c>
      <c r="J258" s="0" t="s">
        <v>2102</v>
      </c>
      <c r="K258" s="272" t="n">
        <v>-185184.23</v>
      </c>
    </row>
    <row r="259" customFormat="false" ht="15" hidden="false" customHeight="false" outlineLevel="0" collapsed="false">
      <c r="A259" s="0" t="s">
        <v>2041</v>
      </c>
      <c r="B259" s="0" t="s">
        <v>2042</v>
      </c>
      <c r="C259" s="0" t="s">
        <v>2050</v>
      </c>
      <c r="D259" s="0" t="s">
        <v>2044</v>
      </c>
      <c r="E259" s="0" t="s">
        <v>2045</v>
      </c>
      <c r="F259" s="0" t="s">
        <v>2046</v>
      </c>
      <c r="G259" s="0" t="s">
        <v>2074</v>
      </c>
      <c r="H259" s="0" t="s">
        <v>2048</v>
      </c>
      <c r="I259" s="0" t="s">
        <v>1685</v>
      </c>
      <c r="J259" s="0" t="s">
        <v>2102</v>
      </c>
      <c r="K259" s="272" t="n">
        <v>-99984.5</v>
      </c>
    </row>
    <row r="260" customFormat="false" ht="15" hidden="false" customHeight="false" outlineLevel="0" collapsed="false">
      <c r="A260" s="0" t="s">
        <v>2041</v>
      </c>
      <c r="B260" s="0" t="s">
        <v>2042</v>
      </c>
      <c r="C260" s="0" t="s">
        <v>2050</v>
      </c>
      <c r="D260" s="0" t="s">
        <v>2044</v>
      </c>
      <c r="E260" s="0" t="s">
        <v>2045</v>
      </c>
      <c r="F260" s="0" t="s">
        <v>2046</v>
      </c>
      <c r="G260" s="0" t="s">
        <v>2075</v>
      </c>
      <c r="H260" s="0" t="s">
        <v>2048</v>
      </c>
      <c r="I260" s="0" t="s">
        <v>1685</v>
      </c>
      <c r="J260" s="0" t="s">
        <v>2102</v>
      </c>
      <c r="K260" s="272" t="n">
        <v>-6877.332</v>
      </c>
    </row>
    <row r="261" customFormat="false" ht="15" hidden="false" customHeight="false" outlineLevel="0" collapsed="false">
      <c r="A261" s="0" t="s">
        <v>2041</v>
      </c>
      <c r="B261" s="0" t="s">
        <v>2042</v>
      </c>
      <c r="C261" s="0" t="s">
        <v>2050</v>
      </c>
      <c r="D261" s="0" t="s">
        <v>2044</v>
      </c>
      <c r="E261" s="0" t="s">
        <v>2045</v>
      </c>
      <c r="F261" s="0" t="s">
        <v>2046</v>
      </c>
      <c r="G261" s="0" t="s">
        <v>2076</v>
      </c>
      <c r="H261" s="0" t="s">
        <v>2048</v>
      </c>
      <c r="I261" s="0" t="s">
        <v>1685</v>
      </c>
      <c r="J261" s="0" t="s">
        <v>2102</v>
      </c>
      <c r="K261" s="272" t="n">
        <v>-366293.5045</v>
      </c>
    </row>
    <row r="262" customFormat="false" ht="15" hidden="false" customHeight="false" outlineLevel="0" collapsed="false">
      <c r="A262" s="0" t="s">
        <v>2041</v>
      </c>
      <c r="B262" s="0" t="s">
        <v>2042</v>
      </c>
      <c r="C262" s="0" t="s">
        <v>2050</v>
      </c>
      <c r="D262" s="0" t="s">
        <v>2044</v>
      </c>
      <c r="E262" s="0" t="s">
        <v>2045</v>
      </c>
      <c r="F262" s="0" t="s">
        <v>2046</v>
      </c>
      <c r="G262" s="0" t="s">
        <v>2077</v>
      </c>
      <c r="H262" s="0" t="s">
        <v>2048</v>
      </c>
      <c r="I262" s="0" t="s">
        <v>1685</v>
      </c>
      <c r="J262" s="0" t="s">
        <v>2102</v>
      </c>
      <c r="K262" s="272" t="n">
        <v>-127494.675</v>
      </c>
    </row>
    <row r="263" customFormat="false" ht="15" hidden="false" customHeight="false" outlineLevel="0" collapsed="false">
      <c r="A263" s="0" t="s">
        <v>2041</v>
      </c>
      <c r="B263" s="0" t="s">
        <v>2042</v>
      </c>
      <c r="C263" s="0" t="s">
        <v>2050</v>
      </c>
      <c r="D263" s="0" t="s">
        <v>2044</v>
      </c>
      <c r="E263" s="0" t="s">
        <v>2045</v>
      </c>
      <c r="F263" s="0" t="s">
        <v>2046</v>
      </c>
      <c r="G263" s="0" t="s">
        <v>2078</v>
      </c>
      <c r="H263" s="0" t="s">
        <v>2048</v>
      </c>
      <c r="I263" s="0" t="s">
        <v>1685</v>
      </c>
      <c r="J263" s="0" t="s">
        <v>2102</v>
      </c>
      <c r="K263" s="272" t="n">
        <v>-222567.345</v>
      </c>
    </row>
    <row r="264" customFormat="false" ht="15" hidden="false" customHeight="false" outlineLevel="0" collapsed="false">
      <c r="A264" s="0" t="s">
        <v>2041</v>
      </c>
      <c r="B264" s="0" t="s">
        <v>2042</v>
      </c>
      <c r="C264" s="0" t="s">
        <v>2050</v>
      </c>
      <c r="D264" s="0" t="s">
        <v>2044</v>
      </c>
      <c r="E264" s="0" t="s">
        <v>2045</v>
      </c>
      <c r="F264" s="0" t="s">
        <v>2046</v>
      </c>
      <c r="G264" s="0" t="s">
        <v>2079</v>
      </c>
      <c r="H264" s="0" t="s">
        <v>2048</v>
      </c>
      <c r="I264" s="0" t="s">
        <v>1685</v>
      </c>
      <c r="J264" s="0" t="s">
        <v>2102</v>
      </c>
      <c r="K264" s="272" t="n">
        <v>-112684.6875</v>
      </c>
    </row>
    <row r="265" customFormat="false" ht="15" hidden="false" customHeight="false" outlineLevel="0" collapsed="false">
      <c r="A265" s="0" t="s">
        <v>2041</v>
      </c>
      <c r="B265" s="0" t="s">
        <v>2042</v>
      </c>
      <c r="C265" s="0" t="s">
        <v>2050</v>
      </c>
      <c r="D265" s="0" t="s">
        <v>2044</v>
      </c>
      <c r="E265" s="0" t="s">
        <v>2045</v>
      </c>
      <c r="F265" s="0" t="s">
        <v>2046</v>
      </c>
      <c r="G265" s="0" t="s">
        <v>2080</v>
      </c>
      <c r="H265" s="0" t="s">
        <v>2048</v>
      </c>
      <c r="I265" s="0" t="s">
        <v>1685</v>
      </c>
      <c r="J265" s="0" t="s">
        <v>2102</v>
      </c>
      <c r="K265" s="272" t="n">
        <v>-195214.25</v>
      </c>
    </row>
    <row r="266" customFormat="false" ht="15" hidden="false" customHeight="false" outlineLevel="0" collapsed="false">
      <c r="A266" s="0" t="s">
        <v>2041</v>
      </c>
      <c r="B266" s="0" t="s">
        <v>2042</v>
      </c>
      <c r="C266" s="0" t="s">
        <v>2050</v>
      </c>
      <c r="D266" s="0" t="s">
        <v>2044</v>
      </c>
      <c r="E266" s="0" t="s">
        <v>2045</v>
      </c>
      <c r="F266" s="0" t="s">
        <v>2046</v>
      </c>
      <c r="G266" s="0" t="s">
        <v>2081</v>
      </c>
      <c r="H266" s="0" t="s">
        <v>2048</v>
      </c>
      <c r="I266" s="0" t="s">
        <v>1685</v>
      </c>
      <c r="J266" s="0" t="s">
        <v>2102</v>
      </c>
      <c r="K266" s="272" t="n">
        <v>-856779</v>
      </c>
    </row>
    <row r="267" customFormat="false" ht="15" hidden="false" customHeight="false" outlineLevel="0" collapsed="false">
      <c r="A267" s="0" t="s">
        <v>2041</v>
      </c>
      <c r="B267" s="0" t="s">
        <v>2042</v>
      </c>
      <c r="C267" s="0" t="s">
        <v>2050</v>
      </c>
      <c r="D267" s="0" t="s">
        <v>2044</v>
      </c>
      <c r="E267" s="0" t="s">
        <v>2045</v>
      </c>
      <c r="F267" s="0" t="s">
        <v>2046</v>
      </c>
      <c r="G267" s="0" t="s">
        <v>2082</v>
      </c>
      <c r="H267" s="0" t="s">
        <v>2048</v>
      </c>
      <c r="I267" s="0" t="s">
        <v>1685</v>
      </c>
      <c r="J267" s="0" t="s">
        <v>2102</v>
      </c>
      <c r="K267" s="272" t="n">
        <v>-863837.975</v>
      </c>
    </row>
    <row r="268" customFormat="false" ht="15" hidden="false" customHeight="false" outlineLevel="0" collapsed="false">
      <c r="A268" s="0" t="s">
        <v>2041</v>
      </c>
      <c r="B268" s="0" t="s">
        <v>2042</v>
      </c>
      <c r="C268" s="0" t="s">
        <v>2050</v>
      </c>
      <c r="D268" s="0" t="s">
        <v>2044</v>
      </c>
      <c r="E268" s="0" t="s">
        <v>2045</v>
      </c>
      <c r="F268" s="0" t="s">
        <v>2046</v>
      </c>
      <c r="G268" s="0" t="s">
        <v>2083</v>
      </c>
      <c r="H268" s="0" t="s">
        <v>2048</v>
      </c>
      <c r="I268" s="0" t="s">
        <v>1685</v>
      </c>
      <c r="J268" s="0" t="s">
        <v>2102</v>
      </c>
      <c r="K268" s="272" t="n">
        <v>-386112.496</v>
      </c>
    </row>
    <row r="269" customFormat="false" ht="15" hidden="false" customHeight="false" outlineLevel="0" collapsed="false">
      <c r="A269" s="0" t="s">
        <v>2041</v>
      </c>
      <c r="B269" s="0" t="s">
        <v>2042</v>
      </c>
      <c r="C269" s="0" t="s">
        <v>2050</v>
      </c>
      <c r="D269" s="0" t="s">
        <v>2044</v>
      </c>
      <c r="E269" s="0" t="s">
        <v>2045</v>
      </c>
      <c r="F269" s="0" t="s">
        <v>2046</v>
      </c>
      <c r="G269" s="0" t="s">
        <v>2084</v>
      </c>
      <c r="H269" s="0" t="s">
        <v>2048</v>
      </c>
      <c r="I269" s="0" t="s">
        <v>1685</v>
      </c>
      <c r="J269" s="0" t="s">
        <v>2102</v>
      </c>
      <c r="K269" s="272" t="n">
        <v>-129057.1975</v>
      </c>
    </row>
    <row r="270" customFormat="false" ht="15" hidden="false" customHeight="false" outlineLevel="0" collapsed="false">
      <c r="A270" s="0" t="s">
        <v>2041</v>
      </c>
      <c r="B270" s="0" t="s">
        <v>2042</v>
      </c>
      <c r="C270" s="0" t="s">
        <v>2050</v>
      </c>
      <c r="D270" s="0" t="s">
        <v>2044</v>
      </c>
      <c r="E270" s="0" t="s">
        <v>2045</v>
      </c>
      <c r="F270" s="0" t="s">
        <v>2046</v>
      </c>
      <c r="G270" s="0" t="s">
        <v>2085</v>
      </c>
      <c r="H270" s="0" t="s">
        <v>2048</v>
      </c>
      <c r="I270" s="0" t="s">
        <v>1685</v>
      </c>
      <c r="J270" s="0" t="s">
        <v>2102</v>
      </c>
      <c r="K270" s="272" t="n">
        <v>-553179.396</v>
      </c>
    </row>
    <row r="271" customFormat="false" ht="15" hidden="false" customHeight="false" outlineLevel="0" collapsed="false">
      <c r="A271" s="0" t="s">
        <v>2041</v>
      </c>
      <c r="B271" s="0" t="s">
        <v>2042</v>
      </c>
      <c r="C271" s="0" t="s">
        <v>2050</v>
      </c>
      <c r="D271" s="0" t="s">
        <v>2044</v>
      </c>
      <c r="E271" s="0" t="s">
        <v>2045</v>
      </c>
      <c r="F271" s="0" t="s">
        <v>2046</v>
      </c>
      <c r="G271" s="0" t="s">
        <v>2086</v>
      </c>
      <c r="H271" s="0" t="s">
        <v>2048</v>
      </c>
      <c r="I271" s="0" t="s">
        <v>1685</v>
      </c>
      <c r="J271" s="0" t="s">
        <v>2102</v>
      </c>
      <c r="K271" s="272" t="n">
        <v>-469040.495</v>
      </c>
    </row>
    <row r="272" customFormat="false" ht="15" hidden="false" customHeight="false" outlineLevel="0" collapsed="false">
      <c r="A272" s="0" t="s">
        <v>2041</v>
      </c>
      <c r="B272" s="0" t="s">
        <v>2042</v>
      </c>
      <c r="C272" s="0" t="s">
        <v>2050</v>
      </c>
      <c r="D272" s="0" t="s">
        <v>2044</v>
      </c>
      <c r="E272" s="0" t="s">
        <v>2045</v>
      </c>
      <c r="F272" s="0" t="s">
        <v>2046</v>
      </c>
      <c r="G272" s="0" t="s">
        <v>2087</v>
      </c>
      <c r="H272" s="0" t="s">
        <v>2048</v>
      </c>
      <c r="I272" s="0" t="s">
        <v>1685</v>
      </c>
      <c r="J272" s="0" t="s">
        <v>2102</v>
      </c>
      <c r="K272" s="272" t="n">
        <v>-351963.15</v>
      </c>
    </row>
    <row r="273" customFormat="false" ht="15" hidden="false" customHeight="false" outlineLevel="0" collapsed="false">
      <c r="A273" s="0" t="s">
        <v>2041</v>
      </c>
      <c r="B273" s="0" t="s">
        <v>2042</v>
      </c>
      <c r="C273" s="0" t="s">
        <v>2050</v>
      </c>
      <c r="D273" s="0" t="s">
        <v>2044</v>
      </c>
      <c r="E273" s="0" t="s">
        <v>2045</v>
      </c>
      <c r="F273" s="0" t="s">
        <v>2046</v>
      </c>
      <c r="G273" s="0" t="s">
        <v>2088</v>
      </c>
      <c r="H273" s="0" t="s">
        <v>2048</v>
      </c>
      <c r="I273" s="0" t="s">
        <v>1685</v>
      </c>
      <c r="J273" s="0" t="s">
        <v>2102</v>
      </c>
      <c r="K273" s="272" t="n">
        <v>-352563.75</v>
      </c>
    </row>
    <row r="274" customFormat="false" ht="15" hidden="false" customHeight="false" outlineLevel="0" collapsed="false">
      <c r="A274" s="0" t="s">
        <v>2041</v>
      </c>
      <c r="B274" s="0" t="s">
        <v>2042</v>
      </c>
      <c r="C274" s="0" t="s">
        <v>2050</v>
      </c>
      <c r="D274" s="0" t="s">
        <v>2044</v>
      </c>
      <c r="E274" s="0" t="s">
        <v>2045</v>
      </c>
      <c r="F274" s="0" t="s">
        <v>2046</v>
      </c>
      <c r="G274" s="0" t="s">
        <v>2089</v>
      </c>
      <c r="H274" s="0" t="s">
        <v>2048</v>
      </c>
      <c r="I274" s="0" t="s">
        <v>1685</v>
      </c>
      <c r="J274" s="0" t="s">
        <v>2102</v>
      </c>
      <c r="K274" s="272" t="n">
        <v>-124520.1804</v>
      </c>
    </row>
    <row r="275" customFormat="false" ht="15" hidden="false" customHeight="false" outlineLevel="0" collapsed="false">
      <c r="A275" s="0" t="s">
        <v>2041</v>
      </c>
      <c r="B275" s="0" t="s">
        <v>2042</v>
      </c>
      <c r="C275" s="0" t="s">
        <v>2050</v>
      </c>
      <c r="D275" s="0" t="s">
        <v>2044</v>
      </c>
      <c r="E275" s="0" t="s">
        <v>2045</v>
      </c>
      <c r="F275" s="0" t="s">
        <v>2046</v>
      </c>
      <c r="G275" s="0" t="s">
        <v>2090</v>
      </c>
      <c r="H275" s="0" t="s">
        <v>2048</v>
      </c>
      <c r="I275" s="0" t="s">
        <v>1685</v>
      </c>
      <c r="J275" s="0" t="s">
        <v>2102</v>
      </c>
      <c r="K275" s="272" t="n">
        <v>-897034.6</v>
      </c>
    </row>
    <row r="276" customFormat="false" ht="15" hidden="false" customHeight="false" outlineLevel="0" collapsed="false">
      <c r="A276" s="0" t="s">
        <v>2041</v>
      </c>
      <c r="B276" s="0" t="s">
        <v>2042</v>
      </c>
      <c r="C276" s="0" t="s">
        <v>2050</v>
      </c>
      <c r="D276" s="0" t="s">
        <v>2044</v>
      </c>
      <c r="E276" s="0" t="s">
        <v>2045</v>
      </c>
      <c r="F276" s="0" t="s">
        <v>2046</v>
      </c>
      <c r="G276" s="0" t="s">
        <v>2091</v>
      </c>
      <c r="H276" s="0" t="s">
        <v>2048</v>
      </c>
      <c r="I276" s="0" t="s">
        <v>1685</v>
      </c>
      <c r="J276" s="0" t="s">
        <v>2102</v>
      </c>
      <c r="K276" s="272" t="n">
        <v>-283030.517</v>
      </c>
    </row>
    <row r="277" customFormat="false" ht="15" hidden="false" customHeight="false" outlineLevel="0" collapsed="false">
      <c r="A277" s="0" t="s">
        <v>2041</v>
      </c>
      <c r="B277" s="0" t="s">
        <v>2042</v>
      </c>
      <c r="C277" s="0" t="s">
        <v>2050</v>
      </c>
      <c r="D277" s="0" t="s">
        <v>2044</v>
      </c>
      <c r="E277" s="0" t="s">
        <v>2045</v>
      </c>
      <c r="F277" s="0" t="s">
        <v>2046</v>
      </c>
      <c r="G277" s="0" t="s">
        <v>2092</v>
      </c>
      <c r="H277" s="0" t="s">
        <v>2048</v>
      </c>
      <c r="I277" s="0" t="s">
        <v>2103</v>
      </c>
      <c r="J277" s="0" t="s">
        <v>2102</v>
      </c>
      <c r="K277" s="272" t="n">
        <v>-154560.8295</v>
      </c>
    </row>
    <row r="278" customFormat="false" ht="15" hidden="false" customHeight="false" outlineLevel="0" collapsed="false">
      <c r="A278" s="0" t="s">
        <v>2041</v>
      </c>
      <c r="B278" s="0" t="s">
        <v>2042</v>
      </c>
      <c r="C278" s="0" t="s">
        <v>2050</v>
      </c>
      <c r="D278" s="0" t="s">
        <v>2044</v>
      </c>
      <c r="E278" s="0" t="s">
        <v>2045</v>
      </c>
      <c r="F278" s="0" t="s">
        <v>2046</v>
      </c>
      <c r="G278" s="0" t="s">
        <v>2093</v>
      </c>
      <c r="H278" s="0" t="s">
        <v>2048</v>
      </c>
      <c r="I278" s="0" t="s">
        <v>1685</v>
      </c>
      <c r="J278" s="0" t="s">
        <v>2102</v>
      </c>
      <c r="K278" s="272" t="n">
        <v>-631143.975</v>
      </c>
    </row>
    <row r="279" customFormat="false" ht="15" hidden="false" customHeight="false" outlineLevel="0" collapsed="false">
      <c r="A279" s="0" t="s">
        <v>2041</v>
      </c>
      <c r="B279" s="0" t="s">
        <v>2042</v>
      </c>
      <c r="C279" s="0" t="s">
        <v>2050</v>
      </c>
      <c r="D279" s="0" t="s">
        <v>2044</v>
      </c>
      <c r="E279" s="0" t="s">
        <v>2045</v>
      </c>
      <c r="F279" s="0" t="s">
        <v>2046</v>
      </c>
      <c r="G279" s="0" t="s">
        <v>2094</v>
      </c>
      <c r="H279" s="0" t="s">
        <v>2048</v>
      </c>
      <c r="I279" s="0" t="s">
        <v>1685</v>
      </c>
      <c r="J279" s="0" t="s">
        <v>2102</v>
      </c>
      <c r="K279" s="272" t="n">
        <v>-422872.3268</v>
      </c>
    </row>
    <row r="280" customFormat="false" ht="15" hidden="false" customHeight="false" outlineLevel="0" collapsed="false">
      <c r="A280" s="0" t="s">
        <v>2041</v>
      </c>
      <c r="B280" s="0" t="s">
        <v>2042</v>
      </c>
      <c r="C280" s="0" t="s">
        <v>2050</v>
      </c>
      <c r="D280" s="0" t="s">
        <v>2044</v>
      </c>
      <c r="E280" s="0" t="s">
        <v>2045</v>
      </c>
      <c r="F280" s="0" t="s">
        <v>2046</v>
      </c>
      <c r="G280" s="0" t="s">
        <v>2095</v>
      </c>
      <c r="H280" s="0" t="s">
        <v>2048</v>
      </c>
      <c r="I280" s="0" t="s">
        <v>1685</v>
      </c>
      <c r="J280" s="0" t="s">
        <v>2102</v>
      </c>
      <c r="K280" s="272" t="n">
        <v>-537108.88</v>
      </c>
    </row>
    <row r="281" customFormat="false" ht="15" hidden="false" customHeight="false" outlineLevel="0" collapsed="false">
      <c r="A281" s="0" t="s">
        <v>2041</v>
      </c>
      <c r="B281" s="0" t="s">
        <v>2042</v>
      </c>
      <c r="C281" s="0" t="s">
        <v>2050</v>
      </c>
      <c r="D281" s="0" t="s">
        <v>2044</v>
      </c>
      <c r="E281" s="0" t="s">
        <v>2045</v>
      </c>
      <c r="F281" s="0" t="s">
        <v>2046</v>
      </c>
      <c r="G281" s="0" t="s">
        <v>2096</v>
      </c>
      <c r="H281" s="0" t="s">
        <v>2048</v>
      </c>
      <c r="I281" s="0" t="s">
        <v>2097</v>
      </c>
      <c r="J281" s="0" t="s">
        <v>2102</v>
      </c>
      <c r="K281" s="272" t="n">
        <v>-204682.17</v>
      </c>
    </row>
    <row r="282" customFormat="false" ht="15" hidden="false" customHeight="false" outlineLevel="0" collapsed="false">
      <c r="A282" s="0" t="s">
        <v>2041</v>
      </c>
      <c r="B282" s="0" t="s">
        <v>2042</v>
      </c>
      <c r="C282" s="0" t="s">
        <v>2050</v>
      </c>
      <c r="D282" s="0" t="s">
        <v>2044</v>
      </c>
      <c r="E282" s="0" t="s">
        <v>2045</v>
      </c>
      <c r="F282" s="0" t="s">
        <v>2046</v>
      </c>
      <c r="G282" s="0" t="s">
        <v>2098</v>
      </c>
      <c r="H282" s="0" t="s">
        <v>2048</v>
      </c>
      <c r="I282" s="0" t="s">
        <v>1685</v>
      </c>
      <c r="J282" s="0" t="s">
        <v>2102</v>
      </c>
      <c r="K282" s="272" t="n">
        <v>-180500.32</v>
      </c>
    </row>
    <row r="283" customFormat="false" ht="15" hidden="false" customHeight="false" outlineLevel="0" collapsed="false">
      <c r="A283" s="0" t="s">
        <v>2041</v>
      </c>
      <c r="B283" s="0" t="s">
        <v>2042</v>
      </c>
      <c r="C283" s="0" t="s">
        <v>2050</v>
      </c>
      <c r="D283" s="0" t="s">
        <v>2044</v>
      </c>
      <c r="E283" s="0" t="s">
        <v>2045</v>
      </c>
      <c r="F283" s="0" t="s">
        <v>2099</v>
      </c>
      <c r="G283" s="0" t="s">
        <v>2064</v>
      </c>
      <c r="H283" s="0" t="s">
        <v>2100</v>
      </c>
      <c r="I283" s="0" t="s">
        <v>1685</v>
      </c>
      <c r="J283" s="0" t="s">
        <v>2102</v>
      </c>
      <c r="K283" s="272" t="n">
        <v>-282628.5</v>
      </c>
    </row>
    <row r="284" customFormat="false" ht="15" hidden="false" customHeight="false" outlineLevel="0" collapsed="false">
      <c r="A284" s="0" t="s">
        <v>2041</v>
      </c>
      <c r="B284" s="0" t="s">
        <v>2042</v>
      </c>
      <c r="C284" s="0" t="s">
        <v>2050</v>
      </c>
      <c r="D284" s="0" t="s">
        <v>2044</v>
      </c>
      <c r="E284" s="0" t="s">
        <v>2045</v>
      </c>
      <c r="F284" s="0" t="s">
        <v>2099</v>
      </c>
      <c r="G284" s="0" t="s">
        <v>2076</v>
      </c>
      <c r="H284" s="0" t="s">
        <v>2100</v>
      </c>
      <c r="I284" s="0" t="s">
        <v>1685</v>
      </c>
      <c r="J284" s="0" t="s">
        <v>2102</v>
      </c>
      <c r="K284" s="272" t="n">
        <v>-210662.76</v>
      </c>
    </row>
    <row r="285" customFormat="false" ht="15" hidden="false" customHeight="false" outlineLevel="0" collapsed="false">
      <c r="A285" s="0" t="s">
        <v>2041</v>
      </c>
      <c r="B285" s="0" t="s">
        <v>2042</v>
      </c>
      <c r="C285" s="0" t="s">
        <v>2050</v>
      </c>
      <c r="D285" s="0" t="s">
        <v>2044</v>
      </c>
      <c r="E285" s="0" t="s">
        <v>2045</v>
      </c>
      <c r="F285" s="0" t="s">
        <v>2099</v>
      </c>
      <c r="G285" s="0" t="s">
        <v>2081</v>
      </c>
      <c r="H285" s="0" t="s">
        <v>2100</v>
      </c>
      <c r="I285" s="0" t="s">
        <v>1685</v>
      </c>
      <c r="J285" s="0" t="s">
        <v>2102</v>
      </c>
      <c r="K285" s="272" t="n">
        <v>-215600</v>
      </c>
    </row>
    <row r="286" customFormat="false" ht="15" hidden="false" customHeight="false" outlineLevel="0" collapsed="false">
      <c r="A286" s="0" t="s">
        <v>2041</v>
      </c>
      <c r="B286" s="0" t="s">
        <v>2042</v>
      </c>
      <c r="C286" s="0" t="s">
        <v>2050</v>
      </c>
      <c r="D286" s="0" t="s">
        <v>2044</v>
      </c>
      <c r="E286" s="0" t="s">
        <v>2045</v>
      </c>
      <c r="F286" s="0" t="s">
        <v>2099</v>
      </c>
      <c r="G286" s="0" t="s">
        <v>2085</v>
      </c>
      <c r="H286" s="0" t="s">
        <v>2100</v>
      </c>
      <c r="I286" s="0" t="s">
        <v>1685</v>
      </c>
      <c r="J286" s="0" t="s">
        <v>2102</v>
      </c>
      <c r="K286" s="272" t="n">
        <v>-252560</v>
      </c>
    </row>
    <row r="287" customFormat="false" ht="15" hidden="false" customHeight="false" outlineLevel="0" collapsed="false">
      <c r="A287" s="0" t="s">
        <v>2041</v>
      </c>
      <c r="B287" s="0" t="s">
        <v>2042</v>
      </c>
      <c r="C287" s="0" t="s">
        <v>2050</v>
      </c>
      <c r="D287" s="0" t="s">
        <v>2044</v>
      </c>
      <c r="E287" s="0" t="s">
        <v>2045</v>
      </c>
      <c r="F287" s="0" t="s">
        <v>2099</v>
      </c>
      <c r="G287" s="0" t="s">
        <v>2086</v>
      </c>
      <c r="H287" s="0" t="s">
        <v>2100</v>
      </c>
      <c r="I287" s="0" t="s">
        <v>1685</v>
      </c>
      <c r="J287" s="0" t="s">
        <v>2102</v>
      </c>
      <c r="K287" s="272" t="n">
        <v>-91383.6</v>
      </c>
    </row>
    <row r="288" customFormat="false" ht="15" hidden="false" customHeight="false" outlineLevel="0" collapsed="false">
      <c r="A288" s="0" t="s">
        <v>2041</v>
      </c>
      <c r="B288" s="0" t="s">
        <v>2042</v>
      </c>
      <c r="C288" s="0" t="s">
        <v>2050</v>
      </c>
      <c r="D288" s="0" t="s">
        <v>2044</v>
      </c>
      <c r="E288" s="0" t="s">
        <v>2045</v>
      </c>
      <c r="F288" s="0" t="s">
        <v>2099</v>
      </c>
      <c r="G288" s="0" t="s">
        <v>2095</v>
      </c>
      <c r="H288" s="0" t="s">
        <v>2100</v>
      </c>
      <c r="I288" s="0" t="s">
        <v>1685</v>
      </c>
      <c r="J288" s="0" t="s">
        <v>2102</v>
      </c>
      <c r="K288" s="272" t="n">
        <v>-135481.5</v>
      </c>
    </row>
    <row r="289" customFormat="false" ht="15" hidden="false" customHeight="false" outlineLevel="0" collapsed="false">
      <c r="A289" s="0" t="s">
        <v>2041</v>
      </c>
      <c r="B289" s="0" t="s">
        <v>2042</v>
      </c>
      <c r="C289" s="0" t="s">
        <v>2050</v>
      </c>
      <c r="D289" s="0" t="s">
        <v>2044</v>
      </c>
      <c r="E289" s="0" t="s">
        <v>2045</v>
      </c>
      <c r="F289" s="0" t="s">
        <v>2099</v>
      </c>
      <c r="G289" s="0" t="s">
        <v>2096</v>
      </c>
      <c r="H289" s="0" t="s">
        <v>2100</v>
      </c>
      <c r="I289" s="0" t="s">
        <v>2101</v>
      </c>
      <c r="J289" s="0" t="s">
        <v>2102</v>
      </c>
      <c r="K289" s="272" t="n">
        <v>-138907.23</v>
      </c>
    </row>
    <row r="290" customFormat="false" ht="15" hidden="false" customHeight="false" outlineLevel="0" collapsed="false">
      <c r="A290" s="0" t="s">
        <v>2041</v>
      </c>
      <c r="B290" s="0" t="s">
        <v>2042</v>
      </c>
      <c r="C290" s="0" t="s">
        <v>2043</v>
      </c>
      <c r="D290" s="0" t="s">
        <v>2044</v>
      </c>
      <c r="E290" s="0" t="s">
        <v>2045</v>
      </c>
      <c r="F290" s="0" t="s">
        <v>2051</v>
      </c>
      <c r="G290" s="0" t="s">
        <v>2047</v>
      </c>
      <c r="H290" s="0" t="s">
        <v>2052</v>
      </c>
      <c r="I290" s="0" t="s">
        <v>1685</v>
      </c>
      <c r="J290" s="0" t="s">
        <v>2102</v>
      </c>
      <c r="K290" s="272" t="n">
        <v>-5977.20816</v>
      </c>
    </row>
    <row r="291" customFormat="false" ht="15" hidden="false" customHeight="false" outlineLevel="0" collapsed="false">
      <c r="A291" s="0" t="s">
        <v>2041</v>
      </c>
      <c r="B291" s="0" t="s">
        <v>2042</v>
      </c>
      <c r="C291" s="0" t="s">
        <v>2043</v>
      </c>
      <c r="D291" s="0" t="s">
        <v>2044</v>
      </c>
      <c r="E291" s="0" t="s">
        <v>2045</v>
      </c>
      <c r="F291" s="0" t="s">
        <v>2051</v>
      </c>
      <c r="G291" s="0" t="s">
        <v>2053</v>
      </c>
      <c r="H291" s="0" t="s">
        <v>2052</v>
      </c>
      <c r="I291" s="0" t="s">
        <v>1685</v>
      </c>
      <c r="J291" s="0" t="s">
        <v>2102</v>
      </c>
      <c r="K291" s="272" t="n">
        <v>-2488.0326625</v>
      </c>
    </row>
    <row r="292" customFormat="false" ht="15" hidden="false" customHeight="false" outlineLevel="0" collapsed="false">
      <c r="A292" s="0" t="s">
        <v>2041</v>
      </c>
      <c r="B292" s="0" t="s">
        <v>2042</v>
      </c>
      <c r="C292" s="0" t="s">
        <v>2043</v>
      </c>
      <c r="D292" s="0" t="s">
        <v>2044</v>
      </c>
      <c r="E292" s="0" t="s">
        <v>2045</v>
      </c>
      <c r="F292" s="0" t="s">
        <v>2051</v>
      </c>
      <c r="G292" s="0" t="s">
        <v>2054</v>
      </c>
      <c r="H292" s="0" t="s">
        <v>2052</v>
      </c>
      <c r="I292" s="0" t="s">
        <v>1685</v>
      </c>
      <c r="J292" s="0" t="s">
        <v>2102</v>
      </c>
      <c r="K292" s="272" t="n">
        <v>-7370.11113299999</v>
      </c>
    </row>
    <row r="293" customFormat="false" ht="15" hidden="false" customHeight="false" outlineLevel="0" collapsed="false">
      <c r="A293" s="0" t="s">
        <v>2041</v>
      </c>
      <c r="B293" s="0" t="s">
        <v>2042</v>
      </c>
      <c r="C293" s="0" t="s">
        <v>2043</v>
      </c>
      <c r="D293" s="0" t="s">
        <v>2044</v>
      </c>
      <c r="E293" s="0" t="s">
        <v>2045</v>
      </c>
      <c r="F293" s="0" t="s">
        <v>2051</v>
      </c>
      <c r="G293" s="0" t="s">
        <v>2055</v>
      </c>
      <c r="H293" s="0" t="s">
        <v>2052</v>
      </c>
      <c r="I293" s="0" t="s">
        <v>1685</v>
      </c>
      <c r="J293" s="0" t="s">
        <v>2102</v>
      </c>
      <c r="K293" s="272" t="n">
        <v>-45309.546975</v>
      </c>
    </row>
    <row r="294" customFormat="false" ht="15" hidden="false" customHeight="false" outlineLevel="0" collapsed="false">
      <c r="A294" s="0" t="s">
        <v>2041</v>
      </c>
      <c r="B294" s="0" t="s">
        <v>2042</v>
      </c>
      <c r="C294" s="0" t="s">
        <v>2043</v>
      </c>
      <c r="D294" s="0" t="s">
        <v>2044</v>
      </c>
      <c r="E294" s="0" t="s">
        <v>2045</v>
      </c>
      <c r="F294" s="0" t="s">
        <v>2051</v>
      </c>
      <c r="G294" s="0" t="s">
        <v>2056</v>
      </c>
      <c r="H294" s="0" t="s">
        <v>2052</v>
      </c>
      <c r="I294" s="0" t="s">
        <v>1685</v>
      </c>
      <c r="J294" s="0" t="s">
        <v>2102</v>
      </c>
      <c r="K294" s="272" t="n">
        <v>-45042.2271299</v>
      </c>
    </row>
    <row r="295" customFormat="false" ht="15" hidden="false" customHeight="false" outlineLevel="0" collapsed="false">
      <c r="A295" s="0" t="s">
        <v>2041</v>
      </c>
      <c r="B295" s="0" t="s">
        <v>2042</v>
      </c>
      <c r="C295" s="0" t="s">
        <v>2043</v>
      </c>
      <c r="D295" s="0" t="s">
        <v>2044</v>
      </c>
      <c r="E295" s="0" t="s">
        <v>2045</v>
      </c>
      <c r="F295" s="0" t="s">
        <v>2051</v>
      </c>
      <c r="G295" s="0" t="s">
        <v>2057</v>
      </c>
      <c r="H295" s="0" t="s">
        <v>2052</v>
      </c>
      <c r="I295" s="0" t="s">
        <v>1685</v>
      </c>
      <c r="J295" s="0" t="s">
        <v>2102</v>
      </c>
      <c r="K295" s="272" t="n">
        <v>-31697.29486</v>
      </c>
    </row>
    <row r="296" customFormat="false" ht="15" hidden="false" customHeight="false" outlineLevel="0" collapsed="false">
      <c r="A296" s="0" t="s">
        <v>2041</v>
      </c>
      <c r="B296" s="0" t="s">
        <v>2042</v>
      </c>
      <c r="C296" s="0" t="s">
        <v>2043</v>
      </c>
      <c r="D296" s="0" t="s">
        <v>2044</v>
      </c>
      <c r="E296" s="0" t="s">
        <v>2045</v>
      </c>
      <c r="F296" s="0" t="s">
        <v>2051</v>
      </c>
      <c r="G296" s="0" t="s">
        <v>2058</v>
      </c>
      <c r="H296" s="0" t="s">
        <v>2052</v>
      </c>
      <c r="I296" s="0" t="s">
        <v>1685</v>
      </c>
      <c r="J296" s="0" t="s">
        <v>2102</v>
      </c>
      <c r="K296" s="272" t="n">
        <v>-7778.463</v>
      </c>
    </row>
    <row r="297" customFormat="false" ht="15" hidden="false" customHeight="false" outlineLevel="0" collapsed="false">
      <c r="A297" s="0" t="s">
        <v>2041</v>
      </c>
      <c r="B297" s="0" t="s">
        <v>2042</v>
      </c>
      <c r="C297" s="0" t="s">
        <v>2043</v>
      </c>
      <c r="D297" s="0" t="s">
        <v>2044</v>
      </c>
      <c r="E297" s="0" t="s">
        <v>2045</v>
      </c>
      <c r="F297" s="0" t="s">
        <v>2051</v>
      </c>
      <c r="G297" s="0" t="s">
        <v>2059</v>
      </c>
      <c r="H297" s="0" t="s">
        <v>2052</v>
      </c>
      <c r="I297" s="0" t="s">
        <v>1685</v>
      </c>
      <c r="J297" s="0" t="s">
        <v>2102</v>
      </c>
      <c r="K297" s="272" t="n">
        <v>-8231.21838</v>
      </c>
    </row>
    <row r="298" customFormat="false" ht="15" hidden="false" customHeight="false" outlineLevel="0" collapsed="false">
      <c r="A298" s="0" t="s">
        <v>2041</v>
      </c>
      <c r="B298" s="0" t="s">
        <v>2042</v>
      </c>
      <c r="C298" s="0" t="s">
        <v>2043</v>
      </c>
      <c r="D298" s="0" t="s">
        <v>2044</v>
      </c>
      <c r="E298" s="0" t="s">
        <v>2045</v>
      </c>
      <c r="F298" s="0" t="s">
        <v>2051</v>
      </c>
      <c r="G298" s="0" t="s">
        <v>2060</v>
      </c>
      <c r="H298" s="0" t="s">
        <v>2052</v>
      </c>
      <c r="I298" s="0" t="s">
        <v>1685</v>
      </c>
      <c r="J298" s="0" t="s">
        <v>2102</v>
      </c>
      <c r="K298" s="272" t="n">
        <v>-1737.8888527</v>
      </c>
    </row>
    <row r="299" customFormat="false" ht="15" hidden="false" customHeight="false" outlineLevel="0" collapsed="false">
      <c r="A299" s="0" t="s">
        <v>2041</v>
      </c>
      <c r="B299" s="0" t="s">
        <v>2042</v>
      </c>
      <c r="C299" s="0" t="s">
        <v>2043</v>
      </c>
      <c r="D299" s="0" t="s">
        <v>2044</v>
      </c>
      <c r="E299" s="0" t="s">
        <v>2045</v>
      </c>
      <c r="F299" s="0" t="s">
        <v>2051</v>
      </c>
      <c r="G299" s="0" t="s">
        <v>2061</v>
      </c>
      <c r="H299" s="0" t="s">
        <v>2052</v>
      </c>
      <c r="I299" s="0" t="s">
        <v>1685</v>
      </c>
      <c r="J299" s="0" t="s">
        <v>2102</v>
      </c>
      <c r="K299" s="272" t="n">
        <v>-2171.412012</v>
      </c>
    </row>
    <row r="300" customFormat="false" ht="15" hidden="false" customHeight="false" outlineLevel="0" collapsed="false">
      <c r="A300" s="0" t="s">
        <v>2041</v>
      </c>
      <c r="B300" s="0" t="s">
        <v>2042</v>
      </c>
      <c r="C300" s="0" t="s">
        <v>2043</v>
      </c>
      <c r="D300" s="0" t="s">
        <v>2044</v>
      </c>
      <c r="E300" s="0" t="s">
        <v>2045</v>
      </c>
      <c r="F300" s="0" t="s">
        <v>2051</v>
      </c>
      <c r="G300" s="0" t="s">
        <v>2062</v>
      </c>
      <c r="H300" s="0" t="s">
        <v>2052</v>
      </c>
      <c r="I300" s="0" t="s">
        <v>1685</v>
      </c>
      <c r="J300" s="0" t="s">
        <v>2102</v>
      </c>
      <c r="K300" s="272" t="n">
        <v>-8332.896495</v>
      </c>
    </row>
    <row r="301" customFormat="false" ht="15" hidden="false" customHeight="false" outlineLevel="0" collapsed="false">
      <c r="A301" s="0" t="s">
        <v>2041</v>
      </c>
      <c r="B301" s="0" t="s">
        <v>2042</v>
      </c>
      <c r="C301" s="0" t="s">
        <v>2043</v>
      </c>
      <c r="D301" s="0" t="s">
        <v>2044</v>
      </c>
      <c r="E301" s="0" t="s">
        <v>2045</v>
      </c>
      <c r="F301" s="0" t="s">
        <v>2051</v>
      </c>
      <c r="G301" s="0" t="s">
        <v>2063</v>
      </c>
      <c r="H301" s="0" t="s">
        <v>2052</v>
      </c>
      <c r="I301" s="0" t="s">
        <v>1685</v>
      </c>
      <c r="J301" s="0" t="s">
        <v>2102</v>
      </c>
      <c r="K301" s="272" t="n">
        <v>-13885.835425</v>
      </c>
    </row>
    <row r="302" customFormat="false" ht="15" hidden="false" customHeight="false" outlineLevel="0" collapsed="false">
      <c r="A302" s="0" t="s">
        <v>2041</v>
      </c>
      <c r="B302" s="0" t="s">
        <v>2042</v>
      </c>
      <c r="C302" s="0" t="s">
        <v>2043</v>
      </c>
      <c r="D302" s="0" t="s">
        <v>2044</v>
      </c>
      <c r="E302" s="0" t="s">
        <v>2045</v>
      </c>
      <c r="F302" s="0" t="s">
        <v>2051</v>
      </c>
      <c r="G302" s="0" t="s">
        <v>2064</v>
      </c>
      <c r="H302" s="0" t="s">
        <v>2052</v>
      </c>
      <c r="I302" s="0" t="s">
        <v>1685</v>
      </c>
      <c r="J302" s="0" t="s">
        <v>2102</v>
      </c>
      <c r="K302" s="272" t="n">
        <v>-108851.5736</v>
      </c>
    </row>
    <row r="303" customFormat="false" ht="15" hidden="false" customHeight="false" outlineLevel="0" collapsed="false">
      <c r="A303" s="0" t="s">
        <v>2041</v>
      </c>
      <c r="B303" s="0" t="s">
        <v>2042</v>
      </c>
      <c r="C303" s="0" t="s">
        <v>2043</v>
      </c>
      <c r="D303" s="0" t="s">
        <v>2044</v>
      </c>
      <c r="E303" s="0" t="s">
        <v>2045</v>
      </c>
      <c r="F303" s="0" t="s">
        <v>2051</v>
      </c>
      <c r="G303" s="0" t="s">
        <v>2065</v>
      </c>
      <c r="H303" s="0" t="s">
        <v>2052</v>
      </c>
      <c r="I303" s="0" t="s">
        <v>1685</v>
      </c>
      <c r="J303" s="0" t="s">
        <v>2102</v>
      </c>
      <c r="K303" s="272" t="n">
        <v>-325.556</v>
      </c>
    </row>
    <row r="304" customFormat="false" ht="15" hidden="false" customHeight="false" outlineLevel="0" collapsed="false">
      <c r="A304" s="0" t="s">
        <v>2041</v>
      </c>
      <c r="B304" s="0" t="s">
        <v>2042</v>
      </c>
      <c r="C304" s="0" t="s">
        <v>2043</v>
      </c>
      <c r="D304" s="0" t="s">
        <v>2044</v>
      </c>
      <c r="E304" s="0" t="s">
        <v>2045</v>
      </c>
      <c r="F304" s="0" t="s">
        <v>2051</v>
      </c>
      <c r="G304" s="0" t="s">
        <v>2066</v>
      </c>
      <c r="H304" s="0" t="s">
        <v>2052</v>
      </c>
      <c r="I304" s="0" t="s">
        <v>1685</v>
      </c>
      <c r="J304" s="0" t="s">
        <v>2102</v>
      </c>
      <c r="K304" s="272" t="n">
        <v>-2045.945055</v>
      </c>
    </row>
    <row r="305" customFormat="false" ht="15" hidden="false" customHeight="false" outlineLevel="0" collapsed="false">
      <c r="A305" s="0" t="s">
        <v>2041</v>
      </c>
      <c r="B305" s="0" t="s">
        <v>2042</v>
      </c>
      <c r="C305" s="0" t="s">
        <v>2043</v>
      </c>
      <c r="D305" s="0" t="s">
        <v>2044</v>
      </c>
      <c r="E305" s="0" t="s">
        <v>2045</v>
      </c>
      <c r="F305" s="0" t="s">
        <v>2051</v>
      </c>
      <c r="G305" s="0" t="s">
        <v>2067</v>
      </c>
      <c r="H305" s="0" t="s">
        <v>2052</v>
      </c>
      <c r="I305" s="0" t="s">
        <v>1685</v>
      </c>
      <c r="J305" s="0" t="s">
        <v>2102</v>
      </c>
      <c r="K305" s="272" t="n">
        <v>-57978.093635</v>
      </c>
    </row>
    <row r="306" customFormat="false" ht="15" hidden="false" customHeight="false" outlineLevel="0" collapsed="false">
      <c r="A306" s="0" t="s">
        <v>2041</v>
      </c>
      <c r="B306" s="0" t="s">
        <v>2042</v>
      </c>
      <c r="C306" s="0" t="s">
        <v>2043</v>
      </c>
      <c r="D306" s="0" t="s">
        <v>2044</v>
      </c>
      <c r="E306" s="0" t="s">
        <v>2045</v>
      </c>
      <c r="F306" s="0" t="s">
        <v>2051</v>
      </c>
      <c r="G306" s="0" t="s">
        <v>2068</v>
      </c>
      <c r="H306" s="0" t="s">
        <v>2052</v>
      </c>
      <c r="I306" s="0" t="s">
        <v>1685</v>
      </c>
      <c r="J306" s="0" t="s">
        <v>2102</v>
      </c>
      <c r="K306" s="272" t="n">
        <v>-27830.3872</v>
      </c>
    </row>
    <row r="307" customFormat="false" ht="15" hidden="false" customHeight="false" outlineLevel="0" collapsed="false">
      <c r="A307" s="0" t="s">
        <v>2041</v>
      </c>
      <c r="B307" s="0" t="s">
        <v>2042</v>
      </c>
      <c r="C307" s="0" t="s">
        <v>2043</v>
      </c>
      <c r="D307" s="0" t="s">
        <v>2044</v>
      </c>
      <c r="E307" s="0" t="s">
        <v>2045</v>
      </c>
      <c r="F307" s="0" t="s">
        <v>2051</v>
      </c>
      <c r="G307" s="0" t="s">
        <v>2070</v>
      </c>
      <c r="H307" s="0" t="s">
        <v>2052</v>
      </c>
      <c r="I307" s="0" t="s">
        <v>1685</v>
      </c>
      <c r="J307" s="0" t="s">
        <v>2102</v>
      </c>
      <c r="K307" s="272" t="n">
        <v>-65561.66776775</v>
      </c>
    </row>
    <row r="308" customFormat="false" ht="15" hidden="false" customHeight="false" outlineLevel="0" collapsed="false">
      <c r="A308" s="0" t="s">
        <v>2041</v>
      </c>
      <c r="B308" s="0" t="s">
        <v>2042</v>
      </c>
      <c r="C308" s="0" t="s">
        <v>2043</v>
      </c>
      <c r="D308" s="0" t="s">
        <v>2044</v>
      </c>
      <c r="E308" s="0" t="s">
        <v>2045</v>
      </c>
      <c r="F308" s="0" t="s">
        <v>2051</v>
      </c>
      <c r="G308" s="0" t="s">
        <v>2071</v>
      </c>
      <c r="H308" s="0" t="s">
        <v>2052</v>
      </c>
      <c r="I308" s="0" t="s">
        <v>1685</v>
      </c>
      <c r="J308" s="0" t="s">
        <v>2102</v>
      </c>
      <c r="K308" s="272" t="n">
        <v>-5936.7462</v>
      </c>
    </row>
    <row r="309" customFormat="false" ht="15" hidden="false" customHeight="false" outlineLevel="0" collapsed="false">
      <c r="A309" s="0" t="s">
        <v>2041</v>
      </c>
      <c r="B309" s="0" t="s">
        <v>2042</v>
      </c>
      <c r="C309" s="0" t="s">
        <v>2043</v>
      </c>
      <c r="D309" s="0" t="s">
        <v>2044</v>
      </c>
      <c r="E309" s="0" t="s">
        <v>2045</v>
      </c>
      <c r="F309" s="0" t="s">
        <v>2051</v>
      </c>
      <c r="G309" s="0" t="s">
        <v>2072</v>
      </c>
      <c r="H309" s="0" t="s">
        <v>2052</v>
      </c>
      <c r="I309" s="0" t="s">
        <v>1685</v>
      </c>
      <c r="J309" s="0" t="s">
        <v>2102</v>
      </c>
      <c r="K309" s="272" t="n">
        <v>-64570.28463655</v>
      </c>
    </row>
    <row r="310" customFormat="false" ht="15" hidden="false" customHeight="false" outlineLevel="0" collapsed="false">
      <c r="A310" s="0" t="s">
        <v>2041</v>
      </c>
      <c r="B310" s="0" t="s">
        <v>2042</v>
      </c>
      <c r="C310" s="0" t="s">
        <v>2043</v>
      </c>
      <c r="D310" s="0" t="s">
        <v>2044</v>
      </c>
      <c r="E310" s="0" t="s">
        <v>2045</v>
      </c>
      <c r="F310" s="0" t="s">
        <v>2051</v>
      </c>
      <c r="G310" s="0" t="s">
        <v>2073</v>
      </c>
      <c r="H310" s="0" t="s">
        <v>2052</v>
      </c>
      <c r="I310" s="0" t="s">
        <v>1685</v>
      </c>
      <c r="J310" s="0" t="s">
        <v>2102</v>
      </c>
      <c r="K310" s="272" t="n">
        <v>-126615.93714</v>
      </c>
    </row>
    <row r="311" customFormat="false" ht="15" hidden="false" customHeight="false" outlineLevel="0" collapsed="false">
      <c r="A311" s="0" t="s">
        <v>2041</v>
      </c>
      <c r="B311" s="0" t="s">
        <v>2042</v>
      </c>
      <c r="C311" s="0" t="s">
        <v>2043</v>
      </c>
      <c r="D311" s="0" t="s">
        <v>2044</v>
      </c>
      <c r="E311" s="0" t="s">
        <v>2045</v>
      </c>
      <c r="F311" s="0" t="s">
        <v>2051</v>
      </c>
      <c r="G311" s="0" t="s">
        <v>2074</v>
      </c>
      <c r="H311" s="0" t="s">
        <v>2052</v>
      </c>
      <c r="I311" s="0" t="s">
        <v>1685</v>
      </c>
      <c r="J311" s="0" t="s">
        <v>2102</v>
      </c>
      <c r="K311" s="272" t="n">
        <v>-30195.319</v>
      </c>
    </row>
    <row r="312" customFormat="false" ht="15" hidden="false" customHeight="false" outlineLevel="0" collapsed="false">
      <c r="A312" s="0" t="s">
        <v>2041</v>
      </c>
      <c r="B312" s="0" t="s">
        <v>2042</v>
      </c>
      <c r="C312" s="0" t="s">
        <v>2043</v>
      </c>
      <c r="D312" s="0" t="s">
        <v>2044</v>
      </c>
      <c r="E312" s="0" t="s">
        <v>2045</v>
      </c>
      <c r="F312" s="0" t="s">
        <v>2051</v>
      </c>
      <c r="G312" s="0" t="s">
        <v>2075</v>
      </c>
      <c r="H312" s="0" t="s">
        <v>2052</v>
      </c>
      <c r="I312" s="0" t="s">
        <v>1685</v>
      </c>
      <c r="J312" s="0" t="s">
        <v>2102</v>
      </c>
      <c r="K312" s="272" t="n">
        <v>-67154.854536</v>
      </c>
    </row>
    <row r="313" customFormat="false" ht="15" hidden="false" customHeight="false" outlineLevel="0" collapsed="false">
      <c r="A313" s="0" t="s">
        <v>2041</v>
      </c>
      <c r="B313" s="0" t="s">
        <v>2042</v>
      </c>
      <c r="C313" s="0" t="s">
        <v>2043</v>
      </c>
      <c r="D313" s="0" t="s">
        <v>2044</v>
      </c>
      <c r="E313" s="0" t="s">
        <v>2045</v>
      </c>
      <c r="F313" s="0" t="s">
        <v>2051</v>
      </c>
      <c r="G313" s="0" t="s">
        <v>2076</v>
      </c>
      <c r="H313" s="0" t="s">
        <v>2052</v>
      </c>
      <c r="I313" s="0" t="s">
        <v>1685</v>
      </c>
      <c r="J313" s="0" t="s">
        <v>2102</v>
      </c>
      <c r="K313" s="272" t="n">
        <v>-91659.5611085</v>
      </c>
    </row>
    <row r="314" customFormat="false" ht="15" hidden="false" customHeight="false" outlineLevel="0" collapsed="false">
      <c r="A314" s="0" t="s">
        <v>2041</v>
      </c>
      <c r="B314" s="0" t="s">
        <v>2042</v>
      </c>
      <c r="C314" s="0" t="s">
        <v>2043</v>
      </c>
      <c r="D314" s="0" t="s">
        <v>2044</v>
      </c>
      <c r="E314" s="0" t="s">
        <v>2045</v>
      </c>
      <c r="F314" s="0" t="s">
        <v>2051</v>
      </c>
      <c r="G314" s="0" t="s">
        <v>2077</v>
      </c>
      <c r="H314" s="0" t="s">
        <v>2052</v>
      </c>
      <c r="I314" s="0" t="s">
        <v>1685</v>
      </c>
      <c r="J314" s="0" t="s">
        <v>2102</v>
      </c>
      <c r="K314" s="272" t="n">
        <v>-4278.15465</v>
      </c>
    </row>
    <row r="315" customFormat="false" ht="15" hidden="false" customHeight="false" outlineLevel="0" collapsed="false">
      <c r="A315" s="0" t="s">
        <v>2041</v>
      </c>
      <c r="B315" s="0" t="s">
        <v>2042</v>
      </c>
      <c r="C315" s="0" t="s">
        <v>2043</v>
      </c>
      <c r="D315" s="0" t="s">
        <v>2044</v>
      </c>
      <c r="E315" s="0" t="s">
        <v>2045</v>
      </c>
      <c r="F315" s="0" t="s">
        <v>2051</v>
      </c>
      <c r="G315" s="0" t="s">
        <v>2078</v>
      </c>
      <c r="H315" s="0" t="s">
        <v>2052</v>
      </c>
      <c r="I315" s="0" t="s">
        <v>1685</v>
      </c>
      <c r="J315" s="0" t="s">
        <v>2102</v>
      </c>
      <c r="K315" s="272" t="n">
        <v>-7468.37091</v>
      </c>
    </row>
    <row r="316" customFormat="false" ht="15" hidden="false" customHeight="false" outlineLevel="0" collapsed="false">
      <c r="A316" s="0" t="s">
        <v>2041</v>
      </c>
      <c r="B316" s="0" t="s">
        <v>2042</v>
      </c>
      <c r="C316" s="0" t="s">
        <v>2043</v>
      </c>
      <c r="D316" s="0" t="s">
        <v>2044</v>
      </c>
      <c r="E316" s="0" t="s">
        <v>2045</v>
      </c>
      <c r="F316" s="0" t="s">
        <v>2051</v>
      </c>
      <c r="G316" s="0" t="s">
        <v>2080</v>
      </c>
      <c r="H316" s="0" t="s">
        <v>2052</v>
      </c>
      <c r="I316" s="0" t="s">
        <v>1685</v>
      </c>
      <c r="J316" s="0" t="s">
        <v>2102</v>
      </c>
      <c r="K316" s="272" t="n">
        <v>-1976.59</v>
      </c>
    </row>
    <row r="317" customFormat="false" ht="15" hidden="false" customHeight="false" outlineLevel="0" collapsed="false">
      <c r="A317" s="0" t="s">
        <v>2041</v>
      </c>
      <c r="B317" s="0" t="s">
        <v>2042</v>
      </c>
      <c r="C317" s="0" t="s">
        <v>2043</v>
      </c>
      <c r="D317" s="0" t="s">
        <v>2044</v>
      </c>
      <c r="E317" s="0" t="s">
        <v>2045</v>
      </c>
      <c r="F317" s="0" t="s">
        <v>2051</v>
      </c>
      <c r="G317" s="0" t="s">
        <v>2081</v>
      </c>
      <c r="H317" s="0" t="s">
        <v>2052</v>
      </c>
      <c r="I317" s="0" t="s">
        <v>1685</v>
      </c>
      <c r="J317" s="0" t="s">
        <v>2102</v>
      </c>
      <c r="K317" s="272" t="n">
        <v>-18672.962</v>
      </c>
    </row>
    <row r="318" customFormat="false" ht="15" hidden="false" customHeight="false" outlineLevel="0" collapsed="false">
      <c r="A318" s="0" t="s">
        <v>2041</v>
      </c>
      <c r="B318" s="0" t="s">
        <v>2042</v>
      </c>
      <c r="C318" s="0" t="s">
        <v>2043</v>
      </c>
      <c r="D318" s="0" t="s">
        <v>2044</v>
      </c>
      <c r="E318" s="0" t="s">
        <v>2045</v>
      </c>
      <c r="F318" s="0" t="s">
        <v>2051</v>
      </c>
      <c r="G318" s="0" t="s">
        <v>2083</v>
      </c>
      <c r="H318" s="0" t="s">
        <v>2052</v>
      </c>
      <c r="I318" s="0" t="s">
        <v>1685</v>
      </c>
      <c r="J318" s="0" t="s">
        <v>2102</v>
      </c>
      <c r="K318" s="272" t="n">
        <v>-3143.9408</v>
      </c>
    </row>
    <row r="319" customFormat="false" ht="15" hidden="false" customHeight="false" outlineLevel="0" collapsed="false">
      <c r="A319" s="0" t="s">
        <v>2041</v>
      </c>
      <c r="B319" s="0" t="s">
        <v>2042</v>
      </c>
      <c r="C319" s="0" t="s">
        <v>2043</v>
      </c>
      <c r="D319" s="0" t="s">
        <v>2044</v>
      </c>
      <c r="E319" s="0" t="s">
        <v>2045</v>
      </c>
      <c r="F319" s="0" t="s">
        <v>2051</v>
      </c>
      <c r="G319" s="0" t="s">
        <v>2084</v>
      </c>
      <c r="H319" s="0" t="s">
        <v>2052</v>
      </c>
      <c r="I319" s="0" t="s">
        <v>1685</v>
      </c>
      <c r="J319" s="0" t="s">
        <v>2102</v>
      </c>
      <c r="K319" s="272" t="n">
        <v>-67652.16458</v>
      </c>
    </row>
    <row r="320" customFormat="false" ht="15" hidden="false" customHeight="false" outlineLevel="0" collapsed="false">
      <c r="A320" s="0" t="s">
        <v>2041</v>
      </c>
      <c r="B320" s="0" t="s">
        <v>2042</v>
      </c>
      <c r="C320" s="0" t="s">
        <v>2043</v>
      </c>
      <c r="D320" s="0" t="s">
        <v>2044</v>
      </c>
      <c r="E320" s="0" t="s">
        <v>2045</v>
      </c>
      <c r="F320" s="0" t="s">
        <v>2051</v>
      </c>
      <c r="G320" s="0" t="s">
        <v>2085</v>
      </c>
      <c r="H320" s="0" t="s">
        <v>2052</v>
      </c>
      <c r="I320" s="0" t="s">
        <v>1685</v>
      </c>
      <c r="J320" s="0" t="s">
        <v>2102</v>
      </c>
      <c r="K320" s="272" t="n">
        <v>-66923.058664</v>
      </c>
    </row>
    <row r="321" customFormat="false" ht="15" hidden="false" customHeight="false" outlineLevel="0" collapsed="false">
      <c r="A321" s="0" t="s">
        <v>2041</v>
      </c>
      <c r="B321" s="0" t="s">
        <v>2042</v>
      </c>
      <c r="C321" s="0" t="s">
        <v>2043</v>
      </c>
      <c r="D321" s="0" t="s">
        <v>2044</v>
      </c>
      <c r="E321" s="0" t="s">
        <v>2045</v>
      </c>
      <c r="F321" s="0" t="s">
        <v>2051</v>
      </c>
      <c r="G321" s="0" t="s">
        <v>2086</v>
      </c>
      <c r="H321" s="0" t="s">
        <v>2052</v>
      </c>
      <c r="I321" s="0" t="s">
        <v>1685</v>
      </c>
      <c r="J321" s="0" t="s">
        <v>2102</v>
      </c>
      <c r="K321" s="272" t="n">
        <v>-18192.65063</v>
      </c>
    </row>
    <row r="322" customFormat="false" ht="15" hidden="false" customHeight="false" outlineLevel="0" collapsed="false">
      <c r="A322" s="0" t="s">
        <v>2041</v>
      </c>
      <c r="B322" s="0" t="s">
        <v>2042</v>
      </c>
      <c r="C322" s="0" t="s">
        <v>2043</v>
      </c>
      <c r="D322" s="0" t="s">
        <v>2044</v>
      </c>
      <c r="E322" s="0" t="s">
        <v>2045</v>
      </c>
      <c r="F322" s="0" t="s">
        <v>2051</v>
      </c>
      <c r="G322" s="0" t="s">
        <v>2087</v>
      </c>
      <c r="H322" s="0" t="s">
        <v>2052</v>
      </c>
      <c r="I322" s="0" t="s">
        <v>1685</v>
      </c>
      <c r="J322" s="0" t="s">
        <v>2102</v>
      </c>
      <c r="K322" s="272" t="n">
        <v>-138020.3825</v>
      </c>
    </row>
    <row r="323" customFormat="false" ht="15" hidden="false" customHeight="false" outlineLevel="0" collapsed="false">
      <c r="A323" s="0" t="s">
        <v>2041</v>
      </c>
      <c r="B323" s="0" t="s">
        <v>2042</v>
      </c>
      <c r="C323" s="0" t="s">
        <v>2043</v>
      </c>
      <c r="D323" s="0" t="s">
        <v>2044</v>
      </c>
      <c r="E323" s="0" t="s">
        <v>2045</v>
      </c>
      <c r="F323" s="0" t="s">
        <v>2051</v>
      </c>
      <c r="G323" s="0" t="s">
        <v>2088</v>
      </c>
      <c r="H323" s="0" t="s">
        <v>2052</v>
      </c>
      <c r="I323" s="0" t="s">
        <v>1685</v>
      </c>
      <c r="J323" s="0" t="s">
        <v>2102</v>
      </c>
      <c r="K323" s="272" t="n">
        <v>-22585.4475</v>
      </c>
    </row>
    <row r="324" customFormat="false" ht="15" hidden="false" customHeight="false" outlineLevel="0" collapsed="false">
      <c r="A324" s="0" t="s">
        <v>2041</v>
      </c>
      <c r="B324" s="0" t="s">
        <v>2042</v>
      </c>
      <c r="C324" s="0" t="s">
        <v>2043</v>
      </c>
      <c r="D324" s="0" t="s">
        <v>2044</v>
      </c>
      <c r="E324" s="0" t="s">
        <v>2045</v>
      </c>
      <c r="F324" s="0" t="s">
        <v>2051</v>
      </c>
      <c r="G324" s="0" t="s">
        <v>2089</v>
      </c>
      <c r="H324" s="0" t="s">
        <v>2052</v>
      </c>
      <c r="I324" s="0" t="s">
        <v>1685</v>
      </c>
      <c r="J324" s="0" t="s">
        <v>2102</v>
      </c>
      <c r="K324" s="272" t="n">
        <v>-379.8494392</v>
      </c>
    </row>
    <row r="325" customFormat="false" ht="15" hidden="false" customHeight="false" outlineLevel="0" collapsed="false">
      <c r="A325" s="0" t="s">
        <v>2041</v>
      </c>
      <c r="B325" s="0" t="s">
        <v>2042</v>
      </c>
      <c r="C325" s="0" t="s">
        <v>2043</v>
      </c>
      <c r="D325" s="0" t="s">
        <v>2044</v>
      </c>
      <c r="E325" s="0" t="s">
        <v>2045</v>
      </c>
      <c r="F325" s="0" t="s">
        <v>2051</v>
      </c>
      <c r="G325" s="0" t="s">
        <v>2090</v>
      </c>
      <c r="H325" s="0" t="s">
        <v>2052</v>
      </c>
      <c r="I325" s="0" t="s">
        <v>1685</v>
      </c>
      <c r="J325" s="0" t="s">
        <v>2102</v>
      </c>
      <c r="K325" s="272" t="n">
        <v>-69929.4288</v>
      </c>
    </row>
    <row r="326" customFormat="false" ht="15" hidden="false" customHeight="false" outlineLevel="0" collapsed="false">
      <c r="A326" s="0" t="s">
        <v>2041</v>
      </c>
      <c r="B326" s="0" t="s">
        <v>2042</v>
      </c>
      <c r="C326" s="0" t="s">
        <v>2043</v>
      </c>
      <c r="D326" s="0" t="s">
        <v>2044</v>
      </c>
      <c r="E326" s="0" t="s">
        <v>2045</v>
      </c>
      <c r="F326" s="0" t="s">
        <v>2051</v>
      </c>
      <c r="G326" s="0" t="s">
        <v>2091</v>
      </c>
      <c r="H326" s="0" t="s">
        <v>2052</v>
      </c>
      <c r="I326" s="0" t="s">
        <v>1685</v>
      </c>
      <c r="J326" s="0" t="s">
        <v>2102</v>
      </c>
      <c r="K326" s="272" t="n">
        <v>-142512.813366</v>
      </c>
    </row>
    <row r="327" customFormat="false" ht="15" hidden="false" customHeight="false" outlineLevel="0" collapsed="false">
      <c r="A327" s="0" t="s">
        <v>2041</v>
      </c>
      <c r="B327" s="0" t="s">
        <v>2042</v>
      </c>
      <c r="C327" s="0" t="s">
        <v>2043</v>
      </c>
      <c r="D327" s="0" t="s">
        <v>2044</v>
      </c>
      <c r="E327" s="0" t="s">
        <v>2045</v>
      </c>
      <c r="F327" s="0" t="s">
        <v>2051</v>
      </c>
      <c r="G327" s="0" t="s">
        <v>2092</v>
      </c>
      <c r="H327" s="0" t="s">
        <v>2052</v>
      </c>
      <c r="I327" s="0" t="s">
        <v>2103</v>
      </c>
      <c r="J327" s="0" t="s">
        <v>2102</v>
      </c>
      <c r="K327" s="272" t="n">
        <v>-2456.703711</v>
      </c>
    </row>
    <row r="328" customFormat="false" ht="15" hidden="false" customHeight="false" outlineLevel="0" collapsed="false">
      <c r="A328" s="0" t="s">
        <v>2041</v>
      </c>
      <c r="B328" s="0" t="s">
        <v>2042</v>
      </c>
      <c r="C328" s="0" t="s">
        <v>2043</v>
      </c>
      <c r="D328" s="0" t="s">
        <v>2044</v>
      </c>
      <c r="E328" s="0" t="s">
        <v>2045</v>
      </c>
      <c r="F328" s="0" t="s">
        <v>2051</v>
      </c>
      <c r="G328" s="0" t="s">
        <v>2093</v>
      </c>
      <c r="H328" s="0" t="s">
        <v>2052</v>
      </c>
      <c r="I328" s="0" t="s">
        <v>1685</v>
      </c>
      <c r="J328" s="0" t="s">
        <v>2102</v>
      </c>
      <c r="K328" s="272" t="n">
        <v>-18017.78055</v>
      </c>
    </row>
    <row r="329" customFormat="false" ht="15" hidden="false" customHeight="false" outlineLevel="0" collapsed="false">
      <c r="A329" s="0" t="s">
        <v>2041</v>
      </c>
      <c r="B329" s="0" t="s">
        <v>2042</v>
      </c>
      <c r="C329" s="0" t="s">
        <v>2043</v>
      </c>
      <c r="D329" s="0" t="s">
        <v>2044</v>
      </c>
      <c r="E329" s="0" t="s">
        <v>2045</v>
      </c>
      <c r="F329" s="0" t="s">
        <v>2051</v>
      </c>
      <c r="G329" s="0" t="s">
        <v>2094</v>
      </c>
      <c r="H329" s="0" t="s">
        <v>2052</v>
      </c>
      <c r="I329" s="0" t="s">
        <v>1685</v>
      </c>
      <c r="J329" s="0" t="s">
        <v>2102</v>
      </c>
      <c r="K329" s="272" t="n">
        <v>-97886.4114883474</v>
      </c>
    </row>
    <row r="330" customFormat="false" ht="15" hidden="false" customHeight="false" outlineLevel="0" collapsed="false">
      <c r="A330" s="0" t="s">
        <v>2041</v>
      </c>
      <c r="B330" s="0" t="s">
        <v>2042</v>
      </c>
      <c r="C330" s="0" t="s">
        <v>2043</v>
      </c>
      <c r="D330" s="0" t="s">
        <v>2044</v>
      </c>
      <c r="E330" s="0" t="s">
        <v>2045</v>
      </c>
      <c r="F330" s="0" t="s">
        <v>2051</v>
      </c>
      <c r="G330" s="0" t="s">
        <v>2095</v>
      </c>
      <c r="H330" s="0" t="s">
        <v>2052</v>
      </c>
      <c r="I330" s="0" t="s">
        <v>1685</v>
      </c>
      <c r="J330" s="0" t="s">
        <v>2102</v>
      </c>
      <c r="K330" s="272" t="n">
        <v>-117814.99576</v>
      </c>
    </row>
    <row r="331" customFormat="false" ht="15" hidden="false" customHeight="false" outlineLevel="0" collapsed="false">
      <c r="A331" s="0" t="s">
        <v>2041</v>
      </c>
      <c r="B331" s="0" t="s">
        <v>2042</v>
      </c>
      <c r="C331" s="0" t="s">
        <v>2043</v>
      </c>
      <c r="D331" s="0" t="s">
        <v>2044</v>
      </c>
      <c r="E331" s="0" t="s">
        <v>2045</v>
      </c>
      <c r="F331" s="0" t="s">
        <v>2051</v>
      </c>
      <c r="G331" s="0" t="s">
        <v>2098</v>
      </c>
      <c r="H331" s="0" t="s">
        <v>2052</v>
      </c>
      <c r="I331" s="0" t="s">
        <v>1685</v>
      </c>
      <c r="J331" s="0" t="s">
        <v>2102</v>
      </c>
      <c r="K331" s="272" t="n">
        <v>-1112.47136</v>
      </c>
    </row>
    <row r="332" customFormat="false" ht="15" hidden="false" customHeight="false" outlineLevel="0" collapsed="false">
      <c r="A332" s="0" t="s">
        <v>2041</v>
      </c>
      <c r="B332" s="0" t="s">
        <v>2042</v>
      </c>
      <c r="C332" s="0" t="s">
        <v>2043</v>
      </c>
      <c r="D332" s="0" t="s">
        <v>2044</v>
      </c>
      <c r="E332" s="0" t="s">
        <v>2045</v>
      </c>
      <c r="F332" s="0" t="s">
        <v>2046</v>
      </c>
      <c r="G332" s="0" t="s">
        <v>2047</v>
      </c>
      <c r="H332" s="0" t="s">
        <v>2048</v>
      </c>
      <c r="I332" s="0" t="s">
        <v>1685</v>
      </c>
      <c r="J332" s="0" t="s">
        <v>2102</v>
      </c>
      <c r="K332" s="272" t="n">
        <v>-23908.83264</v>
      </c>
    </row>
    <row r="333" customFormat="false" ht="15" hidden="false" customHeight="false" outlineLevel="0" collapsed="false">
      <c r="A333" s="0" t="s">
        <v>2041</v>
      </c>
      <c r="B333" s="0" t="s">
        <v>2042</v>
      </c>
      <c r="C333" s="0" t="s">
        <v>2043</v>
      </c>
      <c r="D333" s="0" t="s">
        <v>2044</v>
      </c>
      <c r="E333" s="0" t="s">
        <v>2045</v>
      </c>
      <c r="F333" s="0" t="s">
        <v>2046</v>
      </c>
      <c r="G333" s="0" t="s">
        <v>2053</v>
      </c>
      <c r="H333" s="0" t="s">
        <v>2048</v>
      </c>
      <c r="I333" s="0" t="s">
        <v>1685</v>
      </c>
      <c r="J333" s="0" t="s">
        <v>2102</v>
      </c>
      <c r="K333" s="272" t="n">
        <v>-96687.3705875</v>
      </c>
    </row>
    <row r="334" customFormat="false" ht="15" hidden="false" customHeight="false" outlineLevel="0" collapsed="false">
      <c r="A334" s="0" t="s">
        <v>2041</v>
      </c>
      <c r="B334" s="0" t="s">
        <v>2042</v>
      </c>
      <c r="C334" s="0" t="s">
        <v>2043</v>
      </c>
      <c r="D334" s="0" t="s">
        <v>2044</v>
      </c>
      <c r="E334" s="0" t="s">
        <v>2045</v>
      </c>
      <c r="F334" s="0" t="s">
        <v>2046</v>
      </c>
      <c r="G334" s="0" t="s">
        <v>2054</v>
      </c>
      <c r="H334" s="0" t="s">
        <v>2048</v>
      </c>
      <c r="I334" s="0" t="s">
        <v>1685</v>
      </c>
      <c r="J334" s="0" t="s">
        <v>2102</v>
      </c>
      <c r="K334" s="272" t="n">
        <v>-41763.963087</v>
      </c>
    </row>
    <row r="335" customFormat="false" ht="15" hidden="false" customHeight="false" outlineLevel="0" collapsed="false">
      <c r="A335" s="0" t="s">
        <v>2041</v>
      </c>
      <c r="B335" s="0" t="s">
        <v>2042</v>
      </c>
      <c r="C335" s="0" t="s">
        <v>2043</v>
      </c>
      <c r="D335" s="0" t="s">
        <v>2044</v>
      </c>
      <c r="E335" s="0" t="s">
        <v>2045</v>
      </c>
      <c r="F335" s="0" t="s">
        <v>2046</v>
      </c>
      <c r="G335" s="0" t="s">
        <v>2055</v>
      </c>
      <c r="H335" s="0" t="s">
        <v>2048</v>
      </c>
      <c r="I335" s="0" t="s">
        <v>1685</v>
      </c>
      <c r="J335" s="0" t="s">
        <v>2102</v>
      </c>
      <c r="K335" s="272" t="n">
        <v>-15103.182325</v>
      </c>
    </row>
    <row r="336" customFormat="false" ht="15" hidden="false" customHeight="false" outlineLevel="0" collapsed="false">
      <c r="A336" s="0" t="s">
        <v>2041</v>
      </c>
      <c r="B336" s="0" t="s">
        <v>2042</v>
      </c>
      <c r="C336" s="0" t="s">
        <v>2043</v>
      </c>
      <c r="D336" s="0" t="s">
        <v>2044</v>
      </c>
      <c r="E336" s="0" t="s">
        <v>2045</v>
      </c>
      <c r="F336" s="0" t="s">
        <v>2046</v>
      </c>
      <c r="G336" s="0" t="s">
        <v>2056</v>
      </c>
      <c r="H336" s="0" t="s">
        <v>2048</v>
      </c>
      <c r="I336" s="0" t="s">
        <v>1685</v>
      </c>
      <c r="J336" s="0" t="s">
        <v>2102</v>
      </c>
      <c r="K336" s="272" t="n">
        <v>-4454.7257601</v>
      </c>
    </row>
    <row r="337" customFormat="false" ht="15" hidden="false" customHeight="false" outlineLevel="0" collapsed="false">
      <c r="A337" s="0" t="s">
        <v>2041</v>
      </c>
      <c r="B337" s="0" t="s">
        <v>2042</v>
      </c>
      <c r="C337" s="0" t="s">
        <v>2043</v>
      </c>
      <c r="D337" s="0" t="s">
        <v>2044</v>
      </c>
      <c r="E337" s="0" t="s">
        <v>2045</v>
      </c>
      <c r="F337" s="0" t="s">
        <v>2046</v>
      </c>
      <c r="G337" s="0" t="s">
        <v>2057</v>
      </c>
      <c r="H337" s="0" t="s">
        <v>2048</v>
      </c>
      <c r="I337" s="0" t="s">
        <v>1685</v>
      </c>
      <c r="J337" s="0" t="s">
        <v>2102</v>
      </c>
      <c r="K337" s="272" t="n">
        <v>-31697.29486</v>
      </c>
    </row>
    <row r="338" customFormat="false" ht="15" hidden="false" customHeight="false" outlineLevel="0" collapsed="false">
      <c r="A338" s="0" t="s">
        <v>2041</v>
      </c>
      <c r="B338" s="0" t="s">
        <v>2042</v>
      </c>
      <c r="C338" s="0" t="s">
        <v>2043</v>
      </c>
      <c r="D338" s="0" t="s">
        <v>2044</v>
      </c>
      <c r="E338" s="0" t="s">
        <v>2045</v>
      </c>
      <c r="F338" s="0" t="s">
        <v>2046</v>
      </c>
      <c r="G338" s="0" t="s">
        <v>2058</v>
      </c>
      <c r="H338" s="0" t="s">
        <v>2048</v>
      </c>
      <c r="I338" s="0" t="s">
        <v>1685</v>
      </c>
      <c r="J338" s="0" t="s">
        <v>2102</v>
      </c>
      <c r="K338" s="272" t="n">
        <v>-31113.852</v>
      </c>
    </row>
    <row r="339" customFormat="false" ht="15" hidden="false" customHeight="false" outlineLevel="0" collapsed="false">
      <c r="A339" s="0" t="s">
        <v>2041</v>
      </c>
      <c r="B339" s="0" t="s">
        <v>2042</v>
      </c>
      <c r="C339" s="0" t="s">
        <v>2043</v>
      </c>
      <c r="D339" s="0" t="s">
        <v>2044</v>
      </c>
      <c r="E339" s="0" t="s">
        <v>2045</v>
      </c>
      <c r="F339" s="0" t="s">
        <v>2046</v>
      </c>
      <c r="G339" s="0" t="s">
        <v>2059</v>
      </c>
      <c r="H339" s="0" t="s">
        <v>2048</v>
      </c>
      <c r="I339" s="0" t="s">
        <v>1685</v>
      </c>
      <c r="J339" s="0" t="s">
        <v>2102</v>
      </c>
      <c r="K339" s="272" t="n">
        <v>-19206.17622</v>
      </c>
    </row>
    <row r="340" customFormat="false" ht="15" hidden="false" customHeight="false" outlineLevel="0" collapsed="false">
      <c r="A340" s="0" t="s">
        <v>2041</v>
      </c>
      <c r="B340" s="0" t="s">
        <v>2042</v>
      </c>
      <c r="C340" s="0" t="s">
        <v>2043</v>
      </c>
      <c r="D340" s="0" t="s">
        <v>2044</v>
      </c>
      <c r="E340" s="0" t="s">
        <v>2045</v>
      </c>
      <c r="F340" s="0" t="s">
        <v>2046</v>
      </c>
      <c r="G340" s="0" t="s">
        <v>2060</v>
      </c>
      <c r="H340" s="0" t="s">
        <v>2048</v>
      </c>
      <c r="I340" s="0" t="s">
        <v>1685</v>
      </c>
      <c r="J340" s="0" t="s">
        <v>2102</v>
      </c>
      <c r="K340" s="272" t="n">
        <v>-172050.9964173</v>
      </c>
    </row>
    <row r="341" customFormat="false" ht="15" hidden="false" customHeight="false" outlineLevel="0" collapsed="false">
      <c r="A341" s="0" t="s">
        <v>2041</v>
      </c>
      <c r="B341" s="0" t="s">
        <v>2042</v>
      </c>
      <c r="C341" s="0" t="s">
        <v>2043</v>
      </c>
      <c r="D341" s="0" t="s">
        <v>2044</v>
      </c>
      <c r="E341" s="0" t="s">
        <v>2045</v>
      </c>
      <c r="F341" s="0" t="s">
        <v>2046</v>
      </c>
      <c r="G341" s="0" t="s">
        <v>2061</v>
      </c>
      <c r="H341" s="0" t="s">
        <v>2048</v>
      </c>
      <c r="I341" s="0" t="s">
        <v>1685</v>
      </c>
      <c r="J341" s="0" t="s">
        <v>2102</v>
      </c>
      <c r="K341" s="272" t="n">
        <v>-106399.188588</v>
      </c>
    </row>
    <row r="342" customFormat="false" ht="15" hidden="false" customHeight="false" outlineLevel="0" collapsed="false">
      <c r="A342" s="0" t="s">
        <v>2041</v>
      </c>
      <c r="B342" s="0" t="s">
        <v>2042</v>
      </c>
      <c r="C342" s="0" t="s">
        <v>2043</v>
      </c>
      <c r="D342" s="0" t="s">
        <v>2044</v>
      </c>
      <c r="E342" s="0" t="s">
        <v>2045</v>
      </c>
      <c r="F342" s="0" t="s">
        <v>2046</v>
      </c>
      <c r="G342" s="0" t="s">
        <v>2062</v>
      </c>
      <c r="H342" s="0" t="s">
        <v>2048</v>
      </c>
      <c r="I342" s="0" t="s">
        <v>1685</v>
      </c>
      <c r="J342" s="0" t="s">
        <v>2102</v>
      </c>
      <c r="K342" s="272" t="n">
        <v>-48449.883405</v>
      </c>
    </row>
    <row r="343" customFormat="false" ht="15" hidden="false" customHeight="false" outlineLevel="0" collapsed="false">
      <c r="A343" s="0" t="s">
        <v>2041</v>
      </c>
      <c r="B343" s="0" t="s">
        <v>2042</v>
      </c>
      <c r="C343" s="0" t="s">
        <v>2043</v>
      </c>
      <c r="D343" s="0" t="s">
        <v>2044</v>
      </c>
      <c r="E343" s="0" t="s">
        <v>2045</v>
      </c>
      <c r="F343" s="0" t="s">
        <v>2046</v>
      </c>
      <c r="G343" s="0" t="s">
        <v>2063</v>
      </c>
      <c r="H343" s="0" t="s">
        <v>2048</v>
      </c>
      <c r="I343" s="0" t="s">
        <v>1685</v>
      </c>
      <c r="J343" s="0" t="s">
        <v>2102</v>
      </c>
      <c r="K343" s="272" t="n">
        <v>-55543.3417</v>
      </c>
    </row>
    <row r="344" customFormat="false" ht="15" hidden="false" customHeight="false" outlineLevel="0" collapsed="false">
      <c r="A344" s="0" t="s">
        <v>2041</v>
      </c>
      <c r="B344" s="0" t="s">
        <v>2042</v>
      </c>
      <c r="C344" s="0" t="s">
        <v>2043</v>
      </c>
      <c r="D344" s="0" t="s">
        <v>2044</v>
      </c>
      <c r="E344" s="0" t="s">
        <v>2045</v>
      </c>
      <c r="F344" s="0" t="s">
        <v>2046</v>
      </c>
      <c r="G344" s="0" t="s">
        <v>2064</v>
      </c>
      <c r="H344" s="0" t="s">
        <v>2048</v>
      </c>
      <c r="I344" s="0" t="s">
        <v>1685</v>
      </c>
      <c r="J344" s="0" t="s">
        <v>2102</v>
      </c>
      <c r="K344" s="272" t="n">
        <v>-132819.4714</v>
      </c>
    </row>
    <row r="345" customFormat="false" ht="15" hidden="false" customHeight="false" outlineLevel="0" collapsed="false">
      <c r="A345" s="0" t="s">
        <v>2041</v>
      </c>
      <c r="B345" s="0" t="s">
        <v>2042</v>
      </c>
      <c r="C345" s="0" t="s">
        <v>2043</v>
      </c>
      <c r="D345" s="0" t="s">
        <v>2044</v>
      </c>
      <c r="E345" s="0" t="s">
        <v>2045</v>
      </c>
      <c r="F345" s="0" t="s">
        <v>2046</v>
      </c>
      <c r="G345" s="0" t="s">
        <v>2065</v>
      </c>
      <c r="H345" s="0" t="s">
        <v>2048</v>
      </c>
      <c r="I345" s="0" t="s">
        <v>1685</v>
      </c>
      <c r="J345" s="0" t="s">
        <v>2102</v>
      </c>
      <c r="K345" s="272" t="n">
        <v>-32230.044</v>
      </c>
    </row>
    <row r="346" customFormat="false" ht="15" hidden="false" customHeight="false" outlineLevel="0" collapsed="false">
      <c r="A346" s="0" t="s">
        <v>2041</v>
      </c>
      <c r="B346" s="0" t="s">
        <v>2042</v>
      </c>
      <c r="C346" s="0" t="s">
        <v>2043</v>
      </c>
      <c r="D346" s="0" t="s">
        <v>2044</v>
      </c>
      <c r="E346" s="0" t="s">
        <v>2045</v>
      </c>
      <c r="F346" s="0" t="s">
        <v>2046</v>
      </c>
      <c r="G346" s="0" t="s">
        <v>2066</v>
      </c>
      <c r="H346" s="0" t="s">
        <v>2048</v>
      </c>
      <c r="I346" s="0" t="s">
        <v>1685</v>
      </c>
      <c r="J346" s="0" t="s">
        <v>2102</v>
      </c>
      <c r="K346" s="272" t="n">
        <v>-84822.860045</v>
      </c>
    </row>
    <row r="347" customFormat="false" ht="15" hidden="false" customHeight="false" outlineLevel="0" collapsed="false">
      <c r="A347" s="0" t="s">
        <v>2041</v>
      </c>
      <c r="B347" s="0" t="s">
        <v>2042</v>
      </c>
      <c r="C347" s="0" t="s">
        <v>2043</v>
      </c>
      <c r="D347" s="0" t="s">
        <v>2044</v>
      </c>
      <c r="E347" s="0" t="s">
        <v>2045</v>
      </c>
      <c r="F347" s="0" t="s">
        <v>2046</v>
      </c>
      <c r="G347" s="0" t="s">
        <v>2067</v>
      </c>
      <c r="H347" s="0" t="s">
        <v>2048</v>
      </c>
      <c r="I347" s="0" t="s">
        <v>1685</v>
      </c>
      <c r="J347" s="0" t="s">
        <v>2102</v>
      </c>
      <c r="K347" s="272" t="n">
        <v>-15554.542465</v>
      </c>
    </row>
    <row r="348" customFormat="false" ht="15" hidden="false" customHeight="false" outlineLevel="0" collapsed="false">
      <c r="A348" s="0" t="s">
        <v>2041</v>
      </c>
      <c r="B348" s="0" t="s">
        <v>2042</v>
      </c>
      <c r="C348" s="0" t="s">
        <v>2043</v>
      </c>
      <c r="D348" s="0" t="s">
        <v>2044</v>
      </c>
      <c r="E348" s="0" t="s">
        <v>2045</v>
      </c>
      <c r="F348" s="0" t="s">
        <v>2046</v>
      </c>
      <c r="G348" s="0" t="s">
        <v>2068</v>
      </c>
      <c r="H348" s="0" t="s">
        <v>2048</v>
      </c>
      <c r="I348" s="0" t="s">
        <v>1685</v>
      </c>
      <c r="J348" s="0" t="s">
        <v>2102</v>
      </c>
      <c r="K348" s="272" t="n">
        <v>-223219.7968</v>
      </c>
    </row>
    <row r="349" customFormat="false" ht="15" hidden="false" customHeight="false" outlineLevel="0" collapsed="false">
      <c r="A349" s="0" t="s">
        <v>2041</v>
      </c>
      <c r="B349" s="0" t="s">
        <v>2042</v>
      </c>
      <c r="C349" s="0" t="s">
        <v>2043</v>
      </c>
      <c r="D349" s="0" t="s">
        <v>2044</v>
      </c>
      <c r="E349" s="0" t="s">
        <v>2045</v>
      </c>
      <c r="F349" s="0" t="s">
        <v>2046</v>
      </c>
      <c r="G349" s="0" t="s">
        <v>2069</v>
      </c>
      <c r="H349" s="0" t="s">
        <v>2048</v>
      </c>
      <c r="I349" s="0" t="s">
        <v>1685</v>
      </c>
      <c r="J349" s="0" t="s">
        <v>2102</v>
      </c>
      <c r="K349" s="272" t="n">
        <v>-64820.525</v>
      </c>
    </row>
    <row r="350" customFormat="false" ht="15" hidden="false" customHeight="false" outlineLevel="0" collapsed="false">
      <c r="A350" s="0" t="s">
        <v>2041</v>
      </c>
      <c r="B350" s="0" t="s">
        <v>2042</v>
      </c>
      <c r="C350" s="0" t="s">
        <v>2043</v>
      </c>
      <c r="D350" s="0" t="s">
        <v>2044</v>
      </c>
      <c r="E350" s="0" t="s">
        <v>2045</v>
      </c>
      <c r="F350" s="0" t="s">
        <v>2046</v>
      </c>
      <c r="G350" s="0" t="s">
        <v>2070</v>
      </c>
      <c r="H350" s="0" t="s">
        <v>2048</v>
      </c>
      <c r="I350" s="0" t="s">
        <v>1685</v>
      </c>
      <c r="J350" s="0" t="s">
        <v>2102</v>
      </c>
      <c r="K350" s="272" t="n">
        <v>-31400.90809625</v>
      </c>
    </row>
    <row r="351" customFormat="false" ht="15" hidden="false" customHeight="false" outlineLevel="0" collapsed="false">
      <c r="A351" s="0" t="s">
        <v>2041</v>
      </c>
      <c r="B351" s="0" t="s">
        <v>2042</v>
      </c>
      <c r="C351" s="0" t="s">
        <v>2043</v>
      </c>
      <c r="D351" s="0" t="s">
        <v>2044</v>
      </c>
      <c r="E351" s="0" t="s">
        <v>2045</v>
      </c>
      <c r="F351" s="0" t="s">
        <v>2046</v>
      </c>
      <c r="G351" s="0" t="s">
        <v>2071</v>
      </c>
      <c r="H351" s="0" t="s">
        <v>2048</v>
      </c>
      <c r="I351" s="0" t="s">
        <v>1685</v>
      </c>
      <c r="J351" s="0" t="s">
        <v>2102</v>
      </c>
      <c r="K351" s="272" t="n">
        <v>-33641.5618</v>
      </c>
    </row>
    <row r="352" customFormat="false" ht="15" hidden="false" customHeight="false" outlineLevel="0" collapsed="false">
      <c r="A352" s="0" t="s">
        <v>2041</v>
      </c>
      <c r="B352" s="0" t="s">
        <v>2042</v>
      </c>
      <c r="C352" s="0" t="s">
        <v>2043</v>
      </c>
      <c r="D352" s="0" t="s">
        <v>2044</v>
      </c>
      <c r="E352" s="0" t="s">
        <v>2045</v>
      </c>
      <c r="F352" s="0" t="s">
        <v>2046</v>
      </c>
      <c r="G352" s="0" t="s">
        <v>2072</v>
      </c>
      <c r="H352" s="0" t="s">
        <v>2048</v>
      </c>
      <c r="I352" s="0" t="s">
        <v>1685</v>
      </c>
      <c r="J352" s="0" t="s">
        <v>2102</v>
      </c>
      <c r="K352" s="272" t="n">
        <v>-46052.42332845</v>
      </c>
    </row>
    <row r="353" customFormat="false" ht="15" hidden="false" customHeight="false" outlineLevel="0" collapsed="false">
      <c r="A353" s="0" t="s">
        <v>2041</v>
      </c>
      <c r="B353" s="0" t="s">
        <v>2042</v>
      </c>
      <c r="C353" s="0" t="s">
        <v>2043</v>
      </c>
      <c r="D353" s="0" t="s">
        <v>2044</v>
      </c>
      <c r="E353" s="0" t="s">
        <v>2045</v>
      </c>
      <c r="F353" s="0" t="s">
        <v>2046</v>
      </c>
      <c r="G353" s="0" t="s">
        <v>2073</v>
      </c>
      <c r="H353" s="0" t="s">
        <v>2048</v>
      </c>
      <c r="I353" s="0" t="s">
        <v>1685</v>
      </c>
      <c r="J353" s="0" t="s">
        <v>2102</v>
      </c>
      <c r="K353" s="272" t="n">
        <v>-55925.63746</v>
      </c>
    </row>
    <row r="354" customFormat="false" ht="15" hidden="false" customHeight="false" outlineLevel="0" collapsed="false">
      <c r="A354" s="0" t="s">
        <v>2041</v>
      </c>
      <c r="B354" s="0" t="s">
        <v>2042</v>
      </c>
      <c r="C354" s="0" t="s">
        <v>2043</v>
      </c>
      <c r="D354" s="0" t="s">
        <v>2044</v>
      </c>
      <c r="E354" s="0" t="s">
        <v>2045</v>
      </c>
      <c r="F354" s="0" t="s">
        <v>2046</v>
      </c>
      <c r="G354" s="0" t="s">
        <v>2074</v>
      </c>
      <c r="H354" s="0" t="s">
        <v>2048</v>
      </c>
      <c r="I354" s="0" t="s">
        <v>1685</v>
      </c>
      <c r="J354" s="0" t="s">
        <v>2102</v>
      </c>
      <c r="K354" s="272" t="n">
        <v>-30195.319</v>
      </c>
    </row>
    <row r="355" customFormat="false" ht="15" hidden="false" customHeight="false" outlineLevel="0" collapsed="false">
      <c r="A355" s="0" t="s">
        <v>2041</v>
      </c>
      <c r="B355" s="0" t="s">
        <v>2042</v>
      </c>
      <c r="C355" s="0" t="s">
        <v>2043</v>
      </c>
      <c r="D355" s="0" t="s">
        <v>2044</v>
      </c>
      <c r="E355" s="0" t="s">
        <v>2045</v>
      </c>
      <c r="F355" s="0" t="s">
        <v>2046</v>
      </c>
      <c r="G355" s="0" t="s">
        <v>2075</v>
      </c>
      <c r="H355" s="0" t="s">
        <v>2048</v>
      </c>
      <c r="I355" s="0" t="s">
        <v>1685</v>
      </c>
      <c r="J355" s="0" t="s">
        <v>2102</v>
      </c>
      <c r="K355" s="272" t="n">
        <v>-2076.954264</v>
      </c>
    </row>
    <row r="356" customFormat="false" ht="15" hidden="false" customHeight="false" outlineLevel="0" collapsed="false">
      <c r="A356" s="0" t="s">
        <v>2041</v>
      </c>
      <c r="B356" s="0" t="s">
        <v>2042</v>
      </c>
      <c r="C356" s="0" t="s">
        <v>2043</v>
      </c>
      <c r="D356" s="0" t="s">
        <v>2044</v>
      </c>
      <c r="E356" s="0" t="s">
        <v>2045</v>
      </c>
      <c r="F356" s="0" t="s">
        <v>2046</v>
      </c>
      <c r="G356" s="0" t="s">
        <v>2076</v>
      </c>
      <c r="H356" s="0" t="s">
        <v>2048</v>
      </c>
      <c r="I356" s="0" t="s">
        <v>1685</v>
      </c>
      <c r="J356" s="0" t="s">
        <v>2102</v>
      </c>
      <c r="K356" s="272" t="n">
        <v>-98157.7119215</v>
      </c>
    </row>
    <row r="357" customFormat="false" ht="15" hidden="false" customHeight="false" outlineLevel="0" collapsed="false">
      <c r="A357" s="0" t="s">
        <v>2041</v>
      </c>
      <c r="B357" s="0" t="s">
        <v>2042</v>
      </c>
      <c r="C357" s="0" t="s">
        <v>2043</v>
      </c>
      <c r="D357" s="0" t="s">
        <v>2044</v>
      </c>
      <c r="E357" s="0" t="s">
        <v>2045</v>
      </c>
      <c r="F357" s="0" t="s">
        <v>2046</v>
      </c>
      <c r="G357" s="0" t="s">
        <v>2077</v>
      </c>
      <c r="H357" s="0" t="s">
        <v>2048</v>
      </c>
      <c r="I357" s="0" t="s">
        <v>1685</v>
      </c>
      <c r="J357" s="0" t="s">
        <v>2102</v>
      </c>
      <c r="K357" s="272" t="n">
        <v>-38503.39185</v>
      </c>
    </row>
    <row r="358" customFormat="false" ht="15" hidden="false" customHeight="false" outlineLevel="0" collapsed="false">
      <c r="A358" s="0" t="s">
        <v>2041</v>
      </c>
      <c r="B358" s="0" t="s">
        <v>2042</v>
      </c>
      <c r="C358" s="0" t="s">
        <v>2043</v>
      </c>
      <c r="D358" s="0" t="s">
        <v>2044</v>
      </c>
      <c r="E358" s="0" t="s">
        <v>2045</v>
      </c>
      <c r="F358" s="0" t="s">
        <v>2046</v>
      </c>
      <c r="G358" s="0" t="s">
        <v>2078</v>
      </c>
      <c r="H358" s="0" t="s">
        <v>2048</v>
      </c>
      <c r="I358" s="0" t="s">
        <v>1685</v>
      </c>
      <c r="J358" s="0" t="s">
        <v>2102</v>
      </c>
      <c r="K358" s="272" t="n">
        <v>-67215.33819</v>
      </c>
    </row>
    <row r="359" customFormat="false" ht="15" hidden="false" customHeight="false" outlineLevel="0" collapsed="false">
      <c r="A359" s="0" t="s">
        <v>2041</v>
      </c>
      <c r="B359" s="0" t="s">
        <v>2042</v>
      </c>
      <c r="C359" s="0" t="s">
        <v>2043</v>
      </c>
      <c r="D359" s="0" t="s">
        <v>2044</v>
      </c>
      <c r="E359" s="0" t="s">
        <v>2045</v>
      </c>
      <c r="F359" s="0" t="s">
        <v>2046</v>
      </c>
      <c r="G359" s="0" t="s">
        <v>2079</v>
      </c>
      <c r="H359" s="0" t="s">
        <v>2048</v>
      </c>
      <c r="I359" s="0" t="s">
        <v>1685</v>
      </c>
      <c r="J359" s="0" t="s">
        <v>2102</v>
      </c>
      <c r="K359" s="272" t="n">
        <v>-34030.775625</v>
      </c>
    </row>
    <row r="360" customFormat="false" ht="15" hidden="false" customHeight="false" outlineLevel="0" collapsed="false">
      <c r="A360" s="0" t="s">
        <v>2041</v>
      </c>
      <c r="B360" s="0" t="s">
        <v>2042</v>
      </c>
      <c r="C360" s="0" t="s">
        <v>2043</v>
      </c>
      <c r="D360" s="0" t="s">
        <v>2044</v>
      </c>
      <c r="E360" s="0" t="s">
        <v>2045</v>
      </c>
      <c r="F360" s="0" t="s">
        <v>2046</v>
      </c>
      <c r="G360" s="0" t="s">
        <v>2080</v>
      </c>
      <c r="H360" s="0" t="s">
        <v>2048</v>
      </c>
      <c r="I360" s="0" t="s">
        <v>1685</v>
      </c>
      <c r="J360" s="0" t="s">
        <v>2102</v>
      </c>
      <c r="K360" s="272" t="n">
        <v>-58954.7035</v>
      </c>
    </row>
    <row r="361" customFormat="false" ht="15" hidden="false" customHeight="false" outlineLevel="0" collapsed="false">
      <c r="A361" s="0" t="s">
        <v>2041</v>
      </c>
      <c r="B361" s="0" t="s">
        <v>2042</v>
      </c>
      <c r="C361" s="0" t="s">
        <v>2043</v>
      </c>
      <c r="D361" s="0" t="s">
        <v>2044</v>
      </c>
      <c r="E361" s="0" t="s">
        <v>2045</v>
      </c>
      <c r="F361" s="0" t="s">
        <v>2046</v>
      </c>
      <c r="G361" s="0" t="s">
        <v>2081</v>
      </c>
      <c r="H361" s="0" t="s">
        <v>2048</v>
      </c>
      <c r="I361" s="0" t="s">
        <v>1685</v>
      </c>
      <c r="J361" s="0" t="s">
        <v>2102</v>
      </c>
      <c r="K361" s="272" t="n">
        <v>-258747.258</v>
      </c>
    </row>
    <row r="362" customFormat="false" ht="15" hidden="false" customHeight="false" outlineLevel="0" collapsed="false">
      <c r="A362" s="0" t="s">
        <v>2041</v>
      </c>
      <c r="B362" s="0" t="s">
        <v>2042</v>
      </c>
      <c r="C362" s="0" t="s">
        <v>2043</v>
      </c>
      <c r="D362" s="0" t="s">
        <v>2044</v>
      </c>
      <c r="E362" s="0" t="s">
        <v>2045</v>
      </c>
      <c r="F362" s="0" t="s">
        <v>2046</v>
      </c>
      <c r="G362" s="0" t="s">
        <v>2082</v>
      </c>
      <c r="H362" s="0" t="s">
        <v>2048</v>
      </c>
      <c r="I362" s="0" t="s">
        <v>1685</v>
      </c>
      <c r="J362" s="0" t="s">
        <v>2102</v>
      </c>
      <c r="K362" s="272" t="n">
        <v>-207641.28385</v>
      </c>
    </row>
    <row r="363" customFormat="false" ht="15" hidden="false" customHeight="false" outlineLevel="0" collapsed="false">
      <c r="A363" s="0" t="s">
        <v>2041</v>
      </c>
      <c r="B363" s="0" t="s">
        <v>2042</v>
      </c>
      <c r="C363" s="0" t="s">
        <v>2043</v>
      </c>
      <c r="D363" s="0" t="s">
        <v>2044</v>
      </c>
      <c r="E363" s="0" t="s">
        <v>2045</v>
      </c>
      <c r="F363" s="0" t="s">
        <v>2046</v>
      </c>
      <c r="G363" s="0" t="s">
        <v>2083</v>
      </c>
      <c r="H363" s="0" t="s">
        <v>2048</v>
      </c>
      <c r="I363" s="0" t="s">
        <v>1685</v>
      </c>
      <c r="J363" s="0" t="s">
        <v>2102</v>
      </c>
      <c r="K363" s="272" t="n">
        <v>-116605.973792</v>
      </c>
    </row>
    <row r="364" customFormat="false" ht="15" hidden="false" customHeight="false" outlineLevel="0" collapsed="false">
      <c r="A364" s="0" t="s">
        <v>2041</v>
      </c>
      <c r="B364" s="0" t="s">
        <v>2042</v>
      </c>
      <c r="C364" s="0" t="s">
        <v>2043</v>
      </c>
      <c r="D364" s="0" t="s">
        <v>2044</v>
      </c>
      <c r="E364" s="0" t="s">
        <v>2045</v>
      </c>
      <c r="F364" s="0" t="s">
        <v>2046</v>
      </c>
      <c r="G364" s="0" t="s">
        <v>2084</v>
      </c>
      <c r="H364" s="0" t="s">
        <v>2048</v>
      </c>
      <c r="I364" s="0" t="s">
        <v>1685</v>
      </c>
      <c r="J364" s="0" t="s">
        <v>2102</v>
      </c>
      <c r="K364" s="272" t="n">
        <v>-38975.273645</v>
      </c>
    </row>
    <row r="365" customFormat="false" ht="15" hidden="false" customHeight="false" outlineLevel="0" collapsed="false">
      <c r="A365" s="0" t="s">
        <v>2041</v>
      </c>
      <c r="B365" s="0" t="s">
        <v>2042</v>
      </c>
      <c r="C365" s="0" t="s">
        <v>2043</v>
      </c>
      <c r="D365" s="0" t="s">
        <v>2044</v>
      </c>
      <c r="E365" s="0" t="s">
        <v>2045</v>
      </c>
      <c r="F365" s="0" t="s">
        <v>2046</v>
      </c>
      <c r="G365" s="0" t="s">
        <v>2085</v>
      </c>
      <c r="H365" s="0" t="s">
        <v>2048</v>
      </c>
      <c r="I365" s="0" t="s">
        <v>1685</v>
      </c>
      <c r="J365" s="0" t="s">
        <v>2102</v>
      </c>
      <c r="K365" s="272" t="n">
        <v>-167060.177592</v>
      </c>
    </row>
    <row r="366" customFormat="false" ht="15" hidden="false" customHeight="false" outlineLevel="0" collapsed="false">
      <c r="A366" s="0" t="s">
        <v>2041</v>
      </c>
      <c r="B366" s="0" t="s">
        <v>2042</v>
      </c>
      <c r="C366" s="0" t="s">
        <v>2043</v>
      </c>
      <c r="D366" s="0" t="s">
        <v>2044</v>
      </c>
      <c r="E366" s="0" t="s">
        <v>2045</v>
      </c>
      <c r="F366" s="0" t="s">
        <v>2046</v>
      </c>
      <c r="G366" s="0" t="s">
        <v>2086</v>
      </c>
      <c r="H366" s="0" t="s">
        <v>2048</v>
      </c>
      <c r="I366" s="0" t="s">
        <v>1685</v>
      </c>
      <c r="J366" s="0" t="s">
        <v>2102</v>
      </c>
      <c r="K366" s="272" t="n">
        <v>-141650.22949</v>
      </c>
    </row>
    <row r="367" customFormat="false" ht="15" hidden="false" customHeight="false" outlineLevel="0" collapsed="false">
      <c r="A367" s="0" t="s">
        <v>2041</v>
      </c>
      <c r="B367" s="0" t="s">
        <v>2042</v>
      </c>
      <c r="C367" s="0" t="s">
        <v>2043</v>
      </c>
      <c r="D367" s="0" t="s">
        <v>2044</v>
      </c>
      <c r="E367" s="0" t="s">
        <v>2045</v>
      </c>
      <c r="F367" s="0" t="s">
        <v>2046</v>
      </c>
      <c r="G367" s="0" t="s">
        <v>2087</v>
      </c>
      <c r="H367" s="0" t="s">
        <v>2048</v>
      </c>
      <c r="I367" s="0" t="s">
        <v>1685</v>
      </c>
      <c r="J367" s="0" t="s">
        <v>2102</v>
      </c>
      <c r="K367" s="272" t="n">
        <v>-86244.6585</v>
      </c>
    </row>
    <row r="368" customFormat="false" ht="15" hidden="false" customHeight="false" outlineLevel="0" collapsed="false">
      <c r="A368" s="0" t="s">
        <v>2041</v>
      </c>
      <c r="B368" s="0" t="s">
        <v>2042</v>
      </c>
      <c r="C368" s="0" t="s">
        <v>2043</v>
      </c>
      <c r="D368" s="0" t="s">
        <v>2044</v>
      </c>
      <c r="E368" s="0" t="s">
        <v>2045</v>
      </c>
      <c r="F368" s="0" t="s">
        <v>2046</v>
      </c>
      <c r="G368" s="0" t="s">
        <v>2088</v>
      </c>
      <c r="H368" s="0" t="s">
        <v>2048</v>
      </c>
      <c r="I368" s="0" t="s">
        <v>1685</v>
      </c>
      <c r="J368" s="0" t="s">
        <v>2102</v>
      </c>
      <c r="K368" s="272" t="n">
        <v>-106474.2525</v>
      </c>
    </row>
    <row r="369" customFormat="false" ht="15" hidden="false" customHeight="false" outlineLevel="0" collapsed="false">
      <c r="A369" s="0" t="s">
        <v>2041</v>
      </c>
      <c r="B369" s="0" t="s">
        <v>2042</v>
      </c>
      <c r="C369" s="0" t="s">
        <v>2043</v>
      </c>
      <c r="D369" s="0" t="s">
        <v>2044</v>
      </c>
      <c r="E369" s="0" t="s">
        <v>2045</v>
      </c>
      <c r="F369" s="0" t="s">
        <v>2046</v>
      </c>
      <c r="G369" s="0" t="s">
        <v>2089</v>
      </c>
      <c r="H369" s="0" t="s">
        <v>2048</v>
      </c>
      <c r="I369" s="0" t="s">
        <v>1685</v>
      </c>
      <c r="J369" s="0" t="s">
        <v>2102</v>
      </c>
      <c r="K369" s="272" t="n">
        <v>-37605.0944808</v>
      </c>
    </row>
    <row r="370" customFormat="false" ht="15" hidden="false" customHeight="false" outlineLevel="0" collapsed="false">
      <c r="A370" s="0" t="s">
        <v>2041</v>
      </c>
      <c r="B370" s="0" t="s">
        <v>2042</v>
      </c>
      <c r="C370" s="0" t="s">
        <v>2043</v>
      </c>
      <c r="D370" s="0" t="s">
        <v>2044</v>
      </c>
      <c r="E370" s="0" t="s">
        <v>2045</v>
      </c>
      <c r="F370" s="0" t="s">
        <v>2046</v>
      </c>
      <c r="G370" s="0" t="s">
        <v>2090</v>
      </c>
      <c r="H370" s="0" t="s">
        <v>2048</v>
      </c>
      <c r="I370" s="0" t="s">
        <v>1685</v>
      </c>
      <c r="J370" s="0" t="s">
        <v>2102</v>
      </c>
      <c r="K370" s="272" t="n">
        <v>-270904.4492</v>
      </c>
    </row>
    <row r="371" customFormat="false" ht="15" hidden="false" customHeight="false" outlineLevel="0" collapsed="false">
      <c r="A371" s="0" t="s">
        <v>2041</v>
      </c>
      <c r="B371" s="0" t="s">
        <v>2042</v>
      </c>
      <c r="C371" s="0" t="s">
        <v>2043</v>
      </c>
      <c r="D371" s="0" t="s">
        <v>2044</v>
      </c>
      <c r="E371" s="0" t="s">
        <v>2045</v>
      </c>
      <c r="F371" s="0" t="s">
        <v>2046</v>
      </c>
      <c r="G371" s="0" t="s">
        <v>2091</v>
      </c>
      <c r="H371" s="0" t="s">
        <v>2048</v>
      </c>
      <c r="I371" s="0" t="s">
        <v>1685</v>
      </c>
      <c r="J371" s="0" t="s">
        <v>2102</v>
      </c>
      <c r="K371" s="272" t="n">
        <v>-85475.216134</v>
      </c>
    </row>
    <row r="372" customFormat="false" ht="15" hidden="false" customHeight="false" outlineLevel="0" collapsed="false">
      <c r="A372" s="0" t="s">
        <v>2041</v>
      </c>
      <c r="B372" s="0" t="s">
        <v>2042</v>
      </c>
      <c r="C372" s="0" t="s">
        <v>2043</v>
      </c>
      <c r="D372" s="0" t="s">
        <v>2044</v>
      </c>
      <c r="E372" s="0" t="s">
        <v>2045</v>
      </c>
      <c r="F372" s="0" t="s">
        <v>2046</v>
      </c>
      <c r="G372" s="0" t="s">
        <v>2092</v>
      </c>
      <c r="H372" s="0" t="s">
        <v>2048</v>
      </c>
      <c r="I372" s="0" t="s">
        <v>2103</v>
      </c>
      <c r="J372" s="0" t="s">
        <v>2102</v>
      </c>
      <c r="K372" s="272" t="n">
        <v>-46677.370509</v>
      </c>
    </row>
    <row r="373" customFormat="false" ht="15" hidden="false" customHeight="false" outlineLevel="0" collapsed="false">
      <c r="A373" s="0" t="s">
        <v>2041</v>
      </c>
      <c r="B373" s="0" t="s">
        <v>2042</v>
      </c>
      <c r="C373" s="0" t="s">
        <v>2043</v>
      </c>
      <c r="D373" s="0" t="s">
        <v>2044</v>
      </c>
      <c r="E373" s="0" t="s">
        <v>2045</v>
      </c>
      <c r="F373" s="0" t="s">
        <v>2046</v>
      </c>
      <c r="G373" s="0" t="s">
        <v>2093</v>
      </c>
      <c r="H373" s="0" t="s">
        <v>2048</v>
      </c>
      <c r="I373" s="0" t="s">
        <v>1685</v>
      </c>
      <c r="J373" s="0" t="s">
        <v>2102</v>
      </c>
      <c r="K373" s="272" t="n">
        <v>-190605.48045</v>
      </c>
    </row>
    <row r="374" customFormat="false" ht="15" hidden="false" customHeight="false" outlineLevel="0" collapsed="false">
      <c r="A374" s="0" t="s">
        <v>2041</v>
      </c>
      <c r="B374" s="0" t="s">
        <v>2042</v>
      </c>
      <c r="C374" s="0" t="s">
        <v>2043</v>
      </c>
      <c r="D374" s="0" t="s">
        <v>2044</v>
      </c>
      <c r="E374" s="0" t="s">
        <v>2045</v>
      </c>
      <c r="F374" s="0" t="s">
        <v>2046</v>
      </c>
      <c r="G374" s="0" t="s">
        <v>2094</v>
      </c>
      <c r="H374" s="0" t="s">
        <v>2048</v>
      </c>
      <c r="I374" s="0" t="s">
        <v>1685</v>
      </c>
      <c r="J374" s="0" t="s">
        <v>2102</v>
      </c>
      <c r="K374" s="272" t="n">
        <v>-118181.097629493</v>
      </c>
    </row>
    <row r="375" customFormat="false" ht="15" hidden="false" customHeight="false" outlineLevel="0" collapsed="false">
      <c r="A375" s="0" t="s">
        <v>2041</v>
      </c>
      <c r="B375" s="0" t="s">
        <v>2042</v>
      </c>
      <c r="C375" s="0" t="s">
        <v>2043</v>
      </c>
      <c r="D375" s="0" t="s">
        <v>2044</v>
      </c>
      <c r="E375" s="0" t="s">
        <v>2045</v>
      </c>
      <c r="F375" s="0" t="s">
        <v>2046</v>
      </c>
      <c r="G375" s="0" t="s">
        <v>2095</v>
      </c>
      <c r="H375" s="0" t="s">
        <v>2048</v>
      </c>
      <c r="I375" s="0" t="s">
        <v>1685</v>
      </c>
      <c r="J375" s="0" t="s">
        <v>2102</v>
      </c>
      <c r="K375" s="272" t="n">
        <v>-162206.88176</v>
      </c>
    </row>
    <row r="376" customFormat="false" ht="15" hidden="false" customHeight="false" outlineLevel="0" collapsed="false">
      <c r="A376" s="0" t="s">
        <v>2041</v>
      </c>
      <c r="B376" s="0" t="s">
        <v>2042</v>
      </c>
      <c r="C376" s="0" t="s">
        <v>2043</v>
      </c>
      <c r="D376" s="0" t="s">
        <v>2044</v>
      </c>
      <c r="E376" s="0" t="s">
        <v>2045</v>
      </c>
      <c r="F376" s="0" t="s">
        <v>2046</v>
      </c>
      <c r="G376" s="0" t="s">
        <v>2098</v>
      </c>
      <c r="H376" s="0" t="s">
        <v>2048</v>
      </c>
      <c r="I376" s="0" t="s">
        <v>1685</v>
      </c>
      <c r="J376" s="0" t="s">
        <v>2102</v>
      </c>
      <c r="K376" s="272" t="n">
        <v>-54511.09664</v>
      </c>
    </row>
    <row r="377" customFormat="false" ht="15" hidden="false" customHeight="false" outlineLevel="0" collapsed="false">
      <c r="A377" s="0" t="s">
        <v>2041</v>
      </c>
      <c r="B377" s="0" t="s">
        <v>2042</v>
      </c>
      <c r="C377" s="0" t="s">
        <v>2043</v>
      </c>
      <c r="D377" s="0" t="s">
        <v>2044</v>
      </c>
      <c r="E377" s="0" t="s">
        <v>2045</v>
      </c>
      <c r="F377" s="0" t="s">
        <v>2099</v>
      </c>
      <c r="G377" s="0" t="s">
        <v>2064</v>
      </c>
      <c r="H377" s="0" t="s">
        <v>2100</v>
      </c>
      <c r="I377" s="0" t="s">
        <v>1685</v>
      </c>
      <c r="J377" s="0" t="s">
        <v>2102</v>
      </c>
      <c r="K377" s="272" t="n">
        <v>-85353.807</v>
      </c>
    </row>
    <row r="378" customFormat="false" ht="15" hidden="false" customHeight="false" outlineLevel="0" collapsed="false">
      <c r="A378" s="0" t="s">
        <v>2041</v>
      </c>
      <c r="B378" s="0" t="s">
        <v>2042</v>
      </c>
      <c r="C378" s="0" t="s">
        <v>2043</v>
      </c>
      <c r="D378" s="0" t="s">
        <v>2044</v>
      </c>
      <c r="E378" s="0" t="s">
        <v>2045</v>
      </c>
      <c r="F378" s="0" t="s">
        <v>2099</v>
      </c>
      <c r="G378" s="0" t="s">
        <v>2076</v>
      </c>
      <c r="H378" s="0" t="s">
        <v>2100</v>
      </c>
      <c r="I378" s="0" t="s">
        <v>1685</v>
      </c>
      <c r="J378" s="0" t="s">
        <v>2102</v>
      </c>
      <c r="K378" s="272" t="n">
        <v>-63620.15352</v>
      </c>
    </row>
    <row r="379" customFormat="false" ht="15" hidden="false" customHeight="false" outlineLevel="0" collapsed="false">
      <c r="A379" s="0" t="s">
        <v>2041</v>
      </c>
      <c r="B379" s="0" t="s">
        <v>2042</v>
      </c>
      <c r="C379" s="0" t="s">
        <v>2043</v>
      </c>
      <c r="D379" s="0" t="s">
        <v>2044</v>
      </c>
      <c r="E379" s="0" t="s">
        <v>2045</v>
      </c>
      <c r="F379" s="0" t="s">
        <v>2099</v>
      </c>
      <c r="G379" s="0" t="s">
        <v>2081</v>
      </c>
      <c r="H379" s="0" t="s">
        <v>2100</v>
      </c>
      <c r="I379" s="0" t="s">
        <v>1685</v>
      </c>
      <c r="J379" s="0" t="s">
        <v>2102</v>
      </c>
      <c r="K379" s="272" t="n">
        <v>-65111.2</v>
      </c>
    </row>
    <row r="380" customFormat="false" ht="15" hidden="false" customHeight="false" outlineLevel="0" collapsed="false">
      <c r="A380" s="0" t="s">
        <v>2041</v>
      </c>
      <c r="B380" s="0" t="s">
        <v>2042</v>
      </c>
      <c r="C380" s="0" t="s">
        <v>2043</v>
      </c>
      <c r="D380" s="0" t="s">
        <v>2044</v>
      </c>
      <c r="E380" s="0" t="s">
        <v>2045</v>
      </c>
      <c r="F380" s="0" t="s">
        <v>2099</v>
      </c>
      <c r="G380" s="0" t="s">
        <v>2085</v>
      </c>
      <c r="H380" s="0" t="s">
        <v>2100</v>
      </c>
      <c r="I380" s="0" t="s">
        <v>1685</v>
      </c>
      <c r="J380" s="0" t="s">
        <v>2102</v>
      </c>
      <c r="K380" s="272" t="n">
        <v>-76273.12</v>
      </c>
    </row>
    <row r="381" customFormat="false" ht="15" hidden="false" customHeight="false" outlineLevel="0" collapsed="false">
      <c r="A381" s="0" t="s">
        <v>2041</v>
      </c>
      <c r="B381" s="0" t="s">
        <v>2042</v>
      </c>
      <c r="C381" s="0" t="s">
        <v>2043</v>
      </c>
      <c r="D381" s="0" t="s">
        <v>2044</v>
      </c>
      <c r="E381" s="0" t="s">
        <v>2045</v>
      </c>
      <c r="F381" s="0" t="s">
        <v>2099</v>
      </c>
      <c r="G381" s="0" t="s">
        <v>2086</v>
      </c>
      <c r="H381" s="0" t="s">
        <v>2100</v>
      </c>
      <c r="I381" s="0" t="s">
        <v>1685</v>
      </c>
      <c r="J381" s="0" t="s">
        <v>2102</v>
      </c>
      <c r="K381" s="272" t="n">
        <v>-27597.8472</v>
      </c>
    </row>
    <row r="382" customFormat="false" ht="15" hidden="false" customHeight="false" outlineLevel="0" collapsed="false">
      <c r="A382" s="0" t="s">
        <v>2041</v>
      </c>
      <c r="B382" s="0" t="s">
        <v>2042</v>
      </c>
      <c r="C382" s="0" t="s">
        <v>2043</v>
      </c>
      <c r="D382" s="0" t="s">
        <v>2044</v>
      </c>
      <c r="E382" s="0" t="s">
        <v>2045</v>
      </c>
      <c r="F382" s="0" t="s">
        <v>2099</v>
      </c>
      <c r="G382" s="0" t="s">
        <v>2095</v>
      </c>
      <c r="H382" s="0" t="s">
        <v>2100</v>
      </c>
      <c r="I382" s="0" t="s">
        <v>1685</v>
      </c>
      <c r="J382" s="0" t="s">
        <v>2102</v>
      </c>
      <c r="K382" s="272" t="n">
        <v>-40915.413</v>
      </c>
    </row>
    <row r="383" customFormat="false" ht="15" hidden="false" customHeight="false" outlineLevel="0" collapsed="false">
      <c r="A383" s="0" t="s">
        <v>2041</v>
      </c>
      <c r="B383" s="0" t="s">
        <v>2042</v>
      </c>
      <c r="C383" s="0" t="s">
        <v>2104</v>
      </c>
      <c r="D383" s="0" t="s">
        <v>2105</v>
      </c>
      <c r="E383" s="0" t="s">
        <v>2045</v>
      </c>
      <c r="F383" s="0" t="s">
        <v>2051</v>
      </c>
      <c r="G383" s="0" t="s">
        <v>2106</v>
      </c>
      <c r="H383" s="0" t="s">
        <v>2107</v>
      </c>
      <c r="J383" s="0" t="s">
        <v>2108</v>
      </c>
      <c r="K383" s="272" t="n">
        <v>4540710.46</v>
      </c>
    </row>
    <row r="384" customFormat="false" ht="15" hidden="false" customHeight="false" outlineLevel="0" collapsed="false">
      <c r="A384" s="0" t="s">
        <v>2041</v>
      </c>
      <c r="B384" s="0" t="s">
        <v>2042</v>
      </c>
      <c r="C384" s="0" t="s">
        <v>2109</v>
      </c>
      <c r="D384" s="0" t="s">
        <v>2105</v>
      </c>
      <c r="E384" s="0" t="s">
        <v>2045</v>
      </c>
      <c r="F384" s="0" t="s">
        <v>2051</v>
      </c>
      <c r="G384" s="0" t="s">
        <v>2106</v>
      </c>
      <c r="H384" s="0" t="s">
        <v>2107</v>
      </c>
      <c r="J384" s="0" t="s">
        <v>2108</v>
      </c>
      <c r="K384" s="272" t="n">
        <v>799010.54</v>
      </c>
    </row>
    <row r="385" customFormat="false" ht="15" hidden="false" customHeight="false" outlineLevel="0" collapsed="false">
      <c r="A385" s="0" t="s">
        <v>2041</v>
      </c>
      <c r="B385" s="0" t="s">
        <v>2042</v>
      </c>
      <c r="C385" s="0" t="s">
        <v>2104</v>
      </c>
      <c r="D385" s="0" t="s">
        <v>2105</v>
      </c>
      <c r="E385" s="0" t="s">
        <v>2045</v>
      </c>
      <c r="F385" s="0" t="s">
        <v>2051</v>
      </c>
      <c r="G385" s="0" t="s">
        <v>2110</v>
      </c>
      <c r="H385" s="0" t="s">
        <v>2111</v>
      </c>
      <c r="J385" s="0" t="s">
        <v>2108</v>
      </c>
      <c r="K385" s="272" t="n">
        <v>478325.701</v>
      </c>
    </row>
    <row r="386" customFormat="false" ht="15" hidden="false" customHeight="false" outlineLevel="0" collapsed="false">
      <c r="A386" s="0" t="s">
        <v>2041</v>
      </c>
      <c r="B386" s="0" t="s">
        <v>2042</v>
      </c>
      <c r="C386" s="0" t="s">
        <v>2109</v>
      </c>
      <c r="D386" s="0" t="s">
        <v>2105</v>
      </c>
      <c r="E386" s="0" t="s">
        <v>2045</v>
      </c>
      <c r="F386" s="0" t="s">
        <v>2051</v>
      </c>
      <c r="G386" s="0" t="s">
        <v>2110</v>
      </c>
      <c r="H386" s="0" t="s">
        <v>2111</v>
      </c>
      <c r="J386" s="0" t="s">
        <v>2108</v>
      </c>
      <c r="K386" s="272" t="n">
        <v>84169.046</v>
      </c>
    </row>
    <row r="387" customFormat="false" ht="15" hidden="false" customHeight="false" outlineLevel="0" collapsed="false">
      <c r="A387" s="0" t="s">
        <v>2041</v>
      </c>
      <c r="B387" s="0" t="s">
        <v>2042</v>
      </c>
      <c r="C387" s="0" t="s">
        <v>2104</v>
      </c>
      <c r="D387" s="0" t="s">
        <v>2105</v>
      </c>
      <c r="E387" s="0" t="s">
        <v>2045</v>
      </c>
      <c r="F387" s="0" t="s">
        <v>2051</v>
      </c>
      <c r="G387" s="0" t="s">
        <v>2110</v>
      </c>
      <c r="H387" s="0" t="s">
        <v>2112</v>
      </c>
      <c r="J387" s="0" t="s">
        <v>2108</v>
      </c>
      <c r="K387" s="272" t="n">
        <v>1688901.696</v>
      </c>
    </row>
    <row r="388" customFormat="false" ht="15" hidden="false" customHeight="false" outlineLevel="0" collapsed="false">
      <c r="A388" s="0" t="s">
        <v>2041</v>
      </c>
      <c r="B388" s="0" t="s">
        <v>2042</v>
      </c>
      <c r="C388" s="0" t="s">
        <v>2109</v>
      </c>
      <c r="D388" s="0" t="s">
        <v>2105</v>
      </c>
      <c r="E388" s="0" t="s">
        <v>2045</v>
      </c>
      <c r="F388" s="0" t="s">
        <v>2051</v>
      </c>
      <c r="G388" s="0" t="s">
        <v>2110</v>
      </c>
      <c r="H388" s="0" t="s">
        <v>2112</v>
      </c>
      <c r="J388" s="0" t="s">
        <v>2108</v>
      </c>
      <c r="K388" s="272" t="n">
        <v>312888.556</v>
      </c>
    </row>
    <row r="389" customFormat="false" ht="15" hidden="false" customHeight="false" outlineLevel="0" collapsed="false">
      <c r="A389" s="0" t="s">
        <v>2041</v>
      </c>
      <c r="B389" s="0" t="s">
        <v>2042</v>
      </c>
      <c r="C389" s="0" t="s">
        <v>2104</v>
      </c>
      <c r="D389" s="0" t="s">
        <v>2105</v>
      </c>
      <c r="E389" s="0" t="s">
        <v>2045</v>
      </c>
      <c r="F389" s="0" t="s">
        <v>2051</v>
      </c>
      <c r="G389" s="0" t="s">
        <v>2110</v>
      </c>
      <c r="H389" s="0" t="s">
        <v>2113</v>
      </c>
      <c r="J389" s="0" t="s">
        <v>2108</v>
      </c>
      <c r="K389" s="272" t="n">
        <v>3258432.053</v>
      </c>
    </row>
    <row r="390" customFormat="false" ht="15" hidden="false" customHeight="false" outlineLevel="0" collapsed="false">
      <c r="A390" s="0" t="s">
        <v>2041</v>
      </c>
      <c r="B390" s="0" t="s">
        <v>2042</v>
      </c>
      <c r="C390" s="0" t="s">
        <v>2109</v>
      </c>
      <c r="D390" s="0" t="s">
        <v>2105</v>
      </c>
      <c r="E390" s="0" t="s">
        <v>2045</v>
      </c>
      <c r="F390" s="0" t="s">
        <v>2051</v>
      </c>
      <c r="G390" s="0" t="s">
        <v>2110</v>
      </c>
      <c r="H390" s="0" t="s">
        <v>2113</v>
      </c>
      <c r="J390" s="0" t="s">
        <v>2108</v>
      </c>
      <c r="K390" s="272" t="n">
        <v>574371.098</v>
      </c>
    </row>
    <row r="391" customFormat="false" ht="15" hidden="false" customHeight="false" outlineLevel="0" collapsed="false">
      <c r="A391" s="0" t="s">
        <v>2041</v>
      </c>
      <c r="B391" s="0" t="s">
        <v>2042</v>
      </c>
      <c r="C391" s="0" t="s">
        <v>2104</v>
      </c>
      <c r="D391" s="0" t="s">
        <v>2105</v>
      </c>
      <c r="E391" s="0" t="s">
        <v>2045</v>
      </c>
      <c r="F391" s="0" t="s">
        <v>2051</v>
      </c>
      <c r="G391" s="0" t="s">
        <v>2110</v>
      </c>
      <c r="H391" s="0" t="s">
        <v>2107</v>
      </c>
      <c r="J391" s="0" t="s">
        <v>2108</v>
      </c>
      <c r="K391" s="272" t="n">
        <v>2525488.29</v>
      </c>
    </row>
    <row r="392" customFormat="false" ht="15" hidden="false" customHeight="false" outlineLevel="0" collapsed="false">
      <c r="A392" s="0" t="s">
        <v>2041</v>
      </c>
      <c r="B392" s="0" t="s">
        <v>2042</v>
      </c>
      <c r="C392" s="0" t="s">
        <v>2109</v>
      </c>
      <c r="D392" s="0" t="s">
        <v>2105</v>
      </c>
      <c r="E392" s="0" t="s">
        <v>2045</v>
      </c>
      <c r="F392" s="0" t="s">
        <v>2051</v>
      </c>
      <c r="G392" s="0" t="s">
        <v>2110</v>
      </c>
      <c r="H392" s="0" t="s">
        <v>2107</v>
      </c>
      <c r="J392" s="0" t="s">
        <v>2108</v>
      </c>
      <c r="K392" s="272" t="n">
        <v>444400.02</v>
      </c>
    </row>
    <row r="393" customFormat="false" ht="15" hidden="false" customHeight="false" outlineLevel="0" collapsed="false">
      <c r="A393" s="0" t="s">
        <v>2041</v>
      </c>
      <c r="B393" s="0" t="s">
        <v>2042</v>
      </c>
      <c r="C393" s="0" t="s">
        <v>2104</v>
      </c>
      <c r="D393" s="0" t="s">
        <v>2105</v>
      </c>
      <c r="E393" s="0" t="s">
        <v>2045</v>
      </c>
      <c r="F393" s="0" t="s">
        <v>2051</v>
      </c>
      <c r="G393" s="0" t="s">
        <v>2114</v>
      </c>
      <c r="H393" s="0" t="s">
        <v>2115</v>
      </c>
      <c r="J393" s="0" t="s">
        <v>2108</v>
      </c>
      <c r="K393" s="272" t="n">
        <v>827513.87</v>
      </c>
    </row>
    <row r="394" customFormat="false" ht="15" hidden="false" customHeight="false" outlineLevel="0" collapsed="false">
      <c r="A394" s="0" t="s">
        <v>2041</v>
      </c>
      <c r="B394" s="0" t="s">
        <v>2042</v>
      </c>
      <c r="C394" s="0" t="s">
        <v>2109</v>
      </c>
      <c r="D394" s="0" t="s">
        <v>2105</v>
      </c>
      <c r="E394" s="0" t="s">
        <v>2045</v>
      </c>
      <c r="F394" s="0" t="s">
        <v>2051</v>
      </c>
      <c r="G394" s="0" t="s">
        <v>2114</v>
      </c>
      <c r="H394" s="0" t="s">
        <v>2115</v>
      </c>
      <c r="J394" s="0" t="s">
        <v>2108</v>
      </c>
      <c r="K394" s="272" t="n">
        <v>145614.275</v>
      </c>
    </row>
    <row r="395" customFormat="false" ht="15" hidden="false" customHeight="false" outlineLevel="0" collapsed="false">
      <c r="A395" s="0" t="s">
        <v>2041</v>
      </c>
      <c r="B395" s="0" t="s">
        <v>2042</v>
      </c>
      <c r="C395" s="0" t="s">
        <v>2104</v>
      </c>
      <c r="D395" s="0" t="s">
        <v>2105</v>
      </c>
      <c r="E395" s="0" t="s">
        <v>2045</v>
      </c>
      <c r="F395" s="0" t="s">
        <v>2051</v>
      </c>
      <c r="G395" s="0" t="s">
        <v>2114</v>
      </c>
      <c r="H395" s="0" t="s">
        <v>2116</v>
      </c>
      <c r="J395" s="0" t="s">
        <v>2108</v>
      </c>
      <c r="K395" s="272" t="n">
        <v>79516.444</v>
      </c>
    </row>
    <row r="396" customFormat="false" ht="15" hidden="false" customHeight="false" outlineLevel="0" collapsed="false">
      <c r="A396" s="0" t="s">
        <v>2041</v>
      </c>
      <c r="B396" s="0" t="s">
        <v>2042</v>
      </c>
      <c r="C396" s="0" t="s">
        <v>2109</v>
      </c>
      <c r="D396" s="0" t="s">
        <v>2105</v>
      </c>
      <c r="E396" s="0" t="s">
        <v>2045</v>
      </c>
      <c r="F396" s="0" t="s">
        <v>2051</v>
      </c>
      <c r="G396" s="0" t="s">
        <v>2114</v>
      </c>
      <c r="H396" s="0" t="s">
        <v>2116</v>
      </c>
      <c r="J396" s="0" t="s">
        <v>2108</v>
      </c>
      <c r="K396" s="272" t="n">
        <v>13992.195</v>
      </c>
    </row>
    <row r="397" customFormat="false" ht="15" hidden="false" customHeight="false" outlineLevel="0" collapsed="false">
      <c r="A397" s="0" t="s">
        <v>2041</v>
      </c>
      <c r="B397" s="0" t="s">
        <v>2042</v>
      </c>
      <c r="C397" s="0" t="s">
        <v>2104</v>
      </c>
      <c r="D397" s="0" t="s">
        <v>2105</v>
      </c>
      <c r="E397" s="0" t="s">
        <v>2045</v>
      </c>
      <c r="F397" s="0" t="s">
        <v>2051</v>
      </c>
      <c r="G397" s="0" t="s">
        <v>2114</v>
      </c>
      <c r="H397" s="0" t="s">
        <v>2117</v>
      </c>
      <c r="J397" s="0" t="s">
        <v>2108</v>
      </c>
      <c r="K397" s="272" t="n">
        <v>44846.715</v>
      </c>
    </row>
    <row r="398" customFormat="false" ht="15" hidden="false" customHeight="false" outlineLevel="0" collapsed="false">
      <c r="A398" s="0" t="s">
        <v>2041</v>
      </c>
      <c r="B398" s="0" t="s">
        <v>2042</v>
      </c>
      <c r="C398" s="0" t="s">
        <v>2109</v>
      </c>
      <c r="D398" s="0" t="s">
        <v>2105</v>
      </c>
      <c r="E398" s="0" t="s">
        <v>2045</v>
      </c>
      <c r="F398" s="0" t="s">
        <v>2051</v>
      </c>
      <c r="G398" s="0" t="s">
        <v>2114</v>
      </c>
      <c r="H398" s="0" t="s">
        <v>2117</v>
      </c>
      <c r="J398" s="0" t="s">
        <v>2108</v>
      </c>
      <c r="K398" s="272" t="n">
        <v>7891.494</v>
      </c>
    </row>
    <row r="399" customFormat="false" ht="15" hidden="false" customHeight="false" outlineLevel="0" collapsed="false">
      <c r="A399" s="0" t="s">
        <v>2041</v>
      </c>
      <c r="B399" s="0" t="s">
        <v>2042</v>
      </c>
      <c r="C399" s="0" t="s">
        <v>2104</v>
      </c>
      <c r="D399" s="0" t="s">
        <v>2105</v>
      </c>
      <c r="E399" s="0" t="s">
        <v>2045</v>
      </c>
      <c r="F399" s="0" t="s">
        <v>2051</v>
      </c>
      <c r="G399" s="0" t="s">
        <v>2114</v>
      </c>
      <c r="H399" s="0" t="s">
        <v>2118</v>
      </c>
      <c r="J399" s="0" t="s">
        <v>2108</v>
      </c>
      <c r="K399" s="272" t="n">
        <v>94817.36</v>
      </c>
    </row>
    <row r="400" customFormat="false" ht="15" hidden="false" customHeight="false" outlineLevel="0" collapsed="false">
      <c r="A400" s="0" t="s">
        <v>2041</v>
      </c>
      <c r="B400" s="0" t="s">
        <v>2042</v>
      </c>
      <c r="C400" s="0" t="s">
        <v>2109</v>
      </c>
      <c r="D400" s="0" t="s">
        <v>2105</v>
      </c>
      <c r="E400" s="0" t="s">
        <v>2045</v>
      </c>
      <c r="F400" s="0" t="s">
        <v>2051</v>
      </c>
      <c r="G400" s="0" t="s">
        <v>2114</v>
      </c>
      <c r="H400" s="0" t="s">
        <v>2118</v>
      </c>
      <c r="J400" s="0" t="s">
        <v>2108</v>
      </c>
      <c r="K400" s="272" t="n">
        <v>16684.63</v>
      </c>
    </row>
    <row r="401" customFormat="false" ht="15" hidden="false" customHeight="false" outlineLevel="0" collapsed="false">
      <c r="A401" s="0" t="s">
        <v>2041</v>
      </c>
      <c r="B401" s="0" t="s">
        <v>2042</v>
      </c>
      <c r="C401" s="0" t="s">
        <v>2104</v>
      </c>
      <c r="D401" s="0" t="s">
        <v>2105</v>
      </c>
      <c r="E401" s="0" t="s">
        <v>2045</v>
      </c>
      <c r="F401" s="0" t="s">
        <v>2051</v>
      </c>
      <c r="G401" s="0" t="s">
        <v>2114</v>
      </c>
      <c r="H401" s="0" t="s">
        <v>2119</v>
      </c>
      <c r="J401" s="0" t="s">
        <v>2108</v>
      </c>
      <c r="K401" s="272" t="n">
        <v>250842.079</v>
      </c>
    </row>
    <row r="402" customFormat="false" ht="15" hidden="false" customHeight="false" outlineLevel="0" collapsed="false">
      <c r="A402" s="0" t="s">
        <v>2041</v>
      </c>
      <c r="B402" s="0" t="s">
        <v>2042</v>
      </c>
      <c r="C402" s="0" t="s">
        <v>2109</v>
      </c>
      <c r="D402" s="0" t="s">
        <v>2105</v>
      </c>
      <c r="E402" s="0" t="s">
        <v>2045</v>
      </c>
      <c r="F402" s="0" t="s">
        <v>2051</v>
      </c>
      <c r="G402" s="0" t="s">
        <v>2114</v>
      </c>
      <c r="H402" s="0" t="s">
        <v>2119</v>
      </c>
      <c r="J402" s="0" t="s">
        <v>2108</v>
      </c>
      <c r="K402" s="272" t="n">
        <v>44139.659</v>
      </c>
    </row>
    <row r="403" customFormat="false" ht="15" hidden="false" customHeight="false" outlineLevel="0" collapsed="false">
      <c r="A403" s="0" t="s">
        <v>2041</v>
      </c>
      <c r="B403" s="0" t="s">
        <v>2042</v>
      </c>
      <c r="C403" s="0" t="s">
        <v>2104</v>
      </c>
      <c r="D403" s="0" t="s">
        <v>2105</v>
      </c>
      <c r="E403" s="0" t="s">
        <v>2045</v>
      </c>
      <c r="F403" s="0" t="s">
        <v>2051</v>
      </c>
      <c r="G403" s="0" t="s">
        <v>2114</v>
      </c>
      <c r="H403" s="0" t="s">
        <v>2120</v>
      </c>
      <c r="J403" s="0" t="s">
        <v>2108</v>
      </c>
      <c r="K403" s="272" t="n">
        <v>369973.62</v>
      </c>
    </row>
    <row r="404" customFormat="false" ht="15" hidden="false" customHeight="false" outlineLevel="0" collapsed="false">
      <c r="A404" s="0" t="s">
        <v>2041</v>
      </c>
      <c r="B404" s="0" t="s">
        <v>2042</v>
      </c>
      <c r="C404" s="0" t="s">
        <v>2109</v>
      </c>
      <c r="D404" s="0" t="s">
        <v>2105</v>
      </c>
      <c r="E404" s="0" t="s">
        <v>2045</v>
      </c>
      <c r="F404" s="0" t="s">
        <v>2051</v>
      </c>
      <c r="G404" s="0" t="s">
        <v>2114</v>
      </c>
      <c r="H404" s="0" t="s">
        <v>2120</v>
      </c>
      <c r="J404" s="0" t="s">
        <v>2108</v>
      </c>
      <c r="K404" s="272" t="n">
        <v>65102.77</v>
      </c>
    </row>
    <row r="405" customFormat="false" ht="15" hidden="false" customHeight="false" outlineLevel="0" collapsed="false">
      <c r="A405" s="0" t="s">
        <v>2041</v>
      </c>
      <c r="B405" s="0" t="s">
        <v>2042</v>
      </c>
      <c r="C405" s="0" t="s">
        <v>2104</v>
      </c>
      <c r="D405" s="0" t="s">
        <v>2105</v>
      </c>
      <c r="E405" s="0" t="s">
        <v>2045</v>
      </c>
      <c r="F405" s="0" t="s">
        <v>2051</v>
      </c>
      <c r="G405" s="0" t="s">
        <v>2114</v>
      </c>
      <c r="H405" s="0" t="s">
        <v>2121</v>
      </c>
      <c r="J405" s="0" t="s">
        <v>2108</v>
      </c>
      <c r="K405" s="272" t="n">
        <v>139437.3</v>
      </c>
    </row>
    <row r="406" customFormat="false" ht="15" hidden="false" customHeight="false" outlineLevel="0" collapsed="false">
      <c r="A406" s="0" t="s">
        <v>2041</v>
      </c>
      <c r="B406" s="0" t="s">
        <v>2042</v>
      </c>
      <c r="C406" s="0" t="s">
        <v>2109</v>
      </c>
      <c r="D406" s="0" t="s">
        <v>2105</v>
      </c>
      <c r="E406" s="0" t="s">
        <v>2045</v>
      </c>
      <c r="F406" s="0" t="s">
        <v>2051</v>
      </c>
      <c r="G406" s="0" t="s">
        <v>2114</v>
      </c>
      <c r="H406" s="0" t="s">
        <v>2121</v>
      </c>
      <c r="J406" s="0" t="s">
        <v>2108</v>
      </c>
      <c r="K406" s="272" t="n">
        <v>24536.22</v>
      </c>
    </row>
    <row r="407" customFormat="false" ht="15" hidden="false" customHeight="false" outlineLevel="0" collapsed="false">
      <c r="A407" s="0" t="s">
        <v>2041</v>
      </c>
      <c r="B407" s="0" t="s">
        <v>2042</v>
      </c>
      <c r="C407" s="0" t="s">
        <v>2104</v>
      </c>
      <c r="D407" s="0" t="s">
        <v>2105</v>
      </c>
      <c r="E407" s="0" t="s">
        <v>2045</v>
      </c>
      <c r="F407" s="0" t="s">
        <v>2051</v>
      </c>
      <c r="G407" s="0" t="s">
        <v>2114</v>
      </c>
      <c r="H407" s="0" t="s">
        <v>2122</v>
      </c>
      <c r="J407" s="0" t="s">
        <v>2108</v>
      </c>
      <c r="K407" s="272" t="n">
        <v>560152.412</v>
      </c>
    </row>
    <row r="408" customFormat="false" ht="15" hidden="false" customHeight="false" outlineLevel="0" collapsed="false">
      <c r="A408" s="0" t="s">
        <v>2041</v>
      </c>
      <c r="B408" s="0" t="s">
        <v>2042</v>
      </c>
      <c r="C408" s="0" t="s">
        <v>2109</v>
      </c>
      <c r="D408" s="0" t="s">
        <v>2105</v>
      </c>
      <c r="E408" s="0" t="s">
        <v>2045</v>
      </c>
      <c r="F408" s="0" t="s">
        <v>2051</v>
      </c>
      <c r="G408" s="0" t="s">
        <v>2114</v>
      </c>
      <c r="H408" s="0" t="s">
        <v>2122</v>
      </c>
      <c r="J408" s="0" t="s">
        <v>2108</v>
      </c>
      <c r="K408" s="272" t="n">
        <v>112954.881</v>
      </c>
    </row>
    <row r="409" customFormat="false" ht="15" hidden="false" customHeight="false" outlineLevel="0" collapsed="false">
      <c r="A409" s="0" t="s">
        <v>2041</v>
      </c>
      <c r="B409" s="0" t="s">
        <v>2042</v>
      </c>
      <c r="C409" s="0" t="s">
        <v>2104</v>
      </c>
      <c r="D409" s="0" t="s">
        <v>2105</v>
      </c>
      <c r="E409" s="0" t="s">
        <v>2045</v>
      </c>
      <c r="F409" s="0" t="s">
        <v>2051</v>
      </c>
      <c r="G409" s="0" t="s">
        <v>2114</v>
      </c>
      <c r="H409" s="0" t="s">
        <v>2112</v>
      </c>
      <c r="J409" s="0" t="s">
        <v>2108</v>
      </c>
      <c r="K409" s="272" t="n">
        <v>149290.86</v>
      </c>
    </row>
    <row r="410" customFormat="false" ht="15" hidden="false" customHeight="false" outlineLevel="0" collapsed="false">
      <c r="A410" s="0" t="s">
        <v>2041</v>
      </c>
      <c r="B410" s="0" t="s">
        <v>2042</v>
      </c>
      <c r="C410" s="0" t="s">
        <v>2109</v>
      </c>
      <c r="D410" s="0" t="s">
        <v>2105</v>
      </c>
      <c r="E410" s="0" t="s">
        <v>2045</v>
      </c>
      <c r="F410" s="0" t="s">
        <v>2051</v>
      </c>
      <c r="G410" s="0" t="s">
        <v>2114</v>
      </c>
      <c r="H410" s="0" t="s">
        <v>2112</v>
      </c>
      <c r="J410" s="0" t="s">
        <v>2108</v>
      </c>
      <c r="K410" s="272" t="n">
        <v>26270.11</v>
      </c>
    </row>
    <row r="411" customFormat="false" ht="15" hidden="false" customHeight="false" outlineLevel="0" collapsed="false">
      <c r="A411" s="0" t="s">
        <v>2041</v>
      </c>
      <c r="B411" s="0" t="s">
        <v>2042</v>
      </c>
      <c r="C411" s="0" t="s">
        <v>2104</v>
      </c>
      <c r="D411" s="0" t="s">
        <v>2105</v>
      </c>
      <c r="E411" s="0" t="s">
        <v>2045</v>
      </c>
      <c r="F411" s="0" t="s">
        <v>2051</v>
      </c>
      <c r="G411" s="0" t="s">
        <v>2114</v>
      </c>
      <c r="H411" s="0" t="s">
        <v>2113</v>
      </c>
      <c r="J411" s="0" t="s">
        <v>2108</v>
      </c>
      <c r="K411" s="272" t="n">
        <v>158586.68</v>
      </c>
    </row>
    <row r="412" customFormat="false" ht="15" hidden="false" customHeight="false" outlineLevel="0" collapsed="false">
      <c r="A412" s="0" t="s">
        <v>2041</v>
      </c>
      <c r="B412" s="0" t="s">
        <v>2042</v>
      </c>
      <c r="C412" s="0" t="s">
        <v>2109</v>
      </c>
      <c r="D412" s="0" t="s">
        <v>2105</v>
      </c>
      <c r="E412" s="0" t="s">
        <v>2045</v>
      </c>
      <c r="F412" s="0" t="s">
        <v>2051</v>
      </c>
      <c r="G412" s="0" t="s">
        <v>2114</v>
      </c>
      <c r="H412" s="0" t="s">
        <v>2113</v>
      </c>
      <c r="J412" s="0" t="s">
        <v>2108</v>
      </c>
      <c r="K412" s="272" t="n">
        <v>43605.156</v>
      </c>
    </row>
    <row r="413" customFormat="false" ht="15" hidden="false" customHeight="false" outlineLevel="0" collapsed="false">
      <c r="A413" s="0" t="s">
        <v>2041</v>
      </c>
      <c r="B413" s="0" t="s">
        <v>2042</v>
      </c>
      <c r="C413" s="0" t="s">
        <v>2104</v>
      </c>
      <c r="D413" s="0" t="s">
        <v>2105</v>
      </c>
      <c r="E413" s="0" t="s">
        <v>2045</v>
      </c>
      <c r="F413" s="0" t="s">
        <v>2051</v>
      </c>
      <c r="G413" s="0" t="s">
        <v>2114</v>
      </c>
      <c r="H413" s="0" t="s">
        <v>2107</v>
      </c>
      <c r="J413" s="0" t="s">
        <v>2108</v>
      </c>
      <c r="K413" s="272" t="n">
        <v>1917913.52</v>
      </c>
    </row>
    <row r="414" customFormat="false" ht="15" hidden="false" customHeight="false" outlineLevel="0" collapsed="false">
      <c r="A414" s="0" t="s">
        <v>2041</v>
      </c>
      <c r="B414" s="0" t="s">
        <v>2042</v>
      </c>
      <c r="C414" s="0" t="s">
        <v>2109</v>
      </c>
      <c r="D414" s="0" t="s">
        <v>2105</v>
      </c>
      <c r="E414" s="0" t="s">
        <v>2045</v>
      </c>
      <c r="F414" s="0" t="s">
        <v>2051</v>
      </c>
      <c r="G414" s="0" t="s">
        <v>2114</v>
      </c>
      <c r="H414" s="0" t="s">
        <v>2107</v>
      </c>
      <c r="J414" s="0" t="s">
        <v>2108</v>
      </c>
      <c r="K414" s="272" t="n">
        <v>337487.53</v>
      </c>
    </row>
    <row r="415" customFormat="false" ht="15" hidden="false" customHeight="false" outlineLevel="0" collapsed="false">
      <c r="A415" s="0" t="s">
        <v>2041</v>
      </c>
      <c r="B415" s="0" t="s">
        <v>2042</v>
      </c>
      <c r="C415" s="0" t="s">
        <v>2104</v>
      </c>
      <c r="D415" s="0" t="s">
        <v>2105</v>
      </c>
      <c r="E415" s="0" t="s">
        <v>2045</v>
      </c>
      <c r="F415" s="0" t="s">
        <v>2051</v>
      </c>
      <c r="G415" s="0" t="s">
        <v>2123</v>
      </c>
      <c r="H415" s="0" t="s">
        <v>2115</v>
      </c>
      <c r="J415" s="0" t="s">
        <v>2108</v>
      </c>
      <c r="K415" s="272" t="n">
        <v>322973.964</v>
      </c>
    </row>
    <row r="416" customFormat="false" ht="15" hidden="false" customHeight="false" outlineLevel="0" collapsed="false">
      <c r="A416" s="0" t="s">
        <v>2041</v>
      </c>
      <c r="B416" s="0" t="s">
        <v>2042</v>
      </c>
      <c r="C416" s="0" t="s">
        <v>2109</v>
      </c>
      <c r="D416" s="0" t="s">
        <v>2105</v>
      </c>
      <c r="E416" s="0" t="s">
        <v>2045</v>
      </c>
      <c r="F416" s="0" t="s">
        <v>2051</v>
      </c>
      <c r="G416" s="0" t="s">
        <v>2123</v>
      </c>
      <c r="H416" s="0" t="s">
        <v>2115</v>
      </c>
      <c r="J416" s="0" t="s">
        <v>2108</v>
      </c>
      <c r="K416" s="272" t="n">
        <v>56832.435</v>
      </c>
    </row>
    <row r="417" customFormat="false" ht="15" hidden="false" customHeight="false" outlineLevel="0" collapsed="false">
      <c r="A417" s="0" t="s">
        <v>2041</v>
      </c>
      <c r="B417" s="0" t="s">
        <v>2042</v>
      </c>
      <c r="C417" s="0" t="s">
        <v>2104</v>
      </c>
      <c r="D417" s="0" t="s">
        <v>2105</v>
      </c>
      <c r="E417" s="0" t="s">
        <v>2045</v>
      </c>
      <c r="F417" s="0" t="s">
        <v>2051</v>
      </c>
      <c r="G417" s="0" t="s">
        <v>2123</v>
      </c>
      <c r="H417" s="0" t="s">
        <v>2116</v>
      </c>
      <c r="J417" s="0" t="s">
        <v>2108</v>
      </c>
      <c r="K417" s="272" t="n">
        <v>329109.203</v>
      </c>
    </row>
    <row r="418" customFormat="false" ht="15" hidden="false" customHeight="false" outlineLevel="0" collapsed="false">
      <c r="A418" s="0" t="s">
        <v>2041</v>
      </c>
      <c r="B418" s="0" t="s">
        <v>2042</v>
      </c>
      <c r="C418" s="0" t="s">
        <v>2109</v>
      </c>
      <c r="D418" s="0" t="s">
        <v>2105</v>
      </c>
      <c r="E418" s="0" t="s">
        <v>2045</v>
      </c>
      <c r="F418" s="0" t="s">
        <v>2051</v>
      </c>
      <c r="G418" s="0" t="s">
        <v>2123</v>
      </c>
      <c r="H418" s="0" t="s">
        <v>2116</v>
      </c>
      <c r="J418" s="0" t="s">
        <v>2108</v>
      </c>
      <c r="K418" s="272" t="n">
        <v>57912.014</v>
      </c>
    </row>
    <row r="419" customFormat="false" ht="15" hidden="false" customHeight="false" outlineLevel="0" collapsed="false">
      <c r="A419" s="0" t="s">
        <v>2041</v>
      </c>
      <c r="B419" s="0" t="s">
        <v>2042</v>
      </c>
      <c r="C419" s="0" t="s">
        <v>2104</v>
      </c>
      <c r="D419" s="0" t="s">
        <v>2105</v>
      </c>
      <c r="E419" s="0" t="s">
        <v>2045</v>
      </c>
      <c r="F419" s="0" t="s">
        <v>2051</v>
      </c>
      <c r="G419" s="0" t="s">
        <v>2123</v>
      </c>
      <c r="H419" s="0" t="s">
        <v>2111</v>
      </c>
      <c r="J419" s="0" t="s">
        <v>2108</v>
      </c>
      <c r="K419" s="272" t="n">
        <v>426332.695</v>
      </c>
    </row>
    <row r="420" customFormat="false" ht="15" hidden="false" customHeight="false" outlineLevel="0" collapsed="false">
      <c r="A420" s="0" t="s">
        <v>2041</v>
      </c>
      <c r="B420" s="0" t="s">
        <v>2042</v>
      </c>
      <c r="C420" s="0" t="s">
        <v>2109</v>
      </c>
      <c r="D420" s="0" t="s">
        <v>2105</v>
      </c>
      <c r="E420" s="0" t="s">
        <v>2045</v>
      </c>
      <c r="F420" s="0" t="s">
        <v>2051</v>
      </c>
      <c r="G420" s="0" t="s">
        <v>2123</v>
      </c>
      <c r="H420" s="0" t="s">
        <v>2111</v>
      </c>
      <c r="J420" s="0" t="s">
        <v>2108</v>
      </c>
      <c r="K420" s="272" t="n">
        <v>79941.712</v>
      </c>
    </row>
    <row r="421" customFormat="false" ht="15" hidden="false" customHeight="false" outlineLevel="0" collapsed="false">
      <c r="A421" s="0" t="s">
        <v>2041</v>
      </c>
      <c r="B421" s="0" t="s">
        <v>2042</v>
      </c>
      <c r="C421" s="0" t="s">
        <v>2104</v>
      </c>
      <c r="D421" s="0" t="s">
        <v>2105</v>
      </c>
      <c r="E421" s="0" t="s">
        <v>2045</v>
      </c>
      <c r="F421" s="0" t="s">
        <v>2051</v>
      </c>
      <c r="G421" s="0" t="s">
        <v>2123</v>
      </c>
      <c r="H421" s="0" t="s">
        <v>2117</v>
      </c>
      <c r="J421" s="0" t="s">
        <v>2108</v>
      </c>
      <c r="K421" s="272" t="n">
        <v>77564.32</v>
      </c>
    </row>
    <row r="422" customFormat="false" ht="15" hidden="false" customHeight="false" outlineLevel="0" collapsed="false">
      <c r="A422" s="0" t="s">
        <v>2041</v>
      </c>
      <c r="B422" s="0" t="s">
        <v>2042</v>
      </c>
      <c r="C422" s="0" t="s">
        <v>2109</v>
      </c>
      <c r="D422" s="0" t="s">
        <v>2105</v>
      </c>
      <c r="E422" s="0" t="s">
        <v>2045</v>
      </c>
      <c r="F422" s="0" t="s">
        <v>2051</v>
      </c>
      <c r="G422" s="0" t="s">
        <v>2123</v>
      </c>
      <c r="H422" s="0" t="s">
        <v>2117</v>
      </c>
      <c r="J422" s="0" t="s">
        <v>2108</v>
      </c>
      <c r="K422" s="272" t="n">
        <v>13648.68</v>
      </c>
    </row>
    <row r="423" customFormat="false" ht="15" hidden="false" customHeight="false" outlineLevel="0" collapsed="false">
      <c r="A423" s="0" t="s">
        <v>2041</v>
      </c>
      <c r="B423" s="0" t="s">
        <v>2042</v>
      </c>
      <c r="C423" s="0" t="s">
        <v>2104</v>
      </c>
      <c r="D423" s="0" t="s">
        <v>2105</v>
      </c>
      <c r="E423" s="0" t="s">
        <v>2045</v>
      </c>
      <c r="F423" s="0" t="s">
        <v>2051</v>
      </c>
      <c r="G423" s="0" t="s">
        <v>2123</v>
      </c>
      <c r="H423" s="0" t="s">
        <v>2119</v>
      </c>
      <c r="J423" s="0" t="s">
        <v>2108</v>
      </c>
      <c r="K423" s="272" t="n">
        <v>27887.46</v>
      </c>
    </row>
    <row r="424" customFormat="false" ht="15" hidden="false" customHeight="false" outlineLevel="0" collapsed="false">
      <c r="A424" s="0" t="s">
        <v>2041</v>
      </c>
      <c r="B424" s="0" t="s">
        <v>2042</v>
      </c>
      <c r="C424" s="0" t="s">
        <v>2109</v>
      </c>
      <c r="D424" s="0" t="s">
        <v>2105</v>
      </c>
      <c r="E424" s="0" t="s">
        <v>2045</v>
      </c>
      <c r="F424" s="0" t="s">
        <v>2051</v>
      </c>
      <c r="G424" s="0" t="s">
        <v>2123</v>
      </c>
      <c r="H424" s="0" t="s">
        <v>2119</v>
      </c>
      <c r="J424" s="0" t="s">
        <v>2108</v>
      </c>
      <c r="K424" s="272" t="n">
        <v>4907.244</v>
      </c>
    </row>
    <row r="425" customFormat="false" ht="15" hidden="false" customHeight="false" outlineLevel="0" collapsed="false">
      <c r="A425" s="0" t="s">
        <v>2041</v>
      </c>
      <c r="B425" s="0" t="s">
        <v>2042</v>
      </c>
      <c r="C425" s="0" t="s">
        <v>2104</v>
      </c>
      <c r="D425" s="0" t="s">
        <v>2105</v>
      </c>
      <c r="E425" s="0" t="s">
        <v>2045</v>
      </c>
      <c r="F425" s="0" t="s">
        <v>2051</v>
      </c>
      <c r="G425" s="0" t="s">
        <v>2123</v>
      </c>
      <c r="H425" s="0" t="s">
        <v>2120</v>
      </c>
      <c r="J425" s="0" t="s">
        <v>2108</v>
      </c>
      <c r="K425" s="272" t="n">
        <v>198372.792</v>
      </c>
    </row>
    <row r="426" customFormat="false" ht="15" hidden="false" customHeight="false" outlineLevel="0" collapsed="false">
      <c r="A426" s="0" t="s">
        <v>2041</v>
      </c>
      <c r="B426" s="0" t="s">
        <v>2042</v>
      </c>
      <c r="C426" s="0" t="s">
        <v>2109</v>
      </c>
      <c r="D426" s="0" t="s">
        <v>2105</v>
      </c>
      <c r="E426" s="0" t="s">
        <v>2045</v>
      </c>
      <c r="F426" s="0" t="s">
        <v>2051</v>
      </c>
      <c r="G426" s="0" t="s">
        <v>2123</v>
      </c>
      <c r="H426" s="0" t="s">
        <v>2120</v>
      </c>
      <c r="J426" s="0" t="s">
        <v>2108</v>
      </c>
      <c r="K426" s="272" t="n">
        <v>34906.863</v>
      </c>
    </row>
    <row r="427" customFormat="false" ht="15" hidden="false" customHeight="false" outlineLevel="0" collapsed="false">
      <c r="A427" s="0" t="s">
        <v>2041</v>
      </c>
      <c r="B427" s="0" t="s">
        <v>2042</v>
      </c>
      <c r="C427" s="0" t="s">
        <v>2104</v>
      </c>
      <c r="D427" s="0" t="s">
        <v>2105</v>
      </c>
      <c r="E427" s="0" t="s">
        <v>2045</v>
      </c>
      <c r="F427" s="0" t="s">
        <v>2051</v>
      </c>
      <c r="G427" s="0" t="s">
        <v>2123</v>
      </c>
      <c r="H427" s="0" t="s">
        <v>2121</v>
      </c>
      <c r="J427" s="0" t="s">
        <v>2108</v>
      </c>
      <c r="K427" s="272" t="n">
        <v>24912.796</v>
      </c>
    </row>
    <row r="428" customFormat="false" ht="15" hidden="false" customHeight="false" outlineLevel="0" collapsed="false">
      <c r="A428" s="0" t="s">
        <v>2041</v>
      </c>
      <c r="B428" s="0" t="s">
        <v>2042</v>
      </c>
      <c r="C428" s="0" t="s">
        <v>2109</v>
      </c>
      <c r="D428" s="0" t="s">
        <v>2105</v>
      </c>
      <c r="E428" s="0" t="s">
        <v>2045</v>
      </c>
      <c r="F428" s="0" t="s">
        <v>2051</v>
      </c>
      <c r="G428" s="0" t="s">
        <v>2123</v>
      </c>
      <c r="H428" s="0" t="s">
        <v>2121</v>
      </c>
      <c r="J428" s="0" t="s">
        <v>2108</v>
      </c>
      <c r="K428" s="272" t="n">
        <v>4383.804</v>
      </c>
    </row>
    <row r="429" customFormat="false" ht="15" hidden="false" customHeight="false" outlineLevel="0" collapsed="false">
      <c r="A429" s="0" t="s">
        <v>2041</v>
      </c>
      <c r="B429" s="0" t="s">
        <v>2042</v>
      </c>
      <c r="C429" s="0" t="s">
        <v>2104</v>
      </c>
      <c r="D429" s="0" t="s">
        <v>2105</v>
      </c>
      <c r="E429" s="0" t="s">
        <v>2045</v>
      </c>
      <c r="F429" s="0" t="s">
        <v>2051</v>
      </c>
      <c r="G429" s="0" t="s">
        <v>2123</v>
      </c>
      <c r="H429" s="0" t="s">
        <v>2121</v>
      </c>
      <c r="I429" s="0" t="s">
        <v>2124</v>
      </c>
      <c r="J429" s="0" t="s">
        <v>2108</v>
      </c>
      <c r="K429" s="272" t="n">
        <v>34245.801</v>
      </c>
    </row>
    <row r="430" customFormat="false" ht="15" hidden="false" customHeight="false" outlineLevel="0" collapsed="false">
      <c r="A430" s="0" t="s">
        <v>2041</v>
      </c>
      <c r="B430" s="0" t="s">
        <v>2042</v>
      </c>
      <c r="C430" s="0" t="s">
        <v>2109</v>
      </c>
      <c r="D430" s="0" t="s">
        <v>2105</v>
      </c>
      <c r="E430" s="0" t="s">
        <v>2045</v>
      </c>
      <c r="F430" s="0" t="s">
        <v>2051</v>
      </c>
      <c r="G430" s="0" t="s">
        <v>2123</v>
      </c>
      <c r="H430" s="0" t="s">
        <v>2121</v>
      </c>
      <c r="I430" s="0" t="s">
        <v>2124</v>
      </c>
      <c r="J430" s="0" t="s">
        <v>2108</v>
      </c>
      <c r="K430" s="272" t="n">
        <v>10342.233</v>
      </c>
    </row>
    <row r="431" customFormat="false" ht="15" hidden="false" customHeight="false" outlineLevel="0" collapsed="false">
      <c r="A431" s="0" t="s">
        <v>2041</v>
      </c>
      <c r="B431" s="0" t="s">
        <v>2042</v>
      </c>
      <c r="C431" s="0" t="s">
        <v>2104</v>
      </c>
      <c r="D431" s="0" t="s">
        <v>2105</v>
      </c>
      <c r="E431" s="0" t="s">
        <v>2045</v>
      </c>
      <c r="F431" s="0" t="s">
        <v>2051</v>
      </c>
      <c r="G431" s="0" t="s">
        <v>2123</v>
      </c>
      <c r="H431" s="0" t="s">
        <v>2122</v>
      </c>
      <c r="J431" s="0" t="s">
        <v>2108</v>
      </c>
      <c r="K431" s="272" t="n">
        <v>234254.656</v>
      </c>
    </row>
    <row r="432" customFormat="false" ht="15" hidden="false" customHeight="false" outlineLevel="0" collapsed="false">
      <c r="A432" s="0" t="s">
        <v>2041</v>
      </c>
      <c r="B432" s="0" t="s">
        <v>2042</v>
      </c>
      <c r="C432" s="0" t="s">
        <v>2109</v>
      </c>
      <c r="D432" s="0" t="s">
        <v>2105</v>
      </c>
      <c r="E432" s="0" t="s">
        <v>2045</v>
      </c>
      <c r="F432" s="0" t="s">
        <v>2051</v>
      </c>
      <c r="G432" s="0" t="s">
        <v>2123</v>
      </c>
      <c r="H432" s="0" t="s">
        <v>2122</v>
      </c>
      <c r="J432" s="0" t="s">
        <v>2108</v>
      </c>
      <c r="K432" s="272" t="n">
        <v>41220.852</v>
      </c>
    </row>
    <row r="433" customFormat="false" ht="15" hidden="false" customHeight="false" outlineLevel="0" collapsed="false">
      <c r="A433" s="0" t="s">
        <v>2041</v>
      </c>
      <c r="B433" s="0" t="s">
        <v>2042</v>
      </c>
      <c r="C433" s="0" t="s">
        <v>2104</v>
      </c>
      <c r="D433" s="0" t="s">
        <v>2105</v>
      </c>
      <c r="E433" s="0" t="s">
        <v>2045</v>
      </c>
      <c r="F433" s="0" t="s">
        <v>2051</v>
      </c>
      <c r="G433" s="0" t="s">
        <v>2123</v>
      </c>
      <c r="H433" s="0" t="s">
        <v>2122</v>
      </c>
      <c r="I433" s="0" t="s">
        <v>2124</v>
      </c>
      <c r="J433" s="0" t="s">
        <v>2108</v>
      </c>
      <c r="K433" s="272" t="n">
        <v>57076.335</v>
      </c>
    </row>
    <row r="434" customFormat="false" ht="15" hidden="false" customHeight="false" outlineLevel="0" collapsed="false">
      <c r="A434" s="0" t="s">
        <v>2041</v>
      </c>
      <c r="B434" s="0" t="s">
        <v>2042</v>
      </c>
      <c r="C434" s="0" t="s">
        <v>2109</v>
      </c>
      <c r="D434" s="0" t="s">
        <v>2105</v>
      </c>
      <c r="E434" s="0" t="s">
        <v>2045</v>
      </c>
      <c r="F434" s="0" t="s">
        <v>2051</v>
      </c>
      <c r="G434" s="0" t="s">
        <v>2123</v>
      </c>
      <c r="H434" s="0" t="s">
        <v>2122</v>
      </c>
      <c r="I434" s="0" t="s">
        <v>2124</v>
      </c>
      <c r="J434" s="0" t="s">
        <v>2108</v>
      </c>
      <c r="K434" s="272" t="n">
        <v>17237.055</v>
      </c>
    </row>
    <row r="435" customFormat="false" ht="15" hidden="false" customHeight="false" outlineLevel="0" collapsed="false">
      <c r="A435" s="0" t="s">
        <v>2041</v>
      </c>
      <c r="B435" s="0" t="s">
        <v>2042</v>
      </c>
      <c r="C435" s="0" t="s">
        <v>2104</v>
      </c>
      <c r="D435" s="0" t="s">
        <v>2105</v>
      </c>
      <c r="E435" s="0" t="s">
        <v>2045</v>
      </c>
      <c r="F435" s="0" t="s">
        <v>2051</v>
      </c>
      <c r="G435" s="0" t="s">
        <v>2123</v>
      </c>
      <c r="H435" s="0" t="s">
        <v>2112</v>
      </c>
      <c r="J435" s="0" t="s">
        <v>2108</v>
      </c>
      <c r="K435" s="272" t="n">
        <v>101993.736</v>
      </c>
    </row>
    <row r="436" customFormat="false" ht="15" hidden="false" customHeight="false" outlineLevel="0" collapsed="false">
      <c r="A436" s="0" t="s">
        <v>2041</v>
      </c>
      <c r="B436" s="0" t="s">
        <v>2042</v>
      </c>
      <c r="C436" s="0" t="s">
        <v>2109</v>
      </c>
      <c r="D436" s="0" t="s">
        <v>2105</v>
      </c>
      <c r="E436" s="0" t="s">
        <v>2045</v>
      </c>
      <c r="F436" s="0" t="s">
        <v>2051</v>
      </c>
      <c r="G436" s="0" t="s">
        <v>2123</v>
      </c>
      <c r="H436" s="0" t="s">
        <v>2112</v>
      </c>
      <c r="J436" s="0" t="s">
        <v>2108</v>
      </c>
      <c r="K436" s="272" t="n">
        <v>17947.422</v>
      </c>
    </row>
    <row r="437" customFormat="false" ht="15" hidden="false" customHeight="false" outlineLevel="0" collapsed="false">
      <c r="A437" s="0" t="s">
        <v>2041</v>
      </c>
      <c r="B437" s="0" t="s">
        <v>2042</v>
      </c>
      <c r="C437" s="0" t="s">
        <v>2104</v>
      </c>
      <c r="D437" s="0" t="s">
        <v>2105</v>
      </c>
      <c r="E437" s="0" t="s">
        <v>2045</v>
      </c>
      <c r="F437" s="0" t="s">
        <v>2051</v>
      </c>
      <c r="G437" s="0" t="s">
        <v>2123</v>
      </c>
      <c r="H437" s="0" t="s">
        <v>2112</v>
      </c>
      <c r="I437" s="0" t="s">
        <v>2124</v>
      </c>
      <c r="J437" s="0" t="s">
        <v>2108</v>
      </c>
      <c r="K437" s="272" t="n">
        <v>22830.534</v>
      </c>
    </row>
    <row r="438" customFormat="false" ht="15" hidden="false" customHeight="false" outlineLevel="0" collapsed="false">
      <c r="A438" s="0" t="s">
        <v>2041</v>
      </c>
      <c r="B438" s="0" t="s">
        <v>2042</v>
      </c>
      <c r="C438" s="0" t="s">
        <v>2109</v>
      </c>
      <c r="D438" s="0" t="s">
        <v>2105</v>
      </c>
      <c r="E438" s="0" t="s">
        <v>2045</v>
      </c>
      <c r="F438" s="0" t="s">
        <v>2051</v>
      </c>
      <c r="G438" s="0" t="s">
        <v>2123</v>
      </c>
      <c r="H438" s="0" t="s">
        <v>2112</v>
      </c>
      <c r="I438" s="0" t="s">
        <v>2124</v>
      </c>
      <c r="J438" s="0" t="s">
        <v>2108</v>
      </c>
      <c r="K438" s="272" t="n">
        <v>6894.822</v>
      </c>
    </row>
    <row r="439" customFormat="false" ht="15" hidden="false" customHeight="false" outlineLevel="0" collapsed="false">
      <c r="A439" s="0" t="s">
        <v>2041</v>
      </c>
      <c r="B439" s="0" t="s">
        <v>2042</v>
      </c>
      <c r="C439" s="0" t="s">
        <v>2104</v>
      </c>
      <c r="D439" s="0" t="s">
        <v>2105</v>
      </c>
      <c r="E439" s="0" t="s">
        <v>2045</v>
      </c>
      <c r="F439" s="0" t="s">
        <v>2051</v>
      </c>
      <c r="G439" s="0" t="s">
        <v>2123</v>
      </c>
      <c r="H439" s="0" t="s">
        <v>2113</v>
      </c>
      <c r="J439" s="0" t="s">
        <v>2108</v>
      </c>
      <c r="K439" s="272" t="n">
        <v>460095.108</v>
      </c>
    </row>
    <row r="440" customFormat="false" ht="15" hidden="false" customHeight="false" outlineLevel="0" collapsed="false">
      <c r="A440" s="0" t="s">
        <v>2041</v>
      </c>
      <c r="B440" s="0" t="s">
        <v>2042</v>
      </c>
      <c r="C440" s="0" t="s">
        <v>2109</v>
      </c>
      <c r="D440" s="0" t="s">
        <v>2105</v>
      </c>
      <c r="E440" s="0" t="s">
        <v>2045</v>
      </c>
      <c r="F440" s="0" t="s">
        <v>2051</v>
      </c>
      <c r="G440" s="0" t="s">
        <v>2123</v>
      </c>
      <c r="H440" s="0" t="s">
        <v>2113</v>
      </c>
      <c r="J440" s="0" t="s">
        <v>2108</v>
      </c>
      <c r="K440" s="272" t="n">
        <v>85882.734</v>
      </c>
    </row>
    <row r="441" customFormat="false" ht="15" hidden="false" customHeight="false" outlineLevel="0" collapsed="false">
      <c r="A441" s="0" t="s">
        <v>2041</v>
      </c>
      <c r="B441" s="0" t="s">
        <v>2042</v>
      </c>
      <c r="C441" s="0" t="s">
        <v>2104</v>
      </c>
      <c r="D441" s="0" t="s">
        <v>2105</v>
      </c>
      <c r="E441" s="0" t="s">
        <v>2045</v>
      </c>
      <c r="F441" s="0" t="s">
        <v>2051</v>
      </c>
      <c r="G441" s="0" t="s">
        <v>2123</v>
      </c>
      <c r="H441" s="0" t="s">
        <v>2107</v>
      </c>
      <c r="J441" s="0" t="s">
        <v>2108</v>
      </c>
      <c r="K441" s="272" t="n">
        <v>1152681.64</v>
      </c>
    </row>
    <row r="442" customFormat="false" ht="15" hidden="false" customHeight="false" outlineLevel="0" collapsed="false">
      <c r="A442" s="0" t="s">
        <v>2041</v>
      </c>
      <c r="B442" s="0" t="s">
        <v>2042</v>
      </c>
      <c r="C442" s="0" t="s">
        <v>2109</v>
      </c>
      <c r="D442" s="0" t="s">
        <v>2105</v>
      </c>
      <c r="E442" s="0" t="s">
        <v>2045</v>
      </c>
      <c r="F442" s="0" t="s">
        <v>2051</v>
      </c>
      <c r="G442" s="0" t="s">
        <v>2123</v>
      </c>
      <c r="H442" s="0" t="s">
        <v>2107</v>
      </c>
      <c r="J442" s="0" t="s">
        <v>2108</v>
      </c>
      <c r="K442" s="272" t="n">
        <v>202832.74</v>
      </c>
    </row>
    <row r="443" customFormat="false" ht="15" hidden="false" customHeight="false" outlineLevel="0" collapsed="false">
      <c r="A443" s="0" t="s">
        <v>2041</v>
      </c>
      <c r="B443" s="0" t="s">
        <v>2042</v>
      </c>
      <c r="C443" s="0" t="s">
        <v>2104</v>
      </c>
      <c r="D443" s="0" t="s">
        <v>2105</v>
      </c>
      <c r="E443" s="0" t="s">
        <v>2045</v>
      </c>
      <c r="F443" s="0" t="s">
        <v>2046</v>
      </c>
      <c r="G443" s="0" t="s">
        <v>2125</v>
      </c>
      <c r="H443" s="0" t="s">
        <v>2126</v>
      </c>
      <c r="J443" s="0" t="s">
        <v>2108</v>
      </c>
      <c r="K443" s="272" t="n">
        <v>79958.9</v>
      </c>
    </row>
    <row r="444" customFormat="false" ht="15" hidden="false" customHeight="false" outlineLevel="0" collapsed="false">
      <c r="A444" s="0" t="s">
        <v>2041</v>
      </c>
      <c r="B444" s="0" t="s">
        <v>2042</v>
      </c>
      <c r="C444" s="0" t="s">
        <v>2109</v>
      </c>
      <c r="D444" s="0" t="s">
        <v>2105</v>
      </c>
      <c r="E444" s="0" t="s">
        <v>2045</v>
      </c>
      <c r="F444" s="0" t="s">
        <v>2046</v>
      </c>
      <c r="G444" s="0" t="s">
        <v>2125</v>
      </c>
      <c r="H444" s="0" t="s">
        <v>2126</v>
      </c>
      <c r="J444" s="0" t="s">
        <v>2108</v>
      </c>
      <c r="K444" s="272" t="n">
        <v>14070.05</v>
      </c>
    </row>
    <row r="445" customFormat="false" ht="15" hidden="false" customHeight="false" outlineLevel="0" collapsed="false">
      <c r="A445" s="0" t="s">
        <v>2041</v>
      </c>
      <c r="B445" s="0" t="s">
        <v>2042</v>
      </c>
      <c r="C445" s="0" t="s">
        <v>2104</v>
      </c>
      <c r="D445" s="0" t="s">
        <v>2105</v>
      </c>
      <c r="E445" s="0" t="s">
        <v>2045</v>
      </c>
      <c r="F445" s="0" t="s">
        <v>2046</v>
      </c>
      <c r="G445" s="0" t="s">
        <v>2127</v>
      </c>
      <c r="H445" s="0" t="s">
        <v>2128</v>
      </c>
      <c r="J445" s="0" t="s">
        <v>2108</v>
      </c>
      <c r="K445" s="272" t="n">
        <v>923436.67</v>
      </c>
    </row>
    <row r="446" customFormat="false" ht="15" hidden="false" customHeight="false" outlineLevel="0" collapsed="false">
      <c r="A446" s="0" t="s">
        <v>2041</v>
      </c>
      <c r="B446" s="0" t="s">
        <v>2042</v>
      </c>
      <c r="C446" s="0" t="s">
        <v>2109</v>
      </c>
      <c r="D446" s="0" t="s">
        <v>2105</v>
      </c>
      <c r="E446" s="0" t="s">
        <v>2045</v>
      </c>
      <c r="F446" s="0" t="s">
        <v>2046</v>
      </c>
      <c r="G446" s="0" t="s">
        <v>2127</v>
      </c>
      <c r="H446" s="0" t="s">
        <v>2128</v>
      </c>
      <c r="J446" s="0" t="s">
        <v>2108</v>
      </c>
      <c r="K446" s="272" t="n">
        <v>162493.43</v>
      </c>
    </row>
    <row r="447" customFormat="false" ht="15" hidden="false" customHeight="false" outlineLevel="0" collapsed="false">
      <c r="A447" s="0" t="s">
        <v>2041</v>
      </c>
      <c r="B447" s="0" t="s">
        <v>2042</v>
      </c>
      <c r="C447" s="0" t="s">
        <v>2104</v>
      </c>
      <c r="D447" s="0" t="s">
        <v>2105</v>
      </c>
      <c r="E447" s="0" t="s">
        <v>2045</v>
      </c>
      <c r="F447" s="0" t="s">
        <v>2046</v>
      </c>
      <c r="G447" s="0" t="s">
        <v>2127</v>
      </c>
      <c r="H447" s="0" t="s">
        <v>2128</v>
      </c>
      <c r="I447" s="0" t="s">
        <v>2124</v>
      </c>
      <c r="J447" s="0" t="s">
        <v>2108</v>
      </c>
      <c r="K447" s="272" t="n">
        <v>89284.11</v>
      </c>
    </row>
    <row r="448" customFormat="false" ht="15" hidden="false" customHeight="false" outlineLevel="0" collapsed="false">
      <c r="A448" s="0" t="s">
        <v>2041</v>
      </c>
      <c r="B448" s="0" t="s">
        <v>2042</v>
      </c>
      <c r="C448" s="0" t="s">
        <v>2109</v>
      </c>
      <c r="D448" s="0" t="s">
        <v>2105</v>
      </c>
      <c r="E448" s="0" t="s">
        <v>2045</v>
      </c>
      <c r="F448" s="0" t="s">
        <v>2046</v>
      </c>
      <c r="G448" s="0" t="s">
        <v>2127</v>
      </c>
      <c r="H448" s="0" t="s">
        <v>2128</v>
      </c>
      <c r="I448" s="0" t="s">
        <v>2124</v>
      </c>
      <c r="J448" s="0" t="s">
        <v>2108</v>
      </c>
      <c r="K448" s="272" t="n">
        <v>23949.82</v>
      </c>
    </row>
    <row r="449" customFormat="false" ht="15" hidden="false" customHeight="false" outlineLevel="0" collapsed="false">
      <c r="A449" s="0" t="s">
        <v>2041</v>
      </c>
      <c r="B449" s="0" t="s">
        <v>2042</v>
      </c>
      <c r="C449" s="0" t="s">
        <v>2104</v>
      </c>
      <c r="D449" s="0" t="s">
        <v>2105</v>
      </c>
      <c r="E449" s="0" t="s">
        <v>2045</v>
      </c>
      <c r="F449" s="0" t="s">
        <v>2046</v>
      </c>
      <c r="G449" s="0" t="s">
        <v>2129</v>
      </c>
      <c r="H449" s="0" t="s">
        <v>2130</v>
      </c>
      <c r="J449" s="0" t="s">
        <v>2108</v>
      </c>
      <c r="K449" s="272" t="n">
        <v>151581.5</v>
      </c>
    </row>
    <row r="450" customFormat="false" ht="15" hidden="false" customHeight="false" outlineLevel="0" collapsed="false">
      <c r="A450" s="0" t="s">
        <v>2041</v>
      </c>
      <c r="B450" s="0" t="s">
        <v>2042</v>
      </c>
      <c r="C450" s="0" t="s">
        <v>2109</v>
      </c>
      <c r="D450" s="0" t="s">
        <v>2105</v>
      </c>
      <c r="E450" s="0" t="s">
        <v>2045</v>
      </c>
      <c r="F450" s="0" t="s">
        <v>2046</v>
      </c>
      <c r="G450" s="0" t="s">
        <v>2129</v>
      </c>
      <c r="H450" s="0" t="s">
        <v>2130</v>
      </c>
      <c r="J450" s="0" t="s">
        <v>2108</v>
      </c>
      <c r="K450" s="272" t="n">
        <v>26673.18</v>
      </c>
    </row>
    <row r="451" customFormat="false" ht="15" hidden="false" customHeight="false" outlineLevel="0" collapsed="false">
      <c r="A451" s="0" t="s">
        <v>2041</v>
      </c>
      <c r="B451" s="0" t="s">
        <v>2042</v>
      </c>
      <c r="C451" s="0" t="s">
        <v>2104</v>
      </c>
      <c r="D451" s="0" t="s">
        <v>2105</v>
      </c>
      <c r="E451" s="0" t="s">
        <v>2045</v>
      </c>
      <c r="F451" s="0" t="s">
        <v>2046</v>
      </c>
      <c r="G451" s="0" t="s">
        <v>2129</v>
      </c>
      <c r="H451" s="0" t="s">
        <v>2130</v>
      </c>
      <c r="I451" s="0" t="s">
        <v>2124</v>
      </c>
      <c r="J451" s="0" t="s">
        <v>2108</v>
      </c>
      <c r="K451" s="272" t="n">
        <v>168538.97</v>
      </c>
    </row>
    <row r="452" customFormat="false" ht="15" hidden="false" customHeight="false" outlineLevel="0" collapsed="false">
      <c r="A452" s="0" t="s">
        <v>2041</v>
      </c>
      <c r="B452" s="0" t="s">
        <v>2042</v>
      </c>
      <c r="C452" s="0" t="s">
        <v>2109</v>
      </c>
      <c r="D452" s="0" t="s">
        <v>2105</v>
      </c>
      <c r="E452" s="0" t="s">
        <v>2045</v>
      </c>
      <c r="F452" s="0" t="s">
        <v>2046</v>
      </c>
      <c r="G452" s="0" t="s">
        <v>2129</v>
      </c>
      <c r="H452" s="0" t="s">
        <v>2130</v>
      </c>
      <c r="I452" s="0" t="s">
        <v>2124</v>
      </c>
      <c r="J452" s="0" t="s">
        <v>2108</v>
      </c>
      <c r="K452" s="272" t="n">
        <v>29657.13</v>
      </c>
    </row>
    <row r="453" customFormat="false" ht="15" hidden="false" customHeight="false" outlineLevel="0" collapsed="false">
      <c r="A453" s="0" t="s">
        <v>2041</v>
      </c>
      <c r="B453" s="0" t="s">
        <v>2042</v>
      </c>
      <c r="C453" s="0" t="s">
        <v>2104</v>
      </c>
      <c r="D453" s="0" t="s">
        <v>2105</v>
      </c>
      <c r="E453" s="0" t="s">
        <v>2045</v>
      </c>
      <c r="F453" s="0" t="s">
        <v>2046</v>
      </c>
      <c r="G453" s="0" t="s">
        <v>2131</v>
      </c>
      <c r="H453" s="0" t="s">
        <v>2132</v>
      </c>
      <c r="J453" s="0" t="s">
        <v>2108</v>
      </c>
      <c r="K453" s="272" t="n">
        <v>69324.5</v>
      </c>
    </row>
    <row r="454" customFormat="false" ht="15" hidden="false" customHeight="false" outlineLevel="0" collapsed="false">
      <c r="A454" s="0" t="s">
        <v>2041</v>
      </c>
      <c r="B454" s="0" t="s">
        <v>2042</v>
      </c>
      <c r="C454" s="0" t="s">
        <v>2109</v>
      </c>
      <c r="D454" s="0" t="s">
        <v>2105</v>
      </c>
      <c r="E454" s="0" t="s">
        <v>2045</v>
      </c>
      <c r="F454" s="0" t="s">
        <v>2046</v>
      </c>
      <c r="G454" s="0" t="s">
        <v>2131</v>
      </c>
      <c r="H454" s="0" t="s">
        <v>2132</v>
      </c>
      <c r="J454" s="0" t="s">
        <v>2108</v>
      </c>
      <c r="K454" s="272" t="n">
        <v>17646.17</v>
      </c>
    </row>
    <row r="455" customFormat="false" ht="15" hidden="false" customHeight="false" outlineLevel="0" collapsed="false">
      <c r="A455" s="0" t="s">
        <v>2041</v>
      </c>
      <c r="B455" s="0" t="s">
        <v>2042</v>
      </c>
      <c r="C455" s="0" t="s">
        <v>2104</v>
      </c>
      <c r="D455" s="0" t="s">
        <v>2105</v>
      </c>
      <c r="E455" s="0" t="s">
        <v>2045</v>
      </c>
      <c r="F455" s="0" t="s">
        <v>2046</v>
      </c>
      <c r="G455" s="0" t="s">
        <v>2131</v>
      </c>
      <c r="H455" s="0" t="s">
        <v>2132</v>
      </c>
      <c r="I455" s="0" t="s">
        <v>2124</v>
      </c>
      <c r="J455" s="0" t="s">
        <v>2108</v>
      </c>
      <c r="K455" s="272" t="n">
        <v>114459.26</v>
      </c>
    </row>
    <row r="456" customFormat="false" ht="15" hidden="false" customHeight="false" outlineLevel="0" collapsed="false">
      <c r="A456" s="0" t="s">
        <v>2041</v>
      </c>
      <c r="B456" s="0" t="s">
        <v>2042</v>
      </c>
      <c r="C456" s="0" t="s">
        <v>2109</v>
      </c>
      <c r="D456" s="0" t="s">
        <v>2105</v>
      </c>
      <c r="E456" s="0" t="s">
        <v>2045</v>
      </c>
      <c r="F456" s="0" t="s">
        <v>2046</v>
      </c>
      <c r="G456" s="0" t="s">
        <v>2131</v>
      </c>
      <c r="H456" s="0" t="s">
        <v>2132</v>
      </c>
      <c r="I456" s="0" t="s">
        <v>2124</v>
      </c>
      <c r="J456" s="0" t="s">
        <v>2108</v>
      </c>
      <c r="K456" s="272" t="n">
        <v>20140.93</v>
      </c>
    </row>
    <row r="457" customFormat="false" ht="15" hidden="false" customHeight="false" outlineLevel="0" collapsed="false">
      <c r="A457" s="0" t="s">
        <v>2041</v>
      </c>
      <c r="B457" s="0" t="s">
        <v>2042</v>
      </c>
      <c r="C457" s="0" t="s">
        <v>2104</v>
      </c>
      <c r="D457" s="0" t="s">
        <v>2105</v>
      </c>
      <c r="E457" s="0" t="s">
        <v>2045</v>
      </c>
      <c r="F457" s="0" t="s">
        <v>2046</v>
      </c>
      <c r="G457" s="0" t="s">
        <v>2133</v>
      </c>
      <c r="H457" s="0" t="s">
        <v>2134</v>
      </c>
      <c r="J457" s="0" t="s">
        <v>2108</v>
      </c>
      <c r="K457" s="272" t="n">
        <v>382661.21</v>
      </c>
    </row>
    <row r="458" customFormat="false" ht="15" hidden="false" customHeight="false" outlineLevel="0" collapsed="false">
      <c r="A458" s="0" t="s">
        <v>2041</v>
      </c>
      <c r="B458" s="0" t="s">
        <v>2042</v>
      </c>
      <c r="C458" s="0" t="s">
        <v>2109</v>
      </c>
      <c r="D458" s="0" t="s">
        <v>2105</v>
      </c>
      <c r="E458" s="0" t="s">
        <v>2045</v>
      </c>
      <c r="F458" s="0" t="s">
        <v>2046</v>
      </c>
      <c r="G458" s="0" t="s">
        <v>2133</v>
      </c>
      <c r="H458" s="0" t="s">
        <v>2134</v>
      </c>
      <c r="J458" s="0" t="s">
        <v>2108</v>
      </c>
      <c r="K458" s="272" t="n">
        <v>76875.85</v>
      </c>
    </row>
    <row r="459" customFormat="false" ht="15" hidden="false" customHeight="false" outlineLevel="0" collapsed="false">
      <c r="A459" s="0" t="s">
        <v>2041</v>
      </c>
      <c r="B459" s="0" t="s">
        <v>2042</v>
      </c>
      <c r="C459" s="0" t="s">
        <v>2104</v>
      </c>
      <c r="D459" s="0" t="s">
        <v>2105</v>
      </c>
      <c r="E459" s="0" t="s">
        <v>2045</v>
      </c>
      <c r="F459" s="0" t="s">
        <v>2046</v>
      </c>
      <c r="G459" s="0" t="s">
        <v>2135</v>
      </c>
      <c r="H459" s="0" t="s">
        <v>2136</v>
      </c>
      <c r="J459" s="0" t="s">
        <v>2108</v>
      </c>
      <c r="K459" s="272" t="n">
        <v>642023.77</v>
      </c>
    </row>
    <row r="460" customFormat="false" ht="15" hidden="false" customHeight="false" outlineLevel="0" collapsed="false">
      <c r="A460" s="0" t="s">
        <v>2041</v>
      </c>
      <c r="B460" s="0" t="s">
        <v>2042</v>
      </c>
      <c r="C460" s="0" t="s">
        <v>2109</v>
      </c>
      <c r="D460" s="0" t="s">
        <v>2105</v>
      </c>
      <c r="E460" s="0" t="s">
        <v>2045</v>
      </c>
      <c r="F460" s="0" t="s">
        <v>2046</v>
      </c>
      <c r="G460" s="0" t="s">
        <v>2135</v>
      </c>
      <c r="H460" s="0" t="s">
        <v>2136</v>
      </c>
      <c r="J460" s="0" t="s">
        <v>2108</v>
      </c>
      <c r="K460" s="272" t="n">
        <v>112974.36</v>
      </c>
    </row>
    <row r="461" customFormat="false" ht="15" hidden="false" customHeight="false" outlineLevel="0" collapsed="false">
      <c r="A461" s="0" t="s">
        <v>2041</v>
      </c>
      <c r="B461" s="0" t="s">
        <v>2042</v>
      </c>
      <c r="C461" s="0" t="s">
        <v>2104</v>
      </c>
      <c r="D461" s="0" t="s">
        <v>2105</v>
      </c>
      <c r="E461" s="0" t="s">
        <v>2045</v>
      </c>
      <c r="F461" s="0" t="s">
        <v>2046</v>
      </c>
      <c r="G461" s="0" t="s">
        <v>2135</v>
      </c>
      <c r="H461" s="0" t="s">
        <v>2136</v>
      </c>
      <c r="I461" s="0" t="s">
        <v>2124</v>
      </c>
      <c r="J461" s="0" t="s">
        <v>2108</v>
      </c>
      <c r="K461" s="272" t="n">
        <v>67837.17</v>
      </c>
    </row>
    <row r="462" customFormat="false" ht="15" hidden="false" customHeight="false" outlineLevel="0" collapsed="false">
      <c r="A462" s="0" t="s">
        <v>2041</v>
      </c>
      <c r="B462" s="0" t="s">
        <v>2042</v>
      </c>
      <c r="C462" s="0" t="s">
        <v>2109</v>
      </c>
      <c r="D462" s="0" t="s">
        <v>2105</v>
      </c>
      <c r="E462" s="0" t="s">
        <v>2045</v>
      </c>
      <c r="F462" s="0" t="s">
        <v>2046</v>
      </c>
      <c r="G462" s="0" t="s">
        <v>2135</v>
      </c>
      <c r="H462" s="0" t="s">
        <v>2136</v>
      </c>
      <c r="I462" s="0" t="s">
        <v>2124</v>
      </c>
      <c r="J462" s="0" t="s">
        <v>2108</v>
      </c>
      <c r="K462" s="272" t="n">
        <v>11937.03</v>
      </c>
    </row>
    <row r="463" customFormat="false" ht="15" hidden="false" customHeight="false" outlineLevel="0" collapsed="false">
      <c r="A463" s="0" t="s">
        <v>2041</v>
      </c>
      <c r="B463" s="0" t="s">
        <v>2042</v>
      </c>
      <c r="C463" s="0" t="s">
        <v>2104</v>
      </c>
      <c r="D463" s="0" t="s">
        <v>2105</v>
      </c>
      <c r="E463" s="0" t="s">
        <v>2045</v>
      </c>
      <c r="F463" s="0" t="s">
        <v>2046</v>
      </c>
      <c r="G463" s="0" t="s">
        <v>2137</v>
      </c>
      <c r="H463" s="0" t="s">
        <v>2138</v>
      </c>
      <c r="J463" s="0" t="s">
        <v>2108</v>
      </c>
      <c r="K463" s="272" t="n">
        <v>1822933.4</v>
      </c>
    </row>
    <row r="464" customFormat="false" ht="15" hidden="false" customHeight="false" outlineLevel="0" collapsed="false">
      <c r="A464" s="0" t="s">
        <v>2041</v>
      </c>
      <c r="B464" s="0" t="s">
        <v>2042</v>
      </c>
      <c r="C464" s="0" t="s">
        <v>2109</v>
      </c>
      <c r="D464" s="0" t="s">
        <v>2105</v>
      </c>
      <c r="E464" s="0" t="s">
        <v>2045</v>
      </c>
      <c r="F464" s="0" t="s">
        <v>2046</v>
      </c>
      <c r="G464" s="0" t="s">
        <v>2137</v>
      </c>
      <c r="H464" s="0" t="s">
        <v>2138</v>
      </c>
      <c r="J464" s="0" t="s">
        <v>2108</v>
      </c>
      <c r="K464" s="272" t="n">
        <v>340215.75</v>
      </c>
    </row>
    <row r="465" customFormat="false" ht="15" hidden="false" customHeight="false" outlineLevel="0" collapsed="false">
      <c r="A465" s="0" t="s">
        <v>2041</v>
      </c>
      <c r="B465" s="0" t="s">
        <v>2042</v>
      </c>
      <c r="C465" s="0" t="s">
        <v>2104</v>
      </c>
      <c r="D465" s="0" t="s">
        <v>2105</v>
      </c>
      <c r="E465" s="0" t="s">
        <v>2045</v>
      </c>
      <c r="F465" s="0" t="s">
        <v>2046</v>
      </c>
      <c r="G465" s="0" t="s">
        <v>2139</v>
      </c>
      <c r="H465" s="0" t="s">
        <v>2140</v>
      </c>
      <c r="J465" s="0" t="s">
        <v>2108</v>
      </c>
      <c r="K465" s="272" t="n">
        <v>18160.31</v>
      </c>
    </row>
    <row r="466" customFormat="false" ht="15" hidden="false" customHeight="false" outlineLevel="0" collapsed="false">
      <c r="A466" s="0" t="s">
        <v>2041</v>
      </c>
      <c r="B466" s="0" t="s">
        <v>2042</v>
      </c>
      <c r="C466" s="0" t="s">
        <v>2109</v>
      </c>
      <c r="D466" s="0" t="s">
        <v>2105</v>
      </c>
      <c r="E466" s="0" t="s">
        <v>2045</v>
      </c>
      <c r="F466" s="0" t="s">
        <v>2046</v>
      </c>
      <c r="G466" s="0" t="s">
        <v>2139</v>
      </c>
      <c r="H466" s="0" t="s">
        <v>2140</v>
      </c>
      <c r="J466" s="0" t="s">
        <v>2108</v>
      </c>
      <c r="K466" s="272" t="n">
        <v>3195.6</v>
      </c>
    </row>
    <row r="467" customFormat="false" ht="15" hidden="false" customHeight="false" outlineLevel="0" collapsed="false">
      <c r="A467" s="0" t="s">
        <v>2041</v>
      </c>
      <c r="B467" s="0" t="s">
        <v>2042</v>
      </c>
      <c r="C467" s="0" t="s">
        <v>2104</v>
      </c>
      <c r="D467" s="0" t="s">
        <v>2105</v>
      </c>
      <c r="E467" s="0" t="s">
        <v>2045</v>
      </c>
      <c r="F467" s="0" t="s">
        <v>2046</v>
      </c>
      <c r="G467" s="0" t="s">
        <v>2141</v>
      </c>
      <c r="H467" s="0" t="s">
        <v>2142</v>
      </c>
      <c r="J467" s="0" t="s">
        <v>2108</v>
      </c>
      <c r="K467" s="272" t="n">
        <v>280908.54</v>
      </c>
    </row>
    <row r="468" customFormat="false" ht="15" hidden="false" customHeight="false" outlineLevel="0" collapsed="false">
      <c r="A468" s="0" t="s">
        <v>2041</v>
      </c>
      <c r="B468" s="0" t="s">
        <v>2042</v>
      </c>
      <c r="C468" s="0" t="s">
        <v>2109</v>
      </c>
      <c r="D468" s="0" t="s">
        <v>2105</v>
      </c>
      <c r="E468" s="0" t="s">
        <v>2045</v>
      </c>
      <c r="F468" s="0" t="s">
        <v>2046</v>
      </c>
      <c r="G468" s="0" t="s">
        <v>2141</v>
      </c>
      <c r="H468" s="0" t="s">
        <v>2142</v>
      </c>
      <c r="J468" s="0" t="s">
        <v>2108</v>
      </c>
      <c r="K468" s="272" t="n">
        <v>49430.35</v>
      </c>
    </row>
    <row r="469" customFormat="false" ht="15" hidden="false" customHeight="false" outlineLevel="0" collapsed="false">
      <c r="A469" s="0" t="s">
        <v>2041</v>
      </c>
      <c r="B469" s="0" t="s">
        <v>2042</v>
      </c>
      <c r="C469" s="0" t="s">
        <v>2104</v>
      </c>
      <c r="D469" s="0" t="s">
        <v>2105</v>
      </c>
      <c r="E469" s="0" t="s">
        <v>2045</v>
      </c>
      <c r="F469" s="0" t="s">
        <v>2046</v>
      </c>
      <c r="G469" s="0" t="s">
        <v>2143</v>
      </c>
      <c r="H469" s="0" t="s">
        <v>2144</v>
      </c>
      <c r="J469" s="0" t="s">
        <v>2108</v>
      </c>
      <c r="K469" s="272" t="n">
        <v>571085.72</v>
      </c>
    </row>
    <row r="470" customFormat="false" ht="15" hidden="false" customHeight="false" outlineLevel="0" collapsed="false">
      <c r="A470" s="0" t="s">
        <v>2041</v>
      </c>
      <c r="B470" s="0" t="s">
        <v>2042</v>
      </c>
      <c r="C470" s="0" t="s">
        <v>2109</v>
      </c>
      <c r="D470" s="0" t="s">
        <v>2105</v>
      </c>
      <c r="E470" s="0" t="s">
        <v>2045</v>
      </c>
      <c r="F470" s="0" t="s">
        <v>2046</v>
      </c>
      <c r="G470" s="0" t="s">
        <v>2143</v>
      </c>
      <c r="H470" s="0" t="s">
        <v>2144</v>
      </c>
      <c r="J470" s="0" t="s">
        <v>2108</v>
      </c>
      <c r="K470" s="272" t="n">
        <v>100491.65</v>
      </c>
    </row>
    <row r="471" customFormat="false" ht="15" hidden="false" customHeight="false" outlineLevel="0" collapsed="false">
      <c r="A471" s="0" t="s">
        <v>2041</v>
      </c>
      <c r="B471" s="0" t="s">
        <v>2042</v>
      </c>
      <c r="C471" s="0" t="s">
        <v>2104</v>
      </c>
      <c r="D471" s="0" t="s">
        <v>2105</v>
      </c>
      <c r="E471" s="0" t="s">
        <v>2045</v>
      </c>
      <c r="F471" s="0" t="s">
        <v>2046</v>
      </c>
      <c r="G471" s="0" t="s">
        <v>2145</v>
      </c>
      <c r="H471" s="0" t="s">
        <v>2146</v>
      </c>
      <c r="J471" s="0" t="s">
        <v>2108</v>
      </c>
      <c r="K471" s="272" t="n">
        <v>102453.42</v>
      </c>
    </row>
    <row r="472" customFormat="false" ht="15" hidden="false" customHeight="false" outlineLevel="0" collapsed="false">
      <c r="A472" s="0" t="s">
        <v>2041</v>
      </c>
      <c r="B472" s="0" t="s">
        <v>2042</v>
      </c>
      <c r="C472" s="0" t="s">
        <v>2109</v>
      </c>
      <c r="D472" s="0" t="s">
        <v>2105</v>
      </c>
      <c r="E472" s="0" t="s">
        <v>2045</v>
      </c>
      <c r="F472" s="0" t="s">
        <v>2046</v>
      </c>
      <c r="G472" s="0" t="s">
        <v>2145</v>
      </c>
      <c r="H472" s="0" t="s">
        <v>2146</v>
      </c>
      <c r="J472" s="0" t="s">
        <v>2108</v>
      </c>
      <c r="K472" s="272" t="n">
        <v>18028.31</v>
      </c>
    </row>
    <row r="473" customFormat="false" ht="15" hidden="false" customHeight="false" outlineLevel="0" collapsed="false">
      <c r="A473" s="0" t="s">
        <v>2041</v>
      </c>
      <c r="B473" s="0" t="s">
        <v>2042</v>
      </c>
      <c r="C473" s="0" t="s">
        <v>2104</v>
      </c>
      <c r="D473" s="0" t="s">
        <v>2105</v>
      </c>
      <c r="E473" s="0" t="s">
        <v>2045</v>
      </c>
      <c r="F473" s="0" t="s">
        <v>2046</v>
      </c>
      <c r="G473" s="0" t="s">
        <v>2145</v>
      </c>
      <c r="H473" s="0" t="s">
        <v>2146</v>
      </c>
      <c r="I473" s="0" t="s">
        <v>2124</v>
      </c>
      <c r="J473" s="0" t="s">
        <v>2108</v>
      </c>
      <c r="K473" s="272" t="n">
        <v>5653.97</v>
      </c>
    </row>
    <row r="474" customFormat="false" ht="15" hidden="false" customHeight="false" outlineLevel="0" collapsed="false">
      <c r="A474" s="0" t="s">
        <v>2041</v>
      </c>
      <c r="B474" s="0" t="s">
        <v>2042</v>
      </c>
      <c r="C474" s="0" t="s">
        <v>2109</v>
      </c>
      <c r="D474" s="0" t="s">
        <v>2105</v>
      </c>
      <c r="E474" s="0" t="s">
        <v>2045</v>
      </c>
      <c r="F474" s="0" t="s">
        <v>2046</v>
      </c>
      <c r="G474" s="0" t="s">
        <v>2145</v>
      </c>
      <c r="H474" s="0" t="s">
        <v>2146</v>
      </c>
      <c r="I474" s="0" t="s">
        <v>2124</v>
      </c>
      <c r="J474" s="0" t="s">
        <v>2108</v>
      </c>
      <c r="K474" s="272" t="n">
        <v>994.9</v>
      </c>
    </row>
    <row r="475" customFormat="false" ht="15" hidden="false" customHeight="false" outlineLevel="0" collapsed="false">
      <c r="A475" s="0" t="s">
        <v>2041</v>
      </c>
      <c r="B475" s="0" t="s">
        <v>2042</v>
      </c>
      <c r="C475" s="0" t="s">
        <v>2104</v>
      </c>
      <c r="D475" s="0" t="s">
        <v>2105</v>
      </c>
      <c r="E475" s="0" t="s">
        <v>2045</v>
      </c>
      <c r="F475" s="0" t="s">
        <v>2046</v>
      </c>
      <c r="G475" s="0" t="s">
        <v>2147</v>
      </c>
      <c r="H475" s="0" t="s">
        <v>2126</v>
      </c>
      <c r="I475" s="0" t="s">
        <v>2124</v>
      </c>
      <c r="J475" s="0" t="s">
        <v>2108</v>
      </c>
      <c r="K475" s="272" t="n">
        <v>14233.76</v>
      </c>
    </row>
    <row r="476" customFormat="false" ht="15" hidden="false" customHeight="false" outlineLevel="0" collapsed="false">
      <c r="A476" s="0" t="s">
        <v>2041</v>
      </c>
      <c r="B476" s="0" t="s">
        <v>2042</v>
      </c>
      <c r="C476" s="0" t="s">
        <v>2109</v>
      </c>
      <c r="D476" s="0" t="s">
        <v>2105</v>
      </c>
      <c r="E476" s="0" t="s">
        <v>2045</v>
      </c>
      <c r="F476" s="0" t="s">
        <v>2046</v>
      </c>
      <c r="G476" s="0" t="s">
        <v>2147</v>
      </c>
      <c r="H476" s="0" t="s">
        <v>2126</v>
      </c>
      <c r="I476" s="0" t="s">
        <v>2124</v>
      </c>
      <c r="J476" s="0" t="s">
        <v>2108</v>
      </c>
      <c r="K476" s="272" t="n">
        <v>2504.66</v>
      </c>
    </row>
    <row r="477" customFormat="false" ht="15" hidden="false" customHeight="false" outlineLevel="0" collapsed="false">
      <c r="A477" s="0" t="s">
        <v>2041</v>
      </c>
      <c r="B477" s="0" t="s">
        <v>2042</v>
      </c>
      <c r="C477" s="0" t="s">
        <v>2104</v>
      </c>
      <c r="D477" s="0" t="s">
        <v>2105</v>
      </c>
      <c r="E477" s="0" t="s">
        <v>2045</v>
      </c>
      <c r="F477" s="0" t="s">
        <v>2046</v>
      </c>
      <c r="G477" s="0" t="s">
        <v>2148</v>
      </c>
      <c r="H477" s="0" t="s">
        <v>2149</v>
      </c>
      <c r="J477" s="0" t="s">
        <v>2108</v>
      </c>
      <c r="K477" s="272" t="n">
        <v>175386.61</v>
      </c>
    </row>
    <row r="478" customFormat="false" ht="15" hidden="false" customHeight="false" outlineLevel="0" collapsed="false">
      <c r="A478" s="0" t="s">
        <v>2041</v>
      </c>
      <c r="B478" s="0" t="s">
        <v>2042</v>
      </c>
      <c r="C478" s="0" t="s">
        <v>2109</v>
      </c>
      <c r="D478" s="0" t="s">
        <v>2105</v>
      </c>
      <c r="E478" s="0" t="s">
        <v>2045</v>
      </c>
      <c r="F478" s="0" t="s">
        <v>2046</v>
      </c>
      <c r="G478" s="0" t="s">
        <v>2148</v>
      </c>
      <c r="H478" s="0" t="s">
        <v>2149</v>
      </c>
      <c r="J478" s="0" t="s">
        <v>2108</v>
      </c>
      <c r="K478" s="272" t="n">
        <v>35912.23</v>
      </c>
    </row>
    <row r="479" customFormat="false" ht="15" hidden="false" customHeight="false" outlineLevel="0" collapsed="false">
      <c r="A479" s="0" t="s">
        <v>2041</v>
      </c>
      <c r="B479" s="0" t="s">
        <v>2042</v>
      </c>
      <c r="C479" s="0" t="s">
        <v>2104</v>
      </c>
      <c r="D479" s="0" t="s">
        <v>2105</v>
      </c>
      <c r="E479" s="0" t="s">
        <v>2045</v>
      </c>
      <c r="F479" s="0" t="s">
        <v>2150</v>
      </c>
      <c r="G479" s="0" t="s">
        <v>2151</v>
      </c>
      <c r="H479" s="0" t="s">
        <v>2152</v>
      </c>
      <c r="J479" s="0" t="s">
        <v>2108</v>
      </c>
      <c r="K479" s="272" t="n">
        <v>122704.83</v>
      </c>
    </row>
    <row r="480" customFormat="false" ht="15" hidden="false" customHeight="false" outlineLevel="0" collapsed="false">
      <c r="A480" s="0" t="s">
        <v>2041</v>
      </c>
      <c r="B480" s="0" t="s">
        <v>2042</v>
      </c>
      <c r="C480" s="0" t="s">
        <v>2109</v>
      </c>
      <c r="D480" s="0" t="s">
        <v>2105</v>
      </c>
      <c r="E480" s="0" t="s">
        <v>2045</v>
      </c>
      <c r="F480" s="0" t="s">
        <v>2150</v>
      </c>
      <c r="G480" s="0" t="s">
        <v>2151</v>
      </c>
      <c r="H480" s="0" t="s">
        <v>2152</v>
      </c>
      <c r="J480" s="0" t="s">
        <v>2108</v>
      </c>
      <c r="K480" s="272" t="n">
        <v>46988.15</v>
      </c>
    </row>
    <row r="481" customFormat="false" ht="15" hidden="false" customHeight="false" outlineLevel="0" collapsed="false">
      <c r="A481" s="0" t="s">
        <v>2041</v>
      </c>
      <c r="B481" s="0" t="s">
        <v>2042</v>
      </c>
      <c r="C481" s="0" t="s">
        <v>2104</v>
      </c>
      <c r="D481" s="0" t="s">
        <v>2105</v>
      </c>
      <c r="E481" s="0" t="s">
        <v>2045</v>
      </c>
      <c r="F481" s="0" t="s">
        <v>2150</v>
      </c>
      <c r="G481" s="0" t="s">
        <v>2151</v>
      </c>
      <c r="H481" s="0" t="s">
        <v>2153</v>
      </c>
      <c r="J481" s="0" t="s">
        <v>2108</v>
      </c>
      <c r="K481" s="272" t="n">
        <v>130141.47</v>
      </c>
    </row>
    <row r="482" customFormat="false" ht="15" hidden="false" customHeight="false" outlineLevel="0" collapsed="false">
      <c r="A482" s="0" t="s">
        <v>2041</v>
      </c>
      <c r="B482" s="0" t="s">
        <v>2042</v>
      </c>
      <c r="C482" s="0" t="s">
        <v>2109</v>
      </c>
      <c r="D482" s="0" t="s">
        <v>2105</v>
      </c>
      <c r="E482" s="0" t="s">
        <v>2045</v>
      </c>
      <c r="F482" s="0" t="s">
        <v>2150</v>
      </c>
      <c r="G482" s="0" t="s">
        <v>2151</v>
      </c>
      <c r="H482" s="0" t="s">
        <v>2153</v>
      </c>
      <c r="J482" s="0" t="s">
        <v>2108</v>
      </c>
      <c r="K482" s="272" t="n">
        <v>22900.49</v>
      </c>
    </row>
    <row r="483" customFormat="false" ht="15" hidden="false" customHeight="false" outlineLevel="0" collapsed="false">
      <c r="A483" s="0" t="s">
        <v>2041</v>
      </c>
      <c r="B483" s="0" t="s">
        <v>2042</v>
      </c>
      <c r="C483" s="0" t="s">
        <v>2104</v>
      </c>
      <c r="D483" s="0" t="s">
        <v>2105</v>
      </c>
      <c r="E483" s="0" t="s">
        <v>2045</v>
      </c>
      <c r="F483" s="0" t="s">
        <v>2150</v>
      </c>
      <c r="G483" s="0" t="s">
        <v>2151</v>
      </c>
      <c r="H483" s="0" t="s">
        <v>2154</v>
      </c>
      <c r="J483" s="0" t="s">
        <v>2108</v>
      </c>
      <c r="K483" s="272" t="n">
        <v>130141.48</v>
      </c>
    </row>
    <row r="484" customFormat="false" ht="15" hidden="false" customHeight="false" outlineLevel="0" collapsed="false">
      <c r="A484" s="0" t="s">
        <v>2041</v>
      </c>
      <c r="B484" s="0" t="s">
        <v>2042</v>
      </c>
      <c r="C484" s="0" t="s">
        <v>2109</v>
      </c>
      <c r="D484" s="0" t="s">
        <v>2105</v>
      </c>
      <c r="E484" s="0" t="s">
        <v>2045</v>
      </c>
      <c r="F484" s="0" t="s">
        <v>2150</v>
      </c>
      <c r="G484" s="0" t="s">
        <v>2151</v>
      </c>
      <c r="H484" s="0" t="s">
        <v>2154</v>
      </c>
      <c r="J484" s="0" t="s">
        <v>2108</v>
      </c>
      <c r="K484" s="272" t="n">
        <v>22900.48</v>
      </c>
    </row>
    <row r="485" customFormat="false" ht="15" hidden="false" customHeight="false" outlineLevel="0" collapsed="false">
      <c r="A485" s="0" t="s">
        <v>2041</v>
      </c>
      <c r="B485" s="0" t="s">
        <v>2042</v>
      </c>
      <c r="C485" s="0" t="s">
        <v>2104</v>
      </c>
      <c r="D485" s="0" t="s">
        <v>2105</v>
      </c>
      <c r="E485" s="0" t="s">
        <v>2045</v>
      </c>
      <c r="F485" s="0" t="s">
        <v>2150</v>
      </c>
      <c r="G485" s="0" t="s">
        <v>2155</v>
      </c>
      <c r="H485" s="0" t="s">
        <v>2154</v>
      </c>
      <c r="J485" s="0" t="s">
        <v>2108</v>
      </c>
      <c r="K485" s="272" t="n">
        <v>266790.02</v>
      </c>
    </row>
    <row r="486" customFormat="false" ht="15" hidden="false" customHeight="false" outlineLevel="0" collapsed="false">
      <c r="A486" s="0" t="s">
        <v>2041</v>
      </c>
      <c r="B486" s="0" t="s">
        <v>2042</v>
      </c>
      <c r="C486" s="0" t="s">
        <v>2109</v>
      </c>
      <c r="D486" s="0" t="s">
        <v>2105</v>
      </c>
      <c r="E486" s="0" t="s">
        <v>2045</v>
      </c>
      <c r="F486" s="0" t="s">
        <v>2150</v>
      </c>
      <c r="G486" s="0" t="s">
        <v>2155</v>
      </c>
      <c r="H486" s="0" t="s">
        <v>2154</v>
      </c>
      <c r="J486" s="0" t="s">
        <v>2108</v>
      </c>
      <c r="K486" s="272" t="n">
        <v>46945.99</v>
      </c>
    </row>
    <row r="487" customFormat="false" ht="15" hidden="false" customHeight="false" outlineLevel="0" collapsed="false">
      <c r="A487" s="0" t="s">
        <v>2041</v>
      </c>
      <c r="B487" s="0" t="s">
        <v>2042</v>
      </c>
      <c r="C487" s="0" t="s">
        <v>2104</v>
      </c>
      <c r="D487" s="0" t="s">
        <v>2044</v>
      </c>
      <c r="E487" s="0" t="s">
        <v>2045</v>
      </c>
      <c r="F487" s="0" t="s">
        <v>2046</v>
      </c>
      <c r="G487" s="0" t="s">
        <v>2053</v>
      </c>
      <c r="H487" s="0" t="s">
        <v>2048</v>
      </c>
      <c r="J487" s="0" t="s">
        <v>2108</v>
      </c>
      <c r="K487" s="272" t="n">
        <v>23565.62</v>
      </c>
    </row>
    <row r="488" customFormat="false" ht="15" hidden="false" customHeight="false" outlineLevel="0" collapsed="false">
      <c r="A488" s="0" t="s">
        <v>2041</v>
      </c>
      <c r="B488" s="0" t="s">
        <v>2042</v>
      </c>
      <c r="C488" s="0" t="s">
        <v>2109</v>
      </c>
      <c r="D488" s="0" t="s">
        <v>2044</v>
      </c>
      <c r="E488" s="0" t="s">
        <v>2045</v>
      </c>
      <c r="F488" s="0" t="s">
        <v>2046</v>
      </c>
      <c r="G488" s="0" t="s">
        <v>2053</v>
      </c>
      <c r="H488" s="0" t="s">
        <v>2048</v>
      </c>
      <c r="J488" s="0" t="s">
        <v>2108</v>
      </c>
      <c r="K488" s="272" t="n">
        <v>11316.45</v>
      </c>
    </row>
    <row r="489" customFormat="false" ht="15" hidden="false" customHeight="false" outlineLevel="0" collapsed="false">
      <c r="A489" s="0" t="s">
        <v>2041</v>
      </c>
      <c r="B489" s="0" t="s">
        <v>2042</v>
      </c>
      <c r="C489" s="0" t="s">
        <v>2104</v>
      </c>
      <c r="D489" s="0" t="s">
        <v>2044</v>
      </c>
      <c r="E489" s="0" t="s">
        <v>2045</v>
      </c>
      <c r="F489" s="0" t="s">
        <v>2046</v>
      </c>
      <c r="G489" s="0" t="s">
        <v>2057</v>
      </c>
      <c r="H489" s="0" t="s">
        <v>2048</v>
      </c>
      <c r="J489" s="0" t="s">
        <v>2108</v>
      </c>
      <c r="K489" s="272" t="n">
        <v>22681.8</v>
      </c>
    </row>
    <row r="490" customFormat="false" ht="15" hidden="false" customHeight="false" outlineLevel="0" collapsed="false">
      <c r="A490" s="0" t="s">
        <v>2041</v>
      </c>
      <c r="B490" s="0" t="s">
        <v>2042</v>
      </c>
      <c r="C490" s="0" t="s">
        <v>2109</v>
      </c>
      <c r="D490" s="0" t="s">
        <v>2044</v>
      </c>
      <c r="E490" s="0" t="s">
        <v>2045</v>
      </c>
      <c r="F490" s="0" t="s">
        <v>2046</v>
      </c>
      <c r="G490" s="0" t="s">
        <v>2057</v>
      </c>
      <c r="H490" s="0" t="s">
        <v>2048</v>
      </c>
      <c r="J490" s="0" t="s">
        <v>2108</v>
      </c>
      <c r="K490" s="272" t="n">
        <v>6849.905</v>
      </c>
    </row>
    <row r="491" customFormat="false" ht="15" hidden="false" customHeight="false" outlineLevel="0" collapsed="false">
      <c r="A491" s="0" t="s">
        <v>2041</v>
      </c>
      <c r="B491" s="0" t="s">
        <v>2042</v>
      </c>
      <c r="C491" s="0" t="s">
        <v>2104</v>
      </c>
      <c r="D491" s="0" t="s">
        <v>2044</v>
      </c>
      <c r="E491" s="0" t="s">
        <v>2045</v>
      </c>
      <c r="F491" s="0" t="s">
        <v>2051</v>
      </c>
      <c r="G491" s="0" t="s">
        <v>2057</v>
      </c>
      <c r="H491" s="0" t="s">
        <v>2052</v>
      </c>
      <c r="J491" s="0" t="s">
        <v>2108</v>
      </c>
      <c r="K491" s="272" t="n">
        <v>22681.8</v>
      </c>
    </row>
    <row r="492" customFormat="false" ht="15" hidden="false" customHeight="false" outlineLevel="0" collapsed="false">
      <c r="A492" s="0" t="s">
        <v>2041</v>
      </c>
      <c r="B492" s="0" t="s">
        <v>2042</v>
      </c>
      <c r="C492" s="0" t="s">
        <v>2109</v>
      </c>
      <c r="D492" s="0" t="s">
        <v>2044</v>
      </c>
      <c r="E492" s="0" t="s">
        <v>2045</v>
      </c>
      <c r="F492" s="0" t="s">
        <v>2051</v>
      </c>
      <c r="G492" s="0" t="s">
        <v>2057</v>
      </c>
      <c r="H492" s="0" t="s">
        <v>2052</v>
      </c>
      <c r="J492" s="0" t="s">
        <v>2108</v>
      </c>
      <c r="K492" s="272" t="n">
        <v>6849.905</v>
      </c>
    </row>
    <row r="493" customFormat="false" ht="15" hidden="false" customHeight="false" outlineLevel="0" collapsed="false">
      <c r="A493" s="0" t="s">
        <v>2041</v>
      </c>
      <c r="B493" s="0" t="s">
        <v>2042</v>
      </c>
      <c r="C493" s="0" t="s">
        <v>2104</v>
      </c>
      <c r="D493" s="0" t="s">
        <v>2044</v>
      </c>
      <c r="E493" s="0" t="s">
        <v>2045</v>
      </c>
      <c r="F493" s="0" t="s">
        <v>2046</v>
      </c>
      <c r="G493" s="0" t="s">
        <v>2060</v>
      </c>
      <c r="H493" s="0" t="s">
        <v>2048</v>
      </c>
      <c r="J493" s="0" t="s">
        <v>2108</v>
      </c>
      <c r="K493" s="272" t="n">
        <v>5240.8422</v>
      </c>
    </row>
    <row r="494" customFormat="false" ht="15" hidden="false" customHeight="false" outlineLevel="0" collapsed="false">
      <c r="A494" s="0" t="s">
        <v>2041</v>
      </c>
      <c r="B494" s="0" t="s">
        <v>2042</v>
      </c>
      <c r="C494" s="0" t="s">
        <v>2109</v>
      </c>
      <c r="D494" s="0" t="s">
        <v>2044</v>
      </c>
      <c r="E494" s="0" t="s">
        <v>2045</v>
      </c>
      <c r="F494" s="0" t="s">
        <v>2046</v>
      </c>
      <c r="G494" s="0" t="s">
        <v>2060</v>
      </c>
      <c r="H494" s="0" t="s">
        <v>2048</v>
      </c>
      <c r="J494" s="0" t="s">
        <v>2108</v>
      </c>
      <c r="K494" s="272" t="n">
        <v>1582.7328</v>
      </c>
    </row>
    <row r="495" customFormat="false" ht="15" hidden="false" customHeight="false" outlineLevel="0" collapsed="false">
      <c r="A495" s="0" t="s">
        <v>2041</v>
      </c>
      <c r="B495" s="0" t="s">
        <v>2042</v>
      </c>
      <c r="C495" s="0" t="s">
        <v>2104</v>
      </c>
      <c r="D495" s="0" t="s">
        <v>2044</v>
      </c>
      <c r="E495" s="0" t="s">
        <v>2045</v>
      </c>
      <c r="F495" s="0" t="s">
        <v>2051</v>
      </c>
      <c r="G495" s="0" t="s">
        <v>2060</v>
      </c>
      <c r="H495" s="0" t="s">
        <v>2052</v>
      </c>
      <c r="J495" s="0" t="s">
        <v>2108</v>
      </c>
      <c r="K495" s="272" t="n">
        <v>52.9378</v>
      </c>
    </row>
    <row r="496" customFormat="false" ht="15" hidden="false" customHeight="false" outlineLevel="0" collapsed="false">
      <c r="A496" s="0" t="s">
        <v>2041</v>
      </c>
      <c r="B496" s="0" t="s">
        <v>2042</v>
      </c>
      <c r="C496" s="0" t="s">
        <v>2109</v>
      </c>
      <c r="D496" s="0" t="s">
        <v>2044</v>
      </c>
      <c r="E496" s="0" t="s">
        <v>2045</v>
      </c>
      <c r="F496" s="0" t="s">
        <v>2051</v>
      </c>
      <c r="G496" s="0" t="s">
        <v>2060</v>
      </c>
      <c r="H496" s="0" t="s">
        <v>2052</v>
      </c>
      <c r="J496" s="0" t="s">
        <v>2108</v>
      </c>
      <c r="K496" s="272" t="n">
        <v>15.9872</v>
      </c>
    </row>
    <row r="497" customFormat="false" ht="15" hidden="false" customHeight="false" outlineLevel="0" collapsed="false">
      <c r="A497" s="0" t="s">
        <v>2041</v>
      </c>
      <c r="B497" s="0" t="s">
        <v>2042</v>
      </c>
      <c r="C497" s="0" t="s">
        <v>2104</v>
      </c>
      <c r="D497" s="0" t="s">
        <v>2044</v>
      </c>
      <c r="E497" s="0" t="s">
        <v>2045</v>
      </c>
      <c r="F497" s="0" t="s">
        <v>2046</v>
      </c>
      <c r="G497" s="0" t="s">
        <v>2064</v>
      </c>
      <c r="H497" s="0" t="s">
        <v>2048</v>
      </c>
      <c r="J497" s="0" t="s">
        <v>2108</v>
      </c>
      <c r="K497" s="272" t="n">
        <v>55328.721</v>
      </c>
    </row>
    <row r="498" customFormat="false" ht="15" hidden="false" customHeight="false" outlineLevel="0" collapsed="false">
      <c r="A498" s="0" t="s">
        <v>2041</v>
      </c>
      <c r="B498" s="0" t="s">
        <v>2042</v>
      </c>
      <c r="C498" s="0" t="s">
        <v>2109</v>
      </c>
      <c r="D498" s="0" t="s">
        <v>2044</v>
      </c>
      <c r="E498" s="0" t="s">
        <v>2045</v>
      </c>
      <c r="F498" s="0" t="s">
        <v>2046</v>
      </c>
      <c r="G498" s="0" t="s">
        <v>2064</v>
      </c>
      <c r="H498" s="0" t="s">
        <v>2048</v>
      </c>
      <c r="J498" s="0" t="s">
        <v>2108</v>
      </c>
      <c r="K498" s="272" t="n">
        <v>13780.297</v>
      </c>
    </row>
    <row r="499" customFormat="false" ht="15" hidden="false" customHeight="false" outlineLevel="0" collapsed="false">
      <c r="A499" s="0" t="s">
        <v>2041</v>
      </c>
      <c r="B499" s="0" t="s">
        <v>2042</v>
      </c>
      <c r="C499" s="0" t="s">
        <v>2104</v>
      </c>
      <c r="D499" s="0" t="s">
        <v>2044</v>
      </c>
      <c r="E499" s="0" t="s">
        <v>2045</v>
      </c>
      <c r="F499" s="0" t="s">
        <v>2051</v>
      </c>
      <c r="G499" s="0" t="s">
        <v>2064</v>
      </c>
      <c r="H499" s="0" t="s">
        <v>2052</v>
      </c>
      <c r="J499" s="0" t="s">
        <v>2108</v>
      </c>
      <c r="K499" s="272" t="n">
        <v>59047.049</v>
      </c>
    </row>
    <row r="500" customFormat="false" ht="15" hidden="false" customHeight="false" outlineLevel="0" collapsed="false">
      <c r="A500" s="0" t="s">
        <v>2041</v>
      </c>
      <c r="B500" s="0" t="s">
        <v>2042</v>
      </c>
      <c r="C500" s="0" t="s">
        <v>2109</v>
      </c>
      <c r="D500" s="0" t="s">
        <v>2044</v>
      </c>
      <c r="E500" s="0" t="s">
        <v>2045</v>
      </c>
      <c r="F500" s="0" t="s">
        <v>2051</v>
      </c>
      <c r="G500" s="0" t="s">
        <v>2064</v>
      </c>
      <c r="H500" s="0" t="s">
        <v>2052</v>
      </c>
      <c r="J500" s="0" t="s">
        <v>2108</v>
      </c>
      <c r="K500" s="272" t="n">
        <v>14903.233</v>
      </c>
    </row>
    <row r="501" customFormat="false" ht="15" hidden="false" customHeight="false" outlineLevel="0" collapsed="false">
      <c r="A501" s="0" t="s">
        <v>2041</v>
      </c>
      <c r="B501" s="0" t="s">
        <v>2042</v>
      </c>
      <c r="C501" s="0" t="s">
        <v>2104</v>
      </c>
      <c r="D501" s="0" t="s">
        <v>2044</v>
      </c>
      <c r="E501" s="0" t="s">
        <v>2045</v>
      </c>
      <c r="F501" s="0" t="s">
        <v>2051</v>
      </c>
      <c r="G501" s="0" t="s">
        <v>2067</v>
      </c>
      <c r="H501" s="0" t="s">
        <v>2052</v>
      </c>
      <c r="J501" s="0" t="s">
        <v>2108</v>
      </c>
      <c r="K501" s="272" t="n">
        <v>18591.64</v>
      </c>
    </row>
    <row r="502" customFormat="false" ht="15" hidden="false" customHeight="false" outlineLevel="0" collapsed="false">
      <c r="A502" s="0" t="s">
        <v>2041</v>
      </c>
      <c r="B502" s="0" t="s">
        <v>2042</v>
      </c>
      <c r="C502" s="0" t="s">
        <v>2109</v>
      </c>
      <c r="D502" s="0" t="s">
        <v>2044</v>
      </c>
      <c r="E502" s="0" t="s">
        <v>2045</v>
      </c>
      <c r="F502" s="0" t="s">
        <v>2051</v>
      </c>
      <c r="G502" s="0" t="s">
        <v>2067</v>
      </c>
      <c r="H502" s="0" t="s">
        <v>2052</v>
      </c>
      <c r="J502" s="0" t="s">
        <v>2108</v>
      </c>
      <c r="K502" s="272" t="n">
        <v>5614.68</v>
      </c>
    </row>
    <row r="503" customFormat="false" ht="15" hidden="false" customHeight="false" outlineLevel="0" collapsed="false">
      <c r="A503" s="0" t="s">
        <v>2041</v>
      </c>
      <c r="B503" s="0" t="s">
        <v>2042</v>
      </c>
      <c r="C503" s="0" t="s">
        <v>2104</v>
      </c>
      <c r="D503" s="0" t="s">
        <v>2044</v>
      </c>
      <c r="E503" s="0" t="s">
        <v>2045</v>
      </c>
      <c r="F503" s="0" t="s">
        <v>2046</v>
      </c>
      <c r="G503" s="0" t="s">
        <v>2072</v>
      </c>
      <c r="H503" s="0" t="s">
        <v>2048</v>
      </c>
      <c r="J503" s="0" t="s">
        <v>2108</v>
      </c>
      <c r="K503" s="272" t="n">
        <v>16227.7137</v>
      </c>
    </row>
    <row r="504" customFormat="false" ht="15" hidden="false" customHeight="false" outlineLevel="0" collapsed="false">
      <c r="A504" s="0" t="s">
        <v>2041</v>
      </c>
      <c r="B504" s="0" t="s">
        <v>2042</v>
      </c>
      <c r="C504" s="0" t="s">
        <v>2109</v>
      </c>
      <c r="D504" s="0" t="s">
        <v>2044</v>
      </c>
      <c r="E504" s="0" t="s">
        <v>2045</v>
      </c>
      <c r="F504" s="0" t="s">
        <v>2046</v>
      </c>
      <c r="G504" s="0" t="s">
        <v>2072</v>
      </c>
      <c r="H504" s="0" t="s">
        <v>2048</v>
      </c>
      <c r="J504" s="0" t="s">
        <v>2108</v>
      </c>
      <c r="K504" s="272" t="n">
        <v>4900.7706</v>
      </c>
    </row>
    <row r="505" customFormat="false" ht="15" hidden="false" customHeight="false" outlineLevel="0" collapsed="false">
      <c r="A505" s="0" t="s">
        <v>2041</v>
      </c>
      <c r="B505" s="0" t="s">
        <v>2042</v>
      </c>
      <c r="C505" s="0" t="s">
        <v>2104</v>
      </c>
      <c r="D505" s="0" t="s">
        <v>2044</v>
      </c>
      <c r="E505" s="0" t="s">
        <v>2045</v>
      </c>
      <c r="F505" s="0" t="s">
        <v>2051</v>
      </c>
      <c r="G505" s="0" t="s">
        <v>2072</v>
      </c>
      <c r="H505" s="0" t="s">
        <v>2052</v>
      </c>
      <c r="J505" s="0" t="s">
        <v>2108</v>
      </c>
      <c r="K505" s="272" t="n">
        <v>32947.1763</v>
      </c>
    </row>
    <row r="506" customFormat="false" ht="15" hidden="false" customHeight="false" outlineLevel="0" collapsed="false">
      <c r="A506" s="0" t="s">
        <v>2041</v>
      </c>
      <c r="B506" s="0" t="s">
        <v>2042</v>
      </c>
      <c r="C506" s="0" t="s">
        <v>2109</v>
      </c>
      <c r="D506" s="0" t="s">
        <v>2044</v>
      </c>
      <c r="E506" s="0" t="s">
        <v>2045</v>
      </c>
      <c r="F506" s="0" t="s">
        <v>2051</v>
      </c>
      <c r="G506" s="0" t="s">
        <v>2072</v>
      </c>
      <c r="H506" s="0" t="s">
        <v>2052</v>
      </c>
      <c r="J506" s="0" t="s">
        <v>2108</v>
      </c>
      <c r="K506" s="272" t="n">
        <v>9950.0494</v>
      </c>
    </row>
    <row r="507" customFormat="false" ht="15" hidden="false" customHeight="false" outlineLevel="0" collapsed="false">
      <c r="A507" s="0" t="s">
        <v>2041</v>
      </c>
      <c r="B507" s="0" t="s">
        <v>2042</v>
      </c>
      <c r="C507" s="0" t="s">
        <v>2104</v>
      </c>
      <c r="D507" s="0" t="s">
        <v>2044</v>
      </c>
      <c r="E507" s="0" t="s">
        <v>2045</v>
      </c>
      <c r="F507" s="0" t="s">
        <v>2046</v>
      </c>
      <c r="G507" s="0" t="s">
        <v>2075</v>
      </c>
      <c r="H507" s="0" t="s">
        <v>2048</v>
      </c>
      <c r="J507" s="0" t="s">
        <v>2108</v>
      </c>
      <c r="K507" s="272" t="n">
        <v>727.305</v>
      </c>
    </row>
    <row r="508" customFormat="false" ht="15" hidden="false" customHeight="false" outlineLevel="0" collapsed="false">
      <c r="A508" s="0" t="s">
        <v>2041</v>
      </c>
      <c r="B508" s="0" t="s">
        <v>2042</v>
      </c>
      <c r="C508" s="0" t="s">
        <v>2109</v>
      </c>
      <c r="D508" s="0" t="s">
        <v>2044</v>
      </c>
      <c r="E508" s="0" t="s">
        <v>2045</v>
      </c>
      <c r="F508" s="0" t="s">
        <v>2046</v>
      </c>
      <c r="G508" s="0" t="s">
        <v>2075</v>
      </c>
      <c r="H508" s="0" t="s">
        <v>2048</v>
      </c>
      <c r="J508" s="0" t="s">
        <v>2108</v>
      </c>
      <c r="K508" s="272" t="n">
        <v>219.6462</v>
      </c>
    </row>
    <row r="509" customFormat="false" ht="15" hidden="false" customHeight="false" outlineLevel="0" collapsed="false">
      <c r="A509" s="0" t="s">
        <v>2041</v>
      </c>
      <c r="B509" s="0" t="s">
        <v>2042</v>
      </c>
      <c r="C509" s="0" t="s">
        <v>2104</v>
      </c>
      <c r="D509" s="0" t="s">
        <v>2044</v>
      </c>
      <c r="E509" s="0" t="s">
        <v>2045</v>
      </c>
      <c r="F509" s="0" t="s">
        <v>2051</v>
      </c>
      <c r="G509" s="0" t="s">
        <v>2075</v>
      </c>
      <c r="H509" s="0" t="s">
        <v>2052</v>
      </c>
      <c r="J509" s="0" t="s">
        <v>2108</v>
      </c>
      <c r="K509" s="272" t="n">
        <v>23516.195</v>
      </c>
    </row>
    <row r="510" customFormat="false" ht="15" hidden="false" customHeight="false" outlineLevel="0" collapsed="false">
      <c r="A510" s="0" t="s">
        <v>2041</v>
      </c>
      <c r="B510" s="0" t="s">
        <v>2042</v>
      </c>
      <c r="C510" s="0" t="s">
        <v>2109</v>
      </c>
      <c r="D510" s="0" t="s">
        <v>2044</v>
      </c>
      <c r="E510" s="0" t="s">
        <v>2045</v>
      </c>
      <c r="F510" s="0" t="s">
        <v>2051</v>
      </c>
      <c r="G510" s="0" t="s">
        <v>2075</v>
      </c>
      <c r="H510" s="0" t="s">
        <v>2052</v>
      </c>
      <c r="J510" s="0" t="s">
        <v>2108</v>
      </c>
      <c r="K510" s="272" t="n">
        <v>7101.8938</v>
      </c>
    </row>
    <row r="511" customFormat="false" ht="15" hidden="false" customHeight="false" outlineLevel="0" collapsed="false">
      <c r="A511" s="0" t="s">
        <v>2041</v>
      </c>
      <c r="B511" s="0" t="s">
        <v>2042</v>
      </c>
      <c r="C511" s="0" t="s">
        <v>2104</v>
      </c>
      <c r="D511" s="0" t="s">
        <v>2044</v>
      </c>
      <c r="E511" s="0" t="s">
        <v>2045</v>
      </c>
      <c r="F511" s="0" t="s">
        <v>2046</v>
      </c>
      <c r="G511" s="0" t="s">
        <v>2076</v>
      </c>
      <c r="H511" s="0" t="s">
        <v>2048</v>
      </c>
      <c r="J511" s="0" t="s">
        <v>2108</v>
      </c>
      <c r="K511" s="272" t="n">
        <v>10225.402</v>
      </c>
    </row>
    <row r="512" customFormat="false" ht="15" hidden="false" customHeight="false" outlineLevel="0" collapsed="false">
      <c r="A512" s="0" t="s">
        <v>2041</v>
      </c>
      <c r="B512" s="0" t="s">
        <v>2042</v>
      </c>
      <c r="C512" s="0" t="s">
        <v>2109</v>
      </c>
      <c r="D512" s="0" t="s">
        <v>2044</v>
      </c>
      <c r="E512" s="0" t="s">
        <v>2045</v>
      </c>
      <c r="F512" s="0" t="s">
        <v>2046</v>
      </c>
      <c r="G512" s="0" t="s">
        <v>2076</v>
      </c>
      <c r="H512" s="0" t="s">
        <v>2048</v>
      </c>
      <c r="J512" s="0" t="s">
        <v>2108</v>
      </c>
      <c r="K512" s="272" t="n">
        <v>2687.427</v>
      </c>
    </row>
    <row r="513" customFormat="false" ht="15" hidden="false" customHeight="false" outlineLevel="0" collapsed="false">
      <c r="A513" s="0" t="s">
        <v>2041</v>
      </c>
      <c r="B513" s="0" t="s">
        <v>2042</v>
      </c>
      <c r="C513" s="0" t="s">
        <v>2104</v>
      </c>
      <c r="D513" s="0" t="s">
        <v>2044</v>
      </c>
      <c r="E513" s="0" t="s">
        <v>2045</v>
      </c>
      <c r="F513" s="0" t="s">
        <v>2051</v>
      </c>
      <c r="G513" s="0" t="s">
        <v>2076</v>
      </c>
      <c r="H513" s="0" t="s">
        <v>2052</v>
      </c>
      <c r="J513" s="0" t="s">
        <v>2108</v>
      </c>
      <c r="K513" s="272" t="n">
        <v>26957.878</v>
      </c>
    </row>
    <row r="514" customFormat="false" ht="15" hidden="false" customHeight="false" outlineLevel="0" collapsed="false">
      <c r="A514" s="0" t="s">
        <v>2041</v>
      </c>
      <c r="B514" s="0" t="s">
        <v>2042</v>
      </c>
      <c r="C514" s="0" t="s">
        <v>2109</v>
      </c>
      <c r="D514" s="0" t="s">
        <v>2044</v>
      </c>
      <c r="E514" s="0" t="s">
        <v>2045</v>
      </c>
      <c r="F514" s="0" t="s">
        <v>2051</v>
      </c>
      <c r="G514" s="0" t="s">
        <v>2076</v>
      </c>
      <c r="H514" s="0" t="s">
        <v>2052</v>
      </c>
      <c r="J514" s="0" t="s">
        <v>2108</v>
      </c>
      <c r="K514" s="272" t="n">
        <v>6815.913</v>
      </c>
    </row>
    <row r="515" customFormat="false" ht="15" hidden="false" customHeight="false" outlineLevel="0" collapsed="false">
      <c r="A515" s="0" t="s">
        <v>2041</v>
      </c>
      <c r="B515" s="0" t="s">
        <v>2042</v>
      </c>
      <c r="C515" s="0" t="s">
        <v>2104</v>
      </c>
      <c r="D515" s="0" t="s">
        <v>2044</v>
      </c>
      <c r="E515" s="0" t="s">
        <v>2045</v>
      </c>
      <c r="F515" s="0" t="s">
        <v>2046</v>
      </c>
      <c r="G515" s="0" t="s">
        <v>2087</v>
      </c>
      <c r="H515" s="0" t="s">
        <v>2048</v>
      </c>
      <c r="J515" s="0" t="s">
        <v>2108</v>
      </c>
      <c r="K515" s="272" t="n">
        <v>10261.096</v>
      </c>
    </row>
    <row r="516" customFormat="false" ht="15" hidden="false" customHeight="false" outlineLevel="0" collapsed="false">
      <c r="A516" s="0" t="s">
        <v>2041</v>
      </c>
      <c r="B516" s="0" t="s">
        <v>2042</v>
      </c>
      <c r="C516" s="0" t="s">
        <v>2109</v>
      </c>
      <c r="D516" s="0" t="s">
        <v>2044</v>
      </c>
      <c r="E516" s="0" t="s">
        <v>2045</v>
      </c>
      <c r="F516" s="0" t="s">
        <v>2046</v>
      </c>
      <c r="G516" s="0" t="s">
        <v>2087</v>
      </c>
      <c r="H516" s="0" t="s">
        <v>2048</v>
      </c>
      <c r="J516" s="0" t="s">
        <v>2108</v>
      </c>
      <c r="K516" s="272" t="n">
        <v>2113.734</v>
      </c>
    </row>
    <row r="517" customFormat="false" ht="15" hidden="false" customHeight="false" outlineLevel="0" collapsed="false">
      <c r="A517" s="0" t="s">
        <v>2041</v>
      </c>
      <c r="B517" s="0" t="s">
        <v>2042</v>
      </c>
      <c r="C517" s="0" t="s">
        <v>2104</v>
      </c>
      <c r="D517" s="0" t="s">
        <v>2044</v>
      </c>
      <c r="E517" s="0" t="s">
        <v>2045</v>
      </c>
      <c r="F517" s="0" t="s">
        <v>2051</v>
      </c>
      <c r="G517" s="0" t="s">
        <v>2087</v>
      </c>
      <c r="H517" s="0" t="s">
        <v>2052</v>
      </c>
      <c r="J517" s="0" t="s">
        <v>2108</v>
      </c>
      <c r="K517" s="272" t="n">
        <v>14169.244</v>
      </c>
    </row>
    <row r="518" customFormat="false" ht="15" hidden="false" customHeight="false" outlineLevel="0" collapsed="false">
      <c r="A518" s="0" t="s">
        <v>2041</v>
      </c>
      <c r="B518" s="0" t="s">
        <v>2042</v>
      </c>
      <c r="C518" s="0" t="s">
        <v>2109</v>
      </c>
      <c r="D518" s="0" t="s">
        <v>2044</v>
      </c>
      <c r="E518" s="0" t="s">
        <v>2045</v>
      </c>
      <c r="F518" s="0" t="s">
        <v>2051</v>
      </c>
      <c r="G518" s="0" t="s">
        <v>2087</v>
      </c>
      <c r="H518" s="0" t="s">
        <v>2052</v>
      </c>
      <c r="J518" s="0" t="s">
        <v>2108</v>
      </c>
      <c r="K518" s="272" t="n">
        <v>2801.436</v>
      </c>
    </row>
    <row r="519" customFormat="false" ht="15" hidden="false" customHeight="false" outlineLevel="0" collapsed="false">
      <c r="A519" s="0" t="s">
        <v>2041</v>
      </c>
      <c r="B519" s="0" t="s">
        <v>2042</v>
      </c>
      <c r="C519" s="0" t="s">
        <v>2104</v>
      </c>
      <c r="D519" s="0" t="s">
        <v>2044</v>
      </c>
      <c r="E519" s="0" t="s">
        <v>2045</v>
      </c>
      <c r="F519" s="0" t="s">
        <v>2046</v>
      </c>
      <c r="G519" s="0" t="s">
        <v>2089</v>
      </c>
      <c r="H519" s="0" t="s">
        <v>2048</v>
      </c>
      <c r="J519" s="0" t="s">
        <v>2108</v>
      </c>
      <c r="K519" s="272" t="n">
        <v>2958.4467</v>
      </c>
    </row>
    <row r="520" customFormat="false" ht="15" hidden="false" customHeight="false" outlineLevel="0" collapsed="false">
      <c r="A520" s="0" t="s">
        <v>2041</v>
      </c>
      <c r="B520" s="0" t="s">
        <v>2042</v>
      </c>
      <c r="C520" s="0" t="s">
        <v>2109</v>
      </c>
      <c r="D520" s="0" t="s">
        <v>2044</v>
      </c>
      <c r="E520" s="0" t="s">
        <v>2045</v>
      </c>
      <c r="F520" s="0" t="s">
        <v>2046</v>
      </c>
      <c r="G520" s="0" t="s">
        <v>2089</v>
      </c>
      <c r="H520" s="0" t="s">
        <v>2048</v>
      </c>
      <c r="J520" s="0" t="s">
        <v>2108</v>
      </c>
      <c r="K520" s="272" t="n">
        <v>893.4552</v>
      </c>
    </row>
    <row r="521" customFormat="false" ht="15" hidden="false" customHeight="false" outlineLevel="0" collapsed="false">
      <c r="A521" s="0" t="s">
        <v>2041</v>
      </c>
      <c r="B521" s="0" t="s">
        <v>2042</v>
      </c>
      <c r="C521" s="0" t="s">
        <v>2104</v>
      </c>
      <c r="D521" s="0" t="s">
        <v>2044</v>
      </c>
      <c r="E521" s="0" t="s">
        <v>2045</v>
      </c>
      <c r="F521" s="0" t="s">
        <v>2051</v>
      </c>
      <c r="G521" s="0" t="s">
        <v>2089</v>
      </c>
      <c r="H521" s="0" t="s">
        <v>2052</v>
      </c>
      <c r="J521" s="0" t="s">
        <v>2108</v>
      </c>
      <c r="K521" s="272" t="n">
        <v>29.8833</v>
      </c>
    </row>
    <row r="522" customFormat="false" ht="15" hidden="false" customHeight="false" outlineLevel="0" collapsed="false">
      <c r="A522" s="0" t="s">
        <v>2041</v>
      </c>
      <c r="B522" s="0" t="s">
        <v>2042</v>
      </c>
      <c r="C522" s="0" t="s">
        <v>2109</v>
      </c>
      <c r="D522" s="0" t="s">
        <v>2044</v>
      </c>
      <c r="E522" s="0" t="s">
        <v>2045</v>
      </c>
      <c r="F522" s="0" t="s">
        <v>2051</v>
      </c>
      <c r="G522" s="0" t="s">
        <v>2089</v>
      </c>
      <c r="H522" s="0" t="s">
        <v>2052</v>
      </c>
      <c r="J522" s="0" t="s">
        <v>2108</v>
      </c>
      <c r="K522" s="272" t="n">
        <v>9.0248</v>
      </c>
    </row>
    <row r="523" customFormat="false" ht="15" hidden="false" customHeight="false" outlineLevel="0" collapsed="false">
      <c r="A523" s="0" t="s">
        <v>2041</v>
      </c>
      <c r="B523" s="0" t="s">
        <v>2042</v>
      </c>
      <c r="C523" s="0" t="s">
        <v>2104</v>
      </c>
      <c r="D523" s="0" t="s">
        <v>2044</v>
      </c>
      <c r="E523" s="0" t="s">
        <v>2045</v>
      </c>
      <c r="F523" s="0" t="s">
        <v>2046</v>
      </c>
      <c r="G523" s="0" t="s">
        <v>2090</v>
      </c>
      <c r="H523" s="0" t="s">
        <v>2048</v>
      </c>
      <c r="J523" s="0" t="s">
        <v>2108</v>
      </c>
      <c r="K523" s="272" t="n">
        <v>8676.936</v>
      </c>
    </row>
    <row r="524" customFormat="false" ht="15" hidden="false" customHeight="false" outlineLevel="0" collapsed="false">
      <c r="A524" s="0" t="s">
        <v>2041</v>
      </c>
      <c r="B524" s="0" t="s">
        <v>2042</v>
      </c>
      <c r="C524" s="0" t="s">
        <v>2109</v>
      </c>
      <c r="D524" s="0" t="s">
        <v>2044</v>
      </c>
      <c r="E524" s="0" t="s">
        <v>2045</v>
      </c>
      <c r="F524" s="0" t="s">
        <v>2046</v>
      </c>
      <c r="G524" s="0" t="s">
        <v>2090</v>
      </c>
      <c r="H524" s="0" t="s">
        <v>2048</v>
      </c>
      <c r="J524" s="0" t="s">
        <v>2108</v>
      </c>
      <c r="K524" s="272" t="n">
        <v>1526.85</v>
      </c>
    </row>
    <row r="525" customFormat="false" ht="15" hidden="false" customHeight="false" outlineLevel="0" collapsed="false">
      <c r="A525" s="0" t="s">
        <v>2041</v>
      </c>
      <c r="B525" s="0" t="s">
        <v>2042</v>
      </c>
      <c r="C525" s="0" t="s">
        <v>2104</v>
      </c>
      <c r="D525" s="0" t="s">
        <v>2044</v>
      </c>
      <c r="E525" s="0" t="s">
        <v>2045</v>
      </c>
      <c r="F525" s="0" t="s">
        <v>2051</v>
      </c>
      <c r="G525" s="0" t="s">
        <v>2090</v>
      </c>
      <c r="H525" s="0" t="s">
        <v>2052</v>
      </c>
      <c r="J525" s="0" t="s">
        <v>2108</v>
      </c>
      <c r="K525" s="272" t="n">
        <v>964.104</v>
      </c>
    </row>
    <row r="526" customFormat="false" ht="15" hidden="false" customHeight="false" outlineLevel="0" collapsed="false">
      <c r="A526" s="0" t="s">
        <v>2041</v>
      </c>
      <c r="B526" s="0" t="s">
        <v>2042</v>
      </c>
      <c r="C526" s="0" t="s">
        <v>2109</v>
      </c>
      <c r="D526" s="0" t="s">
        <v>2044</v>
      </c>
      <c r="E526" s="0" t="s">
        <v>2045</v>
      </c>
      <c r="F526" s="0" t="s">
        <v>2051</v>
      </c>
      <c r="G526" s="0" t="s">
        <v>2090</v>
      </c>
      <c r="H526" s="0" t="s">
        <v>2052</v>
      </c>
      <c r="J526" s="0" t="s">
        <v>2108</v>
      </c>
      <c r="K526" s="272" t="n">
        <v>169.65</v>
      </c>
    </row>
    <row r="527" customFormat="false" ht="15" hidden="false" customHeight="false" outlineLevel="0" collapsed="false">
      <c r="A527" s="0" t="s">
        <v>2041</v>
      </c>
      <c r="B527" s="0" t="s">
        <v>2042</v>
      </c>
      <c r="C527" s="0" t="s">
        <v>2104</v>
      </c>
      <c r="D527" s="0" t="s">
        <v>2044</v>
      </c>
      <c r="E527" s="0" t="s">
        <v>2045</v>
      </c>
      <c r="F527" s="0" t="s">
        <v>2046</v>
      </c>
      <c r="G527" s="0" t="s">
        <v>2094</v>
      </c>
      <c r="H527" s="0" t="s">
        <v>2048</v>
      </c>
      <c r="J527" s="0" t="s">
        <v>2108</v>
      </c>
      <c r="K527" s="272" t="n">
        <v>19521.222</v>
      </c>
    </row>
    <row r="528" customFormat="false" ht="15" hidden="false" customHeight="false" outlineLevel="0" collapsed="false">
      <c r="A528" s="0" t="s">
        <v>2041</v>
      </c>
      <c r="B528" s="0" t="s">
        <v>2042</v>
      </c>
      <c r="C528" s="0" t="s">
        <v>2109</v>
      </c>
      <c r="D528" s="0" t="s">
        <v>2044</v>
      </c>
      <c r="E528" s="0" t="s">
        <v>2045</v>
      </c>
      <c r="F528" s="0" t="s">
        <v>2046</v>
      </c>
      <c r="G528" s="0" t="s">
        <v>2094</v>
      </c>
      <c r="H528" s="0" t="s">
        <v>2048</v>
      </c>
      <c r="J528" s="0" t="s">
        <v>2108</v>
      </c>
      <c r="K528" s="272" t="n">
        <v>3435.0666</v>
      </c>
    </row>
    <row r="529" customFormat="false" ht="15" hidden="false" customHeight="false" outlineLevel="0" collapsed="false">
      <c r="A529" s="0" t="s">
        <v>2041</v>
      </c>
      <c r="B529" s="0" t="s">
        <v>2042</v>
      </c>
      <c r="C529" s="0" t="s">
        <v>2104</v>
      </c>
      <c r="D529" s="0" t="s">
        <v>2044</v>
      </c>
      <c r="E529" s="0" t="s">
        <v>2045</v>
      </c>
      <c r="F529" s="0" t="s">
        <v>2051</v>
      </c>
      <c r="G529" s="0" t="s">
        <v>2094</v>
      </c>
      <c r="H529" s="0" t="s">
        <v>2052</v>
      </c>
      <c r="J529" s="0" t="s">
        <v>2108</v>
      </c>
      <c r="K529" s="272" t="n">
        <v>26957.878</v>
      </c>
    </row>
    <row r="530" customFormat="false" ht="15" hidden="false" customHeight="false" outlineLevel="0" collapsed="false">
      <c r="A530" s="0" t="s">
        <v>2041</v>
      </c>
      <c r="B530" s="0" t="s">
        <v>2042</v>
      </c>
      <c r="C530" s="0" t="s">
        <v>2109</v>
      </c>
      <c r="D530" s="0" t="s">
        <v>2044</v>
      </c>
      <c r="E530" s="0" t="s">
        <v>2045</v>
      </c>
      <c r="F530" s="0" t="s">
        <v>2051</v>
      </c>
      <c r="G530" s="0" t="s">
        <v>2094</v>
      </c>
      <c r="H530" s="0" t="s">
        <v>2052</v>
      </c>
      <c r="J530" s="0" t="s">
        <v>2108</v>
      </c>
      <c r="K530" s="272" t="n">
        <v>4743.6634</v>
      </c>
    </row>
    <row r="531" customFormat="false" ht="15" hidden="false" customHeight="false" outlineLevel="0" collapsed="false">
      <c r="A531" s="0" t="s">
        <v>2041</v>
      </c>
      <c r="B531" s="0" t="s">
        <v>2042</v>
      </c>
      <c r="C531" s="0" t="s">
        <v>2104</v>
      </c>
      <c r="D531" s="0" t="s">
        <v>2044</v>
      </c>
      <c r="E531" s="0" t="s">
        <v>2045</v>
      </c>
      <c r="F531" s="0" t="s">
        <v>2046</v>
      </c>
      <c r="G531" s="0" t="s">
        <v>2096</v>
      </c>
      <c r="H531" s="0" t="s">
        <v>2048</v>
      </c>
      <c r="I531" s="0" t="s">
        <v>2097</v>
      </c>
      <c r="J531" s="0" t="s">
        <v>2108</v>
      </c>
      <c r="K531" s="272" t="n">
        <v>23611.38</v>
      </c>
    </row>
    <row r="532" customFormat="false" ht="15" hidden="false" customHeight="false" outlineLevel="0" collapsed="false">
      <c r="A532" s="0" t="s">
        <v>2041</v>
      </c>
      <c r="B532" s="0" t="s">
        <v>2042</v>
      </c>
      <c r="C532" s="0" t="s">
        <v>2109</v>
      </c>
      <c r="D532" s="0" t="s">
        <v>2044</v>
      </c>
      <c r="E532" s="0" t="s">
        <v>2045</v>
      </c>
      <c r="F532" s="0" t="s">
        <v>2046</v>
      </c>
      <c r="G532" s="0" t="s">
        <v>2096</v>
      </c>
      <c r="H532" s="0" t="s">
        <v>2048</v>
      </c>
      <c r="I532" s="0" t="s">
        <v>2097</v>
      </c>
      <c r="J532" s="0" t="s">
        <v>2108</v>
      </c>
      <c r="K532" s="272" t="n">
        <v>1841.69</v>
      </c>
    </row>
    <row r="533" customFormat="false" ht="15" hidden="false" customHeight="false" outlineLevel="0" collapsed="false">
      <c r="A533" s="0" t="s">
        <v>2041</v>
      </c>
      <c r="B533" s="0" t="s">
        <v>2042</v>
      </c>
      <c r="C533" s="0" t="s">
        <v>2104</v>
      </c>
      <c r="D533" s="0" t="s">
        <v>2044</v>
      </c>
      <c r="E533" s="0" t="s">
        <v>2045</v>
      </c>
      <c r="F533" s="0" t="s">
        <v>2051</v>
      </c>
      <c r="G533" s="0" t="s">
        <v>2096</v>
      </c>
      <c r="H533" s="0" t="s">
        <v>2052</v>
      </c>
      <c r="I533" s="0" t="s">
        <v>2097</v>
      </c>
      <c r="J533" s="0" t="s">
        <v>2108</v>
      </c>
      <c r="K533" s="272" t="n">
        <v>23611.38</v>
      </c>
    </row>
    <row r="534" customFormat="false" ht="15" hidden="false" customHeight="false" outlineLevel="0" collapsed="false">
      <c r="A534" s="0" t="s">
        <v>2041</v>
      </c>
      <c r="B534" s="0" t="s">
        <v>2042</v>
      </c>
      <c r="C534" s="0" t="s">
        <v>2109</v>
      </c>
      <c r="D534" s="0" t="s">
        <v>2044</v>
      </c>
      <c r="E534" s="0" t="s">
        <v>2045</v>
      </c>
      <c r="F534" s="0" t="s">
        <v>2051</v>
      </c>
      <c r="G534" s="0" t="s">
        <v>2096</v>
      </c>
      <c r="H534" s="0" t="s">
        <v>2052</v>
      </c>
      <c r="I534" s="0" t="s">
        <v>2097</v>
      </c>
      <c r="J534" s="0" t="s">
        <v>2108</v>
      </c>
      <c r="K534" s="272" t="n">
        <v>1841.69</v>
      </c>
    </row>
    <row r="535" customFormat="false" ht="15" hidden="false" customHeight="false" outlineLevel="0" collapsed="false">
      <c r="A535" s="0" t="s">
        <v>2041</v>
      </c>
      <c r="B535" s="0" t="s">
        <v>2042</v>
      </c>
      <c r="C535" s="0" t="s">
        <v>2156</v>
      </c>
      <c r="D535" s="0" t="s">
        <v>2105</v>
      </c>
      <c r="E535" s="0" t="s">
        <v>2045</v>
      </c>
      <c r="F535" s="0" t="s">
        <v>2157</v>
      </c>
      <c r="G535" s="0" t="s">
        <v>2158</v>
      </c>
      <c r="H535" s="0" t="s">
        <v>2159</v>
      </c>
      <c r="J535" s="0" t="s">
        <v>2160</v>
      </c>
      <c r="K535" s="272" t="n">
        <v>-23931651.39</v>
      </c>
    </row>
    <row r="536" customFormat="false" ht="15" hidden="false" customHeight="false" outlineLevel="0" collapsed="false">
      <c r="A536" s="0" t="s">
        <v>2041</v>
      </c>
      <c r="B536" s="0" t="s">
        <v>2042</v>
      </c>
      <c r="C536" s="0" t="s">
        <v>2161</v>
      </c>
      <c r="D536" s="0" t="s">
        <v>2105</v>
      </c>
      <c r="E536" s="0" t="s">
        <v>2045</v>
      </c>
      <c r="F536" s="0" t="s">
        <v>2157</v>
      </c>
      <c r="G536" s="0" t="s">
        <v>2158</v>
      </c>
      <c r="H536" s="0" t="s">
        <v>2159</v>
      </c>
      <c r="J536" s="0" t="s">
        <v>2160</v>
      </c>
      <c r="K536" s="272" t="n">
        <v>-3438726.48</v>
      </c>
    </row>
    <row r="537" customFormat="false" ht="15" hidden="false" customHeight="false" outlineLevel="0" collapsed="false">
      <c r="A537" s="0" t="s">
        <v>2041</v>
      </c>
      <c r="B537" s="0" t="s">
        <v>2042</v>
      </c>
      <c r="C537" s="0" t="s">
        <v>2156</v>
      </c>
      <c r="D537" s="0" t="s">
        <v>2105</v>
      </c>
      <c r="E537" s="0" t="s">
        <v>2045</v>
      </c>
      <c r="F537" s="0" t="s">
        <v>2157</v>
      </c>
      <c r="G537" s="0" t="s">
        <v>2158</v>
      </c>
      <c r="H537" s="0" t="s">
        <v>2159</v>
      </c>
      <c r="I537" s="0" t="s">
        <v>2124</v>
      </c>
      <c r="J537" s="0" t="s">
        <v>2160</v>
      </c>
      <c r="K537" s="272" t="n">
        <v>-913086.49</v>
      </c>
    </row>
    <row r="538" customFormat="false" ht="15" hidden="false" customHeight="false" outlineLevel="0" collapsed="false">
      <c r="A538" s="0" t="s">
        <v>2041</v>
      </c>
      <c r="B538" s="0" t="s">
        <v>2042</v>
      </c>
      <c r="C538" s="0" t="s">
        <v>2161</v>
      </c>
      <c r="D538" s="0" t="s">
        <v>2105</v>
      </c>
      <c r="E538" s="0" t="s">
        <v>2045</v>
      </c>
      <c r="F538" s="0" t="s">
        <v>2157</v>
      </c>
      <c r="G538" s="0" t="s">
        <v>2158</v>
      </c>
      <c r="H538" s="0" t="s">
        <v>2159</v>
      </c>
      <c r="I538" s="0" t="s">
        <v>2124</v>
      </c>
      <c r="J538" s="0" t="s">
        <v>2160</v>
      </c>
      <c r="K538" s="272" t="n">
        <v>-233773.28</v>
      </c>
    </row>
    <row r="539" customFormat="false" ht="15" hidden="false" customHeight="false" outlineLevel="0" collapsed="false">
      <c r="A539" s="0" t="s">
        <v>2041</v>
      </c>
      <c r="B539" s="0" t="s">
        <v>2042</v>
      </c>
      <c r="C539" s="0" t="s">
        <v>2156</v>
      </c>
      <c r="D539" s="0" t="s">
        <v>2105</v>
      </c>
      <c r="E539" s="0" t="s">
        <v>2045</v>
      </c>
      <c r="F539" s="0" t="s">
        <v>2157</v>
      </c>
      <c r="G539" s="0" t="s">
        <v>2158</v>
      </c>
      <c r="H539" s="0" t="s">
        <v>2162</v>
      </c>
      <c r="J539" s="0" t="s">
        <v>2160</v>
      </c>
      <c r="K539" s="272" t="n">
        <v>51705.9</v>
      </c>
    </row>
    <row r="540" customFormat="false" ht="15" hidden="false" customHeight="false" outlineLevel="0" collapsed="false">
      <c r="A540" s="0" t="s">
        <v>2041</v>
      </c>
      <c r="B540" s="0" t="s">
        <v>2042</v>
      </c>
      <c r="C540" s="0" t="s">
        <v>2161</v>
      </c>
      <c r="D540" s="0" t="s">
        <v>2105</v>
      </c>
      <c r="E540" s="0" t="s">
        <v>2045</v>
      </c>
      <c r="F540" s="0" t="s">
        <v>2157</v>
      </c>
      <c r="G540" s="0" t="s">
        <v>2158</v>
      </c>
      <c r="H540" s="0" t="s">
        <v>2162</v>
      </c>
      <c r="J540" s="0" t="s">
        <v>2160</v>
      </c>
      <c r="K540" s="272" t="n">
        <v>21499.51</v>
      </c>
    </row>
    <row r="541" customFormat="false" ht="15" hidden="false" customHeight="false" outlineLevel="0" collapsed="false">
      <c r="A541" s="0" t="s">
        <v>2041</v>
      </c>
      <c r="B541" s="0" t="s">
        <v>2042</v>
      </c>
      <c r="C541" s="0" t="s">
        <v>2156</v>
      </c>
      <c r="D541" s="0" t="s">
        <v>2105</v>
      </c>
      <c r="E541" s="0" t="s">
        <v>2045</v>
      </c>
      <c r="F541" s="0" t="s">
        <v>2157</v>
      </c>
      <c r="G541" s="0" t="s">
        <v>2158</v>
      </c>
      <c r="H541" s="0" t="s">
        <v>2126</v>
      </c>
      <c r="J541" s="0" t="s">
        <v>2160</v>
      </c>
      <c r="K541" s="272" t="n">
        <v>-4766065.2</v>
      </c>
    </row>
    <row r="542" customFormat="false" ht="15" hidden="false" customHeight="false" outlineLevel="0" collapsed="false">
      <c r="A542" s="0" t="s">
        <v>2041</v>
      </c>
      <c r="B542" s="0" t="s">
        <v>2042</v>
      </c>
      <c r="C542" s="0" t="s">
        <v>2161</v>
      </c>
      <c r="D542" s="0" t="s">
        <v>2105</v>
      </c>
      <c r="E542" s="0" t="s">
        <v>2045</v>
      </c>
      <c r="F542" s="0" t="s">
        <v>2157</v>
      </c>
      <c r="G542" s="0" t="s">
        <v>2158</v>
      </c>
      <c r="H542" s="0" t="s">
        <v>2126</v>
      </c>
      <c r="J542" s="0" t="s">
        <v>2160</v>
      </c>
      <c r="K542" s="272" t="n">
        <v>-831494.05</v>
      </c>
    </row>
    <row r="543" customFormat="false" ht="15" hidden="false" customHeight="false" outlineLevel="0" collapsed="false">
      <c r="A543" s="0" t="s">
        <v>2041</v>
      </c>
      <c r="B543" s="0" t="s">
        <v>2042</v>
      </c>
      <c r="C543" s="0" t="s">
        <v>2156</v>
      </c>
      <c r="D543" s="0" t="s">
        <v>2105</v>
      </c>
      <c r="E543" s="0" t="s">
        <v>2045</v>
      </c>
      <c r="F543" s="0" t="s">
        <v>2163</v>
      </c>
      <c r="G543" s="0" t="s">
        <v>2164</v>
      </c>
      <c r="H543" s="0" t="s">
        <v>2165</v>
      </c>
      <c r="J543" s="0" t="s">
        <v>2160</v>
      </c>
      <c r="K543" s="272" t="n">
        <v>2044511.89</v>
      </c>
    </row>
    <row r="544" customFormat="false" ht="15" hidden="false" customHeight="false" outlineLevel="0" collapsed="false">
      <c r="A544" s="0" t="s">
        <v>2041</v>
      </c>
      <c r="B544" s="0" t="s">
        <v>2042</v>
      </c>
      <c r="C544" s="0" t="s">
        <v>2161</v>
      </c>
      <c r="D544" s="0" t="s">
        <v>2105</v>
      </c>
      <c r="E544" s="0" t="s">
        <v>2045</v>
      </c>
      <c r="F544" s="0" t="s">
        <v>2163</v>
      </c>
      <c r="G544" s="0" t="s">
        <v>2164</v>
      </c>
      <c r="H544" s="0" t="s">
        <v>2165</v>
      </c>
      <c r="J544" s="0" t="s">
        <v>2160</v>
      </c>
      <c r="K544" s="272" t="n">
        <v>336339.84</v>
      </c>
    </row>
    <row r="545" customFormat="false" ht="15" hidden="false" customHeight="false" outlineLevel="0" collapsed="false">
      <c r="A545" s="0" t="s">
        <v>2041</v>
      </c>
      <c r="B545" s="0" t="s">
        <v>2042</v>
      </c>
      <c r="C545" s="0" t="s">
        <v>2156</v>
      </c>
      <c r="D545" s="0" t="s">
        <v>2105</v>
      </c>
      <c r="E545" s="0" t="s">
        <v>2045</v>
      </c>
      <c r="F545" s="0" t="s">
        <v>2163</v>
      </c>
      <c r="G545" s="0" t="s">
        <v>2164</v>
      </c>
      <c r="H545" s="0" t="s">
        <v>2166</v>
      </c>
      <c r="J545" s="0" t="s">
        <v>2160</v>
      </c>
      <c r="K545" s="272" t="n">
        <v>24843331.64</v>
      </c>
    </row>
    <row r="546" customFormat="false" ht="15" hidden="false" customHeight="false" outlineLevel="0" collapsed="false">
      <c r="A546" s="0" t="s">
        <v>2041</v>
      </c>
      <c r="B546" s="0" t="s">
        <v>2042</v>
      </c>
      <c r="C546" s="0" t="s">
        <v>2161</v>
      </c>
      <c r="D546" s="0" t="s">
        <v>2105</v>
      </c>
      <c r="E546" s="0" t="s">
        <v>2045</v>
      </c>
      <c r="F546" s="0" t="s">
        <v>2163</v>
      </c>
      <c r="G546" s="0" t="s">
        <v>2164</v>
      </c>
      <c r="H546" s="0" t="s">
        <v>2166</v>
      </c>
      <c r="J546" s="0" t="s">
        <v>2160</v>
      </c>
      <c r="K546" s="272" t="n">
        <v>4111259.55</v>
      </c>
    </row>
    <row r="547" customFormat="false" ht="15" hidden="false" customHeight="false" outlineLevel="0" collapsed="false">
      <c r="A547" s="0" t="s">
        <v>2041</v>
      </c>
      <c r="B547" s="0" t="s">
        <v>2042</v>
      </c>
      <c r="C547" s="0" t="s">
        <v>2156</v>
      </c>
      <c r="D547" s="0" t="s">
        <v>2105</v>
      </c>
      <c r="E547" s="0" t="s">
        <v>2045</v>
      </c>
      <c r="F547" s="0" t="s">
        <v>2163</v>
      </c>
      <c r="G547" s="0" t="s">
        <v>2164</v>
      </c>
      <c r="H547" s="0" t="s">
        <v>2166</v>
      </c>
      <c r="I547" s="0" t="s">
        <v>2124</v>
      </c>
      <c r="J547" s="0" t="s">
        <v>2160</v>
      </c>
      <c r="K547" s="272" t="n">
        <v>318525</v>
      </c>
    </row>
    <row r="548" customFormat="false" ht="15" hidden="false" customHeight="false" outlineLevel="0" collapsed="false">
      <c r="A548" s="0" t="s">
        <v>2041</v>
      </c>
      <c r="B548" s="0" t="s">
        <v>2042</v>
      </c>
      <c r="C548" s="0" t="s">
        <v>2161</v>
      </c>
      <c r="D548" s="0" t="s">
        <v>2105</v>
      </c>
      <c r="E548" s="0" t="s">
        <v>2045</v>
      </c>
      <c r="F548" s="0" t="s">
        <v>2163</v>
      </c>
      <c r="G548" s="0" t="s">
        <v>2164</v>
      </c>
      <c r="H548" s="0" t="s">
        <v>2166</v>
      </c>
      <c r="I548" s="0" t="s">
        <v>2124</v>
      </c>
      <c r="J548" s="0" t="s">
        <v>2160</v>
      </c>
      <c r="K548" s="272" t="n">
        <v>-44524.2</v>
      </c>
    </row>
    <row r="549" customFormat="false" ht="15" hidden="false" customHeight="false" outlineLevel="0" collapsed="false">
      <c r="A549" s="0" t="s">
        <v>2041</v>
      </c>
      <c r="B549" s="0" t="s">
        <v>2042</v>
      </c>
      <c r="C549" s="0" t="s">
        <v>2156</v>
      </c>
      <c r="D549" s="0" t="s">
        <v>2105</v>
      </c>
      <c r="E549" s="0" t="s">
        <v>2045</v>
      </c>
      <c r="F549" s="0" t="s">
        <v>2163</v>
      </c>
      <c r="G549" s="0" t="s">
        <v>2164</v>
      </c>
      <c r="H549" s="0" t="s">
        <v>2166</v>
      </c>
      <c r="I549" s="0" t="s">
        <v>2167</v>
      </c>
      <c r="J549" s="0" t="s">
        <v>2160</v>
      </c>
      <c r="K549" s="272" t="n">
        <v>-15361.03</v>
      </c>
    </row>
    <row r="550" customFormat="false" ht="15" hidden="false" customHeight="false" outlineLevel="0" collapsed="false">
      <c r="A550" s="0" t="s">
        <v>2041</v>
      </c>
      <c r="B550" s="0" t="s">
        <v>2042</v>
      </c>
      <c r="C550" s="0" t="s">
        <v>2161</v>
      </c>
      <c r="D550" s="0" t="s">
        <v>2105</v>
      </c>
      <c r="E550" s="0" t="s">
        <v>2045</v>
      </c>
      <c r="F550" s="0" t="s">
        <v>2163</v>
      </c>
      <c r="G550" s="0" t="s">
        <v>2164</v>
      </c>
      <c r="H550" s="0" t="s">
        <v>2166</v>
      </c>
      <c r="I550" s="0" t="s">
        <v>2167</v>
      </c>
      <c r="J550" s="0" t="s">
        <v>2160</v>
      </c>
      <c r="K550" s="272" t="n">
        <v>-19763.65</v>
      </c>
    </row>
    <row r="551" customFormat="false" ht="15" hidden="false" customHeight="false" outlineLevel="0" collapsed="false">
      <c r="A551" s="0" t="s">
        <v>2041</v>
      </c>
      <c r="B551" s="0" t="s">
        <v>2042</v>
      </c>
      <c r="C551" s="0" t="s">
        <v>2156</v>
      </c>
      <c r="D551" s="0" t="s">
        <v>2105</v>
      </c>
      <c r="E551" s="0" t="s">
        <v>2045</v>
      </c>
      <c r="F551" s="0" t="s">
        <v>2163</v>
      </c>
      <c r="G551" s="0" t="s">
        <v>2168</v>
      </c>
      <c r="H551" s="0" t="s">
        <v>2169</v>
      </c>
      <c r="J551" s="0" t="s">
        <v>2160</v>
      </c>
      <c r="K551" s="272" t="n">
        <v>30449372.35</v>
      </c>
    </row>
    <row r="552" customFormat="false" ht="15" hidden="false" customHeight="false" outlineLevel="0" collapsed="false">
      <c r="A552" s="0" t="s">
        <v>2041</v>
      </c>
      <c r="B552" s="0" t="s">
        <v>2042</v>
      </c>
      <c r="C552" s="0" t="s">
        <v>2161</v>
      </c>
      <c r="D552" s="0" t="s">
        <v>2105</v>
      </c>
      <c r="E552" s="0" t="s">
        <v>2045</v>
      </c>
      <c r="F552" s="0" t="s">
        <v>2163</v>
      </c>
      <c r="G552" s="0" t="s">
        <v>2168</v>
      </c>
      <c r="H552" s="0" t="s">
        <v>2169</v>
      </c>
      <c r="J552" s="0" t="s">
        <v>2160</v>
      </c>
      <c r="K552" s="272" t="n">
        <v>5930376.63</v>
      </c>
    </row>
    <row r="553" customFormat="false" ht="15" hidden="false" customHeight="false" outlineLevel="0" collapsed="false">
      <c r="A553" s="0" t="s">
        <v>2041</v>
      </c>
      <c r="B553" s="0" t="s">
        <v>2042</v>
      </c>
      <c r="C553" s="0" t="s">
        <v>2156</v>
      </c>
      <c r="D553" s="0" t="s">
        <v>2105</v>
      </c>
      <c r="E553" s="0" t="s">
        <v>2045</v>
      </c>
      <c r="F553" s="0" t="s">
        <v>2163</v>
      </c>
      <c r="G553" s="0" t="s">
        <v>2168</v>
      </c>
      <c r="H553" s="0" t="s">
        <v>2169</v>
      </c>
      <c r="I553" s="0" t="s">
        <v>2167</v>
      </c>
      <c r="J553" s="0" t="s">
        <v>2160</v>
      </c>
      <c r="K553" s="272" t="n">
        <v>7815219</v>
      </c>
    </row>
    <row r="554" customFormat="false" ht="15" hidden="false" customHeight="false" outlineLevel="0" collapsed="false">
      <c r="A554" s="0" t="s">
        <v>2041</v>
      </c>
      <c r="B554" s="0" t="s">
        <v>2042</v>
      </c>
      <c r="C554" s="0" t="s">
        <v>2161</v>
      </c>
      <c r="D554" s="0" t="s">
        <v>2105</v>
      </c>
      <c r="E554" s="0" t="s">
        <v>2045</v>
      </c>
      <c r="F554" s="0" t="s">
        <v>2163</v>
      </c>
      <c r="G554" s="0" t="s">
        <v>2168</v>
      </c>
      <c r="H554" s="0" t="s">
        <v>2169</v>
      </c>
      <c r="I554" s="0" t="s">
        <v>2167</v>
      </c>
      <c r="J554" s="0" t="s">
        <v>2160</v>
      </c>
      <c r="K554" s="272" t="n">
        <v>2238185.6</v>
      </c>
    </row>
    <row r="555" customFormat="false" ht="15" hidden="false" customHeight="false" outlineLevel="0" collapsed="false">
      <c r="A555" s="0" t="s">
        <v>2041</v>
      </c>
      <c r="B555" s="0" t="s">
        <v>2042</v>
      </c>
      <c r="C555" s="0" t="s">
        <v>2156</v>
      </c>
      <c r="D555" s="0" t="s">
        <v>2105</v>
      </c>
      <c r="E555" s="0" t="s">
        <v>2045</v>
      </c>
      <c r="F555" s="0" t="s">
        <v>2163</v>
      </c>
      <c r="G555" s="0" t="s">
        <v>2168</v>
      </c>
      <c r="H555" s="0" t="s">
        <v>2165</v>
      </c>
      <c r="J555" s="0" t="s">
        <v>2160</v>
      </c>
      <c r="K555" s="272" t="n">
        <v>311603.22</v>
      </c>
    </row>
    <row r="556" customFormat="false" ht="15" hidden="false" customHeight="false" outlineLevel="0" collapsed="false">
      <c r="A556" s="0" t="s">
        <v>2041</v>
      </c>
      <c r="B556" s="0" t="s">
        <v>2042</v>
      </c>
      <c r="C556" s="0" t="s">
        <v>2161</v>
      </c>
      <c r="D556" s="0" t="s">
        <v>2105</v>
      </c>
      <c r="E556" s="0" t="s">
        <v>2045</v>
      </c>
      <c r="F556" s="0" t="s">
        <v>2163</v>
      </c>
      <c r="G556" s="0" t="s">
        <v>2168</v>
      </c>
      <c r="H556" s="0" t="s">
        <v>2165</v>
      </c>
      <c r="J556" s="0" t="s">
        <v>2160</v>
      </c>
      <c r="K556" s="272" t="n">
        <v>97292.38</v>
      </c>
    </row>
    <row r="557" customFormat="false" ht="15" hidden="false" customHeight="false" outlineLevel="0" collapsed="false">
      <c r="A557" s="0" t="s">
        <v>2041</v>
      </c>
      <c r="B557" s="0" t="s">
        <v>2042</v>
      </c>
      <c r="C557" s="0" t="s">
        <v>2156</v>
      </c>
      <c r="D557" s="0" t="s">
        <v>2105</v>
      </c>
      <c r="E557" s="0" t="s">
        <v>2045</v>
      </c>
      <c r="F557" s="0" t="s">
        <v>2163</v>
      </c>
      <c r="G557" s="0" t="s">
        <v>2168</v>
      </c>
      <c r="H557" s="0" t="s">
        <v>2166</v>
      </c>
      <c r="I557" s="0" t="s">
        <v>2167</v>
      </c>
      <c r="J557" s="0" t="s">
        <v>2160</v>
      </c>
      <c r="K557" s="272" t="n">
        <v>3439328.14</v>
      </c>
    </row>
    <row r="558" customFormat="false" ht="15" hidden="false" customHeight="false" outlineLevel="0" collapsed="false">
      <c r="A558" s="0" t="s">
        <v>2041</v>
      </c>
      <c r="B558" s="0" t="s">
        <v>2042</v>
      </c>
      <c r="C558" s="0" t="s">
        <v>2161</v>
      </c>
      <c r="D558" s="0" t="s">
        <v>2105</v>
      </c>
      <c r="E558" s="0" t="s">
        <v>2045</v>
      </c>
      <c r="F558" s="0" t="s">
        <v>2163</v>
      </c>
      <c r="G558" s="0" t="s">
        <v>2168</v>
      </c>
      <c r="H558" s="0" t="s">
        <v>2166</v>
      </c>
      <c r="I558" s="0" t="s">
        <v>2167</v>
      </c>
      <c r="J558" s="0" t="s">
        <v>2160</v>
      </c>
      <c r="K558" s="272" t="n">
        <v>497408.96</v>
      </c>
    </row>
    <row r="559" customFormat="false" ht="15" hidden="false" customHeight="false" outlineLevel="0" collapsed="false">
      <c r="A559" s="0" t="s">
        <v>2041</v>
      </c>
      <c r="B559" s="0" t="s">
        <v>2042</v>
      </c>
      <c r="C559" s="0" t="s">
        <v>2156</v>
      </c>
      <c r="D559" s="0" t="s">
        <v>2105</v>
      </c>
      <c r="E559" s="0" t="s">
        <v>2045</v>
      </c>
      <c r="F559" s="0" t="s">
        <v>2163</v>
      </c>
      <c r="G559" s="0" t="s">
        <v>2170</v>
      </c>
      <c r="H559" s="0" t="s">
        <v>2169</v>
      </c>
      <c r="J559" s="0" t="s">
        <v>2160</v>
      </c>
      <c r="K559" s="272" t="n">
        <v>34574.62</v>
      </c>
    </row>
    <row r="560" customFormat="false" ht="15" hidden="false" customHeight="false" outlineLevel="0" collapsed="false">
      <c r="A560" s="0" t="s">
        <v>2041</v>
      </c>
      <c r="B560" s="0" t="s">
        <v>2042</v>
      </c>
      <c r="C560" s="0" t="s">
        <v>2161</v>
      </c>
      <c r="D560" s="0" t="s">
        <v>2105</v>
      </c>
      <c r="E560" s="0" t="s">
        <v>2045</v>
      </c>
      <c r="F560" s="0" t="s">
        <v>2163</v>
      </c>
      <c r="G560" s="0" t="s">
        <v>2170</v>
      </c>
      <c r="H560" s="0" t="s">
        <v>2169</v>
      </c>
      <c r="J560" s="0" t="s">
        <v>2160</v>
      </c>
      <c r="K560" s="272" t="n">
        <v>9500.32</v>
      </c>
    </row>
    <row r="561" customFormat="false" ht="15" hidden="false" customHeight="false" outlineLevel="0" collapsed="false">
      <c r="A561" s="0" t="s">
        <v>2041</v>
      </c>
      <c r="B561" s="0" t="s">
        <v>2042</v>
      </c>
      <c r="C561" s="0" t="s">
        <v>2156</v>
      </c>
      <c r="D561" s="0" t="s">
        <v>2105</v>
      </c>
      <c r="E561" s="0" t="s">
        <v>2045</v>
      </c>
      <c r="F561" s="0" t="s">
        <v>2163</v>
      </c>
      <c r="G561" s="0" t="s">
        <v>2170</v>
      </c>
      <c r="H561" s="0" t="s">
        <v>2165</v>
      </c>
      <c r="J561" s="0" t="s">
        <v>2160</v>
      </c>
      <c r="K561" s="272" t="n">
        <v>7513260.97</v>
      </c>
    </row>
    <row r="562" customFormat="false" ht="15" hidden="false" customHeight="false" outlineLevel="0" collapsed="false">
      <c r="A562" s="0" t="s">
        <v>2041</v>
      </c>
      <c r="B562" s="0" t="s">
        <v>2042</v>
      </c>
      <c r="C562" s="0" t="s">
        <v>2161</v>
      </c>
      <c r="D562" s="0" t="s">
        <v>2105</v>
      </c>
      <c r="E562" s="0" t="s">
        <v>2045</v>
      </c>
      <c r="F562" s="0" t="s">
        <v>2163</v>
      </c>
      <c r="G562" s="0" t="s">
        <v>2170</v>
      </c>
      <c r="H562" s="0" t="s">
        <v>2165</v>
      </c>
      <c r="J562" s="0" t="s">
        <v>2160</v>
      </c>
      <c r="K562" s="272" t="n">
        <v>2180485.94</v>
      </c>
    </row>
    <row r="563" customFormat="false" ht="15" hidden="false" customHeight="false" outlineLevel="0" collapsed="false">
      <c r="A563" s="0" t="s">
        <v>2041</v>
      </c>
      <c r="B563" s="0" t="s">
        <v>2042</v>
      </c>
      <c r="C563" s="0" t="s">
        <v>2156</v>
      </c>
      <c r="D563" s="0" t="s">
        <v>2105</v>
      </c>
      <c r="E563" s="0" t="s">
        <v>2045</v>
      </c>
      <c r="F563" s="0" t="s">
        <v>2163</v>
      </c>
      <c r="G563" s="0" t="s">
        <v>2170</v>
      </c>
      <c r="H563" s="0" t="s">
        <v>2165</v>
      </c>
      <c r="I563" s="0" t="s">
        <v>2124</v>
      </c>
      <c r="J563" s="0" t="s">
        <v>2160</v>
      </c>
      <c r="K563" s="272" t="n">
        <v>2582640.22</v>
      </c>
    </row>
    <row r="564" customFormat="false" ht="15" hidden="false" customHeight="false" outlineLevel="0" collapsed="false">
      <c r="A564" s="0" t="s">
        <v>2041</v>
      </c>
      <c r="B564" s="0" t="s">
        <v>2042</v>
      </c>
      <c r="C564" s="0" t="s">
        <v>2161</v>
      </c>
      <c r="D564" s="0" t="s">
        <v>2105</v>
      </c>
      <c r="E564" s="0" t="s">
        <v>2045</v>
      </c>
      <c r="F564" s="0" t="s">
        <v>2163</v>
      </c>
      <c r="G564" s="0" t="s">
        <v>2170</v>
      </c>
      <c r="H564" s="0" t="s">
        <v>2165</v>
      </c>
      <c r="I564" s="0" t="s">
        <v>2124</v>
      </c>
      <c r="J564" s="0" t="s">
        <v>2160</v>
      </c>
      <c r="K564" s="272" t="n">
        <v>667447.81</v>
      </c>
    </row>
    <row r="565" customFormat="false" ht="15" hidden="false" customHeight="false" outlineLevel="0" collapsed="false">
      <c r="A565" s="0" t="s">
        <v>2041</v>
      </c>
      <c r="B565" s="0" t="s">
        <v>2042</v>
      </c>
      <c r="C565" s="0" t="s">
        <v>2156</v>
      </c>
      <c r="D565" s="0" t="s">
        <v>2105</v>
      </c>
      <c r="E565" s="0" t="s">
        <v>2045</v>
      </c>
      <c r="F565" s="0" t="s">
        <v>2163</v>
      </c>
      <c r="G565" s="0" t="s">
        <v>2170</v>
      </c>
      <c r="H565" s="0" t="s">
        <v>2165</v>
      </c>
      <c r="I565" s="0" t="s">
        <v>2167</v>
      </c>
      <c r="J565" s="0" t="s">
        <v>2160</v>
      </c>
      <c r="K565" s="272" t="n">
        <v>4118008.1</v>
      </c>
    </row>
    <row r="566" customFormat="false" ht="15" hidden="false" customHeight="false" outlineLevel="0" collapsed="false">
      <c r="A566" s="0" t="s">
        <v>2041</v>
      </c>
      <c r="B566" s="0" t="s">
        <v>2042</v>
      </c>
      <c r="C566" s="0" t="s">
        <v>2161</v>
      </c>
      <c r="D566" s="0" t="s">
        <v>2105</v>
      </c>
      <c r="E566" s="0" t="s">
        <v>2045</v>
      </c>
      <c r="F566" s="0" t="s">
        <v>2163</v>
      </c>
      <c r="G566" s="0" t="s">
        <v>2170</v>
      </c>
      <c r="H566" s="0" t="s">
        <v>2165</v>
      </c>
      <c r="I566" s="0" t="s">
        <v>2167</v>
      </c>
      <c r="J566" s="0" t="s">
        <v>2160</v>
      </c>
      <c r="K566" s="272" t="n">
        <v>1601885.45</v>
      </c>
    </row>
    <row r="567" customFormat="false" ht="15" hidden="false" customHeight="false" outlineLevel="0" collapsed="false">
      <c r="A567" s="0" t="s">
        <v>2041</v>
      </c>
      <c r="B567" s="0" t="s">
        <v>2042</v>
      </c>
      <c r="C567" s="0" t="s">
        <v>2156</v>
      </c>
      <c r="D567" s="0" t="s">
        <v>2105</v>
      </c>
      <c r="E567" s="0" t="s">
        <v>2045</v>
      </c>
      <c r="F567" s="0" t="s">
        <v>2163</v>
      </c>
      <c r="G567" s="0" t="s">
        <v>2170</v>
      </c>
      <c r="H567" s="0" t="s">
        <v>2171</v>
      </c>
      <c r="J567" s="0" t="s">
        <v>2160</v>
      </c>
      <c r="K567" s="272" t="n">
        <v>1656735.73</v>
      </c>
    </row>
    <row r="568" customFormat="false" ht="15" hidden="false" customHeight="false" outlineLevel="0" collapsed="false">
      <c r="A568" s="0" t="s">
        <v>2041</v>
      </c>
      <c r="B568" s="0" t="s">
        <v>2042</v>
      </c>
      <c r="C568" s="0" t="s">
        <v>2161</v>
      </c>
      <c r="D568" s="0" t="s">
        <v>2105</v>
      </c>
      <c r="E568" s="0" t="s">
        <v>2045</v>
      </c>
      <c r="F568" s="0" t="s">
        <v>2163</v>
      </c>
      <c r="G568" s="0" t="s">
        <v>2170</v>
      </c>
      <c r="H568" s="0" t="s">
        <v>2171</v>
      </c>
      <c r="J568" s="0" t="s">
        <v>2160</v>
      </c>
      <c r="K568" s="272" t="n">
        <v>666977.23</v>
      </c>
    </row>
    <row r="569" customFormat="false" ht="15" hidden="false" customHeight="false" outlineLevel="0" collapsed="false">
      <c r="A569" s="0" t="s">
        <v>2041</v>
      </c>
      <c r="B569" s="0" t="s">
        <v>2042</v>
      </c>
      <c r="C569" s="0" t="s">
        <v>2156</v>
      </c>
      <c r="D569" s="0" t="s">
        <v>2105</v>
      </c>
      <c r="E569" s="0" t="s">
        <v>2045</v>
      </c>
      <c r="F569" s="0" t="s">
        <v>2163</v>
      </c>
      <c r="G569" s="0" t="s">
        <v>2172</v>
      </c>
      <c r="H569" s="0" t="s">
        <v>2173</v>
      </c>
      <c r="J569" s="0" t="s">
        <v>2160</v>
      </c>
      <c r="K569" s="272" t="n">
        <v>10537852.35</v>
      </c>
    </row>
    <row r="570" customFormat="false" ht="15" hidden="false" customHeight="false" outlineLevel="0" collapsed="false">
      <c r="A570" s="0" t="s">
        <v>2041</v>
      </c>
      <c r="B570" s="0" t="s">
        <v>2042</v>
      </c>
      <c r="C570" s="0" t="s">
        <v>2161</v>
      </c>
      <c r="D570" s="0" t="s">
        <v>2105</v>
      </c>
      <c r="E570" s="0" t="s">
        <v>2045</v>
      </c>
      <c r="F570" s="0" t="s">
        <v>2163</v>
      </c>
      <c r="G570" s="0" t="s">
        <v>2172</v>
      </c>
      <c r="H570" s="0" t="s">
        <v>2173</v>
      </c>
      <c r="J570" s="0" t="s">
        <v>2160</v>
      </c>
      <c r="K570" s="272" t="n">
        <v>2174302.46</v>
      </c>
    </row>
    <row r="571" customFormat="false" ht="15" hidden="false" customHeight="false" outlineLevel="0" collapsed="false">
      <c r="A571" s="0" t="s">
        <v>2041</v>
      </c>
      <c r="B571" s="0" t="s">
        <v>2042</v>
      </c>
      <c r="C571" s="0" t="s">
        <v>2156</v>
      </c>
      <c r="D571" s="0" t="s">
        <v>2105</v>
      </c>
      <c r="E571" s="0" t="s">
        <v>2045</v>
      </c>
      <c r="F571" s="0" t="s">
        <v>2163</v>
      </c>
      <c r="G571" s="0" t="s">
        <v>2172</v>
      </c>
      <c r="H571" s="0" t="s">
        <v>2173</v>
      </c>
      <c r="I571" s="0" t="s">
        <v>2124</v>
      </c>
      <c r="J571" s="0" t="s">
        <v>2160</v>
      </c>
      <c r="K571" s="272" t="n">
        <v>-1985544.9</v>
      </c>
    </row>
    <row r="572" customFormat="false" ht="15" hidden="false" customHeight="false" outlineLevel="0" collapsed="false">
      <c r="A572" s="0" t="s">
        <v>2041</v>
      </c>
      <c r="B572" s="0" t="s">
        <v>2042</v>
      </c>
      <c r="C572" s="0" t="s">
        <v>2161</v>
      </c>
      <c r="D572" s="0" t="s">
        <v>2105</v>
      </c>
      <c r="E572" s="0" t="s">
        <v>2045</v>
      </c>
      <c r="F572" s="0" t="s">
        <v>2163</v>
      </c>
      <c r="G572" s="0" t="s">
        <v>2172</v>
      </c>
      <c r="H572" s="0" t="s">
        <v>2173</v>
      </c>
      <c r="I572" s="0" t="s">
        <v>2124</v>
      </c>
      <c r="J572" s="0" t="s">
        <v>2160</v>
      </c>
      <c r="K572" s="272" t="n">
        <v>-201282.59</v>
      </c>
    </row>
    <row r="573" customFormat="false" ht="15" hidden="false" customHeight="false" outlineLevel="0" collapsed="false">
      <c r="A573" s="0" t="s">
        <v>2041</v>
      </c>
      <c r="B573" s="0" t="s">
        <v>2042</v>
      </c>
      <c r="C573" s="0" t="s">
        <v>2156</v>
      </c>
      <c r="D573" s="0" t="s">
        <v>2105</v>
      </c>
      <c r="E573" s="0" t="s">
        <v>2045</v>
      </c>
      <c r="F573" s="0" t="s">
        <v>2163</v>
      </c>
      <c r="G573" s="0" t="s">
        <v>2172</v>
      </c>
      <c r="H573" s="0" t="s">
        <v>2173</v>
      </c>
      <c r="I573" s="0" t="s">
        <v>2167</v>
      </c>
      <c r="J573" s="0" t="s">
        <v>2160</v>
      </c>
      <c r="K573" s="272" t="n">
        <v>-713140.5</v>
      </c>
    </row>
    <row r="574" customFormat="false" ht="15" hidden="false" customHeight="false" outlineLevel="0" collapsed="false">
      <c r="A574" s="0" t="s">
        <v>2041</v>
      </c>
      <c r="B574" s="0" t="s">
        <v>2042</v>
      </c>
      <c r="C574" s="0" t="s">
        <v>2161</v>
      </c>
      <c r="D574" s="0" t="s">
        <v>2105</v>
      </c>
      <c r="E574" s="0" t="s">
        <v>2045</v>
      </c>
      <c r="F574" s="0" t="s">
        <v>2163</v>
      </c>
      <c r="G574" s="0" t="s">
        <v>2172</v>
      </c>
      <c r="H574" s="0" t="s">
        <v>2173</v>
      </c>
      <c r="I574" s="0" t="s">
        <v>2167</v>
      </c>
      <c r="J574" s="0" t="s">
        <v>2160</v>
      </c>
      <c r="K574" s="272" t="n">
        <v>-120101.08</v>
      </c>
    </row>
    <row r="575" customFormat="false" ht="15" hidden="false" customHeight="false" outlineLevel="0" collapsed="false">
      <c r="A575" s="0" t="s">
        <v>2041</v>
      </c>
      <c r="B575" s="0" t="s">
        <v>2042</v>
      </c>
      <c r="C575" s="0" t="s">
        <v>2156</v>
      </c>
      <c r="D575" s="0" t="s">
        <v>2105</v>
      </c>
      <c r="E575" s="0" t="s">
        <v>2045</v>
      </c>
      <c r="F575" s="0" t="s">
        <v>2163</v>
      </c>
      <c r="G575" s="0" t="s">
        <v>2174</v>
      </c>
      <c r="H575" s="0" t="s">
        <v>2175</v>
      </c>
      <c r="J575" s="0" t="s">
        <v>2160</v>
      </c>
      <c r="K575" s="272" t="n">
        <v>3124558.8</v>
      </c>
    </row>
    <row r="576" customFormat="false" ht="15" hidden="false" customHeight="false" outlineLevel="0" collapsed="false">
      <c r="A576" s="0" t="s">
        <v>2041</v>
      </c>
      <c r="B576" s="0" t="s">
        <v>2042</v>
      </c>
      <c r="C576" s="0" t="s">
        <v>2161</v>
      </c>
      <c r="D576" s="0" t="s">
        <v>2105</v>
      </c>
      <c r="E576" s="0" t="s">
        <v>2045</v>
      </c>
      <c r="F576" s="0" t="s">
        <v>2163</v>
      </c>
      <c r="G576" s="0" t="s">
        <v>2174</v>
      </c>
      <c r="H576" s="0" t="s">
        <v>2175</v>
      </c>
      <c r="J576" s="0" t="s">
        <v>2160</v>
      </c>
      <c r="K576" s="272" t="n">
        <v>1130674.03</v>
      </c>
    </row>
    <row r="577" customFormat="false" ht="15" hidden="false" customHeight="false" outlineLevel="0" collapsed="false">
      <c r="A577" s="0" t="s">
        <v>2041</v>
      </c>
      <c r="B577" s="0" t="s">
        <v>2042</v>
      </c>
      <c r="C577" s="0" t="s">
        <v>2156</v>
      </c>
      <c r="D577" s="0" t="s">
        <v>2105</v>
      </c>
      <c r="E577" s="0" t="s">
        <v>2045</v>
      </c>
      <c r="F577" s="0" t="s">
        <v>2163</v>
      </c>
      <c r="G577" s="0" t="s">
        <v>2174</v>
      </c>
      <c r="H577" s="0" t="s">
        <v>2175</v>
      </c>
      <c r="I577" s="0" t="s">
        <v>2167</v>
      </c>
      <c r="J577" s="0" t="s">
        <v>2160</v>
      </c>
      <c r="K577" s="272" t="n">
        <v>-350468.37</v>
      </c>
    </row>
    <row r="578" customFormat="false" ht="15" hidden="false" customHeight="false" outlineLevel="0" collapsed="false">
      <c r="A578" s="0" t="s">
        <v>2041</v>
      </c>
      <c r="B578" s="0" t="s">
        <v>2042</v>
      </c>
      <c r="C578" s="0" t="s">
        <v>2161</v>
      </c>
      <c r="D578" s="0" t="s">
        <v>2105</v>
      </c>
      <c r="E578" s="0" t="s">
        <v>2045</v>
      </c>
      <c r="F578" s="0" t="s">
        <v>2163</v>
      </c>
      <c r="G578" s="0" t="s">
        <v>2174</v>
      </c>
      <c r="H578" s="0" t="s">
        <v>2175</v>
      </c>
      <c r="I578" s="0" t="s">
        <v>2167</v>
      </c>
      <c r="J578" s="0" t="s">
        <v>2160</v>
      </c>
      <c r="K578" s="272" t="n">
        <v>-12971.69</v>
      </c>
    </row>
    <row r="579" customFormat="false" ht="15" hidden="false" customHeight="false" outlineLevel="0" collapsed="false">
      <c r="A579" s="0" t="s">
        <v>2041</v>
      </c>
      <c r="B579" s="0" t="s">
        <v>2042</v>
      </c>
      <c r="C579" s="0" t="s">
        <v>2156</v>
      </c>
      <c r="D579" s="0" t="s">
        <v>2105</v>
      </c>
      <c r="E579" s="0" t="s">
        <v>2045</v>
      </c>
      <c r="F579" s="0" t="s">
        <v>2176</v>
      </c>
      <c r="G579" s="0" t="s">
        <v>2177</v>
      </c>
      <c r="H579" s="0" t="s">
        <v>2178</v>
      </c>
      <c r="J579" s="0" t="s">
        <v>2160</v>
      </c>
      <c r="K579" s="272" t="n">
        <v>-588312.22</v>
      </c>
    </row>
    <row r="580" customFormat="false" ht="15" hidden="false" customHeight="false" outlineLevel="0" collapsed="false">
      <c r="A580" s="0" t="s">
        <v>2041</v>
      </c>
      <c r="B580" s="0" t="s">
        <v>2042</v>
      </c>
      <c r="C580" s="0" t="s">
        <v>2161</v>
      </c>
      <c r="D580" s="0" t="s">
        <v>2105</v>
      </c>
      <c r="E580" s="0" t="s">
        <v>2045</v>
      </c>
      <c r="F580" s="0" t="s">
        <v>2176</v>
      </c>
      <c r="G580" s="0" t="s">
        <v>2177</v>
      </c>
      <c r="H580" s="0" t="s">
        <v>2178</v>
      </c>
      <c r="J580" s="0" t="s">
        <v>2160</v>
      </c>
      <c r="K580" s="272" t="n">
        <v>-124732.75</v>
      </c>
    </row>
    <row r="581" customFormat="false" ht="15" hidden="false" customHeight="false" outlineLevel="0" collapsed="false">
      <c r="A581" s="0" t="s">
        <v>2041</v>
      </c>
      <c r="B581" s="0" t="s">
        <v>2042</v>
      </c>
      <c r="C581" s="0" t="s">
        <v>2156</v>
      </c>
      <c r="D581" s="0" t="s">
        <v>2105</v>
      </c>
      <c r="E581" s="0" t="s">
        <v>2045</v>
      </c>
      <c r="F581" s="0" t="s">
        <v>2176</v>
      </c>
      <c r="G581" s="0" t="s">
        <v>2177</v>
      </c>
      <c r="H581" s="0" t="s">
        <v>2178</v>
      </c>
      <c r="I581" s="0" t="s">
        <v>2124</v>
      </c>
      <c r="J581" s="0" t="s">
        <v>2160</v>
      </c>
      <c r="K581" s="272" t="n">
        <v>-73540.04</v>
      </c>
    </row>
    <row r="582" customFormat="false" ht="15" hidden="false" customHeight="false" outlineLevel="0" collapsed="false">
      <c r="A582" s="0" t="s">
        <v>2041</v>
      </c>
      <c r="B582" s="0" t="s">
        <v>2042</v>
      </c>
      <c r="C582" s="0" t="s">
        <v>2161</v>
      </c>
      <c r="D582" s="0" t="s">
        <v>2105</v>
      </c>
      <c r="E582" s="0" t="s">
        <v>2045</v>
      </c>
      <c r="F582" s="0" t="s">
        <v>2176</v>
      </c>
      <c r="G582" s="0" t="s">
        <v>2177</v>
      </c>
      <c r="H582" s="0" t="s">
        <v>2178</v>
      </c>
      <c r="I582" s="0" t="s">
        <v>2124</v>
      </c>
      <c r="J582" s="0" t="s">
        <v>2160</v>
      </c>
      <c r="K582" s="272" t="n">
        <v>196831.28</v>
      </c>
    </row>
    <row r="583" customFormat="false" ht="15" hidden="false" customHeight="false" outlineLevel="0" collapsed="false">
      <c r="A583" s="0" t="s">
        <v>2041</v>
      </c>
      <c r="B583" s="0" t="s">
        <v>2042</v>
      </c>
      <c r="C583" s="0" t="s">
        <v>2156</v>
      </c>
      <c r="D583" s="0" t="s">
        <v>2105</v>
      </c>
      <c r="E583" s="0" t="s">
        <v>2045</v>
      </c>
      <c r="F583" s="0" t="s">
        <v>2176</v>
      </c>
      <c r="G583" s="0" t="s">
        <v>2177</v>
      </c>
      <c r="H583" s="0" t="s">
        <v>2178</v>
      </c>
      <c r="I583" s="0" t="s">
        <v>2167</v>
      </c>
      <c r="J583" s="0" t="s">
        <v>2160</v>
      </c>
      <c r="K583" s="272" t="n">
        <v>1619653.37</v>
      </c>
    </row>
    <row r="584" customFormat="false" ht="15" hidden="false" customHeight="false" outlineLevel="0" collapsed="false">
      <c r="A584" s="0" t="s">
        <v>2041</v>
      </c>
      <c r="B584" s="0" t="s">
        <v>2042</v>
      </c>
      <c r="C584" s="0" t="s">
        <v>2161</v>
      </c>
      <c r="D584" s="0" t="s">
        <v>2105</v>
      </c>
      <c r="E584" s="0" t="s">
        <v>2045</v>
      </c>
      <c r="F584" s="0" t="s">
        <v>2176</v>
      </c>
      <c r="G584" s="0" t="s">
        <v>2177</v>
      </c>
      <c r="H584" s="0" t="s">
        <v>2178</v>
      </c>
      <c r="I584" s="0" t="s">
        <v>2167</v>
      </c>
      <c r="J584" s="0" t="s">
        <v>2160</v>
      </c>
      <c r="K584" s="272" t="n">
        <v>330788.72</v>
      </c>
    </row>
    <row r="585" customFormat="false" ht="15" hidden="false" customHeight="false" outlineLevel="0" collapsed="false">
      <c r="A585" s="0" t="s">
        <v>2041</v>
      </c>
      <c r="B585" s="0" t="s">
        <v>2042</v>
      </c>
      <c r="C585" s="0" t="s">
        <v>2156</v>
      </c>
      <c r="D585" s="0" t="s">
        <v>2105</v>
      </c>
      <c r="E585" s="0" t="s">
        <v>2045</v>
      </c>
      <c r="F585" s="0" t="s">
        <v>2176</v>
      </c>
      <c r="G585" s="0" t="s">
        <v>2177</v>
      </c>
      <c r="H585" s="0" t="s">
        <v>2179</v>
      </c>
      <c r="J585" s="0" t="s">
        <v>2160</v>
      </c>
      <c r="K585" s="272" t="n">
        <v>-3544371.89</v>
      </c>
    </row>
    <row r="586" customFormat="false" ht="15" hidden="false" customHeight="false" outlineLevel="0" collapsed="false">
      <c r="A586" s="0" t="s">
        <v>2041</v>
      </c>
      <c r="B586" s="0" t="s">
        <v>2042</v>
      </c>
      <c r="C586" s="0" t="s">
        <v>2161</v>
      </c>
      <c r="D586" s="0" t="s">
        <v>2105</v>
      </c>
      <c r="E586" s="0" t="s">
        <v>2045</v>
      </c>
      <c r="F586" s="0" t="s">
        <v>2176</v>
      </c>
      <c r="G586" s="0" t="s">
        <v>2177</v>
      </c>
      <c r="H586" s="0" t="s">
        <v>2179</v>
      </c>
      <c r="J586" s="0" t="s">
        <v>2160</v>
      </c>
      <c r="K586" s="272" t="n">
        <v>-1554008.21</v>
      </c>
    </row>
    <row r="587" customFormat="false" ht="15" hidden="false" customHeight="false" outlineLevel="0" collapsed="false">
      <c r="A587" s="0" t="s">
        <v>2041</v>
      </c>
      <c r="B587" s="0" t="s">
        <v>2042</v>
      </c>
      <c r="C587" s="0" t="s">
        <v>2156</v>
      </c>
      <c r="D587" s="0" t="s">
        <v>2105</v>
      </c>
      <c r="E587" s="0" t="s">
        <v>2045</v>
      </c>
      <c r="F587" s="0" t="s">
        <v>2176</v>
      </c>
      <c r="G587" s="0" t="s">
        <v>2177</v>
      </c>
      <c r="H587" s="0" t="s">
        <v>2180</v>
      </c>
      <c r="J587" s="0" t="s">
        <v>2160</v>
      </c>
      <c r="K587" s="272" t="n">
        <v>3497654.97</v>
      </c>
    </row>
    <row r="588" customFormat="false" ht="15" hidden="false" customHeight="false" outlineLevel="0" collapsed="false">
      <c r="A588" s="0" t="s">
        <v>2041</v>
      </c>
      <c r="B588" s="0" t="s">
        <v>2042</v>
      </c>
      <c r="C588" s="0" t="s">
        <v>2161</v>
      </c>
      <c r="D588" s="0" t="s">
        <v>2105</v>
      </c>
      <c r="E588" s="0" t="s">
        <v>2045</v>
      </c>
      <c r="F588" s="0" t="s">
        <v>2176</v>
      </c>
      <c r="G588" s="0" t="s">
        <v>2177</v>
      </c>
      <c r="H588" s="0" t="s">
        <v>2180</v>
      </c>
      <c r="J588" s="0" t="s">
        <v>2160</v>
      </c>
      <c r="K588" s="272" t="n">
        <v>822946.57</v>
      </c>
    </row>
    <row r="589" customFormat="false" ht="15" hidden="false" customHeight="false" outlineLevel="0" collapsed="false">
      <c r="A589" s="0" t="s">
        <v>2041</v>
      </c>
      <c r="B589" s="0" t="s">
        <v>2042</v>
      </c>
      <c r="C589" s="0" t="s">
        <v>2156</v>
      </c>
      <c r="D589" s="0" t="s">
        <v>2105</v>
      </c>
      <c r="E589" s="0" t="s">
        <v>2045</v>
      </c>
      <c r="F589" s="0" t="s">
        <v>2176</v>
      </c>
      <c r="G589" s="0" t="s">
        <v>2181</v>
      </c>
      <c r="H589" s="0" t="s">
        <v>2182</v>
      </c>
      <c r="J589" s="0" t="s">
        <v>2160</v>
      </c>
      <c r="K589" s="272" t="n">
        <v>2759932.135</v>
      </c>
    </row>
    <row r="590" customFormat="false" ht="15" hidden="false" customHeight="false" outlineLevel="0" collapsed="false">
      <c r="A590" s="0" t="s">
        <v>2041</v>
      </c>
      <c r="B590" s="0" t="s">
        <v>2042</v>
      </c>
      <c r="C590" s="0" t="s">
        <v>2161</v>
      </c>
      <c r="D590" s="0" t="s">
        <v>2105</v>
      </c>
      <c r="E590" s="0" t="s">
        <v>2045</v>
      </c>
      <c r="F590" s="0" t="s">
        <v>2176</v>
      </c>
      <c r="G590" s="0" t="s">
        <v>2181</v>
      </c>
      <c r="H590" s="0" t="s">
        <v>2182</v>
      </c>
      <c r="J590" s="0" t="s">
        <v>2160</v>
      </c>
      <c r="K590" s="272" t="n">
        <v>384227.215</v>
      </c>
    </row>
    <row r="591" customFormat="false" ht="15" hidden="false" customHeight="false" outlineLevel="0" collapsed="false">
      <c r="A591" s="0" t="s">
        <v>2041</v>
      </c>
      <c r="B591" s="0" t="s">
        <v>2042</v>
      </c>
      <c r="C591" s="0" t="s">
        <v>2156</v>
      </c>
      <c r="D591" s="0" t="s">
        <v>2105</v>
      </c>
      <c r="E591" s="0" t="s">
        <v>2045</v>
      </c>
      <c r="F591" s="0" t="s">
        <v>2176</v>
      </c>
      <c r="G591" s="0" t="s">
        <v>2181</v>
      </c>
      <c r="H591" s="0" t="s">
        <v>2182</v>
      </c>
      <c r="I591" s="0" t="s">
        <v>2124</v>
      </c>
      <c r="J591" s="0" t="s">
        <v>2160</v>
      </c>
      <c r="K591" s="272" t="n">
        <v>686415.8224</v>
      </c>
    </row>
    <row r="592" customFormat="false" ht="15" hidden="false" customHeight="false" outlineLevel="0" collapsed="false">
      <c r="A592" s="0" t="s">
        <v>2041</v>
      </c>
      <c r="B592" s="0" t="s">
        <v>2042</v>
      </c>
      <c r="C592" s="0" t="s">
        <v>2161</v>
      </c>
      <c r="D592" s="0" t="s">
        <v>2105</v>
      </c>
      <c r="E592" s="0" t="s">
        <v>2045</v>
      </c>
      <c r="F592" s="0" t="s">
        <v>2176</v>
      </c>
      <c r="G592" s="0" t="s">
        <v>2181</v>
      </c>
      <c r="H592" s="0" t="s">
        <v>2182</v>
      </c>
      <c r="I592" s="0" t="s">
        <v>2124</v>
      </c>
      <c r="J592" s="0" t="s">
        <v>2160</v>
      </c>
      <c r="K592" s="272" t="n">
        <v>43598.4438</v>
      </c>
    </row>
    <row r="593" customFormat="false" ht="15" hidden="false" customHeight="false" outlineLevel="0" collapsed="false">
      <c r="A593" s="0" t="s">
        <v>2041</v>
      </c>
      <c r="B593" s="0" t="s">
        <v>2042</v>
      </c>
      <c r="C593" s="0" t="s">
        <v>2156</v>
      </c>
      <c r="D593" s="0" t="s">
        <v>2105</v>
      </c>
      <c r="E593" s="0" t="s">
        <v>2045</v>
      </c>
      <c r="F593" s="0" t="s">
        <v>2176</v>
      </c>
      <c r="G593" s="0" t="s">
        <v>2181</v>
      </c>
      <c r="H593" s="0" t="s">
        <v>2183</v>
      </c>
      <c r="I593" s="0" t="s">
        <v>2124</v>
      </c>
      <c r="J593" s="0" t="s">
        <v>2160</v>
      </c>
      <c r="K593" s="272" t="n">
        <v>-145053.6912</v>
      </c>
    </row>
    <row r="594" customFormat="false" ht="15" hidden="false" customHeight="false" outlineLevel="0" collapsed="false">
      <c r="A594" s="0" t="s">
        <v>2041</v>
      </c>
      <c r="B594" s="0" t="s">
        <v>2042</v>
      </c>
      <c r="C594" s="0" t="s">
        <v>2161</v>
      </c>
      <c r="D594" s="0" t="s">
        <v>2105</v>
      </c>
      <c r="E594" s="0" t="s">
        <v>2045</v>
      </c>
      <c r="F594" s="0" t="s">
        <v>2176</v>
      </c>
      <c r="G594" s="0" t="s">
        <v>2181</v>
      </c>
      <c r="H594" s="0" t="s">
        <v>2183</v>
      </c>
      <c r="I594" s="0" t="s">
        <v>2124</v>
      </c>
      <c r="J594" s="0" t="s">
        <v>2160</v>
      </c>
      <c r="K594" s="272" t="n">
        <v>-16418.3019</v>
      </c>
    </row>
    <row r="595" customFormat="false" ht="15" hidden="false" customHeight="false" outlineLevel="0" collapsed="false">
      <c r="A595" s="0" t="s">
        <v>2041</v>
      </c>
      <c r="B595" s="0" t="s">
        <v>2042</v>
      </c>
      <c r="C595" s="0" t="s">
        <v>2156</v>
      </c>
      <c r="D595" s="0" t="s">
        <v>2105</v>
      </c>
      <c r="E595" s="0" t="s">
        <v>2045</v>
      </c>
      <c r="F595" s="0" t="s">
        <v>2176</v>
      </c>
      <c r="G595" s="0" t="s">
        <v>2181</v>
      </c>
      <c r="H595" s="0" t="s">
        <v>2184</v>
      </c>
      <c r="J595" s="0" t="s">
        <v>2160</v>
      </c>
      <c r="K595" s="272" t="n">
        <v>4933069.845</v>
      </c>
    </row>
    <row r="596" customFormat="false" ht="15" hidden="false" customHeight="false" outlineLevel="0" collapsed="false">
      <c r="A596" s="0" t="s">
        <v>2041</v>
      </c>
      <c r="B596" s="0" t="s">
        <v>2042</v>
      </c>
      <c r="C596" s="0" t="s">
        <v>2161</v>
      </c>
      <c r="D596" s="0" t="s">
        <v>2105</v>
      </c>
      <c r="E596" s="0" t="s">
        <v>2045</v>
      </c>
      <c r="F596" s="0" t="s">
        <v>2176</v>
      </c>
      <c r="G596" s="0" t="s">
        <v>2181</v>
      </c>
      <c r="H596" s="0" t="s">
        <v>2184</v>
      </c>
      <c r="J596" s="0" t="s">
        <v>2160</v>
      </c>
      <c r="K596" s="272" t="n">
        <v>481266.965</v>
      </c>
    </row>
    <row r="597" customFormat="false" ht="15" hidden="false" customHeight="false" outlineLevel="0" collapsed="false">
      <c r="A597" s="0" t="s">
        <v>2041</v>
      </c>
      <c r="B597" s="0" t="s">
        <v>2042</v>
      </c>
      <c r="C597" s="0" t="s">
        <v>2156</v>
      </c>
      <c r="D597" s="0" t="s">
        <v>2105</v>
      </c>
      <c r="E597" s="0" t="s">
        <v>2045</v>
      </c>
      <c r="F597" s="0" t="s">
        <v>2176</v>
      </c>
      <c r="G597" s="0" t="s">
        <v>2181</v>
      </c>
      <c r="H597" s="0" t="s">
        <v>2185</v>
      </c>
      <c r="J597" s="0" t="s">
        <v>2160</v>
      </c>
      <c r="K597" s="272" t="n">
        <v>-508894.31</v>
      </c>
    </row>
    <row r="598" customFormat="false" ht="15" hidden="false" customHeight="false" outlineLevel="0" collapsed="false">
      <c r="A598" s="0" t="s">
        <v>2041</v>
      </c>
      <c r="B598" s="0" t="s">
        <v>2042</v>
      </c>
      <c r="C598" s="0" t="s">
        <v>2161</v>
      </c>
      <c r="D598" s="0" t="s">
        <v>2105</v>
      </c>
      <c r="E598" s="0" t="s">
        <v>2045</v>
      </c>
      <c r="F598" s="0" t="s">
        <v>2176</v>
      </c>
      <c r="G598" s="0" t="s">
        <v>2181</v>
      </c>
      <c r="H598" s="0" t="s">
        <v>2185</v>
      </c>
      <c r="J598" s="0" t="s">
        <v>2160</v>
      </c>
      <c r="K598" s="272" t="n">
        <v>-298160.92</v>
      </c>
    </row>
    <row r="599" customFormat="false" ht="15" hidden="false" customHeight="false" outlineLevel="0" collapsed="false">
      <c r="A599" s="0" t="s">
        <v>2041</v>
      </c>
      <c r="B599" s="0" t="s">
        <v>2042</v>
      </c>
      <c r="C599" s="0" t="s">
        <v>2156</v>
      </c>
      <c r="D599" s="0" t="s">
        <v>2105</v>
      </c>
      <c r="E599" s="0" t="s">
        <v>2045</v>
      </c>
      <c r="F599" s="0" t="s">
        <v>2176</v>
      </c>
      <c r="G599" s="0" t="s">
        <v>2181</v>
      </c>
      <c r="H599" s="0" t="s">
        <v>2185</v>
      </c>
      <c r="I599" s="0" t="s">
        <v>2124</v>
      </c>
      <c r="J599" s="0" t="s">
        <v>2160</v>
      </c>
      <c r="K599" s="272" t="n">
        <v>-3533937.7112</v>
      </c>
    </row>
    <row r="600" customFormat="false" ht="15" hidden="false" customHeight="false" outlineLevel="0" collapsed="false">
      <c r="A600" s="0" t="s">
        <v>2041</v>
      </c>
      <c r="B600" s="0" t="s">
        <v>2042</v>
      </c>
      <c r="C600" s="0" t="s">
        <v>2161</v>
      </c>
      <c r="D600" s="0" t="s">
        <v>2105</v>
      </c>
      <c r="E600" s="0" t="s">
        <v>2045</v>
      </c>
      <c r="F600" s="0" t="s">
        <v>2176</v>
      </c>
      <c r="G600" s="0" t="s">
        <v>2181</v>
      </c>
      <c r="H600" s="0" t="s">
        <v>2185</v>
      </c>
      <c r="I600" s="0" t="s">
        <v>2124</v>
      </c>
      <c r="J600" s="0" t="s">
        <v>2160</v>
      </c>
      <c r="K600" s="272" t="n">
        <v>-130588.3519</v>
      </c>
    </row>
    <row r="601" customFormat="false" ht="15" hidden="false" customHeight="false" outlineLevel="0" collapsed="false">
      <c r="A601" s="0" t="s">
        <v>2041</v>
      </c>
      <c r="B601" s="0" t="s">
        <v>2042</v>
      </c>
      <c r="C601" s="0" t="s">
        <v>2156</v>
      </c>
      <c r="D601" s="0" t="s">
        <v>2105</v>
      </c>
      <c r="E601" s="0" t="s">
        <v>2045</v>
      </c>
      <c r="F601" s="0" t="s">
        <v>2176</v>
      </c>
      <c r="G601" s="0" t="s">
        <v>2181</v>
      </c>
      <c r="H601" s="0" t="s">
        <v>2186</v>
      </c>
      <c r="J601" s="0" t="s">
        <v>2160</v>
      </c>
      <c r="K601" s="272" t="n">
        <v>-3552549.36</v>
      </c>
    </row>
    <row r="602" customFormat="false" ht="15" hidden="false" customHeight="false" outlineLevel="0" collapsed="false">
      <c r="A602" s="0" t="s">
        <v>2041</v>
      </c>
      <c r="B602" s="0" t="s">
        <v>2042</v>
      </c>
      <c r="C602" s="0" t="s">
        <v>2161</v>
      </c>
      <c r="D602" s="0" t="s">
        <v>2105</v>
      </c>
      <c r="E602" s="0" t="s">
        <v>2045</v>
      </c>
      <c r="F602" s="0" t="s">
        <v>2176</v>
      </c>
      <c r="G602" s="0" t="s">
        <v>2181</v>
      </c>
      <c r="H602" s="0" t="s">
        <v>2186</v>
      </c>
      <c r="J602" s="0" t="s">
        <v>2160</v>
      </c>
      <c r="K602" s="272" t="n">
        <v>-572123.76</v>
      </c>
    </row>
    <row r="603" customFormat="false" ht="15" hidden="false" customHeight="false" outlineLevel="0" collapsed="false">
      <c r="A603" s="0" t="s">
        <v>2041</v>
      </c>
      <c r="B603" s="0" t="s">
        <v>2042</v>
      </c>
      <c r="C603" s="0" t="s">
        <v>2156</v>
      </c>
      <c r="D603" s="0" t="s">
        <v>2105</v>
      </c>
      <c r="E603" s="0" t="s">
        <v>2045</v>
      </c>
      <c r="F603" s="0" t="s">
        <v>2176</v>
      </c>
      <c r="G603" s="0" t="s">
        <v>2181</v>
      </c>
      <c r="H603" s="0" t="s">
        <v>2187</v>
      </c>
      <c r="J603" s="0" t="s">
        <v>2160</v>
      </c>
      <c r="K603" s="272" t="n">
        <v>657777.03</v>
      </c>
    </row>
    <row r="604" customFormat="false" ht="15" hidden="false" customHeight="false" outlineLevel="0" collapsed="false">
      <c r="A604" s="0" t="s">
        <v>2041</v>
      </c>
      <c r="B604" s="0" t="s">
        <v>2042</v>
      </c>
      <c r="C604" s="0" t="s">
        <v>2161</v>
      </c>
      <c r="D604" s="0" t="s">
        <v>2105</v>
      </c>
      <c r="E604" s="0" t="s">
        <v>2045</v>
      </c>
      <c r="F604" s="0" t="s">
        <v>2176</v>
      </c>
      <c r="G604" s="0" t="s">
        <v>2181</v>
      </c>
      <c r="H604" s="0" t="s">
        <v>2187</v>
      </c>
      <c r="J604" s="0" t="s">
        <v>2160</v>
      </c>
      <c r="K604" s="272" t="n">
        <v>-150260.54</v>
      </c>
    </row>
    <row r="605" customFormat="false" ht="15" hidden="false" customHeight="false" outlineLevel="0" collapsed="false">
      <c r="A605" s="0" t="s">
        <v>2041</v>
      </c>
      <c r="B605" s="0" t="s">
        <v>2042</v>
      </c>
      <c r="C605" s="0" t="s">
        <v>2156</v>
      </c>
      <c r="D605" s="0" t="s">
        <v>2105</v>
      </c>
      <c r="E605" s="0" t="s">
        <v>2045</v>
      </c>
      <c r="F605" s="0" t="s">
        <v>2176</v>
      </c>
      <c r="G605" s="0" t="s">
        <v>2181</v>
      </c>
      <c r="H605" s="0" t="s">
        <v>2187</v>
      </c>
      <c r="I605" s="0" t="s">
        <v>2124</v>
      </c>
      <c r="J605" s="0" t="s">
        <v>2160</v>
      </c>
      <c r="K605" s="272" t="n">
        <v>-5659989.72</v>
      </c>
    </row>
    <row r="606" customFormat="false" ht="15" hidden="false" customHeight="false" outlineLevel="0" collapsed="false">
      <c r="A606" s="0" t="s">
        <v>2041</v>
      </c>
      <c r="B606" s="0" t="s">
        <v>2042</v>
      </c>
      <c r="C606" s="0" t="s">
        <v>2161</v>
      </c>
      <c r="D606" s="0" t="s">
        <v>2105</v>
      </c>
      <c r="E606" s="0" t="s">
        <v>2045</v>
      </c>
      <c r="F606" s="0" t="s">
        <v>2176</v>
      </c>
      <c r="G606" s="0" t="s">
        <v>2181</v>
      </c>
      <c r="H606" s="0" t="s">
        <v>2187</v>
      </c>
      <c r="I606" s="0" t="s">
        <v>2124</v>
      </c>
      <c r="J606" s="0" t="s">
        <v>2160</v>
      </c>
      <c r="K606" s="272" t="n">
        <v>-818981.98</v>
      </c>
    </row>
    <row r="607" customFormat="false" ht="15" hidden="false" customHeight="false" outlineLevel="0" collapsed="false">
      <c r="A607" s="0" t="s">
        <v>2041</v>
      </c>
      <c r="B607" s="0" t="s">
        <v>2042</v>
      </c>
      <c r="C607" s="0" t="s">
        <v>2156</v>
      </c>
      <c r="D607" s="0" t="s">
        <v>2105</v>
      </c>
      <c r="E607" s="0" t="s">
        <v>2045</v>
      </c>
      <c r="F607" s="0" t="s">
        <v>2176</v>
      </c>
      <c r="G607" s="0" t="s">
        <v>2181</v>
      </c>
      <c r="H607" s="0" t="s">
        <v>2179</v>
      </c>
      <c r="J607" s="0" t="s">
        <v>2160</v>
      </c>
      <c r="K607" s="272" t="n">
        <v>-11364779.52</v>
      </c>
    </row>
    <row r="608" customFormat="false" ht="15" hidden="false" customHeight="false" outlineLevel="0" collapsed="false">
      <c r="A608" s="0" t="s">
        <v>2041</v>
      </c>
      <c r="B608" s="0" t="s">
        <v>2042</v>
      </c>
      <c r="C608" s="0" t="s">
        <v>2161</v>
      </c>
      <c r="D608" s="0" t="s">
        <v>2105</v>
      </c>
      <c r="E608" s="0" t="s">
        <v>2045</v>
      </c>
      <c r="F608" s="0" t="s">
        <v>2176</v>
      </c>
      <c r="G608" s="0" t="s">
        <v>2181</v>
      </c>
      <c r="H608" s="0" t="s">
        <v>2179</v>
      </c>
      <c r="J608" s="0" t="s">
        <v>2160</v>
      </c>
      <c r="K608" s="272" t="n">
        <v>-1369768.68</v>
      </c>
    </row>
    <row r="609" customFormat="false" ht="15" hidden="false" customHeight="false" outlineLevel="0" collapsed="false">
      <c r="A609" s="0" t="s">
        <v>2041</v>
      </c>
      <c r="B609" s="0" t="s">
        <v>2042</v>
      </c>
      <c r="C609" s="0" t="s">
        <v>2156</v>
      </c>
      <c r="D609" s="0" t="s">
        <v>2105</v>
      </c>
      <c r="E609" s="0" t="s">
        <v>2045</v>
      </c>
      <c r="F609" s="0" t="s">
        <v>2176</v>
      </c>
      <c r="G609" s="0" t="s">
        <v>2188</v>
      </c>
      <c r="H609" s="0" t="s">
        <v>2189</v>
      </c>
      <c r="J609" s="0" t="s">
        <v>2160</v>
      </c>
      <c r="K609" s="272" t="n">
        <v>-32634650.05</v>
      </c>
    </row>
    <row r="610" customFormat="false" ht="15" hidden="false" customHeight="false" outlineLevel="0" collapsed="false">
      <c r="A610" s="0" t="s">
        <v>2041</v>
      </c>
      <c r="B610" s="0" t="s">
        <v>2042</v>
      </c>
      <c r="C610" s="0" t="s">
        <v>2161</v>
      </c>
      <c r="D610" s="0" t="s">
        <v>2105</v>
      </c>
      <c r="E610" s="0" t="s">
        <v>2045</v>
      </c>
      <c r="F610" s="0" t="s">
        <v>2176</v>
      </c>
      <c r="G610" s="0" t="s">
        <v>2188</v>
      </c>
      <c r="H610" s="0" t="s">
        <v>2189</v>
      </c>
      <c r="J610" s="0" t="s">
        <v>2160</v>
      </c>
      <c r="K610" s="272" t="n">
        <v>-5461356.85</v>
      </c>
    </row>
    <row r="611" customFormat="false" ht="15" hidden="false" customHeight="false" outlineLevel="0" collapsed="false">
      <c r="A611" s="0" t="s">
        <v>2041</v>
      </c>
      <c r="B611" s="0" t="s">
        <v>2042</v>
      </c>
      <c r="C611" s="0" t="s">
        <v>2156</v>
      </c>
      <c r="D611" s="0" t="s">
        <v>2105</v>
      </c>
      <c r="E611" s="0" t="s">
        <v>2045</v>
      </c>
      <c r="F611" s="0" t="s">
        <v>2176</v>
      </c>
      <c r="G611" s="0" t="s">
        <v>2188</v>
      </c>
      <c r="H611" s="0" t="s">
        <v>2189</v>
      </c>
      <c r="I611" s="0" t="s">
        <v>2124</v>
      </c>
      <c r="J611" s="0" t="s">
        <v>2160</v>
      </c>
      <c r="K611" s="272" t="n">
        <v>-481249.46</v>
      </c>
    </row>
    <row r="612" customFormat="false" ht="15" hidden="false" customHeight="false" outlineLevel="0" collapsed="false">
      <c r="A612" s="0" t="s">
        <v>2041</v>
      </c>
      <c r="B612" s="0" t="s">
        <v>2042</v>
      </c>
      <c r="C612" s="0" t="s">
        <v>2161</v>
      </c>
      <c r="D612" s="0" t="s">
        <v>2105</v>
      </c>
      <c r="E612" s="0" t="s">
        <v>2045</v>
      </c>
      <c r="F612" s="0" t="s">
        <v>2176</v>
      </c>
      <c r="G612" s="0" t="s">
        <v>2188</v>
      </c>
      <c r="H612" s="0" t="s">
        <v>2189</v>
      </c>
      <c r="I612" s="0" t="s">
        <v>2124</v>
      </c>
      <c r="J612" s="0" t="s">
        <v>2160</v>
      </c>
      <c r="K612" s="272" t="n">
        <v>-61317.77</v>
      </c>
    </row>
    <row r="613" customFormat="false" ht="15" hidden="false" customHeight="false" outlineLevel="0" collapsed="false">
      <c r="A613" s="0" t="s">
        <v>2041</v>
      </c>
      <c r="B613" s="0" t="s">
        <v>2042</v>
      </c>
      <c r="C613" s="0" t="s">
        <v>2156</v>
      </c>
      <c r="D613" s="0" t="s">
        <v>2105</v>
      </c>
      <c r="E613" s="0" t="s">
        <v>2045</v>
      </c>
      <c r="F613" s="0" t="s">
        <v>2176</v>
      </c>
      <c r="G613" s="0" t="s">
        <v>2188</v>
      </c>
      <c r="H613" s="0" t="s">
        <v>2189</v>
      </c>
      <c r="I613" s="0" t="s">
        <v>2167</v>
      </c>
      <c r="J613" s="0" t="s">
        <v>2160</v>
      </c>
      <c r="K613" s="272" t="n">
        <v>4579785.38</v>
      </c>
    </row>
    <row r="614" customFormat="false" ht="15" hidden="false" customHeight="false" outlineLevel="0" collapsed="false">
      <c r="A614" s="0" t="s">
        <v>2041</v>
      </c>
      <c r="B614" s="0" t="s">
        <v>2042</v>
      </c>
      <c r="C614" s="0" t="s">
        <v>2161</v>
      </c>
      <c r="D614" s="0" t="s">
        <v>2105</v>
      </c>
      <c r="E614" s="0" t="s">
        <v>2045</v>
      </c>
      <c r="F614" s="0" t="s">
        <v>2176</v>
      </c>
      <c r="G614" s="0" t="s">
        <v>2188</v>
      </c>
      <c r="H614" s="0" t="s">
        <v>2189</v>
      </c>
      <c r="I614" s="0" t="s">
        <v>2167</v>
      </c>
      <c r="J614" s="0" t="s">
        <v>2160</v>
      </c>
      <c r="K614" s="272" t="n">
        <v>1564835.11</v>
      </c>
    </row>
    <row r="615" customFormat="false" ht="15" hidden="false" customHeight="false" outlineLevel="0" collapsed="false">
      <c r="A615" s="0" t="s">
        <v>2041</v>
      </c>
      <c r="B615" s="0" t="s">
        <v>2042</v>
      </c>
      <c r="C615" s="0" t="s">
        <v>2156</v>
      </c>
      <c r="D615" s="0" t="s">
        <v>2105</v>
      </c>
      <c r="E615" s="0" t="s">
        <v>2045</v>
      </c>
      <c r="F615" s="0" t="s">
        <v>2176</v>
      </c>
      <c r="G615" s="0" t="s">
        <v>2190</v>
      </c>
      <c r="H615" s="0" t="s">
        <v>2191</v>
      </c>
      <c r="J615" s="0" t="s">
        <v>2160</v>
      </c>
      <c r="K615" s="272" t="n">
        <v>13910520.7</v>
      </c>
    </row>
    <row r="616" customFormat="false" ht="15" hidden="false" customHeight="false" outlineLevel="0" collapsed="false">
      <c r="A616" s="0" t="s">
        <v>2041</v>
      </c>
      <c r="B616" s="0" t="s">
        <v>2042</v>
      </c>
      <c r="C616" s="0" t="s">
        <v>2161</v>
      </c>
      <c r="D616" s="0" t="s">
        <v>2105</v>
      </c>
      <c r="E616" s="0" t="s">
        <v>2045</v>
      </c>
      <c r="F616" s="0" t="s">
        <v>2176</v>
      </c>
      <c r="G616" s="0" t="s">
        <v>2190</v>
      </c>
      <c r="H616" s="0" t="s">
        <v>2191</v>
      </c>
      <c r="J616" s="0" t="s">
        <v>2160</v>
      </c>
      <c r="K616" s="272" t="n">
        <v>2073222.28</v>
      </c>
    </row>
    <row r="617" customFormat="false" ht="15" hidden="false" customHeight="false" outlineLevel="0" collapsed="false">
      <c r="A617" s="0" t="s">
        <v>2041</v>
      </c>
      <c r="B617" s="0" t="s">
        <v>2042</v>
      </c>
      <c r="C617" s="0" t="s">
        <v>2156</v>
      </c>
      <c r="D617" s="0" t="s">
        <v>2105</v>
      </c>
      <c r="E617" s="0" t="s">
        <v>2045</v>
      </c>
      <c r="F617" s="0" t="s">
        <v>2176</v>
      </c>
      <c r="G617" s="0" t="s">
        <v>2190</v>
      </c>
      <c r="H617" s="0" t="s">
        <v>2191</v>
      </c>
      <c r="I617" s="0" t="s">
        <v>2124</v>
      </c>
      <c r="J617" s="0" t="s">
        <v>2160</v>
      </c>
      <c r="K617" s="272" t="n">
        <v>1676744.37</v>
      </c>
    </row>
    <row r="618" customFormat="false" ht="15" hidden="false" customHeight="false" outlineLevel="0" collapsed="false">
      <c r="A618" s="0" t="s">
        <v>2041</v>
      </c>
      <c r="B618" s="0" t="s">
        <v>2042</v>
      </c>
      <c r="C618" s="0" t="s">
        <v>2161</v>
      </c>
      <c r="D618" s="0" t="s">
        <v>2105</v>
      </c>
      <c r="E618" s="0" t="s">
        <v>2045</v>
      </c>
      <c r="F618" s="0" t="s">
        <v>2176</v>
      </c>
      <c r="G618" s="0" t="s">
        <v>2190</v>
      </c>
      <c r="H618" s="0" t="s">
        <v>2191</v>
      </c>
      <c r="I618" s="0" t="s">
        <v>2124</v>
      </c>
      <c r="J618" s="0" t="s">
        <v>2160</v>
      </c>
      <c r="K618" s="272" t="n">
        <v>485545.58</v>
      </c>
    </row>
    <row r="619" customFormat="false" ht="15" hidden="false" customHeight="false" outlineLevel="0" collapsed="false">
      <c r="A619" s="0" t="s">
        <v>2041</v>
      </c>
      <c r="B619" s="0" t="s">
        <v>2042</v>
      </c>
      <c r="C619" s="0" t="s">
        <v>2156</v>
      </c>
      <c r="D619" s="0" t="s">
        <v>2105</v>
      </c>
      <c r="E619" s="0" t="s">
        <v>2045</v>
      </c>
      <c r="F619" s="0" t="s">
        <v>2192</v>
      </c>
      <c r="G619" s="0" t="s">
        <v>2193</v>
      </c>
      <c r="H619" s="0" t="s">
        <v>2162</v>
      </c>
      <c r="J619" s="0" t="s">
        <v>2160</v>
      </c>
      <c r="K619" s="272" t="n">
        <v>2231610.67000001</v>
      </c>
    </row>
    <row r="620" customFormat="false" ht="15" hidden="false" customHeight="false" outlineLevel="0" collapsed="false">
      <c r="A620" s="0" t="s">
        <v>2041</v>
      </c>
      <c r="B620" s="0" t="s">
        <v>2042</v>
      </c>
      <c r="C620" s="0" t="s">
        <v>2161</v>
      </c>
      <c r="D620" s="0" t="s">
        <v>2105</v>
      </c>
      <c r="E620" s="0" t="s">
        <v>2045</v>
      </c>
      <c r="F620" s="0" t="s">
        <v>2192</v>
      </c>
      <c r="G620" s="0" t="s">
        <v>2193</v>
      </c>
      <c r="H620" s="0" t="s">
        <v>2162</v>
      </c>
      <c r="J620" s="0" t="s">
        <v>2160</v>
      </c>
      <c r="K620" s="272" t="n">
        <v>576714.009999999</v>
      </c>
    </row>
    <row r="621" customFormat="false" ht="15" hidden="false" customHeight="false" outlineLevel="0" collapsed="false">
      <c r="A621" s="0" t="s">
        <v>2041</v>
      </c>
      <c r="B621" s="0" t="s">
        <v>2042</v>
      </c>
      <c r="C621" s="0" t="s">
        <v>2156</v>
      </c>
      <c r="D621" s="0" t="s">
        <v>2105</v>
      </c>
      <c r="E621" s="0" t="s">
        <v>2045</v>
      </c>
      <c r="F621" s="0" t="s">
        <v>2192</v>
      </c>
      <c r="G621" s="0" t="s">
        <v>2193</v>
      </c>
      <c r="H621" s="0" t="s">
        <v>2162</v>
      </c>
      <c r="I621" s="0" t="s">
        <v>2124</v>
      </c>
      <c r="J621" s="0" t="s">
        <v>2160</v>
      </c>
      <c r="K621" s="272" t="n">
        <v>-2309925.21</v>
      </c>
    </row>
    <row r="622" customFormat="false" ht="15" hidden="false" customHeight="false" outlineLevel="0" collapsed="false">
      <c r="A622" s="0" t="s">
        <v>2041</v>
      </c>
      <c r="B622" s="0" t="s">
        <v>2042</v>
      </c>
      <c r="C622" s="0" t="s">
        <v>2161</v>
      </c>
      <c r="D622" s="0" t="s">
        <v>2105</v>
      </c>
      <c r="E622" s="0" t="s">
        <v>2045</v>
      </c>
      <c r="F622" s="0" t="s">
        <v>2192</v>
      </c>
      <c r="G622" s="0" t="s">
        <v>2193</v>
      </c>
      <c r="H622" s="0" t="s">
        <v>2162</v>
      </c>
      <c r="I622" s="0" t="s">
        <v>2124</v>
      </c>
      <c r="J622" s="0" t="s">
        <v>2160</v>
      </c>
      <c r="K622" s="272" t="n">
        <v>-413324.89</v>
      </c>
    </row>
    <row r="623" customFormat="false" ht="15" hidden="false" customHeight="false" outlineLevel="0" collapsed="false">
      <c r="A623" s="0" t="s">
        <v>2041</v>
      </c>
      <c r="B623" s="0" t="s">
        <v>2042</v>
      </c>
      <c r="C623" s="0" t="s">
        <v>2156</v>
      </c>
      <c r="D623" s="0" t="s">
        <v>2105</v>
      </c>
      <c r="E623" s="0" t="s">
        <v>2045</v>
      </c>
      <c r="F623" s="0" t="s">
        <v>2192</v>
      </c>
      <c r="G623" s="0" t="s">
        <v>2193</v>
      </c>
      <c r="H623" s="0" t="s">
        <v>2162</v>
      </c>
      <c r="I623" s="0" t="s">
        <v>2101</v>
      </c>
      <c r="J623" s="0" t="s">
        <v>2160</v>
      </c>
      <c r="K623" s="272" t="n">
        <v>313420.05</v>
      </c>
    </row>
    <row r="624" customFormat="false" ht="15" hidden="false" customHeight="false" outlineLevel="0" collapsed="false">
      <c r="A624" s="0" t="s">
        <v>2041</v>
      </c>
      <c r="B624" s="0" t="s">
        <v>2042</v>
      </c>
      <c r="C624" s="0" t="s">
        <v>2161</v>
      </c>
      <c r="D624" s="0" t="s">
        <v>2105</v>
      </c>
      <c r="E624" s="0" t="s">
        <v>2045</v>
      </c>
      <c r="F624" s="0" t="s">
        <v>2192</v>
      </c>
      <c r="G624" s="0" t="s">
        <v>2193</v>
      </c>
      <c r="H624" s="0" t="s">
        <v>2162</v>
      </c>
      <c r="I624" s="0" t="s">
        <v>2101</v>
      </c>
      <c r="J624" s="0" t="s">
        <v>2160</v>
      </c>
      <c r="K624" s="272" t="n">
        <v>55747.2</v>
      </c>
    </row>
    <row r="625" customFormat="false" ht="15" hidden="false" customHeight="false" outlineLevel="0" collapsed="false">
      <c r="A625" s="0" t="s">
        <v>2041</v>
      </c>
      <c r="B625" s="0" t="s">
        <v>2042</v>
      </c>
      <c r="C625" s="0" t="s">
        <v>2156</v>
      </c>
      <c r="D625" s="0" t="s">
        <v>2105</v>
      </c>
      <c r="E625" s="0" t="s">
        <v>2045</v>
      </c>
      <c r="F625" s="0" t="s">
        <v>2192</v>
      </c>
      <c r="G625" s="0" t="s">
        <v>2194</v>
      </c>
      <c r="H625" s="0" t="s">
        <v>2162</v>
      </c>
      <c r="J625" s="0" t="s">
        <v>2160</v>
      </c>
      <c r="K625" s="272" t="n">
        <v>-1379224.68</v>
      </c>
    </row>
    <row r="626" customFormat="false" ht="15" hidden="false" customHeight="false" outlineLevel="0" collapsed="false">
      <c r="A626" s="0" t="s">
        <v>2041</v>
      </c>
      <c r="B626" s="0" t="s">
        <v>2042</v>
      </c>
      <c r="C626" s="0" t="s">
        <v>2161</v>
      </c>
      <c r="D626" s="0" t="s">
        <v>2105</v>
      </c>
      <c r="E626" s="0" t="s">
        <v>2045</v>
      </c>
      <c r="F626" s="0" t="s">
        <v>2192</v>
      </c>
      <c r="G626" s="0" t="s">
        <v>2194</v>
      </c>
      <c r="H626" s="0" t="s">
        <v>2162</v>
      </c>
      <c r="J626" s="0" t="s">
        <v>2160</v>
      </c>
      <c r="K626" s="272" t="n">
        <v>63834.7600000002</v>
      </c>
    </row>
    <row r="627" customFormat="false" ht="15" hidden="false" customHeight="false" outlineLevel="0" collapsed="false">
      <c r="A627" s="0" t="s">
        <v>2041</v>
      </c>
      <c r="B627" s="0" t="s">
        <v>2042</v>
      </c>
      <c r="C627" s="0" t="s">
        <v>2156</v>
      </c>
      <c r="D627" s="0" t="s">
        <v>2105</v>
      </c>
      <c r="E627" s="0" t="s">
        <v>2045</v>
      </c>
      <c r="F627" s="0" t="s">
        <v>2192</v>
      </c>
      <c r="G627" s="0" t="s">
        <v>2194</v>
      </c>
      <c r="H627" s="0" t="s">
        <v>2162</v>
      </c>
      <c r="I627" s="0" t="s">
        <v>2124</v>
      </c>
      <c r="J627" s="0" t="s">
        <v>2160</v>
      </c>
      <c r="K627" s="272" t="n">
        <v>-1245765.88</v>
      </c>
    </row>
    <row r="628" customFormat="false" ht="15" hidden="false" customHeight="false" outlineLevel="0" collapsed="false">
      <c r="A628" s="0" t="s">
        <v>2041</v>
      </c>
      <c r="B628" s="0" t="s">
        <v>2042</v>
      </c>
      <c r="C628" s="0" t="s">
        <v>2161</v>
      </c>
      <c r="D628" s="0" t="s">
        <v>2105</v>
      </c>
      <c r="E628" s="0" t="s">
        <v>2045</v>
      </c>
      <c r="F628" s="0" t="s">
        <v>2192</v>
      </c>
      <c r="G628" s="0" t="s">
        <v>2194</v>
      </c>
      <c r="H628" s="0" t="s">
        <v>2162</v>
      </c>
      <c r="I628" s="0" t="s">
        <v>2124</v>
      </c>
      <c r="J628" s="0" t="s">
        <v>2160</v>
      </c>
      <c r="K628" s="272" t="n">
        <v>-190853.88</v>
      </c>
    </row>
    <row r="629" customFormat="false" ht="15" hidden="false" customHeight="false" outlineLevel="0" collapsed="false">
      <c r="A629" s="0" t="s">
        <v>2041</v>
      </c>
      <c r="B629" s="0" t="s">
        <v>2042</v>
      </c>
      <c r="C629" s="0" t="s">
        <v>2156</v>
      </c>
      <c r="D629" s="0" t="s">
        <v>2105</v>
      </c>
      <c r="E629" s="0" t="s">
        <v>2045</v>
      </c>
      <c r="F629" s="0" t="s">
        <v>2192</v>
      </c>
      <c r="G629" s="0" t="s">
        <v>2195</v>
      </c>
      <c r="H629" s="0" t="s">
        <v>2171</v>
      </c>
      <c r="J629" s="0" t="s">
        <v>2160</v>
      </c>
      <c r="K629" s="272" t="n">
        <v>-2180992.25</v>
      </c>
    </row>
    <row r="630" customFormat="false" ht="15" hidden="false" customHeight="false" outlineLevel="0" collapsed="false">
      <c r="A630" s="0" t="s">
        <v>2041</v>
      </c>
      <c r="B630" s="0" t="s">
        <v>2042</v>
      </c>
      <c r="C630" s="0" t="s">
        <v>2161</v>
      </c>
      <c r="D630" s="0" t="s">
        <v>2105</v>
      </c>
      <c r="E630" s="0" t="s">
        <v>2045</v>
      </c>
      <c r="F630" s="0" t="s">
        <v>2192</v>
      </c>
      <c r="G630" s="0" t="s">
        <v>2195</v>
      </c>
      <c r="H630" s="0" t="s">
        <v>2171</v>
      </c>
      <c r="J630" s="0" t="s">
        <v>2160</v>
      </c>
      <c r="K630" s="272" t="n">
        <v>-272299.21</v>
      </c>
    </row>
    <row r="631" customFormat="false" ht="15" hidden="false" customHeight="false" outlineLevel="0" collapsed="false">
      <c r="A631" s="0" t="s">
        <v>2041</v>
      </c>
      <c r="B631" s="0" t="s">
        <v>2042</v>
      </c>
      <c r="C631" s="0" t="s">
        <v>2156</v>
      </c>
      <c r="D631" s="0" t="s">
        <v>2105</v>
      </c>
      <c r="E631" s="0" t="s">
        <v>2045</v>
      </c>
      <c r="F631" s="0" t="s">
        <v>2192</v>
      </c>
      <c r="G631" s="0" t="s">
        <v>2195</v>
      </c>
      <c r="H631" s="0" t="s">
        <v>2171</v>
      </c>
      <c r="I631" s="0" t="s">
        <v>2124</v>
      </c>
      <c r="J631" s="0" t="s">
        <v>2160</v>
      </c>
      <c r="K631" s="272" t="n">
        <v>-934428.69</v>
      </c>
    </row>
    <row r="632" customFormat="false" ht="15" hidden="false" customHeight="false" outlineLevel="0" collapsed="false">
      <c r="A632" s="0" t="s">
        <v>2041</v>
      </c>
      <c r="B632" s="0" t="s">
        <v>2042</v>
      </c>
      <c r="C632" s="0" t="s">
        <v>2161</v>
      </c>
      <c r="D632" s="0" t="s">
        <v>2105</v>
      </c>
      <c r="E632" s="0" t="s">
        <v>2045</v>
      </c>
      <c r="F632" s="0" t="s">
        <v>2192</v>
      </c>
      <c r="G632" s="0" t="s">
        <v>2195</v>
      </c>
      <c r="H632" s="0" t="s">
        <v>2171</v>
      </c>
      <c r="I632" s="0" t="s">
        <v>2124</v>
      </c>
      <c r="J632" s="0" t="s">
        <v>2160</v>
      </c>
      <c r="K632" s="272" t="n">
        <v>-168197.16</v>
      </c>
    </row>
    <row r="633" customFormat="false" ht="15" hidden="false" customHeight="false" outlineLevel="0" collapsed="false">
      <c r="A633" s="0" t="s">
        <v>2041</v>
      </c>
      <c r="B633" s="0" t="s">
        <v>2042</v>
      </c>
      <c r="C633" s="0" t="s">
        <v>2156</v>
      </c>
      <c r="D633" s="0" t="s">
        <v>2105</v>
      </c>
      <c r="E633" s="0" t="s">
        <v>2045</v>
      </c>
      <c r="F633" s="0" t="s">
        <v>2192</v>
      </c>
      <c r="G633" s="0" t="s">
        <v>2195</v>
      </c>
      <c r="H633" s="0" t="s">
        <v>2171</v>
      </c>
      <c r="I633" s="0" t="s">
        <v>2167</v>
      </c>
      <c r="J633" s="0" t="s">
        <v>2160</v>
      </c>
      <c r="K633" s="272" t="n">
        <v>-280307.13</v>
      </c>
    </row>
    <row r="634" customFormat="false" ht="15" hidden="false" customHeight="false" outlineLevel="0" collapsed="false">
      <c r="A634" s="0" t="s">
        <v>2041</v>
      </c>
      <c r="B634" s="0" t="s">
        <v>2042</v>
      </c>
      <c r="C634" s="0" t="s">
        <v>2161</v>
      </c>
      <c r="D634" s="0" t="s">
        <v>2105</v>
      </c>
      <c r="E634" s="0" t="s">
        <v>2045</v>
      </c>
      <c r="F634" s="0" t="s">
        <v>2192</v>
      </c>
      <c r="G634" s="0" t="s">
        <v>2195</v>
      </c>
      <c r="H634" s="0" t="s">
        <v>2171</v>
      </c>
      <c r="I634" s="0" t="s">
        <v>2167</v>
      </c>
      <c r="J634" s="0" t="s">
        <v>2160</v>
      </c>
      <c r="K634" s="272" t="n">
        <v>-49239.58</v>
      </c>
    </row>
    <row r="635" customFormat="false" ht="15" hidden="false" customHeight="false" outlineLevel="0" collapsed="false">
      <c r="A635" s="0" t="s">
        <v>2041</v>
      </c>
      <c r="B635" s="0" t="s">
        <v>2042</v>
      </c>
      <c r="C635" s="0" t="s">
        <v>2156</v>
      </c>
      <c r="D635" s="0" t="s">
        <v>2105</v>
      </c>
      <c r="E635" s="0" t="s">
        <v>2045</v>
      </c>
      <c r="F635" s="0" t="s">
        <v>2192</v>
      </c>
      <c r="G635" s="0" t="s">
        <v>2195</v>
      </c>
      <c r="H635" s="0" t="s">
        <v>2162</v>
      </c>
      <c r="J635" s="0" t="s">
        <v>2160</v>
      </c>
      <c r="K635" s="272" t="n">
        <v>-25312.71</v>
      </c>
    </row>
    <row r="636" customFormat="false" ht="15" hidden="false" customHeight="false" outlineLevel="0" collapsed="false">
      <c r="A636" s="0" t="s">
        <v>2041</v>
      </c>
      <c r="B636" s="0" t="s">
        <v>2042</v>
      </c>
      <c r="C636" s="0" t="s">
        <v>2161</v>
      </c>
      <c r="D636" s="0" t="s">
        <v>2105</v>
      </c>
      <c r="E636" s="0" t="s">
        <v>2045</v>
      </c>
      <c r="F636" s="0" t="s">
        <v>2192</v>
      </c>
      <c r="G636" s="0" t="s">
        <v>2195</v>
      </c>
      <c r="H636" s="0" t="s">
        <v>2162</v>
      </c>
      <c r="J636" s="0" t="s">
        <v>2160</v>
      </c>
      <c r="K636" s="272" t="n">
        <v>10671.15</v>
      </c>
    </row>
    <row r="637" customFormat="false" ht="15" hidden="false" customHeight="false" outlineLevel="0" collapsed="false">
      <c r="A637" s="0" t="s">
        <v>2041</v>
      </c>
      <c r="B637" s="0" t="s">
        <v>2042</v>
      </c>
      <c r="C637" s="0" t="s">
        <v>2156</v>
      </c>
      <c r="D637" s="0" t="s">
        <v>2105</v>
      </c>
      <c r="E637" s="0" t="s">
        <v>2045</v>
      </c>
      <c r="F637" s="0" t="s">
        <v>2192</v>
      </c>
      <c r="G637" s="0" t="s">
        <v>2195</v>
      </c>
      <c r="H637" s="0" t="s">
        <v>2162</v>
      </c>
      <c r="I637" s="0" t="s">
        <v>2124</v>
      </c>
      <c r="J637" s="0" t="s">
        <v>2160</v>
      </c>
      <c r="K637" s="272" t="n">
        <v>7514878.72</v>
      </c>
    </row>
    <row r="638" customFormat="false" ht="15" hidden="false" customHeight="false" outlineLevel="0" collapsed="false">
      <c r="A638" s="0" t="s">
        <v>2041</v>
      </c>
      <c r="B638" s="0" t="s">
        <v>2042</v>
      </c>
      <c r="C638" s="0" t="s">
        <v>2161</v>
      </c>
      <c r="D638" s="0" t="s">
        <v>2105</v>
      </c>
      <c r="E638" s="0" t="s">
        <v>2045</v>
      </c>
      <c r="F638" s="0" t="s">
        <v>2192</v>
      </c>
      <c r="G638" s="0" t="s">
        <v>2195</v>
      </c>
      <c r="H638" s="0" t="s">
        <v>2162</v>
      </c>
      <c r="I638" s="0" t="s">
        <v>2124</v>
      </c>
      <c r="J638" s="0" t="s">
        <v>2160</v>
      </c>
      <c r="K638" s="272" t="n">
        <v>1456604.05</v>
      </c>
    </row>
    <row r="639" customFormat="false" ht="15" hidden="false" customHeight="false" outlineLevel="0" collapsed="false">
      <c r="A639" s="0" t="s">
        <v>2041</v>
      </c>
      <c r="B639" s="0" t="s">
        <v>2042</v>
      </c>
      <c r="C639" s="0" t="s">
        <v>2156</v>
      </c>
      <c r="D639" s="0" t="s">
        <v>2105</v>
      </c>
      <c r="E639" s="0" t="s">
        <v>2045</v>
      </c>
      <c r="F639" s="0" t="s">
        <v>2192</v>
      </c>
      <c r="G639" s="0" t="s">
        <v>2196</v>
      </c>
      <c r="H639" s="0" t="s">
        <v>2162</v>
      </c>
      <c r="J639" s="0" t="s">
        <v>2160</v>
      </c>
      <c r="K639" s="272" t="n">
        <v>1960479.06</v>
      </c>
    </row>
    <row r="640" customFormat="false" ht="15" hidden="false" customHeight="false" outlineLevel="0" collapsed="false">
      <c r="A640" s="0" t="s">
        <v>2041</v>
      </c>
      <c r="B640" s="0" t="s">
        <v>2042</v>
      </c>
      <c r="C640" s="0" t="s">
        <v>2161</v>
      </c>
      <c r="D640" s="0" t="s">
        <v>2105</v>
      </c>
      <c r="E640" s="0" t="s">
        <v>2045</v>
      </c>
      <c r="F640" s="0" t="s">
        <v>2192</v>
      </c>
      <c r="G640" s="0" t="s">
        <v>2196</v>
      </c>
      <c r="H640" s="0" t="s">
        <v>2162</v>
      </c>
      <c r="J640" s="0" t="s">
        <v>2160</v>
      </c>
      <c r="K640" s="272" t="n">
        <v>641294.129999999</v>
      </c>
    </row>
    <row r="641" customFormat="false" ht="15" hidden="false" customHeight="false" outlineLevel="0" collapsed="false">
      <c r="A641" s="0" t="s">
        <v>2041</v>
      </c>
      <c r="B641" s="0" t="s">
        <v>2042</v>
      </c>
      <c r="C641" s="0" t="s">
        <v>2156</v>
      </c>
      <c r="D641" s="0" t="s">
        <v>2105</v>
      </c>
      <c r="E641" s="0" t="s">
        <v>2045</v>
      </c>
      <c r="F641" s="0" t="s">
        <v>2192</v>
      </c>
      <c r="G641" s="0" t="s">
        <v>2196</v>
      </c>
      <c r="H641" s="0" t="s">
        <v>2162</v>
      </c>
      <c r="I641" s="0" t="s">
        <v>2124</v>
      </c>
      <c r="J641" s="0" t="s">
        <v>2160</v>
      </c>
      <c r="K641" s="272" t="n">
        <v>928342.76</v>
      </c>
    </row>
    <row r="642" customFormat="false" ht="15" hidden="false" customHeight="false" outlineLevel="0" collapsed="false">
      <c r="A642" s="0" t="s">
        <v>2041</v>
      </c>
      <c r="B642" s="0" t="s">
        <v>2042</v>
      </c>
      <c r="C642" s="0" t="s">
        <v>2161</v>
      </c>
      <c r="D642" s="0" t="s">
        <v>2105</v>
      </c>
      <c r="E642" s="0" t="s">
        <v>2045</v>
      </c>
      <c r="F642" s="0" t="s">
        <v>2192</v>
      </c>
      <c r="G642" s="0" t="s">
        <v>2196</v>
      </c>
      <c r="H642" s="0" t="s">
        <v>2162</v>
      </c>
      <c r="I642" s="0" t="s">
        <v>2124</v>
      </c>
      <c r="J642" s="0" t="s">
        <v>2160</v>
      </c>
      <c r="K642" s="272" t="n">
        <v>264832.78</v>
      </c>
    </row>
    <row r="643" customFormat="false" ht="15" hidden="false" customHeight="false" outlineLevel="0" collapsed="false">
      <c r="A643" s="0" t="s">
        <v>2041</v>
      </c>
      <c r="B643" s="0" t="s">
        <v>2042</v>
      </c>
      <c r="C643" s="0" t="s">
        <v>2156</v>
      </c>
      <c r="D643" s="0" t="s">
        <v>2105</v>
      </c>
      <c r="E643" s="0" t="s">
        <v>2045</v>
      </c>
      <c r="F643" s="0" t="s">
        <v>2192</v>
      </c>
      <c r="G643" s="0" t="s">
        <v>2196</v>
      </c>
      <c r="H643" s="0" t="s">
        <v>2162</v>
      </c>
      <c r="I643" s="0" t="s">
        <v>2197</v>
      </c>
      <c r="J643" s="0" t="s">
        <v>2160</v>
      </c>
      <c r="K643" s="272" t="n">
        <v>-696070.29</v>
      </c>
    </row>
    <row r="644" customFormat="false" ht="15" hidden="false" customHeight="false" outlineLevel="0" collapsed="false">
      <c r="A644" s="0" t="s">
        <v>2041</v>
      </c>
      <c r="B644" s="0" t="s">
        <v>2042</v>
      </c>
      <c r="C644" s="0" t="s">
        <v>2161</v>
      </c>
      <c r="D644" s="0" t="s">
        <v>2105</v>
      </c>
      <c r="E644" s="0" t="s">
        <v>2045</v>
      </c>
      <c r="F644" s="0" t="s">
        <v>2192</v>
      </c>
      <c r="G644" s="0" t="s">
        <v>2196</v>
      </c>
      <c r="H644" s="0" t="s">
        <v>2162</v>
      </c>
      <c r="I644" s="0" t="s">
        <v>2197</v>
      </c>
      <c r="J644" s="0" t="s">
        <v>2160</v>
      </c>
      <c r="K644" s="272" t="n">
        <v>-129343.29</v>
      </c>
    </row>
    <row r="645" customFormat="false" ht="15" hidden="false" customHeight="false" outlineLevel="0" collapsed="false">
      <c r="A645" s="0" t="s">
        <v>2041</v>
      </c>
      <c r="B645" s="0" t="s">
        <v>2042</v>
      </c>
      <c r="C645" s="0" t="s">
        <v>2156</v>
      </c>
      <c r="D645" s="0" t="s">
        <v>2105</v>
      </c>
      <c r="E645" s="0" t="s">
        <v>2045</v>
      </c>
      <c r="F645" s="0" t="s">
        <v>2198</v>
      </c>
      <c r="G645" s="0" t="s">
        <v>2199</v>
      </c>
      <c r="H645" s="0" t="s">
        <v>2200</v>
      </c>
      <c r="J645" s="0" t="s">
        <v>2160</v>
      </c>
      <c r="K645" s="272" t="n">
        <v>24654500.3925</v>
      </c>
    </row>
    <row r="646" customFormat="false" ht="15" hidden="false" customHeight="false" outlineLevel="0" collapsed="false">
      <c r="A646" s="0" t="s">
        <v>2041</v>
      </c>
      <c r="B646" s="0" t="s">
        <v>2042</v>
      </c>
      <c r="C646" s="0" t="s">
        <v>2161</v>
      </c>
      <c r="D646" s="0" t="s">
        <v>2105</v>
      </c>
      <c r="E646" s="0" t="s">
        <v>2045</v>
      </c>
      <c r="F646" s="0" t="s">
        <v>2198</v>
      </c>
      <c r="G646" s="0" t="s">
        <v>2199</v>
      </c>
      <c r="H646" s="0" t="s">
        <v>2200</v>
      </c>
      <c r="J646" s="0" t="s">
        <v>2160</v>
      </c>
      <c r="K646" s="272" t="n">
        <v>4440445.4325</v>
      </c>
    </row>
    <row r="647" customFormat="false" ht="15" hidden="false" customHeight="false" outlineLevel="0" collapsed="false">
      <c r="A647" s="0" t="s">
        <v>2041</v>
      </c>
      <c r="B647" s="0" t="s">
        <v>2042</v>
      </c>
      <c r="C647" s="0" t="s">
        <v>2156</v>
      </c>
      <c r="D647" s="0" t="s">
        <v>2105</v>
      </c>
      <c r="E647" s="0" t="s">
        <v>2045</v>
      </c>
      <c r="F647" s="0" t="s">
        <v>2198</v>
      </c>
      <c r="G647" s="0" t="s">
        <v>2199</v>
      </c>
      <c r="H647" s="0" t="s">
        <v>2200</v>
      </c>
      <c r="I647" s="0" t="s">
        <v>2124</v>
      </c>
      <c r="J647" s="0" t="s">
        <v>2160</v>
      </c>
      <c r="K647" s="272" t="n">
        <v>35714146.6175</v>
      </c>
    </row>
    <row r="648" customFormat="false" ht="15" hidden="false" customHeight="false" outlineLevel="0" collapsed="false">
      <c r="A648" s="0" t="s">
        <v>2041</v>
      </c>
      <c r="B648" s="0" t="s">
        <v>2042</v>
      </c>
      <c r="C648" s="0" t="s">
        <v>2161</v>
      </c>
      <c r="D648" s="0" t="s">
        <v>2105</v>
      </c>
      <c r="E648" s="0" t="s">
        <v>2045</v>
      </c>
      <c r="F648" s="0" t="s">
        <v>2198</v>
      </c>
      <c r="G648" s="0" t="s">
        <v>2199</v>
      </c>
      <c r="H648" s="0" t="s">
        <v>2200</v>
      </c>
      <c r="I648" s="0" t="s">
        <v>2124</v>
      </c>
      <c r="J648" s="0" t="s">
        <v>2160</v>
      </c>
      <c r="K648" s="272" t="n">
        <v>5791052.225</v>
      </c>
    </row>
    <row r="649" customFormat="false" ht="15" hidden="false" customHeight="false" outlineLevel="0" collapsed="false">
      <c r="A649" s="0" t="s">
        <v>2041</v>
      </c>
      <c r="B649" s="0" t="s">
        <v>2042</v>
      </c>
      <c r="C649" s="0" t="s">
        <v>2156</v>
      </c>
      <c r="D649" s="0" t="s">
        <v>2105</v>
      </c>
      <c r="E649" s="0" t="s">
        <v>2045</v>
      </c>
      <c r="F649" s="0" t="s">
        <v>2198</v>
      </c>
      <c r="G649" s="0" t="s">
        <v>2199</v>
      </c>
      <c r="H649" s="0" t="s">
        <v>2200</v>
      </c>
      <c r="I649" s="0" t="s">
        <v>2201</v>
      </c>
      <c r="J649" s="0" t="s">
        <v>2160</v>
      </c>
      <c r="K649" s="272" t="n">
        <v>426357.45</v>
      </c>
    </row>
    <row r="650" customFormat="false" ht="15" hidden="false" customHeight="false" outlineLevel="0" collapsed="false">
      <c r="A650" s="0" t="s">
        <v>2041</v>
      </c>
      <c r="B650" s="0" t="s">
        <v>2042</v>
      </c>
      <c r="C650" s="0" t="s">
        <v>2161</v>
      </c>
      <c r="D650" s="0" t="s">
        <v>2105</v>
      </c>
      <c r="E650" s="0" t="s">
        <v>2045</v>
      </c>
      <c r="F650" s="0" t="s">
        <v>2198</v>
      </c>
      <c r="G650" s="0" t="s">
        <v>2199</v>
      </c>
      <c r="H650" s="0" t="s">
        <v>2200</v>
      </c>
      <c r="I650" s="0" t="s">
        <v>2201</v>
      </c>
      <c r="J650" s="0" t="s">
        <v>2160</v>
      </c>
      <c r="K650" s="272" t="n">
        <v>90265.3</v>
      </c>
    </row>
    <row r="651" customFormat="false" ht="15" hidden="false" customHeight="false" outlineLevel="0" collapsed="false">
      <c r="A651" s="0" t="s">
        <v>2041</v>
      </c>
      <c r="B651" s="0" t="s">
        <v>2042</v>
      </c>
      <c r="C651" s="0" t="s">
        <v>2156</v>
      </c>
      <c r="D651" s="0" t="s">
        <v>2105</v>
      </c>
      <c r="E651" s="0" t="s">
        <v>2045</v>
      </c>
      <c r="F651" s="0" t="s">
        <v>2198</v>
      </c>
      <c r="G651" s="0" t="s">
        <v>2199</v>
      </c>
      <c r="H651" s="0" t="s">
        <v>2202</v>
      </c>
      <c r="J651" s="0" t="s">
        <v>2160</v>
      </c>
      <c r="K651" s="272" t="n">
        <v>1324542.9225</v>
      </c>
    </row>
    <row r="652" customFormat="false" ht="15" hidden="false" customHeight="false" outlineLevel="0" collapsed="false">
      <c r="A652" s="0" t="s">
        <v>2041</v>
      </c>
      <c r="B652" s="0" t="s">
        <v>2042</v>
      </c>
      <c r="C652" s="0" t="s">
        <v>2161</v>
      </c>
      <c r="D652" s="0" t="s">
        <v>2105</v>
      </c>
      <c r="E652" s="0" t="s">
        <v>2045</v>
      </c>
      <c r="F652" s="0" t="s">
        <v>2198</v>
      </c>
      <c r="G652" s="0" t="s">
        <v>2199</v>
      </c>
      <c r="H652" s="0" t="s">
        <v>2202</v>
      </c>
      <c r="J652" s="0" t="s">
        <v>2160</v>
      </c>
      <c r="K652" s="272" t="n">
        <v>276751.0425</v>
      </c>
    </row>
    <row r="653" customFormat="false" ht="15" hidden="false" customHeight="false" outlineLevel="0" collapsed="false">
      <c r="A653" s="0" t="s">
        <v>2041</v>
      </c>
      <c r="B653" s="0" t="s">
        <v>2042</v>
      </c>
      <c r="C653" s="0" t="s">
        <v>2156</v>
      </c>
      <c r="D653" s="0" t="s">
        <v>2105</v>
      </c>
      <c r="E653" s="0" t="s">
        <v>2045</v>
      </c>
      <c r="F653" s="0" t="s">
        <v>2198</v>
      </c>
      <c r="G653" s="0" t="s">
        <v>2199</v>
      </c>
      <c r="H653" s="0" t="s">
        <v>2202</v>
      </c>
      <c r="I653" s="0" t="s">
        <v>2124</v>
      </c>
      <c r="J653" s="0" t="s">
        <v>2160</v>
      </c>
      <c r="K653" s="272" t="n">
        <v>738430.0075</v>
      </c>
    </row>
    <row r="654" customFormat="false" ht="15" hidden="false" customHeight="false" outlineLevel="0" collapsed="false">
      <c r="A654" s="0" t="s">
        <v>2041</v>
      </c>
      <c r="B654" s="0" t="s">
        <v>2042</v>
      </c>
      <c r="C654" s="0" t="s">
        <v>2161</v>
      </c>
      <c r="D654" s="0" t="s">
        <v>2105</v>
      </c>
      <c r="E654" s="0" t="s">
        <v>2045</v>
      </c>
      <c r="F654" s="0" t="s">
        <v>2198</v>
      </c>
      <c r="G654" s="0" t="s">
        <v>2199</v>
      </c>
      <c r="H654" s="0" t="s">
        <v>2202</v>
      </c>
      <c r="I654" s="0" t="s">
        <v>2124</v>
      </c>
      <c r="J654" s="0" t="s">
        <v>2160</v>
      </c>
      <c r="K654" s="272" t="n">
        <v>112402.925</v>
      </c>
    </row>
    <row r="655" customFormat="false" ht="15" hidden="false" customHeight="false" outlineLevel="0" collapsed="false">
      <c r="A655" s="0" t="s">
        <v>2041</v>
      </c>
      <c r="B655" s="0" t="s">
        <v>2042</v>
      </c>
      <c r="C655" s="0" t="s">
        <v>2156</v>
      </c>
      <c r="D655" s="0" t="s">
        <v>2105</v>
      </c>
      <c r="E655" s="0" t="s">
        <v>2045</v>
      </c>
      <c r="F655" s="0" t="s">
        <v>2198</v>
      </c>
      <c r="G655" s="0" t="s">
        <v>2199</v>
      </c>
      <c r="H655" s="0" t="s">
        <v>2203</v>
      </c>
      <c r="J655" s="0" t="s">
        <v>2160</v>
      </c>
      <c r="K655" s="272" t="n">
        <v>14131328.915</v>
      </c>
    </row>
    <row r="656" customFormat="false" ht="15" hidden="false" customHeight="false" outlineLevel="0" collapsed="false">
      <c r="A656" s="0" t="s">
        <v>2041</v>
      </c>
      <c r="B656" s="0" t="s">
        <v>2042</v>
      </c>
      <c r="C656" s="0" t="s">
        <v>2161</v>
      </c>
      <c r="D656" s="0" t="s">
        <v>2105</v>
      </c>
      <c r="E656" s="0" t="s">
        <v>2045</v>
      </c>
      <c r="F656" s="0" t="s">
        <v>2198</v>
      </c>
      <c r="G656" s="0" t="s">
        <v>2199</v>
      </c>
      <c r="H656" s="0" t="s">
        <v>2203</v>
      </c>
      <c r="J656" s="0" t="s">
        <v>2160</v>
      </c>
      <c r="K656" s="272" t="n">
        <v>2554059.285</v>
      </c>
    </row>
    <row r="657" customFormat="false" ht="15" hidden="false" customHeight="false" outlineLevel="0" collapsed="false">
      <c r="A657" s="0" t="s">
        <v>2041</v>
      </c>
      <c r="B657" s="0" t="s">
        <v>2042</v>
      </c>
      <c r="C657" s="0" t="s">
        <v>2156</v>
      </c>
      <c r="D657" s="0" t="s">
        <v>2105</v>
      </c>
      <c r="E657" s="0" t="s">
        <v>2045</v>
      </c>
      <c r="F657" s="0" t="s">
        <v>2198</v>
      </c>
      <c r="G657" s="0" t="s">
        <v>2199</v>
      </c>
      <c r="H657" s="0" t="s">
        <v>2203</v>
      </c>
      <c r="I657" s="0" t="s">
        <v>2124</v>
      </c>
      <c r="J657" s="0" t="s">
        <v>2160</v>
      </c>
      <c r="K657" s="272" t="n">
        <v>1760406.385</v>
      </c>
    </row>
    <row r="658" customFormat="false" ht="15" hidden="false" customHeight="false" outlineLevel="0" collapsed="false">
      <c r="A658" s="0" t="s">
        <v>2041</v>
      </c>
      <c r="B658" s="0" t="s">
        <v>2042</v>
      </c>
      <c r="C658" s="0" t="s">
        <v>2161</v>
      </c>
      <c r="D658" s="0" t="s">
        <v>2105</v>
      </c>
      <c r="E658" s="0" t="s">
        <v>2045</v>
      </c>
      <c r="F658" s="0" t="s">
        <v>2198</v>
      </c>
      <c r="G658" s="0" t="s">
        <v>2199</v>
      </c>
      <c r="H658" s="0" t="s">
        <v>2203</v>
      </c>
      <c r="I658" s="0" t="s">
        <v>2124</v>
      </c>
      <c r="J658" s="0" t="s">
        <v>2160</v>
      </c>
      <c r="K658" s="272" t="n">
        <v>352786.36</v>
      </c>
    </row>
    <row r="659" customFormat="false" ht="15" hidden="false" customHeight="false" outlineLevel="0" collapsed="false">
      <c r="A659" s="0" t="s">
        <v>2041</v>
      </c>
      <c r="B659" s="0" t="s">
        <v>2042</v>
      </c>
      <c r="C659" s="0" t="s">
        <v>2156</v>
      </c>
      <c r="D659" s="0" t="s">
        <v>2105</v>
      </c>
      <c r="E659" s="0" t="s">
        <v>2045</v>
      </c>
      <c r="F659" s="0" t="s">
        <v>2204</v>
      </c>
      <c r="G659" s="0" t="s">
        <v>2205</v>
      </c>
      <c r="H659" s="0" t="s">
        <v>2206</v>
      </c>
      <c r="J659" s="0" t="s">
        <v>2160</v>
      </c>
      <c r="K659" s="272" t="n">
        <v>2087399.9425</v>
      </c>
    </row>
    <row r="660" customFormat="false" ht="15" hidden="false" customHeight="false" outlineLevel="0" collapsed="false">
      <c r="A660" s="0" t="s">
        <v>2041</v>
      </c>
      <c r="B660" s="0" t="s">
        <v>2042</v>
      </c>
      <c r="C660" s="0" t="s">
        <v>2161</v>
      </c>
      <c r="D660" s="0" t="s">
        <v>2105</v>
      </c>
      <c r="E660" s="0" t="s">
        <v>2045</v>
      </c>
      <c r="F660" s="0" t="s">
        <v>2204</v>
      </c>
      <c r="G660" s="0" t="s">
        <v>2205</v>
      </c>
      <c r="H660" s="0" t="s">
        <v>2206</v>
      </c>
      <c r="J660" s="0" t="s">
        <v>2160</v>
      </c>
      <c r="K660" s="272" t="n">
        <v>353130.5275</v>
      </c>
    </row>
    <row r="661" customFormat="false" ht="15" hidden="false" customHeight="false" outlineLevel="0" collapsed="false">
      <c r="A661" s="0" t="s">
        <v>2041</v>
      </c>
      <c r="B661" s="0" t="s">
        <v>2042</v>
      </c>
      <c r="C661" s="0" t="s">
        <v>2156</v>
      </c>
      <c r="D661" s="0" t="s">
        <v>2105</v>
      </c>
      <c r="E661" s="0" t="s">
        <v>2045</v>
      </c>
      <c r="F661" s="0" t="s">
        <v>2204</v>
      </c>
      <c r="G661" s="0" t="s">
        <v>2205</v>
      </c>
      <c r="H661" s="0" t="s">
        <v>2207</v>
      </c>
      <c r="J661" s="0" t="s">
        <v>2160</v>
      </c>
      <c r="K661" s="272" t="n">
        <v>2087399.9425</v>
      </c>
    </row>
    <row r="662" customFormat="false" ht="15" hidden="false" customHeight="false" outlineLevel="0" collapsed="false">
      <c r="A662" s="0" t="s">
        <v>2041</v>
      </c>
      <c r="B662" s="0" t="s">
        <v>2042</v>
      </c>
      <c r="C662" s="0" t="s">
        <v>2161</v>
      </c>
      <c r="D662" s="0" t="s">
        <v>2105</v>
      </c>
      <c r="E662" s="0" t="s">
        <v>2045</v>
      </c>
      <c r="F662" s="0" t="s">
        <v>2204</v>
      </c>
      <c r="G662" s="0" t="s">
        <v>2205</v>
      </c>
      <c r="H662" s="0" t="s">
        <v>2207</v>
      </c>
      <c r="J662" s="0" t="s">
        <v>2160</v>
      </c>
      <c r="K662" s="272" t="n">
        <v>353130.5275</v>
      </c>
    </row>
    <row r="663" customFormat="false" ht="15" hidden="false" customHeight="false" outlineLevel="0" collapsed="false">
      <c r="A663" s="0" t="s">
        <v>2041</v>
      </c>
      <c r="B663" s="0" t="s">
        <v>2042</v>
      </c>
      <c r="C663" s="0" t="s">
        <v>2156</v>
      </c>
      <c r="D663" s="0" t="s">
        <v>2105</v>
      </c>
      <c r="E663" s="0" t="s">
        <v>2045</v>
      </c>
      <c r="F663" s="0" t="s">
        <v>2204</v>
      </c>
      <c r="G663" s="0" t="s">
        <v>2205</v>
      </c>
      <c r="H663" s="0" t="s">
        <v>2208</v>
      </c>
      <c r="J663" s="0" t="s">
        <v>2160</v>
      </c>
      <c r="K663" s="272" t="n">
        <v>4174799.885</v>
      </c>
    </row>
    <row r="664" customFormat="false" ht="15" hidden="false" customHeight="false" outlineLevel="0" collapsed="false">
      <c r="A664" s="0" t="s">
        <v>2041</v>
      </c>
      <c r="B664" s="0" t="s">
        <v>2042</v>
      </c>
      <c r="C664" s="0" t="s">
        <v>2161</v>
      </c>
      <c r="D664" s="0" t="s">
        <v>2105</v>
      </c>
      <c r="E664" s="0" t="s">
        <v>2045</v>
      </c>
      <c r="F664" s="0" t="s">
        <v>2204</v>
      </c>
      <c r="G664" s="0" t="s">
        <v>2205</v>
      </c>
      <c r="H664" s="0" t="s">
        <v>2208</v>
      </c>
      <c r="J664" s="0" t="s">
        <v>2160</v>
      </c>
      <c r="K664" s="272" t="n">
        <v>706261.055</v>
      </c>
    </row>
    <row r="665" customFormat="false" ht="15" hidden="false" customHeight="false" outlineLevel="0" collapsed="false">
      <c r="A665" s="0" t="s">
        <v>2041</v>
      </c>
      <c r="B665" s="0" t="s">
        <v>2042</v>
      </c>
      <c r="C665" s="0" t="s">
        <v>2156</v>
      </c>
      <c r="D665" s="0" t="s">
        <v>2105</v>
      </c>
      <c r="E665" s="0" t="s">
        <v>2045</v>
      </c>
      <c r="F665" s="0" t="s">
        <v>2204</v>
      </c>
      <c r="G665" s="0" t="s">
        <v>2209</v>
      </c>
      <c r="H665" s="0" t="s">
        <v>2207</v>
      </c>
      <c r="J665" s="0" t="s">
        <v>2160</v>
      </c>
      <c r="K665" s="272" t="n">
        <v>-3028132.01</v>
      </c>
    </row>
    <row r="666" customFormat="false" ht="15" hidden="false" customHeight="false" outlineLevel="0" collapsed="false">
      <c r="A666" s="0" t="s">
        <v>2041</v>
      </c>
      <c r="B666" s="0" t="s">
        <v>2042</v>
      </c>
      <c r="C666" s="0" t="s">
        <v>2161</v>
      </c>
      <c r="D666" s="0" t="s">
        <v>2105</v>
      </c>
      <c r="E666" s="0" t="s">
        <v>2045</v>
      </c>
      <c r="F666" s="0" t="s">
        <v>2204</v>
      </c>
      <c r="G666" s="0" t="s">
        <v>2209</v>
      </c>
      <c r="H666" s="0" t="s">
        <v>2207</v>
      </c>
      <c r="J666" s="0" t="s">
        <v>2160</v>
      </c>
      <c r="K666" s="272" t="n">
        <v>-691398.1</v>
      </c>
    </row>
    <row r="667" customFormat="false" ht="15" hidden="false" customHeight="false" outlineLevel="0" collapsed="false">
      <c r="A667" s="0" t="s">
        <v>2041</v>
      </c>
      <c r="B667" s="0" t="s">
        <v>2042</v>
      </c>
      <c r="C667" s="0" t="s">
        <v>2156</v>
      </c>
      <c r="D667" s="0" t="s">
        <v>2105</v>
      </c>
      <c r="E667" s="0" t="s">
        <v>2045</v>
      </c>
      <c r="F667" s="0" t="s">
        <v>2204</v>
      </c>
      <c r="G667" s="0" t="s">
        <v>2210</v>
      </c>
      <c r="H667" s="0" t="s">
        <v>2211</v>
      </c>
      <c r="J667" s="0" t="s">
        <v>2160</v>
      </c>
      <c r="K667" s="272" t="n">
        <v>1199207.99</v>
      </c>
    </row>
    <row r="668" customFormat="false" ht="15" hidden="false" customHeight="false" outlineLevel="0" collapsed="false">
      <c r="A668" s="0" t="s">
        <v>2041</v>
      </c>
      <c r="B668" s="0" t="s">
        <v>2042</v>
      </c>
      <c r="C668" s="0" t="s">
        <v>2161</v>
      </c>
      <c r="D668" s="0" t="s">
        <v>2105</v>
      </c>
      <c r="E668" s="0" t="s">
        <v>2045</v>
      </c>
      <c r="F668" s="0" t="s">
        <v>2204</v>
      </c>
      <c r="G668" s="0" t="s">
        <v>2210</v>
      </c>
      <c r="H668" s="0" t="s">
        <v>2211</v>
      </c>
      <c r="J668" s="0" t="s">
        <v>2160</v>
      </c>
      <c r="K668" s="272" t="n">
        <v>147972.51</v>
      </c>
    </row>
    <row r="669" customFormat="false" ht="15" hidden="false" customHeight="false" outlineLevel="0" collapsed="false">
      <c r="A669" s="0" t="s">
        <v>2041</v>
      </c>
      <c r="B669" s="0" t="s">
        <v>2042</v>
      </c>
      <c r="C669" s="0" t="s">
        <v>2156</v>
      </c>
      <c r="D669" s="0" t="s">
        <v>2105</v>
      </c>
      <c r="E669" s="0" t="s">
        <v>2045</v>
      </c>
      <c r="F669" s="0" t="s">
        <v>2204</v>
      </c>
      <c r="G669" s="0" t="s">
        <v>2210</v>
      </c>
      <c r="H669" s="0" t="s">
        <v>2211</v>
      </c>
      <c r="I669" s="0" t="s">
        <v>2167</v>
      </c>
      <c r="J669" s="0" t="s">
        <v>2160</v>
      </c>
      <c r="K669" s="272" t="n">
        <v>-1575542.87</v>
      </c>
    </row>
    <row r="670" customFormat="false" ht="15" hidden="false" customHeight="false" outlineLevel="0" collapsed="false">
      <c r="A670" s="0" t="s">
        <v>2041</v>
      </c>
      <c r="B670" s="0" t="s">
        <v>2042</v>
      </c>
      <c r="C670" s="0" t="s">
        <v>2161</v>
      </c>
      <c r="D670" s="0" t="s">
        <v>2105</v>
      </c>
      <c r="E670" s="0" t="s">
        <v>2045</v>
      </c>
      <c r="F670" s="0" t="s">
        <v>2204</v>
      </c>
      <c r="G670" s="0" t="s">
        <v>2210</v>
      </c>
      <c r="H670" s="0" t="s">
        <v>2211</v>
      </c>
      <c r="I670" s="0" t="s">
        <v>2167</v>
      </c>
      <c r="J670" s="0" t="s">
        <v>2160</v>
      </c>
      <c r="K670" s="272" t="n">
        <v>-283597.72</v>
      </c>
    </row>
    <row r="671" customFormat="false" ht="15" hidden="false" customHeight="false" outlineLevel="0" collapsed="false">
      <c r="A671" s="0" t="s">
        <v>2041</v>
      </c>
      <c r="B671" s="0" t="s">
        <v>2042</v>
      </c>
      <c r="C671" s="0" t="s">
        <v>2156</v>
      </c>
      <c r="D671" s="0" t="s">
        <v>2105</v>
      </c>
      <c r="E671" s="0" t="s">
        <v>2045</v>
      </c>
      <c r="F671" s="0" t="s">
        <v>2204</v>
      </c>
      <c r="G671" s="0" t="s">
        <v>2212</v>
      </c>
      <c r="H671" s="0" t="s">
        <v>2213</v>
      </c>
      <c r="J671" s="0" t="s">
        <v>2160</v>
      </c>
      <c r="K671" s="272" t="n">
        <v>-1619156.415</v>
      </c>
    </row>
    <row r="672" customFormat="false" ht="15" hidden="false" customHeight="false" outlineLevel="0" collapsed="false">
      <c r="A672" s="0" t="s">
        <v>2041</v>
      </c>
      <c r="B672" s="0" t="s">
        <v>2042</v>
      </c>
      <c r="C672" s="0" t="s">
        <v>2161</v>
      </c>
      <c r="D672" s="0" t="s">
        <v>2105</v>
      </c>
      <c r="E672" s="0" t="s">
        <v>2045</v>
      </c>
      <c r="F672" s="0" t="s">
        <v>2204</v>
      </c>
      <c r="G672" s="0" t="s">
        <v>2212</v>
      </c>
      <c r="H672" s="0" t="s">
        <v>2213</v>
      </c>
      <c r="J672" s="0" t="s">
        <v>2160</v>
      </c>
      <c r="K672" s="272" t="n">
        <v>-327079.12</v>
      </c>
    </row>
    <row r="673" customFormat="false" ht="15" hidden="false" customHeight="false" outlineLevel="0" collapsed="false">
      <c r="A673" s="0" t="s">
        <v>2041</v>
      </c>
      <c r="B673" s="0" t="s">
        <v>2042</v>
      </c>
      <c r="C673" s="0" t="s">
        <v>2156</v>
      </c>
      <c r="D673" s="0" t="s">
        <v>2105</v>
      </c>
      <c r="E673" s="0" t="s">
        <v>2045</v>
      </c>
      <c r="F673" s="0" t="s">
        <v>2204</v>
      </c>
      <c r="G673" s="0" t="s">
        <v>2212</v>
      </c>
      <c r="H673" s="0" t="s">
        <v>2206</v>
      </c>
      <c r="J673" s="0" t="s">
        <v>2160</v>
      </c>
      <c r="K673" s="272" t="n">
        <v>-1619156.415</v>
      </c>
    </row>
    <row r="674" customFormat="false" ht="15" hidden="false" customHeight="false" outlineLevel="0" collapsed="false">
      <c r="A674" s="0" t="s">
        <v>2041</v>
      </c>
      <c r="B674" s="0" t="s">
        <v>2042</v>
      </c>
      <c r="C674" s="0" t="s">
        <v>2161</v>
      </c>
      <c r="D674" s="0" t="s">
        <v>2105</v>
      </c>
      <c r="E674" s="0" t="s">
        <v>2045</v>
      </c>
      <c r="F674" s="0" t="s">
        <v>2204</v>
      </c>
      <c r="G674" s="0" t="s">
        <v>2212</v>
      </c>
      <c r="H674" s="0" t="s">
        <v>2206</v>
      </c>
      <c r="J674" s="0" t="s">
        <v>2160</v>
      </c>
      <c r="K674" s="272" t="n">
        <v>-327079.12</v>
      </c>
    </row>
    <row r="675" customFormat="false" ht="15" hidden="false" customHeight="false" outlineLevel="0" collapsed="false">
      <c r="A675" s="0" t="s">
        <v>2041</v>
      </c>
      <c r="B675" s="0" t="s">
        <v>2042</v>
      </c>
      <c r="C675" s="0" t="s">
        <v>2156</v>
      </c>
      <c r="D675" s="0" t="s">
        <v>2105</v>
      </c>
      <c r="E675" s="0" t="s">
        <v>2045</v>
      </c>
      <c r="F675" s="0" t="s">
        <v>2204</v>
      </c>
      <c r="G675" s="0" t="s">
        <v>2212</v>
      </c>
      <c r="H675" s="0" t="s">
        <v>2208</v>
      </c>
      <c r="J675" s="0" t="s">
        <v>2160</v>
      </c>
      <c r="K675" s="272" t="n">
        <v>5068727.6</v>
      </c>
    </row>
    <row r="676" customFormat="false" ht="15" hidden="false" customHeight="false" outlineLevel="0" collapsed="false">
      <c r="A676" s="0" t="s">
        <v>2041</v>
      </c>
      <c r="B676" s="0" t="s">
        <v>2042</v>
      </c>
      <c r="C676" s="0" t="s">
        <v>2161</v>
      </c>
      <c r="D676" s="0" t="s">
        <v>2105</v>
      </c>
      <c r="E676" s="0" t="s">
        <v>2045</v>
      </c>
      <c r="F676" s="0" t="s">
        <v>2204</v>
      </c>
      <c r="G676" s="0" t="s">
        <v>2212</v>
      </c>
      <c r="H676" s="0" t="s">
        <v>2208</v>
      </c>
      <c r="J676" s="0" t="s">
        <v>2160</v>
      </c>
      <c r="K676" s="272" t="n">
        <v>758473.16</v>
      </c>
    </row>
    <row r="677" customFormat="false" ht="15" hidden="false" customHeight="false" outlineLevel="0" collapsed="false">
      <c r="A677" s="0" t="s">
        <v>2041</v>
      </c>
      <c r="B677" s="0" t="s">
        <v>2042</v>
      </c>
      <c r="C677" s="0" t="s">
        <v>2156</v>
      </c>
      <c r="D677" s="0" t="s">
        <v>2105</v>
      </c>
      <c r="E677" s="0" t="s">
        <v>2045</v>
      </c>
      <c r="F677" s="0" t="s">
        <v>2204</v>
      </c>
      <c r="G677" s="0" t="s">
        <v>2212</v>
      </c>
      <c r="H677" s="0" t="s">
        <v>2208</v>
      </c>
      <c r="I677" s="0" t="s">
        <v>2124</v>
      </c>
      <c r="J677" s="0" t="s">
        <v>2160</v>
      </c>
      <c r="K677" s="272" t="n">
        <v>-941989.659999998</v>
      </c>
    </row>
    <row r="678" customFormat="false" ht="15" hidden="false" customHeight="false" outlineLevel="0" collapsed="false">
      <c r="A678" s="0" t="s">
        <v>2041</v>
      </c>
      <c r="B678" s="0" t="s">
        <v>2042</v>
      </c>
      <c r="C678" s="0" t="s">
        <v>2161</v>
      </c>
      <c r="D678" s="0" t="s">
        <v>2105</v>
      </c>
      <c r="E678" s="0" t="s">
        <v>2045</v>
      </c>
      <c r="F678" s="0" t="s">
        <v>2204</v>
      </c>
      <c r="G678" s="0" t="s">
        <v>2212</v>
      </c>
      <c r="H678" s="0" t="s">
        <v>2208</v>
      </c>
      <c r="I678" s="0" t="s">
        <v>2124</v>
      </c>
      <c r="J678" s="0" t="s">
        <v>2160</v>
      </c>
      <c r="K678" s="272" t="n">
        <v>65811.2999999998</v>
      </c>
    </row>
    <row r="679" customFormat="false" ht="15" hidden="false" customHeight="false" outlineLevel="0" collapsed="false">
      <c r="A679" s="0" t="s">
        <v>2041</v>
      </c>
      <c r="B679" s="0" t="s">
        <v>2042</v>
      </c>
      <c r="C679" s="0" t="s">
        <v>2156</v>
      </c>
      <c r="D679" s="0" t="s">
        <v>2105</v>
      </c>
      <c r="E679" s="0" t="s">
        <v>2045</v>
      </c>
      <c r="F679" s="0" t="s">
        <v>2204</v>
      </c>
      <c r="G679" s="0" t="s">
        <v>2214</v>
      </c>
      <c r="H679" s="0" t="s">
        <v>2206</v>
      </c>
      <c r="J679" s="0" t="s">
        <v>2160</v>
      </c>
      <c r="K679" s="272" t="n">
        <v>2541310.78</v>
      </c>
    </row>
    <row r="680" customFormat="false" ht="15" hidden="false" customHeight="false" outlineLevel="0" collapsed="false">
      <c r="A680" s="0" t="s">
        <v>2041</v>
      </c>
      <c r="B680" s="0" t="s">
        <v>2042</v>
      </c>
      <c r="C680" s="0" t="s">
        <v>2161</v>
      </c>
      <c r="D680" s="0" t="s">
        <v>2105</v>
      </c>
      <c r="E680" s="0" t="s">
        <v>2045</v>
      </c>
      <c r="F680" s="0" t="s">
        <v>2204</v>
      </c>
      <c r="G680" s="0" t="s">
        <v>2214</v>
      </c>
      <c r="H680" s="0" t="s">
        <v>2206</v>
      </c>
      <c r="J680" s="0" t="s">
        <v>2160</v>
      </c>
      <c r="K680" s="272" t="n">
        <v>417937.845</v>
      </c>
    </row>
    <row r="681" customFormat="false" ht="15" hidden="false" customHeight="false" outlineLevel="0" collapsed="false">
      <c r="A681" s="0" t="s">
        <v>2041</v>
      </c>
      <c r="B681" s="0" t="s">
        <v>2042</v>
      </c>
      <c r="C681" s="0" t="s">
        <v>2156</v>
      </c>
      <c r="D681" s="0" t="s">
        <v>2105</v>
      </c>
      <c r="E681" s="0" t="s">
        <v>2045</v>
      </c>
      <c r="F681" s="0" t="s">
        <v>2204</v>
      </c>
      <c r="G681" s="0" t="s">
        <v>2214</v>
      </c>
      <c r="H681" s="0" t="s">
        <v>2208</v>
      </c>
      <c r="J681" s="0" t="s">
        <v>2160</v>
      </c>
      <c r="K681" s="272" t="n">
        <v>2541310.78</v>
      </c>
    </row>
    <row r="682" customFormat="false" ht="15" hidden="false" customHeight="false" outlineLevel="0" collapsed="false">
      <c r="A682" s="0" t="s">
        <v>2041</v>
      </c>
      <c r="B682" s="0" t="s">
        <v>2042</v>
      </c>
      <c r="C682" s="0" t="s">
        <v>2161</v>
      </c>
      <c r="D682" s="0" t="s">
        <v>2105</v>
      </c>
      <c r="E682" s="0" t="s">
        <v>2045</v>
      </c>
      <c r="F682" s="0" t="s">
        <v>2204</v>
      </c>
      <c r="G682" s="0" t="s">
        <v>2214</v>
      </c>
      <c r="H682" s="0" t="s">
        <v>2208</v>
      </c>
      <c r="J682" s="0" t="s">
        <v>2160</v>
      </c>
      <c r="K682" s="272" t="n">
        <v>417937.845</v>
      </c>
    </row>
    <row r="683" customFormat="false" ht="15" hidden="false" customHeight="false" outlineLevel="0" collapsed="false">
      <c r="A683" s="0" t="s">
        <v>2041</v>
      </c>
      <c r="B683" s="0" t="s">
        <v>2042</v>
      </c>
      <c r="C683" s="0" t="s">
        <v>2156</v>
      </c>
      <c r="D683" s="0" t="s">
        <v>2105</v>
      </c>
      <c r="E683" s="0" t="s">
        <v>2045</v>
      </c>
      <c r="F683" s="0" t="s">
        <v>2051</v>
      </c>
      <c r="G683" s="0" t="s">
        <v>2106</v>
      </c>
      <c r="H683" s="0" t="s">
        <v>2107</v>
      </c>
      <c r="J683" s="0" t="s">
        <v>2160</v>
      </c>
      <c r="K683" s="272" t="n">
        <v>10745775.23</v>
      </c>
    </row>
    <row r="684" customFormat="false" ht="15" hidden="false" customHeight="false" outlineLevel="0" collapsed="false">
      <c r="A684" s="0" t="s">
        <v>2041</v>
      </c>
      <c r="B684" s="0" t="s">
        <v>2042</v>
      </c>
      <c r="C684" s="0" t="s">
        <v>2161</v>
      </c>
      <c r="D684" s="0" t="s">
        <v>2105</v>
      </c>
      <c r="E684" s="0" t="s">
        <v>2045</v>
      </c>
      <c r="F684" s="0" t="s">
        <v>2051</v>
      </c>
      <c r="G684" s="0" t="s">
        <v>2106</v>
      </c>
      <c r="H684" s="0" t="s">
        <v>2107</v>
      </c>
      <c r="J684" s="0" t="s">
        <v>2160</v>
      </c>
      <c r="K684" s="272" t="n">
        <v>1562838.49</v>
      </c>
    </row>
    <row r="685" customFormat="false" ht="15" hidden="false" customHeight="false" outlineLevel="0" collapsed="false">
      <c r="A685" s="0" t="s">
        <v>2041</v>
      </c>
      <c r="B685" s="0" t="s">
        <v>2042</v>
      </c>
      <c r="C685" s="0" t="s">
        <v>2156</v>
      </c>
      <c r="D685" s="0" t="s">
        <v>2105</v>
      </c>
      <c r="E685" s="0" t="s">
        <v>2045</v>
      </c>
      <c r="F685" s="0" t="s">
        <v>2051</v>
      </c>
      <c r="G685" s="0" t="s">
        <v>2106</v>
      </c>
      <c r="H685" s="0" t="s">
        <v>2107</v>
      </c>
      <c r="I685" s="0" t="s">
        <v>2124</v>
      </c>
      <c r="J685" s="0" t="s">
        <v>2160</v>
      </c>
      <c r="K685" s="272" t="n">
        <v>2382283.82</v>
      </c>
    </row>
    <row r="686" customFormat="false" ht="15" hidden="false" customHeight="false" outlineLevel="0" collapsed="false">
      <c r="A686" s="0" t="s">
        <v>2041</v>
      </c>
      <c r="B686" s="0" t="s">
        <v>2042</v>
      </c>
      <c r="C686" s="0" t="s">
        <v>2161</v>
      </c>
      <c r="D686" s="0" t="s">
        <v>2105</v>
      </c>
      <c r="E686" s="0" t="s">
        <v>2045</v>
      </c>
      <c r="F686" s="0" t="s">
        <v>2051</v>
      </c>
      <c r="G686" s="0" t="s">
        <v>2106</v>
      </c>
      <c r="H686" s="0" t="s">
        <v>2107</v>
      </c>
      <c r="I686" s="0" t="s">
        <v>2124</v>
      </c>
      <c r="J686" s="0" t="s">
        <v>2160</v>
      </c>
      <c r="K686" s="272" t="n">
        <v>312243.07</v>
      </c>
    </row>
    <row r="687" customFormat="false" ht="15" hidden="false" customHeight="false" outlineLevel="0" collapsed="false">
      <c r="A687" s="0" t="s">
        <v>2041</v>
      </c>
      <c r="B687" s="0" t="s">
        <v>2042</v>
      </c>
      <c r="C687" s="0" t="s">
        <v>2156</v>
      </c>
      <c r="D687" s="0" t="s">
        <v>2105</v>
      </c>
      <c r="E687" s="0" t="s">
        <v>2045</v>
      </c>
      <c r="F687" s="0" t="s">
        <v>2051</v>
      </c>
      <c r="G687" s="0" t="s">
        <v>2110</v>
      </c>
      <c r="H687" s="0" t="s">
        <v>2115</v>
      </c>
      <c r="J687" s="0" t="s">
        <v>2160</v>
      </c>
      <c r="K687" s="272" t="n">
        <v>-79297.5436</v>
      </c>
    </row>
    <row r="688" customFormat="false" ht="15" hidden="false" customHeight="false" outlineLevel="0" collapsed="false">
      <c r="A688" s="0" t="s">
        <v>2041</v>
      </c>
      <c r="B688" s="0" t="s">
        <v>2042</v>
      </c>
      <c r="C688" s="0" t="s">
        <v>2161</v>
      </c>
      <c r="D688" s="0" t="s">
        <v>2105</v>
      </c>
      <c r="E688" s="0" t="s">
        <v>2045</v>
      </c>
      <c r="F688" s="0" t="s">
        <v>2051</v>
      </c>
      <c r="G688" s="0" t="s">
        <v>2110</v>
      </c>
      <c r="H688" s="0" t="s">
        <v>2115</v>
      </c>
      <c r="J688" s="0" t="s">
        <v>2160</v>
      </c>
      <c r="K688" s="272" t="n">
        <v>2539.2664</v>
      </c>
    </row>
    <row r="689" customFormat="false" ht="15" hidden="false" customHeight="false" outlineLevel="0" collapsed="false">
      <c r="A689" s="0" t="s">
        <v>2041</v>
      </c>
      <c r="B689" s="0" t="s">
        <v>2042</v>
      </c>
      <c r="C689" s="0" t="s">
        <v>2156</v>
      </c>
      <c r="D689" s="0" t="s">
        <v>2105</v>
      </c>
      <c r="E689" s="0" t="s">
        <v>2045</v>
      </c>
      <c r="F689" s="0" t="s">
        <v>2051</v>
      </c>
      <c r="G689" s="0" t="s">
        <v>2110</v>
      </c>
      <c r="H689" s="0" t="s">
        <v>2111</v>
      </c>
      <c r="J689" s="0" t="s">
        <v>2160</v>
      </c>
      <c r="K689" s="272" t="n">
        <v>1108080.691</v>
      </c>
    </row>
    <row r="690" customFormat="false" ht="15" hidden="false" customHeight="false" outlineLevel="0" collapsed="false">
      <c r="A690" s="0" t="s">
        <v>2041</v>
      </c>
      <c r="B690" s="0" t="s">
        <v>2042</v>
      </c>
      <c r="C690" s="0" t="s">
        <v>2161</v>
      </c>
      <c r="D690" s="0" t="s">
        <v>2105</v>
      </c>
      <c r="E690" s="0" t="s">
        <v>2045</v>
      </c>
      <c r="F690" s="0" t="s">
        <v>2051</v>
      </c>
      <c r="G690" s="0" t="s">
        <v>2110</v>
      </c>
      <c r="H690" s="0" t="s">
        <v>2111</v>
      </c>
      <c r="J690" s="0" t="s">
        <v>2160</v>
      </c>
      <c r="K690" s="272" t="n">
        <v>292555.1</v>
      </c>
    </row>
    <row r="691" customFormat="false" ht="15" hidden="false" customHeight="false" outlineLevel="0" collapsed="false">
      <c r="A691" s="0" t="s">
        <v>2041</v>
      </c>
      <c r="B691" s="0" t="s">
        <v>2042</v>
      </c>
      <c r="C691" s="0" t="s">
        <v>2156</v>
      </c>
      <c r="D691" s="0" t="s">
        <v>2105</v>
      </c>
      <c r="E691" s="0" t="s">
        <v>2045</v>
      </c>
      <c r="F691" s="0" t="s">
        <v>2051</v>
      </c>
      <c r="G691" s="0" t="s">
        <v>2110</v>
      </c>
      <c r="H691" s="0" t="s">
        <v>2119</v>
      </c>
      <c r="J691" s="0" t="s">
        <v>2160</v>
      </c>
      <c r="K691" s="272" t="n">
        <v>-30637.6873</v>
      </c>
    </row>
    <row r="692" customFormat="false" ht="15" hidden="false" customHeight="false" outlineLevel="0" collapsed="false">
      <c r="A692" s="0" t="s">
        <v>2041</v>
      </c>
      <c r="B692" s="0" t="s">
        <v>2042</v>
      </c>
      <c r="C692" s="0" t="s">
        <v>2161</v>
      </c>
      <c r="D692" s="0" t="s">
        <v>2105</v>
      </c>
      <c r="E692" s="0" t="s">
        <v>2045</v>
      </c>
      <c r="F692" s="0" t="s">
        <v>2051</v>
      </c>
      <c r="G692" s="0" t="s">
        <v>2110</v>
      </c>
      <c r="H692" s="0" t="s">
        <v>2119</v>
      </c>
      <c r="J692" s="0" t="s">
        <v>2160</v>
      </c>
      <c r="K692" s="272" t="n">
        <v>981.0802</v>
      </c>
    </row>
    <row r="693" customFormat="false" ht="15" hidden="false" customHeight="false" outlineLevel="0" collapsed="false">
      <c r="A693" s="0" t="s">
        <v>2041</v>
      </c>
      <c r="B693" s="0" t="s">
        <v>2042</v>
      </c>
      <c r="C693" s="0" t="s">
        <v>2156</v>
      </c>
      <c r="D693" s="0" t="s">
        <v>2105</v>
      </c>
      <c r="E693" s="0" t="s">
        <v>2045</v>
      </c>
      <c r="F693" s="0" t="s">
        <v>2051</v>
      </c>
      <c r="G693" s="0" t="s">
        <v>2110</v>
      </c>
      <c r="H693" s="0" t="s">
        <v>2120</v>
      </c>
      <c r="J693" s="0" t="s">
        <v>2160</v>
      </c>
      <c r="K693" s="272" t="n">
        <v>5137.3848</v>
      </c>
    </row>
    <row r="694" customFormat="false" ht="15" hidden="false" customHeight="false" outlineLevel="0" collapsed="false">
      <c r="A694" s="0" t="s">
        <v>2041</v>
      </c>
      <c r="B694" s="0" t="s">
        <v>2042</v>
      </c>
      <c r="C694" s="0" t="s">
        <v>2161</v>
      </c>
      <c r="D694" s="0" t="s">
        <v>2105</v>
      </c>
      <c r="E694" s="0" t="s">
        <v>2045</v>
      </c>
      <c r="F694" s="0" t="s">
        <v>2051</v>
      </c>
      <c r="G694" s="0" t="s">
        <v>2110</v>
      </c>
      <c r="H694" s="0" t="s">
        <v>2120</v>
      </c>
      <c r="J694" s="0" t="s">
        <v>2160</v>
      </c>
      <c r="K694" s="272" t="n">
        <v>12834.0573</v>
      </c>
    </row>
    <row r="695" customFormat="false" ht="15" hidden="false" customHeight="false" outlineLevel="0" collapsed="false">
      <c r="A695" s="0" t="s">
        <v>2041</v>
      </c>
      <c r="B695" s="0" t="s">
        <v>2042</v>
      </c>
      <c r="C695" s="0" t="s">
        <v>2156</v>
      </c>
      <c r="D695" s="0" t="s">
        <v>2105</v>
      </c>
      <c r="E695" s="0" t="s">
        <v>2045</v>
      </c>
      <c r="F695" s="0" t="s">
        <v>2051</v>
      </c>
      <c r="G695" s="0" t="s">
        <v>2110</v>
      </c>
      <c r="H695" s="0" t="s">
        <v>2121</v>
      </c>
      <c r="J695" s="0" t="s">
        <v>2160</v>
      </c>
      <c r="K695" s="272" t="n">
        <v>20698.478</v>
      </c>
    </row>
    <row r="696" customFormat="false" ht="15" hidden="false" customHeight="false" outlineLevel="0" collapsed="false">
      <c r="A696" s="0" t="s">
        <v>2041</v>
      </c>
      <c r="B696" s="0" t="s">
        <v>2042</v>
      </c>
      <c r="C696" s="0" t="s">
        <v>2161</v>
      </c>
      <c r="D696" s="0" t="s">
        <v>2105</v>
      </c>
      <c r="E696" s="0" t="s">
        <v>2045</v>
      </c>
      <c r="F696" s="0" t="s">
        <v>2051</v>
      </c>
      <c r="G696" s="0" t="s">
        <v>2110</v>
      </c>
      <c r="H696" s="0" t="s">
        <v>2121</v>
      </c>
      <c r="J696" s="0" t="s">
        <v>2160</v>
      </c>
      <c r="K696" s="272" t="n">
        <v>5648.348</v>
      </c>
    </row>
    <row r="697" customFormat="false" ht="15" hidden="false" customHeight="false" outlineLevel="0" collapsed="false">
      <c r="A697" s="0" t="s">
        <v>2041</v>
      </c>
      <c r="B697" s="0" t="s">
        <v>2042</v>
      </c>
      <c r="C697" s="0" t="s">
        <v>2156</v>
      </c>
      <c r="D697" s="0" t="s">
        <v>2105</v>
      </c>
      <c r="E697" s="0" t="s">
        <v>2045</v>
      </c>
      <c r="F697" s="0" t="s">
        <v>2051</v>
      </c>
      <c r="G697" s="0" t="s">
        <v>2110</v>
      </c>
      <c r="H697" s="0" t="s">
        <v>2122</v>
      </c>
      <c r="J697" s="0" t="s">
        <v>2160</v>
      </c>
      <c r="K697" s="272" t="n">
        <v>5137.3848</v>
      </c>
    </row>
    <row r="698" customFormat="false" ht="15" hidden="false" customHeight="false" outlineLevel="0" collapsed="false">
      <c r="A698" s="0" t="s">
        <v>2041</v>
      </c>
      <c r="B698" s="0" t="s">
        <v>2042</v>
      </c>
      <c r="C698" s="0" t="s">
        <v>2161</v>
      </c>
      <c r="D698" s="0" t="s">
        <v>2105</v>
      </c>
      <c r="E698" s="0" t="s">
        <v>2045</v>
      </c>
      <c r="F698" s="0" t="s">
        <v>2051</v>
      </c>
      <c r="G698" s="0" t="s">
        <v>2110</v>
      </c>
      <c r="H698" s="0" t="s">
        <v>2122</v>
      </c>
      <c r="J698" s="0" t="s">
        <v>2160</v>
      </c>
      <c r="K698" s="272" t="n">
        <v>12834.0573</v>
      </c>
    </row>
    <row r="699" customFormat="false" ht="15" hidden="false" customHeight="false" outlineLevel="0" collapsed="false">
      <c r="A699" s="0" t="s">
        <v>2041</v>
      </c>
      <c r="B699" s="0" t="s">
        <v>2042</v>
      </c>
      <c r="C699" s="0" t="s">
        <v>2156</v>
      </c>
      <c r="D699" s="0" t="s">
        <v>2105</v>
      </c>
      <c r="E699" s="0" t="s">
        <v>2045</v>
      </c>
      <c r="F699" s="0" t="s">
        <v>2051</v>
      </c>
      <c r="G699" s="0" t="s">
        <v>2110</v>
      </c>
      <c r="H699" s="0" t="s">
        <v>2112</v>
      </c>
      <c r="J699" s="0" t="s">
        <v>2160</v>
      </c>
      <c r="K699" s="272" t="n">
        <v>2873533.6769</v>
      </c>
    </row>
    <row r="700" customFormat="false" ht="15" hidden="false" customHeight="false" outlineLevel="0" collapsed="false">
      <c r="A700" s="0" t="s">
        <v>2041</v>
      </c>
      <c r="B700" s="0" t="s">
        <v>2042</v>
      </c>
      <c r="C700" s="0" t="s">
        <v>2161</v>
      </c>
      <c r="D700" s="0" t="s">
        <v>2105</v>
      </c>
      <c r="E700" s="0" t="s">
        <v>2045</v>
      </c>
      <c r="F700" s="0" t="s">
        <v>2051</v>
      </c>
      <c r="G700" s="0" t="s">
        <v>2110</v>
      </c>
      <c r="H700" s="0" t="s">
        <v>2112</v>
      </c>
      <c r="J700" s="0" t="s">
        <v>2160</v>
      </c>
      <c r="K700" s="272" t="n">
        <v>592849.1634</v>
      </c>
    </row>
    <row r="701" customFormat="false" ht="15" hidden="false" customHeight="false" outlineLevel="0" collapsed="false">
      <c r="A701" s="0" t="s">
        <v>2041</v>
      </c>
      <c r="B701" s="0" t="s">
        <v>2042</v>
      </c>
      <c r="C701" s="0" t="s">
        <v>2156</v>
      </c>
      <c r="D701" s="0" t="s">
        <v>2105</v>
      </c>
      <c r="E701" s="0" t="s">
        <v>2045</v>
      </c>
      <c r="F701" s="0" t="s">
        <v>2051</v>
      </c>
      <c r="G701" s="0" t="s">
        <v>2110</v>
      </c>
      <c r="H701" s="0" t="s">
        <v>2113</v>
      </c>
      <c r="J701" s="0" t="s">
        <v>2160</v>
      </c>
      <c r="K701" s="272" t="n">
        <v>6904946.9754</v>
      </c>
    </row>
    <row r="702" customFormat="false" ht="15" hidden="false" customHeight="false" outlineLevel="0" collapsed="false">
      <c r="A702" s="0" t="s">
        <v>2041</v>
      </c>
      <c r="B702" s="0" t="s">
        <v>2042</v>
      </c>
      <c r="C702" s="0" t="s">
        <v>2161</v>
      </c>
      <c r="D702" s="0" t="s">
        <v>2105</v>
      </c>
      <c r="E702" s="0" t="s">
        <v>2045</v>
      </c>
      <c r="F702" s="0" t="s">
        <v>2051</v>
      </c>
      <c r="G702" s="0" t="s">
        <v>2110</v>
      </c>
      <c r="H702" s="0" t="s">
        <v>2113</v>
      </c>
      <c r="J702" s="0" t="s">
        <v>2160</v>
      </c>
      <c r="K702" s="272" t="n">
        <v>1643712.1774</v>
      </c>
    </row>
    <row r="703" customFormat="false" ht="15" hidden="false" customHeight="false" outlineLevel="0" collapsed="false">
      <c r="A703" s="0" t="s">
        <v>2041</v>
      </c>
      <c r="B703" s="0" t="s">
        <v>2042</v>
      </c>
      <c r="C703" s="0" t="s">
        <v>2156</v>
      </c>
      <c r="D703" s="0" t="s">
        <v>2105</v>
      </c>
      <c r="E703" s="0" t="s">
        <v>2045</v>
      </c>
      <c r="F703" s="0" t="s">
        <v>2051</v>
      </c>
      <c r="G703" s="0" t="s">
        <v>2110</v>
      </c>
      <c r="H703" s="0" t="s">
        <v>2107</v>
      </c>
      <c r="J703" s="0" t="s">
        <v>2160</v>
      </c>
      <c r="K703" s="272" t="n">
        <v>5461670.72</v>
      </c>
    </row>
    <row r="704" customFormat="false" ht="15" hidden="false" customHeight="false" outlineLevel="0" collapsed="false">
      <c r="A704" s="0" t="s">
        <v>2041</v>
      </c>
      <c r="B704" s="0" t="s">
        <v>2042</v>
      </c>
      <c r="C704" s="0" t="s">
        <v>2161</v>
      </c>
      <c r="D704" s="0" t="s">
        <v>2105</v>
      </c>
      <c r="E704" s="0" t="s">
        <v>2045</v>
      </c>
      <c r="F704" s="0" t="s">
        <v>2051</v>
      </c>
      <c r="G704" s="0" t="s">
        <v>2110</v>
      </c>
      <c r="H704" s="0" t="s">
        <v>2107</v>
      </c>
      <c r="J704" s="0" t="s">
        <v>2160</v>
      </c>
      <c r="K704" s="272" t="n">
        <v>831350.81</v>
      </c>
    </row>
    <row r="705" customFormat="false" ht="15" hidden="false" customHeight="false" outlineLevel="0" collapsed="false">
      <c r="A705" s="0" t="s">
        <v>2041</v>
      </c>
      <c r="B705" s="0" t="s">
        <v>2042</v>
      </c>
      <c r="C705" s="0" t="s">
        <v>2156</v>
      </c>
      <c r="D705" s="0" t="s">
        <v>2105</v>
      </c>
      <c r="E705" s="0" t="s">
        <v>2045</v>
      </c>
      <c r="F705" s="0" t="s">
        <v>2051</v>
      </c>
      <c r="G705" s="0" t="s">
        <v>2114</v>
      </c>
      <c r="H705" s="0" t="s">
        <v>2115</v>
      </c>
      <c r="J705" s="0" t="s">
        <v>2160</v>
      </c>
      <c r="K705" s="272" t="n">
        <v>4401371.845</v>
      </c>
    </row>
    <row r="706" customFormat="false" ht="15" hidden="false" customHeight="false" outlineLevel="0" collapsed="false">
      <c r="A706" s="0" t="s">
        <v>2041</v>
      </c>
      <c r="B706" s="0" t="s">
        <v>2042</v>
      </c>
      <c r="C706" s="0" t="s">
        <v>2161</v>
      </c>
      <c r="D706" s="0" t="s">
        <v>2105</v>
      </c>
      <c r="E706" s="0" t="s">
        <v>2045</v>
      </c>
      <c r="F706" s="0" t="s">
        <v>2051</v>
      </c>
      <c r="G706" s="0" t="s">
        <v>2114</v>
      </c>
      <c r="H706" s="0" t="s">
        <v>2115</v>
      </c>
      <c r="J706" s="0" t="s">
        <v>2160</v>
      </c>
      <c r="K706" s="272" t="n">
        <v>919900.755</v>
      </c>
    </row>
    <row r="707" customFormat="false" ht="15" hidden="false" customHeight="false" outlineLevel="0" collapsed="false">
      <c r="A707" s="0" t="s">
        <v>2041</v>
      </c>
      <c r="B707" s="0" t="s">
        <v>2042</v>
      </c>
      <c r="C707" s="0" t="s">
        <v>2156</v>
      </c>
      <c r="D707" s="0" t="s">
        <v>2105</v>
      </c>
      <c r="E707" s="0" t="s">
        <v>2045</v>
      </c>
      <c r="F707" s="0" t="s">
        <v>2051</v>
      </c>
      <c r="G707" s="0" t="s">
        <v>2114</v>
      </c>
      <c r="H707" s="0" t="s">
        <v>2116</v>
      </c>
      <c r="J707" s="0" t="s">
        <v>2160</v>
      </c>
      <c r="K707" s="272" t="n">
        <v>355413.1</v>
      </c>
    </row>
    <row r="708" customFormat="false" ht="15" hidden="false" customHeight="false" outlineLevel="0" collapsed="false">
      <c r="A708" s="0" t="s">
        <v>2041</v>
      </c>
      <c r="B708" s="0" t="s">
        <v>2042</v>
      </c>
      <c r="C708" s="0" t="s">
        <v>2161</v>
      </c>
      <c r="D708" s="0" t="s">
        <v>2105</v>
      </c>
      <c r="E708" s="0" t="s">
        <v>2045</v>
      </c>
      <c r="F708" s="0" t="s">
        <v>2051</v>
      </c>
      <c r="G708" s="0" t="s">
        <v>2114</v>
      </c>
      <c r="H708" s="0" t="s">
        <v>2116</v>
      </c>
      <c r="J708" s="0" t="s">
        <v>2160</v>
      </c>
      <c r="K708" s="272" t="n">
        <v>76309.926</v>
      </c>
    </row>
    <row r="709" customFormat="false" ht="15" hidden="false" customHeight="false" outlineLevel="0" collapsed="false">
      <c r="A709" s="0" t="s">
        <v>2041</v>
      </c>
      <c r="B709" s="0" t="s">
        <v>2042</v>
      </c>
      <c r="C709" s="0" t="s">
        <v>2156</v>
      </c>
      <c r="D709" s="0" t="s">
        <v>2105</v>
      </c>
      <c r="E709" s="0" t="s">
        <v>2045</v>
      </c>
      <c r="F709" s="0" t="s">
        <v>2051</v>
      </c>
      <c r="G709" s="0" t="s">
        <v>2114</v>
      </c>
      <c r="H709" s="0" t="s">
        <v>2117</v>
      </c>
      <c r="J709" s="0" t="s">
        <v>2160</v>
      </c>
      <c r="K709" s="272" t="n">
        <v>256825.065</v>
      </c>
    </row>
    <row r="710" customFormat="false" ht="15" hidden="false" customHeight="false" outlineLevel="0" collapsed="false">
      <c r="A710" s="0" t="s">
        <v>2041</v>
      </c>
      <c r="B710" s="0" t="s">
        <v>2042</v>
      </c>
      <c r="C710" s="0" t="s">
        <v>2161</v>
      </c>
      <c r="D710" s="0" t="s">
        <v>2105</v>
      </c>
      <c r="E710" s="0" t="s">
        <v>2045</v>
      </c>
      <c r="F710" s="0" t="s">
        <v>2051</v>
      </c>
      <c r="G710" s="0" t="s">
        <v>2114</v>
      </c>
      <c r="H710" s="0" t="s">
        <v>2117</v>
      </c>
      <c r="J710" s="0" t="s">
        <v>2160</v>
      </c>
      <c r="K710" s="272" t="n">
        <v>42369.366</v>
      </c>
    </row>
    <row r="711" customFormat="false" ht="15" hidden="false" customHeight="false" outlineLevel="0" collapsed="false">
      <c r="A711" s="0" t="s">
        <v>2041</v>
      </c>
      <c r="B711" s="0" t="s">
        <v>2042</v>
      </c>
      <c r="C711" s="0" t="s">
        <v>2156</v>
      </c>
      <c r="D711" s="0" t="s">
        <v>2105</v>
      </c>
      <c r="E711" s="0" t="s">
        <v>2045</v>
      </c>
      <c r="F711" s="0" t="s">
        <v>2051</v>
      </c>
      <c r="G711" s="0" t="s">
        <v>2114</v>
      </c>
      <c r="H711" s="0" t="s">
        <v>2118</v>
      </c>
      <c r="J711" s="0" t="s">
        <v>2160</v>
      </c>
      <c r="K711" s="272" t="n">
        <v>-34618.02</v>
      </c>
    </row>
    <row r="712" customFormat="false" ht="15" hidden="false" customHeight="false" outlineLevel="0" collapsed="false">
      <c r="A712" s="0" t="s">
        <v>2041</v>
      </c>
      <c r="B712" s="0" t="s">
        <v>2042</v>
      </c>
      <c r="C712" s="0" t="s">
        <v>2161</v>
      </c>
      <c r="D712" s="0" t="s">
        <v>2105</v>
      </c>
      <c r="E712" s="0" t="s">
        <v>2045</v>
      </c>
      <c r="F712" s="0" t="s">
        <v>2051</v>
      </c>
      <c r="G712" s="0" t="s">
        <v>2114</v>
      </c>
      <c r="H712" s="0" t="s">
        <v>2118</v>
      </c>
      <c r="J712" s="0" t="s">
        <v>2160</v>
      </c>
      <c r="K712" s="272" t="n">
        <v>38699.72</v>
      </c>
    </row>
    <row r="713" customFormat="false" ht="15" hidden="false" customHeight="false" outlineLevel="0" collapsed="false">
      <c r="A713" s="0" t="s">
        <v>2041</v>
      </c>
      <c r="B713" s="0" t="s">
        <v>2042</v>
      </c>
      <c r="C713" s="0" t="s">
        <v>2156</v>
      </c>
      <c r="D713" s="0" t="s">
        <v>2105</v>
      </c>
      <c r="E713" s="0" t="s">
        <v>2045</v>
      </c>
      <c r="F713" s="0" t="s">
        <v>2051</v>
      </c>
      <c r="G713" s="0" t="s">
        <v>2114</v>
      </c>
      <c r="H713" s="0" t="s">
        <v>2119</v>
      </c>
      <c r="J713" s="0" t="s">
        <v>2160</v>
      </c>
      <c r="K713" s="272" t="n">
        <v>643514.104</v>
      </c>
    </row>
    <row r="714" customFormat="false" ht="15" hidden="false" customHeight="false" outlineLevel="0" collapsed="false">
      <c r="A714" s="0" t="s">
        <v>2041</v>
      </c>
      <c r="B714" s="0" t="s">
        <v>2042</v>
      </c>
      <c r="C714" s="0" t="s">
        <v>2161</v>
      </c>
      <c r="D714" s="0" t="s">
        <v>2105</v>
      </c>
      <c r="E714" s="0" t="s">
        <v>2045</v>
      </c>
      <c r="F714" s="0" t="s">
        <v>2051</v>
      </c>
      <c r="G714" s="0" t="s">
        <v>2114</v>
      </c>
      <c r="H714" s="0" t="s">
        <v>2119</v>
      </c>
      <c r="J714" s="0" t="s">
        <v>2160</v>
      </c>
      <c r="K714" s="272" t="n">
        <v>157517.041</v>
      </c>
    </row>
    <row r="715" customFormat="false" ht="15" hidden="false" customHeight="false" outlineLevel="0" collapsed="false">
      <c r="A715" s="0" t="s">
        <v>2041</v>
      </c>
      <c r="B715" s="0" t="s">
        <v>2042</v>
      </c>
      <c r="C715" s="0" t="s">
        <v>2156</v>
      </c>
      <c r="D715" s="0" t="s">
        <v>2105</v>
      </c>
      <c r="E715" s="0" t="s">
        <v>2045</v>
      </c>
      <c r="F715" s="0" t="s">
        <v>2051</v>
      </c>
      <c r="G715" s="0" t="s">
        <v>2114</v>
      </c>
      <c r="H715" s="0" t="s">
        <v>2120</v>
      </c>
      <c r="J715" s="0" t="s">
        <v>2160</v>
      </c>
      <c r="K715" s="272" t="n">
        <v>144303.44</v>
      </c>
    </row>
    <row r="716" customFormat="false" ht="15" hidden="false" customHeight="false" outlineLevel="0" collapsed="false">
      <c r="A716" s="0" t="s">
        <v>2041</v>
      </c>
      <c r="B716" s="0" t="s">
        <v>2042</v>
      </c>
      <c r="C716" s="0" t="s">
        <v>2161</v>
      </c>
      <c r="D716" s="0" t="s">
        <v>2105</v>
      </c>
      <c r="E716" s="0" t="s">
        <v>2045</v>
      </c>
      <c r="F716" s="0" t="s">
        <v>2051</v>
      </c>
      <c r="G716" s="0" t="s">
        <v>2114</v>
      </c>
      <c r="H716" s="0" t="s">
        <v>2120</v>
      </c>
      <c r="J716" s="0" t="s">
        <v>2160</v>
      </c>
      <c r="K716" s="272" t="n">
        <v>117138.87</v>
      </c>
    </row>
    <row r="717" customFormat="false" ht="15" hidden="false" customHeight="false" outlineLevel="0" collapsed="false">
      <c r="A717" s="0" t="s">
        <v>2041</v>
      </c>
      <c r="B717" s="0" t="s">
        <v>2042</v>
      </c>
      <c r="C717" s="0" t="s">
        <v>2156</v>
      </c>
      <c r="D717" s="0" t="s">
        <v>2105</v>
      </c>
      <c r="E717" s="0" t="s">
        <v>2045</v>
      </c>
      <c r="F717" s="0" t="s">
        <v>2051</v>
      </c>
      <c r="G717" s="0" t="s">
        <v>2114</v>
      </c>
      <c r="H717" s="0" t="s">
        <v>2121</v>
      </c>
      <c r="J717" s="0" t="s">
        <v>2160</v>
      </c>
      <c r="K717" s="272" t="n">
        <v>670792.57</v>
      </c>
    </row>
    <row r="718" customFormat="false" ht="15" hidden="false" customHeight="false" outlineLevel="0" collapsed="false">
      <c r="A718" s="0" t="s">
        <v>2041</v>
      </c>
      <c r="B718" s="0" t="s">
        <v>2042</v>
      </c>
      <c r="C718" s="0" t="s">
        <v>2161</v>
      </c>
      <c r="D718" s="0" t="s">
        <v>2105</v>
      </c>
      <c r="E718" s="0" t="s">
        <v>2045</v>
      </c>
      <c r="F718" s="0" t="s">
        <v>2051</v>
      </c>
      <c r="G718" s="0" t="s">
        <v>2114</v>
      </c>
      <c r="H718" s="0" t="s">
        <v>2121</v>
      </c>
      <c r="J718" s="0" t="s">
        <v>2160</v>
      </c>
      <c r="K718" s="272" t="n">
        <v>130426.62</v>
      </c>
    </row>
    <row r="719" customFormat="false" ht="15" hidden="false" customHeight="false" outlineLevel="0" collapsed="false">
      <c r="A719" s="0" t="s">
        <v>2041</v>
      </c>
      <c r="B719" s="0" t="s">
        <v>2042</v>
      </c>
      <c r="C719" s="0" t="s">
        <v>2156</v>
      </c>
      <c r="D719" s="0" t="s">
        <v>2105</v>
      </c>
      <c r="E719" s="0" t="s">
        <v>2045</v>
      </c>
      <c r="F719" s="0" t="s">
        <v>2051</v>
      </c>
      <c r="G719" s="0" t="s">
        <v>2114</v>
      </c>
      <c r="H719" s="0" t="s">
        <v>2122</v>
      </c>
      <c r="J719" s="0" t="s">
        <v>2160</v>
      </c>
      <c r="K719" s="272" t="n">
        <v>1063800.502</v>
      </c>
    </row>
    <row r="720" customFormat="false" ht="15" hidden="false" customHeight="false" outlineLevel="0" collapsed="false">
      <c r="A720" s="0" t="s">
        <v>2041</v>
      </c>
      <c r="B720" s="0" t="s">
        <v>2042</v>
      </c>
      <c r="C720" s="0" t="s">
        <v>2161</v>
      </c>
      <c r="D720" s="0" t="s">
        <v>2105</v>
      </c>
      <c r="E720" s="0" t="s">
        <v>2045</v>
      </c>
      <c r="F720" s="0" t="s">
        <v>2051</v>
      </c>
      <c r="G720" s="0" t="s">
        <v>2114</v>
      </c>
      <c r="H720" s="0" t="s">
        <v>2122</v>
      </c>
      <c r="J720" s="0" t="s">
        <v>2160</v>
      </c>
      <c r="K720" s="272" t="n">
        <v>309463.796</v>
      </c>
    </row>
    <row r="721" customFormat="false" ht="15" hidden="false" customHeight="false" outlineLevel="0" collapsed="false">
      <c r="A721" s="0" t="s">
        <v>2041</v>
      </c>
      <c r="B721" s="0" t="s">
        <v>2042</v>
      </c>
      <c r="C721" s="0" t="s">
        <v>2156</v>
      </c>
      <c r="D721" s="0" t="s">
        <v>2105</v>
      </c>
      <c r="E721" s="0" t="s">
        <v>2045</v>
      </c>
      <c r="F721" s="0" t="s">
        <v>2051</v>
      </c>
      <c r="G721" s="0" t="s">
        <v>2114</v>
      </c>
      <c r="H721" s="0" t="s">
        <v>2112</v>
      </c>
      <c r="J721" s="0" t="s">
        <v>2160</v>
      </c>
      <c r="K721" s="272" t="n">
        <v>524891.19</v>
      </c>
    </row>
    <row r="722" customFormat="false" ht="15" hidden="false" customHeight="false" outlineLevel="0" collapsed="false">
      <c r="A722" s="0" t="s">
        <v>2041</v>
      </c>
      <c r="B722" s="0" t="s">
        <v>2042</v>
      </c>
      <c r="C722" s="0" t="s">
        <v>2161</v>
      </c>
      <c r="D722" s="0" t="s">
        <v>2105</v>
      </c>
      <c r="E722" s="0" t="s">
        <v>2045</v>
      </c>
      <c r="F722" s="0" t="s">
        <v>2051</v>
      </c>
      <c r="G722" s="0" t="s">
        <v>2114</v>
      </c>
      <c r="H722" s="0" t="s">
        <v>2112</v>
      </c>
      <c r="J722" s="0" t="s">
        <v>2160</v>
      </c>
      <c r="K722" s="272" t="n">
        <v>136015.06</v>
      </c>
    </row>
    <row r="723" customFormat="false" ht="15" hidden="false" customHeight="false" outlineLevel="0" collapsed="false">
      <c r="A723" s="0" t="s">
        <v>2041</v>
      </c>
      <c r="B723" s="0" t="s">
        <v>2042</v>
      </c>
      <c r="C723" s="0" t="s">
        <v>2156</v>
      </c>
      <c r="D723" s="0" t="s">
        <v>2105</v>
      </c>
      <c r="E723" s="0" t="s">
        <v>2045</v>
      </c>
      <c r="F723" s="0" t="s">
        <v>2051</v>
      </c>
      <c r="G723" s="0" t="s">
        <v>2114</v>
      </c>
      <c r="H723" s="0" t="s">
        <v>2113</v>
      </c>
      <c r="J723" s="0" t="s">
        <v>2160</v>
      </c>
      <c r="K723" s="272" t="n">
        <v>-223859.616</v>
      </c>
    </row>
    <row r="724" customFormat="false" ht="15" hidden="false" customHeight="false" outlineLevel="0" collapsed="false">
      <c r="A724" s="0" t="s">
        <v>2041</v>
      </c>
      <c r="B724" s="0" t="s">
        <v>2042</v>
      </c>
      <c r="C724" s="0" t="s">
        <v>2161</v>
      </c>
      <c r="D724" s="0" t="s">
        <v>2105</v>
      </c>
      <c r="E724" s="0" t="s">
        <v>2045</v>
      </c>
      <c r="F724" s="0" t="s">
        <v>2051</v>
      </c>
      <c r="G724" s="0" t="s">
        <v>2114</v>
      </c>
      <c r="H724" s="0" t="s">
        <v>2113</v>
      </c>
      <c r="J724" s="0" t="s">
        <v>2160</v>
      </c>
      <c r="K724" s="272" t="n">
        <v>-3419.474</v>
      </c>
    </row>
    <row r="725" customFormat="false" ht="15" hidden="false" customHeight="false" outlineLevel="0" collapsed="false">
      <c r="A725" s="0" t="s">
        <v>2041</v>
      </c>
      <c r="B725" s="0" t="s">
        <v>2042</v>
      </c>
      <c r="C725" s="0" t="s">
        <v>2156</v>
      </c>
      <c r="D725" s="0" t="s">
        <v>2105</v>
      </c>
      <c r="E725" s="0" t="s">
        <v>2045</v>
      </c>
      <c r="F725" s="0" t="s">
        <v>2051</v>
      </c>
      <c r="G725" s="0" t="s">
        <v>2114</v>
      </c>
      <c r="H725" s="0" t="s">
        <v>2107</v>
      </c>
      <c r="J725" s="0" t="s">
        <v>2160</v>
      </c>
      <c r="K725" s="272" t="n">
        <v>2730416.25</v>
      </c>
    </row>
    <row r="726" customFormat="false" ht="15" hidden="false" customHeight="false" outlineLevel="0" collapsed="false">
      <c r="A726" s="0" t="s">
        <v>2041</v>
      </c>
      <c r="B726" s="0" t="s">
        <v>2042</v>
      </c>
      <c r="C726" s="0" t="s">
        <v>2161</v>
      </c>
      <c r="D726" s="0" t="s">
        <v>2105</v>
      </c>
      <c r="E726" s="0" t="s">
        <v>2045</v>
      </c>
      <c r="F726" s="0" t="s">
        <v>2051</v>
      </c>
      <c r="G726" s="0" t="s">
        <v>2114</v>
      </c>
      <c r="H726" s="0" t="s">
        <v>2107</v>
      </c>
      <c r="J726" s="0" t="s">
        <v>2160</v>
      </c>
      <c r="K726" s="272" t="n">
        <v>386139.54</v>
      </c>
    </row>
    <row r="727" customFormat="false" ht="15" hidden="false" customHeight="false" outlineLevel="0" collapsed="false">
      <c r="A727" s="0" t="s">
        <v>2041</v>
      </c>
      <c r="B727" s="0" t="s">
        <v>2042</v>
      </c>
      <c r="C727" s="0" t="s">
        <v>2156</v>
      </c>
      <c r="D727" s="0" t="s">
        <v>2105</v>
      </c>
      <c r="E727" s="0" t="s">
        <v>2045</v>
      </c>
      <c r="F727" s="0" t="s">
        <v>2051</v>
      </c>
      <c r="G727" s="0" t="s">
        <v>2123</v>
      </c>
      <c r="H727" s="0" t="s">
        <v>2115</v>
      </c>
      <c r="J727" s="0" t="s">
        <v>2160</v>
      </c>
      <c r="K727" s="272" t="n">
        <v>709877.367</v>
      </c>
    </row>
    <row r="728" customFormat="false" ht="15" hidden="false" customHeight="false" outlineLevel="0" collapsed="false">
      <c r="A728" s="0" t="s">
        <v>2041</v>
      </c>
      <c r="B728" s="0" t="s">
        <v>2042</v>
      </c>
      <c r="C728" s="0" t="s">
        <v>2161</v>
      </c>
      <c r="D728" s="0" t="s">
        <v>2105</v>
      </c>
      <c r="E728" s="0" t="s">
        <v>2045</v>
      </c>
      <c r="F728" s="0" t="s">
        <v>2051</v>
      </c>
      <c r="G728" s="0" t="s">
        <v>2123</v>
      </c>
      <c r="H728" s="0" t="s">
        <v>2115</v>
      </c>
      <c r="J728" s="0" t="s">
        <v>2160</v>
      </c>
      <c r="K728" s="272" t="n">
        <v>170414.426</v>
      </c>
    </row>
    <row r="729" customFormat="false" ht="15" hidden="false" customHeight="false" outlineLevel="0" collapsed="false">
      <c r="A729" s="0" t="s">
        <v>2041</v>
      </c>
      <c r="B729" s="0" t="s">
        <v>2042</v>
      </c>
      <c r="C729" s="0" t="s">
        <v>2156</v>
      </c>
      <c r="D729" s="0" t="s">
        <v>2105</v>
      </c>
      <c r="E729" s="0" t="s">
        <v>2045</v>
      </c>
      <c r="F729" s="0" t="s">
        <v>2051</v>
      </c>
      <c r="G729" s="0" t="s">
        <v>2123</v>
      </c>
      <c r="H729" s="0" t="s">
        <v>2116</v>
      </c>
      <c r="J729" s="0" t="s">
        <v>2160</v>
      </c>
      <c r="K729" s="272" t="n">
        <v>444871.852</v>
      </c>
    </row>
    <row r="730" customFormat="false" ht="15" hidden="false" customHeight="false" outlineLevel="0" collapsed="false">
      <c r="A730" s="0" t="s">
        <v>2041</v>
      </c>
      <c r="B730" s="0" t="s">
        <v>2042</v>
      </c>
      <c r="C730" s="0" t="s">
        <v>2161</v>
      </c>
      <c r="D730" s="0" t="s">
        <v>2105</v>
      </c>
      <c r="E730" s="0" t="s">
        <v>2045</v>
      </c>
      <c r="F730" s="0" t="s">
        <v>2051</v>
      </c>
      <c r="G730" s="0" t="s">
        <v>2123</v>
      </c>
      <c r="H730" s="0" t="s">
        <v>2116</v>
      </c>
      <c r="J730" s="0" t="s">
        <v>2160</v>
      </c>
      <c r="K730" s="272" t="n">
        <v>178261.726</v>
      </c>
    </row>
    <row r="731" customFormat="false" ht="15" hidden="false" customHeight="false" outlineLevel="0" collapsed="false">
      <c r="A731" s="0" t="s">
        <v>2041</v>
      </c>
      <c r="B731" s="0" t="s">
        <v>2042</v>
      </c>
      <c r="C731" s="0" t="s">
        <v>2156</v>
      </c>
      <c r="D731" s="0" t="s">
        <v>2105</v>
      </c>
      <c r="E731" s="0" t="s">
        <v>2045</v>
      </c>
      <c r="F731" s="0" t="s">
        <v>2051</v>
      </c>
      <c r="G731" s="0" t="s">
        <v>2123</v>
      </c>
      <c r="H731" s="0" t="s">
        <v>2111</v>
      </c>
      <c r="J731" s="0" t="s">
        <v>2160</v>
      </c>
      <c r="K731" s="272" t="n">
        <v>1627065.02</v>
      </c>
    </row>
    <row r="732" customFormat="false" ht="15" hidden="false" customHeight="false" outlineLevel="0" collapsed="false">
      <c r="A732" s="0" t="s">
        <v>2041</v>
      </c>
      <c r="B732" s="0" t="s">
        <v>2042</v>
      </c>
      <c r="C732" s="0" t="s">
        <v>2161</v>
      </c>
      <c r="D732" s="0" t="s">
        <v>2105</v>
      </c>
      <c r="E732" s="0" t="s">
        <v>2045</v>
      </c>
      <c r="F732" s="0" t="s">
        <v>2051</v>
      </c>
      <c r="G732" s="0" t="s">
        <v>2123</v>
      </c>
      <c r="H732" s="0" t="s">
        <v>2111</v>
      </c>
      <c r="J732" s="0" t="s">
        <v>2160</v>
      </c>
      <c r="K732" s="272" t="n">
        <v>345124.251</v>
      </c>
    </row>
    <row r="733" customFormat="false" ht="15" hidden="false" customHeight="false" outlineLevel="0" collapsed="false">
      <c r="A733" s="0" t="s">
        <v>2041</v>
      </c>
      <c r="B733" s="0" t="s">
        <v>2042</v>
      </c>
      <c r="C733" s="0" t="s">
        <v>2156</v>
      </c>
      <c r="D733" s="0" t="s">
        <v>2105</v>
      </c>
      <c r="E733" s="0" t="s">
        <v>2045</v>
      </c>
      <c r="F733" s="0" t="s">
        <v>2051</v>
      </c>
      <c r="G733" s="0" t="s">
        <v>2123</v>
      </c>
      <c r="H733" s="0" t="s">
        <v>2117</v>
      </c>
      <c r="J733" s="0" t="s">
        <v>2160</v>
      </c>
      <c r="K733" s="272" t="n">
        <v>572297.784</v>
      </c>
    </row>
    <row r="734" customFormat="false" ht="15" hidden="false" customHeight="false" outlineLevel="0" collapsed="false">
      <c r="A734" s="0" t="s">
        <v>2041</v>
      </c>
      <c r="B734" s="0" t="s">
        <v>2042</v>
      </c>
      <c r="C734" s="0" t="s">
        <v>2161</v>
      </c>
      <c r="D734" s="0" t="s">
        <v>2105</v>
      </c>
      <c r="E734" s="0" t="s">
        <v>2045</v>
      </c>
      <c r="F734" s="0" t="s">
        <v>2051</v>
      </c>
      <c r="G734" s="0" t="s">
        <v>2123</v>
      </c>
      <c r="H734" s="0" t="s">
        <v>2117</v>
      </c>
      <c r="J734" s="0" t="s">
        <v>2160</v>
      </c>
      <c r="K734" s="272" t="n">
        <v>109859.055</v>
      </c>
    </row>
    <row r="735" customFormat="false" ht="15" hidden="false" customHeight="false" outlineLevel="0" collapsed="false">
      <c r="A735" s="0" t="s">
        <v>2041</v>
      </c>
      <c r="B735" s="0" t="s">
        <v>2042</v>
      </c>
      <c r="C735" s="0" t="s">
        <v>2156</v>
      </c>
      <c r="D735" s="0" t="s">
        <v>2105</v>
      </c>
      <c r="E735" s="0" t="s">
        <v>2045</v>
      </c>
      <c r="F735" s="0" t="s">
        <v>2051</v>
      </c>
      <c r="G735" s="0" t="s">
        <v>2123</v>
      </c>
      <c r="H735" s="0" t="s">
        <v>2119</v>
      </c>
      <c r="J735" s="0" t="s">
        <v>2160</v>
      </c>
      <c r="K735" s="272" t="n">
        <v>-24238.3</v>
      </c>
    </row>
    <row r="736" customFormat="false" ht="15" hidden="false" customHeight="false" outlineLevel="0" collapsed="false">
      <c r="A736" s="0" t="s">
        <v>2041</v>
      </c>
      <c r="B736" s="0" t="s">
        <v>2042</v>
      </c>
      <c r="C736" s="0" t="s">
        <v>2161</v>
      </c>
      <c r="D736" s="0" t="s">
        <v>2105</v>
      </c>
      <c r="E736" s="0" t="s">
        <v>2045</v>
      </c>
      <c r="F736" s="0" t="s">
        <v>2051</v>
      </c>
      <c r="G736" s="0" t="s">
        <v>2123</v>
      </c>
      <c r="H736" s="0" t="s">
        <v>2119</v>
      </c>
      <c r="J736" s="0" t="s">
        <v>2160</v>
      </c>
      <c r="K736" s="272" t="n">
        <v>2607.07</v>
      </c>
    </row>
    <row r="737" customFormat="false" ht="15" hidden="false" customHeight="false" outlineLevel="0" collapsed="false">
      <c r="A737" s="0" t="s">
        <v>2041</v>
      </c>
      <c r="B737" s="0" t="s">
        <v>2042</v>
      </c>
      <c r="C737" s="0" t="s">
        <v>2156</v>
      </c>
      <c r="D737" s="0" t="s">
        <v>2105</v>
      </c>
      <c r="E737" s="0" t="s">
        <v>2045</v>
      </c>
      <c r="F737" s="0" t="s">
        <v>2051</v>
      </c>
      <c r="G737" s="0" t="s">
        <v>2123</v>
      </c>
      <c r="H737" s="0" t="s">
        <v>2120</v>
      </c>
      <c r="J737" s="0" t="s">
        <v>2160</v>
      </c>
      <c r="K737" s="272" t="n">
        <v>252824.957</v>
      </c>
    </row>
    <row r="738" customFormat="false" ht="15" hidden="false" customHeight="false" outlineLevel="0" collapsed="false">
      <c r="A738" s="0" t="s">
        <v>2041</v>
      </c>
      <c r="B738" s="0" t="s">
        <v>2042</v>
      </c>
      <c r="C738" s="0" t="s">
        <v>2161</v>
      </c>
      <c r="D738" s="0" t="s">
        <v>2105</v>
      </c>
      <c r="E738" s="0" t="s">
        <v>2045</v>
      </c>
      <c r="F738" s="0" t="s">
        <v>2051</v>
      </c>
      <c r="G738" s="0" t="s">
        <v>2123</v>
      </c>
      <c r="H738" s="0" t="s">
        <v>2120</v>
      </c>
      <c r="J738" s="0" t="s">
        <v>2160</v>
      </c>
      <c r="K738" s="272" t="n">
        <v>51318.518</v>
      </c>
    </row>
    <row r="739" customFormat="false" ht="15" hidden="false" customHeight="false" outlineLevel="0" collapsed="false">
      <c r="A739" s="0" t="s">
        <v>2041</v>
      </c>
      <c r="B739" s="0" t="s">
        <v>2042</v>
      </c>
      <c r="C739" s="0" t="s">
        <v>2156</v>
      </c>
      <c r="D739" s="0" t="s">
        <v>2105</v>
      </c>
      <c r="E739" s="0" t="s">
        <v>2045</v>
      </c>
      <c r="F739" s="0" t="s">
        <v>2051</v>
      </c>
      <c r="G739" s="0" t="s">
        <v>2123</v>
      </c>
      <c r="H739" s="0" t="s">
        <v>2121</v>
      </c>
      <c r="J739" s="0" t="s">
        <v>2160</v>
      </c>
      <c r="K739" s="272" t="n">
        <v>55652.808</v>
      </c>
    </row>
    <row r="740" customFormat="false" ht="15" hidden="false" customHeight="false" outlineLevel="0" collapsed="false">
      <c r="A740" s="0" t="s">
        <v>2041</v>
      </c>
      <c r="B740" s="0" t="s">
        <v>2042</v>
      </c>
      <c r="C740" s="0" t="s">
        <v>2161</v>
      </c>
      <c r="D740" s="0" t="s">
        <v>2105</v>
      </c>
      <c r="E740" s="0" t="s">
        <v>2045</v>
      </c>
      <c r="F740" s="0" t="s">
        <v>2051</v>
      </c>
      <c r="G740" s="0" t="s">
        <v>2123</v>
      </c>
      <c r="H740" s="0" t="s">
        <v>2121</v>
      </c>
      <c r="J740" s="0" t="s">
        <v>2160</v>
      </c>
      <c r="K740" s="272" t="n">
        <v>17974.544</v>
      </c>
    </row>
    <row r="741" customFormat="false" ht="15" hidden="false" customHeight="false" outlineLevel="0" collapsed="false">
      <c r="A741" s="0" t="s">
        <v>2041</v>
      </c>
      <c r="B741" s="0" t="s">
        <v>2042</v>
      </c>
      <c r="C741" s="0" t="s">
        <v>2156</v>
      </c>
      <c r="D741" s="0" t="s">
        <v>2105</v>
      </c>
      <c r="E741" s="0" t="s">
        <v>2045</v>
      </c>
      <c r="F741" s="0" t="s">
        <v>2051</v>
      </c>
      <c r="G741" s="0" t="s">
        <v>2123</v>
      </c>
      <c r="H741" s="0" t="s">
        <v>2121</v>
      </c>
      <c r="I741" s="0" t="s">
        <v>2124</v>
      </c>
      <c r="J741" s="0" t="s">
        <v>2160</v>
      </c>
      <c r="K741" s="272" t="n">
        <v>-168398.142</v>
      </c>
    </row>
    <row r="742" customFormat="false" ht="15" hidden="false" customHeight="false" outlineLevel="0" collapsed="false">
      <c r="A742" s="0" t="s">
        <v>2041</v>
      </c>
      <c r="B742" s="0" t="s">
        <v>2042</v>
      </c>
      <c r="C742" s="0" t="s">
        <v>2161</v>
      </c>
      <c r="D742" s="0" t="s">
        <v>2105</v>
      </c>
      <c r="E742" s="0" t="s">
        <v>2045</v>
      </c>
      <c r="F742" s="0" t="s">
        <v>2051</v>
      </c>
      <c r="G742" s="0" t="s">
        <v>2123</v>
      </c>
      <c r="H742" s="0" t="s">
        <v>2121</v>
      </c>
      <c r="I742" s="0" t="s">
        <v>2124</v>
      </c>
      <c r="J742" s="0" t="s">
        <v>2160</v>
      </c>
      <c r="K742" s="272" t="n">
        <v>-22632.285</v>
      </c>
    </row>
    <row r="743" customFormat="false" ht="15" hidden="false" customHeight="false" outlineLevel="0" collapsed="false">
      <c r="A743" s="0" t="s">
        <v>2041</v>
      </c>
      <c r="B743" s="0" t="s">
        <v>2042</v>
      </c>
      <c r="C743" s="0" t="s">
        <v>2156</v>
      </c>
      <c r="D743" s="0" t="s">
        <v>2105</v>
      </c>
      <c r="E743" s="0" t="s">
        <v>2045</v>
      </c>
      <c r="F743" s="0" t="s">
        <v>2051</v>
      </c>
      <c r="G743" s="0" t="s">
        <v>2123</v>
      </c>
      <c r="H743" s="0" t="s">
        <v>2122</v>
      </c>
      <c r="J743" s="0" t="s">
        <v>2160</v>
      </c>
      <c r="K743" s="272" t="n">
        <v>444970.944</v>
      </c>
    </row>
    <row r="744" customFormat="false" ht="15" hidden="false" customHeight="false" outlineLevel="0" collapsed="false">
      <c r="A744" s="0" t="s">
        <v>2041</v>
      </c>
      <c r="B744" s="0" t="s">
        <v>2042</v>
      </c>
      <c r="C744" s="0" t="s">
        <v>2161</v>
      </c>
      <c r="D744" s="0" t="s">
        <v>2105</v>
      </c>
      <c r="E744" s="0" t="s">
        <v>2045</v>
      </c>
      <c r="F744" s="0" t="s">
        <v>2051</v>
      </c>
      <c r="G744" s="0" t="s">
        <v>2123</v>
      </c>
      <c r="H744" s="0" t="s">
        <v>2122</v>
      </c>
      <c r="J744" s="0" t="s">
        <v>2160</v>
      </c>
      <c r="K744" s="272" t="n">
        <v>76114.775</v>
      </c>
    </row>
    <row r="745" customFormat="false" ht="15" hidden="false" customHeight="false" outlineLevel="0" collapsed="false">
      <c r="A745" s="0" t="s">
        <v>2041</v>
      </c>
      <c r="B745" s="0" t="s">
        <v>2042</v>
      </c>
      <c r="C745" s="0" t="s">
        <v>2156</v>
      </c>
      <c r="D745" s="0" t="s">
        <v>2105</v>
      </c>
      <c r="E745" s="0" t="s">
        <v>2045</v>
      </c>
      <c r="F745" s="0" t="s">
        <v>2051</v>
      </c>
      <c r="G745" s="0" t="s">
        <v>2123</v>
      </c>
      <c r="H745" s="0" t="s">
        <v>2122</v>
      </c>
      <c r="I745" s="0" t="s">
        <v>2124</v>
      </c>
      <c r="J745" s="0" t="s">
        <v>2160</v>
      </c>
      <c r="K745" s="272" t="n">
        <v>-280663.57</v>
      </c>
    </row>
    <row r="746" customFormat="false" ht="15" hidden="false" customHeight="false" outlineLevel="0" collapsed="false">
      <c r="A746" s="0" t="s">
        <v>2041</v>
      </c>
      <c r="B746" s="0" t="s">
        <v>2042</v>
      </c>
      <c r="C746" s="0" t="s">
        <v>2161</v>
      </c>
      <c r="D746" s="0" t="s">
        <v>2105</v>
      </c>
      <c r="E746" s="0" t="s">
        <v>2045</v>
      </c>
      <c r="F746" s="0" t="s">
        <v>2051</v>
      </c>
      <c r="G746" s="0" t="s">
        <v>2123</v>
      </c>
      <c r="H746" s="0" t="s">
        <v>2122</v>
      </c>
      <c r="I746" s="0" t="s">
        <v>2124</v>
      </c>
      <c r="J746" s="0" t="s">
        <v>2160</v>
      </c>
      <c r="K746" s="272" t="n">
        <v>-37720.475</v>
      </c>
    </row>
    <row r="747" customFormat="false" ht="15" hidden="false" customHeight="false" outlineLevel="0" collapsed="false">
      <c r="A747" s="0" t="s">
        <v>2041</v>
      </c>
      <c r="B747" s="0" t="s">
        <v>2042</v>
      </c>
      <c r="C747" s="0" t="s">
        <v>2156</v>
      </c>
      <c r="D747" s="0" t="s">
        <v>2105</v>
      </c>
      <c r="E747" s="0" t="s">
        <v>2045</v>
      </c>
      <c r="F747" s="0" t="s">
        <v>2051</v>
      </c>
      <c r="G747" s="0" t="s">
        <v>2123</v>
      </c>
      <c r="H747" s="0" t="s">
        <v>2112</v>
      </c>
      <c r="J747" s="0" t="s">
        <v>2160</v>
      </c>
      <c r="K747" s="272" t="n">
        <v>535298.796</v>
      </c>
    </row>
    <row r="748" customFormat="false" ht="15" hidden="false" customHeight="false" outlineLevel="0" collapsed="false">
      <c r="A748" s="0" t="s">
        <v>2041</v>
      </c>
      <c r="B748" s="0" t="s">
        <v>2042</v>
      </c>
      <c r="C748" s="0" t="s">
        <v>2161</v>
      </c>
      <c r="D748" s="0" t="s">
        <v>2105</v>
      </c>
      <c r="E748" s="0" t="s">
        <v>2045</v>
      </c>
      <c r="F748" s="0" t="s">
        <v>2051</v>
      </c>
      <c r="G748" s="0" t="s">
        <v>2123</v>
      </c>
      <c r="H748" s="0" t="s">
        <v>2112</v>
      </c>
      <c r="J748" s="0" t="s">
        <v>2160</v>
      </c>
      <c r="K748" s="272" t="n">
        <v>118615.342</v>
      </c>
    </row>
    <row r="749" customFormat="false" ht="15" hidden="false" customHeight="false" outlineLevel="0" collapsed="false">
      <c r="A749" s="0" t="s">
        <v>2041</v>
      </c>
      <c r="B749" s="0" t="s">
        <v>2042</v>
      </c>
      <c r="C749" s="0" t="s">
        <v>2156</v>
      </c>
      <c r="D749" s="0" t="s">
        <v>2105</v>
      </c>
      <c r="E749" s="0" t="s">
        <v>2045</v>
      </c>
      <c r="F749" s="0" t="s">
        <v>2051</v>
      </c>
      <c r="G749" s="0" t="s">
        <v>2123</v>
      </c>
      <c r="H749" s="0" t="s">
        <v>2112</v>
      </c>
      <c r="I749" s="0" t="s">
        <v>2124</v>
      </c>
      <c r="J749" s="0" t="s">
        <v>2160</v>
      </c>
      <c r="K749" s="272" t="n">
        <v>-112265.428</v>
      </c>
    </row>
    <row r="750" customFormat="false" ht="15" hidden="false" customHeight="false" outlineLevel="0" collapsed="false">
      <c r="A750" s="0" t="s">
        <v>2041</v>
      </c>
      <c r="B750" s="0" t="s">
        <v>2042</v>
      </c>
      <c r="C750" s="0" t="s">
        <v>2161</v>
      </c>
      <c r="D750" s="0" t="s">
        <v>2105</v>
      </c>
      <c r="E750" s="0" t="s">
        <v>2045</v>
      </c>
      <c r="F750" s="0" t="s">
        <v>2051</v>
      </c>
      <c r="G750" s="0" t="s">
        <v>2123</v>
      </c>
      <c r="H750" s="0" t="s">
        <v>2112</v>
      </c>
      <c r="I750" s="0" t="s">
        <v>2124</v>
      </c>
      <c r="J750" s="0" t="s">
        <v>2160</v>
      </c>
      <c r="K750" s="272" t="n">
        <v>-15088.19</v>
      </c>
    </row>
    <row r="751" customFormat="false" ht="15" hidden="false" customHeight="false" outlineLevel="0" collapsed="false">
      <c r="A751" s="0" t="s">
        <v>2041</v>
      </c>
      <c r="B751" s="0" t="s">
        <v>2042</v>
      </c>
      <c r="C751" s="0" t="s">
        <v>2156</v>
      </c>
      <c r="D751" s="0" t="s">
        <v>2105</v>
      </c>
      <c r="E751" s="0" t="s">
        <v>2045</v>
      </c>
      <c r="F751" s="0" t="s">
        <v>2051</v>
      </c>
      <c r="G751" s="0" t="s">
        <v>2123</v>
      </c>
      <c r="H751" s="0" t="s">
        <v>2113</v>
      </c>
      <c r="J751" s="0" t="s">
        <v>2160</v>
      </c>
      <c r="K751" s="272" t="n">
        <v>1453724.142</v>
      </c>
    </row>
    <row r="752" customFormat="false" ht="15" hidden="false" customHeight="false" outlineLevel="0" collapsed="false">
      <c r="A752" s="0" t="s">
        <v>2041</v>
      </c>
      <c r="B752" s="0" t="s">
        <v>2042</v>
      </c>
      <c r="C752" s="0" t="s">
        <v>2161</v>
      </c>
      <c r="D752" s="0" t="s">
        <v>2105</v>
      </c>
      <c r="E752" s="0" t="s">
        <v>2045</v>
      </c>
      <c r="F752" s="0" t="s">
        <v>2051</v>
      </c>
      <c r="G752" s="0" t="s">
        <v>2123</v>
      </c>
      <c r="H752" s="0" t="s">
        <v>2113</v>
      </c>
      <c r="J752" s="0" t="s">
        <v>2160</v>
      </c>
      <c r="K752" s="272" t="n">
        <v>373569.413</v>
      </c>
    </row>
    <row r="753" customFormat="false" ht="15" hidden="false" customHeight="false" outlineLevel="0" collapsed="false">
      <c r="A753" s="0" t="s">
        <v>2041</v>
      </c>
      <c r="B753" s="0" t="s">
        <v>2042</v>
      </c>
      <c r="C753" s="0" t="s">
        <v>2156</v>
      </c>
      <c r="D753" s="0" t="s">
        <v>2105</v>
      </c>
      <c r="E753" s="0" t="s">
        <v>2045</v>
      </c>
      <c r="F753" s="0" t="s">
        <v>2051</v>
      </c>
      <c r="G753" s="0" t="s">
        <v>2123</v>
      </c>
      <c r="H753" s="0" t="s">
        <v>2107</v>
      </c>
      <c r="J753" s="0" t="s">
        <v>2160</v>
      </c>
      <c r="K753" s="272" t="n">
        <v>1855309.02</v>
      </c>
    </row>
    <row r="754" customFormat="false" ht="15" hidden="false" customHeight="false" outlineLevel="0" collapsed="false">
      <c r="A754" s="0" t="s">
        <v>2041</v>
      </c>
      <c r="B754" s="0" t="s">
        <v>2042</v>
      </c>
      <c r="C754" s="0" t="s">
        <v>2161</v>
      </c>
      <c r="D754" s="0" t="s">
        <v>2105</v>
      </c>
      <c r="E754" s="0" t="s">
        <v>2045</v>
      </c>
      <c r="F754" s="0" t="s">
        <v>2051</v>
      </c>
      <c r="G754" s="0" t="s">
        <v>2123</v>
      </c>
      <c r="H754" s="0" t="s">
        <v>2107</v>
      </c>
      <c r="J754" s="0" t="s">
        <v>2160</v>
      </c>
      <c r="K754" s="272" t="n">
        <v>281856.61</v>
      </c>
    </row>
    <row r="755" customFormat="false" ht="15" hidden="false" customHeight="false" outlineLevel="0" collapsed="false">
      <c r="A755" s="0" t="s">
        <v>2041</v>
      </c>
      <c r="B755" s="0" t="s">
        <v>2042</v>
      </c>
      <c r="C755" s="0" t="s">
        <v>2156</v>
      </c>
      <c r="D755" s="0" t="s">
        <v>2105</v>
      </c>
      <c r="E755" s="0" t="s">
        <v>2045</v>
      </c>
      <c r="F755" s="0" t="s">
        <v>2046</v>
      </c>
      <c r="G755" s="0" t="s">
        <v>2125</v>
      </c>
      <c r="H755" s="0" t="s">
        <v>2126</v>
      </c>
      <c r="J755" s="0" t="s">
        <v>2160</v>
      </c>
      <c r="K755" s="272" t="n">
        <v>24791837.91</v>
      </c>
    </row>
    <row r="756" customFormat="false" ht="15" hidden="false" customHeight="false" outlineLevel="0" collapsed="false">
      <c r="A756" s="0" t="s">
        <v>2041</v>
      </c>
      <c r="B756" s="0" t="s">
        <v>2042</v>
      </c>
      <c r="C756" s="0" t="s">
        <v>2161</v>
      </c>
      <c r="D756" s="0" t="s">
        <v>2105</v>
      </c>
      <c r="E756" s="0" t="s">
        <v>2045</v>
      </c>
      <c r="F756" s="0" t="s">
        <v>2046</v>
      </c>
      <c r="G756" s="0" t="s">
        <v>2125</v>
      </c>
      <c r="H756" s="0" t="s">
        <v>2126</v>
      </c>
      <c r="J756" s="0" t="s">
        <v>2160</v>
      </c>
      <c r="K756" s="272" t="n">
        <v>3959967.15</v>
      </c>
    </row>
    <row r="757" customFormat="false" ht="15" hidden="false" customHeight="false" outlineLevel="0" collapsed="false">
      <c r="A757" s="0" t="s">
        <v>2041</v>
      </c>
      <c r="B757" s="0" t="s">
        <v>2042</v>
      </c>
      <c r="C757" s="0" t="s">
        <v>2156</v>
      </c>
      <c r="D757" s="0" t="s">
        <v>2105</v>
      </c>
      <c r="E757" s="0" t="s">
        <v>2045</v>
      </c>
      <c r="F757" s="0" t="s">
        <v>2046</v>
      </c>
      <c r="G757" s="0" t="s">
        <v>2125</v>
      </c>
      <c r="H757" s="0" t="s">
        <v>2126</v>
      </c>
      <c r="I757" s="0" t="s">
        <v>2124</v>
      </c>
      <c r="J757" s="0" t="s">
        <v>2160</v>
      </c>
      <c r="K757" s="272" t="n">
        <v>2842541.68</v>
      </c>
    </row>
    <row r="758" customFormat="false" ht="15" hidden="false" customHeight="false" outlineLevel="0" collapsed="false">
      <c r="A758" s="0" t="s">
        <v>2041</v>
      </c>
      <c r="B758" s="0" t="s">
        <v>2042</v>
      </c>
      <c r="C758" s="0" t="s">
        <v>2161</v>
      </c>
      <c r="D758" s="0" t="s">
        <v>2105</v>
      </c>
      <c r="E758" s="0" t="s">
        <v>2045</v>
      </c>
      <c r="F758" s="0" t="s">
        <v>2046</v>
      </c>
      <c r="G758" s="0" t="s">
        <v>2125</v>
      </c>
      <c r="H758" s="0" t="s">
        <v>2126</v>
      </c>
      <c r="I758" s="0" t="s">
        <v>2124</v>
      </c>
      <c r="J758" s="0" t="s">
        <v>2160</v>
      </c>
      <c r="K758" s="272" t="n">
        <v>260789.28</v>
      </c>
    </row>
    <row r="759" customFormat="false" ht="15" hidden="false" customHeight="false" outlineLevel="0" collapsed="false">
      <c r="A759" s="0" t="s">
        <v>2041</v>
      </c>
      <c r="B759" s="0" t="s">
        <v>2042</v>
      </c>
      <c r="C759" s="0" t="s">
        <v>2156</v>
      </c>
      <c r="D759" s="0" t="s">
        <v>2105</v>
      </c>
      <c r="E759" s="0" t="s">
        <v>2045</v>
      </c>
      <c r="F759" s="0" t="s">
        <v>2046</v>
      </c>
      <c r="G759" s="0" t="s">
        <v>2127</v>
      </c>
      <c r="H759" s="0" t="s">
        <v>2128</v>
      </c>
      <c r="J759" s="0" t="s">
        <v>2160</v>
      </c>
      <c r="K759" s="272" t="n">
        <v>19596160.785</v>
      </c>
    </row>
    <row r="760" customFormat="false" ht="15" hidden="false" customHeight="false" outlineLevel="0" collapsed="false">
      <c r="A760" s="0" t="s">
        <v>2041</v>
      </c>
      <c r="B760" s="0" t="s">
        <v>2042</v>
      </c>
      <c r="C760" s="0" t="s">
        <v>2161</v>
      </c>
      <c r="D760" s="0" t="s">
        <v>2105</v>
      </c>
      <c r="E760" s="0" t="s">
        <v>2045</v>
      </c>
      <c r="F760" s="0" t="s">
        <v>2046</v>
      </c>
      <c r="G760" s="0" t="s">
        <v>2127</v>
      </c>
      <c r="H760" s="0" t="s">
        <v>2128</v>
      </c>
      <c r="J760" s="0" t="s">
        <v>2160</v>
      </c>
      <c r="K760" s="272" t="n">
        <v>2758812.57</v>
      </c>
    </row>
    <row r="761" customFormat="false" ht="15" hidden="false" customHeight="false" outlineLevel="0" collapsed="false">
      <c r="A761" s="0" t="s">
        <v>2041</v>
      </c>
      <c r="B761" s="0" t="s">
        <v>2042</v>
      </c>
      <c r="C761" s="0" t="s">
        <v>2156</v>
      </c>
      <c r="D761" s="0" t="s">
        <v>2105</v>
      </c>
      <c r="E761" s="0" t="s">
        <v>2045</v>
      </c>
      <c r="F761" s="0" t="s">
        <v>2046</v>
      </c>
      <c r="G761" s="0" t="s">
        <v>2127</v>
      </c>
      <c r="H761" s="0" t="s">
        <v>2128</v>
      </c>
      <c r="I761" s="0" t="s">
        <v>2124</v>
      </c>
      <c r="J761" s="0" t="s">
        <v>2160</v>
      </c>
      <c r="K761" s="272" t="n">
        <v>-3174855.61</v>
      </c>
    </row>
    <row r="762" customFormat="false" ht="15" hidden="false" customHeight="false" outlineLevel="0" collapsed="false">
      <c r="A762" s="0" t="s">
        <v>2041</v>
      </c>
      <c r="B762" s="0" t="s">
        <v>2042</v>
      </c>
      <c r="C762" s="0" t="s">
        <v>2161</v>
      </c>
      <c r="D762" s="0" t="s">
        <v>2105</v>
      </c>
      <c r="E762" s="0" t="s">
        <v>2045</v>
      </c>
      <c r="F762" s="0" t="s">
        <v>2046</v>
      </c>
      <c r="G762" s="0" t="s">
        <v>2127</v>
      </c>
      <c r="H762" s="0" t="s">
        <v>2128</v>
      </c>
      <c r="I762" s="0" t="s">
        <v>2124</v>
      </c>
      <c r="J762" s="0" t="s">
        <v>2160</v>
      </c>
      <c r="K762" s="272" t="n">
        <v>-619527.1</v>
      </c>
    </row>
    <row r="763" customFormat="false" ht="15" hidden="false" customHeight="false" outlineLevel="0" collapsed="false">
      <c r="A763" s="0" t="s">
        <v>2041</v>
      </c>
      <c r="B763" s="0" t="s">
        <v>2042</v>
      </c>
      <c r="C763" s="0" t="s">
        <v>2156</v>
      </c>
      <c r="D763" s="0" t="s">
        <v>2105</v>
      </c>
      <c r="E763" s="0" t="s">
        <v>2045</v>
      </c>
      <c r="F763" s="0" t="s">
        <v>2046</v>
      </c>
      <c r="G763" s="0" t="s">
        <v>2127</v>
      </c>
      <c r="H763" s="0" t="s">
        <v>2132</v>
      </c>
      <c r="J763" s="0" t="s">
        <v>2160</v>
      </c>
      <c r="K763" s="272" t="n">
        <v>-2479.065</v>
      </c>
    </row>
    <row r="764" customFormat="false" ht="15" hidden="false" customHeight="false" outlineLevel="0" collapsed="false">
      <c r="A764" s="0" t="s">
        <v>2041</v>
      </c>
      <c r="B764" s="0" t="s">
        <v>2042</v>
      </c>
      <c r="C764" s="0" t="s">
        <v>2161</v>
      </c>
      <c r="D764" s="0" t="s">
        <v>2105</v>
      </c>
      <c r="E764" s="0" t="s">
        <v>2045</v>
      </c>
      <c r="F764" s="0" t="s">
        <v>2046</v>
      </c>
      <c r="G764" s="0" t="s">
        <v>2127</v>
      </c>
      <c r="H764" s="0" t="s">
        <v>2132</v>
      </c>
      <c r="J764" s="0" t="s">
        <v>2160</v>
      </c>
      <c r="K764" s="272" t="n">
        <v>-3040.07</v>
      </c>
    </row>
    <row r="765" customFormat="false" ht="15" hidden="false" customHeight="false" outlineLevel="0" collapsed="false">
      <c r="A765" s="0" t="s">
        <v>2041</v>
      </c>
      <c r="B765" s="0" t="s">
        <v>2042</v>
      </c>
      <c r="C765" s="0" t="s">
        <v>2156</v>
      </c>
      <c r="D765" s="0" t="s">
        <v>2105</v>
      </c>
      <c r="E765" s="0" t="s">
        <v>2045</v>
      </c>
      <c r="F765" s="0" t="s">
        <v>2046</v>
      </c>
      <c r="G765" s="0" t="s">
        <v>2129</v>
      </c>
      <c r="H765" s="0" t="s">
        <v>2130</v>
      </c>
      <c r="J765" s="0" t="s">
        <v>2160</v>
      </c>
      <c r="K765" s="272" t="n">
        <v>4641192.66</v>
      </c>
    </row>
    <row r="766" customFormat="false" ht="15" hidden="false" customHeight="false" outlineLevel="0" collapsed="false">
      <c r="A766" s="0" t="s">
        <v>2041</v>
      </c>
      <c r="B766" s="0" t="s">
        <v>2042</v>
      </c>
      <c r="C766" s="0" t="s">
        <v>2161</v>
      </c>
      <c r="D766" s="0" t="s">
        <v>2105</v>
      </c>
      <c r="E766" s="0" t="s">
        <v>2045</v>
      </c>
      <c r="F766" s="0" t="s">
        <v>2046</v>
      </c>
      <c r="G766" s="0" t="s">
        <v>2129</v>
      </c>
      <c r="H766" s="0" t="s">
        <v>2130</v>
      </c>
      <c r="J766" s="0" t="s">
        <v>2160</v>
      </c>
      <c r="K766" s="272" t="n">
        <v>762602.119999999</v>
      </c>
    </row>
    <row r="767" customFormat="false" ht="15" hidden="false" customHeight="false" outlineLevel="0" collapsed="false">
      <c r="A767" s="0" t="s">
        <v>2041</v>
      </c>
      <c r="B767" s="0" t="s">
        <v>2042</v>
      </c>
      <c r="C767" s="0" t="s">
        <v>2156</v>
      </c>
      <c r="D767" s="0" t="s">
        <v>2105</v>
      </c>
      <c r="E767" s="0" t="s">
        <v>2045</v>
      </c>
      <c r="F767" s="0" t="s">
        <v>2046</v>
      </c>
      <c r="G767" s="0" t="s">
        <v>2129</v>
      </c>
      <c r="H767" s="0" t="s">
        <v>2130</v>
      </c>
      <c r="I767" s="0" t="s">
        <v>2124</v>
      </c>
      <c r="J767" s="0" t="s">
        <v>2160</v>
      </c>
      <c r="K767" s="272" t="n">
        <v>3080648.02</v>
      </c>
    </row>
    <row r="768" customFormat="false" ht="15" hidden="false" customHeight="false" outlineLevel="0" collapsed="false">
      <c r="A768" s="0" t="s">
        <v>2041</v>
      </c>
      <c r="B768" s="0" t="s">
        <v>2042</v>
      </c>
      <c r="C768" s="0" t="s">
        <v>2161</v>
      </c>
      <c r="D768" s="0" t="s">
        <v>2105</v>
      </c>
      <c r="E768" s="0" t="s">
        <v>2045</v>
      </c>
      <c r="F768" s="0" t="s">
        <v>2046</v>
      </c>
      <c r="G768" s="0" t="s">
        <v>2129</v>
      </c>
      <c r="H768" s="0" t="s">
        <v>2130</v>
      </c>
      <c r="I768" s="0" t="s">
        <v>2124</v>
      </c>
      <c r="J768" s="0" t="s">
        <v>2160</v>
      </c>
      <c r="K768" s="272" t="n">
        <v>199499.43</v>
      </c>
    </row>
    <row r="769" customFormat="false" ht="15" hidden="false" customHeight="false" outlineLevel="0" collapsed="false">
      <c r="A769" s="0" t="s">
        <v>2041</v>
      </c>
      <c r="B769" s="0" t="s">
        <v>2042</v>
      </c>
      <c r="C769" s="0" t="s">
        <v>2156</v>
      </c>
      <c r="D769" s="0" t="s">
        <v>2105</v>
      </c>
      <c r="E769" s="0" t="s">
        <v>2045</v>
      </c>
      <c r="F769" s="0" t="s">
        <v>2046</v>
      </c>
      <c r="G769" s="0" t="s">
        <v>2131</v>
      </c>
      <c r="H769" s="0" t="s">
        <v>2132</v>
      </c>
      <c r="J769" s="0" t="s">
        <v>2160</v>
      </c>
      <c r="K769" s="272" t="n">
        <v>7722197</v>
      </c>
    </row>
    <row r="770" customFormat="false" ht="15" hidden="false" customHeight="false" outlineLevel="0" collapsed="false">
      <c r="A770" s="0" t="s">
        <v>2041</v>
      </c>
      <c r="B770" s="0" t="s">
        <v>2042</v>
      </c>
      <c r="C770" s="0" t="s">
        <v>2161</v>
      </c>
      <c r="D770" s="0" t="s">
        <v>2105</v>
      </c>
      <c r="E770" s="0" t="s">
        <v>2045</v>
      </c>
      <c r="F770" s="0" t="s">
        <v>2046</v>
      </c>
      <c r="G770" s="0" t="s">
        <v>2131</v>
      </c>
      <c r="H770" s="0" t="s">
        <v>2132</v>
      </c>
      <c r="J770" s="0" t="s">
        <v>2160</v>
      </c>
      <c r="K770" s="272" t="n">
        <v>1236273.19</v>
      </c>
    </row>
    <row r="771" customFormat="false" ht="15" hidden="false" customHeight="false" outlineLevel="0" collapsed="false">
      <c r="A771" s="0" t="s">
        <v>2041</v>
      </c>
      <c r="B771" s="0" t="s">
        <v>2042</v>
      </c>
      <c r="C771" s="0" t="s">
        <v>2156</v>
      </c>
      <c r="D771" s="0" t="s">
        <v>2105</v>
      </c>
      <c r="E771" s="0" t="s">
        <v>2045</v>
      </c>
      <c r="F771" s="0" t="s">
        <v>2046</v>
      </c>
      <c r="G771" s="0" t="s">
        <v>2131</v>
      </c>
      <c r="H771" s="0" t="s">
        <v>2132</v>
      </c>
      <c r="I771" s="0" t="s">
        <v>2124</v>
      </c>
      <c r="J771" s="0" t="s">
        <v>2160</v>
      </c>
      <c r="K771" s="272" t="n">
        <v>1192492.71</v>
      </c>
    </row>
    <row r="772" customFormat="false" ht="15" hidden="false" customHeight="false" outlineLevel="0" collapsed="false">
      <c r="A772" s="0" t="s">
        <v>2041</v>
      </c>
      <c r="B772" s="0" t="s">
        <v>2042</v>
      </c>
      <c r="C772" s="0" t="s">
        <v>2161</v>
      </c>
      <c r="D772" s="0" t="s">
        <v>2105</v>
      </c>
      <c r="E772" s="0" t="s">
        <v>2045</v>
      </c>
      <c r="F772" s="0" t="s">
        <v>2046</v>
      </c>
      <c r="G772" s="0" t="s">
        <v>2131</v>
      </c>
      <c r="H772" s="0" t="s">
        <v>2132</v>
      </c>
      <c r="I772" s="0" t="s">
        <v>2124</v>
      </c>
      <c r="J772" s="0" t="s">
        <v>2160</v>
      </c>
      <c r="K772" s="272" t="n">
        <v>169726.61</v>
      </c>
    </row>
    <row r="773" customFormat="false" ht="15" hidden="false" customHeight="false" outlineLevel="0" collapsed="false">
      <c r="A773" s="0" t="s">
        <v>2041</v>
      </c>
      <c r="B773" s="0" t="s">
        <v>2042</v>
      </c>
      <c r="C773" s="0" t="s">
        <v>2156</v>
      </c>
      <c r="D773" s="0" t="s">
        <v>2105</v>
      </c>
      <c r="E773" s="0" t="s">
        <v>2045</v>
      </c>
      <c r="F773" s="0" t="s">
        <v>2046</v>
      </c>
      <c r="G773" s="0" t="s">
        <v>2133</v>
      </c>
      <c r="H773" s="0" t="s">
        <v>2134</v>
      </c>
      <c r="J773" s="0" t="s">
        <v>2160</v>
      </c>
      <c r="K773" s="272" t="n">
        <v>12806679.91</v>
      </c>
    </row>
    <row r="774" customFormat="false" ht="15" hidden="false" customHeight="false" outlineLevel="0" collapsed="false">
      <c r="A774" s="0" t="s">
        <v>2041</v>
      </c>
      <c r="B774" s="0" t="s">
        <v>2042</v>
      </c>
      <c r="C774" s="0" t="s">
        <v>2161</v>
      </c>
      <c r="D774" s="0" t="s">
        <v>2105</v>
      </c>
      <c r="E774" s="0" t="s">
        <v>2045</v>
      </c>
      <c r="F774" s="0" t="s">
        <v>2046</v>
      </c>
      <c r="G774" s="0" t="s">
        <v>2133</v>
      </c>
      <c r="H774" s="0" t="s">
        <v>2134</v>
      </c>
      <c r="J774" s="0" t="s">
        <v>2160</v>
      </c>
      <c r="K774" s="272" t="n">
        <v>1527034.02</v>
      </c>
    </row>
    <row r="775" customFormat="false" ht="15" hidden="false" customHeight="false" outlineLevel="0" collapsed="false">
      <c r="A775" s="0" t="s">
        <v>2041</v>
      </c>
      <c r="B775" s="0" t="s">
        <v>2042</v>
      </c>
      <c r="C775" s="0" t="s">
        <v>2156</v>
      </c>
      <c r="D775" s="0" t="s">
        <v>2105</v>
      </c>
      <c r="E775" s="0" t="s">
        <v>2045</v>
      </c>
      <c r="F775" s="0" t="s">
        <v>2046</v>
      </c>
      <c r="G775" s="0" t="s">
        <v>2135</v>
      </c>
      <c r="H775" s="0" t="s">
        <v>2136</v>
      </c>
      <c r="J775" s="0" t="s">
        <v>2160</v>
      </c>
      <c r="K775" s="272" t="n">
        <v>7595122.79</v>
      </c>
    </row>
    <row r="776" customFormat="false" ht="15" hidden="false" customHeight="false" outlineLevel="0" collapsed="false">
      <c r="A776" s="0" t="s">
        <v>2041</v>
      </c>
      <c r="B776" s="0" t="s">
        <v>2042</v>
      </c>
      <c r="C776" s="0" t="s">
        <v>2161</v>
      </c>
      <c r="D776" s="0" t="s">
        <v>2105</v>
      </c>
      <c r="E776" s="0" t="s">
        <v>2045</v>
      </c>
      <c r="F776" s="0" t="s">
        <v>2046</v>
      </c>
      <c r="G776" s="0" t="s">
        <v>2135</v>
      </c>
      <c r="H776" s="0" t="s">
        <v>2136</v>
      </c>
      <c r="J776" s="0" t="s">
        <v>2160</v>
      </c>
      <c r="K776" s="272" t="n">
        <v>939338.06</v>
      </c>
    </row>
    <row r="777" customFormat="false" ht="15" hidden="false" customHeight="false" outlineLevel="0" collapsed="false">
      <c r="A777" s="0" t="s">
        <v>2041</v>
      </c>
      <c r="B777" s="0" t="s">
        <v>2042</v>
      </c>
      <c r="C777" s="0" t="s">
        <v>2156</v>
      </c>
      <c r="D777" s="0" t="s">
        <v>2105</v>
      </c>
      <c r="E777" s="0" t="s">
        <v>2045</v>
      </c>
      <c r="F777" s="0" t="s">
        <v>2046</v>
      </c>
      <c r="G777" s="0" t="s">
        <v>2135</v>
      </c>
      <c r="H777" s="0" t="s">
        <v>2136</v>
      </c>
      <c r="I777" s="0" t="s">
        <v>2124</v>
      </c>
      <c r="J777" s="0" t="s">
        <v>2160</v>
      </c>
      <c r="K777" s="272" t="n">
        <v>-558164.4</v>
      </c>
    </row>
    <row r="778" customFormat="false" ht="15" hidden="false" customHeight="false" outlineLevel="0" collapsed="false">
      <c r="A778" s="0" t="s">
        <v>2041</v>
      </c>
      <c r="B778" s="0" t="s">
        <v>2042</v>
      </c>
      <c r="C778" s="0" t="s">
        <v>2161</v>
      </c>
      <c r="D778" s="0" t="s">
        <v>2105</v>
      </c>
      <c r="E778" s="0" t="s">
        <v>2045</v>
      </c>
      <c r="F778" s="0" t="s">
        <v>2046</v>
      </c>
      <c r="G778" s="0" t="s">
        <v>2135</v>
      </c>
      <c r="H778" s="0" t="s">
        <v>2136</v>
      </c>
      <c r="I778" s="0" t="s">
        <v>2124</v>
      </c>
      <c r="J778" s="0" t="s">
        <v>2160</v>
      </c>
      <c r="K778" s="272" t="n">
        <v>-42154.1</v>
      </c>
    </row>
    <row r="779" customFormat="false" ht="15" hidden="false" customHeight="false" outlineLevel="0" collapsed="false">
      <c r="A779" s="0" t="s">
        <v>2041</v>
      </c>
      <c r="B779" s="0" t="s">
        <v>2042</v>
      </c>
      <c r="C779" s="0" t="s">
        <v>2156</v>
      </c>
      <c r="D779" s="0" t="s">
        <v>2105</v>
      </c>
      <c r="E779" s="0" t="s">
        <v>2045</v>
      </c>
      <c r="F779" s="0" t="s">
        <v>2046</v>
      </c>
      <c r="G779" s="0" t="s">
        <v>2137</v>
      </c>
      <c r="H779" s="0" t="s">
        <v>2138</v>
      </c>
      <c r="J779" s="0" t="s">
        <v>2160</v>
      </c>
      <c r="K779" s="272" t="n">
        <v>13604653.66</v>
      </c>
    </row>
    <row r="780" customFormat="false" ht="15" hidden="false" customHeight="false" outlineLevel="0" collapsed="false">
      <c r="A780" s="0" t="s">
        <v>2041</v>
      </c>
      <c r="B780" s="0" t="s">
        <v>2042</v>
      </c>
      <c r="C780" s="0" t="s">
        <v>2161</v>
      </c>
      <c r="D780" s="0" t="s">
        <v>2105</v>
      </c>
      <c r="E780" s="0" t="s">
        <v>2045</v>
      </c>
      <c r="F780" s="0" t="s">
        <v>2046</v>
      </c>
      <c r="G780" s="0" t="s">
        <v>2137</v>
      </c>
      <c r="H780" s="0" t="s">
        <v>2138</v>
      </c>
      <c r="J780" s="0" t="s">
        <v>2160</v>
      </c>
      <c r="K780" s="272" t="n">
        <v>1988366.09</v>
      </c>
    </row>
    <row r="781" customFormat="false" ht="15" hidden="false" customHeight="false" outlineLevel="0" collapsed="false">
      <c r="A781" s="0" t="s">
        <v>2041</v>
      </c>
      <c r="B781" s="0" t="s">
        <v>2042</v>
      </c>
      <c r="C781" s="0" t="s">
        <v>2156</v>
      </c>
      <c r="D781" s="0" t="s">
        <v>2105</v>
      </c>
      <c r="E781" s="0" t="s">
        <v>2045</v>
      </c>
      <c r="F781" s="0" t="s">
        <v>2046</v>
      </c>
      <c r="G781" s="0" t="s">
        <v>2139</v>
      </c>
      <c r="H781" s="0" t="s">
        <v>2136</v>
      </c>
      <c r="J781" s="0" t="s">
        <v>2160</v>
      </c>
      <c r="K781" s="272" t="n">
        <v>-75621.625</v>
      </c>
    </row>
    <row r="782" customFormat="false" ht="15" hidden="false" customHeight="false" outlineLevel="0" collapsed="false">
      <c r="A782" s="0" t="s">
        <v>2041</v>
      </c>
      <c r="B782" s="0" t="s">
        <v>2042</v>
      </c>
      <c r="C782" s="0" t="s">
        <v>2161</v>
      </c>
      <c r="D782" s="0" t="s">
        <v>2105</v>
      </c>
      <c r="E782" s="0" t="s">
        <v>2045</v>
      </c>
      <c r="F782" s="0" t="s">
        <v>2046</v>
      </c>
      <c r="G782" s="0" t="s">
        <v>2139</v>
      </c>
      <c r="H782" s="0" t="s">
        <v>2136</v>
      </c>
      <c r="J782" s="0" t="s">
        <v>2160</v>
      </c>
      <c r="K782" s="272" t="n">
        <v>-8984.2</v>
      </c>
    </row>
    <row r="783" customFormat="false" ht="15" hidden="false" customHeight="false" outlineLevel="0" collapsed="false">
      <c r="A783" s="0" t="s">
        <v>2041</v>
      </c>
      <c r="B783" s="0" t="s">
        <v>2042</v>
      </c>
      <c r="C783" s="0" t="s">
        <v>2156</v>
      </c>
      <c r="D783" s="0" t="s">
        <v>2105</v>
      </c>
      <c r="E783" s="0" t="s">
        <v>2045</v>
      </c>
      <c r="F783" s="0" t="s">
        <v>2046</v>
      </c>
      <c r="G783" s="0" t="s">
        <v>2139</v>
      </c>
      <c r="H783" s="0" t="s">
        <v>2140</v>
      </c>
      <c r="J783" s="0" t="s">
        <v>2160</v>
      </c>
      <c r="K783" s="272" t="n">
        <v>9600726.095</v>
      </c>
    </row>
    <row r="784" customFormat="false" ht="15" hidden="false" customHeight="false" outlineLevel="0" collapsed="false">
      <c r="A784" s="0" t="s">
        <v>2041</v>
      </c>
      <c r="B784" s="0" t="s">
        <v>2042</v>
      </c>
      <c r="C784" s="0" t="s">
        <v>2161</v>
      </c>
      <c r="D784" s="0" t="s">
        <v>2105</v>
      </c>
      <c r="E784" s="0" t="s">
        <v>2045</v>
      </c>
      <c r="F784" s="0" t="s">
        <v>2046</v>
      </c>
      <c r="G784" s="0" t="s">
        <v>2139</v>
      </c>
      <c r="H784" s="0" t="s">
        <v>2140</v>
      </c>
      <c r="J784" s="0" t="s">
        <v>2160</v>
      </c>
      <c r="K784" s="272" t="n">
        <v>1469228.26</v>
      </c>
    </row>
    <row r="785" customFormat="false" ht="15" hidden="false" customHeight="false" outlineLevel="0" collapsed="false">
      <c r="A785" s="0" t="s">
        <v>2041</v>
      </c>
      <c r="B785" s="0" t="s">
        <v>2042</v>
      </c>
      <c r="C785" s="0" t="s">
        <v>2156</v>
      </c>
      <c r="D785" s="0" t="s">
        <v>2105</v>
      </c>
      <c r="E785" s="0" t="s">
        <v>2045</v>
      </c>
      <c r="F785" s="0" t="s">
        <v>2046</v>
      </c>
      <c r="G785" s="0" t="s">
        <v>2141</v>
      </c>
      <c r="H785" s="0" t="s">
        <v>2144</v>
      </c>
      <c r="J785" s="0" t="s">
        <v>2160</v>
      </c>
      <c r="K785" s="272" t="n">
        <v>1101369.135</v>
      </c>
    </row>
    <row r="786" customFormat="false" ht="15" hidden="false" customHeight="false" outlineLevel="0" collapsed="false">
      <c r="A786" s="0" t="s">
        <v>2041</v>
      </c>
      <c r="B786" s="0" t="s">
        <v>2042</v>
      </c>
      <c r="C786" s="0" t="s">
        <v>2161</v>
      </c>
      <c r="D786" s="0" t="s">
        <v>2105</v>
      </c>
      <c r="E786" s="0" t="s">
        <v>2045</v>
      </c>
      <c r="F786" s="0" t="s">
        <v>2046</v>
      </c>
      <c r="G786" s="0" t="s">
        <v>2141</v>
      </c>
      <c r="H786" s="0" t="s">
        <v>2144</v>
      </c>
      <c r="J786" s="0" t="s">
        <v>2160</v>
      </c>
      <c r="K786" s="272" t="n">
        <v>205548.065</v>
      </c>
    </row>
    <row r="787" customFormat="false" ht="15" hidden="false" customHeight="false" outlineLevel="0" collapsed="false">
      <c r="A787" s="0" t="s">
        <v>2041</v>
      </c>
      <c r="B787" s="0" t="s">
        <v>2042</v>
      </c>
      <c r="C787" s="0" t="s">
        <v>2156</v>
      </c>
      <c r="D787" s="0" t="s">
        <v>2105</v>
      </c>
      <c r="E787" s="0" t="s">
        <v>2045</v>
      </c>
      <c r="F787" s="0" t="s">
        <v>2046</v>
      </c>
      <c r="G787" s="0" t="s">
        <v>2141</v>
      </c>
      <c r="H787" s="0" t="s">
        <v>2142</v>
      </c>
      <c r="J787" s="0" t="s">
        <v>2160</v>
      </c>
      <c r="K787" s="272" t="n">
        <v>2690391.695</v>
      </c>
    </row>
    <row r="788" customFormat="false" ht="15" hidden="false" customHeight="false" outlineLevel="0" collapsed="false">
      <c r="A788" s="0" t="s">
        <v>2041</v>
      </c>
      <c r="B788" s="0" t="s">
        <v>2042</v>
      </c>
      <c r="C788" s="0" t="s">
        <v>2161</v>
      </c>
      <c r="D788" s="0" t="s">
        <v>2105</v>
      </c>
      <c r="E788" s="0" t="s">
        <v>2045</v>
      </c>
      <c r="F788" s="0" t="s">
        <v>2046</v>
      </c>
      <c r="G788" s="0" t="s">
        <v>2141</v>
      </c>
      <c r="H788" s="0" t="s">
        <v>2142</v>
      </c>
      <c r="J788" s="0" t="s">
        <v>2160</v>
      </c>
      <c r="K788" s="272" t="n">
        <v>439001.215</v>
      </c>
    </row>
    <row r="789" customFormat="false" ht="15" hidden="false" customHeight="false" outlineLevel="0" collapsed="false">
      <c r="A789" s="0" t="s">
        <v>2041</v>
      </c>
      <c r="B789" s="0" t="s">
        <v>2042</v>
      </c>
      <c r="C789" s="0" t="s">
        <v>2156</v>
      </c>
      <c r="D789" s="0" t="s">
        <v>2105</v>
      </c>
      <c r="E789" s="0" t="s">
        <v>2045</v>
      </c>
      <c r="F789" s="0" t="s">
        <v>2046</v>
      </c>
      <c r="G789" s="0" t="s">
        <v>2143</v>
      </c>
      <c r="H789" s="0" t="s">
        <v>2144</v>
      </c>
      <c r="J789" s="0" t="s">
        <v>2160</v>
      </c>
      <c r="K789" s="272" t="n">
        <v>2895694.46</v>
      </c>
    </row>
    <row r="790" customFormat="false" ht="15" hidden="false" customHeight="false" outlineLevel="0" collapsed="false">
      <c r="A790" s="0" t="s">
        <v>2041</v>
      </c>
      <c r="B790" s="0" t="s">
        <v>2042</v>
      </c>
      <c r="C790" s="0" t="s">
        <v>2161</v>
      </c>
      <c r="D790" s="0" t="s">
        <v>2105</v>
      </c>
      <c r="E790" s="0" t="s">
        <v>2045</v>
      </c>
      <c r="F790" s="0" t="s">
        <v>2046</v>
      </c>
      <c r="G790" s="0" t="s">
        <v>2143</v>
      </c>
      <c r="H790" s="0" t="s">
        <v>2144</v>
      </c>
      <c r="J790" s="0" t="s">
        <v>2160</v>
      </c>
      <c r="K790" s="272" t="n">
        <v>342049.02</v>
      </c>
    </row>
    <row r="791" customFormat="false" ht="15" hidden="false" customHeight="false" outlineLevel="0" collapsed="false">
      <c r="A791" s="0" t="s">
        <v>2041</v>
      </c>
      <c r="B791" s="0" t="s">
        <v>2042</v>
      </c>
      <c r="C791" s="0" t="s">
        <v>2156</v>
      </c>
      <c r="D791" s="0" t="s">
        <v>2105</v>
      </c>
      <c r="E791" s="0" t="s">
        <v>2045</v>
      </c>
      <c r="F791" s="0" t="s">
        <v>2046</v>
      </c>
      <c r="G791" s="0" t="s">
        <v>2143</v>
      </c>
      <c r="H791" s="0" t="s">
        <v>2142</v>
      </c>
      <c r="J791" s="0" t="s">
        <v>2160</v>
      </c>
      <c r="K791" s="272" t="n">
        <v>2969088.1</v>
      </c>
    </row>
    <row r="792" customFormat="false" ht="15" hidden="false" customHeight="false" outlineLevel="0" collapsed="false">
      <c r="A792" s="0" t="s">
        <v>2041</v>
      </c>
      <c r="B792" s="0" t="s">
        <v>2042</v>
      </c>
      <c r="C792" s="0" t="s">
        <v>2161</v>
      </c>
      <c r="D792" s="0" t="s">
        <v>2105</v>
      </c>
      <c r="E792" s="0" t="s">
        <v>2045</v>
      </c>
      <c r="F792" s="0" t="s">
        <v>2046</v>
      </c>
      <c r="G792" s="0" t="s">
        <v>2143</v>
      </c>
      <c r="H792" s="0" t="s">
        <v>2142</v>
      </c>
      <c r="J792" s="0" t="s">
        <v>2160</v>
      </c>
      <c r="K792" s="272" t="n">
        <v>512967.94</v>
      </c>
    </row>
    <row r="793" customFormat="false" ht="15" hidden="false" customHeight="false" outlineLevel="0" collapsed="false">
      <c r="A793" s="0" t="s">
        <v>2041</v>
      </c>
      <c r="B793" s="0" t="s">
        <v>2042</v>
      </c>
      <c r="C793" s="0" t="s">
        <v>2156</v>
      </c>
      <c r="D793" s="0" t="s">
        <v>2105</v>
      </c>
      <c r="E793" s="0" t="s">
        <v>2045</v>
      </c>
      <c r="F793" s="0" t="s">
        <v>2046</v>
      </c>
      <c r="G793" s="0" t="s">
        <v>2145</v>
      </c>
      <c r="H793" s="0" t="s">
        <v>2146</v>
      </c>
      <c r="J793" s="0" t="s">
        <v>2160</v>
      </c>
      <c r="K793" s="272" t="n">
        <v>11750750.81</v>
      </c>
    </row>
    <row r="794" customFormat="false" ht="15" hidden="false" customHeight="false" outlineLevel="0" collapsed="false">
      <c r="A794" s="0" t="s">
        <v>2041</v>
      </c>
      <c r="B794" s="0" t="s">
        <v>2042</v>
      </c>
      <c r="C794" s="0" t="s">
        <v>2161</v>
      </c>
      <c r="D794" s="0" t="s">
        <v>2105</v>
      </c>
      <c r="E794" s="0" t="s">
        <v>2045</v>
      </c>
      <c r="F794" s="0" t="s">
        <v>2046</v>
      </c>
      <c r="G794" s="0" t="s">
        <v>2145</v>
      </c>
      <c r="H794" s="0" t="s">
        <v>2146</v>
      </c>
      <c r="J794" s="0" t="s">
        <v>2160</v>
      </c>
      <c r="K794" s="272" t="n">
        <v>1554184.56</v>
      </c>
    </row>
    <row r="795" customFormat="false" ht="15" hidden="false" customHeight="false" outlineLevel="0" collapsed="false">
      <c r="A795" s="0" t="s">
        <v>2041</v>
      </c>
      <c r="B795" s="0" t="s">
        <v>2042</v>
      </c>
      <c r="C795" s="0" t="s">
        <v>2156</v>
      </c>
      <c r="D795" s="0" t="s">
        <v>2105</v>
      </c>
      <c r="E795" s="0" t="s">
        <v>2045</v>
      </c>
      <c r="F795" s="0" t="s">
        <v>2046</v>
      </c>
      <c r="G795" s="0" t="s">
        <v>2145</v>
      </c>
      <c r="H795" s="0" t="s">
        <v>2146</v>
      </c>
      <c r="I795" s="0" t="s">
        <v>2124</v>
      </c>
      <c r="J795" s="0" t="s">
        <v>2160</v>
      </c>
      <c r="K795" s="272" t="n">
        <v>-1364194.13</v>
      </c>
    </row>
    <row r="796" customFormat="false" ht="15" hidden="false" customHeight="false" outlineLevel="0" collapsed="false">
      <c r="A796" s="0" t="s">
        <v>2041</v>
      </c>
      <c r="B796" s="0" t="s">
        <v>2042</v>
      </c>
      <c r="C796" s="0" t="s">
        <v>2161</v>
      </c>
      <c r="D796" s="0" t="s">
        <v>2105</v>
      </c>
      <c r="E796" s="0" t="s">
        <v>2045</v>
      </c>
      <c r="F796" s="0" t="s">
        <v>2046</v>
      </c>
      <c r="G796" s="0" t="s">
        <v>2145</v>
      </c>
      <c r="H796" s="0" t="s">
        <v>2146</v>
      </c>
      <c r="I796" s="0" t="s">
        <v>2124</v>
      </c>
      <c r="J796" s="0" t="s">
        <v>2160</v>
      </c>
      <c r="K796" s="272" t="n">
        <v>-175705.13</v>
      </c>
    </row>
    <row r="797" customFormat="false" ht="15" hidden="false" customHeight="false" outlineLevel="0" collapsed="false">
      <c r="A797" s="0" t="s">
        <v>2041</v>
      </c>
      <c r="B797" s="0" t="s">
        <v>2042</v>
      </c>
      <c r="C797" s="0" t="s">
        <v>2156</v>
      </c>
      <c r="D797" s="0" t="s">
        <v>2105</v>
      </c>
      <c r="E797" s="0" t="s">
        <v>2045</v>
      </c>
      <c r="F797" s="0" t="s">
        <v>2046</v>
      </c>
      <c r="G797" s="0" t="s">
        <v>2147</v>
      </c>
      <c r="H797" s="0" t="s">
        <v>2126</v>
      </c>
      <c r="J797" s="0" t="s">
        <v>2160</v>
      </c>
      <c r="K797" s="272" t="n">
        <v>-19444701.5</v>
      </c>
    </row>
    <row r="798" customFormat="false" ht="15" hidden="false" customHeight="false" outlineLevel="0" collapsed="false">
      <c r="A798" s="0" t="s">
        <v>2041</v>
      </c>
      <c r="B798" s="0" t="s">
        <v>2042</v>
      </c>
      <c r="C798" s="0" t="s">
        <v>2161</v>
      </c>
      <c r="D798" s="0" t="s">
        <v>2105</v>
      </c>
      <c r="E798" s="0" t="s">
        <v>2045</v>
      </c>
      <c r="F798" s="0" t="s">
        <v>2046</v>
      </c>
      <c r="G798" s="0" t="s">
        <v>2147</v>
      </c>
      <c r="H798" s="0" t="s">
        <v>2126</v>
      </c>
      <c r="J798" s="0" t="s">
        <v>2160</v>
      </c>
      <c r="K798" s="272" t="n">
        <v>-3304680.33</v>
      </c>
    </row>
    <row r="799" customFormat="false" ht="15" hidden="false" customHeight="false" outlineLevel="0" collapsed="false">
      <c r="A799" s="0" t="s">
        <v>2041</v>
      </c>
      <c r="B799" s="0" t="s">
        <v>2042</v>
      </c>
      <c r="C799" s="0" t="s">
        <v>2156</v>
      </c>
      <c r="D799" s="0" t="s">
        <v>2105</v>
      </c>
      <c r="E799" s="0" t="s">
        <v>2045</v>
      </c>
      <c r="F799" s="0" t="s">
        <v>2046</v>
      </c>
      <c r="G799" s="0" t="s">
        <v>2147</v>
      </c>
      <c r="H799" s="0" t="s">
        <v>2126</v>
      </c>
      <c r="I799" s="0" t="s">
        <v>2124</v>
      </c>
      <c r="J799" s="0" t="s">
        <v>2160</v>
      </c>
      <c r="K799" s="272" t="n">
        <v>-1540045.38</v>
      </c>
    </row>
    <row r="800" customFormat="false" ht="15" hidden="false" customHeight="false" outlineLevel="0" collapsed="false">
      <c r="A800" s="0" t="s">
        <v>2041</v>
      </c>
      <c r="B800" s="0" t="s">
        <v>2042</v>
      </c>
      <c r="C800" s="0" t="s">
        <v>2161</v>
      </c>
      <c r="D800" s="0" t="s">
        <v>2105</v>
      </c>
      <c r="E800" s="0" t="s">
        <v>2045</v>
      </c>
      <c r="F800" s="0" t="s">
        <v>2046</v>
      </c>
      <c r="G800" s="0" t="s">
        <v>2147</v>
      </c>
      <c r="H800" s="0" t="s">
        <v>2126</v>
      </c>
      <c r="I800" s="0" t="s">
        <v>2124</v>
      </c>
      <c r="J800" s="0" t="s">
        <v>2160</v>
      </c>
      <c r="K800" s="272" t="n">
        <v>-302065.15</v>
      </c>
    </row>
    <row r="801" customFormat="false" ht="15" hidden="false" customHeight="false" outlineLevel="0" collapsed="false">
      <c r="A801" s="0" t="s">
        <v>2041</v>
      </c>
      <c r="B801" s="0" t="s">
        <v>2042</v>
      </c>
      <c r="C801" s="0" t="s">
        <v>2156</v>
      </c>
      <c r="D801" s="0" t="s">
        <v>2105</v>
      </c>
      <c r="E801" s="0" t="s">
        <v>2045</v>
      </c>
      <c r="F801" s="0" t="s">
        <v>2046</v>
      </c>
      <c r="G801" s="0" t="s">
        <v>2148</v>
      </c>
      <c r="H801" s="0" t="s">
        <v>2149</v>
      </c>
      <c r="J801" s="0" t="s">
        <v>2160</v>
      </c>
      <c r="K801" s="272" t="n">
        <v>15053091.72</v>
      </c>
    </row>
    <row r="802" customFormat="false" ht="15" hidden="false" customHeight="false" outlineLevel="0" collapsed="false">
      <c r="A802" s="0" t="s">
        <v>2041</v>
      </c>
      <c r="B802" s="0" t="s">
        <v>2042</v>
      </c>
      <c r="C802" s="0" t="s">
        <v>2161</v>
      </c>
      <c r="D802" s="0" t="s">
        <v>2105</v>
      </c>
      <c r="E802" s="0" t="s">
        <v>2045</v>
      </c>
      <c r="F802" s="0" t="s">
        <v>2046</v>
      </c>
      <c r="G802" s="0" t="s">
        <v>2148</v>
      </c>
      <c r="H802" s="0" t="s">
        <v>2149</v>
      </c>
      <c r="J802" s="0" t="s">
        <v>2160</v>
      </c>
      <c r="K802" s="272" t="n">
        <v>2305314.77</v>
      </c>
    </row>
    <row r="803" customFormat="false" ht="15" hidden="false" customHeight="false" outlineLevel="0" collapsed="false">
      <c r="A803" s="0" t="s">
        <v>2041</v>
      </c>
      <c r="B803" s="0" t="s">
        <v>2042</v>
      </c>
      <c r="C803" s="0" t="s">
        <v>2156</v>
      </c>
      <c r="D803" s="0" t="s">
        <v>2105</v>
      </c>
      <c r="E803" s="0" t="s">
        <v>2045</v>
      </c>
      <c r="F803" s="0" t="s">
        <v>2215</v>
      </c>
      <c r="G803" s="0" t="s">
        <v>2216</v>
      </c>
      <c r="H803" s="0" t="s">
        <v>2217</v>
      </c>
      <c r="J803" s="0" t="s">
        <v>2160</v>
      </c>
      <c r="K803" s="272" t="n">
        <v>63148341.6299999</v>
      </c>
    </row>
    <row r="804" customFormat="false" ht="15" hidden="false" customHeight="false" outlineLevel="0" collapsed="false">
      <c r="A804" s="0" t="s">
        <v>2041</v>
      </c>
      <c r="B804" s="0" t="s">
        <v>2042</v>
      </c>
      <c r="C804" s="0" t="s">
        <v>2161</v>
      </c>
      <c r="D804" s="0" t="s">
        <v>2105</v>
      </c>
      <c r="E804" s="0" t="s">
        <v>2045</v>
      </c>
      <c r="F804" s="0" t="s">
        <v>2215</v>
      </c>
      <c r="G804" s="0" t="s">
        <v>2216</v>
      </c>
      <c r="H804" s="0" t="s">
        <v>2217</v>
      </c>
      <c r="J804" s="0" t="s">
        <v>2160</v>
      </c>
      <c r="K804" s="272" t="n">
        <v>9747001.29</v>
      </c>
    </row>
    <row r="805" customFormat="false" ht="15" hidden="false" customHeight="false" outlineLevel="0" collapsed="false">
      <c r="A805" s="0" t="s">
        <v>2041</v>
      </c>
      <c r="B805" s="0" t="s">
        <v>2042</v>
      </c>
      <c r="C805" s="0" t="s">
        <v>2156</v>
      </c>
      <c r="D805" s="0" t="s">
        <v>2105</v>
      </c>
      <c r="E805" s="0" t="s">
        <v>2045</v>
      </c>
      <c r="F805" s="0" t="s">
        <v>2215</v>
      </c>
      <c r="G805" s="0" t="s">
        <v>2216</v>
      </c>
      <c r="H805" s="0" t="s">
        <v>2217</v>
      </c>
      <c r="I805" s="0" t="s">
        <v>2124</v>
      </c>
      <c r="J805" s="0" t="s">
        <v>2160</v>
      </c>
      <c r="K805" s="272" t="n">
        <v>443752.460000002</v>
      </c>
    </row>
    <row r="806" customFormat="false" ht="15" hidden="false" customHeight="false" outlineLevel="0" collapsed="false">
      <c r="A806" s="0" t="s">
        <v>2041</v>
      </c>
      <c r="B806" s="0" t="s">
        <v>2042</v>
      </c>
      <c r="C806" s="0" t="s">
        <v>2161</v>
      </c>
      <c r="D806" s="0" t="s">
        <v>2105</v>
      </c>
      <c r="E806" s="0" t="s">
        <v>2045</v>
      </c>
      <c r="F806" s="0" t="s">
        <v>2215</v>
      </c>
      <c r="G806" s="0" t="s">
        <v>2216</v>
      </c>
      <c r="H806" s="0" t="s">
        <v>2217</v>
      </c>
      <c r="I806" s="0" t="s">
        <v>2124</v>
      </c>
      <c r="J806" s="0" t="s">
        <v>2160</v>
      </c>
      <c r="K806" s="272" t="n">
        <v>569009.82</v>
      </c>
    </row>
    <row r="807" customFormat="false" ht="15" hidden="false" customHeight="false" outlineLevel="0" collapsed="false">
      <c r="A807" s="0" t="s">
        <v>2041</v>
      </c>
      <c r="B807" s="0" t="s">
        <v>2042</v>
      </c>
      <c r="C807" s="0" t="s">
        <v>2156</v>
      </c>
      <c r="D807" s="0" t="s">
        <v>2105</v>
      </c>
      <c r="E807" s="0" t="s">
        <v>2045</v>
      </c>
      <c r="F807" s="0" t="s">
        <v>2215</v>
      </c>
      <c r="G807" s="0" t="s">
        <v>2218</v>
      </c>
      <c r="H807" s="0" t="s">
        <v>2183</v>
      </c>
      <c r="J807" s="0" t="s">
        <v>2160</v>
      </c>
      <c r="K807" s="272" t="n">
        <v>260994.224</v>
      </c>
    </row>
    <row r="808" customFormat="false" ht="15" hidden="false" customHeight="false" outlineLevel="0" collapsed="false">
      <c r="A808" s="0" t="s">
        <v>2041</v>
      </c>
      <c r="B808" s="0" t="s">
        <v>2042</v>
      </c>
      <c r="C808" s="0" t="s">
        <v>2161</v>
      </c>
      <c r="D808" s="0" t="s">
        <v>2105</v>
      </c>
      <c r="E808" s="0" t="s">
        <v>2045</v>
      </c>
      <c r="F808" s="0" t="s">
        <v>2215</v>
      </c>
      <c r="G808" s="0" t="s">
        <v>2218</v>
      </c>
      <c r="H808" s="0" t="s">
        <v>2183</v>
      </c>
      <c r="J808" s="0" t="s">
        <v>2160</v>
      </c>
      <c r="K808" s="272" t="n">
        <v>-40279.9588999999</v>
      </c>
    </row>
    <row r="809" customFormat="false" ht="15" hidden="false" customHeight="false" outlineLevel="0" collapsed="false">
      <c r="A809" s="0" t="s">
        <v>2041</v>
      </c>
      <c r="B809" s="0" t="s">
        <v>2042</v>
      </c>
      <c r="C809" s="0" t="s">
        <v>2156</v>
      </c>
      <c r="D809" s="0" t="s">
        <v>2105</v>
      </c>
      <c r="E809" s="0" t="s">
        <v>2045</v>
      </c>
      <c r="F809" s="0" t="s">
        <v>2215</v>
      </c>
      <c r="G809" s="0" t="s">
        <v>2218</v>
      </c>
      <c r="H809" s="0" t="s">
        <v>2183</v>
      </c>
      <c r="I809" s="0" t="s">
        <v>2124</v>
      </c>
      <c r="J809" s="0" t="s">
        <v>2160</v>
      </c>
      <c r="K809" s="272" t="n">
        <v>-805424.38</v>
      </c>
    </row>
    <row r="810" customFormat="false" ht="15" hidden="false" customHeight="false" outlineLevel="0" collapsed="false">
      <c r="A810" s="0" t="s">
        <v>2041</v>
      </c>
      <c r="B810" s="0" t="s">
        <v>2042</v>
      </c>
      <c r="C810" s="0" t="s">
        <v>2161</v>
      </c>
      <c r="D810" s="0" t="s">
        <v>2105</v>
      </c>
      <c r="E810" s="0" t="s">
        <v>2045</v>
      </c>
      <c r="F810" s="0" t="s">
        <v>2215</v>
      </c>
      <c r="G810" s="0" t="s">
        <v>2218</v>
      </c>
      <c r="H810" s="0" t="s">
        <v>2183</v>
      </c>
      <c r="I810" s="0" t="s">
        <v>2124</v>
      </c>
      <c r="J810" s="0" t="s">
        <v>2160</v>
      </c>
      <c r="K810" s="272" t="n">
        <v>-133215.08</v>
      </c>
    </row>
    <row r="811" customFormat="false" ht="15" hidden="false" customHeight="false" outlineLevel="0" collapsed="false">
      <c r="A811" s="0" t="s">
        <v>2041</v>
      </c>
      <c r="B811" s="0" t="s">
        <v>2042</v>
      </c>
      <c r="C811" s="0" t="s">
        <v>2156</v>
      </c>
      <c r="D811" s="0" t="s">
        <v>2105</v>
      </c>
      <c r="E811" s="0" t="s">
        <v>2045</v>
      </c>
      <c r="F811" s="0" t="s">
        <v>2215</v>
      </c>
      <c r="G811" s="0" t="s">
        <v>2218</v>
      </c>
      <c r="H811" s="0" t="s">
        <v>2185</v>
      </c>
      <c r="J811" s="0" t="s">
        <v>2160</v>
      </c>
      <c r="K811" s="272" t="n">
        <v>-5335564.1452</v>
      </c>
    </row>
    <row r="812" customFormat="false" ht="15" hidden="false" customHeight="false" outlineLevel="0" collapsed="false">
      <c r="A812" s="0" t="s">
        <v>2041</v>
      </c>
      <c r="B812" s="0" t="s">
        <v>2042</v>
      </c>
      <c r="C812" s="0" t="s">
        <v>2161</v>
      </c>
      <c r="D812" s="0" t="s">
        <v>2105</v>
      </c>
      <c r="E812" s="0" t="s">
        <v>2045</v>
      </c>
      <c r="F812" s="0" t="s">
        <v>2215</v>
      </c>
      <c r="G812" s="0" t="s">
        <v>2218</v>
      </c>
      <c r="H812" s="0" t="s">
        <v>2185</v>
      </c>
      <c r="J812" s="0" t="s">
        <v>2160</v>
      </c>
      <c r="K812" s="272" t="n">
        <v>-1020721.8932</v>
      </c>
    </row>
    <row r="813" customFormat="false" ht="15" hidden="false" customHeight="false" outlineLevel="0" collapsed="false">
      <c r="A813" s="0" t="s">
        <v>2041</v>
      </c>
      <c r="B813" s="0" t="s">
        <v>2042</v>
      </c>
      <c r="C813" s="0" t="s">
        <v>2156</v>
      </c>
      <c r="D813" s="0" t="s">
        <v>2105</v>
      </c>
      <c r="E813" s="0" t="s">
        <v>2045</v>
      </c>
      <c r="F813" s="0" t="s">
        <v>2215</v>
      </c>
      <c r="G813" s="0" t="s">
        <v>2218</v>
      </c>
      <c r="H813" s="0" t="s">
        <v>2185</v>
      </c>
      <c r="I813" s="0" t="s">
        <v>2167</v>
      </c>
      <c r="J813" s="0" t="s">
        <v>2160</v>
      </c>
      <c r="K813" s="272" t="n">
        <v>-1247792.41</v>
      </c>
    </row>
    <row r="814" customFormat="false" ht="15" hidden="false" customHeight="false" outlineLevel="0" collapsed="false">
      <c r="A814" s="0" t="s">
        <v>2041</v>
      </c>
      <c r="B814" s="0" t="s">
        <v>2042</v>
      </c>
      <c r="C814" s="0" t="s">
        <v>2161</v>
      </c>
      <c r="D814" s="0" t="s">
        <v>2105</v>
      </c>
      <c r="E814" s="0" t="s">
        <v>2045</v>
      </c>
      <c r="F814" s="0" t="s">
        <v>2215</v>
      </c>
      <c r="G814" s="0" t="s">
        <v>2218</v>
      </c>
      <c r="H814" s="0" t="s">
        <v>2185</v>
      </c>
      <c r="I814" s="0" t="s">
        <v>2167</v>
      </c>
      <c r="J814" s="0" t="s">
        <v>2160</v>
      </c>
      <c r="K814" s="272" t="n">
        <v>-219969.9</v>
      </c>
    </row>
    <row r="815" customFormat="false" ht="15" hidden="false" customHeight="false" outlineLevel="0" collapsed="false">
      <c r="A815" s="0" t="s">
        <v>2041</v>
      </c>
      <c r="B815" s="0" t="s">
        <v>2042</v>
      </c>
      <c r="C815" s="0" t="s">
        <v>2156</v>
      </c>
      <c r="D815" s="0" t="s">
        <v>2105</v>
      </c>
      <c r="E815" s="0" t="s">
        <v>2045</v>
      </c>
      <c r="F815" s="0" t="s">
        <v>2215</v>
      </c>
      <c r="G815" s="0" t="s">
        <v>2218</v>
      </c>
      <c r="H815" s="0" t="s">
        <v>2186</v>
      </c>
      <c r="J815" s="0" t="s">
        <v>2160</v>
      </c>
      <c r="K815" s="272" t="n">
        <v>-77795.1174</v>
      </c>
    </row>
    <row r="816" customFormat="false" ht="15" hidden="false" customHeight="false" outlineLevel="0" collapsed="false">
      <c r="A816" s="0" t="s">
        <v>2041</v>
      </c>
      <c r="B816" s="0" t="s">
        <v>2042</v>
      </c>
      <c r="C816" s="0" t="s">
        <v>2161</v>
      </c>
      <c r="D816" s="0" t="s">
        <v>2105</v>
      </c>
      <c r="E816" s="0" t="s">
        <v>2045</v>
      </c>
      <c r="F816" s="0" t="s">
        <v>2215</v>
      </c>
      <c r="G816" s="0" t="s">
        <v>2218</v>
      </c>
      <c r="H816" s="0" t="s">
        <v>2186</v>
      </c>
      <c r="J816" s="0" t="s">
        <v>2160</v>
      </c>
      <c r="K816" s="272" t="n">
        <v>-6339.2934</v>
      </c>
    </row>
    <row r="817" customFormat="false" ht="15" hidden="false" customHeight="false" outlineLevel="0" collapsed="false">
      <c r="A817" s="0" t="s">
        <v>2041</v>
      </c>
      <c r="B817" s="0" t="s">
        <v>2042</v>
      </c>
      <c r="C817" s="0" t="s">
        <v>2156</v>
      </c>
      <c r="D817" s="0" t="s">
        <v>2105</v>
      </c>
      <c r="E817" s="0" t="s">
        <v>2045</v>
      </c>
      <c r="F817" s="0" t="s">
        <v>2215</v>
      </c>
      <c r="G817" s="0" t="s">
        <v>2218</v>
      </c>
      <c r="H817" s="0" t="s">
        <v>2179</v>
      </c>
      <c r="J817" s="0" t="s">
        <v>2160</v>
      </c>
      <c r="K817" s="272" t="n">
        <v>1750988.19</v>
      </c>
    </row>
    <row r="818" customFormat="false" ht="15" hidden="false" customHeight="false" outlineLevel="0" collapsed="false">
      <c r="A818" s="0" t="s">
        <v>2041</v>
      </c>
      <c r="B818" s="0" t="s">
        <v>2042</v>
      </c>
      <c r="C818" s="0" t="s">
        <v>2161</v>
      </c>
      <c r="D818" s="0" t="s">
        <v>2105</v>
      </c>
      <c r="E818" s="0" t="s">
        <v>2045</v>
      </c>
      <c r="F818" s="0" t="s">
        <v>2215</v>
      </c>
      <c r="G818" s="0" t="s">
        <v>2218</v>
      </c>
      <c r="H818" s="0" t="s">
        <v>2179</v>
      </c>
      <c r="J818" s="0" t="s">
        <v>2160</v>
      </c>
      <c r="K818" s="272" t="n">
        <v>251838.64</v>
      </c>
    </row>
    <row r="819" customFormat="false" ht="15" hidden="false" customHeight="false" outlineLevel="0" collapsed="false">
      <c r="A819" s="0" t="s">
        <v>2041</v>
      </c>
      <c r="B819" s="0" t="s">
        <v>2042</v>
      </c>
      <c r="C819" s="0" t="s">
        <v>2156</v>
      </c>
      <c r="D819" s="0" t="s">
        <v>2105</v>
      </c>
      <c r="E819" s="0" t="s">
        <v>2045</v>
      </c>
      <c r="F819" s="0" t="s">
        <v>2215</v>
      </c>
      <c r="G819" s="0" t="s">
        <v>2218</v>
      </c>
      <c r="H819" s="0" t="s">
        <v>2217</v>
      </c>
      <c r="J819" s="0" t="s">
        <v>2160</v>
      </c>
      <c r="K819" s="272" t="n">
        <v>-95174.9</v>
      </c>
    </row>
    <row r="820" customFormat="false" ht="15" hidden="false" customHeight="false" outlineLevel="0" collapsed="false">
      <c r="A820" s="0" t="s">
        <v>2041</v>
      </c>
      <c r="B820" s="0" t="s">
        <v>2042</v>
      </c>
      <c r="C820" s="0" t="s">
        <v>2161</v>
      </c>
      <c r="D820" s="0" t="s">
        <v>2105</v>
      </c>
      <c r="E820" s="0" t="s">
        <v>2045</v>
      </c>
      <c r="F820" s="0" t="s">
        <v>2215</v>
      </c>
      <c r="G820" s="0" t="s">
        <v>2218</v>
      </c>
      <c r="H820" s="0" t="s">
        <v>2217</v>
      </c>
      <c r="J820" s="0" t="s">
        <v>2160</v>
      </c>
      <c r="K820" s="272" t="n">
        <v>20490.95</v>
      </c>
    </row>
    <row r="821" customFormat="false" ht="15" hidden="false" customHeight="false" outlineLevel="0" collapsed="false">
      <c r="A821" s="0" t="s">
        <v>2041</v>
      </c>
      <c r="B821" s="0" t="s">
        <v>2042</v>
      </c>
      <c r="C821" s="0" t="s">
        <v>2156</v>
      </c>
      <c r="D821" s="0" t="s">
        <v>2105</v>
      </c>
      <c r="E821" s="0" t="s">
        <v>2045</v>
      </c>
      <c r="F821" s="0" t="s">
        <v>2215</v>
      </c>
      <c r="G821" s="0" t="s">
        <v>2218</v>
      </c>
      <c r="H821" s="0" t="s">
        <v>2219</v>
      </c>
      <c r="J821" s="0" t="s">
        <v>2160</v>
      </c>
      <c r="K821" s="272" t="n">
        <v>-5017687.9814</v>
      </c>
    </row>
    <row r="822" customFormat="false" ht="15" hidden="false" customHeight="false" outlineLevel="0" collapsed="false">
      <c r="A822" s="0" t="s">
        <v>2041</v>
      </c>
      <c r="B822" s="0" t="s">
        <v>2042</v>
      </c>
      <c r="C822" s="0" t="s">
        <v>2161</v>
      </c>
      <c r="D822" s="0" t="s">
        <v>2105</v>
      </c>
      <c r="E822" s="0" t="s">
        <v>2045</v>
      </c>
      <c r="F822" s="0" t="s">
        <v>2215</v>
      </c>
      <c r="G822" s="0" t="s">
        <v>2218</v>
      </c>
      <c r="H822" s="0" t="s">
        <v>2219</v>
      </c>
      <c r="J822" s="0" t="s">
        <v>2160</v>
      </c>
      <c r="K822" s="272" t="n">
        <v>-947411.3686</v>
      </c>
    </row>
    <row r="823" customFormat="false" ht="15" hidden="false" customHeight="false" outlineLevel="0" collapsed="false">
      <c r="A823" s="0" t="s">
        <v>2041</v>
      </c>
      <c r="B823" s="0" t="s">
        <v>2042</v>
      </c>
      <c r="C823" s="0" t="s">
        <v>2156</v>
      </c>
      <c r="D823" s="0" t="s">
        <v>2105</v>
      </c>
      <c r="E823" s="0" t="s">
        <v>2045</v>
      </c>
      <c r="F823" s="0" t="s">
        <v>2215</v>
      </c>
      <c r="G823" s="0" t="s">
        <v>2218</v>
      </c>
      <c r="H823" s="0" t="s">
        <v>2220</v>
      </c>
      <c r="J823" s="0" t="s">
        <v>2160</v>
      </c>
      <c r="K823" s="272" t="n">
        <v>15793481.39</v>
      </c>
    </row>
    <row r="824" customFormat="false" ht="15" hidden="false" customHeight="false" outlineLevel="0" collapsed="false">
      <c r="A824" s="0" t="s">
        <v>2041</v>
      </c>
      <c r="B824" s="0" t="s">
        <v>2042</v>
      </c>
      <c r="C824" s="0" t="s">
        <v>2161</v>
      </c>
      <c r="D824" s="0" t="s">
        <v>2105</v>
      </c>
      <c r="E824" s="0" t="s">
        <v>2045</v>
      </c>
      <c r="F824" s="0" t="s">
        <v>2215</v>
      </c>
      <c r="G824" s="0" t="s">
        <v>2218</v>
      </c>
      <c r="H824" s="0" t="s">
        <v>2220</v>
      </c>
      <c r="J824" s="0" t="s">
        <v>2160</v>
      </c>
      <c r="K824" s="272" t="n">
        <v>2655231.1341</v>
      </c>
    </row>
    <row r="825" customFormat="false" ht="15" hidden="false" customHeight="false" outlineLevel="0" collapsed="false">
      <c r="A825" s="0" t="s">
        <v>2041</v>
      </c>
      <c r="B825" s="0" t="s">
        <v>2042</v>
      </c>
      <c r="C825" s="0" t="s">
        <v>2156</v>
      </c>
      <c r="D825" s="0" t="s">
        <v>2105</v>
      </c>
      <c r="E825" s="0" t="s">
        <v>2045</v>
      </c>
      <c r="F825" s="0" t="s">
        <v>2215</v>
      </c>
      <c r="G825" s="0" t="s">
        <v>2218</v>
      </c>
      <c r="H825" s="0" t="s">
        <v>2220</v>
      </c>
      <c r="I825" s="0" t="s">
        <v>2124</v>
      </c>
      <c r="J825" s="0" t="s">
        <v>2160</v>
      </c>
      <c r="K825" s="272" t="n">
        <v>-2351831.64</v>
      </c>
    </row>
    <row r="826" customFormat="false" ht="15" hidden="false" customHeight="false" outlineLevel="0" collapsed="false">
      <c r="A826" s="0" t="s">
        <v>2041</v>
      </c>
      <c r="B826" s="0" t="s">
        <v>2042</v>
      </c>
      <c r="C826" s="0" t="s">
        <v>2161</v>
      </c>
      <c r="D826" s="0" t="s">
        <v>2105</v>
      </c>
      <c r="E826" s="0" t="s">
        <v>2045</v>
      </c>
      <c r="F826" s="0" t="s">
        <v>2215</v>
      </c>
      <c r="G826" s="0" t="s">
        <v>2218</v>
      </c>
      <c r="H826" s="0" t="s">
        <v>2220</v>
      </c>
      <c r="I826" s="0" t="s">
        <v>2124</v>
      </c>
      <c r="J826" s="0" t="s">
        <v>2160</v>
      </c>
      <c r="K826" s="272" t="n">
        <v>-503193.9</v>
      </c>
    </row>
    <row r="827" customFormat="false" ht="15" hidden="false" customHeight="false" outlineLevel="0" collapsed="false">
      <c r="A827" s="0" t="s">
        <v>2041</v>
      </c>
      <c r="B827" s="0" t="s">
        <v>2042</v>
      </c>
      <c r="C827" s="0" t="s">
        <v>2156</v>
      </c>
      <c r="D827" s="0" t="s">
        <v>2105</v>
      </c>
      <c r="E827" s="0" t="s">
        <v>2045</v>
      </c>
      <c r="F827" s="0" t="s">
        <v>2215</v>
      </c>
      <c r="G827" s="0" t="s">
        <v>2218</v>
      </c>
      <c r="H827" s="0" t="s">
        <v>2221</v>
      </c>
      <c r="J827" s="0" t="s">
        <v>2160</v>
      </c>
      <c r="K827" s="272" t="n">
        <v>7236047.12999999</v>
      </c>
    </row>
    <row r="828" customFormat="false" ht="15" hidden="false" customHeight="false" outlineLevel="0" collapsed="false">
      <c r="A828" s="0" t="s">
        <v>2041</v>
      </c>
      <c r="B828" s="0" t="s">
        <v>2042</v>
      </c>
      <c r="C828" s="0" t="s">
        <v>2161</v>
      </c>
      <c r="D828" s="0" t="s">
        <v>2105</v>
      </c>
      <c r="E828" s="0" t="s">
        <v>2045</v>
      </c>
      <c r="F828" s="0" t="s">
        <v>2215</v>
      </c>
      <c r="G828" s="0" t="s">
        <v>2218</v>
      </c>
      <c r="H828" s="0" t="s">
        <v>2221</v>
      </c>
      <c r="J828" s="0" t="s">
        <v>2160</v>
      </c>
      <c r="K828" s="272" t="n">
        <v>1986051.19</v>
      </c>
    </row>
    <row r="829" customFormat="false" ht="15" hidden="false" customHeight="false" outlineLevel="0" collapsed="false">
      <c r="A829" s="0" t="s">
        <v>2041</v>
      </c>
      <c r="B829" s="0" t="s">
        <v>2042</v>
      </c>
      <c r="C829" s="0" t="s">
        <v>2156</v>
      </c>
      <c r="D829" s="0" t="s">
        <v>2105</v>
      </c>
      <c r="E829" s="0" t="s">
        <v>2045</v>
      </c>
      <c r="F829" s="0" t="s">
        <v>2215</v>
      </c>
      <c r="G829" s="0" t="s">
        <v>2218</v>
      </c>
      <c r="H829" s="0" t="s">
        <v>2221</v>
      </c>
      <c r="I829" s="0" t="s">
        <v>2124</v>
      </c>
      <c r="J829" s="0" t="s">
        <v>2160</v>
      </c>
      <c r="K829" s="272" t="n">
        <v>2081285.62</v>
      </c>
    </row>
    <row r="830" customFormat="false" ht="15" hidden="false" customHeight="false" outlineLevel="0" collapsed="false">
      <c r="A830" s="0" t="s">
        <v>2041</v>
      </c>
      <c r="B830" s="0" t="s">
        <v>2042</v>
      </c>
      <c r="C830" s="0" t="s">
        <v>2161</v>
      </c>
      <c r="D830" s="0" t="s">
        <v>2105</v>
      </c>
      <c r="E830" s="0" t="s">
        <v>2045</v>
      </c>
      <c r="F830" s="0" t="s">
        <v>2215</v>
      </c>
      <c r="G830" s="0" t="s">
        <v>2218</v>
      </c>
      <c r="H830" s="0" t="s">
        <v>2221</v>
      </c>
      <c r="I830" s="0" t="s">
        <v>2124</v>
      </c>
      <c r="J830" s="0" t="s">
        <v>2160</v>
      </c>
      <c r="K830" s="272" t="n">
        <v>691912.39</v>
      </c>
    </row>
    <row r="831" customFormat="false" ht="15" hidden="false" customHeight="false" outlineLevel="0" collapsed="false">
      <c r="A831" s="0" t="s">
        <v>2041</v>
      </c>
      <c r="B831" s="0" t="s">
        <v>2042</v>
      </c>
      <c r="C831" s="0" t="s">
        <v>2156</v>
      </c>
      <c r="D831" s="0" t="s">
        <v>2105</v>
      </c>
      <c r="E831" s="0" t="s">
        <v>2045</v>
      </c>
      <c r="F831" s="0" t="s">
        <v>2215</v>
      </c>
      <c r="G831" s="0" t="s">
        <v>2218</v>
      </c>
      <c r="H831" s="0" t="s">
        <v>2222</v>
      </c>
      <c r="I831" s="0" t="s">
        <v>2124</v>
      </c>
      <c r="J831" s="0" t="s">
        <v>2160</v>
      </c>
      <c r="K831" s="272" t="n">
        <v>-444131.65</v>
      </c>
    </row>
    <row r="832" customFormat="false" ht="15" hidden="false" customHeight="false" outlineLevel="0" collapsed="false">
      <c r="A832" s="0" t="s">
        <v>2041</v>
      </c>
      <c r="B832" s="0" t="s">
        <v>2042</v>
      </c>
      <c r="C832" s="0" t="s">
        <v>2161</v>
      </c>
      <c r="D832" s="0" t="s">
        <v>2105</v>
      </c>
      <c r="E832" s="0" t="s">
        <v>2045</v>
      </c>
      <c r="F832" s="0" t="s">
        <v>2215</v>
      </c>
      <c r="G832" s="0" t="s">
        <v>2218</v>
      </c>
      <c r="H832" s="0" t="s">
        <v>2222</v>
      </c>
      <c r="I832" s="0" t="s">
        <v>2124</v>
      </c>
      <c r="J832" s="0" t="s">
        <v>2160</v>
      </c>
      <c r="K832" s="272" t="n">
        <v>124256.28</v>
      </c>
    </row>
    <row r="833" customFormat="false" ht="15" hidden="false" customHeight="false" outlineLevel="0" collapsed="false">
      <c r="A833" s="0" t="s">
        <v>2041</v>
      </c>
      <c r="B833" s="0" t="s">
        <v>2042</v>
      </c>
      <c r="C833" s="0" t="s">
        <v>2156</v>
      </c>
      <c r="D833" s="0" t="s">
        <v>2105</v>
      </c>
      <c r="E833" s="0" t="s">
        <v>2045</v>
      </c>
      <c r="F833" s="0" t="s">
        <v>2215</v>
      </c>
      <c r="G833" s="0" t="s">
        <v>2223</v>
      </c>
      <c r="H833" s="0" t="s">
        <v>2189</v>
      </c>
      <c r="J833" s="0" t="s">
        <v>2160</v>
      </c>
      <c r="K833" s="272" t="n">
        <v>19671.4</v>
      </c>
    </row>
    <row r="834" customFormat="false" ht="15" hidden="false" customHeight="false" outlineLevel="0" collapsed="false">
      <c r="A834" s="0" t="s">
        <v>2041</v>
      </c>
      <c r="B834" s="0" t="s">
        <v>2042</v>
      </c>
      <c r="C834" s="0" t="s">
        <v>2161</v>
      </c>
      <c r="D834" s="0" t="s">
        <v>2105</v>
      </c>
      <c r="E834" s="0" t="s">
        <v>2045</v>
      </c>
      <c r="F834" s="0" t="s">
        <v>2215</v>
      </c>
      <c r="G834" s="0" t="s">
        <v>2223</v>
      </c>
      <c r="H834" s="0" t="s">
        <v>2189</v>
      </c>
      <c r="J834" s="0" t="s">
        <v>2160</v>
      </c>
      <c r="K834" s="272" t="n">
        <v>28436.37</v>
      </c>
    </row>
    <row r="835" customFormat="false" ht="15" hidden="false" customHeight="false" outlineLevel="0" collapsed="false">
      <c r="A835" s="0" t="s">
        <v>2041</v>
      </c>
      <c r="B835" s="0" t="s">
        <v>2042</v>
      </c>
      <c r="C835" s="0" t="s">
        <v>2156</v>
      </c>
      <c r="D835" s="0" t="s">
        <v>2105</v>
      </c>
      <c r="E835" s="0" t="s">
        <v>2045</v>
      </c>
      <c r="F835" s="0" t="s">
        <v>2215</v>
      </c>
      <c r="G835" s="0" t="s">
        <v>2223</v>
      </c>
      <c r="H835" s="0" t="s">
        <v>2222</v>
      </c>
      <c r="J835" s="0" t="s">
        <v>2160</v>
      </c>
      <c r="K835" s="272" t="n">
        <v>-879734.69</v>
      </c>
    </row>
    <row r="836" customFormat="false" ht="15" hidden="false" customHeight="false" outlineLevel="0" collapsed="false">
      <c r="A836" s="0" t="s">
        <v>2041</v>
      </c>
      <c r="B836" s="0" t="s">
        <v>2042</v>
      </c>
      <c r="C836" s="0" t="s">
        <v>2161</v>
      </c>
      <c r="D836" s="0" t="s">
        <v>2105</v>
      </c>
      <c r="E836" s="0" t="s">
        <v>2045</v>
      </c>
      <c r="F836" s="0" t="s">
        <v>2215</v>
      </c>
      <c r="G836" s="0" t="s">
        <v>2223</v>
      </c>
      <c r="H836" s="0" t="s">
        <v>2222</v>
      </c>
      <c r="J836" s="0" t="s">
        <v>2160</v>
      </c>
      <c r="K836" s="272" t="n">
        <v>-156934.64</v>
      </c>
    </row>
    <row r="837" customFormat="false" ht="15" hidden="false" customHeight="false" outlineLevel="0" collapsed="false">
      <c r="A837" s="0" t="s">
        <v>2041</v>
      </c>
      <c r="B837" s="0" t="s">
        <v>2042</v>
      </c>
      <c r="C837" s="0" t="s">
        <v>2156</v>
      </c>
      <c r="D837" s="0" t="s">
        <v>2105</v>
      </c>
      <c r="E837" s="0" t="s">
        <v>2045</v>
      </c>
      <c r="F837" s="0" t="s">
        <v>2215</v>
      </c>
      <c r="G837" s="0" t="s">
        <v>2223</v>
      </c>
      <c r="H837" s="0" t="s">
        <v>2224</v>
      </c>
      <c r="J837" s="0" t="s">
        <v>2160</v>
      </c>
      <c r="K837" s="272" t="n">
        <v>-2467707.67</v>
      </c>
    </row>
    <row r="838" customFormat="false" ht="15" hidden="false" customHeight="false" outlineLevel="0" collapsed="false">
      <c r="A838" s="0" t="s">
        <v>2041</v>
      </c>
      <c r="B838" s="0" t="s">
        <v>2042</v>
      </c>
      <c r="C838" s="0" t="s">
        <v>2161</v>
      </c>
      <c r="D838" s="0" t="s">
        <v>2105</v>
      </c>
      <c r="E838" s="0" t="s">
        <v>2045</v>
      </c>
      <c r="F838" s="0" t="s">
        <v>2215</v>
      </c>
      <c r="G838" s="0" t="s">
        <v>2223</v>
      </c>
      <c r="H838" s="0" t="s">
        <v>2224</v>
      </c>
      <c r="J838" s="0" t="s">
        <v>2160</v>
      </c>
      <c r="K838" s="272" t="n">
        <v>-476542.14</v>
      </c>
    </row>
    <row r="839" customFormat="false" ht="15" hidden="false" customHeight="false" outlineLevel="0" collapsed="false">
      <c r="A839" s="0" t="s">
        <v>2041</v>
      </c>
      <c r="B839" s="0" t="s">
        <v>2042</v>
      </c>
      <c r="C839" s="0" t="s">
        <v>2156</v>
      </c>
      <c r="D839" s="0" t="s">
        <v>2105</v>
      </c>
      <c r="E839" s="0" t="s">
        <v>2045</v>
      </c>
      <c r="F839" s="0" t="s">
        <v>2225</v>
      </c>
      <c r="G839" s="0" t="s">
        <v>2226</v>
      </c>
      <c r="H839" s="0" t="s">
        <v>2227</v>
      </c>
      <c r="J839" s="0" t="s">
        <v>2160</v>
      </c>
      <c r="K839" s="272" t="n">
        <v>10755104.97</v>
      </c>
    </row>
    <row r="840" customFormat="false" ht="15" hidden="false" customHeight="false" outlineLevel="0" collapsed="false">
      <c r="A840" s="0" t="s">
        <v>2041</v>
      </c>
      <c r="B840" s="0" t="s">
        <v>2042</v>
      </c>
      <c r="C840" s="0" t="s">
        <v>2161</v>
      </c>
      <c r="D840" s="0" t="s">
        <v>2105</v>
      </c>
      <c r="E840" s="0" t="s">
        <v>2045</v>
      </c>
      <c r="F840" s="0" t="s">
        <v>2225</v>
      </c>
      <c r="G840" s="0" t="s">
        <v>2226</v>
      </c>
      <c r="H840" s="0" t="s">
        <v>2227</v>
      </c>
      <c r="J840" s="0" t="s">
        <v>2160</v>
      </c>
      <c r="K840" s="272" t="n">
        <v>1852881.45</v>
      </c>
    </row>
    <row r="841" customFormat="false" ht="15" hidden="false" customHeight="false" outlineLevel="0" collapsed="false">
      <c r="A841" s="0" t="s">
        <v>2041</v>
      </c>
      <c r="B841" s="0" t="s">
        <v>2042</v>
      </c>
      <c r="C841" s="0" t="s">
        <v>2156</v>
      </c>
      <c r="D841" s="0" t="s">
        <v>2105</v>
      </c>
      <c r="E841" s="0" t="s">
        <v>2045</v>
      </c>
      <c r="F841" s="0" t="s">
        <v>2225</v>
      </c>
      <c r="G841" s="0" t="s">
        <v>2228</v>
      </c>
      <c r="H841" s="0" t="s">
        <v>2227</v>
      </c>
      <c r="J841" s="0" t="s">
        <v>2160</v>
      </c>
      <c r="K841" s="272" t="n">
        <v>4124510.28</v>
      </c>
    </row>
    <row r="842" customFormat="false" ht="15" hidden="false" customHeight="false" outlineLevel="0" collapsed="false">
      <c r="A842" s="0" t="s">
        <v>2041</v>
      </c>
      <c r="B842" s="0" t="s">
        <v>2042</v>
      </c>
      <c r="C842" s="0" t="s">
        <v>2161</v>
      </c>
      <c r="D842" s="0" t="s">
        <v>2105</v>
      </c>
      <c r="E842" s="0" t="s">
        <v>2045</v>
      </c>
      <c r="F842" s="0" t="s">
        <v>2225</v>
      </c>
      <c r="G842" s="0" t="s">
        <v>2228</v>
      </c>
      <c r="H842" s="0" t="s">
        <v>2227</v>
      </c>
      <c r="J842" s="0" t="s">
        <v>2160</v>
      </c>
      <c r="K842" s="272" t="n">
        <v>43133.8999999985</v>
      </c>
    </row>
    <row r="843" customFormat="false" ht="15" hidden="false" customHeight="false" outlineLevel="0" collapsed="false">
      <c r="A843" s="0" t="s">
        <v>2041</v>
      </c>
      <c r="B843" s="0" t="s">
        <v>2042</v>
      </c>
      <c r="C843" s="0" t="s">
        <v>2156</v>
      </c>
      <c r="D843" s="0" t="s">
        <v>2105</v>
      </c>
      <c r="E843" s="0" t="s">
        <v>2045</v>
      </c>
      <c r="F843" s="0" t="s">
        <v>2225</v>
      </c>
      <c r="G843" s="0" t="s">
        <v>2228</v>
      </c>
      <c r="H843" s="0" t="s">
        <v>2227</v>
      </c>
      <c r="I843" s="0" t="s">
        <v>2124</v>
      </c>
      <c r="J843" s="0" t="s">
        <v>2160</v>
      </c>
      <c r="K843" s="272" t="n">
        <v>-8133508.88</v>
      </c>
    </row>
    <row r="844" customFormat="false" ht="15" hidden="false" customHeight="false" outlineLevel="0" collapsed="false">
      <c r="A844" s="0" t="s">
        <v>2041</v>
      </c>
      <c r="B844" s="0" t="s">
        <v>2042</v>
      </c>
      <c r="C844" s="0" t="s">
        <v>2161</v>
      </c>
      <c r="D844" s="0" t="s">
        <v>2105</v>
      </c>
      <c r="E844" s="0" t="s">
        <v>2045</v>
      </c>
      <c r="F844" s="0" t="s">
        <v>2225</v>
      </c>
      <c r="G844" s="0" t="s">
        <v>2228</v>
      </c>
      <c r="H844" s="0" t="s">
        <v>2227</v>
      </c>
      <c r="I844" s="0" t="s">
        <v>2124</v>
      </c>
      <c r="J844" s="0" t="s">
        <v>2160</v>
      </c>
      <c r="K844" s="272" t="n">
        <v>-729356.19</v>
      </c>
    </row>
    <row r="845" customFormat="false" ht="15" hidden="false" customHeight="false" outlineLevel="0" collapsed="false">
      <c r="A845" s="0" t="s">
        <v>2041</v>
      </c>
      <c r="B845" s="0" t="s">
        <v>2042</v>
      </c>
      <c r="C845" s="0" t="s">
        <v>2156</v>
      </c>
      <c r="D845" s="0" t="s">
        <v>2105</v>
      </c>
      <c r="E845" s="0" t="s">
        <v>2045</v>
      </c>
      <c r="F845" s="0" t="s">
        <v>2225</v>
      </c>
      <c r="G845" s="0" t="s">
        <v>2229</v>
      </c>
      <c r="H845" s="0" t="s">
        <v>2227</v>
      </c>
      <c r="J845" s="0" t="s">
        <v>2160</v>
      </c>
      <c r="K845" s="272" t="n">
        <v>32623694.83</v>
      </c>
    </row>
    <row r="846" customFormat="false" ht="15" hidden="false" customHeight="false" outlineLevel="0" collapsed="false">
      <c r="A846" s="0" t="s">
        <v>2041</v>
      </c>
      <c r="B846" s="0" t="s">
        <v>2042</v>
      </c>
      <c r="C846" s="0" t="s">
        <v>2161</v>
      </c>
      <c r="D846" s="0" t="s">
        <v>2105</v>
      </c>
      <c r="E846" s="0" t="s">
        <v>2045</v>
      </c>
      <c r="F846" s="0" t="s">
        <v>2225</v>
      </c>
      <c r="G846" s="0" t="s">
        <v>2229</v>
      </c>
      <c r="H846" s="0" t="s">
        <v>2227</v>
      </c>
      <c r="J846" s="0" t="s">
        <v>2160</v>
      </c>
      <c r="K846" s="272" t="n">
        <v>3916287.53</v>
      </c>
    </row>
    <row r="847" customFormat="false" ht="15" hidden="false" customHeight="false" outlineLevel="0" collapsed="false">
      <c r="A847" s="0" t="s">
        <v>2041</v>
      </c>
      <c r="B847" s="0" t="s">
        <v>2042</v>
      </c>
      <c r="C847" s="0" t="s">
        <v>2156</v>
      </c>
      <c r="D847" s="0" t="s">
        <v>2105</v>
      </c>
      <c r="E847" s="0" t="s">
        <v>2045</v>
      </c>
      <c r="F847" s="0" t="s">
        <v>2225</v>
      </c>
      <c r="G847" s="0" t="s">
        <v>2230</v>
      </c>
      <c r="H847" s="0" t="s">
        <v>2227</v>
      </c>
      <c r="J847" s="0" t="s">
        <v>2160</v>
      </c>
      <c r="K847" s="272" t="n">
        <v>14562737.48</v>
      </c>
    </row>
    <row r="848" customFormat="false" ht="15" hidden="false" customHeight="false" outlineLevel="0" collapsed="false">
      <c r="A848" s="0" t="s">
        <v>2041</v>
      </c>
      <c r="B848" s="0" t="s">
        <v>2042</v>
      </c>
      <c r="C848" s="0" t="s">
        <v>2161</v>
      </c>
      <c r="D848" s="0" t="s">
        <v>2105</v>
      </c>
      <c r="E848" s="0" t="s">
        <v>2045</v>
      </c>
      <c r="F848" s="0" t="s">
        <v>2225</v>
      </c>
      <c r="G848" s="0" t="s">
        <v>2230</v>
      </c>
      <c r="H848" s="0" t="s">
        <v>2227</v>
      </c>
      <c r="J848" s="0" t="s">
        <v>2160</v>
      </c>
      <c r="K848" s="272" t="n">
        <v>1922330.24</v>
      </c>
    </row>
    <row r="849" customFormat="false" ht="15" hidden="false" customHeight="false" outlineLevel="0" collapsed="false">
      <c r="A849" s="0" t="s">
        <v>2041</v>
      </c>
      <c r="B849" s="0" t="s">
        <v>2042</v>
      </c>
      <c r="C849" s="0" t="s">
        <v>2156</v>
      </c>
      <c r="D849" s="0" t="s">
        <v>2105</v>
      </c>
      <c r="E849" s="0" t="s">
        <v>2045</v>
      </c>
      <c r="F849" s="0" t="s">
        <v>2225</v>
      </c>
      <c r="G849" s="0" t="s">
        <v>2231</v>
      </c>
      <c r="H849" s="0" t="s">
        <v>2227</v>
      </c>
      <c r="J849" s="0" t="s">
        <v>2160</v>
      </c>
      <c r="K849" s="272" t="n">
        <v>11790260.8</v>
      </c>
    </row>
    <row r="850" customFormat="false" ht="15" hidden="false" customHeight="false" outlineLevel="0" collapsed="false">
      <c r="A850" s="0" t="s">
        <v>2041</v>
      </c>
      <c r="B850" s="0" t="s">
        <v>2042</v>
      </c>
      <c r="C850" s="0" t="s">
        <v>2161</v>
      </c>
      <c r="D850" s="0" t="s">
        <v>2105</v>
      </c>
      <c r="E850" s="0" t="s">
        <v>2045</v>
      </c>
      <c r="F850" s="0" t="s">
        <v>2225</v>
      </c>
      <c r="G850" s="0" t="s">
        <v>2231</v>
      </c>
      <c r="H850" s="0" t="s">
        <v>2227</v>
      </c>
      <c r="J850" s="0" t="s">
        <v>2160</v>
      </c>
      <c r="K850" s="272" t="n">
        <v>1540921.76</v>
      </c>
    </row>
    <row r="851" customFormat="false" ht="15" hidden="false" customHeight="false" outlineLevel="0" collapsed="false">
      <c r="A851" s="0" t="s">
        <v>2041</v>
      </c>
      <c r="B851" s="0" t="s">
        <v>2042</v>
      </c>
      <c r="C851" s="0" t="s">
        <v>2156</v>
      </c>
      <c r="D851" s="0" t="s">
        <v>2105</v>
      </c>
      <c r="E851" s="0" t="s">
        <v>2045</v>
      </c>
      <c r="F851" s="0" t="s">
        <v>2225</v>
      </c>
      <c r="G851" s="0" t="s">
        <v>2231</v>
      </c>
      <c r="H851" s="0" t="s">
        <v>2227</v>
      </c>
      <c r="I851" s="0" t="s">
        <v>2124</v>
      </c>
      <c r="J851" s="0" t="s">
        <v>2160</v>
      </c>
      <c r="K851" s="272" t="n">
        <v>-8731557.71</v>
      </c>
    </row>
    <row r="852" customFormat="false" ht="15" hidden="false" customHeight="false" outlineLevel="0" collapsed="false">
      <c r="A852" s="0" t="s">
        <v>2041</v>
      </c>
      <c r="B852" s="0" t="s">
        <v>2042</v>
      </c>
      <c r="C852" s="0" t="s">
        <v>2161</v>
      </c>
      <c r="D852" s="0" t="s">
        <v>2105</v>
      </c>
      <c r="E852" s="0" t="s">
        <v>2045</v>
      </c>
      <c r="F852" s="0" t="s">
        <v>2225</v>
      </c>
      <c r="G852" s="0" t="s">
        <v>2231</v>
      </c>
      <c r="H852" s="0" t="s">
        <v>2227</v>
      </c>
      <c r="I852" s="0" t="s">
        <v>2124</v>
      </c>
      <c r="J852" s="0" t="s">
        <v>2160</v>
      </c>
      <c r="K852" s="272" t="n">
        <v>-738877.86</v>
      </c>
    </row>
    <row r="853" customFormat="false" ht="15" hidden="false" customHeight="false" outlineLevel="0" collapsed="false">
      <c r="A853" s="0" t="s">
        <v>2041</v>
      </c>
      <c r="B853" s="0" t="s">
        <v>2042</v>
      </c>
      <c r="C853" s="0" t="s">
        <v>2156</v>
      </c>
      <c r="D853" s="0" t="s">
        <v>2105</v>
      </c>
      <c r="E853" s="0" t="s">
        <v>2045</v>
      </c>
      <c r="F853" s="0" t="s">
        <v>2099</v>
      </c>
      <c r="G853" s="0" t="s">
        <v>2232</v>
      </c>
      <c r="H853" s="0" t="s">
        <v>2100</v>
      </c>
      <c r="J853" s="0" t="s">
        <v>2160</v>
      </c>
      <c r="K853" s="272" t="n">
        <v>1714065.21</v>
      </c>
    </row>
    <row r="854" customFormat="false" ht="15" hidden="false" customHeight="false" outlineLevel="0" collapsed="false">
      <c r="A854" s="0" t="s">
        <v>2041</v>
      </c>
      <c r="B854" s="0" t="s">
        <v>2042</v>
      </c>
      <c r="C854" s="0" t="s">
        <v>2161</v>
      </c>
      <c r="D854" s="0" t="s">
        <v>2105</v>
      </c>
      <c r="E854" s="0" t="s">
        <v>2045</v>
      </c>
      <c r="F854" s="0" t="s">
        <v>2099</v>
      </c>
      <c r="G854" s="0" t="s">
        <v>2232</v>
      </c>
      <c r="H854" s="0" t="s">
        <v>2100</v>
      </c>
      <c r="J854" s="0" t="s">
        <v>2160</v>
      </c>
      <c r="K854" s="272" t="n">
        <v>573282.2</v>
      </c>
    </row>
    <row r="855" customFormat="false" ht="15" hidden="false" customHeight="false" outlineLevel="0" collapsed="false">
      <c r="A855" s="0" t="s">
        <v>2041</v>
      </c>
      <c r="B855" s="0" t="s">
        <v>2042</v>
      </c>
      <c r="C855" s="0" t="s">
        <v>2156</v>
      </c>
      <c r="D855" s="0" t="s">
        <v>2105</v>
      </c>
      <c r="E855" s="0" t="s">
        <v>2045</v>
      </c>
      <c r="F855" s="0" t="s">
        <v>2099</v>
      </c>
      <c r="G855" s="0" t="s">
        <v>2232</v>
      </c>
      <c r="H855" s="0" t="s">
        <v>2233</v>
      </c>
      <c r="J855" s="0" t="s">
        <v>2160</v>
      </c>
      <c r="K855" s="272" t="n">
        <v>-123918.82</v>
      </c>
    </row>
    <row r="856" customFormat="false" ht="15" hidden="false" customHeight="false" outlineLevel="0" collapsed="false">
      <c r="A856" s="0" t="s">
        <v>2041</v>
      </c>
      <c r="B856" s="0" t="s">
        <v>2042</v>
      </c>
      <c r="C856" s="0" t="s">
        <v>2161</v>
      </c>
      <c r="D856" s="0" t="s">
        <v>2105</v>
      </c>
      <c r="E856" s="0" t="s">
        <v>2045</v>
      </c>
      <c r="F856" s="0" t="s">
        <v>2099</v>
      </c>
      <c r="G856" s="0" t="s">
        <v>2232</v>
      </c>
      <c r="H856" s="0" t="s">
        <v>2233</v>
      </c>
      <c r="J856" s="0" t="s">
        <v>2160</v>
      </c>
      <c r="K856" s="272" t="n">
        <v>-13275.71</v>
      </c>
    </row>
    <row r="857" customFormat="false" ht="15" hidden="false" customHeight="false" outlineLevel="0" collapsed="false">
      <c r="A857" s="0" t="s">
        <v>2041</v>
      </c>
      <c r="B857" s="0" t="s">
        <v>2042</v>
      </c>
      <c r="C857" s="0" t="s">
        <v>2156</v>
      </c>
      <c r="D857" s="0" t="s">
        <v>2105</v>
      </c>
      <c r="E857" s="0" t="s">
        <v>2045</v>
      </c>
      <c r="F857" s="0" t="s">
        <v>2099</v>
      </c>
      <c r="G857" s="0" t="s">
        <v>2232</v>
      </c>
      <c r="H857" s="0" t="s">
        <v>2234</v>
      </c>
      <c r="J857" s="0" t="s">
        <v>2160</v>
      </c>
      <c r="K857" s="272" t="n">
        <v>4250168.01</v>
      </c>
    </row>
    <row r="858" customFormat="false" ht="15" hidden="false" customHeight="false" outlineLevel="0" collapsed="false">
      <c r="A858" s="0" t="s">
        <v>2041</v>
      </c>
      <c r="B858" s="0" t="s">
        <v>2042</v>
      </c>
      <c r="C858" s="0" t="s">
        <v>2161</v>
      </c>
      <c r="D858" s="0" t="s">
        <v>2105</v>
      </c>
      <c r="E858" s="0" t="s">
        <v>2045</v>
      </c>
      <c r="F858" s="0" t="s">
        <v>2099</v>
      </c>
      <c r="G858" s="0" t="s">
        <v>2232</v>
      </c>
      <c r="H858" s="0" t="s">
        <v>2234</v>
      </c>
      <c r="J858" s="0" t="s">
        <v>2160</v>
      </c>
      <c r="K858" s="272" t="n">
        <v>1163406.88</v>
      </c>
    </row>
    <row r="859" customFormat="false" ht="15" hidden="false" customHeight="false" outlineLevel="0" collapsed="false">
      <c r="A859" s="0" t="s">
        <v>2041</v>
      </c>
      <c r="B859" s="0" t="s">
        <v>2042</v>
      </c>
      <c r="C859" s="0" t="s">
        <v>2156</v>
      </c>
      <c r="D859" s="0" t="s">
        <v>2105</v>
      </c>
      <c r="E859" s="0" t="s">
        <v>2045</v>
      </c>
      <c r="F859" s="0" t="s">
        <v>2099</v>
      </c>
      <c r="G859" s="0" t="s">
        <v>2232</v>
      </c>
      <c r="H859" s="0" t="s">
        <v>2235</v>
      </c>
      <c r="J859" s="0" t="s">
        <v>2160</v>
      </c>
      <c r="K859" s="272" t="n">
        <v>4484399.63</v>
      </c>
    </row>
    <row r="860" customFormat="false" ht="15" hidden="false" customHeight="false" outlineLevel="0" collapsed="false">
      <c r="A860" s="0" t="s">
        <v>2041</v>
      </c>
      <c r="B860" s="0" t="s">
        <v>2042</v>
      </c>
      <c r="C860" s="0" t="s">
        <v>2161</v>
      </c>
      <c r="D860" s="0" t="s">
        <v>2105</v>
      </c>
      <c r="E860" s="0" t="s">
        <v>2045</v>
      </c>
      <c r="F860" s="0" t="s">
        <v>2099</v>
      </c>
      <c r="G860" s="0" t="s">
        <v>2232</v>
      </c>
      <c r="H860" s="0" t="s">
        <v>2235</v>
      </c>
      <c r="J860" s="0" t="s">
        <v>2160</v>
      </c>
      <c r="K860" s="272" t="n">
        <v>876742.27</v>
      </c>
    </row>
    <row r="861" customFormat="false" ht="15" hidden="false" customHeight="false" outlineLevel="0" collapsed="false">
      <c r="A861" s="0" t="s">
        <v>2041</v>
      </c>
      <c r="B861" s="0" t="s">
        <v>2042</v>
      </c>
      <c r="C861" s="0" t="s">
        <v>2156</v>
      </c>
      <c r="D861" s="0" t="s">
        <v>2105</v>
      </c>
      <c r="E861" s="0" t="s">
        <v>2045</v>
      </c>
      <c r="F861" s="0" t="s">
        <v>2099</v>
      </c>
      <c r="G861" s="0" t="s">
        <v>2232</v>
      </c>
      <c r="H861" s="0" t="s">
        <v>2235</v>
      </c>
      <c r="I861" s="0" t="s">
        <v>2101</v>
      </c>
      <c r="J861" s="0" t="s">
        <v>2160</v>
      </c>
      <c r="K861" s="272" t="n">
        <v>-81298.52</v>
      </c>
    </row>
    <row r="862" customFormat="false" ht="15" hidden="false" customHeight="false" outlineLevel="0" collapsed="false">
      <c r="A862" s="0" t="s">
        <v>2041</v>
      </c>
      <c r="B862" s="0" t="s">
        <v>2042</v>
      </c>
      <c r="C862" s="0" t="s">
        <v>2161</v>
      </c>
      <c r="D862" s="0" t="s">
        <v>2105</v>
      </c>
      <c r="E862" s="0" t="s">
        <v>2045</v>
      </c>
      <c r="F862" s="0" t="s">
        <v>2099</v>
      </c>
      <c r="G862" s="0" t="s">
        <v>2232</v>
      </c>
      <c r="H862" s="0" t="s">
        <v>2235</v>
      </c>
      <c r="I862" s="0" t="s">
        <v>2101</v>
      </c>
      <c r="J862" s="0" t="s">
        <v>2160</v>
      </c>
      <c r="K862" s="272" t="n">
        <v>-18488.64</v>
      </c>
    </row>
    <row r="863" customFormat="false" ht="15" hidden="false" customHeight="false" outlineLevel="0" collapsed="false">
      <c r="A863" s="0" t="s">
        <v>2041</v>
      </c>
      <c r="B863" s="0" t="s">
        <v>2042</v>
      </c>
      <c r="C863" s="0" t="s">
        <v>2156</v>
      </c>
      <c r="D863" s="0" t="s">
        <v>2105</v>
      </c>
      <c r="E863" s="0" t="s">
        <v>2045</v>
      </c>
      <c r="F863" s="0" t="s">
        <v>2099</v>
      </c>
      <c r="G863" s="0" t="s">
        <v>2236</v>
      </c>
      <c r="H863" s="0" t="s">
        <v>2233</v>
      </c>
      <c r="J863" s="0" t="s">
        <v>2160</v>
      </c>
      <c r="K863" s="272" t="n">
        <v>22614682.26</v>
      </c>
    </row>
    <row r="864" customFormat="false" ht="15" hidden="false" customHeight="false" outlineLevel="0" collapsed="false">
      <c r="A864" s="0" t="s">
        <v>2041</v>
      </c>
      <c r="B864" s="0" t="s">
        <v>2042</v>
      </c>
      <c r="C864" s="0" t="s">
        <v>2161</v>
      </c>
      <c r="D864" s="0" t="s">
        <v>2105</v>
      </c>
      <c r="E864" s="0" t="s">
        <v>2045</v>
      </c>
      <c r="F864" s="0" t="s">
        <v>2099</v>
      </c>
      <c r="G864" s="0" t="s">
        <v>2236</v>
      </c>
      <c r="H864" s="0" t="s">
        <v>2233</v>
      </c>
      <c r="J864" s="0" t="s">
        <v>2160</v>
      </c>
      <c r="K864" s="272" t="n">
        <v>3682771.31</v>
      </c>
    </row>
    <row r="865" customFormat="false" ht="15" hidden="false" customHeight="false" outlineLevel="0" collapsed="false">
      <c r="A865" s="0" t="s">
        <v>2041</v>
      </c>
      <c r="B865" s="0" t="s">
        <v>2042</v>
      </c>
      <c r="C865" s="0" t="s">
        <v>2156</v>
      </c>
      <c r="D865" s="0" t="s">
        <v>2105</v>
      </c>
      <c r="E865" s="0" t="s">
        <v>2045</v>
      </c>
      <c r="F865" s="0" t="s">
        <v>2099</v>
      </c>
      <c r="G865" s="0" t="s">
        <v>2236</v>
      </c>
      <c r="H865" s="0" t="s">
        <v>2233</v>
      </c>
      <c r="I865" s="0" t="s">
        <v>2124</v>
      </c>
      <c r="J865" s="0" t="s">
        <v>2160</v>
      </c>
      <c r="K865" s="272" t="n">
        <v>-1570020.22</v>
      </c>
    </row>
    <row r="866" customFormat="false" ht="15" hidden="false" customHeight="false" outlineLevel="0" collapsed="false">
      <c r="A866" s="0" t="s">
        <v>2041</v>
      </c>
      <c r="B866" s="0" t="s">
        <v>2042</v>
      </c>
      <c r="C866" s="0" t="s">
        <v>2161</v>
      </c>
      <c r="D866" s="0" t="s">
        <v>2105</v>
      </c>
      <c r="E866" s="0" t="s">
        <v>2045</v>
      </c>
      <c r="F866" s="0" t="s">
        <v>2099</v>
      </c>
      <c r="G866" s="0" t="s">
        <v>2236</v>
      </c>
      <c r="H866" s="0" t="s">
        <v>2233</v>
      </c>
      <c r="I866" s="0" t="s">
        <v>2124</v>
      </c>
      <c r="J866" s="0" t="s">
        <v>2160</v>
      </c>
      <c r="K866" s="272" t="n">
        <v>-259983.22</v>
      </c>
    </row>
    <row r="867" customFormat="false" ht="15" hidden="false" customHeight="false" outlineLevel="0" collapsed="false">
      <c r="A867" s="0" t="s">
        <v>2041</v>
      </c>
      <c r="B867" s="0" t="s">
        <v>2042</v>
      </c>
      <c r="C867" s="0" t="s">
        <v>2156</v>
      </c>
      <c r="D867" s="0" t="s">
        <v>2105</v>
      </c>
      <c r="E867" s="0" t="s">
        <v>2045</v>
      </c>
      <c r="F867" s="0" t="s">
        <v>2099</v>
      </c>
      <c r="G867" s="0" t="s">
        <v>2236</v>
      </c>
      <c r="H867" s="0" t="s">
        <v>2237</v>
      </c>
      <c r="J867" s="0" t="s">
        <v>2160</v>
      </c>
      <c r="K867" s="272" t="n">
        <v>-1651548.58</v>
      </c>
    </row>
    <row r="868" customFormat="false" ht="15" hidden="false" customHeight="false" outlineLevel="0" collapsed="false">
      <c r="A868" s="0" t="s">
        <v>2041</v>
      </c>
      <c r="B868" s="0" t="s">
        <v>2042</v>
      </c>
      <c r="C868" s="0" t="s">
        <v>2161</v>
      </c>
      <c r="D868" s="0" t="s">
        <v>2105</v>
      </c>
      <c r="E868" s="0" t="s">
        <v>2045</v>
      </c>
      <c r="F868" s="0" t="s">
        <v>2099</v>
      </c>
      <c r="G868" s="0" t="s">
        <v>2236</v>
      </c>
      <c r="H868" s="0" t="s">
        <v>2237</v>
      </c>
      <c r="J868" s="0" t="s">
        <v>2160</v>
      </c>
      <c r="K868" s="272" t="n">
        <v>-253750.99</v>
      </c>
    </row>
    <row r="869" customFormat="false" ht="15" hidden="false" customHeight="false" outlineLevel="0" collapsed="false">
      <c r="A869" s="0" t="s">
        <v>2041</v>
      </c>
      <c r="B869" s="0" t="s">
        <v>2042</v>
      </c>
      <c r="C869" s="0" t="s">
        <v>2156</v>
      </c>
      <c r="D869" s="0" t="s">
        <v>2105</v>
      </c>
      <c r="E869" s="0" t="s">
        <v>2045</v>
      </c>
      <c r="F869" s="0" t="s">
        <v>2099</v>
      </c>
      <c r="G869" s="0" t="s">
        <v>2238</v>
      </c>
      <c r="H869" s="0" t="s">
        <v>2239</v>
      </c>
      <c r="J869" s="0" t="s">
        <v>2160</v>
      </c>
      <c r="K869" s="272" t="n">
        <v>8087991.56999999</v>
      </c>
    </row>
    <row r="870" customFormat="false" ht="15" hidden="false" customHeight="false" outlineLevel="0" collapsed="false">
      <c r="A870" s="0" t="s">
        <v>2041</v>
      </c>
      <c r="B870" s="0" t="s">
        <v>2042</v>
      </c>
      <c r="C870" s="0" t="s">
        <v>2161</v>
      </c>
      <c r="D870" s="0" t="s">
        <v>2105</v>
      </c>
      <c r="E870" s="0" t="s">
        <v>2045</v>
      </c>
      <c r="F870" s="0" t="s">
        <v>2099</v>
      </c>
      <c r="G870" s="0" t="s">
        <v>2238</v>
      </c>
      <c r="H870" s="0" t="s">
        <v>2239</v>
      </c>
      <c r="J870" s="0" t="s">
        <v>2160</v>
      </c>
      <c r="K870" s="272" t="n">
        <v>2377037.12</v>
      </c>
    </row>
    <row r="871" customFormat="false" ht="15" hidden="false" customHeight="false" outlineLevel="0" collapsed="false">
      <c r="A871" s="0" t="s">
        <v>2041</v>
      </c>
      <c r="B871" s="0" t="s">
        <v>2042</v>
      </c>
      <c r="C871" s="0" t="s">
        <v>2156</v>
      </c>
      <c r="D871" s="0" t="s">
        <v>2105</v>
      </c>
      <c r="E871" s="0" t="s">
        <v>2045</v>
      </c>
      <c r="F871" s="0" t="s">
        <v>2099</v>
      </c>
      <c r="G871" s="0" t="s">
        <v>2238</v>
      </c>
      <c r="H871" s="0" t="s">
        <v>2239</v>
      </c>
      <c r="I871" s="0" t="s">
        <v>2124</v>
      </c>
      <c r="J871" s="0" t="s">
        <v>2160</v>
      </c>
      <c r="K871" s="272" t="n">
        <v>598516.66</v>
      </c>
    </row>
    <row r="872" customFormat="false" ht="15" hidden="false" customHeight="false" outlineLevel="0" collapsed="false">
      <c r="A872" s="0" t="s">
        <v>2041</v>
      </c>
      <c r="B872" s="0" t="s">
        <v>2042</v>
      </c>
      <c r="C872" s="0" t="s">
        <v>2161</v>
      </c>
      <c r="D872" s="0" t="s">
        <v>2105</v>
      </c>
      <c r="E872" s="0" t="s">
        <v>2045</v>
      </c>
      <c r="F872" s="0" t="s">
        <v>2099</v>
      </c>
      <c r="G872" s="0" t="s">
        <v>2238</v>
      </c>
      <c r="H872" s="0" t="s">
        <v>2239</v>
      </c>
      <c r="I872" s="0" t="s">
        <v>2124</v>
      </c>
      <c r="J872" s="0" t="s">
        <v>2160</v>
      </c>
      <c r="K872" s="272" t="n">
        <v>271475.98</v>
      </c>
    </row>
    <row r="873" customFormat="false" ht="15" hidden="false" customHeight="false" outlineLevel="0" collapsed="false">
      <c r="A873" s="0" t="s">
        <v>2041</v>
      </c>
      <c r="B873" s="0" t="s">
        <v>2042</v>
      </c>
      <c r="C873" s="0" t="s">
        <v>2156</v>
      </c>
      <c r="D873" s="0" t="s">
        <v>2105</v>
      </c>
      <c r="E873" s="0" t="s">
        <v>2045</v>
      </c>
      <c r="F873" s="0" t="s">
        <v>2099</v>
      </c>
      <c r="G873" s="0" t="s">
        <v>2238</v>
      </c>
      <c r="H873" s="0" t="s">
        <v>2239</v>
      </c>
      <c r="I873" s="0" t="s">
        <v>2197</v>
      </c>
      <c r="J873" s="0" t="s">
        <v>2160</v>
      </c>
      <c r="K873" s="272" t="n">
        <v>-828953.17</v>
      </c>
    </row>
    <row r="874" customFormat="false" ht="15" hidden="false" customHeight="false" outlineLevel="0" collapsed="false">
      <c r="A874" s="0" t="s">
        <v>2041</v>
      </c>
      <c r="B874" s="0" t="s">
        <v>2042</v>
      </c>
      <c r="C874" s="0" t="s">
        <v>2161</v>
      </c>
      <c r="D874" s="0" t="s">
        <v>2105</v>
      </c>
      <c r="E874" s="0" t="s">
        <v>2045</v>
      </c>
      <c r="F874" s="0" t="s">
        <v>2099</v>
      </c>
      <c r="G874" s="0" t="s">
        <v>2238</v>
      </c>
      <c r="H874" s="0" t="s">
        <v>2239</v>
      </c>
      <c r="I874" s="0" t="s">
        <v>2197</v>
      </c>
      <c r="J874" s="0" t="s">
        <v>2160</v>
      </c>
      <c r="K874" s="272" t="n">
        <v>-162394.04</v>
      </c>
    </row>
    <row r="875" customFormat="false" ht="15" hidden="false" customHeight="false" outlineLevel="0" collapsed="false">
      <c r="A875" s="0" t="s">
        <v>2041</v>
      </c>
      <c r="B875" s="0" t="s">
        <v>2042</v>
      </c>
      <c r="C875" s="0" t="s">
        <v>2156</v>
      </c>
      <c r="D875" s="0" t="s">
        <v>2105</v>
      </c>
      <c r="E875" s="0" t="s">
        <v>2045</v>
      </c>
      <c r="F875" s="0" t="s">
        <v>2099</v>
      </c>
      <c r="G875" s="0" t="s">
        <v>2238</v>
      </c>
      <c r="H875" s="0" t="s">
        <v>2239</v>
      </c>
      <c r="I875" s="0" t="s">
        <v>2201</v>
      </c>
      <c r="J875" s="0" t="s">
        <v>2160</v>
      </c>
      <c r="K875" s="272" t="n">
        <v>-36293.5</v>
      </c>
    </row>
    <row r="876" customFormat="false" ht="15" hidden="false" customHeight="false" outlineLevel="0" collapsed="false">
      <c r="A876" s="0" t="s">
        <v>2041</v>
      </c>
      <c r="B876" s="0" t="s">
        <v>2042</v>
      </c>
      <c r="C876" s="0" t="s">
        <v>2161</v>
      </c>
      <c r="D876" s="0" t="s">
        <v>2105</v>
      </c>
      <c r="E876" s="0" t="s">
        <v>2045</v>
      </c>
      <c r="F876" s="0" t="s">
        <v>2099</v>
      </c>
      <c r="G876" s="0" t="s">
        <v>2238</v>
      </c>
      <c r="H876" s="0" t="s">
        <v>2239</v>
      </c>
      <c r="I876" s="0" t="s">
        <v>2201</v>
      </c>
      <c r="J876" s="0" t="s">
        <v>2160</v>
      </c>
      <c r="K876" s="272" t="n">
        <v>-4950.78</v>
      </c>
    </row>
    <row r="877" customFormat="false" ht="15" hidden="false" customHeight="false" outlineLevel="0" collapsed="false">
      <c r="A877" s="0" t="s">
        <v>2041</v>
      </c>
      <c r="B877" s="0" t="s">
        <v>2042</v>
      </c>
      <c r="C877" s="0" t="s">
        <v>2156</v>
      </c>
      <c r="D877" s="0" t="s">
        <v>2105</v>
      </c>
      <c r="E877" s="0" t="s">
        <v>2045</v>
      </c>
      <c r="F877" s="0" t="s">
        <v>2099</v>
      </c>
      <c r="G877" s="0" t="s">
        <v>2240</v>
      </c>
      <c r="H877" s="0" t="s">
        <v>2100</v>
      </c>
      <c r="J877" s="0" t="s">
        <v>2160</v>
      </c>
      <c r="K877" s="272" t="n">
        <v>7565337.79</v>
      </c>
    </row>
    <row r="878" customFormat="false" ht="15" hidden="false" customHeight="false" outlineLevel="0" collapsed="false">
      <c r="A878" s="0" t="s">
        <v>2041</v>
      </c>
      <c r="B878" s="0" t="s">
        <v>2042</v>
      </c>
      <c r="C878" s="0" t="s">
        <v>2161</v>
      </c>
      <c r="D878" s="0" t="s">
        <v>2105</v>
      </c>
      <c r="E878" s="0" t="s">
        <v>2045</v>
      </c>
      <c r="F878" s="0" t="s">
        <v>2099</v>
      </c>
      <c r="G878" s="0" t="s">
        <v>2240</v>
      </c>
      <c r="H878" s="0" t="s">
        <v>2100</v>
      </c>
      <c r="J878" s="0" t="s">
        <v>2160</v>
      </c>
      <c r="K878" s="272" t="n">
        <v>1769693.86</v>
      </c>
    </row>
    <row r="879" customFormat="false" ht="15" hidden="false" customHeight="false" outlineLevel="0" collapsed="false">
      <c r="A879" s="0" t="s">
        <v>2041</v>
      </c>
      <c r="B879" s="0" t="s">
        <v>2042</v>
      </c>
      <c r="C879" s="0" t="s">
        <v>2156</v>
      </c>
      <c r="D879" s="0" t="s">
        <v>2105</v>
      </c>
      <c r="E879" s="0" t="s">
        <v>2045</v>
      </c>
      <c r="F879" s="0" t="s">
        <v>2099</v>
      </c>
      <c r="G879" s="0" t="s">
        <v>2240</v>
      </c>
      <c r="H879" s="0" t="s">
        <v>2100</v>
      </c>
      <c r="I879" s="0" t="s">
        <v>2124</v>
      </c>
      <c r="J879" s="0" t="s">
        <v>2160</v>
      </c>
      <c r="K879" s="272" t="n">
        <v>44547.41</v>
      </c>
    </row>
    <row r="880" customFormat="false" ht="15" hidden="false" customHeight="false" outlineLevel="0" collapsed="false">
      <c r="A880" s="0" t="s">
        <v>2041</v>
      </c>
      <c r="B880" s="0" t="s">
        <v>2042</v>
      </c>
      <c r="C880" s="0" t="s">
        <v>2161</v>
      </c>
      <c r="D880" s="0" t="s">
        <v>2105</v>
      </c>
      <c r="E880" s="0" t="s">
        <v>2045</v>
      </c>
      <c r="F880" s="0" t="s">
        <v>2099</v>
      </c>
      <c r="G880" s="0" t="s">
        <v>2240</v>
      </c>
      <c r="H880" s="0" t="s">
        <v>2100</v>
      </c>
      <c r="I880" s="0" t="s">
        <v>2124</v>
      </c>
      <c r="J880" s="0" t="s">
        <v>2160</v>
      </c>
      <c r="K880" s="272" t="n">
        <v>33177.57</v>
      </c>
    </row>
    <row r="881" customFormat="false" ht="15" hidden="false" customHeight="false" outlineLevel="0" collapsed="false">
      <c r="A881" s="0" t="s">
        <v>2041</v>
      </c>
      <c r="B881" s="0" t="s">
        <v>2042</v>
      </c>
      <c r="C881" s="0" t="s">
        <v>2156</v>
      </c>
      <c r="D881" s="0" t="s">
        <v>2105</v>
      </c>
      <c r="E881" s="0" t="s">
        <v>2045</v>
      </c>
      <c r="F881" s="0" t="s">
        <v>2099</v>
      </c>
      <c r="G881" s="0" t="s">
        <v>2240</v>
      </c>
      <c r="H881" s="0" t="s">
        <v>2235</v>
      </c>
      <c r="J881" s="0" t="s">
        <v>2160</v>
      </c>
      <c r="K881" s="272" t="n">
        <v>-1033523.5</v>
      </c>
    </row>
    <row r="882" customFormat="false" ht="15" hidden="false" customHeight="false" outlineLevel="0" collapsed="false">
      <c r="A882" s="0" t="s">
        <v>2041</v>
      </c>
      <c r="B882" s="0" t="s">
        <v>2042</v>
      </c>
      <c r="C882" s="0" t="s">
        <v>2161</v>
      </c>
      <c r="D882" s="0" t="s">
        <v>2105</v>
      </c>
      <c r="E882" s="0" t="s">
        <v>2045</v>
      </c>
      <c r="F882" s="0" t="s">
        <v>2099</v>
      </c>
      <c r="G882" s="0" t="s">
        <v>2240</v>
      </c>
      <c r="H882" s="0" t="s">
        <v>2235</v>
      </c>
      <c r="J882" s="0" t="s">
        <v>2160</v>
      </c>
      <c r="K882" s="272" t="n">
        <v>-248409.47</v>
      </c>
    </row>
    <row r="883" customFormat="false" ht="15" hidden="false" customHeight="false" outlineLevel="0" collapsed="false">
      <c r="A883" s="0" t="s">
        <v>2041</v>
      </c>
      <c r="B883" s="0" t="s">
        <v>2042</v>
      </c>
      <c r="C883" s="0" t="s">
        <v>2156</v>
      </c>
      <c r="D883" s="0" t="s">
        <v>2105</v>
      </c>
      <c r="E883" s="0" t="s">
        <v>2045</v>
      </c>
      <c r="F883" s="0" t="s">
        <v>2099</v>
      </c>
      <c r="G883" s="0" t="s">
        <v>2241</v>
      </c>
      <c r="H883" s="0" t="s">
        <v>2242</v>
      </c>
      <c r="J883" s="0" t="s">
        <v>2160</v>
      </c>
      <c r="K883" s="272" t="n">
        <v>-2797030.24</v>
      </c>
    </row>
    <row r="884" customFormat="false" ht="15" hidden="false" customHeight="false" outlineLevel="0" collapsed="false">
      <c r="A884" s="0" t="s">
        <v>2041</v>
      </c>
      <c r="B884" s="0" t="s">
        <v>2042</v>
      </c>
      <c r="C884" s="0" t="s">
        <v>2161</v>
      </c>
      <c r="D884" s="0" t="s">
        <v>2105</v>
      </c>
      <c r="E884" s="0" t="s">
        <v>2045</v>
      </c>
      <c r="F884" s="0" t="s">
        <v>2099</v>
      </c>
      <c r="G884" s="0" t="s">
        <v>2241</v>
      </c>
      <c r="H884" s="0" t="s">
        <v>2242</v>
      </c>
      <c r="J884" s="0" t="s">
        <v>2160</v>
      </c>
      <c r="K884" s="272" t="n">
        <v>-443206.41</v>
      </c>
    </row>
    <row r="885" customFormat="false" ht="15" hidden="false" customHeight="false" outlineLevel="0" collapsed="false">
      <c r="A885" s="0" t="s">
        <v>2041</v>
      </c>
      <c r="B885" s="0" t="s">
        <v>2042</v>
      </c>
      <c r="C885" s="0" t="s">
        <v>2156</v>
      </c>
      <c r="D885" s="0" t="s">
        <v>2105</v>
      </c>
      <c r="E885" s="0" t="s">
        <v>2045</v>
      </c>
      <c r="F885" s="0" t="s">
        <v>2099</v>
      </c>
      <c r="G885" s="0" t="s">
        <v>2243</v>
      </c>
      <c r="H885" s="0" t="s">
        <v>2239</v>
      </c>
      <c r="J885" s="0" t="s">
        <v>2160</v>
      </c>
      <c r="K885" s="272" t="n">
        <v>-161682.04</v>
      </c>
    </row>
    <row r="886" customFormat="false" ht="15" hidden="false" customHeight="false" outlineLevel="0" collapsed="false">
      <c r="A886" s="0" t="s">
        <v>2041</v>
      </c>
      <c r="B886" s="0" t="s">
        <v>2042</v>
      </c>
      <c r="C886" s="0" t="s">
        <v>2161</v>
      </c>
      <c r="D886" s="0" t="s">
        <v>2105</v>
      </c>
      <c r="E886" s="0" t="s">
        <v>2045</v>
      </c>
      <c r="F886" s="0" t="s">
        <v>2099</v>
      </c>
      <c r="G886" s="0" t="s">
        <v>2243</v>
      </c>
      <c r="H886" s="0" t="s">
        <v>2239</v>
      </c>
      <c r="J886" s="0" t="s">
        <v>2160</v>
      </c>
      <c r="K886" s="272" t="n">
        <v>-28897.74</v>
      </c>
    </row>
    <row r="887" customFormat="false" ht="15" hidden="false" customHeight="false" outlineLevel="0" collapsed="false">
      <c r="A887" s="0" t="s">
        <v>2041</v>
      </c>
      <c r="B887" s="0" t="s">
        <v>2042</v>
      </c>
      <c r="C887" s="0" t="s">
        <v>2156</v>
      </c>
      <c r="D887" s="0" t="s">
        <v>2105</v>
      </c>
      <c r="E887" s="0" t="s">
        <v>2045</v>
      </c>
      <c r="F887" s="0" t="s">
        <v>2099</v>
      </c>
      <c r="G887" s="0" t="s">
        <v>2243</v>
      </c>
      <c r="H887" s="0" t="s">
        <v>2244</v>
      </c>
      <c r="J887" s="0" t="s">
        <v>2160</v>
      </c>
      <c r="K887" s="272" t="n">
        <v>1968489.88</v>
      </c>
    </row>
    <row r="888" customFormat="false" ht="15" hidden="false" customHeight="false" outlineLevel="0" collapsed="false">
      <c r="A888" s="0" t="s">
        <v>2041</v>
      </c>
      <c r="B888" s="0" t="s">
        <v>2042</v>
      </c>
      <c r="C888" s="0" t="s">
        <v>2161</v>
      </c>
      <c r="D888" s="0" t="s">
        <v>2105</v>
      </c>
      <c r="E888" s="0" t="s">
        <v>2045</v>
      </c>
      <c r="F888" s="0" t="s">
        <v>2099</v>
      </c>
      <c r="G888" s="0" t="s">
        <v>2243</v>
      </c>
      <c r="H888" s="0" t="s">
        <v>2244</v>
      </c>
      <c r="J888" s="0" t="s">
        <v>2160</v>
      </c>
      <c r="K888" s="272" t="n">
        <v>545432.92</v>
      </c>
    </row>
    <row r="889" customFormat="false" ht="15" hidden="false" customHeight="false" outlineLevel="0" collapsed="false">
      <c r="A889" s="0" t="s">
        <v>2041</v>
      </c>
      <c r="B889" s="0" t="s">
        <v>2042</v>
      </c>
      <c r="C889" s="0" t="s">
        <v>2156</v>
      </c>
      <c r="D889" s="0" t="s">
        <v>2105</v>
      </c>
      <c r="E889" s="0" t="s">
        <v>2045</v>
      </c>
      <c r="F889" s="0" t="s">
        <v>2099</v>
      </c>
      <c r="G889" s="0" t="s">
        <v>2243</v>
      </c>
      <c r="H889" s="0" t="s">
        <v>2244</v>
      </c>
      <c r="I889" s="0" t="s">
        <v>2124</v>
      </c>
      <c r="J889" s="0" t="s">
        <v>2160</v>
      </c>
      <c r="K889" s="272" t="n">
        <v>3050928.02</v>
      </c>
    </row>
    <row r="890" customFormat="false" ht="15" hidden="false" customHeight="false" outlineLevel="0" collapsed="false">
      <c r="A890" s="0" t="s">
        <v>2041</v>
      </c>
      <c r="B890" s="0" t="s">
        <v>2042</v>
      </c>
      <c r="C890" s="0" t="s">
        <v>2161</v>
      </c>
      <c r="D890" s="0" t="s">
        <v>2105</v>
      </c>
      <c r="E890" s="0" t="s">
        <v>2045</v>
      </c>
      <c r="F890" s="0" t="s">
        <v>2099</v>
      </c>
      <c r="G890" s="0" t="s">
        <v>2243</v>
      </c>
      <c r="H890" s="0" t="s">
        <v>2244</v>
      </c>
      <c r="I890" s="0" t="s">
        <v>2124</v>
      </c>
      <c r="J890" s="0" t="s">
        <v>2160</v>
      </c>
      <c r="K890" s="272" t="n">
        <v>940458.01</v>
      </c>
    </row>
    <row r="891" customFormat="false" ht="15" hidden="false" customHeight="false" outlineLevel="0" collapsed="false">
      <c r="A891" s="0" t="s">
        <v>2041</v>
      </c>
      <c r="B891" s="0" t="s">
        <v>2042</v>
      </c>
      <c r="C891" s="0" t="s">
        <v>2156</v>
      </c>
      <c r="D891" s="0" t="s">
        <v>2105</v>
      </c>
      <c r="E891" s="0" t="s">
        <v>2045</v>
      </c>
      <c r="F891" s="0" t="s">
        <v>2099</v>
      </c>
      <c r="G891" s="0" t="s">
        <v>2243</v>
      </c>
      <c r="H891" s="0" t="s">
        <v>2244</v>
      </c>
      <c r="I891" s="0" t="s">
        <v>2197</v>
      </c>
      <c r="J891" s="0" t="s">
        <v>2160</v>
      </c>
      <c r="K891" s="272" t="n">
        <v>-2113244.23</v>
      </c>
    </row>
    <row r="892" customFormat="false" ht="15" hidden="false" customHeight="false" outlineLevel="0" collapsed="false">
      <c r="A892" s="0" t="s">
        <v>2041</v>
      </c>
      <c r="B892" s="0" t="s">
        <v>2042</v>
      </c>
      <c r="C892" s="0" t="s">
        <v>2161</v>
      </c>
      <c r="D892" s="0" t="s">
        <v>2105</v>
      </c>
      <c r="E892" s="0" t="s">
        <v>2045</v>
      </c>
      <c r="F892" s="0" t="s">
        <v>2099</v>
      </c>
      <c r="G892" s="0" t="s">
        <v>2243</v>
      </c>
      <c r="H892" s="0" t="s">
        <v>2244</v>
      </c>
      <c r="I892" s="0" t="s">
        <v>2197</v>
      </c>
      <c r="J892" s="0" t="s">
        <v>2160</v>
      </c>
      <c r="K892" s="272" t="n">
        <v>-413540.03</v>
      </c>
    </row>
    <row r="893" customFormat="false" ht="15" hidden="false" customHeight="false" outlineLevel="0" collapsed="false">
      <c r="A893" s="0" t="s">
        <v>2041</v>
      </c>
      <c r="B893" s="0" t="s">
        <v>2042</v>
      </c>
      <c r="C893" s="0" t="s">
        <v>2156</v>
      </c>
      <c r="D893" s="0" t="s">
        <v>2105</v>
      </c>
      <c r="E893" s="0" t="s">
        <v>2045</v>
      </c>
      <c r="F893" s="0" t="s">
        <v>2099</v>
      </c>
      <c r="G893" s="0" t="s">
        <v>2243</v>
      </c>
      <c r="H893" s="0" t="s">
        <v>2244</v>
      </c>
      <c r="I893" s="0" t="s">
        <v>2201</v>
      </c>
      <c r="J893" s="0" t="s">
        <v>2160</v>
      </c>
      <c r="K893" s="272" t="n">
        <v>-118151.88</v>
      </c>
    </row>
    <row r="894" customFormat="false" ht="15" hidden="false" customHeight="false" outlineLevel="0" collapsed="false">
      <c r="A894" s="0" t="s">
        <v>2041</v>
      </c>
      <c r="B894" s="0" t="s">
        <v>2042</v>
      </c>
      <c r="C894" s="0" t="s">
        <v>2161</v>
      </c>
      <c r="D894" s="0" t="s">
        <v>2105</v>
      </c>
      <c r="E894" s="0" t="s">
        <v>2045</v>
      </c>
      <c r="F894" s="0" t="s">
        <v>2099</v>
      </c>
      <c r="G894" s="0" t="s">
        <v>2243</v>
      </c>
      <c r="H894" s="0" t="s">
        <v>2244</v>
      </c>
      <c r="I894" s="0" t="s">
        <v>2201</v>
      </c>
      <c r="J894" s="0" t="s">
        <v>2160</v>
      </c>
      <c r="K894" s="272" t="n">
        <v>-23155.83</v>
      </c>
    </row>
    <row r="895" customFormat="false" ht="15" hidden="false" customHeight="false" outlineLevel="0" collapsed="false">
      <c r="A895" s="0" t="s">
        <v>2041</v>
      </c>
      <c r="B895" s="0" t="s">
        <v>2042</v>
      </c>
      <c r="C895" s="0" t="s">
        <v>2156</v>
      </c>
      <c r="D895" s="0" t="s">
        <v>2105</v>
      </c>
      <c r="E895" s="0" t="s">
        <v>2045</v>
      </c>
      <c r="F895" s="0" t="s">
        <v>2099</v>
      </c>
      <c r="G895" s="0" t="s">
        <v>2243</v>
      </c>
      <c r="H895" s="0" t="s">
        <v>2245</v>
      </c>
      <c r="J895" s="0" t="s">
        <v>2160</v>
      </c>
      <c r="K895" s="272" t="n">
        <v>795685.63</v>
      </c>
    </row>
    <row r="896" customFormat="false" ht="15" hidden="false" customHeight="false" outlineLevel="0" collapsed="false">
      <c r="A896" s="0" t="s">
        <v>2041</v>
      </c>
      <c r="B896" s="0" t="s">
        <v>2042</v>
      </c>
      <c r="C896" s="0" t="s">
        <v>2161</v>
      </c>
      <c r="D896" s="0" t="s">
        <v>2105</v>
      </c>
      <c r="E896" s="0" t="s">
        <v>2045</v>
      </c>
      <c r="F896" s="0" t="s">
        <v>2099</v>
      </c>
      <c r="G896" s="0" t="s">
        <v>2243</v>
      </c>
      <c r="H896" s="0" t="s">
        <v>2245</v>
      </c>
      <c r="J896" s="0" t="s">
        <v>2160</v>
      </c>
      <c r="K896" s="272" t="n">
        <v>228592.94</v>
      </c>
    </row>
    <row r="897" customFormat="false" ht="15" hidden="false" customHeight="false" outlineLevel="0" collapsed="false">
      <c r="A897" s="0" t="s">
        <v>2041</v>
      </c>
      <c r="B897" s="0" t="s">
        <v>2042</v>
      </c>
      <c r="C897" s="0" t="s">
        <v>2156</v>
      </c>
      <c r="D897" s="0" t="s">
        <v>2105</v>
      </c>
      <c r="E897" s="0" t="s">
        <v>2045</v>
      </c>
      <c r="F897" s="0" t="s">
        <v>2099</v>
      </c>
      <c r="G897" s="0" t="s">
        <v>2243</v>
      </c>
      <c r="H897" s="0" t="s">
        <v>2245</v>
      </c>
      <c r="I897" s="0" t="s">
        <v>2246</v>
      </c>
      <c r="J897" s="0" t="s">
        <v>2160</v>
      </c>
      <c r="K897" s="272" t="n">
        <v>1506766.06</v>
      </c>
    </row>
    <row r="898" customFormat="false" ht="15" hidden="false" customHeight="false" outlineLevel="0" collapsed="false">
      <c r="A898" s="0" t="s">
        <v>2041</v>
      </c>
      <c r="B898" s="0" t="s">
        <v>2042</v>
      </c>
      <c r="C898" s="0" t="s">
        <v>2161</v>
      </c>
      <c r="D898" s="0" t="s">
        <v>2105</v>
      </c>
      <c r="E898" s="0" t="s">
        <v>2045</v>
      </c>
      <c r="F898" s="0" t="s">
        <v>2099</v>
      </c>
      <c r="G898" s="0" t="s">
        <v>2243</v>
      </c>
      <c r="H898" s="0" t="s">
        <v>2245</v>
      </c>
      <c r="I898" s="0" t="s">
        <v>2246</v>
      </c>
      <c r="J898" s="0" t="s">
        <v>2160</v>
      </c>
      <c r="K898" s="272" t="n">
        <v>398208.94</v>
      </c>
    </row>
    <row r="899" customFormat="false" ht="15" hidden="false" customHeight="false" outlineLevel="0" collapsed="false">
      <c r="A899" s="0" t="s">
        <v>2041</v>
      </c>
      <c r="B899" s="0" t="s">
        <v>2042</v>
      </c>
      <c r="C899" s="0" t="s">
        <v>2156</v>
      </c>
      <c r="D899" s="0" t="s">
        <v>2105</v>
      </c>
      <c r="E899" s="0" t="s">
        <v>2045</v>
      </c>
      <c r="F899" s="0" t="s">
        <v>2099</v>
      </c>
      <c r="G899" s="0" t="s">
        <v>2243</v>
      </c>
      <c r="H899" s="0" t="s">
        <v>2247</v>
      </c>
      <c r="J899" s="0" t="s">
        <v>2160</v>
      </c>
      <c r="K899" s="272" t="n">
        <v>-227447.01</v>
      </c>
    </row>
    <row r="900" customFormat="false" ht="15" hidden="false" customHeight="false" outlineLevel="0" collapsed="false">
      <c r="A900" s="0" t="s">
        <v>2041</v>
      </c>
      <c r="B900" s="0" t="s">
        <v>2042</v>
      </c>
      <c r="C900" s="0" t="s">
        <v>2161</v>
      </c>
      <c r="D900" s="0" t="s">
        <v>2105</v>
      </c>
      <c r="E900" s="0" t="s">
        <v>2045</v>
      </c>
      <c r="F900" s="0" t="s">
        <v>2099</v>
      </c>
      <c r="G900" s="0" t="s">
        <v>2243</v>
      </c>
      <c r="H900" s="0" t="s">
        <v>2247</v>
      </c>
      <c r="J900" s="0" t="s">
        <v>2160</v>
      </c>
      <c r="K900" s="272" t="n">
        <v>-29233.43</v>
      </c>
    </row>
    <row r="901" customFormat="false" ht="15" hidden="false" customHeight="false" outlineLevel="0" collapsed="false">
      <c r="A901" s="0" t="s">
        <v>2041</v>
      </c>
      <c r="B901" s="0" t="s">
        <v>2042</v>
      </c>
      <c r="C901" s="0" t="s">
        <v>2156</v>
      </c>
      <c r="D901" s="0" t="s">
        <v>2105</v>
      </c>
      <c r="E901" s="0" t="s">
        <v>2045</v>
      </c>
      <c r="F901" s="0" t="s">
        <v>2099</v>
      </c>
      <c r="G901" s="0" t="s">
        <v>2243</v>
      </c>
      <c r="H901" s="0" t="s">
        <v>2247</v>
      </c>
      <c r="I901" s="0" t="s">
        <v>2124</v>
      </c>
      <c r="J901" s="0" t="s">
        <v>2160</v>
      </c>
      <c r="K901" s="272" t="n">
        <v>-296204.29</v>
      </c>
    </row>
    <row r="902" customFormat="false" ht="15" hidden="false" customHeight="false" outlineLevel="0" collapsed="false">
      <c r="A902" s="0" t="s">
        <v>2041</v>
      </c>
      <c r="B902" s="0" t="s">
        <v>2042</v>
      </c>
      <c r="C902" s="0" t="s">
        <v>2161</v>
      </c>
      <c r="D902" s="0" t="s">
        <v>2105</v>
      </c>
      <c r="E902" s="0" t="s">
        <v>2045</v>
      </c>
      <c r="F902" s="0" t="s">
        <v>2099</v>
      </c>
      <c r="G902" s="0" t="s">
        <v>2243</v>
      </c>
      <c r="H902" s="0" t="s">
        <v>2247</v>
      </c>
      <c r="I902" s="0" t="s">
        <v>2124</v>
      </c>
      <c r="J902" s="0" t="s">
        <v>2160</v>
      </c>
      <c r="K902" s="272" t="n">
        <v>-53316.77</v>
      </c>
    </row>
    <row r="903" customFormat="false" ht="15" hidden="false" customHeight="false" outlineLevel="0" collapsed="false">
      <c r="A903" s="0" t="s">
        <v>2041</v>
      </c>
      <c r="B903" s="0" t="s">
        <v>2042</v>
      </c>
      <c r="C903" s="0" t="s">
        <v>2156</v>
      </c>
      <c r="D903" s="0" t="s">
        <v>2105</v>
      </c>
      <c r="E903" s="0" t="s">
        <v>2045</v>
      </c>
      <c r="F903" s="0" t="s">
        <v>2099</v>
      </c>
      <c r="G903" s="0" t="s">
        <v>2243</v>
      </c>
      <c r="H903" s="0" t="s">
        <v>2247</v>
      </c>
      <c r="I903" s="0" t="s">
        <v>2201</v>
      </c>
      <c r="J903" s="0" t="s">
        <v>2160</v>
      </c>
      <c r="K903" s="272" t="n">
        <v>-1941772.79</v>
      </c>
    </row>
    <row r="904" customFormat="false" ht="15" hidden="false" customHeight="false" outlineLevel="0" collapsed="false">
      <c r="A904" s="0" t="s">
        <v>2041</v>
      </c>
      <c r="B904" s="0" t="s">
        <v>2042</v>
      </c>
      <c r="C904" s="0" t="s">
        <v>2161</v>
      </c>
      <c r="D904" s="0" t="s">
        <v>2105</v>
      </c>
      <c r="E904" s="0" t="s">
        <v>2045</v>
      </c>
      <c r="F904" s="0" t="s">
        <v>2099</v>
      </c>
      <c r="G904" s="0" t="s">
        <v>2243</v>
      </c>
      <c r="H904" s="0" t="s">
        <v>2247</v>
      </c>
      <c r="I904" s="0" t="s">
        <v>2201</v>
      </c>
      <c r="J904" s="0" t="s">
        <v>2160</v>
      </c>
      <c r="K904" s="272" t="n">
        <v>-325935.69</v>
      </c>
    </row>
    <row r="905" customFormat="false" ht="15" hidden="false" customHeight="false" outlineLevel="0" collapsed="false">
      <c r="A905" s="0" t="s">
        <v>2041</v>
      </c>
      <c r="B905" s="0" t="s">
        <v>2042</v>
      </c>
      <c r="C905" s="0" t="s">
        <v>2156</v>
      </c>
      <c r="D905" s="0" t="s">
        <v>2105</v>
      </c>
      <c r="E905" s="0" t="s">
        <v>2045</v>
      </c>
      <c r="F905" s="0" t="s">
        <v>2099</v>
      </c>
      <c r="G905" s="0" t="s">
        <v>2248</v>
      </c>
      <c r="H905" s="0" t="s">
        <v>2244</v>
      </c>
      <c r="I905" s="0" t="s">
        <v>2246</v>
      </c>
      <c r="J905" s="0" t="s">
        <v>2160</v>
      </c>
      <c r="K905" s="272" t="n">
        <v>3946.95</v>
      </c>
    </row>
    <row r="906" customFormat="false" ht="15" hidden="false" customHeight="false" outlineLevel="0" collapsed="false">
      <c r="A906" s="0" t="s">
        <v>2041</v>
      </c>
      <c r="B906" s="0" t="s">
        <v>2042</v>
      </c>
      <c r="C906" s="0" t="s">
        <v>2161</v>
      </c>
      <c r="D906" s="0" t="s">
        <v>2105</v>
      </c>
      <c r="E906" s="0" t="s">
        <v>2045</v>
      </c>
      <c r="F906" s="0" t="s">
        <v>2099</v>
      </c>
      <c r="G906" s="0" t="s">
        <v>2248</v>
      </c>
      <c r="H906" s="0" t="s">
        <v>2244</v>
      </c>
      <c r="I906" s="0" t="s">
        <v>2246</v>
      </c>
      <c r="J906" s="0" t="s">
        <v>2160</v>
      </c>
      <c r="K906" s="272" t="n">
        <v>9370.66</v>
      </c>
    </row>
    <row r="907" customFormat="false" ht="15" hidden="false" customHeight="false" outlineLevel="0" collapsed="false">
      <c r="A907" s="0" t="s">
        <v>2041</v>
      </c>
      <c r="B907" s="0" t="s">
        <v>2042</v>
      </c>
      <c r="C907" s="0" t="s">
        <v>2156</v>
      </c>
      <c r="D907" s="0" t="s">
        <v>2105</v>
      </c>
      <c r="E907" s="0" t="s">
        <v>2045</v>
      </c>
      <c r="F907" s="0" t="s">
        <v>2099</v>
      </c>
      <c r="G907" s="0" t="s">
        <v>2248</v>
      </c>
      <c r="H907" s="0" t="s">
        <v>2245</v>
      </c>
      <c r="I907" s="0" t="s">
        <v>2246</v>
      </c>
      <c r="J907" s="0" t="s">
        <v>2160</v>
      </c>
      <c r="K907" s="272" t="n">
        <v>19109.25</v>
      </c>
    </row>
    <row r="908" customFormat="false" ht="15" hidden="false" customHeight="false" outlineLevel="0" collapsed="false">
      <c r="A908" s="0" t="s">
        <v>2041</v>
      </c>
      <c r="B908" s="0" t="s">
        <v>2042</v>
      </c>
      <c r="C908" s="0" t="s">
        <v>2161</v>
      </c>
      <c r="D908" s="0" t="s">
        <v>2105</v>
      </c>
      <c r="E908" s="0" t="s">
        <v>2045</v>
      </c>
      <c r="F908" s="0" t="s">
        <v>2099</v>
      </c>
      <c r="G908" s="0" t="s">
        <v>2248</v>
      </c>
      <c r="H908" s="0" t="s">
        <v>2245</v>
      </c>
      <c r="I908" s="0" t="s">
        <v>2246</v>
      </c>
      <c r="J908" s="0" t="s">
        <v>2160</v>
      </c>
      <c r="K908" s="272" t="n">
        <v>9884.25</v>
      </c>
    </row>
    <row r="909" customFormat="false" ht="15" hidden="false" customHeight="false" outlineLevel="0" collapsed="false">
      <c r="A909" s="0" t="s">
        <v>2041</v>
      </c>
      <c r="B909" s="0" t="s">
        <v>2042</v>
      </c>
      <c r="C909" s="0" t="s">
        <v>2156</v>
      </c>
      <c r="D909" s="0" t="s">
        <v>2105</v>
      </c>
      <c r="E909" s="0" t="s">
        <v>2045</v>
      </c>
      <c r="F909" s="0" t="s">
        <v>2099</v>
      </c>
      <c r="G909" s="0" t="s">
        <v>2249</v>
      </c>
      <c r="H909" s="0" t="s">
        <v>2245</v>
      </c>
      <c r="I909" s="0" t="s">
        <v>2246</v>
      </c>
      <c r="J909" s="0" t="s">
        <v>2160</v>
      </c>
      <c r="K909" s="272" t="n">
        <v>110712.15</v>
      </c>
    </row>
    <row r="910" customFormat="false" ht="15" hidden="false" customHeight="false" outlineLevel="0" collapsed="false">
      <c r="A910" s="0" t="s">
        <v>2041</v>
      </c>
      <c r="B910" s="0" t="s">
        <v>2042</v>
      </c>
      <c r="C910" s="0" t="s">
        <v>2161</v>
      </c>
      <c r="D910" s="0" t="s">
        <v>2105</v>
      </c>
      <c r="E910" s="0" t="s">
        <v>2045</v>
      </c>
      <c r="F910" s="0" t="s">
        <v>2099</v>
      </c>
      <c r="G910" s="0" t="s">
        <v>2249</v>
      </c>
      <c r="H910" s="0" t="s">
        <v>2245</v>
      </c>
      <c r="I910" s="0" t="s">
        <v>2246</v>
      </c>
      <c r="J910" s="0" t="s">
        <v>2160</v>
      </c>
      <c r="K910" s="272" t="n">
        <v>77791.38</v>
      </c>
    </row>
    <row r="911" customFormat="false" ht="15" hidden="false" customHeight="false" outlineLevel="0" collapsed="false">
      <c r="A911" s="0" t="s">
        <v>2041</v>
      </c>
      <c r="B911" s="0" t="s">
        <v>2042</v>
      </c>
      <c r="C911" s="0" t="s">
        <v>2156</v>
      </c>
      <c r="D911" s="0" t="s">
        <v>2105</v>
      </c>
      <c r="E911" s="0" t="s">
        <v>2045</v>
      </c>
      <c r="F911" s="0" t="s">
        <v>2250</v>
      </c>
      <c r="G911" s="0" t="s">
        <v>2251</v>
      </c>
      <c r="H911" s="0" t="s">
        <v>2252</v>
      </c>
      <c r="J911" s="0" t="s">
        <v>2160</v>
      </c>
      <c r="K911" s="272" t="n">
        <v>224952.446</v>
      </c>
    </row>
    <row r="912" customFormat="false" ht="15" hidden="false" customHeight="false" outlineLevel="0" collapsed="false">
      <c r="A912" s="0" t="s">
        <v>2041</v>
      </c>
      <c r="B912" s="0" t="s">
        <v>2042</v>
      </c>
      <c r="C912" s="0" t="s">
        <v>2161</v>
      </c>
      <c r="D912" s="0" t="s">
        <v>2105</v>
      </c>
      <c r="E912" s="0" t="s">
        <v>2045</v>
      </c>
      <c r="F912" s="0" t="s">
        <v>2250</v>
      </c>
      <c r="G912" s="0" t="s">
        <v>2251</v>
      </c>
      <c r="H912" s="0" t="s">
        <v>2252</v>
      </c>
      <c r="J912" s="0" t="s">
        <v>2160</v>
      </c>
      <c r="K912" s="272" t="n">
        <v>206346.179</v>
      </c>
    </row>
    <row r="913" customFormat="false" ht="15" hidden="false" customHeight="false" outlineLevel="0" collapsed="false">
      <c r="A913" s="0" t="s">
        <v>2041</v>
      </c>
      <c r="B913" s="0" t="s">
        <v>2042</v>
      </c>
      <c r="C913" s="0" t="s">
        <v>2156</v>
      </c>
      <c r="D913" s="0" t="s">
        <v>2105</v>
      </c>
      <c r="E913" s="0" t="s">
        <v>2045</v>
      </c>
      <c r="F913" s="0" t="s">
        <v>2250</v>
      </c>
      <c r="G913" s="0" t="s">
        <v>2251</v>
      </c>
      <c r="H913" s="0" t="s">
        <v>2253</v>
      </c>
      <c r="J913" s="0" t="s">
        <v>2160</v>
      </c>
      <c r="K913" s="272" t="n">
        <v>2058486.214</v>
      </c>
    </row>
    <row r="914" customFormat="false" ht="15" hidden="false" customHeight="false" outlineLevel="0" collapsed="false">
      <c r="A914" s="0" t="s">
        <v>2041</v>
      </c>
      <c r="B914" s="0" t="s">
        <v>2042</v>
      </c>
      <c r="C914" s="0" t="s">
        <v>2161</v>
      </c>
      <c r="D914" s="0" t="s">
        <v>2105</v>
      </c>
      <c r="E914" s="0" t="s">
        <v>2045</v>
      </c>
      <c r="F914" s="0" t="s">
        <v>2250</v>
      </c>
      <c r="G914" s="0" t="s">
        <v>2251</v>
      </c>
      <c r="H914" s="0" t="s">
        <v>2253</v>
      </c>
      <c r="J914" s="0" t="s">
        <v>2160</v>
      </c>
      <c r="K914" s="272" t="n">
        <v>826469.421</v>
      </c>
    </row>
    <row r="915" customFormat="false" ht="15" hidden="false" customHeight="false" outlineLevel="0" collapsed="false">
      <c r="A915" s="0" t="s">
        <v>2041</v>
      </c>
      <c r="B915" s="0" t="s">
        <v>2042</v>
      </c>
      <c r="C915" s="0" t="s">
        <v>2156</v>
      </c>
      <c r="D915" s="0" t="s">
        <v>2105</v>
      </c>
      <c r="E915" s="0" t="s">
        <v>2045</v>
      </c>
      <c r="F915" s="0" t="s">
        <v>2250</v>
      </c>
      <c r="G915" s="0" t="s">
        <v>2251</v>
      </c>
      <c r="H915" s="0" t="s">
        <v>2253</v>
      </c>
      <c r="I915" s="0" t="s">
        <v>2254</v>
      </c>
      <c r="J915" s="0" t="s">
        <v>2160</v>
      </c>
      <c r="K915" s="272" t="n">
        <v>39338.37</v>
      </c>
    </row>
    <row r="916" customFormat="false" ht="15" hidden="false" customHeight="false" outlineLevel="0" collapsed="false">
      <c r="A916" s="0" t="s">
        <v>2041</v>
      </c>
      <c r="B916" s="0" t="s">
        <v>2042</v>
      </c>
      <c r="C916" s="0" t="s">
        <v>2161</v>
      </c>
      <c r="D916" s="0" t="s">
        <v>2105</v>
      </c>
      <c r="E916" s="0" t="s">
        <v>2045</v>
      </c>
      <c r="F916" s="0" t="s">
        <v>2250</v>
      </c>
      <c r="G916" s="0" t="s">
        <v>2251</v>
      </c>
      <c r="H916" s="0" t="s">
        <v>2253</v>
      </c>
      <c r="I916" s="0" t="s">
        <v>2254</v>
      </c>
      <c r="J916" s="0" t="s">
        <v>2160</v>
      </c>
      <c r="K916" s="272" t="n">
        <v>33964.47</v>
      </c>
    </row>
    <row r="917" customFormat="false" ht="15" hidden="false" customHeight="false" outlineLevel="0" collapsed="false">
      <c r="A917" s="0" t="s">
        <v>2041</v>
      </c>
      <c r="B917" s="0" t="s">
        <v>2042</v>
      </c>
      <c r="C917" s="0" t="s">
        <v>2156</v>
      </c>
      <c r="D917" s="0" t="s">
        <v>2105</v>
      </c>
      <c r="E917" s="0" t="s">
        <v>2045</v>
      </c>
      <c r="F917" s="0" t="s">
        <v>2250</v>
      </c>
      <c r="G917" s="0" t="s">
        <v>2251</v>
      </c>
      <c r="H917" s="0" t="s">
        <v>2253</v>
      </c>
      <c r="I917" s="0" t="s">
        <v>2197</v>
      </c>
      <c r="J917" s="0" t="s">
        <v>2160</v>
      </c>
      <c r="K917" s="272" t="n">
        <v>-256907</v>
      </c>
    </row>
    <row r="918" customFormat="false" ht="15" hidden="false" customHeight="false" outlineLevel="0" collapsed="false">
      <c r="A918" s="0" t="s">
        <v>2041</v>
      </c>
      <c r="B918" s="0" t="s">
        <v>2042</v>
      </c>
      <c r="C918" s="0" t="s">
        <v>2161</v>
      </c>
      <c r="D918" s="0" t="s">
        <v>2105</v>
      </c>
      <c r="E918" s="0" t="s">
        <v>2045</v>
      </c>
      <c r="F918" s="0" t="s">
        <v>2250</v>
      </c>
      <c r="G918" s="0" t="s">
        <v>2251</v>
      </c>
      <c r="H918" s="0" t="s">
        <v>2253</v>
      </c>
      <c r="I918" s="0" t="s">
        <v>2197</v>
      </c>
      <c r="J918" s="0" t="s">
        <v>2160</v>
      </c>
      <c r="K918" s="272" t="n">
        <v>-46243.26</v>
      </c>
    </row>
    <row r="919" customFormat="false" ht="15" hidden="false" customHeight="false" outlineLevel="0" collapsed="false">
      <c r="A919" s="0" t="s">
        <v>2041</v>
      </c>
      <c r="B919" s="0" t="s">
        <v>2042</v>
      </c>
      <c r="C919" s="0" t="s">
        <v>2156</v>
      </c>
      <c r="D919" s="0" t="s">
        <v>2105</v>
      </c>
      <c r="E919" s="0" t="s">
        <v>2045</v>
      </c>
      <c r="F919" s="0" t="s">
        <v>2250</v>
      </c>
      <c r="G919" s="0" t="s">
        <v>2251</v>
      </c>
      <c r="H919" s="0" t="s">
        <v>2255</v>
      </c>
      <c r="J919" s="0" t="s">
        <v>2160</v>
      </c>
      <c r="K919" s="272" t="n">
        <v>440447.92</v>
      </c>
    </row>
    <row r="920" customFormat="false" ht="15" hidden="false" customHeight="false" outlineLevel="0" collapsed="false">
      <c r="A920" s="0" t="s">
        <v>2041</v>
      </c>
      <c r="B920" s="0" t="s">
        <v>2042</v>
      </c>
      <c r="C920" s="0" t="s">
        <v>2161</v>
      </c>
      <c r="D920" s="0" t="s">
        <v>2105</v>
      </c>
      <c r="E920" s="0" t="s">
        <v>2045</v>
      </c>
      <c r="F920" s="0" t="s">
        <v>2250</v>
      </c>
      <c r="G920" s="0" t="s">
        <v>2251</v>
      </c>
      <c r="H920" s="0" t="s">
        <v>2255</v>
      </c>
      <c r="J920" s="0" t="s">
        <v>2160</v>
      </c>
      <c r="K920" s="272" t="n">
        <v>212224.1</v>
      </c>
    </row>
    <row r="921" customFormat="false" ht="15" hidden="false" customHeight="false" outlineLevel="0" collapsed="false">
      <c r="A921" s="0" t="s">
        <v>2041</v>
      </c>
      <c r="B921" s="0" t="s">
        <v>2042</v>
      </c>
      <c r="C921" s="0" t="s">
        <v>2156</v>
      </c>
      <c r="D921" s="0" t="s">
        <v>2105</v>
      </c>
      <c r="E921" s="0" t="s">
        <v>2045</v>
      </c>
      <c r="F921" s="0" t="s">
        <v>2256</v>
      </c>
      <c r="G921" s="0" t="s">
        <v>2257</v>
      </c>
      <c r="H921" s="0" t="s">
        <v>2179</v>
      </c>
      <c r="J921" s="0" t="s">
        <v>2160</v>
      </c>
      <c r="K921" s="272" t="n">
        <v>-2997185.29</v>
      </c>
    </row>
    <row r="922" customFormat="false" ht="15" hidden="false" customHeight="false" outlineLevel="0" collapsed="false">
      <c r="A922" s="0" t="s">
        <v>2041</v>
      </c>
      <c r="B922" s="0" t="s">
        <v>2042</v>
      </c>
      <c r="C922" s="0" t="s">
        <v>2161</v>
      </c>
      <c r="D922" s="0" t="s">
        <v>2105</v>
      </c>
      <c r="E922" s="0" t="s">
        <v>2045</v>
      </c>
      <c r="F922" s="0" t="s">
        <v>2256</v>
      </c>
      <c r="G922" s="0" t="s">
        <v>2257</v>
      </c>
      <c r="H922" s="0" t="s">
        <v>2179</v>
      </c>
      <c r="J922" s="0" t="s">
        <v>2160</v>
      </c>
      <c r="K922" s="272" t="n">
        <v>-907738.46</v>
      </c>
    </row>
    <row r="923" customFormat="false" ht="15" hidden="false" customHeight="false" outlineLevel="0" collapsed="false">
      <c r="A923" s="0" t="s">
        <v>2041</v>
      </c>
      <c r="B923" s="0" t="s">
        <v>2042</v>
      </c>
      <c r="C923" s="0" t="s">
        <v>2156</v>
      </c>
      <c r="D923" s="0" t="s">
        <v>2105</v>
      </c>
      <c r="E923" s="0" t="s">
        <v>2045</v>
      </c>
      <c r="F923" s="0" t="s">
        <v>2256</v>
      </c>
      <c r="G923" s="0" t="s">
        <v>2257</v>
      </c>
      <c r="H923" s="0" t="s">
        <v>2258</v>
      </c>
      <c r="J923" s="0" t="s">
        <v>2160</v>
      </c>
      <c r="K923" s="272" t="n">
        <v>12976689</v>
      </c>
    </row>
    <row r="924" customFormat="false" ht="15" hidden="false" customHeight="false" outlineLevel="0" collapsed="false">
      <c r="A924" s="0" t="s">
        <v>2041</v>
      </c>
      <c r="B924" s="0" t="s">
        <v>2042</v>
      </c>
      <c r="C924" s="0" t="s">
        <v>2161</v>
      </c>
      <c r="D924" s="0" t="s">
        <v>2105</v>
      </c>
      <c r="E924" s="0" t="s">
        <v>2045</v>
      </c>
      <c r="F924" s="0" t="s">
        <v>2256</v>
      </c>
      <c r="G924" s="0" t="s">
        <v>2257</v>
      </c>
      <c r="H924" s="0" t="s">
        <v>2258</v>
      </c>
      <c r="J924" s="0" t="s">
        <v>2160</v>
      </c>
      <c r="K924" s="272" t="n">
        <v>1932271.44</v>
      </c>
    </row>
    <row r="925" customFormat="false" ht="15" hidden="false" customHeight="false" outlineLevel="0" collapsed="false">
      <c r="A925" s="0" t="s">
        <v>2041</v>
      </c>
      <c r="B925" s="0" t="s">
        <v>2042</v>
      </c>
      <c r="C925" s="0" t="s">
        <v>2156</v>
      </c>
      <c r="D925" s="0" t="s">
        <v>2105</v>
      </c>
      <c r="E925" s="0" t="s">
        <v>2045</v>
      </c>
      <c r="F925" s="0" t="s">
        <v>2256</v>
      </c>
      <c r="G925" s="0" t="s">
        <v>2259</v>
      </c>
      <c r="H925" s="0" t="s">
        <v>2258</v>
      </c>
      <c r="J925" s="0" t="s">
        <v>2160</v>
      </c>
      <c r="K925" s="272" t="n">
        <v>77061442.8100001</v>
      </c>
    </row>
    <row r="926" customFormat="false" ht="15" hidden="false" customHeight="false" outlineLevel="0" collapsed="false">
      <c r="A926" s="0" t="s">
        <v>2041</v>
      </c>
      <c r="B926" s="0" t="s">
        <v>2042</v>
      </c>
      <c r="C926" s="0" t="s">
        <v>2161</v>
      </c>
      <c r="D926" s="0" t="s">
        <v>2105</v>
      </c>
      <c r="E926" s="0" t="s">
        <v>2045</v>
      </c>
      <c r="F926" s="0" t="s">
        <v>2256</v>
      </c>
      <c r="G926" s="0" t="s">
        <v>2259</v>
      </c>
      <c r="H926" s="0" t="s">
        <v>2258</v>
      </c>
      <c r="J926" s="0" t="s">
        <v>2160</v>
      </c>
      <c r="K926" s="272" t="n">
        <v>11739543.3</v>
      </c>
    </row>
    <row r="927" customFormat="false" ht="15" hidden="false" customHeight="false" outlineLevel="0" collapsed="false">
      <c r="A927" s="0" t="s">
        <v>2041</v>
      </c>
      <c r="B927" s="0" t="s">
        <v>2042</v>
      </c>
      <c r="C927" s="0" t="s">
        <v>2156</v>
      </c>
      <c r="D927" s="0" t="s">
        <v>2105</v>
      </c>
      <c r="E927" s="0" t="s">
        <v>2045</v>
      </c>
      <c r="F927" s="0" t="s">
        <v>2256</v>
      </c>
      <c r="G927" s="0" t="s">
        <v>2259</v>
      </c>
      <c r="H927" s="0" t="s">
        <v>2258</v>
      </c>
      <c r="I927" s="0" t="s">
        <v>2124</v>
      </c>
      <c r="J927" s="0" t="s">
        <v>2160</v>
      </c>
      <c r="K927" s="272" t="n">
        <v>-7039663.92</v>
      </c>
    </row>
    <row r="928" customFormat="false" ht="15" hidden="false" customHeight="false" outlineLevel="0" collapsed="false">
      <c r="A928" s="0" t="s">
        <v>2041</v>
      </c>
      <c r="B928" s="0" t="s">
        <v>2042</v>
      </c>
      <c r="C928" s="0" t="s">
        <v>2161</v>
      </c>
      <c r="D928" s="0" t="s">
        <v>2105</v>
      </c>
      <c r="E928" s="0" t="s">
        <v>2045</v>
      </c>
      <c r="F928" s="0" t="s">
        <v>2256</v>
      </c>
      <c r="G928" s="0" t="s">
        <v>2259</v>
      </c>
      <c r="H928" s="0" t="s">
        <v>2258</v>
      </c>
      <c r="I928" s="0" t="s">
        <v>2124</v>
      </c>
      <c r="J928" s="0" t="s">
        <v>2160</v>
      </c>
      <c r="K928" s="272" t="n">
        <v>-489110.67</v>
      </c>
    </row>
    <row r="929" customFormat="false" ht="15" hidden="false" customHeight="false" outlineLevel="0" collapsed="false">
      <c r="A929" s="0" t="s">
        <v>2041</v>
      </c>
      <c r="B929" s="0" t="s">
        <v>2042</v>
      </c>
      <c r="C929" s="0" t="s">
        <v>2156</v>
      </c>
      <c r="D929" s="0" t="s">
        <v>2105</v>
      </c>
      <c r="E929" s="0" t="s">
        <v>2045</v>
      </c>
      <c r="F929" s="0" t="s">
        <v>2256</v>
      </c>
      <c r="G929" s="0" t="s">
        <v>2259</v>
      </c>
      <c r="H929" s="0" t="s">
        <v>2258</v>
      </c>
      <c r="I929" s="0" t="s">
        <v>2101</v>
      </c>
      <c r="J929" s="0" t="s">
        <v>2160</v>
      </c>
      <c r="K929" s="272" t="n">
        <v>313020.64</v>
      </c>
    </row>
    <row r="930" customFormat="false" ht="15" hidden="false" customHeight="false" outlineLevel="0" collapsed="false">
      <c r="A930" s="0" t="s">
        <v>2041</v>
      </c>
      <c r="B930" s="0" t="s">
        <v>2042</v>
      </c>
      <c r="C930" s="0" t="s">
        <v>2161</v>
      </c>
      <c r="D930" s="0" t="s">
        <v>2105</v>
      </c>
      <c r="E930" s="0" t="s">
        <v>2045</v>
      </c>
      <c r="F930" s="0" t="s">
        <v>2256</v>
      </c>
      <c r="G930" s="0" t="s">
        <v>2259</v>
      </c>
      <c r="H930" s="0" t="s">
        <v>2258</v>
      </c>
      <c r="I930" s="0" t="s">
        <v>2101</v>
      </c>
      <c r="J930" s="0" t="s">
        <v>2160</v>
      </c>
      <c r="K930" s="272" t="n">
        <v>89923.06</v>
      </c>
    </row>
    <row r="931" customFormat="false" ht="15" hidden="false" customHeight="false" outlineLevel="0" collapsed="false">
      <c r="A931" s="0" t="s">
        <v>2041</v>
      </c>
      <c r="B931" s="0" t="s">
        <v>2042</v>
      </c>
      <c r="C931" s="0" t="s">
        <v>2156</v>
      </c>
      <c r="D931" s="0" t="s">
        <v>2105</v>
      </c>
      <c r="E931" s="0" t="s">
        <v>2045</v>
      </c>
      <c r="F931" s="0" t="s">
        <v>2256</v>
      </c>
      <c r="G931" s="0" t="s">
        <v>2260</v>
      </c>
      <c r="H931" s="0" t="s">
        <v>2261</v>
      </c>
      <c r="J931" s="0" t="s">
        <v>2160</v>
      </c>
      <c r="K931" s="272" t="n">
        <v>7001035.59</v>
      </c>
    </row>
    <row r="932" customFormat="false" ht="15" hidden="false" customHeight="false" outlineLevel="0" collapsed="false">
      <c r="A932" s="0" t="s">
        <v>2041</v>
      </c>
      <c r="B932" s="0" t="s">
        <v>2042</v>
      </c>
      <c r="C932" s="0" t="s">
        <v>2161</v>
      </c>
      <c r="D932" s="0" t="s">
        <v>2105</v>
      </c>
      <c r="E932" s="0" t="s">
        <v>2045</v>
      </c>
      <c r="F932" s="0" t="s">
        <v>2256</v>
      </c>
      <c r="G932" s="0" t="s">
        <v>2260</v>
      </c>
      <c r="H932" s="0" t="s">
        <v>2261</v>
      </c>
      <c r="J932" s="0" t="s">
        <v>2160</v>
      </c>
      <c r="K932" s="272" t="n">
        <v>1548244.3</v>
      </c>
    </row>
    <row r="933" customFormat="false" ht="15" hidden="false" customHeight="false" outlineLevel="0" collapsed="false">
      <c r="A933" s="0" t="s">
        <v>2041</v>
      </c>
      <c r="B933" s="0" t="s">
        <v>2042</v>
      </c>
      <c r="C933" s="0" t="s">
        <v>2156</v>
      </c>
      <c r="D933" s="0" t="s">
        <v>2105</v>
      </c>
      <c r="E933" s="0" t="s">
        <v>2045</v>
      </c>
      <c r="F933" s="0" t="s">
        <v>2256</v>
      </c>
      <c r="G933" s="0" t="s">
        <v>2260</v>
      </c>
      <c r="H933" s="0" t="s">
        <v>2261</v>
      </c>
      <c r="I933" s="0" t="s">
        <v>2124</v>
      </c>
      <c r="J933" s="0" t="s">
        <v>2160</v>
      </c>
      <c r="K933" s="272" t="n">
        <v>-333362.02</v>
      </c>
    </row>
    <row r="934" customFormat="false" ht="15" hidden="false" customHeight="false" outlineLevel="0" collapsed="false">
      <c r="A934" s="0" t="s">
        <v>2041</v>
      </c>
      <c r="B934" s="0" t="s">
        <v>2042</v>
      </c>
      <c r="C934" s="0" t="s">
        <v>2161</v>
      </c>
      <c r="D934" s="0" t="s">
        <v>2105</v>
      </c>
      <c r="E934" s="0" t="s">
        <v>2045</v>
      </c>
      <c r="F934" s="0" t="s">
        <v>2256</v>
      </c>
      <c r="G934" s="0" t="s">
        <v>2260</v>
      </c>
      <c r="H934" s="0" t="s">
        <v>2261</v>
      </c>
      <c r="I934" s="0" t="s">
        <v>2124</v>
      </c>
      <c r="J934" s="0" t="s">
        <v>2160</v>
      </c>
      <c r="K934" s="272" t="n">
        <v>-60761.52</v>
      </c>
    </row>
    <row r="935" customFormat="false" ht="15" hidden="false" customHeight="false" outlineLevel="0" collapsed="false">
      <c r="A935" s="0" t="s">
        <v>2041</v>
      </c>
      <c r="B935" s="0" t="s">
        <v>2042</v>
      </c>
      <c r="C935" s="0" t="s">
        <v>2156</v>
      </c>
      <c r="D935" s="0" t="s">
        <v>2105</v>
      </c>
      <c r="E935" s="0" t="s">
        <v>2045</v>
      </c>
      <c r="F935" s="0" t="s">
        <v>2256</v>
      </c>
      <c r="G935" s="0" t="s">
        <v>2262</v>
      </c>
      <c r="H935" s="0" t="s">
        <v>2263</v>
      </c>
      <c r="J935" s="0" t="s">
        <v>2160</v>
      </c>
      <c r="K935" s="272" t="n">
        <v>4547537.465</v>
      </c>
    </row>
    <row r="936" customFormat="false" ht="15" hidden="false" customHeight="false" outlineLevel="0" collapsed="false">
      <c r="A936" s="0" t="s">
        <v>2041</v>
      </c>
      <c r="B936" s="0" t="s">
        <v>2042</v>
      </c>
      <c r="C936" s="0" t="s">
        <v>2161</v>
      </c>
      <c r="D936" s="0" t="s">
        <v>2105</v>
      </c>
      <c r="E936" s="0" t="s">
        <v>2045</v>
      </c>
      <c r="F936" s="0" t="s">
        <v>2256</v>
      </c>
      <c r="G936" s="0" t="s">
        <v>2262</v>
      </c>
      <c r="H936" s="0" t="s">
        <v>2263</v>
      </c>
      <c r="J936" s="0" t="s">
        <v>2160</v>
      </c>
      <c r="K936" s="272" t="n">
        <v>617158.415</v>
      </c>
    </row>
    <row r="937" customFormat="false" ht="15" hidden="false" customHeight="false" outlineLevel="0" collapsed="false">
      <c r="A937" s="0" t="s">
        <v>2041</v>
      </c>
      <c r="B937" s="0" t="s">
        <v>2042</v>
      </c>
      <c r="C937" s="0" t="s">
        <v>2156</v>
      </c>
      <c r="D937" s="0" t="s">
        <v>2105</v>
      </c>
      <c r="E937" s="0" t="s">
        <v>2045</v>
      </c>
      <c r="F937" s="0" t="s">
        <v>2256</v>
      </c>
      <c r="G937" s="0" t="s">
        <v>2262</v>
      </c>
      <c r="H937" s="0" t="s">
        <v>2264</v>
      </c>
      <c r="J937" s="0" t="s">
        <v>2160</v>
      </c>
      <c r="K937" s="272" t="n">
        <v>37428857.1375</v>
      </c>
    </row>
    <row r="938" customFormat="false" ht="15" hidden="false" customHeight="false" outlineLevel="0" collapsed="false">
      <c r="A938" s="0" t="s">
        <v>2041</v>
      </c>
      <c r="B938" s="0" t="s">
        <v>2042</v>
      </c>
      <c r="C938" s="0" t="s">
        <v>2161</v>
      </c>
      <c r="D938" s="0" t="s">
        <v>2105</v>
      </c>
      <c r="E938" s="0" t="s">
        <v>2045</v>
      </c>
      <c r="F938" s="0" t="s">
        <v>2256</v>
      </c>
      <c r="G938" s="0" t="s">
        <v>2262</v>
      </c>
      <c r="H938" s="0" t="s">
        <v>2264</v>
      </c>
      <c r="J938" s="0" t="s">
        <v>2160</v>
      </c>
      <c r="K938" s="272" t="n">
        <v>5134037.1225</v>
      </c>
    </row>
    <row r="939" customFormat="false" ht="15" hidden="false" customHeight="false" outlineLevel="0" collapsed="false">
      <c r="A939" s="0" t="s">
        <v>2041</v>
      </c>
      <c r="B939" s="0" t="s">
        <v>2042</v>
      </c>
      <c r="C939" s="0" t="s">
        <v>2156</v>
      </c>
      <c r="D939" s="0" t="s">
        <v>2105</v>
      </c>
      <c r="E939" s="0" t="s">
        <v>2045</v>
      </c>
      <c r="F939" s="0" t="s">
        <v>2256</v>
      </c>
      <c r="G939" s="0" t="s">
        <v>2262</v>
      </c>
      <c r="H939" s="0" t="s">
        <v>2264</v>
      </c>
      <c r="I939" s="0" t="s">
        <v>2124</v>
      </c>
      <c r="J939" s="0" t="s">
        <v>2160</v>
      </c>
      <c r="K939" s="272" t="n">
        <v>-5619577.97</v>
      </c>
    </row>
    <row r="940" customFormat="false" ht="15" hidden="false" customHeight="false" outlineLevel="0" collapsed="false">
      <c r="A940" s="0" t="s">
        <v>2041</v>
      </c>
      <c r="B940" s="0" t="s">
        <v>2042</v>
      </c>
      <c r="C940" s="0" t="s">
        <v>2161</v>
      </c>
      <c r="D940" s="0" t="s">
        <v>2105</v>
      </c>
      <c r="E940" s="0" t="s">
        <v>2045</v>
      </c>
      <c r="F940" s="0" t="s">
        <v>2256</v>
      </c>
      <c r="G940" s="0" t="s">
        <v>2262</v>
      </c>
      <c r="H940" s="0" t="s">
        <v>2264</v>
      </c>
      <c r="I940" s="0" t="s">
        <v>2124</v>
      </c>
      <c r="J940" s="0" t="s">
        <v>2160</v>
      </c>
      <c r="K940" s="272" t="n">
        <v>-737367.58</v>
      </c>
    </row>
    <row r="941" customFormat="false" ht="15" hidden="false" customHeight="false" outlineLevel="0" collapsed="false">
      <c r="A941" s="0" t="s">
        <v>2041</v>
      </c>
      <c r="B941" s="0" t="s">
        <v>2042</v>
      </c>
      <c r="C941" s="0" t="s">
        <v>2156</v>
      </c>
      <c r="D941" s="0" t="s">
        <v>2105</v>
      </c>
      <c r="E941" s="0" t="s">
        <v>2045</v>
      </c>
      <c r="F941" s="0" t="s">
        <v>2256</v>
      </c>
      <c r="G941" s="0" t="s">
        <v>2262</v>
      </c>
      <c r="H941" s="0" t="s">
        <v>2265</v>
      </c>
      <c r="J941" s="0" t="s">
        <v>2160</v>
      </c>
      <c r="K941" s="272" t="n">
        <v>5511761.4675</v>
      </c>
    </row>
    <row r="942" customFormat="false" ht="15" hidden="false" customHeight="false" outlineLevel="0" collapsed="false">
      <c r="A942" s="0" t="s">
        <v>2041</v>
      </c>
      <c r="B942" s="0" t="s">
        <v>2042</v>
      </c>
      <c r="C942" s="0" t="s">
        <v>2161</v>
      </c>
      <c r="D942" s="0" t="s">
        <v>2105</v>
      </c>
      <c r="E942" s="0" t="s">
        <v>2045</v>
      </c>
      <c r="F942" s="0" t="s">
        <v>2256</v>
      </c>
      <c r="G942" s="0" t="s">
        <v>2262</v>
      </c>
      <c r="H942" s="0" t="s">
        <v>2265</v>
      </c>
      <c r="J942" s="0" t="s">
        <v>2160</v>
      </c>
      <c r="K942" s="272" t="n">
        <v>758043.1625</v>
      </c>
    </row>
    <row r="943" customFormat="false" ht="15" hidden="false" customHeight="false" outlineLevel="0" collapsed="false">
      <c r="A943" s="0" t="s">
        <v>2041</v>
      </c>
      <c r="B943" s="0" t="s">
        <v>2042</v>
      </c>
      <c r="C943" s="0" t="s">
        <v>2156</v>
      </c>
      <c r="D943" s="0" t="s">
        <v>2105</v>
      </c>
      <c r="E943" s="0" t="s">
        <v>2045</v>
      </c>
      <c r="F943" s="0" t="s">
        <v>2256</v>
      </c>
      <c r="G943" s="0" t="s">
        <v>2266</v>
      </c>
      <c r="H943" s="0" t="s">
        <v>2267</v>
      </c>
      <c r="J943" s="0" t="s">
        <v>2160</v>
      </c>
      <c r="K943" s="272" t="n">
        <v>58684692.8900001</v>
      </c>
    </row>
    <row r="944" customFormat="false" ht="15" hidden="false" customHeight="false" outlineLevel="0" collapsed="false">
      <c r="A944" s="0" t="s">
        <v>2041</v>
      </c>
      <c r="B944" s="0" t="s">
        <v>2042</v>
      </c>
      <c r="C944" s="0" t="s">
        <v>2161</v>
      </c>
      <c r="D944" s="0" t="s">
        <v>2105</v>
      </c>
      <c r="E944" s="0" t="s">
        <v>2045</v>
      </c>
      <c r="F944" s="0" t="s">
        <v>2256</v>
      </c>
      <c r="G944" s="0" t="s">
        <v>2266</v>
      </c>
      <c r="H944" s="0" t="s">
        <v>2267</v>
      </c>
      <c r="J944" s="0" t="s">
        <v>2160</v>
      </c>
      <c r="K944" s="272" t="n">
        <v>8406843.09</v>
      </c>
    </row>
    <row r="945" customFormat="false" ht="15" hidden="false" customHeight="false" outlineLevel="0" collapsed="false">
      <c r="A945" s="0" t="s">
        <v>2041</v>
      </c>
      <c r="B945" s="0" t="s">
        <v>2042</v>
      </c>
      <c r="C945" s="0" t="s">
        <v>2156</v>
      </c>
      <c r="D945" s="0" t="s">
        <v>2105</v>
      </c>
      <c r="E945" s="0" t="s">
        <v>2045</v>
      </c>
      <c r="F945" s="0" t="s">
        <v>2256</v>
      </c>
      <c r="G945" s="0" t="s">
        <v>2266</v>
      </c>
      <c r="H945" s="0" t="s">
        <v>2267</v>
      </c>
      <c r="I945" s="0" t="s">
        <v>2124</v>
      </c>
      <c r="J945" s="0" t="s">
        <v>2160</v>
      </c>
      <c r="K945" s="272" t="n">
        <v>-1818937.89</v>
      </c>
    </row>
    <row r="946" customFormat="false" ht="15" hidden="false" customHeight="false" outlineLevel="0" collapsed="false">
      <c r="A946" s="0" t="s">
        <v>2041</v>
      </c>
      <c r="B946" s="0" t="s">
        <v>2042</v>
      </c>
      <c r="C946" s="0" t="s">
        <v>2161</v>
      </c>
      <c r="D946" s="0" t="s">
        <v>2105</v>
      </c>
      <c r="E946" s="0" t="s">
        <v>2045</v>
      </c>
      <c r="F946" s="0" t="s">
        <v>2256</v>
      </c>
      <c r="G946" s="0" t="s">
        <v>2266</v>
      </c>
      <c r="H946" s="0" t="s">
        <v>2267</v>
      </c>
      <c r="I946" s="0" t="s">
        <v>2124</v>
      </c>
      <c r="J946" s="0" t="s">
        <v>2160</v>
      </c>
      <c r="K946" s="272" t="n">
        <v>528100.53</v>
      </c>
    </row>
    <row r="947" customFormat="false" ht="15" hidden="false" customHeight="false" outlineLevel="0" collapsed="false">
      <c r="A947" s="0" t="s">
        <v>2041</v>
      </c>
      <c r="B947" s="0" t="s">
        <v>2042</v>
      </c>
      <c r="C947" s="0" t="s">
        <v>2156</v>
      </c>
      <c r="D947" s="0" t="s">
        <v>2105</v>
      </c>
      <c r="E947" s="0" t="s">
        <v>2045</v>
      </c>
      <c r="F947" s="0" t="s">
        <v>2268</v>
      </c>
      <c r="G947" s="0" t="s">
        <v>2269</v>
      </c>
      <c r="H947" s="0" t="s">
        <v>2270</v>
      </c>
      <c r="J947" s="0" t="s">
        <v>2160</v>
      </c>
      <c r="K947" s="272" t="n">
        <v>5969070.43</v>
      </c>
    </row>
    <row r="948" customFormat="false" ht="15" hidden="false" customHeight="false" outlineLevel="0" collapsed="false">
      <c r="A948" s="0" t="s">
        <v>2041</v>
      </c>
      <c r="B948" s="0" t="s">
        <v>2042</v>
      </c>
      <c r="C948" s="0" t="s">
        <v>2161</v>
      </c>
      <c r="D948" s="0" t="s">
        <v>2105</v>
      </c>
      <c r="E948" s="0" t="s">
        <v>2045</v>
      </c>
      <c r="F948" s="0" t="s">
        <v>2268</v>
      </c>
      <c r="G948" s="0" t="s">
        <v>2269</v>
      </c>
      <c r="H948" s="0" t="s">
        <v>2270</v>
      </c>
      <c r="J948" s="0" t="s">
        <v>2160</v>
      </c>
      <c r="K948" s="272" t="n">
        <v>1273028.72</v>
      </c>
    </row>
    <row r="949" customFormat="false" ht="15" hidden="false" customHeight="false" outlineLevel="0" collapsed="false">
      <c r="A949" s="0" t="s">
        <v>2041</v>
      </c>
      <c r="B949" s="0" t="s">
        <v>2042</v>
      </c>
      <c r="C949" s="0" t="s">
        <v>2156</v>
      </c>
      <c r="D949" s="0" t="s">
        <v>2105</v>
      </c>
      <c r="E949" s="0" t="s">
        <v>2045</v>
      </c>
      <c r="F949" s="0" t="s">
        <v>2268</v>
      </c>
      <c r="G949" s="0" t="s">
        <v>2269</v>
      </c>
      <c r="H949" s="0" t="s">
        <v>2270</v>
      </c>
      <c r="I949" s="0" t="s">
        <v>2124</v>
      </c>
      <c r="J949" s="0" t="s">
        <v>2160</v>
      </c>
      <c r="K949" s="272" t="n">
        <v>3358455.23</v>
      </c>
    </row>
    <row r="950" customFormat="false" ht="15" hidden="false" customHeight="false" outlineLevel="0" collapsed="false">
      <c r="A950" s="0" t="s">
        <v>2041</v>
      </c>
      <c r="B950" s="0" t="s">
        <v>2042</v>
      </c>
      <c r="C950" s="0" t="s">
        <v>2161</v>
      </c>
      <c r="D950" s="0" t="s">
        <v>2105</v>
      </c>
      <c r="E950" s="0" t="s">
        <v>2045</v>
      </c>
      <c r="F950" s="0" t="s">
        <v>2268</v>
      </c>
      <c r="G950" s="0" t="s">
        <v>2269</v>
      </c>
      <c r="H950" s="0" t="s">
        <v>2270</v>
      </c>
      <c r="I950" s="0" t="s">
        <v>2124</v>
      </c>
      <c r="J950" s="0" t="s">
        <v>2160</v>
      </c>
      <c r="K950" s="272" t="n">
        <v>676689.34</v>
      </c>
    </row>
    <row r="951" customFormat="false" ht="15" hidden="false" customHeight="false" outlineLevel="0" collapsed="false">
      <c r="A951" s="0" t="s">
        <v>2041</v>
      </c>
      <c r="B951" s="0" t="s">
        <v>2042</v>
      </c>
      <c r="C951" s="0" t="s">
        <v>2156</v>
      </c>
      <c r="D951" s="0" t="s">
        <v>2105</v>
      </c>
      <c r="E951" s="0" t="s">
        <v>2045</v>
      </c>
      <c r="F951" s="0" t="s">
        <v>2150</v>
      </c>
      <c r="G951" s="0" t="s">
        <v>2151</v>
      </c>
      <c r="H951" s="0" t="s">
        <v>2271</v>
      </c>
      <c r="I951" s="0" t="s">
        <v>2272</v>
      </c>
      <c r="J951" s="0" t="s">
        <v>2160</v>
      </c>
      <c r="K951" s="272" t="n">
        <v>25602.11</v>
      </c>
    </row>
    <row r="952" customFormat="false" ht="15" hidden="false" customHeight="false" outlineLevel="0" collapsed="false">
      <c r="A952" s="0" t="s">
        <v>2041</v>
      </c>
      <c r="B952" s="0" t="s">
        <v>2042</v>
      </c>
      <c r="C952" s="0" t="s">
        <v>2161</v>
      </c>
      <c r="D952" s="0" t="s">
        <v>2105</v>
      </c>
      <c r="E952" s="0" t="s">
        <v>2045</v>
      </c>
      <c r="F952" s="0" t="s">
        <v>2150</v>
      </c>
      <c r="G952" s="0" t="s">
        <v>2151</v>
      </c>
      <c r="H952" s="0" t="s">
        <v>2271</v>
      </c>
      <c r="I952" s="0" t="s">
        <v>2272</v>
      </c>
      <c r="J952" s="0" t="s">
        <v>2160</v>
      </c>
      <c r="K952" s="272" t="n">
        <v>9949.84</v>
      </c>
    </row>
    <row r="953" customFormat="false" ht="15" hidden="false" customHeight="false" outlineLevel="0" collapsed="false">
      <c r="A953" s="0" t="s">
        <v>2041</v>
      </c>
      <c r="B953" s="0" t="s">
        <v>2042</v>
      </c>
      <c r="C953" s="0" t="s">
        <v>2156</v>
      </c>
      <c r="D953" s="0" t="s">
        <v>2105</v>
      </c>
      <c r="E953" s="0" t="s">
        <v>2045</v>
      </c>
      <c r="F953" s="0" t="s">
        <v>2150</v>
      </c>
      <c r="G953" s="0" t="s">
        <v>2151</v>
      </c>
      <c r="H953" s="0" t="s">
        <v>2152</v>
      </c>
      <c r="J953" s="0" t="s">
        <v>2160</v>
      </c>
      <c r="K953" s="272" t="n">
        <v>3371630.21</v>
      </c>
    </row>
    <row r="954" customFormat="false" ht="15" hidden="false" customHeight="false" outlineLevel="0" collapsed="false">
      <c r="A954" s="0" t="s">
        <v>2041</v>
      </c>
      <c r="B954" s="0" t="s">
        <v>2042</v>
      </c>
      <c r="C954" s="0" t="s">
        <v>2161</v>
      </c>
      <c r="D954" s="0" t="s">
        <v>2105</v>
      </c>
      <c r="E954" s="0" t="s">
        <v>2045</v>
      </c>
      <c r="F954" s="0" t="s">
        <v>2150</v>
      </c>
      <c r="G954" s="0" t="s">
        <v>2151</v>
      </c>
      <c r="H954" s="0" t="s">
        <v>2152</v>
      </c>
      <c r="J954" s="0" t="s">
        <v>2160</v>
      </c>
      <c r="K954" s="272" t="n">
        <v>1255259.42</v>
      </c>
    </row>
    <row r="955" customFormat="false" ht="15" hidden="false" customHeight="false" outlineLevel="0" collapsed="false">
      <c r="A955" s="0" t="s">
        <v>2041</v>
      </c>
      <c r="B955" s="0" t="s">
        <v>2042</v>
      </c>
      <c r="C955" s="0" t="s">
        <v>2156</v>
      </c>
      <c r="D955" s="0" t="s">
        <v>2105</v>
      </c>
      <c r="E955" s="0" t="s">
        <v>2045</v>
      </c>
      <c r="F955" s="0" t="s">
        <v>2150</v>
      </c>
      <c r="G955" s="0" t="s">
        <v>2151</v>
      </c>
      <c r="H955" s="0" t="s">
        <v>2273</v>
      </c>
      <c r="I955" s="0" t="s">
        <v>2272</v>
      </c>
      <c r="J955" s="0" t="s">
        <v>2160</v>
      </c>
      <c r="K955" s="272" t="n">
        <v>27176.98</v>
      </c>
    </row>
    <row r="956" customFormat="false" ht="15" hidden="false" customHeight="false" outlineLevel="0" collapsed="false">
      <c r="A956" s="0" t="s">
        <v>2041</v>
      </c>
      <c r="B956" s="0" t="s">
        <v>2042</v>
      </c>
      <c r="C956" s="0" t="s">
        <v>2161</v>
      </c>
      <c r="D956" s="0" t="s">
        <v>2105</v>
      </c>
      <c r="E956" s="0" t="s">
        <v>2045</v>
      </c>
      <c r="F956" s="0" t="s">
        <v>2150</v>
      </c>
      <c r="G956" s="0" t="s">
        <v>2151</v>
      </c>
      <c r="H956" s="0" t="s">
        <v>2273</v>
      </c>
      <c r="I956" s="0" t="s">
        <v>2272</v>
      </c>
      <c r="J956" s="0" t="s">
        <v>2160</v>
      </c>
      <c r="K956" s="272" t="n">
        <v>10465.55</v>
      </c>
    </row>
    <row r="957" customFormat="false" ht="15" hidden="false" customHeight="false" outlineLevel="0" collapsed="false">
      <c r="A957" s="0" t="s">
        <v>2041</v>
      </c>
      <c r="B957" s="0" t="s">
        <v>2042</v>
      </c>
      <c r="C957" s="0" t="s">
        <v>2156</v>
      </c>
      <c r="D957" s="0" t="s">
        <v>2105</v>
      </c>
      <c r="E957" s="0" t="s">
        <v>2045</v>
      </c>
      <c r="F957" s="0" t="s">
        <v>2150</v>
      </c>
      <c r="G957" s="0" t="s">
        <v>2151</v>
      </c>
      <c r="H957" s="0" t="s">
        <v>2153</v>
      </c>
      <c r="J957" s="0" t="s">
        <v>2160</v>
      </c>
      <c r="K957" s="272" t="n">
        <v>851524.47</v>
      </c>
    </row>
    <row r="958" customFormat="false" ht="15" hidden="false" customHeight="false" outlineLevel="0" collapsed="false">
      <c r="A958" s="0" t="s">
        <v>2041</v>
      </c>
      <c r="B958" s="0" t="s">
        <v>2042</v>
      </c>
      <c r="C958" s="0" t="s">
        <v>2161</v>
      </c>
      <c r="D958" s="0" t="s">
        <v>2105</v>
      </c>
      <c r="E958" s="0" t="s">
        <v>2045</v>
      </c>
      <c r="F958" s="0" t="s">
        <v>2150</v>
      </c>
      <c r="G958" s="0" t="s">
        <v>2151</v>
      </c>
      <c r="H958" s="0" t="s">
        <v>2153</v>
      </c>
      <c r="J958" s="0" t="s">
        <v>2160</v>
      </c>
      <c r="K958" s="272" t="n">
        <v>332080.23</v>
      </c>
    </row>
    <row r="959" customFormat="false" ht="15" hidden="false" customHeight="false" outlineLevel="0" collapsed="false">
      <c r="A959" s="0" t="s">
        <v>2041</v>
      </c>
      <c r="B959" s="0" t="s">
        <v>2042</v>
      </c>
      <c r="C959" s="0" t="s">
        <v>2156</v>
      </c>
      <c r="D959" s="0" t="s">
        <v>2105</v>
      </c>
      <c r="E959" s="0" t="s">
        <v>2045</v>
      </c>
      <c r="F959" s="0" t="s">
        <v>2150</v>
      </c>
      <c r="G959" s="0" t="s">
        <v>2151</v>
      </c>
      <c r="H959" s="0" t="s">
        <v>2154</v>
      </c>
      <c r="J959" s="0" t="s">
        <v>2160</v>
      </c>
      <c r="K959" s="272" t="n">
        <v>523026.83</v>
      </c>
    </row>
    <row r="960" customFormat="false" ht="15" hidden="false" customHeight="false" outlineLevel="0" collapsed="false">
      <c r="A960" s="0" t="s">
        <v>2041</v>
      </c>
      <c r="B960" s="0" t="s">
        <v>2042</v>
      </c>
      <c r="C960" s="0" t="s">
        <v>2161</v>
      </c>
      <c r="D960" s="0" t="s">
        <v>2105</v>
      </c>
      <c r="E960" s="0" t="s">
        <v>2045</v>
      </c>
      <c r="F960" s="0" t="s">
        <v>2150</v>
      </c>
      <c r="G960" s="0" t="s">
        <v>2151</v>
      </c>
      <c r="H960" s="0" t="s">
        <v>2154</v>
      </c>
      <c r="J960" s="0" t="s">
        <v>2160</v>
      </c>
      <c r="K960" s="272" t="n">
        <v>98180.89</v>
      </c>
    </row>
    <row r="961" customFormat="false" ht="15" hidden="false" customHeight="false" outlineLevel="0" collapsed="false">
      <c r="A961" s="0" t="s">
        <v>2041</v>
      </c>
      <c r="B961" s="0" t="s">
        <v>2042</v>
      </c>
      <c r="C961" s="0" t="s">
        <v>2156</v>
      </c>
      <c r="D961" s="0" t="s">
        <v>2105</v>
      </c>
      <c r="E961" s="0" t="s">
        <v>2045</v>
      </c>
      <c r="F961" s="0" t="s">
        <v>2150</v>
      </c>
      <c r="G961" s="0" t="s">
        <v>2155</v>
      </c>
      <c r="H961" s="0" t="s">
        <v>2154</v>
      </c>
      <c r="J961" s="0" t="s">
        <v>2160</v>
      </c>
      <c r="K961" s="272" t="n">
        <v>1380091.92</v>
      </c>
    </row>
    <row r="962" customFormat="false" ht="15" hidden="false" customHeight="false" outlineLevel="0" collapsed="false">
      <c r="A962" s="0" t="s">
        <v>2041</v>
      </c>
      <c r="B962" s="0" t="s">
        <v>2042</v>
      </c>
      <c r="C962" s="0" t="s">
        <v>2161</v>
      </c>
      <c r="D962" s="0" t="s">
        <v>2105</v>
      </c>
      <c r="E962" s="0" t="s">
        <v>2045</v>
      </c>
      <c r="F962" s="0" t="s">
        <v>2150</v>
      </c>
      <c r="G962" s="0" t="s">
        <v>2155</v>
      </c>
      <c r="H962" s="0" t="s">
        <v>2154</v>
      </c>
      <c r="J962" s="0" t="s">
        <v>2160</v>
      </c>
      <c r="K962" s="272" t="n">
        <v>429088.29</v>
      </c>
    </row>
    <row r="963" customFormat="false" ht="15" hidden="false" customHeight="false" outlineLevel="0" collapsed="false">
      <c r="A963" s="0" t="s">
        <v>2041</v>
      </c>
      <c r="B963" s="0" t="s">
        <v>2042</v>
      </c>
      <c r="C963" s="0" t="s">
        <v>2156</v>
      </c>
      <c r="D963" s="0" t="s">
        <v>2105</v>
      </c>
      <c r="E963" s="0" t="s">
        <v>2274</v>
      </c>
      <c r="F963" s="0" t="s">
        <v>2275</v>
      </c>
      <c r="G963" s="0" t="s">
        <v>2276</v>
      </c>
      <c r="H963" s="0" t="s">
        <v>2277</v>
      </c>
      <c r="J963" s="0" t="s">
        <v>2160</v>
      </c>
      <c r="K963" s="272" t="n">
        <v>422001.59</v>
      </c>
    </row>
    <row r="964" customFormat="false" ht="15" hidden="false" customHeight="false" outlineLevel="0" collapsed="false">
      <c r="A964" s="0" t="s">
        <v>2041</v>
      </c>
      <c r="B964" s="0" t="s">
        <v>2042</v>
      </c>
      <c r="C964" s="0" t="s">
        <v>2161</v>
      </c>
      <c r="D964" s="0" t="s">
        <v>2105</v>
      </c>
      <c r="E964" s="0" t="s">
        <v>2274</v>
      </c>
      <c r="F964" s="0" t="s">
        <v>2275</v>
      </c>
      <c r="G964" s="0" t="s">
        <v>2276</v>
      </c>
      <c r="H964" s="0" t="s">
        <v>2277</v>
      </c>
      <c r="J964" s="0" t="s">
        <v>2160</v>
      </c>
      <c r="K964" s="272" t="n">
        <v>245838.32</v>
      </c>
    </row>
    <row r="965" customFormat="false" ht="15" hidden="false" customHeight="false" outlineLevel="0" collapsed="false">
      <c r="A965" s="0" t="s">
        <v>2041</v>
      </c>
      <c r="B965" s="0" t="s">
        <v>2042</v>
      </c>
      <c r="C965" s="0" t="s">
        <v>2156</v>
      </c>
      <c r="D965" s="0" t="s">
        <v>2105</v>
      </c>
      <c r="E965" s="0" t="s">
        <v>2274</v>
      </c>
      <c r="F965" s="0" t="s">
        <v>2275</v>
      </c>
      <c r="G965" s="0" t="s">
        <v>2276</v>
      </c>
      <c r="H965" s="0" t="s">
        <v>2277</v>
      </c>
      <c r="I965" s="0" t="s">
        <v>2278</v>
      </c>
      <c r="J965" s="0" t="s">
        <v>2160</v>
      </c>
      <c r="K965" s="272" t="n">
        <v>-20952.38</v>
      </c>
    </row>
    <row r="966" customFormat="false" ht="15" hidden="false" customHeight="false" outlineLevel="0" collapsed="false">
      <c r="A966" s="0" t="s">
        <v>2041</v>
      </c>
      <c r="B966" s="0" t="s">
        <v>2042</v>
      </c>
      <c r="C966" s="0" t="s">
        <v>2161</v>
      </c>
      <c r="D966" s="0" t="s">
        <v>2105</v>
      </c>
      <c r="E966" s="0" t="s">
        <v>2274</v>
      </c>
      <c r="F966" s="0" t="s">
        <v>2275</v>
      </c>
      <c r="G966" s="0" t="s">
        <v>2276</v>
      </c>
      <c r="H966" s="0" t="s">
        <v>2277</v>
      </c>
      <c r="I966" s="0" t="s">
        <v>2278</v>
      </c>
      <c r="J966" s="0" t="s">
        <v>2160</v>
      </c>
      <c r="K966" s="272" t="n">
        <v>-3771.43</v>
      </c>
    </row>
    <row r="967" customFormat="false" ht="15" hidden="false" customHeight="false" outlineLevel="0" collapsed="false">
      <c r="A967" s="0" t="s">
        <v>2041</v>
      </c>
      <c r="B967" s="0" t="s">
        <v>2042</v>
      </c>
      <c r="C967" s="0" t="s">
        <v>2156</v>
      </c>
      <c r="D967" s="0" t="s">
        <v>2279</v>
      </c>
      <c r="E967" s="0" t="s">
        <v>2279</v>
      </c>
      <c r="F967" s="0" t="s">
        <v>2280</v>
      </c>
      <c r="G967" s="0" t="s">
        <v>2281</v>
      </c>
      <c r="H967" s="0" t="s">
        <v>2282</v>
      </c>
      <c r="J967" s="0" t="s">
        <v>2160</v>
      </c>
      <c r="K967" s="272" t="n">
        <v>-330515.95</v>
      </c>
    </row>
    <row r="968" customFormat="false" ht="15" hidden="false" customHeight="false" outlineLevel="0" collapsed="false">
      <c r="A968" s="0" t="s">
        <v>2041</v>
      </c>
      <c r="B968" s="0" t="s">
        <v>2042</v>
      </c>
      <c r="C968" s="0" t="s">
        <v>2161</v>
      </c>
      <c r="D968" s="0" t="s">
        <v>2279</v>
      </c>
      <c r="E968" s="0" t="s">
        <v>2279</v>
      </c>
      <c r="F968" s="0" t="s">
        <v>2280</v>
      </c>
      <c r="G968" s="0" t="s">
        <v>2281</v>
      </c>
      <c r="H968" s="0" t="s">
        <v>2282</v>
      </c>
      <c r="J968" s="0" t="s">
        <v>2160</v>
      </c>
      <c r="K968" s="272" t="n">
        <v>-66103.19</v>
      </c>
    </row>
    <row r="969" customFormat="false" ht="15" hidden="false" customHeight="false" outlineLevel="0" collapsed="false">
      <c r="A969" s="0" t="s">
        <v>2041</v>
      </c>
      <c r="B969" s="0" t="s">
        <v>2042</v>
      </c>
      <c r="C969" s="0" t="s">
        <v>2156</v>
      </c>
      <c r="D969" s="0" t="s">
        <v>2279</v>
      </c>
      <c r="E969" s="0" t="s">
        <v>2279</v>
      </c>
      <c r="F969" s="0" t="s">
        <v>2280</v>
      </c>
      <c r="G969" s="0" t="s">
        <v>2281</v>
      </c>
      <c r="H969" s="0" t="s">
        <v>2283</v>
      </c>
      <c r="J969" s="0" t="s">
        <v>2160</v>
      </c>
      <c r="K969" s="272" t="n">
        <v>-330515.95</v>
      </c>
    </row>
    <row r="970" customFormat="false" ht="15" hidden="false" customHeight="false" outlineLevel="0" collapsed="false">
      <c r="A970" s="0" t="s">
        <v>2041</v>
      </c>
      <c r="B970" s="0" t="s">
        <v>2042</v>
      </c>
      <c r="C970" s="0" t="s">
        <v>2161</v>
      </c>
      <c r="D970" s="0" t="s">
        <v>2279</v>
      </c>
      <c r="E970" s="0" t="s">
        <v>2279</v>
      </c>
      <c r="F970" s="0" t="s">
        <v>2280</v>
      </c>
      <c r="G970" s="0" t="s">
        <v>2281</v>
      </c>
      <c r="H970" s="0" t="s">
        <v>2283</v>
      </c>
      <c r="J970" s="0" t="s">
        <v>2160</v>
      </c>
      <c r="K970" s="272" t="n">
        <v>-66103.19</v>
      </c>
    </row>
    <row r="971" customFormat="false" ht="15" hidden="false" customHeight="false" outlineLevel="0" collapsed="false">
      <c r="A971" s="0" t="s">
        <v>2041</v>
      </c>
      <c r="B971" s="0" t="s">
        <v>2042</v>
      </c>
      <c r="C971" s="0" t="s">
        <v>2156</v>
      </c>
      <c r="D971" s="0" t="s">
        <v>2279</v>
      </c>
      <c r="E971" s="0" t="s">
        <v>2279</v>
      </c>
      <c r="F971" s="0" t="s">
        <v>2280</v>
      </c>
      <c r="G971" s="0" t="s">
        <v>2281</v>
      </c>
      <c r="H971" s="0" t="s">
        <v>2284</v>
      </c>
      <c r="J971" s="0" t="s">
        <v>2160</v>
      </c>
      <c r="K971" s="272" t="n">
        <v>24262475.2</v>
      </c>
    </row>
    <row r="972" customFormat="false" ht="15" hidden="false" customHeight="false" outlineLevel="0" collapsed="false">
      <c r="A972" s="0" t="s">
        <v>2041</v>
      </c>
      <c r="B972" s="0" t="s">
        <v>2042</v>
      </c>
      <c r="C972" s="0" t="s">
        <v>2161</v>
      </c>
      <c r="D972" s="0" t="s">
        <v>2279</v>
      </c>
      <c r="E972" s="0" t="s">
        <v>2279</v>
      </c>
      <c r="F972" s="0" t="s">
        <v>2280</v>
      </c>
      <c r="G972" s="0" t="s">
        <v>2281</v>
      </c>
      <c r="H972" s="0" t="s">
        <v>2284</v>
      </c>
      <c r="J972" s="0" t="s">
        <v>2160</v>
      </c>
      <c r="K972" s="272" t="n">
        <v>4622773.21</v>
      </c>
    </row>
    <row r="973" customFormat="false" ht="15" hidden="false" customHeight="false" outlineLevel="0" collapsed="false">
      <c r="A973" s="0" t="s">
        <v>2041</v>
      </c>
      <c r="B973" s="0" t="s">
        <v>2042</v>
      </c>
      <c r="C973" s="0" t="s">
        <v>2156</v>
      </c>
      <c r="D973" s="0" t="s">
        <v>2279</v>
      </c>
      <c r="E973" s="0" t="s">
        <v>2279</v>
      </c>
      <c r="F973" s="0" t="s">
        <v>2280</v>
      </c>
      <c r="G973" s="0" t="s">
        <v>2281</v>
      </c>
      <c r="H973" s="0" t="s">
        <v>2285</v>
      </c>
      <c r="J973" s="0" t="s">
        <v>2160</v>
      </c>
      <c r="K973" s="272" t="n">
        <v>1868931.38</v>
      </c>
    </row>
    <row r="974" customFormat="false" ht="15" hidden="false" customHeight="false" outlineLevel="0" collapsed="false">
      <c r="A974" s="0" t="s">
        <v>2041</v>
      </c>
      <c r="B974" s="0" t="s">
        <v>2042</v>
      </c>
      <c r="C974" s="0" t="s">
        <v>2161</v>
      </c>
      <c r="D974" s="0" t="s">
        <v>2279</v>
      </c>
      <c r="E974" s="0" t="s">
        <v>2279</v>
      </c>
      <c r="F974" s="0" t="s">
        <v>2280</v>
      </c>
      <c r="G974" s="0" t="s">
        <v>2281</v>
      </c>
      <c r="H974" s="0" t="s">
        <v>2285</v>
      </c>
      <c r="J974" s="0" t="s">
        <v>2160</v>
      </c>
      <c r="K974" s="272" t="n">
        <v>372776.38</v>
      </c>
    </row>
    <row r="975" customFormat="false" ht="15" hidden="false" customHeight="false" outlineLevel="0" collapsed="false">
      <c r="A975" s="0" t="s">
        <v>2041</v>
      </c>
      <c r="B975" s="0" t="s">
        <v>2042</v>
      </c>
      <c r="C975" s="0" t="s">
        <v>2156</v>
      </c>
      <c r="D975" s="0" t="s">
        <v>2279</v>
      </c>
      <c r="E975" s="0" t="s">
        <v>2279</v>
      </c>
      <c r="F975" s="0" t="s">
        <v>2280</v>
      </c>
      <c r="G975" s="0" t="s">
        <v>2281</v>
      </c>
      <c r="H975" s="0" t="s">
        <v>2286</v>
      </c>
      <c r="J975" s="0" t="s">
        <v>2160</v>
      </c>
      <c r="K975" s="272" t="n">
        <v>14260232.59</v>
      </c>
    </row>
    <row r="976" customFormat="false" ht="15" hidden="false" customHeight="false" outlineLevel="0" collapsed="false">
      <c r="A976" s="0" t="s">
        <v>2041</v>
      </c>
      <c r="B976" s="0" t="s">
        <v>2042</v>
      </c>
      <c r="C976" s="0" t="s">
        <v>2161</v>
      </c>
      <c r="D976" s="0" t="s">
        <v>2279</v>
      </c>
      <c r="E976" s="0" t="s">
        <v>2279</v>
      </c>
      <c r="F976" s="0" t="s">
        <v>2280</v>
      </c>
      <c r="G976" s="0" t="s">
        <v>2281</v>
      </c>
      <c r="H976" s="0" t="s">
        <v>2286</v>
      </c>
      <c r="J976" s="0" t="s">
        <v>2160</v>
      </c>
      <c r="K976" s="272" t="n">
        <v>3003228.36</v>
      </c>
    </row>
    <row r="977" customFormat="false" ht="15" hidden="false" customHeight="false" outlineLevel="0" collapsed="false">
      <c r="A977" s="0" t="s">
        <v>2041</v>
      </c>
      <c r="B977" s="0" t="s">
        <v>2042</v>
      </c>
      <c r="C977" s="0" t="s">
        <v>2156</v>
      </c>
      <c r="D977" s="0" t="s">
        <v>2279</v>
      </c>
      <c r="E977" s="0" t="s">
        <v>2279</v>
      </c>
      <c r="F977" s="0" t="s">
        <v>2280</v>
      </c>
      <c r="G977" s="0" t="s">
        <v>2281</v>
      </c>
      <c r="H977" s="0" t="s">
        <v>2287</v>
      </c>
      <c r="J977" s="0" t="s">
        <v>2160</v>
      </c>
      <c r="K977" s="272" t="n">
        <v>-572322</v>
      </c>
    </row>
    <row r="978" customFormat="false" ht="15" hidden="false" customHeight="false" outlineLevel="0" collapsed="false">
      <c r="A978" s="0" t="s">
        <v>2041</v>
      </c>
      <c r="B978" s="0" t="s">
        <v>2042</v>
      </c>
      <c r="C978" s="0" t="s">
        <v>2161</v>
      </c>
      <c r="D978" s="0" t="s">
        <v>2279</v>
      </c>
      <c r="E978" s="0" t="s">
        <v>2279</v>
      </c>
      <c r="F978" s="0" t="s">
        <v>2280</v>
      </c>
      <c r="G978" s="0" t="s">
        <v>2281</v>
      </c>
      <c r="H978" s="0" t="s">
        <v>2287</v>
      </c>
      <c r="J978" s="0" t="s">
        <v>2160</v>
      </c>
      <c r="K978" s="272" t="n">
        <v>-114464.4</v>
      </c>
    </row>
    <row r="979" customFormat="false" ht="15" hidden="false" customHeight="false" outlineLevel="0" collapsed="false">
      <c r="A979" s="0" t="s">
        <v>2041</v>
      </c>
      <c r="B979" s="0" t="s">
        <v>2042</v>
      </c>
      <c r="C979" s="0" t="s">
        <v>2156</v>
      </c>
      <c r="D979" s="0" t="s">
        <v>2279</v>
      </c>
      <c r="E979" s="0" t="s">
        <v>2279</v>
      </c>
      <c r="F979" s="0" t="s">
        <v>2280</v>
      </c>
      <c r="G979" s="0" t="s">
        <v>2281</v>
      </c>
      <c r="H979" s="0" t="s">
        <v>2287</v>
      </c>
      <c r="J979" s="0" t="s">
        <v>2160</v>
      </c>
      <c r="K979" s="272" t="n">
        <v>234933.75</v>
      </c>
    </row>
    <row r="980" customFormat="false" ht="15" hidden="false" customHeight="false" outlineLevel="0" collapsed="false">
      <c r="A980" s="0" t="s">
        <v>2041</v>
      </c>
      <c r="B980" s="0" t="s">
        <v>2042</v>
      </c>
      <c r="C980" s="0" t="s">
        <v>2161</v>
      </c>
      <c r="D980" s="0" t="s">
        <v>2279</v>
      </c>
      <c r="E980" s="0" t="s">
        <v>2279</v>
      </c>
      <c r="F980" s="0" t="s">
        <v>2280</v>
      </c>
      <c r="G980" s="0" t="s">
        <v>2281</v>
      </c>
      <c r="H980" s="0" t="s">
        <v>2287</v>
      </c>
      <c r="J980" s="0" t="s">
        <v>2160</v>
      </c>
      <c r="K980" s="272" t="n">
        <v>70480.15</v>
      </c>
    </row>
    <row r="981" customFormat="false" ht="15" hidden="false" customHeight="false" outlineLevel="0" collapsed="false">
      <c r="A981" s="0" t="s">
        <v>2041</v>
      </c>
      <c r="B981" s="0" t="s">
        <v>2042</v>
      </c>
      <c r="C981" s="0" t="s">
        <v>2156</v>
      </c>
      <c r="D981" s="0" t="s">
        <v>2279</v>
      </c>
      <c r="E981" s="0" t="s">
        <v>2279</v>
      </c>
      <c r="F981" s="0" t="s">
        <v>2280</v>
      </c>
      <c r="G981" s="0" t="s">
        <v>2281</v>
      </c>
      <c r="H981" s="0" t="s">
        <v>2288</v>
      </c>
      <c r="J981" s="0" t="s">
        <v>2160</v>
      </c>
      <c r="K981" s="272" t="n">
        <v>33022.81</v>
      </c>
    </row>
    <row r="982" customFormat="false" ht="15" hidden="false" customHeight="false" outlineLevel="0" collapsed="false">
      <c r="A982" s="0" t="s">
        <v>2041</v>
      </c>
      <c r="B982" s="0" t="s">
        <v>2042</v>
      </c>
      <c r="C982" s="0" t="s">
        <v>2161</v>
      </c>
      <c r="D982" s="0" t="s">
        <v>2279</v>
      </c>
      <c r="E982" s="0" t="s">
        <v>2279</v>
      </c>
      <c r="F982" s="0" t="s">
        <v>2280</v>
      </c>
      <c r="G982" s="0" t="s">
        <v>2281</v>
      </c>
      <c r="H982" s="0" t="s">
        <v>2288</v>
      </c>
      <c r="J982" s="0" t="s">
        <v>2160</v>
      </c>
      <c r="K982" s="272" t="n">
        <v>9906.85</v>
      </c>
    </row>
    <row r="983" customFormat="false" ht="15" hidden="false" customHeight="false" outlineLevel="0" collapsed="false">
      <c r="A983" s="0" t="s">
        <v>2041</v>
      </c>
      <c r="B983" s="0" t="s">
        <v>2042</v>
      </c>
      <c r="C983" s="0" t="s">
        <v>2156</v>
      </c>
      <c r="D983" s="0" t="s">
        <v>2279</v>
      </c>
      <c r="E983" s="0" t="s">
        <v>2279</v>
      </c>
      <c r="F983" s="0" t="s">
        <v>2280</v>
      </c>
      <c r="G983" s="0" t="s">
        <v>2281</v>
      </c>
      <c r="H983" s="0" t="s">
        <v>2182</v>
      </c>
      <c r="J983" s="0" t="s">
        <v>2160</v>
      </c>
      <c r="K983" s="272" t="n">
        <v>-66045.64</v>
      </c>
    </row>
    <row r="984" customFormat="false" ht="15" hidden="false" customHeight="false" outlineLevel="0" collapsed="false">
      <c r="A984" s="0" t="s">
        <v>2041</v>
      </c>
      <c r="B984" s="0" t="s">
        <v>2042</v>
      </c>
      <c r="C984" s="0" t="s">
        <v>2161</v>
      </c>
      <c r="D984" s="0" t="s">
        <v>2279</v>
      </c>
      <c r="E984" s="0" t="s">
        <v>2279</v>
      </c>
      <c r="F984" s="0" t="s">
        <v>2280</v>
      </c>
      <c r="G984" s="0" t="s">
        <v>2281</v>
      </c>
      <c r="H984" s="0" t="s">
        <v>2182</v>
      </c>
      <c r="J984" s="0" t="s">
        <v>2160</v>
      </c>
      <c r="K984" s="272" t="n">
        <v>-19813.69</v>
      </c>
    </row>
    <row r="985" customFormat="false" ht="15" hidden="false" customHeight="false" outlineLevel="0" collapsed="false">
      <c r="A985" s="0" t="s">
        <v>2041</v>
      </c>
      <c r="B985" s="0" t="s">
        <v>2042</v>
      </c>
      <c r="C985" s="0" t="s">
        <v>2156</v>
      </c>
      <c r="D985" s="0" t="s">
        <v>2279</v>
      </c>
      <c r="E985" s="0" t="s">
        <v>2279</v>
      </c>
      <c r="F985" s="0" t="s">
        <v>2280</v>
      </c>
      <c r="G985" s="0" t="s">
        <v>2281</v>
      </c>
      <c r="H985" s="0" t="s">
        <v>2289</v>
      </c>
      <c r="J985" s="0" t="s">
        <v>2160</v>
      </c>
      <c r="K985" s="272" t="n">
        <v>1943688.74</v>
      </c>
    </row>
    <row r="986" customFormat="false" ht="15" hidden="false" customHeight="false" outlineLevel="0" collapsed="false">
      <c r="A986" s="0" t="s">
        <v>2041</v>
      </c>
      <c r="B986" s="0" t="s">
        <v>2042</v>
      </c>
      <c r="C986" s="0" t="s">
        <v>2161</v>
      </c>
      <c r="D986" s="0" t="s">
        <v>2279</v>
      </c>
      <c r="E986" s="0" t="s">
        <v>2279</v>
      </c>
      <c r="F986" s="0" t="s">
        <v>2280</v>
      </c>
      <c r="G986" s="0" t="s">
        <v>2281</v>
      </c>
      <c r="H986" s="0" t="s">
        <v>2289</v>
      </c>
      <c r="J986" s="0" t="s">
        <v>2160</v>
      </c>
      <c r="K986" s="272" t="n">
        <v>387687.46</v>
      </c>
    </row>
    <row r="987" customFormat="false" ht="15" hidden="false" customHeight="false" outlineLevel="0" collapsed="false">
      <c r="A987" s="0" t="s">
        <v>2041</v>
      </c>
      <c r="B987" s="0" t="s">
        <v>2042</v>
      </c>
      <c r="C987" s="0" t="s">
        <v>2156</v>
      </c>
      <c r="D987" s="0" t="s">
        <v>2279</v>
      </c>
      <c r="E987" s="0" t="s">
        <v>2279</v>
      </c>
      <c r="F987" s="0" t="s">
        <v>2280</v>
      </c>
      <c r="G987" s="0" t="s">
        <v>2281</v>
      </c>
      <c r="H987" s="0" t="s">
        <v>2289</v>
      </c>
      <c r="J987" s="0" t="s">
        <v>2160</v>
      </c>
      <c r="K987" s="272" t="n">
        <v>372874.81</v>
      </c>
    </row>
    <row r="988" customFormat="false" ht="15" hidden="false" customHeight="false" outlineLevel="0" collapsed="false">
      <c r="A988" s="0" t="s">
        <v>2041</v>
      </c>
      <c r="B988" s="0" t="s">
        <v>2042</v>
      </c>
      <c r="C988" s="0" t="s">
        <v>2161</v>
      </c>
      <c r="D988" s="0" t="s">
        <v>2279</v>
      </c>
      <c r="E988" s="0" t="s">
        <v>2279</v>
      </c>
      <c r="F988" s="0" t="s">
        <v>2280</v>
      </c>
      <c r="G988" s="0" t="s">
        <v>2281</v>
      </c>
      <c r="H988" s="0" t="s">
        <v>2289</v>
      </c>
      <c r="J988" s="0" t="s">
        <v>2160</v>
      </c>
      <c r="K988" s="272" t="n">
        <v>111862.43</v>
      </c>
    </row>
    <row r="989" customFormat="false" ht="15" hidden="false" customHeight="false" outlineLevel="0" collapsed="false">
      <c r="A989" s="0" t="s">
        <v>2041</v>
      </c>
      <c r="B989" s="0" t="s">
        <v>2042</v>
      </c>
      <c r="C989" s="0" t="s">
        <v>2156</v>
      </c>
      <c r="D989" s="0" t="s">
        <v>2279</v>
      </c>
      <c r="E989" s="0" t="s">
        <v>2279</v>
      </c>
      <c r="F989" s="0" t="s">
        <v>2280</v>
      </c>
      <c r="G989" s="0" t="s">
        <v>2281</v>
      </c>
      <c r="H989" s="0" t="s">
        <v>2153</v>
      </c>
      <c r="J989" s="0" t="s">
        <v>2160</v>
      </c>
      <c r="K989" s="272" t="n">
        <v>-419447.670000001</v>
      </c>
    </row>
    <row r="990" customFormat="false" ht="15" hidden="false" customHeight="false" outlineLevel="0" collapsed="false">
      <c r="A990" s="0" t="s">
        <v>2041</v>
      </c>
      <c r="B990" s="0" t="s">
        <v>2042</v>
      </c>
      <c r="C990" s="0" t="s">
        <v>2161</v>
      </c>
      <c r="D990" s="0" t="s">
        <v>2279</v>
      </c>
      <c r="E990" s="0" t="s">
        <v>2279</v>
      </c>
      <c r="F990" s="0" t="s">
        <v>2280</v>
      </c>
      <c r="G990" s="0" t="s">
        <v>2281</v>
      </c>
      <c r="H990" s="0" t="s">
        <v>2153</v>
      </c>
      <c r="J990" s="0" t="s">
        <v>2160</v>
      </c>
      <c r="K990" s="272" t="n">
        <v>-155819.7</v>
      </c>
    </row>
    <row r="991" customFormat="false" ht="15" hidden="false" customHeight="false" outlineLevel="0" collapsed="false">
      <c r="A991" s="0" t="s">
        <v>2041</v>
      </c>
      <c r="B991" s="0" t="s">
        <v>2042</v>
      </c>
      <c r="C991" s="0" t="s">
        <v>2156</v>
      </c>
      <c r="D991" s="0" t="s">
        <v>2279</v>
      </c>
      <c r="E991" s="0" t="s">
        <v>2279</v>
      </c>
      <c r="F991" s="0" t="s">
        <v>2280</v>
      </c>
      <c r="G991" s="0" t="s">
        <v>2281</v>
      </c>
      <c r="H991" s="0" t="s">
        <v>2153</v>
      </c>
      <c r="J991" s="0" t="s">
        <v>2160</v>
      </c>
      <c r="K991" s="272" t="n">
        <v>1311920.41</v>
      </c>
    </row>
    <row r="992" customFormat="false" ht="15" hidden="false" customHeight="false" outlineLevel="0" collapsed="false">
      <c r="A992" s="0" t="s">
        <v>2041</v>
      </c>
      <c r="B992" s="0" t="s">
        <v>2042</v>
      </c>
      <c r="C992" s="0" t="s">
        <v>2161</v>
      </c>
      <c r="D992" s="0" t="s">
        <v>2279</v>
      </c>
      <c r="E992" s="0" t="s">
        <v>2279</v>
      </c>
      <c r="F992" s="0" t="s">
        <v>2280</v>
      </c>
      <c r="G992" s="0" t="s">
        <v>2281</v>
      </c>
      <c r="H992" s="0" t="s">
        <v>2153</v>
      </c>
      <c r="J992" s="0" t="s">
        <v>2160</v>
      </c>
      <c r="K992" s="272" t="n">
        <v>393576.13</v>
      </c>
    </row>
    <row r="993" customFormat="false" ht="15" hidden="false" customHeight="false" outlineLevel="0" collapsed="false">
      <c r="A993" s="0" t="s">
        <v>2041</v>
      </c>
      <c r="B993" s="0" t="s">
        <v>2042</v>
      </c>
      <c r="C993" s="0" t="s">
        <v>2156</v>
      </c>
      <c r="D993" s="0" t="s">
        <v>2279</v>
      </c>
      <c r="E993" s="0" t="s">
        <v>2279</v>
      </c>
      <c r="F993" s="0" t="s">
        <v>2280</v>
      </c>
      <c r="G993" s="0" t="s">
        <v>2281</v>
      </c>
      <c r="H993" s="0" t="s">
        <v>2107</v>
      </c>
      <c r="J993" s="0" t="s">
        <v>2160</v>
      </c>
      <c r="K993" s="272" t="n">
        <v>375186.39</v>
      </c>
    </row>
    <row r="994" customFormat="false" ht="15" hidden="false" customHeight="false" outlineLevel="0" collapsed="false">
      <c r="A994" s="0" t="s">
        <v>2041</v>
      </c>
      <c r="B994" s="0" t="s">
        <v>2042</v>
      </c>
      <c r="C994" s="0" t="s">
        <v>2161</v>
      </c>
      <c r="D994" s="0" t="s">
        <v>2279</v>
      </c>
      <c r="E994" s="0" t="s">
        <v>2279</v>
      </c>
      <c r="F994" s="0" t="s">
        <v>2280</v>
      </c>
      <c r="G994" s="0" t="s">
        <v>2281</v>
      </c>
      <c r="H994" s="0" t="s">
        <v>2107</v>
      </c>
      <c r="J994" s="0" t="s">
        <v>2160</v>
      </c>
      <c r="K994" s="272" t="n">
        <v>112555.92</v>
      </c>
    </row>
    <row r="995" customFormat="false" ht="15" hidden="false" customHeight="false" outlineLevel="0" collapsed="false">
      <c r="A995" s="0" t="s">
        <v>2041</v>
      </c>
      <c r="B995" s="0" t="s">
        <v>2042</v>
      </c>
      <c r="C995" s="0" t="s">
        <v>2156</v>
      </c>
      <c r="D995" s="0" t="s">
        <v>2279</v>
      </c>
      <c r="E995" s="0" t="s">
        <v>2279</v>
      </c>
      <c r="F995" s="0" t="s">
        <v>2280</v>
      </c>
      <c r="G995" s="0" t="s">
        <v>2281</v>
      </c>
      <c r="H995" s="0" t="s">
        <v>2290</v>
      </c>
      <c r="J995" s="0" t="s">
        <v>2160</v>
      </c>
      <c r="K995" s="272" t="n">
        <v>75480.73</v>
      </c>
    </row>
    <row r="996" customFormat="false" ht="15" hidden="false" customHeight="false" outlineLevel="0" collapsed="false">
      <c r="A996" s="0" t="s">
        <v>2041</v>
      </c>
      <c r="B996" s="0" t="s">
        <v>2042</v>
      </c>
      <c r="C996" s="0" t="s">
        <v>2161</v>
      </c>
      <c r="D996" s="0" t="s">
        <v>2279</v>
      </c>
      <c r="E996" s="0" t="s">
        <v>2279</v>
      </c>
      <c r="F996" s="0" t="s">
        <v>2280</v>
      </c>
      <c r="G996" s="0" t="s">
        <v>2281</v>
      </c>
      <c r="H996" s="0" t="s">
        <v>2290</v>
      </c>
      <c r="J996" s="0" t="s">
        <v>2160</v>
      </c>
      <c r="K996" s="272" t="n">
        <v>22644.22</v>
      </c>
    </row>
    <row r="997" customFormat="false" ht="15" hidden="false" customHeight="false" outlineLevel="0" collapsed="false">
      <c r="A997" s="0" t="s">
        <v>2041</v>
      </c>
      <c r="B997" s="0" t="s">
        <v>2042</v>
      </c>
      <c r="C997" s="0" t="s">
        <v>2156</v>
      </c>
      <c r="D997" s="0" t="s">
        <v>2279</v>
      </c>
      <c r="E997" s="0" t="s">
        <v>2279</v>
      </c>
      <c r="F997" s="0" t="s">
        <v>2280</v>
      </c>
      <c r="G997" s="0" t="s">
        <v>2281</v>
      </c>
      <c r="H997" s="0" t="s">
        <v>2291</v>
      </c>
      <c r="J997" s="0" t="s">
        <v>2160</v>
      </c>
      <c r="K997" s="272" t="n">
        <v>27496.55</v>
      </c>
    </row>
    <row r="998" customFormat="false" ht="15" hidden="false" customHeight="false" outlineLevel="0" collapsed="false">
      <c r="A998" s="0" t="s">
        <v>2041</v>
      </c>
      <c r="B998" s="0" t="s">
        <v>2042</v>
      </c>
      <c r="C998" s="0" t="s">
        <v>2161</v>
      </c>
      <c r="D998" s="0" t="s">
        <v>2279</v>
      </c>
      <c r="E998" s="0" t="s">
        <v>2279</v>
      </c>
      <c r="F998" s="0" t="s">
        <v>2280</v>
      </c>
      <c r="G998" s="0" t="s">
        <v>2281</v>
      </c>
      <c r="H998" s="0" t="s">
        <v>2291</v>
      </c>
      <c r="J998" s="0" t="s">
        <v>2160</v>
      </c>
      <c r="K998" s="272" t="n">
        <v>8248.97</v>
      </c>
    </row>
    <row r="999" customFormat="false" ht="15" hidden="false" customHeight="false" outlineLevel="0" collapsed="false">
      <c r="A999" s="0" t="s">
        <v>2041</v>
      </c>
      <c r="B999" s="0" t="s">
        <v>2042</v>
      </c>
      <c r="C999" s="0" t="s">
        <v>2156</v>
      </c>
      <c r="D999" s="0" t="s">
        <v>2279</v>
      </c>
      <c r="E999" s="0" t="s">
        <v>2279</v>
      </c>
      <c r="F999" s="0" t="s">
        <v>2292</v>
      </c>
      <c r="G999" s="0" t="s">
        <v>2293</v>
      </c>
      <c r="H999" s="0" t="s">
        <v>2284</v>
      </c>
      <c r="J999" s="0" t="s">
        <v>2160</v>
      </c>
      <c r="K999" s="272" t="n">
        <v>-1226047.135</v>
      </c>
    </row>
    <row r="1000" customFormat="false" ht="15" hidden="false" customHeight="false" outlineLevel="0" collapsed="false">
      <c r="A1000" s="0" t="s">
        <v>2041</v>
      </c>
      <c r="B1000" s="0" t="s">
        <v>2042</v>
      </c>
      <c r="C1000" s="0" t="s">
        <v>2161</v>
      </c>
      <c r="D1000" s="0" t="s">
        <v>2279</v>
      </c>
      <c r="E1000" s="0" t="s">
        <v>2279</v>
      </c>
      <c r="F1000" s="0" t="s">
        <v>2292</v>
      </c>
      <c r="G1000" s="0" t="s">
        <v>2293</v>
      </c>
      <c r="H1000" s="0" t="s">
        <v>2284</v>
      </c>
      <c r="J1000" s="0" t="s">
        <v>2160</v>
      </c>
      <c r="K1000" s="272" t="n">
        <v>-245209.44</v>
      </c>
    </row>
    <row r="1001" customFormat="false" ht="15" hidden="false" customHeight="false" outlineLevel="0" collapsed="false">
      <c r="A1001" s="0" t="s">
        <v>2041</v>
      </c>
      <c r="B1001" s="0" t="s">
        <v>2042</v>
      </c>
      <c r="C1001" s="0" t="s">
        <v>2156</v>
      </c>
      <c r="D1001" s="0" t="s">
        <v>2279</v>
      </c>
      <c r="E1001" s="0" t="s">
        <v>2279</v>
      </c>
      <c r="F1001" s="0" t="s">
        <v>2292</v>
      </c>
      <c r="G1001" s="0" t="s">
        <v>2293</v>
      </c>
      <c r="H1001" s="0" t="s">
        <v>2284</v>
      </c>
      <c r="J1001" s="0" t="s">
        <v>2160</v>
      </c>
      <c r="K1001" s="272" t="n">
        <v>898581.82</v>
      </c>
    </row>
    <row r="1002" customFormat="false" ht="15" hidden="false" customHeight="false" outlineLevel="0" collapsed="false">
      <c r="A1002" s="0" t="s">
        <v>2041</v>
      </c>
      <c r="B1002" s="0" t="s">
        <v>2042</v>
      </c>
      <c r="C1002" s="0" t="s">
        <v>2161</v>
      </c>
      <c r="D1002" s="0" t="s">
        <v>2279</v>
      </c>
      <c r="E1002" s="0" t="s">
        <v>2279</v>
      </c>
      <c r="F1002" s="0" t="s">
        <v>2292</v>
      </c>
      <c r="G1002" s="0" t="s">
        <v>2293</v>
      </c>
      <c r="H1002" s="0" t="s">
        <v>2284</v>
      </c>
      <c r="J1002" s="0" t="s">
        <v>2160</v>
      </c>
      <c r="K1002" s="272" t="n">
        <v>197688.01</v>
      </c>
    </row>
    <row r="1003" customFormat="false" ht="15" hidden="false" customHeight="false" outlineLevel="0" collapsed="false">
      <c r="A1003" s="0" t="s">
        <v>2041</v>
      </c>
      <c r="B1003" s="0" t="s">
        <v>2042</v>
      </c>
      <c r="C1003" s="0" t="s">
        <v>2156</v>
      </c>
      <c r="D1003" s="0" t="s">
        <v>2279</v>
      </c>
      <c r="E1003" s="0" t="s">
        <v>2279</v>
      </c>
      <c r="F1003" s="0" t="s">
        <v>2292</v>
      </c>
      <c r="G1003" s="0" t="s">
        <v>2293</v>
      </c>
      <c r="H1003" s="0" t="s">
        <v>2294</v>
      </c>
      <c r="J1003" s="0" t="s">
        <v>2160</v>
      </c>
      <c r="K1003" s="272" t="n">
        <v>474019.26</v>
      </c>
    </row>
    <row r="1004" customFormat="false" ht="15" hidden="false" customHeight="false" outlineLevel="0" collapsed="false">
      <c r="A1004" s="0" t="s">
        <v>2041</v>
      </c>
      <c r="B1004" s="0" t="s">
        <v>2042</v>
      </c>
      <c r="C1004" s="0" t="s">
        <v>2161</v>
      </c>
      <c r="D1004" s="0" t="s">
        <v>2279</v>
      </c>
      <c r="E1004" s="0" t="s">
        <v>2279</v>
      </c>
      <c r="F1004" s="0" t="s">
        <v>2292</v>
      </c>
      <c r="G1004" s="0" t="s">
        <v>2293</v>
      </c>
      <c r="H1004" s="0" t="s">
        <v>2294</v>
      </c>
      <c r="J1004" s="0" t="s">
        <v>2160</v>
      </c>
      <c r="K1004" s="272" t="n">
        <v>142205.7</v>
      </c>
    </row>
    <row r="1005" customFormat="false" ht="15" hidden="false" customHeight="false" outlineLevel="0" collapsed="false">
      <c r="A1005" s="0" t="s">
        <v>2041</v>
      </c>
      <c r="B1005" s="0" t="s">
        <v>2042</v>
      </c>
      <c r="C1005" s="0" t="s">
        <v>2156</v>
      </c>
      <c r="D1005" s="0" t="s">
        <v>2279</v>
      </c>
      <c r="E1005" s="0" t="s">
        <v>2279</v>
      </c>
      <c r="F1005" s="0" t="s">
        <v>2292</v>
      </c>
      <c r="G1005" s="0" t="s">
        <v>2293</v>
      </c>
      <c r="H1005" s="0" t="s">
        <v>2295</v>
      </c>
      <c r="J1005" s="0" t="s">
        <v>2160</v>
      </c>
      <c r="K1005" s="272" t="n">
        <v>-1804371.21</v>
      </c>
    </row>
    <row r="1006" customFormat="false" ht="15" hidden="false" customHeight="false" outlineLevel="0" collapsed="false">
      <c r="A1006" s="0" t="s">
        <v>2041</v>
      </c>
      <c r="B1006" s="0" t="s">
        <v>2042</v>
      </c>
      <c r="C1006" s="0" t="s">
        <v>2161</v>
      </c>
      <c r="D1006" s="0" t="s">
        <v>2279</v>
      </c>
      <c r="E1006" s="0" t="s">
        <v>2279</v>
      </c>
      <c r="F1006" s="0" t="s">
        <v>2292</v>
      </c>
      <c r="G1006" s="0" t="s">
        <v>2293</v>
      </c>
      <c r="H1006" s="0" t="s">
        <v>2295</v>
      </c>
      <c r="J1006" s="0" t="s">
        <v>2160</v>
      </c>
      <c r="K1006" s="272" t="n">
        <v>-360874.24</v>
      </c>
    </row>
    <row r="1007" customFormat="false" ht="15" hidden="false" customHeight="false" outlineLevel="0" collapsed="false">
      <c r="A1007" s="0" t="s">
        <v>2041</v>
      </c>
      <c r="B1007" s="0" t="s">
        <v>2042</v>
      </c>
      <c r="C1007" s="0" t="s">
        <v>2156</v>
      </c>
      <c r="D1007" s="0" t="s">
        <v>2279</v>
      </c>
      <c r="E1007" s="0" t="s">
        <v>2279</v>
      </c>
      <c r="F1007" s="0" t="s">
        <v>2292</v>
      </c>
      <c r="G1007" s="0" t="s">
        <v>2293</v>
      </c>
      <c r="H1007" s="0" t="s">
        <v>2295</v>
      </c>
      <c r="J1007" s="0" t="s">
        <v>2160</v>
      </c>
      <c r="K1007" s="272" t="n">
        <v>2036267.35</v>
      </c>
    </row>
    <row r="1008" customFormat="false" ht="15" hidden="false" customHeight="false" outlineLevel="0" collapsed="false">
      <c r="A1008" s="0" t="s">
        <v>2041</v>
      </c>
      <c r="B1008" s="0" t="s">
        <v>2042</v>
      </c>
      <c r="C1008" s="0" t="s">
        <v>2161</v>
      </c>
      <c r="D1008" s="0" t="s">
        <v>2279</v>
      </c>
      <c r="E1008" s="0" t="s">
        <v>2279</v>
      </c>
      <c r="F1008" s="0" t="s">
        <v>2292</v>
      </c>
      <c r="G1008" s="0" t="s">
        <v>2293</v>
      </c>
      <c r="H1008" s="0" t="s">
        <v>2295</v>
      </c>
      <c r="J1008" s="0" t="s">
        <v>2160</v>
      </c>
      <c r="K1008" s="272" t="n">
        <v>447978.82</v>
      </c>
    </row>
    <row r="1009" customFormat="false" ht="15" hidden="false" customHeight="false" outlineLevel="0" collapsed="false">
      <c r="A1009" s="0" t="s">
        <v>2041</v>
      </c>
      <c r="B1009" s="0" t="s">
        <v>2042</v>
      </c>
      <c r="C1009" s="0" t="s">
        <v>2156</v>
      </c>
      <c r="D1009" s="0" t="s">
        <v>2279</v>
      </c>
      <c r="E1009" s="0" t="s">
        <v>2279</v>
      </c>
      <c r="F1009" s="0" t="s">
        <v>2292</v>
      </c>
      <c r="G1009" s="0" t="s">
        <v>2293</v>
      </c>
      <c r="H1009" s="0" t="s">
        <v>2296</v>
      </c>
      <c r="J1009" s="0" t="s">
        <v>2160</v>
      </c>
      <c r="K1009" s="272" t="n">
        <v>1427280.28</v>
      </c>
    </row>
    <row r="1010" customFormat="false" ht="15" hidden="false" customHeight="false" outlineLevel="0" collapsed="false">
      <c r="A1010" s="0" t="s">
        <v>2041</v>
      </c>
      <c r="B1010" s="0" t="s">
        <v>2042</v>
      </c>
      <c r="C1010" s="0" t="s">
        <v>2161</v>
      </c>
      <c r="D1010" s="0" t="s">
        <v>2279</v>
      </c>
      <c r="E1010" s="0" t="s">
        <v>2279</v>
      </c>
      <c r="F1010" s="0" t="s">
        <v>2292</v>
      </c>
      <c r="G1010" s="0" t="s">
        <v>2293</v>
      </c>
      <c r="H1010" s="0" t="s">
        <v>2296</v>
      </c>
      <c r="J1010" s="0" t="s">
        <v>2160</v>
      </c>
      <c r="K1010" s="272" t="n">
        <v>314001.53</v>
      </c>
    </row>
    <row r="1011" customFormat="false" ht="15" hidden="false" customHeight="false" outlineLevel="0" collapsed="false">
      <c r="A1011" s="0" t="s">
        <v>2041</v>
      </c>
      <c r="B1011" s="0" t="s">
        <v>2042</v>
      </c>
      <c r="C1011" s="0" t="s">
        <v>2156</v>
      </c>
      <c r="D1011" s="0" t="s">
        <v>2279</v>
      </c>
      <c r="E1011" s="0" t="s">
        <v>2279</v>
      </c>
      <c r="F1011" s="0" t="s">
        <v>2292</v>
      </c>
      <c r="G1011" s="0" t="s">
        <v>2293</v>
      </c>
      <c r="H1011" s="0" t="s">
        <v>2297</v>
      </c>
      <c r="J1011" s="0" t="s">
        <v>2160</v>
      </c>
      <c r="K1011" s="272" t="n">
        <v>214059.65</v>
      </c>
    </row>
    <row r="1012" customFormat="false" ht="15" hidden="false" customHeight="false" outlineLevel="0" collapsed="false">
      <c r="A1012" s="0" t="s">
        <v>2041</v>
      </c>
      <c r="B1012" s="0" t="s">
        <v>2042</v>
      </c>
      <c r="C1012" s="0" t="s">
        <v>2161</v>
      </c>
      <c r="D1012" s="0" t="s">
        <v>2279</v>
      </c>
      <c r="E1012" s="0" t="s">
        <v>2279</v>
      </c>
      <c r="F1012" s="0" t="s">
        <v>2292</v>
      </c>
      <c r="G1012" s="0" t="s">
        <v>2293</v>
      </c>
      <c r="H1012" s="0" t="s">
        <v>2297</v>
      </c>
      <c r="J1012" s="0" t="s">
        <v>2160</v>
      </c>
      <c r="K1012" s="272" t="n">
        <v>47093.16</v>
      </c>
    </row>
    <row r="1013" customFormat="false" ht="15" hidden="false" customHeight="false" outlineLevel="0" collapsed="false">
      <c r="A1013" s="0" t="s">
        <v>2041</v>
      </c>
      <c r="B1013" s="0" t="s">
        <v>2042</v>
      </c>
      <c r="C1013" s="0" t="s">
        <v>2156</v>
      </c>
      <c r="D1013" s="0" t="s">
        <v>2279</v>
      </c>
      <c r="E1013" s="0" t="s">
        <v>2279</v>
      </c>
      <c r="F1013" s="0" t="s">
        <v>2292</v>
      </c>
      <c r="G1013" s="0" t="s">
        <v>2293</v>
      </c>
      <c r="H1013" s="0" t="s">
        <v>2298</v>
      </c>
      <c r="J1013" s="0" t="s">
        <v>2160</v>
      </c>
      <c r="K1013" s="272" t="n">
        <v>-693988.93</v>
      </c>
    </row>
    <row r="1014" customFormat="false" ht="15" hidden="false" customHeight="false" outlineLevel="0" collapsed="false">
      <c r="A1014" s="0" t="s">
        <v>2041</v>
      </c>
      <c r="B1014" s="0" t="s">
        <v>2042</v>
      </c>
      <c r="C1014" s="0" t="s">
        <v>2161</v>
      </c>
      <c r="D1014" s="0" t="s">
        <v>2279</v>
      </c>
      <c r="E1014" s="0" t="s">
        <v>2279</v>
      </c>
      <c r="F1014" s="0" t="s">
        <v>2292</v>
      </c>
      <c r="G1014" s="0" t="s">
        <v>2293</v>
      </c>
      <c r="H1014" s="0" t="s">
        <v>2298</v>
      </c>
      <c r="J1014" s="0" t="s">
        <v>2160</v>
      </c>
      <c r="K1014" s="272" t="n">
        <v>-138797.79</v>
      </c>
    </row>
    <row r="1015" customFormat="false" ht="15" hidden="false" customHeight="false" outlineLevel="0" collapsed="false">
      <c r="A1015" s="0" t="s">
        <v>2041</v>
      </c>
      <c r="B1015" s="0" t="s">
        <v>2042</v>
      </c>
      <c r="C1015" s="0" t="s">
        <v>2156</v>
      </c>
      <c r="D1015" s="0" t="s">
        <v>2279</v>
      </c>
      <c r="E1015" s="0" t="s">
        <v>2279</v>
      </c>
      <c r="F1015" s="0" t="s">
        <v>2292</v>
      </c>
      <c r="G1015" s="0" t="s">
        <v>2293</v>
      </c>
      <c r="H1015" s="0" t="s">
        <v>2298</v>
      </c>
      <c r="J1015" s="0" t="s">
        <v>2160</v>
      </c>
      <c r="K1015" s="272" t="n">
        <v>135497.67</v>
      </c>
    </row>
    <row r="1016" customFormat="false" ht="15" hidden="false" customHeight="false" outlineLevel="0" collapsed="false">
      <c r="A1016" s="0" t="s">
        <v>2041</v>
      </c>
      <c r="B1016" s="0" t="s">
        <v>2042</v>
      </c>
      <c r="C1016" s="0" t="s">
        <v>2161</v>
      </c>
      <c r="D1016" s="0" t="s">
        <v>2279</v>
      </c>
      <c r="E1016" s="0" t="s">
        <v>2279</v>
      </c>
      <c r="F1016" s="0" t="s">
        <v>2292</v>
      </c>
      <c r="G1016" s="0" t="s">
        <v>2293</v>
      </c>
      <c r="H1016" s="0" t="s">
        <v>2298</v>
      </c>
      <c r="J1016" s="0" t="s">
        <v>2160</v>
      </c>
      <c r="K1016" s="272" t="n">
        <v>29809.49</v>
      </c>
    </row>
    <row r="1017" customFormat="false" ht="15" hidden="false" customHeight="false" outlineLevel="0" collapsed="false">
      <c r="A1017" s="0" t="s">
        <v>2041</v>
      </c>
      <c r="B1017" s="0" t="s">
        <v>2042</v>
      </c>
      <c r="C1017" s="0" t="s">
        <v>2156</v>
      </c>
      <c r="D1017" s="0" t="s">
        <v>2279</v>
      </c>
      <c r="E1017" s="0" t="s">
        <v>2279</v>
      </c>
      <c r="F1017" s="0" t="s">
        <v>2292</v>
      </c>
      <c r="G1017" s="0" t="s">
        <v>2293</v>
      </c>
      <c r="H1017" s="0" t="s">
        <v>2299</v>
      </c>
      <c r="J1017" s="0" t="s">
        <v>2160</v>
      </c>
      <c r="K1017" s="272" t="n">
        <v>322974.71</v>
      </c>
    </row>
    <row r="1018" customFormat="false" ht="15" hidden="false" customHeight="false" outlineLevel="0" collapsed="false">
      <c r="A1018" s="0" t="s">
        <v>2041</v>
      </c>
      <c r="B1018" s="0" t="s">
        <v>2042</v>
      </c>
      <c r="C1018" s="0" t="s">
        <v>2161</v>
      </c>
      <c r="D1018" s="0" t="s">
        <v>2279</v>
      </c>
      <c r="E1018" s="0" t="s">
        <v>2279</v>
      </c>
      <c r="F1018" s="0" t="s">
        <v>2292</v>
      </c>
      <c r="G1018" s="0" t="s">
        <v>2293</v>
      </c>
      <c r="H1018" s="0" t="s">
        <v>2299</v>
      </c>
      <c r="J1018" s="0" t="s">
        <v>2160</v>
      </c>
      <c r="K1018" s="272" t="n">
        <v>71054.44</v>
      </c>
    </row>
    <row r="1019" customFormat="false" ht="15" hidden="false" customHeight="false" outlineLevel="0" collapsed="false">
      <c r="A1019" s="0" t="s">
        <v>2041</v>
      </c>
      <c r="B1019" s="0" t="s">
        <v>2042</v>
      </c>
      <c r="C1019" s="0" t="s">
        <v>2156</v>
      </c>
      <c r="D1019" s="0" t="s">
        <v>2279</v>
      </c>
      <c r="E1019" s="0" t="s">
        <v>2279</v>
      </c>
      <c r="F1019" s="0" t="s">
        <v>2292</v>
      </c>
      <c r="G1019" s="0" t="s">
        <v>2293</v>
      </c>
      <c r="H1019" s="0" t="s">
        <v>2300</v>
      </c>
      <c r="J1019" s="0" t="s">
        <v>2160</v>
      </c>
      <c r="K1019" s="272" t="n">
        <v>272880.706</v>
      </c>
    </row>
    <row r="1020" customFormat="false" ht="15" hidden="false" customHeight="false" outlineLevel="0" collapsed="false">
      <c r="A1020" s="0" t="s">
        <v>2041</v>
      </c>
      <c r="B1020" s="0" t="s">
        <v>2042</v>
      </c>
      <c r="C1020" s="0" t="s">
        <v>2161</v>
      </c>
      <c r="D1020" s="0" t="s">
        <v>2279</v>
      </c>
      <c r="E1020" s="0" t="s">
        <v>2279</v>
      </c>
      <c r="F1020" s="0" t="s">
        <v>2292</v>
      </c>
      <c r="G1020" s="0" t="s">
        <v>2293</v>
      </c>
      <c r="H1020" s="0" t="s">
        <v>2300</v>
      </c>
      <c r="J1020" s="0" t="s">
        <v>2160</v>
      </c>
      <c r="K1020" s="272" t="n">
        <v>60033.76</v>
      </c>
    </row>
    <row r="1021" customFormat="false" ht="15" hidden="false" customHeight="false" outlineLevel="0" collapsed="false">
      <c r="A1021" s="0" t="s">
        <v>2041</v>
      </c>
      <c r="B1021" s="0" t="s">
        <v>2042</v>
      </c>
      <c r="C1021" s="0" t="s">
        <v>2156</v>
      </c>
      <c r="D1021" s="0" t="s">
        <v>2279</v>
      </c>
      <c r="E1021" s="0" t="s">
        <v>2279</v>
      </c>
      <c r="F1021" s="0" t="s">
        <v>2292</v>
      </c>
      <c r="G1021" s="0" t="s">
        <v>2293</v>
      </c>
      <c r="H1021" s="0" t="s">
        <v>2301</v>
      </c>
      <c r="J1021" s="0" t="s">
        <v>2160</v>
      </c>
      <c r="K1021" s="272" t="n">
        <v>337731.844</v>
      </c>
    </row>
    <row r="1022" customFormat="false" ht="15" hidden="false" customHeight="false" outlineLevel="0" collapsed="false">
      <c r="A1022" s="0" t="s">
        <v>2041</v>
      </c>
      <c r="B1022" s="0" t="s">
        <v>2042</v>
      </c>
      <c r="C1022" s="0" t="s">
        <v>2161</v>
      </c>
      <c r="D1022" s="0" t="s">
        <v>2279</v>
      </c>
      <c r="E1022" s="0" t="s">
        <v>2279</v>
      </c>
      <c r="F1022" s="0" t="s">
        <v>2292</v>
      </c>
      <c r="G1022" s="0" t="s">
        <v>2293</v>
      </c>
      <c r="H1022" s="0" t="s">
        <v>2301</v>
      </c>
      <c r="J1022" s="0" t="s">
        <v>2160</v>
      </c>
      <c r="K1022" s="272" t="n">
        <v>74301.04</v>
      </c>
    </row>
    <row r="1023" customFormat="false" ht="15" hidden="false" customHeight="false" outlineLevel="0" collapsed="false">
      <c r="A1023" s="0" t="s">
        <v>2041</v>
      </c>
      <c r="B1023" s="0" t="s">
        <v>2042</v>
      </c>
      <c r="C1023" s="0" t="s">
        <v>2156</v>
      </c>
      <c r="D1023" s="0" t="s">
        <v>2279</v>
      </c>
      <c r="E1023" s="0" t="s">
        <v>2279</v>
      </c>
      <c r="F1023" s="0" t="s">
        <v>2292</v>
      </c>
      <c r="G1023" s="0" t="s">
        <v>2293</v>
      </c>
      <c r="H1023" s="0" t="s">
        <v>2302</v>
      </c>
      <c r="J1023" s="0" t="s">
        <v>2160</v>
      </c>
      <c r="K1023" s="272" t="n">
        <v>186048.57</v>
      </c>
    </row>
    <row r="1024" customFormat="false" ht="15" hidden="false" customHeight="false" outlineLevel="0" collapsed="false">
      <c r="A1024" s="0" t="s">
        <v>2041</v>
      </c>
      <c r="B1024" s="0" t="s">
        <v>2042</v>
      </c>
      <c r="C1024" s="0" t="s">
        <v>2161</v>
      </c>
      <c r="D1024" s="0" t="s">
        <v>2279</v>
      </c>
      <c r="E1024" s="0" t="s">
        <v>2279</v>
      </c>
      <c r="F1024" s="0" t="s">
        <v>2292</v>
      </c>
      <c r="G1024" s="0" t="s">
        <v>2293</v>
      </c>
      <c r="H1024" s="0" t="s">
        <v>2302</v>
      </c>
      <c r="J1024" s="0" t="s">
        <v>2160</v>
      </c>
      <c r="K1024" s="272" t="n">
        <v>40930.68</v>
      </c>
    </row>
    <row r="1025" customFormat="false" ht="15" hidden="false" customHeight="false" outlineLevel="0" collapsed="false">
      <c r="A1025" s="0" t="s">
        <v>2041</v>
      </c>
      <c r="B1025" s="0" t="s">
        <v>2042</v>
      </c>
      <c r="C1025" s="0" t="s">
        <v>2156</v>
      </c>
      <c r="D1025" s="0" t="s">
        <v>2279</v>
      </c>
      <c r="E1025" s="0" t="s">
        <v>2279</v>
      </c>
      <c r="F1025" s="0" t="s">
        <v>2292</v>
      </c>
      <c r="G1025" s="0" t="s">
        <v>2293</v>
      </c>
      <c r="H1025" s="0" t="s">
        <v>2303</v>
      </c>
      <c r="J1025" s="0" t="s">
        <v>2160</v>
      </c>
      <c r="K1025" s="272" t="n">
        <v>450949.72</v>
      </c>
    </row>
    <row r="1026" customFormat="false" ht="15" hidden="false" customHeight="false" outlineLevel="0" collapsed="false">
      <c r="A1026" s="0" t="s">
        <v>2041</v>
      </c>
      <c r="B1026" s="0" t="s">
        <v>2042</v>
      </c>
      <c r="C1026" s="0" t="s">
        <v>2161</v>
      </c>
      <c r="D1026" s="0" t="s">
        <v>2279</v>
      </c>
      <c r="E1026" s="0" t="s">
        <v>2279</v>
      </c>
      <c r="F1026" s="0" t="s">
        <v>2292</v>
      </c>
      <c r="G1026" s="0" t="s">
        <v>2293</v>
      </c>
      <c r="H1026" s="0" t="s">
        <v>2303</v>
      </c>
      <c r="J1026" s="0" t="s">
        <v>2160</v>
      </c>
      <c r="K1026" s="272" t="n">
        <v>99208.94</v>
      </c>
    </row>
    <row r="1027" customFormat="false" ht="15" hidden="false" customHeight="false" outlineLevel="0" collapsed="false">
      <c r="A1027" s="0" t="s">
        <v>2041</v>
      </c>
      <c r="B1027" s="0" t="s">
        <v>2042</v>
      </c>
      <c r="C1027" s="0" t="s">
        <v>2156</v>
      </c>
      <c r="D1027" s="0" t="s">
        <v>2279</v>
      </c>
      <c r="E1027" s="0" t="s">
        <v>2279</v>
      </c>
      <c r="F1027" s="0" t="s">
        <v>2292</v>
      </c>
      <c r="G1027" s="0" t="s">
        <v>2293</v>
      </c>
      <c r="H1027" s="0" t="s">
        <v>2286</v>
      </c>
      <c r="J1027" s="0" t="s">
        <v>2160</v>
      </c>
      <c r="K1027" s="272" t="n">
        <v>175754.76</v>
      </c>
    </row>
    <row r="1028" customFormat="false" ht="15" hidden="false" customHeight="false" outlineLevel="0" collapsed="false">
      <c r="A1028" s="0" t="s">
        <v>2041</v>
      </c>
      <c r="B1028" s="0" t="s">
        <v>2042</v>
      </c>
      <c r="C1028" s="0" t="s">
        <v>2161</v>
      </c>
      <c r="D1028" s="0" t="s">
        <v>2279</v>
      </c>
      <c r="E1028" s="0" t="s">
        <v>2279</v>
      </c>
      <c r="F1028" s="0" t="s">
        <v>2292</v>
      </c>
      <c r="G1028" s="0" t="s">
        <v>2293</v>
      </c>
      <c r="H1028" s="0" t="s">
        <v>2286</v>
      </c>
      <c r="J1028" s="0" t="s">
        <v>2160</v>
      </c>
      <c r="K1028" s="272" t="n">
        <v>38666.05</v>
      </c>
    </row>
    <row r="1029" customFormat="false" ht="15" hidden="false" customHeight="false" outlineLevel="0" collapsed="false">
      <c r="A1029" s="0" t="s">
        <v>2041</v>
      </c>
      <c r="B1029" s="0" t="s">
        <v>2042</v>
      </c>
      <c r="C1029" s="0" t="s">
        <v>2156</v>
      </c>
      <c r="D1029" s="0" t="s">
        <v>2279</v>
      </c>
      <c r="E1029" s="0" t="s">
        <v>2279</v>
      </c>
      <c r="F1029" s="0" t="s">
        <v>2292</v>
      </c>
      <c r="G1029" s="0" t="s">
        <v>2293</v>
      </c>
      <c r="H1029" s="0" t="s">
        <v>2304</v>
      </c>
      <c r="J1029" s="0" t="s">
        <v>2160</v>
      </c>
      <c r="K1029" s="272" t="n">
        <v>636786.56</v>
      </c>
    </row>
    <row r="1030" customFormat="false" ht="15" hidden="false" customHeight="false" outlineLevel="0" collapsed="false">
      <c r="A1030" s="0" t="s">
        <v>2041</v>
      </c>
      <c r="B1030" s="0" t="s">
        <v>2042</v>
      </c>
      <c r="C1030" s="0" t="s">
        <v>2161</v>
      </c>
      <c r="D1030" s="0" t="s">
        <v>2279</v>
      </c>
      <c r="E1030" s="0" t="s">
        <v>2279</v>
      </c>
      <c r="F1030" s="0" t="s">
        <v>2292</v>
      </c>
      <c r="G1030" s="0" t="s">
        <v>2293</v>
      </c>
      <c r="H1030" s="0" t="s">
        <v>2304</v>
      </c>
      <c r="J1030" s="0" t="s">
        <v>2160</v>
      </c>
      <c r="K1030" s="272" t="n">
        <v>126832.22</v>
      </c>
    </row>
    <row r="1031" customFormat="false" ht="15" hidden="false" customHeight="false" outlineLevel="0" collapsed="false">
      <c r="A1031" s="0" t="s">
        <v>2041</v>
      </c>
      <c r="B1031" s="0" t="s">
        <v>2042</v>
      </c>
      <c r="C1031" s="0" t="s">
        <v>2156</v>
      </c>
      <c r="D1031" s="0" t="s">
        <v>2279</v>
      </c>
      <c r="E1031" s="0" t="s">
        <v>2279</v>
      </c>
      <c r="F1031" s="0" t="s">
        <v>2292</v>
      </c>
      <c r="G1031" s="0" t="s">
        <v>2293</v>
      </c>
      <c r="H1031" s="0" t="s">
        <v>2304</v>
      </c>
      <c r="J1031" s="0" t="s">
        <v>2160</v>
      </c>
      <c r="K1031" s="272" t="n">
        <v>341103.03</v>
      </c>
    </row>
    <row r="1032" customFormat="false" ht="15" hidden="false" customHeight="false" outlineLevel="0" collapsed="false">
      <c r="A1032" s="0" t="s">
        <v>2041</v>
      </c>
      <c r="B1032" s="0" t="s">
        <v>2042</v>
      </c>
      <c r="C1032" s="0" t="s">
        <v>2161</v>
      </c>
      <c r="D1032" s="0" t="s">
        <v>2279</v>
      </c>
      <c r="E1032" s="0" t="s">
        <v>2279</v>
      </c>
      <c r="F1032" s="0" t="s">
        <v>2292</v>
      </c>
      <c r="G1032" s="0" t="s">
        <v>2293</v>
      </c>
      <c r="H1032" s="0" t="s">
        <v>2304</v>
      </c>
      <c r="J1032" s="0" t="s">
        <v>2160</v>
      </c>
      <c r="K1032" s="272" t="n">
        <v>75042.6000000001</v>
      </c>
    </row>
    <row r="1033" customFormat="false" ht="15" hidden="false" customHeight="false" outlineLevel="0" collapsed="false">
      <c r="A1033" s="0" t="s">
        <v>2041</v>
      </c>
      <c r="B1033" s="0" t="s">
        <v>2042</v>
      </c>
      <c r="C1033" s="0" t="s">
        <v>2156</v>
      </c>
      <c r="D1033" s="0" t="s">
        <v>2279</v>
      </c>
      <c r="E1033" s="0" t="s">
        <v>2279</v>
      </c>
      <c r="F1033" s="0" t="s">
        <v>2292</v>
      </c>
      <c r="G1033" s="0" t="s">
        <v>2293</v>
      </c>
      <c r="H1033" s="0" t="s">
        <v>2287</v>
      </c>
      <c r="J1033" s="0" t="s">
        <v>2160</v>
      </c>
      <c r="K1033" s="272" t="n">
        <v>-1387977.88</v>
      </c>
    </row>
    <row r="1034" customFormat="false" ht="15" hidden="false" customHeight="false" outlineLevel="0" collapsed="false">
      <c r="A1034" s="0" t="s">
        <v>2041</v>
      </c>
      <c r="B1034" s="0" t="s">
        <v>2042</v>
      </c>
      <c r="C1034" s="0" t="s">
        <v>2161</v>
      </c>
      <c r="D1034" s="0" t="s">
        <v>2279</v>
      </c>
      <c r="E1034" s="0" t="s">
        <v>2279</v>
      </c>
      <c r="F1034" s="0" t="s">
        <v>2292</v>
      </c>
      <c r="G1034" s="0" t="s">
        <v>2293</v>
      </c>
      <c r="H1034" s="0" t="s">
        <v>2287</v>
      </c>
      <c r="J1034" s="0" t="s">
        <v>2160</v>
      </c>
      <c r="K1034" s="272" t="n">
        <v>-277595.6</v>
      </c>
    </row>
    <row r="1035" customFormat="false" ht="15" hidden="false" customHeight="false" outlineLevel="0" collapsed="false">
      <c r="A1035" s="0" t="s">
        <v>2041</v>
      </c>
      <c r="B1035" s="0" t="s">
        <v>2042</v>
      </c>
      <c r="C1035" s="0" t="s">
        <v>2156</v>
      </c>
      <c r="D1035" s="0" t="s">
        <v>2279</v>
      </c>
      <c r="E1035" s="0" t="s">
        <v>2279</v>
      </c>
      <c r="F1035" s="0" t="s">
        <v>2292</v>
      </c>
      <c r="G1035" s="0" t="s">
        <v>2293</v>
      </c>
      <c r="H1035" s="0" t="s">
        <v>2287</v>
      </c>
      <c r="J1035" s="0" t="s">
        <v>2160</v>
      </c>
      <c r="K1035" s="272" t="n">
        <v>552526.7</v>
      </c>
    </row>
    <row r="1036" customFormat="false" ht="15" hidden="false" customHeight="false" outlineLevel="0" collapsed="false">
      <c r="A1036" s="0" t="s">
        <v>2041</v>
      </c>
      <c r="B1036" s="0" t="s">
        <v>2042</v>
      </c>
      <c r="C1036" s="0" t="s">
        <v>2161</v>
      </c>
      <c r="D1036" s="0" t="s">
        <v>2279</v>
      </c>
      <c r="E1036" s="0" t="s">
        <v>2279</v>
      </c>
      <c r="F1036" s="0" t="s">
        <v>2292</v>
      </c>
      <c r="G1036" s="0" t="s">
        <v>2293</v>
      </c>
      <c r="H1036" s="0" t="s">
        <v>2287</v>
      </c>
      <c r="J1036" s="0" t="s">
        <v>2160</v>
      </c>
      <c r="K1036" s="272" t="n">
        <v>121555.88</v>
      </c>
    </row>
    <row r="1037" customFormat="false" ht="15" hidden="false" customHeight="false" outlineLevel="0" collapsed="false">
      <c r="A1037" s="0" t="s">
        <v>2041</v>
      </c>
      <c r="B1037" s="0" t="s">
        <v>2042</v>
      </c>
      <c r="C1037" s="0" t="s">
        <v>2156</v>
      </c>
      <c r="D1037" s="0" t="s">
        <v>2279</v>
      </c>
      <c r="E1037" s="0" t="s">
        <v>2279</v>
      </c>
      <c r="F1037" s="0" t="s">
        <v>2292</v>
      </c>
      <c r="G1037" s="0" t="s">
        <v>2293</v>
      </c>
      <c r="H1037" s="0" t="s">
        <v>2288</v>
      </c>
      <c r="J1037" s="0" t="s">
        <v>2160</v>
      </c>
      <c r="K1037" s="272" t="n">
        <v>205239.93</v>
      </c>
    </row>
    <row r="1038" customFormat="false" ht="15" hidden="false" customHeight="false" outlineLevel="0" collapsed="false">
      <c r="A1038" s="0" t="s">
        <v>2041</v>
      </c>
      <c r="B1038" s="0" t="s">
        <v>2042</v>
      </c>
      <c r="C1038" s="0" t="s">
        <v>2161</v>
      </c>
      <c r="D1038" s="0" t="s">
        <v>2279</v>
      </c>
      <c r="E1038" s="0" t="s">
        <v>2279</v>
      </c>
      <c r="F1038" s="0" t="s">
        <v>2292</v>
      </c>
      <c r="G1038" s="0" t="s">
        <v>2293</v>
      </c>
      <c r="H1038" s="0" t="s">
        <v>2288</v>
      </c>
      <c r="J1038" s="0" t="s">
        <v>2160</v>
      </c>
      <c r="K1038" s="272" t="n">
        <v>45152.785</v>
      </c>
    </row>
    <row r="1039" customFormat="false" ht="15" hidden="false" customHeight="false" outlineLevel="0" collapsed="false">
      <c r="A1039" s="0" t="s">
        <v>2041</v>
      </c>
      <c r="B1039" s="0" t="s">
        <v>2042</v>
      </c>
      <c r="C1039" s="0" t="s">
        <v>2156</v>
      </c>
      <c r="D1039" s="0" t="s">
        <v>2279</v>
      </c>
      <c r="E1039" s="0" t="s">
        <v>2279</v>
      </c>
      <c r="F1039" s="0" t="s">
        <v>2292</v>
      </c>
      <c r="G1039" s="0" t="s">
        <v>2293</v>
      </c>
      <c r="H1039" s="0" t="s">
        <v>2305</v>
      </c>
      <c r="J1039" s="0" t="s">
        <v>2160</v>
      </c>
      <c r="K1039" s="272" t="n">
        <v>809365.97</v>
      </c>
    </row>
    <row r="1040" customFormat="false" ht="15" hidden="false" customHeight="false" outlineLevel="0" collapsed="false">
      <c r="A1040" s="0" t="s">
        <v>2041</v>
      </c>
      <c r="B1040" s="0" t="s">
        <v>2042</v>
      </c>
      <c r="C1040" s="0" t="s">
        <v>2161</v>
      </c>
      <c r="D1040" s="0" t="s">
        <v>2279</v>
      </c>
      <c r="E1040" s="0" t="s">
        <v>2279</v>
      </c>
      <c r="F1040" s="0" t="s">
        <v>2292</v>
      </c>
      <c r="G1040" s="0" t="s">
        <v>2293</v>
      </c>
      <c r="H1040" s="0" t="s">
        <v>2305</v>
      </c>
      <c r="J1040" s="0" t="s">
        <v>2160</v>
      </c>
      <c r="K1040" s="272" t="n">
        <v>244428.52</v>
      </c>
    </row>
    <row r="1041" customFormat="false" ht="15" hidden="false" customHeight="false" outlineLevel="0" collapsed="false">
      <c r="A1041" s="0" t="s">
        <v>2041</v>
      </c>
      <c r="B1041" s="0" t="s">
        <v>2042</v>
      </c>
      <c r="C1041" s="0" t="s">
        <v>2156</v>
      </c>
      <c r="D1041" s="0" t="s">
        <v>2279</v>
      </c>
      <c r="E1041" s="0" t="s">
        <v>2279</v>
      </c>
      <c r="F1041" s="0" t="s">
        <v>2292</v>
      </c>
      <c r="G1041" s="0" t="s">
        <v>2293</v>
      </c>
      <c r="H1041" s="0" t="s">
        <v>2200</v>
      </c>
      <c r="J1041" s="0" t="s">
        <v>2160</v>
      </c>
      <c r="K1041" s="272" t="n">
        <v>-233064.585</v>
      </c>
    </row>
    <row r="1042" customFormat="false" ht="15" hidden="false" customHeight="false" outlineLevel="0" collapsed="false">
      <c r="A1042" s="0" t="s">
        <v>2041</v>
      </c>
      <c r="B1042" s="0" t="s">
        <v>2042</v>
      </c>
      <c r="C1042" s="0" t="s">
        <v>2161</v>
      </c>
      <c r="D1042" s="0" t="s">
        <v>2279</v>
      </c>
      <c r="E1042" s="0" t="s">
        <v>2279</v>
      </c>
      <c r="F1042" s="0" t="s">
        <v>2292</v>
      </c>
      <c r="G1042" s="0" t="s">
        <v>2293</v>
      </c>
      <c r="H1042" s="0" t="s">
        <v>2200</v>
      </c>
      <c r="J1042" s="0" t="s">
        <v>2160</v>
      </c>
      <c r="K1042" s="272" t="n">
        <v>-46612.917</v>
      </c>
    </row>
    <row r="1043" customFormat="false" ht="15" hidden="false" customHeight="false" outlineLevel="0" collapsed="false">
      <c r="A1043" s="0" t="s">
        <v>2041</v>
      </c>
      <c r="B1043" s="0" t="s">
        <v>2042</v>
      </c>
      <c r="C1043" s="0" t="s">
        <v>2156</v>
      </c>
      <c r="D1043" s="0" t="s">
        <v>2279</v>
      </c>
      <c r="E1043" s="0" t="s">
        <v>2279</v>
      </c>
      <c r="F1043" s="0" t="s">
        <v>2292</v>
      </c>
      <c r="G1043" s="0" t="s">
        <v>2293</v>
      </c>
      <c r="H1043" s="0" t="s">
        <v>2200</v>
      </c>
      <c r="J1043" s="0" t="s">
        <v>2160</v>
      </c>
      <c r="K1043" s="272" t="n">
        <v>1614620.1435</v>
      </c>
    </row>
    <row r="1044" customFormat="false" ht="15" hidden="false" customHeight="false" outlineLevel="0" collapsed="false">
      <c r="A1044" s="0" t="s">
        <v>2041</v>
      </c>
      <c r="B1044" s="0" t="s">
        <v>2042</v>
      </c>
      <c r="C1044" s="0" t="s">
        <v>2161</v>
      </c>
      <c r="D1044" s="0" t="s">
        <v>2279</v>
      </c>
      <c r="E1044" s="0" t="s">
        <v>2279</v>
      </c>
      <c r="F1044" s="0" t="s">
        <v>2292</v>
      </c>
      <c r="G1044" s="0" t="s">
        <v>2293</v>
      </c>
      <c r="H1044" s="0" t="s">
        <v>2200</v>
      </c>
      <c r="J1044" s="0" t="s">
        <v>2160</v>
      </c>
      <c r="K1044" s="272" t="n">
        <v>355216.511000001</v>
      </c>
    </row>
    <row r="1045" customFormat="false" ht="15" hidden="false" customHeight="false" outlineLevel="0" collapsed="false">
      <c r="A1045" s="0" t="s">
        <v>2041</v>
      </c>
      <c r="B1045" s="0" t="s">
        <v>2042</v>
      </c>
      <c r="C1045" s="0" t="s">
        <v>2156</v>
      </c>
      <c r="D1045" s="0" t="s">
        <v>2279</v>
      </c>
      <c r="E1045" s="0" t="s">
        <v>2279</v>
      </c>
      <c r="F1045" s="0" t="s">
        <v>2292</v>
      </c>
      <c r="G1045" s="0" t="s">
        <v>2293</v>
      </c>
      <c r="H1045" s="0" t="s">
        <v>2202</v>
      </c>
      <c r="J1045" s="0" t="s">
        <v>2160</v>
      </c>
      <c r="K1045" s="272" t="n">
        <v>-125496.315</v>
      </c>
    </row>
    <row r="1046" customFormat="false" ht="15" hidden="false" customHeight="false" outlineLevel="0" collapsed="false">
      <c r="A1046" s="0" t="s">
        <v>2041</v>
      </c>
      <c r="B1046" s="0" t="s">
        <v>2042</v>
      </c>
      <c r="C1046" s="0" t="s">
        <v>2161</v>
      </c>
      <c r="D1046" s="0" t="s">
        <v>2279</v>
      </c>
      <c r="E1046" s="0" t="s">
        <v>2279</v>
      </c>
      <c r="F1046" s="0" t="s">
        <v>2292</v>
      </c>
      <c r="G1046" s="0" t="s">
        <v>2293</v>
      </c>
      <c r="H1046" s="0" t="s">
        <v>2202</v>
      </c>
      <c r="J1046" s="0" t="s">
        <v>2160</v>
      </c>
      <c r="K1046" s="272" t="n">
        <v>-25099.263</v>
      </c>
    </row>
    <row r="1047" customFormat="false" ht="15" hidden="false" customHeight="false" outlineLevel="0" collapsed="false">
      <c r="A1047" s="0" t="s">
        <v>2041</v>
      </c>
      <c r="B1047" s="0" t="s">
        <v>2042</v>
      </c>
      <c r="C1047" s="0" t="s">
        <v>2156</v>
      </c>
      <c r="D1047" s="0" t="s">
        <v>2279</v>
      </c>
      <c r="E1047" s="0" t="s">
        <v>2279</v>
      </c>
      <c r="F1047" s="0" t="s">
        <v>2292</v>
      </c>
      <c r="G1047" s="0" t="s">
        <v>2293</v>
      </c>
      <c r="H1047" s="0" t="s">
        <v>2202</v>
      </c>
      <c r="J1047" s="0" t="s">
        <v>2160</v>
      </c>
      <c r="K1047" s="272" t="n">
        <v>869410.846500001</v>
      </c>
    </row>
    <row r="1048" customFormat="false" ht="15" hidden="false" customHeight="false" outlineLevel="0" collapsed="false">
      <c r="A1048" s="0" t="s">
        <v>2041</v>
      </c>
      <c r="B1048" s="0" t="s">
        <v>2042</v>
      </c>
      <c r="C1048" s="0" t="s">
        <v>2161</v>
      </c>
      <c r="D1048" s="0" t="s">
        <v>2279</v>
      </c>
      <c r="E1048" s="0" t="s">
        <v>2279</v>
      </c>
      <c r="F1048" s="0" t="s">
        <v>2292</v>
      </c>
      <c r="G1048" s="0" t="s">
        <v>2293</v>
      </c>
      <c r="H1048" s="0" t="s">
        <v>2202</v>
      </c>
      <c r="J1048" s="0" t="s">
        <v>2160</v>
      </c>
      <c r="K1048" s="272" t="n">
        <v>191270.429</v>
      </c>
    </row>
    <row r="1049" customFormat="false" ht="15" hidden="false" customHeight="false" outlineLevel="0" collapsed="false">
      <c r="A1049" s="0" t="s">
        <v>2041</v>
      </c>
      <c r="B1049" s="0" t="s">
        <v>2042</v>
      </c>
      <c r="C1049" s="0" t="s">
        <v>2156</v>
      </c>
      <c r="D1049" s="0" t="s">
        <v>2279</v>
      </c>
      <c r="E1049" s="0" t="s">
        <v>2279</v>
      </c>
      <c r="F1049" s="0" t="s">
        <v>2292</v>
      </c>
      <c r="G1049" s="0" t="s">
        <v>2293</v>
      </c>
      <c r="H1049" s="0" t="s">
        <v>2306</v>
      </c>
      <c r="J1049" s="0" t="s">
        <v>2160</v>
      </c>
      <c r="K1049" s="272" t="n">
        <v>150316.57</v>
      </c>
    </row>
    <row r="1050" customFormat="false" ht="15" hidden="false" customHeight="false" outlineLevel="0" collapsed="false">
      <c r="A1050" s="0" t="s">
        <v>2041</v>
      </c>
      <c r="B1050" s="0" t="s">
        <v>2042</v>
      </c>
      <c r="C1050" s="0" t="s">
        <v>2161</v>
      </c>
      <c r="D1050" s="0" t="s">
        <v>2279</v>
      </c>
      <c r="E1050" s="0" t="s">
        <v>2279</v>
      </c>
      <c r="F1050" s="0" t="s">
        <v>2292</v>
      </c>
      <c r="G1050" s="0" t="s">
        <v>2293</v>
      </c>
      <c r="H1050" s="0" t="s">
        <v>2306</v>
      </c>
      <c r="J1050" s="0" t="s">
        <v>2160</v>
      </c>
      <c r="K1050" s="272" t="n">
        <v>33069.66</v>
      </c>
    </row>
    <row r="1051" customFormat="false" ht="15" hidden="false" customHeight="false" outlineLevel="0" collapsed="false">
      <c r="A1051" s="0" t="s">
        <v>2041</v>
      </c>
      <c r="B1051" s="0" t="s">
        <v>2042</v>
      </c>
      <c r="C1051" s="0" t="s">
        <v>2156</v>
      </c>
      <c r="D1051" s="0" t="s">
        <v>2279</v>
      </c>
      <c r="E1051" s="0" t="s">
        <v>2279</v>
      </c>
      <c r="F1051" s="0" t="s">
        <v>2292</v>
      </c>
      <c r="G1051" s="0" t="s">
        <v>2293</v>
      </c>
      <c r="H1051" s="0" t="s">
        <v>2182</v>
      </c>
      <c r="J1051" s="0" t="s">
        <v>2160</v>
      </c>
      <c r="K1051" s="272" t="n">
        <v>1604340.29</v>
      </c>
    </row>
    <row r="1052" customFormat="false" ht="15" hidden="false" customHeight="false" outlineLevel="0" collapsed="false">
      <c r="A1052" s="0" t="s">
        <v>2041</v>
      </c>
      <c r="B1052" s="0" t="s">
        <v>2042</v>
      </c>
      <c r="C1052" s="0" t="s">
        <v>2161</v>
      </c>
      <c r="D1052" s="0" t="s">
        <v>2279</v>
      </c>
      <c r="E1052" s="0" t="s">
        <v>2279</v>
      </c>
      <c r="F1052" s="0" t="s">
        <v>2292</v>
      </c>
      <c r="G1052" s="0" t="s">
        <v>2293</v>
      </c>
      <c r="H1052" s="0" t="s">
        <v>2182</v>
      </c>
      <c r="J1052" s="0" t="s">
        <v>2160</v>
      </c>
      <c r="K1052" s="272" t="n">
        <v>352954.865</v>
      </c>
    </row>
    <row r="1053" customFormat="false" ht="15" hidden="false" customHeight="false" outlineLevel="0" collapsed="false">
      <c r="A1053" s="0" t="s">
        <v>2041</v>
      </c>
      <c r="B1053" s="0" t="s">
        <v>2042</v>
      </c>
      <c r="C1053" s="0" t="s">
        <v>2156</v>
      </c>
      <c r="D1053" s="0" t="s">
        <v>2279</v>
      </c>
      <c r="E1053" s="0" t="s">
        <v>2279</v>
      </c>
      <c r="F1053" s="0" t="s">
        <v>2292</v>
      </c>
      <c r="G1053" s="0" t="s">
        <v>2293</v>
      </c>
      <c r="H1053" s="0" t="s">
        <v>2289</v>
      </c>
      <c r="J1053" s="0" t="s">
        <v>2160</v>
      </c>
      <c r="K1053" s="272" t="n">
        <v>-994717.465</v>
      </c>
    </row>
    <row r="1054" customFormat="false" ht="15" hidden="false" customHeight="false" outlineLevel="0" collapsed="false">
      <c r="A1054" s="0" t="s">
        <v>2041</v>
      </c>
      <c r="B1054" s="0" t="s">
        <v>2042</v>
      </c>
      <c r="C1054" s="0" t="s">
        <v>2161</v>
      </c>
      <c r="D1054" s="0" t="s">
        <v>2279</v>
      </c>
      <c r="E1054" s="0" t="s">
        <v>2279</v>
      </c>
      <c r="F1054" s="0" t="s">
        <v>2292</v>
      </c>
      <c r="G1054" s="0" t="s">
        <v>2293</v>
      </c>
      <c r="H1054" s="0" t="s">
        <v>2289</v>
      </c>
      <c r="J1054" s="0" t="s">
        <v>2160</v>
      </c>
      <c r="K1054" s="272" t="n">
        <v>-198943.49</v>
      </c>
    </row>
    <row r="1055" customFormat="false" ht="15" hidden="false" customHeight="false" outlineLevel="0" collapsed="false">
      <c r="A1055" s="0" t="s">
        <v>2041</v>
      </c>
      <c r="B1055" s="0" t="s">
        <v>2042</v>
      </c>
      <c r="C1055" s="0" t="s">
        <v>2156</v>
      </c>
      <c r="D1055" s="0" t="s">
        <v>2279</v>
      </c>
      <c r="E1055" s="0" t="s">
        <v>2279</v>
      </c>
      <c r="F1055" s="0" t="s">
        <v>2292</v>
      </c>
      <c r="G1055" s="0" t="s">
        <v>2293</v>
      </c>
      <c r="H1055" s="0" t="s">
        <v>2289</v>
      </c>
      <c r="J1055" s="0" t="s">
        <v>2160</v>
      </c>
      <c r="K1055" s="272" t="n">
        <v>627449.3</v>
      </c>
    </row>
    <row r="1056" customFormat="false" ht="15" hidden="false" customHeight="false" outlineLevel="0" collapsed="false">
      <c r="A1056" s="0" t="s">
        <v>2041</v>
      </c>
      <c r="B1056" s="0" t="s">
        <v>2042</v>
      </c>
      <c r="C1056" s="0" t="s">
        <v>2161</v>
      </c>
      <c r="D1056" s="0" t="s">
        <v>2279</v>
      </c>
      <c r="E1056" s="0" t="s">
        <v>2279</v>
      </c>
      <c r="F1056" s="0" t="s">
        <v>2292</v>
      </c>
      <c r="G1056" s="0" t="s">
        <v>2293</v>
      </c>
      <c r="H1056" s="0" t="s">
        <v>2289</v>
      </c>
      <c r="J1056" s="0" t="s">
        <v>2160</v>
      </c>
      <c r="K1056" s="272" t="n">
        <v>138038.85</v>
      </c>
    </row>
    <row r="1057" customFormat="false" ht="15" hidden="false" customHeight="false" outlineLevel="0" collapsed="false">
      <c r="A1057" s="0" t="s">
        <v>2041</v>
      </c>
      <c r="B1057" s="0" t="s">
        <v>2042</v>
      </c>
      <c r="C1057" s="0" t="s">
        <v>2156</v>
      </c>
      <c r="D1057" s="0" t="s">
        <v>2279</v>
      </c>
      <c r="E1057" s="0" t="s">
        <v>2279</v>
      </c>
      <c r="F1057" s="0" t="s">
        <v>2292</v>
      </c>
      <c r="G1057" s="0" t="s">
        <v>2293</v>
      </c>
      <c r="H1057" s="0" t="s">
        <v>2307</v>
      </c>
      <c r="J1057" s="0" t="s">
        <v>2160</v>
      </c>
      <c r="K1057" s="272" t="n">
        <v>773552.18</v>
      </c>
    </row>
    <row r="1058" customFormat="false" ht="15" hidden="false" customHeight="false" outlineLevel="0" collapsed="false">
      <c r="A1058" s="0" t="s">
        <v>2041</v>
      </c>
      <c r="B1058" s="0" t="s">
        <v>2042</v>
      </c>
      <c r="C1058" s="0" t="s">
        <v>2161</v>
      </c>
      <c r="D1058" s="0" t="s">
        <v>2279</v>
      </c>
      <c r="E1058" s="0" t="s">
        <v>2279</v>
      </c>
      <c r="F1058" s="0" t="s">
        <v>2292</v>
      </c>
      <c r="G1058" s="0" t="s">
        <v>2293</v>
      </c>
      <c r="H1058" s="0" t="s">
        <v>2307</v>
      </c>
      <c r="J1058" s="0" t="s">
        <v>2160</v>
      </c>
      <c r="K1058" s="272" t="n">
        <v>170181.48</v>
      </c>
    </row>
    <row r="1059" customFormat="false" ht="15" hidden="false" customHeight="false" outlineLevel="0" collapsed="false">
      <c r="A1059" s="0" t="s">
        <v>2041</v>
      </c>
      <c r="B1059" s="0" t="s">
        <v>2042</v>
      </c>
      <c r="C1059" s="0" t="s">
        <v>2156</v>
      </c>
      <c r="D1059" s="0" t="s">
        <v>2279</v>
      </c>
      <c r="E1059" s="0" t="s">
        <v>2279</v>
      </c>
      <c r="F1059" s="0" t="s">
        <v>2292</v>
      </c>
      <c r="G1059" s="0" t="s">
        <v>2293</v>
      </c>
      <c r="H1059" s="0" t="s">
        <v>2308</v>
      </c>
      <c r="J1059" s="0" t="s">
        <v>2160</v>
      </c>
      <c r="K1059" s="272" t="n">
        <v>506219.95</v>
      </c>
    </row>
    <row r="1060" customFormat="false" ht="15" hidden="false" customHeight="false" outlineLevel="0" collapsed="false">
      <c r="A1060" s="0" t="s">
        <v>2041</v>
      </c>
      <c r="B1060" s="0" t="s">
        <v>2042</v>
      </c>
      <c r="C1060" s="0" t="s">
        <v>2161</v>
      </c>
      <c r="D1060" s="0" t="s">
        <v>2279</v>
      </c>
      <c r="E1060" s="0" t="s">
        <v>2279</v>
      </c>
      <c r="F1060" s="0" t="s">
        <v>2292</v>
      </c>
      <c r="G1060" s="0" t="s">
        <v>2293</v>
      </c>
      <c r="H1060" s="0" t="s">
        <v>2308</v>
      </c>
      <c r="J1060" s="0" t="s">
        <v>2160</v>
      </c>
      <c r="K1060" s="272" t="n">
        <v>111368.39</v>
      </c>
    </row>
    <row r="1061" customFormat="false" ht="15" hidden="false" customHeight="false" outlineLevel="0" collapsed="false">
      <c r="A1061" s="0" t="s">
        <v>2041</v>
      </c>
      <c r="B1061" s="0" t="s">
        <v>2042</v>
      </c>
      <c r="C1061" s="0" t="s">
        <v>2156</v>
      </c>
      <c r="D1061" s="0" t="s">
        <v>2279</v>
      </c>
      <c r="E1061" s="0" t="s">
        <v>2279</v>
      </c>
      <c r="F1061" s="0" t="s">
        <v>2292</v>
      </c>
      <c r="G1061" s="0" t="s">
        <v>2293</v>
      </c>
      <c r="H1061" s="0" t="s">
        <v>2309</v>
      </c>
      <c r="J1061" s="0" t="s">
        <v>2160</v>
      </c>
      <c r="K1061" s="272" t="n">
        <v>1047243.98</v>
      </c>
    </row>
    <row r="1062" customFormat="false" ht="15" hidden="false" customHeight="false" outlineLevel="0" collapsed="false">
      <c r="A1062" s="0" t="s">
        <v>2041</v>
      </c>
      <c r="B1062" s="0" t="s">
        <v>2042</v>
      </c>
      <c r="C1062" s="0" t="s">
        <v>2161</v>
      </c>
      <c r="D1062" s="0" t="s">
        <v>2279</v>
      </c>
      <c r="E1062" s="0" t="s">
        <v>2279</v>
      </c>
      <c r="F1062" s="0" t="s">
        <v>2292</v>
      </c>
      <c r="G1062" s="0" t="s">
        <v>2293</v>
      </c>
      <c r="H1062" s="0" t="s">
        <v>2309</v>
      </c>
      <c r="J1062" s="0" t="s">
        <v>2160</v>
      </c>
      <c r="K1062" s="272" t="n">
        <v>230393.7</v>
      </c>
    </row>
    <row r="1063" customFormat="false" ht="15" hidden="false" customHeight="false" outlineLevel="0" collapsed="false">
      <c r="A1063" s="0" t="s">
        <v>2041</v>
      </c>
      <c r="B1063" s="0" t="s">
        <v>2042</v>
      </c>
      <c r="C1063" s="0" t="s">
        <v>2156</v>
      </c>
      <c r="D1063" s="0" t="s">
        <v>2279</v>
      </c>
      <c r="E1063" s="0" t="s">
        <v>2279</v>
      </c>
      <c r="F1063" s="0" t="s">
        <v>2292</v>
      </c>
      <c r="G1063" s="0" t="s">
        <v>2293</v>
      </c>
      <c r="H1063" s="0" t="s">
        <v>2310</v>
      </c>
      <c r="J1063" s="0" t="s">
        <v>2160</v>
      </c>
      <c r="K1063" s="272" t="n">
        <v>579296.96</v>
      </c>
    </row>
    <row r="1064" customFormat="false" ht="15" hidden="false" customHeight="false" outlineLevel="0" collapsed="false">
      <c r="A1064" s="0" t="s">
        <v>2041</v>
      </c>
      <c r="B1064" s="0" t="s">
        <v>2042</v>
      </c>
      <c r="C1064" s="0" t="s">
        <v>2161</v>
      </c>
      <c r="D1064" s="0" t="s">
        <v>2279</v>
      </c>
      <c r="E1064" s="0" t="s">
        <v>2279</v>
      </c>
      <c r="F1064" s="0" t="s">
        <v>2292</v>
      </c>
      <c r="G1064" s="0" t="s">
        <v>2293</v>
      </c>
      <c r="H1064" s="0" t="s">
        <v>2310</v>
      </c>
      <c r="J1064" s="0" t="s">
        <v>2160</v>
      </c>
      <c r="K1064" s="272" t="n">
        <v>127445.36</v>
      </c>
    </row>
    <row r="1065" customFormat="false" ht="15" hidden="false" customHeight="false" outlineLevel="0" collapsed="false">
      <c r="A1065" s="0" t="s">
        <v>2041</v>
      </c>
      <c r="B1065" s="0" t="s">
        <v>2042</v>
      </c>
      <c r="C1065" s="0" t="s">
        <v>2156</v>
      </c>
      <c r="D1065" s="0" t="s">
        <v>2279</v>
      </c>
      <c r="E1065" s="0" t="s">
        <v>2279</v>
      </c>
      <c r="F1065" s="0" t="s">
        <v>2292</v>
      </c>
      <c r="G1065" s="0" t="s">
        <v>2293</v>
      </c>
      <c r="H1065" s="0" t="s">
        <v>2311</v>
      </c>
      <c r="J1065" s="0" t="s">
        <v>2160</v>
      </c>
      <c r="K1065" s="272" t="n">
        <v>560218.31</v>
      </c>
    </row>
    <row r="1066" customFormat="false" ht="15" hidden="false" customHeight="false" outlineLevel="0" collapsed="false">
      <c r="A1066" s="0" t="s">
        <v>2041</v>
      </c>
      <c r="B1066" s="0" t="s">
        <v>2042</v>
      </c>
      <c r="C1066" s="0" t="s">
        <v>2161</v>
      </c>
      <c r="D1066" s="0" t="s">
        <v>2279</v>
      </c>
      <c r="E1066" s="0" t="s">
        <v>2279</v>
      </c>
      <c r="F1066" s="0" t="s">
        <v>2292</v>
      </c>
      <c r="G1066" s="0" t="s">
        <v>2293</v>
      </c>
      <c r="H1066" s="0" t="s">
        <v>2311</v>
      </c>
      <c r="J1066" s="0" t="s">
        <v>2160</v>
      </c>
      <c r="K1066" s="272" t="n">
        <v>123248.02</v>
      </c>
    </row>
    <row r="1067" customFormat="false" ht="15" hidden="false" customHeight="false" outlineLevel="0" collapsed="false">
      <c r="A1067" s="0" t="s">
        <v>2041</v>
      </c>
      <c r="B1067" s="0" t="s">
        <v>2042</v>
      </c>
      <c r="C1067" s="0" t="s">
        <v>2156</v>
      </c>
      <c r="D1067" s="0" t="s">
        <v>2279</v>
      </c>
      <c r="E1067" s="0" t="s">
        <v>2279</v>
      </c>
      <c r="F1067" s="0" t="s">
        <v>2292</v>
      </c>
      <c r="G1067" s="0" t="s">
        <v>2293</v>
      </c>
      <c r="H1067" s="0" t="s">
        <v>2312</v>
      </c>
      <c r="J1067" s="0" t="s">
        <v>2160</v>
      </c>
      <c r="K1067" s="272" t="n">
        <v>729844.75</v>
      </c>
    </row>
    <row r="1068" customFormat="false" ht="15" hidden="false" customHeight="false" outlineLevel="0" collapsed="false">
      <c r="A1068" s="0" t="s">
        <v>2041</v>
      </c>
      <c r="B1068" s="0" t="s">
        <v>2042</v>
      </c>
      <c r="C1068" s="0" t="s">
        <v>2161</v>
      </c>
      <c r="D1068" s="0" t="s">
        <v>2279</v>
      </c>
      <c r="E1068" s="0" t="s">
        <v>2279</v>
      </c>
      <c r="F1068" s="0" t="s">
        <v>2292</v>
      </c>
      <c r="G1068" s="0" t="s">
        <v>2293</v>
      </c>
      <c r="H1068" s="0" t="s">
        <v>2312</v>
      </c>
      <c r="J1068" s="0" t="s">
        <v>2160</v>
      </c>
      <c r="K1068" s="272" t="n">
        <v>160565.85</v>
      </c>
    </row>
    <row r="1069" customFormat="false" ht="15" hidden="false" customHeight="false" outlineLevel="0" collapsed="false">
      <c r="A1069" s="0" t="s">
        <v>2041</v>
      </c>
      <c r="B1069" s="0" t="s">
        <v>2042</v>
      </c>
      <c r="C1069" s="0" t="s">
        <v>2156</v>
      </c>
      <c r="D1069" s="0" t="s">
        <v>2279</v>
      </c>
      <c r="E1069" s="0" t="s">
        <v>2279</v>
      </c>
      <c r="F1069" s="0" t="s">
        <v>2292</v>
      </c>
      <c r="G1069" s="0" t="s">
        <v>2293</v>
      </c>
      <c r="H1069" s="0" t="s">
        <v>2313</v>
      </c>
      <c r="J1069" s="0" t="s">
        <v>2160</v>
      </c>
      <c r="K1069" s="272" t="n">
        <v>-5124410.18</v>
      </c>
    </row>
    <row r="1070" customFormat="false" ht="15" hidden="false" customHeight="false" outlineLevel="0" collapsed="false">
      <c r="A1070" s="0" t="s">
        <v>2041</v>
      </c>
      <c r="B1070" s="0" t="s">
        <v>2042</v>
      </c>
      <c r="C1070" s="0" t="s">
        <v>2161</v>
      </c>
      <c r="D1070" s="0" t="s">
        <v>2279</v>
      </c>
      <c r="E1070" s="0" t="s">
        <v>2279</v>
      </c>
      <c r="F1070" s="0" t="s">
        <v>2292</v>
      </c>
      <c r="G1070" s="0" t="s">
        <v>2293</v>
      </c>
      <c r="H1070" s="0" t="s">
        <v>2313</v>
      </c>
      <c r="J1070" s="0" t="s">
        <v>2160</v>
      </c>
      <c r="K1070" s="272" t="n">
        <v>-1024882.04</v>
      </c>
    </row>
    <row r="1071" customFormat="false" ht="15" hidden="false" customHeight="false" outlineLevel="0" collapsed="false">
      <c r="A1071" s="0" t="s">
        <v>2041</v>
      </c>
      <c r="B1071" s="0" t="s">
        <v>2042</v>
      </c>
      <c r="C1071" s="0" t="s">
        <v>2156</v>
      </c>
      <c r="D1071" s="0" t="s">
        <v>2279</v>
      </c>
      <c r="E1071" s="0" t="s">
        <v>2279</v>
      </c>
      <c r="F1071" s="0" t="s">
        <v>2292</v>
      </c>
      <c r="G1071" s="0" t="s">
        <v>2293</v>
      </c>
      <c r="H1071" s="0" t="s">
        <v>2313</v>
      </c>
      <c r="J1071" s="0" t="s">
        <v>2160</v>
      </c>
      <c r="K1071" s="272" t="n">
        <v>496815.52</v>
      </c>
    </row>
    <row r="1072" customFormat="false" ht="15" hidden="false" customHeight="false" outlineLevel="0" collapsed="false">
      <c r="A1072" s="0" t="s">
        <v>2041</v>
      </c>
      <c r="B1072" s="0" t="s">
        <v>2042</v>
      </c>
      <c r="C1072" s="0" t="s">
        <v>2161</v>
      </c>
      <c r="D1072" s="0" t="s">
        <v>2279</v>
      </c>
      <c r="E1072" s="0" t="s">
        <v>2279</v>
      </c>
      <c r="F1072" s="0" t="s">
        <v>2292</v>
      </c>
      <c r="G1072" s="0" t="s">
        <v>2293</v>
      </c>
      <c r="H1072" s="0" t="s">
        <v>2313</v>
      </c>
      <c r="J1072" s="0" t="s">
        <v>2160</v>
      </c>
      <c r="K1072" s="272" t="n">
        <v>109299.42</v>
      </c>
    </row>
    <row r="1073" customFormat="false" ht="15" hidden="false" customHeight="false" outlineLevel="0" collapsed="false">
      <c r="A1073" s="0" t="s">
        <v>2041</v>
      </c>
      <c r="B1073" s="0" t="s">
        <v>2042</v>
      </c>
      <c r="C1073" s="0" t="s">
        <v>2156</v>
      </c>
      <c r="D1073" s="0" t="s">
        <v>2279</v>
      </c>
      <c r="E1073" s="0" t="s">
        <v>2279</v>
      </c>
      <c r="F1073" s="0" t="s">
        <v>2292</v>
      </c>
      <c r="G1073" s="0" t="s">
        <v>2293</v>
      </c>
      <c r="H1073" s="0" t="s">
        <v>2314</v>
      </c>
      <c r="J1073" s="0" t="s">
        <v>2160</v>
      </c>
      <c r="K1073" s="272" t="n">
        <v>-5124410.19</v>
      </c>
    </row>
    <row r="1074" customFormat="false" ht="15" hidden="false" customHeight="false" outlineLevel="0" collapsed="false">
      <c r="A1074" s="0" t="s">
        <v>2041</v>
      </c>
      <c r="B1074" s="0" t="s">
        <v>2042</v>
      </c>
      <c r="C1074" s="0" t="s">
        <v>2161</v>
      </c>
      <c r="D1074" s="0" t="s">
        <v>2279</v>
      </c>
      <c r="E1074" s="0" t="s">
        <v>2279</v>
      </c>
      <c r="F1074" s="0" t="s">
        <v>2292</v>
      </c>
      <c r="G1074" s="0" t="s">
        <v>2293</v>
      </c>
      <c r="H1074" s="0" t="s">
        <v>2314</v>
      </c>
      <c r="J1074" s="0" t="s">
        <v>2160</v>
      </c>
      <c r="K1074" s="272" t="n">
        <v>-1024882.02</v>
      </c>
    </row>
    <row r="1075" customFormat="false" ht="15" hidden="false" customHeight="false" outlineLevel="0" collapsed="false">
      <c r="A1075" s="0" t="s">
        <v>2041</v>
      </c>
      <c r="B1075" s="0" t="s">
        <v>2042</v>
      </c>
      <c r="C1075" s="0" t="s">
        <v>2156</v>
      </c>
      <c r="D1075" s="0" t="s">
        <v>2279</v>
      </c>
      <c r="E1075" s="0" t="s">
        <v>2279</v>
      </c>
      <c r="F1075" s="0" t="s">
        <v>2292</v>
      </c>
      <c r="G1075" s="0" t="s">
        <v>2293</v>
      </c>
      <c r="H1075" s="0" t="s">
        <v>2314</v>
      </c>
      <c r="J1075" s="0" t="s">
        <v>2160</v>
      </c>
      <c r="K1075" s="272" t="n">
        <v>496815.54</v>
      </c>
    </row>
    <row r="1076" customFormat="false" ht="15" hidden="false" customHeight="false" outlineLevel="0" collapsed="false">
      <c r="A1076" s="0" t="s">
        <v>2041</v>
      </c>
      <c r="B1076" s="0" t="s">
        <v>2042</v>
      </c>
      <c r="C1076" s="0" t="s">
        <v>2161</v>
      </c>
      <c r="D1076" s="0" t="s">
        <v>2279</v>
      </c>
      <c r="E1076" s="0" t="s">
        <v>2279</v>
      </c>
      <c r="F1076" s="0" t="s">
        <v>2292</v>
      </c>
      <c r="G1076" s="0" t="s">
        <v>2293</v>
      </c>
      <c r="H1076" s="0" t="s">
        <v>2314</v>
      </c>
      <c r="J1076" s="0" t="s">
        <v>2160</v>
      </c>
      <c r="K1076" s="272" t="n">
        <v>109299.42</v>
      </c>
    </row>
    <row r="1077" customFormat="false" ht="15" hidden="false" customHeight="false" outlineLevel="0" collapsed="false">
      <c r="A1077" s="0" t="s">
        <v>2041</v>
      </c>
      <c r="B1077" s="0" t="s">
        <v>2042</v>
      </c>
      <c r="C1077" s="0" t="s">
        <v>2156</v>
      </c>
      <c r="D1077" s="0" t="s">
        <v>2279</v>
      </c>
      <c r="E1077" s="0" t="s">
        <v>2279</v>
      </c>
      <c r="F1077" s="0" t="s">
        <v>2292</v>
      </c>
      <c r="G1077" s="0" t="s">
        <v>2293</v>
      </c>
      <c r="H1077" s="0" t="s">
        <v>2315</v>
      </c>
      <c r="J1077" s="0" t="s">
        <v>2160</v>
      </c>
      <c r="K1077" s="272" t="n">
        <v>-5124410.19</v>
      </c>
    </row>
    <row r="1078" customFormat="false" ht="15" hidden="false" customHeight="false" outlineLevel="0" collapsed="false">
      <c r="A1078" s="0" t="s">
        <v>2041</v>
      </c>
      <c r="B1078" s="0" t="s">
        <v>2042</v>
      </c>
      <c r="C1078" s="0" t="s">
        <v>2161</v>
      </c>
      <c r="D1078" s="0" t="s">
        <v>2279</v>
      </c>
      <c r="E1078" s="0" t="s">
        <v>2279</v>
      </c>
      <c r="F1078" s="0" t="s">
        <v>2292</v>
      </c>
      <c r="G1078" s="0" t="s">
        <v>2293</v>
      </c>
      <c r="H1078" s="0" t="s">
        <v>2315</v>
      </c>
      <c r="J1078" s="0" t="s">
        <v>2160</v>
      </c>
      <c r="K1078" s="272" t="n">
        <v>-1024882.02</v>
      </c>
    </row>
    <row r="1079" customFormat="false" ht="15" hidden="false" customHeight="false" outlineLevel="0" collapsed="false">
      <c r="A1079" s="0" t="s">
        <v>2041</v>
      </c>
      <c r="B1079" s="0" t="s">
        <v>2042</v>
      </c>
      <c r="C1079" s="0" t="s">
        <v>2156</v>
      </c>
      <c r="D1079" s="0" t="s">
        <v>2279</v>
      </c>
      <c r="E1079" s="0" t="s">
        <v>2279</v>
      </c>
      <c r="F1079" s="0" t="s">
        <v>2292</v>
      </c>
      <c r="G1079" s="0" t="s">
        <v>2293</v>
      </c>
      <c r="H1079" s="0" t="s">
        <v>2315</v>
      </c>
      <c r="J1079" s="0" t="s">
        <v>2160</v>
      </c>
      <c r="K1079" s="272" t="n">
        <v>496815.53</v>
      </c>
    </row>
    <row r="1080" customFormat="false" ht="15" hidden="false" customHeight="false" outlineLevel="0" collapsed="false">
      <c r="A1080" s="0" t="s">
        <v>2041</v>
      </c>
      <c r="B1080" s="0" t="s">
        <v>2042</v>
      </c>
      <c r="C1080" s="0" t="s">
        <v>2161</v>
      </c>
      <c r="D1080" s="0" t="s">
        <v>2279</v>
      </c>
      <c r="E1080" s="0" t="s">
        <v>2279</v>
      </c>
      <c r="F1080" s="0" t="s">
        <v>2292</v>
      </c>
      <c r="G1080" s="0" t="s">
        <v>2293</v>
      </c>
      <c r="H1080" s="0" t="s">
        <v>2315</v>
      </c>
      <c r="J1080" s="0" t="s">
        <v>2160</v>
      </c>
      <c r="K1080" s="272" t="n">
        <v>109299.41</v>
      </c>
    </row>
    <row r="1081" customFormat="false" ht="15" hidden="false" customHeight="false" outlineLevel="0" collapsed="false">
      <c r="A1081" s="0" t="s">
        <v>2041</v>
      </c>
      <c r="B1081" s="0" t="s">
        <v>2042</v>
      </c>
      <c r="C1081" s="0" t="s">
        <v>2156</v>
      </c>
      <c r="D1081" s="0" t="s">
        <v>2279</v>
      </c>
      <c r="E1081" s="0" t="s">
        <v>2279</v>
      </c>
      <c r="F1081" s="0" t="s">
        <v>2292</v>
      </c>
      <c r="G1081" s="0" t="s">
        <v>2293</v>
      </c>
      <c r="H1081" s="0" t="s">
        <v>2316</v>
      </c>
      <c r="J1081" s="0" t="s">
        <v>2160</v>
      </c>
      <c r="K1081" s="272" t="n">
        <v>-703242.115</v>
      </c>
    </row>
    <row r="1082" customFormat="false" ht="15" hidden="false" customHeight="false" outlineLevel="0" collapsed="false">
      <c r="A1082" s="0" t="s">
        <v>2041</v>
      </c>
      <c r="B1082" s="0" t="s">
        <v>2042</v>
      </c>
      <c r="C1082" s="0" t="s">
        <v>2161</v>
      </c>
      <c r="D1082" s="0" t="s">
        <v>2279</v>
      </c>
      <c r="E1082" s="0" t="s">
        <v>2279</v>
      </c>
      <c r="F1082" s="0" t="s">
        <v>2292</v>
      </c>
      <c r="G1082" s="0" t="s">
        <v>2293</v>
      </c>
      <c r="H1082" s="0" t="s">
        <v>2316</v>
      </c>
      <c r="J1082" s="0" t="s">
        <v>2160</v>
      </c>
      <c r="K1082" s="272" t="n">
        <v>-140648.42</v>
      </c>
    </row>
    <row r="1083" customFormat="false" ht="15" hidden="false" customHeight="false" outlineLevel="0" collapsed="false">
      <c r="A1083" s="0" t="s">
        <v>2041</v>
      </c>
      <c r="B1083" s="0" t="s">
        <v>2042</v>
      </c>
      <c r="C1083" s="0" t="s">
        <v>2156</v>
      </c>
      <c r="D1083" s="0" t="s">
        <v>2279</v>
      </c>
      <c r="E1083" s="0" t="s">
        <v>2279</v>
      </c>
      <c r="F1083" s="0" t="s">
        <v>2292</v>
      </c>
      <c r="G1083" s="0" t="s">
        <v>2293</v>
      </c>
      <c r="H1083" s="0" t="s">
        <v>2316</v>
      </c>
      <c r="J1083" s="0" t="s">
        <v>2160</v>
      </c>
      <c r="K1083" s="272" t="n">
        <v>6843932.98500002</v>
      </c>
    </row>
    <row r="1084" customFormat="false" ht="15" hidden="false" customHeight="false" outlineLevel="0" collapsed="false">
      <c r="A1084" s="0" t="s">
        <v>2041</v>
      </c>
      <c r="B1084" s="0" t="s">
        <v>2042</v>
      </c>
      <c r="C1084" s="0" t="s">
        <v>2161</v>
      </c>
      <c r="D1084" s="0" t="s">
        <v>2279</v>
      </c>
      <c r="E1084" s="0" t="s">
        <v>2279</v>
      </c>
      <c r="F1084" s="0" t="s">
        <v>2292</v>
      </c>
      <c r="G1084" s="0" t="s">
        <v>2293</v>
      </c>
      <c r="H1084" s="0" t="s">
        <v>2316</v>
      </c>
      <c r="J1084" s="0" t="s">
        <v>2160</v>
      </c>
      <c r="K1084" s="272" t="n">
        <v>1505665.265</v>
      </c>
    </row>
    <row r="1085" customFormat="false" ht="15" hidden="false" customHeight="false" outlineLevel="0" collapsed="false">
      <c r="A1085" s="0" t="s">
        <v>2041</v>
      </c>
      <c r="B1085" s="0" t="s">
        <v>2042</v>
      </c>
      <c r="C1085" s="0" t="s">
        <v>2156</v>
      </c>
      <c r="D1085" s="0" t="s">
        <v>2279</v>
      </c>
      <c r="E1085" s="0" t="s">
        <v>2279</v>
      </c>
      <c r="F1085" s="0" t="s">
        <v>2292</v>
      </c>
      <c r="G1085" s="0" t="s">
        <v>2293</v>
      </c>
      <c r="H1085" s="0" t="s">
        <v>2317</v>
      </c>
      <c r="J1085" s="0" t="s">
        <v>2160</v>
      </c>
      <c r="K1085" s="272" t="n">
        <v>-703242.115</v>
      </c>
    </row>
    <row r="1086" customFormat="false" ht="15" hidden="false" customHeight="false" outlineLevel="0" collapsed="false">
      <c r="A1086" s="0" t="s">
        <v>2041</v>
      </c>
      <c r="B1086" s="0" t="s">
        <v>2042</v>
      </c>
      <c r="C1086" s="0" t="s">
        <v>2161</v>
      </c>
      <c r="D1086" s="0" t="s">
        <v>2279</v>
      </c>
      <c r="E1086" s="0" t="s">
        <v>2279</v>
      </c>
      <c r="F1086" s="0" t="s">
        <v>2292</v>
      </c>
      <c r="G1086" s="0" t="s">
        <v>2293</v>
      </c>
      <c r="H1086" s="0" t="s">
        <v>2317</v>
      </c>
      <c r="J1086" s="0" t="s">
        <v>2160</v>
      </c>
      <c r="K1086" s="272" t="n">
        <v>-140648.42</v>
      </c>
    </row>
    <row r="1087" customFormat="false" ht="15" hidden="false" customHeight="false" outlineLevel="0" collapsed="false">
      <c r="A1087" s="0" t="s">
        <v>2041</v>
      </c>
      <c r="B1087" s="0" t="s">
        <v>2042</v>
      </c>
      <c r="C1087" s="0" t="s">
        <v>2156</v>
      </c>
      <c r="D1087" s="0" t="s">
        <v>2279</v>
      </c>
      <c r="E1087" s="0" t="s">
        <v>2279</v>
      </c>
      <c r="F1087" s="0" t="s">
        <v>2292</v>
      </c>
      <c r="G1087" s="0" t="s">
        <v>2293</v>
      </c>
      <c r="H1087" s="0" t="s">
        <v>2317</v>
      </c>
      <c r="J1087" s="0" t="s">
        <v>2160</v>
      </c>
      <c r="K1087" s="272" t="n">
        <v>848487.335</v>
      </c>
    </row>
    <row r="1088" customFormat="false" ht="15" hidden="false" customHeight="false" outlineLevel="0" collapsed="false">
      <c r="A1088" s="0" t="s">
        <v>2041</v>
      </c>
      <c r="B1088" s="0" t="s">
        <v>2042</v>
      </c>
      <c r="C1088" s="0" t="s">
        <v>2161</v>
      </c>
      <c r="D1088" s="0" t="s">
        <v>2279</v>
      </c>
      <c r="E1088" s="0" t="s">
        <v>2279</v>
      </c>
      <c r="F1088" s="0" t="s">
        <v>2292</v>
      </c>
      <c r="G1088" s="0" t="s">
        <v>2293</v>
      </c>
      <c r="H1088" s="0" t="s">
        <v>2317</v>
      </c>
      <c r="J1088" s="0" t="s">
        <v>2160</v>
      </c>
      <c r="K1088" s="272" t="n">
        <v>186667.215</v>
      </c>
    </row>
    <row r="1089" customFormat="false" ht="15" hidden="false" customHeight="false" outlineLevel="0" collapsed="false">
      <c r="A1089" s="0" t="s">
        <v>2041</v>
      </c>
      <c r="B1089" s="0" t="s">
        <v>2042</v>
      </c>
      <c r="C1089" s="0" t="s">
        <v>2156</v>
      </c>
      <c r="D1089" s="0" t="s">
        <v>2279</v>
      </c>
      <c r="E1089" s="0" t="s">
        <v>2279</v>
      </c>
      <c r="F1089" s="0" t="s">
        <v>2292</v>
      </c>
      <c r="G1089" s="0" t="s">
        <v>2293</v>
      </c>
      <c r="H1089" s="0" t="s">
        <v>2318</v>
      </c>
      <c r="J1089" s="0" t="s">
        <v>2160</v>
      </c>
      <c r="K1089" s="272" t="n">
        <v>899515.550000001</v>
      </c>
    </row>
    <row r="1090" customFormat="false" ht="15" hidden="false" customHeight="false" outlineLevel="0" collapsed="false">
      <c r="A1090" s="0" t="s">
        <v>2041</v>
      </c>
      <c r="B1090" s="0" t="s">
        <v>2042</v>
      </c>
      <c r="C1090" s="0" t="s">
        <v>2161</v>
      </c>
      <c r="D1090" s="0" t="s">
        <v>2279</v>
      </c>
      <c r="E1090" s="0" t="s">
        <v>2279</v>
      </c>
      <c r="F1090" s="0" t="s">
        <v>2292</v>
      </c>
      <c r="G1090" s="0" t="s">
        <v>2293</v>
      </c>
      <c r="H1090" s="0" t="s">
        <v>2318</v>
      </c>
      <c r="J1090" s="0" t="s">
        <v>2160</v>
      </c>
      <c r="K1090" s="272" t="n">
        <v>197893.23</v>
      </c>
    </row>
    <row r="1091" customFormat="false" ht="15" hidden="false" customHeight="false" outlineLevel="0" collapsed="false">
      <c r="A1091" s="0" t="s">
        <v>2041</v>
      </c>
      <c r="B1091" s="0" t="s">
        <v>2042</v>
      </c>
      <c r="C1091" s="0" t="s">
        <v>2156</v>
      </c>
      <c r="D1091" s="0" t="s">
        <v>2279</v>
      </c>
      <c r="E1091" s="0" t="s">
        <v>2279</v>
      </c>
      <c r="F1091" s="0" t="s">
        <v>2292</v>
      </c>
      <c r="G1091" s="0" t="s">
        <v>2293</v>
      </c>
      <c r="H1091" s="0" t="s">
        <v>2319</v>
      </c>
      <c r="J1091" s="0" t="s">
        <v>2160</v>
      </c>
      <c r="K1091" s="272" t="n">
        <v>205818.04</v>
      </c>
    </row>
    <row r="1092" customFormat="false" ht="15" hidden="false" customHeight="false" outlineLevel="0" collapsed="false">
      <c r="A1092" s="0" t="s">
        <v>2041</v>
      </c>
      <c r="B1092" s="0" t="s">
        <v>2042</v>
      </c>
      <c r="C1092" s="0" t="s">
        <v>2161</v>
      </c>
      <c r="D1092" s="0" t="s">
        <v>2279</v>
      </c>
      <c r="E1092" s="0" t="s">
        <v>2279</v>
      </c>
      <c r="F1092" s="0" t="s">
        <v>2292</v>
      </c>
      <c r="G1092" s="0" t="s">
        <v>2293</v>
      </c>
      <c r="H1092" s="0" t="s">
        <v>2319</v>
      </c>
      <c r="J1092" s="0" t="s">
        <v>2160</v>
      </c>
      <c r="K1092" s="272" t="n">
        <v>45280.01</v>
      </c>
    </row>
    <row r="1093" customFormat="false" ht="15" hidden="false" customHeight="false" outlineLevel="0" collapsed="false">
      <c r="A1093" s="0" t="s">
        <v>2041</v>
      </c>
      <c r="B1093" s="0" t="s">
        <v>2042</v>
      </c>
      <c r="C1093" s="0" t="s">
        <v>2156</v>
      </c>
      <c r="D1093" s="0" t="s">
        <v>2279</v>
      </c>
      <c r="E1093" s="0" t="s">
        <v>2279</v>
      </c>
      <c r="F1093" s="0" t="s">
        <v>2292</v>
      </c>
      <c r="G1093" s="0" t="s">
        <v>2293</v>
      </c>
      <c r="H1093" s="0" t="s">
        <v>2320</v>
      </c>
      <c r="J1093" s="0" t="s">
        <v>2160</v>
      </c>
      <c r="K1093" s="272" t="n">
        <v>122103.33</v>
      </c>
    </row>
    <row r="1094" customFormat="false" ht="15" hidden="false" customHeight="false" outlineLevel="0" collapsed="false">
      <c r="A1094" s="0" t="s">
        <v>2041</v>
      </c>
      <c r="B1094" s="0" t="s">
        <v>2042</v>
      </c>
      <c r="C1094" s="0" t="s">
        <v>2161</v>
      </c>
      <c r="D1094" s="0" t="s">
        <v>2279</v>
      </c>
      <c r="E1094" s="0" t="s">
        <v>2279</v>
      </c>
      <c r="F1094" s="0" t="s">
        <v>2292</v>
      </c>
      <c r="G1094" s="0" t="s">
        <v>2293</v>
      </c>
      <c r="H1094" s="0" t="s">
        <v>2320</v>
      </c>
      <c r="J1094" s="0" t="s">
        <v>2160</v>
      </c>
      <c r="K1094" s="272" t="n">
        <v>26862.75</v>
      </c>
    </row>
    <row r="1095" customFormat="false" ht="15" hidden="false" customHeight="false" outlineLevel="0" collapsed="false">
      <c r="A1095" s="0" t="s">
        <v>2041</v>
      </c>
      <c r="B1095" s="0" t="s">
        <v>2042</v>
      </c>
      <c r="C1095" s="0" t="s">
        <v>2156</v>
      </c>
      <c r="D1095" s="0" t="s">
        <v>2279</v>
      </c>
      <c r="E1095" s="0" t="s">
        <v>2279</v>
      </c>
      <c r="F1095" s="0" t="s">
        <v>2292</v>
      </c>
      <c r="G1095" s="0" t="s">
        <v>2293</v>
      </c>
      <c r="H1095" s="0" t="s">
        <v>2290</v>
      </c>
      <c r="J1095" s="0" t="s">
        <v>2160</v>
      </c>
      <c r="K1095" s="272" t="n">
        <v>255154.12</v>
      </c>
    </row>
    <row r="1096" customFormat="false" ht="15" hidden="false" customHeight="false" outlineLevel="0" collapsed="false">
      <c r="A1096" s="0" t="s">
        <v>2041</v>
      </c>
      <c r="B1096" s="0" t="s">
        <v>2042</v>
      </c>
      <c r="C1096" s="0" t="s">
        <v>2161</v>
      </c>
      <c r="D1096" s="0" t="s">
        <v>2279</v>
      </c>
      <c r="E1096" s="0" t="s">
        <v>2279</v>
      </c>
      <c r="F1096" s="0" t="s">
        <v>2292</v>
      </c>
      <c r="G1096" s="0" t="s">
        <v>2293</v>
      </c>
      <c r="H1096" s="0" t="s">
        <v>2290</v>
      </c>
      <c r="J1096" s="0" t="s">
        <v>2160</v>
      </c>
      <c r="K1096" s="272" t="n">
        <v>56133.9</v>
      </c>
    </row>
    <row r="1097" customFormat="false" ht="15" hidden="false" customHeight="false" outlineLevel="0" collapsed="false">
      <c r="A1097" s="0" t="s">
        <v>2041</v>
      </c>
      <c r="B1097" s="0" t="s">
        <v>2042</v>
      </c>
      <c r="C1097" s="0" t="s">
        <v>2156</v>
      </c>
      <c r="D1097" s="0" t="s">
        <v>2279</v>
      </c>
      <c r="E1097" s="0" t="s">
        <v>2279</v>
      </c>
      <c r="F1097" s="0" t="s">
        <v>2292</v>
      </c>
      <c r="G1097" s="0" t="s">
        <v>2293</v>
      </c>
      <c r="H1097" s="0" t="s">
        <v>2291</v>
      </c>
      <c r="J1097" s="0" t="s">
        <v>2160</v>
      </c>
      <c r="K1097" s="272" t="n">
        <v>-1839070.66</v>
      </c>
    </row>
    <row r="1098" customFormat="false" ht="15" hidden="false" customHeight="false" outlineLevel="0" collapsed="false">
      <c r="A1098" s="0" t="s">
        <v>2041</v>
      </c>
      <c r="B1098" s="0" t="s">
        <v>2042</v>
      </c>
      <c r="C1098" s="0" t="s">
        <v>2161</v>
      </c>
      <c r="D1098" s="0" t="s">
        <v>2279</v>
      </c>
      <c r="E1098" s="0" t="s">
        <v>2279</v>
      </c>
      <c r="F1098" s="0" t="s">
        <v>2292</v>
      </c>
      <c r="G1098" s="0" t="s">
        <v>2293</v>
      </c>
      <c r="H1098" s="0" t="s">
        <v>2291</v>
      </c>
      <c r="J1098" s="0" t="s">
        <v>2160</v>
      </c>
      <c r="K1098" s="272" t="n">
        <v>-367814.14</v>
      </c>
    </row>
    <row r="1099" customFormat="false" ht="15" hidden="false" customHeight="false" outlineLevel="0" collapsed="false">
      <c r="A1099" s="0" t="s">
        <v>2041</v>
      </c>
      <c r="B1099" s="0" t="s">
        <v>2042</v>
      </c>
      <c r="C1099" s="0" t="s">
        <v>2156</v>
      </c>
      <c r="D1099" s="0" t="s">
        <v>2279</v>
      </c>
      <c r="E1099" s="0" t="s">
        <v>2279</v>
      </c>
      <c r="F1099" s="0" t="s">
        <v>2292</v>
      </c>
      <c r="G1099" s="0" t="s">
        <v>2293</v>
      </c>
      <c r="H1099" s="0" t="s">
        <v>2291</v>
      </c>
      <c r="J1099" s="0" t="s">
        <v>2160</v>
      </c>
      <c r="K1099" s="272" t="n">
        <v>641736.12</v>
      </c>
    </row>
    <row r="1100" customFormat="false" ht="15" hidden="false" customHeight="false" outlineLevel="0" collapsed="false">
      <c r="A1100" s="0" t="s">
        <v>2041</v>
      </c>
      <c r="B1100" s="0" t="s">
        <v>2042</v>
      </c>
      <c r="C1100" s="0" t="s">
        <v>2161</v>
      </c>
      <c r="D1100" s="0" t="s">
        <v>2279</v>
      </c>
      <c r="E1100" s="0" t="s">
        <v>2279</v>
      </c>
      <c r="F1100" s="0" t="s">
        <v>2292</v>
      </c>
      <c r="G1100" s="0" t="s">
        <v>2293</v>
      </c>
      <c r="H1100" s="0" t="s">
        <v>2291</v>
      </c>
      <c r="J1100" s="0" t="s">
        <v>2160</v>
      </c>
      <c r="K1100" s="272" t="n">
        <v>141181.95</v>
      </c>
    </row>
    <row r="1101" customFormat="false" ht="15" hidden="false" customHeight="false" outlineLevel="0" collapsed="false">
      <c r="A1101" s="0" t="s">
        <v>2041</v>
      </c>
      <c r="B1101" s="0" t="s">
        <v>2042</v>
      </c>
      <c r="C1101" s="0" t="s">
        <v>2156</v>
      </c>
      <c r="D1101" s="0" t="s">
        <v>2279</v>
      </c>
      <c r="E1101" s="0" t="s">
        <v>2279</v>
      </c>
      <c r="F1101" s="0" t="s">
        <v>2292</v>
      </c>
      <c r="G1101" s="0" t="s">
        <v>2293</v>
      </c>
      <c r="H1101" s="0" t="s">
        <v>2203</v>
      </c>
      <c r="J1101" s="0" t="s">
        <v>2160</v>
      </c>
      <c r="K1101" s="272" t="n">
        <v>150316.56</v>
      </c>
    </row>
    <row r="1102" customFormat="false" ht="15" hidden="false" customHeight="false" outlineLevel="0" collapsed="false">
      <c r="A1102" s="0" t="s">
        <v>2041</v>
      </c>
      <c r="B1102" s="0" t="s">
        <v>2042</v>
      </c>
      <c r="C1102" s="0" t="s">
        <v>2161</v>
      </c>
      <c r="D1102" s="0" t="s">
        <v>2279</v>
      </c>
      <c r="E1102" s="0" t="s">
        <v>2279</v>
      </c>
      <c r="F1102" s="0" t="s">
        <v>2292</v>
      </c>
      <c r="G1102" s="0" t="s">
        <v>2293</v>
      </c>
      <c r="H1102" s="0" t="s">
        <v>2203</v>
      </c>
      <c r="J1102" s="0" t="s">
        <v>2160</v>
      </c>
      <c r="K1102" s="272" t="n">
        <v>33069.64</v>
      </c>
    </row>
    <row r="1103" customFormat="false" ht="15" hidden="false" customHeight="false" outlineLevel="0" collapsed="false">
      <c r="A1103" s="0" t="s">
        <v>2041</v>
      </c>
      <c r="B1103" s="0" t="s">
        <v>2042</v>
      </c>
      <c r="C1103" s="0" t="s">
        <v>2156</v>
      </c>
      <c r="D1103" s="0" t="s">
        <v>2044</v>
      </c>
      <c r="E1103" s="0" t="s">
        <v>2045</v>
      </c>
      <c r="F1103" s="0" t="s">
        <v>2046</v>
      </c>
      <c r="G1103" s="0" t="s">
        <v>2047</v>
      </c>
      <c r="H1103" s="0" t="s">
        <v>2048</v>
      </c>
      <c r="J1103" s="0" t="s">
        <v>2160</v>
      </c>
      <c r="K1103" s="272" t="n">
        <v>6104.96</v>
      </c>
    </row>
    <row r="1104" customFormat="false" ht="15" hidden="false" customHeight="false" outlineLevel="0" collapsed="false">
      <c r="A1104" s="0" t="s">
        <v>2041</v>
      </c>
      <c r="B1104" s="0" t="s">
        <v>2042</v>
      </c>
      <c r="C1104" s="0" t="s">
        <v>2161</v>
      </c>
      <c r="D1104" s="0" t="s">
        <v>2044</v>
      </c>
      <c r="E1104" s="0" t="s">
        <v>2045</v>
      </c>
      <c r="F1104" s="0" t="s">
        <v>2046</v>
      </c>
      <c r="G1104" s="0" t="s">
        <v>2047</v>
      </c>
      <c r="H1104" s="0" t="s">
        <v>2048</v>
      </c>
      <c r="J1104" s="0" t="s">
        <v>2160</v>
      </c>
      <c r="K1104" s="272" t="n">
        <v>4680.544</v>
      </c>
    </row>
    <row r="1105" customFormat="false" ht="15" hidden="false" customHeight="false" outlineLevel="0" collapsed="false">
      <c r="A1105" s="0" t="s">
        <v>2041</v>
      </c>
      <c r="B1105" s="0" t="s">
        <v>2042</v>
      </c>
      <c r="C1105" s="0" t="s">
        <v>2156</v>
      </c>
      <c r="D1105" s="0" t="s">
        <v>2044</v>
      </c>
      <c r="E1105" s="0" t="s">
        <v>2045</v>
      </c>
      <c r="F1105" s="0" t="s">
        <v>2051</v>
      </c>
      <c r="G1105" s="0" t="s">
        <v>2047</v>
      </c>
      <c r="H1105" s="0" t="s">
        <v>2052</v>
      </c>
      <c r="J1105" s="0" t="s">
        <v>2160</v>
      </c>
      <c r="K1105" s="272" t="n">
        <v>1526.24</v>
      </c>
    </row>
    <row r="1106" customFormat="false" ht="15" hidden="false" customHeight="false" outlineLevel="0" collapsed="false">
      <c r="A1106" s="0" t="s">
        <v>2041</v>
      </c>
      <c r="B1106" s="0" t="s">
        <v>2042</v>
      </c>
      <c r="C1106" s="0" t="s">
        <v>2161</v>
      </c>
      <c r="D1106" s="0" t="s">
        <v>2044</v>
      </c>
      <c r="E1106" s="0" t="s">
        <v>2045</v>
      </c>
      <c r="F1106" s="0" t="s">
        <v>2051</v>
      </c>
      <c r="G1106" s="0" t="s">
        <v>2047</v>
      </c>
      <c r="H1106" s="0" t="s">
        <v>2052</v>
      </c>
      <c r="J1106" s="0" t="s">
        <v>2160</v>
      </c>
      <c r="K1106" s="272" t="n">
        <v>1170.136</v>
      </c>
    </row>
    <row r="1107" customFormat="false" ht="15" hidden="false" customHeight="false" outlineLevel="0" collapsed="false">
      <c r="A1107" s="0" t="s">
        <v>2041</v>
      </c>
      <c r="B1107" s="0" t="s">
        <v>2042</v>
      </c>
      <c r="C1107" s="0" t="s">
        <v>2156</v>
      </c>
      <c r="D1107" s="0" t="s">
        <v>2044</v>
      </c>
      <c r="E1107" s="0" t="s">
        <v>2045</v>
      </c>
      <c r="F1107" s="0" t="s">
        <v>2046</v>
      </c>
      <c r="G1107" s="0" t="s">
        <v>2053</v>
      </c>
      <c r="H1107" s="0" t="s">
        <v>2048</v>
      </c>
      <c r="J1107" s="0" t="s">
        <v>2160</v>
      </c>
      <c r="K1107" s="272" t="n">
        <v>106059.144</v>
      </c>
    </row>
    <row r="1108" customFormat="false" ht="15" hidden="false" customHeight="false" outlineLevel="0" collapsed="false">
      <c r="A1108" s="0" t="s">
        <v>2041</v>
      </c>
      <c r="B1108" s="0" t="s">
        <v>2042</v>
      </c>
      <c r="C1108" s="0" t="s">
        <v>2161</v>
      </c>
      <c r="D1108" s="0" t="s">
        <v>2044</v>
      </c>
      <c r="E1108" s="0" t="s">
        <v>2045</v>
      </c>
      <c r="F1108" s="0" t="s">
        <v>2046</v>
      </c>
      <c r="G1108" s="0" t="s">
        <v>2053</v>
      </c>
      <c r="H1108" s="0" t="s">
        <v>2048</v>
      </c>
      <c r="J1108" s="0" t="s">
        <v>2160</v>
      </c>
      <c r="K1108" s="272" t="n">
        <v>36392.8525</v>
      </c>
    </row>
    <row r="1109" customFormat="false" ht="15" hidden="false" customHeight="false" outlineLevel="0" collapsed="false">
      <c r="A1109" s="0" t="s">
        <v>2041</v>
      </c>
      <c r="B1109" s="0" t="s">
        <v>2042</v>
      </c>
      <c r="C1109" s="0" t="s">
        <v>2156</v>
      </c>
      <c r="D1109" s="0" t="s">
        <v>2044</v>
      </c>
      <c r="E1109" s="0" t="s">
        <v>2045</v>
      </c>
      <c r="F1109" s="0" t="s">
        <v>2051</v>
      </c>
      <c r="G1109" s="0" t="s">
        <v>2053</v>
      </c>
      <c r="H1109" s="0" t="s">
        <v>2052</v>
      </c>
      <c r="J1109" s="0" t="s">
        <v>2160</v>
      </c>
      <c r="K1109" s="272" t="n">
        <v>270.826000000001</v>
      </c>
    </row>
    <row r="1110" customFormat="false" ht="15" hidden="false" customHeight="false" outlineLevel="0" collapsed="false">
      <c r="A1110" s="0" t="s">
        <v>2041</v>
      </c>
      <c r="B1110" s="0" t="s">
        <v>2042</v>
      </c>
      <c r="C1110" s="0" t="s">
        <v>2161</v>
      </c>
      <c r="D1110" s="0" t="s">
        <v>2044</v>
      </c>
      <c r="E1110" s="0" t="s">
        <v>2045</v>
      </c>
      <c r="F1110" s="0" t="s">
        <v>2051</v>
      </c>
      <c r="G1110" s="0" t="s">
        <v>2053</v>
      </c>
      <c r="H1110" s="0" t="s">
        <v>2052</v>
      </c>
      <c r="J1110" s="0" t="s">
        <v>2160</v>
      </c>
      <c r="K1110" s="272" t="n">
        <v>389.6275</v>
      </c>
    </row>
    <row r="1111" customFormat="false" ht="15" hidden="false" customHeight="false" outlineLevel="0" collapsed="false">
      <c r="A1111" s="0" t="s">
        <v>2041</v>
      </c>
      <c r="B1111" s="0" t="s">
        <v>2042</v>
      </c>
      <c r="C1111" s="0" t="s">
        <v>2156</v>
      </c>
      <c r="D1111" s="0" t="s">
        <v>2044</v>
      </c>
      <c r="E1111" s="0" t="s">
        <v>2045</v>
      </c>
      <c r="F1111" s="0" t="s">
        <v>2046</v>
      </c>
      <c r="G1111" s="0" t="s">
        <v>2054</v>
      </c>
      <c r="H1111" s="0" t="s">
        <v>2048</v>
      </c>
      <c r="J1111" s="0" t="s">
        <v>2160</v>
      </c>
      <c r="K1111" s="272" t="n">
        <v>9116.7855</v>
      </c>
    </row>
    <row r="1112" customFormat="false" ht="15" hidden="false" customHeight="false" outlineLevel="0" collapsed="false">
      <c r="A1112" s="0" t="s">
        <v>2041</v>
      </c>
      <c r="B1112" s="0" t="s">
        <v>2042</v>
      </c>
      <c r="C1112" s="0" t="s">
        <v>2161</v>
      </c>
      <c r="D1112" s="0" t="s">
        <v>2044</v>
      </c>
      <c r="E1112" s="0" t="s">
        <v>2045</v>
      </c>
      <c r="F1112" s="0" t="s">
        <v>2046</v>
      </c>
      <c r="G1112" s="0" t="s">
        <v>2054</v>
      </c>
      <c r="H1112" s="0" t="s">
        <v>2048</v>
      </c>
      <c r="J1112" s="0" t="s">
        <v>2160</v>
      </c>
      <c r="K1112" s="272" t="n">
        <v>7651.904</v>
      </c>
    </row>
    <row r="1113" customFormat="false" ht="15" hidden="false" customHeight="false" outlineLevel="0" collapsed="false">
      <c r="A1113" s="0" t="s">
        <v>2041</v>
      </c>
      <c r="B1113" s="0" t="s">
        <v>2042</v>
      </c>
      <c r="C1113" s="0" t="s">
        <v>2156</v>
      </c>
      <c r="D1113" s="0" t="s">
        <v>2044</v>
      </c>
      <c r="E1113" s="0" t="s">
        <v>2045</v>
      </c>
      <c r="F1113" s="0" t="s">
        <v>2051</v>
      </c>
      <c r="G1113" s="0" t="s">
        <v>2054</v>
      </c>
      <c r="H1113" s="0" t="s">
        <v>2052</v>
      </c>
      <c r="J1113" s="0" t="s">
        <v>2160</v>
      </c>
      <c r="K1113" s="272" t="n">
        <v>1608.8445</v>
      </c>
    </row>
    <row r="1114" customFormat="false" ht="15" hidden="false" customHeight="false" outlineLevel="0" collapsed="false">
      <c r="A1114" s="0" t="s">
        <v>2041</v>
      </c>
      <c r="B1114" s="0" t="s">
        <v>2042</v>
      </c>
      <c r="C1114" s="0" t="s">
        <v>2161</v>
      </c>
      <c r="D1114" s="0" t="s">
        <v>2044</v>
      </c>
      <c r="E1114" s="0" t="s">
        <v>2045</v>
      </c>
      <c r="F1114" s="0" t="s">
        <v>2051</v>
      </c>
      <c r="G1114" s="0" t="s">
        <v>2054</v>
      </c>
      <c r="H1114" s="0" t="s">
        <v>2052</v>
      </c>
      <c r="J1114" s="0" t="s">
        <v>2160</v>
      </c>
      <c r="K1114" s="272" t="n">
        <v>1350.336</v>
      </c>
    </row>
    <row r="1115" customFormat="false" ht="15" hidden="false" customHeight="false" outlineLevel="0" collapsed="false">
      <c r="A1115" s="0" t="s">
        <v>2041</v>
      </c>
      <c r="B1115" s="0" t="s">
        <v>2042</v>
      </c>
      <c r="C1115" s="0" t="s">
        <v>2156</v>
      </c>
      <c r="D1115" s="0" t="s">
        <v>2044</v>
      </c>
      <c r="E1115" s="0" t="s">
        <v>2045</v>
      </c>
      <c r="F1115" s="0" t="s">
        <v>2046</v>
      </c>
      <c r="G1115" s="0" t="s">
        <v>2055</v>
      </c>
      <c r="H1115" s="0" t="s">
        <v>2048</v>
      </c>
      <c r="J1115" s="0" t="s">
        <v>2160</v>
      </c>
      <c r="K1115" s="272" t="n">
        <v>8438.4825</v>
      </c>
    </row>
    <row r="1116" customFormat="false" ht="15" hidden="false" customHeight="false" outlineLevel="0" collapsed="false">
      <c r="A1116" s="0" t="s">
        <v>2041</v>
      </c>
      <c r="B1116" s="0" t="s">
        <v>2042</v>
      </c>
      <c r="C1116" s="0" t="s">
        <v>2161</v>
      </c>
      <c r="D1116" s="0" t="s">
        <v>2044</v>
      </c>
      <c r="E1116" s="0" t="s">
        <v>2045</v>
      </c>
      <c r="F1116" s="0" t="s">
        <v>2046</v>
      </c>
      <c r="G1116" s="0" t="s">
        <v>2055</v>
      </c>
      <c r="H1116" s="0" t="s">
        <v>2048</v>
      </c>
      <c r="J1116" s="0" t="s">
        <v>2160</v>
      </c>
      <c r="K1116" s="272" t="n">
        <v>3757.115</v>
      </c>
    </row>
    <row r="1117" customFormat="false" ht="15" hidden="false" customHeight="false" outlineLevel="0" collapsed="false">
      <c r="A1117" s="0" t="s">
        <v>2041</v>
      </c>
      <c r="B1117" s="0" t="s">
        <v>2042</v>
      </c>
      <c r="C1117" s="0" t="s">
        <v>2156</v>
      </c>
      <c r="D1117" s="0" t="s">
        <v>2044</v>
      </c>
      <c r="E1117" s="0" t="s">
        <v>2045</v>
      </c>
      <c r="F1117" s="0" t="s">
        <v>2051</v>
      </c>
      <c r="G1117" s="0" t="s">
        <v>2055</v>
      </c>
      <c r="H1117" s="0" t="s">
        <v>2052</v>
      </c>
      <c r="J1117" s="0" t="s">
        <v>2160</v>
      </c>
      <c r="K1117" s="272" t="n">
        <v>25315.4475</v>
      </c>
    </row>
    <row r="1118" customFormat="false" ht="15" hidden="false" customHeight="false" outlineLevel="0" collapsed="false">
      <c r="A1118" s="0" t="s">
        <v>2041</v>
      </c>
      <c r="B1118" s="0" t="s">
        <v>2042</v>
      </c>
      <c r="C1118" s="0" t="s">
        <v>2161</v>
      </c>
      <c r="D1118" s="0" t="s">
        <v>2044</v>
      </c>
      <c r="E1118" s="0" t="s">
        <v>2045</v>
      </c>
      <c r="F1118" s="0" t="s">
        <v>2051</v>
      </c>
      <c r="G1118" s="0" t="s">
        <v>2055</v>
      </c>
      <c r="H1118" s="0" t="s">
        <v>2052</v>
      </c>
      <c r="J1118" s="0" t="s">
        <v>2160</v>
      </c>
      <c r="K1118" s="272" t="n">
        <v>11271.345</v>
      </c>
    </row>
    <row r="1119" customFormat="false" ht="15" hidden="false" customHeight="false" outlineLevel="0" collapsed="false">
      <c r="A1119" s="0" t="s">
        <v>2041</v>
      </c>
      <c r="B1119" s="0" t="s">
        <v>2042</v>
      </c>
      <c r="C1119" s="0" t="s">
        <v>2156</v>
      </c>
      <c r="D1119" s="0" t="s">
        <v>2044</v>
      </c>
      <c r="E1119" s="0" t="s">
        <v>2045</v>
      </c>
      <c r="F1119" s="0" t="s">
        <v>2046</v>
      </c>
      <c r="G1119" s="0" t="s">
        <v>2056</v>
      </c>
      <c r="H1119" s="0" t="s">
        <v>2048</v>
      </c>
      <c r="J1119" s="0" t="s">
        <v>2160</v>
      </c>
      <c r="K1119" s="272" t="n">
        <v>2917.0512</v>
      </c>
    </row>
    <row r="1120" customFormat="false" ht="15" hidden="false" customHeight="false" outlineLevel="0" collapsed="false">
      <c r="A1120" s="0" t="s">
        <v>2041</v>
      </c>
      <c r="B1120" s="0" t="s">
        <v>2042</v>
      </c>
      <c r="C1120" s="0" t="s">
        <v>2161</v>
      </c>
      <c r="D1120" s="0" t="s">
        <v>2044</v>
      </c>
      <c r="E1120" s="0" t="s">
        <v>2045</v>
      </c>
      <c r="F1120" s="0" t="s">
        <v>2046</v>
      </c>
      <c r="G1120" s="0" t="s">
        <v>2056</v>
      </c>
      <c r="H1120" s="0" t="s">
        <v>2048</v>
      </c>
      <c r="J1120" s="0" t="s">
        <v>2160</v>
      </c>
      <c r="K1120" s="272" t="n">
        <v>1192.4082</v>
      </c>
    </row>
    <row r="1121" customFormat="false" ht="15" hidden="false" customHeight="false" outlineLevel="0" collapsed="false">
      <c r="A1121" s="0" t="s">
        <v>2041</v>
      </c>
      <c r="B1121" s="0" t="s">
        <v>2042</v>
      </c>
      <c r="C1121" s="0" t="s">
        <v>2156</v>
      </c>
      <c r="D1121" s="0" t="s">
        <v>2044</v>
      </c>
      <c r="E1121" s="0" t="s">
        <v>2045</v>
      </c>
      <c r="F1121" s="0" t="s">
        <v>2051</v>
      </c>
      <c r="G1121" s="0" t="s">
        <v>2056</v>
      </c>
      <c r="H1121" s="0" t="s">
        <v>2052</v>
      </c>
      <c r="J1121" s="0" t="s">
        <v>2160</v>
      </c>
      <c r="K1121" s="272" t="n">
        <v>29494.6288</v>
      </c>
    </row>
    <row r="1122" customFormat="false" ht="15" hidden="false" customHeight="false" outlineLevel="0" collapsed="false">
      <c r="A1122" s="0" t="s">
        <v>2041</v>
      </c>
      <c r="B1122" s="0" t="s">
        <v>2042</v>
      </c>
      <c r="C1122" s="0" t="s">
        <v>2161</v>
      </c>
      <c r="D1122" s="0" t="s">
        <v>2044</v>
      </c>
      <c r="E1122" s="0" t="s">
        <v>2045</v>
      </c>
      <c r="F1122" s="0" t="s">
        <v>2051</v>
      </c>
      <c r="G1122" s="0" t="s">
        <v>2056</v>
      </c>
      <c r="H1122" s="0" t="s">
        <v>2052</v>
      </c>
      <c r="J1122" s="0" t="s">
        <v>2160</v>
      </c>
      <c r="K1122" s="272" t="n">
        <v>12056.5718</v>
      </c>
    </row>
    <row r="1123" customFormat="false" ht="15" hidden="false" customHeight="false" outlineLevel="0" collapsed="false">
      <c r="A1123" s="0" t="s">
        <v>2041</v>
      </c>
      <c r="B1123" s="0" t="s">
        <v>2042</v>
      </c>
      <c r="C1123" s="0" t="s">
        <v>2156</v>
      </c>
      <c r="D1123" s="0" t="s">
        <v>2044</v>
      </c>
      <c r="E1123" s="0" t="s">
        <v>2045</v>
      </c>
      <c r="F1123" s="0" t="s">
        <v>2046</v>
      </c>
      <c r="G1123" s="0" t="s">
        <v>2057</v>
      </c>
      <c r="H1123" s="0" t="s">
        <v>2048</v>
      </c>
      <c r="J1123" s="0" t="s">
        <v>2160</v>
      </c>
      <c r="K1123" s="272" t="n">
        <v>13443.99</v>
      </c>
    </row>
    <row r="1124" customFormat="false" ht="15" hidden="false" customHeight="false" outlineLevel="0" collapsed="false">
      <c r="A1124" s="0" t="s">
        <v>2041</v>
      </c>
      <c r="B1124" s="0" t="s">
        <v>2042</v>
      </c>
      <c r="C1124" s="0" t="s">
        <v>2161</v>
      </c>
      <c r="D1124" s="0" t="s">
        <v>2044</v>
      </c>
      <c r="E1124" s="0" t="s">
        <v>2045</v>
      </c>
      <c r="F1124" s="0" t="s">
        <v>2046</v>
      </c>
      <c r="G1124" s="0" t="s">
        <v>2057</v>
      </c>
      <c r="H1124" s="0" t="s">
        <v>2048</v>
      </c>
      <c r="J1124" s="0" t="s">
        <v>2160</v>
      </c>
      <c r="K1124" s="272" t="n">
        <v>7168.325</v>
      </c>
    </row>
    <row r="1125" customFormat="false" ht="15" hidden="false" customHeight="false" outlineLevel="0" collapsed="false">
      <c r="A1125" s="0" t="s">
        <v>2041</v>
      </c>
      <c r="B1125" s="0" t="s">
        <v>2042</v>
      </c>
      <c r="C1125" s="0" t="s">
        <v>2156</v>
      </c>
      <c r="D1125" s="0" t="s">
        <v>2044</v>
      </c>
      <c r="E1125" s="0" t="s">
        <v>2045</v>
      </c>
      <c r="F1125" s="0" t="s">
        <v>2051</v>
      </c>
      <c r="G1125" s="0" t="s">
        <v>2057</v>
      </c>
      <c r="H1125" s="0" t="s">
        <v>2052</v>
      </c>
      <c r="J1125" s="0" t="s">
        <v>2160</v>
      </c>
      <c r="K1125" s="272" t="n">
        <v>13443.99</v>
      </c>
    </row>
    <row r="1126" customFormat="false" ht="15" hidden="false" customHeight="false" outlineLevel="0" collapsed="false">
      <c r="A1126" s="0" t="s">
        <v>2041</v>
      </c>
      <c r="B1126" s="0" t="s">
        <v>2042</v>
      </c>
      <c r="C1126" s="0" t="s">
        <v>2161</v>
      </c>
      <c r="D1126" s="0" t="s">
        <v>2044</v>
      </c>
      <c r="E1126" s="0" t="s">
        <v>2045</v>
      </c>
      <c r="F1126" s="0" t="s">
        <v>2051</v>
      </c>
      <c r="G1126" s="0" t="s">
        <v>2057</v>
      </c>
      <c r="H1126" s="0" t="s">
        <v>2052</v>
      </c>
      <c r="J1126" s="0" t="s">
        <v>2160</v>
      </c>
      <c r="K1126" s="272" t="n">
        <v>7168.325</v>
      </c>
    </row>
    <row r="1127" customFormat="false" ht="15" hidden="false" customHeight="false" outlineLevel="0" collapsed="false">
      <c r="A1127" s="0" t="s">
        <v>2041</v>
      </c>
      <c r="B1127" s="0" t="s">
        <v>2042</v>
      </c>
      <c r="C1127" s="0" t="s">
        <v>2156</v>
      </c>
      <c r="D1127" s="0" t="s">
        <v>2044</v>
      </c>
      <c r="E1127" s="0" t="s">
        <v>2045</v>
      </c>
      <c r="F1127" s="0" t="s">
        <v>2046</v>
      </c>
      <c r="G1127" s="0" t="s">
        <v>2058</v>
      </c>
      <c r="H1127" s="0" t="s">
        <v>2048</v>
      </c>
      <c r="J1127" s="0" t="s">
        <v>2160</v>
      </c>
      <c r="K1127" s="272" t="n">
        <v>7095.712</v>
      </c>
    </row>
    <row r="1128" customFormat="false" ht="15" hidden="false" customHeight="false" outlineLevel="0" collapsed="false">
      <c r="A1128" s="0" t="s">
        <v>2041</v>
      </c>
      <c r="B1128" s="0" t="s">
        <v>2042</v>
      </c>
      <c r="C1128" s="0" t="s">
        <v>2161</v>
      </c>
      <c r="D1128" s="0" t="s">
        <v>2044</v>
      </c>
      <c r="E1128" s="0" t="s">
        <v>2045</v>
      </c>
      <c r="F1128" s="0" t="s">
        <v>2046</v>
      </c>
      <c r="G1128" s="0" t="s">
        <v>2058</v>
      </c>
      <c r="H1128" s="0" t="s">
        <v>2048</v>
      </c>
      <c r="J1128" s="0" t="s">
        <v>2160</v>
      </c>
      <c r="K1128" s="272" t="n">
        <v>5682.048</v>
      </c>
    </row>
    <row r="1129" customFormat="false" ht="15" hidden="false" customHeight="false" outlineLevel="0" collapsed="false">
      <c r="A1129" s="0" t="s">
        <v>2041</v>
      </c>
      <c r="B1129" s="0" t="s">
        <v>2042</v>
      </c>
      <c r="C1129" s="0" t="s">
        <v>2156</v>
      </c>
      <c r="D1129" s="0" t="s">
        <v>2044</v>
      </c>
      <c r="E1129" s="0" t="s">
        <v>2045</v>
      </c>
      <c r="F1129" s="0" t="s">
        <v>2051</v>
      </c>
      <c r="G1129" s="0" t="s">
        <v>2058</v>
      </c>
      <c r="H1129" s="0" t="s">
        <v>2052</v>
      </c>
      <c r="J1129" s="0" t="s">
        <v>2160</v>
      </c>
      <c r="K1129" s="272" t="n">
        <v>1773.928</v>
      </c>
    </row>
    <row r="1130" customFormat="false" ht="15" hidden="false" customHeight="false" outlineLevel="0" collapsed="false">
      <c r="A1130" s="0" t="s">
        <v>2041</v>
      </c>
      <c r="B1130" s="0" t="s">
        <v>2042</v>
      </c>
      <c r="C1130" s="0" t="s">
        <v>2161</v>
      </c>
      <c r="D1130" s="0" t="s">
        <v>2044</v>
      </c>
      <c r="E1130" s="0" t="s">
        <v>2045</v>
      </c>
      <c r="F1130" s="0" t="s">
        <v>2051</v>
      </c>
      <c r="G1130" s="0" t="s">
        <v>2058</v>
      </c>
      <c r="H1130" s="0" t="s">
        <v>2052</v>
      </c>
      <c r="J1130" s="0" t="s">
        <v>2160</v>
      </c>
      <c r="K1130" s="272" t="n">
        <v>1420.512</v>
      </c>
    </row>
    <row r="1131" customFormat="false" ht="15" hidden="false" customHeight="false" outlineLevel="0" collapsed="false">
      <c r="A1131" s="0" t="s">
        <v>2041</v>
      </c>
      <c r="B1131" s="0" t="s">
        <v>2042</v>
      </c>
      <c r="C1131" s="0" t="s">
        <v>2156</v>
      </c>
      <c r="D1131" s="0" t="s">
        <v>2044</v>
      </c>
      <c r="E1131" s="0" t="s">
        <v>2045</v>
      </c>
      <c r="F1131" s="0" t="s">
        <v>2046</v>
      </c>
      <c r="G1131" s="0" t="s">
        <v>2059</v>
      </c>
      <c r="H1131" s="0" t="s">
        <v>2048</v>
      </c>
      <c r="J1131" s="0" t="s">
        <v>2160</v>
      </c>
      <c r="K1131" s="272" t="n">
        <v>-168.945</v>
      </c>
    </row>
    <row r="1132" customFormat="false" ht="15" hidden="false" customHeight="false" outlineLevel="0" collapsed="false">
      <c r="A1132" s="0" t="s">
        <v>2041</v>
      </c>
      <c r="B1132" s="0" t="s">
        <v>2042</v>
      </c>
      <c r="C1132" s="0" t="s">
        <v>2161</v>
      </c>
      <c r="D1132" s="0" t="s">
        <v>2044</v>
      </c>
      <c r="E1132" s="0" t="s">
        <v>2045</v>
      </c>
      <c r="F1132" s="0" t="s">
        <v>2046</v>
      </c>
      <c r="G1132" s="0" t="s">
        <v>2059</v>
      </c>
      <c r="H1132" s="0" t="s">
        <v>2048</v>
      </c>
      <c r="J1132" s="0" t="s">
        <v>2160</v>
      </c>
      <c r="K1132" s="272" t="n">
        <v>83.132</v>
      </c>
    </row>
    <row r="1133" customFormat="false" ht="15" hidden="false" customHeight="false" outlineLevel="0" collapsed="false">
      <c r="A1133" s="0" t="s">
        <v>2041</v>
      </c>
      <c r="B1133" s="0" t="s">
        <v>2042</v>
      </c>
      <c r="C1133" s="0" t="s">
        <v>2156</v>
      </c>
      <c r="D1133" s="0" t="s">
        <v>2044</v>
      </c>
      <c r="E1133" s="0" t="s">
        <v>2045</v>
      </c>
      <c r="F1133" s="0" t="s">
        <v>2051</v>
      </c>
      <c r="G1133" s="0" t="s">
        <v>2059</v>
      </c>
      <c r="H1133" s="0" t="s">
        <v>2052</v>
      </c>
      <c r="J1133" s="0" t="s">
        <v>2160</v>
      </c>
      <c r="K1133" s="272" t="n">
        <v>-72.4050000000001</v>
      </c>
    </row>
    <row r="1134" customFormat="false" ht="15" hidden="false" customHeight="false" outlineLevel="0" collapsed="false">
      <c r="A1134" s="0" t="s">
        <v>2041</v>
      </c>
      <c r="B1134" s="0" t="s">
        <v>2042</v>
      </c>
      <c r="C1134" s="0" t="s">
        <v>2161</v>
      </c>
      <c r="D1134" s="0" t="s">
        <v>2044</v>
      </c>
      <c r="E1134" s="0" t="s">
        <v>2045</v>
      </c>
      <c r="F1134" s="0" t="s">
        <v>2051</v>
      </c>
      <c r="G1134" s="0" t="s">
        <v>2059</v>
      </c>
      <c r="H1134" s="0" t="s">
        <v>2052</v>
      </c>
      <c r="J1134" s="0" t="s">
        <v>2160</v>
      </c>
      <c r="K1134" s="272" t="n">
        <v>35.628</v>
      </c>
    </row>
    <row r="1135" customFormat="false" ht="15" hidden="false" customHeight="false" outlineLevel="0" collapsed="false">
      <c r="A1135" s="0" t="s">
        <v>2041</v>
      </c>
      <c r="B1135" s="0" t="s">
        <v>2042</v>
      </c>
      <c r="C1135" s="0" t="s">
        <v>2156</v>
      </c>
      <c r="D1135" s="0" t="s">
        <v>2044</v>
      </c>
      <c r="E1135" s="0" t="s">
        <v>2045</v>
      </c>
      <c r="F1135" s="0" t="s">
        <v>2046</v>
      </c>
      <c r="G1135" s="0" t="s">
        <v>2060</v>
      </c>
      <c r="H1135" s="0" t="s">
        <v>2048</v>
      </c>
      <c r="J1135" s="0" t="s">
        <v>2160</v>
      </c>
      <c r="K1135" s="272" t="n">
        <v>21450.6864</v>
      </c>
    </row>
    <row r="1136" customFormat="false" ht="15" hidden="false" customHeight="false" outlineLevel="0" collapsed="false">
      <c r="A1136" s="0" t="s">
        <v>2041</v>
      </c>
      <c r="B1136" s="0" t="s">
        <v>2042</v>
      </c>
      <c r="C1136" s="0" t="s">
        <v>2161</v>
      </c>
      <c r="D1136" s="0" t="s">
        <v>2044</v>
      </c>
      <c r="E1136" s="0" t="s">
        <v>2045</v>
      </c>
      <c r="F1136" s="0" t="s">
        <v>2046</v>
      </c>
      <c r="G1136" s="0" t="s">
        <v>2060</v>
      </c>
      <c r="H1136" s="0" t="s">
        <v>2048</v>
      </c>
      <c r="J1136" s="0" t="s">
        <v>2160</v>
      </c>
      <c r="K1136" s="272" t="n">
        <v>27074.5002</v>
      </c>
    </row>
    <row r="1137" customFormat="false" ht="15" hidden="false" customHeight="false" outlineLevel="0" collapsed="false">
      <c r="A1137" s="0" t="s">
        <v>2041</v>
      </c>
      <c r="B1137" s="0" t="s">
        <v>2042</v>
      </c>
      <c r="C1137" s="0" t="s">
        <v>2156</v>
      </c>
      <c r="D1137" s="0" t="s">
        <v>2044</v>
      </c>
      <c r="E1137" s="0" t="s">
        <v>2045</v>
      </c>
      <c r="F1137" s="0" t="s">
        <v>2051</v>
      </c>
      <c r="G1137" s="0" t="s">
        <v>2060</v>
      </c>
      <c r="H1137" s="0" t="s">
        <v>2052</v>
      </c>
      <c r="J1137" s="0" t="s">
        <v>2160</v>
      </c>
      <c r="K1137" s="272" t="n">
        <v>216.6736</v>
      </c>
    </row>
    <row r="1138" customFormat="false" ht="15" hidden="false" customHeight="false" outlineLevel="0" collapsed="false">
      <c r="A1138" s="0" t="s">
        <v>2041</v>
      </c>
      <c r="B1138" s="0" t="s">
        <v>2042</v>
      </c>
      <c r="C1138" s="0" t="s">
        <v>2161</v>
      </c>
      <c r="D1138" s="0" t="s">
        <v>2044</v>
      </c>
      <c r="E1138" s="0" t="s">
        <v>2045</v>
      </c>
      <c r="F1138" s="0" t="s">
        <v>2051</v>
      </c>
      <c r="G1138" s="0" t="s">
        <v>2060</v>
      </c>
      <c r="H1138" s="0" t="s">
        <v>2052</v>
      </c>
      <c r="J1138" s="0" t="s">
        <v>2160</v>
      </c>
      <c r="K1138" s="272" t="n">
        <v>273.4798</v>
      </c>
    </row>
    <row r="1139" customFormat="false" ht="15" hidden="false" customHeight="false" outlineLevel="0" collapsed="false">
      <c r="A1139" s="0" t="s">
        <v>2041</v>
      </c>
      <c r="B1139" s="0" t="s">
        <v>2042</v>
      </c>
      <c r="C1139" s="0" t="s">
        <v>2156</v>
      </c>
      <c r="D1139" s="0" t="s">
        <v>2044</v>
      </c>
      <c r="E1139" s="0" t="s">
        <v>2045</v>
      </c>
      <c r="F1139" s="0" t="s">
        <v>2046</v>
      </c>
      <c r="G1139" s="0" t="s">
        <v>2061</v>
      </c>
      <c r="H1139" s="0" t="s">
        <v>2048</v>
      </c>
      <c r="J1139" s="0" t="s">
        <v>2160</v>
      </c>
      <c r="K1139" s="272" t="n">
        <v>16326.2414</v>
      </c>
    </row>
    <row r="1140" customFormat="false" ht="15" hidden="false" customHeight="false" outlineLevel="0" collapsed="false">
      <c r="A1140" s="0" t="s">
        <v>2041</v>
      </c>
      <c r="B1140" s="0" t="s">
        <v>2042</v>
      </c>
      <c r="C1140" s="0" t="s">
        <v>2161</v>
      </c>
      <c r="D1140" s="0" t="s">
        <v>2044</v>
      </c>
      <c r="E1140" s="0" t="s">
        <v>2045</v>
      </c>
      <c r="F1140" s="0" t="s">
        <v>2046</v>
      </c>
      <c r="G1140" s="0" t="s">
        <v>2061</v>
      </c>
      <c r="H1140" s="0" t="s">
        <v>2048</v>
      </c>
      <c r="J1140" s="0" t="s">
        <v>2160</v>
      </c>
      <c r="K1140" s="272" t="n">
        <v>18813.305</v>
      </c>
    </row>
    <row r="1141" customFormat="false" ht="15" hidden="false" customHeight="false" outlineLevel="0" collapsed="false">
      <c r="A1141" s="0" t="s">
        <v>2041</v>
      </c>
      <c r="B1141" s="0" t="s">
        <v>2042</v>
      </c>
      <c r="C1141" s="0" t="s">
        <v>2156</v>
      </c>
      <c r="D1141" s="0" t="s">
        <v>2044</v>
      </c>
      <c r="E1141" s="0" t="s">
        <v>2045</v>
      </c>
      <c r="F1141" s="0" t="s">
        <v>2051</v>
      </c>
      <c r="G1141" s="0" t="s">
        <v>2061</v>
      </c>
      <c r="H1141" s="0" t="s">
        <v>2052</v>
      </c>
      <c r="J1141" s="0" t="s">
        <v>2160</v>
      </c>
      <c r="K1141" s="272" t="n">
        <v>333.1886</v>
      </c>
    </row>
    <row r="1142" customFormat="false" ht="15" hidden="false" customHeight="false" outlineLevel="0" collapsed="false">
      <c r="A1142" s="0" t="s">
        <v>2041</v>
      </c>
      <c r="B1142" s="0" t="s">
        <v>2042</v>
      </c>
      <c r="C1142" s="0" t="s">
        <v>2161</v>
      </c>
      <c r="D1142" s="0" t="s">
        <v>2044</v>
      </c>
      <c r="E1142" s="0" t="s">
        <v>2045</v>
      </c>
      <c r="F1142" s="0" t="s">
        <v>2051</v>
      </c>
      <c r="G1142" s="0" t="s">
        <v>2061</v>
      </c>
      <c r="H1142" s="0" t="s">
        <v>2052</v>
      </c>
      <c r="J1142" s="0" t="s">
        <v>2160</v>
      </c>
      <c r="K1142" s="272" t="n">
        <v>383.945</v>
      </c>
    </row>
    <row r="1143" customFormat="false" ht="15" hidden="false" customHeight="false" outlineLevel="0" collapsed="false">
      <c r="A1143" s="0" t="s">
        <v>2041</v>
      </c>
      <c r="B1143" s="0" t="s">
        <v>2042</v>
      </c>
      <c r="C1143" s="0" t="s">
        <v>2156</v>
      </c>
      <c r="D1143" s="0" t="s">
        <v>2044</v>
      </c>
      <c r="E1143" s="0" t="s">
        <v>2045</v>
      </c>
      <c r="F1143" s="0" t="s">
        <v>2046</v>
      </c>
      <c r="G1143" s="0" t="s">
        <v>2062</v>
      </c>
      <c r="H1143" s="0" t="s">
        <v>2048</v>
      </c>
      <c r="J1143" s="0" t="s">
        <v>2160</v>
      </c>
      <c r="K1143" s="272" t="n">
        <v>10477.7725</v>
      </c>
    </row>
    <row r="1144" customFormat="false" ht="15" hidden="false" customHeight="false" outlineLevel="0" collapsed="false">
      <c r="A1144" s="0" t="s">
        <v>2041</v>
      </c>
      <c r="B1144" s="0" t="s">
        <v>2042</v>
      </c>
      <c r="C1144" s="0" t="s">
        <v>2161</v>
      </c>
      <c r="D1144" s="0" t="s">
        <v>2044</v>
      </c>
      <c r="E1144" s="0" t="s">
        <v>2045</v>
      </c>
      <c r="F1144" s="0" t="s">
        <v>2046</v>
      </c>
      <c r="G1144" s="0" t="s">
        <v>2062</v>
      </c>
      <c r="H1144" s="0" t="s">
        <v>2048</v>
      </c>
      <c r="J1144" s="0" t="s">
        <v>2160</v>
      </c>
      <c r="K1144" s="272" t="n">
        <v>8962.8485</v>
      </c>
    </row>
    <row r="1145" customFormat="false" ht="15" hidden="false" customHeight="false" outlineLevel="0" collapsed="false">
      <c r="A1145" s="0" t="s">
        <v>2041</v>
      </c>
      <c r="B1145" s="0" t="s">
        <v>2042</v>
      </c>
      <c r="C1145" s="0" t="s">
        <v>2156</v>
      </c>
      <c r="D1145" s="0" t="s">
        <v>2044</v>
      </c>
      <c r="E1145" s="0" t="s">
        <v>2045</v>
      </c>
      <c r="F1145" s="0" t="s">
        <v>2051</v>
      </c>
      <c r="G1145" s="0" t="s">
        <v>2062</v>
      </c>
      <c r="H1145" s="0" t="s">
        <v>2052</v>
      </c>
      <c r="J1145" s="0" t="s">
        <v>2160</v>
      </c>
      <c r="K1145" s="272" t="n">
        <v>1985.8975</v>
      </c>
    </row>
    <row r="1146" customFormat="false" ht="15" hidden="false" customHeight="false" outlineLevel="0" collapsed="false">
      <c r="A1146" s="0" t="s">
        <v>2041</v>
      </c>
      <c r="B1146" s="0" t="s">
        <v>2042</v>
      </c>
      <c r="C1146" s="0" t="s">
        <v>2161</v>
      </c>
      <c r="D1146" s="0" t="s">
        <v>2044</v>
      </c>
      <c r="E1146" s="0" t="s">
        <v>2045</v>
      </c>
      <c r="F1146" s="0" t="s">
        <v>2051</v>
      </c>
      <c r="G1146" s="0" t="s">
        <v>2062</v>
      </c>
      <c r="H1146" s="0" t="s">
        <v>2052</v>
      </c>
      <c r="J1146" s="0" t="s">
        <v>2160</v>
      </c>
      <c r="K1146" s="272" t="n">
        <v>1571.4815</v>
      </c>
    </row>
    <row r="1147" customFormat="false" ht="15" hidden="false" customHeight="false" outlineLevel="0" collapsed="false">
      <c r="A1147" s="0" t="s">
        <v>2041</v>
      </c>
      <c r="B1147" s="0" t="s">
        <v>2042</v>
      </c>
      <c r="C1147" s="0" t="s">
        <v>2156</v>
      </c>
      <c r="D1147" s="0" t="s">
        <v>2044</v>
      </c>
      <c r="E1147" s="0" t="s">
        <v>2045</v>
      </c>
      <c r="F1147" s="0" t="s">
        <v>2046</v>
      </c>
      <c r="G1147" s="0" t="s">
        <v>2063</v>
      </c>
      <c r="H1147" s="0" t="s">
        <v>2048</v>
      </c>
      <c r="J1147" s="0" t="s">
        <v>2160</v>
      </c>
      <c r="K1147" s="272" t="n">
        <v>13770.512</v>
      </c>
    </row>
    <row r="1148" customFormat="false" ht="15" hidden="false" customHeight="false" outlineLevel="0" collapsed="false">
      <c r="A1148" s="0" t="s">
        <v>2041</v>
      </c>
      <c r="B1148" s="0" t="s">
        <v>2042</v>
      </c>
      <c r="C1148" s="0" t="s">
        <v>2161</v>
      </c>
      <c r="D1148" s="0" t="s">
        <v>2044</v>
      </c>
      <c r="E1148" s="0" t="s">
        <v>2045</v>
      </c>
      <c r="F1148" s="0" t="s">
        <v>2046</v>
      </c>
      <c r="G1148" s="0" t="s">
        <v>2063</v>
      </c>
      <c r="H1148" s="0" t="s">
        <v>2048</v>
      </c>
      <c r="J1148" s="0" t="s">
        <v>2160</v>
      </c>
      <c r="K1148" s="272" t="n">
        <v>10650.392</v>
      </c>
    </row>
    <row r="1149" customFormat="false" ht="15" hidden="false" customHeight="false" outlineLevel="0" collapsed="false">
      <c r="A1149" s="0" t="s">
        <v>2041</v>
      </c>
      <c r="B1149" s="0" t="s">
        <v>2042</v>
      </c>
      <c r="C1149" s="0" t="s">
        <v>2156</v>
      </c>
      <c r="D1149" s="0" t="s">
        <v>2044</v>
      </c>
      <c r="E1149" s="0" t="s">
        <v>2045</v>
      </c>
      <c r="F1149" s="0" t="s">
        <v>2051</v>
      </c>
      <c r="G1149" s="0" t="s">
        <v>2063</v>
      </c>
      <c r="H1149" s="0" t="s">
        <v>2052</v>
      </c>
      <c r="J1149" s="0" t="s">
        <v>2160</v>
      </c>
      <c r="K1149" s="272" t="n">
        <v>3442.628</v>
      </c>
    </row>
    <row r="1150" customFormat="false" ht="15" hidden="false" customHeight="false" outlineLevel="0" collapsed="false">
      <c r="A1150" s="0" t="s">
        <v>2041</v>
      </c>
      <c r="B1150" s="0" t="s">
        <v>2042</v>
      </c>
      <c r="C1150" s="0" t="s">
        <v>2161</v>
      </c>
      <c r="D1150" s="0" t="s">
        <v>2044</v>
      </c>
      <c r="E1150" s="0" t="s">
        <v>2045</v>
      </c>
      <c r="F1150" s="0" t="s">
        <v>2051</v>
      </c>
      <c r="G1150" s="0" t="s">
        <v>2063</v>
      </c>
      <c r="H1150" s="0" t="s">
        <v>2052</v>
      </c>
      <c r="J1150" s="0" t="s">
        <v>2160</v>
      </c>
      <c r="K1150" s="272" t="n">
        <v>2662.598</v>
      </c>
    </row>
    <row r="1151" customFormat="false" ht="15" hidden="false" customHeight="false" outlineLevel="0" collapsed="false">
      <c r="A1151" s="0" t="s">
        <v>2041</v>
      </c>
      <c r="B1151" s="0" t="s">
        <v>2042</v>
      </c>
      <c r="C1151" s="0" t="s">
        <v>2156</v>
      </c>
      <c r="D1151" s="0" t="s">
        <v>2044</v>
      </c>
      <c r="E1151" s="0" t="s">
        <v>2045</v>
      </c>
      <c r="F1151" s="0" t="s">
        <v>2046</v>
      </c>
      <c r="G1151" s="0" t="s">
        <v>2064</v>
      </c>
      <c r="H1151" s="0" t="s">
        <v>2048</v>
      </c>
      <c r="J1151" s="0" t="s">
        <v>2160</v>
      </c>
      <c r="K1151" s="272" t="n">
        <v>175270.852</v>
      </c>
    </row>
    <row r="1152" customFormat="false" ht="15" hidden="false" customHeight="false" outlineLevel="0" collapsed="false">
      <c r="A1152" s="0" t="s">
        <v>2041</v>
      </c>
      <c r="B1152" s="0" t="s">
        <v>2042</v>
      </c>
      <c r="C1152" s="0" t="s">
        <v>2161</v>
      </c>
      <c r="D1152" s="0" t="s">
        <v>2044</v>
      </c>
      <c r="E1152" s="0" t="s">
        <v>2045</v>
      </c>
      <c r="F1152" s="0" t="s">
        <v>2046</v>
      </c>
      <c r="G1152" s="0" t="s">
        <v>2064</v>
      </c>
      <c r="H1152" s="0" t="s">
        <v>2048</v>
      </c>
      <c r="J1152" s="0" t="s">
        <v>2160</v>
      </c>
      <c r="K1152" s="272" t="n">
        <v>61949.363</v>
      </c>
    </row>
    <row r="1153" customFormat="false" ht="15" hidden="false" customHeight="false" outlineLevel="0" collapsed="false">
      <c r="A1153" s="0" t="s">
        <v>2041</v>
      </c>
      <c r="B1153" s="0" t="s">
        <v>2042</v>
      </c>
      <c r="C1153" s="0" t="s">
        <v>2156</v>
      </c>
      <c r="D1153" s="0" t="s">
        <v>2044</v>
      </c>
      <c r="E1153" s="0" t="s">
        <v>2045</v>
      </c>
      <c r="F1153" s="0" t="s">
        <v>2051</v>
      </c>
      <c r="G1153" s="0" t="s">
        <v>2064</v>
      </c>
      <c r="H1153" s="0" t="s">
        <v>2052</v>
      </c>
      <c r="J1153" s="0" t="s">
        <v>2160</v>
      </c>
      <c r="K1153" s="272" t="n">
        <v>98702.368</v>
      </c>
    </row>
    <row r="1154" customFormat="false" ht="15" hidden="false" customHeight="false" outlineLevel="0" collapsed="false">
      <c r="A1154" s="0" t="s">
        <v>2041</v>
      </c>
      <c r="B1154" s="0" t="s">
        <v>2042</v>
      </c>
      <c r="C1154" s="0" t="s">
        <v>2161</v>
      </c>
      <c r="D1154" s="0" t="s">
        <v>2044</v>
      </c>
      <c r="E1154" s="0" t="s">
        <v>2045</v>
      </c>
      <c r="F1154" s="0" t="s">
        <v>2051</v>
      </c>
      <c r="G1154" s="0" t="s">
        <v>2064</v>
      </c>
      <c r="H1154" s="0" t="s">
        <v>2052</v>
      </c>
      <c r="J1154" s="0" t="s">
        <v>2160</v>
      </c>
      <c r="K1154" s="272" t="n">
        <v>41771.217</v>
      </c>
    </row>
    <row r="1155" customFormat="false" ht="15" hidden="false" customHeight="false" outlineLevel="0" collapsed="false">
      <c r="A1155" s="0" t="s">
        <v>2041</v>
      </c>
      <c r="B1155" s="0" t="s">
        <v>2042</v>
      </c>
      <c r="C1155" s="0" t="s">
        <v>2156</v>
      </c>
      <c r="D1155" s="0" t="s">
        <v>2044</v>
      </c>
      <c r="E1155" s="0" t="s">
        <v>2045</v>
      </c>
      <c r="F1155" s="0" t="s">
        <v>2046</v>
      </c>
      <c r="G1155" s="0" t="s">
        <v>2065</v>
      </c>
      <c r="H1155" s="0" t="s">
        <v>2048</v>
      </c>
      <c r="J1155" s="0" t="s">
        <v>2160</v>
      </c>
      <c r="K1155" s="272" t="n">
        <v>4784.24429999999</v>
      </c>
    </row>
    <row r="1156" customFormat="false" ht="15" hidden="false" customHeight="false" outlineLevel="0" collapsed="false">
      <c r="A1156" s="0" t="s">
        <v>2041</v>
      </c>
      <c r="B1156" s="0" t="s">
        <v>2042</v>
      </c>
      <c r="C1156" s="0" t="s">
        <v>2161</v>
      </c>
      <c r="D1156" s="0" t="s">
        <v>2044</v>
      </c>
      <c r="E1156" s="0" t="s">
        <v>2045</v>
      </c>
      <c r="F1156" s="0" t="s">
        <v>2046</v>
      </c>
      <c r="G1156" s="0" t="s">
        <v>2065</v>
      </c>
      <c r="H1156" s="0" t="s">
        <v>2048</v>
      </c>
      <c r="J1156" s="0" t="s">
        <v>2160</v>
      </c>
      <c r="K1156" s="272" t="n">
        <v>5689.3815</v>
      </c>
    </row>
    <row r="1157" customFormat="false" ht="15" hidden="false" customHeight="false" outlineLevel="0" collapsed="false">
      <c r="A1157" s="0" t="s">
        <v>2041</v>
      </c>
      <c r="B1157" s="0" t="s">
        <v>2042</v>
      </c>
      <c r="C1157" s="0" t="s">
        <v>2156</v>
      </c>
      <c r="D1157" s="0" t="s">
        <v>2044</v>
      </c>
      <c r="E1157" s="0" t="s">
        <v>2045</v>
      </c>
      <c r="F1157" s="0" t="s">
        <v>2051</v>
      </c>
      <c r="G1157" s="0" t="s">
        <v>2065</v>
      </c>
      <c r="H1157" s="0" t="s">
        <v>2052</v>
      </c>
      <c r="J1157" s="0" t="s">
        <v>2160</v>
      </c>
      <c r="K1157" s="272" t="n">
        <v>48.3257</v>
      </c>
    </row>
    <row r="1158" customFormat="false" ht="15" hidden="false" customHeight="false" outlineLevel="0" collapsed="false">
      <c r="A1158" s="0" t="s">
        <v>2041</v>
      </c>
      <c r="B1158" s="0" t="s">
        <v>2042</v>
      </c>
      <c r="C1158" s="0" t="s">
        <v>2161</v>
      </c>
      <c r="D1158" s="0" t="s">
        <v>2044</v>
      </c>
      <c r="E1158" s="0" t="s">
        <v>2045</v>
      </c>
      <c r="F1158" s="0" t="s">
        <v>2051</v>
      </c>
      <c r="G1158" s="0" t="s">
        <v>2065</v>
      </c>
      <c r="H1158" s="0" t="s">
        <v>2052</v>
      </c>
      <c r="J1158" s="0" t="s">
        <v>2160</v>
      </c>
      <c r="K1158" s="272" t="n">
        <v>57.4685</v>
      </c>
    </row>
    <row r="1159" customFormat="false" ht="15" hidden="false" customHeight="false" outlineLevel="0" collapsed="false">
      <c r="A1159" s="0" t="s">
        <v>2041</v>
      </c>
      <c r="B1159" s="0" t="s">
        <v>2042</v>
      </c>
      <c r="C1159" s="0" t="s">
        <v>2156</v>
      </c>
      <c r="D1159" s="0" t="s">
        <v>2044</v>
      </c>
      <c r="E1159" s="0" t="s">
        <v>2045</v>
      </c>
      <c r="F1159" s="0" t="s">
        <v>2046</v>
      </c>
      <c r="G1159" s="0" t="s">
        <v>2066</v>
      </c>
      <c r="H1159" s="0" t="s">
        <v>2048</v>
      </c>
      <c r="J1159" s="0" t="s">
        <v>2160</v>
      </c>
      <c r="K1159" s="272" t="n">
        <v>116327.947</v>
      </c>
    </row>
    <row r="1160" customFormat="false" ht="15" hidden="false" customHeight="false" outlineLevel="0" collapsed="false">
      <c r="A1160" s="0" t="s">
        <v>2041</v>
      </c>
      <c r="B1160" s="0" t="s">
        <v>2042</v>
      </c>
      <c r="C1160" s="0" t="s">
        <v>2161</v>
      </c>
      <c r="D1160" s="0" t="s">
        <v>2044</v>
      </c>
      <c r="E1160" s="0" t="s">
        <v>2045</v>
      </c>
      <c r="F1160" s="0" t="s">
        <v>2046</v>
      </c>
      <c r="G1160" s="0" t="s">
        <v>2066</v>
      </c>
      <c r="H1160" s="0" t="s">
        <v>2048</v>
      </c>
      <c r="J1160" s="0" t="s">
        <v>2160</v>
      </c>
      <c r="K1160" s="272" t="n">
        <v>38210.165</v>
      </c>
    </row>
    <row r="1161" customFormat="false" ht="15" hidden="false" customHeight="false" outlineLevel="0" collapsed="false">
      <c r="A1161" s="0" t="s">
        <v>2041</v>
      </c>
      <c r="B1161" s="0" t="s">
        <v>2042</v>
      </c>
      <c r="C1161" s="0" t="s">
        <v>2156</v>
      </c>
      <c r="D1161" s="0" t="s">
        <v>2044</v>
      </c>
      <c r="E1161" s="0" t="s">
        <v>2045</v>
      </c>
      <c r="F1161" s="0" t="s">
        <v>2051</v>
      </c>
      <c r="G1161" s="0" t="s">
        <v>2066</v>
      </c>
      <c r="H1161" s="0" t="s">
        <v>2052</v>
      </c>
      <c r="J1161" s="0" t="s">
        <v>2160</v>
      </c>
      <c r="K1161" s="272" t="n">
        <v>327.953</v>
      </c>
    </row>
    <row r="1162" customFormat="false" ht="15" hidden="false" customHeight="false" outlineLevel="0" collapsed="false">
      <c r="A1162" s="0" t="s">
        <v>2041</v>
      </c>
      <c r="B1162" s="0" t="s">
        <v>2042</v>
      </c>
      <c r="C1162" s="0" t="s">
        <v>2161</v>
      </c>
      <c r="D1162" s="0" t="s">
        <v>2044</v>
      </c>
      <c r="E1162" s="0" t="s">
        <v>2045</v>
      </c>
      <c r="F1162" s="0" t="s">
        <v>2051</v>
      </c>
      <c r="G1162" s="0" t="s">
        <v>2066</v>
      </c>
      <c r="H1162" s="0" t="s">
        <v>2052</v>
      </c>
      <c r="J1162" s="0" t="s">
        <v>2160</v>
      </c>
      <c r="K1162" s="272" t="n">
        <v>346.425</v>
      </c>
    </row>
    <row r="1163" customFormat="false" ht="15" hidden="false" customHeight="false" outlineLevel="0" collapsed="false">
      <c r="A1163" s="0" t="s">
        <v>2041</v>
      </c>
      <c r="B1163" s="0" t="s">
        <v>2042</v>
      </c>
      <c r="C1163" s="0" t="s">
        <v>2156</v>
      </c>
      <c r="D1163" s="0" t="s">
        <v>2044</v>
      </c>
      <c r="E1163" s="0" t="s">
        <v>2045</v>
      </c>
      <c r="F1163" s="0" t="s">
        <v>2051</v>
      </c>
      <c r="G1163" s="0" t="s">
        <v>2067</v>
      </c>
      <c r="H1163" s="0" t="s">
        <v>2052</v>
      </c>
      <c r="J1163" s="0" t="s">
        <v>2160</v>
      </c>
      <c r="K1163" s="272" t="n">
        <v>51874.33</v>
      </c>
    </row>
    <row r="1164" customFormat="false" ht="15" hidden="false" customHeight="false" outlineLevel="0" collapsed="false">
      <c r="A1164" s="0" t="s">
        <v>2041</v>
      </c>
      <c r="B1164" s="0" t="s">
        <v>2042</v>
      </c>
      <c r="C1164" s="0" t="s">
        <v>2161</v>
      </c>
      <c r="D1164" s="0" t="s">
        <v>2044</v>
      </c>
      <c r="E1164" s="0" t="s">
        <v>2045</v>
      </c>
      <c r="F1164" s="0" t="s">
        <v>2051</v>
      </c>
      <c r="G1164" s="0" t="s">
        <v>2067</v>
      </c>
      <c r="H1164" s="0" t="s">
        <v>2052</v>
      </c>
      <c r="J1164" s="0" t="s">
        <v>2160</v>
      </c>
      <c r="K1164" s="272" t="n">
        <v>20352.92</v>
      </c>
    </row>
    <row r="1165" customFormat="false" ht="15" hidden="false" customHeight="false" outlineLevel="0" collapsed="false">
      <c r="A1165" s="0" t="s">
        <v>2041</v>
      </c>
      <c r="B1165" s="0" t="s">
        <v>2042</v>
      </c>
      <c r="C1165" s="0" t="s">
        <v>2156</v>
      </c>
      <c r="D1165" s="0" t="s">
        <v>2044</v>
      </c>
      <c r="E1165" s="0" t="s">
        <v>2045</v>
      </c>
      <c r="F1165" s="0" t="s">
        <v>2046</v>
      </c>
      <c r="G1165" s="0" t="s">
        <v>2068</v>
      </c>
      <c r="H1165" s="0" t="s">
        <v>2048</v>
      </c>
      <c r="J1165" s="0" t="s">
        <v>2160</v>
      </c>
      <c r="K1165" s="272" t="n">
        <v>508184.449</v>
      </c>
    </row>
    <row r="1166" customFormat="false" ht="15" hidden="false" customHeight="false" outlineLevel="0" collapsed="false">
      <c r="A1166" s="0" t="s">
        <v>2041</v>
      </c>
      <c r="B1166" s="0" t="s">
        <v>2042</v>
      </c>
      <c r="C1166" s="0" t="s">
        <v>2161</v>
      </c>
      <c r="D1166" s="0" t="s">
        <v>2044</v>
      </c>
      <c r="E1166" s="0" t="s">
        <v>2045</v>
      </c>
      <c r="F1166" s="0" t="s">
        <v>2046</v>
      </c>
      <c r="G1166" s="0" t="s">
        <v>2068</v>
      </c>
      <c r="H1166" s="0" t="s">
        <v>2048</v>
      </c>
      <c r="J1166" s="0" t="s">
        <v>2160</v>
      </c>
      <c r="K1166" s="272" t="n">
        <v>126806.646</v>
      </c>
    </row>
    <row r="1167" customFormat="false" ht="15" hidden="false" customHeight="false" outlineLevel="0" collapsed="false">
      <c r="A1167" s="0" t="s">
        <v>2041</v>
      </c>
      <c r="B1167" s="0" t="s">
        <v>2042</v>
      </c>
      <c r="C1167" s="0" t="s">
        <v>2156</v>
      </c>
      <c r="D1167" s="0" t="s">
        <v>2044</v>
      </c>
      <c r="E1167" s="0" t="s">
        <v>2045</v>
      </c>
      <c r="F1167" s="0" t="s">
        <v>2051</v>
      </c>
      <c r="G1167" s="0" t="s">
        <v>2068</v>
      </c>
      <c r="H1167" s="0" t="s">
        <v>2052</v>
      </c>
      <c r="J1167" s="0" t="s">
        <v>2160</v>
      </c>
      <c r="K1167" s="272" t="n">
        <v>10070.221</v>
      </c>
    </row>
    <row r="1168" customFormat="false" ht="15" hidden="false" customHeight="false" outlineLevel="0" collapsed="false">
      <c r="A1168" s="0" t="s">
        <v>2041</v>
      </c>
      <c r="B1168" s="0" t="s">
        <v>2042</v>
      </c>
      <c r="C1168" s="0" t="s">
        <v>2161</v>
      </c>
      <c r="D1168" s="0" t="s">
        <v>2044</v>
      </c>
      <c r="E1168" s="0" t="s">
        <v>2045</v>
      </c>
      <c r="F1168" s="0" t="s">
        <v>2051</v>
      </c>
      <c r="G1168" s="0" t="s">
        <v>2068</v>
      </c>
      <c r="H1168" s="0" t="s">
        <v>2052</v>
      </c>
      <c r="J1168" s="0" t="s">
        <v>2160</v>
      </c>
      <c r="K1168" s="272" t="n">
        <v>6176.844</v>
      </c>
    </row>
    <row r="1169" customFormat="false" ht="15" hidden="false" customHeight="false" outlineLevel="0" collapsed="false">
      <c r="A1169" s="0" t="s">
        <v>2041</v>
      </c>
      <c r="B1169" s="0" t="s">
        <v>2042</v>
      </c>
      <c r="C1169" s="0" t="s">
        <v>2156</v>
      </c>
      <c r="D1169" s="0" t="s">
        <v>2044</v>
      </c>
      <c r="E1169" s="0" t="s">
        <v>2045</v>
      </c>
      <c r="F1169" s="0" t="s">
        <v>2046</v>
      </c>
      <c r="G1169" s="0" t="s">
        <v>2069</v>
      </c>
      <c r="H1169" s="0" t="s">
        <v>2048</v>
      </c>
      <c r="J1169" s="0" t="s">
        <v>2160</v>
      </c>
      <c r="K1169" s="272" t="n">
        <v>89301.06</v>
      </c>
    </row>
    <row r="1170" customFormat="false" ht="15" hidden="false" customHeight="false" outlineLevel="0" collapsed="false">
      <c r="A1170" s="0" t="s">
        <v>2041</v>
      </c>
      <c r="B1170" s="0" t="s">
        <v>2042</v>
      </c>
      <c r="C1170" s="0" t="s">
        <v>2161</v>
      </c>
      <c r="D1170" s="0" t="s">
        <v>2044</v>
      </c>
      <c r="E1170" s="0" t="s">
        <v>2045</v>
      </c>
      <c r="F1170" s="0" t="s">
        <v>2046</v>
      </c>
      <c r="G1170" s="0" t="s">
        <v>2069</v>
      </c>
      <c r="H1170" s="0" t="s">
        <v>2048</v>
      </c>
      <c r="J1170" s="0" t="s">
        <v>2160</v>
      </c>
      <c r="K1170" s="272" t="n">
        <v>25653.98</v>
      </c>
    </row>
    <row r="1171" customFormat="false" ht="15" hidden="false" customHeight="false" outlineLevel="0" collapsed="false">
      <c r="A1171" s="0" t="s">
        <v>2041</v>
      </c>
      <c r="B1171" s="0" t="s">
        <v>2042</v>
      </c>
      <c r="C1171" s="0" t="s">
        <v>2156</v>
      </c>
      <c r="D1171" s="0" t="s">
        <v>2044</v>
      </c>
      <c r="E1171" s="0" t="s">
        <v>2045</v>
      </c>
      <c r="F1171" s="0" t="s">
        <v>2046</v>
      </c>
      <c r="G1171" s="0" t="s">
        <v>2070</v>
      </c>
      <c r="H1171" s="0" t="s">
        <v>2048</v>
      </c>
      <c r="J1171" s="0" t="s">
        <v>2160</v>
      </c>
      <c r="K1171" s="272" t="n">
        <v>16089.4675</v>
      </c>
    </row>
    <row r="1172" customFormat="false" ht="15" hidden="false" customHeight="false" outlineLevel="0" collapsed="false">
      <c r="A1172" s="0" t="s">
        <v>2041</v>
      </c>
      <c r="B1172" s="0" t="s">
        <v>2042</v>
      </c>
      <c r="C1172" s="0" t="s">
        <v>2161</v>
      </c>
      <c r="D1172" s="0" t="s">
        <v>2044</v>
      </c>
      <c r="E1172" s="0" t="s">
        <v>2045</v>
      </c>
      <c r="F1172" s="0" t="s">
        <v>2046</v>
      </c>
      <c r="G1172" s="0" t="s">
        <v>2070</v>
      </c>
      <c r="H1172" s="0" t="s">
        <v>2048</v>
      </c>
      <c r="J1172" s="0" t="s">
        <v>2160</v>
      </c>
      <c r="K1172" s="272" t="n">
        <v>7737.2825</v>
      </c>
    </row>
    <row r="1173" customFormat="false" ht="15" hidden="false" customHeight="false" outlineLevel="0" collapsed="false">
      <c r="A1173" s="0" t="s">
        <v>2041</v>
      </c>
      <c r="B1173" s="0" t="s">
        <v>2042</v>
      </c>
      <c r="C1173" s="0" t="s">
        <v>2156</v>
      </c>
      <c r="D1173" s="0" t="s">
        <v>2044</v>
      </c>
      <c r="E1173" s="0" t="s">
        <v>2045</v>
      </c>
      <c r="F1173" s="0" t="s">
        <v>2051</v>
      </c>
      <c r="G1173" s="0" t="s">
        <v>2070</v>
      </c>
      <c r="H1173" s="0" t="s">
        <v>2052</v>
      </c>
      <c r="J1173" s="0" t="s">
        <v>2160</v>
      </c>
      <c r="K1173" s="272" t="n">
        <v>35224.7425</v>
      </c>
    </row>
    <row r="1174" customFormat="false" ht="15" hidden="false" customHeight="false" outlineLevel="0" collapsed="false">
      <c r="A1174" s="0" t="s">
        <v>2041</v>
      </c>
      <c r="B1174" s="0" t="s">
        <v>2042</v>
      </c>
      <c r="C1174" s="0" t="s">
        <v>2161</v>
      </c>
      <c r="D1174" s="0" t="s">
        <v>2044</v>
      </c>
      <c r="E1174" s="0" t="s">
        <v>2045</v>
      </c>
      <c r="F1174" s="0" t="s">
        <v>2051</v>
      </c>
      <c r="G1174" s="0" t="s">
        <v>2070</v>
      </c>
      <c r="H1174" s="0" t="s">
        <v>2052</v>
      </c>
      <c r="J1174" s="0" t="s">
        <v>2160</v>
      </c>
      <c r="K1174" s="272" t="n">
        <v>16256.9875</v>
      </c>
    </row>
    <row r="1175" customFormat="false" ht="15" hidden="false" customHeight="false" outlineLevel="0" collapsed="false">
      <c r="A1175" s="0" t="s">
        <v>2041</v>
      </c>
      <c r="B1175" s="0" t="s">
        <v>2042</v>
      </c>
      <c r="C1175" s="0" t="s">
        <v>2156</v>
      </c>
      <c r="D1175" s="0" t="s">
        <v>2044</v>
      </c>
      <c r="E1175" s="0" t="s">
        <v>2045</v>
      </c>
      <c r="F1175" s="0" t="s">
        <v>2046</v>
      </c>
      <c r="G1175" s="0" t="s">
        <v>2071</v>
      </c>
      <c r="H1175" s="0" t="s">
        <v>2048</v>
      </c>
      <c r="J1175" s="0" t="s">
        <v>2160</v>
      </c>
      <c r="K1175" s="272" t="n">
        <v>-29583.6295</v>
      </c>
    </row>
    <row r="1176" customFormat="false" ht="15" hidden="false" customHeight="false" outlineLevel="0" collapsed="false">
      <c r="A1176" s="0" t="s">
        <v>2041</v>
      </c>
      <c r="B1176" s="0" t="s">
        <v>2042</v>
      </c>
      <c r="C1176" s="0" t="s">
        <v>2161</v>
      </c>
      <c r="D1176" s="0" t="s">
        <v>2044</v>
      </c>
      <c r="E1176" s="0" t="s">
        <v>2045</v>
      </c>
      <c r="F1176" s="0" t="s">
        <v>2046</v>
      </c>
      <c r="G1176" s="0" t="s">
        <v>2071</v>
      </c>
      <c r="H1176" s="0" t="s">
        <v>2048</v>
      </c>
      <c r="J1176" s="0" t="s">
        <v>2160</v>
      </c>
      <c r="K1176" s="272" t="n">
        <v>-4564.075</v>
      </c>
    </row>
    <row r="1177" customFormat="false" ht="15" hidden="false" customHeight="false" outlineLevel="0" collapsed="false">
      <c r="A1177" s="0" t="s">
        <v>2041</v>
      </c>
      <c r="B1177" s="0" t="s">
        <v>2042</v>
      </c>
      <c r="C1177" s="0" t="s">
        <v>2156</v>
      </c>
      <c r="D1177" s="0" t="s">
        <v>2044</v>
      </c>
      <c r="E1177" s="0" t="s">
        <v>2045</v>
      </c>
      <c r="F1177" s="0" t="s">
        <v>2051</v>
      </c>
      <c r="G1177" s="0" t="s">
        <v>2071</v>
      </c>
      <c r="H1177" s="0" t="s">
        <v>2052</v>
      </c>
      <c r="J1177" s="0" t="s">
        <v>2160</v>
      </c>
      <c r="K1177" s="272" t="n">
        <v>-5220.6405</v>
      </c>
    </row>
    <row r="1178" customFormat="false" ht="15" hidden="false" customHeight="false" outlineLevel="0" collapsed="false">
      <c r="A1178" s="0" t="s">
        <v>2041</v>
      </c>
      <c r="B1178" s="0" t="s">
        <v>2042</v>
      </c>
      <c r="C1178" s="0" t="s">
        <v>2161</v>
      </c>
      <c r="D1178" s="0" t="s">
        <v>2044</v>
      </c>
      <c r="E1178" s="0" t="s">
        <v>2045</v>
      </c>
      <c r="F1178" s="0" t="s">
        <v>2051</v>
      </c>
      <c r="G1178" s="0" t="s">
        <v>2071</v>
      </c>
      <c r="H1178" s="0" t="s">
        <v>2052</v>
      </c>
      <c r="J1178" s="0" t="s">
        <v>2160</v>
      </c>
      <c r="K1178" s="272" t="n">
        <v>-805.425</v>
      </c>
    </row>
    <row r="1179" customFormat="false" ht="15" hidden="false" customHeight="false" outlineLevel="0" collapsed="false">
      <c r="A1179" s="0" t="s">
        <v>2041</v>
      </c>
      <c r="B1179" s="0" t="s">
        <v>2042</v>
      </c>
      <c r="C1179" s="0" t="s">
        <v>2156</v>
      </c>
      <c r="D1179" s="0" t="s">
        <v>2044</v>
      </c>
      <c r="E1179" s="0" t="s">
        <v>2045</v>
      </c>
      <c r="F1179" s="0" t="s">
        <v>2046</v>
      </c>
      <c r="G1179" s="0" t="s">
        <v>2072</v>
      </c>
      <c r="H1179" s="0" t="s">
        <v>2048</v>
      </c>
      <c r="J1179" s="0" t="s">
        <v>2160</v>
      </c>
      <c r="K1179" s="272" t="n">
        <v>19473.4966</v>
      </c>
    </row>
    <row r="1180" customFormat="false" ht="15" hidden="false" customHeight="false" outlineLevel="0" collapsed="false">
      <c r="A1180" s="0" t="s">
        <v>2041</v>
      </c>
      <c r="B1180" s="0" t="s">
        <v>2042</v>
      </c>
      <c r="C1180" s="0" t="s">
        <v>2161</v>
      </c>
      <c r="D1180" s="0" t="s">
        <v>2044</v>
      </c>
      <c r="E1180" s="0" t="s">
        <v>2045</v>
      </c>
      <c r="F1180" s="0" t="s">
        <v>2046</v>
      </c>
      <c r="G1180" s="0" t="s">
        <v>2072</v>
      </c>
      <c r="H1180" s="0" t="s">
        <v>2048</v>
      </c>
      <c r="J1180" s="0" t="s">
        <v>2160</v>
      </c>
      <c r="K1180" s="272" t="n">
        <v>10348.9327</v>
      </c>
    </row>
    <row r="1181" customFormat="false" ht="15" hidden="false" customHeight="false" outlineLevel="0" collapsed="false">
      <c r="A1181" s="0" t="s">
        <v>2041</v>
      </c>
      <c r="B1181" s="0" t="s">
        <v>2042</v>
      </c>
      <c r="C1181" s="0" t="s">
        <v>2156</v>
      </c>
      <c r="D1181" s="0" t="s">
        <v>2044</v>
      </c>
      <c r="E1181" s="0" t="s">
        <v>2045</v>
      </c>
      <c r="F1181" s="0" t="s">
        <v>2051</v>
      </c>
      <c r="G1181" s="0" t="s">
        <v>2072</v>
      </c>
      <c r="H1181" s="0" t="s">
        <v>2052</v>
      </c>
      <c r="J1181" s="0" t="s">
        <v>2160</v>
      </c>
      <c r="K1181" s="272" t="n">
        <v>31096.7634</v>
      </c>
    </row>
    <row r="1182" customFormat="false" ht="15" hidden="false" customHeight="false" outlineLevel="0" collapsed="false">
      <c r="A1182" s="0" t="s">
        <v>2041</v>
      </c>
      <c r="B1182" s="0" t="s">
        <v>2042</v>
      </c>
      <c r="C1182" s="0" t="s">
        <v>2161</v>
      </c>
      <c r="D1182" s="0" t="s">
        <v>2044</v>
      </c>
      <c r="E1182" s="0" t="s">
        <v>2045</v>
      </c>
      <c r="F1182" s="0" t="s">
        <v>2051</v>
      </c>
      <c r="G1182" s="0" t="s">
        <v>2072</v>
      </c>
      <c r="H1182" s="0" t="s">
        <v>2052</v>
      </c>
      <c r="J1182" s="0" t="s">
        <v>2160</v>
      </c>
      <c r="K1182" s="272" t="n">
        <v>15158.3473</v>
      </c>
    </row>
    <row r="1183" customFormat="false" ht="15" hidden="false" customHeight="false" outlineLevel="0" collapsed="false">
      <c r="A1183" s="0" t="s">
        <v>2041</v>
      </c>
      <c r="B1183" s="0" t="s">
        <v>2042</v>
      </c>
      <c r="C1183" s="0" t="s">
        <v>2156</v>
      </c>
      <c r="D1183" s="0" t="s">
        <v>2044</v>
      </c>
      <c r="E1183" s="0" t="s">
        <v>2045</v>
      </c>
      <c r="F1183" s="0" t="s">
        <v>2046</v>
      </c>
      <c r="G1183" s="0" t="s">
        <v>2073</v>
      </c>
      <c r="H1183" s="0" t="s">
        <v>2048</v>
      </c>
      <c r="J1183" s="0" t="s">
        <v>2160</v>
      </c>
      <c r="K1183" s="272" t="n">
        <v>91190.033</v>
      </c>
    </row>
    <row r="1184" customFormat="false" ht="15" hidden="false" customHeight="false" outlineLevel="0" collapsed="false">
      <c r="A1184" s="0" t="s">
        <v>2041</v>
      </c>
      <c r="B1184" s="0" t="s">
        <v>2042</v>
      </c>
      <c r="C1184" s="0" t="s">
        <v>2161</v>
      </c>
      <c r="D1184" s="0" t="s">
        <v>2044</v>
      </c>
      <c r="E1184" s="0" t="s">
        <v>2045</v>
      </c>
      <c r="F1184" s="0" t="s">
        <v>2046</v>
      </c>
      <c r="G1184" s="0" t="s">
        <v>2073</v>
      </c>
      <c r="H1184" s="0" t="s">
        <v>2048</v>
      </c>
      <c r="J1184" s="0" t="s">
        <v>2160</v>
      </c>
      <c r="K1184" s="272" t="n">
        <v>27324.387</v>
      </c>
    </row>
    <row r="1185" customFormat="false" ht="15" hidden="false" customHeight="false" outlineLevel="0" collapsed="false">
      <c r="A1185" s="0" t="s">
        <v>2041</v>
      </c>
      <c r="B1185" s="0" t="s">
        <v>2042</v>
      </c>
      <c r="C1185" s="0" t="s">
        <v>2156</v>
      </c>
      <c r="D1185" s="0" t="s">
        <v>2044</v>
      </c>
      <c r="E1185" s="0" t="s">
        <v>2045</v>
      </c>
      <c r="F1185" s="0" t="s">
        <v>2051</v>
      </c>
      <c r="G1185" s="0" t="s">
        <v>2073</v>
      </c>
      <c r="H1185" s="0" t="s">
        <v>2052</v>
      </c>
      <c r="J1185" s="0" t="s">
        <v>2160</v>
      </c>
      <c r="K1185" s="272" t="n">
        <v>79543.917</v>
      </c>
    </row>
    <row r="1186" customFormat="false" ht="15" hidden="false" customHeight="false" outlineLevel="0" collapsed="false">
      <c r="A1186" s="0" t="s">
        <v>2041</v>
      </c>
      <c r="B1186" s="0" t="s">
        <v>2042</v>
      </c>
      <c r="C1186" s="0" t="s">
        <v>2161</v>
      </c>
      <c r="D1186" s="0" t="s">
        <v>2044</v>
      </c>
      <c r="E1186" s="0" t="s">
        <v>2045</v>
      </c>
      <c r="F1186" s="0" t="s">
        <v>2051</v>
      </c>
      <c r="G1186" s="0" t="s">
        <v>2073</v>
      </c>
      <c r="H1186" s="0" t="s">
        <v>2052</v>
      </c>
      <c r="J1186" s="0" t="s">
        <v>2160</v>
      </c>
      <c r="K1186" s="272" t="n">
        <v>33000.813</v>
      </c>
    </row>
    <row r="1187" customFormat="false" ht="15" hidden="false" customHeight="false" outlineLevel="0" collapsed="false">
      <c r="A1187" s="0" t="s">
        <v>2041</v>
      </c>
      <c r="B1187" s="0" t="s">
        <v>2042</v>
      </c>
      <c r="C1187" s="0" t="s">
        <v>2156</v>
      </c>
      <c r="D1187" s="0" t="s">
        <v>2044</v>
      </c>
      <c r="E1187" s="0" t="s">
        <v>2045</v>
      </c>
      <c r="F1187" s="0" t="s">
        <v>2046</v>
      </c>
      <c r="G1187" s="0" t="s">
        <v>2074</v>
      </c>
      <c r="H1187" s="0" t="s">
        <v>2048</v>
      </c>
      <c r="J1187" s="0" t="s">
        <v>2160</v>
      </c>
      <c r="K1187" s="272" t="n">
        <v>12082.03</v>
      </c>
    </row>
    <row r="1188" customFormat="false" ht="15" hidden="false" customHeight="false" outlineLevel="0" collapsed="false">
      <c r="A1188" s="0" t="s">
        <v>2041</v>
      </c>
      <c r="B1188" s="0" t="s">
        <v>2042</v>
      </c>
      <c r="C1188" s="0" t="s">
        <v>2161</v>
      </c>
      <c r="D1188" s="0" t="s">
        <v>2044</v>
      </c>
      <c r="E1188" s="0" t="s">
        <v>2045</v>
      </c>
      <c r="F1188" s="0" t="s">
        <v>2046</v>
      </c>
      <c r="G1188" s="0" t="s">
        <v>2074</v>
      </c>
      <c r="H1188" s="0" t="s">
        <v>2048</v>
      </c>
      <c r="J1188" s="0" t="s">
        <v>2160</v>
      </c>
      <c r="K1188" s="272" t="n">
        <v>6442.12</v>
      </c>
    </row>
    <row r="1189" customFormat="false" ht="15" hidden="false" customHeight="false" outlineLevel="0" collapsed="false">
      <c r="A1189" s="0" t="s">
        <v>2041</v>
      </c>
      <c r="B1189" s="0" t="s">
        <v>2042</v>
      </c>
      <c r="C1189" s="0" t="s">
        <v>2156</v>
      </c>
      <c r="D1189" s="0" t="s">
        <v>2044</v>
      </c>
      <c r="E1189" s="0" t="s">
        <v>2045</v>
      </c>
      <c r="F1189" s="0" t="s">
        <v>2051</v>
      </c>
      <c r="G1189" s="0" t="s">
        <v>2074</v>
      </c>
      <c r="H1189" s="0" t="s">
        <v>2052</v>
      </c>
      <c r="J1189" s="0" t="s">
        <v>2160</v>
      </c>
      <c r="K1189" s="272" t="n">
        <v>12082.03</v>
      </c>
    </row>
    <row r="1190" customFormat="false" ht="15" hidden="false" customHeight="false" outlineLevel="0" collapsed="false">
      <c r="A1190" s="0" t="s">
        <v>2041</v>
      </c>
      <c r="B1190" s="0" t="s">
        <v>2042</v>
      </c>
      <c r="C1190" s="0" t="s">
        <v>2161</v>
      </c>
      <c r="D1190" s="0" t="s">
        <v>2044</v>
      </c>
      <c r="E1190" s="0" t="s">
        <v>2045</v>
      </c>
      <c r="F1190" s="0" t="s">
        <v>2051</v>
      </c>
      <c r="G1190" s="0" t="s">
        <v>2074</v>
      </c>
      <c r="H1190" s="0" t="s">
        <v>2052</v>
      </c>
      <c r="J1190" s="0" t="s">
        <v>2160</v>
      </c>
      <c r="K1190" s="272" t="n">
        <v>6442.12</v>
      </c>
    </row>
    <row r="1191" customFormat="false" ht="15" hidden="false" customHeight="false" outlineLevel="0" collapsed="false">
      <c r="A1191" s="0" t="s">
        <v>2041</v>
      </c>
      <c r="B1191" s="0" t="s">
        <v>2042</v>
      </c>
      <c r="C1191" s="0" t="s">
        <v>2156</v>
      </c>
      <c r="D1191" s="0" t="s">
        <v>2044</v>
      </c>
      <c r="E1191" s="0" t="s">
        <v>2045</v>
      </c>
      <c r="F1191" s="0" t="s">
        <v>2046</v>
      </c>
      <c r="G1191" s="0" t="s">
        <v>2075</v>
      </c>
      <c r="H1191" s="0" t="s">
        <v>2048</v>
      </c>
      <c r="J1191" s="0" t="s">
        <v>2160</v>
      </c>
      <c r="K1191" s="272" t="n">
        <v>1886.8272</v>
      </c>
    </row>
    <row r="1192" customFormat="false" ht="15" hidden="false" customHeight="false" outlineLevel="0" collapsed="false">
      <c r="A1192" s="0" t="s">
        <v>2041</v>
      </c>
      <c r="B1192" s="0" t="s">
        <v>2042</v>
      </c>
      <c r="C1192" s="0" t="s">
        <v>2161</v>
      </c>
      <c r="D1192" s="0" t="s">
        <v>2044</v>
      </c>
      <c r="E1192" s="0" t="s">
        <v>2045</v>
      </c>
      <c r="F1192" s="0" t="s">
        <v>2046</v>
      </c>
      <c r="G1192" s="0" t="s">
        <v>2075</v>
      </c>
      <c r="H1192" s="0" t="s">
        <v>2048</v>
      </c>
      <c r="J1192" s="0" t="s">
        <v>2160</v>
      </c>
      <c r="K1192" s="272" t="n">
        <v>763.3272</v>
      </c>
    </row>
    <row r="1193" customFormat="false" ht="15" hidden="false" customHeight="false" outlineLevel="0" collapsed="false">
      <c r="A1193" s="0" t="s">
        <v>2041</v>
      </c>
      <c r="B1193" s="0" t="s">
        <v>2042</v>
      </c>
      <c r="C1193" s="0" t="s">
        <v>2156</v>
      </c>
      <c r="D1193" s="0" t="s">
        <v>2044</v>
      </c>
      <c r="E1193" s="0" t="s">
        <v>2045</v>
      </c>
      <c r="F1193" s="0" t="s">
        <v>2051</v>
      </c>
      <c r="G1193" s="0" t="s">
        <v>2075</v>
      </c>
      <c r="H1193" s="0" t="s">
        <v>2052</v>
      </c>
      <c r="J1193" s="0" t="s">
        <v>2160</v>
      </c>
      <c r="K1193" s="272" t="n">
        <v>61007.4128</v>
      </c>
    </row>
    <row r="1194" customFormat="false" ht="15" hidden="false" customHeight="false" outlineLevel="0" collapsed="false">
      <c r="A1194" s="0" t="s">
        <v>2041</v>
      </c>
      <c r="B1194" s="0" t="s">
        <v>2042</v>
      </c>
      <c r="C1194" s="0" t="s">
        <v>2161</v>
      </c>
      <c r="D1194" s="0" t="s">
        <v>2044</v>
      </c>
      <c r="E1194" s="0" t="s">
        <v>2045</v>
      </c>
      <c r="F1194" s="0" t="s">
        <v>2051</v>
      </c>
      <c r="G1194" s="0" t="s">
        <v>2075</v>
      </c>
      <c r="H1194" s="0" t="s">
        <v>2052</v>
      </c>
      <c r="J1194" s="0" t="s">
        <v>2160</v>
      </c>
      <c r="K1194" s="272" t="n">
        <v>24680.9128</v>
      </c>
    </row>
    <row r="1195" customFormat="false" ht="15" hidden="false" customHeight="false" outlineLevel="0" collapsed="false">
      <c r="A1195" s="0" t="s">
        <v>2041</v>
      </c>
      <c r="B1195" s="0" t="s">
        <v>2042</v>
      </c>
      <c r="C1195" s="0" t="s">
        <v>2156</v>
      </c>
      <c r="D1195" s="0" t="s">
        <v>2044</v>
      </c>
      <c r="E1195" s="0" t="s">
        <v>2045</v>
      </c>
      <c r="F1195" s="0" t="s">
        <v>2046</v>
      </c>
      <c r="G1195" s="0" t="s">
        <v>2076</v>
      </c>
      <c r="H1195" s="0" t="s">
        <v>2048</v>
      </c>
      <c r="J1195" s="0" t="s">
        <v>2160</v>
      </c>
      <c r="K1195" s="272" t="n">
        <v>195404.0195</v>
      </c>
    </row>
    <row r="1196" customFormat="false" ht="15" hidden="false" customHeight="false" outlineLevel="0" collapsed="false">
      <c r="A1196" s="0" t="s">
        <v>2041</v>
      </c>
      <c r="B1196" s="0" t="s">
        <v>2042</v>
      </c>
      <c r="C1196" s="0" t="s">
        <v>2161</v>
      </c>
      <c r="D1196" s="0" t="s">
        <v>2044</v>
      </c>
      <c r="E1196" s="0" t="s">
        <v>2045</v>
      </c>
      <c r="F1196" s="0" t="s">
        <v>2046</v>
      </c>
      <c r="G1196" s="0" t="s">
        <v>2076</v>
      </c>
      <c r="H1196" s="0" t="s">
        <v>2048</v>
      </c>
      <c r="J1196" s="0" t="s">
        <v>2160</v>
      </c>
      <c r="K1196" s="272" t="n">
        <v>58426.456</v>
      </c>
    </row>
    <row r="1197" customFormat="false" ht="15" hidden="false" customHeight="false" outlineLevel="0" collapsed="false">
      <c r="A1197" s="0" t="s">
        <v>2041</v>
      </c>
      <c r="B1197" s="0" t="s">
        <v>2042</v>
      </c>
      <c r="C1197" s="0" t="s">
        <v>2156</v>
      </c>
      <c r="D1197" s="0" t="s">
        <v>2044</v>
      </c>
      <c r="E1197" s="0" t="s">
        <v>2045</v>
      </c>
      <c r="F1197" s="0" t="s">
        <v>2051</v>
      </c>
      <c r="G1197" s="0" t="s">
        <v>2076</v>
      </c>
      <c r="H1197" s="0" t="s">
        <v>2052</v>
      </c>
      <c r="J1197" s="0" t="s">
        <v>2160</v>
      </c>
      <c r="K1197" s="272" t="n">
        <v>152134.8605</v>
      </c>
    </row>
    <row r="1198" customFormat="false" ht="15" hidden="false" customHeight="false" outlineLevel="0" collapsed="false">
      <c r="A1198" s="0" t="s">
        <v>2041</v>
      </c>
      <c r="B1198" s="0" t="s">
        <v>2042</v>
      </c>
      <c r="C1198" s="0" t="s">
        <v>2161</v>
      </c>
      <c r="D1198" s="0" t="s">
        <v>2044</v>
      </c>
      <c r="E1198" s="0" t="s">
        <v>2045</v>
      </c>
      <c r="F1198" s="0" t="s">
        <v>2051</v>
      </c>
      <c r="G1198" s="0" t="s">
        <v>2076</v>
      </c>
      <c r="H1198" s="0" t="s">
        <v>2052</v>
      </c>
      <c r="J1198" s="0" t="s">
        <v>2160</v>
      </c>
      <c r="K1198" s="272" t="n">
        <v>49553.104</v>
      </c>
    </row>
    <row r="1199" customFormat="false" ht="15" hidden="false" customHeight="false" outlineLevel="0" collapsed="false">
      <c r="A1199" s="0" t="s">
        <v>2041</v>
      </c>
      <c r="B1199" s="0" t="s">
        <v>2042</v>
      </c>
      <c r="C1199" s="0" t="s">
        <v>2156</v>
      </c>
      <c r="D1199" s="0" t="s">
        <v>2044</v>
      </c>
      <c r="E1199" s="0" t="s">
        <v>2045</v>
      </c>
      <c r="F1199" s="0" t="s">
        <v>2046</v>
      </c>
      <c r="G1199" s="0" t="s">
        <v>2077</v>
      </c>
      <c r="H1199" s="0" t="s">
        <v>2048</v>
      </c>
      <c r="J1199" s="0" t="s">
        <v>2160</v>
      </c>
      <c r="K1199" s="272" t="n">
        <v>7416.25199999999</v>
      </c>
    </row>
    <row r="1200" customFormat="false" ht="15" hidden="false" customHeight="false" outlineLevel="0" collapsed="false">
      <c r="A1200" s="0" t="s">
        <v>2041</v>
      </c>
      <c r="B1200" s="0" t="s">
        <v>2042</v>
      </c>
      <c r="C1200" s="0" t="s">
        <v>2161</v>
      </c>
      <c r="D1200" s="0" t="s">
        <v>2044</v>
      </c>
      <c r="E1200" s="0" t="s">
        <v>2045</v>
      </c>
      <c r="F1200" s="0" t="s">
        <v>2046</v>
      </c>
      <c r="G1200" s="0" t="s">
        <v>2077</v>
      </c>
      <c r="H1200" s="0" t="s">
        <v>2048</v>
      </c>
      <c r="J1200" s="0" t="s">
        <v>2160</v>
      </c>
      <c r="K1200" s="272" t="n">
        <v>6915.591</v>
      </c>
    </row>
    <row r="1201" customFormat="false" ht="15" hidden="false" customHeight="false" outlineLevel="0" collapsed="false">
      <c r="A1201" s="0" t="s">
        <v>2041</v>
      </c>
      <c r="B1201" s="0" t="s">
        <v>2042</v>
      </c>
      <c r="C1201" s="0" t="s">
        <v>2156</v>
      </c>
      <c r="D1201" s="0" t="s">
        <v>2044</v>
      </c>
      <c r="E1201" s="0" t="s">
        <v>2045</v>
      </c>
      <c r="F1201" s="0" t="s">
        <v>2051</v>
      </c>
      <c r="G1201" s="0" t="s">
        <v>2077</v>
      </c>
      <c r="H1201" s="0" t="s">
        <v>2052</v>
      </c>
      <c r="J1201" s="0" t="s">
        <v>2160</v>
      </c>
      <c r="K1201" s="272" t="n">
        <v>824.028</v>
      </c>
    </row>
    <row r="1202" customFormat="false" ht="15" hidden="false" customHeight="false" outlineLevel="0" collapsed="false">
      <c r="A1202" s="0" t="s">
        <v>2041</v>
      </c>
      <c r="B1202" s="0" t="s">
        <v>2042</v>
      </c>
      <c r="C1202" s="0" t="s">
        <v>2161</v>
      </c>
      <c r="D1202" s="0" t="s">
        <v>2044</v>
      </c>
      <c r="E1202" s="0" t="s">
        <v>2045</v>
      </c>
      <c r="F1202" s="0" t="s">
        <v>2051</v>
      </c>
      <c r="G1202" s="0" t="s">
        <v>2077</v>
      </c>
      <c r="H1202" s="0" t="s">
        <v>2052</v>
      </c>
      <c r="J1202" s="0" t="s">
        <v>2160</v>
      </c>
      <c r="K1202" s="272" t="n">
        <v>768.399</v>
      </c>
    </row>
    <row r="1203" customFormat="false" ht="15" hidden="false" customHeight="false" outlineLevel="0" collapsed="false">
      <c r="A1203" s="0" t="s">
        <v>2041</v>
      </c>
      <c r="B1203" s="0" t="s">
        <v>2042</v>
      </c>
      <c r="C1203" s="0" t="s">
        <v>2156</v>
      </c>
      <c r="D1203" s="0" t="s">
        <v>2044</v>
      </c>
      <c r="E1203" s="0" t="s">
        <v>2045</v>
      </c>
      <c r="F1203" s="0" t="s">
        <v>2046</v>
      </c>
      <c r="G1203" s="0" t="s">
        <v>2078</v>
      </c>
      <c r="H1203" s="0" t="s">
        <v>2048</v>
      </c>
      <c r="J1203" s="0" t="s">
        <v>2160</v>
      </c>
      <c r="K1203" s="272" t="n">
        <v>23669.514</v>
      </c>
    </row>
    <row r="1204" customFormat="false" ht="15" hidden="false" customHeight="false" outlineLevel="0" collapsed="false">
      <c r="A1204" s="0" t="s">
        <v>2041</v>
      </c>
      <c r="B1204" s="0" t="s">
        <v>2042</v>
      </c>
      <c r="C1204" s="0" t="s">
        <v>2161</v>
      </c>
      <c r="D1204" s="0" t="s">
        <v>2044</v>
      </c>
      <c r="E1204" s="0" t="s">
        <v>2045</v>
      </c>
      <c r="F1204" s="0" t="s">
        <v>2046</v>
      </c>
      <c r="G1204" s="0" t="s">
        <v>2078</v>
      </c>
      <c r="H1204" s="0" t="s">
        <v>2048</v>
      </c>
      <c r="J1204" s="0" t="s">
        <v>2160</v>
      </c>
      <c r="K1204" s="272" t="n">
        <v>22071.6</v>
      </c>
    </row>
    <row r="1205" customFormat="false" ht="15" hidden="false" customHeight="false" outlineLevel="0" collapsed="false">
      <c r="A1205" s="0" t="s">
        <v>2041</v>
      </c>
      <c r="B1205" s="0" t="s">
        <v>2042</v>
      </c>
      <c r="C1205" s="0" t="s">
        <v>2156</v>
      </c>
      <c r="D1205" s="0" t="s">
        <v>2044</v>
      </c>
      <c r="E1205" s="0" t="s">
        <v>2045</v>
      </c>
      <c r="F1205" s="0" t="s">
        <v>2051</v>
      </c>
      <c r="G1205" s="0" t="s">
        <v>2078</v>
      </c>
      <c r="H1205" s="0" t="s">
        <v>2052</v>
      </c>
      <c r="J1205" s="0" t="s">
        <v>2160</v>
      </c>
      <c r="K1205" s="272" t="n">
        <v>2629.946</v>
      </c>
    </row>
    <row r="1206" customFormat="false" ht="15" hidden="false" customHeight="false" outlineLevel="0" collapsed="false">
      <c r="A1206" s="0" t="s">
        <v>2041</v>
      </c>
      <c r="B1206" s="0" t="s">
        <v>2042</v>
      </c>
      <c r="C1206" s="0" t="s">
        <v>2161</v>
      </c>
      <c r="D1206" s="0" t="s">
        <v>2044</v>
      </c>
      <c r="E1206" s="0" t="s">
        <v>2045</v>
      </c>
      <c r="F1206" s="0" t="s">
        <v>2051</v>
      </c>
      <c r="G1206" s="0" t="s">
        <v>2078</v>
      </c>
      <c r="H1206" s="0" t="s">
        <v>2052</v>
      </c>
      <c r="J1206" s="0" t="s">
        <v>2160</v>
      </c>
      <c r="K1206" s="272" t="n">
        <v>2452.4</v>
      </c>
    </row>
    <row r="1207" customFormat="false" ht="15" hidden="false" customHeight="false" outlineLevel="0" collapsed="false">
      <c r="A1207" s="0" t="s">
        <v>2041</v>
      </c>
      <c r="B1207" s="0" t="s">
        <v>2042</v>
      </c>
      <c r="C1207" s="0" t="s">
        <v>2156</v>
      </c>
      <c r="D1207" s="0" t="s">
        <v>2044</v>
      </c>
      <c r="E1207" s="0" t="s">
        <v>2045</v>
      </c>
      <c r="F1207" s="0" t="s">
        <v>2046</v>
      </c>
      <c r="G1207" s="0" t="s">
        <v>2079</v>
      </c>
      <c r="H1207" s="0" t="s">
        <v>2048</v>
      </c>
      <c r="J1207" s="0" t="s">
        <v>2160</v>
      </c>
      <c r="K1207" s="272" t="n">
        <v>46368.05</v>
      </c>
    </row>
    <row r="1208" customFormat="false" ht="15" hidden="false" customHeight="false" outlineLevel="0" collapsed="false">
      <c r="A1208" s="0" t="s">
        <v>2041</v>
      </c>
      <c r="B1208" s="0" t="s">
        <v>2042</v>
      </c>
      <c r="C1208" s="0" t="s">
        <v>2161</v>
      </c>
      <c r="D1208" s="0" t="s">
        <v>2044</v>
      </c>
      <c r="E1208" s="0" t="s">
        <v>2045</v>
      </c>
      <c r="F1208" s="0" t="s">
        <v>2046</v>
      </c>
      <c r="G1208" s="0" t="s">
        <v>2079</v>
      </c>
      <c r="H1208" s="0" t="s">
        <v>2048</v>
      </c>
      <c r="J1208" s="0" t="s">
        <v>2160</v>
      </c>
      <c r="K1208" s="272" t="n">
        <v>13320.39</v>
      </c>
    </row>
    <row r="1209" customFormat="false" ht="15" hidden="false" customHeight="false" outlineLevel="0" collapsed="false">
      <c r="A1209" s="0" t="s">
        <v>2041</v>
      </c>
      <c r="B1209" s="0" t="s">
        <v>2042</v>
      </c>
      <c r="C1209" s="0" t="s">
        <v>2156</v>
      </c>
      <c r="D1209" s="0" t="s">
        <v>2044</v>
      </c>
      <c r="E1209" s="0" t="s">
        <v>2045</v>
      </c>
      <c r="F1209" s="0" t="s">
        <v>2046</v>
      </c>
      <c r="G1209" s="0" t="s">
        <v>2080</v>
      </c>
      <c r="H1209" s="0" t="s">
        <v>2048</v>
      </c>
      <c r="J1209" s="0" t="s">
        <v>2160</v>
      </c>
      <c r="K1209" s="272" t="n">
        <v>34022.0695</v>
      </c>
    </row>
    <row r="1210" customFormat="false" ht="15" hidden="false" customHeight="false" outlineLevel="0" collapsed="false">
      <c r="A1210" s="0" t="s">
        <v>2041</v>
      </c>
      <c r="B1210" s="0" t="s">
        <v>2042</v>
      </c>
      <c r="C1210" s="0" t="s">
        <v>2161</v>
      </c>
      <c r="D1210" s="0" t="s">
        <v>2044</v>
      </c>
      <c r="E1210" s="0" t="s">
        <v>2045</v>
      </c>
      <c r="F1210" s="0" t="s">
        <v>2046</v>
      </c>
      <c r="G1210" s="0" t="s">
        <v>2080</v>
      </c>
      <c r="H1210" s="0" t="s">
        <v>2048</v>
      </c>
      <c r="J1210" s="0" t="s">
        <v>2160</v>
      </c>
      <c r="K1210" s="272" t="n">
        <v>14710.9375</v>
      </c>
    </row>
    <row r="1211" customFormat="false" ht="15" hidden="false" customHeight="false" outlineLevel="0" collapsed="false">
      <c r="A1211" s="0" t="s">
        <v>2041</v>
      </c>
      <c r="B1211" s="0" t="s">
        <v>2042</v>
      </c>
      <c r="C1211" s="0" t="s">
        <v>2156</v>
      </c>
      <c r="D1211" s="0" t="s">
        <v>2044</v>
      </c>
      <c r="E1211" s="0" t="s">
        <v>2045</v>
      </c>
      <c r="F1211" s="0" t="s">
        <v>2051</v>
      </c>
      <c r="G1211" s="0" t="s">
        <v>2080</v>
      </c>
      <c r="H1211" s="0" t="s">
        <v>2052</v>
      </c>
      <c r="J1211" s="0" t="s">
        <v>2160</v>
      </c>
      <c r="K1211" s="272" t="n">
        <v>337.8905</v>
      </c>
    </row>
    <row r="1212" customFormat="false" ht="15" hidden="false" customHeight="false" outlineLevel="0" collapsed="false">
      <c r="A1212" s="0" t="s">
        <v>2041</v>
      </c>
      <c r="B1212" s="0" t="s">
        <v>2042</v>
      </c>
      <c r="C1212" s="0" t="s">
        <v>2161</v>
      </c>
      <c r="D1212" s="0" t="s">
        <v>2044</v>
      </c>
      <c r="E1212" s="0" t="s">
        <v>2045</v>
      </c>
      <c r="F1212" s="0" t="s">
        <v>2051</v>
      </c>
      <c r="G1212" s="0" t="s">
        <v>2080</v>
      </c>
      <c r="H1212" s="0" t="s">
        <v>2052</v>
      </c>
      <c r="J1212" s="0" t="s">
        <v>2160</v>
      </c>
      <c r="K1212" s="272" t="n">
        <v>356.9225</v>
      </c>
    </row>
    <row r="1213" customFormat="false" ht="15" hidden="false" customHeight="false" outlineLevel="0" collapsed="false">
      <c r="A1213" s="0" t="s">
        <v>2041</v>
      </c>
      <c r="B1213" s="0" t="s">
        <v>2042</v>
      </c>
      <c r="C1213" s="0" t="s">
        <v>2156</v>
      </c>
      <c r="D1213" s="0" t="s">
        <v>2044</v>
      </c>
      <c r="E1213" s="0" t="s">
        <v>2045</v>
      </c>
      <c r="F1213" s="0" t="s">
        <v>2046</v>
      </c>
      <c r="G1213" s="0" t="s">
        <v>2081</v>
      </c>
      <c r="H1213" s="0" t="s">
        <v>2048</v>
      </c>
      <c r="J1213" s="0" t="s">
        <v>2160</v>
      </c>
      <c r="K1213" s="272" t="n">
        <v>269785.076</v>
      </c>
    </row>
    <row r="1214" customFormat="false" ht="15" hidden="false" customHeight="false" outlineLevel="0" collapsed="false">
      <c r="A1214" s="0" t="s">
        <v>2041</v>
      </c>
      <c r="B1214" s="0" t="s">
        <v>2042</v>
      </c>
      <c r="C1214" s="0" t="s">
        <v>2161</v>
      </c>
      <c r="D1214" s="0" t="s">
        <v>2044</v>
      </c>
      <c r="E1214" s="0" t="s">
        <v>2045</v>
      </c>
      <c r="F1214" s="0" t="s">
        <v>2046</v>
      </c>
      <c r="G1214" s="0" t="s">
        <v>2081</v>
      </c>
      <c r="H1214" s="0" t="s">
        <v>2048</v>
      </c>
      <c r="J1214" s="0" t="s">
        <v>2160</v>
      </c>
      <c r="K1214" s="272" t="n">
        <v>116588.277</v>
      </c>
    </row>
    <row r="1215" customFormat="false" ht="15" hidden="false" customHeight="false" outlineLevel="0" collapsed="false">
      <c r="A1215" s="0" t="s">
        <v>2041</v>
      </c>
      <c r="B1215" s="0" t="s">
        <v>2042</v>
      </c>
      <c r="C1215" s="0" t="s">
        <v>2156</v>
      </c>
      <c r="D1215" s="0" t="s">
        <v>2044</v>
      </c>
      <c r="E1215" s="0" t="s">
        <v>2045</v>
      </c>
      <c r="F1215" s="0" t="s">
        <v>2051</v>
      </c>
      <c r="G1215" s="0" t="s">
        <v>2081</v>
      </c>
      <c r="H1215" s="0" t="s">
        <v>2052</v>
      </c>
      <c r="J1215" s="0" t="s">
        <v>2160</v>
      </c>
      <c r="K1215" s="272" t="n">
        <v>6475.474</v>
      </c>
    </row>
    <row r="1216" customFormat="false" ht="15" hidden="false" customHeight="false" outlineLevel="0" collapsed="false">
      <c r="A1216" s="0" t="s">
        <v>2041</v>
      </c>
      <c r="B1216" s="0" t="s">
        <v>2042</v>
      </c>
      <c r="C1216" s="0" t="s">
        <v>2161</v>
      </c>
      <c r="D1216" s="0" t="s">
        <v>2044</v>
      </c>
      <c r="E1216" s="0" t="s">
        <v>2045</v>
      </c>
      <c r="F1216" s="0" t="s">
        <v>2051</v>
      </c>
      <c r="G1216" s="0" t="s">
        <v>2081</v>
      </c>
      <c r="H1216" s="0" t="s">
        <v>2052</v>
      </c>
      <c r="J1216" s="0" t="s">
        <v>2160</v>
      </c>
      <c r="K1216" s="272" t="n">
        <v>6535.203</v>
      </c>
    </row>
    <row r="1217" customFormat="false" ht="15" hidden="false" customHeight="false" outlineLevel="0" collapsed="false">
      <c r="A1217" s="0" t="s">
        <v>2041</v>
      </c>
      <c r="B1217" s="0" t="s">
        <v>2042</v>
      </c>
      <c r="C1217" s="0" t="s">
        <v>2156</v>
      </c>
      <c r="D1217" s="0" t="s">
        <v>2044</v>
      </c>
      <c r="E1217" s="0" t="s">
        <v>2045</v>
      </c>
      <c r="F1217" s="0" t="s">
        <v>2046</v>
      </c>
      <c r="G1217" s="0" t="s">
        <v>2082</v>
      </c>
      <c r="H1217" s="0" t="s">
        <v>2048</v>
      </c>
      <c r="J1217" s="0" t="s">
        <v>2160</v>
      </c>
      <c r="K1217" s="272" t="n">
        <v>666997.75</v>
      </c>
    </row>
    <row r="1218" customFormat="false" ht="15" hidden="false" customHeight="false" outlineLevel="0" collapsed="false">
      <c r="A1218" s="0" t="s">
        <v>2041</v>
      </c>
      <c r="B1218" s="0" t="s">
        <v>2042</v>
      </c>
      <c r="C1218" s="0" t="s">
        <v>2161</v>
      </c>
      <c r="D1218" s="0" t="s">
        <v>2044</v>
      </c>
      <c r="E1218" s="0" t="s">
        <v>2045</v>
      </c>
      <c r="F1218" s="0" t="s">
        <v>2046</v>
      </c>
      <c r="G1218" s="0" t="s">
        <v>2082</v>
      </c>
      <c r="H1218" s="0" t="s">
        <v>2048</v>
      </c>
      <c r="J1218" s="0" t="s">
        <v>2160</v>
      </c>
      <c r="K1218" s="272" t="n">
        <v>154584.41</v>
      </c>
    </row>
    <row r="1219" customFormat="false" ht="15" hidden="false" customHeight="false" outlineLevel="0" collapsed="false">
      <c r="A1219" s="0" t="s">
        <v>2041</v>
      </c>
      <c r="B1219" s="0" t="s">
        <v>2042</v>
      </c>
      <c r="C1219" s="0" t="s">
        <v>2156</v>
      </c>
      <c r="D1219" s="0" t="s">
        <v>2044</v>
      </c>
      <c r="E1219" s="0" t="s">
        <v>2045</v>
      </c>
      <c r="F1219" s="0" t="s">
        <v>2046</v>
      </c>
      <c r="G1219" s="0" t="s">
        <v>2083</v>
      </c>
      <c r="H1219" s="0" t="s">
        <v>2048</v>
      </c>
      <c r="J1219" s="0" t="s">
        <v>2160</v>
      </c>
      <c r="K1219" s="272" t="n">
        <v>101054.229</v>
      </c>
    </row>
    <row r="1220" customFormat="false" ht="15" hidden="false" customHeight="false" outlineLevel="0" collapsed="false">
      <c r="A1220" s="0" t="s">
        <v>2041</v>
      </c>
      <c r="B1220" s="0" t="s">
        <v>2042</v>
      </c>
      <c r="C1220" s="0" t="s">
        <v>2161</v>
      </c>
      <c r="D1220" s="0" t="s">
        <v>2044</v>
      </c>
      <c r="E1220" s="0" t="s">
        <v>2045</v>
      </c>
      <c r="F1220" s="0" t="s">
        <v>2046</v>
      </c>
      <c r="G1220" s="0" t="s">
        <v>2083</v>
      </c>
      <c r="H1220" s="0" t="s">
        <v>2048</v>
      </c>
      <c r="J1220" s="0" t="s">
        <v>2160</v>
      </c>
      <c r="K1220" s="272" t="n">
        <v>36929.9575</v>
      </c>
    </row>
    <row r="1221" customFormat="false" ht="15" hidden="false" customHeight="false" outlineLevel="0" collapsed="false">
      <c r="A1221" s="0" t="s">
        <v>2041</v>
      </c>
      <c r="B1221" s="0" t="s">
        <v>2042</v>
      </c>
      <c r="C1221" s="0" t="s">
        <v>2156</v>
      </c>
      <c r="D1221" s="0" t="s">
        <v>2044</v>
      </c>
      <c r="E1221" s="0" t="s">
        <v>2045</v>
      </c>
      <c r="F1221" s="0" t="s">
        <v>2051</v>
      </c>
      <c r="G1221" s="0" t="s">
        <v>2083</v>
      </c>
      <c r="H1221" s="0" t="s">
        <v>2052</v>
      </c>
      <c r="J1221" s="0" t="s">
        <v>2160</v>
      </c>
      <c r="K1221" s="272" t="n">
        <v>522.651000000001</v>
      </c>
    </row>
    <row r="1222" customFormat="false" ht="15" hidden="false" customHeight="false" outlineLevel="0" collapsed="false">
      <c r="A1222" s="0" t="s">
        <v>2041</v>
      </c>
      <c r="B1222" s="0" t="s">
        <v>2042</v>
      </c>
      <c r="C1222" s="0" t="s">
        <v>2161</v>
      </c>
      <c r="D1222" s="0" t="s">
        <v>2044</v>
      </c>
      <c r="E1222" s="0" t="s">
        <v>2045</v>
      </c>
      <c r="F1222" s="0" t="s">
        <v>2051</v>
      </c>
      <c r="G1222" s="0" t="s">
        <v>2083</v>
      </c>
      <c r="H1222" s="0" t="s">
        <v>2052</v>
      </c>
      <c r="J1222" s="0" t="s">
        <v>2160</v>
      </c>
      <c r="K1222" s="272" t="n">
        <v>565.9125</v>
      </c>
    </row>
    <row r="1223" customFormat="false" ht="15" hidden="false" customHeight="false" outlineLevel="0" collapsed="false">
      <c r="A1223" s="0" t="s">
        <v>2041</v>
      </c>
      <c r="B1223" s="0" t="s">
        <v>2042</v>
      </c>
      <c r="C1223" s="0" t="s">
        <v>2156</v>
      </c>
      <c r="D1223" s="0" t="s">
        <v>2044</v>
      </c>
      <c r="E1223" s="0" t="s">
        <v>2045</v>
      </c>
      <c r="F1223" s="0" t="s">
        <v>2046</v>
      </c>
      <c r="G1223" s="0" t="s">
        <v>2084</v>
      </c>
      <c r="H1223" s="0" t="s">
        <v>2048</v>
      </c>
      <c r="J1223" s="0" t="s">
        <v>2160</v>
      </c>
      <c r="K1223" s="272" t="n">
        <v>22778.546</v>
      </c>
    </row>
    <row r="1224" customFormat="false" ht="15" hidden="false" customHeight="false" outlineLevel="0" collapsed="false">
      <c r="A1224" s="0" t="s">
        <v>2041</v>
      </c>
      <c r="B1224" s="0" t="s">
        <v>2042</v>
      </c>
      <c r="C1224" s="0" t="s">
        <v>2161</v>
      </c>
      <c r="D1224" s="0" t="s">
        <v>2044</v>
      </c>
      <c r="E1224" s="0" t="s">
        <v>2045</v>
      </c>
      <c r="F1224" s="0" t="s">
        <v>2046</v>
      </c>
      <c r="G1224" s="0" t="s">
        <v>2084</v>
      </c>
      <c r="H1224" s="0" t="s">
        <v>2048</v>
      </c>
      <c r="J1224" s="0" t="s">
        <v>2160</v>
      </c>
      <c r="K1224" s="272" t="n">
        <v>10511.561</v>
      </c>
    </row>
    <row r="1225" customFormat="false" ht="15" hidden="false" customHeight="false" outlineLevel="0" collapsed="false">
      <c r="A1225" s="0" t="s">
        <v>2041</v>
      </c>
      <c r="B1225" s="0" t="s">
        <v>2042</v>
      </c>
      <c r="C1225" s="0" t="s">
        <v>2156</v>
      </c>
      <c r="D1225" s="0" t="s">
        <v>2044</v>
      </c>
      <c r="E1225" s="0" t="s">
        <v>2045</v>
      </c>
      <c r="F1225" s="0" t="s">
        <v>2051</v>
      </c>
      <c r="G1225" s="0" t="s">
        <v>2084</v>
      </c>
      <c r="H1225" s="0" t="s">
        <v>2052</v>
      </c>
      <c r="J1225" s="0" t="s">
        <v>2160</v>
      </c>
      <c r="K1225" s="272" t="n">
        <v>39903.254</v>
      </c>
    </row>
    <row r="1226" customFormat="false" ht="15" hidden="false" customHeight="false" outlineLevel="0" collapsed="false">
      <c r="A1226" s="0" t="s">
        <v>2041</v>
      </c>
      <c r="B1226" s="0" t="s">
        <v>2042</v>
      </c>
      <c r="C1226" s="0" t="s">
        <v>2161</v>
      </c>
      <c r="D1226" s="0" t="s">
        <v>2044</v>
      </c>
      <c r="E1226" s="0" t="s">
        <v>2045</v>
      </c>
      <c r="F1226" s="0" t="s">
        <v>2051</v>
      </c>
      <c r="G1226" s="0" t="s">
        <v>2084</v>
      </c>
      <c r="H1226" s="0" t="s">
        <v>2052</v>
      </c>
      <c r="J1226" s="0" t="s">
        <v>2160</v>
      </c>
      <c r="K1226" s="272" t="n">
        <v>17920.589</v>
      </c>
    </row>
    <row r="1227" customFormat="false" ht="15" hidden="false" customHeight="false" outlineLevel="0" collapsed="false">
      <c r="A1227" s="0" t="s">
        <v>2041</v>
      </c>
      <c r="B1227" s="0" t="s">
        <v>2042</v>
      </c>
      <c r="C1227" s="0" t="s">
        <v>2156</v>
      </c>
      <c r="D1227" s="0" t="s">
        <v>2044</v>
      </c>
      <c r="E1227" s="0" t="s">
        <v>2045</v>
      </c>
      <c r="F1227" s="0" t="s">
        <v>2046</v>
      </c>
      <c r="G1227" s="0" t="s">
        <v>2085</v>
      </c>
      <c r="H1227" s="0" t="s">
        <v>2048</v>
      </c>
      <c r="J1227" s="0" t="s">
        <v>2160</v>
      </c>
      <c r="K1227" s="272" t="n">
        <v>347705.6175</v>
      </c>
    </row>
    <row r="1228" customFormat="false" ht="15" hidden="false" customHeight="false" outlineLevel="0" collapsed="false">
      <c r="A1228" s="0" t="s">
        <v>2041</v>
      </c>
      <c r="B1228" s="0" t="s">
        <v>2042</v>
      </c>
      <c r="C1228" s="0" t="s">
        <v>2161</v>
      </c>
      <c r="D1228" s="0" t="s">
        <v>2044</v>
      </c>
      <c r="E1228" s="0" t="s">
        <v>2045</v>
      </c>
      <c r="F1228" s="0" t="s">
        <v>2046</v>
      </c>
      <c r="G1228" s="0" t="s">
        <v>2085</v>
      </c>
      <c r="H1228" s="0" t="s">
        <v>2048</v>
      </c>
      <c r="J1228" s="0" t="s">
        <v>2160</v>
      </c>
      <c r="K1228" s="272" t="n">
        <v>108625.7295</v>
      </c>
    </row>
    <row r="1229" customFormat="false" ht="15" hidden="false" customHeight="false" outlineLevel="0" collapsed="false">
      <c r="A1229" s="0" t="s">
        <v>2041</v>
      </c>
      <c r="B1229" s="0" t="s">
        <v>2042</v>
      </c>
      <c r="C1229" s="0" t="s">
        <v>2156</v>
      </c>
      <c r="D1229" s="0" t="s">
        <v>2044</v>
      </c>
      <c r="E1229" s="0" t="s">
        <v>2045</v>
      </c>
      <c r="F1229" s="0" t="s">
        <v>2051</v>
      </c>
      <c r="G1229" s="0" t="s">
        <v>2085</v>
      </c>
      <c r="H1229" s="0" t="s">
        <v>2052</v>
      </c>
      <c r="J1229" s="0" t="s">
        <v>2160</v>
      </c>
      <c r="K1229" s="272" t="n">
        <v>35417.9925</v>
      </c>
    </row>
    <row r="1230" customFormat="false" ht="15" hidden="false" customHeight="false" outlineLevel="0" collapsed="false">
      <c r="A1230" s="0" t="s">
        <v>2041</v>
      </c>
      <c r="B1230" s="0" t="s">
        <v>2042</v>
      </c>
      <c r="C1230" s="0" t="s">
        <v>2161</v>
      </c>
      <c r="D1230" s="0" t="s">
        <v>2044</v>
      </c>
      <c r="E1230" s="0" t="s">
        <v>2045</v>
      </c>
      <c r="F1230" s="0" t="s">
        <v>2051</v>
      </c>
      <c r="G1230" s="0" t="s">
        <v>2085</v>
      </c>
      <c r="H1230" s="0" t="s">
        <v>2052</v>
      </c>
      <c r="J1230" s="0" t="s">
        <v>2160</v>
      </c>
      <c r="K1230" s="272" t="n">
        <v>16407.8805</v>
      </c>
    </row>
    <row r="1231" customFormat="false" ht="15" hidden="false" customHeight="false" outlineLevel="0" collapsed="false">
      <c r="A1231" s="0" t="s">
        <v>2041</v>
      </c>
      <c r="B1231" s="0" t="s">
        <v>2042</v>
      </c>
      <c r="C1231" s="0" t="s">
        <v>2156</v>
      </c>
      <c r="D1231" s="0" t="s">
        <v>2044</v>
      </c>
      <c r="E1231" s="0" t="s">
        <v>2045</v>
      </c>
      <c r="F1231" s="0" t="s">
        <v>2046</v>
      </c>
      <c r="G1231" s="0" t="s">
        <v>2086</v>
      </c>
      <c r="H1231" s="0" t="s">
        <v>2048</v>
      </c>
      <c r="J1231" s="0" t="s">
        <v>2160</v>
      </c>
      <c r="K1231" s="272" t="n">
        <v>165068.845</v>
      </c>
    </row>
    <row r="1232" customFormat="false" ht="15" hidden="false" customHeight="false" outlineLevel="0" collapsed="false">
      <c r="A1232" s="0" t="s">
        <v>2041</v>
      </c>
      <c r="B1232" s="0" t="s">
        <v>2042</v>
      </c>
      <c r="C1232" s="0" t="s">
        <v>2161</v>
      </c>
      <c r="D1232" s="0" t="s">
        <v>2044</v>
      </c>
      <c r="E1232" s="0" t="s">
        <v>2045</v>
      </c>
      <c r="F1232" s="0" t="s">
        <v>2046</v>
      </c>
      <c r="G1232" s="0" t="s">
        <v>2086</v>
      </c>
      <c r="H1232" s="0" t="s">
        <v>2048</v>
      </c>
      <c r="J1232" s="0" t="s">
        <v>2160</v>
      </c>
      <c r="K1232" s="272" t="n">
        <v>58580.4855</v>
      </c>
    </row>
    <row r="1233" customFormat="false" ht="15" hidden="false" customHeight="false" outlineLevel="0" collapsed="false">
      <c r="A1233" s="0" t="s">
        <v>2041</v>
      </c>
      <c r="B1233" s="0" t="s">
        <v>2042</v>
      </c>
      <c r="C1233" s="0" t="s">
        <v>2156</v>
      </c>
      <c r="D1233" s="0" t="s">
        <v>2044</v>
      </c>
      <c r="E1233" s="0" t="s">
        <v>2045</v>
      </c>
      <c r="F1233" s="0" t="s">
        <v>2051</v>
      </c>
      <c r="G1233" s="0" t="s">
        <v>2086</v>
      </c>
      <c r="H1233" s="0" t="s">
        <v>2052</v>
      </c>
      <c r="J1233" s="0" t="s">
        <v>2160</v>
      </c>
      <c r="K1233" s="272" t="n">
        <v>4760.315</v>
      </c>
    </row>
    <row r="1234" customFormat="false" ht="15" hidden="false" customHeight="false" outlineLevel="0" collapsed="false">
      <c r="A1234" s="0" t="s">
        <v>2041</v>
      </c>
      <c r="B1234" s="0" t="s">
        <v>2042</v>
      </c>
      <c r="C1234" s="0" t="s">
        <v>2161</v>
      </c>
      <c r="D1234" s="0" t="s">
        <v>2044</v>
      </c>
      <c r="E1234" s="0" t="s">
        <v>2045</v>
      </c>
      <c r="F1234" s="0" t="s">
        <v>2051</v>
      </c>
      <c r="G1234" s="0" t="s">
        <v>2086</v>
      </c>
      <c r="H1234" s="0" t="s">
        <v>2052</v>
      </c>
      <c r="J1234" s="0" t="s">
        <v>2160</v>
      </c>
      <c r="K1234" s="272" t="n">
        <v>3743.2945</v>
      </c>
    </row>
    <row r="1235" customFormat="false" ht="15" hidden="false" customHeight="false" outlineLevel="0" collapsed="false">
      <c r="A1235" s="0" t="s">
        <v>2041</v>
      </c>
      <c r="B1235" s="0" t="s">
        <v>2042</v>
      </c>
      <c r="C1235" s="0" t="s">
        <v>2156</v>
      </c>
      <c r="D1235" s="0" t="s">
        <v>2044</v>
      </c>
      <c r="E1235" s="0" t="s">
        <v>2045</v>
      </c>
      <c r="F1235" s="0" t="s">
        <v>2046</v>
      </c>
      <c r="G1235" s="0" t="s">
        <v>2087</v>
      </c>
      <c r="H1235" s="0" t="s">
        <v>2048</v>
      </c>
      <c r="J1235" s="0" t="s">
        <v>2160</v>
      </c>
      <c r="K1235" s="272" t="n">
        <v>164247.991</v>
      </c>
    </row>
    <row r="1236" customFormat="false" ht="15" hidden="false" customHeight="false" outlineLevel="0" collapsed="false">
      <c r="A1236" s="0" t="s">
        <v>2041</v>
      </c>
      <c r="B1236" s="0" t="s">
        <v>2042</v>
      </c>
      <c r="C1236" s="0" t="s">
        <v>2161</v>
      </c>
      <c r="D1236" s="0" t="s">
        <v>2044</v>
      </c>
      <c r="E1236" s="0" t="s">
        <v>2045</v>
      </c>
      <c r="F1236" s="0" t="s">
        <v>2046</v>
      </c>
      <c r="G1236" s="0" t="s">
        <v>2087</v>
      </c>
      <c r="H1236" s="0" t="s">
        <v>2048</v>
      </c>
      <c r="J1236" s="0" t="s">
        <v>2160</v>
      </c>
      <c r="K1236" s="272" t="n">
        <v>52440.9275</v>
      </c>
    </row>
    <row r="1237" customFormat="false" ht="15" hidden="false" customHeight="false" outlineLevel="0" collapsed="false">
      <c r="A1237" s="0" t="s">
        <v>2041</v>
      </c>
      <c r="B1237" s="0" t="s">
        <v>2042</v>
      </c>
      <c r="C1237" s="0" t="s">
        <v>2156</v>
      </c>
      <c r="D1237" s="0" t="s">
        <v>2044</v>
      </c>
      <c r="E1237" s="0" t="s">
        <v>2045</v>
      </c>
      <c r="F1237" s="0" t="s">
        <v>2051</v>
      </c>
      <c r="G1237" s="0" t="s">
        <v>2087</v>
      </c>
      <c r="H1237" s="0" t="s">
        <v>2052</v>
      </c>
      <c r="J1237" s="0" t="s">
        <v>2160</v>
      </c>
      <c r="K1237" s="272" t="n">
        <v>156350.699</v>
      </c>
    </row>
    <row r="1238" customFormat="false" ht="15" hidden="false" customHeight="false" outlineLevel="0" collapsed="false">
      <c r="A1238" s="0" t="s">
        <v>2041</v>
      </c>
      <c r="B1238" s="0" t="s">
        <v>2042</v>
      </c>
      <c r="C1238" s="0" t="s">
        <v>2161</v>
      </c>
      <c r="D1238" s="0" t="s">
        <v>2044</v>
      </c>
      <c r="E1238" s="0" t="s">
        <v>2045</v>
      </c>
      <c r="F1238" s="0" t="s">
        <v>2051</v>
      </c>
      <c r="G1238" s="0" t="s">
        <v>2087</v>
      </c>
      <c r="H1238" s="0" t="s">
        <v>2052</v>
      </c>
      <c r="J1238" s="0" t="s">
        <v>2160</v>
      </c>
      <c r="K1238" s="272" t="n">
        <v>54814.0225</v>
      </c>
    </row>
    <row r="1239" customFormat="false" ht="15" hidden="false" customHeight="false" outlineLevel="0" collapsed="false">
      <c r="A1239" s="0" t="s">
        <v>2041</v>
      </c>
      <c r="B1239" s="0" t="s">
        <v>2042</v>
      </c>
      <c r="C1239" s="0" t="s">
        <v>2156</v>
      </c>
      <c r="D1239" s="0" t="s">
        <v>2044</v>
      </c>
      <c r="E1239" s="0" t="s">
        <v>2045</v>
      </c>
      <c r="F1239" s="0" t="s">
        <v>2046</v>
      </c>
      <c r="G1239" s="0" t="s">
        <v>2088</v>
      </c>
      <c r="H1239" s="0" t="s">
        <v>2048</v>
      </c>
      <c r="J1239" s="0" t="s">
        <v>2160</v>
      </c>
      <c r="K1239" s="272" t="n">
        <v>168502.7685</v>
      </c>
    </row>
    <row r="1240" customFormat="false" ht="15" hidden="false" customHeight="false" outlineLevel="0" collapsed="false">
      <c r="A1240" s="0" t="s">
        <v>2041</v>
      </c>
      <c r="B1240" s="0" t="s">
        <v>2042</v>
      </c>
      <c r="C1240" s="0" t="s">
        <v>2161</v>
      </c>
      <c r="D1240" s="0" t="s">
        <v>2044</v>
      </c>
      <c r="E1240" s="0" t="s">
        <v>2045</v>
      </c>
      <c r="F1240" s="0" t="s">
        <v>2046</v>
      </c>
      <c r="G1240" s="0" t="s">
        <v>2088</v>
      </c>
      <c r="H1240" s="0" t="s">
        <v>2048</v>
      </c>
      <c r="J1240" s="0" t="s">
        <v>2160</v>
      </c>
      <c r="K1240" s="272" t="n">
        <v>53011.516</v>
      </c>
    </row>
    <row r="1241" customFormat="false" ht="15" hidden="false" customHeight="false" outlineLevel="0" collapsed="false">
      <c r="A1241" s="0" t="s">
        <v>2041</v>
      </c>
      <c r="B1241" s="0" t="s">
        <v>2042</v>
      </c>
      <c r="C1241" s="0" t="s">
        <v>2156</v>
      </c>
      <c r="D1241" s="0" t="s">
        <v>2044</v>
      </c>
      <c r="E1241" s="0" t="s">
        <v>2045</v>
      </c>
      <c r="F1241" s="0" t="s">
        <v>2051</v>
      </c>
      <c r="G1241" s="0" t="s">
        <v>2088</v>
      </c>
      <c r="H1241" s="0" t="s">
        <v>2052</v>
      </c>
      <c r="J1241" s="0" t="s">
        <v>2160</v>
      </c>
      <c r="K1241" s="272" t="n">
        <v>7431.2315</v>
      </c>
    </row>
    <row r="1242" customFormat="false" ht="15" hidden="false" customHeight="false" outlineLevel="0" collapsed="false">
      <c r="A1242" s="0" t="s">
        <v>2041</v>
      </c>
      <c r="B1242" s="0" t="s">
        <v>2042</v>
      </c>
      <c r="C1242" s="0" t="s">
        <v>2161</v>
      </c>
      <c r="D1242" s="0" t="s">
        <v>2044</v>
      </c>
      <c r="E1242" s="0" t="s">
        <v>2045</v>
      </c>
      <c r="F1242" s="0" t="s">
        <v>2051</v>
      </c>
      <c r="G1242" s="0" t="s">
        <v>2088</v>
      </c>
      <c r="H1242" s="0" t="s">
        <v>2052</v>
      </c>
      <c r="J1242" s="0" t="s">
        <v>2160</v>
      </c>
      <c r="K1242" s="272" t="n">
        <v>4614.344</v>
      </c>
    </row>
    <row r="1243" customFormat="false" ht="15" hidden="false" customHeight="false" outlineLevel="0" collapsed="false">
      <c r="A1243" s="0" t="s">
        <v>2041</v>
      </c>
      <c r="B1243" s="0" t="s">
        <v>2042</v>
      </c>
      <c r="C1243" s="0" t="s">
        <v>2156</v>
      </c>
      <c r="D1243" s="0" t="s">
        <v>2044</v>
      </c>
      <c r="E1243" s="0" t="s">
        <v>2045</v>
      </c>
      <c r="F1243" s="0" t="s">
        <v>2046</v>
      </c>
      <c r="G1243" s="0" t="s">
        <v>2089</v>
      </c>
      <c r="H1243" s="0" t="s">
        <v>2048</v>
      </c>
      <c r="J1243" s="0" t="s">
        <v>2160</v>
      </c>
      <c r="K1243" s="272" t="n">
        <v>5638.57470000001</v>
      </c>
    </row>
    <row r="1244" customFormat="false" ht="15" hidden="false" customHeight="false" outlineLevel="0" collapsed="false">
      <c r="A1244" s="0" t="s">
        <v>2041</v>
      </c>
      <c r="B1244" s="0" t="s">
        <v>2042</v>
      </c>
      <c r="C1244" s="0" t="s">
        <v>2161</v>
      </c>
      <c r="D1244" s="0" t="s">
        <v>2044</v>
      </c>
      <c r="E1244" s="0" t="s">
        <v>2045</v>
      </c>
      <c r="F1244" s="0" t="s">
        <v>2046</v>
      </c>
      <c r="G1244" s="0" t="s">
        <v>2089</v>
      </c>
      <c r="H1244" s="0" t="s">
        <v>2048</v>
      </c>
      <c r="J1244" s="0" t="s">
        <v>2160</v>
      </c>
      <c r="K1244" s="272" t="n">
        <v>6705.3393</v>
      </c>
    </row>
    <row r="1245" customFormat="false" ht="15" hidden="false" customHeight="false" outlineLevel="0" collapsed="false">
      <c r="A1245" s="0" t="s">
        <v>2041</v>
      </c>
      <c r="B1245" s="0" t="s">
        <v>2042</v>
      </c>
      <c r="C1245" s="0" t="s">
        <v>2156</v>
      </c>
      <c r="D1245" s="0" t="s">
        <v>2044</v>
      </c>
      <c r="E1245" s="0" t="s">
        <v>2045</v>
      </c>
      <c r="F1245" s="0" t="s">
        <v>2051</v>
      </c>
      <c r="G1245" s="0" t="s">
        <v>2089</v>
      </c>
      <c r="H1245" s="0" t="s">
        <v>2052</v>
      </c>
      <c r="J1245" s="0" t="s">
        <v>2160</v>
      </c>
      <c r="K1245" s="272" t="n">
        <v>56.9552999999999</v>
      </c>
    </row>
    <row r="1246" customFormat="false" ht="15" hidden="false" customHeight="false" outlineLevel="0" collapsed="false">
      <c r="A1246" s="0" t="s">
        <v>2041</v>
      </c>
      <c r="B1246" s="0" t="s">
        <v>2042</v>
      </c>
      <c r="C1246" s="0" t="s">
        <v>2161</v>
      </c>
      <c r="D1246" s="0" t="s">
        <v>2044</v>
      </c>
      <c r="E1246" s="0" t="s">
        <v>2045</v>
      </c>
      <c r="F1246" s="0" t="s">
        <v>2051</v>
      </c>
      <c r="G1246" s="0" t="s">
        <v>2089</v>
      </c>
      <c r="H1246" s="0" t="s">
        <v>2052</v>
      </c>
      <c r="J1246" s="0" t="s">
        <v>2160</v>
      </c>
      <c r="K1246" s="272" t="n">
        <v>67.7307</v>
      </c>
    </row>
    <row r="1247" customFormat="false" ht="15" hidden="false" customHeight="false" outlineLevel="0" collapsed="false">
      <c r="A1247" s="0" t="s">
        <v>2041</v>
      </c>
      <c r="B1247" s="0" t="s">
        <v>2042</v>
      </c>
      <c r="C1247" s="0" t="s">
        <v>2156</v>
      </c>
      <c r="D1247" s="0" t="s">
        <v>2044</v>
      </c>
      <c r="E1247" s="0" t="s">
        <v>2045</v>
      </c>
      <c r="F1247" s="0" t="s">
        <v>2046</v>
      </c>
      <c r="G1247" s="0" t="s">
        <v>2090</v>
      </c>
      <c r="H1247" s="0" t="s">
        <v>2048</v>
      </c>
      <c r="J1247" s="0" t="s">
        <v>2160</v>
      </c>
      <c r="K1247" s="272" t="n">
        <v>425730.139</v>
      </c>
    </row>
    <row r="1248" customFormat="false" ht="15" hidden="false" customHeight="false" outlineLevel="0" collapsed="false">
      <c r="A1248" s="0" t="s">
        <v>2041</v>
      </c>
      <c r="B1248" s="0" t="s">
        <v>2042</v>
      </c>
      <c r="C1248" s="0" t="s">
        <v>2161</v>
      </c>
      <c r="D1248" s="0" t="s">
        <v>2044</v>
      </c>
      <c r="E1248" s="0" t="s">
        <v>2045</v>
      </c>
      <c r="F1248" s="0" t="s">
        <v>2046</v>
      </c>
      <c r="G1248" s="0" t="s">
        <v>2090</v>
      </c>
      <c r="H1248" s="0" t="s">
        <v>2048</v>
      </c>
      <c r="J1248" s="0" t="s">
        <v>2160</v>
      </c>
      <c r="K1248" s="272" t="n">
        <v>159424.55</v>
      </c>
    </row>
    <row r="1249" customFormat="false" ht="15" hidden="false" customHeight="false" outlineLevel="0" collapsed="false">
      <c r="A1249" s="0" t="s">
        <v>2041</v>
      </c>
      <c r="B1249" s="0" t="s">
        <v>2042</v>
      </c>
      <c r="C1249" s="0" t="s">
        <v>2156</v>
      </c>
      <c r="D1249" s="0" t="s">
        <v>2044</v>
      </c>
      <c r="E1249" s="0" t="s">
        <v>2045</v>
      </c>
      <c r="F1249" s="0" t="s">
        <v>2051</v>
      </c>
      <c r="G1249" s="0" t="s">
        <v>2090</v>
      </c>
      <c r="H1249" s="0" t="s">
        <v>2052</v>
      </c>
      <c r="J1249" s="0" t="s">
        <v>2160</v>
      </c>
      <c r="K1249" s="272" t="n">
        <v>28497.821</v>
      </c>
    </row>
    <row r="1250" customFormat="false" ht="15" hidden="false" customHeight="false" outlineLevel="0" collapsed="false">
      <c r="A1250" s="0" t="s">
        <v>2041</v>
      </c>
      <c r="B1250" s="0" t="s">
        <v>2042</v>
      </c>
      <c r="C1250" s="0" t="s">
        <v>2161</v>
      </c>
      <c r="D1250" s="0" t="s">
        <v>2044</v>
      </c>
      <c r="E1250" s="0" t="s">
        <v>2045</v>
      </c>
      <c r="F1250" s="0" t="s">
        <v>2051</v>
      </c>
      <c r="G1250" s="0" t="s">
        <v>2090</v>
      </c>
      <c r="H1250" s="0" t="s">
        <v>2052</v>
      </c>
      <c r="J1250" s="0" t="s">
        <v>2160</v>
      </c>
      <c r="K1250" s="272" t="n">
        <v>17876.53</v>
      </c>
    </row>
    <row r="1251" customFormat="false" ht="15" hidden="false" customHeight="false" outlineLevel="0" collapsed="false">
      <c r="A1251" s="0" t="s">
        <v>2041</v>
      </c>
      <c r="B1251" s="0" t="s">
        <v>2042</v>
      </c>
      <c r="C1251" s="0" t="s">
        <v>2156</v>
      </c>
      <c r="D1251" s="0" t="s">
        <v>2044</v>
      </c>
      <c r="E1251" s="0" t="s">
        <v>2045</v>
      </c>
      <c r="F1251" s="0" t="s">
        <v>2046</v>
      </c>
      <c r="G1251" s="0" t="s">
        <v>2091</v>
      </c>
      <c r="H1251" s="0" t="s">
        <v>2048</v>
      </c>
      <c r="J1251" s="0" t="s">
        <v>2160</v>
      </c>
      <c r="K1251" s="272" t="n">
        <v>65546.54</v>
      </c>
    </row>
    <row r="1252" customFormat="false" ht="15" hidden="false" customHeight="false" outlineLevel="0" collapsed="false">
      <c r="A1252" s="0" t="s">
        <v>2041</v>
      </c>
      <c r="B1252" s="0" t="s">
        <v>2042</v>
      </c>
      <c r="C1252" s="0" t="s">
        <v>2161</v>
      </c>
      <c r="D1252" s="0" t="s">
        <v>2044</v>
      </c>
      <c r="E1252" s="0" t="s">
        <v>2045</v>
      </c>
      <c r="F1252" s="0" t="s">
        <v>2046</v>
      </c>
      <c r="G1252" s="0" t="s">
        <v>2091</v>
      </c>
      <c r="H1252" s="0" t="s">
        <v>2048</v>
      </c>
      <c r="J1252" s="0" t="s">
        <v>2160</v>
      </c>
      <c r="K1252" s="272" t="n">
        <v>26328.828</v>
      </c>
    </row>
    <row r="1253" customFormat="false" ht="15" hidden="false" customHeight="false" outlineLevel="0" collapsed="false">
      <c r="A1253" s="0" t="s">
        <v>2041</v>
      </c>
      <c r="B1253" s="0" t="s">
        <v>2042</v>
      </c>
      <c r="C1253" s="0" t="s">
        <v>2156</v>
      </c>
      <c r="D1253" s="0" t="s">
        <v>2044</v>
      </c>
      <c r="E1253" s="0" t="s">
        <v>2045</v>
      </c>
      <c r="F1253" s="0" t="s">
        <v>2051</v>
      </c>
      <c r="G1253" s="0" t="s">
        <v>2091</v>
      </c>
      <c r="H1253" s="0" t="s">
        <v>2052</v>
      </c>
      <c r="J1253" s="0" t="s">
        <v>2160</v>
      </c>
      <c r="K1253" s="272" t="n">
        <v>155625.36</v>
      </c>
    </row>
    <row r="1254" customFormat="false" ht="15" hidden="false" customHeight="false" outlineLevel="0" collapsed="false">
      <c r="A1254" s="0" t="s">
        <v>2041</v>
      </c>
      <c r="B1254" s="0" t="s">
        <v>2042</v>
      </c>
      <c r="C1254" s="0" t="s">
        <v>2161</v>
      </c>
      <c r="D1254" s="0" t="s">
        <v>2044</v>
      </c>
      <c r="E1254" s="0" t="s">
        <v>2045</v>
      </c>
      <c r="F1254" s="0" t="s">
        <v>2051</v>
      </c>
      <c r="G1254" s="0" t="s">
        <v>2091</v>
      </c>
      <c r="H1254" s="0" t="s">
        <v>2052</v>
      </c>
      <c r="J1254" s="0" t="s">
        <v>2160</v>
      </c>
      <c r="K1254" s="272" t="n">
        <v>53384.552</v>
      </c>
    </row>
    <row r="1255" customFormat="false" ht="15" hidden="false" customHeight="false" outlineLevel="0" collapsed="false">
      <c r="A1255" s="0" t="s">
        <v>2041</v>
      </c>
      <c r="B1255" s="0" t="s">
        <v>2042</v>
      </c>
      <c r="C1255" s="0" t="s">
        <v>2156</v>
      </c>
      <c r="D1255" s="0" t="s">
        <v>2044</v>
      </c>
      <c r="E1255" s="0" t="s">
        <v>2045</v>
      </c>
      <c r="F1255" s="0" t="s">
        <v>2046</v>
      </c>
      <c r="G1255" s="0" t="s">
        <v>2092</v>
      </c>
      <c r="H1255" s="0" t="s">
        <v>2048</v>
      </c>
      <c r="J1255" s="0" t="s">
        <v>2160</v>
      </c>
      <c r="K1255" s="272" t="n">
        <v>7552.8515</v>
      </c>
    </row>
    <row r="1256" customFormat="false" ht="15" hidden="false" customHeight="false" outlineLevel="0" collapsed="false">
      <c r="A1256" s="0" t="s">
        <v>2041</v>
      </c>
      <c r="B1256" s="0" t="s">
        <v>2042</v>
      </c>
      <c r="C1256" s="0" t="s">
        <v>2161</v>
      </c>
      <c r="D1256" s="0" t="s">
        <v>2044</v>
      </c>
      <c r="E1256" s="0" t="s">
        <v>2045</v>
      </c>
      <c r="F1256" s="0" t="s">
        <v>2046</v>
      </c>
      <c r="G1256" s="0" t="s">
        <v>2092</v>
      </c>
      <c r="H1256" s="0" t="s">
        <v>2048</v>
      </c>
      <c r="J1256" s="0" t="s">
        <v>2160</v>
      </c>
      <c r="K1256" s="272" t="n">
        <v>7978.2805</v>
      </c>
    </row>
    <row r="1257" customFormat="false" ht="15" hidden="false" customHeight="false" outlineLevel="0" collapsed="false">
      <c r="A1257" s="0" t="s">
        <v>2041</v>
      </c>
      <c r="B1257" s="0" t="s">
        <v>2042</v>
      </c>
      <c r="C1257" s="0" t="s">
        <v>2156</v>
      </c>
      <c r="D1257" s="0" t="s">
        <v>2044</v>
      </c>
      <c r="E1257" s="0" t="s">
        <v>2045</v>
      </c>
      <c r="F1257" s="0" t="s">
        <v>2051</v>
      </c>
      <c r="G1257" s="0" t="s">
        <v>2092</v>
      </c>
      <c r="H1257" s="0" t="s">
        <v>2052</v>
      </c>
      <c r="J1257" s="0" t="s">
        <v>2160</v>
      </c>
      <c r="K1257" s="272" t="n">
        <v>397.518500000001</v>
      </c>
    </row>
    <row r="1258" customFormat="false" ht="15" hidden="false" customHeight="false" outlineLevel="0" collapsed="false">
      <c r="A1258" s="0" t="s">
        <v>2041</v>
      </c>
      <c r="B1258" s="0" t="s">
        <v>2042</v>
      </c>
      <c r="C1258" s="0" t="s">
        <v>2161</v>
      </c>
      <c r="D1258" s="0" t="s">
        <v>2044</v>
      </c>
      <c r="E1258" s="0" t="s">
        <v>2045</v>
      </c>
      <c r="F1258" s="0" t="s">
        <v>2051</v>
      </c>
      <c r="G1258" s="0" t="s">
        <v>2092</v>
      </c>
      <c r="H1258" s="0" t="s">
        <v>2052</v>
      </c>
      <c r="J1258" s="0" t="s">
        <v>2160</v>
      </c>
      <c r="K1258" s="272" t="n">
        <v>419.9095</v>
      </c>
    </row>
    <row r="1259" customFormat="false" ht="15" hidden="false" customHeight="false" outlineLevel="0" collapsed="false">
      <c r="A1259" s="0" t="s">
        <v>2041</v>
      </c>
      <c r="B1259" s="0" t="s">
        <v>2042</v>
      </c>
      <c r="C1259" s="0" t="s">
        <v>2156</v>
      </c>
      <c r="D1259" s="0" t="s">
        <v>2044</v>
      </c>
      <c r="E1259" s="0" t="s">
        <v>2045</v>
      </c>
      <c r="F1259" s="0" t="s">
        <v>2046</v>
      </c>
      <c r="G1259" s="0" t="s">
        <v>2093</v>
      </c>
      <c r="H1259" s="0" t="s">
        <v>2048</v>
      </c>
      <c r="J1259" s="0" t="s">
        <v>2160</v>
      </c>
      <c r="K1259" s="272" t="n">
        <v>108806.181</v>
      </c>
    </row>
    <row r="1260" customFormat="false" ht="15" hidden="false" customHeight="false" outlineLevel="0" collapsed="false">
      <c r="A1260" s="0" t="s">
        <v>2041</v>
      </c>
      <c r="B1260" s="0" t="s">
        <v>2042</v>
      </c>
      <c r="C1260" s="0" t="s">
        <v>2161</v>
      </c>
      <c r="D1260" s="0" t="s">
        <v>2044</v>
      </c>
      <c r="E1260" s="0" t="s">
        <v>2045</v>
      </c>
      <c r="F1260" s="0" t="s">
        <v>2046</v>
      </c>
      <c r="G1260" s="0" t="s">
        <v>2093</v>
      </c>
      <c r="H1260" s="0" t="s">
        <v>2048</v>
      </c>
      <c r="J1260" s="0" t="s">
        <v>2160</v>
      </c>
      <c r="K1260" s="272" t="n">
        <v>47805.6</v>
      </c>
    </row>
    <row r="1261" customFormat="false" ht="15" hidden="false" customHeight="false" outlineLevel="0" collapsed="false">
      <c r="A1261" s="0" t="s">
        <v>2041</v>
      </c>
      <c r="B1261" s="0" t="s">
        <v>2042</v>
      </c>
      <c r="C1261" s="0" t="s">
        <v>2156</v>
      </c>
      <c r="D1261" s="0" t="s">
        <v>2044</v>
      </c>
      <c r="E1261" s="0" t="s">
        <v>2045</v>
      </c>
      <c r="F1261" s="0" t="s">
        <v>2051</v>
      </c>
      <c r="G1261" s="0" t="s">
        <v>2093</v>
      </c>
      <c r="H1261" s="0" t="s">
        <v>2052</v>
      </c>
      <c r="J1261" s="0" t="s">
        <v>2160</v>
      </c>
      <c r="K1261" s="272" t="n">
        <v>3878.089</v>
      </c>
    </row>
    <row r="1262" customFormat="false" ht="15" hidden="false" customHeight="false" outlineLevel="0" collapsed="false">
      <c r="A1262" s="0" t="s">
        <v>2041</v>
      </c>
      <c r="B1262" s="0" t="s">
        <v>2042</v>
      </c>
      <c r="C1262" s="0" t="s">
        <v>2161</v>
      </c>
      <c r="D1262" s="0" t="s">
        <v>2044</v>
      </c>
      <c r="E1262" s="0" t="s">
        <v>2045</v>
      </c>
      <c r="F1262" s="0" t="s">
        <v>2051</v>
      </c>
      <c r="G1262" s="0" t="s">
        <v>2093</v>
      </c>
      <c r="H1262" s="0" t="s">
        <v>2052</v>
      </c>
      <c r="J1262" s="0" t="s">
        <v>2160</v>
      </c>
      <c r="K1262" s="272" t="n">
        <v>3338.42</v>
      </c>
    </row>
    <row r="1263" customFormat="false" ht="15" hidden="false" customHeight="false" outlineLevel="0" collapsed="false">
      <c r="A1263" s="0" t="s">
        <v>2041</v>
      </c>
      <c r="B1263" s="0" t="s">
        <v>2042</v>
      </c>
      <c r="C1263" s="0" t="s">
        <v>2156</v>
      </c>
      <c r="D1263" s="0" t="s">
        <v>2044</v>
      </c>
      <c r="E1263" s="0" t="s">
        <v>2045</v>
      </c>
      <c r="F1263" s="0" t="s">
        <v>2046</v>
      </c>
      <c r="G1263" s="0" t="s">
        <v>2094</v>
      </c>
      <c r="H1263" s="0" t="s">
        <v>2048</v>
      </c>
      <c r="J1263" s="0" t="s">
        <v>2160</v>
      </c>
      <c r="K1263" s="272" t="n">
        <v>158587.6624</v>
      </c>
    </row>
    <row r="1264" customFormat="false" ht="15" hidden="false" customHeight="false" outlineLevel="0" collapsed="false">
      <c r="A1264" s="0" t="s">
        <v>2041</v>
      </c>
      <c r="B1264" s="0" t="s">
        <v>2042</v>
      </c>
      <c r="C1264" s="0" t="s">
        <v>2161</v>
      </c>
      <c r="D1264" s="0" t="s">
        <v>2044</v>
      </c>
      <c r="E1264" s="0" t="s">
        <v>2045</v>
      </c>
      <c r="F1264" s="0" t="s">
        <v>2046</v>
      </c>
      <c r="G1264" s="0" t="s">
        <v>2094</v>
      </c>
      <c r="H1264" s="0" t="s">
        <v>2048</v>
      </c>
      <c r="J1264" s="0" t="s">
        <v>2160</v>
      </c>
      <c r="K1264" s="272" t="n">
        <v>58925.1684</v>
      </c>
    </row>
    <row r="1265" customFormat="false" ht="15" hidden="false" customHeight="false" outlineLevel="0" collapsed="false">
      <c r="A1265" s="0" t="s">
        <v>2041</v>
      </c>
      <c r="B1265" s="0" t="s">
        <v>2042</v>
      </c>
      <c r="C1265" s="0" t="s">
        <v>2156</v>
      </c>
      <c r="D1265" s="0" t="s">
        <v>2044</v>
      </c>
      <c r="E1265" s="0" t="s">
        <v>2045</v>
      </c>
      <c r="F1265" s="0" t="s">
        <v>2051</v>
      </c>
      <c r="G1265" s="0" t="s">
        <v>2094</v>
      </c>
      <c r="H1265" s="0" t="s">
        <v>2052</v>
      </c>
      <c r="J1265" s="0" t="s">
        <v>2160</v>
      </c>
      <c r="K1265" s="272" t="n">
        <v>94283.9876</v>
      </c>
    </row>
    <row r="1266" customFormat="false" ht="15" hidden="false" customHeight="false" outlineLevel="0" collapsed="false">
      <c r="A1266" s="0" t="s">
        <v>2041</v>
      </c>
      <c r="B1266" s="0" t="s">
        <v>2042</v>
      </c>
      <c r="C1266" s="0" t="s">
        <v>2161</v>
      </c>
      <c r="D1266" s="0" t="s">
        <v>2044</v>
      </c>
      <c r="E1266" s="0" t="s">
        <v>2045</v>
      </c>
      <c r="F1266" s="0" t="s">
        <v>2051</v>
      </c>
      <c r="G1266" s="0" t="s">
        <v>2094</v>
      </c>
      <c r="H1266" s="0" t="s">
        <v>2052</v>
      </c>
      <c r="J1266" s="0" t="s">
        <v>2160</v>
      </c>
      <c r="K1266" s="272" t="n">
        <v>44869.9316</v>
      </c>
    </row>
    <row r="1267" customFormat="false" ht="15" hidden="false" customHeight="false" outlineLevel="0" collapsed="false">
      <c r="A1267" s="0" t="s">
        <v>2041</v>
      </c>
      <c r="B1267" s="0" t="s">
        <v>2042</v>
      </c>
      <c r="C1267" s="0" t="s">
        <v>2156</v>
      </c>
      <c r="D1267" s="0" t="s">
        <v>2044</v>
      </c>
      <c r="E1267" s="0" t="s">
        <v>2045</v>
      </c>
      <c r="F1267" s="0" t="s">
        <v>2046</v>
      </c>
      <c r="G1267" s="0" t="s">
        <v>2095</v>
      </c>
      <c r="H1267" s="0" t="s">
        <v>2048</v>
      </c>
      <c r="J1267" s="0" t="s">
        <v>2160</v>
      </c>
      <c r="K1267" s="272" t="n">
        <v>387702.845</v>
      </c>
    </row>
    <row r="1268" customFormat="false" ht="15" hidden="false" customHeight="false" outlineLevel="0" collapsed="false">
      <c r="A1268" s="0" t="s">
        <v>2041</v>
      </c>
      <c r="B1268" s="0" t="s">
        <v>2042</v>
      </c>
      <c r="C1268" s="0" t="s">
        <v>2161</v>
      </c>
      <c r="D1268" s="0" t="s">
        <v>2044</v>
      </c>
      <c r="E1268" s="0" t="s">
        <v>2045</v>
      </c>
      <c r="F1268" s="0" t="s">
        <v>2046</v>
      </c>
      <c r="G1268" s="0" t="s">
        <v>2095</v>
      </c>
      <c r="H1268" s="0" t="s">
        <v>2048</v>
      </c>
      <c r="J1268" s="0" t="s">
        <v>2160</v>
      </c>
      <c r="K1268" s="272" t="n">
        <v>123953.195</v>
      </c>
    </row>
    <row r="1269" customFormat="false" ht="15" hidden="false" customHeight="false" outlineLevel="0" collapsed="false">
      <c r="A1269" s="0" t="s">
        <v>2041</v>
      </c>
      <c r="B1269" s="0" t="s">
        <v>2042</v>
      </c>
      <c r="C1269" s="0" t="s">
        <v>2156</v>
      </c>
      <c r="D1269" s="0" t="s">
        <v>2044</v>
      </c>
      <c r="E1269" s="0" t="s">
        <v>2045</v>
      </c>
      <c r="F1269" s="0" t="s">
        <v>2051</v>
      </c>
      <c r="G1269" s="0" t="s">
        <v>2095</v>
      </c>
      <c r="H1269" s="0" t="s">
        <v>2052</v>
      </c>
      <c r="J1269" s="0" t="s">
        <v>2160</v>
      </c>
      <c r="K1269" s="272" t="n">
        <v>50359.305</v>
      </c>
    </row>
    <row r="1270" customFormat="false" ht="15" hidden="false" customHeight="false" outlineLevel="0" collapsed="false">
      <c r="A1270" s="0" t="s">
        <v>2041</v>
      </c>
      <c r="B1270" s="0" t="s">
        <v>2042</v>
      </c>
      <c r="C1270" s="0" t="s">
        <v>2161</v>
      </c>
      <c r="D1270" s="0" t="s">
        <v>2044</v>
      </c>
      <c r="E1270" s="0" t="s">
        <v>2045</v>
      </c>
      <c r="F1270" s="0" t="s">
        <v>2051</v>
      </c>
      <c r="G1270" s="0" t="s">
        <v>2095</v>
      </c>
      <c r="H1270" s="0" t="s">
        <v>2052</v>
      </c>
      <c r="J1270" s="0" t="s">
        <v>2160</v>
      </c>
      <c r="K1270" s="272" t="n">
        <v>27042.775</v>
      </c>
    </row>
    <row r="1271" customFormat="false" ht="15" hidden="false" customHeight="false" outlineLevel="0" collapsed="false">
      <c r="A1271" s="0" t="s">
        <v>2041</v>
      </c>
      <c r="B1271" s="0" t="s">
        <v>2042</v>
      </c>
      <c r="C1271" s="0" t="s">
        <v>2156</v>
      </c>
      <c r="D1271" s="0" t="s">
        <v>2044</v>
      </c>
      <c r="E1271" s="0" t="s">
        <v>2045</v>
      </c>
      <c r="F1271" s="0" t="s">
        <v>2046</v>
      </c>
      <c r="G1271" s="0" t="s">
        <v>2096</v>
      </c>
      <c r="H1271" s="0" t="s">
        <v>2048</v>
      </c>
      <c r="I1271" s="0" t="s">
        <v>2097</v>
      </c>
      <c r="J1271" s="0" t="s">
        <v>2160</v>
      </c>
      <c r="K1271" s="272" t="n">
        <v>25248.98</v>
      </c>
    </row>
    <row r="1272" customFormat="false" ht="15" hidden="false" customHeight="false" outlineLevel="0" collapsed="false">
      <c r="A1272" s="0" t="s">
        <v>2041</v>
      </c>
      <c r="B1272" s="0" t="s">
        <v>2042</v>
      </c>
      <c r="C1272" s="0" t="s">
        <v>2161</v>
      </c>
      <c r="D1272" s="0" t="s">
        <v>2044</v>
      </c>
      <c r="E1272" s="0" t="s">
        <v>2045</v>
      </c>
      <c r="F1272" s="0" t="s">
        <v>2046</v>
      </c>
      <c r="G1272" s="0" t="s">
        <v>2096</v>
      </c>
      <c r="H1272" s="0" t="s">
        <v>2048</v>
      </c>
      <c r="I1272" s="0" t="s">
        <v>2097</v>
      </c>
      <c r="J1272" s="0" t="s">
        <v>2160</v>
      </c>
      <c r="K1272" s="272" t="n">
        <v>-3934.56</v>
      </c>
    </row>
    <row r="1273" customFormat="false" ht="15" hidden="false" customHeight="false" outlineLevel="0" collapsed="false">
      <c r="A1273" s="0" t="s">
        <v>2041</v>
      </c>
      <c r="B1273" s="0" t="s">
        <v>2042</v>
      </c>
      <c r="C1273" s="0" t="s">
        <v>2156</v>
      </c>
      <c r="D1273" s="0" t="s">
        <v>2044</v>
      </c>
      <c r="E1273" s="0" t="s">
        <v>2045</v>
      </c>
      <c r="F1273" s="0" t="s">
        <v>2051</v>
      </c>
      <c r="G1273" s="0" t="s">
        <v>2096</v>
      </c>
      <c r="H1273" s="0" t="s">
        <v>2052</v>
      </c>
      <c r="I1273" s="0" t="s">
        <v>2097</v>
      </c>
      <c r="J1273" s="0" t="s">
        <v>2160</v>
      </c>
      <c r="K1273" s="272" t="n">
        <v>25248.98</v>
      </c>
    </row>
    <row r="1274" customFormat="false" ht="15" hidden="false" customHeight="false" outlineLevel="0" collapsed="false">
      <c r="A1274" s="0" t="s">
        <v>2041</v>
      </c>
      <c r="B1274" s="0" t="s">
        <v>2042</v>
      </c>
      <c r="C1274" s="0" t="s">
        <v>2161</v>
      </c>
      <c r="D1274" s="0" t="s">
        <v>2044</v>
      </c>
      <c r="E1274" s="0" t="s">
        <v>2045</v>
      </c>
      <c r="F1274" s="0" t="s">
        <v>2051</v>
      </c>
      <c r="G1274" s="0" t="s">
        <v>2096</v>
      </c>
      <c r="H1274" s="0" t="s">
        <v>2052</v>
      </c>
      <c r="I1274" s="0" t="s">
        <v>2097</v>
      </c>
      <c r="J1274" s="0" t="s">
        <v>2160</v>
      </c>
      <c r="K1274" s="272" t="n">
        <v>-3934.56</v>
      </c>
    </row>
    <row r="1275" customFormat="false" ht="15" hidden="false" customHeight="false" outlineLevel="0" collapsed="false">
      <c r="A1275" s="0" t="s">
        <v>2041</v>
      </c>
      <c r="B1275" s="0" t="s">
        <v>2042</v>
      </c>
      <c r="C1275" s="0" t="s">
        <v>2156</v>
      </c>
      <c r="D1275" s="0" t="s">
        <v>2044</v>
      </c>
      <c r="E1275" s="0" t="s">
        <v>2045</v>
      </c>
      <c r="F1275" s="0" t="s">
        <v>2046</v>
      </c>
      <c r="G1275" s="0" t="s">
        <v>2098</v>
      </c>
      <c r="H1275" s="0" t="s">
        <v>2048</v>
      </c>
      <c r="J1275" s="0" t="s">
        <v>2160</v>
      </c>
      <c r="K1275" s="272" t="n">
        <v>8398.3648</v>
      </c>
    </row>
    <row r="1276" customFormat="false" ht="15" hidden="false" customHeight="false" outlineLevel="0" collapsed="false">
      <c r="A1276" s="0" t="s">
        <v>2041</v>
      </c>
      <c r="B1276" s="0" t="s">
        <v>2042</v>
      </c>
      <c r="C1276" s="0" t="s">
        <v>2161</v>
      </c>
      <c r="D1276" s="0" t="s">
        <v>2044</v>
      </c>
      <c r="E1276" s="0" t="s">
        <v>2045</v>
      </c>
      <c r="F1276" s="0" t="s">
        <v>2046</v>
      </c>
      <c r="G1276" s="0" t="s">
        <v>2098</v>
      </c>
      <c r="H1276" s="0" t="s">
        <v>2048</v>
      </c>
      <c r="J1276" s="0" t="s">
        <v>2160</v>
      </c>
      <c r="K1276" s="272" t="n">
        <v>9677.7352</v>
      </c>
    </row>
    <row r="1277" customFormat="false" ht="15" hidden="false" customHeight="false" outlineLevel="0" collapsed="false">
      <c r="A1277" s="0" t="s">
        <v>2041</v>
      </c>
      <c r="B1277" s="0" t="s">
        <v>2042</v>
      </c>
      <c r="C1277" s="0" t="s">
        <v>2156</v>
      </c>
      <c r="D1277" s="0" t="s">
        <v>2044</v>
      </c>
      <c r="E1277" s="0" t="s">
        <v>2045</v>
      </c>
      <c r="F1277" s="0" t="s">
        <v>2051</v>
      </c>
      <c r="G1277" s="0" t="s">
        <v>2098</v>
      </c>
      <c r="H1277" s="0" t="s">
        <v>2052</v>
      </c>
      <c r="J1277" s="0" t="s">
        <v>2160</v>
      </c>
      <c r="K1277" s="272" t="n">
        <v>171.3952</v>
      </c>
    </row>
    <row r="1278" customFormat="false" ht="15" hidden="false" customHeight="false" outlineLevel="0" collapsed="false">
      <c r="A1278" s="0" t="s">
        <v>2041</v>
      </c>
      <c r="B1278" s="0" t="s">
        <v>2042</v>
      </c>
      <c r="C1278" s="0" t="s">
        <v>2161</v>
      </c>
      <c r="D1278" s="0" t="s">
        <v>2044</v>
      </c>
      <c r="E1278" s="0" t="s">
        <v>2045</v>
      </c>
      <c r="F1278" s="0" t="s">
        <v>2051</v>
      </c>
      <c r="G1278" s="0" t="s">
        <v>2098</v>
      </c>
      <c r="H1278" s="0" t="s">
        <v>2052</v>
      </c>
      <c r="J1278" s="0" t="s">
        <v>2160</v>
      </c>
      <c r="K1278" s="272" t="n">
        <v>197.5048</v>
      </c>
    </row>
    <row r="1279" customFormat="false" ht="15" hidden="false" customHeight="false" outlineLevel="0" collapsed="false">
      <c r="A1279" s="0" t="s">
        <v>2041</v>
      </c>
      <c r="B1279" s="0" t="s">
        <v>2042</v>
      </c>
      <c r="C1279" s="0" t="s">
        <v>2156</v>
      </c>
      <c r="D1279" s="0" t="s">
        <v>2044</v>
      </c>
      <c r="E1279" s="0" t="s">
        <v>2045</v>
      </c>
      <c r="F1279" s="0" t="s">
        <v>2099</v>
      </c>
      <c r="G1279" s="0" t="s">
        <v>2064</v>
      </c>
      <c r="H1279" s="0" t="s">
        <v>2100</v>
      </c>
      <c r="J1279" s="0" t="s">
        <v>2160</v>
      </c>
      <c r="K1279" s="272" t="n">
        <v>45262.39</v>
      </c>
    </row>
    <row r="1280" customFormat="false" ht="15" hidden="false" customHeight="false" outlineLevel="0" collapsed="false">
      <c r="A1280" s="0" t="s">
        <v>2041</v>
      </c>
      <c r="B1280" s="0" t="s">
        <v>2042</v>
      </c>
      <c r="C1280" s="0" t="s">
        <v>2161</v>
      </c>
      <c r="D1280" s="0" t="s">
        <v>2044</v>
      </c>
      <c r="E1280" s="0" t="s">
        <v>2045</v>
      </c>
      <c r="F1280" s="0" t="s">
        <v>2099</v>
      </c>
      <c r="G1280" s="0" t="s">
        <v>2064</v>
      </c>
      <c r="H1280" s="0" t="s">
        <v>2100</v>
      </c>
      <c r="J1280" s="0" t="s">
        <v>2160</v>
      </c>
      <c r="K1280" s="272" t="n">
        <v>20556.5</v>
      </c>
    </row>
    <row r="1281" customFormat="false" ht="15" hidden="false" customHeight="false" outlineLevel="0" collapsed="false">
      <c r="A1281" s="0" t="s">
        <v>2041</v>
      </c>
      <c r="B1281" s="0" t="s">
        <v>2042</v>
      </c>
      <c r="C1281" s="0" t="s">
        <v>2156</v>
      </c>
      <c r="D1281" s="0" t="s">
        <v>2044</v>
      </c>
      <c r="E1281" s="0" t="s">
        <v>2045</v>
      </c>
      <c r="F1281" s="0" t="s">
        <v>2099</v>
      </c>
      <c r="G1281" s="0" t="s">
        <v>2076</v>
      </c>
      <c r="H1281" s="0" t="s">
        <v>2100</v>
      </c>
      <c r="J1281" s="0" t="s">
        <v>2160</v>
      </c>
      <c r="K1281" s="272" t="n">
        <v>35266.65</v>
      </c>
    </row>
    <row r="1282" customFormat="false" ht="15" hidden="false" customHeight="false" outlineLevel="0" collapsed="false">
      <c r="A1282" s="0" t="s">
        <v>2041</v>
      </c>
      <c r="B1282" s="0" t="s">
        <v>2042</v>
      </c>
      <c r="C1282" s="0" t="s">
        <v>2161</v>
      </c>
      <c r="D1282" s="0" t="s">
        <v>2044</v>
      </c>
      <c r="E1282" s="0" t="s">
        <v>2045</v>
      </c>
      <c r="F1282" s="0" t="s">
        <v>2099</v>
      </c>
      <c r="G1282" s="0" t="s">
        <v>2076</v>
      </c>
      <c r="H1282" s="0" t="s">
        <v>2100</v>
      </c>
      <c r="J1282" s="0" t="s">
        <v>2160</v>
      </c>
      <c r="K1282" s="272" t="n">
        <v>15878.6</v>
      </c>
    </row>
    <row r="1283" customFormat="false" ht="15" hidden="false" customHeight="false" outlineLevel="0" collapsed="false">
      <c r="A1283" s="0" t="s">
        <v>2041</v>
      </c>
      <c r="B1283" s="0" t="s">
        <v>2042</v>
      </c>
      <c r="C1283" s="0" t="s">
        <v>2156</v>
      </c>
      <c r="D1283" s="0" t="s">
        <v>2044</v>
      </c>
      <c r="E1283" s="0" t="s">
        <v>2045</v>
      </c>
      <c r="F1283" s="0" t="s">
        <v>2099</v>
      </c>
      <c r="G1283" s="0" t="s">
        <v>2081</v>
      </c>
      <c r="H1283" s="0" t="s">
        <v>2100</v>
      </c>
      <c r="J1283" s="0" t="s">
        <v>2160</v>
      </c>
      <c r="K1283" s="272" t="n">
        <v>33617.27</v>
      </c>
    </row>
    <row r="1284" customFormat="false" ht="15" hidden="false" customHeight="false" outlineLevel="0" collapsed="false">
      <c r="A1284" s="0" t="s">
        <v>2041</v>
      </c>
      <c r="B1284" s="0" t="s">
        <v>2042</v>
      </c>
      <c r="C1284" s="0" t="s">
        <v>2161</v>
      </c>
      <c r="D1284" s="0" t="s">
        <v>2044</v>
      </c>
      <c r="E1284" s="0" t="s">
        <v>2045</v>
      </c>
      <c r="F1284" s="0" t="s">
        <v>2099</v>
      </c>
      <c r="G1284" s="0" t="s">
        <v>2081</v>
      </c>
      <c r="H1284" s="0" t="s">
        <v>2100</v>
      </c>
      <c r="J1284" s="0" t="s">
        <v>2160</v>
      </c>
      <c r="K1284" s="272" t="n">
        <v>15212.87</v>
      </c>
    </row>
    <row r="1285" customFormat="false" ht="15" hidden="false" customHeight="false" outlineLevel="0" collapsed="false">
      <c r="A1285" s="0" t="s">
        <v>2041</v>
      </c>
      <c r="B1285" s="0" t="s">
        <v>2042</v>
      </c>
      <c r="C1285" s="0" t="s">
        <v>2156</v>
      </c>
      <c r="D1285" s="0" t="s">
        <v>2044</v>
      </c>
      <c r="E1285" s="0" t="s">
        <v>2045</v>
      </c>
      <c r="F1285" s="0" t="s">
        <v>2099</v>
      </c>
      <c r="G1285" s="0" t="s">
        <v>2085</v>
      </c>
      <c r="H1285" s="0" t="s">
        <v>2100</v>
      </c>
      <c r="J1285" s="0" t="s">
        <v>2160</v>
      </c>
      <c r="K1285" s="272" t="n">
        <v>41864.37</v>
      </c>
    </row>
    <row r="1286" customFormat="false" ht="15" hidden="false" customHeight="false" outlineLevel="0" collapsed="false">
      <c r="A1286" s="0" t="s">
        <v>2041</v>
      </c>
      <c r="B1286" s="0" t="s">
        <v>2042</v>
      </c>
      <c r="C1286" s="0" t="s">
        <v>2161</v>
      </c>
      <c r="D1286" s="0" t="s">
        <v>2044</v>
      </c>
      <c r="E1286" s="0" t="s">
        <v>2045</v>
      </c>
      <c r="F1286" s="0" t="s">
        <v>2099</v>
      </c>
      <c r="G1286" s="0" t="s">
        <v>2085</v>
      </c>
      <c r="H1286" s="0" t="s">
        <v>2100</v>
      </c>
      <c r="J1286" s="0" t="s">
        <v>2160</v>
      </c>
      <c r="K1286" s="272" t="n">
        <v>18944.93</v>
      </c>
    </row>
    <row r="1287" customFormat="false" ht="15" hidden="false" customHeight="false" outlineLevel="0" collapsed="false">
      <c r="A1287" s="0" t="s">
        <v>2041</v>
      </c>
      <c r="B1287" s="0" t="s">
        <v>2042</v>
      </c>
      <c r="C1287" s="0" t="s">
        <v>2156</v>
      </c>
      <c r="D1287" s="0" t="s">
        <v>2044</v>
      </c>
      <c r="E1287" s="0" t="s">
        <v>2045</v>
      </c>
      <c r="F1287" s="0" t="s">
        <v>2099</v>
      </c>
      <c r="G1287" s="0" t="s">
        <v>2086</v>
      </c>
      <c r="H1287" s="0" t="s">
        <v>2100</v>
      </c>
      <c r="J1287" s="0" t="s">
        <v>2160</v>
      </c>
      <c r="K1287" s="272" t="n">
        <v>32634.8</v>
      </c>
    </row>
    <row r="1288" customFormat="false" ht="15" hidden="false" customHeight="false" outlineLevel="0" collapsed="false">
      <c r="A1288" s="0" t="s">
        <v>2041</v>
      </c>
      <c r="B1288" s="0" t="s">
        <v>2042</v>
      </c>
      <c r="C1288" s="0" t="s">
        <v>2161</v>
      </c>
      <c r="D1288" s="0" t="s">
        <v>2044</v>
      </c>
      <c r="E1288" s="0" t="s">
        <v>2045</v>
      </c>
      <c r="F1288" s="0" t="s">
        <v>2099</v>
      </c>
      <c r="G1288" s="0" t="s">
        <v>2086</v>
      </c>
      <c r="H1288" s="0" t="s">
        <v>2100</v>
      </c>
      <c r="J1288" s="0" t="s">
        <v>2160</v>
      </c>
      <c r="K1288" s="272" t="n">
        <v>14824.34</v>
      </c>
    </row>
    <row r="1289" customFormat="false" ht="15" hidden="false" customHeight="false" outlineLevel="0" collapsed="false">
      <c r="A1289" s="0" t="s">
        <v>2041</v>
      </c>
      <c r="B1289" s="0" t="s">
        <v>2042</v>
      </c>
      <c r="C1289" s="0" t="s">
        <v>2156</v>
      </c>
      <c r="D1289" s="0" t="s">
        <v>2044</v>
      </c>
      <c r="E1289" s="0" t="s">
        <v>2045</v>
      </c>
      <c r="F1289" s="0" t="s">
        <v>2099</v>
      </c>
      <c r="G1289" s="0" t="s">
        <v>2095</v>
      </c>
      <c r="H1289" s="0" t="s">
        <v>2100</v>
      </c>
      <c r="J1289" s="0" t="s">
        <v>2160</v>
      </c>
      <c r="K1289" s="272" t="n">
        <v>21902.36</v>
      </c>
    </row>
    <row r="1290" customFormat="false" ht="15" hidden="false" customHeight="false" outlineLevel="0" collapsed="false">
      <c r="A1290" s="0" t="s">
        <v>2041</v>
      </c>
      <c r="B1290" s="0" t="s">
        <v>2042</v>
      </c>
      <c r="C1290" s="0" t="s">
        <v>2161</v>
      </c>
      <c r="D1290" s="0" t="s">
        <v>2044</v>
      </c>
      <c r="E1290" s="0" t="s">
        <v>2045</v>
      </c>
      <c r="F1290" s="0" t="s">
        <v>2099</v>
      </c>
      <c r="G1290" s="0" t="s">
        <v>2095</v>
      </c>
      <c r="H1290" s="0" t="s">
        <v>2100</v>
      </c>
      <c r="J1290" s="0" t="s">
        <v>2160</v>
      </c>
      <c r="K1290" s="272" t="n">
        <v>9911.5</v>
      </c>
    </row>
    <row r="1291" customFormat="false" ht="15" hidden="false" customHeight="false" outlineLevel="0" collapsed="false">
      <c r="A1291" s="0" t="s">
        <v>2041</v>
      </c>
      <c r="B1291" s="0" t="s">
        <v>2042</v>
      </c>
      <c r="C1291" s="0" t="s">
        <v>2156</v>
      </c>
      <c r="D1291" s="0" t="s">
        <v>2044</v>
      </c>
      <c r="E1291" s="0" t="s">
        <v>2045</v>
      </c>
      <c r="F1291" s="0" t="s">
        <v>2099</v>
      </c>
      <c r="G1291" s="0" t="s">
        <v>2096</v>
      </c>
      <c r="H1291" s="0" t="s">
        <v>2100</v>
      </c>
      <c r="I1291" s="0" t="s">
        <v>2101</v>
      </c>
      <c r="J1291" s="0" t="s">
        <v>2160</v>
      </c>
      <c r="K1291" s="272" t="n">
        <v>23059.02</v>
      </c>
    </row>
    <row r="1292" customFormat="false" ht="15" hidden="false" customHeight="false" outlineLevel="0" collapsed="false">
      <c r="A1292" s="0" t="s">
        <v>2041</v>
      </c>
      <c r="B1292" s="0" t="s">
        <v>2042</v>
      </c>
      <c r="C1292" s="0" t="s">
        <v>2161</v>
      </c>
      <c r="D1292" s="0" t="s">
        <v>2044</v>
      </c>
      <c r="E1292" s="0" t="s">
        <v>2045</v>
      </c>
      <c r="F1292" s="0" t="s">
        <v>2099</v>
      </c>
      <c r="G1292" s="0" t="s">
        <v>2096</v>
      </c>
      <c r="H1292" s="0" t="s">
        <v>2100</v>
      </c>
      <c r="I1292" s="0" t="s">
        <v>2101</v>
      </c>
      <c r="J1292" s="0" t="s">
        <v>2160</v>
      </c>
      <c r="K1292" s="272" t="n">
        <v>10434.93</v>
      </c>
    </row>
    <row r="1293" customFormat="false" ht="15" hidden="false" customHeight="false" outlineLevel="0" collapsed="false">
      <c r="A1293" s="0" t="s">
        <v>2041</v>
      </c>
      <c r="B1293" s="0" t="s">
        <v>2042</v>
      </c>
      <c r="C1293" s="0" t="s">
        <v>2321</v>
      </c>
      <c r="D1293" s="0" t="s">
        <v>2105</v>
      </c>
      <c r="E1293" s="0" t="s">
        <v>2045</v>
      </c>
      <c r="F1293" s="0" t="s">
        <v>2157</v>
      </c>
      <c r="G1293" s="0" t="s">
        <v>2158</v>
      </c>
      <c r="H1293" s="0" t="s">
        <v>2179</v>
      </c>
      <c r="I1293" s="0" t="s">
        <v>2322</v>
      </c>
      <c r="J1293" s="0" t="s">
        <v>2323</v>
      </c>
      <c r="K1293" s="272" t="n">
        <v>15992.019368977</v>
      </c>
    </row>
    <row r="1294" customFormat="false" ht="15" hidden="false" customHeight="false" outlineLevel="0" collapsed="false">
      <c r="A1294" s="0" t="s">
        <v>2041</v>
      </c>
      <c r="B1294" s="0" t="s">
        <v>2042</v>
      </c>
      <c r="C1294" s="0" t="s">
        <v>2321</v>
      </c>
      <c r="D1294" s="0" t="s">
        <v>2105</v>
      </c>
      <c r="E1294" s="0" t="s">
        <v>2045</v>
      </c>
      <c r="F1294" s="0" t="s">
        <v>2157</v>
      </c>
      <c r="G1294" s="0" t="s">
        <v>2158</v>
      </c>
      <c r="H1294" s="0" t="s">
        <v>2159</v>
      </c>
      <c r="I1294" s="0" t="s">
        <v>2322</v>
      </c>
      <c r="J1294" s="0" t="s">
        <v>2323</v>
      </c>
      <c r="K1294" s="272" t="n">
        <v>4336415.86034278</v>
      </c>
    </row>
    <row r="1295" customFormat="false" ht="15" hidden="false" customHeight="false" outlineLevel="0" collapsed="false">
      <c r="A1295" s="0" t="s">
        <v>2041</v>
      </c>
      <c r="B1295" s="0" t="s">
        <v>2042</v>
      </c>
      <c r="C1295" s="0" t="s">
        <v>2321</v>
      </c>
      <c r="D1295" s="0" t="s">
        <v>2105</v>
      </c>
      <c r="E1295" s="0" t="s">
        <v>2045</v>
      </c>
      <c r="F1295" s="0" t="s">
        <v>2157</v>
      </c>
      <c r="G1295" s="0" t="s">
        <v>2158</v>
      </c>
      <c r="H1295" s="0" t="s">
        <v>2159</v>
      </c>
      <c r="I1295" s="0" t="s">
        <v>2124</v>
      </c>
      <c r="J1295" s="0" t="s">
        <v>2323</v>
      </c>
      <c r="K1295" s="272" t="n">
        <v>-53965.0536176364</v>
      </c>
    </row>
    <row r="1296" customFormat="false" ht="15" hidden="false" customHeight="false" outlineLevel="0" collapsed="false">
      <c r="A1296" s="0" t="s">
        <v>2041</v>
      </c>
      <c r="B1296" s="0" t="s">
        <v>2042</v>
      </c>
      <c r="C1296" s="0" t="s">
        <v>2321</v>
      </c>
      <c r="D1296" s="0" t="s">
        <v>2105</v>
      </c>
      <c r="E1296" s="0" t="s">
        <v>2045</v>
      </c>
      <c r="F1296" s="0" t="s">
        <v>2157</v>
      </c>
      <c r="G1296" s="0" t="s">
        <v>2158</v>
      </c>
      <c r="H1296" s="0" t="s">
        <v>2162</v>
      </c>
      <c r="I1296" s="0" t="s">
        <v>2322</v>
      </c>
      <c r="J1296" s="0" t="s">
        <v>2323</v>
      </c>
      <c r="K1296" s="272" t="n">
        <v>15557.6027039163</v>
      </c>
    </row>
    <row r="1297" customFormat="false" ht="15" hidden="false" customHeight="false" outlineLevel="0" collapsed="false">
      <c r="A1297" s="0" t="s">
        <v>2041</v>
      </c>
      <c r="B1297" s="0" t="s">
        <v>2042</v>
      </c>
      <c r="C1297" s="0" t="s">
        <v>2321</v>
      </c>
      <c r="D1297" s="0" t="s">
        <v>2105</v>
      </c>
      <c r="E1297" s="0" t="s">
        <v>2045</v>
      </c>
      <c r="F1297" s="0" t="s">
        <v>2157</v>
      </c>
      <c r="G1297" s="0" t="s">
        <v>2158</v>
      </c>
      <c r="H1297" s="0" t="s">
        <v>2126</v>
      </c>
      <c r="I1297" s="0" t="s">
        <v>2322</v>
      </c>
      <c r="J1297" s="0" t="s">
        <v>2323</v>
      </c>
      <c r="K1297" s="272" t="n">
        <v>90352.9834384936</v>
      </c>
    </row>
    <row r="1298" customFormat="false" ht="15" hidden="false" customHeight="false" outlineLevel="0" collapsed="false">
      <c r="A1298" s="0" t="s">
        <v>2041</v>
      </c>
      <c r="B1298" s="0" t="s">
        <v>2042</v>
      </c>
      <c r="C1298" s="0" t="s">
        <v>2321</v>
      </c>
      <c r="D1298" s="0" t="s">
        <v>2105</v>
      </c>
      <c r="E1298" s="0" t="s">
        <v>2045</v>
      </c>
      <c r="F1298" s="0" t="s">
        <v>2324</v>
      </c>
      <c r="G1298" s="0" t="s">
        <v>2325</v>
      </c>
      <c r="H1298" s="0" t="s">
        <v>2326</v>
      </c>
      <c r="I1298" s="0" t="s">
        <v>2322</v>
      </c>
      <c r="J1298" s="0" t="s">
        <v>2323</v>
      </c>
      <c r="K1298" s="272" t="n">
        <v>-1.56702630309155</v>
      </c>
    </row>
    <row r="1299" customFormat="false" ht="15" hidden="false" customHeight="false" outlineLevel="0" collapsed="false">
      <c r="A1299" s="0" t="s">
        <v>2041</v>
      </c>
      <c r="B1299" s="0" t="s">
        <v>2042</v>
      </c>
      <c r="C1299" s="0" t="s">
        <v>2321</v>
      </c>
      <c r="D1299" s="0" t="s">
        <v>2105</v>
      </c>
      <c r="E1299" s="0" t="s">
        <v>2045</v>
      </c>
      <c r="F1299" s="0" t="s">
        <v>2163</v>
      </c>
      <c r="G1299" s="0" t="s">
        <v>2164</v>
      </c>
      <c r="H1299" s="0" t="s">
        <v>2165</v>
      </c>
      <c r="I1299" s="0" t="s">
        <v>2322</v>
      </c>
      <c r="J1299" s="0" t="s">
        <v>2323</v>
      </c>
      <c r="K1299" s="272" t="n">
        <v>86654.9669904634</v>
      </c>
    </row>
    <row r="1300" customFormat="false" ht="15" hidden="false" customHeight="false" outlineLevel="0" collapsed="false">
      <c r="A1300" s="0" t="s">
        <v>2041</v>
      </c>
      <c r="B1300" s="0" t="s">
        <v>2042</v>
      </c>
      <c r="C1300" s="0" t="s">
        <v>2321</v>
      </c>
      <c r="D1300" s="0" t="s">
        <v>2105</v>
      </c>
      <c r="E1300" s="0" t="s">
        <v>2045</v>
      </c>
      <c r="F1300" s="0" t="s">
        <v>2163</v>
      </c>
      <c r="G1300" s="0" t="s">
        <v>2164</v>
      </c>
      <c r="H1300" s="0" t="s">
        <v>2166</v>
      </c>
      <c r="I1300" s="0" t="s">
        <v>2322</v>
      </c>
      <c r="J1300" s="0" t="s">
        <v>2323</v>
      </c>
      <c r="K1300" s="272" t="n">
        <v>6769369.28033619</v>
      </c>
    </row>
    <row r="1301" customFormat="false" ht="15" hidden="false" customHeight="false" outlineLevel="0" collapsed="false">
      <c r="A1301" s="0" t="s">
        <v>2041</v>
      </c>
      <c r="B1301" s="0" t="s">
        <v>2042</v>
      </c>
      <c r="C1301" s="0" t="s">
        <v>2321</v>
      </c>
      <c r="D1301" s="0" t="s">
        <v>2105</v>
      </c>
      <c r="E1301" s="0" t="s">
        <v>2045</v>
      </c>
      <c r="F1301" s="0" t="s">
        <v>2163</v>
      </c>
      <c r="G1301" s="0" t="s">
        <v>2164</v>
      </c>
      <c r="H1301" s="0" t="s">
        <v>2166</v>
      </c>
      <c r="I1301" s="0" t="s">
        <v>2124</v>
      </c>
      <c r="J1301" s="0" t="s">
        <v>2323</v>
      </c>
      <c r="K1301" s="272" t="n">
        <v>1116170.60678525</v>
      </c>
    </row>
    <row r="1302" customFormat="false" ht="15" hidden="false" customHeight="false" outlineLevel="0" collapsed="false">
      <c r="A1302" s="0" t="s">
        <v>2041</v>
      </c>
      <c r="B1302" s="0" t="s">
        <v>2042</v>
      </c>
      <c r="C1302" s="0" t="s">
        <v>2321</v>
      </c>
      <c r="D1302" s="0" t="s">
        <v>2105</v>
      </c>
      <c r="E1302" s="0" t="s">
        <v>2045</v>
      </c>
      <c r="F1302" s="0" t="s">
        <v>2163</v>
      </c>
      <c r="G1302" s="0" t="s">
        <v>2164</v>
      </c>
      <c r="H1302" s="0" t="s">
        <v>2166</v>
      </c>
      <c r="I1302" s="0" t="s">
        <v>2167</v>
      </c>
      <c r="J1302" s="0" t="s">
        <v>2323</v>
      </c>
      <c r="K1302" s="272" t="n">
        <v>6946.53570983955</v>
      </c>
    </row>
    <row r="1303" customFormat="false" ht="15" hidden="false" customHeight="false" outlineLevel="0" collapsed="false">
      <c r="A1303" s="0" t="s">
        <v>2041</v>
      </c>
      <c r="B1303" s="0" t="s">
        <v>2042</v>
      </c>
      <c r="C1303" s="0" t="s">
        <v>2321</v>
      </c>
      <c r="D1303" s="0" t="s">
        <v>2105</v>
      </c>
      <c r="E1303" s="0" t="s">
        <v>2045</v>
      </c>
      <c r="F1303" s="0" t="s">
        <v>2163</v>
      </c>
      <c r="G1303" s="0" t="s">
        <v>2168</v>
      </c>
      <c r="H1303" s="0" t="s">
        <v>2169</v>
      </c>
      <c r="I1303" s="0" t="s">
        <v>2322</v>
      </c>
      <c r="J1303" s="0" t="s">
        <v>2323</v>
      </c>
      <c r="K1303" s="272" t="n">
        <v>10239692.6692084</v>
      </c>
    </row>
    <row r="1304" customFormat="false" ht="15" hidden="false" customHeight="false" outlineLevel="0" collapsed="false">
      <c r="A1304" s="0" t="s">
        <v>2041</v>
      </c>
      <c r="B1304" s="0" t="s">
        <v>2042</v>
      </c>
      <c r="C1304" s="0" t="s">
        <v>2321</v>
      </c>
      <c r="D1304" s="0" t="s">
        <v>2105</v>
      </c>
      <c r="E1304" s="0" t="s">
        <v>2045</v>
      </c>
      <c r="F1304" s="0" t="s">
        <v>2163</v>
      </c>
      <c r="G1304" s="0" t="s">
        <v>2168</v>
      </c>
      <c r="H1304" s="0" t="s">
        <v>2169</v>
      </c>
      <c r="I1304" s="0" t="s">
        <v>2167</v>
      </c>
      <c r="J1304" s="0" t="s">
        <v>2323</v>
      </c>
      <c r="K1304" s="272" t="n">
        <v>-2414780.03175391</v>
      </c>
    </row>
    <row r="1305" customFormat="false" ht="15" hidden="false" customHeight="false" outlineLevel="0" collapsed="false">
      <c r="A1305" s="0" t="s">
        <v>2041</v>
      </c>
      <c r="B1305" s="0" t="s">
        <v>2042</v>
      </c>
      <c r="C1305" s="0" t="s">
        <v>2321</v>
      </c>
      <c r="D1305" s="0" t="s">
        <v>2105</v>
      </c>
      <c r="E1305" s="0" t="s">
        <v>2045</v>
      </c>
      <c r="F1305" s="0" t="s">
        <v>2163</v>
      </c>
      <c r="G1305" s="0" t="s">
        <v>2168</v>
      </c>
      <c r="H1305" s="0" t="s">
        <v>2165</v>
      </c>
      <c r="I1305" s="0" t="s">
        <v>2322</v>
      </c>
      <c r="J1305" s="0" t="s">
        <v>2323</v>
      </c>
      <c r="K1305" s="272" t="n">
        <v>145367.249303325</v>
      </c>
    </row>
    <row r="1306" customFormat="false" ht="15" hidden="false" customHeight="false" outlineLevel="0" collapsed="false">
      <c r="A1306" s="0" t="s">
        <v>2041</v>
      </c>
      <c r="B1306" s="0" t="s">
        <v>2042</v>
      </c>
      <c r="C1306" s="0" t="s">
        <v>2321</v>
      </c>
      <c r="D1306" s="0" t="s">
        <v>2105</v>
      </c>
      <c r="E1306" s="0" t="s">
        <v>2045</v>
      </c>
      <c r="F1306" s="0" t="s">
        <v>2163</v>
      </c>
      <c r="G1306" s="0" t="s">
        <v>2168</v>
      </c>
      <c r="H1306" s="0" t="s">
        <v>2166</v>
      </c>
      <c r="I1306" s="0" t="s">
        <v>2167</v>
      </c>
      <c r="J1306" s="0" t="s">
        <v>2323</v>
      </c>
      <c r="K1306" s="272" t="n">
        <v>490146.006340859</v>
      </c>
    </row>
    <row r="1307" customFormat="false" ht="15" hidden="false" customHeight="false" outlineLevel="0" collapsed="false">
      <c r="A1307" s="0" t="s">
        <v>2041</v>
      </c>
      <c r="B1307" s="0" t="s">
        <v>2042</v>
      </c>
      <c r="C1307" s="0" t="s">
        <v>2321</v>
      </c>
      <c r="D1307" s="0" t="s">
        <v>2105</v>
      </c>
      <c r="E1307" s="0" t="s">
        <v>2045</v>
      </c>
      <c r="F1307" s="0" t="s">
        <v>2163</v>
      </c>
      <c r="G1307" s="0" t="s">
        <v>2170</v>
      </c>
      <c r="H1307" s="0" t="s">
        <v>2169</v>
      </c>
      <c r="I1307" s="0" t="s">
        <v>2322</v>
      </c>
      <c r="J1307" s="0" t="s">
        <v>2323</v>
      </c>
      <c r="K1307" s="272" t="n">
        <v>-260410.613926181</v>
      </c>
    </row>
    <row r="1308" customFormat="false" ht="15" hidden="false" customHeight="false" outlineLevel="0" collapsed="false">
      <c r="A1308" s="0" t="s">
        <v>2041</v>
      </c>
      <c r="B1308" s="0" t="s">
        <v>2042</v>
      </c>
      <c r="C1308" s="0" t="s">
        <v>2321</v>
      </c>
      <c r="D1308" s="0" t="s">
        <v>2105</v>
      </c>
      <c r="E1308" s="0" t="s">
        <v>2045</v>
      </c>
      <c r="F1308" s="0" t="s">
        <v>2163</v>
      </c>
      <c r="G1308" s="0" t="s">
        <v>2170</v>
      </c>
      <c r="H1308" s="0" t="s">
        <v>2165</v>
      </c>
      <c r="I1308" s="0" t="s">
        <v>2322</v>
      </c>
      <c r="J1308" s="0" t="s">
        <v>2323</v>
      </c>
      <c r="K1308" s="272" t="n">
        <v>1192979.59108647</v>
      </c>
    </row>
    <row r="1309" customFormat="false" ht="15" hidden="false" customHeight="false" outlineLevel="0" collapsed="false">
      <c r="A1309" s="0" t="s">
        <v>2041</v>
      </c>
      <c r="B1309" s="0" t="s">
        <v>2042</v>
      </c>
      <c r="C1309" s="0" t="s">
        <v>2321</v>
      </c>
      <c r="D1309" s="0" t="s">
        <v>2105</v>
      </c>
      <c r="E1309" s="0" t="s">
        <v>2045</v>
      </c>
      <c r="F1309" s="0" t="s">
        <v>2163</v>
      </c>
      <c r="G1309" s="0" t="s">
        <v>2170</v>
      </c>
      <c r="H1309" s="0" t="s">
        <v>2165</v>
      </c>
      <c r="I1309" s="0" t="s">
        <v>2124</v>
      </c>
      <c r="J1309" s="0" t="s">
        <v>2323</v>
      </c>
      <c r="K1309" s="272" t="n">
        <v>242140.837019922</v>
      </c>
    </row>
    <row r="1310" customFormat="false" ht="15" hidden="false" customHeight="false" outlineLevel="0" collapsed="false">
      <c r="A1310" s="0" t="s">
        <v>2041</v>
      </c>
      <c r="B1310" s="0" t="s">
        <v>2042</v>
      </c>
      <c r="C1310" s="0" t="s">
        <v>2321</v>
      </c>
      <c r="D1310" s="0" t="s">
        <v>2105</v>
      </c>
      <c r="E1310" s="0" t="s">
        <v>2045</v>
      </c>
      <c r="F1310" s="0" t="s">
        <v>2163</v>
      </c>
      <c r="G1310" s="0" t="s">
        <v>2170</v>
      </c>
      <c r="H1310" s="0" t="s">
        <v>2165</v>
      </c>
      <c r="I1310" s="0" t="s">
        <v>2167</v>
      </c>
      <c r="J1310" s="0" t="s">
        <v>2323</v>
      </c>
      <c r="K1310" s="272" t="n">
        <v>-200075.089682359</v>
      </c>
    </row>
    <row r="1311" customFormat="false" ht="15" hidden="false" customHeight="false" outlineLevel="0" collapsed="false">
      <c r="A1311" s="0" t="s">
        <v>2041</v>
      </c>
      <c r="B1311" s="0" t="s">
        <v>2042</v>
      </c>
      <c r="C1311" s="0" t="s">
        <v>2321</v>
      </c>
      <c r="D1311" s="0" t="s">
        <v>2105</v>
      </c>
      <c r="E1311" s="0" t="s">
        <v>2045</v>
      </c>
      <c r="F1311" s="0" t="s">
        <v>2163</v>
      </c>
      <c r="G1311" s="0" t="s">
        <v>2170</v>
      </c>
      <c r="H1311" s="0" t="s">
        <v>2171</v>
      </c>
      <c r="I1311" s="0" t="s">
        <v>2322</v>
      </c>
      <c r="J1311" s="0" t="s">
        <v>2323</v>
      </c>
      <c r="K1311" s="272" t="n">
        <v>246338.193666667</v>
      </c>
    </row>
    <row r="1312" customFormat="false" ht="15" hidden="false" customHeight="false" outlineLevel="0" collapsed="false">
      <c r="A1312" s="0" t="s">
        <v>2041</v>
      </c>
      <c r="B1312" s="0" t="s">
        <v>2042</v>
      </c>
      <c r="C1312" s="0" t="s">
        <v>2321</v>
      </c>
      <c r="D1312" s="0" t="s">
        <v>2105</v>
      </c>
      <c r="E1312" s="0" t="s">
        <v>2045</v>
      </c>
      <c r="F1312" s="0" t="s">
        <v>2163</v>
      </c>
      <c r="G1312" s="0" t="s">
        <v>2172</v>
      </c>
      <c r="H1312" s="0" t="s">
        <v>2173</v>
      </c>
      <c r="I1312" s="0" t="s">
        <v>2322</v>
      </c>
      <c r="J1312" s="0" t="s">
        <v>2323</v>
      </c>
      <c r="K1312" s="272" t="n">
        <v>3226599.53390234</v>
      </c>
    </row>
    <row r="1313" customFormat="false" ht="15" hidden="false" customHeight="false" outlineLevel="0" collapsed="false">
      <c r="A1313" s="0" t="s">
        <v>2041</v>
      </c>
      <c r="B1313" s="0" t="s">
        <v>2042</v>
      </c>
      <c r="C1313" s="0" t="s">
        <v>2321</v>
      </c>
      <c r="D1313" s="0" t="s">
        <v>2105</v>
      </c>
      <c r="E1313" s="0" t="s">
        <v>2045</v>
      </c>
      <c r="F1313" s="0" t="s">
        <v>2163</v>
      </c>
      <c r="G1313" s="0" t="s">
        <v>2172</v>
      </c>
      <c r="H1313" s="0" t="s">
        <v>2173</v>
      </c>
      <c r="I1313" s="0" t="s">
        <v>2124</v>
      </c>
      <c r="J1313" s="0" t="s">
        <v>2323</v>
      </c>
      <c r="K1313" s="272" t="n">
        <v>-290382.501279226</v>
      </c>
    </row>
    <row r="1314" customFormat="false" ht="15" hidden="false" customHeight="false" outlineLevel="0" collapsed="false">
      <c r="A1314" s="0" t="s">
        <v>2041</v>
      </c>
      <c r="B1314" s="0" t="s">
        <v>2042</v>
      </c>
      <c r="C1314" s="0" t="s">
        <v>2321</v>
      </c>
      <c r="D1314" s="0" t="s">
        <v>2105</v>
      </c>
      <c r="E1314" s="0" t="s">
        <v>2045</v>
      </c>
      <c r="F1314" s="0" t="s">
        <v>2163</v>
      </c>
      <c r="G1314" s="0" t="s">
        <v>2172</v>
      </c>
      <c r="H1314" s="0" t="s">
        <v>2173</v>
      </c>
      <c r="I1314" s="0" t="s">
        <v>2167</v>
      </c>
      <c r="J1314" s="0" t="s">
        <v>2323</v>
      </c>
      <c r="K1314" s="272" t="n">
        <v>-156851.523681008</v>
      </c>
    </row>
    <row r="1315" customFormat="false" ht="15" hidden="false" customHeight="false" outlineLevel="0" collapsed="false">
      <c r="A1315" s="0" t="s">
        <v>2041</v>
      </c>
      <c r="B1315" s="0" t="s">
        <v>2042</v>
      </c>
      <c r="C1315" s="0" t="s">
        <v>2321</v>
      </c>
      <c r="D1315" s="0" t="s">
        <v>2105</v>
      </c>
      <c r="E1315" s="0" t="s">
        <v>2045</v>
      </c>
      <c r="F1315" s="0" t="s">
        <v>2163</v>
      </c>
      <c r="G1315" s="0" t="s">
        <v>2327</v>
      </c>
      <c r="H1315" s="0" t="s">
        <v>2328</v>
      </c>
      <c r="I1315" s="0" t="s">
        <v>2322</v>
      </c>
      <c r="J1315" s="0" t="s">
        <v>2323</v>
      </c>
      <c r="K1315" s="272" t="n">
        <v>2624159.88862524</v>
      </c>
    </row>
    <row r="1316" customFormat="false" ht="15" hidden="false" customHeight="false" outlineLevel="0" collapsed="false">
      <c r="A1316" s="0" t="s">
        <v>2041</v>
      </c>
      <c r="B1316" s="0" t="s">
        <v>2042</v>
      </c>
      <c r="C1316" s="0" t="s">
        <v>2321</v>
      </c>
      <c r="D1316" s="0" t="s">
        <v>2105</v>
      </c>
      <c r="E1316" s="0" t="s">
        <v>2045</v>
      </c>
      <c r="F1316" s="0" t="s">
        <v>2163</v>
      </c>
      <c r="G1316" s="0" t="s">
        <v>2174</v>
      </c>
      <c r="H1316" s="0" t="s">
        <v>2175</v>
      </c>
      <c r="I1316" s="0" t="s">
        <v>2322</v>
      </c>
      <c r="J1316" s="0" t="s">
        <v>2323</v>
      </c>
      <c r="K1316" s="272" t="n">
        <v>-1098831.30747335</v>
      </c>
    </row>
    <row r="1317" customFormat="false" ht="15" hidden="false" customHeight="false" outlineLevel="0" collapsed="false">
      <c r="A1317" s="0" t="s">
        <v>2041</v>
      </c>
      <c r="B1317" s="0" t="s">
        <v>2042</v>
      </c>
      <c r="C1317" s="0" t="s">
        <v>2321</v>
      </c>
      <c r="D1317" s="0" t="s">
        <v>2105</v>
      </c>
      <c r="E1317" s="0" t="s">
        <v>2045</v>
      </c>
      <c r="F1317" s="0" t="s">
        <v>2163</v>
      </c>
      <c r="G1317" s="0" t="s">
        <v>2174</v>
      </c>
      <c r="H1317" s="0" t="s">
        <v>2175</v>
      </c>
      <c r="I1317" s="0" t="s">
        <v>2167</v>
      </c>
      <c r="J1317" s="0" t="s">
        <v>2323</v>
      </c>
      <c r="K1317" s="272" t="n">
        <v>127229.023254083</v>
      </c>
    </row>
    <row r="1318" customFormat="false" ht="15" hidden="false" customHeight="false" outlineLevel="0" collapsed="false">
      <c r="A1318" s="0" t="s">
        <v>2041</v>
      </c>
      <c r="B1318" s="0" t="s">
        <v>2042</v>
      </c>
      <c r="C1318" s="0" t="s">
        <v>2321</v>
      </c>
      <c r="D1318" s="0" t="s">
        <v>2105</v>
      </c>
      <c r="E1318" s="0" t="s">
        <v>2045</v>
      </c>
      <c r="F1318" s="0" t="s">
        <v>2176</v>
      </c>
      <c r="G1318" s="0" t="s">
        <v>2177</v>
      </c>
      <c r="H1318" s="0" t="s">
        <v>2178</v>
      </c>
      <c r="I1318" s="0" t="s">
        <v>2322</v>
      </c>
      <c r="J1318" s="0" t="s">
        <v>2323</v>
      </c>
      <c r="K1318" s="272" t="n">
        <v>-488890.334234138</v>
      </c>
    </row>
    <row r="1319" customFormat="false" ht="15" hidden="false" customHeight="false" outlineLevel="0" collapsed="false">
      <c r="A1319" s="0" t="s">
        <v>2041</v>
      </c>
      <c r="B1319" s="0" t="s">
        <v>2042</v>
      </c>
      <c r="C1319" s="0" t="s">
        <v>2321</v>
      </c>
      <c r="D1319" s="0" t="s">
        <v>2105</v>
      </c>
      <c r="E1319" s="0" t="s">
        <v>2045</v>
      </c>
      <c r="F1319" s="0" t="s">
        <v>2176</v>
      </c>
      <c r="G1319" s="0" t="s">
        <v>2177</v>
      </c>
      <c r="H1319" s="0" t="s">
        <v>2178</v>
      </c>
      <c r="I1319" s="0" t="s">
        <v>2124</v>
      </c>
      <c r="J1319" s="0" t="s">
        <v>2323</v>
      </c>
      <c r="K1319" s="272" t="n">
        <v>-686561.847403321</v>
      </c>
    </row>
    <row r="1320" customFormat="false" ht="15" hidden="false" customHeight="false" outlineLevel="0" collapsed="false">
      <c r="A1320" s="0" t="s">
        <v>2041</v>
      </c>
      <c r="B1320" s="0" t="s">
        <v>2042</v>
      </c>
      <c r="C1320" s="0" t="s">
        <v>2321</v>
      </c>
      <c r="D1320" s="0" t="s">
        <v>2105</v>
      </c>
      <c r="E1320" s="0" t="s">
        <v>2045</v>
      </c>
      <c r="F1320" s="0" t="s">
        <v>2176</v>
      </c>
      <c r="G1320" s="0" t="s">
        <v>2177</v>
      </c>
      <c r="H1320" s="0" t="s">
        <v>2178</v>
      </c>
      <c r="I1320" s="0" t="s">
        <v>2167</v>
      </c>
      <c r="J1320" s="0" t="s">
        <v>2323</v>
      </c>
      <c r="K1320" s="272" t="n">
        <v>-832270.349186596</v>
      </c>
    </row>
    <row r="1321" customFormat="false" ht="15" hidden="false" customHeight="false" outlineLevel="0" collapsed="false">
      <c r="A1321" s="0" t="s">
        <v>2041</v>
      </c>
      <c r="B1321" s="0" t="s">
        <v>2042</v>
      </c>
      <c r="C1321" s="0" t="s">
        <v>2321</v>
      </c>
      <c r="D1321" s="0" t="s">
        <v>2105</v>
      </c>
      <c r="E1321" s="0" t="s">
        <v>2045</v>
      </c>
      <c r="F1321" s="0" t="s">
        <v>2176</v>
      </c>
      <c r="G1321" s="0" t="s">
        <v>2177</v>
      </c>
      <c r="H1321" s="0" t="s">
        <v>2187</v>
      </c>
      <c r="I1321" s="0" t="s">
        <v>2322</v>
      </c>
      <c r="J1321" s="0" t="s">
        <v>2323</v>
      </c>
      <c r="K1321" s="272" t="n">
        <v>1236.77902701515</v>
      </c>
    </row>
    <row r="1322" customFormat="false" ht="15" hidden="false" customHeight="false" outlineLevel="0" collapsed="false">
      <c r="A1322" s="0" t="s">
        <v>2041</v>
      </c>
      <c r="B1322" s="0" t="s">
        <v>2042</v>
      </c>
      <c r="C1322" s="0" t="s">
        <v>2321</v>
      </c>
      <c r="D1322" s="0" t="s">
        <v>2105</v>
      </c>
      <c r="E1322" s="0" t="s">
        <v>2045</v>
      </c>
      <c r="F1322" s="0" t="s">
        <v>2176</v>
      </c>
      <c r="G1322" s="0" t="s">
        <v>2177</v>
      </c>
      <c r="H1322" s="0" t="s">
        <v>2179</v>
      </c>
      <c r="I1322" s="0" t="s">
        <v>2322</v>
      </c>
      <c r="J1322" s="0" t="s">
        <v>2323</v>
      </c>
      <c r="K1322" s="272" t="n">
        <v>-506552.535640717</v>
      </c>
    </row>
    <row r="1323" customFormat="false" ht="15" hidden="false" customHeight="false" outlineLevel="0" collapsed="false">
      <c r="A1323" s="0" t="s">
        <v>2041</v>
      </c>
      <c r="B1323" s="0" t="s">
        <v>2042</v>
      </c>
      <c r="C1323" s="0" t="s">
        <v>2321</v>
      </c>
      <c r="D1323" s="0" t="s">
        <v>2105</v>
      </c>
      <c r="E1323" s="0" t="s">
        <v>2045</v>
      </c>
      <c r="F1323" s="0" t="s">
        <v>2176</v>
      </c>
      <c r="G1323" s="0" t="s">
        <v>2177</v>
      </c>
      <c r="H1323" s="0" t="s">
        <v>2180</v>
      </c>
      <c r="I1323" s="0" t="s">
        <v>2322</v>
      </c>
      <c r="J1323" s="0" t="s">
        <v>2323</v>
      </c>
      <c r="K1323" s="272" t="n">
        <v>-1244537.03125504</v>
      </c>
    </row>
    <row r="1324" customFormat="false" ht="15" hidden="false" customHeight="false" outlineLevel="0" collapsed="false">
      <c r="A1324" s="0" t="s">
        <v>2041</v>
      </c>
      <c r="B1324" s="0" t="s">
        <v>2042</v>
      </c>
      <c r="C1324" s="0" t="s">
        <v>2321</v>
      </c>
      <c r="D1324" s="0" t="s">
        <v>2105</v>
      </c>
      <c r="E1324" s="0" t="s">
        <v>2045</v>
      </c>
      <c r="F1324" s="0" t="s">
        <v>2176</v>
      </c>
      <c r="G1324" s="0" t="s">
        <v>2181</v>
      </c>
      <c r="H1324" s="0" t="s">
        <v>2182</v>
      </c>
      <c r="I1324" s="0" t="s">
        <v>2322</v>
      </c>
      <c r="J1324" s="0" t="s">
        <v>2323</v>
      </c>
      <c r="K1324" s="272" t="n">
        <v>-498767.503750284</v>
      </c>
    </row>
    <row r="1325" customFormat="false" ht="15" hidden="false" customHeight="false" outlineLevel="0" collapsed="false">
      <c r="A1325" s="0" t="s">
        <v>2041</v>
      </c>
      <c r="B1325" s="0" t="s">
        <v>2042</v>
      </c>
      <c r="C1325" s="0" t="s">
        <v>2321</v>
      </c>
      <c r="D1325" s="0" t="s">
        <v>2105</v>
      </c>
      <c r="E1325" s="0" t="s">
        <v>2045</v>
      </c>
      <c r="F1325" s="0" t="s">
        <v>2176</v>
      </c>
      <c r="G1325" s="0" t="s">
        <v>2181</v>
      </c>
      <c r="H1325" s="0" t="s">
        <v>2182</v>
      </c>
      <c r="I1325" s="0" t="s">
        <v>2124</v>
      </c>
      <c r="J1325" s="0" t="s">
        <v>2323</v>
      </c>
      <c r="K1325" s="272" t="n">
        <v>-4576704.19202664</v>
      </c>
    </row>
    <row r="1326" customFormat="false" ht="15" hidden="false" customHeight="false" outlineLevel="0" collapsed="false">
      <c r="A1326" s="0" t="s">
        <v>2041</v>
      </c>
      <c r="B1326" s="0" t="s">
        <v>2042</v>
      </c>
      <c r="C1326" s="0" t="s">
        <v>2321</v>
      </c>
      <c r="D1326" s="0" t="s">
        <v>2105</v>
      </c>
      <c r="E1326" s="0" t="s">
        <v>2045</v>
      </c>
      <c r="F1326" s="0" t="s">
        <v>2176</v>
      </c>
      <c r="G1326" s="0" t="s">
        <v>2181</v>
      </c>
      <c r="H1326" s="0" t="s">
        <v>2183</v>
      </c>
      <c r="I1326" s="0" t="s">
        <v>2124</v>
      </c>
      <c r="J1326" s="0" t="s">
        <v>2323</v>
      </c>
      <c r="K1326" s="272" t="n">
        <v>-25356.3843515791</v>
      </c>
    </row>
    <row r="1327" customFormat="false" ht="15" hidden="false" customHeight="false" outlineLevel="0" collapsed="false">
      <c r="A1327" s="0" t="s">
        <v>2041</v>
      </c>
      <c r="B1327" s="0" t="s">
        <v>2042</v>
      </c>
      <c r="C1327" s="0" t="s">
        <v>2321</v>
      </c>
      <c r="D1327" s="0" t="s">
        <v>2105</v>
      </c>
      <c r="E1327" s="0" t="s">
        <v>2045</v>
      </c>
      <c r="F1327" s="0" t="s">
        <v>2176</v>
      </c>
      <c r="G1327" s="0" t="s">
        <v>2181</v>
      </c>
      <c r="H1327" s="0" t="s">
        <v>2184</v>
      </c>
      <c r="I1327" s="0" t="s">
        <v>2322</v>
      </c>
      <c r="J1327" s="0" t="s">
        <v>2323</v>
      </c>
      <c r="K1327" s="272" t="n">
        <v>-2348036.84450859</v>
      </c>
    </row>
    <row r="1328" customFormat="false" ht="15" hidden="false" customHeight="false" outlineLevel="0" collapsed="false">
      <c r="A1328" s="0" t="s">
        <v>2041</v>
      </c>
      <c r="B1328" s="0" t="s">
        <v>2042</v>
      </c>
      <c r="C1328" s="0" t="s">
        <v>2321</v>
      </c>
      <c r="D1328" s="0" t="s">
        <v>2105</v>
      </c>
      <c r="E1328" s="0" t="s">
        <v>2045</v>
      </c>
      <c r="F1328" s="0" t="s">
        <v>2176</v>
      </c>
      <c r="G1328" s="0" t="s">
        <v>2181</v>
      </c>
      <c r="H1328" s="0" t="s">
        <v>2185</v>
      </c>
      <c r="I1328" s="0" t="s">
        <v>2322</v>
      </c>
      <c r="J1328" s="0" t="s">
        <v>2323</v>
      </c>
      <c r="K1328" s="272" t="n">
        <v>-595173.981856546</v>
      </c>
    </row>
    <row r="1329" customFormat="false" ht="15" hidden="false" customHeight="false" outlineLevel="0" collapsed="false">
      <c r="A1329" s="0" t="s">
        <v>2041</v>
      </c>
      <c r="B1329" s="0" t="s">
        <v>2042</v>
      </c>
      <c r="C1329" s="0" t="s">
        <v>2321</v>
      </c>
      <c r="D1329" s="0" t="s">
        <v>2105</v>
      </c>
      <c r="E1329" s="0" t="s">
        <v>2045</v>
      </c>
      <c r="F1329" s="0" t="s">
        <v>2176</v>
      </c>
      <c r="G1329" s="0" t="s">
        <v>2181</v>
      </c>
      <c r="H1329" s="0" t="s">
        <v>2185</v>
      </c>
      <c r="I1329" s="0" t="s">
        <v>2124</v>
      </c>
      <c r="J1329" s="0" t="s">
        <v>2323</v>
      </c>
      <c r="K1329" s="272" t="n">
        <v>-391096.30992728</v>
      </c>
    </row>
    <row r="1330" customFormat="false" ht="15" hidden="false" customHeight="false" outlineLevel="0" collapsed="false">
      <c r="A1330" s="0" t="s">
        <v>2041</v>
      </c>
      <c r="B1330" s="0" t="s">
        <v>2042</v>
      </c>
      <c r="C1330" s="0" t="s">
        <v>2321</v>
      </c>
      <c r="D1330" s="0" t="s">
        <v>2105</v>
      </c>
      <c r="E1330" s="0" t="s">
        <v>2045</v>
      </c>
      <c r="F1330" s="0" t="s">
        <v>2176</v>
      </c>
      <c r="G1330" s="0" t="s">
        <v>2181</v>
      </c>
      <c r="H1330" s="0" t="s">
        <v>2186</v>
      </c>
      <c r="I1330" s="0" t="s">
        <v>2322</v>
      </c>
      <c r="J1330" s="0" t="s">
        <v>2323</v>
      </c>
      <c r="K1330" s="272" t="n">
        <v>11659866.7672357</v>
      </c>
    </row>
    <row r="1331" customFormat="false" ht="15" hidden="false" customHeight="false" outlineLevel="0" collapsed="false">
      <c r="A1331" s="0" t="s">
        <v>2041</v>
      </c>
      <c r="B1331" s="0" t="s">
        <v>2042</v>
      </c>
      <c r="C1331" s="0" t="s">
        <v>2321</v>
      </c>
      <c r="D1331" s="0" t="s">
        <v>2105</v>
      </c>
      <c r="E1331" s="0" t="s">
        <v>2045</v>
      </c>
      <c r="F1331" s="0" t="s">
        <v>2176</v>
      </c>
      <c r="G1331" s="0" t="s">
        <v>2181</v>
      </c>
      <c r="H1331" s="0" t="s">
        <v>2187</v>
      </c>
      <c r="I1331" s="0" t="s">
        <v>2322</v>
      </c>
      <c r="J1331" s="0" t="s">
        <v>2323</v>
      </c>
      <c r="K1331" s="272" t="n">
        <v>-51636.3708301401</v>
      </c>
    </row>
    <row r="1332" customFormat="false" ht="15" hidden="false" customHeight="false" outlineLevel="0" collapsed="false">
      <c r="A1332" s="0" t="s">
        <v>2041</v>
      </c>
      <c r="B1332" s="0" t="s">
        <v>2042</v>
      </c>
      <c r="C1332" s="0" t="s">
        <v>2321</v>
      </c>
      <c r="D1332" s="0" t="s">
        <v>2105</v>
      </c>
      <c r="E1332" s="0" t="s">
        <v>2045</v>
      </c>
      <c r="F1332" s="0" t="s">
        <v>2176</v>
      </c>
      <c r="G1332" s="0" t="s">
        <v>2181</v>
      </c>
      <c r="H1332" s="0" t="s">
        <v>2187</v>
      </c>
      <c r="I1332" s="0" t="s">
        <v>2124</v>
      </c>
      <c r="J1332" s="0" t="s">
        <v>2323</v>
      </c>
      <c r="K1332" s="272" t="n">
        <v>-319375.101902814</v>
      </c>
    </row>
    <row r="1333" customFormat="false" ht="15" hidden="false" customHeight="false" outlineLevel="0" collapsed="false">
      <c r="A1333" s="0" t="s">
        <v>2041</v>
      </c>
      <c r="B1333" s="0" t="s">
        <v>2042</v>
      </c>
      <c r="C1333" s="0" t="s">
        <v>2321</v>
      </c>
      <c r="D1333" s="0" t="s">
        <v>2105</v>
      </c>
      <c r="E1333" s="0" t="s">
        <v>2045</v>
      </c>
      <c r="F1333" s="0" t="s">
        <v>2176</v>
      </c>
      <c r="G1333" s="0" t="s">
        <v>2181</v>
      </c>
      <c r="H1333" s="0" t="s">
        <v>2179</v>
      </c>
      <c r="I1333" s="0" t="s">
        <v>2322</v>
      </c>
      <c r="J1333" s="0" t="s">
        <v>2323</v>
      </c>
      <c r="K1333" s="272" t="n">
        <v>-699086.590858432</v>
      </c>
    </row>
    <row r="1334" customFormat="false" ht="15" hidden="false" customHeight="false" outlineLevel="0" collapsed="false">
      <c r="A1334" s="0" t="s">
        <v>2041</v>
      </c>
      <c r="B1334" s="0" t="s">
        <v>2042</v>
      </c>
      <c r="C1334" s="0" t="s">
        <v>2321</v>
      </c>
      <c r="D1334" s="0" t="s">
        <v>2105</v>
      </c>
      <c r="E1334" s="0" t="s">
        <v>2045</v>
      </c>
      <c r="F1334" s="0" t="s">
        <v>2176</v>
      </c>
      <c r="G1334" s="0" t="s">
        <v>2188</v>
      </c>
      <c r="H1334" s="0" t="s">
        <v>2189</v>
      </c>
      <c r="I1334" s="0" t="s">
        <v>2322</v>
      </c>
      <c r="J1334" s="0" t="s">
        <v>2323</v>
      </c>
      <c r="K1334" s="272" t="n">
        <v>-2171503.66198099</v>
      </c>
    </row>
    <row r="1335" customFormat="false" ht="15" hidden="false" customHeight="false" outlineLevel="0" collapsed="false">
      <c r="A1335" s="0" t="s">
        <v>2041</v>
      </c>
      <c r="B1335" s="0" t="s">
        <v>2042</v>
      </c>
      <c r="C1335" s="0" t="s">
        <v>2321</v>
      </c>
      <c r="D1335" s="0" t="s">
        <v>2105</v>
      </c>
      <c r="E1335" s="0" t="s">
        <v>2045</v>
      </c>
      <c r="F1335" s="0" t="s">
        <v>2176</v>
      </c>
      <c r="G1335" s="0" t="s">
        <v>2188</v>
      </c>
      <c r="H1335" s="0" t="s">
        <v>2189</v>
      </c>
      <c r="I1335" s="0" t="s">
        <v>2124</v>
      </c>
      <c r="J1335" s="0" t="s">
        <v>2323</v>
      </c>
      <c r="K1335" s="272" t="n">
        <v>-86164.4163910513</v>
      </c>
    </row>
    <row r="1336" customFormat="false" ht="15" hidden="false" customHeight="false" outlineLevel="0" collapsed="false">
      <c r="A1336" s="0" t="s">
        <v>2041</v>
      </c>
      <c r="B1336" s="0" t="s">
        <v>2042</v>
      </c>
      <c r="C1336" s="0" t="s">
        <v>2321</v>
      </c>
      <c r="D1336" s="0" t="s">
        <v>2105</v>
      </c>
      <c r="E1336" s="0" t="s">
        <v>2045</v>
      </c>
      <c r="F1336" s="0" t="s">
        <v>2176</v>
      </c>
      <c r="G1336" s="0" t="s">
        <v>2188</v>
      </c>
      <c r="H1336" s="0" t="s">
        <v>2189</v>
      </c>
      <c r="I1336" s="0" t="s">
        <v>2167</v>
      </c>
      <c r="J1336" s="0" t="s">
        <v>2323</v>
      </c>
      <c r="K1336" s="272" t="n">
        <v>-2513.57889106474</v>
      </c>
    </row>
    <row r="1337" customFormat="false" ht="15" hidden="false" customHeight="false" outlineLevel="0" collapsed="false">
      <c r="A1337" s="0" t="s">
        <v>2041</v>
      </c>
      <c r="B1337" s="0" t="s">
        <v>2042</v>
      </c>
      <c r="C1337" s="0" t="s">
        <v>2321</v>
      </c>
      <c r="D1337" s="0" t="s">
        <v>2105</v>
      </c>
      <c r="E1337" s="0" t="s">
        <v>2045</v>
      </c>
      <c r="F1337" s="0" t="s">
        <v>2176</v>
      </c>
      <c r="G1337" s="0" t="s">
        <v>2190</v>
      </c>
      <c r="H1337" s="0" t="s">
        <v>2191</v>
      </c>
      <c r="I1337" s="0" t="s">
        <v>2322</v>
      </c>
      <c r="J1337" s="0" t="s">
        <v>2323</v>
      </c>
      <c r="K1337" s="272" t="n">
        <v>-10302271.7662882</v>
      </c>
    </row>
    <row r="1338" customFormat="false" ht="15" hidden="false" customHeight="false" outlineLevel="0" collapsed="false">
      <c r="A1338" s="0" t="s">
        <v>2041</v>
      </c>
      <c r="B1338" s="0" t="s">
        <v>2042</v>
      </c>
      <c r="C1338" s="0" t="s">
        <v>2321</v>
      </c>
      <c r="D1338" s="0" t="s">
        <v>2105</v>
      </c>
      <c r="E1338" s="0" t="s">
        <v>2045</v>
      </c>
      <c r="F1338" s="0" t="s">
        <v>2176</v>
      </c>
      <c r="G1338" s="0" t="s">
        <v>2190</v>
      </c>
      <c r="H1338" s="0" t="s">
        <v>2191</v>
      </c>
      <c r="I1338" s="0" t="s">
        <v>2124</v>
      </c>
      <c r="J1338" s="0" t="s">
        <v>2323</v>
      </c>
      <c r="K1338" s="272" t="n">
        <v>191327.458150007</v>
      </c>
    </row>
    <row r="1339" customFormat="false" ht="15" hidden="false" customHeight="false" outlineLevel="0" collapsed="false">
      <c r="A1339" s="0" t="s">
        <v>2041</v>
      </c>
      <c r="B1339" s="0" t="s">
        <v>2042</v>
      </c>
      <c r="C1339" s="0" t="s">
        <v>2321</v>
      </c>
      <c r="D1339" s="0" t="s">
        <v>2105</v>
      </c>
      <c r="E1339" s="0" t="s">
        <v>2045</v>
      </c>
      <c r="F1339" s="0" t="s">
        <v>2192</v>
      </c>
      <c r="G1339" s="0" t="s">
        <v>2193</v>
      </c>
      <c r="H1339" s="0" t="s">
        <v>2162</v>
      </c>
      <c r="I1339" s="0" t="s">
        <v>2322</v>
      </c>
      <c r="J1339" s="0" t="s">
        <v>2323</v>
      </c>
      <c r="K1339" s="272" t="n">
        <v>2243627.88216076</v>
      </c>
    </row>
    <row r="1340" customFormat="false" ht="15" hidden="false" customHeight="false" outlineLevel="0" collapsed="false">
      <c r="A1340" s="0" t="s">
        <v>2041</v>
      </c>
      <c r="B1340" s="0" t="s">
        <v>2042</v>
      </c>
      <c r="C1340" s="0" t="s">
        <v>2321</v>
      </c>
      <c r="D1340" s="0" t="s">
        <v>2105</v>
      </c>
      <c r="E1340" s="0" t="s">
        <v>2045</v>
      </c>
      <c r="F1340" s="0" t="s">
        <v>2192</v>
      </c>
      <c r="G1340" s="0" t="s">
        <v>2193</v>
      </c>
      <c r="H1340" s="0" t="s">
        <v>2162</v>
      </c>
      <c r="I1340" s="0" t="s">
        <v>2124</v>
      </c>
      <c r="J1340" s="0" t="s">
        <v>2323</v>
      </c>
      <c r="K1340" s="272" t="n">
        <v>-270441.707125396</v>
      </c>
    </row>
    <row r="1341" customFormat="false" ht="15" hidden="false" customHeight="false" outlineLevel="0" collapsed="false">
      <c r="A1341" s="0" t="s">
        <v>2041</v>
      </c>
      <c r="B1341" s="0" t="s">
        <v>2042</v>
      </c>
      <c r="C1341" s="0" t="s">
        <v>2321</v>
      </c>
      <c r="D1341" s="0" t="s">
        <v>2105</v>
      </c>
      <c r="E1341" s="0" t="s">
        <v>2045</v>
      </c>
      <c r="F1341" s="0" t="s">
        <v>2192</v>
      </c>
      <c r="G1341" s="0" t="s">
        <v>2193</v>
      </c>
      <c r="H1341" s="0" t="s">
        <v>2162</v>
      </c>
      <c r="I1341" s="0" t="s">
        <v>2101</v>
      </c>
      <c r="J1341" s="0" t="s">
        <v>2323</v>
      </c>
      <c r="K1341" s="272" t="n">
        <v>65335.6778921503</v>
      </c>
    </row>
    <row r="1342" customFormat="false" ht="15" hidden="false" customHeight="false" outlineLevel="0" collapsed="false">
      <c r="A1342" s="0" t="s">
        <v>2041</v>
      </c>
      <c r="B1342" s="0" t="s">
        <v>2042</v>
      </c>
      <c r="C1342" s="0" t="s">
        <v>2321</v>
      </c>
      <c r="D1342" s="0" t="s">
        <v>2105</v>
      </c>
      <c r="E1342" s="0" t="s">
        <v>2045</v>
      </c>
      <c r="F1342" s="0" t="s">
        <v>2192</v>
      </c>
      <c r="G1342" s="0" t="s">
        <v>2194</v>
      </c>
      <c r="H1342" s="0" t="s">
        <v>2162</v>
      </c>
      <c r="I1342" s="0" t="s">
        <v>2322</v>
      </c>
      <c r="J1342" s="0" t="s">
        <v>2323</v>
      </c>
      <c r="K1342" s="272" t="n">
        <v>-1117617.65163243</v>
      </c>
    </row>
    <row r="1343" customFormat="false" ht="15" hidden="false" customHeight="false" outlineLevel="0" collapsed="false">
      <c r="A1343" s="0" t="s">
        <v>2041</v>
      </c>
      <c r="B1343" s="0" t="s">
        <v>2042</v>
      </c>
      <c r="C1343" s="0" t="s">
        <v>2321</v>
      </c>
      <c r="D1343" s="0" t="s">
        <v>2105</v>
      </c>
      <c r="E1343" s="0" t="s">
        <v>2045</v>
      </c>
      <c r="F1343" s="0" t="s">
        <v>2192</v>
      </c>
      <c r="G1343" s="0" t="s">
        <v>2194</v>
      </c>
      <c r="H1343" s="0" t="s">
        <v>2162</v>
      </c>
      <c r="I1343" s="0" t="s">
        <v>2124</v>
      </c>
      <c r="J1343" s="0" t="s">
        <v>2323</v>
      </c>
      <c r="K1343" s="272" t="n">
        <v>20346.4418482548</v>
      </c>
    </row>
    <row r="1344" customFormat="false" ht="15" hidden="false" customHeight="false" outlineLevel="0" collapsed="false">
      <c r="A1344" s="0" t="s">
        <v>2041</v>
      </c>
      <c r="B1344" s="0" t="s">
        <v>2042</v>
      </c>
      <c r="C1344" s="0" t="s">
        <v>2321</v>
      </c>
      <c r="D1344" s="0" t="s">
        <v>2105</v>
      </c>
      <c r="E1344" s="0" t="s">
        <v>2045</v>
      </c>
      <c r="F1344" s="0" t="s">
        <v>2192</v>
      </c>
      <c r="G1344" s="0" t="s">
        <v>2195</v>
      </c>
      <c r="H1344" s="0" t="s">
        <v>2171</v>
      </c>
      <c r="I1344" s="0" t="s">
        <v>2322</v>
      </c>
      <c r="J1344" s="0" t="s">
        <v>2323</v>
      </c>
      <c r="K1344" s="272" t="n">
        <v>97957.1181534529</v>
      </c>
    </row>
    <row r="1345" customFormat="false" ht="15" hidden="false" customHeight="false" outlineLevel="0" collapsed="false">
      <c r="A1345" s="0" t="s">
        <v>2041</v>
      </c>
      <c r="B1345" s="0" t="s">
        <v>2042</v>
      </c>
      <c r="C1345" s="0" t="s">
        <v>2321</v>
      </c>
      <c r="D1345" s="0" t="s">
        <v>2105</v>
      </c>
      <c r="E1345" s="0" t="s">
        <v>2045</v>
      </c>
      <c r="F1345" s="0" t="s">
        <v>2192</v>
      </c>
      <c r="G1345" s="0" t="s">
        <v>2195</v>
      </c>
      <c r="H1345" s="0" t="s">
        <v>2171</v>
      </c>
      <c r="I1345" s="0" t="s">
        <v>2124</v>
      </c>
      <c r="J1345" s="0" t="s">
        <v>2323</v>
      </c>
      <c r="K1345" s="272" t="n">
        <v>654579.63937701</v>
      </c>
    </row>
    <row r="1346" customFormat="false" ht="15" hidden="false" customHeight="false" outlineLevel="0" collapsed="false">
      <c r="A1346" s="0" t="s">
        <v>2041</v>
      </c>
      <c r="B1346" s="0" t="s">
        <v>2042</v>
      </c>
      <c r="C1346" s="0" t="s">
        <v>2321</v>
      </c>
      <c r="D1346" s="0" t="s">
        <v>2105</v>
      </c>
      <c r="E1346" s="0" t="s">
        <v>2045</v>
      </c>
      <c r="F1346" s="0" t="s">
        <v>2192</v>
      </c>
      <c r="G1346" s="0" t="s">
        <v>2195</v>
      </c>
      <c r="H1346" s="0" t="s">
        <v>2171</v>
      </c>
      <c r="I1346" s="0" t="s">
        <v>2167</v>
      </c>
      <c r="J1346" s="0" t="s">
        <v>2323</v>
      </c>
      <c r="K1346" s="272" t="n">
        <v>92453.9025573991</v>
      </c>
    </row>
    <row r="1347" customFormat="false" ht="15" hidden="false" customHeight="false" outlineLevel="0" collapsed="false">
      <c r="A1347" s="0" t="s">
        <v>2041</v>
      </c>
      <c r="B1347" s="0" t="s">
        <v>2042</v>
      </c>
      <c r="C1347" s="0" t="s">
        <v>2321</v>
      </c>
      <c r="D1347" s="0" t="s">
        <v>2105</v>
      </c>
      <c r="E1347" s="0" t="s">
        <v>2045</v>
      </c>
      <c r="F1347" s="0" t="s">
        <v>2192</v>
      </c>
      <c r="G1347" s="0" t="s">
        <v>2195</v>
      </c>
      <c r="H1347" s="0" t="s">
        <v>2162</v>
      </c>
      <c r="I1347" s="0" t="s">
        <v>2322</v>
      </c>
      <c r="J1347" s="0" t="s">
        <v>2323</v>
      </c>
      <c r="K1347" s="272" t="n">
        <v>-886909.754544576</v>
      </c>
    </row>
    <row r="1348" customFormat="false" ht="15" hidden="false" customHeight="false" outlineLevel="0" collapsed="false">
      <c r="A1348" s="0" t="s">
        <v>2041</v>
      </c>
      <c r="B1348" s="0" t="s">
        <v>2042</v>
      </c>
      <c r="C1348" s="0" t="s">
        <v>2321</v>
      </c>
      <c r="D1348" s="0" t="s">
        <v>2105</v>
      </c>
      <c r="E1348" s="0" t="s">
        <v>2045</v>
      </c>
      <c r="F1348" s="0" t="s">
        <v>2192</v>
      </c>
      <c r="G1348" s="0" t="s">
        <v>2195</v>
      </c>
      <c r="H1348" s="0" t="s">
        <v>2162</v>
      </c>
      <c r="I1348" s="0" t="s">
        <v>2124</v>
      </c>
      <c r="J1348" s="0" t="s">
        <v>2323</v>
      </c>
      <c r="K1348" s="272" t="n">
        <v>176671.048959211</v>
      </c>
    </row>
    <row r="1349" customFormat="false" ht="15" hidden="false" customHeight="false" outlineLevel="0" collapsed="false">
      <c r="A1349" s="0" t="s">
        <v>2041</v>
      </c>
      <c r="B1349" s="0" t="s">
        <v>2042</v>
      </c>
      <c r="C1349" s="0" t="s">
        <v>2321</v>
      </c>
      <c r="D1349" s="0" t="s">
        <v>2105</v>
      </c>
      <c r="E1349" s="0" t="s">
        <v>2045</v>
      </c>
      <c r="F1349" s="0" t="s">
        <v>2192</v>
      </c>
      <c r="G1349" s="0" t="s">
        <v>2196</v>
      </c>
      <c r="H1349" s="0" t="s">
        <v>2162</v>
      </c>
      <c r="I1349" s="0" t="s">
        <v>2322</v>
      </c>
      <c r="J1349" s="0" t="s">
        <v>2323</v>
      </c>
      <c r="K1349" s="272" t="n">
        <v>-1148571.97226012</v>
      </c>
    </row>
    <row r="1350" customFormat="false" ht="15" hidden="false" customHeight="false" outlineLevel="0" collapsed="false">
      <c r="A1350" s="0" t="s">
        <v>2041</v>
      </c>
      <c r="B1350" s="0" t="s">
        <v>2042</v>
      </c>
      <c r="C1350" s="0" t="s">
        <v>2321</v>
      </c>
      <c r="D1350" s="0" t="s">
        <v>2105</v>
      </c>
      <c r="E1350" s="0" t="s">
        <v>2045</v>
      </c>
      <c r="F1350" s="0" t="s">
        <v>2192</v>
      </c>
      <c r="G1350" s="0" t="s">
        <v>2196</v>
      </c>
      <c r="H1350" s="0" t="s">
        <v>2162</v>
      </c>
      <c r="I1350" s="0" t="s">
        <v>2124</v>
      </c>
      <c r="J1350" s="0" t="s">
        <v>2323</v>
      </c>
      <c r="K1350" s="272" t="n">
        <v>177271.669179521</v>
      </c>
    </row>
    <row r="1351" customFormat="false" ht="15" hidden="false" customHeight="false" outlineLevel="0" collapsed="false">
      <c r="A1351" s="0" t="s">
        <v>2041</v>
      </c>
      <c r="B1351" s="0" t="s">
        <v>2042</v>
      </c>
      <c r="C1351" s="0" t="s">
        <v>2321</v>
      </c>
      <c r="D1351" s="0" t="s">
        <v>2105</v>
      </c>
      <c r="E1351" s="0" t="s">
        <v>2045</v>
      </c>
      <c r="F1351" s="0" t="s">
        <v>2192</v>
      </c>
      <c r="G1351" s="0" t="s">
        <v>2196</v>
      </c>
      <c r="H1351" s="0" t="s">
        <v>2162</v>
      </c>
      <c r="I1351" s="0" t="s">
        <v>2197</v>
      </c>
      <c r="J1351" s="0" t="s">
        <v>2323</v>
      </c>
      <c r="K1351" s="272" t="n">
        <v>41048.2977023948</v>
      </c>
    </row>
    <row r="1352" customFormat="false" ht="15" hidden="false" customHeight="false" outlineLevel="0" collapsed="false">
      <c r="A1352" s="0" t="s">
        <v>2041</v>
      </c>
      <c r="B1352" s="0" t="s">
        <v>2042</v>
      </c>
      <c r="C1352" s="0" t="s">
        <v>2321</v>
      </c>
      <c r="D1352" s="0" t="s">
        <v>2105</v>
      </c>
      <c r="E1352" s="0" t="s">
        <v>2045</v>
      </c>
      <c r="F1352" s="0" t="s">
        <v>2198</v>
      </c>
      <c r="G1352" s="0" t="s">
        <v>2199</v>
      </c>
      <c r="H1352" s="0" t="s">
        <v>2200</v>
      </c>
      <c r="I1352" s="0" t="s">
        <v>2322</v>
      </c>
      <c r="J1352" s="0" t="s">
        <v>2323</v>
      </c>
      <c r="K1352" s="272" t="n">
        <v>8128445.78933936</v>
      </c>
    </row>
    <row r="1353" customFormat="false" ht="15" hidden="false" customHeight="false" outlineLevel="0" collapsed="false">
      <c r="A1353" s="0" t="s">
        <v>2041</v>
      </c>
      <c r="B1353" s="0" t="s">
        <v>2042</v>
      </c>
      <c r="C1353" s="0" t="s">
        <v>2321</v>
      </c>
      <c r="D1353" s="0" t="s">
        <v>2105</v>
      </c>
      <c r="E1353" s="0" t="s">
        <v>2045</v>
      </c>
      <c r="F1353" s="0" t="s">
        <v>2198</v>
      </c>
      <c r="G1353" s="0" t="s">
        <v>2199</v>
      </c>
      <c r="H1353" s="0" t="s">
        <v>2200</v>
      </c>
      <c r="I1353" s="0" t="s">
        <v>2124</v>
      </c>
      <c r="J1353" s="0" t="s">
        <v>2323</v>
      </c>
      <c r="K1353" s="272" t="n">
        <v>743389.227161129</v>
      </c>
    </row>
    <row r="1354" customFormat="false" ht="15" hidden="false" customHeight="false" outlineLevel="0" collapsed="false">
      <c r="A1354" s="0" t="s">
        <v>2041</v>
      </c>
      <c r="B1354" s="0" t="s">
        <v>2042</v>
      </c>
      <c r="C1354" s="0" t="s">
        <v>2321</v>
      </c>
      <c r="D1354" s="0" t="s">
        <v>2105</v>
      </c>
      <c r="E1354" s="0" t="s">
        <v>2045</v>
      </c>
      <c r="F1354" s="0" t="s">
        <v>2198</v>
      </c>
      <c r="G1354" s="0" t="s">
        <v>2199</v>
      </c>
      <c r="H1354" s="0" t="s">
        <v>2200</v>
      </c>
      <c r="I1354" s="0" t="s">
        <v>2201</v>
      </c>
      <c r="J1354" s="0" t="s">
        <v>2323</v>
      </c>
      <c r="K1354" s="272" t="n">
        <v>239680.643145821</v>
      </c>
    </row>
    <row r="1355" customFormat="false" ht="15" hidden="false" customHeight="false" outlineLevel="0" collapsed="false">
      <c r="A1355" s="0" t="s">
        <v>2041</v>
      </c>
      <c r="B1355" s="0" t="s">
        <v>2042</v>
      </c>
      <c r="C1355" s="0" t="s">
        <v>2321</v>
      </c>
      <c r="D1355" s="0" t="s">
        <v>2105</v>
      </c>
      <c r="E1355" s="0" t="s">
        <v>2045</v>
      </c>
      <c r="F1355" s="0" t="s">
        <v>2198</v>
      </c>
      <c r="G1355" s="0" t="s">
        <v>2199</v>
      </c>
      <c r="H1355" s="0" t="s">
        <v>2202</v>
      </c>
      <c r="I1355" s="0" t="s">
        <v>2322</v>
      </c>
      <c r="J1355" s="0" t="s">
        <v>2323</v>
      </c>
      <c r="K1355" s="272" t="n">
        <v>811372.520620208</v>
      </c>
    </row>
    <row r="1356" customFormat="false" ht="15" hidden="false" customHeight="false" outlineLevel="0" collapsed="false">
      <c r="A1356" s="0" t="s">
        <v>2041</v>
      </c>
      <c r="B1356" s="0" t="s">
        <v>2042</v>
      </c>
      <c r="C1356" s="0" t="s">
        <v>2321</v>
      </c>
      <c r="D1356" s="0" t="s">
        <v>2105</v>
      </c>
      <c r="E1356" s="0" t="s">
        <v>2045</v>
      </c>
      <c r="F1356" s="0" t="s">
        <v>2198</v>
      </c>
      <c r="G1356" s="0" t="s">
        <v>2199</v>
      </c>
      <c r="H1356" s="0" t="s">
        <v>2202</v>
      </c>
      <c r="I1356" s="0" t="s">
        <v>2124</v>
      </c>
      <c r="J1356" s="0" t="s">
        <v>2323</v>
      </c>
      <c r="K1356" s="272" t="n">
        <v>177501.867567243</v>
      </c>
    </row>
    <row r="1357" customFormat="false" ht="15" hidden="false" customHeight="false" outlineLevel="0" collapsed="false">
      <c r="A1357" s="0" t="s">
        <v>2041</v>
      </c>
      <c r="B1357" s="0" t="s">
        <v>2042</v>
      </c>
      <c r="C1357" s="0" t="s">
        <v>2321</v>
      </c>
      <c r="D1357" s="0" t="s">
        <v>2105</v>
      </c>
      <c r="E1357" s="0" t="s">
        <v>2045</v>
      </c>
      <c r="F1357" s="0" t="s">
        <v>2198</v>
      </c>
      <c r="G1357" s="0" t="s">
        <v>2199</v>
      </c>
      <c r="H1357" s="0" t="s">
        <v>2203</v>
      </c>
      <c r="I1357" s="0" t="s">
        <v>2322</v>
      </c>
      <c r="J1357" s="0" t="s">
        <v>2323</v>
      </c>
      <c r="K1357" s="272" t="n">
        <v>661055.227645397</v>
      </c>
    </row>
    <row r="1358" customFormat="false" ht="15" hidden="false" customHeight="false" outlineLevel="0" collapsed="false">
      <c r="A1358" s="0" t="s">
        <v>2041</v>
      </c>
      <c r="B1358" s="0" t="s">
        <v>2042</v>
      </c>
      <c r="C1358" s="0" t="s">
        <v>2321</v>
      </c>
      <c r="D1358" s="0" t="s">
        <v>2105</v>
      </c>
      <c r="E1358" s="0" t="s">
        <v>2045</v>
      </c>
      <c r="F1358" s="0" t="s">
        <v>2198</v>
      </c>
      <c r="G1358" s="0" t="s">
        <v>2199</v>
      </c>
      <c r="H1358" s="0" t="s">
        <v>2203</v>
      </c>
      <c r="I1358" s="0" t="s">
        <v>2124</v>
      </c>
      <c r="J1358" s="0" t="s">
        <v>2323</v>
      </c>
      <c r="K1358" s="272" t="n">
        <v>299098.998962547</v>
      </c>
    </row>
    <row r="1359" customFormat="false" ht="15" hidden="false" customHeight="false" outlineLevel="0" collapsed="false">
      <c r="A1359" s="0" t="s">
        <v>2041</v>
      </c>
      <c r="B1359" s="0" t="s">
        <v>2042</v>
      </c>
      <c r="C1359" s="0" t="s">
        <v>2321</v>
      </c>
      <c r="D1359" s="0" t="s">
        <v>2105</v>
      </c>
      <c r="E1359" s="0" t="s">
        <v>2045</v>
      </c>
      <c r="F1359" s="0" t="s">
        <v>2204</v>
      </c>
      <c r="G1359" s="0" t="s">
        <v>2205</v>
      </c>
      <c r="H1359" s="0" t="s">
        <v>2206</v>
      </c>
      <c r="I1359" s="0" t="s">
        <v>2322</v>
      </c>
      <c r="J1359" s="0" t="s">
        <v>2323</v>
      </c>
      <c r="K1359" s="272" t="n">
        <v>-1465787.68225229</v>
      </c>
    </row>
    <row r="1360" customFormat="false" ht="15" hidden="false" customHeight="false" outlineLevel="0" collapsed="false">
      <c r="A1360" s="0" t="s">
        <v>2041</v>
      </c>
      <c r="B1360" s="0" t="s">
        <v>2042</v>
      </c>
      <c r="C1360" s="0" t="s">
        <v>2321</v>
      </c>
      <c r="D1360" s="0" t="s">
        <v>2105</v>
      </c>
      <c r="E1360" s="0" t="s">
        <v>2045</v>
      </c>
      <c r="F1360" s="0" t="s">
        <v>2204</v>
      </c>
      <c r="G1360" s="0" t="s">
        <v>2205</v>
      </c>
      <c r="H1360" s="0" t="s">
        <v>2207</v>
      </c>
      <c r="I1360" s="0" t="s">
        <v>2322</v>
      </c>
      <c r="J1360" s="0" t="s">
        <v>2323</v>
      </c>
      <c r="K1360" s="272" t="n">
        <v>-1465787.68225229</v>
      </c>
    </row>
    <row r="1361" customFormat="false" ht="15" hidden="false" customHeight="false" outlineLevel="0" collapsed="false">
      <c r="A1361" s="0" t="s">
        <v>2041</v>
      </c>
      <c r="B1361" s="0" t="s">
        <v>2042</v>
      </c>
      <c r="C1361" s="0" t="s">
        <v>2321</v>
      </c>
      <c r="D1361" s="0" t="s">
        <v>2105</v>
      </c>
      <c r="E1361" s="0" t="s">
        <v>2045</v>
      </c>
      <c r="F1361" s="0" t="s">
        <v>2204</v>
      </c>
      <c r="G1361" s="0" t="s">
        <v>2205</v>
      </c>
      <c r="H1361" s="0" t="s">
        <v>2208</v>
      </c>
      <c r="I1361" s="0" t="s">
        <v>2322</v>
      </c>
      <c r="J1361" s="0" t="s">
        <v>2323</v>
      </c>
      <c r="K1361" s="272" t="n">
        <v>-2931575.36450458</v>
      </c>
    </row>
    <row r="1362" customFormat="false" ht="15" hidden="false" customHeight="false" outlineLevel="0" collapsed="false">
      <c r="A1362" s="0" t="s">
        <v>2041</v>
      </c>
      <c r="B1362" s="0" t="s">
        <v>2042</v>
      </c>
      <c r="C1362" s="0" t="s">
        <v>2321</v>
      </c>
      <c r="D1362" s="0" t="s">
        <v>2105</v>
      </c>
      <c r="E1362" s="0" t="s">
        <v>2045</v>
      </c>
      <c r="F1362" s="0" t="s">
        <v>2204</v>
      </c>
      <c r="G1362" s="0" t="s">
        <v>2209</v>
      </c>
      <c r="H1362" s="0" t="s">
        <v>2207</v>
      </c>
      <c r="I1362" s="0" t="s">
        <v>2322</v>
      </c>
      <c r="J1362" s="0" t="s">
        <v>2323</v>
      </c>
      <c r="K1362" s="272" t="n">
        <v>-1214260.91252052</v>
      </c>
    </row>
    <row r="1363" customFormat="false" ht="15" hidden="false" customHeight="false" outlineLevel="0" collapsed="false">
      <c r="A1363" s="0" t="s">
        <v>2041</v>
      </c>
      <c r="B1363" s="0" t="s">
        <v>2042</v>
      </c>
      <c r="C1363" s="0" t="s">
        <v>2321</v>
      </c>
      <c r="D1363" s="0" t="s">
        <v>2105</v>
      </c>
      <c r="E1363" s="0" t="s">
        <v>2045</v>
      </c>
      <c r="F1363" s="0" t="s">
        <v>2204</v>
      </c>
      <c r="G1363" s="0" t="s">
        <v>2210</v>
      </c>
      <c r="H1363" s="0" t="s">
        <v>2211</v>
      </c>
      <c r="I1363" s="0" t="s">
        <v>2322</v>
      </c>
      <c r="J1363" s="0" t="s">
        <v>2323</v>
      </c>
      <c r="K1363" s="272" t="n">
        <v>-4828686.16665032</v>
      </c>
    </row>
    <row r="1364" customFormat="false" ht="15" hidden="false" customHeight="false" outlineLevel="0" collapsed="false">
      <c r="A1364" s="0" t="s">
        <v>2041</v>
      </c>
      <c r="B1364" s="0" t="s">
        <v>2042</v>
      </c>
      <c r="C1364" s="0" t="s">
        <v>2321</v>
      </c>
      <c r="D1364" s="0" t="s">
        <v>2105</v>
      </c>
      <c r="E1364" s="0" t="s">
        <v>2045</v>
      </c>
      <c r="F1364" s="0" t="s">
        <v>2204</v>
      </c>
      <c r="G1364" s="0" t="s">
        <v>2210</v>
      </c>
      <c r="H1364" s="0" t="s">
        <v>2211</v>
      </c>
      <c r="I1364" s="0" t="s">
        <v>2167</v>
      </c>
      <c r="J1364" s="0" t="s">
        <v>2323</v>
      </c>
      <c r="K1364" s="272" t="n">
        <v>-13478.2778046588</v>
      </c>
    </row>
    <row r="1365" customFormat="false" ht="15" hidden="false" customHeight="false" outlineLevel="0" collapsed="false">
      <c r="A1365" s="0" t="s">
        <v>2041</v>
      </c>
      <c r="B1365" s="0" t="s">
        <v>2042</v>
      </c>
      <c r="C1365" s="0" t="s">
        <v>2321</v>
      </c>
      <c r="D1365" s="0" t="s">
        <v>2105</v>
      </c>
      <c r="E1365" s="0" t="s">
        <v>2045</v>
      </c>
      <c r="F1365" s="0" t="s">
        <v>2204</v>
      </c>
      <c r="G1365" s="0" t="s">
        <v>2212</v>
      </c>
      <c r="H1365" s="0" t="s">
        <v>2213</v>
      </c>
      <c r="I1365" s="0" t="s">
        <v>2322</v>
      </c>
      <c r="J1365" s="0" t="s">
        <v>2323</v>
      </c>
      <c r="K1365" s="272" t="n">
        <v>-345303.913032233</v>
      </c>
    </row>
    <row r="1366" customFormat="false" ht="15" hidden="false" customHeight="false" outlineLevel="0" collapsed="false">
      <c r="A1366" s="0" t="s">
        <v>2041</v>
      </c>
      <c r="B1366" s="0" t="s">
        <v>2042</v>
      </c>
      <c r="C1366" s="0" t="s">
        <v>2321</v>
      </c>
      <c r="D1366" s="0" t="s">
        <v>2105</v>
      </c>
      <c r="E1366" s="0" t="s">
        <v>2045</v>
      </c>
      <c r="F1366" s="0" t="s">
        <v>2204</v>
      </c>
      <c r="G1366" s="0" t="s">
        <v>2212</v>
      </c>
      <c r="H1366" s="0" t="s">
        <v>2206</v>
      </c>
      <c r="I1366" s="0" t="s">
        <v>2322</v>
      </c>
      <c r="J1366" s="0" t="s">
        <v>2323</v>
      </c>
      <c r="K1366" s="272" t="n">
        <v>-345303.913032233</v>
      </c>
    </row>
    <row r="1367" customFormat="false" ht="15" hidden="false" customHeight="false" outlineLevel="0" collapsed="false">
      <c r="A1367" s="0" t="s">
        <v>2041</v>
      </c>
      <c r="B1367" s="0" t="s">
        <v>2042</v>
      </c>
      <c r="C1367" s="0" t="s">
        <v>2321</v>
      </c>
      <c r="D1367" s="0" t="s">
        <v>2105</v>
      </c>
      <c r="E1367" s="0" t="s">
        <v>2045</v>
      </c>
      <c r="F1367" s="0" t="s">
        <v>2204</v>
      </c>
      <c r="G1367" s="0" t="s">
        <v>2212</v>
      </c>
      <c r="H1367" s="0" t="s">
        <v>2208</v>
      </c>
      <c r="I1367" s="0" t="s">
        <v>2322</v>
      </c>
      <c r="J1367" s="0" t="s">
        <v>2323</v>
      </c>
      <c r="K1367" s="272" t="n">
        <v>-176814.581639894</v>
      </c>
    </row>
    <row r="1368" customFormat="false" ht="15" hidden="false" customHeight="false" outlineLevel="0" collapsed="false">
      <c r="A1368" s="0" t="s">
        <v>2041</v>
      </c>
      <c r="B1368" s="0" t="s">
        <v>2042</v>
      </c>
      <c r="C1368" s="0" t="s">
        <v>2321</v>
      </c>
      <c r="D1368" s="0" t="s">
        <v>2105</v>
      </c>
      <c r="E1368" s="0" t="s">
        <v>2045</v>
      </c>
      <c r="F1368" s="0" t="s">
        <v>2204</v>
      </c>
      <c r="G1368" s="0" t="s">
        <v>2212</v>
      </c>
      <c r="H1368" s="0" t="s">
        <v>2208</v>
      </c>
      <c r="I1368" s="0" t="s">
        <v>2124</v>
      </c>
      <c r="J1368" s="0" t="s">
        <v>2323</v>
      </c>
      <c r="K1368" s="272" t="n">
        <v>-853276.633296149</v>
      </c>
    </row>
    <row r="1369" customFormat="false" ht="15" hidden="false" customHeight="false" outlineLevel="0" collapsed="false">
      <c r="A1369" s="0" t="s">
        <v>2041</v>
      </c>
      <c r="B1369" s="0" t="s">
        <v>2042</v>
      </c>
      <c r="C1369" s="0" t="s">
        <v>2321</v>
      </c>
      <c r="D1369" s="0" t="s">
        <v>2105</v>
      </c>
      <c r="E1369" s="0" t="s">
        <v>2045</v>
      </c>
      <c r="F1369" s="0" t="s">
        <v>2204</v>
      </c>
      <c r="G1369" s="0" t="s">
        <v>2214</v>
      </c>
      <c r="H1369" s="0" t="s">
        <v>2206</v>
      </c>
      <c r="I1369" s="0" t="s">
        <v>2322</v>
      </c>
      <c r="J1369" s="0" t="s">
        <v>2323</v>
      </c>
      <c r="K1369" s="272" t="n">
        <v>-306839.495585777</v>
      </c>
    </row>
    <row r="1370" customFormat="false" ht="15" hidden="false" customHeight="false" outlineLevel="0" collapsed="false">
      <c r="A1370" s="0" t="s">
        <v>2041</v>
      </c>
      <c r="B1370" s="0" t="s">
        <v>2042</v>
      </c>
      <c r="C1370" s="0" t="s">
        <v>2321</v>
      </c>
      <c r="D1370" s="0" t="s">
        <v>2105</v>
      </c>
      <c r="E1370" s="0" t="s">
        <v>2045</v>
      </c>
      <c r="F1370" s="0" t="s">
        <v>2204</v>
      </c>
      <c r="G1370" s="0" t="s">
        <v>2214</v>
      </c>
      <c r="H1370" s="0" t="s">
        <v>2208</v>
      </c>
      <c r="I1370" s="0" t="s">
        <v>2322</v>
      </c>
      <c r="J1370" s="0" t="s">
        <v>2323</v>
      </c>
      <c r="K1370" s="272" t="n">
        <v>-306839.495585777</v>
      </c>
    </row>
    <row r="1371" customFormat="false" ht="15" hidden="false" customHeight="false" outlineLevel="0" collapsed="false">
      <c r="A1371" s="0" t="s">
        <v>2041</v>
      </c>
      <c r="B1371" s="0" t="s">
        <v>2042</v>
      </c>
      <c r="C1371" s="0" t="s">
        <v>2321</v>
      </c>
      <c r="D1371" s="0" t="s">
        <v>2105</v>
      </c>
      <c r="E1371" s="0" t="s">
        <v>2045</v>
      </c>
      <c r="F1371" s="0" t="s">
        <v>2051</v>
      </c>
      <c r="G1371" s="0" t="s">
        <v>2106</v>
      </c>
      <c r="H1371" s="0" t="s">
        <v>2107</v>
      </c>
      <c r="I1371" s="0" t="s">
        <v>2322</v>
      </c>
      <c r="J1371" s="0" t="s">
        <v>2323</v>
      </c>
      <c r="K1371" s="272" t="n">
        <v>1198748.65131159</v>
      </c>
    </row>
    <row r="1372" customFormat="false" ht="15" hidden="false" customHeight="false" outlineLevel="0" collapsed="false">
      <c r="A1372" s="0" t="s">
        <v>2041</v>
      </c>
      <c r="B1372" s="0" t="s">
        <v>2042</v>
      </c>
      <c r="C1372" s="0" t="s">
        <v>2321</v>
      </c>
      <c r="D1372" s="0" t="s">
        <v>2105</v>
      </c>
      <c r="E1372" s="0" t="s">
        <v>2045</v>
      </c>
      <c r="F1372" s="0" t="s">
        <v>2051</v>
      </c>
      <c r="G1372" s="0" t="s">
        <v>2106</v>
      </c>
      <c r="H1372" s="0" t="s">
        <v>2107</v>
      </c>
      <c r="I1372" s="0" t="s">
        <v>2124</v>
      </c>
      <c r="J1372" s="0" t="s">
        <v>2323</v>
      </c>
      <c r="K1372" s="272" t="n">
        <v>-380056.867443237</v>
      </c>
    </row>
    <row r="1373" customFormat="false" ht="15" hidden="false" customHeight="false" outlineLevel="0" collapsed="false">
      <c r="A1373" s="0" t="s">
        <v>2041</v>
      </c>
      <c r="B1373" s="0" t="s">
        <v>2042</v>
      </c>
      <c r="C1373" s="0" t="s">
        <v>2321</v>
      </c>
      <c r="D1373" s="0" t="s">
        <v>2105</v>
      </c>
      <c r="E1373" s="0" t="s">
        <v>2045</v>
      </c>
      <c r="F1373" s="0" t="s">
        <v>2051</v>
      </c>
      <c r="G1373" s="0" t="s">
        <v>2110</v>
      </c>
      <c r="H1373" s="0" t="s">
        <v>2115</v>
      </c>
      <c r="I1373" s="0" t="s">
        <v>2322</v>
      </c>
      <c r="J1373" s="0" t="s">
        <v>2323</v>
      </c>
      <c r="K1373" s="272" t="n">
        <v>11908.545286394</v>
      </c>
    </row>
    <row r="1374" customFormat="false" ht="15" hidden="false" customHeight="false" outlineLevel="0" collapsed="false">
      <c r="A1374" s="0" t="s">
        <v>2041</v>
      </c>
      <c r="B1374" s="0" t="s">
        <v>2042</v>
      </c>
      <c r="C1374" s="0" t="s">
        <v>2321</v>
      </c>
      <c r="D1374" s="0" t="s">
        <v>2105</v>
      </c>
      <c r="E1374" s="0" t="s">
        <v>2045</v>
      </c>
      <c r="F1374" s="0" t="s">
        <v>2051</v>
      </c>
      <c r="G1374" s="0" t="s">
        <v>2110</v>
      </c>
      <c r="H1374" s="0" t="s">
        <v>2111</v>
      </c>
      <c r="I1374" s="0" t="s">
        <v>2322</v>
      </c>
      <c r="J1374" s="0" t="s">
        <v>2323</v>
      </c>
      <c r="K1374" s="272" t="n">
        <v>324134.839672557</v>
      </c>
    </row>
    <row r="1375" customFormat="false" ht="15" hidden="false" customHeight="false" outlineLevel="0" collapsed="false">
      <c r="A1375" s="0" t="s">
        <v>2041</v>
      </c>
      <c r="B1375" s="0" t="s">
        <v>2042</v>
      </c>
      <c r="C1375" s="0" t="s">
        <v>2321</v>
      </c>
      <c r="D1375" s="0" t="s">
        <v>2105</v>
      </c>
      <c r="E1375" s="0" t="s">
        <v>2045</v>
      </c>
      <c r="F1375" s="0" t="s">
        <v>2051</v>
      </c>
      <c r="G1375" s="0" t="s">
        <v>2110</v>
      </c>
      <c r="H1375" s="0" t="s">
        <v>2119</v>
      </c>
      <c r="I1375" s="0" t="s">
        <v>2322</v>
      </c>
      <c r="J1375" s="0" t="s">
        <v>2323</v>
      </c>
      <c r="K1375" s="272" t="n">
        <v>4601.02886065224</v>
      </c>
    </row>
    <row r="1376" customFormat="false" ht="15" hidden="false" customHeight="false" outlineLevel="0" collapsed="false">
      <c r="A1376" s="0" t="s">
        <v>2041</v>
      </c>
      <c r="B1376" s="0" t="s">
        <v>2042</v>
      </c>
      <c r="C1376" s="0" t="s">
        <v>2321</v>
      </c>
      <c r="D1376" s="0" t="s">
        <v>2105</v>
      </c>
      <c r="E1376" s="0" t="s">
        <v>2045</v>
      </c>
      <c r="F1376" s="0" t="s">
        <v>2051</v>
      </c>
      <c r="G1376" s="0" t="s">
        <v>2110</v>
      </c>
      <c r="H1376" s="0" t="s">
        <v>2120</v>
      </c>
      <c r="I1376" s="0" t="s">
        <v>2322</v>
      </c>
      <c r="J1376" s="0" t="s">
        <v>2323</v>
      </c>
      <c r="K1376" s="272" t="n">
        <v>5682.40723658679</v>
      </c>
    </row>
    <row r="1377" customFormat="false" ht="15" hidden="false" customHeight="false" outlineLevel="0" collapsed="false">
      <c r="A1377" s="0" t="s">
        <v>2041</v>
      </c>
      <c r="B1377" s="0" t="s">
        <v>2042</v>
      </c>
      <c r="C1377" s="0" t="s">
        <v>2321</v>
      </c>
      <c r="D1377" s="0" t="s">
        <v>2105</v>
      </c>
      <c r="E1377" s="0" t="s">
        <v>2045</v>
      </c>
      <c r="F1377" s="0" t="s">
        <v>2051</v>
      </c>
      <c r="G1377" s="0" t="s">
        <v>2110</v>
      </c>
      <c r="H1377" s="0" t="s">
        <v>2121</v>
      </c>
      <c r="I1377" s="0" t="s">
        <v>2322</v>
      </c>
      <c r="J1377" s="0" t="s">
        <v>2323</v>
      </c>
      <c r="K1377" s="272" t="n">
        <v>-4684.97833331523</v>
      </c>
    </row>
    <row r="1378" customFormat="false" ht="15" hidden="false" customHeight="false" outlineLevel="0" collapsed="false">
      <c r="A1378" s="0" t="s">
        <v>2041</v>
      </c>
      <c r="B1378" s="0" t="s">
        <v>2042</v>
      </c>
      <c r="C1378" s="0" t="s">
        <v>2321</v>
      </c>
      <c r="D1378" s="0" t="s">
        <v>2105</v>
      </c>
      <c r="E1378" s="0" t="s">
        <v>2045</v>
      </c>
      <c r="F1378" s="0" t="s">
        <v>2051</v>
      </c>
      <c r="G1378" s="0" t="s">
        <v>2110</v>
      </c>
      <c r="H1378" s="0" t="s">
        <v>2122</v>
      </c>
      <c r="I1378" s="0" t="s">
        <v>2322</v>
      </c>
      <c r="J1378" s="0" t="s">
        <v>2323</v>
      </c>
      <c r="K1378" s="272" t="n">
        <v>5682.40723658679</v>
      </c>
    </row>
    <row r="1379" customFormat="false" ht="15" hidden="false" customHeight="false" outlineLevel="0" collapsed="false">
      <c r="A1379" s="0" t="s">
        <v>2041</v>
      </c>
      <c r="B1379" s="0" t="s">
        <v>2042</v>
      </c>
      <c r="C1379" s="0" t="s">
        <v>2321</v>
      </c>
      <c r="D1379" s="0" t="s">
        <v>2105</v>
      </c>
      <c r="E1379" s="0" t="s">
        <v>2045</v>
      </c>
      <c r="F1379" s="0" t="s">
        <v>2051</v>
      </c>
      <c r="G1379" s="0" t="s">
        <v>2110</v>
      </c>
      <c r="H1379" s="0" t="s">
        <v>2112</v>
      </c>
      <c r="I1379" s="0" t="s">
        <v>2322</v>
      </c>
      <c r="J1379" s="0" t="s">
        <v>2323</v>
      </c>
      <c r="K1379" s="272" t="n">
        <v>2159974.79660911</v>
      </c>
    </row>
    <row r="1380" customFormat="false" ht="15" hidden="false" customHeight="false" outlineLevel="0" collapsed="false">
      <c r="A1380" s="0" t="s">
        <v>2041</v>
      </c>
      <c r="B1380" s="0" t="s">
        <v>2042</v>
      </c>
      <c r="C1380" s="0" t="s">
        <v>2321</v>
      </c>
      <c r="D1380" s="0" t="s">
        <v>2105</v>
      </c>
      <c r="E1380" s="0" t="s">
        <v>2045</v>
      </c>
      <c r="F1380" s="0" t="s">
        <v>2051</v>
      </c>
      <c r="G1380" s="0" t="s">
        <v>2110</v>
      </c>
      <c r="H1380" s="0" t="s">
        <v>2113</v>
      </c>
      <c r="I1380" s="0" t="s">
        <v>2322</v>
      </c>
      <c r="J1380" s="0" t="s">
        <v>2323</v>
      </c>
      <c r="K1380" s="272" t="n">
        <v>2727263.41487569</v>
      </c>
    </row>
    <row r="1381" customFormat="false" ht="15" hidden="false" customHeight="false" outlineLevel="0" collapsed="false">
      <c r="A1381" s="0" t="s">
        <v>2041</v>
      </c>
      <c r="B1381" s="0" t="s">
        <v>2042</v>
      </c>
      <c r="C1381" s="0" t="s">
        <v>2321</v>
      </c>
      <c r="D1381" s="0" t="s">
        <v>2105</v>
      </c>
      <c r="E1381" s="0" t="s">
        <v>2045</v>
      </c>
      <c r="F1381" s="0" t="s">
        <v>2051</v>
      </c>
      <c r="G1381" s="0" t="s">
        <v>2110</v>
      </c>
      <c r="H1381" s="0" t="s">
        <v>2107</v>
      </c>
      <c r="I1381" s="0" t="s">
        <v>2322</v>
      </c>
      <c r="J1381" s="0" t="s">
        <v>2323</v>
      </c>
      <c r="K1381" s="272" t="n">
        <v>2746854.59649019</v>
      </c>
    </row>
    <row r="1382" customFormat="false" ht="15" hidden="false" customHeight="false" outlineLevel="0" collapsed="false">
      <c r="A1382" s="0" t="s">
        <v>2041</v>
      </c>
      <c r="B1382" s="0" t="s">
        <v>2042</v>
      </c>
      <c r="C1382" s="0" t="s">
        <v>2321</v>
      </c>
      <c r="D1382" s="0" t="s">
        <v>2105</v>
      </c>
      <c r="E1382" s="0" t="s">
        <v>2045</v>
      </c>
      <c r="F1382" s="0" t="s">
        <v>2051</v>
      </c>
      <c r="G1382" s="0" t="s">
        <v>2114</v>
      </c>
      <c r="H1382" s="0" t="s">
        <v>2115</v>
      </c>
      <c r="I1382" s="0" t="s">
        <v>2322</v>
      </c>
      <c r="J1382" s="0" t="s">
        <v>2323</v>
      </c>
      <c r="K1382" s="272" t="n">
        <v>2135985.90479321</v>
      </c>
    </row>
    <row r="1383" customFormat="false" ht="15" hidden="false" customHeight="false" outlineLevel="0" collapsed="false">
      <c r="A1383" s="0" t="s">
        <v>2041</v>
      </c>
      <c r="B1383" s="0" t="s">
        <v>2042</v>
      </c>
      <c r="C1383" s="0" t="s">
        <v>2321</v>
      </c>
      <c r="D1383" s="0" t="s">
        <v>2105</v>
      </c>
      <c r="E1383" s="0" t="s">
        <v>2045</v>
      </c>
      <c r="F1383" s="0" t="s">
        <v>2051</v>
      </c>
      <c r="G1383" s="0" t="s">
        <v>2114</v>
      </c>
      <c r="H1383" s="0" t="s">
        <v>2116</v>
      </c>
      <c r="I1383" s="0" t="s">
        <v>2322</v>
      </c>
      <c r="J1383" s="0" t="s">
        <v>2323</v>
      </c>
      <c r="K1383" s="272" t="n">
        <v>96495.6642244911</v>
      </c>
    </row>
    <row r="1384" customFormat="false" ht="15" hidden="false" customHeight="false" outlineLevel="0" collapsed="false">
      <c r="A1384" s="0" t="s">
        <v>2041</v>
      </c>
      <c r="B1384" s="0" t="s">
        <v>2042</v>
      </c>
      <c r="C1384" s="0" t="s">
        <v>2321</v>
      </c>
      <c r="D1384" s="0" t="s">
        <v>2105</v>
      </c>
      <c r="E1384" s="0" t="s">
        <v>2045</v>
      </c>
      <c r="F1384" s="0" t="s">
        <v>2051</v>
      </c>
      <c r="G1384" s="0" t="s">
        <v>2114</v>
      </c>
      <c r="H1384" s="0" t="s">
        <v>2117</v>
      </c>
      <c r="I1384" s="0" t="s">
        <v>2322</v>
      </c>
      <c r="J1384" s="0" t="s">
        <v>2323</v>
      </c>
      <c r="K1384" s="272" t="n">
        <v>107773.662417822</v>
      </c>
    </row>
    <row r="1385" customFormat="false" ht="15" hidden="false" customHeight="false" outlineLevel="0" collapsed="false">
      <c r="A1385" s="0" t="s">
        <v>2041</v>
      </c>
      <c r="B1385" s="0" t="s">
        <v>2042</v>
      </c>
      <c r="C1385" s="0" t="s">
        <v>2321</v>
      </c>
      <c r="D1385" s="0" t="s">
        <v>2105</v>
      </c>
      <c r="E1385" s="0" t="s">
        <v>2045</v>
      </c>
      <c r="F1385" s="0" t="s">
        <v>2051</v>
      </c>
      <c r="G1385" s="0" t="s">
        <v>2114</v>
      </c>
      <c r="H1385" s="0" t="s">
        <v>2118</v>
      </c>
      <c r="I1385" s="0" t="s">
        <v>2322</v>
      </c>
      <c r="J1385" s="0" t="s">
        <v>2323</v>
      </c>
      <c r="K1385" s="272" t="n">
        <v>-83781.2244223967</v>
      </c>
    </row>
    <row r="1386" customFormat="false" ht="15" hidden="false" customHeight="false" outlineLevel="0" collapsed="false">
      <c r="A1386" s="0" t="s">
        <v>2041</v>
      </c>
      <c r="B1386" s="0" t="s">
        <v>2042</v>
      </c>
      <c r="C1386" s="0" t="s">
        <v>2321</v>
      </c>
      <c r="D1386" s="0" t="s">
        <v>2105</v>
      </c>
      <c r="E1386" s="0" t="s">
        <v>2045</v>
      </c>
      <c r="F1386" s="0" t="s">
        <v>2051</v>
      </c>
      <c r="G1386" s="0" t="s">
        <v>2114</v>
      </c>
      <c r="H1386" s="0" t="s">
        <v>2119</v>
      </c>
      <c r="I1386" s="0" t="s">
        <v>2322</v>
      </c>
      <c r="J1386" s="0" t="s">
        <v>2323</v>
      </c>
      <c r="K1386" s="272" t="n">
        <v>152834.853264651</v>
      </c>
    </row>
    <row r="1387" customFormat="false" ht="15" hidden="false" customHeight="false" outlineLevel="0" collapsed="false">
      <c r="A1387" s="0" t="s">
        <v>2041</v>
      </c>
      <c r="B1387" s="0" t="s">
        <v>2042</v>
      </c>
      <c r="C1387" s="0" t="s">
        <v>2321</v>
      </c>
      <c r="D1387" s="0" t="s">
        <v>2105</v>
      </c>
      <c r="E1387" s="0" t="s">
        <v>2045</v>
      </c>
      <c r="F1387" s="0" t="s">
        <v>2051</v>
      </c>
      <c r="G1387" s="0" t="s">
        <v>2114</v>
      </c>
      <c r="H1387" s="0" t="s">
        <v>2120</v>
      </c>
      <c r="I1387" s="0" t="s">
        <v>2322</v>
      </c>
      <c r="J1387" s="0" t="s">
        <v>2323</v>
      </c>
      <c r="K1387" s="272" t="n">
        <v>115597.941542112</v>
      </c>
    </row>
    <row r="1388" customFormat="false" ht="15" hidden="false" customHeight="false" outlineLevel="0" collapsed="false">
      <c r="A1388" s="0" t="s">
        <v>2041</v>
      </c>
      <c r="B1388" s="0" t="s">
        <v>2042</v>
      </c>
      <c r="C1388" s="0" t="s">
        <v>2321</v>
      </c>
      <c r="D1388" s="0" t="s">
        <v>2105</v>
      </c>
      <c r="E1388" s="0" t="s">
        <v>2045</v>
      </c>
      <c r="F1388" s="0" t="s">
        <v>2051</v>
      </c>
      <c r="G1388" s="0" t="s">
        <v>2114</v>
      </c>
      <c r="H1388" s="0" t="s">
        <v>2121</v>
      </c>
      <c r="I1388" s="0" t="s">
        <v>2322</v>
      </c>
      <c r="J1388" s="0" t="s">
        <v>2323</v>
      </c>
      <c r="K1388" s="272" t="n">
        <v>-212256.470923694</v>
      </c>
    </row>
    <row r="1389" customFormat="false" ht="15" hidden="false" customHeight="false" outlineLevel="0" collapsed="false">
      <c r="A1389" s="0" t="s">
        <v>2041</v>
      </c>
      <c r="B1389" s="0" t="s">
        <v>2042</v>
      </c>
      <c r="C1389" s="0" t="s">
        <v>2321</v>
      </c>
      <c r="D1389" s="0" t="s">
        <v>2105</v>
      </c>
      <c r="E1389" s="0" t="s">
        <v>2045</v>
      </c>
      <c r="F1389" s="0" t="s">
        <v>2051</v>
      </c>
      <c r="G1389" s="0" t="s">
        <v>2114</v>
      </c>
      <c r="H1389" s="0" t="s">
        <v>2122</v>
      </c>
      <c r="I1389" s="0" t="s">
        <v>2322</v>
      </c>
      <c r="J1389" s="0" t="s">
        <v>2323</v>
      </c>
      <c r="K1389" s="272" t="n">
        <v>275870.001706848</v>
      </c>
    </row>
    <row r="1390" customFormat="false" ht="15" hidden="false" customHeight="false" outlineLevel="0" collapsed="false">
      <c r="A1390" s="0" t="s">
        <v>2041</v>
      </c>
      <c r="B1390" s="0" t="s">
        <v>2042</v>
      </c>
      <c r="C1390" s="0" t="s">
        <v>2321</v>
      </c>
      <c r="D1390" s="0" t="s">
        <v>2105</v>
      </c>
      <c r="E1390" s="0" t="s">
        <v>2045</v>
      </c>
      <c r="F1390" s="0" t="s">
        <v>2051</v>
      </c>
      <c r="G1390" s="0" t="s">
        <v>2114</v>
      </c>
      <c r="H1390" s="0" t="s">
        <v>2112</v>
      </c>
      <c r="I1390" s="0" t="s">
        <v>2322</v>
      </c>
      <c r="J1390" s="0" t="s">
        <v>2323</v>
      </c>
      <c r="K1390" s="272" t="n">
        <v>63672.2479214559</v>
      </c>
    </row>
    <row r="1391" customFormat="false" ht="15" hidden="false" customHeight="false" outlineLevel="0" collapsed="false">
      <c r="A1391" s="0" t="s">
        <v>2041</v>
      </c>
      <c r="B1391" s="0" t="s">
        <v>2042</v>
      </c>
      <c r="C1391" s="0" t="s">
        <v>2321</v>
      </c>
      <c r="D1391" s="0" t="s">
        <v>2105</v>
      </c>
      <c r="E1391" s="0" t="s">
        <v>2045</v>
      </c>
      <c r="F1391" s="0" t="s">
        <v>2051</v>
      </c>
      <c r="G1391" s="0" t="s">
        <v>2114</v>
      </c>
      <c r="H1391" s="0" t="s">
        <v>2113</v>
      </c>
      <c r="I1391" s="0" t="s">
        <v>2322</v>
      </c>
      <c r="J1391" s="0" t="s">
        <v>2323</v>
      </c>
      <c r="K1391" s="272" t="n">
        <v>50329.7068481739</v>
      </c>
    </row>
    <row r="1392" customFormat="false" ht="15" hidden="false" customHeight="false" outlineLevel="0" collapsed="false">
      <c r="A1392" s="0" t="s">
        <v>2041</v>
      </c>
      <c r="B1392" s="0" t="s">
        <v>2042</v>
      </c>
      <c r="C1392" s="0" t="s">
        <v>2321</v>
      </c>
      <c r="D1392" s="0" t="s">
        <v>2105</v>
      </c>
      <c r="E1392" s="0" t="s">
        <v>2045</v>
      </c>
      <c r="F1392" s="0" t="s">
        <v>2051</v>
      </c>
      <c r="G1392" s="0" t="s">
        <v>2114</v>
      </c>
      <c r="H1392" s="0" t="s">
        <v>2107</v>
      </c>
      <c r="I1392" s="0" t="s">
        <v>2322</v>
      </c>
      <c r="J1392" s="0" t="s">
        <v>2323</v>
      </c>
      <c r="K1392" s="272" t="n">
        <v>2326975.21479658</v>
      </c>
    </row>
    <row r="1393" customFormat="false" ht="15" hidden="false" customHeight="false" outlineLevel="0" collapsed="false">
      <c r="A1393" s="0" t="s">
        <v>2041</v>
      </c>
      <c r="B1393" s="0" t="s">
        <v>2042</v>
      </c>
      <c r="C1393" s="0" t="s">
        <v>2321</v>
      </c>
      <c r="D1393" s="0" t="s">
        <v>2105</v>
      </c>
      <c r="E1393" s="0" t="s">
        <v>2045</v>
      </c>
      <c r="F1393" s="0" t="s">
        <v>2051</v>
      </c>
      <c r="G1393" s="0" t="s">
        <v>2123</v>
      </c>
      <c r="H1393" s="0" t="s">
        <v>2115</v>
      </c>
      <c r="I1393" s="0" t="s">
        <v>2322</v>
      </c>
      <c r="J1393" s="0" t="s">
        <v>2323</v>
      </c>
      <c r="K1393" s="272" t="n">
        <v>222289.376213863</v>
      </c>
    </row>
    <row r="1394" customFormat="false" ht="15" hidden="false" customHeight="false" outlineLevel="0" collapsed="false">
      <c r="A1394" s="0" t="s">
        <v>2041</v>
      </c>
      <c r="B1394" s="0" t="s">
        <v>2042</v>
      </c>
      <c r="C1394" s="0" t="s">
        <v>2321</v>
      </c>
      <c r="D1394" s="0" t="s">
        <v>2105</v>
      </c>
      <c r="E1394" s="0" t="s">
        <v>2045</v>
      </c>
      <c r="F1394" s="0" t="s">
        <v>2051</v>
      </c>
      <c r="G1394" s="0" t="s">
        <v>2123</v>
      </c>
      <c r="H1394" s="0" t="s">
        <v>2116</v>
      </c>
      <c r="I1394" s="0" t="s">
        <v>2322</v>
      </c>
      <c r="J1394" s="0" t="s">
        <v>2323</v>
      </c>
      <c r="K1394" s="272" t="n">
        <v>247045.651193017</v>
      </c>
    </row>
    <row r="1395" customFormat="false" ht="15" hidden="false" customHeight="false" outlineLevel="0" collapsed="false">
      <c r="A1395" s="0" t="s">
        <v>2041</v>
      </c>
      <c r="B1395" s="0" t="s">
        <v>2042</v>
      </c>
      <c r="C1395" s="0" t="s">
        <v>2321</v>
      </c>
      <c r="D1395" s="0" t="s">
        <v>2105</v>
      </c>
      <c r="E1395" s="0" t="s">
        <v>2045</v>
      </c>
      <c r="F1395" s="0" t="s">
        <v>2051</v>
      </c>
      <c r="G1395" s="0" t="s">
        <v>2123</v>
      </c>
      <c r="H1395" s="0" t="s">
        <v>2111</v>
      </c>
      <c r="I1395" s="0" t="s">
        <v>2322</v>
      </c>
      <c r="J1395" s="0" t="s">
        <v>2323</v>
      </c>
      <c r="K1395" s="272" t="n">
        <v>175105.745601283</v>
      </c>
    </row>
    <row r="1396" customFormat="false" ht="15" hidden="false" customHeight="false" outlineLevel="0" collapsed="false">
      <c r="A1396" s="0" t="s">
        <v>2041</v>
      </c>
      <c r="B1396" s="0" t="s">
        <v>2042</v>
      </c>
      <c r="C1396" s="0" t="s">
        <v>2321</v>
      </c>
      <c r="D1396" s="0" t="s">
        <v>2105</v>
      </c>
      <c r="E1396" s="0" t="s">
        <v>2045</v>
      </c>
      <c r="F1396" s="0" t="s">
        <v>2051</v>
      </c>
      <c r="G1396" s="0" t="s">
        <v>2123</v>
      </c>
      <c r="H1396" s="0" t="s">
        <v>2117</v>
      </c>
      <c r="I1396" s="0" t="s">
        <v>2322</v>
      </c>
      <c r="J1396" s="0" t="s">
        <v>2323</v>
      </c>
      <c r="K1396" s="272" t="n">
        <v>-53947.1330633891</v>
      </c>
    </row>
    <row r="1397" customFormat="false" ht="15" hidden="false" customHeight="false" outlineLevel="0" collapsed="false">
      <c r="A1397" s="0" t="s">
        <v>2041</v>
      </c>
      <c r="B1397" s="0" t="s">
        <v>2042</v>
      </c>
      <c r="C1397" s="0" t="s">
        <v>2321</v>
      </c>
      <c r="D1397" s="0" t="s">
        <v>2105</v>
      </c>
      <c r="E1397" s="0" t="s">
        <v>2045</v>
      </c>
      <c r="F1397" s="0" t="s">
        <v>2051</v>
      </c>
      <c r="G1397" s="0" t="s">
        <v>2123</v>
      </c>
      <c r="H1397" s="0" t="s">
        <v>2119</v>
      </c>
      <c r="I1397" s="0" t="s">
        <v>2322</v>
      </c>
      <c r="J1397" s="0" t="s">
        <v>2323</v>
      </c>
      <c r="K1397" s="272" t="n">
        <v>27098.2616342191</v>
      </c>
    </row>
    <row r="1398" customFormat="false" ht="15" hidden="false" customHeight="false" outlineLevel="0" collapsed="false">
      <c r="A1398" s="0" t="s">
        <v>2041</v>
      </c>
      <c r="B1398" s="0" t="s">
        <v>2042</v>
      </c>
      <c r="C1398" s="0" t="s">
        <v>2321</v>
      </c>
      <c r="D1398" s="0" t="s">
        <v>2105</v>
      </c>
      <c r="E1398" s="0" t="s">
        <v>2045</v>
      </c>
      <c r="F1398" s="0" t="s">
        <v>2051</v>
      </c>
      <c r="G1398" s="0" t="s">
        <v>2123</v>
      </c>
      <c r="H1398" s="0" t="s">
        <v>2120</v>
      </c>
      <c r="I1398" s="0" t="s">
        <v>2322</v>
      </c>
      <c r="J1398" s="0" t="s">
        <v>2323</v>
      </c>
      <c r="K1398" s="272" t="n">
        <v>43350.2815534067</v>
      </c>
    </row>
    <row r="1399" customFormat="false" ht="15" hidden="false" customHeight="false" outlineLevel="0" collapsed="false">
      <c r="A1399" s="0" t="s">
        <v>2041</v>
      </c>
      <c r="B1399" s="0" t="s">
        <v>2042</v>
      </c>
      <c r="C1399" s="0" t="s">
        <v>2321</v>
      </c>
      <c r="D1399" s="0" t="s">
        <v>2105</v>
      </c>
      <c r="E1399" s="0" t="s">
        <v>2045</v>
      </c>
      <c r="F1399" s="0" t="s">
        <v>2051</v>
      </c>
      <c r="G1399" s="0" t="s">
        <v>2123</v>
      </c>
      <c r="H1399" s="0" t="s">
        <v>2121</v>
      </c>
      <c r="I1399" s="0" t="s">
        <v>2322</v>
      </c>
      <c r="J1399" s="0" t="s">
        <v>2323</v>
      </c>
      <c r="K1399" s="272" t="n">
        <v>-5953.78175897297</v>
      </c>
    </row>
    <row r="1400" customFormat="false" ht="15" hidden="false" customHeight="false" outlineLevel="0" collapsed="false">
      <c r="A1400" s="0" t="s">
        <v>2041</v>
      </c>
      <c r="B1400" s="0" t="s">
        <v>2042</v>
      </c>
      <c r="C1400" s="0" t="s">
        <v>2321</v>
      </c>
      <c r="D1400" s="0" t="s">
        <v>2105</v>
      </c>
      <c r="E1400" s="0" t="s">
        <v>2045</v>
      </c>
      <c r="F1400" s="0" t="s">
        <v>2051</v>
      </c>
      <c r="G1400" s="0" t="s">
        <v>2123</v>
      </c>
      <c r="H1400" s="0" t="s">
        <v>2121</v>
      </c>
      <c r="I1400" s="0" t="s">
        <v>2124</v>
      </c>
      <c r="J1400" s="0" t="s">
        <v>2323</v>
      </c>
      <c r="K1400" s="272" t="n">
        <v>31508.4227796953</v>
      </c>
    </row>
    <row r="1401" customFormat="false" ht="15" hidden="false" customHeight="false" outlineLevel="0" collapsed="false">
      <c r="A1401" s="0" t="s">
        <v>2041</v>
      </c>
      <c r="B1401" s="0" t="s">
        <v>2042</v>
      </c>
      <c r="C1401" s="0" t="s">
        <v>2321</v>
      </c>
      <c r="D1401" s="0" t="s">
        <v>2105</v>
      </c>
      <c r="E1401" s="0" t="s">
        <v>2045</v>
      </c>
      <c r="F1401" s="0" t="s">
        <v>2051</v>
      </c>
      <c r="G1401" s="0" t="s">
        <v>2123</v>
      </c>
      <c r="H1401" s="0" t="s">
        <v>2122</v>
      </c>
      <c r="I1401" s="0" t="s">
        <v>2322</v>
      </c>
      <c r="J1401" s="0" t="s">
        <v>2323</v>
      </c>
      <c r="K1401" s="272" t="n">
        <v>38185.5167014962</v>
      </c>
    </row>
    <row r="1402" customFormat="false" ht="15" hidden="false" customHeight="false" outlineLevel="0" collapsed="false">
      <c r="A1402" s="0" t="s">
        <v>2041</v>
      </c>
      <c r="B1402" s="0" t="s">
        <v>2042</v>
      </c>
      <c r="C1402" s="0" t="s">
        <v>2321</v>
      </c>
      <c r="D1402" s="0" t="s">
        <v>2105</v>
      </c>
      <c r="E1402" s="0" t="s">
        <v>2045</v>
      </c>
      <c r="F1402" s="0" t="s">
        <v>2051</v>
      </c>
      <c r="G1402" s="0" t="s">
        <v>2123</v>
      </c>
      <c r="H1402" s="0" t="s">
        <v>2122</v>
      </c>
      <c r="I1402" s="0" t="s">
        <v>2124</v>
      </c>
      <c r="J1402" s="0" t="s">
        <v>2323</v>
      </c>
      <c r="K1402" s="272" t="n">
        <v>52514.0379661588</v>
      </c>
    </row>
    <row r="1403" customFormat="false" ht="15" hidden="false" customHeight="false" outlineLevel="0" collapsed="false">
      <c r="A1403" s="0" t="s">
        <v>2041</v>
      </c>
      <c r="B1403" s="0" t="s">
        <v>2042</v>
      </c>
      <c r="C1403" s="0" t="s">
        <v>2321</v>
      </c>
      <c r="D1403" s="0" t="s">
        <v>2105</v>
      </c>
      <c r="E1403" s="0" t="s">
        <v>2045</v>
      </c>
      <c r="F1403" s="0" t="s">
        <v>2051</v>
      </c>
      <c r="G1403" s="0" t="s">
        <v>2123</v>
      </c>
      <c r="H1403" s="0" t="s">
        <v>2112</v>
      </c>
      <c r="I1403" s="0" t="s">
        <v>2322</v>
      </c>
      <c r="J1403" s="0" t="s">
        <v>2323</v>
      </c>
      <c r="K1403" s="272" t="n">
        <v>217000.41515454</v>
      </c>
    </row>
    <row r="1404" customFormat="false" ht="15" hidden="false" customHeight="false" outlineLevel="0" collapsed="false">
      <c r="A1404" s="0" t="s">
        <v>2041</v>
      </c>
      <c r="B1404" s="0" t="s">
        <v>2042</v>
      </c>
      <c r="C1404" s="0" t="s">
        <v>2321</v>
      </c>
      <c r="D1404" s="0" t="s">
        <v>2105</v>
      </c>
      <c r="E1404" s="0" t="s">
        <v>2045</v>
      </c>
      <c r="F1404" s="0" t="s">
        <v>2051</v>
      </c>
      <c r="G1404" s="0" t="s">
        <v>2123</v>
      </c>
      <c r="H1404" s="0" t="s">
        <v>2112</v>
      </c>
      <c r="I1404" s="0" t="s">
        <v>2124</v>
      </c>
      <c r="J1404" s="0" t="s">
        <v>2323</v>
      </c>
      <c r="K1404" s="272" t="n">
        <v>21005.6151864635</v>
      </c>
    </row>
    <row r="1405" customFormat="false" ht="15" hidden="false" customHeight="false" outlineLevel="0" collapsed="false">
      <c r="A1405" s="0" t="s">
        <v>2041</v>
      </c>
      <c r="B1405" s="0" t="s">
        <v>2042</v>
      </c>
      <c r="C1405" s="0" t="s">
        <v>2321</v>
      </c>
      <c r="D1405" s="0" t="s">
        <v>2105</v>
      </c>
      <c r="E1405" s="0" t="s">
        <v>2045</v>
      </c>
      <c r="F1405" s="0" t="s">
        <v>2051</v>
      </c>
      <c r="G1405" s="0" t="s">
        <v>2123</v>
      </c>
      <c r="H1405" s="0" t="s">
        <v>2113</v>
      </c>
      <c r="I1405" s="0" t="s">
        <v>2322</v>
      </c>
      <c r="J1405" s="0" t="s">
        <v>2323</v>
      </c>
      <c r="K1405" s="272" t="n">
        <v>122272.039220322</v>
      </c>
    </row>
    <row r="1406" customFormat="false" ht="15" hidden="false" customHeight="false" outlineLevel="0" collapsed="false">
      <c r="A1406" s="0" t="s">
        <v>2041</v>
      </c>
      <c r="B1406" s="0" t="s">
        <v>2042</v>
      </c>
      <c r="C1406" s="0" t="s">
        <v>2321</v>
      </c>
      <c r="D1406" s="0" t="s">
        <v>2105</v>
      </c>
      <c r="E1406" s="0" t="s">
        <v>2045</v>
      </c>
      <c r="F1406" s="0" t="s">
        <v>2051</v>
      </c>
      <c r="G1406" s="0" t="s">
        <v>2123</v>
      </c>
      <c r="H1406" s="0" t="s">
        <v>2107</v>
      </c>
      <c r="I1406" s="0" t="s">
        <v>2322</v>
      </c>
      <c r="J1406" s="0" t="s">
        <v>2323</v>
      </c>
      <c r="K1406" s="272" t="n">
        <v>425174.500107833</v>
      </c>
    </row>
    <row r="1407" customFormat="false" ht="15" hidden="false" customHeight="false" outlineLevel="0" collapsed="false">
      <c r="A1407" s="0" t="s">
        <v>2041</v>
      </c>
      <c r="B1407" s="0" t="s">
        <v>2042</v>
      </c>
      <c r="C1407" s="0" t="s">
        <v>2321</v>
      </c>
      <c r="D1407" s="0" t="s">
        <v>2105</v>
      </c>
      <c r="E1407" s="0" t="s">
        <v>2045</v>
      </c>
      <c r="F1407" s="0" t="s">
        <v>2046</v>
      </c>
      <c r="G1407" s="0" t="s">
        <v>2125</v>
      </c>
      <c r="H1407" s="0" t="s">
        <v>2126</v>
      </c>
      <c r="I1407" s="0" t="s">
        <v>2322</v>
      </c>
      <c r="J1407" s="0" t="s">
        <v>2323</v>
      </c>
      <c r="K1407" s="272" t="n">
        <v>165842.268493421</v>
      </c>
    </row>
    <row r="1408" customFormat="false" ht="15" hidden="false" customHeight="false" outlineLevel="0" collapsed="false">
      <c r="A1408" s="0" t="s">
        <v>2041</v>
      </c>
      <c r="B1408" s="0" t="s">
        <v>2042</v>
      </c>
      <c r="C1408" s="0" t="s">
        <v>2321</v>
      </c>
      <c r="D1408" s="0" t="s">
        <v>2105</v>
      </c>
      <c r="E1408" s="0" t="s">
        <v>2045</v>
      </c>
      <c r="F1408" s="0" t="s">
        <v>2046</v>
      </c>
      <c r="G1408" s="0" t="s">
        <v>2125</v>
      </c>
      <c r="H1408" s="0" t="s">
        <v>2126</v>
      </c>
      <c r="I1408" s="0" t="s">
        <v>2124</v>
      </c>
      <c r="J1408" s="0" t="s">
        <v>2323</v>
      </c>
      <c r="K1408" s="272" t="n">
        <v>1517664.66124978</v>
      </c>
    </row>
    <row r="1409" customFormat="false" ht="15" hidden="false" customHeight="false" outlineLevel="0" collapsed="false">
      <c r="A1409" s="0" t="s">
        <v>2041</v>
      </c>
      <c r="B1409" s="0" t="s">
        <v>2042</v>
      </c>
      <c r="C1409" s="0" t="s">
        <v>2321</v>
      </c>
      <c r="D1409" s="0" t="s">
        <v>2105</v>
      </c>
      <c r="E1409" s="0" t="s">
        <v>2045</v>
      </c>
      <c r="F1409" s="0" t="s">
        <v>2046</v>
      </c>
      <c r="G1409" s="0" t="s">
        <v>2127</v>
      </c>
      <c r="H1409" s="0" t="s">
        <v>2128</v>
      </c>
      <c r="I1409" s="0" t="s">
        <v>2322</v>
      </c>
      <c r="J1409" s="0" t="s">
        <v>2323</v>
      </c>
      <c r="K1409" s="272" t="n">
        <v>310177.882083554</v>
      </c>
    </row>
    <row r="1410" customFormat="false" ht="15" hidden="false" customHeight="false" outlineLevel="0" collapsed="false">
      <c r="A1410" s="0" t="s">
        <v>2041</v>
      </c>
      <c r="B1410" s="0" t="s">
        <v>2042</v>
      </c>
      <c r="C1410" s="0" t="s">
        <v>2321</v>
      </c>
      <c r="D1410" s="0" t="s">
        <v>2105</v>
      </c>
      <c r="E1410" s="0" t="s">
        <v>2045</v>
      </c>
      <c r="F1410" s="0" t="s">
        <v>2046</v>
      </c>
      <c r="G1410" s="0" t="s">
        <v>2127</v>
      </c>
      <c r="H1410" s="0" t="s">
        <v>2128</v>
      </c>
      <c r="I1410" s="0" t="s">
        <v>2124</v>
      </c>
      <c r="J1410" s="0" t="s">
        <v>2323</v>
      </c>
      <c r="K1410" s="272" t="n">
        <v>766457.999462005</v>
      </c>
    </row>
    <row r="1411" customFormat="false" ht="15" hidden="false" customHeight="false" outlineLevel="0" collapsed="false">
      <c r="A1411" s="0" t="s">
        <v>2041</v>
      </c>
      <c r="B1411" s="0" t="s">
        <v>2042</v>
      </c>
      <c r="C1411" s="0" t="s">
        <v>2321</v>
      </c>
      <c r="D1411" s="0" t="s">
        <v>2105</v>
      </c>
      <c r="E1411" s="0" t="s">
        <v>2045</v>
      </c>
      <c r="F1411" s="0" t="s">
        <v>2046</v>
      </c>
      <c r="G1411" s="0" t="s">
        <v>2127</v>
      </c>
      <c r="H1411" s="0" t="s">
        <v>2132</v>
      </c>
      <c r="I1411" s="0" t="s">
        <v>2322</v>
      </c>
      <c r="J1411" s="0" t="s">
        <v>2323</v>
      </c>
      <c r="K1411" s="272" t="n">
        <v>14273.6816649674</v>
      </c>
    </row>
    <row r="1412" customFormat="false" ht="15" hidden="false" customHeight="false" outlineLevel="0" collapsed="false">
      <c r="A1412" s="0" t="s">
        <v>2041</v>
      </c>
      <c r="B1412" s="0" t="s">
        <v>2042</v>
      </c>
      <c r="C1412" s="0" t="s">
        <v>2321</v>
      </c>
      <c r="D1412" s="0" t="s">
        <v>2105</v>
      </c>
      <c r="E1412" s="0" t="s">
        <v>2045</v>
      </c>
      <c r="F1412" s="0" t="s">
        <v>2046</v>
      </c>
      <c r="G1412" s="0" t="s">
        <v>2129</v>
      </c>
      <c r="H1412" s="0" t="s">
        <v>2130</v>
      </c>
      <c r="I1412" s="0" t="s">
        <v>2322</v>
      </c>
      <c r="J1412" s="0" t="s">
        <v>2323</v>
      </c>
      <c r="K1412" s="272" t="n">
        <v>3636056.00022514</v>
      </c>
    </row>
    <row r="1413" customFormat="false" ht="15" hidden="false" customHeight="false" outlineLevel="0" collapsed="false">
      <c r="A1413" s="0" t="s">
        <v>2041</v>
      </c>
      <c r="B1413" s="0" t="s">
        <v>2042</v>
      </c>
      <c r="C1413" s="0" t="s">
        <v>2321</v>
      </c>
      <c r="D1413" s="0" t="s">
        <v>2105</v>
      </c>
      <c r="E1413" s="0" t="s">
        <v>2045</v>
      </c>
      <c r="F1413" s="0" t="s">
        <v>2046</v>
      </c>
      <c r="G1413" s="0" t="s">
        <v>2129</v>
      </c>
      <c r="H1413" s="0" t="s">
        <v>2130</v>
      </c>
      <c r="I1413" s="0" t="s">
        <v>2124</v>
      </c>
      <c r="J1413" s="0" t="s">
        <v>2323</v>
      </c>
      <c r="K1413" s="272" t="n">
        <v>-92815.9015179959</v>
      </c>
    </row>
    <row r="1414" customFormat="false" ht="15" hidden="false" customHeight="false" outlineLevel="0" collapsed="false">
      <c r="A1414" s="0" t="s">
        <v>2041</v>
      </c>
      <c r="B1414" s="0" t="s">
        <v>2042</v>
      </c>
      <c r="C1414" s="0" t="s">
        <v>2321</v>
      </c>
      <c r="D1414" s="0" t="s">
        <v>2105</v>
      </c>
      <c r="E1414" s="0" t="s">
        <v>2045</v>
      </c>
      <c r="F1414" s="0" t="s">
        <v>2046</v>
      </c>
      <c r="G1414" s="0" t="s">
        <v>2131</v>
      </c>
      <c r="H1414" s="0" t="s">
        <v>2132</v>
      </c>
      <c r="I1414" s="0" t="s">
        <v>2322</v>
      </c>
      <c r="J1414" s="0" t="s">
        <v>2323</v>
      </c>
      <c r="K1414" s="272" t="n">
        <v>1545861.69359746</v>
      </c>
    </row>
    <row r="1415" customFormat="false" ht="15" hidden="false" customHeight="false" outlineLevel="0" collapsed="false">
      <c r="A1415" s="0" t="s">
        <v>2041</v>
      </c>
      <c r="B1415" s="0" t="s">
        <v>2042</v>
      </c>
      <c r="C1415" s="0" t="s">
        <v>2321</v>
      </c>
      <c r="D1415" s="0" t="s">
        <v>2105</v>
      </c>
      <c r="E1415" s="0" t="s">
        <v>2045</v>
      </c>
      <c r="F1415" s="0" t="s">
        <v>2046</v>
      </c>
      <c r="G1415" s="0" t="s">
        <v>2131</v>
      </c>
      <c r="H1415" s="0" t="s">
        <v>2132</v>
      </c>
      <c r="I1415" s="0" t="s">
        <v>2124</v>
      </c>
      <c r="J1415" s="0" t="s">
        <v>2323</v>
      </c>
      <c r="K1415" s="272" t="n">
        <v>70513.0805629141</v>
      </c>
    </row>
    <row r="1416" customFormat="false" ht="15" hidden="false" customHeight="false" outlineLevel="0" collapsed="false">
      <c r="A1416" s="0" t="s">
        <v>2041</v>
      </c>
      <c r="B1416" s="0" t="s">
        <v>2042</v>
      </c>
      <c r="C1416" s="0" t="s">
        <v>2321</v>
      </c>
      <c r="D1416" s="0" t="s">
        <v>2105</v>
      </c>
      <c r="E1416" s="0" t="s">
        <v>2045</v>
      </c>
      <c r="F1416" s="0" t="s">
        <v>2046</v>
      </c>
      <c r="G1416" s="0" t="s">
        <v>2131</v>
      </c>
      <c r="H1416" s="0" t="s">
        <v>2126</v>
      </c>
      <c r="I1416" s="0" t="s">
        <v>2322</v>
      </c>
      <c r="J1416" s="0" t="s">
        <v>2323</v>
      </c>
      <c r="K1416" s="272" t="n">
        <v>152331.235901684</v>
      </c>
    </row>
    <row r="1417" customFormat="false" ht="15" hidden="false" customHeight="false" outlineLevel="0" collapsed="false">
      <c r="A1417" s="0" t="s">
        <v>2041</v>
      </c>
      <c r="B1417" s="0" t="s">
        <v>2042</v>
      </c>
      <c r="C1417" s="0" t="s">
        <v>2321</v>
      </c>
      <c r="D1417" s="0" t="s">
        <v>2105</v>
      </c>
      <c r="E1417" s="0" t="s">
        <v>2045</v>
      </c>
      <c r="F1417" s="0" t="s">
        <v>2046</v>
      </c>
      <c r="G1417" s="0" t="s">
        <v>2133</v>
      </c>
      <c r="H1417" s="0" t="s">
        <v>2134</v>
      </c>
      <c r="I1417" s="0" t="s">
        <v>2322</v>
      </c>
      <c r="J1417" s="0" t="s">
        <v>2323</v>
      </c>
      <c r="K1417" s="272" t="n">
        <v>2317179.48307297</v>
      </c>
    </row>
    <row r="1418" customFormat="false" ht="15" hidden="false" customHeight="false" outlineLevel="0" collapsed="false">
      <c r="A1418" s="0" t="s">
        <v>2041</v>
      </c>
      <c r="B1418" s="0" t="s">
        <v>2042</v>
      </c>
      <c r="C1418" s="0" t="s">
        <v>2321</v>
      </c>
      <c r="D1418" s="0" t="s">
        <v>2105</v>
      </c>
      <c r="E1418" s="0" t="s">
        <v>2045</v>
      </c>
      <c r="F1418" s="0" t="s">
        <v>2046</v>
      </c>
      <c r="G1418" s="0" t="s">
        <v>2135</v>
      </c>
      <c r="H1418" s="0" t="s">
        <v>2136</v>
      </c>
      <c r="I1418" s="0" t="s">
        <v>2322</v>
      </c>
      <c r="J1418" s="0" t="s">
        <v>2323</v>
      </c>
      <c r="K1418" s="272" t="n">
        <v>516620.742949819</v>
      </c>
    </row>
    <row r="1419" customFormat="false" ht="15" hidden="false" customHeight="false" outlineLevel="0" collapsed="false">
      <c r="A1419" s="0" t="s">
        <v>2041</v>
      </c>
      <c r="B1419" s="0" t="s">
        <v>2042</v>
      </c>
      <c r="C1419" s="0" t="s">
        <v>2321</v>
      </c>
      <c r="D1419" s="0" t="s">
        <v>2105</v>
      </c>
      <c r="E1419" s="0" t="s">
        <v>2045</v>
      </c>
      <c r="F1419" s="0" t="s">
        <v>2046</v>
      </c>
      <c r="G1419" s="0" t="s">
        <v>2135</v>
      </c>
      <c r="H1419" s="0" t="s">
        <v>2136</v>
      </c>
      <c r="I1419" s="0" t="s">
        <v>2124</v>
      </c>
      <c r="J1419" s="0" t="s">
        <v>2323</v>
      </c>
      <c r="K1419" s="272" t="n">
        <v>63151.0078142801</v>
      </c>
    </row>
    <row r="1420" customFormat="false" ht="15" hidden="false" customHeight="false" outlineLevel="0" collapsed="false">
      <c r="A1420" s="0" t="s">
        <v>2041</v>
      </c>
      <c r="B1420" s="0" t="s">
        <v>2042</v>
      </c>
      <c r="C1420" s="0" t="s">
        <v>2321</v>
      </c>
      <c r="D1420" s="0" t="s">
        <v>2105</v>
      </c>
      <c r="E1420" s="0" t="s">
        <v>2045</v>
      </c>
      <c r="F1420" s="0" t="s">
        <v>2046</v>
      </c>
      <c r="G1420" s="0" t="s">
        <v>2137</v>
      </c>
      <c r="H1420" s="0" t="s">
        <v>2138</v>
      </c>
      <c r="I1420" s="0" t="s">
        <v>2322</v>
      </c>
      <c r="J1420" s="0" t="s">
        <v>2323</v>
      </c>
      <c r="K1420" s="272" t="n">
        <v>7772454.15997709</v>
      </c>
    </row>
    <row r="1421" customFormat="false" ht="15" hidden="false" customHeight="false" outlineLevel="0" collapsed="false">
      <c r="A1421" s="0" t="s">
        <v>2041</v>
      </c>
      <c r="B1421" s="0" t="s">
        <v>2042</v>
      </c>
      <c r="C1421" s="0" t="s">
        <v>2321</v>
      </c>
      <c r="D1421" s="0" t="s">
        <v>2105</v>
      </c>
      <c r="E1421" s="0" t="s">
        <v>2045</v>
      </c>
      <c r="F1421" s="0" t="s">
        <v>2046</v>
      </c>
      <c r="G1421" s="0" t="s">
        <v>2139</v>
      </c>
      <c r="H1421" s="0" t="s">
        <v>2136</v>
      </c>
      <c r="I1421" s="0" t="s">
        <v>2322</v>
      </c>
      <c r="J1421" s="0" t="s">
        <v>2323</v>
      </c>
      <c r="K1421" s="272" t="n">
        <v>13521.988861036</v>
      </c>
    </row>
    <row r="1422" customFormat="false" ht="15" hidden="false" customHeight="false" outlineLevel="0" collapsed="false">
      <c r="A1422" s="0" t="s">
        <v>2041</v>
      </c>
      <c r="B1422" s="0" t="s">
        <v>2042</v>
      </c>
      <c r="C1422" s="0" t="s">
        <v>2321</v>
      </c>
      <c r="D1422" s="0" t="s">
        <v>2105</v>
      </c>
      <c r="E1422" s="0" t="s">
        <v>2045</v>
      </c>
      <c r="F1422" s="0" t="s">
        <v>2046</v>
      </c>
      <c r="G1422" s="0" t="s">
        <v>2139</v>
      </c>
      <c r="H1422" s="0" t="s">
        <v>2140</v>
      </c>
      <c r="I1422" s="0" t="s">
        <v>2322</v>
      </c>
      <c r="J1422" s="0" t="s">
        <v>2323</v>
      </c>
      <c r="K1422" s="272" t="n">
        <v>1052761.53596014</v>
      </c>
    </row>
    <row r="1423" customFormat="false" ht="15" hidden="false" customHeight="false" outlineLevel="0" collapsed="false">
      <c r="A1423" s="0" t="s">
        <v>2041</v>
      </c>
      <c r="B1423" s="0" t="s">
        <v>2042</v>
      </c>
      <c r="C1423" s="0" t="s">
        <v>2321</v>
      </c>
      <c r="D1423" s="0" t="s">
        <v>2105</v>
      </c>
      <c r="E1423" s="0" t="s">
        <v>2045</v>
      </c>
      <c r="F1423" s="0" t="s">
        <v>2046</v>
      </c>
      <c r="G1423" s="0" t="s">
        <v>2141</v>
      </c>
      <c r="H1423" s="0" t="s">
        <v>2144</v>
      </c>
      <c r="I1423" s="0" t="s">
        <v>2322</v>
      </c>
      <c r="J1423" s="0" t="s">
        <v>2323</v>
      </c>
      <c r="K1423" s="272" t="n">
        <v>175748.026747607</v>
      </c>
    </row>
    <row r="1424" customFormat="false" ht="15" hidden="false" customHeight="false" outlineLevel="0" collapsed="false">
      <c r="A1424" s="0" t="s">
        <v>2041</v>
      </c>
      <c r="B1424" s="0" t="s">
        <v>2042</v>
      </c>
      <c r="C1424" s="0" t="s">
        <v>2321</v>
      </c>
      <c r="D1424" s="0" t="s">
        <v>2105</v>
      </c>
      <c r="E1424" s="0" t="s">
        <v>2045</v>
      </c>
      <c r="F1424" s="0" t="s">
        <v>2046</v>
      </c>
      <c r="G1424" s="0" t="s">
        <v>2141</v>
      </c>
      <c r="H1424" s="0" t="s">
        <v>2142</v>
      </c>
      <c r="I1424" s="0" t="s">
        <v>2322</v>
      </c>
      <c r="J1424" s="0" t="s">
        <v>2323</v>
      </c>
      <c r="K1424" s="272" t="n">
        <v>733490.279508194</v>
      </c>
    </row>
    <row r="1425" customFormat="false" ht="15" hidden="false" customHeight="false" outlineLevel="0" collapsed="false">
      <c r="A1425" s="0" t="s">
        <v>2041</v>
      </c>
      <c r="B1425" s="0" t="s">
        <v>2042</v>
      </c>
      <c r="C1425" s="0" t="s">
        <v>2321</v>
      </c>
      <c r="D1425" s="0" t="s">
        <v>2105</v>
      </c>
      <c r="E1425" s="0" t="s">
        <v>2045</v>
      </c>
      <c r="F1425" s="0" t="s">
        <v>2046</v>
      </c>
      <c r="G1425" s="0" t="s">
        <v>2143</v>
      </c>
      <c r="H1425" s="0" t="s">
        <v>2144</v>
      </c>
      <c r="I1425" s="0" t="s">
        <v>2322</v>
      </c>
      <c r="J1425" s="0" t="s">
        <v>2323</v>
      </c>
      <c r="K1425" s="272" t="n">
        <v>1725064.62036543</v>
      </c>
    </row>
    <row r="1426" customFormat="false" ht="15" hidden="false" customHeight="false" outlineLevel="0" collapsed="false">
      <c r="A1426" s="0" t="s">
        <v>2041</v>
      </c>
      <c r="B1426" s="0" t="s">
        <v>2042</v>
      </c>
      <c r="C1426" s="0" t="s">
        <v>2321</v>
      </c>
      <c r="D1426" s="0" t="s">
        <v>2105</v>
      </c>
      <c r="E1426" s="0" t="s">
        <v>2045</v>
      </c>
      <c r="F1426" s="0" t="s">
        <v>2046</v>
      </c>
      <c r="G1426" s="0" t="s">
        <v>2143</v>
      </c>
      <c r="H1426" s="0" t="s">
        <v>2142</v>
      </c>
      <c r="I1426" s="0" t="s">
        <v>2322</v>
      </c>
      <c r="J1426" s="0" t="s">
        <v>2323</v>
      </c>
      <c r="K1426" s="272" t="n">
        <v>575564.587662628</v>
      </c>
    </row>
    <row r="1427" customFormat="false" ht="15" hidden="false" customHeight="false" outlineLevel="0" collapsed="false">
      <c r="A1427" s="0" t="s">
        <v>2041</v>
      </c>
      <c r="B1427" s="0" t="s">
        <v>2042</v>
      </c>
      <c r="C1427" s="0" t="s">
        <v>2321</v>
      </c>
      <c r="D1427" s="0" t="s">
        <v>2105</v>
      </c>
      <c r="E1427" s="0" t="s">
        <v>2045</v>
      </c>
      <c r="F1427" s="0" t="s">
        <v>2046</v>
      </c>
      <c r="G1427" s="0" t="s">
        <v>2145</v>
      </c>
      <c r="H1427" s="0" t="s">
        <v>2146</v>
      </c>
      <c r="I1427" s="0" t="s">
        <v>2322</v>
      </c>
      <c r="J1427" s="0" t="s">
        <v>2323</v>
      </c>
      <c r="K1427" s="272" t="n">
        <v>3683487.8960779</v>
      </c>
    </row>
    <row r="1428" customFormat="false" ht="15" hidden="false" customHeight="false" outlineLevel="0" collapsed="false">
      <c r="A1428" s="0" t="s">
        <v>2041</v>
      </c>
      <c r="B1428" s="0" t="s">
        <v>2042</v>
      </c>
      <c r="C1428" s="0" t="s">
        <v>2321</v>
      </c>
      <c r="D1428" s="0" t="s">
        <v>2105</v>
      </c>
      <c r="E1428" s="0" t="s">
        <v>2045</v>
      </c>
      <c r="F1428" s="0" t="s">
        <v>2046</v>
      </c>
      <c r="G1428" s="0" t="s">
        <v>2145</v>
      </c>
      <c r="H1428" s="0" t="s">
        <v>2146</v>
      </c>
      <c r="I1428" s="0" t="s">
        <v>2124</v>
      </c>
      <c r="J1428" s="0" t="s">
        <v>2323</v>
      </c>
      <c r="K1428" s="272" t="n">
        <v>40552.6338481703</v>
      </c>
    </row>
    <row r="1429" customFormat="false" ht="15" hidden="false" customHeight="false" outlineLevel="0" collapsed="false">
      <c r="A1429" s="0" t="s">
        <v>2041</v>
      </c>
      <c r="B1429" s="0" t="s">
        <v>2042</v>
      </c>
      <c r="C1429" s="0" t="s">
        <v>2321</v>
      </c>
      <c r="D1429" s="0" t="s">
        <v>2105</v>
      </c>
      <c r="E1429" s="0" t="s">
        <v>2045</v>
      </c>
      <c r="F1429" s="0" t="s">
        <v>2046</v>
      </c>
      <c r="G1429" s="0" t="s">
        <v>2147</v>
      </c>
      <c r="H1429" s="0" t="s">
        <v>2126</v>
      </c>
      <c r="I1429" s="0" t="s">
        <v>2322</v>
      </c>
      <c r="J1429" s="0" t="s">
        <v>2323</v>
      </c>
      <c r="K1429" s="272" t="n">
        <v>-4805475.44300223</v>
      </c>
    </row>
    <row r="1430" customFormat="false" ht="15" hidden="false" customHeight="false" outlineLevel="0" collapsed="false">
      <c r="A1430" s="0" t="s">
        <v>2041</v>
      </c>
      <c r="B1430" s="0" t="s">
        <v>2042</v>
      </c>
      <c r="C1430" s="0" t="s">
        <v>2321</v>
      </c>
      <c r="D1430" s="0" t="s">
        <v>2105</v>
      </c>
      <c r="E1430" s="0" t="s">
        <v>2045</v>
      </c>
      <c r="F1430" s="0" t="s">
        <v>2046</v>
      </c>
      <c r="G1430" s="0" t="s">
        <v>2147</v>
      </c>
      <c r="H1430" s="0" t="s">
        <v>2126</v>
      </c>
      <c r="I1430" s="0" t="s">
        <v>2124</v>
      </c>
      <c r="J1430" s="0" t="s">
        <v>2323</v>
      </c>
      <c r="K1430" s="272" t="n">
        <v>53496.2287037866</v>
      </c>
    </row>
    <row r="1431" customFormat="false" ht="15" hidden="false" customHeight="false" outlineLevel="0" collapsed="false">
      <c r="A1431" s="0" t="s">
        <v>2041</v>
      </c>
      <c r="B1431" s="0" t="s">
        <v>2042</v>
      </c>
      <c r="C1431" s="0" t="s">
        <v>2321</v>
      </c>
      <c r="D1431" s="0" t="s">
        <v>2105</v>
      </c>
      <c r="E1431" s="0" t="s">
        <v>2045</v>
      </c>
      <c r="F1431" s="0" t="s">
        <v>2046</v>
      </c>
      <c r="G1431" s="0" t="s">
        <v>2148</v>
      </c>
      <c r="H1431" s="0" t="s">
        <v>2149</v>
      </c>
      <c r="I1431" s="0" t="s">
        <v>2322</v>
      </c>
      <c r="J1431" s="0" t="s">
        <v>2323</v>
      </c>
      <c r="K1431" s="272" t="n">
        <v>7462945.54519762</v>
      </c>
    </row>
    <row r="1432" customFormat="false" ht="15" hidden="false" customHeight="false" outlineLevel="0" collapsed="false">
      <c r="A1432" s="0" t="s">
        <v>2041</v>
      </c>
      <c r="B1432" s="0" t="s">
        <v>2042</v>
      </c>
      <c r="C1432" s="0" t="s">
        <v>2321</v>
      </c>
      <c r="D1432" s="0" t="s">
        <v>2105</v>
      </c>
      <c r="E1432" s="0" t="s">
        <v>2045</v>
      </c>
      <c r="F1432" s="0" t="s">
        <v>2215</v>
      </c>
      <c r="G1432" s="0" t="s">
        <v>2216</v>
      </c>
      <c r="H1432" s="0" t="s">
        <v>2217</v>
      </c>
      <c r="I1432" s="0" t="s">
        <v>2322</v>
      </c>
      <c r="J1432" s="0" t="s">
        <v>2323</v>
      </c>
      <c r="K1432" s="272" t="n">
        <v>15697119.508158</v>
      </c>
    </row>
    <row r="1433" customFormat="false" ht="15" hidden="false" customHeight="false" outlineLevel="0" collapsed="false">
      <c r="A1433" s="0" t="s">
        <v>2041</v>
      </c>
      <c r="B1433" s="0" t="s">
        <v>2042</v>
      </c>
      <c r="C1433" s="0" t="s">
        <v>2321</v>
      </c>
      <c r="D1433" s="0" t="s">
        <v>2105</v>
      </c>
      <c r="E1433" s="0" t="s">
        <v>2045</v>
      </c>
      <c r="F1433" s="0" t="s">
        <v>2215</v>
      </c>
      <c r="G1433" s="0" t="s">
        <v>2216</v>
      </c>
      <c r="H1433" s="0" t="s">
        <v>2217</v>
      </c>
      <c r="I1433" s="0" t="s">
        <v>2124</v>
      </c>
      <c r="J1433" s="0" t="s">
        <v>2323</v>
      </c>
      <c r="K1433" s="272" t="n">
        <v>1606766.69525987</v>
      </c>
    </row>
    <row r="1434" customFormat="false" ht="15" hidden="false" customHeight="false" outlineLevel="0" collapsed="false">
      <c r="A1434" s="0" t="s">
        <v>2041</v>
      </c>
      <c r="B1434" s="0" t="s">
        <v>2042</v>
      </c>
      <c r="C1434" s="0" t="s">
        <v>2321</v>
      </c>
      <c r="D1434" s="0" t="s">
        <v>2105</v>
      </c>
      <c r="E1434" s="0" t="s">
        <v>2045</v>
      </c>
      <c r="F1434" s="0" t="s">
        <v>2215</v>
      </c>
      <c r="G1434" s="0" t="s">
        <v>2218</v>
      </c>
      <c r="H1434" s="0" t="s">
        <v>2183</v>
      </c>
      <c r="I1434" s="0" t="s">
        <v>2322</v>
      </c>
      <c r="J1434" s="0" t="s">
        <v>2323</v>
      </c>
      <c r="K1434" s="272" t="n">
        <v>-1326603.03421404</v>
      </c>
    </row>
    <row r="1435" customFormat="false" ht="15" hidden="false" customHeight="false" outlineLevel="0" collapsed="false">
      <c r="A1435" s="0" t="s">
        <v>2041</v>
      </c>
      <c r="B1435" s="0" t="s">
        <v>2042</v>
      </c>
      <c r="C1435" s="0" t="s">
        <v>2321</v>
      </c>
      <c r="D1435" s="0" t="s">
        <v>2105</v>
      </c>
      <c r="E1435" s="0" t="s">
        <v>2045</v>
      </c>
      <c r="F1435" s="0" t="s">
        <v>2215</v>
      </c>
      <c r="G1435" s="0" t="s">
        <v>2218</v>
      </c>
      <c r="H1435" s="0" t="s">
        <v>2183</v>
      </c>
      <c r="I1435" s="0" t="s">
        <v>2124</v>
      </c>
      <c r="J1435" s="0" t="s">
        <v>2323</v>
      </c>
      <c r="K1435" s="272" t="n">
        <v>8968.76176503534</v>
      </c>
    </row>
    <row r="1436" customFormat="false" ht="15" hidden="false" customHeight="false" outlineLevel="0" collapsed="false">
      <c r="A1436" s="0" t="s">
        <v>2041</v>
      </c>
      <c r="B1436" s="0" t="s">
        <v>2042</v>
      </c>
      <c r="C1436" s="0" t="s">
        <v>2321</v>
      </c>
      <c r="D1436" s="0" t="s">
        <v>2105</v>
      </c>
      <c r="E1436" s="0" t="s">
        <v>2045</v>
      </c>
      <c r="F1436" s="0" t="s">
        <v>2215</v>
      </c>
      <c r="G1436" s="0" t="s">
        <v>2218</v>
      </c>
      <c r="H1436" s="0" t="s">
        <v>2185</v>
      </c>
      <c r="I1436" s="0" t="s">
        <v>2322</v>
      </c>
      <c r="J1436" s="0" t="s">
        <v>2323</v>
      </c>
      <c r="K1436" s="272" t="n">
        <v>-2477297.32374439</v>
      </c>
    </row>
    <row r="1437" customFormat="false" ht="15" hidden="false" customHeight="false" outlineLevel="0" collapsed="false">
      <c r="A1437" s="0" t="s">
        <v>2041</v>
      </c>
      <c r="B1437" s="0" t="s">
        <v>2042</v>
      </c>
      <c r="C1437" s="0" t="s">
        <v>2321</v>
      </c>
      <c r="D1437" s="0" t="s">
        <v>2105</v>
      </c>
      <c r="E1437" s="0" t="s">
        <v>2045</v>
      </c>
      <c r="F1437" s="0" t="s">
        <v>2215</v>
      </c>
      <c r="G1437" s="0" t="s">
        <v>2218</v>
      </c>
      <c r="H1437" s="0" t="s">
        <v>2185</v>
      </c>
      <c r="I1437" s="0" t="s">
        <v>2167</v>
      </c>
      <c r="J1437" s="0" t="s">
        <v>2323</v>
      </c>
      <c r="K1437" s="272" t="n">
        <v>-1347401.27411565</v>
      </c>
    </row>
    <row r="1438" customFormat="false" ht="15" hidden="false" customHeight="false" outlineLevel="0" collapsed="false">
      <c r="A1438" s="0" t="s">
        <v>2041</v>
      </c>
      <c r="B1438" s="0" t="s">
        <v>2042</v>
      </c>
      <c r="C1438" s="0" t="s">
        <v>2321</v>
      </c>
      <c r="D1438" s="0" t="s">
        <v>2105</v>
      </c>
      <c r="E1438" s="0" t="s">
        <v>2045</v>
      </c>
      <c r="F1438" s="0" t="s">
        <v>2215</v>
      </c>
      <c r="G1438" s="0" t="s">
        <v>2218</v>
      </c>
      <c r="H1438" s="0" t="s">
        <v>2186</v>
      </c>
      <c r="I1438" s="0" t="s">
        <v>2322</v>
      </c>
      <c r="J1438" s="0" t="s">
        <v>2323</v>
      </c>
      <c r="K1438" s="272" t="n">
        <v>-34283.8810422832</v>
      </c>
    </row>
    <row r="1439" customFormat="false" ht="15" hidden="false" customHeight="false" outlineLevel="0" collapsed="false">
      <c r="A1439" s="0" t="s">
        <v>2041</v>
      </c>
      <c r="B1439" s="0" t="s">
        <v>2042</v>
      </c>
      <c r="C1439" s="0" t="s">
        <v>2321</v>
      </c>
      <c r="D1439" s="0" t="s">
        <v>2105</v>
      </c>
      <c r="E1439" s="0" t="s">
        <v>2045</v>
      </c>
      <c r="F1439" s="0" t="s">
        <v>2215</v>
      </c>
      <c r="G1439" s="0" t="s">
        <v>2218</v>
      </c>
      <c r="H1439" s="0" t="s">
        <v>2179</v>
      </c>
      <c r="I1439" s="0" t="s">
        <v>2322</v>
      </c>
      <c r="J1439" s="0" t="s">
        <v>2323</v>
      </c>
      <c r="K1439" s="272" t="n">
        <v>891507.299713717</v>
      </c>
    </row>
    <row r="1440" customFormat="false" ht="15" hidden="false" customHeight="false" outlineLevel="0" collapsed="false">
      <c r="A1440" s="0" t="s">
        <v>2041</v>
      </c>
      <c r="B1440" s="0" t="s">
        <v>2042</v>
      </c>
      <c r="C1440" s="0" t="s">
        <v>2321</v>
      </c>
      <c r="D1440" s="0" t="s">
        <v>2105</v>
      </c>
      <c r="E1440" s="0" t="s">
        <v>2045</v>
      </c>
      <c r="F1440" s="0" t="s">
        <v>2215</v>
      </c>
      <c r="G1440" s="0" t="s">
        <v>2218</v>
      </c>
      <c r="H1440" s="0" t="s">
        <v>2217</v>
      </c>
      <c r="I1440" s="0" t="s">
        <v>2322</v>
      </c>
      <c r="J1440" s="0" t="s">
        <v>2323</v>
      </c>
      <c r="K1440" s="272" t="n">
        <v>38963.0615485997</v>
      </c>
    </row>
    <row r="1441" customFormat="false" ht="15" hidden="false" customHeight="false" outlineLevel="0" collapsed="false">
      <c r="A1441" s="0" t="s">
        <v>2041</v>
      </c>
      <c r="B1441" s="0" t="s">
        <v>2042</v>
      </c>
      <c r="C1441" s="0" t="s">
        <v>2321</v>
      </c>
      <c r="D1441" s="0" t="s">
        <v>2105</v>
      </c>
      <c r="E1441" s="0" t="s">
        <v>2045</v>
      </c>
      <c r="F1441" s="0" t="s">
        <v>2215</v>
      </c>
      <c r="G1441" s="0" t="s">
        <v>2218</v>
      </c>
      <c r="H1441" s="0" t="s">
        <v>2219</v>
      </c>
      <c r="I1441" s="0" t="s">
        <v>2322</v>
      </c>
      <c r="J1441" s="0" t="s">
        <v>2323</v>
      </c>
      <c r="K1441" s="272" t="n">
        <v>499590.947154403</v>
      </c>
    </row>
    <row r="1442" customFormat="false" ht="15" hidden="false" customHeight="false" outlineLevel="0" collapsed="false">
      <c r="A1442" s="0" t="s">
        <v>2041</v>
      </c>
      <c r="B1442" s="0" t="s">
        <v>2042</v>
      </c>
      <c r="C1442" s="0" t="s">
        <v>2321</v>
      </c>
      <c r="D1442" s="0" t="s">
        <v>2105</v>
      </c>
      <c r="E1442" s="0" t="s">
        <v>2045</v>
      </c>
      <c r="F1442" s="0" t="s">
        <v>2215</v>
      </c>
      <c r="G1442" s="0" t="s">
        <v>2218</v>
      </c>
      <c r="H1442" s="0" t="s">
        <v>2220</v>
      </c>
      <c r="I1442" s="0" t="s">
        <v>2322</v>
      </c>
      <c r="J1442" s="0" t="s">
        <v>2323</v>
      </c>
      <c r="K1442" s="272" t="n">
        <v>-4159909.4953112</v>
      </c>
    </row>
    <row r="1443" customFormat="false" ht="15" hidden="false" customHeight="false" outlineLevel="0" collapsed="false">
      <c r="A1443" s="0" t="s">
        <v>2041</v>
      </c>
      <c r="B1443" s="0" t="s">
        <v>2042</v>
      </c>
      <c r="C1443" s="0" t="s">
        <v>2321</v>
      </c>
      <c r="D1443" s="0" t="s">
        <v>2105</v>
      </c>
      <c r="E1443" s="0" t="s">
        <v>2045</v>
      </c>
      <c r="F1443" s="0" t="s">
        <v>2215</v>
      </c>
      <c r="G1443" s="0" t="s">
        <v>2218</v>
      </c>
      <c r="H1443" s="0" t="s">
        <v>2220</v>
      </c>
      <c r="I1443" s="0" t="s">
        <v>2124</v>
      </c>
      <c r="J1443" s="0" t="s">
        <v>2323</v>
      </c>
      <c r="K1443" s="272" t="n">
        <v>969098.588910693</v>
      </c>
    </row>
    <row r="1444" customFormat="false" ht="15" hidden="false" customHeight="false" outlineLevel="0" collapsed="false">
      <c r="A1444" s="0" t="s">
        <v>2041</v>
      </c>
      <c r="B1444" s="0" t="s">
        <v>2042</v>
      </c>
      <c r="C1444" s="0" t="s">
        <v>2321</v>
      </c>
      <c r="D1444" s="0" t="s">
        <v>2105</v>
      </c>
      <c r="E1444" s="0" t="s">
        <v>2045</v>
      </c>
      <c r="F1444" s="0" t="s">
        <v>2215</v>
      </c>
      <c r="G1444" s="0" t="s">
        <v>2218</v>
      </c>
      <c r="H1444" s="0" t="s">
        <v>2221</v>
      </c>
      <c r="I1444" s="0" t="s">
        <v>2322</v>
      </c>
      <c r="J1444" s="0" t="s">
        <v>2323</v>
      </c>
      <c r="K1444" s="272" t="n">
        <v>829437.665655584</v>
      </c>
    </row>
    <row r="1445" customFormat="false" ht="15" hidden="false" customHeight="false" outlineLevel="0" collapsed="false">
      <c r="A1445" s="0" t="s">
        <v>2041</v>
      </c>
      <c r="B1445" s="0" t="s">
        <v>2042</v>
      </c>
      <c r="C1445" s="0" t="s">
        <v>2321</v>
      </c>
      <c r="D1445" s="0" t="s">
        <v>2105</v>
      </c>
      <c r="E1445" s="0" t="s">
        <v>2045</v>
      </c>
      <c r="F1445" s="0" t="s">
        <v>2215</v>
      </c>
      <c r="G1445" s="0" t="s">
        <v>2218</v>
      </c>
      <c r="H1445" s="0" t="s">
        <v>2221</v>
      </c>
      <c r="I1445" s="0" t="s">
        <v>2124</v>
      </c>
      <c r="J1445" s="0" t="s">
        <v>2323</v>
      </c>
      <c r="K1445" s="272" t="n">
        <v>242417.702290103</v>
      </c>
    </row>
    <row r="1446" customFormat="false" ht="15" hidden="false" customHeight="false" outlineLevel="0" collapsed="false">
      <c r="A1446" s="0" t="s">
        <v>2041</v>
      </c>
      <c r="B1446" s="0" t="s">
        <v>2042</v>
      </c>
      <c r="C1446" s="0" t="s">
        <v>2321</v>
      </c>
      <c r="D1446" s="0" t="s">
        <v>2105</v>
      </c>
      <c r="E1446" s="0" t="s">
        <v>2045</v>
      </c>
      <c r="F1446" s="0" t="s">
        <v>2215</v>
      </c>
      <c r="G1446" s="0" t="s">
        <v>2218</v>
      </c>
      <c r="H1446" s="0" t="s">
        <v>2222</v>
      </c>
      <c r="I1446" s="0" t="s">
        <v>2124</v>
      </c>
      <c r="J1446" s="0" t="s">
        <v>2323</v>
      </c>
      <c r="K1446" s="272" t="n">
        <v>56581.4351776752</v>
      </c>
    </row>
    <row r="1447" customFormat="false" ht="15" hidden="false" customHeight="false" outlineLevel="0" collapsed="false">
      <c r="A1447" s="0" t="s">
        <v>2041</v>
      </c>
      <c r="B1447" s="0" t="s">
        <v>2042</v>
      </c>
      <c r="C1447" s="0" t="s">
        <v>2321</v>
      </c>
      <c r="D1447" s="0" t="s">
        <v>2105</v>
      </c>
      <c r="E1447" s="0" t="s">
        <v>2045</v>
      </c>
      <c r="F1447" s="0" t="s">
        <v>2215</v>
      </c>
      <c r="G1447" s="0" t="s">
        <v>2223</v>
      </c>
      <c r="H1447" s="0" t="s">
        <v>2189</v>
      </c>
      <c r="I1447" s="0" t="s">
        <v>2322</v>
      </c>
      <c r="J1447" s="0" t="s">
        <v>2323</v>
      </c>
      <c r="K1447" s="272" t="n">
        <v>-46149.2542549926</v>
      </c>
    </row>
    <row r="1448" customFormat="false" ht="15" hidden="false" customHeight="false" outlineLevel="0" collapsed="false">
      <c r="A1448" s="0" t="s">
        <v>2041</v>
      </c>
      <c r="B1448" s="0" t="s">
        <v>2042</v>
      </c>
      <c r="C1448" s="0" t="s">
        <v>2321</v>
      </c>
      <c r="D1448" s="0" t="s">
        <v>2105</v>
      </c>
      <c r="E1448" s="0" t="s">
        <v>2045</v>
      </c>
      <c r="F1448" s="0" t="s">
        <v>2215</v>
      </c>
      <c r="G1448" s="0" t="s">
        <v>2223</v>
      </c>
      <c r="H1448" s="0" t="s">
        <v>2222</v>
      </c>
      <c r="I1448" s="0" t="s">
        <v>2322</v>
      </c>
      <c r="J1448" s="0" t="s">
        <v>2323</v>
      </c>
      <c r="K1448" s="272" t="n">
        <v>-1230814.93191929</v>
      </c>
    </row>
    <row r="1449" customFormat="false" ht="15" hidden="false" customHeight="false" outlineLevel="0" collapsed="false">
      <c r="A1449" s="0" t="s">
        <v>2041</v>
      </c>
      <c r="B1449" s="0" t="s">
        <v>2042</v>
      </c>
      <c r="C1449" s="0" t="s">
        <v>2321</v>
      </c>
      <c r="D1449" s="0" t="s">
        <v>2105</v>
      </c>
      <c r="E1449" s="0" t="s">
        <v>2045</v>
      </c>
      <c r="F1449" s="0" t="s">
        <v>2215</v>
      </c>
      <c r="G1449" s="0" t="s">
        <v>2223</v>
      </c>
      <c r="H1449" s="0" t="s">
        <v>2224</v>
      </c>
      <c r="I1449" s="0" t="s">
        <v>2322</v>
      </c>
      <c r="J1449" s="0" t="s">
        <v>2323</v>
      </c>
      <c r="K1449" s="272" t="n">
        <v>-864350.921543796</v>
      </c>
    </row>
    <row r="1450" customFormat="false" ht="15" hidden="false" customHeight="false" outlineLevel="0" collapsed="false">
      <c r="A1450" s="0" t="s">
        <v>2041</v>
      </c>
      <c r="B1450" s="0" t="s">
        <v>2042</v>
      </c>
      <c r="C1450" s="0" t="s">
        <v>2321</v>
      </c>
      <c r="D1450" s="0" t="s">
        <v>2105</v>
      </c>
      <c r="E1450" s="0" t="s">
        <v>2045</v>
      </c>
      <c r="F1450" s="0" t="s">
        <v>2215</v>
      </c>
      <c r="G1450" s="0" t="s">
        <v>2223</v>
      </c>
      <c r="H1450" s="0" t="s">
        <v>2224</v>
      </c>
      <c r="I1450" s="0" t="s">
        <v>2124</v>
      </c>
      <c r="J1450" s="0" t="s">
        <v>2323</v>
      </c>
      <c r="K1450" s="272" t="n">
        <v>9460.78011841858</v>
      </c>
    </row>
    <row r="1451" customFormat="false" ht="15" hidden="false" customHeight="false" outlineLevel="0" collapsed="false">
      <c r="A1451" s="0" t="s">
        <v>2041</v>
      </c>
      <c r="B1451" s="0" t="s">
        <v>2042</v>
      </c>
      <c r="C1451" s="0" t="s">
        <v>2321</v>
      </c>
      <c r="D1451" s="0" t="s">
        <v>2105</v>
      </c>
      <c r="E1451" s="0" t="s">
        <v>2045</v>
      </c>
      <c r="F1451" s="0" t="s">
        <v>2225</v>
      </c>
      <c r="G1451" s="0" t="s">
        <v>2226</v>
      </c>
      <c r="H1451" s="0" t="s">
        <v>2227</v>
      </c>
      <c r="I1451" s="0" t="s">
        <v>2322</v>
      </c>
      <c r="J1451" s="0" t="s">
        <v>2323</v>
      </c>
      <c r="K1451" s="272" t="n">
        <v>-2445614.01678798</v>
      </c>
    </row>
    <row r="1452" customFormat="false" ht="15" hidden="false" customHeight="false" outlineLevel="0" collapsed="false">
      <c r="A1452" s="0" t="s">
        <v>2041</v>
      </c>
      <c r="B1452" s="0" t="s">
        <v>2042</v>
      </c>
      <c r="C1452" s="0" t="s">
        <v>2321</v>
      </c>
      <c r="D1452" s="0" t="s">
        <v>2105</v>
      </c>
      <c r="E1452" s="0" t="s">
        <v>2045</v>
      </c>
      <c r="F1452" s="0" t="s">
        <v>2225</v>
      </c>
      <c r="G1452" s="0" t="s">
        <v>2228</v>
      </c>
      <c r="H1452" s="0" t="s">
        <v>2227</v>
      </c>
      <c r="I1452" s="0" t="s">
        <v>2322</v>
      </c>
      <c r="J1452" s="0" t="s">
        <v>2323</v>
      </c>
      <c r="K1452" s="272" t="n">
        <v>-47185455.9976723</v>
      </c>
    </row>
    <row r="1453" customFormat="false" ht="15" hidden="false" customHeight="false" outlineLevel="0" collapsed="false">
      <c r="A1453" s="0" t="s">
        <v>2041</v>
      </c>
      <c r="B1453" s="0" t="s">
        <v>2042</v>
      </c>
      <c r="C1453" s="0" t="s">
        <v>2321</v>
      </c>
      <c r="D1453" s="0" t="s">
        <v>2105</v>
      </c>
      <c r="E1453" s="0" t="s">
        <v>2045</v>
      </c>
      <c r="F1453" s="0" t="s">
        <v>2225</v>
      </c>
      <c r="G1453" s="0" t="s">
        <v>2228</v>
      </c>
      <c r="H1453" s="0" t="s">
        <v>2227</v>
      </c>
      <c r="I1453" s="0" t="s">
        <v>2124</v>
      </c>
      <c r="J1453" s="0" t="s">
        <v>2323</v>
      </c>
      <c r="K1453" s="272" t="n">
        <v>-17729.1057120238</v>
      </c>
    </row>
    <row r="1454" customFormat="false" ht="15" hidden="false" customHeight="false" outlineLevel="0" collapsed="false">
      <c r="A1454" s="0" t="s">
        <v>2041</v>
      </c>
      <c r="B1454" s="0" t="s">
        <v>2042</v>
      </c>
      <c r="C1454" s="0" t="s">
        <v>2321</v>
      </c>
      <c r="D1454" s="0" t="s">
        <v>2105</v>
      </c>
      <c r="E1454" s="0" t="s">
        <v>2045</v>
      </c>
      <c r="F1454" s="0" t="s">
        <v>2225</v>
      </c>
      <c r="G1454" s="0" t="s">
        <v>2229</v>
      </c>
      <c r="H1454" s="0" t="s">
        <v>2227</v>
      </c>
      <c r="I1454" s="0" t="s">
        <v>2322</v>
      </c>
      <c r="J1454" s="0" t="s">
        <v>2323</v>
      </c>
      <c r="K1454" s="272" t="n">
        <v>-5355553.55051415</v>
      </c>
    </row>
    <row r="1455" customFormat="false" ht="15" hidden="false" customHeight="false" outlineLevel="0" collapsed="false">
      <c r="A1455" s="0" t="s">
        <v>2041</v>
      </c>
      <c r="B1455" s="0" t="s">
        <v>2042</v>
      </c>
      <c r="C1455" s="0" t="s">
        <v>2321</v>
      </c>
      <c r="D1455" s="0" t="s">
        <v>2105</v>
      </c>
      <c r="E1455" s="0" t="s">
        <v>2045</v>
      </c>
      <c r="F1455" s="0" t="s">
        <v>2225</v>
      </c>
      <c r="G1455" s="0" t="s">
        <v>2230</v>
      </c>
      <c r="H1455" s="0" t="s">
        <v>2227</v>
      </c>
      <c r="I1455" s="0" t="s">
        <v>2322</v>
      </c>
      <c r="J1455" s="0" t="s">
        <v>2323</v>
      </c>
      <c r="K1455" s="272" t="n">
        <v>-8807369.16675228</v>
      </c>
    </row>
    <row r="1456" customFormat="false" ht="15" hidden="false" customHeight="false" outlineLevel="0" collapsed="false">
      <c r="A1456" s="0" t="s">
        <v>2041</v>
      </c>
      <c r="B1456" s="0" t="s">
        <v>2042</v>
      </c>
      <c r="C1456" s="0" t="s">
        <v>2321</v>
      </c>
      <c r="D1456" s="0" t="s">
        <v>2105</v>
      </c>
      <c r="E1456" s="0" t="s">
        <v>2045</v>
      </c>
      <c r="F1456" s="0" t="s">
        <v>2225</v>
      </c>
      <c r="G1456" s="0" t="s">
        <v>2231</v>
      </c>
      <c r="H1456" s="0" t="s">
        <v>2227</v>
      </c>
      <c r="I1456" s="0" t="s">
        <v>2322</v>
      </c>
      <c r="J1456" s="0" t="s">
        <v>2323</v>
      </c>
      <c r="K1456" s="272" t="n">
        <v>3857348.41990015</v>
      </c>
    </row>
    <row r="1457" customFormat="false" ht="15" hidden="false" customHeight="false" outlineLevel="0" collapsed="false">
      <c r="A1457" s="0" t="s">
        <v>2041</v>
      </c>
      <c r="B1457" s="0" t="s">
        <v>2042</v>
      </c>
      <c r="C1457" s="0" t="s">
        <v>2321</v>
      </c>
      <c r="D1457" s="0" t="s">
        <v>2105</v>
      </c>
      <c r="E1457" s="0" t="s">
        <v>2045</v>
      </c>
      <c r="F1457" s="0" t="s">
        <v>2225</v>
      </c>
      <c r="G1457" s="0" t="s">
        <v>2231</v>
      </c>
      <c r="H1457" s="0" t="s">
        <v>2227</v>
      </c>
      <c r="I1457" s="0" t="s">
        <v>2124</v>
      </c>
      <c r="J1457" s="0" t="s">
        <v>2323</v>
      </c>
      <c r="K1457" s="272" t="n">
        <v>-1158061.14990659</v>
      </c>
    </row>
    <row r="1458" customFormat="false" ht="15" hidden="false" customHeight="false" outlineLevel="0" collapsed="false">
      <c r="A1458" s="0" t="s">
        <v>2041</v>
      </c>
      <c r="B1458" s="0" t="s">
        <v>2042</v>
      </c>
      <c r="C1458" s="0" t="s">
        <v>2321</v>
      </c>
      <c r="D1458" s="0" t="s">
        <v>2105</v>
      </c>
      <c r="E1458" s="0" t="s">
        <v>2045</v>
      </c>
      <c r="F1458" s="0" t="s">
        <v>2099</v>
      </c>
      <c r="G1458" s="0" t="s">
        <v>2232</v>
      </c>
      <c r="H1458" s="0" t="s">
        <v>2100</v>
      </c>
      <c r="I1458" s="0" t="s">
        <v>2322</v>
      </c>
      <c r="J1458" s="0" t="s">
        <v>2323</v>
      </c>
      <c r="K1458" s="272" t="n">
        <v>636222.192372115</v>
      </c>
    </row>
    <row r="1459" customFormat="false" ht="15" hidden="false" customHeight="false" outlineLevel="0" collapsed="false">
      <c r="A1459" s="0" t="s">
        <v>2041</v>
      </c>
      <c r="B1459" s="0" t="s">
        <v>2042</v>
      </c>
      <c r="C1459" s="0" t="s">
        <v>2321</v>
      </c>
      <c r="D1459" s="0" t="s">
        <v>2105</v>
      </c>
      <c r="E1459" s="0" t="s">
        <v>2045</v>
      </c>
      <c r="F1459" s="0" t="s">
        <v>2099</v>
      </c>
      <c r="G1459" s="0" t="s">
        <v>2232</v>
      </c>
      <c r="H1459" s="0" t="s">
        <v>2233</v>
      </c>
      <c r="I1459" s="0" t="s">
        <v>2322</v>
      </c>
      <c r="J1459" s="0" t="s">
        <v>2323</v>
      </c>
      <c r="K1459" s="272" t="n">
        <v>-9440.82681460679</v>
      </c>
    </row>
    <row r="1460" customFormat="false" ht="15" hidden="false" customHeight="false" outlineLevel="0" collapsed="false">
      <c r="A1460" s="0" t="s">
        <v>2041</v>
      </c>
      <c r="B1460" s="0" t="s">
        <v>2042</v>
      </c>
      <c r="C1460" s="0" t="s">
        <v>2321</v>
      </c>
      <c r="D1460" s="0" t="s">
        <v>2105</v>
      </c>
      <c r="E1460" s="0" t="s">
        <v>2045</v>
      </c>
      <c r="F1460" s="0" t="s">
        <v>2099</v>
      </c>
      <c r="G1460" s="0" t="s">
        <v>2232</v>
      </c>
      <c r="H1460" s="0" t="s">
        <v>2234</v>
      </c>
      <c r="I1460" s="0" t="s">
        <v>2322</v>
      </c>
      <c r="J1460" s="0" t="s">
        <v>2323</v>
      </c>
      <c r="K1460" s="272" t="n">
        <v>51468.8220038032</v>
      </c>
    </row>
    <row r="1461" customFormat="false" ht="15" hidden="false" customHeight="false" outlineLevel="0" collapsed="false">
      <c r="A1461" s="0" t="s">
        <v>2041</v>
      </c>
      <c r="B1461" s="0" t="s">
        <v>2042</v>
      </c>
      <c r="C1461" s="0" t="s">
        <v>2321</v>
      </c>
      <c r="D1461" s="0" t="s">
        <v>2105</v>
      </c>
      <c r="E1461" s="0" t="s">
        <v>2045</v>
      </c>
      <c r="F1461" s="0" t="s">
        <v>2099</v>
      </c>
      <c r="G1461" s="0" t="s">
        <v>2232</v>
      </c>
      <c r="H1461" s="0" t="s">
        <v>2235</v>
      </c>
      <c r="I1461" s="0" t="s">
        <v>2322</v>
      </c>
      <c r="J1461" s="0" t="s">
        <v>2323</v>
      </c>
      <c r="K1461" s="272" t="n">
        <v>471308.682373137</v>
      </c>
    </row>
    <row r="1462" customFormat="false" ht="15" hidden="false" customHeight="false" outlineLevel="0" collapsed="false">
      <c r="A1462" s="0" t="s">
        <v>2041</v>
      </c>
      <c r="B1462" s="0" t="s">
        <v>2042</v>
      </c>
      <c r="C1462" s="0" t="s">
        <v>2321</v>
      </c>
      <c r="D1462" s="0" t="s">
        <v>2105</v>
      </c>
      <c r="E1462" s="0" t="s">
        <v>2045</v>
      </c>
      <c r="F1462" s="0" t="s">
        <v>2099</v>
      </c>
      <c r="G1462" s="0" t="s">
        <v>2236</v>
      </c>
      <c r="H1462" s="0" t="s">
        <v>2233</v>
      </c>
      <c r="I1462" s="0" t="s">
        <v>2322</v>
      </c>
      <c r="J1462" s="0" t="s">
        <v>2323</v>
      </c>
      <c r="K1462" s="272" t="n">
        <v>672706.560143567</v>
      </c>
    </row>
    <row r="1463" customFormat="false" ht="15" hidden="false" customHeight="false" outlineLevel="0" collapsed="false">
      <c r="A1463" s="0" t="s">
        <v>2041</v>
      </c>
      <c r="B1463" s="0" t="s">
        <v>2042</v>
      </c>
      <c r="C1463" s="0" t="s">
        <v>2321</v>
      </c>
      <c r="D1463" s="0" t="s">
        <v>2105</v>
      </c>
      <c r="E1463" s="0" t="s">
        <v>2045</v>
      </c>
      <c r="F1463" s="0" t="s">
        <v>2099</v>
      </c>
      <c r="G1463" s="0" t="s">
        <v>2236</v>
      </c>
      <c r="H1463" s="0" t="s">
        <v>2233</v>
      </c>
      <c r="I1463" s="0" t="s">
        <v>2124</v>
      </c>
      <c r="J1463" s="0" t="s">
        <v>2323</v>
      </c>
      <c r="K1463" s="272" t="n">
        <v>-137061.249425418</v>
      </c>
    </row>
    <row r="1464" customFormat="false" ht="15" hidden="false" customHeight="false" outlineLevel="0" collapsed="false">
      <c r="A1464" s="0" t="s">
        <v>2041</v>
      </c>
      <c r="B1464" s="0" t="s">
        <v>2042</v>
      </c>
      <c r="C1464" s="0" t="s">
        <v>2321</v>
      </c>
      <c r="D1464" s="0" t="s">
        <v>2105</v>
      </c>
      <c r="E1464" s="0" t="s">
        <v>2045</v>
      </c>
      <c r="F1464" s="0" t="s">
        <v>2099</v>
      </c>
      <c r="G1464" s="0" t="s">
        <v>2236</v>
      </c>
      <c r="H1464" s="0" t="s">
        <v>2237</v>
      </c>
      <c r="I1464" s="0" t="s">
        <v>2322</v>
      </c>
      <c r="J1464" s="0" t="s">
        <v>2323</v>
      </c>
      <c r="K1464" s="272" t="n">
        <v>156252.762450884</v>
      </c>
    </row>
    <row r="1465" customFormat="false" ht="15" hidden="false" customHeight="false" outlineLevel="0" collapsed="false">
      <c r="A1465" s="0" t="s">
        <v>2041</v>
      </c>
      <c r="B1465" s="0" t="s">
        <v>2042</v>
      </c>
      <c r="C1465" s="0" t="s">
        <v>2321</v>
      </c>
      <c r="D1465" s="0" t="s">
        <v>2105</v>
      </c>
      <c r="E1465" s="0" t="s">
        <v>2045</v>
      </c>
      <c r="F1465" s="0" t="s">
        <v>2099</v>
      </c>
      <c r="G1465" s="0" t="s">
        <v>2238</v>
      </c>
      <c r="H1465" s="0" t="s">
        <v>2239</v>
      </c>
      <c r="I1465" s="0" t="s">
        <v>2322</v>
      </c>
      <c r="J1465" s="0" t="s">
        <v>2323</v>
      </c>
      <c r="K1465" s="272" t="n">
        <v>-2147073.89374049</v>
      </c>
    </row>
    <row r="1466" customFormat="false" ht="15" hidden="false" customHeight="false" outlineLevel="0" collapsed="false">
      <c r="A1466" s="0" t="s">
        <v>2041</v>
      </c>
      <c r="B1466" s="0" t="s">
        <v>2042</v>
      </c>
      <c r="C1466" s="0" t="s">
        <v>2321</v>
      </c>
      <c r="D1466" s="0" t="s">
        <v>2105</v>
      </c>
      <c r="E1466" s="0" t="s">
        <v>2045</v>
      </c>
      <c r="F1466" s="0" t="s">
        <v>2099</v>
      </c>
      <c r="G1466" s="0" t="s">
        <v>2238</v>
      </c>
      <c r="H1466" s="0" t="s">
        <v>2239</v>
      </c>
      <c r="I1466" s="0" t="s">
        <v>2124</v>
      </c>
      <c r="J1466" s="0" t="s">
        <v>2323</v>
      </c>
      <c r="K1466" s="272" t="n">
        <v>-249528.902566861</v>
      </c>
    </row>
    <row r="1467" customFormat="false" ht="15" hidden="false" customHeight="false" outlineLevel="0" collapsed="false">
      <c r="A1467" s="0" t="s">
        <v>2041</v>
      </c>
      <c r="B1467" s="0" t="s">
        <v>2042</v>
      </c>
      <c r="C1467" s="0" t="s">
        <v>2321</v>
      </c>
      <c r="D1467" s="0" t="s">
        <v>2105</v>
      </c>
      <c r="E1467" s="0" t="s">
        <v>2045</v>
      </c>
      <c r="F1467" s="0" t="s">
        <v>2099</v>
      </c>
      <c r="G1467" s="0" t="s">
        <v>2238</v>
      </c>
      <c r="H1467" s="0" t="s">
        <v>2239</v>
      </c>
      <c r="I1467" s="0" t="s">
        <v>2197</v>
      </c>
      <c r="J1467" s="0" t="s">
        <v>2323</v>
      </c>
      <c r="K1467" s="272" t="n">
        <v>221647.524939742</v>
      </c>
    </row>
    <row r="1468" customFormat="false" ht="15" hidden="false" customHeight="false" outlineLevel="0" collapsed="false">
      <c r="A1468" s="0" t="s">
        <v>2041</v>
      </c>
      <c r="B1468" s="0" t="s">
        <v>2042</v>
      </c>
      <c r="C1468" s="0" t="s">
        <v>2321</v>
      </c>
      <c r="D1468" s="0" t="s">
        <v>2105</v>
      </c>
      <c r="E1468" s="0" t="s">
        <v>2045</v>
      </c>
      <c r="F1468" s="0" t="s">
        <v>2099</v>
      </c>
      <c r="G1468" s="0" t="s">
        <v>2238</v>
      </c>
      <c r="H1468" s="0" t="s">
        <v>2239</v>
      </c>
      <c r="I1468" s="0" t="s">
        <v>2201</v>
      </c>
      <c r="J1468" s="0" t="s">
        <v>2323</v>
      </c>
      <c r="K1468" s="272" t="n">
        <v>-116589.189605625</v>
      </c>
    </row>
    <row r="1469" customFormat="false" ht="15" hidden="false" customHeight="false" outlineLevel="0" collapsed="false">
      <c r="A1469" s="0" t="s">
        <v>2041</v>
      </c>
      <c r="B1469" s="0" t="s">
        <v>2042</v>
      </c>
      <c r="C1469" s="0" t="s">
        <v>2321</v>
      </c>
      <c r="D1469" s="0" t="s">
        <v>2105</v>
      </c>
      <c r="E1469" s="0" t="s">
        <v>2045</v>
      </c>
      <c r="F1469" s="0" t="s">
        <v>2099</v>
      </c>
      <c r="G1469" s="0" t="s">
        <v>2240</v>
      </c>
      <c r="H1469" s="0" t="s">
        <v>2100</v>
      </c>
      <c r="I1469" s="0" t="s">
        <v>2322</v>
      </c>
      <c r="J1469" s="0" t="s">
        <v>2323</v>
      </c>
      <c r="K1469" s="272" t="n">
        <v>-1494253.69149067</v>
      </c>
    </row>
    <row r="1470" customFormat="false" ht="15" hidden="false" customHeight="false" outlineLevel="0" collapsed="false">
      <c r="A1470" s="0" t="s">
        <v>2041</v>
      </c>
      <c r="B1470" s="0" t="s">
        <v>2042</v>
      </c>
      <c r="C1470" s="0" t="s">
        <v>2321</v>
      </c>
      <c r="D1470" s="0" t="s">
        <v>2105</v>
      </c>
      <c r="E1470" s="0" t="s">
        <v>2045</v>
      </c>
      <c r="F1470" s="0" t="s">
        <v>2099</v>
      </c>
      <c r="G1470" s="0" t="s">
        <v>2240</v>
      </c>
      <c r="H1470" s="0" t="s">
        <v>2100</v>
      </c>
      <c r="I1470" s="0" t="s">
        <v>2124</v>
      </c>
      <c r="J1470" s="0" t="s">
        <v>2323</v>
      </c>
      <c r="K1470" s="272" t="n">
        <v>-110639.397187789</v>
      </c>
    </row>
    <row r="1471" customFormat="false" ht="15" hidden="false" customHeight="false" outlineLevel="0" collapsed="false">
      <c r="A1471" s="0" t="s">
        <v>2041</v>
      </c>
      <c r="B1471" s="0" t="s">
        <v>2042</v>
      </c>
      <c r="C1471" s="0" t="s">
        <v>2321</v>
      </c>
      <c r="D1471" s="0" t="s">
        <v>2105</v>
      </c>
      <c r="E1471" s="0" t="s">
        <v>2045</v>
      </c>
      <c r="F1471" s="0" t="s">
        <v>2099</v>
      </c>
      <c r="G1471" s="0" t="s">
        <v>2240</v>
      </c>
      <c r="H1471" s="0" t="s">
        <v>2100</v>
      </c>
      <c r="I1471" s="0" t="s">
        <v>2101</v>
      </c>
      <c r="J1471" s="0" t="s">
        <v>2323</v>
      </c>
      <c r="K1471" s="272" t="n">
        <v>-43182.7211383871</v>
      </c>
    </row>
    <row r="1472" customFormat="false" ht="15" hidden="false" customHeight="false" outlineLevel="0" collapsed="false">
      <c r="A1472" s="0" t="s">
        <v>2041</v>
      </c>
      <c r="B1472" s="0" t="s">
        <v>2042</v>
      </c>
      <c r="C1472" s="0" t="s">
        <v>2321</v>
      </c>
      <c r="D1472" s="0" t="s">
        <v>2105</v>
      </c>
      <c r="E1472" s="0" t="s">
        <v>2045</v>
      </c>
      <c r="F1472" s="0" t="s">
        <v>2099</v>
      </c>
      <c r="G1472" s="0" t="s">
        <v>2240</v>
      </c>
      <c r="H1472" s="0" t="s">
        <v>2235</v>
      </c>
      <c r="I1472" s="0" t="s">
        <v>2322</v>
      </c>
      <c r="J1472" s="0" t="s">
        <v>2323</v>
      </c>
      <c r="K1472" s="272" t="n">
        <v>30764.9903714152</v>
      </c>
    </row>
    <row r="1473" customFormat="false" ht="15" hidden="false" customHeight="false" outlineLevel="0" collapsed="false">
      <c r="A1473" s="0" t="s">
        <v>2041</v>
      </c>
      <c r="B1473" s="0" t="s">
        <v>2042</v>
      </c>
      <c r="C1473" s="0" t="s">
        <v>2321</v>
      </c>
      <c r="D1473" s="0" t="s">
        <v>2105</v>
      </c>
      <c r="E1473" s="0" t="s">
        <v>2045</v>
      </c>
      <c r="F1473" s="0" t="s">
        <v>2099</v>
      </c>
      <c r="G1473" s="0" t="s">
        <v>2241</v>
      </c>
      <c r="H1473" s="0" t="s">
        <v>2242</v>
      </c>
      <c r="I1473" s="0" t="s">
        <v>2322</v>
      </c>
      <c r="J1473" s="0" t="s">
        <v>2323</v>
      </c>
      <c r="K1473" s="272" t="n">
        <v>2703788.15080977</v>
      </c>
    </row>
    <row r="1474" customFormat="false" ht="15" hidden="false" customHeight="false" outlineLevel="0" collapsed="false">
      <c r="A1474" s="0" t="s">
        <v>2041</v>
      </c>
      <c r="B1474" s="0" t="s">
        <v>2042</v>
      </c>
      <c r="C1474" s="0" t="s">
        <v>2321</v>
      </c>
      <c r="D1474" s="0" t="s">
        <v>2105</v>
      </c>
      <c r="E1474" s="0" t="s">
        <v>2045</v>
      </c>
      <c r="F1474" s="0" t="s">
        <v>2099</v>
      </c>
      <c r="G1474" s="0" t="s">
        <v>2243</v>
      </c>
      <c r="H1474" s="0" t="s">
        <v>2244</v>
      </c>
      <c r="I1474" s="0" t="s">
        <v>2322</v>
      </c>
      <c r="J1474" s="0" t="s">
        <v>2323</v>
      </c>
      <c r="K1474" s="272" t="n">
        <v>-1612719.98730947</v>
      </c>
    </row>
    <row r="1475" customFormat="false" ht="15" hidden="false" customHeight="false" outlineLevel="0" collapsed="false">
      <c r="A1475" s="0" t="s">
        <v>2041</v>
      </c>
      <c r="B1475" s="0" t="s">
        <v>2042</v>
      </c>
      <c r="C1475" s="0" t="s">
        <v>2321</v>
      </c>
      <c r="D1475" s="0" t="s">
        <v>2105</v>
      </c>
      <c r="E1475" s="0" t="s">
        <v>2045</v>
      </c>
      <c r="F1475" s="0" t="s">
        <v>2099</v>
      </c>
      <c r="G1475" s="0" t="s">
        <v>2243</v>
      </c>
      <c r="H1475" s="0" t="s">
        <v>2244</v>
      </c>
      <c r="I1475" s="0" t="s">
        <v>2124</v>
      </c>
      <c r="J1475" s="0" t="s">
        <v>2323</v>
      </c>
      <c r="K1475" s="272" t="n">
        <v>-361282.003184938</v>
      </c>
    </row>
    <row r="1476" customFormat="false" ht="15" hidden="false" customHeight="false" outlineLevel="0" collapsed="false">
      <c r="A1476" s="0" t="s">
        <v>2041</v>
      </c>
      <c r="B1476" s="0" t="s">
        <v>2042</v>
      </c>
      <c r="C1476" s="0" t="s">
        <v>2321</v>
      </c>
      <c r="D1476" s="0" t="s">
        <v>2105</v>
      </c>
      <c r="E1476" s="0" t="s">
        <v>2045</v>
      </c>
      <c r="F1476" s="0" t="s">
        <v>2099</v>
      </c>
      <c r="G1476" s="0" t="s">
        <v>2243</v>
      </c>
      <c r="H1476" s="0" t="s">
        <v>2244</v>
      </c>
      <c r="I1476" s="0" t="s">
        <v>2197</v>
      </c>
      <c r="J1476" s="0" t="s">
        <v>2323</v>
      </c>
      <c r="K1476" s="272" t="n">
        <v>-963582.975283855</v>
      </c>
    </row>
    <row r="1477" customFormat="false" ht="15" hidden="false" customHeight="false" outlineLevel="0" collapsed="false">
      <c r="A1477" s="0" t="s">
        <v>2041</v>
      </c>
      <c r="B1477" s="0" t="s">
        <v>2042</v>
      </c>
      <c r="C1477" s="0" t="s">
        <v>2321</v>
      </c>
      <c r="D1477" s="0" t="s">
        <v>2105</v>
      </c>
      <c r="E1477" s="0" t="s">
        <v>2045</v>
      </c>
      <c r="F1477" s="0" t="s">
        <v>2099</v>
      </c>
      <c r="G1477" s="0" t="s">
        <v>2243</v>
      </c>
      <c r="H1477" s="0" t="s">
        <v>2244</v>
      </c>
      <c r="I1477" s="0" t="s">
        <v>2201</v>
      </c>
      <c r="J1477" s="0" t="s">
        <v>2323</v>
      </c>
      <c r="K1477" s="272" t="n">
        <v>12602.7990931728</v>
      </c>
    </row>
    <row r="1478" customFormat="false" ht="15" hidden="false" customHeight="false" outlineLevel="0" collapsed="false">
      <c r="A1478" s="0" t="s">
        <v>2041</v>
      </c>
      <c r="B1478" s="0" t="s">
        <v>2042</v>
      </c>
      <c r="C1478" s="0" t="s">
        <v>2321</v>
      </c>
      <c r="D1478" s="0" t="s">
        <v>2105</v>
      </c>
      <c r="E1478" s="0" t="s">
        <v>2045</v>
      </c>
      <c r="F1478" s="0" t="s">
        <v>2099</v>
      </c>
      <c r="G1478" s="0" t="s">
        <v>2243</v>
      </c>
      <c r="H1478" s="0" t="s">
        <v>2244</v>
      </c>
      <c r="I1478" s="0" t="s">
        <v>2329</v>
      </c>
      <c r="J1478" s="0" t="s">
        <v>2323</v>
      </c>
      <c r="K1478" s="272" t="n">
        <v>51212.7034996082</v>
      </c>
    </row>
    <row r="1479" customFormat="false" ht="15" hidden="false" customHeight="false" outlineLevel="0" collapsed="false">
      <c r="A1479" s="0" t="s">
        <v>2041</v>
      </c>
      <c r="B1479" s="0" t="s">
        <v>2042</v>
      </c>
      <c r="C1479" s="0" t="s">
        <v>2321</v>
      </c>
      <c r="D1479" s="0" t="s">
        <v>2105</v>
      </c>
      <c r="E1479" s="0" t="s">
        <v>2045</v>
      </c>
      <c r="F1479" s="0" t="s">
        <v>2099</v>
      </c>
      <c r="G1479" s="0" t="s">
        <v>2243</v>
      </c>
      <c r="H1479" s="0" t="s">
        <v>2245</v>
      </c>
      <c r="I1479" s="0" t="s">
        <v>2322</v>
      </c>
      <c r="J1479" s="0" t="s">
        <v>2323</v>
      </c>
      <c r="K1479" s="272" t="n">
        <v>-55057.8034853444</v>
      </c>
    </row>
    <row r="1480" customFormat="false" ht="15" hidden="false" customHeight="false" outlineLevel="0" collapsed="false">
      <c r="A1480" s="0" t="s">
        <v>2041</v>
      </c>
      <c r="B1480" s="0" t="s">
        <v>2042</v>
      </c>
      <c r="C1480" s="0" t="s">
        <v>2321</v>
      </c>
      <c r="D1480" s="0" t="s">
        <v>2105</v>
      </c>
      <c r="E1480" s="0" t="s">
        <v>2045</v>
      </c>
      <c r="F1480" s="0" t="s">
        <v>2099</v>
      </c>
      <c r="G1480" s="0" t="s">
        <v>2243</v>
      </c>
      <c r="H1480" s="0" t="s">
        <v>2245</v>
      </c>
      <c r="I1480" s="0" t="s">
        <v>2246</v>
      </c>
      <c r="J1480" s="0" t="s">
        <v>2323</v>
      </c>
      <c r="K1480" s="272" t="n">
        <v>477043.554295195</v>
      </c>
    </row>
    <row r="1481" customFormat="false" ht="15" hidden="false" customHeight="false" outlineLevel="0" collapsed="false">
      <c r="A1481" s="0" t="s">
        <v>2041</v>
      </c>
      <c r="B1481" s="0" t="s">
        <v>2042</v>
      </c>
      <c r="C1481" s="0" t="s">
        <v>2321</v>
      </c>
      <c r="D1481" s="0" t="s">
        <v>2105</v>
      </c>
      <c r="E1481" s="0" t="s">
        <v>2045</v>
      </c>
      <c r="F1481" s="0" t="s">
        <v>2099</v>
      </c>
      <c r="G1481" s="0" t="s">
        <v>2243</v>
      </c>
      <c r="H1481" s="0" t="s">
        <v>2247</v>
      </c>
      <c r="I1481" s="0" t="s">
        <v>2322</v>
      </c>
      <c r="J1481" s="0" t="s">
        <v>2323</v>
      </c>
      <c r="K1481" s="272" t="n">
        <v>-89776.1474742405</v>
      </c>
    </row>
    <row r="1482" customFormat="false" ht="15" hidden="false" customHeight="false" outlineLevel="0" collapsed="false">
      <c r="A1482" s="0" t="s">
        <v>2041</v>
      </c>
      <c r="B1482" s="0" t="s">
        <v>2042</v>
      </c>
      <c r="C1482" s="0" t="s">
        <v>2321</v>
      </c>
      <c r="D1482" s="0" t="s">
        <v>2105</v>
      </c>
      <c r="E1482" s="0" t="s">
        <v>2045</v>
      </c>
      <c r="F1482" s="0" t="s">
        <v>2099</v>
      </c>
      <c r="G1482" s="0" t="s">
        <v>2243</v>
      </c>
      <c r="H1482" s="0" t="s">
        <v>2247</v>
      </c>
      <c r="I1482" s="0" t="s">
        <v>2124</v>
      </c>
      <c r="J1482" s="0" t="s">
        <v>2323</v>
      </c>
      <c r="K1482" s="272" t="n">
        <v>78585.5682523291</v>
      </c>
    </row>
    <row r="1483" customFormat="false" ht="15" hidden="false" customHeight="false" outlineLevel="0" collapsed="false">
      <c r="A1483" s="0" t="s">
        <v>2041</v>
      </c>
      <c r="B1483" s="0" t="s">
        <v>2042</v>
      </c>
      <c r="C1483" s="0" t="s">
        <v>2321</v>
      </c>
      <c r="D1483" s="0" t="s">
        <v>2105</v>
      </c>
      <c r="E1483" s="0" t="s">
        <v>2045</v>
      </c>
      <c r="F1483" s="0" t="s">
        <v>2099</v>
      </c>
      <c r="G1483" s="0" t="s">
        <v>2243</v>
      </c>
      <c r="H1483" s="0" t="s">
        <v>2247</v>
      </c>
      <c r="I1483" s="0" t="s">
        <v>2197</v>
      </c>
      <c r="J1483" s="0" t="s">
        <v>2323</v>
      </c>
      <c r="K1483" s="272" t="n">
        <v>929716.420731125</v>
      </c>
    </row>
    <row r="1484" customFormat="false" ht="15" hidden="false" customHeight="false" outlineLevel="0" collapsed="false">
      <c r="A1484" s="0" t="s">
        <v>2041</v>
      </c>
      <c r="B1484" s="0" t="s">
        <v>2042</v>
      </c>
      <c r="C1484" s="0" t="s">
        <v>2321</v>
      </c>
      <c r="D1484" s="0" t="s">
        <v>2105</v>
      </c>
      <c r="E1484" s="0" t="s">
        <v>2045</v>
      </c>
      <c r="F1484" s="0" t="s">
        <v>2099</v>
      </c>
      <c r="G1484" s="0" t="s">
        <v>2243</v>
      </c>
      <c r="H1484" s="0" t="s">
        <v>2247</v>
      </c>
      <c r="I1484" s="0" t="s">
        <v>2201</v>
      </c>
      <c r="J1484" s="0" t="s">
        <v>2323</v>
      </c>
      <c r="K1484" s="272" t="n">
        <v>-1395760.51103994</v>
      </c>
    </row>
    <row r="1485" customFormat="false" ht="15" hidden="false" customHeight="false" outlineLevel="0" collapsed="false">
      <c r="A1485" s="0" t="s">
        <v>2041</v>
      </c>
      <c r="B1485" s="0" t="s">
        <v>2042</v>
      </c>
      <c r="C1485" s="0" t="s">
        <v>2321</v>
      </c>
      <c r="D1485" s="0" t="s">
        <v>2105</v>
      </c>
      <c r="E1485" s="0" t="s">
        <v>2045</v>
      </c>
      <c r="F1485" s="0" t="s">
        <v>2099</v>
      </c>
      <c r="G1485" s="0" t="s">
        <v>2248</v>
      </c>
      <c r="H1485" s="0" t="s">
        <v>2244</v>
      </c>
      <c r="I1485" s="0" t="s">
        <v>2246</v>
      </c>
      <c r="J1485" s="0" t="s">
        <v>2323</v>
      </c>
      <c r="K1485" s="272" t="n">
        <v>13901.9822396849</v>
      </c>
    </row>
    <row r="1486" customFormat="false" ht="15" hidden="false" customHeight="false" outlineLevel="0" collapsed="false">
      <c r="A1486" s="0" t="s">
        <v>2041</v>
      </c>
      <c r="B1486" s="0" t="s">
        <v>2042</v>
      </c>
      <c r="C1486" s="0" t="s">
        <v>2321</v>
      </c>
      <c r="D1486" s="0" t="s">
        <v>2105</v>
      </c>
      <c r="E1486" s="0" t="s">
        <v>2045</v>
      </c>
      <c r="F1486" s="0" t="s">
        <v>2099</v>
      </c>
      <c r="G1486" s="0" t="s">
        <v>2248</v>
      </c>
      <c r="H1486" s="0" t="s">
        <v>2245</v>
      </c>
      <c r="I1486" s="0" t="s">
        <v>2246</v>
      </c>
      <c r="J1486" s="0" t="s">
        <v>2323</v>
      </c>
      <c r="K1486" s="272" t="n">
        <v>-23961.8041146127</v>
      </c>
    </row>
    <row r="1487" customFormat="false" ht="15" hidden="false" customHeight="false" outlineLevel="0" collapsed="false">
      <c r="A1487" s="0" t="s">
        <v>2041</v>
      </c>
      <c r="B1487" s="0" t="s">
        <v>2042</v>
      </c>
      <c r="C1487" s="0" t="s">
        <v>2321</v>
      </c>
      <c r="D1487" s="0" t="s">
        <v>2105</v>
      </c>
      <c r="E1487" s="0" t="s">
        <v>2045</v>
      </c>
      <c r="F1487" s="0" t="s">
        <v>2099</v>
      </c>
      <c r="G1487" s="0" t="s">
        <v>2249</v>
      </c>
      <c r="H1487" s="0" t="s">
        <v>2245</v>
      </c>
      <c r="I1487" s="0" t="s">
        <v>2246</v>
      </c>
      <c r="J1487" s="0" t="s">
        <v>2323</v>
      </c>
      <c r="K1487" s="272" t="n">
        <v>-19482.290039415</v>
      </c>
    </row>
    <row r="1488" customFormat="false" ht="15" hidden="false" customHeight="false" outlineLevel="0" collapsed="false">
      <c r="A1488" s="0" t="s">
        <v>2041</v>
      </c>
      <c r="B1488" s="0" t="s">
        <v>2042</v>
      </c>
      <c r="C1488" s="0" t="s">
        <v>2321</v>
      </c>
      <c r="D1488" s="0" t="s">
        <v>2105</v>
      </c>
      <c r="E1488" s="0" t="s">
        <v>2045</v>
      </c>
      <c r="F1488" s="0" t="s">
        <v>2250</v>
      </c>
      <c r="G1488" s="0" t="s">
        <v>2251</v>
      </c>
      <c r="H1488" s="0" t="s">
        <v>2252</v>
      </c>
      <c r="I1488" s="0" t="s">
        <v>2322</v>
      </c>
      <c r="J1488" s="0" t="s">
        <v>2323</v>
      </c>
      <c r="K1488" s="272" t="n">
        <v>-695824.678467222</v>
      </c>
    </row>
    <row r="1489" customFormat="false" ht="15" hidden="false" customHeight="false" outlineLevel="0" collapsed="false">
      <c r="A1489" s="0" t="s">
        <v>2041</v>
      </c>
      <c r="B1489" s="0" t="s">
        <v>2042</v>
      </c>
      <c r="C1489" s="0" t="s">
        <v>2321</v>
      </c>
      <c r="D1489" s="0" t="s">
        <v>2105</v>
      </c>
      <c r="E1489" s="0" t="s">
        <v>2045</v>
      </c>
      <c r="F1489" s="0" t="s">
        <v>2250</v>
      </c>
      <c r="G1489" s="0" t="s">
        <v>2251</v>
      </c>
      <c r="H1489" s="0" t="s">
        <v>2253</v>
      </c>
      <c r="I1489" s="0" t="s">
        <v>2322</v>
      </c>
      <c r="J1489" s="0" t="s">
        <v>2323</v>
      </c>
      <c r="K1489" s="272" t="n">
        <v>-1201698.35223395</v>
      </c>
    </row>
    <row r="1490" customFormat="false" ht="15" hidden="false" customHeight="false" outlineLevel="0" collapsed="false">
      <c r="A1490" s="0" t="s">
        <v>2041</v>
      </c>
      <c r="B1490" s="0" t="s">
        <v>2042</v>
      </c>
      <c r="C1490" s="0" t="s">
        <v>2321</v>
      </c>
      <c r="D1490" s="0" t="s">
        <v>2105</v>
      </c>
      <c r="E1490" s="0" t="s">
        <v>2045</v>
      </c>
      <c r="F1490" s="0" t="s">
        <v>2250</v>
      </c>
      <c r="G1490" s="0" t="s">
        <v>2251</v>
      </c>
      <c r="H1490" s="0" t="s">
        <v>2253</v>
      </c>
      <c r="I1490" s="0" t="s">
        <v>2254</v>
      </c>
      <c r="J1490" s="0" t="s">
        <v>2323</v>
      </c>
      <c r="K1490" s="272" t="n">
        <v>-3815.26830395381</v>
      </c>
    </row>
    <row r="1491" customFormat="false" ht="15" hidden="false" customHeight="false" outlineLevel="0" collapsed="false">
      <c r="A1491" s="0" t="s">
        <v>2041</v>
      </c>
      <c r="B1491" s="0" t="s">
        <v>2042</v>
      </c>
      <c r="C1491" s="0" t="s">
        <v>2321</v>
      </c>
      <c r="D1491" s="0" t="s">
        <v>2105</v>
      </c>
      <c r="E1491" s="0" t="s">
        <v>2045</v>
      </c>
      <c r="F1491" s="0" t="s">
        <v>2250</v>
      </c>
      <c r="G1491" s="0" t="s">
        <v>2251</v>
      </c>
      <c r="H1491" s="0" t="s">
        <v>2253</v>
      </c>
      <c r="I1491" s="0" t="s">
        <v>2197</v>
      </c>
      <c r="J1491" s="0" t="s">
        <v>2323</v>
      </c>
      <c r="K1491" s="272" t="n">
        <v>188886.909007931</v>
      </c>
    </row>
    <row r="1492" customFormat="false" ht="15" hidden="false" customHeight="false" outlineLevel="0" collapsed="false">
      <c r="A1492" s="0" t="s">
        <v>2041</v>
      </c>
      <c r="B1492" s="0" t="s">
        <v>2042</v>
      </c>
      <c r="C1492" s="0" t="s">
        <v>2321</v>
      </c>
      <c r="D1492" s="0" t="s">
        <v>2105</v>
      </c>
      <c r="E1492" s="0" t="s">
        <v>2045</v>
      </c>
      <c r="F1492" s="0" t="s">
        <v>2250</v>
      </c>
      <c r="G1492" s="0" t="s">
        <v>2251</v>
      </c>
      <c r="H1492" s="0" t="s">
        <v>2255</v>
      </c>
      <c r="I1492" s="0" t="s">
        <v>2322</v>
      </c>
      <c r="J1492" s="0" t="s">
        <v>2323</v>
      </c>
      <c r="K1492" s="272" t="n">
        <v>-760229.887907283</v>
      </c>
    </row>
    <row r="1493" customFormat="false" ht="15" hidden="false" customHeight="false" outlineLevel="0" collapsed="false">
      <c r="A1493" s="0" t="s">
        <v>2041</v>
      </c>
      <c r="B1493" s="0" t="s">
        <v>2042</v>
      </c>
      <c r="C1493" s="0" t="s">
        <v>2321</v>
      </c>
      <c r="D1493" s="0" t="s">
        <v>2105</v>
      </c>
      <c r="E1493" s="0" t="s">
        <v>2045</v>
      </c>
      <c r="F1493" s="0" t="s">
        <v>2256</v>
      </c>
      <c r="G1493" s="0" t="s">
        <v>2257</v>
      </c>
      <c r="H1493" s="0" t="s">
        <v>2179</v>
      </c>
      <c r="I1493" s="0" t="s">
        <v>2322</v>
      </c>
      <c r="J1493" s="0" t="s">
        <v>2323</v>
      </c>
      <c r="K1493" s="272" t="n">
        <v>-3459884.35966997</v>
      </c>
    </row>
    <row r="1494" customFormat="false" ht="15" hidden="false" customHeight="false" outlineLevel="0" collapsed="false">
      <c r="A1494" s="0" t="s">
        <v>2041</v>
      </c>
      <c r="B1494" s="0" t="s">
        <v>2042</v>
      </c>
      <c r="C1494" s="0" t="s">
        <v>2321</v>
      </c>
      <c r="D1494" s="0" t="s">
        <v>2105</v>
      </c>
      <c r="E1494" s="0" t="s">
        <v>2045</v>
      </c>
      <c r="F1494" s="0" t="s">
        <v>2256</v>
      </c>
      <c r="G1494" s="0" t="s">
        <v>2257</v>
      </c>
      <c r="H1494" s="0" t="s">
        <v>2258</v>
      </c>
      <c r="I1494" s="0" t="s">
        <v>2322</v>
      </c>
      <c r="J1494" s="0" t="s">
        <v>2323</v>
      </c>
      <c r="K1494" s="272" t="n">
        <v>1433448.07495997</v>
      </c>
    </row>
    <row r="1495" customFormat="false" ht="15" hidden="false" customHeight="false" outlineLevel="0" collapsed="false">
      <c r="A1495" s="0" t="s">
        <v>2041</v>
      </c>
      <c r="B1495" s="0" t="s">
        <v>2042</v>
      </c>
      <c r="C1495" s="0" t="s">
        <v>2321</v>
      </c>
      <c r="D1495" s="0" t="s">
        <v>2105</v>
      </c>
      <c r="E1495" s="0" t="s">
        <v>2045</v>
      </c>
      <c r="F1495" s="0" t="s">
        <v>2256</v>
      </c>
      <c r="G1495" s="0" t="s">
        <v>2259</v>
      </c>
      <c r="H1495" s="0" t="s">
        <v>2258</v>
      </c>
      <c r="I1495" s="0" t="s">
        <v>2322</v>
      </c>
      <c r="J1495" s="0" t="s">
        <v>2323</v>
      </c>
      <c r="K1495" s="272" t="n">
        <v>19664542.7252139</v>
      </c>
    </row>
    <row r="1496" customFormat="false" ht="15" hidden="false" customHeight="false" outlineLevel="0" collapsed="false">
      <c r="A1496" s="0" t="s">
        <v>2041</v>
      </c>
      <c r="B1496" s="0" t="s">
        <v>2042</v>
      </c>
      <c r="C1496" s="0" t="s">
        <v>2321</v>
      </c>
      <c r="D1496" s="0" t="s">
        <v>2105</v>
      </c>
      <c r="E1496" s="0" t="s">
        <v>2045</v>
      </c>
      <c r="F1496" s="0" t="s">
        <v>2256</v>
      </c>
      <c r="G1496" s="0" t="s">
        <v>2259</v>
      </c>
      <c r="H1496" s="0" t="s">
        <v>2258</v>
      </c>
      <c r="I1496" s="0" t="s">
        <v>2124</v>
      </c>
      <c r="J1496" s="0" t="s">
        <v>2323</v>
      </c>
      <c r="K1496" s="272" t="n">
        <v>1098344.42716199</v>
      </c>
    </row>
    <row r="1497" customFormat="false" ht="15" hidden="false" customHeight="false" outlineLevel="0" collapsed="false">
      <c r="A1497" s="0" t="s">
        <v>2041</v>
      </c>
      <c r="B1497" s="0" t="s">
        <v>2042</v>
      </c>
      <c r="C1497" s="0" t="s">
        <v>2321</v>
      </c>
      <c r="D1497" s="0" t="s">
        <v>2105</v>
      </c>
      <c r="E1497" s="0" t="s">
        <v>2045</v>
      </c>
      <c r="F1497" s="0" t="s">
        <v>2256</v>
      </c>
      <c r="G1497" s="0" t="s">
        <v>2260</v>
      </c>
      <c r="H1497" s="0" t="s">
        <v>2261</v>
      </c>
      <c r="I1497" s="0" t="s">
        <v>2322</v>
      </c>
      <c r="J1497" s="0" t="s">
        <v>2323</v>
      </c>
      <c r="K1497" s="272" t="n">
        <v>1737994.31251224</v>
      </c>
    </row>
    <row r="1498" customFormat="false" ht="15" hidden="false" customHeight="false" outlineLevel="0" collapsed="false">
      <c r="A1498" s="0" t="s">
        <v>2041</v>
      </c>
      <c r="B1498" s="0" t="s">
        <v>2042</v>
      </c>
      <c r="C1498" s="0" t="s">
        <v>2321</v>
      </c>
      <c r="D1498" s="0" t="s">
        <v>2105</v>
      </c>
      <c r="E1498" s="0" t="s">
        <v>2045</v>
      </c>
      <c r="F1498" s="0" t="s">
        <v>2256</v>
      </c>
      <c r="G1498" s="0" t="s">
        <v>2260</v>
      </c>
      <c r="H1498" s="0" t="s">
        <v>2261</v>
      </c>
      <c r="I1498" s="0" t="s">
        <v>2124</v>
      </c>
      <c r="J1498" s="0" t="s">
        <v>2323</v>
      </c>
      <c r="K1498" s="272" t="n">
        <v>132009.227691495</v>
      </c>
    </row>
    <row r="1499" customFormat="false" ht="15" hidden="false" customHeight="false" outlineLevel="0" collapsed="false">
      <c r="A1499" s="0" t="s">
        <v>2041</v>
      </c>
      <c r="B1499" s="0" t="s">
        <v>2042</v>
      </c>
      <c r="C1499" s="0" t="s">
        <v>2321</v>
      </c>
      <c r="D1499" s="0" t="s">
        <v>2105</v>
      </c>
      <c r="E1499" s="0" t="s">
        <v>2045</v>
      </c>
      <c r="F1499" s="0" t="s">
        <v>2256</v>
      </c>
      <c r="G1499" s="0" t="s">
        <v>2262</v>
      </c>
      <c r="H1499" s="0" t="s">
        <v>2263</v>
      </c>
      <c r="I1499" s="0" t="s">
        <v>2322</v>
      </c>
      <c r="J1499" s="0" t="s">
        <v>2323</v>
      </c>
      <c r="K1499" s="272" t="n">
        <v>-973695.856333686</v>
      </c>
    </row>
    <row r="1500" customFormat="false" ht="15" hidden="false" customHeight="false" outlineLevel="0" collapsed="false">
      <c r="A1500" s="0" t="s">
        <v>2041</v>
      </c>
      <c r="B1500" s="0" t="s">
        <v>2042</v>
      </c>
      <c r="C1500" s="0" t="s">
        <v>2321</v>
      </c>
      <c r="D1500" s="0" t="s">
        <v>2105</v>
      </c>
      <c r="E1500" s="0" t="s">
        <v>2045</v>
      </c>
      <c r="F1500" s="0" t="s">
        <v>2256</v>
      </c>
      <c r="G1500" s="0" t="s">
        <v>2262</v>
      </c>
      <c r="H1500" s="0" t="s">
        <v>2264</v>
      </c>
      <c r="I1500" s="0" t="s">
        <v>2322</v>
      </c>
      <c r="J1500" s="0" t="s">
        <v>2323</v>
      </c>
      <c r="K1500" s="272" t="n">
        <v>4952036.37451001</v>
      </c>
    </row>
    <row r="1501" customFormat="false" ht="15" hidden="false" customHeight="false" outlineLevel="0" collapsed="false">
      <c r="A1501" s="0" t="s">
        <v>2041</v>
      </c>
      <c r="B1501" s="0" t="s">
        <v>2042</v>
      </c>
      <c r="C1501" s="0" t="s">
        <v>2321</v>
      </c>
      <c r="D1501" s="0" t="s">
        <v>2105</v>
      </c>
      <c r="E1501" s="0" t="s">
        <v>2045</v>
      </c>
      <c r="F1501" s="0" t="s">
        <v>2256</v>
      </c>
      <c r="G1501" s="0" t="s">
        <v>2262</v>
      </c>
      <c r="H1501" s="0" t="s">
        <v>2264</v>
      </c>
      <c r="I1501" s="0" t="s">
        <v>2124</v>
      </c>
      <c r="J1501" s="0" t="s">
        <v>2323</v>
      </c>
      <c r="K1501" s="272" t="n">
        <v>386048.663118748</v>
      </c>
    </row>
    <row r="1502" customFormat="false" ht="15" hidden="false" customHeight="false" outlineLevel="0" collapsed="false">
      <c r="A1502" s="0" t="s">
        <v>2041</v>
      </c>
      <c r="B1502" s="0" t="s">
        <v>2042</v>
      </c>
      <c r="C1502" s="0" t="s">
        <v>2321</v>
      </c>
      <c r="D1502" s="0" t="s">
        <v>2105</v>
      </c>
      <c r="E1502" s="0" t="s">
        <v>2045</v>
      </c>
      <c r="F1502" s="0" t="s">
        <v>2256</v>
      </c>
      <c r="G1502" s="0" t="s">
        <v>2262</v>
      </c>
      <c r="H1502" s="0" t="s">
        <v>2265</v>
      </c>
      <c r="I1502" s="0" t="s">
        <v>2322</v>
      </c>
      <c r="J1502" s="0" t="s">
        <v>2323</v>
      </c>
      <c r="K1502" s="272" t="n">
        <v>998266.253330519</v>
      </c>
    </row>
    <row r="1503" customFormat="false" ht="15" hidden="false" customHeight="false" outlineLevel="0" collapsed="false">
      <c r="A1503" s="0" t="s">
        <v>2041</v>
      </c>
      <c r="B1503" s="0" t="s">
        <v>2042</v>
      </c>
      <c r="C1503" s="0" t="s">
        <v>2321</v>
      </c>
      <c r="D1503" s="0" t="s">
        <v>2105</v>
      </c>
      <c r="E1503" s="0" t="s">
        <v>2045</v>
      </c>
      <c r="F1503" s="0" t="s">
        <v>2256</v>
      </c>
      <c r="G1503" s="0" t="s">
        <v>2266</v>
      </c>
      <c r="H1503" s="0" t="s">
        <v>2267</v>
      </c>
      <c r="I1503" s="0" t="s">
        <v>2322</v>
      </c>
      <c r="J1503" s="0" t="s">
        <v>2323</v>
      </c>
      <c r="K1503" s="272" t="n">
        <v>4898467.12154757</v>
      </c>
    </row>
    <row r="1504" customFormat="false" ht="15" hidden="false" customHeight="false" outlineLevel="0" collapsed="false">
      <c r="A1504" s="0" t="s">
        <v>2041</v>
      </c>
      <c r="B1504" s="0" t="s">
        <v>2042</v>
      </c>
      <c r="C1504" s="0" t="s">
        <v>2321</v>
      </c>
      <c r="D1504" s="0" t="s">
        <v>2105</v>
      </c>
      <c r="E1504" s="0" t="s">
        <v>2045</v>
      </c>
      <c r="F1504" s="0" t="s">
        <v>2256</v>
      </c>
      <c r="G1504" s="0" t="s">
        <v>2266</v>
      </c>
      <c r="H1504" s="0" t="s">
        <v>2267</v>
      </c>
      <c r="I1504" s="0" t="s">
        <v>2124</v>
      </c>
      <c r="J1504" s="0" t="s">
        <v>2323</v>
      </c>
      <c r="K1504" s="272" t="n">
        <v>649411.086358455</v>
      </c>
    </row>
    <row r="1505" customFormat="false" ht="15" hidden="false" customHeight="false" outlineLevel="0" collapsed="false">
      <c r="A1505" s="0" t="s">
        <v>2041</v>
      </c>
      <c r="B1505" s="0" t="s">
        <v>2042</v>
      </c>
      <c r="C1505" s="0" t="s">
        <v>2321</v>
      </c>
      <c r="D1505" s="0" t="s">
        <v>2105</v>
      </c>
      <c r="E1505" s="0" t="s">
        <v>2045</v>
      </c>
      <c r="F1505" s="0" t="s">
        <v>2268</v>
      </c>
      <c r="G1505" s="0" t="s">
        <v>2330</v>
      </c>
      <c r="H1505" s="0" t="s">
        <v>2331</v>
      </c>
      <c r="I1505" s="0" t="s">
        <v>2322</v>
      </c>
      <c r="J1505" s="0" t="s">
        <v>2323</v>
      </c>
      <c r="K1505" s="272" t="n">
        <v>97.4935253397889</v>
      </c>
    </row>
    <row r="1506" customFormat="false" ht="15" hidden="false" customHeight="false" outlineLevel="0" collapsed="false">
      <c r="A1506" s="0" t="s">
        <v>2041</v>
      </c>
      <c r="B1506" s="0" t="s">
        <v>2042</v>
      </c>
      <c r="C1506" s="0" t="s">
        <v>2321</v>
      </c>
      <c r="D1506" s="0" t="s">
        <v>2105</v>
      </c>
      <c r="E1506" s="0" t="s">
        <v>2045</v>
      </c>
      <c r="F1506" s="0" t="s">
        <v>2268</v>
      </c>
      <c r="G1506" s="0" t="s">
        <v>2269</v>
      </c>
      <c r="H1506" s="0" t="s">
        <v>2270</v>
      </c>
      <c r="I1506" s="0" t="s">
        <v>2322</v>
      </c>
      <c r="J1506" s="0" t="s">
        <v>2323</v>
      </c>
      <c r="K1506" s="272" t="n">
        <v>861101.649728091</v>
      </c>
    </row>
    <row r="1507" customFormat="false" ht="15" hidden="false" customHeight="false" outlineLevel="0" collapsed="false">
      <c r="A1507" s="0" t="s">
        <v>2041</v>
      </c>
      <c r="B1507" s="0" t="s">
        <v>2042</v>
      </c>
      <c r="C1507" s="0" t="s">
        <v>2321</v>
      </c>
      <c r="D1507" s="0" t="s">
        <v>2105</v>
      </c>
      <c r="E1507" s="0" t="s">
        <v>2045</v>
      </c>
      <c r="F1507" s="0" t="s">
        <v>2268</v>
      </c>
      <c r="G1507" s="0" t="s">
        <v>2269</v>
      </c>
      <c r="H1507" s="0" t="s">
        <v>2270</v>
      </c>
      <c r="I1507" s="0" t="s">
        <v>2124</v>
      </c>
      <c r="J1507" s="0" t="s">
        <v>2323</v>
      </c>
      <c r="K1507" s="272" t="n">
        <v>389746.817293745</v>
      </c>
    </row>
    <row r="1508" customFormat="false" ht="15" hidden="false" customHeight="false" outlineLevel="0" collapsed="false">
      <c r="A1508" s="0" t="s">
        <v>2041</v>
      </c>
      <c r="B1508" s="0" t="s">
        <v>2042</v>
      </c>
      <c r="C1508" s="0" t="s">
        <v>2321</v>
      </c>
      <c r="D1508" s="0" t="s">
        <v>2105</v>
      </c>
      <c r="E1508" s="0" t="s">
        <v>2045</v>
      </c>
      <c r="F1508" s="0" t="s">
        <v>2150</v>
      </c>
      <c r="G1508" s="0" t="s">
        <v>2151</v>
      </c>
      <c r="H1508" s="0" t="s">
        <v>2271</v>
      </c>
      <c r="I1508" s="0" t="s">
        <v>2272</v>
      </c>
      <c r="J1508" s="0" t="s">
        <v>2323</v>
      </c>
      <c r="K1508" s="272" t="n">
        <v>3829.58826691058</v>
      </c>
    </row>
    <row r="1509" customFormat="false" ht="15" hidden="false" customHeight="false" outlineLevel="0" collapsed="false">
      <c r="A1509" s="0" t="s">
        <v>2041</v>
      </c>
      <c r="B1509" s="0" t="s">
        <v>2042</v>
      </c>
      <c r="C1509" s="0" t="s">
        <v>2321</v>
      </c>
      <c r="D1509" s="0" t="s">
        <v>2105</v>
      </c>
      <c r="E1509" s="0" t="s">
        <v>2045</v>
      </c>
      <c r="F1509" s="0" t="s">
        <v>2150</v>
      </c>
      <c r="G1509" s="0" t="s">
        <v>2151</v>
      </c>
      <c r="H1509" s="0" t="s">
        <v>2152</v>
      </c>
      <c r="I1509" s="0" t="s">
        <v>2322</v>
      </c>
      <c r="J1509" s="0" t="s">
        <v>2323</v>
      </c>
      <c r="K1509" s="272" t="n">
        <v>-629445.665126562</v>
      </c>
    </row>
    <row r="1510" customFormat="false" ht="15" hidden="false" customHeight="false" outlineLevel="0" collapsed="false">
      <c r="A1510" s="0" t="s">
        <v>2041</v>
      </c>
      <c r="B1510" s="0" t="s">
        <v>2042</v>
      </c>
      <c r="C1510" s="0" t="s">
        <v>2321</v>
      </c>
      <c r="D1510" s="0" t="s">
        <v>2105</v>
      </c>
      <c r="E1510" s="0" t="s">
        <v>2045</v>
      </c>
      <c r="F1510" s="0" t="s">
        <v>2150</v>
      </c>
      <c r="G1510" s="0" t="s">
        <v>2151</v>
      </c>
      <c r="H1510" s="0" t="s">
        <v>2273</v>
      </c>
      <c r="I1510" s="0" t="s">
        <v>2272</v>
      </c>
      <c r="J1510" s="0" t="s">
        <v>2323</v>
      </c>
      <c r="K1510" s="272" t="n">
        <v>7107.55913708554</v>
      </c>
    </row>
    <row r="1511" customFormat="false" ht="15" hidden="false" customHeight="false" outlineLevel="0" collapsed="false">
      <c r="A1511" s="0" t="s">
        <v>2041</v>
      </c>
      <c r="B1511" s="0" t="s">
        <v>2042</v>
      </c>
      <c r="C1511" s="0" t="s">
        <v>2321</v>
      </c>
      <c r="D1511" s="0" t="s">
        <v>2105</v>
      </c>
      <c r="E1511" s="0" t="s">
        <v>2045</v>
      </c>
      <c r="F1511" s="0" t="s">
        <v>2150</v>
      </c>
      <c r="G1511" s="0" t="s">
        <v>2151</v>
      </c>
      <c r="H1511" s="0" t="s">
        <v>2153</v>
      </c>
      <c r="I1511" s="0" t="s">
        <v>2322</v>
      </c>
      <c r="J1511" s="0" t="s">
        <v>2323</v>
      </c>
      <c r="K1511" s="272" t="n">
        <v>-636294.038548401</v>
      </c>
    </row>
    <row r="1512" customFormat="false" ht="15" hidden="false" customHeight="false" outlineLevel="0" collapsed="false">
      <c r="A1512" s="0" t="s">
        <v>2041</v>
      </c>
      <c r="B1512" s="0" t="s">
        <v>2042</v>
      </c>
      <c r="C1512" s="0" t="s">
        <v>2321</v>
      </c>
      <c r="D1512" s="0" t="s">
        <v>2105</v>
      </c>
      <c r="E1512" s="0" t="s">
        <v>2045</v>
      </c>
      <c r="F1512" s="0" t="s">
        <v>2150</v>
      </c>
      <c r="G1512" s="0" t="s">
        <v>2151</v>
      </c>
      <c r="H1512" s="0" t="s">
        <v>2154</v>
      </c>
      <c r="I1512" s="0" t="s">
        <v>2322</v>
      </c>
      <c r="J1512" s="0" t="s">
        <v>2323</v>
      </c>
      <c r="K1512" s="272" t="n">
        <v>-143941.226945083</v>
      </c>
    </row>
    <row r="1513" customFormat="false" ht="15" hidden="false" customHeight="false" outlineLevel="0" collapsed="false">
      <c r="A1513" s="0" t="s">
        <v>2041</v>
      </c>
      <c r="B1513" s="0" t="s">
        <v>2042</v>
      </c>
      <c r="C1513" s="0" t="s">
        <v>2321</v>
      </c>
      <c r="D1513" s="0" t="s">
        <v>2105</v>
      </c>
      <c r="E1513" s="0" t="s">
        <v>2045</v>
      </c>
      <c r="F1513" s="0" t="s">
        <v>2150</v>
      </c>
      <c r="G1513" s="0" t="s">
        <v>2155</v>
      </c>
      <c r="H1513" s="0" t="s">
        <v>2154</v>
      </c>
      <c r="I1513" s="0" t="s">
        <v>2322</v>
      </c>
      <c r="J1513" s="0" t="s">
        <v>2323</v>
      </c>
      <c r="K1513" s="272" t="n">
        <v>-2001157.58480366</v>
      </c>
    </row>
    <row r="1514" customFormat="false" ht="15" hidden="false" customHeight="false" outlineLevel="0" collapsed="false">
      <c r="A1514" s="0" t="s">
        <v>2041</v>
      </c>
      <c r="B1514" s="0" t="s">
        <v>2042</v>
      </c>
      <c r="C1514" s="0" t="s">
        <v>2321</v>
      </c>
      <c r="D1514" s="0" t="s">
        <v>2105</v>
      </c>
      <c r="E1514" s="0" t="s">
        <v>2045</v>
      </c>
      <c r="F1514" s="0" t="s">
        <v>2150</v>
      </c>
      <c r="G1514" s="0" t="s">
        <v>2332</v>
      </c>
      <c r="H1514" s="0" t="s">
        <v>2152</v>
      </c>
      <c r="I1514" s="0" t="s">
        <v>2322</v>
      </c>
      <c r="J1514" s="0" t="s">
        <v>2323</v>
      </c>
      <c r="K1514" s="272" t="n">
        <v>9182.82556738285</v>
      </c>
    </row>
    <row r="1515" customFormat="false" ht="15" hidden="false" customHeight="false" outlineLevel="0" collapsed="false">
      <c r="A1515" s="0" t="s">
        <v>2041</v>
      </c>
      <c r="B1515" s="0" t="s">
        <v>2042</v>
      </c>
      <c r="C1515" s="0" t="s">
        <v>2321</v>
      </c>
      <c r="D1515" s="0" t="s">
        <v>2105</v>
      </c>
      <c r="E1515" s="0" t="s">
        <v>2274</v>
      </c>
      <c r="F1515" s="0" t="s">
        <v>2275</v>
      </c>
      <c r="G1515" s="0" t="s">
        <v>2276</v>
      </c>
      <c r="H1515" s="0" t="s">
        <v>2277</v>
      </c>
      <c r="I1515" s="0" t="s">
        <v>2322</v>
      </c>
      <c r="J1515" s="0" t="s">
        <v>2323</v>
      </c>
      <c r="K1515" s="272" t="n">
        <v>419271.138910084</v>
      </c>
    </row>
    <row r="1516" customFormat="false" ht="15" hidden="false" customHeight="false" outlineLevel="0" collapsed="false">
      <c r="A1516" s="0" t="s">
        <v>2041</v>
      </c>
      <c r="B1516" s="0" t="s">
        <v>2042</v>
      </c>
      <c r="C1516" s="0" t="s">
        <v>2321</v>
      </c>
      <c r="D1516" s="0" t="s">
        <v>2105</v>
      </c>
      <c r="E1516" s="0" t="s">
        <v>2274</v>
      </c>
      <c r="F1516" s="0" t="s">
        <v>2275</v>
      </c>
      <c r="G1516" s="0" t="s">
        <v>2276</v>
      </c>
      <c r="H1516" s="0" t="s">
        <v>2277</v>
      </c>
      <c r="I1516" s="0" t="s">
        <v>2278</v>
      </c>
      <c r="J1516" s="0" t="s">
        <v>2323</v>
      </c>
      <c r="K1516" s="272" t="n">
        <v>-66431.0080917388</v>
      </c>
    </row>
    <row r="1517" customFormat="false" ht="15" hidden="false" customHeight="false" outlineLevel="0" collapsed="false">
      <c r="A1517" s="0" t="s">
        <v>2041</v>
      </c>
      <c r="B1517" s="0" t="s">
        <v>2042</v>
      </c>
      <c r="C1517" s="0" t="s">
        <v>2321</v>
      </c>
      <c r="D1517" s="0" t="s">
        <v>2044</v>
      </c>
      <c r="E1517" s="0" t="s">
        <v>2045</v>
      </c>
      <c r="F1517" s="0" t="s">
        <v>2046</v>
      </c>
      <c r="G1517" s="0" t="s">
        <v>2047</v>
      </c>
      <c r="H1517" s="0" t="s">
        <v>2048</v>
      </c>
      <c r="I1517" s="0" t="s">
        <v>2322</v>
      </c>
      <c r="J1517" s="0" t="s">
        <v>2323</v>
      </c>
      <c r="K1517" s="272" t="n">
        <v>2487.6269300686</v>
      </c>
    </row>
    <row r="1518" customFormat="false" ht="15" hidden="false" customHeight="false" outlineLevel="0" collapsed="false">
      <c r="A1518" s="0" t="s">
        <v>2041</v>
      </c>
      <c r="B1518" s="0" t="s">
        <v>2042</v>
      </c>
      <c r="C1518" s="0" t="s">
        <v>2321</v>
      </c>
      <c r="D1518" s="0" t="s">
        <v>2044</v>
      </c>
      <c r="E1518" s="0" t="s">
        <v>2045</v>
      </c>
      <c r="F1518" s="0" t="s">
        <v>2051</v>
      </c>
      <c r="G1518" s="0" t="s">
        <v>2047</v>
      </c>
      <c r="H1518" s="0" t="s">
        <v>2052</v>
      </c>
      <c r="I1518" s="0" t="s">
        <v>2322</v>
      </c>
      <c r="J1518" s="0" t="s">
        <v>2323</v>
      </c>
      <c r="K1518" s="272" t="n">
        <v>621.906732517149</v>
      </c>
    </row>
    <row r="1519" customFormat="false" ht="15" hidden="false" customHeight="false" outlineLevel="0" collapsed="false">
      <c r="A1519" s="0" t="s">
        <v>2041</v>
      </c>
      <c r="B1519" s="0" t="s">
        <v>2042</v>
      </c>
      <c r="C1519" s="0" t="s">
        <v>2321</v>
      </c>
      <c r="D1519" s="0" t="s">
        <v>2044</v>
      </c>
      <c r="E1519" s="0" t="s">
        <v>2045</v>
      </c>
      <c r="F1519" s="0" t="s">
        <v>2046</v>
      </c>
      <c r="G1519" s="0" t="s">
        <v>2053</v>
      </c>
      <c r="H1519" s="0" t="s">
        <v>2048</v>
      </c>
      <c r="I1519" s="0" t="s">
        <v>2322</v>
      </c>
      <c r="J1519" s="0" t="s">
        <v>2323</v>
      </c>
      <c r="K1519" s="272" t="n">
        <v>20213.362520371</v>
      </c>
    </row>
    <row r="1520" customFormat="false" ht="15" hidden="false" customHeight="false" outlineLevel="0" collapsed="false">
      <c r="A1520" s="0" t="s">
        <v>2041</v>
      </c>
      <c r="B1520" s="0" t="s">
        <v>2042</v>
      </c>
      <c r="C1520" s="0" t="s">
        <v>2321</v>
      </c>
      <c r="D1520" s="0" t="s">
        <v>2044</v>
      </c>
      <c r="E1520" s="0" t="s">
        <v>2045</v>
      </c>
      <c r="F1520" s="0" t="s">
        <v>2051</v>
      </c>
      <c r="G1520" s="0" t="s">
        <v>2053</v>
      </c>
      <c r="H1520" s="0" t="s">
        <v>2052</v>
      </c>
      <c r="I1520" s="0" t="s">
        <v>2322</v>
      </c>
      <c r="J1520" s="0" t="s">
        <v>2323</v>
      </c>
      <c r="K1520" s="272" t="n">
        <v>2653.45216166008</v>
      </c>
    </row>
    <row r="1521" customFormat="false" ht="15" hidden="false" customHeight="false" outlineLevel="0" collapsed="false">
      <c r="A1521" s="0" t="s">
        <v>2041</v>
      </c>
      <c r="B1521" s="0" t="s">
        <v>2042</v>
      </c>
      <c r="C1521" s="0" t="s">
        <v>2321</v>
      </c>
      <c r="D1521" s="0" t="s">
        <v>2044</v>
      </c>
      <c r="E1521" s="0" t="s">
        <v>2045</v>
      </c>
      <c r="F1521" s="0" t="s">
        <v>2046</v>
      </c>
      <c r="G1521" s="0" t="s">
        <v>2054</v>
      </c>
      <c r="H1521" s="0" t="s">
        <v>2048</v>
      </c>
      <c r="I1521" s="0" t="s">
        <v>2322</v>
      </c>
      <c r="J1521" s="0" t="s">
        <v>2323</v>
      </c>
      <c r="K1521" s="272" t="n">
        <v>-43322.0188991323</v>
      </c>
    </row>
    <row r="1522" customFormat="false" ht="15" hidden="false" customHeight="false" outlineLevel="0" collapsed="false">
      <c r="A1522" s="0" t="s">
        <v>2041</v>
      </c>
      <c r="B1522" s="0" t="s">
        <v>2042</v>
      </c>
      <c r="C1522" s="0" t="s">
        <v>2321</v>
      </c>
      <c r="D1522" s="0" t="s">
        <v>2044</v>
      </c>
      <c r="E1522" s="0" t="s">
        <v>2045</v>
      </c>
      <c r="F1522" s="0" t="s">
        <v>2051</v>
      </c>
      <c r="G1522" s="0" t="s">
        <v>2054</v>
      </c>
      <c r="H1522" s="0" t="s">
        <v>2052</v>
      </c>
      <c r="I1522" s="0" t="s">
        <v>2322</v>
      </c>
      <c r="J1522" s="0" t="s">
        <v>2323</v>
      </c>
      <c r="K1522" s="272" t="n">
        <v>-7645.06215867041</v>
      </c>
    </row>
    <row r="1523" customFormat="false" ht="15" hidden="false" customHeight="false" outlineLevel="0" collapsed="false">
      <c r="A1523" s="0" t="s">
        <v>2041</v>
      </c>
      <c r="B1523" s="0" t="s">
        <v>2042</v>
      </c>
      <c r="C1523" s="0" t="s">
        <v>2321</v>
      </c>
      <c r="D1523" s="0" t="s">
        <v>2044</v>
      </c>
      <c r="E1523" s="0" t="s">
        <v>2045</v>
      </c>
      <c r="F1523" s="0" t="s">
        <v>2046</v>
      </c>
      <c r="G1523" s="0" t="s">
        <v>2055</v>
      </c>
      <c r="H1523" s="0" t="s">
        <v>2048</v>
      </c>
      <c r="I1523" s="0" t="s">
        <v>2322</v>
      </c>
      <c r="J1523" s="0" t="s">
        <v>2323</v>
      </c>
      <c r="K1523" s="272" t="n">
        <v>-20906.583951862</v>
      </c>
    </row>
    <row r="1524" customFormat="false" ht="15" hidden="false" customHeight="false" outlineLevel="0" collapsed="false">
      <c r="A1524" s="0" t="s">
        <v>2041</v>
      </c>
      <c r="B1524" s="0" t="s">
        <v>2042</v>
      </c>
      <c r="C1524" s="0" t="s">
        <v>2321</v>
      </c>
      <c r="D1524" s="0" t="s">
        <v>2044</v>
      </c>
      <c r="E1524" s="0" t="s">
        <v>2045</v>
      </c>
      <c r="F1524" s="0" t="s">
        <v>2051</v>
      </c>
      <c r="G1524" s="0" t="s">
        <v>2055</v>
      </c>
      <c r="H1524" s="0" t="s">
        <v>2052</v>
      </c>
      <c r="I1524" s="0" t="s">
        <v>2322</v>
      </c>
      <c r="J1524" s="0" t="s">
        <v>2323</v>
      </c>
      <c r="K1524" s="272" t="n">
        <v>-62719.751855586</v>
      </c>
    </row>
    <row r="1525" customFormat="false" ht="15" hidden="false" customHeight="false" outlineLevel="0" collapsed="false">
      <c r="A1525" s="0" t="s">
        <v>2041</v>
      </c>
      <c r="B1525" s="0" t="s">
        <v>2042</v>
      </c>
      <c r="C1525" s="0" t="s">
        <v>2321</v>
      </c>
      <c r="D1525" s="0" t="s">
        <v>2044</v>
      </c>
      <c r="E1525" s="0" t="s">
        <v>2045</v>
      </c>
      <c r="F1525" s="0" t="s">
        <v>2046</v>
      </c>
      <c r="G1525" s="0" t="s">
        <v>2056</v>
      </c>
      <c r="H1525" s="0" t="s">
        <v>2048</v>
      </c>
      <c r="I1525" s="0" t="s">
        <v>2322</v>
      </c>
      <c r="J1525" s="0" t="s">
        <v>2323</v>
      </c>
      <c r="K1525" s="272" t="n">
        <v>46.4603639896959</v>
      </c>
    </row>
    <row r="1526" customFormat="false" ht="15" hidden="false" customHeight="false" outlineLevel="0" collapsed="false">
      <c r="A1526" s="0" t="s">
        <v>2041</v>
      </c>
      <c r="B1526" s="0" t="s">
        <v>2042</v>
      </c>
      <c r="C1526" s="0" t="s">
        <v>2321</v>
      </c>
      <c r="D1526" s="0" t="s">
        <v>2044</v>
      </c>
      <c r="E1526" s="0" t="s">
        <v>2045</v>
      </c>
      <c r="F1526" s="0" t="s">
        <v>2051</v>
      </c>
      <c r="G1526" s="0" t="s">
        <v>2056</v>
      </c>
      <c r="H1526" s="0" t="s">
        <v>2052</v>
      </c>
      <c r="I1526" s="0" t="s">
        <v>2322</v>
      </c>
      <c r="J1526" s="0" t="s">
        <v>2323</v>
      </c>
      <c r="K1526" s="272" t="n">
        <v>469.765902562416</v>
      </c>
    </row>
    <row r="1527" customFormat="false" ht="15" hidden="false" customHeight="false" outlineLevel="0" collapsed="false">
      <c r="A1527" s="0" t="s">
        <v>2041</v>
      </c>
      <c r="B1527" s="0" t="s">
        <v>2042</v>
      </c>
      <c r="C1527" s="0" t="s">
        <v>2321</v>
      </c>
      <c r="D1527" s="0" t="s">
        <v>2044</v>
      </c>
      <c r="E1527" s="0" t="s">
        <v>2045</v>
      </c>
      <c r="F1527" s="0" t="s">
        <v>2046</v>
      </c>
      <c r="G1527" s="0" t="s">
        <v>2057</v>
      </c>
      <c r="H1527" s="0" t="s">
        <v>2048</v>
      </c>
      <c r="I1527" s="0" t="s">
        <v>2322</v>
      </c>
      <c r="J1527" s="0" t="s">
        <v>2323</v>
      </c>
      <c r="K1527" s="272" t="n">
        <v>-22308.7932205783</v>
      </c>
    </row>
    <row r="1528" customFormat="false" ht="15" hidden="false" customHeight="false" outlineLevel="0" collapsed="false">
      <c r="A1528" s="0" t="s">
        <v>2041</v>
      </c>
      <c r="B1528" s="0" t="s">
        <v>2042</v>
      </c>
      <c r="C1528" s="0" t="s">
        <v>2321</v>
      </c>
      <c r="D1528" s="0" t="s">
        <v>2044</v>
      </c>
      <c r="E1528" s="0" t="s">
        <v>2045</v>
      </c>
      <c r="F1528" s="0" t="s">
        <v>2051</v>
      </c>
      <c r="G1528" s="0" t="s">
        <v>2057</v>
      </c>
      <c r="H1528" s="0" t="s">
        <v>2052</v>
      </c>
      <c r="I1528" s="0" t="s">
        <v>2322</v>
      </c>
      <c r="J1528" s="0" t="s">
        <v>2323</v>
      </c>
      <c r="K1528" s="272" t="n">
        <v>-22308.7932205783</v>
      </c>
    </row>
    <row r="1529" customFormat="false" ht="15" hidden="false" customHeight="false" outlineLevel="0" collapsed="false">
      <c r="A1529" s="0" t="s">
        <v>2041</v>
      </c>
      <c r="B1529" s="0" t="s">
        <v>2042</v>
      </c>
      <c r="C1529" s="0" t="s">
        <v>2321</v>
      </c>
      <c r="D1529" s="0" t="s">
        <v>2044</v>
      </c>
      <c r="E1529" s="0" t="s">
        <v>2045</v>
      </c>
      <c r="F1529" s="0" t="s">
        <v>2046</v>
      </c>
      <c r="G1529" s="0" t="s">
        <v>2058</v>
      </c>
      <c r="H1529" s="0" t="s">
        <v>2048</v>
      </c>
      <c r="I1529" s="0" t="s">
        <v>2322</v>
      </c>
      <c r="J1529" s="0" t="s">
        <v>2323</v>
      </c>
      <c r="K1529" s="272" t="n">
        <v>-136585.862550396</v>
      </c>
    </row>
    <row r="1530" customFormat="false" ht="15" hidden="false" customHeight="false" outlineLevel="0" collapsed="false">
      <c r="A1530" s="0" t="s">
        <v>2041</v>
      </c>
      <c r="B1530" s="0" t="s">
        <v>2042</v>
      </c>
      <c r="C1530" s="0" t="s">
        <v>2321</v>
      </c>
      <c r="D1530" s="0" t="s">
        <v>2044</v>
      </c>
      <c r="E1530" s="0" t="s">
        <v>2045</v>
      </c>
      <c r="F1530" s="0" t="s">
        <v>2051</v>
      </c>
      <c r="G1530" s="0" t="s">
        <v>2058</v>
      </c>
      <c r="H1530" s="0" t="s">
        <v>2052</v>
      </c>
      <c r="I1530" s="0" t="s">
        <v>2322</v>
      </c>
      <c r="J1530" s="0" t="s">
        <v>2323</v>
      </c>
      <c r="K1530" s="272" t="n">
        <v>-34146.4656375989</v>
      </c>
    </row>
    <row r="1531" customFormat="false" ht="15" hidden="false" customHeight="false" outlineLevel="0" collapsed="false">
      <c r="A1531" s="0" t="s">
        <v>2041</v>
      </c>
      <c r="B1531" s="0" t="s">
        <v>2042</v>
      </c>
      <c r="C1531" s="0" t="s">
        <v>2321</v>
      </c>
      <c r="D1531" s="0" t="s">
        <v>2044</v>
      </c>
      <c r="E1531" s="0" t="s">
        <v>2045</v>
      </c>
      <c r="F1531" s="0" t="s">
        <v>2046</v>
      </c>
      <c r="G1531" s="0" t="s">
        <v>2060</v>
      </c>
      <c r="H1531" s="0" t="s">
        <v>2048</v>
      </c>
      <c r="I1531" s="0" t="s">
        <v>2322</v>
      </c>
      <c r="J1531" s="0" t="s">
        <v>2323</v>
      </c>
      <c r="K1531" s="272" t="n">
        <v>110606.683070667</v>
      </c>
    </row>
    <row r="1532" customFormat="false" ht="15" hidden="false" customHeight="false" outlineLevel="0" collapsed="false">
      <c r="A1532" s="0" t="s">
        <v>2041</v>
      </c>
      <c r="B1532" s="0" t="s">
        <v>2042</v>
      </c>
      <c r="C1532" s="0" t="s">
        <v>2321</v>
      </c>
      <c r="D1532" s="0" t="s">
        <v>2044</v>
      </c>
      <c r="E1532" s="0" t="s">
        <v>2045</v>
      </c>
      <c r="F1532" s="0" t="s">
        <v>2051</v>
      </c>
      <c r="G1532" s="0" t="s">
        <v>2060</v>
      </c>
      <c r="H1532" s="0" t="s">
        <v>2052</v>
      </c>
      <c r="I1532" s="0" t="s">
        <v>2322</v>
      </c>
      <c r="J1532" s="0" t="s">
        <v>2323</v>
      </c>
      <c r="K1532" s="272" t="n">
        <v>1117.23922293603</v>
      </c>
    </row>
    <row r="1533" customFormat="false" ht="15" hidden="false" customHeight="false" outlineLevel="0" collapsed="false">
      <c r="A1533" s="0" t="s">
        <v>2041</v>
      </c>
      <c r="B1533" s="0" t="s">
        <v>2042</v>
      </c>
      <c r="C1533" s="0" t="s">
        <v>2321</v>
      </c>
      <c r="D1533" s="0" t="s">
        <v>2044</v>
      </c>
      <c r="E1533" s="0" t="s">
        <v>2045</v>
      </c>
      <c r="F1533" s="0" t="s">
        <v>2046</v>
      </c>
      <c r="G1533" s="0" t="s">
        <v>2061</v>
      </c>
      <c r="H1533" s="0" t="s">
        <v>2048</v>
      </c>
      <c r="I1533" s="0" t="s">
        <v>2322</v>
      </c>
      <c r="J1533" s="0" t="s">
        <v>2323</v>
      </c>
      <c r="K1533" s="272" t="n">
        <v>-129688.09132007</v>
      </c>
    </row>
    <row r="1534" customFormat="false" ht="15" hidden="false" customHeight="false" outlineLevel="0" collapsed="false">
      <c r="A1534" s="0" t="s">
        <v>2041</v>
      </c>
      <c r="B1534" s="0" t="s">
        <v>2042</v>
      </c>
      <c r="C1534" s="0" t="s">
        <v>2321</v>
      </c>
      <c r="D1534" s="0" t="s">
        <v>2044</v>
      </c>
      <c r="E1534" s="0" t="s">
        <v>2045</v>
      </c>
      <c r="F1534" s="0" t="s">
        <v>2051</v>
      </c>
      <c r="G1534" s="0" t="s">
        <v>2061</v>
      </c>
      <c r="H1534" s="0" t="s">
        <v>2052</v>
      </c>
      <c r="I1534" s="0" t="s">
        <v>2322</v>
      </c>
      <c r="J1534" s="0" t="s">
        <v>2323</v>
      </c>
      <c r="K1534" s="272" t="n">
        <v>-2646.69574122593</v>
      </c>
    </row>
    <row r="1535" customFormat="false" ht="15" hidden="false" customHeight="false" outlineLevel="0" collapsed="false">
      <c r="A1535" s="0" t="s">
        <v>2041</v>
      </c>
      <c r="B1535" s="0" t="s">
        <v>2042</v>
      </c>
      <c r="C1535" s="0" t="s">
        <v>2321</v>
      </c>
      <c r="D1535" s="0" t="s">
        <v>2044</v>
      </c>
      <c r="E1535" s="0" t="s">
        <v>2045</v>
      </c>
      <c r="F1535" s="0" t="s">
        <v>2046</v>
      </c>
      <c r="G1535" s="0" t="s">
        <v>2062</v>
      </c>
      <c r="H1535" s="0" t="s">
        <v>2048</v>
      </c>
      <c r="I1535" s="0" t="s">
        <v>2322</v>
      </c>
      <c r="J1535" s="0" t="s">
        <v>2323</v>
      </c>
      <c r="K1535" s="272" t="n">
        <v>-11192.8548636411</v>
      </c>
    </row>
    <row r="1536" customFormat="false" ht="15" hidden="false" customHeight="false" outlineLevel="0" collapsed="false">
      <c r="A1536" s="0" t="s">
        <v>2041</v>
      </c>
      <c r="B1536" s="0" t="s">
        <v>2042</v>
      </c>
      <c r="C1536" s="0" t="s">
        <v>2321</v>
      </c>
      <c r="D1536" s="0" t="s">
        <v>2044</v>
      </c>
      <c r="E1536" s="0" t="s">
        <v>2045</v>
      </c>
      <c r="F1536" s="0" t="s">
        <v>2051</v>
      </c>
      <c r="G1536" s="0" t="s">
        <v>2062</v>
      </c>
      <c r="H1536" s="0" t="s">
        <v>2052</v>
      </c>
      <c r="I1536" s="0" t="s">
        <v>2322</v>
      </c>
      <c r="J1536" s="0" t="s">
        <v>2323</v>
      </c>
      <c r="K1536" s="272" t="n">
        <v>-6568.94892999731</v>
      </c>
    </row>
    <row r="1537" customFormat="false" ht="15" hidden="false" customHeight="false" outlineLevel="0" collapsed="false">
      <c r="A1537" s="0" t="s">
        <v>2041</v>
      </c>
      <c r="B1537" s="0" t="s">
        <v>2042</v>
      </c>
      <c r="C1537" s="0" t="s">
        <v>2321</v>
      </c>
      <c r="D1537" s="0" t="s">
        <v>2044</v>
      </c>
      <c r="E1537" s="0" t="s">
        <v>2045</v>
      </c>
      <c r="F1537" s="0" t="s">
        <v>2046</v>
      </c>
      <c r="G1537" s="0" t="s">
        <v>2063</v>
      </c>
      <c r="H1537" s="0" t="s">
        <v>2048</v>
      </c>
      <c r="I1537" s="0" t="s">
        <v>2322</v>
      </c>
      <c r="J1537" s="0" t="s">
        <v>2323</v>
      </c>
      <c r="K1537" s="272" t="n">
        <v>-17080.6683299284</v>
      </c>
    </row>
    <row r="1538" customFormat="false" ht="15" hidden="false" customHeight="false" outlineLevel="0" collapsed="false">
      <c r="A1538" s="0" t="s">
        <v>2041</v>
      </c>
      <c r="B1538" s="0" t="s">
        <v>2042</v>
      </c>
      <c r="C1538" s="0" t="s">
        <v>2321</v>
      </c>
      <c r="D1538" s="0" t="s">
        <v>2044</v>
      </c>
      <c r="E1538" s="0" t="s">
        <v>2045</v>
      </c>
      <c r="F1538" s="0" t="s">
        <v>2051</v>
      </c>
      <c r="G1538" s="0" t="s">
        <v>2063</v>
      </c>
      <c r="H1538" s="0" t="s">
        <v>2052</v>
      </c>
      <c r="I1538" s="0" t="s">
        <v>2322</v>
      </c>
      <c r="J1538" s="0" t="s">
        <v>2323</v>
      </c>
      <c r="K1538" s="272" t="n">
        <v>-4270.16708248211</v>
      </c>
    </row>
    <row r="1539" customFormat="false" ht="15" hidden="false" customHeight="false" outlineLevel="0" collapsed="false">
      <c r="A1539" s="0" t="s">
        <v>2041</v>
      </c>
      <c r="B1539" s="0" t="s">
        <v>2042</v>
      </c>
      <c r="C1539" s="0" t="s">
        <v>2321</v>
      </c>
      <c r="D1539" s="0" t="s">
        <v>2044</v>
      </c>
      <c r="E1539" s="0" t="s">
        <v>2045</v>
      </c>
      <c r="F1539" s="0" t="s">
        <v>2046</v>
      </c>
      <c r="G1539" s="0" t="s">
        <v>2064</v>
      </c>
      <c r="H1539" s="0" t="s">
        <v>2048</v>
      </c>
      <c r="I1539" s="0" t="s">
        <v>2322</v>
      </c>
      <c r="J1539" s="0" t="s">
        <v>2323</v>
      </c>
      <c r="K1539" s="272" t="n">
        <v>-252883.264466911</v>
      </c>
    </row>
    <row r="1540" customFormat="false" ht="15" hidden="false" customHeight="false" outlineLevel="0" collapsed="false">
      <c r="A1540" s="0" t="s">
        <v>2041</v>
      </c>
      <c r="B1540" s="0" t="s">
        <v>2042</v>
      </c>
      <c r="C1540" s="0" t="s">
        <v>2321</v>
      </c>
      <c r="D1540" s="0" t="s">
        <v>2044</v>
      </c>
      <c r="E1540" s="0" t="s">
        <v>2045</v>
      </c>
      <c r="F1540" s="0" t="s">
        <v>2051</v>
      </c>
      <c r="G1540" s="0" t="s">
        <v>2064</v>
      </c>
      <c r="H1540" s="0" t="s">
        <v>2052</v>
      </c>
      <c r="I1540" s="0" t="s">
        <v>2322</v>
      </c>
      <c r="J1540" s="0" t="s">
        <v>2323</v>
      </c>
      <c r="K1540" s="272" t="n">
        <v>-210965.749110139</v>
      </c>
    </row>
    <row r="1541" customFormat="false" ht="15" hidden="false" customHeight="false" outlineLevel="0" collapsed="false">
      <c r="A1541" s="0" t="s">
        <v>2041</v>
      </c>
      <c r="B1541" s="0" t="s">
        <v>2042</v>
      </c>
      <c r="C1541" s="0" t="s">
        <v>2321</v>
      </c>
      <c r="D1541" s="0" t="s">
        <v>2044</v>
      </c>
      <c r="E1541" s="0" t="s">
        <v>2045</v>
      </c>
      <c r="F1541" s="0" t="s">
        <v>2046</v>
      </c>
      <c r="G1541" s="0" t="s">
        <v>2065</v>
      </c>
      <c r="H1541" s="0" t="s">
        <v>2048</v>
      </c>
      <c r="I1541" s="0" t="s">
        <v>2322</v>
      </c>
      <c r="J1541" s="0" t="s">
        <v>2323</v>
      </c>
      <c r="K1541" s="272" t="n">
        <v>12464.2688289805</v>
      </c>
    </row>
    <row r="1542" customFormat="false" ht="15" hidden="false" customHeight="false" outlineLevel="0" collapsed="false">
      <c r="A1542" s="0" t="s">
        <v>2041</v>
      </c>
      <c r="B1542" s="0" t="s">
        <v>2042</v>
      </c>
      <c r="C1542" s="0" t="s">
        <v>2321</v>
      </c>
      <c r="D1542" s="0" t="s">
        <v>2044</v>
      </c>
      <c r="E1542" s="0" t="s">
        <v>2045</v>
      </c>
      <c r="F1542" s="0" t="s">
        <v>2051</v>
      </c>
      <c r="G1542" s="0" t="s">
        <v>2065</v>
      </c>
      <c r="H1542" s="0" t="s">
        <v>2052</v>
      </c>
      <c r="I1542" s="0" t="s">
        <v>2322</v>
      </c>
      <c r="J1542" s="0" t="s">
        <v>2323</v>
      </c>
      <c r="K1542" s="272" t="n">
        <v>125.901705343238</v>
      </c>
    </row>
    <row r="1543" customFormat="false" ht="15" hidden="false" customHeight="false" outlineLevel="0" collapsed="false">
      <c r="A1543" s="0" t="s">
        <v>2041</v>
      </c>
      <c r="B1543" s="0" t="s">
        <v>2042</v>
      </c>
      <c r="C1543" s="0" t="s">
        <v>2321</v>
      </c>
      <c r="D1543" s="0" t="s">
        <v>2044</v>
      </c>
      <c r="E1543" s="0" t="s">
        <v>2045</v>
      </c>
      <c r="F1543" s="0" t="s">
        <v>2046</v>
      </c>
      <c r="G1543" s="0" t="s">
        <v>2066</v>
      </c>
      <c r="H1543" s="0" t="s">
        <v>2048</v>
      </c>
      <c r="I1543" s="0" t="s">
        <v>2322</v>
      </c>
      <c r="J1543" s="0" t="s">
        <v>2323</v>
      </c>
      <c r="K1543" s="272" t="n">
        <v>-142866.251648702</v>
      </c>
    </row>
    <row r="1544" customFormat="false" ht="15" hidden="false" customHeight="false" outlineLevel="0" collapsed="false">
      <c r="A1544" s="0" t="s">
        <v>2041</v>
      </c>
      <c r="B1544" s="0" t="s">
        <v>2042</v>
      </c>
      <c r="C1544" s="0" t="s">
        <v>2321</v>
      </c>
      <c r="D1544" s="0" t="s">
        <v>2044</v>
      </c>
      <c r="E1544" s="0" t="s">
        <v>2045</v>
      </c>
      <c r="F1544" s="0" t="s">
        <v>2051</v>
      </c>
      <c r="G1544" s="0" t="s">
        <v>2066</v>
      </c>
      <c r="H1544" s="0" t="s">
        <v>2052</v>
      </c>
      <c r="I1544" s="0" t="s">
        <v>2322</v>
      </c>
      <c r="J1544" s="0" t="s">
        <v>2323</v>
      </c>
      <c r="K1544" s="272" t="n">
        <v>-4407.75837253168</v>
      </c>
    </row>
    <row r="1545" customFormat="false" ht="15" hidden="false" customHeight="false" outlineLevel="0" collapsed="false">
      <c r="A1545" s="0" t="s">
        <v>2041</v>
      </c>
      <c r="B1545" s="0" t="s">
        <v>2042</v>
      </c>
      <c r="C1545" s="0" t="s">
        <v>2321</v>
      </c>
      <c r="D1545" s="0" t="s">
        <v>2044</v>
      </c>
      <c r="E1545" s="0" t="s">
        <v>2045</v>
      </c>
      <c r="F1545" s="0" t="s">
        <v>2051</v>
      </c>
      <c r="G1545" s="0" t="s">
        <v>2067</v>
      </c>
      <c r="H1545" s="0" t="s">
        <v>2052</v>
      </c>
      <c r="I1545" s="0" t="s">
        <v>2322</v>
      </c>
      <c r="J1545" s="0" t="s">
        <v>2323</v>
      </c>
      <c r="K1545" s="272" t="n">
        <v>-28206.2567020333</v>
      </c>
    </row>
    <row r="1546" customFormat="false" ht="15" hidden="false" customHeight="false" outlineLevel="0" collapsed="false">
      <c r="A1546" s="0" t="s">
        <v>2041</v>
      </c>
      <c r="B1546" s="0" t="s">
        <v>2042</v>
      </c>
      <c r="C1546" s="0" t="s">
        <v>2321</v>
      </c>
      <c r="D1546" s="0" t="s">
        <v>2044</v>
      </c>
      <c r="E1546" s="0" t="s">
        <v>2045</v>
      </c>
      <c r="F1546" s="0" t="s">
        <v>2046</v>
      </c>
      <c r="G1546" s="0" t="s">
        <v>2068</v>
      </c>
      <c r="H1546" s="0" t="s">
        <v>2048</v>
      </c>
      <c r="I1546" s="0" t="s">
        <v>2322</v>
      </c>
      <c r="J1546" s="0" t="s">
        <v>2323</v>
      </c>
      <c r="K1546" s="272" t="n">
        <v>-56407.995273222</v>
      </c>
    </row>
    <row r="1547" customFormat="false" ht="15" hidden="false" customHeight="false" outlineLevel="0" collapsed="false">
      <c r="A1547" s="0" t="s">
        <v>2041</v>
      </c>
      <c r="B1547" s="0" t="s">
        <v>2042</v>
      </c>
      <c r="C1547" s="0" t="s">
        <v>2321</v>
      </c>
      <c r="D1547" s="0" t="s">
        <v>2044</v>
      </c>
      <c r="E1547" s="0" t="s">
        <v>2045</v>
      </c>
      <c r="F1547" s="0" t="s">
        <v>2051</v>
      </c>
      <c r="G1547" s="0" t="s">
        <v>2068</v>
      </c>
      <c r="H1547" s="0" t="s">
        <v>2052</v>
      </c>
      <c r="I1547" s="0" t="s">
        <v>2322</v>
      </c>
      <c r="J1547" s="0" t="s">
        <v>2323</v>
      </c>
      <c r="K1547" s="272" t="n">
        <v>4277.34780105733</v>
      </c>
    </row>
    <row r="1548" customFormat="false" ht="15" hidden="false" customHeight="false" outlineLevel="0" collapsed="false">
      <c r="A1548" s="0" t="s">
        <v>2041</v>
      </c>
      <c r="B1548" s="0" t="s">
        <v>2042</v>
      </c>
      <c r="C1548" s="0" t="s">
        <v>2321</v>
      </c>
      <c r="D1548" s="0" t="s">
        <v>2044</v>
      </c>
      <c r="E1548" s="0" t="s">
        <v>2045</v>
      </c>
      <c r="F1548" s="0" t="s">
        <v>2046</v>
      </c>
      <c r="G1548" s="0" t="s">
        <v>2069</v>
      </c>
      <c r="H1548" s="0" t="s">
        <v>2048</v>
      </c>
      <c r="I1548" s="0" t="s">
        <v>2322</v>
      </c>
      <c r="J1548" s="0" t="s">
        <v>2323</v>
      </c>
      <c r="K1548" s="272" t="n">
        <v>41867.6337953807</v>
      </c>
    </row>
    <row r="1549" customFormat="false" ht="15" hidden="false" customHeight="false" outlineLevel="0" collapsed="false">
      <c r="A1549" s="0" t="s">
        <v>2041</v>
      </c>
      <c r="B1549" s="0" t="s">
        <v>2042</v>
      </c>
      <c r="C1549" s="0" t="s">
        <v>2321</v>
      </c>
      <c r="D1549" s="0" t="s">
        <v>2044</v>
      </c>
      <c r="E1549" s="0" t="s">
        <v>2045</v>
      </c>
      <c r="F1549" s="0" t="s">
        <v>2046</v>
      </c>
      <c r="G1549" s="0" t="s">
        <v>2070</v>
      </c>
      <c r="H1549" s="0" t="s">
        <v>2048</v>
      </c>
      <c r="I1549" s="0" t="s">
        <v>2322</v>
      </c>
      <c r="J1549" s="0" t="s">
        <v>2323</v>
      </c>
      <c r="K1549" s="272" t="n">
        <v>-991.589716388698</v>
      </c>
    </row>
    <row r="1550" customFormat="false" ht="15" hidden="false" customHeight="false" outlineLevel="0" collapsed="false">
      <c r="A1550" s="0" t="s">
        <v>2041</v>
      </c>
      <c r="B1550" s="0" t="s">
        <v>2042</v>
      </c>
      <c r="C1550" s="0" t="s">
        <v>2321</v>
      </c>
      <c r="D1550" s="0" t="s">
        <v>2044</v>
      </c>
      <c r="E1550" s="0" t="s">
        <v>2045</v>
      </c>
      <c r="F1550" s="0" t="s">
        <v>2051</v>
      </c>
      <c r="G1550" s="0" t="s">
        <v>2070</v>
      </c>
      <c r="H1550" s="0" t="s">
        <v>2052</v>
      </c>
      <c r="I1550" s="0" t="s">
        <v>2322</v>
      </c>
      <c r="J1550" s="0" t="s">
        <v>2323</v>
      </c>
      <c r="K1550" s="272" t="n">
        <v>2830.04758925864</v>
      </c>
    </row>
    <row r="1551" customFormat="false" ht="15" hidden="false" customHeight="false" outlineLevel="0" collapsed="false">
      <c r="A1551" s="0" t="s">
        <v>2041</v>
      </c>
      <c r="B1551" s="0" t="s">
        <v>2042</v>
      </c>
      <c r="C1551" s="0" t="s">
        <v>2321</v>
      </c>
      <c r="D1551" s="0" t="s">
        <v>2044</v>
      </c>
      <c r="E1551" s="0" t="s">
        <v>2045</v>
      </c>
      <c r="F1551" s="0" t="s">
        <v>2046</v>
      </c>
      <c r="G1551" s="0" t="s">
        <v>2071</v>
      </c>
      <c r="H1551" s="0" t="s">
        <v>2048</v>
      </c>
      <c r="I1551" s="0" t="s">
        <v>2322</v>
      </c>
      <c r="J1551" s="0" t="s">
        <v>2323</v>
      </c>
      <c r="K1551" s="272" t="n">
        <v>-105980.135393987</v>
      </c>
    </row>
    <row r="1552" customFormat="false" ht="15" hidden="false" customHeight="false" outlineLevel="0" collapsed="false">
      <c r="A1552" s="0" t="s">
        <v>2041</v>
      </c>
      <c r="B1552" s="0" t="s">
        <v>2042</v>
      </c>
      <c r="C1552" s="0" t="s">
        <v>2321</v>
      </c>
      <c r="D1552" s="0" t="s">
        <v>2044</v>
      </c>
      <c r="E1552" s="0" t="s">
        <v>2045</v>
      </c>
      <c r="F1552" s="0" t="s">
        <v>2051</v>
      </c>
      <c r="G1552" s="0" t="s">
        <v>2071</v>
      </c>
      <c r="H1552" s="0" t="s">
        <v>2052</v>
      </c>
      <c r="I1552" s="0" t="s">
        <v>2322</v>
      </c>
      <c r="J1552" s="0" t="s">
        <v>2323</v>
      </c>
      <c r="K1552" s="272" t="n">
        <v>-18702.3768342329</v>
      </c>
    </row>
    <row r="1553" customFormat="false" ht="15" hidden="false" customHeight="false" outlineLevel="0" collapsed="false">
      <c r="A1553" s="0" t="s">
        <v>2041</v>
      </c>
      <c r="B1553" s="0" t="s">
        <v>2042</v>
      </c>
      <c r="C1553" s="0" t="s">
        <v>2321</v>
      </c>
      <c r="D1553" s="0" t="s">
        <v>2044</v>
      </c>
      <c r="E1553" s="0" t="s">
        <v>2045</v>
      </c>
      <c r="F1553" s="0" t="s">
        <v>2046</v>
      </c>
      <c r="G1553" s="0" t="s">
        <v>2072</v>
      </c>
      <c r="H1553" s="0" t="s">
        <v>2048</v>
      </c>
      <c r="I1553" s="0" t="s">
        <v>2322</v>
      </c>
      <c r="J1553" s="0" t="s">
        <v>2323</v>
      </c>
      <c r="K1553" s="272" t="n">
        <v>-36650.6705162891</v>
      </c>
    </row>
    <row r="1554" customFormat="false" ht="15" hidden="false" customHeight="false" outlineLevel="0" collapsed="false">
      <c r="A1554" s="0" t="s">
        <v>2041</v>
      </c>
      <c r="B1554" s="0" t="s">
        <v>2042</v>
      </c>
      <c r="C1554" s="0" t="s">
        <v>2321</v>
      </c>
      <c r="D1554" s="0" t="s">
        <v>2044</v>
      </c>
      <c r="E1554" s="0" t="s">
        <v>2045</v>
      </c>
      <c r="F1554" s="0" t="s">
        <v>2051</v>
      </c>
      <c r="G1554" s="0" t="s">
        <v>2072</v>
      </c>
      <c r="H1554" s="0" t="s">
        <v>2052</v>
      </c>
      <c r="I1554" s="0" t="s">
        <v>2322</v>
      </c>
      <c r="J1554" s="0" t="s">
        <v>2323</v>
      </c>
      <c r="K1554" s="272" t="n">
        <v>-33129.436793683</v>
      </c>
    </row>
    <row r="1555" customFormat="false" ht="15" hidden="false" customHeight="false" outlineLevel="0" collapsed="false">
      <c r="A1555" s="0" t="s">
        <v>2041</v>
      </c>
      <c r="B1555" s="0" t="s">
        <v>2042</v>
      </c>
      <c r="C1555" s="0" t="s">
        <v>2321</v>
      </c>
      <c r="D1555" s="0" t="s">
        <v>2044</v>
      </c>
      <c r="E1555" s="0" t="s">
        <v>2045</v>
      </c>
      <c r="F1555" s="0" t="s">
        <v>2046</v>
      </c>
      <c r="G1555" s="0" t="s">
        <v>2073</v>
      </c>
      <c r="H1555" s="0" t="s">
        <v>2048</v>
      </c>
      <c r="I1555" s="0" t="s">
        <v>2322</v>
      </c>
      <c r="J1555" s="0" t="s">
        <v>2323</v>
      </c>
      <c r="K1555" s="272" t="n">
        <v>2399.30847396323</v>
      </c>
    </row>
    <row r="1556" customFormat="false" ht="15" hidden="false" customHeight="false" outlineLevel="0" collapsed="false">
      <c r="A1556" s="0" t="s">
        <v>2041</v>
      </c>
      <c r="B1556" s="0" t="s">
        <v>2042</v>
      </c>
      <c r="C1556" s="0" t="s">
        <v>2321</v>
      </c>
      <c r="D1556" s="0" t="s">
        <v>2044</v>
      </c>
      <c r="E1556" s="0" t="s">
        <v>2045</v>
      </c>
      <c r="F1556" s="0" t="s">
        <v>2051</v>
      </c>
      <c r="G1556" s="0" t="s">
        <v>2073</v>
      </c>
      <c r="H1556" s="0" t="s">
        <v>2052</v>
      </c>
      <c r="I1556" s="0" t="s">
        <v>2322</v>
      </c>
      <c r="J1556" s="0" t="s">
        <v>2323</v>
      </c>
      <c r="K1556" s="272" t="n">
        <v>-114840.935756707</v>
      </c>
    </row>
    <row r="1557" customFormat="false" ht="15" hidden="false" customHeight="false" outlineLevel="0" collapsed="false">
      <c r="A1557" s="0" t="s">
        <v>2041</v>
      </c>
      <c r="B1557" s="0" t="s">
        <v>2042</v>
      </c>
      <c r="C1557" s="0" t="s">
        <v>2321</v>
      </c>
      <c r="D1557" s="0" t="s">
        <v>2044</v>
      </c>
      <c r="E1557" s="0" t="s">
        <v>2045</v>
      </c>
      <c r="F1557" s="0" t="s">
        <v>2046</v>
      </c>
      <c r="G1557" s="0" t="s">
        <v>2074</v>
      </c>
      <c r="H1557" s="0" t="s">
        <v>2048</v>
      </c>
      <c r="I1557" s="0" t="s">
        <v>2322</v>
      </c>
      <c r="J1557" s="0" t="s">
        <v>2323</v>
      </c>
      <c r="K1557" s="272" t="n">
        <v>-1036.79367236636</v>
      </c>
    </row>
    <row r="1558" customFormat="false" ht="15" hidden="false" customHeight="false" outlineLevel="0" collapsed="false">
      <c r="A1558" s="0" t="s">
        <v>2041</v>
      </c>
      <c r="B1558" s="0" t="s">
        <v>2042</v>
      </c>
      <c r="C1558" s="0" t="s">
        <v>2321</v>
      </c>
      <c r="D1558" s="0" t="s">
        <v>2044</v>
      </c>
      <c r="E1558" s="0" t="s">
        <v>2045</v>
      </c>
      <c r="F1558" s="0" t="s">
        <v>2051</v>
      </c>
      <c r="G1558" s="0" t="s">
        <v>2074</v>
      </c>
      <c r="H1558" s="0" t="s">
        <v>2052</v>
      </c>
      <c r="I1558" s="0" t="s">
        <v>2322</v>
      </c>
      <c r="J1558" s="0" t="s">
        <v>2323</v>
      </c>
      <c r="K1558" s="272" t="n">
        <v>-1036.79367236636</v>
      </c>
    </row>
    <row r="1559" customFormat="false" ht="15" hidden="false" customHeight="false" outlineLevel="0" collapsed="false">
      <c r="A1559" s="0" t="s">
        <v>2041</v>
      </c>
      <c r="B1559" s="0" t="s">
        <v>2042</v>
      </c>
      <c r="C1559" s="0" t="s">
        <v>2321</v>
      </c>
      <c r="D1559" s="0" t="s">
        <v>2044</v>
      </c>
      <c r="E1559" s="0" t="s">
        <v>2045</v>
      </c>
      <c r="F1559" s="0" t="s">
        <v>2046</v>
      </c>
      <c r="G1559" s="0" t="s">
        <v>2075</v>
      </c>
      <c r="H1559" s="0" t="s">
        <v>2048</v>
      </c>
      <c r="I1559" s="0" t="s">
        <v>2322</v>
      </c>
      <c r="J1559" s="0" t="s">
        <v>2323</v>
      </c>
      <c r="K1559" s="272" t="n">
        <v>-20.309082576161</v>
      </c>
    </row>
    <row r="1560" customFormat="false" ht="15" hidden="false" customHeight="false" outlineLevel="0" collapsed="false">
      <c r="A1560" s="0" t="s">
        <v>2041</v>
      </c>
      <c r="B1560" s="0" t="s">
        <v>2042</v>
      </c>
      <c r="C1560" s="0" t="s">
        <v>2321</v>
      </c>
      <c r="D1560" s="0" t="s">
        <v>2044</v>
      </c>
      <c r="E1560" s="0" t="s">
        <v>2045</v>
      </c>
      <c r="F1560" s="0" t="s">
        <v>2051</v>
      </c>
      <c r="G1560" s="0" t="s">
        <v>2075</v>
      </c>
      <c r="H1560" s="0" t="s">
        <v>2052</v>
      </c>
      <c r="I1560" s="0" t="s">
        <v>2322</v>
      </c>
      <c r="J1560" s="0" t="s">
        <v>2323</v>
      </c>
      <c r="K1560" s="272" t="n">
        <v>-656.660336629138</v>
      </c>
    </row>
    <row r="1561" customFormat="false" ht="15" hidden="false" customHeight="false" outlineLevel="0" collapsed="false">
      <c r="A1561" s="0" t="s">
        <v>2041</v>
      </c>
      <c r="B1561" s="0" t="s">
        <v>2042</v>
      </c>
      <c r="C1561" s="0" t="s">
        <v>2321</v>
      </c>
      <c r="D1561" s="0" t="s">
        <v>2044</v>
      </c>
      <c r="E1561" s="0" t="s">
        <v>2045</v>
      </c>
      <c r="F1561" s="0" t="s">
        <v>2046</v>
      </c>
      <c r="G1561" s="0" t="s">
        <v>2076</v>
      </c>
      <c r="H1561" s="0" t="s">
        <v>2048</v>
      </c>
      <c r="I1561" s="0" t="s">
        <v>2322</v>
      </c>
      <c r="J1561" s="0" t="s">
        <v>2323</v>
      </c>
      <c r="K1561" s="272" t="n">
        <v>-37228.5953785084</v>
      </c>
    </row>
    <row r="1562" customFormat="false" ht="15" hidden="false" customHeight="false" outlineLevel="0" collapsed="false">
      <c r="A1562" s="0" t="s">
        <v>2041</v>
      </c>
      <c r="B1562" s="0" t="s">
        <v>2042</v>
      </c>
      <c r="C1562" s="0" t="s">
        <v>2321</v>
      </c>
      <c r="D1562" s="0" t="s">
        <v>2044</v>
      </c>
      <c r="E1562" s="0" t="s">
        <v>2045</v>
      </c>
      <c r="F1562" s="0" t="s">
        <v>2051</v>
      </c>
      <c r="G1562" s="0" t="s">
        <v>2076</v>
      </c>
      <c r="H1562" s="0" t="s">
        <v>2052</v>
      </c>
      <c r="I1562" s="0" t="s">
        <v>2322</v>
      </c>
      <c r="J1562" s="0" t="s">
        <v>2323</v>
      </c>
      <c r="K1562" s="272" t="n">
        <v>-173216.116417267</v>
      </c>
    </row>
    <row r="1563" customFormat="false" ht="15" hidden="false" customHeight="false" outlineLevel="0" collapsed="false">
      <c r="A1563" s="0" t="s">
        <v>2041</v>
      </c>
      <c r="B1563" s="0" t="s">
        <v>2042</v>
      </c>
      <c r="C1563" s="0" t="s">
        <v>2321</v>
      </c>
      <c r="D1563" s="0" t="s">
        <v>2044</v>
      </c>
      <c r="E1563" s="0" t="s">
        <v>2045</v>
      </c>
      <c r="F1563" s="0" t="s">
        <v>2046</v>
      </c>
      <c r="G1563" s="0" t="s">
        <v>2077</v>
      </c>
      <c r="H1563" s="0" t="s">
        <v>2048</v>
      </c>
      <c r="I1563" s="0" t="s">
        <v>2322</v>
      </c>
      <c r="J1563" s="0" t="s">
        <v>2323</v>
      </c>
      <c r="K1563" s="272" t="n">
        <v>-6821.08930622536</v>
      </c>
    </row>
    <row r="1564" customFormat="false" ht="15" hidden="false" customHeight="false" outlineLevel="0" collapsed="false">
      <c r="A1564" s="0" t="s">
        <v>2041</v>
      </c>
      <c r="B1564" s="0" t="s">
        <v>2042</v>
      </c>
      <c r="C1564" s="0" t="s">
        <v>2321</v>
      </c>
      <c r="D1564" s="0" t="s">
        <v>2044</v>
      </c>
      <c r="E1564" s="0" t="s">
        <v>2045</v>
      </c>
      <c r="F1564" s="0" t="s">
        <v>2051</v>
      </c>
      <c r="G1564" s="0" t="s">
        <v>2077</v>
      </c>
      <c r="H1564" s="0" t="s">
        <v>2052</v>
      </c>
      <c r="I1564" s="0" t="s">
        <v>2322</v>
      </c>
      <c r="J1564" s="0" t="s">
        <v>2323</v>
      </c>
      <c r="K1564" s="272" t="n">
        <v>-757.898811802806</v>
      </c>
    </row>
    <row r="1565" customFormat="false" ht="15" hidden="false" customHeight="false" outlineLevel="0" collapsed="false">
      <c r="A1565" s="0" t="s">
        <v>2041</v>
      </c>
      <c r="B1565" s="0" t="s">
        <v>2042</v>
      </c>
      <c r="C1565" s="0" t="s">
        <v>2321</v>
      </c>
      <c r="D1565" s="0" t="s">
        <v>2044</v>
      </c>
      <c r="E1565" s="0" t="s">
        <v>2045</v>
      </c>
      <c r="F1565" s="0" t="s">
        <v>2046</v>
      </c>
      <c r="G1565" s="0" t="s">
        <v>2078</v>
      </c>
      <c r="H1565" s="0" t="s">
        <v>2048</v>
      </c>
      <c r="I1565" s="0" t="s">
        <v>2322</v>
      </c>
      <c r="J1565" s="0" t="s">
        <v>2323</v>
      </c>
      <c r="K1565" s="272" t="n">
        <v>-96232.8441570022</v>
      </c>
    </row>
    <row r="1566" customFormat="false" ht="15" hidden="false" customHeight="false" outlineLevel="0" collapsed="false">
      <c r="A1566" s="0" t="s">
        <v>2041</v>
      </c>
      <c r="B1566" s="0" t="s">
        <v>2042</v>
      </c>
      <c r="C1566" s="0" t="s">
        <v>2321</v>
      </c>
      <c r="D1566" s="0" t="s">
        <v>2044</v>
      </c>
      <c r="E1566" s="0" t="s">
        <v>2045</v>
      </c>
      <c r="F1566" s="0" t="s">
        <v>2051</v>
      </c>
      <c r="G1566" s="0" t="s">
        <v>2078</v>
      </c>
      <c r="H1566" s="0" t="s">
        <v>2052</v>
      </c>
      <c r="I1566" s="0" t="s">
        <v>2322</v>
      </c>
      <c r="J1566" s="0" t="s">
        <v>2323</v>
      </c>
      <c r="K1566" s="272" t="n">
        <v>-10692.5382396669</v>
      </c>
    </row>
    <row r="1567" customFormat="false" ht="15" hidden="false" customHeight="false" outlineLevel="0" collapsed="false">
      <c r="A1567" s="0" t="s">
        <v>2041</v>
      </c>
      <c r="B1567" s="0" t="s">
        <v>2042</v>
      </c>
      <c r="C1567" s="0" t="s">
        <v>2321</v>
      </c>
      <c r="D1567" s="0" t="s">
        <v>2044</v>
      </c>
      <c r="E1567" s="0" t="s">
        <v>2045</v>
      </c>
      <c r="F1567" s="0" t="s">
        <v>2046</v>
      </c>
      <c r="G1567" s="0" t="s">
        <v>2079</v>
      </c>
      <c r="H1567" s="0" t="s">
        <v>2048</v>
      </c>
      <c r="I1567" s="0" t="s">
        <v>2322</v>
      </c>
      <c r="J1567" s="0" t="s">
        <v>2323</v>
      </c>
      <c r="K1567" s="272" t="n">
        <v>-20614.5590521221</v>
      </c>
    </row>
    <row r="1568" customFormat="false" ht="15" hidden="false" customHeight="false" outlineLevel="0" collapsed="false">
      <c r="A1568" s="0" t="s">
        <v>2041</v>
      </c>
      <c r="B1568" s="0" t="s">
        <v>2042</v>
      </c>
      <c r="C1568" s="0" t="s">
        <v>2321</v>
      </c>
      <c r="D1568" s="0" t="s">
        <v>2044</v>
      </c>
      <c r="E1568" s="0" t="s">
        <v>2045</v>
      </c>
      <c r="F1568" s="0" t="s">
        <v>2046</v>
      </c>
      <c r="G1568" s="0" t="s">
        <v>2080</v>
      </c>
      <c r="H1568" s="0" t="s">
        <v>2048</v>
      </c>
      <c r="I1568" s="0" t="s">
        <v>2322</v>
      </c>
      <c r="J1568" s="0" t="s">
        <v>2323</v>
      </c>
      <c r="K1568" s="272" t="n">
        <v>-94697.1802448013</v>
      </c>
    </row>
    <row r="1569" customFormat="false" ht="15" hidden="false" customHeight="false" outlineLevel="0" collapsed="false">
      <c r="A1569" s="0" t="s">
        <v>2041</v>
      </c>
      <c r="B1569" s="0" t="s">
        <v>2042</v>
      </c>
      <c r="C1569" s="0" t="s">
        <v>2321</v>
      </c>
      <c r="D1569" s="0" t="s">
        <v>2044</v>
      </c>
      <c r="E1569" s="0" t="s">
        <v>2045</v>
      </c>
      <c r="F1569" s="0" t="s">
        <v>2051</v>
      </c>
      <c r="G1569" s="0" t="s">
        <v>2080</v>
      </c>
      <c r="H1569" s="0" t="s">
        <v>2052</v>
      </c>
      <c r="I1569" s="0" t="s">
        <v>2322</v>
      </c>
      <c r="J1569" s="0" t="s">
        <v>2323</v>
      </c>
      <c r="K1569" s="272" t="n">
        <v>-3571.4996591658</v>
      </c>
    </row>
    <row r="1570" customFormat="false" ht="15" hidden="false" customHeight="false" outlineLevel="0" collapsed="false">
      <c r="A1570" s="0" t="s">
        <v>2041</v>
      </c>
      <c r="B1570" s="0" t="s">
        <v>2042</v>
      </c>
      <c r="C1570" s="0" t="s">
        <v>2321</v>
      </c>
      <c r="D1570" s="0" t="s">
        <v>2044</v>
      </c>
      <c r="E1570" s="0" t="s">
        <v>2045</v>
      </c>
      <c r="F1570" s="0" t="s">
        <v>2046</v>
      </c>
      <c r="G1570" s="0" t="s">
        <v>2081</v>
      </c>
      <c r="H1570" s="0" t="s">
        <v>2048</v>
      </c>
      <c r="I1570" s="0" t="s">
        <v>2322</v>
      </c>
      <c r="J1570" s="0" t="s">
        <v>2323</v>
      </c>
      <c r="K1570" s="272" t="n">
        <v>-153298.724696353</v>
      </c>
    </row>
    <row r="1571" customFormat="false" ht="15" hidden="false" customHeight="false" outlineLevel="0" collapsed="false">
      <c r="A1571" s="0" t="s">
        <v>2041</v>
      </c>
      <c r="B1571" s="0" t="s">
        <v>2042</v>
      </c>
      <c r="C1571" s="0" t="s">
        <v>2321</v>
      </c>
      <c r="D1571" s="0" t="s">
        <v>2044</v>
      </c>
      <c r="E1571" s="0" t="s">
        <v>2045</v>
      </c>
      <c r="F1571" s="0" t="s">
        <v>2051</v>
      </c>
      <c r="G1571" s="0" t="s">
        <v>2081</v>
      </c>
      <c r="H1571" s="0" t="s">
        <v>2052</v>
      </c>
      <c r="I1571" s="0" t="s">
        <v>2322</v>
      </c>
      <c r="J1571" s="0" t="s">
        <v>2323</v>
      </c>
      <c r="K1571" s="272" t="n">
        <v>4340.99981355746</v>
      </c>
    </row>
    <row r="1572" customFormat="false" ht="15" hidden="false" customHeight="false" outlineLevel="0" collapsed="false">
      <c r="A1572" s="0" t="s">
        <v>2041</v>
      </c>
      <c r="B1572" s="0" t="s">
        <v>2042</v>
      </c>
      <c r="C1572" s="0" t="s">
        <v>2321</v>
      </c>
      <c r="D1572" s="0" t="s">
        <v>2044</v>
      </c>
      <c r="E1572" s="0" t="s">
        <v>2045</v>
      </c>
      <c r="F1572" s="0" t="s">
        <v>2046</v>
      </c>
      <c r="G1572" s="0" t="s">
        <v>2082</v>
      </c>
      <c r="H1572" s="0" t="s">
        <v>2048</v>
      </c>
      <c r="I1572" s="0" t="s">
        <v>2322</v>
      </c>
      <c r="J1572" s="0" t="s">
        <v>2323</v>
      </c>
      <c r="K1572" s="272" t="n">
        <v>-769609.9791994</v>
      </c>
    </row>
    <row r="1573" customFormat="false" ht="15" hidden="false" customHeight="false" outlineLevel="0" collapsed="false">
      <c r="A1573" s="0" t="s">
        <v>2041</v>
      </c>
      <c r="B1573" s="0" t="s">
        <v>2042</v>
      </c>
      <c r="C1573" s="0" t="s">
        <v>2321</v>
      </c>
      <c r="D1573" s="0" t="s">
        <v>2044</v>
      </c>
      <c r="E1573" s="0" t="s">
        <v>2045</v>
      </c>
      <c r="F1573" s="0" t="s">
        <v>2046</v>
      </c>
      <c r="G1573" s="0" t="s">
        <v>2083</v>
      </c>
      <c r="H1573" s="0" t="s">
        <v>2048</v>
      </c>
      <c r="I1573" s="0" t="s">
        <v>2322</v>
      </c>
      <c r="J1573" s="0" t="s">
        <v>2323</v>
      </c>
      <c r="K1573" s="272" t="n">
        <v>-90129.2325816881</v>
      </c>
    </row>
    <row r="1574" customFormat="false" ht="15" hidden="false" customHeight="false" outlineLevel="0" collapsed="false">
      <c r="A1574" s="0" t="s">
        <v>2041</v>
      </c>
      <c r="B1574" s="0" t="s">
        <v>2042</v>
      </c>
      <c r="C1574" s="0" t="s">
        <v>2321</v>
      </c>
      <c r="D1574" s="0" t="s">
        <v>2044</v>
      </c>
      <c r="E1574" s="0" t="s">
        <v>2045</v>
      </c>
      <c r="F1574" s="0" t="s">
        <v>2051</v>
      </c>
      <c r="G1574" s="0" t="s">
        <v>2083</v>
      </c>
      <c r="H1574" s="0" t="s">
        <v>2052</v>
      </c>
      <c r="I1574" s="0" t="s">
        <v>2322</v>
      </c>
      <c r="J1574" s="0" t="s">
        <v>2323</v>
      </c>
      <c r="K1574" s="272" t="n">
        <v>-5280.67299680664</v>
      </c>
    </row>
    <row r="1575" customFormat="false" ht="15" hidden="false" customHeight="false" outlineLevel="0" collapsed="false">
      <c r="A1575" s="0" t="s">
        <v>2041</v>
      </c>
      <c r="B1575" s="0" t="s">
        <v>2042</v>
      </c>
      <c r="C1575" s="0" t="s">
        <v>2321</v>
      </c>
      <c r="D1575" s="0" t="s">
        <v>2044</v>
      </c>
      <c r="E1575" s="0" t="s">
        <v>2045</v>
      </c>
      <c r="F1575" s="0" t="s">
        <v>2046</v>
      </c>
      <c r="G1575" s="0" t="s">
        <v>2084</v>
      </c>
      <c r="H1575" s="0" t="s">
        <v>2048</v>
      </c>
      <c r="I1575" s="0" t="s">
        <v>2322</v>
      </c>
      <c r="J1575" s="0" t="s">
        <v>2323</v>
      </c>
      <c r="K1575" s="272" t="n">
        <v>-6866.09375324735</v>
      </c>
    </row>
    <row r="1576" customFormat="false" ht="15" hidden="false" customHeight="false" outlineLevel="0" collapsed="false">
      <c r="A1576" s="0" t="s">
        <v>2041</v>
      </c>
      <c r="B1576" s="0" t="s">
        <v>2042</v>
      </c>
      <c r="C1576" s="0" t="s">
        <v>2321</v>
      </c>
      <c r="D1576" s="0" t="s">
        <v>2044</v>
      </c>
      <c r="E1576" s="0" t="s">
        <v>2045</v>
      </c>
      <c r="F1576" s="0" t="s">
        <v>2051</v>
      </c>
      <c r="G1576" s="0" t="s">
        <v>2084</v>
      </c>
      <c r="H1576" s="0" t="s">
        <v>2052</v>
      </c>
      <c r="I1576" s="0" t="s">
        <v>2322</v>
      </c>
      <c r="J1576" s="0" t="s">
        <v>2323</v>
      </c>
      <c r="K1576" s="272" t="n">
        <v>-16417.4022233618</v>
      </c>
    </row>
    <row r="1577" customFormat="false" ht="15" hidden="false" customHeight="false" outlineLevel="0" collapsed="false">
      <c r="A1577" s="0" t="s">
        <v>2041</v>
      </c>
      <c r="B1577" s="0" t="s">
        <v>2042</v>
      </c>
      <c r="C1577" s="0" t="s">
        <v>2321</v>
      </c>
      <c r="D1577" s="0" t="s">
        <v>2044</v>
      </c>
      <c r="E1577" s="0" t="s">
        <v>2045</v>
      </c>
      <c r="F1577" s="0" t="s">
        <v>2046</v>
      </c>
      <c r="G1577" s="0" t="s">
        <v>2085</v>
      </c>
      <c r="H1577" s="0" t="s">
        <v>2048</v>
      </c>
      <c r="I1577" s="0" t="s">
        <v>2322</v>
      </c>
      <c r="J1577" s="0" t="s">
        <v>2323</v>
      </c>
      <c r="K1577" s="272" t="n">
        <v>-221166.980933407</v>
      </c>
    </row>
    <row r="1578" customFormat="false" ht="15" hidden="false" customHeight="false" outlineLevel="0" collapsed="false">
      <c r="A1578" s="0" t="s">
        <v>2041</v>
      </c>
      <c r="B1578" s="0" t="s">
        <v>2042</v>
      </c>
      <c r="C1578" s="0" t="s">
        <v>2321</v>
      </c>
      <c r="D1578" s="0" t="s">
        <v>2044</v>
      </c>
      <c r="E1578" s="0" t="s">
        <v>2045</v>
      </c>
      <c r="F1578" s="0" t="s">
        <v>2051</v>
      </c>
      <c r="G1578" s="0" t="s">
        <v>2085</v>
      </c>
      <c r="H1578" s="0" t="s">
        <v>2052</v>
      </c>
      <c r="I1578" s="0" t="s">
        <v>2322</v>
      </c>
      <c r="J1578" s="0" t="s">
        <v>2323</v>
      </c>
      <c r="K1578" s="272" t="n">
        <v>-3245.59583009791</v>
      </c>
    </row>
    <row r="1579" customFormat="false" ht="15" hidden="false" customHeight="false" outlineLevel="0" collapsed="false">
      <c r="A1579" s="0" t="s">
        <v>2041</v>
      </c>
      <c r="B1579" s="0" t="s">
        <v>2042</v>
      </c>
      <c r="C1579" s="0" t="s">
        <v>2321</v>
      </c>
      <c r="D1579" s="0" t="s">
        <v>2044</v>
      </c>
      <c r="E1579" s="0" t="s">
        <v>2045</v>
      </c>
      <c r="F1579" s="0" t="s">
        <v>2046</v>
      </c>
      <c r="G1579" s="0" t="s">
        <v>2086</v>
      </c>
      <c r="H1579" s="0" t="s">
        <v>2048</v>
      </c>
      <c r="I1579" s="0" t="s">
        <v>2322</v>
      </c>
      <c r="J1579" s="0" t="s">
        <v>2323</v>
      </c>
      <c r="K1579" s="272" t="n">
        <v>-188214.946168679</v>
      </c>
    </row>
    <row r="1580" customFormat="false" ht="15" hidden="false" customHeight="false" outlineLevel="0" collapsed="false">
      <c r="A1580" s="0" t="s">
        <v>2041</v>
      </c>
      <c r="B1580" s="0" t="s">
        <v>2042</v>
      </c>
      <c r="C1580" s="0" t="s">
        <v>2321</v>
      </c>
      <c r="D1580" s="0" t="s">
        <v>2044</v>
      </c>
      <c r="E1580" s="0" t="s">
        <v>2045</v>
      </c>
      <c r="F1580" s="0" t="s">
        <v>2051</v>
      </c>
      <c r="G1580" s="0" t="s">
        <v>2086</v>
      </c>
      <c r="H1580" s="0" t="s">
        <v>2052</v>
      </c>
      <c r="I1580" s="0" t="s">
        <v>2322</v>
      </c>
      <c r="J1580" s="0" t="s">
        <v>2323</v>
      </c>
      <c r="K1580" s="272" t="n">
        <v>-3085.61698641451</v>
      </c>
    </row>
    <row r="1581" customFormat="false" ht="15" hidden="false" customHeight="false" outlineLevel="0" collapsed="false">
      <c r="A1581" s="0" t="s">
        <v>2041</v>
      </c>
      <c r="B1581" s="0" t="s">
        <v>2042</v>
      </c>
      <c r="C1581" s="0" t="s">
        <v>2321</v>
      </c>
      <c r="D1581" s="0" t="s">
        <v>2044</v>
      </c>
      <c r="E1581" s="0" t="s">
        <v>2045</v>
      </c>
      <c r="F1581" s="0" t="s">
        <v>2046</v>
      </c>
      <c r="G1581" s="0" t="s">
        <v>2087</v>
      </c>
      <c r="H1581" s="0" t="s">
        <v>2048</v>
      </c>
      <c r="I1581" s="0" t="s">
        <v>2322</v>
      </c>
      <c r="J1581" s="0" t="s">
        <v>2323</v>
      </c>
      <c r="K1581" s="272" t="n">
        <v>-158185.820903963</v>
      </c>
    </row>
    <row r="1582" customFormat="false" ht="15" hidden="false" customHeight="false" outlineLevel="0" collapsed="false">
      <c r="A1582" s="0" t="s">
        <v>2041</v>
      </c>
      <c r="B1582" s="0" t="s">
        <v>2042</v>
      </c>
      <c r="C1582" s="0" t="s">
        <v>2321</v>
      </c>
      <c r="D1582" s="0" t="s">
        <v>2044</v>
      </c>
      <c r="E1582" s="0" t="s">
        <v>2045</v>
      </c>
      <c r="F1582" s="0" t="s">
        <v>2051</v>
      </c>
      <c r="G1582" s="0" t="s">
        <v>2087</v>
      </c>
      <c r="H1582" s="0" t="s">
        <v>2052</v>
      </c>
      <c r="I1582" s="0" t="s">
        <v>2322</v>
      </c>
      <c r="J1582" s="0" t="s">
        <v>2323</v>
      </c>
      <c r="K1582" s="272" t="n">
        <v>-276559.616911406</v>
      </c>
    </row>
    <row r="1583" customFormat="false" ht="15" hidden="false" customHeight="false" outlineLevel="0" collapsed="false">
      <c r="A1583" s="0" t="s">
        <v>2041</v>
      </c>
      <c r="B1583" s="0" t="s">
        <v>2042</v>
      </c>
      <c r="C1583" s="0" t="s">
        <v>2321</v>
      </c>
      <c r="D1583" s="0" t="s">
        <v>2044</v>
      </c>
      <c r="E1583" s="0" t="s">
        <v>2045</v>
      </c>
      <c r="F1583" s="0" t="s">
        <v>2046</v>
      </c>
      <c r="G1583" s="0" t="s">
        <v>2088</v>
      </c>
      <c r="H1583" s="0" t="s">
        <v>2048</v>
      </c>
      <c r="I1583" s="0" t="s">
        <v>2322</v>
      </c>
      <c r="J1583" s="0" t="s">
        <v>2323</v>
      </c>
      <c r="K1583" s="272" t="n">
        <v>-265767.157073203</v>
      </c>
    </row>
    <row r="1584" customFormat="false" ht="15" hidden="false" customHeight="false" outlineLevel="0" collapsed="false">
      <c r="A1584" s="0" t="s">
        <v>2041</v>
      </c>
      <c r="B1584" s="0" t="s">
        <v>2042</v>
      </c>
      <c r="C1584" s="0" t="s">
        <v>2321</v>
      </c>
      <c r="D1584" s="0" t="s">
        <v>2044</v>
      </c>
      <c r="E1584" s="0" t="s">
        <v>2045</v>
      </c>
      <c r="F1584" s="0" t="s">
        <v>2051</v>
      </c>
      <c r="G1584" s="0" t="s">
        <v>2088</v>
      </c>
      <c r="H1584" s="0" t="s">
        <v>2052</v>
      </c>
      <c r="I1584" s="0" t="s">
        <v>2322</v>
      </c>
      <c r="J1584" s="0" t="s">
        <v>2323</v>
      </c>
      <c r="K1584" s="272" t="n">
        <v>-93131.8410012338</v>
      </c>
    </row>
    <row r="1585" customFormat="false" ht="15" hidden="false" customHeight="false" outlineLevel="0" collapsed="false">
      <c r="A1585" s="0" t="s">
        <v>2041</v>
      </c>
      <c r="B1585" s="0" t="s">
        <v>2042</v>
      </c>
      <c r="C1585" s="0" t="s">
        <v>2321</v>
      </c>
      <c r="D1585" s="0" t="s">
        <v>2044</v>
      </c>
      <c r="E1585" s="0" t="s">
        <v>2045</v>
      </c>
      <c r="F1585" s="0" t="s">
        <v>2046</v>
      </c>
      <c r="G1585" s="0" t="s">
        <v>2089</v>
      </c>
      <c r="H1585" s="0" t="s">
        <v>2048</v>
      </c>
      <c r="I1585" s="0" t="s">
        <v>2322</v>
      </c>
      <c r="J1585" s="0" t="s">
        <v>2323</v>
      </c>
      <c r="K1585" s="272" t="n">
        <v>-87987.9868200123</v>
      </c>
    </row>
    <row r="1586" customFormat="false" ht="15" hidden="false" customHeight="false" outlineLevel="0" collapsed="false">
      <c r="A1586" s="0" t="s">
        <v>2041</v>
      </c>
      <c r="B1586" s="0" t="s">
        <v>2042</v>
      </c>
      <c r="C1586" s="0" t="s">
        <v>2321</v>
      </c>
      <c r="D1586" s="0" t="s">
        <v>2044</v>
      </c>
      <c r="E1586" s="0" t="s">
        <v>2045</v>
      </c>
      <c r="F1586" s="0" t="s">
        <v>2051</v>
      </c>
      <c r="G1586" s="0" t="s">
        <v>2089</v>
      </c>
      <c r="H1586" s="0" t="s">
        <v>2052</v>
      </c>
      <c r="I1586" s="0" t="s">
        <v>2322</v>
      </c>
      <c r="J1586" s="0" t="s">
        <v>2323</v>
      </c>
      <c r="K1586" s="272" t="n">
        <v>-888.767543636487</v>
      </c>
    </row>
    <row r="1587" customFormat="false" ht="15" hidden="false" customHeight="false" outlineLevel="0" collapsed="false">
      <c r="A1587" s="0" t="s">
        <v>2041</v>
      </c>
      <c r="B1587" s="0" t="s">
        <v>2042</v>
      </c>
      <c r="C1587" s="0" t="s">
        <v>2321</v>
      </c>
      <c r="D1587" s="0" t="s">
        <v>2044</v>
      </c>
      <c r="E1587" s="0" t="s">
        <v>2045</v>
      </c>
      <c r="F1587" s="0" t="s">
        <v>2046</v>
      </c>
      <c r="G1587" s="0" t="s">
        <v>2090</v>
      </c>
      <c r="H1587" s="0" t="s">
        <v>2048</v>
      </c>
      <c r="I1587" s="0" t="s">
        <v>2322</v>
      </c>
      <c r="J1587" s="0" t="s">
        <v>2323</v>
      </c>
      <c r="K1587" s="272" t="n">
        <v>-439412.075824701</v>
      </c>
    </row>
    <row r="1588" customFormat="false" ht="15" hidden="false" customHeight="false" outlineLevel="0" collapsed="false">
      <c r="A1588" s="0" t="s">
        <v>2041</v>
      </c>
      <c r="B1588" s="0" t="s">
        <v>2042</v>
      </c>
      <c r="C1588" s="0" t="s">
        <v>2321</v>
      </c>
      <c r="D1588" s="0" t="s">
        <v>2044</v>
      </c>
      <c r="E1588" s="0" t="s">
        <v>2045</v>
      </c>
      <c r="F1588" s="0" t="s">
        <v>2051</v>
      </c>
      <c r="G1588" s="0" t="s">
        <v>2090</v>
      </c>
      <c r="H1588" s="0" t="s">
        <v>2052</v>
      </c>
      <c r="I1588" s="0" t="s">
        <v>2322</v>
      </c>
      <c r="J1588" s="0" t="s">
        <v>2323</v>
      </c>
      <c r="K1588" s="272" t="n">
        <v>6162.60592904605</v>
      </c>
    </row>
    <row r="1589" customFormat="false" ht="15" hidden="false" customHeight="false" outlineLevel="0" collapsed="false">
      <c r="A1589" s="0" t="s">
        <v>2041</v>
      </c>
      <c r="B1589" s="0" t="s">
        <v>2042</v>
      </c>
      <c r="C1589" s="0" t="s">
        <v>2321</v>
      </c>
      <c r="D1589" s="0" t="s">
        <v>2044</v>
      </c>
      <c r="E1589" s="0" t="s">
        <v>2045</v>
      </c>
      <c r="F1589" s="0" t="s">
        <v>2046</v>
      </c>
      <c r="G1589" s="0" t="s">
        <v>2091</v>
      </c>
      <c r="H1589" s="0" t="s">
        <v>2048</v>
      </c>
      <c r="I1589" s="0" t="s">
        <v>2322</v>
      </c>
      <c r="J1589" s="0" t="s">
        <v>2323</v>
      </c>
      <c r="K1589" s="272" t="n">
        <v>-10557.5687008296</v>
      </c>
    </row>
    <row r="1590" customFormat="false" ht="15" hidden="false" customHeight="false" outlineLevel="0" collapsed="false">
      <c r="A1590" s="0" t="s">
        <v>2041</v>
      </c>
      <c r="B1590" s="0" t="s">
        <v>2042</v>
      </c>
      <c r="C1590" s="0" t="s">
        <v>2321</v>
      </c>
      <c r="D1590" s="0" t="s">
        <v>2044</v>
      </c>
      <c r="E1590" s="0" t="s">
        <v>2045</v>
      </c>
      <c r="F1590" s="0" t="s">
        <v>2051</v>
      </c>
      <c r="G1590" s="0" t="s">
        <v>2091</v>
      </c>
      <c r="H1590" s="0" t="s">
        <v>2052</v>
      </c>
      <c r="I1590" s="0" t="s">
        <v>2322</v>
      </c>
      <c r="J1590" s="0" t="s">
        <v>2323</v>
      </c>
      <c r="K1590" s="272" t="n">
        <v>-10814.6692540934</v>
      </c>
    </row>
    <row r="1591" customFormat="false" ht="15" hidden="false" customHeight="false" outlineLevel="0" collapsed="false">
      <c r="A1591" s="0" t="s">
        <v>2041</v>
      </c>
      <c r="B1591" s="0" t="s">
        <v>2042</v>
      </c>
      <c r="C1591" s="0" t="s">
        <v>2321</v>
      </c>
      <c r="D1591" s="0" t="s">
        <v>2044</v>
      </c>
      <c r="E1591" s="0" t="s">
        <v>2045</v>
      </c>
      <c r="F1591" s="0" t="s">
        <v>2046</v>
      </c>
      <c r="G1591" s="0" t="s">
        <v>2092</v>
      </c>
      <c r="H1591" s="0" t="s">
        <v>2048</v>
      </c>
      <c r="I1591" s="0" t="s">
        <v>2103</v>
      </c>
      <c r="J1591" s="0" t="s">
        <v>2323</v>
      </c>
      <c r="K1591" s="272" t="n">
        <v>-857.140155238099</v>
      </c>
    </row>
    <row r="1592" customFormat="false" ht="15" hidden="false" customHeight="false" outlineLevel="0" collapsed="false">
      <c r="A1592" s="0" t="s">
        <v>2041</v>
      </c>
      <c r="B1592" s="0" t="s">
        <v>2042</v>
      </c>
      <c r="C1592" s="0" t="s">
        <v>2321</v>
      </c>
      <c r="D1592" s="0" t="s">
        <v>2044</v>
      </c>
      <c r="E1592" s="0" t="s">
        <v>2045</v>
      </c>
      <c r="F1592" s="0" t="s">
        <v>2051</v>
      </c>
      <c r="G1592" s="0" t="s">
        <v>2092</v>
      </c>
      <c r="H1592" s="0" t="s">
        <v>2052</v>
      </c>
      <c r="I1592" s="0" t="s">
        <v>2103</v>
      </c>
      <c r="J1592" s="0" t="s">
        <v>2323</v>
      </c>
      <c r="K1592" s="272" t="n">
        <v>-45.1126397493645</v>
      </c>
    </row>
    <row r="1593" customFormat="false" ht="15" hidden="false" customHeight="false" outlineLevel="0" collapsed="false">
      <c r="A1593" s="0" t="s">
        <v>2041</v>
      </c>
      <c r="B1593" s="0" t="s">
        <v>2042</v>
      </c>
      <c r="C1593" s="0" t="s">
        <v>2321</v>
      </c>
      <c r="D1593" s="0" t="s">
        <v>2044</v>
      </c>
      <c r="E1593" s="0" t="s">
        <v>2045</v>
      </c>
      <c r="F1593" s="0" t="s">
        <v>2046</v>
      </c>
      <c r="G1593" s="0" t="s">
        <v>2093</v>
      </c>
      <c r="H1593" s="0" t="s">
        <v>2048</v>
      </c>
      <c r="I1593" s="0" t="s">
        <v>2322</v>
      </c>
      <c r="J1593" s="0" t="s">
        <v>2323</v>
      </c>
      <c r="K1593" s="272" t="n">
        <v>-74315.4520369489</v>
      </c>
    </row>
    <row r="1594" customFormat="false" ht="15" hidden="false" customHeight="false" outlineLevel="0" collapsed="false">
      <c r="A1594" s="0" t="s">
        <v>2041</v>
      </c>
      <c r="B1594" s="0" t="s">
        <v>2042</v>
      </c>
      <c r="C1594" s="0" t="s">
        <v>2321</v>
      </c>
      <c r="D1594" s="0" t="s">
        <v>2044</v>
      </c>
      <c r="E1594" s="0" t="s">
        <v>2045</v>
      </c>
      <c r="F1594" s="0" t="s">
        <v>2051</v>
      </c>
      <c r="G1594" s="0" t="s">
        <v>2093</v>
      </c>
      <c r="H1594" s="0" t="s">
        <v>2052</v>
      </c>
      <c r="I1594" s="0" t="s">
        <v>2322</v>
      </c>
      <c r="J1594" s="0" t="s">
        <v>2323</v>
      </c>
      <c r="K1594" s="272" t="n">
        <v>-5120.34593989194</v>
      </c>
    </row>
    <row r="1595" customFormat="false" ht="15" hidden="false" customHeight="false" outlineLevel="0" collapsed="false">
      <c r="A1595" s="0" t="s">
        <v>2041</v>
      </c>
      <c r="B1595" s="0" t="s">
        <v>2042</v>
      </c>
      <c r="C1595" s="0" t="s">
        <v>2321</v>
      </c>
      <c r="D1595" s="0" t="s">
        <v>2044</v>
      </c>
      <c r="E1595" s="0" t="s">
        <v>2045</v>
      </c>
      <c r="F1595" s="0" t="s">
        <v>2046</v>
      </c>
      <c r="G1595" s="0" t="s">
        <v>2094</v>
      </c>
      <c r="H1595" s="0" t="s">
        <v>2048</v>
      </c>
      <c r="I1595" s="0" t="s">
        <v>2322</v>
      </c>
      <c r="J1595" s="0" t="s">
        <v>2323</v>
      </c>
      <c r="K1595" s="272" t="n">
        <v>-104185.804466859</v>
      </c>
    </row>
    <row r="1596" customFormat="false" ht="15" hidden="false" customHeight="false" outlineLevel="0" collapsed="false">
      <c r="A1596" s="0" t="s">
        <v>2041</v>
      </c>
      <c r="B1596" s="0" t="s">
        <v>2042</v>
      </c>
      <c r="C1596" s="0" t="s">
        <v>2321</v>
      </c>
      <c r="D1596" s="0" t="s">
        <v>2044</v>
      </c>
      <c r="E1596" s="0" t="s">
        <v>2045</v>
      </c>
      <c r="F1596" s="0" t="s">
        <v>2051</v>
      </c>
      <c r="G1596" s="0" t="s">
        <v>2094</v>
      </c>
      <c r="H1596" s="0" t="s">
        <v>2052</v>
      </c>
      <c r="I1596" s="0" t="s">
        <v>2322</v>
      </c>
      <c r="J1596" s="0" t="s">
        <v>2323</v>
      </c>
      <c r="K1596" s="272" t="n">
        <v>-83788.4526411898</v>
      </c>
    </row>
    <row r="1597" customFormat="false" ht="15" hidden="false" customHeight="false" outlineLevel="0" collapsed="false">
      <c r="A1597" s="0" t="s">
        <v>2041</v>
      </c>
      <c r="B1597" s="0" t="s">
        <v>2042</v>
      </c>
      <c r="C1597" s="0" t="s">
        <v>2321</v>
      </c>
      <c r="D1597" s="0" t="s">
        <v>2044</v>
      </c>
      <c r="E1597" s="0" t="s">
        <v>2045</v>
      </c>
      <c r="F1597" s="0" t="s">
        <v>2046</v>
      </c>
      <c r="G1597" s="0" t="s">
        <v>2095</v>
      </c>
      <c r="H1597" s="0" t="s">
        <v>2048</v>
      </c>
      <c r="I1597" s="0" t="s">
        <v>2322</v>
      </c>
      <c r="J1597" s="0" t="s">
        <v>2323</v>
      </c>
      <c r="K1597" s="272" t="n">
        <v>-247549.660269294</v>
      </c>
    </row>
    <row r="1598" customFormat="false" ht="15" hidden="false" customHeight="false" outlineLevel="0" collapsed="false">
      <c r="A1598" s="0" t="s">
        <v>2041</v>
      </c>
      <c r="B1598" s="0" t="s">
        <v>2042</v>
      </c>
      <c r="C1598" s="0" t="s">
        <v>2321</v>
      </c>
      <c r="D1598" s="0" t="s">
        <v>2044</v>
      </c>
      <c r="E1598" s="0" t="s">
        <v>2045</v>
      </c>
      <c r="F1598" s="0" t="s">
        <v>2051</v>
      </c>
      <c r="G1598" s="0" t="s">
        <v>2095</v>
      </c>
      <c r="H1598" s="0" t="s">
        <v>2052</v>
      </c>
      <c r="I1598" s="0" t="s">
        <v>2322</v>
      </c>
      <c r="J1598" s="0" t="s">
        <v>2323</v>
      </c>
      <c r="K1598" s="272" t="n">
        <v>20976.5401969301</v>
      </c>
    </row>
    <row r="1599" customFormat="false" ht="15" hidden="false" customHeight="false" outlineLevel="0" collapsed="false">
      <c r="A1599" s="0" t="s">
        <v>2041</v>
      </c>
      <c r="B1599" s="0" t="s">
        <v>2042</v>
      </c>
      <c r="C1599" s="0" t="s">
        <v>2321</v>
      </c>
      <c r="D1599" s="0" t="s">
        <v>2044</v>
      </c>
      <c r="E1599" s="0" t="s">
        <v>2045</v>
      </c>
      <c r="F1599" s="0" t="s">
        <v>2046</v>
      </c>
      <c r="G1599" s="0" t="s">
        <v>2096</v>
      </c>
      <c r="H1599" s="0" t="s">
        <v>2048</v>
      </c>
      <c r="I1599" s="0" t="s">
        <v>2097</v>
      </c>
      <c r="J1599" s="0" t="s">
        <v>2323</v>
      </c>
      <c r="K1599" s="272" t="n">
        <v>26286.708397895</v>
      </c>
    </row>
    <row r="1600" customFormat="false" ht="15" hidden="false" customHeight="false" outlineLevel="0" collapsed="false">
      <c r="A1600" s="0" t="s">
        <v>2041</v>
      </c>
      <c r="B1600" s="0" t="s">
        <v>2042</v>
      </c>
      <c r="C1600" s="0" t="s">
        <v>2321</v>
      </c>
      <c r="D1600" s="0" t="s">
        <v>2044</v>
      </c>
      <c r="E1600" s="0" t="s">
        <v>2045</v>
      </c>
      <c r="F1600" s="0" t="s">
        <v>2051</v>
      </c>
      <c r="G1600" s="0" t="s">
        <v>2096</v>
      </c>
      <c r="H1600" s="0" t="s">
        <v>2052</v>
      </c>
      <c r="I1600" s="0" t="s">
        <v>2097</v>
      </c>
      <c r="J1600" s="0" t="s">
        <v>2323</v>
      </c>
      <c r="K1600" s="272" t="n">
        <v>26286.708397895</v>
      </c>
    </row>
    <row r="1601" customFormat="false" ht="15" hidden="false" customHeight="false" outlineLevel="0" collapsed="false">
      <c r="A1601" s="0" t="s">
        <v>2041</v>
      </c>
      <c r="B1601" s="0" t="s">
        <v>2042</v>
      </c>
      <c r="C1601" s="0" t="s">
        <v>2321</v>
      </c>
      <c r="D1601" s="0" t="s">
        <v>2044</v>
      </c>
      <c r="E1601" s="0" t="s">
        <v>2045</v>
      </c>
      <c r="F1601" s="0" t="s">
        <v>2046</v>
      </c>
      <c r="G1601" s="0" t="s">
        <v>2098</v>
      </c>
      <c r="H1601" s="0" t="s">
        <v>2048</v>
      </c>
      <c r="I1601" s="0" t="s">
        <v>2322</v>
      </c>
      <c r="J1601" s="0" t="s">
        <v>2323</v>
      </c>
      <c r="K1601" s="272" t="n">
        <v>-43330.6693532583</v>
      </c>
    </row>
    <row r="1602" customFormat="false" ht="15" hidden="false" customHeight="false" outlineLevel="0" collapsed="false">
      <c r="A1602" s="0" t="s">
        <v>2041</v>
      </c>
      <c r="B1602" s="0" t="s">
        <v>2042</v>
      </c>
      <c r="C1602" s="0" t="s">
        <v>2321</v>
      </c>
      <c r="D1602" s="0" t="s">
        <v>2044</v>
      </c>
      <c r="E1602" s="0" t="s">
        <v>2045</v>
      </c>
      <c r="F1602" s="0" t="s">
        <v>2051</v>
      </c>
      <c r="G1602" s="0" t="s">
        <v>2098</v>
      </c>
      <c r="H1602" s="0" t="s">
        <v>2052</v>
      </c>
      <c r="I1602" s="0" t="s">
        <v>2322</v>
      </c>
      <c r="J1602" s="0" t="s">
        <v>2323</v>
      </c>
      <c r="K1602" s="272" t="n">
        <v>-884.299374556289</v>
      </c>
    </row>
    <row r="1603" customFormat="false" ht="15" hidden="false" customHeight="false" outlineLevel="0" collapsed="false">
      <c r="A1603" s="0" t="s">
        <v>2041</v>
      </c>
      <c r="B1603" s="0" t="s">
        <v>2042</v>
      </c>
      <c r="C1603" s="0" t="s">
        <v>2321</v>
      </c>
      <c r="D1603" s="0" t="s">
        <v>2044</v>
      </c>
      <c r="E1603" s="0" t="s">
        <v>2045</v>
      </c>
      <c r="F1603" s="0" t="s">
        <v>2099</v>
      </c>
      <c r="G1603" s="0" t="s">
        <v>2064</v>
      </c>
      <c r="H1603" s="0" t="s">
        <v>2100</v>
      </c>
      <c r="I1603" s="0" t="s">
        <v>2322</v>
      </c>
      <c r="J1603" s="0" t="s">
        <v>2323</v>
      </c>
      <c r="K1603" s="272" t="n">
        <v>-35063.720129811</v>
      </c>
    </row>
    <row r="1604" customFormat="false" ht="15" hidden="false" customHeight="false" outlineLevel="0" collapsed="false">
      <c r="A1604" s="0" t="s">
        <v>2041</v>
      </c>
      <c r="B1604" s="0" t="s">
        <v>2042</v>
      </c>
      <c r="C1604" s="0" t="s">
        <v>2321</v>
      </c>
      <c r="D1604" s="0" t="s">
        <v>2044</v>
      </c>
      <c r="E1604" s="0" t="s">
        <v>2045</v>
      </c>
      <c r="F1604" s="0" t="s">
        <v>2099</v>
      </c>
      <c r="G1604" s="0" t="s">
        <v>2076</v>
      </c>
      <c r="H1604" s="0" t="s">
        <v>2100</v>
      </c>
      <c r="I1604" s="0" t="s">
        <v>2322</v>
      </c>
      <c r="J1604" s="0" t="s">
        <v>2323</v>
      </c>
      <c r="K1604" s="272" t="n">
        <v>-24013.3020716095</v>
      </c>
    </row>
    <row r="1605" customFormat="false" ht="15" hidden="false" customHeight="false" outlineLevel="0" collapsed="false">
      <c r="A1605" s="0" t="s">
        <v>2041</v>
      </c>
      <c r="B1605" s="0" t="s">
        <v>2042</v>
      </c>
      <c r="C1605" s="0" t="s">
        <v>2321</v>
      </c>
      <c r="D1605" s="0" t="s">
        <v>2044</v>
      </c>
      <c r="E1605" s="0" t="s">
        <v>2045</v>
      </c>
      <c r="F1605" s="0" t="s">
        <v>2099</v>
      </c>
      <c r="G1605" s="0" t="s">
        <v>2081</v>
      </c>
      <c r="H1605" s="0" t="s">
        <v>2100</v>
      </c>
      <c r="I1605" s="0" t="s">
        <v>2322</v>
      </c>
      <c r="J1605" s="0" t="s">
        <v>2323</v>
      </c>
      <c r="K1605" s="272" t="n">
        <v>-4406.4275989891</v>
      </c>
    </row>
    <row r="1606" customFormat="false" ht="15" hidden="false" customHeight="false" outlineLevel="0" collapsed="false">
      <c r="A1606" s="0" t="s">
        <v>2041</v>
      </c>
      <c r="B1606" s="0" t="s">
        <v>2042</v>
      </c>
      <c r="C1606" s="0" t="s">
        <v>2321</v>
      </c>
      <c r="D1606" s="0" t="s">
        <v>2044</v>
      </c>
      <c r="E1606" s="0" t="s">
        <v>2045</v>
      </c>
      <c r="F1606" s="0" t="s">
        <v>2099</v>
      </c>
      <c r="G1606" s="0" t="s">
        <v>2085</v>
      </c>
      <c r="H1606" s="0" t="s">
        <v>2100</v>
      </c>
      <c r="I1606" s="0" t="s">
        <v>2322</v>
      </c>
      <c r="J1606" s="0" t="s">
        <v>2323</v>
      </c>
      <c r="K1606" s="272" t="n">
        <v>-25734.364654506</v>
      </c>
    </row>
    <row r="1607" customFormat="false" ht="15" hidden="false" customHeight="false" outlineLevel="0" collapsed="false">
      <c r="A1607" s="0" t="s">
        <v>2041</v>
      </c>
      <c r="B1607" s="0" t="s">
        <v>2042</v>
      </c>
      <c r="C1607" s="0" t="s">
        <v>2321</v>
      </c>
      <c r="D1607" s="0" t="s">
        <v>2044</v>
      </c>
      <c r="E1607" s="0" t="s">
        <v>2045</v>
      </c>
      <c r="F1607" s="0" t="s">
        <v>2099</v>
      </c>
      <c r="G1607" s="0" t="s">
        <v>2086</v>
      </c>
      <c r="H1607" s="0" t="s">
        <v>2100</v>
      </c>
      <c r="I1607" s="0" t="s">
        <v>2322</v>
      </c>
      <c r="J1607" s="0" t="s">
        <v>2323</v>
      </c>
      <c r="K1607" s="272" t="n">
        <v>-16160.2957021555</v>
      </c>
    </row>
    <row r="1608" customFormat="false" ht="15" hidden="false" customHeight="false" outlineLevel="0" collapsed="false">
      <c r="A1608" s="0" t="s">
        <v>2041</v>
      </c>
      <c r="B1608" s="0" t="s">
        <v>2042</v>
      </c>
      <c r="C1608" s="0" t="s">
        <v>2321</v>
      </c>
      <c r="D1608" s="0" t="s">
        <v>2044</v>
      </c>
      <c r="E1608" s="0" t="s">
        <v>2045</v>
      </c>
      <c r="F1608" s="0" t="s">
        <v>2099</v>
      </c>
      <c r="G1608" s="0" t="s">
        <v>2095</v>
      </c>
      <c r="H1608" s="0" t="s">
        <v>2100</v>
      </c>
      <c r="I1608" s="0" t="s">
        <v>2322</v>
      </c>
      <c r="J1608" s="0" t="s">
        <v>2323</v>
      </c>
      <c r="K1608" s="272" t="n">
        <v>-159177.479238328</v>
      </c>
    </row>
    <row r="1609" customFormat="false" ht="15" hidden="false" customHeight="false" outlineLevel="0" collapsed="false">
      <c r="A1609" s="0" t="s">
        <v>2041</v>
      </c>
      <c r="B1609" s="0" t="s">
        <v>2042</v>
      </c>
      <c r="C1609" s="0" t="s">
        <v>2321</v>
      </c>
      <c r="D1609" s="0" t="s">
        <v>2044</v>
      </c>
      <c r="E1609" s="0" t="s">
        <v>2045</v>
      </c>
      <c r="F1609" s="0" t="s">
        <v>2099</v>
      </c>
      <c r="G1609" s="0" t="s">
        <v>2096</v>
      </c>
      <c r="H1609" s="0" t="s">
        <v>2100</v>
      </c>
      <c r="I1609" s="0" t="s">
        <v>2101</v>
      </c>
      <c r="J1609" s="0" t="s">
        <v>2323</v>
      </c>
      <c r="K1609" s="272" t="n">
        <v>19216.7515935751</v>
      </c>
    </row>
    <row r="1610" customFormat="false" ht="15" hidden="false" customHeight="false" outlineLevel="0" collapsed="false">
      <c r="A1610" s="0" t="s">
        <v>2041</v>
      </c>
      <c r="B1610" s="0" t="s">
        <v>2042</v>
      </c>
      <c r="C1610" s="0" t="s">
        <v>2333</v>
      </c>
      <c r="D1610" s="0" t="s">
        <v>2105</v>
      </c>
      <c r="E1610" s="0" t="s">
        <v>2045</v>
      </c>
      <c r="F1610" s="0" t="s">
        <v>2157</v>
      </c>
      <c r="G1610" s="0" t="s">
        <v>2158</v>
      </c>
      <c r="H1610" s="0" t="s">
        <v>2179</v>
      </c>
      <c r="I1610" s="0" t="s">
        <v>2322</v>
      </c>
      <c r="J1610" s="0" t="s">
        <v>2323</v>
      </c>
      <c r="K1610" s="272" t="n">
        <v>4825.9778194213</v>
      </c>
    </row>
    <row r="1611" customFormat="false" ht="15" hidden="false" customHeight="false" outlineLevel="0" collapsed="false">
      <c r="A1611" s="0" t="s">
        <v>2041</v>
      </c>
      <c r="B1611" s="0" t="s">
        <v>2042</v>
      </c>
      <c r="C1611" s="0" t="s">
        <v>2333</v>
      </c>
      <c r="D1611" s="0" t="s">
        <v>2105</v>
      </c>
      <c r="E1611" s="0" t="s">
        <v>2045</v>
      </c>
      <c r="F1611" s="0" t="s">
        <v>2157</v>
      </c>
      <c r="G1611" s="0" t="s">
        <v>2158</v>
      </c>
      <c r="H1611" s="0" t="s">
        <v>2159</v>
      </c>
      <c r="I1611" s="0" t="s">
        <v>2322</v>
      </c>
      <c r="J1611" s="0" t="s">
        <v>2323</v>
      </c>
      <c r="K1611" s="272" t="n">
        <v>-122723.153357857</v>
      </c>
    </row>
    <row r="1612" customFormat="false" ht="15" hidden="false" customHeight="false" outlineLevel="0" collapsed="false">
      <c r="A1612" s="0" t="s">
        <v>2041</v>
      </c>
      <c r="B1612" s="0" t="s">
        <v>2042</v>
      </c>
      <c r="C1612" s="0" t="s">
        <v>2333</v>
      </c>
      <c r="D1612" s="0" t="s">
        <v>2105</v>
      </c>
      <c r="E1612" s="0" t="s">
        <v>2045</v>
      </c>
      <c r="F1612" s="0" t="s">
        <v>2157</v>
      </c>
      <c r="G1612" s="0" t="s">
        <v>2158</v>
      </c>
      <c r="H1612" s="0" t="s">
        <v>2159</v>
      </c>
      <c r="I1612" s="0" t="s">
        <v>2124</v>
      </c>
      <c r="J1612" s="0" t="s">
        <v>2323</v>
      </c>
      <c r="K1612" s="272" t="n">
        <v>-78785.8362567282</v>
      </c>
    </row>
    <row r="1613" customFormat="false" ht="15" hidden="false" customHeight="false" outlineLevel="0" collapsed="false">
      <c r="A1613" s="0" t="s">
        <v>2041</v>
      </c>
      <c r="B1613" s="0" t="s">
        <v>2042</v>
      </c>
      <c r="C1613" s="0" t="s">
        <v>2333</v>
      </c>
      <c r="D1613" s="0" t="s">
        <v>2105</v>
      </c>
      <c r="E1613" s="0" t="s">
        <v>2045</v>
      </c>
      <c r="F1613" s="0" t="s">
        <v>2157</v>
      </c>
      <c r="G1613" s="0" t="s">
        <v>2158</v>
      </c>
      <c r="H1613" s="0" t="s">
        <v>2162</v>
      </c>
      <c r="I1613" s="0" t="s">
        <v>2322</v>
      </c>
      <c r="J1613" s="0" t="s">
        <v>2323</v>
      </c>
      <c r="K1613" s="272" t="n">
        <v>4655.85533537512</v>
      </c>
    </row>
    <row r="1614" customFormat="false" ht="15" hidden="false" customHeight="false" outlineLevel="0" collapsed="false">
      <c r="A1614" s="0" t="s">
        <v>2041</v>
      </c>
      <c r="B1614" s="0" t="s">
        <v>2042</v>
      </c>
      <c r="C1614" s="0" t="s">
        <v>2333</v>
      </c>
      <c r="D1614" s="0" t="s">
        <v>2105</v>
      </c>
      <c r="E1614" s="0" t="s">
        <v>2045</v>
      </c>
      <c r="F1614" s="0" t="s">
        <v>2157</v>
      </c>
      <c r="G1614" s="0" t="s">
        <v>2158</v>
      </c>
      <c r="H1614" s="0" t="s">
        <v>2126</v>
      </c>
      <c r="I1614" s="0" t="s">
        <v>2322</v>
      </c>
      <c r="J1614" s="0" t="s">
        <v>2323</v>
      </c>
      <c r="K1614" s="272" t="n">
        <v>27236.9189947092</v>
      </c>
    </row>
    <row r="1615" customFormat="false" ht="15" hidden="false" customHeight="false" outlineLevel="0" collapsed="false">
      <c r="A1615" s="0" t="s">
        <v>2041</v>
      </c>
      <c r="B1615" s="0" t="s">
        <v>2042</v>
      </c>
      <c r="C1615" s="0" t="s">
        <v>2333</v>
      </c>
      <c r="D1615" s="0" t="s">
        <v>2105</v>
      </c>
      <c r="E1615" s="0" t="s">
        <v>2045</v>
      </c>
      <c r="F1615" s="0" t="s">
        <v>2324</v>
      </c>
      <c r="G1615" s="0" t="s">
        <v>2325</v>
      </c>
      <c r="H1615" s="0" t="s">
        <v>2326</v>
      </c>
      <c r="I1615" s="0" t="s">
        <v>2322</v>
      </c>
      <c r="J1615" s="0" t="s">
        <v>2323</v>
      </c>
      <c r="K1615" s="272" t="n">
        <v>-51.5970418281504</v>
      </c>
    </row>
    <row r="1616" customFormat="false" ht="15" hidden="false" customHeight="false" outlineLevel="0" collapsed="false">
      <c r="A1616" s="0" t="s">
        <v>2041</v>
      </c>
      <c r="B1616" s="0" t="s">
        <v>2042</v>
      </c>
      <c r="C1616" s="0" t="s">
        <v>2333</v>
      </c>
      <c r="D1616" s="0" t="s">
        <v>2105</v>
      </c>
      <c r="E1616" s="0" t="s">
        <v>2045</v>
      </c>
      <c r="F1616" s="0" t="s">
        <v>2163</v>
      </c>
      <c r="G1616" s="0" t="s">
        <v>2164</v>
      </c>
      <c r="H1616" s="0" t="s">
        <v>2165</v>
      </c>
      <c r="I1616" s="0" t="s">
        <v>2322</v>
      </c>
      <c r="J1616" s="0" t="s">
        <v>2323</v>
      </c>
      <c r="K1616" s="272" t="n">
        <v>26169.0184869584</v>
      </c>
    </row>
    <row r="1617" customFormat="false" ht="15" hidden="false" customHeight="false" outlineLevel="0" collapsed="false">
      <c r="A1617" s="0" t="s">
        <v>2041</v>
      </c>
      <c r="B1617" s="0" t="s">
        <v>2042</v>
      </c>
      <c r="C1617" s="0" t="s">
        <v>2333</v>
      </c>
      <c r="D1617" s="0" t="s">
        <v>2105</v>
      </c>
      <c r="E1617" s="0" t="s">
        <v>2045</v>
      </c>
      <c r="F1617" s="0" t="s">
        <v>2163</v>
      </c>
      <c r="G1617" s="0" t="s">
        <v>2164</v>
      </c>
      <c r="H1617" s="0" t="s">
        <v>2166</v>
      </c>
      <c r="I1617" s="0" t="s">
        <v>2322</v>
      </c>
      <c r="J1617" s="0" t="s">
        <v>2323</v>
      </c>
      <c r="K1617" s="272" t="n">
        <v>-341428.678399838</v>
      </c>
    </row>
    <row r="1618" customFormat="false" ht="15" hidden="false" customHeight="false" outlineLevel="0" collapsed="false">
      <c r="A1618" s="0" t="s">
        <v>2041</v>
      </c>
      <c r="B1618" s="0" t="s">
        <v>2042</v>
      </c>
      <c r="C1618" s="0" t="s">
        <v>2333</v>
      </c>
      <c r="D1618" s="0" t="s">
        <v>2105</v>
      </c>
      <c r="E1618" s="0" t="s">
        <v>2045</v>
      </c>
      <c r="F1618" s="0" t="s">
        <v>2163</v>
      </c>
      <c r="G1618" s="0" t="s">
        <v>2164</v>
      </c>
      <c r="H1618" s="0" t="s">
        <v>2166</v>
      </c>
      <c r="I1618" s="0" t="s">
        <v>2124</v>
      </c>
      <c r="J1618" s="0" t="s">
        <v>2323</v>
      </c>
      <c r="K1618" s="272" t="n">
        <v>88991.3435954315</v>
      </c>
    </row>
    <row r="1619" customFormat="false" ht="15" hidden="false" customHeight="false" outlineLevel="0" collapsed="false">
      <c r="A1619" s="0" t="s">
        <v>2041</v>
      </c>
      <c r="B1619" s="0" t="s">
        <v>2042</v>
      </c>
      <c r="C1619" s="0" t="s">
        <v>2333</v>
      </c>
      <c r="D1619" s="0" t="s">
        <v>2105</v>
      </c>
      <c r="E1619" s="0" t="s">
        <v>2045</v>
      </c>
      <c r="F1619" s="0" t="s">
        <v>2163</v>
      </c>
      <c r="G1619" s="0" t="s">
        <v>2164</v>
      </c>
      <c r="H1619" s="0" t="s">
        <v>2166</v>
      </c>
      <c r="I1619" s="0" t="s">
        <v>2167</v>
      </c>
      <c r="J1619" s="0" t="s">
        <v>2323</v>
      </c>
      <c r="K1619" s="272" t="n">
        <v>-38508.0995106918</v>
      </c>
    </row>
    <row r="1620" customFormat="false" ht="15" hidden="false" customHeight="false" outlineLevel="0" collapsed="false">
      <c r="A1620" s="0" t="s">
        <v>2041</v>
      </c>
      <c r="B1620" s="0" t="s">
        <v>2042</v>
      </c>
      <c r="C1620" s="0" t="s">
        <v>2333</v>
      </c>
      <c r="D1620" s="0" t="s">
        <v>2105</v>
      </c>
      <c r="E1620" s="0" t="s">
        <v>2045</v>
      </c>
      <c r="F1620" s="0" t="s">
        <v>2163</v>
      </c>
      <c r="G1620" s="0" t="s">
        <v>2168</v>
      </c>
      <c r="H1620" s="0" t="s">
        <v>2169</v>
      </c>
      <c r="I1620" s="0" t="s">
        <v>2322</v>
      </c>
      <c r="J1620" s="0" t="s">
        <v>2323</v>
      </c>
      <c r="K1620" s="272" t="n">
        <v>-1326859.75296095</v>
      </c>
    </row>
    <row r="1621" customFormat="false" ht="15" hidden="false" customHeight="false" outlineLevel="0" collapsed="false">
      <c r="A1621" s="0" t="s">
        <v>2041</v>
      </c>
      <c r="B1621" s="0" t="s">
        <v>2042</v>
      </c>
      <c r="C1621" s="0" t="s">
        <v>2333</v>
      </c>
      <c r="D1621" s="0" t="s">
        <v>2105</v>
      </c>
      <c r="E1621" s="0" t="s">
        <v>2045</v>
      </c>
      <c r="F1621" s="0" t="s">
        <v>2163</v>
      </c>
      <c r="G1621" s="0" t="s">
        <v>2168</v>
      </c>
      <c r="H1621" s="0" t="s">
        <v>2169</v>
      </c>
      <c r="I1621" s="0" t="s">
        <v>2167</v>
      </c>
      <c r="J1621" s="0" t="s">
        <v>2323</v>
      </c>
      <c r="K1621" s="272" t="n">
        <v>-3525318.78788733</v>
      </c>
    </row>
    <row r="1622" customFormat="false" ht="15" hidden="false" customHeight="false" outlineLevel="0" collapsed="false">
      <c r="A1622" s="0" t="s">
        <v>2041</v>
      </c>
      <c r="B1622" s="0" t="s">
        <v>2042</v>
      </c>
      <c r="C1622" s="0" t="s">
        <v>2333</v>
      </c>
      <c r="D1622" s="0" t="s">
        <v>2105</v>
      </c>
      <c r="E1622" s="0" t="s">
        <v>2045</v>
      </c>
      <c r="F1622" s="0" t="s">
        <v>2163</v>
      </c>
      <c r="G1622" s="0" t="s">
        <v>2168</v>
      </c>
      <c r="H1622" s="0" t="s">
        <v>2165</v>
      </c>
      <c r="I1622" s="0" t="s">
        <v>2322</v>
      </c>
      <c r="J1622" s="0" t="s">
        <v>2323</v>
      </c>
      <c r="K1622" s="272" t="n">
        <v>-60809.4136488244</v>
      </c>
    </row>
    <row r="1623" customFormat="false" ht="15" hidden="false" customHeight="false" outlineLevel="0" collapsed="false">
      <c r="A1623" s="0" t="s">
        <v>2041</v>
      </c>
      <c r="B1623" s="0" t="s">
        <v>2042</v>
      </c>
      <c r="C1623" s="0" t="s">
        <v>2333</v>
      </c>
      <c r="D1623" s="0" t="s">
        <v>2105</v>
      </c>
      <c r="E1623" s="0" t="s">
        <v>2045</v>
      </c>
      <c r="F1623" s="0" t="s">
        <v>2163</v>
      </c>
      <c r="G1623" s="0" t="s">
        <v>2168</v>
      </c>
      <c r="H1623" s="0" t="s">
        <v>2166</v>
      </c>
      <c r="I1623" s="0" t="s">
        <v>2167</v>
      </c>
      <c r="J1623" s="0" t="s">
        <v>2323</v>
      </c>
      <c r="K1623" s="272" t="n">
        <v>-1384.6578611818</v>
      </c>
    </row>
    <row r="1624" customFormat="false" ht="15" hidden="false" customHeight="false" outlineLevel="0" collapsed="false">
      <c r="A1624" s="0" t="s">
        <v>2041</v>
      </c>
      <c r="B1624" s="0" t="s">
        <v>2042</v>
      </c>
      <c r="C1624" s="0" t="s">
        <v>2333</v>
      </c>
      <c r="D1624" s="0" t="s">
        <v>2105</v>
      </c>
      <c r="E1624" s="0" t="s">
        <v>2045</v>
      </c>
      <c r="F1624" s="0" t="s">
        <v>2163</v>
      </c>
      <c r="G1624" s="0" t="s">
        <v>2170</v>
      </c>
      <c r="H1624" s="0" t="s">
        <v>2169</v>
      </c>
      <c r="I1624" s="0" t="s">
        <v>2322</v>
      </c>
      <c r="J1624" s="0" t="s">
        <v>2323</v>
      </c>
      <c r="K1624" s="272" t="n">
        <v>-78669.6766715207</v>
      </c>
    </row>
    <row r="1625" customFormat="false" ht="15" hidden="false" customHeight="false" outlineLevel="0" collapsed="false">
      <c r="A1625" s="0" t="s">
        <v>2041</v>
      </c>
      <c r="B1625" s="0" t="s">
        <v>2042</v>
      </c>
      <c r="C1625" s="0" t="s">
        <v>2333</v>
      </c>
      <c r="D1625" s="0" t="s">
        <v>2105</v>
      </c>
      <c r="E1625" s="0" t="s">
        <v>2045</v>
      </c>
      <c r="F1625" s="0" t="s">
        <v>2163</v>
      </c>
      <c r="G1625" s="0" t="s">
        <v>2170</v>
      </c>
      <c r="H1625" s="0" t="s">
        <v>2165</v>
      </c>
      <c r="I1625" s="0" t="s">
        <v>2322</v>
      </c>
      <c r="J1625" s="0" t="s">
        <v>2323</v>
      </c>
      <c r="K1625" s="272" t="n">
        <v>-727747.767117051</v>
      </c>
    </row>
    <row r="1626" customFormat="false" ht="15" hidden="false" customHeight="false" outlineLevel="0" collapsed="false">
      <c r="A1626" s="0" t="s">
        <v>2041</v>
      </c>
      <c r="B1626" s="0" t="s">
        <v>2042</v>
      </c>
      <c r="C1626" s="0" t="s">
        <v>2333</v>
      </c>
      <c r="D1626" s="0" t="s">
        <v>2105</v>
      </c>
      <c r="E1626" s="0" t="s">
        <v>2045</v>
      </c>
      <c r="F1626" s="0" t="s">
        <v>2163</v>
      </c>
      <c r="G1626" s="0" t="s">
        <v>2170</v>
      </c>
      <c r="H1626" s="0" t="s">
        <v>2165</v>
      </c>
      <c r="I1626" s="0" t="s">
        <v>2124</v>
      </c>
      <c r="J1626" s="0" t="s">
        <v>2323</v>
      </c>
      <c r="K1626" s="272" t="n">
        <v>-11746.3651986661</v>
      </c>
    </row>
    <row r="1627" customFormat="false" ht="15" hidden="false" customHeight="false" outlineLevel="0" collapsed="false">
      <c r="A1627" s="0" t="s">
        <v>2041</v>
      </c>
      <c r="B1627" s="0" t="s">
        <v>2042</v>
      </c>
      <c r="C1627" s="0" t="s">
        <v>2333</v>
      </c>
      <c r="D1627" s="0" t="s">
        <v>2105</v>
      </c>
      <c r="E1627" s="0" t="s">
        <v>2045</v>
      </c>
      <c r="F1627" s="0" t="s">
        <v>2163</v>
      </c>
      <c r="G1627" s="0" t="s">
        <v>2170</v>
      </c>
      <c r="H1627" s="0" t="s">
        <v>2165</v>
      </c>
      <c r="I1627" s="0" t="s">
        <v>2167</v>
      </c>
      <c r="J1627" s="0" t="s">
        <v>2323</v>
      </c>
      <c r="K1627" s="272" t="n">
        <v>-463523.43316825</v>
      </c>
    </row>
    <row r="1628" customFormat="false" ht="15" hidden="false" customHeight="false" outlineLevel="0" collapsed="false">
      <c r="A1628" s="0" t="s">
        <v>2041</v>
      </c>
      <c r="B1628" s="0" t="s">
        <v>2042</v>
      </c>
      <c r="C1628" s="0" t="s">
        <v>2333</v>
      </c>
      <c r="D1628" s="0" t="s">
        <v>2105</v>
      </c>
      <c r="E1628" s="0" t="s">
        <v>2045</v>
      </c>
      <c r="F1628" s="0" t="s">
        <v>2163</v>
      </c>
      <c r="G1628" s="0" t="s">
        <v>2170</v>
      </c>
      <c r="H1628" s="0" t="s">
        <v>2171</v>
      </c>
      <c r="I1628" s="0" t="s">
        <v>2322</v>
      </c>
      <c r="J1628" s="0" t="s">
        <v>2323</v>
      </c>
      <c r="K1628" s="272" t="n">
        <v>-914281.695173857</v>
      </c>
    </row>
    <row r="1629" customFormat="false" ht="15" hidden="false" customHeight="false" outlineLevel="0" collapsed="false">
      <c r="A1629" s="0" t="s">
        <v>2041</v>
      </c>
      <c r="B1629" s="0" t="s">
        <v>2042</v>
      </c>
      <c r="C1629" s="0" t="s">
        <v>2333</v>
      </c>
      <c r="D1629" s="0" t="s">
        <v>2105</v>
      </c>
      <c r="E1629" s="0" t="s">
        <v>2045</v>
      </c>
      <c r="F1629" s="0" t="s">
        <v>2163</v>
      </c>
      <c r="G1629" s="0" t="s">
        <v>2172</v>
      </c>
      <c r="H1629" s="0" t="s">
        <v>2173</v>
      </c>
      <c r="I1629" s="0" t="s">
        <v>2322</v>
      </c>
      <c r="J1629" s="0" t="s">
        <v>2323</v>
      </c>
      <c r="K1629" s="272" t="n">
        <v>-1335221.1306317</v>
      </c>
    </row>
    <row r="1630" customFormat="false" ht="15" hidden="false" customHeight="false" outlineLevel="0" collapsed="false">
      <c r="A1630" s="0" t="s">
        <v>2041</v>
      </c>
      <c r="B1630" s="0" t="s">
        <v>2042</v>
      </c>
      <c r="C1630" s="0" t="s">
        <v>2333</v>
      </c>
      <c r="D1630" s="0" t="s">
        <v>2105</v>
      </c>
      <c r="E1630" s="0" t="s">
        <v>2045</v>
      </c>
      <c r="F1630" s="0" t="s">
        <v>2163</v>
      </c>
      <c r="G1630" s="0" t="s">
        <v>2172</v>
      </c>
      <c r="H1630" s="0" t="s">
        <v>2173</v>
      </c>
      <c r="I1630" s="0" t="s">
        <v>2124</v>
      </c>
      <c r="J1630" s="0" t="s">
        <v>2323</v>
      </c>
      <c r="K1630" s="272" t="n">
        <v>-87794.4602439932</v>
      </c>
    </row>
    <row r="1631" customFormat="false" ht="15" hidden="false" customHeight="false" outlineLevel="0" collapsed="false">
      <c r="A1631" s="0" t="s">
        <v>2041</v>
      </c>
      <c r="B1631" s="0" t="s">
        <v>2042</v>
      </c>
      <c r="C1631" s="0" t="s">
        <v>2333</v>
      </c>
      <c r="D1631" s="0" t="s">
        <v>2105</v>
      </c>
      <c r="E1631" s="0" t="s">
        <v>2045</v>
      </c>
      <c r="F1631" s="0" t="s">
        <v>2163</v>
      </c>
      <c r="G1631" s="0" t="s">
        <v>2172</v>
      </c>
      <c r="H1631" s="0" t="s">
        <v>2173</v>
      </c>
      <c r="I1631" s="0" t="s">
        <v>2167</v>
      </c>
      <c r="J1631" s="0" t="s">
        <v>2323</v>
      </c>
      <c r="K1631" s="272" t="n">
        <v>-133643.949177957</v>
      </c>
    </row>
    <row r="1632" customFormat="false" ht="15" hidden="false" customHeight="false" outlineLevel="0" collapsed="false">
      <c r="A1632" s="0" t="s">
        <v>2041</v>
      </c>
      <c r="B1632" s="0" t="s">
        <v>2042</v>
      </c>
      <c r="C1632" s="0" t="s">
        <v>2333</v>
      </c>
      <c r="D1632" s="0" t="s">
        <v>2105</v>
      </c>
      <c r="E1632" s="0" t="s">
        <v>2045</v>
      </c>
      <c r="F1632" s="0" t="s">
        <v>2163</v>
      </c>
      <c r="G1632" s="0" t="s">
        <v>2327</v>
      </c>
      <c r="H1632" s="0" t="s">
        <v>2328</v>
      </c>
      <c r="I1632" s="0" t="s">
        <v>2322</v>
      </c>
      <c r="J1632" s="0" t="s">
        <v>2323</v>
      </c>
      <c r="K1632" s="272" t="n">
        <v>416114.109267492</v>
      </c>
    </row>
    <row r="1633" customFormat="false" ht="15" hidden="false" customHeight="false" outlineLevel="0" collapsed="false">
      <c r="A1633" s="0" t="s">
        <v>2041</v>
      </c>
      <c r="B1633" s="0" t="s">
        <v>2042</v>
      </c>
      <c r="C1633" s="0" t="s">
        <v>2333</v>
      </c>
      <c r="D1633" s="0" t="s">
        <v>2105</v>
      </c>
      <c r="E1633" s="0" t="s">
        <v>2045</v>
      </c>
      <c r="F1633" s="0" t="s">
        <v>2163</v>
      </c>
      <c r="G1633" s="0" t="s">
        <v>2174</v>
      </c>
      <c r="H1633" s="0" t="s">
        <v>2175</v>
      </c>
      <c r="I1633" s="0" t="s">
        <v>2322</v>
      </c>
      <c r="J1633" s="0" t="s">
        <v>2323</v>
      </c>
      <c r="K1633" s="272" t="n">
        <v>-1873661.88823803</v>
      </c>
    </row>
    <row r="1634" customFormat="false" ht="15" hidden="false" customHeight="false" outlineLevel="0" collapsed="false">
      <c r="A1634" s="0" t="s">
        <v>2041</v>
      </c>
      <c r="B1634" s="0" t="s">
        <v>2042</v>
      </c>
      <c r="C1634" s="0" t="s">
        <v>2333</v>
      </c>
      <c r="D1634" s="0" t="s">
        <v>2105</v>
      </c>
      <c r="E1634" s="0" t="s">
        <v>2045</v>
      </c>
      <c r="F1634" s="0" t="s">
        <v>2163</v>
      </c>
      <c r="G1634" s="0" t="s">
        <v>2174</v>
      </c>
      <c r="H1634" s="0" t="s">
        <v>2175</v>
      </c>
      <c r="I1634" s="0" t="s">
        <v>2167</v>
      </c>
      <c r="J1634" s="0" t="s">
        <v>2323</v>
      </c>
      <c r="K1634" s="272" t="n">
        <v>-18454.8584282438</v>
      </c>
    </row>
    <row r="1635" customFormat="false" ht="15" hidden="false" customHeight="false" outlineLevel="0" collapsed="false">
      <c r="A1635" s="0" t="s">
        <v>2041</v>
      </c>
      <c r="B1635" s="0" t="s">
        <v>2042</v>
      </c>
      <c r="C1635" s="0" t="s">
        <v>2333</v>
      </c>
      <c r="D1635" s="0" t="s">
        <v>2105</v>
      </c>
      <c r="E1635" s="0" t="s">
        <v>2045</v>
      </c>
      <c r="F1635" s="0" t="s">
        <v>2176</v>
      </c>
      <c r="G1635" s="0" t="s">
        <v>2177</v>
      </c>
      <c r="H1635" s="0" t="s">
        <v>2178</v>
      </c>
      <c r="I1635" s="0" t="s">
        <v>2322</v>
      </c>
      <c r="J1635" s="0" t="s">
        <v>2323</v>
      </c>
      <c r="K1635" s="272" t="n">
        <v>-160259.080567326</v>
      </c>
    </row>
    <row r="1636" customFormat="false" ht="15" hidden="false" customHeight="false" outlineLevel="0" collapsed="false">
      <c r="A1636" s="0" t="s">
        <v>2041</v>
      </c>
      <c r="B1636" s="0" t="s">
        <v>2042</v>
      </c>
      <c r="C1636" s="0" t="s">
        <v>2333</v>
      </c>
      <c r="D1636" s="0" t="s">
        <v>2105</v>
      </c>
      <c r="E1636" s="0" t="s">
        <v>2045</v>
      </c>
      <c r="F1636" s="0" t="s">
        <v>2176</v>
      </c>
      <c r="G1636" s="0" t="s">
        <v>2177</v>
      </c>
      <c r="H1636" s="0" t="s">
        <v>2178</v>
      </c>
      <c r="I1636" s="0" t="s">
        <v>2124</v>
      </c>
      <c r="J1636" s="0" t="s">
        <v>2323</v>
      </c>
      <c r="K1636" s="272" t="n">
        <v>-207444.156765614</v>
      </c>
    </row>
    <row r="1637" customFormat="false" ht="15" hidden="false" customHeight="false" outlineLevel="0" collapsed="false">
      <c r="A1637" s="0" t="s">
        <v>2041</v>
      </c>
      <c r="B1637" s="0" t="s">
        <v>2042</v>
      </c>
      <c r="C1637" s="0" t="s">
        <v>2333</v>
      </c>
      <c r="D1637" s="0" t="s">
        <v>2105</v>
      </c>
      <c r="E1637" s="0" t="s">
        <v>2045</v>
      </c>
      <c r="F1637" s="0" t="s">
        <v>2176</v>
      </c>
      <c r="G1637" s="0" t="s">
        <v>2177</v>
      </c>
      <c r="H1637" s="0" t="s">
        <v>2178</v>
      </c>
      <c r="I1637" s="0" t="s">
        <v>2167</v>
      </c>
      <c r="J1637" s="0" t="s">
        <v>2323</v>
      </c>
      <c r="K1637" s="272" t="n">
        <v>-251565.884095844</v>
      </c>
    </row>
    <row r="1638" customFormat="false" ht="15" hidden="false" customHeight="false" outlineLevel="0" collapsed="false">
      <c r="A1638" s="0" t="s">
        <v>2041</v>
      </c>
      <c r="B1638" s="0" t="s">
        <v>2042</v>
      </c>
      <c r="C1638" s="0" t="s">
        <v>2333</v>
      </c>
      <c r="D1638" s="0" t="s">
        <v>2105</v>
      </c>
      <c r="E1638" s="0" t="s">
        <v>2045</v>
      </c>
      <c r="F1638" s="0" t="s">
        <v>2176</v>
      </c>
      <c r="G1638" s="0" t="s">
        <v>2177</v>
      </c>
      <c r="H1638" s="0" t="s">
        <v>2187</v>
      </c>
      <c r="I1638" s="0" t="s">
        <v>2322</v>
      </c>
      <c r="J1638" s="0" t="s">
        <v>2323</v>
      </c>
      <c r="K1638" s="272" t="n">
        <v>373.241027634581</v>
      </c>
    </row>
    <row r="1639" customFormat="false" ht="15" hidden="false" customHeight="false" outlineLevel="0" collapsed="false">
      <c r="A1639" s="0" t="s">
        <v>2041</v>
      </c>
      <c r="B1639" s="0" t="s">
        <v>2042</v>
      </c>
      <c r="C1639" s="0" t="s">
        <v>2333</v>
      </c>
      <c r="D1639" s="0" t="s">
        <v>2105</v>
      </c>
      <c r="E1639" s="0" t="s">
        <v>2045</v>
      </c>
      <c r="F1639" s="0" t="s">
        <v>2176</v>
      </c>
      <c r="G1639" s="0" t="s">
        <v>2177</v>
      </c>
      <c r="H1639" s="0" t="s">
        <v>2179</v>
      </c>
      <c r="I1639" s="0" t="s">
        <v>2322</v>
      </c>
      <c r="J1639" s="0" t="s">
        <v>2323</v>
      </c>
      <c r="K1639" s="272" t="n">
        <v>-213680.74619122</v>
      </c>
    </row>
    <row r="1640" customFormat="false" ht="15" hidden="false" customHeight="false" outlineLevel="0" collapsed="false">
      <c r="A1640" s="0" t="s">
        <v>2041</v>
      </c>
      <c r="B1640" s="0" t="s">
        <v>2042</v>
      </c>
      <c r="C1640" s="0" t="s">
        <v>2333</v>
      </c>
      <c r="D1640" s="0" t="s">
        <v>2105</v>
      </c>
      <c r="E1640" s="0" t="s">
        <v>2045</v>
      </c>
      <c r="F1640" s="0" t="s">
        <v>2176</v>
      </c>
      <c r="G1640" s="0" t="s">
        <v>2177</v>
      </c>
      <c r="H1640" s="0" t="s">
        <v>2180</v>
      </c>
      <c r="I1640" s="0" t="s">
        <v>2322</v>
      </c>
      <c r="J1640" s="0" t="s">
        <v>2323</v>
      </c>
      <c r="K1640" s="272" t="n">
        <v>-325785.680284458</v>
      </c>
    </row>
    <row r="1641" customFormat="false" ht="15" hidden="false" customHeight="false" outlineLevel="0" collapsed="false">
      <c r="A1641" s="0" t="s">
        <v>2041</v>
      </c>
      <c r="B1641" s="0" t="s">
        <v>2042</v>
      </c>
      <c r="C1641" s="0" t="s">
        <v>2333</v>
      </c>
      <c r="D1641" s="0" t="s">
        <v>2105</v>
      </c>
      <c r="E1641" s="0" t="s">
        <v>2045</v>
      </c>
      <c r="F1641" s="0" t="s">
        <v>2176</v>
      </c>
      <c r="G1641" s="0" t="s">
        <v>2181</v>
      </c>
      <c r="H1641" s="0" t="s">
        <v>2182</v>
      </c>
      <c r="I1641" s="0" t="s">
        <v>2322</v>
      </c>
      <c r="J1641" s="0" t="s">
        <v>2323</v>
      </c>
      <c r="K1641" s="272" t="n">
        <v>-198236.842585232</v>
      </c>
    </row>
    <row r="1642" customFormat="false" ht="15" hidden="false" customHeight="false" outlineLevel="0" collapsed="false">
      <c r="A1642" s="0" t="s">
        <v>2041</v>
      </c>
      <c r="B1642" s="0" t="s">
        <v>2042</v>
      </c>
      <c r="C1642" s="0" t="s">
        <v>2333</v>
      </c>
      <c r="D1642" s="0" t="s">
        <v>2105</v>
      </c>
      <c r="E1642" s="0" t="s">
        <v>2045</v>
      </c>
      <c r="F1642" s="0" t="s">
        <v>2176</v>
      </c>
      <c r="G1642" s="0" t="s">
        <v>2181</v>
      </c>
      <c r="H1642" s="0" t="s">
        <v>2182</v>
      </c>
      <c r="I1642" s="0" t="s">
        <v>2124</v>
      </c>
      <c r="J1642" s="0" t="s">
        <v>2323</v>
      </c>
      <c r="K1642" s="272" t="n">
        <v>-1017167.98170127</v>
      </c>
    </row>
    <row r="1643" customFormat="false" ht="15" hidden="false" customHeight="false" outlineLevel="0" collapsed="false">
      <c r="A1643" s="0" t="s">
        <v>2041</v>
      </c>
      <c r="B1643" s="0" t="s">
        <v>2042</v>
      </c>
      <c r="C1643" s="0" t="s">
        <v>2333</v>
      </c>
      <c r="D1643" s="0" t="s">
        <v>2105</v>
      </c>
      <c r="E1643" s="0" t="s">
        <v>2045</v>
      </c>
      <c r="F1643" s="0" t="s">
        <v>2176</v>
      </c>
      <c r="G1643" s="0" t="s">
        <v>2181</v>
      </c>
      <c r="H1643" s="0" t="s">
        <v>2183</v>
      </c>
      <c r="I1643" s="0" t="s">
        <v>2124</v>
      </c>
      <c r="J1643" s="0" t="s">
        <v>2323</v>
      </c>
      <c r="K1643" s="272" t="n">
        <v>-58260.6528972603</v>
      </c>
    </row>
    <row r="1644" customFormat="false" ht="15" hidden="false" customHeight="false" outlineLevel="0" collapsed="false">
      <c r="A1644" s="0" t="s">
        <v>2041</v>
      </c>
      <c r="B1644" s="0" t="s">
        <v>2042</v>
      </c>
      <c r="C1644" s="0" t="s">
        <v>2333</v>
      </c>
      <c r="D1644" s="0" t="s">
        <v>2105</v>
      </c>
      <c r="E1644" s="0" t="s">
        <v>2045</v>
      </c>
      <c r="F1644" s="0" t="s">
        <v>2176</v>
      </c>
      <c r="G1644" s="0" t="s">
        <v>2181</v>
      </c>
      <c r="H1644" s="0" t="s">
        <v>2184</v>
      </c>
      <c r="I1644" s="0" t="s">
        <v>2322</v>
      </c>
      <c r="J1644" s="0" t="s">
        <v>2323</v>
      </c>
      <c r="K1644" s="272" t="n">
        <v>-623782.211674575</v>
      </c>
    </row>
    <row r="1645" customFormat="false" ht="15" hidden="false" customHeight="false" outlineLevel="0" collapsed="false">
      <c r="A1645" s="0" t="s">
        <v>2041</v>
      </c>
      <c r="B1645" s="0" t="s">
        <v>2042</v>
      </c>
      <c r="C1645" s="0" t="s">
        <v>2333</v>
      </c>
      <c r="D1645" s="0" t="s">
        <v>2105</v>
      </c>
      <c r="E1645" s="0" t="s">
        <v>2045</v>
      </c>
      <c r="F1645" s="0" t="s">
        <v>2176</v>
      </c>
      <c r="G1645" s="0" t="s">
        <v>2181</v>
      </c>
      <c r="H1645" s="0" t="s">
        <v>2185</v>
      </c>
      <c r="I1645" s="0" t="s">
        <v>2322</v>
      </c>
      <c r="J1645" s="0" t="s">
        <v>2323</v>
      </c>
      <c r="K1645" s="272" t="n">
        <v>-220289.333698999</v>
      </c>
    </row>
    <row r="1646" customFormat="false" ht="15" hidden="false" customHeight="false" outlineLevel="0" collapsed="false">
      <c r="A1646" s="0" t="s">
        <v>2041</v>
      </c>
      <c r="B1646" s="0" t="s">
        <v>2042</v>
      </c>
      <c r="C1646" s="0" t="s">
        <v>2333</v>
      </c>
      <c r="D1646" s="0" t="s">
        <v>2105</v>
      </c>
      <c r="E1646" s="0" t="s">
        <v>2045</v>
      </c>
      <c r="F1646" s="0" t="s">
        <v>2176</v>
      </c>
      <c r="G1646" s="0" t="s">
        <v>2181</v>
      </c>
      <c r="H1646" s="0" t="s">
        <v>2185</v>
      </c>
      <c r="I1646" s="0" t="s">
        <v>2124</v>
      </c>
      <c r="J1646" s="0" t="s">
        <v>2323</v>
      </c>
      <c r="K1646" s="272" t="n">
        <v>-168815.321065085</v>
      </c>
    </row>
    <row r="1647" customFormat="false" ht="15" hidden="false" customHeight="false" outlineLevel="0" collapsed="false">
      <c r="A1647" s="0" t="s">
        <v>2041</v>
      </c>
      <c r="B1647" s="0" t="s">
        <v>2042</v>
      </c>
      <c r="C1647" s="0" t="s">
        <v>2333</v>
      </c>
      <c r="D1647" s="0" t="s">
        <v>2105</v>
      </c>
      <c r="E1647" s="0" t="s">
        <v>2045</v>
      </c>
      <c r="F1647" s="0" t="s">
        <v>2176</v>
      </c>
      <c r="G1647" s="0" t="s">
        <v>2181</v>
      </c>
      <c r="H1647" s="0" t="s">
        <v>2186</v>
      </c>
      <c r="I1647" s="0" t="s">
        <v>2322</v>
      </c>
      <c r="J1647" s="0" t="s">
        <v>2323</v>
      </c>
      <c r="K1647" s="272" t="n">
        <v>1386089.83092331</v>
      </c>
    </row>
    <row r="1648" customFormat="false" ht="15" hidden="false" customHeight="false" outlineLevel="0" collapsed="false">
      <c r="A1648" s="0" t="s">
        <v>2041</v>
      </c>
      <c r="B1648" s="0" t="s">
        <v>2042</v>
      </c>
      <c r="C1648" s="0" t="s">
        <v>2333</v>
      </c>
      <c r="D1648" s="0" t="s">
        <v>2105</v>
      </c>
      <c r="E1648" s="0" t="s">
        <v>2045</v>
      </c>
      <c r="F1648" s="0" t="s">
        <v>2176</v>
      </c>
      <c r="G1648" s="0" t="s">
        <v>2181</v>
      </c>
      <c r="H1648" s="0" t="s">
        <v>2187</v>
      </c>
      <c r="I1648" s="0" t="s">
        <v>2322</v>
      </c>
      <c r="J1648" s="0" t="s">
        <v>2323</v>
      </c>
      <c r="K1648" s="272" t="n">
        <v>-141081.349865909</v>
      </c>
    </row>
    <row r="1649" customFormat="false" ht="15" hidden="false" customHeight="false" outlineLevel="0" collapsed="false">
      <c r="A1649" s="0" t="s">
        <v>2041</v>
      </c>
      <c r="B1649" s="0" t="s">
        <v>2042</v>
      </c>
      <c r="C1649" s="0" t="s">
        <v>2333</v>
      </c>
      <c r="D1649" s="0" t="s">
        <v>2105</v>
      </c>
      <c r="E1649" s="0" t="s">
        <v>2045</v>
      </c>
      <c r="F1649" s="0" t="s">
        <v>2176</v>
      </c>
      <c r="G1649" s="0" t="s">
        <v>2181</v>
      </c>
      <c r="H1649" s="0" t="s">
        <v>2187</v>
      </c>
      <c r="I1649" s="0" t="s">
        <v>2124</v>
      </c>
      <c r="J1649" s="0" t="s">
        <v>2323</v>
      </c>
      <c r="K1649" s="272" t="n">
        <v>-96507.8653940053</v>
      </c>
    </row>
    <row r="1650" customFormat="false" ht="15" hidden="false" customHeight="false" outlineLevel="0" collapsed="false">
      <c r="A1650" s="0" t="s">
        <v>2041</v>
      </c>
      <c r="B1650" s="0" t="s">
        <v>2042</v>
      </c>
      <c r="C1650" s="0" t="s">
        <v>2333</v>
      </c>
      <c r="D1650" s="0" t="s">
        <v>2105</v>
      </c>
      <c r="E1650" s="0" t="s">
        <v>2045</v>
      </c>
      <c r="F1650" s="0" t="s">
        <v>2176</v>
      </c>
      <c r="G1650" s="0" t="s">
        <v>2181</v>
      </c>
      <c r="H1650" s="0" t="s">
        <v>2179</v>
      </c>
      <c r="I1650" s="0" t="s">
        <v>2322</v>
      </c>
      <c r="J1650" s="0" t="s">
        <v>2323</v>
      </c>
      <c r="K1650" s="272" t="n">
        <v>-107048.041726391</v>
      </c>
    </row>
    <row r="1651" customFormat="false" ht="15" hidden="false" customHeight="false" outlineLevel="0" collapsed="false">
      <c r="A1651" s="0" t="s">
        <v>2041</v>
      </c>
      <c r="B1651" s="0" t="s">
        <v>2042</v>
      </c>
      <c r="C1651" s="0" t="s">
        <v>2333</v>
      </c>
      <c r="D1651" s="0" t="s">
        <v>2105</v>
      </c>
      <c r="E1651" s="0" t="s">
        <v>2045</v>
      </c>
      <c r="F1651" s="0" t="s">
        <v>2176</v>
      </c>
      <c r="G1651" s="0" t="s">
        <v>2188</v>
      </c>
      <c r="H1651" s="0" t="s">
        <v>2189</v>
      </c>
      <c r="I1651" s="0" t="s">
        <v>2322</v>
      </c>
      <c r="J1651" s="0" t="s">
        <v>2323</v>
      </c>
      <c r="K1651" s="272" t="n">
        <v>-1154036.61426825</v>
      </c>
    </row>
    <row r="1652" customFormat="false" ht="15" hidden="false" customHeight="false" outlineLevel="0" collapsed="false">
      <c r="A1652" s="0" t="s">
        <v>2041</v>
      </c>
      <c r="B1652" s="0" t="s">
        <v>2042</v>
      </c>
      <c r="C1652" s="0" t="s">
        <v>2333</v>
      </c>
      <c r="D1652" s="0" t="s">
        <v>2105</v>
      </c>
      <c r="E1652" s="0" t="s">
        <v>2045</v>
      </c>
      <c r="F1652" s="0" t="s">
        <v>2176</v>
      </c>
      <c r="G1652" s="0" t="s">
        <v>2188</v>
      </c>
      <c r="H1652" s="0" t="s">
        <v>2189</v>
      </c>
      <c r="I1652" s="0" t="s">
        <v>2124</v>
      </c>
      <c r="J1652" s="0" t="s">
        <v>2323</v>
      </c>
      <c r="K1652" s="272" t="n">
        <v>-26044.4047507567</v>
      </c>
    </row>
    <row r="1653" customFormat="false" ht="15" hidden="false" customHeight="false" outlineLevel="0" collapsed="false">
      <c r="A1653" s="0" t="s">
        <v>2041</v>
      </c>
      <c r="B1653" s="0" t="s">
        <v>2042</v>
      </c>
      <c r="C1653" s="0" t="s">
        <v>2333</v>
      </c>
      <c r="D1653" s="0" t="s">
        <v>2105</v>
      </c>
      <c r="E1653" s="0" t="s">
        <v>2045</v>
      </c>
      <c r="F1653" s="0" t="s">
        <v>2176</v>
      </c>
      <c r="G1653" s="0" t="s">
        <v>2188</v>
      </c>
      <c r="H1653" s="0" t="s">
        <v>2189</v>
      </c>
      <c r="I1653" s="0" t="s">
        <v>2167</v>
      </c>
      <c r="J1653" s="0" t="s">
        <v>2323</v>
      </c>
      <c r="K1653" s="272" t="n">
        <v>-827.927941605652</v>
      </c>
    </row>
    <row r="1654" customFormat="false" ht="15" hidden="false" customHeight="false" outlineLevel="0" collapsed="false">
      <c r="A1654" s="0" t="s">
        <v>2041</v>
      </c>
      <c r="B1654" s="0" t="s">
        <v>2042</v>
      </c>
      <c r="C1654" s="0" t="s">
        <v>2333</v>
      </c>
      <c r="D1654" s="0" t="s">
        <v>2105</v>
      </c>
      <c r="E1654" s="0" t="s">
        <v>2045</v>
      </c>
      <c r="F1654" s="0" t="s">
        <v>2176</v>
      </c>
      <c r="G1654" s="0" t="s">
        <v>2190</v>
      </c>
      <c r="H1654" s="0" t="s">
        <v>2191</v>
      </c>
      <c r="I1654" s="0" t="s">
        <v>2322</v>
      </c>
      <c r="J1654" s="0" t="s">
        <v>2323</v>
      </c>
      <c r="K1654" s="272" t="n">
        <v>-3516023.86503667</v>
      </c>
    </row>
    <row r="1655" customFormat="false" ht="15" hidden="false" customHeight="false" outlineLevel="0" collapsed="false">
      <c r="A1655" s="0" t="s">
        <v>2041</v>
      </c>
      <c r="B1655" s="0" t="s">
        <v>2042</v>
      </c>
      <c r="C1655" s="0" t="s">
        <v>2333</v>
      </c>
      <c r="D1655" s="0" t="s">
        <v>2105</v>
      </c>
      <c r="E1655" s="0" t="s">
        <v>2045</v>
      </c>
      <c r="F1655" s="0" t="s">
        <v>2176</v>
      </c>
      <c r="G1655" s="0" t="s">
        <v>2190</v>
      </c>
      <c r="H1655" s="0" t="s">
        <v>2191</v>
      </c>
      <c r="I1655" s="0" t="s">
        <v>2124</v>
      </c>
      <c r="J1655" s="0" t="s">
        <v>2323</v>
      </c>
      <c r="K1655" s="272" t="n">
        <v>-26417.7030757204</v>
      </c>
    </row>
    <row r="1656" customFormat="false" ht="15" hidden="false" customHeight="false" outlineLevel="0" collapsed="false">
      <c r="A1656" s="0" t="s">
        <v>2041</v>
      </c>
      <c r="B1656" s="0" t="s">
        <v>2042</v>
      </c>
      <c r="C1656" s="0" t="s">
        <v>2333</v>
      </c>
      <c r="D1656" s="0" t="s">
        <v>2105</v>
      </c>
      <c r="E1656" s="0" t="s">
        <v>2045</v>
      </c>
      <c r="F1656" s="0" t="s">
        <v>2192</v>
      </c>
      <c r="G1656" s="0" t="s">
        <v>2193</v>
      </c>
      <c r="H1656" s="0" t="s">
        <v>2162</v>
      </c>
      <c r="I1656" s="0" t="s">
        <v>2322</v>
      </c>
      <c r="J1656" s="0" t="s">
        <v>2323</v>
      </c>
      <c r="K1656" s="272" t="n">
        <v>-1885236.06798569</v>
      </c>
    </row>
    <row r="1657" customFormat="false" ht="15" hidden="false" customHeight="false" outlineLevel="0" collapsed="false">
      <c r="A1657" s="0" t="s">
        <v>2041</v>
      </c>
      <c r="B1657" s="0" t="s">
        <v>2042</v>
      </c>
      <c r="C1657" s="0" t="s">
        <v>2333</v>
      </c>
      <c r="D1657" s="0" t="s">
        <v>2105</v>
      </c>
      <c r="E1657" s="0" t="s">
        <v>2045</v>
      </c>
      <c r="F1657" s="0" t="s">
        <v>2192</v>
      </c>
      <c r="G1657" s="0" t="s">
        <v>2193</v>
      </c>
      <c r="H1657" s="0" t="s">
        <v>2162</v>
      </c>
      <c r="I1657" s="0" t="s">
        <v>2124</v>
      </c>
      <c r="J1657" s="0" t="s">
        <v>2323</v>
      </c>
      <c r="K1657" s="272" t="n">
        <v>-192790.359726938</v>
      </c>
    </row>
    <row r="1658" customFormat="false" ht="15" hidden="false" customHeight="false" outlineLevel="0" collapsed="false">
      <c r="A1658" s="0" t="s">
        <v>2041</v>
      </c>
      <c r="B1658" s="0" t="s">
        <v>2042</v>
      </c>
      <c r="C1658" s="0" t="s">
        <v>2333</v>
      </c>
      <c r="D1658" s="0" t="s">
        <v>2105</v>
      </c>
      <c r="E1658" s="0" t="s">
        <v>2045</v>
      </c>
      <c r="F1658" s="0" t="s">
        <v>2192</v>
      </c>
      <c r="G1658" s="0" t="s">
        <v>2193</v>
      </c>
      <c r="H1658" s="0" t="s">
        <v>2162</v>
      </c>
      <c r="I1658" s="0" t="s">
        <v>2101</v>
      </c>
      <c r="J1658" s="0" t="s">
        <v>2323</v>
      </c>
      <c r="K1658" s="272" t="n">
        <v>19726.9626922385</v>
      </c>
    </row>
    <row r="1659" customFormat="false" ht="15" hidden="false" customHeight="false" outlineLevel="0" collapsed="false">
      <c r="A1659" s="0" t="s">
        <v>2041</v>
      </c>
      <c r="B1659" s="0" t="s">
        <v>2042</v>
      </c>
      <c r="C1659" s="0" t="s">
        <v>2333</v>
      </c>
      <c r="D1659" s="0" t="s">
        <v>2105</v>
      </c>
      <c r="E1659" s="0" t="s">
        <v>2045</v>
      </c>
      <c r="F1659" s="0" t="s">
        <v>2192</v>
      </c>
      <c r="G1659" s="0" t="s">
        <v>2194</v>
      </c>
      <c r="H1659" s="0" t="s">
        <v>2162</v>
      </c>
      <c r="I1659" s="0" t="s">
        <v>2322</v>
      </c>
      <c r="J1659" s="0" t="s">
        <v>2323</v>
      </c>
      <c r="K1659" s="272" t="n">
        <v>-820192.695370758</v>
      </c>
    </row>
    <row r="1660" customFormat="false" ht="15" hidden="false" customHeight="false" outlineLevel="0" collapsed="false">
      <c r="A1660" s="0" t="s">
        <v>2041</v>
      </c>
      <c r="B1660" s="0" t="s">
        <v>2042</v>
      </c>
      <c r="C1660" s="0" t="s">
        <v>2333</v>
      </c>
      <c r="D1660" s="0" t="s">
        <v>2105</v>
      </c>
      <c r="E1660" s="0" t="s">
        <v>2045</v>
      </c>
      <c r="F1660" s="0" t="s">
        <v>2192</v>
      </c>
      <c r="G1660" s="0" t="s">
        <v>2194</v>
      </c>
      <c r="H1660" s="0" t="s">
        <v>2162</v>
      </c>
      <c r="I1660" s="0" t="s">
        <v>2124</v>
      </c>
      <c r="J1660" s="0" t="s">
        <v>2323</v>
      </c>
      <c r="K1660" s="272" t="n">
        <v>6024.36937187769</v>
      </c>
    </row>
    <row r="1661" customFormat="false" ht="15" hidden="false" customHeight="false" outlineLevel="0" collapsed="false">
      <c r="A1661" s="0" t="s">
        <v>2041</v>
      </c>
      <c r="B1661" s="0" t="s">
        <v>2042</v>
      </c>
      <c r="C1661" s="0" t="s">
        <v>2333</v>
      </c>
      <c r="D1661" s="0" t="s">
        <v>2105</v>
      </c>
      <c r="E1661" s="0" t="s">
        <v>2045</v>
      </c>
      <c r="F1661" s="0" t="s">
        <v>2192</v>
      </c>
      <c r="G1661" s="0" t="s">
        <v>2195</v>
      </c>
      <c r="H1661" s="0" t="s">
        <v>2171</v>
      </c>
      <c r="I1661" s="0" t="s">
        <v>2322</v>
      </c>
      <c r="J1661" s="0" t="s">
        <v>2323</v>
      </c>
      <c r="K1661" s="272" t="n">
        <v>-1843236.56874556</v>
      </c>
    </row>
    <row r="1662" customFormat="false" ht="15" hidden="false" customHeight="false" outlineLevel="0" collapsed="false">
      <c r="A1662" s="0" t="s">
        <v>2041</v>
      </c>
      <c r="B1662" s="0" t="s">
        <v>2042</v>
      </c>
      <c r="C1662" s="0" t="s">
        <v>2333</v>
      </c>
      <c r="D1662" s="0" t="s">
        <v>2105</v>
      </c>
      <c r="E1662" s="0" t="s">
        <v>2045</v>
      </c>
      <c r="F1662" s="0" t="s">
        <v>2192</v>
      </c>
      <c r="G1662" s="0" t="s">
        <v>2195</v>
      </c>
      <c r="H1662" s="0" t="s">
        <v>2171</v>
      </c>
      <c r="I1662" s="0" t="s">
        <v>2124</v>
      </c>
      <c r="J1662" s="0" t="s">
        <v>2323</v>
      </c>
      <c r="K1662" s="272" t="n">
        <v>94024.668233039</v>
      </c>
    </row>
    <row r="1663" customFormat="false" ht="15" hidden="false" customHeight="false" outlineLevel="0" collapsed="false">
      <c r="A1663" s="0" t="s">
        <v>2041</v>
      </c>
      <c r="B1663" s="0" t="s">
        <v>2042</v>
      </c>
      <c r="C1663" s="0" t="s">
        <v>2333</v>
      </c>
      <c r="D1663" s="0" t="s">
        <v>2105</v>
      </c>
      <c r="E1663" s="0" t="s">
        <v>2045</v>
      </c>
      <c r="F1663" s="0" t="s">
        <v>2192</v>
      </c>
      <c r="G1663" s="0" t="s">
        <v>2195</v>
      </c>
      <c r="H1663" s="0" t="s">
        <v>2171</v>
      </c>
      <c r="I1663" s="0" t="s">
        <v>2167</v>
      </c>
      <c r="J1663" s="0" t="s">
        <v>2323</v>
      </c>
      <c r="K1663" s="272" t="n">
        <v>-53888.4395308078</v>
      </c>
    </row>
    <row r="1664" customFormat="false" ht="15" hidden="false" customHeight="false" outlineLevel="0" collapsed="false">
      <c r="A1664" s="0" t="s">
        <v>2041</v>
      </c>
      <c r="B1664" s="0" t="s">
        <v>2042</v>
      </c>
      <c r="C1664" s="0" t="s">
        <v>2333</v>
      </c>
      <c r="D1664" s="0" t="s">
        <v>2105</v>
      </c>
      <c r="E1664" s="0" t="s">
        <v>2045</v>
      </c>
      <c r="F1664" s="0" t="s">
        <v>2192</v>
      </c>
      <c r="G1664" s="0" t="s">
        <v>2195</v>
      </c>
      <c r="H1664" s="0" t="s">
        <v>2162</v>
      </c>
      <c r="I1664" s="0" t="s">
        <v>2322</v>
      </c>
      <c r="J1664" s="0" t="s">
        <v>2323</v>
      </c>
      <c r="K1664" s="272" t="n">
        <v>-267934.467751017</v>
      </c>
    </row>
    <row r="1665" customFormat="false" ht="15" hidden="false" customHeight="false" outlineLevel="0" collapsed="false">
      <c r="A1665" s="0" t="s">
        <v>2041</v>
      </c>
      <c r="B1665" s="0" t="s">
        <v>2042</v>
      </c>
      <c r="C1665" s="0" t="s">
        <v>2333</v>
      </c>
      <c r="D1665" s="0" t="s">
        <v>2105</v>
      </c>
      <c r="E1665" s="0" t="s">
        <v>2045</v>
      </c>
      <c r="F1665" s="0" t="s">
        <v>2192</v>
      </c>
      <c r="G1665" s="0" t="s">
        <v>2195</v>
      </c>
      <c r="H1665" s="0" t="s">
        <v>2162</v>
      </c>
      <c r="I1665" s="0" t="s">
        <v>2124</v>
      </c>
      <c r="J1665" s="0" t="s">
        <v>2323</v>
      </c>
      <c r="K1665" s="272" t="n">
        <v>-167912.978231615</v>
      </c>
    </row>
    <row r="1666" customFormat="false" ht="15" hidden="false" customHeight="false" outlineLevel="0" collapsed="false">
      <c r="A1666" s="0" t="s">
        <v>2041</v>
      </c>
      <c r="B1666" s="0" t="s">
        <v>2042</v>
      </c>
      <c r="C1666" s="0" t="s">
        <v>2333</v>
      </c>
      <c r="D1666" s="0" t="s">
        <v>2105</v>
      </c>
      <c r="E1666" s="0" t="s">
        <v>2045</v>
      </c>
      <c r="F1666" s="0" t="s">
        <v>2192</v>
      </c>
      <c r="G1666" s="0" t="s">
        <v>2196</v>
      </c>
      <c r="H1666" s="0" t="s">
        <v>2162</v>
      </c>
      <c r="I1666" s="0" t="s">
        <v>2322</v>
      </c>
      <c r="J1666" s="0" t="s">
        <v>2323</v>
      </c>
      <c r="K1666" s="272" t="n">
        <v>-1389352.04705</v>
      </c>
    </row>
    <row r="1667" customFormat="false" ht="15" hidden="false" customHeight="false" outlineLevel="0" collapsed="false">
      <c r="A1667" s="0" t="s">
        <v>2041</v>
      </c>
      <c r="B1667" s="0" t="s">
        <v>2042</v>
      </c>
      <c r="C1667" s="0" t="s">
        <v>2333</v>
      </c>
      <c r="D1667" s="0" t="s">
        <v>2105</v>
      </c>
      <c r="E1667" s="0" t="s">
        <v>2045</v>
      </c>
      <c r="F1667" s="0" t="s">
        <v>2192</v>
      </c>
      <c r="G1667" s="0" t="s">
        <v>2196</v>
      </c>
      <c r="H1667" s="0" t="s">
        <v>2162</v>
      </c>
      <c r="I1667" s="0" t="s">
        <v>2124</v>
      </c>
      <c r="J1667" s="0" t="s">
        <v>2323</v>
      </c>
      <c r="K1667" s="272" t="n">
        <v>-135565.823974285</v>
      </c>
    </row>
    <row r="1668" customFormat="false" ht="15" hidden="false" customHeight="false" outlineLevel="0" collapsed="false">
      <c r="A1668" s="0" t="s">
        <v>2041</v>
      </c>
      <c r="B1668" s="0" t="s">
        <v>2042</v>
      </c>
      <c r="C1668" s="0" t="s">
        <v>2333</v>
      </c>
      <c r="D1668" s="0" t="s">
        <v>2105</v>
      </c>
      <c r="E1668" s="0" t="s">
        <v>2045</v>
      </c>
      <c r="F1668" s="0" t="s">
        <v>2192</v>
      </c>
      <c r="G1668" s="0" t="s">
        <v>2196</v>
      </c>
      <c r="H1668" s="0" t="s">
        <v>2162</v>
      </c>
      <c r="I1668" s="0" t="s">
        <v>2197</v>
      </c>
      <c r="J1668" s="0" t="s">
        <v>2323</v>
      </c>
      <c r="K1668" s="272" t="n">
        <v>-102596.608934322</v>
      </c>
    </row>
    <row r="1669" customFormat="false" ht="15" hidden="false" customHeight="false" outlineLevel="0" collapsed="false">
      <c r="A1669" s="0" t="s">
        <v>2041</v>
      </c>
      <c r="B1669" s="0" t="s">
        <v>2042</v>
      </c>
      <c r="C1669" s="0" t="s">
        <v>2333</v>
      </c>
      <c r="D1669" s="0" t="s">
        <v>2105</v>
      </c>
      <c r="E1669" s="0" t="s">
        <v>2045</v>
      </c>
      <c r="F1669" s="0" t="s">
        <v>2198</v>
      </c>
      <c r="G1669" s="0" t="s">
        <v>2199</v>
      </c>
      <c r="H1669" s="0" t="s">
        <v>2200</v>
      </c>
      <c r="I1669" s="0" t="s">
        <v>2322</v>
      </c>
      <c r="J1669" s="0" t="s">
        <v>2323</v>
      </c>
      <c r="K1669" s="272" t="n">
        <v>48036.8498840942</v>
      </c>
    </row>
    <row r="1670" customFormat="false" ht="15" hidden="false" customHeight="false" outlineLevel="0" collapsed="false">
      <c r="A1670" s="0" t="s">
        <v>2041</v>
      </c>
      <c r="B1670" s="0" t="s">
        <v>2042</v>
      </c>
      <c r="C1670" s="0" t="s">
        <v>2333</v>
      </c>
      <c r="D1670" s="0" t="s">
        <v>2105</v>
      </c>
      <c r="E1670" s="0" t="s">
        <v>2045</v>
      </c>
      <c r="F1670" s="0" t="s">
        <v>2198</v>
      </c>
      <c r="G1670" s="0" t="s">
        <v>2199</v>
      </c>
      <c r="H1670" s="0" t="s">
        <v>2200</v>
      </c>
      <c r="I1670" s="0" t="s">
        <v>2124</v>
      </c>
      <c r="J1670" s="0" t="s">
        <v>2323</v>
      </c>
      <c r="K1670" s="272" t="n">
        <v>-131845.091595608</v>
      </c>
    </row>
    <row r="1671" customFormat="false" ht="15" hidden="false" customHeight="false" outlineLevel="0" collapsed="false">
      <c r="A1671" s="0" t="s">
        <v>2041</v>
      </c>
      <c r="B1671" s="0" t="s">
        <v>2042</v>
      </c>
      <c r="C1671" s="0" t="s">
        <v>2333</v>
      </c>
      <c r="D1671" s="0" t="s">
        <v>2105</v>
      </c>
      <c r="E1671" s="0" t="s">
        <v>2045</v>
      </c>
      <c r="F1671" s="0" t="s">
        <v>2198</v>
      </c>
      <c r="G1671" s="0" t="s">
        <v>2199</v>
      </c>
      <c r="H1671" s="0" t="s">
        <v>2200</v>
      </c>
      <c r="I1671" s="0" t="s">
        <v>2201</v>
      </c>
      <c r="J1671" s="0" t="s">
        <v>2323</v>
      </c>
      <c r="K1671" s="272" t="n">
        <v>10421.639380517</v>
      </c>
    </row>
    <row r="1672" customFormat="false" ht="15" hidden="false" customHeight="false" outlineLevel="0" collapsed="false">
      <c r="A1672" s="0" t="s">
        <v>2041</v>
      </c>
      <c r="B1672" s="0" t="s">
        <v>2042</v>
      </c>
      <c r="C1672" s="0" t="s">
        <v>2333</v>
      </c>
      <c r="D1672" s="0" t="s">
        <v>2105</v>
      </c>
      <c r="E1672" s="0" t="s">
        <v>2045</v>
      </c>
      <c r="F1672" s="0" t="s">
        <v>2198</v>
      </c>
      <c r="G1672" s="0" t="s">
        <v>2199</v>
      </c>
      <c r="H1672" s="0" t="s">
        <v>2202</v>
      </c>
      <c r="I1672" s="0" t="s">
        <v>2322</v>
      </c>
      <c r="J1672" s="0" t="s">
        <v>2323</v>
      </c>
      <c r="K1672" s="272" t="n">
        <v>-128847.019006208</v>
      </c>
    </row>
    <row r="1673" customFormat="false" ht="15" hidden="false" customHeight="false" outlineLevel="0" collapsed="false">
      <c r="A1673" s="0" t="s">
        <v>2041</v>
      </c>
      <c r="B1673" s="0" t="s">
        <v>2042</v>
      </c>
      <c r="C1673" s="0" t="s">
        <v>2333</v>
      </c>
      <c r="D1673" s="0" t="s">
        <v>2105</v>
      </c>
      <c r="E1673" s="0" t="s">
        <v>2045</v>
      </c>
      <c r="F1673" s="0" t="s">
        <v>2198</v>
      </c>
      <c r="G1673" s="0" t="s">
        <v>2199</v>
      </c>
      <c r="H1673" s="0" t="s">
        <v>2202</v>
      </c>
      <c r="I1673" s="0" t="s">
        <v>2124</v>
      </c>
      <c r="J1673" s="0" t="s">
        <v>2323</v>
      </c>
      <c r="K1673" s="272" t="n">
        <v>558.39714140771</v>
      </c>
    </row>
    <row r="1674" customFormat="false" ht="15" hidden="false" customHeight="false" outlineLevel="0" collapsed="false">
      <c r="A1674" s="0" t="s">
        <v>2041</v>
      </c>
      <c r="B1674" s="0" t="s">
        <v>2042</v>
      </c>
      <c r="C1674" s="0" t="s">
        <v>2333</v>
      </c>
      <c r="D1674" s="0" t="s">
        <v>2105</v>
      </c>
      <c r="E1674" s="0" t="s">
        <v>2045</v>
      </c>
      <c r="F1674" s="0" t="s">
        <v>2198</v>
      </c>
      <c r="G1674" s="0" t="s">
        <v>2199</v>
      </c>
      <c r="H1674" s="0" t="s">
        <v>2203</v>
      </c>
      <c r="I1674" s="0" t="s">
        <v>2322</v>
      </c>
      <c r="J1674" s="0" t="s">
        <v>2323</v>
      </c>
      <c r="K1674" s="272" t="n">
        <v>-830047.107630614</v>
      </c>
    </row>
    <row r="1675" customFormat="false" ht="15" hidden="false" customHeight="false" outlineLevel="0" collapsed="false">
      <c r="A1675" s="0" t="s">
        <v>2041</v>
      </c>
      <c r="B1675" s="0" t="s">
        <v>2042</v>
      </c>
      <c r="C1675" s="0" t="s">
        <v>2333</v>
      </c>
      <c r="D1675" s="0" t="s">
        <v>2105</v>
      </c>
      <c r="E1675" s="0" t="s">
        <v>2045</v>
      </c>
      <c r="F1675" s="0" t="s">
        <v>2198</v>
      </c>
      <c r="G1675" s="0" t="s">
        <v>2199</v>
      </c>
      <c r="H1675" s="0" t="s">
        <v>2203</v>
      </c>
      <c r="I1675" s="0" t="s">
        <v>2124</v>
      </c>
      <c r="J1675" s="0" t="s">
        <v>2323</v>
      </c>
      <c r="K1675" s="272" t="n">
        <v>-122284.398183334</v>
      </c>
    </row>
    <row r="1676" customFormat="false" ht="15" hidden="false" customHeight="false" outlineLevel="0" collapsed="false">
      <c r="A1676" s="0" t="s">
        <v>2041</v>
      </c>
      <c r="B1676" s="0" t="s">
        <v>2042</v>
      </c>
      <c r="C1676" s="0" t="s">
        <v>2333</v>
      </c>
      <c r="D1676" s="0" t="s">
        <v>2105</v>
      </c>
      <c r="E1676" s="0" t="s">
        <v>2045</v>
      </c>
      <c r="F1676" s="0" t="s">
        <v>2204</v>
      </c>
      <c r="G1676" s="0" t="s">
        <v>2205</v>
      </c>
      <c r="H1676" s="0" t="s">
        <v>2206</v>
      </c>
      <c r="I1676" s="0" t="s">
        <v>2322</v>
      </c>
      <c r="J1676" s="0" t="s">
        <v>2323</v>
      </c>
      <c r="K1676" s="272" t="n">
        <v>-224458.744032081</v>
      </c>
    </row>
    <row r="1677" customFormat="false" ht="15" hidden="false" customHeight="false" outlineLevel="0" collapsed="false">
      <c r="A1677" s="0" t="s">
        <v>2041</v>
      </c>
      <c r="B1677" s="0" t="s">
        <v>2042</v>
      </c>
      <c r="C1677" s="0" t="s">
        <v>2333</v>
      </c>
      <c r="D1677" s="0" t="s">
        <v>2105</v>
      </c>
      <c r="E1677" s="0" t="s">
        <v>2045</v>
      </c>
      <c r="F1677" s="0" t="s">
        <v>2204</v>
      </c>
      <c r="G1677" s="0" t="s">
        <v>2205</v>
      </c>
      <c r="H1677" s="0" t="s">
        <v>2207</v>
      </c>
      <c r="I1677" s="0" t="s">
        <v>2322</v>
      </c>
      <c r="J1677" s="0" t="s">
        <v>2323</v>
      </c>
      <c r="K1677" s="272" t="n">
        <v>-224458.744032081</v>
      </c>
    </row>
    <row r="1678" customFormat="false" ht="15" hidden="false" customHeight="false" outlineLevel="0" collapsed="false">
      <c r="A1678" s="0" t="s">
        <v>2041</v>
      </c>
      <c r="B1678" s="0" t="s">
        <v>2042</v>
      </c>
      <c r="C1678" s="0" t="s">
        <v>2333</v>
      </c>
      <c r="D1678" s="0" t="s">
        <v>2105</v>
      </c>
      <c r="E1678" s="0" t="s">
        <v>2045</v>
      </c>
      <c r="F1678" s="0" t="s">
        <v>2204</v>
      </c>
      <c r="G1678" s="0" t="s">
        <v>2205</v>
      </c>
      <c r="H1678" s="0" t="s">
        <v>2208</v>
      </c>
      <c r="I1678" s="0" t="s">
        <v>2322</v>
      </c>
      <c r="J1678" s="0" t="s">
        <v>2323</v>
      </c>
      <c r="K1678" s="272" t="n">
        <v>-448917.488064161</v>
      </c>
    </row>
    <row r="1679" customFormat="false" ht="15" hidden="false" customHeight="false" outlineLevel="0" collapsed="false">
      <c r="A1679" s="0" t="s">
        <v>2041</v>
      </c>
      <c r="B1679" s="0" t="s">
        <v>2042</v>
      </c>
      <c r="C1679" s="0" t="s">
        <v>2333</v>
      </c>
      <c r="D1679" s="0" t="s">
        <v>2105</v>
      </c>
      <c r="E1679" s="0" t="s">
        <v>2045</v>
      </c>
      <c r="F1679" s="0" t="s">
        <v>2204</v>
      </c>
      <c r="G1679" s="0" t="s">
        <v>2209</v>
      </c>
      <c r="H1679" s="0" t="s">
        <v>2207</v>
      </c>
      <c r="I1679" s="0" t="s">
        <v>2322</v>
      </c>
      <c r="J1679" s="0" t="s">
        <v>2323</v>
      </c>
      <c r="K1679" s="272" t="n">
        <v>-192204.94271823</v>
      </c>
    </row>
    <row r="1680" customFormat="false" ht="15" hidden="false" customHeight="false" outlineLevel="0" collapsed="false">
      <c r="A1680" s="0" t="s">
        <v>2041</v>
      </c>
      <c r="B1680" s="0" t="s">
        <v>2042</v>
      </c>
      <c r="C1680" s="0" t="s">
        <v>2333</v>
      </c>
      <c r="D1680" s="0" t="s">
        <v>2105</v>
      </c>
      <c r="E1680" s="0" t="s">
        <v>2045</v>
      </c>
      <c r="F1680" s="0" t="s">
        <v>2204</v>
      </c>
      <c r="G1680" s="0" t="s">
        <v>2210</v>
      </c>
      <c r="H1680" s="0" t="s">
        <v>2211</v>
      </c>
      <c r="I1680" s="0" t="s">
        <v>2322</v>
      </c>
      <c r="J1680" s="0" t="s">
        <v>2323</v>
      </c>
      <c r="K1680" s="272" t="n">
        <v>-982869.712203737</v>
      </c>
    </row>
    <row r="1681" customFormat="false" ht="15" hidden="false" customHeight="false" outlineLevel="0" collapsed="false">
      <c r="A1681" s="0" t="s">
        <v>2041</v>
      </c>
      <c r="B1681" s="0" t="s">
        <v>2042</v>
      </c>
      <c r="C1681" s="0" t="s">
        <v>2333</v>
      </c>
      <c r="D1681" s="0" t="s">
        <v>2105</v>
      </c>
      <c r="E1681" s="0" t="s">
        <v>2045</v>
      </c>
      <c r="F1681" s="0" t="s">
        <v>2204</v>
      </c>
      <c r="G1681" s="0" t="s">
        <v>2210</v>
      </c>
      <c r="H1681" s="0" t="s">
        <v>2211</v>
      </c>
      <c r="I1681" s="0" t="s">
        <v>2167</v>
      </c>
      <c r="J1681" s="0" t="s">
        <v>2323</v>
      </c>
      <c r="K1681" s="272" t="n">
        <v>-4115.67290496643</v>
      </c>
    </row>
    <row r="1682" customFormat="false" ht="15" hidden="false" customHeight="false" outlineLevel="0" collapsed="false">
      <c r="A1682" s="0" t="s">
        <v>2041</v>
      </c>
      <c r="B1682" s="0" t="s">
        <v>2042</v>
      </c>
      <c r="C1682" s="0" t="s">
        <v>2333</v>
      </c>
      <c r="D1682" s="0" t="s">
        <v>2105</v>
      </c>
      <c r="E1682" s="0" t="s">
        <v>2045</v>
      </c>
      <c r="F1682" s="0" t="s">
        <v>2204</v>
      </c>
      <c r="G1682" s="0" t="s">
        <v>2212</v>
      </c>
      <c r="H1682" s="0" t="s">
        <v>2213</v>
      </c>
      <c r="I1682" s="0" t="s">
        <v>2322</v>
      </c>
      <c r="J1682" s="0" t="s">
        <v>2323</v>
      </c>
      <c r="K1682" s="272" t="n">
        <v>-114854.231561126</v>
      </c>
    </row>
    <row r="1683" customFormat="false" ht="15" hidden="false" customHeight="false" outlineLevel="0" collapsed="false">
      <c r="A1683" s="0" t="s">
        <v>2041</v>
      </c>
      <c r="B1683" s="0" t="s">
        <v>2042</v>
      </c>
      <c r="C1683" s="0" t="s">
        <v>2333</v>
      </c>
      <c r="D1683" s="0" t="s">
        <v>2105</v>
      </c>
      <c r="E1683" s="0" t="s">
        <v>2045</v>
      </c>
      <c r="F1683" s="0" t="s">
        <v>2204</v>
      </c>
      <c r="G1683" s="0" t="s">
        <v>2212</v>
      </c>
      <c r="H1683" s="0" t="s">
        <v>2206</v>
      </c>
      <c r="I1683" s="0" t="s">
        <v>2322</v>
      </c>
      <c r="J1683" s="0" t="s">
        <v>2323</v>
      </c>
      <c r="K1683" s="272" t="n">
        <v>-114854.231561126</v>
      </c>
    </row>
    <row r="1684" customFormat="false" ht="15" hidden="false" customHeight="false" outlineLevel="0" collapsed="false">
      <c r="A1684" s="0" t="s">
        <v>2041</v>
      </c>
      <c r="B1684" s="0" t="s">
        <v>2042</v>
      </c>
      <c r="C1684" s="0" t="s">
        <v>2333</v>
      </c>
      <c r="D1684" s="0" t="s">
        <v>2105</v>
      </c>
      <c r="E1684" s="0" t="s">
        <v>2045</v>
      </c>
      <c r="F1684" s="0" t="s">
        <v>2204</v>
      </c>
      <c r="G1684" s="0" t="s">
        <v>2212</v>
      </c>
      <c r="H1684" s="0" t="s">
        <v>2208</v>
      </c>
      <c r="I1684" s="0" t="s">
        <v>2322</v>
      </c>
      <c r="J1684" s="0" t="s">
        <v>2323</v>
      </c>
      <c r="K1684" s="272" t="n">
        <v>-53442.911583208</v>
      </c>
    </row>
    <row r="1685" customFormat="false" ht="15" hidden="false" customHeight="false" outlineLevel="0" collapsed="false">
      <c r="A1685" s="0" t="s">
        <v>2041</v>
      </c>
      <c r="B1685" s="0" t="s">
        <v>2042</v>
      </c>
      <c r="C1685" s="0" t="s">
        <v>2333</v>
      </c>
      <c r="D1685" s="0" t="s">
        <v>2105</v>
      </c>
      <c r="E1685" s="0" t="s">
        <v>2045</v>
      </c>
      <c r="F1685" s="0" t="s">
        <v>2204</v>
      </c>
      <c r="G1685" s="0" t="s">
        <v>2212</v>
      </c>
      <c r="H1685" s="0" t="s">
        <v>2208</v>
      </c>
      <c r="I1685" s="0" t="s">
        <v>2124</v>
      </c>
      <c r="J1685" s="0" t="s">
        <v>2323</v>
      </c>
      <c r="K1685" s="272" t="n">
        <v>-377972.496275665</v>
      </c>
    </row>
    <row r="1686" customFormat="false" ht="15" hidden="false" customHeight="false" outlineLevel="0" collapsed="false">
      <c r="A1686" s="0" t="s">
        <v>2041</v>
      </c>
      <c r="B1686" s="0" t="s">
        <v>2042</v>
      </c>
      <c r="C1686" s="0" t="s">
        <v>2333</v>
      </c>
      <c r="D1686" s="0" t="s">
        <v>2105</v>
      </c>
      <c r="E1686" s="0" t="s">
        <v>2045</v>
      </c>
      <c r="F1686" s="0" t="s">
        <v>2204</v>
      </c>
      <c r="G1686" s="0" t="s">
        <v>2214</v>
      </c>
      <c r="H1686" s="0" t="s">
        <v>2206</v>
      </c>
      <c r="I1686" s="0" t="s">
        <v>2322</v>
      </c>
      <c r="J1686" s="0" t="s">
        <v>2323</v>
      </c>
      <c r="K1686" s="272" t="n">
        <v>-120831.555889855</v>
      </c>
    </row>
    <row r="1687" customFormat="false" ht="15" hidden="false" customHeight="false" outlineLevel="0" collapsed="false">
      <c r="A1687" s="0" t="s">
        <v>2041</v>
      </c>
      <c r="B1687" s="0" t="s">
        <v>2042</v>
      </c>
      <c r="C1687" s="0" t="s">
        <v>2333</v>
      </c>
      <c r="D1687" s="0" t="s">
        <v>2105</v>
      </c>
      <c r="E1687" s="0" t="s">
        <v>2045</v>
      </c>
      <c r="F1687" s="0" t="s">
        <v>2204</v>
      </c>
      <c r="G1687" s="0" t="s">
        <v>2214</v>
      </c>
      <c r="H1687" s="0" t="s">
        <v>2208</v>
      </c>
      <c r="I1687" s="0" t="s">
        <v>2322</v>
      </c>
      <c r="J1687" s="0" t="s">
        <v>2323</v>
      </c>
      <c r="K1687" s="272" t="n">
        <v>-120831.555889855</v>
      </c>
    </row>
    <row r="1688" customFormat="false" ht="15" hidden="false" customHeight="false" outlineLevel="0" collapsed="false">
      <c r="A1688" s="0" t="s">
        <v>2041</v>
      </c>
      <c r="B1688" s="0" t="s">
        <v>2042</v>
      </c>
      <c r="C1688" s="0" t="s">
        <v>2333</v>
      </c>
      <c r="D1688" s="0" t="s">
        <v>2105</v>
      </c>
      <c r="E1688" s="0" t="s">
        <v>2045</v>
      </c>
      <c r="F1688" s="0" t="s">
        <v>2051</v>
      </c>
      <c r="G1688" s="0" t="s">
        <v>2106</v>
      </c>
      <c r="H1688" s="0" t="s">
        <v>2107</v>
      </c>
      <c r="I1688" s="0" t="s">
        <v>2322</v>
      </c>
      <c r="J1688" s="0" t="s">
        <v>2323</v>
      </c>
      <c r="K1688" s="272" t="n">
        <v>136133.621569254</v>
      </c>
    </row>
    <row r="1689" customFormat="false" ht="15" hidden="false" customHeight="false" outlineLevel="0" collapsed="false">
      <c r="A1689" s="0" t="s">
        <v>2041</v>
      </c>
      <c r="B1689" s="0" t="s">
        <v>2042</v>
      </c>
      <c r="C1689" s="0" t="s">
        <v>2333</v>
      </c>
      <c r="D1689" s="0" t="s">
        <v>2105</v>
      </c>
      <c r="E1689" s="0" t="s">
        <v>2045</v>
      </c>
      <c r="F1689" s="0" t="s">
        <v>2051</v>
      </c>
      <c r="G1689" s="0" t="s">
        <v>2106</v>
      </c>
      <c r="H1689" s="0" t="s">
        <v>2107</v>
      </c>
      <c r="I1689" s="0" t="s">
        <v>2124</v>
      </c>
      <c r="J1689" s="0" t="s">
        <v>2323</v>
      </c>
      <c r="K1689" s="272" t="n">
        <v>-239296.630893895</v>
      </c>
    </row>
    <row r="1690" customFormat="false" ht="15" hidden="false" customHeight="false" outlineLevel="0" collapsed="false">
      <c r="A1690" s="0" t="s">
        <v>2041</v>
      </c>
      <c r="B1690" s="0" t="s">
        <v>2042</v>
      </c>
      <c r="C1690" s="0" t="s">
        <v>2333</v>
      </c>
      <c r="D1690" s="0" t="s">
        <v>2105</v>
      </c>
      <c r="E1690" s="0" t="s">
        <v>2045</v>
      </c>
      <c r="F1690" s="0" t="s">
        <v>2051</v>
      </c>
      <c r="G1690" s="0" t="s">
        <v>2110</v>
      </c>
      <c r="H1690" s="0" t="s">
        <v>2115</v>
      </c>
      <c r="I1690" s="0" t="s">
        <v>2322</v>
      </c>
      <c r="J1690" s="0" t="s">
        <v>2323</v>
      </c>
      <c r="K1690" s="272" t="n">
        <v>-15560.8023830398</v>
      </c>
    </row>
    <row r="1691" customFormat="false" ht="15" hidden="false" customHeight="false" outlineLevel="0" collapsed="false">
      <c r="A1691" s="0" t="s">
        <v>2041</v>
      </c>
      <c r="B1691" s="0" t="s">
        <v>2042</v>
      </c>
      <c r="C1691" s="0" t="s">
        <v>2333</v>
      </c>
      <c r="D1691" s="0" t="s">
        <v>2105</v>
      </c>
      <c r="E1691" s="0" t="s">
        <v>2045</v>
      </c>
      <c r="F1691" s="0" t="s">
        <v>2051</v>
      </c>
      <c r="G1691" s="0" t="s">
        <v>2110</v>
      </c>
      <c r="H1691" s="0" t="s">
        <v>2111</v>
      </c>
      <c r="I1691" s="0" t="s">
        <v>2322</v>
      </c>
      <c r="J1691" s="0" t="s">
        <v>2323</v>
      </c>
      <c r="K1691" s="272" t="n">
        <v>-517740.744526723</v>
      </c>
    </row>
    <row r="1692" customFormat="false" ht="15" hidden="false" customHeight="false" outlineLevel="0" collapsed="false">
      <c r="A1692" s="0" t="s">
        <v>2041</v>
      </c>
      <c r="B1692" s="0" t="s">
        <v>2042</v>
      </c>
      <c r="C1692" s="0" t="s">
        <v>2333</v>
      </c>
      <c r="D1692" s="0" t="s">
        <v>2105</v>
      </c>
      <c r="E1692" s="0" t="s">
        <v>2045</v>
      </c>
      <c r="F1692" s="0" t="s">
        <v>2051</v>
      </c>
      <c r="G1692" s="0" t="s">
        <v>2110</v>
      </c>
      <c r="H1692" s="0" t="s">
        <v>2119</v>
      </c>
      <c r="I1692" s="0" t="s">
        <v>2322</v>
      </c>
      <c r="J1692" s="0" t="s">
        <v>2323</v>
      </c>
      <c r="K1692" s="272" t="n">
        <v>-6012.12819344719</v>
      </c>
    </row>
    <row r="1693" customFormat="false" ht="15" hidden="false" customHeight="false" outlineLevel="0" collapsed="false">
      <c r="A1693" s="0" t="s">
        <v>2041</v>
      </c>
      <c r="B1693" s="0" t="s">
        <v>2042</v>
      </c>
      <c r="C1693" s="0" t="s">
        <v>2333</v>
      </c>
      <c r="D1693" s="0" t="s">
        <v>2105</v>
      </c>
      <c r="E1693" s="0" t="s">
        <v>2045</v>
      </c>
      <c r="F1693" s="0" t="s">
        <v>2051</v>
      </c>
      <c r="G1693" s="0" t="s">
        <v>2110</v>
      </c>
      <c r="H1693" s="0" t="s">
        <v>2120</v>
      </c>
      <c r="I1693" s="0" t="s">
        <v>2322</v>
      </c>
      <c r="J1693" s="0" t="s">
        <v>2323</v>
      </c>
      <c r="K1693" s="272" t="n">
        <v>-42908.2265822859</v>
      </c>
    </row>
    <row r="1694" customFormat="false" ht="15" hidden="false" customHeight="false" outlineLevel="0" collapsed="false">
      <c r="A1694" s="0" t="s">
        <v>2041</v>
      </c>
      <c r="B1694" s="0" t="s">
        <v>2042</v>
      </c>
      <c r="C1694" s="0" t="s">
        <v>2333</v>
      </c>
      <c r="D1694" s="0" t="s">
        <v>2105</v>
      </c>
      <c r="E1694" s="0" t="s">
        <v>2045</v>
      </c>
      <c r="F1694" s="0" t="s">
        <v>2051</v>
      </c>
      <c r="G1694" s="0" t="s">
        <v>2110</v>
      </c>
      <c r="H1694" s="0" t="s">
        <v>2121</v>
      </c>
      <c r="I1694" s="0" t="s">
        <v>2322</v>
      </c>
      <c r="J1694" s="0" t="s">
        <v>2323</v>
      </c>
      <c r="K1694" s="272" t="n">
        <v>-53596.7223187255</v>
      </c>
    </row>
    <row r="1695" customFormat="false" ht="15" hidden="false" customHeight="false" outlineLevel="0" collapsed="false">
      <c r="A1695" s="0" t="s">
        <v>2041</v>
      </c>
      <c r="B1695" s="0" t="s">
        <v>2042</v>
      </c>
      <c r="C1695" s="0" t="s">
        <v>2333</v>
      </c>
      <c r="D1695" s="0" t="s">
        <v>2105</v>
      </c>
      <c r="E1695" s="0" t="s">
        <v>2045</v>
      </c>
      <c r="F1695" s="0" t="s">
        <v>2051</v>
      </c>
      <c r="G1695" s="0" t="s">
        <v>2110</v>
      </c>
      <c r="H1695" s="0" t="s">
        <v>2122</v>
      </c>
      <c r="I1695" s="0" t="s">
        <v>2322</v>
      </c>
      <c r="J1695" s="0" t="s">
        <v>2323</v>
      </c>
      <c r="K1695" s="272" t="n">
        <v>-42908.2265822859</v>
      </c>
    </row>
    <row r="1696" customFormat="false" ht="15" hidden="false" customHeight="false" outlineLevel="0" collapsed="false">
      <c r="A1696" s="0" t="s">
        <v>2041</v>
      </c>
      <c r="B1696" s="0" t="s">
        <v>2042</v>
      </c>
      <c r="C1696" s="0" t="s">
        <v>2333</v>
      </c>
      <c r="D1696" s="0" t="s">
        <v>2105</v>
      </c>
      <c r="E1696" s="0" t="s">
        <v>2045</v>
      </c>
      <c r="F1696" s="0" t="s">
        <v>2051</v>
      </c>
      <c r="G1696" s="0" t="s">
        <v>2110</v>
      </c>
      <c r="H1696" s="0" t="s">
        <v>2112</v>
      </c>
      <c r="I1696" s="0" t="s">
        <v>2322</v>
      </c>
      <c r="J1696" s="0" t="s">
        <v>2323</v>
      </c>
      <c r="K1696" s="272" t="n">
        <v>-889485.635778252</v>
      </c>
    </row>
    <row r="1697" customFormat="false" ht="15" hidden="false" customHeight="false" outlineLevel="0" collapsed="false">
      <c r="A1697" s="0" t="s">
        <v>2041</v>
      </c>
      <c r="B1697" s="0" t="s">
        <v>2042</v>
      </c>
      <c r="C1697" s="0" t="s">
        <v>2333</v>
      </c>
      <c r="D1697" s="0" t="s">
        <v>2105</v>
      </c>
      <c r="E1697" s="0" t="s">
        <v>2045</v>
      </c>
      <c r="F1697" s="0" t="s">
        <v>2051</v>
      </c>
      <c r="G1697" s="0" t="s">
        <v>2110</v>
      </c>
      <c r="H1697" s="0" t="s">
        <v>2113</v>
      </c>
      <c r="I1697" s="0" t="s">
        <v>2322</v>
      </c>
      <c r="J1697" s="0" t="s">
        <v>2323</v>
      </c>
      <c r="K1697" s="272" t="n">
        <v>-3273478.77382781</v>
      </c>
    </row>
    <row r="1698" customFormat="false" ht="15" hidden="false" customHeight="false" outlineLevel="0" collapsed="false">
      <c r="A1698" s="0" t="s">
        <v>2041</v>
      </c>
      <c r="B1698" s="0" t="s">
        <v>2042</v>
      </c>
      <c r="C1698" s="0" t="s">
        <v>2333</v>
      </c>
      <c r="D1698" s="0" t="s">
        <v>2105</v>
      </c>
      <c r="E1698" s="0" t="s">
        <v>2045</v>
      </c>
      <c r="F1698" s="0" t="s">
        <v>2051</v>
      </c>
      <c r="G1698" s="0" t="s">
        <v>2110</v>
      </c>
      <c r="H1698" s="0" t="s">
        <v>2107</v>
      </c>
      <c r="I1698" s="0" t="s">
        <v>2322</v>
      </c>
      <c r="J1698" s="0" t="s">
        <v>2323</v>
      </c>
      <c r="K1698" s="272" t="n">
        <v>-108301.540393264</v>
      </c>
    </row>
    <row r="1699" customFormat="false" ht="15" hidden="false" customHeight="false" outlineLevel="0" collapsed="false">
      <c r="A1699" s="0" t="s">
        <v>2041</v>
      </c>
      <c r="B1699" s="0" t="s">
        <v>2042</v>
      </c>
      <c r="C1699" s="0" t="s">
        <v>2333</v>
      </c>
      <c r="D1699" s="0" t="s">
        <v>2105</v>
      </c>
      <c r="E1699" s="0" t="s">
        <v>2045</v>
      </c>
      <c r="F1699" s="0" t="s">
        <v>2051</v>
      </c>
      <c r="G1699" s="0" t="s">
        <v>2114</v>
      </c>
      <c r="H1699" s="0" t="s">
        <v>2115</v>
      </c>
      <c r="I1699" s="0" t="s">
        <v>2322</v>
      </c>
      <c r="J1699" s="0" t="s">
        <v>2323</v>
      </c>
      <c r="K1699" s="272" t="n">
        <v>-994737.027005177</v>
      </c>
    </row>
    <row r="1700" customFormat="false" ht="15" hidden="false" customHeight="false" outlineLevel="0" collapsed="false">
      <c r="A1700" s="0" t="s">
        <v>2041</v>
      </c>
      <c r="B1700" s="0" t="s">
        <v>2042</v>
      </c>
      <c r="C1700" s="0" t="s">
        <v>2333</v>
      </c>
      <c r="D1700" s="0" t="s">
        <v>2105</v>
      </c>
      <c r="E1700" s="0" t="s">
        <v>2045</v>
      </c>
      <c r="F1700" s="0" t="s">
        <v>2051</v>
      </c>
      <c r="G1700" s="0" t="s">
        <v>2114</v>
      </c>
      <c r="H1700" s="0" t="s">
        <v>2116</v>
      </c>
      <c r="I1700" s="0" t="s">
        <v>2322</v>
      </c>
      <c r="J1700" s="0" t="s">
        <v>2323</v>
      </c>
      <c r="K1700" s="272" t="n">
        <v>-108572.959183612</v>
      </c>
    </row>
    <row r="1701" customFormat="false" ht="15" hidden="false" customHeight="false" outlineLevel="0" collapsed="false">
      <c r="A1701" s="0" t="s">
        <v>2041</v>
      </c>
      <c r="B1701" s="0" t="s">
        <v>2042</v>
      </c>
      <c r="C1701" s="0" t="s">
        <v>2333</v>
      </c>
      <c r="D1701" s="0" t="s">
        <v>2105</v>
      </c>
      <c r="E1701" s="0" t="s">
        <v>2045</v>
      </c>
      <c r="F1701" s="0" t="s">
        <v>2051</v>
      </c>
      <c r="G1701" s="0" t="s">
        <v>2114</v>
      </c>
      <c r="H1701" s="0" t="s">
        <v>2117</v>
      </c>
      <c r="I1701" s="0" t="s">
        <v>2322</v>
      </c>
      <c r="J1701" s="0" t="s">
        <v>2323</v>
      </c>
      <c r="K1701" s="272" t="n">
        <v>-63105.4810312965</v>
      </c>
    </row>
    <row r="1702" customFormat="false" ht="15" hidden="false" customHeight="false" outlineLevel="0" collapsed="false">
      <c r="A1702" s="0" t="s">
        <v>2041</v>
      </c>
      <c r="B1702" s="0" t="s">
        <v>2042</v>
      </c>
      <c r="C1702" s="0" t="s">
        <v>2333</v>
      </c>
      <c r="D1702" s="0" t="s">
        <v>2105</v>
      </c>
      <c r="E1702" s="0" t="s">
        <v>2045</v>
      </c>
      <c r="F1702" s="0" t="s">
        <v>2051</v>
      </c>
      <c r="G1702" s="0" t="s">
        <v>2114</v>
      </c>
      <c r="H1702" s="0" t="s">
        <v>2118</v>
      </c>
      <c r="I1702" s="0" t="s">
        <v>2322</v>
      </c>
      <c r="J1702" s="0" t="s">
        <v>2323</v>
      </c>
      <c r="K1702" s="272" t="n">
        <v>-90093.0679133128</v>
      </c>
    </row>
    <row r="1703" customFormat="false" ht="15" hidden="false" customHeight="false" outlineLevel="0" collapsed="false">
      <c r="A1703" s="0" t="s">
        <v>2041</v>
      </c>
      <c r="B1703" s="0" t="s">
        <v>2042</v>
      </c>
      <c r="C1703" s="0" t="s">
        <v>2333</v>
      </c>
      <c r="D1703" s="0" t="s">
        <v>2105</v>
      </c>
      <c r="E1703" s="0" t="s">
        <v>2045</v>
      </c>
      <c r="F1703" s="0" t="s">
        <v>2051</v>
      </c>
      <c r="G1703" s="0" t="s">
        <v>2114</v>
      </c>
      <c r="H1703" s="0" t="s">
        <v>2119</v>
      </c>
      <c r="I1703" s="0" t="s">
        <v>2322</v>
      </c>
      <c r="J1703" s="0" t="s">
        <v>2323</v>
      </c>
      <c r="K1703" s="272" t="n">
        <v>-347720.100124517</v>
      </c>
    </row>
    <row r="1704" customFormat="false" ht="15" hidden="false" customHeight="false" outlineLevel="0" collapsed="false">
      <c r="A1704" s="0" t="s">
        <v>2041</v>
      </c>
      <c r="B1704" s="0" t="s">
        <v>2042</v>
      </c>
      <c r="C1704" s="0" t="s">
        <v>2333</v>
      </c>
      <c r="D1704" s="0" t="s">
        <v>2105</v>
      </c>
      <c r="E1704" s="0" t="s">
        <v>2045</v>
      </c>
      <c r="F1704" s="0" t="s">
        <v>2051</v>
      </c>
      <c r="G1704" s="0" t="s">
        <v>2114</v>
      </c>
      <c r="H1704" s="0" t="s">
        <v>2120</v>
      </c>
      <c r="I1704" s="0" t="s">
        <v>2322</v>
      </c>
      <c r="J1704" s="0" t="s">
        <v>2323</v>
      </c>
      <c r="K1704" s="272" t="n">
        <v>-585684.450809314</v>
      </c>
    </row>
    <row r="1705" customFormat="false" ht="15" hidden="false" customHeight="false" outlineLevel="0" collapsed="false">
      <c r="A1705" s="0" t="s">
        <v>2041</v>
      </c>
      <c r="B1705" s="0" t="s">
        <v>2042</v>
      </c>
      <c r="C1705" s="0" t="s">
        <v>2333</v>
      </c>
      <c r="D1705" s="0" t="s">
        <v>2105</v>
      </c>
      <c r="E1705" s="0" t="s">
        <v>2045</v>
      </c>
      <c r="F1705" s="0" t="s">
        <v>2051</v>
      </c>
      <c r="G1705" s="0" t="s">
        <v>2114</v>
      </c>
      <c r="H1705" s="0" t="s">
        <v>2121</v>
      </c>
      <c r="I1705" s="0" t="s">
        <v>2322</v>
      </c>
      <c r="J1705" s="0" t="s">
        <v>2323</v>
      </c>
      <c r="K1705" s="272" t="n">
        <v>-316784.535697555</v>
      </c>
    </row>
    <row r="1706" customFormat="false" ht="15" hidden="false" customHeight="false" outlineLevel="0" collapsed="false">
      <c r="A1706" s="0" t="s">
        <v>2041</v>
      </c>
      <c r="B1706" s="0" t="s">
        <v>2042</v>
      </c>
      <c r="C1706" s="0" t="s">
        <v>2333</v>
      </c>
      <c r="D1706" s="0" t="s">
        <v>2105</v>
      </c>
      <c r="E1706" s="0" t="s">
        <v>2045</v>
      </c>
      <c r="F1706" s="0" t="s">
        <v>2051</v>
      </c>
      <c r="G1706" s="0" t="s">
        <v>2114</v>
      </c>
      <c r="H1706" s="0" t="s">
        <v>2122</v>
      </c>
      <c r="I1706" s="0" t="s">
        <v>2322</v>
      </c>
      <c r="J1706" s="0" t="s">
        <v>2323</v>
      </c>
      <c r="K1706" s="272" t="n">
        <v>-296965.537021547</v>
      </c>
    </row>
    <row r="1707" customFormat="false" ht="15" hidden="false" customHeight="false" outlineLevel="0" collapsed="false">
      <c r="A1707" s="0" t="s">
        <v>2041</v>
      </c>
      <c r="B1707" s="0" t="s">
        <v>2042</v>
      </c>
      <c r="C1707" s="0" t="s">
        <v>2333</v>
      </c>
      <c r="D1707" s="0" t="s">
        <v>2105</v>
      </c>
      <c r="E1707" s="0" t="s">
        <v>2045</v>
      </c>
      <c r="F1707" s="0" t="s">
        <v>2051</v>
      </c>
      <c r="G1707" s="0" t="s">
        <v>2114</v>
      </c>
      <c r="H1707" s="0" t="s">
        <v>2112</v>
      </c>
      <c r="I1707" s="0" t="s">
        <v>2322</v>
      </c>
      <c r="J1707" s="0" t="s">
        <v>2323</v>
      </c>
      <c r="K1707" s="272" t="n">
        <v>-274521.234482457</v>
      </c>
    </row>
    <row r="1708" customFormat="false" ht="15" hidden="false" customHeight="false" outlineLevel="0" collapsed="false">
      <c r="A1708" s="0" t="s">
        <v>2041</v>
      </c>
      <c r="B1708" s="0" t="s">
        <v>2042</v>
      </c>
      <c r="C1708" s="0" t="s">
        <v>2333</v>
      </c>
      <c r="D1708" s="0" t="s">
        <v>2105</v>
      </c>
      <c r="E1708" s="0" t="s">
        <v>2045</v>
      </c>
      <c r="F1708" s="0" t="s">
        <v>2051</v>
      </c>
      <c r="G1708" s="0" t="s">
        <v>2114</v>
      </c>
      <c r="H1708" s="0" t="s">
        <v>2113</v>
      </c>
      <c r="I1708" s="0" t="s">
        <v>2322</v>
      </c>
      <c r="J1708" s="0" t="s">
        <v>2323</v>
      </c>
      <c r="K1708" s="272" t="n">
        <v>-51737.5064748241</v>
      </c>
    </row>
    <row r="1709" customFormat="false" ht="15" hidden="false" customHeight="false" outlineLevel="0" collapsed="false">
      <c r="A1709" s="0" t="s">
        <v>2041</v>
      </c>
      <c r="B1709" s="0" t="s">
        <v>2042</v>
      </c>
      <c r="C1709" s="0" t="s">
        <v>2333</v>
      </c>
      <c r="D1709" s="0" t="s">
        <v>2105</v>
      </c>
      <c r="E1709" s="0" t="s">
        <v>2045</v>
      </c>
      <c r="F1709" s="0" t="s">
        <v>2051</v>
      </c>
      <c r="G1709" s="0" t="s">
        <v>2114</v>
      </c>
      <c r="H1709" s="0" t="s">
        <v>2107</v>
      </c>
      <c r="I1709" s="0" t="s">
        <v>2322</v>
      </c>
      <c r="J1709" s="0" t="s">
        <v>2323</v>
      </c>
      <c r="K1709" s="272" t="n">
        <v>103612.673930019</v>
      </c>
    </row>
    <row r="1710" customFormat="false" ht="15" hidden="false" customHeight="false" outlineLevel="0" collapsed="false">
      <c r="A1710" s="0" t="s">
        <v>2041</v>
      </c>
      <c r="B1710" s="0" t="s">
        <v>2042</v>
      </c>
      <c r="C1710" s="0" t="s">
        <v>2333</v>
      </c>
      <c r="D1710" s="0" t="s">
        <v>2105</v>
      </c>
      <c r="E1710" s="0" t="s">
        <v>2045</v>
      </c>
      <c r="F1710" s="0" t="s">
        <v>2051</v>
      </c>
      <c r="G1710" s="0" t="s">
        <v>2123</v>
      </c>
      <c r="H1710" s="0" t="s">
        <v>2115</v>
      </c>
      <c r="I1710" s="0" t="s">
        <v>2322</v>
      </c>
      <c r="J1710" s="0" t="s">
        <v>2323</v>
      </c>
      <c r="K1710" s="272" t="n">
        <v>-277623.936693273</v>
      </c>
    </row>
    <row r="1711" customFormat="false" ht="15" hidden="false" customHeight="false" outlineLevel="0" collapsed="false">
      <c r="A1711" s="0" t="s">
        <v>2041</v>
      </c>
      <c r="B1711" s="0" t="s">
        <v>2042</v>
      </c>
      <c r="C1711" s="0" t="s">
        <v>2333</v>
      </c>
      <c r="D1711" s="0" t="s">
        <v>2105</v>
      </c>
      <c r="E1711" s="0" t="s">
        <v>2045</v>
      </c>
      <c r="F1711" s="0" t="s">
        <v>2051</v>
      </c>
      <c r="G1711" s="0" t="s">
        <v>2123</v>
      </c>
      <c r="H1711" s="0" t="s">
        <v>2116</v>
      </c>
      <c r="I1711" s="0" t="s">
        <v>2322</v>
      </c>
      <c r="J1711" s="0" t="s">
        <v>2323</v>
      </c>
      <c r="K1711" s="272" t="n">
        <v>-556589.736723836</v>
      </c>
    </row>
    <row r="1712" customFormat="false" ht="15" hidden="false" customHeight="false" outlineLevel="0" collapsed="false">
      <c r="A1712" s="0" t="s">
        <v>2041</v>
      </c>
      <c r="B1712" s="0" t="s">
        <v>2042</v>
      </c>
      <c r="C1712" s="0" t="s">
        <v>2333</v>
      </c>
      <c r="D1712" s="0" t="s">
        <v>2105</v>
      </c>
      <c r="E1712" s="0" t="s">
        <v>2045</v>
      </c>
      <c r="F1712" s="0" t="s">
        <v>2051</v>
      </c>
      <c r="G1712" s="0" t="s">
        <v>2123</v>
      </c>
      <c r="H1712" s="0" t="s">
        <v>2111</v>
      </c>
      <c r="I1712" s="0" t="s">
        <v>2322</v>
      </c>
      <c r="J1712" s="0" t="s">
        <v>2323</v>
      </c>
      <c r="K1712" s="272" t="n">
        <v>-369138.356770049</v>
      </c>
    </row>
    <row r="1713" customFormat="false" ht="15" hidden="false" customHeight="false" outlineLevel="0" collapsed="false">
      <c r="A1713" s="0" t="s">
        <v>2041</v>
      </c>
      <c r="B1713" s="0" t="s">
        <v>2042</v>
      </c>
      <c r="C1713" s="0" t="s">
        <v>2333</v>
      </c>
      <c r="D1713" s="0" t="s">
        <v>2105</v>
      </c>
      <c r="E1713" s="0" t="s">
        <v>2045</v>
      </c>
      <c r="F1713" s="0" t="s">
        <v>2051</v>
      </c>
      <c r="G1713" s="0" t="s">
        <v>2123</v>
      </c>
      <c r="H1713" s="0" t="s">
        <v>2117</v>
      </c>
      <c r="I1713" s="0" t="s">
        <v>2322</v>
      </c>
      <c r="J1713" s="0" t="s">
        <v>2323</v>
      </c>
      <c r="K1713" s="272" t="n">
        <v>-135238.40658484</v>
      </c>
    </row>
    <row r="1714" customFormat="false" ht="15" hidden="false" customHeight="false" outlineLevel="0" collapsed="false">
      <c r="A1714" s="0" t="s">
        <v>2041</v>
      </c>
      <c r="B1714" s="0" t="s">
        <v>2042</v>
      </c>
      <c r="C1714" s="0" t="s">
        <v>2333</v>
      </c>
      <c r="D1714" s="0" t="s">
        <v>2105</v>
      </c>
      <c r="E1714" s="0" t="s">
        <v>2045</v>
      </c>
      <c r="F1714" s="0" t="s">
        <v>2051</v>
      </c>
      <c r="G1714" s="0" t="s">
        <v>2123</v>
      </c>
      <c r="H1714" s="0" t="s">
        <v>2119</v>
      </c>
      <c r="I1714" s="0" t="s">
        <v>2322</v>
      </c>
      <c r="J1714" s="0" t="s">
        <v>2323</v>
      </c>
      <c r="K1714" s="272" t="n">
        <v>-16640.1056565579</v>
      </c>
    </row>
    <row r="1715" customFormat="false" ht="15" hidden="false" customHeight="false" outlineLevel="0" collapsed="false">
      <c r="A1715" s="0" t="s">
        <v>2041</v>
      </c>
      <c r="B1715" s="0" t="s">
        <v>2042</v>
      </c>
      <c r="C1715" s="0" t="s">
        <v>2333</v>
      </c>
      <c r="D1715" s="0" t="s">
        <v>2105</v>
      </c>
      <c r="E1715" s="0" t="s">
        <v>2045</v>
      </c>
      <c r="F1715" s="0" t="s">
        <v>2051</v>
      </c>
      <c r="G1715" s="0" t="s">
        <v>2123</v>
      </c>
      <c r="H1715" s="0" t="s">
        <v>2120</v>
      </c>
      <c r="I1715" s="0" t="s">
        <v>2322</v>
      </c>
      <c r="J1715" s="0" t="s">
        <v>2323</v>
      </c>
      <c r="K1715" s="272" t="n">
        <v>-129805.096754478</v>
      </c>
    </row>
    <row r="1716" customFormat="false" ht="15" hidden="false" customHeight="false" outlineLevel="0" collapsed="false">
      <c r="A1716" s="0" t="s">
        <v>2041</v>
      </c>
      <c r="B1716" s="0" t="s">
        <v>2042</v>
      </c>
      <c r="C1716" s="0" t="s">
        <v>2333</v>
      </c>
      <c r="D1716" s="0" t="s">
        <v>2105</v>
      </c>
      <c r="E1716" s="0" t="s">
        <v>2045</v>
      </c>
      <c r="F1716" s="0" t="s">
        <v>2051</v>
      </c>
      <c r="G1716" s="0" t="s">
        <v>2123</v>
      </c>
      <c r="H1716" s="0" t="s">
        <v>2121</v>
      </c>
      <c r="I1716" s="0" t="s">
        <v>2322</v>
      </c>
      <c r="J1716" s="0" t="s">
        <v>2323</v>
      </c>
      <c r="K1716" s="272" t="n">
        <v>-26185.4297133872</v>
      </c>
    </row>
    <row r="1717" customFormat="false" ht="15" hidden="false" customHeight="false" outlineLevel="0" collapsed="false">
      <c r="A1717" s="0" t="s">
        <v>2041</v>
      </c>
      <c r="B1717" s="0" t="s">
        <v>2042</v>
      </c>
      <c r="C1717" s="0" t="s">
        <v>2333</v>
      </c>
      <c r="D1717" s="0" t="s">
        <v>2105</v>
      </c>
      <c r="E1717" s="0" t="s">
        <v>2045</v>
      </c>
      <c r="F1717" s="0" t="s">
        <v>2051</v>
      </c>
      <c r="G1717" s="0" t="s">
        <v>2123</v>
      </c>
      <c r="H1717" s="0" t="s">
        <v>2121</v>
      </c>
      <c r="I1717" s="0" t="s">
        <v>2124</v>
      </c>
      <c r="J1717" s="0" t="s">
        <v>2323</v>
      </c>
      <c r="K1717" s="272" t="n">
        <v>-3335.40878085264</v>
      </c>
    </row>
    <row r="1718" customFormat="false" ht="15" hidden="false" customHeight="false" outlineLevel="0" collapsed="false">
      <c r="A1718" s="0" t="s">
        <v>2041</v>
      </c>
      <c r="B1718" s="0" t="s">
        <v>2042</v>
      </c>
      <c r="C1718" s="0" t="s">
        <v>2333</v>
      </c>
      <c r="D1718" s="0" t="s">
        <v>2105</v>
      </c>
      <c r="E1718" s="0" t="s">
        <v>2045</v>
      </c>
      <c r="F1718" s="0" t="s">
        <v>2051</v>
      </c>
      <c r="G1718" s="0" t="s">
        <v>2123</v>
      </c>
      <c r="H1718" s="0" t="s">
        <v>2122</v>
      </c>
      <c r="I1718" s="0" t="s">
        <v>2322</v>
      </c>
      <c r="J1718" s="0" t="s">
        <v>2323</v>
      </c>
      <c r="K1718" s="272" t="n">
        <v>-91828.5070486248</v>
      </c>
    </row>
    <row r="1719" customFormat="false" ht="15" hidden="false" customHeight="false" outlineLevel="0" collapsed="false">
      <c r="A1719" s="0" t="s">
        <v>2041</v>
      </c>
      <c r="B1719" s="0" t="s">
        <v>2042</v>
      </c>
      <c r="C1719" s="0" t="s">
        <v>2333</v>
      </c>
      <c r="D1719" s="0" t="s">
        <v>2105</v>
      </c>
      <c r="E1719" s="0" t="s">
        <v>2045</v>
      </c>
      <c r="F1719" s="0" t="s">
        <v>2051</v>
      </c>
      <c r="G1719" s="0" t="s">
        <v>2123</v>
      </c>
      <c r="H1719" s="0" t="s">
        <v>2122</v>
      </c>
      <c r="I1719" s="0" t="s">
        <v>2124</v>
      </c>
      <c r="J1719" s="0" t="s">
        <v>2323</v>
      </c>
      <c r="K1719" s="272" t="n">
        <v>-5559.0146347544</v>
      </c>
    </row>
    <row r="1720" customFormat="false" ht="15" hidden="false" customHeight="false" outlineLevel="0" collapsed="false">
      <c r="A1720" s="0" t="s">
        <v>2041</v>
      </c>
      <c r="B1720" s="0" t="s">
        <v>2042</v>
      </c>
      <c r="C1720" s="0" t="s">
        <v>2333</v>
      </c>
      <c r="D1720" s="0" t="s">
        <v>2105</v>
      </c>
      <c r="E1720" s="0" t="s">
        <v>2045</v>
      </c>
      <c r="F1720" s="0" t="s">
        <v>2051</v>
      </c>
      <c r="G1720" s="0" t="s">
        <v>2123</v>
      </c>
      <c r="H1720" s="0" t="s">
        <v>2112</v>
      </c>
      <c r="I1720" s="0" t="s">
        <v>2322</v>
      </c>
      <c r="J1720" s="0" t="s">
        <v>2323</v>
      </c>
      <c r="K1720" s="272" t="n">
        <v>-179037.001527395</v>
      </c>
    </row>
    <row r="1721" customFormat="false" ht="15" hidden="false" customHeight="false" outlineLevel="0" collapsed="false">
      <c r="A1721" s="0" t="s">
        <v>2041</v>
      </c>
      <c r="B1721" s="0" t="s">
        <v>2042</v>
      </c>
      <c r="C1721" s="0" t="s">
        <v>2333</v>
      </c>
      <c r="D1721" s="0" t="s">
        <v>2105</v>
      </c>
      <c r="E1721" s="0" t="s">
        <v>2045</v>
      </c>
      <c r="F1721" s="0" t="s">
        <v>2051</v>
      </c>
      <c r="G1721" s="0" t="s">
        <v>2123</v>
      </c>
      <c r="H1721" s="0" t="s">
        <v>2112</v>
      </c>
      <c r="I1721" s="0" t="s">
        <v>2124</v>
      </c>
      <c r="J1721" s="0" t="s">
        <v>2323</v>
      </c>
      <c r="K1721" s="272" t="n">
        <v>-2223.60585390176</v>
      </c>
    </row>
    <row r="1722" customFormat="false" ht="15" hidden="false" customHeight="false" outlineLevel="0" collapsed="false">
      <c r="A1722" s="0" t="s">
        <v>2041</v>
      </c>
      <c r="B1722" s="0" t="s">
        <v>2042</v>
      </c>
      <c r="C1722" s="0" t="s">
        <v>2333</v>
      </c>
      <c r="D1722" s="0" t="s">
        <v>2105</v>
      </c>
      <c r="E1722" s="0" t="s">
        <v>2045</v>
      </c>
      <c r="F1722" s="0" t="s">
        <v>2051</v>
      </c>
      <c r="G1722" s="0" t="s">
        <v>2123</v>
      </c>
      <c r="H1722" s="0" t="s">
        <v>2113</v>
      </c>
      <c r="I1722" s="0" t="s">
        <v>2322</v>
      </c>
      <c r="J1722" s="0" t="s">
        <v>2323</v>
      </c>
      <c r="K1722" s="272" t="n">
        <v>-631728.174699268</v>
      </c>
    </row>
    <row r="1723" customFormat="false" ht="15" hidden="false" customHeight="false" outlineLevel="0" collapsed="false">
      <c r="A1723" s="0" t="s">
        <v>2041</v>
      </c>
      <c r="B1723" s="0" t="s">
        <v>2042</v>
      </c>
      <c r="C1723" s="0" t="s">
        <v>2333</v>
      </c>
      <c r="D1723" s="0" t="s">
        <v>2105</v>
      </c>
      <c r="E1723" s="0" t="s">
        <v>2045</v>
      </c>
      <c r="F1723" s="0" t="s">
        <v>2051</v>
      </c>
      <c r="G1723" s="0" t="s">
        <v>2123</v>
      </c>
      <c r="H1723" s="0" t="s">
        <v>2107</v>
      </c>
      <c r="I1723" s="0" t="s">
        <v>2322</v>
      </c>
      <c r="J1723" s="0" t="s">
        <v>2323</v>
      </c>
      <c r="K1723" s="272" t="n">
        <v>-334943.321969939</v>
      </c>
    </row>
    <row r="1724" customFormat="false" ht="15" hidden="false" customHeight="false" outlineLevel="0" collapsed="false">
      <c r="A1724" s="0" t="s">
        <v>2041</v>
      </c>
      <c r="B1724" s="0" t="s">
        <v>2042</v>
      </c>
      <c r="C1724" s="0" t="s">
        <v>2333</v>
      </c>
      <c r="D1724" s="0" t="s">
        <v>2105</v>
      </c>
      <c r="E1724" s="0" t="s">
        <v>2045</v>
      </c>
      <c r="F1724" s="0" t="s">
        <v>2046</v>
      </c>
      <c r="G1724" s="0" t="s">
        <v>2125</v>
      </c>
      <c r="H1724" s="0" t="s">
        <v>2126</v>
      </c>
      <c r="I1724" s="0" t="s">
        <v>2322</v>
      </c>
      <c r="J1724" s="0" t="s">
        <v>2323</v>
      </c>
      <c r="K1724" s="272" t="n">
        <v>-324635.109506287</v>
      </c>
    </row>
    <row r="1725" customFormat="false" ht="15" hidden="false" customHeight="false" outlineLevel="0" collapsed="false">
      <c r="A1725" s="0" t="s">
        <v>2041</v>
      </c>
      <c r="B1725" s="0" t="s">
        <v>2042</v>
      </c>
      <c r="C1725" s="0" t="s">
        <v>2333</v>
      </c>
      <c r="D1725" s="0" t="s">
        <v>2105</v>
      </c>
      <c r="E1725" s="0" t="s">
        <v>2045</v>
      </c>
      <c r="F1725" s="0" t="s">
        <v>2046</v>
      </c>
      <c r="G1725" s="0" t="s">
        <v>2125</v>
      </c>
      <c r="H1725" s="0" t="s">
        <v>2126</v>
      </c>
      <c r="I1725" s="0" t="s">
        <v>2124</v>
      </c>
      <c r="J1725" s="0" t="s">
        <v>2323</v>
      </c>
      <c r="K1725" s="272" t="n">
        <v>128427.838612788</v>
      </c>
    </row>
    <row r="1726" customFormat="false" ht="15" hidden="false" customHeight="false" outlineLevel="0" collapsed="false">
      <c r="A1726" s="0" t="s">
        <v>2041</v>
      </c>
      <c r="B1726" s="0" t="s">
        <v>2042</v>
      </c>
      <c r="C1726" s="0" t="s">
        <v>2333</v>
      </c>
      <c r="D1726" s="0" t="s">
        <v>2105</v>
      </c>
      <c r="E1726" s="0" t="s">
        <v>2045</v>
      </c>
      <c r="F1726" s="0" t="s">
        <v>2046</v>
      </c>
      <c r="G1726" s="0" t="s">
        <v>2127</v>
      </c>
      <c r="H1726" s="0" t="s">
        <v>2128</v>
      </c>
      <c r="I1726" s="0" t="s">
        <v>2322</v>
      </c>
      <c r="J1726" s="0" t="s">
        <v>2323</v>
      </c>
      <c r="K1726" s="272" t="n">
        <v>-742837.083461667</v>
      </c>
    </row>
    <row r="1727" customFormat="false" ht="15" hidden="false" customHeight="false" outlineLevel="0" collapsed="false">
      <c r="A1727" s="0" t="s">
        <v>2041</v>
      </c>
      <c r="B1727" s="0" t="s">
        <v>2042</v>
      </c>
      <c r="C1727" s="0" t="s">
        <v>2333</v>
      </c>
      <c r="D1727" s="0" t="s">
        <v>2105</v>
      </c>
      <c r="E1727" s="0" t="s">
        <v>2045</v>
      </c>
      <c r="F1727" s="0" t="s">
        <v>2046</v>
      </c>
      <c r="G1727" s="0" t="s">
        <v>2127</v>
      </c>
      <c r="H1727" s="0" t="s">
        <v>2128</v>
      </c>
      <c r="I1727" s="0" t="s">
        <v>2124</v>
      </c>
      <c r="J1727" s="0" t="s">
        <v>2323</v>
      </c>
      <c r="K1727" s="272" t="n">
        <v>20074.3597977338</v>
      </c>
    </row>
    <row r="1728" customFormat="false" ht="15" hidden="false" customHeight="false" outlineLevel="0" collapsed="false">
      <c r="A1728" s="0" t="s">
        <v>2041</v>
      </c>
      <c r="B1728" s="0" t="s">
        <v>2042</v>
      </c>
      <c r="C1728" s="0" t="s">
        <v>2333</v>
      </c>
      <c r="D1728" s="0" t="s">
        <v>2105</v>
      </c>
      <c r="E1728" s="0" t="s">
        <v>2045</v>
      </c>
      <c r="F1728" s="0" t="s">
        <v>2046</v>
      </c>
      <c r="G1728" s="0" t="s">
        <v>2127</v>
      </c>
      <c r="H1728" s="0" t="s">
        <v>2132</v>
      </c>
      <c r="I1728" s="0" t="s">
        <v>2322</v>
      </c>
      <c r="J1728" s="0" t="s">
        <v>2323</v>
      </c>
      <c r="K1728" s="272" t="n">
        <v>4300.42966578898</v>
      </c>
    </row>
    <row r="1729" customFormat="false" ht="15" hidden="false" customHeight="false" outlineLevel="0" collapsed="false">
      <c r="A1729" s="0" t="s">
        <v>2041</v>
      </c>
      <c r="B1729" s="0" t="s">
        <v>2042</v>
      </c>
      <c r="C1729" s="0" t="s">
        <v>2333</v>
      </c>
      <c r="D1729" s="0" t="s">
        <v>2105</v>
      </c>
      <c r="E1729" s="0" t="s">
        <v>2045</v>
      </c>
      <c r="F1729" s="0" t="s">
        <v>2046</v>
      </c>
      <c r="G1729" s="0" t="s">
        <v>2129</v>
      </c>
      <c r="H1729" s="0" t="s">
        <v>2130</v>
      </c>
      <c r="I1729" s="0" t="s">
        <v>2322</v>
      </c>
      <c r="J1729" s="0" t="s">
        <v>2323</v>
      </c>
      <c r="K1729" s="272" t="n">
        <v>-98991.9441420692</v>
      </c>
    </row>
    <row r="1730" customFormat="false" ht="15" hidden="false" customHeight="false" outlineLevel="0" collapsed="false">
      <c r="A1730" s="0" t="s">
        <v>2041</v>
      </c>
      <c r="B1730" s="0" t="s">
        <v>2042</v>
      </c>
      <c r="C1730" s="0" t="s">
        <v>2333</v>
      </c>
      <c r="D1730" s="0" t="s">
        <v>2105</v>
      </c>
      <c r="E1730" s="0" t="s">
        <v>2045</v>
      </c>
      <c r="F1730" s="0" t="s">
        <v>2046</v>
      </c>
      <c r="G1730" s="0" t="s">
        <v>2129</v>
      </c>
      <c r="H1730" s="0" t="s">
        <v>2130</v>
      </c>
      <c r="I1730" s="0" t="s">
        <v>2124</v>
      </c>
      <c r="J1730" s="0" t="s">
        <v>2323</v>
      </c>
      <c r="K1730" s="272" t="n">
        <v>-60346.7143381394</v>
      </c>
    </row>
    <row r="1731" customFormat="false" ht="15" hidden="false" customHeight="false" outlineLevel="0" collapsed="false">
      <c r="A1731" s="0" t="s">
        <v>2041</v>
      </c>
      <c r="B1731" s="0" t="s">
        <v>2042</v>
      </c>
      <c r="C1731" s="0" t="s">
        <v>2333</v>
      </c>
      <c r="D1731" s="0" t="s">
        <v>2105</v>
      </c>
      <c r="E1731" s="0" t="s">
        <v>2045</v>
      </c>
      <c r="F1731" s="0" t="s">
        <v>2046</v>
      </c>
      <c r="G1731" s="0" t="s">
        <v>2131</v>
      </c>
      <c r="H1731" s="0" t="s">
        <v>2132</v>
      </c>
      <c r="I1731" s="0" t="s">
        <v>2322</v>
      </c>
      <c r="J1731" s="0" t="s">
        <v>2323</v>
      </c>
      <c r="K1731" s="272" t="n">
        <v>-218715.537339038</v>
      </c>
    </row>
    <row r="1732" customFormat="false" ht="15" hidden="false" customHeight="false" outlineLevel="0" collapsed="false">
      <c r="A1732" s="0" t="s">
        <v>2041</v>
      </c>
      <c r="B1732" s="0" t="s">
        <v>2042</v>
      </c>
      <c r="C1732" s="0" t="s">
        <v>2333</v>
      </c>
      <c r="D1732" s="0" t="s">
        <v>2105</v>
      </c>
      <c r="E1732" s="0" t="s">
        <v>2045</v>
      </c>
      <c r="F1732" s="0" t="s">
        <v>2046</v>
      </c>
      <c r="G1732" s="0" t="s">
        <v>2131</v>
      </c>
      <c r="H1732" s="0" t="s">
        <v>2132</v>
      </c>
      <c r="I1732" s="0" t="s">
        <v>2124</v>
      </c>
      <c r="J1732" s="0" t="s">
        <v>2323</v>
      </c>
      <c r="K1732" s="272" t="n">
        <v>-22150.9795725626</v>
      </c>
    </row>
    <row r="1733" customFormat="false" ht="15" hidden="false" customHeight="false" outlineLevel="0" collapsed="false">
      <c r="A1733" s="0" t="s">
        <v>2041</v>
      </c>
      <c r="B1733" s="0" t="s">
        <v>2042</v>
      </c>
      <c r="C1733" s="0" t="s">
        <v>2333</v>
      </c>
      <c r="D1733" s="0" t="s">
        <v>2105</v>
      </c>
      <c r="E1733" s="0" t="s">
        <v>2045</v>
      </c>
      <c r="F1733" s="0" t="s">
        <v>2046</v>
      </c>
      <c r="G1733" s="0" t="s">
        <v>2131</v>
      </c>
      <c r="H1733" s="0" t="s">
        <v>2126</v>
      </c>
      <c r="I1733" s="0" t="s">
        <v>2322</v>
      </c>
      <c r="J1733" s="0" t="s">
        <v>2323</v>
      </c>
      <c r="K1733" s="272" t="n">
        <v>46002.6569539204</v>
      </c>
    </row>
    <row r="1734" customFormat="false" ht="15" hidden="false" customHeight="false" outlineLevel="0" collapsed="false">
      <c r="A1734" s="0" t="s">
        <v>2041</v>
      </c>
      <c r="B1734" s="0" t="s">
        <v>2042</v>
      </c>
      <c r="C1734" s="0" t="s">
        <v>2333</v>
      </c>
      <c r="D1734" s="0" t="s">
        <v>2105</v>
      </c>
      <c r="E1734" s="0" t="s">
        <v>2045</v>
      </c>
      <c r="F1734" s="0" t="s">
        <v>2046</v>
      </c>
      <c r="G1734" s="0" t="s">
        <v>2133</v>
      </c>
      <c r="H1734" s="0" t="s">
        <v>2134</v>
      </c>
      <c r="I1734" s="0" t="s">
        <v>2322</v>
      </c>
      <c r="J1734" s="0" t="s">
        <v>2323</v>
      </c>
      <c r="K1734" s="272" t="n">
        <v>-1260.18142581778</v>
      </c>
    </row>
    <row r="1735" customFormat="false" ht="15" hidden="false" customHeight="false" outlineLevel="0" collapsed="false">
      <c r="A1735" s="0" t="s">
        <v>2041</v>
      </c>
      <c r="B1735" s="0" t="s">
        <v>2042</v>
      </c>
      <c r="C1735" s="0" t="s">
        <v>2333</v>
      </c>
      <c r="D1735" s="0" t="s">
        <v>2105</v>
      </c>
      <c r="E1735" s="0" t="s">
        <v>2045</v>
      </c>
      <c r="F1735" s="0" t="s">
        <v>2046</v>
      </c>
      <c r="G1735" s="0" t="s">
        <v>2135</v>
      </c>
      <c r="H1735" s="0" t="s">
        <v>2136</v>
      </c>
      <c r="I1735" s="0" t="s">
        <v>2322</v>
      </c>
      <c r="J1735" s="0" t="s">
        <v>2323</v>
      </c>
      <c r="K1735" s="272" t="n">
        <v>-498358.266122351</v>
      </c>
    </row>
    <row r="1736" customFormat="false" ht="15" hidden="false" customHeight="false" outlineLevel="0" collapsed="false">
      <c r="A1736" s="0" t="s">
        <v>2041</v>
      </c>
      <c r="B1736" s="0" t="s">
        <v>2042</v>
      </c>
      <c r="C1736" s="0" t="s">
        <v>2333</v>
      </c>
      <c r="D1736" s="0" t="s">
        <v>2105</v>
      </c>
      <c r="E1736" s="0" t="s">
        <v>2045</v>
      </c>
      <c r="F1736" s="0" t="s">
        <v>2046</v>
      </c>
      <c r="G1736" s="0" t="s">
        <v>2135</v>
      </c>
      <c r="H1736" s="0" t="s">
        <v>2136</v>
      </c>
      <c r="I1736" s="0" t="s">
        <v>2124</v>
      </c>
      <c r="J1736" s="0" t="s">
        <v>2323</v>
      </c>
      <c r="K1736" s="272" t="n">
        <v>-83488.8782797351</v>
      </c>
    </row>
    <row r="1737" customFormat="false" ht="15" hidden="false" customHeight="false" outlineLevel="0" collapsed="false">
      <c r="A1737" s="0" t="s">
        <v>2041</v>
      </c>
      <c r="B1737" s="0" t="s">
        <v>2042</v>
      </c>
      <c r="C1737" s="0" t="s">
        <v>2333</v>
      </c>
      <c r="D1737" s="0" t="s">
        <v>2105</v>
      </c>
      <c r="E1737" s="0" t="s">
        <v>2045</v>
      </c>
      <c r="F1737" s="0" t="s">
        <v>2046</v>
      </c>
      <c r="G1737" s="0" t="s">
        <v>2137</v>
      </c>
      <c r="H1737" s="0" t="s">
        <v>2138</v>
      </c>
      <c r="I1737" s="0" t="s">
        <v>2322</v>
      </c>
      <c r="J1737" s="0" t="s">
        <v>2323</v>
      </c>
      <c r="K1737" s="272" t="n">
        <v>435407.570514273</v>
      </c>
    </row>
    <row r="1738" customFormat="false" ht="15" hidden="false" customHeight="false" outlineLevel="0" collapsed="false">
      <c r="A1738" s="0" t="s">
        <v>2041</v>
      </c>
      <c r="B1738" s="0" t="s">
        <v>2042</v>
      </c>
      <c r="C1738" s="0" t="s">
        <v>2333</v>
      </c>
      <c r="D1738" s="0" t="s">
        <v>2105</v>
      </c>
      <c r="E1738" s="0" t="s">
        <v>2045</v>
      </c>
      <c r="F1738" s="0" t="s">
        <v>2046</v>
      </c>
      <c r="G1738" s="0" t="s">
        <v>2139</v>
      </c>
      <c r="H1738" s="0" t="s">
        <v>2136</v>
      </c>
      <c r="I1738" s="0" t="s">
        <v>2322</v>
      </c>
      <c r="J1738" s="0" t="s">
        <v>2323</v>
      </c>
      <c r="K1738" s="272" t="n">
        <v>4066.34694970422</v>
      </c>
    </row>
    <row r="1739" customFormat="false" ht="15" hidden="false" customHeight="false" outlineLevel="0" collapsed="false">
      <c r="A1739" s="0" t="s">
        <v>2041</v>
      </c>
      <c r="B1739" s="0" t="s">
        <v>2042</v>
      </c>
      <c r="C1739" s="0" t="s">
        <v>2333</v>
      </c>
      <c r="D1739" s="0" t="s">
        <v>2105</v>
      </c>
      <c r="E1739" s="0" t="s">
        <v>2045</v>
      </c>
      <c r="F1739" s="0" t="s">
        <v>2046</v>
      </c>
      <c r="G1739" s="0" t="s">
        <v>2139</v>
      </c>
      <c r="H1739" s="0" t="s">
        <v>2140</v>
      </c>
      <c r="I1739" s="0" t="s">
        <v>2322</v>
      </c>
      <c r="J1739" s="0" t="s">
        <v>2323</v>
      </c>
      <c r="K1739" s="272" t="n">
        <v>4374.97793315182</v>
      </c>
    </row>
    <row r="1740" customFormat="false" ht="15" hidden="false" customHeight="false" outlineLevel="0" collapsed="false">
      <c r="A1740" s="0" t="s">
        <v>2041</v>
      </c>
      <c r="B1740" s="0" t="s">
        <v>2042</v>
      </c>
      <c r="C1740" s="0" t="s">
        <v>2333</v>
      </c>
      <c r="D1740" s="0" t="s">
        <v>2105</v>
      </c>
      <c r="E1740" s="0" t="s">
        <v>2045</v>
      </c>
      <c r="F1740" s="0" t="s">
        <v>2046</v>
      </c>
      <c r="G1740" s="0" t="s">
        <v>2141</v>
      </c>
      <c r="H1740" s="0" t="s">
        <v>2144</v>
      </c>
      <c r="I1740" s="0" t="s">
        <v>2322</v>
      </c>
      <c r="J1740" s="0" t="s">
        <v>2323</v>
      </c>
      <c r="K1740" s="272" t="n">
        <v>-35230.6531364425</v>
      </c>
    </row>
    <row r="1741" customFormat="false" ht="15" hidden="false" customHeight="false" outlineLevel="0" collapsed="false">
      <c r="A1741" s="0" t="s">
        <v>2041</v>
      </c>
      <c r="B1741" s="0" t="s">
        <v>2042</v>
      </c>
      <c r="C1741" s="0" t="s">
        <v>2333</v>
      </c>
      <c r="D1741" s="0" t="s">
        <v>2105</v>
      </c>
      <c r="E1741" s="0" t="s">
        <v>2045</v>
      </c>
      <c r="F1741" s="0" t="s">
        <v>2046</v>
      </c>
      <c r="G1741" s="0" t="s">
        <v>2141</v>
      </c>
      <c r="H1741" s="0" t="s">
        <v>2142</v>
      </c>
      <c r="I1741" s="0" t="s">
        <v>2322</v>
      </c>
      <c r="J1741" s="0" t="s">
        <v>2323</v>
      </c>
      <c r="K1741" s="272" t="n">
        <v>-606593.35757355</v>
      </c>
    </row>
    <row r="1742" customFormat="false" ht="15" hidden="false" customHeight="false" outlineLevel="0" collapsed="false">
      <c r="A1742" s="0" t="s">
        <v>2041</v>
      </c>
      <c r="B1742" s="0" t="s">
        <v>2042</v>
      </c>
      <c r="C1742" s="0" t="s">
        <v>2333</v>
      </c>
      <c r="D1742" s="0" t="s">
        <v>2105</v>
      </c>
      <c r="E1742" s="0" t="s">
        <v>2045</v>
      </c>
      <c r="F1742" s="0" t="s">
        <v>2046</v>
      </c>
      <c r="G1742" s="0" t="s">
        <v>2143</v>
      </c>
      <c r="H1742" s="0" t="s">
        <v>2144</v>
      </c>
      <c r="I1742" s="0" t="s">
        <v>2322</v>
      </c>
      <c r="J1742" s="0" t="s">
        <v>2323</v>
      </c>
      <c r="K1742" s="272" t="n">
        <v>-394214.914025626</v>
      </c>
    </row>
    <row r="1743" customFormat="false" ht="15" hidden="false" customHeight="false" outlineLevel="0" collapsed="false">
      <c r="A1743" s="0" t="s">
        <v>2041</v>
      </c>
      <c r="B1743" s="0" t="s">
        <v>2042</v>
      </c>
      <c r="C1743" s="0" t="s">
        <v>2333</v>
      </c>
      <c r="D1743" s="0" t="s">
        <v>2105</v>
      </c>
      <c r="E1743" s="0" t="s">
        <v>2045</v>
      </c>
      <c r="F1743" s="0" t="s">
        <v>2046</v>
      </c>
      <c r="G1743" s="0" t="s">
        <v>2143</v>
      </c>
      <c r="H1743" s="0" t="s">
        <v>2142</v>
      </c>
      <c r="I1743" s="0" t="s">
        <v>2322</v>
      </c>
      <c r="J1743" s="0" t="s">
        <v>2323</v>
      </c>
      <c r="K1743" s="272" t="n">
        <v>88046.514193466</v>
      </c>
    </row>
    <row r="1744" customFormat="false" ht="15" hidden="false" customHeight="false" outlineLevel="0" collapsed="false">
      <c r="A1744" s="0" t="s">
        <v>2041</v>
      </c>
      <c r="B1744" s="0" t="s">
        <v>2042</v>
      </c>
      <c r="C1744" s="0" t="s">
        <v>2333</v>
      </c>
      <c r="D1744" s="0" t="s">
        <v>2105</v>
      </c>
      <c r="E1744" s="0" t="s">
        <v>2045</v>
      </c>
      <c r="F1744" s="0" t="s">
        <v>2046</v>
      </c>
      <c r="G1744" s="0" t="s">
        <v>2145</v>
      </c>
      <c r="H1744" s="0" t="s">
        <v>2146</v>
      </c>
      <c r="I1744" s="0" t="s">
        <v>2322</v>
      </c>
      <c r="J1744" s="0" t="s">
        <v>2323</v>
      </c>
      <c r="K1744" s="272" t="n">
        <v>-6550.9859625455</v>
      </c>
    </row>
    <row r="1745" customFormat="false" ht="15" hidden="false" customHeight="false" outlineLevel="0" collapsed="false">
      <c r="A1745" s="0" t="s">
        <v>2041</v>
      </c>
      <c r="B1745" s="0" t="s">
        <v>2042</v>
      </c>
      <c r="C1745" s="0" t="s">
        <v>2333</v>
      </c>
      <c r="D1745" s="0" t="s">
        <v>2105</v>
      </c>
      <c r="E1745" s="0" t="s">
        <v>2045</v>
      </c>
      <c r="F1745" s="0" t="s">
        <v>2046</v>
      </c>
      <c r="G1745" s="0" t="s">
        <v>2145</v>
      </c>
      <c r="H1745" s="0" t="s">
        <v>2146</v>
      </c>
      <c r="I1745" s="0" t="s">
        <v>2124</v>
      </c>
      <c r="J1745" s="0" t="s">
        <v>2323</v>
      </c>
      <c r="K1745" s="272" t="n">
        <v>-40616.9053477827</v>
      </c>
    </row>
    <row r="1746" customFormat="false" ht="15" hidden="false" customHeight="false" outlineLevel="0" collapsed="false">
      <c r="A1746" s="0" t="s">
        <v>2041</v>
      </c>
      <c r="B1746" s="0" t="s">
        <v>2042</v>
      </c>
      <c r="C1746" s="0" t="s">
        <v>2333</v>
      </c>
      <c r="D1746" s="0" t="s">
        <v>2105</v>
      </c>
      <c r="E1746" s="0" t="s">
        <v>2045</v>
      </c>
      <c r="F1746" s="0" t="s">
        <v>2046</v>
      </c>
      <c r="G1746" s="0" t="s">
        <v>2147</v>
      </c>
      <c r="H1746" s="0" t="s">
        <v>2126</v>
      </c>
      <c r="I1746" s="0" t="s">
        <v>2322</v>
      </c>
      <c r="J1746" s="0" t="s">
        <v>2323</v>
      </c>
      <c r="K1746" s="272" t="n">
        <v>-1371013.85712541</v>
      </c>
    </row>
    <row r="1747" customFormat="false" ht="15" hidden="false" customHeight="false" outlineLevel="0" collapsed="false">
      <c r="A1747" s="0" t="s">
        <v>2041</v>
      </c>
      <c r="B1747" s="0" t="s">
        <v>2042</v>
      </c>
      <c r="C1747" s="0" t="s">
        <v>2333</v>
      </c>
      <c r="D1747" s="0" t="s">
        <v>2105</v>
      </c>
      <c r="E1747" s="0" t="s">
        <v>2045</v>
      </c>
      <c r="F1747" s="0" t="s">
        <v>2046</v>
      </c>
      <c r="G1747" s="0" t="s">
        <v>2147</v>
      </c>
      <c r="H1747" s="0" t="s">
        <v>2126</v>
      </c>
      <c r="I1747" s="0" t="s">
        <v>2124</v>
      </c>
      <c r="J1747" s="0" t="s">
        <v>2323</v>
      </c>
      <c r="K1747" s="272" t="n">
        <v>-35275.0201022246</v>
      </c>
    </row>
    <row r="1748" customFormat="false" ht="15" hidden="false" customHeight="false" outlineLevel="0" collapsed="false">
      <c r="A1748" s="0" t="s">
        <v>2041</v>
      </c>
      <c r="B1748" s="0" t="s">
        <v>2042</v>
      </c>
      <c r="C1748" s="0" t="s">
        <v>2333</v>
      </c>
      <c r="D1748" s="0" t="s">
        <v>2105</v>
      </c>
      <c r="E1748" s="0" t="s">
        <v>2045</v>
      </c>
      <c r="F1748" s="0" t="s">
        <v>2046</v>
      </c>
      <c r="G1748" s="0" t="s">
        <v>2148</v>
      </c>
      <c r="H1748" s="0" t="s">
        <v>2149</v>
      </c>
      <c r="I1748" s="0" t="s">
        <v>2322</v>
      </c>
      <c r="J1748" s="0" t="s">
        <v>2323</v>
      </c>
      <c r="K1748" s="272" t="n">
        <v>81824.0417673346</v>
      </c>
    </row>
    <row r="1749" customFormat="false" ht="15" hidden="false" customHeight="false" outlineLevel="0" collapsed="false">
      <c r="A1749" s="0" t="s">
        <v>2041</v>
      </c>
      <c r="B1749" s="0" t="s">
        <v>2042</v>
      </c>
      <c r="C1749" s="0" t="s">
        <v>2333</v>
      </c>
      <c r="D1749" s="0" t="s">
        <v>2105</v>
      </c>
      <c r="E1749" s="0" t="s">
        <v>2045</v>
      </c>
      <c r="F1749" s="0" t="s">
        <v>2215</v>
      </c>
      <c r="G1749" s="0" t="s">
        <v>2216</v>
      </c>
      <c r="H1749" s="0" t="s">
        <v>2217</v>
      </c>
      <c r="I1749" s="0" t="s">
        <v>2322</v>
      </c>
      <c r="J1749" s="0" t="s">
        <v>2323</v>
      </c>
      <c r="K1749" s="272" t="n">
        <v>-4069683.90057694</v>
      </c>
    </row>
    <row r="1750" customFormat="false" ht="15" hidden="false" customHeight="false" outlineLevel="0" collapsed="false">
      <c r="A1750" s="0" t="s">
        <v>2041</v>
      </c>
      <c r="B1750" s="0" t="s">
        <v>2042</v>
      </c>
      <c r="C1750" s="0" t="s">
        <v>2333</v>
      </c>
      <c r="D1750" s="0" t="s">
        <v>2105</v>
      </c>
      <c r="E1750" s="0" t="s">
        <v>2045</v>
      </c>
      <c r="F1750" s="0" t="s">
        <v>2215</v>
      </c>
      <c r="G1750" s="0" t="s">
        <v>2216</v>
      </c>
      <c r="H1750" s="0" t="s">
        <v>2217</v>
      </c>
      <c r="I1750" s="0" t="s">
        <v>2124</v>
      </c>
      <c r="J1750" s="0" t="s">
        <v>2323</v>
      </c>
      <c r="K1750" s="272" t="n">
        <v>-400364.664359398</v>
      </c>
    </row>
    <row r="1751" customFormat="false" ht="15" hidden="false" customHeight="false" outlineLevel="0" collapsed="false">
      <c r="A1751" s="0" t="s">
        <v>2041</v>
      </c>
      <c r="B1751" s="0" t="s">
        <v>2042</v>
      </c>
      <c r="C1751" s="0" t="s">
        <v>2333</v>
      </c>
      <c r="D1751" s="0" t="s">
        <v>2105</v>
      </c>
      <c r="E1751" s="0" t="s">
        <v>2045</v>
      </c>
      <c r="F1751" s="0" t="s">
        <v>2215</v>
      </c>
      <c r="G1751" s="0" t="s">
        <v>2218</v>
      </c>
      <c r="H1751" s="0" t="s">
        <v>2183</v>
      </c>
      <c r="I1751" s="0" t="s">
        <v>2322</v>
      </c>
      <c r="J1751" s="0" t="s">
        <v>2323</v>
      </c>
      <c r="K1751" s="272" t="n">
        <v>-782824.843978486</v>
      </c>
    </row>
    <row r="1752" customFormat="false" ht="15" hidden="false" customHeight="false" outlineLevel="0" collapsed="false">
      <c r="A1752" s="0" t="s">
        <v>2041</v>
      </c>
      <c r="B1752" s="0" t="s">
        <v>2042</v>
      </c>
      <c r="C1752" s="0" t="s">
        <v>2333</v>
      </c>
      <c r="D1752" s="0" t="s">
        <v>2105</v>
      </c>
      <c r="E1752" s="0" t="s">
        <v>2045</v>
      </c>
      <c r="F1752" s="0" t="s">
        <v>2215</v>
      </c>
      <c r="G1752" s="0" t="s">
        <v>2218</v>
      </c>
      <c r="H1752" s="0" t="s">
        <v>2183</v>
      </c>
      <c r="I1752" s="0" t="s">
        <v>2124</v>
      </c>
      <c r="J1752" s="0" t="s">
        <v>2323</v>
      </c>
      <c r="K1752" s="272" t="n">
        <v>-41934.0226126556</v>
      </c>
    </row>
    <row r="1753" customFormat="false" ht="15" hidden="false" customHeight="false" outlineLevel="0" collapsed="false">
      <c r="A1753" s="0" t="s">
        <v>2041</v>
      </c>
      <c r="B1753" s="0" t="s">
        <v>2042</v>
      </c>
      <c r="C1753" s="0" t="s">
        <v>2333</v>
      </c>
      <c r="D1753" s="0" t="s">
        <v>2105</v>
      </c>
      <c r="E1753" s="0" t="s">
        <v>2045</v>
      </c>
      <c r="F1753" s="0" t="s">
        <v>2215</v>
      </c>
      <c r="G1753" s="0" t="s">
        <v>2218</v>
      </c>
      <c r="H1753" s="0" t="s">
        <v>2185</v>
      </c>
      <c r="I1753" s="0" t="s">
        <v>2322</v>
      </c>
      <c r="J1753" s="0" t="s">
        <v>2323</v>
      </c>
      <c r="K1753" s="272" t="n">
        <v>-676490.556130349</v>
      </c>
    </row>
    <row r="1754" customFormat="false" ht="15" hidden="false" customHeight="false" outlineLevel="0" collapsed="false">
      <c r="A1754" s="0" t="s">
        <v>2041</v>
      </c>
      <c r="B1754" s="0" t="s">
        <v>2042</v>
      </c>
      <c r="C1754" s="0" t="s">
        <v>2333</v>
      </c>
      <c r="D1754" s="0" t="s">
        <v>2105</v>
      </c>
      <c r="E1754" s="0" t="s">
        <v>2045</v>
      </c>
      <c r="F1754" s="0" t="s">
        <v>2215</v>
      </c>
      <c r="G1754" s="0" t="s">
        <v>2218</v>
      </c>
      <c r="H1754" s="0" t="s">
        <v>2185</v>
      </c>
      <c r="I1754" s="0" t="s">
        <v>2167</v>
      </c>
      <c r="J1754" s="0" t="s">
        <v>2323</v>
      </c>
      <c r="K1754" s="272" t="n">
        <v>-407048.598645214</v>
      </c>
    </row>
    <row r="1755" customFormat="false" ht="15" hidden="false" customHeight="false" outlineLevel="0" collapsed="false">
      <c r="A1755" s="0" t="s">
        <v>2041</v>
      </c>
      <c r="B1755" s="0" t="s">
        <v>2042</v>
      </c>
      <c r="C1755" s="0" t="s">
        <v>2333</v>
      </c>
      <c r="D1755" s="0" t="s">
        <v>2105</v>
      </c>
      <c r="E1755" s="0" t="s">
        <v>2045</v>
      </c>
      <c r="F1755" s="0" t="s">
        <v>2215</v>
      </c>
      <c r="G1755" s="0" t="s">
        <v>2218</v>
      </c>
      <c r="H1755" s="0" t="s">
        <v>2186</v>
      </c>
      <c r="I1755" s="0" t="s">
        <v>2322</v>
      </c>
      <c r="J1755" s="0" t="s">
        <v>2323</v>
      </c>
      <c r="K1755" s="272" t="n">
        <v>-10366.6651414631</v>
      </c>
    </row>
    <row r="1756" customFormat="false" ht="15" hidden="false" customHeight="false" outlineLevel="0" collapsed="false">
      <c r="A1756" s="0" t="s">
        <v>2041</v>
      </c>
      <c r="B1756" s="0" t="s">
        <v>2042</v>
      </c>
      <c r="C1756" s="0" t="s">
        <v>2333</v>
      </c>
      <c r="D1756" s="0" t="s">
        <v>2105</v>
      </c>
      <c r="E1756" s="0" t="s">
        <v>2045</v>
      </c>
      <c r="F1756" s="0" t="s">
        <v>2215</v>
      </c>
      <c r="G1756" s="0" t="s">
        <v>2218</v>
      </c>
      <c r="H1756" s="0" t="s">
        <v>2179</v>
      </c>
      <c r="I1756" s="0" t="s">
        <v>2322</v>
      </c>
      <c r="J1756" s="0" t="s">
        <v>2323</v>
      </c>
      <c r="K1756" s="272" t="n">
        <v>117846.648153139</v>
      </c>
    </row>
    <row r="1757" customFormat="false" ht="15" hidden="false" customHeight="false" outlineLevel="0" collapsed="false">
      <c r="A1757" s="0" t="s">
        <v>2041</v>
      </c>
      <c r="B1757" s="0" t="s">
        <v>2042</v>
      </c>
      <c r="C1757" s="0" t="s">
        <v>2333</v>
      </c>
      <c r="D1757" s="0" t="s">
        <v>2105</v>
      </c>
      <c r="E1757" s="0" t="s">
        <v>2045</v>
      </c>
      <c r="F1757" s="0" t="s">
        <v>2215</v>
      </c>
      <c r="G1757" s="0" t="s">
        <v>2218</v>
      </c>
      <c r="H1757" s="0" t="s">
        <v>2217</v>
      </c>
      <c r="I1757" s="0" t="s">
        <v>2322</v>
      </c>
      <c r="J1757" s="0" t="s">
        <v>2323</v>
      </c>
      <c r="K1757" s="272" t="n">
        <v>11735.4174837355</v>
      </c>
    </row>
    <row r="1758" customFormat="false" ht="15" hidden="false" customHeight="false" outlineLevel="0" collapsed="false">
      <c r="A1758" s="0" t="s">
        <v>2041</v>
      </c>
      <c r="B1758" s="0" t="s">
        <v>2042</v>
      </c>
      <c r="C1758" s="0" t="s">
        <v>2333</v>
      </c>
      <c r="D1758" s="0" t="s">
        <v>2105</v>
      </c>
      <c r="E1758" s="0" t="s">
        <v>2045</v>
      </c>
      <c r="F1758" s="0" t="s">
        <v>2215</v>
      </c>
      <c r="G1758" s="0" t="s">
        <v>2218</v>
      </c>
      <c r="H1758" s="0" t="s">
        <v>2219</v>
      </c>
      <c r="I1758" s="0" t="s">
        <v>2322</v>
      </c>
      <c r="J1758" s="0" t="s">
        <v>2323</v>
      </c>
      <c r="K1758" s="272" t="n">
        <v>-1524154.55164546</v>
      </c>
    </row>
    <row r="1759" customFormat="false" ht="15" hidden="false" customHeight="false" outlineLevel="0" collapsed="false">
      <c r="A1759" s="0" t="s">
        <v>2041</v>
      </c>
      <c r="B1759" s="0" t="s">
        <v>2042</v>
      </c>
      <c r="C1759" s="0" t="s">
        <v>2333</v>
      </c>
      <c r="D1759" s="0" t="s">
        <v>2105</v>
      </c>
      <c r="E1759" s="0" t="s">
        <v>2045</v>
      </c>
      <c r="F1759" s="0" t="s">
        <v>2215</v>
      </c>
      <c r="G1759" s="0" t="s">
        <v>2218</v>
      </c>
      <c r="H1759" s="0" t="s">
        <v>2220</v>
      </c>
      <c r="I1759" s="0" t="s">
        <v>2322</v>
      </c>
      <c r="J1759" s="0" t="s">
        <v>2323</v>
      </c>
      <c r="K1759" s="272" t="n">
        <v>-1221260.54587399</v>
      </c>
    </row>
    <row r="1760" customFormat="false" ht="15" hidden="false" customHeight="false" outlineLevel="0" collapsed="false">
      <c r="A1760" s="0" t="s">
        <v>2041</v>
      </c>
      <c r="B1760" s="0" t="s">
        <v>2042</v>
      </c>
      <c r="C1760" s="0" t="s">
        <v>2333</v>
      </c>
      <c r="D1760" s="0" t="s">
        <v>2105</v>
      </c>
      <c r="E1760" s="0" t="s">
        <v>2045</v>
      </c>
      <c r="F1760" s="0" t="s">
        <v>2215</v>
      </c>
      <c r="G1760" s="0" t="s">
        <v>2218</v>
      </c>
      <c r="H1760" s="0" t="s">
        <v>2220</v>
      </c>
      <c r="I1760" s="0" t="s">
        <v>2124</v>
      </c>
      <c r="J1760" s="0" t="s">
        <v>2323</v>
      </c>
      <c r="K1760" s="272" t="n">
        <v>-317884.580767787</v>
      </c>
    </row>
    <row r="1761" customFormat="false" ht="15" hidden="false" customHeight="false" outlineLevel="0" collapsed="false">
      <c r="A1761" s="0" t="s">
        <v>2041</v>
      </c>
      <c r="B1761" s="0" t="s">
        <v>2042</v>
      </c>
      <c r="C1761" s="0" t="s">
        <v>2333</v>
      </c>
      <c r="D1761" s="0" t="s">
        <v>2105</v>
      </c>
      <c r="E1761" s="0" t="s">
        <v>2045</v>
      </c>
      <c r="F1761" s="0" t="s">
        <v>2215</v>
      </c>
      <c r="G1761" s="0" t="s">
        <v>2218</v>
      </c>
      <c r="H1761" s="0" t="s">
        <v>2221</v>
      </c>
      <c r="I1761" s="0" t="s">
        <v>2322</v>
      </c>
      <c r="J1761" s="0" t="s">
        <v>2323</v>
      </c>
      <c r="K1761" s="272" t="n">
        <v>-1043774.059652</v>
      </c>
    </row>
    <row r="1762" customFormat="false" ht="15" hidden="false" customHeight="false" outlineLevel="0" collapsed="false">
      <c r="A1762" s="0" t="s">
        <v>2041</v>
      </c>
      <c r="B1762" s="0" t="s">
        <v>2042</v>
      </c>
      <c r="C1762" s="0" t="s">
        <v>2333</v>
      </c>
      <c r="D1762" s="0" t="s">
        <v>2105</v>
      </c>
      <c r="E1762" s="0" t="s">
        <v>2045</v>
      </c>
      <c r="F1762" s="0" t="s">
        <v>2215</v>
      </c>
      <c r="G1762" s="0" t="s">
        <v>2218</v>
      </c>
      <c r="H1762" s="0" t="s">
        <v>2221</v>
      </c>
      <c r="I1762" s="0" t="s">
        <v>2124</v>
      </c>
      <c r="J1762" s="0" t="s">
        <v>2323</v>
      </c>
      <c r="K1762" s="272" t="n">
        <v>-1117.12997732818</v>
      </c>
    </row>
    <row r="1763" customFormat="false" ht="15" hidden="false" customHeight="false" outlineLevel="0" collapsed="false">
      <c r="A1763" s="0" t="s">
        <v>2041</v>
      </c>
      <c r="B1763" s="0" t="s">
        <v>2042</v>
      </c>
      <c r="C1763" s="0" t="s">
        <v>2333</v>
      </c>
      <c r="D1763" s="0" t="s">
        <v>2105</v>
      </c>
      <c r="E1763" s="0" t="s">
        <v>2045</v>
      </c>
      <c r="F1763" s="0" t="s">
        <v>2215</v>
      </c>
      <c r="G1763" s="0" t="s">
        <v>2218</v>
      </c>
      <c r="H1763" s="0" t="s">
        <v>2222</v>
      </c>
      <c r="I1763" s="0" t="s">
        <v>2124</v>
      </c>
      <c r="J1763" s="0" t="s">
        <v>2323</v>
      </c>
      <c r="K1763" s="272" t="n">
        <v>-89823.7895425617</v>
      </c>
    </row>
    <row r="1764" customFormat="false" ht="15" hidden="false" customHeight="false" outlineLevel="0" collapsed="false">
      <c r="A1764" s="0" t="s">
        <v>2041</v>
      </c>
      <c r="B1764" s="0" t="s">
        <v>2042</v>
      </c>
      <c r="C1764" s="0" t="s">
        <v>2333</v>
      </c>
      <c r="D1764" s="0" t="s">
        <v>2105</v>
      </c>
      <c r="E1764" s="0" t="s">
        <v>2045</v>
      </c>
      <c r="F1764" s="0" t="s">
        <v>2215</v>
      </c>
      <c r="G1764" s="0" t="s">
        <v>2223</v>
      </c>
      <c r="H1764" s="0" t="s">
        <v>2189</v>
      </c>
      <c r="I1764" s="0" t="s">
        <v>2322</v>
      </c>
      <c r="J1764" s="0" t="s">
        <v>2323</v>
      </c>
      <c r="K1764" s="272" t="n">
        <v>-13945.0941165799</v>
      </c>
    </row>
    <row r="1765" customFormat="false" ht="15" hidden="false" customHeight="false" outlineLevel="0" collapsed="false">
      <c r="A1765" s="0" t="s">
        <v>2041</v>
      </c>
      <c r="B1765" s="0" t="s">
        <v>2042</v>
      </c>
      <c r="C1765" s="0" t="s">
        <v>2333</v>
      </c>
      <c r="D1765" s="0" t="s">
        <v>2105</v>
      </c>
      <c r="E1765" s="0" t="s">
        <v>2045</v>
      </c>
      <c r="F1765" s="0" t="s">
        <v>2215</v>
      </c>
      <c r="G1765" s="0" t="s">
        <v>2223</v>
      </c>
      <c r="H1765" s="0" t="s">
        <v>2222</v>
      </c>
      <c r="I1765" s="0" t="s">
        <v>2322</v>
      </c>
      <c r="J1765" s="0" t="s">
        <v>2323</v>
      </c>
      <c r="K1765" s="272" t="n">
        <v>-412192.173142911</v>
      </c>
    </row>
    <row r="1766" customFormat="false" ht="15" hidden="false" customHeight="false" outlineLevel="0" collapsed="false">
      <c r="A1766" s="0" t="s">
        <v>2041</v>
      </c>
      <c r="B1766" s="0" t="s">
        <v>2042</v>
      </c>
      <c r="C1766" s="0" t="s">
        <v>2333</v>
      </c>
      <c r="D1766" s="0" t="s">
        <v>2105</v>
      </c>
      <c r="E1766" s="0" t="s">
        <v>2045</v>
      </c>
      <c r="F1766" s="0" t="s">
        <v>2215</v>
      </c>
      <c r="G1766" s="0" t="s">
        <v>2223</v>
      </c>
      <c r="H1766" s="0" t="s">
        <v>2224</v>
      </c>
      <c r="I1766" s="0" t="s">
        <v>2322</v>
      </c>
      <c r="J1766" s="0" t="s">
        <v>2323</v>
      </c>
      <c r="K1766" s="272" t="n">
        <v>-261239.815839023</v>
      </c>
    </row>
    <row r="1767" customFormat="false" ht="15" hidden="false" customHeight="false" outlineLevel="0" collapsed="false">
      <c r="A1767" s="0" t="s">
        <v>2041</v>
      </c>
      <c r="B1767" s="0" t="s">
        <v>2042</v>
      </c>
      <c r="C1767" s="0" t="s">
        <v>2333</v>
      </c>
      <c r="D1767" s="0" t="s">
        <v>2105</v>
      </c>
      <c r="E1767" s="0" t="s">
        <v>2045</v>
      </c>
      <c r="F1767" s="0" t="s">
        <v>2215</v>
      </c>
      <c r="G1767" s="0" t="s">
        <v>2223</v>
      </c>
      <c r="H1767" s="0" t="s">
        <v>2224</v>
      </c>
      <c r="I1767" s="0" t="s">
        <v>2124</v>
      </c>
      <c r="J1767" s="0" t="s">
        <v>2323</v>
      </c>
      <c r="K1767" s="272" t="n">
        <v>2844.37959810625</v>
      </c>
    </row>
    <row r="1768" customFormat="false" ht="15" hidden="false" customHeight="false" outlineLevel="0" collapsed="false">
      <c r="A1768" s="0" t="s">
        <v>2041</v>
      </c>
      <c r="B1768" s="0" t="s">
        <v>2042</v>
      </c>
      <c r="C1768" s="0" t="s">
        <v>2333</v>
      </c>
      <c r="D1768" s="0" t="s">
        <v>2105</v>
      </c>
      <c r="E1768" s="0" t="s">
        <v>2045</v>
      </c>
      <c r="F1768" s="0" t="s">
        <v>2225</v>
      </c>
      <c r="G1768" s="0" t="s">
        <v>2226</v>
      </c>
      <c r="H1768" s="0" t="s">
        <v>2227</v>
      </c>
      <c r="I1768" s="0" t="s">
        <v>2322</v>
      </c>
      <c r="J1768" s="0" t="s">
        <v>2323</v>
      </c>
      <c r="K1768" s="272" t="n">
        <v>-422668.737470661</v>
      </c>
    </row>
    <row r="1769" customFormat="false" ht="15" hidden="false" customHeight="false" outlineLevel="0" collapsed="false">
      <c r="A1769" s="0" t="s">
        <v>2041</v>
      </c>
      <c r="B1769" s="0" t="s">
        <v>2042</v>
      </c>
      <c r="C1769" s="0" t="s">
        <v>2333</v>
      </c>
      <c r="D1769" s="0" t="s">
        <v>2105</v>
      </c>
      <c r="E1769" s="0" t="s">
        <v>2045</v>
      </c>
      <c r="F1769" s="0" t="s">
        <v>2225</v>
      </c>
      <c r="G1769" s="0" t="s">
        <v>2228</v>
      </c>
      <c r="H1769" s="0" t="s">
        <v>2227</v>
      </c>
      <c r="I1769" s="0" t="s">
        <v>2322</v>
      </c>
      <c r="J1769" s="0" t="s">
        <v>2323</v>
      </c>
      <c r="K1769" s="272" t="n">
        <v>-8605799.79755076</v>
      </c>
    </row>
    <row r="1770" customFormat="false" ht="15" hidden="false" customHeight="false" outlineLevel="0" collapsed="false">
      <c r="A1770" s="0" t="s">
        <v>2041</v>
      </c>
      <c r="B1770" s="0" t="s">
        <v>2042</v>
      </c>
      <c r="C1770" s="0" t="s">
        <v>2333</v>
      </c>
      <c r="D1770" s="0" t="s">
        <v>2105</v>
      </c>
      <c r="E1770" s="0" t="s">
        <v>2045</v>
      </c>
      <c r="F1770" s="0" t="s">
        <v>2225</v>
      </c>
      <c r="G1770" s="0" t="s">
        <v>2228</v>
      </c>
      <c r="H1770" s="0" t="s">
        <v>2227</v>
      </c>
      <c r="I1770" s="0" t="s">
        <v>2124</v>
      </c>
      <c r="J1770" s="0" t="s">
        <v>2323</v>
      </c>
      <c r="K1770" s="272" t="n">
        <v>-5429.76432175183</v>
      </c>
    </row>
    <row r="1771" customFormat="false" ht="15" hidden="false" customHeight="false" outlineLevel="0" collapsed="false">
      <c r="A1771" s="0" t="s">
        <v>2041</v>
      </c>
      <c r="B1771" s="0" t="s">
        <v>2042</v>
      </c>
      <c r="C1771" s="0" t="s">
        <v>2333</v>
      </c>
      <c r="D1771" s="0" t="s">
        <v>2105</v>
      </c>
      <c r="E1771" s="0" t="s">
        <v>2045</v>
      </c>
      <c r="F1771" s="0" t="s">
        <v>2225</v>
      </c>
      <c r="G1771" s="0" t="s">
        <v>2229</v>
      </c>
      <c r="H1771" s="0" t="s">
        <v>2227</v>
      </c>
      <c r="I1771" s="0" t="s">
        <v>2322</v>
      </c>
      <c r="J1771" s="0" t="s">
        <v>2323</v>
      </c>
      <c r="K1771" s="272" t="n">
        <v>-2680337.94333281</v>
      </c>
    </row>
    <row r="1772" customFormat="false" ht="15" hidden="false" customHeight="false" outlineLevel="0" collapsed="false">
      <c r="A1772" s="0" t="s">
        <v>2041</v>
      </c>
      <c r="B1772" s="0" t="s">
        <v>2042</v>
      </c>
      <c r="C1772" s="0" t="s">
        <v>2333</v>
      </c>
      <c r="D1772" s="0" t="s">
        <v>2105</v>
      </c>
      <c r="E1772" s="0" t="s">
        <v>2045</v>
      </c>
      <c r="F1772" s="0" t="s">
        <v>2225</v>
      </c>
      <c r="G1772" s="0" t="s">
        <v>2230</v>
      </c>
      <c r="H1772" s="0" t="s">
        <v>2227</v>
      </c>
      <c r="I1772" s="0" t="s">
        <v>2322</v>
      </c>
      <c r="J1772" s="0" t="s">
        <v>2323</v>
      </c>
      <c r="K1772" s="272" t="n">
        <v>-2067821.23212661</v>
      </c>
    </row>
    <row r="1773" customFormat="false" ht="15" hidden="false" customHeight="false" outlineLevel="0" collapsed="false">
      <c r="A1773" s="0" t="s">
        <v>2041</v>
      </c>
      <c r="B1773" s="0" t="s">
        <v>2042</v>
      </c>
      <c r="C1773" s="0" t="s">
        <v>2333</v>
      </c>
      <c r="D1773" s="0" t="s">
        <v>2105</v>
      </c>
      <c r="E1773" s="0" t="s">
        <v>2045</v>
      </c>
      <c r="F1773" s="0" t="s">
        <v>2225</v>
      </c>
      <c r="G1773" s="0" t="s">
        <v>2231</v>
      </c>
      <c r="H1773" s="0" t="s">
        <v>2227</v>
      </c>
      <c r="I1773" s="0" t="s">
        <v>2322</v>
      </c>
      <c r="J1773" s="0" t="s">
        <v>2323</v>
      </c>
      <c r="K1773" s="272" t="n">
        <v>-820649.067986826</v>
      </c>
    </row>
    <row r="1774" customFormat="false" ht="15" hidden="false" customHeight="false" outlineLevel="0" collapsed="false">
      <c r="A1774" s="0" t="s">
        <v>2041</v>
      </c>
      <c r="B1774" s="0" t="s">
        <v>2042</v>
      </c>
      <c r="C1774" s="0" t="s">
        <v>2333</v>
      </c>
      <c r="D1774" s="0" t="s">
        <v>2105</v>
      </c>
      <c r="E1774" s="0" t="s">
        <v>2045</v>
      </c>
      <c r="F1774" s="0" t="s">
        <v>2225</v>
      </c>
      <c r="G1774" s="0" t="s">
        <v>2231</v>
      </c>
      <c r="H1774" s="0" t="s">
        <v>2227</v>
      </c>
      <c r="I1774" s="0" t="s">
        <v>2124</v>
      </c>
      <c r="J1774" s="0" t="s">
        <v>2323</v>
      </c>
      <c r="K1774" s="272" t="n">
        <v>-427353.480974929</v>
      </c>
    </row>
    <row r="1775" customFormat="false" ht="15" hidden="false" customHeight="false" outlineLevel="0" collapsed="false">
      <c r="A1775" s="0" t="s">
        <v>2041</v>
      </c>
      <c r="B1775" s="0" t="s">
        <v>2042</v>
      </c>
      <c r="C1775" s="0" t="s">
        <v>2333</v>
      </c>
      <c r="D1775" s="0" t="s">
        <v>2105</v>
      </c>
      <c r="E1775" s="0" t="s">
        <v>2045</v>
      </c>
      <c r="F1775" s="0" t="s">
        <v>2099</v>
      </c>
      <c r="G1775" s="0" t="s">
        <v>2232</v>
      </c>
      <c r="H1775" s="0" t="s">
        <v>2100</v>
      </c>
      <c r="I1775" s="0" t="s">
        <v>2322</v>
      </c>
      <c r="J1775" s="0" t="s">
        <v>2323</v>
      </c>
      <c r="K1775" s="272" t="n">
        <v>-7121.76553113994</v>
      </c>
    </row>
    <row r="1776" customFormat="false" ht="15" hidden="false" customHeight="false" outlineLevel="0" collapsed="false">
      <c r="A1776" s="0" t="s">
        <v>2041</v>
      </c>
      <c r="B1776" s="0" t="s">
        <v>2042</v>
      </c>
      <c r="C1776" s="0" t="s">
        <v>2333</v>
      </c>
      <c r="D1776" s="0" t="s">
        <v>2105</v>
      </c>
      <c r="E1776" s="0" t="s">
        <v>2045</v>
      </c>
      <c r="F1776" s="0" t="s">
        <v>2099</v>
      </c>
      <c r="G1776" s="0" t="s">
        <v>2232</v>
      </c>
      <c r="H1776" s="0" t="s">
        <v>2233</v>
      </c>
      <c r="I1776" s="0" t="s">
        <v>2322</v>
      </c>
      <c r="J1776" s="0" t="s">
        <v>2323</v>
      </c>
      <c r="K1776" s="272" t="n">
        <v>-2866.136614672</v>
      </c>
    </row>
    <row r="1777" customFormat="false" ht="15" hidden="false" customHeight="false" outlineLevel="0" collapsed="false">
      <c r="A1777" s="0" t="s">
        <v>2041</v>
      </c>
      <c r="B1777" s="0" t="s">
        <v>2042</v>
      </c>
      <c r="C1777" s="0" t="s">
        <v>2333</v>
      </c>
      <c r="D1777" s="0" t="s">
        <v>2105</v>
      </c>
      <c r="E1777" s="0" t="s">
        <v>2045</v>
      </c>
      <c r="F1777" s="0" t="s">
        <v>2099</v>
      </c>
      <c r="G1777" s="0" t="s">
        <v>2232</v>
      </c>
      <c r="H1777" s="0" t="s">
        <v>2234</v>
      </c>
      <c r="I1777" s="0" t="s">
        <v>2322</v>
      </c>
      <c r="J1777" s="0" t="s">
        <v>2323</v>
      </c>
      <c r="K1777" s="272" t="n">
        <v>-430782.276899573</v>
      </c>
    </row>
    <row r="1778" customFormat="false" ht="15" hidden="false" customHeight="false" outlineLevel="0" collapsed="false">
      <c r="A1778" s="0" t="s">
        <v>2041</v>
      </c>
      <c r="B1778" s="0" t="s">
        <v>2042</v>
      </c>
      <c r="C1778" s="0" t="s">
        <v>2333</v>
      </c>
      <c r="D1778" s="0" t="s">
        <v>2105</v>
      </c>
      <c r="E1778" s="0" t="s">
        <v>2045</v>
      </c>
      <c r="F1778" s="0" t="s">
        <v>2099</v>
      </c>
      <c r="G1778" s="0" t="s">
        <v>2232</v>
      </c>
      <c r="H1778" s="0" t="s">
        <v>2235</v>
      </c>
      <c r="I1778" s="0" t="s">
        <v>2322</v>
      </c>
      <c r="J1778" s="0" t="s">
        <v>2323</v>
      </c>
      <c r="K1778" s="272" t="n">
        <v>54530.60311947</v>
      </c>
    </row>
    <row r="1779" customFormat="false" ht="15" hidden="false" customHeight="false" outlineLevel="0" collapsed="false">
      <c r="A1779" s="0" t="s">
        <v>2041</v>
      </c>
      <c r="B1779" s="0" t="s">
        <v>2042</v>
      </c>
      <c r="C1779" s="0" t="s">
        <v>2333</v>
      </c>
      <c r="D1779" s="0" t="s">
        <v>2105</v>
      </c>
      <c r="E1779" s="0" t="s">
        <v>2045</v>
      </c>
      <c r="F1779" s="0" t="s">
        <v>2099</v>
      </c>
      <c r="G1779" s="0" t="s">
        <v>2236</v>
      </c>
      <c r="H1779" s="0" t="s">
        <v>2233</v>
      </c>
      <c r="I1779" s="0" t="s">
        <v>2322</v>
      </c>
      <c r="J1779" s="0" t="s">
        <v>2323</v>
      </c>
      <c r="K1779" s="272" t="n">
        <v>-731313.502516637</v>
      </c>
    </row>
    <row r="1780" customFormat="false" ht="15" hidden="false" customHeight="false" outlineLevel="0" collapsed="false">
      <c r="A1780" s="0" t="s">
        <v>2041</v>
      </c>
      <c r="B1780" s="0" t="s">
        <v>2042</v>
      </c>
      <c r="C1780" s="0" t="s">
        <v>2333</v>
      </c>
      <c r="D1780" s="0" t="s">
        <v>2105</v>
      </c>
      <c r="E1780" s="0" t="s">
        <v>2045</v>
      </c>
      <c r="F1780" s="0" t="s">
        <v>2099</v>
      </c>
      <c r="G1780" s="0" t="s">
        <v>2236</v>
      </c>
      <c r="H1780" s="0" t="s">
        <v>2233</v>
      </c>
      <c r="I1780" s="0" t="s">
        <v>2124</v>
      </c>
      <c r="J1780" s="0" t="s">
        <v>2323</v>
      </c>
      <c r="K1780" s="272" t="n">
        <v>-126695.285415639</v>
      </c>
    </row>
    <row r="1781" customFormat="false" ht="15" hidden="false" customHeight="false" outlineLevel="0" collapsed="false">
      <c r="A1781" s="0" t="s">
        <v>2041</v>
      </c>
      <c r="B1781" s="0" t="s">
        <v>2042</v>
      </c>
      <c r="C1781" s="0" t="s">
        <v>2333</v>
      </c>
      <c r="D1781" s="0" t="s">
        <v>2105</v>
      </c>
      <c r="E1781" s="0" t="s">
        <v>2045</v>
      </c>
      <c r="F1781" s="0" t="s">
        <v>2099</v>
      </c>
      <c r="G1781" s="0" t="s">
        <v>2236</v>
      </c>
      <c r="H1781" s="0" t="s">
        <v>2237</v>
      </c>
      <c r="I1781" s="0" t="s">
        <v>2322</v>
      </c>
      <c r="J1781" s="0" t="s">
        <v>2323</v>
      </c>
      <c r="K1781" s="272" t="n">
        <v>-9171.63759594307</v>
      </c>
    </row>
    <row r="1782" customFormat="false" ht="15" hidden="false" customHeight="false" outlineLevel="0" collapsed="false">
      <c r="A1782" s="0" t="s">
        <v>2041</v>
      </c>
      <c r="B1782" s="0" t="s">
        <v>2042</v>
      </c>
      <c r="C1782" s="0" t="s">
        <v>2333</v>
      </c>
      <c r="D1782" s="0" t="s">
        <v>2105</v>
      </c>
      <c r="E1782" s="0" t="s">
        <v>2045</v>
      </c>
      <c r="F1782" s="0" t="s">
        <v>2099</v>
      </c>
      <c r="G1782" s="0" t="s">
        <v>2238</v>
      </c>
      <c r="H1782" s="0" t="s">
        <v>2239</v>
      </c>
      <c r="I1782" s="0" t="s">
        <v>2322</v>
      </c>
      <c r="J1782" s="0" t="s">
        <v>2323</v>
      </c>
      <c r="K1782" s="272" t="n">
        <v>-3871797.35527585</v>
      </c>
    </row>
    <row r="1783" customFormat="false" ht="15" hidden="false" customHeight="false" outlineLevel="0" collapsed="false">
      <c r="A1783" s="0" t="s">
        <v>2041</v>
      </c>
      <c r="B1783" s="0" t="s">
        <v>2042</v>
      </c>
      <c r="C1783" s="0" t="s">
        <v>2333</v>
      </c>
      <c r="D1783" s="0" t="s">
        <v>2105</v>
      </c>
      <c r="E1783" s="0" t="s">
        <v>2045</v>
      </c>
      <c r="F1783" s="0" t="s">
        <v>2099</v>
      </c>
      <c r="G1783" s="0" t="s">
        <v>2238</v>
      </c>
      <c r="H1783" s="0" t="s">
        <v>2239</v>
      </c>
      <c r="I1783" s="0" t="s">
        <v>2124</v>
      </c>
      <c r="J1783" s="0" t="s">
        <v>2323</v>
      </c>
      <c r="K1783" s="272" t="n">
        <v>-290733.770421977</v>
      </c>
    </row>
    <row r="1784" customFormat="false" ht="15" hidden="false" customHeight="false" outlineLevel="0" collapsed="false">
      <c r="A1784" s="0" t="s">
        <v>2041</v>
      </c>
      <c r="B1784" s="0" t="s">
        <v>2042</v>
      </c>
      <c r="C1784" s="0" t="s">
        <v>2333</v>
      </c>
      <c r="D1784" s="0" t="s">
        <v>2105</v>
      </c>
      <c r="E1784" s="0" t="s">
        <v>2045</v>
      </c>
      <c r="F1784" s="0" t="s">
        <v>2099</v>
      </c>
      <c r="G1784" s="0" t="s">
        <v>2238</v>
      </c>
      <c r="H1784" s="0" t="s">
        <v>2239</v>
      </c>
      <c r="I1784" s="0" t="s">
        <v>2197</v>
      </c>
      <c r="J1784" s="0" t="s">
        <v>2323</v>
      </c>
      <c r="K1784" s="272" t="n">
        <v>-8047.53334296111</v>
      </c>
    </row>
    <row r="1785" customFormat="false" ht="15" hidden="false" customHeight="false" outlineLevel="0" collapsed="false">
      <c r="A1785" s="0" t="s">
        <v>2041</v>
      </c>
      <c r="B1785" s="0" t="s">
        <v>2042</v>
      </c>
      <c r="C1785" s="0" t="s">
        <v>2333</v>
      </c>
      <c r="D1785" s="0" t="s">
        <v>2105</v>
      </c>
      <c r="E1785" s="0" t="s">
        <v>2045</v>
      </c>
      <c r="F1785" s="0" t="s">
        <v>2099</v>
      </c>
      <c r="G1785" s="0" t="s">
        <v>2238</v>
      </c>
      <c r="H1785" s="0" t="s">
        <v>2239</v>
      </c>
      <c r="I1785" s="0" t="s">
        <v>2201</v>
      </c>
      <c r="J1785" s="0" t="s">
        <v>2323</v>
      </c>
      <c r="K1785" s="272" t="n">
        <v>-35221.4067051754</v>
      </c>
    </row>
    <row r="1786" customFormat="false" ht="15" hidden="false" customHeight="false" outlineLevel="0" collapsed="false">
      <c r="A1786" s="0" t="s">
        <v>2041</v>
      </c>
      <c r="B1786" s="0" t="s">
        <v>2042</v>
      </c>
      <c r="C1786" s="0" t="s">
        <v>2333</v>
      </c>
      <c r="D1786" s="0" t="s">
        <v>2105</v>
      </c>
      <c r="E1786" s="0" t="s">
        <v>2045</v>
      </c>
      <c r="F1786" s="0" t="s">
        <v>2099</v>
      </c>
      <c r="G1786" s="0" t="s">
        <v>2240</v>
      </c>
      <c r="H1786" s="0" t="s">
        <v>2100</v>
      </c>
      <c r="I1786" s="0" t="s">
        <v>2322</v>
      </c>
      <c r="J1786" s="0" t="s">
        <v>2323</v>
      </c>
      <c r="K1786" s="272" t="n">
        <v>-1849182.82313566</v>
      </c>
    </row>
    <row r="1787" customFormat="false" ht="15" hidden="false" customHeight="false" outlineLevel="0" collapsed="false">
      <c r="A1787" s="0" t="s">
        <v>2041</v>
      </c>
      <c r="B1787" s="0" t="s">
        <v>2042</v>
      </c>
      <c r="C1787" s="0" t="s">
        <v>2333</v>
      </c>
      <c r="D1787" s="0" t="s">
        <v>2105</v>
      </c>
      <c r="E1787" s="0" t="s">
        <v>2045</v>
      </c>
      <c r="F1787" s="0" t="s">
        <v>2099</v>
      </c>
      <c r="G1787" s="0" t="s">
        <v>2240</v>
      </c>
      <c r="H1787" s="0" t="s">
        <v>2100</v>
      </c>
      <c r="I1787" s="0" t="s">
        <v>2124</v>
      </c>
      <c r="J1787" s="0" t="s">
        <v>2323</v>
      </c>
      <c r="K1787" s="272" t="n">
        <v>-33443.7576822895</v>
      </c>
    </row>
    <row r="1788" customFormat="false" ht="15" hidden="false" customHeight="false" outlineLevel="0" collapsed="false">
      <c r="A1788" s="0" t="s">
        <v>2041</v>
      </c>
      <c r="B1788" s="0" t="s">
        <v>2042</v>
      </c>
      <c r="C1788" s="0" t="s">
        <v>2333</v>
      </c>
      <c r="D1788" s="0" t="s">
        <v>2105</v>
      </c>
      <c r="E1788" s="0" t="s">
        <v>2045</v>
      </c>
      <c r="F1788" s="0" t="s">
        <v>2099</v>
      </c>
      <c r="G1788" s="0" t="s">
        <v>2240</v>
      </c>
      <c r="H1788" s="0" t="s">
        <v>2100</v>
      </c>
      <c r="I1788" s="0" t="s">
        <v>2101</v>
      </c>
      <c r="J1788" s="0" t="s">
        <v>2323</v>
      </c>
      <c r="K1788" s="272" t="n">
        <v>-13096.6736023961</v>
      </c>
    </row>
    <row r="1789" customFormat="false" ht="15" hidden="false" customHeight="false" outlineLevel="0" collapsed="false">
      <c r="A1789" s="0" t="s">
        <v>2041</v>
      </c>
      <c r="B1789" s="0" t="s">
        <v>2042</v>
      </c>
      <c r="C1789" s="0" t="s">
        <v>2333</v>
      </c>
      <c r="D1789" s="0" t="s">
        <v>2105</v>
      </c>
      <c r="E1789" s="0" t="s">
        <v>2045</v>
      </c>
      <c r="F1789" s="0" t="s">
        <v>2099</v>
      </c>
      <c r="G1789" s="0" t="s">
        <v>2240</v>
      </c>
      <c r="H1789" s="0" t="s">
        <v>2235</v>
      </c>
      <c r="I1789" s="0" t="s">
        <v>2322</v>
      </c>
      <c r="J1789" s="0" t="s">
        <v>2323</v>
      </c>
      <c r="K1789" s="272" t="n">
        <v>9252.61425193721</v>
      </c>
    </row>
    <row r="1790" customFormat="false" ht="15" hidden="false" customHeight="false" outlineLevel="0" collapsed="false">
      <c r="A1790" s="0" t="s">
        <v>2041</v>
      </c>
      <c r="B1790" s="0" t="s">
        <v>2042</v>
      </c>
      <c r="C1790" s="0" t="s">
        <v>2333</v>
      </c>
      <c r="D1790" s="0" t="s">
        <v>2105</v>
      </c>
      <c r="E1790" s="0" t="s">
        <v>2045</v>
      </c>
      <c r="F1790" s="0" t="s">
        <v>2099</v>
      </c>
      <c r="G1790" s="0" t="s">
        <v>2241</v>
      </c>
      <c r="H1790" s="0" t="s">
        <v>2242</v>
      </c>
      <c r="I1790" s="0" t="s">
        <v>2322</v>
      </c>
      <c r="J1790" s="0" t="s">
        <v>2323</v>
      </c>
      <c r="K1790" s="272" t="n">
        <v>-397725.069319783</v>
      </c>
    </row>
    <row r="1791" customFormat="false" ht="15" hidden="false" customHeight="false" outlineLevel="0" collapsed="false">
      <c r="A1791" s="0" t="s">
        <v>2041</v>
      </c>
      <c r="B1791" s="0" t="s">
        <v>2042</v>
      </c>
      <c r="C1791" s="0" t="s">
        <v>2333</v>
      </c>
      <c r="D1791" s="0" t="s">
        <v>2105</v>
      </c>
      <c r="E1791" s="0" t="s">
        <v>2045</v>
      </c>
      <c r="F1791" s="0" t="s">
        <v>2099</v>
      </c>
      <c r="G1791" s="0" t="s">
        <v>2243</v>
      </c>
      <c r="H1791" s="0" t="s">
        <v>2244</v>
      </c>
      <c r="I1791" s="0" t="s">
        <v>2322</v>
      </c>
      <c r="J1791" s="0" t="s">
        <v>2323</v>
      </c>
      <c r="K1791" s="272" t="n">
        <v>-617154.39447239</v>
      </c>
    </row>
    <row r="1792" customFormat="false" ht="15" hidden="false" customHeight="false" outlineLevel="0" collapsed="false">
      <c r="A1792" s="0" t="s">
        <v>2041</v>
      </c>
      <c r="B1792" s="0" t="s">
        <v>2042</v>
      </c>
      <c r="C1792" s="0" t="s">
        <v>2333</v>
      </c>
      <c r="D1792" s="0" t="s">
        <v>2105</v>
      </c>
      <c r="E1792" s="0" t="s">
        <v>2045</v>
      </c>
      <c r="F1792" s="0" t="s">
        <v>2099</v>
      </c>
      <c r="G1792" s="0" t="s">
        <v>2243</v>
      </c>
      <c r="H1792" s="0" t="s">
        <v>2244</v>
      </c>
      <c r="I1792" s="0" t="s">
        <v>2124</v>
      </c>
      <c r="J1792" s="0" t="s">
        <v>2323</v>
      </c>
      <c r="K1792" s="272" t="n">
        <v>-179861.936625712</v>
      </c>
    </row>
    <row r="1793" customFormat="false" ht="15" hidden="false" customHeight="false" outlineLevel="0" collapsed="false">
      <c r="A1793" s="0" t="s">
        <v>2041</v>
      </c>
      <c r="B1793" s="0" t="s">
        <v>2042</v>
      </c>
      <c r="C1793" s="0" t="s">
        <v>2333</v>
      </c>
      <c r="D1793" s="0" t="s">
        <v>2105</v>
      </c>
      <c r="E1793" s="0" t="s">
        <v>2045</v>
      </c>
      <c r="F1793" s="0" t="s">
        <v>2099</v>
      </c>
      <c r="G1793" s="0" t="s">
        <v>2243</v>
      </c>
      <c r="H1793" s="0" t="s">
        <v>2244</v>
      </c>
      <c r="I1793" s="0" t="s">
        <v>2197</v>
      </c>
      <c r="J1793" s="0" t="s">
        <v>2323</v>
      </c>
      <c r="K1793" s="272" t="n">
        <v>-680892.47774548</v>
      </c>
    </row>
    <row r="1794" customFormat="false" ht="15" hidden="false" customHeight="false" outlineLevel="0" collapsed="false">
      <c r="A1794" s="0" t="s">
        <v>2041</v>
      </c>
      <c r="B1794" s="0" t="s">
        <v>2042</v>
      </c>
      <c r="C1794" s="0" t="s">
        <v>2333</v>
      </c>
      <c r="D1794" s="0" t="s">
        <v>2105</v>
      </c>
      <c r="E1794" s="0" t="s">
        <v>2045</v>
      </c>
      <c r="F1794" s="0" t="s">
        <v>2099</v>
      </c>
      <c r="G1794" s="0" t="s">
        <v>2243</v>
      </c>
      <c r="H1794" s="0" t="s">
        <v>2244</v>
      </c>
      <c r="I1794" s="0" t="s">
        <v>2201</v>
      </c>
      <c r="J1794" s="0" t="s">
        <v>2323</v>
      </c>
      <c r="K1794" s="272" t="n">
        <v>-2346.68198089727</v>
      </c>
    </row>
    <row r="1795" customFormat="false" ht="15" hidden="false" customHeight="false" outlineLevel="0" collapsed="false">
      <c r="A1795" s="0" t="s">
        <v>2041</v>
      </c>
      <c r="B1795" s="0" t="s">
        <v>2042</v>
      </c>
      <c r="C1795" s="0" t="s">
        <v>2333</v>
      </c>
      <c r="D1795" s="0" t="s">
        <v>2105</v>
      </c>
      <c r="E1795" s="0" t="s">
        <v>2045</v>
      </c>
      <c r="F1795" s="0" t="s">
        <v>2099</v>
      </c>
      <c r="G1795" s="0" t="s">
        <v>2243</v>
      </c>
      <c r="H1795" s="0" t="s">
        <v>2244</v>
      </c>
      <c r="I1795" s="0" t="s">
        <v>2329</v>
      </c>
      <c r="J1795" s="0" t="s">
        <v>2323</v>
      </c>
      <c r="K1795" s="272" t="n">
        <v>-258652.879893082</v>
      </c>
    </row>
    <row r="1796" customFormat="false" ht="15" hidden="false" customHeight="false" outlineLevel="0" collapsed="false">
      <c r="A1796" s="0" t="s">
        <v>2041</v>
      </c>
      <c r="B1796" s="0" t="s">
        <v>2042</v>
      </c>
      <c r="C1796" s="0" t="s">
        <v>2333</v>
      </c>
      <c r="D1796" s="0" t="s">
        <v>2105</v>
      </c>
      <c r="E1796" s="0" t="s">
        <v>2045</v>
      </c>
      <c r="F1796" s="0" t="s">
        <v>2099</v>
      </c>
      <c r="G1796" s="0" t="s">
        <v>2243</v>
      </c>
      <c r="H1796" s="0" t="s">
        <v>2245</v>
      </c>
      <c r="I1796" s="0" t="s">
        <v>2322</v>
      </c>
      <c r="J1796" s="0" t="s">
        <v>2323</v>
      </c>
      <c r="K1796" s="272" t="n">
        <v>-16634.189570272</v>
      </c>
    </row>
    <row r="1797" customFormat="false" ht="15" hidden="false" customHeight="false" outlineLevel="0" collapsed="false">
      <c r="A1797" s="0" t="s">
        <v>2041</v>
      </c>
      <c r="B1797" s="0" t="s">
        <v>2042</v>
      </c>
      <c r="C1797" s="0" t="s">
        <v>2333</v>
      </c>
      <c r="D1797" s="0" t="s">
        <v>2105</v>
      </c>
      <c r="E1797" s="0" t="s">
        <v>2045</v>
      </c>
      <c r="F1797" s="0" t="s">
        <v>2099</v>
      </c>
      <c r="G1797" s="0" t="s">
        <v>2243</v>
      </c>
      <c r="H1797" s="0" t="s">
        <v>2245</v>
      </c>
      <c r="I1797" s="0" t="s">
        <v>2246</v>
      </c>
      <c r="J1797" s="0" t="s">
        <v>2323</v>
      </c>
      <c r="K1797" s="272" t="n">
        <v>-308076.63113545</v>
      </c>
    </row>
    <row r="1798" customFormat="false" ht="15" hidden="false" customHeight="false" outlineLevel="0" collapsed="false">
      <c r="A1798" s="0" t="s">
        <v>2041</v>
      </c>
      <c r="B1798" s="0" t="s">
        <v>2042</v>
      </c>
      <c r="C1798" s="0" t="s">
        <v>2333</v>
      </c>
      <c r="D1798" s="0" t="s">
        <v>2105</v>
      </c>
      <c r="E1798" s="0" t="s">
        <v>2045</v>
      </c>
      <c r="F1798" s="0" t="s">
        <v>2099</v>
      </c>
      <c r="G1798" s="0" t="s">
        <v>2243</v>
      </c>
      <c r="H1798" s="0" t="s">
        <v>2247</v>
      </c>
      <c r="I1798" s="0" t="s">
        <v>2322</v>
      </c>
      <c r="J1798" s="0" t="s">
        <v>2323</v>
      </c>
      <c r="K1798" s="272" t="n">
        <v>-197853.605017764</v>
      </c>
    </row>
    <row r="1799" customFormat="false" ht="15" hidden="false" customHeight="false" outlineLevel="0" collapsed="false">
      <c r="A1799" s="0" t="s">
        <v>2041</v>
      </c>
      <c r="B1799" s="0" t="s">
        <v>2042</v>
      </c>
      <c r="C1799" s="0" t="s">
        <v>2333</v>
      </c>
      <c r="D1799" s="0" t="s">
        <v>2105</v>
      </c>
      <c r="E1799" s="0" t="s">
        <v>2045</v>
      </c>
      <c r="F1799" s="0" t="s">
        <v>2099</v>
      </c>
      <c r="G1799" s="0" t="s">
        <v>2243</v>
      </c>
      <c r="H1799" s="0" t="s">
        <v>2247</v>
      </c>
      <c r="I1799" s="0" t="s">
        <v>2124</v>
      </c>
      <c r="J1799" s="0" t="s">
        <v>2323</v>
      </c>
      <c r="K1799" s="272" t="n">
        <v>23691.7126657623</v>
      </c>
    </row>
    <row r="1800" customFormat="false" ht="15" hidden="false" customHeight="false" outlineLevel="0" collapsed="false">
      <c r="A1800" s="0" t="s">
        <v>2041</v>
      </c>
      <c r="B1800" s="0" t="s">
        <v>2042</v>
      </c>
      <c r="C1800" s="0" t="s">
        <v>2333</v>
      </c>
      <c r="D1800" s="0" t="s">
        <v>2105</v>
      </c>
      <c r="E1800" s="0" t="s">
        <v>2045</v>
      </c>
      <c r="F1800" s="0" t="s">
        <v>2099</v>
      </c>
      <c r="G1800" s="0" t="s">
        <v>2243</v>
      </c>
      <c r="H1800" s="0" t="s">
        <v>2247</v>
      </c>
      <c r="I1800" s="0" t="s">
        <v>2197</v>
      </c>
      <c r="J1800" s="0" t="s">
        <v>2323</v>
      </c>
      <c r="K1800" s="272" t="n">
        <v>231312.145770985</v>
      </c>
    </row>
    <row r="1801" customFormat="false" ht="15" hidden="false" customHeight="false" outlineLevel="0" collapsed="false">
      <c r="A1801" s="0" t="s">
        <v>2041</v>
      </c>
      <c r="B1801" s="0" t="s">
        <v>2042</v>
      </c>
      <c r="C1801" s="0" t="s">
        <v>2333</v>
      </c>
      <c r="D1801" s="0" t="s">
        <v>2105</v>
      </c>
      <c r="E1801" s="0" t="s">
        <v>2045</v>
      </c>
      <c r="F1801" s="0" t="s">
        <v>2099</v>
      </c>
      <c r="G1801" s="0" t="s">
        <v>2243</v>
      </c>
      <c r="H1801" s="0" t="s">
        <v>2247</v>
      </c>
      <c r="I1801" s="0" t="s">
        <v>2201</v>
      </c>
      <c r="J1801" s="0" t="s">
        <v>2323</v>
      </c>
      <c r="K1801" s="272" t="n">
        <v>-1378822.09331797</v>
      </c>
    </row>
    <row r="1802" customFormat="false" ht="15" hidden="false" customHeight="false" outlineLevel="0" collapsed="false">
      <c r="A1802" s="0" t="s">
        <v>2041</v>
      </c>
      <c r="B1802" s="0" t="s">
        <v>2042</v>
      </c>
      <c r="C1802" s="0" t="s">
        <v>2333</v>
      </c>
      <c r="D1802" s="0" t="s">
        <v>2105</v>
      </c>
      <c r="E1802" s="0" t="s">
        <v>2045</v>
      </c>
      <c r="F1802" s="0" t="s">
        <v>2099</v>
      </c>
      <c r="G1802" s="0" t="s">
        <v>2248</v>
      </c>
      <c r="H1802" s="0" t="s">
        <v>2244</v>
      </c>
      <c r="I1802" s="0" t="s">
        <v>2246</v>
      </c>
      <c r="J1802" s="0" t="s">
        <v>2323</v>
      </c>
      <c r="K1802" s="272" t="n">
        <v>4161.10448587066</v>
      </c>
    </row>
    <row r="1803" customFormat="false" ht="15" hidden="false" customHeight="false" outlineLevel="0" collapsed="false">
      <c r="A1803" s="0" t="s">
        <v>2041</v>
      </c>
      <c r="B1803" s="0" t="s">
        <v>2042</v>
      </c>
      <c r="C1803" s="0" t="s">
        <v>2333</v>
      </c>
      <c r="D1803" s="0" t="s">
        <v>2105</v>
      </c>
      <c r="E1803" s="0" t="s">
        <v>2045</v>
      </c>
      <c r="F1803" s="0" t="s">
        <v>2099</v>
      </c>
      <c r="G1803" s="0" t="s">
        <v>2248</v>
      </c>
      <c r="H1803" s="0" t="s">
        <v>2245</v>
      </c>
      <c r="I1803" s="0" t="s">
        <v>2246</v>
      </c>
      <c r="J1803" s="0" t="s">
        <v>2323</v>
      </c>
      <c r="K1803" s="272" t="n">
        <v>-7258.34175234273</v>
      </c>
    </row>
    <row r="1804" customFormat="false" ht="15" hidden="false" customHeight="false" outlineLevel="0" collapsed="false">
      <c r="A1804" s="0" t="s">
        <v>2041</v>
      </c>
      <c r="B1804" s="0" t="s">
        <v>2042</v>
      </c>
      <c r="C1804" s="0" t="s">
        <v>2333</v>
      </c>
      <c r="D1804" s="0" t="s">
        <v>2105</v>
      </c>
      <c r="E1804" s="0" t="s">
        <v>2045</v>
      </c>
      <c r="F1804" s="0" t="s">
        <v>2099</v>
      </c>
      <c r="G1804" s="0" t="s">
        <v>2249</v>
      </c>
      <c r="H1804" s="0" t="s">
        <v>2245</v>
      </c>
      <c r="I1804" s="0" t="s">
        <v>2246</v>
      </c>
      <c r="J1804" s="0" t="s">
        <v>2323</v>
      </c>
      <c r="K1804" s="272" t="n">
        <v>-7897.48466547177</v>
      </c>
    </row>
    <row r="1805" customFormat="false" ht="15" hidden="false" customHeight="false" outlineLevel="0" collapsed="false">
      <c r="A1805" s="0" t="s">
        <v>2041</v>
      </c>
      <c r="B1805" s="0" t="s">
        <v>2042</v>
      </c>
      <c r="C1805" s="0" t="s">
        <v>2333</v>
      </c>
      <c r="D1805" s="0" t="s">
        <v>2105</v>
      </c>
      <c r="E1805" s="0" t="s">
        <v>2045</v>
      </c>
      <c r="F1805" s="0" t="s">
        <v>2250</v>
      </c>
      <c r="G1805" s="0" t="s">
        <v>2251</v>
      </c>
      <c r="H1805" s="0" t="s">
        <v>2252</v>
      </c>
      <c r="I1805" s="0" t="s">
        <v>2322</v>
      </c>
      <c r="J1805" s="0" t="s">
        <v>2323</v>
      </c>
      <c r="K1805" s="272" t="n">
        <v>-635257.561445615</v>
      </c>
    </row>
    <row r="1806" customFormat="false" ht="15" hidden="false" customHeight="false" outlineLevel="0" collapsed="false">
      <c r="A1806" s="0" t="s">
        <v>2041</v>
      </c>
      <c r="B1806" s="0" t="s">
        <v>2042</v>
      </c>
      <c r="C1806" s="0" t="s">
        <v>2333</v>
      </c>
      <c r="D1806" s="0" t="s">
        <v>2105</v>
      </c>
      <c r="E1806" s="0" t="s">
        <v>2045</v>
      </c>
      <c r="F1806" s="0" t="s">
        <v>2250</v>
      </c>
      <c r="G1806" s="0" t="s">
        <v>2251</v>
      </c>
      <c r="H1806" s="0" t="s">
        <v>2253</v>
      </c>
      <c r="I1806" s="0" t="s">
        <v>2322</v>
      </c>
      <c r="J1806" s="0" t="s">
        <v>2323</v>
      </c>
      <c r="K1806" s="272" t="n">
        <v>-1005401.91779757</v>
      </c>
    </row>
    <row r="1807" customFormat="false" ht="15" hidden="false" customHeight="false" outlineLevel="0" collapsed="false">
      <c r="A1807" s="0" t="s">
        <v>2041</v>
      </c>
      <c r="B1807" s="0" t="s">
        <v>2042</v>
      </c>
      <c r="C1807" s="0" t="s">
        <v>2333</v>
      </c>
      <c r="D1807" s="0" t="s">
        <v>2105</v>
      </c>
      <c r="E1807" s="0" t="s">
        <v>2045</v>
      </c>
      <c r="F1807" s="0" t="s">
        <v>2250</v>
      </c>
      <c r="G1807" s="0" t="s">
        <v>2251</v>
      </c>
      <c r="H1807" s="0" t="s">
        <v>2253</v>
      </c>
      <c r="I1807" s="0" t="s">
        <v>2254</v>
      </c>
      <c r="J1807" s="0" t="s">
        <v>2323</v>
      </c>
      <c r="K1807" s="272" t="n">
        <v>-1223.85118357849</v>
      </c>
    </row>
    <row r="1808" customFormat="false" ht="15" hidden="false" customHeight="false" outlineLevel="0" collapsed="false">
      <c r="A1808" s="0" t="s">
        <v>2041</v>
      </c>
      <c r="B1808" s="0" t="s">
        <v>2042</v>
      </c>
      <c r="C1808" s="0" t="s">
        <v>2333</v>
      </c>
      <c r="D1808" s="0" t="s">
        <v>2105</v>
      </c>
      <c r="E1808" s="0" t="s">
        <v>2045</v>
      </c>
      <c r="F1808" s="0" t="s">
        <v>2250</v>
      </c>
      <c r="G1808" s="0" t="s">
        <v>2251</v>
      </c>
      <c r="H1808" s="0" t="s">
        <v>2253</v>
      </c>
      <c r="I1808" s="0" t="s">
        <v>2197</v>
      </c>
      <c r="J1808" s="0" t="s">
        <v>2323</v>
      </c>
      <c r="K1808" s="272" t="n">
        <v>-148100.024775593</v>
      </c>
    </row>
    <row r="1809" customFormat="false" ht="15" hidden="false" customHeight="false" outlineLevel="0" collapsed="false">
      <c r="A1809" s="0" t="s">
        <v>2041</v>
      </c>
      <c r="B1809" s="0" t="s">
        <v>2042</v>
      </c>
      <c r="C1809" s="0" t="s">
        <v>2333</v>
      </c>
      <c r="D1809" s="0" t="s">
        <v>2105</v>
      </c>
      <c r="E1809" s="0" t="s">
        <v>2045</v>
      </c>
      <c r="F1809" s="0" t="s">
        <v>2250</v>
      </c>
      <c r="G1809" s="0" t="s">
        <v>2251</v>
      </c>
      <c r="H1809" s="0" t="s">
        <v>2255</v>
      </c>
      <c r="I1809" s="0" t="s">
        <v>2322</v>
      </c>
      <c r="J1809" s="0" t="s">
        <v>2323</v>
      </c>
      <c r="K1809" s="272" t="n">
        <v>-559784.689519669</v>
      </c>
    </row>
    <row r="1810" customFormat="false" ht="15" hidden="false" customHeight="false" outlineLevel="0" collapsed="false">
      <c r="A1810" s="0" t="s">
        <v>2041</v>
      </c>
      <c r="B1810" s="0" t="s">
        <v>2042</v>
      </c>
      <c r="C1810" s="0" t="s">
        <v>2333</v>
      </c>
      <c r="D1810" s="0" t="s">
        <v>2105</v>
      </c>
      <c r="E1810" s="0" t="s">
        <v>2045</v>
      </c>
      <c r="F1810" s="0" t="s">
        <v>2256</v>
      </c>
      <c r="G1810" s="0" t="s">
        <v>2257</v>
      </c>
      <c r="H1810" s="0" t="s">
        <v>2179</v>
      </c>
      <c r="I1810" s="0" t="s">
        <v>2322</v>
      </c>
      <c r="J1810" s="0" t="s">
        <v>2323</v>
      </c>
      <c r="K1810" s="272" t="n">
        <v>-527865.796034485</v>
      </c>
    </row>
    <row r="1811" customFormat="false" ht="15" hidden="false" customHeight="false" outlineLevel="0" collapsed="false">
      <c r="A1811" s="0" t="s">
        <v>2041</v>
      </c>
      <c r="B1811" s="0" t="s">
        <v>2042</v>
      </c>
      <c r="C1811" s="0" t="s">
        <v>2333</v>
      </c>
      <c r="D1811" s="0" t="s">
        <v>2105</v>
      </c>
      <c r="E1811" s="0" t="s">
        <v>2045</v>
      </c>
      <c r="F1811" s="0" t="s">
        <v>2256</v>
      </c>
      <c r="G1811" s="0" t="s">
        <v>2257</v>
      </c>
      <c r="H1811" s="0" t="s">
        <v>2258</v>
      </c>
      <c r="I1811" s="0" t="s">
        <v>2322</v>
      </c>
      <c r="J1811" s="0" t="s">
        <v>2323</v>
      </c>
      <c r="K1811" s="272" t="n">
        <v>147009.64293312</v>
      </c>
    </row>
    <row r="1812" customFormat="false" ht="15" hidden="false" customHeight="false" outlineLevel="0" collapsed="false">
      <c r="A1812" s="0" t="s">
        <v>2041</v>
      </c>
      <c r="B1812" s="0" t="s">
        <v>2042</v>
      </c>
      <c r="C1812" s="0" t="s">
        <v>2333</v>
      </c>
      <c r="D1812" s="0" t="s">
        <v>2105</v>
      </c>
      <c r="E1812" s="0" t="s">
        <v>2045</v>
      </c>
      <c r="F1812" s="0" t="s">
        <v>2256</v>
      </c>
      <c r="G1812" s="0" t="s">
        <v>2259</v>
      </c>
      <c r="H1812" s="0" t="s">
        <v>2258</v>
      </c>
      <c r="I1812" s="0" t="s">
        <v>2322</v>
      </c>
      <c r="J1812" s="0" t="s">
        <v>2323</v>
      </c>
      <c r="K1812" s="272" t="n">
        <v>-3751542.94588299</v>
      </c>
    </row>
    <row r="1813" customFormat="false" ht="15" hidden="false" customHeight="false" outlineLevel="0" collapsed="false">
      <c r="A1813" s="0" t="s">
        <v>2041</v>
      </c>
      <c r="B1813" s="0" t="s">
        <v>2042</v>
      </c>
      <c r="C1813" s="0" t="s">
        <v>2333</v>
      </c>
      <c r="D1813" s="0" t="s">
        <v>2105</v>
      </c>
      <c r="E1813" s="0" t="s">
        <v>2045</v>
      </c>
      <c r="F1813" s="0" t="s">
        <v>2256</v>
      </c>
      <c r="G1813" s="0" t="s">
        <v>2259</v>
      </c>
      <c r="H1813" s="0" t="s">
        <v>2258</v>
      </c>
      <c r="I1813" s="0" t="s">
        <v>2124</v>
      </c>
      <c r="J1813" s="0" t="s">
        <v>2323</v>
      </c>
      <c r="K1813" s="272" t="n">
        <v>-1003170.80954793</v>
      </c>
    </row>
    <row r="1814" customFormat="false" ht="15" hidden="false" customHeight="false" outlineLevel="0" collapsed="false">
      <c r="A1814" s="0" t="s">
        <v>2041</v>
      </c>
      <c r="B1814" s="0" t="s">
        <v>2042</v>
      </c>
      <c r="C1814" s="0" t="s">
        <v>2333</v>
      </c>
      <c r="D1814" s="0" t="s">
        <v>2105</v>
      </c>
      <c r="E1814" s="0" t="s">
        <v>2045</v>
      </c>
      <c r="F1814" s="0" t="s">
        <v>2256</v>
      </c>
      <c r="G1814" s="0" t="s">
        <v>2260</v>
      </c>
      <c r="H1814" s="0" t="s">
        <v>2261</v>
      </c>
      <c r="I1814" s="0" t="s">
        <v>2322</v>
      </c>
      <c r="J1814" s="0" t="s">
        <v>2323</v>
      </c>
      <c r="K1814" s="272" t="n">
        <v>-1125267.53923586</v>
      </c>
    </row>
    <row r="1815" customFormat="false" ht="15" hidden="false" customHeight="false" outlineLevel="0" collapsed="false">
      <c r="A1815" s="0" t="s">
        <v>2041</v>
      </c>
      <c r="B1815" s="0" t="s">
        <v>2042</v>
      </c>
      <c r="C1815" s="0" t="s">
        <v>2333</v>
      </c>
      <c r="D1815" s="0" t="s">
        <v>2105</v>
      </c>
      <c r="E1815" s="0" t="s">
        <v>2045</v>
      </c>
      <c r="F1815" s="0" t="s">
        <v>2256</v>
      </c>
      <c r="G1815" s="0" t="s">
        <v>2260</v>
      </c>
      <c r="H1815" s="0" t="s">
        <v>2261</v>
      </c>
      <c r="I1815" s="0" t="s">
        <v>2124</v>
      </c>
      <c r="J1815" s="0" t="s">
        <v>2323</v>
      </c>
      <c r="K1815" s="272" t="n">
        <v>-11506.2658030724</v>
      </c>
    </row>
    <row r="1816" customFormat="false" ht="15" hidden="false" customHeight="false" outlineLevel="0" collapsed="false">
      <c r="A1816" s="0" t="s">
        <v>2041</v>
      </c>
      <c r="B1816" s="0" t="s">
        <v>2042</v>
      </c>
      <c r="C1816" s="0" t="s">
        <v>2333</v>
      </c>
      <c r="D1816" s="0" t="s">
        <v>2105</v>
      </c>
      <c r="E1816" s="0" t="s">
        <v>2045</v>
      </c>
      <c r="F1816" s="0" t="s">
        <v>2256</v>
      </c>
      <c r="G1816" s="0" t="s">
        <v>2262</v>
      </c>
      <c r="H1816" s="0" t="s">
        <v>2263</v>
      </c>
      <c r="I1816" s="0" t="s">
        <v>2322</v>
      </c>
      <c r="J1816" s="0" t="s">
        <v>2323</v>
      </c>
      <c r="K1816" s="272" t="n">
        <v>-216473.99275063</v>
      </c>
    </row>
    <row r="1817" customFormat="false" ht="15" hidden="false" customHeight="false" outlineLevel="0" collapsed="false">
      <c r="A1817" s="0" t="s">
        <v>2041</v>
      </c>
      <c r="B1817" s="0" t="s">
        <v>2042</v>
      </c>
      <c r="C1817" s="0" t="s">
        <v>2333</v>
      </c>
      <c r="D1817" s="0" t="s">
        <v>2105</v>
      </c>
      <c r="E1817" s="0" t="s">
        <v>2045</v>
      </c>
      <c r="F1817" s="0" t="s">
        <v>2256</v>
      </c>
      <c r="G1817" s="0" t="s">
        <v>2262</v>
      </c>
      <c r="H1817" s="0" t="s">
        <v>2264</v>
      </c>
      <c r="I1817" s="0" t="s">
        <v>2322</v>
      </c>
      <c r="J1817" s="0" t="s">
        <v>2323</v>
      </c>
      <c r="K1817" s="272" t="n">
        <v>-2013951.39101099</v>
      </c>
    </row>
    <row r="1818" customFormat="false" ht="15" hidden="false" customHeight="false" outlineLevel="0" collapsed="false">
      <c r="A1818" s="0" t="s">
        <v>2041</v>
      </c>
      <c r="B1818" s="0" t="s">
        <v>2042</v>
      </c>
      <c r="C1818" s="0" t="s">
        <v>2333</v>
      </c>
      <c r="D1818" s="0" t="s">
        <v>2105</v>
      </c>
      <c r="E1818" s="0" t="s">
        <v>2045</v>
      </c>
      <c r="F1818" s="0" t="s">
        <v>2256</v>
      </c>
      <c r="G1818" s="0" t="s">
        <v>2262</v>
      </c>
      <c r="H1818" s="0" t="s">
        <v>2264</v>
      </c>
      <c r="I1818" s="0" t="s">
        <v>2124</v>
      </c>
      <c r="J1818" s="0" t="s">
        <v>2323</v>
      </c>
      <c r="K1818" s="272" t="n">
        <v>-85178.2937018992</v>
      </c>
    </row>
    <row r="1819" customFormat="false" ht="15" hidden="false" customHeight="false" outlineLevel="0" collapsed="false">
      <c r="A1819" s="0" t="s">
        <v>2041</v>
      </c>
      <c r="B1819" s="0" t="s">
        <v>2042</v>
      </c>
      <c r="C1819" s="0" t="s">
        <v>2333</v>
      </c>
      <c r="D1819" s="0" t="s">
        <v>2105</v>
      </c>
      <c r="E1819" s="0" t="s">
        <v>2045</v>
      </c>
      <c r="F1819" s="0" t="s">
        <v>2256</v>
      </c>
      <c r="G1819" s="0" t="s">
        <v>2262</v>
      </c>
      <c r="H1819" s="0" t="s">
        <v>2265</v>
      </c>
      <c r="I1819" s="0" t="s">
        <v>2322</v>
      </c>
      <c r="J1819" s="0" t="s">
        <v>2323</v>
      </c>
      <c r="K1819" s="272" t="n">
        <v>-208758.887854075</v>
      </c>
    </row>
    <row r="1820" customFormat="false" ht="15" hidden="false" customHeight="false" outlineLevel="0" collapsed="false">
      <c r="A1820" s="0" t="s">
        <v>2041</v>
      </c>
      <c r="B1820" s="0" t="s">
        <v>2042</v>
      </c>
      <c r="C1820" s="0" t="s">
        <v>2333</v>
      </c>
      <c r="D1820" s="0" t="s">
        <v>2105</v>
      </c>
      <c r="E1820" s="0" t="s">
        <v>2045</v>
      </c>
      <c r="F1820" s="0" t="s">
        <v>2256</v>
      </c>
      <c r="G1820" s="0" t="s">
        <v>2266</v>
      </c>
      <c r="H1820" s="0" t="s">
        <v>2267</v>
      </c>
      <c r="I1820" s="0" t="s">
        <v>2322</v>
      </c>
      <c r="J1820" s="0" t="s">
        <v>2323</v>
      </c>
      <c r="K1820" s="272" t="n">
        <v>-2748218.71712397</v>
      </c>
    </row>
    <row r="1821" customFormat="false" ht="15" hidden="false" customHeight="false" outlineLevel="0" collapsed="false">
      <c r="A1821" s="0" t="s">
        <v>2041</v>
      </c>
      <c r="B1821" s="0" t="s">
        <v>2042</v>
      </c>
      <c r="C1821" s="0" t="s">
        <v>2333</v>
      </c>
      <c r="D1821" s="0" t="s">
        <v>2105</v>
      </c>
      <c r="E1821" s="0" t="s">
        <v>2045</v>
      </c>
      <c r="F1821" s="0" t="s">
        <v>2256</v>
      </c>
      <c r="G1821" s="0" t="s">
        <v>2266</v>
      </c>
      <c r="H1821" s="0" t="s">
        <v>2267</v>
      </c>
      <c r="I1821" s="0" t="s">
        <v>2124</v>
      </c>
      <c r="J1821" s="0" t="s">
        <v>2323</v>
      </c>
      <c r="K1821" s="272" t="n">
        <v>-222978.219465522</v>
      </c>
    </row>
    <row r="1822" customFormat="false" ht="15" hidden="false" customHeight="false" outlineLevel="0" collapsed="false">
      <c r="A1822" s="0" t="s">
        <v>2041</v>
      </c>
      <c r="B1822" s="0" t="s">
        <v>2042</v>
      </c>
      <c r="C1822" s="0" t="s">
        <v>2333</v>
      </c>
      <c r="D1822" s="0" t="s">
        <v>2105</v>
      </c>
      <c r="E1822" s="0" t="s">
        <v>2045</v>
      </c>
      <c r="F1822" s="0" t="s">
        <v>2268</v>
      </c>
      <c r="G1822" s="0" t="s">
        <v>2330</v>
      </c>
      <c r="H1822" s="0" t="s">
        <v>2331</v>
      </c>
      <c r="I1822" s="0" t="s">
        <v>2322</v>
      </c>
      <c r="J1822" s="0" t="s">
        <v>2323</v>
      </c>
      <c r="K1822" s="272" t="n">
        <v>28.209824165488</v>
      </c>
    </row>
    <row r="1823" customFormat="false" ht="15" hidden="false" customHeight="false" outlineLevel="0" collapsed="false">
      <c r="A1823" s="0" t="s">
        <v>2041</v>
      </c>
      <c r="B1823" s="0" t="s">
        <v>2042</v>
      </c>
      <c r="C1823" s="0" t="s">
        <v>2333</v>
      </c>
      <c r="D1823" s="0" t="s">
        <v>2105</v>
      </c>
      <c r="E1823" s="0" t="s">
        <v>2045</v>
      </c>
      <c r="F1823" s="0" t="s">
        <v>2268</v>
      </c>
      <c r="G1823" s="0" t="s">
        <v>2269</v>
      </c>
      <c r="H1823" s="0" t="s">
        <v>2270</v>
      </c>
      <c r="I1823" s="0" t="s">
        <v>2322</v>
      </c>
      <c r="J1823" s="0" t="s">
        <v>2323</v>
      </c>
      <c r="K1823" s="272" t="n">
        <v>-641279.29877353</v>
      </c>
    </row>
    <row r="1824" customFormat="false" ht="15" hidden="false" customHeight="false" outlineLevel="0" collapsed="false">
      <c r="A1824" s="0" t="s">
        <v>2041</v>
      </c>
      <c r="B1824" s="0" t="s">
        <v>2042</v>
      </c>
      <c r="C1824" s="0" t="s">
        <v>2333</v>
      </c>
      <c r="D1824" s="0" t="s">
        <v>2105</v>
      </c>
      <c r="E1824" s="0" t="s">
        <v>2045</v>
      </c>
      <c r="F1824" s="0" t="s">
        <v>2268</v>
      </c>
      <c r="G1824" s="0" t="s">
        <v>2269</v>
      </c>
      <c r="H1824" s="0" t="s">
        <v>2270</v>
      </c>
      <c r="I1824" s="0" t="s">
        <v>2124</v>
      </c>
      <c r="J1824" s="0" t="s">
        <v>2323</v>
      </c>
      <c r="K1824" s="272" t="n">
        <v>-20211.4351795367</v>
      </c>
    </row>
    <row r="1825" customFormat="false" ht="15" hidden="false" customHeight="false" outlineLevel="0" collapsed="false">
      <c r="A1825" s="0" t="s">
        <v>2041</v>
      </c>
      <c r="B1825" s="0" t="s">
        <v>2042</v>
      </c>
      <c r="C1825" s="0" t="s">
        <v>2333</v>
      </c>
      <c r="D1825" s="0" t="s">
        <v>2105</v>
      </c>
      <c r="E1825" s="0" t="s">
        <v>2045</v>
      </c>
      <c r="F1825" s="0" t="s">
        <v>2150</v>
      </c>
      <c r="G1825" s="0" t="s">
        <v>2151</v>
      </c>
      <c r="H1825" s="0" t="s">
        <v>2271</v>
      </c>
      <c r="I1825" s="0" t="s">
        <v>2272</v>
      </c>
      <c r="J1825" s="0" t="s">
        <v>2323</v>
      </c>
      <c r="K1825" s="272" t="n">
        <v>1139.32741345705</v>
      </c>
    </row>
    <row r="1826" customFormat="false" ht="15" hidden="false" customHeight="false" outlineLevel="0" collapsed="false">
      <c r="A1826" s="0" t="s">
        <v>2041</v>
      </c>
      <c r="B1826" s="0" t="s">
        <v>2042</v>
      </c>
      <c r="C1826" s="0" t="s">
        <v>2333</v>
      </c>
      <c r="D1826" s="0" t="s">
        <v>2105</v>
      </c>
      <c r="E1826" s="0" t="s">
        <v>2045</v>
      </c>
      <c r="F1826" s="0" t="s">
        <v>2150</v>
      </c>
      <c r="G1826" s="0" t="s">
        <v>2151</v>
      </c>
      <c r="H1826" s="0" t="s">
        <v>2152</v>
      </c>
      <c r="I1826" s="0" t="s">
        <v>2322</v>
      </c>
      <c r="J1826" s="0" t="s">
        <v>2323</v>
      </c>
      <c r="K1826" s="272" t="n">
        <v>-192322.133760868</v>
      </c>
    </row>
    <row r="1827" customFormat="false" ht="15" hidden="false" customHeight="false" outlineLevel="0" collapsed="false">
      <c r="A1827" s="0" t="s">
        <v>2041</v>
      </c>
      <c r="B1827" s="0" t="s">
        <v>2042</v>
      </c>
      <c r="C1827" s="0" t="s">
        <v>2333</v>
      </c>
      <c r="D1827" s="0" t="s">
        <v>2105</v>
      </c>
      <c r="E1827" s="0" t="s">
        <v>2045</v>
      </c>
      <c r="F1827" s="0" t="s">
        <v>2150</v>
      </c>
      <c r="G1827" s="0" t="s">
        <v>2151</v>
      </c>
      <c r="H1827" s="0" t="s">
        <v>2273</v>
      </c>
      <c r="I1827" s="0" t="s">
        <v>2272</v>
      </c>
      <c r="J1827" s="0" t="s">
        <v>2323</v>
      </c>
      <c r="K1827" s="272" t="n">
        <v>2134.83592632853</v>
      </c>
    </row>
    <row r="1828" customFormat="false" ht="15" hidden="false" customHeight="false" outlineLevel="0" collapsed="false">
      <c r="A1828" s="0" t="s">
        <v>2041</v>
      </c>
      <c r="B1828" s="0" t="s">
        <v>2042</v>
      </c>
      <c r="C1828" s="0" t="s">
        <v>2333</v>
      </c>
      <c r="D1828" s="0" t="s">
        <v>2105</v>
      </c>
      <c r="E1828" s="0" t="s">
        <v>2045</v>
      </c>
      <c r="F1828" s="0" t="s">
        <v>2150</v>
      </c>
      <c r="G1828" s="0" t="s">
        <v>2151</v>
      </c>
      <c r="H1828" s="0" t="s">
        <v>2153</v>
      </c>
      <c r="I1828" s="0" t="s">
        <v>2322</v>
      </c>
      <c r="J1828" s="0" t="s">
        <v>2323</v>
      </c>
      <c r="K1828" s="272" t="n">
        <v>-484916.90648024</v>
      </c>
    </row>
    <row r="1829" customFormat="false" ht="15" hidden="false" customHeight="false" outlineLevel="0" collapsed="false">
      <c r="A1829" s="0" t="s">
        <v>2041</v>
      </c>
      <c r="B1829" s="0" t="s">
        <v>2042</v>
      </c>
      <c r="C1829" s="0" t="s">
        <v>2333</v>
      </c>
      <c r="D1829" s="0" t="s">
        <v>2105</v>
      </c>
      <c r="E1829" s="0" t="s">
        <v>2045</v>
      </c>
      <c r="F1829" s="0" t="s">
        <v>2150</v>
      </c>
      <c r="G1829" s="0" t="s">
        <v>2151</v>
      </c>
      <c r="H1829" s="0" t="s">
        <v>2154</v>
      </c>
      <c r="I1829" s="0" t="s">
        <v>2322</v>
      </c>
      <c r="J1829" s="0" t="s">
        <v>2323</v>
      </c>
      <c r="K1829" s="272" t="n">
        <v>-200423.724004897</v>
      </c>
    </row>
    <row r="1830" customFormat="false" ht="15" hidden="false" customHeight="false" outlineLevel="0" collapsed="false">
      <c r="A1830" s="0" t="s">
        <v>2041</v>
      </c>
      <c r="B1830" s="0" t="s">
        <v>2042</v>
      </c>
      <c r="C1830" s="0" t="s">
        <v>2333</v>
      </c>
      <c r="D1830" s="0" t="s">
        <v>2105</v>
      </c>
      <c r="E1830" s="0" t="s">
        <v>2045</v>
      </c>
      <c r="F1830" s="0" t="s">
        <v>2150</v>
      </c>
      <c r="G1830" s="0" t="s">
        <v>2155</v>
      </c>
      <c r="H1830" s="0" t="s">
        <v>2154</v>
      </c>
      <c r="I1830" s="0" t="s">
        <v>2322</v>
      </c>
      <c r="J1830" s="0" t="s">
        <v>2323</v>
      </c>
      <c r="K1830" s="272" t="n">
        <v>-1184279.78288415</v>
      </c>
    </row>
    <row r="1831" customFormat="false" ht="15" hidden="false" customHeight="false" outlineLevel="0" collapsed="false">
      <c r="A1831" s="0" t="s">
        <v>2041</v>
      </c>
      <c r="B1831" s="0" t="s">
        <v>2042</v>
      </c>
      <c r="C1831" s="0" t="s">
        <v>2333</v>
      </c>
      <c r="D1831" s="0" t="s">
        <v>2105</v>
      </c>
      <c r="E1831" s="0" t="s">
        <v>2045</v>
      </c>
      <c r="F1831" s="0" t="s">
        <v>2150</v>
      </c>
      <c r="G1831" s="0" t="s">
        <v>2332</v>
      </c>
      <c r="H1831" s="0" t="s">
        <v>2152</v>
      </c>
      <c r="I1831" s="0" t="s">
        <v>2322</v>
      </c>
      <c r="J1831" s="0" t="s">
        <v>2323</v>
      </c>
      <c r="K1831" s="272" t="n">
        <v>-63561.7181454676</v>
      </c>
    </row>
    <row r="1832" customFormat="false" ht="15" hidden="false" customHeight="false" outlineLevel="0" collapsed="false">
      <c r="A1832" s="0" t="s">
        <v>2041</v>
      </c>
      <c r="B1832" s="0" t="s">
        <v>2042</v>
      </c>
      <c r="C1832" s="0" t="s">
        <v>2333</v>
      </c>
      <c r="D1832" s="0" t="s">
        <v>2105</v>
      </c>
      <c r="E1832" s="0" t="s">
        <v>2274</v>
      </c>
      <c r="F1832" s="0" t="s">
        <v>2275</v>
      </c>
      <c r="G1832" s="0" t="s">
        <v>2276</v>
      </c>
      <c r="H1832" s="0" t="s">
        <v>2277</v>
      </c>
      <c r="I1832" s="0" t="s">
        <v>2322</v>
      </c>
      <c r="J1832" s="0" t="s">
        <v>2323</v>
      </c>
      <c r="K1832" s="272" t="n">
        <v>126205.92299391</v>
      </c>
    </row>
    <row r="1833" customFormat="false" ht="15" hidden="false" customHeight="false" outlineLevel="0" collapsed="false">
      <c r="A1833" s="0" t="s">
        <v>2041</v>
      </c>
      <c r="B1833" s="0" t="s">
        <v>2042</v>
      </c>
      <c r="C1833" s="0" t="s">
        <v>2333</v>
      </c>
      <c r="D1833" s="0" t="s">
        <v>2105</v>
      </c>
      <c r="E1833" s="0" t="s">
        <v>2274</v>
      </c>
      <c r="F1833" s="0" t="s">
        <v>2275</v>
      </c>
      <c r="G1833" s="0" t="s">
        <v>2276</v>
      </c>
      <c r="H1833" s="0" t="s">
        <v>2277</v>
      </c>
      <c r="I1833" s="0" t="s">
        <v>2278</v>
      </c>
      <c r="J1833" s="0" t="s">
        <v>2323</v>
      </c>
      <c r="K1833" s="272" t="n">
        <v>-5183.22574934375</v>
      </c>
    </row>
    <row r="1834" customFormat="false" ht="15" hidden="false" customHeight="false" outlineLevel="0" collapsed="false">
      <c r="A1834" s="0" t="s">
        <v>2041</v>
      </c>
      <c r="B1834" s="0" t="s">
        <v>2042</v>
      </c>
      <c r="C1834" s="0" t="s">
        <v>2333</v>
      </c>
      <c r="D1834" s="0" t="s">
        <v>2334</v>
      </c>
      <c r="E1834" s="0" t="s">
        <v>2279</v>
      </c>
      <c r="F1834" s="0" t="s">
        <v>2280</v>
      </c>
      <c r="G1834" s="0" t="s">
        <v>2281</v>
      </c>
      <c r="H1834" s="0" t="s">
        <v>2284</v>
      </c>
      <c r="I1834" s="0" t="s">
        <v>2322</v>
      </c>
      <c r="J1834" s="0" t="s">
        <v>2323</v>
      </c>
      <c r="K1834" s="272" t="n">
        <v>-48776.1161054295</v>
      </c>
    </row>
    <row r="1835" customFormat="false" ht="15" hidden="false" customHeight="false" outlineLevel="0" collapsed="false">
      <c r="A1835" s="0" t="s">
        <v>2041</v>
      </c>
      <c r="B1835" s="0" t="s">
        <v>2042</v>
      </c>
      <c r="C1835" s="0" t="s">
        <v>2333</v>
      </c>
      <c r="D1835" s="0" t="s">
        <v>2334</v>
      </c>
      <c r="E1835" s="0" t="s">
        <v>2279</v>
      </c>
      <c r="F1835" s="0" t="s">
        <v>2280</v>
      </c>
      <c r="G1835" s="0" t="s">
        <v>2281</v>
      </c>
      <c r="H1835" s="0" t="s">
        <v>2286</v>
      </c>
      <c r="I1835" s="0" t="s">
        <v>2322</v>
      </c>
      <c r="J1835" s="0" t="s">
        <v>2323</v>
      </c>
      <c r="K1835" s="272" t="n">
        <v>6691.09673589801</v>
      </c>
    </row>
    <row r="1836" customFormat="false" ht="15" hidden="false" customHeight="false" outlineLevel="0" collapsed="false">
      <c r="A1836" s="0" t="s">
        <v>2041</v>
      </c>
      <c r="B1836" s="0" t="s">
        <v>2042</v>
      </c>
      <c r="C1836" s="0" t="s">
        <v>2333</v>
      </c>
      <c r="D1836" s="0" t="s">
        <v>2334</v>
      </c>
      <c r="E1836" s="0" t="s">
        <v>2279</v>
      </c>
      <c r="F1836" s="0" t="s">
        <v>2280</v>
      </c>
      <c r="G1836" s="0" t="s">
        <v>2281</v>
      </c>
      <c r="H1836" s="0" t="s">
        <v>2287</v>
      </c>
      <c r="I1836" s="0" t="s">
        <v>2322</v>
      </c>
      <c r="J1836" s="0" t="s">
        <v>2323</v>
      </c>
      <c r="K1836" s="272" t="n">
        <v>-472948.764003798</v>
      </c>
    </row>
    <row r="1837" customFormat="false" ht="15" hidden="false" customHeight="false" outlineLevel="0" collapsed="false">
      <c r="A1837" s="0" t="s">
        <v>2041</v>
      </c>
      <c r="B1837" s="0" t="s">
        <v>2042</v>
      </c>
      <c r="C1837" s="0" t="s">
        <v>2333</v>
      </c>
      <c r="D1837" s="0" t="s">
        <v>2334</v>
      </c>
      <c r="E1837" s="0" t="s">
        <v>2279</v>
      </c>
      <c r="F1837" s="0" t="s">
        <v>2280</v>
      </c>
      <c r="G1837" s="0" t="s">
        <v>2281</v>
      </c>
      <c r="H1837" s="0" t="s">
        <v>2153</v>
      </c>
      <c r="I1837" s="0" t="s">
        <v>2322</v>
      </c>
      <c r="J1837" s="0" t="s">
        <v>2323</v>
      </c>
      <c r="K1837" s="272" t="n">
        <v>19747.6140540513</v>
      </c>
    </row>
    <row r="1838" customFormat="false" ht="15" hidden="false" customHeight="false" outlineLevel="0" collapsed="false">
      <c r="A1838" s="0" t="s">
        <v>2041</v>
      </c>
      <c r="B1838" s="0" t="s">
        <v>2042</v>
      </c>
      <c r="C1838" s="0" t="s">
        <v>2333</v>
      </c>
      <c r="D1838" s="0" t="s">
        <v>2334</v>
      </c>
      <c r="E1838" s="0" t="s">
        <v>2279</v>
      </c>
      <c r="F1838" s="0" t="s">
        <v>2292</v>
      </c>
      <c r="G1838" s="0" t="s">
        <v>2293</v>
      </c>
      <c r="H1838" s="0" t="s">
        <v>2284</v>
      </c>
      <c r="I1838" s="0" t="s">
        <v>2322</v>
      </c>
      <c r="J1838" s="0" t="s">
        <v>2323</v>
      </c>
      <c r="K1838" s="272" t="n">
        <v>20572.845777462</v>
      </c>
    </row>
    <row r="1839" customFormat="false" ht="15" hidden="false" customHeight="false" outlineLevel="0" collapsed="false">
      <c r="A1839" s="0" t="s">
        <v>2041</v>
      </c>
      <c r="B1839" s="0" t="s">
        <v>2042</v>
      </c>
      <c r="C1839" s="0" t="s">
        <v>2333</v>
      </c>
      <c r="D1839" s="0" t="s">
        <v>2334</v>
      </c>
      <c r="E1839" s="0" t="s">
        <v>2279</v>
      </c>
      <c r="F1839" s="0" t="s">
        <v>2292</v>
      </c>
      <c r="G1839" s="0" t="s">
        <v>2293</v>
      </c>
      <c r="H1839" s="0" t="s">
        <v>2294</v>
      </c>
      <c r="I1839" s="0" t="s">
        <v>2322</v>
      </c>
      <c r="J1839" s="0" t="s">
        <v>2323</v>
      </c>
      <c r="K1839" s="272" t="n">
        <v>-47327.6869183941</v>
      </c>
    </row>
    <row r="1840" customFormat="false" ht="15" hidden="false" customHeight="false" outlineLevel="0" collapsed="false">
      <c r="A1840" s="0" t="s">
        <v>2041</v>
      </c>
      <c r="B1840" s="0" t="s">
        <v>2042</v>
      </c>
      <c r="C1840" s="0" t="s">
        <v>2333</v>
      </c>
      <c r="D1840" s="0" t="s">
        <v>2334</v>
      </c>
      <c r="E1840" s="0" t="s">
        <v>2279</v>
      </c>
      <c r="F1840" s="0" t="s">
        <v>2292</v>
      </c>
      <c r="G1840" s="0" t="s">
        <v>2293</v>
      </c>
      <c r="H1840" s="0" t="s">
        <v>2295</v>
      </c>
      <c r="I1840" s="0" t="s">
        <v>2322</v>
      </c>
      <c r="J1840" s="0" t="s">
        <v>2323</v>
      </c>
      <c r="K1840" s="272" t="n">
        <v>-87930.5455297802</v>
      </c>
    </row>
    <row r="1841" customFormat="false" ht="15" hidden="false" customHeight="false" outlineLevel="0" collapsed="false">
      <c r="A1841" s="0" t="s">
        <v>2041</v>
      </c>
      <c r="B1841" s="0" t="s">
        <v>2042</v>
      </c>
      <c r="C1841" s="0" t="s">
        <v>2333</v>
      </c>
      <c r="D1841" s="0" t="s">
        <v>2334</v>
      </c>
      <c r="E1841" s="0" t="s">
        <v>2279</v>
      </c>
      <c r="F1841" s="0" t="s">
        <v>2292</v>
      </c>
      <c r="G1841" s="0" t="s">
        <v>2293</v>
      </c>
      <c r="H1841" s="0" t="s">
        <v>2298</v>
      </c>
      <c r="I1841" s="0" t="s">
        <v>2322</v>
      </c>
      <c r="J1841" s="0" t="s">
        <v>2323</v>
      </c>
      <c r="K1841" s="272" t="n">
        <v>-104577.696975211</v>
      </c>
    </row>
    <row r="1842" customFormat="false" ht="15" hidden="false" customHeight="false" outlineLevel="0" collapsed="false">
      <c r="A1842" s="0" t="s">
        <v>2041</v>
      </c>
      <c r="B1842" s="0" t="s">
        <v>2042</v>
      </c>
      <c r="C1842" s="0" t="s">
        <v>2333</v>
      </c>
      <c r="D1842" s="0" t="s">
        <v>2334</v>
      </c>
      <c r="E1842" s="0" t="s">
        <v>2279</v>
      </c>
      <c r="F1842" s="0" t="s">
        <v>2292</v>
      </c>
      <c r="G1842" s="0" t="s">
        <v>2293</v>
      </c>
      <c r="H1842" s="0" t="s">
        <v>2287</v>
      </c>
      <c r="I1842" s="0" t="s">
        <v>2322</v>
      </c>
      <c r="J1842" s="0" t="s">
        <v>2323</v>
      </c>
      <c r="K1842" s="272" t="n">
        <v>-4795.84334452431</v>
      </c>
    </row>
    <row r="1843" customFormat="false" ht="15" hidden="false" customHeight="false" outlineLevel="0" collapsed="false">
      <c r="A1843" s="0" t="s">
        <v>2041</v>
      </c>
      <c r="B1843" s="0" t="s">
        <v>2042</v>
      </c>
      <c r="C1843" s="0" t="s">
        <v>2333</v>
      </c>
      <c r="D1843" s="0" t="s">
        <v>2334</v>
      </c>
      <c r="E1843" s="0" t="s">
        <v>2279</v>
      </c>
      <c r="F1843" s="0" t="s">
        <v>2292</v>
      </c>
      <c r="G1843" s="0" t="s">
        <v>2293</v>
      </c>
      <c r="H1843" s="0" t="s">
        <v>2305</v>
      </c>
      <c r="I1843" s="0" t="s">
        <v>2322</v>
      </c>
      <c r="J1843" s="0" t="s">
        <v>2323</v>
      </c>
      <c r="K1843" s="272" t="n">
        <v>-45186.7146318565</v>
      </c>
    </row>
    <row r="1844" customFormat="false" ht="15" hidden="false" customHeight="false" outlineLevel="0" collapsed="false">
      <c r="A1844" s="0" t="s">
        <v>2041</v>
      </c>
      <c r="B1844" s="0" t="s">
        <v>2042</v>
      </c>
      <c r="C1844" s="0" t="s">
        <v>2333</v>
      </c>
      <c r="D1844" s="0" t="s">
        <v>2334</v>
      </c>
      <c r="E1844" s="0" t="s">
        <v>2279</v>
      </c>
      <c r="F1844" s="0" t="s">
        <v>2292</v>
      </c>
      <c r="G1844" s="0" t="s">
        <v>2293</v>
      </c>
      <c r="H1844" s="0" t="s">
        <v>2200</v>
      </c>
      <c r="I1844" s="0" t="s">
        <v>2322</v>
      </c>
      <c r="J1844" s="0" t="s">
        <v>2323</v>
      </c>
      <c r="K1844" s="272" t="n">
        <v>-47817.9222699619</v>
      </c>
    </row>
    <row r="1845" customFormat="false" ht="15" hidden="false" customHeight="false" outlineLevel="0" collapsed="false">
      <c r="A1845" s="0" t="s">
        <v>2041</v>
      </c>
      <c r="B1845" s="0" t="s">
        <v>2042</v>
      </c>
      <c r="C1845" s="0" t="s">
        <v>2333</v>
      </c>
      <c r="D1845" s="0" t="s">
        <v>2334</v>
      </c>
      <c r="E1845" s="0" t="s">
        <v>2279</v>
      </c>
      <c r="F1845" s="0" t="s">
        <v>2292</v>
      </c>
      <c r="G1845" s="0" t="s">
        <v>2293</v>
      </c>
      <c r="H1845" s="0" t="s">
        <v>2202</v>
      </c>
      <c r="I1845" s="0" t="s">
        <v>2322</v>
      </c>
      <c r="J1845" s="0" t="s">
        <v>2323</v>
      </c>
      <c r="K1845" s="272" t="n">
        <v>-25748.111991518</v>
      </c>
    </row>
    <row r="1846" customFormat="false" ht="15" hidden="false" customHeight="false" outlineLevel="0" collapsed="false">
      <c r="A1846" s="0" t="s">
        <v>2041</v>
      </c>
      <c r="B1846" s="0" t="s">
        <v>2042</v>
      </c>
      <c r="C1846" s="0" t="s">
        <v>2333</v>
      </c>
      <c r="D1846" s="0" t="s">
        <v>2334</v>
      </c>
      <c r="E1846" s="0" t="s">
        <v>2279</v>
      </c>
      <c r="F1846" s="0" t="s">
        <v>2292</v>
      </c>
      <c r="G1846" s="0" t="s">
        <v>2293</v>
      </c>
      <c r="H1846" s="0" t="s">
        <v>2289</v>
      </c>
      <c r="I1846" s="0" t="s">
        <v>2322</v>
      </c>
      <c r="J1846" s="0" t="s">
        <v>2323</v>
      </c>
      <c r="K1846" s="272" t="n">
        <v>20572.845777462</v>
      </c>
    </row>
    <row r="1847" customFormat="false" ht="15" hidden="false" customHeight="false" outlineLevel="0" collapsed="false">
      <c r="A1847" s="0" t="s">
        <v>2041</v>
      </c>
      <c r="B1847" s="0" t="s">
        <v>2042</v>
      </c>
      <c r="C1847" s="0" t="s">
        <v>2333</v>
      </c>
      <c r="D1847" s="0" t="s">
        <v>2334</v>
      </c>
      <c r="E1847" s="0" t="s">
        <v>2279</v>
      </c>
      <c r="F1847" s="0" t="s">
        <v>2292</v>
      </c>
      <c r="G1847" s="0" t="s">
        <v>2293</v>
      </c>
      <c r="H1847" s="0" t="s">
        <v>2313</v>
      </c>
      <c r="I1847" s="0" t="s">
        <v>2322</v>
      </c>
      <c r="J1847" s="0" t="s">
        <v>2323</v>
      </c>
      <c r="K1847" s="272" t="n">
        <v>99996.4833145776</v>
      </c>
    </row>
    <row r="1848" customFormat="false" ht="15" hidden="false" customHeight="false" outlineLevel="0" collapsed="false">
      <c r="A1848" s="0" t="s">
        <v>2041</v>
      </c>
      <c r="B1848" s="0" t="s">
        <v>2042</v>
      </c>
      <c r="C1848" s="0" t="s">
        <v>2333</v>
      </c>
      <c r="D1848" s="0" t="s">
        <v>2334</v>
      </c>
      <c r="E1848" s="0" t="s">
        <v>2279</v>
      </c>
      <c r="F1848" s="0" t="s">
        <v>2292</v>
      </c>
      <c r="G1848" s="0" t="s">
        <v>2293</v>
      </c>
      <c r="H1848" s="0" t="s">
        <v>2314</v>
      </c>
      <c r="I1848" s="0" t="s">
        <v>2322</v>
      </c>
      <c r="J1848" s="0" t="s">
        <v>2323</v>
      </c>
      <c r="K1848" s="272" t="n">
        <v>-163310.362465734</v>
      </c>
    </row>
    <row r="1849" customFormat="false" ht="15" hidden="false" customHeight="false" outlineLevel="0" collapsed="false">
      <c r="A1849" s="0" t="s">
        <v>2041</v>
      </c>
      <c r="B1849" s="0" t="s">
        <v>2042</v>
      </c>
      <c r="C1849" s="0" t="s">
        <v>2333</v>
      </c>
      <c r="D1849" s="0" t="s">
        <v>2334</v>
      </c>
      <c r="E1849" s="0" t="s">
        <v>2279</v>
      </c>
      <c r="F1849" s="0" t="s">
        <v>2292</v>
      </c>
      <c r="G1849" s="0" t="s">
        <v>2293</v>
      </c>
      <c r="H1849" s="0" t="s">
        <v>2326</v>
      </c>
      <c r="I1849" s="0" t="s">
        <v>2322</v>
      </c>
      <c r="J1849" s="0" t="s">
        <v>2323</v>
      </c>
      <c r="K1849" s="272" t="n">
        <v>-27036.8487671239</v>
      </c>
    </row>
    <row r="1850" customFormat="false" ht="15" hidden="false" customHeight="false" outlineLevel="0" collapsed="false">
      <c r="A1850" s="0" t="s">
        <v>2041</v>
      </c>
      <c r="B1850" s="0" t="s">
        <v>2042</v>
      </c>
      <c r="C1850" s="0" t="s">
        <v>2333</v>
      </c>
      <c r="D1850" s="0" t="s">
        <v>2334</v>
      </c>
      <c r="E1850" s="0" t="s">
        <v>2279</v>
      </c>
      <c r="F1850" s="0" t="s">
        <v>2292</v>
      </c>
      <c r="G1850" s="0" t="s">
        <v>2293</v>
      </c>
      <c r="H1850" s="0" t="s">
        <v>2318</v>
      </c>
      <c r="I1850" s="0" t="s">
        <v>2322</v>
      </c>
      <c r="J1850" s="0" t="s">
        <v>2323</v>
      </c>
      <c r="K1850" s="272" t="n">
        <v>2833.79978052598</v>
      </c>
    </row>
    <row r="1851" customFormat="false" ht="15" hidden="false" customHeight="false" outlineLevel="0" collapsed="false">
      <c r="A1851" s="0" t="s">
        <v>2041</v>
      </c>
      <c r="B1851" s="0" t="s">
        <v>2042</v>
      </c>
      <c r="C1851" s="0" t="s">
        <v>2333</v>
      </c>
      <c r="D1851" s="0" t="s">
        <v>2334</v>
      </c>
      <c r="E1851" s="0" t="s">
        <v>2279</v>
      </c>
      <c r="F1851" s="0" t="s">
        <v>2292</v>
      </c>
      <c r="G1851" s="0" t="s">
        <v>2293</v>
      </c>
      <c r="H1851" s="0" t="s">
        <v>2291</v>
      </c>
      <c r="I1851" s="0" t="s">
        <v>2322</v>
      </c>
      <c r="J1851" s="0" t="s">
        <v>2323</v>
      </c>
      <c r="K1851" s="272" t="n">
        <v>-123843.851032407</v>
      </c>
    </row>
    <row r="1852" customFormat="false" ht="15" hidden="false" customHeight="false" outlineLevel="0" collapsed="false">
      <c r="A1852" s="0" t="s">
        <v>2041</v>
      </c>
      <c r="B1852" s="0" t="s">
        <v>2042</v>
      </c>
      <c r="C1852" s="0" t="s">
        <v>2333</v>
      </c>
      <c r="D1852" s="0" t="s">
        <v>2044</v>
      </c>
      <c r="E1852" s="0" t="s">
        <v>2045</v>
      </c>
      <c r="F1852" s="0" t="s">
        <v>2046</v>
      </c>
      <c r="G1852" s="0" t="s">
        <v>2047</v>
      </c>
      <c r="H1852" s="0" t="s">
        <v>2048</v>
      </c>
      <c r="I1852" s="0" t="s">
        <v>2322</v>
      </c>
      <c r="J1852" s="0" t="s">
        <v>2323</v>
      </c>
      <c r="K1852" s="272" t="n">
        <v>720.925386313786</v>
      </c>
    </row>
    <row r="1853" customFormat="false" ht="15" hidden="false" customHeight="false" outlineLevel="0" collapsed="false">
      <c r="A1853" s="0" t="s">
        <v>2041</v>
      </c>
      <c r="B1853" s="0" t="s">
        <v>2042</v>
      </c>
      <c r="C1853" s="0" t="s">
        <v>2333</v>
      </c>
      <c r="D1853" s="0" t="s">
        <v>2044</v>
      </c>
      <c r="E1853" s="0" t="s">
        <v>2045</v>
      </c>
      <c r="F1853" s="0" t="s">
        <v>2051</v>
      </c>
      <c r="G1853" s="0" t="s">
        <v>2047</v>
      </c>
      <c r="H1853" s="0" t="s">
        <v>2052</v>
      </c>
      <c r="I1853" s="0" t="s">
        <v>2322</v>
      </c>
      <c r="J1853" s="0" t="s">
        <v>2323</v>
      </c>
      <c r="K1853" s="272" t="n">
        <v>180.231346578446</v>
      </c>
    </row>
    <row r="1854" customFormat="false" ht="15" hidden="false" customHeight="false" outlineLevel="0" collapsed="false">
      <c r="A1854" s="0" t="s">
        <v>2041</v>
      </c>
      <c r="B1854" s="0" t="s">
        <v>2042</v>
      </c>
      <c r="C1854" s="0" t="s">
        <v>2333</v>
      </c>
      <c r="D1854" s="0" t="s">
        <v>2044</v>
      </c>
      <c r="E1854" s="0" t="s">
        <v>2045</v>
      </c>
      <c r="F1854" s="0" t="s">
        <v>2046</v>
      </c>
      <c r="G1854" s="0" t="s">
        <v>2053</v>
      </c>
      <c r="H1854" s="0" t="s">
        <v>2048</v>
      </c>
      <c r="I1854" s="0" t="s">
        <v>2322</v>
      </c>
      <c r="J1854" s="0" t="s">
        <v>2323</v>
      </c>
      <c r="K1854" s="272" t="n">
        <v>6053.88680028135</v>
      </c>
    </row>
    <row r="1855" customFormat="false" ht="15" hidden="false" customHeight="false" outlineLevel="0" collapsed="false">
      <c r="A1855" s="0" t="s">
        <v>2041</v>
      </c>
      <c r="B1855" s="0" t="s">
        <v>2042</v>
      </c>
      <c r="C1855" s="0" t="s">
        <v>2333</v>
      </c>
      <c r="D1855" s="0" t="s">
        <v>2044</v>
      </c>
      <c r="E1855" s="0" t="s">
        <v>2045</v>
      </c>
      <c r="F1855" s="0" t="s">
        <v>2051</v>
      </c>
      <c r="G1855" s="0" t="s">
        <v>2053</v>
      </c>
      <c r="H1855" s="0" t="s">
        <v>2052</v>
      </c>
      <c r="I1855" s="0" t="s">
        <v>2322</v>
      </c>
      <c r="J1855" s="0" t="s">
        <v>2323</v>
      </c>
      <c r="K1855" s="272" t="n">
        <v>800.470594624782</v>
      </c>
    </row>
    <row r="1856" customFormat="false" ht="15" hidden="false" customHeight="false" outlineLevel="0" collapsed="false">
      <c r="A1856" s="0" t="s">
        <v>2041</v>
      </c>
      <c r="B1856" s="0" t="s">
        <v>2042</v>
      </c>
      <c r="C1856" s="0" t="s">
        <v>2333</v>
      </c>
      <c r="D1856" s="0" t="s">
        <v>2044</v>
      </c>
      <c r="E1856" s="0" t="s">
        <v>2045</v>
      </c>
      <c r="F1856" s="0" t="s">
        <v>2046</v>
      </c>
      <c r="G1856" s="0" t="s">
        <v>2054</v>
      </c>
      <c r="H1856" s="0" t="s">
        <v>2048</v>
      </c>
      <c r="I1856" s="0" t="s">
        <v>2322</v>
      </c>
      <c r="J1856" s="0" t="s">
        <v>2323</v>
      </c>
      <c r="K1856" s="272" t="n">
        <v>-13149.6363305388</v>
      </c>
    </row>
    <row r="1857" customFormat="false" ht="15" hidden="false" customHeight="false" outlineLevel="0" collapsed="false">
      <c r="A1857" s="0" t="s">
        <v>2041</v>
      </c>
      <c r="B1857" s="0" t="s">
        <v>2042</v>
      </c>
      <c r="C1857" s="0" t="s">
        <v>2333</v>
      </c>
      <c r="D1857" s="0" t="s">
        <v>2044</v>
      </c>
      <c r="E1857" s="0" t="s">
        <v>2045</v>
      </c>
      <c r="F1857" s="0" t="s">
        <v>2051</v>
      </c>
      <c r="G1857" s="0" t="s">
        <v>2054</v>
      </c>
      <c r="H1857" s="0" t="s">
        <v>2052</v>
      </c>
      <c r="I1857" s="0" t="s">
        <v>2322</v>
      </c>
      <c r="J1857" s="0" t="s">
        <v>2323</v>
      </c>
      <c r="K1857" s="272" t="n">
        <v>-2320.52405833038</v>
      </c>
    </row>
    <row r="1858" customFormat="false" ht="15" hidden="false" customHeight="false" outlineLevel="0" collapsed="false">
      <c r="A1858" s="0" t="s">
        <v>2041</v>
      </c>
      <c r="B1858" s="0" t="s">
        <v>2042</v>
      </c>
      <c r="C1858" s="0" t="s">
        <v>2333</v>
      </c>
      <c r="D1858" s="0" t="s">
        <v>2044</v>
      </c>
      <c r="E1858" s="0" t="s">
        <v>2045</v>
      </c>
      <c r="F1858" s="0" t="s">
        <v>2046</v>
      </c>
      <c r="G1858" s="0" t="s">
        <v>2055</v>
      </c>
      <c r="H1858" s="0" t="s">
        <v>2048</v>
      </c>
      <c r="I1858" s="0" t="s">
        <v>2322</v>
      </c>
      <c r="J1858" s="0" t="s">
        <v>2323</v>
      </c>
      <c r="K1858" s="272" t="n">
        <v>-6345.89208724556</v>
      </c>
    </row>
    <row r="1859" customFormat="false" ht="15" hidden="false" customHeight="false" outlineLevel="0" collapsed="false">
      <c r="A1859" s="0" t="s">
        <v>2041</v>
      </c>
      <c r="B1859" s="0" t="s">
        <v>2042</v>
      </c>
      <c r="C1859" s="0" t="s">
        <v>2333</v>
      </c>
      <c r="D1859" s="0" t="s">
        <v>2044</v>
      </c>
      <c r="E1859" s="0" t="s">
        <v>2045</v>
      </c>
      <c r="F1859" s="0" t="s">
        <v>2051</v>
      </c>
      <c r="G1859" s="0" t="s">
        <v>2055</v>
      </c>
      <c r="H1859" s="0" t="s">
        <v>2052</v>
      </c>
      <c r="I1859" s="0" t="s">
        <v>2322</v>
      </c>
      <c r="J1859" s="0" t="s">
        <v>2323</v>
      </c>
      <c r="K1859" s="272" t="n">
        <v>-19037.6762617367</v>
      </c>
    </row>
    <row r="1860" customFormat="false" ht="15" hidden="false" customHeight="false" outlineLevel="0" collapsed="false">
      <c r="A1860" s="0" t="s">
        <v>2041</v>
      </c>
      <c r="B1860" s="0" t="s">
        <v>2042</v>
      </c>
      <c r="C1860" s="0" t="s">
        <v>2333</v>
      </c>
      <c r="D1860" s="0" t="s">
        <v>2044</v>
      </c>
      <c r="E1860" s="0" t="s">
        <v>2045</v>
      </c>
      <c r="F1860" s="0" t="s">
        <v>2046</v>
      </c>
      <c r="G1860" s="0" t="s">
        <v>2056</v>
      </c>
      <c r="H1860" s="0" t="s">
        <v>2048</v>
      </c>
      <c r="I1860" s="0" t="s">
        <v>2322</v>
      </c>
      <c r="J1860" s="0" t="s">
        <v>2323</v>
      </c>
      <c r="K1860" s="272" t="n">
        <v>6.3435047058374</v>
      </c>
    </row>
    <row r="1861" customFormat="false" ht="15" hidden="false" customHeight="false" outlineLevel="0" collapsed="false">
      <c r="A1861" s="0" t="s">
        <v>2041</v>
      </c>
      <c r="B1861" s="0" t="s">
        <v>2042</v>
      </c>
      <c r="C1861" s="0" t="s">
        <v>2333</v>
      </c>
      <c r="D1861" s="0" t="s">
        <v>2044</v>
      </c>
      <c r="E1861" s="0" t="s">
        <v>2045</v>
      </c>
      <c r="F1861" s="0" t="s">
        <v>2051</v>
      </c>
      <c r="G1861" s="0" t="s">
        <v>2056</v>
      </c>
      <c r="H1861" s="0" t="s">
        <v>2052</v>
      </c>
      <c r="I1861" s="0" t="s">
        <v>2322</v>
      </c>
      <c r="J1861" s="0" t="s">
        <v>2323</v>
      </c>
      <c r="K1861" s="272" t="n">
        <v>64.1398809145903</v>
      </c>
    </row>
    <row r="1862" customFormat="false" ht="15" hidden="false" customHeight="false" outlineLevel="0" collapsed="false">
      <c r="A1862" s="0" t="s">
        <v>2041</v>
      </c>
      <c r="B1862" s="0" t="s">
        <v>2042</v>
      </c>
      <c r="C1862" s="0" t="s">
        <v>2333</v>
      </c>
      <c r="D1862" s="0" t="s">
        <v>2044</v>
      </c>
      <c r="E1862" s="0" t="s">
        <v>2045</v>
      </c>
      <c r="F1862" s="0" t="s">
        <v>2046</v>
      </c>
      <c r="G1862" s="0" t="s">
        <v>2057</v>
      </c>
      <c r="H1862" s="0" t="s">
        <v>2048</v>
      </c>
      <c r="I1862" s="0" t="s">
        <v>2322</v>
      </c>
      <c r="J1862" s="0" t="s">
        <v>2323</v>
      </c>
      <c r="K1862" s="272" t="n">
        <v>-6792.11100997415</v>
      </c>
    </row>
    <row r="1863" customFormat="false" ht="15" hidden="false" customHeight="false" outlineLevel="0" collapsed="false">
      <c r="A1863" s="0" t="s">
        <v>2041</v>
      </c>
      <c r="B1863" s="0" t="s">
        <v>2042</v>
      </c>
      <c r="C1863" s="0" t="s">
        <v>2333</v>
      </c>
      <c r="D1863" s="0" t="s">
        <v>2044</v>
      </c>
      <c r="E1863" s="0" t="s">
        <v>2045</v>
      </c>
      <c r="F1863" s="0" t="s">
        <v>2051</v>
      </c>
      <c r="G1863" s="0" t="s">
        <v>2057</v>
      </c>
      <c r="H1863" s="0" t="s">
        <v>2052</v>
      </c>
      <c r="I1863" s="0" t="s">
        <v>2322</v>
      </c>
      <c r="J1863" s="0" t="s">
        <v>2323</v>
      </c>
      <c r="K1863" s="272" t="n">
        <v>-6792.11100997415</v>
      </c>
    </row>
    <row r="1864" customFormat="false" ht="15" hidden="false" customHeight="false" outlineLevel="0" collapsed="false">
      <c r="A1864" s="0" t="s">
        <v>2041</v>
      </c>
      <c r="B1864" s="0" t="s">
        <v>2042</v>
      </c>
      <c r="C1864" s="0" t="s">
        <v>2333</v>
      </c>
      <c r="D1864" s="0" t="s">
        <v>2044</v>
      </c>
      <c r="E1864" s="0" t="s">
        <v>2045</v>
      </c>
      <c r="F1864" s="0" t="s">
        <v>2046</v>
      </c>
      <c r="G1864" s="0" t="s">
        <v>2058</v>
      </c>
      <c r="H1864" s="0" t="s">
        <v>2048</v>
      </c>
      <c r="I1864" s="0" t="s">
        <v>2322</v>
      </c>
      <c r="J1864" s="0" t="s">
        <v>2323</v>
      </c>
      <c r="K1864" s="272" t="n">
        <v>-41321.6330851969</v>
      </c>
    </row>
    <row r="1865" customFormat="false" ht="15" hidden="false" customHeight="false" outlineLevel="0" collapsed="false">
      <c r="A1865" s="0" t="s">
        <v>2041</v>
      </c>
      <c r="B1865" s="0" t="s">
        <v>2042</v>
      </c>
      <c r="C1865" s="0" t="s">
        <v>2333</v>
      </c>
      <c r="D1865" s="0" t="s">
        <v>2044</v>
      </c>
      <c r="E1865" s="0" t="s">
        <v>2045</v>
      </c>
      <c r="F1865" s="0" t="s">
        <v>2051</v>
      </c>
      <c r="G1865" s="0" t="s">
        <v>2058</v>
      </c>
      <c r="H1865" s="0" t="s">
        <v>2052</v>
      </c>
      <c r="I1865" s="0" t="s">
        <v>2322</v>
      </c>
      <c r="J1865" s="0" t="s">
        <v>2323</v>
      </c>
      <c r="K1865" s="272" t="n">
        <v>-10330.4082712992</v>
      </c>
    </row>
    <row r="1866" customFormat="false" ht="15" hidden="false" customHeight="false" outlineLevel="0" collapsed="false">
      <c r="A1866" s="0" t="s">
        <v>2041</v>
      </c>
      <c r="B1866" s="0" t="s">
        <v>2042</v>
      </c>
      <c r="C1866" s="0" t="s">
        <v>2333</v>
      </c>
      <c r="D1866" s="0" t="s">
        <v>2044</v>
      </c>
      <c r="E1866" s="0" t="s">
        <v>2045</v>
      </c>
      <c r="F1866" s="0" t="s">
        <v>2046</v>
      </c>
      <c r="G1866" s="0" t="s">
        <v>2060</v>
      </c>
      <c r="H1866" s="0" t="s">
        <v>2048</v>
      </c>
      <c r="I1866" s="0" t="s">
        <v>2322</v>
      </c>
      <c r="J1866" s="0" t="s">
        <v>2323</v>
      </c>
      <c r="K1866" s="272" t="n">
        <v>33288.3114279175</v>
      </c>
    </row>
    <row r="1867" customFormat="false" ht="15" hidden="false" customHeight="false" outlineLevel="0" collapsed="false">
      <c r="A1867" s="0" t="s">
        <v>2041</v>
      </c>
      <c r="B1867" s="0" t="s">
        <v>2042</v>
      </c>
      <c r="C1867" s="0" t="s">
        <v>2333</v>
      </c>
      <c r="D1867" s="0" t="s">
        <v>2044</v>
      </c>
      <c r="E1867" s="0" t="s">
        <v>2045</v>
      </c>
      <c r="F1867" s="0" t="s">
        <v>2051</v>
      </c>
      <c r="G1867" s="0" t="s">
        <v>2060</v>
      </c>
      <c r="H1867" s="0" t="s">
        <v>2052</v>
      </c>
      <c r="I1867" s="0" t="s">
        <v>2322</v>
      </c>
      <c r="J1867" s="0" t="s">
        <v>2323</v>
      </c>
      <c r="K1867" s="272" t="n">
        <v>336.245569978966</v>
      </c>
    </row>
    <row r="1868" customFormat="false" ht="15" hidden="false" customHeight="false" outlineLevel="0" collapsed="false">
      <c r="A1868" s="0" t="s">
        <v>2041</v>
      </c>
      <c r="B1868" s="0" t="s">
        <v>2042</v>
      </c>
      <c r="C1868" s="0" t="s">
        <v>2333</v>
      </c>
      <c r="D1868" s="0" t="s">
        <v>2044</v>
      </c>
      <c r="E1868" s="0" t="s">
        <v>2045</v>
      </c>
      <c r="F1868" s="0" t="s">
        <v>2046</v>
      </c>
      <c r="G1868" s="0" t="s">
        <v>2061</v>
      </c>
      <c r="H1868" s="0" t="s">
        <v>2048</v>
      </c>
      <c r="I1868" s="0" t="s">
        <v>2322</v>
      </c>
      <c r="J1868" s="0" t="s">
        <v>2323</v>
      </c>
      <c r="K1868" s="272" t="n">
        <v>-59864.0306943508</v>
      </c>
    </row>
    <row r="1869" customFormat="false" ht="15" hidden="false" customHeight="false" outlineLevel="0" collapsed="false">
      <c r="A1869" s="0" t="s">
        <v>2041</v>
      </c>
      <c r="B1869" s="0" t="s">
        <v>2042</v>
      </c>
      <c r="C1869" s="0" t="s">
        <v>2333</v>
      </c>
      <c r="D1869" s="0" t="s">
        <v>2044</v>
      </c>
      <c r="E1869" s="0" t="s">
        <v>2045</v>
      </c>
      <c r="F1869" s="0" t="s">
        <v>2051</v>
      </c>
      <c r="G1869" s="0" t="s">
        <v>2061</v>
      </c>
      <c r="H1869" s="0" t="s">
        <v>2052</v>
      </c>
      <c r="I1869" s="0" t="s">
        <v>2322</v>
      </c>
      <c r="J1869" s="0" t="s">
        <v>2323</v>
      </c>
      <c r="K1869" s="272" t="n">
        <v>-1221.71491212961</v>
      </c>
    </row>
    <row r="1870" customFormat="false" ht="15" hidden="false" customHeight="false" outlineLevel="0" collapsed="false">
      <c r="A1870" s="0" t="s">
        <v>2041</v>
      </c>
      <c r="B1870" s="0" t="s">
        <v>2042</v>
      </c>
      <c r="C1870" s="0" t="s">
        <v>2333</v>
      </c>
      <c r="D1870" s="0" t="s">
        <v>2044</v>
      </c>
      <c r="E1870" s="0" t="s">
        <v>2045</v>
      </c>
      <c r="F1870" s="0" t="s">
        <v>2046</v>
      </c>
      <c r="G1870" s="0" t="s">
        <v>2062</v>
      </c>
      <c r="H1870" s="0" t="s">
        <v>2048</v>
      </c>
      <c r="I1870" s="0" t="s">
        <v>2322</v>
      </c>
      <c r="J1870" s="0" t="s">
        <v>2323</v>
      </c>
      <c r="K1870" s="272" t="n">
        <v>-3463.43811433096</v>
      </c>
    </row>
    <row r="1871" customFormat="false" ht="15" hidden="false" customHeight="false" outlineLevel="0" collapsed="false">
      <c r="A1871" s="0" t="s">
        <v>2041</v>
      </c>
      <c r="B1871" s="0" t="s">
        <v>2042</v>
      </c>
      <c r="C1871" s="0" t="s">
        <v>2333</v>
      </c>
      <c r="D1871" s="0" t="s">
        <v>2044</v>
      </c>
      <c r="E1871" s="0" t="s">
        <v>2045</v>
      </c>
      <c r="F1871" s="0" t="s">
        <v>2051</v>
      </c>
      <c r="G1871" s="0" t="s">
        <v>2062</v>
      </c>
      <c r="H1871" s="0" t="s">
        <v>2052</v>
      </c>
      <c r="I1871" s="0" t="s">
        <v>2322</v>
      </c>
      <c r="J1871" s="0" t="s">
        <v>2323</v>
      </c>
      <c r="K1871" s="272" t="n">
        <v>-2002.81025299232</v>
      </c>
    </row>
    <row r="1872" customFormat="false" ht="15" hidden="false" customHeight="false" outlineLevel="0" collapsed="false">
      <c r="A1872" s="0" t="s">
        <v>2041</v>
      </c>
      <c r="B1872" s="0" t="s">
        <v>2042</v>
      </c>
      <c r="C1872" s="0" t="s">
        <v>2333</v>
      </c>
      <c r="D1872" s="0" t="s">
        <v>2044</v>
      </c>
      <c r="E1872" s="0" t="s">
        <v>2045</v>
      </c>
      <c r="F1872" s="0" t="s">
        <v>2046</v>
      </c>
      <c r="G1872" s="0" t="s">
        <v>2063</v>
      </c>
      <c r="H1872" s="0" t="s">
        <v>2048</v>
      </c>
      <c r="I1872" s="0" t="s">
        <v>2322</v>
      </c>
      <c r="J1872" s="0" t="s">
        <v>2323</v>
      </c>
      <c r="K1872" s="272" t="n">
        <v>-5190.02357859146</v>
      </c>
    </row>
    <row r="1873" customFormat="false" ht="15" hidden="false" customHeight="false" outlineLevel="0" collapsed="false">
      <c r="A1873" s="0" t="s">
        <v>2041</v>
      </c>
      <c r="B1873" s="0" t="s">
        <v>2042</v>
      </c>
      <c r="C1873" s="0" t="s">
        <v>2333</v>
      </c>
      <c r="D1873" s="0" t="s">
        <v>2044</v>
      </c>
      <c r="E1873" s="0" t="s">
        <v>2045</v>
      </c>
      <c r="F1873" s="0" t="s">
        <v>2051</v>
      </c>
      <c r="G1873" s="0" t="s">
        <v>2063</v>
      </c>
      <c r="H1873" s="0" t="s">
        <v>2052</v>
      </c>
      <c r="I1873" s="0" t="s">
        <v>2322</v>
      </c>
      <c r="J1873" s="0" t="s">
        <v>2323</v>
      </c>
      <c r="K1873" s="272" t="n">
        <v>-1297.50589464786</v>
      </c>
    </row>
    <row r="1874" customFormat="false" ht="15" hidden="false" customHeight="false" outlineLevel="0" collapsed="false">
      <c r="A1874" s="0" t="s">
        <v>2041</v>
      </c>
      <c r="B1874" s="0" t="s">
        <v>2042</v>
      </c>
      <c r="C1874" s="0" t="s">
        <v>2333</v>
      </c>
      <c r="D1874" s="0" t="s">
        <v>2044</v>
      </c>
      <c r="E1874" s="0" t="s">
        <v>2045</v>
      </c>
      <c r="F1874" s="0" t="s">
        <v>2046</v>
      </c>
      <c r="G1874" s="0" t="s">
        <v>2064</v>
      </c>
      <c r="H1874" s="0" t="s">
        <v>2048</v>
      </c>
      <c r="I1874" s="0" t="s">
        <v>2322</v>
      </c>
      <c r="J1874" s="0" t="s">
        <v>2323</v>
      </c>
      <c r="K1874" s="272" t="n">
        <v>-221172.956790716</v>
      </c>
    </row>
    <row r="1875" customFormat="false" ht="15" hidden="false" customHeight="false" outlineLevel="0" collapsed="false">
      <c r="A1875" s="0" t="s">
        <v>2041</v>
      </c>
      <c r="B1875" s="0" t="s">
        <v>2042</v>
      </c>
      <c r="C1875" s="0" t="s">
        <v>2333</v>
      </c>
      <c r="D1875" s="0" t="s">
        <v>2044</v>
      </c>
      <c r="E1875" s="0" t="s">
        <v>2045</v>
      </c>
      <c r="F1875" s="0" t="s">
        <v>2051</v>
      </c>
      <c r="G1875" s="0" t="s">
        <v>2064</v>
      </c>
      <c r="H1875" s="0" t="s">
        <v>2052</v>
      </c>
      <c r="I1875" s="0" t="s">
        <v>2322</v>
      </c>
      <c r="J1875" s="0" t="s">
        <v>2323</v>
      </c>
      <c r="K1875" s="272" t="n">
        <v>-208456.223131051</v>
      </c>
    </row>
    <row r="1876" customFormat="false" ht="15" hidden="false" customHeight="false" outlineLevel="0" collapsed="false">
      <c r="A1876" s="0" t="s">
        <v>2041</v>
      </c>
      <c r="B1876" s="0" t="s">
        <v>2042</v>
      </c>
      <c r="C1876" s="0" t="s">
        <v>2333</v>
      </c>
      <c r="D1876" s="0" t="s">
        <v>2044</v>
      </c>
      <c r="E1876" s="0" t="s">
        <v>2045</v>
      </c>
      <c r="F1876" s="0" t="s">
        <v>2046</v>
      </c>
      <c r="G1876" s="0" t="s">
        <v>2065</v>
      </c>
      <c r="H1876" s="0" t="s">
        <v>2048</v>
      </c>
      <c r="I1876" s="0" t="s">
        <v>2322</v>
      </c>
      <c r="J1876" s="0" t="s">
        <v>2323</v>
      </c>
      <c r="K1876" s="272" t="n">
        <v>3734.75255929167</v>
      </c>
    </row>
    <row r="1877" customFormat="false" ht="15" hidden="false" customHeight="false" outlineLevel="0" collapsed="false">
      <c r="A1877" s="0" t="s">
        <v>2041</v>
      </c>
      <c r="B1877" s="0" t="s">
        <v>2042</v>
      </c>
      <c r="C1877" s="0" t="s">
        <v>2333</v>
      </c>
      <c r="D1877" s="0" t="s">
        <v>2044</v>
      </c>
      <c r="E1877" s="0" t="s">
        <v>2045</v>
      </c>
      <c r="F1877" s="0" t="s">
        <v>2051</v>
      </c>
      <c r="G1877" s="0" t="s">
        <v>2065</v>
      </c>
      <c r="H1877" s="0" t="s">
        <v>2052</v>
      </c>
      <c r="I1877" s="0" t="s">
        <v>2322</v>
      </c>
      <c r="J1877" s="0" t="s">
        <v>2323</v>
      </c>
      <c r="K1877" s="272" t="n">
        <v>37.7247733261786</v>
      </c>
    </row>
    <row r="1878" customFormat="false" ht="15" hidden="false" customHeight="false" outlineLevel="0" collapsed="false">
      <c r="A1878" s="0" t="s">
        <v>2041</v>
      </c>
      <c r="B1878" s="0" t="s">
        <v>2042</v>
      </c>
      <c r="C1878" s="0" t="s">
        <v>2333</v>
      </c>
      <c r="D1878" s="0" t="s">
        <v>2044</v>
      </c>
      <c r="E1878" s="0" t="s">
        <v>2045</v>
      </c>
      <c r="F1878" s="0" t="s">
        <v>2046</v>
      </c>
      <c r="G1878" s="0" t="s">
        <v>2066</v>
      </c>
      <c r="H1878" s="0" t="s">
        <v>2048</v>
      </c>
      <c r="I1878" s="0" t="s">
        <v>2322</v>
      </c>
      <c r="J1878" s="0" t="s">
        <v>2323</v>
      </c>
      <c r="K1878" s="272" t="n">
        <v>-43270.7295061186</v>
      </c>
    </row>
    <row r="1879" customFormat="false" ht="15" hidden="false" customHeight="false" outlineLevel="0" collapsed="false">
      <c r="A1879" s="0" t="s">
        <v>2041</v>
      </c>
      <c r="B1879" s="0" t="s">
        <v>2042</v>
      </c>
      <c r="C1879" s="0" t="s">
        <v>2333</v>
      </c>
      <c r="D1879" s="0" t="s">
        <v>2044</v>
      </c>
      <c r="E1879" s="0" t="s">
        <v>2045</v>
      </c>
      <c r="F1879" s="0" t="s">
        <v>2051</v>
      </c>
      <c r="G1879" s="0" t="s">
        <v>2066</v>
      </c>
      <c r="H1879" s="0" t="s">
        <v>2052</v>
      </c>
      <c r="I1879" s="0" t="s">
        <v>2322</v>
      </c>
      <c r="J1879" s="0" t="s">
        <v>2323</v>
      </c>
      <c r="K1879" s="272" t="n">
        <v>-1333.549221022</v>
      </c>
    </row>
    <row r="1880" customFormat="false" ht="15" hidden="false" customHeight="false" outlineLevel="0" collapsed="false">
      <c r="A1880" s="0" t="s">
        <v>2041</v>
      </c>
      <c r="B1880" s="0" t="s">
        <v>2042</v>
      </c>
      <c r="C1880" s="0" t="s">
        <v>2333</v>
      </c>
      <c r="D1880" s="0" t="s">
        <v>2044</v>
      </c>
      <c r="E1880" s="0" t="s">
        <v>2045</v>
      </c>
      <c r="F1880" s="0" t="s">
        <v>2051</v>
      </c>
      <c r="G1880" s="0" t="s">
        <v>2067</v>
      </c>
      <c r="H1880" s="0" t="s">
        <v>2052</v>
      </c>
      <c r="I1880" s="0" t="s">
        <v>2322</v>
      </c>
      <c r="J1880" s="0" t="s">
        <v>2323</v>
      </c>
      <c r="K1880" s="272" t="n">
        <v>-8685.55177793838</v>
      </c>
    </row>
    <row r="1881" customFormat="false" ht="15" hidden="false" customHeight="false" outlineLevel="0" collapsed="false">
      <c r="A1881" s="0" t="s">
        <v>2041</v>
      </c>
      <c r="B1881" s="0" t="s">
        <v>2042</v>
      </c>
      <c r="C1881" s="0" t="s">
        <v>2333</v>
      </c>
      <c r="D1881" s="0" t="s">
        <v>2044</v>
      </c>
      <c r="E1881" s="0" t="s">
        <v>2045</v>
      </c>
      <c r="F1881" s="0" t="s">
        <v>2046</v>
      </c>
      <c r="G1881" s="0" t="s">
        <v>2068</v>
      </c>
      <c r="H1881" s="0" t="s">
        <v>2048</v>
      </c>
      <c r="I1881" s="0" t="s">
        <v>2322</v>
      </c>
      <c r="J1881" s="0" t="s">
        <v>2323</v>
      </c>
      <c r="K1881" s="272" t="n">
        <v>-155008.270081339</v>
      </c>
    </row>
    <row r="1882" customFormat="false" ht="15" hidden="false" customHeight="false" outlineLevel="0" collapsed="false">
      <c r="A1882" s="0" t="s">
        <v>2041</v>
      </c>
      <c r="B1882" s="0" t="s">
        <v>2042</v>
      </c>
      <c r="C1882" s="0" t="s">
        <v>2333</v>
      </c>
      <c r="D1882" s="0" t="s">
        <v>2044</v>
      </c>
      <c r="E1882" s="0" t="s">
        <v>2045</v>
      </c>
      <c r="F1882" s="0" t="s">
        <v>2051</v>
      </c>
      <c r="G1882" s="0" t="s">
        <v>2068</v>
      </c>
      <c r="H1882" s="0" t="s">
        <v>2052</v>
      </c>
      <c r="I1882" s="0" t="s">
        <v>2322</v>
      </c>
      <c r="J1882" s="0" t="s">
        <v>2323</v>
      </c>
      <c r="K1882" s="272" t="n">
        <v>1262.41119773462</v>
      </c>
    </row>
    <row r="1883" customFormat="false" ht="15" hidden="false" customHeight="false" outlineLevel="0" collapsed="false">
      <c r="A1883" s="0" t="s">
        <v>2041</v>
      </c>
      <c r="B1883" s="0" t="s">
        <v>2042</v>
      </c>
      <c r="C1883" s="0" t="s">
        <v>2333</v>
      </c>
      <c r="D1883" s="0" t="s">
        <v>2044</v>
      </c>
      <c r="E1883" s="0" t="s">
        <v>2045</v>
      </c>
      <c r="F1883" s="0" t="s">
        <v>2046</v>
      </c>
      <c r="G1883" s="0" t="s">
        <v>2069</v>
      </c>
      <c r="H1883" s="0" t="s">
        <v>2048</v>
      </c>
      <c r="I1883" s="0" t="s">
        <v>2322</v>
      </c>
      <c r="J1883" s="0" t="s">
        <v>2323</v>
      </c>
      <c r="K1883" s="272" t="n">
        <v>12607.178684113</v>
      </c>
    </row>
    <row r="1884" customFormat="false" ht="15" hidden="false" customHeight="false" outlineLevel="0" collapsed="false">
      <c r="A1884" s="0" t="s">
        <v>2041</v>
      </c>
      <c r="B1884" s="0" t="s">
        <v>2042</v>
      </c>
      <c r="C1884" s="0" t="s">
        <v>2333</v>
      </c>
      <c r="D1884" s="0" t="s">
        <v>2044</v>
      </c>
      <c r="E1884" s="0" t="s">
        <v>2045</v>
      </c>
      <c r="F1884" s="0" t="s">
        <v>2046</v>
      </c>
      <c r="G1884" s="0" t="s">
        <v>2070</v>
      </c>
      <c r="H1884" s="0" t="s">
        <v>2048</v>
      </c>
      <c r="I1884" s="0" t="s">
        <v>2322</v>
      </c>
      <c r="J1884" s="0" t="s">
        <v>2323</v>
      </c>
      <c r="K1884" s="272" t="n">
        <v>-325.641775954573</v>
      </c>
    </row>
    <row r="1885" customFormat="false" ht="15" hidden="false" customHeight="false" outlineLevel="0" collapsed="false">
      <c r="A1885" s="0" t="s">
        <v>2041</v>
      </c>
      <c r="B1885" s="0" t="s">
        <v>2042</v>
      </c>
      <c r="C1885" s="0" t="s">
        <v>2333</v>
      </c>
      <c r="D1885" s="0" t="s">
        <v>2044</v>
      </c>
      <c r="E1885" s="0" t="s">
        <v>2045</v>
      </c>
      <c r="F1885" s="0" t="s">
        <v>2051</v>
      </c>
      <c r="G1885" s="0" t="s">
        <v>2070</v>
      </c>
      <c r="H1885" s="0" t="s">
        <v>2052</v>
      </c>
      <c r="I1885" s="0" t="s">
        <v>2322</v>
      </c>
      <c r="J1885" s="0" t="s">
        <v>2323</v>
      </c>
      <c r="K1885" s="272" t="n">
        <v>802.922049891087</v>
      </c>
    </row>
    <row r="1886" customFormat="false" ht="15" hidden="false" customHeight="false" outlineLevel="0" collapsed="false">
      <c r="A1886" s="0" t="s">
        <v>2041</v>
      </c>
      <c r="B1886" s="0" t="s">
        <v>2042</v>
      </c>
      <c r="C1886" s="0" t="s">
        <v>2333</v>
      </c>
      <c r="D1886" s="0" t="s">
        <v>2044</v>
      </c>
      <c r="E1886" s="0" t="s">
        <v>2045</v>
      </c>
      <c r="F1886" s="0" t="s">
        <v>2046</v>
      </c>
      <c r="G1886" s="0" t="s">
        <v>2071</v>
      </c>
      <c r="H1886" s="0" t="s">
        <v>2048</v>
      </c>
      <c r="I1886" s="0" t="s">
        <v>2322</v>
      </c>
      <c r="J1886" s="0" t="s">
        <v>2323</v>
      </c>
      <c r="K1886" s="272" t="n">
        <v>-32016.4676525782</v>
      </c>
    </row>
    <row r="1887" customFormat="false" ht="15" hidden="false" customHeight="false" outlineLevel="0" collapsed="false">
      <c r="A1887" s="0" t="s">
        <v>2041</v>
      </c>
      <c r="B1887" s="0" t="s">
        <v>2042</v>
      </c>
      <c r="C1887" s="0" t="s">
        <v>2333</v>
      </c>
      <c r="D1887" s="0" t="s">
        <v>2044</v>
      </c>
      <c r="E1887" s="0" t="s">
        <v>2045</v>
      </c>
      <c r="F1887" s="0" t="s">
        <v>2051</v>
      </c>
      <c r="G1887" s="0" t="s">
        <v>2071</v>
      </c>
      <c r="H1887" s="0" t="s">
        <v>2052</v>
      </c>
      <c r="I1887" s="0" t="s">
        <v>2322</v>
      </c>
      <c r="J1887" s="0" t="s">
        <v>2323</v>
      </c>
      <c r="K1887" s="272" t="n">
        <v>-5649.96487986675</v>
      </c>
    </row>
    <row r="1888" customFormat="false" ht="15" hidden="false" customHeight="false" outlineLevel="0" collapsed="false">
      <c r="A1888" s="0" t="s">
        <v>2041</v>
      </c>
      <c r="B1888" s="0" t="s">
        <v>2042</v>
      </c>
      <c r="C1888" s="0" t="s">
        <v>2333</v>
      </c>
      <c r="D1888" s="0" t="s">
        <v>2044</v>
      </c>
      <c r="E1888" s="0" t="s">
        <v>2045</v>
      </c>
      <c r="F1888" s="0" t="s">
        <v>2046</v>
      </c>
      <c r="G1888" s="0" t="s">
        <v>2072</v>
      </c>
      <c r="H1888" s="0" t="s">
        <v>2048</v>
      </c>
      <c r="I1888" s="0" t="s">
        <v>2322</v>
      </c>
      <c r="J1888" s="0" t="s">
        <v>2323</v>
      </c>
      <c r="K1888" s="272" t="n">
        <v>-11105.8566747198</v>
      </c>
    </row>
    <row r="1889" customFormat="false" ht="15" hidden="false" customHeight="false" outlineLevel="0" collapsed="false">
      <c r="A1889" s="0" t="s">
        <v>2041</v>
      </c>
      <c r="B1889" s="0" t="s">
        <v>2042</v>
      </c>
      <c r="C1889" s="0" t="s">
        <v>2333</v>
      </c>
      <c r="D1889" s="0" t="s">
        <v>2044</v>
      </c>
      <c r="E1889" s="0" t="s">
        <v>2045</v>
      </c>
      <c r="F1889" s="0" t="s">
        <v>2051</v>
      </c>
      <c r="G1889" s="0" t="s">
        <v>2072</v>
      </c>
      <c r="H1889" s="0" t="s">
        <v>2052</v>
      </c>
      <c r="I1889" s="0" t="s">
        <v>2322</v>
      </c>
      <c r="J1889" s="0" t="s">
        <v>2323</v>
      </c>
      <c r="K1889" s="272" t="n">
        <v>-10050.8685505646</v>
      </c>
    </row>
    <row r="1890" customFormat="false" ht="15" hidden="false" customHeight="false" outlineLevel="0" collapsed="false">
      <c r="A1890" s="0" t="s">
        <v>2041</v>
      </c>
      <c r="B1890" s="0" t="s">
        <v>2042</v>
      </c>
      <c r="C1890" s="0" t="s">
        <v>2333</v>
      </c>
      <c r="D1890" s="0" t="s">
        <v>2044</v>
      </c>
      <c r="E1890" s="0" t="s">
        <v>2045</v>
      </c>
      <c r="F1890" s="0" t="s">
        <v>2046</v>
      </c>
      <c r="G1890" s="0" t="s">
        <v>2073</v>
      </c>
      <c r="H1890" s="0" t="s">
        <v>2048</v>
      </c>
      <c r="I1890" s="0" t="s">
        <v>2322</v>
      </c>
      <c r="J1890" s="0" t="s">
        <v>2323</v>
      </c>
      <c r="K1890" s="272" t="n">
        <v>677.896337103972</v>
      </c>
    </row>
    <row r="1891" customFormat="false" ht="15" hidden="false" customHeight="false" outlineLevel="0" collapsed="false">
      <c r="A1891" s="0" t="s">
        <v>2041</v>
      </c>
      <c r="B1891" s="0" t="s">
        <v>2042</v>
      </c>
      <c r="C1891" s="0" t="s">
        <v>2333</v>
      </c>
      <c r="D1891" s="0" t="s">
        <v>2044</v>
      </c>
      <c r="E1891" s="0" t="s">
        <v>2045</v>
      </c>
      <c r="F1891" s="0" t="s">
        <v>2051</v>
      </c>
      <c r="G1891" s="0" t="s">
        <v>2073</v>
      </c>
      <c r="H1891" s="0" t="s">
        <v>2052</v>
      </c>
      <c r="I1891" s="0" t="s">
        <v>2322</v>
      </c>
      <c r="J1891" s="0" t="s">
        <v>2323</v>
      </c>
      <c r="K1891" s="272" t="n">
        <v>-34754.6713267233</v>
      </c>
    </row>
    <row r="1892" customFormat="false" ht="15" hidden="false" customHeight="false" outlineLevel="0" collapsed="false">
      <c r="A1892" s="0" t="s">
        <v>2041</v>
      </c>
      <c r="B1892" s="0" t="s">
        <v>2042</v>
      </c>
      <c r="C1892" s="0" t="s">
        <v>2333</v>
      </c>
      <c r="D1892" s="0" t="s">
        <v>2044</v>
      </c>
      <c r="E1892" s="0" t="s">
        <v>2045</v>
      </c>
      <c r="F1892" s="0" t="s">
        <v>2046</v>
      </c>
      <c r="G1892" s="0" t="s">
        <v>2074</v>
      </c>
      <c r="H1892" s="0" t="s">
        <v>2048</v>
      </c>
      <c r="I1892" s="0" t="s">
        <v>2322</v>
      </c>
      <c r="J1892" s="0" t="s">
        <v>2323</v>
      </c>
      <c r="K1892" s="272" t="n">
        <v>-341.419231436114</v>
      </c>
    </row>
    <row r="1893" customFormat="false" ht="15" hidden="false" customHeight="false" outlineLevel="0" collapsed="false">
      <c r="A1893" s="0" t="s">
        <v>2041</v>
      </c>
      <c r="B1893" s="0" t="s">
        <v>2042</v>
      </c>
      <c r="C1893" s="0" t="s">
        <v>2333</v>
      </c>
      <c r="D1893" s="0" t="s">
        <v>2044</v>
      </c>
      <c r="E1893" s="0" t="s">
        <v>2045</v>
      </c>
      <c r="F1893" s="0" t="s">
        <v>2051</v>
      </c>
      <c r="G1893" s="0" t="s">
        <v>2074</v>
      </c>
      <c r="H1893" s="0" t="s">
        <v>2052</v>
      </c>
      <c r="I1893" s="0" t="s">
        <v>2322</v>
      </c>
      <c r="J1893" s="0" t="s">
        <v>2323</v>
      </c>
      <c r="K1893" s="272" t="n">
        <v>-341.419231436114</v>
      </c>
    </row>
    <row r="1894" customFormat="false" ht="15" hidden="false" customHeight="false" outlineLevel="0" collapsed="false">
      <c r="A1894" s="0" t="s">
        <v>2041</v>
      </c>
      <c r="B1894" s="0" t="s">
        <v>2042</v>
      </c>
      <c r="C1894" s="0" t="s">
        <v>2333</v>
      </c>
      <c r="D1894" s="0" t="s">
        <v>2044</v>
      </c>
      <c r="E1894" s="0" t="s">
        <v>2045</v>
      </c>
      <c r="F1894" s="0" t="s">
        <v>2046</v>
      </c>
      <c r="G1894" s="0" t="s">
        <v>2075</v>
      </c>
      <c r="H1894" s="0" t="s">
        <v>2048</v>
      </c>
      <c r="I1894" s="0" t="s">
        <v>2322</v>
      </c>
      <c r="J1894" s="0" t="s">
        <v>2323</v>
      </c>
      <c r="K1894" s="272" t="n">
        <v>-7.68437300104051</v>
      </c>
    </row>
    <row r="1895" customFormat="false" ht="15" hidden="false" customHeight="false" outlineLevel="0" collapsed="false">
      <c r="A1895" s="0" t="s">
        <v>2041</v>
      </c>
      <c r="B1895" s="0" t="s">
        <v>2042</v>
      </c>
      <c r="C1895" s="0" t="s">
        <v>2333</v>
      </c>
      <c r="D1895" s="0" t="s">
        <v>2044</v>
      </c>
      <c r="E1895" s="0" t="s">
        <v>2045</v>
      </c>
      <c r="F1895" s="0" t="s">
        <v>2051</v>
      </c>
      <c r="G1895" s="0" t="s">
        <v>2075</v>
      </c>
      <c r="H1895" s="0" t="s">
        <v>2052</v>
      </c>
      <c r="I1895" s="0" t="s">
        <v>2322</v>
      </c>
      <c r="J1895" s="0" t="s">
        <v>2323</v>
      </c>
      <c r="K1895" s="272" t="n">
        <v>-248.461393700331</v>
      </c>
    </row>
    <row r="1896" customFormat="false" ht="15" hidden="false" customHeight="false" outlineLevel="0" collapsed="false">
      <c r="A1896" s="0" t="s">
        <v>2041</v>
      </c>
      <c r="B1896" s="0" t="s">
        <v>2042</v>
      </c>
      <c r="C1896" s="0" t="s">
        <v>2333</v>
      </c>
      <c r="D1896" s="0" t="s">
        <v>2044</v>
      </c>
      <c r="E1896" s="0" t="s">
        <v>2045</v>
      </c>
      <c r="F1896" s="0" t="s">
        <v>2046</v>
      </c>
      <c r="G1896" s="0" t="s">
        <v>2076</v>
      </c>
      <c r="H1896" s="0" t="s">
        <v>2048</v>
      </c>
      <c r="I1896" s="0" t="s">
        <v>2322</v>
      </c>
      <c r="J1896" s="0" t="s">
        <v>2323</v>
      </c>
      <c r="K1896" s="272" t="n">
        <v>-68362.8782862711</v>
      </c>
    </row>
    <row r="1897" customFormat="false" ht="15" hidden="false" customHeight="false" outlineLevel="0" collapsed="false">
      <c r="A1897" s="0" t="s">
        <v>2041</v>
      </c>
      <c r="B1897" s="0" t="s">
        <v>2042</v>
      </c>
      <c r="C1897" s="0" t="s">
        <v>2333</v>
      </c>
      <c r="D1897" s="0" t="s">
        <v>2044</v>
      </c>
      <c r="E1897" s="0" t="s">
        <v>2045</v>
      </c>
      <c r="F1897" s="0" t="s">
        <v>2051</v>
      </c>
      <c r="G1897" s="0" t="s">
        <v>2076</v>
      </c>
      <c r="H1897" s="0" t="s">
        <v>2052</v>
      </c>
      <c r="I1897" s="0" t="s">
        <v>2322</v>
      </c>
      <c r="J1897" s="0" t="s">
        <v>2323</v>
      </c>
      <c r="K1897" s="272" t="n">
        <v>-220276.78348887</v>
      </c>
    </row>
    <row r="1898" customFormat="false" ht="15" hidden="false" customHeight="false" outlineLevel="0" collapsed="false">
      <c r="A1898" s="0" t="s">
        <v>2041</v>
      </c>
      <c r="B1898" s="0" t="s">
        <v>2042</v>
      </c>
      <c r="C1898" s="0" t="s">
        <v>2333</v>
      </c>
      <c r="D1898" s="0" t="s">
        <v>2044</v>
      </c>
      <c r="E1898" s="0" t="s">
        <v>2045</v>
      </c>
      <c r="F1898" s="0" t="s">
        <v>2046</v>
      </c>
      <c r="G1898" s="0" t="s">
        <v>2077</v>
      </c>
      <c r="H1898" s="0" t="s">
        <v>2048</v>
      </c>
      <c r="I1898" s="0" t="s">
        <v>2322</v>
      </c>
      <c r="J1898" s="0" t="s">
        <v>2323</v>
      </c>
      <c r="K1898" s="272" t="n">
        <v>-2107.59495191427</v>
      </c>
    </row>
    <row r="1899" customFormat="false" ht="15" hidden="false" customHeight="false" outlineLevel="0" collapsed="false">
      <c r="A1899" s="0" t="s">
        <v>2041</v>
      </c>
      <c r="B1899" s="0" t="s">
        <v>2042</v>
      </c>
      <c r="C1899" s="0" t="s">
        <v>2333</v>
      </c>
      <c r="D1899" s="0" t="s">
        <v>2044</v>
      </c>
      <c r="E1899" s="0" t="s">
        <v>2045</v>
      </c>
      <c r="F1899" s="0" t="s">
        <v>2051</v>
      </c>
      <c r="G1899" s="0" t="s">
        <v>2077</v>
      </c>
      <c r="H1899" s="0" t="s">
        <v>2052</v>
      </c>
      <c r="I1899" s="0" t="s">
        <v>2322</v>
      </c>
      <c r="J1899" s="0" t="s">
        <v>2323</v>
      </c>
      <c r="K1899" s="272" t="n">
        <v>-234.177216879367</v>
      </c>
    </row>
    <row r="1900" customFormat="false" ht="15" hidden="false" customHeight="false" outlineLevel="0" collapsed="false">
      <c r="A1900" s="0" t="s">
        <v>2041</v>
      </c>
      <c r="B1900" s="0" t="s">
        <v>2042</v>
      </c>
      <c r="C1900" s="0" t="s">
        <v>2333</v>
      </c>
      <c r="D1900" s="0" t="s">
        <v>2044</v>
      </c>
      <c r="E1900" s="0" t="s">
        <v>2045</v>
      </c>
      <c r="F1900" s="0" t="s">
        <v>2046</v>
      </c>
      <c r="G1900" s="0" t="s">
        <v>2078</v>
      </c>
      <c r="H1900" s="0" t="s">
        <v>2048</v>
      </c>
      <c r="I1900" s="0" t="s">
        <v>2322</v>
      </c>
      <c r="J1900" s="0" t="s">
        <v>2323</v>
      </c>
      <c r="K1900" s="272" t="n">
        <v>-29138.2209676931</v>
      </c>
    </row>
    <row r="1901" customFormat="false" ht="15" hidden="false" customHeight="false" outlineLevel="0" collapsed="false">
      <c r="A1901" s="0" t="s">
        <v>2041</v>
      </c>
      <c r="B1901" s="0" t="s">
        <v>2042</v>
      </c>
      <c r="C1901" s="0" t="s">
        <v>2333</v>
      </c>
      <c r="D1901" s="0" t="s">
        <v>2044</v>
      </c>
      <c r="E1901" s="0" t="s">
        <v>2045</v>
      </c>
      <c r="F1901" s="0" t="s">
        <v>2051</v>
      </c>
      <c r="G1901" s="0" t="s">
        <v>2078</v>
      </c>
      <c r="H1901" s="0" t="s">
        <v>2052</v>
      </c>
      <c r="I1901" s="0" t="s">
        <v>2322</v>
      </c>
      <c r="J1901" s="0" t="s">
        <v>2323</v>
      </c>
      <c r="K1901" s="272" t="n">
        <v>-3237.58010752146</v>
      </c>
    </row>
    <row r="1902" customFormat="false" ht="15" hidden="false" customHeight="false" outlineLevel="0" collapsed="false">
      <c r="A1902" s="0" t="s">
        <v>2041</v>
      </c>
      <c r="B1902" s="0" t="s">
        <v>2042</v>
      </c>
      <c r="C1902" s="0" t="s">
        <v>2333</v>
      </c>
      <c r="D1902" s="0" t="s">
        <v>2044</v>
      </c>
      <c r="E1902" s="0" t="s">
        <v>2045</v>
      </c>
      <c r="F1902" s="0" t="s">
        <v>2046</v>
      </c>
      <c r="G1902" s="0" t="s">
        <v>2079</v>
      </c>
      <c r="H1902" s="0" t="s">
        <v>2048</v>
      </c>
      <c r="I1902" s="0" t="s">
        <v>2322</v>
      </c>
      <c r="J1902" s="0" t="s">
        <v>2323</v>
      </c>
      <c r="K1902" s="272" t="n">
        <v>-6254.66607044631</v>
      </c>
    </row>
    <row r="1903" customFormat="false" ht="15" hidden="false" customHeight="false" outlineLevel="0" collapsed="false">
      <c r="A1903" s="0" t="s">
        <v>2041</v>
      </c>
      <c r="B1903" s="0" t="s">
        <v>2042</v>
      </c>
      <c r="C1903" s="0" t="s">
        <v>2333</v>
      </c>
      <c r="D1903" s="0" t="s">
        <v>2044</v>
      </c>
      <c r="E1903" s="0" t="s">
        <v>2045</v>
      </c>
      <c r="F1903" s="0" t="s">
        <v>2046</v>
      </c>
      <c r="G1903" s="0" t="s">
        <v>2080</v>
      </c>
      <c r="H1903" s="0" t="s">
        <v>2048</v>
      </c>
      <c r="I1903" s="0" t="s">
        <v>2322</v>
      </c>
      <c r="J1903" s="0" t="s">
        <v>2323</v>
      </c>
      <c r="K1903" s="272" t="n">
        <v>-72671.8510852347</v>
      </c>
    </row>
    <row r="1904" customFormat="false" ht="15" hidden="false" customHeight="false" outlineLevel="0" collapsed="false">
      <c r="A1904" s="0" t="s">
        <v>2041</v>
      </c>
      <c r="B1904" s="0" t="s">
        <v>2042</v>
      </c>
      <c r="C1904" s="0" t="s">
        <v>2333</v>
      </c>
      <c r="D1904" s="0" t="s">
        <v>2044</v>
      </c>
      <c r="E1904" s="0" t="s">
        <v>2045</v>
      </c>
      <c r="F1904" s="0" t="s">
        <v>2051</v>
      </c>
      <c r="G1904" s="0" t="s">
        <v>2080</v>
      </c>
      <c r="H1904" s="0" t="s">
        <v>2052</v>
      </c>
      <c r="I1904" s="0" t="s">
        <v>2322</v>
      </c>
      <c r="J1904" s="0" t="s">
        <v>2323</v>
      </c>
      <c r="K1904" s="272" t="n">
        <v>-3397.36199897052</v>
      </c>
    </row>
    <row r="1905" customFormat="false" ht="15" hidden="false" customHeight="false" outlineLevel="0" collapsed="false">
      <c r="A1905" s="0" t="s">
        <v>2041</v>
      </c>
      <c r="B1905" s="0" t="s">
        <v>2042</v>
      </c>
      <c r="C1905" s="0" t="s">
        <v>2333</v>
      </c>
      <c r="D1905" s="0" t="s">
        <v>2044</v>
      </c>
      <c r="E1905" s="0" t="s">
        <v>2045</v>
      </c>
      <c r="F1905" s="0" t="s">
        <v>2046</v>
      </c>
      <c r="G1905" s="0" t="s">
        <v>2081</v>
      </c>
      <c r="H1905" s="0" t="s">
        <v>2048</v>
      </c>
      <c r="I1905" s="0" t="s">
        <v>2322</v>
      </c>
      <c r="J1905" s="0" t="s">
        <v>2323</v>
      </c>
      <c r="K1905" s="272" t="n">
        <v>-92395.3339893501</v>
      </c>
    </row>
    <row r="1906" customFormat="false" ht="15" hidden="false" customHeight="false" outlineLevel="0" collapsed="false">
      <c r="A1906" s="0" t="s">
        <v>2041</v>
      </c>
      <c r="B1906" s="0" t="s">
        <v>2042</v>
      </c>
      <c r="C1906" s="0" t="s">
        <v>2333</v>
      </c>
      <c r="D1906" s="0" t="s">
        <v>2044</v>
      </c>
      <c r="E1906" s="0" t="s">
        <v>2045</v>
      </c>
      <c r="F1906" s="0" t="s">
        <v>2051</v>
      </c>
      <c r="G1906" s="0" t="s">
        <v>2081</v>
      </c>
      <c r="H1906" s="0" t="s">
        <v>2052</v>
      </c>
      <c r="I1906" s="0" t="s">
        <v>2322</v>
      </c>
      <c r="J1906" s="0" t="s">
        <v>2323</v>
      </c>
      <c r="K1906" s="272" t="n">
        <v>1297.42724474764</v>
      </c>
    </row>
    <row r="1907" customFormat="false" ht="15" hidden="false" customHeight="false" outlineLevel="0" collapsed="false">
      <c r="A1907" s="0" t="s">
        <v>2041</v>
      </c>
      <c r="B1907" s="0" t="s">
        <v>2042</v>
      </c>
      <c r="C1907" s="0" t="s">
        <v>2333</v>
      </c>
      <c r="D1907" s="0" t="s">
        <v>2044</v>
      </c>
      <c r="E1907" s="0" t="s">
        <v>2045</v>
      </c>
      <c r="F1907" s="0" t="s">
        <v>2046</v>
      </c>
      <c r="G1907" s="0" t="s">
        <v>2082</v>
      </c>
      <c r="H1907" s="0" t="s">
        <v>2048</v>
      </c>
      <c r="I1907" s="0" t="s">
        <v>2322</v>
      </c>
      <c r="J1907" s="0" t="s">
        <v>2323</v>
      </c>
      <c r="K1907" s="272" t="n">
        <v>-368041.820908495</v>
      </c>
    </row>
    <row r="1908" customFormat="false" ht="15" hidden="false" customHeight="false" outlineLevel="0" collapsed="false">
      <c r="A1908" s="0" t="s">
        <v>2041</v>
      </c>
      <c r="B1908" s="0" t="s">
        <v>2042</v>
      </c>
      <c r="C1908" s="0" t="s">
        <v>2333</v>
      </c>
      <c r="D1908" s="0" t="s">
        <v>2044</v>
      </c>
      <c r="E1908" s="0" t="s">
        <v>2045</v>
      </c>
      <c r="F1908" s="0" t="s">
        <v>2046</v>
      </c>
      <c r="G1908" s="0" t="s">
        <v>2083</v>
      </c>
      <c r="H1908" s="0" t="s">
        <v>2048</v>
      </c>
      <c r="I1908" s="0" t="s">
        <v>2322</v>
      </c>
      <c r="J1908" s="0" t="s">
        <v>2323</v>
      </c>
      <c r="K1908" s="272" t="n">
        <v>-27327.8489209912</v>
      </c>
    </row>
    <row r="1909" customFormat="false" ht="15" hidden="false" customHeight="false" outlineLevel="0" collapsed="false">
      <c r="A1909" s="0" t="s">
        <v>2041</v>
      </c>
      <c r="B1909" s="0" t="s">
        <v>2042</v>
      </c>
      <c r="C1909" s="0" t="s">
        <v>2333</v>
      </c>
      <c r="D1909" s="0" t="s">
        <v>2044</v>
      </c>
      <c r="E1909" s="0" t="s">
        <v>2045</v>
      </c>
      <c r="F1909" s="0" t="s">
        <v>2051</v>
      </c>
      <c r="G1909" s="0" t="s">
        <v>2083</v>
      </c>
      <c r="H1909" s="0" t="s">
        <v>2052</v>
      </c>
      <c r="I1909" s="0" t="s">
        <v>2322</v>
      </c>
      <c r="J1909" s="0" t="s">
        <v>2323</v>
      </c>
      <c r="K1909" s="272" t="n">
        <v>-1597.65964775054</v>
      </c>
    </row>
    <row r="1910" customFormat="false" ht="15" hidden="false" customHeight="false" outlineLevel="0" collapsed="false">
      <c r="A1910" s="0" t="s">
        <v>2041</v>
      </c>
      <c r="B1910" s="0" t="s">
        <v>2042</v>
      </c>
      <c r="C1910" s="0" t="s">
        <v>2333</v>
      </c>
      <c r="D1910" s="0" t="s">
        <v>2044</v>
      </c>
      <c r="E1910" s="0" t="s">
        <v>2045</v>
      </c>
      <c r="F1910" s="0" t="s">
        <v>2046</v>
      </c>
      <c r="G1910" s="0" t="s">
        <v>2084</v>
      </c>
      <c r="H1910" s="0" t="s">
        <v>2048</v>
      </c>
      <c r="I1910" s="0" t="s">
        <v>2322</v>
      </c>
      <c r="J1910" s="0" t="s">
        <v>2323</v>
      </c>
      <c r="K1910" s="272" t="n">
        <v>-2121.88124370982</v>
      </c>
    </row>
    <row r="1911" customFormat="false" ht="15" hidden="false" customHeight="false" outlineLevel="0" collapsed="false">
      <c r="A1911" s="0" t="s">
        <v>2041</v>
      </c>
      <c r="B1911" s="0" t="s">
        <v>2042</v>
      </c>
      <c r="C1911" s="0" t="s">
        <v>2333</v>
      </c>
      <c r="D1911" s="0" t="s">
        <v>2044</v>
      </c>
      <c r="E1911" s="0" t="s">
        <v>2045</v>
      </c>
      <c r="F1911" s="0" t="s">
        <v>2051</v>
      </c>
      <c r="G1911" s="0" t="s">
        <v>2084</v>
      </c>
      <c r="H1911" s="0" t="s">
        <v>2052</v>
      </c>
      <c r="I1911" s="0" t="s">
        <v>2322</v>
      </c>
      <c r="J1911" s="0" t="s">
        <v>2323</v>
      </c>
      <c r="K1911" s="272" t="n">
        <v>-5039.72032110111</v>
      </c>
    </row>
    <row r="1912" customFormat="false" ht="15" hidden="false" customHeight="false" outlineLevel="0" collapsed="false">
      <c r="A1912" s="0" t="s">
        <v>2041</v>
      </c>
      <c r="B1912" s="0" t="s">
        <v>2042</v>
      </c>
      <c r="C1912" s="0" t="s">
        <v>2333</v>
      </c>
      <c r="D1912" s="0" t="s">
        <v>2044</v>
      </c>
      <c r="E1912" s="0" t="s">
        <v>2045</v>
      </c>
      <c r="F1912" s="0" t="s">
        <v>2046</v>
      </c>
      <c r="G1912" s="0" t="s">
        <v>2085</v>
      </c>
      <c r="H1912" s="0" t="s">
        <v>2048</v>
      </c>
      <c r="I1912" s="0" t="s">
        <v>2322</v>
      </c>
      <c r="J1912" s="0" t="s">
        <v>2323</v>
      </c>
      <c r="K1912" s="272" t="n">
        <v>-66979.8086644718</v>
      </c>
    </row>
    <row r="1913" customFormat="false" ht="15" hidden="false" customHeight="false" outlineLevel="0" collapsed="false">
      <c r="A1913" s="0" t="s">
        <v>2041</v>
      </c>
      <c r="B1913" s="0" t="s">
        <v>2042</v>
      </c>
      <c r="C1913" s="0" t="s">
        <v>2333</v>
      </c>
      <c r="D1913" s="0" t="s">
        <v>2044</v>
      </c>
      <c r="E1913" s="0" t="s">
        <v>2045</v>
      </c>
      <c r="F1913" s="0" t="s">
        <v>2051</v>
      </c>
      <c r="G1913" s="0" t="s">
        <v>2085</v>
      </c>
      <c r="H1913" s="0" t="s">
        <v>2052</v>
      </c>
      <c r="I1913" s="0" t="s">
        <v>2322</v>
      </c>
      <c r="J1913" s="0" t="s">
        <v>2323</v>
      </c>
      <c r="K1913" s="272" t="n">
        <v>-1026.00472790319</v>
      </c>
    </row>
    <row r="1914" customFormat="false" ht="15" hidden="false" customHeight="false" outlineLevel="0" collapsed="false">
      <c r="A1914" s="0" t="s">
        <v>2041</v>
      </c>
      <c r="B1914" s="0" t="s">
        <v>2042</v>
      </c>
      <c r="C1914" s="0" t="s">
        <v>2333</v>
      </c>
      <c r="D1914" s="0" t="s">
        <v>2044</v>
      </c>
      <c r="E1914" s="0" t="s">
        <v>2045</v>
      </c>
      <c r="F1914" s="0" t="s">
        <v>2046</v>
      </c>
      <c r="G1914" s="0" t="s">
        <v>2086</v>
      </c>
      <c r="H1914" s="0" t="s">
        <v>2048</v>
      </c>
      <c r="I1914" s="0" t="s">
        <v>2322</v>
      </c>
      <c r="J1914" s="0" t="s">
        <v>2323</v>
      </c>
      <c r="K1914" s="272" t="n">
        <v>-57032.6898819963</v>
      </c>
    </row>
    <row r="1915" customFormat="false" ht="15" hidden="false" customHeight="false" outlineLevel="0" collapsed="false">
      <c r="A1915" s="0" t="s">
        <v>2041</v>
      </c>
      <c r="B1915" s="0" t="s">
        <v>2042</v>
      </c>
      <c r="C1915" s="0" t="s">
        <v>2333</v>
      </c>
      <c r="D1915" s="0" t="s">
        <v>2044</v>
      </c>
      <c r="E1915" s="0" t="s">
        <v>2045</v>
      </c>
      <c r="F1915" s="0" t="s">
        <v>2051</v>
      </c>
      <c r="G1915" s="0" t="s">
        <v>2086</v>
      </c>
      <c r="H1915" s="0" t="s">
        <v>2052</v>
      </c>
      <c r="I1915" s="0" t="s">
        <v>2322</v>
      </c>
      <c r="J1915" s="0" t="s">
        <v>2323</v>
      </c>
      <c r="K1915" s="272" t="n">
        <v>-951.201040572007</v>
      </c>
    </row>
    <row r="1916" customFormat="false" ht="15" hidden="false" customHeight="false" outlineLevel="0" collapsed="false">
      <c r="A1916" s="0" t="s">
        <v>2041</v>
      </c>
      <c r="B1916" s="0" t="s">
        <v>2042</v>
      </c>
      <c r="C1916" s="0" t="s">
        <v>2333</v>
      </c>
      <c r="D1916" s="0" t="s">
        <v>2044</v>
      </c>
      <c r="E1916" s="0" t="s">
        <v>2045</v>
      </c>
      <c r="F1916" s="0" t="s">
        <v>2046</v>
      </c>
      <c r="G1916" s="0" t="s">
        <v>2087</v>
      </c>
      <c r="H1916" s="0" t="s">
        <v>2048</v>
      </c>
      <c r="I1916" s="0" t="s">
        <v>2322</v>
      </c>
      <c r="J1916" s="0" t="s">
        <v>2323</v>
      </c>
      <c r="K1916" s="272" t="n">
        <v>-87129.388829573</v>
      </c>
    </row>
    <row r="1917" customFormat="false" ht="15" hidden="false" customHeight="false" outlineLevel="0" collapsed="false">
      <c r="A1917" s="0" t="s">
        <v>2041</v>
      </c>
      <c r="B1917" s="0" t="s">
        <v>2042</v>
      </c>
      <c r="C1917" s="0" t="s">
        <v>2333</v>
      </c>
      <c r="D1917" s="0" t="s">
        <v>2044</v>
      </c>
      <c r="E1917" s="0" t="s">
        <v>2045</v>
      </c>
      <c r="F1917" s="0" t="s">
        <v>2051</v>
      </c>
      <c r="G1917" s="0" t="s">
        <v>2087</v>
      </c>
      <c r="H1917" s="0" t="s">
        <v>2052</v>
      </c>
      <c r="I1917" s="0" t="s">
        <v>2322</v>
      </c>
      <c r="J1917" s="0" t="s">
        <v>2323</v>
      </c>
      <c r="K1917" s="272" t="n">
        <v>-142560.285121101</v>
      </c>
    </row>
    <row r="1918" customFormat="false" ht="15" hidden="false" customHeight="false" outlineLevel="0" collapsed="false">
      <c r="A1918" s="0" t="s">
        <v>2041</v>
      </c>
      <c r="B1918" s="0" t="s">
        <v>2042</v>
      </c>
      <c r="C1918" s="0" t="s">
        <v>2333</v>
      </c>
      <c r="D1918" s="0" t="s">
        <v>2044</v>
      </c>
      <c r="E1918" s="0" t="s">
        <v>2045</v>
      </c>
      <c r="F1918" s="0" t="s">
        <v>2046</v>
      </c>
      <c r="G1918" s="0" t="s">
        <v>2088</v>
      </c>
      <c r="H1918" s="0" t="s">
        <v>2048</v>
      </c>
      <c r="I1918" s="0" t="s">
        <v>2322</v>
      </c>
      <c r="J1918" s="0" t="s">
        <v>2323</v>
      </c>
      <c r="K1918" s="272" t="n">
        <v>-80422.6366959317</v>
      </c>
    </row>
    <row r="1919" customFormat="false" ht="15" hidden="false" customHeight="false" outlineLevel="0" collapsed="false">
      <c r="A1919" s="0" t="s">
        <v>2041</v>
      </c>
      <c r="B1919" s="0" t="s">
        <v>2042</v>
      </c>
      <c r="C1919" s="0" t="s">
        <v>2333</v>
      </c>
      <c r="D1919" s="0" t="s">
        <v>2044</v>
      </c>
      <c r="E1919" s="0" t="s">
        <v>2045</v>
      </c>
      <c r="F1919" s="0" t="s">
        <v>2051</v>
      </c>
      <c r="G1919" s="0" t="s">
        <v>2088</v>
      </c>
      <c r="H1919" s="0" t="s">
        <v>2052</v>
      </c>
      <c r="I1919" s="0" t="s">
        <v>2322</v>
      </c>
      <c r="J1919" s="0" t="s">
        <v>2323</v>
      </c>
      <c r="K1919" s="272" t="n">
        <v>-28158.5129221315</v>
      </c>
    </row>
    <row r="1920" customFormat="false" ht="15" hidden="false" customHeight="false" outlineLevel="0" collapsed="false">
      <c r="A1920" s="0" t="s">
        <v>2041</v>
      </c>
      <c r="B1920" s="0" t="s">
        <v>2042</v>
      </c>
      <c r="C1920" s="0" t="s">
        <v>2333</v>
      </c>
      <c r="D1920" s="0" t="s">
        <v>2044</v>
      </c>
      <c r="E1920" s="0" t="s">
        <v>2045</v>
      </c>
      <c r="F1920" s="0" t="s">
        <v>2046</v>
      </c>
      <c r="G1920" s="0" t="s">
        <v>2089</v>
      </c>
      <c r="H1920" s="0" t="s">
        <v>2048</v>
      </c>
      <c r="I1920" s="0" t="s">
        <v>2322</v>
      </c>
      <c r="J1920" s="0" t="s">
        <v>2323</v>
      </c>
      <c r="K1920" s="272" t="n">
        <v>-26630.6514824781</v>
      </c>
    </row>
    <row r="1921" customFormat="false" ht="15" hidden="false" customHeight="false" outlineLevel="0" collapsed="false">
      <c r="A1921" s="0" t="s">
        <v>2041</v>
      </c>
      <c r="B1921" s="0" t="s">
        <v>2042</v>
      </c>
      <c r="C1921" s="0" t="s">
        <v>2333</v>
      </c>
      <c r="D1921" s="0" t="s">
        <v>2044</v>
      </c>
      <c r="E1921" s="0" t="s">
        <v>2045</v>
      </c>
      <c r="F1921" s="0" t="s">
        <v>2051</v>
      </c>
      <c r="G1921" s="0" t="s">
        <v>2089</v>
      </c>
      <c r="H1921" s="0" t="s">
        <v>2052</v>
      </c>
      <c r="I1921" s="0" t="s">
        <v>2322</v>
      </c>
      <c r="J1921" s="0" t="s">
        <v>2323</v>
      </c>
      <c r="K1921" s="272" t="n">
        <v>-268.99647962099</v>
      </c>
    </row>
    <row r="1922" customFormat="false" ht="15" hidden="false" customHeight="false" outlineLevel="0" collapsed="false">
      <c r="A1922" s="0" t="s">
        <v>2041</v>
      </c>
      <c r="B1922" s="0" t="s">
        <v>2042</v>
      </c>
      <c r="C1922" s="0" t="s">
        <v>2333</v>
      </c>
      <c r="D1922" s="0" t="s">
        <v>2044</v>
      </c>
      <c r="E1922" s="0" t="s">
        <v>2045</v>
      </c>
      <c r="F1922" s="0" t="s">
        <v>2046</v>
      </c>
      <c r="G1922" s="0" t="s">
        <v>2090</v>
      </c>
      <c r="H1922" s="0" t="s">
        <v>2048</v>
      </c>
      <c r="I1922" s="0" t="s">
        <v>2322</v>
      </c>
      <c r="J1922" s="0" t="s">
        <v>2323</v>
      </c>
      <c r="K1922" s="272" t="n">
        <v>-161978.316409583</v>
      </c>
    </row>
    <row r="1923" customFormat="false" ht="15" hidden="false" customHeight="false" outlineLevel="0" collapsed="false">
      <c r="A1923" s="0" t="s">
        <v>2041</v>
      </c>
      <c r="B1923" s="0" t="s">
        <v>2042</v>
      </c>
      <c r="C1923" s="0" t="s">
        <v>2333</v>
      </c>
      <c r="D1923" s="0" t="s">
        <v>2044</v>
      </c>
      <c r="E1923" s="0" t="s">
        <v>2045</v>
      </c>
      <c r="F1923" s="0" t="s">
        <v>2051</v>
      </c>
      <c r="G1923" s="0" t="s">
        <v>2090</v>
      </c>
      <c r="H1923" s="0" t="s">
        <v>2052</v>
      </c>
      <c r="I1923" s="0" t="s">
        <v>2322</v>
      </c>
      <c r="J1923" s="0" t="s">
        <v>2323</v>
      </c>
      <c r="K1923" s="272" t="n">
        <v>-1398.7951217293</v>
      </c>
    </row>
    <row r="1924" customFormat="false" ht="15" hidden="false" customHeight="false" outlineLevel="0" collapsed="false">
      <c r="A1924" s="0" t="s">
        <v>2041</v>
      </c>
      <c r="B1924" s="0" t="s">
        <v>2042</v>
      </c>
      <c r="C1924" s="0" t="s">
        <v>2333</v>
      </c>
      <c r="D1924" s="0" t="s">
        <v>2044</v>
      </c>
      <c r="E1924" s="0" t="s">
        <v>2045</v>
      </c>
      <c r="F1924" s="0" t="s">
        <v>2046</v>
      </c>
      <c r="G1924" s="0" t="s">
        <v>2091</v>
      </c>
      <c r="H1924" s="0" t="s">
        <v>2048</v>
      </c>
      <c r="I1924" s="0" t="s">
        <v>2322</v>
      </c>
      <c r="J1924" s="0" t="s">
        <v>2323</v>
      </c>
      <c r="K1924" s="272" t="n">
        <v>-44902.4514525255</v>
      </c>
    </row>
    <row r="1925" customFormat="false" ht="15" hidden="false" customHeight="false" outlineLevel="0" collapsed="false">
      <c r="A1925" s="0" t="s">
        <v>2041</v>
      </c>
      <c r="B1925" s="0" t="s">
        <v>2042</v>
      </c>
      <c r="C1925" s="0" t="s">
        <v>2333</v>
      </c>
      <c r="D1925" s="0" t="s">
        <v>2044</v>
      </c>
      <c r="E1925" s="0" t="s">
        <v>2045</v>
      </c>
      <c r="F1925" s="0" t="s">
        <v>2051</v>
      </c>
      <c r="G1925" s="0" t="s">
        <v>2091</v>
      </c>
      <c r="H1925" s="0" t="s">
        <v>2052</v>
      </c>
      <c r="I1925" s="0" t="s">
        <v>2322</v>
      </c>
      <c r="J1925" s="0" t="s">
        <v>2323</v>
      </c>
      <c r="K1925" s="272" t="n">
        <v>-100477.636878032</v>
      </c>
    </row>
    <row r="1926" customFormat="false" ht="15" hidden="false" customHeight="false" outlineLevel="0" collapsed="false">
      <c r="A1926" s="0" t="s">
        <v>2041</v>
      </c>
      <c r="B1926" s="0" t="s">
        <v>2042</v>
      </c>
      <c r="C1926" s="0" t="s">
        <v>2333</v>
      </c>
      <c r="D1926" s="0" t="s">
        <v>2044</v>
      </c>
      <c r="E1926" s="0" t="s">
        <v>2045</v>
      </c>
      <c r="F1926" s="0" t="s">
        <v>2046</v>
      </c>
      <c r="G1926" s="0" t="s">
        <v>2092</v>
      </c>
      <c r="H1926" s="0" t="s">
        <v>2048</v>
      </c>
      <c r="I1926" s="0" t="s">
        <v>2103</v>
      </c>
      <c r="J1926" s="0" t="s">
        <v>2323</v>
      </c>
      <c r="K1926" s="272" t="n">
        <v>-142673.347678323</v>
      </c>
    </row>
    <row r="1927" customFormat="false" ht="15" hidden="false" customHeight="false" outlineLevel="0" collapsed="false">
      <c r="A1927" s="0" t="s">
        <v>2041</v>
      </c>
      <c r="B1927" s="0" t="s">
        <v>2042</v>
      </c>
      <c r="C1927" s="0" t="s">
        <v>2333</v>
      </c>
      <c r="D1927" s="0" t="s">
        <v>2044</v>
      </c>
      <c r="E1927" s="0" t="s">
        <v>2045</v>
      </c>
      <c r="F1927" s="0" t="s">
        <v>2051</v>
      </c>
      <c r="G1927" s="0" t="s">
        <v>2092</v>
      </c>
      <c r="H1927" s="0" t="s">
        <v>2052</v>
      </c>
      <c r="I1927" s="0" t="s">
        <v>2103</v>
      </c>
      <c r="J1927" s="0" t="s">
        <v>2323</v>
      </c>
      <c r="K1927" s="272" t="n">
        <v>-7509.12356201701</v>
      </c>
    </row>
    <row r="1928" customFormat="false" ht="15" hidden="false" customHeight="false" outlineLevel="0" collapsed="false">
      <c r="A1928" s="0" t="s">
        <v>2041</v>
      </c>
      <c r="B1928" s="0" t="s">
        <v>2042</v>
      </c>
      <c r="C1928" s="0" t="s">
        <v>2333</v>
      </c>
      <c r="D1928" s="0" t="s">
        <v>2044</v>
      </c>
      <c r="E1928" s="0" t="s">
        <v>2045</v>
      </c>
      <c r="F1928" s="0" t="s">
        <v>2046</v>
      </c>
      <c r="G1928" s="0" t="s">
        <v>2093</v>
      </c>
      <c r="H1928" s="0" t="s">
        <v>2048</v>
      </c>
      <c r="I1928" s="0" t="s">
        <v>2322</v>
      </c>
      <c r="J1928" s="0" t="s">
        <v>2323</v>
      </c>
      <c r="K1928" s="272" t="n">
        <v>-22752.3427646546</v>
      </c>
    </row>
    <row r="1929" customFormat="false" ht="15" hidden="false" customHeight="false" outlineLevel="0" collapsed="false">
      <c r="A1929" s="0" t="s">
        <v>2041</v>
      </c>
      <c r="B1929" s="0" t="s">
        <v>2042</v>
      </c>
      <c r="C1929" s="0" t="s">
        <v>2333</v>
      </c>
      <c r="D1929" s="0" t="s">
        <v>2044</v>
      </c>
      <c r="E1929" s="0" t="s">
        <v>2045</v>
      </c>
      <c r="F1929" s="0" t="s">
        <v>2051</v>
      </c>
      <c r="G1929" s="0" t="s">
        <v>2093</v>
      </c>
      <c r="H1929" s="0" t="s">
        <v>2052</v>
      </c>
      <c r="I1929" s="0" t="s">
        <v>2322</v>
      </c>
      <c r="J1929" s="0" t="s">
        <v>2323</v>
      </c>
      <c r="K1929" s="272" t="n">
        <v>-1573.08111693217</v>
      </c>
    </row>
    <row r="1930" customFormat="false" ht="15" hidden="false" customHeight="false" outlineLevel="0" collapsed="false">
      <c r="A1930" s="0" t="s">
        <v>2041</v>
      </c>
      <c r="B1930" s="0" t="s">
        <v>2042</v>
      </c>
      <c r="C1930" s="0" t="s">
        <v>2333</v>
      </c>
      <c r="D1930" s="0" t="s">
        <v>2044</v>
      </c>
      <c r="E1930" s="0" t="s">
        <v>2045</v>
      </c>
      <c r="F1930" s="0" t="s">
        <v>2046</v>
      </c>
      <c r="G1930" s="0" t="s">
        <v>2094</v>
      </c>
      <c r="H1930" s="0" t="s">
        <v>2048</v>
      </c>
      <c r="I1930" s="0" t="s">
        <v>2322</v>
      </c>
      <c r="J1930" s="0" t="s">
        <v>2323</v>
      </c>
      <c r="K1930" s="272" t="n">
        <v>-78149.8001816429</v>
      </c>
    </row>
    <row r="1931" customFormat="false" ht="15" hidden="false" customHeight="false" outlineLevel="0" collapsed="false">
      <c r="A1931" s="0" t="s">
        <v>2041</v>
      </c>
      <c r="B1931" s="0" t="s">
        <v>2042</v>
      </c>
      <c r="C1931" s="0" t="s">
        <v>2333</v>
      </c>
      <c r="D1931" s="0" t="s">
        <v>2044</v>
      </c>
      <c r="E1931" s="0" t="s">
        <v>2045</v>
      </c>
      <c r="F1931" s="0" t="s">
        <v>2051</v>
      </c>
      <c r="G1931" s="0" t="s">
        <v>2094</v>
      </c>
      <c r="H1931" s="0" t="s">
        <v>2052</v>
      </c>
      <c r="I1931" s="0" t="s">
        <v>2322</v>
      </c>
      <c r="J1931" s="0" t="s">
        <v>2323</v>
      </c>
      <c r="K1931" s="272" t="n">
        <v>-89677.4425507747</v>
      </c>
    </row>
    <row r="1932" customFormat="false" ht="15" hidden="false" customHeight="false" outlineLevel="0" collapsed="false">
      <c r="A1932" s="0" t="s">
        <v>2041</v>
      </c>
      <c r="B1932" s="0" t="s">
        <v>2042</v>
      </c>
      <c r="C1932" s="0" t="s">
        <v>2333</v>
      </c>
      <c r="D1932" s="0" t="s">
        <v>2044</v>
      </c>
      <c r="E1932" s="0" t="s">
        <v>2045</v>
      </c>
      <c r="F1932" s="0" t="s">
        <v>2046</v>
      </c>
      <c r="G1932" s="0" t="s">
        <v>2095</v>
      </c>
      <c r="H1932" s="0" t="s">
        <v>2048</v>
      </c>
      <c r="I1932" s="0" t="s">
        <v>2322</v>
      </c>
      <c r="J1932" s="0" t="s">
        <v>2323</v>
      </c>
      <c r="K1932" s="272" t="n">
        <v>-74924.8437236846</v>
      </c>
    </row>
    <row r="1933" customFormat="false" ht="15" hidden="false" customHeight="false" outlineLevel="0" collapsed="false">
      <c r="A1933" s="0" t="s">
        <v>2041</v>
      </c>
      <c r="B1933" s="0" t="s">
        <v>2042</v>
      </c>
      <c r="C1933" s="0" t="s">
        <v>2333</v>
      </c>
      <c r="D1933" s="0" t="s">
        <v>2044</v>
      </c>
      <c r="E1933" s="0" t="s">
        <v>2045</v>
      </c>
      <c r="F1933" s="0" t="s">
        <v>2051</v>
      </c>
      <c r="G1933" s="0" t="s">
        <v>2095</v>
      </c>
      <c r="H1933" s="0" t="s">
        <v>2052</v>
      </c>
      <c r="I1933" s="0" t="s">
        <v>2322</v>
      </c>
      <c r="J1933" s="0" t="s">
        <v>2323</v>
      </c>
      <c r="K1933" s="272" t="n">
        <v>6244.6303121667</v>
      </c>
    </row>
    <row r="1934" customFormat="false" ht="15" hidden="false" customHeight="false" outlineLevel="0" collapsed="false">
      <c r="A1934" s="0" t="s">
        <v>2041</v>
      </c>
      <c r="B1934" s="0" t="s">
        <v>2042</v>
      </c>
      <c r="C1934" s="0" t="s">
        <v>2333</v>
      </c>
      <c r="D1934" s="0" t="s">
        <v>2044</v>
      </c>
      <c r="E1934" s="0" t="s">
        <v>2045</v>
      </c>
      <c r="F1934" s="0" t="s">
        <v>2046</v>
      </c>
      <c r="G1934" s="0" t="s">
        <v>2096</v>
      </c>
      <c r="H1934" s="0" t="s">
        <v>2048</v>
      </c>
      <c r="I1934" s="0" t="s">
        <v>2097</v>
      </c>
      <c r="J1934" s="0" t="s">
        <v>2323</v>
      </c>
      <c r="K1934" s="272" t="n">
        <v>2045.26663873496</v>
      </c>
    </row>
    <row r="1935" customFormat="false" ht="15" hidden="false" customHeight="false" outlineLevel="0" collapsed="false">
      <c r="A1935" s="0" t="s">
        <v>2041</v>
      </c>
      <c r="B1935" s="0" t="s">
        <v>2042</v>
      </c>
      <c r="C1935" s="0" t="s">
        <v>2333</v>
      </c>
      <c r="D1935" s="0" t="s">
        <v>2044</v>
      </c>
      <c r="E1935" s="0" t="s">
        <v>2045</v>
      </c>
      <c r="F1935" s="0" t="s">
        <v>2051</v>
      </c>
      <c r="G1935" s="0" t="s">
        <v>2096</v>
      </c>
      <c r="H1935" s="0" t="s">
        <v>2052</v>
      </c>
      <c r="I1935" s="0" t="s">
        <v>2097</v>
      </c>
      <c r="J1935" s="0" t="s">
        <v>2323</v>
      </c>
      <c r="K1935" s="272" t="n">
        <v>2045.26663873496</v>
      </c>
    </row>
    <row r="1936" customFormat="false" ht="15" hidden="false" customHeight="false" outlineLevel="0" collapsed="false">
      <c r="A1936" s="0" t="s">
        <v>2041</v>
      </c>
      <c r="B1936" s="0" t="s">
        <v>2042</v>
      </c>
      <c r="C1936" s="0" t="s">
        <v>2333</v>
      </c>
      <c r="D1936" s="0" t="s">
        <v>2044</v>
      </c>
      <c r="E1936" s="0" t="s">
        <v>2045</v>
      </c>
      <c r="F1936" s="0" t="s">
        <v>2046</v>
      </c>
      <c r="G1936" s="0" t="s">
        <v>2098</v>
      </c>
      <c r="H1936" s="0" t="s">
        <v>2048</v>
      </c>
      <c r="I1936" s="0" t="s">
        <v>2322</v>
      </c>
      <c r="J1936" s="0" t="s">
        <v>2323</v>
      </c>
      <c r="K1936" s="272" t="n">
        <v>-13171.5995617216</v>
      </c>
    </row>
    <row r="1937" customFormat="false" ht="15" hidden="false" customHeight="false" outlineLevel="0" collapsed="false">
      <c r="A1937" s="0" t="s">
        <v>2041</v>
      </c>
      <c r="B1937" s="0" t="s">
        <v>2042</v>
      </c>
      <c r="C1937" s="0" t="s">
        <v>2333</v>
      </c>
      <c r="D1937" s="0" t="s">
        <v>2044</v>
      </c>
      <c r="E1937" s="0" t="s">
        <v>2045</v>
      </c>
      <c r="F1937" s="0" t="s">
        <v>2051</v>
      </c>
      <c r="G1937" s="0" t="s">
        <v>2098</v>
      </c>
      <c r="H1937" s="0" t="s">
        <v>2052</v>
      </c>
      <c r="I1937" s="0" t="s">
        <v>2322</v>
      </c>
      <c r="J1937" s="0" t="s">
        <v>2323</v>
      </c>
      <c r="K1937" s="272" t="n">
        <v>-268.808154320849</v>
      </c>
    </row>
    <row r="1938" customFormat="false" ht="15" hidden="false" customHeight="false" outlineLevel="0" collapsed="false">
      <c r="A1938" s="0" t="s">
        <v>2041</v>
      </c>
      <c r="B1938" s="0" t="s">
        <v>2042</v>
      </c>
      <c r="C1938" s="0" t="s">
        <v>2333</v>
      </c>
      <c r="D1938" s="0" t="s">
        <v>2044</v>
      </c>
      <c r="E1938" s="0" t="s">
        <v>2045</v>
      </c>
      <c r="F1938" s="0" t="s">
        <v>2099</v>
      </c>
      <c r="G1938" s="0" t="s">
        <v>2064</v>
      </c>
      <c r="H1938" s="0" t="s">
        <v>2100</v>
      </c>
      <c r="I1938" s="0" t="s">
        <v>2322</v>
      </c>
      <c r="J1938" s="0" t="s">
        <v>2323</v>
      </c>
      <c r="K1938" s="272" t="n">
        <v>-10766.166458405</v>
      </c>
    </row>
    <row r="1939" customFormat="false" ht="15" hidden="false" customHeight="false" outlineLevel="0" collapsed="false">
      <c r="A1939" s="0" t="s">
        <v>2041</v>
      </c>
      <c r="B1939" s="0" t="s">
        <v>2042</v>
      </c>
      <c r="C1939" s="0" t="s">
        <v>2333</v>
      </c>
      <c r="D1939" s="0" t="s">
        <v>2044</v>
      </c>
      <c r="E1939" s="0" t="s">
        <v>2045</v>
      </c>
      <c r="F1939" s="0" t="s">
        <v>2099</v>
      </c>
      <c r="G1939" s="0" t="s">
        <v>2076</v>
      </c>
      <c r="H1939" s="0" t="s">
        <v>2100</v>
      </c>
      <c r="I1939" s="0" t="s">
        <v>2322</v>
      </c>
      <c r="J1939" s="0" t="s">
        <v>2323</v>
      </c>
      <c r="K1939" s="272" t="n">
        <v>-7291.8247739106</v>
      </c>
    </row>
    <row r="1940" customFormat="false" ht="15" hidden="false" customHeight="false" outlineLevel="0" collapsed="false">
      <c r="A1940" s="0" t="s">
        <v>2041</v>
      </c>
      <c r="B1940" s="0" t="s">
        <v>2042</v>
      </c>
      <c r="C1940" s="0" t="s">
        <v>2333</v>
      </c>
      <c r="D1940" s="0" t="s">
        <v>2044</v>
      </c>
      <c r="E1940" s="0" t="s">
        <v>2045</v>
      </c>
      <c r="F1940" s="0" t="s">
        <v>2099</v>
      </c>
      <c r="G1940" s="0" t="s">
        <v>2081</v>
      </c>
      <c r="H1940" s="0" t="s">
        <v>2100</v>
      </c>
      <c r="I1940" s="0" t="s">
        <v>2322</v>
      </c>
      <c r="J1940" s="0" t="s">
        <v>2323</v>
      </c>
      <c r="K1940" s="272" t="n">
        <v>-1481.75601286686</v>
      </c>
    </row>
    <row r="1941" customFormat="false" ht="15" hidden="false" customHeight="false" outlineLevel="0" collapsed="false">
      <c r="A1941" s="0" t="s">
        <v>2041</v>
      </c>
      <c r="B1941" s="0" t="s">
        <v>2042</v>
      </c>
      <c r="C1941" s="0" t="s">
        <v>2333</v>
      </c>
      <c r="D1941" s="0" t="s">
        <v>2044</v>
      </c>
      <c r="E1941" s="0" t="s">
        <v>2045</v>
      </c>
      <c r="F1941" s="0" t="s">
        <v>2099</v>
      </c>
      <c r="G1941" s="0" t="s">
        <v>2085</v>
      </c>
      <c r="H1941" s="0" t="s">
        <v>2100</v>
      </c>
      <c r="I1941" s="0" t="s">
        <v>2322</v>
      </c>
      <c r="J1941" s="0" t="s">
        <v>2323</v>
      </c>
      <c r="K1941" s="272" t="n">
        <v>-7841.94065304013</v>
      </c>
    </row>
    <row r="1942" customFormat="false" ht="15" hidden="false" customHeight="false" outlineLevel="0" collapsed="false">
      <c r="A1942" s="0" t="s">
        <v>2041</v>
      </c>
      <c r="B1942" s="0" t="s">
        <v>2042</v>
      </c>
      <c r="C1942" s="0" t="s">
        <v>2333</v>
      </c>
      <c r="D1942" s="0" t="s">
        <v>2044</v>
      </c>
      <c r="E1942" s="0" t="s">
        <v>2045</v>
      </c>
      <c r="F1942" s="0" t="s">
        <v>2099</v>
      </c>
      <c r="G1942" s="0" t="s">
        <v>2086</v>
      </c>
      <c r="H1942" s="0" t="s">
        <v>2100</v>
      </c>
      <c r="I1942" s="0" t="s">
        <v>2322</v>
      </c>
      <c r="J1942" s="0" t="s">
        <v>2323</v>
      </c>
      <c r="K1942" s="272" t="n">
        <v>-4914.19878250314</v>
      </c>
    </row>
    <row r="1943" customFormat="false" ht="15" hidden="false" customHeight="false" outlineLevel="0" collapsed="false">
      <c r="A1943" s="0" t="s">
        <v>2041</v>
      </c>
      <c r="B1943" s="0" t="s">
        <v>2042</v>
      </c>
      <c r="C1943" s="0" t="s">
        <v>2333</v>
      </c>
      <c r="D1943" s="0" t="s">
        <v>2044</v>
      </c>
      <c r="E1943" s="0" t="s">
        <v>2045</v>
      </c>
      <c r="F1943" s="0" t="s">
        <v>2099</v>
      </c>
      <c r="G1943" s="0" t="s">
        <v>2095</v>
      </c>
      <c r="H1943" s="0" t="s">
        <v>2100</v>
      </c>
      <c r="I1943" s="0" t="s">
        <v>2322</v>
      </c>
      <c r="J1943" s="0" t="s">
        <v>2323</v>
      </c>
      <c r="K1943" s="272" t="n">
        <v>-48113.962609723</v>
      </c>
    </row>
    <row r="1944" customFormat="false" ht="15" hidden="false" customHeight="false" outlineLevel="0" collapsed="false">
      <c r="A1944" s="0" t="s">
        <v>2041</v>
      </c>
      <c r="B1944" s="0" t="s">
        <v>2042</v>
      </c>
      <c r="C1944" s="0" t="s">
        <v>2333</v>
      </c>
      <c r="D1944" s="0" t="s">
        <v>2044</v>
      </c>
      <c r="E1944" s="0" t="s">
        <v>2045</v>
      </c>
      <c r="F1944" s="0" t="s">
        <v>2099</v>
      </c>
      <c r="G1944" s="0" t="s">
        <v>2096</v>
      </c>
      <c r="H1944" s="0" t="s">
        <v>2100</v>
      </c>
      <c r="I1944" s="0" t="s">
        <v>2101</v>
      </c>
      <c r="J1944" s="0" t="s">
        <v>2323</v>
      </c>
      <c r="K1944" s="272" t="n">
        <v>5786.57461512235</v>
      </c>
    </row>
    <row r="1945" customFormat="false" ht="15" hidden="false" customHeight="false" outlineLevel="0" collapsed="false">
      <c r="A1945" s="0" t="s">
        <v>2041</v>
      </c>
      <c r="B1945" s="0" t="s">
        <v>2042</v>
      </c>
      <c r="C1945" s="0" t="s">
        <v>2156</v>
      </c>
      <c r="D1945" s="0" t="s">
        <v>2105</v>
      </c>
      <c r="E1945" s="0" t="s">
        <v>2045</v>
      </c>
      <c r="F1945" s="0" t="s">
        <v>2157</v>
      </c>
      <c r="G1945" s="0" t="s">
        <v>2158</v>
      </c>
      <c r="H1945" s="0" t="s">
        <v>2159</v>
      </c>
      <c r="I1945" s="0" t="s">
        <v>2124</v>
      </c>
      <c r="J1945" s="0" t="s">
        <v>2335</v>
      </c>
      <c r="K1945" s="272" t="n">
        <v>-6000000</v>
      </c>
    </row>
    <row r="1946" customFormat="false" ht="15" hidden="false" customHeight="false" outlineLevel="0" collapsed="false">
      <c r="A1946" s="0" t="s">
        <v>2041</v>
      </c>
      <c r="B1946" s="0" t="s">
        <v>2042</v>
      </c>
      <c r="C1946" s="0" t="s">
        <v>2156</v>
      </c>
      <c r="D1946" s="0" t="s">
        <v>2105</v>
      </c>
      <c r="E1946" s="0" t="s">
        <v>2045</v>
      </c>
      <c r="F1946" s="0" t="s">
        <v>2157</v>
      </c>
      <c r="G1946" s="0" t="s">
        <v>2158</v>
      </c>
      <c r="H1946" s="0" t="s">
        <v>2159</v>
      </c>
      <c r="I1946" s="0" t="s">
        <v>2322</v>
      </c>
      <c r="J1946" s="0" t="s">
        <v>2335</v>
      </c>
      <c r="K1946" s="272" t="n">
        <v>-255500000</v>
      </c>
    </row>
    <row r="1947" customFormat="false" ht="15" hidden="false" customHeight="false" outlineLevel="0" collapsed="false">
      <c r="A1947" s="0" t="s">
        <v>2041</v>
      </c>
      <c r="B1947" s="0" t="s">
        <v>2042</v>
      </c>
      <c r="C1947" s="0" t="s">
        <v>2156</v>
      </c>
      <c r="D1947" s="0" t="s">
        <v>2105</v>
      </c>
      <c r="E1947" s="0" t="s">
        <v>2045</v>
      </c>
      <c r="F1947" s="0" t="s">
        <v>2157</v>
      </c>
      <c r="G1947" s="0" t="s">
        <v>2158</v>
      </c>
      <c r="H1947" s="0" t="s">
        <v>2162</v>
      </c>
      <c r="I1947" s="0" t="s">
        <v>2322</v>
      </c>
      <c r="J1947" s="0" t="s">
        <v>2335</v>
      </c>
      <c r="K1947" s="272" t="n">
        <v>-525000</v>
      </c>
    </row>
    <row r="1948" customFormat="false" ht="15" hidden="false" customHeight="false" outlineLevel="0" collapsed="false">
      <c r="A1948" s="0" t="s">
        <v>2041</v>
      </c>
      <c r="B1948" s="0" t="s">
        <v>2042</v>
      </c>
      <c r="C1948" s="0" t="s">
        <v>2156</v>
      </c>
      <c r="D1948" s="0" t="s">
        <v>2105</v>
      </c>
      <c r="E1948" s="0" t="s">
        <v>2045</v>
      </c>
      <c r="F1948" s="0" t="s">
        <v>2157</v>
      </c>
      <c r="G1948" s="0" t="s">
        <v>2158</v>
      </c>
      <c r="H1948" s="0" t="s">
        <v>2126</v>
      </c>
      <c r="I1948" s="0" t="s">
        <v>2322</v>
      </c>
      <c r="J1948" s="0" t="s">
        <v>2335</v>
      </c>
      <c r="K1948" s="272" t="n">
        <v>-1200000</v>
      </c>
    </row>
    <row r="1949" customFormat="false" ht="15" hidden="false" customHeight="false" outlineLevel="0" collapsed="false">
      <c r="A1949" s="0" t="s">
        <v>2041</v>
      </c>
      <c r="B1949" s="0" t="s">
        <v>2042</v>
      </c>
      <c r="C1949" s="0" t="s">
        <v>2156</v>
      </c>
      <c r="D1949" s="0" t="s">
        <v>2105</v>
      </c>
      <c r="E1949" s="0" t="s">
        <v>2045</v>
      </c>
      <c r="F1949" s="0" t="s">
        <v>2163</v>
      </c>
      <c r="G1949" s="0" t="s">
        <v>2164</v>
      </c>
      <c r="H1949" s="0" t="s">
        <v>2166</v>
      </c>
      <c r="I1949" s="0" t="s">
        <v>2124</v>
      </c>
      <c r="J1949" s="0" t="s">
        <v>2335</v>
      </c>
      <c r="K1949" s="272" t="n">
        <v>-22000000</v>
      </c>
    </row>
    <row r="1950" customFormat="false" ht="15" hidden="false" customHeight="false" outlineLevel="0" collapsed="false">
      <c r="A1950" s="0" t="s">
        <v>2041</v>
      </c>
      <c r="B1950" s="0" t="s">
        <v>2042</v>
      </c>
      <c r="C1950" s="0" t="s">
        <v>2156</v>
      </c>
      <c r="D1950" s="0" t="s">
        <v>2105</v>
      </c>
      <c r="E1950" s="0" t="s">
        <v>2045</v>
      </c>
      <c r="F1950" s="0" t="s">
        <v>2163</v>
      </c>
      <c r="G1950" s="0" t="s">
        <v>2164</v>
      </c>
      <c r="H1950" s="0" t="s">
        <v>2166</v>
      </c>
      <c r="I1950" s="0" t="s">
        <v>2167</v>
      </c>
      <c r="J1950" s="0" t="s">
        <v>2335</v>
      </c>
      <c r="K1950" s="272" t="n">
        <v>-3000000</v>
      </c>
    </row>
    <row r="1951" customFormat="false" ht="15" hidden="false" customHeight="false" outlineLevel="0" collapsed="false">
      <c r="A1951" s="0" t="s">
        <v>2041</v>
      </c>
      <c r="B1951" s="0" t="s">
        <v>2042</v>
      </c>
      <c r="C1951" s="0" t="s">
        <v>2156</v>
      </c>
      <c r="D1951" s="0" t="s">
        <v>2105</v>
      </c>
      <c r="E1951" s="0" t="s">
        <v>2045</v>
      </c>
      <c r="F1951" s="0" t="s">
        <v>2163</v>
      </c>
      <c r="G1951" s="0" t="s">
        <v>2164</v>
      </c>
      <c r="H1951" s="0" t="s">
        <v>2166</v>
      </c>
      <c r="I1951" s="0" t="s">
        <v>2322</v>
      </c>
      <c r="J1951" s="0" t="s">
        <v>2335</v>
      </c>
      <c r="K1951" s="272" t="n">
        <v>-205420000</v>
      </c>
    </row>
    <row r="1952" customFormat="false" ht="15" hidden="false" customHeight="false" outlineLevel="0" collapsed="false">
      <c r="A1952" s="0" t="s">
        <v>2041</v>
      </c>
      <c r="B1952" s="0" t="s">
        <v>2042</v>
      </c>
      <c r="C1952" s="0" t="s">
        <v>2156</v>
      </c>
      <c r="D1952" s="0" t="s">
        <v>2105</v>
      </c>
      <c r="E1952" s="0" t="s">
        <v>2045</v>
      </c>
      <c r="F1952" s="0" t="s">
        <v>2163</v>
      </c>
      <c r="G1952" s="0" t="s">
        <v>2170</v>
      </c>
      <c r="H1952" s="0" t="s">
        <v>2169</v>
      </c>
      <c r="I1952" s="0" t="s">
        <v>2322</v>
      </c>
      <c r="J1952" s="0" t="s">
        <v>2335</v>
      </c>
      <c r="K1952" s="272" t="n">
        <v>-1500000</v>
      </c>
    </row>
    <row r="1953" customFormat="false" ht="15" hidden="false" customHeight="false" outlineLevel="0" collapsed="false">
      <c r="A1953" s="0" t="s">
        <v>2041</v>
      </c>
      <c r="B1953" s="0" t="s">
        <v>2042</v>
      </c>
      <c r="C1953" s="0" t="s">
        <v>2156</v>
      </c>
      <c r="D1953" s="0" t="s">
        <v>2105</v>
      </c>
      <c r="E1953" s="0" t="s">
        <v>2045</v>
      </c>
      <c r="F1953" s="0" t="s">
        <v>2163</v>
      </c>
      <c r="G1953" s="0" t="s">
        <v>2170</v>
      </c>
      <c r="H1953" s="0" t="s">
        <v>2165</v>
      </c>
      <c r="I1953" s="0" t="s">
        <v>2124</v>
      </c>
      <c r="J1953" s="0" t="s">
        <v>2335</v>
      </c>
      <c r="K1953" s="272" t="n">
        <v>-6555000</v>
      </c>
    </row>
    <row r="1954" customFormat="false" ht="15" hidden="false" customHeight="false" outlineLevel="0" collapsed="false">
      <c r="A1954" s="0" t="s">
        <v>2041</v>
      </c>
      <c r="B1954" s="0" t="s">
        <v>2042</v>
      </c>
      <c r="C1954" s="0" t="s">
        <v>2156</v>
      </c>
      <c r="D1954" s="0" t="s">
        <v>2105</v>
      </c>
      <c r="E1954" s="0" t="s">
        <v>2045</v>
      </c>
      <c r="F1954" s="0" t="s">
        <v>2163</v>
      </c>
      <c r="G1954" s="0" t="s">
        <v>2170</v>
      </c>
      <c r="H1954" s="0" t="s">
        <v>2165</v>
      </c>
      <c r="I1954" s="0" t="s">
        <v>2167</v>
      </c>
      <c r="J1954" s="0" t="s">
        <v>2335</v>
      </c>
      <c r="K1954" s="272" t="n">
        <v>-36960538</v>
      </c>
    </row>
    <row r="1955" customFormat="false" ht="15" hidden="false" customHeight="false" outlineLevel="0" collapsed="false">
      <c r="A1955" s="0" t="s">
        <v>2041</v>
      </c>
      <c r="B1955" s="0" t="s">
        <v>2042</v>
      </c>
      <c r="C1955" s="0" t="s">
        <v>2156</v>
      </c>
      <c r="D1955" s="0" t="s">
        <v>2105</v>
      </c>
      <c r="E1955" s="0" t="s">
        <v>2045</v>
      </c>
      <c r="F1955" s="0" t="s">
        <v>2163</v>
      </c>
      <c r="G1955" s="0" t="s">
        <v>2170</v>
      </c>
      <c r="H1955" s="0" t="s">
        <v>2165</v>
      </c>
      <c r="I1955" s="0" t="s">
        <v>2322</v>
      </c>
      <c r="J1955" s="0" t="s">
        <v>2335</v>
      </c>
      <c r="K1955" s="272" t="n">
        <v>-57552310</v>
      </c>
    </row>
    <row r="1956" customFormat="false" ht="15" hidden="false" customHeight="false" outlineLevel="0" collapsed="false">
      <c r="A1956" s="0" t="s">
        <v>2041</v>
      </c>
      <c r="B1956" s="0" t="s">
        <v>2042</v>
      </c>
      <c r="C1956" s="0" t="s">
        <v>2156</v>
      </c>
      <c r="D1956" s="0" t="s">
        <v>2105</v>
      </c>
      <c r="E1956" s="0" t="s">
        <v>2045</v>
      </c>
      <c r="F1956" s="0" t="s">
        <v>2163</v>
      </c>
      <c r="G1956" s="0" t="s">
        <v>2170</v>
      </c>
      <c r="H1956" s="0" t="s">
        <v>2171</v>
      </c>
      <c r="I1956" s="0" t="s">
        <v>2322</v>
      </c>
      <c r="J1956" s="0" t="s">
        <v>2335</v>
      </c>
      <c r="K1956" s="272" t="n">
        <v>-20100000</v>
      </c>
    </row>
    <row r="1957" customFormat="false" ht="15" hidden="false" customHeight="false" outlineLevel="0" collapsed="false">
      <c r="A1957" s="0" t="s">
        <v>2041</v>
      </c>
      <c r="B1957" s="0" t="s">
        <v>2042</v>
      </c>
      <c r="C1957" s="0" t="s">
        <v>2156</v>
      </c>
      <c r="D1957" s="0" t="s">
        <v>2105</v>
      </c>
      <c r="E1957" s="0" t="s">
        <v>2045</v>
      </c>
      <c r="F1957" s="0" t="s">
        <v>2163</v>
      </c>
      <c r="G1957" s="0" t="s">
        <v>2172</v>
      </c>
      <c r="H1957" s="0" t="s">
        <v>2169</v>
      </c>
      <c r="I1957" s="0" t="s">
        <v>2167</v>
      </c>
      <c r="J1957" s="0" t="s">
        <v>2335</v>
      </c>
      <c r="K1957" s="272" t="n">
        <v>-223220000</v>
      </c>
    </row>
    <row r="1958" customFormat="false" ht="15" hidden="false" customHeight="false" outlineLevel="0" collapsed="false">
      <c r="A1958" s="0" t="s">
        <v>2041</v>
      </c>
      <c r="B1958" s="0" t="s">
        <v>2042</v>
      </c>
      <c r="C1958" s="0" t="s">
        <v>2156</v>
      </c>
      <c r="D1958" s="0" t="s">
        <v>2105</v>
      </c>
      <c r="E1958" s="0" t="s">
        <v>2045</v>
      </c>
      <c r="F1958" s="0" t="s">
        <v>2163</v>
      </c>
      <c r="G1958" s="0" t="s">
        <v>2172</v>
      </c>
      <c r="H1958" s="0" t="s">
        <v>2169</v>
      </c>
      <c r="I1958" s="0" t="s">
        <v>2322</v>
      </c>
      <c r="J1958" s="0" t="s">
        <v>2335</v>
      </c>
      <c r="K1958" s="272" t="n">
        <v>-193548000</v>
      </c>
    </row>
    <row r="1959" customFormat="false" ht="15" hidden="false" customHeight="false" outlineLevel="0" collapsed="false">
      <c r="A1959" s="0" t="s">
        <v>2041</v>
      </c>
      <c r="B1959" s="0" t="s">
        <v>2042</v>
      </c>
      <c r="C1959" s="0" t="s">
        <v>2156</v>
      </c>
      <c r="D1959" s="0" t="s">
        <v>2105</v>
      </c>
      <c r="E1959" s="0" t="s">
        <v>2045</v>
      </c>
      <c r="F1959" s="0" t="s">
        <v>2163</v>
      </c>
      <c r="G1959" s="0" t="s">
        <v>2172</v>
      </c>
      <c r="H1959" s="0" t="s">
        <v>2165</v>
      </c>
      <c r="I1959" s="0" t="s">
        <v>2322</v>
      </c>
      <c r="J1959" s="0" t="s">
        <v>2335</v>
      </c>
      <c r="K1959" s="272" t="n">
        <v>-3150000</v>
      </c>
    </row>
    <row r="1960" customFormat="false" ht="15" hidden="false" customHeight="false" outlineLevel="0" collapsed="false">
      <c r="A1960" s="0" t="s">
        <v>2041</v>
      </c>
      <c r="B1960" s="0" t="s">
        <v>2042</v>
      </c>
      <c r="C1960" s="0" t="s">
        <v>2156</v>
      </c>
      <c r="D1960" s="0" t="s">
        <v>2105</v>
      </c>
      <c r="E1960" s="0" t="s">
        <v>2045</v>
      </c>
      <c r="F1960" s="0" t="s">
        <v>2163</v>
      </c>
      <c r="G1960" s="0" t="s">
        <v>2172</v>
      </c>
      <c r="H1960" s="0" t="s">
        <v>2173</v>
      </c>
      <c r="I1960" s="0" t="s">
        <v>2124</v>
      </c>
      <c r="J1960" s="0" t="s">
        <v>2335</v>
      </c>
      <c r="K1960" s="272" t="n">
        <v>-1000000</v>
      </c>
    </row>
    <row r="1961" customFormat="false" ht="15" hidden="false" customHeight="false" outlineLevel="0" collapsed="false">
      <c r="A1961" s="0" t="s">
        <v>2041</v>
      </c>
      <c r="B1961" s="0" t="s">
        <v>2042</v>
      </c>
      <c r="C1961" s="0" t="s">
        <v>2156</v>
      </c>
      <c r="D1961" s="0" t="s">
        <v>2105</v>
      </c>
      <c r="E1961" s="0" t="s">
        <v>2045</v>
      </c>
      <c r="F1961" s="0" t="s">
        <v>2163</v>
      </c>
      <c r="G1961" s="0" t="s">
        <v>2172</v>
      </c>
      <c r="H1961" s="0" t="s">
        <v>2173</v>
      </c>
      <c r="I1961" s="0" t="s">
        <v>2167</v>
      </c>
      <c r="J1961" s="0" t="s">
        <v>2335</v>
      </c>
      <c r="K1961" s="272" t="n">
        <v>-2000000</v>
      </c>
    </row>
    <row r="1962" customFormat="false" ht="15" hidden="false" customHeight="false" outlineLevel="0" collapsed="false">
      <c r="A1962" s="0" t="s">
        <v>2041</v>
      </c>
      <c r="B1962" s="0" t="s">
        <v>2042</v>
      </c>
      <c r="C1962" s="0" t="s">
        <v>2156</v>
      </c>
      <c r="D1962" s="0" t="s">
        <v>2105</v>
      </c>
      <c r="E1962" s="0" t="s">
        <v>2045</v>
      </c>
      <c r="F1962" s="0" t="s">
        <v>2163</v>
      </c>
      <c r="G1962" s="0" t="s">
        <v>2172</v>
      </c>
      <c r="H1962" s="0" t="s">
        <v>2173</v>
      </c>
      <c r="I1962" s="0" t="s">
        <v>2322</v>
      </c>
      <c r="J1962" s="0" t="s">
        <v>2335</v>
      </c>
      <c r="K1962" s="272" t="n">
        <v>-89750000</v>
      </c>
    </row>
    <row r="1963" customFormat="false" ht="15" hidden="false" customHeight="false" outlineLevel="0" collapsed="false">
      <c r="A1963" s="0" t="s">
        <v>2041</v>
      </c>
      <c r="B1963" s="0" t="s">
        <v>2042</v>
      </c>
      <c r="C1963" s="0" t="s">
        <v>2156</v>
      </c>
      <c r="D1963" s="0" t="s">
        <v>2105</v>
      </c>
      <c r="E1963" s="0" t="s">
        <v>2045</v>
      </c>
      <c r="F1963" s="0" t="s">
        <v>2163</v>
      </c>
      <c r="G1963" s="0" t="s">
        <v>2172</v>
      </c>
      <c r="H1963" s="0" t="s">
        <v>2166</v>
      </c>
      <c r="I1963" s="0" t="s">
        <v>2167</v>
      </c>
      <c r="J1963" s="0" t="s">
        <v>2335</v>
      </c>
      <c r="K1963" s="272" t="n">
        <v>-65000000</v>
      </c>
    </row>
    <row r="1964" customFormat="false" ht="15" hidden="false" customHeight="false" outlineLevel="0" collapsed="false">
      <c r="A1964" s="0" t="s">
        <v>2041</v>
      </c>
      <c r="B1964" s="0" t="s">
        <v>2042</v>
      </c>
      <c r="C1964" s="0" t="s">
        <v>2156</v>
      </c>
      <c r="D1964" s="0" t="s">
        <v>2105</v>
      </c>
      <c r="E1964" s="0" t="s">
        <v>2045</v>
      </c>
      <c r="F1964" s="0" t="s">
        <v>2163</v>
      </c>
      <c r="G1964" s="0" t="s">
        <v>2172</v>
      </c>
      <c r="H1964" s="0" t="s">
        <v>2166</v>
      </c>
      <c r="I1964" s="0" t="s">
        <v>2322</v>
      </c>
      <c r="J1964" s="0" t="s">
        <v>2335</v>
      </c>
      <c r="K1964" s="272" t="n">
        <v>-1700000</v>
      </c>
    </row>
    <row r="1965" customFormat="false" ht="15" hidden="false" customHeight="false" outlineLevel="0" collapsed="false">
      <c r="A1965" s="0" t="s">
        <v>2041</v>
      </c>
      <c r="B1965" s="0" t="s">
        <v>2042</v>
      </c>
      <c r="C1965" s="0" t="s">
        <v>2156</v>
      </c>
      <c r="D1965" s="0" t="s">
        <v>2105</v>
      </c>
      <c r="E1965" s="0" t="s">
        <v>2045</v>
      </c>
      <c r="F1965" s="0" t="s">
        <v>2163</v>
      </c>
      <c r="G1965" s="0" t="s">
        <v>2327</v>
      </c>
      <c r="H1965" s="0" t="s">
        <v>2328</v>
      </c>
      <c r="I1965" s="0" t="s">
        <v>2322</v>
      </c>
      <c r="J1965" s="0" t="s">
        <v>2335</v>
      </c>
      <c r="K1965" s="272" t="n">
        <v>-10000000</v>
      </c>
    </row>
    <row r="1966" customFormat="false" ht="15" hidden="false" customHeight="false" outlineLevel="0" collapsed="false">
      <c r="A1966" s="0" t="s">
        <v>2041</v>
      </c>
      <c r="B1966" s="0" t="s">
        <v>2042</v>
      </c>
      <c r="C1966" s="0" t="s">
        <v>2156</v>
      </c>
      <c r="D1966" s="0" t="s">
        <v>2105</v>
      </c>
      <c r="E1966" s="0" t="s">
        <v>2045</v>
      </c>
      <c r="F1966" s="0" t="s">
        <v>2163</v>
      </c>
      <c r="G1966" s="0" t="s">
        <v>2174</v>
      </c>
      <c r="H1966" s="0" t="s">
        <v>2175</v>
      </c>
      <c r="I1966" s="0" t="s">
        <v>2167</v>
      </c>
      <c r="J1966" s="0" t="s">
        <v>2335</v>
      </c>
      <c r="K1966" s="272" t="n">
        <v>-3150000</v>
      </c>
    </row>
    <row r="1967" customFormat="false" ht="15" hidden="false" customHeight="false" outlineLevel="0" collapsed="false">
      <c r="A1967" s="0" t="s">
        <v>2041</v>
      </c>
      <c r="B1967" s="0" t="s">
        <v>2042</v>
      </c>
      <c r="C1967" s="0" t="s">
        <v>2156</v>
      </c>
      <c r="D1967" s="0" t="s">
        <v>2105</v>
      </c>
      <c r="E1967" s="0" t="s">
        <v>2045</v>
      </c>
      <c r="F1967" s="0" t="s">
        <v>2163</v>
      </c>
      <c r="G1967" s="0" t="s">
        <v>2174</v>
      </c>
      <c r="H1967" s="0" t="s">
        <v>2175</v>
      </c>
      <c r="I1967" s="0" t="s">
        <v>2322</v>
      </c>
      <c r="J1967" s="0" t="s">
        <v>2335</v>
      </c>
      <c r="K1967" s="272" t="n">
        <v>-57900000</v>
      </c>
    </row>
    <row r="1968" customFormat="false" ht="15" hidden="false" customHeight="false" outlineLevel="0" collapsed="false">
      <c r="A1968" s="0" t="s">
        <v>2041</v>
      </c>
      <c r="B1968" s="0" t="s">
        <v>2042</v>
      </c>
      <c r="C1968" s="0" t="s">
        <v>2156</v>
      </c>
      <c r="D1968" s="0" t="s">
        <v>2105</v>
      </c>
      <c r="E1968" s="0" t="s">
        <v>2045</v>
      </c>
      <c r="F1968" s="0" t="s">
        <v>2176</v>
      </c>
      <c r="G1968" s="0" t="s">
        <v>2177</v>
      </c>
      <c r="H1968" s="0" t="s">
        <v>2179</v>
      </c>
      <c r="I1968" s="0" t="s">
        <v>2322</v>
      </c>
      <c r="J1968" s="0" t="s">
        <v>2335</v>
      </c>
      <c r="K1968" s="272" t="n">
        <v>-13935958.4400425</v>
      </c>
    </row>
    <row r="1969" customFormat="false" ht="15" hidden="false" customHeight="false" outlineLevel="0" collapsed="false">
      <c r="A1969" s="0" t="s">
        <v>2041</v>
      </c>
      <c r="B1969" s="0" t="s">
        <v>2042</v>
      </c>
      <c r="C1969" s="0" t="s">
        <v>2156</v>
      </c>
      <c r="D1969" s="0" t="s">
        <v>2105</v>
      </c>
      <c r="E1969" s="0" t="s">
        <v>2045</v>
      </c>
      <c r="F1969" s="0" t="s">
        <v>2176</v>
      </c>
      <c r="G1969" s="0" t="s">
        <v>2181</v>
      </c>
      <c r="H1969" s="0" t="s">
        <v>2182</v>
      </c>
      <c r="I1969" s="0" t="s">
        <v>2124</v>
      </c>
      <c r="J1969" s="0" t="s">
        <v>2335</v>
      </c>
      <c r="K1969" s="272" t="n">
        <v>-714000</v>
      </c>
    </row>
    <row r="1970" customFormat="false" ht="15" hidden="false" customHeight="false" outlineLevel="0" collapsed="false">
      <c r="A1970" s="0" t="s">
        <v>2041</v>
      </c>
      <c r="B1970" s="0" t="s">
        <v>2042</v>
      </c>
      <c r="C1970" s="0" t="s">
        <v>2156</v>
      </c>
      <c r="D1970" s="0" t="s">
        <v>2105</v>
      </c>
      <c r="E1970" s="0" t="s">
        <v>2045</v>
      </c>
      <c r="F1970" s="0" t="s">
        <v>2176</v>
      </c>
      <c r="G1970" s="0" t="s">
        <v>2181</v>
      </c>
      <c r="H1970" s="0" t="s">
        <v>2183</v>
      </c>
      <c r="I1970" s="0" t="s">
        <v>2124</v>
      </c>
      <c r="J1970" s="0" t="s">
        <v>2335</v>
      </c>
      <c r="K1970" s="272" t="n">
        <v>-693000</v>
      </c>
    </row>
    <row r="1971" customFormat="false" ht="15" hidden="false" customHeight="false" outlineLevel="0" collapsed="false">
      <c r="A1971" s="0" t="s">
        <v>2041</v>
      </c>
      <c r="B1971" s="0" t="s">
        <v>2042</v>
      </c>
      <c r="C1971" s="0" t="s">
        <v>2156</v>
      </c>
      <c r="D1971" s="0" t="s">
        <v>2105</v>
      </c>
      <c r="E1971" s="0" t="s">
        <v>2045</v>
      </c>
      <c r="F1971" s="0" t="s">
        <v>2176</v>
      </c>
      <c r="G1971" s="0" t="s">
        <v>2181</v>
      </c>
      <c r="H1971" s="0" t="s">
        <v>2185</v>
      </c>
      <c r="I1971" s="0" t="s">
        <v>2124</v>
      </c>
      <c r="J1971" s="0" t="s">
        <v>2335</v>
      </c>
      <c r="K1971" s="272" t="n">
        <v>-693000</v>
      </c>
    </row>
    <row r="1972" customFormat="false" ht="15" hidden="false" customHeight="false" outlineLevel="0" collapsed="false">
      <c r="A1972" s="0" t="s">
        <v>2041</v>
      </c>
      <c r="B1972" s="0" t="s">
        <v>2042</v>
      </c>
      <c r="C1972" s="0" t="s">
        <v>2156</v>
      </c>
      <c r="D1972" s="0" t="s">
        <v>2105</v>
      </c>
      <c r="E1972" s="0" t="s">
        <v>2045</v>
      </c>
      <c r="F1972" s="0" t="s">
        <v>2176</v>
      </c>
      <c r="G1972" s="0" t="s">
        <v>2181</v>
      </c>
      <c r="H1972" s="0" t="s">
        <v>2186</v>
      </c>
      <c r="I1972" s="0" t="s">
        <v>2322</v>
      </c>
      <c r="J1972" s="0" t="s">
        <v>2335</v>
      </c>
      <c r="K1972" s="272" t="n">
        <v>-102000000</v>
      </c>
    </row>
    <row r="1973" customFormat="false" ht="15" hidden="false" customHeight="false" outlineLevel="0" collapsed="false">
      <c r="A1973" s="0" t="s">
        <v>2041</v>
      </c>
      <c r="B1973" s="0" t="s">
        <v>2042</v>
      </c>
      <c r="C1973" s="0" t="s">
        <v>2156</v>
      </c>
      <c r="D1973" s="0" t="s">
        <v>2105</v>
      </c>
      <c r="E1973" s="0" t="s">
        <v>2045</v>
      </c>
      <c r="F1973" s="0" t="s">
        <v>2176</v>
      </c>
      <c r="G1973" s="0" t="s">
        <v>2181</v>
      </c>
      <c r="H1973" s="0" t="s">
        <v>2187</v>
      </c>
      <c r="I1973" s="0" t="s">
        <v>2322</v>
      </c>
      <c r="J1973" s="0" t="s">
        <v>2335</v>
      </c>
      <c r="K1973" s="272" t="n">
        <v>-1000000</v>
      </c>
    </row>
    <row r="1974" customFormat="false" ht="15" hidden="false" customHeight="false" outlineLevel="0" collapsed="false">
      <c r="A1974" s="0" t="s">
        <v>2041</v>
      </c>
      <c r="B1974" s="0" t="s">
        <v>2042</v>
      </c>
      <c r="C1974" s="0" t="s">
        <v>2156</v>
      </c>
      <c r="D1974" s="0" t="s">
        <v>2105</v>
      </c>
      <c r="E1974" s="0" t="s">
        <v>2045</v>
      </c>
      <c r="F1974" s="0" t="s">
        <v>2176</v>
      </c>
      <c r="G1974" s="0" t="s">
        <v>2188</v>
      </c>
      <c r="H1974" s="0" t="s">
        <v>2189</v>
      </c>
      <c r="I1974" s="0" t="s">
        <v>2322</v>
      </c>
      <c r="J1974" s="0" t="s">
        <v>2335</v>
      </c>
      <c r="K1974" s="272" t="n">
        <v>-17700000</v>
      </c>
    </row>
    <row r="1975" customFormat="false" ht="15" hidden="false" customHeight="false" outlineLevel="0" collapsed="false">
      <c r="A1975" s="0" t="s">
        <v>2041</v>
      </c>
      <c r="B1975" s="0" t="s">
        <v>2042</v>
      </c>
      <c r="C1975" s="0" t="s">
        <v>2156</v>
      </c>
      <c r="D1975" s="0" t="s">
        <v>2105</v>
      </c>
      <c r="E1975" s="0" t="s">
        <v>2045</v>
      </c>
      <c r="F1975" s="0" t="s">
        <v>2176</v>
      </c>
      <c r="G1975" s="0" t="s">
        <v>2190</v>
      </c>
      <c r="H1975" s="0" t="s">
        <v>2191</v>
      </c>
      <c r="I1975" s="0" t="s">
        <v>2124</v>
      </c>
      <c r="J1975" s="0" t="s">
        <v>2335</v>
      </c>
      <c r="K1975" s="272" t="n">
        <v>-4000000</v>
      </c>
    </row>
    <row r="1976" customFormat="false" ht="15" hidden="false" customHeight="false" outlineLevel="0" collapsed="false">
      <c r="A1976" s="0" t="s">
        <v>2041</v>
      </c>
      <c r="B1976" s="0" t="s">
        <v>2042</v>
      </c>
      <c r="C1976" s="0" t="s">
        <v>2156</v>
      </c>
      <c r="D1976" s="0" t="s">
        <v>2105</v>
      </c>
      <c r="E1976" s="0" t="s">
        <v>2045</v>
      </c>
      <c r="F1976" s="0" t="s">
        <v>2176</v>
      </c>
      <c r="G1976" s="0" t="s">
        <v>2190</v>
      </c>
      <c r="H1976" s="0" t="s">
        <v>2191</v>
      </c>
      <c r="I1976" s="0" t="s">
        <v>2322</v>
      </c>
      <c r="J1976" s="0" t="s">
        <v>2335</v>
      </c>
      <c r="K1976" s="272" t="n">
        <v>-42000000</v>
      </c>
    </row>
    <row r="1977" customFormat="false" ht="15" hidden="false" customHeight="false" outlineLevel="0" collapsed="false">
      <c r="A1977" s="0" t="s">
        <v>2041</v>
      </c>
      <c r="B1977" s="0" t="s">
        <v>2042</v>
      </c>
      <c r="C1977" s="0" t="s">
        <v>2156</v>
      </c>
      <c r="D1977" s="0" t="s">
        <v>2105</v>
      </c>
      <c r="E1977" s="0" t="s">
        <v>2045</v>
      </c>
      <c r="F1977" s="0" t="s">
        <v>2192</v>
      </c>
      <c r="G1977" s="0" t="s">
        <v>2193</v>
      </c>
      <c r="H1977" s="0" t="s">
        <v>2200</v>
      </c>
      <c r="I1977" s="0" t="s">
        <v>2322</v>
      </c>
      <c r="J1977" s="0" t="s">
        <v>2335</v>
      </c>
      <c r="K1977" s="272" t="n">
        <v>-750000</v>
      </c>
    </row>
    <row r="1978" customFormat="false" ht="15" hidden="false" customHeight="false" outlineLevel="0" collapsed="false">
      <c r="A1978" s="0" t="s">
        <v>2041</v>
      </c>
      <c r="B1978" s="0" t="s">
        <v>2042</v>
      </c>
      <c r="C1978" s="0" t="s">
        <v>2156</v>
      </c>
      <c r="D1978" s="0" t="s">
        <v>2105</v>
      </c>
      <c r="E1978" s="0" t="s">
        <v>2045</v>
      </c>
      <c r="F1978" s="0" t="s">
        <v>2192</v>
      </c>
      <c r="G1978" s="0" t="s">
        <v>2193</v>
      </c>
      <c r="H1978" s="0" t="s">
        <v>2202</v>
      </c>
      <c r="I1978" s="0" t="s">
        <v>2322</v>
      </c>
      <c r="J1978" s="0" t="s">
        <v>2335</v>
      </c>
      <c r="K1978" s="272" t="n">
        <v>-750000</v>
      </c>
    </row>
    <row r="1979" customFormat="false" ht="15" hidden="false" customHeight="false" outlineLevel="0" collapsed="false">
      <c r="A1979" s="0" t="s">
        <v>2041</v>
      </c>
      <c r="B1979" s="0" t="s">
        <v>2042</v>
      </c>
      <c r="C1979" s="0" t="s">
        <v>2156</v>
      </c>
      <c r="D1979" s="0" t="s">
        <v>2105</v>
      </c>
      <c r="E1979" s="0" t="s">
        <v>2045</v>
      </c>
      <c r="F1979" s="0" t="s">
        <v>2192</v>
      </c>
      <c r="G1979" s="0" t="s">
        <v>2193</v>
      </c>
      <c r="H1979" s="0" t="s">
        <v>2171</v>
      </c>
      <c r="I1979" s="0" t="s">
        <v>2124</v>
      </c>
      <c r="J1979" s="0" t="s">
        <v>2335</v>
      </c>
      <c r="K1979" s="272" t="n">
        <v>-5700000</v>
      </c>
    </row>
    <row r="1980" customFormat="false" ht="15" hidden="false" customHeight="false" outlineLevel="0" collapsed="false">
      <c r="A1980" s="0" t="s">
        <v>2041</v>
      </c>
      <c r="B1980" s="0" t="s">
        <v>2042</v>
      </c>
      <c r="C1980" s="0" t="s">
        <v>2156</v>
      </c>
      <c r="D1980" s="0" t="s">
        <v>2105</v>
      </c>
      <c r="E1980" s="0" t="s">
        <v>2045</v>
      </c>
      <c r="F1980" s="0" t="s">
        <v>2192</v>
      </c>
      <c r="G1980" s="0" t="s">
        <v>2193</v>
      </c>
      <c r="H1980" s="0" t="s">
        <v>2171</v>
      </c>
      <c r="I1980" s="0" t="s">
        <v>2167</v>
      </c>
      <c r="J1980" s="0" t="s">
        <v>2335</v>
      </c>
      <c r="K1980" s="272" t="n">
        <v>-2800000</v>
      </c>
    </row>
    <row r="1981" customFormat="false" ht="15" hidden="false" customHeight="false" outlineLevel="0" collapsed="false">
      <c r="A1981" s="0" t="s">
        <v>2041</v>
      </c>
      <c r="B1981" s="0" t="s">
        <v>2042</v>
      </c>
      <c r="C1981" s="0" t="s">
        <v>2156</v>
      </c>
      <c r="D1981" s="0" t="s">
        <v>2105</v>
      </c>
      <c r="E1981" s="0" t="s">
        <v>2045</v>
      </c>
      <c r="F1981" s="0" t="s">
        <v>2192</v>
      </c>
      <c r="G1981" s="0" t="s">
        <v>2193</v>
      </c>
      <c r="H1981" s="0" t="s">
        <v>2171</v>
      </c>
      <c r="I1981" s="0" t="s">
        <v>2322</v>
      </c>
      <c r="J1981" s="0" t="s">
        <v>2335</v>
      </c>
      <c r="K1981" s="272" t="n">
        <v>-70320000</v>
      </c>
    </row>
    <row r="1982" customFormat="false" ht="15" hidden="false" customHeight="false" outlineLevel="0" collapsed="false">
      <c r="A1982" s="0" t="s">
        <v>2041</v>
      </c>
      <c r="B1982" s="0" t="s">
        <v>2042</v>
      </c>
      <c r="C1982" s="0" t="s">
        <v>2156</v>
      </c>
      <c r="D1982" s="0" t="s">
        <v>2105</v>
      </c>
      <c r="E1982" s="0" t="s">
        <v>2045</v>
      </c>
      <c r="F1982" s="0" t="s">
        <v>2192</v>
      </c>
      <c r="G1982" s="0" t="s">
        <v>2193</v>
      </c>
      <c r="H1982" s="0" t="s">
        <v>2162</v>
      </c>
      <c r="I1982" s="0" t="s">
        <v>2124</v>
      </c>
      <c r="J1982" s="0" t="s">
        <v>2335</v>
      </c>
      <c r="K1982" s="272" t="n">
        <v>-31600000</v>
      </c>
    </row>
    <row r="1983" customFormat="false" ht="15" hidden="false" customHeight="false" outlineLevel="0" collapsed="false">
      <c r="A1983" s="0" t="s">
        <v>2041</v>
      </c>
      <c r="B1983" s="0" t="s">
        <v>2042</v>
      </c>
      <c r="C1983" s="0" t="s">
        <v>2156</v>
      </c>
      <c r="D1983" s="0" t="s">
        <v>2105</v>
      </c>
      <c r="E1983" s="0" t="s">
        <v>2045</v>
      </c>
      <c r="F1983" s="0" t="s">
        <v>2192</v>
      </c>
      <c r="G1983" s="0" t="s">
        <v>2193</v>
      </c>
      <c r="H1983" s="0" t="s">
        <v>2162</v>
      </c>
      <c r="I1983" s="0" t="s">
        <v>2322</v>
      </c>
      <c r="J1983" s="0" t="s">
        <v>2335</v>
      </c>
      <c r="K1983" s="272" t="n">
        <v>-258380000</v>
      </c>
    </row>
    <row r="1984" customFormat="false" ht="15" hidden="false" customHeight="false" outlineLevel="0" collapsed="false">
      <c r="A1984" s="0" t="s">
        <v>2041</v>
      </c>
      <c r="B1984" s="0" t="s">
        <v>2042</v>
      </c>
      <c r="C1984" s="0" t="s">
        <v>2156</v>
      </c>
      <c r="D1984" s="0" t="s">
        <v>2105</v>
      </c>
      <c r="E1984" s="0" t="s">
        <v>2045</v>
      </c>
      <c r="F1984" s="0" t="s">
        <v>2192</v>
      </c>
      <c r="G1984" s="0" t="s">
        <v>2193</v>
      </c>
      <c r="H1984" s="0" t="s">
        <v>2203</v>
      </c>
      <c r="I1984" s="0" t="s">
        <v>2322</v>
      </c>
      <c r="J1984" s="0" t="s">
        <v>2335</v>
      </c>
      <c r="K1984" s="272" t="n">
        <v>-1500000</v>
      </c>
    </row>
    <row r="1985" customFormat="false" ht="15" hidden="false" customHeight="false" outlineLevel="0" collapsed="false">
      <c r="A1985" s="0" t="s">
        <v>2041</v>
      </c>
      <c r="B1985" s="0" t="s">
        <v>2042</v>
      </c>
      <c r="C1985" s="0" t="s">
        <v>2156</v>
      </c>
      <c r="D1985" s="0" t="s">
        <v>2105</v>
      </c>
      <c r="E1985" s="0" t="s">
        <v>2045</v>
      </c>
      <c r="F1985" s="0" t="s">
        <v>2198</v>
      </c>
      <c r="G1985" s="0" t="s">
        <v>2199</v>
      </c>
      <c r="H1985" s="0" t="s">
        <v>2200</v>
      </c>
      <c r="I1985" s="0" t="s">
        <v>2124</v>
      </c>
      <c r="J1985" s="0" t="s">
        <v>2335</v>
      </c>
      <c r="K1985" s="272" t="n">
        <v>-81975000</v>
      </c>
    </row>
    <row r="1986" customFormat="false" ht="15" hidden="false" customHeight="false" outlineLevel="0" collapsed="false">
      <c r="A1986" s="0" t="s">
        <v>2041</v>
      </c>
      <c r="B1986" s="0" t="s">
        <v>2042</v>
      </c>
      <c r="C1986" s="0" t="s">
        <v>2156</v>
      </c>
      <c r="D1986" s="0" t="s">
        <v>2105</v>
      </c>
      <c r="E1986" s="0" t="s">
        <v>2045</v>
      </c>
      <c r="F1986" s="0" t="s">
        <v>2198</v>
      </c>
      <c r="G1986" s="0" t="s">
        <v>2199</v>
      </c>
      <c r="H1986" s="0" t="s">
        <v>2200</v>
      </c>
      <c r="I1986" s="0" t="s">
        <v>2201</v>
      </c>
      <c r="J1986" s="0" t="s">
        <v>2335</v>
      </c>
      <c r="K1986" s="272" t="n">
        <v>-2000000</v>
      </c>
    </row>
    <row r="1987" customFormat="false" ht="15" hidden="false" customHeight="false" outlineLevel="0" collapsed="false">
      <c r="A1987" s="0" t="s">
        <v>2041</v>
      </c>
      <c r="B1987" s="0" t="s">
        <v>2042</v>
      </c>
      <c r="C1987" s="0" t="s">
        <v>2156</v>
      </c>
      <c r="D1987" s="0" t="s">
        <v>2105</v>
      </c>
      <c r="E1987" s="0" t="s">
        <v>2045</v>
      </c>
      <c r="F1987" s="0" t="s">
        <v>2198</v>
      </c>
      <c r="G1987" s="0" t="s">
        <v>2199</v>
      </c>
      <c r="H1987" s="0" t="s">
        <v>2200</v>
      </c>
      <c r="I1987" s="0" t="s">
        <v>2322</v>
      </c>
      <c r="J1987" s="0" t="s">
        <v>2335</v>
      </c>
      <c r="K1987" s="272" t="n">
        <v>-143725000</v>
      </c>
    </row>
    <row r="1988" customFormat="false" ht="15" hidden="false" customHeight="false" outlineLevel="0" collapsed="false">
      <c r="A1988" s="0" t="s">
        <v>2041</v>
      </c>
      <c r="B1988" s="0" t="s">
        <v>2042</v>
      </c>
      <c r="C1988" s="0" t="s">
        <v>2156</v>
      </c>
      <c r="D1988" s="0" t="s">
        <v>2105</v>
      </c>
      <c r="E1988" s="0" t="s">
        <v>2045</v>
      </c>
      <c r="F1988" s="0" t="s">
        <v>2198</v>
      </c>
      <c r="G1988" s="0" t="s">
        <v>2199</v>
      </c>
      <c r="H1988" s="0" t="s">
        <v>2202</v>
      </c>
      <c r="I1988" s="0" t="s">
        <v>2124</v>
      </c>
      <c r="J1988" s="0" t="s">
        <v>2335</v>
      </c>
      <c r="K1988" s="272" t="n">
        <v>-4225000</v>
      </c>
    </row>
    <row r="1989" customFormat="false" ht="15" hidden="false" customHeight="false" outlineLevel="0" collapsed="false">
      <c r="A1989" s="0" t="s">
        <v>2041</v>
      </c>
      <c r="B1989" s="0" t="s">
        <v>2042</v>
      </c>
      <c r="C1989" s="0" t="s">
        <v>2156</v>
      </c>
      <c r="D1989" s="0" t="s">
        <v>2105</v>
      </c>
      <c r="E1989" s="0" t="s">
        <v>2045</v>
      </c>
      <c r="F1989" s="0" t="s">
        <v>2198</v>
      </c>
      <c r="G1989" s="0" t="s">
        <v>2199</v>
      </c>
      <c r="H1989" s="0" t="s">
        <v>2202</v>
      </c>
      <c r="I1989" s="0" t="s">
        <v>2322</v>
      </c>
      <c r="J1989" s="0" t="s">
        <v>2335</v>
      </c>
      <c r="K1989" s="272" t="n">
        <v>-23200000</v>
      </c>
    </row>
    <row r="1990" customFormat="false" ht="15" hidden="false" customHeight="false" outlineLevel="0" collapsed="false">
      <c r="A1990" s="0" t="s">
        <v>2041</v>
      </c>
      <c r="B1990" s="0" t="s">
        <v>2042</v>
      </c>
      <c r="C1990" s="0" t="s">
        <v>2156</v>
      </c>
      <c r="D1990" s="0" t="s">
        <v>2105</v>
      </c>
      <c r="E1990" s="0" t="s">
        <v>2045</v>
      </c>
      <c r="F1990" s="0" t="s">
        <v>2198</v>
      </c>
      <c r="G1990" s="0" t="s">
        <v>2199</v>
      </c>
      <c r="H1990" s="0" t="s">
        <v>2203</v>
      </c>
      <c r="I1990" s="0" t="s">
        <v>2124</v>
      </c>
      <c r="J1990" s="0" t="s">
        <v>2335</v>
      </c>
      <c r="K1990" s="272" t="n">
        <v>-24000000</v>
      </c>
    </row>
    <row r="1991" customFormat="false" ht="15" hidden="false" customHeight="false" outlineLevel="0" collapsed="false">
      <c r="A1991" s="0" t="s">
        <v>2041</v>
      </c>
      <c r="B1991" s="0" t="s">
        <v>2042</v>
      </c>
      <c r="C1991" s="0" t="s">
        <v>2156</v>
      </c>
      <c r="D1991" s="0" t="s">
        <v>2105</v>
      </c>
      <c r="E1991" s="0" t="s">
        <v>2045</v>
      </c>
      <c r="F1991" s="0" t="s">
        <v>2198</v>
      </c>
      <c r="G1991" s="0" t="s">
        <v>2199</v>
      </c>
      <c r="H1991" s="0" t="s">
        <v>2203</v>
      </c>
      <c r="I1991" s="0" t="s">
        <v>2322</v>
      </c>
      <c r="J1991" s="0" t="s">
        <v>2335</v>
      </c>
      <c r="K1991" s="272" t="n">
        <v>-217525000</v>
      </c>
    </row>
    <row r="1992" customFormat="false" ht="15" hidden="false" customHeight="false" outlineLevel="0" collapsed="false">
      <c r="A1992" s="0" t="s">
        <v>2041</v>
      </c>
      <c r="B1992" s="0" t="s">
        <v>2042</v>
      </c>
      <c r="C1992" s="0" t="s">
        <v>2156</v>
      </c>
      <c r="D1992" s="0" t="s">
        <v>2105</v>
      </c>
      <c r="E1992" s="0" t="s">
        <v>2045</v>
      </c>
      <c r="F1992" s="0" t="s">
        <v>2204</v>
      </c>
      <c r="G1992" s="0" t="s">
        <v>2205</v>
      </c>
      <c r="H1992" s="0" t="s">
        <v>2206</v>
      </c>
      <c r="I1992" s="0" t="s">
        <v>2322</v>
      </c>
      <c r="J1992" s="0" t="s">
        <v>2335</v>
      </c>
      <c r="K1992" s="272" t="n">
        <v>-5000000</v>
      </c>
    </row>
    <row r="1993" customFormat="false" ht="15" hidden="false" customHeight="false" outlineLevel="0" collapsed="false">
      <c r="A1993" s="0" t="s">
        <v>2041</v>
      </c>
      <c r="B1993" s="0" t="s">
        <v>2042</v>
      </c>
      <c r="C1993" s="0" t="s">
        <v>2156</v>
      </c>
      <c r="D1993" s="0" t="s">
        <v>2105</v>
      </c>
      <c r="E1993" s="0" t="s">
        <v>2045</v>
      </c>
      <c r="F1993" s="0" t="s">
        <v>2204</v>
      </c>
      <c r="G1993" s="0" t="s">
        <v>2205</v>
      </c>
      <c r="H1993" s="0" t="s">
        <v>2207</v>
      </c>
      <c r="I1993" s="0" t="s">
        <v>2322</v>
      </c>
      <c r="J1993" s="0" t="s">
        <v>2335</v>
      </c>
      <c r="K1993" s="272" t="n">
        <v>-5000000</v>
      </c>
    </row>
    <row r="1994" customFormat="false" ht="15" hidden="false" customHeight="false" outlineLevel="0" collapsed="false">
      <c r="A1994" s="0" t="s">
        <v>2041</v>
      </c>
      <c r="B1994" s="0" t="s">
        <v>2042</v>
      </c>
      <c r="C1994" s="0" t="s">
        <v>2156</v>
      </c>
      <c r="D1994" s="0" t="s">
        <v>2105</v>
      </c>
      <c r="E1994" s="0" t="s">
        <v>2045</v>
      </c>
      <c r="F1994" s="0" t="s">
        <v>2204</v>
      </c>
      <c r="G1994" s="0" t="s">
        <v>2205</v>
      </c>
      <c r="H1994" s="0" t="s">
        <v>2208</v>
      </c>
      <c r="I1994" s="0" t="s">
        <v>2322</v>
      </c>
      <c r="J1994" s="0" t="s">
        <v>2335</v>
      </c>
      <c r="K1994" s="272" t="n">
        <v>-10000000</v>
      </c>
    </row>
    <row r="1995" customFormat="false" ht="15" hidden="false" customHeight="false" outlineLevel="0" collapsed="false">
      <c r="A1995" s="0" t="s">
        <v>2041</v>
      </c>
      <c r="B1995" s="0" t="s">
        <v>2042</v>
      </c>
      <c r="C1995" s="0" t="s">
        <v>2156</v>
      </c>
      <c r="D1995" s="0" t="s">
        <v>2105</v>
      </c>
      <c r="E1995" s="0" t="s">
        <v>2045</v>
      </c>
      <c r="F1995" s="0" t="s">
        <v>2204</v>
      </c>
      <c r="G1995" s="0" t="s">
        <v>2212</v>
      </c>
      <c r="H1995" s="0" t="s">
        <v>2208</v>
      </c>
      <c r="I1995" s="0" t="s">
        <v>2124</v>
      </c>
      <c r="J1995" s="0" t="s">
        <v>2335</v>
      </c>
      <c r="K1995" s="272" t="n">
        <v>-11000000</v>
      </c>
    </row>
    <row r="1996" customFormat="false" ht="15" hidden="false" customHeight="false" outlineLevel="0" collapsed="false">
      <c r="A1996" s="0" t="s">
        <v>2041</v>
      </c>
      <c r="B1996" s="0" t="s">
        <v>2042</v>
      </c>
      <c r="C1996" s="0" t="s">
        <v>2156</v>
      </c>
      <c r="D1996" s="0" t="s">
        <v>2105</v>
      </c>
      <c r="E1996" s="0" t="s">
        <v>2045</v>
      </c>
      <c r="F1996" s="0" t="s">
        <v>2204</v>
      </c>
      <c r="G1996" s="0" t="s">
        <v>2214</v>
      </c>
      <c r="H1996" s="0" t="s">
        <v>2206</v>
      </c>
      <c r="I1996" s="0" t="s">
        <v>2322</v>
      </c>
      <c r="J1996" s="0" t="s">
        <v>2335</v>
      </c>
      <c r="K1996" s="272" t="n">
        <v>-1300000</v>
      </c>
    </row>
    <row r="1997" customFormat="false" ht="15" hidden="false" customHeight="false" outlineLevel="0" collapsed="false">
      <c r="A1997" s="0" t="s">
        <v>2041</v>
      </c>
      <c r="B1997" s="0" t="s">
        <v>2042</v>
      </c>
      <c r="C1997" s="0" t="s">
        <v>2156</v>
      </c>
      <c r="D1997" s="0" t="s">
        <v>2105</v>
      </c>
      <c r="E1997" s="0" t="s">
        <v>2045</v>
      </c>
      <c r="F1997" s="0" t="s">
        <v>2204</v>
      </c>
      <c r="G1997" s="0" t="s">
        <v>2214</v>
      </c>
      <c r="H1997" s="0" t="s">
        <v>2208</v>
      </c>
      <c r="I1997" s="0" t="s">
        <v>2322</v>
      </c>
      <c r="J1997" s="0" t="s">
        <v>2335</v>
      </c>
      <c r="K1997" s="272" t="n">
        <v>-1300000</v>
      </c>
    </row>
    <row r="1998" customFormat="false" ht="15" hidden="false" customHeight="false" outlineLevel="0" collapsed="false">
      <c r="A1998" s="0" t="s">
        <v>2041</v>
      </c>
      <c r="B1998" s="0" t="s">
        <v>2042</v>
      </c>
      <c r="C1998" s="0" t="s">
        <v>2156</v>
      </c>
      <c r="D1998" s="0" t="s">
        <v>2105</v>
      </c>
      <c r="E1998" s="0" t="s">
        <v>2045</v>
      </c>
      <c r="F1998" s="0" t="s">
        <v>2051</v>
      </c>
      <c r="G1998" s="0" t="s">
        <v>2106</v>
      </c>
      <c r="H1998" s="0" t="s">
        <v>2235</v>
      </c>
      <c r="I1998" s="0" t="s">
        <v>2124</v>
      </c>
      <c r="J1998" s="0" t="s">
        <v>2335</v>
      </c>
      <c r="K1998" s="272" t="n">
        <v>-10000000</v>
      </c>
    </row>
    <row r="1999" customFormat="false" ht="15" hidden="false" customHeight="false" outlineLevel="0" collapsed="false">
      <c r="A1999" s="0" t="s">
        <v>2041</v>
      </c>
      <c r="B1999" s="0" t="s">
        <v>2042</v>
      </c>
      <c r="C1999" s="0" t="s">
        <v>2156</v>
      </c>
      <c r="D1999" s="0" t="s">
        <v>2105</v>
      </c>
      <c r="E1999" s="0" t="s">
        <v>2045</v>
      </c>
      <c r="F1999" s="0" t="s">
        <v>2051</v>
      </c>
      <c r="G1999" s="0" t="s">
        <v>2106</v>
      </c>
      <c r="H1999" s="0" t="s">
        <v>2107</v>
      </c>
      <c r="I1999" s="0" t="s">
        <v>2322</v>
      </c>
      <c r="J1999" s="0" t="s">
        <v>2335</v>
      </c>
      <c r="K1999" s="272" t="n">
        <v>-79126904.7982282</v>
      </c>
    </row>
    <row r="2000" customFormat="false" ht="15" hidden="false" customHeight="false" outlineLevel="0" collapsed="false">
      <c r="A2000" s="0" t="s">
        <v>2041</v>
      </c>
      <c r="B2000" s="0" t="s">
        <v>2042</v>
      </c>
      <c r="C2000" s="0" t="s">
        <v>2156</v>
      </c>
      <c r="D2000" s="0" t="s">
        <v>2105</v>
      </c>
      <c r="E2000" s="0" t="s">
        <v>2045</v>
      </c>
      <c r="F2000" s="0" t="s">
        <v>2051</v>
      </c>
      <c r="G2000" s="0" t="s">
        <v>2110</v>
      </c>
      <c r="H2000" s="0" t="s">
        <v>2115</v>
      </c>
      <c r="I2000" s="0" t="s">
        <v>2322</v>
      </c>
      <c r="J2000" s="0" t="s">
        <v>2335</v>
      </c>
      <c r="K2000" s="272" t="n">
        <v>-913484.06930249</v>
      </c>
    </row>
    <row r="2001" customFormat="false" ht="15" hidden="false" customHeight="false" outlineLevel="0" collapsed="false">
      <c r="A2001" s="0" t="s">
        <v>2041</v>
      </c>
      <c r="B2001" s="0" t="s">
        <v>2042</v>
      </c>
      <c r="C2001" s="0" t="s">
        <v>2156</v>
      </c>
      <c r="D2001" s="0" t="s">
        <v>2105</v>
      </c>
      <c r="E2001" s="0" t="s">
        <v>2045</v>
      </c>
      <c r="F2001" s="0" t="s">
        <v>2051</v>
      </c>
      <c r="G2001" s="0" t="s">
        <v>2110</v>
      </c>
      <c r="H2001" s="0" t="s">
        <v>2111</v>
      </c>
      <c r="I2001" s="0" t="s">
        <v>2322</v>
      </c>
      <c r="J2001" s="0" t="s">
        <v>2335</v>
      </c>
      <c r="K2001" s="272" t="n">
        <v>-7446876.06913035</v>
      </c>
    </row>
    <row r="2002" customFormat="false" ht="15" hidden="false" customHeight="false" outlineLevel="0" collapsed="false">
      <c r="A2002" s="0" t="s">
        <v>2041</v>
      </c>
      <c r="B2002" s="0" t="s">
        <v>2042</v>
      </c>
      <c r="C2002" s="0" t="s">
        <v>2156</v>
      </c>
      <c r="D2002" s="0" t="s">
        <v>2105</v>
      </c>
      <c r="E2002" s="0" t="s">
        <v>2045</v>
      </c>
      <c r="F2002" s="0" t="s">
        <v>2051</v>
      </c>
      <c r="G2002" s="0" t="s">
        <v>2110</v>
      </c>
      <c r="H2002" s="0" t="s">
        <v>2117</v>
      </c>
      <c r="I2002" s="0" t="s">
        <v>2322</v>
      </c>
      <c r="J2002" s="0" t="s">
        <v>2335</v>
      </c>
      <c r="K2002" s="272" t="n">
        <v>-960193.794699235</v>
      </c>
    </row>
    <row r="2003" customFormat="false" ht="15" hidden="false" customHeight="false" outlineLevel="0" collapsed="false">
      <c r="A2003" s="0" t="s">
        <v>2041</v>
      </c>
      <c r="B2003" s="0" t="s">
        <v>2042</v>
      </c>
      <c r="C2003" s="0" t="s">
        <v>2156</v>
      </c>
      <c r="D2003" s="0" t="s">
        <v>2105</v>
      </c>
      <c r="E2003" s="0" t="s">
        <v>2045</v>
      </c>
      <c r="F2003" s="0" t="s">
        <v>2051</v>
      </c>
      <c r="G2003" s="0" t="s">
        <v>2110</v>
      </c>
      <c r="H2003" s="0" t="s">
        <v>2119</v>
      </c>
      <c r="I2003" s="0" t="s">
        <v>2322</v>
      </c>
      <c r="J2003" s="0" t="s">
        <v>2335</v>
      </c>
      <c r="K2003" s="272" t="n">
        <v>-352937.026775962</v>
      </c>
    </row>
    <row r="2004" customFormat="false" ht="15" hidden="false" customHeight="false" outlineLevel="0" collapsed="false">
      <c r="A2004" s="0" t="s">
        <v>2041</v>
      </c>
      <c r="B2004" s="0" t="s">
        <v>2042</v>
      </c>
      <c r="C2004" s="0" t="s">
        <v>2156</v>
      </c>
      <c r="D2004" s="0" t="s">
        <v>2105</v>
      </c>
      <c r="E2004" s="0" t="s">
        <v>2045</v>
      </c>
      <c r="F2004" s="0" t="s">
        <v>2051</v>
      </c>
      <c r="G2004" s="0" t="s">
        <v>2110</v>
      </c>
      <c r="H2004" s="0" t="s">
        <v>2120</v>
      </c>
      <c r="I2004" s="0" t="s">
        <v>2322</v>
      </c>
      <c r="J2004" s="0" t="s">
        <v>2335</v>
      </c>
      <c r="K2004" s="272" t="n">
        <v>-5140200.34400081</v>
      </c>
    </row>
    <row r="2005" customFormat="false" ht="15" hidden="false" customHeight="false" outlineLevel="0" collapsed="false">
      <c r="A2005" s="0" t="s">
        <v>2041</v>
      </c>
      <c r="B2005" s="0" t="s">
        <v>2042</v>
      </c>
      <c r="C2005" s="0" t="s">
        <v>2156</v>
      </c>
      <c r="D2005" s="0" t="s">
        <v>2105</v>
      </c>
      <c r="E2005" s="0" t="s">
        <v>2045</v>
      </c>
      <c r="F2005" s="0" t="s">
        <v>2051</v>
      </c>
      <c r="G2005" s="0" t="s">
        <v>2110</v>
      </c>
      <c r="H2005" s="0" t="s">
        <v>2121</v>
      </c>
      <c r="I2005" s="0" t="s">
        <v>2322</v>
      </c>
      <c r="J2005" s="0" t="s">
        <v>2335</v>
      </c>
      <c r="K2005" s="272" t="n">
        <v>-3689248.42710424</v>
      </c>
    </row>
    <row r="2006" customFormat="false" ht="15" hidden="false" customHeight="false" outlineLevel="0" collapsed="false">
      <c r="A2006" s="0" t="s">
        <v>2041</v>
      </c>
      <c r="B2006" s="0" t="s">
        <v>2042</v>
      </c>
      <c r="C2006" s="0" t="s">
        <v>2156</v>
      </c>
      <c r="D2006" s="0" t="s">
        <v>2105</v>
      </c>
      <c r="E2006" s="0" t="s">
        <v>2045</v>
      </c>
      <c r="F2006" s="0" t="s">
        <v>2051</v>
      </c>
      <c r="G2006" s="0" t="s">
        <v>2110</v>
      </c>
      <c r="H2006" s="0" t="s">
        <v>2122</v>
      </c>
      <c r="I2006" s="0" t="s">
        <v>2322</v>
      </c>
      <c r="J2006" s="0" t="s">
        <v>2335</v>
      </c>
      <c r="K2006" s="272" t="n">
        <v>-1496086.2870381</v>
      </c>
    </row>
    <row r="2007" customFormat="false" ht="15" hidden="false" customHeight="false" outlineLevel="0" collapsed="false">
      <c r="A2007" s="0" t="s">
        <v>2041</v>
      </c>
      <c r="B2007" s="0" t="s">
        <v>2042</v>
      </c>
      <c r="C2007" s="0" t="s">
        <v>2156</v>
      </c>
      <c r="D2007" s="0" t="s">
        <v>2105</v>
      </c>
      <c r="E2007" s="0" t="s">
        <v>2045</v>
      </c>
      <c r="F2007" s="0" t="s">
        <v>2051</v>
      </c>
      <c r="G2007" s="0" t="s">
        <v>2110</v>
      </c>
      <c r="H2007" s="0" t="s">
        <v>2112</v>
      </c>
      <c r="I2007" s="0" t="s">
        <v>2322</v>
      </c>
      <c r="J2007" s="0" t="s">
        <v>2335</v>
      </c>
      <c r="K2007" s="272" t="n">
        <v>-20143889.7051526</v>
      </c>
    </row>
    <row r="2008" customFormat="false" ht="15" hidden="false" customHeight="false" outlineLevel="0" collapsed="false">
      <c r="A2008" s="0" t="s">
        <v>2041</v>
      </c>
      <c r="B2008" s="0" t="s">
        <v>2042</v>
      </c>
      <c r="C2008" s="0" t="s">
        <v>2156</v>
      </c>
      <c r="D2008" s="0" t="s">
        <v>2105</v>
      </c>
      <c r="E2008" s="0" t="s">
        <v>2045</v>
      </c>
      <c r="F2008" s="0" t="s">
        <v>2051</v>
      </c>
      <c r="G2008" s="0" t="s">
        <v>2110</v>
      </c>
      <c r="H2008" s="0" t="s">
        <v>2113</v>
      </c>
      <c r="I2008" s="0" t="s">
        <v>2322</v>
      </c>
      <c r="J2008" s="0" t="s">
        <v>2335</v>
      </c>
      <c r="K2008" s="272" t="n">
        <v>-85293048.7814402</v>
      </c>
    </row>
    <row r="2009" customFormat="false" ht="15" hidden="false" customHeight="false" outlineLevel="0" collapsed="false">
      <c r="A2009" s="0" t="s">
        <v>2041</v>
      </c>
      <c r="B2009" s="0" t="s">
        <v>2042</v>
      </c>
      <c r="C2009" s="0" t="s">
        <v>2156</v>
      </c>
      <c r="D2009" s="0" t="s">
        <v>2105</v>
      </c>
      <c r="E2009" s="0" t="s">
        <v>2045</v>
      </c>
      <c r="F2009" s="0" t="s">
        <v>2051</v>
      </c>
      <c r="G2009" s="0" t="s">
        <v>2110</v>
      </c>
      <c r="H2009" s="0" t="s">
        <v>2107</v>
      </c>
      <c r="I2009" s="0" t="s">
        <v>2322</v>
      </c>
      <c r="J2009" s="0" t="s">
        <v>2335</v>
      </c>
      <c r="K2009" s="272" t="n">
        <v>-38788131.6292533</v>
      </c>
    </row>
    <row r="2010" customFormat="false" ht="15" hidden="false" customHeight="false" outlineLevel="0" collapsed="false">
      <c r="A2010" s="0" t="s">
        <v>2041</v>
      </c>
      <c r="B2010" s="0" t="s">
        <v>2042</v>
      </c>
      <c r="C2010" s="0" t="s">
        <v>2156</v>
      </c>
      <c r="D2010" s="0" t="s">
        <v>2105</v>
      </c>
      <c r="E2010" s="0" t="s">
        <v>2045</v>
      </c>
      <c r="F2010" s="0" t="s">
        <v>2051</v>
      </c>
      <c r="G2010" s="0" t="s">
        <v>2114</v>
      </c>
      <c r="H2010" s="0" t="s">
        <v>2115</v>
      </c>
      <c r="I2010" s="0" t="s">
        <v>2322</v>
      </c>
      <c r="J2010" s="0" t="s">
        <v>2335</v>
      </c>
      <c r="K2010" s="272" t="n">
        <v>-34877789.0288148</v>
      </c>
    </row>
    <row r="2011" customFormat="false" ht="15" hidden="false" customHeight="false" outlineLevel="0" collapsed="false">
      <c r="A2011" s="0" t="s">
        <v>2041</v>
      </c>
      <c r="B2011" s="0" t="s">
        <v>2042</v>
      </c>
      <c r="C2011" s="0" t="s">
        <v>2156</v>
      </c>
      <c r="D2011" s="0" t="s">
        <v>2105</v>
      </c>
      <c r="E2011" s="0" t="s">
        <v>2045</v>
      </c>
      <c r="F2011" s="0" t="s">
        <v>2051</v>
      </c>
      <c r="G2011" s="0" t="s">
        <v>2114</v>
      </c>
      <c r="H2011" s="0" t="s">
        <v>2116</v>
      </c>
      <c r="I2011" s="0" t="s">
        <v>2322</v>
      </c>
      <c r="J2011" s="0" t="s">
        <v>2335</v>
      </c>
      <c r="K2011" s="272" t="n">
        <v>-3714177.47627554</v>
      </c>
    </row>
    <row r="2012" customFormat="false" ht="15" hidden="false" customHeight="false" outlineLevel="0" collapsed="false">
      <c r="A2012" s="0" t="s">
        <v>2041</v>
      </c>
      <c r="B2012" s="0" t="s">
        <v>2042</v>
      </c>
      <c r="C2012" s="0" t="s">
        <v>2156</v>
      </c>
      <c r="D2012" s="0" t="s">
        <v>2105</v>
      </c>
      <c r="E2012" s="0" t="s">
        <v>2045</v>
      </c>
      <c r="F2012" s="0" t="s">
        <v>2051</v>
      </c>
      <c r="G2012" s="0" t="s">
        <v>2114</v>
      </c>
      <c r="H2012" s="0" t="s">
        <v>2117</v>
      </c>
      <c r="I2012" s="0" t="s">
        <v>2322</v>
      </c>
      <c r="J2012" s="0" t="s">
        <v>2335</v>
      </c>
      <c r="K2012" s="272" t="n">
        <v>-2336721.6985529</v>
      </c>
    </row>
    <row r="2013" customFormat="false" ht="15" hidden="false" customHeight="false" outlineLevel="0" collapsed="false">
      <c r="A2013" s="0" t="s">
        <v>2041</v>
      </c>
      <c r="B2013" s="0" t="s">
        <v>2042</v>
      </c>
      <c r="C2013" s="0" t="s">
        <v>2156</v>
      </c>
      <c r="D2013" s="0" t="s">
        <v>2105</v>
      </c>
      <c r="E2013" s="0" t="s">
        <v>2045</v>
      </c>
      <c r="F2013" s="0" t="s">
        <v>2051</v>
      </c>
      <c r="G2013" s="0" t="s">
        <v>2114</v>
      </c>
      <c r="H2013" s="0" t="s">
        <v>2118</v>
      </c>
      <c r="I2013" s="0" t="s">
        <v>2322</v>
      </c>
      <c r="J2013" s="0" t="s">
        <v>2335</v>
      </c>
      <c r="K2013" s="272" t="n">
        <v>-2253486.3389529</v>
      </c>
    </row>
    <row r="2014" customFormat="false" ht="15" hidden="false" customHeight="false" outlineLevel="0" collapsed="false">
      <c r="A2014" s="0" t="s">
        <v>2041</v>
      </c>
      <c r="B2014" s="0" t="s">
        <v>2042</v>
      </c>
      <c r="C2014" s="0" t="s">
        <v>2156</v>
      </c>
      <c r="D2014" s="0" t="s">
        <v>2105</v>
      </c>
      <c r="E2014" s="0" t="s">
        <v>2045</v>
      </c>
      <c r="F2014" s="0" t="s">
        <v>2051</v>
      </c>
      <c r="G2014" s="0" t="s">
        <v>2114</v>
      </c>
      <c r="H2014" s="0" t="s">
        <v>2119</v>
      </c>
      <c r="I2014" s="0" t="s">
        <v>2322</v>
      </c>
      <c r="J2014" s="0" t="s">
        <v>2335</v>
      </c>
      <c r="K2014" s="272" t="n">
        <v>-9589384.03680028</v>
      </c>
    </row>
    <row r="2015" customFormat="false" ht="15" hidden="false" customHeight="false" outlineLevel="0" collapsed="false">
      <c r="A2015" s="0" t="s">
        <v>2041</v>
      </c>
      <c r="B2015" s="0" t="s">
        <v>2042</v>
      </c>
      <c r="C2015" s="0" t="s">
        <v>2156</v>
      </c>
      <c r="D2015" s="0" t="s">
        <v>2105</v>
      </c>
      <c r="E2015" s="0" t="s">
        <v>2045</v>
      </c>
      <c r="F2015" s="0" t="s">
        <v>2051</v>
      </c>
      <c r="G2015" s="0" t="s">
        <v>2114</v>
      </c>
      <c r="H2015" s="0" t="s">
        <v>2120</v>
      </c>
      <c r="I2015" s="0" t="s">
        <v>2322</v>
      </c>
      <c r="J2015" s="0" t="s">
        <v>2335</v>
      </c>
      <c r="K2015" s="272" t="n">
        <v>-11271135.3028489</v>
      </c>
    </row>
    <row r="2016" customFormat="false" ht="15" hidden="false" customHeight="false" outlineLevel="0" collapsed="false">
      <c r="A2016" s="0" t="s">
        <v>2041</v>
      </c>
      <c r="B2016" s="0" t="s">
        <v>2042</v>
      </c>
      <c r="C2016" s="0" t="s">
        <v>2156</v>
      </c>
      <c r="D2016" s="0" t="s">
        <v>2105</v>
      </c>
      <c r="E2016" s="0" t="s">
        <v>2045</v>
      </c>
      <c r="F2016" s="0" t="s">
        <v>2051</v>
      </c>
      <c r="G2016" s="0" t="s">
        <v>2114</v>
      </c>
      <c r="H2016" s="0" t="s">
        <v>2121</v>
      </c>
      <c r="I2016" s="0" t="s">
        <v>2322</v>
      </c>
      <c r="J2016" s="0" t="s">
        <v>2335</v>
      </c>
      <c r="K2016" s="272" t="n">
        <v>-6046900.61557018</v>
      </c>
    </row>
    <row r="2017" customFormat="false" ht="15" hidden="false" customHeight="false" outlineLevel="0" collapsed="false">
      <c r="A2017" s="0" t="s">
        <v>2041</v>
      </c>
      <c r="B2017" s="0" t="s">
        <v>2042</v>
      </c>
      <c r="C2017" s="0" t="s">
        <v>2156</v>
      </c>
      <c r="D2017" s="0" t="s">
        <v>2105</v>
      </c>
      <c r="E2017" s="0" t="s">
        <v>2045</v>
      </c>
      <c r="F2017" s="0" t="s">
        <v>2051</v>
      </c>
      <c r="G2017" s="0" t="s">
        <v>2114</v>
      </c>
      <c r="H2017" s="0" t="s">
        <v>2122</v>
      </c>
      <c r="I2017" s="0" t="s">
        <v>2322</v>
      </c>
      <c r="J2017" s="0" t="s">
        <v>2335</v>
      </c>
      <c r="K2017" s="272" t="n">
        <v>-12755996.4422341</v>
      </c>
    </row>
    <row r="2018" customFormat="false" ht="15" hidden="false" customHeight="false" outlineLevel="0" collapsed="false">
      <c r="A2018" s="0" t="s">
        <v>2041</v>
      </c>
      <c r="B2018" s="0" t="s">
        <v>2042</v>
      </c>
      <c r="C2018" s="0" t="s">
        <v>2156</v>
      </c>
      <c r="D2018" s="0" t="s">
        <v>2105</v>
      </c>
      <c r="E2018" s="0" t="s">
        <v>2045</v>
      </c>
      <c r="F2018" s="0" t="s">
        <v>2051</v>
      </c>
      <c r="G2018" s="0" t="s">
        <v>2114</v>
      </c>
      <c r="H2018" s="0" t="s">
        <v>2112</v>
      </c>
      <c r="I2018" s="0" t="s">
        <v>2322</v>
      </c>
      <c r="J2018" s="0" t="s">
        <v>2335</v>
      </c>
      <c r="K2018" s="272" t="n">
        <v>-3728100.57212002</v>
      </c>
    </row>
    <row r="2019" customFormat="false" ht="15" hidden="false" customHeight="false" outlineLevel="0" collapsed="false">
      <c r="A2019" s="0" t="s">
        <v>2041</v>
      </c>
      <c r="B2019" s="0" t="s">
        <v>2042</v>
      </c>
      <c r="C2019" s="0" t="s">
        <v>2156</v>
      </c>
      <c r="D2019" s="0" t="s">
        <v>2105</v>
      </c>
      <c r="E2019" s="0" t="s">
        <v>2045</v>
      </c>
      <c r="F2019" s="0" t="s">
        <v>2051</v>
      </c>
      <c r="G2019" s="0" t="s">
        <v>2114</v>
      </c>
      <c r="H2019" s="0" t="s">
        <v>2113</v>
      </c>
      <c r="I2019" s="0" t="s">
        <v>2322</v>
      </c>
      <c r="J2019" s="0" t="s">
        <v>2335</v>
      </c>
      <c r="K2019" s="272" t="n">
        <v>-2357315.43907637</v>
      </c>
    </row>
    <row r="2020" customFormat="false" ht="15" hidden="false" customHeight="false" outlineLevel="0" collapsed="false">
      <c r="A2020" s="0" t="s">
        <v>2041</v>
      </c>
      <c r="B2020" s="0" t="s">
        <v>2042</v>
      </c>
      <c r="C2020" s="0" t="s">
        <v>2156</v>
      </c>
      <c r="D2020" s="0" t="s">
        <v>2105</v>
      </c>
      <c r="E2020" s="0" t="s">
        <v>2045</v>
      </c>
      <c r="F2020" s="0" t="s">
        <v>2051</v>
      </c>
      <c r="G2020" s="0" t="s">
        <v>2114</v>
      </c>
      <c r="H2020" s="0" t="s">
        <v>2107</v>
      </c>
      <c r="I2020" s="0" t="s">
        <v>2322</v>
      </c>
      <c r="J2020" s="0" t="s">
        <v>2335</v>
      </c>
      <c r="K2020" s="272" t="n">
        <v>-31068632.5</v>
      </c>
    </row>
    <row r="2021" customFormat="false" ht="15" hidden="false" customHeight="false" outlineLevel="0" collapsed="false">
      <c r="A2021" s="0" t="s">
        <v>2041</v>
      </c>
      <c r="B2021" s="0" t="s">
        <v>2042</v>
      </c>
      <c r="C2021" s="0" t="s">
        <v>2156</v>
      </c>
      <c r="D2021" s="0" t="s">
        <v>2105</v>
      </c>
      <c r="E2021" s="0" t="s">
        <v>2045</v>
      </c>
      <c r="F2021" s="0" t="s">
        <v>2051</v>
      </c>
      <c r="G2021" s="0" t="s">
        <v>2123</v>
      </c>
      <c r="H2021" s="0" t="s">
        <v>2115</v>
      </c>
      <c r="I2021" s="0" t="s">
        <v>2322</v>
      </c>
      <c r="J2021" s="0" t="s">
        <v>2335</v>
      </c>
      <c r="K2021" s="272" t="n">
        <v>-6064869.79047301</v>
      </c>
    </row>
    <row r="2022" customFormat="false" ht="15" hidden="false" customHeight="false" outlineLevel="0" collapsed="false">
      <c r="A2022" s="0" t="s">
        <v>2041</v>
      </c>
      <c r="B2022" s="0" t="s">
        <v>2042</v>
      </c>
      <c r="C2022" s="0" t="s">
        <v>2156</v>
      </c>
      <c r="D2022" s="0" t="s">
        <v>2105</v>
      </c>
      <c r="E2022" s="0" t="s">
        <v>2045</v>
      </c>
      <c r="F2022" s="0" t="s">
        <v>2051</v>
      </c>
      <c r="G2022" s="0" t="s">
        <v>2123</v>
      </c>
      <c r="H2022" s="0" t="s">
        <v>2116</v>
      </c>
      <c r="I2022" s="0" t="s">
        <v>2322</v>
      </c>
      <c r="J2022" s="0" t="s">
        <v>2335</v>
      </c>
      <c r="K2022" s="272" t="n">
        <v>-6842406.29155832</v>
      </c>
    </row>
    <row r="2023" customFormat="false" ht="15" hidden="false" customHeight="false" outlineLevel="0" collapsed="false">
      <c r="A2023" s="0" t="s">
        <v>2041</v>
      </c>
      <c r="B2023" s="0" t="s">
        <v>2042</v>
      </c>
      <c r="C2023" s="0" t="s">
        <v>2156</v>
      </c>
      <c r="D2023" s="0" t="s">
        <v>2105</v>
      </c>
      <c r="E2023" s="0" t="s">
        <v>2045</v>
      </c>
      <c r="F2023" s="0" t="s">
        <v>2051</v>
      </c>
      <c r="G2023" s="0" t="s">
        <v>2123</v>
      </c>
      <c r="H2023" s="0" t="s">
        <v>2111</v>
      </c>
      <c r="I2023" s="0" t="s">
        <v>2322</v>
      </c>
      <c r="J2023" s="0" t="s">
        <v>2335</v>
      </c>
      <c r="K2023" s="272" t="n">
        <v>-13203686.4110994</v>
      </c>
    </row>
    <row r="2024" customFormat="false" ht="15" hidden="false" customHeight="false" outlineLevel="0" collapsed="false">
      <c r="A2024" s="0" t="s">
        <v>2041</v>
      </c>
      <c r="B2024" s="0" t="s">
        <v>2042</v>
      </c>
      <c r="C2024" s="0" t="s">
        <v>2156</v>
      </c>
      <c r="D2024" s="0" t="s">
        <v>2105</v>
      </c>
      <c r="E2024" s="0" t="s">
        <v>2045</v>
      </c>
      <c r="F2024" s="0" t="s">
        <v>2051</v>
      </c>
      <c r="G2024" s="0" t="s">
        <v>2123</v>
      </c>
      <c r="H2024" s="0" t="s">
        <v>2117</v>
      </c>
      <c r="I2024" s="0" t="s">
        <v>2322</v>
      </c>
      <c r="J2024" s="0" t="s">
        <v>2335</v>
      </c>
      <c r="K2024" s="272" t="n">
        <v>-3466332.13784112</v>
      </c>
    </row>
    <row r="2025" customFormat="false" ht="15" hidden="false" customHeight="false" outlineLevel="0" collapsed="false">
      <c r="A2025" s="0" t="s">
        <v>2041</v>
      </c>
      <c r="B2025" s="0" t="s">
        <v>2042</v>
      </c>
      <c r="C2025" s="0" t="s">
        <v>2156</v>
      </c>
      <c r="D2025" s="0" t="s">
        <v>2105</v>
      </c>
      <c r="E2025" s="0" t="s">
        <v>2045</v>
      </c>
      <c r="F2025" s="0" t="s">
        <v>2051</v>
      </c>
      <c r="G2025" s="0" t="s">
        <v>2123</v>
      </c>
      <c r="H2025" s="0" t="s">
        <v>2119</v>
      </c>
      <c r="I2025" s="0" t="s">
        <v>2322</v>
      </c>
      <c r="J2025" s="0" t="s">
        <v>2335</v>
      </c>
      <c r="K2025" s="272" t="n">
        <v>-450184.445151692</v>
      </c>
    </row>
    <row r="2026" customFormat="false" ht="15" hidden="false" customHeight="false" outlineLevel="0" collapsed="false">
      <c r="A2026" s="0" t="s">
        <v>2041</v>
      </c>
      <c r="B2026" s="0" t="s">
        <v>2042</v>
      </c>
      <c r="C2026" s="0" t="s">
        <v>2156</v>
      </c>
      <c r="D2026" s="0" t="s">
        <v>2105</v>
      </c>
      <c r="E2026" s="0" t="s">
        <v>2045</v>
      </c>
      <c r="F2026" s="0" t="s">
        <v>2051</v>
      </c>
      <c r="G2026" s="0" t="s">
        <v>2123</v>
      </c>
      <c r="H2026" s="0" t="s">
        <v>2120</v>
      </c>
      <c r="I2026" s="0" t="s">
        <v>2322</v>
      </c>
      <c r="J2026" s="0" t="s">
        <v>2335</v>
      </c>
      <c r="K2026" s="272" t="n">
        <v>-2563914.00551132</v>
      </c>
    </row>
    <row r="2027" customFormat="false" ht="15" hidden="false" customHeight="false" outlineLevel="0" collapsed="false">
      <c r="A2027" s="0" t="s">
        <v>2041</v>
      </c>
      <c r="B2027" s="0" t="s">
        <v>2042</v>
      </c>
      <c r="C2027" s="0" t="s">
        <v>2156</v>
      </c>
      <c r="D2027" s="0" t="s">
        <v>2105</v>
      </c>
      <c r="E2027" s="0" t="s">
        <v>2045</v>
      </c>
      <c r="F2027" s="0" t="s">
        <v>2051</v>
      </c>
      <c r="G2027" s="0" t="s">
        <v>2123</v>
      </c>
      <c r="H2027" s="0" t="s">
        <v>2121</v>
      </c>
      <c r="I2027" s="0" t="s">
        <v>2124</v>
      </c>
      <c r="J2027" s="0" t="s">
        <v>2335</v>
      </c>
      <c r="K2027" s="272" t="n">
        <v>-216000.864003456</v>
      </c>
    </row>
    <row r="2028" customFormat="false" ht="15" hidden="false" customHeight="false" outlineLevel="0" collapsed="false">
      <c r="A2028" s="0" t="s">
        <v>2041</v>
      </c>
      <c r="B2028" s="0" t="s">
        <v>2042</v>
      </c>
      <c r="C2028" s="0" t="s">
        <v>2156</v>
      </c>
      <c r="D2028" s="0" t="s">
        <v>2105</v>
      </c>
      <c r="E2028" s="0" t="s">
        <v>2045</v>
      </c>
      <c r="F2028" s="0" t="s">
        <v>2051</v>
      </c>
      <c r="G2028" s="0" t="s">
        <v>2123</v>
      </c>
      <c r="H2028" s="0" t="s">
        <v>2121</v>
      </c>
      <c r="I2028" s="0" t="s">
        <v>2322</v>
      </c>
      <c r="J2028" s="0" t="s">
        <v>2335</v>
      </c>
      <c r="K2028" s="272" t="n">
        <v>-502033.637066286</v>
      </c>
    </row>
    <row r="2029" customFormat="false" ht="15" hidden="false" customHeight="false" outlineLevel="0" collapsed="false">
      <c r="A2029" s="0" t="s">
        <v>2041</v>
      </c>
      <c r="B2029" s="0" t="s">
        <v>2042</v>
      </c>
      <c r="C2029" s="0" t="s">
        <v>2156</v>
      </c>
      <c r="D2029" s="0" t="s">
        <v>2105</v>
      </c>
      <c r="E2029" s="0" t="s">
        <v>2045</v>
      </c>
      <c r="F2029" s="0" t="s">
        <v>2051</v>
      </c>
      <c r="G2029" s="0" t="s">
        <v>2123</v>
      </c>
      <c r="H2029" s="0" t="s">
        <v>2122</v>
      </c>
      <c r="I2029" s="0" t="s">
        <v>2124</v>
      </c>
      <c r="J2029" s="0" t="s">
        <v>2335</v>
      </c>
      <c r="K2029" s="272" t="n">
        <v>-360001.44000576</v>
      </c>
    </row>
    <row r="2030" customFormat="false" ht="15" hidden="false" customHeight="false" outlineLevel="0" collapsed="false">
      <c r="A2030" s="0" t="s">
        <v>2041</v>
      </c>
      <c r="B2030" s="0" t="s">
        <v>2042</v>
      </c>
      <c r="C2030" s="0" t="s">
        <v>2156</v>
      </c>
      <c r="D2030" s="0" t="s">
        <v>2105</v>
      </c>
      <c r="E2030" s="0" t="s">
        <v>2045</v>
      </c>
      <c r="F2030" s="0" t="s">
        <v>2051</v>
      </c>
      <c r="G2030" s="0" t="s">
        <v>2123</v>
      </c>
      <c r="H2030" s="0" t="s">
        <v>2122</v>
      </c>
      <c r="I2030" s="0" t="s">
        <v>2322</v>
      </c>
      <c r="J2030" s="0" t="s">
        <v>2335</v>
      </c>
      <c r="K2030" s="272" t="n">
        <v>-5461216.01307164</v>
      </c>
    </row>
    <row r="2031" customFormat="false" ht="15" hidden="false" customHeight="false" outlineLevel="0" collapsed="false">
      <c r="A2031" s="0" t="s">
        <v>2041</v>
      </c>
      <c r="B2031" s="0" t="s">
        <v>2042</v>
      </c>
      <c r="C2031" s="0" t="s">
        <v>2156</v>
      </c>
      <c r="D2031" s="0" t="s">
        <v>2105</v>
      </c>
      <c r="E2031" s="0" t="s">
        <v>2045</v>
      </c>
      <c r="F2031" s="0" t="s">
        <v>2051</v>
      </c>
      <c r="G2031" s="0" t="s">
        <v>2123</v>
      </c>
      <c r="H2031" s="0" t="s">
        <v>2112</v>
      </c>
      <c r="I2031" s="0" t="s">
        <v>2124</v>
      </c>
      <c r="J2031" s="0" t="s">
        <v>2335</v>
      </c>
      <c r="K2031" s="272" t="n">
        <v>-144000.576002304</v>
      </c>
    </row>
    <row r="2032" customFormat="false" ht="15" hidden="false" customHeight="false" outlineLevel="0" collapsed="false">
      <c r="A2032" s="0" t="s">
        <v>2041</v>
      </c>
      <c r="B2032" s="0" t="s">
        <v>2042</v>
      </c>
      <c r="C2032" s="0" t="s">
        <v>2156</v>
      </c>
      <c r="D2032" s="0" t="s">
        <v>2105</v>
      </c>
      <c r="E2032" s="0" t="s">
        <v>2045</v>
      </c>
      <c r="F2032" s="0" t="s">
        <v>2051</v>
      </c>
      <c r="G2032" s="0" t="s">
        <v>2123</v>
      </c>
      <c r="H2032" s="0" t="s">
        <v>2112</v>
      </c>
      <c r="I2032" s="0" t="s">
        <v>2322</v>
      </c>
      <c r="J2032" s="0" t="s">
        <v>2335</v>
      </c>
      <c r="K2032" s="272" t="n">
        <v>-2802026.04999736</v>
      </c>
    </row>
    <row r="2033" customFormat="false" ht="15" hidden="false" customHeight="false" outlineLevel="0" collapsed="false">
      <c r="A2033" s="0" t="s">
        <v>2041</v>
      </c>
      <c r="B2033" s="0" t="s">
        <v>2042</v>
      </c>
      <c r="C2033" s="0" t="s">
        <v>2156</v>
      </c>
      <c r="D2033" s="0" t="s">
        <v>2105</v>
      </c>
      <c r="E2033" s="0" t="s">
        <v>2045</v>
      </c>
      <c r="F2033" s="0" t="s">
        <v>2051</v>
      </c>
      <c r="G2033" s="0" t="s">
        <v>2123</v>
      </c>
      <c r="H2033" s="0" t="s">
        <v>2113</v>
      </c>
      <c r="I2033" s="0" t="s">
        <v>2322</v>
      </c>
      <c r="J2033" s="0" t="s">
        <v>2335</v>
      </c>
      <c r="K2033" s="272" t="n">
        <v>-11413737.2942368</v>
      </c>
    </row>
    <row r="2034" customFormat="false" ht="15" hidden="false" customHeight="false" outlineLevel="0" collapsed="false">
      <c r="A2034" s="0" t="s">
        <v>2041</v>
      </c>
      <c r="B2034" s="0" t="s">
        <v>2042</v>
      </c>
      <c r="C2034" s="0" t="s">
        <v>2156</v>
      </c>
      <c r="D2034" s="0" t="s">
        <v>2105</v>
      </c>
      <c r="E2034" s="0" t="s">
        <v>2045</v>
      </c>
      <c r="F2034" s="0" t="s">
        <v>2051</v>
      </c>
      <c r="G2034" s="0" t="s">
        <v>2123</v>
      </c>
      <c r="H2034" s="0" t="s">
        <v>2107</v>
      </c>
      <c r="I2034" s="0" t="s">
        <v>2322</v>
      </c>
      <c r="J2034" s="0" t="s">
        <v>2335</v>
      </c>
      <c r="K2034" s="272" t="n">
        <v>-17696064.8197242</v>
      </c>
    </row>
    <row r="2035" customFormat="false" ht="15" hidden="false" customHeight="false" outlineLevel="0" collapsed="false">
      <c r="A2035" s="0" t="s">
        <v>2041</v>
      </c>
      <c r="B2035" s="0" t="s">
        <v>2042</v>
      </c>
      <c r="C2035" s="0" t="s">
        <v>2156</v>
      </c>
      <c r="D2035" s="0" t="s">
        <v>2105</v>
      </c>
      <c r="E2035" s="0" t="s">
        <v>2045</v>
      </c>
      <c r="F2035" s="0" t="s">
        <v>2046</v>
      </c>
      <c r="G2035" s="0" t="s">
        <v>2125</v>
      </c>
      <c r="H2035" s="0" t="s">
        <v>2126</v>
      </c>
      <c r="I2035" s="0" t="s">
        <v>2124</v>
      </c>
      <c r="J2035" s="0" t="s">
        <v>2335</v>
      </c>
      <c r="K2035" s="272" t="n">
        <v>-25000000</v>
      </c>
    </row>
    <row r="2036" customFormat="false" ht="15" hidden="false" customHeight="false" outlineLevel="0" collapsed="false">
      <c r="A2036" s="0" t="s">
        <v>2041</v>
      </c>
      <c r="B2036" s="0" t="s">
        <v>2042</v>
      </c>
      <c r="C2036" s="0" t="s">
        <v>2156</v>
      </c>
      <c r="D2036" s="0" t="s">
        <v>2105</v>
      </c>
      <c r="E2036" s="0" t="s">
        <v>2045</v>
      </c>
      <c r="F2036" s="0" t="s">
        <v>2046</v>
      </c>
      <c r="G2036" s="0" t="s">
        <v>2125</v>
      </c>
      <c r="H2036" s="0" t="s">
        <v>2126</v>
      </c>
      <c r="I2036" s="0" t="s">
        <v>2322</v>
      </c>
      <c r="J2036" s="0" t="s">
        <v>2335</v>
      </c>
      <c r="K2036" s="272" t="n">
        <v>-169050000</v>
      </c>
    </row>
    <row r="2037" customFormat="false" ht="15" hidden="false" customHeight="false" outlineLevel="0" collapsed="false">
      <c r="A2037" s="0" t="s">
        <v>2041</v>
      </c>
      <c r="B2037" s="0" t="s">
        <v>2042</v>
      </c>
      <c r="C2037" s="0" t="s">
        <v>2156</v>
      </c>
      <c r="D2037" s="0" t="s">
        <v>2105</v>
      </c>
      <c r="E2037" s="0" t="s">
        <v>2045</v>
      </c>
      <c r="F2037" s="0" t="s">
        <v>2046</v>
      </c>
      <c r="G2037" s="0" t="s">
        <v>2127</v>
      </c>
      <c r="H2037" s="0" t="s">
        <v>2128</v>
      </c>
      <c r="I2037" s="0" t="s">
        <v>2124</v>
      </c>
      <c r="J2037" s="0" t="s">
        <v>2335</v>
      </c>
      <c r="K2037" s="272" t="n">
        <v>-25000000</v>
      </c>
    </row>
    <row r="2038" customFormat="false" ht="15" hidden="false" customHeight="false" outlineLevel="0" collapsed="false">
      <c r="A2038" s="0" t="s">
        <v>2041</v>
      </c>
      <c r="B2038" s="0" t="s">
        <v>2042</v>
      </c>
      <c r="C2038" s="0" t="s">
        <v>2156</v>
      </c>
      <c r="D2038" s="0" t="s">
        <v>2105</v>
      </c>
      <c r="E2038" s="0" t="s">
        <v>2045</v>
      </c>
      <c r="F2038" s="0" t="s">
        <v>2046</v>
      </c>
      <c r="G2038" s="0" t="s">
        <v>2127</v>
      </c>
      <c r="H2038" s="0" t="s">
        <v>2128</v>
      </c>
      <c r="I2038" s="0" t="s">
        <v>2322</v>
      </c>
      <c r="J2038" s="0" t="s">
        <v>2335</v>
      </c>
      <c r="K2038" s="272" t="n">
        <v>-203000000</v>
      </c>
    </row>
    <row r="2039" customFormat="false" ht="15" hidden="false" customHeight="false" outlineLevel="0" collapsed="false">
      <c r="A2039" s="0" t="s">
        <v>2041</v>
      </c>
      <c r="B2039" s="0" t="s">
        <v>2042</v>
      </c>
      <c r="C2039" s="0" t="s">
        <v>2156</v>
      </c>
      <c r="D2039" s="0" t="s">
        <v>2105</v>
      </c>
      <c r="E2039" s="0" t="s">
        <v>2045</v>
      </c>
      <c r="F2039" s="0" t="s">
        <v>2046</v>
      </c>
      <c r="G2039" s="0" t="s">
        <v>2127</v>
      </c>
      <c r="H2039" s="0" t="s">
        <v>2132</v>
      </c>
      <c r="I2039" s="0" t="s">
        <v>2322</v>
      </c>
      <c r="J2039" s="0" t="s">
        <v>2335</v>
      </c>
      <c r="K2039" s="272" t="n">
        <v>-500000</v>
      </c>
    </row>
    <row r="2040" customFormat="false" ht="15" hidden="false" customHeight="false" outlineLevel="0" collapsed="false">
      <c r="A2040" s="0" t="s">
        <v>2041</v>
      </c>
      <c r="B2040" s="0" t="s">
        <v>2042</v>
      </c>
      <c r="C2040" s="0" t="s">
        <v>2156</v>
      </c>
      <c r="D2040" s="0" t="s">
        <v>2105</v>
      </c>
      <c r="E2040" s="0" t="s">
        <v>2045</v>
      </c>
      <c r="F2040" s="0" t="s">
        <v>2046</v>
      </c>
      <c r="G2040" s="0" t="s">
        <v>2129</v>
      </c>
      <c r="H2040" s="0" t="s">
        <v>2130</v>
      </c>
      <c r="I2040" s="0" t="s">
        <v>2124</v>
      </c>
      <c r="J2040" s="0" t="s">
        <v>2335</v>
      </c>
      <c r="K2040" s="272" t="n">
        <v>-12700000</v>
      </c>
    </row>
    <row r="2041" customFormat="false" ht="15" hidden="false" customHeight="false" outlineLevel="0" collapsed="false">
      <c r="A2041" s="0" t="s">
        <v>2041</v>
      </c>
      <c r="B2041" s="0" t="s">
        <v>2042</v>
      </c>
      <c r="C2041" s="0" t="s">
        <v>2156</v>
      </c>
      <c r="D2041" s="0" t="s">
        <v>2105</v>
      </c>
      <c r="E2041" s="0" t="s">
        <v>2045</v>
      </c>
      <c r="F2041" s="0" t="s">
        <v>2046</v>
      </c>
      <c r="G2041" s="0" t="s">
        <v>2129</v>
      </c>
      <c r="H2041" s="0" t="s">
        <v>2130</v>
      </c>
      <c r="I2041" s="0" t="s">
        <v>2322</v>
      </c>
      <c r="J2041" s="0" t="s">
        <v>2335</v>
      </c>
      <c r="K2041" s="272" t="n">
        <v>-107000000</v>
      </c>
    </row>
    <row r="2042" customFormat="false" ht="15" hidden="false" customHeight="false" outlineLevel="0" collapsed="false">
      <c r="A2042" s="0" t="s">
        <v>2041</v>
      </c>
      <c r="B2042" s="0" t="s">
        <v>2042</v>
      </c>
      <c r="C2042" s="0" t="s">
        <v>2156</v>
      </c>
      <c r="D2042" s="0" t="s">
        <v>2105</v>
      </c>
      <c r="E2042" s="0" t="s">
        <v>2045</v>
      </c>
      <c r="F2042" s="0" t="s">
        <v>2046</v>
      </c>
      <c r="G2042" s="0" t="s">
        <v>2131</v>
      </c>
      <c r="H2042" s="0" t="s">
        <v>2132</v>
      </c>
      <c r="I2042" s="0" t="s">
        <v>2124</v>
      </c>
      <c r="J2042" s="0" t="s">
        <v>2335</v>
      </c>
      <c r="K2042" s="272" t="n">
        <v>-7500000</v>
      </c>
    </row>
    <row r="2043" customFormat="false" ht="15" hidden="false" customHeight="false" outlineLevel="0" collapsed="false">
      <c r="A2043" s="0" t="s">
        <v>2041</v>
      </c>
      <c r="B2043" s="0" t="s">
        <v>2042</v>
      </c>
      <c r="C2043" s="0" t="s">
        <v>2156</v>
      </c>
      <c r="D2043" s="0" t="s">
        <v>2105</v>
      </c>
      <c r="E2043" s="0" t="s">
        <v>2045</v>
      </c>
      <c r="F2043" s="0" t="s">
        <v>2046</v>
      </c>
      <c r="G2043" s="0" t="s">
        <v>2131</v>
      </c>
      <c r="H2043" s="0" t="s">
        <v>2132</v>
      </c>
      <c r="I2043" s="0" t="s">
        <v>2322</v>
      </c>
      <c r="J2043" s="0" t="s">
        <v>2335</v>
      </c>
      <c r="K2043" s="272" t="n">
        <v>-92100000</v>
      </c>
    </row>
    <row r="2044" customFormat="false" ht="15" hidden="false" customHeight="false" outlineLevel="0" collapsed="false">
      <c r="A2044" s="0" t="s">
        <v>2041</v>
      </c>
      <c r="B2044" s="0" t="s">
        <v>2042</v>
      </c>
      <c r="C2044" s="0" t="s">
        <v>2156</v>
      </c>
      <c r="D2044" s="0" t="s">
        <v>2105</v>
      </c>
      <c r="E2044" s="0" t="s">
        <v>2045</v>
      </c>
      <c r="F2044" s="0" t="s">
        <v>2046</v>
      </c>
      <c r="G2044" s="0" t="s">
        <v>2133</v>
      </c>
      <c r="H2044" s="0" t="s">
        <v>2134</v>
      </c>
      <c r="I2044" s="0" t="s">
        <v>2322</v>
      </c>
      <c r="J2044" s="0" t="s">
        <v>2335</v>
      </c>
      <c r="K2044" s="272" t="n">
        <v>-207500000</v>
      </c>
    </row>
    <row r="2045" customFormat="false" ht="15" hidden="false" customHeight="false" outlineLevel="0" collapsed="false">
      <c r="A2045" s="0" t="s">
        <v>2041</v>
      </c>
      <c r="B2045" s="0" t="s">
        <v>2042</v>
      </c>
      <c r="C2045" s="0" t="s">
        <v>2156</v>
      </c>
      <c r="D2045" s="0" t="s">
        <v>2105</v>
      </c>
      <c r="E2045" s="0" t="s">
        <v>2045</v>
      </c>
      <c r="F2045" s="0" t="s">
        <v>2046</v>
      </c>
      <c r="G2045" s="0" t="s">
        <v>2135</v>
      </c>
      <c r="H2045" s="0" t="s">
        <v>2136</v>
      </c>
      <c r="I2045" s="0" t="s">
        <v>2124</v>
      </c>
      <c r="J2045" s="0" t="s">
        <v>2335</v>
      </c>
      <c r="K2045" s="272" t="n">
        <v>-4000000</v>
      </c>
    </row>
    <row r="2046" customFormat="false" ht="15" hidden="false" customHeight="false" outlineLevel="0" collapsed="false">
      <c r="A2046" s="0" t="s">
        <v>2041</v>
      </c>
      <c r="B2046" s="0" t="s">
        <v>2042</v>
      </c>
      <c r="C2046" s="0" t="s">
        <v>2156</v>
      </c>
      <c r="D2046" s="0" t="s">
        <v>2105</v>
      </c>
      <c r="E2046" s="0" t="s">
        <v>2045</v>
      </c>
      <c r="F2046" s="0" t="s">
        <v>2046</v>
      </c>
      <c r="G2046" s="0" t="s">
        <v>2135</v>
      </c>
      <c r="H2046" s="0" t="s">
        <v>2136</v>
      </c>
      <c r="I2046" s="0" t="s">
        <v>2322</v>
      </c>
      <c r="J2046" s="0" t="s">
        <v>2335</v>
      </c>
      <c r="K2046" s="272" t="n">
        <v>-76500000</v>
      </c>
    </row>
    <row r="2047" customFormat="false" ht="15" hidden="false" customHeight="false" outlineLevel="0" collapsed="false">
      <c r="A2047" s="0" t="s">
        <v>2041</v>
      </c>
      <c r="B2047" s="0" t="s">
        <v>2042</v>
      </c>
      <c r="C2047" s="0" t="s">
        <v>2156</v>
      </c>
      <c r="D2047" s="0" t="s">
        <v>2105</v>
      </c>
      <c r="E2047" s="0" t="s">
        <v>2045</v>
      </c>
      <c r="F2047" s="0" t="s">
        <v>2046</v>
      </c>
      <c r="G2047" s="0" t="s">
        <v>2137</v>
      </c>
      <c r="H2047" s="0" t="s">
        <v>2138</v>
      </c>
      <c r="I2047" s="0" t="s">
        <v>2322</v>
      </c>
      <c r="J2047" s="0" t="s">
        <v>2335</v>
      </c>
      <c r="K2047" s="272" t="n">
        <v>-153500000</v>
      </c>
    </row>
    <row r="2048" customFormat="false" ht="15" hidden="false" customHeight="false" outlineLevel="0" collapsed="false">
      <c r="A2048" s="0" t="s">
        <v>2041</v>
      </c>
      <c r="B2048" s="0" t="s">
        <v>2042</v>
      </c>
      <c r="C2048" s="0" t="s">
        <v>2156</v>
      </c>
      <c r="D2048" s="0" t="s">
        <v>2105</v>
      </c>
      <c r="E2048" s="0" t="s">
        <v>2045</v>
      </c>
      <c r="F2048" s="0" t="s">
        <v>2046</v>
      </c>
      <c r="G2048" s="0" t="s">
        <v>2137</v>
      </c>
      <c r="H2048" s="0" t="s">
        <v>2126</v>
      </c>
      <c r="I2048" s="0" t="s">
        <v>2322</v>
      </c>
      <c r="J2048" s="0" t="s">
        <v>2335</v>
      </c>
      <c r="K2048" s="272" t="n">
        <v>-1500000</v>
      </c>
    </row>
    <row r="2049" customFormat="false" ht="15" hidden="false" customHeight="false" outlineLevel="0" collapsed="false">
      <c r="A2049" s="0" t="s">
        <v>2041</v>
      </c>
      <c r="B2049" s="0" t="s">
        <v>2042</v>
      </c>
      <c r="C2049" s="0" t="s">
        <v>2156</v>
      </c>
      <c r="D2049" s="0" t="s">
        <v>2105</v>
      </c>
      <c r="E2049" s="0" t="s">
        <v>2045</v>
      </c>
      <c r="F2049" s="0" t="s">
        <v>2046</v>
      </c>
      <c r="G2049" s="0" t="s">
        <v>2139</v>
      </c>
      <c r="H2049" s="0" t="s">
        <v>2136</v>
      </c>
      <c r="I2049" s="0" t="s">
        <v>2322</v>
      </c>
      <c r="J2049" s="0" t="s">
        <v>2335</v>
      </c>
      <c r="K2049" s="272" t="n">
        <v>-500000</v>
      </c>
    </row>
    <row r="2050" customFormat="false" ht="15" hidden="false" customHeight="false" outlineLevel="0" collapsed="false">
      <c r="A2050" s="0" t="s">
        <v>2041</v>
      </c>
      <c r="B2050" s="0" t="s">
        <v>2042</v>
      </c>
      <c r="C2050" s="0" t="s">
        <v>2156</v>
      </c>
      <c r="D2050" s="0" t="s">
        <v>2105</v>
      </c>
      <c r="E2050" s="0" t="s">
        <v>2045</v>
      </c>
      <c r="F2050" s="0" t="s">
        <v>2046</v>
      </c>
      <c r="G2050" s="0" t="s">
        <v>2139</v>
      </c>
      <c r="H2050" s="0" t="s">
        <v>2140</v>
      </c>
      <c r="I2050" s="0" t="s">
        <v>2322</v>
      </c>
      <c r="J2050" s="0" t="s">
        <v>2335</v>
      </c>
      <c r="K2050" s="272" t="n">
        <v>-25500000</v>
      </c>
    </row>
    <row r="2051" customFormat="false" ht="15" hidden="false" customHeight="false" outlineLevel="0" collapsed="false">
      <c r="A2051" s="0" t="s">
        <v>2041</v>
      </c>
      <c r="B2051" s="0" t="s">
        <v>2042</v>
      </c>
      <c r="C2051" s="0" t="s">
        <v>2156</v>
      </c>
      <c r="D2051" s="0" t="s">
        <v>2105</v>
      </c>
      <c r="E2051" s="0" t="s">
        <v>2045</v>
      </c>
      <c r="F2051" s="0" t="s">
        <v>2046</v>
      </c>
      <c r="G2051" s="0" t="s">
        <v>2141</v>
      </c>
      <c r="H2051" s="0" t="s">
        <v>2144</v>
      </c>
      <c r="I2051" s="0" t="s">
        <v>2322</v>
      </c>
      <c r="J2051" s="0" t="s">
        <v>2335</v>
      </c>
      <c r="K2051" s="272" t="n">
        <v>-12000000</v>
      </c>
    </row>
    <row r="2052" customFormat="false" ht="15" hidden="false" customHeight="false" outlineLevel="0" collapsed="false">
      <c r="A2052" s="0" t="s">
        <v>2041</v>
      </c>
      <c r="B2052" s="0" t="s">
        <v>2042</v>
      </c>
      <c r="C2052" s="0" t="s">
        <v>2156</v>
      </c>
      <c r="D2052" s="0" t="s">
        <v>2105</v>
      </c>
      <c r="E2052" s="0" t="s">
        <v>2045</v>
      </c>
      <c r="F2052" s="0" t="s">
        <v>2046</v>
      </c>
      <c r="G2052" s="0" t="s">
        <v>2141</v>
      </c>
      <c r="H2052" s="0" t="s">
        <v>2142</v>
      </c>
      <c r="I2052" s="0" t="s">
        <v>2322</v>
      </c>
      <c r="J2052" s="0" t="s">
        <v>2335</v>
      </c>
      <c r="K2052" s="272" t="n">
        <v>-43225000</v>
      </c>
    </row>
    <row r="2053" customFormat="false" ht="15" hidden="false" customHeight="false" outlineLevel="0" collapsed="false">
      <c r="A2053" s="0" t="s">
        <v>2041</v>
      </c>
      <c r="B2053" s="0" t="s">
        <v>2042</v>
      </c>
      <c r="C2053" s="0" t="s">
        <v>2156</v>
      </c>
      <c r="D2053" s="0" t="s">
        <v>2105</v>
      </c>
      <c r="E2053" s="0" t="s">
        <v>2045</v>
      </c>
      <c r="F2053" s="0" t="s">
        <v>2046</v>
      </c>
      <c r="G2053" s="0" t="s">
        <v>2143</v>
      </c>
      <c r="H2053" s="0" t="s">
        <v>2144</v>
      </c>
      <c r="I2053" s="0" t="s">
        <v>2322</v>
      </c>
      <c r="J2053" s="0" t="s">
        <v>2335</v>
      </c>
      <c r="K2053" s="272" t="n">
        <v>-51700000</v>
      </c>
    </row>
    <row r="2054" customFormat="false" ht="15" hidden="false" customHeight="false" outlineLevel="0" collapsed="false">
      <c r="A2054" s="0" t="s">
        <v>2041</v>
      </c>
      <c r="B2054" s="0" t="s">
        <v>2042</v>
      </c>
      <c r="C2054" s="0" t="s">
        <v>2156</v>
      </c>
      <c r="D2054" s="0" t="s">
        <v>2105</v>
      </c>
      <c r="E2054" s="0" t="s">
        <v>2045</v>
      </c>
      <c r="F2054" s="0" t="s">
        <v>2046</v>
      </c>
      <c r="G2054" s="0" t="s">
        <v>2143</v>
      </c>
      <c r="H2054" s="0" t="s">
        <v>2142</v>
      </c>
      <c r="I2054" s="0" t="s">
        <v>2322</v>
      </c>
      <c r="J2054" s="0" t="s">
        <v>2335</v>
      </c>
      <c r="K2054" s="272" t="n">
        <v>-15000000</v>
      </c>
    </row>
    <row r="2055" customFormat="false" ht="15" hidden="false" customHeight="false" outlineLevel="0" collapsed="false">
      <c r="A2055" s="0" t="s">
        <v>2041</v>
      </c>
      <c r="B2055" s="0" t="s">
        <v>2042</v>
      </c>
      <c r="C2055" s="0" t="s">
        <v>2156</v>
      </c>
      <c r="D2055" s="0" t="s">
        <v>2105</v>
      </c>
      <c r="E2055" s="0" t="s">
        <v>2045</v>
      </c>
      <c r="F2055" s="0" t="s">
        <v>2046</v>
      </c>
      <c r="G2055" s="0" t="s">
        <v>2145</v>
      </c>
      <c r="H2055" s="0" t="s">
        <v>2146</v>
      </c>
      <c r="I2055" s="0" t="s">
        <v>2124</v>
      </c>
      <c r="J2055" s="0" t="s">
        <v>2335</v>
      </c>
      <c r="K2055" s="272" t="n">
        <v>-3500000</v>
      </c>
    </row>
    <row r="2056" customFormat="false" ht="15" hidden="false" customHeight="false" outlineLevel="0" collapsed="false">
      <c r="A2056" s="0" t="s">
        <v>2041</v>
      </c>
      <c r="B2056" s="0" t="s">
        <v>2042</v>
      </c>
      <c r="C2056" s="0" t="s">
        <v>2156</v>
      </c>
      <c r="D2056" s="0" t="s">
        <v>2105</v>
      </c>
      <c r="E2056" s="0" t="s">
        <v>2045</v>
      </c>
      <c r="F2056" s="0" t="s">
        <v>2046</v>
      </c>
      <c r="G2056" s="0" t="s">
        <v>2145</v>
      </c>
      <c r="H2056" s="0" t="s">
        <v>2146</v>
      </c>
      <c r="I2056" s="0" t="s">
        <v>2322</v>
      </c>
      <c r="J2056" s="0" t="s">
        <v>2335</v>
      </c>
      <c r="K2056" s="272" t="n">
        <v>-61000000</v>
      </c>
    </row>
    <row r="2057" customFormat="false" ht="15" hidden="false" customHeight="false" outlineLevel="0" collapsed="false">
      <c r="A2057" s="0" t="s">
        <v>2041</v>
      </c>
      <c r="B2057" s="0" t="s">
        <v>2042</v>
      </c>
      <c r="C2057" s="0" t="s">
        <v>2156</v>
      </c>
      <c r="D2057" s="0" t="s">
        <v>2105</v>
      </c>
      <c r="E2057" s="0" t="s">
        <v>2045</v>
      </c>
      <c r="F2057" s="0" t="s">
        <v>2046</v>
      </c>
      <c r="G2057" s="0" t="s">
        <v>2147</v>
      </c>
      <c r="H2057" s="0" t="s">
        <v>2144</v>
      </c>
      <c r="I2057" s="0" t="s">
        <v>2322</v>
      </c>
      <c r="J2057" s="0" t="s">
        <v>2335</v>
      </c>
      <c r="K2057" s="272" t="n">
        <v>-5000000</v>
      </c>
    </row>
    <row r="2058" customFormat="false" ht="15" hidden="false" customHeight="false" outlineLevel="0" collapsed="false">
      <c r="A2058" s="0" t="s">
        <v>2041</v>
      </c>
      <c r="B2058" s="0" t="s">
        <v>2042</v>
      </c>
      <c r="C2058" s="0" t="s">
        <v>2156</v>
      </c>
      <c r="D2058" s="0" t="s">
        <v>2105</v>
      </c>
      <c r="E2058" s="0" t="s">
        <v>2045</v>
      </c>
      <c r="F2058" s="0" t="s">
        <v>2046</v>
      </c>
      <c r="G2058" s="0" t="s">
        <v>2147</v>
      </c>
      <c r="H2058" s="0" t="s">
        <v>2140</v>
      </c>
      <c r="I2058" s="0" t="s">
        <v>2322</v>
      </c>
      <c r="J2058" s="0" t="s">
        <v>2335</v>
      </c>
      <c r="K2058" s="272" t="n">
        <v>-36283401</v>
      </c>
    </row>
    <row r="2059" customFormat="false" ht="15" hidden="false" customHeight="false" outlineLevel="0" collapsed="false">
      <c r="A2059" s="0" t="s">
        <v>2041</v>
      </c>
      <c r="B2059" s="0" t="s">
        <v>2042</v>
      </c>
      <c r="C2059" s="0" t="s">
        <v>2156</v>
      </c>
      <c r="D2059" s="0" t="s">
        <v>2105</v>
      </c>
      <c r="E2059" s="0" t="s">
        <v>2045</v>
      </c>
      <c r="F2059" s="0" t="s">
        <v>2046</v>
      </c>
      <c r="G2059" s="0" t="s">
        <v>2147</v>
      </c>
      <c r="H2059" s="0" t="s">
        <v>2126</v>
      </c>
      <c r="I2059" s="0" t="s">
        <v>2124</v>
      </c>
      <c r="J2059" s="0" t="s">
        <v>2335</v>
      </c>
      <c r="K2059" s="272" t="n">
        <v>-500000</v>
      </c>
    </row>
    <row r="2060" customFormat="false" ht="15" hidden="false" customHeight="false" outlineLevel="0" collapsed="false">
      <c r="A2060" s="0" t="s">
        <v>2041</v>
      </c>
      <c r="B2060" s="0" t="s">
        <v>2042</v>
      </c>
      <c r="C2060" s="0" t="s">
        <v>2156</v>
      </c>
      <c r="D2060" s="0" t="s">
        <v>2105</v>
      </c>
      <c r="E2060" s="0" t="s">
        <v>2045</v>
      </c>
      <c r="F2060" s="0" t="s">
        <v>2046</v>
      </c>
      <c r="G2060" s="0" t="s">
        <v>2147</v>
      </c>
      <c r="H2060" s="0" t="s">
        <v>2126</v>
      </c>
      <c r="I2060" s="0" t="s">
        <v>2322</v>
      </c>
      <c r="J2060" s="0" t="s">
        <v>2335</v>
      </c>
      <c r="K2060" s="272" t="n">
        <v>-25550000</v>
      </c>
    </row>
    <row r="2061" customFormat="false" ht="15" hidden="false" customHeight="false" outlineLevel="0" collapsed="false">
      <c r="A2061" s="0" t="s">
        <v>2041</v>
      </c>
      <c r="B2061" s="0" t="s">
        <v>2042</v>
      </c>
      <c r="C2061" s="0" t="s">
        <v>2156</v>
      </c>
      <c r="D2061" s="0" t="s">
        <v>2105</v>
      </c>
      <c r="E2061" s="0" t="s">
        <v>2045</v>
      </c>
      <c r="F2061" s="0" t="s">
        <v>2046</v>
      </c>
      <c r="G2061" s="0" t="s">
        <v>2147</v>
      </c>
      <c r="H2061" s="0" t="s">
        <v>2331</v>
      </c>
      <c r="I2061" s="0" t="s">
        <v>2124</v>
      </c>
      <c r="J2061" s="0" t="s">
        <v>2335</v>
      </c>
      <c r="K2061" s="272" t="n">
        <v>-1700000</v>
      </c>
    </row>
    <row r="2062" customFormat="false" ht="15" hidden="false" customHeight="false" outlineLevel="0" collapsed="false">
      <c r="A2062" s="0" t="s">
        <v>2041</v>
      </c>
      <c r="B2062" s="0" t="s">
        <v>2042</v>
      </c>
      <c r="C2062" s="0" t="s">
        <v>2156</v>
      </c>
      <c r="D2062" s="0" t="s">
        <v>2105</v>
      </c>
      <c r="E2062" s="0" t="s">
        <v>2045</v>
      </c>
      <c r="F2062" s="0" t="s">
        <v>2046</v>
      </c>
      <c r="G2062" s="0" t="s">
        <v>2148</v>
      </c>
      <c r="H2062" s="0" t="s">
        <v>2149</v>
      </c>
      <c r="I2062" s="0" t="s">
        <v>2322</v>
      </c>
      <c r="J2062" s="0" t="s">
        <v>2335</v>
      </c>
      <c r="K2062" s="272" t="n">
        <v>-109800000</v>
      </c>
    </row>
    <row r="2063" customFormat="false" ht="15" hidden="false" customHeight="false" outlineLevel="0" collapsed="false">
      <c r="A2063" s="0" t="s">
        <v>2041</v>
      </c>
      <c r="B2063" s="0" t="s">
        <v>2042</v>
      </c>
      <c r="C2063" s="0" t="s">
        <v>2156</v>
      </c>
      <c r="D2063" s="0" t="s">
        <v>2105</v>
      </c>
      <c r="E2063" s="0" t="s">
        <v>2045</v>
      </c>
      <c r="F2063" s="0" t="s">
        <v>2215</v>
      </c>
      <c r="G2063" s="0" t="s">
        <v>2216</v>
      </c>
      <c r="H2063" s="0" t="s">
        <v>2217</v>
      </c>
      <c r="I2063" s="0" t="s">
        <v>2124</v>
      </c>
      <c r="J2063" s="0" t="s">
        <v>2335</v>
      </c>
      <c r="K2063" s="272" t="n">
        <v>-38250000</v>
      </c>
    </row>
    <row r="2064" customFormat="false" ht="15" hidden="false" customHeight="false" outlineLevel="0" collapsed="false">
      <c r="A2064" s="0" t="s">
        <v>2041</v>
      </c>
      <c r="B2064" s="0" t="s">
        <v>2042</v>
      </c>
      <c r="C2064" s="0" t="s">
        <v>2156</v>
      </c>
      <c r="D2064" s="0" t="s">
        <v>2105</v>
      </c>
      <c r="E2064" s="0" t="s">
        <v>2045</v>
      </c>
      <c r="F2064" s="0" t="s">
        <v>2215</v>
      </c>
      <c r="G2064" s="0" t="s">
        <v>2216</v>
      </c>
      <c r="H2064" s="0" t="s">
        <v>2217</v>
      </c>
      <c r="I2064" s="0" t="s">
        <v>2322</v>
      </c>
      <c r="J2064" s="0" t="s">
        <v>2335</v>
      </c>
      <c r="K2064" s="272" t="n">
        <v>-649461834.928335</v>
      </c>
    </row>
    <row r="2065" customFormat="false" ht="15" hidden="false" customHeight="false" outlineLevel="0" collapsed="false">
      <c r="A2065" s="0" t="s">
        <v>2041</v>
      </c>
      <c r="B2065" s="0" t="s">
        <v>2042</v>
      </c>
      <c r="C2065" s="0" t="s">
        <v>2156</v>
      </c>
      <c r="D2065" s="0" t="s">
        <v>2105</v>
      </c>
      <c r="E2065" s="0" t="s">
        <v>2045</v>
      </c>
      <c r="F2065" s="0" t="s">
        <v>2215</v>
      </c>
      <c r="G2065" s="0" t="s">
        <v>2218</v>
      </c>
      <c r="H2065" s="0" t="s">
        <v>2183</v>
      </c>
      <c r="I2065" s="0" t="s">
        <v>2124</v>
      </c>
      <c r="J2065" s="0" t="s">
        <v>2335</v>
      </c>
      <c r="K2065" s="272" t="n">
        <v>-3000000</v>
      </c>
    </row>
    <row r="2066" customFormat="false" ht="15" hidden="false" customHeight="false" outlineLevel="0" collapsed="false">
      <c r="A2066" s="0" t="s">
        <v>2041</v>
      </c>
      <c r="B2066" s="0" t="s">
        <v>2042</v>
      </c>
      <c r="C2066" s="0" t="s">
        <v>2156</v>
      </c>
      <c r="D2066" s="0" t="s">
        <v>2105</v>
      </c>
      <c r="E2066" s="0" t="s">
        <v>2045</v>
      </c>
      <c r="F2066" s="0" t="s">
        <v>2215</v>
      </c>
      <c r="G2066" s="0" t="s">
        <v>2218</v>
      </c>
      <c r="H2066" s="0" t="s">
        <v>2183</v>
      </c>
      <c r="I2066" s="0" t="s">
        <v>2322</v>
      </c>
      <c r="J2066" s="0" t="s">
        <v>2335</v>
      </c>
      <c r="K2066" s="272" t="n">
        <v>-19400000</v>
      </c>
    </row>
    <row r="2067" customFormat="false" ht="15" hidden="false" customHeight="false" outlineLevel="0" collapsed="false">
      <c r="A2067" s="0" t="s">
        <v>2041</v>
      </c>
      <c r="B2067" s="0" t="s">
        <v>2042</v>
      </c>
      <c r="C2067" s="0" t="s">
        <v>2156</v>
      </c>
      <c r="D2067" s="0" t="s">
        <v>2105</v>
      </c>
      <c r="E2067" s="0" t="s">
        <v>2045</v>
      </c>
      <c r="F2067" s="0" t="s">
        <v>2215</v>
      </c>
      <c r="G2067" s="0" t="s">
        <v>2218</v>
      </c>
      <c r="H2067" s="0" t="s">
        <v>2185</v>
      </c>
      <c r="I2067" s="0" t="s">
        <v>2322</v>
      </c>
      <c r="J2067" s="0" t="s">
        <v>2335</v>
      </c>
      <c r="K2067" s="272" t="n">
        <v>-2000000</v>
      </c>
    </row>
    <row r="2068" customFormat="false" ht="15" hidden="false" customHeight="false" outlineLevel="0" collapsed="false">
      <c r="A2068" s="0" t="s">
        <v>2041</v>
      </c>
      <c r="B2068" s="0" t="s">
        <v>2042</v>
      </c>
      <c r="C2068" s="0" t="s">
        <v>2156</v>
      </c>
      <c r="D2068" s="0" t="s">
        <v>2105</v>
      </c>
      <c r="E2068" s="0" t="s">
        <v>2045</v>
      </c>
      <c r="F2068" s="0" t="s">
        <v>2215</v>
      </c>
      <c r="G2068" s="0" t="s">
        <v>2218</v>
      </c>
      <c r="H2068" s="0" t="s">
        <v>2179</v>
      </c>
      <c r="I2068" s="0" t="s">
        <v>2322</v>
      </c>
      <c r="J2068" s="0" t="s">
        <v>2335</v>
      </c>
      <c r="K2068" s="272" t="n">
        <v>-41091369.3247299</v>
      </c>
    </row>
    <row r="2069" customFormat="false" ht="15" hidden="false" customHeight="false" outlineLevel="0" collapsed="false">
      <c r="A2069" s="0" t="s">
        <v>2041</v>
      </c>
      <c r="B2069" s="0" t="s">
        <v>2042</v>
      </c>
      <c r="C2069" s="0" t="s">
        <v>2156</v>
      </c>
      <c r="D2069" s="0" t="s">
        <v>2105</v>
      </c>
      <c r="E2069" s="0" t="s">
        <v>2045</v>
      </c>
      <c r="F2069" s="0" t="s">
        <v>2215</v>
      </c>
      <c r="G2069" s="0" t="s">
        <v>2218</v>
      </c>
      <c r="H2069" s="0" t="s">
        <v>2217</v>
      </c>
      <c r="I2069" s="0" t="s">
        <v>2322</v>
      </c>
      <c r="J2069" s="0" t="s">
        <v>2335</v>
      </c>
      <c r="K2069" s="272" t="n">
        <v>-11780000</v>
      </c>
    </row>
    <row r="2070" customFormat="false" ht="15" hidden="false" customHeight="false" outlineLevel="0" collapsed="false">
      <c r="A2070" s="0" t="s">
        <v>2041</v>
      </c>
      <c r="B2070" s="0" t="s">
        <v>2042</v>
      </c>
      <c r="C2070" s="0" t="s">
        <v>2156</v>
      </c>
      <c r="D2070" s="0" t="s">
        <v>2105</v>
      </c>
      <c r="E2070" s="0" t="s">
        <v>2045</v>
      </c>
      <c r="F2070" s="0" t="s">
        <v>2215</v>
      </c>
      <c r="G2070" s="0" t="s">
        <v>2218</v>
      </c>
      <c r="H2070" s="0" t="s">
        <v>2219</v>
      </c>
      <c r="I2070" s="0" t="s">
        <v>2322</v>
      </c>
      <c r="J2070" s="0" t="s">
        <v>2335</v>
      </c>
      <c r="K2070" s="272" t="n">
        <v>-98100000</v>
      </c>
    </row>
    <row r="2071" customFormat="false" ht="15" hidden="false" customHeight="false" outlineLevel="0" collapsed="false">
      <c r="A2071" s="0" t="s">
        <v>2041</v>
      </c>
      <c r="B2071" s="0" t="s">
        <v>2042</v>
      </c>
      <c r="C2071" s="0" t="s">
        <v>2156</v>
      </c>
      <c r="D2071" s="0" t="s">
        <v>2105</v>
      </c>
      <c r="E2071" s="0" t="s">
        <v>2045</v>
      </c>
      <c r="F2071" s="0" t="s">
        <v>2215</v>
      </c>
      <c r="G2071" s="0" t="s">
        <v>2218</v>
      </c>
      <c r="H2071" s="0" t="s">
        <v>2220</v>
      </c>
      <c r="I2071" s="0" t="s">
        <v>2124</v>
      </c>
      <c r="J2071" s="0" t="s">
        <v>2335</v>
      </c>
      <c r="K2071" s="272" t="n">
        <v>-25000000</v>
      </c>
    </row>
    <row r="2072" customFormat="false" ht="15" hidden="false" customHeight="false" outlineLevel="0" collapsed="false">
      <c r="A2072" s="0" t="s">
        <v>2041</v>
      </c>
      <c r="B2072" s="0" t="s">
        <v>2042</v>
      </c>
      <c r="C2072" s="0" t="s">
        <v>2156</v>
      </c>
      <c r="D2072" s="0" t="s">
        <v>2105</v>
      </c>
      <c r="E2072" s="0" t="s">
        <v>2045</v>
      </c>
      <c r="F2072" s="0" t="s">
        <v>2215</v>
      </c>
      <c r="G2072" s="0" t="s">
        <v>2218</v>
      </c>
      <c r="H2072" s="0" t="s">
        <v>2220</v>
      </c>
      <c r="I2072" s="0" t="s">
        <v>2322</v>
      </c>
      <c r="J2072" s="0" t="s">
        <v>2335</v>
      </c>
      <c r="K2072" s="272" t="n">
        <v>-49450000</v>
      </c>
    </row>
    <row r="2073" customFormat="false" ht="15" hidden="false" customHeight="false" outlineLevel="0" collapsed="false">
      <c r="A2073" s="0" t="s">
        <v>2041</v>
      </c>
      <c r="B2073" s="0" t="s">
        <v>2042</v>
      </c>
      <c r="C2073" s="0" t="s">
        <v>2156</v>
      </c>
      <c r="D2073" s="0" t="s">
        <v>2105</v>
      </c>
      <c r="E2073" s="0" t="s">
        <v>2045</v>
      </c>
      <c r="F2073" s="0" t="s">
        <v>2215</v>
      </c>
      <c r="G2073" s="0" t="s">
        <v>2218</v>
      </c>
      <c r="H2073" s="0" t="s">
        <v>2221</v>
      </c>
      <c r="I2073" s="0" t="s">
        <v>2124</v>
      </c>
      <c r="J2073" s="0" t="s">
        <v>2335</v>
      </c>
      <c r="K2073" s="272" t="n">
        <v>-8450000</v>
      </c>
    </row>
    <row r="2074" customFormat="false" ht="15" hidden="false" customHeight="false" outlineLevel="0" collapsed="false">
      <c r="A2074" s="0" t="s">
        <v>2041</v>
      </c>
      <c r="B2074" s="0" t="s">
        <v>2042</v>
      </c>
      <c r="C2074" s="0" t="s">
        <v>2156</v>
      </c>
      <c r="D2074" s="0" t="s">
        <v>2105</v>
      </c>
      <c r="E2074" s="0" t="s">
        <v>2045</v>
      </c>
      <c r="F2074" s="0" t="s">
        <v>2215</v>
      </c>
      <c r="G2074" s="0" t="s">
        <v>2218</v>
      </c>
      <c r="H2074" s="0" t="s">
        <v>2221</v>
      </c>
      <c r="I2074" s="0" t="s">
        <v>2322</v>
      </c>
      <c r="J2074" s="0" t="s">
        <v>2335</v>
      </c>
      <c r="K2074" s="272" t="n">
        <v>-68050000</v>
      </c>
    </row>
    <row r="2075" customFormat="false" ht="15" hidden="false" customHeight="false" outlineLevel="0" collapsed="false">
      <c r="A2075" s="0" t="s">
        <v>2041</v>
      </c>
      <c r="B2075" s="0" t="s">
        <v>2042</v>
      </c>
      <c r="C2075" s="0" t="s">
        <v>2156</v>
      </c>
      <c r="D2075" s="0" t="s">
        <v>2105</v>
      </c>
      <c r="E2075" s="0" t="s">
        <v>2045</v>
      </c>
      <c r="F2075" s="0" t="s">
        <v>2215</v>
      </c>
      <c r="G2075" s="0" t="s">
        <v>2218</v>
      </c>
      <c r="H2075" s="0" t="s">
        <v>2222</v>
      </c>
      <c r="I2075" s="0" t="s">
        <v>2124</v>
      </c>
      <c r="J2075" s="0" t="s">
        <v>2335</v>
      </c>
      <c r="K2075" s="272" t="n">
        <v>-6950000</v>
      </c>
    </row>
    <row r="2076" customFormat="false" ht="15" hidden="false" customHeight="false" outlineLevel="0" collapsed="false">
      <c r="A2076" s="0" t="s">
        <v>2041</v>
      </c>
      <c r="B2076" s="0" t="s">
        <v>2042</v>
      </c>
      <c r="C2076" s="0" t="s">
        <v>2156</v>
      </c>
      <c r="D2076" s="0" t="s">
        <v>2105</v>
      </c>
      <c r="E2076" s="0" t="s">
        <v>2045</v>
      </c>
      <c r="F2076" s="0" t="s">
        <v>2225</v>
      </c>
      <c r="G2076" s="0" t="s">
        <v>2226</v>
      </c>
      <c r="H2076" s="0" t="s">
        <v>2227</v>
      </c>
      <c r="I2076" s="0" t="s">
        <v>2322</v>
      </c>
      <c r="J2076" s="0" t="s">
        <v>2335</v>
      </c>
      <c r="K2076" s="272" t="n">
        <v>-47000000</v>
      </c>
    </row>
    <row r="2077" customFormat="false" ht="15" hidden="false" customHeight="false" outlineLevel="0" collapsed="false">
      <c r="A2077" s="0" t="s">
        <v>2041</v>
      </c>
      <c r="B2077" s="0" t="s">
        <v>2042</v>
      </c>
      <c r="C2077" s="0" t="s">
        <v>2156</v>
      </c>
      <c r="D2077" s="0" t="s">
        <v>2105</v>
      </c>
      <c r="E2077" s="0" t="s">
        <v>2045</v>
      </c>
      <c r="F2077" s="0" t="s">
        <v>2225</v>
      </c>
      <c r="G2077" s="0" t="s">
        <v>2228</v>
      </c>
      <c r="H2077" s="0" t="s">
        <v>2227</v>
      </c>
      <c r="I2077" s="0" t="s">
        <v>2124</v>
      </c>
      <c r="J2077" s="0" t="s">
        <v>2335</v>
      </c>
      <c r="K2077" s="272" t="n">
        <v>-3050000</v>
      </c>
    </row>
    <row r="2078" customFormat="false" ht="15" hidden="false" customHeight="false" outlineLevel="0" collapsed="false">
      <c r="A2078" s="0" t="s">
        <v>2041</v>
      </c>
      <c r="B2078" s="0" t="s">
        <v>2042</v>
      </c>
      <c r="C2078" s="0" t="s">
        <v>2156</v>
      </c>
      <c r="D2078" s="0" t="s">
        <v>2105</v>
      </c>
      <c r="E2078" s="0" t="s">
        <v>2045</v>
      </c>
      <c r="F2078" s="0" t="s">
        <v>2225</v>
      </c>
      <c r="G2078" s="0" t="s">
        <v>2228</v>
      </c>
      <c r="H2078" s="0" t="s">
        <v>2227</v>
      </c>
      <c r="I2078" s="0" t="s">
        <v>2322</v>
      </c>
      <c r="J2078" s="0" t="s">
        <v>2335</v>
      </c>
      <c r="K2078" s="272" t="n">
        <v>-44600000</v>
      </c>
    </row>
    <row r="2079" customFormat="false" ht="15" hidden="false" customHeight="false" outlineLevel="0" collapsed="false">
      <c r="A2079" s="0" t="s">
        <v>2041</v>
      </c>
      <c r="B2079" s="0" t="s">
        <v>2042</v>
      </c>
      <c r="C2079" s="0" t="s">
        <v>2156</v>
      </c>
      <c r="D2079" s="0" t="s">
        <v>2105</v>
      </c>
      <c r="E2079" s="0" t="s">
        <v>2045</v>
      </c>
      <c r="F2079" s="0" t="s">
        <v>2225</v>
      </c>
      <c r="G2079" s="0" t="s">
        <v>2229</v>
      </c>
      <c r="H2079" s="0" t="s">
        <v>2227</v>
      </c>
      <c r="I2079" s="0" t="s">
        <v>2322</v>
      </c>
      <c r="J2079" s="0" t="s">
        <v>2335</v>
      </c>
      <c r="K2079" s="272" t="n">
        <v>-114700000</v>
      </c>
    </row>
    <row r="2080" customFormat="false" ht="15" hidden="false" customHeight="false" outlineLevel="0" collapsed="false">
      <c r="A2080" s="0" t="s">
        <v>2041</v>
      </c>
      <c r="B2080" s="0" t="s">
        <v>2042</v>
      </c>
      <c r="C2080" s="0" t="s">
        <v>2156</v>
      </c>
      <c r="D2080" s="0" t="s">
        <v>2105</v>
      </c>
      <c r="E2080" s="0" t="s">
        <v>2045</v>
      </c>
      <c r="F2080" s="0" t="s">
        <v>2225</v>
      </c>
      <c r="G2080" s="0" t="s">
        <v>2230</v>
      </c>
      <c r="H2080" s="0" t="s">
        <v>2227</v>
      </c>
      <c r="I2080" s="0" t="s">
        <v>2322</v>
      </c>
      <c r="J2080" s="0" t="s">
        <v>2335</v>
      </c>
      <c r="K2080" s="272" t="n">
        <v>-47000000</v>
      </c>
    </row>
    <row r="2081" customFormat="false" ht="15" hidden="false" customHeight="false" outlineLevel="0" collapsed="false">
      <c r="A2081" s="0" t="s">
        <v>2041</v>
      </c>
      <c r="B2081" s="0" t="s">
        <v>2042</v>
      </c>
      <c r="C2081" s="0" t="s">
        <v>2156</v>
      </c>
      <c r="D2081" s="0" t="s">
        <v>2105</v>
      </c>
      <c r="E2081" s="0" t="s">
        <v>2045</v>
      </c>
      <c r="F2081" s="0" t="s">
        <v>2225</v>
      </c>
      <c r="G2081" s="0" t="s">
        <v>2231</v>
      </c>
      <c r="H2081" s="0" t="s">
        <v>2227</v>
      </c>
      <c r="I2081" s="0" t="s">
        <v>2124</v>
      </c>
      <c r="J2081" s="0" t="s">
        <v>2335</v>
      </c>
      <c r="K2081" s="272" t="n">
        <v>-3000000</v>
      </c>
    </row>
    <row r="2082" customFormat="false" ht="15" hidden="false" customHeight="false" outlineLevel="0" collapsed="false">
      <c r="A2082" s="0" t="s">
        <v>2041</v>
      </c>
      <c r="B2082" s="0" t="s">
        <v>2042</v>
      </c>
      <c r="C2082" s="0" t="s">
        <v>2156</v>
      </c>
      <c r="D2082" s="0" t="s">
        <v>2105</v>
      </c>
      <c r="E2082" s="0" t="s">
        <v>2045</v>
      </c>
      <c r="F2082" s="0" t="s">
        <v>2225</v>
      </c>
      <c r="G2082" s="0" t="s">
        <v>2231</v>
      </c>
      <c r="H2082" s="0" t="s">
        <v>2227</v>
      </c>
      <c r="I2082" s="0" t="s">
        <v>2322</v>
      </c>
      <c r="J2082" s="0" t="s">
        <v>2335</v>
      </c>
      <c r="K2082" s="272" t="n">
        <v>-157500000</v>
      </c>
    </row>
    <row r="2083" customFormat="false" ht="15" hidden="false" customHeight="false" outlineLevel="0" collapsed="false">
      <c r="A2083" s="0" t="s">
        <v>2041</v>
      </c>
      <c r="B2083" s="0" t="s">
        <v>2042</v>
      </c>
      <c r="C2083" s="0" t="s">
        <v>2156</v>
      </c>
      <c r="D2083" s="0" t="s">
        <v>2105</v>
      </c>
      <c r="E2083" s="0" t="s">
        <v>2045</v>
      </c>
      <c r="F2083" s="0" t="s">
        <v>2099</v>
      </c>
      <c r="G2083" s="0" t="s">
        <v>2232</v>
      </c>
      <c r="H2083" s="0" t="s">
        <v>2100</v>
      </c>
      <c r="I2083" s="0" t="s">
        <v>2322</v>
      </c>
      <c r="J2083" s="0" t="s">
        <v>2335</v>
      </c>
      <c r="K2083" s="272" t="n">
        <v>-11000000</v>
      </c>
    </row>
    <row r="2084" customFormat="false" ht="15" hidden="false" customHeight="false" outlineLevel="0" collapsed="false">
      <c r="A2084" s="0" t="s">
        <v>2041</v>
      </c>
      <c r="B2084" s="0" t="s">
        <v>2042</v>
      </c>
      <c r="C2084" s="0" t="s">
        <v>2156</v>
      </c>
      <c r="D2084" s="0" t="s">
        <v>2105</v>
      </c>
      <c r="E2084" s="0" t="s">
        <v>2045</v>
      </c>
      <c r="F2084" s="0" t="s">
        <v>2099</v>
      </c>
      <c r="G2084" s="0" t="s">
        <v>2232</v>
      </c>
      <c r="H2084" s="0" t="s">
        <v>2233</v>
      </c>
      <c r="I2084" s="0" t="s">
        <v>2322</v>
      </c>
      <c r="J2084" s="0" t="s">
        <v>2335</v>
      </c>
      <c r="K2084" s="272" t="n">
        <v>-680000</v>
      </c>
    </row>
    <row r="2085" customFormat="false" ht="15" hidden="false" customHeight="false" outlineLevel="0" collapsed="false">
      <c r="A2085" s="0" t="s">
        <v>2041</v>
      </c>
      <c r="B2085" s="0" t="s">
        <v>2042</v>
      </c>
      <c r="C2085" s="0" t="s">
        <v>2156</v>
      </c>
      <c r="D2085" s="0" t="s">
        <v>2105</v>
      </c>
      <c r="E2085" s="0" t="s">
        <v>2045</v>
      </c>
      <c r="F2085" s="0" t="s">
        <v>2099</v>
      </c>
      <c r="G2085" s="0" t="s">
        <v>2232</v>
      </c>
      <c r="H2085" s="0" t="s">
        <v>2234</v>
      </c>
      <c r="I2085" s="0" t="s">
        <v>2322</v>
      </c>
      <c r="J2085" s="0" t="s">
        <v>2335</v>
      </c>
      <c r="K2085" s="272" t="n">
        <v>-52700000</v>
      </c>
    </row>
    <row r="2086" customFormat="false" ht="15" hidden="false" customHeight="false" outlineLevel="0" collapsed="false">
      <c r="A2086" s="0" t="s">
        <v>2041</v>
      </c>
      <c r="B2086" s="0" t="s">
        <v>2042</v>
      </c>
      <c r="C2086" s="0" t="s">
        <v>2156</v>
      </c>
      <c r="D2086" s="0" t="s">
        <v>2105</v>
      </c>
      <c r="E2086" s="0" t="s">
        <v>2045</v>
      </c>
      <c r="F2086" s="0" t="s">
        <v>2099</v>
      </c>
      <c r="G2086" s="0" t="s">
        <v>2232</v>
      </c>
      <c r="H2086" s="0" t="s">
        <v>2235</v>
      </c>
      <c r="I2086" s="0" t="s">
        <v>2322</v>
      </c>
      <c r="J2086" s="0" t="s">
        <v>2335</v>
      </c>
      <c r="K2086" s="272" t="n">
        <v>-79100000</v>
      </c>
    </row>
    <row r="2087" customFormat="false" ht="15" hidden="false" customHeight="false" outlineLevel="0" collapsed="false">
      <c r="A2087" s="0" t="s">
        <v>2041</v>
      </c>
      <c r="B2087" s="0" t="s">
        <v>2042</v>
      </c>
      <c r="C2087" s="0" t="s">
        <v>2156</v>
      </c>
      <c r="D2087" s="0" t="s">
        <v>2105</v>
      </c>
      <c r="E2087" s="0" t="s">
        <v>2045</v>
      </c>
      <c r="F2087" s="0" t="s">
        <v>2099</v>
      </c>
      <c r="G2087" s="0" t="s">
        <v>2236</v>
      </c>
      <c r="H2087" s="0" t="s">
        <v>2233</v>
      </c>
      <c r="I2087" s="0" t="s">
        <v>2124</v>
      </c>
      <c r="J2087" s="0" t="s">
        <v>2335</v>
      </c>
      <c r="K2087" s="272" t="n">
        <v>-3950000</v>
      </c>
    </row>
    <row r="2088" customFormat="false" ht="15" hidden="false" customHeight="false" outlineLevel="0" collapsed="false">
      <c r="A2088" s="0" t="s">
        <v>2041</v>
      </c>
      <c r="B2088" s="0" t="s">
        <v>2042</v>
      </c>
      <c r="C2088" s="0" t="s">
        <v>2156</v>
      </c>
      <c r="D2088" s="0" t="s">
        <v>2105</v>
      </c>
      <c r="E2088" s="0" t="s">
        <v>2045</v>
      </c>
      <c r="F2088" s="0" t="s">
        <v>2099</v>
      </c>
      <c r="G2088" s="0" t="s">
        <v>2236</v>
      </c>
      <c r="H2088" s="0" t="s">
        <v>2233</v>
      </c>
      <c r="I2088" s="0" t="s">
        <v>2322</v>
      </c>
      <c r="J2088" s="0" t="s">
        <v>2335</v>
      </c>
      <c r="K2088" s="272" t="n">
        <v>-63350000</v>
      </c>
    </row>
    <row r="2089" customFormat="false" ht="15" hidden="false" customHeight="false" outlineLevel="0" collapsed="false">
      <c r="A2089" s="0" t="s">
        <v>2041</v>
      </c>
      <c r="B2089" s="0" t="s">
        <v>2042</v>
      </c>
      <c r="C2089" s="0" t="s">
        <v>2156</v>
      </c>
      <c r="D2089" s="0" t="s">
        <v>2105</v>
      </c>
      <c r="E2089" s="0" t="s">
        <v>2045</v>
      </c>
      <c r="F2089" s="0" t="s">
        <v>2099</v>
      </c>
      <c r="G2089" s="0" t="s">
        <v>2236</v>
      </c>
      <c r="H2089" s="0" t="s">
        <v>2237</v>
      </c>
      <c r="I2089" s="0" t="s">
        <v>2322</v>
      </c>
      <c r="J2089" s="0" t="s">
        <v>2335</v>
      </c>
      <c r="K2089" s="272" t="n">
        <v>-5100000</v>
      </c>
    </row>
    <row r="2090" customFormat="false" ht="15" hidden="false" customHeight="false" outlineLevel="0" collapsed="false">
      <c r="A2090" s="0" t="s">
        <v>2041</v>
      </c>
      <c r="B2090" s="0" t="s">
        <v>2042</v>
      </c>
      <c r="C2090" s="0" t="s">
        <v>2156</v>
      </c>
      <c r="D2090" s="0" t="s">
        <v>2105</v>
      </c>
      <c r="E2090" s="0" t="s">
        <v>2045</v>
      </c>
      <c r="F2090" s="0" t="s">
        <v>2099</v>
      </c>
      <c r="G2090" s="0" t="s">
        <v>2238</v>
      </c>
      <c r="H2090" s="0" t="s">
        <v>2100</v>
      </c>
      <c r="I2090" s="0" t="s">
        <v>2322</v>
      </c>
      <c r="J2090" s="0" t="s">
        <v>2335</v>
      </c>
      <c r="K2090" s="272" t="n">
        <v>-2200000</v>
      </c>
    </row>
    <row r="2091" customFormat="false" ht="15" hidden="false" customHeight="false" outlineLevel="0" collapsed="false">
      <c r="A2091" s="0" t="s">
        <v>2041</v>
      </c>
      <c r="B2091" s="0" t="s">
        <v>2042</v>
      </c>
      <c r="C2091" s="0" t="s">
        <v>2156</v>
      </c>
      <c r="D2091" s="0" t="s">
        <v>2105</v>
      </c>
      <c r="E2091" s="0" t="s">
        <v>2045</v>
      </c>
      <c r="F2091" s="0" t="s">
        <v>2099</v>
      </c>
      <c r="G2091" s="0" t="s">
        <v>2238</v>
      </c>
      <c r="H2091" s="0" t="s">
        <v>2239</v>
      </c>
      <c r="I2091" s="0" t="s">
        <v>2124</v>
      </c>
      <c r="J2091" s="0" t="s">
        <v>2335</v>
      </c>
      <c r="K2091" s="272" t="n">
        <v>-5250000</v>
      </c>
    </row>
    <row r="2092" customFormat="false" ht="15" hidden="false" customHeight="false" outlineLevel="0" collapsed="false">
      <c r="A2092" s="0" t="s">
        <v>2041</v>
      </c>
      <c r="B2092" s="0" t="s">
        <v>2042</v>
      </c>
      <c r="C2092" s="0" t="s">
        <v>2156</v>
      </c>
      <c r="D2092" s="0" t="s">
        <v>2105</v>
      </c>
      <c r="E2092" s="0" t="s">
        <v>2045</v>
      </c>
      <c r="F2092" s="0" t="s">
        <v>2099</v>
      </c>
      <c r="G2092" s="0" t="s">
        <v>2238</v>
      </c>
      <c r="H2092" s="0" t="s">
        <v>2239</v>
      </c>
      <c r="I2092" s="0" t="s">
        <v>2201</v>
      </c>
      <c r="J2092" s="0" t="s">
        <v>2335</v>
      </c>
      <c r="K2092" s="272" t="n">
        <v>-450000</v>
      </c>
    </row>
    <row r="2093" customFormat="false" ht="15" hidden="false" customHeight="false" outlineLevel="0" collapsed="false">
      <c r="A2093" s="0" t="s">
        <v>2041</v>
      </c>
      <c r="B2093" s="0" t="s">
        <v>2042</v>
      </c>
      <c r="C2093" s="0" t="s">
        <v>2156</v>
      </c>
      <c r="D2093" s="0" t="s">
        <v>2105</v>
      </c>
      <c r="E2093" s="0" t="s">
        <v>2045</v>
      </c>
      <c r="F2093" s="0" t="s">
        <v>2099</v>
      </c>
      <c r="G2093" s="0" t="s">
        <v>2238</v>
      </c>
      <c r="H2093" s="0" t="s">
        <v>2239</v>
      </c>
      <c r="I2093" s="0" t="s">
        <v>2322</v>
      </c>
      <c r="J2093" s="0" t="s">
        <v>2335</v>
      </c>
      <c r="K2093" s="272" t="n">
        <v>-94675000</v>
      </c>
    </row>
    <row r="2094" customFormat="false" ht="15" hidden="false" customHeight="false" outlineLevel="0" collapsed="false">
      <c r="A2094" s="0" t="s">
        <v>2041</v>
      </c>
      <c r="B2094" s="0" t="s">
        <v>2042</v>
      </c>
      <c r="C2094" s="0" t="s">
        <v>2156</v>
      </c>
      <c r="D2094" s="0" t="s">
        <v>2105</v>
      </c>
      <c r="E2094" s="0" t="s">
        <v>2045</v>
      </c>
      <c r="F2094" s="0" t="s">
        <v>2099</v>
      </c>
      <c r="G2094" s="0" t="s">
        <v>2238</v>
      </c>
      <c r="H2094" s="0" t="s">
        <v>2244</v>
      </c>
      <c r="I2094" s="0" t="s">
        <v>2322</v>
      </c>
      <c r="J2094" s="0" t="s">
        <v>2335</v>
      </c>
      <c r="K2094" s="272" t="n">
        <v>-860000</v>
      </c>
    </row>
    <row r="2095" customFormat="false" ht="15" hidden="false" customHeight="false" outlineLevel="0" collapsed="false">
      <c r="A2095" s="0" t="s">
        <v>2041</v>
      </c>
      <c r="B2095" s="0" t="s">
        <v>2042</v>
      </c>
      <c r="C2095" s="0" t="s">
        <v>2156</v>
      </c>
      <c r="D2095" s="0" t="s">
        <v>2105</v>
      </c>
      <c r="E2095" s="0" t="s">
        <v>2045</v>
      </c>
      <c r="F2095" s="0" t="s">
        <v>2099</v>
      </c>
      <c r="G2095" s="0" t="s">
        <v>2238</v>
      </c>
      <c r="H2095" s="0" t="s">
        <v>2235</v>
      </c>
      <c r="I2095" s="0" t="s">
        <v>2322</v>
      </c>
      <c r="J2095" s="0" t="s">
        <v>2335</v>
      </c>
      <c r="K2095" s="272" t="n">
        <v>-650000</v>
      </c>
    </row>
    <row r="2096" customFormat="false" ht="15" hidden="false" customHeight="false" outlineLevel="0" collapsed="false">
      <c r="A2096" s="0" t="s">
        <v>2041</v>
      </c>
      <c r="B2096" s="0" t="s">
        <v>2042</v>
      </c>
      <c r="C2096" s="0" t="s">
        <v>2156</v>
      </c>
      <c r="D2096" s="0" t="s">
        <v>2105</v>
      </c>
      <c r="E2096" s="0" t="s">
        <v>2045</v>
      </c>
      <c r="F2096" s="0" t="s">
        <v>2099</v>
      </c>
      <c r="G2096" s="0" t="s">
        <v>2240</v>
      </c>
      <c r="H2096" s="0" t="s">
        <v>2100</v>
      </c>
      <c r="I2096" s="0" t="s">
        <v>2124</v>
      </c>
      <c r="J2096" s="0" t="s">
        <v>2335</v>
      </c>
      <c r="K2096" s="272" t="n">
        <v>-800000</v>
      </c>
    </row>
    <row r="2097" customFormat="false" ht="15" hidden="false" customHeight="false" outlineLevel="0" collapsed="false">
      <c r="A2097" s="0" t="s">
        <v>2041</v>
      </c>
      <c r="B2097" s="0" t="s">
        <v>2042</v>
      </c>
      <c r="C2097" s="0" t="s">
        <v>2156</v>
      </c>
      <c r="D2097" s="0" t="s">
        <v>2105</v>
      </c>
      <c r="E2097" s="0" t="s">
        <v>2045</v>
      </c>
      <c r="F2097" s="0" t="s">
        <v>2099</v>
      </c>
      <c r="G2097" s="0" t="s">
        <v>2240</v>
      </c>
      <c r="H2097" s="0" t="s">
        <v>2100</v>
      </c>
      <c r="I2097" s="0" t="s">
        <v>2322</v>
      </c>
      <c r="J2097" s="0" t="s">
        <v>2335</v>
      </c>
      <c r="K2097" s="272" t="n">
        <v>-43664500</v>
      </c>
    </row>
    <row r="2098" customFormat="false" ht="15" hidden="false" customHeight="false" outlineLevel="0" collapsed="false">
      <c r="A2098" s="0" t="s">
        <v>2041</v>
      </c>
      <c r="B2098" s="0" t="s">
        <v>2042</v>
      </c>
      <c r="C2098" s="0" t="s">
        <v>2156</v>
      </c>
      <c r="D2098" s="0" t="s">
        <v>2105</v>
      </c>
      <c r="E2098" s="0" t="s">
        <v>2045</v>
      </c>
      <c r="F2098" s="0" t="s">
        <v>2099</v>
      </c>
      <c r="G2098" s="0" t="s">
        <v>2240</v>
      </c>
      <c r="H2098" s="0" t="s">
        <v>2235</v>
      </c>
      <c r="I2098" s="0" t="s">
        <v>2322</v>
      </c>
      <c r="J2098" s="0" t="s">
        <v>2335</v>
      </c>
      <c r="K2098" s="272" t="n">
        <v>-730000</v>
      </c>
    </row>
    <row r="2099" customFormat="false" ht="15" hidden="false" customHeight="false" outlineLevel="0" collapsed="false">
      <c r="A2099" s="0" t="s">
        <v>2041</v>
      </c>
      <c r="B2099" s="0" t="s">
        <v>2042</v>
      </c>
      <c r="C2099" s="0" t="s">
        <v>2156</v>
      </c>
      <c r="D2099" s="0" t="s">
        <v>2105</v>
      </c>
      <c r="E2099" s="0" t="s">
        <v>2045</v>
      </c>
      <c r="F2099" s="0" t="s">
        <v>2099</v>
      </c>
      <c r="G2099" s="0" t="s">
        <v>2241</v>
      </c>
      <c r="H2099" s="0" t="s">
        <v>2242</v>
      </c>
      <c r="I2099" s="0" t="s">
        <v>2322</v>
      </c>
      <c r="J2099" s="0" t="s">
        <v>2335</v>
      </c>
      <c r="K2099" s="272" t="n">
        <v>-33200000</v>
      </c>
    </row>
    <row r="2100" customFormat="false" ht="15" hidden="false" customHeight="false" outlineLevel="0" collapsed="false">
      <c r="A2100" s="0" t="s">
        <v>2041</v>
      </c>
      <c r="B2100" s="0" t="s">
        <v>2042</v>
      </c>
      <c r="C2100" s="0" t="s">
        <v>2156</v>
      </c>
      <c r="D2100" s="0" t="s">
        <v>2105</v>
      </c>
      <c r="E2100" s="0" t="s">
        <v>2045</v>
      </c>
      <c r="F2100" s="0" t="s">
        <v>2099</v>
      </c>
      <c r="G2100" s="0" t="s">
        <v>2243</v>
      </c>
      <c r="H2100" s="0" t="s">
        <v>2244</v>
      </c>
      <c r="I2100" s="0" t="s">
        <v>2124</v>
      </c>
      <c r="J2100" s="0" t="s">
        <v>2335</v>
      </c>
      <c r="K2100" s="272" t="n">
        <v>-10130000</v>
      </c>
    </row>
    <row r="2101" customFormat="false" ht="15" hidden="false" customHeight="false" outlineLevel="0" collapsed="false">
      <c r="A2101" s="0" t="s">
        <v>2041</v>
      </c>
      <c r="B2101" s="0" t="s">
        <v>2042</v>
      </c>
      <c r="C2101" s="0" t="s">
        <v>2156</v>
      </c>
      <c r="D2101" s="0" t="s">
        <v>2105</v>
      </c>
      <c r="E2101" s="0" t="s">
        <v>2045</v>
      </c>
      <c r="F2101" s="0" t="s">
        <v>2099</v>
      </c>
      <c r="G2101" s="0" t="s">
        <v>2243</v>
      </c>
      <c r="H2101" s="0" t="s">
        <v>2244</v>
      </c>
      <c r="I2101" s="0" t="s">
        <v>2201</v>
      </c>
      <c r="J2101" s="0" t="s">
        <v>2335</v>
      </c>
      <c r="K2101" s="272" t="n">
        <v>-1000000</v>
      </c>
    </row>
    <row r="2102" customFormat="false" ht="15" hidden="false" customHeight="false" outlineLevel="0" collapsed="false">
      <c r="A2102" s="0" t="s">
        <v>2041</v>
      </c>
      <c r="B2102" s="0" t="s">
        <v>2042</v>
      </c>
      <c r="C2102" s="0" t="s">
        <v>2156</v>
      </c>
      <c r="D2102" s="0" t="s">
        <v>2105</v>
      </c>
      <c r="E2102" s="0" t="s">
        <v>2045</v>
      </c>
      <c r="F2102" s="0" t="s">
        <v>2099</v>
      </c>
      <c r="G2102" s="0" t="s">
        <v>2243</v>
      </c>
      <c r="H2102" s="0" t="s">
        <v>2244</v>
      </c>
      <c r="I2102" s="0" t="s">
        <v>2322</v>
      </c>
      <c r="J2102" s="0" t="s">
        <v>2335</v>
      </c>
      <c r="K2102" s="272" t="n">
        <v>-17950000</v>
      </c>
    </row>
    <row r="2103" customFormat="false" ht="15" hidden="false" customHeight="false" outlineLevel="0" collapsed="false">
      <c r="A2103" s="0" t="s">
        <v>2041</v>
      </c>
      <c r="B2103" s="0" t="s">
        <v>2042</v>
      </c>
      <c r="C2103" s="0" t="s">
        <v>2156</v>
      </c>
      <c r="D2103" s="0" t="s">
        <v>2105</v>
      </c>
      <c r="E2103" s="0" t="s">
        <v>2045</v>
      </c>
      <c r="F2103" s="0" t="s">
        <v>2099</v>
      </c>
      <c r="G2103" s="0" t="s">
        <v>2243</v>
      </c>
      <c r="H2103" s="0" t="s">
        <v>2245</v>
      </c>
      <c r="I2103" s="0" t="s">
        <v>2246</v>
      </c>
      <c r="J2103" s="0" t="s">
        <v>2335</v>
      </c>
      <c r="K2103" s="272" t="n">
        <v>-13800000</v>
      </c>
    </row>
    <row r="2104" customFormat="false" ht="15" hidden="false" customHeight="false" outlineLevel="0" collapsed="false">
      <c r="A2104" s="0" t="s">
        <v>2041</v>
      </c>
      <c r="B2104" s="0" t="s">
        <v>2042</v>
      </c>
      <c r="C2104" s="0" t="s">
        <v>2156</v>
      </c>
      <c r="D2104" s="0" t="s">
        <v>2105</v>
      </c>
      <c r="E2104" s="0" t="s">
        <v>2045</v>
      </c>
      <c r="F2104" s="0" t="s">
        <v>2099</v>
      </c>
      <c r="G2104" s="0" t="s">
        <v>2243</v>
      </c>
      <c r="H2104" s="0" t="s">
        <v>2247</v>
      </c>
      <c r="I2104" s="0" t="s">
        <v>2124</v>
      </c>
      <c r="J2104" s="0" t="s">
        <v>2335</v>
      </c>
      <c r="K2104" s="272" t="n">
        <v>-2260000</v>
      </c>
    </row>
    <row r="2105" customFormat="false" ht="15" hidden="false" customHeight="false" outlineLevel="0" collapsed="false">
      <c r="A2105" s="0" t="s">
        <v>2041</v>
      </c>
      <c r="B2105" s="0" t="s">
        <v>2042</v>
      </c>
      <c r="C2105" s="0" t="s">
        <v>2156</v>
      </c>
      <c r="D2105" s="0" t="s">
        <v>2105</v>
      </c>
      <c r="E2105" s="0" t="s">
        <v>2045</v>
      </c>
      <c r="F2105" s="0" t="s">
        <v>2099</v>
      </c>
      <c r="G2105" s="0" t="s">
        <v>2243</v>
      </c>
      <c r="H2105" s="0" t="s">
        <v>2247</v>
      </c>
      <c r="I2105" s="0" t="s">
        <v>2201</v>
      </c>
      <c r="J2105" s="0" t="s">
        <v>2335</v>
      </c>
      <c r="K2105" s="272" t="n">
        <v>-22340000</v>
      </c>
    </row>
    <row r="2106" customFormat="false" ht="15" hidden="false" customHeight="false" outlineLevel="0" collapsed="false">
      <c r="A2106" s="0" t="s">
        <v>2041</v>
      </c>
      <c r="B2106" s="0" t="s">
        <v>2042</v>
      </c>
      <c r="C2106" s="0" t="s">
        <v>2156</v>
      </c>
      <c r="D2106" s="0" t="s">
        <v>2105</v>
      </c>
      <c r="E2106" s="0" t="s">
        <v>2045</v>
      </c>
      <c r="F2106" s="0" t="s">
        <v>2099</v>
      </c>
      <c r="G2106" s="0" t="s">
        <v>2243</v>
      </c>
      <c r="H2106" s="0" t="s">
        <v>2247</v>
      </c>
      <c r="I2106" s="0" t="s">
        <v>2322</v>
      </c>
      <c r="J2106" s="0" t="s">
        <v>2335</v>
      </c>
      <c r="K2106" s="272" t="n">
        <v>-2350000</v>
      </c>
    </row>
    <row r="2107" customFormat="false" ht="15" hidden="false" customHeight="false" outlineLevel="0" collapsed="false">
      <c r="A2107" s="0" t="s">
        <v>2041</v>
      </c>
      <c r="B2107" s="0" t="s">
        <v>2042</v>
      </c>
      <c r="C2107" s="0" t="s">
        <v>2156</v>
      </c>
      <c r="D2107" s="0" t="s">
        <v>2105</v>
      </c>
      <c r="E2107" s="0" t="s">
        <v>2045</v>
      </c>
      <c r="F2107" s="0" t="s">
        <v>2099</v>
      </c>
      <c r="G2107" s="0" t="s">
        <v>2243</v>
      </c>
      <c r="H2107" s="0" t="s">
        <v>2221</v>
      </c>
      <c r="I2107" s="0" t="s">
        <v>2322</v>
      </c>
      <c r="J2107" s="0" t="s">
        <v>2335</v>
      </c>
      <c r="K2107" s="272" t="n">
        <v>-1400000</v>
      </c>
    </row>
    <row r="2108" customFormat="false" ht="15" hidden="false" customHeight="false" outlineLevel="0" collapsed="false">
      <c r="A2108" s="0" t="s">
        <v>2041</v>
      </c>
      <c r="B2108" s="0" t="s">
        <v>2042</v>
      </c>
      <c r="C2108" s="0" t="s">
        <v>2156</v>
      </c>
      <c r="D2108" s="0" t="s">
        <v>2105</v>
      </c>
      <c r="E2108" s="0" t="s">
        <v>2045</v>
      </c>
      <c r="F2108" s="0" t="s">
        <v>2099</v>
      </c>
      <c r="G2108" s="0" t="s">
        <v>2248</v>
      </c>
      <c r="H2108" s="0" t="s">
        <v>2244</v>
      </c>
      <c r="I2108" s="0" t="s">
        <v>2246</v>
      </c>
      <c r="J2108" s="0" t="s">
        <v>2335</v>
      </c>
      <c r="K2108" s="272" t="n">
        <v>-480000</v>
      </c>
    </row>
    <row r="2109" customFormat="false" ht="15" hidden="false" customHeight="false" outlineLevel="0" collapsed="false">
      <c r="A2109" s="0" t="s">
        <v>2041</v>
      </c>
      <c r="B2109" s="0" t="s">
        <v>2042</v>
      </c>
      <c r="C2109" s="0" t="s">
        <v>2156</v>
      </c>
      <c r="D2109" s="0" t="s">
        <v>2105</v>
      </c>
      <c r="E2109" s="0" t="s">
        <v>2045</v>
      </c>
      <c r="F2109" s="0" t="s">
        <v>2099</v>
      </c>
      <c r="G2109" s="0" t="s">
        <v>2248</v>
      </c>
      <c r="H2109" s="0" t="s">
        <v>2245</v>
      </c>
      <c r="I2109" s="0" t="s">
        <v>2246</v>
      </c>
      <c r="J2109" s="0" t="s">
        <v>2335</v>
      </c>
      <c r="K2109" s="272" t="n">
        <v>-315000</v>
      </c>
    </row>
    <row r="2110" customFormat="false" ht="15" hidden="false" customHeight="false" outlineLevel="0" collapsed="false">
      <c r="A2110" s="0" t="s">
        <v>2041</v>
      </c>
      <c r="B2110" s="0" t="s">
        <v>2042</v>
      </c>
      <c r="C2110" s="0" t="s">
        <v>2156</v>
      </c>
      <c r="D2110" s="0" t="s">
        <v>2105</v>
      </c>
      <c r="E2110" s="0" t="s">
        <v>2045</v>
      </c>
      <c r="F2110" s="0" t="s">
        <v>2099</v>
      </c>
      <c r="G2110" s="0" t="s">
        <v>2249</v>
      </c>
      <c r="H2110" s="0" t="s">
        <v>2245</v>
      </c>
      <c r="I2110" s="0" t="s">
        <v>2246</v>
      </c>
      <c r="J2110" s="0" t="s">
        <v>2335</v>
      </c>
      <c r="K2110" s="272" t="n">
        <v>-2587500</v>
      </c>
    </row>
    <row r="2111" customFormat="false" ht="15" hidden="false" customHeight="false" outlineLevel="0" collapsed="false">
      <c r="A2111" s="0" t="s">
        <v>2041</v>
      </c>
      <c r="B2111" s="0" t="s">
        <v>2042</v>
      </c>
      <c r="C2111" s="0" t="s">
        <v>2156</v>
      </c>
      <c r="D2111" s="0" t="s">
        <v>2105</v>
      </c>
      <c r="E2111" s="0" t="s">
        <v>2045</v>
      </c>
      <c r="F2111" s="0" t="s">
        <v>2250</v>
      </c>
      <c r="G2111" s="0" t="s">
        <v>2251</v>
      </c>
      <c r="H2111" s="0" t="s">
        <v>2252</v>
      </c>
      <c r="I2111" s="0" t="s">
        <v>2322</v>
      </c>
      <c r="J2111" s="0" t="s">
        <v>2335</v>
      </c>
      <c r="K2111" s="272" t="n">
        <v>-17341000</v>
      </c>
    </row>
    <row r="2112" customFormat="false" ht="15" hidden="false" customHeight="false" outlineLevel="0" collapsed="false">
      <c r="A2112" s="0" t="s">
        <v>2041</v>
      </c>
      <c r="B2112" s="0" t="s">
        <v>2042</v>
      </c>
      <c r="C2112" s="0" t="s">
        <v>2156</v>
      </c>
      <c r="D2112" s="0" t="s">
        <v>2105</v>
      </c>
      <c r="E2112" s="0" t="s">
        <v>2045</v>
      </c>
      <c r="F2112" s="0" t="s">
        <v>2250</v>
      </c>
      <c r="G2112" s="0" t="s">
        <v>2251</v>
      </c>
      <c r="H2112" s="0" t="s">
        <v>2253</v>
      </c>
      <c r="I2112" s="0" t="s">
        <v>2254</v>
      </c>
      <c r="J2112" s="0" t="s">
        <v>2335</v>
      </c>
      <c r="K2112" s="272" t="n">
        <v>-1405000</v>
      </c>
    </row>
    <row r="2113" customFormat="false" ht="15" hidden="false" customHeight="false" outlineLevel="0" collapsed="false">
      <c r="A2113" s="0" t="s">
        <v>2041</v>
      </c>
      <c r="B2113" s="0" t="s">
        <v>2042</v>
      </c>
      <c r="C2113" s="0" t="s">
        <v>2156</v>
      </c>
      <c r="D2113" s="0" t="s">
        <v>2105</v>
      </c>
      <c r="E2113" s="0" t="s">
        <v>2045</v>
      </c>
      <c r="F2113" s="0" t="s">
        <v>2250</v>
      </c>
      <c r="G2113" s="0" t="s">
        <v>2251</v>
      </c>
      <c r="H2113" s="0" t="s">
        <v>2253</v>
      </c>
      <c r="I2113" s="0" t="s">
        <v>2322</v>
      </c>
      <c r="J2113" s="0" t="s">
        <v>2335</v>
      </c>
      <c r="K2113" s="272" t="n">
        <v>-29039000</v>
      </c>
    </row>
    <row r="2114" customFormat="false" ht="15" hidden="false" customHeight="false" outlineLevel="0" collapsed="false">
      <c r="A2114" s="0" t="s">
        <v>2041</v>
      </c>
      <c r="B2114" s="0" t="s">
        <v>2042</v>
      </c>
      <c r="C2114" s="0" t="s">
        <v>2156</v>
      </c>
      <c r="D2114" s="0" t="s">
        <v>2105</v>
      </c>
      <c r="E2114" s="0" t="s">
        <v>2045</v>
      </c>
      <c r="F2114" s="0" t="s">
        <v>2250</v>
      </c>
      <c r="G2114" s="0" t="s">
        <v>2251</v>
      </c>
      <c r="H2114" s="0" t="s">
        <v>2255</v>
      </c>
      <c r="I2114" s="0" t="s">
        <v>2322</v>
      </c>
      <c r="J2114" s="0" t="s">
        <v>2335</v>
      </c>
      <c r="K2114" s="272" t="n">
        <v>-9915000</v>
      </c>
    </row>
    <row r="2115" customFormat="false" ht="15" hidden="false" customHeight="false" outlineLevel="0" collapsed="false">
      <c r="A2115" s="0" t="s">
        <v>2041</v>
      </c>
      <c r="B2115" s="0" t="s">
        <v>2042</v>
      </c>
      <c r="C2115" s="0" t="s">
        <v>2156</v>
      </c>
      <c r="D2115" s="0" t="s">
        <v>2105</v>
      </c>
      <c r="E2115" s="0" t="s">
        <v>2045</v>
      </c>
      <c r="F2115" s="0" t="s">
        <v>2256</v>
      </c>
      <c r="G2115" s="0" t="s">
        <v>2257</v>
      </c>
      <c r="H2115" s="0" t="s">
        <v>2179</v>
      </c>
      <c r="I2115" s="0" t="s">
        <v>2322</v>
      </c>
      <c r="J2115" s="0" t="s">
        <v>2335</v>
      </c>
      <c r="K2115" s="272" t="n">
        <v>-50000000</v>
      </c>
    </row>
    <row r="2116" customFormat="false" ht="15" hidden="false" customHeight="false" outlineLevel="0" collapsed="false">
      <c r="A2116" s="0" t="s">
        <v>2041</v>
      </c>
      <c r="B2116" s="0" t="s">
        <v>2042</v>
      </c>
      <c r="C2116" s="0" t="s">
        <v>2156</v>
      </c>
      <c r="D2116" s="0" t="s">
        <v>2105</v>
      </c>
      <c r="E2116" s="0" t="s">
        <v>2045</v>
      </c>
      <c r="F2116" s="0" t="s">
        <v>2256</v>
      </c>
      <c r="G2116" s="0" t="s">
        <v>2257</v>
      </c>
      <c r="H2116" s="0" t="s">
        <v>2258</v>
      </c>
      <c r="I2116" s="0" t="s">
        <v>2322</v>
      </c>
      <c r="J2116" s="0" t="s">
        <v>2335</v>
      </c>
      <c r="K2116" s="272" t="n">
        <v>-81650000</v>
      </c>
    </row>
    <row r="2117" customFormat="false" ht="15" hidden="false" customHeight="false" outlineLevel="0" collapsed="false">
      <c r="A2117" s="0" t="s">
        <v>2041</v>
      </c>
      <c r="B2117" s="0" t="s">
        <v>2042</v>
      </c>
      <c r="C2117" s="0" t="s">
        <v>2156</v>
      </c>
      <c r="D2117" s="0" t="s">
        <v>2105</v>
      </c>
      <c r="E2117" s="0" t="s">
        <v>2045</v>
      </c>
      <c r="F2117" s="0" t="s">
        <v>2256</v>
      </c>
      <c r="G2117" s="0" t="s">
        <v>2257</v>
      </c>
      <c r="H2117" s="0" t="s">
        <v>2162</v>
      </c>
      <c r="I2117" s="0" t="s">
        <v>2322</v>
      </c>
      <c r="J2117" s="0" t="s">
        <v>2335</v>
      </c>
      <c r="K2117" s="272" t="n">
        <v>-880000</v>
      </c>
    </row>
    <row r="2118" customFormat="false" ht="15" hidden="false" customHeight="false" outlineLevel="0" collapsed="false">
      <c r="A2118" s="0" t="s">
        <v>2041</v>
      </c>
      <c r="B2118" s="0" t="s">
        <v>2042</v>
      </c>
      <c r="C2118" s="0" t="s">
        <v>2156</v>
      </c>
      <c r="D2118" s="0" t="s">
        <v>2105</v>
      </c>
      <c r="E2118" s="0" t="s">
        <v>2045</v>
      </c>
      <c r="F2118" s="0" t="s">
        <v>2256</v>
      </c>
      <c r="G2118" s="0" t="s">
        <v>2259</v>
      </c>
      <c r="H2118" s="0" t="s">
        <v>2258</v>
      </c>
      <c r="I2118" s="0" t="s">
        <v>2124</v>
      </c>
      <c r="J2118" s="0" t="s">
        <v>2335</v>
      </c>
      <c r="K2118" s="272" t="n">
        <v>-48350000</v>
      </c>
    </row>
    <row r="2119" customFormat="false" ht="15" hidden="false" customHeight="false" outlineLevel="0" collapsed="false">
      <c r="A2119" s="0" t="s">
        <v>2041</v>
      </c>
      <c r="B2119" s="0" t="s">
        <v>2042</v>
      </c>
      <c r="C2119" s="0" t="s">
        <v>2156</v>
      </c>
      <c r="D2119" s="0" t="s">
        <v>2105</v>
      </c>
      <c r="E2119" s="0" t="s">
        <v>2045</v>
      </c>
      <c r="F2119" s="0" t="s">
        <v>2256</v>
      </c>
      <c r="G2119" s="0" t="s">
        <v>2259</v>
      </c>
      <c r="H2119" s="0" t="s">
        <v>2258</v>
      </c>
      <c r="I2119" s="0" t="s">
        <v>2322</v>
      </c>
      <c r="J2119" s="0" t="s">
        <v>2335</v>
      </c>
      <c r="K2119" s="272" t="n">
        <v>-604625000</v>
      </c>
    </row>
    <row r="2120" customFormat="false" ht="15" hidden="false" customHeight="false" outlineLevel="0" collapsed="false">
      <c r="A2120" s="0" t="s">
        <v>2041</v>
      </c>
      <c r="B2120" s="0" t="s">
        <v>2042</v>
      </c>
      <c r="C2120" s="0" t="s">
        <v>2156</v>
      </c>
      <c r="D2120" s="0" t="s">
        <v>2105</v>
      </c>
      <c r="E2120" s="0" t="s">
        <v>2045</v>
      </c>
      <c r="F2120" s="0" t="s">
        <v>2256</v>
      </c>
      <c r="G2120" s="0" t="s">
        <v>2259</v>
      </c>
      <c r="H2120" s="0" t="s">
        <v>2217</v>
      </c>
      <c r="I2120" s="0" t="s">
        <v>2322</v>
      </c>
      <c r="J2120" s="0" t="s">
        <v>2335</v>
      </c>
      <c r="K2120" s="272" t="n">
        <v>-3097165.99190284</v>
      </c>
    </row>
    <row r="2121" customFormat="false" ht="15" hidden="false" customHeight="false" outlineLevel="0" collapsed="false">
      <c r="A2121" s="0" t="s">
        <v>2041</v>
      </c>
      <c r="B2121" s="0" t="s">
        <v>2042</v>
      </c>
      <c r="C2121" s="0" t="s">
        <v>2156</v>
      </c>
      <c r="D2121" s="0" t="s">
        <v>2105</v>
      </c>
      <c r="E2121" s="0" t="s">
        <v>2045</v>
      </c>
      <c r="F2121" s="0" t="s">
        <v>2256</v>
      </c>
      <c r="G2121" s="0" t="s">
        <v>2260</v>
      </c>
      <c r="H2121" s="0" t="s">
        <v>2261</v>
      </c>
      <c r="I2121" s="0" t="s">
        <v>2124</v>
      </c>
      <c r="J2121" s="0" t="s">
        <v>2335</v>
      </c>
      <c r="K2121" s="272" t="n">
        <v>-1600000</v>
      </c>
    </row>
    <row r="2122" customFormat="false" ht="15" hidden="false" customHeight="false" outlineLevel="0" collapsed="false">
      <c r="A2122" s="0" t="s">
        <v>2041</v>
      </c>
      <c r="B2122" s="0" t="s">
        <v>2042</v>
      </c>
      <c r="C2122" s="0" t="s">
        <v>2156</v>
      </c>
      <c r="D2122" s="0" t="s">
        <v>2105</v>
      </c>
      <c r="E2122" s="0" t="s">
        <v>2045</v>
      </c>
      <c r="F2122" s="0" t="s">
        <v>2256</v>
      </c>
      <c r="G2122" s="0" t="s">
        <v>2260</v>
      </c>
      <c r="H2122" s="0" t="s">
        <v>2261</v>
      </c>
      <c r="I2122" s="0" t="s">
        <v>2322</v>
      </c>
      <c r="J2122" s="0" t="s">
        <v>2335</v>
      </c>
      <c r="K2122" s="272" t="n">
        <v>-83800000</v>
      </c>
    </row>
    <row r="2123" customFormat="false" ht="15" hidden="false" customHeight="false" outlineLevel="0" collapsed="false">
      <c r="A2123" s="0" t="s">
        <v>2041</v>
      </c>
      <c r="B2123" s="0" t="s">
        <v>2042</v>
      </c>
      <c r="C2123" s="0" t="s">
        <v>2156</v>
      </c>
      <c r="D2123" s="0" t="s">
        <v>2105</v>
      </c>
      <c r="E2123" s="0" t="s">
        <v>2045</v>
      </c>
      <c r="F2123" s="0" t="s">
        <v>2256</v>
      </c>
      <c r="G2123" s="0" t="s">
        <v>2262</v>
      </c>
      <c r="H2123" s="0" t="s">
        <v>2263</v>
      </c>
      <c r="I2123" s="0" t="s">
        <v>2322</v>
      </c>
      <c r="J2123" s="0" t="s">
        <v>2335</v>
      </c>
      <c r="K2123" s="272" t="n">
        <v>-18625000</v>
      </c>
    </row>
    <row r="2124" customFormat="false" ht="15" hidden="false" customHeight="false" outlineLevel="0" collapsed="false">
      <c r="A2124" s="0" t="s">
        <v>2041</v>
      </c>
      <c r="B2124" s="0" t="s">
        <v>2042</v>
      </c>
      <c r="C2124" s="0" t="s">
        <v>2156</v>
      </c>
      <c r="D2124" s="0" t="s">
        <v>2105</v>
      </c>
      <c r="E2124" s="0" t="s">
        <v>2045</v>
      </c>
      <c r="F2124" s="0" t="s">
        <v>2256</v>
      </c>
      <c r="G2124" s="0" t="s">
        <v>2262</v>
      </c>
      <c r="H2124" s="0" t="s">
        <v>2264</v>
      </c>
      <c r="I2124" s="0" t="s">
        <v>2124</v>
      </c>
      <c r="J2124" s="0" t="s">
        <v>2335</v>
      </c>
      <c r="K2124" s="272" t="n">
        <v>-10500000</v>
      </c>
    </row>
    <row r="2125" customFormat="false" ht="15" hidden="false" customHeight="false" outlineLevel="0" collapsed="false">
      <c r="A2125" s="0" t="s">
        <v>2041</v>
      </c>
      <c r="B2125" s="0" t="s">
        <v>2042</v>
      </c>
      <c r="C2125" s="0" t="s">
        <v>2156</v>
      </c>
      <c r="D2125" s="0" t="s">
        <v>2105</v>
      </c>
      <c r="E2125" s="0" t="s">
        <v>2045</v>
      </c>
      <c r="F2125" s="0" t="s">
        <v>2256</v>
      </c>
      <c r="G2125" s="0" t="s">
        <v>2262</v>
      </c>
      <c r="H2125" s="0" t="s">
        <v>2264</v>
      </c>
      <c r="I2125" s="0" t="s">
        <v>2322</v>
      </c>
      <c r="J2125" s="0" t="s">
        <v>2335</v>
      </c>
      <c r="K2125" s="272" t="n">
        <v>-365825000</v>
      </c>
    </row>
    <row r="2126" customFormat="false" ht="15" hidden="false" customHeight="false" outlineLevel="0" collapsed="false">
      <c r="A2126" s="0" t="s">
        <v>2041</v>
      </c>
      <c r="B2126" s="0" t="s">
        <v>2042</v>
      </c>
      <c r="C2126" s="0" t="s">
        <v>2156</v>
      </c>
      <c r="D2126" s="0" t="s">
        <v>2105</v>
      </c>
      <c r="E2126" s="0" t="s">
        <v>2045</v>
      </c>
      <c r="F2126" s="0" t="s">
        <v>2256</v>
      </c>
      <c r="G2126" s="0" t="s">
        <v>2262</v>
      </c>
      <c r="H2126" s="0" t="s">
        <v>2265</v>
      </c>
      <c r="I2126" s="0" t="s">
        <v>2322</v>
      </c>
      <c r="J2126" s="0" t="s">
        <v>2335</v>
      </c>
      <c r="K2126" s="272" t="n">
        <v>-59650000</v>
      </c>
    </row>
    <row r="2127" customFormat="false" ht="15" hidden="false" customHeight="false" outlineLevel="0" collapsed="false">
      <c r="A2127" s="0" t="s">
        <v>2041</v>
      </c>
      <c r="B2127" s="0" t="s">
        <v>2042</v>
      </c>
      <c r="C2127" s="0" t="s">
        <v>2156</v>
      </c>
      <c r="D2127" s="0" t="s">
        <v>2105</v>
      </c>
      <c r="E2127" s="0" t="s">
        <v>2045</v>
      </c>
      <c r="F2127" s="0" t="s">
        <v>2256</v>
      </c>
      <c r="G2127" s="0" t="s">
        <v>2266</v>
      </c>
      <c r="H2127" s="0" t="s">
        <v>2267</v>
      </c>
      <c r="I2127" s="0" t="s">
        <v>2124</v>
      </c>
      <c r="J2127" s="0" t="s">
        <v>2335</v>
      </c>
      <c r="K2127" s="272" t="n">
        <v>-23258000</v>
      </c>
    </row>
    <row r="2128" customFormat="false" ht="15" hidden="false" customHeight="false" outlineLevel="0" collapsed="false">
      <c r="A2128" s="0" t="s">
        <v>2041</v>
      </c>
      <c r="B2128" s="0" t="s">
        <v>2042</v>
      </c>
      <c r="C2128" s="0" t="s">
        <v>2156</v>
      </c>
      <c r="D2128" s="0" t="s">
        <v>2105</v>
      </c>
      <c r="E2128" s="0" t="s">
        <v>2045</v>
      </c>
      <c r="F2128" s="0" t="s">
        <v>2256</v>
      </c>
      <c r="G2128" s="0" t="s">
        <v>2266</v>
      </c>
      <c r="H2128" s="0" t="s">
        <v>2267</v>
      </c>
      <c r="I2128" s="0" t="s">
        <v>2322</v>
      </c>
      <c r="J2128" s="0" t="s">
        <v>2335</v>
      </c>
      <c r="K2128" s="272" t="n">
        <v>-423425000</v>
      </c>
    </row>
    <row r="2129" customFormat="false" ht="15" hidden="false" customHeight="false" outlineLevel="0" collapsed="false">
      <c r="A2129" s="0" t="s">
        <v>2041</v>
      </c>
      <c r="B2129" s="0" t="s">
        <v>2042</v>
      </c>
      <c r="C2129" s="0" t="s">
        <v>2156</v>
      </c>
      <c r="D2129" s="0" t="s">
        <v>2105</v>
      </c>
      <c r="E2129" s="0" t="s">
        <v>2045</v>
      </c>
      <c r="F2129" s="0" t="s">
        <v>2268</v>
      </c>
      <c r="G2129" s="0" t="s">
        <v>2269</v>
      </c>
      <c r="H2129" s="0" t="s">
        <v>2270</v>
      </c>
      <c r="I2129" s="0" t="s">
        <v>2124</v>
      </c>
      <c r="J2129" s="0" t="s">
        <v>2335</v>
      </c>
      <c r="K2129" s="272" t="n">
        <v>-10490000</v>
      </c>
    </row>
    <row r="2130" customFormat="false" ht="15" hidden="false" customHeight="false" outlineLevel="0" collapsed="false">
      <c r="A2130" s="0" t="s">
        <v>2041</v>
      </c>
      <c r="B2130" s="0" t="s">
        <v>2042</v>
      </c>
      <c r="C2130" s="0" t="s">
        <v>2156</v>
      </c>
      <c r="D2130" s="0" t="s">
        <v>2105</v>
      </c>
      <c r="E2130" s="0" t="s">
        <v>2045</v>
      </c>
      <c r="F2130" s="0" t="s">
        <v>2268</v>
      </c>
      <c r="G2130" s="0" t="s">
        <v>2269</v>
      </c>
      <c r="H2130" s="0" t="s">
        <v>2270</v>
      </c>
      <c r="I2130" s="0" t="s">
        <v>2322</v>
      </c>
      <c r="J2130" s="0" t="s">
        <v>2335</v>
      </c>
      <c r="K2130" s="272" t="n">
        <v>-33645000</v>
      </c>
    </row>
    <row r="2131" customFormat="false" ht="15" hidden="false" customHeight="false" outlineLevel="0" collapsed="false">
      <c r="A2131" s="0" t="s">
        <v>2041</v>
      </c>
      <c r="B2131" s="0" t="s">
        <v>2042</v>
      </c>
      <c r="C2131" s="0" t="s">
        <v>2156</v>
      </c>
      <c r="D2131" s="0" t="s">
        <v>2105</v>
      </c>
      <c r="E2131" s="0" t="s">
        <v>2045</v>
      </c>
      <c r="F2131" s="0" t="s">
        <v>2150</v>
      </c>
      <c r="G2131" s="0" t="s">
        <v>2151</v>
      </c>
      <c r="H2131" s="0" t="s">
        <v>2271</v>
      </c>
      <c r="I2131" s="0" t="s">
        <v>2272</v>
      </c>
      <c r="J2131" s="0" t="s">
        <v>2335</v>
      </c>
      <c r="K2131" s="272" t="n">
        <v>-230000</v>
      </c>
    </row>
    <row r="2132" customFormat="false" ht="15" hidden="false" customHeight="false" outlineLevel="0" collapsed="false">
      <c r="A2132" s="0" t="s">
        <v>2041</v>
      </c>
      <c r="B2132" s="0" t="s">
        <v>2042</v>
      </c>
      <c r="C2132" s="0" t="s">
        <v>2156</v>
      </c>
      <c r="D2132" s="0" t="s">
        <v>2105</v>
      </c>
      <c r="E2132" s="0" t="s">
        <v>2045</v>
      </c>
      <c r="F2132" s="0" t="s">
        <v>2150</v>
      </c>
      <c r="G2132" s="0" t="s">
        <v>2151</v>
      </c>
      <c r="H2132" s="0" t="s">
        <v>2152</v>
      </c>
      <c r="I2132" s="0" t="s">
        <v>2322</v>
      </c>
      <c r="J2132" s="0" t="s">
        <v>2335</v>
      </c>
      <c r="K2132" s="272" t="n">
        <v>-22797082.89</v>
      </c>
    </row>
    <row r="2133" customFormat="false" ht="15" hidden="false" customHeight="false" outlineLevel="0" collapsed="false">
      <c r="A2133" s="0" t="s">
        <v>2041</v>
      </c>
      <c r="B2133" s="0" t="s">
        <v>2042</v>
      </c>
      <c r="C2133" s="0" t="s">
        <v>2156</v>
      </c>
      <c r="D2133" s="0" t="s">
        <v>2105</v>
      </c>
      <c r="E2133" s="0" t="s">
        <v>2045</v>
      </c>
      <c r="F2133" s="0" t="s">
        <v>2150</v>
      </c>
      <c r="G2133" s="0" t="s">
        <v>2151</v>
      </c>
      <c r="H2133" s="0" t="s">
        <v>2273</v>
      </c>
      <c r="I2133" s="0" t="s">
        <v>2272</v>
      </c>
      <c r="J2133" s="0" t="s">
        <v>2335</v>
      </c>
      <c r="K2133" s="272" t="n">
        <v>-240000</v>
      </c>
    </row>
    <row r="2134" customFormat="false" ht="15" hidden="false" customHeight="false" outlineLevel="0" collapsed="false">
      <c r="A2134" s="0" t="s">
        <v>2041</v>
      </c>
      <c r="B2134" s="0" t="s">
        <v>2042</v>
      </c>
      <c r="C2134" s="0" t="s">
        <v>2156</v>
      </c>
      <c r="D2134" s="0" t="s">
        <v>2105</v>
      </c>
      <c r="E2134" s="0" t="s">
        <v>2045</v>
      </c>
      <c r="F2134" s="0" t="s">
        <v>2150</v>
      </c>
      <c r="G2134" s="0" t="s">
        <v>2151</v>
      </c>
      <c r="H2134" s="0" t="s">
        <v>2153</v>
      </c>
      <c r="I2134" s="0" t="s">
        <v>2322</v>
      </c>
      <c r="J2134" s="0" t="s">
        <v>2335</v>
      </c>
      <c r="K2134" s="272" t="n">
        <v>-7637666.72040005</v>
      </c>
    </row>
    <row r="2135" customFormat="false" ht="15" hidden="false" customHeight="false" outlineLevel="0" collapsed="false">
      <c r="A2135" s="0" t="s">
        <v>2041</v>
      </c>
      <c r="B2135" s="0" t="s">
        <v>2042</v>
      </c>
      <c r="C2135" s="0" t="s">
        <v>2156</v>
      </c>
      <c r="D2135" s="0" t="s">
        <v>2105</v>
      </c>
      <c r="E2135" s="0" t="s">
        <v>2045</v>
      </c>
      <c r="F2135" s="0" t="s">
        <v>2150</v>
      </c>
      <c r="G2135" s="0" t="s">
        <v>2151</v>
      </c>
      <c r="H2135" s="0" t="s">
        <v>2154</v>
      </c>
      <c r="I2135" s="0" t="s">
        <v>2322</v>
      </c>
      <c r="J2135" s="0" t="s">
        <v>2335</v>
      </c>
      <c r="K2135" s="272" t="n">
        <v>-3400000</v>
      </c>
    </row>
    <row r="2136" customFormat="false" ht="15" hidden="false" customHeight="false" outlineLevel="0" collapsed="false">
      <c r="A2136" s="0" t="s">
        <v>2041</v>
      </c>
      <c r="B2136" s="0" t="s">
        <v>2042</v>
      </c>
      <c r="C2136" s="0" t="s">
        <v>2156</v>
      </c>
      <c r="D2136" s="0" t="s">
        <v>2105</v>
      </c>
      <c r="E2136" s="0" t="s">
        <v>2045</v>
      </c>
      <c r="F2136" s="0" t="s">
        <v>2150</v>
      </c>
      <c r="G2136" s="0" t="s">
        <v>2155</v>
      </c>
      <c r="H2136" s="0" t="s">
        <v>2154</v>
      </c>
      <c r="I2136" s="0" t="s">
        <v>2322</v>
      </c>
      <c r="J2136" s="0" t="s">
        <v>2335</v>
      </c>
      <c r="K2136" s="272" t="n">
        <v>-13880000</v>
      </c>
    </row>
    <row r="2137" customFormat="false" ht="15" hidden="false" customHeight="false" outlineLevel="0" collapsed="false">
      <c r="A2137" s="0" t="s">
        <v>2041</v>
      </c>
      <c r="B2137" s="0" t="s">
        <v>2042</v>
      </c>
      <c r="C2137" s="0" t="s">
        <v>2156</v>
      </c>
      <c r="D2137" s="0" t="s">
        <v>2105</v>
      </c>
      <c r="E2137" s="0" t="s">
        <v>2045</v>
      </c>
      <c r="F2137" s="0" t="s">
        <v>2150</v>
      </c>
      <c r="G2137" s="0" t="s">
        <v>2332</v>
      </c>
      <c r="H2137" s="0" t="s">
        <v>2152</v>
      </c>
      <c r="I2137" s="0" t="s">
        <v>2322</v>
      </c>
      <c r="J2137" s="0" t="s">
        <v>2335</v>
      </c>
      <c r="K2137" s="272" t="n">
        <v>-2780000</v>
      </c>
    </row>
    <row r="2138" customFormat="false" ht="15" hidden="false" customHeight="false" outlineLevel="0" collapsed="false">
      <c r="A2138" s="0" t="s">
        <v>2041</v>
      </c>
      <c r="B2138" s="0" t="s">
        <v>2042</v>
      </c>
      <c r="C2138" s="0" t="s">
        <v>2156</v>
      </c>
      <c r="D2138" s="0" t="s">
        <v>2105</v>
      </c>
      <c r="E2138" s="0" t="s">
        <v>2274</v>
      </c>
      <c r="F2138" s="0" t="s">
        <v>2275</v>
      </c>
      <c r="G2138" s="0" t="s">
        <v>2276</v>
      </c>
      <c r="H2138" s="0" t="s">
        <v>2277</v>
      </c>
      <c r="I2138" s="0" t="s">
        <v>2322</v>
      </c>
      <c r="J2138" s="0" t="s">
        <v>2335</v>
      </c>
      <c r="K2138" s="272" t="n">
        <v>-6068238.36519697</v>
      </c>
    </row>
    <row r="2139" customFormat="false" ht="15" hidden="false" customHeight="false" outlineLevel="0" collapsed="false">
      <c r="A2139" s="0" t="s">
        <v>2041</v>
      </c>
      <c r="B2139" s="0" t="s">
        <v>2042</v>
      </c>
      <c r="C2139" s="0" t="s">
        <v>2156</v>
      </c>
      <c r="D2139" s="0" t="s">
        <v>2279</v>
      </c>
      <c r="E2139" s="0" t="s">
        <v>2279</v>
      </c>
      <c r="F2139" s="0" t="s">
        <v>2280</v>
      </c>
      <c r="G2139" s="0" t="s">
        <v>2281</v>
      </c>
      <c r="H2139" s="0" t="s">
        <v>2284</v>
      </c>
      <c r="I2139" s="0" t="s">
        <v>2322</v>
      </c>
      <c r="J2139" s="0" t="s">
        <v>2335</v>
      </c>
      <c r="K2139" s="272" t="n">
        <v>-3030170.56736392</v>
      </c>
    </row>
    <row r="2140" customFormat="false" ht="15" hidden="false" customHeight="false" outlineLevel="0" collapsed="false">
      <c r="A2140" s="0" t="s">
        <v>2041</v>
      </c>
      <c r="B2140" s="0" t="s">
        <v>2042</v>
      </c>
      <c r="C2140" s="0" t="s">
        <v>2156</v>
      </c>
      <c r="D2140" s="0" t="s">
        <v>2279</v>
      </c>
      <c r="E2140" s="0" t="s">
        <v>2279</v>
      </c>
      <c r="F2140" s="0" t="s">
        <v>2280</v>
      </c>
      <c r="G2140" s="0" t="s">
        <v>2281</v>
      </c>
      <c r="H2140" s="0" t="s">
        <v>2287</v>
      </c>
      <c r="I2140" s="0" t="s">
        <v>2322</v>
      </c>
      <c r="J2140" s="0" t="s">
        <v>2335</v>
      </c>
      <c r="K2140" s="272" t="n">
        <v>-1759453.87782421</v>
      </c>
    </row>
    <row r="2141" customFormat="false" ht="15" hidden="false" customHeight="false" outlineLevel="0" collapsed="false">
      <c r="A2141" s="0" t="s">
        <v>2041</v>
      </c>
      <c r="B2141" s="0" t="s">
        <v>2042</v>
      </c>
      <c r="C2141" s="0" t="s">
        <v>2156</v>
      </c>
      <c r="D2141" s="0" t="s">
        <v>2279</v>
      </c>
      <c r="E2141" s="0" t="s">
        <v>2279</v>
      </c>
      <c r="F2141" s="0" t="s">
        <v>2280</v>
      </c>
      <c r="G2141" s="0" t="s">
        <v>2281</v>
      </c>
      <c r="H2141" s="0" t="s">
        <v>2288</v>
      </c>
      <c r="I2141" s="0" t="s">
        <v>2322</v>
      </c>
      <c r="J2141" s="0" t="s">
        <v>2335</v>
      </c>
      <c r="K2141" s="272" t="n">
        <v>-1368464.12719661</v>
      </c>
    </row>
    <row r="2142" customFormat="false" ht="15" hidden="false" customHeight="false" outlineLevel="0" collapsed="false">
      <c r="A2142" s="0" t="s">
        <v>2041</v>
      </c>
      <c r="B2142" s="0" t="s">
        <v>2042</v>
      </c>
      <c r="C2142" s="0" t="s">
        <v>2156</v>
      </c>
      <c r="D2142" s="0" t="s">
        <v>2279</v>
      </c>
      <c r="E2142" s="0" t="s">
        <v>2279</v>
      </c>
      <c r="F2142" s="0" t="s">
        <v>2280</v>
      </c>
      <c r="G2142" s="0" t="s">
        <v>2281</v>
      </c>
      <c r="H2142" s="0" t="s">
        <v>2289</v>
      </c>
      <c r="I2142" s="0" t="s">
        <v>2322</v>
      </c>
      <c r="J2142" s="0" t="s">
        <v>2335</v>
      </c>
      <c r="K2142" s="272" t="n">
        <v>-1127353.49425044</v>
      </c>
    </row>
    <row r="2143" customFormat="false" ht="15" hidden="false" customHeight="false" outlineLevel="0" collapsed="false">
      <c r="A2143" s="0" t="s">
        <v>2041</v>
      </c>
      <c r="B2143" s="0" t="s">
        <v>2042</v>
      </c>
      <c r="C2143" s="0" t="s">
        <v>2156</v>
      </c>
      <c r="D2143" s="0" t="s">
        <v>2279</v>
      </c>
      <c r="E2143" s="0" t="s">
        <v>2279</v>
      </c>
      <c r="F2143" s="0" t="s">
        <v>2280</v>
      </c>
      <c r="G2143" s="0" t="s">
        <v>2281</v>
      </c>
      <c r="H2143" s="0" t="s">
        <v>2153</v>
      </c>
      <c r="I2143" s="0" t="s">
        <v>2322</v>
      </c>
      <c r="J2143" s="0" t="s">
        <v>2335</v>
      </c>
      <c r="K2143" s="272" t="n">
        <v>-10025628.4092962</v>
      </c>
    </row>
    <row r="2144" customFormat="false" ht="15" hidden="false" customHeight="false" outlineLevel="0" collapsed="false">
      <c r="A2144" s="0" t="s">
        <v>2041</v>
      </c>
      <c r="B2144" s="0" t="s">
        <v>2042</v>
      </c>
      <c r="C2144" s="0" t="s">
        <v>2156</v>
      </c>
      <c r="D2144" s="0" t="s">
        <v>2279</v>
      </c>
      <c r="E2144" s="0" t="s">
        <v>2279</v>
      </c>
      <c r="F2144" s="0" t="s">
        <v>2280</v>
      </c>
      <c r="G2144" s="0" t="s">
        <v>2281</v>
      </c>
      <c r="H2144" s="0" t="s">
        <v>2107</v>
      </c>
      <c r="I2144" s="0" t="s">
        <v>2322</v>
      </c>
      <c r="J2144" s="0" t="s">
        <v>2335</v>
      </c>
      <c r="K2144" s="272" t="n">
        <v>-1172969.25188281</v>
      </c>
    </row>
    <row r="2145" customFormat="false" ht="15" hidden="false" customHeight="false" outlineLevel="0" collapsed="false">
      <c r="A2145" s="0" t="s">
        <v>2041</v>
      </c>
      <c r="B2145" s="0" t="s">
        <v>2042</v>
      </c>
      <c r="C2145" s="0" t="s">
        <v>2156</v>
      </c>
      <c r="D2145" s="0" t="s">
        <v>2279</v>
      </c>
      <c r="E2145" s="0" t="s">
        <v>2279</v>
      </c>
      <c r="F2145" s="0" t="s">
        <v>2280</v>
      </c>
      <c r="G2145" s="0" t="s">
        <v>2281</v>
      </c>
      <c r="H2145" s="0" t="s">
        <v>2290</v>
      </c>
      <c r="I2145" s="0" t="s">
        <v>2322</v>
      </c>
      <c r="J2145" s="0" t="s">
        <v>2335</v>
      </c>
      <c r="K2145" s="272" t="n">
        <v>-1563959.00251041</v>
      </c>
    </row>
    <row r="2146" customFormat="false" ht="15" hidden="false" customHeight="false" outlineLevel="0" collapsed="false">
      <c r="A2146" s="0" t="s">
        <v>2041</v>
      </c>
      <c r="B2146" s="0" t="s">
        <v>2042</v>
      </c>
      <c r="C2146" s="0" t="s">
        <v>2156</v>
      </c>
      <c r="D2146" s="0" t="s">
        <v>2279</v>
      </c>
      <c r="E2146" s="0" t="s">
        <v>2279</v>
      </c>
      <c r="F2146" s="0" t="s">
        <v>2280</v>
      </c>
      <c r="G2146" s="0" t="s">
        <v>2281</v>
      </c>
      <c r="H2146" s="0" t="s">
        <v>2291</v>
      </c>
      <c r="I2146" s="0" t="s">
        <v>2322</v>
      </c>
      <c r="J2146" s="0" t="s">
        <v>2335</v>
      </c>
      <c r="K2146" s="272" t="n">
        <v>-569728.247902077</v>
      </c>
    </row>
    <row r="2147" customFormat="false" ht="15" hidden="false" customHeight="false" outlineLevel="0" collapsed="false">
      <c r="A2147" s="0" t="s">
        <v>2041</v>
      </c>
      <c r="B2147" s="0" t="s">
        <v>2042</v>
      </c>
      <c r="C2147" s="0" t="s">
        <v>2156</v>
      </c>
      <c r="D2147" s="0" t="s">
        <v>2279</v>
      </c>
      <c r="E2147" s="0" t="s">
        <v>2279</v>
      </c>
      <c r="F2147" s="0" t="s">
        <v>2292</v>
      </c>
      <c r="G2147" s="0" t="s">
        <v>2293</v>
      </c>
      <c r="H2147" s="0" t="s">
        <v>2284</v>
      </c>
      <c r="I2147" s="0" t="s">
        <v>2322</v>
      </c>
      <c r="J2147" s="0" t="s">
        <v>2335</v>
      </c>
      <c r="K2147" s="272" t="n">
        <v>-55481143.7262401</v>
      </c>
    </row>
    <row r="2148" customFormat="false" ht="15" hidden="false" customHeight="false" outlineLevel="0" collapsed="false">
      <c r="A2148" s="0" t="s">
        <v>2041</v>
      </c>
      <c r="B2148" s="0" t="s">
        <v>2042</v>
      </c>
      <c r="C2148" s="0" t="s">
        <v>2156</v>
      </c>
      <c r="D2148" s="0" t="s">
        <v>2279</v>
      </c>
      <c r="E2148" s="0" t="s">
        <v>2279</v>
      </c>
      <c r="F2148" s="0" t="s">
        <v>2292</v>
      </c>
      <c r="G2148" s="0" t="s">
        <v>2293</v>
      </c>
      <c r="H2148" s="0" t="s">
        <v>2303</v>
      </c>
      <c r="I2148" s="0" t="s">
        <v>2322</v>
      </c>
      <c r="J2148" s="0" t="s">
        <v>2335</v>
      </c>
      <c r="K2148" s="272" t="n">
        <v>-7503317.22406829</v>
      </c>
    </row>
    <row r="2149" customFormat="false" ht="15" hidden="false" customHeight="false" outlineLevel="0" collapsed="false">
      <c r="A2149" s="0" t="s">
        <v>2041</v>
      </c>
      <c r="B2149" s="0" t="s">
        <v>2042</v>
      </c>
      <c r="C2149" s="0" t="s">
        <v>2156</v>
      </c>
      <c r="D2149" s="0" t="s">
        <v>2279</v>
      </c>
      <c r="E2149" s="0" t="s">
        <v>2279</v>
      </c>
      <c r="F2149" s="0" t="s">
        <v>2292</v>
      </c>
      <c r="G2149" s="0" t="s">
        <v>2293</v>
      </c>
      <c r="H2149" s="0" t="s">
        <v>2286</v>
      </c>
      <c r="I2149" s="0" t="s">
        <v>2322</v>
      </c>
      <c r="J2149" s="0" t="s">
        <v>2335</v>
      </c>
      <c r="K2149" s="272" t="n">
        <v>-164675.405450629</v>
      </c>
    </row>
    <row r="2150" customFormat="false" ht="15" hidden="false" customHeight="false" outlineLevel="0" collapsed="false">
      <c r="A2150" s="0" t="s">
        <v>2041</v>
      </c>
      <c r="B2150" s="0" t="s">
        <v>2042</v>
      </c>
      <c r="C2150" s="0" t="s">
        <v>2156</v>
      </c>
      <c r="D2150" s="0" t="s">
        <v>2279</v>
      </c>
      <c r="E2150" s="0" t="s">
        <v>2279</v>
      </c>
      <c r="F2150" s="0" t="s">
        <v>2292</v>
      </c>
      <c r="G2150" s="0" t="s">
        <v>2293</v>
      </c>
      <c r="H2150" s="0" t="s">
        <v>2304</v>
      </c>
      <c r="I2150" s="0" t="s">
        <v>2322</v>
      </c>
      <c r="J2150" s="0" t="s">
        <v>2335</v>
      </c>
      <c r="K2150" s="272" t="n">
        <v>-941002.316860735</v>
      </c>
    </row>
    <row r="2151" customFormat="false" ht="15" hidden="false" customHeight="false" outlineLevel="0" collapsed="false">
      <c r="A2151" s="0" t="s">
        <v>2041</v>
      </c>
      <c r="B2151" s="0" t="s">
        <v>2042</v>
      </c>
      <c r="C2151" s="0" t="s">
        <v>2156</v>
      </c>
      <c r="D2151" s="0" t="s">
        <v>2279</v>
      </c>
      <c r="E2151" s="0" t="s">
        <v>2279</v>
      </c>
      <c r="F2151" s="0" t="s">
        <v>2292</v>
      </c>
      <c r="G2151" s="0" t="s">
        <v>2293</v>
      </c>
      <c r="H2151" s="0" t="s">
        <v>2287</v>
      </c>
      <c r="I2151" s="0" t="s">
        <v>2322</v>
      </c>
      <c r="J2151" s="0" t="s">
        <v>2335</v>
      </c>
      <c r="K2151" s="272" t="n">
        <v>-7727981.52721879</v>
      </c>
    </row>
    <row r="2152" customFormat="false" ht="15" hidden="false" customHeight="false" outlineLevel="0" collapsed="false">
      <c r="A2152" s="0" t="s">
        <v>2041</v>
      </c>
      <c r="B2152" s="0" t="s">
        <v>2042</v>
      </c>
      <c r="C2152" s="0" t="s">
        <v>2156</v>
      </c>
      <c r="D2152" s="0" t="s">
        <v>2279</v>
      </c>
      <c r="E2152" s="0" t="s">
        <v>2279</v>
      </c>
      <c r="F2152" s="0" t="s">
        <v>2292</v>
      </c>
      <c r="G2152" s="0" t="s">
        <v>2293</v>
      </c>
      <c r="H2152" s="0" t="s">
        <v>2288</v>
      </c>
      <c r="I2152" s="0" t="s">
        <v>2322</v>
      </c>
      <c r="J2152" s="0" t="s">
        <v>2335</v>
      </c>
      <c r="K2152" s="272" t="n">
        <v>-2058442.56813286</v>
      </c>
    </row>
    <row r="2153" customFormat="false" ht="15" hidden="false" customHeight="false" outlineLevel="0" collapsed="false">
      <c r="A2153" s="0" t="s">
        <v>2041</v>
      </c>
      <c r="B2153" s="0" t="s">
        <v>2042</v>
      </c>
      <c r="C2153" s="0" t="s">
        <v>2156</v>
      </c>
      <c r="D2153" s="0" t="s">
        <v>2279</v>
      </c>
      <c r="E2153" s="0" t="s">
        <v>2279</v>
      </c>
      <c r="F2153" s="0" t="s">
        <v>2292</v>
      </c>
      <c r="G2153" s="0" t="s">
        <v>2293</v>
      </c>
      <c r="H2153" s="0" t="s">
        <v>2336</v>
      </c>
      <c r="I2153" s="0" t="s">
        <v>2322</v>
      </c>
      <c r="J2153" s="0" t="s">
        <v>2335</v>
      </c>
      <c r="K2153" s="272" t="n">
        <v>-8036042.16070107</v>
      </c>
    </row>
    <row r="2154" customFormat="false" ht="15" hidden="false" customHeight="false" outlineLevel="0" collapsed="false">
      <c r="A2154" s="0" t="s">
        <v>2041</v>
      </c>
      <c r="B2154" s="0" t="s">
        <v>2042</v>
      </c>
      <c r="C2154" s="0" t="s">
        <v>2156</v>
      </c>
      <c r="D2154" s="0" t="s">
        <v>2279</v>
      </c>
      <c r="E2154" s="0" t="s">
        <v>2279</v>
      </c>
      <c r="F2154" s="0" t="s">
        <v>2292</v>
      </c>
      <c r="G2154" s="0" t="s">
        <v>2293</v>
      </c>
      <c r="H2154" s="0" t="s">
        <v>2337</v>
      </c>
      <c r="I2154" s="0" t="s">
        <v>2322</v>
      </c>
      <c r="J2154" s="0" t="s">
        <v>2335</v>
      </c>
      <c r="K2154" s="272" t="n">
        <v>-9375382.52081792</v>
      </c>
    </row>
    <row r="2155" customFormat="false" ht="15" hidden="false" customHeight="false" outlineLevel="0" collapsed="false">
      <c r="A2155" s="0" t="s">
        <v>2041</v>
      </c>
      <c r="B2155" s="0" t="s">
        <v>2042</v>
      </c>
      <c r="C2155" s="0" t="s">
        <v>2156</v>
      </c>
      <c r="D2155" s="0" t="s">
        <v>2279</v>
      </c>
      <c r="E2155" s="0" t="s">
        <v>2279</v>
      </c>
      <c r="F2155" s="0" t="s">
        <v>2292</v>
      </c>
      <c r="G2155" s="0" t="s">
        <v>2293</v>
      </c>
      <c r="H2155" s="0" t="s">
        <v>2338</v>
      </c>
      <c r="I2155" s="0" t="s">
        <v>2322</v>
      </c>
      <c r="J2155" s="0" t="s">
        <v>2335</v>
      </c>
      <c r="K2155" s="272" t="n">
        <v>-9375382.52081792</v>
      </c>
    </row>
    <row r="2156" customFormat="false" ht="15" hidden="false" customHeight="false" outlineLevel="0" collapsed="false">
      <c r="A2156" s="0" t="s">
        <v>2041</v>
      </c>
      <c r="B2156" s="0" t="s">
        <v>2042</v>
      </c>
      <c r="C2156" s="0" t="s">
        <v>2156</v>
      </c>
      <c r="D2156" s="0" t="s">
        <v>2279</v>
      </c>
      <c r="E2156" s="0" t="s">
        <v>2279</v>
      </c>
      <c r="F2156" s="0" t="s">
        <v>2292</v>
      </c>
      <c r="G2156" s="0" t="s">
        <v>2293</v>
      </c>
      <c r="H2156" s="0" t="s">
        <v>2182</v>
      </c>
      <c r="I2156" s="0" t="s">
        <v>2322</v>
      </c>
      <c r="J2156" s="0" t="s">
        <v>2335</v>
      </c>
      <c r="K2156" s="272" t="n">
        <v>-15491250.6413199</v>
      </c>
    </row>
    <row r="2157" customFormat="false" ht="15" hidden="false" customHeight="false" outlineLevel="0" collapsed="false">
      <c r="A2157" s="0" t="s">
        <v>2041</v>
      </c>
      <c r="B2157" s="0" t="s">
        <v>2042</v>
      </c>
      <c r="C2157" s="0" t="s">
        <v>2156</v>
      </c>
      <c r="D2157" s="0" t="s">
        <v>2279</v>
      </c>
      <c r="E2157" s="0" t="s">
        <v>2279</v>
      </c>
      <c r="F2157" s="0" t="s">
        <v>2292</v>
      </c>
      <c r="G2157" s="0" t="s">
        <v>2293</v>
      </c>
      <c r="H2157" s="0" t="s">
        <v>2289</v>
      </c>
      <c r="I2157" s="0" t="s">
        <v>2322</v>
      </c>
      <c r="J2157" s="0" t="s">
        <v>2335</v>
      </c>
      <c r="K2157" s="272" t="n">
        <v>-30419981.8601493</v>
      </c>
    </row>
    <row r="2158" customFormat="false" ht="15" hidden="false" customHeight="false" outlineLevel="0" collapsed="false">
      <c r="A2158" s="0" t="s">
        <v>2041</v>
      </c>
      <c r="B2158" s="0" t="s">
        <v>2042</v>
      </c>
      <c r="C2158" s="0" t="s">
        <v>2156</v>
      </c>
      <c r="D2158" s="0" t="s">
        <v>2279</v>
      </c>
      <c r="E2158" s="0" t="s">
        <v>2279</v>
      </c>
      <c r="F2158" s="0" t="s">
        <v>2292</v>
      </c>
      <c r="G2158" s="0" t="s">
        <v>2293</v>
      </c>
      <c r="H2158" s="0" t="s">
        <v>2153</v>
      </c>
      <c r="I2158" s="0" t="s">
        <v>2322</v>
      </c>
      <c r="J2158" s="0" t="s">
        <v>2335</v>
      </c>
      <c r="K2158" s="272" t="n">
        <v>-20342117.5847369</v>
      </c>
    </row>
    <row r="2159" customFormat="false" ht="15" hidden="false" customHeight="false" outlineLevel="0" collapsed="false">
      <c r="A2159" s="0" t="s">
        <v>2041</v>
      </c>
      <c r="B2159" s="0" t="s">
        <v>2042</v>
      </c>
      <c r="C2159" s="0" t="s">
        <v>2156</v>
      </c>
      <c r="D2159" s="0" t="s">
        <v>2279</v>
      </c>
      <c r="E2159" s="0" t="s">
        <v>2279</v>
      </c>
      <c r="F2159" s="0" t="s">
        <v>2292</v>
      </c>
      <c r="G2159" s="0" t="s">
        <v>2293</v>
      </c>
      <c r="H2159" s="0" t="s">
        <v>2316</v>
      </c>
      <c r="I2159" s="0" t="s">
        <v>2322</v>
      </c>
      <c r="J2159" s="0" t="s">
        <v>2335</v>
      </c>
      <c r="K2159" s="272" t="n">
        <v>-27632875.3242082</v>
      </c>
    </row>
    <row r="2160" customFormat="false" ht="15" hidden="false" customHeight="false" outlineLevel="0" collapsed="false">
      <c r="A2160" s="0" t="s">
        <v>2041</v>
      </c>
      <c r="B2160" s="0" t="s">
        <v>2042</v>
      </c>
      <c r="C2160" s="0" t="s">
        <v>2156</v>
      </c>
      <c r="D2160" s="0" t="s">
        <v>2279</v>
      </c>
      <c r="E2160" s="0" t="s">
        <v>2279</v>
      </c>
      <c r="F2160" s="0" t="s">
        <v>2292</v>
      </c>
      <c r="G2160" s="0" t="s">
        <v>2293</v>
      </c>
      <c r="H2160" s="0" t="s">
        <v>2326</v>
      </c>
      <c r="I2160" s="0" t="s">
        <v>2322</v>
      </c>
      <c r="J2160" s="0" t="s">
        <v>2335</v>
      </c>
      <c r="K2160" s="272" t="n">
        <v>-7998519.69331625</v>
      </c>
    </row>
    <row r="2161" customFormat="false" ht="15" hidden="false" customHeight="false" outlineLevel="0" collapsed="false">
      <c r="A2161" s="0" t="s">
        <v>2041</v>
      </c>
      <c r="B2161" s="0" t="s">
        <v>2042</v>
      </c>
      <c r="C2161" s="0" t="s">
        <v>2156</v>
      </c>
      <c r="D2161" s="0" t="s">
        <v>2279</v>
      </c>
      <c r="E2161" s="0" t="s">
        <v>2279</v>
      </c>
      <c r="F2161" s="0" t="s">
        <v>2292</v>
      </c>
      <c r="G2161" s="0" t="s">
        <v>2293</v>
      </c>
      <c r="H2161" s="0" t="s">
        <v>2317</v>
      </c>
      <c r="I2161" s="0" t="s">
        <v>2322</v>
      </c>
      <c r="J2161" s="0" t="s">
        <v>2335</v>
      </c>
      <c r="K2161" s="272" t="n">
        <v>-27632875.3242082</v>
      </c>
    </row>
    <row r="2162" customFormat="false" ht="15" hidden="false" customHeight="false" outlineLevel="0" collapsed="false">
      <c r="A2162" s="0" t="s">
        <v>2041</v>
      </c>
      <c r="B2162" s="0" t="s">
        <v>2042</v>
      </c>
      <c r="C2162" s="0" t="s">
        <v>2156</v>
      </c>
      <c r="D2162" s="0" t="s">
        <v>2279</v>
      </c>
      <c r="E2162" s="0" t="s">
        <v>2279</v>
      </c>
      <c r="F2162" s="0" t="s">
        <v>2292</v>
      </c>
      <c r="G2162" s="0" t="s">
        <v>2293</v>
      </c>
      <c r="H2162" s="0" t="s">
        <v>2290</v>
      </c>
      <c r="I2162" s="0" t="s">
        <v>2322</v>
      </c>
      <c r="J2162" s="0" t="s">
        <v>2335</v>
      </c>
      <c r="K2162" s="272" t="n">
        <v>-2783367.22798445</v>
      </c>
    </row>
    <row r="2163" customFormat="false" ht="15" hidden="false" customHeight="false" outlineLevel="0" collapsed="false">
      <c r="A2163" s="0" t="s">
        <v>2041</v>
      </c>
      <c r="B2163" s="0" t="s">
        <v>2042</v>
      </c>
      <c r="C2163" s="0" t="s">
        <v>2156</v>
      </c>
      <c r="D2163" s="0" t="s">
        <v>2279</v>
      </c>
      <c r="E2163" s="0" t="s">
        <v>2279</v>
      </c>
      <c r="F2163" s="0" t="s">
        <v>2292</v>
      </c>
      <c r="G2163" s="0" t="s">
        <v>2293</v>
      </c>
      <c r="H2163" s="0" t="s">
        <v>2203</v>
      </c>
      <c r="I2163" s="0" t="s">
        <v>2322</v>
      </c>
      <c r="J2163" s="0" t="s">
        <v>2335</v>
      </c>
      <c r="K2163" s="272" t="n">
        <v>-5213018.30645929</v>
      </c>
    </row>
    <row r="2164" customFormat="false" ht="15" hidden="false" customHeight="false" outlineLevel="0" collapsed="false">
      <c r="A2164" s="0" t="s">
        <v>2041</v>
      </c>
      <c r="B2164" s="0" t="s">
        <v>2042</v>
      </c>
      <c r="C2164" s="0" t="s">
        <v>2156</v>
      </c>
      <c r="D2164" s="0" t="s">
        <v>2334</v>
      </c>
      <c r="E2164" s="0" t="s">
        <v>2279</v>
      </c>
      <c r="F2164" s="0" t="s">
        <v>2280</v>
      </c>
      <c r="G2164" s="0" t="s">
        <v>2281</v>
      </c>
      <c r="H2164" s="0" t="s">
        <v>2284</v>
      </c>
      <c r="I2164" s="0" t="s">
        <v>2322</v>
      </c>
      <c r="J2164" s="0" t="s">
        <v>2335</v>
      </c>
      <c r="K2164" s="272" t="n">
        <v>-7000000</v>
      </c>
    </row>
    <row r="2165" customFormat="false" ht="15" hidden="false" customHeight="false" outlineLevel="0" collapsed="false">
      <c r="A2165" s="0" t="s">
        <v>2041</v>
      </c>
      <c r="B2165" s="0" t="s">
        <v>2042</v>
      </c>
      <c r="C2165" s="0" t="s">
        <v>2156</v>
      </c>
      <c r="D2165" s="0" t="s">
        <v>2334</v>
      </c>
      <c r="E2165" s="0" t="s">
        <v>2279</v>
      </c>
      <c r="F2165" s="0" t="s">
        <v>2280</v>
      </c>
      <c r="G2165" s="0" t="s">
        <v>2281</v>
      </c>
      <c r="H2165" s="0" t="s">
        <v>2286</v>
      </c>
      <c r="I2165" s="0" t="s">
        <v>2322</v>
      </c>
      <c r="J2165" s="0" t="s">
        <v>2335</v>
      </c>
      <c r="K2165" s="272" t="n">
        <v>-4770302.15007357</v>
      </c>
    </row>
    <row r="2166" customFormat="false" ht="15" hidden="false" customHeight="false" outlineLevel="0" collapsed="false">
      <c r="A2166" s="0" t="s">
        <v>2041</v>
      </c>
      <c r="B2166" s="0" t="s">
        <v>2042</v>
      </c>
      <c r="C2166" s="0" t="s">
        <v>2156</v>
      </c>
      <c r="D2166" s="0" t="s">
        <v>2334</v>
      </c>
      <c r="E2166" s="0" t="s">
        <v>2279</v>
      </c>
      <c r="F2166" s="0" t="s">
        <v>2280</v>
      </c>
      <c r="G2166" s="0" t="s">
        <v>2281</v>
      </c>
      <c r="H2166" s="0" t="s">
        <v>2287</v>
      </c>
      <c r="I2166" s="0" t="s">
        <v>2322</v>
      </c>
      <c r="J2166" s="0" t="s">
        <v>2335</v>
      </c>
      <c r="K2166" s="272" t="n">
        <v>-4960936.09893105</v>
      </c>
    </row>
    <row r="2167" customFormat="false" ht="15" hidden="false" customHeight="false" outlineLevel="0" collapsed="false">
      <c r="A2167" s="0" t="s">
        <v>2041</v>
      </c>
      <c r="B2167" s="0" t="s">
        <v>2042</v>
      </c>
      <c r="C2167" s="0" t="s">
        <v>2156</v>
      </c>
      <c r="D2167" s="0" t="s">
        <v>2334</v>
      </c>
      <c r="E2167" s="0" t="s">
        <v>2279</v>
      </c>
      <c r="F2167" s="0" t="s">
        <v>2280</v>
      </c>
      <c r="G2167" s="0" t="s">
        <v>2281</v>
      </c>
      <c r="H2167" s="0" t="s">
        <v>2153</v>
      </c>
      <c r="I2167" s="0" t="s">
        <v>2322</v>
      </c>
      <c r="J2167" s="0" t="s">
        <v>2335</v>
      </c>
      <c r="K2167" s="272" t="n">
        <v>-34668041.6023162</v>
      </c>
    </row>
    <row r="2168" customFormat="false" ht="15" hidden="false" customHeight="false" outlineLevel="0" collapsed="false">
      <c r="A2168" s="0" t="s">
        <v>2041</v>
      </c>
      <c r="B2168" s="0" t="s">
        <v>2042</v>
      </c>
      <c r="C2168" s="0" t="s">
        <v>2156</v>
      </c>
      <c r="D2168" s="0" t="s">
        <v>2334</v>
      </c>
      <c r="E2168" s="0" t="s">
        <v>2279</v>
      </c>
      <c r="F2168" s="0" t="s">
        <v>2292</v>
      </c>
      <c r="G2168" s="0" t="s">
        <v>2293</v>
      </c>
      <c r="H2168" s="0" t="s">
        <v>2284</v>
      </c>
      <c r="I2168" s="0" t="s">
        <v>2322</v>
      </c>
      <c r="J2168" s="0" t="s">
        <v>2335</v>
      </c>
      <c r="K2168" s="272" t="n">
        <v>-34302814.4331459</v>
      </c>
    </row>
    <row r="2169" customFormat="false" ht="15" hidden="false" customHeight="false" outlineLevel="0" collapsed="false">
      <c r="A2169" s="0" t="s">
        <v>2041</v>
      </c>
      <c r="B2169" s="0" t="s">
        <v>2042</v>
      </c>
      <c r="C2169" s="0" t="s">
        <v>2156</v>
      </c>
      <c r="D2169" s="0" t="s">
        <v>2334</v>
      </c>
      <c r="E2169" s="0" t="s">
        <v>2279</v>
      </c>
      <c r="F2169" s="0" t="s">
        <v>2292</v>
      </c>
      <c r="G2169" s="0" t="s">
        <v>2293</v>
      </c>
      <c r="H2169" s="0" t="s">
        <v>2287</v>
      </c>
      <c r="I2169" s="0" t="s">
        <v>2322</v>
      </c>
      <c r="J2169" s="0" t="s">
        <v>2335</v>
      </c>
      <c r="K2169" s="272" t="n">
        <v>-7922128.04460645</v>
      </c>
    </row>
    <row r="2170" customFormat="false" ht="15" hidden="false" customHeight="false" outlineLevel="0" collapsed="false">
      <c r="A2170" s="0" t="s">
        <v>2041</v>
      </c>
      <c r="B2170" s="0" t="s">
        <v>2042</v>
      </c>
      <c r="C2170" s="0" t="s">
        <v>2156</v>
      </c>
      <c r="D2170" s="0" t="s">
        <v>2334</v>
      </c>
      <c r="E2170" s="0" t="s">
        <v>2279</v>
      </c>
      <c r="F2170" s="0" t="s">
        <v>2292</v>
      </c>
      <c r="G2170" s="0" t="s">
        <v>2293</v>
      </c>
      <c r="H2170" s="0" t="s">
        <v>2336</v>
      </c>
      <c r="I2170" s="0" t="s">
        <v>2322</v>
      </c>
      <c r="J2170" s="0" t="s">
        <v>2335</v>
      </c>
      <c r="K2170" s="272" t="n">
        <v>-2109266.59187647</v>
      </c>
    </row>
    <row r="2171" customFormat="false" ht="15" hidden="false" customHeight="false" outlineLevel="0" collapsed="false">
      <c r="A2171" s="0" t="s">
        <v>2041</v>
      </c>
      <c r="B2171" s="0" t="s">
        <v>2042</v>
      </c>
      <c r="C2171" s="0" t="s">
        <v>2156</v>
      </c>
      <c r="D2171" s="0" t="s">
        <v>2334</v>
      </c>
      <c r="E2171" s="0" t="s">
        <v>2279</v>
      </c>
      <c r="F2171" s="0" t="s">
        <v>2292</v>
      </c>
      <c r="G2171" s="0" t="s">
        <v>2293</v>
      </c>
      <c r="H2171" s="0" t="s">
        <v>2337</v>
      </c>
      <c r="I2171" s="0" t="s">
        <v>2322</v>
      </c>
      <c r="J2171" s="0" t="s">
        <v>2335</v>
      </c>
      <c r="K2171" s="272" t="n">
        <v>-2460811.02385588</v>
      </c>
    </row>
    <row r="2172" customFormat="false" ht="15" hidden="false" customHeight="false" outlineLevel="0" collapsed="false">
      <c r="A2172" s="0" t="s">
        <v>2041</v>
      </c>
      <c r="B2172" s="0" t="s">
        <v>2042</v>
      </c>
      <c r="C2172" s="0" t="s">
        <v>2156</v>
      </c>
      <c r="D2172" s="0" t="s">
        <v>2334</v>
      </c>
      <c r="E2172" s="0" t="s">
        <v>2279</v>
      </c>
      <c r="F2172" s="0" t="s">
        <v>2292</v>
      </c>
      <c r="G2172" s="0" t="s">
        <v>2293</v>
      </c>
      <c r="H2172" s="0" t="s">
        <v>2338</v>
      </c>
      <c r="I2172" s="0" t="s">
        <v>2322</v>
      </c>
      <c r="J2172" s="0" t="s">
        <v>2335</v>
      </c>
      <c r="K2172" s="272" t="n">
        <v>-2460811.02385588</v>
      </c>
    </row>
    <row r="2173" customFormat="false" ht="15" hidden="false" customHeight="false" outlineLevel="0" collapsed="false">
      <c r="A2173" s="0" t="s">
        <v>2041</v>
      </c>
      <c r="B2173" s="0" t="s">
        <v>2042</v>
      </c>
      <c r="C2173" s="0" t="s">
        <v>2156</v>
      </c>
      <c r="D2173" s="0" t="s">
        <v>2334</v>
      </c>
      <c r="E2173" s="0" t="s">
        <v>2279</v>
      </c>
      <c r="F2173" s="0" t="s">
        <v>2292</v>
      </c>
      <c r="G2173" s="0" t="s">
        <v>2293</v>
      </c>
      <c r="H2173" s="0" t="s">
        <v>2153</v>
      </c>
      <c r="I2173" s="0" t="s">
        <v>2322</v>
      </c>
      <c r="J2173" s="0" t="s">
        <v>2335</v>
      </c>
      <c r="K2173" s="272" t="n">
        <v>-84023615.0507446</v>
      </c>
    </row>
    <row r="2174" customFormat="false" ht="15" hidden="false" customHeight="false" outlineLevel="0" collapsed="false">
      <c r="A2174" s="0" t="s">
        <v>2041</v>
      </c>
      <c r="B2174" s="0" t="s">
        <v>2042</v>
      </c>
      <c r="C2174" s="0" t="s">
        <v>2156</v>
      </c>
      <c r="D2174" s="0" t="s">
        <v>2334</v>
      </c>
      <c r="E2174" s="0" t="s">
        <v>2279</v>
      </c>
      <c r="F2174" s="0" t="s">
        <v>2292</v>
      </c>
      <c r="G2174" s="0" t="s">
        <v>2293</v>
      </c>
      <c r="H2174" s="0" t="s">
        <v>2326</v>
      </c>
      <c r="I2174" s="0" t="s">
        <v>2322</v>
      </c>
      <c r="J2174" s="0" t="s">
        <v>2335</v>
      </c>
      <c r="K2174" s="272" t="n">
        <v>-22578064.9271284</v>
      </c>
    </row>
    <row r="2175" customFormat="false" ht="15" hidden="false" customHeight="false" outlineLevel="0" collapsed="false">
      <c r="A2175" s="0" t="s">
        <v>2041</v>
      </c>
      <c r="B2175" s="0" t="s">
        <v>2042</v>
      </c>
      <c r="C2175" s="0" t="s">
        <v>2156</v>
      </c>
      <c r="D2175" s="0" t="s">
        <v>2044</v>
      </c>
      <c r="E2175" s="0" t="s">
        <v>2045</v>
      </c>
      <c r="F2175" s="0" t="s">
        <v>2051</v>
      </c>
      <c r="G2175" s="0" t="s">
        <v>2047</v>
      </c>
      <c r="H2175" s="0" t="s">
        <v>2052</v>
      </c>
      <c r="I2175" s="0" t="s">
        <v>2322</v>
      </c>
      <c r="J2175" s="0" t="s">
        <v>2335</v>
      </c>
      <c r="K2175" s="272" t="n">
        <v>-42522.78</v>
      </c>
    </row>
    <row r="2176" customFormat="false" ht="15" hidden="false" customHeight="false" outlineLevel="0" collapsed="false">
      <c r="A2176" s="0" t="s">
        <v>2041</v>
      </c>
      <c r="B2176" s="0" t="s">
        <v>2042</v>
      </c>
      <c r="C2176" s="0" t="s">
        <v>2156</v>
      </c>
      <c r="D2176" s="0" t="s">
        <v>2044</v>
      </c>
      <c r="E2176" s="0" t="s">
        <v>2045</v>
      </c>
      <c r="F2176" s="0" t="s">
        <v>2051</v>
      </c>
      <c r="G2176" s="0" t="s">
        <v>2053</v>
      </c>
      <c r="H2176" s="0" t="s">
        <v>2052</v>
      </c>
      <c r="I2176" s="0" t="s">
        <v>2322</v>
      </c>
      <c r="J2176" s="0" t="s">
        <v>2335</v>
      </c>
      <c r="K2176" s="272" t="n">
        <v>-16197.345</v>
      </c>
    </row>
    <row r="2177" customFormat="false" ht="15" hidden="false" customHeight="false" outlineLevel="0" collapsed="false">
      <c r="A2177" s="0" t="s">
        <v>2041</v>
      </c>
      <c r="B2177" s="0" t="s">
        <v>2042</v>
      </c>
      <c r="C2177" s="0" t="s">
        <v>2156</v>
      </c>
      <c r="D2177" s="0" t="s">
        <v>2044</v>
      </c>
      <c r="E2177" s="0" t="s">
        <v>2045</v>
      </c>
      <c r="F2177" s="0" t="s">
        <v>2051</v>
      </c>
      <c r="G2177" s="0" t="s">
        <v>2054</v>
      </c>
      <c r="H2177" s="0" t="s">
        <v>2052</v>
      </c>
      <c r="I2177" s="0" t="s">
        <v>2322</v>
      </c>
      <c r="J2177" s="0" t="s">
        <v>2335</v>
      </c>
      <c r="K2177" s="272" t="n">
        <v>-186874.92525</v>
      </c>
    </row>
    <row r="2178" customFormat="false" ht="15" hidden="false" customHeight="false" outlineLevel="0" collapsed="false">
      <c r="A2178" s="0" t="s">
        <v>2041</v>
      </c>
      <c r="B2178" s="0" t="s">
        <v>2042</v>
      </c>
      <c r="C2178" s="0" t="s">
        <v>2156</v>
      </c>
      <c r="D2178" s="0" t="s">
        <v>2044</v>
      </c>
      <c r="E2178" s="0" t="s">
        <v>2045</v>
      </c>
      <c r="F2178" s="0" t="s">
        <v>2051</v>
      </c>
      <c r="G2178" s="0" t="s">
        <v>2055</v>
      </c>
      <c r="H2178" s="0" t="s">
        <v>2052</v>
      </c>
      <c r="I2178" s="0" t="s">
        <v>2322</v>
      </c>
      <c r="J2178" s="0" t="s">
        <v>2335</v>
      </c>
      <c r="K2178" s="272" t="n">
        <v>-298736.25</v>
      </c>
    </row>
    <row r="2179" customFormat="false" ht="15" hidden="false" customHeight="false" outlineLevel="0" collapsed="false">
      <c r="A2179" s="0" t="s">
        <v>2041</v>
      </c>
      <c r="B2179" s="0" t="s">
        <v>2042</v>
      </c>
      <c r="C2179" s="0" t="s">
        <v>2156</v>
      </c>
      <c r="D2179" s="0" t="s">
        <v>2044</v>
      </c>
      <c r="E2179" s="0" t="s">
        <v>2045</v>
      </c>
      <c r="F2179" s="0" t="s">
        <v>2051</v>
      </c>
      <c r="G2179" s="0" t="s">
        <v>2056</v>
      </c>
      <c r="H2179" s="0" t="s">
        <v>2052</v>
      </c>
      <c r="I2179" s="0" t="s">
        <v>2322</v>
      </c>
      <c r="J2179" s="0" t="s">
        <v>2335</v>
      </c>
      <c r="K2179" s="272" t="n">
        <v>-272280.463</v>
      </c>
    </row>
    <row r="2180" customFormat="false" ht="15" hidden="false" customHeight="false" outlineLevel="0" collapsed="false">
      <c r="A2180" s="0" t="s">
        <v>2041</v>
      </c>
      <c r="B2180" s="0" t="s">
        <v>2042</v>
      </c>
      <c r="C2180" s="0" t="s">
        <v>2156</v>
      </c>
      <c r="D2180" s="0" t="s">
        <v>2044</v>
      </c>
      <c r="E2180" s="0" t="s">
        <v>2045</v>
      </c>
      <c r="F2180" s="0" t="s">
        <v>2051</v>
      </c>
      <c r="G2180" s="0" t="s">
        <v>2057</v>
      </c>
      <c r="H2180" s="0" t="s">
        <v>2052</v>
      </c>
      <c r="I2180" s="0" t="s">
        <v>2322</v>
      </c>
      <c r="J2180" s="0" t="s">
        <v>2335</v>
      </c>
      <c r="K2180" s="272" t="n">
        <v>-216020.5</v>
      </c>
    </row>
    <row r="2181" customFormat="false" ht="15" hidden="false" customHeight="false" outlineLevel="0" collapsed="false">
      <c r="A2181" s="0" t="s">
        <v>2041</v>
      </c>
      <c r="B2181" s="0" t="s">
        <v>2042</v>
      </c>
      <c r="C2181" s="0" t="s">
        <v>2156</v>
      </c>
      <c r="D2181" s="0" t="s">
        <v>2044</v>
      </c>
      <c r="E2181" s="0" t="s">
        <v>2045</v>
      </c>
      <c r="F2181" s="0" t="s">
        <v>2051</v>
      </c>
      <c r="G2181" s="0" t="s">
        <v>2058</v>
      </c>
      <c r="H2181" s="0" t="s">
        <v>2052</v>
      </c>
      <c r="I2181" s="0" t="s">
        <v>2322</v>
      </c>
      <c r="J2181" s="0" t="s">
        <v>2335</v>
      </c>
      <c r="K2181" s="272" t="n">
        <v>-53312.6</v>
      </c>
    </row>
    <row r="2182" customFormat="false" ht="15" hidden="false" customHeight="false" outlineLevel="0" collapsed="false">
      <c r="A2182" s="0" t="s">
        <v>2041</v>
      </c>
      <c r="B2182" s="0" t="s">
        <v>2042</v>
      </c>
      <c r="C2182" s="0" t="s">
        <v>2156</v>
      </c>
      <c r="D2182" s="0" t="s">
        <v>2044</v>
      </c>
      <c r="E2182" s="0" t="s">
        <v>2045</v>
      </c>
      <c r="F2182" s="0" t="s">
        <v>2051</v>
      </c>
      <c r="G2182" s="0" t="s">
        <v>2059</v>
      </c>
      <c r="H2182" s="0" t="s">
        <v>2052</v>
      </c>
      <c r="I2182" s="0" t="s">
        <v>2322</v>
      </c>
      <c r="J2182" s="0" t="s">
        <v>2335</v>
      </c>
      <c r="K2182" s="272" t="n">
        <v>-57856.5</v>
      </c>
    </row>
    <row r="2183" customFormat="false" ht="15" hidden="false" customHeight="false" outlineLevel="0" collapsed="false">
      <c r="A2183" s="0" t="s">
        <v>2041</v>
      </c>
      <c r="B2183" s="0" t="s">
        <v>2042</v>
      </c>
      <c r="C2183" s="0" t="s">
        <v>2156</v>
      </c>
      <c r="D2183" s="0" t="s">
        <v>2044</v>
      </c>
      <c r="E2183" s="0" t="s">
        <v>2045</v>
      </c>
      <c r="F2183" s="0" t="s">
        <v>2051</v>
      </c>
      <c r="G2183" s="0" t="s">
        <v>2060</v>
      </c>
      <c r="H2183" s="0" t="s">
        <v>2052</v>
      </c>
      <c r="I2183" s="0" t="s">
        <v>2322</v>
      </c>
      <c r="J2183" s="0" t="s">
        <v>2335</v>
      </c>
      <c r="K2183" s="272" t="n">
        <v>-16241.734175</v>
      </c>
    </row>
    <row r="2184" customFormat="false" ht="15" hidden="false" customHeight="false" outlineLevel="0" collapsed="false">
      <c r="A2184" s="0" t="s">
        <v>2041</v>
      </c>
      <c r="B2184" s="0" t="s">
        <v>2042</v>
      </c>
      <c r="C2184" s="0" t="s">
        <v>2156</v>
      </c>
      <c r="D2184" s="0" t="s">
        <v>2044</v>
      </c>
      <c r="E2184" s="0" t="s">
        <v>2045</v>
      </c>
      <c r="F2184" s="0" t="s">
        <v>2051</v>
      </c>
      <c r="G2184" s="0" t="s">
        <v>2061</v>
      </c>
      <c r="H2184" s="0" t="s">
        <v>2052</v>
      </c>
      <c r="I2184" s="0" t="s">
        <v>2322</v>
      </c>
      <c r="J2184" s="0" t="s">
        <v>2335</v>
      </c>
      <c r="K2184" s="272" t="n">
        <v>-21978.66</v>
      </c>
    </row>
    <row r="2185" customFormat="false" ht="15" hidden="false" customHeight="false" outlineLevel="0" collapsed="false">
      <c r="A2185" s="0" t="s">
        <v>2041</v>
      </c>
      <c r="B2185" s="0" t="s">
        <v>2042</v>
      </c>
      <c r="C2185" s="0" t="s">
        <v>2156</v>
      </c>
      <c r="D2185" s="0" t="s">
        <v>2044</v>
      </c>
      <c r="E2185" s="0" t="s">
        <v>2045</v>
      </c>
      <c r="F2185" s="0" t="s">
        <v>2051</v>
      </c>
      <c r="G2185" s="0" t="s">
        <v>2062</v>
      </c>
      <c r="H2185" s="0" t="s">
        <v>2052</v>
      </c>
      <c r="I2185" s="0" t="s">
        <v>2322</v>
      </c>
      <c r="J2185" s="0" t="s">
        <v>2335</v>
      </c>
      <c r="K2185" s="272" t="n">
        <v>-54664.616252865</v>
      </c>
    </row>
    <row r="2186" customFormat="false" ht="15" hidden="false" customHeight="false" outlineLevel="0" collapsed="false">
      <c r="A2186" s="0" t="s">
        <v>2041</v>
      </c>
      <c r="B2186" s="0" t="s">
        <v>2042</v>
      </c>
      <c r="C2186" s="0" t="s">
        <v>2156</v>
      </c>
      <c r="D2186" s="0" t="s">
        <v>2044</v>
      </c>
      <c r="E2186" s="0" t="s">
        <v>2045</v>
      </c>
      <c r="F2186" s="0" t="s">
        <v>2051</v>
      </c>
      <c r="G2186" s="0" t="s">
        <v>2063</v>
      </c>
      <c r="H2186" s="0" t="s">
        <v>2052</v>
      </c>
      <c r="I2186" s="0" t="s">
        <v>2322</v>
      </c>
      <c r="J2186" s="0" t="s">
        <v>2335</v>
      </c>
      <c r="K2186" s="272" t="n">
        <v>-86857.89</v>
      </c>
    </row>
    <row r="2187" customFormat="false" ht="15" hidden="false" customHeight="false" outlineLevel="0" collapsed="false">
      <c r="A2187" s="0" t="s">
        <v>2041</v>
      </c>
      <c r="B2187" s="0" t="s">
        <v>2042</v>
      </c>
      <c r="C2187" s="0" t="s">
        <v>2156</v>
      </c>
      <c r="D2187" s="0" t="s">
        <v>2044</v>
      </c>
      <c r="E2187" s="0" t="s">
        <v>2045</v>
      </c>
      <c r="F2187" s="0" t="s">
        <v>2051</v>
      </c>
      <c r="G2187" s="0" t="s">
        <v>2064</v>
      </c>
      <c r="H2187" s="0" t="s">
        <v>2052</v>
      </c>
      <c r="I2187" s="0" t="s">
        <v>2322</v>
      </c>
      <c r="J2187" s="0" t="s">
        <v>2335</v>
      </c>
      <c r="K2187" s="272" t="n">
        <v>-1652785.2</v>
      </c>
    </row>
    <row r="2188" customFormat="false" ht="15" hidden="false" customHeight="false" outlineLevel="0" collapsed="false">
      <c r="A2188" s="0" t="s">
        <v>2041</v>
      </c>
      <c r="B2188" s="0" t="s">
        <v>2042</v>
      </c>
      <c r="C2188" s="0" t="s">
        <v>2156</v>
      </c>
      <c r="D2188" s="0" t="s">
        <v>2044</v>
      </c>
      <c r="E2188" s="0" t="s">
        <v>2045</v>
      </c>
      <c r="F2188" s="0" t="s">
        <v>2051</v>
      </c>
      <c r="G2188" s="0" t="s">
        <v>2065</v>
      </c>
      <c r="H2188" s="0" t="s">
        <v>2052</v>
      </c>
      <c r="I2188" s="0" t="s">
        <v>2322</v>
      </c>
      <c r="J2188" s="0" t="s">
        <v>2335</v>
      </c>
      <c r="K2188" s="272" t="n">
        <v>-3007.29300729301</v>
      </c>
    </row>
    <row r="2189" customFormat="false" ht="15" hidden="false" customHeight="false" outlineLevel="0" collapsed="false">
      <c r="A2189" s="0" t="s">
        <v>2041</v>
      </c>
      <c r="B2189" s="0" t="s">
        <v>2042</v>
      </c>
      <c r="C2189" s="0" t="s">
        <v>2156</v>
      </c>
      <c r="D2189" s="0" t="s">
        <v>2044</v>
      </c>
      <c r="E2189" s="0" t="s">
        <v>2045</v>
      </c>
      <c r="F2189" s="0" t="s">
        <v>2051</v>
      </c>
      <c r="G2189" s="0" t="s">
        <v>2066</v>
      </c>
      <c r="H2189" s="0" t="s">
        <v>2052</v>
      </c>
      <c r="I2189" s="0" t="s">
        <v>2322</v>
      </c>
      <c r="J2189" s="0" t="s">
        <v>2335</v>
      </c>
      <c r="K2189" s="272" t="n">
        <v>-13154.4</v>
      </c>
    </row>
    <row r="2190" customFormat="false" ht="15" hidden="false" customHeight="false" outlineLevel="0" collapsed="false">
      <c r="A2190" s="0" t="s">
        <v>2041</v>
      </c>
      <c r="B2190" s="0" t="s">
        <v>2042</v>
      </c>
      <c r="C2190" s="0" t="s">
        <v>2156</v>
      </c>
      <c r="D2190" s="0" t="s">
        <v>2044</v>
      </c>
      <c r="E2190" s="0" t="s">
        <v>2045</v>
      </c>
      <c r="F2190" s="0" t="s">
        <v>2051</v>
      </c>
      <c r="G2190" s="0" t="s">
        <v>2067</v>
      </c>
      <c r="H2190" s="0" t="s">
        <v>2052</v>
      </c>
      <c r="I2190" s="0" t="s">
        <v>2322</v>
      </c>
      <c r="J2190" s="0" t="s">
        <v>2335</v>
      </c>
      <c r="K2190" s="272" t="n">
        <v>-490958</v>
      </c>
    </row>
    <row r="2191" customFormat="false" ht="15" hidden="false" customHeight="false" outlineLevel="0" collapsed="false">
      <c r="A2191" s="0" t="s">
        <v>2041</v>
      </c>
      <c r="B2191" s="0" t="s">
        <v>2042</v>
      </c>
      <c r="C2191" s="0" t="s">
        <v>2156</v>
      </c>
      <c r="D2191" s="0" t="s">
        <v>2044</v>
      </c>
      <c r="E2191" s="0" t="s">
        <v>2045</v>
      </c>
      <c r="F2191" s="0" t="s">
        <v>2051</v>
      </c>
      <c r="G2191" s="0" t="s">
        <v>2068</v>
      </c>
      <c r="H2191" s="0" t="s">
        <v>2052</v>
      </c>
      <c r="I2191" s="0" t="s">
        <v>2322</v>
      </c>
      <c r="J2191" s="0" t="s">
        <v>2335</v>
      </c>
      <c r="K2191" s="272" t="n">
        <v>-231077.76</v>
      </c>
    </row>
    <row r="2192" customFormat="false" ht="15" hidden="false" customHeight="false" outlineLevel="0" collapsed="false">
      <c r="A2192" s="0" t="s">
        <v>2041</v>
      </c>
      <c r="B2192" s="0" t="s">
        <v>2042</v>
      </c>
      <c r="C2192" s="0" t="s">
        <v>2156</v>
      </c>
      <c r="D2192" s="0" t="s">
        <v>2044</v>
      </c>
      <c r="E2192" s="0" t="s">
        <v>2045</v>
      </c>
      <c r="F2192" s="0" t="s">
        <v>2051</v>
      </c>
      <c r="G2192" s="0" t="s">
        <v>2070</v>
      </c>
      <c r="H2192" s="0" t="s">
        <v>2052</v>
      </c>
      <c r="I2192" s="0" t="s">
        <v>2322</v>
      </c>
      <c r="J2192" s="0" t="s">
        <v>2335</v>
      </c>
      <c r="K2192" s="272" t="n">
        <v>-504470.2125</v>
      </c>
    </row>
    <row r="2193" customFormat="false" ht="15" hidden="false" customHeight="false" outlineLevel="0" collapsed="false">
      <c r="A2193" s="0" t="s">
        <v>2041</v>
      </c>
      <c r="B2193" s="0" t="s">
        <v>2042</v>
      </c>
      <c r="C2193" s="0" t="s">
        <v>2156</v>
      </c>
      <c r="D2193" s="0" t="s">
        <v>2044</v>
      </c>
      <c r="E2193" s="0" t="s">
        <v>2045</v>
      </c>
      <c r="F2193" s="0" t="s">
        <v>2051</v>
      </c>
      <c r="G2193" s="0" t="s">
        <v>2071</v>
      </c>
      <c r="H2193" s="0" t="s">
        <v>2052</v>
      </c>
      <c r="I2193" s="0" t="s">
        <v>2322</v>
      </c>
      <c r="J2193" s="0" t="s">
        <v>2335</v>
      </c>
      <c r="K2193" s="272" t="n">
        <v>-40717.4175</v>
      </c>
    </row>
    <row r="2194" customFormat="false" ht="15" hidden="false" customHeight="false" outlineLevel="0" collapsed="false">
      <c r="A2194" s="0" t="s">
        <v>2041</v>
      </c>
      <c r="B2194" s="0" t="s">
        <v>2042</v>
      </c>
      <c r="C2194" s="0" t="s">
        <v>2156</v>
      </c>
      <c r="D2194" s="0" t="s">
        <v>2044</v>
      </c>
      <c r="E2194" s="0" t="s">
        <v>2045</v>
      </c>
      <c r="F2194" s="0" t="s">
        <v>2051</v>
      </c>
      <c r="G2194" s="0" t="s">
        <v>2072</v>
      </c>
      <c r="H2194" s="0" t="s">
        <v>2052</v>
      </c>
      <c r="I2194" s="0" t="s">
        <v>2322</v>
      </c>
      <c r="J2194" s="0" t="s">
        <v>2335</v>
      </c>
      <c r="K2194" s="272" t="n">
        <v>-521111.805</v>
      </c>
    </row>
    <row r="2195" customFormat="false" ht="15" hidden="false" customHeight="false" outlineLevel="0" collapsed="false">
      <c r="A2195" s="0" t="s">
        <v>2041</v>
      </c>
      <c r="B2195" s="0" t="s">
        <v>2042</v>
      </c>
      <c r="C2195" s="0" t="s">
        <v>2156</v>
      </c>
      <c r="D2195" s="0" t="s">
        <v>2044</v>
      </c>
      <c r="E2195" s="0" t="s">
        <v>2045</v>
      </c>
      <c r="F2195" s="0" t="s">
        <v>2051</v>
      </c>
      <c r="G2195" s="0" t="s">
        <v>2073</v>
      </c>
      <c r="H2195" s="0" t="s">
        <v>2052</v>
      </c>
      <c r="I2195" s="0" t="s">
        <v>2322</v>
      </c>
      <c r="J2195" s="0" t="s">
        <v>2335</v>
      </c>
      <c r="K2195" s="272" t="n">
        <v>-1074600</v>
      </c>
    </row>
    <row r="2196" customFormat="false" ht="15" hidden="false" customHeight="false" outlineLevel="0" collapsed="false">
      <c r="A2196" s="0" t="s">
        <v>2041</v>
      </c>
      <c r="B2196" s="0" t="s">
        <v>2042</v>
      </c>
      <c r="C2196" s="0" t="s">
        <v>2156</v>
      </c>
      <c r="D2196" s="0" t="s">
        <v>2044</v>
      </c>
      <c r="E2196" s="0" t="s">
        <v>2045</v>
      </c>
      <c r="F2196" s="0" t="s">
        <v>2051</v>
      </c>
      <c r="G2196" s="0" t="s">
        <v>2074</v>
      </c>
      <c r="H2196" s="0" t="s">
        <v>2052</v>
      </c>
      <c r="I2196" s="0" t="s">
        <v>2322</v>
      </c>
      <c r="J2196" s="0" t="s">
        <v>2335</v>
      </c>
      <c r="K2196" s="272" t="n">
        <v>-178316.426325706</v>
      </c>
    </row>
    <row r="2197" customFormat="false" ht="15" hidden="false" customHeight="false" outlineLevel="0" collapsed="false">
      <c r="A2197" s="0" t="s">
        <v>2041</v>
      </c>
      <c r="B2197" s="0" t="s">
        <v>2042</v>
      </c>
      <c r="C2197" s="0" t="s">
        <v>2156</v>
      </c>
      <c r="D2197" s="0" t="s">
        <v>2044</v>
      </c>
      <c r="E2197" s="0" t="s">
        <v>2045</v>
      </c>
      <c r="F2197" s="0" t="s">
        <v>2051</v>
      </c>
      <c r="G2197" s="0" t="s">
        <v>2075</v>
      </c>
      <c r="H2197" s="0" t="s">
        <v>2052</v>
      </c>
      <c r="I2197" s="0" t="s">
        <v>2322</v>
      </c>
      <c r="J2197" s="0" t="s">
        <v>2335</v>
      </c>
      <c r="K2197" s="272" t="n">
        <v>-652779.93</v>
      </c>
    </row>
    <row r="2198" customFormat="false" ht="15" hidden="false" customHeight="false" outlineLevel="0" collapsed="false">
      <c r="A2198" s="0" t="s">
        <v>2041</v>
      </c>
      <c r="B2198" s="0" t="s">
        <v>2042</v>
      </c>
      <c r="C2198" s="0" t="s">
        <v>2156</v>
      </c>
      <c r="D2198" s="0" t="s">
        <v>2044</v>
      </c>
      <c r="E2198" s="0" t="s">
        <v>2045</v>
      </c>
      <c r="F2198" s="0" t="s">
        <v>2051</v>
      </c>
      <c r="G2198" s="0" t="s">
        <v>2076</v>
      </c>
      <c r="H2198" s="0" t="s">
        <v>2052</v>
      </c>
      <c r="I2198" s="0" t="s">
        <v>2322</v>
      </c>
      <c r="J2198" s="0" t="s">
        <v>2335</v>
      </c>
      <c r="K2198" s="272" t="n">
        <v>-1991420.25</v>
      </c>
    </row>
    <row r="2199" customFormat="false" ht="15" hidden="false" customHeight="false" outlineLevel="0" collapsed="false">
      <c r="A2199" s="0" t="s">
        <v>2041</v>
      </c>
      <c r="B2199" s="0" t="s">
        <v>2042</v>
      </c>
      <c r="C2199" s="0" t="s">
        <v>2156</v>
      </c>
      <c r="D2199" s="0" t="s">
        <v>2044</v>
      </c>
      <c r="E2199" s="0" t="s">
        <v>2045</v>
      </c>
      <c r="F2199" s="0" t="s">
        <v>2051</v>
      </c>
      <c r="G2199" s="0" t="s">
        <v>2077</v>
      </c>
      <c r="H2199" s="0" t="s">
        <v>2052</v>
      </c>
      <c r="I2199" s="0" t="s">
        <v>2322</v>
      </c>
      <c r="J2199" s="0" t="s">
        <v>2335</v>
      </c>
      <c r="K2199" s="272" t="n">
        <v>-29111.5</v>
      </c>
    </row>
    <row r="2200" customFormat="false" ht="15" hidden="false" customHeight="false" outlineLevel="0" collapsed="false">
      <c r="A2200" s="0" t="s">
        <v>2041</v>
      </c>
      <c r="B2200" s="0" t="s">
        <v>2042</v>
      </c>
      <c r="C2200" s="0" t="s">
        <v>2156</v>
      </c>
      <c r="D2200" s="0" t="s">
        <v>2044</v>
      </c>
      <c r="E2200" s="0" t="s">
        <v>2045</v>
      </c>
      <c r="F2200" s="0" t="s">
        <v>2051</v>
      </c>
      <c r="G2200" s="0" t="s">
        <v>2078</v>
      </c>
      <c r="H2200" s="0" t="s">
        <v>2052</v>
      </c>
      <c r="I2200" s="0" t="s">
        <v>2322</v>
      </c>
      <c r="J2200" s="0" t="s">
        <v>2335</v>
      </c>
      <c r="K2200" s="272" t="n">
        <v>-63906.05</v>
      </c>
    </row>
    <row r="2201" customFormat="false" ht="15" hidden="false" customHeight="false" outlineLevel="0" collapsed="false">
      <c r="A2201" s="0" t="s">
        <v>2041</v>
      </c>
      <c r="B2201" s="0" t="s">
        <v>2042</v>
      </c>
      <c r="C2201" s="0" t="s">
        <v>2156</v>
      </c>
      <c r="D2201" s="0" t="s">
        <v>2044</v>
      </c>
      <c r="E2201" s="0" t="s">
        <v>2045</v>
      </c>
      <c r="F2201" s="0" t="s">
        <v>2051</v>
      </c>
      <c r="G2201" s="0" t="s">
        <v>2080</v>
      </c>
      <c r="H2201" s="0" t="s">
        <v>2052</v>
      </c>
      <c r="I2201" s="0" t="s">
        <v>2322</v>
      </c>
      <c r="J2201" s="0" t="s">
        <v>2335</v>
      </c>
      <c r="K2201" s="272" t="n">
        <v>-19534.55</v>
      </c>
    </row>
    <row r="2202" customFormat="false" ht="15" hidden="false" customHeight="false" outlineLevel="0" collapsed="false">
      <c r="A2202" s="0" t="s">
        <v>2041</v>
      </c>
      <c r="B2202" s="0" t="s">
        <v>2042</v>
      </c>
      <c r="C2202" s="0" t="s">
        <v>2156</v>
      </c>
      <c r="D2202" s="0" t="s">
        <v>2044</v>
      </c>
      <c r="E2202" s="0" t="s">
        <v>2045</v>
      </c>
      <c r="F2202" s="0" t="s">
        <v>2051</v>
      </c>
      <c r="G2202" s="0" t="s">
        <v>2081</v>
      </c>
      <c r="H2202" s="0" t="s">
        <v>2052</v>
      </c>
      <c r="I2202" s="0" t="s">
        <v>2322</v>
      </c>
      <c r="J2202" s="0" t="s">
        <v>2335</v>
      </c>
      <c r="K2202" s="272" t="n">
        <v>-78797.1</v>
      </c>
    </row>
    <row r="2203" customFormat="false" ht="15" hidden="false" customHeight="false" outlineLevel="0" collapsed="false">
      <c r="A2203" s="0" t="s">
        <v>2041</v>
      </c>
      <c r="B2203" s="0" t="s">
        <v>2042</v>
      </c>
      <c r="C2203" s="0" t="s">
        <v>2156</v>
      </c>
      <c r="D2203" s="0" t="s">
        <v>2044</v>
      </c>
      <c r="E2203" s="0" t="s">
        <v>2045</v>
      </c>
      <c r="F2203" s="0" t="s">
        <v>2051</v>
      </c>
      <c r="G2203" s="0" t="s">
        <v>2083</v>
      </c>
      <c r="H2203" s="0" t="s">
        <v>2052</v>
      </c>
      <c r="I2203" s="0" t="s">
        <v>2322</v>
      </c>
      <c r="J2203" s="0" t="s">
        <v>2335</v>
      </c>
      <c r="K2203" s="272" t="n">
        <v>-32768.32</v>
      </c>
    </row>
    <row r="2204" customFormat="false" ht="15" hidden="false" customHeight="false" outlineLevel="0" collapsed="false">
      <c r="A2204" s="0" t="s">
        <v>2041</v>
      </c>
      <c r="B2204" s="0" t="s">
        <v>2042</v>
      </c>
      <c r="C2204" s="0" t="s">
        <v>2156</v>
      </c>
      <c r="D2204" s="0" t="s">
        <v>2044</v>
      </c>
      <c r="E2204" s="0" t="s">
        <v>2045</v>
      </c>
      <c r="F2204" s="0" t="s">
        <v>2051</v>
      </c>
      <c r="G2204" s="0" t="s">
        <v>2084</v>
      </c>
      <c r="H2204" s="0" t="s">
        <v>2052</v>
      </c>
      <c r="I2204" s="0" t="s">
        <v>2322</v>
      </c>
      <c r="J2204" s="0" t="s">
        <v>2335</v>
      </c>
      <c r="K2204" s="272" t="n">
        <v>-526123.85</v>
      </c>
    </row>
    <row r="2205" customFormat="false" ht="15" hidden="false" customHeight="false" outlineLevel="0" collapsed="false">
      <c r="A2205" s="0" t="s">
        <v>2041</v>
      </c>
      <c r="B2205" s="0" t="s">
        <v>2042</v>
      </c>
      <c r="C2205" s="0" t="s">
        <v>2156</v>
      </c>
      <c r="D2205" s="0" t="s">
        <v>2044</v>
      </c>
      <c r="E2205" s="0" t="s">
        <v>2045</v>
      </c>
      <c r="F2205" s="0" t="s">
        <v>2051</v>
      </c>
      <c r="G2205" s="0" t="s">
        <v>2085</v>
      </c>
      <c r="H2205" s="0" t="s">
        <v>2052</v>
      </c>
      <c r="I2205" s="0" t="s">
        <v>2322</v>
      </c>
      <c r="J2205" s="0" t="s">
        <v>2335</v>
      </c>
      <c r="K2205" s="272" t="n">
        <v>-456111.92</v>
      </c>
    </row>
    <row r="2206" customFormat="false" ht="15" hidden="false" customHeight="false" outlineLevel="0" collapsed="false">
      <c r="A2206" s="0" t="s">
        <v>2041</v>
      </c>
      <c r="B2206" s="0" t="s">
        <v>2042</v>
      </c>
      <c r="C2206" s="0" t="s">
        <v>2156</v>
      </c>
      <c r="D2206" s="0" t="s">
        <v>2044</v>
      </c>
      <c r="E2206" s="0" t="s">
        <v>2045</v>
      </c>
      <c r="F2206" s="0" t="s">
        <v>2051</v>
      </c>
      <c r="G2206" s="0" t="s">
        <v>2086</v>
      </c>
      <c r="H2206" s="0" t="s">
        <v>2052</v>
      </c>
      <c r="I2206" s="0" t="s">
        <v>2322</v>
      </c>
      <c r="J2206" s="0" t="s">
        <v>2335</v>
      </c>
      <c r="K2206" s="272" t="n">
        <v>-143768.86</v>
      </c>
    </row>
    <row r="2207" customFormat="false" ht="15" hidden="false" customHeight="false" outlineLevel="0" collapsed="false">
      <c r="A2207" s="0" t="s">
        <v>2041</v>
      </c>
      <c r="B2207" s="0" t="s">
        <v>2042</v>
      </c>
      <c r="C2207" s="0" t="s">
        <v>2156</v>
      </c>
      <c r="D2207" s="0" t="s">
        <v>2044</v>
      </c>
      <c r="E2207" s="0" t="s">
        <v>2045</v>
      </c>
      <c r="F2207" s="0" t="s">
        <v>2051</v>
      </c>
      <c r="G2207" s="0" t="s">
        <v>2087</v>
      </c>
      <c r="H2207" s="0" t="s">
        <v>2052</v>
      </c>
      <c r="I2207" s="0" t="s">
        <v>2322</v>
      </c>
      <c r="J2207" s="0" t="s">
        <v>2335</v>
      </c>
      <c r="K2207" s="272" t="n">
        <v>-2444169</v>
      </c>
    </row>
    <row r="2208" customFormat="false" ht="15" hidden="false" customHeight="false" outlineLevel="0" collapsed="false">
      <c r="A2208" s="0" t="s">
        <v>2041</v>
      </c>
      <c r="B2208" s="0" t="s">
        <v>2042</v>
      </c>
      <c r="C2208" s="0" t="s">
        <v>2156</v>
      </c>
      <c r="D2208" s="0" t="s">
        <v>2044</v>
      </c>
      <c r="E2208" s="0" t="s">
        <v>2045</v>
      </c>
      <c r="F2208" s="0" t="s">
        <v>2051</v>
      </c>
      <c r="G2208" s="0" t="s">
        <v>2088</v>
      </c>
      <c r="H2208" s="0" t="s">
        <v>2052</v>
      </c>
      <c r="I2208" s="0" t="s">
        <v>2322</v>
      </c>
      <c r="J2208" s="0" t="s">
        <v>2335</v>
      </c>
      <c r="K2208" s="272" t="n">
        <v>-170823.1875</v>
      </c>
    </row>
    <row r="2209" customFormat="false" ht="15" hidden="false" customHeight="false" outlineLevel="0" collapsed="false">
      <c r="A2209" s="0" t="s">
        <v>2041</v>
      </c>
      <c r="B2209" s="0" t="s">
        <v>2042</v>
      </c>
      <c r="C2209" s="0" t="s">
        <v>2156</v>
      </c>
      <c r="D2209" s="0" t="s">
        <v>2044</v>
      </c>
      <c r="E2209" s="0" t="s">
        <v>2045</v>
      </c>
      <c r="F2209" s="0" t="s">
        <v>2051</v>
      </c>
      <c r="G2209" s="0" t="s">
        <v>2089</v>
      </c>
      <c r="H2209" s="0" t="s">
        <v>2052</v>
      </c>
      <c r="I2209" s="0" t="s">
        <v>2322</v>
      </c>
      <c r="J2209" s="0" t="s">
        <v>2335</v>
      </c>
      <c r="K2209" s="272" t="n">
        <v>-2913.18</v>
      </c>
    </row>
    <row r="2210" customFormat="false" ht="15" hidden="false" customHeight="false" outlineLevel="0" collapsed="false">
      <c r="A2210" s="0" t="s">
        <v>2041</v>
      </c>
      <c r="B2210" s="0" t="s">
        <v>2042</v>
      </c>
      <c r="C2210" s="0" t="s">
        <v>2156</v>
      </c>
      <c r="D2210" s="0" t="s">
        <v>2044</v>
      </c>
      <c r="E2210" s="0" t="s">
        <v>2045</v>
      </c>
      <c r="F2210" s="0" t="s">
        <v>2051</v>
      </c>
      <c r="G2210" s="0" t="s">
        <v>2090</v>
      </c>
      <c r="H2210" s="0" t="s">
        <v>2052</v>
      </c>
      <c r="I2210" s="0" t="s">
        <v>2322</v>
      </c>
      <c r="J2210" s="0" t="s">
        <v>2335</v>
      </c>
      <c r="K2210" s="272" t="n">
        <v>-1639993.68</v>
      </c>
    </row>
    <row r="2211" customFormat="false" ht="15" hidden="false" customHeight="false" outlineLevel="0" collapsed="false">
      <c r="A2211" s="0" t="s">
        <v>2041</v>
      </c>
      <c r="B2211" s="0" t="s">
        <v>2042</v>
      </c>
      <c r="C2211" s="0" t="s">
        <v>2156</v>
      </c>
      <c r="D2211" s="0" t="s">
        <v>2044</v>
      </c>
      <c r="E2211" s="0" t="s">
        <v>2045</v>
      </c>
      <c r="F2211" s="0" t="s">
        <v>2051</v>
      </c>
      <c r="G2211" s="0" t="s">
        <v>2091</v>
      </c>
      <c r="H2211" s="0" t="s">
        <v>2052</v>
      </c>
      <c r="I2211" s="0" t="s">
        <v>2322</v>
      </c>
      <c r="J2211" s="0" t="s">
        <v>2335</v>
      </c>
      <c r="K2211" s="272" t="n">
        <v>-2124394.7</v>
      </c>
    </row>
    <row r="2212" customFormat="false" ht="15" hidden="false" customHeight="false" outlineLevel="0" collapsed="false">
      <c r="A2212" s="0" t="s">
        <v>2041</v>
      </c>
      <c r="B2212" s="0" t="s">
        <v>2042</v>
      </c>
      <c r="C2212" s="0" t="s">
        <v>2156</v>
      </c>
      <c r="D2212" s="0" t="s">
        <v>2044</v>
      </c>
      <c r="E2212" s="0" t="s">
        <v>2045</v>
      </c>
      <c r="F2212" s="0" t="s">
        <v>2051</v>
      </c>
      <c r="G2212" s="0" t="s">
        <v>2092</v>
      </c>
      <c r="H2212" s="0" t="s">
        <v>2052</v>
      </c>
      <c r="I2212" s="0" t="s">
        <v>2103</v>
      </c>
      <c r="J2212" s="0" t="s">
        <v>2335</v>
      </c>
      <c r="K2212" s="272" t="n">
        <v>0</v>
      </c>
    </row>
    <row r="2213" customFormat="false" ht="15" hidden="false" customHeight="false" outlineLevel="0" collapsed="false">
      <c r="A2213" s="0" t="s">
        <v>2041</v>
      </c>
      <c r="B2213" s="0" t="s">
        <v>2042</v>
      </c>
      <c r="C2213" s="0" t="s">
        <v>2156</v>
      </c>
      <c r="D2213" s="0" t="s">
        <v>2044</v>
      </c>
      <c r="E2213" s="0" t="s">
        <v>2045</v>
      </c>
      <c r="F2213" s="0" t="s">
        <v>2051</v>
      </c>
      <c r="G2213" s="0" t="s">
        <v>2093</v>
      </c>
      <c r="H2213" s="0" t="s">
        <v>2052</v>
      </c>
      <c r="I2213" s="0" t="s">
        <v>2322</v>
      </c>
      <c r="J2213" s="0" t="s">
        <v>2335</v>
      </c>
      <c r="K2213" s="272" t="n">
        <v>-158859.5</v>
      </c>
    </row>
    <row r="2214" customFormat="false" ht="15" hidden="false" customHeight="false" outlineLevel="0" collapsed="false">
      <c r="A2214" s="0" t="s">
        <v>2041</v>
      </c>
      <c r="B2214" s="0" t="s">
        <v>2042</v>
      </c>
      <c r="C2214" s="0" t="s">
        <v>2156</v>
      </c>
      <c r="D2214" s="0" t="s">
        <v>2044</v>
      </c>
      <c r="E2214" s="0" t="s">
        <v>2045</v>
      </c>
      <c r="F2214" s="0" t="s">
        <v>2051</v>
      </c>
      <c r="G2214" s="0" t="s">
        <v>2094</v>
      </c>
      <c r="H2214" s="0" t="s">
        <v>2052</v>
      </c>
      <c r="I2214" s="0" t="s">
        <v>2322</v>
      </c>
      <c r="J2214" s="0" t="s">
        <v>2335</v>
      </c>
      <c r="K2214" s="272" t="n">
        <v>-1459916.56945133</v>
      </c>
    </row>
    <row r="2215" customFormat="false" ht="15" hidden="false" customHeight="false" outlineLevel="0" collapsed="false">
      <c r="A2215" s="0" t="s">
        <v>2041</v>
      </c>
      <c r="B2215" s="0" t="s">
        <v>2042</v>
      </c>
      <c r="C2215" s="0" t="s">
        <v>2156</v>
      </c>
      <c r="D2215" s="0" t="s">
        <v>2044</v>
      </c>
      <c r="E2215" s="0" t="s">
        <v>2045</v>
      </c>
      <c r="F2215" s="0" t="s">
        <v>2051</v>
      </c>
      <c r="G2215" s="0" t="s">
        <v>2095</v>
      </c>
      <c r="H2215" s="0" t="s">
        <v>2052</v>
      </c>
      <c r="I2215" s="0" t="s">
        <v>2322</v>
      </c>
      <c r="J2215" s="0" t="s">
        <v>2335</v>
      </c>
      <c r="K2215" s="272" t="n">
        <v>-809380.35</v>
      </c>
    </row>
    <row r="2216" customFormat="false" ht="15" hidden="false" customHeight="false" outlineLevel="0" collapsed="false">
      <c r="A2216" s="0" t="s">
        <v>2041</v>
      </c>
      <c r="B2216" s="0" t="s">
        <v>2042</v>
      </c>
      <c r="C2216" s="0" t="s">
        <v>2156</v>
      </c>
      <c r="D2216" s="0" t="s">
        <v>2044</v>
      </c>
      <c r="E2216" s="0" t="s">
        <v>2045</v>
      </c>
      <c r="F2216" s="0" t="s">
        <v>2051</v>
      </c>
      <c r="G2216" s="0" t="s">
        <v>2096</v>
      </c>
      <c r="H2216" s="0" t="s">
        <v>2052</v>
      </c>
      <c r="I2216" s="0" t="s">
        <v>2097</v>
      </c>
      <c r="J2216" s="0" t="s">
        <v>2335</v>
      </c>
      <c r="K2216" s="272" t="n">
        <v>-2366144.886875</v>
      </c>
    </row>
    <row r="2217" customFormat="false" ht="15" hidden="false" customHeight="false" outlineLevel="0" collapsed="false">
      <c r="A2217" s="0" t="s">
        <v>2041</v>
      </c>
      <c r="B2217" s="0" t="s">
        <v>2042</v>
      </c>
      <c r="C2217" s="0" t="s">
        <v>2156</v>
      </c>
      <c r="D2217" s="0" t="s">
        <v>2044</v>
      </c>
      <c r="E2217" s="0" t="s">
        <v>2045</v>
      </c>
      <c r="F2217" s="0" t="s">
        <v>2051</v>
      </c>
      <c r="G2217" s="0" t="s">
        <v>2098</v>
      </c>
      <c r="H2217" s="0" t="s">
        <v>2052</v>
      </c>
      <c r="I2217" s="0" t="s">
        <v>2322</v>
      </c>
      <c r="J2217" s="0" t="s">
        <v>2335</v>
      </c>
      <c r="K2217" s="272" t="n">
        <v>-8656.26</v>
      </c>
    </row>
    <row r="2218" customFormat="false" ht="15" hidden="false" customHeight="false" outlineLevel="0" collapsed="false">
      <c r="A2218" s="0" t="s">
        <v>2041</v>
      </c>
      <c r="B2218" s="0" t="s">
        <v>2042</v>
      </c>
      <c r="C2218" s="0" t="s">
        <v>2156</v>
      </c>
      <c r="D2218" s="0" t="s">
        <v>2044</v>
      </c>
      <c r="E2218" s="0" t="s">
        <v>2045</v>
      </c>
      <c r="F2218" s="0" t="s">
        <v>2046</v>
      </c>
      <c r="G2218" s="0" t="s">
        <v>2047</v>
      </c>
      <c r="H2218" s="0" t="s">
        <v>2048</v>
      </c>
      <c r="I2218" s="0" t="s">
        <v>2322</v>
      </c>
      <c r="J2218" s="0" t="s">
        <v>2335</v>
      </c>
      <c r="K2218" s="272" t="n">
        <v>-170091.12</v>
      </c>
    </row>
    <row r="2219" customFormat="false" ht="15" hidden="false" customHeight="false" outlineLevel="0" collapsed="false">
      <c r="A2219" s="0" t="s">
        <v>2041</v>
      </c>
      <c r="B2219" s="0" t="s">
        <v>2042</v>
      </c>
      <c r="C2219" s="0" t="s">
        <v>2156</v>
      </c>
      <c r="D2219" s="0" t="s">
        <v>2044</v>
      </c>
      <c r="E2219" s="0" t="s">
        <v>2045</v>
      </c>
      <c r="F2219" s="0" t="s">
        <v>2046</v>
      </c>
      <c r="G2219" s="0" t="s">
        <v>2053</v>
      </c>
      <c r="H2219" s="0" t="s">
        <v>2048</v>
      </c>
      <c r="I2219" s="0" t="s">
        <v>2322</v>
      </c>
      <c r="J2219" s="0" t="s">
        <v>2335</v>
      </c>
      <c r="K2219" s="272" t="n">
        <v>-1156127.755</v>
      </c>
    </row>
    <row r="2220" customFormat="false" ht="15" hidden="false" customHeight="false" outlineLevel="0" collapsed="false">
      <c r="A2220" s="0" t="s">
        <v>2041</v>
      </c>
      <c r="B2220" s="0" t="s">
        <v>2042</v>
      </c>
      <c r="C2220" s="0" t="s">
        <v>2156</v>
      </c>
      <c r="D2220" s="0" t="s">
        <v>2044</v>
      </c>
      <c r="E2220" s="0" t="s">
        <v>2045</v>
      </c>
      <c r="F2220" s="0" t="s">
        <v>2046</v>
      </c>
      <c r="G2220" s="0" t="s">
        <v>2054</v>
      </c>
      <c r="H2220" s="0" t="s">
        <v>2048</v>
      </c>
      <c r="I2220" s="0" t="s">
        <v>2322</v>
      </c>
      <c r="J2220" s="0" t="s">
        <v>2335</v>
      </c>
      <c r="K2220" s="272" t="n">
        <v>-1058957.90975</v>
      </c>
    </row>
    <row r="2221" customFormat="false" ht="15" hidden="false" customHeight="false" outlineLevel="0" collapsed="false">
      <c r="A2221" s="0" t="s">
        <v>2041</v>
      </c>
      <c r="B2221" s="0" t="s">
        <v>2042</v>
      </c>
      <c r="C2221" s="0" t="s">
        <v>2156</v>
      </c>
      <c r="D2221" s="0" t="s">
        <v>2044</v>
      </c>
      <c r="E2221" s="0" t="s">
        <v>2045</v>
      </c>
      <c r="F2221" s="0" t="s">
        <v>2046</v>
      </c>
      <c r="G2221" s="0" t="s">
        <v>2055</v>
      </c>
      <c r="H2221" s="0" t="s">
        <v>2048</v>
      </c>
      <c r="I2221" s="0" t="s">
        <v>2322</v>
      </c>
      <c r="J2221" s="0" t="s">
        <v>2335</v>
      </c>
      <c r="K2221" s="272" t="n">
        <v>-99578.75</v>
      </c>
    </row>
    <row r="2222" customFormat="false" ht="15" hidden="false" customHeight="false" outlineLevel="0" collapsed="false">
      <c r="A2222" s="0" t="s">
        <v>2041</v>
      </c>
      <c r="B2222" s="0" t="s">
        <v>2042</v>
      </c>
      <c r="C2222" s="0" t="s">
        <v>2156</v>
      </c>
      <c r="D2222" s="0" t="s">
        <v>2044</v>
      </c>
      <c r="E2222" s="0" t="s">
        <v>2045</v>
      </c>
      <c r="F2222" s="0" t="s">
        <v>2046</v>
      </c>
      <c r="G2222" s="0" t="s">
        <v>2056</v>
      </c>
      <c r="H2222" s="0" t="s">
        <v>2048</v>
      </c>
      <c r="I2222" s="0" t="s">
        <v>2322</v>
      </c>
      <c r="J2222" s="0" t="s">
        <v>2335</v>
      </c>
      <c r="K2222" s="272" t="n">
        <v>-26928.837</v>
      </c>
    </row>
    <row r="2223" customFormat="false" ht="15" hidden="false" customHeight="false" outlineLevel="0" collapsed="false">
      <c r="A2223" s="0" t="s">
        <v>2041</v>
      </c>
      <c r="B2223" s="0" t="s">
        <v>2042</v>
      </c>
      <c r="C2223" s="0" t="s">
        <v>2156</v>
      </c>
      <c r="D2223" s="0" t="s">
        <v>2044</v>
      </c>
      <c r="E2223" s="0" t="s">
        <v>2045</v>
      </c>
      <c r="F2223" s="0" t="s">
        <v>2046</v>
      </c>
      <c r="G2223" s="0" t="s">
        <v>2057</v>
      </c>
      <c r="H2223" s="0" t="s">
        <v>2048</v>
      </c>
      <c r="I2223" s="0" t="s">
        <v>2322</v>
      </c>
      <c r="J2223" s="0" t="s">
        <v>2335</v>
      </c>
      <c r="K2223" s="272" t="n">
        <v>-216020.5</v>
      </c>
    </row>
    <row r="2224" customFormat="false" ht="15" hidden="false" customHeight="false" outlineLevel="0" collapsed="false">
      <c r="A2224" s="0" t="s">
        <v>2041</v>
      </c>
      <c r="B2224" s="0" t="s">
        <v>2042</v>
      </c>
      <c r="C2224" s="0" t="s">
        <v>2156</v>
      </c>
      <c r="D2224" s="0" t="s">
        <v>2044</v>
      </c>
      <c r="E2224" s="0" t="s">
        <v>2045</v>
      </c>
      <c r="F2224" s="0" t="s">
        <v>2046</v>
      </c>
      <c r="G2224" s="0" t="s">
        <v>2058</v>
      </c>
      <c r="H2224" s="0" t="s">
        <v>2048</v>
      </c>
      <c r="I2224" s="0" t="s">
        <v>2322</v>
      </c>
      <c r="J2224" s="0" t="s">
        <v>2335</v>
      </c>
      <c r="K2224" s="272" t="n">
        <v>-213250.4</v>
      </c>
    </row>
    <row r="2225" customFormat="false" ht="15" hidden="false" customHeight="false" outlineLevel="0" collapsed="false">
      <c r="A2225" s="0" t="s">
        <v>2041</v>
      </c>
      <c r="B2225" s="0" t="s">
        <v>2042</v>
      </c>
      <c r="C2225" s="0" t="s">
        <v>2156</v>
      </c>
      <c r="D2225" s="0" t="s">
        <v>2044</v>
      </c>
      <c r="E2225" s="0" t="s">
        <v>2045</v>
      </c>
      <c r="F2225" s="0" t="s">
        <v>2046</v>
      </c>
      <c r="G2225" s="0" t="s">
        <v>2059</v>
      </c>
      <c r="H2225" s="0" t="s">
        <v>2048</v>
      </c>
      <c r="I2225" s="0" t="s">
        <v>2322</v>
      </c>
      <c r="J2225" s="0" t="s">
        <v>2335</v>
      </c>
      <c r="K2225" s="272" t="n">
        <v>-134998.5</v>
      </c>
    </row>
    <row r="2226" customFormat="false" ht="15" hidden="false" customHeight="false" outlineLevel="0" collapsed="false">
      <c r="A2226" s="0" t="s">
        <v>2041</v>
      </c>
      <c r="B2226" s="0" t="s">
        <v>2042</v>
      </c>
      <c r="C2226" s="0" t="s">
        <v>2156</v>
      </c>
      <c r="D2226" s="0" t="s">
        <v>2044</v>
      </c>
      <c r="E2226" s="0" t="s">
        <v>2045</v>
      </c>
      <c r="F2226" s="0" t="s">
        <v>2046</v>
      </c>
      <c r="G2226" s="0" t="s">
        <v>2060</v>
      </c>
      <c r="H2226" s="0" t="s">
        <v>2048</v>
      </c>
      <c r="I2226" s="0" t="s">
        <v>2322</v>
      </c>
      <c r="J2226" s="0" t="s">
        <v>2335</v>
      </c>
      <c r="K2226" s="272" t="n">
        <v>-1607931.683325</v>
      </c>
    </row>
    <row r="2227" customFormat="false" ht="15" hidden="false" customHeight="false" outlineLevel="0" collapsed="false">
      <c r="A2227" s="0" t="s">
        <v>2041</v>
      </c>
      <c r="B2227" s="0" t="s">
        <v>2042</v>
      </c>
      <c r="C2227" s="0" t="s">
        <v>2156</v>
      </c>
      <c r="D2227" s="0" t="s">
        <v>2044</v>
      </c>
      <c r="E2227" s="0" t="s">
        <v>2045</v>
      </c>
      <c r="F2227" s="0" t="s">
        <v>2046</v>
      </c>
      <c r="G2227" s="0" t="s">
        <v>2061</v>
      </c>
      <c r="H2227" s="0" t="s">
        <v>2048</v>
      </c>
      <c r="I2227" s="0" t="s">
        <v>2322</v>
      </c>
      <c r="J2227" s="0" t="s">
        <v>2335</v>
      </c>
      <c r="K2227" s="272" t="n">
        <v>-1076954.34</v>
      </c>
    </row>
    <row r="2228" customFormat="false" ht="15" hidden="false" customHeight="false" outlineLevel="0" collapsed="false">
      <c r="A2228" s="0" t="s">
        <v>2041</v>
      </c>
      <c r="B2228" s="0" t="s">
        <v>2042</v>
      </c>
      <c r="C2228" s="0" t="s">
        <v>2156</v>
      </c>
      <c r="D2228" s="0" t="s">
        <v>2044</v>
      </c>
      <c r="E2228" s="0" t="s">
        <v>2045</v>
      </c>
      <c r="F2228" s="0" t="s">
        <v>2046</v>
      </c>
      <c r="G2228" s="0" t="s">
        <v>2062</v>
      </c>
      <c r="H2228" s="0" t="s">
        <v>2048</v>
      </c>
      <c r="I2228" s="0" t="s">
        <v>2322</v>
      </c>
      <c r="J2228" s="0" t="s">
        <v>2335</v>
      </c>
      <c r="K2228" s="272" t="n">
        <v>-279606.708804435</v>
      </c>
    </row>
    <row r="2229" customFormat="false" ht="15" hidden="false" customHeight="false" outlineLevel="0" collapsed="false">
      <c r="A2229" s="0" t="s">
        <v>2041</v>
      </c>
      <c r="B2229" s="0" t="s">
        <v>2042</v>
      </c>
      <c r="C2229" s="0" t="s">
        <v>2156</v>
      </c>
      <c r="D2229" s="0" t="s">
        <v>2044</v>
      </c>
      <c r="E2229" s="0" t="s">
        <v>2045</v>
      </c>
      <c r="F2229" s="0" t="s">
        <v>2046</v>
      </c>
      <c r="G2229" s="0" t="s">
        <v>2063</v>
      </c>
      <c r="H2229" s="0" t="s">
        <v>2048</v>
      </c>
      <c r="I2229" s="0" t="s">
        <v>2322</v>
      </c>
      <c r="J2229" s="0" t="s">
        <v>2335</v>
      </c>
      <c r="K2229" s="272" t="n">
        <v>-347431.56</v>
      </c>
    </row>
    <row r="2230" customFormat="false" ht="15" hidden="false" customHeight="false" outlineLevel="0" collapsed="false">
      <c r="A2230" s="0" t="s">
        <v>2041</v>
      </c>
      <c r="B2230" s="0" t="s">
        <v>2042</v>
      </c>
      <c r="C2230" s="0" t="s">
        <v>2156</v>
      </c>
      <c r="D2230" s="0" t="s">
        <v>2044</v>
      </c>
      <c r="E2230" s="0" t="s">
        <v>2045</v>
      </c>
      <c r="F2230" s="0" t="s">
        <v>2046</v>
      </c>
      <c r="G2230" s="0" t="s">
        <v>2064</v>
      </c>
      <c r="H2230" s="0" t="s">
        <v>2048</v>
      </c>
      <c r="I2230" s="0" t="s">
        <v>2322</v>
      </c>
      <c r="J2230" s="0" t="s">
        <v>2335</v>
      </c>
      <c r="K2230" s="272" t="n">
        <v>-1970384.8</v>
      </c>
    </row>
    <row r="2231" customFormat="false" ht="15" hidden="false" customHeight="false" outlineLevel="0" collapsed="false">
      <c r="A2231" s="0" t="s">
        <v>2041</v>
      </c>
      <c r="B2231" s="0" t="s">
        <v>2042</v>
      </c>
      <c r="C2231" s="0" t="s">
        <v>2156</v>
      </c>
      <c r="D2231" s="0" t="s">
        <v>2044</v>
      </c>
      <c r="E2231" s="0" t="s">
        <v>2045</v>
      </c>
      <c r="F2231" s="0" t="s">
        <v>2046</v>
      </c>
      <c r="G2231" s="0" t="s">
        <v>2065</v>
      </c>
      <c r="H2231" s="0" t="s">
        <v>2048</v>
      </c>
      <c r="I2231" s="0" t="s">
        <v>2322</v>
      </c>
      <c r="J2231" s="0" t="s">
        <v>2335</v>
      </c>
      <c r="K2231" s="272" t="n">
        <v>-297722.007722008</v>
      </c>
    </row>
    <row r="2232" customFormat="false" ht="15" hidden="false" customHeight="false" outlineLevel="0" collapsed="false">
      <c r="A2232" s="0" t="s">
        <v>2041</v>
      </c>
      <c r="B2232" s="0" t="s">
        <v>2042</v>
      </c>
      <c r="C2232" s="0" t="s">
        <v>2156</v>
      </c>
      <c r="D2232" s="0" t="s">
        <v>2044</v>
      </c>
      <c r="E2232" s="0" t="s">
        <v>2045</v>
      </c>
      <c r="F2232" s="0" t="s">
        <v>2046</v>
      </c>
      <c r="G2232" s="0" t="s">
        <v>2066</v>
      </c>
      <c r="H2232" s="0" t="s">
        <v>2048</v>
      </c>
      <c r="I2232" s="0" t="s">
        <v>2322</v>
      </c>
      <c r="J2232" s="0" t="s">
        <v>2335</v>
      </c>
      <c r="K2232" s="272" t="n">
        <v>-867863.6</v>
      </c>
    </row>
    <row r="2233" customFormat="false" ht="15" hidden="false" customHeight="false" outlineLevel="0" collapsed="false">
      <c r="A2233" s="0" t="s">
        <v>2041</v>
      </c>
      <c r="B2233" s="0" t="s">
        <v>2042</v>
      </c>
      <c r="C2233" s="0" t="s">
        <v>2156</v>
      </c>
      <c r="D2233" s="0" t="s">
        <v>2044</v>
      </c>
      <c r="E2233" s="0" t="s">
        <v>2045</v>
      </c>
      <c r="F2233" s="0" t="s">
        <v>2046</v>
      </c>
      <c r="G2233" s="0" t="s">
        <v>2067</v>
      </c>
      <c r="H2233" s="0" t="s">
        <v>2048</v>
      </c>
      <c r="I2233" s="0" t="s">
        <v>2322</v>
      </c>
      <c r="J2233" s="0" t="s">
        <v>2335</v>
      </c>
      <c r="K2233" s="272" t="n">
        <v>-238146</v>
      </c>
    </row>
    <row r="2234" customFormat="false" ht="15" hidden="false" customHeight="false" outlineLevel="0" collapsed="false">
      <c r="A2234" s="0" t="s">
        <v>2041</v>
      </c>
      <c r="B2234" s="0" t="s">
        <v>2042</v>
      </c>
      <c r="C2234" s="0" t="s">
        <v>2156</v>
      </c>
      <c r="D2234" s="0" t="s">
        <v>2044</v>
      </c>
      <c r="E2234" s="0" t="s">
        <v>2045</v>
      </c>
      <c r="F2234" s="0" t="s">
        <v>2046</v>
      </c>
      <c r="G2234" s="0" t="s">
        <v>2068</v>
      </c>
      <c r="H2234" s="0" t="s">
        <v>2048</v>
      </c>
      <c r="I2234" s="0" t="s">
        <v>2322</v>
      </c>
      <c r="J2234" s="0" t="s">
        <v>2335</v>
      </c>
      <c r="K2234" s="272" t="n">
        <v>-3237442.24</v>
      </c>
    </row>
    <row r="2235" customFormat="false" ht="15" hidden="false" customHeight="false" outlineLevel="0" collapsed="false">
      <c r="A2235" s="0" t="s">
        <v>2041</v>
      </c>
      <c r="B2235" s="0" t="s">
        <v>2042</v>
      </c>
      <c r="C2235" s="0" t="s">
        <v>2156</v>
      </c>
      <c r="D2235" s="0" t="s">
        <v>2044</v>
      </c>
      <c r="E2235" s="0" t="s">
        <v>2045</v>
      </c>
      <c r="F2235" s="0" t="s">
        <v>2046</v>
      </c>
      <c r="G2235" s="0" t="s">
        <v>2069</v>
      </c>
      <c r="H2235" s="0" t="s">
        <v>2048</v>
      </c>
      <c r="I2235" s="0" t="s">
        <v>2322</v>
      </c>
      <c r="J2235" s="0" t="s">
        <v>2335</v>
      </c>
      <c r="K2235" s="272" t="n">
        <v>-421305</v>
      </c>
    </row>
    <row r="2236" customFormat="false" ht="15" hidden="false" customHeight="false" outlineLevel="0" collapsed="false">
      <c r="A2236" s="0" t="s">
        <v>2041</v>
      </c>
      <c r="B2236" s="0" t="s">
        <v>2042</v>
      </c>
      <c r="C2236" s="0" t="s">
        <v>2156</v>
      </c>
      <c r="D2236" s="0" t="s">
        <v>2044</v>
      </c>
      <c r="E2236" s="0" t="s">
        <v>2045</v>
      </c>
      <c r="F2236" s="0" t="s">
        <v>2046</v>
      </c>
      <c r="G2236" s="0" t="s">
        <v>2070</v>
      </c>
      <c r="H2236" s="0" t="s">
        <v>2048</v>
      </c>
      <c r="I2236" s="0" t="s">
        <v>2322</v>
      </c>
      <c r="J2236" s="0" t="s">
        <v>2335</v>
      </c>
      <c r="K2236" s="272" t="n">
        <v>-241065.5875</v>
      </c>
    </row>
    <row r="2237" customFormat="false" ht="15" hidden="false" customHeight="false" outlineLevel="0" collapsed="false">
      <c r="A2237" s="0" t="s">
        <v>2041</v>
      </c>
      <c r="B2237" s="0" t="s">
        <v>2042</v>
      </c>
      <c r="C2237" s="0" t="s">
        <v>2156</v>
      </c>
      <c r="D2237" s="0" t="s">
        <v>2044</v>
      </c>
      <c r="E2237" s="0" t="s">
        <v>2045</v>
      </c>
      <c r="F2237" s="0" t="s">
        <v>2046</v>
      </c>
      <c r="G2237" s="0" t="s">
        <v>2071</v>
      </c>
      <c r="H2237" s="0" t="s">
        <v>2048</v>
      </c>
      <c r="I2237" s="0" t="s">
        <v>2322</v>
      </c>
      <c r="J2237" s="0" t="s">
        <v>2335</v>
      </c>
      <c r="K2237" s="272" t="n">
        <v>-230732.0325</v>
      </c>
    </row>
    <row r="2238" customFormat="false" ht="15" hidden="false" customHeight="false" outlineLevel="0" collapsed="false">
      <c r="A2238" s="0" t="s">
        <v>2041</v>
      </c>
      <c r="B2238" s="0" t="s">
        <v>2042</v>
      </c>
      <c r="C2238" s="0" t="s">
        <v>2156</v>
      </c>
      <c r="D2238" s="0" t="s">
        <v>2044</v>
      </c>
      <c r="E2238" s="0" t="s">
        <v>2045</v>
      </c>
      <c r="F2238" s="0" t="s">
        <v>2046</v>
      </c>
      <c r="G2238" s="0" t="s">
        <v>2072</v>
      </c>
      <c r="H2238" s="0" t="s">
        <v>2048</v>
      </c>
      <c r="I2238" s="0" t="s">
        <v>2322</v>
      </c>
      <c r="J2238" s="0" t="s">
        <v>2335</v>
      </c>
      <c r="K2238" s="272" t="n">
        <v>-338891.545</v>
      </c>
    </row>
    <row r="2239" customFormat="false" ht="15" hidden="false" customHeight="false" outlineLevel="0" collapsed="false">
      <c r="A2239" s="0" t="s">
        <v>2041</v>
      </c>
      <c r="B2239" s="0" t="s">
        <v>2042</v>
      </c>
      <c r="C2239" s="0" t="s">
        <v>2156</v>
      </c>
      <c r="D2239" s="0" t="s">
        <v>2044</v>
      </c>
      <c r="E2239" s="0" t="s">
        <v>2045</v>
      </c>
      <c r="F2239" s="0" t="s">
        <v>2046</v>
      </c>
      <c r="G2239" s="0" t="s">
        <v>2073</v>
      </c>
      <c r="H2239" s="0" t="s">
        <v>2048</v>
      </c>
      <c r="I2239" s="0" t="s">
        <v>2322</v>
      </c>
      <c r="J2239" s="0" t="s">
        <v>2335</v>
      </c>
      <c r="K2239" s="272" t="n">
        <v>-597829</v>
      </c>
    </row>
    <row r="2240" customFormat="false" ht="15" hidden="false" customHeight="false" outlineLevel="0" collapsed="false">
      <c r="A2240" s="0" t="s">
        <v>2041</v>
      </c>
      <c r="B2240" s="0" t="s">
        <v>2042</v>
      </c>
      <c r="C2240" s="0" t="s">
        <v>2156</v>
      </c>
      <c r="D2240" s="0" t="s">
        <v>2044</v>
      </c>
      <c r="E2240" s="0" t="s">
        <v>2045</v>
      </c>
      <c r="F2240" s="0" t="s">
        <v>2046</v>
      </c>
      <c r="G2240" s="0" t="s">
        <v>2074</v>
      </c>
      <c r="H2240" s="0" t="s">
        <v>2048</v>
      </c>
      <c r="I2240" s="0" t="s">
        <v>2322</v>
      </c>
      <c r="J2240" s="0" t="s">
        <v>2335</v>
      </c>
      <c r="K2240" s="272" t="n">
        <v>-178316.426325706</v>
      </c>
    </row>
    <row r="2241" customFormat="false" ht="15" hidden="false" customHeight="false" outlineLevel="0" collapsed="false">
      <c r="A2241" s="0" t="s">
        <v>2041</v>
      </c>
      <c r="B2241" s="0" t="s">
        <v>2042</v>
      </c>
      <c r="C2241" s="0" t="s">
        <v>2156</v>
      </c>
      <c r="D2241" s="0" t="s">
        <v>2044</v>
      </c>
      <c r="E2241" s="0" t="s">
        <v>2045</v>
      </c>
      <c r="F2241" s="0" t="s">
        <v>2046</v>
      </c>
      <c r="G2241" s="0" t="s">
        <v>2075</v>
      </c>
      <c r="H2241" s="0" t="s">
        <v>2048</v>
      </c>
      <c r="I2241" s="0" t="s">
        <v>2322</v>
      </c>
      <c r="J2241" s="0" t="s">
        <v>2335</v>
      </c>
      <c r="K2241" s="272" t="n">
        <v>-20189.07</v>
      </c>
    </row>
    <row r="2242" customFormat="false" ht="15" hidden="false" customHeight="false" outlineLevel="0" collapsed="false">
      <c r="A2242" s="0" t="s">
        <v>2041</v>
      </c>
      <c r="B2242" s="0" t="s">
        <v>2042</v>
      </c>
      <c r="C2242" s="0" t="s">
        <v>2156</v>
      </c>
      <c r="D2242" s="0" t="s">
        <v>2044</v>
      </c>
      <c r="E2242" s="0" t="s">
        <v>2045</v>
      </c>
      <c r="F2242" s="0" t="s">
        <v>2046</v>
      </c>
      <c r="G2242" s="0" t="s">
        <v>2076</v>
      </c>
      <c r="H2242" s="0" t="s">
        <v>2048</v>
      </c>
      <c r="I2242" s="0" t="s">
        <v>2322</v>
      </c>
      <c r="J2242" s="0" t="s">
        <v>2335</v>
      </c>
      <c r="K2242" s="272" t="n">
        <v>-1104794.75</v>
      </c>
    </row>
    <row r="2243" customFormat="false" ht="15" hidden="false" customHeight="false" outlineLevel="0" collapsed="false">
      <c r="A2243" s="0" t="s">
        <v>2041</v>
      </c>
      <c r="B2243" s="0" t="s">
        <v>2042</v>
      </c>
      <c r="C2243" s="0" t="s">
        <v>2156</v>
      </c>
      <c r="D2243" s="0" t="s">
        <v>2044</v>
      </c>
      <c r="E2243" s="0" t="s">
        <v>2045</v>
      </c>
      <c r="F2243" s="0" t="s">
        <v>2046</v>
      </c>
      <c r="G2243" s="0" t="s">
        <v>2077</v>
      </c>
      <c r="H2243" s="0" t="s">
        <v>2048</v>
      </c>
      <c r="I2243" s="0" t="s">
        <v>2322</v>
      </c>
      <c r="J2243" s="0" t="s">
        <v>2335</v>
      </c>
      <c r="K2243" s="272" t="n">
        <v>-262003.5</v>
      </c>
    </row>
    <row r="2244" customFormat="false" ht="15" hidden="false" customHeight="false" outlineLevel="0" collapsed="false">
      <c r="A2244" s="0" t="s">
        <v>2041</v>
      </c>
      <c r="B2244" s="0" t="s">
        <v>2042</v>
      </c>
      <c r="C2244" s="0" t="s">
        <v>2156</v>
      </c>
      <c r="D2244" s="0" t="s">
        <v>2044</v>
      </c>
      <c r="E2244" s="0" t="s">
        <v>2045</v>
      </c>
      <c r="F2244" s="0" t="s">
        <v>2046</v>
      </c>
      <c r="G2244" s="0" t="s">
        <v>2078</v>
      </c>
      <c r="H2244" s="0" t="s">
        <v>2048</v>
      </c>
      <c r="I2244" s="0" t="s">
        <v>2322</v>
      </c>
      <c r="J2244" s="0" t="s">
        <v>2335</v>
      </c>
      <c r="K2244" s="272" t="n">
        <v>-575154.45</v>
      </c>
    </row>
    <row r="2245" customFormat="false" ht="15" hidden="false" customHeight="false" outlineLevel="0" collapsed="false">
      <c r="A2245" s="0" t="s">
        <v>2041</v>
      </c>
      <c r="B2245" s="0" t="s">
        <v>2042</v>
      </c>
      <c r="C2245" s="0" t="s">
        <v>2156</v>
      </c>
      <c r="D2245" s="0" t="s">
        <v>2044</v>
      </c>
      <c r="E2245" s="0" t="s">
        <v>2045</v>
      </c>
      <c r="F2245" s="0" t="s">
        <v>2046</v>
      </c>
      <c r="G2245" s="0" t="s">
        <v>2079</v>
      </c>
      <c r="H2245" s="0" t="s">
        <v>2048</v>
      </c>
      <c r="I2245" s="0" t="s">
        <v>2322</v>
      </c>
      <c r="J2245" s="0" t="s">
        <v>2335</v>
      </c>
      <c r="K2245" s="272" t="n">
        <v>-214560</v>
      </c>
    </row>
    <row r="2246" customFormat="false" ht="15" hidden="false" customHeight="false" outlineLevel="0" collapsed="false">
      <c r="A2246" s="0" t="s">
        <v>2041</v>
      </c>
      <c r="B2246" s="0" t="s">
        <v>2042</v>
      </c>
      <c r="C2246" s="0" t="s">
        <v>2156</v>
      </c>
      <c r="D2246" s="0" t="s">
        <v>2044</v>
      </c>
      <c r="E2246" s="0" t="s">
        <v>2045</v>
      </c>
      <c r="F2246" s="0" t="s">
        <v>2046</v>
      </c>
      <c r="G2246" s="0" t="s">
        <v>2080</v>
      </c>
      <c r="H2246" s="0" t="s">
        <v>2048</v>
      </c>
      <c r="I2246" s="0" t="s">
        <v>2322</v>
      </c>
      <c r="J2246" s="0" t="s">
        <v>2335</v>
      </c>
      <c r="K2246" s="272" t="n">
        <v>-852406.45</v>
      </c>
    </row>
    <row r="2247" customFormat="false" ht="15" hidden="false" customHeight="false" outlineLevel="0" collapsed="false">
      <c r="A2247" s="0" t="s">
        <v>2041</v>
      </c>
      <c r="B2247" s="0" t="s">
        <v>2042</v>
      </c>
      <c r="C2247" s="0" t="s">
        <v>2156</v>
      </c>
      <c r="D2247" s="0" t="s">
        <v>2044</v>
      </c>
      <c r="E2247" s="0" t="s">
        <v>2045</v>
      </c>
      <c r="F2247" s="0" t="s">
        <v>2046</v>
      </c>
      <c r="G2247" s="0" t="s">
        <v>2081</v>
      </c>
      <c r="H2247" s="0" t="s">
        <v>2048</v>
      </c>
      <c r="I2247" s="0" t="s">
        <v>2322</v>
      </c>
      <c r="J2247" s="0" t="s">
        <v>2335</v>
      </c>
      <c r="K2247" s="272" t="n">
        <v>-1820433.9</v>
      </c>
    </row>
    <row r="2248" customFormat="false" ht="15" hidden="false" customHeight="false" outlineLevel="0" collapsed="false">
      <c r="A2248" s="0" t="s">
        <v>2041</v>
      </c>
      <c r="B2248" s="0" t="s">
        <v>2042</v>
      </c>
      <c r="C2248" s="0" t="s">
        <v>2156</v>
      </c>
      <c r="D2248" s="0" t="s">
        <v>2044</v>
      </c>
      <c r="E2248" s="0" t="s">
        <v>2045</v>
      </c>
      <c r="F2248" s="0" t="s">
        <v>2046</v>
      </c>
      <c r="G2248" s="0" t="s">
        <v>2082</v>
      </c>
      <c r="H2248" s="0" t="s">
        <v>2048</v>
      </c>
      <c r="I2248" s="0" t="s">
        <v>2322</v>
      </c>
      <c r="J2248" s="0" t="s">
        <v>2335</v>
      </c>
      <c r="K2248" s="272" t="n">
        <v>-4708394.6</v>
      </c>
    </row>
    <row r="2249" customFormat="false" ht="15" hidden="false" customHeight="false" outlineLevel="0" collapsed="false">
      <c r="A2249" s="0" t="s">
        <v>2041</v>
      </c>
      <c r="B2249" s="0" t="s">
        <v>2042</v>
      </c>
      <c r="C2249" s="0" t="s">
        <v>2156</v>
      </c>
      <c r="D2249" s="0" t="s">
        <v>2044</v>
      </c>
      <c r="E2249" s="0" t="s">
        <v>2045</v>
      </c>
      <c r="F2249" s="0" t="s">
        <v>2046</v>
      </c>
      <c r="G2249" s="0" t="s">
        <v>2083</v>
      </c>
      <c r="H2249" s="0" t="s">
        <v>2048</v>
      </c>
      <c r="I2249" s="0" t="s">
        <v>2322</v>
      </c>
      <c r="J2249" s="0" t="s">
        <v>2335</v>
      </c>
      <c r="K2249" s="272" t="n">
        <v>-1358756.48</v>
      </c>
    </row>
    <row r="2250" customFormat="false" ht="15" hidden="false" customHeight="false" outlineLevel="0" collapsed="false">
      <c r="A2250" s="0" t="s">
        <v>2041</v>
      </c>
      <c r="B2250" s="0" t="s">
        <v>2042</v>
      </c>
      <c r="C2250" s="0" t="s">
        <v>2156</v>
      </c>
      <c r="D2250" s="0" t="s">
        <v>2044</v>
      </c>
      <c r="E2250" s="0" t="s">
        <v>2045</v>
      </c>
      <c r="F2250" s="0" t="s">
        <v>2046</v>
      </c>
      <c r="G2250" s="0" t="s">
        <v>2084</v>
      </c>
      <c r="H2250" s="0" t="s">
        <v>2048</v>
      </c>
      <c r="I2250" s="0" t="s">
        <v>2322</v>
      </c>
      <c r="J2250" s="0" t="s">
        <v>2335</v>
      </c>
      <c r="K2250" s="272" t="n">
        <v>-305937.95</v>
      </c>
    </row>
    <row r="2251" customFormat="false" ht="15" hidden="false" customHeight="false" outlineLevel="0" collapsed="false">
      <c r="A2251" s="0" t="s">
        <v>2041</v>
      </c>
      <c r="B2251" s="0" t="s">
        <v>2042</v>
      </c>
      <c r="C2251" s="0" t="s">
        <v>2156</v>
      </c>
      <c r="D2251" s="0" t="s">
        <v>2044</v>
      </c>
      <c r="E2251" s="0" t="s">
        <v>2045</v>
      </c>
      <c r="F2251" s="0" t="s">
        <v>2046</v>
      </c>
      <c r="G2251" s="0" t="s">
        <v>2085</v>
      </c>
      <c r="H2251" s="0" t="s">
        <v>2048</v>
      </c>
      <c r="I2251" s="0" t="s">
        <v>2322</v>
      </c>
      <c r="J2251" s="0" t="s">
        <v>2335</v>
      </c>
      <c r="K2251" s="272" t="n">
        <v>-1475568.08</v>
      </c>
    </row>
    <row r="2252" customFormat="false" ht="15" hidden="false" customHeight="false" outlineLevel="0" collapsed="false">
      <c r="A2252" s="0" t="s">
        <v>2041</v>
      </c>
      <c r="B2252" s="0" t="s">
        <v>2042</v>
      </c>
      <c r="C2252" s="0" t="s">
        <v>2156</v>
      </c>
      <c r="D2252" s="0" t="s">
        <v>2044</v>
      </c>
      <c r="E2252" s="0" t="s">
        <v>2045</v>
      </c>
      <c r="F2252" s="0" t="s">
        <v>2046</v>
      </c>
      <c r="G2252" s="0" t="s">
        <v>2086</v>
      </c>
      <c r="H2252" s="0" t="s">
        <v>2048</v>
      </c>
      <c r="I2252" s="0" t="s">
        <v>2322</v>
      </c>
      <c r="J2252" s="0" t="s">
        <v>2335</v>
      </c>
      <c r="K2252" s="272" t="n">
        <v>-1125302.14</v>
      </c>
    </row>
    <row r="2253" customFormat="false" ht="15" hidden="false" customHeight="false" outlineLevel="0" collapsed="false">
      <c r="A2253" s="0" t="s">
        <v>2041</v>
      </c>
      <c r="B2253" s="0" t="s">
        <v>2042</v>
      </c>
      <c r="C2253" s="0" t="s">
        <v>2156</v>
      </c>
      <c r="D2253" s="0" t="s">
        <v>2044</v>
      </c>
      <c r="E2253" s="0" t="s">
        <v>2045</v>
      </c>
      <c r="F2253" s="0" t="s">
        <v>2046</v>
      </c>
      <c r="G2253" s="0" t="s">
        <v>2087</v>
      </c>
      <c r="H2253" s="0" t="s">
        <v>2048</v>
      </c>
      <c r="I2253" s="0" t="s">
        <v>2322</v>
      </c>
      <c r="J2253" s="0" t="s">
        <v>2335</v>
      </c>
      <c r="K2253" s="272" t="n">
        <v>-1618870</v>
      </c>
    </row>
    <row r="2254" customFormat="false" ht="15" hidden="false" customHeight="false" outlineLevel="0" collapsed="false">
      <c r="A2254" s="0" t="s">
        <v>2041</v>
      </c>
      <c r="B2254" s="0" t="s">
        <v>2042</v>
      </c>
      <c r="C2254" s="0" t="s">
        <v>2156</v>
      </c>
      <c r="D2254" s="0" t="s">
        <v>2044</v>
      </c>
      <c r="E2254" s="0" t="s">
        <v>2045</v>
      </c>
      <c r="F2254" s="0" t="s">
        <v>2046</v>
      </c>
      <c r="G2254" s="0" t="s">
        <v>2088</v>
      </c>
      <c r="H2254" s="0" t="s">
        <v>2048</v>
      </c>
      <c r="I2254" s="0" t="s">
        <v>2322</v>
      </c>
      <c r="J2254" s="0" t="s">
        <v>2335</v>
      </c>
      <c r="K2254" s="272" t="n">
        <v>-1129686.8125</v>
      </c>
    </row>
    <row r="2255" customFormat="false" ht="15" hidden="false" customHeight="false" outlineLevel="0" collapsed="false">
      <c r="A2255" s="0" t="s">
        <v>2041</v>
      </c>
      <c r="B2255" s="0" t="s">
        <v>2042</v>
      </c>
      <c r="C2255" s="0" t="s">
        <v>2156</v>
      </c>
      <c r="D2255" s="0" t="s">
        <v>2044</v>
      </c>
      <c r="E2255" s="0" t="s">
        <v>2045</v>
      </c>
      <c r="F2255" s="0" t="s">
        <v>2046</v>
      </c>
      <c r="G2255" s="0" t="s">
        <v>2089</v>
      </c>
      <c r="H2255" s="0" t="s">
        <v>2048</v>
      </c>
      <c r="I2255" s="0" t="s">
        <v>2322</v>
      </c>
      <c r="J2255" s="0" t="s">
        <v>2335</v>
      </c>
      <c r="K2255" s="272" t="n">
        <v>-288404.82</v>
      </c>
    </row>
    <row r="2256" customFormat="false" ht="15" hidden="false" customHeight="false" outlineLevel="0" collapsed="false">
      <c r="A2256" s="0" t="s">
        <v>2041</v>
      </c>
      <c r="B2256" s="0" t="s">
        <v>2042</v>
      </c>
      <c r="C2256" s="0" t="s">
        <v>2156</v>
      </c>
      <c r="D2256" s="0" t="s">
        <v>2044</v>
      </c>
      <c r="E2256" s="0" t="s">
        <v>2045</v>
      </c>
      <c r="F2256" s="0" t="s">
        <v>2046</v>
      </c>
      <c r="G2256" s="0" t="s">
        <v>2090</v>
      </c>
      <c r="H2256" s="0" t="s">
        <v>2048</v>
      </c>
      <c r="I2256" s="0" t="s">
        <v>2322</v>
      </c>
      <c r="J2256" s="0" t="s">
        <v>2335</v>
      </c>
      <c r="K2256" s="272" t="n">
        <v>-3744978.32</v>
      </c>
    </row>
    <row r="2257" customFormat="false" ht="15" hidden="false" customHeight="false" outlineLevel="0" collapsed="false">
      <c r="A2257" s="0" t="s">
        <v>2041</v>
      </c>
      <c r="B2257" s="0" t="s">
        <v>2042</v>
      </c>
      <c r="C2257" s="0" t="s">
        <v>2156</v>
      </c>
      <c r="D2257" s="0" t="s">
        <v>2044</v>
      </c>
      <c r="E2257" s="0" t="s">
        <v>2045</v>
      </c>
      <c r="F2257" s="0" t="s">
        <v>2046</v>
      </c>
      <c r="G2257" s="0" t="s">
        <v>2091</v>
      </c>
      <c r="H2257" s="0" t="s">
        <v>2048</v>
      </c>
      <c r="I2257" s="0" t="s">
        <v>2322</v>
      </c>
      <c r="J2257" s="0" t="s">
        <v>2335</v>
      </c>
      <c r="K2257" s="272" t="n">
        <v>-1072342.3</v>
      </c>
    </row>
    <row r="2258" customFormat="false" ht="15" hidden="false" customHeight="false" outlineLevel="0" collapsed="false">
      <c r="A2258" s="0" t="s">
        <v>2041</v>
      </c>
      <c r="B2258" s="0" t="s">
        <v>2042</v>
      </c>
      <c r="C2258" s="0" t="s">
        <v>2156</v>
      </c>
      <c r="D2258" s="0" t="s">
        <v>2044</v>
      </c>
      <c r="E2258" s="0" t="s">
        <v>2045</v>
      </c>
      <c r="F2258" s="0" t="s">
        <v>2046</v>
      </c>
      <c r="G2258" s="0" t="s">
        <v>2092</v>
      </c>
      <c r="H2258" s="0" t="s">
        <v>2048</v>
      </c>
      <c r="I2258" s="0" t="s">
        <v>2103</v>
      </c>
      <c r="J2258" s="0" t="s">
        <v>2335</v>
      </c>
      <c r="K2258" s="272" t="n">
        <v>0</v>
      </c>
    </row>
    <row r="2259" customFormat="false" ht="15" hidden="false" customHeight="false" outlineLevel="0" collapsed="false">
      <c r="A2259" s="0" t="s">
        <v>2041</v>
      </c>
      <c r="B2259" s="0" t="s">
        <v>2042</v>
      </c>
      <c r="C2259" s="0" t="s">
        <v>2156</v>
      </c>
      <c r="D2259" s="0" t="s">
        <v>2044</v>
      </c>
      <c r="E2259" s="0" t="s">
        <v>2045</v>
      </c>
      <c r="F2259" s="0" t="s">
        <v>2046</v>
      </c>
      <c r="G2259" s="0" t="s">
        <v>2093</v>
      </c>
      <c r="H2259" s="0" t="s">
        <v>2048</v>
      </c>
      <c r="I2259" s="0" t="s">
        <v>2322</v>
      </c>
      <c r="J2259" s="0" t="s">
        <v>2335</v>
      </c>
      <c r="K2259" s="272" t="n">
        <v>-1732622.5</v>
      </c>
    </row>
    <row r="2260" customFormat="false" ht="15" hidden="false" customHeight="false" outlineLevel="0" collapsed="false">
      <c r="A2260" s="0" t="s">
        <v>2041</v>
      </c>
      <c r="B2260" s="0" t="s">
        <v>2042</v>
      </c>
      <c r="C2260" s="0" t="s">
        <v>2156</v>
      </c>
      <c r="D2260" s="0" t="s">
        <v>2044</v>
      </c>
      <c r="E2260" s="0" t="s">
        <v>2045</v>
      </c>
      <c r="F2260" s="0" t="s">
        <v>2046</v>
      </c>
      <c r="G2260" s="0" t="s">
        <v>2094</v>
      </c>
      <c r="H2260" s="0" t="s">
        <v>2048</v>
      </c>
      <c r="I2260" s="0" t="s">
        <v>2322</v>
      </c>
      <c r="J2260" s="0" t="s">
        <v>2335</v>
      </c>
      <c r="K2260" s="272" t="n">
        <v>-1440592.61925786</v>
      </c>
    </row>
    <row r="2261" customFormat="false" ht="15" hidden="false" customHeight="false" outlineLevel="0" collapsed="false">
      <c r="A2261" s="0" t="s">
        <v>2041</v>
      </c>
      <c r="B2261" s="0" t="s">
        <v>2042</v>
      </c>
      <c r="C2261" s="0" t="s">
        <v>2156</v>
      </c>
      <c r="D2261" s="0" t="s">
        <v>2044</v>
      </c>
      <c r="E2261" s="0" t="s">
        <v>2045</v>
      </c>
      <c r="F2261" s="0" t="s">
        <v>2046</v>
      </c>
      <c r="G2261" s="0" t="s">
        <v>2095</v>
      </c>
      <c r="H2261" s="0" t="s">
        <v>2048</v>
      </c>
      <c r="I2261" s="0" t="s">
        <v>2322</v>
      </c>
      <c r="J2261" s="0" t="s">
        <v>2335</v>
      </c>
      <c r="K2261" s="272" t="n">
        <v>-1327025.25</v>
      </c>
    </row>
    <row r="2262" customFormat="false" ht="15" hidden="false" customHeight="false" outlineLevel="0" collapsed="false">
      <c r="A2262" s="0" t="s">
        <v>2041</v>
      </c>
      <c r="B2262" s="0" t="s">
        <v>2042</v>
      </c>
      <c r="C2262" s="0" t="s">
        <v>2156</v>
      </c>
      <c r="D2262" s="0" t="s">
        <v>2044</v>
      </c>
      <c r="E2262" s="0" t="s">
        <v>2045</v>
      </c>
      <c r="F2262" s="0" t="s">
        <v>2046</v>
      </c>
      <c r="G2262" s="0" t="s">
        <v>2096</v>
      </c>
      <c r="H2262" s="0" t="s">
        <v>2048</v>
      </c>
      <c r="I2262" s="0" t="s">
        <v>2097</v>
      </c>
      <c r="J2262" s="0" t="s">
        <v>2335</v>
      </c>
      <c r="K2262" s="272" t="n">
        <v>-2366144.886875</v>
      </c>
    </row>
    <row r="2263" customFormat="false" ht="15" hidden="false" customHeight="false" outlineLevel="0" collapsed="false">
      <c r="A2263" s="0" t="s">
        <v>2041</v>
      </c>
      <c r="B2263" s="0" t="s">
        <v>2042</v>
      </c>
      <c r="C2263" s="0" t="s">
        <v>2156</v>
      </c>
      <c r="D2263" s="0" t="s">
        <v>2044</v>
      </c>
      <c r="E2263" s="0" t="s">
        <v>2045</v>
      </c>
      <c r="F2263" s="0" t="s">
        <v>2046</v>
      </c>
      <c r="G2263" s="0" t="s">
        <v>2098</v>
      </c>
      <c r="H2263" s="0" t="s">
        <v>2048</v>
      </c>
      <c r="I2263" s="0" t="s">
        <v>2322</v>
      </c>
      <c r="J2263" s="0" t="s">
        <v>2335</v>
      </c>
      <c r="K2263" s="272" t="n">
        <v>-424156.74</v>
      </c>
    </row>
    <row r="2264" customFormat="false" ht="15" hidden="false" customHeight="false" outlineLevel="0" collapsed="false">
      <c r="A2264" s="0" t="s">
        <v>2041</v>
      </c>
      <c r="B2264" s="0" t="s">
        <v>2042</v>
      </c>
      <c r="C2264" s="0" t="s">
        <v>2156</v>
      </c>
      <c r="D2264" s="0" t="s">
        <v>2044</v>
      </c>
      <c r="E2264" s="0" t="s">
        <v>2045</v>
      </c>
      <c r="F2264" s="0" t="s">
        <v>2099</v>
      </c>
      <c r="G2264" s="0" t="s">
        <v>2064</v>
      </c>
      <c r="H2264" s="0" t="s">
        <v>2100</v>
      </c>
      <c r="I2264" s="0" t="s">
        <v>2322</v>
      </c>
      <c r="J2264" s="0" t="s">
        <v>2335</v>
      </c>
      <c r="K2264" s="272" t="n">
        <v>-558336</v>
      </c>
    </row>
    <row r="2265" customFormat="false" ht="15" hidden="false" customHeight="false" outlineLevel="0" collapsed="false">
      <c r="A2265" s="0" t="s">
        <v>2041</v>
      </c>
      <c r="B2265" s="0" t="s">
        <v>2042</v>
      </c>
      <c r="C2265" s="0" t="s">
        <v>2156</v>
      </c>
      <c r="D2265" s="0" t="s">
        <v>2044</v>
      </c>
      <c r="E2265" s="0" t="s">
        <v>2045</v>
      </c>
      <c r="F2265" s="0" t="s">
        <v>2099</v>
      </c>
      <c r="G2265" s="0" t="s">
        <v>2076</v>
      </c>
      <c r="H2265" s="0" t="s">
        <v>2100</v>
      </c>
      <c r="I2265" s="0" t="s">
        <v>2322</v>
      </c>
      <c r="J2265" s="0" t="s">
        <v>2335</v>
      </c>
      <c r="K2265" s="272" t="n">
        <v>-582199</v>
      </c>
    </row>
    <row r="2266" customFormat="false" ht="15" hidden="false" customHeight="false" outlineLevel="0" collapsed="false">
      <c r="A2266" s="0" t="s">
        <v>2041</v>
      </c>
      <c r="B2266" s="0" t="s">
        <v>2042</v>
      </c>
      <c r="C2266" s="0" t="s">
        <v>2156</v>
      </c>
      <c r="D2266" s="0" t="s">
        <v>2044</v>
      </c>
      <c r="E2266" s="0" t="s">
        <v>2045</v>
      </c>
      <c r="F2266" s="0" t="s">
        <v>2099</v>
      </c>
      <c r="G2266" s="0" t="s">
        <v>2081</v>
      </c>
      <c r="H2266" s="0" t="s">
        <v>2100</v>
      </c>
      <c r="I2266" s="0" t="s">
        <v>2322</v>
      </c>
      <c r="J2266" s="0" t="s">
        <v>2335</v>
      </c>
      <c r="K2266" s="272" t="n">
        <v>-549171</v>
      </c>
    </row>
    <row r="2267" customFormat="false" ht="15" hidden="false" customHeight="false" outlineLevel="0" collapsed="false">
      <c r="A2267" s="0" t="s">
        <v>2041</v>
      </c>
      <c r="B2267" s="0" t="s">
        <v>2042</v>
      </c>
      <c r="C2267" s="0" t="s">
        <v>2156</v>
      </c>
      <c r="D2267" s="0" t="s">
        <v>2044</v>
      </c>
      <c r="E2267" s="0" t="s">
        <v>2045</v>
      </c>
      <c r="F2267" s="0" t="s">
        <v>2099</v>
      </c>
      <c r="G2267" s="0" t="s">
        <v>2082</v>
      </c>
      <c r="H2267" s="0" t="s">
        <v>2100</v>
      </c>
      <c r="I2267" s="0" t="s">
        <v>2322</v>
      </c>
      <c r="J2267" s="0" t="s">
        <v>2335</v>
      </c>
      <c r="K2267" s="272" t="n">
        <v>-315156.8</v>
      </c>
    </row>
    <row r="2268" customFormat="false" ht="15" hidden="false" customHeight="false" outlineLevel="0" collapsed="false">
      <c r="A2268" s="0" t="s">
        <v>2041</v>
      </c>
      <c r="B2268" s="0" t="s">
        <v>2042</v>
      </c>
      <c r="C2268" s="0" t="s">
        <v>2156</v>
      </c>
      <c r="D2268" s="0" t="s">
        <v>2044</v>
      </c>
      <c r="E2268" s="0" t="s">
        <v>2045</v>
      </c>
      <c r="F2268" s="0" t="s">
        <v>2099</v>
      </c>
      <c r="G2268" s="0" t="s">
        <v>2085</v>
      </c>
      <c r="H2268" s="0" t="s">
        <v>2100</v>
      </c>
      <c r="I2268" s="0" t="s">
        <v>2322</v>
      </c>
      <c r="J2268" s="0" t="s">
        <v>2335</v>
      </c>
      <c r="K2268" s="272" t="n">
        <v>-414857.6</v>
      </c>
    </row>
    <row r="2269" customFormat="false" ht="15" hidden="false" customHeight="false" outlineLevel="0" collapsed="false">
      <c r="A2269" s="0" t="s">
        <v>2041</v>
      </c>
      <c r="B2269" s="0" t="s">
        <v>2042</v>
      </c>
      <c r="C2269" s="0" t="s">
        <v>2156</v>
      </c>
      <c r="D2269" s="0" t="s">
        <v>2044</v>
      </c>
      <c r="E2269" s="0" t="s">
        <v>2045</v>
      </c>
      <c r="F2269" s="0" t="s">
        <v>2099</v>
      </c>
      <c r="G2269" s="0" t="s">
        <v>2086</v>
      </c>
      <c r="H2269" s="0" t="s">
        <v>2100</v>
      </c>
      <c r="I2269" s="0" t="s">
        <v>2322</v>
      </c>
      <c r="J2269" s="0" t="s">
        <v>2335</v>
      </c>
      <c r="K2269" s="272" t="n">
        <v>-337082.25</v>
      </c>
    </row>
    <row r="2270" customFormat="false" ht="15" hidden="false" customHeight="false" outlineLevel="0" collapsed="false">
      <c r="A2270" s="0" t="s">
        <v>2041</v>
      </c>
      <c r="B2270" s="0" t="s">
        <v>2042</v>
      </c>
      <c r="C2270" s="0" t="s">
        <v>2156</v>
      </c>
      <c r="D2270" s="0" t="s">
        <v>2044</v>
      </c>
      <c r="E2270" s="0" t="s">
        <v>2045</v>
      </c>
      <c r="F2270" s="0" t="s">
        <v>2099</v>
      </c>
      <c r="G2270" s="0" t="s">
        <v>2095</v>
      </c>
      <c r="H2270" s="0" t="s">
        <v>2100</v>
      </c>
      <c r="I2270" s="0" t="s">
        <v>2322</v>
      </c>
      <c r="J2270" s="0" t="s">
        <v>2335</v>
      </c>
      <c r="K2270" s="272" t="n">
        <v>-375962.6</v>
      </c>
    </row>
    <row r="2271" customFormat="false" ht="15" hidden="false" customHeight="false" outlineLevel="0" collapsed="false">
      <c r="A2271" s="0" t="s">
        <v>2041</v>
      </c>
      <c r="B2271" s="0" t="s">
        <v>2042</v>
      </c>
      <c r="C2271" s="0" t="s">
        <v>2156</v>
      </c>
      <c r="D2271" s="0" t="s">
        <v>2044</v>
      </c>
      <c r="E2271" s="0" t="s">
        <v>2045</v>
      </c>
      <c r="F2271" s="0" t="s">
        <v>2099</v>
      </c>
      <c r="G2271" s="0" t="s">
        <v>2096</v>
      </c>
      <c r="H2271" s="0" t="s">
        <v>2100</v>
      </c>
      <c r="I2271" s="0" t="s">
        <v>2101</v>
      </c>
      <c r="J2271" s="0" t="s">
        <v>2335</v>
      </c>
      <c r="K2271" s="272" t="n">
        <v>0</v>
      </c>
    </row>
    <row r="2272" customFormat="false" ht="15" hidden="false" customHeight="false" outlineLevel="0" collapsed="false">
      <c r="A2272" s="0" t="s">
        <v>2041</v>
      </c>
      <c r="B2272" s="0" t="s">
        <v>2042</v>
      </c>
      <c r="C2272" s="0" t="s">
        <v>2161</v>
      </c>
      <c r="D2272" s="0" t="s">
        <v>2105</v>
      </c>
      <c r="E2272" s="0" t="s">
        <v>2045</v>
      </c>
      <c r="F2272" s="0" t="s">
        <v>2157</v>
      </c>
      <c r="G2272" s="0" t="s">
        <v>2158</v>
      </c>
      <c r="H2272" s="0" t="s">
        <v>2159</v>
      </c>
      <c r="I2272" s="0" t="s">
        <v>2124</v>
      </c>
      <c r="J2272" s="0" t="s">
        <v>2335</v>
      </c>
      <c r="K2272" s="272" t="n">
        <v>-1079734.02801264</v>
      </c>
    </row>
    <row r="2273" customFormat="false" ht="15" hidden="false" customHeight="false" outlineLevel="0" collapsed="false">
      <c r="A2273" s="0" t="s">
        <v>2041</v>
      </c>
      <c r="B2273" s="0" t="s">
        <v>2042</v>
      </c>
      <c r="C2273" s="0" t="s">
        <v>2161</v>
      </c>
      <c r="D2273" s="0" t="s">
        <v>2105</v>
      </c>
      <c r="E2273" s="0" t="s">
        <v>2045</v>
      </c>
      <c r="F2273" s="0" t="s">
        <v>2157</v>
      </c>
      <c r="G2273" s="0" t="s">
        <v>2158</v>
      </c>
      <c r="H2273" s="0" t="s">
        <v>2159</v>
      </c>
      <c r="I2273" s="0" t="s">
        <v>2322</v>
      </c>
      <c r="J2273" s="0" t="s">
        <v>2335</v>
      </c>
      <c r="K2273" s="272" t="n">
        <v>-45978674.0262049</v>
      </c>
    </row>
    <row r="2274" customFormat="false" ht="15" hidden="false" customHeight="false" outlineLevel="0" collapsed="false">
      <c r="A2274" s="0" t="s">
        <v>2041</v>
      </c>
      <c r="B2274" s="0" t="s">
        <v>2042</v>
      </c>
      <c r="C2274" s="0" t="s">
        <v>2161</v>
      </c>
      <c r="D2274" s="0" t="s">
        <v>2105</v>
      </c>
      <c r="E2274" s="0" t="s">
        <v>2045</v>
      </c>
      <c r="F2274" s="0" t="s">
        <v>2157</v>
      </c>
      <c r="G2274" s="0" t="s">
        <v>2158</v>
      </c>
      <c r="H2274" s="0" t="s">
        <v>2162</v>
      </c>
      <c r="I2274" s="0" t="s">
        <v>2322</v>
      </c>
      <c r="J2274" s="0" t="s">
        <v>2335</v>
      </c>
      <c r="K2274" s="272" t="n">
        <v>-94476.727451106</v>
      </c>
    </row>
    <row r="2275" customFormat="false" ht="15" hidden="false" customHeight="false" outlineLevel="0" collapsed="false">
      <c r="A2275" s="0" t="s">
        <v>2041</v>
      </c>
      <c r="B2275" s="0" t="s">
        <v>2042</v>
      </c>
      <c r="C2275" s="0" t="s">
        <v>2161</v>
      </c>
      <c r="D2275" s="0" t="s">
        <v>2105</v>
      </c>
      <c r="E2275" s="0" t="s">
        <v>2045</v>
      </c>
      <c r="F2275" s="0" t="s">
        <v>2157</v>
      </c>
      <c r="G2275" s="0" t="s">
        <v>2158</v>
      </c>
      <c r="H2275" s="0" t="s">
        <v>2126</v>
      </c>
      <c r="I2275" s="0" t="s">
        <v>2322</v>
      </c>
      <c r="J2275" s="0" t="s">
        <v>2335</v>
      </c>
      <c r="K2275" s="272" t="n">
        <v>-215946.805602528</v>
      </c>
    </row>
    <row r="2276" customFormat="false" ht="15" hidden="false" customHeight="false" outlineLevel="0" collapsed="false">
      <c r="A2276" s="0" t="s">
        <v>2041</v>
      </c>
      <c r="B2276" s="0" t="s">
        <v>2042</v>
      </c>
      <c r="C2276" s="0" t="s">
        <v>2161</v>
      </c>
      <c r="D2276" s="0" t="s">
        <v>2105</v>
      </c>
      <c r="E2276" s="0" t="s">
        <v>2045</v>
      </c>
      <c r="F2276" s="0" t="s">
        <v>2163</v>
      </c>
      <c r="G2276" s="0" t="s">
        <v>2164</v>
      </c>
      <c r="H2276" s="0" t="s">
        <v>2166</v>
      </c>
      <c r="I2276" s="0" t="s">
        <v>2124</v>
      </c>
      <c r="J2276" s="0" t="s">
        <v>2335</v>
      </c>
      <c r="K2276" s="272" t="n">
        <v>-3959024.76937968</v>
      </c>
    </row>
    <row r="2277" customFormat="false" ht="15" hidden="false" customHeight="false" outlineLevel="0" collapsed="false">
      <c r="A2277" s="0" t="s">
        <v>2041</v>
      </c>
      <c r="B2277" s="0" t="s">
        <v>2042</v>
      </c>
      <c r="C2277" s="0" t="s">
        <v>2161</v>
      </c>
      <c r="D2277" s="0" t="s">
        <v>2105</v>
      </c>
      <c r="E2277" s="0" t="s">
        <v>2045</v>
      </c>
      <c r="F2277" s="0" t="s">
        <v>2163</v>
      </c>
      <c r="G2277" s="0" t="s">
        <v>2164</v>
      </c>
      <c r="H2277" s="0" t="s">
        <v>2166</v>
      </c>
      <c r="I2277" s="0" t="s">
        <v>2167</v>
      </c>
      <c r="J2277" s="0" t="s">
        <v>2335</v>
      </c>
      <c r="K2277" s="272" t="n">
        <v>-539867.01400632</v>
      </c>
    </row>
    <row r="2278" customFormat="false" ht="15" hidden="false" customHeight="false" outlineLevel="0" collapsed="false">
      <c r="A2278" s="0" t="s">
        <v>2041</v>
      </c>
      <c r="B2278" s="0" t="s">
        <v>2042</v>
      </c>
      <c r="C2278" s="0" t="s">
        <v>2161</v>
      </c>
      <c r="D2278" s="0" t="s">
        <v>2105</v>
      </c>
      <c r="E2278" s="0" t="s">
        <v>2045</v>
      </c>
      <c r="F2278" s="0" t="s">
        <v>2163</v>
      </c>
      <c r="G2278" s="0" t="s">
        <v>2164</v>
      </c>
      <c r="H2278" s="0" t="s">
        <v>2166</v>
      </c>
      <c r="I2278" s="0" t="s">
        <v>2322</v>
      </c>
      <c r="J2278" s="0" t="s">
        <v>2335</v>
      </c>
      <c r="K2278" s="272" t="n">
        <v>-36966494.0057261</v>
      </c>
    </row>
    <row r="2279" customFormat="false" ht="15" hidden="false" customHeight="false" outlineLevel="0" collapsed="false">
      <c r="A2279" s="0" t="s">
        <v>2041</v>
      </c>
      <c r="B2279" s="0" t="s">
        <v>2042</v>
      </c>
      <c r="C2279" s="0" t="s">
        <v>2161</v>
      </c>
      <c r="D2279" s="0" t="s">
        <v>2105</v>
      </c>
      <c r="E2279" s="0" t="s">
        <v>2045</v>
      </c>
      <c r="F2279" s="0" t="s">
        <v>2163</v>
      </c>
      <c r="G2279" s="0" t="s">
        <v>2170</v>
      </c>
      <c r="H2279" s="0" t="s">
        <v>2169</v>
      </c>
      <c r="I2279" s="0" t="s">
        <v>2322</v>
      </c>
      <c r="J2279" s="0" t="s">
        <v>2335</v>
      </c>
      <c r="K2279" s="272" t="n">
        <v>-269933.50700316</v>
      </c>
    </row>
    <row r="2280" customFormat="false" ht="15" hidden="false" customHeight="false" outlineLevel="0" collapsed="false">
      <c r="A2280" s="0" t="s">
        <v>2041</v>
      </c>
      <c r="B2280" s="0" t="s">
        <v>2042</v>
      </c>
      <c r="C2280" s="0" t="s">
        <v>2161</v>
      </c>
      <c r="D2280" s="0" t="s">
        <v>2105</v>
      </c>
      <c r="E2280" s="0" t="s">
        <v>2045</v>
      </c>
      <c r="F2280" s="0" t="s">
        <v>2163</v>
      </c>
      <c r="G2280" s="0" t="s">
        <v>2170</v>
      </c>
      <c r="H2280" s="0" t="s">
        <v>2165</v>
      </c>
      <c r="I2280" s="0" t="s">
        <v>2124</v>
      </c>
      <c r="J2280" s="0" t="s">
        <v>2335</v>
      </c>
      <c r="K2280" s="272" t="n">
        <v>-1179609.42560381</v>
      </c>
    </row>
    <row r="2281" customFormat="false" ht="15" hidden="false" customHeight="false" outlineLevel="0" collapsed="false">
      <c r="A2281" s="0" t="s">
        <v>2041</v>
      </c>
      <c r="B2281" s="0" t="s">
        <v>2042</v>
      </c>
      <c r="C2281" s="0" t="s">
        <v>2161</v>
      </c>
      <c r="D2281" s="0" t="s">
        <v>2105</v>
      </c>
      <c r="E2281" s="0" t="s">
        <v>2045</v>
      </c>
      <c r="F2281" s="0" t="s">
        <v>2163</v>
      </c>
      <c r="G2281" s="0" t="s">
        <v>2170</v>
      </c>
      <c r="H2281" s="0" t="s">
        <v>2165</v>
      </c>
      <c r="I2281" s="0" t="s">
        <v>2167</v>
      </c>
      <c r="J2281" s="0" t="s">
        <v>2335</v>
      </c>
      <c r="K2281" s="272" t="n">
        <v>-6651258.42870904</v>
      </c>
    </row>
    <row r="2282" customFormat="false" ht="15" hidden="false" customHeight="false" outlineLevel="0" collapsed="false">
      <c r="A2282" s="0" t="s">
        <v>2041</v>
      </c>
      <c r="B2282" s="0" t="s">
        <v>2042</v>
      </c>
      <c r="C2282" s="0" t="s">
        <v>2161</v>
      </c>
      <c r="D2282" s="0" t="s">
        <v>2105</v>
      </c>
      <c r="E2282" s="0" t="s">
        <v>2045</v>
      </c>
      <c r="F2282" s="0" t="s">
        <v>2163</v>
      </c>
      <c r="G2282" s="0" t="s">
        <v>2170</v>
      </c>
      <c r="H2282" s="0" t="s">
        <v>2165</v>
      </c>
      <c r="I2282" s="0" t="s">
        <v>2322</v>
      </c>
      <c r="J2282" s="0" t="s">
        <v>2335</v>
      </c>
      <c r="K2282" s="272" t="n">
        <v>-10356864.5829554</v>
      </c>
    </row>
    <row r="2283" customFormat="false" ht="15" hidden="false" customHeight="false" outlineLevel="0" collapsed="false">
      <c r="A2283" s="0" t="s">
        <v>2041</v>
      </c>
      <c r="B2283" s="0" t="s">
        <v>2042</v>
      </c>
      <c r="C2283" s="0" t="s">
        <v>2161</v>
      </c>
      <c r="D2283" s="0" t="s">
        <v>2105</v>
      </c>
      <c r="E2283" s="0" t="s">
        <v>2045</v>
      </c>
      <c r="F2283" s="0" t="s">
        <v>2163</v>
      </c>
      <c r="G2283" s="0" t="s">
        <v>2170</v>
      </c>
      <c r="H2283" s="0" t="s">
        <v>2171</v>
      </c>
      <c r="I2283" s="0" t="s">
        <v>2322</v>
      </c>
      <c r="J2283" s="0" t="s">
        <v>2335</v>
      </c>
      <c r="K2283" s="272" t="n">
        <v>-3617108.99384234</v>
      </c>
    </row>
    <row r="2284" customFormat="false" ht="15" hidden="false" customHeight="false" outlineLevel="0" collapsed="false">
      <c r="A2284" s="0" t="s">
        <v>2041</v>
      </c>
      <c r="B2284" s="0" t="s">
        <v>2042</v>
      </c>
      <c r="C2284" s="0" t="s">
        <v>2161</v>
      </c>
      <c r="D2284" s="0" t="s">
        <v>2105</v>
      </c>
      <c r="E2284" s="0" t="s">
        <v>2045</v>
      </c>
      <c r="F2284" s="0" t="s">
        <v>2163</v>
      </c>
      <c r="G2284" s="0" t="s">
        <v>2172</v>
      </c>
      <c r="H2284" s="0" t="s">
        <v>2169</v>
      </c>
      <c r="I2284" s="0" t="s">
        <v>2167</v>
      </c>
      <c r="J2284" s="0" t="s">
        <v>2335</v>
      </c>
      <c r="K2284" s="272" t="n">
        <v>-40169704.9554969</v>
      </c>
    </row>
    <row r="2285" customFormat="false" ht="15" hidden="false" customHeight="false" outlineLevel="0" collapsed="false">
      <c r="A2285" s="0" t="s">
        <v>2041</v>
      </c>
      <c r="B2285" s="0" t="s">
        <v>2042</v>
      </c>
      <c r="C2285" s="0" t="s">
        <v>2161</v>
      </c>
      <c r="D2285" s="0" t="s">
        <v>2105</v>
      </c>
      <c r="E2285" s="0" t="s">
        <v>2045</v>
      </c>
      <c r="F2285" s="0" t="s">
        <v>2163</v>
      </c>
      <c r="G2285" s="0" t="s">
        <v>2172</v>
      </c>
      <c r="H2285" s="0" t="s">
        <v>2169</v>
      </c>
      <c r="I2285" s="0" t="s">
        <v>2322</v>
      </c>
      <c r="J2285" s="0" t="s">
        <v>2335</v>
      </c>
      <c r="K2285" s="272" t="n">
        <v>-34830060.2756318</v>
      </c>
    </row>
    <row r="2286" customFormat="false" ht="15" hidden="false" customHeight="false" outlineLevel="0" collapsed="false">
      <c r="A2286" s="0" t="s">
        <v>2041</v>
      </c>
      <c r="B2286" s="0" t="s">
        <v>2042</v>
      </c>
      <c r="C2286" s="0" t="s">
        <v>2161</v>
      </c>
      <c r="D2286" s="0" t="s">
        <v>2105</v>
      </c>
      <c r="E2286" s="0" t="s">
        <v>2045</v>
      </c>
      <c r="F2286" s="0" t="s">
        <v>2163</v>
      </c>
      <c r="G2286" s="0" t="s">
        <v>2172</v>
      </c>
      <c r="H2286" s="0" t="s">
        <v>2165</v>
      </c>
      <c r="I2286" s="0" t="s">
        <v>2322</v>
      </c>
      <c r="J2286" s="0" t="s">
        <v>2335</v>
      </c>
      <c r="K2286" s="272" t="n">
        <v>-566860.364706636</v>
      </c>
    </row>
    <row r="2287" customFormat="false" ht="15" hidden="false" customHeight="false" outlineLevel="0" collapsed="false">
      <c r="A2287" s="0" t="s">
        <v>2041</v>
      </c>
      <c r="B2287" s="0" t="s">
        <v>2042</v>
      </c>
      <c r="C2287" s="0" t="s">
        <v>2161</v>
      </c>
      <c r="D2287" s="0" t="s">
        <v>2105</v>
      </c>
      <c r="E2287" s="0" t="s">
        <v>2045</v>
      </c>
      <c r="F2287" s="0" t="s">
        <v>2163</v>
      </c>
      <c r="G2287" s="0" t="s">
        <v>2172</v>
      </c>
      <c r="H2287" s="0" t="s">
        <v>2173</v>
      </c>
      <c r="I2287" s="0" t="s">
        <v>2124</v>
      </c>
      <c r="J2287" s="0" t="s">
        <v>2335</v>
      </c>
      <c r="K2287" s="272" t="n">
        <v>-179955.67133544</v>
      </c>
    </row>
    <row r="2288" customFormat="false" ht="15" hidden="false" customHeight="false" outlineLevel="0" collapsed="false">
      <c r="A2288" s="0" t="s">
        <v>2041</v>
      </c>
      <c r="B2288" s="0" t="s">
        <v>2042</v>
      </c>
      <c r="C2288" s="0" t="s">
        <v>2161</v>
      </c>
      <c r="D2288" s="0" t="s">
        <v>2105</v>
      </c>
      <c r="E2288" s="0" t="s">
        <v>2045</v>
      </c>
      <c r="F2288" s="0" t="s">
        <v>2163</v>
      </c>
      <c r="G2288" s="0" t="s">
        <v>2172</v>
      </c>
      <c r="H2288" s="0" t="s">
        <v>2173</v>
      </c>
      <c r="I2288" s="0" t="s">
        <v>2167</v>
      </c>
      <c r="J2288" s="0" t="s">
        <v>2335</v>
      </c>
      <c r="K2288" s="272" t="n">
        <v>-359911.34267088</v>
      </c>
    </row>
    <row r="2289" customFormat="false" ht="15" hidden="false" customHeight="false" outlineLevel="0" collapsed="false">
      <c r="A2289" s="0" t="s">
        <v>2041</v>
      </c>
      <c r="B2289" s="0" t="s">
        <v>2042</v>
      </c>
      <c r="C2289" s="0" t="s">
        <v>2161</v>
      </c>
      <c r="D2289" s="0" t="s">
        <v>2105</v>
      </c>
      <c r="E2289" s="0" t="s">
        <v>2045</v>
      </c>
      <c r="F2289" s="0" t="s">
        <v>2163</v>
      </c>
      <c r="G2289" s="0" t="s">
        <v>2172</v>
      </c>
      <c r="H2289" s="0" t="s">
        <v>2173</v>
      </c>
      <c r="I2289" s="0" t="s">
        <v>2322</v>
      </c>
      <c r="J2289" s="0" t="s">
        <v>2335</v>
      </c>
      <c r="K2289" s="272" t="n">
        <v>-16151021.5023557</v>
      </c>
    </row>
    <row r="2290" customFormat="false" ht="15" hidden="false" customHeight="false" outlineLevel="0" collapsed="false">
      <c r="A2290" s="0" t="s">
        <v>2041</v>
      </c>
      <c r="B2290" s="0" t="s">
        <v>2042</v>
      </c>
      <c r="C2290" s="0" t="s">
        <v>2161</v>
      </c>
      <c r="D2290" s="0" t="s">
        <v>2105</v>
      </c>
      <c r="E2290" s="0" t="s">
        <v>2045</v>
      </c>
      <c r="F2290" s="0" t="s">
        <v>2163</v>
      </c>
      <c r="G2290" s="0" t="s">
        <v>2172</v>
      </c>
      <c r="H2290" s="0" t="s">
        <v>2166</v>
      </c>
      <c r="I2290" s="0" t="s">
        <v>2167</v>
      </c>
      <c r="J2290" s="0" t="s">
        <v>2335</v>
      </c>
      <c r="K2290" s="272" t="n">
        <v>-11697118.6368036</v>
      </c>
    </row>
    <row r="2291" customFormat="false" ht="15" hidden="false" customHeight="false" outlineLevel="0" collapsed="false">
      <c r="A2291" s="0" t="s">
        <v>2041</v>
      </c>
      <c r="B2291" s="0" t="s">
        <v>2042</v>
      </c>
      <c r="C2291" s="0" t="s">
        <v>2161</v>
      </c>
      <c r="D2291" s="0" t="s">
        <v>2105</v>
      </c>
      <c r="E2291" s="0" t="s">
        <v>2045</v>
      </c>
      <c r="F2291" s="0" t="s">
        <v>2163</v>
      </c>
      <c r="G2291" s="0" t="s">
        <v>2172</v>
      </c>
      <c r="H2291" s="0" t="s">
        <v>2166</v>
      </c>
      <c r="I2291" s="0" t="s">
        <v>2322</v>
      </c>
      <c r="J2291" s="0" t="s">
        <v>2335</v>
      </c>
      <c r="K2291" s="272" t="n">
        <v>-305924.641270248</v>
      </c>
    </row>
    <row r="2292" customFormat="false" ht="15" hidden="false" customHeight="false" outlineLevel="0" collapsed="false">
      <c r="A2292" s="0" t="s">
        <v>2041</v>
      </c>
      <c r="B2292" s="0" t="s">
        <v>2042</v>
      </c>
      <c r="C2292" s="0" t="s">
        <v>2161</v>
      </c>
      <c r="D2292" s="0" t="s">
        <v>2105</v>
      </c>
      <c r="E2292" s="0" t="s">
        <v>2045</v>
      </c>
      <c r="F2292" s="0" t="s">
        <v>2163</v>
      </c>
      <c r="G2292" s="0" t="s">
        <v>2327</v>
      </c>
      <c r="H2292" s="0" t="s">
        <v>2328</v>
      </c>
      <c r="I2292" s="0" t="s">
        <v>2322</v>
      </c>
      <c r="J2292" s="0" t="s">
        <v>2335</v>
      </c>
      <c r="K2292" s="272" t="n">
        <v>-1799556.7133544</v>
      </c>
    </row>
    <row r="2293" customFormat="false" ht="15" hidden="false" customHeight="false" outlineLevel="0" collapsed="false">
      <c r="A2293" s="0" t="s">
        <v>2041</v>
      </c>
      <c r="B2293" s="0" t="s">
        <v>2042</v>
      </c>
      <c r="C2293" s="0" t="s">
        <v>2161</v>
      </c>
      <c r="D2293" s="0" t="s">
        <v>2105</v>
      </c>
      <c r="E2293" s="0" t="s">
        <v>2045</v>
      </c>
      <c r="F2293" s="0" t="s">
        <v>2163</v>
      </c>
      <c r="G2293" s="0" t="s">
        <v>2174</v>
      </c>
      <c r="H2293" s="0" t="s">
        <v>2175</v>
      </c>
      <c r="I2293" s="0" t="s">
        <v>2167</v>
      </c>
      <c r="J2293" s="0" t="s">
        <v>2335</v>
      </c>
      <c r="K2293" s="272" t="n">
        <v>-566860.364706636</v>
      </c>
    </row>
    <row r="2294" customFormat="false" ht="15" hidden="false" customHeight="false" outlineLevel="0" collapsed="false">
      <c r="A2294" s="0" t="s">
        <v>2041</v>
      </c>
      <c r="B2294" s="0" t="s">
        <v>2042</v>
      </c>
      <c r="C2294" s="0" t="s">
        <v>2161</v>
      </c>
      <c r="D2294" s="0" t="s">
        <v>2105</v>
      </c>
      <c r="E2294" s="0" t="s">
        <v>2045</v>
      </c>
      <c r="F2294" s="0" t="s">
        <v>2163</v>
      </c>
      <c r="G2294" s="0" t="s">
        <v>2174</v>
      </c>
      <c r="H2294" s="0" t="s">
        <v>2175</v>
      </c>
      <c r="I2294" s="0" t="s">
        <v>2322</v>
      </c>
      <c r="J2294" s="0" t="s">
        <v>2335</v>
      </c>
      <c r="K2294" s="272" t="n">
        <v>-10419433.370322</v>
      </c>
    </row>
    <row r="2295" customFormat="false" ht="15" hidden="false" customHeight="false" outlineLevel="0" collapsed="false">
      <c r="A2295" s="0" t="s">
        <v>2041</v>
      </c>
      <c r="B2295" s="0" t="s">
        <v>2042</v>
      </c>
      <c r="C2295" s="0" t="s">
        <v>2161</v>
      </c>
      <c r="D2295" s="0" t="s">
        <v>2105</v>
      </c>
      <c r="E2295" s="0" t="s">
        <v>2045</v>
      </c>
      <c r="F2295" s="0" t="s">
        <v>2176</v>
      </c>
      <c r="G2295" s="0" t="s">
        <v>2177</v>
      </c>
      <c r="H2295" s="0" t="s">
        <v>2179</v>
      </c>
      <c r="I2295" s="0" t="s">
        <v>2322</v>
      </c>
      <c r="J2295" s="0" t="s">
        <v>2335</v>
      </c>
      <c r="K2295" s="272" t="n">
        <v>-2507854.75678064</v>
      </c>
    </row>
    <row r="2296" customFormat="false" ht="15" hidden="false" customHeight="false" outlineLevel="0" collapsed="false">
      <c r="A2296" s="0" t="s">
        <v>2041</v>
      </c>
      <c r="B2296" s="0" t="s">
        <v>2042</v>
      </c>
      <c r="C2296" s="0" t="s">
        <v>2161</v>
      </c>
      <c r="D2296" s="0" t="s">
        <v>2105</v>
      </c>
      <c r="E2296" s="0" t="s">
        <v>2045</v>
      </c>
      <c r="F2296" s="0" t="s">
        <v>2176</v>
      </c>
      <c r="G2296" s="0" t="s">
        <v>2181</v>
      </c>
      <c r="H2296" s="0" t="s">
        <v>2182</v>
      </c>
      <c r="I2296" s="0" t="s">
        <v>2124</v>
      </c>
      <c r="J2296" s="0" t="s">
        <v>2335</v>
      </c>
      <c r="K2296" s="272" t="n">
        <v>-128488.349333504</v>
      </c>
    </row>
    <row r="2297" customFormat="false" ht="15" hidden="false" customHeight="false" outlineLevel="0" collapsed="false">
      <c r="A2297" s="0" t="s">
        <v>2041</v>
      </c>
      <c r="B2297" s="0" t="s">
        <v>2042</v>
      </c>
      <c r="C2297" s="0" t="s">
        <v>2161</v>
      </c>
      <c r="D2297" s="0" t="s">
        <v>2105</v>
      </c>
      <c r="E2297" s="0" t="s">
        <v>2045</v>
      </c>
      <c r="F2297" s="0" t="s">
        <v>2176</v>
      </c>
      <c r="G2297" s="0" t="s">
        <v>2181</v>
      </c>
      <c r="H2297" s="0" t="s">
        <v>2183</v>
      </c>
      <c r="I2297" s="0" t="s">
        <v>2124</v>
      </c>
      <c r="J2297" s="0" t="s">
        <v>2335</v>
      </c>
      <c r="K2297" s="272" t="n">
        <v>-124709.28023546</v>
      </c>
    </row>
    <row r="2298" customFormat="false" ht="15" hidden="false" customHeight="false" outlineLevel="0" collapsed="false">
      <c r="A2298" s="0" t="s">
        <v>2041</v>
      </c>
      <c r="B2298" s="0" t="s">
        <v>2042</v>
      </c>
      <c r="C2298" s="0" t="s">
        <v>2161</v>
      </c>
      <c r="D2298" s="0" t="s">
        <v>2105</v>
      </c>
      <c r="E2298" s="0" t="s">
        <v>2045</v>
      </c>
      <c r="F2298" s="0" t="s">
        <v>2176</v>
      </c>
      <c r="G2298" s="0" t="s">
        <v>2181</v>
      </c>
      <c r="H2298" s="0" t="s">
        <v>2185</v>
      </c>
      <c r="I2298" s="0" t="s">
        <v>2124</v>
      </c>
      <c r="J2298" s="0" t="s">
        <v>2335</v>
      </c>
      <c r="K2298" s="272" t="n">
        <v>-124709.28023546</v>
      </c>
    </row>
    <row r="2299" customFormat="false" ht="15" hidden="false" customHeight="false" outlineLevel="0" collapsed="false">
      <c r="A2299" s="0" t="s">
        <v>2041</v>
      </c>
      <c r="B2299" s="0" t="s">
        <v>2042</v>
      </c>
      <c r="C2299" s="0" t="s">
        <v>2161</v>
      </c>
      <c r="D2299" s="0" t="s">
        <v>2105</v>
      </c>
      <c r="E2299" s="0" t="s">
        <v>2045</v>
      </c>
      <c r="F2299" s="0" t="s">
        <v>2176</v>
      </c>
      <c r="G2299" s="0" t="s">
        <v>2181</v>
      </c>
      <c r="H2299" s="0" t="s">
        <v>2186</v>
      </c>
      <c r="I2299" s="0" t="s">
        <v>2322</v>
      </c>
      <c r="J2299" s="0" t="s">
        <v>2335</v>
      </c>
      <c r="K2299" s="272" t="n">
        <v>-18355478.4762149</v>
      </c>
    </row>
    <row r="2300" customFormat="false" ht="15" hidden="false" customHeight="false" outlineLevel="0" collapsed="false">
      <c r="A2300" s="0" t="s">
        <v>2041</v>
      </c>
      <c r="B2300" s="0" t="s">
        <v>2042</v>
      </c>
      <c r="C2300" s="0" t="s">
        <v>2161</v>
      </c>
      <c r="D2300" s="0" t="s">
        <v>2105</v>
      </c>
      <c r="E2300" s="0" t="s">
        <v>2045</v>
      </c>
      <c r="F2300" s="0" t="s">
        <v>2176</v>
      </c>
      <c r="G2300" s="0" t="s">
        <v>2181</v>
      </c>
      <c r="H2300" s="0" t="s">
        <v>2187</v>
      </c>
      <c r="I2300" s="0" t="s">
        <v>2322</v>
      </c>
      <c r="J2300" s="0" t="s">
        <v>2335</v>
      </c>
      <c r="K2300" s="272" t="n">
        <v>-179955.67133544</v>
      </c>
    </row>
    <row r="2301" customFormat="false" ht="15" hidden="false" customHeight="false" outlineLevel="0" collapsed="false">
      <c r="A2301" s="0" t="s">
        <v>2041</v>
      </c>
      <c r="B2301" s="0" t="s">
        <v>2042</v>
      </c>
      <c r="C2301" s="0" t="s">
        <v>2161</v>
      </c>
      <c r="D2301" s="0" t="s">
        <v>2105</v>
      </c>
      <c r="E2301" s="0" t="s">
        <v>2045</v>
      </c>
      <c r="F2301" s="0" t="s">
        <v>2176</v>
      </c>
      <c r="G2301" s="0" t="s">
        <v>2188</v>
      </c>
      <c r="H2301" s="0" t="s">
        <v>2189</v>
      </c>
      <c r="I2301" s="0" t="s">
        <v>2322</v>
      </c>
      <c r="J2301" s="0" t="s">
        <v>2335</v>
      </c>
      <c r="K2301" s="272" t="n">
        <v>-3185215.38263729</v>
      </c>
    </row>
    <row r="2302" customFormat="false" ht="15" hidden="false" customHeight="false" outlineLevel="0" collapsed="false">
      <c r="A2302" s="0" t="s">
        <v>2041</v>
      </c>
      <c r="B2302" s="0" t="s">
        <v>2042</v>
      </c>
      <c r="C2302" s="0" t="s">
        <v>2161</v>
      </c>
      <c r="D2302" s="0" t="s">
        <v>2105</v>
      </c>
      <c r="E2302" s="0" t="s">
        <v>2045</v>
      </c>
      <c r="F2302" s="0" t="s">
        <v>2176</v>
      </c>
      <c r="G2302" s="0" t="s">
        <v>2190</v>
      </c>
      <c r="H2302" s="0" t="s">
        <v>2191</v>
      </c>
      <c r="I2302" s="0" t="s">
        <v>2124</v>
      </c>
      <c r="J2302" s="0" t="s">
        <v>2335</v>
      </c>
      <c r="K2302" s="272" t="n">
        <v>-719822.68534176</v>
      </c>
    </row>
    <row r="2303" customFormat="false" ht="15" hidden="false" customHeight="false" outlineLevel="0" collapsed="false">
      <c r="A2303" s="0" t="s">
        <v>2041</v>
      </c>
      <c r="B2303" s="0" t="s">
        <v>2042</v>
      </c>
      <c r="C2303" s="0" t="s">
        <v>2161</v>
      </c>
      <c r="D2303" s="0" t="s">
        <v>2105</v>
      </c>
      <c r="E2303" s="0" t="s">
        <v>2045</v>
      </c>
      <c r="F2303" s="0" t="s">
        <v>2176</v>
      </c>
      <c r="G2303" s="0" t="s">
        <v>2190</v>
      </c>
      <c r="H2303" s="0" t="s">
        <v>2191</v>
      </c>
      <c r="I2303" s="0" t="s">
        <v>2322</v>
      </c>
      <c r="J2303" s="0" t="s">
        <v>2335</v>
      </c>
      <c r="K2303" s="272" t="n">
        <v>-7558138.19608848</v>
      </c>
    </row>
    <row r="2304" customFormat="false" ht="15" hidden="false" customHeight="false" outlineLevel="0" collapsed="false">
      <c r="A2304" s="0" t="s">
        <v>2041</v>
      </c>
      <c r="B2304" s="0" t="s">
        <v>2042</v>
      </c>
      <c r="C2304" s="0" t="s">
        <v>2161</v>
      </c>
      <c r="D2304" s="0" t="s">
        <v>2105</v>
      </c>
      <c r="E2304" s="0" t="s">
        <v>2045</v>
      </c>
      <c r="F2304" s="0" t="s">
        <v>2176</v>
      </c>
      <c r="G2304" s="0" t="s">
        <v>2199</v>
      </c>
      <c r="H2304" s="0" t="s">
        <v>2217</v>
      </c>
      <c r="I2304" s="0" t="s">
        <v>2322</v>
      </c>
      <c r="J2304" s="0" t="s">
        <v>2335</v>
      </c>
      <c r="K2304" s="272" t="n">
        <v>-557352.585310169</v>
      </c>
    </row>
    <row r="2305" customFormat="false" ht="15" hidden="false" customHeight="false" outlineLevel="0" collapsed="false">
      <c r="A2305" s="0" t="s">
        <v>2041</v>
      </c>
      <c r="B2305" s="0" t="s">
        <v>2042</v>
      </c>
      <c r="C2305" s="0" t="s">
        <v>2161</v>
      </c>
      <c r="D2305" s="0" t="s">
        <v>2105</v>
      </c>
      <c r="E2305" s="0" t="s">
        <v>2045</v>
      </c>
      <c r="F2305" s="0" t="s">
        <v>2192</v>
      </c>
      <c r="G2305" s="0" t="s">
        <v>2193</v>
      </c>
      <c r="H2305" s="0" t="s">
        <v>2200</v>
      </c>
      <c r="I2305" s="0" t="s">
        <v>2322</v>
      </c>
      <c r="J2305" s="0" t="s">
        <v>2335</v>
      </c>
      <c r="K2305" s="272" t="n">
        <v>-134966.75350158</v>
      </c>
    </row>
    <row r="2306" customFormat="false" ht="15" hidden="false" customHeight="false" outlineLevel="0" collapsed="false">
      <c r="A2306" s="0" t="s">
        <v>2041</v>
      </c>
      <c r="B2306" s="0" t="s">
        <v>2042</v>
      </c>
      <c r="C2306" s="0" t="s">
        <v>2161</v>
      </c>
      <c r="D2306" s="0" t="s">
        <v>2105</v>
      </c>
      <c r="E2306" s="0" t="s">
        <v>2045</v>
      </c>
      <c r="F2306" s="0" t="s">
        <v>2192</v>
      </c>
      <c r="G2306" s="0" t="s">
        <v>2193</v>
      </c>
      <c r="H2306" s="0" t="s">
        <v>2202</v>
      </c>
      <c r="I2306" s="0" t="s">
        <v>2322</v>
      </c>
      <c r="J2306" s="0" t="s">
        <v>2335</v>
      </c>
      <c r="K2306" s="272" t="n">
        <v>-134966.75350158</v>
      </c>
    </row>
    <row r="2307" customFormat="false" ht="15" hidden="false" customHeight="false" outlineLevel="0" collapsed="false">
      <c r="A2307" s="0" t="s">
        <v>2041</v>
      </c>
      <c r="B2307" s="0" t="s">
        <v>2042</v>
      </c>
      <c r="C2307" s="0" t="s">
        <v>2161</v>
      </c>
      <c r="D2307" s="0" t="s">
        <v>2105</v>
      </c>
      <c r="E2307" s="0" t="s">
        <v>2045</v>
      </c>
      <c r="F2307" s="0" t="s">
        <v>2192</v>
      </c>
      <c r="G2307" s="0" t="s">
        <v>2193</v>
      </c>
      <c r="H2307" s="0" t="s">
        <v>2171</v>
      </c>
      <c r="I2307" s="0" t="s">
        <v>2124</v>
      </c>
      <c r="J2307" s="0" t="s">
        <v>2335</v>
      </c>
      <c r="K2307" s="272" t="n">
        <v>-1025747.32661201</v>
      </c>
    </row>
    <row r="2308" customFormat="false" ht="15" hidden="false" customHeight="false" outlineLevel="0" collapsed="false">
      <c r="A2308" s="0" t="s">
        <v>2041</v>
      </c>
      <c r="B2308" s="0" t="s">
        <v>2042</v>
      </c>
      <c r="C2308" s="0" t="s">
        <v>2161</v>
      </c>
      <c r="D2308" s="0" t="s">
        <v>2105</v>
      </c>
      <c r="E2308" s="0" t="s">
        <v>2045</v>
      </c>
      <c r="F2308" s="0" t="s">
        <v>2192</v>
      </c>
      <c r="G2308" s="0" t="s">
        <v>2193</v>
      </c>
      <c r="H2308" s="0" t="s">
        <v>2171</v>
      </c>
      <c r="I2308" s="0" t="s">
        <v>2167</v>
      </c>
      <c r="J2308" s="0" t="s">
        <v>2335</v>
      </c>
      <c r="K2308" s="272" t="n">
        <v>-503875.879739232</v>
      </c>
    </row>
    <row r="2309" customFormat="false" ht="15" hidden="false" customHeight="false" outlineLevel="0" collapsed="false">
      <c r="A2309" s="0" t="s">
        <v>2041</v>
      </c>
      <c r="B2309" s="0" t="s">
        <v>2042</v>
      </c>
      <c r="C2309" s="0" t="s">
        <v>2161</v>
      </c>
      <c r="D2309" s="0" t="s">
        <v>2105</v>
      </c>
      <c r="E2309" s="0" t="s">
        <v>2045</v>
      </c>
      <c r="F2309" s="0" t="s">
        <v>2192</v>
      </c>
      <c r="G2309" s="0" t="s">
        <v>2193</v>
      </c>
      <c r="H2309" s="0" t="s">
        <v>2171</v>
      </c>
      <c r="I2309" s="0" t="s">
        <v>2322</v>
      </c>
      <c r="J2309" s="0" t="s">
        <v>2335</v>
      </c>
      <c r="K2309" s="272" t="n">
        <v>-12654482.8083082</v>
      </c>
    </row>
    <row r="2310" customFormat="false" ht="15" hidden="false" customHeight="false" outlineLevel="0" collapsed="false">
      <c r="A2310" s="0" t="s">
        <v>2041</v>
      </c>
      <c r="B2310" s="0" t="s">
        <v>2042</v>
      </c>
      <c r="C2310" s="0" t="s">
        <v>2161</v>
      </c>
      <c r="D2310" s="0" t="s">
        <v>2105</v>
      </c>
      <c r="E2310" s="0" t="s">
        <v>2045</v>
      </c>
      <c r="F2310" s="0" t="s">
        <v>2192</v>
      </c>
      <c r="G2310" s="0" t="s">
        <v>2193</v>
      </c>
      <c r="H2310" s="0" t="s">
        <v>2162</v>
      </c>
      <c r="I2310" s="0" t="s">
        <v>2124</v>
      </c>
      <c r="J2310" s="0" t="s">
        <v>2335</v>
      </c>
      <c r="K2310" s="272" t="n">
        <v>-5686599.21419991</v>
      </c>
    </row>
    <row r="2311" customFormat="false" ht="15" hidden="false" customHeight="false" outlineLevel="0" collapsed="false">
      <c r="A2311" s="0" t="s">
        <v>2041</v>
      </c>
      <c r="B2311" s="0" t="s">
        <v>2042</v>
      </c>
      <c r="C2311" s="0" t="s">
        <v>2161</v>
      </c>
      <c r="D2311" s="0" t="s">
        <v>2105</v>
      </c>
      <c r="E2311" s="0" t="s">
        <v>2045</v>
      </c>
      <c r="F2311" s="0" t="s">
        <v>2192</v>
      </c>
      <c r="G2311" s="0" t="s">
        <v>2193</v>
      </c>
      <c r="H2311" s="0" t="s">
        <v>2162</v>
      </c>
      <c r="I2311" s="0" t="s">
        <v>2322</v>
      </c>
      <c r="J2311" s="0" t="s">
        <v>2335</v>
      </c>
      <c r="K2311" s="272" t="n">
        <v>-46496946.359651</v>
      </c>
    </row>
    <row r="2312" customFormat="false" ht="15" hidden="false" customHeight="false" outlineLevel="0" collapsed="false">
      <c r="A2312" s="0" t="s">
        <v>2041</v>
      </c>
      <c r="B2312" s="0" t="s">
        <v>2042</v>
      </c>
      <c r="C2312" s="0" t="s">
        <v>2161</v>
      </c>
      <c r="D2312" s="0" t="s">
        <v>2105</v>
      </c>
      <c r="E2312" s="0" t="s">
        <v>2045</v>
      </c>
      <c r="F2312" s="0" t="s">
        <v>2192</v>
      </c>
      <c r="G2312" s="0" t="s">
        <v>2193</v>
      </c>
      <c r="H2312" s="0" t="s">
        <v>2203</v>
      </c>
      <c r="I2312" s="0" t="s">
        <v>2322</v>
      </c>
      <c r="J2312" s="0" t="s">
        <v>2335</v>
      </c>
      <c r="K2312" s="272" t="n">
        <v>-269933.50700316</v>
      </c>
    </row>
    <row r="2313" customFormat="false" ht="15" hidden="false" customHeight="false" outlineLevel="0" collapsed="false">
      <c r="A2313" s="0" t="s">
        <v>2041</v>
      </c>
      <c r="B2313" s="0" t="s">
        <v>2042</v>
      </c>
      <c r="C2313" s="0" t="s">
        <v>2161</v>
      </c>
      <c r="D2313" s="0" t="s">
        <v>2105</v>
      </c>
      <c r="E2313" s="0" t="s">
        <v>2045</v>
      </c>
      <c r="F2313" s="0" t="s">
        <v>2198</v>
      </c>
      <c r="G2313" s="0" t="s">
        <v>2181</v>
      </c>
      <c r="H2313" s="0" t="s">
        <v>2200</v>
      </c>
      <c r="I2313" s="0" t="s">
        <v>2322</v>
      </c>
      <c r="J2313" s="0" t="s">
        <v>2335</v>
      </c>
      <c r="K2313" s="272" t="n">
        <v>-53986.701400632</v>
      </c>
    </row>
    <row r="2314" customFormat="false" ht="15" hidden="false" customHeight="false" outlineLevel="0" collapsed="false">
      <c r="A2314" s="0" t="s">
        <v>2041</v>
      </c>
      <c r="B2314" s="0" t="s">
        <v>2042</v>
      </c>
      <c r="C2314" s="0" t="s">
        <v>2161</v>
      </c>
      <c r="D2314" s="0" t="s">
        <v>2105</v>
      </c>
      <c r="E2314" s="0" t="s">
        <v>2045</v>
      </c>
      <c r="F2314" s="0" t="s">
        <v>2198</v>
      </c>
      <c r="G2314" s="0" t="s">
        <v>2199</v>
      </c>
      <c r="H2314" s="0" t="s">
        <v>2200</v>
      </c>
      <c r="I2314" s="0" t="s">
        <v>2124</v>
      </c>
      <c r="J2314" s="0" t="s">
        <v>2335</v>
      </c>
      <c r="K2314" s="272" t="n">
        <v>-14751866.1577227</v>
      </c>
    </row>
    <row r="2315" customFormat="false" ht="15" hidden="false" customHeight="false" outlineLevel="0" collapsed="false">
      <c r="A2315" s="0" t="s">
        <v>2041</v>
      </c>
      <c r="B2315" s="0" t="s">
        <v>2042</v>
      </c>
      <c r="C2315" s="0" t="s">
        <v>2161</v>
      </c>
      <c r="D2315" s="0" t="s">
        <v>2105</v>
      </c>
      <c r="E2315" s="0" t="s">
        <v>2045</v>
      </c>
      <c r="F2315" s="0" t="s">
        <v>2198</v>
      </c>
      <c r="G2315" s="0" t="s">
        <v>2199</v>
      </c>
      <c r="H2315" s="0" t="s">
        <v>2200</v>
      </c>
      <c r="I2315" s="0" t="s">
        <v>2201</v>
      </c>
      <c r="J2315" s="0" t="s">
        <v>2335</v>
      </c>
      <c r="K2315" s="272" t="n">
        <v>-359911.34267088</v>
      </c>
    </row>
    <row r="2316" customFormat="false" ht="15" hidden="false" customHeight="false" outlineLevel="0" collapsed="false">
      <c r="A2316" s="0" t="s">
        <v>2041</v>
      </c>
      <c r="B2316" s="0" t="s">
        <v>2042</v>
      </c>
      <c r="C2316" s="0" t="s">
        <v>2161</v>
      </c>
      <c r="D2316" s="0" t="s">
        <v>2105</v>
      </c>
      <c r="E2316" s="0" t="s">
        <v>2045</v>
      </c>
      <c r="F2316" s="0" t="s">
        <v>2198</v>
      </c>
      <c r="G2316" s="0" t="s">
        <v>2199</v>
      </c>
      <c r="H2316" s="0" t="s">
        <v>2200</v>
      </c>
      <c r="I2316" s="0" t="s">
        <v>2322</v>
      </c>
      <c r="J2316" s="0" t="s">
        <v>2335</v>
      </c>
      <c r="K2316" s="272" t="n">
        <v>-25810142.1612855</v>
      </c>
    </row>
    <row r="2317" customFormat="false" ht="15" hidden="false" customHeight="false" outlineLevel="0" collapsed="false">
      <c r="A2317" s="0" t="s">
        <v>2041</v>
      </c>
      <c r="B2317" s="0" t="s">
        <v>2042</v>
      </c>
      <c r="C2317" s="0" t="s">
        <v>2161</v>
      </c>
      <c r="D2317" s="0" t="s">
        <v>2105</v>
      </c>
      <c r="E2317" s="0" t="s">
        <v>2045</v>
      </c>
      <c r="F2317" s="0" t="s">
        <v>2198</v>
      </c>
      <c r="G2317" s="0" t="s">
        <v>2199</v>
      </c>
      <c r="H2317" s="0" t="s">
        <v>2202</v>
      </c>
      <c r="I2317" s="0" t="s">
        <v>2124</v>
      </c>
      <c r="J2317" s="0" t="s">
        <v>2335</v>
      </c>
      <c r="K2317" s="272" t="n">
        <v>-760312.711392234</v>
      </c>
    </row>
    <row r="2318" customFormat="false" ht="15" hidden="false" customHeight="false" outlineLevel="0" collapsed="false">
      <c r="A2318" s="0" t="s">
        <v>2041</v>
      </c>
      <c r="B2318" s="0" t="s">
        <v>2042</v>
      </c>
      <c r="C2318" s="0" t="s">
        <v>2161</v>
      </c>
      <c r="D2318" s="0" t="s">
        <v>2105</v>
      </c>
      <c r="E2318" s="0" t="s">
        <v>2045</v>
      </c>
      <c r="F2318" s="0" t="s">
        <v>2198</v>
      </c>
      <c r="G2318" s="0" t="s">
        <v>2199</v>
      </c>
      <c r="H2318" s="0" t="s">
        <v>2202</v>
      </c>
      <c r="I2318" s="0" t="s">
        <v>2322</v>
      </c>
      <c r="J2318" s="0" t="s">
        <v>2335</v>
      </c>
      <c r="K2318" s="272" t="n">
        <v>-4174971.57498221</v>
      </c>
    </row>
    <row r="2319" customFormat="false" ht="15" hidden="false" customHeight="false" outlineLevel="0" collapsed="false">
      <c r="A2319" s="0" t="s">
        <v>2041</v>
      </c>
      <c r="B2319" s="0" t="s">
        <v>2042</v>
      </c>
      <c r="C2319" s="0" t="s">
        <v>2161</v>
      </c>
      <c r="D2319" s="0" t="s">
        <v>2105</v>
      </c>
      <c r="E2319" s="0" t="s">
        <v>2045</v>
      </c>
      <c r="F2319" s="0" t="s">
        <v>2198</v>
      </c>
      <c r="G2319" s="0" t="s">
        <v>2199</v>
      </c>
      <c r="H2319" s="0" t="s">
        <v>2203</v>
      </c>
      <c r="I2319" s="0" t="s">
        <v>2124</v>
      </c>
      <c r="J2319" s="0" t="s">
        <v>2335</v>
      </c>
      <c r="K2319" s="272" t="n">
        <v>-4318936.11205056</v>
      </c>
    </row>
    <row r="2320" customFormat="false" ht="15" hidden="false" customHeight="false" outlineLevel="0" collapsed="false">
      <c r="A2320" s="0" t="s">
        <v>2041</v>
      </c>
      <c r="B2320" s="0" t="s">
        <v>2042</v>
      </c>
      <c r="C2320" s="0" t="s">
        <v>2161</v>
      </c>
      <c r="D2320" s="0" t="s">
        <v>2105</v>
      </c>
      <c r="E2320" s="0" t="s">
        <v>2045</v>
      </c>
      <c r="F2320" s="0" t="s">
        <v>2198</v>
      </c>
      <c r="G2320" s="0" t="s">
        <v>2199</v>
      </c>
      <c r="H2320" s="0" t="s">
        <v>2203</v>
      </c>
      <c r="I2320" s="0" t="s">
        <v>2322</v>
      </c>
      <c r="J2320" s="0" t="s">
        <v>2335</v>
      </c>
      <c r="K2320" s="272" t="n">
        <v>-39144857.4072416</v>
      </c>
    </row>
    <row r="2321" customFormat="false" ht="15" hidden="false" customHeight="false" outlineLevel="0" collapsed="false">
      <c r="A2321" s="0" t="s">
        <v>2041</v>
      </c>
      <c r="B2321" s="0" t="s">
        <v>2042</v>
      </c>
      <c r="C2321" s="0" t="s">
        <v>2161</v>
      </c>
      <c r="D2321" s="0" t="s">
        <v>2105</v>
      </c>
      <c r="E2321" s="0" t="s">
        <v>2045</v>
      </c>
      <c r="F2321" s="0" t="s">
        <v>2204</v>
      </c>
      <c r="G2321" s="0" t="s">
        <v>2205</v>
      </c>
      <c r="H2321" s="0" t="s">
        <v>2206</v>
      </c>
      <c r="I2321" s="0" t="s">
        <v>2322</v>
      </c>
      <c r="J2321" s="0" t="s">
        <v>2335</v>
      </c>
      <c r="K2321" s="272" t="n">
        <v>-899778.3566772</v>
      </c>
    </row>
    <row r="2322" customFormat="false" ht="15" hidden="false" customHeight="false" outlineLevel="0" collapsed="false">
      <c r="A2322" s="0" t="s">
        <v>2041</v>
      </c>
      <c r="B2322" s="0" t="s">
        <v>2042</v>
      </c>
      <c r="C2322" s="0" t="s">
        <v>2161</v>
      </c>
      <c r="D2322" s="0" t="s">
        <v>2105</v>
      </c>
      <c r="E2322" s="0" t="s">
        <v>2045</v>
      </c>
      <c r="F2322" s="0" t="s">
        <v>2204</v>
      </c>
      <c r="G2322" s="0" t="s">
        <v>2205</v>
      </c>
      <c r="H2322" s="0" t="s">
        <v>2207</v>
      </c>
      <c r="I2322" s="0" t="s">
        <v>2322</v>
      </c>
      <c r="J2322" s="0" t="s">
        <v>2335</v>
      </c>
      <c r="K2322" s="272" t="n">
        <v>-899778.3566772</v>
      </c>
    </row>
    <row r="2323" customFormat="false" ht="15" hidden="false" customHeight="false" outlineLevel="0" collapsed="false">
      <c r="A2323" s="0" t="s">
        <v>2041</v>
      </c>
      <c r="B2323" s="0" t="s">
        <v>2042</v>
      </c>
      <c r="C2323" s="0" t="s">
        <v>2161</v>
      </c>
      <c r="D2323" s="0" t="s">
        <v>2105</v>
      </c>
      <c r="E2323" s="0" t="s">
        <v>2045</v>
      </c>
      <c r="F2323" s="0" t="s">
        <v>2204</v>
      </c>
      <c r="G2323" s="0" t="s">
        <v>2205</v>
      </c>
      <c r="H2323" s="0" t="s">
        <v>2208</v>
      </c>
      <c r="I2323" s="0" t="s">
        <v>2322</v>
      </c>
      <c r="J2323" s="0" t="s">
        <v>2335</v>
      </c>
      <c r="K2323" s="272" t="n">
        <v>-1799556.7133544</v>
      </c>
    </row>
    <row r="2324" customFormat="false" ht="15" hidden="false" customHeight="false" outlineLevel="0" collapsed="false">
      <c r="A2324" s="0" t="s">
        <v>2041</v>
      </c>
      <c r="B2324" s="0" t="s">
        <v>2042</v>
      </c>
      <c r="C2324" s="0" t="s">
        <v>2161</v>
      </c>
      <c r="D2324" s="0" t="s">
        <v>2105</v>
      </c>
      <c r="E2324" s="0" t="s">
        <v>2045</v>
      </c>
      <c r="F2324" s="0" t="s">
        <v>2204</v>
      </c>
      <c r="G2324" s="0" t="s">
        <v>2212</v>
      </c>
      <c r="H2324" s="0" t="s">
        <v>2208</v>
      </c>
      <c r="I2324" s="0" t="s">
        <v>2124</v>
      </c>
      <c r="J2324" s="0" t="s">
        <v>2335</v>
      </c>
      <c r="K2324" s="272" t="n">
        <v>-1979512.38468984</v>
      </c>
    </row>
    <row r="2325" customFormat="false" ht="15" hidden="false" customHeight="false" outlineLevel="0" collapsed="false">
      <c r="A2325" s="0" t="s">
        <v>2041</v>
      </c>
      <c r="B2325" s="0" t="s">
        <v>2042</v>
      </c>
      <c r="C2325" s="0" t="s">
        <v>2161</v>
      </c>
      <c r="D2325" s="0" t="s">
        <v>2105</v>
      </c>
      <c r="E2325" s="0" t="s">
        <v>2045</v>
      </c>
      <c r="F2325" s="0" t="s">
        <v>2204</v>
      </c>
      <c r="G2325" s="0" t="s">
        <v>2214</v>
      </c>
      <c r="H2325" s="0" t="s">
        <v>2206</v>
      </c>
      <c r="I2325" s="0" t="s">
        <v>2322</v>
      </c>
      <c r="J2325" s="0" t="s">
        <v>2335</v>
      </c>
      <c r="K2325" s="272" t="n">
        <v>-233942.372736072</v>
      </c>
    </row>
    <row r="2326" customFormat="false" ht="15" hidden="false" customHeight="false" outlineLevel="0" collapsed="false">
      <c r="A2326" s="0" t="s">
        <v>2041</v>
      </c>
      <c r="B2326" s="0" t="s">
        <v>2042</v>
      </c>
      <c r="C2326" s="0" t="s">
        <v>2161</v>
      </c>
      <c r="D2326" s="0" t="s">
        <v>2105</v>
      </c>
      <c r="E2326" s="0" t="s">
        <v>2045</v>
      </c>
      <c r="F2326" s="0" t="s">
        <v>2204</v>
      </c>
      <c r="G2326" s="0" t="s">
        <v>2214</v>
      </c>
      <c r="H2326" s="0" t="s">
        <v>2208</v>
      </c>
      <c r="I2326" s="0" t="s">
        <v>2322</v>
      </c>
      <c r="J2326" s="0" t="s">
        <v>2335</v>
      </c>
      <c r="K2326" s="272" t="n">
        <v>-233942.372736072</v>
      </c>
    </row>
    <row r="2327" customFormat="false" ht="15" hidden="false" customHeight="false" outlineLevel="0" collapsed="false">
      <c r="A2327" s="0" t="s">
        <v>2041</v>
      </c>
      <c r="B2327" s="0" t="s">
        <v>2042</v>
      </c>
      <c r="C2327" s="0" t="s">
        <v>2161</v>
      </c>
      <c r="D2327" s="0" t="s">
        <v>2105</v>
      </c>
      <c r="E2327" s="0" t="s">
        <v>2045</v>
      </c>
      <c r="F2327" s="0" t="s">
        <v>2051</v>
      </c>
      <c r="G2327" s="0" t="s">
        <v>2106</v>
      </c>
      <c r="H2327" s="0" t="s">
        <v>2235</v>
      </c>
      <c r="I2327" s="0" t="s">
        <v>2124</v>
      </c>
      <c r="J2327" s="0" t="s">
        <v>2335</v>
      </c>
      <c r="K2327" s="272" t="n">
        <v>-1799556.7133544</v>
      </c>
    </row>
    <row r="2328" customFormat="false" ht="15" hidden="false" customHeight="false" outlineLevel="0" collapsed="false">
      <c r="A2328" s="0" t="s">
        <v>2041</v>
      </c>
      <c r="B2328" s="0" t="s">
        <v>2042</v>
      </c>
      <c r="C2328" s="0" t="s">
        <v>2161</v>
      </c>
      <c r="D2328" s="0" t="s">
        <v>2105</v>
      </c>
      <c r="E2328" s="0" t="s">
        <v>2045</v>
      </c>
      <c r="F2328" s="0" t="s">
        <v>2051</v>
      </c>
      <c r="G2328" s="0" t="s">
        <v>2106</v>
      </c>
      <c r="H2328" s="0" t="s">
        <v>2107</v>
      </c>
      <c r="I2328" s="0" t="s">
        <v>2322</v>
      </c>
      <c r="J2328" s="0" t="s">
        <v>2335</v>
      </c>
      <c r="K2328" s="272" t="n">
        <v>-14239335.2736606</v>
      </c>
    </row>
    <row r="2329" customFormat="false" ht="15" hidden="false" customHeight="false" outlineLevel="0" collapsed="false">
      <c r="A2329" s="0" t="s">
        <v>2041</v>
      </c>
      <c r="B2329" s="0" t="s">
        <v>2042</v>
      </c>
      <c r="C2329" s="0" t="s">
        <v>2161</v>
      </c>
      <c r="D2329" s="0" t="s">
        <v>2105</v>
      </c>
      <c r="E2329" s="0" t="s">
        <v>2045</v>
      </c>
      <c r="F2329" s="0" t="s">
        <v>2051</v>
      </c>
      <c r="G2329" s="0" t="s">
        <v>2110</v>
      </c>
      <c r="H2329" s="0" t="s">
        <v>2115</v>
      </c>
      <c r="I2329" s="0" t="s">
        <v>2322</v>
      </c>
      <c r="J2329" s="0" t="s">
        <v>2335</v>
      </c>
      <c r="K2329" s="272" t="n">
        <v>-164386.638945559</v>
      </c>
    </row>
    <row r="2330" customFormat="false" ht="15" hidden="false" customHeight="false" outlineLevel="0" collapsed="false">
      <c r="A2330" s="0" t="s">
        <v>2041</v>
      </c>
      <c r="B2330" s="0" t="s">
        <v>2042</v>
      </c>
      <c r="C2330" s="0" t="s">
        <v>2161</v>
      </c>
      <c r="D2330" s="0" t="s">
        <v>2105</v>
      </c>
      <c r="E2330" s="0" t="s">
        <v>2045</v>
      </c>
      <c r="F2330" s="0" t="s">
        <v>2051</v>
      </c>
      <c r="G2330" s="0" t="s">
        <v>2110</v>
      </c>
      <c r="H2330" s="0" t="s">
        <v>2111</v>
      </c>
      <c r="I2330" s="0" t="s">
        <v>2322</v>
      </c>
      <c r="J2330" s="0" t="s">
        <v>2335</v>
      </c>
      <c r="K2330" s="272" t="n">
        <v>-1340107.58237218</v>
      </c>
    </row>
    <row r="2331" customFormat="false" ht="15" hidden="false" customHeight="false" outlineLevel="0" collapsed="false">
      <c r="A2331" s="0" t="s">
        <v>2041</v>
      </c>
      <c r="B2331" s="0" t="s">
        <v>2042</v>
      </c>
      <c r="C2331" s="0" t="s">
        <v>2161</v>
      </c>
      <c r="D2331" s="0" t="s">
        <v>2105</v>
      </c>
      <c r="E2331" s="0" t="s">
        <v>2045</v>
      </c>
      <c r="F2331" s="0" t="s">
        <v>2051</v>
      </c>
      <c r="G2331" s="0" t="s">
        <v>2110</v>
      </c>
      <c r="H2331" s="0" t="s">
        <v>2117</v>
      </c>
      <c r="I2331" s="0" t="s">
        <v>2322</v>
      </c>
      <c r="J2331" s="0" t="s">
        <v>2335</v>
      </c>
      <c r="K2331" s="272" t="n">
        <v>-172792.318937225</v>
      </c>
    </row>
    <row r="2332" customFormat="false" ht="15" hidden="false" customHeight="false" outlineLevel="0" collapsed="false">
      <c r="A2332" s="0" t="s">
        <v>2041</v>
      </c>
      <c r="B2332" s="0" t="s">
        <v>2042</v>
      </c>
      <c r="C2332" s="0" t="s">
        <v>2161</v>
      </c>
      <c r="D2332" s="0" t="s">
        <v>2105</v>
      </c>
      <c r="E2332" s="0" t="s">
        <v>2045</v>
      </c>
      <c r="F2332" s="0" t="s">
        <v>2051</v>
      </c>
      <c r="G2332" s="0" t="s">
        <v>2110</v>
      </c>
      <c r="H2332" s="0" t="s">
        <v>2119</v>
      </c>
      <c r="I2332" s="0" t="s">
        <v>2322</v>
      </c>
      <c r="J2332" s="0" t="s">
        <v>2335</v>
      </c>
      <c r="K2332" s="272" t="n">
        <v>-63513.0195926025</v>
      </c>
    </row>
    <row r="2333" customFormat="false" ht="15" hidden="false" customHeight="false" outlineLevel="0" collapsed="false">
      <c r="A2333" s="0" t="s">
        <v>2041</v>
      </c>
      <c r="B2333" s="0" t="s">
        <v>2042</v>
      </c>
      <c r="C2333" s="0" t="s">
        <v>2161</v>
      </c>
      <c r="D2333" s="0" t="s">
        <v>2105</v>
      </c>
      <c r="E2333" s="0" t="s">
        <v>2045</v>
      </c>
      <c r="F2333" s="0" t="s">
        <v>2051</v>
      </c>
      <c r="G2333" s="0" t="s">
        <v>2110</v>
      </c>
      <c r="H2333" s="0" t="s">
        <v>2120</v>
      </c>
      <c r="I2333" s="0" t="s">
        <v>2322</v>
      </c>
      <c r="J2333" s="0" t="s">
        <v>2335</v>
      </c>
      <c r="K2333" s="272" t="n">
        <v>-925008.203703326</v>
      </c>
    </row>
    <row r="2334" customFormat="false" ht="15" hidden="false" customHeight="false" outlineLevel="0" collapsed="false">
      <c r="A2334" s="0" t="s">
        <v>2041</v>
      </c>
      <c r="B2334" s="0" t="s">
        <v>2042</v>
      </c>
      <c r="C2334" s="0" t="s">
        <v>2161</v>
      </c>
      <c r="D2334" s="0" t="s">
        <v>2105</v>
      </c>
      <c r="E2334" s="0" t="s">
        <v>2045</v>
      </c>
      <c r="F2334" s="0" t="s">
        <v>2051</v>
      </c>
      <c r="G2334" s="0" t="s">
        <v>2110</v>
      </c>
      <c r="H2334" s="0" t="s">
        <v>2121</v>
      </c>
      <c r="I2334" s="0" t="s">
        <v>2322</v>
      </c>
      <c r="J2334" s="0" t="s">
        <v>2335</v>
      </c>
      <c r="K2334" s="272" t="n">
        <v>-663901.17742276</v>
      </c>
    </row>
    <row r="2335" customFormat="false" ht="15" hidden="false" customHeight="false" outlineLevel="0" collapsed="false">
      <c r="A2335" s="0" t="s">
        <v>2041</v>
      </c>
      <c r="B2335" s="0" t="s">
        <v>2042</v>
      </c>
      <c r="C2335" s="0" t="s">
        <v>2161</v>
      </c>
      <c r="D2335" s="0" t="s">
        <v>2105</v>
      </c>
      <c r="E2335" s="0" t="s">
        <v>2045</v>
      </c>
      <c r="F2335" s="0" t="s">
        <v>2051</v>
      </c>
      <c r="G2335" s="0" t="s">
        <v>2110</v>
      </c>
      <c r="H2335" s="0" t="s">
        <v>2122</v>
      </c>
      <c r="I2335" s="0" t="s">
        <v>2322</v>
      </c>
      <c r="J2335" s="0" t="s">
        <v>2335</v>
      </c>
      <c r="K2335" s="272" t="n">
        <v>-269229.212159686</v>
      </c>
    </row>
    <row r="2336" customFormat="false" ht="15" hidden="false" customHeight="false" outlineLevel="0" collapsed="false">
      <c r="A2336" s="0" t="s">
        <v>2041</v>
      </c>
      <c r="B2336" s="0" t="s">
        <v>2042</v>
      </c>
      <c r="C2336" s="0" t="s">
        <v>2161</v>
      </c>
      <c r="D2336" s="0" t="s">
        <v>2105</v>
      </c>
      <c r="E2336" s="0" t="s">
        <v>2045</v>
      </c>
      <c r="F2336" s="0" t="s">
        <v>2051</v>
      </c>
      <c r="G2336" s="0" t="s">
        <v>2110</v>
      </c>
      <c r="H2336" s="0" t="s">
        <v>2112</v>
      </c>
      <c r="I2336" s="0" t="s">
        <v>2322</v>
      </c>
      <c r="J2336" s="0" t="s">
        <v>2335</v>
      </c>
      <c r="K2336" s="272" t="n">
        <v>-3625007.1951978</v>
      </c>
    </row>
    <row r="2337" customFormat="false" ht="15" hidden="false" customHeight="false" outlineLevel="0" collapsed="false">
      <c r="A2337" s="0" t="s">
        <v>2041</v>
      </c>
      <c r="B2337" s="0" t="s">
        <v>2042</v>
      </c>
      <c r="C2337" s="0" t="s">
        <v>2161</v>
      </c>
      <c r="D2337" s="0" t="s">
        <v>2105</v>
      </c>
      <c r="E2337" s="0" t="s">
        <v>2045</v>
      </c>
      <c r="F2337" s="0" t="s">
        <v>2051</v>
      </c>
      <c r="G2337" s="0" t="s">
        <v>2110</v>
      </c>
      <c r="H2337" s="0" t="s">
        <v>2113</v>
      </c>
      <c r="I2337" s="0" t="s">
        <v>2322</v>
      </c>
      <c r="J2337" s="0" t="s">
        <v>2335</v>
      </c>
      <c r="K2337" s="272" t="n">
        <v>-15348967.8537105</v>
      </c>
    </row>
    <row r="2338" customFormat="false" ht="15" hidden="false" customHeight="false" outlineLevel="0" collapsed="false">
      <c r="A2338" s="0" t="s">
        <v>2041</v>
      </c>
      <c r="B2338" s="0" t="s">
        <v>2042</v>
      </c>
      <c r="C2338" s="0" t="s">
        <v>2161</v>
      </c>
      <c r="D2338" s="0" t="s">
        <v>2105</v>
      </c>
      <c r="E2338" s="0" t="s">
        <v>2045</v>
      </c>
      <c r="F2338" s="0" t="s">
        <v>2051</v>
      </c>
      <c r="G2338" s="0" t="s">
        <v>2110</v>
      </c>
      <c r="H2338" s="0" t="s">
        <v>2107</v>
      </c>
      <c r="I2338" s="0" t="s">
        <v>2322</v>
      </c>
      <c r="J2338" s="0" t="s">
        <v>2335</v>
      </c>
      <c r="K2338" s="272" t="n">
        <v>-6980144.26718969</v>
      </c>
    </row>
    <row r="2339" customFormat="false" ht="15" hidden="false" customHeight="false" outlineLevel="0" collapsed="false">
      <c r="A2339" s="0" t="s">
        <v>2041</v>
      </c>
      <c r="B2339" s="0" t="s">
        <v>2042</v>
      </c>
      <c r="C2339" s="0" t="s">
        <v>2161</v>
      </c>
      <c r="D2339" s="0" t="s">
        <v>2105</v>
      </c>
      <c r="E2339" s="0" t="s">
        <v>2045</v>
      </c>
      <c r="F2339" s="0" t="s">
        <v>2051</v>
      </c>
      <c r="G2339" s="0" t="s">
        <v>2114</v>
      </c>
      <c r="H2339" s="0" t="s">
        <v>2115</v>
      </c>
      <c r="I2339" s="0" t="s">
        <v>2322</v>
      </c>
      <c r="J2339" s="0" t="s">
        <v>2335</v>
      </c>
      <c r="K2339" s="272" t="n">
        <v>-6276455.93937621</v>
      </c>
    </row>
    <row r="2340" customFormat="false" ht="15" hidden="false" customHeight="false" outlineLevel="0" collapsed="false">
      <c r="A2340" s="0" t="s">
        <v>2041</v>
      </c>
      <c r="B2340" s="0" t="s">
        <v>2042</v>
      </c>
      <c r="C2340" s="0" t="s">
        <v>2161</v>
      </c>
      <c r="D2340" s="0" t="s">
        <v>2105</v>
      </c>
      <c r="E2340" s="0" t="s">
        <v>2045</v>
      </c>
      <c r="F2340" s="0" t="s">
        <v>2051</v>
      </c>
      <c r="G2340" s="0" t="s">
        <v>2114</v>
      </c>
      <c r="H2340" s="0" t="s">
        <v>2116</v>
      </c>
      <c r="I2340" s="0" t="s">
        <v>2322</v>
      </c>
      <c r="J2340" s="0" t="s">
        <v>2335</v>
      </c>
      <c r="K2340" s="272" t="n">
        <v>-668387.301202135</v>
      </c>
    </row>
    <row r="2341" customFormat="false" ht="15" hidden="false" customHeight="false" outlineLevel="0" collapsed="false">
      <c r="A2341" s="0" t="s">
        <v>2041</v>
      </c>
      <c r="B2341" s="0" t="s">
        <v>2042</v>
      </c>
      <c r="C2341" s="0" t="s">
        <v>2161</v>
      </c>
      <c r="D2341" s="0" t="s">
        <v>2105</v>
      </c>
      <c r="E2341" s="0" t="s">
        <v>2045</v>
      </c>
      <c r="F2341" s="0" t="s">
        <v>2051</v>
      </c>
      <c r="G2341" s="0" t="s">
        <v>2114</v>
      </c>
      <c r="H2341" s="0" t="s">
        <v>2117</v>
      </c>
      <c r="I2341" s="0" t="s">
        <v>2322</v>
      </c>
      <c r="J2341" s="0" t="s">
        <v>2335</v>
      </c>
      <c r="K2341" s="272" t="n">
        <v>-420506.321987178</v>
      </c>
    </row>
    <row r="2342" customFormat="false" ht="15" hidden="false" customHeight="false" outlineLevel="0" collapsed="false">
      <c r="A2342" s="0" t="s">
        <v>2041</v>
      </c>
      <c r="B2342" s="0" t="s">
        <v>2042</v>
      </c>
      <c r="C2342" s="0" t="s">
        <v>2161</v>
      </c>
      <c r="D2342" s="0" t="s">
        <v>2105</v>
      </c>
      <c r="E2342" s="0" t="s">
        <v>2045</v>
      </c>
      <c r="F2342" s="0" t="s">
        <v>2051</v>
      </c>
      <c r="G2342" s="0" t="s">
        <v>2114</v>
      </c>
      <c r="H2342" s="0" t="s">
        <v>2118</v>
      </c>
      <c r="I2342" s="0" t="s">
        <v>2322</v>
      </c>
      <c r="J2342" s="0" t="s">
        <v>2335</v>
      </c>
      <c r="K2342" s="272" t="n">
        <v>-405527.646971512</v>
      </c>
    </row>
    <row r="2343" customFormat="false" ht="15" hidden="false" customHeight="false" outlineLevel="0" collapsed="false">
      <c r="A2343" s="0" t="s">
        <v>2041</v>
      </c>
      <c r="B2343" s="0" t="s">
        <v>2042</v>
      </c>
      <c r="C2343" s="0" t="s">
        <v>2161</v>
      </c>
      <c r="D2343" s="0" t="s">
        <v>2105</v>
      </c>
      <c r="E2343" s="0" t="s">
        <v>2045</v>
      </c>
      <c r="F2343" s="0" t="s">
        <v>2051</v>
      </c>
      <c r="G2343" s="0" t="s">
        <v>2114</v>
      </c>
      <c r="H2343" s="0" t="s">
        <v>2119</v>
      </c>
      <c r="I2343" s="0" t="s">
        <v>2322</v>
      </c>
      <c r="J2343" s="0" t="s">
        <v>2335</v>
      </c>
      <c r="K2343" s="272" t="n">
        <v>-1725664.04203575</v>
      </c>
    </row>
    <row r="2344" customFormat="false" ht="15" hidden="false" customHeight="false" outlineLevel="0" collapsed="false">
      <c r="A2344" s="0" t="s">
        <v>2041</v>
      </c>
      <c r="B2344" s="0" t="s">
        <v>2042</v>
      </c>
      <c r="C2344" s="0" t="s">
        <v>2161</v>
      </c>
      <c r="D2344" s="0" t="s">
        <v>2105</v>
      </c>
      <c r="E2344" s="0" t="s">
        <v>2045</v>
      </c>
      <c r="F2344" s="0" t="s">
        <v>2051</v>
      </c>
      <c r="G2344" s="0" t="s">
        <v>2114</v>
      </c>
      <c r="H2344" s="0" t="s">
        <v>2120</v>
      </c>
      <c r="I2344" s="0" t="s">
        <v>2322</v>
      </c>
      <c r="J2344" s="0" t="s">
        <v>2335</v>
      </c>
      <c r="K2344" s="272" t="n">
        <v>-2028304.72013675</v>
      </c>
    </row>
    <row r="2345" customFormat="false" ht="15" hidden="false" customHeight="false" outlineLevel="0" collapsed="false">
      <c r="A2345" s="0" t="s">
        <v>2041</v>
      </c>
      <c r="B2345" s="0" t="s">
        <v>2042</v>
      </c>
      <c r="C2345" s="0" t="s">
        <v>2161</v>
      </c>
      <c r="D2345" s="0" t="s">
        <v>2105</v>
      </c>
      <c r="E2345" s="0" t="s">
        <v>2045</v>
      </c>
      <c r="F2345" s="0" t="s">
        <v>2051</v>
      </c>
      <c r="G2345" s="0" t="s">
        <v>2114</v>
      </c>
      <c r="H2345" s="0" t="s">
        <v>2121</v>
      </c>
      <c r="I2345" s="0" t="s">
        <v>2322</v>
      </c>
      <c r="J2345" s="0" t="s">
        <v>2335</v>
      </c>
      <c r="K2345" s="272" t="n">
        <v>-1088174.05977362</v>
      </c>
    </row>
    <row r="2346" customFormat="false" ht="15" hidden="false" customHeight="false" outlineLevel="0" collapsed="false">
      <c r="A2346" s="0" t="s">
        <v>2041</v>
      </c>
      <c r="B2346" s="0" t="s">
        <v>2042</v>
      </c>
      <c r="C2346" s="0" t="s">
        <v>2161</v>
      </c>
      <c r="D2346" s="0" t="s">
        <v>2105</v>
      </c>
      <c r="E2346" s="0" t="s">
        <v>2045</v>
      </c>
      <c r="F2346" s="0" t="s">
        <v>2051</v>
      </c>
      <c r="G2346" s="0" t="s">
        <v>2114</v>
      </c>
      <c r="H2346" s="0" t="s">
        <v>2122</v>
      </c>
      <c r="I2346" s="0" t="s">
        <v>2322</v>
      </c>
      <c r="J2346" s="0" t="s">
        <v>2335</v>
      </c>
      <c r="K2346" s="272" t="n">
        <v>-2295513.90331472</v>
      </c>
    </row>
    <row r="2347" customFormat="false" ht="15" hidden="false" customHeight="false" outlineLevel="0" collapsed="false">
      <c r="A2347" s="0" t="s">
        <v>2041</v>
      </c>
      <c r="B2347" s="0" t="s">
        <v>2042</v>
      </c>
      <c r="C2347" s="0" t="s">
        <v>2161</v>
      </c>
      <c r="D2347" s="0" t="s">
        <v>2105</v>
      </c>
      <c r="E2347" s="0" t="s">
        <v>2045</v>
      </c>
      <c r="F2347" s="0" t="s">
        <v>2051</v>
      </c>
      <c r="G2347" s="0" t="s">
        <v>2114</v>
      </c>
      <c r="H2347" s="0" t="s">
        <v>2112</v>
      </c>
      <c r="I2347" s="0" t="s">
        <v>2322</v>
      </c>
      <c r="J2347" s="0" t="s">
        <v>2335</v>
      </c>
      <c r="K2347" s="272" t="n">
        <v>-670892.841261896</v>
      </c>
    </row>
    <row r="2348" customFormat="false" ht="15" hidden="false" customHeight="false" outlineLevel="0" collapsed="false">
      <c r="A2348" s="0" t="s">
        <v>2041</v>
      </c>
      <c r="B2348" s="0" t="s">
        <v>2042</v>
      </c>
      <c r="C2348" s="0" t="s">
        <v>2161</v>
      </c>
      <c r="D2348" s="0" t="s">
        <v>2105</v>
      </c>
      <c r="E2348" s="0" t="s">
        <v>2045</v>
      </c>
      <c r="F2348" s="0" t="s">
        <v>2051</v>
      </c>
      <c r="G2348" s="0" t="s">
        <v>2114</v>
      </c>
      <c r="H2348" s="0" t="s">
        <v>2113</v>
      </c>
      <c r="I2348" s="0" t="s">
        <v>2322</v>
      </c>
      <c r="J2348" s="0" t="s">
        <v>2335</v>
      </c>
      <c r="K2348" s="272" t="n">
        <v>-424212.282388386</v>
      </c>
    </row>
    <row r="2349" customFormat="false" ht="15" hidden="false" customHeight="false" outlineLevel="0" collapsed="false">
      <c r="A2349" s="0" t="s">
        <v>2041</v>
      </c>
      <c r="B2349" s="0" t="s">
        <v>2042</v>
      </c>
      <c r="C2349" s="0" t="s">
        <v>2161</v>
      </c>
      <c r="D2349" s="0" t="s">
        <v>2105</v>
      </c>
      <c r="E2349" s="0" t="s">
        <v>2045</v>
      </c>
      <c r="F2349" s="0" t="s">
        <v>2051</v>
      </c>
      <c r="G2349" s="0" t="s">
        <v>2114</v>
      </c>
      <c r="H2349" s="0" t="s">
        <v>2107</v>
      </c>
      <c r="I2349" s="0" t="s">
        <v>2322</v>
      </c>
      <c r="J2349" s="0" t="s">
        <v>2335</v>
      </c>
      <c r="K2349" s="272" t="n">
        <v>-5590976.61901157</v>
      </c>
    </row>
    <row r="2350" customFormat="false" ht="15" hidden="false" customHeight="false" outlineLevel="0" collapsed="false">
      <c r="A2350" s="0" t="s">
        <v>2041</v>
      </c>
      <c r="B2350" s="0" t="s">
        <v>2042</v>
      </c>
      <c r="C2350" s="0" t="s">
        <v>2161</v>
      </c>
      <c r="D2350" s="0" t="s">
        <v>2105</v>
      </c>
      <c r="E2350" s="0" t="s">
        <v>2045</v>
      </c>
      <c r="F2350" s="0" t="s">
        <v>2051</v>
      </c>
      <c r="G2350" s="0" t="s">
        <v>2123</v>
      </c>
      <c r="H2350" s="0" t="s">
        <v>2115</v>
      </c>
      <c r="I2350" s="0" t="s">
        <v>2322</v>
      </c>
      <c r="J2350" s="0" t="s">
        <v>2335</v>
      </c>
      <c r="K2350" s="272" t="n">
        <v>-1091407.7147066</v>
      </c>
    </row>
    <row r="2351" customFormat="false" ht="15" hidden="false" customHeight="false" outlineLevel="0" collapsed="false">
      <c r="A2351" s="0" t="s">
        <v>2041</v>
      </c>
      <c r="B2351" s="0" t="s">
        <v>2042</v>
      </c>
      <c r="C2351" s="0" t="s">
        <v>2161</v>
      </c>
      <c r="D2351" s="0" t="s">
        <v>2105</v>
      </c>
      <c r="E2351" s="0" t="s">
        <v>2045</v>
      </c>
      <c r="F2351" s="0" t="s">
        <v>2051</v>
      </c>
      <c r="G2351" s="0" t="s">
        <v>2123</v>
      </c>
      <c r="H2351" s="0" t="s">
        <v>2116</v>
      </c>
      <c r="I2351" s="0" t="s">
        <v>2322</v>
      </c>
      <c r="J2351" s="0" t="s">
        <v>2335</v>
      </c>
      <c r="K2351" s="272" t="n">
        <v>-1231329.81774722</v>
      </c>
    </row>
    <row r="2352" customFormat="false" ht="15" hidden="false" customHeight="false" outlineLevel="0" collapsed="false">
      <c r="A2352" s="0" t="s">
        <v>2041</v>
      </c>
      <c r="B2352" s="0" t="s">
        <v>2042</v>
      </c>
      <c r="C2352" s="0" t="s">
        <v>2161</v>
      </c>
      <c r="D2352" s="0" t="s">
        <v>2105</v>
      </c>
      <c r="E2352" s="0" t="s">
        <v>2045</v>
      </c>
      <c r="F2352" s="0" t="s">
        <v>2051</v>
      </c>
      <c r="G2352" s="0" t="s">
        <v>2123</v>
      </c>
      <c r="H2352" s="0" t="s">
        <v>2111</v>
      </c>
      <c r="I2352" s="0" t="s">
        <v>2322</v>
      </c>
      <c r="J2352" s="0" t="s">
        <v>2335</v>
      </c>
      <c r="K2352" s="272" t="n">
        <v>-2376078.25221203</v>
      </c>
    </row>
    <row r="2353" customFormat="false" ht="15" hidden="false" customHeight="false" outlineLevel="0" collapsed="false">
      <c r="A2353" s="0" t="s">
        <v>2041</v>
      </c>
      <c r="B2353" s="0" t="s">
        <v>2042</v>
      </c>
      <c r="C2353" s="0" t="s">
        <v>2161</v>
      </c>
      <c r="D2353" s="0" t="s">
        <v>2105</v>
      </c>
      <c r="E2353" s="0" t="s">
        <v>2045</v>
      </c>
      <c r="F2353" s="0" t="s">
        <v>2051</v>
      </c>
      <c r="G2353" s="0" t="s">
        <v>2123</v>
      </c>
      <c r="H2353" s="0" t="s">
        <v>2117</v>
      </c>
      <c r="I2353" s="0" t="s">
        <v>2322</v>
      </c>
      <c r="J2353" s="0" t="s">
        <v>2335</v>
      </c>
      <c r="K2353" s="272" t="n">
        <v>-623786.126936809</v>
      </c>
    </row>
    <row r="2354" customFormat="false" ht="15" hidden="false" customHeight="false" outlineLevel="0" collapsed="false">
      <c r="A2354" s="0" t="s">
        <v>2041</v>
      </c>
      <c r="B2354" s="0" t="s">
        <v>2042</v>
      </c>
      <c r="C2354" s="0" t="s">
        <v>2161</v>
      </c>
      <c r="D2354" s="0" t="s">
        <v>2105</v>
      </c>
      <c r="E2354" s="0" t="s">
        <v>2045</v>
      </c>
      <c r="F2354" s="0" t="s">
        <v>2051</v>
      </c>
      <c r="G2354" s="0" t="s">
        <v>2123</v>
      </c>
      <c r="H2354" s="0" t="s">
        <v>2119</v>
      </c>
      <c r="I2354" s="0" t="s">
        <v>2322</v>
      </c>
      <c r="J2354" s="0" t="s">
        <v>2335</v>
      </c>
      <c r="K2354" s="272" t="n">
        <v>-81013.2440520453</v>
      </c>
    </row>
    <row r="2355" customFormat="false" ht="15" hidden="false" customHeight="false" outlineLevel="0" collapsed="false">
      <c r="A2355" s="0" t="s">
        <v>2041</v>
      </c>
      <c r="B2355" s="0" t="s">
        <v>2042</v>
      </c>
      <c r="C2355" s="0" t="s">
        <v>2161</v>
      </c>
      <c r="D2355" s="0" t="s">
        <v>2105</v>
      </c>
      <c r="E2355" s="0" t="s">
        <v>2045</v>
      </c>
      <c r="F2355" s="0" t="s">
        <v>2051</v>
      </c>
      <c r="G2355" s="0" t="s">
        <v>2123</v>
      </c>
      <c r="H2355" s="0" t="s">
        <v>2120</v>
      </c>
      <c r="I2355" s="0" t="s">
        <v>2322</v>
      </c>
      <c r="J2355" s="0" t="s">
        <v>2335</v>
      </c>
      <c r="K2355" s="272" t="n">
        <v>-461390.866108126</v>
      </c>
    </row>
    <row r="2356" customFormat="false" ht="15" hidden="false" customHeight="false" outlineLevel="0" collapsed="false">
      <c r="A2356" s="0" t="s">
        <v>2041</v>
      </c>
      <c r="B2356" s="0" t="s">
        <v>2042</v>
      </c>
      <c r="C2356" s="0" t="s">
        <v>2161</v>
      </c>
      <c r="D2356" s="0" t="s">
        <v>2105</v>
      </c>
      <c r="E2356" s="0" t="s">
        <v>2045</v>
      </c>
      <c r="F2356" s="0" t="s">
        <v>2051</v>
      </c>
      <c r="G2356" s="0" t="s">
        <v>2123</v>
      </c>
      <c r="H2356" s="0" t="s">
        <v>2121</v>
      </c>
      <c r="I2356" s="0" t="s">
        <v>2124</v>
      </c>
      <c r="J2356" s="0" t="s">
        <v>2335</v>
      </c>
      <c r="K2356" s="272" t="n">
        <v>-38870.580490777</v>
      </c>
    </row>
    <row r="2357" customFormat="false" ht="15" hidden="false" customHeight="false" outlineLevel="0" collapsed="false">
      <c r="A2357" s="0" t="s">
        <v>2041</v>
      </c>
      <c r="B2357" s="0" t="s">
        <v>2042</v>
      </c>
      <c r="C2357" s="0" t="s">
        <v>2161</v>
      </c>
      <c r="D2357" s="0" t="s">
        <v>2105</v>
      </c>
      <c r="E2357" s="0" t="s">
        <v>2045</v>
      </c>
      <c r="F2357" s="0" t="s">
        <v>2051</v>
      </c>
      <c r="G2357" s="0" t="s">
        <v>2123</v>
      </c>
      <c r="H2357" s="0" t="s">
        <v>2121</v>
      </c>
      <c r="I2357" s="0" t="s">
        <v>2322</v>
      </c>
      <c r="J2357" s="0" t="s">
        <v>2335</v>
      </c>
      <c r="K2357" s="272" t="n">
        <v>-90343.8001912361</v>
      </c>
    </row>
    <row r="2358" customFormat="false" ht="15" hidden="false" customHeight="false" outlineLevel="0" collapsed="false">
      <c r="A2358" s="0" t="s">
        <v>2041</v>
      </c>
      <c r="B2358" s="0" t="s">
        <v>2042</v>
      </c>
      <c r="C2358" s="0" t="s">
        <v>2161</v>
      </c>
      <c r="D2358" s="0" t="s">
        <v>2105</v>
      </c>
      <c r="E2358" s="0" t="s">
        <v>2045</v>
      </c>
      <c r="F2358" s="0" t="s">
        <v>2051</v>
      </c>
      <c r="G2358" s="0" t="s">
        <v>2123</v>
      </c>
      <c r="H2358" s="0" t="s">
        <v>2122</v>
      </c>
      <c r="I2358" s="0" t="s">
        <v>2124</v>
      </c>
      <c r="J2358" s="0" t="s">
        <v>2335</v>
      </c>
      <c r="K2358" s="272" t="n">
        <v>-64784.3008179617</v>
      </c>
    </row>
    <row r="2359" customFormat="false" ht="15" hidden="false" customHeight="false" outlineLevel="0" collapsed="false">
      <c r="A2359" s="0" t="s">
        <v>2041</v>
      </c>
      <c r="B2359" s="0" t="s">
        <v>2042</v>
      </c>
      <c r="C2359" s="0" t="s">
        <v>2161</v>
      </c>
      <c r="D2359" s="0" t="s">
        <v>2105</v>
      </c>
      <c r="E2359" s="0" t="s">
        <v>2045</v>
      </c>
      <c r="F2359" s="0" t="s">
        <v>2051</v>
      </c>
      <c r="G2359" s="0" t="s">
        <v>2123</v>
      </c>
      <c r="H2359" s="0" t="s">
        <v>2122</v>
      </c>
      <c r="I2359" s="0" t="s">
        <v>2322</v>
      </c>
      <c r="J2359" s="0" t="s">
        <v>2335</v>
      </c>
      <c r="K2359" s="272" t="n">
        <v>-982776.793940163</v>
      </c>
    </row>
    <row r="2360" customFormat="false" ht="15" hidden="false" customHeight="false" outlineLevel="0" collapsed="false">
      <c r="A2360" s="0" t="s">
        <v>2041</v>
      </c>
      <c r="B2360" s="0" t="s">
        <v>2042</v>
      </c>
      <c r="C2360" s="0" t="s">
        <v>2161</v>
      </c>
      <c r="D2360" s="0" t="s">
        <v>2105</v>
      </c>
      <c r="E2360" s="0" t="s">
        <v>2045</v>
      </c>
      <c r="F2360" s="0" t="s">
        <v>2051</v>
      </c>
      <c r="G2360" s="0" t="s">
        <v>2123</v>
      </c>
      <c r="H2360" s="0" t="s">
        <v>2112</v>
      </c>
      <c r="I2360" s="0" t="s">
        <v>2124</v>
      </c>
      <c r="J2360" s="0" t="s">
        <v>2335</v>
      </c>
      <c r="K2360" s="272" t="n">
        <v>-25913.7203271847</v>
      </c>
    </row>
    <row r="2361" customFormat="false" ht="15" hidden="false" customHeight="false" outlineLevel="0" collapsed="false">
      <c r="A2361" s="0" t="s">
        <v>2041</v>
      </c>
      <c r="B2361" s="0" t="s">
        <v>2042</v>
      </c>
      <c r="C2361" s="0" t="s">
        <v>2161</v>
      </c>
      <c r="D2361" s="0" t="s">
        <v>2105</v>
      </c>
      <c r="E2361" s="0" t="s">
        <v>2045</v>
      </c>
      <c r="F2361" s="0" t="s">
        <v>2051</v>
      </c>
      <c r="G2361" s="0" t="s">
        <v>2123</v>
      </c>
      <c r="H2361" s="0" t="s">
        <v>2112</v>
      </c>
      <c r="I2361" s="0" t="s">
        <v>2322</v>
      </c>
      <c r="J2361" s="0" t="s">
        <v>2335</v>
      </c>
      <c r="K2361" s="272" t="n">
        <v>-504240.478926667</v>
      </c>
    </row>
    <row r="2362" customFormat="false" ht="15" hidden="false" customHeight="false" outlineLevel="0" collapsed="false">
      <c r="A2362" s="0" t="s">
        <v>2041</v>
      </c>
      <c r="B2362" s="0" t="s">
        <v>2042</v>
      </c>
      <c r="C2362" s="0" t="s">
        <v>2161</v>
      </c>
      <c r="D2362" s="0" t="s">
        <v>2105</v>
      </c>
      <c r="E2362" s="0" t="s">
        <v>2045</v>
      </c>
      <c r="F2362" s="0" t="s">
        <v>2051</v>
      </c>
      <c r="G2362" s="0" t="s">
        <v>2123</v>
      </c>
      <c r="H2362" s="0" t="s">
        <v>2113</v>
      </c>
      <c r="I2362" s="0" t="s">
        <v>2322</v>
      </c>
      <c r="J2362" s="0" t="s">
        <v>2335</v>
      </c>
      <c r="K2362" s="272" t="n">
        <v>-2053966.75723073</v>
      </c>
    </row>
    <row r="2363" customFormat="false" ht="15" hidden="false" customHeight="false" outlineLevel="0" collapsed="false">
      <c r="A2363" s="0" t="s">
        <v>2041</v>
      </c>
      <c r="B2363" s="0" t="s">
        <v>2042</v>
      </c>
      <c r="C2363" s="0" t="s">
        <v>2161</v>
      </c>
      <c r="D2363" s="0" t="s">
        <v>2105</v>
      </c>
      <c r="E2363" s="0" t="s">
        <v>2045</v>
      </c>
      <c r="F2363" s="0" t="s">
        <v>2051</v>
      </c>
      <c r="G2363" s="0" t="s">
        <v>2123</v>
      </c>
      <c r="H2363" s="0" t="s">
        <v>2107</v>
      </c>
      <c r="I2363" s="0" t="s">
        <v>2322</v>
      </c>
      <c r="J2363" s="0" t="s">
        <v>2335</v>
      </c>
      <c r="K2363" s="272" t="n">
        <v>-3184507.22462894</v>
      </c>
    </row>
    <row r="2364" customFormat="false" ht="15" hidden="false" customHeight="false" outlineLevel="0" collapsed="false">
      <c r="A2364" s="0" t="s">
        <v>2041</v>
      </c>
      <c r="B2364" s="0" t="s">
        <v>2042</v>
      </c>
      <c r="C2364" s="0" t="s">
        <v>2161</v>
      </c>
      <c r="D2364" s="0" t="s">
        <v>2105</v>
      </c>
      <c r="E2364" s="0" t="s">
        <v>2045</v>
      </c>
      <c r="F2364" s="0" t="s">
        <v>2046</v>
      </c>
      <c r="G2364" s="0" t="s">
        <v>2125</v>
      </c>
      <c r="H2364" s="0" t="s">
        <v>2126</v>
      </c>
      <c r="I2364" s="0" t="s">
        <v>2124</v>
      </c>
      <c r="J2364" s="0" t="s">
        <v>2335</v>
      </c>
      <c r="K2364" s="272" t="n">
        <v>-4498891.783386</v>
      </c>
    </row>
    <row r="2365" customFormat="false" ht="15" hidden="false" customHeight="false" outlineLevel="0" collapsed="false">
      <c r="A2365" s="0" t="s">
        <v>2041</v>
      </c>
      <c r="B2365" s="0" t="s">
        <v>2042</v>
      </c>
      <c r="C2365" s="0" t="s">
        <v>2161</v>
      </c>
      <c r="D2365" s="0" t="s">
        <v>2105</v>
      </c>
      <c r="E2365" s="0" t="s">
        <v>2045</v>
      </c>
      <c r="F2365" s="0" t="s">
        <v>2046</v>
      </c>
      <c r="G2365" s="0" t="s">
        <v>2125</v>
      </c>
      <c r="H2365" s="0" t="s">
        <v>2126</v>
      </c>
      <c r="I2365" s="0" t="s">
        <v>2322</v>
      </c>
      <c r="J2365" s="0" t="s">
        <v>2335</v>
      </c>
      <c r="K2365" s="272" t="n">
        <v>-30421506.2392561</v>
      </c>
    </row>
    <row r="2366" customFormat="false" ht="15" hidden="false" customHeight="false" outlineLevel="0" collapsed="false">
      <c r="A2366" s="0" t="s">
        <v>2041</v>
      </c>
      <c r="B2366" s="0" t="s">
        <v>2042</v>
      </c>
      <c r="C2366" s="0" t="s">
        <v>2161</v>
      </c>
      <c r="D2366" s="0" t="s">
        <v>2105</v>
      </c>
      <c r="E2366" s="0" t="s">
        <v>2045</v>
      </c>
      <c r="F2366" s="0" t="s">
        <v>2046</v>
      </c>
      <c r="G2366" s="0" t="s">
        <v>2127</v>
      </c>
      <c r="H2366" s="0" t="s">
        <v>2128</v>
      </c>
      <c r="I2366" s="0" t="s">
        <v>2124</v>
      </c>
      <c r="J2366" s="0" t="s">
        <v>2335</v>
      </c>
      <c r="K2366" s="272" t="n">
        <v>-4498891.783386</v>
      </c>
    </row>
    <row r="2367" customFormat="false" ht="15" hidden="false" customHeight="false" outlineLevel="0" collapsed="false">
      <c r="A2367" s="0" t="s">
        <v>2041</v>
      </c>
      <c r="B2367" s="0" t="s">
        <v>2042</v>
      </c>
      <c r="C2367" s="0" t="s">
        <v>2161</v>
      </c>
      <c r="D2367" s="0" t="s">
        <v>2105</v>
      </c>
      <c r="E2367" s="0" t="s">
        <v>2045</v>
      </c>
      <c r="F2367" s="0" t="s">
        <v>2046</v>
      </c>
      <c r="G2367" s="0" t="s">
        <v>2127</v>
      </c>
      <c r="H2367" s="0" t="s">
        <v>2128</v>
      </c>
      <c r="I2367" s="0" t="s">
        <v>2322</v>
      </c>
      <c r="J2367" s="0" t="s">
        <v>2335</v>
      </c>
      <c r="K2367" s="272" t="n">
        <v>-36531001.2810943</v>
      </c>
    </row>
    <row r="2368" customFormat="false" ht="15" hidden="false" customHeight="false" outlineLevel="0" collapsed="false">
      <c r="A2368" s="0" t="s">
        <v>2041</v>
      </c>
      <c r="B2368" s="0" t="s">
        <v>2042</v>
      </c>
      <c r="C2368" s="0" t="s">
        <v>2161</v>
      </c>
      <c r="D2368" s="0" t="s">
        <v>2105</v>
      </c>
      <c r="E2368" s="0" t="s">
        <v>2045</v>
      </c>
      <c r="F2368" s="0" t="s">
        <v>2046</v>
      </c>
      <c r="G2368" s="0" t="s">
        <v>2127</v>
      </c>
      <c r="H2368" s="0" t="s">
        <v>2132</v>
      </c>
      <c r="I2368" s="0" t="s">
        <v>2322</v>
      </c>
      <c r="J2368" s="0" t="s">
        <v>2335</v>
      </c>
      <c r="K2368" s="272" t="n">
        <v>-89977.83566772</v>
      </c>
    </row>
    <row r="2369" customFormat="false" ht="15" hidden="false" customHeight="false" outlineLevel="0" collapsed="false">
      <c r="A2369" s="0" t="s">
        <v>2041</v>
      </c>
      <c r="B2369" s="0" t="s">
        <v>2042</v>
      </c>
      <c r="C2369" s="0" t="s">
        <v>2161</v>
      </c>
      <c r="D2369" s="0" t="s">
        <v>2105</v>
      </c>
      <c r="E2369" s="0" t="s">
        <v>2045</v>
      </c>
      <c r="F2369" s="0" t="s">
        <v>2046</v>
      </c>
      <c r="G2369" s="0" t="s">
        <v>2129</v>
      </c>
      <c r="H2369" s="0" t="s">
        <v>2130</v>
      </c>
      <c r="I2369" s="0" t="s">
        <v>2124</v>
      </c>
      <c r="J2369" s="0" t="s">
        <v>2335</v>
      </c>
      <c r="K2369" s="272" t="n">
        <v>-2285437.02596009</v>
      </c>
    </row>
    <row r="2370" customFormat="false" ht="15" hidden="false" customHeight="false" outlineLevel="0" collapsed="false">
      <c r="A2370" s="0" t="s">
        <v>2041</v>
      </c>
      <c r="B2370" s="0" t="s">
        <v>2042</v>
      </c>
      <c r="C2370" s="0" t="s">
        <v>2161</v>
      </c>
      <c r="D2370" s="0" t="s">
        <v>2105</v>
      </c>
      <c r="E2370" s="0" t="s">
        <v>2045</v>
      </c>
      <c r="F2370" s="0" t="s">
        <v>2046</v>
      </c>
      <c r="G2370" s="0" t="s">
        <v>2129</v>
      </c>
      <c r="H2370" s="0" t="s">
        <v>2130</v>
      </c>
      <c r="I2370" s="0" t="s">
        <v>2322</v>
      </c>
      <c r="J2370" s="0" t="s">
        <v>2335</v>
      </c>
      <c r="K2370" s="272" t="n">
        <v>-19255256.8328921</v>
      </c>
    </row>
    <row r="2371" customFormat="false" ht="15" hidden="false" customHeight="false" outlineLevel="0" collapsed="false">
      <c r="A2371" s="0" t="s">
        <v>2041</v>
      </c>
      <c r="B2371" s="0" t="s">
        <v>2042</v>
      </c>
      <c r="C2371" s="0" t="s">
        <v>2161</v>
      </c>
      <c r="D2371" s="0" t="s">
        <v>2105</v>
      </c>
      <c r="E2371" s="0" t="s">
        <v>2045</v>
      </c>
      <c r="F2371" s="0" t="s">
        <v>2046</v>
      </c>
      <c r="G2371" s="0" t="s">
        <v>2131</v>
      </c>
      <c r="H2371" s="0" t="s">
        <v>2132</v>
      </c>
      <c r="I2371" s="0" t="s">
        <v>2124</v>
      </c>
      <c r="J2371" s="0" t="s">
        <v>2335</v>
      </c>
      <c r="K2371" s="272" t="n">
        <v>-1349667.5350158</v>
      </c>
    </row>
    <row r="2372" customFormat="false" ht="15" hidden="false" customHeight="false" outlineLevel="0" collapsed="false">
      <c r="A2372" s="0" t="s">
        <v>2041</v>
      </c>
      <c r="B2372" s="0" t="s">
        <v>2042</v>
      </c>
      <c r="C2372" s="0" t="s">
        <v>2161</v>
      </c>
      <c r="D2372" s="0" t="s">
        <v>2105</v>
      </c>
      <c r="E2372" s="0" t="s">
        <v>2045</v>
      </c>
      <c r="F2372" s="0" t="s">
        <v>2046</v>
      </c>
      <c r="G2372" s="0" t="s">
        <v>2131</v>
      </c>
      <c r="H2372" s="0" t="s">
        <v>2132</v>
      </c>
      <c r="I2372" s="0" t="s">
        <v>2322</v>
      </c>
      <c r="J2372" s="0" t="s">
        <v>2335</v>
      </c>
      <c r="K2372" s="272" t="n">
        <v>-16573917.329994</v>
      </c>
    </row>
    <row r="2373" customFormat="false" ht="15" hidden="false" customHeight="false" outlineLevel="0" collapsed="false">
      <c r="A2373" s="0" t="s">
        <v>2041</v>
      </c>
      <c r="B2373" s="0" t="s">
        <v>2042</v>
      </c>
      <c r="C2373" s="0" t="s">
        <v>2161</v>
      </c>
      <c r="D2373" s="0" t="s">
        <v>2105</v>
      </c>
      <c r="E2373" s="0" t="s">
        <v>2045</v>
      </c>
      <c r="F2373" s="0" t="s">
        <v>2046</v>
      </c>
      <c r="G2373" s="0" t="s">
        <v>2133</v>
      </c>
      <c r="H2373" s="0" t="s">
        <v>2134</v>
      </c>
      <c r="I2373" s="0" t="s">
        <v>2322</v>
      </c>
      <c r="J2373" s="0" t="s">
        <v>2335</v>
      </c>
      <c r="K2373" s="272" t="n">
        <v>-37340801.8021038</v>
      </c>
    </row>
    <row r="2374" customFormat="false" ht="15" hidden="false" customHeight="false" outlineLevel="0" collapsed="false">
      <c r="A2374" s="0" t="s">
        <v>2041</v>
      </c>
      <c r="B2374" s="0" t="s">
        <v>2042</v>
      </c>
      <c r="C2374" s="0" t="s">
        <v>2161</v>
      </c>
      <c r="D2374" s="0" t="s">
        <v>2105</v>
      </c>
      <c r="E2374" s="0" t="s">
        <v>2045</v>
      </c>
      <c r="F2374" s="0" t="s">
        <v>2046</v>
      </c>
      <c r="G2374" s="0" t="s">
        <v>2135</v>
      </c>
      <c r="H2374" s="0" t="s">
        <v>2136</v>
      </c>
      <c r="I2374" s="0" t="s">
        <v>2124</v>
      </c>
      <c r="J2374" s="0" t="s">
        <v>2335</v>
      </c>
      <c r="K2374" s="272" t="n">
        <v>-719822.68534176</v>
      </c>
    </row>
    <row r="2375" customFormat="false" ht="15" hidden="false" customHeight="false" outlineLevel="0" collapsed="false">
      <c r="A2375" s="0" t="s">
        <v>2041</v>
      </c>
      <c r="B2375" s="0" t="s">
        <v>2042</v>
      </c>
      <c r="C2375" s="0" t="s">
        <v>2161</v>
      </c>
      <c r="D2375" s="0" t="s">
        <v>2105</v>
      </c>
      <c r="E2375" s="0" t="s">
        <v>2045</v>
      </c>
      <c r="F2375" s="0" t="s">
        <v>2046</v>
      </c>
      <c r="G2375" s="0" t="s">
        <v>2135</v>
      </c>
      <c r="H2375" s="0" t="s">
        <v>2136</v>
      </c>
      <c r="I2375" s="0" t="s">
        <v>2322</v>
      </c>
      <c r="J2375" s="0" t="s">
        <v>2335</v>
      </c>
      <c r="K2375" s="272" t="n">
        <v>-13766608.8571612</v>
      </c>
    </row>
    <row r="2376" customFormat="false" ht="15" hidden="false" customHeight="false" outlineLevel="0" collapsed="false">
      <c r="A2376" s="0" t="s">
        <v>2041</v>
      </c>
      <c r="B2376" s="0" t="s">
        <v>2042</v>
      </c>
      <c r="C2376" s="0" t="s">
        <v>2161</v>
      </c>
      <c r="D2376" s="0" t="s">
        <v>2105</v>
      </c>
      <c r="E2376" s="0" t="s">
        <v>2045</v>
      </c>
      <c r="F2376" s="0" t="s">
        <v>2046</v>
      </c>
      <c r="G2376" s="0" t="s">
        <v>2137</v>
      </c>
      <c r="H2376" s="0" t="s">
        <v>2138</v>
      </c>
      <c r="I2376" s="0" t="s">
        <v>2322</v>
      </c>
      <c r="J2376" s="0" t="s">
        <v>2335</v>
      </c>
      <c r="K2376" s="272" t="n">
        <v>-27623195.54999</v>
      </c>
    </row>
    <row r="2377" customFormat="false" ht="15" hidden="false" customHeight="false" outlineLevel="0" collapsed="false">
      <c r="A2377" s="0" t="s">
        <v>2041</v>
      </c>
      <c r="B2377" s="0" t="s">
        <v>2042</v>
      </c>
      <c r="C2377" s="0" t="s">
        <v>2161</v>
      </c>
      <c r="D2377" s="0" t="s">
        <v>2105</v>
      </c>
      <c r="E2377" s="0" t="s">
        <v>2045</v>
      </c>
      <c r="F2377" s="0" t="s">
        <v>2046</v>
      </c>
      <c r="G2377" s="0" t="s">
        <v>2137</v>
      </c>
      <c r="H2377" s="0" t="s">
        <v>2126</v>
      </c>
      <c r="I2377" s="0" t="s">
        <v>2322</v>
      </c>
      <c r="J2377" s="0" t="s">
        <v>2335</v>
      </c>
      <c r="K2377" s="272" t="n">
        <v>-269933.50700316</v>
      </c>
    </row>
    <row r="2378" customFormat="false" ht="15" hidden="false" customHeight="false" outlineLevel="0" collapsed="false">
      <c r="A2378" s="0" t="s">
        <v>2041</v>
      </c>
      <c r="B2378" s="0" t="s">
        <v>2042</v>
      </c>
      <c r="C2378" s="0" t="s">
        <v>2161</v>
      </c>
      <c r="D2378" s="0" t="s">
        <v>2105</v>
      </c>
      <c r="E2378" s="0" t="s">
        <v>2045</v>
      </c>
      <c r="F2378" s="0" t="s">
        <v>2046</v>
      </c>
      <c r="G2378" s="0" t="s">
        <v>2139</v>
      </c>
      <c r="H2378" s="0" t="s">
        <v>2136</v>
      </c>
      <c r="I2378" s="0" t="s">
        <v>2322</v>
      </c>
      <c r="J2378" s="0" t="s">
        <v>2335</v>
      </c>
      <c r="K2378" s="272" t="n">
        <v>-89977.83566772</v>
      </c>
    </row>
    <row r="2379" customFormat="false" ht="15" hidden="false" customHeight="false" outlineLevel="0" collapsed="false">
      <c r="A2379" s="0" t="s">
        <v>2041</v>
      </c>
      <c r="B2379" s="0" t="s">
        <v>2042</v>
      </c>
      <c r="C2379" s="0" t="s">
        <v>2161</v>
      </c>
      <c r="D2379" s="0" t="s">
        <v>2105</v>
      </c>
      <c r="E2379" s="0" t="s">
        <v>2045</v>
      </c>
      <c r="F2379" s="0" t="s">
        <v>2046</v>
      </c>
      <c r="G2379" s="0" t="s">
        <v>2139</v>
      </c>
      <c r="H2379" s="0" t="s">
        <v>2140</v>
      </c>
      <c r="I2379" s="0" t="s">
        <v>2322</v>
      </c>
      <c r="J2379" s="0" t="s">
        <v>2335</v>
      </c>
      <c r="K2379" s="272" t="n">
        <v>-4588869.61905372</v>
      </c>
    </row>
    <row r="2380" customFormat="false" ht="15" hidden="false" customHeight="false" outlineLevel="0" collapsed="false">
      <c r="A2380" s="0" t="s">
        <v>2041</v>
      </c>
      <c r="B2380" s="0" t="s">
        <v>2042</v>
      </c>
      <c r="C2380" s="0" t="s">
        <v>2161</v>
      </c>
      <c r="D2380" s="0" t="s">
        <v>2105</v>
      </c>
      <c r="E2380" s="0" t="s">
        <v>2045</v>
      </c>
      <c r="F2380" s="0" t="s">
        <v>2046</v>
      </c>
      <c r="G2380" s="0" t="s">
        <v>2141</v>
      </c>
      <c r="H2380" s="0" t="s">
        <v>2144</v>
      </c>
      <c r="I2380" s="0" t="s">
        <v>2322</v>
      </c>
      <c r="J2380" s="0" t="s">
        <v>2335</v>
      </c>
      <c r="K2380" s="272" t="n">
        <v>-2159468.05602528</v>
      </c>
    </row>
    <row r="2381" customFormat="false" ht="15" hidden="false" customHeight="false" outlineLevel="0" collapsed="false">
      <c r="A2381" s="0" t="s">
        <v>2041</v>
      </c>
      <c r="B2381" s="0" t="s">
        <v>2042</v>
      </c>
      <c r="C2381" s="0" t="s">
        <v>2161</v>
      </c>
      <c r="D2381" s="0" t="s">
        <v>2105</v>
      </c>
      <c r="E2381" s="0" t="s">
        <v>2045</v>
      </c>
      <c r="F2381" s="0" t="s">
        <v>2046</v>
      </c>
      <c r="G2381" s="0" t="s">
        <v>2141</v>
      </c>
      <c r="H2381" s="0" t="s">
        <v>2142</v>
      </c>
      <c r="I2381" s="0" t="s">
        <v>2322</v>
      </c>
      <c r="J2381" s="0" t="s">
        <v>2335</v>
      </c>
      <c r="K2381" s="272" t="n">
        <v>-7778583.89347439</v>
      </c>
    </row>
    <row r="2382" customFormat="false" ht="15" hidden="false" customHeight="false" outlineLevel="0" collapsed="false">
      <c r="A2382" s="0" t="s">
        <v>2041</v>
      </c>
      <c r="B2382" s="0" t="s">
        <v>2042</v>
      </c>
      <c r="C2382" s="0" t="s">
        <v>2161</v>
      </c>
      <c r="D2382" s="0" t="s">
        <v>2105</v>
      </c>
      <c r="E2382" s="0" t="s">
        <v>2045</v>
      </c>
      <c r="F2382" s="0" t="s">
        <v>2046</v>
      </c>
      <c r="G2382" s="0" t="s">
        <v>2143</v>
      </c>
      <c r="H2382" s="0" t="s">
        <v>2144</v>
      </c>
      <c r="I2382" s="0" t="s">
        <v>2322</v>
      </c>
      <c r="J2382" s="0" t="s">
        <v>2335</v>
      </c>
      <c r="K2382" s="272" t="n">
        <v>-9303708.20804225</v>
      </c>
    </row>
    <row r="2383" customFormat="false" ht="15" hidden="false" customHeight="false" outlineLevel="0" collapsed="false">
      <c r="A2383" s="0" t="s">
        <v>2041</v>
      </c>
      <c r="B2383" s="0" t="s">
        <v>2042</v>
      </c>
      <c r="C2383" s="0" t="s">
        <v>2161</v>
      </c>
      <c r="D2383" s="0" t="s">
        <v>2105</v>
      </c>
      <c r="E2383" s="0" t="s">
        <v>2045</v>
      </c>
      <c r="F2383" s="0" t="s">
        <v>2046</v>
      </c>
      <c r="G2383" s="0" t="s">
        <v>2143</v>
      </c>
      <c r="H2383" s="0" t="s">
        <v>2142</v>
      </c>
      <c r="I2383" s="0" t="s">
        <v>2322</v>
      </c>
      <c r="J2383" s="0" t="s">
        <v>2335</v>
      </c>
      <c r="K2383" s="272" t="n">
        <v>-2699335.0700316</v>
      </c>
    </row>
    <row r="2384" customFormat="false" ht="15" hidden="false" customHeight="false" outlineLevel="0" collapsed="false">
      <c r="A2384" s="0" t="s">
        <v>2041</v>
      </c>
      <c r="B2384" s="0" t="s">
        <v>2042</v>
      </c>
      <c r="C2384" s="0" t="s">
        <v>2161</v>
      </c>
      <c r="D2384" s="0" t="s">
        <v>2105</v>
      </c>
      <c r="E2384" s="0" t="s">
        <v>2045</v>
      </c>
      <c r="F2384" s="0" t="s">
        <v>2046</v>
      </c>
      <c r="G2384" s="0" t="s">
        <v>2145</v>
      </c>
      <c r="H2384" s="0" t="s">
        <v>2146</v>
      </c>
      <c r="I2384" s="0" t="s">
        <v>2124</v>
      </c>
      <c r="J2384" s="0" t="s">
        <v>2335</v>
      </c>
      <c r="K2384" s="272" t="n">
        <v>-629844.84967404</v>
      </c>
    </row>
    <row r="2385" customFormat="false" ht="15" hidden="false" customHeight="false" outlineLevel="0" collapsed="false">
      <c r="A2385" s="0" t="s">
        <v>2041</v>
      </c>
      <c r="B2385" s="0" t="s">
        <v>2042</v>
      </c>
      <c r="C2385" s="0" t="s">
        <v>2161</v>
      </c>
      <c r="D2385" s="0" t="s">
        <v>2105</v>
      </c>
      <c r="E2385" s="0" t="s">
        <v>2045</v>
      </c>
      <c r="F2385" s="0" t="s">
        <v>2046</v>
      </c>
      <c r="G2385" s="0" t="s">
        <v>2145</v>
      </c>
      <c r="H2385" s="0" t="s">
        <v>2146</v>
      </c>
      <c r="I2385" s="0" t="s">
        <v>2322</v>
      </c>
      <c r="J2385" s="0" t="s">
        <v>2335</v>
      </c>
      <c r="K2385" s="272" t="n">
        <v>-10977295.9514618</v>
      </c>
    </row>
    <row r="2386" customFormat="false" ht="15" hidden="false" customHeight="false" outlineLevel="0" collapsed="false">
      <c r="A2386" s="0" t="s">
        <v>2041</v>
      </c>
      <c r="B2386" s="0" t="s">
        <v>2042</v>
      </c>
      <c r="C2386" s="0" t="s">
        <v>2161</v>
      </c>
      <c r="D2386" s="0" t="s">
        <v>2105</v>
      </c>
      <c r="E2386" s="0" t="s">
        <v>2045</v>
      </c>
      <c r="F2386" s="0" t="s">
        <v>2046</v>
      </c>
      <c r="G2386" s="0" t="s">
        <v>2147</v>
      </c>
      <c r="H2386" s="0" t="s">
        <v>2144</v>
      </c>
      <c r="I2386" s="0" t="s">
        <v>2322</v>
      </c>
      <c r="J2386" s="0" t="s">
        <v>2335</v>
      </c>
      <c r="K2386" s="272" t="n">
        <v>-899778.3566772</v>
      </c>
    </row>
    <row r="2387" customFormat="false" ht="15" hidden="false" customHeight="false" outlineLevel="0" collapsed="false">
      <c r="A2387" s="0" t="s">
        <v>2041</v>
      </c>
      <c r="B2387" s="0" t="s">
        <v>2042</v>
      </c>
      <c r="C2387" s="0" t="s">
        <v>2161</v>
      </c>
      <c r="D2387" s="0" t="s">
        <v>2105</v>
      </c>
      <c r="E2387" s="0" t="s">
        <v>2045</v>
      </c>
      <c r="F2387" s="0" t="s">
        <v>2046</v>
      </c>
      <c r="G2387" s="0" t="s">
        <v>2147</v>
      </c>
      <c r="H2387" s="0" t="s">
        <v>2140</v>
      </c>
      <c r="I2387" s="0" t="s">
        <v>2322</v>
      </c>
      <c r="J2387" s="0" t="s">
        <v>2335</v>
      </c>
      <c r="K2387" s="272" t="n">
        <v>-6529403.78528798</v>
      </c>
    </row>
    <row r="2388" customFormat="false" ht="15" hidden="false" customHeight="false" outlineLevel="0" collapsed="false">
      <c r="A2388" s="0" t="s">
        <v>2041</v>
      </c>
      <c r="B2388" s="0" t="s">
        <v>2042</v>
      </c>
      <c r="C2388" s="0" t="s">
        <v>2161</v>
      </c>
      <c r="D2388" s="0" t="s">
        <v>2105</v>
      </c>
      <c r="E2388" s="0" t="s">
        <v>2045</v>
      </c>
      <c r="F2388" s="0" t="s">
        <v>2046</v>
      </c>
      <c r="G2388" s="0" t="s">
        <v>2147</v>
      </c>
      <c r="H2388" s="0" t="s">
        <v>2126</v>
      </c>
      <c r="I2388" s="0" t="s">
        <v>2124</v>
      </c>
      <c r="J2388" s="0" t="s">
        <v>2335</v>
      </c>
      <c r="K2388" s="272" t="n">
        <v>-89977.83566772</v>
      </c>
    </row>
    <row r="2389" customFormat="false" ht="15" hidden="false" customHeight="false" outlineLevel="0" collapsed="false">
      <c r="A2389" s="0" t="s">
        <v>2041</v>
      </c>
      <c r="B2389" s="0" t="s">
        <v>2042</v>
      </c>
      <c r="C2389" s="0" t="s">
        <v>2161</v>
      </c>
      <c r="D2389" s="0" t="s">
        <v>2105</v>
      </c>
      <c r="E2389" s="0" t="s">
        <v>2045</v>
      </c>
      <c r="F2389" s="0" t="s">
        <v>2046</v>
      </c>
      <c r="G2389" s="0" t="s">
        <v>2147</v>
      </c>
      <c r="H2389" s="0" t="s">
        <v>2126</v>
      </c>
      <c r="I2389" s="0" t="s">
        <v>2322</v>
      </c>
      <c r="J2389" s="0" t="s">
        <v>2335</v>
      </c>
      <c r="K2389" s="272" t="n">
        <v>-4597867.40262049</v>
      </c>
    </row>
    <row r="2390" customFormat="false" ht="15" hidden="false" customHeight="false" outlineLevel="0" collapsed="false">
      <c r="A2390" s="0" t="s">
        <v>2041</v>
      </c>
      <c r="B2390" s="0" t="s">
        <v>2042</v>
      </c>
      <c r="C2390" s="0" t="s">
        <v>2161</v>
      </c>
      <c r="D2390" s="0" t="s">
        <v>2105</v>
      </c>
      <c r="E2390" s="0" t="s">
        <v>2045</v>
      </c>
      <c r="F2390" s="0" t="s">
        <v>2046</v>
      </c>
      <c r="G2390" s="0" t="s">
        <v>2147</v>
      </c>
      <c r="H2390" s="0" t="s">
        <v>2331</v>
      </c>
      <c r="I2390" s="0" t="s">
        <v>2124</v>
      </c>
      <c r="J2390" s="0" t="s">
        <v>2335</v>
      </c>
      <c r="K2390" s="272" t="n">
        <v>-305924.641270248</v>
      </c>
    </row>
    <row r="2391" customFormat="false" ht="15" hidden="false" customHeight="false" outlineLevel="0" collapsed="false">
      <c r="A2391" s="0" t="s">
        <v>2041</v>
      </c>
      <c r="B2391" s="0" t="s">
        <v>2042</v>
      </c>
      <c r="C2391" s="0" t="s">
        <v>2161</v>
      </c>
      <c r="D2391" s="0" t="s">
        <v>2105</v>
      </c>
      <c r="E2391" s="0" t="s">
        <v>2045</v>
      </c>
      <c r="F2391" s="0" t="s">
        <v>2046</v>
      </c>
      <c r="G2391" s="0" t="s">
        <v>2148</v>
      </c>
      <c r="H2391" s="0" t="s">
        <v>2149</v>
      </c>
      <c r="I2391" s="0" t="s">
        <v>2322</v>
      </c>
      <c r="J2391" s="0" t="s">
        <v>2335</v>
      </c>
      <c r="K2391" s="272" t="n">
        <v>-19759132.7126313</v>
      </c>
    </row>
    <row r="2392" customFormat="false" ht="15" hidden="false" customHeight="false" outlineLevel="0" collapsed="false">
      <c r="A2392" s="0" t="s">
        <v>2041</v>
      </c>
      <c r="B2392" s="0" t="s">
        <v>2042</v>
      </c>
      <c r="C2392" s="0" t="s">
        <v>2161</v>
      </c>
      <c r="D2392" s="0" t="s">
        <v>2105</v>
      </c>
      <c r="E2392" s="0" t="s">
        <v>2045</v>
      </c>
      <c r="F2392" s="0" t="s">
        <v>2215</v>
      </c>
      <c r="G2392" s="0" t="s">
        <v>2216</v>
      </c>
      <c r="H2392" s="0" t="s">
        <v>2217</v>
      </c>
      <c r="I2392" s="0" t="s">
        <v>2124</v>
      </c>
      <c r="J2392" s="0" t="s">
        <v>2335</v>
      </c>
      <c r="K2392" s="272" t="n">
        <v>-6883304.42858058</v>
      </c>
    </row>
    <row r="2393" customFormat="false" ht="15" hidden="false" customHeight="false" outlineLevel="0" collapsed="false">
      <c r="A2393" s="0" t="s">
        <v>2041</v>
      </c>
      <c r="B2393" s="0" t="s">
        <v>2042</v>
      </c>
      <c r="C2393" s="0" t="s">
        <v>2161</v>
      </c>
      <c r="D2393" s="0" t="s">
        <v>2105</v>
      </c>
      <c r="E2393" s="0" t="s">
        <v>2045</v>
      </c>
      <c r="F2393" s="0" t="s">
        <v>2215</v>
      </c>
      <c r="G2393" s="0" t="s">
        <v>2216</v>
      </c>
      <c r="H2393" s="0" t="s">
        <v>2217</v>
      </c>
      <c r="I2393" s="0" t="s">
        <v>2322</v>
      </c>
      <c r="J2393" s="0" t="s">
        <v>2335</v>
      </c>
      <c r="K2393" s="272" t="n">
        <v>-117659576.171816</v>
      </c>
    </row>
    <row r="2394" customFormat="false" ht="15" hidden="false" customHeight="false" outlineLevel="0" collapsed="false">
      <c r="A2394" s="0" t="s">
        <v>2041</v>
      </c>
      <c r="B2394" s="0" t="s">
        <v>2042</v>
      </c>
      <c r="C2394" s="0" t="s">
        <v>2161</v>
      </c>
      <c r="D2394" s="0" t="s">
        <v>2105</v>
      </c>
      <c r="E2394" s="0" t="s">
        <v>2045</v>
      </c>
      <c r="F2394" s="0" t="s">
        <v>2215</v>
      </c>
      <c r="G2394" s="0" t="s">
        <v>2218</v>
      </c>
      <c r="H2394" s="0" t="s">
        <v>2183</v>
      </c>
      <c r="I2394" s="0" t="s">
        <v>2124</v>
      </c>
      <c r="J2394" s="0" t="s">
        <v>2335</v>
      </c>
      <c r="K2394" s="272" t="n">
        <v>-539867.01400632</v>
      </c>
    </row>
    <row r="2395" customFormat="false" ht="15" hidden="false" customHeight="false" outlineLevel="0" collapsed="false">
      <c r="A2395" s="0" t="s">
        <v>2041</v>
      </c>
      <c r="B2395" s="0" t="s">
        <v>2042</v>
      </c>
      <c r="C2395" s="0" t="s">
        <v>2161</v>
      </c>
      <c r="D2395" s="0" t="s">
        <v>2105</v>
      </c>
      <c r="E2395" s="0" t="s">
        <v>2045</v>
      </c>
      <c r="F2395" s="0" t="s">
        <v>2215</v>
      </c>
      <c r="G2395" s="0" t="s">
        <v>2218</v>
      </c>
      <c r="H2395" s="0" t="s">
        <v>2183</v>
      </c>
      <c r="I2395" s="0" t="s">
        <v>2322</v>
      </c>
      <c r="J2395" s="0" t="s">
        <v>2335</v>
      </c>
      <c r="K2395" s="272" t="n">
        <v>-3491140.02390754</v>
      </c>
    </row>
    <row r="2396" customFormat="false" ht="15" hidden="false" customHeight="false" outlineLevel="0" collapsed="false">
      <c r="A2396" s="0" t="s">
        <v>2041</v>
      </c>
      <c r="B2396" s="0" t="s">
        <v>2042</v>
      </c>
      <c r="C2396" s="0" t="s">
        <v>2161</v>
      </c>
      <c r="D2396" s="0" t="s">
        <v>2105</v>
      </c>
      <c r="E2396" s="0" t="s">
        <v>2045</v>
      </c>
      <c r="F2396" s="0" t="s">
        <v>2215</v>
      </c>
      <c r="G2396" s="0" t="s">
        <v>2218</v>
      </c>
      <c r="H2396" s="0" t="s">
        <v>2185</v>
      </c>
      <c r="I2396" s="0" t="s">
        <v>2322</v>
      </c>
      <c r="J2396" s="0" t="s">
        <v>2335</v>
      </c>
      <c r="K2396" s="272" t="n">
        <v>-359911.34267088</v>
      </c>
    </row>
    <row r="2397" customFormat="false" ht="15" hidden="false" customHeight="false" outlineLevel="0" collapsed="false">
      <c r="A2397" s="0" t="s">
        <v>2041</v>
      </c>
      <c r="B2397" s="0" t="s">
        <v>2042</v>
      </c>
      <c r="C2397" s="0" t="s">
        <v>2161</v>
      </c>
      <c r="D2397" s="0" t="s">
        <v>2105</v>
      </c>
      <c r="E2397" s="0" t="s">
        <v>2045</v>
      </c>
      <c r="F2397" s="0" t="s">
        <v>2215</v>
      </c>
      <c r="G2397" s="0" t="s">
        <v>2218</v>
      </c>
      <c r="H2397" s="0" t="s">
        <v>2179</v>
      </c>
      <c r="I2397" s="0" t="s">
        <v>2322</v>
      </c>
      <c r="J2397" s="0" t="s">
        <v>2335</v>
      </c>
      <c r="K2397" s="272" t="n">
        <v>-7394624.95292428</v>
      </c>
    </row>
    <row r="2398" customFormat="false" ht="15" hidden="false" customHeight="false" outlineLevel="0" collapsed="false">
      <c r="A2398" s="0" t="s">
        <v>2041</v>
      </c>
      <c r="B2398" s="0" t="s">
        <v>2042</v>
      </c>
      <c r="C2398" s="0" t="s">
        <v>2161</v>
      </c>
      <c r="D2398" s="0" t="s">
        <v>2105</v>
      </c>
      <c r="E2398" s="0" t="s">
        <v>2045</v>
      </c>
      <c r="F2398" s="0" t="s">
        <v>2215</v>
      </c>
      <c r="G2398" s="0" t="s">
        <v>2218</v>
      </c>
      <c r="H2398" s="0" t="s">
        <v>2217</v>
      </c>
      <c r="I2398" s="0" t="s">
        <v>2322</v>
      </c>
      <c r="J2398" s="0" t="s">
        <v>2335</v>
      </c>
      <c r="K2398" s="272" t="n">
        <v>-2119877.80833148</v>
      </c>
    </row>
    <row r="2399" customFormat="false" ht="15" hidden="false" customHeight="false" outlineLevel="0" collapsed="false">
      <c r="A2399" s="0" t="s">
        <v>2041</v>
      </c>
      <c r="B2399" s="0" t="s">
        <v>2042</v>
      </c>
      <c r="C2399" s="0" t="s">
        <v>2161</v>
      </c>
      <c r="D2399" s="0" t="s">
        <v>2105</v>
      </c>
      <c r="E2399" s="0" t="s">
        <v>2045</v>
      </c>
      <c r="F2399" s="0" t="s">
        <v>2215</v>
      </c>
      <c r="G2399" s="0" t="s">
        <v>2218</v>
      </c>
      <c r="H2399" s="0" t="s">
        <v>2219</v>
      </c>
      <c r="I2399" s="0" t="s">
        <v>2322</v>
      </c>
      <c r="J2399" s="0" t="s">
        <v>2335</v>
      </c>
      <c r="K2399" s="272" t="n">
        <v>-17653651.3580067</v>
      </c>
    </row>
    <row r="2400" customFormat="false" ht="15" hidden="false" customHeight="false" outlineLevel="0" collapsed="false">
      <c r="A2400" s="0" t="s">
        <v>2041</v>
      </c>
      <c r="B2400" s="0" t="s">
        <v>2042</v>
      </c>
      <c r="C2400" s="0" t="s">
        <v>2161</v>
      </c>
      <c r="D2400" s="0" t="s">
        <v>2105</v>
      </c>
      <c r="E2400" s="0" t="s">
        <v>2045</v>
      </c>
      <c r="F2400" s="0" t="s">
        <v>2215</v>
      </c>
      <c r="G2400" s="0" t="s">
        <v>2218</v>
      </c>
      <c r="H2400" s="0" t="s">
        <v>2220</v>
      </c>
      <c r="I2400" s="0" t="s">
        <v>2124</v>
      </c>
      <c r="J2400" s="0" t="s">
        <v>2335</v>
      </c>
      <c r="K2400" s="272" t="n">
        <v>-4498891.783386</v>
      </c>
    </row>
    <row r="2401" customFormat="false" ht="15" hidden="false" customHeight="false" outlineLevel="0" collapsed="false">
      <c r="A2401" s="0" t="s">
        <v>2041</v>
      </c>
      <c r="B2401" s="0" t="s">
        <v>2042</v>
      </c>
      <c r="C2401" s="0" t="s">
        <v>2161</v>
      </c>
      <c r="D2401" s="0" t="s">
        <v>2105</v>
      </c>
      <c r="E2401" s="0" t="s">
        <v>2045</v>
      </c>
      <c r="F2401" s="0" t="s">
        <v>2215</v>
      </c>
      <c r="G2401" s="0" t="s">
        <v>2218</v>
      </c>
      <c r="H2401" s="0" t="s">
        <v>2220</v>
      </c>
      <c r="I2401" s="0" t="s">
        <v>2322</v>
      </c>
      <c r="J2401" s="0" t="s">
        <v>2335</v>
      </c>
      <c r="K2401" s="272" t="n">
        <v>-8898807.94753751</v>
      </c>
    </row>
    <row r="2402" customFormat="false" ht="15" hidden="false" customHeight="false" outlineLevel="0" collapsed="false">
      <c r="A2402" s="0" t="s">
        <v>2041</v>
      </c>
      <c r="B2402" s="0" t="s">
        <v>2042</v>
      </c>
      <c r="C2402" s="0" t="s">
        <v>2161</v>
      </c>
      <c r="D2402" s="0" t="s">
        <v>2105</v>
      </c>
      <c r="E2402" s="0" t="s">
        <v>2045</v>
      </c>
      <c r="F2402" s="0" t="s">
        <v>2215</v>
      </c>
      <c r="G2402" s="0" t="s">
        <v>2218</v>
      </c>
      <c r="H2402" s="0" t="s">
        <v>2221</v>
      </c>
      <c r="I2402" s="0" t="s">
        <v>2124</v>
      </c>
      <c r="J2402" s="0" t="s">
        <v>2335</v>
      </c>
      <c r="K2402" s="272" t="n">
        <v>-1520625.42278447</v>
      </c>
    </row>
    <row r="2403" customFormat="false" ht="15" hidden="false" customHeight="false" outlineLevel="0" collapsed="false">
      <c r="A2403" s="0" t="s">
        <v>2041</v>
      </c>
      <c r="B2403" s="0" t="s">
        <v>2042</v>
      </c>
      <c r="C2403" s="0" t="s">
        <v>2161</v>
      </c>
      <c r="D2403" s="0" t="s">
        <v>2105</v>
      </c>
      <c r="E2403" s="0" t="s">
        <v>2045</v>
      </c>
      <c r="F2403" s="0" t="s">
        <v>2215</v>
      </c>
      <c r="G2403" s="0" t="s">
        <v>2218</v>
      </c>
      <c r="H2403" s="0" t="s">
        <v>2221</v>
      </c>
      <c r="I2403" s="0" t="s">
        <v>2322</v>
      </c>
      <c r="J2403" s="0" t="s">
        <v>2335</v>
      </c>
      <c r="K2403" s="272" t="n">
        <v>-12245983.4343767</v>
      </c>
    </row>
    <row r="2404" customFormat="false" ht="15" hidden="false" customHeight="false" outlineLevel="0" collapsed="false">
      <c r="A2404" s="0" t="s">
        <v>2041</v>
      </c>
      <c r="B2404" s="0" t="s">
        <v>2042</v>
      </c>
      <c r="C2404" s="0" t="s">
        <v>2161</v>
      </c>
      <c r="D2404" s="0" t="s">
        <v>2105</v>
      </c>
      <c r="E2404" s="0" t="s">
        <v>2045</v>
      </c>
      <c r="F2404" s="0" t="s">
        <v>2215</v>
      </c>
      <c r="G2404" s="0" t="s">
        <v>2218</v>
      </c>
      <c r="H2404" s="0" t="s">
        <v>2222</v>
      </c>
      <c r="I2404" s="0" t="s">
        <v>2124</v>
      </c>
      <c r="J2404" s="0" t="s">
        <v>2335</v>
      </c>
      <c r="K2404" s="272" t="n">
        <v>-1250691.91578131</v>
      </c>
    </row>
    <row r="2405" customFormat="false" ht="15" hidden="false" customHeight="false" outlineLevel="0" collapsed="false">
      <c r="A2405" s="0" t="s">
        <v>2041</v>
      </c>
      <c r="B2405" s="0" t="s">
        <v>2042</v>
      </c>
      <c r="C2405" s="0" t="s">
        <v>2161</v>
      </c>
      <c r="D2405" s="0" t="s">
        <v>2105</v>
      </c>
      <c r="E2405" s="0" t="s">
        <v>2045</v>
      </c>
      <c r="F2405" s="0" t="s">
        <v>2225</v>
      </c>
      <c r="G2405" s="0" t="s">
        <v>2226</v>
      </c>
      <c r="H2405" s="0" t="s">
        <v>2227</v>
      </c>
      <c r="I2405" s="0" t="s">
        <v>2322</v>
      </c>
      <c r="J2405" s="0" t="s">
        <v>2335</v>
      </c>
      <c r="K2405" s="272" t="n">
        <v>-8457916.55276568</v>
      </c>
    </row>
    <row r="2406" customFormat="false" ht="15" hidden="false" customHeight="false" outlineLevel="0" collapsed="false">
      <c r="A2406" s="0" t="s">
        <v>2041</v>
      </c>
      <c r="B2406" s="0" t="s">
        <v>2042</v>
      </c>
      <c r="C2406" s="0" t="s">
        <v>2161</v>
      </c>
      <c r="D2406" s="0" t="s">
        <v>2105</v>
      </c>
      <c r="E2406" s="0" t="s">
        <v>2045</v>
      </c>
      <c r="F2406" s="0" t="s">
        <v>2225</v>
      </c>
      <c r="G2406" s="0" t="s">
        <v>2228</v>
      </c>
      <c r="H2406" s="0" t="s">
        <v>2227</v>
      </c>
      <c r="I2406" s="0" t="s">
        <v>2124</v>
      </c>
      <c r="J2406" s="0" t="s">
        <v>2335</v>
      </c>
      <c r="K2406" s="272" t="n">
        <v>-548864.797573092</v>
      </c>
    </row>
    <row r="2407" customFormat="false" ht="15" hidden="false" customHeight="false" outlineLevel="0" collapsed="false">
      <c r="A2407" s="0" t="s">
        <v>2041</v>
      </c>
      <c r="B2407" s="0" t="s">
        <v>2042</v>
      </c>
      <c r="C2407" s="0" t="s">
        <v>2161</v>
      </c>
      <c r="D2407" s="0" t="s">
        <v>2105</v>
      </c>
      <c r="E2407" s="0" t="s">
        <v>2045</v>
      </c>
      <c r="F2407" s="0" t="s">
        <v>2225</v>
      </c>
      <c r="G2407" s="0" t="s">
        <v>2228</v>
      </c>
      <c r="H2407" s="0" t="s">
        <v>2227</v>
      </c>
      <c r="I2407" s="0" t="s">
        <v>2322</v>
      </c>
      <c r="J2407" s="0" t="s">
        <v>2335</v>
      </c>
      <c r="K2407" s="272" t="n">
        <v>-8026022.94156063</v>
      </c>
    </row>
    <row r="2408" customFormat="false" ht="15" hidden="false" customHeight="false" outlineLevel="0" collapsed="false">
      <c r="A2408" s="0" t="s">
        <v>2041</v>
      </c>
      <c r="B2408" s="0" t="s">
        <v>2042</v>
      </c>
      <c r="C2408" s="0" t="s">
        <v>2161</v>
      </c>
      <c r="D2408" s="0" t="s">
        <v>2105</v>
      </c>
      <c r="E2408" s="0" t="s">
        <v>2045</v>
      </c>
      <c r="F2408" s="0" t="s">
        <v>2225</v>
      </c>
      <c r="G2408" s="0" t="s">
        <v>2229</v>
      </c>
      <c r="H2408" s="0" t="s">
        <v>2227</v>
      </c>
      <c r="I2408" s="0" t="s">
        <v>2322</v>
      </c>
      <c r="J2408" s="0" t="s">
        <v>2335</v>
      </c>
      <c r="K2408" s="272" t="n">
        <v>-20640915.502175</v>
      </c>
    </row>
    <row r="2409" customFormat="false" ht="15" hidden="false" customHeight="false" outlineLevel="0" collapsed="false">
      <c r="A2409" s="0" t="s">
        <v>2041</v>
      </c>
      <c r="B2409" s="0" t="s">
        <v>2042</v>
      </c>
      <c r="C2409" s="0" t="s">
        <v>2161</v>
      </c>
      <c r="D2409" s="0" t="s">
        <v>2105</v>
      </c>
      <c r="E2409" s="0" t="s">
        <v>2045</v>
      </c>
      <c r="F2409" s="0" t="s">
        <v>2225</v>
      </c>
      <c r="G2409" s="0" t="s">
        <v>2230</v>
      </c>
      <c r="H2409" s="0" t="s">
        <v>2227</v>
      </c>
      <c r="I2409" s="0" t="s">
        <v>2322</v>
      </c>
      <c r="J2409" s="0" t="s">
        <v>2335</v>
      </c>
      <c r="K2409" s="272" t="n">
        <v>-8457916.55276568</v>
      </c>
    </row>
    <row r="2410" customFormat="false" ht="15" hidden="false" customHeight="false" outlineLevel="0" collapsed="false">
      <c r="A2410" s="0" t="s">
        <v>2041</v>
      </c>
      <c r="B2410" s="0" t="s">
        <v>2042</v>
      </c>
      <c r="C2410" s="0" t="s">
        <v>2161</v>
      </c>
      <c r="D2410" s="0" t="s">
        <v>2105</v>
      </c>
      <c r="E2410" s="0" t="s">
        <v>2045</v>
      </c>
      <c r="F2410" s="0" t="s">
        <v>2225</v>
      </c>
      <c r="G2410" s="0" t="s">
        <v>2231</v>
      </c>
      <c r="H2410" s="0" t="s">
        <v>2227</v>
      </c>
      <c r="I2410" s="0" t="s">
        <v>2124</v>
      </c>
      <c r="J2410" s="0" t="s">
        <v>2335</v>
      </c>
      <c r="K2410" s="272" t="n">
        <v>-539867.01400632</v>
      </c>
    </row>
    <row r="2411" customFormat="false" ht="15" hidden="false" customHeight="false" outlineLevel="0" collapsed="false">
      <c r="A2411" s="0" t="s">
        <v>2041</v>
      </c>
      <c r="B2411" s="0" t="s">
        <v>2042</v>
      </c>
      <c r="C2411" s="0" t="s">
        <v>2161</v>
      </c>
      <c r="D2411" s="0" t="s">
        <v>2105</v>
      </c>
      <c r="E2411" s="0" t="s">
        <v>2045</v>
      </c>
      <c r="F2411" s="0" t="s">
        <v>2225</v>
      </c>
      <c r="G2411" s="0" t="s">
        <v>2231</v>
      </c>
      <c r="H2411" s="0" t="s">
        <v>2227</v>
      </c>
      <c r="I2411" s="0" t="s">
        <v>2322</v>
      </c>
      <c r="J2411" s="0" t="s">
        <v>2335</v>
      </c>
      <c r="K2411" s="272" t="n">
        <v>-28343018.2353318</v>
      </c>
    </row>
    <row r="2412" customFormat="false" ht="15" hidden="false" customHeight="false" outlineLevel="0" collapsed="false">
      <c r="A2412" s="0" t="s">
        <v>2041</v>
      </c>
      <c r="B2412" s="0" t="s">
        <v>2042</v>
      </c>
      <c r="C2412" s="0" t="s">
        <v>2161</v>
      </c>
      <c r="D2412" s="0" t="s">
        <v>2105</v>
      </c>
      <c r="E2412" s="0" t="s">
        <v>2045</v>
      </c>
      <c r="F2412" s="0" t="s">
        <v>2099</v>
      </c>
      <c r="G2412" s="0" t="s">
        <v>2232</v>
      </c>
      <c r="H2412" s="0" t="s">
        <v>2100</v>
      </c>
      <c r="I2412" s="0" t="s">
        <v>2322</v>
      </c>
      <c r="J2412" s="0" t="s">
        <v>2335</v>
      </c>
      <c r="K2412" s="272" t="n">
        <v>-1979512.38468984</v>
      </c>
    </row>
    <row r="2413" customFormat="false" ht="15" hidden="false" customHeight="false" outlineLevel="0" collapsed="false">
      <c r="A2413" s="0" t="s">
        <v>2041</v>
      </c>
      <c r="B2413" s="0" t="s">
        <v>2042</v>
      </c>
      <c r="C2413" s="0" t="s">
        <v>2161</v>
      </c>
      <c r="D2413" s="0" t="s">
        <v>2105</v>
      </c>
      <c r="E2413" s="0" t="s">
        <v>2045</v>
      </c>
      <c r="F2413" s="0" t="s">
        <v>2099</v>
      </c>
      <c r="G2413" s="0" t="s">
        <v>2232</v>
      </c>
      <c r="H2413" s="0" t="s">
        <v>2233</v>
      </c>
      <c r="I2413" s="0" t="s">
        <v>2322</v>
      </c>
      <c r="J2413" s="0" t="s">
        <v>2335</v>
      </c>
      <c r="K2413" s="272" t="n">
        <v>-122369.856508099</v>
      </c>
    </row>
    <row r="2414" customFormat="false" ht="15" hidden="false" customHeight="false" outlineLevel="0" collapsed="false">
      <c r="A2414" s="0" t="s">
        <v>2041</v>
      </c>
      <c r="B2414" s="0" t="s">
        <v>2042</v>
      </c>
      <c r="C2414" s="0" t="s">
        <v>2161</v>
      </c>
      <c r="D2414" s="0" t="s">
        <v>2105</v>
      </c>
      <c r="E2414" s="0" t="s">
        <v>2045</v>
      </c>
      <c r="F2414" s="0" t="s">
        <v>2099</v>
      </c>
      <c r="G2414" s="0" t="s">
        <v>2232</v>
      </c>
      <c r="H2414" s="0" t="s">
        <v>2234</v>
      </c>
      <c r="I2414" s="0" t="s">
        <v>2322</v>
      </c>
      <c r="J2414" s="0" t="s">
        <v>2335</v>
      </c>
      <c r="K2414" s="272" t="n">
        <v>-9483663.87937769</v>
      </c>
    </row>
    <row r="2415" customFormat="false" ht="15" hidden="false" customHeight="false" outlineLevel="0" collapsed="false">
      <c r="A2415" s="0" t="s">
        <v>2041</v>
      </c>
      <c r="B2415" s="0" t="s">
        <v>2042</v>
      </c>
      <c r="C2415" s="0" t="s">
        <v>2161</v>
      </c>
      <c r="D2415" s="0" t="s">
        <v>2105</v>
      </c>
      <c r="E2415" s="0" t="s">
        <v>2045</v>
      </c>
      <c r="F2415" s="0" t="s">
        <v>2099</v>
      </c>
      <c r="G2415" s="0" t="s">
        <v>2232</v>
      </c>
      <c r="H2415" s="0" t="s">
        <v>2235</v>
      </c>
      <c r="I2415" s="0" t="s">
        <v>2322</v>
      </c>
      <c r="J2415" s="0" t="s">
        <v>2335</v>
      </c>
      <c r="K2415" s="272" t="n">
        <v>-14234493.6026333</v>
      </c>
    </row>
    <row r="2416" customFormat="false" ht="15" hidden="false" customHeight="false" outlineLevel="0" collapsed="false">
      <c r="A2416" s="0" t="s">
        <v>2041</v>
      </c>
      <c r="B2416" s="0" t="s">
        <v>2042</v>
      </c>
      <c r="C2416" s="0" t="s">
        <v>2161</v>
      </c>
      <c r="D2416" s="0" t="s">
        <v>2105</v>
      </c>
      <c r="E2416" s="0" t="s">
        <v>2045</v>
      </c>
      <c r="F2416" s="0" t="s">
        <v>2099</v>
      </c>
      <c r="G2416" s="0" t="s">
        <v>2236</v>
      </c>
      <c r="H2416" s="0" t="s">
        <v>2233</v>
      </c>
      <c r="I2416" s="0" t="s">
        <v>2124</v>
      </c>
      <c r="J2416" s="0" t="s">
        <v>2335</v>
      </c>
      <c r="K2416" s="272" t="n">
        <v>-710824.901774988</v>
      </c>
    </row>
    <row r="2417" customFormat="false" ht="15" hidden="false" customHeight="false" outlineLevel="0" collapsed="false">
      <c r="A2417" s="0" t="s">
        <v>2041</v>
      </c>
      <c r="B2417" s="0" t="s">
        <v>2042</v>
      </c>
      <c r="C2417" s="0" t="s">
        <v>2161</v>
      </c>
      <c r="D2417" s="0" t="s">
        <v>2105</v>
      </c>
      <c r="E2417" s="0" t="s">
        <v>2045</v>
      </c>
      <c r="F2417" s="0" t="s">
        <v>2099</v>
      </c>
      <c r="G2417" s="0" t="s">
        <v>2236</v>
      </c>
      <c r="H2417" s="0" t="s">
        <v>2233</v>
      </c>
      <c r="I2417" s="0" t="s">
        <v>2322</v>
      </c>
      <c r="J2417" s="0" t="s">
        <v>2335</v>
      </c>
      <c r="K2417" s="272" t="n">
        <v>-11400191.7791001</v>
      </c>
    </row>
    <row r="2418" customFormat="false" ht="15" hidden="false" customHeight="false" outlineLevel="0" collapsed="false">
      <c r="A2418" s="0" t="s">
        <v>2041</v>
      </c>
      <c r="B2418" s="0" t="s">
        <v>2042</v>
      </c>
      <c r="C2418" s="0" t="s">
        <v>2161</v>
      </c>
      <c r="D2418" s="0" t="s">
        <v>2105</v>
      </c>
      <c r="E2418" s="0" t="s">
        <v>2045</v>
      </c>
      <c r="F2418" s="0" t="s">
        <v>2099</v>
      </c>
      <c r="G2418" s="0" t="s">
        <v>2236</v>
      </c>
      <c r="H2418" s="0" t="s">
        <v>2237</v>
      </c>
      <c r="I2418" s="0" t="s">
        <v>2322</v>
      </c>
      <c r="J2418" s="0" t="s">
        <v>2335</v>
      </c>
      <c r="K2418" s="272" t="n">
        <v>-917773.923810744</v>
      </c>
    </row>
    <row r="2419" customFormat="false" ht="15" hidden="false" customHeight="false" outlineLevel="0" collapsed="false">
      <c r="A2419" s="0" t="s">
        <v>2041</v>
      </c>
      <c r="B2419" s="0" t="s">
        <v>2042</v>
      </c>
      <c r="C2419" s="0" t="s">
        <v>2161</v>
      </c>
      <c r="D2419" s="0" t="s">
        <v>2105</v>
      </c>
      <c r="E2419" s="0" t="s">
        <v>2045</v>
      </c>
      <c r="F2419" s="0" t="s">
        <v>2099</v>
      </c>
      <c r="G2419" s="0" t="s">
        <v>2238</v>
      </c>
      <c r="H2419" s="0" t="s">
        <v>2100</v>
      </c>
      <c r="I2419" s="0" t="s">
        <v>2322</v>
      </c>
      <c r="J2419" s="0" t="s">
        <v>2335</v>
      </c>
      <c r="K2419" s="272" t="n">
        <v>-395902.476937968</v>
      </c>
    </row>
    <row r="2420" customFormat="false" ht="15" hidden="false" customHeight="false" outlineLevel="0" collapsed="false">
      <c r="A2420" s="0" t="s">
        <v>2041</v>
      </c>
      <c r="B2420" s="0" t="s">
        <v>2042</v>
      </c>
      <c r="C2420" s="0" t="s">
        <v>2161</v>
      </c>
      <c r="D2420" s="0" t="s">
        <v>2105</v>
      </c>
      <c r="E2420" s="0" t="s">
        <v>2045</v>
      </c>
      <c r="F2420" s="0" t="s">
        <v>2099</v>
      </c>
      <c r="G2420" s="0" t="s">
        <v>2238</v>
      </c>
      <c r="H2420" s="0" t="s">
        <v>2239</v>
      </c>
      <c r="I2420" s="0" t="s">
        <v>2124</v>
      </c>
      <c r="J2420" s="0" t="s">
        <v>2335</v>
      </c>
      <c r="K2420" s="272" t="n">
        <v>-944767.27451106</v>
      </c>
    </row>
    <row r="2421" customFormat="false" ht="15" hidden="false" customHeight="false" outlineLevel="0" collapsed="false">
      <c r="A2421" s="0" t="s">
        <v>2041</v>
      </c>
      <c r="B2421" s="0" t="s">
        <v>2042</v>
      </c>
      <c r="C2421" s="0" t="s">
        <v>2161</v>
      </c>
      <c r="D2421" s="0" t="s">
        <v>2105</v>
      </c>
      <c r="E2421" s="0" t="s">
        <v>2045</v>
      </c>
      <c r="F2421" s="0" t="s">
        <v>2099</v>
      </c>
      <c r="G2421" s="0" t="s">
        <v>2238</v>
      </c>
      <c r="H2421" s="0" t="s">
        <v>2239</v>
      </c>
      <c r="I2421" s="0" t="s">
        <v>2201</v>
      </c>
      <c r="J2421" s="0" t="s">
        <v>2335</v>
      </c>
      <c r="K2421" s="272" t="n">
        <v>-80980.052100948</v>
      </c>
    </row>
    <row r="2422" customFormat="false" ht="15" hidden="false" customHeight="false" outlineLevel="0" collapsed="false">
      <c r="A2422" s="0" t="s">
        <v>2041</v>
      </c>
      <c r="B2422" s="0" t="s">
        <v>2042</v>
      </c>
      <c r="C2422" s="0" t="s">
        <v>2161</v>
      </c>
      <c r="D2422" s="0" t="s">
        <v>2105</v>
      </c>
      <c r="E2422" s="0" t="s">
        <v>2045</v>
      </c>
      <c r="F2422" s="0" t="s">
        <v>2099</v>
      </c>
      <c r="G2422" s="0" t="s">
        <v>2238</v>
      </c>
      <c r="H2422" s="0" t="s">
        <v>2239</v>
      </c>
      <c r="I2422" s="0" t="s">
        <v>2322</v>
      </c>
      <c r="J2422" s="0" t="s">
        <v>2335</v>
      </c>
      <c r="K2422" s="272" t="n">
        <v>-17037303.1836828</v>
      </c>
    </row>
    <row r="2423" customFormat="false" ht="15" hidden="false" customHeight="false" outlineLevel="0" collapsed="false">
      <c r="A2423" s="0" t="s">
        <v>2041</v>
      </c>
      <c r="B2423" s="0" t="s">
        <v>2042</v>
      </c>
      <c r="C2423" s="0" t="s">
        <v>2161</v>
      </c>
      <c r="D2423" s="0" t="s">
        <v>2105</v>
      </c>
      <c r="E2423" s="0" t="s">
        <v>2045</v>
      </c>
      <c r="F2423" s="0" t="s">
        <v>2099</v>
      </c>
      <c r="G2423" s="0" t="s">
        <v>2238</v>
      </c>
      <c r="H2423" s="0" t="s">
        <v>2244</v>
      </c>
      <c r="I2423" s="0" t="s">
        <v>2322</v>
      </c>
      <c r="J2423" s="0" t="s">
        <v>2335</v>
      </c>
      <c r="K2423" s="272" t="n">
        <v>-154761.877348478</v>
      </c>
    </row>
    <row r="2424" customFormat="false" ht="15" hidden="false" customHeight="false" outlineLevel="0" collapsed="false">
      <c r="A2424" s="0" t="s">
        <v>2041</v>
      </c>
      <c r="B2424" s="0" t="s">
        <v>2042</v>
      </c>
      <c r="C2424" s="0" t="s">
        <v>2161</v>
      </c>
      <c r="D2424" s="0" t="s">
        <v>2105</v>
      </c>
      <c r="E2424" s="0" t="s">
        <v>2045</v>
      </c>
      <c r="F2424" s="0" t="s">
        <v>2099</v>
      </c>
      <c r="G2424" s="0" t="s">
        <v>2238</v>
      </c>
      <c r="H2424" s="0" t="s">
        <v>2235</v>
      </c>
      <c r="I2424" s="0" t="s">
        <v>2322</v>
      </c>
      <c r="J2424" s="0" t="s">
        <v>2335</v>
      </c>
      <c r="K2424" s="272" t="n">
        <v>-116971.186368036</v>
      </c>
    </row>
    <row r="2425" customFormat="false" ht="15" hidden="false" customHeight="false" outlineLevel="0" collapsed="false">
      <c r="A2425" s="0" t="s">
        <v>2041</v>
      </c>
      <c r="B2425" s="0" t="s">
        <v>2042</v>
      </c>
      <c r="C2425" s="0" t="s">
        <v>2161</v>
      </c>
      <c r="D2425" s="0" t="s">
        <v>2105</v>
      </c>
      <c r="E2425" s="0" t="s">
        <v>2045</v>
      </c>
      <c r="F2425" s="0" t="s">
        <v>2099</v>
      </c>
      <c r="G2425" s="0" t="s">
        <v>2240</v>
      </c>
      <c r="H2425" s="0" t="s">
        <v>2100</v>
      </c>
      <c r="I2425" s="0" t="s">
        <v>2124</v>
      </c>
      <c r="J2425" s="0" t="s">
        <v>2335</v>
      </c>
      <c r="K2425" s="272" t="n">
        <v>-143964.537068352</v>
      </c>
    </row>
    <row r="2426" customFormat="false" ht="15" hidden="false" customHeight="false" outlineLevel="0" collapsed="false">
      <c r="A2426" s="0" t="s">
        <v>2041</v>
      </c>
      <c r="B2426" s="0" t="s">
        <v>2042</v>
      </c>
      <c r="C2426" s="0" t="s">
        <v>2161</v>
      </c>
      <c r="D2426" s="0" t="s">
        <v>2105</v>
      </c>
      <c r="E2426" s="0" t="s">
        <v>2045</v>
      </c>
      <c r="F2426" s="0" t="s">
        <v>2099</v>
      </c>
      <c r="G2426" s="0" t="s">
        <v>2240</v>
      </c>
      <c r="H2426" s="0" t="s">
        <v>2100</v>
      </c>
      <c r="I2426" s="0" t="s">
        <v>2322</v>
      </c>
      <c r="J2426" s="0" t="s">
        <v>2335</v>
      </c>
      <c r="K2426" s="272" t="n">
        <v>-7857674.41102632</v>
      </c>
    </row>
    <row r="2427" customFormat="false" ht="15" hidden="false" customHeight="false" outlineLevel="0" collapsed="false">
      <c r="A2427" s="0" t="s">
        <v>2041</v>
      </c>
      <c r="B2427" s="0" t="s">
        <v>2042</v>
      </c>
      <c r="C2427" s="0" t="s">
        <v>2161</v>
      </c>
      <c r="D2427" s="0" t="s">
        <v>2105</v>
      </c>
      <c r="E2427" s="0" t="s">
        <v>2045</v>
      </c>
      <c r="F2427" s="0" t="s">
        <v>2099</v>
      </c>
      <c r="G2427" s="0" t="s">
        <v>2240</v>
      </c>
      <c r="H2427" s="0" t="s">
        <v>2235</v>
      </c>
      <c r="I2427" s="0" t="s">
        <v>2322</v>
      </c>
      <c r="J2427" s="0" t="s">
        <v>2335</v>
      </c>
      <c r="K2427" s="272" t="n">
        <v>-131367.640074871</v>
      </c>
    </row>
    <row r="2428" customFormat="false" ht="15" hidden="false" customHeight="false" outlineLevel="0" collapsed="false">
      <c r="A2428" s="0" t="s">
        <v>2041</v>
      </c>
      <c r="B2428" s="0" t="s">
        <v>2042</v>
      </c>
      <c r="C2428" s="0" t="s">
        <v>2161</v>
      </c>
      <c r="D2428" s="0" t="s">
        <v>2105</v>
      </c>
      <c r="E2428" s="0" t="s">
        <v>2045</v>
      </c>
      <c r="F2428" s="0" t="s">
        <v>2099</v>
      </c>
      <c r="G2428" s="0" t="s">
        <v>2241</v>
      </c>
      <c r="H2428" s="0" t="s">
        <v>2242</v>
      </c>
      <c r="I2428" s="0" t="s">
        <v>2322</v>
      </c>
      <c r="J2428" s="0" t="s">
        <v>2335</v>
      </c>
      <c r="K2428" s="272" t="n">
        <v>-5974528.28833661</v>
      </c>
    </row>
    <row r="2429" customFormat="false" ht="15" hidden="false" customHeight="false" outlineLevel="0" collapsed="false">
      <c r="A2429" s="0" t="s">
        <v>2041</v>
      </c>
      <c r="B2429" s="0" t="s">
        <v>2042</v>
      </c>
      <c r="C2429" s="0" t="s">
        <v>2161</v>
      </c>
      <c r="D2429" s="0" t="s">
        <v>2105</v>
      </c>
      <c r="E2429" s="0" t="s">
        <v>2045</v>
      </c>
      <c r="F2429" s="0" t="s">
        <v>2099</v>
      </c>
      <c r="G2429" s="0" t="s">
        <v>2243</v>
      </c>
      <c r="H2429" s="0" t="s">
        <v>2244</v>
      </c>
      <c r="I2429" s="0" t="s">
        <v>2124</v>
      </c>
      <c r="J2429" s="0" t="s">
        <v>2335</v>
      </c>
      <c r="K2429" s="272" t="n">
        <v>-1822950.95062801</v>
      </c>
    </row>
    <row r="2430" customFormat="false" ht="15" hidden="false" customHeight="false" outlineLevel="0" collapsed="false">
      <c r="A2430" s="0" t="s">
        <v>2041</v>
      </c>
      <c r="B2430" s="0" t="s">
        <v>2042</v>
      </c>
      <c r="C2430" s="0" t="s">
        <v>2161</v>
      </c>
      <c r="D2430" s="0" t="s">
        <v>2105</v>
      </c>
      <c r="E2430" s="0" t="s">
        <v>2045</v>
      </c>
      <c r="F2430" s="0" t="s">
        <v>2099</v>
      </c>
      <c r="G2430" s="0" t="s">
        <v>2243</v>
      </c>
      <c r="H2430" s="0" t="s">
        <v>2244</v>
      </c>
      <c r="I2430" s="0" t="s">
        <v>2201</v>
      </c>
      <c r="J2430" s="0" t="s">
        <v>2335</v>
      </c>
      <c r="K2430" s="272" t="n">
        <v>-179955.67133544</v>
      </c>
    </row>
    <row r="2431" customFormat="false" ht="15" hidden="false" customHeight="false" outlineLevel="0" collapsed="false">
      <c r="A2431" s="0" t="s">
        <v>2041</v>
      </c>
      <c r="B2431" s="0" t="s">
        <v>2042</v>
      </c>
      <c r="C2431" s="0" t="s">
        <v>2161</v>
      </c>
      <c r="D2431" s="0" t="s">
        <v>2105</v>
      </c>
      <c r="E2431" s="0" t="s">
        <v>2045</v>
      </c>
      <c r="F2431" s="0" t="s">
        <v>2099</v>
      </c>
      <c r="G2431" s="0" t="s">
        <v>2243</v>
      </c>
      <c r="H2431" s="0" t="s">
        <v>2244</v>
      </c>
      <c r="I2431" s="0" t="s">
        <v>2322</v>
      </c>
      <c r="J2431" s="0" t="s">
        <v>2335</v>
      </c>
      <c r="K2431" s="272" t="n">
        <v>-3230204.30047115</v>
      </c>
    </row>
    <row r="2432" customFormat="false" ht="15" hidden="false" customHeight="false" outlineLevel="0" collapsed="false">
      <c r="A2432" s="0" t="s">
        <v>2041</v>
      </c>
      <c r="B2432" s="0" t="s">
        <v>2042</v>
      </c>
      <c r="C2432" s="0" t="s">
        <v>2161</v>
      </c>
      <c r="D2432" s="0" t="s">
        <v>2105</v>
      </c>
      <c r="E2432" s="0" t="s">
        <v>2045</v>
      </c>
      <c r="F2432" s="0" t="s">
        <v>2099</v>
      </c>
      <c r="G2432" s="0" t="s">
        <v>2243</v>
      </c>
      <c r="H2432" s="0" t="s">
        <v>2245</v>
      </c>
      <c r="I2432" s="0" t="s">
        <v>2246</v>
      </c>
      <c r="J2432" s="0" t="s">
        <v>2335</v>
      </c>
      <c r="K2432" s="272" t="n">
        <v>-2483388.26442907</v>
      </c>
    </row>
    <row r="2433" customFormat="false" ht="15" hidden="false" customHeight="false" outlineLevel="0" collapsed="false">
      <c r="A2433" s="0" t="s">
        <v>2041</v>
      </c>
      <c r="B2433" s="0" t="s">
        <v>2042</v>
      </c>
      <c r="C2433" s="0" t="s">
        <v>2161</v>
      </c>
      <c r="D2433" s="0" t="s">
        <v>2105</v>
      </c>
      <c r="E2433" s="0" t="s">
        <v>2045</v>
      </c>
      <c r="F2433" s="0" t="s">
        <v>2099</v>
      </c>
      <c r="G2433" s="0" t="s">
        <v>2243</v>
      </c>
      <c r="H2433" s="0" t="s">
        <v>2247</v>
      </c>
      <c r="I2433" s="0" t="s">
        <v>2124</v>
      </c>
      <c r="J2433" s="0" t="s">
        <v>2335</v>
      </c>
      <c r="K2433" s="272" t="n">
        <v>-406699.817218094</v>
      </c>
    </row>
    <row r="2434" customFormat="false" ht="15" hidden="false" customHeight="false" outlineLevel="0" collapsed="false">
      <c r="A2434" s="0" t="s">
        <v>2041</v>
      </c>
      <c r="B2434" s="0" t="s">
        <v>2042</v>
      </c>
      <c r="C2434" s="0" t="s">
        <v>2161</v>
      </c>
      <c r="D2434" s="0" t="s">
        <v>2105</v>
      </c>
      <c r="E2434" s="0" t="s">
        <v>2045</v>
      </c>
      <c r="F2434" s="0" t="s">
        <v>2099</v>
      </c>
      <c r="G2434" s="0" t="s">
        <v>2243</v>
      </c>
      <c r="H2434" s="0" t="s">
        <v>2247</v>
      </c>
      <c r="I2434" s="0" t="s">
        <v>2201</v>
      </c>
      <c r="J2434" s="0" t="s">
        <v>2335</v>
      </c>
      <c r="K2434" s="272" t="n">
        <v>-4020209.69763373</v>
      </c>
    </row>
    <row r="2435" customFormat="false" ht="15" hidden="false" customHeight="false" outlineLevel="0" collapsed="false">
      <c r="A2435" s="0" t="s">
        <v>2041</v>
      </c>
      <c r="B2435" s="0" t="s">
        <v>2042</v>
      </c>
      <c r="C2435" s="0" t="s">
        <v>2161</v>
      </c>
      <c r="D2435" s="0" t="s">
        <v>2105</v>
      </c>
      <c r="E2435" s="0" t="s">
        <v>2045</v>
      </c>
      <c r="F2435" s="0" t="s">
        <v>2099</v>
      </c>
      <c r="G2435" s="0" t="s">
        <v>2243</v>
      </c>
      <c r="H2435" s="0" t="s">
        <v>2247</v>
      </c>
      <c r="I2435" s="0" t="s">
        <v>2322</v>
      </c>
      <c r="J2435" s="0" t="s">
        <v>2335</v>
      </c>
      <c r="K2435" s="272" t="n">
        <v>-422895.827638284</v>
      </c>
    </row>
    <row r="2436" customFormat="false" ht="15" hidden="false" customHeight="false" outlineLevel="0" collapsed="false">
      <c r="A2436" s="0" t="s">
        <v>2041</v>
      </c>
      <c r="B2436" s="0" t="s">
        <v>2042</v>
      </c>
      <c r="C2436" s="0" t="s">
        <v>2161</v>
      </c>
      <c r="D2436" s="0" t="s">
        <v>2105</v>
      </c>
      <c r="E2436" s="0" t="s">
        <v>2045</v>
      </c>
      <c r="F2436" s="0" t="s">
        <v>2099</v>
      </c>
      <c r="G2436" s="0" t="s">
        <v>2243</v>
      </c>
      <c r="H2436" s="0" t="s">
        <v>2221</v>
      </c>
      <c r="I2436" s="0" t="s">
        <v>2322</v>
      </c>
      <c r="J2436" s="0" t="s">
        <v>2335</v>
      </c>
      <c r="K2436" s="272" t="n">
        <v>-251937.939869616</v>
      </c>
    </row>
    <row r="2437" customFormat="false" ht="15" hidden="false" customHeight="false" outlineLevel="0" collapsed="false">
      <c r="A2437" s="0" t="s">
        <v>2041</v>
      </c>
      <c r="B2437" s="0" t="s">
        <v>2042</v>
      </c>
      <c r="C2437" s="0" t="s">
        <v>2161</v>
      </c>
      <c r="D2437" s="0" t="s">
        <v>2105</v>
      </c>
      <c r="E2437" s="0" t="s">
        <v>2045</v>
      </c>
      <c r="F2437" s="0" t="s">
        <v>2099</v>
      </c>
      <c r="G2437" s="0" t="s">
        <v>2248</v>
      </c>
      <c r="H2437" s="0" t="s">
        <v>2244</v>
      </c>
      <c r="I2437" s="0" t="s">
        <v>2246</v>
      </c>
      <c r="J2437" s="0" t="s">
        <v>2335</v>
      </c>
      <c r="K2437" s="272" t="n">
        <v>-86378.7222410112</v>
      </c>
    </row>
    <row r="2438" customFormat="false" ht="15" hidden="false" customHeight="false" outlineLevel="0" collapsed="false">
      <c r="A2438" s="0" t="s">
        <v>2041</v>
      </c>
      <c r="B2438" s="0" t="s">
        <v>2042</v>
      </c>
      <c r="C2438" s="0" t="s">
        <v>2161</v>
      </c>
      <c r="D2438" s="0" t="s">
        <v>2105</v>
      </c>
      <c r="E2438" s="0" t="s">
        <v>2045</v>
      </c>
      <c r="F2438" s="0" t="s">
        <v>2099</v>
      </c>
      <c r="G2438" s="0" t="s">
        <v>2248</v>
      </c>
      <c r="H2438" s="0" t="s">
        <v>2245</v>
      </c>
      <c r="I2438" s="0" t="s">
        <v>2246</v>
      </c>
      <c r="J2438" s="0" t="s">
        <v>2335</v>
      </c>
      <c r="K2438" s="272" t="n">
        <v>-56686.0364706636</v>
      </c>
    </row>
    <row r="2439" customFormat="false" ht="15" hidden="false" customHeight="false" outlineLevel="0" collapsed="false">
      <c r="A2439" s="0" t="s">
        <v>2041</v>
      </c>
      <c r="B2439" s="0" t="s">
        <v>2042</v>
      </c>
      <c r="C2439" s="0" t="s">
        <v>2161</v>
      </c>
      <c r="D2439" s="0" t="s">
        <v>2105</v>
      </c>
      <c r="E2439" s="0" t="s">
        <v>2045</v>
      </c>
      <c r="F2439" s="0" t="s">
        <v>2099</v>
      </c>
      <c r="G2439" s="0" t="s">
        <v>2249</v>
      </c>
      <c r="H2439" s="0" t="s">
        <v>2245</v>
      </c>
      <c r="I2439" s="0" t="s">
        <v>2246</v>
      </c>
      <c r="J2439" s="0" t="s">
        <v>2335</v>
      </c>
      <c r="K2439" s="272" t="n">
        <v>-465635.299580451</v>
      </c>
    </row>
    <row r="2440" customFormat="false" ht="15" hidden="false" customHeight="false" outlineLevel="0" collapsed="false">
      <c r="A2440" s="0" t="s">
        <v>2041</v>
      </c>
      <c r="B2440" s="0" t="s">
        <v>2042</v>
      </c>
      <c r="C2440" s="0" t="s">
        <v>2161</v>
      </c>
      <c r="D2440" s="0" t="s">
        <v>2105</v>
      </c>
      <c r="E2440" s="0" t="s">
        <v>2045</v>
      </c>
      <c r="F2440" s="0" t="s">
        <v>2250</v>
      </c>
      <c r="G2440" s="0" t="s">
        <v>2251</v>
      </c>
      <c r="H2440" s="0" t="s">
        <v>2252</v>
      </c>
      <c r="I2440" s="0" t="s">
        <v>2322</v>
      </c>
      <c r="J2440" s="0" t="s">
        <v>2335</v>
      </c>
      <c r="K2440" s="272" t="n">
        <v>-3120611.29662787</v>
      </c>
    </row>
    <row r="2441" customFormat="false" ht="15" hidden="false" customHeight="false" outlineLevel="0" collapsed="false">
      <c r="A2441" s="0" t="s">
        <v>2041</v>
      </c>
      <c r="B2441" s="0" t="s">
        <v>2042</v>
      </c>
      <c r="C2441" s="0" t="s">
        <v>2161</v>
      </c>
      <c r="D2441" s="0" t="s">
        <v>2105</v>
      </c>
      <c r="E2441" s="0" t="s">
        <v>2045</v>
      </c>
      <c r="F2441" s="0" t="s">
        <v>2250</v>
      </c>
      <c r="G2441" s="0" t="s">
        <v>2251</v>
      </c>
      <c r="H2441" s="0" t="s">
        <v>2253</v>
      </c>
      <c r="I2441" s="0" t="s">
        <v>2254</v>
      </c>
      <c r="J2441" s="0" t="s">
        <v>2335</v>
      </c>
      <c r="K2441" s="272" t="n">
        <v>-252837.718226293</v>
      </c>
    </row>
    <row r="2442" customFormat="false" ht="15" hidden="false" customHeight="false" outlineLevel="0" collapsed="false">
      <c r="A2442" s="0" t="s">
        <v>2041</v>
      </c>
      <c r="B2442" s="0" t="s">
        <v>2042</v>
      </c>
      <c r="C2442" s="0" t="s">
        <v>2161</v>
      </c>
      <c r="D2442" s="0" t="s">
        <v>2105</v>
      </c>
      <c r="E2442" s="0" t="s">
        <v>2045</v>
      </c>
      <c r="F2442" s="0" t="s">
        <v>2250</v>
      </c>
      <c r="G2442" s="0" t="s">
        <v>2251</v>
      </c>
      <c r="H2442" s="0" t="s">
        <v>2253</v>
      </c>
      <c r="I2442" s="0" t="s">
        <v>2322</v>
      </c>
      <c r="J2442" s="0" t="s">
        <v>2335</v>
      </c>
      <c r="K2442" s="272" t="n">
        <v>-5225732.73990984</v>
      </c>
    </row>
    <row r="2443" customFormat="false" ht="15" hidden="false" customHeight="false" outlineLevel="0" collapsed="false">
      <c r="A2443" s="0" t="s">
        <v>2041</v>
      </c>
      <c r="B2443" s="0" t="s">
        <v>2042</v>
      </c>
      <c r="C2443" s="0" t="s">
        <v>2161</v>
      </c>
      <c r="D2443" s="0" t="s">
        <v>2105</v>
      </c>
      <c r="E2443" s="0" t="s">
        <v>2045</v>
      </c>
      <c r="F2443" s="0" t="s">
        <v>2250</v>
      </c>
      <c r="G2443" s="0" t="s">
        <v>2251</v>
      </c>
      <c r="H2443" s="0" t="s">
        <v>2255</v>
      </c>
      <c r="I2443" s="0" t="s">
        <v>2322</v>
      </c>
      <c r="J2443" s="0" t="s">
        <v>2335</v>
      </c>
      <c r="K2443" s="272" t="n">
        <v>-1784260.48129089</v>
      </c>
    </row>
    <row r="2444" customFormat="false" ht="15" hidden="false" customHeight="false" outlineLevel="0" collapsed="false">
      <c r="A2444" s="0" t="s">
        <v>2041</v>
      </c>
      <c r="B2444" s="0" t="s">
        <v>2042</v>
      </c>
      <c r="C2444" s="0" t="s">
        <v>2161</v>
      </c>
      <c r="D2444" s="0" t="s">
        <v>2105</v>
      </c>
      <c r="E2444" s="0" t="s">
        <v>2045</v>
      </c>
      <c r="F2444" s="0" t="s">
        <v>2256</v>
      </c>
      <c r="G2444" s="0" t="s">
        <v>2257</v>
      </c>
      <c r="H2444" s="0" t="s">
        <v>2179</v>
      </c>
      <c r="I2444" s="0" t="s">
        <v>2322</v>
      </c>
      <c r="J2444" s="0" t="s">
        <v>2335</v>
      </c>
      <c r="K2444" s="272" t="n">
        <v>-8997783.566772</v>
      </c>
    </row>
    <row r="2445" customFormat="false" ht="15" hidden="false" customHeight="false" outlineLevel="0" collapsed="false">
      <c r="A2445" s="0" t="s">
        <v>2041</v>
      </c>
      <c r="B2445" s="0" t="s">
        <v>2042</v>
      </c>
      <c r="C2445" s="0" t="s">
        <v>2161</v>
      </c>
      <c r="D2445" s="0" t="s">
        <v>2105</v>
      </c>
      <c r="E2445" s="0" t="s">
        <v>2045</v>
      </c>
      <c r="F2445" s="0" t="s">
        <v>2256</v>
      </c>
      <c r="G2445" s="0" t="s">
        <v>2257</v>
      </c>
      <c r="H2445" s="0" t="s">
        <v>2258</v>
      </c>
      <c r="I2445" s="0" t="s">
        <v>2322</v>
      </c>
      <c r="J2445" s="0" t="s">
        <v>2335</v>
      </c>
      <c r="K2445" s="272" t="n">
        <v>-14693380.5645387</v>
      </c>
    </row>
    <row r="2446" customFormat="false" ht="15" hidden="false" customHeight="false" outlineLevel="0" collapsed="false">
      <c r="A2446" s="0" t="s">
        <v>2041</v>
      </c>
      <c r="B2446" s="0" t="s">
        <v>2042</v>
      </c>
      <c r="C2446" s="0" t="s">
        <v>2161</v>
      </c>
      <c r="D2446" s="0" t="s">
        <v>2105</v>
      </c>
      <c r="E2446" s="0" t="s">
        <v>2045</v>
      </c>
      <c r="F2446" s="0" t="s">
        <v>2256</v>
      </c>
      <c r="G2446" s="0" t="s">
        <v>2257</v>
      </c>
      <c r="H2446" s="0" t="s">
        <v>2162</v>
      </c>
      <c r="I2446" s="0" t="s">
        <v>2322</v>
      </c>
      <c r="J2446" s="0" t="s">
        <v>2335</v>
      </c>
      <c r="K2446" s="272" t="n">
        <v>-158360.990775187</v>
      </c>
    </row>
    <row r="2447" customFormat="false" ht="15" hidden="false" customHeight="false" outlineLevel="0" collapsed="false">
      <c r="A2447" s="0" t="s">
        <v>2041</v>
      </c>
      <c r="B2447" s="0" t="s">
        <v>2042</v>
      </c>
      <c r="C2447" s="0" t="s">
        <v>2161</v>
      </c>
      <c r="D2447" s="0" t="s">
        <v>2105</v>
      </c>
      <c r="E2447" s="0" t="s">
        <v>2045</v>
      </c>
      <c r="F2447" s="0" t="s">
        <v>2256</v>
      </c>
      <c r="G2447" s="0" t="s">
        <v>2259</v>
      </c>
      <c r="H2447" s="0" t="s">
        <v>2258</v>
      </c>
      <c r="I2447" s="0" t="s">
        <v>2124</v>
      </c>
      <c r="J2447" s="0" t="s">
        <v>2335</v>
      </c>
      <c r="K2447" s="272" t="n">
        <v>-8700856.70906853</v>
      </c>
    </row>
    <row r="2448" customFormat="false" ht="15" hidden="false" customHeight="false" outlineLevel="0" collapsed="false">
      <c r="A2448" s="0" t="s">
        <v>2041</v>
      </c>
      <c r="B2448" s="0" t="s">
        <v>2042</v>
      </c>
      <c r="C2448" s="0" t="s">
        <v>2161</v>
      </c>
      <c r="D2448" s="0" t="s">
        <v>2105</v>
      </c>
      <c r="E2448" s="0" t="s">
        <v>2045</v>
      </c>
      <c r="F2448" s="0" t="s">
        <v>2256</v>
      </c>
      <c r="G2448" s="0" t="s">
        <v>2259</v>
      </c>
      <c r="H2448" s="0" t="s">
        <v>2258</v>
      </c>
      <c r="I2448" s="0" t="s">
        <v>2322</v>
      </c>
      <c r="J2448" s="0" t="s">
        <v>2335</v>
      </c>
      <c r="K2448" s="272" t="n">
        <v>-108805697.78119</v>
      </c>
    </row>
    <row r="2449" customFormat="false" ht="15" hidden="false" customHeight="false" outlineLevel="0" collapsed="false">
      <c r="A2449" s="0" t="s">
        <v>2041</v>
      </c>
      <c r="B2449" s="0" t="s">
        <v>2042</v>
      </c>
      <c r="C2449" s="0" t="s">
        <v>2161</v>
      </c>
      <c r="D2449" s="0" t="s">
        <v>2105</v>
      </c>
      <c r="E2449" s="0" t="s">
        <v>2045</v>
      </c>
      <c r="F2449" s="0" t="s">
        <v>2256</v>
      </c>
      <c r="G2449" s="0" t="s">
        <v>2260</v>
      </c>
      <c r="H2449" s="0" t="s">
        <v>2261</v>
      </c>
      <c r="I2449" s="0" t="s">
        <v>2124</v>
      </c>
      <c r="J2449" s="0" t="s">
        <v>2335</v>
      </c>
      <c r="K2449" s="272" t="n">
        <v>-287929.074136704</v>
      </c>
    </row>
    <row r="2450" customFormat="false" ht="15" hidden="false" customHeight="false" outlineLevel="0" collapsed="false">
      <c r="A2450" s="0" t="s">
        <v>2041</v>
      </c>
      <c r="B2450" s="0" t="s">
        <v>2042</v>
      </c>
      <c r="C2450" s="0" t="s">
        <v>2161</v>
      </c>
      <c r="D2450" s="0" t="s">
        <v>2105</v>
      </c>
      <c r="E2450" s="0" t="s">
        <v>2045</v>
      </c>
      <c r="F2450" s="0" t="s">
        <v>2256</v>
      </c>
      <c r="G2450" s="0" t="s">
        <v>2260</v>
      </c>
      <c r="H2450" s="0" t="s">
        <v>2261</v>
      </c>
      <c r="I2450" s="0" t="s">
        <v>2322</v>
      </c>
      <c r="J2450" s="0" t="s">
        <v>2335</v>
      </c>
      <c r="K2450" s="272" t="n">
        <v>-15080285.2579099</v>
      </c>
    </row>
    <row r="2451" customFormat="false" ht="15" hidden="false" customHeight="false" outlineLevel="0" collapsed="false">
      <c r="A2451" s="0" t="s">
        <v>2041</v>
      </c>
      <c r="B2451" s="0" t="s">
        <v>2042</v>
      </c>
      <c r="C2451" s="0" t="s">
        <v>2161</v>
      </c>
      <c r="D2451" s="0" t="s">
        <v>2105</v>
      </c>
      <c r="E2451" s="0" t="s">
        <v>2045</v>
      </c>
      <c r="F2451" s="0" t="s">
        <v>2256</v>
      </c>
      <c r="G2451" s="0" t="s">
        <v>2262</v>
      </c>
      <c r="H2451" s="0" t="s">
        <v>2263</v>
      </c>
      <c r="I2451" s="0" t="s">
        <v>2322</v>
      </c>
      <c r="J2451" s="0" t="s">
        <v>2335</v>
      </c>
      <c r="K2451" s="272" t="n">
        <v>-3351674.37862257</v>
      </c>
    </row>
    <row r="2452" customFormat="false" ht="15" hidden="false" customHeight="false" outlineLevel="0" collapsed="false">
      <c r="A2452" s="0" t="s">
        <v>2041</v>
      </c>
      <c r="B2452" s="0" t="s">
        <v>2042</v>
      </c>
      <c r="C2452" s="0" t="s">
        <v>2161</v>
      </c>
      <c r="D2452" s="0" t="s">
        <v>2105</v>
      </c>
      <c r="E2452" s="0" t="s">
        <v>2045</v>
      </c>
      <c r="F2452" s="0" t="s">
        <v>2256</v>
      </c>
      <c r="G2452" s="0" t="s">
        <v>2262</v>
      </c>
      <c r="H2452" s="0" t="s">
        <v>2264</v>
      </c>
      <c r="I2452" s="0" t="s">
        <v>2124</v>
      </c>
      <c r="J2452" s="0" t="s">
        <v>2335</v>
      </c>
      <c r="K2452" s="272" t="n">
        <v>-1889534.54902212</v>
      </c>
    </row>
    <row r="2453" customFormat="false" ht="15" hidden="false" customHeight="false" outlineLevel="0" collapsed="false">
      <c r="A2453" s="0" t="s">
        <v>2041</v>
      </c>
      <c r="B2453" s="0" t="s">
        <v>2042</v>
      </c>
      <c r="C2453" s="0" t="s">
        <v>2161</v>
      </c>
      <c r="D2453" s="0" t="s">
        <v>2105</v>
      </c>
      <c r="E2453" s="0" t="s">
        <v>2045</v>
      </c>
      <c r="F2453" s="0" t="s">
        <v>2256</v>
      </c>
      <c r="G2453" s="0" t="s">
        <v>2262</v>
      </c>
      <c r="H2453" s="0" t="s">
        <v>2264</v>
      </c>
      <c r="I2453" s="0" t="s">
        <v>2322</v>
      </c>
      <c r="J2453" s="0" t="s">
        <v>2335</v>
      </c>
      <c r="K2453" s="272" t="n">
        <v>-65832283.4662874</v>
      </c>
    </row>
    <row r="2454" customFormat="false" ht="15" hidden="false" customHeight="false" outlineLevel="0" collapsed="false">
      <c r="A2454" s="0" t="s">
        <v>2041</v>
      </c>
      <c r="B2454" s="0" t="s">
        <v>2042</v>
      </c>
      <c r="C2454" s="0" t="s">
        <v>2161</v>
      </c>
      <c r="D2454" s="0" t="s">
        <v>2105</v>
      </c>
      <c r="E2454" s="0" t="s">
        <v>2045</v>
      </c>
      <c r="F2454" s="0" t="s">
        <v>2256</v>
      </c>
      <c r="G2454" s="0" t="s">
        <v>2262</v>
      </c>
      <c r="H2454" s="0" t="s">
        <v>2265</v>
      </c>
      <c r="I2454" s="0" t="s">
        <v>2322</v>
      </c>
      <c r="J2454" s="0" t="s">
        <v>2335</v>
      </c>
      <c r="K2454" s="272" t="n">
        <v>-10734355.795159</v>
      </c>
    </row>
    <row r="2455" customFormat="false" ht="15" hidden="false" customHeight="false" outlineLevel="0" collapsed="false">
      <c r="A2455" s="0" t="s">
        <v>2041</v>
      </c>
      <c r="B2455" s="0" t="s">
        <v>2042</v>
      </c>
      <c r="C2455" s="0" t="s">
        <v>2161</v>
      </c>
      <c r="D2455" s="0" t="s">
        <v>2105</v>
      </c>
      <c r="E2455" s="0" t="s">
        <v>2045</v>
      </c>
      <c r="F2455" s="0" t="s">
        <v>2256</v>
      </c>
      <c r="G2455" s="0" t="s">
        <v>2266</v>
      </c>
      <c r="H2455" s="0" t="s">
        <v>2267</v>
      </c>
      <c r="I2455" s="0" t="s">
        <v>2124</v>
      </c>
      <c r="J2455" s="0" t="s">
        <v>2335</v>
      </c>
      <c r="K2455" s="272" t="n">
        <v>-4185409.00391966</v>
      </c>
    </row>
    <row r="2456" customFormat="false" ht="15" hidden="false" customHeight="false" outlineLevel="0" collapsed="false">
      <c r="A2456" s="0" t="s">
        <v>2041</v>
      </c>
      <c r="B2456" s="0" t="s">
        <v>2042</v>
      </c>
      <c r="C2456" s="0" t="s">
        <v>2161</v>
      </c>
      <c r="D2456" s="0" t="s">
        <v>2105</v>
      </c>
      <c r="E2456" s="0" t="s">
        <v>2045</v>
      </c>
      <c r="F2456" s="0" t="s">
        <v>2256</v>
      </c>
      <c r="G2456" s="0" t="s">
        <v>2266</v>
      </c>
      <c r="H2456" s="0" t="s">
        <v>2267</v>
      </c>
      <c r="I2456" s="0" t="s">
        <v>2322</v>
      </c>
      <c r="J2456" s="0" t="s">
        <v>2335</v>
      </c>
      <c r="K2456" s="272" t="n">
        <v>-76197730.1352087</v>
      </c>
    </row>
    <row r="2457" customFormat="false" ht="15" hidden="false" customHeight="false" outlineLevel="0" collapsed="false">
      <c r="A2457" s="0" t="s">
        <v>2041</v>
      </c>
      <c r="B2457" s="0" t="s">
        <v>2042</v>
      </c>
      <c r="C2457" s="0" t="s">
        <v>2161</v>
      </c>
      <c r="D2457" s="0" t="s">
        <v>2105</v>
      </c>
      <c r="E2457" s="0" t="s">
        <v>2045</v>
      </c>
      <c r="F2457" s="0" t="s">
        <v>2268</v>
      </c>
      <c r="G2457" s="0" t="s">
        <v>2269</v>
      </c>
      <c r="H2457" s="0" t="s">
        <v>2270</v>
      </c>
      <c r="I2457" s="0" t="s">
        <v>2124</v>
      </c>
      <c r="J2457" s="0" t="s">
        <v>2335</v>
      </c>
      <c r="K2457" s="272" t="n">
        <v>-1887734.99230877</v>
      </c>
    </row>
    <row r="2458" customFormat="false" ht="15" hidden="false" customHeight="false" outlineLevel="0" collapsed="false">
      <c r="A2458" s="0" t="s">
        <v>2041</v>
      </c>
      <c r="B2458" s="0" t="s">
        <v>2042</v>
      </c>
      <c r="C2458" s="0" t="s">
        <v>2161</v>
      </c>
      <c r="D2458" s="0" t="s">
        <v>2105</v>
      </c>
      <c r="E2458" s="0" t="s">
        <v>2045</v>
      </c>
      <c r="F2458" s="0" t="s">
        <v>2268</v>
      </c>
      <c r="G2458" s="0" t="s">
        <v>2269</v>
      </c>
      <c r="H2458" s="0" t="s">
        <v>2270</v>
      </c>
      <c r="I2458" s="0" t="s">
        <v>2322</v>
      </c>
      <c r="J2458" s="0" t="s">
        <v>2335</v>
      </c>
      <c r="K2458" s="272" t="n">
        <v>-6054608.56208088</v>
      </c>
    </row>
    <row r="2459" customFormat="false" ht="15" hidden="false" customHeight="false" outlineLevel="0" collapsed="false">
      <c r="A2459" s="0" t="s">
        <v>2041</v>
      </c>
      <c r="B2459" s="0" t="s">
        <v>2042</v>
      </c>
      <c r="C2459" s="0" t="s">
        <v>2161</v>
      </c>
      <c r="D2459" s="0" t="s">
        <v>2105</v>
      </c>
      <c r="E2459" s="0" t="s">
        <v>2045</v>
      </c>
      <c r="F2459" s="0" t="s">
        <v>2150</v>
      </c>
      <c r="G2459" s="0" t="s">
        <v>2151</v>
      </c>
      <c r="H2459" s="0" t="s">
        <v>2271</v>
      </c>
      <c r="I2459" s="0" t="s">
        <v>2272</v>
      </c>
      <c r="J2459" s="0" t="s">
        <v>2335</v>
      </c>
      <c r="K2459" s="272" t="n">
        <v>-41389.8044071512</v>
      </c>
    </row>
    <row r="2460" customFormat="false" ht="15" hidden="false" customHeight="false" outlineLevel="0" collapsed="false">
      <c r="A2460" s="0" t="s">
        <v>2041</v>
      </c>
      <c r="B2460" s="0" t="s">
        <v>2042</v>
      </c>
      <c r="C2460" s="0" t="s">
        <v>2161</v>
      </c>
      <c r="D2460" s="0" t="s">
        <v>2105</v>
      </c>
      <c r="E2460" s="0" t="s">
        <v>2045</v>
      </c>
      <c r="F2460" s="0" t="s">
        <v>2150</v>
      </c>
      <c r="G2460" s="0" t="s">
        <v>2151</v>
      </c>
      <c r="H2460" s="0" t="s">
        <v>2152</v>
      </c>
      <c r="I2460" s="0" t="s">
        <v>2322</v>
      </c>
      <c r="J2460" s="0" t="s">
        <v>2335</v>
      </c>
      <c r="K2460" s="272" t="n">
        <v>-4102464.35595962</v>
      </c>
    </row>
    <row r="2461" customFormat="false" ht="15" hidden="false" customHeight="false" outlineLevel="0" collapsed="false">
      <c r="A2461" s="0" t="s">
        <v>2041</v>
      </c>
      <c r="B2461" s="0" t="s">
        <v>2042</v>
      </c>
      <c r="C2461" s="0" t="s">
        <v>2161</v>
      </c>
      <c r="D2461" s="0" t="s">
        <v>2105</v>
      </c>
      <c r="E2461" s="0" t="s">
        <v>2045</v>
      </c>
      <c r="F2461" s="0" t="s">
        <v>2150</v>
      </c>
      <c r="G2461" s="0" t="s">
        <v>2151</v>
      </c>
      <c r="H2461" s="0" t="s">
        <v>2273</v>
      </c>
      <c r="I2461" s="0" t="s">
        <v>2272</v>
      </c>
      <c r="J2461" s="0" t="s">
        <v>2335</v>
      </c>
      <c r="K2461" s="272" t="n">
        <v>-43189.3611205056</v>
      </c>
    </row>
    <row r="2462" customFormat="false" ht="15" hidden="false" customHeight="false" outlineLevel="0" collapsed="false">
      <c r="A2462" s="0" t="s">
        <v>2041</v>
      </c>
      <c r="B2462" s="0" t="s">
        <v>2042</v>
      </c>
      <c r="C2462" s="0" t="s">
        <v>2161</v>
      </c>
      <c r="D2462" s="0" t="s">
        <v>2105</v>
      </c>
      <c r="E2462" s="0" t="s">
        <v>2045</v>
      </c>
      <c r="F2462" s="0" t="s">
        <v>2150</v>
      </c>
      <c r="G2462" s="0" t="s">
        <v>2151</v>
      </c>
      <c r="H2462" s="0" t="s">
        <v>2153</v>
      </c>
      <c r="I2462" s="0" t="s">
        <v>2322</v>
      </c>
      <c r="J2462" s="0" t="s">
        <v>2335</v>
      </c>
      <c r="K2462" s="272" t="n">
        <v>-1374441.44210594</v>
      </c>
    </row>
    <row r="2463" customFormat="false" ht="15" hidden="false" customHeight="false" outlineLevel="0" collapsed="false">
      <c r="A2463" s="0" t="s">
        <v>2041</v>
      </c>
      <c r="B2463" s="0" t="s">
        <v>2042</v>
      </c>
      <c r="C2463" s="0" t="s">
        <v>2161</v>
      </c>
      <c r="D2463" s="0" t="s">
        <v>2105</v>
      </c>
      <c r="E2463" s="0" t="s">
        <v>2045</v>
      </c>
      <c r="F2463" s="0" t="s">
        <v>2150</v>
      </c>
      <c r="G2463" s="0" t="s">
        <v>2151</v>
      </c>
      <c r="H2463" s="0" t="s">
        <v>2154</v>
      </c>
      <c r="I2463" s="0" t="s">
        <v>2322</v>
      </c>
      <c r="J2463" s="0" t="s">
        <v>2335</v>
      </c>
      <c r="K2463" s="272" t="n">
        <v>-611849.282540496</v>
      </c>
    </row>
    <row r="2464" customFormat="false" ht="15" hidden="false" customHeight="false" outlineLevel="0" collapsed="false">
      <c r="A2464" s="0" t="s">
        <v>2041</v>
      </c>
      <c r="B2464" s="0" t="s">
        <v>2042</v>
      </c>
      <c r="C2464" s="0" t="s">
        <v>2161</v>
      </c>
      <c r="D2464" s="0" t="s">
        <v>2105</v>
      </c>
      <c r="E2464" s="0" t="s">
        <v>2045</v>
      </c>
      <c r="F2464" s="0" t="s">
        <v>2150</v>
      </c>
      <c r="G2464" s="0" t="s">
        <v>2155</v>
      </c>
      <c r="H2464" s="0" t="s">
        <v>2154</v>
      </c>
      <c r="I2464" s="0" t="s">
        <v>2322</v>
      </c>
      <c r="J2464" s="0" t="s">
        <v>2335</v>
      </c>
      <c r="K2464" s="272" t="n">
        <v>-2497784.71813591</v>
      </c>
    </row>
    <row r="2465" customFormat="false" ht="15" hidden="false" customHeight="false" outlineLevel="0" collapsed="false">
      <c r="A2465" s="0" t="s">
        <v>2041</v>
      </c>
      <c r="B2465" s="0" t="s">
        <v>2042</v>
      </c>
      <c r="C2465" s="0" t="s">
        <v>2161</v>
      </c>
      <c r="D2465" s="0" t="s">
        <v>2105</v>
      </c>
      <c r="E2465" s="0" t="s">
        <v>2045</v>
      </c>
      <c r="F2465" s="0" t="s">
        <v>2150</v>
      </c>
      <c r="G2465" s="0" t="s">
        <v>2332</v>
      </c>
      <c r="H2465" s="0" t="s">
        <v>2152</v>
      </c>
      <c r="I2465" s="0" t="s">
        <v>2322</v>
      </c>
      <c r="J2465" s="0" t="s">
        <v>2335</v>
      </c>
      <c r="K2465" s="272" t="n">
        <v>-500276.766312523</v>
      </c>
    </row>
    <row r="2466" customFormat="false" ht="15" hidden="false" customHeight="false" outlineLevel="0" collapsed="false">
      <c r="A2466" s="0" t="s">
        <v>2041</v>
      </c>
      <c r="B2466" s="0" t="s">
        <v>2042</v>
      </c>
      <c r="C2466" s="0" t="s">
        <v>2161</v>
      </c>
      <c r="D2466" s="0" t="s">
        <v>2105</v>
      </c>
      <c r="E2466" s="0" t="s">
        <v>2274</v>
      </c>
      <c r="F2466" s="0" t="s">
        <v>2275</v>
      </c>
      <c r="G2466" s="0" t="s">
        <v>2276</v>
      </c>
      <c r="H2466" s="0" t="s">
        <v>2277</v>
      </c>
      <c r="I2466" s="0" t="s">
        <v>2322</v>
      </c>
      <c r="J2466" s="0" t="s">
        <v>2335</v>
      </c>
      <c r="K2466" s="272" t="n">
        <v>-1092282.90573545</v>
      </c>
    </row>
    <row r="2467" customFormat="false" ht="15" hidden="false" customHeight="false" outlineLevel="0" collapsed="false">
      <c r="A2467" s="0" t="s">
        <v>2041</v>
      </c>
      <c r="B2467" s="0" t="s">
        <v>2042</v>
      </c>
      <c r="C2467" s="0" t="s">
        <v>2161</v>
      </c>
      <c r="D2467" s="0" t="s">
        <v>2279</v>
      </c>
      <c r="E2467" s="0" t="s">
        <v>2279</v>
      </c>
      <c r="F2467" s="0" t="s">
        <v>2280</v>
      </c>
      <c r="G2467" s="0" t="s">
        <v>2281</v>
      </c>
      <c r="H2467" s="0" t="s">
        <v>2284</v>
      </c>
      <c r="I2467" s="0" t="s">
        <v>2322</v>
      </c>
      <c r="J2467" s="0" t="s">
        <v>2335</v>
      </c>
      <c r="K2467" s="272" t="n">
        <v>-727240.936298607</v>
      </c>
    </row>
    <row r="2468" customFormat="false" ht="15" hidden="false" customHeight="false" outlineLevel="0" collapsed="false">
      <c r="A2468" s="0" t="s">
        <v>2041</v>
      </c>
      <c r="B2468" s="0" t="s">
        <v>2042</v>
      </c>
      <c r="C2468" s="0" t="s">
        <v>2161</v>
      </c>
      <c r="D2468" s="0" t="s">
        <v>2279</v>
      </c>
      <c r="E2468" s="0" t="s">
        <v>2279</v>
      </c>
      <c r="F2468" s="0" t="s">
        <v>2280</v>
      </c>
      <c r="G2468" s="0" t="s">
        <v>2281</v>
      </c>
      <c r="H2468" s="0" t="s">
        <v>2287</v>
      </c>
      <c r="I2468" s="0" t="s">
        <v>2322</v>
      </c>
      <c r="J2468" s="0" t="s">
        <v>2335</v>
      </c>
      <c r="K2468" s="272" t="n">
        <v>-422268.93075403</v>
      </c>
    </row>
    <row r="2469" customFormat="false" ht="15" hidden="false" customHeight="false" outlineLevel="0" collapsed="false">
      <c r="A2469" s="0" t="s">
        <v>2041</v>
      </c>
      <c r="B2469" s="0" t="s">
        <v>2042</v>
      </c>
      <c r="C2469" s="0" t="s">
        <v>2161</v>
      </c>
      <c r="D2469" s="0" t="s">
        <v>2279</v>
      </c>
      <c r="E2469" s="0" t="s">
        <v>2279</v>
      </c>
      <c r="F2469" s="0" t="s">
        <v>2280</v>
      </c>
      <c r="G2469" s="0" t="s">
        <v>2281</v>
      </c>
      <c r="H2469" s="0" t="s">
        <v>2288</v>
      </c>
      <c r="I2469" s="0" t="s">
        <v>2322</v>
      </c>
      <c r="J2469" s="0" t="s">
        <v>2335</v>
      </c>
      <c r="K2469" s="272" t="n">
        <v>-328431.390586468</v>
      </c>
    </row>
    <row r="2470" customFormat="false" ht="15" hidden="false" customHeight="false" outlineLevel="0" collapsed="false">
      <c r="A2470" s="0" t="s">
        <v>2041</v>
      </c>
      <c r="B2470" s="0" t="s">
        <v>2042</v>
      </c>
      <c r="C2470" s="0" t="s">
        <v>2161</v>
      </c>
      <c r="D2470" s="0" t="s">
        <v>2279</v>
      </c>
      <c r="E2470" s="0" t="s">
        <v>2279</v>
      </c>
      <c r="F2470" s="0" t="s">
        <v>2280</v>
      </c>
      <c r="G2470" s="0" t="s">
        <v>2281</v>
      </c>
      <c r="H2470" s="0" t="s">
        <v>2289</v>
      </c>
      <c r="I2470" s="0" t="s">
        <v>2322</v>
      </c>
      <c r="J2470" s="0" t="s">
        <v>2335</v>
      </c>
      <c r="K2470" s="272" t="n">
        <v>-270564.838668942</v>
      </c>
    </row>
    <row r="2471" customFormat="false" ht="15" hidden="false" customHeight="false" outlineLevel="0" collapsed="false">
      <c r="A2471" s="0" t="s">
        <v>2041</v>
      </c>
      <c r="B2471" s="0" t="s">
        <v>2042</v>
      </c>
      <c r="C2471" s="0" t="s">
        <v>2161</v>
      </c>
      <c r="D2471" s="0" t="s">
        <v>2279</v>
      </c>
      <c r="E2471" s="0" t="s">
        <v>2279</v>
      </c>
      <c r="F2471" s="0" t="s">
        <v>2280</v>
      </c>
      <c r="G2471" s="0" t="s">
        <v>2281</v>
      </c>
      <c r="H2471" s="0" t="s">
        <v>2153</v>
      </c>
      <c r="I2471" s="0" t="s">
        <v>2322</v>
      </c>
      <c r="J2471" s="0" t="s">
        <v>2335</v>
      </c>
      <c r="K2471" s="272" t="n">
        <v>-2406150.81866538</v>
      </c>
    </row>
    <row r="2472" customFormat="false" ht="15" hidden="false" customHeight="false" outlineLevel="0" collapsed="false">
      <c r="A2472" s="0" t="s">
        <v>2041</v>
      </c>
      <c r="B2472" s="0" t="s">
        <v>2042</v>
      </c>
      <c r="C2472" s="0" t="s">
        <v>2161</v>
      </c>
      <c r="D2472" s="0" t="s">
        <v>2279</v>
      </c>
      <c r="E2472" s="0" t="s">
        <v>2279</v>
      </c>
      <c r="F2472" s="0" t="s">
        <v>2280</v>
      </c>
      <c r="G2472" s="0" t="s">
        <v>2281</v>
      </c>
      <c r="H2472" s="0" t="s">
        <v>2107</v>
      </c>
      <c r="I2472" s="0" t="s">
        <v>2322</v>
      </c>
      <c r="J2472" s="0" t="s">
        <v>2335</v>
      </c>
      <c r="K2472" s="272" t="n">
        <v>-281512.620502687</v>
      </c>
    </row>
    <row r="2473" customFormat="false" ht="15" hidden="false" customHeight="false" outlineLevel="0" collapsed="false">
      <c r="A2473" s="0" t="s">
        <v>2041</v>
      </c>
      <c r="B2473" s="0" t="s">
        <v>2042</v>
      </c>
      <c r="C2473" s="0" t="s">
        <v>2161</v>
      </c>
      <c r="D2473" s="0" t="s">
        <v>2279</v>
      </c>
      <c r="E2473" s="0" t="s">
        <v>2279</v>
      </c>
      <c r="F2473" s="0" t="s">
        <v>2280</v>
      </c>
      <c r="G2473" s="0" t="s">
        <v>2281</v>
      </c>
      <c r="H2473" s="0" t="s">
        <v>2290</v>
      </c>
      <c r="I2473" s="0" t="s">
        <v>2322</v>
      </c>
      <c r="J2473" s="0" t="s">
        <v>2335</v>
      </c>
      <c r="K2473" s="272" t="n">
        <v>-375350.160670249</v>
      </c>
    </row>
    <row r="2474" customFormat="false" ht="15" hidden="false" customHeight="false" outlineLevel="0" collapsed="false">
      <c r="A2474" s="0" t="s">
        <v>2041</v>
      </c>
      <c r="B2474" s="0" t="s">
        <v>2042</v>
      </c>
      <c r="C2474" s="0" t="s">
        <v>2161</v>
      </c>
      <c r="D2474" s="0" t="s">
        <v>2279</v>
      </c>
      <c r="E2474" s="0" t="s">
        <v>2279</v>
      </c>
      <c r="F2474" s="0" t="s">
        <v>2280</v>
      </c>
      <c r="G2474" s="0" t="s">
        <v>2281</v>
      </c>
      <c r="H2474" s="0" t="s">
        <v>2291</v>
      </c>
      <c r="I2474" s="0" t="s">
        <v>2322</v>
      </c>
      <c r="J2474" s="0" t="s">
        <v>2335</v>
      </c>
      <c r="K2474" s="272" t="n">
        <v>-136734.779521179</v>
      </c>
    </row>
    <row r="2475" customFormat="false" ht="15" hidden="false" customHeight="false" outlineLevel="0" collapsed="false">
      <c r="A2475" s="0" t="s">
        <v>2041</v>
      </c>
      <c r="B2475" s="0" t="s">
        <v>2042</v>
      </c>
      <c r="C2475" s="0" t="s">
        <v>2161</v>
      </c>
      <c r="D2475" s="0" t="s">
        <v>2334</v>
      </c>
      <c r="E2475" s="0" t="s">
        <v>2279</v>
      </c>
      <c r="F2475" s="0" t="s">
        <v>2280</v>
      </c>
      <c r="G2475" s="0" t="s">
        <v>2281</v>
      </c>
      <c r="H2475" s="0" t="s">
        <v>2284</v>
      </c>
      <c r="I2475" s="0" t="s">
        <v>2322</v>
      </c>
      <c r="J2475" s="0" t="s">
        <v>2335</v>
      </c>
      <c r="K2475" s="272" t="n">
        <v>-1820000.00006409</v>
      </c>
    </row>
    <row r="2476" customFormat="false" ht="15" hidden="false" customHeight="false" outlineLevel="0" collapsed="false">
      <c r="A2476" s="0" t="s">
        <v>2041</v>
      </c>
      <c r="B2476" s="0" t="s">
        <v>2042</v>
      </c>
      <c r="C2476" s="0" t="s">
        <v>2161</v>
      </c>
      <c r="D2476" s="0" t="s">
        <v>2334</v>
      </c>
      <c r="E2476" s="0" t="s">
        <v>2279</v>
      </c>
      <c r="F2476" s="0" t="s">
        <v>2280</v>
      </c>
      <c r="G2476" s="0" t="s">
        <v>2281</v>
      </c>
      <c r="H2476" s="0" t="s">
        <v>2286</v>
      </c>
      <c r="I2476" s="0" t="s">
        <v>2322</v>
      </c>
      <c r="J2476" s="0" t="s">
        <v>2335</v>
      </c>
      <c r="K2476" s="272" t="n">
        <v>-1240278.5590628</v>
      </c>
    </row>
    <row r="2477" customFormat="false" ht="15" hidden="false" customHeight="false" outlineLevel="0" collapsed="false">
      <c r="A2477" s="0" t="s">
        <v>2041</v>
      </c>
      <c r="B2477" s="0" t="s">
        <v>2042</v>
      </c>
      <c r="C2477" s="0" t="s">
        <v>2161</v>
      </c>
      <c r="D2477" s="0" t="s">
        <v>2334</v>
      </c>
      <c r="E2477" s="0" t="s">
        <v>2279</v>
      </c>
      <c r="F2477" s="0" t="s">
        <v>2280</v>
      </c>
      <c r="G2477" s="0" t="s">
        <v>2281</v>
      </c>
      <c r="H2477" s="0" t="s">
        <v>2287</v>
      </c>
      <c r="I2477" s="0" t="s">
        <v>2322</v>
      </c>
      <c r="J2477" s="0" t="s">
        <v>2335</v>
      </c>
      <c r="K2477" s="272" t="n">
        <v>-1289843.38576749</v>
      </c>
    </row>
    <row r="2478" customFormat="false" ht="15" hidden="false" customHeight="false" outlineLevel="0" collapsed="false">
      <c r="A2478" s="0" t="s">
        <v>2041</v>
      </c>
      <c r="B2478" s="0" t="s">
        <v>2042</v>
      </c>
      <c r="C2478" s="0" t="s">
        <v>2161</v>
      </c>
      <c r="D2478" s="0" t="s">
        <v>2334</v>
      </c>
      <c r="E2478" s="0" t="s">
        <v>2279</v>
      </c>
      <c r="F2478" s="0" t="s">
        <v>2280</v>
      </c>
      <c r="G2478" s="0" t="s">
        <v>2281</v>
      </c>
      <c r="H2478" s="0" t="s">
        <v>2153</v>
      </c>
      <c r="I2478" s="0" t="s">
        <v>2322</v>
      </c>
      <c r="J2478" s="0" t="s">
        <v>2335</v>
      </c>
      <c r="K2478" s="272" t="n">
        <v>-9013690.81691961</v>
      </c>
    </row>
    <row r="2479" customFormat="false" ht="15" hidden="false" customHeight="false" outlineLevel="0" collapsed="false">
      <c r="A2479" s="0" t="s">
        <v>2041</v>
      </c>
      <c r="B2479" s="0" t="s">
        <v>2042</v>
      </c>
      <c r="C2479" s="0" t="s">
        <v>2161</v>
      </c>
      <c r="D2479" s="0" t="s">
        <v>2334</v>
      </c>
      <c r="E2479" s="0" t="s">
        <v>2279</v>
      </c>
      <c r="F2479" s="0" t="s">
        <v>2292</v>
      </c>
      <c r="G2479" s="0" t="s">
        <v>2293</v>
      </c>
      <c r="H2479" s="0" t="s">
        <v>2284</v>
      </c>
      <c r="I2479" s="0" t="s">
        <v>2322</v>
      </c>
      <c r="J2479" s="0" t="s">
        <v>2335</v>
      </c>
      <c r="K2479" s="272" t="n">
        <v>-7353518.99387227</v>
      </c>
    </row>
    <row r="2480" customFormat="false" ht="15" hidden="false" customHeight="false" outlineLevel="0" collapsed="false">
      <c r="A2480" s="0" t="s">
        <v>2041</v>
      </c>
      <c r="B2480" s="0" t="s">
        <v>2042</v>
      </c>
      <c r="C2480" s="0" t="s">
        <v>2161</v>
      </c>
      <c r="D2480" s="0" t="s">
        <v>2334</v>
      </c>
      <c r="E2480" s="0" t="s">
        <v>2279</v>
      </c>
      <c r="F2480" s="0" t="s">
        <v>2292</v>
      </c>
      <c r="G2480" s="0" t="s">
        <v>2293</v>
      </c>
      <c r="H2480" s="0" t="s">
        <v>2287</v>
      </c>
      <c r="I2480" s="0" t="s">
        <v>2322</v>
      </c>
      <c r="J2480" s="0" t="s">
        <v>2335</v>
      </c>
      <c r="K2480" s="272" t="n">
        <v>-1698272.28495895</v>
      </c>
    </row>
    <row r="2481" customFormat="false" ht="15" hidden="false" customHeight="false" outlineLevel="0" collapsed="false">
      <c r="A2481" s="0" t="s">
        <v>2041</v>
      </c>
      <c r="B2481" s="0" t="s">
        <v>2042</v>
      </c>
      <c r="C2481" s="0" t="s">
        <v>2161</v>
      </c>
      <c r="D2481" s="0" t="s">
        <v>2334</v>
      </c>
      <c r="E2481" s="0" t="s">
        <v>2279</v>
      </c>
      <c r="F2481" s="0" t="s">
        <v>2292</v>
      </c>
      <c r="G2481" s="0" t="s">
        <v>2293</v>
      </c>
      <c r="H2481" s="0" t="s">
        <v>2336</v>
      </c>
      <c r="I2481" s="0" t="s">
        <v>2322</v>
      </c>
      <c r="J2481" s="0" t="s">
        <v>2335</v>
      </c>
      <c r="K2481" s="272" t="n">
        <v>-452164.995870321</v>
      </c>
    </row>
    <row r="2482" customFormat="false" ht="15" hidden="false" customHeight="false" outlineLevel="0" collapsed="false">
      <c r="A2482" s="0" t="s">
        <v>2041</v>
      </c>
      <c r="B2482" s="0" t="s">
        <v>2042</v>
      </c>
      <c r="C2482" s="0" t="s">
        <v>2161</v>
      </c>
      <c r="D2482" s="0" t="s">
        <v>2334</v>
      </c>
      <c r="E2482" s="0" t="s">
        <v>2279</v>
      </c>
      <c r="F2482" s="0" t="s">
        <v>2292</v>
      </c>
      <c r="G2482" s="0" t="s">
        <v>2293</v>
      </c>
      <c r="H2482" s="0" t="s">
        <v>2337</v>
      </c>
      <c r="I2482" s="0" t="s">
        <v>2322</v>
      </c>
      <c r="J2482" s="0" t="s">
        <v>2335</v>
      </c>
      <c r="K2482" s="272" t="n">
        <v>-527525.828515375</v>
      </c>
    </row>
    <row r="2483" customFormat="false" ht="15" hidden="false" customHeight="false" outlineLevel="0" collapsed="false">
      <c r="A2483" s="0" t="s">
        <v>2041</v>
      </c>
      <c r="B2483" s="0" t="s">
        <v>2042</v>
      </c>
      <c r="C2483" s="0" t="s">
        <v>2161</v>
      </c>
      <c r="D2483" s="0" t="s">
        <v>2334</v>
      </c>
      <c r="E2483" s="0" t="s">
        <v>2279</v>
      </c>
      <c r="F2483" s="0" t="s">
        <v>2292</v>
      </c>
      <c r="G2483" s="0" t="s">
        <v>2293</v>
      </c>
      <c r="H2483" s="0" t="s">
        <v>2338</v>
      </c>
      <c r="I2483" s="0" t="s">
        <v>2322</v>
      </c>
      <c r="J2483" s="0" t="s">
        <v>2335</v>
      </c>
      <c r="K2483" s="272" t="n">
        <v>-527525.828515375</v>
      </c>
    </row>
    <row r="2484" customFormat="false" ht="15" hidden="false" customHeight="false" outlineLevel="0" collapsed="false">
      <c r="A2484" s="0" t="s">
        <v>2041</v>
      </c>
      <c r="B2484" s="0" t="s">
        <v>2042</v>
      </c>
      <c r="C2484" s="0" t="s">
        <v>2161</v>
      </c>
      <c r="D2484" s="0" t="s">
        <v>2334</v>
      </c>
      <c r="E2484" s="0" t="s">
        <v>2279</v>
      </c>
      <c r="F2484" s="0" t="s">
        <v>2292</v>
      </c>
      <c r="G2484" s="0" t="s">
        <v>2293</v>
      </c>
      <c r="H2484" s="0" t="s">
        <v>2153</v>
      </c>
      <c r="I2484" s="0" t="s">
        <v>2322</v>
      </c>
      <c r="J2484" s="0" t="s">
        <v>2335</v>
      </c>
      <c r="K2484" s="272" t="n">
        <v>-18012202.7716895</v>
      </c>
    </row>
    <row r="2485" customFormat="false" ht="15" hidden="false" customHeight="false" outlineLevel="0" collapsed="false">
      <c r="A2485" s="0" t="s">
        <v>2041</v>
      </c>
      <c r="B2485" s="0" t="s">
        <v>2042</v>
      </c>
      <c r="C2485" s="0" t="s">
        <v>2161</v>
      </c>
      <c r="D2485" s="0" t="s">
        <v>2334</v>
      </c>
      <c r="E2485" s="0" t="s">
        <v>2279</v>
      </c>
      <c r="F2485" s="0" t="s">
        <v>2292</v>
      </c>
      <c r="G2485" s="0" t="s">
        <v>2293</v>
      </c>
      <c r="H2485" s="0" t="s">
        <v>2326</v>
      </c>
      <c r="I2485" s="0" t="s">
        <v>2322</v>
      </c>
      <c r="J2485" s="0" t="s">
        <v>2335</v>
      </c>
      <c r="K2485" s="272" t="n">
        <v>-4840076.01213301</v>
      </c>
    </row>
    <row r="2486" customFormat="false" ht="15" hidden="false" customHeight="false" outlineLevel="0" collapsed="false">
      <c r="A2486" s="0" t="s">
        <v>2041</v>
      </c>
      <c r="B2486" s="0" t="s">
        <v>2042</v>
      </c>
      <c r="C2486" s="0" t="s">
        <v>2161</v>
      </c>
      <c r="D2486" s="0" t="s">
        <v>2044</v>
      </c>
      <c r="E2486" s="0" t="s">
        <v>2045</v>
      </c>
      <c r="F2486" s="0" t="s">
        <v>2051</v>
      </c>
      <c r="G2486" s="0" t="s">
        <v>2047</v>
      </c>
      <c r="H2486" s="0" t="s">
        <v>2052</v>
      </c>
      <c r="I2486" s="0" t="s">
        <v>2322</v>
      </c>
      <c r="J2486" s="0" t="s">
        <v>2335</v>
      </c>
      <c r="K2486" s="272" t="n">
        <v>-7652.21542194922</v>
      </c>
    </row>
    <row r="2487" customFormat="false" ht="15" hidden="false" customHeight="false" outlineLevel="0" collapsed="false">
      <c r="A2487" s="0" t="s">
        <v>2041</v>
      </c>
      <c r="B2487" s="0" t="s">
        <v>2042</v>
      </c>
      <c r="C2487" s="0" t="s">
        <v>2161</v>
      </c>
      <c r="D2487" s="0" t="s">
        <v>2044</v>
      </c>
      <c r="E2487" s="0" t="s">
        <v>2045</v>
      </c>
      <c r="F2487" s="0" t="s">
        <v>2051</v>
      </c>
      <c r="G2487" s="0" t="s">
        <v>2053</v>
      </c>
      <c r="H2487" s="0" t="s">
        <v>2052</v>
      </c>
      <c r="I2487" s="0" t="s">
        <v>2322</v>
      </c>
      <c r="J2487" s="0" t="s">
        <v>2335</v>
      </c>
      <c r="K2487" s="272" t="n">
        <v>-2914.80409332673</v>
      </c>
    </row>
    <row r="2488" customFormat="false" ht="15" hidden="false" customHeight="false" outlineLevel="0" collapsed="false">
      <c r="A2488" s="0" t="s">
        <v>2041</v>
      </c>
      <c r="B2488" s="0" t="s">
        <v>2042</v>
      </c>
      <c r="C2488" s="0" t="s">
        <v>2161</v>
      </c>
      <c r="D2488" s="0" t="s">
        <v>2044</v>
      </c>
      <c r="E2488" s="0" t="s">
        <v>2045</v>
      </c>
      <c r="F2488" s="0" t="s">
        <v>2051</v>
      </c>
      <c r="G2488" s="0" t="s">
        <v>2054</v>
      </c>
      <c r="H2488" s="0" t="s">
        <v>2052</v>
      </c>
      <c r="I2488" s="0" t="s">
        <v>2322</v>
      </c>
      <c r="J2488" s="0" t="s">
        <v>2335</v>
      </c>
      <c r="K2488" s="272" t="n">
        <v>-33629.2026291239</v>
      </c>
    </row>
    <row r="2489" customFormat="false" ht="15" hidden="false" customHeight="false" outlineLevel="0" collapsed="false">
      <c r="A2489" s="0" t="s">
        <v>2041</v>
      </c>
      <c r="B2489" s="0" t="s">
        <v>2042</v>
      </c>
      <c r="C2489" s="0" t="s">
        <v>2161</v>
      </c>
      <c r="D2489" s="0" t="s">
        <v>2044</v>
      </c>
      <c r="E2489" s="0" t="s">
        <v>2045</v>
      </c>
      <c r="F2489" s="0" t="s">
        <v>2051</v>
      </c>
      <c r="G2489" s="0" t="s">
        <v>2055</v>
      </c>
      <c r="H2489" s="0" t="s">
        <v>2052</v>
      </c>
      <c r="I2489" s="0" t="s">
        <v>2322</v>
      </c>
      <c r="J2489" s="0" t="s">
        <v>2335</v>
      </c>
      <c r="K2489" s="272" t="n">
        <v>-53759.2824209818</v>
      </c>
    </row>
    <row r="2490" customFormat="false" ht="15" hidden="false" customHeight="false" outlineLevel="0" collapsed="false">
      <c r="A2490" s="0" t="s">
        <v>2041</v>
      </c>
      <c r="B2490" s="0" t="s">
        <v>2042</v>
      </c>
      <c r="C2490" s="0" t="s">
        <v>2161</v>
      </c>
      <c r="D2490" s="0" t="s">
        <v>2044</v>
      </c>
      <c r="E2490" s="0" t="s">
        <v>2045</v>
      </c>
      <c r="F2490" s="0" t="s">
        <v>2051</v>
      </c>
      <c r="G2490" s="0" t="s">
        <v>2056</v>
      </c>
      <c r="H2490" s="0" t="s">
        <v>2052</v>
      </c>
      <c r="I2490" s="0" t="s">
        <v>2322</v>
      </c>
      <c r="J2490" s="0" t="s">
        <v>2335</v>
      </c>
      <c r="K2490" s="272" t="n">
        <v>-48998.4135106894</v>
      </c>
    </row>
    <row r="2491" customFormat="false" ht="15" hidden="false" customHeight="false" outlineLevel="0" collapsed="false">
      <c r="A2491" s="0" t="s">
        <v>2041</v>
      </c>
      <c r="B2491" s="0" t="s">
        <v>2042</v>
      </c>
      <c r="C2491" s="0" t="s">
        <v>2161</v>
      </c>
      <c r="D2491" s="0" t="s">
        <v>2044</v>
      </c>
      <c r="E2491" s="0" t="s">
        <v>2045</v>
      </c>
      <c r="F2491" s="0" t="s">
        <v>2051</v>
      </c>
      <c r="G2491" s="0" t="s">
        <v>2057</v>
      </c>
      <c r="H2491" s="0" t="s">
        <v>2052</v>
      </c>
      <c r="I2491" s="0" t="s">
        <v>2322</v>
      </c>
      <c r="J2491" s="0" t="s">
        <v>2335</v>
      </c>
      <c r="K2491" s="272" t="n">
        <v>-38874.1140997174</v>
      </c>
    </row>
    <row r="2492" customFormat="false" ht="15" hidden="false" customHeight="false" outlineLevel="0" collapsed="false">
      <c r="A2492" s="0" t="s">
        <v>2041</v>
      </c>
      <c r="B2492" s="0" t="s">
        <v>2042</v>
      </c>
      <c r="C2492" s="0" t="s">
        <v>2161</v>
      </c>
      <c r="D2492" s="0" t="s">
        <v>2044</v>
      </c>
      <c r="E2492" s="0" t="s">
        <v>2045</v>
      </c>
      <c r="F2492" s="0" t="s">
        <v>2051</v>
      </c>
      <c r="G2492" s="0" t="s">
        <v>2058</v>
      </c>
      <c r="H2492" s="0" t="s">
        <v>2052</v>
      </c>
      <c r="I2492" s="0" t="s">
        <v>2322</v>
      </c>
      <c r="J2492" s="0" t="s">
        <v>2335</v>
      </c>
      <c r="K2492" s="272" t="n">
        <v>-9593.90472363778</v>
      </c>
    </row>
    <row r="2493" customFormat="false" ht="15" hidden="false" customHeight="false" outlineLevel="0" collapsed="false">
      <c r="A2493" s="0" t="s">
        <v>2041</v>
      </c>
      <c r="B2493" s="0" t="s">
        <v>2042</v>
      </c>
      <c r="C2493" s="0" t="s">
        <v>2161</v>
      </c>
      <c r="D2493" s="0" t="s">
        <v>2044</v>
      </c>
      <c r="E2493" s="0" t="s">
        <v>2045</v>
      </c>
      <c r="F2493" s="0" t="s">
        <v>2051</v>
      </c>
      <c r="G2493" s="0" t="s">
        <v>2059</v>
      </c>
      <c r="H2493" s="0" t="s">
        <v>2052</v>
      </c>
      <c r="I2493" s="0" t="s">
        <v>2322</v>
      </c>
      <c r="J2493" s="0" t="s">
        <v>2335</v>
      </c>
      <c r="K2493" s="272" t="n">
        <v>-10411.6052986189</v>
      </c>
    </row>
    <row r="2494" customFormat="false" ht="15" hidden="false" customHeight="false" outlineLevel="0" collapsed="false">
      <c r="A2494" s="0" t="s">
        <v>2041</v>
      </c>
      <c r="B2494" s="0" t="s">
        <v>2042</v>
      </c>
      <c r="C2494" s="0" t="s">
        <v>2161</v>
      </c>
      <c r="D2494" s="0" t="s">
        <v>2044</v>
      </c>
      <c r="E2494" s="0" t="s">
        <v>2045</v>
      </c>
      <c r="F2494" s="0" t="s">
        <v>2051</v>
      </c>
      <c r="G2494" s="0" t="s">
        <v>2060</v>
      </c>
      <c r="H2494" s="0" t="s">
        <v>2052</v>
      </c>
      <c r="I2494" s="0" t="s">
        <v>2322</v>
      </c>
      <c r="J2494" s="0" t="s">
        <v>2335</v>
      </c>
      <c r="K2494" s="272" t="n">
        <v>-2922.79217711388</v>
      </c>
    </row>
    <row r="2495" customFormat="false" ht="15" hidden="false" customHeight="false" outlineLevel="0" collapsed="false">
      <c r="A2495" s="0" t="s">
        <v>2041</v>
      </c>
      <c r="B2495" s="0" t="s">
        <v>2042</v>
      </c>
      <c r="C2495" s="0" t="s">
        <v>2161</v>
      </c>
      <c r="D2495" s="0" t="s">
        <v>2044</v>
      </c>
      <c r="E2495" s="0" t="s">
        <v>2045</v>
      </c>
      <c r="F2495" s="0" t="s">
        <v>2051</v>
      </c>
      <c r="G2495" s="0" t="s">
        <v>2061</v>
      </c>
      <c r="H2495" s="0" t="s">
        <v>2052</v>
      </c>
      <c r="I2495" s="0" t="s">
        <v>2322</v>
      </c>
      <c r="J2495" s="0" t="s">
        <v>2335</v>
      </c>
      <c r="K2495" s="272" t="n">
        <v>-3955.18451535338</v>
      </c>
    </row>
    <row r="2496" customFormat="false" ht="15" hidden="false" customHeight="false" outlineLevel="0" collapsed="false">
      <c r="A2496" s="0" t="s">
        <v>2041</v>
      </c>
      <c r="B2496" s="0" t="s">
        <v>2042</v>
      </c>
      <c r="C2496" s="0" t="s">
        <v>2161</v>
      </c>
      <c r="D2496" s="0" t="s">
        <v>2044</v>
      </c>
      <c r="E2496" s="0" t="s">
        <v>2045</v>
      </c>
      <c r="F2496" s="0" t="s">
        <v>2051</v>
      </c>
      <c r="G2496" s="0" t="s">
        <v>2062</v>
      </c>
      <c r="H2496" s="0" t="s">
        <v>2052</v>
      </c>
      <c r="I2496" s="0" t="s">
        <v>2322</v>
      </c>
      <c r="J2496" s="0" t="s">
        <v>2335</v>
      </c>
      <c r="K2496" s="272" t="n">
        <v>-9837.20771607853</v>
      </c>
    </row>
    <row r="2497" customFormat="false" ht="15" hidden="false" customHeight="false" outlineLevel="0" collapsed="false">
      <c r="A2497" s="0" t="s">
        <v>2041</v>
      </c>
      <c r="B2497" s="0" t="s">
        <v>2042</v>
      </c>
      <c r="C2497" s="0" t="s">
        <v>2161</v>
      </c>
      <c r="D2497" s="0" t="s">
        <v>2044</v>
      </c>
      <c r="E2497" s="0" t="s">
        <v>2045</v>
      </c>
      <c r="F2497" s="0" t="s">
        <v>2051</v>
      </c>
      <c r="G2497" s="0" t="s">
        <v>2063</v>
      </c>
      <c r="H2497" s="0" t="s">
        <v>2052</v>
      </c>
      <c r="I2497" s="0" t="s">
        <v>2322</v>
      </c>
      <c r="J2497" s="0" t="s">
        <v>2335</v>
      </c>
      <c r="K2497" s="272" t="n">
        <v>-15630.5699057298</v>
      </c>
    </row>
    <row r="2498" customFormat="false" ht="15" hidden="false" customHeight="false" outlineLevel="0" collapsed="false">
      <c r="A2498" s="0" t="s">
        <v>2041</v>
      </c>
      <c r="B2498" s="0" t="s">
        <v>2042</v>
      </c>
      <c r="C2498" s="0" t="s">
        <v>2161</v>
      </c>
      <c r="D2498" s="0" t="s">
        <v>2044</v>
      </c>
      <c r="E2498" s="0" t="s">
        <v>2045</v>
      </c>
      <c r="F2498" s="0" t="s">
        <v>2051</v>
      </c>
      <c r="G2498" s="0" t="s">
        <v>2064</v>
      </c>
      <c r="H2498" s="0" t="s">
        <v>2052</v>
      </c>
      <c r="I2498" s="0" t="s">
        <v>2322</v>
      </c>
      <c r="J2498" s="0" t="s">
        <v>2335</v>
      </c>
      <c r="K2498" s="272" t="n">
        <v>-297428.07023928</v>
      </c>
    </row>
    <row r="2499" customFormat="false" ht="15" hidden="false" customHeight="false" outlineLevel="0" collapsed="false">
      <c r="A2499" s="0" t="s">
        <v>2041</v>
      </c>
      <c r="B2499" s="0" t="s">
        <v>2042</v>
      </c>
      <c r="C2499" s="0" t="s">
        <v>2161</v>
      </c>
      <c r="D2499" s="0" t="s">
        <v>2044</v>
      </c>
      <c r="E2499" s="0" t="s">
        <v>2045</v>
      </c>
      <c r="F2499" s="0" t="s">
        <v>2051</v>
      </c>
      <c r="G2499" s="0" t="s">
        <v>2065</v>
      </c>
      <c r="H2499" s="0" t="s">
        <v>2052</v>
      </c>
      <c r="I2499" s="0" t="s">
        <v>2322</v>
      </c>
      <c r="J2499" s="0" t="s">
        <v>2335</v>
      </c>
      <c r="K2499" s="272" t="n">
        <v>-541.179432029788</v>
      </c>
    </row>
    <row r="2500" customFormat="false" ht="15" hidden="false" customHeight="false" outlineLevel="0" collapsed="false">
      <c r="A2500" s="0" t="s">
        <v>2041</v>
      </c>
      <c r="B2500" s="0" t="s">
        <v>2042</v>
      </c>
      <c r="C2500" s="0" t="s">
        <v>2161</v>
      </c>
      <c r="D2500" s="0" t="s">
        <v>2044</v>
      </c>
      <c r="E2500" s="0" t="s">
        <v>2045</v>
      </c>
      <c r="F2500" s="0" t="s">
        <v>2051</v>
      </c>
      <c r="G2500" s="0" t="s">
        <v>2066</v>
      </c>
      <c r="H2500" s="0" t="s">
        <v>2052</v>
      </c>
      <c r="I2500" s="0" t="s">
        <v>2322</v>
      </c>
      <c r="J2500" s="0" t="s">
        <v>2335</v>
      </c>
      <c r="K2500" s="272" t="n">
        <v>-2367.20888301491</v>
      </c>
    </row>
    <row r="2501" customFormat="false" ht="15" hidden="false" customHeight="false" outlineLevel="0" collapsed="false">
      <c r="A2501" s="0" t="s">
        <v>2041</v>
      </c>
      <c r="B2501" s="0" t="s">
        <v>2042</v>
      </c>
      <c r="C2501" s="0" t="s">
        <v>2161</v>
      </c>
      <c r="D2501" s="0" t="s">
        <v>2044</v>
      </c>
      <c r="E2501" s="0" t="s">
        <v>2045</v>
      </c>
      <c r="F2501" s="0" t="s">
        <v>2051</v>
      </c>
      <c r="G2501" s="0" t="s">
        <v>2067</v>
      </c>
      <c r="H2501" s="0" t="s">
        <v>2052</v>
      </c>
      <c r="I2501" s="0" t="s">
        <v>2322</v>
      </c>
      <c r="J2501" s="0" t="s">
        <v>2335</v>
      </c>
      <c r="K2501" s="272" t="n">
        <v>-88350.676487505</v>
      </c>
    </row>
    <row r="2502" customFormat="false" ht="15" hidden="false" customHeight="false" outlineLevel="0" collapsed="false">
      <c r="A2502" s="0" t="s">
        <v>2041</v>
      </c>
      <c r="B2502" s="0" t="s">
        <v>2042</v>
      </c>
      <c r="C2502" s="0" t="s">
        <v>2161</v>
      </c>
      <c r="D2502" s="0" t="s">
        <v>2044</v>
      </c>
      <c r="E2502" s="0" t="s">
        <v>2045</v>
      </c>
      <c r="F2502" s="0" t="s">
        <v>2051</v>
      </c>
      <c r="G2502" s="0" t="s">
        <v>2068</v>
      </c>
      <c r="H2502" s="0" t="s">
        <v>2052</v>
      </c>
      <c r="I2502" s="0" t="s">
        <v>2322</v>
      </c>
      <c r="J2502" s="0" t="s">
        <v>2335</v>
      </c>
      <c r="K2502" s="272" t="n">
        <v>-41583.7534314897</v>
      </c>
    </row>
    <row r="2503" customFormat="false" ht="15" hidden="false" customHeight="false" outlineLevel="0" collapsed="false">
      <c r="A2503" s="0" t="s">
        <v>2041</v>
      </c>
      <c r="B2503" s="0" t="s">
        <v>2042</v>
      </c>
      <c r="C2503" s="0" t="s">
        <v>2161</v>
      </c>
      <c r="D2503" s="0" t="s">
        <v>2044</v>
      </c>
      <c r="E2503" s="0" t="s">
        <v>2045</v>
      </c>
      <c r="F2503" s="0" t="s">
        <v>2051</v>
      </c>
      <c r="G2503" s="0" t="s">
        <v>2070</v>
      </c>
      <c r="H2503" s="0" t="s">
        <v>2052</v>
      </c>
      <c r="I2503" s="0" t="s">
        <v>2322</v>
      </c>
      <c r="J2503" s="0" t="s">
        <v>2335</v>
      </c>
      <c r="K2503" s="272" t="n">
        <v>-90782.2757591696</v>
      </c>
    </row>
    <row r="2504" customFormat="false" ht="15" hidden="false" customHeight="false" outlineLevel="0" collapsed="false">
      <c r="A2504" s="0" t="s">
        <v>2041</v>
      </c>
      <c r="B2504" s="0" t="s">
        <v>2042</v>
      </c>
      <c r="C2504" s="0" t="s">
        <v>2161</v>
      </c>
      <c r="D2504" s="0" t="s">
        <v>2044</v>
      </c>
      <c r="E2504" s="0" t="s">
        <v>2045</v>
      </c>
      <c r="F2504" s="0" t="s">
        <v>2051</v>
      </c>
      <c r="G2504" s="0" t="s">
        <v>2071</v>
      </c>
      <c r="H2504" s="0" t="s">
        <v>2052</v>
      </c>
      <c r="I2504" s="0" t="s">
        <v>2322</v>
      </c>
      <c r="J2504" s="0" t="s">
        <v>2335</v>
      </c>
      <c r="K2504" s="272" t="n">
        <v>-7327.33020125789</v>
      </c>
    </row>
    <row r="2505" customFormat="false" ht="15" hidden="false" customHeight="false" outlineLevel="0" collapsed="false">
      <c r="A2505" s="0" t="s">
        <v>2041</v>
      </c>
      <c r="B2505" s="0" t="s">
        <v>2042</v>
      </c>
      <c r="C2505" s="0" t="s">
        <v>2161</v>
      </c>
      <c r="D2505" s="0" t="s">
        <v>2044</v>
      </c>
      <c r="E2505" s="0" t="s">
        <v>2045</v>
      </c>
      <c r="F2505" s="0" t="s">
        <v>2051</v>
      </c>
      <c r="G2505" s="0" t="s">
        <v>2072</v>
      </c>
      <c r="H2505" s="0" t="s">
        <v>2052</v>
      </c>
      <c r="I2505" s="0" t="s">
        <v>2322</v>
      </c>
      <c r="J2505" s="0" t="s">
        <v>2335</v>
      </c>
      <c r="K2505" s="272" t="n">
        <v>-93777.0247095979</v>
      </c>
    </row>
    <row r="2506" customFormat="false" ht="15" hidden="false" customHeight="false" outlineLevel="0" collapsed="false">
      <c r="A2506" s="0" t="s">
        <v>2041</v>
      </c>
      <c r="B2506" s="0" t="s">
        <v>2042</v>
      </c>
      <c r="C2506" s="0" t="s">
        <v>2161</v>
      </c>
      <c r="D2506" s="0" t="s">
        <v>2044</v>
      </c>
      <c r="E2506" s="0" t="s">
        <v>2045</v>
      </c>
      <c r="F2506" s="0" t="s">
        <v>2051</v>
      </c>
      <c r="G2506" s="0" t="s">
        <v>2073</v>
      </c>
      <c r="H2506" s="0" t="s">
        <v>2052</v>
      </c>
      <c r="I2506" s="0" t="s">
        <v>2322</v>
      </c>
      <c r="J2506" s="0" t="s">
        <v>2335</v>
      </c>
      <c r="K2506" s="272" t="n">
        <v>-193380.364417064</v>
      </c>
    </row>
    <row r="2507" customFormat="false" ht="15" hidden="false" customHeight="false" outlineLevel="0" collapsed="false">
      <c r="A2507" s="0" t="s">
        <v>2041</v>
      </c>
      <c r="B2507" s="0" t="s">
        <v>2042</v>
      </c>
      <c r="C2507" s="0" t="s">
        <v>2161</v>
      </c>
      <c r="D2507" s="0" t="s">
        <v>2044</v>
      </c>
      <c r="E2507" s="0" t="s">
        <v>2045</v>
      </c>
      <c r="F2507" s="0" t="s">
        <v>2051</v>
      </c>
      <c r="G2507" s="0" t="s">
        <v>2074</v>
      </c>
      <c r="H2507" s="0" t="s">
        <v>2052</v>
      </c>
      <c r="I2507" s="0" t="s">
        <v>2322</v>
      </c>
      <c r="J2507" s="0" t="s">
        <v>2335</v>
      </c>
      <c r="K2507" s="272" t="n">
        <v>-32089.0522095789</v>
      </c>
    </row>
    <row r="2508" customFormat="false" ht="15" hidden="false" customHeight="false" outlineLevel="0" collapsed="false">
      <c r="A2508" s="0" t="s">
        <v>2041</v>
      </c>
      <c r="B2508" s="0" t="s">
        <v>2042</v>
      </c>
      <c r="C2508" s="0" t="s">
        <v>2161</v>
      </c>
      <c r="D2508" s="0" t="s">
        <v>2044</v>
      </c>
      <c r="E2508" s="0" t="s">
        <v>2045</v>
      </c>
      <c r="F2508" s="0" t="s">
        <v>2051</v>
      </c>
      <c r="G2508" s="0" t="s">
        <v>2075</v>
      </c>
      <c r="H2508" s="0" t="s">
        <v>2052</v>
      </c>
      <c r="I2508" s="0" t="s">
        <v>2322</v>
      </c>
      <c r="J2508" s="0" t="s">
        <v>2335</v>
      </c>
      <c r="K2508" s="272" t="n">
        <v>-117471.450537452</v>
      </c>
    </row>
    <row r="2509" customFormat="false" ht="15" hidden="false" customHeight="false" outlineLevel="0" collapsed="false">
      <c r="A2509" s="0" t="s">
        <v>2041</v>
      </c>
      <c r="B2509" s="0" t="s">
        <v>2042</v>
      </c>
      <c r="C2509" s="0" t="s">
        <v>2161</v>
      </c>
      <c r="D2509" s="0" t="s">
        <v>2044</v>
      </c>
      <c r="E2509" s="0" t="s">
        <v>2045</v>
      </c>
      <c r="F2509" s="0" t="s">
        <v>2051</v>
      </c>
      <c r="G2509" s="0" t="s">
        <v>2076</v>
      </c>
      <c r="H2509" s="0" t="s">
        <v>2052</v>
      </c>
      <c r="I2509" s="0" t="s">
        <v>2322</v>
      </c>
      <c r="J2509" s="0" t="s">
        <v>2335</v>
      </c>
      <c r="K2509" s="272" t="n">
        <v>-358367.36799974</v>
      </c>
    </row>
    <row r="2510" customFormat="false" ht="15" hidden="false" customHeight="false" outlineLevel="0" collapsed="false">
      <c r="A2510" s="0" t="s">
        <v>2041</v>
      </c>
      <c r="B2510" s="0" t="s">
        <v>2042</v>
      </c>
      <c r="C2510" s="0" t="s">
        <v>2161</v>
      </c>
      <c r="D2510" s="0" t="s">
        <v>2044</v>
      </c>
      <c r="E2510" s="0" t="s">
        <v>2045</v>
      </c>
      <c r="F2510" s="0" t="s">
        <v>2051</v>
      </c>
      <c r="G2510" s="0" t="s">
        <v>2077</v>
      </c>
      <c r="H2510" s="0" t="s">
        <v>2052</v>
      </c>
      <c r="I2510" s="0" t="s">
        <v>2322</v>
      </c>
      <c r="J2510" s="0" t="s">
        <v>2335</v>
      </c>
      <c r="K2510" s="272" t="n">
        <v>-5238.77952608166</v>
      </c>
    </row>
    <row r="2511" customFormat="false" ht="15" hidden="false" customHeight="false" outlineLevel="0" collapsed="false">
      <c r="A2511" s="0" t="s">
        <v>2041</v>
      </c>
      <c r="B2511" s="0" t="s">
        <v>2042</v>
      </c>
      <c r="C2511" s="0" t="s">
        <v>2161</v>
      </c>
      <c r="D2511" s="0" t="s">
        <v>2044</v>
      </c>
      <c r="E2511" s="0" t="s">
        <v>2045</v>
      </c>
      <c r="F2511" s="0" t="s">
        <v>2051</v>
      </c>
      <c r="G2511" s="0" t="s">
        <v>2078</v>
      </c>
      <c r="H2511" s="0" t="s">
        <v>2052</v>
      </c>
      <c r="I2511" s="0" t="s">
        <v>2322</v>
      </c>
      <c r="J2511" s="0" t="s">
        <v>2335</v>
      </c>
      <c r="K2511" s="272" t="n">
        <v>-11500.2561301462</v>
      </c>
    </row>
    <row r="2512" customFormat="false" ht="15" hidden="false" customHeight="false" outlineLevel="0" collapsed="false">
      <c r="A2512" s="0" t="s">
        <v>2041</v>
      </c>
      <c r="B2512" s="0" t="s">
        <v>2042</v>
      </c>
      <c r="C2512" s="0" t="s">
        <v>2161</v>
      </c>
      <c r="D2512" s="0" t="s">
        <v>2044</v>
      </c>
      <c r="E2512" s="0" t="s">
        <v>2045</v>
      </c>
      <c r="F2512" s="0" t="s">
        <v>2051</v>
      </c>
      <c r="G2512" s="0" t="s">
        <v>2080</v>
      </c>
      <c r="H2512" s="0" t="s">
        <v>2052</v>
      </c>
      <c r="I2512" s="0" t="s">
        <v>2322</v>
      </c>
      <c r="J2512" s="0" t="s">
        <v>2335</v>
      </c>
      <c r="K2512" s="272" t="n">
        <v>-3515.35305948572</v>
      </c>
    </row>
    <row r="2513" customFormat="false" ht="15" hidden="false" customHeight="false" outlineLevel="0" collapsed="false">
      <c r="A2513" s="0" t="s">
        <v>2041</v>
      </c>
      <c r="B2513" s="0" t="s">
        <v>2042</v>
      </c>
      <c r="C2513" s="0" t="s">
        <v>2161</v>
      </c>
      <c r="D2513" s="0" t="s">
        <v>2044</v>
      </c>
      <c r="E2513" s="0" t="s">
        <v>2045</v>
      </c>
      <c r="F2513" s="0" t="s">
        <v>2051</v>
      </c>
      <c r="G2513" s="0" t="s">
        <v>2081</v>
      </c>
      <c r="H2513" s="0" t="s">
        <v>2052</v>
      </c>
      <c r="I2513" s="0" t="s">
        <v>2322</v>
      </c>
      <c r="J2513" s="0" t="s">
        <v>2335</v>
      </c>
      <c r="K2513" s="272" t="n">
        <v>-14179.9850297858</v>
      </c>
    </row>
    <row r="2514" customFormat="false" ht="15" hidden="false" customHeight="false" outlineLevel="0" collapsed="false">
      <c r="A2514" s="0" t="s">
        <v>2041</v>
      </c>
      <c r="B2514" s="0" t="s">
        <v>2042</v>
      </c>
      <c r="C2514" s="0" t="s">
        <v>2161</v>
      </c>
      <c r="D2514" s="0" t="s">
        <v>2044</v>
      </c>
      <c r="E2514" s="0" t="s">
        <v>2045</v>
      </c>
      <c r="F2514" s="0" t="s">
        <v>2051</v>
      </c>
      <c r="G2514" s="0" t="s">
        <v>2083</v>
      </c>
      <c r="H2514" s="0" t="s">
        <v>2052</v>
      </c>
      <c r="I2514" s="0" t="s">
        <v>2322</v>
      </c>
      <c r="J2514" s="0" t="s">
        <v>2335</v>
      </c>
      <c r="K2514" s="272" t="n">
        <v>-5896.84502413453</v>
      </c>
    </row>
    <row r="2515" customFormat="false" ht="15" hidden="false" customHeight="false" outlineLevel="0" collapsed="false">
      <c r="A2515" s="0" t="s">
        <v>2041</v>
      </c>
      <c r="B2515" s="0" t="s">
        <v>2042</v>
      </c>
      <c r="C2515" s="0" t="s">
        <v>2161</v>
      </c>
      <c r="D2515" s="0" t="s">
        <v>2044</v>
      </c>
      <c r="E2515" s="0" t="s">
        <v>2045</v>
      </c>
      <c r="F2515" s="0" t="s">
        <v>2051</v>
      </c>
      <c r="G2515" s="0" t="s">
        <v>2084</v>
      </c>
      <c r="H2515" s="0" t="s">
        <v>2052</v>
      </c>
      <c r="I2515" s="0" t="s">
        <v>2322</v>
      </c>
      <c r="J2515" s="0" t="s">
        <v>2335</v>
      </c>
      <c r="K2515" s="272" t="n">
        <v>-94678.9706323363</v>
      </c>
    </row>
    <row r="2516" customFormat="false" ht="15" hidden="false" customHeight="false" outlineLevel="0" collapsed="false">
      <c r="A2516" s="0" t="s">
        <v>2041</v>
      </c>
      <c r="B2516" s="0" t="s">
        <v>2042</v>
      </c>
      <c r="C2516" s="0" t="s">
        <v>2161</v>
      </c>
      <c r="D2516" s="0" t="s">
        <v>2044</v>
      </c>
      <c r="E2516" s="0" t="s">
        <v>2045</v>
      </c>
      <c r="F2516" s="0" t="s">
        <v>2051</v>
      </c>
      <c r="G2516" s="0" t="s">
        <v>2085</v>
      </c>
      <c r="H2516" s="0" t="s">
        <v>2052</v>
      </c>
      <c r="I2516" s="0" t="s">
        <v>2322</v>
      </c>
      <c r="J2516" s="0" t="s">
        <v>2335</v>
      </c>
      <c r="K2516" s="272" t="n">
        <v>-82079.9267676965</v>
      </c>
    </row>
    <row r="2517" customFormat="false" ht="15" hidden="false" customHeight="false" outlineLevel="0" collapsed="false">
      <c r="A2517" s="0" t="s">
        <v>2041</v>
      </c>
      <c r="B2517" s="0" t="s">
        <v>2042</v>
      </c>
      <c r="C2517" s="0" t="s">
        <v>2161</v>
      </c>
      <c r="D2517" s="0" t="s">
        <v>2044</v>
      </c>
      <c r="E2517" s="0" t="s">
        <v>2045</v>
      </c>
      <c r="F2517" s="0" t="s">
        <v>2051</v>
      </c>
      <c r="G2517" s="0" t="s">
        <v>2086</v>
      </c>
      <c r="H2517" s="0" t="s">
        <v>2052</v>
      </c>
      <c r="I2517" s="0" t="s">
        <v>2322</v>
      </c>
      <c r="J2517" s="0" t="s">
        <v>2335</v>
      </c>
      <c r="K2517" s="272" t="n">
        <v>-25872.0217184309</v>
      </c>
    </row>
    <row r="2518" customFormat="false" ht="15" hidden="false" customHeight="false" outlineLevel="0" collapsed="false">
      <c r="A2518" s="0" t="s">
        <v>2041</v>
      </c>
      <c r="B2518" s="0" t="s">
        <v>2042</v>
      </c>
      <c r="C2518" s="0" t="s">
        <v>2161</v>
      </c>
      <c r="D2518" s="0" t="s">
        <v>2044</v>
      </c>
      <c r="E2518" s="0" t="s">
        <v>2045</v>
      </c>
      <c r="F2518" s="0" t="s">
        <v>2051</v>
      </c>
      <c r="G2518" s="0" t="s">
        <v>2087</v>
      </c>
      <c r="H2518" s="0" t="s">
        <v>2052</v>
      </c>
      <c r="I2518" s="0" t="s">
        <v>2322</v>
      </c>
      <c r="J2518" s="0" t="s">
        <v>2335</v>
      </c>
      <c r="K2518" s="272" t="n">
        <v>-439842.073252271</v>
      </c>
    </row>
    <row r="2519" customFormat="false" ht="15" hidden="false" customHeight="false" outlineLevel="0" collapsed="false">
      <c r="A2519" s="0" t="s">
        <v>2041</v>
      </c>
      <c r="B2519" s="0" t="s">
        <v>2042</v>
      </c>
      <c r="C2519" s="0" t="s">
        <v>2161</v>
      </c>
      <c r="D2519" s="0" t="s">
        <v>2044</v>
      </c>
      <c r="E2519" s="0" t="s">
        <v>2045</v>
      </c>
      <c r="F2519" s="0" t="s">
        <v>2051</v>
      </c>
      <c r="G2519" s="0" t="s">
        <v>2088</v>
      </c>
      <c r="H2519" s="0" t="s">
        <v>2052</v>
      </c>
      <c r="I2519" s="0" t="s">
        <v>2322</v>
      </c>
      <c r="J2519" s="0" t="s">
        <v>2335</v>
      </c>
      <c r="K2519" s="272" t="n">
        <v>-30740.6013862223</v>
      </c>
    </row>
    <row r="2520" customFormat="false" ht="15" hidden="false" customHeight="false" outlineLevel="0" collapsed="false">
      <c r="A2520" s="0" t="s">
        <v>2041</v>
      </c>
      <c r="B2520" s="0" t="s">
        <v>2042</v>
      </c>
      <c r="C2520" s="0" t="s">
        <v>2161</v>
      </c>
      <c r="D2520" s="0" t="s">
        <v>2044</v>
      </c>
      <c r="E2520" s="0" t="s">
        <v>2045</v>
      </c>
      <c r="F2520" s="0" t="s">
        <v>2051</v>
      </c>
      <c r="G2520" s="0" t="s">
        <v>2089</v>
      </c>
      <c r="H2520" s="0" t="s">
        <v>2052</v>
      </c>
      <c r="I2520" s="0" t="s">
        <v>2322</v>
      </c>
      <c r="J2520" s="0" t="s">
        <v>2335</v>
      </c>
      <c r="K2520" s="272" t="n">
        <v>-524.243262620977</v>
      </c>
    </row>
    <row r="2521" customFormat="false" ht="15" hidden="false" customHeight="false" outlineLevel="0" collapsed="false">
      <c r="A2521" s="0" t="s">
        <v>2041</v>
      </c>
      <c r="B2521" s="0" t="s">
        <v>2042</v>
      </c>
      <c r="C2521" s="0" t="s">
        <v>2161</v>
      </c>
      <c r="D2521" s="0" t="s">
        <v>2044</v>
      </c>
      <c r="E2521" s="0" t="s">
        <v>2045</v>
      </c>
      <c r="F2521" s="0" t="s">
        <v>2051</v>
      </c>
      <c r="G2521" s="0" t="s">
        <v>2090</v>
      </c>
      <c r="H2521" s="0" t="s">
        <v>2052</v>
      </c>
      <c r="I2521" s="0" t="s">
        <v>2322</v>
      </c>
      <c r="J2521" s="0" t="s">
        <v>2335</v>
      </c>
      <c r="K2521" s="272" t="n">
        <v>-295126.163670279</v>
      </c>
    </row>
    <row r="2522" customFormat="false" ht="15" hidden="false" customHeight="false" outlineLevel="0" collapsed="false">
      <c r="A2522" s="0" t="s">
        <v>2041</v>
      </c>
      <c r="B2522" s="0" t="s">
        <v>2042</v>
      </c>
      <c r="C2522" s="0" t="s">
        <v>2161</v>
      </c>
      <c r="D2522" s="0" t="s">
        <v>2044</v>
      </c>
      <c r="E2522" s="0" t="s">
        <v>2045</v>
      </c>
      <c r="F2522" s="0" t="s">
        <v>2051</v>
      </c>
      <c r="G2522" s="0" t="s">
        <v>2091</v>
      </c>
      <c r="H2522" s="0" t="s">
        <v>2052</v>
      </c>
      <c r="I2522" s="0" t="s">
        <v>2322</v>
      </c>
      <c r="J2522" s="0" t="s">
        <v>2335</v>
      </c>
      <c r="K2522" s="272" t="n">
        <v>-382296.874419951</v>
      </c>
    </row>
    <row r="2523" customFormat="false" ht="15" hidden="false" customHeight="false" outlineLevel="0" collapsed="false">
      <c r="A2523" s="0" t="s">
        <v>2041</v>
      </c>
      <c r="B2523" s="0" t="s">
        <v>2042</v>
      </c>
      <c r="C2523" s="0" t="s">
        <v>2161</v>
      </c>
      <c r="D2523" s="0" t="s">
        <v>2044</v>
      </c>
      <c r="E2523" s="0" t="s">
        <v>2045</v>
      </c>
      <c r="F2523" s="0" t="s">
        <v>2051</v>
      </c>
      <c r="G2523" s="0" t="s">
        <v>2092</v>
      </c>
      <c r="H2523" s="0" t="s">
        <v>2052</v>
      </c>
      <c r="I2523" s="0" t="s">
        <v>2103</v>
      </c>
      <c r="J2523" s="0" t="s">
        <v>2335</v>
      </c>
      <c r="K2523" s="272" t="n">
        <v>0</v>
      </c>
    </row>
    <row r="2524" customFormat="false" ht="15" hidden="false" customHeight="false" outlineLevel="0" collapsed="false">
      <c r="A2524" s="0" t="s">
        <v>2041</v>
      </c>
      <c r="B2524" s="0" t="s">
        <v>2042</v>
      </c>
      <c r="C2524" s="0" t="s">
        <v>2161</v>
      </c>
      <c r="D2524" s="0" t="s">
        <v>2044</v>
      </c>
      <c r="E2524" s="0" t="s">
        <v>2045</v>
      </c>
      <c r="F2524" s="0" t="s">
        <v>2051</v>
      </c>
      <c r="G2524" s="0" t="s">
        <v>2093</v>
      </c>
      <c r="H2524" s="0" t="s">
        <v>2052</v>
      </c>
      <c r="I2524" s="0" t="s">
        <v>2322</v>
      </c>
      <c r="J2524" s="0" t="s">
        <v>2335</v>
      </c>
      <c r="K2524" s="272" t="n">
        <v>-28587.6679705123</v>
      </c>
    </row>
    <row r="2525" customFormat="false" ht="15" hidden="false" customHeight="false" outlineLevel="0" collapsed="false">
      <c r="A2525" s="0" t="s">
        <v>2041</v>
      </c>
      <c r="B2525" s="0" t="s">
        <v>2042</v>
      </c>
      <c r="C2525" s="0" t="s">
        <v>2161</v>
      </c>
      <c r="D2525" s="0" t="s">
        <v>2044</v>
      </c>
      <c r="E2525" s="0" t="s">
        <v>2045</v>
      </c>
      <c r="F2525" s="0" t="s">
        <v>2051</v>
      </c>
      <c r="G2525" s="0" t="s">
        <v>2094</v>
      </c>
      <c r="H2525" s="0" t="s">
        <v>2052</v>
      </c>
      <c r="I2525" s="0" t="s">
        <v>2322</v>
      </c>
      <c r="J2525" s="0" t="s">
        <v>2335</v>
      </c>
      <c r="K2525" s="272" t="n">
        <v>-262720.266349347</v>
      </c>
    </row>
    <row r="2526" customFormat="false" ht="15" hidden="false" customHeight="false" outlineLevel="0" collapsed="false">
      <c r="A2526" s="0" t="s">
        <v>2041</v>
      </c>
      <c r="B2526" s="0" t="s">
        <v>2042</v>
      </c>
      <c r="C2526" s="0" t="s">
        <v>2161</v>
      </c>
      <c r="D2526" s="0" t="s">
        <v>2044</v>
      </c>
      <c r="E2526" s="0" t="s">
        <v>2045</v>
      </c>
      <c r="F2526" s="0" t="s">
        <v>2051</v>
      </c>
      <c r="G2526" s="0" t="s">
        <v>2095</v>
      </c>
      <c r="H2526" s="0" t="s">
        <v>2052</v>
      </c>
      <c r="I2526" s="0" t="s">
        <v>2322</v>
      </c>
      <c r="J2526" s="0" t="s">
        <v>2335</v>
      </c>
      <c r="K2526" s="272" t="n">
        <v>-145652.584249963</v>
      </c>
    </row>
    <row r="2527" customFormat="false" ht="15" hidden="false" customHeight="false" outlineLevel="0" collapsed="false">
      <c r="A2527" s="0" t="s">
        <v>2041</v>
      </c>
      <c r="B2527" s="0" t="s">
        <v>2042</v>
      </c>
      <c r="C2527" s="0" t="s">
        <v>2161</v>
      </c>
      <c r="D2527" s="0" t="s">
        <v>2044</v>
      </c>
      <c r="E2527" s="0" t="s">
        <v>2045</v>
      </c>
      <c r="F2527" s="0" t="s">
        <v>2051</v>
      </c>
      <c r="G2527" s="0" t="s">
        <v>2096</v>
      </c>
      <c r="H2527" s="0" t="s">
        <v>2052</v>
      </c>
      <c r="I2527" s="0" t="s">
        <v>2097</v>
      </c>
      <c r="J2527" s="0" t="s">
        <v>2335</v>
      </c>
      <c r="K2527" s="272" t="n">
        <v>-425801.191594509</v>
      </c>
    </row>
    <row r="2528" customFormat="false" ht="15" hidden="false" customHeight="false" outlineLevel="0" collapsed="false">
      <c r="A2528" s="0" t="s">
        <v>2041</v>
      </c>
      <c r="B2528" s="0" t="s">
        <v>2042</v>
      </c>
      <c r="C2528" s="0" t="s">
        <v>2161</v>
      </c>
      <c r="D2528" s="0" t="s">
        <v>2044</v>
      </c>
      <c r="E2528" s="0" t="s">
        <v>2045</v>
      </c>
      <c r="F2528" s="0" t="s">
        <v>2051</v>
      </c>
      <c r="G2528" s="0" t="s">
        <v>2098</v>
      </c>
      <c r="H2528" s="0" t="s">
        <v>2052</v>
      </c>
      <c r="I2528" s="0" t="s">
        <v>2322</v>
      </c>
      <c r="J2528" s="0" t="s">
        <v>2335</v>
      </c>
      <c r="K2528" s="272" t="n">
        <v>-1557.74307955412</v>
      </c>
    </row>
    <row r="2529" customFormat="false" ht="15" hidden="false" customHeight="false" outlineLevel="0" collapsed="false">
      <c r="A2529" s="0" t="s">
        <v>2041</v>
      </c>
      <c r="B2529" s="0" t="s">
        <v>2042</v>
      </c>
      <c r="C2529" s="0" t="s">
        <v>2161</v>
      </c>
      <c r="D2529" s="0" t="s">
        <v>2044</v>
      </c>
      <c r="E2529" s="0" t="s">
        <v>2045</v>
      </c>
      <c r="F2529" s="0" t="s">
        <v>2046</v>
      </c>
      <c r="G2529" s="0" t="s">
        <v>2047</v>
      </c>
      <c r="H2529" s="0" t="s">
        <v>2048</v>
      </c>
      <c r="I2529" s="0" t="s">
        <v>2322</v>
      </c>
      <c r="J2529" s="0" t="s">
        <v>2335</v>
      </c>
      <c r="K2529" s="272" t="n">
        <v>-30608.8616877969</v>
      </c>
    </row>
    <row r="2530" customFormat="false" ht="15" hidden="false" customHeight="false" outlineLevel="0" collapsed="false">
      <c r="A2530" s="0" t="s">
        <v>2041</v>
      </c>
      <c r="B2530" s="0" t="s">
        <v>2042</v>
      </c>
      <c r="C2530" s="0" t="s">
        <v>2161</v>
      </c>
      <c r="D2530" s="0" t="s">
        <v>2044</v>
      </c>
      <c r="E2530" s="0" t="s">
        <v>2045</v>
      </c>
      <c r="F2530" s="0" t="s">
        <v>2046</v>
      </c>
      <c r="G2530" s="0" t="s">
        <v>2053</v>
      </c>
      <c r="H2530" s="0" t="s">
        <v>2048</v>
      </c>
      <c r="I2530" s="0" t="s">
        <v>2322</v>
      </c>
      <c r="J2530" s="0" t="s">
        <v>2335</v>
      </c>
      <c r="K2530" s="272" t="n">
        <v>-208051.74630056</v>
      </c>
    </row>
    <row r="2531" customFormat="false" ht="15" hidden="false" customHeight="false" outlineLevel="0" collapsed="false">
      <c r="A2531" s="0" t="s">
        <v>2041</v>
      </c>
      <c r="B2531" s="0" t="s">
        <v>2042</v>
      </c>
      <c r="C2531" s="0" t="s">
        <v>2161</v>
      </c>
      <c r="D2531" s="0" t="s">
        <v>2044</v>
      </c>
      <c r="E2531" s="0" t="s">
        <v>2045</v>
      </c>
      <c r="F2531" s="0" t="s">
        <v>2046</v>
      </c>
      <c r="G2531" s="0" t="s">
        <v>2054</v>
      </c>
      <c r="H2531" s="0" t="s">
        <v>2048</v>
      </c>
      <c r="I2531" s="0" t="s">
        <v>2322</v>
      </c>
      <c r="J2531" s="0" t="s">
        <v>2335</v>
      </c>
      <c r="K2531" s="272" t="n">
        <v>-190565.481565036</v>
      </c>
    </row>
    <row r="2532" customFormat="false" ht="15" hidden="false" customHeight="false" outlineLevel="0" collapsed="false">
      <c r="A2532" s="0" t="s">
        <v>2041</v>
      </c>
      <c r="B2532" s="0" t="s">
        <v>2042</v>
      </c>
      <c r="C2532" s="0" t="s">
        <v>2161</v>
      </c>
      <c r="D2532" s="0" t="s">
        <v>2044</v>
      </c>
      <c r="E2532" s="0" t="s">
        <v>2045</v>
      </c>
      <c r="F2532" s="0" t="s">
        <v>2046</v>
      </c>
      <c r="G2532" s="0" t="s">
        <v>2055</v>
      </c>
      <c r="H2532" s="0" t="s">
        <v>2048</v>
      </c>
      <c r="I2532" s="0" t="s">
        <v>2322</v>
      </c>
      <c r="J2532" s="0" t="s">
        <v>2335</v>
      </c>
      <c r="K2532" s="272" t="n">
        <v>-17919.760806994</v>
      </c>
    </row>
    <row r="2533" customFormat="false" ht="15" hidden="false" customHeight="false" outlineLevel="0" collapsed="false">
      <c r="A2533" s="0" t="s">
        <v>2041</v>
      </c>
      <c r="B2533" s="0" t="s">
        <v>2042</v>
      </c>
      <c r="C2533" s="0" t="s">
        <v>2161</v>
      </c>
      <c r="D2533" s="0" t="s">
        <v>2044</v>
      </c>
      <c r="E2533" s="0" t="s">
        <v>2045</v>
      </c>
      <c r="F2533" s="0" t="s">
        <v>2046</v>
      </c>
      <c r="G2533" s="0" t="s">
        <v>2056</v>
      </c>
      <c r="H2533" s="0" t="s">
        <v>2048</v>
      </c>
      <c r="I2533" s="0" t="s">
        <v>2322</v>
      </c>
      <c r="J2533" s="0" t="s">
        <v>2335</v>
      </c>
      <c r="K2533" s="272" t="n">
        <v>-4845.99694061764</v>
      </c>
    </row>
    <row r="2534" customFormat="false" ht="15" hidden="false" customHeight="false" outlineLevel="0" collapsed="false">
      <c r="A2534" s="0" t="s">
        <v>2041</v>
      </c>
      <c r="B2534" s="0" t="s">
        <v>2042</v>
      </c>
      <c r="C2534" s="0" t="s">
        <v>2161</v>
      </c>
      <c r="D2534" s="0" t="s">
        <v>2044</v>
      </c>
      <c r="E2534" s="0" t="s">
        <v>2045</v>
      </c>
      <c r="F2534" s="0" t="s">
        <v>2046</v>
      </c>
      <c r="G2534" s="0" t="s">
        <v>2057</v>
      </c>
      <c r="H2534" s="0" t="s">
        <v>2048</v>
      </c>
      <c r="I2534" s="0" t="s">
        <v>2322</v>
      </c>
      <c r="J2534" s="0" t="s">
        <v>2335</v>
      </c>
      <c r="K2534" s="272" t="n">
        <v>-38874.1140997174</v>
      </c>
    </row>
    <row r="2535" customFormat="false" ht="15" hidden="false" customHeight="false" outlineLevel="0" collapsed="false">
      <c r="A2535" s="0" t="s">
        <v>2041</v>
      </c>
      <c r="B2535" s="0" t="s">
        <v>2042</v>
      </c>
      <c r="C2535" s="0" t="s">
        <v>2161</v>
      </c>
      <c r="D2535" s="0" t="s">
        <v>2044</v>
      </c>
      <c r="E2535" s="0" t="s">
        <v>2045</v>
      </c>
      <c r="F2535" s="0" t="s">
        <v>2046</v>
      </c>
      <c r="G2535" s="0" t="s">
        <v>2058</v>
      </c>
      <c r="H2535" s="0" t="s">
        <v>2048</v>
      </c>
      <c r="I2535" s="0" t="s">
        <v>2322</v>
      </c>
      <c r="J2535" s="0" t="s">
        <v>2335</v>
      </c>
      <c r="K2535" s="272" t="n">
        <v>-38375.6188945511</v>
      </c>
    </row>
    <row r="2536" customFormat="false" ht="15" hidden="false" customHeight="false" outlineLevel="0" collapsed="false">
      <c r="A2536" s="0" t="s">
        <v>2041</v>
      </c>
      <c r="B2536" s="0" t="s">
        <v>2042</v>
      </c>
      <c r="C2536" s="0" t="s">
        <v>2161</v>
      </c>
      <c r="D2536" s="0" t="s">
        <v>2044</v>
      </c>
      <c r="E2536" s="0" t="s">
        <v>2045</v>
      </c>
      <c r="F2536" s="0" t="s">
        <v>2046</v>
      </c>
      <c r="G2536" s="0" t="s">
        <v>2059</v>
      </c>
      <c r="H2536" s="0" t="s">
        <v>2048</v>
      </c>
      <c r="I2536" s="0" t="s">
        <v>2322</v>
      </c>
      <c r="J2536" s="0" t="s">
        <v>2335</v>
      </c>
      <c r="K2536" s="272" t="n">
        <v>-24293.7456967774</v>
      </c>
    </row>
    <row r="2537" customFormat="false" ht="15" hidden="false" customHeight="false" outlineLevel="0" collapsed="false">
      <c r="A2537" s="0" t="s">
        <v>2041</v>
      </c>
      <c r="B2537" s="0" t="s">
        <v>2042</v>
      </c>
      <c r="C2537" s="0" t="s">
        <v>2161</v>
      </c>
      <c r="D2537" s="0" t="s">
        <v>2044</v>
      </c>
      <c r="E2537" s="0" t="s">
        <v>2045</v>
      </c>
      <c r="F2537" s="0" t="s">
        <v>2046</v>
      </c>
      <c r="G2537" s="0" t="s">
        <v>2060</v>
      </c>
      <c r="H2537" s="0" t="s">
        <v>2048</v>
      </c>
      <c r="I2537" s="0" t="s">
        <v>2322</v>
      </c>
      <c r="J2537" s="0" t="s">
        <v>2335</v>
      </c>
      <c r="K2537" s="272" t="n">
        <v>-289356.425534275</v>
      </c>
    </row>
    <row r="2538" customFormat="false" ht="15" hidden="false" customHeight="false" outlineLevel="0" collapsed="false">
      <c r="A2538" s="0" t="s">
        <v>2041</v>
      </c>
      <c r="B2538" s="0" t="s">
        <v>2042</v>
      </c>
      <c r="C2538" s="0" t="s">
        <v>2161</v>
      </c>
      <c r="D2538" s="0" t="s">
        <v>2044</v>
      </c>
      <c r="E2538" s="0" t="s">
        <v>2045</v>
      </c>
      <c r="F2538" s="0" t="s">
        <v>2046</v>
      </c>
      <c r="G2538" s="0" t="s">
        <v>2061</v>
      </c>
      <c r="H2538" s="0" t="s">
        <v>2048</v>
      </c>
      <c r="I2538" s="0" t="s">
        <v>2322</v>
      </c>
      <c r="J2538" s="0" t="s">
        <v>2335</v>
      </c>
      <c r="K2538" s="272" t="n">
        <v>-193804.041252316</v>
      </c>
    </row>
    <row r="2539" customFormat="false" ht="15" hidden="false" customHeight="false" outlineLevel="0" collapsed="false">
      <c r="A2539" s="0" t="s">
        <v>2041</v>
      </c>
      <c r="B2539" s="0" t="s">
        <v>2042</v>
      </c>
      <c r="C2539" s="0" t="s">
        <v>2161</v>
      </c>
      <c r="D2539" s="0" t="s">
        <v>2044</v>
      </c>
      <c r="E2539" s="0" t="s">
        <v>2045</v>
      </c>
      <c r="F2539" s="0" t="s">
        <v>2046</v>
      </c>
      <c r="G2539" s="0" t="s">
        <v>2062</v>
      </c>
      <c r="H2539" s="0" t="s">
        <v>2048</v>
      </c>
      <c r="I2539" s="0" t="s">
        <v>2322</v>
      </c>
      <c r="J2539" s="0" t="s">
        <v>2335</v>
      </c>
      <c r="K2539" s="272" t="n">
        <v>-50316.812992795</v>
      </c>
    </row>
    <row r="2540" customFormat="false" ht="15" hidden="false" customHeight="false" outlineLevel="0" collapsed="false">
      <c r="A2540" s="0" t="s">
        <v>2041</v>
      </c>
      <c r="B2540" s="0" t="s">
        <v>2042</v>
      </c>
      <c r="C2540" s="0" t="s">
        <v>2161</v>
      </c>
      <c r="D2540" s="0" t="s">
        <v>2044</v>
      </c>
      <c r="E2540" s="0" t="s">
        <v>2045</v>
      </c>
      <c r="F2540" s="0" t="s">
        <v>2046</v>
      </c>
      <c r="G2540" s="0" t="s">
        <v>2063</v>
      </c>
      <c r="H2540" s="0" t="s">
        <v>2048</v>
      </c>
      <c r="I2540" s="0" t="s">
        <v>2322</v>
      </c>
      <c r="J2540" s="0" t="s">
        <v>2335</v>
      </c>
      <c r="K2540" s="272" t="n">
        <v>-62522.2796229192</v>
      </c>
    </row>
    <row r="2541" customFormat="false" ht="15" hidden="false" customHeight="false" outlineLevel="0" collapsed="false">
      <c r="A2541" s="0" t="s">
        <v>2041</v>
      </c>
      <c r="B2541" s="0" t="s">
        <v>2042</v>
      </c>
      <c r="C2541" s="0" t="s">
        <v>2161</v>
      </c>
      <c r="D2541" s="0" t="s">
        <v>2044</v>
      </c>
      <c r="E2541" s="0" t="s">
        <v>2045</v>
      </c>
      <c r="F2541" s="0" t="s">
        <v>2046</v>
      </c>
      <c r="G2541" s="0" t="s">
        <v>2064</v>
      </c>
      <c r="H2541" s="0" t="s">
        <v>2048</v>
      </c>
      <c r="I2541" s="0" t="s">
        <v>2322</v>
      </c>
      <c r="J2541" s="0" t="s">
        <v>2335</v>
      </c>
      <c r="K2541" s="272" t="n">
        <v>-354581.919473147</v>
      </c>
    </row>
    <row r="2542" customFormat="false" ht="15" hidden="false" customHeight="false" outlineLevel="0" collapsed="false">
      <c r="A2542" s="0" t="s">
        <v>2041</v>
      </c>
      <c r="B2542" s="0" t="s">
        <v>2042</v>
      </c>
      <c r="C2542" s="0" t="s">
        <v>2161</v>
      </c>
      <c r="D2542" s="0" t="s">
        <v>2044</v>
      </c>
      <c r="E2542" s="0" t="s">
        <v>2045</v>
      </c>
      <c r="F2542" s="0" t="s">
        <v>2046</v>
      </c>
      <c r="G2542" s="0" t="s">
        <v>2065</v>
      </c>
      <c r="H2542" s="0" t="s">
        <v>2048</v>
      </c>
      <c r="I2542" s="0" t="s">
        <v>2322</v>
      </c>
      <c r="J2542" s="0" t="s">
        <v>2335</v>
      </c>
      <c r="K2542" s="272" t="n">
        <v>-53576.763770949</v>
      </c>
    </row>
    <row r="2543" customFormat="false" ht="15" hidden="false" customHeight="false" outlineLevel="0" collapsed="false">
      <c r="A2543" s="0" t="s">
        <v>2041</v>
      </c>
      <c r="B2543" s="0" t="s">
        <v>2042</v>
      </c>
      <c r="C2543" s="0" t="s">
        <v>2161</v>
      </c>
      <c r="D2543" s="0" t="s">
        <v>2044</v>
      </c>
      <c r="E2543" s="0" t="s">
        <v>2045</v>
      </c>
      <c r="F2543" s="0" t="s">
        <v>2046</v>
      </c>
      <c r="G2543" s="0" t="s">
        <v>2066</v>
      </c>
      <c r="H2543" s="0" t="s">
        <v>2048</v>
      </c>
      <c r="I2543" s="0" t="s">
        <v>2322</v>
      </c>
      <c r="J2543" s="0" t="s">
        <v>2335</v>
      </c>
      <c r="K2543" s="272" t="n">
        <v>-156176.976765592</v>
      </c>
    </row>
    <row r="2544" customFormat="false" ht="15" hidden="false" customHeight="false" outlineLevel="0" collapsed="false">
      <c r="A2544" s="0" t="s">
        <v>2041</v>
      </c>
      <c r="B2544" s="0" t="s">
        <v>2042</v>
      </c>
      <c r="C2544" s="0" t="s">
        <v>2161</v>
      </c>
      <c r="D2544" s="0" t="s">
        <v>2044</v>
      </c>
      <c r="E2544" s="0" t="s">
        <v>2045</v>
      </c>
      <c r="F2544" s="0" t="s">
        <v>2046</v>
      </c>
      <c r="G2544" s="0" t="s">
        <v>2067</v>
      </c>
      <c r="H2544" s="0" t="s">
        <v>2048</v>
      </c>
      <c r="I2544" s="0" t="s">
        <v>2322</v>
      </c>
      <c r="J2544" s="0" t="s">
        <v>2335</v>
      </c>
      <c r="K2544" s="272" t="n">
        <v>-42855.7233058497</v>
      </c>
    </row>
    <row r="2545" customFormat="false" ht="15" hidden="false" customHeight="false" outlineLevel="0" collapsed="false">
      <c r="A2545" s="0" t="s">
        <v>2041</v>
      </c>
      <c r="B2545" s="0" t="s">
        <v>2042</v>
      </c>
      <c r="C2545" s="0" t="s">
        <v>2161</v>
      </c>
      <c r="D2545" s="0" t="s">
        <v>2044</v>
      </c>
      <c r="E2545" s="0" t="s">
        <v>2045</v>
      </c>
      <c r="F2545" s="0" t="s">
        <v>2046</v>
      </c>
      <c r="G2545" s="0" t="s">
        <v>2068</v>
      </c>
      <c r="H2545" s="0" t="s">
        <v>2048</v>
      </c>
      <c r="I2545" s="0" t="s">
        <v>2322</v>
      </c>
      <c r="J2545" s="0" t="s">
        <v>2335</v>
      </c>
      <c r="K2545" s="272" t="n">
        <v>-582596.091708911</v>
      </c>
    </row>
    <row r="2546" customFormat="false" ht="15" hidden="false" customHeight="false" outlineLevel="0" collapsed="false">
      <c r="A2546" s="0" t="s">
        <v>2041</v>
      </c>
      <c r="B2546" s="0" t="s">
        <v>2042</v>
      </c>
      <c r="C2546" s="0" t="s">
        <v>2161</v>
      </c>
      <c r="D2546" s="0" t="s">
        <v>2044</v>
      </c>
      <c r="E2546" s="0" t="s">
        <v>2045</v>
      </c>
      <c r="F2546" s="0" t="s">
        <v>2046</v>
      </c>
      <c r="G2546" s="0" t="s">
        <v>2069</v>
      </c>
      <c r="H2546" s="0" t="s">
        <v>2048</v>
      </c>
      <c r="I2546" s="0" t="s">
        <v>2322</v>
      </c>
      <c r="J2546" s="0" t="s">
        <v>2335</v>
      </c>
      <c r="K2546" s="272" t="n">
        <v>-75816.2241119776</v>
      </c>
    </row>
    <row r="2547" customFormat="false" ht="15" hidden="false" customHeight="false" outlineLevel="0" collapsed="false">
      <c r="A2547" s="0" t="s">
        <v>2041</v>
      </c>
      <c r="B2547" s="0" t="s">
        <v>2042</v>
      </c>
      <c r="C2547" s="0" t="s">
        <v>2161</v>
      </c>
      <c r="D2547" s="0" t="s">
        <v>2044</v>
      </c>
      <c r="E2547" s="0" t="s">
        <v>2045</v>
      </c>
      <c r="F2547" s="0" t="s">
        <v>2046</v>
      </c>
      <c r="G2547" s="0" t="s">
        <v>2070</v>
      </c>
      <c r="H2547" s="0" t="s">
        <v>2048</v>
      </c>
      <c r="I2547" s="0" t="s">
        <v>2322</v>
      </c>
      <c r="J2547" s="0" t="s">
        <v>2335</v>
      </c>
      <c r="K2547" s="272" t="n">
        <v>-43381.1196344348</v>
      </c>
    </row>
    <row r="2548" customFormat="false" ht="15" hidden="false" customHeight="false" outlineLevel="0" collapsed="false">
      <c r="A2548" s="0" t="s">
        <v>2041</v>
      </c>
      <c r="B2548" s="0" t="s">
        <v>2042</v>
      </c>
      <c r="C2548" s="0" t="s">
        <v>2161</v>
      </c>
      <c r="D2548" s="0" t="s">
        <v>2044</v>
      </c>
      <c r="E2548" s="0" t="s">
        <v>2045</v>
      </c>
      <c r="F2548" s="0" t="s">
        <v>2046</v>
      </c>
      <c r="G2548" s="0" t="s">
        <v>2071</v>
      </c>
      <c r="H2548" s="0" t="s">
        <v>2048</v>
      </c>
      <c r="I2548" s="0" t="s">
        <v>2322</v>
      </c>
      <c r="J2548" s="0" t="s">
        <v>2335</v>
      </c>
      <c r="K2548" s="272" t="n">
        <v>-41521.5378071281</v>
      </c>
    </row>
    <row r="2549" customFormat="false" ht="15" hidden="false" customHeight="false" outlineLevel="0" collapsed="false">
      <c r="A2549" s="0" t="s">
        <v>2041</v>
      </c>
      <c r="B2549" s="0" t="s">
        <v>2042</v>
      </c>
      <c r="C2549" s="0" t="s">
        <v>2161</v>
      </c>
      <c r="D2549" s="0" t="s">
        <v>2044</v>
      </c>
      <c r="E2549" s="0" t="s">
        <v>2045</v>
      </c>
      <c r="F2549" s="0" t="s">
        <v>2046</v>
      </c>
      <c r="G2549" s="0" t="s">
        <v>2072</v>
      </c>
      <c r="H2549" s="0" t="s">
        <v>2048</v>
      </c>
      <c r="I2549" s="0" t="s">
        <v>2322</v>
      </c>
      <c r="J2549" s="0" t="s">
        <v>2335</v>
      </c>
      <c r="K2549" s="272" t="n">
        <v>-60985.4554903795</v>
      </c>
    </row>
    <row r="2550" customFormat="false" ht="15" hidden="false" customHeight="false" outlineLevel="0" collapsed="false">
      <c r="A2550" s="0" t="s">
        <v>2041</v>
      </c>
      <c r="B2550" s="0" t="s">
        <v>2042</v>
      </c>
      <c r="C2550" s="0" t="s">
        <v>2161</v>
      </c>
      <c r="D2550" s="0" t="s">
        <v>2044</v>
      </c>
      <c r="E2550" s="0" t="s">
        <v>2045</v>
      </c>
      <c r="F2550" s="0" t="s">
        <v>2046</v>
      </c>
      <c r="G2550" s="0" t="s">
        <v>2073</v>
      </c>
      <c r="H2550" s="0" t="s">
        <v>2048</v>
      </c>
      <c r="I2550" s="0" t="s">
        <v>2322</v>
      </c>
      <c r="J2550" s="0" t="s">
        <v>2335</v>
      </c>
      <c r="K2550" s="272" t="n">
        <v>-107582.719038795</v>
      </c>
    </row>
    <row r="2551" customFormat="false" ht="15" hidden="false" customHeight="false" outlineLevel="0" collapsed="false">
      <c r="A2551" s="0" t="s">
        <v>2041</v>
      </c>
      <c r="B2551" s="0" t="s">
        <v>2042</v>
      </c>
      <c r="C2551" s="0" t="s">
        <v>2161</v>
      </c>
      <c r="D2551" s="0" t="s">
        <v>2044</v>
      </c>
      <c r="E2551" s="0" t="s">
        <v>2045</v>
      </c>
      <c r="F2551" s="0" t="s">
        <v>2046</v>
      </c>
      <c r="G2551" s="0" t="s">
        <v>2074</v>
      </c>
      <c r="H2551" s="0" t="s">
        <v>2048</v>
      </c>
      <c r="I2551" s="0" t="s">
        <v>2322</v>
      </c>
      <c r="J2551" s="0" t="s">
        <v>2335</v>
      </c>
      <c r="K2551" s="272" t="n">
        <v>-32089.0522095789</v>
      </c>
    </row>
    <row r="2552" customFormat="false" ht="15" hidden="false" customHeight="false" outlineLevel="0" collapsed="false">
      <c r="A2552" s="0" t="s">
        <v>2041</v>
      </c>
      <c r="B2552" s="0" t="s">
        <v>2042</v>
      </c>
      <c r="C2552" s="0" t="s">
        <v>2161</v>
      </c>
      <c r="D2552" s="0" t="s">
        <v>2044</v>
      </c>
      <c r="E2552" s="0" t="s">
        <v>2045</v>
      </c>
      <c r="F2552" s="0" t="s">
        <v>2046</v>
      </c>
      <c r="G2552" s="0" t="s">
        <v>2075</v>
      </c>
      <c r="H2552" s="0" t="s">
        <v>2048</v>
      </c>
      <c r="I2552" s="0" t="s">
        <v>2322</v>
      </c>
      <c r="J2552" s="0" t="s">
        <v>2335</v>
      </c>
      <c r="K2552" s="272" t="n">
        <v>-3633.13764548819</v>
      </c>
    </row>
    <row r="2553" customFormat="false" ht="15" hidden="false" customHeight="false" outlineLevel="0" collapsed="false">
      <c r="A2553" s="0" t="s">
        <v>2041</v>
      </c>
      <c r="B2553" s="0" t="s">
        <v>2042</v>
      </c>
      <c r="C2553" s="0" t="s">
        <v>2161</v>
      </c>
      <c r="D2553" s="0" t="s">
        <v>2044</v>
      </c>
      <c r="E2553" s="0" t="s">
        <v>2045</v>
      </c>
      <c r="F2553" s="0" t="s">
        <v>2046</v>
      </c>
      <c r="G2553" s="0" t="s">
        <v>2076</v>
      </c>
      <c r="H2553" s="0" t="s">
        <v>2048</v>
      </c>
      <c r="I2553" s="0" t="s">
        <v>2322</v>
      </c>
      <c r="J2553" s="0" t="s">
        <v>2335</v>
      </c>
      <c r="K2553" s="272" t="n">
        <v>-198814.08092412</v>
      </c>
    </row>
    <row r="2554" customFormat="false" ht="15" hidden="false" customHeight="false" outlineLevel="0" collapsed="false">
      <c r="A2554" s="0" t="s">
        <v>2041</v>
      </c>
      <c r="B2554" s="0" t="s">
        <v>2042</v>
      </c>
      <c r="C2554" s="0" t="s">
        <v>2161</v>
      </c>
      <c r="D2554" s="0" t="s">
        <v>2044</v>
      </c>
      <c r="E2554" s="0" t="s">
        <v>2045</v>
      </c>
      <c r="F2554" s="0" t="s">
        <v>2046</v>
      </c>
      <c r="G2554" s="0" t="s">
        <v>2077</v>
      </c>
      <c r="H2554" s="0" t="s">
        <v>2048</v>
      </c>
      <c r="I2554" s="0" t="s">
        <v>2322</v>
      </c>
      <c r="J2554" s="0" t="s">
        <v>2335</v>
      </c>
      <c r="K2554" s="272" t="n">
        <v>-47149.015734735</v>
      </c>
    </row>
    <row r="2555" customFormat="false" ht="15" hidden="false" customHeight="false" outlineLevel="0" collapsed="false">
      <c r="A2555" s="0" t="s">
        <v>2041</v>
      </c>
      <c r="B2555" s="0" t="s">
        <v>2042</v>
      </c>
      <c r="C2555" s="0" t="s">
        <v>2161</v>
      </c>
      <c r="D2555" s="0" t="s">
        <v>2044</v>
      </c>
      <c r="E2555" s="0" t="s">
        <v>2045</v>
      </c>
      <c r="F2555" s="0" t="s">
        <v>2046</v>
      </c>
      <c r="G2555" s="0" t="s">
        <v>2078</v>
      </c>
      <c r="H2555" s="0" t="s">
        <v>2048</v>
      </c>
      <c r="I2555" s="0" t="s">
        <v>2322</v>
      </c>
      <c r="J2555" s="0" t="s">
        <v>2335</v>
      </c>
      <c r="K2555" s="272" t="n">
        <v>-103502.305171316</v>
      </c>
    </row>
    <row r="2556" customFormat="false" ht="15" hidden="false" customHeight="false" outlineLevel="0" collapsed="false">
      <c r="A2556" s="0" t="s">
        <v>2041</v>
      </c>
      <c r="B2556" s="0" t="s">
        <v>2042</v>
      </c>
      <c r="C2556" s="0" t="s">
        <v>2161</v>
      </c>
      <c r="D2556" s="0" t="s">
        <v>2044</v>
      </c>
      <c r="E2556" s="0" t="s">
        <v>2045</v>
      </c>
      <c r="F2556" s="0" t="s">
        <v>2046</v>
      </c>
      <c r="G2556" s="0" t="s">
        <v>2079</v>
      </c>
      <c r="H2556" s="0" t="s">
        <v>2048</v>
      </c>
      <c r="I2556" s="0" t="s">
        <v>2322</v>
      </c>
      <c r="J2556" s="0" t="s">
        <v>2335</v>
      </c>
      <c r="K2556" s="272" t="n">
        <v>-38611.288841732</v>
      </c>
    </row>
    <row r="2557" customFormat="false" ht="15" hidden="false" customHeight="false" outlineLevel="0" collapsed="false">
      <c r="A2557" s="0" t="s">
        <v>2041</v>
      </c>
      <c r="B2557" s="0" t="s">
        <v>2042</v>
      </c>
      <c r="C2557" s="0" t="s">
        <v>2161</v>
      </c>
      <c r="D2557" s="0" t="s">
        <v>2044</v>
      </c>
      <c r="E2557" s="0" t="s">
        <v>2045</v>
      </c>
      <c r="F2557" s="0" t="s">
        <v>2046</v>
      </c>
      <c r="G2557" s="0" t="s">
        <v>2080</v>
      </c>
      <c r="H2557" s="0" t="s">
        <v>2048</v>
      </c>
      <c r="I2557" s="0" t="s">
        <v>2322</v>
      </c>
      <c r="J2557" s="0" t="s">
        <v>2335</v>
      </c>
      <c r="K2557" s="272" t="n">
        <v>-153395.374960409</v>
      </c>
    </row>
    <row r="2558" customFormat="false" ht="15" hidden="false" customHeight="false" outlineLevel="0" collapsed="false">
      <c r="A2558" s="0" t="s">
        <v>2041</v>
      </c>
      <c r="B2558" s="0" t="s">
        <v>2042</v>
      </c>
      <c r="C2558" s="0" t="s">
        <v>2161</v>
      </c>
      <c r="D2558" s="0" t="s">
        <v>2044</v>
      </c>
      <c r="E2558" s="0" t="s">
        <v>2045</v>
      </c>
      <c r="F2558" s="0" t="s">
        <v>2046</v>
      </c>
      <c r="G2558" s="0" t="s">
        <v>2081</v>
      </c>
      <c r="H2558" s="0" t="s">
        <v>2048</v>
      </c>
      <c r="I2558" s="0" t="s">
        <v>2322</v>
      </c>
      <c r="J2558" s="0" t="s">
        <v>2335</v>
      </c>
      <c r="K2558" s="272" t="n">
        <v>-327597.404596293</v>
      </c>
    </row>
    <row r="2559" customFormat="false" ht="15" hidden="false" customHeight="false" outlineLevel="0" collapsed="false">
      <c r="A2559" s="0" t="s">
        <v>2041</v>
      </c>
      <c r="B2559" s="0" t="s">
        <v>2042</v>
      </c>
      <c r="C2559" s="0" t="s">
        <v>2161</v>
      </c>
      <c r="D2559" s="0" t="s">
        <v>2044</v>
      </c>
      <c r="E2559" s="0" t="s">
        <v>2045</v>
      </c>
      <c r="F2559" s="0" t="s">
        <v>2046</v>
      </c>
      <c r="G2559" s="0" t="s">
        <v>2082</v>
      </c>
      <c r="H2559" s="0" t="s">
        <v>2048</v>
      </c>
      <c r="I2559" s="0" t="s">
        <v>2322</v>
      </c>
      <c r="J2559" s="0" t="s">
        <v>2335</v>
      </c>
      <c r="K2559" s="272" t="n">
        <v>-847302.311155161</v>
      </c>
    </row>
    <row r="2560" customFormat="false" ht="15" hidden="false" customHeight="false" outlineLevel="0" collapsed="false">
      <c r="A2560" s="0" t="s">
        <v>2041</v>
      </c>
      <c r="B2560" s="0" t="s">
        <v>2042</v>
      </c>
      <c r="C2560" s="0" t="s">
        <v>2161</v>
      </c>
      <c r="D2560" s="0" t="s">
        <v>2044</v>
      </c>
      <c r="E2560" s="0" t="s">
        <v>2045</v>
      </c>
      <c r="F2560" s="0" t="s">
        <v>2046</v>
      </c>
      <c r="G2560" s="0" t="s">
        <v>2083</v>
      </c>
      <c r="H2560" s="0" t="s">
        <v>2048</v>
      </c>
      <c r="I2560" s="0" t="s">
        <v>2322</v>
      </c>
      <c r="J2560" s="0" t="s">
        <v>2335</v>
      </c>
      <c r="K2560" s="272" t="n">
        <v>-244515.934539779</v>
      </c>
    </row>
    <row r="2561" customFormat="false" ht="15" hidden="false" customHeight="false" outlineLevel="0" collapsed="false">
      <c r="A2561" s="0" t="s">
        <v>2041</v>
      </c>
      <c r="B2561" s="0" t="s">
        <v>2042</v>
      </c>
      <c r="C2561" s="0" t="s">
        <v>2161</v>
      </c>
      <c r="D2561" s="0" t="s">
        <v>2044</v>
      </c>
      <c r="E2561" s="0" t="s">
        <v>2045</v>
      </c>
      <c r="F2561" s="0" t="s">
        <v>2046</v>
      </c>
      <c r="G2561" s="0" t="s">
        <v>2084</v>
      </c>
      <c r="H2561" s="0" t="s">
        <v>2048</v>
      </c>
      <c r="I2561" s="0" t="s">
        <v>2322</v>
      </c>
      <c r="J2561" s="0" t="s">
        <v>2335</v>
      </c>
      <c r="K2561" s="272" t="n">
        <v>-55055.2691792383</v>
      </c>
    </row>
    <row r="2562" customFormat="false" ht="15" hidden="false" customHeight="false" outlineLevel="0" collapsed="false">
      <c r="A2562" s="0" t="s">
        <v>2041</v>
      </c>
      <c r="B2562" s="0" t="s">
        <v>2042</v>
      </c>
      <c r="C2562" s="0" t="s">
        <v>2161</v>
      </c>
      <c r="D2562" s="0" t="s">
        <v>2044</v>
      </c>
      <c r="E2562" s="0" t="s">
        <v>2045</v>
      </c>
      <c r="F2562" s="0" t="s">
        <v>2046</v>
      </c>
      <c r="G2562" s="0" t="s">
        <v>2085</v>
      </c>
      <c r="H2562" s="0" t="s">
        <v>2048</v>
      </c>
      <c r="I2562" s="0" t="s">
        <v>2322</v>
      </c>
      <c r="J2562" s="0" t="s">
        <v>2335</v>
      </c>
      <c r="K2562" s="272" t="n">
        <v>-265536.844437546</v>
      </c>
    </row>
    <row r="2563" customFormat="false" ht="15" hidden="false" customHeight="false" outlineLevel="0" collapsed="false">
      <c r="A2563" s="0" t="s">
        <v>2041</v>
      </c>
      <c r="B2563" s="0" t="s">
        <v>2042</v>
      </c>
      <c r="C2563" s="0" t="s">
        <v>2161</v>
      </c>
      <c r="D2563" s="0" t="s">
        <v>2044</v>
      </c>
      <c r="E2563" s="0" t="s">
        <v>2045</v>
      </c>
      <c r="F2563" s="0" t="s">
        <v>2046</v>
      </c>
      <c r="G2563" s="0" t="s">
        <v>2086</v>
      </c>
      <c r="H2563" s="0" t="s">
        <v>2048</v>
      </c>
      <c r="I2563" s="0" t="s">
        <v>2322</v>
      </c>
      <c r="J2563" s="0" t="s">
        <v>2335</v>
      </c>
      <c r="K2563" s="272" t="n">
        <v>-202504.502058907</v>
      </c>
    </row>
    <row r="2564" customFormat="false" ht="15" hidden="false" customHeight="false" outlineLevel="0" collapsed="false">
      <c r="A2564" s="0" t="s">
        <v>2041</v>
      </c>
      <c r="B2564" s="0" t="s">
        <v>2042</v>
      </c>
      <c r="C2564" s="0" t="s">
        <v>2161</v>
      </c>
      <c r="D2564" s="0" t="s">
        <v>2044</v>
      </c>
      <c r="E2564" s="0" t="s">
        <v>2045</v>
      </c>
      <c r="F2564" s="0" t="s">
        <v>2046</v>
      </c>
      <c r="G2564" s="0" t="s">
        <v>2087</v>
      </c>
      <c r="H2564" s="0" t="s">
        <v>2048</v>
      </c>
      <c r="I2564" s="0" t="s">
        <v>2322</v>
      </c>
      <c r="J2564" s="0" t="s">
        <v>2335</v>
      </c>
      <c r="K2564" s="272" t="n">
        <v>-291324.837654804</v>
      </c>
    </row>
    <row r="2565" customFormat="false" ht="15" hidden="false" customHeight="false" outlineLevel="0" collapsed="false">
      <c r="A2565" s="0" t="s">
        <v>2041</v>
      </c>
      <c r="B2565" s="0" t="s">
        <v>2042</v>
      </c>
      <c r="C2565" s="0" t="s">
        <v>2161</v>
      </c>
      <c r="D2565" s="0" t="s">
        <v>2044</v>
      </c>
      <c r="E2565" s="0" t="s">
        <v>2045</v>
      </c>
      <c r="F2565" s="0" t="s">
        <v>2046</v>
      </c>
      <c r="G2565" s="0" t="s">
        <v>2088</v>
      </c>
      <c r="H2565" s="0" t="s">
        <v>2048</v>
      </c>
      <c r="I2565" s="0" t="s">
        <v>2322</v>
      </c>
      <c r="J2565" s="0" t="s">
        <v>2335</v>
      </c>
      <c r="K2565" s="272" t="n">
        <v>-203293.548742231</v>
      </c>
    </row>
    <row r="2566" customFormat="false" ht="15" hidden="false" customHeight="false" outlineLevel="0" collapsed="false">
      <c r="A2566" s="0" t="s">
        <v>2041</v>
      </c>
      <c r="B2566" s="0" t="s">
        <v>2042</v>
      </c>
      <c r="C2566" s="0" t="s">
        <v>2161</v>
      </c>
      <c r="D2566" s="0" t="s">
        <v>2044</v>
      </c>
      <c r="E2566" s="0" t="s">
        <v>2045</v>
      </c>
      <c r="F2566" s="0" t="s">
        <v>2046</v>
      </c>
      <c r="G2566" s="0" t="s">
        <v>2089</v>
      </c>
      <c r="H2566" s="0" t="s">
        <v>2048</v>
      </c>
      <c r="I2566" s="0" t="s">
        <v>2322</v>
      </c>
      <c r="J2566" s="0" t="s">
        <v>2335</v>
      </c>
      <c r="K2566" s="272" t="n">
        <v>-51900.0829994767</v>
      </c>
    </row>
    <row r="2567" customFormat="false" ht="15" hidden="false" customHeight="false" outlineLevel="0" collapsed="false">
      <c r="A2567" s="0" t="s">
        <v>2041</v>
      </c>
      <c r="B2567" s="0" t="s">
        <v>2042</v>
      </c>
      <c r="C2567" s="0" t="s">
        <v>2161</v>
      </c>
      <c r="D2567" s="0" t="s">
        <v>2044</v>
      </c>
      <c r="E2567" s="0" t="s">
        <v>2045</v>
      </c>
      <c r="F2567" s="0" t="s">
        <v>2046</v>
      </c>
      <c r="G2567" s="0" t="s">
        <v>2090</v>
      </c>
      <c r="H2567" s="0" t="s">
        <v>2048</v>
      </c>
      <c r="I2567" s="0" t="s">
        <v>2322</v>
      </c>
      <c r="J2567" s="0" t="s">
        <v>2335</v>
      </c>
      <c r="K2567" s="272" t="n">
        <v>-673930.087712268</v>
      </c>
    </row>
    <row r="2568" customFormat="false" ht="15" hidden="false" customHeight="false" outlineLevel="0" collapsed="false">
      <c r="A2568" s="0" t="s">
        <v>2041</v>
      </c>
      <c r="B2568" s="0" t="s">
        <v>2042</v>
      </c>
      <c r="C2568" s="0" t="s">
        <v>2161</v>
      </c>
      <c r="D2568" s="0" t="s">
        <v>2044</v>
      </c>
      <c r="E2568" s="0" t="s">
        <v>2045</v>
      </c>
      <c r="F2568" s="0" t="s">
        <v>2046</v>
      </c>
      <c r="G2568" s="0" t="s">
        <v>2091</v>
      </c>
      <c r="H2568" s="0" t="s">
        <v>2048</v>
      </c>
      <c r="I2568" s="0" t="s">
        <v>2322</v>
      </c>
      <c r="J2568" s="0" t="s">
        <v>2335</v>
      </c>
      <c r="K2568" s="272" t="n">
        <v>-192974.07849789</v>
      </c>
    </row>
    <row r="2569" customFormat="false" ht="15" hidden="false" customHeight="false" outlineLevel="0" collapsed="false">
      <c r="A2569" s="0" t="s">
        <v>2041</v>
      </c>
      <c r="B2569" s="0" t="s">
        <v>2042</v>
      </c>
      <c r="C2569" s="0" t="s">
        <v>2161</v>
      </c>
      <c r="D2569" s="0" t="s">
        <v>2044</v>
      </c>
      <c r="E2569" s="0" t="s">
        <v>2045</v>
      </c>
      <c r="F2569" s="0" t="s">
        <v>2046</v>
      </c>
      <c r="G2569" s="0" t="s">
        <v>2092</v>
      </c>
      <c r="H2569" s="0" t="s">
        <v>2048</v>
      </c>
      <c r="I2569" s="0" t="s">
        <v>2103</v>
      </c>
      <c r="J2569" s="0" t="s">
        <v>2335</v>
      </c>
      <c r="K2569" s="272" t="n">
        <v>0</v>
      </c>
    </row>
    <row r="2570" customFormat="false" ht="15" hidden="false" customHeight="false" outlineLevel="0" collapsed="false">
      <c r="A2570" s="0" t="s">
        <v>2041</v>
      </c>
      <c r="B2570" s="0" t="s">
        <v>2042</v>
      </c>
      <c r="C2570" s="0" t="s">
        <v>2161</v>
      </c>
      <c r="D2570" s="0" t="s">
        <v>2044</v>
      </c>
      <c r="E2570" s="0" t="s">
        <v>2045</v>
      </c>
      <c r="F2570" s="0" t="s">
        <v>2046</v>
      </c>
      <c r="G2570" s="0" t="s">
        <v>2093</v>
      </c>
      <c r="H2570" s="0" t="s">
        <v>2048</v>
      </c>
      <c r="I2570" s="0" t="s">
        <v>2322</v>
      </c>
      <c r="J2570" s="0" t="s">
        <v>2335</v>
      </c>
      <c r="K2570" s="272" t="n">
        <v>-311795.245158388</v>
      </c>
    </row>
    <row r="2571" customFormat="false" ht="15" hidden="false" customHeight="false" outlineLevel="0" collapsed="false">
      <c r="A2571" s="0" t="s">
        <v>2041</v>
      </c>
      <c r="B2571" s="0" t="s">
        <v>2042</v>
      </c>
      <c r="C2571" s="0" t="s">
        <v>2161</v>
      </c>
      <c r="D2571" s="0" t="s">
        <v>2044</v>
      </c>
      <c r="E2571" s="0" t="s">
        <v>2045</v>
      </c>
      <c r="F2571" s="0" t="s">
        <v>2046</v>
      </c>
      <c r="G2571" s="0" t="s">
        <v>2094</v>
      </c>
      <c r="H2571" s="0" t="s">
        <v>2048</v>
      </c>
      <c r="I2571" s="0" t="s">
        <v>2322</v>
      </c>
      <c r="J2571" s="0" t="s">
        <v>2335</v>
      </c>
      <c r="K2571" s="272" t="n">
        <v>-259242.811919428</v>
      </c>
    </row>
    <row r="2572" customFormat="false" ht="15" hidden="false" customHeight="false" outlineLevel="0" collapsed="false">
      <c r="A2572" s="0" t="s">
        <v>2041</v>
      </c>
      <c r="B2572" s="0" t="s">
        <v>2042</v>
      </c>
      <c r="C2572" s="0" t="s">
        <v>2161</v>
      </c>
      <c r="D2572" s="0" t="s">
        <v>2044</v>
      </c>
      <c r="E2572" s="0" t="s">
        <v>2045</v>
      </c>
      <c r="F2572" s="0" t="s">
        <v>2046</v>
      </c>
      <c r="G2572" s="0" t="s">
        <v>2095</v>
      </c>
      <c r="H2572" s="0" t="s">
        <v>2048</v>
      </c>
      <c r="I2572" s="0" t="s">
        <v>2322</v>
      </c>
      <c r="J2572" s="0" t="s">
        <v>2335</v>
      </c>
      <c r="K2572" s="272" t="n">
        <v>-238805.71974283</v>
      </c>
    </row>
    <row r="2573" customFormat="false" ht="15" hidden="false" customHeight="false" outlineLevel="0" collapsed="false">
      <c r="A2573" s="0" t="s">
        <v>2041</v>
      </c>
      <c r="B2573" s="0" t="s">
        <v>2042</v>
      </c>
      <c r="C2573" s="0" t="s">
        <v>2161</v>
      </c>
      <c r="D2573" s="0" t="s">
        <v>2044</v>
      </c>
      <c r="E2573" s="0" t="s">
        <v>2045</v>
      </c>
      <c r="F2573" s="0" t="s">
        <v>2046</v>
      </c>
      <c r="G2573" s="0" t="s">
        <v>2096</v>
      </c>
      <c r="H2573" s="0" t="s">
        <v>2048</v>
      </c>
      <c r="I2573" s="0" t="s">
        <v>2097</v>
      </c>
      <c r="J2573" s="0" t="s">
        <v>2335</v>
      </c>
      <c r="K2573" s="272" t="n">
        <v>-425801.191594509</v>
      </c>
    </row>
    <row r="2574" customFormat="false" ht="15" hidden="false" customHeight="false" outlineLevel="0" collapsed="false">
      <c r="A2574" s="0" t="s">
        <v>2041</v>
      </c>
      <c r="B2574" s="0" t="s">
        <v>2042</v>
      </c>
      <c r="C2574" s="0" t="s">
        <v>2161</v>
      </c>
      <c r="D2574" s="0" t="s">
        <v>2044</v>
      </c>
      <c r="E2574" s="0" t="s">
        <v>2045</v>
      </c>
      <c r="F2574" s="0" t="s">
        <v>2046</v>
      </c>
      <c r="G2574" s="0" t="s">
        <v>2098</v>
      </c>
      <c r="H2574" s="0" t="s">
        <v>2048</v>
      </c>
      <c r="I2574" s="0" t="s">
        <v>2322</v>
      </c>
      <c r="J2574" s="0" t="s">
        <v>2335</v>
      </c>
      <c r="K2574" s="272" t="n">
        <v>-76329.4108981517</v>
      </c>
    </row>
    <row r="2575" customFormat="false" ht="15" hidden="false" customHeight="false" outlineLevel="0" collapsed="false">
      <c r="A2575" s="0" t="s">
        <v>2041</v>
      </c>
      <c r="B2575" s="0" t="s">
        <v>2042</v>
      </c>
      <c r="C2575" s="0" t="s">
        <v>2161</v>
      </c>
      <c r="D2575" s="0" t="s">
        <v>2044</v>
      </c>
      <c r="E2575" s="0" t="s">
        <v>2045</v>
      </c>
      <c r="F2575" s="0" t="s">
        <v>2099</v>
      </c>
      <c r="G2575" s="0" t="s">
        <v>2064</v>
      </c>
      <c r="H2575" s="0" t="s">
        <v>2100</v>
      </c>
      <c r="I2575" s="0" t="s">
        <v>2322</v>
      </c>
      <c r="J2575" s="0" t="s">
        <v>2335</v>
      </c>
      <c r="K2575" s="272" t="n">
        <v>-100475.729710744</v>
      </c>
    </row>
    <row r="2576" customFormat="false" ht="15" hidden="false" customHeight="false" outlineLevel="0" collapsed="false">
      <c r="A2576" s="0" t="s">
        <v>2041</v>
      </c>
      <c r="B2576" s="0" t="s">
        <v>2042</v>
      </c>
      <c r="C2576" s="0" t="s">
        <v>2161</v>
      </c>
      <c r="D2576" s="0" t="s">
        <v>2044</v>
      </c>
      <c r="E2576" s="0" t="s">
        <v>2045</v>
      </c>
      <c r="F2576" s="0" t="s">
        <v>2099</v>
      </c>
      <c r="G2576" s="0" t="s">
        <v>2076</v>
      </c>
      <c r="H2576" s="0" t="s">
        <v>2100</v>
      </c>
      <c r="I2576" s="0" t="s">
        <v>2322</v>
      </c>
      <c r="J2576" s="0" t="s">
        <v>2335</v>
      </c>
      <c r="K2576" s="272" t="n">
        <v>-104770.011895822</v>
      </c>
    </row>
    <row r="2577" customFormat="false" ht="15" hidden="false" customHeight="false" outlineLevel="0" collapsed="false">
      <c r="A2577" s="0" t="s">
        <v>2041</v>
      </c>
      <c r="B2577" s="0" t="s">
        <v>2042</v>
      </c>
      <c r="C2577" s="0" t="s">
        <v>2161</v>
      </c>
      <c r="D2577" s="0" t="s">
        <v>2044</v>
      </c>
      <c r="E2577" s="0" t="s">
        <v>2045</v>
      </c>
      <c r="F2577" s="0" t="s">
        <v>2099</v>
      </c>
      <c r="G2577" s="0" t="s">
        <v>2081</v>
      </c>
      <c r="H2577" s="0" t="s">
        <v>2100</v>
      </c>
      <c r="I2577" s="0" t="s">
        <v>2322</v>
      </c>
      <c r="J2577" s="0" t="s">
        <v>2335</v>
      </c>
      <c r="K2577" s="272" t="n">
        <v>-98826.4359829549</v>
      </c>
    </row>
    <row r="2578" customFormat="false" ht="15" hidden="false" customHeight="false" outlineLevel="0" collapsed="false">
      <c r="A2578" s="0" t="s">
        <v>2041</v>
      </c>
      <c r="B2578" s="0" t="s">
        <v>2042</v>
      </c>
      <c r="C2578" s="0" t="s">
        <v>2161</v>
      </c>
      <c r="D2578" s="0" t="s">
        <v>2044</v>
      </c>
      <c r="E2578" s="0" t="s">
        <v>2045</v>
      </c>
      <c r="F2578" s="0" t="s">
        <v>2099</v>
      </c>
      <c r="G2578" s="0" t="s">
        <v>2082</v>
      </c>
      <c r="H2578" s="0" t="s">
        <v>2100</v>
      </c>
      <c r="I2578" s="0" t="s">
        <v>2322</v>
      </c>
      <c r="J2578" s="0" t="s">
        <v>2335</v>
      </c>
      <c r="K2578" s="272" t="n">
        <v>-56714.253519929</v>
      </c>
    </row>
    <row r="2579" customFormat="false" ht="15" hidden="false" customHeight="false" outlineLevel="0" collapsed="false">
      <c r="A2579" s="0" t="s">
        <v>2041</v>
      </c>
      <c r="B2579" s="0" t="s">
        <v>2042</v>
      </c>
      <c r="C2579" s="0" t="s">
        <v>2161</v>
      </c>
      <c r="D2579" s="0" t="s">
        <v>2044</v>
      </c>
      <c r="E2579" s="0" t="s">
        <v>2045</v>
      </c>
      <c r="F2579" s="0" t="s">
        <v>2099</v>
      </c>
      <c r="G2579" s="0" t="s">
        <v>2085</v>
      </c>
      <c r="H2579" s="0" t="s">
        <v>2100</v>
      </c>
      <c r="I2579" s="0" t="s">
        <v>2322</v>
      </c>
      <c r="J2579" s="0" t="s">
        <v>2335</v>
      </c>
      <c r="K2579" s="272" t="n">
        <v>-74655.9779166094</v>
      </c>
    </row>
    <row r="2580" customFormat="false" ht="15" hidden="false" customHeight="false" outlineLevel="0" collapsed="false">
      <c r="A2580" s="0" t="s">
        <v>2041</v>
      </c>
      <c r="B2580" s="0" t="s">
        <v>2042</v>
      </c>
      <c r="C2580" s="0" t="s">
        <v>2161</v>
      </c>
      <c r="D2580" s="0" t="s">
        <v>2044</v>
      </c>
      <c r="E2580" s="0" t="s">
        <v>2045</v>
      </c>
      <c r="F2580" s="0" t="s">
        <v>2099</v>
      </c>
      <c r="G2580" s="0" t="s">
        <v>2086</v>
      </c>
      <c r="H2580" s="0" t="s">
        <v>2100</v>
      </c>
      <c r="I2580" s="0" t="s">
        <v>2322</v>
      </c>
      <c r="J2580" s="0" t="s">
        <v>2335</v>
      </c>
      <c r="K2580" s="272" t="n">
        <v>-60659.8625940106</v>
      </c>
    </row>
    <row r="2581" customFormat="false" ht="15" hidden="false" customHeight="false" outlineLevel="0" collapsed="false">
      <c r="A2581" s="0" t="s">
        <v>2041</v>
      </c>
      <c r="B2581" s="0" t="s">
        <v>2042</v>
      </c>
      <c r="C2581" s="0" t="s">
        <v>2161</v>
      </c>
      <c r="D2581" s="0" t="s">
        <v>2044</v>
      </c>
      <c r="E2581" s="0" t="s">
        <v>2045</v>
      </c>
      <c r="F2581" s="0" t="s">
        <v>2099</v>
      </c>
      <c r="G2581" s="0" t="s">
        <v>2095</v>
      </c>
      <c r="H2581" s="0" t="s">
        <v>2100</v>
      </c>
      <c r="I2581" s="0" t="s">
        <v>2322</v>
      </c>
      <c r="J2581" s="0" t="s">
        <v>2335</v>
      </c>
      <c r="K2581" s="272" t="n">
        <v>-67656.6020800175</v>
      </c>
    </row>
    <row r="2582" customFormat="false" ht="15" hidden="false" customHeight="false" outlineLevel="0" collapsed="false">
      <c r="A2582" s="0" t="s">
        <v>2041</v>
      </c>
      <c r="B2582" s="0" t="s">
        <v>2042</v>
      </c>
      <c r="C2582" s="0" t="s">
        <v>2161</v>
      </c>
      <c r="D2582" s="0" t="s">
        <v>2044</v>
      </c>
      <c r="E2582" s="0" t="s">
        <v>2045</v>
      </c>
      <c r="F2582" s="0" t="s">
        <v>2099</v>
      </c>
      <c r="G2582" s="0" t="s">
        <v>2096</v>
      </c>
      <c r="H2582" s="0" t="s">
        <v>2100</v>
      </c>
      <c r="I2582" s="0" t="s">
        <v>2101</v>
      </c>
      <c r="J2582" s="0" t="s">
        <v>2335</v>
      </c>
      <c r="K2582" s="272" t="n">
        <v>0</v>
      </c>
    </row>
    <row r="2583" customFormat="false" ht="15" hidden="false" customHeight="false" outlineLevel="0" collapsed="false">
      <c r="A2583" s="0" t="s">
        <v>2041</v>
      </c>
      <c r="B2583" s="0" t="s">
        <v>2042</v>
      </c>
      <c r="C2583" s="0" t="s">
        <v>2339</v>
      </c>
      <c r="D2583" s="0" t="s">
        <v>2105</v>
      </c>
      <c r="E2583" s="0" t="s">
        <v>2045</v>
      </c>
      <c r="F2583" s="0" t="s">
        <v>2157</v>
      </c>
      <c r="G2583" s="0" t="s">
        <v>2158</v>
      </c>
      <c r="H2583" s="0" t="s">
        <v>2159</v>
      </c>
      <c r="J2583" s="0" t="s">
        <v>2340</v>
      </c>
      <c r="K2583" s="272" t="n">
        <v>697877.25</v>
      </c>
    </row>
    <row r="2584" customFormat="false" ht="15" hidden="false" customHeight="false" outlineLevel="0" collapsed="false">
      <c r="A2584" s="0" t="s">
        <v>2041</v>
      </c>
      <c r="B2584" s="0" t="s">
        <v>2042</v>
      </c>
      <c r="C2584" s="0" t="s">
        <v>2339</v>
      </c>
      <c r="D2584" s="0" t="s">
        <v>2105</v>
      </c>
      <c r="E2584" s="0" t="s">
        <v>2045</v>
      </c>
      <c r="F2584" s="0" t="s">
        <v>2157</v>
      </c>
      <c r="G2584" s="0" t="s">
        <v>2158</v>
      </c>
      <c r="H2584" s="0" t="s">
        <v>2162</v>
      </c>
      <c r="J2584" s="0" t="s">
        <v>2340</v>
      </c>
      <c r="K2584" s="272" t="n">
        <v>17626.68</v>
      </c>
    </row>
    <row r="2585" customFormat="false" ht="15" hidden="false" customHeight="false" outlineLevel="0" collapsed="false">
      <c r="A2585" s="0" t="s">
        <v>2041</v>
      </c>
      <c r="B2585" s="0" t="s">
        <v>2042</v>
      </c>
      <c r="C2585" s="0" t="s">
        <v>2339</v>
      </c>
      <c r="D2585" s="0" t="s">
        <v>2105</v>
      </c>
      <c r="E2585" s="0" t="s">
        <v>2045</v>
      </c>
      <c r="F2585" s="0" t="s">
        <v>2157</v>
      </c>
      <c r="G2585" s="0" t="s">
        <v>2158</v>
      </c>
      <c r="H2585" s="0" t="s">
        <v>2126</v>
      </c>
      <c r="J2585" s="0" t="s">
        <v>2340</v>
      </c>
      <c r="K2585" s="272" t="n">
        <v>34032.32</v>
      </c>
    </row>
    <row r="2586" customFormat="false" ht="15" hidden="false" customHeight="false" outlineLevel="0" collapsed="false">
      <c r="A2586" s="0" t="s">
        <v>2041</v>
      </c>
      <c r="B2586" s="0" t="s">
        <v>2042</v>
      </c>
      <c r="C2586" s="0" t="s">
        <v>2339</v>
      </c>
      <c r="D2586" s="0" t="s">
        <v>2105</v>
      </c>
      <c r="E2586" s="0" t="s">
        <v>2045</v>
      </c>
      <c r="F2586" s="0" t="s">
        <v>2324</v>
      </c>
      <c r="G2586" s="0" t="s">
        <v>2325</v>
      </c>
      <c r="H2586" s="0" t="s">
        <v>2326</v>
      </c>
      <c r="J2586" s="0" t="s">
        <v>2340</v>
      </c>
      <c r="K2586" s="272" t="n">
        <v>6015.21</v>
      </c>
    </row>
    <row r="2587" customFormat="false" ht="15" hidden="false" customHeight="false" outlineLevel="0" collapsed="false">
      <c r="A2587" s="0" t="s">
        <v>2041</v>
      </c>
      <c r="B2587" s="0" t="s">
        <v>2042</v>
      </c>
      <c r="C2587" s="0" t="s">
        <v>2339</v>
      </c>
      <c r="D2587" s="0" t="s">
        <v>2105</v>
      </c>
      <c r="E2587" s="0" t="s">
        <v>2045</v>
      </c>
      <c r="F2587" s="0" t="s">
        <v>2163</v>
      </c>
      <c r="G2587" s="0" t="s">
        <v>2164</v>
      </c>
      <c r="H2587" s="0" t="s">
        <v>2166</v>
      </c>
      <c r="J2587" s="0" t="s">
        <v>2340</v>
      </c>
      <c r="K2587" s="272" t="n">
        <v>848269.96</v>
      </c>
    </row>
    <row r="2588" customFormat="false" ht="15" hidden="false" customHeight="false" outlineLevel="0" collapsed="false">
      <c r="A2588" s="0" t="s">
        <v>2041</v>
      </c>
      <c r="B2588" s="0" t="s">
        <v>2042</v>
      </c>
      <c r="C2588" s="0" t="s">
        <v>2339</v>
      </c>
      <c r="D2588" s="0" t="s">
        <v>2105</v>
      </c>
      <c r="E2588" s="0" t="s">
        <v>2045</v>
      </c>
      <c r="F2588" s="0" t="s">
        <v>2163</v>
      </c>
      <c r="G2588" s="0" t="s">
        <v>2168</v>
      </c>
      <c r="H2588" s="0" t="s">
        <v>2169</v>
      </c>
      <c r="J2588" s="0" t="s">
        <v>2340</v>
      </c>
      <c r="K2588" s="272" t="n">
        <v>1788624.51000001</v>
      </c>
    </row>
    <row r="2589" customFormat="false" ht="15" hidden="false" customHeight="false" outlineLevel="0" collapsed="false">
      <c r="A2589" s="0" t="s">
        <v>2041</v>
      </c>
      <c r="B2589" s="0" t="s">
        <v>2042</v>
      </c>
      <c r="C2589" s="0" t="s">
        <v>2339</v>
      </c>
      <c r="D2589" s="0" t="s">
        <v>2105</v>
      </c>
      <c r="E2589" s="0" t="s">
        <v>2045</v>
      </c>
      <c r="F2589" s="0" t="s">
        <v>2163</v>
      </c>
      <c r="G2589" s="0" t="s">
        <v>2168</v>
      </c>
      <c r="H2589" s="0" t="s">
        <v>2165</v>
      </c>
      <c r="J2589" s="0" t="s">
        <v>2340</v>
      </c>
      <c r="K2589" s="272" t="n">
        <v>6993.45</v>
      </c>
    </row>
    <row r="2590" customFormat="false" ht="15" hidden="false" customHeight="false" outlineLevel="0" collapsed="false">
      <c r="A2590" s="0" t="s">
        <v>2041</v>
      </c>
      <c r="B2590" s="0" t="s">
        <v>2042</v>
      </c>
      <c r="C2590" s="0" t="s">
        <v>2339</v>
      </c>
      <c r="D2590" s="0" t="s">
        <v>2105</v>
      </c>
      <c r="E2590" s="0" t="s">
        <v>2045</v>
      </c>
      <c r="F2590" s="0" t="s">
        <v>2163</v>
      </c>
      <c r="G2590" s="0" t="s">
        <v>2168</v>
      </c>
      <c r="H2590" s="0" t="s">
        <v>2166</v>
      </c>
      <c r="J2590" s="0" t="s">
        <v>2340</v>
      </c>
      <c r="K2590" s="272" t="n">
        <v>30925.07</v>
      </c>
    </row>
    <row r="2591" customFormat="false" ht="15" hidden="false" customHeight="false" outlineLevel="0" collapsed="false">
      <c r="A2591" s="0" t="s">
        <v>2041</v>
      </c>
      <c r="B2591" s="0" t="s">
        <v>2042</v>
      </c>
      <c r="C2591" s="0" t="s">
        <v>2339</v>
      </c>
      <c r="D2591" s="0" t="s">
        <v>2105</v>
      </c>
      <c r="E2591" s="0" t="s">
        <v>2045</v>
      </c>
      <c r="F2591" s="0" t="s">
        <v>2163</v>
      </c>
      <c r="G2591" s="0" t="s">
        <v>2170</v>
      </c>
      <c r="H2591" s="0" t="s">
        <v>2169</v>
      </c>
      <c r="J2591" s="0" t="s">
        <v>2340</v>
      </c>
      <c r="K2591" s="272" t="n">
        <v>16259.89</v>
      </c>
    </row>
    <row r="2592" customFormat="false" ht="15" hidden="false" customHeight="false" outlineLevel="0" collapsed="false">
      <c r="A2592" s="0" t="s">
        <v>2041</v>
      </c>
      <c r="B2592" s="0" t="s">
        <v>2042</v>
      </c>
      <c r="C2592" s="0" t="s">
        <v>2339</v>
      </c>
      <c r="D2592" s="0" t="s">
        <v>2105</v>
      </c>
      <c r="E2592" s="0" t="s">
        <v>2045</v>
      </c>
      <c r="F2592" s="0" t="s">
        <v>2163</v>
      </c>
      <c r="G2592" s="0" t="s">
        <v>2170</v>
      </c>
      <c r="H2592" s="0" t="s">
        <v>2165</v>
      </c>
      <c r="J2592" s="0" t="s">
        <v>2340</v>
      </c>
      <c r="K2592" s="272" t="n">
        <v>1451045.97</v>
      </c>
    </row>
    <row r="2593" customFormat="false" ht="15" hidden="false" customHeight="false" outlineLevel="0" collapsed="false">
      <c r="A2593" s="0" t="s">
        <v>2041</v>
      </c>
      <c r="B2593" s="0" t="s">
        <v>2042</v>
      </c>
      <c r="C2593" s="0" t="s">
        <v>2339</v>
      </c>
      <c r="D2593" s="0" t="s">
        <v>2105</v>
      </c>
      <c r="E2593" s="0" t="s">
        <v>2045</v>
      </c>
      <c r="F2593" s="0" t="s">
        <v>2163</v>
      </c>
      <c r="G2593" s="0" t="s">
        <v>2170</v>
      </c>
      <c r="H2593" s="0" t="s">
        <v>2171</v>
      </c>
      <c r="J2593" s="0" t="s">
        <v>2340</v>
      </c>
      <c r="K2593" s="272" t="n">
        <v>172888.39</v>
      </c>
    </row>
    <row r="2594" customFormat="false" ht="15" hidden="false" customHeight="false" outlineLevel="0" collapsed="false">
      <c r="A2594" s="0" t="s">
        <v>2041</v>
      </c>
      <c r="B2594" s="0" t="s">
        <v>2042</v>
      </c>
      <c r="C2594" s="0" t="s">
        <v>2339</v>
      </c>
      <c r="D2594" s="0" t="s">
        <v>2105</v>
      </c>
      <c r="E2594" s="0" t="s">
        <v>2045</v>
      </c>
      <c r="F2594" s="0" t="s">
        <v>2163</v>
      </c>
      <c r="G2594" s="0" t="s">
        <v>2172</v>
      </c>
      <c r="H2594" s="0" t="s">
        <v>2173</v>
      </c>
      <c r="J2594" s="0" t="s">
        <v>2340</v>
      </c>
      <c r="K2594" s="272" t="n">
        <v>514714.61</v>
      </c>
    </row>
    <row r="2595" customFormat="false" ht="15" hidden="false" customHeight="false" outlineLevel="0" collapsed="false">
      <c r="A2595" s="0" t="s">
        <v>2041</v>
      </c>
      <c r="B2595" s="0" t="s">
        <v>2042</v>
      </c>
      <c r="C2595" s="0" t="s">
        <v>2339</v>
      </c>
      <c r="D2595" s="0" t="s">
        <v>2105</v>
      </c>
      <c r="E2595" s="0" t="s">
        <v>2045</v>
      </c>
      <c r="F2595" s="0" t="s">
        <v>2163</v>
      </c>
      <c r="G2595" s="0" t="s">
        <v>2174</v>
      </c>
      <c r="H2595" s="0" t="s">
        <v>2175</v>
      </c>
      <c r="J2595" s="0" t="s">
        <v>2340</v>
      </c>
      <c r="K2595" s="272" t="n">
        <v>677822.71</v>
      </c>
    </row>
    <row r="2596" customFormat="false" ht="15" hidden="false" customHeight="false" outlineLevel="0" collapsed="false">
      <c r="A2596" s="0" t="s">
        <v>2041</v>
      </c>
      <c r="B2596" s="0" t="s">
        <v>2042</v>
      </c>
      <c r="C2596" s="0" t="s">
        <v>2339</v>
      </c>
      <c r="D2596" s="0" t="s">
        <v>2105</v>
      </c>
      <c r="E2596" s="0" t="s">
        <v>2045</v>
      </c>
      <c r="F2596" s="0" t="s">
        <v>2176</v>
      </c>
      <c r="G2596" s="0" t="s">
        <v>2177</v>
      </c>
      <c r="H2596" s="0" t="s">
        <v>2178</v>
      </c>
      <c r="J2596" s="0" t="s">
        <v>2340</v>
      </c>
      <c r="K2596" s="272" t="n">
        <v>149948.85</v>
      </c>
    </row>
    <row r="2597" customFormat="false" ht="15" hidden="false" customHeight="false" outlineLevel="0" collapsed="false">
      <c r="A2597" s="0" t="s">
        <v>2041</v>
      </c>
      <c r="B2597" s="0" t="s">
        <v>2042</v>
      </c>
      <c r="C2597" s="0" t="s">
        <v>2339</v>
      </c>
      <c r="D2597" s="0" t="s">
        <v>2105</v>
      </c>
      <c r="E2597" s="0" t="s">
        <v>2045</v>
      </c>
      <c r="F2597" s="0" t="s">
        <v>2176</v>
      </c>
      <c r="G2597" s="0" t="s">
        <v>2177</v>
      </c>
      <c r="H2597" s="0" t="s">
        <v>2179</v>
      </c>
      <c r="J2597" s="0" t="s">
        <v>2340</v>
      </c>
      <c r="K2597" s="272" t="n">
        <v>199337.92</v>
      </c>
    </row>
    <row r="2598" customFormat="false" ht="15" hidden="false" customHeight="false" outlineLevel="0" collapsed="false">
      <c r="A2598" s="0" t="s">
        <v>2041</v>
      </c>
      <c r="B2598" s="0" t="s">
        <v>2042</v>
      </c>
      <c r="C2598" s="0" t="s">
        <v>2339</v>
      </c>
      <c r="D2598" s="0" t="s">
        <v>2105</v>
      </c>
      <c r="E2598" s="0" t="s">
        <v>2045</v>
      </c>
      <c r="F2598" s="0" t="s">
        <v>2176</v>
      </c>
      <c r="G2598" s="0" t="s">
        <v>2177</v>
      </c>
      <c r="H2598" s="0" t="s">
        <v>2180</v>
      </c>
      <c r="J2598" s="0" t="s">
        <v>2340</v>
      </c>
      <c r="K2598" s="272" t="n">
        <v>98900.37</v>
      </c>
    </row>
    <row r="2599" customFormat="false" ht="15" hidden="false" customHeight="false" outlineLevel="0" collapsed="false">
      <c r="A2599" s="0" t="s">
        <v>2041</v>
      </c>
      <c r="B2599" s="0" t="s">
        <v>2042</v>
      </c>
      <c r="C2599" s="0" t="s">
        <v>2339</v>
      </c>
      <c r="D2599" s="0" t="s">
        <v>2105</v>
      </c>
      <c r="E2599" s="0" t="s">
        <v>2045</v>
      </c>
      <c r="F2599" s="0" t="s">
        <v>2176</v>
      </c>
      <c r="G2599" s="0" t="s">
        <v>2181</v>
      </c>
      <c r="H2599" s="0" t="s">
        <v>2182</v>
      </c>
      <c r="J2599" s="0" t="s">
        <v>2340</v>
      </c>
      <c r="K2599" s="272" t="n">
        <v>89268</v>
      </c>
    </row>
    <row r="2600" customFormat="false" ht="15" hidden="false" customHeight="false" outlineLevel="0" collapsed="false">
      <c r="A2600" s="0" t="s">
        <v>2041</v>
      </c>
      <c r="B2600" s="0" t="s">
        <v>2042</v>
      </c>
      <c r="C2600" s="0" t="s">
        <v>2339</v>
      </c>
      <c r="D2600" s="0" t="s">
        <v>2105</v>
      </c>
      <c r="E2600" s="0" t="s">
        <v>2045</v>
      </c>
      <c r="F2600" s="0" t="s">
        <v>2176</v>
      </c>
      <c r="G2600" s="0" t="s">
        <v>2181</v>
      </c>
      <c r="H2600" s="0" t="s">
        <v>2183</v>
      </c>
      <c r="J2600" s="0" t="s">
        <v>2340</v>
      </c>
      <c r="K2600" s="272" t="n">
        <v>5615.33</v>
      </c>
    </row>
    <row r="2601" customFormat="false" ht="15" hidden="false" customHeight="false" outlineLevel="0" collapsed="false">
      <c r="A2601" s="0" t="s">
        <v>2041</v>
      </c>
      <c r="B2601" s="0" t="s">
        <v>2042</v>
      </c>
      <c r="C2601" s="0" t="s">
        <v>2339</v>
      </c>
      <c r="D2601" s="0" t="s">
        <v>2105</v>
      </c>
      <c r="E2601" s="0" t="s">
        <v>2045</v>
      </c>
      <c r="F2601" s="0" t="s">
        <v>2176</v>
      </c>
      <c r="G2601" s="0" t="s">
        <v>2181</v>
      </c>
      <c r="H2601" s="0" t="s">
        <v>2184</v>
      </c>
      <c r="J2601" s="0" t="s">
        <v>2340</v>
      </c>
      <c r="K2601" s="272" t="n">
        <v>32434.03</v>
      </c>
    </row>
    <row r="2602" customFormat="false" ht="15" hidden="false" customHeight="false" outlineLevel="0" collapsed="false">
      <c r="A2602" s="0" t="s">
        <v>2041</v>
      </c>
      <c r="B2602" s="0" t="s">
        <v>2042</v>
      </c>
      <c r="C2602" s="0" t="s">
        <v>2339</v>
      </c>
      <c r="D2602" s="0" t="s">
        <v>2105</v>
      </c>
      <c r="E2602" s="0" t="s">
        <v>2045</v>
      </c>
      <c r="F2602" s="0" t="s">
        <v>2176</v>
      </c>
      <c r="G2602" s="0" t="s">
        <v>2181</v>
      </c>
      <c r="H2602" s="0" t="s">
        <v>2185</v>
      </c>
      <c r="J2602" s="0" t="s">
        <v>2340</v>
      </c>
      <c r="K2602" s="272" t="n">
        <v>87499.54</v>
      </c>
    </row>
    <row r="2603" customFormat="false" ht="15" hidden="false" customHeight="false" outlineLevel="0" collapsed="false">
      <c r="A2603" s="0" t="s">
        <v>2041</v>
      </c>
      <c r="B2603" s="0" t="s">
        <v>2042</v>
      </c>
      <c r="C2603" s="0" t="s">
        <v>2339</v>
      </c>
      <c r="D2603" s="0" t="s">
        <v>2105</v>
      </c>
      <c r="E2603" s="0" t="s">
        <v>2045</v>
      </c>
      <c r="F2603" s="0" t="s">
        <v>2176</v>
      </c>
      <c r="G2603" s="0" t="s">
        <v>2181</v>
      </c>
      <c r="H2603" s="0" t="s">
        <v>2186</v>
      </c>
      <c r="J2603" s="0" t="s">
        <v>2340</v>
      </c>
      <c r="K2603" s="272" t="n">
        <v>78687.62</v>
      </c>
    </row>
    <row r="2604" customFormat="false" ht="15" hidden="false" customHeight="false" outlineLevel="0" collapsed="false">
      <c r="A2604" s="0" t="s">
        <v>2041</v>
      </c>
      <c r="B2604" s="0" t="s">
        <v>2042</v>
      </c>
      <c r="C2604" s="0" t="s">
        <v>2339</v>
      </c>
      <c r="D2604" s="0" t="s">
        <v>2105</v>
      </c>
      <c r="E2604" s="0" t="s">
        <v>2045</v>
      </c>
      <c r="F2604" s="0" t="s">
        <v>2176</v>
      </c>
      <c r="G2604" s="0" t="s">
        <v>2181</v>
      </c>
      <c r="H2604" s="0" t="s">
        <v>2187</v>
      </c>
      <c r="J2604" s="0" t="s">
        <v>2340</v>
      </c>
      <c r="K2604" s="272" t="n">
        <v>171128.31</v>
      </c>
    </row>
    <row r="2605" customFormat="false" ht="15" hidden="false" customHeight="false" outlineLevel="0" collapsed="false">
      <c r="A2605" s="0" t="s">
        <v>2041</v>
      </c>
      <c r="B2605" s="0" t="s">
        <v>2042</v>
      </c>
      <c r="C2605" s="0" t="s">
        <v>2339</v>
      </c>
      <c r="D2605" s="0" t="s">
        <v>2105</v>
      </c>
      <c r="E2605" s="0" t="s">
        <v>2045</v>
      </c>
      <c r="F2605" s="0" t="s">
        <v>2176</v>
      </c>
      <c r="G2605" s="0" t="s">
        <v>2181</v>
      </c>
      <c r="H2605" s="0" t="s">
        <v>2179</v>
      </c>
      <c r="J2605" s="0" t="s">
        <v>2340</v>
      </c>
      <c r="K2605" s="272" t="n">
        <v>99668.96</v>
      </c>
    </row>
    <row r="2606" customFormat="false" ht="15" hidden="false" customHeight="false" outlineLevel="0" collapsed="false">
      <c r="A2606" s="0" t="s">
        <v>2041</v>
      </c>
      <c r="B2606" s="0" t="s">
        <v>2042</v>
      </c>
      <c r="C2606" s="0" t="s">
        <v>2339</v>
      </c>
      <c r="D2606" s="0" t="s">
        <v>2105</v>
      </c>
      <c r="E2606" s="0" t="s">
        <v>2045</v>
      </c>
      <c r="F2606" s="0" t="s">
        <v>2176</v>
      </c>
      <c r="G2606" s="0" t="s">
        <v>2188</v>
      </c>
      <c r="H2606" s="0" t="s">
        <v>2189</v>
      </c>
      <c r="J2606" s="0" t="s">
        <v>2340</v>
      </c>
      <c r="K2606" s="272" t="n">
        <v>511908.63</v>
      </c>
    </row>
    <row r="2607" customFormat="false" ht="15" hidden="false" customHeight="false" outlineLevel="0" collapsed="false">
      <c r="A2607" s="0" t="s">
        <v>2041</v>
      </c>
      <c r="B2607" s="0" t="s">
        <v>2042</v>
      </c>
      <c r="C2607" s="0" t="s">
        <v>2339</v>
      </c>
      <c r="D2607" s="0" t="s">
        <v>2105</v>
      </c>
      <c r="E2607" s="0" t="s">
        <v>2045</v>
      </c>
      <c r="F2607" s="0" t="s">
        <v>2176</v>
      </c>
      <c r="G2607" s="0" t="s">
        <v>2190</v>
      </c>
      <c r="H2607" s="0" t="s">
        <v>2191</v>
      </c>
      <c r="J2607" s="0" t="s">
        <v>2340</v>
      </c>
      <c r="K2607" s="272" t="n">
        <v>573958.06</v>
      </c>
    </row>
    <row r="2608" customFormat="false" ht="15" hidden="false" customHeight="false" outlineLevel="0" collapsed="false">
      <c r="A2608" s="0" t="s">
        <v>2041</v>
      </c>
      <c r="B2608" s="0" t="s">
        <v>2042</v>
      </c>
      <c r="C2608" s="0" t="s">
        <v>2339</v>
      </c>
      <c r="D2608" s="0" t="s">
        <v>2105</v>
      </c>
      <c r="E2608" s="0" t="s">
        <v>2045</v>
      </c>
      <c r="F2608" s="0" t="s">
        <v>2192</v>
      </c>
      <c r="G2608" s="0" t="s">
        <v>2193</v>
      </c>
      <c r="H2608" s="0" t="s">
        <v>2162</v>
      </c>
      <c r="J2608" s="0" t="s">
        <v>2340</v>
      </c>
      <c r="K2608" s="272" t="n">
        <v>1389887.29</v>
      </c>
    </row>
    <row r="2609" customFormat="false" ht="15" hidden="false" customHeight="false" outlineLevel="0" collapsed="false">
      <c r="A2609" s="0" t="s">
        <v>2041</v>
      </c>
      <c r="B2609" s="0" t="s">
        <v>2042</v>
      </c>
      <c r="C2609" s="0" t="s">
        <v>2339</v>
      </c>
      <c r="D2609" s="0" t="s">
        <v>2105</v>
      </c>
      <c r="E2609" s="0" t="s">
        <v>2045</v>
      </c>
      <c r="F2609" s="0" t="s">
        <v>2192</v>
      </c>
      <c r="G2609" s="0" t="s">
        <v>2194</v>
      </c>
      <c r="H2609" s="0" t="s">
        <v>2162</v>
      </c>
      <c r="J2609" s="0" t="s">
        <v>2340</v>
      </c>
      <c r="K2609" s="272" t="n">
        <v>563605.22</v>
      </c>
    </row>
    <row r="2610" customFormat="false" ht="15" hidden="false" customHeight="false" outlineLevel="0" collapsed="false">
      <c r="A2610" s="0" t="s">
        <v>2041</v>
      </c>
      <c r="B2610" s="0" t="s">
        <v>2042</v>
      </c>
      <c r="C2610" s="0" t="s">
        <v>2339</v>
      </c>
      <c r="D2610" s="0" t="s">
        <v>2105</v>
      </c>
      <c r="E2610" s="0" t="s">
        <v>2045</v>
      </c>
      <c r="F2610" s="0" t="s">
        <v>2192</v>
      </c>
      <c r="G2610" s="0" t="s">
        <v>2195</v>
      </c>
      <c r="H2610" s="0" t="s">
        <v>2171</v>
      </c>
      <c r="J2610" s="0" t="s">
        <v>2340</v>
      </c>
      <c r="K2610" s="272" t="n">
        <v>693925.16</v>
      </c>
    </row>
    <row r="2611" customFormat="false" ht="15" hidden="false" customHeight="false" outlineLevel="0" collapsed="false">
      <c r="A2611" s="0" t="s">
        <v>2041</v>
      </c>
      <c r="B2611" s="0" t="s">
        <v>2042</v>
      </c>
      <c r="C2611" s="0" t="s">
        <v>2339</v>
      </c>
      <c r="D2611" s="0" t="s">
        <v>2105</v>
      </c>
      <c r="E2611" s="0" t="s">
        <v>2045</v>
      </c>
      <c r="F2611" s="0" t="s">
        <v>2192</v>
      </c>
      <c r="G2611" s="0" t="s">
        <v>2195</v>
      </c>
      <c r="H2611" s="0" t="s">
        <v>2162</v>
      </c>
      <c r="J2611" s="0" t="s">
        <v>2340</v>
      </c>
      <c r="K2611" s="272" t="n">
        <v>201009.66</v>
      </c>
    </row>
    <row r="2612" customFormat="false" ht="15" hidden="false" customHeight="false" outlineLevel="0" collapsed="false">
      <c r="A2612" s="0" t="s">
        <v>2041</v>
      </c>
      <c r="B2612" s="0" t="s">
        <v>2042</v>
      </c>
      <c r="C2612" s="0" t="s">
        <v>2339</v>
      </c>
      <c r="D2612" s="0" t="s">
        <v>2105</v>
      </c>
      <c r="E2612" s="0" t="s">
        <v>2045</v>
      </c>
      <c r="F2612" s="0" t="s">
        <v>2192</v>
      </c>
      <c r="G2612" s="0" t="s">
        <v>2196</v>
      </c>
      <c r="H2612" s="0" t="s">
        <v>2162</v>
      </c>
      <c r="J2612" s="0" t="s">
        <v>2340</v>
      </c>
      <c r="K2612" s="272" t="n">
        <v>839578.69</v>
      </c>
    </row>
    <row r="2613" customFormat="false" ht="15" hidden="false" customHeight="false" outlineLevel="0" collapsed="false">
      <c r="A2613" s="0" t="s">
        <v>2041</v>
      </c>
      <c r="B2613" s="0" t="s">
        <v>2042</v>
      </c>
      <c r="C2613" s="0" t="s">
        <v>2339</v>
      </c>
      <c r="D2613" s="0" t="s">
        <v>2105</v>
      </c>
      <c r="E2613" s="0" t="s">
        <v>2045</v>
      </c>
      <c r="F2613" s="0" t="s">
        <v>2198</v>
      </c>
      <c r="G2613" s="0" t="s">
        <v>2199</v>
      </c>
      <c r="H2613" s="0" t="s">
        <v>2200</v>
      </c>
      <c r="J2613" s="0" t="s">
        <v>2340</v>
      </c>
      <c r="K2613" s="272" t="n">
        <v>943223.9</v>
      </c>
    </row>
    <row r="2614" customFormat="false" ht="15" hidden="false" customHeight="false" outlineLevel="0" collapsed="false">
      <c r="A2614" s="0" t="s">
        <v>2041</v>
      </c>
      <c r="B2614" s="0" t="s">
        <v>2042</v>
      </c>
      <c r="C2614" s="0" t="s">
        <v>2339</v>
      </c>
      <c r="D2614" s="0" t="s">
        <v>2105</v>
      </c>
      <c r="E2614" s="0" t="s">
        <v>2045</v>
      </c>
      <c r="F2614" s="0" t="s">
        <v>2198</v>
      </c>
      <c r="G2614" s="0" t="s">
        <v>2199</v>
      </c>
      <c r="H2614" s="0" t="s">
        <v>2202</v>
      </c>
      <c r="J2614" s="0" t="s">
        <v>2340</v>
      </c>
      <c r="K2614" s="272" t="n">
        <v>183589.58</v>
      </c>
    </row>
    <row r="2615" customFormat="false" ht="15" hidden="false" customHeight="false" outlineLevel="0" collapsed="false">
      <c r="A2615" s="0" t="s">
        <v>2041</v>
      </c>
      <c r="B2615" s="0" t="s">
        <v>2042</v>
      </c>
      <c r="C2615" s="0" t="s">
        <v>2339</v>
      </c>
      <c r="D2615" s="0" t="s">
        <v>2105</v>
      </c>
      <c r="E2615" s="0" t="s">
        <v>2045</v>
      </c>
      <c r="F2615" s="0" t="s">
        <v>2198</v>
      </c>
      <c r="G2615" s="0" t="s">
        <v>2199</v>
      </c>
      <c r="H2615" s="0" t="s">
        <v>2203</v>
      </c>
      <c r="J2615" s="0" t="s">
        <v>2340</v>
      </c>
      <c r="K2615" s="272" t="n">
        <v>911640.7</v>
      </c>
    </row>
    <row r="2616" customFormat="false" ht="15" hidden="false" customHeight="false" outlineLevel="0" collapsed="false">
      <c r="A2616" s="0" t="s">
        <v>2041</v>
      </c>
      <c r="B2616" s="0" t="s">
        <v>2042</v>
      </c>
      <c r="C2616" s="0" t="s">
        <v>2339</v>
      </c>
      <c r="D2616" s="0" t="s">
        <v>2105</v>
      </c>
      <c r="E2616" s="0" t="s">
        <v>2045</v>
      </c>
      <c r="F2616" s="0" t="s">
        <v>2204</v>
      </c>
      <c r="G2616" s="0" t="s">
        <v>2205</v>
      </c>
      <c r="H2616" s="0" t="s">
        <v>2206</v>
      </c>
      <c r="J2616" s="0" t="s">
        <v>2340</v>
      </c>
      <c r="K2616" s="272" t="n">
        <v>29171.28</v>
      </c>
    </row>
    <row r="2617" customFormat="false" ht="15" hidden="false" customHeight="false" outlineLevel="0" collapsed="false">
      <c r="A2617" s="0" t="s">
        <v>2041</v>
      </c>
      <c r="B2617" s="0" t="s">
        <v>2042</v>
      </c>
      <c r="C2617" s="0" t="s">
        <v>2339</v>
      </c>
      <c r="D2617" s="0" t="s">
        <v>2105</v>
      </c>
      <c r="E2617" s="0" t="s">
        <v>2045</v>
      </c>
      <c r="F2617" s="0" t="s">
        <v>2204</v>
      </c>
      <c r="G2617" s="0" t="s">
        <v>2205</v>
      </c>
      <c r="H2617" s="0" t="s">
        <v>2207</v>
      </c>
      <c r="J2617" s="0" t="s">
        <v>2340</v>
      </c>
      <c r="K2617" s="272" t="n">
        <v>29171.28</v>
      </c>
    </row>
    <row r="2618" customFormat="false" ht="15" hidden="false" customHeight="false" outlineLevel="0" collapsed="false">
      <c r="A2618" s="0" t="s">
        <v>2041</v>
      </c>
      <c r="B2618" s="0" t="s">
        <v>2042</v>
      </c>
      <c r="C2618" s="0" t="s">
        <v>2339</v>
      </c>
      <c r="D2618" s="0" t="s">
        <v>2105</v>
      </c>
      <c r="E2618" s="0" t="s">
        <v>2045</v>
      </c>
      <c r="F2618" s="0" t="s">
        <v>2204</v>
      </c>
      <c r="G2618" s="0" t="s">
        <v>2205</v>
      </c>
      <c r="H2618" s="0" t="s">
        <v>2208</v>
      </c>
      <c r="J2618" s="0" t="s">
        <v>2340</v>
      </c>
      <c r="K2618" s="272" t="n">
        <v>58342.56</v>
      </c>
    </row>
    <row r="2619" customFormat="false" ht="15" hidden="false" customHeight="false" outlineLevel="0" collapsed="false">
      <c r="A2619" s="0" t="s">
        <v>2041</v>
      </c>
      <c r="B2619" s="0" t="s">
        <v>2042</v>
      </c>
      <c r="C2619" s="0" t="s">
        <v>2339</v>
      </c>
      <c r="D2619" s="0" t="s">
        <v>2105</v>
      </c>
      <c r="E2619" s="0" t="s">
        <v>2045</v>
      </c>
      <c r="F2619" s="0" t="s">
        <v>2204</v>
      </c>
      <c r="G2619" s="0" t="s">
        <v>2209</v>
      </c>
      <c r="H2619" s="0" t="s">
        <v>2207</v>
      </c>
      <c r="J2619" s="0" t="s">
        <v>2340</v>
      </c>
      <c r="K2619" s="272" t="n">
        <v>47851.89</v>
      </c>
    </row>
    <row r="2620" customFormat="false" ht="15" hidden="false" customHeight="false" outlineLevel="0" collapsed="false">
      <c r="A2620" s="0" t="s">
        <v>2041</v>
      </c>
      <c r="B2620" s="0" t="s">
        <v>2042</v>
      </c>
      <c r="C2620" s="0" t="s">
        <v>2339</v>
      </c>
      <c r="D2620" s="0" t="s">
        <v>2105</v>
      </c>
      <c r="E2620" s="0" t="s">
        <v>2045</v>
      </c>
      <c r="F2620" s="0" t="s">
        <v>2204</v>
      </c>
      <c r="G2620" s="0" t="s">
        <v>2210</v>
      </c>
      <c r="H2620" s="0" t="s">
        <v>2211</v>
      </c>
      <c r="J2620" s="0" t="s">
        <v>2340</v>
      </c>
      <c r="K2620" s="272" t="n">
        <v>112719.94</v>
      </c>
    </row>
    <row r="2621" customFormat="false" ht="15" hidden="false" customHeight="false" outlineLevel="0" collapsed="false">
      <c r="A2621" s="0" t="s">
        <v>2041</v>
      </c>
      <c r="B2621" s="0" t="s">
        <v>2042</v>
      </c>
      <c r="C2621" s="0" t="s">
        <v>2339</v>
      </c>
      <c r="D2621" s="0" t="s">
        <v>2105</v>
      </c>
      <c r="E2621" s="0" t="s">
        <v>2045</v>
      </c>
      <c r="F2621" s="0" t="s">
        <v>2204</v>
      </c>
      <c r="G2621" s="0" t="s">
        <v>2212</v>
      </c>
      <c r="H2621" s="0" t="s">
        <v>2213</v>
      </c>
      <c r="J2621" s="0" t="s">
        <v>2340</v>
      </c>
      <c r="K2621" s="272" t="n">
        <v>32434.03</v>
      </c>
    </row>
    <row r="2622" customFormat="false" ht="15" hidden="false" customHeight="false" outlineLevel="0" collapsed="false">
      <c r="A2622" s="0" t="s">
        <v>2041</v>
      </c>
      <c r="B2622" s="0" t="s">
        <v>2042</v>
      </c>
      <c r="C2622" s="0" t="s">
        <v>2339</v>
      </c>
      <c r="D2622" s="0" t="s">
        <v>2105</v>
      </c>
      <c r="E2622" s="0" t="s">
        <v>2045</v>
      </c>
      <c r="F2622" s="0" t="s">
        <v>2204</v>
      </c>
      <c r="G2622" s="0" t="s">
        <v>2212</v>
      </c>
      <c r="H2622" s="0" t="s">
        <v>2206</v>
      </c>
      <c r="J2622" s="0" t="s">
        <v>2340</v>
      </c>
      <c r="K2622" s="272" t="n">
        <v>32434.02</v>
      </c>
    </row>
    <row r="2623" customFormat="false" ht="15" hidden="false" customHeight="false" outlineLevel="0" collapsed="false">
      <c r="A2623" s="0" t="s">
        <v>2041</v>
      </c>
      <c r="B2623" s="0" t="s">
        <v>2042</v>
      </c>
      <c r="C2623" s="0" t="s">
        <v>2339</v>
      </c>
      <c r="D2623" s="0" t="s">
        <v>2105</v>
      </c>
      <c r="E2623" s="0" t="s">
        <v>2045</v>
      </c>
      <c r="F2623" s="0" t="s">
        <v>2204</v>
      </c>
      <c r="G2623" s="0" t="s">
        <v>2212</v>
      </c>
      <c r="H2623" s="0" t="s">
        <v>2208</v>
      </c>
      <c r="J2623" s="0" t="s">
        <v>2340</v>
      </c>
      <c r="K2623" s="272" t="n">
        <v>115018.7</v>
      </c>
    </row>
    <row r="2624" customFormat="false" ht="15" hidden="false" customHeight="false" outlineLevel="0" collapsed="false">
      <c r="A2624" s="0" t="s">
        <v>2041</v>
      </c>
      <c r="B2624" s="0" t="s">
        <v>2042</v>
      </c>
      <c r="C2624" s="0" t="s">
        <v>2339</v>
      </c>
      <c r="D2624" s="0" t="s">
        <v>2105</v>
      </c>
      <c r="E2624" s="0" t="s">
        <v>2045</v>
      </c>
      <c r="F2624" s="0" t="s">
        <v>2204</v>
      </c>
      <c r="G2624" s="0" t="s">
        <v>2214</v>
      </c>
      <c r="H2624" s="0" t="s">
        <v>2206</v>
      </c>
      <c r="J2624" s="0" t="s">
        <v>2340</v>
      </c>
      <c r="K2624" s="272" t="n">
        <v>23925.95</v>
      </c>
    </row>
    <row r="2625" customFormat="false" ht="15" hidden="false" customHeight="false" outlineLevel="0" collapsed="false">
      <c r="A2625" s="0" t="s">
        <v>2041</v>
      </c>
      <c r="B2625" s="0" t="s">
        <v>2042</v>
      </c>
      <c r="C2625" s="0" t="s">
        <v>2339</v>
      </c>
      <c r="D2625" s="0" t="s">
        <v>2105</v>
      </c>
      <c r="E2625" s="0" t="s">
        <v>2045</v>
      </c>
      <c r="F2625" s="0" t="s">
        <v>2204</v>
      </c>
      <c r="G2625" s="0" t="s">
        <v>2214</v>
      </c>
      <c r="H2625" s="0" t="s">
        <v>2208</v>
      </c>
      <c r="J2625" s="0" t="s">
        <v>2340</v>
      </c>
      <c r="K2625" s="272" t="n">
        <v>23925.94</v>
      </c>
    </row>
    <row r="2626" customFormat="false" ht="15" hidden="false" customHeight="false" outlineLevel="0" collapsed="false">
      <c r="A2626" s="0" t="s">
        <v>2041</v>
      </c>
      <c r="B2626" s="0" t="s">
        <v>2042</v>
      </c>
      <c r="C2626" s="0" t="s">
        <v>2339</v>
      </c>
      <c r="D2626" s="0" t="s">
        <v>2105</v>
      </c>
      <c r="E2626" s="0" t="s">
        <v>2045</v>
      </c>
      <c r="F2626" s="0" t="s">
        <v>2051</v>
      </c>
      <c r="G2626" s="0" t="s">
        <v>2106</v>
      </c>
      <c r="H2626" s="0" t="s">
        <v>2107</v>
      </c>
      <c r="J2626" s="0" t="s">
        <v>2340</v>
      </c>
      <c r="K2626" s="272" t="n">
        <v>349058.08</v>
      </c>
    </row>
    <row r="2627" customFormat="false" ht="15" hidden="false" customHeight="false" outlineLevel="0" collapsed="false">
      <c r="A2627" s="0" t="s">
        <v>2041</v>
      </c>
      <c r="B2627" s="0" t="s">
        <v>2042</v>
      </c>
      <c r="C2627" s="0" t="s">
        <v>2339</v>
      </c>
      <c r="D2627" s="0" t="s">
        <v>2105</v>
      </c>
      <c r="E2627" s="0" t="s">
        <v>2045</v>
      </c>
      <c r="F2627" s="0" t="s">
        <v>2051</v>
      </c>
      <c r="G2627" s="0" t="s">
        <v>2110</v>
      </c>
      <c r="H2627" s="0" t="s">
        <v>2111</v>
      </c>
      <c r="J2627" s="0" t="s">
        <v>2340</v>
      </c>
      <c r="K2627" s="272" t="n">
        <v>65675.1</v>
      </c>
    </row>
    <row r="2628" customFormat="false" ht="15" hidden="false" customHeight="false" outlineLevel="0" collapsed="false">
      <c r="A2628" s="0" t="s">
        <v>2041</v>
      </c>
      <c r="B2628" s="0" t="s">
        <v>2042</v>
      </c>
      <c r="C2628" s="0" t="s">
        <v>2339</v>
      </c>
      <c r="D2628" s="0" t="s">
        <v>2105</v>
      </c>
      <c r="E2628" s="0" t="s">
        <v>2045</v>
      </c>
      <c r="F2628" s="0" t="s">
        <v>2051</v>
      </c>
      <c r="G2628" s="0" t="s">
        <v>2110</v>
      </c>
      <c r="H2628" s="0" t="s">
        <v>2112</v>
      </c>
      <c r="J2628" s="0" t="s">
        <v>2340</v>
      </c>
      <c r="K2628" s="272" t="n">
        <v>110261.68</v>
      </c>
    </row>
    <row r="2629" customFormat="false" ht="15" hidden="false" customHeight="false" outlineLevel="0" collapsed="false">
      <c r="A2629" s="0" t="s">
        <v>2041</v>
      </c>
      <c r="B2629" s="0" t="s">
        <v>2042</v>
      </c>
      <c r="C2629" s="0" t="s">
        <v>2339</v>
      </c>
      <c r="D2629" s="0" t="s">
        <v>2105</v>
      </c>
      <c r="E2629" s="0" t="s">
        <v>2045</v>
      </c>
      <c r="F2629" s="0" t="s">
        <v>2051</v>
      </c>
      <c r="G2629" s="0" t="s">
        <v>2110</v>
      </c>
      <c r="H2629" s="0" t="s">
        <v>2113</v>
      </c>
      <c r="J2629" s="0" t="s">
        <v>2340</v>
      </c>
      <c r="K2629" s="272" t="n">
        <v>333935.35</v>
      </c>
    </row>
    <row r="2630" customFormat="false" ht="15" hidden="false" customHeight="false" outlineLevel="0" collapsed="false">
      <c r="A2630" s="0" t="s">
        <v>2041</v>
      </c>
      <c r="B2630" s="0" t="s">
        <v>2042</v>
      </c>
      <c r="C2630" s="0" t="s">
        <v>2339</v>
      </c>
      <c r="D2630" s="0" t="s">
        <v>2105</v>
      </c>
      <c r="E2630" s="0" t="s">
        <v>2045</v>
      </c>
      <c r="F2630" s="0" t="s">
        <v>2051</v>
      </c>
      <c r="G2630" s="0" t="s">
        <v>2110</v>
      </c>
      <c r="H2630" s="0" t="s">
        <v>2107</v>
      </c>
      <c r="J2630" s="0" t="s">
        <v>2340</v>
      </c>
      <c r="K2630" s="272" t="n">
        <v>101015.27</v>
      </c>
    </row>
    <row r="2631" customFormat="false" ht="15" hidden="false" customHeight="false" outlineLevel="0" collapsed="false">
      <c r="A2631" s="0" t="s">
        <v>2041</v>
      </c>
      <c r="B2631" s="0" t="s">
        <v>2042</v>
      </c>
      <c r="C2631" s="0" t="s">
        <v>2339</v>
      </c>
      <c r="D2631" s="0" t="s">
        <v>2105</v>
      </c>
      <c r="E2631" s="0" t="s">
        <v>2045</v>
      </c>
      <c r="F2631" s="0" t="s">
        <v>2051</v>
      </c>
      <c r="G2631" s="0" t="s">
        <v>2114</v>
      </c>
      <c r="H2631" s="0" t="s">
        <v>2115</v>
      </c>
      <c r="J2631" s="0" t="s">
        <v>2340</v>
      </c>
      <c r="K2631" s="272" t="n">
        <v>167435.28</v>
      </c>
    </row>
    <row r="2632" customFormat="false" ht="15" hidden="false" customHeight="false" outlineLevel="0" collapsed="false">
      <c r="A2632" s="0" t="s">
        <v>2041</v>
      </c>
      <c r="B2632" s="0" t="s">
        <v>2042</v>
      </c>
      <c r="C2632" s="0" t="s">
        <v>2339</v>
      </c>
      <c r="D2632" s="0" t="s">
        <v>2105</v>
      </c>
      <c r="E2632" s="0" t="s">
        <v>2045</v>
      </c>
      <c r="F2632" s="0" t="s">
        <v>2051</v>
      </c>
      <c r="G2632" s="0" t="s">
        <v>2114</v>
      </c>
      <c r="H2632" s="0" t="s">
        <v>2116</v>
      </c>
      <c r="J2632" s="0" t="s">
        <v>2340</v>
      </c>
      <c r="K2632" s="272" t="n">
        <v>23822.62</v>
      </c>
    </row>
    <row r="2633" customFormat="false" ht="15" hidden="false" customHeight="false" outlineLevel="0" collapsed="false">
      <c r="A2633" s="0" t="s">
        <v>2041</v>
      </c>
      <c r="B2633" s="0" t="s">
        <v>2042</v>
      </c>
      <c r="C2633" s="0" t="s">
        <v>2339</v>
      </c>
      <c r="D2633" s="0" t="s">
        <v>2105</v>
      </c>
      <c r="E2633" s="0" t="s">
        <v>2045</v>
      </c>
      <c r="F2633" s="0" t="s">
        <v>2051</v>
      </c>
      <c r="G2633" s="0" t="s">
        <v>2114</v>
      </c>
      <c r="H2633" s="0" t="s">
        <v>2117</v>
      </c>
      <c r="J2633" s="0" t="s">
        <v>2340</v>
      </c>
      <c r="K2633" s="272" t="n">
        <v>9250.72</v>
      </c>
    </row>
    <row r="2634" customFormat="false" ht="15" hidden="false" customHeight="false" outlineLevel="0" collapsed="false">
      <c r="A2634" s="0" t="s">
        <v>2041</v>
      </c>
      <c r="B2634" s="0" t="s">
        <v>2042</v>
      </c>
      <c r="C2634" s="0" t="s">
        <v>2339</v>
      </c>
      <c r="D2634" s="0" t="s">
        <v>2105</v>
      </c>
      <c r="E2634" s="0" t="s">
        <v>2045</v>
      </c>
      <c r="F2634" s="0" t="s">
        <v>2051</v>
      </c>
      <c r="G2634" s="0" t="s">
        <v>2114</v>
      </c>
      <c r="H2634" s="0" t="s">
        <v>2118</v>
      </c>
      <c r="J2634" s="0" t="s">
        <v>2340</v>
      </c>
      <c r="K2634" s="272" t="n">
        <v>17016.16</v>
      </c>
    </row>
    <row r="2635" customFormat="false" ht="15" hidden="false" customHeight="false" outlineLevel="0" collapsed="false">
      <c r="A2635" s="0" t="s">
        <v>2041</v>
      </c>
      <c r="B2635" s="0" t="s">
        <v>2042</v>
      </c>
      <c r="C2635" s="0" t="s">
        <v>2339</v>
      </c>
      <c r="D2635" s="0" t="s">
        <v>2105</v>
      </c>
      <c r="E2635" s="0" t="s">
        <v>2045</v>
      </c>
      <c r="F2635" s="0" t="s">
        <v>2051</v>
      </c>
      <c r="G2635" s="0" t="s">
        <v>2114</v>
      </c>
      <c r="H2635" s="0" t="s">
        <v>2119</v>
      </c>
      <c r="J2635" s="0" t="s">
        <v>2340</v>
      </c>
      <c r="K2635" s="272" t="n">
        <v>57168.29</v>
      </c>
    </row>
    <row r="2636" customFormat="false" ht="15" hidden="false" customHeight="false" outlineLevel="0" collapsed="false">
      <c r="A2636" s="0" t="s">
        <v>2041</v>
      </c>
      <c r="B2636" s="0" t="s">
        <v>2042</v>
      </c>
      <c r="C2636" s="0" t="s">
        <v>2339</v>
      </c>
      <c r="D2636" s="0" t="s">
        <v>2105</v>
      </c>
      <c r="E2636" s="0" t="s">
        <v>2045</v>
      </c>
      <c r="F2636" s="0" t="s">
        <v>2051</v>
      </c>
      <c r="G2636" s="0" t="s">
        <v>2114</v>
      </c>
      <c r="H2636" s="0" t="s">
        <v>2120</v>
      </c>
      <c r="J2636" s="0" t="s">
        <v>2340</v>
      </c>
      <c r="K2636" s="272" t="n">
        <v>104846.17</v>
      </c>
    </row>
    <row r="2637" customFormat="false" ht="15" hidden="false" customHeight="false" outlineLevel="0" collapsed="false">
      <c r="A2637" s="0" t="s">
        <v>2041</v>
      </c>
      <c r="B2637" s="0" t="s">
        <v>2042</v>
      </c>
      <c r="C2637" s="0" t="s">
        <v>2339</v>
      </c>
      <c r="D2637" s="0" t="s">
        <v>2105</v>
      </c>
      <c r="E2637" s="0" t="s">
        <v>2045</v>
      </c>
      <c r="F2637" s="0" t="s">
        <v>2051</v>
      </c>
      <c r="G2637" s="0" t="s">
        <v>2114</v>
      </c>
      <c r="H2637" s="0" t="s">
        <v>2121</v>
      </c>
      <c r="J2637" s="0" t="s">
        <v>2340</v>
      </c>
      <c r="K2637" s="272" t="n">
        <v>32589.23</v>
      </c>
    </row>
    <row r="2638" customFormat="false" ht="15" hidden="false" customHeight="false" outlineLevel="0" collapsed="false">
      <c r="A2638" s="0" t="s">
        <v>2041</v>
      </c>
      <c r="B2638" s="0" t="s">
        <v>2042</v>
      </c>
      <c r="C2638" s="0" t="s">
        <v>2339</v>
      </c>
      <c r="D2638" s="0" t="s">
        <v>2105</v>
      </c>
      <c r="E2638" s="0" t="s">
        <v>2045</v>
      </c>
      <c r="F2638" s="0" t="s">
        <v>2051</v>
      </c>
      <c r="G2638" s="0" t="s">
        <v>2114</v>
      </c>
      <c r="H2638" s="0" t="s">
        <v>2122</v>
      </c>
      <c r="J2638" s="0" t="s">
        <v>2340</v>
      </c>
      <c r="K2638" s="272" t="n">
        <v>152384.75</v>
      </c>
    </row>
    <row r="2639" customFormat="false" ht="15" hidden="false" customHeight="false" outlineLevel="0" collapsed="false">
      <c r="A2639" s="0" t="s">
        <v>2041</v>
      </c>
      <c r="B2639" s="0" t="s">
        <v>2042</v>
      </c>
      <c r="C2639" s="0" t="s">
        <v>2339</v>
      </c>
      <c r="D2639" s="0" t="s">
        <v>2105</v>
      </c>
      <c r="E2639" s="0" t="s">
        <v>2045</v>
      </c>
      <c r="F2639" s="0" t="s">
        <v>2051</v>
      </c>
      <c r="G2639" s="0" t="s">
        <v>2114</v>
      </c>
      <c r="H2639" s="0" t="s">
        <v>2112</v>
      </c>
      <c r="J2639" s="0" t="s">
        <v>2340</v>
      </c>
      <c r="K2639" s="272" t="n">
        <v>17016.16</v>
      </c>
    </row>
    <row r="2640" customFormat="false" ht="15" hidden="false" customHeight="false" outlineLevel="0" collapsed="false">
      <c r="A2640" s="0" t="s">
        <v>2041</v>
      </c>
      <c r="B2640" s="0" t="s">
        <v>2042</v>
      </c>
      <c r="C2640" s="0" t="s">
        <v>2339</v>
      </c>
      <c r="D2640" s="0" t="s">
        <v>2105</v>
      </c>
      <c r="E2640" s="0" t="s">
        <v>2045</v>
      </c>
      <c r="F2640" s="0" t="s">
        <v>2051</v>
      </c>
      <c r="G2640" s="0" t="s">
        <v>2114</v>
      </c>
      <c r="H2640" s="0" t="s">
        <v>2113</v>
      </c>
      <c r="J2640" s="0" t="s">
        <v>2340</v>
      </c>
      <c r="K2640" s="272" t="n">
        <v>22121.01</v>
      </c>
    </row>
    <row r="2641" customFormat="false" ht="15" hidden="false" customHeight="false" outlineLevel="0" collapsed="false">
      <c r="A2641" s="0" t="s">
        <v>2041</v>
      </c>
      <c r="B2641" s="0" t="s">
        <v>2042</v>
      </c>
      <c r="C2641" s="0" t="s">
        <v>2339</v>
      </c>
      <c r="D2641" s="0" t="s">
        <v>2105</v>
      </c>
      <c r="E2641" s="0" t="s">
        <v>2045</v>
      </c>
      <c r="F2641" s="0" t="s">
        <v>2051</v>
      </c>
      <c r="G2641" s="0" t="s">
        <v>2114</v>
      </c>
      <c r="H2641" s="0" t="s">
        <v>2107</v>
      </c>
      <c r="J2641" s="0" t="s">
        <v>2340</v>
      </c>
      <c r="K2641" s="272" t="n">
        <v>61671.46</v>
      </c>
    </row>
    <row r="2642" customFormat="false" ht="15" hidden="false" customHeight="false" outlineLevel="0" collapsed="false">
      <c r="A2642" s="0" t="s">
        <v>2041</v>
      </c>
      <c r="B2642" s="0" t="s">
        <v>2042</v>
      </c>
      <c r="C2642" s="0" t="s">
        <v>2339</v>
      </c>
      <c r="D2642" s="0" t="s">
        <v>2105</v>
      </c>
      <c r="E2642" s="0" t="s">
        <v>2045</v>
      </c>
      <c r="F2642" s="0" t="s">
        <v>2051</v>
      </c>
      <c r="G2642" s="0" t="s">
        <v>2123</v>
      </c>
      <c r="H2642" s="0" t="s">
        <v>2115</v>
      </c>
      <c r="J2642" s="0" t="s">
        <v>2340</v>
      </c>
      <c r="K2642" s="272" t="n">
        <v>8508.08</v>
      </c>
    </row>
    <row r="2643" customFormat="false" ht="15" hidden="false" customHeight="false" outlineLevel="0" collapsed="false">
      <c r="A2643" s="0" t="s">
        <v>2041</v>
      </c>
      <c r="B2643" s="0" t="s">
        <v>2042</v>
      </c>
      <c r="C2643" s="0" t="s">
        <v>2339</v>
      </c>
      <c r="D2643" s="0" t="s">
        <v>2105</v>
      </c>
      <c r="E2643" s="0" t="s">
        <v>2045</v>
      </c>
      <c r="F2643" s="0" t="s">
        <v>2051</v>
      </c>
      <c r="G2643" s="0" t="s">
        <v>2123</v>
      </c>
      <c r="H2643" s="0" t="s">
        <v>2116</v>
      </c>
      <c r="J2643" s="0" t="s">
        <v>2340</v>
      </c>
      <c r="K2643" s="272" t="n">
        <v>34032.32</v>
      </c>
    </row>
    <row r="2644" customFormat="false" ht="15" hidden="false" customHeight="false" outlineLevel="0" collapsed="false">
      <c r="A2644" s="0" t="s">
        <v>2041</v>
      </c>
      <c r="B2644" s="0" t="s">
        <v>2042</v>
      </c>
      <c r="C2644" s="0" t="s">
        <v>2339</v>
      </c>
      <c r="D2644" s="0" t="s">
        <v>2105</v>
      </c>
      <c r="E2644" s="0" t="s">
        <v>2045</v>
      </c>
      <c r="F2644" s="0" t="s">
        <v>2051</v>
      </c>
      <c r="G2644" s="0" t="s">
        <v>2123</v>
      </c>
      <c r="H2644" s="0" t="s">
        <v>2111</v>
      </c>
      <c r="J2644" s="0" t="s">
        <v>2340</v>
      </c>
      <c r="K2644" s="272" t="n">
        <v>63166.43</v>
      </c>
    </row>
    <row r="2645" customFormat="false" ht="15" hidden="false" customHeight="false" outlineLevel="0" collapsed="false">
      <c r="A2645" s="0" t="s">
        <v>2041</v>
      </c>
      <c r="B2645" s="0" t="s">
        <v>2042</v>
      </c>
      <c r="C2645" s="0" t="s">
        <v>2339</v>
      </c>
      <c r="D2645" s="0" t="s">
        <v>2105</v>
      </c>
      <c r="E2645" s="0" t="s">
        <v>2045</v>
      </c>
      <c r="F2645" s="0" t="s">
        <v>2051</v>
      </c>
      <c r="G2645" s="0" t="s">
        <v>2123</v>
      </c>
      <c r="H2645" s="0" t="s">
        <v>2117</v>
      </c>
      <c r="J2645" s="0" t="s">
        <v>2340</v>
      </c>
      <c r="K2645" s="272" t="n">
        <v>20023.76</v>
      </c>
    </row>
    <row r="2646" customFormat="false" ht="15" hidden="false" customHeight="false" outlineLevel="0" collapsed="false">
      <c r="A2646" s="0" t="s">
        <v>2041</v>
      </c>
      <c r="B2646" s="0" t="s">
        <v>2042</v>
      </c>
      <c r="C2646" s="0" t="s">
        <v>2339</v>
      </c>
      <c r="D2646" s="0" t="s">
        <v>2105</v>
      </c>
      <c r="E2646" s="0" t="s">
        <v>2045</v>
      </c>
      <c r="F2646" s="0" t="s">
        <v>2051</v>
      </c>
      <c r="G2646" s="0" t="s">
        <v>2123</v>
      </c>
      <c r="H2646" s="0" t="s">
        <v>2119</v>
      </c>
      <c r="J2646" s="0" t="s">
        <v>2340</v>
      </c>
      <c r="K2646" s="272" t="n">
        <v>3403.23</v>
      </c>
    </row>
    <row r="2647" customFormat="false" ht="15" hidden="false" customHeight="false" outlineLevel="0" collapsed="false">
      <c r="A2647" s="0" t="s">
        <v>2041</v>
      </c>
      <c r="B2647" s="0" t="s">
        <v>2042</v>
      </c>
      <c r="C2647" s="0" t="s">
        <v>2339</v>
      </c>
      <c r="D2647" s="0" t="s">
        <v>2105</v>
      </c>
      <c r="E2647" s="0" t="s">
        <v>2045</v>
      </c>
      <c r="F2647" s="0" t="s">
        <v>2051</v>
      </c>
      <c r="G2647" s="0" t="s">
        <v>2123</v>
      </c>
      <c r="H2647" s="0" t="s">
        <v>2120</v>
      </c>
      <c r="J2647" s="0" t="s">
        <v>2340</v>
      </c>
      <c r="K2647" s="272" t="n">
        <v>5104.85</v>
      </c>
    </row>
    <row r="2648" customFormat="false" ht="15" hidden="false" customHeight="false" outlineLevel="0" collapsed="false">
      <c r="A2648" s="0" t="s">
        <v>2041</v>
      </c>
      <c r="B2648" s="0" t="s">
        <v>2042</v>
      </c>
      <c r="C2648" s="0" t="s">
        <v>2339</v>
      </c>
      <c r="D2648" s="0" t="s">
        <v>2105</v>
      </c>
      <c r="E2648" s="0" t="s">
        <v>2045</v>
      </c>
      <c r="F2648" s="0" t="s">
        <v>2051</v>
      </c>
      <c r="G2648" s="0" t="s">
        <v>2123</v>
      </c>
      <c r="H2648" s="0" t="s">
        <v>2121</v>
      </c>
      <c r="J2648" s="0" t="s">
        <v>2340</v>
      </c>
      <c r="K2648" s="272" t="n">
        <v>8508.08</v>
      </c>
    </row>
    <row r="2649" customFormat="false" ht="15" hidden="false" customHeight="false" outlineLevel="0" collapsed="false">
      <c r="A2649" s="0" t="s">
        <v>2041</v>
      </c>
      <c r="B2649" s="0" t="s">
        <v>2042</v>
      </c>
      <c r="C2649" s="0" t="s">
        <v>2339</v>
      </c>
      <c r="D2649" s="0" t="s">
        <v>2105</v>
      </c>
      <c r="E2649" s="0" t="s">
        <v>2045</v>
      </c>
      <c r="F2649" s="0" t="s">
        <v>2051</v>
      </c>
      <c r="G2649" s="0" t="s">
        <v>2123</v>
      </c>
      <c r="H2649" s="0" t="s">
        <v>2122</v>
      </c>
      <c r="J2649" s="0" t="s">
        <v>2340</v>
      </c>
      <c r="K2649" s="272" t="n">
        <v>18322.15</v>
      </c>
    </row>
    <row r="2650" customFormat="false" ht="15" hidden="false" customHeight="false" outlineLevel="0" collapsed="false">
      <c r="A2650" s="0" t="s">
        <v>2041</v>
      </c>
      <c r="B2650" s="0" t="s">
        <v>2042</v>
      </c>
      <c r="C2650" s="0" t="s">
        <v>2339</v>
      </c>
      <c r="D2650" s="0" t="s">
        <v>2105</v>
      </c>
      <c r="E2650" s="0" t="s">
        <v>2045</v>
      </c>
      <c r="F2650" s="0" t="s">
        <v>2051</v>
      </c>
      <c r="G2650" s="0" t="s">
        <v>2123</v>
      </c>
      <c r="H2650" s="0" t="s">
        <v>2112</v>
      </c>
      <c r="J2650" s="0" t="s">
        <v>2340</v>
      </c>
      <c r="K2650" s="272" t="n">
        <v>23031.37</v>
      </c>
    </row>
    <row r="2651" customFormat="false" ht="15" hidden="false" customHeight="false" outlineLevel="0" collapsed="false">
      <c r="A2651" s="0" t="s">
        <v>2041</v>
      </c>
      <c r="B2651" s="0" t="s">
        <v>2042</v>
      </c>
      <c r="C2651" s="0" t="s">
        <v>2339</v>
      </c>
      <c r="D2651" s="0" t="s">
        <v>2105</v>
      </c>
      <c r="E2651" s="0" t="s">
        <v>2045</v>
      </c>
      <c r="F2651" s="0" t="s">
        <v>2051</v>
      </c>
      <c r="G2651" s="0" t="s">
        <v>2123</v>
      </c>
      <c r="H2651" s="0" t="s">
        <v>2113</v>
      </c>
      <c r="J2651" s="0" t="s">
        <v>2340</v>
      </c>
      <c r="K2651" s="272" t="n">
        <v>45943.64</v>
      </c>
    </row>
    <row r="2652" customFormat="false" ht="15" hidden="false" customHeight="false" outlineLevel="0" collapsed="false">
      <c r="A2652" s="0" t="s">
        <v>2041</v>
      </c>
      <c r="B2652" s="0" t="s">
        <v>2042</v>
      </c>
      <c r="C2652" s="0" t="s">
        <v>2339</v>
      </c>
      <c r="D2652" s="0" t="s">
        <v>2105</v>
      </c>
      <c r="E2652" s="0" t="s">
        <v>2045</v>
      </c>
      <c r="F2652" s="0" t="s">
        <v>2051</v>
      </c>
      <c r="G2652" s="0" t="s">
        <v>2123</v>
      </c>
      <c r="H2652" s="0" t="s">
        <v>2107</v>
      </c>
      <c r="J2652" s="0" t="s">
        <v>2340</v>
      </c>
      <c r="K2652" s="272" t="n">
        <v>61671.46</v>
      </c>
    </row>
    <row r="2653" customFormat="false" ht="15" hidden="false" customHeight="false" outlineLevel="0" collapsed="false">
      <c r="A2653" s="0" t="s">
        <v>2041</v>
      </c>
      <c r="B2653" s="0" t="s">
        <v>2042</v>
      </c>
      <c r="C2653" s="0" t="s">
        <v>2339</v>
      </c>
      <c r="D2653" s="0" t="s">
        <v>2105</v>
      </c>
      <c r="E2653" s="0" t="s">
        <v>2045</v>
      </c>
      <c r="F2653" s="0" t="s">
        <v>2046</v>
      </c>
      <c r="G2653" s="0" t="s">
        <v>2125</v>
      </c>
      <c r="H2653" s="0" t="s">
        <v>2128</v>
      </c>
      <c r="J2653" s="0" t="s">
        <v>2340</v>
      </c>
      <c r="K2653" s="272" t="n">
        <v>30835.73</v>
      </c>
    </row>
    <row r="2654" customFormat="false" ht="15" hidden="false" customHeight="false" outlineLevel="0" collapsed="false">
      <c r="A2654" s="0" t="s">
        <v>2041</v>
      </c>
      <c r="B2654" s="0" t="s">
        <v>2042</v>
      </c>
      <c r="C2654" s="0" t="s">
        <v>2339</v>
      </c>
      <c r="D2654" s="0" t="s">
        <v>2105</v>
      </c>
      <c r="E2654" s="0" t="s">
        <v>2045</v>
      </c>
      <c r="F2654" s="0" t="s">
        <v>2046</v>
      </c>
      <c r="G2654" s="0" t="s">
        <v>2125</v>
      </c>
      <c r="H2654" s="0" t="s">
        <v>2130</v>
      </c>
      <c r="J2654" s="0" t="s">
        <v>2340</v>
      </c>
      <c r="K2654" s="272" t="n">
        <v>130504.69</v>
      </c>
    </row>
    <row r="2655" customFormat="false" ht="15" hidden="false" customHeight="false" outlineLevel="0" collapsed="false">
      <c r="A2655" s="0" t="s">
        <v>2041</v>
      </c>
      <c r="B2655" s="0" t="s">
        <v>2042</v>
      </c>
      <c r="C2655" s="0" t="s">
        <v>2339</v>
      </c>
      <c r="D2655" s="0" t="s">
        <v>2105</v>
      </c>
      <c r="E2655" s="0" t="s">
        <v>2045</v>
      </c>
      <c r="F2655" s="0" t="s">
        <v>2046</v>
      </c>
      <c r="G2655" s="0" t="s">
        <v>2125</v>
      </c>
      <c r="H2655" s="0" t="s">
        <v>2144</v>
      </c>
      <c r="J2655" s="0" t="s">
        <v>2340</v>
      </c>
      <c r="K2655" s="272" t="n">
        <v>8767.48</v>
      </c>
    </row>
    <row r="2656" customFormat="false" ht="15" hidden="false" customHeight="false" outlineLevel="0" collapsed="false">
      <c r="A2656" s="0" t="s">
        <v>2041</v>
      </c>
      <c r="B2656" s="0" t="s">
        <v>2042</v>
      </c>
      <c r="C2656" s="0" t="s">
        <v>2339</v>
      </c>
      <c r="D2656" s="0" t="s">
        <v>2105</v>
      </c>
      <c r="E2656" s="0" t="s">
        <v>2045</v>
      </c>
      <c r="F2656" s="0" t="s">
        <v>2046</v>
      </c>
      <c r="G2656" s="0" t="s">
        <v>2125</v>
      </c>
      <c r="H2656" s="0" t="s">
        <v>2136</v>
      </c>
      <c r="J2656" s="0" t="s">
        <v>2340</v>
      </c>
      <c r="K2656" s="272" t="n">
        <v>30835.73</v>
      </c>
    </row>
    <row r="2657" customFormat="false" ht="15" hidden="false" customHeight="false" outlineLevel="0" collapsed="false">
      <c r="A2657" s="0" t="s">
        <v>2041</v>
      </c>
      <c r="B2657" s="0" t="s">
        <v>2042</v>
      </c>
      <c r="C2657" s="0" t="s">
        <v>2339</v>
      </c>
      <c r="D2657" s="0" t="s">
        <v>2105</v>
      </c>
      <c r="E2657" s="0" t="s">
        <v>2045</v>
      </c>
      <c r="F2657" s="0" t="s">
        <v>2046</v>
      </c>
      <c r="G2657" s="0" t="s">
        <v>2125</v>
      </c>
      <c r="H2657" s="0" t="s">
        <v>2138</v>
      </c>
      <c r="J2657" s="0" t="s">
        <v>2340</v>
      </c>
      <c r="K2657" s="272" t="n">
        <v>17016.16</v>
      </c>
    </row>
    <row r="2658" customFormat="false" ht="15" hidden="false" customHeight="false" outlineLevel="0" collapsed="false">
      <c r="A2658" s="0" t="s">
        <v>2041</v>
      </c>
      <c r="B2658" s="0" t="s">
        <v>2042</v>
      </c>
      <c r="C2658" s="0" t="s">
        <v>2339</v>
      </c>
      <c r="D2658" s="0" t="s">
        <v>2105</v>
      </c>
      <c r="E2658" s="0" t="s">
        <v>2045</v>
      </c>
      <c r="F2658" s="0" t="s">
        <v>2046</v>
      </c>
      <c r="G2658" s="0" t="s">
        <v>2125</v>
      </c>
      <c r="H2658" s="0" t="s">
        <v>2140</v>
      </c>
      <c r="J2658" s="0" t="s">
        <v>2340</v>
      </c>
      <c r="K2658" s="272" t="n">
        <v>17016.16</v>
      </c>
    </row>
    <row r="2659" customFormat="false" ht="15" hidden="false" customHeight="false" outlineLevel="0" collapsed="false">
      <c r="A2659" s="0" t="s">
        <v>2041</v>
      </c>
      <c r="B2659" s="0" t="s">
        <v>2042</v>
      </c>
      <c r="C2659" s="0" t="s">
        <v>2339</v>
      </c>
      <c r="D2659" s="0" t="s">
        <v>2105</v>
      </c>
      <c r="E2659" s="0" t="s">
        <v>2045</v>
      </c>
      <c r="F2659" s="0" t="s">
        <v>2046</v>
      </c>
      <c r="G2659" s="0" t="s">
        <v>2125</v>
      </c>
      <c r="H2659" s="0" t="s">
        <v>2149</v>
      </c>
      <c r="J2659" s="0" t="s">
        <v>2340</v>
      </c>
      <c r="K2659" s="272" t="n">
        <v>30835.73</v>
      </c>
    </row>
    <row r="2660" customFormat="false" ht="15" hidden="false" customHeight="false" outlineLevel="0" collapsed="false">
      <c r="A2660" s="0" t="s">
        <v>2041</v>
      </c>
      <c r="B2660" s="0" t="s">
        <v>2042</v>
      </c>
      <c r="C2660" s="0" t="s">
        <v>2339</v>
      </c>
      <c r="D2660" s="0" t="s">
        <v>2105</v>
      </c>
      <c r="E2660" s="0" t="s">
        <v>2045</v>
      </c>
      <c r="F2660" s="0" t="s">
        <v>2046</v>
      </c>
      <c r="G2660" s="0" t="s">
        <v>2125</v>
      </c>
      <c r="H2660" s="0" t="s">
        <v>2126</v>
      </c>
      <c r="J2660" s="0" t="s">
        <v>2340</v>
      </c>
      <c r="K2660" s="272" t="n">
        <v>402200.11</v>
      </c>
    </row>
    <row r="2661" customFormat="false" ht="15" hidden="false" customHeight="false" outlineLevel="0" collapsed="false">
      <c r="A2661" s="0" t="s">
        <v>2041</v>
      </c>
      <c r="B2661" s="0" t="s">
        <v>2042</v>
      </c>
      <c r="C2661" s="0" t="s">
        <v>2339</v>
      </c>
      <c r="D2661" s="0" t="s">
        <v>2105</v>
      </c>
      <c r="E2661" s="0" t="s">
        <v>2045</v>
      </c>
      <c r="F2661" s="0" t="s">
        <v>2046</v>
      </c>
      <c r="G2661" s="0" t="s">
        <v>2127</v>
      </c>
      <c r="H2661" s="0" t="s">
        <v>2128</v>
      </c>
      <c r="J2661" s="0" t="s">
        <v>2340</v>
      </c>
      <c r="K2661" s="272" t="n">
        <v>248536.12</v>
      </c>
    </row>
    <row r="2662" customFormat="false" ht="15" hidden="false" customHeight="false" outlineLevel="0" collapsed="false">
      <c r="A2662" s="0" t="s">
        <v>2041</v>
      </c>
      <c r="B2662" s="0" t="s">
        <v>2042</v>
      </c>
      <c r="C2662" s="0" t="s">
        <v>2339</v>
      </c>
      <c r="D2662" s="0" t="s">
        <v>2105</v>
      </c>
      <c r="E2662" s="0" t="s">
        <v>2045</v>
      </c>
      <c r="F2662" s="0" t="s">
        <v>2046</v>
      </c>
      <c r="G2662" s="0" t="s">
        <v>2127</v>
      </c>
      <c r="H2662" s="0" t="s">
        <v>2132</v>
      </c>
      <c r="J2662" s="0" t="s">
        <v>2340</v>
      </c>
      <c r="K2662" s="272" t="n">
        <v>8508.08</v>
      </c>
    </row>
    <row r="2663" customFormat="false" ht="15" hidden="false" customHeight="false" outlineLevel="0" collapsed="false">
      <c r="A2663" s="0" t="s">
        <v>2041</v>
      </c>
      <c r="B2663" s="0" t="s">
        <v>2042</v>
      </c>
      <c r="C2663" s="0" t="s">
        <v>2339</v>
      </c>
      <c r="D2663" s="0" t="s">
        <v>2105</v>
      </c>
      <c r="E2663" s="0" t="s">
        <v>2045</v>
      </c>
      <c r="F2663" s="0" t="s">
        <v>2046</v>
      </c>
      <c r="G2663" s="0" t="s">
        <v>2129</v>
      </c>
      <c r="H2663" s="0" t="s">
        <v>2130</v>
      </c>
      <c r="J2663" s="0" t="s">
        <v>2340</v>
      </c>
      <c r="K2663" s="272" t="n">
        <v>132932.7</v>
      </c>
    </row>
    <row r="2664" customFormat="false" ht="15" hidden="false" customHeight="false" outlineLevel="0" collapsed="false">
      <c r="A2664" s="0" t="s">
        <v>2041</v>
      </c>
      <c r="B2664" s="0" t="s">
        <v>2042</v>
      </c>
      <c r="C2664" s="0" t="s">
        <v>2339</v>
      </c>
      <c r="D2664" s="0" t="s">
        <v>2105</v>
      </c>
      <c r="E2664" s="0" t="s">
        <v>2045</v>
      </c>
      <c r="F2664" s="0" t="s">
        <v>2046</v>
      </c>
      <c r="G2664" s="0" t="s">
        <v>2131</v>
      </c>
      <c r="H2664" s="0" t="s">
        <v>2132</v>
      </c>
      <c r="J2664" s="0" t="s">
        <v>2340</v>
      </c>
      <c r="K2664" s="272" t="n">
        <v>157308.75</v>
      </c>
    </row>
    <row r="2665" customFormat="false" ht="15" hidden="false" customHeight="false" outlineLevel="0" collapsed="false">
      <c r="A2665" s="0" t="s">
        <v>2041</v>
      </c>
      <c r="B2665" s="0" t="s">
        <v>2042</v>
      </c>
      <c r="C2665" s="0" t="s">
        <v>2339</v>
      </c>
      <c r="D2665" s="0" t="s">
        <v>2105</v>
      </c>
      <c r="E2665" s="0" t="s">
        <v>2045</v>
      </c>
      <c r="F2665" s="0" t="s">
        <v>2046</v>
      </c>
      <c r="G2665" s="0" t="s">
        <v>2131</v>
      </c>
      <c r="H2665" s="0" t="s">
        <v>2126</v>
      </c>
      <c r="J2665" s="0" t="s">
        <v>2340</v>
      </c>
      <c r="K2665" s="272" t="n">
        <v>8508.09</v>
      </c>
    </row>
    <row r="2666" customFormat="false" ht="15" hidden="false" customHeight="false" outlineLevel="0" collapsed="false">
      <c r="A2666" s="0" t="s">
        <v>2041</v>
      </c>
      <c r="B2666" s="0" t="s">
        <v>2042</v>
      </c>
      <c r="C2666" s="0" t="s">
        <v>2339</v>
      </c>
      <c r="D2666" s="0" t="s">
        <v>2105</v>
      </c>
      <c r="E2666" s="0" t="s">
        <v>2045</v>
      </c>
      <c r="F2666" s="0" t="s">
        <v>2046</v>
      </c>
      <c r="G2666" s="0" t="s">
        <v>2133</v>
      </c>
      <c r="H2666" s="0" t="s">
        <v>2134</v>
      </c>
      <c r="J2666" s="0" t="s">
        <v>2340</v>
      </c>
      <c r="K2666" s="272" t="n">
        <v>198569.33</v>
      </c>
    </row>
    <row r="2667" customFormat="false" ht="15" hidden="false" customHeight="false" outlineLevel="0" collapsed="false">
      <c r="A2667" s="0" t="s">
        <v>2041</v>
      </c>
      <c r="B2667" s="0" t="s">
        <v>2042</v>
      </c>
      <c r="C2667" s="0" t="s">
        <v>2339</v>
      </c>
      <c r="D2667" s="0" t="s">
        <v>2105</v>
      </c>
      <c r="E2667" s="0" t="s">
        <v>2045</v>
      </c>
      <c r="F2667" s="0" t="s">
        <v>2046</v>
      </c>
      <c r="G2667" s="0" t="s">
        <v>2135</v>
      </c>
      <c r="H2667" s="0" t="s">
        <v>2136</v>
      </c>
      <c r="J2667" s="0" t="s">
        <v>2340</v>
      </c>
      <c r="K2667" s="272" t="n">
        <v>152324.93</v>
      </c>
    </row>
    <row r="2668" customFormat="false" ht="15" hidden="false" customHeight="false" outlineLevel="0" collapsed="false">
      <c r="A2668" s="0" t="s">
        <v>2041</v>
      </c>
      <c r="B2668" s="0" t="s">
        <v>2042</v>
      </c>
      <c r="C2668" s="0" t="s">
        <v>2339</v>
      </c>
      <c r="D2668" s="0" t="s">
        <v>2105</v>
      </c>
      <c r="E2668" s="0" t="s">
        <v>2045</v>
      </c>
      <c r="F2668" s="0" t="s">
        <v>2046</v>
      </c>
      <c r="G2668" s="0" t="s">
        <v>2137</v>
      </c>
      <c r="H2668" s="0" t="s">
        <v>2138</v>
      </c>
      <c r="J2668" s="0" t="s">
        <v>2340</v>
      </c>
      <c r="K2668" s="272" t="n">
        <v>236062.86</v>
      </c>
    </row>
    <row r="2669" customFormat="false" ht="15" hidden="false" customHeight="false" outlineLevel="0" collapsed="false">
      <c r="A2669" s="0" t="s">
        <v>2041</v>
      </c>
      <c r="B2669" s="0" t="s">
        <v>2042</v>
      </c>
      <c r="C2669" s="0" t="s">
        <v>2339</v>
      </c>
      <c r="D2669" s="0" t="s">
        <v>2105</v>
      </c>
      <c r="E2669" s="0" t="s">
        <v>2045</v>
      </c>
      <c r="F2669" s="0" t="s">
        <v>2046</v>
      </c>
      <c r="G2669" s="0" t="s">
        <v>2139</v>
      </c>
      <c r="H2669" s="0" t="s">
        <v>2136</v>
      </c>
      <c r="J2669" s="0" t="s">
        <v>2340</v>
      </c>
      <c r="K2669" s="272" t="n">
        <v>8508.08</v>
      </c>
    </row>
    <row r="2670" customFormat="false" ht="15" hidden="false" customHeight="false" outlineLevel="0" collapsed="false">
      <c r="A2670" s="0" t="s">
        <v>2041</v>
      </c>
      <c r="B2670" s="0" t="s">
        <v>2042</v>
      </c>
      <c r="C2670" s="0" t="s">
        <v>2339</v>
      </c>
      <c r="D2670" s="0" t="s">
        <v>2105</v>
      </c>
      <c r="E2670" s="0" t="s">
        <v>2045</v>
      </c>
      <c r="F2670" s="0" t="s">
        <v>2046</v>
      </c>
      <c r="G2670" s="0" t="s">
        <v>2139</v>
      </c>
      <c r="H2670" s="0" t="s">
        <v>2140</v>
      </c>
      <c r="J2670" s="0" t="s">
        <v>2340</v>
      </c>
      <c r="K2670" s="272" t="n">
        <v>56359.97</v>
      </c>
    </row>
    <row r="2671" customFormat="false" ht="15" hidden="false" customHeight="false" outlineLevel="0" collapsed="false">
      <c r="A2671" s="0" t="s">
        <v>2041</v>
      </c>
      <c r="B2671" s="0" t="s">
        <v>2042</v>
      </c>
      <c r="C2671" s="0" t="s">
        <v>2339</v>
      </c>
      <c r="D2671" s="0" t="s">
        <v>2105</v>
      </c>
      <c r="E2671" s="0" t="s">
        <v>2045</v>
      </c>
      <c r="F2671" s="0" t="s">
        <v>2046</v>
      </c>
      <c r="G2671" s="0" t="s">
        <v>2141</v>
      </c>
      <c r="H2671" s="0" t="s">
        <v>2144</v>
      </c>
      <c r="J2671" s="0" t="s">
        <v>2340</v>
      </c>
      <c r="K2671" s="272" t="n">
        <v>15417.86</v>
      </c>
    </row>
    <row r="2672" customFormat="false" ht="15" hidden="false" customHeight="false" outlineLevel="0" collapsed="false">
      <c r="A2672" s="0" t="s">
        <v>2041</v>
      </c>
      <c r="B2672" s="0" t="s">
        <v>2042</v>
      </c>
      <c r="C2672" s="0" t="s">
        <v>2339</v>
      </c>
      <c r="D2672" s="0" t="s">
        <v>2105</v>
      </c>
      <c r="E2672" s="0" t="s">
        <v>2045</v>
      </c>
      <c r="F2672" s="0" t="s">
        <v>2046</v>
      </c>
      <c r="G2672" s="0" t="s">
        <v>2141</v>
      </c>
      <c r="H2672" s="0" t="s">
        <v>2142</v>
      </c>
      <c r="J2672" s="0" t="s">
        <v>2340</v>
      </c>
      <c r="K2672" s="272" t="n">
        <v>158973.54</v>
      </c>
    </row>
    <row r="2673" customFormat="false" ht="15" hidden="false" customHeight="false" outlineLevel="0" collapsed="false">
      <c r="A2673" s="0" t="s">
        <v>2041</v>
      </c>
      <c r="B2673" s="0" t="s">
        <v>2042</v>
      </c>
      <c r="C2673" s="0" t="s">
        <v>2339</v>
      </c>
      <c r="D2673" s="0" t="s">
        <v>2105</v>
      </c>
      <c r="E2673" s="0" t="s">
        <v>2045</v>
      </c>
      <c r="F2673" s="0" t="s">
        <v>2046</v>
      </c>
      <c r="G2673" s="0" t="s">
        <v>2143</v>
      </c>
      <c r="H2673" s="0" t="s">
        <v>2144</v>
      </c>
      <c r="J2673" s="0" t="s">
        <v>2340</v>
      </c>
      <c r="K2673" s="272" t="n">
        <v>141957.37</v>
      </c>
    </row>
    <row r="2674" customFormat="false" ht="15" hidden="false" customHeight="false" outlineLevel="0" collapsed="false">
      <c r="A2674" s="0" t="s">
        <v>2041</v>
      </c>
      <c r="B2674" s="0" t="s">
        <v>2042</v>
      </c>
      <c r="C2674" s="0" t="s">
        <v>2339</v>
      </c>
      <c r="D2674" s="0" t="s">
        <v>2105</v>
      </c>
      <c r="E2674" s="0" t="s">
        <v>2045</v>
      </c>
      <c r="F2674" s="0" t="s">
        <v>2046</v>
      </c>
      <c r="G2674" s="0" t="s">
        <v>2143</v>
      </c>
      <c r="H2674" s="0" t="s">
        <v>2142</v>
      </c>
      <c r="J2674" s="0" t="s">
        <v>2340</v>
      </c>
      <c r="K2674" s="272" t="n">
        <v>15417.87</v>
      </c>
    </row>
    <row r="2675" customFormat="false" ht="15" hidden="false" customHeight="false" outlineLevel="0" collapsed="false">
      <c r="A2675" s="0" t="s">
        <v>2041</v>
      </c>
      <c r="B2675" s="0" t="s">
        <v>2042</v>
      </c>
      <c r="C2675" s="0" t="s">
        <v>2339</v>
      </c>
      <c r="D2675" s="0" t="s">
        <v>2105</v>
      </c>
      <c r="E2675" s="0" t="s">
        <v>2045</v>
      </c>
      <c r="F2675" s="0" t="s">
        <v>2046</v>
      </c>
      <c r="G2675" s="0" t="s">
        <v>2145</v>
      </c>
      <c r="H2675" s="0" t="s">
        <v>2146</v>
      </c>
      <c r="J2675" s="0" t="s">
        <v>2340</v>
      </c>
      <c r="K2675" s="272" t="n">
        <v>212388.9</v>
      </c>
    </row>
    <row r="2676" customFormat="false" ht="15" hidden="false" customHeight="false" outlineLevel="0" collapsed="false">
      <c r="A2676" s="0" t="s">
        <v>2041</v>
      </c>
      <c r="B2676" s="0" t="s">
        <v>2042</v>
      </c>
      <c r="C2676" s="0" t="s">
        <v>2339</v>
      </c>
      <c r="D2676" s="0" t="s">
        <v>2105</v>
      </c>
      <c r="E2676" s="0" t="s">
        <v>2045</v>
      </c>
      <c r="F2676" s="0" t="s">
        <v>2046</v>
      </c>
      <c r="G2676" s="0" t="s">
        <v>2147</v>
      </c>
      <c r="H2676" s="0" t="s">
        <v>2126</v>
      </c>
      <c r="J2676" s="0" t="s">
        <v>2340</v>
      </c>
      <c r="K2676" s="272" t="n">
        <v>362425.36</v>
      </c>
    </row>
    <row r="2677" customFormat="false" ht="15" hidden="false" customHeight="false" outlineLevel="0" collapsed="false">
      <c r="A2677" s="0" t="s">
        <v>2041</v>
      </c>
      <c r="B2677" s="0" t="s">
        <v>2042</v>
      </c>
      <c r="C2677" s="0" t="s">
        <v>2339</v>
      </c>
      <c r="D2677" s="0" t="s">
        <v>2105</v>
      </c>
      <c r="E2677" s="0" t="s">
        <v>2045</v>
      </c>
      <c r="F2677" s="0" t="s">
        <v>2046</v>
      </c>
      <c r="G2677" s="0" t="s">
        <v>2148</v>
      </c>
      <c r="H2677" s="0" t="s">
        <v>2149</v>
      </c>
      <c r="J2677" s="0" t="s">
        <v>2340</v>
      </c>
      <c r="K2677" s="272" t="n">
        <v>179167.65</v>
      </c>
    </row>
    <row r="2678" customFormat="false" ht="15" hidden="false" customHeight="false" outlineLevel="0" collapsed="false">
      <c r="A2678" s="0" t="s">
        <v>2041</v>
      </c>
      <c r="B2678" s="0" t="s">
        <v>2042</v>
      </c>
      <c r="C2678" s="0" t="s">
        <v>2339</v>
      </c>
      <c r="D2678" s="0" t="s">
        <v>2105</v>
      </c>
      <c r="E2678" s="0" t="s">
        <v>2045</v>
      </c>
      <c r="F2678" s="0" t="s">
        <v>2215</v>
      </c>
      <c r="G2678" s="0" t="s">
        <v>2216</v>
      </c>
      <c r="H2678" s="0" t="s">
        <v>2217</v>
      </c>
      <c r="J2678" s="0" t="s">
        <v>2340</v>
      </c>
      <c r="K2678" s="272" t="n">
        <v>1415004.12</v>
      </c>
    </row>
    <row r="2679" customFormat="false" ht="15" hidden="false" customHeight="false" outlineLevel="0" collapsed="false">
      <c r="A2679" s="0" t="s">
        <v>2041</v>
      </c>
      <c r="B2679" s="0" t="s">
        <v>2042</v>
      </c>
      <c r="C2679" s="0" t="s">
        <v>2339</v>
      </c>
      <c r="D2679" s="0" t="s">
        <v>2105</v>
      </c>
      <c r="E2679" s="0" t="s">
        <v>2045</v>
      </c>
      <c r="F2679" s="0" t="s">
        <v>2215</v>
      </c>
      <c r="G2679" s="0" t="s">
        <v>2218</v>
      </c>
      <c r="H2679" s="0" t="s">
        <v>2183</v>
      </c>
      <c r="J2679" s="0" t="s">
        <v>2340</v>
      </c>
      <c r="K2679" s="272" t="n">
        <v>151962.03</v>
      </c>
    </row>
    <row r="2680" customFormat="false" ht="15" hidden="false" customHeight="false" outlineLevel="0" collapsed="false">
      <c r="A2680" s="0" t="s">
        <v>2041</v>
      </c>
      <c r="B2680" s="0" t="s">
        <v>2042</v>
      </c>
      <c r="C2680" s="0" t="s">
        <v>2339</v>
      </c>
      <c r="D2680" s="0" t="s">
        <v>2105</v>
      </c>
      <c r="E2680" s="0" t="s">
        <v>2045</v>
      </c>
      <c r="F2680" s="0" t="s">
        <v>2215</v>
      </c>
      <c r="G2680" s="0" t="s">
        <v>2218</v>
      </c>
      <c r="H2680" s="0" t="s">
        <v>2185</v>
      </c>
      <c r="J2680" s="0" t="s">
        <v>2340</v>
      </c>
      <c r="K2680" s="272" t="n">
        <v>135521.6</v>
      </c>
    </row>
    <row r="2681" customFormat="false" ht="15" hidden="false" customHeight="false" outlineLevel="0" collapsed="false">
      <c r="A2681" s="0" t="s">
        <v>2041</v>
      </c>
      <c r="B2681" s="0" t="s">
        <v>2042</v>
      </c>
      <c r="C2681" s="0" t="s">
        <v>2339</v>
      </c>
      <c r="D2681" s="0" t="s">
        <v>2105</v>
      </c>
      <c r="E2681" s="0" t="s">
        <v>2045</v>
      </c>
      <c r="F2681" s="0" t="s">
        <v>2215</v>
      </c>
      <c r="G2681" s="0" t="s">
        <v>2218</v>
      </c>
      <c r="H2681" s="0" t="s">
        <v>2186</v>
      </c>
      <c r="J2681" s="0" t="s">
        <v>2340</v>
      </c>
      <c r="K2681" s="272" t="n">
        <v>5615.33</v>
      </c>
    </row>
    <row r="2682" customFormat="false" ht="15" hidden="false" customHeight="false" outlineLevel="0" collapsed="false">
      <c r="A2682" s="0" t="s">
        <v>2041</v>
      </c>
      <c r="B2682" s="0" t="s">
        <v>2042</v>
      </c>
      <c r="C2682" s="0" t="s">
        <v>2339</v>
      </c>
      <c r="D2682" s="0" t="s">
        <v>2105</v>
      </c>
      <c r="E2682" s="0" t="s">
        <v>2045</v>
      </c>
      <c r="F2682" s="0" t="s">
        <v>2215</v>
      </c>
      <c r="G2682" s="0" t="s">
        <v>2218</v>
      </c>
      <c r="H2682" s="0" t="s">
        <v>2179</v>
      </c>
      <c r="J2682" s="0" t="s">
        <v>2340</v>
      </c>
      <c r="K2682" s="272" t="n">
        <v>116685.12</v>
      </c>
    </row>
    <row r="2683" customFormat="false" ht="15" hidden="false" customHeight="false" outlineLevel="0" collapsed="false">
      <c r="A2683" s="0" t="s">
        <v>2041</v>
      </c>
      <c r="B2683" s="0" t="s">
        <v>2042</v>
      </c>
      <c r="C2683" s="0" t="s">
        <v>2339</v>
      </c>
      <c r="D2683" s="0" t="s">
        <v>2105</v>
      </c>
      <c r="E2683" s="0" t="s">
        <v>2045</v>
      </c>
      <c r="F2683" s="0" t="s">
        <v>2215</v>
      </c>
      <c r="G2683" s="0" t="s">
        <v>2218</v>
      </c>
      <c r="H2683" s="0" t="s">
        <v>2217</v>
      </c>
      <c r="J2683" s="0" t="s">
        <v>2340</v>
      </c>
      <c r="K2683" s="272" t="n">
        <v>17016.16</v>
      </c>
    </row>
    <row r="2684" customFormat="false" ht="15" hidden="false" customHeight="false" outlineLevel="0" collapsed="false">
      <c r="A2684" s="0" t="s">
        <v>2041</v>
      </c>
      <c r="B2684" s="0" t="s">
        <v>2042</v>
      </c>
      <c r="C2684" s="0" t="s">
        <v>2339</v>
      </c>
      <c r="D2684" s="0" t="s">
        <v>2105</v>
      </c>
      <c r="E2684" s="0" t="s">
        <v>2045</v>
      </c>
      <c r="F2684" s="0" t="s">
        <v>2215</v>
      </c>
      <c r="G2684" s="0" t="s">
        <v>2218</v>
      </c>
      <c r="H2684" s="0" t="s">
        <v>2219</v>
      </c>
      <c r="J2684" s="0" t="s">
        <v>2340</v>
      </c>
      <c r="K2684" s="272" t="n">
        <v>216172.67</v>
      </c>
    </row>
    <row r="2685" customFormat="false" ht="15" hidden="false" customHeight="false" outlineLevel="0" collapsed="false">
      <c r="A2685" s="0" t="s">
        <v>2041</v>
      </c>
      <c r="B2685" s="0" t="s">
        <v>2042</v>
      </c>
      <c r="C2685" s="0" t="s">
        <v>2339</v>
      </c>
      <c r="D2685" s="0" t="s">
        <v>2105</v>
      </c>
      <c r="E2685" s="0" t="s">
        <v>2045</v>
      </c>
      <c r="F2685" s="0" t="s">
        <v>2215</v>
      </c>
      <c r="G2685" s="0" t="s">
        <v>2218</v>
      </c>
      <c r="H2685" s="0" t="s">
        <v>2220</v>
      </c>
      <c r="J2685" s="0" t="s">
        <v>2340</v>
      </c>
      <c r="K2685" s="272" t="n">
        <v>381270.53</v>
      </c>
    </row>
    <row r="2686" customFormat="false" ht="15" hidden="false" customHeight="false" outlineLevel="0" collapsed="false">
      <c r="A2686" s="0" t="s">
        <v>2041</v>
      </c>
      <c r="B2686" s="0" t="s">
        <v>2042</v>
      </c>
      <c r="C2686" s="0" t="s">
        <v>2339</v>
      </c>
      <c r="D2686" s="0" t="s">
        <v>2105</v>
      </c>
      <c r="E2686" s="0" t="s">
        <v>2045</v>
      </c>
      <c r="F2686" s="0" t="s">
        <v>2215</v>
      </c>
      <c r="G2686" s="0" t="s">
        <v>2218</v>
      </c>
      <c r="H2686" s="0" t="s">
        <v>2221</v>
      </c>
      <c r="J2686" s="0" t="s">
        <v>2340</v>
      </c>
      <c r="K2686" s="272" t="n">
        <v>350795.27</v>
      </c>
    </row>
    <row r="2687" customFormat="false" ht="15" hidden="false" customHeight="false" outlineLevel="0" collapsed="false">
      <c r="A2687" s="0" t="s">
        <v>2041</v>
      </c>
      <c r="B2687" s="0" t="s">
        <v>2042</v>
      </c>
      <c r="C2687" s="0" t="s">
        <v>2339</v>
      </c>
      <c r="D2687" s="0" t="s">
        <v>2105</v>
      </c>
      <c r="E2687" s="0" t="s">
        <v>2045</v>
      </c>
      <c r="F2687" s="0" t="s">
        <v>2215</v>
      </c>
      <c r="G2687" s="0" t="s">
        <v>2218</v>
      </c>
      <c r="H2687" s="0" t="s">
        <v>2222</v>
      </c>
      <c r="J2687" s="0" t="s">
        <v>2340</v>
      </c>
      <c r="K2687" s="272" t="n">
        <v>68168.84</v>
      </c>
    </row>
    <row r="2688" customFormat="false" ht="15" hidden="false" customHeight="false" outlineLevel="0" collapsed="false">
      <c r="A2688" s="0" t="s">
        <v>2041</v>
      </c>
      <c r="B2688" s="0" t="s">
        <v>2042</v>
      </c>
      <c r="C2688" s="0" t="s">
        <v>2339</v>
      </c>
      <c r="D2688" s="0" t="s">
        <v>2105</v>
      </c>
      <c r="E2688" s="0" t="s">
        <v>2045</v>
      </c>
      <c r="F2688" s="0" t="s">
        <v>2215</v>
      </c>
      <c r="G2688" s="0" t="s">
        <v>2223</v>
      </c>
      <c r="H2688" s="0" t="s">
        <v>2189</v>
      </c>
      <c r="J2688" s="0" t="s">
        <v>2340</v>
      </c>
      <c r="K2688" s="272" t="n">
        <v>17016.16</v>
      </c>
    </row>
    <row r="2689" customFormat="false" ht="15" hidden="false" customHeight="false" outlineLevel="0" collapsed="false">
      <c r="A2689" s="0" t="s">
        <v>2041</v>
      </c>
      <c r="B2689" s="0" t="s">
        <v>2042</v>
      </c>
      <c r="C2689" s="0" t="s">
        <v>2339</v>
      </c>
      <c r="D2689" s="0" t="s">
        <v>2105</v>
      </c>
      <c r="E2689" s="0" t="s">
        <v>2045</v>
      </c>
      <c r="F2689" s="0" t="s">
        <v>2215</v>
      </c>
      <c r="G2689" s="0" t="s">
        <v>2223</v>
      </c>
      <c r="H2689" s="0" t="s">
        <v>2222</v>
      </c>
      <c r="J2689" s="0" t="s">
        <v>2340</v>
      </c>
      <c r="K2689" s="272" t="n">
        <v>93039.25</v>
      </c>
    </row>
    <row r="2690" customFormat="false" ht="15" hidden="false" customHeight="false" outlineLevel="0" collapsed="false">
      <c r="A2690" s="0" t="s">
        <v>2041</v>
      </c>
      <c r="B2690" s="0" t="s">
        <v>2042</v>
      </c>
      <c r="C2690" s="0" t="s">
        <v>2339</v>
      </c>
      <c r="D2690" s="0" t="s">
        <v>2105</v>
      </c>
      <c r="E2690" s="0" t="s">
        <v>2045</v>
      </c>
      <c r="F2690" s="0" t="s">
        <v>2215</v>
      </c>
      <c r="G2690" s="0" t="s">
        <v>2223</v>
      </c>
      <c r="H2690" s="0" t="s">
        <v>2224</v>
      </c>
      <c r="J2690" s="0" t="s">
        <v>2340</v>
      </c>
      <c r="K2690" s="272" t="n">
        <v>95703.78</v>
      </c>
    </row>
    <row r="2691" customFormat="false" ht="15" hidden="false" customHeight="false" outlineLevel="0" collapsed="false">
      <c r="A2691" s="0" t="s">
        <v>2041</v>
      </c>
      <c r="B2691" s="0" t="s">
        <v>2042</v>
      </c>
      <c r="C2691" s="0" t="s">
        <v>2339</v>
      </c>
      <c r="D2691" s="0" t="s">
        <v>2105</v>
      </c>
      <c r="E2691" s="0" t="s">
        <v>2045</v>
      </c>
      <c r="F2691" s="0" t="s">
        <v>2225</v>
      </c>
      <c r="G2691" s="0" t="s">
        <v>2226</v>
      </c>
      <c r="H2691" s="0" t="s">
        <v>2227</v>
      </c>
      <c r="J2691" s="0" t="s">
        <v>2340</v>
      </c>
      <c r="K2691" s="272" t="n">
        <v>116685.13</v>
      </c>
    </row>
    <row r="2692" customFormat="false" ht="15" hidden="false" customHeight="false" outlineLevel="0" collapsed="false">
      <c r="A2692" s="0" t="s">
        <v>2041</v>
      </c>
      <c r="B2692" s="0" t="s">
        <v>2042</v>
      </c>
      <c r="C2692" s="0" t="s">
        <v>2339</v>
      </c>
      <c r="D2692" s="0" t="s">
        <v>2105</v>
      </c>
      <c r="E2692" s="0" t="s">
        <v>2045</v>
      </c>
      <c r="F2692" s="0" t="s">
        <v>2225</v>
      </c>
      <c r="G2692" s="0" t="s">
        <v>2228</v>
      </c>
      <c r="H2692" s="0" t="s">
        <v>2227</v>
      </c>
      <c r="J2692" s="0" t="s">
        <v>2340</v>
      </c>
      <c r="K2692" s="272" t="n">
        <v>449468.58</v>
      </c>
    </row>
    <row r="2693" customFormat="false" ht="15" hidden="false" customHeight="false" outlineLevel="0" collapsed="false">
      <c r="A2693" s="0" t="s">
        <v>2041</v>
      </c>
      <c r="B2693" s="0" t="s">
        <v>2042</v>
      </c>
      <c r="C2693" s="0" t="s">
        <v>2339</v>
      </c>
      <c r="D2693" s="0" t="s">
        <v>2105</v>
      </c>
      <c r="E2693" s="0" t="s">
        <v>2045</v>
      </c>
      <c r="F2693" s="0" t="s">
        <v>2225</v>
      </c>
      <c r="G2693" s="0" t="s">
        <v>2229</v>
      </c>
      <c r="H2693" s="0" t="s">
        <v>2227</v>
      </c>
      <c r="J2693" s="0" t="s">
        <v>2340</v>
      </c>
      <c r="K2693" s="272" t="n">
        <v>499764.85</v>
      </c>
    </row>
    <row r="2694" customFormat="false" ht="15" hidden="false" customHeight="false" outlineLevel="0" collapsed="false">
      <c r="A2694" s="0" t="s">
        <v>2041</v>
      </c>
      <c r="B2694" s="0" t="s">
        <v>2042</v>
      </c>
      <c r="C2694" s="0" t="s">
        <v>2339</v>
      </c>
      <c r="D2694" s="0" t="s">
        <v>2105</v>
      </c>
      <c r="E2694" s="0" t="s">
        <v>2045</v>
      </c>
      <c r="F2694" s="0" t="s">
        <v>2225</v>
      </c>
      <c r="G2694" s="0" t="s">
        <v>2230</v>
      </c>
      <c r="H2694" s="0" t="s">
        <v>2227</v>
      </c>
      <c r="J2694" s="0" t="s">
        <v>2340</v>
      </c>
      <c r="K2694" s="272" t="n">
        <v>258672.73</v>
      </c>
    </row>
    <row r="2695" customFormat="false" ht="15" hidden="false" customHeight="false" outlineLevel="0" collapsed="false">
      <c r="A2695" s="0" t="s">
        <v>2041</v>
      </c>
      <c r="B2695" s="0" t="s">
        <v>2042</v>
      </c>
      <c r="C2695" s="0" t="s">
        <v>2339</v>
      </c>
      <c r="D2695" s="0" t="s">
        <v>2105</v>
      </c>
      <c r="E2695" s="0" t="s">
        <v>2045</v>
      </c>
      <c r="F2695" s="0" t="s">
        <v>2225</v>
      </c>
      <c r="G2695" s="0" t="s">
        <v>2231</v>
      </c>
      <c r="H2695" s="0" t="s">
        <v>2227</v>
      </c>
      <c r="J2695" s="0" t="s">
        <v>2340</v>
      </c>
      <c r="K2695" s="272" t="n">
        <v>400599.87</v>
      </c>
    </row>
    <row r="2696" customFormat="false" ht="15" hidden="false" customHeight="false" outlineLevel="0" collapsed="false">
      <c r="A2696" s="0" t="s">
        <v>2041</v>
      </c>
      <c r="B2696" s="0" t="s">
        <v>2042</v>
      </c>
      <c r="C2696" s="0" t="s">
        <v>2339</v>
      </c>
      <c r="D2696" s="0" t="s">
        <v>2105</v>
      </c>
      <c r="E2696" s="0" t="s">
        <v>2045</v>
      </c>
      <c r="F2696" s="0" t="s">
        <v>2099</v>
      </c>
      <c r="G2696" s="0" t="s">
        <v>2232</v>
      </c>
      <c r="H2696" s="0" t="s">
        <v>2100</v>
      </c>
      <c r="J2696" s="0" t="s">
        <v>2340</v>
      </c>
      <c r="K2696" s="272" t="n">
        <v>30835.73</v>
      </c>
    </row>
    <row r="2697" customFormat="false" ht="15" hidden="false" customHeight="false" outlineLevel="0" collapsed="false">
      <c r="A2697" s="0" t="s">
        <v>2041</v>
      </c>
      <c r="B2697" s="0" t="s">
        <v>2042</v>
      </c>
      <c r="C2697" s="0" t="s">
        <v>2339</v>
      </c>
      <c r="D2697" s="0" t="s">
        <v>2105</v>
      </c>
      <c r="E2697" s="0" t="s">
        <v>2045</v>
      </c>
      <c r="F2697" s="0" t="s">
        <v>2099</v>
      </c>
      <c r="G2697" s="0" t="s">
        <v>2232</v>
      </c>
      <c r="H2697" s="0" t="s">
        <v>2233</v>
      </c>
      <c r="J2697" s="0" t="s">
        <v>2340</v>
      </c>
      <c r="K2697" s="272" t="n">
        <v>17016.16</v>
      </c>
    </row>
    <row r="2698" customFormat="false" ht="15" hidden="false" customHeight="false" outlineLevel="0" collapsed="false">
      <c r="A2698" s="0" t="s">
        <v>2041</v>
      </c>
      <c r="B2698" s="0" t="s">
        <v>2042</v>
      </c>
      <c r="C2698" s="0" t="s">
        <v>2339</v>
      </c>
      <c r="D2698" s="0" t="s">
        <v>2105</v>
      </c>
      <c r="E2698" s="0" t="s">
        <v>2045</v>
      </c>
      <c r="F2698" s="0" t="s">
        <v>2099</v>
      </c>
      <c r="G2698" s="0" t="s">
        <v>2232</v>
      </c>
      <c r="H2698" s="0" t="s">
        <v>2234</v>
      </c>
      <c r="J2698" s="0" t="s">
        <v>2340</v>
      </c>
      <c r="K2698" s="272" t="n">
        <v>319732.48</v>
      </c>
    </row>
    <row r="2699" customFormat="false" ht="15" hidden="false" customHeight="false" outlineLevel="0" collapsed="false">
      <c r="A2699" s="0" t="s">
        <v>2041</v>
      </c>
      <c r="B2699" s="0" t="s">
        <v>2042</v>
      </c>
      <c r="C2699" s="0" t="s">
        <v>2339</v>
      </c>
      <c r="D2699" s="0" t="s">
        <v>2105</v>
      </c>
      <c r="E2699" s="0" t="s">
        <v>2045</v>
      </c>
      <c r="F2699" s="0" t="s">
        <v>2099</v>
      </c>
      <c r="G2699" s="0" t="s">
        <v>2232</v>
      </c>
      <c r="H2699" s="0" t="s">
        <v>2235</v>
      </c>
      <c r="J2699" s="0" t="s">
        <v>2340</v>
      </c>
      <c r="K2699" s="272" t="n">
        <v>174130.35</v>
      </c>
    </row>
    <row r="2700" customFormat="false" ht="15" hidden="false" customHeight="false" outlineLevel="0" collapsed="false">
      <c r="A2700" s="0" t="s">
        <v>2041</v>
      </c>
      <c r="B2700" s="0" t="s">
        <v>2042</v>
      </c>
      <c r="C2700" s="0" t="s">
        <v>2339</v>
      </c>
      <c r="D2700" s="0" t="s">
        <v>2105</v>
      </c>
      <c r="E2700" s="0" t="s">
        <v>2045</v>
      </c>
      <c r="F2700" s="0" t="s">
        <v>2099</v>
      </c>
      <c r="G2700" s="0" t="s">
        <v>2236</v>
      </c>
      <c r="H2700" s="0" t="s">
        <v>2233</v>
      </c>
      <c r="J2700" s="0" t="s">
        <v>2340</v>
      </c>
      <c r="K2700" s="272" t="n">
        <v>400011.19</v>
      </c>
    </row>
    <row r="2701" customFormat="false" ht="15" hidden="false" customHeight="false" outlineLevel="0" collapsed="false">
      <c r="A2701" s="0" t="s">
        <v>2041</v>
      </c>
      <c r="B2701" s="0" t="s">
        <v>2042</v>
      </c>
      <c r="C2701" s="0" t="s">
        <v>2339</v>
      </c>
      <c r="D2701" s="0" t="s">
        <v>2105</v>
      </c>
      <c r="E2701" s="0" t="s">
        <v>2045</v>
      </c>
      <c r="F2701" s="0" t="s">
        <v>2099</v>
      </c>
      <c r="G2701" s="0" t="s">
        <v>2236</v>
      </c>
      <c r="H2701" s="0" t="s">
        <v>2237</v>
      </c>
      <c r="J2701" s="0" t="s">
        <v>2340</v>
      </c>
      <c r="K2701" s="272" t="n">
        <v>17398.94</v>
      </c>
    </row>
    <row r="2702" customFormat="false" ht="15" hidden="false" customHeight="false" outlineLevel="0" collapsed="false">
      <c r="A2702" s="0" t="s">
        <v>2041</v>
      </c>
      <c r="B2702" s="0" t="s">
        <v>2042</v>
      </c>
      <c r="C2702" s="0" t="s">
        <v>2339</v>
      </c>
      <c r="D2702" s="0" t="s">
        <v>2105</v>
      </c>
      <c r="E2702" s="0" t="s">
        <v>2045</v>
      </c>
      <c r="F2702" s="0" t="s">
        <v>2099</v>
      </c>
      <c r="G2702" s="0" t="s">
        <v>2238</v>
      </c>
      <c r="H2702" s="0" t="s">
        <v>2239</v>
      </c>
      <c r="J2702" s="0" t="s">
        <v>2340</v>
      </c>
      <c r="K2702" s="272" t="n">
        <v>1147936.19</v>
      </c>
    </row>
    <row r="2703" customFormat="false" ht="15" hidden="false" customHeight="false" outlineLevel="0" collapsed="false">
      <c r="A2703" s="0" t="s">
        <v>2041</v>
      </c>
      <c r="B2703" s="0" t="s">
        <v>2042</v>
      </c>
      <c r="C2703" s="0" t="s">
        <v>2339</v>
      </c>
      <c r="D2703" s="0" t="s">
        <v>2105</v>
      </c>
      <c r="E2703" s="0" t="s">
        <v>2045</v>
      </c>
      <c r="F2703" s="0" t="s">
        <v>2099</v>
      </c>
      <c r="G2703" s="0" t="s">
        <v>2240</v>
      </c>
      <c r="H2703" s="0" t="s">
        <v>2100</v>
      </c>
      <c r="J2703" s="0" t="s">
        <v>2340</v>
      </c>
      <c r="K2703" s="272" t="n">
        <v>602633.25</v>
      </c>
    </row>
    <row r="2704" customFormat="false" ht="15" hidden="false" customHeight="false" outlineLevel="0" collapsed="false">
      <c r="A2704" s="0" t="s">
        <v>2041</v>
      </c>
      <c r="B2704" s="0" t="s">
        <v>2042</v>
      </c>
      <c r="C2704" s="0" t="s">
        <v>2339</v>
      </c>
      <c r="D2704" s="0" t="s">
        <v>2105</v>
      </c>
      <c r="E2704" s="0" t="s">
        <v>2045</v>
      </c>
      <c r="F2704" s="0" t="s">
        <v>2099</v>
      </c>
      <c r="G2704" s="0" t="s">
        <v>2240</v>
      </c>
      <c r="H2704" s="0" t="s">
        <v>2235</v>
      </c>
      <c r="J2704" s="0" t="s">
        <v>2340</v>
      </c>
      <c r="K2704" s="272" t="n">
        <v>17016.16</v>
      </c>
    </row>
    <row r="2705" customFormat="false" ht="15" hidden="false" customHeight="false" outlineLevel="0" collapsed="false">
      <c r="A2705" s="0" t="s">
        <v>2041</v>
      </c>
      <c r="B2705" s="0" t="s">
        <v>2042</v>
      </c>
      <c r="C2705" s="0" t="s">
        <v>2339</v>
      </c>
      <c r="D2705" s="0" t="s">
        <v>2105</v>
      </c>
      <c r="E2705" s="0" t="s">
        <v>2045</v>
      </c>
      <c r="F2705" s="0" t="s">
        <v>2099</v>
      </c>
      <c r="G2705" s="0" t="s">
        <v>2241</v>
      </c>
      <c r="H2705" s="0" t="s">
        <v>2242</v>
      </c>
      <c r="J2705" s="0" t="s">
        <v>2340</v>
      </c>
      <c r="K2705" s="272" t="n">
        <v>233120.45</v>
      </c>
    </row>
    <row r="2706" customFormat="false" ht="15" hidden="false" customHeight="false" outlineLevel="0" collapsed="false">
      <c r="A2706" s="0" t="s">
        <v>2041</v>
      </c>
      <c r="B2706" s="0" t="s">
        <v>2042</v>
      </c>
      <c r="C2706" s="0" t="s">
        <v>2339</v>
      </c>
      <c r="D2706" s="0" t="s">
        <v>2105</v>
      </c>
      <c r="E2706" s="0" t="s">
        <v>2045</v>
      </c>
      <c r="F2706" s="0" t="s">
        <v>2099</v>
      </c>
      <c r="G2706" s="0" t="s">
        <v>2243</v>
      </c>
      <c r="H2706" s="0" t="s">
        <v>2239</v>
      </c>
      <c r="J2706" s="0" t="s">
        <v>2340</v>
      </c>
      <c r="K2706" s="272" t="n">
        <v>14044.13</v>
      </c>
    </row>
    <row r="2707" customFormat="false" ht="15" hidden="false" customHeight="false" outlineLevel="0" collapsed="false">
      <c r="A2707" s="0" t="s">
        <v>2041</v>
      </c>
      <c r="B2707" s="0" t="s">
        <v>2042</v>
      </c>
      <c r="C2707" s="0" t="s">
        <v>2339</v>
      </c>
      <c r="D2707" s="0" t="s">
        <v>2105</v>
      </c>
      <c r="E2707" s="0" t="s">
        <v>2045</v>
      </c>
      <c r="F2707" s="0" t="s">
        <v>2099</v>
      </c>
      <c r="G2707" s="0" t="s">
        <v>2243</v>
      </c>
      <c r="H2707" s="0" t="s">
        <v>2244</v>
      </c>
      <c r="J2707" s="0" t="s">
        <v>2340</v>
      </c>
      <c r="K2707" s="272" t="n">
        <v>781034.09</v>
      </c>
    </row>
    <row r="2708" customFormat="false" ht="15" hidden="false" customHeight="false" outlineLevel="0" collapsed="false">
      <c r="A2708" s="0" t="s">
        <v>2041</v>
      </c>
      <c r="B2708" s="0" t="s">
        <v>2042</v>
      </c>
      <c r="C2708" s="0" t="s">
        <v>2339</v>
      </c>
      <c r="D2708" s="0" t="s">
        <v>2105</v>
      </c>
      <c r="E2708" s="0" t="s">
        <v>2045</v>
      </c>
      <c r="F2708" s="0" t="s">
        <v>2099</v>
      </c>
      <c r="G2708" s="0" t="s">
        <v>2243</v>
      </c>
      <c r="H2708" s="0" t="s">
        <v>2245</v>
      </c>
      <c r="J2708" s="0" t="s">
        <v>2340</v>
      </c>
      <c r="K2708" s="272" t="n">
        <v>225977.85</v>
      </c>
    </row>
    <row r="2709" customFormat="false" ht="15" hidden="false" customHeight="false" outlineLevel="0" collapsed="false">
      <c r="A2709" s="0" t="s">
        <v>2041</v>
      </c>
      <c r="B2709" s="0" t="s">
        <v>2042</v>
      </c>
      <c r="C2709" s="0" t="s">
        <v>2339</v>
      </c>
      <c r="D2709" s="0" t="s">
        <v>2105</v>
      </c>
      <c r="E2709" s="0" t="s">
        <v>2045</v>
      </c>
      <c r="F2709" s="0" t="s">
        <v>2099</v>
      </c>
      <c r="G2709" s="0" t="s">
        <v>2243</v>
      </c>
      <c r="H2709" s="0" t="s">
        <v>2247</v>
      </c>
      <c r="J2709" s="0" t="s">
        <v>2340</v>
      </c>
      <c r="K2709" s="272" t="n">
        <v>517000.72</v>
      </c>
    </row>
    <row r="2710" customFormat="false" ht="15" hidden="false" customHeight="false" outlineLevel="0" collapsed="false">
      <c r="A2710" s="0" t="s">
        <v>2041</v>
      </c>
      <c r="B2710" s="0" t="s">
        <v>2042</v>
      </c>
      <c r="C2710" s="0" t="s">
        <v>2339</v>
      </c>
      <c r="D2710" s="0" t="s">
        <v>2105</v>
      </c>
      <c r="E2710" s="0" t="s">
        <v>2045</v>
      </c>
      <c r="F2710" s="0" t="s">
        <v>2099</v>
      </c>
      <c r="G2710" s="0" t="s">
        <v>2248</v>
      </c>
      <c r="H2710" s="0" t="s">
        <v>2244</v>
      </c>
      <c r="J2710" s="0" t="s">
        <v>2340</v>
      </c>
      <c r="K2710" s="272" t="n">
        <v>17456.79</v>
      </c>
    </row>
    <row r="2711" customFormat="false" ht="15" hidden="false" customHeight="false" outlineLevel="0" collapsed="false">
      <c r="A2711" s="0" t="s">
        <v>2041</v>
      </c>
      <c r="B2711" s="0" t="s">
        <v>2042</v>
      </c>
      <c r="C2711" s="0" t="s">
        <v>2339</v>
      </c>
      <c r="D2711" s="0" t="s">
        <v>2105</v>
      </c>
      <c r="E2711" s="0" t="s">
        <v>2045</v>
      </c>
      <c r="F2711" s="0" t="s">
        <v>2099</v>
      </c>
      <c r="G2711" s="0" t="s">
        <v>2248</v>
      </c>
      <c r="H2711" s="0" t="s">
        <v>2245</v>
      </c>
      <c r="J2711" s="0" t="s">
        <v>2340</v>
      </c>
      <c r="K2711" s="272" t="n">
        <v>8767.48</v>
      </c>
    </row>
    <row r="2712" customFormat="false" ht="15" hidden="false" customHeight="false" outlineLevel="0" collapsed="false">
      <c r="A2712" s="0" t="s">
        <v>2041</v>
      </c>
      <c r="B2712" s="0" t="s">
        <v>2042</v>
      </c>
      <c r="C2712" s="0" t="s">
        <v>2339</v>
      </c>
      <c r="D2712" s="0" t="s">
        <v>2105</v>
      </c>
      <c r="E2712" s="0" t="s">
        <v>2045</v>
      </c>
      <c r="F2712" s="0" t="s">
        <v>2099</v>
      </c>
      <c r="G2712" s="0" t="s">
        <v>2249</v>
      </c>
      <c r="H2712" s="0" t="s">
        <v>2245</v>
      </c>
      <c r="J2712" s="0" t="s">
        <v>2340</v>
      </c>
      <c r="K2712" s="272" t="n">
        <v>111555.59</v>
      </c>
    </row>
    <row r="2713" customFormat="false" ht="15" hidden="false" customHeight="false" outlineLevel="0" collapsed="false">
      <c r="A2713" s="0" t="s">
        <v>2041</v>
      </c>
      <c r="B2713" s="0" t="s">
        <v>2042</v>
      </c>
      <c r="C2713" s="0" t="s">
        <v>2339</v>
      </c>
      <c r="D2713" s="0" t="s">
        <v>2105</v>
      </c>
      <c r="E2713" s="0" t="s">
        <v>2045</v>
      </c>
      <c r="F2713" s="0" t="s">
        <v>2250</v>
      </c>
      <c r="G2713" s="0" t="s">
        <v>2251</v>
      </c>
      <c r="H2713" s="0" t="s">
        <v>2252</v>
      </c>
      <c r="J2713" s="0" t="s">
        <v>2340</v>
      </c>
      <c r="K2713" s="272" t="n">
        <v>366060.09</v>
      </c>
    </row>
    <row r="2714" customFormat="false" ht="15" hidden="false" customHeight="false" outlineLevel="0" collapsed="false">
      <c r="A2714" s="0" t="s">
        <v>2041</v>
      </c>
      <c r="B2714" s="0" t="s">
        <v>2042</v>
      </c>
      <c r="C2714" s="0" t="s">
        <v>2339</v>
      </c>
      <c r="D2714" s="0" t="s">
        <v>2105</v>
      </c>
      <c r="E2714" s="0" t="s">
        <v>2045</v>
      </c>
      <c r="F2714" s="0" t="s">
        <v>2250</v>
      </c>
      <c r="G2714" s="0" t="s">
        <v>2251</v>
      </c>
      <c r="H2714" s="0" t="s">
        <v>2253</v>
      </c>
      <c r="J2714" s="0" t="s">
        <v>2340</v>
      </c>
      <c r="K2714" s="272" t="n">
        <v>1028370.21</v>
      </c>
    </row>
    <row r="2715" customFormat="false" ht="15" hidden="false" customHeight="false" outlineLevel="0" collapsed="false">
      <c r="A2715" s="0" t="s">
        <v>2041</v>
      </c>
      <c r="B2715" s="0" t="s">
        <v>2042</v>
      </c>
      <c r="C2715" s="0" t="s">
        <v>2339</v>
      </c>
      <c r="D2715" s="0" t="s">
        <v>2105</v>
      </c>
      <c r="E2715" s="0" t="s">
        <v>2045</v>
      </c>
      <c r="F2715" s="0" t="s">
        <v>2250</v>
      </c>
      <c r="G2715" s="0" t="s">
        <v>2251</v>
      </c>
      <c r="H2715" s="0" t="s">
        <v>2255</v>
      </c>
      <c r="J2715" s="0" t="s">
        <v>2340</v>
      </c>
      <c r="K2715" s="272" t="n">
        <v>195703.43</v>
      </c>
    </row>
    <row r="2716" customFormat="false" ht="15" hidden="false" customHeight="false" outlineLevel="0" collapsed="false">
      <c r="A2716" s="0" t="s">
        <v>2041</v>
      </c>
      <c r="B2716" s="0" t="s">
        <v>2042</v>
      </c>
      <c r="C2716" s="0" t="s">
        <v>2339</v>
      </c>
      <c r="D2716" s="0" t="s">
        <v>2105</v>
      </c>
      <c r="E2716" s="0" t="s">
        <v>2045</v>
      </c>
      <c r="F2716" s="0" t="s">
        <v>2256</v>
      </c>
      <c r="G2716" s="0" t="s">
        <v>2257</v>
      </c>
      <c r="H2716" s="0" t="s">
        <v>2179</v>
      </c>
      <c r="J2716" s="0" t="s">
        <v>2340</v>
      </c>
      <c r="K2716" s="272" t="n">
        <v>99668.96</v>
      </c>
    </row>
    <row r="2717" customFormat="false" ht="15" hidden="false" customHeight="false" outlineLevel="0" collapsed="false">
      <c r="A2717" s="0" t="s">
        <v>2041</v>
      </c>
      <c r="B2717" s="0" t="s">
        <v>2042</v>
      </c>
      <c r="C2717" s="0" t="s">
        <v>2339</v>
      </c>
      <c r="D2717" s="0" t="s">
        <v>2105</v>
      </c>
      <c r="E2717" s="0" t="s">
        <v>2045</v>
      </c>
      <c r="F2717" s="0" t="s">
        <v>2256</v>
      </c>
      <c r="G2717" s="0" t="s">
        <v>2257</v>
      </c>
      <c r="H2717" s="0" t="s">
        <v>2258</v>
      </c>
      <c r="J2717" s="0" t="s">
        <v>2340</v>
      </c>
      <c r="K2717" s="272" t="n">
        <v>64868.05</v>
      </c>
    </row>
    <row r="2718" customFormat="false" ht="15" hidden="false" customHeight="false" outlineLevel="0" collapsed="false">
      <c r="A2718" s="0" t="s">
        <v>2041</v>
      </c>
      <c r="B2718" s="0" t="s">
        <v>2042</v>
      </c>
      <c r="C2718" s="0" t="s">
        <v>2339</v>
      </c>
      <c r="D2718" s="0" t="s">
        <v>2105</v>
      </c>
      <c r="E2718" s="0" t="s">
        <v>2045</v>
      </c>
      <c r="F2718" s="0" t="s">
        <v>2256</v>
      </c>
      <c r="G2718" s="0" t="s">
        <v>2259</v>
      </c>
      <c r="H2718" s="0" t="s">
        <v>2258</v>
      </c>
      <c r="J2718" s="0" t="s">
        <v>2340</v>
      </c>
      <c r="K2718" s="272" t="n">
        <v>1766473.05</v>
      </c>
    </row>
    <row r="2719" customFormat="false" ht="15" hidden="false" customHeight="false" outlineLevel="0" collapsed="false">
      <c r="A2719" s="0" t="s">
        <v>2041</v>
      </c>
      <c r="B2719" s="0" t="s">
        <v>2042</v>
      </c>
      <c r="C2719" s="0" t="s">
        <v>2339</v>
      </c>
      <c r="D2719" s="0" t="s">
        <v>2105</v>
      </c>
      <c r="E2719" s="0" t="s">
        <v>2045</v>
      </c>
      <c r="F2719" s="0" t="s">
        <v>2256</v>
      </c>
      <c r="G2719" s="0" t="s">
        <v>2260</v>
      </c>
      <c r="H2719" s="0" t="s">
        <v>2261</v>
      </c>
      <c r="J2719" s="0" t="s">
        <v>2340</v>
      </c>
      <c r="K2719" s="272" t="n">
        <v>404414.82</v>
      </c>
    </row>
    <row r="2720" customFormat="false" ht="15" hidden="false" customHeight="false" outlineLevel="0" collapsed="false">
      <c r="A2720" s="0" t="s">
        <v>2041</v>
      </c>
      <c r="B2720" s="0" t="s">
        <v>2042</v>
      </c>
      <c r="C2720" s="0" t="s">
        <v>2339</v>
      </c>
      <c r="D2720" s="0" t="s">
        <v>2105</v>
      </c>
      <c r="E2720" s="0" t="s">
        <v>2045</v>
      </c>
      <c r="F2720" s="0" t="s">
        <v>2256</v>
      </c>
      <c r="G2720" s="0" t="s">
        <v>2262</v>
      </c>
      <c r="H2720" s="0" t="s">
        <v>2263</v>
      </c>
      <c r="J2720" s="0" t="s">
        <v>2340</v>
      </c>
      <c r="K2720" s="272" t="n">
        <v>40944.08</v>
      </c>
    </row>
    <row r="2721" customFormat="false" ht="15" hidden="false" customHeight="false" outlineLevel="0" collapsed="false">
      <c r="A2721" s="0" t="s">
        <v>2041</v>
      </c>
      <c r="B2721" s="0" t="s">
        <v>2042</v>
      </c>
      <c r="C2721" s="0" t="s">
        <v>2339</v>
      </c>
      <c r="D2721" s="0" t="s">
        <v>2105</v>
      </c>
      <c r="E2721" s="0" t="s">
        <v>2045</v>
      </c>
      <c r="F2721" s="0" t="s">
        <v>2256</v>
      </c>
      <c r="G2721" s="0" t="s">
        <v>2262</v>
      </c>
      <c r="H2721" s="0" t="s">
        <v>2264</v>
      </c>
      <c r="J2721" s="0" t="s">
        <v>2340</v>
      </c>
      <c r="K2721" s="272" t="n">
        <v>500074.7</v>
      </c>
    </row>
    <row r="2722" customFormat="false" ht="15" hidden="false" customHeight="false" outlineLevel="0" collapsed="false">
      <c r="A2722" s="0" t="s">
        <v>2041</v>
      </c>
      <c r="B2722" s="0" t="s">
        <v>2042</v>
      </c>
      <c r="C2722" s="0" t="s">
        <v>2339</v>
      </c>
      <c r="D2722" s="0" t="s">
        <v>2105</v>
      </c>
      <c r="E2722" s="0" t="s">
        <v>2045</v>
      </c>
      <c r="F2722" s="0" t="s">
        <v>2256</v>
      </c>
      <c r="G2722" s="0" t="s">
        <v>2262</v>
      </c>
      <c r="H2722" s="0" t="s">
        <v>2265</v>
      </c>
      <c r="J2722" s="0" t="s">
        <v>2340</v>
      </c>
      <c r="K2722" s="272" t="n">
        <v>86045.74</v>
      </c>
    </row>
    <row r="2723" customFormat="false" ht="15" hidden="false" customHeight="false" outlineLevel="0" collapsed="false">
      <c r="A2723" s="0" t="s">
        <v>2041</v>
      </c>
      <c r="B2723" s="0" t="s">
        <v>2042</v>
      </c>
      <c r="C2723" s="0" t="s">
        <v>2339</v>
      </c>
      <c r="D2723" s="0" t="s">
        <v>2105</v>
      </c>
      <c r="E2723" s="0" t="s">
        <v>2045</v>
      </c>
      <c r="F2723" s="0" t="s">
        <v>2256</v>
      </c>
      <c r="G2723" s="0" t="s">
        <v>2266</v>
      </c>
      <c r="H2723" s="0" t="s">
        <v>2267</v>
      </c>
      <c r="J2723" s="0" t="s">
        <v>2340</v>
      </c>
      <c r="K2723" s="272" t="n">
        <v>880904.18</v>
      </c>
    </row>
    <row r="2724" customFormat="false" ht="15" hidden="false" customHeight="false" outlineLevel="0" collapsed="false">
      <c r="A2724" s="0" t="s">
        <v>2041</v>
      </c>
      <c r="B2724" s="0" t="s">
        <v>2042</v>
      </c>
      <c r="C2724" s="0" t="s">
        <v>2339</v>
      </c>
      <c r="D2724" s="0" t="s">
        <v>2105</v>
      </c>
      <c r="E2724" s="0" t="s">
        <v>2045</v>
      </c>
      <c r="F2724" s="0" t="s">
        <v>2268</v>
      </c>
      <c r="G2724" s="0" t="s">
        <v>2269</v>
      </c>
      <c r="H2724" s="0" t="s">
        <v>2270</v>
      </c>
      <c r="J2724" s="0" t="s">
        <v>2340</v>
      </c>
      <c r="K2724" s="272" t="n">
        <v>386840.83</v>
      </c>
    </row>
    <row r="2725" customFormat="false" ht="15" hidden="false" customHeight="false" outlineLevel="0" collapsed="false">
      <c r="A2725" s="0" t="s">
        <v>2041</v>
      </c>
      <c r="B2725" s="0" t="s">
        <v>2042</v>
      </c>
      <c r="C2725" s="0" t="s">
        <v>2339</v>
      </c>
      <c r="D2725" s="0" t="s">
        <v>2105</v>
      </c>
      <c r="E2725" s="0" t="s">
        <v>2045</v>
      </c>
      <c r="F2725" s="0" t="s">
        <v>2150</v>
      </c>
      <c r="G2725" s="0" t="s">
        <v>2151</v>
      </c>
      <c r="H2725" s="0" t="s">
        <v>2271</v>
      </c>
      <c r="J2725" s="0" t="s">
        <v>2340</v>
      </c>
      <c r="K2725" s="272" t="n">
        <v>8813.34</v>
      </c>
    </row>
    <row r="2726" customFormat="false" ht="15" hidden="false" customHeight="false" outlineLevel="0" collapsed="false">
      <c r="A2726" s="0" t="s">
        <v>2041</v>
      </c>
      <c r="B2726" s="0" t="s">
        <v>2042</v>
      </c>
      <c r="C2726" s="0" t="s">
        <v>2339</v>
      </c>
      <c r="D2726" s="0" t="s">
        <v>2105</v>
      </c>
      <c r="E2726" s="0" t="s">
        <v>2045</v>
      </c>
      <c r="F2726" s="0" t="s">
        <v>2150</v>
      </c>
      <c r="G2726" s="0" t="s">
        <v>2151</v>
      </c>
      <c r="H2726" s="0" t="s">
        <v>2152</v>
      </c>
      <c r="J2726" s="0" t="s">
        <v>2340</v>
      </c>
      <c r="K2726" s="272" t="n">
        <v>890859.87</v>
      </c>
    </row>
    <row r="2727" customFormat="false" ht="15" hidden="false" customHeight="false" outlineLevel="0" collapsed="false">
      <c r="A2727" s="0" t="s">
        <v>2041</v>
      </c>
      <c r="B2727" s="0" t="s">
        <v>2042</v>
      </c>
      <c r="C2727" s="0" t="s">
        <v>2339</v>
      </c>
      <c r="D2727" s="0" t="s">
        <v>2105</v>
      </c>
      <c r="E2727" s="0" t="s">
        <v>2045</v>
      </c>
      <c r="F2727" s="0" t="s">
        <v>2150</v>
      </c>
      <c r="G2727" s="0" t="s">
        <v>2151</v>
      </c>
      <c r="H2727" s="0" t="s">
        <v>2273</v>
      </c>
      <c r="J2727" s="0" t="s">
        <v>2340</v>
      </c>
      <c r="K2727" s="272" t="n">
        <v>8813.34</v>
      </c>
    </row>
    <row r="2728" customFormat="false" ht="15" hidden="false" customHeight="false" outlineLevel="0" collapsed="false">
      <c r="A2728" s="0" t="s">
        <v>2041</v>
      </c>
      <c r="B2728" s="0" t="s">
        <v>2042</v>
      </c>
      <c r="C2728" s="0" t="s">
        <v>2339</v>
      </c>
      <c r="D2728" s="0" t="s">
        <v>2105</v>
      </c>
      <c r="E2728" s="0" t="s">
        <v>2045</v>
      </c>
      <c r="F2728" s="0" t="s">
        <v>2150</v>
      </c>
      <c r="G2728" s="0" t="s">
        <v>2151</v>
      </c>
      <c r="H2728" s="0" t="s">
        <v>2153</v>
      </c>
      <c r="J2728" s="0" t="s">
        <v>2340</v>
      </c>
      <c r="K2728" s="272" t="n">
        <v>280018.66</v>
      </c>
    </row>
    <row r="2729" customFormat="false" ht="15" hidden="false" customHeight="false" outlineLevel="0" collapsed="false">
      <c r="A2729" s="0" t="s">
        <v>2041</v>
      </c>
      <c r="B2729" s="0" t="s">
        <v>2042</v>
      </c>
      <c r="C2729" s="0" t="s">
        <v>2339</v>
      </c>
      <c r="D2729" s="0" t="s">
        <v>2105</v>
      </c>
      <c r="E2729" s="0" t="s">
        <v>2045</v>
      </c>
      <c r="F2729" s="0" t="s">
        <v>2150</v>
      </c>
      <c r="G2729" s="0" t="s">
        <v>2151</v>
      </c>
      <c r="H2729" s="0" t="s">
        <v>2154</v>
      </c>
      <c r="J2729" s="0" t="s">
        <v>2340</v>
      </c>
      <c r="K2729" s="272" t="n">
        <v>30835.73</v>
      </c>
    </row>
    <row r="2730" customFormat="false" ht="15" hidden="false" customHeight="false" outlineLevel="0" collapsed="false">
      <c r="A2730" s="0" t="s">
        <v>2041</v>
      </c>
      <c r="B2730" s="0" t="s">
        <v>2042</v>
      </c>
      <c r="C2730" s="0" t="s">
        <v>2339</v>
      </c>
      <c r="D2730" s="0" t="s">
        <v>2105</v>
      </c>
      <c r="E2730" s="0" t="s">
        <v>2045</v>
      </c>
      <c r="F2730" s="0" t="s">
        <v>2150</v>
      </c>
      <c r="G2730" s="0" t="s">
        <v>2155</v>
      </c>
      <c r="H2730" s="0" t="s">
        <v>2154</v>
      </c>
      <c r="J2730" s="0" t="s">
        <v>2340</v>
      </c>
      <c r="K2730" s="272" t="n">
        <v>323548.83</v>
      </c>
    </row>
    <row r="2731" customFormat="false" ht="15" hidden="false" customHeight="false" outlineLevel="0" collapsed="false">
      <c r="A2731" s="0" t="s">
        <v>2041</v>
      </c>
      <c r="B2731" s="0" t="s">
        <v>2042</v>
      </c>
      <c r="C2731" s="0" t="s">
        <v>2339</v>
      </c>
      <c r="D2731" s="0" t="s">
        <v>2105</v>
      </c>
      <c r="E2731" s="0" t="s">
        <v>2045</v>
      </c>
      <c r="F2731" s="0" t="s">
        <v>2150</v>
      </c>
      <c r="G2731" s="0" t="s">
        <v>2332</v>
      </c>
      <c r="H2731" s="0" t="s">
        <v>2152</v>
      </c>
      <c r="J2731" s="0" t="s">
        <v>2340</v>
      </c>
      <c r="K2731" s="272" t="n">
        <v>96425.56</v>
      </c>
    </row>
    <row r="2732" customFormat="false" ht="15" hidden="false" customHeight="false" outlineLevel="0" collapsed="false">
      <c r="A2732" s="0" t="s">
        <v>2041</v>
      </c>
      <c r="B2732" s="0" t="s">
        <v>2042</v>
      </c>
      <c r="C2732" s="0" t="s">
        <v>2339</v>
      </c>
      <c r="D2732" s="0" t="s">
        <v>2105</v>
      </c>
      <c r="E2732" s="0" t="s">
        <v>2274</v>
      </c>
      <c r="F2732" s="0" t="s">
        <v>2275</v>
      </c>
      <c r="G2732" s="0" t="s">
        <v>2276</v>
      </c>
      <c r="H2732" s="0" t="s">
        <v>2277</v>
      </c>
      <c r="J2732" s="0" t="s">
        <v>2340</v>
      </c>
      <c r="K2732" s="272" t="n">
        <v>271273.4</v>
      </c>
    </row>
    <row r="2733" customFormat="false" ht="15" hidden="false" customHeight="false" outlineLevel="0" collapsed="false">
      <c r="A2733" s="0" t="s">
        <v>2041</v>
      </c>
      <c r="B2733" s="0" t="s">
        <v>2042</v>
      </c>
      <c r="C2733" s="0" t="s">
        <v>2339</v>
      </c>
      <c r="D2733" s="0" t="s">
        <v>2334</v>
      </c>
      <c r="E2733" s="0" t="s">
        <v>2279</v>
      </c>
      <c r="F2733" s="0" t="s">
        <v>2280</v>
      </c>
      <c r="G2733" s="0" t="s">
        <v>2281</v>
      </c>
      <c r="H2733" s="0" t="s">
        <v>2287</v>
      </c>
      <c r="J2733" s="0" t="s">
        <v>2340</v>
      </c>
      <c r="K2733" s="272" t="n">
        <v>18063.64</v>
      </c>
    </row>
    <row r="2734" customFormat="false" ht="15" hidden="false" customHeight="false" outlineLevel="0" collapsed="false">
      <c r="A2734" s="0" t="s">
        <v>2041</v>
      </c>
      <c r="B2734" s="0" t="s">
        <v>2042</v>
      </c>
      <c r="C2734" s="0" t="s">
        <v>2339</v>
      </c>
      <c r="D2734" s="0" t="s">
        <v>2334</v>
      </c>
      <c r="E2734" s="0" t="s">
        <v>2279</v>
      </c>
      <c r="F2734" s="0" t="s">
        <v>2292</v>
      </c>
      <c r="G2734" s="0" t="s">
        <v>2293</v>
      </c>
      <c r="H2734" s="0" t="s">
        <v>2200</v>
      </c>
      <c r="J2734" s="0" t="s">
        <v>2340</v>
      </c>
      <c r="K2734" s="272" t="n">
        <v>11060.5</v>
      </c>
    </row>
    <row r="2735" customFormat="false" ht="15" hidden="false" customHeight="false" outlineLevel="0" collapsed="false">
      <c r="A2735" s="0" t="s">
        <v>2041</v>
      </c>
      <c r="B2735" s="0" t="s">
        <v>2042</v>
      </c>
      <c r="C2735" s="0" t="s">
        <v>2339</v>
      </c>
      <c r="D2735" s="0" t="s">
        <v>2334</v>
      </c>
      <c r="E2735" s="0" t="s">
        <v>2279</v>
      </c>
      <c r="F2735" s="0" t="s">
        <v>2292</v>
      </c>
      <c r="G2735" s="0" t="s">
        <v>2293</v>
      </c>
      <c r="H2735" s="0" t="s">
        <v>2202</v>
      </c>
      <c r="J2735" s="0" t="s">
        <v>2340</v>
      </c>
      <c r="K2735" s="272" t="n">
        <v>5955.66</v>
      </c>
    </row>
    <row r="2736" customFormat="false" ht="15" hidden="false" customHeight="false" outlineLevel="0" collapsed="false">
      <c r="A2736" s="0" t="s">
        <v>2041</v>
      </c>
      <c r="B2736" s="0" t="s">
        <v>2042</v>
      </c>
      <c r="C2736" s="0" t="s">
        <v>2339</v>
      </c>
      <c r="D2736" s="0" t="s">
        <v>2334</v>
      </c>
      <c r="E2736" s="0" t="s">
        <v>2279</v>
      </c>
      <c r="F2736" s="0" t="s">
        <v>2292</v>
      </c>
      <c r="G2736" s="0" t="s">
        <v>2293</v>
      </c>
      <c r="H2736" s="0" t="s">
        <v>2314</v>
      </c>
      <c r="J2736" s="0" t="s">
        <v>2340</v>
      </c>
      <c r="K2736" s="272" t="n">
        <v>30835.73</v>
      </c>
    </row>
    <row r="2737" customFormat="false" ht="15" hidden="false" customHeight="false" outlineLevel="0" collapsed="false">
      <c r="A2737" s="0" t="s">
        <v>2041</v>
      </c>
      <c r="B2737" s="0" t="s">
        <v>2042</v>
      </c>
      <c r="C2737" s="0" t="s">
        <v>2339</v>
      </c>
      <c r="D2737" s="0" t="s">
        <v>2334</v>
      </c>
      <c r="E2737" s="0" t="s">
        <v>2279</v>
      </c>
      <c r="F2737" s="0" t="s">
        <v>2292</v>
      </c>
      <c r="G2737" s="0" t="s">
        <v>2293</v>
      </c>
      <c r="H2737" s="0" t="s">
        <v>2318</v>
      </c>
      <c r="J2737" s="0" t="s">
        <v>2340</v>
      </c>
      <c r="K2737" s="272" t="n">
        <v>17016.16</v>
      </c>
    </row>
    <row r="2738" customFormat="false" ht="15" hidden="false" customHeight="false" outlineLevel="0" collapsed="false">
      <c r="A2738" s="0" t="s">
        <v>2041</v>
      </c>
      <c r="B2738" s="0" t="s">
        <v>2042</v>
      </c>
      <c r="C2738" s="0" t="s">
        <v>2339</v>
      </c>
      <c r="D2738" s="0" t="s">
        <v>2044</v>
      </c>
      <c r="E2738" s="0" t="s">
        <v>2045</v>
      </c>
      <c r="F2738" s="0" t="s">
        <v>2046</v>
      </c>
      <c r="G2738" s="0" t="s">
        <v>2047</v>
      </c>
      <c r="H2738" s="0" t="s">
        <v>2048</v>
      </c>
      <c r="J2738" s="0" t="s">
        <v>2340</v>
      </c>
      <c r="K2738" s="272" t="n">
        <v>4655.14</v>
      </c>
    </row>
    <row r="2739" customFormat="false" ht="15" hidden="false" customHeight="false" outlineLevel="0" collapsed="false">
      <c r="A2739" s="0" t="s">
        <v>2041</v>
      </c>
      <c r="B2739" s="0" t="s">
        <v>2042</v>
      </c>
      <c r="C2739" s="0" t="s">
        <v>2339</v>
      </c>
      <c r="D2739" s="0" t="s">
        <v>2044</v>
      </c>
      <c r="E2739" s="0" t="s">
        <v>2045</v>
      </c>
      <c r="F2739" s="0" t="s">
        <v>2051</v>
      </c>
      <c r="G2739" s="0" t="s">
        <v>2047</v>
      </c>
      <c r="H2739" s="0" t="s">
        <v>2052</v>
      </c>
      <c r="J2739" s="0" t="s">
        <v>2340</v>
      </c>
      <c r="K2739" s="272" t="n">
        <v>1163.79</v>
      </c>
    </row>
    <row r="2740" customFormat="false" ht="15" hidden="false" customHeight="false" outlineLevel="0" collapsed="false">
      <c r="A2740" s="0" t="s">
        <v>2041</v>
      </c>
      <c r="B2740" s="0" t="s">
        <v>2042</v>
      </c>
      <c r="C2740" s="0" t="s">
        <v>2339</v>
      </c>
      <c r="D2740" s="0" t="s">
        <v>2044</v>
      </c>
      <c r="E2740" s="0" t="s">
        <v>2045</v>
      </c>
      <c r="F2740" s="0" t="s">
        <v>2046</v>
      </c>
      <c r="G2740" s="0" t="s">
        <v>2053</v>
      </c>
      <c r="H2740" s="0" t="s">
        <v>2048</v>
      </c>
      <c r="J2740" s="0" t="s">
        <v>2340</v>
      </c>
      <c r="K2740" s="272" t="n">
        <v>17096.59</v>
      </c>
    </row>
    <row r="2741" customFormat="false" ht="15" hidden="false" customHeight="false" outlineLevel="0" collapsed="false">
      <c r="A2741" s="0" t="s">
        <v>2041</v>
      </c>
      <c r="B2741" s="0" t="s">
        <v>2042</v>
      </c>
      <c r="C2741" s="0" t="s">
        <v>2339</v>
      </c>
      <c r="D2741" s="0" t="s">
        <v>2044</v>
      </c>
      <c r="E2741" s="0" t="s">
        <v>2045</v>
      </c>
      <c r="F2741" s="0" t="s">
        <v>2051</v>
      </c>
      <c r="G2741" s="0" t="s">
        <v>2053</v>
      </c>
      <c r="H2741" s="0" t="s">
        <v>2052</v>
      </c>
      <c r="J2741" s="0" t="s">
        <v>2340</v>
      </c>
      <c r="K2741" s="272" t="n">
        <v>438.37</v>
      </c>
    </row>
    <row r="2742" customFormat="false" ht="15" hidden="false" customHeight="false" outlineLevel="0" collapsed="false">
      <c r="A2742" s="0" t="s">
        <v>2041</v>
      </c>
      <c r="B2742" s="0" t="s">
        <v>2042</v>
      </c>
      <c r="C2742" s="0" t="s">
        <v>2339</v>
      </c>
      <c r="D2742" s="0" t="s">
        <v>2044</v>
      </c>
      <c r="E2742" s="0" t="s">
        <v>2045</v>
      </c>
      <c r="F2742" s="0" t="s">
        <v>2046</v>
      </c>
      <c r="G2742" s="0" t="s">
        <v>2054</v>
      </c>
      <c r="H2742" s="0" t="s">
        <v>2048</v>
      </c>
      <c r="J2742" s="0" t="s">
        <v>2340</v>
      </c>
      <c r="K2742" s="272" t="n">
        <v>7452.36</v>
      </c>
    </row>
    <row r="2743" customFormat="false" ht="15" hidden="false" customHeight="false" outlineLevel="0" collapsed="false">
      <c r="A2743" s="0" t="s">
        <v>2041</v>
      </c>
      <c r="B2743" s="0" t="s">
        <v>2042</v>
      </c>
      <c r="C2743" s="0" t="s">
        <v>2339</v>
      </c>
      <c r="D2743" s="0" t="s">
        <v>2044</v>
      </c>
      <c r="E2743" s="0" t="s">
        <v>2045</v>
      </c>
      <c r="F2743" s="0" t="s">
        <v>2051</v>
      </c>
      <c r="G2743" s="0" t="s">
        <v>2054</v>
      </c>
      <c r="H2743" s="0" t="s">
        <v>2052</v>
      </c>
      <c r="J2743" s="0" t="s">
        <v>2340</v>
      </c>
      <c r="K2743" s="272" t="n">
        <v>1315.12</v>
      </c>
    </row>
    <row r="2744" customFormat="false" ht="15" hidden="false" customHeight="false" outlineLevel="0" collapsed="false">
      <c r="A2744" s="0" t="s">
        <v>2041</v>
      </c>
      <c r="B2744" s="0" t="s">
        <v>2042</v>
      </c>
      <c r="C2744" s="0" t="s">
        <v>2339</v>
      </c>
      <c r="D2744" s="0" t="s">
        <v>2044</v>
      </c>
      <c r="E2744" s="0" t="s">
        <v>2045</v>
      </c>
      <c r="F2744" s="0" t="s">
        <v>2046</v>
      </c>
      <c r="G2744" s="0" t="s">
        <v>2055</v>
      </c>
      <c r="H2744" s="0" t="s">
        <v>2048</v>
      </c>
      <c r="J2744" s="0" t="s">
        <v>2340</v>
      </c>
      <c r="K2744" s="272" t="n">
        <v>3646.6</v>
      </c>
    </row>
    <row r="2745" customFormat="false" ht="15" hidden="false" customHeight="false" outlineLevel="0" collapsed="false">
      <c r="A2745" s="0" t="s">
        <v>2041</v>
      </c>
      <c r="B2745" s="0" t="s">
        <v>2042</v>
      </c>
      <c r="C2745" s="0" t="s">
        <v>2339</v>
      </c>
      <c r="D2745" s="0" t="s">
        <v>2044</v>
      </c>
      <c r="E2745" s="0" t="s">
        <v>2045</v>
      </c>
      <c r="F2745" s="0" t="s">
        <v>2051</v>
      </c>
      <c r="G2745" s="0" t="s">
        <v>2055</v>
      </c>
      <c r="H2745" s="0" t="s">
        <v>2052</v>
      </c>
      <c r="J2745" s="0" t="s">
        <v>2340</v>
      </c>
      <c r="K2745" s="272" t="n">
        <v>10939.81</v>
      </c>
    </row>
    <row r="2746" customFormat="false" ht="15" hidden="false" customHeight="false" outlineLevel="0" collapsed="false">
      <c r="A2746" s="0" t="s">
        <v>2041</v>
      </c>
      <c r="B2746" s="0" t="s">
        <v>2042</v>
      </c>
      <c r="C2746" s="0" t="s">
        <v>2339</v>
      </c>
      <c r="D2746" s="0" t="s">
        <v>2044</v>
      </c>
      <c r="E2746" s="0" t="s">
        <v>2045</v>
      </c>
      <c r="F2746" s="0" t="s">
        <v>2046</v>
      </c>
      <c r="G2746" s="0" t="s">
        <v>2056</v>
      </c>
      <c r="H2746" s="0" t="s">
        <v>2048</v>
      </c>
      <c r="J2746" s="0" t="s">
        <v>2340</v>
      </c>
      <c r="K2746" s="272" t="n">
        <v>789.07</v>
      </c>
    </row>
    <row r="2747" customFormat="false" ht="15" hidden="false" customHeight="false" outlineLevel="0" collapsed="false">
      <c r="A2747" s="0" t="s">
        <v>2041</v>
      </c>
      <c r="B2747" s="0" t="s">
        <v>2042</v>
      </c>
      <c r="C2747" s="0" t="s">
        <v>2339</v>
      </c>
      <c r="D2747" s="0" t="s">
        <v>2044</v>
      </c>
      <c r="E2747" s="0" t="s">
        <v>2045</v>
      </c>
      <c r="F2747" s="0" t="s">
        <v>2051</v>
      </c>
      <c r="G2747" s="0" t="s">
        <v>2056</v>
      </c>
      <c r="H2747" s="0" t="s">
        <v>2052</v>
      </c>
      <c r="J2747" s="0" t="s">
        <v>2340</v>
      </c>
      <c r="K2747" s="272" t="n">
        <v>7978.41</v>
      </c>
    </row>
    <row r="2748" customFormat="false" ht="15" hidden="false" customHeight="false" outlineLevel="0" collapsed="false">
      <c r="A2748" s="0" t="s">
        <v>2041</v>
      </c>
      <c r="B2748" s="0" t="s">
        <v>2042</v>
      </c>
      <c r="C2748" s="0" t="s">
        <v>2339</v>
      </c>
      <c r="D2748" s="0" t="s">
        <v>2044</v>
      </c>
      <c r="E2748" s="0" t="s">
        <v>2045</v>
      </c>
      <c r="F2748" s="0" t="s">
        <v>2046</v>
      </c>
      <c r="G2748" s="0" t="s">
        <v>2057</v>
      </c>
      <c r="H2748" s="0" t="s">
        <v>2048</v>
      </c>
      <c r="J2748" s="0" t="s">
        <v>2340</v>
      </c>
      <c r="K2748" s="272" t="n">
        <v>7293.2</v>
      </c>
    </row>
    <row r="2749" customFormat="false" ht="15" hidden="false" customHeight="false" outlineLevel="0" collapsed="false">
      <c r="A2749" s="0" t="s">
        <v>2041</v>
      </c>
      <c r="B2749" s="0" t="s">
        <v>2042</v>
      </c>
      <c r="C2749" s="0" t="s">
        <v>2339</v>
      </c>
      <c r="D2749" s="0" t="s">
        <v>2044</v>
      </c>
      <c r="E2749" s="0" t="s">
        <v>2045</v>
      </c>
      <c r="F2749" s="0" t="s">
        <v>2051</v>
      </c>
      <c r="G2749" s="0" t="s">
        <v>2057</v>
      </c>
      <c r="H2749" s="0" t="s">
        <v>2052</v>
      </c>
      <c r="J2749" s="0" t="s">
        <v>2340</v>
      </c>
      <c r="K2749" s="272" t="n">
        <v>7293.21</v>
      </c>
    </row>
    <row r="2750" customFormat="false" ht="15" hidden="false" customHeight="false" outlineLevel="0" collapsed="false">
      <c r="A2750" s="0" t="s">
        <v>2041</v>
      </c>
      <c r="B2750" s="0" t="s">
        <v>2042</v>
      </c>
      <c r="C2750" s="0" t="s">
        <v>2339</v>
      </c>
      <c r="D2750" s="0" t="s">
        <v>2044</v>
      </c>
      <c r="E2750" s="0" t="s">
        <v>2045</v>
      </c>
      <c r="F2750" s="0" t="s">
        <v>2046</v>
      </c>
      <c r="G2750" s="0" t="s">
        <v>2058</v>
      </c>
      <c r="H2750" s="0" t="s">
        <v>2048</v>
      </c>
      <c r="J2750" s="0" t="s">
        <v>2340</v>
      </c>
      <c r="K2750" s="272" t="n">
        <v>7013.98</v>
      </c>
    </row>
    <row r="2751" customFormat="false" ht="15" hidden="false" customHeight="false" outlineLevel="0" collapsed="false">
      <c r="A2751" s="0" t="s">
        <v>2041</v>
      </c>
      <c r="B2751" s="0" t="s">
        <v>2042</v>
      </c>
      <c r="C2751" s="0" t="s">
        <v>2339</v>
      </c>
      <c r="D2751" s="0" t="s">
        <v>2044</v>
      </c>
      <c r="E2751" s="0" t="s">
        <v>2045</v>
      </c>
      <c r="F2751" s="0" t="s">
        <v>2051</v>
      </c>
      <c r="G2751" s="0" t="s">
        <v>2058</v>
      </c>
      <c r="H2751" s="0" t="s">
        <v>2052</v>
      </c>
      <c r="J2751" s="0" t="s">
        <v>2340</v>
      </c>
      <c r="K2751" s="272" t="n">
        <v>1753.5</v>
      </c>
    </row>
    <row r="2752" customFormat="false" ht="15" hidden="false" customHeight="false" outlineLevel="0" collapsed="false">
      <c r="A2752" s="0" t="s">
        <v>2041</v>
      </c>
      <c r="B2752" s="0" t="s">
        <v>2042</v>
      </c>
      <c r="C2752" s="0" t="s">
        <v>2339</v>
      </c>
      <c r="D2752" s="0" t="s">
        <v>2044</v>
      </c>
      <c r="E2752" s="0" t="s">
        <v>2045</v>
      </c>
      <c r="F2752" s="0" t="s">
        <v>2046</v>
      </c>
      <c r="G2752" s="0" t="s">
        <v>2059</v>
      </c>
      <c r="H2752" s="0" t="s">
        <v>2048</v>
      </c>
      <c r="J2752" s="0" t="s">
        <v>2340</v>
      </c>
      <c r="K2752" s="272" t="n">
        <v>89.31</v>
      </c>
    </row>
    <row r="2753" customFormat="false" ht="15" hidden="false" customHeight="false" outlineLevel="0" collapsed="false">
      <c r="A2753" s="0" t="s">
        <v>2041</v>
      </c>
      <c r="B2753" s="0" t="s">
        <v>2042</v>
      </c>
      <c r="C2753" s="0" t="s">
        <v>2339</v>
      </c>
      <c r="D2753" s="0" t="s">
        <v>2044</v>
      </c>
      <c r="E2753" s="0" t="s">
        <v>2045</v>
      </c>
      <c r="F2753" s="0" t="s">
        <v>2051</v>
      </c>
      <c r="G2753" s="0" t="s">
        <v>2059</v>
      </c>
      <c r="H2753" s="0" t="s">
        <v>2052</v>
      </c>
      <c r="J2753" s="0" t="s">
        <v>2340</v>
      </c>
      <c r="K2753" s="272" t="n">
        <v>38.27</v>
      </c>
    </row>
    <row r="2754" customFormat="false" ht="15" hidden="false" customHeight="false" outlineLevel="0" collapsed="false">
      <c r="A2754" s="0" t="s">
        <v>2041</v>
      </c>
      <c r="B2754" s="0" t="s">
        <v>2042</v>
      </c>
      <c r="C2754" s="0" t="s">
        <v>2339</v>
      </c>
      <c r="D2754" s="0" t="s">
        <v>2044</v>
      </c>
      <c r="E2754" s="0" t="s">
        <v>2045</v>
      </c>
      <c r="F2754" s="0" t="s">
        <v>2046</v>
      </c>
      <c r="G2754" s="0" t="s">
        <v>2060</v>
      </c>
      <c r="H2754" s="0" t="s">
        <v>2048</v>
      </c>
      <c r="J2754" s="0" t="s">
        <v>2340</v>
      </c>
      <c r="K2754" s="272" t="n">
        <v>23120.36</v>
      </c>
    </row>
    <row r="2755" customFormat="false" ht="15" hidden="false" customHeight="false" outlineLevel="0" collapsed="false">
      <c r="A2755" s="0" t="s">
        <v>2041</v>
      </c>
      <c r="B2755" s="0" t="s">
        <v>2042</v>
      </c>
      <c r="C2755" s="0" t="s">
        <v>2339</v>
      </c>
      <c r="D2755" s="0" t="s">
        <v>2044</v>
      </c>
      <c r="E2755" s="0" t="s">
        <v>2045</v>
      </c>
      <c r="F2755" s="0" t="s">
        <v>2051</v>
      </c>
      <c r="G2755" s="0" t="s">
        <v>2060</v>
      </c>
      <c r="H2755" s="0" t="s">
        <v>2052</v>
      </c>
      <c r="J2755" s="0" t="s">
        <v>2340</v>
      </c>
      <c r="K2755" s="272" t="n">
        <v>233.53</v>
      </c>
    </row>
    <row r="2756" customFormat="false" ht="15" hidden="false" customHeight="false" outlineLevel="0" collapsed="false">
      <c r="A2756" s="0" t="s">
        <v>2041</v>
      </c>
      <c r="B2756" s="0" t="s">
        <v>2042</v>
      </c>
      <c r="C2756" s="0" t="s">
        <v>2339</v>
      </c>
      <c r="D2756" s="0" t="s">
        <v>2044</v>
      </c>
      <c r="E2756" s="0" t="s">
        <v>2045</v>
      </c>
      <c r="F2756" s="0" t="s">
        <v>2046</v>
      </c>
      <c r="G2756" s="0" t="s">
        <v>2061</v>
      </c>
      <c r="H2756" s="0" t="s">
        <v>2048</v>
      </c>
      <c r="J2756" s="0" t="s">
        <v>2340</v>
      </c>
      <c r="K2756" s="272" t="n">
        <v>22886.81</v>
      </c>
    </row>
    <row r="2757" customFormat="false" ht="15" hidden="false" customHeight="false" outlineLevel="0" collapsed="false">
      <c r="A2757" s="0" t="s">
        <v>2041</v>
      </c>
      <c r="B2757" s="0" t="s">
        <v>2042</v>
      </c>
      <c r="C2757" s="0" t="s">
        <v>2339</v>
      </c>
      <c r="D2757" s="0" t="s">
        <v>2044</v>
      </c>
      <c r="E2757" s="0" t="s">
        <v>2045</v>
      </c>
      <c r="F2757" s="0" t="s">
        <v>2051</v>
      </c>
      <c r="G2757" s="0" t="s">
        <v>2061</v>
      </c>
      <c r="H2757" s="0" t="s">
        <v>2052</v>
      </c>
      <c r="J2757" s="0" t="s">
        <v>2340</v>
      </c>
      <c r="K2757" s="272" t="n">
        <v>467.08</v>
      </c>
    </row>
    <row r="2758" customFormat="false" ht="15" hidden="false" customHeight="false" outlineLevel="0" collapsed="false">
      <c r="A2758" s="0" t="s">
        <v>2041</v>
      </c>
      <c r="B2758" s="0" t="s">
        <v>2042</v>
      </c>
      <c r="C2758" s="0" t="s">
        <v>2339</v>
      </c>
      <c r="D2758" s="0" t="s">
        <v>2044</v>
      </c>
      <c r="E2758" s="0" t="s">
        <v>2045</v>
      </c>
      <c r="F2758" s="0" t="s">
        <v>2046</v>
      </c>
      <c r="G2758" s="0" t="s">
        <v>2062</v>
      </c>
      <c r="H2758" s="0" t="s">
        <v>2048</v>
      </c>
      <c r="J2758" s="0" t="s">
        <v>2340</v>
      </c>
      <c r="K2758" s="272" t="n">
        <v>12541.96</v>
      </c>
    </row>
    <row r="2759" customFormat="false" ht="15" hidden="false" customHeight="false" outlineLevel="0" collapsed="false">
      <c r="A2759" s="0" t="s">
        <v>2041</v>
      </c>
      <c r="B2759" s="0" t="s">
        <v>2042</v>
      </c>
      <c r="C2759" s="0" t="s">
        <v>2339</v>
      </c>
      <c r="D2759" s="0" t="s">
        <v>2044</v>
      </c>
      <c r="E2759" s="0" t="s">
        <v>2045</v>
      </c>
      <c r="F2759" s="0" t="s">
        <v>2051</v>
      </c>
      <c r="G2759" s="0" t="s">
        <v>2062</v>
      </c>
      <c r="H2759" s="0" t="s">
        <v>2052</v>
      </c>
      <c r="J2759" s="0" t="s">
        <v>2340</v>
      </c>
      <c r="K2759" s="272" t="n">
        <v>2044.45</v>
      </c>
    </row>
    <row r="2760" customFormat="false" ht="15" hidden="false" customHeight="false" outlineLevel="0" collapsed="false">
      <c r="A2760" s="0" t="s">
        <v>2041</v>
      </c>
      <c r="B2760" s="0" t="s">
        <v>2042</v>
      </c>
      <c r="C2760" s="0" t="s">
        <v>2339</v>
      </c>
      <c r="D2760" s="0" t="s">
        <v>2044</v>
      </c>
      <c r="E2760" s="0" t="s">
        <v>2045</v>
      </c>
      <c r="F2760" s="0" t="s">
        <v>2046</v>
      </c>
      <c r="G2760" s="0" t="s">
        <v>2063</v>
      </c>
      <c r="H2760" s="0" t="s">
        <v>2048</v>
      </c>
      <c r="J2760" s="0" t="s">
        <v>2340</v>
      </c>
      <c r="K2760" s="272" t="n">
        <v>14005.48</v>
      </c>
    </row>
    <row r="2761" customFormat="false" ht="15" hidden="false" customHeight="false" outlineLevel="0" collapsed="false">
      <c r="A2761" s="0" t="s">
        <v>2041</v>
      </c>
      <c r="B2761" s="0" t="s">
        <v>2042</v>
      </c>
      <c r="C2761" s="0" t="s">
        <v>2339</v>
      </c>
      <c r="D2761" s="0" t="s">
        <v>2044</v>
      </c>
      <c r="E2761" s="0" t="s">
        <v>2045</v>
      </c>
      <c r="F2761" s="0" t="s">
        <v>2051</v>
      </c>
      <c r="G2761" s="0" t="s">
        <v>2063</v>
      </c>
      <c r="H2761" s="0" t="s">
        <v>2052</v>
      </c>
      <c r="J2761" s="0" t="s">
        <v>2340</v>
      </c>
      <c r="K2761" s="272" t="n">
        <v>3501.37</v>
      </c>
    </row>
    <row r="2762" customFormat="false" ht="15" hidden="false" customHeight="false" outlineLevel="0" collapsed="false">
      <c r="A2762" s="0" t="s">
        <v>2041</v>
      </c>
      <c r="B2762" s="0" t="s">
        <v>2042</v>
      </c>
      <c r="C2762" s="0" t="s">
        <v>2339</v>
      </c>
      <c r="D2762" s="0" t="s">
        <v>2044</v>
      </c>
      <c r="E2762" s="0" t="s">
        <v>2045</v>
      </c>
      <c r="F2762" s="0" t="s">
        <v>2046</v>
      </c>
      <c r="G2762" s="0" t="s">
        <v>2064</v>
      </c>
      <c r="H2762" s="0" t="s">
        <v>2048</v>
      </c>
      <c r="J2762" s="0" t="s">
        <v>2340</v>
      </c>
      <c r="K2762" s="272" t="n">
        <v>25402.23</v>
      </c>
    </row>
    <row r="2763" customFormat="false" ht="15" hidden="false" customHeight="false" outlineLevel="0" collapsed="false">
      <c r="A2763" s="0" t="s">
        <v>2041</v>
      </c>
      <c r="B2763" s="0" t="s">
        <v>2042</v>
      </c>
      <c r="C2763" s="0" t="s">
        <v>2339</v>
      </c>
      <c r="D2763" s="0" t="s">
        <v>2044</v>
      </c>
      <c r="E2763" s="0" t="s">
        <v>2045</v>
      </c>
      <c r="F2763" s="0" t="s">
        <v>2051</v>
      </c>
      <c r="G2763" s="0" t="s">
        <v>2064</v>
      </c>
      <c r="H2763" s="0" t="s">
        <v>2052</v>
      </c>
      <c r="J2763" s="0" t="s">
        <v>2340</v>
      </c>
      <c r="K2763" s="272" t="n">
        <v>21305.55</v>
      </c>
    </row>
    <row r="2764" customFormat="false" ht="15" hidden="false" customHeight="false" outlineLevel="0" collapsed="false">
      <c r="A2764" s="0" t="s">
        <v>2041</v>
      </c>
      <c r="B2764" s="0" t="s">
        <v>2042</v>
      </c>
      <c r="C2764" s="0" t="s">
        <v>2339</v>
      </c>
      <c r="D2764" s="0" t="s">
        <v>2044</v>
      </c>
      <c r="E2764" s="0" t="s">
        <v>2045</v>
      </c>
      <c r="F2764" s="0" t="s">
        <v>2046</v>
      </c>
      <c r="G2764" s="0" t="s">
        <v>2065</v>
      </c>
      <c r="H2764" s="0" t="s">
        <v>2048</v>
      </c>
      <c r="J2764" s="0" t="s">
        <v>2340</v>
      </c>
      <c r="K2764" s="272" t="n">
        <v>8679.81</v>
      </c>
    </row>
    <row r="2765" customFormat="false" ht="15" hidden="false" customHeight="false" outlineLevel="0" collapsed="false">
      <c r="A2765" s="0" t="s">
        <v>2041</v>
      </c>
      <c r="B2765" s="0" t="s">
        <v>2042</v>
      </c>
      <c r="C2765" s="0" t="s">
        <v>2339</v>
      </c>
      <c r="D2765" s="0" t="s">
        <v>2044</v>
      </c>
      <c r="E2765" s="0" t="s">
        <v>2045</v>
      </c>
      <c r="F2765" s="0" t="s">
        <v>2051</v>
      </c>
      <c r="G2765" s="0" t="s">
        <v>2065</v>
      </c>
      <c r="H2765" s="0" t="s">
        <v>2052</v>
      </c>
      <c r="J2765" s="0" t="s">
        <v>2340</v>
      </c>
      <c r="K2765" s="272" t="n">
        <v>87.67</v>
      </c>
    </row>
    <row r="2766" customFormat="false" ht="15" hidden="false" customHeight="false" outlineLevel="0" collapsed="false">
      <c r="A2766" s="0" t="s">
        <v>2041</v>
      </c>
      <c r="B2766" s="0" t="s">
        <v>2042</v>
      </c>
      <c r="C2766" s="0" t="s">
        <v>2339</v>
      </c>
      <c r="D2766" s="0" t="s">
        <v>2044</v>
      </c>
      <c r="E2766" s="0" t="s">
        <v>2045</v>
      </c>
      <c r="F2766" s="0" t="s">
        <v>2046</v>
      </c>
      <c r="G2766" s="0" t="s">
        <v>2066</v>
      </c>
      <c r="H2766" s="0" t="s">
        <v>2048</v>
      </c>
      <c r="J2766" s="0" t="s">
        <v>2340</v>
      </c>
      <c r="K2766" s="272" t="n">
        <v>17096.59</v>
      </c>
    </row>
    <row r="2767" customFormat="false" ht="15" hidden="false" customHeight="false" outlineLevel="0" collapsed="false">
      <c r="A2767" s="0" t="s">
        <v>2041</v>
      </c>
      <c r="B2767" s="0" t="s">
        <v>2042</v>
      </c>
      <c r="C2767" s="0" t="s">
        <v>2339</v>
      </c>
      <c r="D2767" s="0" t="s">
        <v>2044</v>
      </c>
      <c r="E2767" s="0" t="s">
        <v>2045</v>
      </c>
      <c r="F2767" s="0" t="s">
        <v>2051</v>
      </c>
      <c r="G2767" s="0" t="s">
        <v>2066</v>
      </c>
      <c r="H2767" s="0" t="s">
        <v>2052</v>
      </c>
      <c r="J2767" s="0" t="s">
        <v>2340</v>
      </c>
      <c r="K2767" s="272" t="n">
        <v>438.37</v>
      </c>
    </row>
    <row r="2768" customFormat="false" ht="15" hidden="false" customHeight="false" outlineLevel="0" collapsed="false">
      <c r="A2768" s="0" t="s">
        <v>2041</v>
      </c>
      <c r="B2768" s="0" t="s">
        <v>2042</v>
      </c>
      <c r="C2768" s="0" t="s">
        <v>2339</v>
      </c>
      <c r="D2768" s="0" t="s">
        <v>2044</v>
      </c>
      <c r="E2768" s="0" t="s">
        <v>2045</v>
      </c>
      <c r="F2768" s="0" t="s">
        <v>2051</v>
      </c>
      <c r="G2768" s="0" t="s">
        <v>2067</v>
      </c>
      <c r="H2768" s="0" t="s">
        <v>2052</v>
      </c>
      <c r="J2768" s="0" t="s">
        <v>2340</v>
      </c>
      <c r="K2768" s="272" t="n">
        <v>14586.41</v>
      </c>
    </row>
    <row r="2769" customFormat="false" ht="15" hidden="false" customHeight="false" outlineLevel="0" collapsed="false">
      <c r="A2769" s="0" t="s">
        <v>2041</v>
      </c>
      <c r="B2769" s="0" t="s">
        <v>2042</v>
      </c>
      <c r="C2769" s="0" t="s">
        <v>2339</v>
      </c>
      <c r="D2769" s="0" t="s">
        <v>2044</v>
      </c>
      <c r="E2769" s="0" t="s">
        <v>2045</v>
      </c>
      <c r="F2769" s="0" t="s">
        <v>2046</v>
      </c>
      <c r="G2769" s="0" t="s">
        <v>2068</v>
      </c>
      <c r="H2769" s="0" t="s">
        <v>2048</v>
      </c>
      <c r="J2769" s="0" t="s">
        <v>2340</v>
      </c>
      <c r="K2769" s="272" t="n">
        <v>28032.49</v>
      </c>
    </row>
    <row r="2770" customFormat="false" ht="15" hidden="false" customHeight="false" outlineLevel="0" collapsed="false">
      <c r="A2770" s="0" t="s">
        <v>2041</v>
      </c>
      <c r="B2770" s="0" t="s">
        <v>2042</v>
      </c>
      <c r="C2770" s="0" t="s">
        <v>2339</v>
      </c>
      <c r="D2770" s="0" t="s">
        <v>2044</v>
      </c>
      <c r="E2770" s="0" t="s">
        <v>2045</v>
      </c>
      <c r="F2770" s="0" t="s">
        <v>2051</v>
      </c>
      <c r="G2770" s="0" t="s">
        <v>2068</v>
      </c>
      <c r="H2770" s="0" t="s">
        <v>2052</v>
      </c>
      <c r="J2770" s="0" t="s">
        <v>2340</v>
      </c>
      <c r="K2770" s="272" t="n">
        <v>4088.88</v>
      </c>
    </row>
    <row r="2771" customFormat="false" ht="15" hidden="false" customHeight="false" outlineLevel="0" collapsed="false">
      <c r="A2771" s="0" t="s">
        <v>2041</v>
      </c>
      <c r="B2771" s="0" t="s">
        <v>2042</v>
      </c>
      <c r="C2771" s="0" t="s">
        <v>2339</v>
      </c>
      <c r="D2771" s="0" t="s">
        <v>2044</v>
      </c>
      <c r="E2771" s="0" t="s">
        <v>2045</v>
      </c>
      <c r="F2771" s="0" t="s">
        <v>2046</v>
      </c>
      <c r="G2771" s="0" t="s">
        <v>2069</v>
      </c>
      <c r="H2771" s="0" t="s">
        <v>2048</v>
      </c>
      <c r="J2771" s="0" t="s">
        <v>2340</v>
      </c>
      <c r="K2771" s="272" t="n">
        <v>8767.48</v>
      </c>
    </row>
    <row r="2772" customFormat="false" ht="15" hidden="false" customHeight="false" outlineLevel="0" collapsed="false">
      <c r="A2772" s="0" t="s">
        <v>2041</v>
      </c>
      <c r="B2772" s="0" t="s">
        <v>2042</v>
      </c>
      <c r="C2772" s="0" t="s">
        <v>2339</v>
      </c>
      <c r="D2772" s="0" t="s">
        <v>2044</v>
      </c>
      <c r="E2772" s="0" t="s">
        <v>2045</v>
      </c>
      <c r="F2772" s="0" t="s">
        <v>2046</v>
      </c>
      <c r="G2772" s="0" t="s">
        <v>2070</v>
      </c>
      <c r="H2772" s="0" t="s">
        <v>2048</v>
      </c>
      <c r="J2772" s="0" t="s">
        <v>2340</v>
      </c>
      <c r="K2772" s="272" t="n">
        <v>6556.06</v>
      </c>
    </row>
    <row r="2773" customFormat="false" ht="15" hidden="false" customHeight="false" outlineLevel="0" collapsed="false">
      <c r="A2773" s="0" t="s">
        <v>2041</v>
      </c>
      <c r="B2773" s="0" t="s">
        <v>2042</v>
      </c>
      <c r="C2773" s="0" t="s">
        <v>2339</v>
      </c>
      <c r="D2773" s="0" t="s">
        <v>2044</v>
      </c>
      <c r="E2773" s="0" t="s">
        <v>2045</v>
      </c>
      <c r="F2773" s="0" t="s">
        <v>2051</v>
      </c>
      <c r="G2773" s="0" t="s">
        <v>2070</v>
      </c>
      <c r="H2773" s="0" t="s">
        <v>2052</v>
      </c>
      <c r="J2773" s="0" t="s">
        <v>2340</v>
      </c>
      <c r="K2773" s="272" t="n">
        <v>13849.28</v>
      </c>
    </row>
    <row r="2774" customFormat="false" ht="15" hidden="false" customHeight="false" outlineLevel="0" collapsed="false">
      <c r="A2774" s="0" t="s">
        <v>2041</v>
      </c>
      <c r="B2774" s="0" t="s">
        <v>2042</v>
      </c>
      <c r="C2774" s="0" t="s">
        <v>2339</v>
      </c>
      <c r="D2774" s="0" t="s">
        <v>2044</v>
      </c>
      <c r="E2774" s="0" t="s">
        <v>2045</v>
      </c>
      <c r="F2774" s="0" t="s">
        <v>2046</v>
      </c>
      <c r="G2774" s="0" t="s">
        <v>2071</v>
      </c>
      <c r="H2774" s="0" t="s">
        <v>2048</v>
      </c>
      <c r="J2774" s="0" t="s">
        <v>2340</v>
      </c>
      <c r="K2774" s="272" t="n">
        <v>5796.28</v>
      </c>
    </row>
    <row r="2775" customFormat="false" ht="15" hidden="false" customHeight="false" outlineLevel="0" collapsed="false">
      <c r="A2775" s="0" t="s">
        <v>2041</v>
      </c>
      <c r="B2775" s="0" t="s">
        <v>2042</v>
      </c>
      <c r="C2775" s="0" t="s">
        <v>2339</v>
      </c>
      <c r="D2775" s="0" t="s">
        <v>2044</v>
      </c>
      <c r="E2775" s="0" t="s">
        <v>2045</v>
      </c>
      <c r="F2775" s="0" t="s">
        <v>2051</v>
      </c>
      <c r="G2775" s="0" t="s">
        <v>2071</v>
      </c>
      <c r="H2775" s="0" t="s">
        <v>2052</v>
      </c>
      <c r="J2775" s="0" t="s">
        <v>2340</v>
      </c>
      <c r="K2775" s="272" t="n">
        <v>1022.87</v>
      </c>
    </row>
    <row r="2776" customFormat="false" ht="15" hidden="false" customHeight="false" outlineLevel="0" collapsed="false">
      <c r="A2776" s="0" t="s">
        <v>2041</v>
      </c>
      <c r="B2776" s="0" t="s">
        <v>2042</v>
      </c>
      <c r="C2776" s="0" t="s">
        <v>2339</v>
      </c>
      <c r="D2776" s="0" t="s">
        <v>2044</v>
      </c>
      <c r="E2776" s="0" t="s">
        <v>2045</v>
      </c>
      <c r="F2776" s="0" t="s">
        <v>2046</v>
      </c>
      <c r="G2776" s="0" t="s">
        <v>2072</v>
      </c>
      <c r="H2776" s="0" t="s">
        <v>2048</v>
      </c>
      <c r="J2776" s="0" t="s">
        <v>2340</v>
      </c>
      <c r="K2776" s="272" t="n">
        <v>8712.2</v>
      </c>
    </row>
    <row r="2777" customFormat="false" ht="15" hidden="false" customHeight="false" outlineLevel="0" collapsed="false">
      <c r="A2777" s="0" t="s">
        <v>2041</v>
      </c>
      <c r="B2777" s="0" t="s">
        <v>2042</v>
      </c>
      <c r="C2777" s="0" t="s">
        <v>2339</v>
      </c>
      <c r="D2777" s="0" t="s">
        <v>2044</v>
      </c>
      <c r="E2777" s="0" t="s">
        <v>2045</v>
      </c>
      <c r="F2777" s="0" t="s">
        <v>2051</v>
      </c>
      <c r="G2777" s="0" t="s">
        <v>2072</v>
      </c>
      <c r="H2777" s="0" t="s">
        <v>2052</v>
      </c>
      <c r="J2777" s="0" t="s">
        <v>2340</v>
      </c>
      <c r="K2777" s="272" t="n">
        <v>11693.14</v>
      </c>
    </row>
    <row r="2778" customFormat="false" ht="15" hidden="false" customHeight="false" outlineLevel="0" collapsed="false">
      <c r="A2778" s="0" t="s">
        <v>2041</v>
      </c>
      <c r="B2778" s="0" t="s">
        <v>2042</v>
      </c>
      <c r="C2778" s="0" t="s">
        <v>2339</v>
      </c>
      <c r="D2778" s="0" t="s">
        <v>2044</v>
      </c>
      <c r="E2778" s="0" t="s">
        <v>2045</v>
      </c>
      <c r="F2778" s="0" t="s">
        <v>2046</v>
      </c>
      <c r="G2778" s="0" t="s">
        <v>2073</v>
      </c>
      <c r="H2778" s="0" t="s">
        <v>2048</v>
      </c>
      <c r="J2778" s="0" t="s">
        <v>2340</v>
      </c>
      <c r="K2778" s="272" t="n">
        <v>12667.52</v>
      </c>
    </row>
    <row r="2779" customFormat="false" ht="15" hidden="false" customHeight="false" outlineLevel="0" collapsed="false">
      <c r="A2779" s="0" t="s">
        <v>2041</v>
      </c>
      <c r="B2779" s="0" t="s">
        <v>2042</v>
      </c>
      <c r="C2779" s="0" t="s">
        <v>2339</v>
      </c>
      <c r="D2779" s="0" t="s">
        <v>2044</v>
      </c>
      <c r="E2779" s="0" t="s">
        <v>2045</v>
      </c>
      <c r="F2779" s="0" t="s">
        <v>2051</v>
      </c>
      <c r="G2779" s="0" t="s">
        <v>2073</v>
      </c>
      <c r="H2779" s="0" t="s">
        <v>2052</v>
      </c>
      <c r="J2779" s="0" t="s">
        <v>2340</v>
      </c>
      <c r="K2779" s="272" t="n">
        <v>35100.3</v>
      </c>
    </row>
    <row r="2780" customFormat="false" ht="15" hidden="false" customHeight="false" outlineLevel="0" collapsed="false">
      <c r="A2780" s="0" t="s">
        <v>2041</v>
      </c>
      <c r="B2780" s="0" t="s">
        <v>2042</v>
      </c>
      <c r="C2780" s="0" t="s">
        <v>2339</v>
      </c>
      <c r="D2780" s="0" t="s">
        <v>2044</v>
      </c>
      <c r="E2780" s="0" t="s">
        <v>2045</v>
      </c>
      <c r="F2780" s="0" t="s">
        <v>2046</v>
      </c>
      <c r="G2780" s="0" t="s">
        <v>2074</v>
      </c>
      <c r="H2780" s="0" t="s">
        <v>2048</v>
      </c>
      <c r="J2780" s="0" t="s">
        <v>2340</v>
      </c>
      <c r="K2780" s="272" t="n">
        <v>7293.2</v>
      </c>
    </row>
    <row r="2781" customFormat="false" ht="15" hidden="false" customHeight="false" outlineLevel="0" collapsed="false">
      <c r="A2781" s="0" t="s">
        <v>2041</v>
      </c>
      <c r="B2781" s="0" t="s">
        <v>2042</v>
      </c>
      <c r="C2781" s="0" t="s">
        <v>2339</v>
      </c>
      <c r="D2781" s="0" t="s">
        <v>2044</v>
      </c>
      <c r="E2781" s="0" t="s">
        <v>2045</v>
      </c>
      <c r="F2781" s="0" t="s">
        <v>2051</v>
      </c>
      <c r="G2781" s="0" t="s">
        <v>2074</v>
      </c>
      <c r="H2781" s="0" t="s">
        <v>2052</v>
      </c>
      <c r="J2781" s="0" t="s">
        <v>2340</v>
      </c>
      <c r="K2781" s="272" t="n">
        <v>7293.21</v>
      </c>
    </row>
    <row r="2782" customFormat="false" ht="15" hidden="false" customHeight="false" outlineLevel="0" collapsed="false">
      <c r="A2782" s="0" t="s">
        <v>2041</v>
      </c>
      <c r="B2782" s="0" t="s">
        <v>2042</v>
      </c>
      <c r="C2782" s="0" t="s">
        <v>2339</v>
      </c>
      <c r="D2782" s="0" t="s">
        <v>2044</v>
      </c>
      <c r="E2782" s="0" t="s">
        <v>2045</v>
      </c>
      <c r="F2782" s="0" t="s">
        <v>2046</v>
      </c>
      <c r="G2782" s="0" t="s">
        <v>2075</v>
      </c>
      <c r="H2782" s="0" t="s">
        <v>2048</v>
      </c>
      <c r="J2782" s="0" t="s">
        <v>2340</v>
      </c>
      <c r="K2782" s="272" t="n">
        <v>523.71</v>
      </c>
    </row>
    <row r="2783" customFormat="false" ht="15" hidden="false" customHeight="false" outlineLevel="0" collapsed="false">
      <c r="A2783" s="0" t="s">
        <v>2041</v>
      </c>
      <c r="B2783" s="0" t="s">
        <v>2042</v>
      </c>
      <c r="C2783" s="0" t="s">
        <v>2339</v>
      </c>
      <c r="D2783" s="0" t="s">
        <v>2044</v>
      </c>
      <c r="E2783" s="0" t="s">
        <v>2045</v>
      </c>
      <c r="F2783" s="0" t="s">
        <v>2051</v>
      </c>
      <c r="G2783" s="0" t="s">
        <v>2075</v>
      </c>
      <c r="H2783" s="0" t="s">
        <v>2052</v>
      </c>
      <c r="J2783" s="0" t="s">
        <v>2340</v>
      </c>
      <c r="K2783" s="272" t="n">
        <v>16933.08</v>
      </c>
    </row>
    <row r="2784" customFormat="false" ht="15" hidden="false" customHeight="false" outlineLevel="0" collapsed="false">
      <c r="A2784" s="0" t="s">
        <v>2041</v>
      </c>
      <c r="B2784" s="0" t="s">
        <v>2042</v>
      </c>
      <c r="C2784" s="0" t="s">
        <v>2339</v>
      </c>
      <c r="D2784" s="0" t="s">
        <v>2044</v>
      </c>
      <c r="E2784" s="0" t="s">
        <v>2045</v>
      </c>
      <c r="F2784" s="0" t="s">
        <v>2046</v>
      </c>
      <c r="G2784" s="0" t="s">
        <v>2076</v>
      </c>
      <c r="H2784" s="0" t="s">
        <v>2048</v>
      </c>
      <c r="J2784" s="0" t="s">
        <v>2340</v>
      </c>
      <c r="K2784" s="272" t="n">
        <v>13589.6</v>
      </c>
    </row>
    <row r="2785" customFormat="false" ht="15" hidden="false" customHeight="false" outlineLevel="0" collapsed="false">
      <c r="A2785" s="0" t="s">
        <v>2041</v>
      </c>
      <c r="B2785" s="0" t="s">
        <v>2042</v>
      </c>
      <c r="C2785" s="0" t="s">
        <v>2339</v>
      </c>
      <c r="D2785" s="0" t="s">
        <v>2044</v>
      </c>
      <c r="E2785" s="0" t="s">
        <v>2045</v>
      </c>
      <c r="F2785" s="0" t="s">
        <v>2051</v>
      </c>
      <c r="G2785" s="0" t="s">
        <v>2076</v>
      </c>
      <c r="H2785" s="0" t="s">
        <v>2052</v>
      </c>
      <c r="J2785" s="0" t="s">
        <v>2340</v>
      </c>
      <c r="K2785" s="272" t="n">
        <v>12712.84</v>
      </c>
    </row>
    <row r="2786" customFormat="false" ht="15" hidden="false" customHeight="false" outlineLevel="0" collapsed="false">
      <c r="A2786" s="0" t="s">
        <v>2041</v>
      </c>
      <c r="B2786" s="0" t="s">
        <v>2042</v>
      </c>
      <c r="C2786" s="0" t="s">
        <v>2339</v>
      </c>
      <c r="D2786" s="0" t="s">
        <v>2044</v>
      </c>
      <c r="E2786" s="0" t="s">
        <v>2045</v>
      </c>
      <c r="F2786" s="0" t="s">
        <v>2046</v>
      </c>
      <c r="G2786" s="0" t="s">
        <v>2077</v>
      </c>
      <c r="H2786" s="0" t="s">
        <v>2048</v>
      </c>
      <c r="J2786" s="0" t="s">
        <v>2340</v>
      </c>
      <c r="K2786" s="272" t="n">
        <v>7890.73</v>
      </c>
    </row>
    <row r="2787" customFormat="false" ht="15" hidden="false" customHeight="false" outlineLevel="0" collapsed="false">
      <c r="A2787" s="0" t="s">
        <v>2041</v>
      </c>
      <c r="B2787" s="0" t="s">
        <v>2042</v>
      </c>
      <c r="C2787" s="0" t="s">
        <v>2339</v>
      </c>
      <c r="D2787" s="0" t="s">
        <v>2044</v>
      </c>
      <c r="E2787" s="0" t="s">
        <v>2045</v>
      </c>
      <c r="F2787" s="0" t="s">
        <v>2051</v>
      </c>
      <c r="G2787" s="0" t="s">
        <v>2077</v>
      </c>
      <c r="H2787" s="0" t="s">
        <v>2052</v>
      </c>
      <c r="J2787" s="0" t="s">
        <v>2340</v>
      </c>
      <c r="K2787" s="272" t="n">
        <v>876.75</v>
      </c>
    </row>
    <row r="2788" customFormat="false" ht="15" hidden="false" customHeight="false" outlineLevel="0" collapsed="false">
      <c r="A2788" s="0" t="s">
        <v>2041</v>
      </c>
      <c r="B2788" s="0" t="s">
        <v>2042</v>
      </c>
      <c r="C2788" s="0" t="s">
        <v>2339</v>
      </c>
      <c r="D2788" s="0" t="s">
        <v>2044</v>
      </c>
      <c r="E2788" s="0" t="s">
        <v>2045</v>
      </c>
      <c r="F2788" s="0" t="s">
        <v>2046</v>
      </c>
      <c r="G2788" s="0" t="s">
        <v>2078</v>
      </c>
      <c r="H2788" s="0" t="s">
        <v>2048</v>
      </c>
      <c r="J2788" s="0" t="s">
        <v>2340</v>
      </c>
      <c r="K2788" s="272" t="n">
        <v>11317.81</v>
      </c>
    </row>
    <row r="2789" customFormat="false" ht="15" hidden="false" customHeight="false" outlineLevel="0" collapsed="false">
      <c r="A2789" s="0" t="s">
        <v>2041</v>
      </c>
      <c r="B2789" s="0" t="s">
        <v>2042</v>
      </c>
      <c r="C2789" s="0" t="s">
        <v>2339</v>
      </c>
      <c r="D2789" s="0" t="s">
        <v>2044</v>
      </c>
      <c r="E2789" s="0" t="s">
        <v>2045</v>
      </c>
      <c r="F2789" s="0" t="s">
        <v>2051</v>
      </c>
      <c r="G2789" s="0" t="s">
        <v>2078</v>
      </c>
      <c r="H2789" s="0" t="s">
        <v>2052</v>
      </c>
      <c r="J2789" s="0" t="s">
        <v>2340</v>
      </c>
      <c r="K2789" s="272" t="n">
        <v>1257.53</v>
      </c>
    </row>
    <row r="2790" customFormat="false" ht="15" hidden="false" customHeight="false" outlineLevel="0" collapsed="false">
      <c r="A2790" s="0" t="s">
        <v>2041</v>
      </c>
      <c r="B2790" s="0" t="s">
        <v>2042</v>
      </c>
      <c r="C2790" s="0" t="s">
        <v>2339</v>
      </c>
      <c r="D2790" s="0" t="s">
        <v>2044</v>
      </c>
      <c r="E2790" s="0" t="s">
        <v>2045</v>
      </c>
      <c r="F2790" s="0" t="s">
        <v>2046</v>
      </c>
      <c r="G2790" s="0" t="s">
        <v>2079</v>
      </c>
      <c r="H2790" s="0" t="s">
        <v>2048</v>
      </c>
      <c r="J2790" s="0" t="s">
        <v>2340</v>
      </c>
      <c r="K2790" s="272" t="n">
        <v>8767.48</v>
      </c>
    </row>
    <row r="2791" customFormat="false" ht="15" hidden="false" customHeight="false" outlineLevel="0" collapsed="false">
      <c r="A2791" s="0" t="s">
        <v>2041</v>
      </c>
      <c r="B2791" s="0" t="s">
        <v>2042</v>
      </c>
      <c r="C2791" s="0" t="s">
        <v>2339</v>
      </c>
      <c r="D2791" s="0" t="s">
        <v>2044</v>
      </c>
      <c r="E2791" s="0" t="s">
        <v>2045</v>
      </c>
      <c r="F2791" s="0" t="s">
        <v>2046</v>
      </c>
      <c r="G2791" s="0" t="s">
        <v>2080</v>
      </c>
      <c r="H2791" s="0" t="s">
        <v>2048</v>
      </c>
      <c r="J2791" s="0" t="s">
        <v>2340</v>
      </c>
      <c r="K2791" s="272" t="n">
        <v>14148.04</v>
      </c>
    </row>
    <row r="2792" customFormat="false" ht="15" hidden="false" customHeight="false" outlineLevel="0" collapsed="false">
      <c r="A2792" s="0" t="s">
        <v>2041</v>
      </c>
      <c r="B2792" s="0" t="s">
        <v>2042</v>
      </c>
      <c r="C2792" s="0" t="s">
        <v>2339</v>
      </c>
      <c r="D2792" s="0" t="s">
        <v>2044</v>
      </c>
      <c r="E2792" s="0" t="s">
        <v>2045</v>
      </c>
      <c r="F2792" s="0" t="s">
        <v>2051</v>
      </c>
      <c r="G2792" s="0" t="s">
        <v>2080</v>
      </c>
      <c r="H2792" s="0" t="s">
        <v>2052</v>
      </c>
      <c r="J2792" s="0" t="s">
        <v>2340</v>
      </c>
      <c r="K2792" s="272" t="n">
        <v>438.37</v>
      </c>
    </row>
    <row r="2793" customFormat="false" ht="15" hidden="false" customHeight="false" outlineLevel="0" collapsed="false">
      <c r="A2793" s="0" t="s">
        <v>2041</v>
      </c>
      <c r="B2793" s="0" t="s">
        <v>2042</v>
      </c>
      <c r="C2793" s="0" t="s">
        <v>2339</v>
      </c>
      <c r="D2793" s="0" t="s">
        <v>2044</v>
      </c>
      <c r="E2793" s="0" t="s">
        <v>2045</v>
      </c>
      <c r="F2793" s="0" t="s">
        <v>2046</v>
      </c>
      <c r="G2793" s="0" t="s">
        <v>2081</v>
      </c>
      <c r="H2793" s="0" t="s">
        <v>2048</v>
      </c>
      <c r="J2793" s="0" t="s">
        <v>2340</v>
      </c>
      <c r="K2793" s="272" t="n">
        <v>48732.67</v>
      </c>
    </row>
    <row r="2794" customFormat="false" ht="15" hidden="false" customHeight="false" outlineLevel="0" collapsed="false">
      <c r="A2794" s="0" t="s">
        <v>2041</v>
      </c>
      <c r="B2794" s="0" t="s">
        <v>2042</v>
      </c>
      <c r="C2794" s="0" t="s">
        <v>2339</v>
      </c>
      <c r="D2794" s="0" t="s">
        <v>2044</v>
      </c>
      <c r="E2794" s="0" t="s">
        <v>2045</v>
      </c>
      <c r="F2794" s="0" t="s">
        <v>2051</v>
      </c>
      <c r="G2794" s="0" t="s">
        <v>2081</v>
      </c>
      <c r="H2794" s="0" t="s">
        <v>2052</v>
      </c>
      <c r="J2794" s="0" t="s">
        <v>2340</v>
      </c>
      <c r="K2794" s="272" t="n">
        <v>3794.04</v>
      </c>
    </row>
    <row r="2795" customFormat="false" ht="15" hidden="false" customHeight="false" outlineLevel="0" collapsed="false">
      <c r="A2795" s="0" t="s">
        <v>2041</v>
      </c>
      <c r="B2795" s="0" t="s">
        <v>2042</v>
      </c>
      <c r="C2795" s="0" t="s">
        <v>2339</v>
      </c>
      <c r="D2795" s="0" t="s">
        <v>2044</v>
      </c>
      <c r="E2795" s="0" t="s">
        <v>2045</v>
      </c>
      <c r="F2795" s="0" t="s">
        <v>2046</v>
      </c>
      <c r="G2795" s="0" t="s">
        <v>2082</v>
      </c>
      <c r="H2795" s="0" t="s">
        <v>2048</v>
      </c>
      <c r="J2795" s="0" t="s">
        <v>2340</v>
      </c>
      <c r="K2795" s="272" t="n">
        <v>60761.64</v>
      </c>
    </row>
    <row r="2796" customFormat="false" ht="15" hidden="false" customHeight="false" outlineLevel="0" collapsed="false">
      <c r="A2796" s="0" t="s">
        <v>2041</v>
      </c>
      <c r="B2796" s="0" t="s">
        <v>2042</v>
      </c>
      <c r="C2796" s="0" t="s">
        <v>2339</v>
      </c>
      <c r="D2796" s="0" t="s">
        <v>2044</v>
      </c>
      <c r="E2796" s="0" t="s">
        <v>2045</v>
      </c>
      <c r="F2796" s="0" t="s">
        <v>2046</v>
      </c>
      <c r="G2796" s="0" t="s">
        <v>2083</v>
      </c>
      <c r="H2796" s="0" t="s">
        <v>2048</v>
      </c>
      <c r="J2796" s="0" t="s">
        <v>2340</v>
      </c>
      <c r="K2796" s="272" t="n">
        <v>13463.01</v>
      </c>
    </row>
    <row r="2797" customFormat="false" ht="15" hidden="false" customHeight="false" outlineLevel="0" collapsed="false">
      <c r="A2797" s="0" t="s">
        <v>2041</v>
      </c>
      <c r="B2797" s="0" t="s">
        <v>2042</v>
      </c>
      <c r="C2797" s="0" t="s">
        <v>2339</v>
      </c>
      <c r="D2797" s="0" t="s">
        <v>2044</v>
      </c>
      <c r="E2797" s="0" t="s">
        <v>2045</v>
      </c>
      <c r="F2797" s="0" t="s">
        <v>2051</v>
      </c>
      <c r="G2797" s="0" t="s">
        <v>2083</v>
      </c>
      <c r="H2797" s="0" t="s">
        <v>2052</v>
      </c>
      <c r="J2797" s="0" t="s">
        <v>2340</v>
      </c>
      <c r="K2797" s="272" t="n">
        <v>345.21</v>
      </c>
    </row>
    <row r="2798" customFormat="false" ht="15" hidden="false" customHeight="false" outlineLevel="0" collapsed="false">
      <c r="A2798" s="0" t="s">
        <v>2041</v>
      </c>
      <c r="B2798" s="0" t="s">
        <v>2042</v>
      </c>
      <c r="C2798" s="0" t="s">
        <v>2339</v>
      </c>
      <c r="D2798" s="0" t="s">
        <v>2044</v>
      </c>
      <c r="E2798" s="0" t="s">
        <v>2045</v>
      </c>
      <c r="F2798" s="0" t="s">
        <v>2046</v>
      </c>
      <c r="G2798" s="0" t="s">
        <v>2084</v>
      </c>
      <c r="H2798" s="0" t="s">
        <v>2048</v>
      </c>
      <c r="J2798" s="0" t="s">
        <v>2340</v>
      </c>
      <c r="K2798" s="272" t="n">
        <v>7572.42</v>
      </c>
    </row>
    <row r="2799" customFormat="false" ht="15" hidden="false" customHeight="false" outlineLevel="0" collapsed="false">
      <c r="A2799" s="0" t="s">
        <v>2041</v>
      </c>
      <c r="B2799" s="0" t="s">
        <v>2042</v>
      </c>
      <c r="C2799" s="0" t="s">
        <v>2339</v>
      </c>
      <c r="D2799" s="0" t="s">
        <v>2044</v>
      </c>
      <c r="E2799" s="0" t="s">
        <v>2045</v>
      </c>
      <c r="F2799" s="0" t="s">
        <v>2051</v>
      </c>
      <c r="G2799" s="0" t="s">
        <v>2084</v>
      </c>
      <c r="H2799" s="0" t="s">
        <v>2052</v>
      </c>
      <c r="J2799" s="0" t="s">
        <v>2340</v>
      </c>
      <c r="K2799" s="272" t="n">
        <v>12832.92</v>
      </c>
    </row>
    <row r="2800" customFormat="false" ht="15" hidden="false" customHeight="false" outlineLevel="0" collapsed="false">
      <c r="A2800" s="0" t="s">
        <v>2041</v>
      </c>
      <c r="B2800" s="0" t="s">
        <v>2042</v>
      </c>
      <c r="C2800" s="0" t="s">
        <v>2339</v>
      </c>
      <c r="D2800" s="0" t="s">
        <v>2044</v>
      </c>
      <c r="E2800" s="0" t="s">
        <v>2045</v>
      </c>
      <c r="F2800" s="0" t="s">
        <v>2046</v>
      </c>
      <c r="G2800" s="0" t="s">
        <v>2085</v>
      </c>
      <c r="H2800" s="0" t="s">
        <v>2048</v>
      </c>
      <c r="J2800" s="0" t="s">
        <v>2340</v>
      </c>
      <c r="K2800" s="272" t="n">
        <v>21439.72</v>
      </c>
    </row>
    <row r="2801" customFormat="false" ht="15" hidden="false" customHeight="false" outlineLevel="0" collapsed="false">
      <c r="A2801" s="0" t="s">
        <v>2041</v>
      </c>
      <c r="B2801" s="0" t="s">
        <v>2042</v>
      </c>
      <c r="C2801" s="0" t="s">
        <v>2339</v>
      </c>
      <c r="D2801" s="0" t="s">
        <v>2044</v>
      </c>
      <c r="E2801" s="0" t="s">
        <v>2045</v>
      </c>
      <c r="F2801" s="0" t="s">
        <v>2051</v>
      </c>
      <c r="G2801" s="0" t="s">
        <v>2085</v>
      </c>
      <c r="H2801" s="0" t="s">
        <v>2052</v>
      </c>
      <c r="J2801" s="0" t="s">
        <v>2340</v>
      </c>
      <c r="K2801" s="272" t="n">
        <v>9382.19</v>
      </c>
    </row>
    <row r="2802" customFormat="false" ht="15" hidden="false" customHeight="false" outlineLevel="0" collapsed="false">
      <c r="A2802" s="0" t="s">
        <v>2041</v>
      </c>
      <c r="B2802" s="0" t="s">
        <v>2042</v>
      </c>
      <c r="C2802" s="0" t="s">
        <v>2339</v>
      </c>
      <c r="D2802" s="0" t="s">
        <v>2044</v>
      </c>
      <c r="E2802" s="0" t="s">
        <v>2045</v>
      </c>
      <c r="F2802" s="0" t="s">
        <v>2046</v>
      </c>
      <c r="G2802" s="0" t="s">
        <v>2086</v>
      </c>
      <c r="H2802" s="0" t="s">
        <v>2048</v>
      </c>
      <c r="J2802" s="0" t="s">
        <v>2340</v>
      </c>
      <c r="K2802" s="272" t="n">
        <v>23089.95</v>
      </c>
    </row>
    <row r="2803" customFormat="false" ht="15" hidden="false" customHeight="false" outlineLevel="0" collapsed="false">
      <c r="A2803" s="0" t="s">
        <v>2041</v>
      </c>
      <c r="B2803" s="0" t="s">
        <v>2042</v>
      </c>
      <c r="C2803" s="0" t="s">
        <v>2339</v>
      </c>
      <c r="D2803" s="0" t="s">
        <v>2044</v>
      </c>
      <c r="E2803" s="0" t="s">
        <v>2045</v>
      </c>
      <c r="F2803" s="0" t="s">
        <v>2051</v>
      </c>
      <c r="G2803" s="0" t="s">
        <v>2086</v>
      </c>
      <c r="H2803" s="0" t="s">
        <v>2052</v>
      </c>
      <c r="J2803" s="0" t="s">
        <v>2340</v>
      </c>
      <c r="K2803" s="272" t="n">
        <v>3212.09</v>
      </c>
    </row>
    <row r="2804" customFormat="false" ht="15" hidden="false" customHeight="false" outlineLevel="0" collapsed="false">
      <c r="A2804" s="0" t="s">
        <v>2041</v>
      </c>
      <c r="B2804" s="0" t="s">
        <v>2042</v>
      </c>
      <c r="C2804" s="0" t="s">
        <v>2339</v>
      </c>
      <c r="D2804" s="0" t="s">
        <v>2044</v>
      </c>
      <c r="E2804" s="0" t="s">
        <v>2045</v>
      </c>
      <c r="F2804" s="0" t="s">
        <v>2046</v>
      </c>
      <c r="G2804" s="0" t="s">
        <v>2087</v>
      </c>
      <c r="H2804" s="0" t="s">
        <v>2048</v>
      </c>
      <c r="J2804" s="0" t="s">
        <v>2340</v>
      </c>
      <c r="K2804" s="272" t="n">
        <v>20881.06</v>
      </c>
    </row>
    <row r="2805" customFormat="false" ht="15" hidden="false" customHeight="false" outlineLevel="0" collapsed="false">
      <c r="A2805" s="0" t="s">
        <v>2041</v>
      </c>
      <c r="B2805" s="0" t="s">
        <v>2042</v>
      </c>
      <c r="C2805" s="0" t="s">
        <v>2339</v>
      </c>
      <c r="D2805" s="0" t="s">
        <v>2044</v>
      </c>
      <c r="E2805" s="0" t="s">
        <v>2045</v>
      </c>
      <c r="F2805" s="0" t="s">
        <v>2051</v>
      </c>
      <c r="G2805" s="0" t="s">
        <v>2087</v>
      </c>
      <c r="H2805" s="0" t="s">
        <v>2052</v>
      </c>
      <c r="J2805" s="0" t="s">
        <v>2340</v>
      </c>
      <c r="K2805" s="272" t="n">
        <v>28625.74</v>
      </c>
    </row>
    <row r="2806" customFormat="false" ht="15" hidden="false" customHeight="false" outlineLevel="0" collapsed="false">
      <c r="A2806" s="0" t="s">
        <v>2041</v>
      </c>
      <c r="B2806" s="0" t="s">
        <v>2042</v>
      </c>
      <c r="C2806" s="0" t="s">
        <v>2339</v>
      </c>
      <c r="D2806" s="0" t="s">
        <v>2044</v>
      </c>
      <c r="E2806" s="0" t="s">
        <v>2045</v>
      </c>
      <c r="F2806" s="0" t="s">
        <v>2046</v>
      </c>
      <c r="G2806" s="0" t="s">
        <v>2088</v>
      </c>
      <c r="H2806" s="0" t="s">
        <v>2048</v>
      </c>
      <c r="J2806" s="0" t="s">
        <v>2340</v>
      </c>
      <c r="K2806" s="272" t="n">
        <v>29419.18</v>
      </c>
    </row>
    <row r="2807" customFormat="false" ht="15" hidden="false" customHeight="false" outlineLevel="0" collapsed="false">
      <c r="A2807" s="0" t="s">
        <v>2041</v>
      </c>
      <c r="B2807" s="0" t="s">
        <v>2042</v>
      </c>
      <c r="C2807" s="0" t="s">
        <v>2339</v>
      </c>
      <c r="D2807" s="0" t="s">
        <v>2044</v>
      </c>
      <c r="E2807" s="0" t="s">
        <v>2045</v>
      </c>
      <c r="F2807" s="0" t="s">
        <v>2051</v>
      </c>
      <c r="G2807" s="0" t="s">
        <v>2088</v>
      </c>
      <c r="H2807" s="0" t="s">
        <v>2052</v>
      </c>
      <c r="J2807" s="0" t="s">
        <v>2340</v>
      </c>
      <c r="K2807" s="272" t="n">
        <v>7249.32</v>
      </c>
    </row>
    <row r="2808" customFormat="false" ht="15" hidden="false" customHeight="false" outlineLevel="0" collapsed="false">
      <c r="A2808" s="0" t="s">
        <v>2041</v>
      </c>
      <c r="B2808" s="0" t="s">
        <v>2042</v>
      </c>
      <c r="C2808" s="0" t="s">
        <v>2339</v>
      </c>
      <c r="D2808" s="0" t="s">
        <v>2044</v>
      </c>
      <c r="E2808" s="0" t="s">
        <v>2045</v>
      </c>
      <c r="F2808" s="0" t="s">
        <v>2046</v>
      </c>
      <c r="G2808" s="0" t="s">
        <v>2089</v>
      </c>
      <c r="H2808" s="0" t="s">
        <v>2048</v>
      </c>
      <c r="J2808" s="0" t="s">
        <v>2340</v>
      </c>
      <c r="K2808" s="272" t="n">
        <v>8679.81</v>
      </c>
    </row>
    <row r="2809" customFormat="false" ht="15" hidden="false" customHeight="false" outlineLevel="0" collapsed="false">
      <c r="A2809" s="0" t="s">
        <v>2041</v>
      </c>
      <c r="B2809" s="0" t="s">
        <v>2042</v>
      </c>
      <c r="C2809" s="0" t="s">
        <v>2339</v>
      </c>
      <c r="D2809" s="0" t="s">
        <v>2044</v>
      </c>
      <c r="E2809" s="0" t="s">
        <v>2045</v>
      </c>
      <c r="F2809" s="0" t="s">
        <v>2051</v>
      </c>
      <c r="G2809" s="0" t="s">
        <v>2089</v>
      </c>
      <c r="H2809" s="0" t="s">
        <v>2052</v>
      </c>
      <c r="J2809" s="0" t="s">
        <v>2340</v>
      </c>
      <c r="K2809" s="272" t="n">
        <v>87.67</v>
      </c>
    </row>
    <row r="2810" customFormat="false" ht="15" hidden="false" customHeight="false" outlineLevel="0" collapsed="false">
      <c r="A2810" s="0" t="s">
        <v>2041</v>
      </c>
      <c r="B2810" s="0" t="s">
        <v>2042</v>
      </c>
      <c r="C2810" s="0" t="s">
        <v>2339</v>
      </c>
      <c r="D2810" s="0" t="s">
        <v>2044</v>
      </c>
      <c r="E2810" s="0" t="s">
        <v>2045</v>
      </c>
      <c r="F2810" s="0" t="s">
        <v>2046</v>
      </c>
      <c r="G2810" s="0" t="s">
        <v>2090</v>
      </c>
      <c r="H2810" s="0" t="s">
        <v>2048</v>
      </c>
      <c r="J2810" s="0" t="s">
        <v>2340</v>
      </c>
      <c r="K2810" s="272" t="n">
        <v>61855.46</v>
      </c>
    </row>
    <row r="2811" customFormat="false" ht="15" hidden="false" customHeight="false" outlineLevel="0" collapsed="false">
      <c r="A2811" s="0" t="s">
        <v>2041</v>
      </c>
      <c r="B2811" s="0" t="s">
        <v>2042</v>
      </c>
      <c r="C2811" s="0" t="s">
        <v>2339</v>
      </c>
      <c r="D2811" s="0" t="s">
        <v>2044</v>
      </c>
      <c r="E2811" s="0" t="s">
        <v>2045</v>
      </c>
      <c r="F2811" s="0" t="s">
        <v>2051</v>
      </c>
      <c r="G2811" s="0" t="s">
        <v>2090</v>
      </c>
      <c r="H2811" s="0" t="s">
        <v>2052</v>
      </c>
      <c r="J2811" s="0" t="s">
        <v>2340</v>
      </c>
      <c r="K2811" s="272" t="n">
        <v>18033.73</v>
      </c>
    </row>
    <row r="2812" customFormat="false" ht="15" hidden="false" customHeight="false" outlineLevel="0" collapsed="false">
      <c r="A2812" s="0" t="s">
        <v>2041</v>
      </c>
      <c r="B2812" s="0" t="s">
        <v>2042</v>
      </c>
      <c r="C2812" s="0" t="s">
        <v>2339</v>
      </c>
      <c r="D2812" s="0" t="s">
        <v>2044</v>
      </c>
      <c r="E2812" s="0" t="s">
        <v>2045</v>
      </c>
      <c r="F2812" s="0" t="s">
        <v>2046</v>
      </c>
      <c r="G2812" s="0" t="s">
        <v>2091</v>
      </c>
      <c r="H2812" s="0" t="s">
        <v>2048</v>
      </c>
      <c r="J2812" s="0" t="s">
        <v>2340</v>
      </c>
      <c r="K2812" s="272" t="n">
        <v>15463.16</v>
      </c>
    </row>
    <row r="2813" customFormat="false" ht="15" hidden="false" customHeight="false" outlineLevel="0" collapsed="false">
      <c r="A2813" s="0" t="s">
        <v>2041</v>
      </c>
      <c r="B2813" s="0" t="s">
        <v>2042</v>
      </c>
      <c r="C2813" s="0" t="s">
        <v>2339</v>
      </c>
      <c r="D2813" s="0" t="s">
        <v>2044</v>
      </c>
      <c r="E2813" s="0" t="s">
        <v>2045</v>
      </c>
      <c r="F2813" s="0" t="s">
        <v>2051</v>
      </c>
      <c r="G2813" s="0" t="s">
        <v>2091</v>
      </c>
      <c r="H2813" s="0" t="s">
        <v>2052</v>
      </c>
      <c r="J2813" s="0" t="s">
        <v>2340</v>
      </c>
      <c r="K2813" s="272" t="n">
        <v>22477.14</v>
      </c>
    </row>
    <row r="2814" customFormat="false" ht="15" hidden="false" customHeight="false" outlineLevel="0" collapsed="false">
      <c r="A2814" s="0" t="s">
        <v>2041</v>
      </c>
      <c r="B2814" s="0" t="s">
        <v>2042</v>
      </c>
      <c r="C2814" s="0" t="s">
        <v>2339</v>
      </c>
      <c r="D2814" s="0" t="s">
        <v>2044</v>
      </c>
      <c r="E2814" s="0" t="s">
        <v>2045</v>
      </c>
      <c r="F2814" s="0" t="s">
        <v>2046</v>
      </c>
      <c r="G2814" s="0" t="s">
        <v>2092</v>
      </c>
      <c r="H2814" s="0" t="s">
        <v>2048</v>
      </c>
      <c r="J2814" s="0" t="s">
        <v>2340</v>
      </c>
      <c r="K2814" s="272" t="n">
        <v>15940.04</v>
      </c>
    </row>
    <row r="2815" customFormat="false" ht="15" hidden="false" customHeight="false" outlineLevel="0" collapsed="false">
      <c r="A2815" s="0" t="s">
        <v>2041</v>
      </c>
      <c r="B2815" s="0" t="s">
        <v>2042</v>
      </c>
      <c r="C2815" s="0" t="s">
        <v>2339</v>
      </c>
      <c r="D2815" s="0" t="s">
        <v>2044</v>
      </c>
      <c r="E2815" s="0" t="s">
        <v>2045</v>
      </c>
      <c r="F2815" s="0" t="s">
        <v>2051</v>
      </c>
      <c r="G2815" s="0" t="s">
        <v>2092</v>
      </c>
      <c r="H2815" s="0" t="s">
        <v>2052</v>
      </c>
      <c r="J2815" s="0" t="s">
        <v>2340</v>
      </c>
      <c r="K2815" s="272" t="n">
        <v>838.94</v>
      </c>
    </row>
    <row r="2816" customFormat="false" ht="15" hidden="false" customHeight="false" outlineLevel="0" collapsed="false">
      <c r="A2816" s="0" t="s">
        <v>2041</v>
      </c>
      <c r="B2816" s="0" t="s">
        <v>2042</v>
      </c>
      <c r="C2816" s="0" t="s">
        <v>2339</v>
      </c>
      <c r="D2816" s="0" t="s">
        <v>2044</v>
      </c>
      <c r="E2816" s="0" t="s">
        <v>2045</v>
      </c>
      <c r="F2816" s="0" t="s">
        <v>2046</v>
      </c>
      <c r="G2816" s="0" t="s">
        <v>2093</v>
      </c>
      <c r="H2816" s="0" t="s">
        <v>2048</v>
      </c>
      <c r="J2816" s="0" t="s">
        <v>2340</v>
      </c>
      <c r="K2816" s="272" t="n">
        <v>34871.69</v>
      </c>
    </row>
    <row r="2817" customFormat="false" ht="15" hidden="false" customHeight="false" outlineLevel="0" collapsed="false">
      <c r="A2817" s="0" t="s">
        <v>2041</v>
      </c>
      <c r="B2817" s="0" t="s">
        <v>2042</v>
      </c>
      <c r="C2817" s="0" t="s">
        <v>2339</v>
      </c>
      <c r="D2817" s="0" t="s">
        <v>2044</v>
      </c>
      <c r="E2817" s="0" t="s">
        <v>2045</v>
      </c>
      <c r="F2817" s="0" t="s">
        <v>2051</v>
      </c>
      <c r="G2817" s="0" t="s">
        <v>2093</v>
      </c>
      <c r="H2817" s="0" t="s">
        <v>2052</v>
      </c>
      <c r="J2817" s="0" t="s">
        <v>2340</v>
      </c>
      <c r="K2817" s="272" t="n">
        <v>3068.61</v>
      </c>
    </row>
    <row r="2818" customFormat="false" ht="15" hidden="false" customHeight="false" outlineLevel="0" collapsed="false">
      <c r="A2818" s="0" t="s">
        <v>2041</v>
      </c>
      <c r="B2818" s="0" t="s">
        <v>2042</v>
      </c>
      <c r="C2818" s="0" t="s">
        <v>2339</v>
      </c>
      <c r="D2818" s="0" t="s">
        <v>2044</v>
      </c>
      <c r="E2818" s="0" t="s">
        <v>2045</v>
      </c>
      <c r="F2818" s="0" t="s">
        <v>2046</v>
      </c>
      <c r="G2818" s="0" t="s">
        <v>2094</v>
      </c>
      <c r="H2818" s="0" t="s">
        <v>2048</v>
      </c>
      <c r="J2818" s="0" t="s">
        <v>2340</v>
      </c>
      <c r="K2818" s="272" t="n">
        <v>22959.85</v>
      </c>
    </row>
    <row r="2819" customFormat="false" ht="15" hidden="false" customHeight="false" outlineLevel="0" collapsed="false">
      <c r="A2819" s="0" t="s">
        <v>2041</v>
      </c>
      <c r="B2819" s="0" t="s">
        <v>2042</v>
      </c>
      <c r="C2819" s="0" t="s">
        <v>2339</v>
      </c>
      <c r="D2819" s="0" t="s">
        <v>2044</v>
      </c>
      <c r="E2819" s="0" t="s">
        <v>2045</v>
      </c>
      <c r="F2819" s="0" t="s">
        <v>2051</v>
      </c>
      <c r="G2819" s="0" t="s">
        <v>2094</v>
      </c>
      <c r="H2819" s="0" t="s">
        <v>2052</v>
      </c>
      <c r="J2819" s="0" t="s">
        <v>2340</v>
      </c>
      <c r="K2819" s="272" t="n">
        <v>17929</v>
      </c>
    </row>
    <row r="2820" customFormat="false" ht="15" hidden="false" customHeight="false" outlineLevel="0" collapsed="false">
      <c r="A2820" s="0" t="s">
        <v>2041</v>
      </c>
      <c r="B2820" s="0" t="s">
        <v>2042</v>
      </c>
      <c r="C2820" s="0" t="s">
        <v>2339</v>
      </c>
      <c r="D2820" s="0" t="s">
        <v>2044</v>
      </c>
      <c r="E2820" s="0" t="s">
        <v>2045</v>
      </c>
      <c r="F2820" s="0" t="s">
        <v>2046</v>
      </c>
      <c r="G2820" s="0" t="s">
        <v>2095</v>
      </c>
      <c r="H2820" s="0" t="s">
        <v>2048</v>
      </c>
      <c r="J2820" s="0" t="s">
        <v>2340</v>
      </c>
      <c r="K2820" s="272" t="n">
        <v>37596.72</v>
      </c>
    </row>
    <row r="2821" customFormat="false" ht="15" hidden="false" customHeight="false" outlineLevel="0" collapsed="false">
      <c r="A2821" s="0" t="s">
        <v>2041</v>
      </c>
      <c r="B2821" s="0" t="s">
        <v>2042</v>
      </c>
      <c r="C2821" s="0" t="s">
        <v>2339</v>
      </c>
      <c r="D2821" s="0" t="s">
        <v>2044</v>
      </c>
      <c r="E2821" s="0" t="s">
        <v>2045</v>
      </c>
      <c r="F2821" s="0" t="s">
        <v>2051</v>
      </c>
      <c r="G2821" s="0" t="s">
        <v>2095</v>
      </c>
      <c r="H2821" s="0" t="s">
        <v>2052</v>
      </c>
      <c r="J2821" s="0" t="s">
        <v>2340</v>
      </c>
      <c r="K2821" s="272" t="n">
        <v>17495.88</v>
      </c>
    </row>
    <row r="2822" customFormat="false" ht="15" hidden="false" customHeight="false" outlineLevel="0" collapsed="false">
      <c r="A2822" s="0" t="s">
        <v>2041</v>
      </c>
      <c r="B2822" s="0" t="s">
        <v>2042</v>
      </c>
      <c r="C2822" s="0" t="s">
        <v>2339</v>
      </c>
      <c r="D2822" s="0" t="s">
        <v>2044</v>
      </c>
      <c r="E2822" s="0" t="s">
        <v>2045</v>
      </c>
      <c r="F2822" s="0" t="s">
        <v>2046</v>
      </c>
      <c r="G2822" s="0" t="s">
        <v>2096</v>
      </c>
      <c r="H2822" s="0" t="s">
        <v>2048</v>
      </c>
      <c r="J2822" s="0" t="s">
        <v>2340</v>
      </c>
      <c r="K2822" s="272" t="n">
        <v>8812.15</v>
      </c>
    </row>
    <row r="2823" customFormat="false" ht="15" hidden="false" customHeight="false" outlineLevel="0" collapsed="false">
      <c r="A2823" s="0" t="s">
        <v>2041</v>
      </c>
      <c r="B2823" s="0" t="s">
        <v>2042</v>
      </c>
      <c r="C2823" s="0" t="s">
        <v>2339</v>
      </c>
      <c r="D2823" s="0" t="s">
        <v>2044</v>
      </c>
      <c r="E2823" s="0" t="s">
        <v>2045</v>
      </c>
      <c r="F2823" s="0" t="s">
        <v>2051</v>
      </c>
      <c r="G2823" s="0" t="s">
        <v>2096</v>
      </c>
      <c r="H2823" s="0" t="s">
        <v>2052</v>
      </c>
      <c r="J2823" s="0" t="s">
        <v>2340</v>
      </c>
      <c r="K2823" s="272" t="n">
        <v>8812.15</v>
      </c>
    </row>
    <row r="2824" customFormat="false" ht="15" hidden="false" customHeight="false" outlineLevel="0" collapsed="false">
      <c r="A2824" s="0" t="s">
        <v>2041</v>
      </c>
      <c r="B2824" s="0" t="s">
        <v>2042</v>
      </c>
      <c r="C2824" s="0" t="s">
        <v>2339</v>
      </c>
      <c r="D2824" s="0" t="s">
        <v>2044</v>
      </c>
      <c r="E2824" s="0" t="s">
        <v>2045</v>
      </c>
      <c r="F2824" s="0" t="s">
        <v>2046</v>
      </c>
      <c r="G2824" s="0" t="s">
        <v>2098</v>
      </c>
      <c r="H2824" s="0" t="s">
        <v>2048</v>
      </c>
      <c r="J2824" s="0" t="s">
        <v>2340</v>
      </c>
      <c r="K2824" s="272" t="n">
        <v>11405.1</v>
      </c>
    </row>
    <row r="2825" customFormat="false" ht="15" hidden="false" customHeight="false" outlineLevel="0" collapsed="false">
      <c r="A2825" s="0" t="s">
        <v>2041</v>
      </c>
      <c r="B2825" s="0" t="s">
        <v>2042</v>
      </c>
      <c r="C2825" s="0" t="s">
        <v>2339</v>
      </c>
      <c r="D2825" s="0" t="s">
        <v>2044</v>
      </c>
      <c r="E2825" s="0" t="s">
        <v>2045</v>
      </c>
      <c r="F2825" s="0" t="s">
        <v>2051</v>
      </c>
      <c r="G2825" s="0" t="s">
        <v>2098</v>
      </c>
      <c r="H2825" s="0" t="s">
        <v>2052</v>
      </c>
      <c r="J2825" s="0" t="s">
        <v>2340</v>
      </c>
      <c r="K2825" s="272" t="n">
        <v>232.76</v>
      </c>
    </row>
    <row r="2826" customFormat="false" ht="15" hidden="false" customHeight="false" outlineLevel="0" collapsed="false">
      <c r="A2826" s="0" t="s">
        <v>2041</v>
      </c>
      <c r="B2826" s="0" t="s">
        <v>2042</v>
      </c>
      <c r="C2826" s="0" t="s">
        <v>2339</v>
      </c>
      <c r="D2826" s="0" t="s">
        <v>2044</v>
      </c>
      <c r="E2826" s="0" t="s">
        <v>2045</v>
      </c>
      <c r="F2826" s="0" t="s">
        <v>2099</v>
      </c>
      <c r="G2826" s="0" t="s">
        <v>2064</v>
      </c>
      <c r="H2826" s="0" t="s">
        <v>2100</v>
      </c>
      <c r="J2826" s="0" t="s">
        <v>2340</v>
      </c>
      <c r="K2826" s="272" t="n">
        <v>64388.83</v>
      </c>
    </row>
    <row r="2827" customFormat="false" ht="15" hidden="false" customHeight="false" outlineLevel="0" collapsed="false">
      <c r="A2827" s="0" t="s">
        <v>2041</v>
      </c>
      <c r="B2827" s="0" t="s">
        <v>2042</v>
      </c>
      <c r="C2827" s="0" t="s">
        <v>2339</v>
      </c>
      <c r="D2827" s="0" t="s">
        <v>2044</v>
      </c>
      <c r="E2827" s="0" t="s">
        <v>2045</v>
      </c>
      <c r="F2827" s="0" t="s">
        <v>2099</v>
      </c>
      <c r="G2827" s="0" t="s">
        <v>2076</v>
      </c>
      <c r="H2827" s="0" t="s">
        <v>2100</v>
      </c>
      <c r="J2827" s="0" t="s">
        <v>2340</v>
      </c>
      <c r="K2827" s="272" t="n">
        <v>11637.86</v>
      </c>
    </row>
    <row r="2828" customFormat="false" ht="15" hidden="false" customHeight="false" outlineLevel="0" collapsed="false">
      <c r="A2828" s="0" t="s">
        <v>2041</v>
      </c>
      <c r="B2828" s="0" t="s">
        <v>2042</v>
      </c>
      <c r="C2828" s="0" t="s">
        <v>2339</v>
      </c>
      <c r="D2828" s="0" t="s">
        <v>2044</v>
      </c>
      <c r="E2828" s="0" t="s">
        <v>2045</v>
      </c>
      <c r="F2828" s="0" t="s">
        <v>2099</v>
      </c>
      <c r="G2828" s="0" t="s">
        <v>2081</v>
      </c>
      <c r="H2828" s="0" t="s">
        <v>2100</v>
      </c>
      <c r="J2828" s="0" t="s">
        <v>2340</v>
      </c>
      <c r="K2828" s="272" t="n">
        <v>11637.86</v>
      </c>
    </row>
    <row r="2829" customFormat="false" ht="15" hidden="false" customHeight="false" outlineLevel="0" collapsed="false">
      <c r="A2829" s="0" t="s">
        <v>2041</v>
      </c>
      <c r="B2829" s="0" t="s">
        <v>2042</v>
      </c>
      <c r="C2829" s="0" t="s">
        <v>2339</v>
      </c>
      <c r="D2829" s="0" t="s">
        <v>2044</v>
      </c>
      <c r="E2829" s="0" t="s">
        <v>2045</v>
      </c>
      <c r="F2829" s="0" t="s">
        <v>2099</v>
      </c>
      <c r="G2829" s="0" t="s">
        <v>2085</v>
      </c>
      <c r="H2829" s="0" t="s">
        <v>2100</v>
      </c>
      <c r="J2829" s="0" t="s">
        <v>2340</v>
      </c>
      <c r="K2829" s="272" t="n">
        <v>11342.46</v>
      </c>
    </row>
    <row r="2830" customFormat="false" ht="15" hidden="false" customHeight="false" outlineLevel="0" collapsed="false">
      <c r="A2830" s="0" t="s">
        <v>2041</v>
      </c>
      <c r="B2830" s="0" t="s">
        <v>2042</v>
      </c>
      <c r="C2830" s="0" t="s">
        <v>2339</v>
      </c>
      <c r="D2830" s="0" t="s">
        <v>2044</v>
      </c>
      <c r="E2830" s="0" t="s">
        <v>2045</v>
      </c>
      <c r="F2830" s="0" t="s">
        <v>2099</v>
      </c>
      <c r="G2830" s="0" t="s">
        <v>2086</v>
      </c>
      <c r="H2830" s="0" t="s">
        <v>2100</v>
      </c>
      <c r="J2830" s="0" t="s">
        <v>2340</v>
      </c>
      <c r="K2830" s="272" t="n">
        <v>5818.93</v>
      </c>
    </row>
    <row r="2831" customFormat="false" ht="15" hidden="false" customHeight="false" outlineLevel="0" collapsed="false">
      <c r="A2831" s="0" t="s">
        <v>2041</v>
      </c>
      <c r="B2831" s="0" t="s">
        <v>2042</v>
      </c>
      <c r="C2831" s="0" t="s">
        <v>2339</v>
      </c>
      <c r="D2831" s="0" t="s">
        <v>2044</v>
      </c>
      <c r="E2831" s="0" t="s">
        <v>2045</v>
      </c>
      <c r="F2831" s="0" t="s">
        <v>2099</v>
      </c>
      <c r="G2831" s="0" t="s">
        <v>2095</v>
      </c>
      <c r="H2831" s="0" t="s">
        <v>2100</v>
      </c>
      <c r="J2831" s="0" t="s">
        <v>2340</v>
      </c>
      <c r="K2831" s="272" t="n">
        <v>5818.93</v>
      </c>
    </row>
    <row r="2832" customFormat="false" ht="15" hidden="false" customHeight="false" outlineLevel="0" collapsed="false">
      <c r="A2832" s="0" t="s">
        <v>2041</v>
      </c>
      <c r="B2832" s="0" t="s">
        <v>2042</v>
      </c>
      <c r="C2832" s="0" t="s">
        <v>2339</v>
      </c>
      <c r="D2832" s="0" t="s">
        <v>2044</v>
      </c>
      <c r="E2832" s="0" t="s">
        <v>2045</v>
      </c>
      <c r="F2832" s="0" t="s">
        <v>2099</v>
      </c>
      <c r="G2832" s="0" t="s">
        <v>2096</v>
      </c>
      <c r="H2832" s="0" t="s">
        <v>2100</v>
      </c>
      <c r="J2832" s="0" t="s">
        <v>2340</v>
      </c>
      <c r="K2832" s="272" t="n">
        <v>8767.48</v>
      </c>
    </row>
    <row r="2833" customFormat="false" ht="15" hidden="false" customHeight="false" outlineLevel="0" collapsed="false">
      <c r="A2833" s="0" t="s">
        <v>2041</v>
      </c>
      <c r="B2833" s="0" t="s">
        <v>2042</v>
      </c>
      <c r="C2833" s="0" t="s">
        <v>2341</v>
      </c>
      <c r="D2833" s="0" t="s">
        <v>2105</v>
      </c>
      <c r="E2833" s="0" t="s">
        <v>2045</v>
      </c>
      <c r="F2833" s="0" t="s">
        <v>2163</v>
      </c>
      <c r="G2833" s="0" t="s">
        <v>2168</v>
      </c>
      <c r="H2833" s="0" t="s">
        <v>2169</v>
      </c>
      <c r="J2833" s="0" t="s">
        <v>2342</v>
      </c>
      <c r="K2833" s="272" t="n">
        <v>10000</v>
      </c>
    </row>
    <row r="2834" customFormat="false" ht="15" hidden="false" customHeight="false" outlineLevel="0" collapsed="false">
      <c r="A2834" s="0" t="s">
        <v>2041</v>
      </c>
      <c r="B2834" s="0" t="s">
        <v>2042</v>
      </c>
      <c r="C2834" s="0" t="s">
        <v>2341</v>
      </c>
      <c r="D2834" s="0" t="s">
        <v>2105</v>
      </c>
      <c r="E2834" s="0" t="s">
        <v>2045</v>
      </c>
      <c r="F2834" s="0" t="s">
        <v>2163</v>
      </c>
      <c r="G2834" s="0" t="s">
        <v>2172</v>
      </c>
      <c r="H2834" s="0" t="s">
        <v>2173</v>
      </c>
      <c r="J2834" s="0" t="s">
        <v>2342</v>
      </c>
      <c r="K2834" s="272" t="n">
        <v>10000</v>
      </c>
    </row>
    <row r="2835" customFormat="false" ht="15" hidden="false" customHeight="false" outlineLevel="0" collapsed="false">
      <c r="A2835" s="0" t="s">
        <v>2041</v>
      </c>
      <c r="B2835" s="0" t="s">
        <v>2042</v>
      </c>
      <c r="C2835" s="0" t="s">
        <v>2341</v>
      </c>
      <c r="D2835" s="0" t="s">
        <v>2105</v>
      </c>
      <c r="E2835" s="0" t="s">
        <v>2045</v>
      </c>
      <c r="F2835" s="0" t="s">
        <v>2176</v>
      </c>
      <c r="G2835" s="0" t="s">
        <v>2190</v>
      </c>
      <c r="H2835" s="0" t="s">
        <v>2191</v>
      </c>
      <c r="J2835" s="0" t="s">
        <v>2342</v>
      </c>
      <c r="K2835" s="272" t="n">
        <v>31750</v>
      </c>
    </row>
    <row r="2836" customFormat="false" ht="15" hidden="false" customHeight="false" outlineLevel="0" collapsed="false">
      <c r="A2836" s="0" t="s">
        <v>2041</v>
      </c>
      <c r="B2836" s="0" t="s">
        <v>2042</v>
      </c>
      <c r="C2836" s="0" t="s">
        <v>2341</v>
      </c>
      <c r="D2836" s="0" t="s">
        <v>2105</v>
      </c>
      <c r="E2836" s="0" t="s">
        <v>2045</v>
      </c>
      <c r="F2836" s="0" t="s">
        <v>2192</v>
      </c>
      <c r="G2836" s="0" t="s">
        <v>2194</v>
      </c>
      <c r="H2836" s="0" t="s">
        <v>2162</v>
      </c>
      <c r="J2836" s="0" t="s">
        <v>2342</v>
      </c>
      <c r="K2836" s="272" t="n">
        <v>43500</v>
      </c>
    </row>
    <row r="2837" customFormat="false" ht="15" hidden="false" customHeight="false" outlineLevel="0" collapsed="false">
      <c r="A2837" s="0" t="s">
        <v>2041</v>
      </c>
      <c r="B2837" s="0" t="s">
        <v>2042</v>
      </c>
      <c r="C2837" s="0" t="s">
        <v>2341</v>
      </c>
      <c r="D2837" s="0" t="s">
        <v>2105</v>
      </c>
      <c r="E2837" s="0" t="s">
        <v>2045</v>
      </c>
      <c r="F2837" s="0" t="s">
        <v>2051</v>
      </c>
      <c r="G2837" s="0" t="s">
        <v>2110</v>
      </c>
      <c r="H2837" s="0" t="s">
        <v>2111</v>
      </c>
      <c r="J2837" s="0" t="s">
        <v>2342</v>
      </c>
      <c r="K2837" s="272" t="n">
        <v>2175</v>
      </c>
    </row>
    <row r="2838" customFormat="false" ht="15" hidden="false" customHeight="false" outlineLevel="0" collapsed="false">
      <c r="A2838" s="0" t="s">
        <v>2041</v>
      </c>
      <c r="B2838" s="0" t="s">
        <v>2042</v>
      </c>
      <c r="C2838" s="0" t="s">
        <v>2341</v>
      </c>
      <c r="D2838" s="0" t="s">
        <v>2105</v>
      </c>
      <c r="E2838" s="0" t="s">
        <v>2045</v>
      </c>
      <c r="F2838" s="0" t="s">
        <v>2051</v>
      </c>
      <c r="G2838" s="0" t="s">
        <v>2110</v>
      </c>
      <c r="H2838" s="0" t="s">
        <v>2113</v>
      </c>
      <c r="J2838" s="0" t="s">
        <v>2342</v>
      </c>
      <c r="K2838" s="272" t="n">
        <v>13050</v>
      </c>
    </row>
    <row r="2839" customFormat="false" ht="15" hidden="false" customHeight="false" outlineLevel="0" collapsed="false">
      <c r="A2839" s="0" t="s">
        <v>2041</v>
      </c>
      <c r="B2839" s="0" t="s">
        <v>2042</v>
      </c>
      <c r="C2839" s="0" t="s">
        <v>2341</v>
      </c>
      <c r="D2839" s="0" t="s">
        <v>2105</v>
      </c>
      <c r="E2839" s="0" t="s">
        <v>2045</v>
      </c>
      <c r="F2839" s="0" t="s">
        <v>2051</v>
      </c>
      <c r="G2839" s="0" t="s">
        <v>2114</v>
      </c>
      <c r="H2839" s="0" t="s">
        <v>2116</v>
      </c>
      <c r="J2839" s="0" t="s">
        <v>2342</v>
      </c>
      <c r="K2839" s="272" t="n">
        <v>6525</v>
      </c>
    </row>
    <row r="2840" customFormat="false" ht="15" hidden="false" customHeight="false" outlineLevel="0" collapsed="false">
      <c r="A2840" s="0" t="s">
        <v>2041</v>
      </c>
      <c r="B2840" s="0" t="s">
        <v>2042</v>
      </c>
      <c r="C2840" s="0" t="s">
        <v>2341</v>
      </c>
      <c r="D2840" s="0" t="s">
        <v>2105</v>
      </c>
      <c r="E2840" s="0" t="s">
        <v>2045</v>
      </c>
      <c r="F2840" s="0" t="s">
        <v>2051</v>
      </c>
      <c r="G2840" s="0" t="s">
        <v>2123</v>
      </c>
      <c r="H2840" s="0" t="s">
        <v>2112</v>
      </c>
      <c r="J2840" s="0" t="s">
        <v>2342</v>
      </c>
      <c r="K2840" s="272" t="n">
        <v>4350</v>
      </c>
    </row>
    <row r="2841" customFormat="false" ht="15" hidden="false" customHeight="false" outlineLevel="0" collapsed="false">
      <c r="A2841" s="0" t="s">
        <v>2041</v>
      </c>
      <c r="B2841" s="0" t="s">
        <v>2042</v>
      </c>
      <c r="C2841" s="0" t="s">
        <v>2341</v>
      </c>
      <c r="D2841" s="0" t="s">
        <v>2105</v>
      </c>
      <c r="E2841" s="0" t="s">
        <v>2045</v>
      </c>
      <c r="F2841" s="0" t="s">
        <v>2051</v>
      </c>
      <c r="G2841" s="0" t="s">
        <v>2123</v>
      </c>
      <c r="H2841" s="0" t="s">
        <v>2113</v>
      </c>
      <c r="J2841" s="0" t="s">
        <v>2342</v>
      </c>
      <c r="K2841" s="272" t="n">
        <v>17400</v>
      </c>
    </row>
    <row r="2842" customFormat="false" ht="15" hidden="false" customHeight="false" outlineLevel="0" collapsed="false">
      <c r="A2842" s="0" t="s">
        <v>2041</v>
      </c>
      <c r="B2842" s="0" t="s">
        <v>2042</v>
      </c>
      <c r="C2842" s="0" t="s">
        <v>2341</v>
      </c>
      <c r="D2842" s="0" t="s">
        <v>2105</v>
      </c>
      <c r="E2842" s="0" t="s">
        <v>2045</v>
      </c>
      <c r="F2842" s="0" t="s">
        <v>2046</v>
      </c>
      <c r="G2842" s="0" t="s">
        <v>2125</v>
      </c>
      <c r="H2842" s="0" t="s">
        <v>2128</v>
      </c>
      <c r="J2842" s="0" t="s">
        <v>2342</v>
      </c>
      <c r="K2842" s="272" t="n">
        <v>10000</v>
      </c>
    </row>
    <row r="2843" customFormat="false" ht="15" hidden="false" customHeight="false" outlineLevel="0" collapsed="false">
      <c r="A2843" s="0" t="s">
        <v>2041</v>
      </c>
      <c r="B2843" s="0" t="s">
        <v>2042</v>
      </c>
      <c r="C2843" s="0" t="s">
        <v>2341</v>
      </c>
      <c r="D2843" s="0" t="s">
        <v>2105</v>
      </c>
      <c r="E2843" s="0" t="s">
        <v>2045</v>
      </c>
      <c r="F2843" s="0" t="s">
        <v>2046</v>
      </c>
      <c r="G2843" s="0" t="s">
        <v>2125</v>
      </c>
      <c r="H2843" s="0" t="s">
        <v>2138</v>
      </c>
      <c r="J2843" s="0" t="s">
        <v>2342</v>
      </c>
      <c r="K2843" s="272" t="n">
        <v>10000</v>
      </c>
    </row>
    <row r="2844" customFormat="false" ht="15" hidden="false" customHeight="false" outlineLevel="0" collapsed="false">
      <c r="A2844" s="0" t="s">
        <v>2041</v>
      </c>
      <c r="B2844" s="0" t="s">
        <v>2042</v>
      </c>
      <c r="C2844" s="0" t="s">
        <v>2341</v>
      </c>
      <c r="D2844" s="0" t="s">
        <v>2105</v>
      </c>
      <c r="E2844" s="0" t="s">
        <v>2045</v>
      </c>
      <c r="F2844" s="0" t="s">
        <v>2046</v>
      </c>
      <c r="G2844" s="0" t="s">
        <v>2125</v>
      </c>
      <c r="H2844" s="0" t="s">
        <v>2140</v>
      </c>
      <c r="J2844" s="0" t="s">
        <v>2342</v>
      </c>
      <c r="K2844" s="272" t="n">
        <v>31500</v>
      </c>
    </row>
    <row r="2845" customFormat="false" ht="15" hidden="false" customHeight="false" outlineLevel="0" collapsed="false">
      <c r="A2845" s="0" t="s">
        <v>2041</v>
      </c>
      <c r="B2845" s="0" t="s">
        <v>2042</v>
      </c>
      <c r="C2845" s="0" t="s">
        <v>2341</v>
      </c>
      <c r="D2845" s="0" t="s">
        <v>2105</v>
      </c>
      <c r="E2845" s="0" t="s">
        <v>2045</v>
      </c>
      <c r="F2845" s="0" t="s">
        <v>2225</v>
      </c>
      <c r="G2845" s="0" t="s">
        <v>2228</v>
      </c>
      <c r="H2845" s="0" t="s">
        <v>2227</v>
      </c>
      <c r="J2845" s="0" t="s">
        <v>2342</v>
      </c>
      <c r="K2845" s="272" t="n">
        <v>21750</v>
      </c>
    </row>
    <row r="2846" customFormat="false" ht="15" hidden="false" customHeight="false" outlineLevel="0" collapsed="false">
      <c r="A2846" s="0" t="s">
        <v>2041</v>
      </c>
      <c r="B2846" s="0" t="s">
        <v>2042</v>
      </c>
      <c r="C2846" s="0" t="s">
        <v>2341</v>
      </c>
      <c r="D2846" s="0" t="s">
        <v>2105</v>
      </c>
      <c r="E2846" s="0" t="s">
        <v>2045</v>
      </c>
      <c r="F2846" s="0" t="s">
        <v>2099</v>
      </c>
      <c r="G2846" s="0" t="s">
        <v>2236</v>
      </c>
      <c r="H2846" s="0" t="s">
        <v>2233</v>
      </c>
      <c r="J2846" s="0" t="s">
        <v>2342</v>
      </c>
      <c r="K2846" s="272" t="n">
        <v>31750</v>
      </c>
    </row>
    <row r="2847" customFormat="false" ht="15" hidden="false" customHeight="false" outlineLevel="0" collapsed="false">
      <c r="A2847" s="0" t="s">
        <v>2041</v>
      </c>
      <c r="B2847" s="0" t="s">
        <v>2042</v>
      </c>
      <c r="C2847" s="0" t="s">
        <v>2341</v>
      </c>
      <c r="D2847" s="0" t="s">
        <v>2105</v>
      </c>
      <c r="E2847" s="0" t="s">
        <v>2045</v>
      </c>
      <c r="F2847" s="0" t="s">
        <v>2099</v>
      </c>
      <c r="G2847" s="0" t="s">
        <v>2240</v>
      </c>
      <c r="H2847" s="0" t="s">
        <v>2100</v>
      </c>
      <c r="J2847" s="0" t="s">
        <v>2342</v>
      </c>
      <c r="K2847" s="272" t="n">
        <v>9000</v>
      </c>
    </row>
    <row r="2848" customFormat="false" ht="15" hidden="false" customHeight="false" outlineLevel="0" collapsed="false">
      <c r="A2848" s="0" t="s">
        <v>2041</v>
      </c>
      <c r="B2848" s="0" t="s">
        <v>2042</v>
      </c>
      <c r="C2848" s="0" t="s">
        <v>2341</v>
      </c>
      <c r="D2848" s="0" t="s">
        <v>2105</v>
      </c>
      <c r="E2848" s="0" t="s">
        <v>2045</v>
      </c>
      <c r="F2848" s="0" t="s">
        <v>2256</v>
      </c>
      <c r="G2848" s="0" t="s">
        <v>2260</v>
      </c>
      <c r="H2848" s="0" t="s">
        <v>2261</v>
      </c>
      <c r="J2848" s="0" t="s">
        <v>2342</v>
      </c>
      <c r="K2848" s="272" t="n">
        <v>20000</v>
      </c>
    </row>
    <row r="2849" customFormat="false" ht="15" hidden="false" customHeight="false" outlineLevel="0" collapsed="false">
      <c r="A2849" s="0" t="s">
        <v>2041</v>
      </c>
      <c r="B2849" s="0" t="s">
        <v>2042</v>
      </c>
      <c r="C2849" s="0" t="s">
        <v>2341</v>
      </c>
      <c r="D2849" s="0" t="s">
        <v>2105</v>
      </c>
      <c r="E2849" s="0" t="s">
        <v>2045</v>
      </c>
      <c r="F2849" s="0" t="s">
        <v>2150</v>
      </c>
      <c r="G2849" s="0" t="s">
        <v>2151</v>
      </c>
      <c r="H2849" s="0" t="s">
        <v>2271</v>
      </c>
      <c r="J2849" s="0" t="s">
        <v>2342</v>
      </c>
      <c r="K2849" s="272" t="n">
        <v>21750</v>
      </c>
    </row>
    <row r="2850" customFormat="false" ht="15" hidden="false" customHeight="false" outlineLevel="0" collapsed="false">
      <c r="A2850" s="0" t="s">
        <v>2041</v>
      </c>
      <c r="B2850" s="0" t="s">
        <v>2042</v>
      </c>
      <c r="C2850" s="0" t="s">
        <v>2341</v>
      </c>
      <c r="D2850" s="0" t="s">
        <v>2105</v>
      </c>
      <c r="E2850" s="0" t="s">
        <v>2045</v>
      </c>
      <c r="F2850" s="0" t="s">
        <v>2150</v>
      </c>
      <c r="G2850" s="0" t="s">
        <v>2151</v>
      </c>
      <c r="H2850" s="0" t="s">
        <v>2152</v>
      </c>
      <c r="J2850" s="0" t="s">
        <v>2342</v>
      </c>
      <c r="K2850" s="272" t="n">
        <v>203250</v>
      </c>
    </row>
    <row r="2851" customFormat="false" ht="15" hidden="false" customHeight="false" outlineLevel="0" collapsed="false">
      <c r="A2851" s="0" t="s">
        <v>2041</v>
      </c>
      <c r="B2851" s="0" t="s">
        <v>2042</v>
      </c>
      <c r="C2851" s="0" t="s">
        <v>2341</v>
      </c>
      <c r="D2851" s="0" t="s">
        <v>2105</v>
      </c>
      <c r="E2851" s="0" t="s">
        <v>2045</v>
      </c>
      <c r="F2851" s="0" t="s">
        <v>2150</v>
      </c>
      <c r="G2851" s="0" t="s">
        <v>2151</v>
      </c>
      <c r="H2851" s="0" t="s">
        <v>2153</v>
      </c>
      <c r="J2851" s="0" t="s">
        <v>2342</v>
      </c>
      <c r="K2851" s="272" t="n">
        <v>21750</v>
      </c>
    </row>
    <row r="2852" customFormat="false" ht="15" hidden="false" customHeight="false" outlineLevel="0" collapsed="false">
      <c r="A2852" s="0" t="s">
        <v>2041</v>
      </c>
      <c r="B2852" s="0" t="s">
        <v>2042</v>
      </c>
      <c r="C2852" s="0" t="s">
        <v>2341</v>
      </c>
      <c r="D2852" s="0" t="s">
        <v>2105</v>
      </c>
      <c r="E2852" s="0" t="s">
        <v>2045</v>
      </c>
      <c r="F2852" s="0" t="s">
        <v>2150</v>
      </c>
      <c r="G2852" s="0" t="s">
        <v>2155</v>
      </c>
      <c r="H2852" s="0" t="s">
        <v>2154</v>
      </c>
      <c r="J2852" s="0" t="s">
        <v>2342</v>
      </c>
      <c r="K2852" s="272" t="n">
        <v>48000</v>
      </c>
    </row>
    <row r="2853" customFormat="false" ht="15" hidden="false" customHeight="false" outlineLevel="0" collapsed="false">
      <c r="A2853" s="0" t="s">
        <v>2041</v>
      </c>
      <c r="B2853" s="0" t="s">
        <v>2042</v>
      </c>
      <c r="C2853" s="0" t="s">
        <v>2341</v>
      </c>
      <c r="D2853" s="0" t="s">
        <v>2044</v>
      </c>
      <c r="E2853" s="0" t="s">
        <v>2045</v>
      </c>
      <c r="F2853" s="0" t="s">
        <v>2046</v>
      </c>
      <c r="G2853" s="0" t="s">
        <v>2056</v>
      </c>
      <c r="H2853" s="0" t="s">
        <v>2048</v>
      </c>
      <c r="J2853" s="0" t="s">
        <v>2342</v>
      </c>
      <c r="K2853" s="272" t="n">
        <v>450</v>
      </c>
    </row>
    <row r="2854" customFormat="false" ht="15" hidden="false" customHeight="false" outlineLevel="0" collapsed="false">
      <c r="A2854" s="0" t="s">
        <v>2041</v>
      </c>
      <c r="B2854" s="0" t="s">
        <v>2042</v>
      </c>
      <c r="C2854" s="0" t="s">
        <v>2341</v>
      </c>
      <c r="D2854" s="0" t="s">
        <v>2044</v>
      </c>
      <c r="E2854" s="0" t="s">
        <v>2045</v>
      </c>
      <c r="F2854" s="0" t="s">
        <v>2051</v>
      </c>
      <c r="G2854" s="0" t="s">
        <v>2056</v>
      </c>
      <c r="H2854" s="0" t="s">
        <v>2052</v>
      </c>
      <c r="J2854" s="0" t="s">
        <v>2342</v>
      </c>
      <c r="K2854" s="272" t="n">
        <v>4550</v>
      </c>
    </row>
    <row r="2855" customFormat="false" ht="15" hidden="false" customHeight="false" outlineLevel="0" collapsed="false">
      <c r="A2855" s="0" t="s">
        <v>2041</v>
      </c>
      <c r="B2855" s="0" t="s">
        <v>2042</v>
      </c>
      <c r="C2855" s="0" t="s">
        <v>2341</v>
      </c>
      <c r="D2855" s="0" t="s">
        <v>2044</v>
      </c>
      <c r="E2855" s="0" t="s">
        <v>2045</v>
      </c>
      <c r="F2855" s="0" t="s">
        <v>2046</v>
      </c>
      <c r="G2855" s="0" t="s">
        <v>2057</v>
      </c>
      <c r="H2855" s="0" t="s">
        <v>2048</v>
      </c>
      <c r="J2855" s="0" t="s">
        <v>2342</v>
      </c>
      <c r="K2855" s="272" t="n">
        <v>5000</v>
      </c>
    </row>
    <row r="2856" customFormat="false" ht="15" hidden="false" customHeight="false" outlineLevel="0" collapsed="false">
      <c r="A2856" s="0" t="s">
        <v>2041</v>
      </c>
      <c r="B2856" s="0" t="s">
        <v>2042</v>
      </c>
      <c r="C2856" s="0" t="s">
        <v>2341</v>
      </c>
      <c r="D2856" s="0" t="s">
        <v>2044</v>
      </c>
      <c r="E2856" s="0" t="s">
        <v>2045</v>
      </c>
      <c r="F2856" s="0" t="s">
        <v>2051</v>
      </c>
      <c r="G2856" s="0" t="s">
        <v>2057</v>
      </c>
      <c r="H2856" s="0" t="s">
        <v>2052</v>
      </c>
      <c r="J2856" s="0" t="s">
        <v>2342</v>
      </c>
      <c r="K2856" s="272" t="n">
        <v>5000</v>
      </c>
    </row>
    <row r="2857" customFormat="false" ht="15" hidden="false" customHeight="false" outlineLevel="0" collapsed="false">
      <c r="A2857" s="0" t="s">
        <v>2041</v>
      </c>
      <c r="B2857" s="0" t="s">
        <v>2042</v>
      </c>
      <c r="C2857" s="0" t="s">
        <v>2341</v>
      </c>
      <c r="D2857" s="0" t="s">
        <v>2044</v>
      </c>
      <c r="E2857" s="0" t="s">
        <v>2045</v>
      </c>
      <c r="F2857" s="0" t="s">
        <v>2046</v>
      </c>
      <c r="G2857" s="0" t="s">
        <v>2058</v>
      </c>
      <c r="H2857" s="0" t="s">
        <v>2048</v>
      </c>
      <c r="J2857" s="0" t="s">
        <v>2342</v>
      </c>
      <c r="K2857" s="272" t="n">
        <v>19200</v>
      </c>
    </row>
    <row r="2858" customFormat="false" ht="15" hidden="false" customHeight="false" outlineLevel="0" collapsed="false">
      <c r="A2858" s="0" t="s">
        <v>2041</v>
      </c>
      <c r="B2858" s="0" t="s">
        <v>2042</v>
      </c>
      <c r="C2858" s="0" t="s">
        <v>2341</v>
      </c>
      <c r="D2858" s="0" t="s">
        <v>2044</v>
      </c>
      <c r="E2858" s="0" t="s">
        <v>2045</v>
      </c>
      <c r="F2858" s="0" t="s">
        <v>2051</v>
      </c>
      <c r="G2858" s="0" t="s">
        <v>2058</v>
      </c>
      <c r="H2858" s="0" t="s">
        <v>2052</v>
      </c>
      <c r="J2858" s="0" t="s">
        <v>2342</v>
      </c>
      <c r="K2858" s="272" t="n">
        <v>4800</v>
      </c>
    </row>
    <row r="2859" customFormat="false" ht="15" hidden="false" customHeight="false" outlineLevel="0" collapsed="false">
      <c r="A2859" s="0" t="s">
        <v>2041</v>
      </c>
      <c r="B2859" s="0" t="s">
        <v>2042</v>
      </c>
      <c r="C2859" s="0" t="s">
        <v>2341</v>
      </c>
      <c r="D2859" s="0" t="s">
        <v>2044</v>
      </c>
      <c r="E2859" s="0" t="s">
        <v>2045</v>
      </c>
      <c r="F2859" s="0" t="s">
        <v>2046</v>
      </c>
      <c r="G2859" s="0" t="s">
        <v>2064</v>
      </c>
      <c r="H2859" s="0" t="s">
        <v>2048</v>
      </c>
      <c r="J2859" s="0" t="s">
        <v>2342</v>
      </c>
      <c r="K2859" s="272" t="n">
        <v>5000</v>
      </c>
    </row>
    <row r="2860" customFormat="false" ht="15" hidden="false" customHeight="false" outlineLevel="0" collapsed="false">
      <c r="A2860" s="0" t="s">
        <v>2041</v>
      </c>
      <c r="B2860" s="0" t="s">
        <v>2042</v>
      </c>
      <c r="C2860" s="0" t="s">
        <v>2341</v>
      </c>
      <c r="D2860" s="0" t="s">
        <v>2044</v>
      </c>
      <c r="E2860" s="0" t="s">
        <v>2045</v>
      </c>
      <c r="F2860" s="0" t="s">
        <v>2051</v>
      </c>
      <c r="G2860" s="0" t="s">
        <v>2064</v>
      </c>
      <c r="H2860" s="0" t="s">
        <v>2052</v>
      </c>
      <c r="J2860" s="0" t="s">
        <v>2342</v>
      </c>
      <c r="K2860" s="272" t="n">
        <v>5000</v>
      </c>
    </row>
    <row r="2861" customFormat="false" ht="15" hidden="false" customHeight="false" outlineLevel="0" collapsed="false">
      <c r="A2861" s="0" t="s">
        <v>2041</v>
      </c>
      <c r="B2861" s="0" t="s">
        <v>2042</v>
      </c>
      <c r="C2861" s="0" t="s">
        <v>2341</v>
      </c>
      <c r="D2861" s="0" t="s">
        <v>2044</v>
      </c>
      <c r="E2861" s="0" t="s">
        <v>2045</v>
      </c>
      <c r="F2861" s="0" t="s">
        <v>2046</v>
      </c>
      <c r="G2861" s="0" t="s">
        <v>2072</v>
      </c>
      <c r="H2861" s="0" t="s">
        <v>2048</v>
      </c>
      <c r="J2861" s="0" t="s">
        <v>2342</v>
      </c>
      <c r="K2861" s="272" t="n">
        <v>3300</v>
      </c>
    </row>
    <row r="2862" customFormat="false" ht="15" hidden="false" customHeight="false" outlineLevel="0" collapsed="false">
      <c r="A2862" s="0" t="s">
        <v>2041</v>
      </c>
      <c r="B2862" s="0" t="s">
        <v>2042</v>
      </c>
      <c r="C2862" s="0" t="s">
        <v>2341</v>
      </c>
      <c r="D2862" s="0" t="s">
        <v>2044</v>
      </c>
      <c r="E2862" s="0" t="s">
        <v>2045</v>
      </c>
      <c r="F2862" s="0" t="s">
        <v>2051</v>
      </c>
      <c r="G2862" s="0" t="s">
        <v>2072</v>
      </c>
      <c r="H2862" s="0" t="s">
        <v>2052</v>
      </c>
      <c r="J2862" s="0" t="s">
        <v>2342</v>
      </c>
      <c r="K2862" s="272" t="n">
        <v>6700</v>
      </c>
    </row>
    <row r="2863" customFormat="false" ht="15" hidden="false" customHeight="false" outlineLevel="0" collapsed="false">
      <c r="A2863" s="0" t="s">
        <v>2041</v>
      </c>
      <c r="B2863" s="0" t="s">
        <v>2042</v>
      </c>
      <c r="C2863" s="0" t="s">
        <v>2341</v>
      </c>
      <c r="D2863" s="0" t="s">
        <v>2044</v>
      </c>
      <c r="E2863" s="0" t="s">
        <v>2045</v>
      </c>
      <c r="F2863" s="0" t="s">
        <v>2046</v>
      </c>
      <c r="G2863" s="0" t="s">
        <v>2080</v>
      </c>
      <c r="H2863" s="0" t="s">
        <v>2048</v>
      </c>
      <c r="J2863" s="0" t="s">
        <v>2342</v>
      </c>
      <c r="K2863" s="272" t="n">
        <v>20662.5</v>
      </c>
    </row>
    <row r="2864" customFormat="false" ht="15" hidden="false" customHeight="false" outlineLevel="0" collapsed="false">
      <c r="A2864" s="0" t="s">
        <v>2041</v>
      </c>
      <c r="B2864" s="0" t="s">
        <v>2042</v>
      </c>
      <c r="C2864" s="0" t="s">
        <v>2341</v>
      </c>
      <c r="D2864" s="0" t="s">
        <v>2044</v>
      </c>
      <c r="E2864" s="0" t="s">
        <v>2045</v>
      </c>
      <c r="F2864" s="0" t="s">
        <v>2051</v>
      </c>
      <c r="G2864" s="0" t="s">
        <v>2080</v>
      </c>
      <c r="H2864" s="0" t="s">
        <v>2052</v>
      </c>
      <c r="J2864" s="0" t="s">
        <v>2342</v>
      </c>
      <c r="K2864" s="272" t="n">
        <v>1087.5</v>
      </c>
    </row>
    <row r="2865" customFormat="false" ht="15" hidden="false" customHeight="false" outlineLevel="0" collapsed="false">
      <c r="A2865" s="0" t="s">
        <v>2041</v>
      </c>
      <c r="B2865" s="0" t="s">
        <v>2042</v>
      </c>
      <c r="C2865" s="0" t="s">
        <v>2341</v>
      </c>
      <c r="D2865" s="0" t="s">
        <v>2044</v>
      </c>
      <c r="E2865" s="0" t="s">
        <v>2045</v>
      </c>
      <c r="F2865" s="0" t="s">
        <v>2046</v>
      </c>
      <c r="G2865" s="0" t="s">
        <v>2083</v>
      </c>
      <c r="H2865" s="0" t="s">
        <v>2048</v>
      </c>
      <c r="J2865" s="0" t="s">
        <v>2342</v>
      </c>
      <c r="K2865" s="272" t="n">
        <v>19000</v>
      </c>
    </row>
    <row r="2866" customFormat="false" ht="15" hidden="false" customHeight="false" outlineLevel="0" collapsed="false">
      <c r="A2866" s="0" t="s">
        <v>2041</v>
      </c>
      <c r="B2866" s="0" t="s">
        <v>2042</v>
      </c>
      <c r="C2866" s="0" t="s">
        <v>2341</v>
      </c>
      <c r="D2866" s="0" t="s">
        <v>2044</v>
      </c>
      <c r="E2866" s="0" t="s">
        <v>2045</v>
      </c>
      <c r="F2866" s="0" t="s">
        <v>2051</v>
      </c>
      <c r="G2866" s="0" t="s">
        <v>2083</v>
      </c>
      <c r="H2866" s="0" t="s">
        <v>2052</v>
      </c>
      <c r="J2866" s="0" t="s">
        <v>2342</v>
      </c>
      <c r="K2866" s="272" t="n">
        <v>1000</v>
      </c>
    </row>
    <row r="2867" customFormat="false" ht="15" hidden="false" customHeight="false" outlineLevel="0" collapsed="false">
      <c r="A2867" s="0" t="s">
        <v>2041</v>
      </c>
      <c r="B2867" s="0" t="s">
        <v>2042</v>
      </c>
      <c r="C2867" s="0" t="s">
        <v>2341</v>
      </c>
      <c r="D2867" s="0" t="s">
        <v>2044</v>
      </c>
      <c r="E2867" s="0" t="s">
        <v>2045</v>
      </c>
      <c r="F2867" s="0" t="s">
        <v>2046</v>
      </c>
      <c r="G2867" s="0" t="s">
        <v>2085</v>
      </c>
      <c r="H2867" s="0" t="s">
        <v>2048</v>
      </c>
      <c r="J2867" s="0" t="s">
        <v>2342</v>
      </c>
      <c r="K2867" s="272" t="n">
        <v>17500</v>
      </c>
    </row>
    <row r="2868" customFormat="false" ht="15" hidden="false" customHeight="false" outlineLevel="0" collapsed="false">
      <c r="A2868" s="0" t="s">
        <v>2041</v>
      </c>
      <c r="B2868" s="0" t="s">
        <v>2042</v>
      </c>
      <c r="C2868" s="0" t="s">
        <v>2341</v>
      </c>
      <c r="D2868" s="0" t="s">
        <v>2044</v>
      </c>
      <c r="E2868" s="0" t="s">
        <v>2045</v>
      </c>
      <c r="F2868" s="0" t="s">
        <v>2051</v>
      </c>
      <c r="G2868" s="0" t="s">
        <v>2085</v>
      </c>
      <c r="H2868" s="0" t="s">
        <v>2052</v>
      </c>
      <c r="J2868" s="0" t="s">
        <v>2342</v>
      </c>
      <c r="K2868" s="272" t="n">
        <v>2500</v>
      </c>
    </row>
    <row r="2869" customFormat="false" ht="15" hidden="false" customHeight="false" outlineLevel="0" collapsed="false">
      <c r="A2869" s="0" t="s">
        <v>2041</v>
      </c>
      <c r="B2869" s="0" t="s">
        <v>2042</v>
      </c>
      <c r="C2869" s="0" t="s">
        <v>2341</v>
      </c>
      <c r="D2869" s="0" t="s">
        <v>2044</v>
      </c>
      <c r="E2869" s="0" t="s">
        <v>2045</v>
      </c>
      <c r="F2869" s="0" t="s">
        <v>2046</v>
      </c>
      <c r="G2869" s="0" t="s">
        <v>2087</v>
      </c>
      <c r="H2869" s="0" t="s">
        <v>2048</v>
      </c>
      <c r="J2869" s="0" t="s">
        <v>2342</v>
      </c>
      <c r="K2869" s="272" t="n">
        <v>10800</v>
      </c>
    </row>
    <row r="2870" customFormat="false" ht="15" hidden="false" customHeight="false" outlineLevel="0" collapsed="false">
      <c r="A2870" s="0" t="s">
        <v>2041</v>
      </c>
      <c r="B2870" s="0" t="s">
        <v>2042</v>
      </c>
      <c r="C2870" s="0" t="s">
        <v>2341</v>
      </c>
      <c r="D2870" s="0" t="s">
        <v>2044</v>
      </c>
      <c r="E2870" s="0" t="s">
        <v>2045</v>
      </c>
      <c r="F2870" s="0" t="s">
        <v>2051</v>
      </c>
      <c r="G2870" s="0" t="s">
        <v>2087</v>
      </c>
      <c r="H2870" s="0" t="s">
        <v>2052</v>
      </c>
      <c r="J2870" s="0" t="s">
        <v>2342</v>
      </c>
      <c r="K2870" s="272" t="n">
        <v>13200</v>
      </c>
    </row>
    <row r="2871" customFormat="false" ht="15" hidden="false" customHeight="false" outlineLevel="0" collapsed="false">
      <c r="A2871" s="0" t="s">
        <v>2041</v>
      </c>
      <c r="B2871" s="0" t="s">
        <v>2042</v>
      </c>
      <c r="C2871" s="0" t="s">
        <v>2341</v>
      </c>
      <c r="D2871" s="0" t="s">
        <v>2044</v>
      </c>
      <c r="E2871" s="0" t="s">
        <v>2045</v>
      </c>
      <c r="F2871" s="0" t="s">
        <v>2046</v>
      </c>
      <c r="G2871" s="0" t="s">
        <v>2094</v>
      </c>
      <c r="H2871" s="0" t="s">
        <v>2048</v>
      </c>
      <c r="J2871" s="0" t="s">
        <v>2342</v>
      </c>
      <c r="K2871" s="272" t="n">
        <v>5000</v>
      </c>
    </row>
    <row r="2872" customFormat="false" ht="15" hidden="false" customHeight="false" outlineLevel="0" collapsed="false">
      <c r="A2872" s="0" t="s">
        <v>2041</v>
      </c>
      <c r="B2872" s="0" t="s">
        <v>2042</v>
      </c>
      <c r="C2872" s="0" t="s">
        <v>2341</v>
      </c>
      <c r="D2872" s="0" t="s">
        <v>2044</v>
      </c>
      <c r="E2872" s="0" t="s">
        <v>2045</v>
      </c>
      <c r="F2872" s="0" t="s">
        <v>2051</v>
      </c>
      <c r="G2872" s="0" t="s">
        <v>2094</v>
      </c>
      <c r="H2872" s="0" t="s">
        <v>2052</v>
      </c>
      <c r="J2872" s="0" t="s">
        <v>2342</v>
      </c>
      <c r="K2872" s="272" t="n">
        <v>5000</v>
      </c>
    </row>
    <row r="2873" customFormat="false" ht="15" hidden="false" customHeight="false" outlineLevel="0" collapsed="false">
      <c r="A2873" s="0" t="s">
        <v>2041</v>
      </c>
      <c r="B2873" s="0" t="s">
        <v>2042</v>
      </c>
      <c r="C2873" s="0" t="s">
        <v>2341</v>
      </c>
      <c r="D2873" s="0" t="s">
        <v>2044</v>
      </c>
      <c r="E2873" s="0" t="s">
        <v>2045</v>
      </c>
      <c r="F2873" s="0" t="s">
        <v>2099</v>
      </c>
      <c r="G2873" s="0" t="s">
        <v>2085</v>
      </c>
      <c r="H2873" s="0" t="s">
        <v>2100</v>
      </c>
      <c r="J2873" s="0" t="s">
        <v>2342</v>
      </c>
      <c r="K2873" s="272" t="n">
        <v>20000</v>
      </c>
    </row>
    <row r="2874" customFormat="false" ht="15" hidden="false" customHeight="false" outlineLevel="0" collapsed="false">
      <c r="A2874" s="0" t="s">
        <v>2041</v>
      </c>
      <c r="B2874" s="0" t="s">
        <v>2042</v>
      </c>
      <c r="C2874" s="0" t="s">
        <v>2339</v>
      </c>
      <c r="D2874" s="0" t="s">
        <v>2105</v>
      </c>
      <c r="E2874" s="0" t="s">
        <v>2045</v>
      </c>
      <c r="F2874" s="0" t="s">
        <v>2250</v>
      </c>
      <c r="G2874" s="0" t="s">
        <v>2251</v>
      </c>
      <c r="H2874" s="0" t="s">
        <v>2252</v>
      </c>
      <c r="I2874" s="0" t="s">
        <v>2322</v>
      </c>
      <c r="J2874" s="0" t="s">
        <v>2343</v>
      </c>
      <c r="K2874" s="272" t="n">
        <v>-306412.141140259</v>
      </c>
    </row>
    <row r="2875" customFormat="false" ht="15" hidden="false" customHeight="false" outlineLevel="0" collapsed="false">
      <c r="A2875" s="0" t="s">
        <v>2041</v>
      </c>
      <c r="B2875" s="0" t="s">
        <v>2042</v>
      </c>
      <c r="C2875" s="0" t="s">
        <v>2339</v>
      </c>
      <c r="D2875" s="0" t="s">
        <v>2105</v>
      </c>
      <c r="E2875" s="0" t="s">
        <v>2045</v>
      </c>
      <c r="F2875" s="0" t="s">
        <v>2250</v>
      </c>
      <c r="G2875" s="0" t="s">
        <v>2251</v>
      </c>
      <c r="H2875" s="0" t="s">
        <v>2253</v>
      </c>
      <c r="I2875" s="0" t="s">
        <v>2322</v>
      </c>
      <c r="J2875" s="0" t="s">
        <v>2343</v>
      </c>
      <c r="K2875" s="272" t="n">
        <v>-621651.924670373</v>
      </c>
    </row>
    <row r="2876" customFormat="false" ht="15" hidden="false" customHeight="false" outlineLevel="0" collapsed="false">
      <c r="A2876" s="0" t="s">
        <v>2041</v>
      </c>
      <c r="B2876" s="0" t="s">
        <v>2042</v>
      </c>
      <c r="C2876" s="0" t="s">
        <v>2339</v>
      </c>
      <c r="D2876" s="0" t="s">
        <v>2105</v>
      </c>
      <c r="E2876" s="0" t="s">
        <v>2045</v>
      </c>
      <c r="F2876" s="0" t="s">
        <v>2150</v>
      </c>
      <c r="G2876" s="0" t="s">
        <v>2151</v>
      </c>
      <c r="H2876" s="0" t="s">
        <v>2271</v>
      </c>
      <c r="I2876" s="0" t="s">
        <v>2322</v>
      </c>
      <c r="J2876" s="0" t="s">
        <v>2343</v>
      </c>
      <c r="K2876" s="272" t="n">
        <v>-5250.35674066711</v>
      </c>
    </row>
    <row r="2877" customFormat="false" ht="15" hidden="false" customHeight="false" outlineLevel="0" collapsed="false">
      <c r="A2877" s="0" t="s">
        <v>2041</v>
      </c>
      <c r="B2877" s="0" t="s">
        <v>2042</v>
      </c>
      <c r="C2877" s="0" t="s">
        <v>2339</v>
      </c>
      <c r="D2877" s="0" t="s">
        <v>2105</v>
      </c>
      <c r="E2877" s="0" t="s">
        <v>2045</v>
      </c>
      <c r="F2877" s="0" t="s">
        <v>2150</v>
      </c>
      <c r="G2877" s="0" t="s">
        <v>2151</v>
      </c>
      <c r="H2877" s="0" t="s">
        <v>2152</v>
      </c>
      <c r="I2877" s="0" t="s">
        <v>2322</v>
      </c>
      <c r="J2877" s="0" t="s">
        <v>2343</v>
      </c>
      <c r="K2877" s="272" t="n">
        <v>-543561.491817084</v>
      </c>
    </row>
    <row r="2878" customFormat="false" ht="15" hidden="false" customHeight="false" outlineLevel="0" collapsed="false">
      <c r="A2878" s="0" t="s">
        <v>2041</v>
      </c>
      <c r="B2878" s="0" t="s">
        <v>2042</v>
      </c>
      <c r="C2878" s="0" t="s">
        <v>2339</v>
      </c>
      <c r="D2878" s="0" t="s">
        <v>2105</v>
      </c>
      <c r="E2878" s="0" t="s">
        <v>2045</v>
      </c>
      <c r="F2878" s="0" t="s">
        <v>2150</v>
      </c>
      <c r="G2878" s="0" t="s">
        <v>2332</v>
      </c>
      <c r="H2878" s="0" t="s">
        <v>2152</v>
      </c>
      <c r="I2878" s="0" t="s">
        <v>2322</v>
      </c>
      <c r="J2878" s="0" t="s">
        <v>2343</v>
      </c>
      <c r="K2878" s="272" t="n">
        <v>-62755.6461982501</v>
      </c>
    </row>
    <row r="2879" customFormat="false" ht="15" hidden="false" customHeight="false" outlineLevel="0" collapsed="false">
      <c r="A2879" s="0" t="s">
        <v>2041</v>
      </c>
      <c r="B2879" s="0" t="s">
        <v>2042</v>
      </c>
      <c r="C2879" s="0" t="s">
        <v>2339</v>
      </c>
      <c r="D2879" s="0" t="s">
        <v>2105</v>
      </c>
      <c r="E2879" s="0" t="s">
        <v>2045</v>
      </c>
      <c r="F2879" s="0" t="s">
        <v>2150</v>
      </c>
      <c r="G2879" s="0" t="s">
        <v>2151</v>
      </c>
      <c r="H2879" s="0" t="s">
        <v>2273</v>
      </c>
      <c r="I2879" s="0" t="s">
        <v>2322</v>
      </c>
      <c r="J2879" s="0" t="s">
        <v>2343</v>
      </c>
      <c r="K2879" s="272" t="n">
        <v>-5250.35674066711</v>
      </c>
    </row>
    <row r="2880" customFormat="false" ht="15" hidden="false" customHeight="false" outlineLevel="0" collapsed="false">
      <c r="A2880" s="0" t="s">
        <v>2041</v>
      </c>
      <c r="B2880" s="0" t="s">
        <v>2042</v>
      </c>
      <c r="C2880" s="0" t="s">
        <v>2339</v>
      </c>
      <c r="D2880" s="0" t="s">
        <v>2279</v>
      </c>
      <c r="E2880" s="0" t="s">
        <v>2279</v>
      </c>
      <c r="F2880" s="0" t="s">
        <v>2292</v>
      </c>
      <c r="G2880" s="0" t="s">
        <v>2293</v>
      </c>
      <c r="H2880" s="0" t="s">
        <v>2336</v>
      </c>
      <c r="I2880" s="0" t="s">
        <v>2322</v>
      </c>
      <c r="J2880" s="0" t="s">
        <v>2343</v>
      </c>
      <c r="K2880" s="272" t="n">
        <v>-855.584551853728</v>
      </c>
    </row>
    <row r="2881" customFormat="false" ht="15" hidden="false" customHeight="false" outlineLevel="0" collapsed="false">
      <c r="A2881" s="0" t="s">
        <v>2041</v>
      </c>
      <c r="B2881" s="0" t="s">
        <v>2042</v>
      </c>
      <c r="C2881" s="0" t="s">
        <v>2339</v>
      </c>
      <c r="D2881" s="0" t="s">
        <v>2279</v>
      </c>
      <c r="E2881" s="0" t="s">
        <v>2279</v>
      </c>
      <c r="F2881" s="0" t="s">
        <v>2292</v>
      </c>
      <c r="G2881" s="0" t="s">
        <v>2293</v>
      </c>
      <c r="H2881" s="0" t="s">
        <v>2337</v>
      </c>
      <c r="I2881" s="0" t="s">
        <v>2322</v>
      </c>
      <c r="J2881" s="0" t="s">
        <v>2343</v>
      </c>
      <c r="K2881" s="272" t="n">
        <v>-998.176732103452</v>
      </c>
    </row>
    <row r="2882" customFormat="false" ht="15" hidden="false" customHeight="false" outlineLevel="0" collapsed="false">
      <c r="A2882" s="0" t="s">
        <v>2041</v>
      </c>
      <c r="B2882" s="0" t="s">
        <v>2042</v>
      </c>
      <c r="C2882" s="0" t="s">
        <v>2339</v>
      </c>
      <c r="D2882" s="0" t="s">
        <v>2279</v>
      </c>
      <c r="E2882" s="0" t="s">
        <v>2279</v>
      </c>
      <c r="F2882" s="0" t="s">
        <v>2292</v>
      </c>
      <c r="G2882" s="0" t="s">
        <v>2293</v>
      </c>
      <c r="H2882" s="0" t="s">
        <v>2338</v>
      </c>
      <c r="I2882" s="0" t="s">
        <v>2322</v>
      </c>
      <c r="J2882" s="0" t="s">
        <v>2343</v>
      </c>
      <c r="K2882" s="272" t="n">
        <v>-998.176732103452</v>
      </c>
    </row>
    <row r="2883" customFormat="false" ht="15" hidden="false" customHeight="false" outlineLevel="0" collapsed="false">
      <c r="A2883" s="0" t="s">
        <v>2041</v>
      </c>
      <c r="B2883" s="0" t="s">
        <v>2042</v>
      </c>
      <c r="C2883" s="0" t="s">
        <v>2339</v>
      </c>
      <c r="D2883" s="0" t="s">
        <v>2105</v>
      </c>
      <c r="E2883" s="0" t="s">
        <v>2045</v>
      </c>
      <c r="F2883" s="0" t="s">
        <v>2250</v>
      </c>
      <c r="G2883" s="0" t="s">
        <v>2251</v>
      </c>
      <c r="H2883" s="0" t="s">
        <v>2255</v>
      </c>
      <c r="I2883" s="0" t="s">
        <v>2322</v>
      </c>
      <c r="J2883" s="0" t="s">
        <v>2343</v>
      </c>
      <c r="K2883" s="272" t="n">
        <v>-158260.835905043</v>
      </c>
    </row>
    <row r="2884" customFormat="false" ht="15" hidden="false" customHeight="false" outlineLevel="0" collapsed="false">
      <c r="A2884" s="0" t="s">
        <v>2041</v>
      </c>
      <c r="B2884" s="0" t="s">
        <v>2042</v>
      </c>
      <c r="C2884" s="0" t="s">
        <v>2339</v>
      </c>
      <c r="D2884" s="0" t="s">
        <v>2105</v>
      </c>
      <c r="E2884" s="0" t="s">
        <v>2045</v>
      </c>
      <c r="F2884" s="0" t="s">
        <v>2099</v>
      </c>
      <c r="G2884" s="0" t="s">
        <v>2232</v>
      </c>
      <c r="H2884" s="0" t="s">
        <v>2100</v>
      </c>
      <c r="I2884" s="0" t="s">
        <v>2322</v>
      </c>
      <c r="J2884" s="0" t="s">
        <v>2343</v>
      </c>
      <c r="K2884" s="272" t="n">
        <v>-15360.1769377635</v>
      </c>
    </row>
    <row r="2885" customFormat="false" ht="15" hidden="false" customHeight="false" outlineLevel="0" collapsed="false">
      <c r="A2885" s="0" t="s">
        <v>2041</v>
      </c>
      <c r="B2885" s="0" t="s">
        <v>2042</v>
      </c>
      <c r="C2885" s="0" t="s">
        <v>2339</v>
      </c>
      <c r="D2885" s="0" t="s">
        <v>2105</v>
      </c>
      <c r="E2885" s="0" t="s">
        <v>2045</v>
      </c>
      <c r="F2885" s="0" t="s">
        <v>2099</v>
      </c>
      <c r="G2885" s="0" t="s">
        <v>2240</v>
      </c>
      <c r="H2885" s="0" t="s">
        <v>2100</v>
      </c>
      <c r="I2885" s="0" t="s">
        <v>2322</v>
      </c>
      <c r="J2885" s="0" t="s">
        <v>2343</v>
      </c>
      <c r="K2885" s="272" t="n">
        <v>-271962.707503379</v>
      </c>
    </row>
    <row r="2886" customFormat="false" ht="15" hidden="false" customHeight="false" outlineLevel="0" collapsed="false">
      <c r="A2886" s="0" t="s">
        <v>2041</v>
      </c>
      <c r="B2886" s="0" t="s">
        <v>2042</v>
      </c>
      <c r="C2886" s="0" t="s">
        <v>2339</v>
      </c>
      <c r="D2886" s="0" t="s">
        <v>2044</v>
      </c>
      <c r="E2886" s="0" t="s">
        <v>2045</v>
      </c>
      <c r="F2886" s="0" t="s">
        <v>2099</v>
      </c>
      <c r="G2886" s="0" t="s">
        <v>2064</v>
      </c>
      <c r="H2886" s="0" t="s">
        <v>2100</v>
      </c>
      <c r="I2886" s="0" t="s">
        <v>2322</v>
      </c>
      <c r="J2886" s="0" t="s">
        <v>2343</v>
      </c>
      <c r="K2886" s="272" t="n">
        <v>-10399.6621701928</v>
      </c>
    </row>
    <row r="2887" customFormat="false" ht="15" hidden="false" customHeight="false" outlineLevel="0" collapsed="false">
      <c r="A2887" s="0" t="s">
        <v>2041</v>
      </c>
      <c r="B2887" s="0" t="s">
        <v>2042</v>
      </c>
      <c r="C2887" s="0" t="s">
        <v>2339</v>
      </c>
      <c r="D2887" s="0" t="s">
        <v>2044</v>
      </c>
      <c r="E2887" s="0" t="s">
        <v>2045</v>
      </c>
      <c r="F2887" s="0" t="s">
        <v>2099</v>
      </c>
      <c r="G2887" s="0" t="s">
        <v>2076</v>
      </c>
      <c r="H2887" s="0" t="s">
        <v>2100</v>
      </c>
      <c r="I2887" s="0" t="s">
        <v>2322</v>
      </c>
      <c r="J2887" s="0" t="s">
        <v>2343</v>
      </c>
      <c r="K2887" s="272" t="n">
        <v>-6933.10811346185</v>
      </c>
    </row>
    <row r="2888" customFormat="false" ht="15" hidden="false" customHeight="false" outlineLevel="0" collapsed="false">
      <c r="A2888" s="0" t="s">
        <v>2041</v>
      </c>
      <c r="B2888" s="0" t="s">
        <v>2042</v>
      </c>
      <c r="C2888" s="0" t="s">
        <v>2339</v>
      </c>
      <c r="D2888" s="0" t="s">
        <v>2044</v>
      </c>
      <c r="E2888" s="0" t="s">
        <v>2045</v>
      </c>
      <c r="F2888" s="0" t="s">
        <v>2099</v>
      </c>
      <c r="G2888" s="0" t="s">
        <v>2081</v>
      </c>
      <c r="H2888" s="0" t="s">
        <v>2100</v>
      </c>
      <c r="I2888" s="0" t="s">
        <v>2322</v>
      </c>
      <c r="J2888" s="0" t="s">
        <v>2343</v>
      </c>
      <c r="K2888" s="272" t="n">
        <v>-6933.10811346185</v>
      </c>
    </row>
    <row r="2889" customFormat="false" ht="15" hidden="false" customHeight="false" outlineLevel="0" collapsed="false">
      <c r="A2889" s="0" t="s">
        <v>2041</v>
      </c>
      <c r="B2889" s="0" t="s">
        <v>2042</v>
      </c>
      <c r="C2889" s="0" t="s">
        <v>2339</v>
      </c>
      <c r="D2889" s="0" t="s">
        <v>2044</v>
      </c>
      <c r="E2889" s="0" t="s">
        <v>2045</v>
      </c>
      <c r="F2889" s="0" t="s">
        <v>2099</v>
      </c>
      <c r="G2889" s="0" t="s">
        <v>2085</v>
      </c>
      <c r="H2889" s="0" t="s">
        <v>2100</v>
      </c>
      <c r="I2889" s="0" t="s">
        <v>2322</v>
      </c>
      <c r="J2889" s="0" t="s">
        <v>2343</v>
      </c>
      <c r="K2889" s="272" t="n">
        <v>-20110.4886135751</v>
      </c>
    </row>
    <row r="2890" customFormat="false" ht="15" hidden="false" customHeight="false" outlineLevel="0" collapsed="false">
      <c r="A2890" s="0" t="s">
        <v>2041</v>
      </c>
      <c r="B2890" s="0" t="s">
        <v>2042</v>
      </c>
      <c r="C2890" s="0" t="s">
        <v>2339</v>
      </c>
      <c r="D2890" s="0" t="s">
        <v>2044</v>
      </c>
      <c r="E2890" s="0" t="s">
        <v>2045</v>
      </c>
      <c r="F2890" s="0" t="s">
        <v>2099</v>
      </c>
      <c r="G2890" s="0" t="s">
        <v>2086</v>
      </c>
      <c r="H2890" s="0" t="s">
        <v>2100</v>
      </c>
      <c r="I2890" s="0" t="s">
        <v>2322</v>
      </c>
      <c r="J2890" s="0" t="s">
        <v>2343</v>
      </c>
      <c r="K2890" s="272" t="n">
        <v>-3466.55405673093</v>
      </c>
    </row>
    <row r="2891" customFormat="false" ht="15" hidden="false" customHeight="false" outlineLevel="0" collapsed="false">
      <c r="A2891" s="0" t="s">
        <v>2041</v>
      </c>
      <c r="B2891" s="0" t="s">
        <v>2042</v>
      </c>
      <c r="C2891" s="0" t="s">
        <v>2339</v>
      </c>
      <c r="D2891" s="0" t="s">
        <v>2044</v>
      </c>
      <c r="E2891" s="0" t="s">
        <v>2045</v>
      </c>
      <c r="F2891" s="0" t="s">
        <v>2099</v>
      </c>
      <c r="G2891" s="0" t="s">
        <v>2095</v>
      </c>
      <c r="H2891" s="0" t="s">
        <v>2100</v>
      </c>
      <c r="I2891" s="0" t="s">
        <v>2322</v>
      </c>
      <c r="J2891" s="0" t="s">
        <v>2343</v>
      </c>
      <c r="K2891" s="272" t="n">
        <v>-3466.55405673093</v>
      </c>
    </row>
    <row r="2892" customFormat="false" ht="15" hidden="false" customHeight="false" outlineLevel="0" collapsed="false">
      <c r="A2892" s="0" t="s">
        <v>2041</v>
      </c>
      <c r="B2892" s="0" t="s">
        <v>2042</v>
      </c>
      <c r="C2892" s="0" t="s">
        <v>2339</v>
      </c>
      <c r="D2892" s="0" t="s">
        <v>2044</v>
      </c>
      <c r="E2892" s="0" t="s">
        <v>2045</v>
      </c>
      <c r="F2892" s="0" t="s">
        <v>2099</v>
      </c>
      <c r="G2892" s="0" t="s">
        <v>2096</v>
      </c>
      <c r="H2892" s="0" t="s">
        <v>2100</v>
      </c>
      <c r="I2892" s="0" t="s">
        <v>2322</v>
      </c>
      <c r="J2892" s="0" t="s">
        <v>2343</v>
      </c>
      <c r="K2892" s="272" t="n">
        <v>-5223.07194254826</v>
      </c>
    </row>
    <row r="2893" customFormat="false" ht="15" hidden="false" customHeight="false" outlineLevel="0" collapsed="false">
      <c r="A2893" s="0" t="s">
        <v>2041</v>
      </c>
      <c r="B2893" s="0" t="s">
        <v>2042</v>
      </c>
      <c r="C2893" s="0" t="s">
        <v>2339</v>
      </c>
      <c r="D2893" s="0" t="s">
        <v>2105</v>
      </c>
      <c r="E2893" s="0" t="s">
        <v>2045</v>
      </c>
      <c r="F2893" s="0" t="s">
        <v>2099</v>
      </c>
      <c r="G2893" s="0" t="s">
        <v>2232</v>
      </c>
      <c r="H2893" s="0" t="s">
        <v>2233</v>
      </c>
      <c r="I2893" s="0" t="s">
        <v>2322</v>
      </c>
      <c r="J2893" s="0" t="s">
        <v>2343</v>
      </c>
      <c r="K2893" s="272" t="n">
        <v>-10137.1049952152</v>
      </c>
    </row>
    <row r="2894" customFormat="false" ht="15" hidden="false" customHeight="false" outlineLevel="0" collapsed="false">
      <c r="A2894" s="0" t="s">
        <v>2041</v>
      </c>
      <c r="B2894" s="0" t="s">
        <v>2042</v>
      </c>
      <c r="C2894" s="0" t="s">
        <v>2339</v>
      </c>
      <c r="D2894" s="0" t="s">
        <v>2105</v>
      </c>
      <c r="E2894" s="0" t="s">
        <v>2045</v>
      </c>
      <c r="F2894" s="0" t="s">
        <v>2099</v>
      </c>
      <c r="G2894" s="0" t="s">
        <v>2236</v>
      </c>
      <c r="H2894" s="0" t="s">
        <v>2233</v>
      </c>
      <c r="I2894" s="0" t="s">
        <v>2322</v>
      </c>
      <c r="J2894" s="0" t="s">
        <v>2343</v>
      </c>
      <c r="K2894" s="272" t="n">
        <v>-280918.327240443</v>
      </c>
    </row>
    <row r="2895" customFormat="false" ht="15" hidden="false" customHeight="false" outlineLevel="0" collapsed="false">
      <c r="A2895" s="0" t="s">
        <v>2041</v>
      </c>
      <c r="B2895" s="0" t="s">
        <v>2042</v>
      </c>
      <c r="C2895" s="0" t="s">
        <v>2339</v>
      </c>
      <c r="D2895" s="0" t="s">
        <v>2105</v>
      </c>
      <c r="E2895" s="0" t="s">
        <v>2045</v>
      </c>
      <c r="F2895" s="0" t="s">
        <v>2099</v>
      </c>
      <c r="G2895" s="0" t="s">
        <v>2238</v>
      </c>
      <c r="H2895" s="0" t="s">
        <v>2239</v>
      </c>
      <c r="I2895" s="0" t="s">
        <v>2322</v>
      </c>
      <c r="J2895" s="0" t="s">
        <v>2343</v>
      </c>
      <c r="K2895" s="272" t="n">
        <v>-648692.695359497</v>
      </c>
    </row>
    <row r="2896" customFormat="false" ht="15" hidden="false" customHeight="false" outlineLevel="0" collapsed="false">
      <c r="A2896" s="0" t="s">
        <v>2041</v>
      </c>
      <c r="B2896" s="0" t="s">
        <v>2042</v>
      </c>
      <c r="C2896" s="0" t="s">
        <v>2339</v>
      </c>
      <c r="D2896" s="0" t="s">
        <v>2105</v>
      </c>
      <c r="E2896" s="0" t="s">
        <v>2045</v>
      </c>
      <c r="F2896" s="0" t="s">
        <v>2099</v>
      </c>
      <c r="G2896" s="0" t="s">
        <v>2236</v>
      </c>
      <c r="H2896" s="0" t="s">
        <v>2237</v>
      </c>
      <c r="I2896" s="0" t="s">
        <v>2322</v>
      </c>
      <c r="J2896" s="0" t="s">
        <v>2343</v>
      </c>
      <c r="K2896" s="272" t="n">
        <v>-10137.1049952152</v>
      </c>
    </row>
    <row r="2897" customFormat="false" ht="15" hidden="false" customHeight="false" outlineLevel="0" collapsed="false">
      <c r="A2897" s="0" t="s">
        <v>2041</v>
      </c>
      <c r="B2897" s="0" t="s">
        <v>2042</v>
      </c>
      <c r="C2897" s="0" t="s">
        <v>2339</v>
      </c>
      <c r="D2897" s="0" t="s">
        <v>2105</v>
      </c>
      <c r="E2897" s="0" t="s">
        <v>2045</v>
      </c>
      <c r="F2897" s="0" t="s">
        <v>2099</v>
      </c>
      <c r="G2897" s="0" t="s">
        <v>2241</v>
      </c>
      <c r="H2897" s="0" t="s">
        <v>2242</v>
      </c>
      <c r="I2897" s="0" t="s">
        <v>2322</v>
      </c>
      <c r="J2897" s="0" t="s">
        <v>2343</v>
      </c>
      <c r="K2897" s="272" t="n">
        <v>-134677.706868005</v>
      </c>
    </row>
    <row r="2898" customFormat="false" ht="15" hidden="false" customHeight="false" outlineLevel="0" collapsed="false">
      <c r="A2898" s="0" t="s">
        <v>2041</v>
      </c>
      <c r="B2898" s="0" t="s">
        <v>2042</v>
      </c>
      <c r="C2898" s="0" t="s">
        <v>2339</v>
      </c>
      <c r="D2898" s="0" t="s">
        <v>2105</v>
      </c>
      <c r="E2898" s="0" t="s">
        <v>2045</v>
      </c>
      <c r="F2898" s="0" t="s">
        <v>2099</v>
      </c>
      <c r="G2898" s="0" t="s">
        <v>2243</v>
      </c>
      <c r="H2898" s="0" t="s">
        <v>2244</v>
      </c>
      <c r="I2898" s="0" t="s">
        <v>2322</v>
      </c>
      <c r="J2898" s="0" t="s">
        <v>2343</v>
      </c>
      <c r="K2898" s="272" t="n">
        <v>-447770.249167984</v>
      </c>
    </row>
    <row r="2899" customFormat="false" ht="15" hidden="false" customHeight="false" outlineLevel="0" collapsed="false">
      <c r="A2899" s="0" t="s">
        <v>2041</v>
      </c>
      <c r="B2899" s="0" t="s">
        <v>2042</v>
      </c>
      <c r="C2899" s="0" t="s">
        <v>2339</v>
      </c>
      <c r="D2899" s="0" t="s">
        <v>2105</v>
      </c>
      <c r="E2899" s="0" t="s">
        <v>2045</v>
      </c>
      <c r="F2899" s="0" t="s">
        <v>2099</v>
      </c>
      <c r="G2899" s="0" t="s">
        <v>2248</v>
      </c>
      <c r="H2899" s="0" t="s">
        <v>2244</v>
      </c>
      <c r="I2899" s="0" t="s">
        <v>2322</v>
      </c>
      <c r="J2899" s="0" t="s">
        <v>2343</v>
      </c>
      <c r="K2899" s="272" t="n">
        <v>-10399.6621701928</v>
      </c>
    </row>
    <row r="2900" customFormat="false" ht="15" hidden="false" customHeight="false" outlineLevel="0" collapsed="false">
      <c r="A2900" s="0" t="s">
        <v>2041</v>
      </c>
      <c r="B2900" s="0" t="s">
        <v>2042</v>
      </c>
      <c r="C2900" s="0" t="s">
        <v>2339</v>
      </c>
      <c r="D2900" s="0" t="s">
        <v>2105</v>
      </c>
      <c r="E2900" s="0" t="s">
        <v>2045</v>
      </c>
      <c r="F2900" s="0" t="s">
        <v>2099</v>
      </c>
      <c r="G2900" s="0" t="s">
        <v>2243</v>
      </c>
      <c r="H2900" s="0" t="s">
        <v>2245</v>
      </c>
      <c r="I2900" s="0" t="s">
        <v>2322</v>
      </c>
      <c r="J2900" s="0" t="s">
        <v>2343</v>
      </c>
      <c r="K2900" s="272" t="n">
        <v>-196699.307026899</v>
      </c>
    </row>
    <row r="2901" customFormat="false" ht="15" hidden="false" customHeight="false" outlineLevel="0" collapsed="false">
      <c r="A2901" s="0" t="s">
        <v>2041</v>
      </c>
      <c r="B2901" s="0" t="s">
        <v>2042</v>
      </c>
      <c r="C2901" s="0" t="s">
        <v>2339</v>
      </c>
      <c r="D2901" s="0" t="s">
        <v>2105</v>
      </c>
      <c r="E2901" s="0" t="s">
        <v>2045</v>
      </c>
      <c r="F2901" s="0" t="s">
        <v>2099</v>
      </c>
      <c r="G2901" s="0" t="s">
        <v>2248</v>
      </c>
      <c r="H2901" s="0" t="s">
        <v>2245</v>
      </c>
      <c r="I2901" s="0" t="s">
        <v>2322</v>
      </c>
      <c r="J2901" s="0" t="s">
        <v>2343</v>
      </c>
      <c r="K2901" s="272" t="n">
        <v>-5223.07194254826</v>
      </c>
    </row>
    <row r="2902" customFormat="false" ht="15" hidden="false" customHeight="false" outlineLevel="0" collapsed="false">
      <c r="A2902" s="0" t="s">
        <v>2041</v>
      </c>
      <c r="B2902" s="0" t="s">
        <v>2042</v>
      </c>
      <c r="C2902" s="0" t="s">
        <v>2339</v>
      </c>
      <c r="D2902" s="0" t="s">
        <v>2105</v>
      </c>
      <c r="E2902" s="0" t="s">
        <v>2045</v>
      </c>
      <c r="F2902" s="0" t="s">
        <v>2099</v>
      </c>
      <c r="G2902" s="0" t="s">
        <v>2249</v>
      </c>
      <c r="H2902" s="0" t="s">
        <v>2245</v>
      </c>
      <c r="I2902" s="0" t="s">
        <v>2322</v>
      </c>
      <c r="J2902" s="0" t="s">
        <v>2343</v>
      </c>
      <c r="K2902" s="272" t="n">
        <v>-59524.5848108656</v>
      </c>
    </row>
    <row r="2903" customFormat="false" ht="15" hidden="false" customHeight="false" outlineLevel="0" collapsed="false">
      <c r="A2903" s="0" t="s">
        <v>2041</v>
      </c>
      <c r="B2903" s="0" t="s">
        <v>2042</v>
      </c>
      <c r="C2903" s="0" t="s">
        <v>2339</v>
      </c>
      <c r="D2903" s="0" t="s">
        <v>2105</v>
      </c>
      <c r="E2903" s="0" t="s">
        <v>2045</v>
      </c>
      <c r="F2903" s="0" t="s">
        <v>2099</v>
      </c>
      <c r="G2903" s="0" t="s">
        <v>2243</v>
      </c>
      <c r="H2903" s="0" t="s">
        <v>2247</v>
      </c>
      <c r="I2903" s="0" t="s">
        <v>2322</v>
      </c>
      <c r="J2903" s="0" t="s">
        <v>2343</v>
      </c>
      <c r="K2903" s="272" t="n">
        <v>-294210.757065773</v>
      </c>
    </row>
    <row r="2904" customFormat="false" ht="15" hidden="false" customHeight="false" outlineLevel="0" collapsed="false">
      <c r="A2904" s="0" t="s">
        <v>2041</v>
      </c>
      <c r="B2904" s="0" t="s">
        <v>2042</v>
      </c>
      <c r="C2904" s="0" t="s">
        <v>2339</v>
      </c>
      <c r="D2904" s="0" t="s">
        <v>2105</v>
      </c>
      <c r="E2904" s="0" t="s">
        <v>2045</v>
      </c>
      <c r="F2904" s="0" t="s">
        <v>2099</v>
      </c>
      <c r="G2904" s="0" t="s">
        <v>2232</v>
      </c>
      <c r="H2904" s="0" t="s">
        <v>2234</v>
      </c>
      <c r="I2904" s="0" t="s">
        <v>2322</v>
      </c>
      <c r="J2904" s="0" t="s">
        <v>2343</v>
      </c>
      <c r="K2904" s="272" t="n">
        <v>-160064.490089156</v>
      </c>
    </row>
    <row r="2905" customFormat="false" ht="15" hidden="false" customHeight="false" outlineLevel="0" collapsed="false">
      <c r="A2905" s="0" t="s">
        <v>2041</v>
      </c>
      <c r="B2905" s="0" t="s">
        <v>2042</v>
      </c>
      <c r="C2905" s="0" t="s">
        <v>2339</v>
      </c>
      <c r="D2905" s="0" t="s">
        <v>2105</v>
      </c>
      <c r="E2905" s="0" t="s">
        <v>2045</v>
      </c>
      <c r="F2905" s="0" t="s">
        <v>2198</v>
      </c>
      <c r="G2905" s="0" t="s">
        <v>2199</v>
      </c>
      <c r="H2905" s="0" t="s">
        <v>2200</v>
      </c>
      <c r="I2905" s="0" t="s">
        <v>2322</v>
      </c>
      <c r="J2905" s="0" t="s">
        <v>2343</v>
      </c>
      <c r="K2905" s="272" t="n">
        <v>-350561.864945538</v>
      </c>
    </row>
    <row r="2906" customFormat="false" ht="15" hidden="false" customHeight="false" outlineLevel="0" collapsed="false">
      <c r="A2906" s="0" t="s">
        <v>2041</v>
      </c>
      <c r="B2906" s="0" t="s">
        <v>2042</v>
      </c>
      <c r="C2906" s="0" t="s">
        <v>2339</v>
      </c>
      <c r="D2906" s="0" t="s">
        <v>2279</v>
      </c>
      <c r="E2906" s="0" t="s">
        <v>2279</v>
      </c>
      <c r="F2906" s="0" t="s">
        <v>2292</v>
      </c>
      <c r="G2906" s="0" t="s">
        <v>2293</v>
      </c>
      <c r="H2906" s="0" t="s">
        <v>2200</v>
      </c>
      <c r="I2906" s="0" t="s">
        <v>2322</v>
      </c>
      <c r="J2906" s="0" t="s">
        <v>2343</v>
      </c>
      <c r="K2906" s="272" t="n">
        <v>-3707.52256791436</v>
      </c>
    </row>
    <row r="2907" customFormat="false" ht="15" hidden="false" customHeight="false" outlineLevel="0" collapsed="false">
      <c r="A2907" s="0" t="s">
        <v>2041</v>
      </c>
      <c r="B2907" s="0" t="s">
        <v>2042</v>
      </c>
      <c r="C2907" s="0" t="s">
        <v>2339</v>
      </c>
      <c r="D2907" s="0" t="s">
        <v>2105</v>
      </c>
      <c r="E2907" s="0" t="s">
        <v>2045</v>
      </c>
      <c r="F2907" s="0" t="s">
        <v>2198</v>
      </c>
      <c r="G2907" s="0" t="s">
        <v>2199</v>
      </c>
      <c r="H2907" s="0" t="s">
        <v>2202</v>
      </c>
      <c r="I2907" s="0" t="s">
        <v>2322</v>
      </c>
      <c r="J2907" s="0" t="s">
        <v>2343</v>
      </c>
      <c r="K2907" s="272" t="n">
        <v>-213918.689620101</v>
      </c>
    </row>
    <row r="2908" customFormat="false" ht="15" hidden="false" customHeight="false" outlineLevel="0" collapsed="false">
      <c r="A2908" s="0" t="s">
        <v>2041</v>
      </c>
      <c r="B2908" s="0" t="s">
        <v>2042</v>
      </c>
      <c r="C2908" s="0" t="s">
        <v>2339</v>
      </c>
      <c r="D2908" s="0" t="s">
        <v>2279</v>
      </c>
      <c r="E2908" s="0" t="s">
        <v>2279</v>
      </c>
      <c r="F2908" s="0" t="s">
        <v>2292</v>
      </c>
      <c r="G2908" s="0" t="s">
        <v>2293</v>
      </c>
      <c r="H2908" s="0" t="s">
        <v>2202</v>
      </c>
      <c r="I2908" s="0" t="s">
        <v>2322</v>
      </c>
      <c r="J2908" s="0" t="s">
        <v>2343</v>
      </c>
      <c r="K2908" s="272" t="n">
        <v>-1996.35975827798</v>
      </c>
    </row>
    <row r="2909" customFormat="false" ht="15" hidden="false" customHeight="false" outlineLevel="0" collapsed="false">
      <c r="A2909" s="0" t="s">
        <v>2041</v>
      </c>
      <c r="B2909" s="0" t="s">
        <v>2042</v>
      </c>
      <c r="C2909" s="0" t="s">
        <v>2339</v>
      </c>
      <c r="D2909" s="0" t="s">
        <v>2105</v>
      </c>
      <c r="E2909" s="0" t="s">
        <v>2045</v>
      </c>
      <c r="F2909" s="0" t="s">
        <v>2099</v>
      </c>
      <c r="G2909" s="0" t="s">
        <v>2232</v>
      </c>
      <c r="H2909" s="0" t="s">
        <v>2235</v>
      </c>
      <c r="I2909" s="0" t="s">
        <v>2322</v>
      </c>
      <c r="J2909" s="0" t="s">
        <v>2343</v>
      </c>
      <c r="K2909" s="272" t="n">
        <v>-166321.193266184</v>
      </c>
    </row>
    <row r="2910" customFormat="false" ht="15" hidden="false" customHeight="false" outlineLevel="0" collapsed="false">
      <c r="A2910" s="0" t="s">
        <v>2041</v>
      </c>
      <c r="B2910" s="0" t="s">
        <v>2042</v>
      </c>
      <c r="C2910" s="0" t="s">
        <v>2339</v>
      </c>
      <c r="D2910" s="0" t="s">
        <v>2105</v>
      </c>
      <c r="E2910" s="0" t="s">
        <v>2045</v>
      </c>
      <c r="F2910" s="0" t="s">
        <v>2099</v>
      </c>
      <c r="G2910" s="0" t="s">
        <v>2240</v>
      </c>
      <c r="H2910" s="0" t="s">
        <v>2235</v>
      </c>
      <c r="I2910" s="0" t="s">
        <v>2322</v>
      </c>
      <c r="J2910" s="0" t="s">
        <v>2343</v>
      </c>
      <c r="K2910" s="272" t="n">
        <v>-10137.1049952152</v>
      </c>
    </row>
    <row r="2911" customFormat="false" ht="15" hidden="false" customHeight="false" outlineLevel="0" collapsed="false">
      <c r="A2911" s="0" t="s">
        <v>2041</v>
      </c>
      <c r="B2911" s="0" t="s">
        <v>2042</v>
      </c>
      <c r="C2911" s="0" t="s">
        <v>2339</v>
      </c>
      <c r="D2911" s="0" t="s">
        <v>2105</v>
      </c>
      <c r="E2911" s="0" t="s">
        <v>2045</v>
      </c>
      <c r="F2911" s="0" t="s">
        <v>2176</v>
      </c>
      <c r="G2911" s="0" t="s">
        <v>2181</v>
      </c>
      <c r="H2911" s="0" t="s">
        <v>2182</v>
      </c>
      <c r="I2911" s="0" t="s">
        <v>2322</v>
      </c>
      <c r="J2911" s="0" t="s">
        <v>2343</v>
      </c>
      <c r="K2911" s="272" t="n">
        <v>-53180.0352838152</v>
      </c>
    </row>
    <row r="2912" customFormat="false" ht="15" hidden="false" customHeight="false" outlineLevel="0" collapsed="false">
      <c r="A2912" s="0" t="s">
        <v>2041</v>
      </c>
      <c r="B2912" s="0" t="s">
        <v>2042</v>
      </c>
      <c r="C2912" s="0" t="s">
        <v>2339</v>
      </c>
      <c r="D2912" s="0" t="s">
        <v>2105</v>
      </c>
      <c r="E2912" s="0" t="s">
        <v>2045</v>
      </c>
      <c r="F2912" s="0" t="s">
        <v>2215</v>
      </c>
      <c r="G2912" s="0" t="s">
        <v>2218</v>
      </c>
      <c r="H2912" s="0" t="s">
        <v>2182</v>
      </c>
      <c r="I2912" s="0" t="s">
        <v>2322</v>
      </c>
      <c r="J2912" s="0" t="s">
        <v>2343</v>
      </c>
      <c r="K2912" s="272" t="n">
        <v>-300.737010130746</v>
      </c>
    </row>
    <row r="2913" customFormat="false" ht="15" hidden="false" customHeight="false" outlineLevel="0" collapsed="false">
      <c r="A2913" s="0" t="s">
        <v>2041</v>
      </c>
      <c r="B2913" s="0" t="s">
        <v>2042</v>
      </c>
      <c r="C2913" s="0" t="s">
        <v>2339</v>
      </c>
      <c r="D2913" s="0" t="s">
        <v>2105</v>
      </c>
      <c r="E2913" s="0" t="s">
        <v>2045</v>
      </c>
      <c r="F2913" s="0" t="s">
        <v>2176</v>
      </c>
      <c r="G2913" s="0" t="s">
        <v>2181</v>
      </c>
      <c r="H2913" s="0" t="s">
        <v>2183</v>
      </c>
      <c r="I2913" s="0" t="s">
        <v>2322</v>
      </c>
      <c r="J2913" s="0" t="s">
        <v>2343</v>
      </c>
      <c r="K2913" s="272" t="n">
        <v>-3345.24213079258</v>
      </c>
    </row>
    <row r="2914" customFormat="false" ht="15" hidden="false" customHeight="false" outlineLevel="0" collapsed="false">
      <c r="A2914" s="0" t="s">
        <v>2041</v>
      </c>
      <c r="B2914" s="0" t="s">
        <v>2042</v>
      </c>
      <c r="C2914" s="0" t="s">
        <v>2339</v>
      </c>
      <c r="D2914" s="0" t="s">
        <v>2105</v>
      </c>
      <c r="E2914" s="0" t="s">
        <v>2045</v>
      </c>
      <c r="F2914" s="0" t="s">
        <v>2215</v>
      </c>
      <c r="G2914" s="0" t="s">
        <v>2218</v>
      </c>
      <c r="H2914" s="0" t="s">
        <v>2183</v>
      </c>
      <c r="I2914" s="0" t="s">
        <v>2322</v>
      </c>
      <c r="J2914" s="0" t="s">
        <v>2343</v>
      </c>
      <c r="K2914" s="272" t="n">
        <v>-99362.114639862</v>
      </c>
    </row>
    <row r="2915" customFormat="false" ht="15" hidden="false" customHeight="false" outlineLevel="0" collapsed="false">
      <c r="A2915" s="0" t="s">
        <v>2041</v>
      </c>
      <c r="B2915" s="0" t="s">
        <v>2042</v>
      </c>
      <c r="C2915" s="0" t="s">
        <v>2339</v>
      </c>
      <c r="D2915" s="0" t="s">
        <v>2105</v>
      </c>
      <c r="E2915" s="0" t="s">
        <v>2045</v>
      </c>
      <c r="F2915" s="0" t="s">
        <v>2176</v>
      </c>
      <c r="G2915" s="0" t="s">
        <v>2181</v>
      </c>
      <c r="H2915" s="0" t="s">
        <v>2184</v>
      </c>
      <c r="I2915" s="0" t="s">
        <v>2322</v>
      </c>
      <c r="J2915" s="0" t="s">
        <v>2343</v>
      </c>
      <c r="K2915" s="272" t="n">
        <v>-19322.0995645396</v>
      </c>
    </row>
    <row r="2916" customFormat="false" ht="15" hidden="false" customHeight="false" outlineLevel="0" collapsed="false">
      <c r="A2916" s="0" t="s">
        <v>2041</v>
      </c>
      <c r="B2916" s="0" t="s">
        <v>2042</v>
      </c>
      <c r="C2916" s="0" t="s">
        <v>2339</v>
      </c>
      <c r="D2916" s="0" t="s">
        <v>2105</v>
      </c>
      <c r="E2916" s="0" t="s">
        <v>2045</v>
      </c>
      <c r="F2916" s="0" t="s">
        <v>2176</v>
      </c>
      <c r="G2916" s="0" t="s">
        <v>2181</v>
      </c>
      <c r="H2916" s="0" t="s">
        <v>2185</v>
      </c>
      <c r="I2916" s="0" t="s">
        <v>2322</v>
      </c>
      <c r="J2916" s="0" t="s">
        <v>2343</v>
      </c>
      <c r="K2916" s="272" t="n">
        <v>-52126.546255087</v>
      </c>
    </row>
    <row r="2917" customFormat="false" ht="15" hidden="false" customHeight="false" outlineLevel="0" collapsed="false">
      <c r="A2917" s="0" t="s">
        <v>2041</v>
      </c>
      <c r="B2917" s="0" t="s">
        <v>2042</v>
      </c>
      <c r="C2917" s="0" t="s">
        <v>2339</v>
      </c>
      <c r="D2917" s="0" t="s">
        <v>2105</v>
      </c>
      <c r="E2917" s="0" t="s">
        <v>2045</v>
      </c>
      <c r="F2917" s="0" t="s">
        <v>2215</v>
      </c>
      <c r="G2917" s="0" t="s">
        <v>2218</v>
      </c>
      <c r="H2917" s="0" t="s">
        <v>2185</v>
      </c>
      <c r="I2917" s="0" t="s">
        <v>2322</v>
      </c>
      <c r="J2917" s="0" t="s">
        <v>2343</v>
      </c>
      <c r="K2917" s="272" t="n">
        <v>-70597.9139965732</v>
      </c>
    </row>
    <row r="2918" customFormat="false" ht="15" hidden="false" customHeight="false" outlineLevel="0" collapsed="false">
      <c r="A2918" s="0" t="s">
        <v>2041</v>
      </c>
      <c r="B2918" s="0" t="s">
        <v>2042</v>
      </c>
      <c r="C2918" s="0" t="s">
        <v>2339</v>
      </c>
      <c r="D2918" s="0" t="s">
        <v>2105</v>
      </c>
      <c r="E2918" s="0" t="s">
        <v>2045</v>
      </c>
      <c r="F2918" s="0" t="s">
        <v>2204</v>
      </c>
      <c r="G2918" s="0" t="s">
        <v>2212</v>
      </c>
      <c r="H2918" s="0" t="s">
        <v>2213</v>
      </c>
      <c r="I2918" s="0" t="s">
        <v>2322</v>
      </c>
      <c r="J2918" s="0" t="s">
        <v>2343</v>
      </c>
      <c r="K2918" s="272" t="n">
        <v>-14253.547066932</v>
      </c>
    </row>
    <row r="2919" customFormat="false" ht="15" hidden="false" customHeight="false" outlineLevel="0" collapsed="false">
      <c r="A2919" s="0" t="s">
        <v>2041</v>
      </c>
      <c r="B2919" s="0" t="s">
        <v>2042</v>
      </c>
      <c r="C2919" s="0" t="s">
        <v>2339</v>
      </c>
      <c r="D2919" s="0" t="s">
        <v>2105</v>
      </c>
      <c r="E2919" s="0" t="s">
        <v>2045</v>
      </c>
      <c r="F2919" s="0" t="s">
        <v>2176</v>
      </c>
      <c r="G2919" s="0" t="s">
        <v>2181</v>
      </c>
      <c r="H2919" s="0" t="s">
        <v>2186</v>
      </c>
      <c r="I2919" s="0" t="s">
        <v>2322</v>
      </c>
      <c r="J2919" s="0" t="s">
        <v>2343</v>
      </c>
      <c r="K2919" s="272" t="n">
        <v>-46877.0832725128</v>
      </c>
    </row>
    <row r="2920" customFormat="false" ht="15" hidden="false" customHeight="false" outlineLevel="0" collapsed="false">
      <c r="A2920" s="0" t="s">
        <v>2041</v>
      </c>
      <c r="B2920" s="0" t="s">
        <v>2042</v>
      </c>
      <c r="C2920" s="0" t="s">
        <v>2339</v>
      </c>
      <c r="D2920" s="0" t="s">
        <v>2105</v>
      </c>
      <c r="E2920" s="0" t="s">
        <v>2045</v>
      </c>
      <c r="F2920" s="0" t="s">
        <v>2215</v>
      </c>
      <c r="G2920" s="0" t="s">
        <v>2218</v>
      </c>
      <c r="H2920" s="0" t="s">
        <v>2186</v>
      </c>
      <c r="I2920" s="0" t="s">
        <v>2322</v>
      </c>
      <c r="J2920" s="0" t="s">
        <v>2343</v>
      </c>
      <c r="K2920" s="272" t="n">
        <v>-3345.24213079258</v>
      </c>
    </row>
    <row r="2921" customFormat="false" ht="15" hidden="false" customHeight="false" outlineLevel="0" collapsed="false">
      <c r="A2921" s="0" t="s">
        <v>2041</v>
      </c>
      <c r="B2921" s="0" t="s">
        <v>2042</v>
      </c>
      <c r="C2921" s="0" t="s">
        <v>2339</v>
      </c>
      <c r="D2921" s="0" t="s">
        <v>2105</v>
      </c>
      <c r="E2921" s="0" t="s">
        <v>2045</v>
      </c>
      <c r="F2921" s="0" t="s">
        <v>2256</v>
      </c>
      <c r="G2921" s="0" t="s">
        <v>2262</v>
      </c>
      <c r="H2921" s="0" t="s">
        <v>2263</v>
      </c>
      <c r="I2921" s="0" t="s">
        <v>2322</v>
      </c>
      <c r="J2921" s="0" t="s">
        <v>2343</v>
      </c>
      <c r="K2921" s="272" t="n">
        <v>-24391.8479356518</v>
      </c>
    </row>
    <row r="2922" customFormat="false" ht="15" hidden="false" customHeight="false" outlineLevel="0" collapsed="false">
      <c r="A2922" s="0" t="s">
        <v>2041</v>
      </c>
      <c r="B2922" s="0" t="s">
        <v>2042</v>
      </c>
      <c r="C2922" s="0" t="s">
        <v>2339</v>
      </c>
      <c r="D2922" s="0" t="s">
        <v>2105</v>
      </c>
      <c r="E2922" s="0" t="s">
        <v>2045</v>
      </c>
      <c r="F2922" s="0" t="s">
        <v>2176</v>
      </c>
      <c r="G2922" s="0" t="s">
        <v>2188</v>
      </c>
      <c r="H2922" s="0" t="s">
        <v>2189</v>
      </c>
      <c r="I2922" s="0" t="s">
        <v>2322</v>
      </c>
      <c r="J2922" s="0" t="s">
        <v>2343</v>
      </c>
      <c r="K2922" s="272" t="n">
        <v>-235906.510813817</v>
      </c>
    </row>
    <row r="2923" customFormat="false" ht="15" hidden="false" customHeight="false" outlineLevel="0" collapsed="false">
      <c r="A2923" s="0" t="s">
        <v>2041</v>
      </c>
      <c r="B2923" s="0" t="s">
        <v>2042</v>
      </c>
      <c r="C2923" s="0" t="s">
        <v>2339</v>
      </c>
      <c r="D2923" s="0" t="s">
        <v>2105</v>
      </c>
      <c r="E2923" s="0" t="s">
        <v>2045</v>
      </c>
      <c r="F2923" s="0" t="s">
        <v>2215</v>
      </c>
      <c r="G2923" s="0" t="s">
        <v>2223</v>
      </c>
      <c r="H2923" s="0" t="s">
        <v>2189</v>
      </c>
      <c r="I2923" s="0" t="s">
        <v>2322</v>
      </c>
      <c r="J2923" s="0" t="s">
        <v>2343</v>
      </c>
      <c r="K2923" s="272" t="n">
        <v>-10137.1049952152</v>
      </c>
    </row>
    <row r="2924" customFormat="false" ht="15" hidden="false" customHeight="false" outlineLevel="0" collapsed="false">
      <c r="A2924" s="0" t="s">
        <v>2041</v>
      </c>
      <c r="B2924" s="0" t="s">
        <v>2042</v>
      </c>
      <c r="C2924" s="0" t="s">
        <v>2339</v>
      </c>
      <c r="D2924" s="0" t="s">
        <v>2105</v>
      </c>
      <c r="E2924" s="0" t="s">
        <v>2045</v>
      </c>
      <c r="F2924" s="0" t="s">
        <v>2176</v>
      </c>
      <c r="G2924" s="0" t="s">
        <v>2190</v>
      </c>
      <c r="H2924" s="0" t="s">
        <v>2191</v>
      </c>
      <c r="I2924" s="0" t="s">
        <v>2322</v>
      </c>
      <c r="J2924" s="0" t="s">
        <v>2343</v>
      </c>
      <c r="K2924" s="272" t="n">
        <v>-293145.661769979</v>
      </c>
    </row>
    <row r="2925" customFormat="false" ht="15" hidden="false" customHeight="false" outlineLevel="0" collapsed="false">
      <c r="A2925" s="0" t="s">
        <v>2041</v>
      </c>
      <c r="B2925" s="0" t="s">
        <v>2042</v>
      </c>
      <c r="C2925" s="0" t="s">
        <v>2339</v>
      </c>
      <c r="D2925" s="0" t="s">
        <v>2105</v>
      </c>
      <c r="E2925" s="0" t="s">
        <v>2045</v>
      </c>
      <c r="F2925" s="0" t="s">
        <v>2204</v>
      </c>
      <c r="G2925" s="0" t="s">
        <v>2210</v>
      </c>
      <c r="H2925" s="0" t="s">
        <v>2211</v>
      </c>
      <c r="I2925" s="0" t="s">
        <v>2322</v>
      </c>
      <c r="J2925" s="0" t="s">
        <v>2343</v>
      </c>
      <c r="K2925" s="272" t="n">
        <v>-67151.2932629432</v>
      </c>
    </row>
    <row r="2926" customFormat="false" ht="15" hidden="false" customHeight="false" outlineLevel="0" collapsed="false">
      <c r="A2926" s="0" t="s">
        <v>2041</v>
      </c>
      <c r="B2926" s="0" t="s">
        <v>2042</v>
      </c>
      <c r="C2926" s="0" t="s">
        <v>2339</v>
      </c>
      <c r="D2926" s="0" t="s">
        <v>2105</v>
      </c>
      <c r="E2926" s="0" t="s">
        <v>2045</v>
      </c>
      <c r="F2926" s="0" t="s">
        <v>2204</v>
      </c>
      <c r="G2926" s="0" t="s">
        <v>2205</v>
      </c>
      <c r="H2926" s="0" t="s">
        <v>2206</v>
      </c>
      <c r="I2926" s="0" t="s">
        <v>2322</v>
      </c>
      <c r="J2926" s="0" t="s">
        <v>2343</v>
      </c>
      <c r="K2926" s="272" t="n">
        <v>-16336.4691847321</v>
      </c>
    </row>
    <row r="2927" customFormat="false" ht="15" hidden="false" customHeight="false" outlineLevel="0" collapsed="false">
      <c r="A2927" s="0" t="s">
        <v>2041</v>
      </c>
      <c r="B2927" s="0" t="s">
        <v>2042</v>
      </c>
      <c r="C2927" s="0" t="s">
        <v>2339</v>
      </c>
      <c r="D2927" s="0" t="s">
        <v>2105</v>
      </c>
      <c r="E2927" s="0" t="s">
        <v>2045</v>
      </c>
      <c r="F2927" s="0" t="s">
        <v>2204</v>
      </c>
      <c r="G2927" s="0" t="s">
        <v>2212</v>
      </c>
      <c r="H2927" s="0" t="s">
        <v>2206</v>
      </c>
      <c r="I2927" s="0" t="s">
        <v>2322</v>
      </c>
      <c r="J2927" s="0" t="s">
        <v>2343</v>
      </c>
      <c r="K2927" s="272" t="n">
        <v>-14253.547066932</v>
      </c>
    </row>
    <row r="2928" customFormat="false" ht="15" hidden="false" customHeight="false" outlineLevel="0" collapsed="false">
      <c r="A2928" s="0" t="s">
        <v>2041</v>
      </c>
      <c r="B2928" s="0" t="s">
        <v>2042</v>
      </c>
      <c r="C2928" s="0" t="s">
        <v>2339</v>
      </c>
      <c r="D2928" s="0" t="s">
        <v>2105</v>
      </c>
      <c r="E2928" s="0" t="s">
        <v>2045</v>
      </c>
      <c r="F2928" s="0" t="s">
        <v>2204</v>
      </c>
      <c r="G2928" s="0" t="s">
        <v>2214</v>
      </c>
      <c r="H2928" s="0" t="s">
        <v>2206</v>
      </c>
      <c r="I2928" s="0" t="s">
        <v>2322</v>
      </c>
      <c r="J2928" s="0" t="s">
        <v>2343</v>
      </c>
      <c r="K2928" s="272" t="n">
        <v>-14253.547066932</v>
      </c>
    </row>
    <row r="2929" customFormat="false" ht="15" hidden="false" customHeight="false" outlineLevel="0" collapsed="false">
      <c r="A2929" s="0" t="s">
        <v>2041</v>
      </c>
      <c r="B2929" s="0" t="s">
        <v>2042</v>
      </c>
      <c r="C2929" s="0" t="s">
        <v>2339</v>
      </c>
      <c r="D2929" s="0" t="s">
        <v>2105</v>
      </c>
      <c r="E2929" s="0" t="s">
        <v>2045</v>
      </c>
      <c r="F2929" s="0" t="s">
        <v>2204</v>
      </c>
      <c r="G2929" s="0" t="s">
        <v>2205</v>
      </c>
      <c r="H2929" s="0" t="s">
        <v>2207</v>
      </c>
      <c r="I2929" s="0" t="s">
        <v>2322</v>
      </c>
      <c r="J2929" s="0" t="s">
        <v>2343</v>
      </c>
      <c r="K2929" s="272" t="n">
        <v>-16336.4691847321</v>
      </c>
    </row>
    <row r="2930" customFormat="false" ht="15" hidden="false" customHeight="false" outlineLevel="0" collapsed="false">
      <c r="A2930" s="0" t="s">
        <v>2041</v>
      </c>
      <c r="B2930" s="0" t="s">
        <v>2042</v>
      </c>
      <c r="C2930" s="0" t="s">
        <v>2339</v>
      </c>
      <c r="D2930" s="0" t="s">
        <v>2105</v>
      </c>
      <c r="E2930" s="0" t="s">
        <v>2045</v>
      </c>
      <c r="F2930" s="0" t="s">
        <v>2204</v>
      </c>
      <c r="G2930" s="0" t="s">
        <v>2209</v>
      </c>
      <c r="H2930" s="0" t="s">
        <v>2207</v>
      </c>
      <c r="I2930" s="0" t="s">
        <v>2322</v>
      </c>
      <c r="J2930" s="0" t="s">
        <v>2343</v>
      </c>
      <c r="K2930" s="272" t="n">
        <v>-38644.1928350081</v>
      </c>
    </row>
    <row r="2931" customFormat="false" ht="15" hidden="false" customHeight="false" outlineLevel="0" collapsed="false">
      <c r="A2931" s="0" t="s">
        <v>2041</v>
      </c>
      <c r="B2931" s="0" t="s">
        <v>2042</v>
      </c>
      <c r="C2931" s="0" t="s">
        <v>2339</v>
      </c>
      <c r="D2931" s="0" t="s">
        <v>2105</v>
      </c>
      <c r="E2931" s="0" t="s">
        <v>2045</v>
      </c>
      <c r="F2931" s="0" t="s">
        <v>2163</v>
      </c>
      <c r="G2931" s="0" t="s">
        <v>2168</v>
      </c>
      <c r="H2931" s="0" t="s">
        <v>2169</v>
      </c>
      <c r="I2931" s="0" t="s">
        <v>2322</v>
      </c>
      <c r="J2931" s="0" t="s">
        <v>2343</v>
      </c>
      <c r="K2931" s="272" t="n">
        <v>-772023.853710412</v>
      </c>
    </row>
    <row r="2932" customFormat="false" ht="15" hidden="false" customHeight="false" outlineLevel="0" collapsed="false">
      <c r="A2932" s="0" t="s">
        <v>2041</v>
      </c>
      <c r="B2932" s="0" t="s">
        <v>2042</v>
      </c>
      <c r="C2932" s="0" t="s">
        <v>2339</v>
      </c>
      <c r="D2932" s="0" t="s">
        <v>2105</v>
      </c>
      <c r="E2932" s="0" t="s">
        <v>2045</v>
      </c>
      <c r="F2932" s="0" t="s">
        <v>2163</v>
      </c>
      <c r="G2932" s="0" t="s">
        <v>2168</v>
      </c>
      <c r="H2932" s="0" t="s">
        <v>2165</v>
      </c>
      <c r="I2932" s="0" t="s">
        <v>2322</v>
      </c>
      <c r="J2932" s="0" t="s">
        <v>2343</v>
      </c>
      <c r="K2932" s="272" t="n">
        <v>-3917.31654505335</v>
      </c>
    </row>
    <row r="2933" customFormat="false" ht="15" hidden="false" customHeight="false" outlineLevel="0" collapsed="false">
      <c r="A2933" s="0" t="s">
        <v>2041</v>
      </c>
      <c r="B2933" s="0" t="s">
        <v>2042</v>
      </c>
      <c r="C2933" s="0" t="s">
        <v>2339</v>
      </c>
      <c r="D2933" s="0" t="s">
        <v>2105</v>
      </c>
      <c r="E2933" s="0" t="s">
        <v>2045</v>
      </c>
      <c r="F2933" s="0" t="s">
        <v>2163</v>
      </c>
      <c r="G2933" s="0" t="s">
        <v>2170</v>
      </c>
      <c r="H2933" s="0" t="s">
        <v>2165</v>
      </c>
      <c r="I2933" s="0" t="s">
        <v>2322</v>
      </c>
      <c r="J2933" s="0" t="s">
        <v>2343</v>
      </c>
      <c r="K2933" s="272" t="n">
        <v>-950135.226799478</v>
      </c>
    </row>
    <row r="2934" customFormat="false" ht="15" hidden="false" customHeight="false" outlineLevel="0" collapsed="false">
      <c r="A2934" s="0" t="s">
        <v>2041</v>
      </c>
      <c r="B2934" s="0" t="s">
        <v>2042</v>
      </c>
      <c r="C2934" s="0" t="s">
        <v>2339</v>
      </c>
      <c r="D2934" s="0" t="s">
        <v>2105</v>
      </c>
      <c r="E2934" s="0" t="s">
        <v>2045</v>
      </c>
      <c r="F2934" s="0" t="s">
        <v>2163</v>
      </c>
      <c r="G2934" s="0" t="s">
        <v>2170</v>
      </c>
      <c r="H2934" s="0" t="s">
        <v>2171</v>
      </c>
      <c r="I2934" s="0" t="s">
        <v>2322</v>
      </c>
      <c r="J2934" s="0" t="s">
        <v>2343</v>
      </c>
      <c r="K2934" s="272" t="n">
        <v>-101371.049952152</v>
      </c>
    </row>
    <row r="2935" customFormat="false" ht="15" hidden="false" customHeight="false" outlineLevel="0" collapsed="false">
      <c r="A2935" s="0" t="s">
        <v>2041</v>
      </c>
      <c r="B2935" s="0" t="s">
        <v>2042</v>
      </c>
      <c r="C2935" s="0" t="s">
        <v>2339</v>
      </c>
      <c r="D2935" s="0" t="s">
        <v>2105</v>
      </c>
      <c r="E2935" s="0" t="s">
        <v>2045</v>
      </c>
      <c r="F2935" s="0" t="s">
        <v>2192</v>
      </c>
      <c r="G2935" s="0" t="s">
        <v>2195</v>
      </c>
      <c r="H2935" s="0" t="s">
        <v>2171</v>
      </c>
      <c r="I2935" s="0" t="s">
        <v>2322</v>
      </c>
      <c r="J2935" s="0" t="s">
        <v>2343</v>
      </c>
      <c r="K2935" s="272" t="n">
        <v>-342694.641155395</v>
      </c>
    </row>
    <row r="2936" customFormat="false" ht="15" hidden="false" customHeight="false" outlineLevel="0" collapsed="false">
      <c r="A2936" s="0" t="s">
        <v>2041</v>
      </c>
      <c r="B2936" s="0" t="s">
        <v>2042</v>
      </c>
      <c r="C2936" s="0" t="s">
        <v>2339</v>
      </c>
      <c r="D2936" s="0" t="s">
        <v>2105</v>
      </c>
      <c r="E2936" s="0" t="s">
        <v>2045</v>
      </c>
      <c r="F2936" s="0" t="s">
        <v>2163</v>
      </c>
      <c r="G2936" s="0" t="s">
        <v>2174</v>
      </c>
      <c r="H2936" s="0" t="s">
        <v>2175</v>
      </c>
      <c r="I2936" s="0" t="s">
        <v>2322</v>
      </c>
      <c r="J2936" s="0" t="s">
        <v>2343</v>
      </c>
      <c r="K2936" s="272" t="n">
        <v>-379541.838933489</v>
      </c>
    </row>
    <row r="2937" customFormat="false" ht="15" hidden="false" customHeight="false" outlineLevel="0" collapsed="false">
      <c r="A2937" s="0" t="s">
        <v>2041</v>
      </c>
      <c r="B2937" s="0" t="s">
        <v>2042</v>
      </c>
      <c r="C2937" s="0" t="s">
        <v>2339</v>
      </c>
      <c r="D2937" s="0" t="s">
        <v>2105</v>
      </c>
      <c r="E2937" s="0" t="s">
        <v>2045</v>
      </c>
      <c r="F2937" s="0" t="s">
        <v>2163</v>
      </c>
      <c r="G2937" s="0" t="s">
        <v>2172</v>
      </c>
      <c r="H2937" s="0" t="s">
        <v>2173</v>
      </c>
      <c r="I2937" s="0" t="s">
        <v>2322</v>
      </c>
      <c r="J2937" s="0" t="s">
        <v>2343</v>
      </c>
      <c r="K2937" s="272" t="n">
        <v>-286400.589029943</v>
      </c>
    </row>
    <row r="2938" customFormat="false" ht="15" hidden="false" customHeight="false" outlineLevel="0" collapsed="false">
      <c r="A2938" s="0" t="s">
        <v>2041</v>
      </c>
      <c r="B2938" s="0" t="s">
        <v>2042</v>
      </c>
      <c r="C2938" s="0" t="s">
        <v>2339</v>
      </c>
      <c r="D2938" s="0" t="s">
        <v>2105</v>
      </c>
      <c r="E2938" s="0" t="s">
        <v>2045</v>
      </c>
      <c r="F2938" s="0" t="s">
        <v>2163</v>
      </c>
      <c r="G2938" s="0" t="s">
        <v>2164</v>
      </c>
      <c r="H2938" s="0" t="s">
        <v>2166</v>
      </c>
      <c r="I2938" s="0" t="s">
        <v>2322</v>
      </c>
      <c r="J2938" s="0" t="s">
        <v>2343</v>
      </c>
      <c r="K2938" s="272" t="n">
        <v>-469329.318239933</v>
      </c>
    </row>
    <row r="2939" customFormat="false" ht="15" hidden="false" customHeight="false" outlineLevel="0" collapsed="false">
      <c r="A2939" s="0" t="s">
        <v>2041</v>
      </c>
      <c r="B2939" s="0" t="s">
        <v>2042</v>
      </c>
      <c r="C2939" s="0" t="s">
        <v>2339</v>
      </c>
      <c r="D2939" s="0" t="s">
        <v>2105</v>
      </c>
      <c r="E2939" s="0" t="s">
        <v>2045</v>
      </c>
      <c r="F2939" s="0" t="s">
        <v>2163</v>
      </c>
      <c r="G2939" s="0" t="s">
        <v>2168</v>
      </c>
      <c r="H2939" s="0" t="s">
        <v>2166</v>
      </c>
      <c r="I2939" s="0" t="s">
        <v>2322</v>
      </c>
      <c r="J2939" s="0" t="s">
        <v>2343</v>
      </c>
      <c r="K2939" s="272" t="n">
        <v>-18427.4728897952</v>
      </c>
    </row>
    <row r="2940" customFormat="false" ht="15" hidden="false" customHeight="false" outlineLevel="0" collapsed="false">
      <c r="A2940" s="0" t="s">
        <v>2041</v>
      </c>
      <c r="B2940" s="0" t="s">
        <v>2042</v>
      </c>
      <c r="C2940" s="0" t="s">
        <v>2339</v>
      </c>
      <c r="D2940" s="0" t="s">
        <v>2105</v>
      </c>
      <c r="E2940" s="0" t="s">
        <v>2045</v>
      </c>
      <c r="F2940" s="0" t="s">
        <v>2176</v>
      </c>
      <c r="G2940" s="0" t="s">
        <v>2177</v>
      </c>
      <c r="H2940" s="0" t="s">
        <v>2178</v>
      </c>
      <c r="I2940" s="0" t="s">
        <v>2322</v>
      </c>
      <c r="J2940" s="0" t="s">
        <v>2343</v>
      </c>
      <c r="K2940" s="272" t="n">
        <v>-89329.7241051551</v>
      </c>
    </row>
    <row r="2941" customFormat="false" ht="15" hidden="false" customHeight="false" outlineLevel="0" collapsed="false">
      <c r="A2941" s="0" t="s">
        <v>2041</v>
      </c>
      <c r="B2941" s="0" t="s">
        <v>2042</v>
      </c>
      <c r="C2941" s="0" t="s">
        <v>2339</v>
      </c>
      <c r="D2941" s="0" t="s">
        <v>2105</v>
      </c>
      <c r="E2941" s="0" t="s">
        <v>2045</v>
      </c>
      <c r="F2941" s="0" t="s">
        <v>2176</v>
      </c>
      <c r="G2941" s="0" t="s">
        <v>2181</v>
      </c>
      <c r="H2941" s="0" t="s">
        <v>2187</v>
      </c>
      <c r="I2941" s="0" t="s">
        <v>2322</v>
      </c>
      <c r="J2941" s="0" t="s">
        <v>2343</v>
      </c>
      <c r="K2941" s="272" t="n">
        <v>-83617.0615498103</v>
      </c>
    </row>
    <row r="2942" customFormat="false" ht="15" hidden="false" customHeight="false" outlineLevel="0" collapsed="false">
      <c r="A2942" s="0" t="s">
        <v>2041</v>
      </c>
      <c r="B2942" s="0" t="s">
        <v>2042</v>
      </c>
      <c r="C2942" s="0" t="s">
        <v>2339</v>
      </c>
      <c r="D2942" s="0" t="s">
        <v>2105</v>
      </c>
      <c r="E2942" s="0" t="s">
        <v>2045</v>
      </c>
      <c r="F2942" s="0" t="s">
        <v>2204</v>
      </c>
      <c r="G2942" s="0" t="s">
        <v>2205</v>
      </c>
      <c r="H2942" s="0" t="s">
        <v>2208</v>
      </c>
      <c r="I2942" s="0" t="s">
        <v>2322</v>
      </c>
      <c r="J2942" s="0" t="s">
        <v>2343</v>
      </c>
      <c r="K2942" s="272" t="n">
        <v>-32672.9446635353</v>
      </c>
    </row>
    <row r="2943" customFormat="false" ht="15" hidden="false" customHeight="false" outlineLevel="0" collapsed="false">
      <c r="A2943" s="0" t="s">
        <v>2041</v>
      </c>
      <c r="B2943" s="0" t="s">
        <v>2042</v>
      </c>
      <c r="C2943" s="0" t="s">
        <v>2339</v>
      </c>
      <c r="D2943" s="0" t="s">
        <v>2105</v>
      </c>
      <c r="E2943" s="0" t="s">
        <v>2045</v>
      </c>
      <c r="F2943" s="0" t="s">
        <v>2204</v>
      </c>
      <c r="G2943" s="0" t="s">
        <v>2212</v>
      </c>
      <c r="H2943" s="0" t="s">
        <v>2208</v>
      </c>
      <c r="I2943" s="0" t="s">
        <v>2322</v>
      </c>
      <c r="J2943" s="0" t="s">
        <v>2343</v>
      </c>
      <c r="K2943" s="272" t="n">
        <v>-77288.3982581583</v>
      </c>
    </row>
    <row r="2944" customFormat="false" ht="15" hidden="false" customHeight="false" outlineLevel="0" collapsed="false">
      <c r="A2944" s="0" t="s">
        <v>2041</v>
      </c>
      <c r="B2944" s="0" t="s">
        <v>2042</v>
      </c>
      <c r="C2944" s="0" t="s">
        <v>2339</v>
      </c>
      <c r="D2944" s="0" t="s">
        <v>2105</v>
      </c>
      <c r="E2944" s="0" t="s">
        <v>2045</v>
      </c>
      <c r="F2944" s="0" t="s">
        <v>2204</v>
      </c>
      <c r="G2944" s="0" t="s">
        <v>2214</v>
      </c>
      <c r="H2944" s="0" t="s">
        <v>2208</v>
      </c>
      <c r="I2944" s="0" t="s">
        <v>2322</v>
      </c>
      <c r="J2944" s="0" t="s">
        <v>2343</v>
      </c>
      <c r="K2944" s="272" t="n">
        <v>-14253.547066932</v>
      </c>
    </row>
    <row r="2945" customFormat="false" ht="15" hidden="false" customHeight="false" outlineLevel="0" collapsed="false">
      <c r="A2945" s="0" t="s">
        <v>2041</v>
      </c>
      <c r="B2945" s="0" t="s">
        <v>2042</v>
      </c>
      <c r="C2945" s="0" t="s">
        <v>2339</v>
      </c>
      <c r="D2945" s="0" t="s">
        <v>2105</v>
      </c>
      <c r="E2945" s="0" t="s">
        <v>2045</v>
      </c>
      <c r="F2945" s="0" t="s">
        <v>2176</v>
      </c>
      <c r="G2945" s="0" t="s">
        <v>2177</v>
      </c>
      <c r="H2945" s="0" t="s">
        <v>2179</v>
      </c>
      <c r="I2945" s="0" t="s">
        <v>2322</v>
      </c>
      <c r="J2945" s="0" t="s">
        <v>2343</v>
      </c>
      <c r="K2945" s="272" t="n">
        <v>-49372.657278264</v>
      </c>
    </row>
    <row r="2946" customFormat="false" ht="15" hidden="false" customHeight="false" outlineLevel="0" collapsed="false">
      <c r="A2946" s="0" t="s">
        <v>2041</v>
      </c>
      <c r="B2946" s="0" t="s">
        <v>2042</v>
      </c>
      <c r="C2946" s="0" t="s">
        <v>2339</v>
      </c>
      <c r="D2946" s="0" t="s">
        <v>2105</v>
      </c>
      <c r="E2946" s="0" t="s">
        <v>2045</v>
      </c>
      <c r="F2946" s="0" t="s">
        <v>2176</v>
      </c>
      <c r="G2946" s="0" t="s">
        <v>2181</v>
      </c>
      <c r="H2946" s="0" t="s">
        <v>2179</v>
      </c>
      <c r="I2946" s="0" t="s">
        <v>2322</v>
      </c>
      <c r="J2946" s="0" t="s">
        <v>2343</v>
      </c>
      <c r="K2946" s="272" t="n">
        <v>-49372.6321019797</v>
      </c>
    </row>
    <row r="2947" customFormat="false" ht="15" hidden="false" customHeight="false" outlineLevel="0" collapsed="false">
      <c r="A2947" s="0" t="s">
        <v>2041</v>
      </c>
      <c r="B2947" s="0" t="s">
        <v>2042</v>
      </c>
      <c r="C2947" s="0" t="s">
        <v>2339</v>
      </c>
      <c r="D2947" s="0" t="s">
        <v>2105</v>
      </c>
      <c r="E2947" s="0" t="s">
        <v>2045</v>
      </c>
      <c r="F2947" s="0" t="s">
        <v>2215</v>
      </c>
      <c r="G2947" s="0" t="s">
        <v>2218</v>
      </c>
      <c r="H2947" s="0" t="s">
        <v>2179</v>
      </c>
      <c r="I2947" s="0" t="s">
        <v>2322</v>
      </c>
      <c r="J2947" s="0" t="s">
        <v>2343</v>
      </c>
      <c r="K2947" s="272" t="n">
        <v>-69513.3574330088</v>
      </c>
    </row>
    <row r="2948" customFormat="false" ht="15" hidden="false" customHeight="false" outlineLevel="0" collapsed="false">
      <c r="A2948" s="0" t="s">
        <v>2041</v>
      </c>
      <c r="B2948" s="0" t="s">
        <v>2042</v>
      </c>
      <c r="C2948" s="0" t="s">
        <v>2339</v>
      </c>
      <c r="D2948" s="0" t="s">
        <v>2105</v>
      </c>
      <c r="E2948" s="0" t="s">
        <v>2045</v>
      </c>
      <c r="F2948" s="0" t="s">
        <v>2256</v>
      </c>
      <c r="G2948" s="0" t="s">
        <v>2257</v>
      </c>
      <c r="H2948" s="0" t="s">
        <v>2179</v>
      </c>
      <c r="I2948" s="0" t="s">
        <v>2322</v>
      </c>
      <c r="J2948" s="0" t="s">
        <v>2343</v>
      </c>
      <c r="K2948" s="272" t="n">
        <v>-59376.2524377936</v>
      </c>
    </row>
    <row r="2949" customFormat="false" ht="15" hidden="false" customHeight="false" outlineLevel="0" collapsed="false">
      <c r="A2949" s="0" t="s">
        <v>2041</v>
      </c>
      <c r="B2949" s="0" t="s">
        <v>2042</v>
      </c>
      <c r="C2949" s="0" t="s">
        <v>2339</v>
      </c>
      <c r="D2949" s="0" t="s">
        <v>2105</v>
      </c>
      <c r="E2949" s="0" t="s">
        <v>2045</v>
      </c>
      <c r="F2949" s="0" t="s">
        <v>2256</v>
      </c>
      <c r="G2949" s="0" t="s">
        <v>2262</v>
      </c>
      <c r="H2949" s="0" t="s">
        <v>2264</v>
      </c>
      <c r="I2949" s="0" t="s">
        <v>2322</v>
      </c>
      <c r="J2949" s="0" t="s">
        <v>2343</v>
      </c>
      <c r="K2949" s="272" t="n">
        <v>-290939.306624288</v>
      </c>
    </row>
    <row r="2950" customFormat="false" ht="15" hidden="false" customHeight="false" outlineLevel="0" collapsed="false">
      <c r="A2950" s="0" t="s">
        <v>2041</v>
      </c>
      <c r="B2950" s="0" t="s">
        <v>2042</v>
      </c>
      <c r="C2950" s="0" t="s">
        <v>2339</v>
      </c>
      <c r="D2950" s="0" t="s">
        <v>2105</v>
      </c>
      <c r="E2950" s="0" t="s">
        <v>2045</v>
      </c>
      <c r="F2950" s="0" t="s">
        <v>2256</v>
      </c>
      <c r="G2950" s="0" t="s">
        <v>2257</v>
      </c>
      <c r="H2950" s="0" t="s">
        <v>2258</v>
      </c>
      <c r="I2950" s="0" t="s">
        <v>2322</v>
      </c>
      <c r="J2950" s="0" t="s">
        <v>2343</v>
      </c>
      <c r="K2950" s="272" t="n">
        <v>-38418.9280311618</v>
      </c>
    </row>
    <row r="2951" customFormat="false" ht="15" hidden="false" customHeight="false" outlineLevel="0" collapsed="false">
      <c r="A2951" s="0" t="s">
        <v>2041</v>
      </c>
      <c r="B2951" s="0" t="s">
        <v>2042</v>
      </c>
      <c r="C2951" s="0" t="s">
        <v>2339</v>
      </c>
      <c r="D2951" s="0" t="s">
        <v>2105</v>
      </c>
      <c r="E2951" s="0" t="s">
        <v>2045</v>
      </c>
      <c r="F2951" s="0" t="s">
        <v>2256</v>
      </c>
      <c r="G2951" s="0" t="s">
        <v>2259</v>
      </c>
      <c r="H2951" s="0" t="s">
        <v>2258</v>
      </c>
      <c r="I2951" s="0" t="s">
        <v>2322</v>
      </c>
      <c r="J2951" s="0" t="s">
        <v>2343</v>
      </c>
      <c r="K2951" s="272" t="n">
        <v>-942363.23230473</v>
      </c>
    </row>
    <row r="2952" customFormat="false" ht="15" hidden="false" customHeight="false" outlineLevel="0" collapsed="false">
      <c r="A2952" s="0" t="s">
        <v>2041</v>
      </c>
      <c r="B2952" s="0" t="s">
        <v>2042</v>
      </c>
      <c r="C2952" s="0" t="s">
        <v>2339</v>
      </c>
      <c r="D2952" s="0" t="s">
        <v>2105</v>
      </c>
      <c r="E2952" s="0" t="s">
        <v>2045</v>
      </c>
      <c r="F2952" s="0" t="s">
        <v>2256</v>
      </c>
      <c r="G2952" s="0" t="s">
        <v>2260</v>
      </c>
      <c r="H2952" s="0" t="s">
        <v>2261</v>
      </c>
      <c r="I2952" s="0" t="s">
        <v>2322</v>
      </c>
      <c r="J2952" s="0" t="s">
        <v>2343</v>
      </c>
      <c r="K2952" s="272" t="n">
        <v>-240923.993218705</v>
      </c>
    </row>
    <row r="2953" customFormat="false" ht="15" hidden="false" customHeight="false" outlineLevel="0" collapsed="false">
      <c r="A2953" s="0" t="s">
        <v>2041</v>
      </c>
      <c r="B2953" s="0" t="s">
        <v>2042</v>
      </c>
      <c r="C2953" s="0" t="s">
        <v>2339</v>
      </c>
      <c r="D2953" s="0" t="s">
        <v>2105</v>
      </c>
      <c r="E2953" s="0" t="s">
        <v>2045</v>
      </c>
      <c r="F2953" s="0" t="s">
        <v>2256</v>
      </c>
      <c r="G2953" s="0" t="s">
        <v>2266</v>
      </c>
      <c r="H2953" s="0" t="s">
        <v>2267</v>
      </c>
      <c r="I2953" s="0" t="s">
        <v>2322</v>
      </c>
      <c r="J2953" s="0" t="s">
        <v>2343</v>
      </c>
      <c r="K2953" s="272" t="n">
        <v>-484237.473875159</v>
      </c>
    </row>
    <row r="2954" customFormat="false" ht="15" hidden="false" customHeight="false" outlineLevel="0" collapsed="false">
      <c r="A2954" s="0" t="s">
        <v>2041</v>
      </c>
      <c r="B2954" s="0" t="s">
        <v>2042</v>
      </c>
      <c r="C2954" s="0" t="s">
        <v>2339</v>
      </c>
      <c r="D2954" s="0" t="s">
        <v>2105</v>
      </c>
      <c r="E2954" s="0" t="s">
        <v>2045</v>
      </c>
      <c r="F2954" s="0" t="s">
        <v>2256</v>
      </c>
      <c r="G2954" s="0" t="s">
        <v>2262</v>
      </c>
      <c r="H2954" s="0" t="s">
        <v>2265</v>
      </c>
      <c r="I2954" s="0" t="s">
        <v>2322</v>
      </c>
      <c r="J2954" s="0" t="s">
        <v>2343</v>
      </c>
      <c r="K2954" s="272" t="n">
        <v>-46191.979929851</v>
      </c>
    </row>
    <row r="2955" customFormat="false" ht="15" hidden="false" customHeight="false" outlineLevel="0" collapsed="false">
      <c r="A2955" s="0" t="s">
        <v>2041</v>
      </c>
      <c r="B2955" s="0" t="s">
        <v>2042</v>
      </c>
      <c r="C2955" s="0" t="s">
        <v>2339</v>
      </c>
      <c r="D2955" s="0" t="s">
        <v>2105</v>
      </c>
      <c r="E2955" s="0" t="s">
        <v>2045</v>
      </c>
      <c r="F2955" s="0" t="s">
        <v>2150</v>
      </c>
      <c r="G2955" s="0" t="s">
        <v>2151</v>
      </c>
      <c r="H2955" s="0" t="s">
        <v>2153</v>
      </c>
      <c r="I2955" s="0" t="s">
        <v>2322</v>
      </c>
      <c r="J2955" s="0" t="s">
        <v>2343</v>
      </c>
      <c r="K2955" s="272" t="n">
        <v>-144437.444537727</v>
      </c>
    </row>
    <row r="2956" customFormat="false" ht="15" hidden="false" customHeight="false" outlineLevel="0" collapsed="false">
      <c r="A2956" s="0" t="s">
        <v>2041</v>
      </c>
      <c r="B2956" s="0" t="s">
        <v>2042</v>
      </c>
      <c r="C2956" s="0" t="s">
        <v>2339</v>
      </c>
      <c r="D2956" s="0" t="s">
        <v>2279</v>
      </c>
      <c r="E2956" s="0" t="s">
        <v>2279</v>
      </c>
      <c r="F2956" s="0" t="s">
        <v>2292</v>
      </c>
      <c r="G2956" s="0" t="s">
        <v>2293</v>
      </c>
      <c r="H2956" s="0" t="s">
        <v>2153</v>
      </c>
      <c r="I2956" s="0" t="s">
        <v>2322</v>
      </c>
      <c r="J2956" s="0" t="s">
        <v>2343</v>
      </c>
      <c r="K2956" s="272" t="n">
        <v>-10312.3382280703</v>
      </c>
    </row>
    <row r="2957" customFormat="false" ht="15" hidden="false" customHeight="false" outlineLevel="0" collapsed="false">
      <c r="A2957" s="0" t="s">
        <v>2041</v>
      </c>
      <c r="B2957" s="0" t="s">
        <v>2042</v>
      </c>
      <c r="C2957" s="0" t="s">
        <v>2339</v>
      </c>
      <c r="D2957" s="0" t="s">
        <v>2279</v>
      </c>
      <c r="E2957" s="0" t="s">
        <v>2279</v>
      </c>
      <c r="F2957" s="0" t="s">
        <v>2292</v>
      </c>
      <c r="G2957" s="0" t="s">
        <v>2293</v>
      </c>
      <c r="H2957" s="0" t="s">
        <v>2314</v>
      </c>
      <c r="I2957" s="0" t="s">
        <v>2322</v>
      </c>
      <c r="J2957" s="0" t="s">
        <v>2343</v>
      </c>
      <c r="K2957" s="272" t="n">
        <v>-3437.44397799974</v>
      </c>
    </row>
    <row r="2958" customFormat="false" ht="15" hidden="false" customHeight="false" outlineLevel="0" collapsed="false">
      <c r="A2958" s="0" t="s">
        <v>2041</v>
      </c>
      <c r="B2958" s="0" t="s">
        <v>2042</v>
      </c>
      <c r="C2958" s="0" t="s">
        <v>2339</v>
      </c>
      <c r="D2958" s="0" t="s">
        <v>2105</v>
      </c>
      <c r="E2958" s="0" t="s">
        <v>2045</v>
      </c>
      <c r="F2958" s="0" t="s">
        <v>2157</v>
      </c>
      <c r="G2958" s="0" t="s">
        <v>2158</v>
      </c>
      <c r="H2958" s="0" t="s">
        <v>2344</v>
      </c>
      <c r="I2958" s="0" t="s">
        <v>2322</v>
      </c>
      <c r="J2958" s="0" t="s">
        <v>2343</v>
      </c>
      <c r="K2958" s="272" t="n">
        <v>-88.1169950781785</v>
      </c>
    </row>
    <row r="2959" customFormat="false" ht="15" hidden="false" customHeight="false" outlineLevel="0" collapsed="false">
      <c r="A2959" s="0" t="s">
        <v>2041</v>
      </c>
      <c r="B2959" s="0" t="s">
        <v>2042</v>
      </c>
      <c r="C2959" s="0" t="s">
        <v>2339</v>
      </c>
      <c r="D2959" s="0" t="s">
        <v>2105</v>
      </c>
      <c r="E2959" s="0" t="s">
        <v>2045</v>
      </c>
      <c r="F2959" s="0" t="s">
        <v>2157</v>
      </c>
      <c r="G2959" s="0" t="s">
        <v>2158</v>
      </c>
      <c r="H2959" s="0" t="s">
        <v>2159</v>
      </c>
      <c r="I2959" s="0" t="s">
        <v>2322</v>
      </c>
      <c r="J2959" s="0" t="s">
        <v>2343</v>
      </c>
      <c r="K2959" s="272" t="n">
        <v>-411332.178598037</v>
      </c>
    </row>
    <row r="2960" customFormat="false" ht="15" hidden="false" customHeight="false" outlineLevel="0" collapsed="false">
      <c r="A2960" s="0" t="s">
        <v>2041</v>
      </c>
      <c r="B2960" s="0" t="s">
        <v>2042</v>
      </c>
      <c r="C2960" s="0" t="s">
        <v>2339</v>
      </c>
      <c r="D2960" s="0" t="s">
        <v>2105</v>
      </c>
      <c r="E2960" s="0" t="s">
        <v>2045</v>
      </c>
      <c r="F2960" s="0" t="s">
        <v>2225</v>
      </c>
      <c r="G2960" s="0" t="s">
        <v>2226</v>
      </c>
      <c r="H2960" s="0" t="s">
        <v>2227</v>
      </c>
      <c r="I2960" s="0" t="s">
        <v>2322</v>
      </c>
      <c r="J2960" s="0" t="s">
        <v>2343</v>
      </c>
      <c r="K2960" s="272" t="n">
        <v>-69513.3574330088</v>
      </c>
    </row>
    <row r="2961" customFormat="false" ht="15" hidden="false" customHeight="false" outlineLevel="0" collapsed="false">
      <c r="A2961" s="0" t="s">
        <v>2041</v>
      </c>
      <c r="B2961" s="0" t="s">
        <v>2042</v>
      </c>
      <c r="C2961" s="0" t="s">
        <v>2339</v>
      </c>
      <c r="D2961" s="0" t="s">
        <v>2105</v>
      </c>
      <c r="E2961" s="0" t="s">
        <v>2045</v>
      </c>
      <c r="F2961" s="0" t="s">
        <v>2225</v>
      </c>
      <c r="G2961" s="0" t="s">
        <v>2228</v>
      </c>
      <c r="H2961" s="0" t="s">
        <v>2227</v>
      </c>
      <c r="I2961" s="0" t="s">
        <v>2322</v>
      </c>
      <c r="J2961" s="0" t="s">
        <v>2343</v>
      </c>
      <c r="K2961" s="272" t="n">
        <v>-254732.429873142</v>
      </c>
    </row>
    <row r="2962" customFormat="false" ht="15" hidden="false" customHeight="false" outlineLevel="0" collapsed="false">
      <c r="A2962" s="0" t="s">
        <v>2041</v>
      </c>
      <c r="B2962" s="0" t="s">
        <v>2042</v>
      </c>
      <c r="C2962" s="0" t="s">
        <v>2339</v>
      </c>
      <c r="D2962" s="0" t="s">
        <v>2105</v>
      </c>
      <c r="E2962" s="0" t="s">
        <v>2045</v>
      </c>
      <c r="F2962" s="0" t="s">
        <v>2225</v>
      </c>
      <c r="G2962" s="0" t="s">
        <v>2229</v>
      </c>
      <c r="H2962" s="0" t="s">
        <v>2227</v>
      </c>
      <c r="I2962" s="0" t="s">
        <v>2322</v>
      </c>
      <c r="J2962" s="0" t="s">
        <v>2343</v>
      </c>
      <c r="K2962" s="272" t="n">
        <v>-260988.289644646</v>
      </c>
    </row>
    <row r="2963" customFormat="false" ht="15" hidden="false" customHeight="false" outlineLevel="0" collapsed="false">
      <c r="A2963" s="0" t="s">
        <v>2041</v>
      </c>
      <c r="B2963" s="0" t="s">
        <v>2042</v>
      </c>
      <c r="C2963" s="0" t="s">
        <v>2339</v>
      </c>
      <c r="D2963" s="0" t="s">
        <v>2105</v>
      </c>
      <c r="E2963" s="0" t="s">
        <v>2045</v>
      </c>
      <c r="F2963" s="0" t="s">
        <v>2225</v>
      </c>
      <c r="G2963" s="0" t="s">
        <v>2230</v>
      </c>
      <c r="H2963" s="0" t="s">
        <v>2227</v>
      </c>
      <c r="I2963" s="0" t="s">
        <v>2322</v>
      </c>
      <c r="J2963" s="0" t="s">
        <v>2343</v>
      </c>
      <c r="K2963" s="272" t="n">
        <v>-103891.271540241</v>
      </c>
    </row>
    <row r="2964" customFormat="false" ht="15" hidden="false" customHeight="false" outlineLevel="0" collapsed="false">
      <c r="A2964" s="0" t="s">
        <v>2041</v>
      </c>
      <c r="B2964" s="0" t="s">
        <v>2042</v>
      </c>
      <c r="C2964" s="0" t="s">
        <v>2339</v>
      </c>
      <c r="D2964" s="0" t="s">
        <v>2105</v>
      </c>
      <c r="E2964" s="0" t="s">
        <v>2045</v>
      </c>
      <c r="F2964" s="0" t="s">
        <v>2225</v>
      </c>
      <c r="G2964" s="0" t="s">
        <v>2231</v>
      </c>
      <c r="H2964" s="0" t="s">
        <v>2227</v>
      </c>
      <c r="I2964" s="0" t="s">
        <v>2322</v>
      </c>
      <c r="J2964" s="0" t="s">
        <v>2343</v>
      </c>
      <c r="K2964" s="272" t="n">
        <v>-252959.899870505</v>
      </c>
    </row>
    <row r="2965" customFormat="false" ht="15" hidden="false" customHeight="false" outlineLevel="0" collapsed="false">
      <c r="A2965" s="0" t="s">
        <v>2041</v>
      </c>
      <c r="B2965" s="0" t="s">
        <v>2042</v>
      </c>
      <c r="C2965" s="0" t="s">
        <v>2339</v>
      </c>
      <c r="D2965" s="0" t="s">
        <v>2105</v>
      </c>
      <c r="E2965" s="0" t="s">
        <v>2045</v>
      </c>
      <c r="F2965" s="0" t="s">
        <v>2046</v>
      </c>
      <c r="G2965" s="0" t="s">
        <v>2125</v>
      </c>
      <c r="H2965" s="0" t="s">
        <v>2128</v>
      </c>
      <c r="I2965" s="0" t="s">
        <v>2322</v>
      </c>
      <c r="J2965" s="0" t="s">
        <v>2343</v>
      </c>
      <c r="K2965" s="272" t="n">
        <v>-18369.9891386488</v>
      </c>
    </row>
    <row r="2966" customFormat="false" ht="15" hidden="false" customHeight="false" outlineLevel="0" collapsed="false">
      <c r="A2966" s="0" t="s">
        <v>2041</v>
      </c>
      <c r="B2966" s="0" t="s">
        <v>2042</v>
      </c>
      <c r="C2966" s="0" t="s">
        <v>2339</v>
      </c>
      <c r="D2966" s="0" t="s">
        <v>2105</v>
      </c>
      <c r="E2966" s="0" t="s">
        <v>2045</v>
      </c>
      <c r="F2966" s="0" t="s">
        <v>2046</v>
      </c>
      <c r="G2966" s="0" t="s">
        <v>2127</v>
      </c>
      <c r="H2966" s="0" t="s">
        <v>2128</v>
      </c>
      <c r="I2966" s="0" t="s">
        <v>2322</v>
      </c>
      <c r="J2966" s="0" t="s">
        <v>2343</v>
      </c>
      <c r="K2966" s="272" t="n">
        <v>-129691.877346563</v>
      </c>
    </row>
    <row r="2967" customFormat="false" ht="15" hidden="false" customHeight="false" outlineLevel="0" collapsed="false">
      <c r="A2967" s="0" t="s">
        <v>2041</v>
      </c>
      <c r="B2967" s="0" t="s">
        <v>2042</v>
      </c>
      <c r="C2967" s="0" t="s">
        <v>2339</v>
      </c>
      <c r="D2967" s="0" t="s">
        <v>2105</v>
      </c>
      <c r="E2967" s="0" t="s">
        <v>2045</v>
      </c>
      <c r="F2967" s="0" t="s">
        <v>2046</v>
      </c>
      <c r="G2967" s="0" t="s">
        <v>2125</v>
      </c>
      <c r="H2967" s="0" t="s">
        <v>2130</v>
      </c>
      <c r="I2967" s="0" t="s">
        <v>2322</v>
      </c>
      <c r="J2967" s="0" t="s">
        <v>2343</v>
      </c>
      <c r="K2967" s="272" t="n">
        <v>-77746.2415764424</v>
      </c>
    </row>
    <row r="2968" customFormat="false" ht="15" hidden="false" customHeight="false" outlineLevel="0" collapsed="false">
      <c r="A2968" s="0" t="s">
        <v>2041</v>
      </c>
      <c r="B2968" s="0" t="s">
        <v>2042</v>
      </c>
      <c r="C2968" s="0" t="s">
        <v>2339</v>
      </c>
      <c r="D2968" s="0" t="s">
        <v>2105</v>
      </c>
      <c r="E2968" s="0" t="s">
        <v>2045</v>
      </c>
      <c r="F2968" s="0" t="s">
        <v>2046</v>
      </c>
      <c r="G2968" s="0" t="s">
        <v>2129</v>
      </c>
      <c r="H2968" s="0" t="s">
        <v>2130</v>
      </c>
      <c r="I2968" s="0" t="s">
        <v>2322</v>
      </c>
      <c r="J2968" s="0" t="s">
        <v>2343</v>
      </c>
      <c r="K2968" s="272" t="n">
        <v>-64007.6754050316</v>
      </c>
    </row>
    <row r="2969" customFormat="false" ht="15" hidden="false" customHeight="false" outlineLevel="0" collapsed="false">
      <c r="A2969" s="0" t="s">
        <v>2041</v>
      </c>
      <c r="B2969" s="0" t="s">
        <v>2042</v>
      </c>
      <c r="C2969" s="0" t="s">
        <v>2339</v>
      </c>
      <c r="D2969" s="0" t="s">
        <v>2105</v>
      </c>
      <c r="E2969" s="0" t="s">
        <v>2045</v>
      </c>
      <c r="F2969" s="0" t="s">
        <v>2046</v>
      </c>
      <c r="G2969" s="0" t="s">
        <v>2127</v>
      </c>
      <c r="H2969" s="0" t="s">
        <v>2132</v>
      </c>
      <c r="I2969" s="0" t="s">
        <v>2322</v>
      </c>
      <c r="J2969" s="0" t="s">
        <v>2343</v>
      </c>
      <c r="K2969" s="272" t="n">
        <v>-5068.5524976076</v>
      </c>
    </row>
    <row r="2970" customFormat="false" ht="15" hidden="false" customHeight="false" outlineLevel="0" collapsed="false">
      <c r="A2970" s="0" t="s">
        <v>2041</v>
      </c>
      <c r="B2970" s="0" t="s">
        <v>2042</v>
      </c>
      <c r="C2970" s="0" t="s">
        <v>2339</v>
      </c>
      <c r="D2970" s="0" t="s">
        <v>2105</v>
      </c>
      <c r="E2970" s="0" t="s">
        <v>2045</v>
      </c>
      <c r="F2970" s="0" t="s">
        <v>2046</v>
      </c>
      <c r="G2970" s="0" t="s">
        <v>2131</v>
      </c>
      <c r="H2970" s="0" t="s">
        <v>2132</v>
      </c>
      <c r="I2970" s="0" t="s">
        <v>2322</v>
      </c>
      <c r="J2970" s="0" t="s">
        <v>2343</v>
      </c>
      <c r="K2970" s="272" t="n">
        <v>-95658.3811027361</v>
      </c>
    </row>
    <row r="2971" customFormat="false" ht="15" hidden="false" customHeight="false" outlineLevel="0" collapsed="false">
      <c r="A2971" s="0" t="s">
        <v>2041</v>
      </c>
      <c r="B2971" s="0" t="s">
        <v>2042</v>
      </c>
      <c r="C2971" s="0" t="s">
        <v>2339</v>
      </c>
      <c r="D2971" s="0" t="s">
        <v>2105</v>
      </c>
      <c r="E2971" s="0" t="s">
        <v>2045</v>
      </c>
      <c r="F2971" s="0" t="s">
        <v>2046</v>
      </c>
      <c r="G2971" s="0" t="s">
        <v>2133</v>
      </c>
      <c r="H2971" s="0" t="s">
        <v>2134</v>
      </c>
      <c r="I2971" s="0" t="s">
        <v>2322</v>
      </c>
      <c r="J2971" s="0" t="s">
        <v>2343</v>
      </c>
      <c r="K2971" s="272" t="n">
        <v>-103160.020068442</v>
      </c>
    </row>
    <row r="2972" customFormat="false" ht="15" hidden="false" customHeight="false" outlineLevel="0" collapsed="false">
      <c r="A2972" s="0" t="s">
        <v>2041</v>
      </c>
      <c r="B2972" s="0" t="s">
        <v>2042</v>
      </c>
      <c r="C2972" s="0" t="s">
        <v>2339</v>
      </c>
      <c r="D2972" s="0" t="s">
        <v>2105</v>
      </c>
      <c r="E2972" s="0" t="s">
        <v>2045</v>
      </c>
      <c r="F2972" s="0" t="s">
        <v>2046</v>
      </c>
      <c r="G2972" s="0" t="s">
        <v>2125</v>
      </c>
      <c r="H2972" s="0" t="s">
        <v>2144</v>
      </c>
      <c r="I2972" s="0" t="s">
        <v>2322</v>
      </c>
      <c r="J2972" s="0" t="s">
        <v>2343</v>
      </c>
      <c r="K2972" s="272" t="n">
        <v>-5223.07194254826</v>
      </c>
    </row>
    <row r="2973" customFormat="false" ht="15" hidden="false" customHeight="false" outlineLevel="0" collapsed="false">
      <c r="A2973" s="0" t="s">
        <v>2041</v>
      </c>
      <c r="B2973" s="0" t="s">
        <v>2042</v>
      </c>
      <c r="C2973" s="0" t="s">
        <v>2339</v>
      </c>
      <c r="D2973" s="0" t="s">
        <v>2105</v>
      </c>
      <c r="E2973" s="0" t="s">
        <v>2045</v>
      </c>
      <c r="F2973" s="0" t="s">
        <v>2046</v>
      </c>
      <c r="G2973" s="0" t="s">
        <v>2141</v>
      </c>
      <c r="H2973" s="0" t="s">
        <v>2144</v>
      </c>
      <c r="I2973" s="0" t="s">
        <v>2322</v>
      </c>
      <c r="J2973" s="0" t="s">
        <v>2343</v>
      </c>
      <c r="K2973" s="272" t="n">
        <v>-9184.9945693244</v>
      </c>
    </row>
    <row r="2974" customFormat="false" ht="15" hidden="false" customHeight="false" outlineLevel="0" collapsed="false">
      <c r="A2974" s="0" t="s">
        <v>2041</v>
      </c>
      <c r="B2974" s="0" t="s">
        <v>2042</v>
      </c>
      <c r="C2974" s="0" t="s">
        <v>2339</v>
      </c>
      <c r="D2974" s="0" t="s">
        <v>2105</v>
      </c>
      <c r="E2974" s="0" t="s">
        <v>2045</v>
      </c>
      <c r="F2974" s="0" t="s">
        <v>2046</v>
      </c>
      <c r="G2974" s="0" t="s">
        <v>2143</v>
      </c>
      <c r="H2974" s="0" t="s">
        <v>2144</v>
      </c>
      <c r="I2974" s="0" t="s">
        <v>2322</v>
      </c>
      <c r="J2974" s="0" t="s">
        <v>2343</v>
      </c>
      <c r="K2974" s="272" t="n">
        <v>-83617.0615498103</v>
      </c>
    </row>
    <row r="2975" customFormat="false" ht="15" hidden="false" customHeight="false" outlineLevel="0" collapsed="false">
      <c r="A2975" s="0" t="s">
        <v>2041</v>
      </c>
      <c r="B2975" s="0" t="s">
        <v>2042</v>
      </c>
      <c r="C2975" s="0" t="s">
        <v>2339</v>
      </c>
      <c r="D2975" s="0" t="s">
        <v>2105</v>
      </c>
      <c r="E2975" s="0" t="s">
        <v>2045</v>
      </c>
      <c r="F2975" s="0" t="s">
        <v>2046</v>
      </c>
      <c r="G2975" s="0" t="s">
        <v>2125</v>
      </c>
      <c r="H2975" s="0" t="s">
        <v>2136</v>
      </c>
      <c r="I2975" s="0" t="s">
        <v>2322</v>
      </c>
      <c r="J2975" s="0" t="s">
        <v>2343</v>
      </c>
      <c r="K2975" s="272" t="n">
        <v>-18369.9891386488</v>
      </c>
    </row>
    <row r="2976" customFormat="false" ht="15" hidden="false" customHeight="false" outlineLevel="0" collapsed="false">
      <c r="A2976" s="0" t="s">
        <v>2041</v>
      </c>
      <c r="B2976" s="0" t="s">
        <v>2042</v>
      </c>
      <c r="C2976" s="0" t="s">
        <v>2339</v>
      </c>
      <c r="D2976" s="0" t="s">
        <v>2105</v>
      </c>
      <c r="E2976" s="0" t="s">
        <v>2045</v>
      </c>
      <c r="F2976" s="0" t="s">
        <v>2046</v>
      </c>
      <c r="G2976" s="0" t="s">
        <v>2135</v>
      </c>
      <c r="H2976" s="0" t="s">
        <v>2136</v>
      </c>
      <c r="I2976" s="0" t="s">
        <v>2322</v>
      </c>
      <c r="J2976" s="0" t="s">
        <v>2343</v>
      </c>
      <c r="K2976" s="272" t="n">
        <v>-60333.0393584946</v>
      </c>
    </row>
    <row r="2977" customFormat="false" ht="15" hidden="false" customHeight="false" outlineLevel="0" collapsed="false">
      <c r="A2977" s="0" t="s">
        <v>2041</v>
      </c>
      <c r="B2977" s="0" t="s">
        <v>2042</v>
      </c>
      <c r="C2977" s="0" t="s">
        <v>2339</v>
      </c>
      <c r="D2977" s="0" t="s">
        <v>2105</v>
      </c>
      <c r="E2977" s="0" t="s">
        <v>2045</v>
      </c>
      <c r="F2977" s="0" t="s">
        <v>2046</v>
      </c>
      <c r="G2977" s="0" t="s">
        <v>2139</v>
      </c>
      <c r="H2977" s="0" t="s">
        <v>2136</v>
      </c>
      <c r="I2977" s="0" t="s">
        <v>2322</v>
      </c>
      <c r="J2977" s="0" t="s">
        <v>2343</v>
      </c>
      <c r="K2977" s="272" t="n">
        <v>-5068.5524976076</v>
      </c>
    </row>
    <row r="2978" customFormat="false" ht="15" hidden="false" customHeight="false" outlineLevel="0" collapsed="false">
      <c r="A2978" s="0" t="s">
        <v>2041</v>
      </c>
      <c r="B2978" s="0" t="s">
        <v>2042</v>
      </c>
      <c r="C2978" s="0" t="s">
        <v>2339</v>
      </c>
      <c r="D2978" s="0" t="s">
        <v>2105</v>
      </c>
      <c r="E2978" s="0" t="s">
        <v>2045</v>
      </c>
      <c r="F2978" s="0" t="s">
        <v>2046</v>
      </c>
      <c r="G2978" s="0" t="s">
        <v>2125</v>
      </c>
      <c r="H2978" s="0" t="s">
        <v>2138</v>
      </c>
      <c r="I2978" s="0" t="s">
        <v>2322</v>
      </c>
      <c r="J2978" s="0" t="s">
        <v>2343</v>
      </c>
      <c r="K2978" s="272" t="n">
        <v>-19322.0995645396</v>
      </c>
    </row>
    <row r="2979" customFormat="false" ht="15" hidden="false" customHeight="false" outlineLevel="0" collapsed="false">
      <c r="A2979" s="0" t="s">
        <v>2041</v>
      </c>
      <c r="B2979" s="0" t="s">
        <v>2042</v>
      </c>
      <c r="C2979" s="0" t="s">
        <v>2339</v>
      </c>
      <c r="D2979" s="0" t="s">
        <v>2105</v>
      </c>
      <c r="E2979" s="0" t="s">
        <v>2045</v>
      </c>
      <c r="F2979" s="0" t="s">
        <v>2046</v>
      </c>
      <c r="G2979" s="0" t="s">
        <v>2137</v>
      </c>
      <c r="H2979" s="0" t="s">
        <v>2138</v>
      </c>
      <c r="I2979" s="0" t="s">
        <v>2322</v>
      </c>
      <c r="J2979" s="0" t="s">
        <v>2343</v>
      </c>
      <c r="K2979" s="272" t="n">
        <v>-84569.1719757012</v>
      </c>
    </row>
    <row r="2980" customFormat="false" ht="15" hidden="false" customHeight="false" outlineLevel="0" collapsed="false">
      <c r="A2980" s="0" t="s">
        <v>2041</v>
      </c>
      <c r="B2980" s="0" t="s">
        <v>2042</v>
      </c>
      <c r="C2980" s="0" t="s">
        <v>2339</v>
      </c>
      <c r="D2980" s="0" t="s">
        <v>2105</v>
      </c>
      <c r="E2980" s="0" t="s">
        <v>2045</v>
      </c>
      <c r="F2980" s="0" t="s">
        <v>2046</v>
      </c>
      <c r="G2980" s="0" t="s">
        <v>2125</v>
      </c>
      <c r="H2980" s="0" t="s">
        <v>2140</v>
      </c>
      <c r="I2980" s="0" t="s">
        <v>2322</v>
      </c>
      <c r="J2980" s="0" t="s">
        <v>2343</v>
      </c>
      <c r="K2980" s="272" t="n">
        <v>-10137.1049952152</v>
      </c>
    </row>
    <row r="2981" customFormat="false" ht="15" hidden="false" customHeight="false" outlineLevel="0" collapsed="false">
      <c r="A2981" s="0" t="s">
        <v>2041</v>
      </c>
      <c r="B2981" s="0" t="s">
        <v>2042</v>
      </c>
      <c r="C2981" s="0" t="s">
        <v>2339</v>
      </c>
      <c r="D2981" s="0" t="s">
        <v>2105</v>
      </c>
      <c r="E2981" s="0" t="s">
        <v>2045</v>
      </c>
      <c r="F2981" s="0" t="s">
        <v>2046</v>
      </c>
      <c r="G2981" s="0" t="s">
        <v>2139</v>
      </c>
      <c r="H2981" s="0" t="s">
        <v>2140</v>
      </c>
      <c r="I2981" s="0" t="s">
        <v>2322</v>
      </c>
      <c r="J2981" s="0" t="s">
        <v>2343</v>
      </c>
      <c r="K2981" s="272" t="n">
        <v>-25460.6441452394</v>
      </c>
    </row>
    <row r="2982" customFormat="false" ht="15" hidden="false" customHeight="false" outlineLevel="0" collapsed="false">
      <c r="A2982" s="0" t="s">
        <v>2041</v>
      </c>
      <c r="B2982" s="0" t="s">
        <v>2042</v>
      </c>
      <c r="C2982" s="0" t="s">
        <v>2339</v>
      </c>
      <c r="D2982" s="0" t="s">
        <v>2105</v>
      </c>
      <c r="E2982" s="0" t="s">
        <v>2045</v>
      </c>
      <c r="F2982" s="0" t="s">
        <v>2046</v>
      </c>
      <c r="G2982" s="0" t="s">
        <v>2141</v>
      </c>
      <c r="H2982" s="0" t="s">
        <v>2142</v>
      </c>
      <c r="I2982" s="0" t="s">
        <v>2322</v>
      </c>
      <c r="J2982" s="0" t="s">
        <v>2343</v>
      </c>
      <c r="K2982" s="272" t="n">
        <v>-94756.5791869638</v>
      </c>
    </row>
    <row r="2983" customFormat="false" ht="15" hidden="false" customHeight="false" outlineLevel="0" collapsed="false">
      <c r="A2983" s="0" t="s">
        <v>2041</v>
      </c>
      <c r="B2983" s="0" t="s">
        <v>2042</v>
      </c>
      <c r="C2983" s="0" t="s">
        <v>2339</v>
      </c>
      <c r="D2983" s="0" t="s">
        <v>2105</v>
      </c>
      <c r="E2983" s="0" t="s">
        <v>2045</v>
      </c>
      <c r="F2983" s="0" t="s">
        <v>2051</v>
      </c>
      <c r="G2983" s="0" t="s">
        <v>2110</v>
      </c>
      <c r="H2983" s="0" t="s">
        <v>2115</v>
      </c>
      <c r="I2983" s="0" t="s">
        <v>2322</v>
      </c>
      <c r="J2983" s="0" t="s">
        <v>2343</v>
      </c>
      <c r="K2983" s="272" t="n">
        <v>-12435.2528734938</v>
      </c>
    </row>
    <row r="2984" customFormat="false" ht="15" hidden="false" customHeight="false" outlineLevel="0" collapsed="false">
      <c r="A2984" s="0" t="s">
        <v>2041</v>
      </c>
      <c r="B2984" s="0" t="s">
        <v>2042</v>
      </c>
      <c r="C2984" s="0" t="s">
        <v>2339</v>
      </c>
      <c r="D2984" s="0" t="s">
        <v>2105</v>
      </c>
      <c r="E2984" s="0" t="s">
        <v>2045</v>
      </c>
      <c r="F2984" s="0" t="s">
        <v>2051</v>
      </c>
      <c r="G2984" s="0" t="s">
        <v>2114</v>
      </c>
      <c r="H2984" s="0" t="s">
        <v>2115</v>
      </c>
      <c r="I2984" s="0" t="s">
        <v>2322</v>
      </c>
      <c r="J2984" s="0" t="s">
        <v>2343</v>
      </c>
      <c r="K2984" s="272" t="n">
        <v>-74124.0666123324</v>
      </c>
    </row>
    <row r="2985" customFormat="false" ht="15" hidden="false" customHeight="false" outlineLevel="0" collapsed="false">
      <c r="A2985" s="0" t="s">
        <v>2041</v>
      </c>
      <c r="B2985" s="0" t="s">
        <v>2042</v>
      </c>
      <c r="C2985" s="0" t="s">
        <v>2339</v>
      </c>
      <c r="D2985" s="0" t="s">
        <v>2105</v>
      </c>
      <c r="E2985" s="0" t="s">
        <v>2045</v>
      </c>
      <c r="F2985" s="0" t="s">
        <v>2051</v>
      </c>
      <c r="G2985" s="0" t="s">
        <v>2123</v>
      </c>
      <c r="H2985" s="0" t="s">
        <v>2115</v>
      </c>
      <c r="I2985" s="0" t="s">
        <v>2322</v>
      </c>
      <c r="J2985" s="0" t="s">
        <v>2343</v>
      </c>
      <c r="K2985" s="272" t="n">
        <v>-5068.5524976076</v>
      </c>
    </row>
    <row r="2986" customFormat="false" ht="15" hidden="false" customHeight="false" outlineLevel="0" collapsed="false">
      <c r="A2986" s="0" t="s">
        <v>2041</v>
      </c>
      <c r="B2986" s="0" t="s">
        <v>2042</v>
      </c>
      <c r="C2986" s="0" t="s">
        <v>2339</v>
      </c>
      <c r="D2986" s="0" t="s">
        <v>2105</v>
      </c>
      <c r="E2986" s="0" t="s">
        <v>2045</v>
      </c>
      <c r="F2986" s="0" t="s">
        <v>2051</v>
      </c>
      <c r="G2986" s="0" t="s">
        <v>2114</v>
      </c>
      <c r="H2986" s="0" t="s">
        <v>2116</v>
      </c>
      <c r="I2986" s="0" t="s">
        <v>2322</v>
      </c>
      <c r="J2986" s="0" t="s">
        <v>2343</v>
      </c>
      <c r="K2986" s="272" t="n">
        <v>-14191.9469933013</v>
      </c>
    </row>
    <row r="2987" customFormat="false" ht="15" hidden="false" customHeight="false" outlineLevel="0" collapsed="false">
      <c r="A2987" s="0" t="s">
        <v>2041</v>
      </c>
      <c r="B2987" s="0" t="s">
        <v>2042</v>
      </c>
      <c r="C2987" s="0" t="s">
        <v>2339</v>
      </c>
      <c r="D2987" s="0" t="s">
        <v>2105</v>
      </c>
      <c r="E2987" s="0" t="s">
        <v>2045</v>
      </c>
      <c r="F2987" s="0" t="s">
        <v>2051</v>
      </c>
      <c r="G2987" s="0" t="s">
        <v>2123</v>
      </c>
      <c r="H2987" s="0" t="s">
        <v>2116</v>
      </c>
      <c r="I2987" s="0" t="s">
        <v>2322</v>
      </c>
      <c r="J2987" s="0" t="s">
        <v>2343</v>
      </c>
      <c r="K2987" s="272" t="n">
        <v>-20274.2162845015</v>
      </c>
    </row>
    <row r="2988" customFormat="false" ht="15" hidden="false" customHeight="false" outlineLevel="0" collapsed="false">
      <c r="A2988" s="0" t="s">
        <v>2041</v>
      </c>
      <c r="B2988" s="0" t="s">
        <v>2042</v>
      </c>
      <c r="C2988" s="0" t="s">
        <v>2339</v>
      </c>
      <c r="D2988" s="0" t="s">
        <v>2105</v>
      </c>
      <c r="E2988" s="0" t="s">
        <v>2045</v>
      </c>
      <c r="F2988" s="0" t="s">
        <v>2051</v>
      </c>
      <c r="G2988" s="0" t="s">
        <v>2110</v>
      </c>
      <c r="H2988" s="0" t="s">
        <v>2111</v>
      </c>
      <c r="I2988" s="0" t="s">
        <v>2322</v>
      </c>
      <c r="J2988" s="0" t="s">
        <v>2343</v>
      </c>
      <c r="K2988" s="272" t="n">
        <v>-38083.4414546149</v>
      </c>
    </row>
    <row r="2989" customFormat="false" ht="15" hidden="false" customHeight="false" outlineLevel="0" collapsed="false">
      <c r="A2989" s="0" t="s">
        <v>2041</v>
      </c>
      <c r="B2989" s="0" t="s">
        <v>2042</v>
      </c>
      <c r="C2989" s="0" t="s">
        <v>2339</v>
      </c>
      <c r="D2989" s="0" t="s">
        <v>2105</v>
      </c>
      <c r="E2989" s="0" t="s">
        <v>2045</v>
      </c>
      <c r="F2989" s="0" t="s">
        <v>2051</v>
      </c>
      <c r="G2989" s="0" t="s">
        <v>2123</v>
      </c>
      <c r="H2989" s="0" t="s">
        <v>2111</v>
      </c>
      <c r="I2989" s="0" t="s">
        <v>2322</v>
      </c>
      <c r="J2989" s="0" t="s">
        <v>2343</v>
      </c>
      <c r="K2989" s="272" t="n">
        <v>-26418.0667671191</v>
      </c>
    </row>
    <row r="2990" customFormat="false" ht="15" hidden="false" customHeight="false" outlineLevel="0" collapsed="false">
      <c r="A2990" s="0" t="s">
        <v>2041</v>
      </c>
      <c r="B2990" s="0" t="s">
        <v>2042</v>
      </c>
      <c r="C2990" s="0" t="s">
        <v>2339</v>
      </c>
      <c r="D2990" s="0" t="s">
        <v>2105</v>
      </c>
      <c r="E2990" s="0" t="s">
        <v>2045</v>
      </c>
      <c r="F2990" s="0" t="s">
        <v>2051</v>
      </c>
      <c r="G2990" s="0" t="s">
        <v>2114</v>
      </c>
      <c r="H2990" s="0" t="s">
        <v>2117</v>
      </c>
      <c r="I2990" s="0" t="s">
        <v>2322</v>
      </c>
      <c r="J2990" s="0" t="s">
        <v>2343</v>
      </c>
      <c r="K2990" s="272" t="n">
        <v>-8946.34857036838</v>
      </c>
    </row>
    <row r="2991" customFormat="false" ht="15" hidden="false" customHeight="false" outlineLevel="0" collapsed="false">
      <c r="A2991" s="0" t="s">
        <v>2041</v>
      </c>
      <c r="B2991" s="0" t="s">
        <v>2042</v>
      </c>
      <c r="C2991" s="0" t="s">
        <v>2339</v>
      </c>
      <c r="D2991" s="0" t="s">
        <v>2105</v>
      </c>
      <c r="E2991" s="0" t="s">
        <v>2045</v>
      </c>
      <c r="F2991" s="0" t="s">
        <v>2051</v>
      </c>
      <c r="G2991" s="0" t="s">
        <v>2123</v>
      </c>
      <c r="H2991" s="0" t="s">
        <v>2117</v>
      </c>
      <c r="I2991" s="0" t="s">
        <v>2322</v>
      </c>
      <c r="J2991" s="0" t="s">
        <v>2343</v>
      </c>
      <c r="K2991" s="272" t="n">
        <v>-7873.99621062233</v>
      </c>
    </row>
    <row r="2992" customFormat="false" ht="15" hidden="false" customHeight="false" outlineLevel="0" collapsed="false">
      <c r="A2992" s="0" t="s">
        <v>2041</v>
      </c>
      <c r="B2992" s="0" t="s">
        <v>2042</v>
      </c>
      <c r="C2992" s="0" t="s">
        <v>2339</v>
      </c>
      <c r="D2992" s="0" t="s">
        <v>2105</v>
      </c>
      <c r="E2992" s="0" t="s">
        <v>2045</v>
      </c>
      <c r="F2992" s="0" t="s">
        <v>2051</v>
      </c>
      <c r="G2992" s="0" t="s">
        <v>2114</v>
      </c>
      <c r="H2992" s="0" t="s">
        <v>2118</v>
      </c>
      <c r="I2992" s="0" t="s">
        <v>2322</v>
      </c>
      <c r="J2992" s="0" t="s">
        <v>2343</v>
      </c>
      <c r="K2992" s="272" t="n">
        <v>-10137.1049952152</v>
      </c>
    </row>
    <row r="2993" customFormat="false" ht="15" hidden="false" customHeight="false" outlineLevel="0" collapsed="false">
      <c r="A2993" s="0" t="s">
        <v>2041</v>
      </c>
      <c r="B2993" s="0" t="s">
        <v>2042</v>
      </c>
      <c r="C2993" s="0" t="s">
        <v>2339</v>
      </c>
      <c r="D2993" s="0" t="s">
        <v>2105</v>
      </c>
      <c r="E2993" s="0" t="s">
        <v>2045</v>
      </c>
      <c r="F2993" s="0" t="s">
        <v>2051</v>
      </c>
      <c r="G2993" s="0" t="s">
        <v>2110</v>
      </c>
      <c r="H2993" s="0" t="s">
        <v>2119</v>
      </c>
      <c r="I2993" s="0" t="s">
        <v>2322</v>
      </c>
      <c r="J2993" s="0" t="s">
        <v>2343</v>
      </c>
      <c r="K2993" s="272" t="n">
        <v>-19257.9126276962</v>
      </c>
    </row>
    <row r="2994" customFormat="false" ht="15" hidden="false" customHeight="false" outlineLevel="0" collapsed="false">
      <c r="A2994" s="0" t="s">
        <v>2041</v>
      </c>
      <c r="B2994" s="0" t="s">
        <v>2042</v>
      </c>
      <c r="C2994" s="0" t="s">
        <v>2339</v>
      </c>
      <c r="D2994" s="0" t="s">
        <v>2105</v>
      </c>
      <c r="E2994" s="0" t="s">
        <v>2045</v>
      </c>
      <c r="F2994" s="0" t="s">
        <v>2051</v>
      </c>
      <c r="G2994" s="0" t="s">
        <v>2114</v>
      </c>
      <c r="H2994" s="0" t="s">
        <v>2119</v>
      </c>
      <c r="I2994" s="0" t="s">
        <v>2322</v>
      </c>
      <c r="J2994" s="0" t="s">
        <v>2343</v>
      </c>
      <c r="K2994" s="272" t="n">
        <v>-13620.6782201384</v>
      </c>
    </row>
    <row r="2995" customFormat="false" ht="15" hidden="false" customHeight="false" outlineLevel="0" collapsed="false">
      <c r="A2995" s="0" t="s">
        <v>2041</v>
      </c>
      <c r="B2995" s="0" t="s">
        <v>2042</v>
      </c>
      <c r="C2995" s="0" t="s">
        <v>2339</v>
      </c>
      <c r="D2995" s="0" t="s">
        <v>2105</v>
      </c>
      <c r="E2995" s="0" t="s">
        <v>2045</v>
      </c>
      <c r="F2995" s="0" t="s">
        <v>2051</v>
      </c>
      <c r="G2995" s="0" t="s">
        <v>2123</v>
      </c>
      <c r="H2995" s="0" t="s">
        <v>2119</v>
      </c>
      <c r="I2995" s="0" t="s">
        <v>2322</v>
      </c>
      <c r="J2995" s="0" t="s">
        <v>2343</v>
      </c>
      <c r="K2995" s="272" t="n">
        <v>-2027.42099904304</v>
      </c>
    </row>
    <row r="2996" customFormat="false" ht="15" hidden="false" customHeight="false" outlineLevel="0" collapsed="false">
      <c r="A2996" s="0" t="s">
        <v>2041</v>
      </c>
      <c r="B2996" s="0" t="s">
        <v>2042</v>
      </c>
      <c r="C2996" s="0" t="s">
        <v>2339</v>
      </c>
      <c r="D2996" s="0" t="s">
        <v>2105</v>
      </c>
      <c r="E2996" s="0" t="s">
        <v>2045</v>
      </c>
      <c r="F2996" s="0" t="s">
        <v>2051</v>
      </c>
      <c r="G2996" s="0" t="s">
        <v>2110</v>
      </c>
      <c r="H2996" s="0" t="s">
        <v>2120</v>
      </c>
      <c r="I2996" s="0" t="s">
        <v>2322</v>
      </c>
      <c r="J2996" s="0" t="s">
        <v>2343</v>
      </c>
      <c r="K2996" s="272" t="n">
        <v>-3542.11438001046</v>
      </c>
    </row>
    <row r="2997" customFormat="false" ht="15" hidden="false" customHeight="false" outlineLevel="0" collapsed="false">
      <c r="A2997" s="0" t="s">
        <v>2041</v>
      </c>
      <c r="B2997" s="0" t="s">
        <v>2042</v>
      </c>
      <c r="C2997" s="0" t="s">
        <v>2339</v>
      </c>
      <c r="D2997" s="0" t="s">
        <v>2105</v>
      </c>
      <c r="E2997" s="0" t="s">
        <v>2045</v>
      </c>
      <c r="F2997" s="0" t="s">
        <v>2051</v>
      </c>
      <c r="G2997" s="0" t="s">
        <v>2114</v>
      </c>
      <c r="H2997" s="0" t="s">
        <v>2120</v>
      </c>
      <c r="I2997" s="0" t="s">
        <v>2322</v>
      </c>
      <c r="J2997" s="0" t="s">
        <v>2343</v>
      </c>
      <c r="K2997" s="272" t="n">
        <v>-34499.1379161752</v>
      </c>
    </row>
    <row r="2998" customFormat="false" ht="15" hidden="false" customHeight="false" outlineLevel="0" collapsed="false">
      <c r="A2998" s="0" t="s">
        <v>2041</v>
      </c>
      <c r="B2998" s="0" t="s">
        <v>2042</v>
      </c>
      <c r="C2998" s="0" t="s">
        <v>2339</v>
      </c>
      <c r="D2998" s="0" t="s">
        <v>2105</v>
      </c>
      <c r="E2998" s="0" t="s">
        <v>2045</v>
      </c>
      <c r="F2998" s="0" t="s">
        <v>2051</v>
      </c>
      <c r="G2998" s="0" t="s">
        <v>2123</v>
      </c>
      <c r="H2998" s="0" t="s">
        <v>2120</v>
      </c>
      <c r="I2998" s="0" t="s">
        <v>2322</v>
      </c>
      <c r="J2998" s="0" t="s">
        <v>2343</v>
      </c>
      <c r="K2998" s="272" t="n">
        <v>-3041.13149856456</v>
      </c>
    </row>
    <row r="2999" customFormat="false" ht="15" hidden="false" customHeight="false" outlineLevel="0" collapsed="false">
      <c r="A2999" s="0" t="s">
        <v>2041</v>
      </c>
      <c r="B2999" s="0" t="s">
        <v>2042</v>
      </c>
      <c r="C2999" s="0" t="s">
        <v>2339</v>
      </c>
      <c r="D2999" s="0" t="s">
        <v>2105</v>
      </c>
      <c r="E2999" s="0" t="s">
        <v>2045</v>
      </c>
      <c r="F2999" s="0" t="s">
        <v>2051</v>
      </c>
      <c r="G2999" s="0" t="s">
        <v>2110</v>
      </c>
      <c r="H2999" s="0" t="s">
        <v>2121</v>
      </c>
      <c r="I2999" s="0" t="s">
        <v>2322</v>
      </c>
      <c r="J2999" s="0" t="s">
        <v>2343</v>
      </c>
      <c r="K2999" s="272" t="n">
        <v>-1044.61438850965</v>
      </c>
    </row>
    <row r="3000" customFormat="false" ht="15" hidden="false" customHeight="false" outlineLevel="0" collapsed="false">
      <c r="A3000" s="0" t="s">
        <v>2041</v>
      </c>
      <c r="B3000" s="0" t="s">
        <v>2042</v>
      </c>
      <c r="C3000" s="0" t="s">
        <v>2339</v>
      </c>
      <c r="D3000" s="0" t="s">
        <v>2105</v>
      </c>
      <c r="E3000" s="0" t="s">
        <v>2045</v>
      </c>
      <c r="F3000" s="0" t="s">
        <v>2051</v>
      </c>
      <c r="G3000" s="0" t="s">
        <v>2114</v>
      </c>
      <c r="H3000" s="0" t="s">
        <v>2121</v>
      </c>
      <c r="I3000" s="0" t="s">
        <v>2322</v>
      </c>
      <c r="J3000" s="0" t="s">
        <v>2343</v>
      </c>
      <c r="K3000" s="272" t="n">
        <v>-19767.8330900715</v>
      </c>
    </row>
    <row r="3001" customFormat="false" ht="15" hidden="false" customHeight="false" outlineLevel="0" collapsed="false">
      <c r="A3001" s="0" t="s">
        <v>2041</v>
      </c>
      <c r="B3001" s="0" t="s">
        <v>2042</v>
      </c>
      <c r="C3001" s="0" t="s">
        <v>2339</v>
      </c>
      <c r="D3001" s="0" t="s">
        <v>2105</v>
      </c>
      <c r="E3001" s="0" t="s">
        <v>2045</v>
      </c>
      <c r="F3001" s="0" t="s">
        <v>2051</v>
      </c>
      <c r="G3001" s="0" t="s">
        <v>2123</v>
      </c>
      <c r="H3001" s="0" t="s">
        <v>2121</v>
      </c>
      <c r="I3001" s="0" t="s">
        <v>2322</v>
      </c>
      <c r="J3001" s="0" t="s">
        <v>2343</v>
      </c>
      <c r="K3001" s="272" t="n">
        <v>-5068.5524976076</v>
      </c>
    </row>
    <row r="3002" customFormat="false" ht="15" hidden="false" customHeight="false" outlineLevel="0" collapsed="false">
      <c r="A3002" s="0" t="s">
        <v>2041</v>
      </c>
      <c r="B3002" s="0" t="s">
        <v>2042</v>
      </c>
      <c r="C3002" s="0" t="s">
        <v>2339</v>
      </c>
      <c r="D3002" s="0" t="s">
        <v>2105</v>
      </c>
      <c r="E3002" s="0" t="s">
        <v>2045</v>
      </c>
      <c r="F3002" s="0" t="s">
        <v>2157</v>
      </c>
      <c r="G3002" s="0" t="s">
        <v>2158</v>
      </c>
      <c r="H3002" s="0" t="s">
        <v>2162</v>
      </c>
      <c r="I3002" s="0" t="s">
        <v>2322</v>
      </c>
      <c r="J3002" s="0" t="s">
        <v>2343</v>
      </c>
      <c r="K3002" s="272" t="n">
        <v>-10500.7134813342</v>
      </c>
    </row>
    <row r="3003" customFormat="false" ht="15" hidden="false" customHeight="false" outlineLevel="0" collapsed="false">
      <c r="A3003" s="0" t="s">
        <v>2041</v>
      </c>
      <c r="B3003" s="0" t="s">
        <v>2042</v>
      </c>
      <c r="C3003" s="0" t="s">
        <v>2339</v>
      </c>
      <c r="D3003" s="0" t="s">
        <v>2105</v>
      </c>
      <c r="E3003" s="0" t="s">
        <v>2045</v>
      </c>
      <c r="F3003" s="0" t="s">
        <v>2192</v>
      </c>
      <c r="G3003" s="0" t="s">
        <v>2193</v>
      </c>
      <c r="H3003" s="0" t="s">
        <v>2162</v>
      </c>
      <c r="I3003" s="0" t="s">
        <v>2322</v>
      </c>
      <c r="J3003" s="0" t="s">
        <v>2343</v>
      </c>
      <c r="K3003" s="272" t="n">
        <v>-701938.012748523</v>
      </c>
    </row>
    <row r="3004" customFormat="false" ht="15" hidden="false" customHeight="false" outlineLevel="0" collapsed="false">
      <c r="A3004" s="0" t="s">
        <v>2041</v>
      </c>
      <c r="B3004" s="0" t="s">
        <v>2042</v>
      </c>
      <c r="C3004" s="0" t="s">
        <v>2339</v>
      </c>
      <c r="D3004" s="0" t="s">
        <v>2105</v>
      </c>
      <c r="E3004" s="0" t="s">
        <v>2045</v>
      </c>
      <c r="F3004" s="0" t="s">
        <v>2192</v>
      </c>
      <c r="G3004" s="0" t="s">
        <v>2194</v>
      </c>
      <c r="H3004" s="0" t="s">
        <v>2162</v>
      </c>
      <c r="I3004" s="0" t="s">
        <v>2322</v>
      </c>
      <c r="J3004" s="0" t="s">
        <v>2343</v>
      </c>
      <c r="K3004" s="272" t="n">
        <v>-333363.523431946</v>
      </c>
    </row>
    <row r="3005" customFormat="false" ht="15" hidden="false" customHeight="false" outlineLevel="0" collapsed="false">
      <c r="A3005" s="0" t="s">
        <v>2041</v>
      </c>
      <c r="B3005" s="0" t="s">
        <v>2042</v>
      </c>
      <c r="C3005" s="0" t="s">
        <v>2339</v>
      </c>
      <c r="D3005" s="0" t="s">
        <v>2105</v>
      </c>
      <c r="E3005" s="0" t="s">
        <v>2045</v>
      </c>
      <c r="F3005" s="0" t="s">
        <v>2192</v>
      </c>
      <c r="G3005" s="0" t="s">
        <v>2195</v>
      </c>
      <c r="H3005" s="0" t="s">
        <v>2162</v>
      </c>
      <c r="I3005" s="0" t="s">
        <v>2322</v>
      </c>
      <c r="J3005" s="0" t="s">
        <v>2343</v>
      </c>
      <c r="K3005" s="272" t="n">
        <v>-112092.005568613</v>
      </c>
    </row>
    <row r="3006" customFormat="false" ht="15" hidden="false" customHeight="false" outlineLevel="0" collapsed="false">
      <c r="A3006" s="0" t="s">
        <v>2041</v>
      </c>
      <c r="B3006" s="0" t="s">
        <v>2042</v>
      </c>
      <c r="C3006" s="0" t="s">
        <v>2339</v>
      </c>
      <c r="D3006" s="0" t="s">
        <v>2105</v>
      </c>
      <c r="E3006" s="0" t="s">
        <v>2045</v>
      </c>
      <c r="F3006" s="0" t="s">
        <v>2192</v>
      </c>
      <c r="G3006" s="0" t="s">
        <v>2196</v>
      </c>
      <c r="H3006" s="0" t="s">
        <v>2162</v>
      </c>
      <c r="I3006" s="0" t="s">
        <v>2322</v>
      </c>
      <c r="J3006" s="0" t="s">
        <v>2343</v>
      </c>
      <c r="K3006" s="272" t="n">
        <v>-436311.29483553</v>
      </c>
    </row>
    <row r="3007" customFormat="false" ht="15" hidden="false" customHeight="false" outlineLevel="0" collapsed="false">
      <c r="A3007" s="0" t="s">
        <v>2041</v>
      </c>
      <c r="B3007" s="0" t="s">
        <v>2042</v>
      </c>
      <c r="C3007" s="0" t="s">
        <v>2339</v>
      </c>
      <c r="D3007" s="0" t="s">
        <v>2105</v>
      </c>
      <c r="E3007" s="0" t="s">
        <v>2045</v>
      </c>
      <c r="F3007" s="0" t="s">
        <v>2051</v>
      </c>
      <c r="G3007" s="0" t="s">
        <v>2110</v>
      </c>
      <c r="H3007" s="0" t="s">
        <v>2122</v>
      </c>
      <c r="I3007" s="0" t="s">
        <v>2322</v>
      </c>
      <c r="J3007" s="0" t="s">
        <v>2343</v>
      </c>
      <c r="K3007" s="272" t="n">
        <v>-1514.69338096743</v>
      </c>
    </row>
    <row r="3008" customFormat="false" ht="15" hidden="false" customHeight="false" outlineLevel="0" collapsed="false">
      <c r="A3008" s="0" t="s">
        <v>2041</v>
      </c>
      <c r="B3008" s="0" t="s">
        <v>2042</v>
      </c>
      <c r="C3008" s="0" t="s">
        <v>2339</v>
      </c>
      <c r="D3008" s="0" t="s">
        <v>2105</v>
      </c>
      <c r="E3008" s="0" t="s">
        <v>2045</v>
      </c>
      <c r="F3008" s="0" t="s">
        <v>2051</v>
      </c>
      <c r="G3008" s="0" t="s">
        <v>2114</v>
      </c>
      <c r="H3008" s="0" t="s">
        <v>2122</v>
      </c>
      <c r="I3008" s="0" t="s">
        <v>2322</v>
      </c>
      <c r="J3008" s="0" t="s">
        <v>2343</v>
      </c>
      <c r="K3008" s="272" t="n">
        <v>-68434.818001394</v>
      </c>
    </row>
    <row r="3009" customFormat="false" ht="15" hidden="false" customHeight="false" outlineLevel="0" collapsed="false">
      <c r="A3009" s="0" t="s">
        <v>2041</v>
      </c>
      <c r="B3009" s="0" t="s">
        <v>2042</v>
      </c>
      <c r="C3009" s="0" t="s">
        <v>2339</v>
      </c>
      <c r="D3009" s="0" t="s">
        <v>2105</v>
      </c>
      <c r="E3009" s="0" t="s">
        <v>2045</v>
      </c>
      <c r="F3009" s="0" t="s">
        <v>2051</v>
      </c>
      <c r="G3009" s="0" t="s">
        <v>2123</v>
      </c>
      <c r="H3009" s="0" t="s">
        <v>2122</v>
      </c>
      <c r="I3009" s="0" t="s">
        <v>2322</v>
      </c>
      <c r="J3009" s="0" t="s">
        <v>2343</v>
      </c>
      <c r="K3009" s="272" t="n">
        <v>-10915.134003258</v>
      </c>
    </row>
    <row r="3010" customFormat="false" ht="15" hidden="false" customHeight="false" outlineLevel="0" collapsed="false">
      <c r="A3010" s="0" t="s">
        <v>2041</v>
      </c>
      <c r="B3010" s="0" t="s">
        <v>2042</v>
      </c>
      <c r="C3010" s="0" t="s">
        <v>2339</v>
      </c>
      <c r="D3010" s="0" t="s">
        <v>2105</v>
      </c>
      <c r="E3010" s="0" t="s">
        <v>2045</v>
      </c>
      <c r="F3010" s="0" t="s">
        <v>2215</v>
      </c>
      <c r="G3010" s="0" t="s">
        <v>2216</v>
      </c>
      <c r="H3010" s="0" t="s">
        <v>2217</v>
      </c>
      <c r="I3010" s="0" t="s">
        <v>2322</v>
      </c>
      <c r="J3010" s="0" t="s">
        <v>2343</v>
      </c>
      <c r="K3010" s="272" t="n">
        <v>-775579.242286324</v>
      </c>
    </row>
    <row r="3011" customFormat="false" ht="15" hidden="false" customHeight="false" outlineLevel="0" collapsed="false">
      <c r="A3011" s="0" t="s">
        <v>2041</v>
      </c>
      <c r="B3011" s="0" t="s">
        <v>2042</v>
      </c>
      <c r="C3011" s="0" t="s">
        <v>2339</v>
      </c>
      <c r="D3011" s="0" t="s">
        <v>2105</v>
      </c>
      <c r="E3011" s="0" t="s">
        <v>2045</v>
      </c>
      <c r="F3011" s="0" t="s">
        <v>2215</v>
      </c>
      <c r="G3011" s="0" t="s">
        <v>2218</v>
      </c>
      <c r="H3011" s="0" t="s">
        <v>2217</v>
      </c>
      <c r="I3011" s="0" t="s">
        <v>2322</v>
      </c>
      <c r="J3011" s="0" t="s">
        <v>2343</v>
      </c>
      <c r="K3011" s="272" t="n">
        <v>-10137.1049952152</v>
      </c>
    </row>
    <row r="3012" customFormat="false" ht="15" hidden="false" customHeight="false" outlineLevel="0" collapsed="false">
      <c r="A3012" s="0" t="s">
        <v>2041</v>
      </c>
      <c r="B3012" s="0" t="s">
        <v>2042</v>
      </c>
      <c r="C3012" s="0" t="s">
        <v>2339</v>
      </c>
      <c r="D3012" s="0" t="s">
        <v>2105</v>
      </c>
      <c r="E3012" s="0" t="s">
        <v>2045</v>
      </c>
      <c r="F3012" s="0" t="s">
        <v>2051</v>
      </c>
      <c r="G3012" s="0" t="s">
        <v>2110</v>
      </c>
      <c r="H3012" s="0" t="s">
        <v>2112</v>
      </c>
      <c r="I3012" s="0" t="s">
        <v>2322</v>
      </c>
      <c r="J3012" s="0" t="s">
        <v>2343</v>
      </c>
      <c r="K3012" s="272" t="n">
        <v>-49241.4258963083</v>
      </c>
    </row>
    <row r="3013" customFormat="false" ht="15" hidden="false" customHeight="false" outlineLevel="0" collapsed="false">
      <c r="A3013" s="0" t="s">
        <v>2041</v>
      </c>
      <c r="B3013" s="0" t="s">
        <v>2042</v>
      </c>
      <c r="C3013" s="0" t="s">
        <v>2339</v>
      </c>
      <c r="D3013" s="0" t="s">
        <v>2105</v>
      </c>
      <c r="E3013" s="0" t="s">
        <v>2045</v>
      </c>
      <c r="F3013" s="0" t="s">
        <v>2051</v>
      </c>
      <c r="G3013" s="0" t="s">
        <v>2114</v>
      </c>
      <c r="H3013" s="0" t="s">
        <v>2112</v>
      </c>
      <c r="I3013" s="0" t="s">
        <v>2322</v>
      </c>
      <c r="J3013" s="0" t="s">
        <v>2343</v>
      </c>
      <c r="K3013" s="272" t="n">
        <v>-10137.1049952152</v>
      </c>
    </row>
    <row r="3014" customFormat="false" ht="15" hidden="false" customHeight="false" outlineLevel="0" collapsed="false">
      <c r="A3014" s="0" t="s">
        <v>2041</v>
      </c>
      <c r="B3014" s="0" t="s">
        <v>2042</v>
      </c>
      <c r="C3014" s="0" t="s">
        <v>2339</v>
      </c>
      <c r="D3014" s="0" t="s">
        <v>2105</v>
      </c>
      <c r="E3014" s="0" t="s">
        <v>2045</v>
      </c>
      <c r="F3014" s="0" t="s">
        <v>2051</v>
      </c>
      <c r="G3014" s="0" t="s">
        <v>2123</v>
      </c>
      <c r="H3014" s="0" t="s">
        <v>2112</v>
      </c>
      <c r="I3014" s="0" t="s">
        <v>2322</v>
      </c>
      <c r="J3014" s="0" t="s">
        <v>2343</v>
      </c>
      <c r="K3014" s="272" t="n">
        <v>-20274.2099904304</v>
      </c>
    </row>
    <row r="3015" customFormat="false" ht="15" hidden="false" customHeight="false" outlineLevel="0" collapsed="false">
      <c r="A3015" s="0" t="s">
        <v>2041</v>
      </c>
      <c r="B3015" s="0" t="s">
        <v>2042</v>
      </c>
      <c r="C3015" s="0" t="s">
        <v>2339</v>
      </c>
      <c r="D3015" s="0" t="s">
        <v>2105</v>
      </c>
      <c r="E3015" s="0" t="s">
        <v>2045</v>
      </c>
      <c r="F3015" s="0" t="s">
        <v>2051</v>
      </c>
      <c r="G3015" s="0" t="s">
        <v>2110</v>
      </c>
      <c r="H3015" s="0" t="s">
        <v>2113</v>
      </c>
      <c r="I3015" s="0" t="s">
        <v>2322</v>
      </c>
      <c r="J3015" s="0" t="s">
        <v>2343</v>
      </c>
      <c r="K3015" s="272" t="n">
        <v>-209322.576391605</v>
      </c>
    </row>
    <row r="3016" customFormat="false" ht="15" hidden="false" customHeight="false" outlineLevel="0" collapsed="false">
      <c r="A3016" s="0" t="s">
        <v>2041</v>
      </c>
      <c r="B3016" s="0" t="s">
        <v>2042</v>
      </c>
      <c r="C3016" s="0" t="s">
        <v>2339</v>
      </c>
      <c r="D3016" s="0" t="s">
        <v>2105</v>
      </c>
      <c r="E3016" s="0" t="s">
        <v>2045</v>
      </c>
      <c r="F3016" s="0" t="s">
        <v>2051</v>
      </c>
      <c r="G3016" s="0" t="s">
        <v>2114</v>
      </c>
      <c r="H3016" s="0" t="s">
        <v>2113</v>
      </c>
      <c r="I3016" s="0" t="s">
        <v>2322</v>
      </c>
      <c r="J3016" s="0" t="s">
        <v>2343</v>
      </c>
      <c r="K3016" s="272" t="n">
        <v>-15515.4076127358</v>
      </c>
    </row>
    <row r="3017" customFormat="false" ht="15" hidden="false" customHeight="false" outlineLevel="0" collapsed="false">
      <c r="A3017" s="0" t="s">
        <v>2041</v>
      </c>
      <c r="B3017" s="0" t="s">
        <v>2042</v>
      </c>
      <c r="C3017" s="0" t="s">
        <v>2339</v>
      </c>
      <c r="D3017" s="0" t="s">
        <v>2105</v>
      </c>
      <c r="E3017" s="0" t="s">
        <v>2045</v>
      </c>
      <c r="F3017" s="0" t="s">
        <v>2051</v>
      </c>
      <c r="G3017" s="0" t="s">
        <v>2123</v>
      </c>
      <c r="H3017" s="0" t="s">
        <v>2113</v>
      </c>
      <c r="I3017" s="0" t="s">
        <v>2322</v>
      </c>
      <c r="J3017" s="0" t="s">
        <v>2343</v>
      </c>
      <c r="K3017" s="272" t="n">
        <v>-23039.3842366944</v>
      </c>
    </row>
    <row r="3018" customFormat="false" ht="15" hidden="false" customHeight="false" outlineLevel="0" collapsed="false">
      <c r="A3018" s="0" t="s">
        <v>2041</v>
      </c>
      <c r="B3018" s="0" t="s">
        <v>2042</v>
      </c>
      <c r="C3018" s="0" t="s">
        <v>2339</v>
      </c>
      <c r="D3018" s="0" t="s">
        <v>2105</v>
      </c>
      <c r="E3018" s="0" t="s">
        <v>2045</v>
      </c>
      <c r="F3018" s="0" t="s">
        <v>2046</v>
      </c>
      <c r="G3018" s="0" t="s">
        <v>2145</v>
      </c>
      <c r="H3018" s="0" t="s">
        <v>2146</v>
      </c>
      <c r="I3018" s="0" t="s">
        <v>2322</v>
      </c>
      <c r="J3018" s="0" t="s">
        <v>2343</v>
      </c>
      <c r="K3018" s="272" t="n">
        <v>-111342.601995828</v>
      </c>
    </row>
    <row r="3019" customFormat="false" ht="15" hidden="false" customHeight="false" outlineLevel="0" collapsed="false">
      <c r="A3019" s="0" t="s">
        <v>2041</v>
      </c>
      <c r="B3019" s="0" t="s">
        <v>2042</v>
      </c>
      <c r="C3019" s="0" t="s">
        <v>2339</v>
      </c>
      <c r="D3019" s="0" t="s">
        <v>2105</v>
      </c>
      <c r="E3019" s="0" t="s">
        <v>2045</v>
      </c>
      <c r="F3019" s="0" t="s">
        <v>2046</v>
      </c>
      <c r="G3019" s="0" t="s">
        <v>2125</v>
      </c>
      <c r="H3019" s="0" t="s">
        <v>2149</v>
      </c>
      <c r="I3019" s="0" t="s">
        <v>2322</v>
      </c>
      <c r="J3019" s="0" t="s">
        <v>2343</v>
      </c>
      <c r="K3019" s="272" t="n">
        <v>-18369.9891386488</v>
      </c>
    </row>
    <row r="3020" customFormat="false" ht="15" hidden="false" customHeight="false" outlineLevel="0" collapsed="false">
      <c r="A3020" s="0" t="s">
        <v>2041</v>
      </c>
      <c r="B3020" s="0" t="s">
        <v>2042</v>
      </c>
      <c r="C3020" s="0" t="s">
        <v>2339</v>
      </c>
      <c r="D3020" s="0" t="s">
        <v>2105</v>
      </c>
      <c r="E3020" s="0" t="s">
        <v>2045</v>
      </c>
      <c r="F3020" s="0" t="s">
        <v>2046</v>
      </c>
      <c r="G3020" s="0" t="s">
        <v>2148</v>
      </c>
      <c r="H3020" s="0" t="s">
        <v>2149</v>
      </c>
      <c r="I3020" s="0" t="s">
        <v>2322</v>
      </c>
      <c r="J3020" s="0" t="s">
        <v>2343</v>
      </c>
      <c r="K3020" s="272" t="n">
        <v>-163491.485909168</v>
      </c>
    </row>
    <row r="3021" customFormat="false" ht="15" hidden="false" customHeight="false" outlineLevel="0" collapsed="false">
      <c r="A3021" s="0" t="s">
        <v>2041</v>
      </c>
      <c r="B3021" s="0" t="s">
        <v>2042</v>
      </c>
      <c r="C3021" s="0" t="s">
        <v>2339</v>
      </c>
      <c r="D3021" s="0" t="s">
        <v>2105</v>
      </c>
      <c r="E3021" s="0" t="s">
        <v>2045</v>
      </c>
      <c r="F3021" s="0" t="s">
        <v>2268</v>
      </c>
      <c r="G3021" s="0" t="s">
        <v>2269</v>
      </c>
      <c r="H3021" s="0" t="s">
        <v>2270</v>
      </c>
      <c r="I3021" s="0" t="s">
        <v>2322</v>
      </c>
      <c r="J3021" s="0" t="s">
        <v>2343</v>
      </c>
      <c r="K3021" s="272" t="n">
        <v>-459484.402906326</v>
      </c>
    </row>
    <row r="3022" customFormat="false" ht="15" hidden="false" customHeight="false" outlineLevel="0" collapsed="false">
      <c r="A3022" s="0" t="s">
        <v>2041</v>
      </c>
      <c r="B3022" s="0" t="s">
        <v>2042</v>
      </c>
      <c r="C3022" s="0" t="s">
        <v>2339</v>
      </c>
      <c r="D3022" s="0" t="s">
        <v>2105</v>
      </c>
      <c r="E3022" s="0" t="s">
        <v>2045</v>
      </c>
      <c r="F3022" s="0" t="s">
        <v>2324</v>
      </c>
      <c r="G3022" s="0" t="s">
        <v>2325</v>
      </c>
      <c r="H3022" s="0" t="s">
        <v>2326</v>
      </c>
      <c r="I3022" s="0" t="s">
        <v>2322</v>
      </c>
      <c r="J3022" s="0" t="s">
        <v>2343</v>
      </c>
      <c r="K3022" s="272" t="n">
        <v>-3583.47272105751</v>
      </c>
    </row>
    <row r="3023" customFormat="false" ht="15" hidden="false" customHeight="false" outlineLevel="0" collapsed="false">
      <c r="A3023" s="0" t="s">
        <v>2041</v>
      </c>
      <c r="B3023" s="0" t="s">
        <v>2042</v>
      </c>
      <c r="C3023" s="0" t="s">
        <v>2339</v>
      </c>
      <c r="D3023" s="0" t="s">
        <v>2279</v>
      </c>
      <c r="E3023" s="0" t="s">
        <v>2279</v>
      </c>
      <c r="F3023" s="0" t="s">
        <v>2292</v>
      </c>
      <c r="G3023" s="0" t="s">
        <v>2293</v>
      </c>
      <c r="H3023" s="0" t="s">
        <v>2318</v>
      </c>
      <c r="I3023" s="0" t="s">
        <v>2322</v>
      </c>
      <c r="J3023" s="0" t="s">
        <v>2343</v>
      </c>
      <c r="K3023" s="272" t="n">
        <v>-5571.73200985938</v>
      </c>
    </row>
    <row r="3024" customFormat="false" ht="15" hidden="false" customHeight="false" outlineLevel="0" collapsed="false">
      <c r="A3024" s="0" t="s">
        <v>2041</v>
      </c>
      <c r="B3024" s="0" t="s">
        <v>2042</v>
      </c>
      <c r="C3024" s="0" t="s">
        <v>2339</v>
      </c>
      <c r="D3024" s="0" t="s">
        <v>2105</v>
      </c>
      <c r="E3024" s="0" t="s">
        <v>2045</v>
      </c>
      <c r="F3024" s="0" t="s">
        <v>2176</v>
      </c>
      <c r="G3024" s="0" t="s">
        <v>2177</v>
      </c>
      <c r="H3024" s="0" t="s">
        <v>2180</v>
      </c>
      <c r="I3024" s="0" t="s">
        <v>2322</v>
      </c>
      <c r="J3024" s="0" t="s">
        <v>2343</v>
      </c>
      <c r="K3024" s="272" t="n">
        <v>-99136.2644874056</v>
      </c>
    </row>
    <row r="3025" customFormat="false" ht="15" hidden="false" customHeight="false" outlineLevel="0" collapsed="false">
      <c r="A3025" s="0" t="s">
        <v>2041</v>
      </c>
      <c r="B3025" s="0" t="s">
        <v>2042</v>
      </c>
      <c r="C3025" s="0" t="s">
        <v>2339</v>
      </c>
      <c r="D3025" s="0" t="s">
        <v>2105</v>
      </c>
      <c r="E3025" s="0" t="s">
        <v>2045</v>
      </c>
      <c r="F3025" s="0" t="s">
        <v>2215</v>
      </c>
      <c r="G3025" s="0" t="s">
        <v>2218</v>
      </c>
      <c r="H3025" s="0" t="s">
        <v>2219</v>
      </c>
      <c r="I3025" s="0" t="s">
        <v>2322</v>
      </c>
      <c r="J3025" s="0" t="s">
        <v>2343</v>
      </c>
      <c r="K3025" s="272" t="n">
        <v>-139835.182001789</v>
      </c>
    </row>
    <row r="3026" customFormat="false" ht="15" hidden="false" customHeight="false" outlineLevel="0" collapsed="false">
      <c r="A3026" s="0" t="s">
        <v>2041</v>
      </c>
      <c r="B3026" s="0" t="s">
        <v>2042</v>
      </c>
      <c r="C3026" s="0" t="s">
        <v>2339</v>
      </c>
      <c r="D3026" s="0" t="s">
        <v>2105</v>
      </c>
      <c r="E3026" s="0" t="s">
        <v>2045</v>
      </c>
      <c r="F3026" s="0" t="s">
        <v>2215</v>
      </c>
      <c r="G3026" s="0" t="s">
        <v>2218</v>
      </c>
      <c r="H3026" s="0" t="s">
        <v>2220</v>
      </c>
      <c r="I3026" s="0" t="s">
        <v>2322</v>
      </c>
      <c r="J3026" s="0" t="s">
        <v>2343</v>
      </c>
      <c r="K3026" s="272" t="n">
        <v>-226780.170692859</v>
      </c>
    </row>
    <row r="3027" customFormat="false" ht="15" hidden="false" customHeight="false" outlineLevel="0" collapsed="false">
      <c r="A3027" s="0" t="s">
        <v>2041</v>
      </c>
      <c r="B3027" s="0" t="s">
        <v>2042</v>
      </c>
      <c r="C3027" s="0" t="s">
        <v>2339</v>
      </c>
      <c r="D3027" s="0" t="s">
        <v>2105</v>
      </c>
      <c r="E3027" s="0" t="s">
        <v>2045</v>
      </c>
      <c r="F3027" s="0" t="s">
        <v>2215</v>
      </c>
      <c r="G3027" s="0" t="s">
        <v>2218</v>
      </c>
      <c r="H3027" s="0" t="s">
        <v>2221</v>
      </c>
      <c r="I3027" s="0" t="s">
        <v>2322</v>
      </c>
      <c r="J3027" s="0" t="s">
        <v>2343</v>
      </c>
      <c r="K3027" s="272" t="n">
        <v>-196238.637670701</v>
      </c>
    </row>
    <row r="3028" customFormat="false" ht="15" hidden="false" customHeight="false" outlineLevel="0" collapsed="false">
      <c r="A3028" s="0" t="s">
        <v>2041</v>
      </c>
      <c r="B3028" s="0" t="s">
        <v>2042</v>
      </c>
      <c r="C3028" s="0" t="s">
        <v>2339</v>
      </c>
      <c r="D3028" s="0" t="s">
        <v>2105</v>
      </c>
      <c r="E3028" s="0" t="s">
        <v>2045</v>
      </c>
      <c r="F3028" s="0" t="s">
        <v>2215</v>
      </c>
      <c r="G3028" s="0" t="s">
        <v>2218</v>
      </c>
      <c r="H3028" s="0" t="s">
        <v>2222</v>
      </c>
      <c r="I3028" s="0" t="s">
        <v>2322</v>
      </c>
      <c r="J3028" s="0" t="s">
        <v>2343</v>
      </c>
      <c r="K3028" s="272" t="n">
        <v>-40548.4199808608</v>
      </c>
    </row>
    <row r="3029" customFormat="false" ht="15" hidden="false" customHeight="false" outlineLevel="0" collapsed="false">
      <c r="A3029" s="0" t="s">
        <v>2041</v>
      </c>
      <c r="B3029" s="0" t="s">
        <v>2042</v>
      </c>
      <c r="C3029" s="0" t="s">
        <v>2339</v>
      </c>
      <c r="D3029" s="0" t="s">
        <v>2105</v>
      </c>
      <c r="E3029" s="0" t="s">
        <v>2045</v>
      </c>
      <c r="F3029" s="0" t="s">
        <v>2215</v>
      </c>
      <c r="G3029" s="0" t="s">
        <v>2223</v>
      </c>
      <c r="H3029" s="0" t="s">
        <v>2222</v>
      </c>
      <c r="I3029" s="0" t="s">
        <v>2322</v>
      </c>
      <c r="J3029" s="0" t="s">
        <v>2343</v>
      </c>
      <c r="K3029" s="272" t="n">
        <v>-54619.9613944588</v>
      </c>
    </row>
    <row r="3030" customFormat="false" ht="15" hidden="false" customHeight="false" outlineLevel="0" collapsed="false">
      <c r="A3030" s="0" t="s">
        <v>2041</v>
      </c>
      <c r="B3030" s="0" t="s">
        <v>2042</v>
      </c>
      <c r="C3030" s="0" t="s">
        <v>2339</v>
      </c>
      <c r="D3030" s="0" t="s">
        <v>2105</v>
      </c>
      <c r="E3030" s="0" t="s">
        <v>2045</v>
      </c>
      <c r="F3030" s="0" t="s">
        <v>2215</v>
      </c>
      <c r="G3030" s="0" t="s">
        <v>2223</v>
      </c>
      <c r="H3030" s="0" t="s">
        <v>2224</v>
      </c>
      <c r="I3030" s="0" t="s">
        <v>2322</v>
      </c>
      <c r="J3030" s="0" t="s">
        <v>2343</v>
      </c>
      <c r="K3030" s="272" t="n">
        <v>-38644.1991290792</v>
      </c>
    </row>
    <row r="3031" customFormat="false" ht="15" hidden="false" customHeight="false" outlineLevel="0" collapsed="false">
      <c r="A3031" s="0" t="s">
        <v>2041</v>
      </c>
      <c r="B3031" s="0" t="s">
        <v>2042</v>
      </c>
      <c r="C3031" s="0" t="s">
        <v>2339</v>
      </c>
      <c r="D3031" s="0" t="s">
        <v>2044</v>
      </c>
      <c r="E3031" s="0" t="s">
        <v>2045</v>
      </c>
      <c r="F3031" s="0" t="s">
        <v>2046</v>
      </c>
      <c r="G3031" s="0" t="s">
        <v>2047</v>
      </c>
      <c r="H3031" s="0" t="s">
        <v>2048</v>
      </c>
      <c r="I3031" s="0" t="s">
        <v>2322</v>
      </c>
      <c r="J3031" s="0" t="s">
        <v>2343</v>
      </c>
      <c r="K3031" s="272" t="n">
        <v>-2773.24324538474</v>
      </c>
    </row>
    <row r="3032" customFormat="false" ht="15" hidden="false" customHeight="false" outlineLevel="0" collapsed="false">
      <c r="A3032" s="0" t="s">
        <v>2041</v>
      </c>
      <c r="B3032" s="0" t="s">
        <v>2042</v>
      </c>
      <c r="C3032" s="0" t="s">
        <v>2339</v>
      </c>
      <c r="D3032" s="0" t="s">
        <v>2044</v>
      </c>
      <c r="E3032" s="0" t="s">
        <v>2045</v>
      </c>
      <c r="F3032" s="0" t="s">
        <v>2046</v>
      </c>
      <c r="G3032" s="0" t="s">
        <v>2053</v>
      </c>
      <c r="H3032" s="0" t="s">
        <v>2048</v>
      </c>
      <c r="I3032" s="0" t="s">
        <v>2322</v>
      </c>
      <c r="J3032" s="0" t="s">
        <v>2343</v>
      </c>
      <c r="K3032" s="272" t="n">
        <v>-10184.9902879691</v>
      </c>
    </row>
    <row r="3033" customFormat="false" ht="15" hidden="false" customHeight="false" outlineLevel="0" collapsed="false">
      <c r="A3033" s="0" t="s">
        <v>2041</v>
      </c>
      <c r="B3033" s="0" t="s">
        <v>2042</v>
      </c>
      <c r="C3033" s="0" t="s">
        <v>2339</v>
      </c>
      <c r="D3033" s="0" t="s">
        <v>2044</v>
      </c>
      <c r="E3033" s="0" t="s">
        <v>2045</v>
      </c>
      <c r="F3033" s="0" t="s">
        <v>2046</v>
      </c>
      <c r="G3033" s="0" t="s">
        <v>2054</v>
      </c>
      <c r="H3033" s="0" t="s">
        <v>2048</v>
      </c>
      <c r="I3033" s="0" t="s">
        <v>2322</v>
      </c>
      <c r="J3033" s="0" t="s">
        <v>2343</v>
      </c>
      <c r="K3033" s="272" t="n">
        <v>-4439.61115116602</v>
      </c>
    </row>
    <row r="3034" customFormat="false" ht="15" hidden="false" customHeight="false" outlineLevel="0" collapsed="false">
      <c r="A3034" s="0" t="s">
        <v>2041</v>
      </c>
      <c r="B3034" s="0" t="s">
        <v>2042</v>
      </c>
      <c r="C3034" s="0" t="s">
        <v>2339</v>
      </c>
      <c r="D3034" s="0" t="s">
        <v>2044</v>
      </c>
      <c r="E3034" s="0" t="s">
        <v>2045</v>
      </c>
      <c r="F3034" s="0" t="s">
        <v>2046</v>
      </c>
      <c r="G3034" s="0" t="s">
        <v>2055</v>
      </c>
      <c r="H3034" s="0" t="s">
        <v>2048</v>
      </c>
      <c r="I3034" s="0" t="s">
        <v>2322</v>
      </c>
      <c r="J3034" s="0" t="s">
        <v>2343</v>
      </c>
      <c r="K3034" s="272" t="n">
        <v>-2172.40492630203</v>
      </c>
    </row>
    <row r="3035" customFormat="false" ht="15" hidden="false" customHeight="false" outlineLevel="0" collapsed="false">
      <c r="A3035" s="0" t="s">
        <v>2041</v>
      </c>
      <c r="B3035" s="0" t="s">
        <v>2042</v>
      </c>
      <c r="C3035" s="0" t="s">
        <v>2339</v>
      </c>
      <c r="D3035" s="0" t="s">
        <v>2044</v>
      </c>
      <c r="E3035" s="0" t="s">
        <v>2045</v>
      </c>
      <c r="F3035" s="0" t="s">
        <v>2046</v>
      </c>
      <c r="G3035" s="0" t="s">
        <v>2056</v>
      </c>
      <c r="H3035" s="0" t="s">
        <v>2048</v>
      </c>
      <c r="I3035" s="0" t="s">
        <v>2322</v>
      </c>
      <c r="J3035" s="0" t="s">
        <v>2343</v>
      </c>
      <c r="K3035" s="272" t="n">
        <v>-470.078992457774</v>
      </c>
    </row>
    <row r="3036" customFormat="false" ht="15" hidden="false" customHeight="false" outlineLevel="0" collapsed="false">
      <c r="A3036" s="0" t="s">
        <v>2041</v>
      </c>
      <c r="B3036" s="0" t="s">
        <v>2042</v>
      </c>
      <c r="C3036" s="0" t="s">
        <v>2339</v>
      </c>
      <c r="D3036" s="0" t="s">
        <v>2044</v>
      </c>
      <c r="E3036" s="0" t="s">
        <v>2045</v>
      </c>
      <c r="F3036" s="0" t="s">
        <v>2046</v>
      </c>
      <c r="G3036" s="0" t="s">
        <v>2057</v>
      </c>
      <c r="H3036" s="0" t="s">
        <v>2048</v>
      </c>
      <c r="I3036" s="0" t="s">
        <v>2322</v>
      </c>
      <c r="J3036" s="0" t="s">
        <v>2343</v>
      </c>
      <c r="K3036" s="272" t="n">
        <v>-4344.80985260405</v>
      </c>
    </row>
    <row r="3037" customFormat="false" ht="15" hidden="false" customHeight="false" outlineLevel="0" collapsed="false">
      <c r="A3037" s="0" t="s">
        <v>2041</v>
      </c>
      <c r="B3037" s="0" t="s">
        <v>2042</v>
      </c>
      <c r="C3037" s="0" t="s">
        <v>2339</v>
      </c>
      <c r="D3037" s="0" t="s">
        <v>2044</v>
      </c>
      <c r="E3037" s="0" t="s">
        <v>2045</v>
      </c>
      <c r="F3037" s="0" t="s">
        <v>2046</v>
      </c>
      <c r="G3037" s="0" t="s">
        <v>2058</v>
      </c>
      <c r="H3037" s="0" t="s">
        <v>2048</v>
      </c>
      <c r="I3037" s="0" t="s">
        <v>2322</v>
      </c>
      <c r="J3037" s="0" t="s">
        <v>2343</v>
      </c>
      <c r="K3037" s="272" t="n">
        <v>-4178.45755403861</v>
      </c>
    </row>
    <row r="3038" customFormat="false" ht="15" hidden="false" customHeight="false" outlineLevel="0" collapsed="false">
      <c r="A3038" s="0" t="s">
        <v>2041</v>
      </c>
      <c r="B3038" s="0" t="s">
        <v>2042</v>
      </c>
      <c r="C3038" s="0" t="s">
        <v>2339</v>
      </c>
      <c r="D3038" s="0" t="s">
        <v>2044</v>
      </c>
      <c r="E3038" s="0" t="s">
        <v>2045</v>
      </c>
      <c r="F3038" s="0" t="s">
        <v>2046</v>
      </c>
      <c r="G3038" s="0" t="s">
        <v>2059</v>
      </c>
      <c r="H3038" s="0" t="s">
        <v>2048</v>
      </c>
      <c r="I3038" s="0" t="s">
        <v>2322</v>
      </c>
      <c r="J3038" s="0" t="s">
        <v>2343</v>
      </c>
      <c r="K3038" s="272" t="n">
        <v>-7083.57417662892</v>
      </c>
    </row>
    <row r="3039" customFormat="false" ht="15" hidden="false" customHeight="false" outlineLevel="0" collapsed="false">
      <c r="A3039" s="0" t="s">
        <v>2041</v>
      </c>
      <c r="B3039" s="0" t="s">
        <v>2042</v>
      </c>
      <c r="C3039" s="0" t="s">
        <v>2339</v>
      </c>
      <c r="D3039" s="0" t="s">
        <v>2044</v>
      </c>
      <c r="E3039" s="0" t="s">
        <v>2045</v>
      </c>
      <c r="F3039" s="0" t="s">
        <v>2046</v>
      </c>
      <c r="G3039" s="0" t="s">
        <v>2060</v>
      </c>
      <c r="H3039" s="0" t="s">
        <v>2048</v>
      </c>
      <c r="I3039" s="0" t="s">
        <v>2322</v>
      </c>
      <c r="J3039" s="0" t="s">
        <v>2343</v>
      </c>
      <c r="K3039" s="272" t="n">
        <v>-13773.5737947412</v>
      </c>
    </row>
    <row r="3040" customFormat="false" ht="15" hidden="false" customHeight="false" outlineLevel="0" collapsed="false">
      <c r="A3040" s="0" t="s">
        <v>2041</v>
      </c>
      <c r="B3040" s="0" t="s">
        <v>2042</v>
      </c>
      <c r="C3040" s="0" t="s">
        <v>2339</v>
      </c>
      <c r="D3040" s="0" t="s">
        <v>2044</v>
      </c>
      <c r="E3040" s="0" t="s">
        <v>2045</v>
      </c>
      <c r="F3040" s="0" t="s">
        <v>2046</v>
      </c>
      <c r="G3040" s="0" t="s">
        <v>2061</v>
      </c>
      <c r="H3040" s="0" t="s">
        <v>2048</v>
      </c>
      <c r="I3040" s="0" t="s">
        <v>2322</v>
      </c>
      <c r="J3040" s="0" t="s">
        <v>2343</v>
      </c>
      <c r="K3040" s="272" t="n">
        <v>-13634.4433535838</v>
      </c>
    </row>
    <row r="3041" customFormat="false" ht="15" hidden="false" customHeight="false" outlineLevel="0" collapsed="false">
      <c r="A3041" s="0" t="s">
        <v>2041</v>
      </c>
      <c r="B3041" s="0" t="s">
        <v>2042</v>
      </c>
      <c r="C3041" s="0" t="s">
        <v>2339</v>
      </c>
      <c r="D3041" s="0" t="s">
        <v>2044</v>
      </c>
      <c r="E3041" s="0" t="s">
        <v>2045</v>
      </c>
      <c r="F3041" s="0" t="s">
        <v>2046</v>
      </c>
      <c r="G3041" s="0" t="s">
        <v>2062</v>
      </c>
      <c r="H3041" s="0" t="s">
        <v>2048</v>
      </c>
      <c r="I3041" s="0" t="s">
        <v>2322</v>
      </c>
      <c r="J3041" s="0" t="s">
        <v>2343</v>
      </c>
      <c r="K3041" s="272" t="n">
        <v>-7471.68548145075</v>
      </c>
    </row>
    <row r="3042" customFormat="false" ht="15" hidden="false" customHeight="false" outlineLevel="0" collapsed="false">
      <c r="A3042" s="0" t="s">
        <v>2041</v>
      </c>
      <c r="B3042" s="0" t="s">
        <v>2042</v>
      </c>
      <c r="C3042" s="0" t="s">
        <v>2339</v>
      </c>
      <c r="D3042" s="0" t="s">
        <v>2044</v>
      </c>
      <c r="E3042" s="0" t="s">
        <v>2045</v>
      </c>
      <c r="F3042" s="0" t="s">
        <v>2046</v>
      </c>
      <c r="G3042" s="0" t="s">
        <v>2063</v>
      </c>
      <c r="H3042" s="0" t="s">
        <v>2048</v>
      </c>
      <c r="I3042" s="0" t="s">
        <v>2322</v>
      </c>
      <c r="J3042" s="0" t="s">
        <v>2343</v>
      </c>
      <c r="K3042" s="272" t="n">
        <v>-24363.9589067096</v>
      </c>
    </row>
    <row r="3043" customFormat="false" ht="15" hidden="false" customHeight="false" outlineLevel="0" collapsed="false">
      <c r="A3043" s="0" t="s">
        <v>2041</v>
      </c>
      <c r="B3043" s="0" t="s">
        <v>2042</v>
      </c>
      <c r="C3043" s="0" t="s">
        <v>2339</v>
      </c>
      <c r="D3043" s="0" t="s">
        <v>2044</v>
      </c>
      <c r="E3043" s="0" t="s">
        <v>2045</v>
      </c>
      <c r="F3043" s="0" t="s">
        <v>2046</v>
      </c>
      <c r="G3043" s="0" t="s">
        <v>2064</v>
      </c>
      <c r="H3043" s="0" t="s">
        <v>2048</v>
      </c>
      <c r="I3043" s="0" t="s">
        <v>2322</v>
      </c>
      <c r="J3043" s="0" t="s">
        <v>2343</v>
      </c>
      <c r="K3043" s="272" t="n">
        <v>-15132.9609718833</v>
      </c>
    </row>
    <row r="3044" customFormat="false" ht="15" hidden="false" customHeight="false" outlineLevel="0" collapsed="false">
      <c r="A3044" s="0" t="s">
        <v>2041</v>
      </c>
      <c r="B3044" s="0" t="s">
        <v>2042</v>
      </c>
      <c r="C3044" s="0" t="s">
        <v>2339</v>
      </c>
      <c r="D3044" s="0" t="s">
        <v>2044</v>
      </c>
      <c r="E3044" s="0" t="s">
        <v>2045</v>
      </c>
      <c r="F3044" s="0" t="s">
        <v>2046</v>
      </c>
      <c r="G3044" s="0" t="s">
        <v>2065</v>
      </c>
      <c r="H3044" s="0" t="s">
        <v>2048</v>
      </c>
      <c r="I3044" s="0" t="s">
        <v>2322</v>
      </c>
      <c r="J3044" s="0" t="s">
        <v>2343</v>
      </c>
      <c r="K3044" s="272" t="n">
        <v>-5170.84374075121</v>
      </c>
    </row>
    <row r="3045" customFormat="false" ht="15" hidden="false" customHeight="false" outlineLevel="0" collapsed="false">
      <c r="A3045" s="0" t="s">
        <v>2041</v>
      </c>
      <c r="B3045" s="0" t="s">
        <v>2042</v>
      </c>
      <c r="C3045" s="0" t="s">
        <v>2339</v>
      </c>
      <c r="D3045" s="0" t="s">
        <v>2044</v>
      </c>
      <c r="E3045" s="0" t="s">
        <v>2045</v>
      </c>
      <c r="F3045" s="0" t="s">
        <v>2046</v>
      </c>
      <c r="G3045" s="0" t="s">
        <v>2066</v>
      </c>
      <c r="H3045" s="0" t="s">
        <v>2048</v>
      </c>
      <c r="I3045" s="0" t="s">
        <v>2322</v>
      </c>
      <c r="J3045" s="0" t="s">
        <v>2343</v>
      </c>
      <c r="K3045" s="272" t="n">
        <v>-13478.2182153813</v>
      </c>
    </row>
    <row r="3046" customFormat="false" ht="15" hidden="false" customHeight="false" outlineLevel="0" collapsed="false">
      <c r="A3046" s="0" t="s">
        <v>2041</v>
      </c>
      <c r="B3046" s="0" t="s">
        <v>2042</v>
      </c>
      <c r="C3046" s="0" t="s">
        <v>2339</v>
      </c>
      <c r="D3046" s="0" t="s">
        <v>2044</v>
      </c>
      <c r="E3046" s="0" t="s">
        <v>2045</v>
      </c>
      <c r="F3046" s="0" t="s">
        <v>2046</v>
      </c>
      <c r="G3046" s="0" t="s">
        <v>2067</v>
      </c>
      <c r="H3046" s="0" t="s">
        <v>2048</v>
      </c>
      <c r="I3046" s="0" t="s">
        <v>2322</v>
      </c>
      <c r="J3046" s="0" t="s">
        <v>2343</v>
      </c>
      <c r="K3046" s="272" t="n">
        <v>-1521.45950737521</v>
      </c>
    </row>
    <row r="3047" customFormat="false" ht="15" hidden="false" customHeight="false" outlineLevel="0" collapsed="false">
      <c r="A3047" s="0" t="s">
        <v>2041</v>
      </c>
      <c r="B3047" s="0" t="s">
        <v>2042</v>
      </c>
      <c r="C3047" s="0" t="s">
        <v>2339</v>
      </c>
      <c r="D3047" s="0" t="s">
        <v>2044</v>
      </c>
      <c r="E3047" s="0" t="s">
        <v>2045</v>
      </c>
      <c r="F3047" s="0" t="s">
        <v>2046</v>
      </c>
      <c r="G3047" s="0" t="s">
        <v>2068</v>
      </c>
      <c r="H3047" s="0" t="s">
        <v>2048</v>
      </c>
      <c r="I3047" s="0" t="s">
        <v>2322</v>
      </c>
      <c r="J3047" s="0" t="s">
        <v>2343</v>
      </c>
      <c r="K3047" s="272" t="n">
        <v>-13579.9870506255</v>
      </c>
    </row>
    <row r="3048" customFormat="false" ht="15" hidden="false" customHeight="false" outlineLevel="0" collapsed="false">
      <c r="A3048" s="0" t="s">
        <v>2041</v>
      </c>
      <c r="B3048" s="0" t="s">
        <v>2042</v>
      </c>
      <c r="C3048" s="0" t="s">
        <v>2339</v>
      </c>
      <c r="D3048" s="0" t="s">
        <v>2044</v>
      </c>
      <c r="E3048" s="0" t="s">
        <v>2045</v>
      </c>
      <c r="F3048" s="0" t="s">
        <v>2046</v>
      </c>
      <c r="G3048" s="0" t="s">
        <v>2069</v>
      </c>
      <c r="H3048" s="0" t="s">
        <v>2048</v>
      </c>
      <c r="I3048" s="0" t="s">
        <v>2322</v>
      </c>
      <c r="J3048" s="0" t="s">
        <v>2343</v>
      </c>
      <c r="K3048" s="272" t="n">
        <v>-5223.07194254826</v>
      </c>
    </row>
    <row r="3049" customFormat="false" ht="15" hidden="false" customHeight="false" outlineLevel="0" collapsed="false">
      <c r="A3049" s="0" t="s">
        <v>2041</v>
      </c>
      <c r="B3049" s="0" t="s">
        <v>2042</v>
      </c>
      <c r="C3049" s="0" t="s">
        <v>2339</v>
      </c>
      <c r="D3049" s="0" t="s">
        <v>2044</v>
      </c>
      <c r="E3049" s="0" t="s">
        <v>2045</v>
      </c>
      <c r="F3049" s="0" t="s">
        <v>2046</v>
      </c>
      <c r="G3049" s="0" t="s">
        <v>2070</v>
      </c>
      <c r="H3049" s="0" t="s">
        <v>2048</v>
      </c>
      <c r="I3049" s="0" t="s">
        <v>2322</v>
      </c>
      <c r="J3049" s="0" t="s">
        <v>2343</v>
      </c>
      <c r="K3049" s="272" t="n">
        <v>-3905.67880763195</v>
      </c>
    </row>
    <row r="3050" customFormat="false" ht="15" hidden="false" customHeight="false" outlineLevel="0" collapsed="false">
      <c r="A3050" s="0" t="s">
        <v>2041</v>
      </c>
      <c r="B3050" s="0" t="s">
        <v>2042</v>
      </c>
      <c r="C3050" s="0" t="s">
        <v>2339</v>
      </c>
      <c r="D3050" s="0" t="s">
        <v>2044</v>
      </c>
      <c r="E3050" s="0" t="s">
        <v>2045</v>
      </c>
      <c r="F3050" s="0" t="s">
        <v>2046</v>
      </c>
      <c r="G3050" s="0" t="s">
        <v>2071</v>
      </c>
      <c r="H3050" s="0" t="s">
        <v>2048</v>
      </c>
      <c r="I3050" s="0" t="s">
        <v>2322</v>
      </c>
      <c r="J3050" s="0" t="s">
        <v>2343</v>
      </c>
      <c r="K3050" s="272" t="n">
        <v>-4439.61115116602</v>
      </c>
    </row>
    <row r="3051" customFormat="false" ht="15" hidden="false" customHeight="false" outlineLevel="0" collapsed="false">
      <c r="A3051" s="0" t="s">
        <v>2041</v>
      </c>
      <c r="B3051" s="0" t="s">
        <v>2042</v>
      </c>
      <c r="C3051" s="0" t="s">
        <v>2339</v>
      </c>
      <c r="D3051" s="0" t="s">
        <v>2044</v>
      </c>
      <c r="E3051" s="0" t="s">
        <v>2045</v>
      </c>
      <c r="F3051" s="0" t="s">
        <v>2046</v>
      </c>
      <c r="G3051" s="0" t="s">
        <v>2072</v>
      </c>
      <c r="H3051" s="0" t="s">
        <v>2048</v>
      </c>
      <c r="I3051" s="0" t="s">
        <v>2322</v>
      </c>
      <c r="J3051" s="0" t="s">
        <v>2343</v>
      </c>
      <c r="K3051" s="272" t="n">
        <v>-5190.16653895764</v>
      </c>
    </row>
    <row r="3052" customFormat="false" ht="15" hidden="false" customHeight="false" outlineLevel="0" collapsed="false">
      <c r="A3052" s="0" t="s">
        <v>2041</v>
      </c>
      <c r="B3052" s="0" t="s">
        <v>2042</v>
      </c>
      <c r="C3052" s="0" t="s">
        <v>2339</v>
      </c>
      <c r="D3052" s="0" t="s">
        <v>2044</v>
      </c>
      <c r="E3052" s="0" t="s">
        <v>2045</v>
      </c>
      <c r="F3052" s="0" t="s">
        <v>2046</v>
      </c>
      <c r="G3052" s="0" t="s">
        <v>2073</v>
      </c>
      <c r="H3052" s="0" t="s">
        <v>2048</v>
      </c>
      <c r="I3052" s="0" t="s">
        <v>2322</v>
      </c>
      <c r="J3052" s="0" t="s">
        <v>2343</v>
      </c>
      <c r="K3052" s="272" t="n">
        <v>-6961.00343647517</v>
      </c>
    </row>
    <row r="3053" customFormat="false" ht="15" hidden="false" customHeight="false" outlineLevel="0" collapsed="false">
      <c r="A3053" s="0" t="s">
        <v>2041</v>
      </c>
      <c r="B3053" s="0" t="s">
        <v>2042</v>
      </c>
      <c r="C3053" s="0" t="s">
        <v>2339</v>
      </c>
      <c r="D3053" s="0" t="s">
        <v>2044</v>
      </c>
      <c r="E3053" s="0" t="s">
        <v>2045</v>
      </c>
      <c r="F3053" s="0" t="s">
        <v>2046</v>
      </c>
      <c r="G3053" s="0" t="s">
        <v>2074</v>
      </c>
      <c r="H3053" s="0" t="s">
        <v>2048</v>
      </c>
      <c r="I3053" s="0" t="s">
        <v>2322</v>
      </c>
      <c r="J3053" s="0" t="s">
        <v>2343</v>
      </c>
      <c r="K3053" s="272" t="n">
        <v>-4344.80985260405</v>
      </c>
    </row>
    <row r="3054" customFormat="false" ht="15" hidden="false" customHeight="false" outlineLevel="0" collapsed="false">
      <c r="A3054" s="0" t="s">
        <v>2041</v>
      </c>
      <c r="B3054" s="0" t="s">
        <v>2042</v>
      </c>
      <c r="C3054" s="0" t="s">
        <v>2339</v>
      </c>
      <c r="D3054" s="0" t="s">
        <v>2044</v>
      </c>
      <c r="E3054" s="0" t="s">
        <v>2045</v>
      </c>
      <c r="F3054" s="0" t="s">
        <v>2046</v>
      </c>
      <c r="G3054" s="0" t="s">
        <v>2075</v>
      </c>
      <c r="H3054" s="0" t="s">
        <v>2048</v>
      </c>
      <c r="I3054" s="0" t="s">
        <v>2322</v>
      </c>
      <c r="J3054" s="0" t="s">
        <v>2343</v>
      </c>
      <c r="K3054" s="272" t="n">
        <v>-311.990809216445</v>
      </c>
    </row>
    <row r="3055" customFormat="false" ht="15" hidden="false" customHeight="false" outlineLevel="0" collapsed="false">
      <c r="A3055" s="0" t="s">
        <v>2041</v>
      </c>
      <c r="B3055" s="0" t="s">
        <v>2042</v>
      </c>
      <c r="C3055" s="0" t="s">
        <v>2339</v>
      </c>
      <c r="D3055" s="0" t="s">
        <v>2044</v>
      </c>
      <c r="E3055" s="0" t="s">
        <v>2045</v>
      </c>
      <c r="F3055" s="0" t="s">
        <v>2046</v>
      </c>
      <c r="G3055" s="0" t="s">
        <v>2076</v>
      </c>
      <c r="H3055" s="0" t="s">
        <v>2048</v>
      </c>
      <c r="I3055" s="0" t="s">
        <v>2322</v>
      </c>
      <c r="J3055" s="0" t="s">
        <v>2343</v>
      </c>
      <c r="K3055" s="272" t="n">
        <v>-8901.06902304035</v>
      </c>
    </row>
    <row r="3056" customFormat="false" ht="15" hidden="false" customHeight="false" outlineLevel="0" collapsed="false">
      <c r="A3056" s="0" t="s">
        <v>2041</v>
      </c>
      <c r="B3056" s="0" t="s">
        <v>2042</v>
      </c>
      <c r="C3056" s="0" t="s">
        <v>2339</v>
      </c>
      <c r="D3056" s="0" t="s">
        <v>2044</v>
      </c>
      <c r="E3056" s="0" t="s">
        <v>2045</v>
      </c>
      <c r="F3056" s="0" t="s">
        <v>2046</v>
      </c>
      <c r="G3056" s="0" t="s">
        <v>2077</v>
      </c>
      <c r="H3056" s="0" t="s">
        <v>2048</v>
      </c>
      <c r="I3056" s="0" t="s">
        <v>2322</v>
      </c>
      <c r="J3056" s="0" t="s">
        <v>2343</v>
      </c>
      <c r="K3056" s="272" t="n">
        <v>-4700.76474829343</v>
      </c>
    </row>
    <row r="3057" customFormat="false" ht="15" hidden="false" customHeight="false" outlineLevel="0" collapsed="false">
      <c r="A3057" s="0" t="s">
        <v>2041</v>
      </c>
      <c r="B3057" s="0" t="s">
        <v>2042</v>
      </c>
      <c r="C3057" s="0" t="s">
        <v>2339</v>
      </c>
      <c r="D3057" s="0" t="s">
        <v>2044</v>
      </c>
      <c r="E3057" s="0" t="s">
        <v>2045</v>
      </c>
      <c r="F3057" s="0" t="s">
        <v>2046</v>
      </c>
      <c r="G3057" s="0" t="s">
        <v>2078</v>
      </c>
      <c r="H3057" s="0" t="s">
        <v>2048</v>
      </c>
      <c r="I3057" s="0" t="s">
        <v>2322</v>
      </c>
      <c r="J3057" s="0" t="s">
        <v>2343</v>
      </c>
      <c r="K3057" s="272" t="n">
        <v>-18644.6749885918</v>
      </c>
    </row>
    <row r="3058" customFormat="false" ht="15" hidden="false" customHeight="false" outlineLevel="0" collapsed="false">
      <c r="A3058" s="0" t="s">
        <v>2041</v>
      </c>
      <c r="B3058" s="0" t="s">
        <v>2042</v>
      </c>
      <c r="C3058" s="0" t="s">
        <v>2339</v>
      </c>
      <c r="D3058" s="0" t="s">
        <v>2044</v>
      </c>
      <c r="E3058" s="0" t="s">
        <v>2045</v>
      </c>
      <c r="F3058" s="0" t="s">
        <v>2046</v>
      </c>
      <c r="G3058" s="0" t="s">
        <v>2079</v>
      </c>
      <c r="H3058" s="0" t="s">
        <v>2048</v>
      </c>
      <c r="I3058" s="0" t="s">
        <v>2322</v>
      </c>
      <c r="J3058" s="0" t="s">
        <v>2343</v>
      </c>
      <c r="K3058" s="272" t="n">
        <v>-5223.07194254826</v>
      </c>
    </row>
    <row r="3059" customFormat="false" ht="15" hidden="false" customHeight="false" outlineLevel="0" collapsed="false">
      <c r="A3059" s="0" t="s">
        <v>2041</v>
      </c>
      <c r="B3059" s="0" t="s">
        <v>2042</v>
      </c>
      <c r="C3059" s="0" t="s">
        <v>2339</v>
      </c>
      <c r="D3059" s="0" t="s">
        <v>2044</v>
      </c>
      <c r="E3059" s="0" t="s">
        <v>2045</v>
      </c>
      <c r="F3059" s="0" t="s">
        <v>2046</v>
      </c>
      <c r="G3059" s="0" t="s">
        <v>2080</v>
      </c>
      <c r="H3059" s="0" t="s">
        <v>2048</v>
      </c>
      <c r="I3059" s="0" t="s">
        <v>2322</v>
      </c>
      <c r="J3059" s="0" t="s">
        <v>2343</v>
      </c>
      <c r="K3059" s="272" t="n">
        <v>-4961.91834542085</v>
      </c>
    </row>
    <row r="3060" customFormat="false" ht="15" hidden="false" customHeight="false" outlineLevel="0" collapsed="false">
      <c r="A3060" s="0" t="s">
        <v>2041</v>
      </c>
      <c r="B3060" s="0" t="s">
        <v>2042</v>
      </c>
      <c r="C3060" s="0" t="s">
        <v>2339</v>
      </c>
      <c r="D3060" s="0" t="s">
        <v>2044</v>
      </c>
      <c r="E3060" s="0" t="s">
        <v>2045</v>
      </c>
      <c r="F3060" s="0" t="s">
        <v>2046</v>
      </c>
      <c r="G3060" s="0" t="s">
        <v>2081</v>
      </c>
      <c r="H3060" s="0" t="s">
        <v>2048</v>
      </c>
      <c r="I3060" s="0" t="s">
        <v>2322</v>
      </c>
      <c r="J3060" s="0" t="s">
        <v>2343</v>
      </c>
      <c r="K3060" s="272" t="n">
        <v>-19630.1880496883</v>
      </c>
    </row>
    <row r="3061" customFormat="false" ht="15" hidden="false" customHeight="false" outlineLevel="0" collapsed="false">
      <c r="A3061" s="0" t="s">
        <v>2041</v>
      </c>
      <c r="B3061" s="0" t="s">
        <v>2042</v>
      </c>
      <c r="C3061" s="0" t="s">
        <v>2339</v>
      </c>
      <c r="D3061" s="0" t="s">
        <v>2044</v>
      </c>
      <c r="E3061" s="0" t="s">
        <v>2045</v>
      </c>
      <c r="F3061" s="0" t="s">
        <v>2046</v>
      </c>
      <c r="G3061" s="0" t="s">
        <v>2082</v>
      </c>
      <c r="H3061" s="0" t="s">
        <v>2048</v>
      </c>
      <c r="I3061" s="0" t="s">
        <v>2322</v>
      </c>
      <c r="J3061" s="0" t="s">
        <v>2343</v>
      </c>
      <c r="K3061" s="272" t="n">
        <v>-51552.004564964</v>
      </c>
    </row>
    <row r="3062" customFormat="false" ht="15" hidden="false" customHeight="false" outlineLevel="0" collapsed="false">
      <c r="A3062" s="0" t="s">
        <v>2041</v>
      </c>
      <c r="B3062" s="0" t="s">
        <v>2042</v>
      </c>
      <c r="C3062" s="0" t="s">
        <v>2339</v>
      </c>
      <c r="D3062" s="0" t="s">
        <v>2044</v>
      </c>
      <c r="E3062" s="0" t="s">
        <v>2045</v>
      </c>
      <c r="F3062" s="0" t="s">
        <v>2046</v>
      </c>
      <c r="G3062" s="0" t="s">
        <v>2083</v>
      </c>
      <c r="H3062" s="0" t="s">
        <v>2048</v>
      </c>
      <c r="I3062" s="0" t="s">
        <v>2322</v>
      </c>
      <c r="J3062" s="0" t="s">
        <v>2343</v>
      </c>
      <c r="K3062" s="272" t="n">
        <v>-20663.9766359455</v>
      </c>
    </row>
    <row r="3063" customFormat="false" ht="15" hidden="false" customHeight="false" outlineLevel="0" collapsed="false">
      <c r="A3063" s="0" t="s">
        <v>2041</v>
      </c>
      <c r="B3063" s="0" t="s">
        <v>2042</v>
      </c>
      <c r="C3063" s="0" t="s">
        <v>2339</v>
      </c>
      <c r="D3063" s="0" t="s">
        <v>2044</v>
      </c>
      <c r="E3063" s="0" t="s">
        <v>2045</v>
      </c>
      <c r="F3063" s="0" t="s">
        <v>2046</v>
      </c>
      <c r="G3063" s="0" t="s">
        <v>2084</v>
      </c>
      <c r="H3063" s="0" t="s">
        <v>2048</v>
      </c>
      <c r="I3063" s="0" t="s">
        <v>2322</v>
      </c>
      <c r="J3063" s="0" t="s">
        <v>2343</v>
      </c>
      <c r="K3063" s="272" t="n">
        <v>-4511.1621511695</v>
      </c>
    </row>
    <row r="3064" customFormat="false" ht="15" hidden="false" customHeight="false" outlineLevel="0" collapsed="false">
      <c r="A3064" s="0" t="s">
        <v>2041</v>
      </c>
      <c r="B3064" s="0" t="s">
        <v>2042</v>
      </c>
      <c r="C3064" s="0" t="s">
        <v>2339</v>
      </c>
      <c r="D3064" s="0" t="s">
        <v>2044</v>
      </c>
      <c r="E3064" s="0" t="s">
        <v>2045</v>
      </c>
      <c r="F3064" s="0" t="s">
        <v>2046</v>
      </c>
      <c r="G3064" s="0" t="s">
        <v>2085</v>
      </c>
      <c r="H3064" s="0" t="s">
        <v>2048</v>
      </c>
      <c r="I3064" s="0" t="s">
        <v>2322</v>
      </c>
      <c r="J3064" s="0" t="s">
        <v>2343</v>
      </c>
      <c r="K3064" s="272" t="n">
        <v>-35241.5928344907</v>
      </c>
    </row>
    <row r="3065" customFormat="false" ht="15" hidden="false" customHeight="false" outlineLevel="0" collapsed="false">
      <c r="A3065" s="0" t="s">
        <v>2041</v>
      </c>
      <c r="B3065" s="0" t="s">
        <v>2042</v>
      </c>
      <c r="C3065" s="0" t="s">
        <v>2339</v>
      </c>
      <c r="D3065" s="0" t="s">
        <v>2044</v>
      </c>
      <c r="E3065" s="0" t="s">
        <v>2045</v>
      </c>
      <c r="F3065" s="0" t="s">
        <v>2046</v>
      </c>
      <c r="G3065" s="0" t="s">
        <v>2086</v>
      </c>
      <c r="H3065" s="0" t="s">
        <v>2048</v>
      </c>
      <c r="I3065" s="0" t="s">
        <v>2322</v>
      </c>
      <c r="J3065" s="0" t="s">
        <v>2343</v>
      </c>
      <c r="K3065" s="272" t="n">
        <v>-15209.1695844838</v>
      </c>
    </row>
    <row r="3066" customFormat="false" ht="15" hidden="false" customHeight="false" outlineLevel="0" collapsed="false">
      <c r="A3066" s="0" t="s">
        <v>2041</v>
      </c>
      <c r="B3066" s="0" t="s">
        <v>2042</v>
      </c>
      <c r="C3066" s="0" t="s">
        <v>2339</v>
      </c>
      <c r="D3066" s="0" t="s">
        <v>2044</v>
      </c>
      <c r="E3066" s="0" t="s">
        <v>2045</v>
      </c>
      <c r="F3066" s="0" t="s">
        <v>2046</v>
      </c>
      <c r="G3066" s="0" t="s">
        <v>2087</v>
      </c>
      <c r="H3066" s="0" t="s">
        <v>2048</v>
      </c>
      <c r="I3066" s="0" t="s">
        <v>2322</v>
      </c>
      <c r="J3066" s="0" t="s">
        <v>2343</v>
      </c>
      <c r="K3066" s="272" t="n">
        <v>-10171.0426264624</v>
      </c>
    </row>
    <row r="3067" customFormat="false" ht="15" hidden="false" customHeight="false" outlineLevel="0" collapsed="false">
      <c r="A3067" s="0" t="s">
        <v>2041</v>
      </c>
      <c r="B3067" s="0" t="s">
        <v>2042</v>
      </c>
      <c r="C3067" s="0" t="s">
        <v>2339</v>
      </c>
      <c r="D3067" s="0" t="s">
        <v>2044</v>
      </c>
      <c r="E3067" s="0" t="s">
        <v>2045</v>
      </c>
      <c r="F3067" s="0" t="s">
        <v>2046</v>
      </c>
      <c r="G3067" s="0" t="s">
        <v>2088</v>
      </c>
      <c r="H3067" s="0" t="s">
        <v>2048</v>
      </c>
      <c r="I3067" s="0" t="s">
        <v>2322</v>
      </c>
      <c r="J3067" s="0" t="s">
        <v>2343</v>
      </c>
      <c r="K3067" s="272" t="n">
        <v>-23853.6419178565</v>
      </c>
    </row>
    <row r="3068" customFormat="false" ht="15" hidden="false" customHeight="false" outlineLevel="0" collapsed="false">
      <c r="A3068" s="0" t="s">
        <v>2041</v>
      </c>
      <c r="B3068" s="0" t="s">
        <v>2042</v>
      </c>
      <c r="C3068" s="0" t="s">
        <v>2339</v>
      </c>
      <c r="D3068" s="0" t="s">
        <v>2044</v>
      </c>
      <c r="E3068" s="0" t="s">
        <v>2045</v>
      </c>
      <c r="F3068" s="0" t="s">
        <v>2046</v>
      </c>
      <c r="G3068" s="0" t="s">
        <v>2089</v>
      </c>
      <c r="H3068" s="0" t="s">
        <v>2048</v>
      </c>
      <c r="I3068" s="0" t="s">
        <v>2322</v>
      </c>
      <c r="J3068" s="0" t="s">
        <v>2343</v>
      </c>
      <c r="K3068" s="272" t="n">
        <v>-5170.84374075121</v>
      </c>
    </row>
    <row r="3069" customFormat="false" ht="15" hidden="false" customHeight="false" outlineLevel="0" collapsed="false">
      <c r="A3069" s="0" t="s">
        <v>2041</v>
      </c>
      <c r="B3069" s="0" t="s">
        <v>2042</v>
      </c>
      <c r="C3069" s="0" t="s">
        <v>2339</v>
      </c>
      <c r="D3069" s="0" t="s">
        <v>2044</v>
      </c>
      <c r="E3069" s="0" t="s">
        <v>2045</v>
      </c>
      <c r="F3069" s="0" t="s">
        <v>2046</v>
      </c>
      <c r="G3069" s="0" t="s">
        <v>2090</v>
      </c>
      <c r="H3069" s="0" t="s">
        <v>2048</v>
      </c>
      <c r="I3069" s="0" t="s">
        <v>2322</v>
      </c>
      <c r="J3069" s="0" t="s">
        <v>2343</v>
      </c>
      <c r="K3069" s="272" t="n">
        <v>-23046.9245338447</v>
      </c>
    </row>
    <row r="3070" customFormat="false" ht="15" hidden="false" customHeight="false" outlineLevel="0" collapsed="false">
      <c r="A3070" s="0" t="s">
        <v>2041</v>
      </c>
      <c r="B3070" s="0" t="s">
        <v>2042</v>
      </c>
      <c r="C3070" s="0" t="s">
        <v>2339</v>
      </c>
      <c r="D3070" s="0" t="s">
        <v>2044</v>
      </c>
      <c r="E3070" s="0" t="s">
        <v>2045</v>
      </c>
      <c r="F3070" s="0" t="s">
        <v>2046</v>
      </c>
      <c r="G3070" s="0" t="s">
        <v>2091</v>
      </c>
      <c r="H3070" s="0" t="s">
        <v>2048</v>
      </c>
      <c r="I3070" s="0" t="s">
        <v>2322</v>
      </c>
      <c r="J3070" s="0" t="s">
        <v>2343</v>
      </c>
      <c r="K3070" s="272" t="n">
        <v>-9211.93319353401</v>
      </c>
    </row>
    <row r="3071" customFormat="false" ht="15" hidden="false" customHeight="false" outlineLevel="0" collapsed="false">
      <c r="A3071" s="0" t="s">
        <v>2041</v>
      </c>
      <c r="B3071" s="0" t="s">
        <v>2042</v>
      </c>
      <c r="C3071" s="0" t="s">
        <v>2339</v>
      </c>
      <c r="D3071" s="0" t="s">
        <v>2044</v>
      </c>
      <c r="E3071" s="0" t="s">
        <v>2045</v>
      </c>
      <c r="F3071" s="0" t="s">
        <v>2046</v>
      </c>
      <c r="G3071" s="0" t="s">
        <v>2092</v>
      </c>
      <c r="H3071" s="0" t="s">
        <v>2048</v>
      </c>
      <c r="I3071" s="0" t="s">
        <v>2322</v>
      </c>
      <c r="J3071" s="0" t="s">
        <v>2343</v>
      </c>
      <c r="K3071" s="272" t="n">
        <v>-9935.4429579077</v>
      </c>
    </row>
    <row r="3072" customFormat="false" ht="15" hidden="false" customHeight="false" outlineLevel="0" collapsed="false">
      <c r="A3072" s="0" t="s">
        <v>2041</v>
      </c>
      <c r="B3072" s="0" t="s">
        <v>2042</v>
      </c>
      <c r="C3072" s="0" t="s">
        <v>2339</v>
      </c>
      <c r="D3072" s="0" t="s">
        <v>2044</v>
      </c>
      <c r="E3072" s="0" t="s">
        <v>2045</v>
      </c>
      <c r="F3072" s="0" t="s">
        <v>2046</v>
      </c>
      <c r="G3072" s="0" t="s">
        <v>2093</v>
      </c>
      <c r="H3072" s="0" t="s">
        <v>2048</v>
      </c>
      <c r="I3072" s="0" t="s">
        <v>2322</v>
      </c>
      <c r="J3072" s="0" t="s">
        <v>2343</v>
      </c>
      <c r="K3072" s="272" t="n">
        <v>-20774.2487612147</v>
      </c>
    </row>
    <row r="3073" customFormat="false" ht="15" hidden="false" customHeight="false" outlineLevel="0" collapsed="false">
      <c r="A3073" s="0" t="s">
        <v>2041</v>
      </c>
      <c r="B3073" s="0" t="s">
        <v>2042</v>
      </c>
      <c r="C3073" s="0" t="s">
        <v>2339</v>
      </c>
      <c r="D3073" s="0" t="s">
        <v>2044</v>
      </c>
      <c r="E3073" s="0" t="s">
        <v>2045</v>
      </c>
      <c r="F3073" s="0" t="s">
        <v>2046</v>
      </c>
      <c r="G3073" s="0" t="s">
        <v>2094</v>
      </c>
      <c r="H3073" s="0" t="s">
        <v>2048</v>
      </c>
      <c r="I3073" s="0" t="s">
        <v>2322</v>
      </c>
      <c r="J3073" s="0" t="s">
        <v>2343</v>
      </c>
      <c r="K3073" s="272" t="n">
        <v>-13677.941678797</v>
      </c>
    </row>
    <row r="3074" customFormat="false" ht="15" hidden="false" customHeight="false" outlineLevel="0" collapsed="false">
      <c r="A3074" s="0" t="s">
        <v>2041</v>
      </c>
      <c r="B3074" s="0" t="s">
        <v>2042</v>
      </c>
      <c r="C3074" s="0" t="s">
        <v>2339</v>
      </c>
      <c r="D3074" s="0" t="s">
        <v>2044</v>
      </c>
      <c r="E3074" s="0" t="s">
        <v>2045</v>
      </c>
      <c r="F3074" s="0" t="s">
        <v>2046</v>
      </c>
      <c r="G3074" s="0" t="s">
        <v>2095</v>
      </c>
      <c r="H3074" s="0" t="s">
        <v>2048</v>
      </c>
      <c r="I3074" s="0" t="s">
        <v>2322</v>
      </c>
      <c r="J3074" s="0" t="s">
        <v>2343</v>
      </c>
      <c r="K3074" s="272" t="n">
        <v>-23480.5797369798</v>
      </c>
    </row>
    <row r="3075" customFormat="false" ht="15" hidden="false" customHeight="false" outlineLevel="0" collapsed="false">
      <c r="A3075" s="0" t="s">
        <v>2041</v>
      </c>
      <c r="B3075" s="0" t="s">
        <v>2042</v>
      </c>
      <c r="C3075" s="0" t="s">
        <v>2339</v>
      </c>
      <c r="D3075" s="0" t="s">
        <v>2044</v>
      </c>
      <c r="E3075" s="0" t="s">
        <v>2045</v>
      </c>
      <c r="F3075" s="0" t="s">
        <v>2046</v>
      </c>
      <c r="G3075" s="0" t="s">
        <v>2096</v>
      </c>
      <c r="H3075" s="0" t="s">
        <v>2048</v>
      </c>
      <c r="I3075" s="0" t="s">
        <v>2322</v>
      </c>
      <c r="J3075" s="0" t="s">
        <v>2343</v>
      </c>
      <c r="K3075" s="272" t="n">
        <v>-5251.8106710859</v>
      </c>
    </row>
    <row r="3076" customFormat="false" ht="15" hidden="false" customHeight="false" outlineLevel="0" collapsed="false">
      <c r="A3076" s="0" t="s">
        <v>2041</v>
      </c>
      <c r="B3076" s="0" t="s">
        <v>2042</v>
      </c>
      <c r="C3076" s="0" t="s">
        <v>2339</v>
      </c>
      <c r="D3076" s="0" t="s">
        <v>2044</v>
      </c>
      <c r="E3076" s="0" t="s">
        <v>2045</v>
      </c>
      <c r="F3076" s="0" t="s">
        <v>2046</v>
      </c>
      <c r="G3076" s="0" t="s">
        <v>2098</v>
      </c>
      <c r="H3076" s="0" t="s">
        <v>2048</v>
      </c>
      <c r="I3076" s="0" t="s">
        <v>2322</v>
      </c>
      <c r="J3076" s="0" t="s">
        <v>2343</v>
      </c>
      <c r="K3076" s="272" t="n">
        <v>-6794.44972763526</v>
      </c>
    </row>
    <row r="3077" customFormat="false" ht="15" hidden="false" customHeight="false" outlineLevel="0" collapsed="false">
      <c r="A3077" s="0" t="s">
        <v>2041</v>
      </c>
      <c r="B3077" s="0" t="s">
        <v>2042</v>
      </c>
      <c r="C3077" s="0" t="s">
        <v>2339</v>
      </c>
      <c r="D3077" s="0" t="s">
        <v>2044</v>
      </c>
      <c r="E3077" s="0" t="s">
        <v>2045</v>
      </c>
      <c r="F3077" s="0" t="s">
        <v>2051</v>
      </c>
      <c r="G3077" s="0" t="s">
        <v>2047</v>
      </c>
      <c r="H3077" s="0" t="s">
        <v>2052</v>
      </c>
      <c r="I3077" s="0" t="s">
        <v>2322</v>
      </c>
      <c r="J3077" s="0" t="s">
        <v>2343</v>
      </c>
      <c r="K3077" s="272" t="n">
        <v>-693.310811346185</v>
      </c>
    </row>
    <row r="3078" customFormat="false" ht="15" hidden="false" customHeight="false" outlineLevel="0" collapsed="false">
      <c r="A3078" s="0" t="s">
        <v>2041</v>
      </c>
      <c r="B3078" s="0" t="s">
        <v>2042</v>
      </c>
      <c r="C3078" s="0" t="s">
        <v>2339</v>
      </c>
      <c r="D3078" s="0" t="s">
        <v>2044</v>
      </c>
      <c r="E3078" s="0" t="s">
        <v>2045</v>
      </c>
      <c r="F3078" s="0" t="s">
        <v>2051</v>
      </c>
      <c r="G3078" s="0" t="s">
        <v>2053</v>
      </c>
      <c r="H3078" s="0" t="s">
        <v>2052</v>
      </c>
      <c r="I3078" s="0" t="s">
        <v>2322</v>
      </c>
      <c r="J3078" s="0" t="s">
        <v>2343</v>
      </c>
      <c r="K3078" s="272" t="n">
        <v>-261.153597127413</v>
      </c>
    </row>
    <row r="3079" customFormat="false" ht="15" hidden="false" customHeight="false" outlineLevel="0" collapsed="false">
      <c r="A3079" s="0" t="s">
        <v>2041</v>
      </c>
      <c r="B3079" s="0" t="s">
        <v>2042</v>
      </c>
      <c r="C3079" s="0" t="s">
        <v>2339</v>
      </c>
      <c r="D3079" s="0" t="s">
        <v>2044</v>
      </c>
      <c r="E3079" s="0" t="s">
        <v>2045</v>
      </c>
      <c r="F3079" s="0" t="s">
        <v>2051</v>
      </c>
      <c r="G3079" s="0" t="s">
        <v>2054</v>
      </c>
      <c r="H3079" s="0" t="s">
        <v>2052</v>
      </c>
      <c r="I3079" s="0" t="s">
        <v>2322</v>
      </c>
      <c r="J3079" s="0" t="s">
        <v>2343</v>
      </c>
      <c r="K3079" s="272" t="n">
        <v>-783.460791382239</v>
      </c>
    </row>
    <row r="3080" customFormat="false" ht="15" hidden="false" customHeight="false" outlineLevel="0" collapsed="false">
      <c r="A3080" s="0" t="s">
        <v>2041</v>
      </c>
      <c r="B3080" s="0" t="s">
        <v>2042</v>
      </c>
      <c r="C3080" s="0" t="s">
        <v>2339</v>
      </c>
      <c r="D3080" s="0" t="s">
        <v>2044</v>
      </c>
      <c r="E3080" s="0" t="s">
        <v>2045</v>
      </c>
      <c r="F3080" s="0" t="s">
        <v>2051</v>
      </c>
      <c r="G3080" s="0" t="s">
        <v>2055</v>
      </c>
      <c r="H3080" s="0" t="s">
        <v>2052</v>
      </c>
      <c r="I3080" s="0" t="s">
        <v>2322</v>
      </c>
      <c r="J3080" s="0" t="s">
        <v>2343</v>
      </c>
      <c r="K3080" s="272" t="n">
        <v>-6517.22107297716</v>
      </c>
    </row>
    <row r="3081" customFormat="false" ht="15" hidden="false" customHeight="false" outlineLevel="0" collapsed="false">
      <c r="A3081" s="0" t="s">
        <v>2041</v>
      </c>
      <c r="B3081" s="0" t="s">
        <v>2042</v>
      </c>
      <c r="C3081" s="0" t="s">
        <v>2339</v>
      </c>
      <c r="D3081" s="0" t="s">
        <v>2044</v>
      </c>
      <c r="E3081" s="0" t="s">
        <v>2045</v>
      </c>
      <c r="F3081" s="0" t="s">
        <v>2051</v>
      </c>
      <c r="G3081" s="0" t="s">
        <v>2056</v>
      </c>
      <c r="H3081" s="0" t="s">
        <v>2052</v>
      </c>
      <c r="I3081" s="0" t="s">
        <v>2322</v>
      </c>
      <c r="J3081" s="0" t="s">
        <v>2343</v>
      </c>
      <c r="K3081" s="272" t="n">
        <v>-4752.99295009049</v>
      </c>
    </row>
    <row r="3082" customFormat="false" ht="15" hidden="false" customHeight="false" outlineLevel="0" collapsed="false">
      <c r="A3082" s="0" t="s">
        <v>2041</v>
      </c>
      <c r="B3082" s="0" t="s">
        <v>2042</v>
      </c>
      <c r="C3082" s="0" t="s">
        <v>2339</v>
      </c>
      <c r="D3082" s="0" t="s">
        <v>2044</v>
      </c>
      <c r="E3082" s="0" t="s">
        <v>2045</v>
      </c>
      <c r="F3082" s="0" t="s">
        <v>2051</v>
      </c>
      <c r="G3082" s="0" t="s">
        <v>2057</v>
      </c>
      <c r="H3082" s="0" t="s">
        <v>2052</v>
      </c>
      <c r="I3082" s="0" t="s">
        <v>2322</v>
      </c>
      <c r="J3082" s="0" t="s">
        <v>2343</v>
      </c>
      <c r="K3082" s="272" t="n">
        <v>-4344.81614667513</v>
      </c>
    </row>
    <row r="3083" customFormat="false" ht="15" hidden="false" customHeight="false" outlineLevel="0" collapsed="false">
      <c r="A3083" s="0" t="s">
        <v>2041</v>
      </c>
      <c r="B3083" s="0" t="s">
        <v>2042</v>
      </c>
      <c r="C3083" s="0" t="s">
        <v>2339</v>
      </c>
      <c r="D3083" s="0" t="s">
        <v>2044</v>
      </c>
      <c r="E3083" s="0" t="s">
        <v>2045</v>
      </c>
      <c r="F3083" s="0" t="s">
        <v>2051</v>
      </c>
      <c r="G3083" s="0" t="s">
        <v>2058</v>
      </c>
      <c r="H3083" s="0" t="s">
        <v>2052</v>
      </c>
      <c r="I3083" s="0" t="s">
        <v>2322</v>
      </c>
      <c r="J3083" s="0" t="s">
        <v>2343</v>
      </c>
      <c r="K3083" s="272" t="n">
        <v>-1044.61438850965</v>
      </c>
    </row>
    <row r="3084" customFormat="false" ht="15" hidden="false" customHeight="false" outlineLevel="0" collapsed="false">
      <c r="A3084" s="0" t="s">
        <v>2041</v>
      </c>
      <c r="B3084" s="0" t="s">
        <v>2042</v>
      </c>
      <c r="C3084" s="0" t="s">
        <v>2339</v>
      </c>
      <c r="D3084" s="0" t="s">
        <v>2044</v>
      </c>
      <c r="E3084" s="0" t="s">
        <v>2045</v>
      </c>
      <c r="F3084" s="0" t="s">
        <v>2051</v>
      </c>
      <c r="G3084" s="0" t="s">
        <v>2059</v>
      </c>
      <c r="H3084" s="0" t="s">
        <v>2052</v>
      </c>
      <c r="I3084" s="0" t="s">
        <v>2322</v>
      </c>
      <c r="J3084" s="0" t="s">
        <v>2343</v>
      </c>
      <c r="K3084" s="272" t="n">
        <v>-3035.81930257556</v>
      </c>
    </row>
    <row r="3085" customFormat="false" ht="15" hidden="false" customHeight="false" outlineLevel="0" collapsed="false">
      <c r="A3085" s="0" t="s">
        <v>2041</v>
      </c>
      <c r="B3085" s="0" t="s">
        <v>2042</v>
      </c>
      <c r="C3085" s="0" t="s">
        <v>2339</v>
      </c>
      <c r="D3085" s="0" t="s">
        <v>2044</v>
      </c>
      <c r="E3085" s="0" t="s">
        <v>2045</v>
      </c>
      <c r="F3085" s="0" t="s">
        <v>2051</v>
      </c>
      <c r="G3085" s="0" t="s">
        <v>2060</v>
      </c>
      <c r="H3085" s="0" t="s">
        <v>2052</v>
      </c>
      <c r="I3085" s="0" t="s">
        <v>2322</v>
      </c>
      <c r="J3085" s="0" t="s">
        <v>2343</v>
      </c>
      <c r="K3085" s="272" t="n">
        <v>-139.12414708629</v>
      </c>
    </row>
    <row r="3086" customFormat="false" ht="15" hidden="false" customHeight="false" outlineLevel="0" collapsed="false">
      <c r="A3086" s="0" t="s">
        <v>2041</v>
      </c>
      <c r="B3086" s="0" t="s">
        <v>2042</v>
      </c>
      <c r="C3086" s="0" t="s">
        <v>2339</v>
      </c>
      <c r="D3086" s="0" t="s">
        <v>2044</v>
      </c>
      <c r="E3086" s="0" t="s">
        <v>2045</v>
      </c>
      <c r="F3086" s="0" t="s">
        <v>2051</v>
      </c>
      <c r="G3086" s="0" t="s">
        <v>2061</v>
      </c>
      <c r="H3086" s="0" t="s">
        <v>2052</v>
      </c>
      <c r="I3086" s="0" t="s">
        <v>2322</v>
      </c>
      <c r="J3086" s="0" t="s">
        <v>2343</v>
      </c>
      <c r="K3086" s="272" t="n">
        <v>-278.254588243657</v>
      </c>
    </row>
    <row r="3087" customFormat="false" ht="15" hidden="false" customHeight="false" outlineLevel="0" collapsed="false">
      <c r="A3087" s="0" t="s">
        <v>2041</v>
      </c>
      <c r="B3087" s="0" t="s">
        <v>2042</v>
      </c>
      <c r="C3087" s="0" t="s">
        <v>2339</v>
      </c>
      <c r="D3087" s="0" t="s">
        <v>2044</v>
      </c>
      <c r="E3087" s="0" t="s">
        <v>2045</v>
      </c>
      <c r="F3087" s="0" t="s">
        <v>2051</v>
      </c>
      <c r="G3087" s="0" t="s">
        <v>2062</v>
      </c>
      <c r="H3087" s="0" t="s">
        <v>2052</v>
      </c>
      <c r="I3087" s="0" t="s">
        <v>2322</v>
      </c>
      <c r="J3087" s="0" t="s">
        <v>2343</v>
      </c>
      <c r="K3087" s="272" t="n">
        <v>-1217.94051782843</v>
      </c>
    </row>
    <row r="3088" customFormat="false" ht="15" hidden="false" customHeight="false" outlineLevel="0" collapsed="false">
      <c r="A3088" s="0" t="s">
        <v>2041</v>
      </c>
      <c r="B3088" s="0" t="s">
        <v>2042</v>
      </c>
      <c r="C3088" s="0" t="s">
        <v>2339</v>
      </c>
      <c r="D3088" s="0" t="s">
        <v>2044</v>
      </c>
      <c r="E3088" s="0" t="s">
        <v>2045</v>
      </c>
      <c r="F3088" s="0" t="s">
        <v>2051</v>
      </c>
      <c r="G3088" s="0" t="s">
        <v>2063</v>
      </c>
      <c r="H3088" s="0" t="s">
        <v>2052</v>
      </c>
      <c r="I3088" s="0" t="s">
        <v>2322</v>
      </c>
      <c r="J3088" s="0" t="s">
        <v>2343</v>
      </c>
      <c r="K3088" s="272" t="n">
        <v>-6090.99287371293</v>
      </c>
    </row>
    <row r="3089" customFormat="false" ht="15" hidden="false" customHeight="false" outlineLevel="0" collapsed="false">
      <c r="A3089" s="0" t="s">
        <v>2041</v>
      </c>
      <c r="B3089" s="0" t="s">
        <v>2042</v>
      </c>
      <c r="C3089" s="0" t="s">
        <v>2339</v>
      </c>
      <c r="D3089" s="0" t="s">
        <v>2044</v>
      </c>
      <c r="E3089" s="0" t="s">
        <v>2045</v>
      </c>
      <c r="F3089" s="0" t="s">
        <v>2051</v>
      </c>
      <c r="G3089" s="0" t="s">
        <v>2064</v>
      </c>
      <c r="H3089" s="0" t="s">
        <v>2052</v>
      </c>
      <c r="I3089" s="0" t="s">
        <v>2322</v>
      </c>
      <c r="J3089" s="0" t="s">
        <v>2343</v>
      </c>
      <c r="K3089" s="272" t="n">
        <v>-12692.4349117716</v>
      </c>
    </row>
    <row r="3090" customFormat="false" ht="15" hidden="false" customHeight="false" outlineLevel="0" collapsed="false">
      <c r="A3090" s="0" t="s">
        <v>2041</v>
      </c>
      <c r="B3090" s="0" t="s">
        <v>2042</v>
      </c>
      <c r="C3090" s="0" t="s">
        <v>2339</v>
      </c>
      <c r="D3090" s="0" t="s">
        <v>2044</v>
      </c>
      <c r="E3090" s="0" t="s">
        <v>2045</v>
      </c>
      <c r="F3090" s="0" t="s">
        <v>2051</v>
      </c>
      <c r="G3090" s="0" t="s">
        <v>2065</v>
      </c>
      <c r="H3090" s="0" t="s">
        <v>2052</v>
      </c>
      <c r="I3090" s="0" t="s">
        <v>2322</v>
      </c>
      <c r="J3090" s="0" t="s">
        <v>2343</v>
      </c>
      <c r="K3090" s="272" t="n">
        <v>-52.2282017970518</v>
      </c>
    </row>
    <row r="3091" customFormat="false" ht="15" hidden="false" customHeight="false" outlineLevel="0" collapsed="false">
      <c r="A3091" s="0" t="s">
        <v>2041</v>
      </c>
      <c r="B3091" s="0" t="s">
        <v>2042</v>
      </c>
      <c r="C3091" s="0" t="s">
        <v>2339</v>
      </c>
      <c r="D3091" s="0" t="s">
        <v>2044</v>
      </c>
      <c r="E3091" s="0" t="s">
        <v>2045</v>
      </c>
      <c r="F3091" s="0" t="s">
        <v>2051</v>
      </c>
      <c r="G3091" s="0" t="s">
        <v>2066</v>
      </c>
      <c r="H3091" s="0" t="s">
        <v>2052</v>
      </c>
      <c r="I3091" s="0" t="s">
        <v>2322</v>
      </c>
      <c r="J3091" s="0" t="s">
        <v>2343</v>
      </c>
      <c r="K3091" s="272" t="n">
        <v>-434.47972644619</v>
      </c>
    </row>
    <row r="3092" customFormat="false" ht="15" hidden="false" customHeight="false" outlineLevel="0" collapsed="false">
      <c r="A3092" s="0" t="s">
        <v>2041</v>
      </c>
      <c r="B3092" s="0" t="s">
        <v>2042</v>
      </c>
      <c r="C3092" s="0" t="s">
        <v>2339</v>
      </c>
      <c r="D3092" s="0" t="s">
        <v>2044</v>
      </c>
      <c r="E3092" s="0" t="s">
        <v>2045</v>
      </c>
      <c r="F3092" s="0" t="s">
        <v>2051</v>
      </c>
      <c r="G3092" s="0" t="s">
        <v>2067</v>
      </c>
      <c r="H3092" s="0" t="s">
        <v>2052</v>
      </c>
      <c r="I3092" s="0" t="s">
        <v>2322</v>
      </c>
      <c r="J3092" s="0" t="s">
        <v>2343</v>
      </c>
      <c r="K3092" s="272" t="n">
        <v>-7168.16649190397</v>
      </c>
    </row>
    <row r="3093" customFormat="false" ht="15" hidden="false" customHeight="false" outlineLevel="0" collapsed="false">
      <c r="A3093" s="0" t="s">
        <v>2041</v>
      </c>
      <c r="B3093" s="0" t="s">
        <v>2042</v>
      </c>
      <c r="C3093" s="0" t="s">
        <v>2339</v>
      </c>
      <c r="D3093" s="0" t="s">
        <v>2044</v>
      </c>
      <c r="E3093" s="0" t="s">
        <v>2045</v>
      </c>
      <c r="F3093" s="0" t="s">
        <v>2051</v>
      </c>
      <c r="G3093" s="0" t="s">
        <v>2068</v>
      </c>
      <c r="H3093" s="0" t="s">
        <v>2052</v>
      </c>
      <c r="I3093" s="0" t="s">
        <v>2322</v>
      </c>
      <c r="J3093" s="0" t="s">
        <v>2343</v>
      </c>
      <c r="K3093" s="272" t="n">
        <v>-2089.2287770193</v>
      </c>
    </row>
    <row r="3094" customFormat="false" ht="15" hidden="false" customHeight="false" outlineLevel="0" collapsed="false">
      <c r="A3094" s="0" t="s">
        <v>2041</v>
      </c>
      <c r="B3094" s="0" t="s">
        <v>2042</v>
      </c>
      <c r="C3094" s="0" t="s">
        <v>2339</v>
      </c>
      <c r="D3094" s="0" t="s">
        <v>2044</v>
      </c>
      <c r="E3094" s="0" t="s">
        <v>2045</v>
      </c>
      <c r="F3094" s="0" t="s">
        <v>2051</v>
      </c>
      <c r="G3094" s="0" t="s">
        <v>2070</v>
      </c>
      <c r="H3094" s="0" t="s">
        <v>2052</v>
      </c>
      <c r="I3094" s="0" t="s">
        <v>2322</v>
      </c>
      <c r="J3094" s="0" t="s">
        <v>2343</v>
      </c>
      <c r="K3094" s="272" t="n">
        <v>-8250.50124837816</v>
      </c>
    </row>
    <row r="3095" customFormat="false" ht="15" hidden="false" customHeight="false" outlineLevel="0" collapsed="false">
      <c r="A3095" s="0" t="s">
        <v>2041</v>
      </c>
      <c r="B3095" s="0" t="s">
        <v>2042</v>
      </c>
      <c r="C3095" s="0" t="s">
        <v>2339</v>
      </c>
      <c r="D3095" s="0" t="s">
        <v>2044</v>
      </c>
      <c r="E3095" s="0" t="s">
        <v>2045</v>
      </c>
      <c r="F3095" s="0" t="s">
        <v>2051</v>
      </c>
      <c r="G3095" s="0" t="s">
        <v>2071</v>
      </c>
      <c r="H3095" s="0" t="s">
        <v>2052</v>
      </c>
      <c r="I3095" s="0" t="s">
        <v>2322</v>
      </c>
      <c r="J3095" s="0" t="s">
        <v>2343</v>
      </c>
      <c r="K3095" s="272" t="n">
        <v>-783.460791382239</v>
      </c>
    </row>
    <row r="3096" customFormat="false" ht="15" hidden="false" customHeight="false" outlineLevel="0" collapsed="false">
      <c r="A3096" s="0" t="s">
        <v>2041</v>
      </c>
      <c r="B3096" s="0" t="s">
        <v>2042</v>
      </c>
      <c r="C3096" s="0" t="s">
        <v>2339</v>
      </c>
      <c r="D3096" s="0" t="s">
        <v>2044</v>
      </c>
      <c r="E3096" s="0" t="s">
        <v>2045</v>
      </c>
      <c r="F3096" s="0" t="s">
        <v>2051</v>
      </c>
      <c r="G3096" s="0" t="s">
        <v>2072</v>
      </c>
      <c r="H3096" s="0" t="s">
        <v>2052</v>
      </c>
      <c r="I3096" s="0" t="s">
        <v>2322</v>
      </c>
      <c r="J3096" s="0" t="s">
        <v>2343</v>
      </c>
      <c r="K3096" s="272" t="n">
        <v>-6966.01351705247</v>
      </c>
    </row>
    <row r="3097" customFormat="false" ht="15" hidden="false" customHeight="false" outlineLevel="0" collapsed="false">
      <c r="A3097" s="0" t="s">
        <v>2041</v>
      </c>
      <c r="B3097" s="0" t="s">
        <v>2042</v>
      </c>
      <c r="C3097" s="0" t="s">
        <v>2339</v>
      </c>
      <c r="D3097" s="0" t="s">
        <v>2044</v>
      </c>
      <c r="E3097" s="0" t="s">
        <v>2045</v>
      </c>
      <c r="F3097" s="0" t="s">
        <v>2051</v>
      </c>
      <c r="G3097" s="0" t="s">
        <v>2073</v>
      </c>
      <c r="H3097" s="0" t="s">
        <v>2052</v>
      </c>
      <c r="I3097" s="0" t="s">
        <v>2322</v>
      </c>
      <c r="J3097" s="0" t="s">
        <v>2343</v>
      </c>
      <c r="K3097" s="272" t="n">
        <v>-15641.3205046315</v>
      </c>
    </row>
    <row r="3098" customFormat="false" ht="15" hidden="false" customHeight="false" outlineLevel="0" collapsed="false">
      <c r="A3098" s="0" t="s">
        <v>2041</v>
      </c>
      <c r="B3098" s="0" t="s">
        <v>2042</v>
      </c>
      <c r="C3098" s="0" t="s">
        <v>2339</v>
      </c>
      <c r="D3098" s="0" t="s">
        <v>2044</v>
      </c>
      <c r="E3098" s="0" t="s">
        <v>2045</v>
      </c>
      <c r="F3098" s="0" t="s">
        <v>2051</v>
      </c>
      <c r="G3098" s="0" t="s">
        <v>2074</v>
      </c>
      <c r="H3098" s="0" t="s">
        <v>2052</v>
      </c>
      <c r="I3098" s="0" t="s">
        <v>2322</v>
      </c>
      <c r="J3098" s="0" t="s">
        <v>2343</v>
      </c>
      <c r="K3098" s="272" t="n">
        <v>-4344.81614667513</v>
      </c>
    </row>
    <row r="3099" customFormat="false" ht="15" hidden="false" customHeight="false" outlineLevel="0" collapsed="false">
      <c r="A3099" s="0" t="s">
        <v>2041</v>
      </c>
      <c r="B3099" s="0" t="s">
        <v>2042</v>
      </c>
      <c r="C3099" s="0" t="s">
        <v>2339</v>
      </c>
      <c r="D3099" s="0" t="s">
        <v>2044</v>
      </c>
      <c r="E3099" s="0" t="s">
        <v>2045</v>
      </c>
      <c r="F3099" s="0" t="s">
        <v>2051</v>
      </c>
      <c r="G3099" s="0" t="s">
        <v>2075</v>
      </c>
      <c r="H3099" s="0" t="s">
        <v>2052</v>
      </c>
      <c r="I3099" s="0" t="s">
        <v>2322</v>
      </c>
      <c r="J3099" s="0" t="s">
        <v>2343</v>
      </c>
      <c r="K3099" s="272" t="n">
        <v>-10087.6713609763</v>
      </c>
    </row>
    <row r="3100" customFormat="false" ht="15" hidden="false" customHeight="false" outlineLevel="0" collapsed="false">
      <c r="A3100" s="0" t="s">
        <v>2041</v>
      </c>
      <c r="B3100" s="0" t="s">
        <v>2042</v>
      </c>
      <c r="C3100" s="0" t="s">
        <v>2339</v>
      </c>
      <c r="D3100" s="0" t="s">
        <v>2044</v>
      </c>
      <c r="E3100" s="0" t="s">
        <v>2045</v>
      </c>
      <c r="F3100" s="0" t="s">
        <v>2051</v>
      </c>
      <c r="G3100" s="0" t="s">
        <v>2076</v>
      </c>
      <c r="H3100" s="0" t="s">
        <v>2052</v>
      </c>
      <c r="I3100" s="0" t="s">
        <v>2322</v>
      </c>
      <c r="J3100" s="0" t="s">
        <v>2343</v>
      </c>
      <c r="K3100" s="272" t="n">
        <v>-8232.34285332098</v>
      </c>
    </row>
    <row r="3101" customFormat="false" ht="15" hidden="false" customHeight="false" outlineLevel="0" collapsed="false">
      <c r="A3101" s="0" t="s">
        <v>2041</v>
      </c>
      <c r="B3101" s="0" t="s">
        <v>2042</v>
      </c>
      <c r="C3101" s="0" t="s">
        <v>2339</v>
      </c>
      <c r="D3101" s="0" t="s">
        <v>2044</v>
      </c>
      <c r="E3101" s="0" t="s">
        <v>2045</v>
      </c>
      <c r="F3101" s="0" t="s">
        <v>2051</v>
      </c>
      <c r="G3101" s="0" t="s">
        <v>2077</v>
      </c>
      <c r="H3101" s="0" t="s">
        <v>2052</v>
      </c>
      <c r="I3101" s="0" t="s">
        <v>2322</v>
      </c>
      <c r="J3101" s="0" t="s">
        <v>2343</v>
      </c>
      <c r="K3101" s="272" t="n">
        <v>-522.307194254826</v>
      </c>
    </row>
    <row r="3102" customFormat="false" ht="15" hidden="false" customHeight="false" outlineLevel="0" collapsed="false">
      <c r="A3102" s="0" t="s">
        <v>2041</v>
      </c>
      <c r="B3102" s="0" t="s">
        <v>2042</v>
      </c>
      <c r="C3102" s="0" t="s">
        <v>2339</v>
      </c>
      <c r="D3102" s="0" t="s">
        <v>2044</v>
      </c>
      <c r="E3102" s="0" t="s">
        <v>2045</v>
      </c>
      <c r="F3102" s="0" t="s">
        <v>2051</v>
      </c>
      <c r="G3102" s="0" t="s">
        <v>2078</v>
      </c>
      <c r="H3102" s="0" t="s">
        <v>2052</v>
      </c>
      <c r="I3102" s="0" t="s">
        <v>2322</v>
      </c>
      <c r="J3102" s="0" t="s">
        <v>2343</v>
      </c>
      <c r="K3102" s="272" t="n">
        <v>-2071.63055428798</v>
      </c>
    </row>
    <row r="3103" customFormat="false" ht="15" hidden="false" customHeight="false" outlineLevel="0" collapsed="false">
      <c r="A3103" s="0" t="s">
        <v>2041</v>
      </c>
      <c r="B3103" s="0" t="s">
        <v>2042</v>
      </c>
      <c r="C3103" s="0" t="s">
        <v>2339</v>
      </c>
      <c r="D3103" s="0" t="s">
        <v>2044</v>
      </c>
      <c r="E3103" s="0" t="s">
        <v>2045</v>
      </c>
      <c r="F3103" s="0" t="s">
        <v>2051</v>
      </c>
      <c r="G3103" s="0" t="s">
        <v>2080</v>
      </c>
      <c r="H3103" s="0" t="s">
        <v>2052</v>
      </c>
      <c r="I3103" s="0" t="s">
        <v>2322</v>
      </c>
      <c r="J3103" s="0" t="s">
        <v>2343</v>
      </c>
      <c r="K3103" s="272" t="n">
        <v>-261.153597127413</v>
      </c>
    </row>
    <row r="3104" customFormat="false" ht="15" hidden="false" customHeight="false" outlineLevel="0" collapsed="false">
      <c r="A3104" s="0" t="s">
        <v>2041</v>
      </c>
      <c r="B3104" s="0" t="s">
        <v>2042</v>
      </c>
      <c r="C3104" s="0" t="s">
        <v>2339</v>
      </c>
      <c r="D3104" s="0" t="s">
        <v>2044</v>
      </c>
      <c r="E3104" s="0" t="s">
        <v>2045</v>
      </c>
      <c r="F3104" s="0" t="s">
        <v>2051</v>
      </c>
      <c r="G3104" s="0" t="s">
        <v>2081</v>
      </c>
      <c r="H3104" s="0" t="s">
        <v>2052</v>
      </c>
      <c r="I3104" s="0" t="s">
        <v>2322</v>
      </c>
      <c r="J3104" s="0" t="s">
        <v>2343</v>
      </c>
      <c r="K3104" s="272" t="n">
        <v>-1215.61800560101</v>
      </c>
    </row>
    <row r="3105" customFormat="false" ht="15" hidden="false" customHeight="false" outlineLevel="0" collapsed="false">
      <c r="A3105" s="0" t="s">
        <v>2041</v>
      </c>
      <c r="B3105" s="0" t="s">
        <v>2042</v>
      </c>
      <c r="C3105" s="0" t="s">
        <v>2339</v>
      </c>
      <c r="D3105" s="0" t="s">
        <v>2044</v>
      </c>
      <c r="E3105" s="0" t="s">
        <v>2045</v>
      </c>
      <c r="F3105" s="0" t="s">
        <v>2051</v>
      </c>
      <c r="G3105" s="0" t="s">
        <v>2083</v>
      </c>
      <c r="H3105" s="0" t="s">
        <v>2052</v>
      </c>
      <c r="I3105" s="0" t="s">
        <v>2322</v>
      </c>
      <c r="J3105" s="0" t="s">
        <v>2343</v>
      </c>
      <c r="K3105" s="272" t="n">
        <v>-529.847491405087</v>
      </c>
    </row>
    <row r="3106" customFormat="false" ht="15" hidden="false" customHeight="false" outlineLevel="0" collapsed="false">
      <c r="A3106" s="0" t="s">
        <v>2041</v>
      </c>
      <c r="B3106" s="0" t="s">
        <v>2042</v>
      </c>
      <c r="C3106" s="0" t="s">
        <v>2339</v>
      </c>
      <c r="D3106" s="0" t="s">
        <v>2044</v>
      </c>
      <c r="E3106" s="0" t="s">
        <v>2045</v>
      </c>
      <c r="F3106" s="0" t="s">
        <v>2051</v>
      </c>
      <c r="G3106" s="0" t="s">
        <v>2084</v>
      </c>
      <c r="H3106" s="0" t="s">
        <v>2052</v>
      </c>
      <c r="I3106" s="0" t="s">
        <v>2322</v>
      </c>
      <c r="J3106" s="0" t="s">
        <v>2343</v>
      </c>
      <c r="K3106" s="272" t="n">
        <v>-7645.01790484061</v>
      </c>
    </row>
    <row r="3107" customFormat="false" ht="15" hidden="false" customHeight="false" outlineLevel="0" collapsed="false">
      <c r="A3107" s="0" t="s">
        <v>2041</v>
      </c>
      <c r="B3107" s="0" t="s">
        <v>2042</v>
      </c>
      <c r="C3107" s="0" t="s">
        <v>2339</v>
      </c>
      <c r="D3107" s="0" t="s">
        <v>2044</v>
      </c>
      <c r="E3107" s="0" t="s">
        <v>2045</v>
      </c>
      <c r="F3107" s="0" t="s">
        <v>2051</v>
      </c>
      <c r="G3107" s="0" t="s">
        <v>2085</v>
      </c>
      <c r="H3107" s="0" t="s">
        <v>2052</v>
      </c>
      <c r="I3107" s="0" t="s">
        <v>2322</v>
      </c>
      <c r="J3107" s="0" t="s">
        <v>2343</v>
      </c>
      <c r="K3107" s="272" t="n">
        <v>-16310.4117304733</v>
      </c>
    </row>
    <row r="3108" customFormat="false" ht="15" hidden="false" customHeight="false" outlineLevel="0" collapsed="false">
      <c r="A3108" s="0" t="s">
        <v>2041</v>
      </c>
      <c r="B3108" s="0" t="s">
        <v>2042</v>
      </c>
      <c r="C3108" s="0" t="s">
        <v>2339</v>
      </c>
      <c r="D3108" s="0" t="s">
        <v>2044</v>
      </c>
      <c r="E3108" s="0" t="s">
        <v>2045</v>
      </c>
      <c r="F3108" s="0" t="s">
        <v>2051</v>
      </c>
      <c r="G3108" s="0" t="s">
        <v>2086</v>
      </c>
      <c r="H3108" s="0" t="s">
        <v>2052</v>
      </c>
      <c r="I3108" s="0" t="s">
        <v>2322</v>
      </c>
      <c r="J3108" s="0" t="s">
        <v>2343</v>
      </c>
      <c r="K3108" s="272" t="n">
        <v>-2170.08241407461</v>
      </c>
    </row>
    <row r="3109" customFormat="false" ht="15" hidden="false" customHeight="false" outlineLevel="0" collapsed="false">
      <c r="A3109" s="0" t="s">
        <v>2041</v>
      </c>
      <c r="B3109" s="0" t="s">
        <v>2042</v>
      </c>
      <c r="C3109" s="0" t="s">
        <v>2339</v>
      </c>
      <c r="D3109" s="0" t="s">
        <v>2044</v>
      </c>
      <c r="E3109" s="0" t="s">
        <v>2045</v>
      </c>
      <c r="F3109" s="0" t="s">
        <v>2051</v>
      </c>
      <c r="G3109" s="0" t="s">
        <v>2087</v>
      </c>
      <c r="H3109" s="0" t="s">
        <v>2052</v>
      </c>
      <c r="I3109" s="0" t="s">
        <v>2322</v>
      </c>
      <c r="J3109" s="0" t="s">
        <v>2343</v>
      </c>
      <c r="K3109" s="272" t="n">
        <v>-15897.8353713751</v>
      </c>
    </row>
    <row r="3110" customFormat="false" ht="15" hidden="false" customHeight="false" outlineLevel="0" collapsed="false">
      <c r="A3110" s="0" t="s">
        <v>2041</v>
      </c>
      <c r="B3110" s="0" t="s">
        <v>2042</v>
      </c>
      <c r="C3110" s="0" t="s">
        <v>2339</v>
      </c>
      <c r="D3110" s="0" t="s">
        <v>2044</v>
      </c>
      <c r="E3110" s="0" t="s">
        <v>2045</v>
      </c>
      <c r="F3110" s="0" t="s">
        <v>2051</v>
      </c>
      <c r="G3110" s="0" t="s">
        <v>2088</v>
      </c>
      <c r="H3110" s="0" t="s">
        <v>2052</v>
      </c>
      <c r="I3110" s="0" t="s">
        <v>2322</v>
      </c>
      <c r="J3110" s="0" t="s">
        <v>2343</v>
      </c>
      <c r="K3110" s="272" t="n">
        <v>-5059.86038545024</v>
      </c>
    </row>
    <row r="3111" customFormat="false" ht="15" hidden="false" customHeight="false" outlineLevel="0" collapsed="false">
      <c r="A3111" s="0" t="s">
        <v>2041</v>
      </c>
      <c r="B3111" s="0" t="s">
        <v>2042</v>
      </c>
      <c r="C3111" s="0" t="s">
        <v>2339</v>
      </c>
      <c r="D3111" s="0" t="s">
        <v>2044</v>
      </c>
      <c r="E3111" s="0" t="s">
        <v>2045</v>
      </c>
      <c r="F3111" s="0" t="s">
        <v>2051</v>
      </c>
      <c r="G3111" s="0" t="s">
        <v>2089</v>
      </c>
      <c r="H3111" s="0" t="s">
        <v>2052</v>
      </c>
      <c r="I3111" s="0" t="s">
        <v>2322</v>
      </c>
      <c r="J3111" s="0" t="s">
        <v>2343</v>
      </c>
      <c r="K3111" s="272" t="n">
        <v>-52.2282017970518</v>
      </c>
    </row>
    <row r="3112" customFormat="false" ht="15" hidden="false" customHeight="false" outlineLevel="0" collapsed="false">
      <c r="A3112" s="0" t="s">
        <v>2041</v>
      </c>
      <c r="B3112" s="0" t="s">
        <v>2042</v>
      </c>
      <c r="C3112" s="0" t="s">
        <v>2339</v>
      </c>
      <c r="D3112" s="0" t="s">
        <v>2044</v>
      </c>
      <c r="E3112" s="0" t="s">
        <v>2045</v>
      </c>
      <c r="F3112" s="0" t="s">
        <v>2051</v>
      </c>
      <c r="G3112" s="0" t="s">
        <v>2090</v>
      </c>
      <c r="H3112" s="0" t="s">
        <v>2052</v>
      </c>
      <c r="I3112" s="0" t="s">
        <v>2322</v>
      </c>
      <c r="J3112" s="0" t="s">
        <v>2343</v>
      </c>
      <c r="K3112" s="272" t="n">
        <v>-4511.17473931166</v>
      </c>
    </row>
    <row r="3113" customFormat="false" ht="15" hidden="false" customHeight="false" outlineLevel="0" collapsed="false">
      <c r="A3113" s="0" t="s">
        <v>2041</v>
      </c>
      <c r="B3113" s="0" t="s">
        <v>2042</v>
      </c>
      <c r="C3113" s="0" t="s">
        <v>2339</v>
      </c>
      <c r="D3113" s="0" t="s">
        <v>2044</v>
      </c>
      <c r="E3113" s="0" t="s">
        <v>2045</v>
      </c>
      <c r="F3113" s="0" t="s">
        <v>2051</v>
      </c>
      <c r="G3113" s="0" t="s">
        <v>2091</v>
      </c>
      <c r="H3113" s="0" t="s">
        <v>2052</v>
      </c>
      <c r="I3113" s="0" t="s">
        <v>2322</v>
      </c>
      <c r="J3113" s="0" t="s">
        <v>2343</v>
      </c>
      <c r="K3113" s="272" t="n">
        <v>-13390.3907475726</v>
      </c>
    </row>
    <row r="3114" customFormat="false" ht="15" hidden="false" customHeight="false" outlineLevel="0" collapsed="false">
      <c r="A3114" s="0" t="s">
        <v>2041</v>
      </c>
      <c r="B3114" s="0" t="s">
        <v>2042</v>
      </c>
      <c r="C3114" s="0" t="s">
        <v>2339</v>
      </c>
      <c r="D3114" s="0" t="s">
        <v>2044</v>
      </c>
      <c r="E3114" s="0" t="s">
        <v>2045</v>
      </c>
      <c r="F3114" s="0" t="s">
        <v>2051</v>
      </c>
      <c r="G3114" s="0" t="s">
        <v>2092</v>
      </c>
      <c r="H3114" s="0" t="s">
        <v>2052</v>
      </c>
      <c r="I3114" s="0" t="s">
        <v>2322</v>
      </c>
      <c r="J3114" s="0" t="s">
        <v>2343</v>
      </c>
      <c r="K3114" s="272" t="n">
        <v>-522.917719149296</v>
      </c>
    </row>
    <row r="3115" customFormat="false" ht="15" hidden="false" customHeight="false" outlineLevel="0" collapsed="false">
      <c r="A3115" s="0" t="s">
        <v>2041</v>
      </c>
      <c r="B3115" s="0" t="s">
        <v>2042</v>
      </c>
      <c r="C3115" s="0" t="s">
        <v>2339</v>
      </c>
      <c r="D3115" s="0" t="s">
        <v>2044</v>
      </c>
      <c r="E3115" s="0" t="s">
        <v>2045</v>
      </c>
      <c r="F3115" s="0" t="s">
        <v>2051</v>
      </c>
      <c r="G3115" s="0" t="s">
        <v>2093</v>
      </c>
      <c r="H3115" s="0" t="s">
        <v>2052</v>
      </c>
      <c r="I3115" s="0" t="s">
        <v>2322</v>
      </c>
      <c r="J3115" s="0" t="s">
        <v>2343</v>
      </c>
      <c r="K3115" s="272" t="n">
        <v>-1828.07517989189</v>
      </c>
    </row>
    <row r="3116" customFormat="false" ht="15" hidden="false" customHeight="false" outlineLevel="0" collapsed="false">
      <c r="A3116" s="0" t="s">
        <v>2041</v>
      </c>
      <c r="B3116" s="0" t="s">
        <v>2042</v>
      </c>
      <c r="C3116" s="0" t="s">
        <v>2339</v>
      </c>
      <c r="D3116" s="0" t="s">
        <v>2044</v>
      </c>
      <c r="E3116" s="0" t="s">
        <v>2045</v>
      </c>
      <c r="F3116" s="0" t="s">
        <v>2051</v>
      </c>
      <c r="G3116" s="0" t="s">
        <v>2094</v>
      </c>
      <c r="H3116" s="0" t="s">
        <v>2052</v>
      </c>
      <c r="I3116" s="0" t="s">
        <v>2322</v>
      </c>
      <c r="J3116" s="0" t="s">
        <v>2343</v>
      </c>
      <c r="K3116" s="272" t="n">
        <v>-10680.9001481269</v>
      </c>
    </row>
    <row r="3117" customFormat="false" ht="15" hidden="false" customHeight="false" outlineLevel="0" collapsed="false">
      <c r="A3117" s="0" t="s">
        <v>2041</v>
      </c>
      <c r="B3117" s="0" t="s">
        <v>2042</v>
      </c>
      <c r="C3117" s="0" t="s">
        <v>2339</v>
      </c>
      <c r="D3117" s="0" t="s">
        <v>2044</v>
      </c>
      <c r="E3117" s="0" t="s">
        <v>2045</v>
      </c>
      <c r="F3117" s="0" t="s">
        <v>2051</v>
      </c>
      <c r="G3117" s="0" t="s">
        <v>2095</v>
      </c>
      <c r="H3117" s="0" t="s">
        <v>2052</v>
      </c>
      <c r="I3117" s="0" t="s">
        <v>2322</v>
      </c>
      <c r="J3117" s="0" t="s">
        <v>2343</v>
      </c>
      <c r="K3117" s="272" t="n">
        <v>-13034.4421459543</v>
      </c>
    </row>
    <row r="3118" customFormat="false" ht="15" hidden="false" customHeight="false" outlineLevel="0" collapsed="false">
      <c r="A3118" s="0" t="s">
        <v>2041</v>
      </c>
      <c r="B3118" s="0" t="s">
        <v>2042</v>
      </c>
      <c r="C3118" s="0" t="s">
        <v>2339</v>
      </c>
      <c r="D3118" s="0" t="s">
        <v>2044</v>
      </c>
      <c r="E3118" s="0" t="s">
        <v>2045</v>
      </c>
      <c r="F3118" s="0" t="s">
        <v>2051</v>
      </c>
      <c r="G3118" s="0" t="s">
        <v>2096</v>
      </c>
      <c r="H3118" s="0" t="s">
        <v>2052</v>
      </c>
      <c r="I3118" s="0" t="s">
        <v>2322</v>
      </c>
      <c r="J3118" s="0" t="s">
        <v>2343</v>
      </c>
      <c r="K3118" s="272" t="n">
        <v>-5251.81696515698</v>
      </c>
    </row>
    <row r="3119" customFormat="false" ht="15" hidden="false" customHeight="false" outlineLevel="0" collapsed="false">
      <c r="A3119" s="0" t="s">
        <v>2041</v>
      </c>
      <c r="B3119" s="0" t="s">
        <v>2042</v>
      </c>
      <c r="C3119" s="0" t="s">
        <v>2339</v>
      </c>
      <c r="D3119" s="0" t="s">
        <v>2044</v>
      </c>
      <c r="E3119" s="0" t="s">
        <v>2045</v>
      </c>
      <c r="F3119" s="0" t="s">
        <v>2051</v>
      </c>
      <c r="G3119" s="0" t="s">
        <v>2098</v>
      </c>
      <c r="H3119" s="0" t="s">
        <v>2052</v>
      </c>
      <c r="I3119" s="0" t="s">
        <v>2322</v>
      </c>
      <c r="J3119" s="0" t="s">
        <v>2343</v>
      </c>
      <c r="K3119" s="272" t="n">
        <v>-138.658385826591</v>
      </c>
    </row>
    <row r="3120" customFormat="false" ht="15" hidden="false" customHeight="false" outlineLevel="0" collapsed="false">
      <c r="A3120" s="0" t="s">
        <v>2041</v>
      </c>
      <c r="B3120" s="0" t="s">
        <v>2042</v>
      </c>
      <c r="C3120" s="0" t="s">
        <v>2339</v>
      </c>
      <c r="D3120" s="0" t="s">
        <v>2105</v>
      </c>
      <c r="E3120" s="0" t="s">
        <v>2045</v>
      </c>
      <c r="F3120" s="0" t="s">
        <v>2157</v>
      </c>
      <c r="G3120" s="0" t="s">
        <v>2158</v>
      </c>
      <c r="H3120" s="0" t="s">
        <v>2126</v>
      </c>
      <c r="I3120" s="0" t="s">
        <v>2322</v>
      </c>
      <c r="J3120" s="0" t="s">
        <v>2343</v>
      </c>
      <c r="K3120" s="272" t="n">
        <v>-25363.4762759524</v>
      </c>
    </row>
    <row r="3121" customFormat="false" ht="15" hidden="false" customHeight="false" outlineLevel="0" collapsed="false">
      <c r="A3121" s="0" t="s">
        <v>2041</v>
      </c>
      <c r="B3121" s="0" t="s">
        <v>2042</v>
      </c>
      <c r="C3121" s="0" t="s">
        <v>2339</v>
      </c>
      <c r="D3121" s="0" t="s">
        <v>2105</v>
      </c>
      <c r="E3121" s="0" t="s">
        <v>2045</v>
      </c>
      <c r="F3121" s="0" t="s">
        <v>2046</v>
      </c>
      <c r="G3121" s="0" t="s">
        <v>2125</v>
      </c>
      <c r="H3121" s="0" t="s">
        <v>2126</v>
      </c>
      <c r="I3121" s="0" t="s">
        <v>2322</v>
      </c>
      <c r="J3121" s="0" t="s">
        <v>2343</v>
      </c>
      <c r="K3121" s="272" t="n">
        <v>-103270.80830754</v>
      </c>
    </row>
    <row r="3122" customFormat="false" ht="15" hidden="false" customHeight="false" outlineLevel="0" collapsed="false">
      <c r="A3122" s="0" t="s">
        <v>2041</v>
      </c>
      <c r="B3122" s="0" t="s">
        <v>2042</v>
      </c>
      <c r="C3122" s="0" t="s">
        <v>2339</v>
      </c>
      <c r="D3122" s="0" t="s">
        <v>2105</v>
      </c>
      <c r="E3122" s="0" t="s">
        <v>2045</v>
      </c>
      <c r="F3122" s="0" t="s">
        <v>2046</v>
      </c>
      <c r="G3122" s="0" t="s">
        <v>2147</v>
      </c>
      <c r="H3122" s="0" t="s">
        <v>2126</v>
      </c>
      <c r="I3122" s="0" t="s">
        <v>2322</v>
      </c>
      <c r="J3122" s="0" t="s">
        <v>2343</v>
      </c>
      <c r="K3122" s="272" t="n">
        <v>-215011.950883965</v>
      </c>
    </row>
    <row r="3123" customFormat="false" ht="15" hidden="false" customHeight="false" outlineLevel="0" collapsed="false">
      <c r="A3123" s="0" t="s">
        <v>2041</v>
      </c>
      <c r="B3123" s="0" t="s">
        <v>2042</v>
      </c>
      <c r="C3123" s="0" t="s">
        <v>2339</v>
      </c>
      <c r="D3123" s="0" t="s">
        <v>2105</v>
      </c>
      <c r="E3123" s="0" t="s">
        <v>2045</v>
      </c>
      <c r="F3123" s="0" t="s">
        <v>2051</v>
      </c>
      <c r="G3123" s="0" t="s">
        <v>2106</v>
      </c>
      <c r="H3123" s="0" t="s">
        <v>2107</v>
      </c>
      <c r="I3123" s="0" t="s">
        <v>2322</v>
      </c>
      <c r="J3123" s="0" t="s">
        <v>2343</v>
      </c>
      <c r="K3123" s="272" t="n">
        <v>-189585.332486968</v>
      </c>
    </row>
    <row r="3124" customFormat="false" ht="15" hidden="false" customHeight="false" outlineLevel="0" collapsed="false">
      <c r="A3124" s="0" t="s">
        <v>2041</v>
      </c>
      <c r="B3124" s="0" t="s">
        <v>2042</v>
      </c>
      <c r="C3124" s="0" t="s">
        <v>2339</v>
      </c>
      <c r="D3124" s="0" t="s">
        <v>2105</v>
      </c>
      <c r="E3124" s="0" t="s">
        <v>2045</v>
      </c>
      <c r="F3124" s="0" t="s">
        <v>2051</v>
      </c>
      <c r="G3124" s="0" t="s">
        <v>2110</v>
      </c>
      <c r="H3124" s="0" t="s">
        <v>2107</v>
      </c>
      <c r="I3124" s="0" t="s">
        <v>2322</v>
      </c>
      <c r="J3124" s="0" t="s">
        <v>2343</v>
      </c>
      <c r="K3124" s="272" t="n">
        <v>-55109.9674159464</v>
      </c>
    </row>
    <row r="3125" customFormat="false" ht="15" hidden="false" customHeight="false" outlineLevel="0" collapsed="false">
      <c r="A3125" s="0" t="s">
        <v>2041</v>
      </c>
      <c r="B3125" s="0" t="s">
        <v>2042</v>
      </c>
      <c r="C3125" s="0" t="s">
        <v>2339</v>
      </c>
      <c r="D3125" s="0" t="s">
        <v>2105</v>
      </c>
      <c r="E3125" s="0" t="s">
        <v>2045</v>
      </c>
      <c r="F3125" s="0" t="s">
        <v>2051</v>
      </c>
      <c r="G3125" s="0" t="s">
        <v>2114</v>
      </c>
      <c r="H3125" s="0" t="s">
        <v>2107</v>
      </c>
      <c r="I3125" s="0" t="s">
        <v>2322</v>
      </c>
      <c r="J3125" s="0" t="s">
        <v>2343</v>
      </c>
      <c r="K3125" s="272" t="n">
        <v>-41738.6791740925</v>
      </c>
    </row>
    <row r="3126" customFormat="false" ht="15" hidden="false" customHeight="false" outlineLevel="0" collapsed="false">
      <c r="A3126" s="0" t="s">
        <v>2041</v>
      </c>
      <c r="B3126" s="0" t="s">
        <v>2042</v>
      </c>
      <c r="C3126" s="0" t="s">
        <v>2339</v>
      </c>
      <c r="D3126" s="0" t="s">
        <v>2105</v>
      </c>
      <c r="E3126" s="0" t="s">
        <v>2045</v>
      </c>
      <c r="F3126" s="0" t="s">
        <v>2051</v>
      </c>
      <c r="G3126" s="0" t="s">
        <v>2123</v>
      </c>
      <c r="H3126" s="0" t="s">
        <v>2107</v>
      </c>
      <c r="I3126" s="0" t="s">
        <v>2322</v>
      </c>
      <c r="J3126" s="0" t="s">
        <v>2343</v>
      </c>
      <c r="K3126" s="272" t="n">
        <v>-36739.9782772976</v>
      </c>
    </row>
    <row r="3127" customFormat="false" ht="15" hidden="false" customHeight="false" outlineLevel="0" collapsed="false">
      <c r="A3127" s="0" t="s">
        <v>2041</v>
      </c>
      <c r="B3127" s="0" t="s">
        <v>2042</v>
      </c>
      <c r="C3127" s="0" t="s">
        <v>2339</v>
      </c>
      <c r="D3127" s="0" t="s">
        <v>2105</v>
      </c>
      <c r="E3127" s="0" t="s">
        <v>2045</v>
      </c>
      <c r="F3127" s="0" t="s">
        <v>2046</v>
      </c>
      <c r="G3127" s="0" t="s">
        <v>2129</v>
      </c>
      <c r="H3127" s="0" t="s">
        <v>2331</v>
      </c>
      <c r="I3127" s="0" t="s">
        <v>2322</v>
      </c>
      <c r="J3127" s="0" t="s">
        <v>2343</v>
      </c>
      <c r="K3127" s="272" t="n">
        <v>-3320.09102276884</v>
      </c>
    </row>
    <row r="3128" customFormat="false" ht="15" hidden="false" customHeight="false" outlineLevel="0" collapsed="false">
      <c r="A3128" s="0" t="s">
        <v>2041</v>
      </c>
      <c r="B3128" s="0" t="s">
        <v>2042</v>
      </c>
      <c r="C3128" s="0" t="s">
        <v>2339</v>
      </c>
      <c r="D3128" s="0" t="s">
        <v>2105</v>
      </c>
      <c r="E3128" s="0" t="s">
        <v>2274</v>
      </c>
      <c r="F3128" s="0" t="s">
        <v>2275</v>
      </c>
      <c r="G3128" s="0" t="s">
        <v>2276</v>
      </c>
      <c r="H3128" s="0" t="s">
        <v>2277</v>
      </c>
      <c r="I3128" s="0" t="s">
        <v>2322</v>
      </c>
      <c r="J3128" s="0" t="s">
        <v>2343</v>
      </c>
      <c r="K3128" s="272" t="n">
        <v>-153130.104279265</v>
      </c>
    </row>
    <row r="3129" customFormat="false" ht="15" hidden="false" customHeight="false" outlineLevel="0" collapsed="false">
      <c r="A3129" s="0" t="s">
        <v>2041</v>
      </c>
      <c r="B3129" s="0" t="s">
        <v>2042</v>
      </c>
      <c r="C3129" s="0" t="s">
        <v>2339</v>
      </c>
      <c r="D3129" s="0" t="s">
        <v>2279</v>
      </c>
      <c r="E3129" s="0" t="s">
        <v>2279</v>
      </c>
      <c r="F3129" s="0" t="s">
        <v>2292</v>
      </c>
      <c r="G3129" s="0" t="s">
        <v>2293</v>
      </c>
      <c r="H3129" s="0" t="s">
        <v>2291</v>
      </c>
      <c r="I3129" s="0" t="s">
        <v>2322</v>
      </c>
      <c r="J3129" s="0" t="s">
        <v>2343</v>
      </c>
      <c r="K3129" s="272" t="n">
        <v>-6874.89425007056</v>
      </c>
    </row>
    <row r="3130" customFormat="false" ht="15" hidden="false" customHeight="false" outlineLevel="0" collapsed="false">
      <c r="A3130" s="0" t="s">
        <v>2041</v>
      </c>
      <c r="B3130" s="0" t="s">
        <v>2042</v>
      </c>
      <c r="C3130" s="0" t="s">
        <v>2339</v>
      </c>
      <c r="D3130" s="0" t="s">
        <v>2105</v>
      </c>
      <c r="E3130" s="0" t="s">
        <v>2045</v>
      </c>
      <c r="F3130" s="0" t="s">
        <v>2150</v>
      </c>
      <c r="G3130" s="0" t="s">
        <v>2151</v>
      </c>
      <c r="H3130" s="0" t="s">
        <v>2154</v>
      </c>
      <c r="I3130" s="0" t="s">
        <v>2322</v>
      </c>
      <c r="J3130" s="0" t="s">
        <v>2343</v>
      </c>
      <c r="K3130" s="272" t="n">
        <v>-18369.9891386488</v>
      </c>
    </row>
    <row r="3131" customFormat="false" ht="15" hidden="false" customHeight="false" outlineLevel="0" collapsed="false">
      <c r="A3131" s="0" t="s">
        <v>2041</v>
      </c>
      <c r="B3131" s="0" t="s">
        <v>2042</v>
      </c>
      <c r="C3131" s="0" t="s">
        <v>2339</v>
      </c>
      <c r="D3131" s="0" t="s">
        <v>2105</v>
      </c>
      <c r="E3131" s="0" t="s">
        <v>2045</v>
      </c>
      <c r="F3131" s="0" t="s">
        <v>2150</v>
      </c>
      <c r="G3131" s="0" t="s">
        <v>2155</v>
      </c>
      <c r="H3131" s="0" t="s">
        <v>2154</v>
      </c>
      <c r="I3131" s="0" t="s">
        <v>2322</v>
      </c>
      <c r="J3131" s="0" t="s">
        <v>2343</v>
      </c>
      <c r="K3131" s="272" t="n">
        <v>-186909.099759093</v>
      </c>
    </row>
    <row r="3132" customFormat="false" ht="15" hidden="false" customHeight="false" outlineLevel="0" collapsed="false">
      <c r="A3132" s="0" t="s">
        <v>2041</v>
      </c>
      <c r="B3132" s="0" t="s">
        <v>2042</v>
      </c>
      <c r="C3132" s="0" t="s">
        <v>2339</v>
      </c>
      <c r="D3132" s="0" t="s">
        <v>2105</v>
      </c>
      <c r="E3132" s="0" t="s">
        <v>2045</v>
      </c>
      <c r="F3132" s="0" t="s">
        <v>2198</v>
      </c>
      <c r="G3132" s="0" t="s">
        <v>2199</v>
      </c>
      <c r="H3132" s="0" t="s">
        <v>2203</v>
      </c>
      <c r="I3132" s="0" t="s">
        <v>2322</v>
      </c>
      <c r="J3132" s="0" t="s">
        <v>2343</v>
      </c>
      <c r="K3132" s="272" t="n">
        <v>-710105.438552755</v>
      </c>
    </row>
    <row r="3133" customFormat="false" ht="15" hidden="false" customHeight="false" outlineLevel="0" collapsed="false">
      <c r="A3133" s="0" t="s">
        <v>2041</v>
      </c>
      <c r="B3133" s="0" t="s">
        <v>2042</v>
      </c>
      <c r="C3133" s="0" t="s">
        <v>2339</v>
      </c>
      <c r="D3133" s="0" t="s">
        <v>2105</v>
      </c>
      <c r="E3133" s="0" t="s">
        <v>2045</v>
      </c>
      <c r="F3133" s="0" t="s">
        <v>2250</v>
      </c>
      <c r="G3133" s="0" t="s">
        <v>2251</v>
      </c>
      <c r="H3133" s="0" t="s">
        <v>2252</v>
      </c>
      <c r="J3133" s="0" t="s">
        <v>2345</v>
      </c>
      <c r="K3133" s="272" t="n">
        <v>-4414.21881001013</v>
      </c>
    </row>
    <row r="3134" customFormat="false" ht="15" hidden="false" customHeight="false" outlineLevel="0" collapsed="false">
      <c r="A3134" s="0" t="s">
        <v>2041</v>
      </c>
      <c r="B3134" s="0" t="s">
        <v>2042</v>
      </c>
      <c r="C3134" s="0" t="s">
        <v>2339</v>
      </c>
      <c r="D3134" s="0" t="s">
        <v>2105</v>
      </c>
      <c r="E3134" s="0" t="s">
        <v>2045</v>
      </c>
      <c r="F3134" s="0" t="s">
        <v>2250</v>
      </c>
      <c r="G3134" s="0" t="s">
        <v>2251</v>
      </c>
      <c r="H3134" s="0" t="s">
        <v>2253</v>
      </c>
      <c r="J3134" s="0" t="s">
        <v>2345</v>
      </c>
      <c r="K3134" s="272" t="n">
        <v>-8955.6099472666</v>
      </c>
    </row>
    <row r="3135" customFormat="false" ht="15" hidden="false" customHeight="false" outlineLevel="0" collapsed="false">
      <c r="A3135" s="0" t="s">
        <v>2041</v>
      </c>
      <c r="B3135" s="0" t="s">
        <v>2042</v>
      </c>
      <c r="C3135" s="0" t="s">
        <v>2339</v>
      </c>
      <c r="D3135" s="0" t="s">
        <v>2105</v>
      </c>
      <c r="E3135" s="0" t="s">
        <v>2045</v>
      </c>
      <c r="F3135" s="0" t="s">
        <v>2150</v>
      </c>
      <c r="G3135" s="0" t="s">
        <v>2151</v>
      </c>
      <c r="H3135" s="0" t="s">
        <v>2271</v>
      </c>
      <c r="J3135" s="0" t="s">
        <v>2345</v>
      </c>
      <c r="K3135" s="272" t="n">
        <v>-75.6374189275594</v>
      </c>
    </row>
    <row r="3136" customFormat="false" ht="15" hidden="false" customHeight="false" outlineLevel="0" collapsed="false">
      <c r="A3136" s="0" t="s">
        <v>2041</v>
      </c>
      <c r="B3136" s="0" t="s">
        <v>2042</v>
      </c>
      <c r="C3136" s="0" t="s">
        <v>2339</v>
      </c>
      <c r="D3136" s="0" t="s">
        <v>2105</v>
      </c>
      <c r="E3136" s="0" t="s">
        <v>2045</v>
      </c>
      <c r="F3136" s="0" t="s">
        <v>2150</v>
      </c>
      <c r="G3136" s="0" t="s">
        <v>2151</v>
      </c>
      <c r="H3136" s="0" t="s">
        <v>2152</v>
      </c>
      <c r="J3136" s="0" t="s">
        <v>2345</v>
      </c>
      <c r="K3136" s="272" t="n">
        <v>-7830.62757450536</v>
      </c>
    </row>
    <row r="3137" customFormat="false" ht="15" hidden="false" customHeight="false" outlineLevel="0" collapsed="false">
      <c r="A3137" s="0" t="s">
        <v>2041</v>
      </c>
      <c r="B3137" s="0" t="s">
        <v>2042</v>
      </c>
      <c r="C3137" s="0" t="s">
        <v>2339</v>
      </c>
      <c r="D3137" s="0" t="s">
        <v>2105</v>
      </c>
      <c r="E3137" s="0" t="s">
        <v>2045</v>
      </c>
      <c r="F3137" s="0" t="s">
        <v>2150</v>
      </c>
      <c r="G3137" s="0" t="s">
        <v>2332</v>
      </c>
      <c r="H3137" s="0" t="s">
        <v>2152</v>
      </c>
      <c r="J3137" s="0" t="s">
        <v>2345</v>
      </c>
      <c r="K3137" s="272" t="n">
        <v>-904.067158865786</v>
      </c>
    </row>
    <row r="3138" customFormat="false" ht="15" hidden="false" customHeight="false" outlineLevel="0" collapsed="false">
      <c r="A3138" s="0" t="s">
        <v>2041</v>
      </c>
      <c r="B3138" s="0" t="s">
        <v>2042</v>
      </c>
      <c r="C3138" s="0" t="s">
        <v>2339</v>
      </c>
      <c r="D3138" s="0" t="s">
        <v>2105</v>
      </c>
      <c r="E3138" s="0" t="s">
        <v>2045</v>
      </c>
      <c r="F3138" s="0" t="s">
        <v>2150</v>
      </c>
      <c r="G3138" s="0" t="s">
        <v>2151</v>
      </c>
      <c r="H3138" s="0" t="s">
        <v>2273</v>
      </c>
      <c r="J3138" s="0" t="s">
        <v>2345</v>
      </c>
      <c r="K3138" s="272" t="n">
        <v>-75.6374189275594</v>
      </c>
    </row>
    <row r="3139" customFormat="false" ht="15" hidden="false" customHeight="false" outlineLevel="0" collapsed="false">
      <c r="A3139" s="0" t="s">
        <v>2041</v>
      </c>
      <c r="B3139" s="0" t="s">
        <v>2042</v>
      </c>
      <c r="C3139" s="0" t="s">
        <v>2339</v>
      </c>
      <c r="D3139" s="0" t="s">
        <v>2279</v>
      </c>
      <c r="E3139" s="0" t="s">
        <v>2279</v>
      </c>
      <c r="F3139" s="0" t="s">
        <v>2292</v>
      </c>
      <c r="G3139" s="0" t="s">
        <v>2293</v>
      </c>
      <c r="H3139" s="0" t="s">
        <v>2336</v>
      </c>
      <c r="J3139" s="0" t="s">
        <v>2345</v>
      </c>
      <c r="K3139" s="272" t="n">
        <v>-12.3256781154048</v>
      </c>
    </row>
    <row r="3140" customFormat="false" ht="15" hidden="false" customHeight="false" outlineLevel="0" collapsed="false">
      <c r="A3140" s="0" t="s">
        <v>2041</v>
      </c>
      <c r="B3140" s="0" t="s">
        <v>2042</v>
      </c>
      <c r="C3140" s="0" t="s">
        <v>2339</v>
      </c>
      <c r="D3140" s="0" t="s">
        <v>2279</v>
      </c>
      <c r="E3140" s="0" t="s">
        <v>2279</v>
      </c>
      <c r="F3140" s="0" t="s">
        <v>2292</v>
      </c>
      <c r="G3140" s="0" t="s">
        <v>2293</v>
      </c>
      <c r="H3140" s="0" t="s">
        <v>2337</v>
      </c>
      <c r="J3140" s="0" t="s">
        <v>2345</v>
      </c>
      <c r="K3140" s="272" t="n">
        <v>-14.3798822402034</v>
      </c>
    </row>
    <row r="3141" customFormat="false" ht="15" hidden="false" customHeight="false" outlineLevel="0" collapsed="false">
      <c r="A3141" s="0" t="s">
        <v>2041</v>
      </c>
      <c r="B3141" s="0" t="s">
        <v>2042</v>
      </c>
      <c r="C3141" s="0" t="s">
        <v>2339</v>
      </c>
      <c r="D3141" s="0" t="s">
        <v>2279</v>
      </c>
      <c r="E3141" s="0" t="s">
        <v>2279</v>
      </c>
      <c r="F3141" s="0" t="s">
        <v>2292</v>
      </c>
      <c r="G3141" s="0" t="s">
        <v>2293</v>
      </c>
      <c r="H3141" s="0" t="s">
        <v>2338</v>
      </c>
      <c r="J3141" s="0" t="s">
        <v>2345</v>
      </c>
      <c r="K3141" s="272" t="n">
        <v>-14.3798822402034</v>
      </c>
    </row>
    <row r="3142" customFormat="false" ht="15" hidden="false" customHeight="false" outlineLevel="0" collapsed="false">
      <c r="A3142" s="0" t="s">
        <v>2041</v>
      </c>
      <c r="B3142" s="0" t="s">
        <v>2042</v>
      </c>
      <c r="C3142" s="0" t="s">
        <v>2339</v>
      </c>
      <c r="D3142" s="0" t="s">
        <v>2105</v>
      </c>
      <c r="E3142" s="0" t="s">
        <v>2045</v>
      </c>
      <c r="F3142" s="0" t="s">
        <v>2250</v>
      </c>
      <c r="G3142" s="0" t="s">
        <v>2251</v>
      </c>
      <c r="H3142" s="0" t="s">
        <v>2255</v>
      </c>
      <c r="J3142" s="0" t="s">
        <v>2345</v>
      </c>
      <c r="K3142" s="272" t="n">
        <v>-2279.92910509439</v>
      </c>
    </row>
    <row r="3143" customFormat="false" ht="15" hidden="false" customHeight="false" outlineLevel="0" collapsed="false">
      <c r="A3143" s="0" t="s">
        <v>2041</v>
      </c>
      <c r="B3143" s="0" t="s">
        <v>2042</v>
      </c>
      <c r="C3143" s="0" t="s">
        <v>2339</v>
      </c>
      <c r="D3143" s="0" t="s">
        <v>2105</v>
      </c>
      <c r="E3143" s="0" t="s">
        <v>2045</v>
      </c>
      <c r="F3143" s="0" t="s">
        <v>2099</v>
      </c>
      <c r="G3143" s="0" t="s">
        <v>2232</v>
      </c>
      <c r="H3143" s="0" t="s">
        <v>2100</v>
      </c>
      <c r="J3143" s="0" t="s">
        <v>2345</v>
      </c>
      <c r="K3143" s="272" t="n">
        <v>-221.280990079054</v>
      </c>
    </row>
    <row r="3144" customFormat="false" ht="15" hidden="false" customHeight="false" outlineLevel="0" collapsed="false">
      <c r="A3144" s="0" t="s">
        <v>2041</v>
      </c>
      <c r="B3144" s="0" t="s">
        <v>2042</v>
      </c>
      <c r="C3144" s="0" t="s">
        <v>2339</v>
      </c>
      <c r="D3144" s="0" t="s">
        <v>2105</v>
      </c>
      <c r="E3144" s="0" t="s">
        <v>2045</v>
      </c>
      <c r="F3144" s="0" t="s">
        <v>2099</v>
      </c>
      <c r="G3144" s="0" t="s">
        <v>2240</v>
      </c>
      <c r="H3144" s="0" t="s">
        <v>2100</v>
      </c>
      <c r="J3144" s="0" t="s">
        <v>2345</v>
      </c>
      <c r="K3144" s="272" t="n">
        <v>-3917.9351530107</v>
      </c>
    </row>
    <row r="3145" customFormat="false" ht="15" hidden="false" customHeight="false" outlineLevel="0" collapsed="false">
      <c r="A3145" s="0" t="s">
        <v>2041</v>
      </c>
      <c r="B3145" s="0" t="s">
        <v>2042</v>
      </c>
      <c r="C3145" s="0" t="s">
        <v>2339</v>
      </c>
      <c r="D3145" s="0" t="s">
        <v>2044</v>
      </c>
      <c r="E3145" s="0" t="s">
        <v>2045</v>
      </c>
      <c r="F3145" s="0" t="s">
        <v>2099</v>
      </c>
      <c r="G3145" s="0" t="s">
        <v>2064</v>
      </c>
      <c r="H3145" s="0" t="s">
        <v>2100</v>
      </c>
      <c r="J3145" s="0" t="s">
        <v>2345</v>
      </c>
      <c r="K3145" s="272" t="n">
        <v>-149.819077659858</v>
      </c>
    </row>
    <row r="3146" customFormat="false" ht="15" hidden="false" customHeight="false" outlineLevel="0" collapsed="false">
      <c r="A3146" s="0" t="s">
        <v>2041</v>
      </c>
      <c r="B3146" s="0" t="s">
        <v>2042</v>
      </c>
      <c r="C3146" s="0" t="s">
        <v>2339</v>
      </c>
      <c r="D3146" s="0" t="s">
        <v>2044</v>
      </c>
      <c r="E3146" s="0" t="s">
        <v>2045</v>
      </c>
      <c r="F3146" s="0" t="s">
        <v>2099</v>
      </c>
      <c r="G3146" s="0" t="s">
        <v>2076</v>
      </c>
      <c r="H3146" s="0" t="s">
        <v>2100</v>
      </c>
      <c r="J3146" s="0" t="s">
        <v>2345</v>
      </c>
      <c r="K3146" s="272" t="n">
        <v>-99.8793851065718</v>
      </c>
    </row>
    <row r="3147" customFormat="false" ht="15" hidden="false" customHeight="false" outlineLevel="0" collapsed="false">
      <c r="A3147" s="0" t="s">
        <v>2041</v>
      </c>
      <c r="B3147" s="0" t="s">
        <v>2042</v>
      </c>
      <c r="C3147" s="0" t="s">
        <v>2339</v>
      </c>
      <c r="D3147" s="0" t="s">
        <v>2044</v>
      </c>
      <c r="E3147" s="0" t="s">
        <v>2045</v>
      </c>
      <c r="F3147" s="0" t="s">
        <v>2099</v>
      </c>
      <c r="G3147" s="0" t="s">
        <v>2081</v>
      </c>
      <c r="H3147" s="0" t="s">
        <v>2100</v>
      </c>
      <c r="J3147" s="0" t="s">
        <v>2345</v>
      </c>
      <c r="K3147" s="272" t="n">
        <v>-99.8793851065718</v>
      </c>
    </row>
    <row r="3148" customFormat="false" ht="15" hidden="false" customHeight="false" outlineLevel="0" collapsed="false">
      <c r="A3148" s="0" t="s">
        <v>2041</v>
      </c>
      <c r="B3148" s="0" t="s">
        <v>2042</v>
      </c>
      <c r="C3148" s="0" t="s">
        <v>2339</v>
      </c>
      <c r="D3148" s="0" t="s">
        <v>2044</v>
      </c>
      <c r="E3148" s="0" t="s">
        <v>2045</v>
      </c>
      <c r="F3148" s="0" t="s">
        <v>2099</v>
      </c>
      <c r="G3148" s="0" t="s">
        <v>2085</v>
      </c>
      <c r="H3148" s="0" t="s">
        <v>2100</v>
      </c>
      <c r="J3148" s="0" t="s">
        <v>2345</v>
      </c>
      <c r="K3148" s="272" t="n">
        <v>-289.714685541468</v>
      </c>
    </row>
    <row r="3149" customFormat="false" ht="15" hidden="false" customHeight="false" outlineLevel="0" collapsed="false">
      <c r="A3149" s="0" t="s">
        <v>2041</v>
      </c>
      <c r="B3149" s="0" t="s">
        <v>2042</v>
      </c>
      <c r="C3149" s="0" t="s">
        <v>2339</v>
      </c>
      <c r="D3149" s="0" t="s">
        <v>2044</v>
      </c>
      <c r="E3149" s="0" t="s">
        <v>2045</v>
      </c>
      <c r="F3149" s="0" t="s">
        <v>2099</v>
      </c>
      <c r="G3149" s="0" t="s">
        <v>2086</v>
      </c>
      <c r="H3149" s="0" t="s">
        <v>2100</v>
      </c>
      <c r="J3149" s="0" t="s">
        <v>2345</v>
      </c>
      <c r="K3149" s="272" t="n">
        <v>-49.9396925532859</v>
      </c>
    </row>
    <row r="3150" customFormat="false" ht="15" hidden="false" customHeight="false" outlineLevel="0" collapsed="false">
      <c r="A3150" s="0" t="s">
        <v>2041</v>
      </c>
      <c r="B3150" s="0" t="s">
        <v>2042</v>
      </c>
      <c r="C3150" s="0" t="s">
        <v>2339</v>
      </c>
      <c r="D3150" s="0" t="s">
        <v>2044</v>
      </c>
      <c r="E3150" s="0" t="s">
        <v>2045</v>
      </c>
      <c r="F3150" s="0" t="s">
        <v>2099</v>
      </c>
      <c r="G3150" s="0" t="s">
        <v>2095</v>
      </c>
      <c r="H3150" s="0" t="s">
        <v>2100</v>
      </c>
      <c r="J3150" s="0" t="s">
        <v>2345</v>
      </c>
      <c r="K3150" s="272" t="n">
        <v>-49.9396925532859</v>
      </c>
    </row>
    <row r="3151" customFormat="false" ht="15" hidden="false" customHeight="false" outlineLevel="0" collapsed="false">
      <c r="A3151" s="0" t="s">
        <v>2041</v>
      </c>
      <c r="B3151" s="0" t="s">
        <v>2042</v>
      </c>
      <c r="C3151" s="0" t="s">
        <v>2339</v>
      </c>
      <c r="D3151" s="0" t="s">
        <v>2044</v>
      </c>
      <c r="E3151" s="0" t="s">
        <v>2045</v>
      </c>
      <c r="F3151" s="0" t="s">
        <v>2099</v>
      </c>
      <c r="G3151" s="0" t="s">
        <v>2096</v>
      </c>
      <c r="H3151" s="0" t="s">
        <v>2100</v>
      </c>
      <c r="J3151" s="0" t="s">
        <v>2345</v>
      </c>
      <c r="K3151" s="272" t="n">
        <v>-75.2443500738405</v>
      </c>
    </row>
    <row r="3152" customFormat="false" ht="15" hidden="false" customHeight="false" outlineLevel="0" collapsed="false">
      <c r="A3152" s="0" t="s">
        <v>2041</v>
      </c>
      <c r="B3152" s="0" t="s">
        <v>2042</v>
      </c>
      <c r="C3152" s="0" t="s">
        <v>2339</v>
      </c>
      <c r="D3152" s="0" t="s">
        <v>2105</v>
      </c>
      <c r="E3152" s="0" t="s">
        <v>2045</v>
      </c>
      <c r="F3152" s="0" t="s">
        <v>2099</v>
      </c>
      <c r="G3152" s="0" t="s">
        <v>2232</v>
      </c>
      <c r="H3152" s="0" t="s">
        <v>2233</v>
      </c>
      <c r="J3152" s="0" t="s">
        <v>2345</v>
      </c>
      <c r="K3152" s="272" t="n">
        <v>-146.036640005213</v>
      </c>
    </row>
    <row r="3153" customFormat="false" ht="15" hidden="false" customHeight="false" outlineLevel="0" collapsed="false">
      <c r="A3153" s="0" t="s">
        <v>2041</v>
      </c>
      <c r="B3153" s="0" t="s">
        <v>2042</v>
      </c>
      <c r="C3153" s="0" t="s">
        <v>2339</v>
      </c>
      <c r="D3153" s="0" t="s">
        <v>2105</v>
      </c>
      <c r="E3153" s="0" t="s">
        <v>2045</v>
      </c>
      <c r="F3153" s="0" t="s">
        <v>2099</v>
      </c>
      <c r="G3153" s="0" t="s">
        <v>2236</v>
      </c>
      <c r="H3153" s="0" t="s">
        <v>2233</v>
      </c>
      <c r="J3153" s="0" t="s">
        <v>2345</v>
      </c>
      <c r="K3153" s="272" t="n">
        <v>-4046.95114092664</v>
      </c>
    </row>
    <row r="3154" customFormat="false" ht="15" hidden="false" customHeight="false" outlineLevel="0" collapsed="false">
      <c r="A3154" s="0" t="s">
        <v>2041</v>
      </c>
      <c r="B3154" s="0" t="s">
        <v>2042</v>
      </c>
      <c r="C3154" s="0" t="s">
        <v>2339</v>
      </c>
      <c r="D3154" s="0" t="s">
        <v>2105</v>
      </c>
      <c r="E3154" s="0" t="s">
        <v>2045</v>
      </c>
      <c r="F3154" s="0" t="s">
        <v>2099</v>
      </c>
      <c r="G3154" s="0" t="s">
        <v>2238</v>
      </c>
      <c r="H3154" s="0" t="s">
        <v>2239</v>
      </c>
      <c r="J3154" s="0" t="s">
        <v>2345</v>
      </c>
      <c r="K3154" s="272" t="n">
        <v>-9345.16330559277</v>
      </c>
    </row>
    <row r="3155" customFormat="false" ht="15" hidden="false" customHeight="false" outlineLevel="0" collapsed="false">
      <c r="A3155" s="0" t="s">
        <v>2041</v>
      </c>
      <c r="B3155" s="0" t="s">
        <v>2042</v>
      </c>
      <c r="C3155" s="0" t="s">
        <v>2339</v>
      </c>
      <c r="D3155" s="0" t="s">
        <v>2105</v>
      </c>
      <c r="E3155" s="0" t="s">
        <v>2045</v>
      </c>
      <c r="F3155" s="0" t="s">
        <v>2099</v>
      </c>
      <c r="G3155" s="0" t="s">
        <v>2236</v>
      </c>
      <c r="H3155" s="0" t="s">
        <v>2237</v>
      </c>
      <c r="J3155" s="0" t="s">
        <v>2345</v>
      </c>
      <c r="K3155" s="272" t="n">
        <v>-146.036640005213</v>
      </c>
    </row>
    <row r="3156" customFormat="false" ht="15" hidden="false" customHeight="false" outlineLevel="0" collapsed="false">
      <c r="A3156" s="0" t="s">
        <v>2041</v>
      </c>
      <c r="B3156" s="0" t="s">
        <v>2042</v>
      </c>
      <c r="C3156" s="0" t="s">
        <v>2339</v>
      </c>
      <c r="D3156" s="0" t="s">
        <v>2105</v>
      </c>
      <c r="E3156" s="0" t="s">
        <v>2045</v>
      </c>
      <c r="F3156" s="0" t="s">
        <v>2099</v>
      </c>
      <c r="G3156" s="0" t="s">
        <v>2241</v>
      </c>
      <c r="H3156" s="0" t="s">
        <v>2242</v>
      </c>
      <c r="J3156" s="0" t="s">
        <v>2345</v>
      </c>
      <c r="K3156" s="272" t="n">
        <v>-1940.18704589663</v>
      </c>
    </row>
    <row r="3157" customFormat="false" ht="15" hidden="false" customHeight="false" outlineLevel="0" collapsed="false">
      <c r="A3157" s="0" t="s">
        <v>2041</v>
      </c>
      <c r="B3157" s="0" t="s">
        <v>2042</v>
      </c>
      <c r="C3157" s="0" t="s">
        <v>2339</v>
      </c>
      <c r="D3157" s="0" t="s">
        <v>2105</v>
      </c>
      <c r="E3157" s="0" t="s">
        <v>2045</v>
      </c>
      <c r="F3157" s="0" t="s">
        <v>2099</v>
      </c>
      <c r="G3157" s="0" t="s">
        <v>2243</v>
      </c>
      <c r="H3157" s="0" t="s">
        <v>2244</v>
      </c>
      <c r="J3157" s="0" t="s">
        <v>2345</v>
      </c>
      <c r="K3157" s="272" t="n">
        <v>-6450.64470710864</v>
      </c>
    </row>
    <row r="3158" customFormat="false" ht="15" hidden="false" customHeight="false" outlineLevel="0" collapsed="false">
      <c r="A3158" s="0" t="s">
        <v>2041</v>
      </c>
      <c r="B3158" s="0" t="s">
        <v>2042</v>
      </c>
      <c r="C3158" s="0" t="s">
        <v>2339</v>
      </c>
      <c r="D3158" s="0" t="s">
        <v>2105</v>
      </c>
      <c r="E3158" s="0" t="s">
        <v>2045</v>
      </c>
      <c r="F3158" s="0" t="s">
        <v>2099</v>
      </c>
      <c r="G3158" s="0" t="s">
        <v>2248</v>
      </c>
      <c r="H3158" s="0" t="s">
        <v>2244</v>
      </c>
      <c r="J3158" s="0" t="s">
        <v>2345</v>
      </c>
      <c r="K3158" s="272" t="n">
        <v>-149.819077659858</v>
      </c>
    </row>
    <row r="3159" customFormat="false" ht="15" hidden="false" customHeight="false" outlineLevel="0" collapsed="false">
      <c r="A3159" s="0" t="s">
        <v>2041</v>
      </c>
      <c r="B3159" s="0" t="s">
        <v>2042</v>
      </c>
      <c r="C3159" s="0" t="s">
        <v>2339</v>
      </c>
      <c r="D3159" s="0" t="s">
        <v>2105</v>
      </c>
      <c r="E3159" s="0" t="s">
        <v>2045</v>
      </c>
      <c r="F3159" s="0" t="s">
        <v>2099</v>
      </c>
      <c r="G3159" s="0" t="s">
        <v>2243</v>
      </c>
      <c r="H3159" s="0" t="s">
        <v>2245</v>
      </c>
      <c r="J3159" s="0" t="s">
        <v>2345</v>
      </c>
      <c r="K3159" s="272" t="n">
        <v>-2833.67942850752</v>
      </c>
    </row>
    <row r="3160" customFormat="false" ht="15" hidden="false" customHeight="false" outlineLevel="0" collapsed="false">
      <c r="A3160" s="0" t="s">
        <v>2041</v>
      </c>
      <c r="B3160" s="0" t="s">
        <v>2042</v>
      </c>
      <c r="C3160" s="0" t="s">
        <v>2339</v>
      </c>
      <c r="D3160" s="0" t="s">
        <v>2105</v>
      </c>
      <c r="E3160" s="0" t="s">
        <v>2045</v>
      </c>
      <c r="F3160" s="0" t="s">
        <v>2099</v>
      </c>
      <c r="G3160" s="0" t="s">
        <v>2248</v>
      </c>
      <c r="H3160" s="0" t="s">
        <v>2245</v>
      </c>
      <c r="J3160" s="0" t="s">
        <v>2345</v>
      </c>
      <c r="K3160" s="272" t="n">
        <v>-75.2443500738405</v>
      </c>
    </row>
    <row r="3161" customFormat="false" ht="15" hidden="false" customHeight="false" outlineLevel="0" collapsed="false">
      <c r="A3161" s="0" t="s">
        <v>2041</v>
      </c>
      <c r="B3161" s="0" t="s">
        <v>2042</v>
      </c>
      <c r="C3161" s="0" t="s">
        <v>2339</v>
      </c>
      <c r="D3161" s="0" t="s">
        <v>2105</v>
      </c>
      <c r="E3161" s="0" t="s">
        <v>2045</v>
      </c>
      <c r="F3161" s="0" t="s">
        <v>2099</v>
      </c>
      <c r="G3161" s="0" t="s">
        <v>2249</v>
      </c>
      <c r="H3161" s="0" t="s">
        <v>2245</v>
      </c>
      <c r="J3161" s="0" t="s">
        <v>2345</v>
      </c>
      <c r="K3161" s="272" t="n">
        <v>-857.520008679719</v>
      </c>
    </row>
    <row r="3162" customFormat="false" ht="15" hidden="false" customHeight="false" outlineLevel="0" collapsed="false">
      <c r="A3162" s="0" t="s">
        <v>2041</v>
      </c>
      <c r="B3162" s="0" t="s">
        <v>2042</v>
      </c>
      <c r="C3162" s="0" t="s">
        <v>2339</v>
      </c>
      <c r="D3162" s="0" t="s">
        <v>2105</v>
      </c>
      <c r="E3162" s="0" t="s">
        <v>2045</v>
      </c>
      <c r="F3162" s="0" t="s">
        <v>2099</v>
      </c>
      <c r="G3162" s="0" t="s">
        <v>2243</v>
      </c>
      <c r="H3162" s="0" t="s">
        <v>2247</v>
      </c>
      <c r="J3162" s="0" t="s">
        <v>2345</v>
      </c>
      <c r="K3162" s="272" t="n">
        <v>-4238.44385902639</v>
      </c>
    </row>
    <row r="3163" customFormat="false" ht="15" hidden="false" customHeight="false" outlineLevel="0" collapsed="false">
      <c r="A3163" s="0" t="s">
        <v>2041</v>
      </c>
      <c r="B3163" s="0" t="s">
        <v>2042</v>
      </c>
      <c r="C3163" s="0" t="s">
        <v>2339</v>
      </c>
      <c r="D3163" s="0" t="s">
        <v>2105</v>
      </c>
      <c r="E3163" s="0" t="s">
        <v>2045</v>
      </c>
      <c r="F3163" s="0" t="s">
        <v>2099</v>
      </c>
      <c r="G3163" s="0" t="s">
        <v>2232</v>
      </c>
      <c r="H3163" s="0" t="s">
        <v>2234</v>
      </c>
      <c r="J3163" s="0" t="s">
        <v>2345</v>
      </c>
      <c r="K3163" s="272" t="n">
        <v>-2305.91281512832</v>
      </c>
    </row>
    <row r="3164" customFormat="false" ht="15" hidden="false" customHeight="false" outlineLevel="0" collapsed="false">
      <c r="A3164" s="0" t="s">
        <v>2041</v>
      </c>
      <c r="B3164" s="0" t="s">
        <v>2042</v>
      </c>
      <c r="C3164" s="0" t="s">
        <v>2339</v>
      </c>
      <c r="D3164" s="0" t="s">
        <v>2105</v>
      </c>
      <c r="E3164" s="0" t="s">
        <v>2045</v>
      </c>
      <c r="F3164" s="0" t="s">
        <v>2198</v>
      </c>
      <c r="G3164" s="0" t="s">
        <v>2199</v>
      </c>
      <c r="H3164" s="0" t="s">
        <v>2200</v>
      </c>
      <c r="J3164" s="0" t="s">
        <v>2345</v>
      </c>
      <c r="K3164" s="272" t="n">
        <v>-5050.24628774903</v>
      </c>
    </row>
    <row r="3165" customFormat="false" ht="15" hidden="false" customHeight="false" outlineLevel="0" collapsed="false">
      <c r="A3165" s="0" t="s">
        <v>2041</v>
      </c>
      <c r="B3165" s="0" t="s">
        <v>2042</v>
      </c>
      <c r="C3165" s="0" t="s">
        <v>2339</v>
      </c>
      <c r="D3165" s="0" t="s">
        <v>2279</v>
      </c>
      <c r="E3165" s="0" t="s">
        <v>2279</v>
      </c>
      <c r="F3165" s="0" t="s">
        <v>2292</v>
      </c>
      <c r="G3165" s="0" t="s">
        <v>2293</v>
      </c>
      <c r="H3165" s="0" t="s">
        <v>2200</v>
      </c>
      <c r="J3165" s="0" t="s">
        <v>2345</v>
      </c>
      <c r="K3165" s="272" t="n">
        <v>-53.4111207112163</v>
      </c>
    </row>
    <row r="3166" customFormat="false" ht="15" hidden="false" customHeight="false" outlineLevel="0" collapsed="false">
      <c r="A3166" s="0" t="s">
        <v>2041</v>
      </c>
      <c r="B3166" s="0" t="s">
        <v>2042</v>
      </c>
      <c r="C3166" s="0" t="s">
        <v>2339</v>
      </c>
      <c r="D3166" s="0" t="s">
        <v>2105</v>
      </c>
      <c r="E3166" s="0" t="s">
        <v>2045</v>
      </c>
      <c r="F3166" s="0" t="s">
        <v>2198</v>
      </c>
      <c r="G3166" s="0" t="s">
        <v>2199</v>
      </c>
      <c r="H3166" s="0" t="s">
        <v>2202</v>
      </c>
      <c r="J3166" s="0" t="s">
        <v>2345</v>
      </c>
      <c r="K3166" s="272" t="n">
        <v>-3081.74441136628</v>
      </c>
    </row>
    <row r="3167" customFormat="false" ht="15" hidden="false" customHeight="false" outlineLevel="0" collapsed="false">
      <c r="A3167" s="0" t="s">
        <v>2041</v>
      </c>
      <c r="B3167" s="0" t="s">
        <v>2042</v>
      </c>
      <c r="C3167" s="0" t="s">
        <v>2339</v>
      </c>
      <c r="D3167" s="0" t="s">
        <v>2279</v>
      </c>
      <c r="E3167" s="0" t="s">
        <v>2279</v>
      </c>
      <c r="F3167" s="0" t="s">
        <v>2292</v>
      </c>
      <c r="G3167" s="0" t="s">
        <v>2293</v>
      </c>
      <c r="H3167" s="0" t="s">
        <v>2202</v>
      </c>
      <c r="J3167" s="0" t="s">
        <v>2345</v>
      </c>
      <c r="K3167" s="272" t="n">
        <v>-28.7598551537294</v>
      </c>
    </row>
    <row r="3168" customFormat="false" ht="15" hidden="false" customHeight="false" outlineLevel="0" collapsed="false">
      <c r="A3168" s="0" t="s">
        <v>2041</v>
      </c>
      <c r="B3168" s="0" t="s">
        <v>2042</v>
      </c>
      <c r="C3168" s="0" t="s">
        <v>2339</v>
      </c>
      <c r="D3168" s="0" t="s">
        <v>2105</v>
      </c>
      <c r="E3168" s="0" t="s">
        <v>2045</v>
      </c>
      <c r="F3168" s="0" t="s">
        <v>2099</v>
      </c>
      <c r="G3168" s="0" t="s">
        <v>2232</v>
      </c>
      <c r="H3168" s="0" t="s">
        <v>2235</v>
      </c>
      <c r="J3168" s="0" t="s">
        <v>2345</v>
      </c>
      <c r="K3168" s="272" t="n">
        <v>-2396.0478102689</v>
      </c>
    </row>
    <row r="3169" customFormat="false" ht="15" hidden="false" customHeight="false" outlineLevel="0" collapsed="false">
      <c r="A3169" s="0" t="s">
        <v>2041</v>
      </c>
      <c r="B3169" s="0" t="s">
        <v>2042</v>
      </c>
      <c r="C3169" s="0" t="s">
        <v>2339</v>
      </c>
      <c r="D3169" s="0" t="s">
        <v>2105</v>
      </c>
      <c r="E3169" s="0" t="s">
        <v>2045</v>
      </c>
      <c r="F3169" s="0" t="s">
        <v>2099</v>
      </c>
      <c r="G3169" s="0" t="s">
        <v>2240</v>
      </c>
      <c r="H3169" s="0" t="s">
        <v>2235</v>
      </c>
      <c r="J3169" s="0" t="s">
        <v>2345</v>
      </c>
      <c r="K3169" s="272" t="n">
        <v>-146.036640005213</v>
      </c>
    </row>
    <row r="3170" customFormat="false" ht="15" hidden="false" customHeight="false" outlineLevel="0" collapsed="false">
      <c r="A3170" s="0" t="s">
        <v>2041</v>
      </c>
      <c r="B3170" s="0" t="s">
        <v>2042</v>
      </c>
      <c r="C3170" s="0" t="s">
        <v>2339</v>
      </c>
      <c r="D3170" s="0" t="s">
        <v>2105</v>
      </c>
      <c r="E3170" s="0" t="s">
        <v>2045</v>
      </c>
      <c r="F3170" s="0" t="s">
        <v>2176</v>
      </c>
      <c r="G3170" s="0" t="s">
        <v>2181</v>
      </c>
      <c r="H3170" s="0" t="s">
        <v>2182</v>
      </c>
      <c r="J3170" s="0" t="s">
        <v>2345</v>
      </c>
      <c r="K3170" s="272" t="n">
        <v>-766.119485974821</v>
      </c>
    </row>
    <row r="3171" customFormat="false" ht="15" hidden="false" customHeight="false" outlineLevel="0" collapsed="false">
      <c r="A3171" s="0" t="s">
        <v>2041</v>
      </c>
      <c r="B3171" s="0" t="s">
        <v>2042</v>
      </c>
      <c r="C3171" s="0" t="s">
        <v>2339</v>
      </c>
      <c r="D3171" s="0" t="s">
        <v>2105</v>
      </c>
      <c r="E3171" s="0" t="s">
        <v>2045</v>
      </c>
      <c r="F3171" s="0" t="s">
        <v>2215</v>
      </c>
      <c r="G3171" s="0" t="s">
        <v>2218</v>
      </c>
      <c r="H3171" s="0" t="s">
        <v>2182</v>
      </c>
      <c r="J3171" s="0" t="s">
        <v>2345</v>
      </c>
      <c r="K3171" s="272" t="n">
        <v>-4.33246202988308</v>
      </c>
    </row>
    <row r="3172" customFormat="false" ht="15" hidden="false" customHeight="false" outlineLevel="0" collapsed="false">
      <c r="A3172" s="0" t="s">
        <v>2041</v>
      </c>
      <c r="B3172" s="0" t="s">
        <v>2042</v>
      </c>
      <c r="C3172" s="0" t="s">
        <v>2339</v>
      </c>
      <c r="D3172" s="0" t="s">
        <v>2105</v>
      </c>
      <c r="E3172" s="0" t="s">
        <v>2045</v>
      </c>
      <c r="F3172" s="0" t="s">
        <v>2176</v>
      </c>
      <c r="G3172" s="0" t="s">
        <v>2181</v>
      </c>
      <c r="H3172" s="0" t="s">
        <v>2183</v>
      </c>
      <c r="J3172" s="0" t="s">
        <v>2345</v>
      </c>
      <c r="K3172" s="272" t="n">
        <v>-48.1920549323913</v>
      </c>
    </row>
    <row r="3173" customFormat="false" ht="15" hidden="false" customHeight="false" outlineLevel="0" collapsed="false">
      <c r="A3173" s="0" t="s">
        <v>2041</v>
      </c>
      <c r="B3173" s="0" t="s">
        <v>2042</v>
      </c>
      <c r="C3173" s="0" t="s">
        <v>2339</v>
      </c>
      <c r="D3173" s="0" t="s">
        <v>2105</v>
      </c>
      <c r="E3173" s="0" t="s">
        <v>2045</v>
      </c>
      <c r="F3173" s="0" t="s">
        <v>2215</v>
      </c>
      <c r="G3173" s="0" t="s">
        <v>2218</v>
      </c>
      <c r="H3173" s="0" t="s">
        <v>2183</v>
      </c>
      <c r="J3173" s="0" t="s">
        <v>2345</v>
      </c>
      <c r="K3173" s="272" t="n">
        <v>-1431.42537959973</v>
      </c>
    </row>
    <row r="3174" customFormat="false" ht="15" hidden="false" customHeight="false" outlineLevel="0" collapsed="false">
      <c r="A3174" s="0" t="s">
        <v>2041</v>
      </c>
      <c r="B3174" s="0" t="s">
        <v>2042</v>
      </c>
      <c r="C3174" s="0" t="s">
        <v>2339</v>
      </c>
      <c r="D3174" s="0" t="s">
        <v>2105</v>
      </c>
      <c r="E3174" s="0" t="s">
        <v>2045</v>
      </c>
      <c r="F3174" s="0" t="s">
        <v>2176</v>
      </c>
      <c r="G3174" s="0" t="s">
        <v>2181</v>
      </c>
      <c r="H3174" s="0" t="s">
        <v>2184</v>
      </c>
      <c r="J3174" s="0" t="s">
        <v>2345</v>
      </c>
      <c r="K3174" s="272" t="n">
        <v>-278.357035818751</v>
      </c>
    </row>
    <row r="3175" customFormat="false" ht="15" hidden="false" customHeight="false" outlineLevel="0" collapsed="false">
      <c r="A3175" s="0" t="s">
        <v>2041</v>
      </c>
      <c r="B3175" s="0" t="s">
        <v>2042</v>
      </c>
      <c r="C3175" s="0" t="s">
        <v>2339</v>
      </c>
      <c r="D3175" s="0" t="s">
        <v>2105</v>
      </c>
      <c r="E3175" s="0" t="s">
        <v>2045</v>
      </c>
      <c r="F3175" s="0" t="s">
        <v>2176</v>
      </c>
      <c r="G3175" s="0" t="s">
        <v>2181</v>
      </c>
      <c r="H3175" s="0" t="s">
        <v>2185</v>
      </c>
      <c r="J3175" s="0" t="s">
        <v>2345</v>
      </c>
      <c r="K3175" s="272" t="n">
        <v>-750.942766575106</v>
      </c>
    </row>
    <row r="3176" customFormat="false" ht="15" hidden="false" customHeight="false" outlineLevel="0" collapsed="false">
      <c r="A3176" s="0" t="s">
        <v>2041</v>
      </c>
      <c r="B3176" s="0" t="s">
        <v>2042</v>
      </c>
      <c r="C3176" s="0" t="s">
        <v>2339</v>
      </c>
      <c r="D3176" s="0" t="s">
        <v>2105</v>
      </c>
      <c r="E3176" s="0" t="s">
        <v>2045</v>
      </c>
      <c r="F3176" s="0" t="s">
        <v>2215</v>
      </c>
      <c r="G3176" s="0" t="s">
        <v>2218</v>
      </c>
      <c r="H3176" s="0" t="s">
        <v>2185</v>
      </c>
      <c r="J3176" s="0" t="s">
        <v>2345</v>
      </c>
      <c r="K3176" s="272" t="n">
        <v>-1017.04403341022</v>
      </c>
    </row>
    <row r="3177" customFormat="false" ht="15" hidden="false" customHeight="false" outlineLevel="0" collapsed="false">
      <c r="A3177" s="0" t="s">
        <v>2041</v>
      </c>
      <c r="B3177" s="0" t="s">
        <v>2042</v>
      </c>
      <c r="C3177" s="0" t="s">
        <v>2339</v>
      </c>
      <c r="D3177" s="0" t="s">
        <v>2105</v>
      </c>
      <c r="E3177" s="0" t="s">
        <v>2045</v>
      </c>
      <c r="F3177" s="0" t="s">
        <v>2204</v>
      </c>
      <c r="G3177" s="0" t="s">
        <v>2212</v>
      </c>
      <c r="H3177" s="0" t="s">
        <v>2213</v>
      </c>
      <c r="J3177" s="0" t="s">
        <v>2345</v>
      </c>
      <c r="K3177" s="272" t="n">
        <v>-205.338715816144</v>
      </c>
    </row>
    <row r="3178" customFormat="false" ht="15" hidden="false" customHeight="false" outlineLevel="0" collapsed="false">
      <c r="A3178" s="0" t="s">
        <v>2041</v>
      </c>
      <c r="B3178" s="0" t="s">
        <v>2042</v>
      </c>
      <c r="C3178" s="0" t="s">
        <v>2339</v>
      </c>
      <c r="D3178" s="0" t="s">
        <v>2105</v>
      </c>
      <c r="E3178" s="0" t="s">
        <v>2045</v>
      </c>
      <c r="F3178" s="0" t="s">
        <v>2176</v>
      </c>
      <c r="G3178" s="0" t="s">
        <v>2181</v>
      </c>
      <c r="H3178" s="0" t="s">
        <v>2186</v>
      </c>
      <c r="J3178" s="0" t="s">
        <v>2345</v>
      </c>
      <c r="K3178" s="272" t="n">
        <v>-675.318223259364</v>
      </c>
    </row>
    <row r="3179" customFormat="false" ht="15" hidden="false" customHeight="false" outlineLevel="0" collapsed="false">
      <c r="A3179" s="0" t="s">
        <v>2041</v>
      </c>
      <c r="B3179" s="0" t="s">
        <v>2042</v>
      </c>
      <c r="C3179" s="0" t="s">
        <v>2339</v>
      </c>
      <c r="D3179" s="0" t="s">
        <v>2105</v>
      </c>
      <c r="E3179" s="0" t="s">
        <v>2045</v>
      </c>
      <c r="F3179" s="0" t="s">
        <v>2215</v>
      </c>
      <c r="G3179" s="0" t="s">
        <v>2218</v>
      </c>
      <c r="H3179" s="0" t="s">
        <v>2186</v>
      </c>
      <c r="J3179" s="0" t="s">
        <v>2345</v>
      </c>
      <c r="K3179" s="272" t="n">
        <v>-48.1920549323913</v>
      </c>
    </row>
    <row r="3180" customFormat="false" ht="15" hidden="false" customHeight="false" outlineLevel="0" collapsed="false">
      <c r="A3180" s="0" t="s">
        <v>2041</v>
      </c>
      <c r="B3180" s="0" t="s">
        <v>2042</v>
      </c>
      <c r="C3180" s="0" t="s">
        <v>2339</v>
      </c>
      <c r="D3180" s="0" t="s">
        <v>2105</v>
      </c>
      <c r="E3180" s="0" t="s">
        <v>2045</v>
      </c>
      <c r="F3180" s="0" t="s">
        <v>2256</v>
      </c>
      <c r="G3180" s="0" t="s">
        <v>2262</v>
      </c>
      <c r="H3180" s="0" t="s">
        <v>2263</v>
      </c>
      <c r="J3180" s="0" t="s">
        <v>2345</v>
      </c>
      <c r="K3180" s="272" t="n">
        <v>-351.392583752662</v>
      </c>
    </row>
    <row r="3181" customFormat="false" ht="15" hidden="false" customHeight="false" outlineLevel="0" collapsed="false">
      <c r="A3181" s="0" t="s">
        <v>2041</v>
      </c>
      <c r="B3181" s="0" t="s">
        <v>2042</v>
      </c>
      <c r="C3181" s="0" t="s">
        <v>2339</v>
      </c>
      <c r="D3181" s="0" t="s">
        <v>2105</v>
      </c>
      <c r="E3181" s="0" t="s">
        <v>2045</v>
      </c>
      <c r="F3181" s="0" t="s">
        <v>2176</v>
      </c>
      <c r="G3181" s="0" t="s">
        <v>2188</v>
      </c>
      <c r="H3181" s="0" t="s">
        <v>2189</v>
      </c>
      <c r="J3181" s="0" t="s">
        <v>2345</v>
      </c>
      <c r="K3181" s="272" t="n">
        <v>-3398.50422885671</v>
      </c>
    </row>
    <row r="3182" customFormat="false" ht="15" hidden="false" customHeight="false" outlineLevel="0" collapsed="false">
      <c r="A3182" s="0" t="s">
        <v>2041</v>
      </c>
      <c r="B3182" s="0" t="s">
        <v>2042</v>
      </c>
      <c r="C3182" s="0" t="s">
        <v>2339</v>
      </c>
      <c r="D3182" s="0" t="s">
        <v>2105</v>
      </c>
      <c r="E3182" s="0" t="s">
        <v>2045</v>
      </c>
      <c r="F3182" s="0" t="s">
        <v>2215</v>
      </c>
      <c r="G3182" s="0" t="s">
        <v>2223</v>
      </c>
      <c r="H3182" s="0" t="s">
        <v>2189</v>
      </c>
      <c r="J3182" s="0" t="s">
        <v>2345</v>
      </c>
      <c r="K3182" s="272" t="n">
        <v>-146.036640005213</v>
      </c>
    </row>
    <row r="3183" customFormat="false" ht="15" hidden="false" customHeight="false" outlineLevel="0" collapsed="false">
      <c r="A3183" s="0" t="s">
        <v>2041</v>
      </c>
      <c r="B3183" s="0" t="s">
        <v>2042</v>
      </c>
      <c r="C3183" s="0" t="s">
        <v>2339</v>
      </c>
      <c r="D3183" s="0" t="s">
        <v>2105</v>
      </c>
      <c r="E3183" s="0" t="s">
        <v>2045</v>
      </c>
      <c r="F3183" s="0" t="s">
        <v>2176</v>
      </c>
      <c r="G3183" s="0" t="s">
        <v>2190</v>
      </c>
      <c r="H3183" s="0" t="s">
        <v>2191</v>
      </c>
      <c r="J3183" s="0" t="s">
        <v>2345</v>
      </c>
      <c r="K3183" s="272" t="n">
        <v>-4223.09993801969</v>
      </c>
    </row>
    <row r="3184" customFormat="false" ht="15" hidden="false" customHeight="false" outlineLevel="0" collapsed="false">
      <c r="A3184" s="0" t="s">
        <v>2041</v>
      </c>
      <c r="B3184" s="0" t="s">
        <v>2042</v>
      </c>
      <c r="C3184" s="0" t="s">
        <v>2339</v>
      </c>
      <c r="D3184" s="0" t="s">
        <v>2105</v>
      </c>
      <c r="E3184" s="0" t="s">
        <v>2045</v>
      </c>
      <c r="F3184" s="0" t="s">
        <v>2204</v>
      </c>
      <c r="G3184" s="0" t="s">
        <v>2210</v>
      </c>
      <c r="H3184" s="0" t="s">
        <v>2211</v>
      </c>
      <c r="J3184" s="0" t="s">
        <v>2345</v>
      </c>
      <c r="K3184" s="272" t="n">
        <v>-967.39150326979</v>
      </c>
    </row>
    <row r="3185" customFormat="false" ht="15" hidden="false" customHeight="false" outlineLevel="0" collapsed="false">
      <c r="A3185" s="0" t="s">
        <v>2041</v>
      </c>
      <c r="B3185" s="0" t="s">
        <v>2042</v>
      </c>
      <c r="C3185" s="0" t="s">
        <v>2339</v>
      </c>
      <c r="D3185" s="0" t="s">
        <v>2105</v>
      </c>
      <c r="E3185" s="0" t="s">
        <v>2045</v>
      </c>
      <c r="F3185" s="0" t="s">
        <v>2204</v>
      </c>
      <c r="G3185" s="0" t="s">
        <v>2205</v>
      </c>
      <c r="H3185" s="0" t="s">
        <v>2206</v>
      </c>
      <c r="J3185" s="0" t="s">
        <v>2345</v>
      </c>
      <c r="K3185" s="272" t="n">
        <v>-235.345601176378</v>
      </c>
    </row>
    <row r="3186" customFormat="false" ht="15" hidden="false" customHeight="false" outlineLevel="0" collapsed="false">
      <c r="A3186" s="0" t="s">
        <v>2041</v>
      </c>
      <c r="B3186" s="0" t="s">
        <v>2042</v>
      </c>
      <c r="C3186" s="0" t="s">
        <v>2339</v>
      </c>
      <c r="D3186" s="0" t="s">
        <v>2105</v>
      </c>
      <c r="E3186" s="0" t="s">
        <v>2045</v>
      </c>
      <c r="F3186" s="0" t="s">
        <v>2204</v>
      </c>
      <c r="G3186" s="0" t="s">
        <v>2212</v>
      </c>
      <c r="H3186" s="0" t="s">
        <v>2206</v>
      </c>
      <c r="J3186" s="0" t="s">
        <v>2345</v>
      </c>
      <c r="K3186" s="272" t="n">
        <v>-205.338715816144</v>
      </c>
    </row>
    <row r="3187" customFormat="false" ht="15" hidden="false" customHeight="false" outlineLevel="0" collapsed="false">
      <c r="A3187" s="0" t="s">
        <v>2041</v>
      </c>
      <c r="B3187" s="0" t="s">
        <v>2042</v>
      </c>
      <c r="C3187" s="0" t="s">
        <v>2339</v>
      </c>
      <c r="D3187" s="0" t="s">
        <v>2105</v>
      </c>
      <c r="E3187" s="0" t="s">
        <v>2045</v>
      </c>
      <c r="F3187" s="0" t="s">
        <v>2204</v>
      </c>
      <c r="G3187" s="0" t="s">
        <v>2214</v>
      </c>
      <c r="H3187" s="0" t="s">
        <v>2206</v>
      </c>
      <c r="J3187" s="0" t="s">
        <v>2345</v>
      </c>
      <c r="K3187" s="272" t="n">
        <v>-205.338715816144</v>
      </c>
    </row>
    <row r="3188" customFormat="false" ht="15" hidden="false" customHeight="false" outlineLevel="0" collapsed="false">
      <c r="A3188" s="0" t="s">
        <v>2041</v>
      </c>
      <c r="B3188" s="0" t="s">
        <v>2042</v>
      </c>
      <c r="C3188" s="0" t="s">
        <v>2339</v>
      </c>
      <c r="D3188" s="0" t="s">
        <v>2105</v>
      </c>
      <c r="E3188" s="0" t="s">
        <v>2045</v>
      </c>
      <c r="F3188" s="0" t="s">
        <v>2204</v>
      </c>
      <c r="G3188" s="0" t="s">
        <v>2205</v>
      </c>
      <c r="H3188" s="0" t="s">
        <v>2207</v>
      </c>
      <c r="J3188" s="0" t="s">
        <v>2345</v>
      </c>
      <c r="K3188" s="272" t="n">
        <v>-235.345601176378</v>
      </c>
    </row>
    <row r="3189" customFormat="false" ht="15" hidden="false" customHeight="false" outlineLevel="0" collapsed="false">
      <c r="A3189" s="0" t="s">
        <v>2041</v>
      </c>
      <c r="B3189" s="0" t="s">
        <v>2042</v>
      </c>
      <c r="C3189" s="0" t="s">
        <v>2339</v>
      </c>
      <c r="D3189" s="0" t="s">
        <v>2105</v>
      </c>
      <c r="E3189" s="0" t="s">
        <v>2045</v>
      </c>
      <c r="F3189" s="0" t="s">
        <v>2204</v>
      </c>
      <c r="G3189" s="0" t="s">
        <v>2209</v>
      </c>
      <c r="H3189" s="0" t="s">
        <v>2207</v>
      </c>
      <c r="J3189" s="0" t="s">
        <v>2345</v>
      </c>
      <c r="K3189" s="272" t="n">
        <v>-556.713980964179</v>
      </c>
    </row>
    <row r="3190" customFormat="false" ht="15" hidden="false" customHeight="false" outlineLevel="0" collapsed="false">
      <c r="A3190" s="0" t="s">
        <v>2041</v>
      </c>
      <c r="B3190" s="0" t="s">
        <v>2042</v>
      </c>
      <c r="C3190" s="0" t="s">
        <v>2339</v>
      </c>
      <c r="D3190" s="0" t="s">
        <v>2105</v>
      </c>
      <c r="E3190" s="0" t="s">
        <v>2045</v>
      </c>
      <c r="F3190" s="0" t="s">
        <v>2163</v>
      </c>
      <c r="G3190" s="0" t="s">
        <v>2168</v>
      </c>
      <c r="H3190" s="0" t="s">
        <v>2169</v>
      </c>
      <c r="J3190" s="0" t="s">
        <v>2345</v>
      </c>
      <c r="K3190" s="272" t="n">
        <v>-11121.8902884957</v>
      </c>
    </row>
    <row r="3191" customFormat="false" ht="15" hidden="false" customHeight="false" outlineLevel="0" collapsed="false">
      <c r="A3191" s="0" t="s">
        <v>2041</v>
      </c>
      <c r="B3191" s="0" t="s">
        <v>2042</v>
      </c>
      <c r="C3191" s="0" t="s">
        <v>2339</v>
      </c>
      <c r="D3191" s="0" t="s">
        <v>2105</v>
      </c>
      <c r="E3191" s="0" t="s">
        <v>2045</v>
      </c>
      <c r="F3191" s="0" t="s">
        <v>2163</v>
      </c>
      <c r="G3191" s="0" t="s">
        <v>2168</v>
      </c>
      <c r="H3191" s="0" t="s">
        <v>2165</v>
      </c>
      <c r="J3191" s="0" t="s">
        <v>2345</v>
      </c>
      <c r="K3191" s="272" t="n">
        <v>-56.4334439020257</v>
      </c>
    </row>
    <row r="3192" customFormat="false" ht="15" hidden="false" customHeight="false" outlineLevel="0" collapsed="false">
      <c r="A3192" s="0" t="s">
        <v>2041</v>
      </c>
      <c r="B3192" s="0" t="s">
        <v>2042</v>
      </c>
      <c r="C3192" s="0" t="s">
        <v>2339</v>
      </c>
      <c r="D3192" s="0" t="s">
        <v>2105</v>
      </c>
      <c r="E3192" s="0" t="s">
        <v>2045</v>
      </c>
      <c r="F3192" s="0" t="s">
        <v>2163</v>
      </c>
      <c r="G3192" s="0" t="s">
        <v>2170</v>
      </c>
      <c r="H3192" s="0" t="s">
        <v>2165</v>
      </c>
      <c r="J3192" s="0" t="s">
        <v>2345</v>
      </c>
      <c r="K3192" s="272" t="n">
        <v>-13687.7891802325</v>
      </c>
    </row>
    <row r="3193" customFormat="false" ht="15" hidden="false" customHeight="false" outlineLevel="0" collapsed="false">
      <c r="A3193" s="0" t="s">
        <v>2041</v>
      </c>
      <c r="B3193" s="0" t="s">
        <v>2042</v>
      </c>
      <c r="C3193" s="0" t="s">
        <v>2339</v>
      </c>
      <c r="D3193" s="0" t="s">
        <v>2105</v>
      </c>
      <c r="E3193" s="0" t="s">
        <v>2045</v>
      </c>
      <c r="F3193" s="0" t="s">
        <v>2163</v>
      </c>
      <c r="G3193" s="0" t="s">
        <v>2170</v>
      </c>
      <c r="H3193" s="0" t="s">
        <v>2171</v>
      </c>
      <c r="J3193" s="0" t="s">
        <v>2345</v>
      </c>
      <c r="K3193" s="272" t="n">
        <v>-1460.36640005213</v>
      </c>
    </row>
    <row r="3194" customFormat="false" ht="15" hidden="false" customHeight="false" outlineLevel="0" collapsed="false">
      <c r="A3194" s="0" t="s">
        <v>2041</v>
      </c>
      <c r="B3194" s="0" t="s">
        <v>2042</v>
      </c>
      <c r="C3194" s="0" t="s">
        <v>2339</v>
      </c>
      <c r="D3194" s="0" t="s">
        <v>2105</v>
      </c>
      <c r="E3194" s="0" t="s">
        <v>2045</v>
      </c>
      <c r="F3194" s="0" t="s">
        <v>2192</v>
      </c>
      <c r="G3194" s="0" t="s">
        <v>2195</v>
      </c>
      <c r="H3194" s="0" t="s">
        <v>2171</v>
      </c>
      <c r="J3194" s="0" t="s">
        <v>2345</v>
      </c>
      <c r="K3194" s="272" t="n">
        <v>-4936.90989348026</v>
      </c>
    </row>
    <row r="3195" customFormat="false" ht="15" hidden="false" customHeight="false" outlineLevel="0" collapsed="false">
      <c r="A3195" s="0" t="s">
        <v>2041</v>
      </c>
      <c r="B3195" s="0" t="s">
        <v>2042</v>
      </c>
      <c r="C3195" s="0" t="s">
        <v>2339</v>
      </c>
      <c r="D3195" s="0" t="s">
        <v>2105</v>
      </c>
      <c r="E3195" s="0" t="s">
        <v>2045</v>
      </c>
      <c r="F3195" s="0" t="s">
        <v>2163</v>
      </c>
      <c r="G3195" s="0" t="s">
        <v>2174</v>
      </c>
      <c r="H3195" s="0" t="s">
        <v>2175</v>
      </c>
      <c r="J3195" s="0" t="s">
        <v>2345</v>
      </c>
      <c r="K3195" s="272" t="n">
        <v>-5467.73609678588</v>
      </c>
    </row>
    <row r="3196" customFormat="false" ht="15" hidden="false" customHeight="false" outlineLevel="0" collapsed="false">
      <c r="A3196" s="0" t="s">
        <v>2041</v>
      </c>
      <c r="B3196" s="0" t="s">
        <v>2042</v>
      </c>
      <c r="C3196" s="0" t="s">
        <v>2339</v>
      </c>
      <c r="D3196" s="0" t="s">
        <v>2105</v>
      </c>
      <c r="E3196" s="0" t="s">
        <v>2045</v>
      </c>
      <c r="F3196" s="0" t="s">
        <v>2163</v>
      </c>
      <c r="G3196" s="0" t="s">
        <v>2172</v>
      </c>
      <c r="H3196" s="0" t="s">
        <v>2173</v>
      </c>
      <c r="J3196" s="0" t="s">
        <v>2345</v>
      </c>
      <c r="K3196" s="272" t="n">
        <v>-4125.92941842751</v>
      </c>
    </row>
    <row r="3197" customFormat="false" ht="15" hidden="false" customHeight="false" outlineLevel="0" collapsed="false">
      <c r="A3197" s="0" t="s">
        <v>2041</v>
      </c>
      <c r="B3197" s="0" t="s">
        <v>2042</v>
      </c>
      <c r="C3197" s="0" t="s">
        <v>2339</v>
      </c>
      <c r="D3197" s="0" t="s">
        <v>2105</v>
      </c>
      <c r="E3197" s="0" t="s">
        <v>2045</v>
      </c>
      <c r="F3197" s="0" t="s">
        <v>2163</v>
      </c>
      <c r="G3197" s="0" t="s">
        <v>2164</v>
      </c>
      <c r="H3197" s="0" t="s">
        <v>2166</v>
      </c>
      <c r="J3197" s="0" t="s">
        <v>2345</v>
      </c>
      <c r="K3197" s="272" t="n">
        <v>-6761.22785785966</v>
      </c>
    </row>
    <row r="3198" customFormat="false" ht="15" hidden="false" customHeight="false" outlineLevel="0" collapsed="false">
      <c r="A3198" s="0" t="s">
        <v>2041</v>
      </c>
      <c r="B3198" s="0" t="s">
        <v>2042</v>
      </c>
      <c r="C3198" s="0" t="s">
        <v>2339</v>
      </c>
      <c r="D3198" s="0" t="s">
        <v>2105</v>
      </c>
      <c r="E3198" s="0" t="s">
        <v>2045</v>
      </c>
      <c r="F3198" s="0" t="s">
        <v>2163</v>
      </c>
      <c r="G3198" s="0" t="s">
        <v>2168</v>
      </c>
      <c r="H3198" s="0" t="s">
        <v>2166</v>
      </c>
      <c r="J3198" s="0" t="s">
        <v>2345</v>
      </c>
      <c r="K3198" s="272" t="n">
        <v>-265.468911082904</v>
      </c>
    </row>
    <row r="3199" customFormat="false" ht="15" hidden="false" customHeight="false" outlineLevel="0" collapsed="false">
      <c r="A3199" s="0" t="s">
        <v>2041</v>
      </c>
      <c r="B3199" s="0" t="s">
        <v>2042</v>
      </c>
      <c r="C3199" s="0" t="s">
        <v>2339</v>
      </c>
      <c r="D3199" s="0" t="s">
        <v>2105</v>
      </c>
      <c r="E3199" s="0" t="s">
        <v>2045</v>
      </c>
      <c r="F3199" s="0" t="s">
        <v>2176</v>
      </c>
      <c r="G3199" s="0" t="s">
        <v>2177</v>
      </c>
      <c r="H3199" s="0" t="s">
        <v>2178</v>
      </c>
      <c r="J3199" s="0" t="s">
        <v>2345</v>
      </c>
      <c r="K3199" s="272" t="n">
        <v>-1286.89727166357</v>
      </c>
    </row>
    <row r="3200" customFormat="false" ht="15" hidden="false" customHeight="false" outlineLevel="0" collapsed="false">
      <c r="A3200" s="0" t="s">
        <v>2041</v>
      </c>
      <c r="B3200" s="0" t="s">
        <v>2042</v>
      </c>
      <c r="C3200" s="0" t="s">
        <v>2339</v>
      </c>
      <c r="D3200" s="0" t="s">
        <v>2105</v>
      </c>
      <c r="E3200" s="0" t="s">
        <v>2045</v>
      </c>
      <c r="F3200" s="0" t="s">
        <v>2176</v>
      </c>
      <c r="G3200" s="0" t="s">
        <v>2181</v>
      </c>
      <c r="H3200" s="0" t="s">
        <v>2187</v>
      </c>
      <c r="J3200" s="0" t="s">
        <v>2345</v>
      </c>
      <c r="K3200" s="272" t="n">
        <v>-1204.59980651352</v>
      </c>
    </row>
    <row r="3201" customFormat="false" ht="15" hidden="false" customHeight="false" outlineLevel="0" collapsed="false">
      <c r="A3201" s="0" t="s">
        <v>2041</v>
      </c>
      <c r="B3201" s="0" t="s">
        <v>2042</v>
      </c>
      <c r="C3201" s="0" t="s">
        <v>2339</v>
      </c>
      <c r="D3201" s="0" t="s">
        <v>2105</v>
      </c>
      <c r="E3201" s="0" t="s">
        <v>2045</v>
      </c>
      <c r="F3201" s="0" t="s">
        <v>2204</v>
      </c>
      <c r="G3201" s="0" t="s">
        <v>2205</v>
      </c>
      <c r="H3201" s="0" t="s">
        <v>2208</v>
      </c>
      <c r="J3201" s="0" t="s">
        <v>2345</v>
      </c>
      <c r="K3201" s="272" t="n">
        <v>-470.691293026079</v>
      </c>
    </row>
    <row r="3202" customFormat="false" ht="15" hidden="false" customHeight="false" outlineLevel="0" collapsed="false">
      <c r="A3202" s="0" t="s">
        <v>2041</v>
      </c>
      <c r="B3202" s="0" t="s">
        <v>2042</v>
      </c>
      <c r="C3202" s="0" t="s">
        <v>2339</v>
      </c>
      <c r="D3202" s="0" t="s">
        <v>2105</v>
      </c>
      <c r="E3202" s="0" t="s">
        <v>2045</v>
      </c>
      <c r="F3202" s="0" t="s">
        <v>2204</v>
      </c>
      <c r="G3202" s="0" t="s">
        <v>2212</v>
      </c>
      <c r="H3202" s="0" t="s">
        <v>2208</v>
      </c>
      <c r="J3202" s="0" t="s">
        <v>2345</v>
      </c>
      <c r="K3202" s="272" t="n">
        <v>-1113.428143275</v>
      </c>
    </row>
    <row r="3203" customFormat="false" ht="15" hidden="false" customHeight="false" outlineLevel="0" collapsed="false">
      <c r="A3203" s="0" t="s">
        <v>2041</v>
      </c>
      <c r="B3203" s="0" t="s">
        <v>2042</v>
      </c>
      <c r="C3203" s="0" t="s">
        <v>2339</v>
      </c>
      <c r="D3203" s="0" t="s">
        <v>2105</v>
      </c>
      <c r="E3203" s="0" t="s">
        <v>2045</v>
      </c>
      <c r="F3203" s="0" t="s">
        <v>2204</v>
      </c>
      <c r="G3203" s="0" t="s">
        <v>2214</v>
      </c>
      <c r="H3203" s="0" t="s">
        <v>2208</v>
      </c>
      <c r="J3203" s="0" t="s">
        <v>2345</v>
      </c>
      <c r="K3203" s="272" t="n">
        <v>-205.338715816144</v>
      </c>
    </row>
    <row r="3204" customFormat="false" ht="15" hidden="false" customHeight="false" outlineLevel="0" collapsed="false">
      <c r="A3204" s="0" t="s">
        <v>2041</v>
      </c>
      <c r="B3204" s="0" t="s">
        <v>2042</v>
      </c>
      <c r="C3204" s="0" t="s">
        <v>2339</v>
      </c>
      <c r="D3204" s="0" t="s">
        <v>2105</v>
      </c>
      <c r="E3204" s="0" t="s">
        <v>2045</v>
      </c>
      <c r="F3204" s="0" t="s">
        <v>2176</v>
      </c>
      <c r="G3204" s="0" t="s">
        <v>2177</v>
      </c>
      <c r="H3204" s="0" t="s">
        <v>2179</v>
      </c>
      <c r="J3204" s="0" t="s">
        <v>2345</v>
      </c>
      <c r="K3204" s="272" t="n">
        <v>-711.269832999648</v>
      </c>
    </row>
    <row r="3205" customFormat="false" ht="15" hidden="false" customHeight="false" outlineLevel="0" collapsed="false">
      <c r="A3205" s="0" t="s">
        <v>2041</v>
      </c>
      <c r="B3205" s="0" t="s">
        <v>2042</v>
      </c>
      <c r="C3205" s="0" t="s">
        <v>2339</v>
      </c>
      <c r="D3205" s="0" t="s">
        <v>2105</v>
      </c>
      <c r="E3205" s="0" t="s">
        <v>2045</v>
      </c>
      <c r="F3205" s="0" t="s">
        <v>2176</v>
      </c>
      <c r="G3205" s="0" t="s">
        <v>2181</v>
      </c>
      <c r="H3205" s="0" t="s">
        <v>2179</v>
      </c>
      <c r="J3205" s="0" t="s">
        <v>2345</v>
      </c>
      <c r="K3205" s="272" t="n">
        <v>-711.269470306358</v>
      </c>
    </row>
    <row r="3206" customFormat="false" ht="15" hidden="false" customHeight="false" outlineLevel="0" collapsed="false">
      <c r="A3206" s="0" t="s">
        <v>2041</v>
      </c>
      <c r="B3206" s="0" t="s">
        <v>2042</v>
      </c>
      <c r="C3206" s="0" t="s">
        <v>2339</v>
      </c>
      <c r="D3206" s="0" t="s">
        <v>2105</v>
      </c>
      <c r="E3206" s="0" t="s">
        <v>2045</v>
      </c>
      <c r="F3206" s="0" t="s">
        <v>2215</v>
      </c>
      <c r="G3206" s="0" t="s">
        <v>2218</v>
      </c>
      <c r="H3206" s="0" t="s">
        <v>2179</v>
      </c>
      <c r="J3206" s="0" t="s">
        <v>2345</v>
      </c>
      <c r="K3206" s="272" t="n">
        <v>-1001.41975048987</v>
      </c>
    </row>
    <row r="3207" customFormat="false" ht="15" hidden="false" customHeight="false" outlineLevel="0" collapsed="false">
      <c r="A3207" s="0" t="s">
        <v>2041</v>
      </c>
      <c r="B3207" s="0" t="s">
        <v>2042</v>
      </c>
      <c r="C3207" s="0" t="s">
        <v>2339</v>
      </c>
      <c r="D3207" s="0" t="s">
        <v>2105</v>
      </c>
      <c r="E3207" s="0" t="s">
        <v>2045</v>
      </c>
      <c r="F3207" s="0" t="s">
        <v>2256</v>
      </c>
      <c r="G3207" s="0" t="s">
        <v>2257</v>
      </c>
      <c r="H3207" s="0" t="s">
        <v>2179</v>
      </c>
      <c r="J3207" s="0" t="s">
        <v>2345</v>
      </c>
      <c r="K3207" s="272" t="n">
        <v>-855.383110484657</v>
      </c>
    </row>
    <row r="3208" customFormat="false" ht="15" hidden="false" customHeight="false" outlineLevel="0" collapsed="false">
      <c r="A3208" s="0" t="s">
        <v>2041</v>
      </c>
      <c r="B3208" s="0" t="s">
        <v>2042</v>
      </c>
      <c r="C3208" s="0" t="s">
        <v>2339</v>
      </c>
      <c r="D3208" s="0" t="s">
        <v>2105</v>
      </c>
      <c r="E3208" s="0" t="s">
        <v>2045</v>
      </c>
      <c r="F3208" s="0" t="s">
        <v>2256</v>
      </c>
      <c r="G3208" s="0" t="s">
        <v>2262</v>
      </c>
      <c r="H3208" s="0" t="s">
        <v>2264</v>
      </c>
      <c r="J3208" s="0" t="s">
        <v>2345</v>
      </c>
      <c r="K3208" s="272" t="n">
        <v>-4191.31485812883</v>
      </c>
    </row>
    <row r="3209" customFormat="false" ht="15" hidden="false" customHeight="false" outlineLevel="0" collapsed="false">
      <c r="A3209" s="0" t="s">
        <v>2041</v>
      </c>
      <c r="B3209" s="0" t="s">
        <v>2042</v>
      </c>
      <c r="C3209" s="0" t="s">
        <v>2339</v>
      </c>
      <c r="D3209" s="0" t="s">
        <v>2105</v>
      </c>
      <c r="E3209" s="0" t="s">
        <v>2045</v>
      </c>
      <c r="F3209" s="0" t="s">
        <v>2256</v>
      </c>
      <c r="G3209" s="0" t="s">
        <v>2257</v>
      </c>
      <c r="H3209" s="0" t="s">
        <v>2258</v>
      </c>
      <c r="J3209" s="0" t="s">
        <v>2345</v>
      </c>
      <c r="K3209" s="272" t="n">
        <v>-553.468782746278</v>
      </c>
    </row>
    <row r="3210" customFormat="false" ht="15" hidden="false" customHeight="false" outlineLevel="0" collapsed="false">
      <c r="A3210" s="0" t="s">
        <v>2041</v>
      </c>
      <c r="B3210" s="0" t="s">
        <v>2042</v>
      </c>
      <c r="C3210" s="0" t="s">
        <v>2339</v>
      </c>
      <c r="D3210" s="0" t="s">
        <v>2105</v>
      </c>
      <c r="E3210" s="0" t="s">
        <v>2045</v>
      </c>
      <c r="F3210" s="0" t="s">
        <v>2256</v>
      </c>
      <c r="G3210" s="0" t="s">
        <v>2259</v>
      </c>
      <c r="H3210" s="0" t="s">
        <v>2258</v>
      </c>
      <c r="J3210" s="0" t="s">
        <v>2345</v>
      </c>
      <c r="K3210" s="272" t="n">
        <v>-13575.8246733355</v>
      </c>
    </row>
    <row r="3211" customFormat="false" ht="15" hidden="false" customHeight="false" outlineLevel="0" collapsed="false">
      <c r="A3211" s="0" t="s">
        <v>2041</v>
      </c>
      <c r="B3211" s="0" t="s">
        <v>2042</v>
      </c>
      <c r="C3211" s="0" t="s">
        <v>2339</v>
      </c>
      <c r="D3211" s="0" t="s">
        <v>2105</v>
      </c>
      <c r="E3211" s="0" t="s">
        <v>2045</v>
      </c>
      <c r="F3211" s="0" t="s">
        <v>2256</v>
      </c>
      <c r="G3211" s="0" t="s">
        <v>2260</v>
      </c>
      <c r="H3211" s="0" t="s">
        <v>2261</v>
      </c>
      <c r="J3211" s="0" t="s">
        <v>2345</v>
      </c>
      <c r="K3211" s="272" t="n">
        <v>-3470.78682551927</v>
      </c>
    </row>
    <row r="3212" customFormat="false" ht="15" hidden="false" customHeight="false" outlineLevel="0" collapsed="false">
      <c r="A3212" s="0" t="s">
        <v>2041</v>
      </c>
      <c r="B3212" s="0" t="s">
        <v>2042</v>
      </c>
      <c r="C3212" s="0" t="s">
        <v>2339</v>
      </c>
      <c r="D3212" s="0" t="s">
        <v>2105</v>
      </c>
      <c r="E3212" s="0" t="s">
        <v>2045</v>
      </c>
      <c r="F3212" s="0" t="s">
        <v>2256</v>
      </c>
      <c r="G3212" s="0" t="s">
        <v>2266</v>
      </c>
      <c r="H3212" s="0" t="s">
        <v>2267</v>
      </c>
      <c r="J3212" s="0" t="s">
        <v>2345</v>
      </c>
      <c r="K3212" s="272" t="n">
        <v>-6975.99696192544</v>
      </c>
    </row>
    <row r="3213" customFormat="false" ht="15" hidden="false" customHeight="false" outlineLevel="0" collapsed="false">
      <c r="A3213" s="0" t="s">
        <v>2041</v>
      </c>
      <c r="B3213" s="0" t="s">
        <v>2042</v>
      </c>
      <c r="C3213" s="0" t="s">
        <v>2339</v>
      </c>
      <c r="D3213" s="0" t="s">
        <v>2105</v>
      </c>
      <c r="E3213" s="0" t="s">
        <v>2045</v>
      </c>
      <c r="F3213" s="0" t="s">
        <v>2256</v>
      </c>
      <c r="G3213" s="0" t="s">
        <v>2262</v>
      </c>
      <c r="H3213" s="0" t="s">
        <v>2265</v>
      </c>
      <c r="J3213" s="0" t="s">
        <v>2345</v>
      </c>
      <c r="K3213" s="272" t="n">
        <v>-665.448522761452</v>
      </c>
    </row>
    <row r="3214" customFormat="false" ht="15" hidden="false" customHeight="false" outlineLevel="0" collapsed="false">
      <c r="A3214" s="0" t="s">
        <v>2041</v>
      </c>
      <c r="B3214" s="0" t="s">
        <v>2042</v>
      </c>
      <c r="C3214" s="0" t="s">
        <v>2339</v>
      </c>
      <c r="D3214" s="0" t="s">
        <v>2105</v>
      </c>
      <c r="E3214" s="0" t="s">
        <v>2045</v>
      </c>
      <c r="F3214" s="0" t="s">
        <v>2150</v>
      </c>
      <c r="G3214" s="0" t="s">
        <v>2151</v>
      </c>
      <c r="H3214" s="0" t="s">
        <v>2153</v>
      </c>
      <c r="J3214" s="0" t="s">
        <v>2345</v>
      </c>
      <c r="K3214" s="272" t="n">
        <v>-2080.7872761686</v>
      </c>
    </row>
    <row r="3215" customFormat="false" ht="15" hidden="false" customHeight="false" outlineLevel="0" collapsed="false">
      <c r="A3215" s="0" t="s">
        <v>2041</v>
      </c>
      <c r="B3215" s="0" t="s">
        <v>2042</v>
      </c>
      <c r="C3215" s="0" t="s">
        <v>2339</v>
      </c>
      <c r="D3215" s="0" t="s">
        <v>2279</v>
      </c>
      <c r="E3215" s="0" t="s">
        <v>2279</v>
      </c>
      <c r="F3215" s="0" t="s">
        <v>2292</v>
      </c>
      <c r="G3215" s="0" t="s">
        <v>2293</v>
      </c>
      <c r="H3215" s="0" t="s">
        <v>2153</v>
      </c>
      <c r="J3215" s="0" t="s">
        <v>2345</v>
      </c>
      <c r="K3215" s="272" t="n">
        <v>-148.561075981312</v>
      </c>
    </row>
    <row r="3216" customFormat="false" ht="15" hidden="false" customHeight="false" outlineLevel="0" collapsed="false">
      <c r="A3216" s="0" t="s">
        <v>2041</v>
      </c>
      <c r="B3216" s="0" t="s">
        <v>2042</v>
      </c>
      <c r="C3216" s="0" t="s">
        <v>2339</v>
      </c>
      <c r="D3216" s="0" t="s">
        <v>2279</v>
      </c>
      <c r="E3216" s="0" t="s">
        <v>2279</v>
      </c>
      <c r="F3216" s="0" t="s">
        <v>2292</v>
      </c>
      <c r="G3216" s="0" t="s">
        <v>2293</v>
      </c>
      <c r="H3216" s="0" t="s">
        <v>2314</v>
      </c>
      <c r="J3216" s="0" t="s">
        <v>2345</v>
      </c>
      <c r="K3216" s="272" t="n">
        <v>-49.5203284359964</v>
      </c>
    </row>
    <row r="3217" customFormat="false" ht="15" hidden="false" customHeight="false" outlineLevel="0" collapsed="false">
      <c r="A3217" s="0" t="s">
        <v>2041</v>
      </c>
      <c r="B3217" s="0" t="s">
        <v>2042</v>
      </c>
      <c r="C3217" s="0" t="s">
        <v>2339</v>
      </c>
      <c r="D3217" s="0" t="s">
        <v>2105</v>
      </c>
      <c r="E3217" s="0" t="s">
        <v>2045</v>
      </c>
      <c r="F3217" s="0" t="s">
        <v>2157</v>
      </c>
      <c r="G3217" s="0" t="s">
        <v>2158</v>
      </c>
      <c r="H3217" s="0" t="s">
        <v>2344</v>
      </c>
      <c r="J3217" s="0" t="s">
        <v>2345</v>
      </c>
      <c r="K3217" s="272" t="n">
        <v>-1.26942651720063</v>
      </c>
    </row>
    <row r="3218" customFormat="false" ht="15" hidden="false" customHeight="false" outlineLevel="0" collapsed="false">
      <c r="A3218" s="0" t="s">
        <v>2041</v>
      </c>
      <c r="B3218" s="0" t="s">
        <v>2042</v>
      </c>
      <c r="C3218" s="0" t="s">
        <v>2339</v>
      </c>
      <c r="D3218" s="0" t="s">
        <v>2105</v>
      </c>
      <c r="E3218" s="0" t="s">
        <v>2045</v>
      </c>
      <c r="F3218" s="0" t="s">
        <v>2157</v>
      </c>
      <c r="G3218" s="0" t="s">
        <v>2158</v>
      </c>
      <c r="H3218" s="0" t="s">
        <v>2159</v>
      </c>
      <c r="J3218" s="0" t="s">
        <v>2345</v>
      </c>
      <c r="K3218" s="272" t="n">
        <v>-5925.71245112238</v>
      </c>
    </row>
    <row r="3219" customFormat="false" ht="15" hidden="false" customHeight="false" outlineLevel="0" collapsed="false">
      <c r="A3219" s="0" t="s">
        <v>2041</v>
      </c>
      <c r="B3219" s="0" t="s">
        <v>2042</v>
      </c>
      <c r="C3219" s="0" t="s">
        <v>2339</v>
      </c>
      <c r="D3219" s="0" t="s">
        <v>2105</v>
      </c>
      <c r="E3219" s="0" t="s">
        <v>2045</v>
      </c>
      <c r="F3219" s="0" t="s">
        <v>2225</v>
      </c>
      <c r="G3219" s="0" t="s">
        <v>2226</v>
      </c>
      <c r="H3219" s="0" t="s">
        <v>2227</v>
      </c>
      <c r="J3219" s="0" t="s">
        <v>2345</v>
      </c>
      <c r="K3219" s="272" t="n">
        <v>-1001.41975048987</v>
      </c>
    </row>
    <row r="3220" customFormat="false" ht="15" hidden="false" customHeight="false" outlineLevel="0" collapsed="false">
      <c r="A3220" s="0" t="s">
        <v>2041</v>
      </c>
      <c r="B3220" s="0" t="s">
        <v>2042</v>
      </c>
      <c r="C3220" s="0" t="s">
        <v>2339</v>
      </c>
      <c r="D3220" s="0" t="s">
        <v>2105</v>
      </c>
      <c r="E3220" s="0" t="s">
        <v>2045</v>
      </c>
      <c r="F3220" s="0" t="s">
        <v>2225</v>
      </c>
      <c r="G3220" s="0" t="s">
        <v>2228</v>
      </c>
      <c r="H3220" s="0" t="s">
        <v>2227</v>
      </c>
      <c r="J3220" s="0" t="s">
        <v>2345</v>
      </c>
      <c r="K3220" s="272" t="n">
        <v>-3669.71321463042</v>
      </c>
    </row>
    <row r="3221" customFormat="false" ht="15" hidden="false" customHeight="false" outlineLevel="0" collapsed="false">
      <c r="A3221" s="0" t="s">
        <v>2041</v>
      </c>
      <c r="B3221" s="0" t="s">
        <v>2042</v>
      </c>
      <c r="C3221" s="0" t="s">
        <v>2339</v>
      </c>
      <c r="D3221" s="0" t="s">
        <v>2105</v>
      </c>
      <c r="E3221" s="0" t="s">
        <v>2045</v>
      </c>
      <c r="F3221" s="0" t="s">
        <v>2225</v>
      </c>
      <c r="G3221" s="0" t="s">
        <v>2229</v>
      </c>
      <c r="H3221" s="0" t="s">
        <v>2227</v>
      </c>
      <c r="J3221" s="0" t="s">
        <v>2345</v>
      </c>
      <c r="K3221" s="272" t="n">
        <v>-3759.83605954576</v>
      </c>
    </row>
    <row r="3222" customFormat="false" ht="15" hidden="false" customHeight="false" outlineLevel="0" collapsed="false">
      <c r="A3222" s="0" t="s">
        <v>2041</v>
      </c>
      <c r="B3222" s="0" t="s">
        <v>2042</v>
      </c>
      <c r="C3222" s="0" t="s">
        <v>2339</v>
      </c>
      <c r="D3222" s="0" t="s">
        <v>2105</v>
      </c>
      <c r="E3222" s="0" t="s">
        <v>2045</v>
      </c>
      <c r="F3222" s="0" t="s">
        <v>2225</v>
      </c>
      <c r="G3222" s="0" t="s">
        <v>2230</v>
      </c>
      <c r="H3222" s="0" t="s">
        <v>2227</v>
      </c>
      <c r="J3222" s="0" t="s">
        <v>2345</v>
      </c>
      <c r="K3222" s="272" t="n">
        <v>-1496.67308652394</v>
      </c>
    </row>
    <row r="3223" customFormat="false" ht="15" hidden="false" customHeight="false" outlineLevel="0" collapsed="false">
      <c r="A3223" s="0" t="s">
        <v>2041</v>
      </c>
      <c r="B3223" s="0" t="s">
        <v>2042</v>
      </c>
      <c r="C3223" s="0" t="s">
        <v>2339</v>
      </c>
      <c r="D3223" s="0" t="s">
        <v>2105</v>
      </c>
      <c r="E3223" s="0" t="s">
        <v>2045</v>
      </c>
      <c r="F3223" s="0" t="s">
        <v>2225</v>
      </c>
      <c r="G3223" s="0" t="s">
        <v>2231</v>
      </c>
      <c r="H3223" s="0" t="s">
        <v>2227</v>
      </c>
      <c r="J3223" s="0" t="s">
        <v>2345</v>
      </c>
      <c r="K3223" s="272" t="n">
        <v>-3644.17788417703</v>
      </c>
    </row>
    <row r="3224" customFormat="false" ht="15" hidden="false" customHeight="false" outlineLevel="0" collapsed="false">
      <c r="A3224" s="0" t="s">
        <v>2041</v>
      </c>
      <c r="B3224" s="0" t="s">
        <v>2042</v>
      </c>
      <c r="C3224" s="0" t="s">
        <v>2339</v>
      </c>
      <c r="D3224" s="0" t="s">
        <v>2105</v>
      </c>
      <c r="E3224" s="0" t="s">
        <v>2045</v>
      </c>
      <c r="F3224" s="0" t="s">
        <v>2046</v>
      </c>
      <c r="G3224" s="0" t="s">
        <v>2125</v>
      </c>
      <c r="H3224" s="0" t="s">
        <v>2128</v>
      </c>
      <c r="J3224" s="0" t="s">
        <v>2345</v>
      </c>
      <c r="K3224" s="272" t="n">
        <v>-264.640791627075</v>
      </c>
    </row>
    <row r="3225" customFormat="false" ht="15" hidden="false" customHeight="false" outlineLevel="0" collapsed="false">
      <c r="A3225" s="0" t="s">
        <v>2041</v>
      </c>
      <c r="B3225" s="0" t="s">
        <v>2042</v>
      </c>
      <c r="C3225" s="0" t="s">
        <v>2339</v>
      </c>
      <c r="D3225" s="0" t="s">
        <v>2105</v>
      </c>
      <c r="E3225" s="0" t="s">
        <v>2045</v>
      </c>
      <c r="F3225" s="0" t="s">
        <v>2046</v>
      </c>
      <c r="G3225" s="0" t="s">
        <v>2127</v>
      </c>
      <c r="H3225" s="0" t="s">
        <v>2128</v>
      </c>
      <c r="J3225" s="0" t="s">
        <v>2345</v>
      </c>
      <c r="K3225" s="272" t="n">
        <v>-1868.3604453737</v>
      </c>
    </row>
    <row r="3226" customFormat="false" ht="15" hidden="false" customHeight="false" outlineLevel="0" collapsed="false">
      <c r="A3226" s="0" t="s">
        <v>2041</v>
      </c>
      <c r="B3226" s="0" t="s">
        <v>2042</v>
      </c>
      <c r="C3226" s="0" t="s">
        <v>2339</v>
      </c>
      <c r="D3226" s="0" t="s">
        <v>2105</v>
      </c>
      <c r="E3226" s="0" t="s">
        <v>2045</v>
      </c>
      <c r="F3226" s="0" t="s">
        <v>2046</v>
      </c>
      <c r="G3226" s="0" t="s">
        <v>2125</v>
      </c>
      <c r="H3226" s="0" t="s">
        <v>2130</v>
      </c>
      <c r="J3226" s="0" t="s">
        <v>2345</v>
      </c>
      <c r="K3226" s="272" t="n">
        <v>-1120.02390211173</v>
      </c>
    </row>
    <row r="3227" customFormat="false" ht="15" hidden="false" customHeight="false" outlineLevel="0" collapsed="false">
      <c r="A3227" s="0" t="s">
        <v>2041</v>
      </c>
      <c r="B3227" s="0" t="s">
        <v>2042</v>
      </c>
      <c r="C3227" s="0" t="s">
        <v>2339</v>
      </c>
      <c r="D3227" s="0" t="s">
        <v>2105</v>
      </c>
      <c r="E3227" s="0" t="s">
        <v>2045</v>
      </c>
      <c r="F3227" s="0" t="s">
        <v>2046</v>
      </c>
      <c r="G3227" s="0" t="s">
        <v>2129</v>
      </c>
      <c r="H3227" s="0" t="s">
        <v>2130</v>
      </c>
      <c r="J3227" s="0" t="s">
        <v>2345</v>
      </c>
      <c r="K3227" s="272" t="n">
        <v>-922.104077555399</v>
      </c>
    </row>
    <row r="3228" customFormat="false" ht="15" hidden="false" customHeight="false" outlineLevel="0" collapsed="false">
      <c r="A3228" s="0" t="s">
        <v>2041</v>
      </c>
      <c r="B3228" s="0" t="s">
        <v>2042</v>
      </c>
      <c r="C3228" s="0" t="s">
        <v>2339</v>
      </c>
      <c r="D3228" s="0" t="s">
        <v>2105</v>
      </c>
      <c r="E3228" s="0" t="s">
        <v>2045</v>
      </c>
      <c r="F3228" s="0" t="s">
        <v>2046</v>
      </c>
      <c r="G3228" s="0" t="s">
        <v>2127</v>
      </c>
      <c r="H3228" s="0" t="s">
        <v>2132</v>
      </c>
      <c r="J3228" s="0" t="s">
        <v>2345</v>
      </c>
      <c r="K3228" s="272" t="n">
        <v>-73.0183200026066</v>
      </c>
    </row>
    <row r="3229" customFormat="false" ht="15" hidden="false" customHeight="false" outlineLevel="0" collapsed="false">
      <c r="A3229" s="0" t="s">
        <v>2041</v>
      </c>
      <c r="B3229" s="0" t="s">
        <v>2042</v>
      </c>
      <c r="C3229" s="0" t="s">
        <v>2339</v>
      </c>
      <c r="D3229" s="0" t="s">
        <v>2105</v>
      </c>
      <c r="E3229" s="0" t="s">
        <v>2045</v>
      </c>
      <c r="F3229" s="0" t="s">
        <v>2046</v>
      </c>
      <c r="G3229" s="0" t="s">
        <v>2131</v>
      </c>
      <c r="H3229" s="0" t="s">
        <v>2132</v>
      </c>
      <c r="J3229" s="0" t="s">
        <v>2345</v>
      </c>
      <c r="K3229" s="272" t="n">
        <v>-1378.06884422876</v>
      </c>
    </row>
    <row r="3230" customFormat="false" ht="15" hidden="false" customHeight="false" outlineLevel="0" collapsed="false">
      <c r="A3230" s="0" t="s">
        <v>2041</v>
      </c>
      <c r="B3230" s="0" t="s">
        <v>2042</v>
      </c>
      <c r="C3230" s="0" t="s">
        <v>2339</v>
      </c>
      <c r="D3230" s="0" t="s">
        <v>2105</v>
      </c>
      <c r="E3230" s="0" t="s">
        <v>2045</v>
      </c>
      <c r="F3230" s="0" t="s">
        <v>2046</v>
      </c>
      <c r="G3230" s="0" t="s">
        <v>2133</v>
      </c>
      <c r="H3230" s="0" t="s">
        <v>2134</v>
      </c>
      <c r="J3230" s="0" t="s">
        <v>2345</v>
      </c>
      <c r="K3230" s="272" t="n">
        <v>-1486.13856922431</v>
      </c>
    </row>
    <row r="3231" customFormat="false" ht="15" hidden="false" customHeight="false" outlineLevel="0" collapsed="false">
      <c r="A3231" s="0" t="s">
        <v>2041</v>
      </c>
      <c r="B3231" s="0" t="s">
        <v>2042</v>
      </c>
      <c r="C3231" s="0" t="s">
        <v>2339</v>
      </c>
      <c r="D3231" s="0" t="s">
        <v>2105</v>
      </c>
      <c r="E3231" s="0" t="s">
        <v>2045</v>
      </c>
      <c r="F3231" s="0" t="s">
        <v>2046</v>
      </c>
      <c r="G3231" s="0" t="s">
        <v>2125</v>
      </c>
      <c r="H3231" s="0" t="s">
        <v>2144</v>
      </c>
      <c r="J3231" s="0" t="s">
        <v>2345</v>
      </c>
      <c r="K3231" s="272" t="n">
        <v>-75.2443500738405</v>
      </c>
    </row>
    <row r="3232" customFormat="false" ht="15" hidden="false" customHeight="false" outlineLevel="0" collapsed="false">
      <c r="A3232" s="0" t="s">
        <v>2041</v>
      </c>
      <c r="B3232" s="0" t="s">
        <v>2042</v>
      </c>
      <c r="C3232" s="0" t="s">
        <v>2339</v>
      </c>
      <c r="D3232" s="0" t="s">
        <v>2105</v>
      </c>
      <c r="E3232" s="0" t="s">
        <v>2045</v>
      </c>
      <c r="F3232" s="0" t="s">
        <v>2046</v>
      </c>
      <c r="G3232" s="0" t="s">
        <v>2141</v>
      </c>
      <c r="H3232" s="0" t="s">
        <v>2144</v>
      </c>
      <c r="J3232" s="0" t="s">
        <v>2345</v>
      </c>
      <c r="K3232" s="272" t="n">
        <v>-132.320395813538</v>
      </c>
    </row>
    <row r="3233" customFormat="false" ht="15" hidden="false" customHeight="false" outlineLevel="0" collapsed="false">
      <c r="A3233" s="0" t="s">
        <v>2041</v>
      </c>
      <c r="B3233" s="0" t="s">
        <v>2042</v>
      </c>
      <c r="C3233" s="0" t="s">
        <v>2339</v>
      </c>
      <c r="D3233" s="0" t="s">
        <v>2105</v>
      </c>
      <c r="E3233" s="0" t="s">
        <v>2045</v>
      </c>
      <c r="F3233" s="0" t="s">
        <v>2046</v>
      </c>
      <c r="G3233" s="0" t="s">
        <v>2143</v>
      </c>
      <c r="H3233" s="0" t="s">
        <v>2144</v>
      </c>
      <c r="J3233" s="0" t="s">
        <v>2345</v>
      </c>
      <c r="K3233" s="272" t="n">
        <v>-1204.59980651352</v>
      </c>
    </row>
    <row r="3234" customFormat="false" ht="15" hidden="false" customHeight="false" outlineLevel="0" collapsed="false">
      <c r="A3234" s="0" t="s">
        <v>2041</v>
      </c>
      <c r="B3234" s="0" t="s">
        <v>2042</v>
      </c>
      <c r="C3234" s="0" t="s">
        <v>2339</v>
      </c>
      <c r="D3234" s="0" t="s">
        <v>2105</v>
      </c>
      <c r="E3234" s="0" t="s">
        <v>2045</v>
      </c>
      <c r="F3234" s="0" t="s">
        <v>2046</v>
      </c>
      <c r="G3234" s="0" t="s">
        <v>2125</v>
      </c>
      <c r="H3234" s="0" t="s">
        <v>2136</v>
      </c>
      <c r="J3234" s="0" t="s">
        <v>2345</v>
      </c>
      <c r="K3234" s="272" t="n">
        <v>-264.640791627075</v>
      </c>
    </row>
    <row r="3235" customFormat="false" ht="15" hidden="false" customHeight="false" outlineLevel="0" collapsed="false">
      <c r="A3235" s="0" t="s">
        <v>2041</v>
      </c>
      <c r="B3235" s="0" t="s">
        <v>2042</v>
      </c>
      <c r="C3235" s="0" t="s">
        <v>2339</v>
      </c>
      <c r="D3235" s="0" t="s">
        <v>2105</v>
      </c>
      <c r="E3235" s="0" t="s">
        <v>2045</v>
      </c>
      <c r="F3235" s="0" t="s">
        <v>2046</v>
      </c>
      <c r="G3235" s="0" t="s">
        <v>2135</v>
      </c>
      <c r="H3235" s="0" t="s">
        <v>2136</v>
      </c>
      <c r="J3235" s="0" t="s">
        <v>2345</v>
      </c>
      <c r="K3235" s="272" t="n">
        <v>-869.166724955067</v>
      </c>
    </row>
    <row r="3236" customFormat="false" ht="15" hidden="false" customHeight="false" outlineLevel="0" collapsed="false">
      <c r="A3236" s="0" t="s">
        <v>2041</v>
      </c>
      <c r="B3236" s="0" t="s">
        <v>2042</v>
      </c>
      <c r="C3236" s="0" t="s">
        <v>2339</v>
      </c>
      <c r="D3236" s="0" t="s">
        <v>2105</v>
      </c>
      <c r="E3236" s="0" t="s">
        <v>2045</v>
      </c>
      <c r="F3236" s="0" t="s">
        <v>2046</v>
      </c>
      <c r="G3236" s="0" t="s">
        <v>2139</v>
      </c>
      <c r="H3236" s="0" t="s">
        <v>2136</v>
      </c>
      <c r="J3236" s="0" t="s">
        <v>2345</v>
      </c>
      <c r="K3236" s="272" t="n">
        <v>-73.0183200026066</v>
      </c>
    </row>
    <row r="3237" customFormat="false" ht="15" hidden="false" customHeight="false" outlineLevel="0" collapsed="false">
      <c r="A3237" s="0" t="s">
        <v>2041</v>
      </c>
      <c r="B3237" s="0" t="s">
        <v>2042</v>
      </c>
      <c r="C3237" s="0" t="s">
        <v>2339</v>
      </c>
      <c r="D3237" s="0" t="s">
        <v>2105</v>
      </c>
      <c r="E3237" s="0" t="s">
        <v>2045</v>
      </c>
      <c r="F3237" s="0" t="s">
        <v>2046</v>
      </c>
      <c r="G3237" s="0" t="s">
        <v>2125</v>
      </c>
      <c r="H3237" s="0" t="s">
        <v>2138</v>
      </c>
      <c r="J3237" s="0" t="s">
        <v>2345</v>
      </c>
      <c r="K3237" s="272" t="n">
        <v>-278.357035818751</v>
      </c>
    </row>
    <row r="3238" customFormat="false" ht="15" hidden="false" customHeight="false" outlineLevel="0" collapsed="false">
      <c r="A3238" s="0" t="s">
        <v>2041</v>
      </c>
      <c r="B3238" s="0" t="s">
        <v>2042</v>
      </c>
      <c r="C3238" s="0" t="s">
        <v>2339</v>
      </c>
      <c r="D3238" s="0" t="s">
        <v>2105</v>
      </c>
      <c r="E3238" s="0" t="s">
        <v>2045</v>
      </c>
      <c r="F3238" s="0" t="s">
        <v>2046</v>
      </c>
      <c r="G3238" s="0" t="s">
        <v>2137</v>
      </c>
      <c r="H3238" s="0" t="s">
        <v>2138</v>
      </c>
      <c r="J3238" s="0" t="s">
        <v>2345</v>
      </c>
      <c r="K3238" s="272" t="n">
        <v>-1218.31605070519</v>
      </c>
    </row>
    <row r="3239" customFormat="false" ht="15" hidden="false" customHeight="false" outlineLevel="0" collapsed="false">
      <c r="A3239" s="0" t="s">
        <v>2041</v>
      </c>
      <c r="B3239" s="0" t="s">
        <v>2042</v>
      </c>
      <c r="C3239" s="0" t="s">
        <v>2339</v>
      </c>
      <c r="D3239" s="0" t="s">
        <v>2105</v>
      </c>
      <c r="E3239" s="0" t="s">
        <v>2045</v>
      </c>
      <c r="F3239" s="0" t="s">
        <v>2046</v>
      </c>
      <c r="G3239" s="0" t="s">
        <v>2125</v>
      </c>
      <c r="H3239" s="0" t="s">
        <v>2140</v>
      </c>
      <c r="J3239" s="0" t="s">
        <v>2345</v>
      </c>
      <c r="K3239" s="272" t="n">
        <v>-146.036640005213</v>
      </c>
    </row>
    <row r="3240" customFormat="false" ht="15" hidden="false" customHeight="false" outlineLevel="0" collapsed="false">
      <c r="A3240" s="0" t="s">
        <v>2041</v>
      </c>
      <c r="B3240" s="0" t="s">
        <v>2042</v>
      </c>
      <c r="C3240" s="0" t="s">
        <v>2339</v>
      </c>
      <c r="D3240" s="0" t="s">
        <v>2105</v>
      </c>
      <c r="E3240" s="0" t="s">
        <v>2045</v>
      </c>
      <c r="F3240" s="0" t="s">
        <v>2046</v>
      </c>
      <c r="G3240" s="0" t="s">
        <v>2139</v>
      </c>
      <c r="H3240" s="0" t="s">
        <v>2140</v>
      </c>
      <c r="J3240" s="0" t="s">
        <v>2345</v>
      </c>
      <c r="K3240" s="272" t="n">
        <v>-366.789820673079</v>
      </c>
    </row>
    <row r="3241" customFormat="false" ht="15" hidden="false" customHeight="false" outlineLevel="0" collapsed="false">
      <c r="A3241" s="0" t="s">
        <v>2041</v>
      </c>
      <c r="B3241" s="0" t="s">
        <v>2042</v>
      </c>
      <c r="C3241" s="0" t="s">
        <v>2339</v>
      </c>
      <c r="D3241" s="0" t="s">
        <v>2105</v>
      </c>
      <c r="E3241" s="0" t="s">
        <v>2045</v>
      </c>
      <c r="F3241" s="0" t="s">
        <v>2046</v>
      </c>
      <c r="G3241" s="0" t="s">
        <v>2141</v>
      </c>
      <c r="H3241" s="0" t="s">
        <v>2142</v>
      </c>
      <c r="J3241" s="0" t="s">
        <v>2345</v>
      </c>
      <c r="K3241" s="272" t="n">
        <v>-1365.07735190508</v>
      </c>
    </row>
    <row r="3242" customFormat="false" ht="15" hidden="false" customHeight="false" outlineLevel="0" collapsed="false">
      <c r="A3242" s="0" t="s">
        <v>2041</v>
      </c>
      <c r="B3242" s="0" t="s">
        <v>2042</v>
      </c>
      <c r="C3242" s="0" t="s">
        <v>2339</v>
      </c>
      <c r="D3242" s="0" t="s">
        <v>2105</v>
      </c>
      <c r="E3242" s="0" t="s">
        <v>2045</v>
      </c>
      <c r="F3242" s="0" t="s">
        <v>2051</v>
      </c>
      <c r="G3242" s="0" t="s">
        <v>2110</v>
      </c>
      <c r="H3242" s="0" t="s">
        <v>2115</v>
      </c>
      <c r="J3242" s="0" t="s">
        <v>2345</v>
      </c>
      <c r="K3242" s="272" t="n">
        <v>-179.144099633709</v>
      </c>
    </row>
    <row r="3243" customFormat="false" ht="15" hidden="false" customHeight="false" outlineLevel="0" collapsed="false">
      <c r="A3243" s="0" t="s">
        <v>2041</v>
      </c>
      <c r="B3243" s="0" t="s">
        <v>2042</v>
      </c>
      <c r="C3243" s="0" t="s">
        <v>2339</v>
      </c>
      <c r="D3243" s="0" t="s">
        <v>2105</v>
      </c>
      <c r="E3243" s="0" t="s">
        <v>2045</v>
      </c>
      <c r="F3243" s="0" t="s">
        <v>2051</v>
      </c>
      <c r="G3243" s="0" t="s">
        <v>2114</v>
      </c>
      <c r="H3243" s="0" t="s">
        <v>2115</v>
      </c>
      <c r="J3243" s="0" t="s">
        <v>2345</v>
      </c>
      <c r="K3243" s="272" t="n">
        <v>-1067.84231165575</v>
      </c>
    </row>
    <row r="3244" customFormat="false" ht="15" hidden="false" customHeight="false" outlineLevel="0" collapsed="false">
      <c r="A3244" s="0" t="s">
        <v>2041</v>
      </c>
      <c r="B3244" s="0" t="s">
        <v>2042</v>
      </c>
      <c r="C3244" s="0" t="s">
        <v>2339</v>
      </c>
      <c r="D3244" s="0" t="s">
        <v>2105</v>
      </c>
      <c r="E3244" s="0" t="s">
        <v>2045</v>
      </c>
      <c r="F3244" s="0" t="s">
        <v>2051</v>
      </c>
      <c r="G3244" s="0" t="s">
        <v>2123</v>
      </c>
      <c r="H3244" s="0" t="s">
        <v>2115</v>
      </c>
      <c r="J3244" s="0" t="s">
        <v>2345</v>
      </c>
      <c r="K3244" s="272" t="n">
        <v>-73.0183200026066</v>
      </c>
    </row>
    <row r="3245" customFormat="false" ht="15" hidden="false" customHeight="false" outlineLevel="0" collapsed="false">
      <c r="A3245" s="0" t="s">
        <v>2041</v>
      </c>
      <c r="B3245" s="0" t="s">
        <v>2042</v>
      </c>
      <c r="C3245" s="0" t="s">
        <v>2339</v>
      </c>
      <c r="D3245" s="0" t="s">
        <v>2105</v>
      </c>
      <c r="E3245" s="0" t="s">
        <v>2045</v>
      </c>
      <c r="F3245" s="0" t="s">
        <v>2051</v>
      </c>
      <c r="G3245" s="0" t="s">
        <v>2114</v>
      </c>
      <c r="H3245" s="0" t="s">
        <v>2116</v>
      </c>
      <c r="J3245" s="0" t="s">
        <v>2345</v>
      </c>
      <c r="K3245" s="272" t="n">
        <v>-204.451296007298</v>
      </c>
    </row>
    <row r="3246" customFormat="false" ht="15" hidden="false" customHeight="false" outlineLevel="0" collapsed="false">
      <c r="A3246" s="0" t="s">
        <v>2041</v>
      </c>
      <c r="B3246" s="0" t="s">
        <v>2042</v>
      </c>
      <c r="C3246" s="0" t="s">
        <v>2339</v>
      </c>
      <c r="D3246" s="0" t="s">
        <v>2105</v>
      </c>
      <c r="E3246" s="0" t="s">
        <v>2045</v>
      </c>
      <c r="F3246" s="0" t="s">
        <v>2051</v>
      </c>
      <c r="G3246" s="0" t="s">
        <v>2123</v>
      </c>
      <c r="H3246" s="0" t="s">
        <v>2116</v>
      </c>
      <c r="J3246" s="0" t="s">
        <v>2345</v>
      </c>
      <c r="K3246" s="272" t="n">
        <v>-292.073370683749</v>
      </c>
    </row>
    <row r="3247" customFormat="false" ht="15" hidden="false" customHeight="false" outlineLevel="0" collapsed="false">
      <c r="A3247" s="0" t="s">
        <v>2041</v>
      </c>
      <c r="B3247" s="0" t="s">
        <v>2042</v>
      </c>
      <c r="C3247" s="0" t="s">
        <v>2339</v>
      </c>
      <c r="D3247" s="0" t="s">
        <v>2105</v>
      </c>
      <c r="E3247" s="0" t="s">
        <v>2045</v>
      </c>
      <c r="F3247" s="0" t="s">
        <v>2051</v>
      </c>
      <c r="G3247" s="0" t="s">
        <v>2110</v>
      </c>
      <c r="H3247" s="0" t="s">
        <v>2111</v>
      </c>
      <c r="J3247" s="0" t="s">
        <v>2345</v>
      </c>
      <c r="K3247" s="272" t="n">
        <v>-548.635713302005</v>
      </c>
    </row>
    <row r="3248" customFormat="false" ht="15" hidden="false" customHeight="false" outlineLevel="0" collapsed="false">
      <c r="A3248" s="0" t="s">
        <v>2041</v>
      </c>
      <c r="B3248" s="0" t="s">
        <v>2042</v>
      </c>
      <c r="C3248" s="0" t="s">
        <v>2339</v>
      </c>
      <c r="D3248" s="0" t="s">
        <v>2105</v>
      </c>
      <c r="E3248" s="0" t="s">
        <v>2045</v>
      </c>
      <c r="F3248" s="0" t="s">
        <v>2051</v>
      </c>
      <c r="G3248" s="0" t="s">
        <v>2123</v>
      </c>
      <c r="H3248" s="0" t="s">
        <v>2111</v>
      </c>
      <c r="J3248" s="0" t="s">
        <v>2345</v>
      </c>
      <c r="K3248" s="272" t="n">
        <v>-380.582593149077</v>
      </c>
    </row>
    <row r="3249" customFormat="false" ht="15" hidden="false" customHeight="false" outlineLevel="0" collapsed="false">
      <c r="A3249" s="0" t="s">
        <v>2041</v>
      </c>
      <c r="B3249" s="0" t="s">
        <v>2042</v>
      </c>
      <c r="C3249" s="0" t="s">
        <v>2339</v>
      </c>
      <c r="D3249" s="0" t="s">
        <v>2105</v>
      </c>
      <c r="E3249" s="0" t="s">
        <v>2045</v>
      </c>
      <c r="F3249" s="0" t="s">
        <v>2051</v>
      </c>
      <c r="G3249" s="0" t="s">
        <v>2114</v>
      </c>
      <c r="H3249" s="0" t="s">
        <v>2117</v>
      </c>
      <c r="J3249" s="0" t="s">
        <v>2345</v>
      </c>
      <c r="K3249" s="272" t="n">
        <v>-128.882426111668</v>
      </c>
    </row>
    <row r="3250" customFormat="false" ht="15" hidden="false" customHeight="false" outlineLevel="0" collapsed="false">
      <c r="A3250" s="0" t="s">
        <v>2041</v>
      </c>
      <c r="B3250" s="0" t="s">
        <v>2042</v>
      </c>
      <c r="C3250" s="0" t="s">
        <v>2339</v>
      </c>
      <c r="D3250" s="0" t="s">
        <v>2105</v>
      </c>
      <c r="E3250" s="0" t="s">
        <v>2045</v>
      </c>
      <c r="F3250" s="0" t="s">
        <v>2051</v>
      </c>
      <c r="G3250" s="0" t="s">
        <v>2123</v>
      </c>
      <c r="H3250" s="0" t="s">
        <v>2117</v>
      </c>
      <c r="J3250" s="0" t="s">
        <v>2345</v>
      </c>
      <c r="K3250" s="272" t="n">
        <v>-113.433958763949</v>
      </c>
    </row>
    <row r="3251" customFormat="false" ht="15" hidden="false" customHeight="false" outlineLevel="0" collapsed="false">
      <c r="A3251" s="0" t="s">
        <v>2041</v>
      </c>
      <c r="B3251" s="0" t="s">
        <v>2042</v>
      </c>
      <c r="C3251" s="0" t="s">
        <v>2339</v>
      </c>
      <c r="D3251" s="0" t="s">
        <v>2105</v>
      </c>
      <c r="E3251" s="0" t="s">
        <v>2045</v>
      </c>
      <c r="F3251" s="0" t="s">
        <v>2051</v>
      </c>
      <c r="G3251" s="0" t="s">
        <v>2114</v>
      </c>
      <c r="H3251" s="0" t="s">
        <v>2118</v>
      </c>
      <c r="J3251" s="0" t="s">
        <v>2345</v>
      </c>
      <c r="K3251" s="272" t="n">
        <v>-146.036640005213</v>
      </c>
    </row>
    <row r="3252" customFormat="false" ht="15" hidden="false" customHeight="false" outlineLevel="0" collapsed="false">
      <c r="A3252" s="0" t="s">
        <v>2041</v>
      </c>
      <c r="B3252" s="0" t="s">
        <v>2042</v>
      </c>
      <c r="C3252" s="0" t="s">
        <v>2339</v>
      </c>
      <c r="D3252" s="0" t="s">
        <v>2105</v>
      </c>
      <c r="E3252" s="0" t="s">
        <v>2045</v>
      </c>
      <c r="F3252" s="0" t="s">
        <v>2051</v>
      </c>
      <c r="G3252" s="0" t="s">
        <v>2110</v>
      </c>
      <c r="H3252" s="0" t="s">
        <v>2119</v>
      </c>
      <c r="J3252" s="0" t="s">
        <v>2345</v>
      </c>
      <c r="K3252" s="272" t="n">
        <v>-277.432349274293</v>
      </c>
    </row>
    <row r="3253" customFormat="false" ht="15" hidden="false" customHeight="false" outlineLevel="0" collapsed="false">
      <c r="A3253" s="0" t="s">
        <v>2041</v>
      </c>
      <c r="B3253" s="0" t="s">
        <v>2042</v>
      </c>
      <c r="C3253" s="0" t="s">
        <v>2339</v>
      </c>
      <c r="D3253" s="0" t="s">
        <v>2105</v>
      </c>
      <c r="E3253" s="0" t="s">
        <v>2045</v>
      </c>
      <c r="F3253" s="0" t="s">
        <v>2051</v>
      </c>
      <c r="G3253" s="0" t="s">
        <v>2114</v>
      </c>
      <c r="H3253" s="0" t="s">
        <v>2119</v>
      </c>
      <c r="J3253" s="0" t="s">
        <v>2345</v>
      </c>
      <c r="K3253" s="272" t="n">
        <v>-196.221513222964</v>
      </c>
    </row>
    <row r="3254" customFormat="false" ht="15" hidden="false" customHeight="false" outlineLevel="0" collapsed="false">
      <c r="A3254" s="0" t="s">
        <v>2041</v>
      </c>
      <c r="B3254" s="0" t="s">
        <v>2042</v>
      </c>
      <c r="C3254" s="0" t="s">
        <v>2339</v>
      </c>
      <c r="D3254" s="0" t="s">
        <v>2105</v>
      </c>
      <c r="E3254" s="0" t="s">
        <v>2045</v>
      </c>
      <c r="F3254" s="0" t="s">
        <v>2051</v>
      </c>
      <c r="G3254" s="0" t="s">
        <v>2123</v>
      </c>
      <c r="H3254" s="0" t="s">
        <v>2119</v>
      </c>
      <c r="J3254" s="0" t="s">
        <v>2345</v>
      </c>
      <c r="K3254" s="272" t="n">
        <v>-29.2073280010426</v>
      </c>
    </row>
    <row r="3255" customFormat="false" ht="15" hidden="false" customHeight="false" outlineLevel="0" collapsed="false">
      <c r="A3255" s="0" t="s">
        <v>2041</v>
      </c>
      <c r="B3255" s="0" t="s">
        <v>2042</v>
      </c>
      <c r="C3255" s="0" t="s">
        <v>2339</v>
      </c>
      <c r="D3255" s="0" t="s">
        <v>2105</v>
      </c>
      <c r="E3255" s="0" t="s">
        <v>2045</v>
      </c>
      <c r="F3255" s="0" t="s">
        <v>2051</v>
      </c>
      <c r="G3255" s="0" t="s">
        <v>2110</v>
      </c>
      <c r="H3255" s="0" t="s">
        <v>2120</v>
      </c>
      <c r="J3255" s="0" t="s">
        <v>2345</v>
      </c>
      <c r="K3255" s="272" t="n">
        <v>-51.0282257917854</v>
      </c>
    </row>
    <row r="3256" customFormat="false" ht="15" hidden="false" customHeight="false" outlineLevel="0" collapsed="false">
      <c r="A3256" s="0" t="s">
        <v>2041</v>
      </c>
      <c r="B3256" s="0" t="s">
        <v>2042</v>
      </c>
      <c r="C3256" s="0" t="s">
        <v>2339</v>
      </c>
      <c r="D3256" s="0" t="s">
        <v>2105</v>
      </c>
      <c r="E3256" s="0" t="s">
        <v>2045</v>
      </c>
      <c r="F3256" s="0" t="s">
        <v>2051</v>
      </c>
      <c r="G3256" s="0" t="s">
        <v>2114</v>
      </c>
      <c r="H3256" s="0" t="s">
        <v>2120</v>
      </c>
      <c r="J3256" s="0" t="s">
        <v>2345</v>
      </c>
      <c r="K3256" s="272" t="n">
        <v>-496.999704228448</v>
      </c>
    </row>
    <row r="3257" customFormat="false" ht="15" hidden="false" customHeight="false" outlineLevel="0" collapsed="false">
      <c r="A3257" s="0" t="s">
        <v>2041</v>
      </c>
      <c r="B3257" s="0" t="s">
        <v>2042</v>
      </c>
      <c r="C3257" s="0" t="s">
        <v>2339</v>
      </c>
      <c r="D3257" s="0" t="s">
        <v>2105</v>
      </c>
      <c r="E3257" s="0" t="s">
        <v>2045</v>
      </c>
      <c r="F3257" s="0" t="s">
        <v>2051</v>
      </c>
      <c r="G3257" s="0" t="s">
        <v>2123</v>
      </c>
      <c r="H3257" s="0" t="s">
        <v>2120</v>
      </c>
      <c r="J3257" s="0" t="s">
        <v>2345</v>
      </c>
      <c r="K3257" s="272" t="n">
        <v>-43.8109920015639</v>
      </c>
    </row>
    <row r="3258" customFormat="false" ht="15" hidden="false" customHeight="false" outlineLevel="0" collapsed="false">
      <c r="A3258" s="0" t="s">
        <v>2041</v>
      </c>
      <c r="B3258" s="0" t="s">
        <v>2042</v>
      </c>
      <c r="C3258" s="0" t="s">
        <v>2339</v>
      </c>
      <c r="D3258" s="0" t="s">
        <v>2105</v>
      </c>
      <c r="E3258" s="0" t="s">
        <v>2045</v>
      </c>
      <c r="F3258" s="0" t="s">
        <v>2051</v>
      </c>
      <c r="G3258" s="0" t="s">
        <v>2110</v>
      </c>
      <c r="H3258" s="0" t="s">
        <v>2121</v>
      </c>
      <c r="J3258" s="0" t="s">
        <v>2345</v>
      </c>
      <c r="K3258" s="272" t="n">
        <v>-15.0488700147681</v>
      </c>
    </row>
    <row r="3259" customFormat="false" ht="15" hidden="false" customHeight="false" outlineLevel="0" collapsed="false">
      <c r="A3259" s="0" t="s">
        <v>2041</v>
      </c>
      <c r="B3259" s="0" t="s">
        <v>2042</v>
      </c>
      <c r="C3259" s="0" t="s">
        <v>2339</v>
      </c>
      <c r="D3259" s="0" t="s">
        <v>2105</v>
      </c>
      <c r="E3259" s="0" t="s">
        <v>2045</v>
      </c>
      <c r="F3259" s="0" t="s">
        <v>2051</v>
      </c>
      <c r="G3259" s="0" t="s">
        <v>2114</v>
      </c>
      <c r="H3259" s="0" t="s">
        <v>2121</v>
      </c>
      <c r="J3259" s="0" t="s">
        <v>2345</v>
      </c>
      <c r="K3259" s="272" t="n">
        <v>-284.778339182688</v>
      </c>
    </row>
    <row r="3260" customFormat="false" ht="15" hidden="false" customHeight="false" outlineLevel="0" collapsed="false">
      <c r="A3260" s="0" t="s">
        <v>2041</v>
      </c>
      <c r="B3260" s="0" t="s">
        <v>2042</v>
      </c>
      <c r="C3260" s="0" t="s">
        <v>2339</v>
      </c>
      <c r="D3260" s="0" t="s">
        <v>2105</v>
      </c>
      <c r="E3260" s="0" t="s">
        <v>2045</v>
      </c>
      <c r="F3260" s="0" t="s">
        <v>2051</v>
      </c>
      <c r="G3260" s="0" t="s">
        <v>2123</v>
      </c>
      <c r="H3260" s="0" t="s">
        <v>2121</v>
      </c>
      <c r="J3260" s="0" t="s">
        <v>2345</v>
      </c>
      <c r="K3260" s="272" t="n">
        <v>-73.0183200026066</v>
      </c>
    </row>
    <row r="3261" customFormat="false" ht="15" hidden="false" customHeight="false" outlineLevel="0" collapsed="false">
      <c r="A3261" s="0" t="s">
        <v>2041</v>
      </c>
      <c r="B3261" s="0" t="s">
        <v>2042</v>
      </c>
      <c r="C3261" s="0" t="s">
        <v>2339</v>
      </c>
      <c r="D3261" s="0" t="s">
        <v>2105</v>
      </c>
      <c r="E3261" s="0" t="s">
        <v>2045</v>
      </c>
      <c r="F3261" s="0" t="s">
        <v>2157</v>
      </c>
      <c r="G3261" s="0" t="s">
        <v>2158</v>
      </c>
      <c r="H3261" s="0" t="s">
        <v>2162</v>
      </c>
      <c r="J3261" s="0" t="s">
        <v>2345</v>
      </c>
      <c r="K3261" s="272" t="n">
        <v>-151.274837855119</v>
      </c>
    </row>
    <row r="3262" customFormat="false" ht="15" hidden="false" customHeight="false" outlineLevel="0" collapsed="false">
      <c r="A3262" s="0" t="s">
        <v>2041</v>
      </c>
      <c r="B3262" s="0" t="s">
        <v>2042</v>
      </c>
      <c r="C3262" s="0" t="s">
        <v>2339</v>
      </c>
      <c r="D3262" s="0" t="s">
        <v>2105</v>
      </c>
      <c r="E3262" s="0" t="s">
        <v>2045</v>
      </c>
      <c r="F3262" s="0" t="s">
        <v>2192</v>
      </c>
      <c r="G3262" s="0" t="s">
        <v>2193</v>
      </c>
      <c r="H3262" s="0" t="s">
        <v>2162</v>
      </c>
      <c r="J3262" s="0" t="s">
        <v>2345</v>
      </c>
      <c r="K3262" s="272" t="n">
        <v>-10112.2232552702</v>
      </c>
    </row>
    <row r="3263" customFormat="false" ht="15" hidden="false" customHeight="false" outlineLevel="0" collapsed="false">
      <c r="A3263" s="0" t="s">
        <v>2041</v>
      </c>
      <c r="B3263" s="0" t="s">
        <v>2042</v>
      </c>
      <c r="C3263" s="0" t="s">
        <v>2339</v>
      </c>
      <c r="D3263" s="0" t="s">
        <v>2105</v>
      </c>
      <c r="E3263" s="0" t="s">
        <v>2045</v>
      </c>
      <c r="F3263" s="0" t="s">
        <v>2192</v>
      </c>
      <c r="G3263" s="0" t="s">
        <v>2194</v>
      </c>
      <c r="H3263" s="0" t="s">
        <v>2162</v>
      </c>
      <c r="J3263" s="0" t="s">
        <v>2345</v>
      </c>
      <c r="K3263" s="272" t="n">
        <v>-4802.48442580792</v>
      </c>
    </row>
    <row r="3264" customFormat="false" ht="15" hidden="false" customHeight="false" outlineLevel="0" collapsed="false">
      <c r="A3264" s="0" t="s">
        <v>2041</v>
      </c>
      <c r="B3264" s="0" t="s">
        <v>2042</v>
      </c>
      <c r="C3264" s="0" t="s">
        <v>2339</v>
      </c>
      <c r="D3264" s="0" t="s">
        <v>2105</v>
      </c>
      <c r="E3264" s="0" t="s">
        <v>2045</v>
      </c>
      <c r="F3264" s="0" t="s">
        <v>2192</v>
      </c>
      <c r="G3264" s="0" t="s">
        <v>2195</v>
      </c>
      <c r="H3264" s="0" t="s">
        <v>2162</v>
      </c>
      <c r="J3264" s="0" t="s">
        <v>2345</v>
      </c>
      <c r="K3264" s="272" t="n">
        <v>-1614.81407881367</v>
      </c>
    </row>
    <row r="3265" customFormat="false" ht="15" hidden="false" customHeight="false" outlineLevel="0" collapsed="false">
      <c r="A3265" s="0" t="s">
        <v>2041</v>
      </c>
      <c r="B3265" s="0" t="s">
        <v>2042</v>
      </c>
      <c r="C3265" s="0" t="s">
        <v>2339</v>
      </c>
      <c r="D3265" s="0" t="s">
        <v>2105</v>
      </c>
      <c r="E3265" s="0" t="s">
        <v>2045</v>
      </c>
      <c r="F3265" s="0" t="s">
        <v>2192</v>
      </c>
      <c r="G3265" s="0" t="s">
        <v>2196</v>
      </c>
      <c r="H3265" s="0" t="s">
        <v>2162</v>
      </c>
      <c r="J3265" s="0" t="s">
        <v>2345</v>
      </c>
      <c r="K3265" s="272" t="n">
        <v>-6285.56530924558</v>
      </c>
    </row>
    <row r="3266" customFormat="false" ht="15" hidden="false" customHeight="false" outlineLevel="0" collapsed="false">
      <c r="A3266" s="0" t="s">
        <v>2041</v>
      </c>
      <c r="B3266" s="0" t="s">
        <v>2042</v>
      </c>
      <c r="C3266" s="0" t="s">
        <v>2339</v>
      </c>
      <c r="D3266" s="0" t="s">
        <v>2105</v>
      </c>
      <c r="E3266" s="0" t="s">
        <v>2045</v>
      </c>
      <c r="F3266" s="0" t="s">
        <v>2051</v>
      </c>
      <c r="G3266" s="0" t="s">
        <v>2110</v>
      </c>
      <c r="H3266" s="0" t="s">
        <v>2122</v>
      </c>
      <c r="J3266" s="0" t="s">
        <v>2345</v>
      </c>
      <c r="K3266" s="272" t="n">
        <v>-21.8208977907428</v>
      </c>
    </row>
    <row r="3267" customFormat="false" ht="15" hidden="false" customHeight="false" outlineLevel="0" collapsed="false">
      <c r="A3267" s="0" t="s">
        <v>2041</v>
      </c>
      <c r="B3267" s="0" t="s">
        <v>2042</v>
      </c>
      <c r="C3267" s="0" t="s">
        <v>2339</v>
      </c>
      <c r="D3267" s="0" t="s">
        <v>2105</v>
      </c>
      <c r="E3267" s="0" t="s">
        <v>2045</v>
      </c>
      <c r="F3267" s="0" t="s">
        <v>2051</v>
      </c>
      <c r="G3267" s="0" t="s">
        <v>2114</v>
      </c>
      <c r="H3267" s="0" t="s">
        <v>2122</v>
      </c>
      <c r="J3267" s="0" t="s">
        <v>2345</v>
      </c>
      <c r="K3267" s="272" t="n">
        <v>-985.88215126598</v>
      </c>
    </row>
    <row r="3268" customFormat="false" ht="15" hidden="false" customHeight="false" outlineLevel="0" collapsed="false">
      <c r="A3268" s="0" t="s">
        <v>2041</v>
      </c>
      <c r="B3268" s="0" t="s">
        <v>2042</v>
      </c>
      <c r="C3268" s="0" t="s">
        <v>2339</v>
      </c>
      <c r="D3268" s="0" t="s">
        <v>2105</v>
      </c>
      <c r="E3268" s="0" t="s">
        <v>2045</v>
      </c>
      <c r="F3268" s="0" t="s">
        <v>2051</v>
      </c>
      <c r="G3268" s="0" t="s">
        <v>2123</v>
      </c>
      <c r="H3268" s="0" t="s">
        <v>2122</v>
      </c>
      <c r="J3268" s="0" t="s">
        <v>2345</v>
      </c>
      <c r="K3268" s="272" t="n">
        <v>-157.245041438836</v>
      </c>
    </row>
    <row r="3269" customFormat="false" ht="15" hidden="false" customHeight="false" outlineLevel="0" collapsed="false">
      <c r="A3269" s="0" t="s">
        <v>2041</v>
      </c>
      <c r="B3269" s="0" t="s">
        <v>2042</v>
      </c>
      <c r="C3269" s="0" t="s">
        <v>2339</v>
      </c>
      <c r="D3269" s="0" t="s">
        <v>2105</v>
      </c>
      <c r="E3269" s="0" t="s">
        <v>2045</v>
      </c>
      <c r="F3269" s="0" t="s">
        <v>2215</v>
      </c>
      <c r="G3269" s="0" t="s">
        <v>2216</v>
      </c>
      <c r="H3269" s="0" t="s">
        <v>2217</v>
      </c>
      <c r="J3269" s="0" t="s">
        <v>2345</v>
      </c>
      <c r="K3269" s="272" t="n">
        <v>-11173.1097443249</v>
      </c>
    </row>
    <row r="3270" customFormat="false" ht="15" hidden="false" customHeight="false" outlineLevel="0" collapsed="false">
      <c r="A3270" s="0" t="s">
        <v>2041</v>
      </c>
      <c r="B3270" s="0" t="s">
        <v>2042</v>
      </c>
      <c r="C3270" s="0" t="s">
        <v>2339</v>
      </c>
      <c r="D3270" s="0" t="s">
        <v>2105</v>
      </c>
      <c r="E3270" s="0" t="s">
        <v>2045</v>
      </c>
      <c r="F3270" s="0" t="s">
        <v>2215</v>
      </c>
      <c r="G3270" s="0" t="s">
        <v>2218</v>
      </c>
      <c r="H3270" s="0" t="s">
        <v>2217</v>
      </c>
      <c r="J3270" s="0" t="s">
        <v>2345</v>
      </c>
      <c r="K3270" s="272" t="n">
        <v>-146.036640005213</v>
      </c>
    </row>
    <row r="3271" customFormat="false" ht="15" hidden="false" customHeight="false" outlineLevel="0" collapsed="false">
      <c r="A3271" s="0" t="s">
        <v>2041</v>
      </c>
      <c r="B3271" s="0" t="s">
        <v>2042</v>
      </c>
      <c r="C3271" s="0" t="s">
        <v>2339</v>
      </c>
      <c r="D3271" s="0" t="s">
        <v>2105</v>
      </c>
      <c r="E3271" s="0" t="s">
        <v>2045</v>
      </c>
      <c r="F3271" s="0" t="s">
        <v>2051</v>
      </c>
      <c r="G3271" s="0" t="s">
        <v>2110</v>
      </c>
      <c r="H3271" s="0" t="s">
        <v>2112</v>
      </c>
      <c r="J3271" s="0" t="s">
        <v>2345</v>
      </c>
      <c r="K3271" s="272" t="n">
        <v>-709.379294222246</v>
      </c>
    </row>
    <row r="3272" customFormat="false" ht="15" hidden="false" customHeight="false" outlineLevel="0" collapsed="false">
      <c r="A3272" s="0" t="s">
        <v>2041</v>
      </c>
      <c r="B3272" s="0" t="s">
        <v>2042</v>
      </c>
      <c r="C3272" s="0" t="s">
        <v>2339</v>
      </c>
      <c r="D3272" s="0" t="s">
        <v>2105</v>
      </c>
      <c r="E3272" s="0" t="s">
        <v>2045</v>
      </c>
      <c r="F3272" s="0" t="s">
        <v>2051</v>
      </c>
      <c r="G3272" s="0" t="s">
        <v>2114</v>
      </c>
      <c r="H3272" s="0" t="s">
        <v>2112</v>
      </c>
      <c r="J3272" s="0" t="s">
        <v>2345</v>
      </c>
      <c r="K3272" s="272" t="n">
        <v>-146.036640005213</v>
      </c>
    </row>
    <row r="3273" customFormat="false" ht="15" hidden="false" customHeight="false" outlineLevel="0" collapsed="false">
      <c r="A3273" s="0" t="s">
        <v>2041</v>
      </c>
      <c r="B3273" s="0" t="s">
        <v>2042</v>
      </c>
      <c r="C3273" s="0" t="s">
        <v>2339</v>
      </c>
      <c r="D3273" s="0" t="s">
        <v>2105</v>
      </c>
      <c r="E3273" s="0" t="s">
        <v>2045</v>
      </c>
      <c r="F3273" s="0" t="s">
        <v>2051</v>
      </c>
      <c r="G3273" s="0" t="s">
        <v>2123</v>
      </c>
      <c r="H3273" s="0" t="s">
        <v>2112</v>
      </c>
      <c r="J3273" s="0" t="s">
        <v>2345</v>
      </c>
      <c r="K3273" s="272" t="n">
        <v>-292.073280010426</v>
      </c>
    </row>
    <row r="3274" customFormat="false" ht="15" hidden="false" customHeight="false" outlineLevel="0" collapsed="false">
      <c r="A3274" s="0" t="s">
        <v>2041</v>
      </c>
      <c r="B3274" s="0" t="s">
        <v>2042</v>
      </c>
      <c r="C3274" s="0" t="s">
        <v>2339</v>
      </c>
      <c r="D3274" s="0" t="s">
        <v>2105</v>
      </c>
      <c r="E3274" s="0" t="s">
        <v>2045</v>
      </c>
      <c r="F3274" s="0" t="s">
        <v>2051</v>
      </c>
      <c r="G3274" s="0" t="s">
        <v>2110</v>
      </c>
      <c r="H3274" s="0" t="s">
        <v>2113</v>
      </c>
      <c r="J3274" s="0" t="s">
        <v>2345</v>
      </c>
      <c r="K3274" s="272" t="n">
        <v>-3015.53212163564</v>
      </c>
    </row>
    <row r="3275" customFormat="false" ht="15" hidden="false" customHeight="false" outlineLevel="0" collapsed="false">
      <c r="A3275" s="0" t="s">
        <v>2041</v>
      </c>
      <c r="B3275" s="0" t="s">
        <v>2042</v>
      </c>
      <c r="C3275" s="0" t="s">
        <v>2339</v>
      </c>
      <c r="D3275" s="0" t="s">
        <v>2105</v>
      </c>
      <c r="E3275" s="0" t="s">
        <v>2045</v>
      </c>
      <c r="F3275" s="0" t="s">
        <v>2051</v>
      </c>
      <c r="G3275" s="0" t="s">
        <v>2114</v>
      </c>
      <c r="H3275" s="0" t="s">
        <v>2113</v>
      </c>
      <c r="J3275" s="0" t="s">
        <v>2345</v>
      </c>
      <c r="K3275" s="272" t="n">
        <v>-223.517266235748</v>
      </c>
    </row>
    <row r="3276" customFormat="false" ht="15" hidden="false" customHeight="false" outlineLevel="0" collapsed="false">
      <c r="A3276" s="0" t="s">
        <v>2041</v>
      </c>
      <c r="B3276" s="0" t="s">
        <v>2042</v>
      </c>
      <c r="C3276" s="0" t="s">
        <v>2339</v>
      </c>
      <c r="D3276" s="0" t="s">
        <v>2105</v>
      </c>
      <c r="E3276" s="0" t="s">
        <v>2045</v>
      </c>
      <c r="F3276" s="0" t="s">
        <v>2051</v>
      </c>
      <c r="G3276" s="0" t="s">
        <v>2123</v>
      </c>
      <c r="H3276" s="0" t="s">
        <v>2113</v>
      </c>
      <c r="J3276" s="0" t="s">
        <v>2345</v>
      </c>
      <c r="K3276" s="272" t="n">
        <v>-331.908790853408</v>
      </c>
    </row>
    <row r="3277" customFormat="false" ht="15" hidden="false" customHeight="false" outlineLevel="0" collapsed="false">
      <c r="A3277" s="0" t="s">
        <v>2041</v>
      </c>
      <c r="B3277" s="0" t="s">
        <v>2042</v>
      </c>
      <c r="C3277" s="0" t="s">
        <v>2339</v>
      </c>
      <c r="D3277" s="0" t="s">
        <v>2105</v>
      </c>
      <c r="E3277" s="0" t="s">
        <v>2045</v>
      </c>
      <c r="F3277" s="0" t="s">
        <v>2046</v>
      </c>
      <c r="G3277" s="0" t="s">
        <v>2145</v>
      </c>
      <c r="H3277" s="0" t="s">
        <v>2146</v>
      </c>
      <c r="J3277" s="0" t="s">
        <v>2345</v>
      </c>
      <c r="K3277" s="272" t="n">
        <v>-1604.01805965149</v>
      </c>
    </row>
    <row r="3278" customFormat="false" ht="15" hidden="false" customHeight="false" outlineLevel="0" collapsed="false">
      <c r="A3278" s="0" t="s">
        <v>2041</v>
      </c>
      <c r="B3278" s="0" t="s">
        <v>2042</v>
      </c>
      <c r="C3278" s="0" t="s">
        <v>2339</v>
      </c>
      <c r="D3278" s="0" t="s">
        <v>2105</v>
      </c>
      <c r="E3278" s="0" t="s">
        <v>2045</v>
      </c>
      <c r="F3278" s="0" t="s">
        <v>2046</v>
      </c>
      <c r="G3278" s="0" t="s">
        <v>2125</v>
      </c>
      <c r="H3278" s="0" t="s">
        <v>2149</v>
      </c>
      <c r="J3278" s="0" t="s">
        <v>2345</v>
      </c>
      <c r="K3278" s="272" t="n">
        <v>-264.640791627075</v>
      </c>
    </row>
    <row r="3279" customFormat="false" ht="15" hidden="false" customHeight="false" outlineLevel="0" collapsed="false">
      <c r="A3279" s="0" t="s">
        <v>2041</v>
      </c>
      <c r="B3279" s="0" t="s">
        <v>2042</v>
      </c>
      <c r="C3279" s="0" t="s">
        <v>2339</v>
      </c>
      <c r="D3279" s="0" t="s">
        <v>2105</v>
      </c>
      <c r="E3279" s="0" t="s">
        <v>2045</v>
      </c>
      <c r="F3279" s="0" t="s">
        <v>2046</v>
      </c>
      <c r="G3279" s="0" t="s">
        <v>2148</v>
      </c>
      <c r="H3279" s="0" t="s">
        <v>2149</v>
      </c>
      <c r="J3279" s="0" t="s">
        <v>2345</v>
      </c>
      <c r="K3279" s="272" t="n">
        <v>-2355.28262584871</v>
      </c>
    </row>
    <row r="3280" customFormat="false" ht="15" hidden="false" customHeight="false" outlineLevel="0" collapsed="false">
      <c r="A3280" s="0" t="s">
        <v>2041</v>
      </c>
      <c r="B3280" s="0" t="s">
        <v>2042</v>
      </c>
      <c r="C3280" s="0" t="s">
        <v>2339</v>
      </c>
      <c r="D3280" s="0" t="s">
        <v>2105</v>
      </c>
      <c r="E3280" s="0" t="s">
        <v>2045</v>
      </c>
      <c r="F3280" s="0" t="s">
        <v>2268</v>
      </c>
      <c r="G3280" s="0" t="s">
        <v>2269</v>
      </c>
      <c r="H3280" s="0" t="s">
        <v>2270</v>
      </c>
      <c r="J3280" s="0" t="s">
        <v>2345</v>
      </c>
      <c r="K3280" s="272" t="n">
        <v>-6619.40054551216</v>
      </c>
    </row>
    <row r="3281" customFormat="false" ht="15" hidden="false" customHeight="false" outlineLevel="0" collapsed="false">
      <c r="A3281" s="0" t="s">
        <v>2041</v>
      </c>
      <c r="B3281" s="0" t="s">
        <v>2042</v>
      </c>
      <c r="C3281" s="0" t="s">
        <v>2339</v>
      </c>
      <c r="D3281" s="0" t="s">
        <v>2105</v>
      </c>
      <c r="E3281" s="0" t="s">
        <v>2045</v>
      </c>
      <c r="F3281" s="0" t="s">
        <v>2324</v>
      </c>
      <c r="G3281" s="0" t="s">
        <v>2325</v>
      </c>
      <c r="H3281" s="0" t="s">
        <v>2326</v>
      </c>
      <c r="J3281" s="0" t="s">
        <v>2345</v>
      </c>
      <c r="K3281" s="272" t="n">
        <v>-51.6240401949658</v>
      </c>
    </row>
    <row r="3282" customFormat="false" ht="15" hidden="false" customHeight="false" outlineLevel="0" collapsed="false">
      <c r="A3282" s="0" t="s">
        <v>2041</v>
      </c>
      <c r="B3282" s="0" t="s">
        <v>2042</v>
      </c>
      <c r="C3282" s="0" t="s">
        <v>2339</v>
      </c>
      <c r="D3282" s="0" t="s">
        <v>2279</v>
      </c>
      <c r="E3282" s="0" t="s">
        <v>2279</v>
      </c>
      <c r="F3282" s="0" t="s">
        <v>2292</v>
      </c>
      <c r="G3282" s="0" t="s">
        <v>2293</v>
      </c>
      <c r="H3282" s="0" t="s">
        <v>2318</v>
      </c>
      <c r="J3282" s="0" t="s">
        <v>2345</v>
      </c>
      <c r="K3282" s="272" t="n">
        <v>-80.2671987824354</v>
      </c>
    </row>
    <row r="3283" customFormat="false" ht="15" hidden="false" customHeight="false" outlineLevel="0" collapsed="false">
      <c r="A3283" s="0" t="s">
        <v>2041</v>
      </c>
      <c r="B3283" s="0" t="s">
        <v>2042</v>
      </c>
      <c r="C3283" s="0" t="s">
        <v>2339</v>
      </c>
      <c r="D3283" s="0" t="s">
        <v>2105</v>
      </c>
      <c r="E3283" s="0" t="s">
        <v>2045</v>
      </c>
      <c r="F3283" s="0" t="s">
        <v>2176</v>
      </c>
      <c r="G3283" s="0" t="s">
        <v>2177</v>
      </c>
      <c r="H3283" s="0" t="s">
        <v>2180</v>
      </c>
      <c r="J3283" s="0" t="s">
        <v>2345</v>
      </c>
      <c r="K3283" s="272" t="n">
        <v>-1428.17174876283</v>
      </c>
    </row>
    <row r="3284" customFormat="false" ht="15" hidden="false" customHeight="false" outlineLevel="0" collapsed="false">
      <c r="A3284" s="0" t="s">
        <v>2041</v>
      </c>
      <c r="B3284" s="0" t="s">
        <v>2042</v>
      </c>
      <c r="C3284" s="0" t="s">
        <v>2339</v>
      </c>
      <c r="D3284" s="0" t="s">
        <v>2105</v>
      </c>
      <c r="E3284" s="0" t="s">
        <v>2045</v>
      </c>
      <c r="F3284" s="0" t="s">
        <v>2215</v>
      </c>
      <c r="G3284" s="0" t="s">
        <v>2218</v>
      </c>
      <c r="H3284" s="0" t="s">
        <v>2219</v>
      </c>
      <c r="J3284" s="0" t="s">
        <v>2345</v>
      </c>
      <c r="K3284" s="272" t="n">
        <v>-2014.48639860173</v>
      </c>
    </row>
    <row r="3285" customFormat="false" ht="15" hidden="false" customHeight="false" outlineLevel="0" collapsed="false">
      <c r="A3285" s="0" t="s">
        <v>2041</v>
      </c>
      <c r="B3285" s="0" t="s">
        <v>2042</v>
      </c>
      <c r="C3285" s="0" t="s">
        <v>2339</v>
      </c>
      <c r="D3285" s="0" t="s">
        <v>2105</v>
      </c>
      <c r="E3285" s="0" t="s">
        <v>2045</v>
      </c>
      <c r="F3285" s="0" t="s">
        <v>2215</v>
      </c>
      <c r="G3285" s="0" t="s">
        <v>2218</v>
      </c>
      <c r="H3285" s="0" t="s">
        <v>2220</v>
      </c>
      <c r="J3285" s="0" t="s">
        <v>2345</v>
      </c>
      <c r="K3285" s="272" t="n">
        <v>-3267.02881773701</v>
      </c>
    </row>
    <row r="3286" customFormat="false" ht="15" hidden="false" customHeight="false" outlineLevel="0" collapsed="false">
      <c r="A3286" s="0" t="s">
        <v>2041</v>
      </c>
      <c r="B3286" s="0" t="s">
        <v>2042</v>
      </c>
      <c r="C3286" s="0" t="s">
        <v>2339</v>
      </c>
      <c r="D3286" s="0" t="s">
        <v>2105</v>
      </c>
      <c r="E3286" s="0" t="s">
        <v>2045</v>
      </c>
      <c r="F3286" s="0" t="s">
        <v>2215</v>
      </c>
      <c r="G3286" s="0" t="s">
        <v>2218</v>
      </c>
      <c r="H3286" s="0" t="s">
        <v>2221</v>
      </c>
      <c r="J3286" s="0" t="s">
        <v>2345</v>
      </c>
      <c r="K3286" s="272" t="n">
        <v>-2827.04295734892</v>
      </c>
    </row>
    <row r="3287" customFormat="false" ht="15" hidden="false" customHeight="false" outlineLevel="0" collapsed="false">
      <c r="A3287" s="0" t="s">
        <v>2041</v>
      </c>
      <c r="B3287" s="0" t="s">
        <v>2042</v>
      </c>
      <c r="C3287" s="0" t="s">
        <v>2339</v>
      </c>
      <c r="D3287" s="0" t="s">
        <v>2105</v>
      </c>
      <c r="E3287" s="0" t="s">
        <v>2045</v>
      </c>
      <c r="F3287" s="0" t="s">
        <v>2215</v>
      </c>
      <c r="G3287" s="0" t="s">
        <v>2218</v>
      </c>
      <c r="H3287" s="0" t="s">
        <v>2222</v>
      </c>
      <c r="J3287" s="0" t="s">
        <v>2345</v>
      </c>
      <c r="K3287" s="272" t="n">
        <v>-584.146560020853</v>
      </c>
    </row>
    <row r="3288" customFormat="false" ht="15" hidden="false" customHeight="false" outlineLevel="0" collapsed="false">
      <c r="A3288" s="0" t="s">
        <v>2041</v>
      </c>
      <c r="B3288" s="0" t="s">
        <v>2042</v>
      </c>
      <c r="C3288" s="0" t="s">
        <v>2339</v>
      </c>
      <c r="D3288" s="0" t="s">
        <v>2105</v>
      </c>
      <c r="E3288" s="0" t="s">
        <v>2045</v>
      </c>
      <c r="F3288" s="0" t="s">
        <v>2215</v>
      </c>
      <c r="G3288" s="0" t="s">
        <v>2223</v>
      </c>
      <c r="H3288" s="0" t="s">
        <v>2222</v>
      </c>
      <c r="J3288" s="0" t="s">
        <v>2345</v>
      </c>
      <c r="K3288" s="272" t="n">
        <v>-786.863275365719</v>
      </c>
    </row>
    <row r="3289" customFormat="false" ht="15" hidden="false" customHeight="false" outlineLevel="0" collapsed="false">
      <c r="A3289" s="0" t="s">
        <v>2041</v>
      </c>
      <c r="B3289" s="0" t="s">
        <v>2042</v>
      </c>
      <c r="C3289" s="0" t="s">
        <v>2339</v>
      </c>
      <c r="D3289" s="0" t="s">
        <v>2105</v>
      </c>
      <c r="E3289" s="0" t="s">
        <v>2045</v>
      </c>
      <c r="F3289" s="0" t="s">
        <v>2215</v>
      </c>
      <c r="G3289" s="0" t="s">
        <v>2223</v>
      </c>
      <c r="H3289" s="0" t="s">
        <v>2224</v>
      </c>
      <c r="J3289" s="0" t="s">
        <v>2345</v>
      </c>
      <c r="K3289" s="272" t="n">
        <v>-556.714071637502</v>
      </c>
    </row>
    <row r="3290" customFormat="false" ht="15" hidden="false" customHeight="false" outlineLevel="0" collapsed="false">
      <c r="A3290" s="0" t="s">
        <v>2041</v>
      </c>
      <c r="B3290" s="0" t="s">
        <v>2042</v>
      </c>
      <c r="C3290" s="0" t="s">
        <v>2339</v>
      </c>
      <c r="D3290" s="0" t="s">
        <v>2044</v>
      </c>
      <c r="E3290" s="0" t="s">
        <v>2045</v>
      </c>
      <c r="F3290" s="0" t="s">
        <v>2046</v>
      </c>
      <c r="G3290" s="0" t="s">
        <v>2047</v>
      </c>
      <c r="H3290" s="0" t="s">
        <v>2048</v>
      </c>
      <c r="J3290" s="0" t="s">
        <v>2345</v>
      </c>
      <c r="K3290" s="272" t="n">
        <v>-39.9517540426287</v>
      </c>
    </row>
    <row r="3291" customFormat="false" ht="15" hidden="false" customHeight="false" outlineLevel="0" collapsed="false">
      <c r="A3291" s="0" t="s">
        <v>2041</v>
      </c>
      <c r="B3291" s="0" t="s">
        <v>2042</v>
      </c>
      <c r="C3291" s="0" t="s">
        <v>2339</v>
      </c>
      <c r="D3291" s="0" t="s">
        <v>2044</v>
      </c>
      <c r="E3291" s="0" t="s">
        <v>2045</v>
      </c>
      <c r="F3291" s="0" t="s">
        <v>2046</v>
      </c>
      <c r="G3291" s="0" t="s">
        <v>2053</v>
      </c>
      <c r="H3291" s="0" t="s">
        <v>2048</v>
      </c>
      <c r="J3291" s="0" t="s">
        <v>2345</v>
      </c>
      <c r="K3291" s="272" t="n">
        <v>-146.726482643989</v>
      </c>
    </row>
    <row r="3292" customFormat="false" ht="15" hidden="false" customHeight="false" outlineLevel="0" collapsed="false">
      <c r="A3292" s="0" t="s">
        <v>2041</v>
      </c>
      <c r="B3292" s="0" t="s">
        <v>2042</v>
      </c>
      <c r="C3292" s="0" t="s">
        <v>2339</v>
      </c>
      <c r="D3292" s="0" t="s">
        <v>2044</v>
      </c>
      <c r="E3292" s="0" t="s">
        <v>2045</v>
      </c>
      <c r="F3292" s="0" t="s">
        <v>2046</v>
      </c>
      <c r="G3292" s="0" t="s">
        <v>2054</v>
      </c>
      <c r="H3292" s="0" t="s">
        <v>2048</v>
      </c>
      <c r="J3292" s="0" t="s">
        <v>2345</v>
      </c>
      <c r="K3292" s="272" t="n">
        <v>-63.9576975627644</v>
      </c>
    </row>
    <row r="3293" customFormat="false" ht="15" hidden="false" customHeight="false" outlineLevel="0" collapsed="false">
      <c r="A3293" s="0" t="s">
        <v>2041</v>
      </c>
      <c r="B3293" s="0" t="s">
        <v>2042</v>
      </c>
      <c r="C3293" s="0" t="s">
        <v>2339</v>
      </c>
      <c r="D3293" s="0" t="s">
        <v>2044</v>
      </c>
      <c r="E3293" s="0" t="s">
        <v>2045</v>
      </c>
      <c r="F3293" s="0" t="s">
        <v>2046</v>
      </c>
      <c r="G3293" s="0" t="s">
        <v>2055</v>
      </c>
      <c r="H3293" s="0" t="s">
        <v>2048</v>
      </c>
      <c r="J3293" s="0" t="s">
        <v>2345</v>
      </c>
      <c r="K3293" s="272" t="n">
        <v>-31.2959879884509</v>
      </c>
    </row>
    <row r="3294" customFormat="false" ht="15" hidden="false" customHeight="false" outlineLevel="0" collapsed="false">
      <c r="A3294" s="0" t="s">
        <v>2041</v>
      </c>
      <c r="B3294" s="0" t="s">
        <v>2042</v>
      </c>
      <c r="C3294" s="0" t="s">
        <v>2339</v>
      </c>
      <c r="D3294" s="0" t="s">
        <v>2044</v>
      </c>
      <c r="E3294" s="0" t="s">
        <v>2045</v>
      </c>
      <c r="F3294" s="0" t="s">
        <v>2046</v>
      </c>
      <c r="G3294" s="0" t="s">
        <v>2056</v>
      </c>
      <c r="H3294" s="0" t="s">
        <v>2048</v>
      </c>
      <c r="J3294" s="0" t="s">
        <v>2345</v>
      </c>
      <c r="K3294" s="272" t="n">
        <v>-6.77202777597471</v>
      </c>
    </row>
    <row r="3295" customFormat="false" ht="15" hidden="false" customHeight="false" outlineLevel="0" collapsed="false">
      <c r="A3295" s="0" t="s">
        <v>2041</v>
      </c>
      <c r="B3295" s="0" t="s">
        <v>2042</v>
      </c>
      <c r="C3295" s="0" t="s">
        <v>2339</v>
      </c>
      <c r="D3295" s="0" t="s">
        <v>2044</v>
      </c>
      <c r="E3295" s="0" t="s">
        <v>2045</v>
      </c>
      <c r="F3295" s="0" t="s">
        <v>2046</v>
      </c>
      <c r="G3295" s="0" t="s">
        <v>2057</v>
      </c>
      <c r="H3295" s="0" t="s">
        <v>2048</v>
      </c>
      <c r="J3295" s="0" t="s">
        <v>2345</v>
      </c>
      <c r="K3295" s="272" t="n">
        <v>-62.5919759769019</v>
      </c>
    </row>
    <row r="3296" customFormat="false" ht="15" hidden="false" customHeight="false" outlineLevel="0" collapsed="false">
      <c r="A3296" s="0" t="s">
        <v>2041</v>
      </c>
      <c r="B3296" s="0" t="s">
        <v>2042</v>
      </c>
      <c r="C3296" s="0" t="s">
        <v>2339</v>
      </c>
      <c r="D3296" s="0" t="s">
        <v>2044</v>
      </c>
      <c r="E3296" s="0" t="s">
        <v>2045</v>
      </c>
      <c r="F3296" s="0" t="s">
        <v>2046</v>
      </c>
      <c r="G3296" s="0" t="s">
        <v>2058</v>
      </c>
      <c r="H3296" s="0" t="s">
        <v>2048</v>
      </c>
      <c r="J3296" s="0" t="s">
        <v>2345</v>
      </c>
      <c r="K3296" s="272" t="n">
        <v>-60.1954800590724</v>
      </c>
    </row>
    <row r="3297" customFormat="false" ht="15" hidden="false" customHeight="false" outlineLevel="0" collapsed="false">
      <c r="A3297" s="0" t="s">
        <v>2041</v>
      </c>
      <c r="B3297" s="0" t="s">
        <v>2042</v>
      </c>
      <c r="C3297" s="0" t="s">
        <v>2339</v>
      </c>
      <c r="D3297" s="0" t="s">
        <v>2044</v>
      </c>
      <c r="E3297" s="0" t="s">
        <v>2045</v>
      </c>
      <c r="F3297" s="0" t="s">
        <v>2046</v>
      </c>
      <c r="G3297" s="0" t="s">
        <v>2059</v>
      </c>
      <c r="H3297" s="0" t="s">
        <v>2048</v>
      </c>
      <c r="J3297" s="0" t="s">
        <v>2345</v>
      </c>
      <c r="K3297" s="272" t="n">
        <v>-102.047021558015</v>
      </c>
    </row>
    <row r="3298" customFormat="false" ht="15" hidden="false" customHeight="false" outlineLevel="0" collapsed="false">
      <c r="A3298" s="0" t="s">
        <v>2041</v>
      </c>
      <c r="B3298" s="0" t="s">
        <v>2042</v>
      </c>
      <c r="C3298" s="0" t="s">
        <v>2339</v>
      </c>
      <c r="D3298" s="0" t="s">
        <v>2044</v>
      </c>
      <c r="E3298" s="0" t="s">
        <v>2045</v>
      </c>
      <c r="F3298" s="0" t="s">
        <v>2046</v>
      </c>
      <c r="G3298" s="0" t="s">
        <v>2060</v>
      </c>
      <c r="H3298" s="0" t="s">
        <v>2048</v>
      </c>
      <c r="J3298" s="0" t="s">
        <v>2345</v>
      </c>
      <c r="K3298" s="272" t="n">
        <v>-198.424149576952</v>
      </c>
    </row>
    <row r="3299" customFormat="false" ht="15" hidden="false" customHeight="false" outlineLevel="0" collapsed="false">
      <c r="A3299" s="0" t="s">
        <v>2041</v>
      </c>
      <c r="B3299" s="0" t="s">
        <v>2042</v>
      </c>
      <c r="C3299" s="0" t="s">
        <v>2339</v>
      </c>
      <c r="D3299" s="0" t="s">
        <v>2044</v>
      </c>
      <c r="E3299" s="0" t="s">
        <v>2045</v>
      </c>
      <c r="F3299" s="0" t="s">
        <v>2046</v>
      </c>
      <c r="G3299" s="0" t="s">
        <v>2061</v>
      </c>
      <c r="H3299" s="0" t="s">
        <v>2048</v>
      </c>
      <c r="J3299" s="0" t="s">
        <v>2345</v>
      </c>
      <c r="K3299" s="272" t="n">
        <v>-196.419815779615</v>
      </c>
    </row>
    <row r="3300" customFormat="false" ht="15" hidden="false" customHeight="false" outlineLevel="0" collapsed="false">
      <c r="A3300" s="0" t="s">
        <v>2041</v>
      </c>
      <c r="B3300" s="0" t="s">
        <v>2042</v>
      </c>
      <c r="C3300" s="0" t="s">
        <v>2339</v>
      </c>
      <c r="D3300" s="0" t="s">
        <v>2044</v>
      </c>
      <c r="E3300" s="0" t="s">
        <v>2045</v>
      </c>
      <c r="F3300" s="0" t="s">
        <v>2046</v>
      </c>
      <c r="G3300" s="0" t="s">
        <v>2062</v>
      </c>
      <c r="H3300" s="0" t="s">
        <v>2048</v>
      </c>
      <c r="J3300" s="0" t="s">
        <v>2345</v>
      </c>
      <c r="K3300" s="272" t="n">
        <v>-107.638210653025</v>
      </c>
    </row>
    <row r="3301" customFormat="false" ht="15" hidden="false" customHeight="false" outlineLevel="0" collapsed="false">
      <c r="A3301" s="0" t="s">
        <v>2041</v>
      </c>
      <c r="B3301" s="0" t="s">
        <v>2042</v>
      </c>
      <c r="C3301" s="0" t="s">
        <v>2339</v>
      </c>
      <c r="D3301" s="0" t="s">
        <v>2044</v>
      </c>
      <c r="E3301" s="0" t="s">
        <v>2045</v>
      </c>
      <c r="F3301" s="0" t="s">
        <v>2046</v>
      </c>
      <c r="G3301" s="0" t="s">
        <v>2063</v>
      </c>
      <c r="H3301" s="0" t="s">
        <v>2048</v>
      </c>
      <c r="J3301" s="0" t="s">
        <v>2345</v>
      </c>
      <c r="K3301" s="272" t="n">
        <v>-350.990810259968</v>
      </c>
    </row>
    <row r="3302" customFormat="false" ht="15" hidden="false" customHeight="false" outlineLevel="0" collapsed="false">
      <c r="A3302" s="0" t="s">
        <v>2041</v>
      </c>
      <c r="B3302" s="0" t="s">
        <v>2042</v>
      </c>
      <c r="C3302" s="0" t="s">
        <v>2339</v>
      </c>
      <c r="D3302" s="0" t="s">
        <v>2044</v>
      </c>
      <c r="E3302" s="0" t="s">
        <v>2045</v>
      </c>
      <c r="F3302" s="0" t="s">
        <v>2046</v>
      </c>
      <c r="G3302" s="0" t="s">
        <v>2064</v>
      </c>
      <c r="H3302" s="0" t="s">
        <v>2048</v>
      </c>
      <c r="J3302" s="0" t="s">
        <v>2345</v>
      </c>
      <c r="K3302" s="272" t="n">
        <v>-218.007683131129</v>
      </c>
    </row>
    <row r="3303" customFormat="false" ht="15" hidden="false" customHeight="false" outlineLevel="0" collapsed="false">
      <c r="A3303" s="0" t="s">
        <v>2041</v>
      </c>
      <c r="B3303" s="0" t="s">
        <v>2042</v>
      </c>
      <c r="C3303" s="0" t="s">
        <v>2339</v>
      </c>
      <c r="D3303" s="0" t="s">
        <v>2044</v>
      </c>
      <c r="E3303" s="0" t="s">
        <v>2045</v>
      </c>
      <c r="F3303" s="0" t="s">
        <v>2046</v>
      </c>
      <c r="G3303" s="0" t="s">
        <v>2065</v>
      </c>
      <c r="H3303" s="0" t="s">
        <v>2048</v>
      </c>
      <c r="J3303" s="0" t="s">
        <v>2345</v>
      </c>
      <c r="K3303" s="272" t="n">
        <v>-74.4919428424312</v>
      </c>
    </row>
    <row r="3304" customFormat="false" ht="15" hidden="false" customHeight="false" outlineLevel="0" collapsed="false">
      <c r="A3304" s="0" t="s">
        <v>2041</v>
      </c>
      <c r="B3304" s="0" t="s">
        <v>2042</v>
      </c>
      <c r="C3304" s="0" t="s">
        <v>2339</v>
      </c>
      <c r="D3304" s="0" t="s">
        <v>2044</v>
      </c>
      <c r="E3304" s="0" t="s">
        <v>2045</v>
      </c>
      <c r="F3304" s="0" t="s">
        <v>2046</v>
      </c>
      <c r="G3304" s="0" t="s">
        <v>2066</v>
      </c>
      <c r="H3304" s="0" t="s">
        <v>2048</v>
      </c>
      <c r="J3304" s="0" t="s">
        <v>2345</v>
      </c>
      <c r="K3304" s="272" t="n">
        <v>-194.169213237941</v>
      </c>
    </row>
    <row r="3305" customFormat="false" ht="15" hidden="false" customHeight="false" outlineLevel="0" collapsed="false">
      <c r="A3305" s="0" t="s">
        <v>2041</v>
      </c>
      <c r="B3305" s="0" t="s">
        <v>2042</v>
      </c>
      <c r="C3305" s="0" t="s">
        <v>2339</v>
      </c>
      <c r="D3305" s="0" t="s">
        <v>2044</v>
      </c>
      <c r="E3305" s="0" t="s">
        <v>2045</v>
      </c>
      <c r="F3305" s="0" t="s">
        <v>2046</v>
      </c>
      <c r="G3305" s="0" t="s">
        <v>2067</v>
      </c>
      <c r="H3305" s="0" t="s">
        <v>2048</v>
      </c>
      <c r="J3305" s="0" t="s">
        <v>2345</v>
      </c>
      <c r="K3305" s="272" t="n">
        <v>-21.9183716125993</v>
      </c>
    </row>
    <row r="3306" customFormat="false" ht="15" hidden="false" customHeight="false" outlineLevel="0" collapsed="false">
      <c r="A3306" s="0" t="s">
        <v>2041</v>
      </c>
      <c r="B3306" s="0" t="s">
        <v>2042</v>
      </c>
      <c r="C3306" s="0" t="s">
        <v>2339</v>
      </c>
      <c r="D3306" s="0" t="s">
        <v>2044</v>
      </c>
      <c r="E3306" s="0" t="s">
        <v>2045</v>
      </c>
      <c r="F3306" s="0" t="s">
        <v>2046</v>
      </c>
      <c r="G3306" s="0" t="s">
        <v>2068</v>
      </c>
      <c r="H3306" s="0" t="s">
        <v>2048</v>
      </c>
      <c r="J3306" s="0" t="s">
        <v>2345</v>
      </c>
      <c r="K3306" s="272" t="n">
        <v>-195.635310191985</v>
      </c>
    </row>
    <row r="3307" customFormat="false" ht="15" hidden="false" customHeight="false" outlineLevel="0" collapsed="false">
      <c r="A3307" s="0" t="s">
        <v>2041</v>
      </c>
      <c r="B3307" s="0" t="s">
        <v>2042</v>
      </c>
      <c r="C3307" s="0" t="s">
        <v>2339</v>
      </c>
      <c r="D3307" s="0" t="s">
        <v>2044</v>
      </c>
      <c r="E3307" s="0" t="s">
        <v>2045</v>
      </c>
      <c r="F3307" s="0" t="s">
        <v>2046</v>
      </c>
      <c r="G3307" s="0" t="s">
        <v>2069</v>
      </c>
      <c r="H3307" s="0" t="s">
        <v>2048</v>
      </c>
      <c r="J3307" s="0" t="s">
        <v>2345</v>
      </c>
      <c r="K3307" s="272" t="n">
        <v>-75.2443500738405</v>
      </c>
    </row>
    <row r="3308" customFormat="false" ht="15" hidden="false" customHeight="false" outlineLevel="0" collapsed="false">
      <c r="A3308" s="0" t="s">
        <v>2041</v>
      </c>
      <c r="B3308" s="0" t="s">
        <v>2042</v>
      </c>
      <c r="C3308" s="0" t="s">
        <v>2339</v>
      </c>
      <c r="D3308" s="0" t="s">
        <v>2044</v>
      </c>
      <c r="E3308" s="0" t="s">
        <v>2045</v>
      </c>
      <c r="F3308" s="0" t="s">
        <v>2046</v>
      </c>
      <c r="G3308" s="0" t="s">
        <v>2070</v>
      </c>
      <c r="H3308" s="0" t="s">
        <v>2048</v>
      </c>
      <c r="J3308" s="0" t="s">
        <v>2345</v>
      </c>
      <c r="K3308" s="272" t="n">
        <v>-56.2657889284326</v>
      </c>
    </row>
    <row r="3309" customFormat="false" ht="15" hidden="false" customHeight="false" outlineLevel="0" collapsed="false">
      <c r="A3309" s="0" t="s">
        <v>2041</v>
      </c>
      <c r="B3309" s="0" t="s">
        <v>2042</v>
      </c>
      <c r="C3309" s="0" t="s">
        <v>2339</v>
      </c>
      <c r="D3309" s="0" t="s">
        <v>2044</v>
      </c>
      <c r="E3309" s="0" t="s">
        <v>2045</v>
      </c>
      <c r="F3309" s="0" t="s">
        <v>2046</v>
      </c>
      <c r="G3309" s="0" t="s">
        <v>2071</v>
      </c>
      <c r="H3309" s="0" t="s">
        <v>2048</v>
      </c>
      <c r="J3309" s="0" t="s">
        <v>2345</v>
      </c>
      <c r="K3309" s="272" t="n">
        <v>-63.9576975627644</v>
      </c>
    </row>
    <row r="3310" customFormat="false" ht="15" hidden="false" customHeight="false" outlineLevel="0" collapsed="false">
      <c r="A3310" s="0" t="s">
        <v>2041</v>
      </c>
      <c r="B3310" s="0" t="s">
        <v>2042</v>
      </c>
      <c r="C3310" s="0" t="s">
        <v>2339</v>
      </c>
      <c r="D3310" s="0" t="s">
        <v>2044</v>
      </c>
      <c r="E3310" s="0" t="s">
        <v>2045</v>
      </c>
      <c r="F3310" s="0" t="s">
        <v>2046</v>
      </c>
      <c r="G3310" s="0" t="s">
        <v>2072</v>
      </c>
      <c r="H3310" s="0" t="s">
        <v>2048</v>
      </c>
      <c r="J3310" s="0" t="s">
        <v>2345</v>
      </c>
      <c r="K3310" s="272" t="n">
        <v>-74.7703099429888</v>
      </c>
    </row>
    <row r="3311" customFormat="false" ht="15" hidden="false" customHeight="false" outlineLevel="0" collapsed="false">
      <c r="A3311" s="0" t="s">
        <v>2041</v>
      </c>
      <c r="B3311" s="0" t="s">
        <v>2042</v>
      </c>
      <c r="C3311" s="0" t="s">
        <v>2339</v>
      </c>
      <c r="D3311" s="0" t="s">
        <v>2044</v>
      </c>
      <c r="E3311" s="0" t="s">
        <v>2045</v>
      </c>
      <c r="F3311" s="0" t="s">
        <v>2046</v>
      </c>
      <c r="G3311" s="0" t="s">
        <v>2073</v>
      </c>
      <c r="H3311" s="0" t="s">
        <v>2048</v>
      </c>
      <c r="J3311" s="0" t="s">
        <v>2345</v>
      </c>
      <c r="K3311" s="272" t="n">
        <v>-100.281249272589</v>
      </c>
    </row>
    <row r="3312" customFormat="false" ht="15" hidden="false" customHeight="false" outlineLevel="0" collapsed="false">
      <c r="A3312" s="0" t="s">
        <v>2041</v>
      </c>
      <c r="B3312" s="0" t="s">
        <v>2042</v>
      </c>
      <c r="C3312" s="0" t="s">
        <v>2339</v>
      </c>
      <c r="D3312" s="0" t="s">
        <v>2044</v>
      </c>
      <c r="E3312" s="0" t="s">
        <v>2045</v>
      </c>
      <c r="F3312" s="0" t="s">
        <v>2046</v>
      </c>
      <c r="G3312" s="0" t="s">
        <v>2074</v>
      </c>
      <c r="H3312" s="0" t="s">
        <v>2048</v>
      </c>
      <c r="J3312" s="0" t="s">
        <v>2345</v>
      </c>
      <c r="K3312" s="272" t="n">
        <v>-62.5919759769019</v>
      </c>
    </row>
    <row r="3313" customFormat="false" ht="15" hidden="false" customHeight="false" outlineLevel="0" collapsed="false">
      <c r="A3313" s="0" t="s">
        <v>2041</v>
      </c>
      <c r="B3313" s="0" t="s">
        <v>2042</v>
      </c>
      <c r="C3313" s="0" t="s">
        <v>2339</v>
      </c>
      <c r="D3313" s="0" t="s">
        <v>2044</v>
      </c>
      <c r="E3313" s="0" t="s">
        <v>2045</v>
      </c>
      <c r="F3313" s="0" t="s">
        <v>2046</v>
      </c>
      <c r="G3313" s="0" t="s">
        <v>2075</v>
      </c>
      <c r="H3313" s="0" t="s">
        <v>2048</v>
      </c>
      <c r="J3313" s="0" t="s">
        <v>2345</v>
      </c>
      <c r="K3313" s="272" t="n">
        <v>-4.49458593079413</v>
      </c>
    </row>
    <row r="3314" customFormat="false" ht="15" hidden="false" customHeight="false" outlineLevel="0" collapsed="false">
      <c r="A3314" s="0" t="s">
        <v>2041</v>
      </c>
      <c r="B3314" s="0" t="s">
        <v>2042</v>
      </c>
      <c r="C3314" s="0" t="s">
        <v>2339</v>
      </c>
      <c r="D3314" s="0" t="s">
        <v>2044</v>
      </c>
      <c r="E3314" s="0" t="s">
        <v>2045</v>
      </c>
      <c r="F3314" s="0" t="s">
        <v>2046</v>
      </c>
      <c r="G3314" s="0" t="s">
        <v>2076</v>
      </c>
      <c r="H3314" s="0" t="s">
        <v>2048</v>
      </c>
      <c r="J3314" s="0" t="s">
        <v>2345</v>
      </c>
      <c r="K3314" s="272" t="n">
        <v>-128.230122228472</v>
      </c>
    </row>
    <row r="3315" customFormat="false" ht="15" hidden="false" customHeight="false" outlineLevel="0" collapsed="false">
      <c r="A3315" s="0" t="s">
        <v>2041</v>
      </c>
      <c r="B3315" s="0" t="s">
        <v>2042</v>
      </c>
      <c r="C3315" s="0" t="s">
        <v>2339</v>
      </c>
      <c r="D3315" s="0" t="s">
        <v>2044</v>
      </c>
      <c r="E3315" s="0" t="s">
        <v>2045</v>
      </c>
      <c r="F3315" s="0" t="s">
        <v>2046</v>
      </c>
      <c r="G3315" s="0" t="s">
        <v>2077</v>
      </c>
      <c r="H3315" s="0" t="s">
        <v>2048</v>
      </c>
      <c r="J3315" s="0" t="s">
        <v>2345</v>
      </c>
      <c r="K3315" s="272" t="n">
        <v>-67.7199150664565</v>
      </c>
    </row>
    <row r="3316" customFormat="false" ht="15" hidden="false" customHeight="false" outlineLevel="0" collapsed="false">
      <c r="A3316" s="0" t="s">
        <v>2041</v>
      </c>
      <c r="B3316" s="0" t="s">
        <v>2042</v>
      </c>
      <c r="C3316" s="0" t="s">
        <v>2339</v>
      </c>
      <c r="D3316" s="0" t="s">
        <v>2044</v>
      </c>
      <c r="E3316" s="0" t="s">
        <v>2045</v>
      </c>
      <c r="F3316" s="0" t="s">
        <v>2046</v>
      </c>
      <c r="G3316" s="0" t="s">
        <v>2078</v>
      </c>
      <c r="H3316" s="0" t="s">
        <v>2048</v>
      </c>
      <c r="J3316" s="0" t="s">
        <v>2345</v>
      </c>
      <c r="K3316" s="272" t="n">
        <v>-268.59795677448</v>
      </c>
    </row>
    <row r="3317" customFormat="false" ht="15" hidden="false" customHeight="false" outlineLevel="0" collapsed="false">
      <c r="A3317" s="0" t="s">
        <v>2041</v>
      </c>
      <c r="B3317" s="0" t="s">
        <v>2042</v>
      </c>
      <c r="C3317" s="0" t="s">
        <v>2339</v>
      </c>
      <c r="D3317" s="0" t="s">
        <v>2044</v>
      </c>
      <c r="E3317" s="0" t="s">
        <v>2045</v>
      </c>
      <c r="F3317" s="0" t="s">
        <v>2046</v>
      </c>
      <c r="G3317" s="0" t="s">
        <v>2079</v>
      </c>
      <c r="H3317" s="0" t="s">
        <v>2048</v>
      </c>
      <c r="J3317" s="0" t="s">
        <v>2345</v>
      </c>
      <c r="K3317" s="272" t="n">
        <v>-75.2443500738405</v>
      </c>
    </row>
    <row r="3318" customFormat="false" ht="15" hidden="false" customHeight="false" outlineLevel="0" collapsed="false">
      <c r="A3318" s="0" t="s">
        <v>2041</v>
      </c>
      <c r="B3318" s="0" t="s">
        <v>2042</v>
      </c>
      <c r="C3318" s="0" t="s">
        <v>2339</v>
      </c>
      <c r="D3318" s="0" t="s">
        <v>2044</v>
      </c>
      <c r="E3318" s="0" t="s">
        <v>2045</v>
      </c>
      <c r="F3318" s="0" t="s">
        <v>2046</v>
      </c>
      <c r="G3318" s="0" t="s">
        <v>2080</v>
      </c>
      <c r="H3318" s="0" t="s">
        <v>2048</v>
      </c>
      <c r="J3318" s="0" t="s">
        <v>2345</v>
      </c>
      <c r="K3318" s="272" t="n">
        <v>-71.4821325701485</v>
      </c>
    </row>
    <row r="3319" customFormat="false" ht="15" hidden="false" customHeight="false" outlineLevel="0" collapsed="false">
      <c r="A3319" s="0" t="s">
        <v>2041</v>
      </c>
      <c r="B3319" s="0" t="s">
        <v>2042</v>
      </c>
      <c r="C3319" s="0" t="s">
        <v>2339</v>
      </c>
      <c r="D3319" s="0" t="s">
        <v>2044</v>
      </c>
      <c r="E3319" s="0" t="s">
        <v>2045</v>
      </c>
      <c r="F3319" s="0" t="s">
        <v>2046</v>
      </c>
      <c r="G3319" s="0" t="s">
        <v>2081</v>
      </c>
      <c r="H3319" s="0" t="s">
        <v>2048</v>
      </c>
      <c r="J3319" s="0" t="s">
        <v>2345</v>
      </c>
      <c r="K3319" s="272" t="n">
        <v>-282.795404289498</v>
      </c>
    </row>
    <row r="3320" customFormat="false" ht="15" hidden="false" customHeight="false" outlineLevel="0" collapsed="false">
      <c r="A3320" s="0" t="s">
        <v>2041</v>
      </c>
      <c r="B3320" s="0" t="s">
        <v>2042</v>
      </c>
      <c r="C3320" s="0" t="s">
        <v>2339</v>
      </c>
      <c r="D3320" s="0" t="s">
        <v>2044</v>
      </c>
      <c r="E3320" s="0" t="s">
        <v>2045</v>
      </c>
      <c r="F3320" s="0" t="s">
        <v>2046</v>
      </c>
      <c r="G3320" s="0" t="s">
        <v>2082</v>
      </c>
      <c r="H3320" s="0" t="s">
        <v>2048</v>
      </c>
      <c r="J3320" s="0" t="s">
        <v>2345</v>
      </c>
      <c r="K3320" s="272" t="n">
        <v>-742.66583366299</v>
      </c>
    </row>
    <row r="3321" customFormat="false" ht="15" hidden="false" customHeight="false" outlineLevel="0" collapsed="false">
      <c r="A3321" s="0" t="s">
        <v>2041</v>
      </c>
      <c r="B3321" s="0" t="s">
        <v>2042</v>
      </c>
      <c r="C3321" s="0" t="s">
        <v>2339</v>
      </c>
      <c r="D3321" s="0" t="s">
        <v>2044</v>
      </c>
      <c r="E3321" s="0" t="s">
        <v>2045</v>
      </c>
      <c r="F3321" s="0" t="s">
        <v>2046</v>
      </c>
      <c r="G3321" s="0" t="s">
        <v>2083</v>
      </c>
      <c r="H3321" s="0" t="s">
        <v>2048</v>
      </c>
      <c r="J3321" s="0" t="s">
        <v>2345</v>
      </c>
      <c r="K3321" s="272" t="n">
        <v>-297.688316189295</v>
      </c>
    </row>
    <row r="3322" customFormat="false" ht="15" hidden="false" customHeight="false" outlineLevel="0" collapsed="false">
      <c r="A3322" s="0" t="s">
        <v>2041</v>
      </c>
      <c r="B3322" s="0" t="s">
        <v>2042</v>
      </c>
      <c r="C3322" s="0" t="s">
        <v>2339</v>
      </c>
      <c r="D3322" s="0" t="s">
        <v>2044</v>
      </c>
      <c r="E3322" s="0" t="s">
        <v>2045</v>
      </c>
      <c r="F3322" s="0" t="s">
        <v>2046</v>
      </c>
      <c r="G3322" s="0" t="s">
        <v>2084</v>
      </c>
      <c r="H3322" s="0" t="s">
        <v>2048</v>
      </c>
      <c r="J3322" s="0" t="s">
        <v>2345</v>
      </c>
      <c r="K3322" s="272" t="n">
        <v>-64.9884718947313</v>
      </c>
    </row>
    <row r="3323" customFormat="false" ht="15" hidden="false" customHeight="false" outlineLevel="0" collapsed="false">
      <c r="A3323" s="0" t="s">
        <v>2041</v>
      </c>
      <c r="B3323" s="0" t="s">
        <v>2042</v>
      </c>
      <c r="C3323" s="0" t="s">
        <v>2339</v>
      </c>
      <c r="D3323" s="0" t="s">
        <v>2044</v>
      </c>
      <c r="E3323" s="0" t="s">
        <v>2045</v>
      </c>
      <c r="F3323" s="0" t="s">
        <v>2046</v>
      </c>
      <c r="G3323" s="0" t="s">
        <v>2085</v>
      </c>
      <c r="H3323" s="0" t="s">
        <v>2048</v>
      </c>
      <c r="J3323" s="0" t="s">
        <v>2345</v>
      </c>
      <c r="K3323" s="272" t="n">
        <v>-507.695620042413</v>
      </c>
    </row>
    <row r="3324" customFormat="false" ht="15" hidden="false" customHeight="false" outlineLevel="0" collapsed="false">
      <c r="A3324" s="0" t="s">
        <v>2041</v>
      </c>
      <c r="B3324" s="0" t="s">
        <v>2042</v>
      </c>
      <c r="C3324" s="0" t="s">
        <v>2339</v>
      </c>
      <c r="D3324" s="0" t="s">
        <v>2044</v>
      </c>
      <c r="E3324" s="0" t="s">
        <v>2045</v>
      </c>
      <c r="F3324" s="0" t="s">
        <v>2046</v>
      </c>
      <c r="G3324" s="0" t="s">
        <v>2086</v>
      </c>
      <c r="H3324" s="0" t="s">
        <v>2048</v>
      </c>
      <c r="J3324" s="0" t="s">
        <v>2345</v>
      </c>
      <c r="K3324" s="272" t="n">
        <v>-219.105555721862</v>
      </c>
    </row>
    <row r="3325" customFormat="false" ht="15" hidden="false" customHeight="false" outlineLevel="0" collapsed="false">
      <c r="A3325" s="0" t="s">
        <v>2041</v>
      </c>
      <c r="B3325" s="0" t="s">
        <v>2042</v>
      </c>
      <c r="C3325" s="0" t="s">
        <v>2339</v>
      </c>
      <c r="D3325" s="0" t="s">
        <v>2044</v>
      </c>
      <c r="E3325" s="0" t="s">
        <v>2045</v>
      </c>
      <c r="F3325" s="0" t="s">
        <v>2046</v>
      </c>
      <c r="G3325" s="0" t="s">
        <v>2087</v>
      </c>
      <c r="H3325" s="0" t="s">
        <v>2048</v>
      </c>
      <c r="J3325" s="0" t="s">
        <v>2345</v>
      </c>
      <c r="K3325" s="272" t="n">
        <v>-146.525550560981</v>
      </c>
    </row>
    <row r="3326" customFormat="false" ht="15" hidden="false" customHeight="false" outlineLevel="0" collapsed="false">
      <c r="A3326" s="0" t="s">
        <v>2041</v>
      </c>
      <c r="B3326" s="0" t="s">
        <v>2042</v>
      </c>
      <c r="C3326" s="0" t="s">
        <v>2339</v>
      </c>
      <c r="D3326" s="0" t="s">
        <v>2044</v>
      </c>
      <c r="E3326" s="0" t="s">
        <v>2045</v>
      </c>
      <c r="F3326" s="0" t="s">
        <v>2046</v>
      </c>
      <c r="G3326" s="0" t="s">
        <v>2088</v>
      </c>
      <c r="H3326" s="0" t="s">
        <v>2048</v>
      </c>
      <c r="J3326" s="0" t="s">
        <v>2345</v>
      </c>
      <c r="K3326" s="272" t="n">
        <v>-343.639107932246</v>
      </c>
    </row>
    <row r="3327" customFormat="false" ht="15" hidden="false" customHeight="false" outlineLevel="0" collapsed="false">
      <c r="A3327" s="0" t="s">
        <v>2041</v>
      </c>
      <c r="B3327" s="0" t="s">
        <v>2042</v>
      </c>
      <c r="C3327" s="0" t="s">
        <v>2339</v>
      </c>
      <c r="D3327" s="0" t="s">
        <v>2044</v>
      </c>
      <c r="E3327" s="0" t="s">
        <v>2045</v>
      </c>
      <c r="F3327" s="0" t="s">
        <v>2046</v>
      </c>
      <c r="G3327" s="0" t="s">
        <v>2089</v>
      </c>
      <c r="H3327" s="0" t="s">
        <v>2048</v>
      </c>
      <c r="J3327" s="0" t="s">
        <v>2345</v>
      </c>
      <c r="K3327" s="272" t="n">
        <v>-74.4919428424312</v>
      </c>
    </row>
    <row r="3328" customFormat="false" ht="15" hidden="false" customHeight="false" outlineLevel="0" collapsed="false">
      <c r="A3328" s="0" t="s">
        <v>2041</v>
      </c>
      <c r="B3328" s="0" t="s">
        <v>2042</v>
      </c>
      <c r="C3328" s="0" t="s">
        <v>2339</v>
      </c>
      <c r="D3328" s="0" t="s">
        <v>2044</v>
      </c>
      <c r="E3328" s="0" t="s">
        <v>2045</v>
      </c>
      <c r="F3328" s="0" t="s">
        <v>2046</v>
      </c>
      <c r="G3328" s="0" t="s">
        <v>2090</v>
      </c>
      <c r="H3328" s="0" t="s">
        <v>2048</v>
      </c>
      <c r="J3328" s="0" t="s">
        <v>2345</v>
      </c>
      <c r="K3328" s="272" t="n">
        <v>-332.017417493952</v>
      </c>
    </row>
    <row r="3329" customFormat="false" ht="15" hidden="false" customHeight="false" outlineLevel="0" collapsed="false">
      <c r="A3329" s="0" t="s">
        <v>2041</v>
      </c>
      <c r="B3329" s="0" t="s">
        <v>2042</v>
      </c>
      <c r="C3329" s="0" t="s">
        <v>2339</v>
      </c>
      <c r="D3329" s="0" t="s">
        <v>2044</v>
      </c>
      <c r="E3329" s="0" t="s">
        <v>2045</v>
      </c>
      <c r="F3329" s="0" t="s">
        <v>2046</v>
      </c>
      <c r="G3329" s="0" t="s">
        <v>2091</v>
      </c>
      <c r="H3329" s="0" t="s">
        <v>2048</v>
      </c>
      <c r="J3329" s="0" t="s">
        <v>2345</v>
      </c>
      <c r="K3329" s="272" t="n">
        <v>-132.70847763451</v>
      </c>
    </row>
    <row r="3330" customFormat="false" ht="15" hidden="false" customHeight="false" outlineLevel="0" collapsed="false">
      <c r="A3330" s="0" t="s">
        <v>2041</v>
      </c>
      <c r="B3330" s="0" t="s">
        <v>2042</v>
      </c>
      <c r="C3330" s="0" t="s">
        <v>2339</v>
      </c>
      <c r="D3330" s="0" t="s">
        <v>2044</v>
      </c>
      <c r="E3330" s="0" t="s">
        <v>2045</v>
      </c>
      <c r="F3330" s="0" t="s">
        <v>2046</v>
      </c>
      <c r="G3330" s="0" t="s">
        <v>2092</v>
      </c>
      <c r="H3330" s="0" t="s">
        <v>2048</v>
      </c>
      <c r="J3330" s="0" t="s">
        <v>2345</v>
      </c>
      <c r="K3330" s="272" t="n">
        <v>-143.131466747277</v>
      </c>
    </row>
    <row r="3331" customFormat="false" ht="15" hidden="false" customHeight="false" outlineLevel="0" collapsed="false">
      <c r="A3331" s="0" t="s">
        <v>2041</v>
      </c>
      <c r="B3331" s="0" t="s">
        <v>2042</v>
      </c>
      <c r="C3331" s="0" t="s">
        <v>2339</v>
      </c>
      <c r="D3331" s="0" t="s">
        <v>2044</v>
      </c>
      <c r="E3331" s="0" t="s">
        <v>2045</v>
      </c>
      <c r="F3331" s="0" t="s">
        <v>2046</v>
      </c>
      <c r="G3331" s="0" t="s">
        <v>2093</v>
      </c>
      <c r="H3331" s="0" t="s">
        <v>2048</v>
      </c>
      <c r="J3331" s="0" t="s">
        <v>2345</v>
      </c>
      <c r="K3331" s="272" t="n">
        <v>-299.276912802249</v>
      </c>
    </row>
    <row r="3332" customFormat="false" ht="15" hidden="false" customHeight="false" outlineLevel="0" collapsed="false">
      <c r="A3332" s="0" t="s">
        <v>2041</v>
      </c>
      <c r="B3332" s="0" t="s">
        <v>2042</v>
      </c>
      <c r="C3332" s="0" t="s">
        <v>2339</v>
      </c>
      <c r="D3332" s="0" t="s">
        <v>2044</v>
      </c>
      <c r="E3332" s="0" t="s">
        <v>2045</v>
      </c>
      <c r="F3332" s="0" t="s">
        <v>2046</v>
      </c>
      <c r="G3332" s="0" t="s">
        <v>2094</v>
      </c>
      <c r="H3332" s="0" t="s">
        <v>2048</v>
      </c>
      <c r="J3332" s="0" t="s">
        <v>2345</v>
      </c>
      <c r="K3332" s="272" t="n">
        <v>-197.046459112499</v>
      </c>
    </row>
    <row r="3333" customFormat="false" ht="15" hidden="false" customHeight="false" outlineLevel="0" collapsed="false">
      <c r="A3333" s="0" t="s">
        <v>2041</v>
      </c>
      <c r="B3333" s="0" t="s">
        <v>2042</v>
      </c>
      <c r="C3333" s="0" t="s">
        <v>2339</v>
      </c>
      <c r="D3333" s="0" t="s">
        <v>2044</v>
      </c>
      <c r="E3333" s="0" t="s">
        <v>2045</v>
      </c>
      <c r="F3333" s="0" t="s">
        <v>2046</v>
      </c>
      <c r="G3333" s="0" t="s">
        <v>2095</v>
      </c>
      <c r="H3333" s="0" t="s">
        <v>2048</v>
      </c>
      <c r="J3333" s="0" t="s">
        <v>2345</v>
      </c>
      <c r="K3333" s="272" t="n">
        <v>-338.264718751709</v>
      </c>
    </row>
    <row r="3334" customFormat="false" ht="15" hidden="false" customHeight="false" outlineLevel="0" collapsed="false">
      <c r="A3334" s="0" t="s">
        <v>2041</v>
      </c>
      <c r="B3334" s="0" t="s">
        <v>2042</v>
      </c>
      <c r="C3334" s="0" t="s">
        <v>2339</v>
      </c>
      <c r="D3334" s="0" t="s">
        <v>2044</v>
      </c>
      <c r="E3334" s="0" t="s">
        <v>2045</v>
      </c>
      <c r="F3334" s="0" t="s">
        <v>2046</v>
      </c>
      <c r="G3334" s="0" t="s">
        <v>2096</v>
      </c>
      <c r="H3334" s="0" t="s">
        <v>2048</v>
      </c>
      <c r="J3334" s="0" t="s">
        <v>2345</v>
      </c>
      <c r="K3334" s="272" t="n">
        <v>-75.6583644650932</v>
      </c>
    </row>
    <row r="3335" customFormat="false" ht="15" hidden="false" customHeight="false" outlineLevel="0" collapsed="false">
      <c r="A3335" s="0" t="s">
        <v>2041</v>
      </c>
      <c r="B3335" s="0" t="s">
        <v>2042</v>
      </c>
      <c r="C3335" s="0" t="s">
        <v>2339</v>
      </c>
      <c r="D3335" s="0" t="s">
        <v>2044</v>
      </c>
      <c r="E3335" s="0" t="s">
        <v>2045</v>
      </c>
      <c r="F3335" s="0" t="s">
        <v>2046</v>
      </c>
      <c r="G3335" s="0" t="s">
        <v>2098</v>
      </c>
      <c r="H3335" s="0" t="s">
        <v>2048</v>
      </c>
      <c r="J3335" s="0" t="s">
        <v>2345</v>
      </c>
      <c r="K3335" s="272" t="n">
        <v>-97.881851808434</v>
      </c>
    </row>
    <row r="3336" customFormat="false" ht="15" hidden="false" customHeight="false" outlineLevel="0" collapsed="false">
      <c r="A3336" s="0" t="s">
        <v>2041</v>
      </c>
      <c r="B3336" s="0" t="s">
        <v>2042</v>
      </c>
      <c r="C3336" s="0" t="s">
        <v>2339</v>
      </c>
      <c r="D3336" s="0" t="s">
        <v>2044</v>
      </c>
      <c r="E3336" s="0" t="s">
        <v>2045</v>
      </c>
      <c r="F3336" s="0" t="s">
        <v>2051</v>
      </c>
      <c r="G3336" s="0" t="s">
        <v>2047</v>
      </c>
      <c r="H3336" s="0" t="s">
        <v>2052</v>
      </c>
      <c r="J3336" s="0" t="s">
        <v>2345</v>
      </c>
      <c r="K3336" s="272" t="n">
        <v>-9.98793851065718</v>
      </c>
    </row>
    <row r="3337" customFormat="false" ht="15" hidden="false" customHeight="false" outlineLevel="0" collapsed="false">
      <c r="A3337" s="0" t="s">
        <v>2041</v>
      </c>
      <c r="B3337" s="0" t="s">
        <v>2042</v>
      </c>
      <c r="C3337" s="0" t="s">
        <v>2339</v>
      </c>
      <c r="D3337" s="0" t="s">
        <v>2044</v>
      </c>
      <c r="E3337" s="0" t="s">
        <v>2045</v>
      </c>
      <c r="F3337" s="0" t="s">
        <v>2051</v>
      </c>
      <c r="G3337" s="0" t="s">
        <v>2053</v>
      </c>
      <c r="H3337" s="0" t="s">
        <v>2052</v>
      </c>
      <c r="J3337" s="0" t="s">
        <v>2345</v>
      </c>
      <c r="K3337" s="272" t="n">
        <v>-3.76221750369203</v>
      </c>
    </row>
    <row r="3338" customFormat="false" ht="15" hidden="false" customHeight="false" outlineLevel="0" collapsed="false">
      <c r="A3338" s="0" t="s">
        <v>2041</v>
      </c>
      <c r="B3338" s="0" t="s">
        <v>2042</v>
      </c>
      <c r="C3338" s="0" t="s">
        <v>2339</v>
      </c>
      <c r="D3338" s="0" t="s">
        <v>2044</v>
      </c>
      <c r="E3338" s="0" t="s">
        <v>2045</v>
      </c>
      <c r="F3338" s="0" t="s">
        <v>2051</v>
      </c>
      <c r="G3338" s="0" t="s">
        <v>2054</v>
      </c>
      <c r="H3338" s="0" t="s">
        <v>2052</v>
      </c>
      <c r="J3338" s="0" t="s">
        <v>2345</v>
      </c>
      <c r="K3338" s="272" t="n">
        <v>-11.2866525110761</v>
      </c>
    </row>
    <row r="3339" customFormat="false" ht="15" hidden="false" customHeight="false" outlineLevel="0" collapsed="false">
      <c r="A3339" s="0" t="s">
        <v>2041</v>
      </c>
      <c r="B3339" s="0" t="s">
        <v>2042</v>
      </c>
      <c r="C3339" s="0" t="s">
        <v>2339</v>
      </c>
      <c r="D3339" s="0" t="s">
        <v>2044</v>
      </c>
      <c r="E3339" s="0" t="s">
        <v>2045</v>
      </c>
      <c r="F3339" s="0" t="s">
        <v>2051</v>
      </c>
      <c r="G3339" s="0" t="s">
        <v>2055</v>
      </c>
      <c r="H3339" s="0" t="s">
        <v>2052</v>
      </c>
      <c r="J3339" s="0" t="s">
        <v>2345</v>
      </c>
      <c r="K3339" s="272" t="n">
        <v>-93.8880546386755</v>
      </c>
    </row>
    <row r="3340" customFormat="false" ht="15" hidden="false" customHeight="false" outlineLevel="0" collapsed="false">
      <c r="A3340" s="0" t="s">
        <v>2041</v>
      </c>
      <c r="B3340" s="0" t="s">
        <v>2042</v>
      </c>
      <c r="C3340" s="0" t="s">
        <v>2339</v>
      </c>
      <c r="D3340" s="0" t="s">
        <v>2044</v>
      </c>
      <c r="E3340" s="0" t="s">
        <v>2045</v>
      </c>
      <c r="F3340" s="0" t="s">
        <v>2051</v>
      </c>
      <c r="G3340" s="0" t="s">
        <v>2056</v>
      </c>
      <c r="H3340" s="0" t="s">
        <v>2052</v>
      </c>
      <c r="J3340" s="0" t="s">
        <v>2345</v>
      </c>
      <c r="K3340" s="272" t="n">
        <v>-68.4723222978658</v>
      </c>
    </row>
    <row r="3341" customFormat="false" ht="15" hidden="false" customHeight="false" outlineLevel="0" collapsed="false">
      <c r="A3341" s="0" t="s">
        <v>2041</v>
      </c>
      <c r="B3341" s="0" t="s">
        <v>2042</v>
      </c>
      <c r="C3341" s="0" t="s">
        <v>2339</v>
      </c>
      <c r="D3341" s="0" t="s">
        <v>2044</v>
      </c>
      <c r="E3341" s="0" t="s">
        <v>2045</v>
      </c>
      <c r="F3341" s="0" t="s">
        <v>2051</v>
      </c>
      <c r="G3341" s="0" t="s">
        <v>2057</v>
      </c>
      <c r="H3341" s="0" t="s">
        <v>2052</v>
      </c>
      <c r="J3341" s="0" t="s">
        <v>2345</v>
      </c>
      <c r="K3341" s="272" t="n">
        <v>-62.5920666502245</v>
      </c>
    </row>
    <row r="3342" customFormat="false" ht="15" hidden="false" customHeight="false" outlineLevel="0" collapsed="false">
      <c r="A3342" s="0" t="s">
        <v>2041</v>
      </c>
      <c r="B3342" s="0" t="s">
        <v>2042</v>
      </c>
      <c r="C3342" s="0" t="s">
        <v>2339</v>
      </c>
      <c r="D3342" s="0" t="s">
        <v>2044</v>
      </c>
      <c r="E3342" s="0" t="s">
        <v>2045</v>
      </c>
      <c r="F3342" s="0" t="s">
        <v>2051</v>
      </c>
      <c r="G3342" s="0" t="s">
        <v>2058</v>
      </c>
      <c r="H3342" s="0" t="s">
        <v>2052</v>
      </c>
      <c r="J3342" s="0" t="s">
        <v>2345</v>
      </c>
      <c r="K3342" s="272" t="n">
        <v>-15.0488700147681</v>
      </c>
    </row>
    <row r="3343" customFormat="false" ht="15" hidden="false" customHeight="false" outlineLevel="0" collapsed="false">
      <c r="A3343" s="0" t="s">
        <v>2041</v>
      </c>
      <c r="B3343" s="0" t="s">
        <v>2042</v>
      </c>
      <c r="C3343" s="0" t="s">
        <v>2339</v>
      </c>
      <c r="D3343" s="0" t="s">
        <v>2044</v>
      </c>
      <c r="E3343" s="0" t="s">
        <v>2045</v>
      </c>
      <c r="F3343" s="0" t="s">
        <v>2051</v>
      </c>
      <c r="G3343" s="0" t="s">
        <v>2059</v>
      </c>
      <c r="H3343" s="0" t="s">
        <v>2052</v>
      </c>
      <c r="J3343" s="0" t="s">
        <v>2345</v>
      </c>
      <c r="K3343" s="272" t="n">
        <v>-43.7344637172413</v>
      </c>
    </row>
    <row r="3344" customFormat="false" ht="15" hidden="false" customHeight="false" outlineLevel="0" collapsed="false">
      <c r="A3344" s="0" t="s">
        <v>2041</v>
      </c>
      <c r="B3344" s="0" t="s">
        <v>2042</v>
      </c>
      <c r="C3344" s="0" t="s">
        <v>2339</v>
      </c>
      <c r="D3344" s="0" t="s">
        <v>2044</v>
      </c>
      <c r="E3344" s="0" t="s">
        <v>2045</v>
      </c>
      <c r="F3344" s="0" t="s">
        <v>2051</v>
      </c>
      <c r="G3344" s="0" t="s">
        <v>2060</v>
      </c>
      <c r="H3344" s="0" t="s">
        <v>2052</v>
      </c>
      <c r="J3344" s="0" t="s">
        <v>2345</v>
      </c>
      <c r="K3344" s="272" t="n">
        <v>-2.00424312401447</v>
      </c>
    </row>
    <row r="3345" customFormat="false" ht="15" hidden="false" customHeight="false" outlineLevel="0" collapsed="false">
      <c r="A3345" s="0" t="s">
        <v>2041</v>
      </c>
      <c r="B3345" s="0" t="s">
        <v>2042</v>
      </c>
      <c r="C3345" s="0" t="s">
        <v>2339</v>
      </c>
      <c r="D3345" s="0" t="s">
        <v>2044</v>
      </c>
      <c r="E3345" s="0" t="s">
        <v>2045</v>
      </c>
      <c r="F3345" s="0" t="s">
        <v>2051</v>
      </c>
      <c r="G3345" s="0" t="s">
        <v>2061</v>
      </c>
      <c r="H3345" s="0" t="s">
        <v>2052</v>
      </c>
      <c r="J3345" s="0" t="s">
        <v>2345</v>
      </c>
      <c r="K3345" s="272" t="n">
        <v>-4.0085769213516</v>
      </c>
    </row>
    <row r="3346" customFormat="false" ht="15" hidden="false" customHeight="false" outlineLevel="0" collapsed="false">
      <c r="A3346" s="0" t="s">
        <v>2041</v>
      </c>
      <c r="B3346" s="0" t="s">
        <v>2042</v>
      </c>
      <c r="C3346" s="0" t="s">
        <v>2339</v>
      </c>
      <c r="D3346" s="0" t="s">
        <v>2044</v>
      </c>
      <c r="E3346" s="0" t="s">
        <v>2045</v>
      </c>
      <c r="F3346" s="0" t="s">
        <v>2051</v>
      </c>
      <c r="G3346" s="0" t="s">
        <v>2062</v>
      </c>
      <c r="H3346" s="0" t="s">
        <v>2052</v>
      </c>
      <c r="J3346" s="0" t="s">
        <v>2345</v>
      </c>
      <c r="K3346" s="272" t="n">
        <v>-17.5458319741017</v>
      </c>
    </row>
    <row r="3347" customFormat="false" ht="15" hidden="false" customHeight="false" outlineLevel="0" collapsed="false">
      <c r="A3347" s="0" t="s">
        <v>2041</v>
      </c>
      <c r="B3347" s="0" t="s">
        <v>2042</v>
      </c>
      <c r="C3347" s="0" t="s">
        <v>2339</v>
      </c>
      <c r="D3347" s="0" t="s">
        <v>2044</v>
      </c>
      <c r="E3347" s="0" t="s">
        <v>2045</v>
      </c>
      <c r="F3347" s="0" t="s">
        <v>2051</v>
      </c>
      <c r="G3347" s="0" t="s">
        <v>2063</v>
      </c>
      <c r="H3347" s="0" t="s">
        <v>2052</v>
      </c>
      <c r="J3347" s="0" t="s">
        <v>2345</v>
      </c>
      <c r="K3347" s="272" t="n">
        <v>-87.7477479016534</v>
      </c>
    </row>
    <row r="3348" customFormat="false" ht="15" hidden="false" customHeight="false" outlineLevel="0" collapsed="false">
      <c r="A3348" s="0" t="s">
        <v>2041</v>
      </c>
      <c r="B3348" s="0" t="s">
        <v>2042</v>
      </c>
      <c r="C3348" s="0" t="s">
        <v>2339</v>
      </c>
      <c r="D3348" s="0" t="s">
        <v>2044</v>
      </c>
      <c r="E3348" s="0" t="s">
        <v>2045</v>
      </c>
      <c r="F3348" s="0" t="s">
        <v>2051</v>
      </c>
      <c r="G3348" s="0" t="s">
        <v>2064</v>
      </c>
      <c r="H3348" s="0" t="s">
        <v>2052</v>
      </c>
      <c r="J3348" s="0" t="s">
        <v>2345</v>
      </c>
      <c r="K3348" s="272" t="n">
        <v>-182.849102270805</v>
      </c>
    </row>
    <row r="3349" customFormat="false" ht="15" hidden="false" customHeight="false" outlineLevel="0" collapsed="false">
      <c r="A3349" s="0" t="s">
        <v>2041</v>
      </c>
      <c r="B3349" s="0" t="s">
        <v>2042</v>
      </c>
      <c r="C3349" s="0" t="s">
        <v>2339</v>
      </c>
      <c r="D3349" s="0" t="s">
        <v>2044</v>
      </c>
      <c r="E3349" s="0" t="s">
        <v>2045</v>
      </c>
      <c r="F3349" s="0" t="s">
        <v>2051</v>
      </c>
      <c r="G3349" s="0" t="s">
        <v>2065</v>
      </c>
      <c r="H3349" s="0" t="s">
        <v>2052</v>
      </c>
      <c r="J3349" s="0" t="s">
        <v>2345</v>
      </c>
      <c r="K3349" s="272" t="n">
        <v>-0.752407231409342</v>
      </c>
    </row>
    <row r="3350" customFormat="false" ht="15" hidden="false" customHeight="false" outlineLevel="0" collapsed="false">
      <c r="A3350" s="0" t="s">
        <v>2041</v>
      </c>
      <c r="B3350" s="0" t="s">
        <v>2042</v>
      </c>
      <c r="C3350" s="0" t="s">
        <v>2339</v>
      </c>
      <c r="D3350" s="0" t="s">
        <v>2044</v>
      </c>
      <c r="E3350" s="0" t="s">
        <v>2045</v>
      </c>
      <c r="F3350" s="0" t="s">
        <v>2051</v>
      </c>
      <c r="G3350" s="0" t="s">
        <v>2066</v>
      </c>
      <c r="H3350" s="0" t="s">
        <v>2052</v>
      </c>
      <c r="J3350" s="0" t="s">
        <v>2345</v>
      </c>
      <c r="K3350" s="272" t="n">
        <v>-6.25917946302566</v>
      </c>
    </row>
    <row r="3351" customFormat="false" ht="15" hidden="false" customHeight="false" outlineLevel="0" collapsed="false">
      <c r="A3351" s="0" t="s">
        <v>2041</v>
      </c>
      <c r="B3351" s="0" t="s">
        <v>2042</v>
      </c>
      <c r="C3351" s="0" t="s">
        <v>2339</v>
      </c>
      <c r="D3351" s="0" t="s">
        <v>2044</v>
      </c>
      <c r="E3351" s="0" t="s">
        <v>2045</v>
      </c>
      <c r="F3351" s="0" t="s">
        <v>2051</v>
      </c>
      <c r="G3351" s="0" t="s">
        <v>2067</v>
      </c>
      <c r="H3351" s="0" t="s">
        <v>2052</v>
      </c>
      <c r="J3351" s="0" t="s">
        <v>2345</v>
      </c>
      <c r="K3351" s="272" t="n">
        <v>-103.265671014527</v>
      </c>
    </row>
    <row r="3352" customFormat="false" ht="15" hidden="false" customHeight="false" outlineLevel="0" collapsed="false">
      <c r="A3352" s="0" t="s">
        <v>2041</v>
      </c>
      <c r="B3352" s="0" t="s">
        <v>2042</v>
      </c>
      <c r="C3352" s="0" t="s">
        <v>2339</v>
      </c>
      <c r="D3352" s="0" t="s">
        <v>2044</v>
      </c>
      <c r="E3352" s="0" t="s">
        <v>2045</v>
      </c>
      <c r="F3352" s="0" t="s">
        <v>2051</v>
      </c>
      <c r="G3352" s="0" t="s">
        <v>2068</v>
      </c>
      <c r="H3352" s="0" t="s">
        <v>2052</v>
      </c>
      <c r="J3352" s="0" t="s">
        <v>2345</v>
      </c>
      <c r="K3352" s="272" t="n">
        <v>-30.0977400295362</v>
      </c>
    </row>
    <row r="3353" customFormat="false" ht="15" hidden="false" customHeight="false" outlineLevel="0" collapsed="false">
      <c r="A3353" s="0" t="s">
        <v>2041</v>
      </c>
      <c r="B3353" s="0" t="s">
        <v>2042</v>
      </c>
      <c r="C3353" s="0" t="s">
        <v>2339</v>
      </c>
      <c r="D3353" s="0" t="s">
        <v>2044</v>
      </c>
      <c r="E3353" s="0" t="s">
        <v>2045</v>
      </c>
      <c r="F3353" s="0" t="s">
        <v>2051</v>
      </c>
      <c r="G3353" s="0" t="s">
        <v>2070</v>
      </c>
      <c r="H3353" s="0" t="s">
        <v>2052</v>
      </c>
      <c r="J3353" s="0" t="s">
        <v>2345</v>
      </c>
      <c r="K3353" s="272" t="n">
        <v>-118.85794625198</v>
      </c>
    </row>
    <row r="3354" customFormat="false" ht="15" hidden="false" customHeight="false" outlineLevel="0" collapsed="false">
      <c r="A3354" s="0" t="s">
        <v>2041</v>
      </c>
      <c r="B3354" s="0" t="s">
        <v>2042</v>
      </c>
      <c r="C3354" s="0" t="s">
        <v>2339</v>
      </c>
      <c r="D3354" s="0" t="s">
        <v>2044</v>
      </c>
      <c r="E3354" s="0" t="s">
        <v>2045</v>
      </c>
      <c r="F3354" s="0" t="s">
        <v>2051</v>
      </c>
      <c r="G3354" s="0" t="s">
        <v>2071</v>
      </c>
      <c r="H3354" s="0" t="s">
        <v>2052</v>
      </c>
      <c r="J3354" s="0" t="s">
        <v>2345</v>
      </c>
      <c r="K3354" s="272" t="n">
        <v>-11.2866525110761</v>
      </c>
    </row>
    <row r="3355" customFormat="false" ht="15" hidden="false" customHeight="false" outlineLevel="0" collapsed="false">
      <c r="A3355" s="0" t="s">
        <v>2041</v>
      </c>
      <c r="B3355" s="0" t="s">
        <v>2042</v>
      </c>
      <c r="C3355" s="0" t="s">
        <v>2339</v>
      </c>
      <c r="D3355" s="0" t="s">
        <v>2044</v>
      </c>
      <c r="E3355" s="0" t="s">
        <v>2045</v>
      </c>
      <c r="F3355" s="0" t="s">
        <v>2051</v>
      </c>
      <c r="G3355" s="0" t="s">
        <v>2072</v>
      </c>
      <c r="H3355" s="0" t="s">
        <v>2052</v>
      </c>
      <c r="J3355" s="0" t="s">
        <v>2345</v>
      </c>
      <c r="K3355" s="272" t="n">
        <v>-100.353425237424</v>
      </c>
    </row>
    <row r="3356" customFormat="false" ht="15" hidden="false" customHeight="false" outlineLevel="0" collapsed="false">
      <c r="A3356" s="0" t="s">
        <v>2041</v>
      </c>
      <c r="B3356" s="0" t="s">
        <v>2042</v>
      </c>
      <c r="C3356" s="0" t="s">
        <v>2339</v>
      </c>
      <c r="D3356" s="0" t="s">
        <v>2044</v>
      </c>
      <c r="E3356" s="0" t="s">
        <v>2045</v>
      </c>
      <c r="F3356" s="0" t="s">
        <v>2051</v>
      </c>
      <c r="G3356" s="0" t="s">
        <v>2073</v>
      </c>
      <c r="H3356" s="0" t="s">
        <v>2052</v>
      </c>
      <c r="J3356" s="0" t="s">
        <v>2345</v>
      </c>
      <c r="K3356" s="272" t="n">
        <v>-225.331186055505</v>
      </c>
    </row>
    <row r="3357" customFormat="false" ht="15" hidden="false" customHeight="false" outlineLevel="0" collapsed="false">
      <c r="A3357" s="0" t="s">
        <v>2041</v>
      </c>
      <c r="B3357" s="0" t="s">
        <v>2042</v>
      </c>
      <c r="C3357" s="0" t="s">
        <v>2339</v>
      </c>
      <c r="D3357" s="0" t="s">
        <v>2044</v>
      </c>
      <c r="E3357" s="0" t="s">
        <v>2045</v>
      </c>
      <c r="F3357" s="0" t="s">
        <v>2051</v>
      </c>
      <c r="G3357" s="0" t="s">
        <v>2074</v>
      </c>
      <c r="H3357" s="0" t="s">
        <v>2052</v>
      </c>
      <c r="J3357" s="0" t="s">
        <v>2345</v>
      </c>
      <c r="K3357" s="272" t="n">
        <v>-62.5920666502245</v>
      </c>
    </row>
    <row r="3358" customFormat="false" ht="15" hidden="false" customHeight="false" outlineLevel="0" collapsed="false">
      <c r="A3358" s="0" t="s">
        <v>2041</v>
      </c>
      <c r="B3358" s="0" t="s">
        <v>2042</v>
      </c>
      <c r="C3358" s="0" t="s">
        <v>2339</v>
      </c>
      <c r="D3358" s="0" t="s">
        <v>2044</v>
      </c>
      <c r="E3358" s="0" t="s">
        <v>2045</v>
      </c>
      <c r="F3358" s="0" t="s">
        <v>2051</v>
      </c>
      <c r="G3358" s="0" t="s">
        <v>2075</v>
      </c>
      <c r="H3358" s="0" t="s">
        <v>2052</v>
      </c>
      <c r="J3358" s="0" t="s">
        <v>2345</v>
      </c>
      <c r="K3358" s="272" t="n">
        <v>-145.324491729064</v>
      </c>
    </row>
    <row r="3359" customFormat="false" ht="15" hidden="false" customHeight="false" outlineLevel="0" collapsed="false">
      <c r="A3359" s="0" t="s">
        <v>2041</v>
      </c>
      <c r="B3359" s="0" t="s">
        <v>2042</v>
      </c>
      <c r="C3359" s="0" t="s">
        <v>2339</v>
      </c>
      <c r="D3359" s="0" t="s">
        <v>2044</v>
      </c>
      <c r="E3359" s="0" t="s">
        <v>2045</v>
      </c>
      <c r="F3359" s="0" t="s">
        <v>2051</v>
      </c>
      <c r="G3359" s="0" t="s">
        <v>2076</v>
      </c>
      <c r="H3359" s="0" t="s">
        <v>2052</v>
      </c>
      <c r="J3359" s="0" t="s">
        <v>2345</v>
      </c>
      <c r="K3359" s="272" t="n">
        <v>-118.596353716114</v>
      </c>
    </row>
    <row r="3360" customFormat="false" ht="15" hidden="false" customHeight="false" outlineLevel="0" collapsed="false">
      <c r="A3360" s="0" t="s">
        <v>2041</v>
      </c>
      <c r="B3360" s="0" t="s">
        <v>2042</v>
      </c>
      <c r="C3360" s="0" t="s">
        <v>2339</v>
      </c>
      <c r="D3360" s="0" t="s">
        <v>2044</v>
      </c>
      <c r="E3360" s="0" t="s">
        <v>2045</v>
      </c>
      <c r="F3360" s="0" t="s">
        <v>2051</v>
      </c>
      <c r="G3360" s="0" t="s">
        <v>2077</v>
      </c>
      <c r="H3360" s="0" t="s">
        <v>2052</v>
      </c>
      <c r="J3360" s="0" t="s">
        <v>2345</v>
      </c>
      <c r="K3360" s="272" t="n">
        <v>-7.52443500738405</v>
      </c>
    </row>
    <row r="3361" customFormat="false" ht="15" hidden="false" customHeight="false" outlineLevel="0" collapsed="false">
      <c r="A3361" s="0" t="s">
        <v>2041</v>
      </c>
      <c r="B3361" s="0" t="s">
        <v>2042</v>
      </c>
      <c r="C3361" s="0" t="s">
        <v>2339</v>
      </c>
      <c r="D3361" s="0" t="s">
        <v>2044</v>
      </c>
      <c r="E3361" s="0" t="s">
        <v>2045</v>
      </c>
      <c r="F3361" s="0" t="s">
        <v>2051</v>
      </c>
      <c r="G3361" s="0" t="s">
        <v>2078</v>
      </c>
      <c r="H3361" s="0" t="s">
        <v>2052</v>
      </c>
      <c r="J3361" s="0" t="s">
        <v>2345</v>
      </c>
      <c r="K3361" s="272" t="n">
        <v>-29.8442174193867</v>
      </c>
    </row>
    <row r="3362" customFormat="false" ht="15" hidden="false" customHeight="false" outlineLevel="0" collapsed="false">
      <c r="A3362" s="0" t="s">
        <v>2041</v>
      </c>
      <c r="B3362" s="0" t="s">
        <v>2042</v>
      </c>
      <c r="C3362" s="0" t="s">
        <v>2339</v>
      </c>
      <c r="D3362" s="0" t="s">
        <v>2044</v>
      </c>
      <c r="E3362" s="0" t="s">
        <v>2045</v>
      </c>
      <c r="F3362" s="0" t="s">
        <v>2051</v>
      </c>
      <c r="G3362" s="0" t="s">
        <v>2080</v>
      </c>
      <c r="H3362" s="0" t="s">
        <v>2052</v>
      </c>
      <c r="J3362" s="0" t="s">
        <v>2345</v>
      </c>
      <c r="K3362" s="272" t="n">
        <v>-3.76221750369203</v>
      </c>
    </row>
    <row r="3363" customFormat="false" ht="15" hidden="false" customHeight="false" outlineLevel="0" collapsed="false">
      <c r="A3363" s="0" t="s">
        <v>2041</v>
      </c>
      <c r="B3363" s="0" t="s">
        <v>2042</v>
      </c>
      <c r="C3363" s="0" t="s">
        <v>2339</v>
      </c>
      <c r="D3363" s="0" t="s">
        <v>2044</v>
      </c>
      <c r="E3363" s="0" t="s">
        <v>2045</v>
      </c>
      <c r="F3363" s="0" t="s">
        <v>2051</v>
      </c>
      <c r="G3363" s="0" t="s">
        <v>2081</v>
      </c>
      <c r="H3363" s="0" t="s">
        <v>2052</v>
      </c>
      <c r="J3363" s="0" t="s">
        <v>2345</v>
      </c>
      <c r="K3363" s="272" t="n">
        <v>-17.5123735180412</v>
      </c>
    </row>
    <row r="3364" customFormat="false" ht="15" hidden="false" customHeight="false" outlineLevel="0" collapsed="false">
      <c r="A3364" s="0" t="s">
        <v>2041</v>
      </c>
      <c r="B3364" s="0" t="s">
        <v>2042</v>
      </c>
      <c r="C3364" s="0" t="s">
        <v>2339</v>
      </c>
      <c r="D3364" s="0" t="s">
        <v>2044</v>
      </c>
      <c r="E3364" s="0" t="s">
        <v>2045</v>
      </c>
      <c r="F3364" s="0" t="s">
        <v>2051</v>
      </c>
      <c r="G3364" s="0" t="s">
        <v>2083</v>
      </c>
      <c r="H3364" s="0" t="s">
        <v>2052</v>
      </c>
      <c r="J3364" s="0" t="s">
        <v>2345</v>
      </c>
      <c r="K3364" s="272" t="n">
        <v>-7.63306164792736</v>
      </c>
    </row>
    <row r="3365" customFormat="false" ht="15" hidden="false" customHeight="false" outlineLevel="0" collapsed="false">
      <c r="A3365" s="0" t="s">
        <v>2041</v>
      </c>
      <c r="B3365" s="0" t="s">
        <v>2042</v>
      </c>
      <c r="C3365" s="0" t="s">
        <v>2339</v>
      </c>
      <c r="D3365" s="0" t="s">
        <v>2044</v>
      </c>
      <c r="E3365" s="0" t="s">
        <v>2045</v>
      </c>
      <c r="F3365" s="0" t="s">
        <v>2051</v>
      </c>
      <c r="G3365" s="0" t="s">
        <v>2084</v>
      </c>
      <c r="H3365" s="0" t="s">
        <v>2052</v>
      </c>
      <c r="J3365" s="0" t="s">
        <v>2345</v>
      </c>
      <c r="K3365" s="272" t="n">
        <v>-110.135263285681</v>
      </c>
    </row>
    <row r="3366" customFormat="false" ht="15" hidden="false" customHeight="false" outlineLevel="0" collapsed="false">
      <c r="A3366" s="0" t="s">
        <v>2041</v>
      </c>
      <c r="B3366" s="0" t="s">
        <v>2042</v>
      </c>
      <c r="C3366" s="0" t="s">
        <v>2339</v>
      </c>
      <c r="D3366" s="0" t="s">
        <v>2044</v>
      </c>
      <c r="E3366" s="0" t="s">
        <v>2045</v>
      </c>
      <c r="F3366" s="0" t="s">
        <v>2051</v>
      </c>
      <c r="G3366" s="0" t="s">
        <v>2085</v>
      </c>
      <c r="H3366" s="0" t="s">
        <v>2052</v>
      </c>
      <c r="J3366" s="0" t="s">
        <v>2345</v>
      </c>
      <c r="K3366" s="272" t="n">
        <v>-234.970213620577</v>
      </c>
    </row>
    <row r="3367" customFormat="false" ht="15" hidden="false" customHeight="false" outlineLevel="0" collapsed="false">
      <c r="A3367" s="0" t="s">
        <v>2041</v>
      </c>
      <c r="B3367" s="0" t="s">
        <v>2042</v>
      </c>
      <c r="C3367" s="0" t="s">
        <v>2339</v>
      </c>
      <c r="D3367" s="0" t="s">
        <v>2044</v>
      </c>
      <c r="E3367" s="0" t="s">
        <v>2045</v>
      </c>
      <c r="F3367" s="0" t="s">
        <v>2051</v>
      </c>
      <c r="G3367" s="0" t="s">
        <v>2086</v>
      </c>
      <c r="H3367" s="0" t="s">
        <v>2052</v>
      </c>
      <c r="J3367" s="0" t="s">
        <v>2345</v>
      </c>
      <c r="K3367" s="272" t="n">
        <v>-31.2625295323904</v>
      </c>
    </row>
    <row r="3368" customFormat="false" ht="15" hidden="false" customHeight="false" outlineLevel="0" collapsed="false">
      <c r="A3368" s="0" t="s">
        <v>2041</v>
      </c>
      <c r="B3368" s="0" t="s">
        <v>2042</v>
      </c>
      <c r="C3368" s="0" t="s">
        <v>2339</v>
      </c>
      <c r="D3368" s="0" t="s">
        <v>2044</v>
      </c>
      <c r="E3368" s="0" t="s">
        <v>2045</v>
      </c>
      <c r="F3368" s="0" t="s">
        <v>2051</v>
      </c>
      <c r="G3368" s="0" t="s">
        <v>2087</v>
      </c>
      <c r="H3368" s="0" t="s">
        <v>2052</v>
      </c>
      <c r="J3368" s="0" t="s">
        <v>2345</v>
      </c>
      <c r="K3368" s="272" t="n">
        <v>-229.026577320399</v>
      </c>
    </row>
    <row r="3369" customFormat="false" ht="15" hidden="false" customHeight="false" outlineLevel="0" collapsed="false">
      <c r="A3369" s="0" t="s">
        <v>2041</v>
      </c>
      <c r="B3369" s="0" t="s">
        <v>2042</v>
      </c>
      <c r="C3369" s="0" t="s">
        <v>2339</v>
      </c>
      <c r="D3369" s="0" t="s">
        <v>2044</v>
      </c>
      <c r="E3369" s="0" t="s">
        <v>2045</v>
      </c>
      <c r="F3369" s="0" t="s">
        <v>2051</v>
      </c>
      <c r="G3369" s="0" t="s">
        <v>2088</v>
      </c>
      <c r="H3369" s="0" t="s">
        <v>2052</v>
      </c>
      <c r="J3369" s="0" t="s">
        <v>2345</v>
      </c>
      <c r="K3369" s="272" t="n">
        <v>-72.893100144017</v>
      </c>
    </row>
    <row r="3370" customFormat="false" ht="15" hidden="false" customHeight="false" outlineLevel="0" collapsed="false">
      <c r="A3370" s="0" t="s">
        <v>2041</v>
      </c>
      <c r="B3370" s="0" t="s">
        <v>2042</v>
      </c>
      <c r="C3370" s="0" t="s">
        <v>2339</v>
      </c>
      <c r="D3370" s="0" t="s">
        <v>2044</v>
      </c>
      <c r="E3370" s="0" t="s">
        <v>2045</v>
      </c>
      <c r="F3370" s="0" t="s">
        <v>2051</v>
      </c>
      <c r="G3370" s="0" t="s">
        <v>2089</v>
      </c>
      <c r="H3370" s="0" t="s">
        <v>2052</v>
      </c>
      <c r="J3370" s="0" t="s">
        <v>2345</v>
      </c>
      <c r="K3370" s="272" t="n">
        <v>-0.752407231409342</v>
      </c>
    </row>
    <row r="3371" customFormat="false" ht="15" hidden="false" customHeight="false" outlineLevel="0" collapsed="false">
      <c r="A3371" s="0" t="s">
        <v>2041</v>
      </c>
      <c r="B3371" s="0" t="s">
        <v>2042</v>
      </c>
      <c r="C3371" s="0" t="s">
        <v>2339</v>
      </c>
      <c r="D3371" s="0" t="s">
        <v>2044</v>
      </c>
      <c r="E3371" s="0" t="s">
        <v>2045</v>
      </c>
      <c r="F3371" s="0" t="s">
        <v>2051</v>
      </c>
      <c r="G3371" s="0" t="s">
        <v>2090</v>
      </c>
      <c r="H3371" s="0" t="s">
        <v>2052</v>
      </c>
      <c r="J3371" s="0" t="s">
        <v>2345</v>
      </c>
      <c r="K3371" s="272" t="n">
        <v>-64.9886532413767</v>
      </c>
    </row>
    <row r="3372" customFormat="false" ht="15" hidden="false" customHeight="false" outlineLevel="0" collapsed="false">
      <c r="A3372" s="0" t="s">
        <v>2041</v>
      </c>
      <c r="B3372" s="0" t="s">
        <v>2042</v>
      </c>
      <c r="C3372" s="0" t="s">
        <v>2339</v>
      </c>
      <c r="D3372" s="0" t="s">
        <v>2044</v>
      </c>
      <c r="E3372" s="0" t="s">
        <v>2045</v>
      </c>
      <c r="F3372" s="0" t="s">
        <v>2051</v>
      </c>
      <c r="G3372" s="0" t="s">
        <v>2091</v>
      </c>
      <c r="H3372" s="0" t="s">
        <v>2052</v>
      </c>
      <c r="J3372" s="0" t="s">
        <v>2345</v>
      </c>
      <c r="K3372" s="272" t="n">
        <v>-192.903957693583</v>
      </c>
    </row>
    <row r="3373" customFormat="false" ht="15" hidden="false" customHeight="false" outlineLevel="0" collapsed="false">
      <c r="A3373" s="0" t="s">
        <v>2041</v>
      </c>
      <c r="B3373" s="0" t="s">
        <v>2042</v>
      </c>
      <c r="C3373" s="0" t="s">
        <v>2339</v>
      </c>
      <c r="D3373" s="0" t="s">
        <v>2044</v>
      </c>
      <c r="E3373" s="0" t="s">
        <v>2045</v>
      </c>
      <c r="F3373" s="0" t="s">
        <v>2051</v>
      </c>
      <c r="G3373" s="0" t="s">
        <v>2092</v>
      </c>
      <c r="H3373" s="0" t="s">
        <v>2052</v>
      </c>
      <c r="J3373" s="0" t="s">
        <v>2345</v>
      </c>
      <c r="K3373" s="272" t="n">
        <v>-7.5332303196818</v>
      </c>
    </row>
    <row r="3374" customFormat="false" ht="15" hidden="false" customHeight="false" outlineLevel="0" collapsed="false">
      <c r="A3374" s="0" t="s">
        <v>2041</v>
      </c>
      <c r="B3374" s="0" t="s">
        <v>2042</v>
      </c>
      <c r="C3374" s="0" t="s">
        <v>2339</v>
      </c>
      <c r="D3374" s="0" t="s">
        <v>2044</v>
      </c>
      <c r="E3374" s="0" t="s">
        <v>2045</v>
      </c>
      <c r="F3374" s="0" t="s">
        <v>2051</v>
      </c>
      <c r="G3374" s="0" t="s">
        <v>2093</v>
      </c>
      <c r="H3374" s="0" t="s">
        <v>2052</v>
      </c>
      <c r="J3374" s="0" t="s">
        <v>2345</v>
      </c>
      <c r="K3374" s="272" t="n">
        <v>-26.3355225258442</v>
      </c>
    </row>
    <row r="3375" customFormat="false" ht="15" hidden="false" customHeight="false" outlineLevel="0" collapsed="false">
      <c r="A3375" s="0" t="s">
        <v>2041</v>
      </c>
      <c r="B3375" s="0" t="s">
        <v>2042</v>
      </c>
      <c r="C3375" s="0" t="s">
        <v>2339</v>
      </c>
      <c r="D3375" s="0" t="s">
        <v>2044</v>
      </c>
      <c r="E3375" s="0" t="s">
        <v>2045</v>
      </c>
      <c r="F3375" s="0" t="s">
        <v>2051</v>
      </c>
      <c r="G3375" s="0" t="s">
        <v>2094</v>
      </c>
      <c r="H3375" s="0" t="s">
        <v>2052</v>
      </c>
      <c r="J3375" s="0" t="s">
        <v>2345</v>
      </c>
      <c r="K3375" s="272" t="n">
        <v>-153.870633736149</v>
      </c>
    </row>
    <row r="3376" customFormat="false" ht="15" hidden="false" customHeight="false" outlineLevel="0" collapsed="false">
      <c r="A3376" s="0" t="s">
        <v>2041</v>
      </c>
      <c r="B3376" s="0" t="s">
        <v>2042</v>
      </c>
      <c r="C3376" s="0" t="s">
        <v>2339</v>
      </c>
      <c r="D3376" s="0" t="s">
        <v>2044</v>
      </c>
      <c r="E3376" s="0" t="s">
        <v>2045</v>
      </c>
      <c r="F3376" s="0" t="s">
        <v>2051</v>
      </c>
      <c r="G3376" s="0" t="s">
        <v>2095</v>
      </c>
      <c r="H3376" s="0" t="s">
        <v>2052</v>
      </c>
      <c r="J3376" s="0" t="s">
        <v>2345</v>
      </c>
      <c r="K3376" s="272" t="n">
        <v>-187.776109277351</v>
      </c>
    </row>
    <row r="3377" customFormat="false" ht="15" hidden="false" customHeight="false" outlineLevel="0" collapsed="false">
      <c r="A3377" s="0" t="s">
        <v>2041</v>
      </c>
      <c r="B3377" s="0" t="s">
        <v>2042</v>
      </c>
      <c r="C3377" s="0" t="s">
        <v>2339</v>
      </c>
      <c r="D3377" s="0" t="s">
        <v>2044</v>
      </c>
      <c r="E3377" s="0" t="s">
        <v>2045</v>
      </c>
      <c r="F3377" s="0" t="s">
        <v>2051</v>
      </c>
      <c r="G3377" s="0" t="s">
        <v>2096</v>
      </c>
      <c r="H3377" s="0" t="s">
        <v>2052</v>
      </c>
      <c r="J3377" s="0" t="s">
        <v>2345</v>
      </c>
      <c r="K3377" s="272" t="n">
        <v>-75.6584551384159</v>
      </c>
    </row>
    <row r="3378" customFormat="false" ht="15" hidden="false" customHeight="false" outlineLevel="0" collapsed="false">
      <c r="A3378" s="0" t="s">
        <v>2041</v>
      </c>
      <c r="B3378" s="0" t="s">
        <v>2042</v>
      </c>
      <c r="C3378" s="0" t="s">
        <v>2339</v>
      </c>
      <c r="D3378" s="0" t="s">
        <v>2044</v>
      </c>
      <c r="E3378" s="0" t="s">
        <v>2045</v>
      </c>
      <c r="F3378" s="0" t="s">
        <v>2051</v>
      </c>
      <c r="G3378" s="0" t="s">
        <v>2098</v>
      </c>
      <c r="H3378" s="0" t="s">
        <v>2052</v>
      </c>
      <c r="J3378" s="0" t="s">
        <v>2345</v>
      </c>
      <c r="K3378" s="272" t="n">
        <v>-1.99753329813784</v>
      </c>
    </row>
    <row r="3379" customFormat="false" ht="15" hidden="false" customHeight="false" outlineLevel="0" collapsed="false">
      <c r="A3379" s="0" t="s">
        <v>2041</v>
      </c>
      <c r="B3379" s="0" t="s">
        <v>2042</v>
      </c>
      <c r="C3379" s="0" t="s">
        <v>2339</v>
      </c>
      <c r="D3379" s="0" t="s">
        <v>2105</v>
      </c>
      <c r="E3379" s="0" t="s">
        <v>2045</v>
      </c>
      <c r="F3379" s="0" t="s">
        <v>2157</v>
      </c>
      <c r="G3379" s="0" t="s">
        <v>2158</v>
      </c>
      <c r="H3379" s="0" t="s">
        <v>2126</v>
      </c>
      <c r="J3379" s="0" t="s">
        <v>2345</v>
      </c>
      <c r="K3379" s="272" t="n">
        <v>-365.390005917898</v>
      </c>
    </row>
    <row r="3380" customFormat="false" ht="15" hidden="false" customHeight="false" outlineLevel="0" collapsed="false">
      <c r="A3380" s="0" t="s">
        <v>2041</v>
      </c>
      <c r="B3380" s="0" t="s">
        <v>2042</v>
      </c>
      <c r="C3380" s="0" t="s">
        <v>2339</v>
      </c>
      <c r="D3380" s="0" t="s">
        <v>2105</v>
      </c>
      <c r="E3380" s="0" t="s">
        <v>2045</v>
      </c>
      <c r="F3380" s="0" t="s">
        <v>2046</v>
      </c>
      <c r="G3380" s="0" t="s">
        <v>2125</v>
      </c>
      <c r="H3380" s="0" t="s">
        <v>2126</v>
      </c>
      <c r="J3380" s="0" t="s">
        <v>2345</v>
      </c>
      <c r="K3380" s="272" t="n">
        <v>-1487.73460104972</v>
      </c>
    </row>
    <row r="3381" customFormat="false" ht="15" hidden="false" customHeight="false" outlineLevel="0" collapsed="false">
      <c r="A3381" s="0" t="s">
        <v>2041</v>
      </c>
      <c r="B3381" s="0" t="s">
        <v>2042</v>
      </c>
      <c r="C3381" s="0" t="s">
        <v>2339</v>
      </c>
      <c r="D3381" s="0" t="s">
        <v>2105</v>
      </c>
      <c r="E3381" s="0" t="s">
        <v>2045</v>
      </c>
      <c r="F3381" s="0" t="s">
        <v>2046</v>
      </c>
      <c r="G3381" s="0" t="s">
        <v>2147</v>
      </c>
      <c r="H3381" s="0" t="s">
        <v>2126</v>
      </c>
      <c r="J3381" s="0" t="s">
        <v>2345</v>
      </c>
      <c r="K3381" s="272" t="n">
        <v>-3097.49409549186</v>
      </c>
    </row>
    <row r="3382" customFormat="false" ht="15" hidden="false" customHeight="false" outlineLevel="0" collapsed="false">
      <c r="A3382" s="0" t="s">
        <v>2041</v>
      </c>
      <c r="B3382" s="0" t="s">
        <v>2042</v>
      </c>
      <c r="C3382" s="0" t="s">
        <v>2339</v>
      </c>
      <c r="D3382" s="0" t="s">
        <v>2105</v>
      </c>
      <c r="E3382" s="0" t="s">
        <v>2045</v>
      </c>
      <c r="F3382" s="0" t="s">
        <v>2051</v>
      </c>
      <c r="G3382" s="0" t="s">
        <v>2106</v>
      </c>
      <c r="H3382" s="0" t="s">
        <v>2107</v>
      </c>
      <c r="J3382" s="0" t="s">
        <v>2345</v>
      </c>
      <c r="K3382" s="272" t="n">
        <v>-2731.19445480107</v>
      </c>
    </row>
    <row r="3383" customFormat="false" ht="15" hidden="false" customHeight="false" outlineLevel="0" collapsed="false">
      <c r="A3383" s="0" t="s">
        <v>2041</v>
      </c>
      <c r="B3383" s="0" t="s">
        <v>2042</v>
      </c>
      <c r="C3383" s="0" t="s">
        <v>2339</v>
      </c>
      <c r="D3383" s="0" t="s">
        <v>2105</v>
      </c>
      <c r="E3383" s="0" t="s">
        <v>2045</v>
      </c>
      <c r="F3383" s="0" t="s">
        <v>2051</v>
      </c>
      <c r="G3383" s="0" t="s">
        <v>2110</v>
      </c>
      <c r="H3383" s="0" t="s">
        <v>2107</v>
      </c>
      <c r="J3383" s="0" t="s">
        <v>2345</v>
      </c>
      <c r="K3383" s="272" t="n">
        <v>-793.922374881226</v>
      </c>
    </row>
    <row r="3384" customFormat="false" ht="15" hidden="false" customHeight="false" outlineLevel="0" collapsed="false">
      <c r="A3384" s="0" t="s">
        <v>2041</v>
      </c>
      <c r="B3384" s="0" t="s">
        <v>2042</v>
      </c>
      <c r="C3384" s="0" t="s">
        <v>2339</v>
      </c>
      <c r="D3384" s="0" t="s">
        <v>2105</v>
      </c>
      <c r="E3384" s="0" t="s">
        <v>2045</v>
      </c>
      <c r="F3384" s="0" t="s">
        <v>2051</v>
      </c>
      <c r="G3384" s="0" t="s">
        <v>2114</v>
      </c>
      <c r="H3384" s="0" t="s">
        <v>2107</v>
      </c>
      <c r="J3384" s="0" t="s">
        <v>2345</v>
      </c>
      <c r="K3384" s="272" t="n">
        <v>-601.293610721908</v>
      </c>
    </row>
    <row r="3385" customFormat="false" ht="15" hidden="false" customHeight="false" outlineLevel="0" collapsed="false">
      <c r="A3385" s="0" t="s">
        <v>2041</v>
      </c>
      <c r="B3385" s="0" t="s">
        <v>2042</v>
      </c>
      <c r="C3385" s="0" t="s">
        <v>2339</v>
      </c>
      <c r="D3385" s="0" t="s">
        <v>2105</v>
      </c>
      <c r="E3385" s="0" t="s">
        <v>2045</v>
      </c>
      <c r="F3385" s="0" t="s">
        <v>2051</v>
      </c>
      <c r="G3385" s="0" t="s">
        <v>2123</v>
      </c>
      <c r="H3385" s="0" t="s">
        <v>2107</v>
      </c>
      <c r="J3385" s="0" t="s">
        <v>2345</v>
      </c>
      <c r="K3385" s="272" t="n">
        <v>-529.281583254151</v>
      </c>
    </row>
    <row r="3386" customFormat="false" ht="15" hidden="false" customHeight="false" outlineLevel="0" collapsed="false">
      <c r="A3386" s="0" t="s">
        <v>2041</v>
      </c>
      <c r="B3386" s="0" t="s">
        <v>2042</v>
      </c>
      <c r="C3386" s="0" t="s">
        <v>2339</v>
      </c>
      <c r="D3386" s="0" t="s">
        <v>2105</v>
      </c>
      <c r="E3386" s="0" t="s">
        <v>2045</v>
      </c>
      <c r="F3386" s="0" t="s">
        <v>2046</v>
      </c>
      <c r="G3386" s="0" t="s">
        <v>2129</v>
      </c>
      <c r="H3386" s="0" t="s">
        <v>2331</v>
      </c>
      <c r="J3386" s="0" t="s">
        <v>2345</v>
      </c>
      <c r="K3386" s="272" t="n">
        <v>-47.8297243350531</v>
      </c>
    </row>
    <row r="3387" customFormat="false" ht="15" hidden="false" customHeight="false" outlineLevel="0" collapsed="false">
      <c r="A3387" s="0" t="s">
        <v>2041</v>
      </c>
      <c r="B3387" s="0" t="s">
        <v>2042</v>
      </c>
      <c r="C3387" s="0" t="s">
        <v>2339</v>
      </c>
      <c r="D3387" s="0" t="s">
        <v>2105</v>
      </c>
      <c r="E3387" s="0" t="s">
        <v>2274</v>
      </c>
      <c r="F3387" s="0" t="s">
        <v>2275</v>
      </c>
      <c r="G3387" s="0" t="s">
        <v>2276</v>
      </c>
      <c r="H3387" s="0" t="s">
        <v>2277</v>
      </c>
      <c r="J3387" s="0" t="s">
        <v>2345</v>
      </c>
      <c r="K3387" s="272" t="n">
        <v>-2206.01502333725</v>
      </c>
    </row>
    <row r="3388" customFormat="false" ht="15" hidden="false" customHeight="false" outlineLevel="0" collapsed="false">
      <c r="A3388" s="0" t="s">
        <v>2041</v>
      </c>
      <c r="B3388" s="0" t="s">
        <v>2042</v>
      </c>
      <c r="C3388" s="0" t="s">
        <v>2339</v>
      </c>
      <c r="D3388" s="0" t="s">
        <v>2279</v>
      </c>
      <c r="E3388" s="0" t="s">
        <v>2279</v>
      </c>
      <c r="F3388" s="0" t="s">
        <v>2292</v>
      </c>
      <c r="G3388" s="0" t="s">
        <v>2293</v>
      </c>
      <c r="H3388" s="0" t="s">
        <v>2291</v>
      </c>
      <c r="J3388" s="0" t="s">
        <v>2345</v>
      </c>
      <c r="K3388" s="272" t="n">
        <v>-99.0407475453155</v>
      </c>
    </row>
    <row r="3389" customFormat="false" ht="15" hidden="false" customHeight="false" outlineLevel="0" collapsed="false">
      <c r="A3389" s="0" t="s">
        <v>2041</v>
      </c>
      <c r="B3389" s="0" t="s">
        <v>2042</v>
      </c>
      <c r="C3389" s="0" t="s">
        <v>2339</v>
      </c>
      <c r="D3389" s="0" t="s">
        <v>2105</v>
      </c>
      <c r="E3389" s="0" t="s">
        <v>2045</v>
      </c>
      <c r="F3389" s="0" t="s">
        <v>2150</v>
      </c>
      <c r="G3389" s="0" t="s">
        <v>2151</v>
      </c>
      <c r="H3389" s="0" t="s">
        <v>2154</v>
      </c>
      <c r="J3389" s="0" t="s">
        <v>2345</v>
      </c>
      <c r="K3389" s="272" t="n">
        <v>-264.640791627075</v>
      </c>
    </row>
    <row r="3390" customFormat="false" ht="15" hidden="false" customHeight="false" outlineLevel="0" collapsed="false">
      <c r="A3390" s="0" t="s">
        <v>2041</v>
      </c>
      <c r="B3390" s="0" t="s">
        <v>2042</v>
      </c>
      <c r="C3390" s="0" t="s">
        <v>2339</v>
      </c>
      <c r="D3390" s="0" t="s">
        <v>2105</v>
      </c>
      <c r="E3390" s="0" t="s">
        <v>2045</v>
      </c>
      <c r="F3390" s="0" t="s">
        <v>2150</v>
      </c>
      <c r="G3390" s="0" t="s">
        <v>2155</v>
      </c>
      <c r="H3390" s="0" t="s">
        <v>2154</v>
      </c>
      <c r="J3390" s="0" t="s">
        <v>2345</v>
      </c>
      <c r="K3390" s="272" t="n">
        <v>-2692.64024868056</v>
      </c>
    </row>
    <row r="3391" customFormat="false" ht="15" hidden="false" customHeight="false" outlineLevel="0" collapsed="false">
      <c r="A3391" s="0" t="s">
        <v>2041</v>
      </c>
      <c r="B3391" s="0" t="s">
        <v>2042</v>
      </c>
      <c r="C3391" s="0" t="s">
        <v>2339</v>
      </c>
      <c r="D3391" s="0" t="s">
        <v>2105</v>
      </c>
      <c r="E3391" s="0" t="s">
        <v>2045</v>
      </c>
      <c r="F3391" s="0" t="s">
        <v>2198</v>
      </c>
      <c r="G3391" s="0" t="s">
        <v>2199</v>
      </c>
      <c r="H3391" s="0" t="s">
        <v>2203</v>
      </c>
      <c r="J3391" s="0" t="s">
        <v>2345</v>
      </c>
      <c r="K3391" s="272" t="n">
        <v>-10229.8844043364</v>
      </c>
    </row>
    <row r="3392" customFormat="false" ht="15" hidden="false" customHeight="false" outlineLevel="0" collapsed="false">
      <c r="A3392" s="0" t="s">
        <v>2041</v>
      </c>
      <c r="B3392" s="0" t="s">
        <v>2042</v>
      </c>
      <c r="C3392" s="0" t="s">
        <v>2339</v>
      </c>
      <c r="D3392" s="0" t="s">
        <v>2105</v>
      </c>
      <c r="E3392" s="0" t="s">
        <v>2045</v>
      </c>
      <c r="F3392" s="0" t="s">
        <v>2157</v>
      </c>
      <c r="G3392" s="0" t="s">
        <v>2158</v>
      </c>
      <c r="H3392" s="0" t="s">
        <v>2159</v>
      </c>
      <c r="J3392" s="0" t="s">
        <v>2346</v>
      </c>
      <c r="K3392" s="272" t="n">
        <v>12957.8519311835</v>
      </c>
    </row>
    <row r="3393" customFormat="false" ht="15" hidden="false" customHeight="false" outlineLevel="0" collapsed="false">
      <c r="A3393" s="0" t="s">
        <v>2041</v>
      </c>
      <c r="B3393" s="0" t="s">
        <v>2042</v>
      </c>
      <c r="C3393" s="0" t="s">
        <v>2339</v>
      </c>
      <c r="D3393" s="0" t="s">
        <v>2105</v>
      </c>
      <c r="E3393" s="0" t="s">
        <v>2045</v>
      </c>
      <c r="F3393" s="0" t="s">
        <v>2157</v>
      </c>
      <c r="G3393" s="0" t="s">
        <v>2158</v>
      </c>
      <c r="H3393" s="0" t="s">
        <v>2162</v>
      </c>
      <c r="J3393" s="0" t="s">
        <v>2346</v>
      </c>
      <c r="K3393" s="272" t="n">
        <v>327.283787339899</v>
      </c>
    </row>
    <row r="3394" customFormat="false" ht="15" hidden="false" customHeight="false" outlineLevel="0" collapsed="false">
      <c r="A3394" s="0" t="s">
        <v>2041</v>
      </c>
      <c r="B3394" s="0" t="s">
        <v>2042</v>
      </c>
      <c r="C3394" s="0" t="s">
        <v>2339</v>
      </c>
      <c r="D3394" s="0" t="s">
        <v>2105</v>
      </c>
      <c r="E3394" s="0" t="s">
        <v>2045</v>
      </c>
      <c r="F3394" s="0" t="s">
        <v>2157</v>
      </c>
      <c r="G3394" s="0" t="s">
        <v>2158</v>
      </c>
      <c r="H3394" s="0" t="s">
        <v>2126</v>
      </c>
      <c r="J3394" s="0" t="s">
        <v>2346</v>
      </c>
      <c r="K3394" s="272" t="n">
        <v>631.895886324787</v>
      </c>
    </row>
    <row r="3395" customFormat="false" ht="15" hidden="false" customHeight="false" outlineLevel="0" collapsed="false">
      <c r="A3395" s="0" t="s">
        <v>2041</v>
      </c>
      <c r="B3395" s="0" t="s">
        <v>2042</v>
      </c>
      <c r="C3395" s="0" t="s">
        <v>2339</v>
      </c>
      <c r="D3395" s="0" t="s">
        <v>2105</v>
      </c>
      <c r="E3395" s="0" t="s">
        <v>2045</v>
      </c>
      <c r="F3395" s="0" t="s">
        <v>2324</v>
      </c>
      <c r="G3395" s="0" t="s">
        <v>2325</v>
      </c>
      <c r="H3395" s="0" t="s">
        <v>2326</v>
      </c>
      <c r="J3395" s="0" t="s">
        <v>2346</v>
      </c>
      <c r="K3395" s="272" t="n">
        <v>111.687550375047</v>
      </c>
    </row>
    <row r="3396" customFormat="false" ht="15" hidden="false" customHeight="false" outlineLevel="0" collapsed="false">
      <c r="A3396" s="0" t="s">
        <v>2041</v>
      </c>
      <c r="B3396" s="0" t="s">
        <v>2042</v>
      </c>
      <c r="C3396" s="0" t="s">
        <v>2339</v>
      </c>
      <c r="D3396" s="0" t="s">
        <v>2105</v>
      </c>
      <c r="E3396" s="0" t="s">
        <v>2045</v>
      </c>
      <c r="F3396" s="0" t="s">
        <v>2163</v>
      </c>
      <c r="G3396" s="0" t="s">
        <v>2164</v>
      </c>
      <c r="H3396" s="0" t="s">
        <v>2166</v>
      </c>
      <c r="J3396" s="0" t="s">
        <v>2346</v>
      </c>
      <c r="K3396" s="272" t="n">
        <v>15750.272041897</v>
      </c>
    </row>
    <row r="3397" customFormat="false" ht="15" hidden="false" customHeight="false" outlineLevel="0" collapsed="false">
      <c r="A3397" s="0" t="s">
        <v>2041</v>
      </c>
      <c r="B3397" s="0" t="s">
        <v>2042</v>
      </c>
      <c r="C3397" s="0" t="s">
        <v>2339</v>
      </c>
      <c r="D3397" s="0" t="s">
        <v>2105</v>
      </c>
      <c r="E3397" s="0" t="s">
        <v>2045</v>
      </c>
      <c r="F3397" s="0" t="s">
        <v>2163</v>
      </c>
      <c r="G3397" s="0" t="s">
        <v>2168</v>
      </c>
      <c r="H3397" s="0" t="s">
        <v>2169</v>
      </c>
      <c r="J3397" s="0" t="s">
        <v>2346</v>
      </c>
      <c r="K3397" s="272" t="n">
        <v>33210.326831926</v>
      </c>
    </row>
    <row r="3398" customFormat="false" ht="15" hidden="false" customHeight="false" outlineLevel="0" collapsed="false">
      <c r="A3398" s="0" t="s">
        <v>2041</v>
      </c>
      <c r="B3398" s="0" t="s">
        <v>2042</v>
      </c>
      <c r="C3398" s="0" t="s">
        <v>2339</v>
      </c>
      <c r="D3398" s="0" t="s">
        <v>2105</v>
      </c>
      <c r="E3398" s="0" t="s">
        <v>2045</v>
      </c>
      <c r="F3398" s="0" t="s">
        <v>2163</v>
      </c>
      <c r="G3398" s="0" t="s">
        <v>2168</v>
      </c>
      <c r="H3398" s="0" t="s">
        <v>2165</v>
      </c>
      <c r="J3398" s="0" t="s">
        <v>2346</v>
      </c>
      <c r="K3398" s="272" t="n">
        <v>129.851044131522</v>
      </c>
    </row>
    <row r="3399" customFormat="false" ht="15" hidden="false" customHeight="false" outlineLevel="0" collapsed="false">
      <c r="A3399" s="0" t="s">
        <v>2041</v>
      </c>
      <c r="B3399" s="0" t="s">
        <v>2042</v>
      </c>
      <c r="C3399" s="0" t="s">
        <v>2339</v>
      </c>
      <c r="D3399" s="0" t="s">
        <v>2105</v>
      </c>
      <c r="E3399" s="0" t="s">
        <v>2045</v>
      </c>
      <c r="F3399" s="0" t="s">
        <v>2163</v>
      </c>
      <c r="G3399" s="0" t="s">
        <v>2168</v>
      </c>
      <c r="H3399" s="0" t="s">
        <v>2166</v>
      </c>
      <c r="J3399" s="0" t="s">
        <v>2346</v>
      </c>
      <c r="K3399" s="272" t="n">
        <v>574.201950302127</v>
      </c>
    </row>
    <row r="3400" customFormat="false" ht="15" hidden="false" customHeight="false" outlineLevel="0" collapsed="false">
      <c r="A3400" s="0" t="s">
        <v>2041</v>
      </c>
      <c r="B3400" s="0" t="s">
        <v>2042</v>
      </c>
      <c r="C3400" s="0" t="s">
        <v>2339</v>
      </c>
      <c r="D3400" s="0" t="s">
        <v>2105</v>
      </c>
      <c r="E3400" s="0" t="s">
        <v>2045</v>
      </c>
      <c r="F3400" s="0" t="s">
        <v>2163</v>
      </c>
      <c r="G3400" s="0" t="s">
        <v>2170</v>
      </c>
      <c r="H3400" s="0" t="s">
        <v>2169</v>
      </c>
      <c r="J3400" s="0" t="s">
        <v>2346</v>
      </c>
      <c r="K3400" s="272" t="n">
        <v>301.905882499152</v>
      </c>
    </row>
    <row r="3401" customFormat="false" ht="15" hidden="false" customHeight="false" outlineLevel="0" collapsed="false">
      <c r="A3401" s="0" t="s">
        <v>2041</v>
      </c>
      <c r="B3401" s="0" t="s">
        <v>2042</v>
      </c>
      <c r="C3401" s="0" t="s">
        <v>2339</v>
      </c>
      <c r="D3401" s="0" t="s">
        <v>2105</v>
      </c>
      <c r="E3401" s="0" t="s">
        <v>2045</v>
      </c>
      <c r="F3401" s="0" t="s">
        <v>2163</v>
      </c>
      <c r="G3401" s="0" t="s">
        <v>2170</v>
      </c>
      <c r="H3401" s="0" t="s">
        <v>2165</v>
      </c>
      <c r="J3401" s="0" t="s">
        <v>2346</v>
      </c>
      <c r="K3401" s="272" t="n">
        <v>26942.329506515</v>
      </c>
    </row>
    <row r="3402" customFormat="false" ht="15" hidden="false" customHeight="false" outlineLevel="0" collapsed="false">
      <c r="A3402" s="0" t="s">
        <v>2041</v>
      </c>
      <c r="B3402" s="0" t="s">
        <v>2042</v>
      </c>
      <c r="C3402" s="0" t="s">
        <v>2339</v>
      </c>
      <c r="D3402" s="0" t="s">
        <v>2105</v>
      </c>
      <c r="E3402" s="0" t="s">
        <v>2045</v>
      </c>
      <c r="F3402" s="0" t="s">
        <v>2163</v>
      </c>
      <c r="G3402" s="0" t="s">
        <v>2170</v>
      </c>
      <c r="H3402" s="0" t="s">
        <v>2171</v>
      </c>
      <c r="J3402" s="0" t="s">
        <v>2346</v>
      </c>
      <c r="K3402" s="272" t="n">
        <v>3210.10916782386</v>
      </c>
    </row>
    <row r="3403" customFormat="false" ht="15" hidden="false" customHeight="false" outlineLevel="0" collapsed="false">
      <c r="A3403" s="0" t="s">
        <v>2041</v>
      </c>
      <c r="B3403" s="0" t="s">
        <v>2042</v>
      </c>
      <c r="C3403" s="0" t="s">
        <v>2339</v>
      </c>
      <c r="D3403" s="0" t="s">
        <v>2105</v>
      </c>
      <c r="E3403" s="0" t="s">
        <v>2045</v>
      </c>
      <c r="F3403" s="0" t="s">
        <v>2163</v>
      </c>
      <c r="G3403" s="0" t="s">
        <v>2172</v>
      </c>
      <c r="H3403" s="0" t="s">
        <v>2173</v>
      </c>
      <c r="J3403" s="0" t="s">
        <v>2346</v>
      </c>
      <c r="K3403" s="272" t="n">
        <v>9556.9753895787</v>
      </c>
    </row>
    <row r="3404" customFormat="false" ht="15" hidden="false" customHeight="false" outlineLevel="0" collapsed="false">
      <c r="A3404" s="0" t="s">
        <v>2041</v>
      </c>
      <c r="B3404" s="0" t="s">
        <v>2042</v>
      </c>
      <c r="C3404" s="0" t="s">
        <v>2339</v>
      </c>
      <c r="D3404" s="0" t="s">
        <v>2105</v>
      </c>
      <c r="E3404" s="0" t="s">
        <v>2045</v>
      </c>
      <c r="F3404" s="0" t="s">
        <v>2163</v>
      </c>
      <c r="G3404" s="0" t="s">
        <v>2174</v>
      </c>
      <c r="H3404" s="0" t="s">
        <v>2175</v>
      </c>
      <c r="J3404" s="0" t="s">
        <v>2346</v>
      </c>
      <c r="K3404" s="272" t="n">
        <v>12585.4887973115</v>
      </c>
    </row>
    <row r="3405" customFormat="false" ht="15" hidden="false" customHeight="false" outlineLevel="0" collapsed="false">
      <c r="A3405" s="0" t="s">
        <v>2041</v>
      </c>
      <c r="B3405" s="0" t="s">
        <v>2042</v>
      </c>
      <c r="C3405" s="0" t="s">
        <v>2339</v>
      </c>
      <c r="D3405" s="0" t="s">
        <v>2105</v>
      </c>
      <c r="E3405" s="0" t="s">
        <v>2045</v>
      </c>
      <c r="F3405" s="0" t="s">
        <v>2176</v>
      </c>
      <c r="G3405" s="0" t="s">
        <v>2177</v>
      </c>
      <c r="H3405" s="0" t="s">
        <v>2178</v>
      </c>
      <c r="J3405" s="0" t="s">
        <v>2346</v>
      </c>
      <c r="K3405" s="272" t="n">
        <v>2784.17872992886</v>
      </c>
    </row>
    <row r="3406" customFormat="false" ht="15" hidden="false" customHeight="false" outlineLevel="0" collapsed="false">
      <c r="A3406" s="0" t="s">
        <v>2041</v>
      </c>
      <c r="B3406" s="0" t="s">
        <v>2042</v>
      </c>
      <c r="C3406" s="0" t="s">
        <v>2339</v>
      </c>
      <c r="D3406" s="0" t="s">
        <v>2105</v>
      </c>
      <c r="E3406" s="0" t="s">
        <v>2045</v>
      </c>
      <c r="F3406" s="0" t="s">
        <v>2176</v>
      </c>
      <c r="G3406" s="0" t="s">
        <v>2177</v>
      </c>
      <c r="H3406" s="0" t="s">
        <v>2179</v>
      </c>
      <c r="J3406" s="0" t="s">
        <v>2346</v>
      </c>
      <c r="K3406" s="272" t="n">
        <v>3701.211425978</v>
      </c>
    </row>
    <row r="3407" customFormat="false" ht="15" hidden="false" customHeight="false" outlineLevel="0" collapsed="false">
      <c r="A3407" s="0" t="s">
        <v>2041</v>
      </c>
      <c r="B3407" s="0" t="s">
        <v>2042</v>
      </c>
      <c r="C3407" s="0" t="s">
        <v>2339</v>
      </c>
      <c r="D3407" s="0" t="s">
        <v>2105</v>
      </c>
      <c r="E3407" s="0" t="s">
        <v>2045</v>
      </c>
      <c r="F3407" s="0" t="s">
        <v>2176</v>
      </c>
      <c r="G3407" s="0" t="s">
        <v>2177</v>
      </c>
      <c r="H3407" s="0" t="s">
        <v>2180</v>
      </c>
      <c r="J3407" s="0" t="s">
        <v>2346</v>
      </c>
      <c r="K3407" s="272" t="n">
        <v>1836.33490044168</v>
      </c>
    </row>
    <row r="3408" customFormat="false" ht="15" hidden="false" customHeight="false" outlineLevel="0" collapsed="false">
      <c r="A3408" s="0" t="s">
        <v>2041</v>
      </c>
      <c r="B3408" s="0" t="s">
        <v>2042</v>
      </c>
      <c r="C3408" s="0" t="s">
        <v>2339</v>
      </c>
      <c r="D3408" s="0" t="s">
        <v>2105</v>
      </c>
      <c r="E3408" s="0" t="s">
        <v>2045</v>
      </c>
      <c r="F3408" s="0" t="s">
        <v>2176</v>
      </c>
      <c r="G3408" s="0" t="s">
        <v>2181</v>
      </c>
      <c r="H3408" s="0" t="s">
        <v>2182</v>
      </c>
      <c r="J3408" s="0" t="s">
        <v>2346</v>
      </c>
      <c r="K3408" s="272" t="n">
        <v>1657.48564836135</v>
      </c>
    </row>
    <row r="3409" customFormat="false" ht="15" hidden="false" customHeight="false" outlineLevel="0" collapsed="false">
      <c r="A3409" s="0" t="s">
        <v>2041</v>
      </c>
      <c r="B3409" s="0" t="s">
        <v>2042</v>
      </c>
      <c r="C3409" s="0" t="s">
        <v>2339</v>
      </c>
      <c r="D3409" s="0" t="s">
        <v>2105</v>
      </c>
      <c r="E3409" s="0" t="s">
        <v>2045</v>
      </c>
      <c r="F3409" s="0" t="s">
        <v>2176</v>
      </c>
      <c r="G3409" s="0" t="s">
        <v>2181</v>
      </c>
      <c r="H3409" s="0" t="s">
        <v>2183</v>
      </c>
      <c r="J3409" s="0" t="s">
        <v>2346</v>
      </c>
      <c r="K3409" s="272" t="n">
        <v>104.262769254525</v>
      </c>
    </row>
    <row r="3410" customFormat="false" ht="15" hidden="false" customHeight="false" outlineLevel="0" collapsed="false">
      <c r="A3410" s="0" t="s">
        <v>2041</v>
      </c>
      <c r="B3410" s="0" t="s">
        <v>2042</v>
      </c>
      <c r="C3410" s="0" t="s">
        <v>2339</v>
      </c>
      <c r="D3410" s="0" t="s">
        <v>2105</v>
      </c>
      <c r="E3410" s="0" t="s">
        <v>2045</v>
      </c>
      <c r="F3410" s="0" t="s">
        <v>2176</v>
      </c>
      <c r="G3410" s="0" t="s">
        <v>2181</v>
      </c>
      <c r="H3410" s="0" t="s">
        <v>2184</v>
      </c>
      <c r="J3410" s="0" t="s">
        <v>2346</v>
      </c>
      <c r="K3410" s="272" t="n">
        <v>602.219599896061</v>
      </c>
    </row>
    <row r="3411" customFormat="false" ht="15" hidden="false" customHeight="false" outlineLevel="0" collapsed="false">
      <c r="A3411" s="0" t="s">
        <v>2041</v>
      </c>
      <c r="B3411" s="0" t="s">
        <v>2042</v>
      </c>
      <c r="C3411" s="0" t="s">
        <v>2339</v>
      </c>
      <c r="D3411" s="0" t="s">
        <v>2105</v>
      </c>
      <c r="E3411" s="0" t="s">
        <v>2045</v>
      </c>
      <c r="F3411" s="0" t="s">
        <v>2176</v>
      </c>
      <c r="G3411" s="0" t="s">
        <v>2181</v>
      </c>
      <c r="H3411" s="0" t="s">
        <v>2185</v>
      </c>
      <c r="J3411" s="0" t="s">
        <v>2346</v>
      </c>
      <c r="K3411" s="272" t="n">
        <v>1624.64972653381</v>
      </c>
    </row>
    <row r="3412" customFormat="false" ht="15" hidden="false" customHeight="false" outlineLevel="0" collapsed="false">
      <c r="A3412" s="0" t="s">
        <v>2041</v>
      </c>
      <c r="B3412" s="0" t="s">
        <v>2042</v>
      </c>
      <c r="C3412" s="0" t="s">
        <v>2339</v>
      </c>
      <c r="D3412" s="0" t="s">
        <v>2105</v>
      </c>
      <c r="E3412" s="0" t="s">
        <v>2045</v>
      </c>
      <c r="F3412" s="0" t="s">
        <v>2176</v>
      </c>
      <c r="G3412" s="0" t="s">
        <v>2181</v>
      </c>
      <c r="H3412" s="0" t="s">
        <v>2186</v>
      </c>
      <c r="J3412" s="0" t="s">
        <v>2346</v>
      </c>
      <c r="K3412" s="272" t="n">
        <v>1461.0341987466</v>
      </c>
    </row>
    <row r="3413" customFormat="false" ht="15" hidden="false" customHeight="false" outlineLevel="0" collapsed="false">
      <c r="A3413" s="0" t="s">
        <v>2041</v>
      </c>
      <c r="B3413" s="0" t="s">
        <v>2042</v>
      </c>
      <c r="C3413" s="0" t="s">
        <v>2339</v>
      </c>
      <c r="D3413" s="0" t="s">
        <v>2105</v>
      </c>
      <c r="E3413" s="0" t="s">
        <v>2045</v>
      </c>
      <c r="F3413" s="0" t="s">
        <v>2176</v>
      </c>
      <c r="G3413" s="0" t="s">
        <v>2181</v>
      </c>
      <c r="H3413" s="0" t="s">
        <v>2187</v>
      </c>
      <c r="J3413" s="0" t="s">
        <v>2346</v>
      </c>
      <c r="K3413" s="272" t="n">
        <v>3177.42884183955</v>
      </c>
    </row>
    <row r="3414" customFormat="false" ht="15" hidden="false" customHeight="false" outlineLevel="0" collapsed="false">
      <c r="A3414" s="0" t="s">
        <v>2041</v>
      </c>
      <c r="B3414" s="0" t="s">
        <v>2042</v>
      </c>
      <c r="C3414" s="0" t="s">
        <v>2339</v>
      </c>
      <c r="D3414" s="0" t="s">
        <v>2105</v>
      </c>
      <c r="E3414" s="0" t="s">
        <v>2045</v>
      </c>
      <c r="F3414" s="0" t="s">
        <v>2176</v>
      </c>
      <c r="G3414" s="0" t="s">
        <v>2181</v>
      </c>
      <c r="H3414" s="0" t="s">
        <v>2179</v>
      </c>
      <c r="J3414" s="0" t="s">
        <v>2346</v>
      </c>
      <c r="K3414" s="272" t="n">
        <v>1850.605712989</v>
      </c>
    </row>
    <row r="3415" customFormat="false" ht="15" hidden="false" customHeight="false" outlineLevel="0" collapsed="false">
      <c r="A3415" s="0" t="s">
        <v>2041</v>
      </c>
      <c r="B3415" s="0" t="s">
        <v>2042</v>
      </c>
      <c r="C3415" s="0" t="s">
        <v>2339</v>
      </c>
      <c r="D3415" s="0" t="s">
        <v>2105</v>
      </c>
      <c r="E3415" s="0" t="s">
        <v>2045</v>
      </c>
      <c r="F3415" s="0" t="s">
        <v>2176</v>
      </c>
      <c r="G3415" s="0" t="s">
        <v>2188</v>
      </c>
      <c r="H3415" s="0" t="s">
        <v>2189</v>
      </c>
      <c r="J3415" s="0" t="s">
        <v>2346</v>
      </c>
      <c r="K3415" s="272" t="n">
        <v>9504.87529122779</v>
      </c>
    </row>
    <row r="3416" customFormat="false" ht="15" hidden="false" customHeight="false" outlineLevel="0" collapsed="false">
      <c r="A3416" s="0" t="s">
        <v>2041</v>
      </c>
      <c r="B3416" s="0" t="s">
        <v>2042</v>
      </c>
      <c r="C3416" s="0" t="s">
        <v>2339</v>
      </c>
      <c r="D3416" s="0" t="s">
        <v>2105</v>
      </c>
      <c r="E3416" s="0" t="s">
        <v>2045</v>
      </c>
      <c r="F3416" s="0" t="s">
        <v>2176</v>
      </c>
      <c r="G3416" s="0" t="s">
        <v>2190</v>
      </c>
      <c r="H3416" s="0" t="s">
        <v>2191</v>
      </c>
      <c r="J3416" s="0" t="s">
        <v>2346</v>
      </c>
      <c r="K3416" s="272" t="n">
        <v>10656.9795135023</v>
      </c>
    </row>
    <row r="3417" customFormat="false" ht="15" hidden="false" customHeight="false" outlineLevel="0" collapsed="false">
      <c r="A3417" s="0" t="s">
        <v>2041</v>
      </c>
      <c r="B3417" s="0" t="s">
        <v>2042</v>
      </c>
      <c r="C3417" s="0" t="s">
        <v>2339</v>
      </c>
      <c r="D3417" s="0" t="s">
        <v>2105</v>
      </c>
      <c r="E3417" s="0" t="s">
        <v>2045</v>
      </c>
      <c r="F3417" s="0" t="s">
        <v>2192</v>
      </c>
      <c r="G3417" s="0" t="s">
        <v>2193</v>
      </c>
      <c r="H3417" s="0" t="s">
        <v>2162</v>
      </c>
      <c r="J3417" s="0" t="s">
        <v>2346</v>
      </c>
      <c r="K3417" s="272" t="n">
        <v>25806.7643054046</v>
      </c>
    </row>
    <row r="3418" customFormat="false" ht="15" hidden="false" customHeight="false" outlineLevel="0" collapsed="false">
      <c r="A3418" s="0" t="s">
        <v>2041</v>
      </c>
      <c r="B3418" s="0" t="s">
        <v>2042</v>
      </c>
      <c r="C3418" s="0" t="s">
        <v>2339</v>
      </c>
      <c r="D3418" s="0" t="s">
        <v>2105</v>
      </c>
      <c r="E3418" s="0" t="s">
        <v>2045</v>
      </c>
      <c r="F3418" s="0" t="s">
        <v>2192</v>
      </c>
      <c r="G3418" s="0" t="s">
        <v>2194</v>
      </c>
      <c r="H3418" s="0" t="s">
        <v>2162</v>
      </c>
      <c r="J3418" s="0" t="s">
        <v>2346</v>
      </c>
      <c r="K3418" s="272" t="n">
        <v>10464.7529180842</v>
      </c>
    </row>
    <row r="3419" customFormat="false" ht="15" hidden="false" customHeight="false" outlineLevel="0" collapsed="false">
      <c r="A3419" s="0" t="s">
        <v>2041</v>
      </c>
      <c r="B3419" s="0" t="s">
        <v>2042</v>
      </c>
      <c r="C3419" s="0" t="s">
        <v>2339</v>
      </c>
      <c r="D3419" s="0" t="s">
        <v>2105</v>
      </c>
      <c r="E3419" s="0" t="s">
        <v>2045</v>
      </c>
      <c r="F3419" s="0" t="s">
        <v>2192</v>
      </c>
      <c r="G3419" s="0" t="s">
        <v>2195</v>
      </c>
      <c r="H3419" s="0" t="s">
        <v>2171</v>
      </c>
      <c r="J3419" s="0" t="s">
        <v>2346</v>
      </c>
      <c r="K3419" s="272" t="n">
        <v>12884.4714089803</v>
      </c>
    </row>
    <row r="3420" customFormat="false" ht="15" hidden="false" customHeight="false" outlineLevel="0" collapsed="false">
      <c r="A3420" s="0" t="s">
        <v>2041</v>
      </c>
      <c r="B3420" s="0" t="s">
        <v>2042</v>
      </c>
      <c r="C3420" s="0" t="s">
        <v>2339</v>
      </c>
      <c r="D3420" s="0" t="s">
        <v>2105</v>
      </c>
      <c r="E3420" s="0" t="s">
        <v>2045</v>
      </c>
      <c r="F3420" s="0" t="s">
        <v>2192</v>
      </c>
      <c r="G3420" s="0" t="s">
        <v>2195</v>
      </c>
      <c r="H3420" s="0" t="s">
        <v>2162</v>
      </c>
      <c r="J3420" s="0" t="s">
        <v>2346</v>
      </c>
      <c r="K3420" s="272" t="n">
        <v>3732.25149697535</v>
      </c>
    </row>
    <row r="3421" customFormat="false" ht="15" hidden="false" customHeight="false" outlineLevel="0" collapsed="false">
      <c r="A3421" s="0" t="s">
        <v>2041</v>
      </c>
      <c r="B3421" s="0" t="s">
        <v>2042</v>
      </c>
      <c r="C3421" s="0" t="s">
        <v>2339</v>
      </c>
      <c r="D3421" s="0" t="s">
        <v>2105</v>
      </c>
      <c r="E3421" s="0" t="s">
        <v>2045</v>
      </c>
      <c r="F3421" s="0" t="s">
        <v>2192</v>
      </c>
      <c r="G3421" s="0" t="s">
        <v>2196</v>
      </c>
      <c r="H3421" s="0" t="s">
        <v>2162</v>
      </c>
      <c r="J3421" s="0" t="s">
        <v>2346</v>
      </c>
      <c r="K3421" s="272" t="n">
        <v>15588.8966857667</v>
      </c>
    </row>
    <row r="3422" customFormat="false" ht="15" hidden="false" customHeight="false" outlineLevel="0" collapsed="false">
      <c r="A3422" s="0" t="s">
        <v>2041</v>
      </c>
      <c r="B3422" s="0" t="s">
        <v>2042</v>
      </c>
      <c r="C3422" s="0" t="s">
        <v>2339</v>
      </c>
      <c r="D3422" s="0" t="s">
        <v>2105</v>
      </c>
      <c r="E3422" s="0" t="s">
        <v>2045</v>
      </c>
      <c r="F3422" s="0" t="s">
        <v>2198</v>
      </c>
      <c r="G3422" s="0" t="s">
        <v>2199</v>
      </c>
      <c r="H3422" s="0" t="s">
        <v>2200</v>
      </c>
      <c r="J3422" s="0" t="s">
        <v>2346</v>
      </c>
      <c r="K3422" s="272" t="n">
        <v>17513.331512316</v>
      </c>
    </row>
    <row r="3423" customFormat="false" ht="15" hidden="false" customHeight="false" outlineLevel="0" collapsed="false">
      <c r="A3423" s="0" t="s">
        <v>2041</v>
      </c>
      <c r="B3423" s="0" t="s">
        <v>2042</v>
      </c>
      <c r="C3423" s="0" t="s">
        <v>2339</v>
      </c>
      <c r="D3423" s="0" t="s">
        <v>2105</v>
      </c>
      <c r="E3423" s="0" t="s">
        <v>2045</v>
      </c>
      <c r="F3423" s="0" t="s">
        <v>2198</v>
      </c>
      <c r="G3423" s="0" t="s">
        <v>2199</v>
      </c>
      <c r="H3423" s="0" t="s">
        <v>2202</v>
      </c>
      <c r="J3423" s="0" t="s">
        <v>2346</v>
      </c>
      <c r="K3423" s="272" t="n">
        <v>3408.80375989928</v>
      </c>
    </row>
    <row r="3424" customFormat="false" ht="15" hidden="false" customHeight="false" outlineLevel="0" collapsed="false">
      <c r="A3424" s="0" t="s">
        <v>2041</v>
      </c>
      <c r="B3424" s="0" t="s">
        <v>2042</v>
      </c>
      <c r="C3424" s="0" t="s">
        <v>2339</v>
      </c>
      <c r="D3424" s="0" t="s">
        <v>2105</v>
      </c>
      <c r="E3424" s="0" t="s">
        <v>2045</v>
      </c>
      <c r="F3424" s="0" t="s">
        <v>2198</v>
      </c>
      <c r="G3424" s="0" t="s">
        <v>2199</v>
      </c>
      <c r="H3424" s="0" t="s">
        <v>2203</v>
      </c>
      <c r="J3424" s="0" t="s">
        <v>2346</v>
      </c>
      <c r="K3424" s="272" t="n">
        <v>16926.9097180636</v>
      </c>
    </row>
    <row r="3425" customFormat="false" ht="15" hidden="false" customHeight="false" outlineLevel="0" collapsed="false">
      <c r="A3425" s="0" t="s">
        <v>2041</v>
      </c>
      <c r="B3425" s="0" t="s">
        <v>2042</v>
      </c>
      <c r="C3425" s="0" t="s">
        <v>2339</v>
      </c>
      <c r="D3425" s="0" t="s">
        <v>2105</v>
      </c>
      <c r="E3425" s="0" t="s">
        <v>2045</v>
      </c>
      <c r="F3425" s="0" t="s">
        <v>2204</v>
      </c>
      <c r="G3425" s="0" t="s">
        <v>2205</v>
      </c>
      <c r="H3425" s="0" t="s">
        <v>2206</v>
      </c>
      <c r="J3425" s="0" t="s">
        <v>2346</v>
      </c>
      <c r="K3425" s="272" t="n">
        <v>541.638414037848</v>
      </c>
    </row>
    <row r="3426" customFormat="false" ht="15" hidden="false" customHeight="false" outlineLevel="0" collapsed="false">
      <c r="A3426" s="0" t="s">
        <v>2041</v>
      </c>
      <c r="B3426" s="0" t="s">
        <v>2042</v>
      </c>
      <c r="C3426" s="0" t="s">
        <v>2339</v>
      </c>
      <c r="D3426" s="0" t="s">
        <v>2105</v>
      </c>
      <c r="E3426" s="0" t="s">
        <v>2045</v>
      </c>
      <c r="F3426" s="0" t="s">
        <v>2204</v>
      </c>
      <c r="G3426" s="0" t="s">
        <v>2205</v>
      </c>
      <c r="H3426" s="0" t="s">
        <v>2207</v>
      </c>
      <c r="J3426" s="0" t="s">
        <v>2346</v>
      </c>
      <c r="K3426" s="272" t="n">
        <v>541.638414037848</v>
      </c>
    </row>
    <row r="3427" customFormat="false" ht="15" hidden="false" customHeight="false" outlineLevel="0" collapsed="false">
      <c r="A3427" s="0" t="s">
        <v>2041</v>
      </c>
      <c r="B3427" s="0" t="s">
        <v>2042</v>
      </c>
      <c r="C3427" s="0" t="s">
        <v>2339</v>
      </c>
      <c r="D3427" s="0" t="s">
        <v>2105</v>
      </c>
      <c r="E3427" s="0" t="s">
        <v>2045</v>
      </c>
      <c r="F3427" s="0" t="s">
        <v>2204</v>
      </c>
      <c r="G3427" s="0" t="s">
        <v>2205</v>
      </c>
      <c r="H3427" s="0" t="s">
        <v>2208</v>
      </c>
      <c r="J3427" s="0" t="s">
        <v>2346</v>
      </c>
      <c r="K3427" s="272" t="n">
        <v>1083.2768280757</v>
      </c>
    </row>
    <row r="3428" customFormat="false" ht="15" hidden="false" customHeight="false" outlineLevel="0" collapsed="false">
      <c r="A3428" s="0" t="s">
        <v>2041</v>
      </c>
      <c r="B3428" s="0" t="s">
        <v>2042</v>
      </c>
      <c r="C3428" s="0" t="s">
        <v>2339</v>
      </c>
      <c r="D3428" s="0" t="s">
        <v>2105</v>
      </c>
      <c r="E3428" s="0" t="s">
        <v>2045</v>
      </c>
      <c r="F3428" s="0" t="s">
        <v>2204</v>
      </c>
      <c r="G3428" s="0" t="s">
        <v>2209</v>
      </c>
      <c r="H3428" s="0" t="s">
        <v>2207</v>
      </c>
      <c r="J3428" s="0" t="s">
        <v>2346</v>
      </c>
      <c r="K3428" s="272" t="n">
        <v>888.491070954498</v>
      </c>
    </row>
    <row r="3429" customFormat="false" ht="15" hidden="false" customHeight="false" outlineLevel="0" collapsed="false">
      <c r="A3429" s="0" t="s">
        <v>2041</v>
      </c>
      <c r="B3429" s="0" t="s">
        <v>2042</v>
      </c>
      <c r="C3429" s="0" t="s">
        <v>2339</v>
      </c>
      <c r="D3429" s="0" t="s">
        <v>2105</v>
      </c>
      <c r="E3429" s="0" t="s">
        <v>2045</v>
      </c>
      <c r="F3429" s="0" t="s">
        <v>2204</v>
      </c>
      <c r="G3429" s="0" t="s">
        <v>2210</v>
      </c>
      <c r="H3429" s="0" t="s">
        <v>2211</v>
      </c>
      <c r="J3429" s="0" t="s">
        <v>2346</v>
      </c>
      <c r="K3429" s="272" t="n">
        <v>2092.93008507139</v>
      </c>
    </row>
    <row r="3430" customFormat="false" ht="15" hidden="false" customHeight="false" outlineLevel="0" collapsed="false">
      <c r="A3430" s="0" t="s">
        <v>2041</v>
      </c>
      <c r="B3430" s="0" t="s">
        <v>2042</v>
      </c>
      <c r="C3430" s="0" t="s">
        <v>2339</v>
      </c>
      <c r="D3430" s="0" t="s">
        <v>2105</v>
      </c>
      <c r="E3430" s="0" t="s">
        <v>2045</v>
      </c>
      <c r="F3430" s="0" t="s">
        <v>2204</v>
      </c>
      <c r="G3430" s="0" t="s">
        <v>2212</v>
      </c>
      <c r="H3430" s="0" t="s">
        <v>2213</v>
      </c>
      <c r="J3430" s="0" t="s">
        <v>2346</v>
      </c>
      <c r="K3430" s="272" t="n">
        <v>602.219599896061</v>
      </c>
    </row>
    <row r="3431" customFormat="false" ht="15" hidden="false" customHeight="false" outlineLevel="0" collapsed="false">
      <c r="A3431" s="0" t="s">
        <v>2041</v>
      </c>
      <c r="B3431" s="0" t="s">
        <v>2042</v>
      </c>
      <c r="C3431" s="0" t="s">
        <v>2339</v>
      </c>
      <c r="D3431" s="0" t="s">
        <v>2105</v>
      </c>
      <c r="E3431" s="0" t="s">
        <v>2045</v>
      </c>
      <c r="F3431" s="0" t="s">
        <v>2204</v>
      </c>
      <c r="G3431" s="0" t="s">
        <v>2212</v>
      </c>
      <c r="H3431" s="0" t="s">
        <v>2206</v>
      </c>
      <c r="J3431" s="0" t="s">
        <v>2346</v>
      </c>
      <c r="K3431" s="272" t="n">
        <v>602.219414220831</v>
      </c>
    </row>
    <row r="3432" customFormat="false" ht="15" hidden="false" customHeight="false" outlineLevel="0" collapsed="false">
      <c r="A3432" s="0" t="s">
        <v>2041</v>
      </c>
      <c r="B3432" s="0" t="s">
        <v>2042</v>
      </c>
      <c r="C3432" s="0" t="s">
        <v>2339</v>
      </c>
      <c r="D3432" s="0" t="s">
        <v>2105</v>
      </c>
      <c r="E3432" s="0" t="s">
        <v>2045</v>
      </c>
      <c r="F3432" s="0" t="s">
        <v>2204</v>
      </c>
      <c r="G3432" s="0" t="s">
        <v>2212</v>
      </c>
      <c r="H3432" s="0" t="s">
        <v>2208</v>
      </c>
      <c r="J3432" s="0" t="s">
        <v>2346</v>
      </c>
      <c r="K3432" s="272" t="n">
        <v>2135.61236437671</v>
      </c>
    </row>
    <row r="3433" customFormat="false" ht="15" hidden="false" customHeight="false" outlineLevel="0" collapsed="false">
      <c r="A3433" s="0" t="s">
        <v>2041</v>
      </c>
      <c r="B3433" s="0" t="s">
        <v>2042</v>
      </c>
      <c r="C3433" s="0" t="s">
        <v>2339</v>
      </c>
      <c r="D3433" s="0" t="s">
        <v>2105</v>
      </c>
      <c r="E3433" s="0" t="s">
        <v>2045</v>
      </c>
      <c r="F3433" s="0" t="s">
        <v>2204</v>
      </c>
      <c r="G3433" s="0" t="s">
        <v>2214</v>
      </c>
      <c r="H3433" s="0" t="s">
        <v>2206</v>
      </c>
      <c r="J3433" s="0" t="s">
        <v>2346</v>
      </c>
      <c r="K3433" s="272" t="n">
        <v>444.245628314865</v>
      </c>
    </row>
    <row r="3434" customFormat="false" ht="15" hidden="false" customHeight="false" outlineLevel="0" collapsed="false">
      <c r="A3434" s="0" t="s">
        <v>2041</v>
      </c>
      <c r="B3434" s="0" t="s">
        <v>2042</v>
      </c>
      <c r="C3434" s="0" t="s">
        <v>2339</v>
      </c>
      <c r="D3434" s="0" t="s">
        <v>2105</v>
      </c>
      <c r="E3434" s="0" t="s">
        <v>2045</v>
      </c>
      <c r="F3434" s="0" t="s">
        <v>2204</v>
      </c>
      <c r="G3434" s="0" t="s">
        <v>2214</v>
      </c>
      <c r="H3434" s="0" t="s">
        <v>2208</v>
      </c>
      <c r="J3434" s="0" t="s">
        <v>2346</v>
      </c>
      <c r="K3434" s="272" t="n">
        <v>444.245442639634</v>
      </c>
    </row>
    <row r="3435" customFormat="false" ht="15" hidden="false" customHeight="false" outlineLevel="0" collapsed="false">
      <c r="A3435" s="0" t="s">
        <v>2041</v>
      </c>
      <c r="B3435" s="0" t="s">
        <v>2042</v>
      </c>
      <c r="C3435" s="0" t="s">
        <v>2339</v>
      </c>
      <c r="D3435" s="0" t="s">
        <v>2105</v>
      </c>
      <c r="E3435" s="0" t="s">
        <v>2045</v>
      </c>
      <c r="F3435" s="0" t="s">
        <v>2051</v>
      </c>
      <c r="G3435" s="0" t="s">
        <v>2106</v>
      </c>
      <c r="H3435" s="0" t="s">
        <v>2107</v>
      </c>
      <c r="J3435" s="0" t="s">
        <v>2346</v>
      </c>
      <c r="K3435" s="272" t="n">
        <v>6481.14394905867</v>
      </c>
    </row>
    <row r="3436" customFormat="false" ht="15" hidden="false" customHeight="false" outlineLevel="0" collapsed="false">
      <c r="A3436" s="0" t="s">
        <v>2041</v>
      </c>
      <c r="B3436" s="0" t="s">
        <v>2042</v>
      </c>
      <c r="C3436" s="0" t="s">
        <v>2339</v>
      </c>
      <c r="D3436" s="0" t="s">
        <v>2105</v>
      </c>
      <c r="E3436" s="0" t="s">
        <v>2045</v>
      </c>
      <c r="F3436" s="0" t="s">
        <v>2051</v>
      </c>
      <c r="G3436" s="0" t="s">
        <v>2110</v>
      </c>
      <c r="H3436" s="0" t="s">
        <v>2111</v>
      </c>
      <c r="J3436" s="0" t="s">
        <v>2346</v>
      </c>
      <c r="K3436" s="272" t="n">
        <v>1219.42393360103</v>
      </c>
    </row>
    <row r="3437" customFormat="false" ht="15" hidden="false" customHeight="false" outlineLevel="0" collapsed="false">
      <c r="A3437" s="0" t="s">
        <v>2041</v>
      </c>
      <c r="B3437" s="0" t="s">
        <v>2042</v>
      </c>
      <c r="C3437" s="0" t="s">
        <v>2339</v>
      </c>
      <c r="D3437" s="0" t="s">
        <v>2105</v>
      </c>
      <c r="E3437" s="0" t="s">
        <v>2045</v>
      </c>
      <c r="F3437" s="0" t="s">
        <v>2051</v>
      </c>
      <c r="G3437" s="0" t="s">
        <v>2110</v>
      </c>
      <c r="H3437" s="0" t="s">
        <v>2112</v>
      </c>
      <c r="J3437" s="0" t="s">
        <v>2346</v>
      </c>
      <c r="K3437" s="272" t="n">
        <v>2047.28628583829</v>
      </c>
    </row>
    <row r="3438" customFormat="false" ht="15" hidden="false" customHeight="false" outlineLevel="0" collapsed="false">
      <c r="A3438" s="0" t="s">
        <v>2041</v>
      </c>
      <c r="B3438" s="0" t="s">
        <v>2042</v>
      </c>
      <c r="C3438" s="0" t="s">
        <v>2339</v>
      </c>
      <c r="D3438" s="0" t="s">
        <v>2105</v>
      </c>
      <c r="E3438" s="0" t="s">
        <v>2045</v>
      </c>
      <c r="F3438" s="0" t="s">
        <v>2051</v>
      </c>
      <c r="G3438" s="0" t="s">
        <v>2110</v>
      </c>
      <c r="H3438" s="0" t="s">
        <v>2113</v>
      </c>
      <c r="J3438" s="0" t="s">
        <v>2346</v>
      </c>
      <c r="K3438" s="272" t="n">
        <v>6200.3523110804</v>
      </c>
    </row>
    <row r="3439" customFormat="false" ht="15" hidden="false" customHeight="false" outlineLevel="0" collapsed="false">
      <c r="A3439" s="0" t="s">
        <v>2041</v>
      </c>
      <c r="B3439" s="0" t="s">
        <v>2042</v>
      </c>
      <c r="C3439" s="0" t="s">
        <v>2339</v>
      </c>
      <c r="D3439" s="0" t="s">
        <v>2105</v>
      </c>
      <c r="E3439" s="0" t="s">
        <v>2045</v>
      </c>
      <c r="F3439" s="0" t="s">
        <v>2051</v>
      </c>
      <c r="G3439" s="0" t="s">
        <v>2110</v>
      </c>
      <c r="H3439" s="0" t="s">
        <v>2107</v>
      </c>
      <c r="J3439" s="0" t="s">
        <v>2346</v>
      </c>
      <c r="K3439" s="272" t="n">
        <v>1875.60335495751</v>
      </c>
    </row>
    <row r="3440" customFormat="false" ht="15" hidden="false" customHeight="false" outlineLevel="0" collapsed="false">
      <c r="A3440" s="0" t="s">
        <v>2041</v>
      </c>
      <c r="B3440" s="0" t="s">
        <v>2042</v>
      </c>
      <c r="C3440" s="0" t="s">
        <v>2339</v>
      </c>
      <c r="D3440" s="0" t="s">
        <v>2105</v>
      </c>
      <c r="E3440" s="0" t="s">
        <v>2045</v>
      </c>
      <c r="F3440" s="0" t="s">
        <v>2051</v>
      </c>
      <c r="G3440" s="0" t="s">
        <v>2114</v>
      </c>
      <c r="H3440" s="0" t="s">
        <v>2115</v>
      </c>
      <c r="J3440" s="0" t="s">
        <v>2346</v>
      </c>
      <c r="K3440" s="272" t="n">
        <v>3108.85842215984</v>
      </c>
    </row>
    <row r="3441" customFormat="false" ht="15" hidden="false" customHeight="false" outlineLevel="0" collapsed="false">
      <c r="A3441" s="0" t="s">
        <v>2041</v>
      </c>
      <c r="B3441" s="0" t="s">
        <v>2042</v>
      </c>
      <c r="C3441" s="0" t="s">
        <v>2339</v>
      </c>
      <c r="D3441" s="0" t="s">
        <v>2105</v>
      </c>
      <c r="E3441" s="0" t="s">
        <v>2045</v>
      </c>
      <c r="F3441" s="0" t="s">
        <v>2051</v>
      </c>
      <c r="G3441" s="0" t="s">
        <v>2114</v>
      </c>
      <c r="H3441" s="0" t="s">
        <v>2116</v>
      </c>
      <c r="J3441" s="0" t="s">
        <v>2346</v>
      </c>
      <c r="K3441" s="272" t="n">
        <v>442.327046157259</v>
      </c>
    </row>
    <row r="3442" customFormat="false" ht="15" hidden="false" customHeight="false" outlineLevel="0" collapsed="false">
      <c r="A3442" s="0" t="s">
        <v>2041</v>
      </c>
      <c r="B3442" s="0" t="s">
        <v>2042</v>
      </c>
      <c r="C3442" s="0" t="s">
        <v>2339</v>
      </c>
      <c r="D3442" s="0" t="s">
        <v>2105</v>
      </c>
      <c r="E3442" s="0" t="s">
        <v>2045</v>
      </c>
      <c r="F3442" s="0" t="s">
        <v>2051</v>
      </c>
      <c r="G3442" s="0" t="s">
        <v>2114</v>
      </c>
      <c r="H3442" s="0" t="s">
        <v>2117</v>
      </c>
      <c r="J3442" s="0" t="s">
        <v>2346</v>
      </c>
      <c r="K3442" s="272" t="n">
        <v>171.762956905155</v>
      </c>
    </row>
    <row r="3443" customFormat="false" ht="15" hidden="false" customHeight="false" outlineLevel="0" collapsed="false">
      <c r="A3443" s="0" t="s">
        <v>2041</v>
      </c>
      <c r="B3443" s="0" t="s">
        <v>2042</v>
      </c>
      <c r="C3443" s="0" t="s">
        <v>2339</v>
      </c>
      <c r="D3443" s="0" t="s">
        <v>2105</v>
      </c>
      <c r="E3443" s="0" t="s">
        <v>2045</v>
      </c>
      <c r="F3443" s="0" t="s">
        <v>2051</v>
      </c>
      <c r="G3443" s="0" t="s">
        <v>2114</v>
      </c>
      <c r="H3443" s="0" t="s">
        <v>2118</v>
      </c>
      <c r="J3443" s="0" t="s">
        <v>2346</v>
      </c>
      <c r="K3443" s="272" t="n">
        <v>315.947943162393</v>
      </c>
    </row>
    <row r="3444" customFormat="false" ht="15" hidden="false" customHeight="false" outlineLevel="0" collapsed="false">
      <c r="A3444" s="0" t="s">
        <v>2041</v>
      </c>
      <c r="B3444" s="0" t="s">
        <v>2042</v>
      </c>
      <c r="C3444" s="0" t="s">
        <v>2339</v>
      </c>
      <c r="D3444" s="0" t="s">
        <v>2105</v>
      </c>
      <c r="E3444" s="0" t="s">
        <v>2045</v>
      </c>
      <c r="F3444" s="0" t="s">
        <v>2051</v>
      </c>
      <c r="G3444" s="0" t="s">
        <v>2114</v>
      </c>
      <c r="H3444" s="0" t="s">
        <v>2119</v>
      </c>
      <c r="J3444" s="0" t="s">
        <v>2346</v>
      </c>
      <c r="K3444" s="272" t="n">
        <v>1061.47354277412</v>
      </c>
    </row>
    <row r="3445" customFormat="false" ht="15" hidden="false" customHeight="false" outlineLevel="0" collapsed="false">
      <c r="A3445" s="0" t="s">
        <v>2041</v>
      </c>
      <c r="B3445" s="0" t="s">
        <v>2042</v>
      </c>
      <c r="C3445" s="0" t="s">
        <v>2339</v>
      </c>
      <c r="D3445" s="0" t="s">
        <v>2105</v>
      </c>
      <c r="E3445" s="0" t="s">
        <v>2045</v>
      </c>
      <c r="F3445" s="0" t="s">
        <v>2051</v>
      </c>
      <c r="G3445" s="0" t="s">
        <v>2114</v>
      </c>
      <c r="H3445" s="0" t="s">
        <v>2120</v>
      </c>
      <c r="J3445" s="0" t="s">
        <v>2346</v>
      </c>
      <c r="K3445" s="272" t="n">
        <v>1946.73367904126</v>
      </c>
    </row>
    <row r="3446" customFormat="false" ht="15" hidden="false" customHeight="false" outlineLevel="0" collapsed="false">
      <c r="A3446" s="0" t="s">
        <v>2041</v>
      </c>
      <c r="B3446" s="0" t="s">
        <v>2042</v>
      </c>
      <c r="C3446" s="0" t="s">
        <v>2339</v>
      </c>
      <c r="D3446" s="0" t="s">
        <v>2105</v>
      </c>
      <c r="E3446" s="0" t="s">
        <v>2045</v>
      </c>
      <c r="F3446" s="0" t="s">
        <v>2051</v>
      </c>
      <c r="G3446" s="0" t="s">
        <v>2114</v>
      </c>
      <c r="H3446" s="0" t="s">
        <v>2121</v>
      </c>
      <c r="J3446" s="0" t="s">
        <v>2346</v>
      </c>
      <c r="K3446" s="272" t="n">
        <v>605.101279474697</v>
      </c>
    </row>
    <row r="3447" customFormat="false" ht="15" hidden="false" customHeight="false" outlineLevel="0" collapsed="false">
      <c r="A3447" s="0" t="s">
        <v>2041</v>
      </c>
      <c r="B3447" s="0" t="s">
        <v>2042</v>
      </c>
      <c r="C3447" s="0" t="s">
        <v>2339</v>
      </c>
      <c r="D3447" s="0" t="s">
        <v>2105</v>
      </c>
      <c r="E3447" s="0" t="s">
        <v>2045</v>
      </c>
      <c r="F3447" s="0" t="s">
        <v>2051</v>
      </c>
      <c r="G3447" s="0" t="s">
        <v>2114</v>
      </c>
      <c r="H3447" s="0" t="s">
        <v>2122</v>
      </c>
      <c r="J3447" s="0" t="s">
        <v>2346</v>
      </c>
      <c r="K3447" s="272" t="n">
        <v>2829.40735934638</v>
      </c>
    </row>
    <row r="3448" customFormat="false" ht="15" hidden="false" customHeight="false" outlineLevel="0" collapsed="false">
      <c r="A3448" s="0" t="s">
        <v>2041</v>
      </c>
      <c r="B3448" s="0" t="s">
        <v>2042</v>
      </c>
      <c r="C3448" s="0" t="s">
        <v>2339</v>
      </c>
      <c r="D3448" s="0" t="s">
        <v>2105</v>
      </c>
      <c r="E3448" s="0" t="s">
        <v>2045</v>
      </c>
      <c r="F3448" s="0" t="s">
        <v>2051</v>
      </c>
      <c r="G3448" s="0" t="s">
        <v>2114</v>
      </c>
      <c r="H3448" s="0" t="s">
        <v>2112</v>
      </c>
      <c r="J3448" s="0" t="s">
        <v>2346</v>
      </c>
      <c r="K3448" s="272" t="n">
        <v>315.947943162393</v>
      </c>
    </row>
    <row r="3449" customFormat="false" ht="15" hidden="false" customHeight="false" outlineLevel="0" collapsed="false">
      <c r="A3449" s="0" t="s">
        <v>2041</v>
      </c>
      <c r="B3449" s="0" t="s">
        <v>2042</v>
      </c>
      <c r="C3449" s="0" t="s">
        <v>2339</v>
      </c>
      <c r="D3449" s="0" t="s">
        <v>2105</v>
      </c>
      <c r="E3449" s="0" t="s">
        <v>2045</v>
      </c>
      <c r="F3449" s="0" t="s">
        <v>2051</v>
      </c>
      <c r="G3449" s="0" t="s">
        <v>2114</v>
      </c>
      <c r="H3449" s="0" t="s">
        <v>2113</v>
      </c>
      <c r="J3449" s="0" t="s">
        <v>2346</v>
      </c>
      <c r="K3449" s="272" t="n">
        <v>410.732363246157</v>
      </c>
    </row>
    <row r="3450" customFormat="false" ht="15" hidden="false" customHeight="false" outlineLevel="0" collapsed="false">
      <c r="A3450" s="0" t="s">
        <v>2041</v>
      </c>
      <c r="B3450" s="0" t="s">
        <v>2042</v>
      </c>
      <c r="C3450" s="0" t="s">
        <v>2339</v>
      </c>
      <c r="D3450" s="0" t="s">
        <v>2105</v>
      </c>
      <c r="E3450" s="0" t="s">
        <v>2045</v>
      </c>
      <c r="F3450" s="0" t="s">
        <v>2051</v>
      </c>
      <c r="G3450" s="0" t="s">
        <v>2114</v>
      </c>
      <c r="H3450" s="0" t="s">
        <v>2107</v>
      </c>
      <c r="J3450" s="0" t="s">
        <v>2346</v>
      </c>
      <c r="K3450" s="272" t="n">
        <v>1145.08625558421</v>
      </c>
    </row>
    <row r="3451" customFormat="false" ht="15" hidden="false" customHeight="false" outlineLevel="0" collapsed="false">
      <c r="A3451" s="0" t="s">
        <v>2041</v>
      </c>
      <c r="B3451" s="0" t="s">
        <v>2042</v>
      </c>
      <c r="C3451" s="0" t="s">
        <v>2339</v>
      </c>
      <c r="D3451" s="0" t="s">
        <v>2105</v>
      </c>
      <c r="E3451" s="0" t="s">
        <v>2045</v>
      </c>
      <c r="F3451" s="0" t="s">
        <v>2051</v>
      </c>
      <c r="G3451" s="0" t="s">
        <v>2123</v>
      </c>
      <c r="H3451" s="0" t="s">
        <v>2115</v>
      </c>
      <c r="J3451" s="0" t="s">
        <v>2346</v>
      </c>
      <c r="K3451" s="272" t="n">
        <v>157.973971581197</v>
      </c>
    </row>
    <row r="3452" customFormat="false" ht="15" hidden="false" customHeight="false" outlineLevel="0" collapsed="false">
      <c r="A3452" s="0" t="s">
        <v>2041</v>
      </c>
      <c r="B3452" s="0" t="s">
        <v>2042</v>
      </c>
      <c r="C3452" s="0" t="s">
        <v>2339</v>
      </c>
      <c r="D3452" s="0" t="s">
        <v>2105</v>
      </c>
      <c r="E3452" s="0" t="s">
        <v>2045</v>
      </c>
      <c r="F3452" s="0" t="s">
        <v>2051</v>
      </c>
      <c r="G3452" s="0" t="s">
        <v>2123</v>
      </c>
      <c r="H3452" s="0" t="s">
        <v>2116</v>
      </c>
      <c r="J3452" s="0" t="s">
        <v>2346</v>
      </c>
      <c r="K3452" s="272" t="n">
        <v>631.895886324787</v>
      </c>
    </row>
    <row r="3453" customFormat="false" ht="15" hidden="false" customHeight="false" outlineLevel="0" collapsed="false">
      <c r="A3453" s="0" t="s">
        <v>2041</v>
      </c>
      <c r="B3453" s="0" t="s">
        <v>2042</v>
      </c>
      <c r="C3453" s="0" t="s">
        <v>2339</v>
      </c>
      <c r="D3453" s="0" t="s">
        <v>2105</v>
      </c>
      <c r="E3453" s="0" t="s">
        <v>2045</v>
      </c>
      <c r="F3453" s="0" t="s">
        <v>2051</v>
      </c>
      <c r="G3453" s="0" t="s">
        <v>2123</v>
      </c>
      <c r="H3453" s="0" t="s">
        <v>2111</v>
      </c>
      <c r="J3453" s="0" t="s">
        <v>2346</v>
      </c>
      <c r="K3453" s="272" t="n">
        <v>1172.84414553056</v>
      </c>
    </row>
    <row r="3454" customFormat="false" ht="15" hidden="false" customHeight="false" outlineLevel="0" collapsed="false">
      <c r="A3454" s="0" t="s">
        <v>2041</v>
      </c>
      <c r="B3454" s="0" t="s">
        <v>2042</v>
      </c>
      <c r="C3454" s="0" t="s">
        <v>2339</v>
      </c>
      <c r="D3454" s="0" t="s">
        <v>2105</v>
      </c>
      <c r="E3454" s="0" t="s">
        <v>2045</v>
      </c>
      <c r="F3454" s="0" t="s">
        <v>2051</v>
      </c>
      <c r="G3454" s="0" t="s">
        <v>2123</v>
      </c>
      <c r="H3454" s="0" t="s">
        <v>2117</v>
      </c>
      <c r="J3454" s="0" t="s">
        <v>2346</v>
      </c>
      <c r="K3454" s="272" t="n">
        <v>371.791625512302</v>
      </c>
    </row>
    <row r="3455" customFormat="false" ht="15" hidden="false" customHeight="false" outlineLevel="0" collapsed="false">
      <c r="A3455" s="0" t="s">
        <v>2041</v>
      </c>
      <c r="B3455" s="0" t="s">
        <v>2042</v>
      </c>
      <c r="C3455" s="0" t="s">
        <v>2339</v>
      </c>
      <c r="D3455" s="0" t="s">
        <v>2105</v>
      </c>
      <c r="E3455" s="0" t="s">
        <v>2045</v>
      </c>
      <c r="F3455" s="0" t="s">
        <v>2051</v>
      </c>
      <c r="G3455" s="0" t="s">
        <v>2123</v>
      </c>
      <c r="H3455" s="0" t="s">
        <v>2119</v>
      </c>
      <c r="J3455" s="0" t="s">
        <v>2346</v>
      </c>
      <c r="K3455" s="272" t="n">
        <v>63.1895514974326</v>
      </c>
    </row>
    <row r="3456" customFormat="false" ht="15" hidden="false" customHeight="false" outlineLevel="0" collapsed="false">
      <c r="A3456" s="0" t="s">
        <v>2041</v>
      </c>
      <c r="B3456" s="0" t="s">
        <v>2042</v>
      </c>
      <c r="C3456" s="0" t="s">
        <v>2339</v>
      </c>
      <c r="D3456" s="0" t="s">
        <v>2105</v>
      </c>
      <c r="E3456" s="0" t="s">
        <v>2045</v>
      </c>
      <c r="F3456" s="0" t="s">
        <v>2051</v>
      </c>
      <c r="G3456" s="0" t="s">
        <v>2123</v>
      </c>
      <c r="H3456" s="0" t="s">
        <v>2120</v>
      </c>
      <c r="J3456" s="0" t="s">
        <v>2346</v>
      </c>
      <c r="K3456" s="272" t="n">
        <v>94.7844200837641</v>
      </c>
    </row>
    <row r="3457" customFormat="false" ht="15" hidden="false" customHeight="false" outlineLevel="0" collapsed="false">
      <c r="A3457" s="0" t="s">
        <v>2041</v>
      </c>
      <c r="B3457" s="0" t="s">
        <v>2042</v>
      </c>
      <c r="C3457" s="0" t="s">
        <v>2339</v>
      </c>
      <c r="D3457" s="0" t="s">
        <v>2105</v>
      </c>
      <c r="E3457" s="0" t="s">
        <v>2045</v>
      </c>
      <c r="F3457" s="0" t="s">
        <v>2051</v>
      </c>
      <c r="G3457" s="0" t="s">
        <v>2123</v>
      </c>
      <c r="H3457" s="0" t="s">
        <v>2121</v>
      </c>
      <c r="J3457" s="0" t="s">
        <v>2346</v>
      </c>
      <c r="K3457" s="272" t="n">
        <v>157.973971581197</v>
      </c>
    </row>
    <row r="3458" customFormat="false" ht="15" hidden="false" customHeight="false" outlineLevel="0" collapsed="false">
      <c r="A3458" s="0" t="s">
        <v>2041</v>
      </c>
      <c r="B3458" s="0" t="s">
        <v>2042</v>
      </c>
      <c r="C3458" s="0" t="s">
        <v>2339</v>
      </c>
      <c r="D3458" s="0" t="s">
        <v>2105</v>
      </c>
      <c r="E3458" s="0" t="s">
        <v>2045</v>
      </c>
      <c r="F3458" s="0" t="s">
        <v>2051</v>
      </c>
      <c r="G3458" s="0" t="s">
        <v>2123</v>
      </c>
      <c r="H3458" s="0" t="s">
        <v>2122</v>
      </c>
      <c r="J3458" s="0" t="s">
        <v>2346</v>
      </c>
      <c r="K3458" s="272" t="n">
        <v>340.196942601201</v>
      </c>
    </row>
    <row r="3459" customFormat="false" ht="15" hidden="false" customHeight="false" outlineLevel="0" collapsed="false">
      <c r="A3459" s="0" t="s">
        <v>2041</v>
      </c>
      <c r="B3459" s="0" t="s">
        <v>2042</v>
      </c>
      <c r="C3459" s="0" t="s">
        <v>2339</v>
      </c>
      <c r="D3459" s="0" t="s">
        <v>2105</v>
      </c>
      <c r="E3459" s="0" t="s">
        <v>2045</v>
      </c>
      <c r="F3459" s="0" t="s">
        <v>2051</v>
      </c>
      <c r="G3459" s="0" t="s">
        <v>2123</v>
      </c>
      <c r="H3459" s="0" t="s">
        <v>2112</v>
      </c>
      <c r="J3459" s="0" t="s">
        <v>2346</v>
      </c>
      <c r="K3459" s="272" t="n">
        <v>427.63549353744</v>
      </c>
    </row>
    <row r="3460" customFormat="false" ht="15" hidden="false" customHeight="false" outlineLevel="0" collapsed="false">
      <c r="A3460" s="0" t="s">
        <v>2041</v>
      </c>
      <c r="B3460" s="0" t="s">
        <v>2042</v>
      </c>
      <c r="C3460" s="0" t="s">
        <v>2339</v>
      </c>
      <c r="D3460" s="0" t="s">
        <v>2105</v>
      </c>
      <c r="E3460" s="0" t="s">
        <v>2045</v>
      </c>
      <c r="F3460" s="0" t="s">
        <v>2051</v>
      </c>
      <c r="G3460" s="0" t="s">
        <v>2123</v>
      </c>
      <c r="H3460" s="0" t="s">
        <v>2113</v>
      </c>
      <c r="J3460" s="0" t="s">
        <v>2346</v>
      </c>
      <c r="K3460" s="272" t="n">
        <v>853.059595078647</v>
      </c>
    </row>
    <row r="3461" customFormat="false" ht="15" hidden="false" customHeight="false" outlineLevel="0" collapsed="false">
      <c r="A3461" s="0" t="s">
        <v>2041</v>
      </c>
      <c r="B3461" s="0" t="s">
        <v>2042</v>
      </c>
      <c r="C3461" s="0" t="s">
        <v>2339</v>
      </c>
      <c r="D3461" s="0" t="s">
        <v>2105</v>
      </c>
      <c r="E3461" s="0" t="s">
        <v>2045</v>
      </c>
      <c r="F3461" s="0" t="s">
        <v>2051</v>
      </c>
      <c r="G3461" s="0" t="s">
        <v>2123</v>
      </c>
      <c r="H3461" s="0" t="s">
        <v>2107</v>
      </c>
      <c r="J3461" s="0" t="s">
        <v>2346</v>
      </c>
      <c r="K3461" s="272" t="n">
        <v>1145.08625558421</v>
      </c>
    </row>
    <row r="3462" customFormat="false" ht="15" hidden="false" customHeight="false" outlineLevel="0" collapsed="false">
      <c r="A3462" s="0" t="s">
        <v>2041</v>
      </c>
      <c r="B3462" s="0" t="s">
        <v>2042</v>
      </c>
      <c r="C3462" s="0" t="s">
        <v>2339</v>
      </c>
      <c r="D3462" s="0" t="s">
        <v>2105</v>
      </c>
      <c r="E3462" s="0" t="s">
        <v>2045</v>
      </c>
      <c r="F3462" s="0" t="s">
        <v>2046</v>
      </c>
      <c r="G3462" s="0" t="s">
        <v>2125</v>
      </c>
      <c r="H3462" s="0" t="s">
        <v>2128</v>
      </c>
      <c r="J3462" s="0" t="s">
        <v>2346</v>
      </c>
      <c r="K3462" s="272" t="n">
        <v>572.543127792105</v>
      </c>
    </row>
    <row r="3463" customFormat="false" ht="15" hidden="false" customHeight="false" outlineLevel="0" collapsed="false">
      <c r="A3463" s="0" t="s">
        <v>2041</v>
      </c>
      <c r="B3463" s="0" t="s">
        <v>2042</v>
      </c>
      <c r="C3463" s="0" t="s">
        <v>2339</v>
      </c>
      <c r="D3463" s="0" t="s">
        <v>2105</v>
      </c>
      <c r="E3463" s="0" t="s">
        <v>2045</v>
      </c>
      <c r="F3463" s="0" t="s">
        <v>2046</v>
      </c>
      <c r="G3463" s="0" t="s">
        <v>2125</v>
      </c>
      <c r="H3463" s="0" t="s">
        <v>2130</v>
      </c>
      <c r="J3463" s="0" t="s">
        <v>2346</v>
      </c>
      <c r="K3463" s="272" t="n">
        <v>2423.1488407811</v>
      </c>
    </row>
    <row r="3464" customFormat="false" ht="15" hidden="false" customHeight="false" outlineLevel="0" collapsed="false">
      <c r="A3464" s="0" t="s">
        <v>2041</v>
      </c>
      <c r="B3464" s="0" t="s">
        <v>2042</v>
      </c>
      <c r="C3464" s="0" t="s">
        <v>2339</v>
      </c>
      <c r="D3464" s="0" t="s">
        <v>2105</v>
      </c>
      <c r="E3464" s="0" t="s">
        <v>2045</v>
      </c>
      <c r="F3464" s="0" t="s">
        <v>2046</v>
      </c>
      <c r="G3464" s="0" t="s">
        <v>2125</v>
      </c>
      <c r="H3464" s="0" t="s">
        <v>2144</v>
      </c>
      <c r="J3464" s="0" t="s">
        <v>2346</v>
      </c>
      <c r="K3464" s="272" t="n">
        <v>162.790387062499</v>
      </c>
    </row>
    <row r="3465" customFormat="false" ht="15" hidden="false" customHeight="false" outlineLevel="0" collapsed="false">
      <c r="A3465" s="0" t="s">
        <v>2041</v>
      </c>
      <c r="B3465" s="0" t="s">
        <v>2042</v>
      </c>
      <c r="C3465" s="0" t="s">
        <v>2339</v>
      </c>
      <c r="D3465" s="0" t="s">
        <v>2105</v>
      </c>
      <c r="E3465" s="0" t="s">
        <v>2045</v>
      </c>
      <c r="F3465" s="0" t="s">
        <v>2046</v>
      </c>
      <c r="G3465" s="0" t="s">
        <v>2125</v>
      </c>
      <c r="H3465" s="0" t="s">
        <v>2136</v>
      </c>
      <c r="J3465" s="0" t="s">
        <v>2346</v>
      </c>
      <c r="K3465" s="272" t="n">
        <v>572.543127792105</v>
      </c>
    </row>
    <row r="3466" customFormat="false" ht="15" hidden="false" customHeight="false" outlineLevel="0" collapsed="false">
      <c r="A3466" s="0" t="s">
        <v>2041</v>
      </c>
      <c r="B3466" s="0" t="s">
        <v>2042</v>
      </c>
      <c r="C3466" s="0" t="s">
        <v>2339</v>
      </c>
      <c r="D3466" s="0" t="s">
        <v>2105</v>
      </c>
      <c r="E3466" s="0" t="s">
        <v>2045</v>
      </c>
      <c r="F3466" s="0" t="s">
        <v>2046</v>
      </c>
      <c r="G3466" s="0" t="s">
        <v>2125</v>
      </c>
      <c r="H3466" s="0" t="s">
        <v>2138</v>
      </c>
      <c r="J3466" s="0" t="s">
        <v>2346</v>
      </c>
      <c r="K3466" s="272" t="n">
        <v>315.947943162393</v>
      </c>
    </row>
    <row r="3467" customFormat="false" ht="15" hidden="false" customHeight="false" outlineLevel="0" collapsed="false">
      <c r="A3467" s="0" t="s">
        <v>2041</v>
      </c>
      <c r="B3467" s="0" t="s">
        <v>2042</v>
      </c>
      <c r="C3467" s="0" t="s">
        <v>2339</v>
      </c>
      <c r="D3467" s="0" t="s">
        <v>2105</v>
      </c>
      <c r="E3467" s="0" t="s">
        <v>2045</v>
      </c>
      <c r="F3467" s="0" t="s">
        <v>2046</v>
      </c>
      <c r="G3467" s="0" t="s">
        <v>2125</v>
      </c>
      <c r="H3467" s="0" t="s">
        <v>2140</v>
      </c>
      <c r="J3467" s="0" t="s">
        <v>2346</v>
      </c>
      <c r="K3467" s="272" t="n">
        <v>315.947943162393</v>
      </c>
    </row>
    <row r="3468" customFormat="false" ht="15" hidden="false" customHeight="false" outlineLevel="0" collapsed="false">
      <c r="A3468" s="0" t="s">
        <v>2041</v>
      </c>
      <c r="B3468" s="0" t="s">
        <v>2042</v>
      </c>
      <c r="C3468" s="0" t="s">
        <v>2339</v>
      </c>
      <c r="D3468" s="0" t="s">
        <v>2105</v>
      </c>
      <c r="E3468" s="0" t="s">
        <v>2045</v>
      </c>
      <c r="F3468" s="0" t="s">
        <v>2046</v>
      </c>
      <c r="G3468" s="0" t="s">
        <v>2125</v>
      </c>
      <c r="H3468" s="0" t="s">
        <v>2149</v>
      </c>
      <c r="J3468" s="0" t="s">
        <v>2346</v>
      </c>
      <c r="K3468" s="272" t="n">
        <v>572.543127792105</v>
      </c>
    </row>
    <row r="3469" customFormat="false" ht="15" hidden="false" customHeight="false" outlineLevel="0" collapsed="false">
      <c r="A3469" s="0" t="s">
        <v>2041</v>
      </c>
      <c r="B3469" s="0" t="s">
        <v>2042</v>
      </c>
      <c r="C3469" s="0" t="s">
        <v>2339</v>
      </c>
      <c r="D3469" s="0" t="s">
        <v>2105</v>
      </c>
      <c r="E3469" s="0" t="s">
        <v>2045</v>
      </c>
      <c r="F3469" s="0" t="s">
        <v>2046</v>
      </c>
      <c r="G3469" s="0" t="s">
        <v>2125</v>
      </c>
      <c r="H3469" s="0" t="s">
        <v>2126</v>
      </c>
      <c r="J3469" s="0" t="s">
        <v>2346</v>
      </c>
      <c r="K3469" s="272" t="n">
        <v>7467.85981644439</v>
      </c>
    </row>
    <row r="3470" customFormat="false" ht="15" hidden="false" customHeight="false" outlineLevel="0" collapsed="false">
      <c r="A3470" s="0" t="s">
        <v>2041</v>
      </c>
      <c r="B3470" s="0" t="s">
        <v>2042</v>
      </c>
      <c r="C3470" s="0" t="s">
        <v>2339</v>
      </c>
      <c r="D3470" s="0" t="s">
        <v>2105</v>
      </c>
      <c r="E3470" s="0" t="s">
        <v>2045</v>
      </c>
      <c r="F3470" s="0" t="s">
        <v>2046</v>
      </c>
      <c r="G3470" s="0" t="s">
        <v>2127</v>
      </c>
      <c r="H3470" s="0" t="s">
        <v>2128</v>
      </c>
      <c r="J3470" s="0" t="s">
        <v>2346</v>
      </c>
      <c r="K3470" s="272" t="n">
        <v>4614.70013890101</v>
      </c>
    </row>
    <row r="3471" customFormat="false" ht="15" hidden="false" customHeight="false" outlineLevel="0" collapsed="false">
      <c r="A3471" s="0" t="s">
        <v>2041</v>
      </c>
      <c r="B3471" s="0" t="s">
        <v>2042</v>
      </c>
      <c r="C3471" s="0" t="s">
        <v>2339</v>
      </c>
      <c r="D3471" s="0" t="s">
        <v>2105</v>
      </c>
      <c r="E3471" s="0" t="s">
        <v>2045</v>
      </c>
      <c r="F3471" s="0" t="s">
        <v>2046</v>
      </c>
      <c r="G3471" s="0" t="s">
        <v>2127</v>
      </c>
      <c r="H3471" s="0" t="s">
        <v>2132</v>
      </c>
      <c r="J3471" s="0" t="s">
        <v>2346</v>
      </c>
      <c r="K3471" s="272" t="n">
        <v>157.973971581197</v>
      </c>
    </row>
    <row r="3472" customFormat="false" ht="15" hidden="false" customHeight="false" outlineLevel="0" collapsed="false">
      <c r="A3472" s="0" t="s">
        <v>2041</v>
      </c>
      <c r="B3472" s="0" t="s">
        <v>2042</v>
      </c>
      <c r="C3472" s="0" t="s">
        <v>2339</v>
      </c>
      <c r="D3472" s="0" t="s">
        <v>2105</v>
      </c>
      <c r="E3472" s="0" t="s">
        <v>2045</v>
      </c>
      <c r="F3472" s="0" t="s">
        <v>2046</v>
      </c>
      <c r="G3472" s="0" t="s">
        <v>2129</v>
      </c>
      <c r="H3472" s="0" t="s">
        <v>2130</v>
      </c>
      <c r="J3472" s="0" t="s">
        <v>2346</v>
      </c>
      <c r="K3472" s="272" t="n">
        <v>2468.2309724417</v>
      </c>
    </row>
    <row r="3473" customFormat="false" ht="15" hidden="false" customHeight="false" outlineLevel="0" collapsed="false">
      <c r="A3473" s="0" t="s">
        <v>2041</v>
      </c>
      <c r="B3473" s="0" t="s">
        <v>2042</v>
      </c>
      <c r="C3473" s="0" t="s">
        <v>2339</v>
      </c>
      <c r="D3473" s="0" t="s">
        <v>2105</v>
      </c>
      <c r="E3473" s="0" t="s">
        <v>2045</v>
      </c>
      <c r="F3473" s="0" t="s">
        <v>2046</v>
      </c>
      <c r="G3473" s="0" t="s">
        <v>2131</v>
      </c>
      <c r="H3473" s="0" t="s">
        <v>2132</v>
      </c>
      <c r="J3473" s="0" t="s">
        <v>2346</v>
      </c>
      <c r="K3473" s="272" t="n">
        <v>2920.83384288507</v>
      </c>
    </row>
    <row r="3474" customFormat="false" ht="15" hidden="false" customHeight="false" outlineLevel="0" collapsed="false">
      <c r="A3474" s="0" t="s">
        <v>2041</v>
      </c>
      <c r="B3474" s="0" t="s">
        <v>2042</v>
      </c>
      <c r="C3474" s="0" t="s">
        <v>2339</v>
      </c>
      <c r="D3474" s="0" t="s">
        <v>2105</v>
      </c>
      <c r="E3474" s="0" t="s">
        <v>2045</v>
      </c>
      <c r="F3474" s="0" t="s">
        <v>2046</v>
      </c>
      <c r="G3474" s="0" t="s">
        <v>2131</v>
      </c>
      <c r="H3474" s="0" t="s">
        <v>2126</v>
      </c>
      <c r="J3474" s="0" t="s">
        <v>2346</v>
      </c>
      <c r="K3474" s="272" t="n">
        <v>157.974157256427</v>
      </c>
    </row>
    <row r="3475" customFormat="false" ht="15" hidden="false" customHeight="false" outlineLevel="0" collapsed="false">
      <c r="A3475" s="0" t="s">
        <v>2041</v>
      </c>
      <c r="B3475" s="0" t="s">
        <v>2042</v>
      </c>
      <c r="C3475" s="0" t="s">
        <v>2339</v>
      </c>
      <c r="D3475" s="0" t="s">
        <v>2105</v>
      </c>
      <c r="E3475" s="0" t="s">
        <v>2045</v>
      </c>
      <c r="F3475" s="0" t="s">
        <v>2046</v>
      </c>
      <c r="G3475" s="0" t="s">
        <v>2133</v>
      </c>
      <c r="H3475" s="0" t="s">
        <v>2134</v>
      </c>
      <c r="J3475" s="0" t="s">
        <v>2346</v>
      </c>
      <c r="K3475" s="272" t="n">
        <v>3686.94061343068</v>
      </c>
    </row>
    <row r="3476" customFormat="false" ht="15" hidden="false" customHeight="false" outlineLevel="0" collapsed="false">
      <c r="A3476" s="0" t="s">
        <v>2041</v>
      </c>
      <c r="B3476" s="0" t="s">
        <v>2042</v>
      </c>
      <c r="C3476" s="0" t="s">
        <v>2339</v>
      </c>
      <c r="D3476" s="0" t="s">
        <v>2105</v>
      </c>
      <c r="E3476" s="0" t="s">
        <v>2045</v>
      </c>
      <c r="F3476" s="0" t="s">
        <v>2046</v>
      </c>
      <c r="G3476" s="0" t="s">
        <v>2135</v>
      </c>
      <c r="H3476" s="0" t="s">
        <v>2136</v>
      </c>
      <c r="J3476" s="0" t="s">
        <v>2346</v>
      </c>
      <c r="K3476" s="272" t="n">
        <v>2828.29665011704</v>
      </c>
    </row>
    <row r="3477" customFormat="false" ht="15" hidden="false" customHeight="false" outlineLevel="0" collapsed="false">
      <c r="A3477" s="0" t="s">
        <v>2041</v>
      </c>
      <c r="B3477" s="0" t="s">
        <v>2042</v>
      </c>
      <c r="C3477" s="0" t="s">
        <v>2339</v>
      </c>
      <c r="D3477" s="0" t="s">
        <v>2105</v>
      </c>
      <c r="E3477" s="0" t="s">
        <v>2045</v>
      </c>
      <c r="F3477" s="0" t="s">
        <v>2046</v>
      </c>
      <c r="G3477" s="0" t="s">
        <v>2137</v>
      </c>
      <c r="H3477" s="0" t="s">
        <v>2138</v>
      </c>
      <c r="J3477" s="0" t="s">
        <v>2346</v>
      </c>
      <c r="K3477" s="272" t="n">
        <v>4383.10259623981</v>
      </c>
    </row>
    <row r="3478" customFormat="false" ht="15" hidden="false" customHeight="false" outlineLevel="0" collapsed="false">
      <c r="A3478" s="0" t="s">
        <v>2041</v>
      </c>
      <c r="B3478" s="0" t="s">
        <v>2042</v>
      </c>
      <c r="C3478" s="0" t="s">
        <v>2339</v>
      </c>
      <c r="D3478" s="0" t="s">
        <v>2105</v>
      </c>
      <c r="E3478" s="0" t="s">
        <v>2045</v>
      </c>
      <c r="F3478" s="0" t="s">
        <v>2046</v>
      </c>
      <c r="G3478" s="0" t="s">
        <v>2139</v>
      </c>
      <c r="H3478" s="0" t="s">
        <v>2136</v>
      </c>
      <c r="J3478" s="0" t="s">
        <v>2346</v>
      </c>
      <c r="K3478" s="272" t="n">
        <v>157.973971581197</v>
      </c>
    </row>
    <row r="3479" customFormat="false" ht="15" hidden="false" customHeight="false" outlineLevel="0" collapsed="false">
      <c r="A3479" s="0" t="s">
        <v>2041</v>
      </c>
      <c r="B3479" s="0" t="s">
        <v>2042</v>
      </c>
      <c r="C3479" s="0" t="s">
        <v>2339</v>
      </c>
      <c r="D3479" s="0" t="s">
        <v>2105</v>
      </c>
      <c r="E3479" s="0" t="s">
        <v>2045</v>
      </c>
      <c r="F3479" s="0" t="s">
        <v>2046</v>
      </c>
      <c r="G3479" s="0" t="s">
        <v>2139</v>
      </c>
      <c r="H3479" s="0" t="s">
        <v>2140</v>
      </c>
      <c r="J3479" s="0" t="s">
        <v>2346</v>
      </c>
      <c r="K3479" s="272" t="n">
        <v>1046.4650425357</v>
      </c>
    </row>
    <row r="3480" customFormat="false" ht="15" hidden="false" customHeight="false" outlineLevel="0" collapsed="false">
      <c r="A3480" s="0" t="s">
        <v>2041</v>
      </c>
      <c r="B3480" s="0" t="s">
        <v>2042</v>
      </c>
      <c r="C3480" s="0" t="s">
        <v>2339</v>
      </c>
      <c r="D3480" s="0" t="s">
        <v>2105</v>
      </c>
      <c r="E3480" s="0" t="s">
        <v>2045</v>
      </c>
      <c r="F3480" s="0" t="s">
        <v>2046</v>
      </c>
      <c r="G3480" s="0" t="s">
        <v>2141</v>
      </c>
      <c r="H3480" s="0" t="s">
        <v>2144</v>
      </c>
      <c r="J3480" s="0" t="s">
        <v>2346</v>
      </c>
      <c r="K3480" s="272" t="n">
        <v>286.271471058437</v>
      </c>
    </row>
    <row r="3481" customFormat="false" ht="15" hidden="false" customHeight="false" outlineLevel="0" collapsed="false">
      <c r="A3481" s="0" t="s">
        <v>2041</v>
      </c>
      <c r="B3481" s="0" t="s">
        <v>2042</v>
      </c>
      <c r="C3481" s="0" t="s">
        <v>2339</v>
      </c>
      <c r="D3481" s="0" t="s">
        <v>2105</v>
      </c>
      <c r="E3481" s="0" t="s">
        <v>2045</v>
      </c>
      <c r="F3481" s="0" t="s">
        <v>2046</v>
      </c>
      <c r="G3481" s="0" t="s">
        <v>2141</v>
      </c>
      <c r="H3481" s="0" t="s">
        <v>2142</v>
      </c>
      <c r="J3481" s="0" t="s">
        <v>2346</v>
      </c>
      <c r="K3481" s="272" t="n">
        <v>2951.74486959716</v>
      </c>
    </row>
    <row r="3482" customFormat="false" ht="15" hidden="false" customHeight="false" outlineLevel="0" collapsed="false">
      <c r="A3482" s="0" t="s">
        <v>2041</v>
      </c>
      <c r="B3482" s="0" t="s">
        <v>2042</v>
      </c>
      <c r="C3482" s="0" t="s">
        <v>2339</v>
      </c>
      <c r="D3482" s="0" t="s">
        <v>2105</v>
      </c>
      <c r="E3482" s="0" t="s">
        <v>2045</v>
      </c>
      <c r="F3482" s="0" t="s">
        <v>2046</v>
      </c>
      <c r="G3482" s="0" t="s">
        <v>2143</v>
      </c>
      <c r="H3482" s="0" t="s">
        <v>2144</v>
      </c>
      <c r="J3482" s="0" t="s">
        <v>2346</v>
      </c>
      <c r="K3482" s="272" t="n">
        <v>2635.79674075954</v>
      </c>
    </row>
    <row r="3483" customFormat="false" ht="15" hidden="false" customHeight="false" outlineLevel="0" collapsed="false">
      <c r="A3483" s="0" t="s">
        <v>2041</v>
      </c>
      <c r="B3483" s="0" t="s">
        <v>2042</v>
      </c>
      <c r="C3483" s="0" t="s">
        <v>2339</v>
      </c>
      <c r="D3483" s="0" t="s">
        <v>2105</v>
      </c>
      <c r="E3483" s="0" t="s">
        <v>2045</v>
      </c>
      <c r="F3483" s="0" t="s">
        <v>2046</v>
      </c>
      <c r="G3483" s="0" t="s">
        <v>2143</v>
      </c>
      <c r="H3483" s="0" t="s">
        <v>2142</v>
      </c>
      <c r="J3483" s="0" t="s">
        <v>2346</v>
      </c>
      <c r="K3483" s="272" t="n">
        <v>286.271656733668</v>
      </c>
    </row>
    <row r="3484" customFormat="false" ht="15" hidden="false" customHeight="false" outlineLevel="0" collapsed="false">
      <c r="A3484" s="0" t="s">
        <v>2041</v>
      </c>
      <c r="B3484" s="0" t="s">
        <v>2042</v>
      </c>
      <c r="C3484" s="0" t="s">
        <v>2339</v>
      </c>
      <c r="D3484" s="0" t="s">
        <v>2105</v>
      </c>
      <c r="E3484" s="0" t="s">
        <v>2045</v>
      </c>
      <c r="F3484" s="0" t="s">
        <v>2046</v>
      </c>
      <c r="G3484" s="0" t="s">
        <v>2145</v>
      </c>
      <c r="H3484" s="0" t="s">
        <v>2146</v>
      </c>
      <c r="J3484" s="0" t="s">
        <v>2346</v>
      </c>
      <c r="K3484" s="272" t="n">
        <v>3943.53579806039</v>
      </c>
    </row>
    <row r="3485" customFormat="false" ht="15" hidden="false" customHeight="false" outlineLevel="0" collapsed="false">
      <c r="A3485" s="0" t="s">
        <v>2041</v>
      </c>
      <c r="B3485" s="0" t="s">
        <v>2042</v>
      </c>
      <c r="C3485" s="0" t="s">
        <v>2339</v>
      </c>
      <c r="D3485" s="0" t="s">
        <v>2105</v>
      </c>
      <c r="E3485" s="0" t="s">
        <v>2045</v>
      </c>
      <c r="F3485" s="0" t="s">
        <v>2046</v>
      </c>
      <c r="G3485" s="0" t="s">
        <v>2147</v>
      </c>
      <c r="H3485" s="0" t="s">
        <v>2126</v>
      </c>
      <c r="J3485" s="0" t="s">
        <v>2346</v>
      </c>
      <c r="K3485" s="272" t="n">
        <v>6729.34122868438</v>
      </c>
    </row>
    <row r="3486" customFormat="false" ht="15" hidden="false" customHeight="false" outlineLevel="0" collapsed="false">
      <c r="A3486" s="0" t="s">
        <v>2041</v>
      </c>
      <c r="B3486" s="0" t="s">
        <v>2042</v>
      </c>
      <c r="C3486" s="0" t="s">
        <v>2339</v>
      </c>
      <c r="D3486" s="0" t="s">
        <v>2105</v>
      </c>
      <c r="E3486" s="0" t="s">
        <v>2045</v>
      </c>
      <c r="F3486" s="0" t="s">
        <v>2046</v>
      </c>
      <c r="G3486" s="0" t="s">
        <v>2148</v>
      </c>
      <c r="H3486" s="0" t="s">
        <v>2149</v>
      </c>
      <c r="J3486" s="0" t="s">
        <v>2346</v>
      </c>
      <c r="K3486" s="272" t="n">
        <v>3326.69947266243</v>
      </c>
    </row>
    <row r="3487" customFormat="false" ht="15" hidden="false" customHeight="false" outlineLevel="0" collapsed="false">
      <c r="A3487" s="0" t="s">
        <v>2041</v>
      </c>
      <c r="B3487" s="0" t="s">
        <v>2042</v>
      </c>
      <c r="C3487" s="0" t="s">
        <v>2339</v>
      </c>
      <c r="D3487" s="0" t="s">
        <v>2105</v>
      </c>
      <c r="E3487" s="0" t="s">
        <v>2045</v>
      </c>
      <c r="F3487" s="0" t="s">
        <v>2215</v>
      </c>
      <c r="G3487" s="0" t="s">
        <v>2216</v>
      </c>
      <c r="H3487" s="0" t="s">
        <v>2217</v>
      </c>
      <c r="J3487" s="0" t="s">
        <v>2346</v>
      </c>
      <c r="K3487" s="272" t="n">
        <v>26273.121625579</v>
      </c>
    </row>
    <row r="3488" customFormat="false" ht="15" hidden="false" customHeight="false" outlineLevel="0" collapsed="false">
      <c r="A3488" s="0" t="s">
        <v>2041</v>
      </c>
      <c r="B3488" s="0" t="s">
        <v>2042</v>
      </c>
      <c r="C3488" s="0" t="s">
        <v>2339</v>
      </c>
      <c r="D3488" s="0" t="s">
        <v>2105</v>
      </c>
      <c r="E3488" s="0" t="s">
        <v>2045</v>
      </c>
      <c r="F3488" s="0" t="s">
        <v>2215</v>
      </c>
      <c r="G3488" s="0" t="s">
        <v>2218</v>
      </c>
      <c r="H3488" s="0" t="s">
        <v>2183</v>
      </c>
      <c r="J3488" s="0" t="s">
        <v>2346</v>
      </c>
      <c r="K3488" s="272" t="n">
        <v>2821.55849599921</v>
      </c>
    </row>
    <row r="3489" customFormat="false" ht="15" hidden="false" customHeight="false" outlineLevel="0" collapsed="false">
      <c r="A3489" s="0" t="s">
        <v>2041</v>
      </c>
      <c r="B3489" s="0" t="s">
        <v>2042</v>
      </c>
      <c r="C3489" s="0" t="s">
        <v>2339</v>
      </c>
      <c r="D3489" s="0" t="s">
        <v>2105</v>
      </c>
      <c r="E3489" s="0" t="s">
        <v>2045</v>
      </c>
      <c r="F3489" s="0" t="s">
        <v>2215</v>
      </c>
      <c r="G3489" s="0" t="s">
        <v>2218</v>
      </c>
      <c r="H3489" s="0" t="s">
        <v>2185</v>
      </c>
      <c r="J3489" s="0" t="s">
        <v>2346</v>
      </c>
      <c r="K3489" s="272" t="n">
        <v>2516.30043288713</v>
      </c>
    </row>
    <row r="3490" customFormat="false" ht="15" hidden="false" customHeight="false" outlineLevel="0" collapsed="false">
      <c r="A3490" s="0" t="s">
        <v>2041</v>
      </c>
      <c r="B3490" s="0" t="s">
        <v>2042</v>
      </c>
      <c r="C3490" s="0" t="s">
        <v>2339</v>
      </c>
      <c r="D3490" s="0" t="s">
        <v>2105</v>
      </c>
      <c r="E3490" s="0" t="s">
        <v>2045</v>
      </c>
      <c r="F3490" s="0" t="s">
        <v>2215</v>
      </c>
      <c r="G3490" s="0" t="s">
        <v>2218</v>
      </c>
      <c r="H3490" s="0" t="s">
        <v>2186</v>
      </c>
      <c r="J3490" s="0" t="s">
        <v>2346</v>
      </c>
      <c r="K3490" s="272" t="n">
        <v>104.262769254525</v>
      </c>
    </row>
    <row r="3491" customFormat="false" ht="15" hidden="false" customHeight="false" outlineLevel="0" collapsed="false">
      <c r="A3491" s="0" t="s">
        <v>2041</v>
      </c>
      <c r="B3491" s="0" t="s">
        <v>2042</v>
      </c>
      <c r="C3491" s="0" t="s">
        <v>2339</v>
      </c>
      <c r="D3491" s="0" t="s">
        <v>2105</v>
      </c>
      <c r="E3491" s="0" t="s">
        <v>2045</v>
      </c>
      <c r="F3491" s="0" t="s">
        <v>2215</v>
      </c>
      <c r="G3491" s="0" t="s">
        <v>2218</v>
      </c>
      <c r="H3491" s="0" t="s">
        <v>2179</v>
      </c>
      <c r="J3491" s="0" t="s">
        <v>2346</v>
      </c>
      <c r="K3491" s="272" t="n">
        <v>2166.55365615139</v>
      </c>
    </row>
    <row r="3492" customFormat="false" ht="15" hidden="false" customHeight="false" outlineLevel="0" collapsed="false">
      <c r="A3492" s="0" t="s">
        <v>2041</v>
      </c>
      <c r="B3492" s="0" t="s">
        <v>2042</v>
      </c>
      <c r="C3492" s="0" t="s">
        <v>2339</v>
      </c>
      <c r="D3492" s="0" t="s">
        <v>2105</v>
      </c>
      <c r="E3492" s="0" t="s">
        <v>2045</v>
      </c>
      <c r="F3492" s="0" t="s">
        <v>2215</v>
      </c>
      <c r="G3492" s="0" t="s">
        <v>2218</v>
      </c>
      <c r="H3492" s="0" t="s">
        <v>2217</v>
      </c>
      <c r="J3492" s="0" t="s">
        <v>2346</v>
      </c>
      <c r="K3492" s="272" t="n">
        <v>315.947943162393</v>
      </c>
    </row>
    <row r="3493" customFormat="false" ht="15" hidden="false" customHeight="false" outlineLevel="0" collapsed="false">
      <c r="A3493" s="0" t="s">
        <v>2041</v>
      </c>
      <c r="B3493" s="0" t="s">
        <v>2042</v>
      </c>
      <c r="C3493" s="0" t="s">
        <v>2339</v>
      </c>
      <c r="D3493" s="0" t="s">
        <v>2105</v>
      </c>
      <c r="E3493" s="0" t="s">
        <v>2045</v>
      </c>
      <c r="F3493" s="0" t="s">
        <v>2215</v>
      </c>
      <c r="G3493" s="0" t="s">
        <v>2218</v>
      </c>
      <c r="H3493" s="0" t="s">
        <v>2219</v>
      </c>
      <c r="J3493" s="0" t="s">
        <v>2346</v>
      </c>
      <c r="K3493" s="272" t="n">
        <v>4013.7910347824</v>
      </c>
    </row>
    <row r="3494" customFormat="false" ht="15" hidden="false" customHeight="false" outlineLevel="0" collapsed="false">
      <c r="A3494" s="0" t="s">
        <v>2041</v>
      </c>
      <c r="B3494" s="0" t="s">
        <v>2042</v>
      </c>
      <c r="C3494" s="0" t="s">
        <v>2339</v>
      </c>
      <c r="D3494" s="0" t="s">
        <v>2105</v>
      </c>
      <c r="E3494" s="0" t="s">
        <v>2045</v>
      </c>
      <c r="F3494" s="0" t="s">
        <v>2215</v>
      </c>
      <c r="G3494" s="0" t="s">
        <v>2218</v>
      </c>
      <c r="H3494" s="0" t="s">
        <v>2220</v>
      </c>
      <c r="J3494" s="0" t="s">
        <v>2346</v>
      </c>
      <c r="K3494" s="272" t="n">
        <v>7079.24935719549</v>
      </c>
    </row>
    <row r="3495" customFormat="false" ht="15" hidden="false" customHeight="false" outlineLevel="0" collapsed="false">
      <c r="A3495" s="0" t="s">
        <v>2041</v>
      </c>
      <c r="B3495" s="0" t="s">
        <v>2042</v>
      </c>
      <c r="C3495" s="0" t="s">
        <v>2339</v>
      </c>
      <c r="D3495" s="0" t="s">
        <v>2105</v>
      </c>
      <c r="E3495" s="0" t="s">
        <v>2045</v>
      </c>
      <c r="F3495" s="0" t="s">
        <v>2215</v>
      </c>
      <c r="G3495" s="0" t="s">
        <v>2218</v>
      </c>
      <c r="H3495" s="0" t="s">
        <v>2221</v>
      </c>
      <c r="J3495" s="0" t="s">
        <v>2346</v>
      </c>
      <c r="K3495" s="272" t="n">
        <v>6513.39926444018</v>
      </c>
    </row>
    <row r="3496" customFormat="false" ht="15" hidden="false" customHeight="false" outlineLevel="0" collapsed="false">
      <c r="A3496" s="0" t="s">
        <v>2041</v>
      </c>
      <c r="B3496" s="0" t="s">
        <v>2042</v>
      </c>
      <c r="C3496" s="0" t="s">
        <v>2339</v>
      </c>
      <c r="D3496" s="0" t="s">
        <v>2105</v>
      </c>
      <c r="E3496" s="0" t="s">
        <v>2045</v>
      </c>
      <c r="F3496" s="0" t="s">
        <v>2215</v>
      </c>
      <c r="G3496" s="0" t="s">
        <v>2218</v>
      </c>
      <c r="H3496" s="0" t="s">
        <v>2222</v>
      </c>
      <c r="J3496" s="0" t="s">
        <v>2346</v>
      </c>
      <c r="K3496" s="272" t="n">
        <v>1265.72650855224</v>
      </c>
    </row>
    <row r="3497" customFormat="false" ht="15" hidden="false" customHeight="false" outlineLevel="0" collapsed="false">
      <c r="A3497" s="0" t="s">
        <v>2041</v>
      </c>
      <c r="B3497" s="0" t="s">
        <v>2042</v>
      </c>
      <c r="C3497" s="0" t="s">
        <v>2339</v>
      </c>
      <c r="D3497" s="0" t="s">
        <v>2105</v>
      </c>
      <c r="E3497" s="0" t="s">
        <v>2045</v>
      </c>
      <c r="F3497" s="0" t="s">
        <v>2215</v>
      </c>
      <c r="G3497" s="0" t="s">
        <v>2223</v>
      </c>
      <c r="H3497" s="0" t="s">
        <v>2189</v>
      </c>
      <c r="J3497" s="0" t="s">
        <v>2346</v>
      </c>
      <c r="K3497" s="272" t="n">
        <v>315.947943162393</v>
      </c>
    </row>
    <row r="3498" customFormat="false" ht="15" hidden="false" customHeight="false" outlineLevel="0" collapsed="false">
      <c r="A3498" s="0" t="s">
        <v>2041</v>
      </c>
      <c r="B3498" s="0" t="s">
        <v>2042</v>
      </c>
      <c r="C3498" s="0" t="s">
        <v>2339</v>
      </c>
      <c r="D3498" s="0" t="s">
        <v>2105</v>
      </c>
      <c r="E3498" s="0" t="s">
        <v>2045</v>
      </c>
      <c r="F3498" s="0" t="s">
        <v>2215</v>
      </c>
      <c r="G3498" s="0" t="s">
        <v>2223</v>
      </c>
      <c r="H3498" s="0" t="s">
        <v>2222</v>
      </c>
      <c r="J3498" s="0" t="s">
        <v>2346</v>
      </c>
      <c r="K3498" s="272" t="n">
        <v>1727.50841969467</v>
      </c>
    </row>
    <row r="3499" customFormat="false" ht="15" hidden="false" customHeight="false" outlineLevel="0" collapsed="false">
      <c r="A3499" s="0" t="s">
        <v>2041</v>
      </c>
      <c r="B3499" s="0" t="s">
        <v>2042</v>
      </c>
      <c r="C3499" s="0" t="s">
        <v>2339</v>
      </c>
      <c r="D3499" s="0" t="s">
        <v>2105</v>
      </c>
      <c r="E3499" s="0" t="s">
        <v>2045</v>
      </c>
      <c r="F3499" s="0" t="s">
        <v>2215</v>
      </c>
      <c r="G3499" s="0" t="s">
        <v>2223</v>
      </c>
      <c r="H3499" s="0" t="s">
        <v>2224</v>
      </c>
      <c r="J3499" s="0" t="s">
        <v>2346</v>
      </c>
      <c r="K3499" s="272" t="n">
        <v>1776.982141909</v>
      </c>
    </row>
    <row r="3500" customFormat="false" ht="15" hidden="false" customHeight="false" outlineLevel="0" collapsed="false">
      <c r="A3500" s="0" t="s">
        <v>2041</v>
      </c>
      <c r="B3500" s="0" t="s">
        <v>2042</v>
      </c>
      <c r="C3500" s="0" t="s">
        <v>2339</v>
      </c>
      <c r="D3500" s="0" t="s">
        <v>2105</v>
      </c>
      <c r="E3500" s="0" t="s">
        <v>2045</v>
      </c>
      <c r="F3500" s="0" t="s">
        <v>2225</v>
      </c>
      <c r="G3500" s="0" t="s">
        <v>2226</v>
      </c>
      <c r="H3500" s="0" t="s">
        <v>2227</v>
      </c>
      <c r="J3500" s="0" t="s">
        <v>2346</v>
      </c>
      <c r="K3500" s="272" t="n">
        <v>2166.55384182662</v>
      </c>
    </row>
    <row r="3501" customFormat="false" ht="15" hidden="false" customHeight="false" outlineLevel="0" collapsed="false">
      <c r="A3501" s="0" t="s">
        <v>2041</v>
      </c>
      <c r="B3501" s="0" t="s">
        <v>2042</v>
      </c>
      <c r="C3501" s="0" t="s">
        <v>2339</v>
      </c>
      <c r="D3501" s="0" t="s">
        <v>2105</v>
      </c>
      <c r="E3501" s="0" t="s">
        <v>2045</v>
      </c>
      <c r="F3501" s="0" t="s">
        <v>2225</v>
      </c>
      <c r="G3501" s="0" t="s">
        <v>2228</v>
      </c>
      <c r="H3501" s="0" t="s">
        <v>2227</v>
      </c>
      <c r="J3501" s="0" t="s">
        <v>2346</v>
      </c>
      <c r="K3501" s="272" t="n">
        <v>8345.51822309626</v>
      </c>
    </row>
    <row r="3502" customFormat="false" ht="15" hidden="false" customHeight="false" outlineLevel="0" collapsed="false">
      <c r="A3502" s="0" t="s">
        <v>2041</v>
      </c>
      <c r="B3502" s="0" t="s">
        <v>2042</v>
      </c>
      <c r="C3502" s="0" t="s">
        <v>2339</v>
      </c>
      <c r="D3502" s="0" t="s">
        <v>2105</v>
      </c>
      <c r="E3502" s="0" t="s">
        <v>2045</v>
      </c>
      <c r="F3502" s="0" t="s">
        <v>2225</v>
      </c>
      <c r="G3502" s="0" t="s">
        <v>2229</v>
      </c>
      <c r="H3502" s="0" t="s">
        <v>2227</v>
      </c>
      <c r="J3502" s="0" t="s">
        <v>2346</v>
      </c>
      <c r="K3502" s="272" t="n">
        <v>9279.39537606381</v>
      </c>
    </row>
    <row r="3503" customFormat="false" ht="15" hidden="false" customHeight="false" outlineLevel="0" collapsed="false">
      <c r="A3503" s="0" t="s">
        <v>2041</v>
      </c>
      <c r="B3503" s="0" t="s">
        <v>2042</v>
      </c>
      <c r="C3503" s="0" t="s">
        <v>2339</v>
      </c>
      <c r="D3503" s="0" t="s">
        <v>2105</v>
      </c>
      <c r="E3503" s="0" t="s">
        <v>2045</v>
      </c>
      <c r="F3503" s="0" t="s">
        <v>2225</v>
      </c>
      <c r="G3503" s="0" t="s">
        <v>2230</v>
      </c>
      <c r="H3503" s="0" t="s">
        <v>2227</v>
      </c>
      <c r="J3503" s="0" t="s">
        <v>2346</v>
      </c>
      <c r="K3503" s="272" t="n">
        <v>4802.91187880821</v>
      </c>
    </row>
    <row r="3504" customFormat="false" ht="15" hidden="false" customHeight="false" outlineLevel="0" collapsed="false">
      <c r="A3504" s="0" t="s">
        <v>2041</v>
      </c>
      <c r="B3504" s="0" t="s">
        <v>2042</v>
      </c>
      <c r="C3504" s="0" t="s">
        <v>2339</v>
      </c>
      <c r="D3504" s="0" t="s">
        <v>2105</v>
      </c>
      <c r="E3504" s="0" t="s">
        <v>2045</v>
      </c>
      <c r="F3504" s="0" t="s">
        <v>2225</v>
      </c>
      <c r="G3504" s="0" t="s">
        <v>2231</v>
      </c>
      <c r="H3504" s="0" t="s">
        <v>2227</v>
      </c>
      <c r="J3504" s="0" t="s">
        <v>2346</v>
      </c>
      <c r="K3504" s="272" t="n">
        <v>7438.1473233457</v>
      </c>
    </row>
    <row r="3505" customFormat="false" ht="15" hidden="false" customHeight="false" outlineLevel="0" collapsed="false">
      <c r="A3505" s="0" t="s">
        <v>2041</v>
      </c>
      <c r="B3505" s="0" t="s">
        <v>2042</v>
      </c>
      <c r="C3505" s="0" t="s">
        <v>2339</v>
      </c>
      <c r="D3505" s="0" t="s">
        <v>2105</v>
      </c>
      <c r="E3505" s="0" t="s">
        <v>2045</v>
      </c>
      <c r="F3505" s="0" t="s">
        <v>2099</v>
      </c>
      <c r="G3505" s="0" t="s">
        <v>2232</v>
      </c>
      <c r="H3505" s="0" t="s">
        <v>2100</v>
      </c>
      <c r="J3505" s="0" t="s">
        <v>2346</v>
      </c>
      <c r="K3505" s="272" t="n">
        <v>572.543127792105</v>
      </c>
    </row>
    <row r="3506" customFormat="false" ht="15" hidden="false" customHeight="false" outlineLevel="0" collapsed="false">
      <c r="A3506" s="0" t="s">
        <v>2041</v>
      </c>
      <c r="B3506" s="0" t="s">
        <v>2042</v>
      </c>
      <c r="C3506" s="0" t="s">
        <v>2339</v>
      </c>
      <c r="D3506" s="0" t="s">
        <v>2105</v>
      </c>
      <c r="E3506" s="0" t="s">
        <v>2045</v>
      </c>
      <c r="F3506" s="0" t="s">
        <v>2099</v>
      </c>
      <c r="G3506" s="0" t="s">
        <v>2232</v>
      </c>
      <c r="H3506" s="0" t="s">
        <v>2233</v>
      </c>
      <c r="J3506" s="0" t="s">
        <v>2346</v>
      </c>
      <c r="K3506" s="272" t="n">
        <v>315.947943162393</v>
      </c>
    </row>
    <row r="3507" customFormat="false" ht="15" hidden="false" customHeight="false" outlineLevel="0" collapsed="false">
      <c r="A3507" s="0" t="s">
        <v>2041</v>
      </c>
      <c r="B3507" s="0" t="s">
        <v>2042</v>
      </c>
      <c r="C3507" s="0" t="s">
        <v>2339</v>
      </c>
      <c r="D3507" s="0" t="s">
        <v>2105</v>
      </c>
      <c r="E3507" s="0" t="s">
        <v>2045</v>
      </c>
      <c r="F3507" s="0" t="s">
        <v>2099</v>
      </c>
      <c r="G3507" s="0" t="s">
        <v>2232</v>
      </c>
      <c r="H3507" s="0" t="s">
        <v>2234</v>
      </c>
      <c r="J3507" s="0" t="s">
        <v>2346</v>
      </c>
      <c r="K3507" s="272" t="n">
        <v>5936.64019486248</v>
      </c>
    </row>
    <row r="3508" customFormat="false" ht="15" hidden="false" customHeight="false" outlineLevel="0" collapsed="false">
      <c r="A3508" s="0" t="s">
        <v>2041</v>
      </c>
      <c r="B3508" s="0" t="s">
        <v>2042</v>
      </c>
      <c r="C3508" s="0" t="s">
        <v>2339</v>
      </c>
      <c r="D3508" s="0" t="s">
        <v>2105</v>
      </c>
      <c r="E3508" s="0" t="s">
        <v>2045</v>
      </c>
      <c r="F3508" s="0" t="s">
        <v>2099</v>
      </c>
      <c r="G3508" s="0" t="s">
        <v>2232</v>
      </c>
      <c r="H3508" s="0" t="s">
        <v>2235</v>
      </c>
      <c r="J3508" s="0" t="s">
        <v>2346</v>
      </c>
      <c r="K3508" s="272" t="n">
        <v>3233.16928876125</v>
      </c>
    </row>
    <row r="3509" customFormat="false" ht="15" hidden="false" customHeight="false" outlineLevel="0" collapsed="false">
      <c r="A3509" s="0" t="s">
        <v>2041</v>
      </c>
      <c r="B3509" s="0" t="s">
        <v>2042</v>
      </c>
      <c r="C3509" s="0" t="s">
        <v>2339</v>
      </c>
      <c r="D3509" s="0" t="s">
        <v>2105</v>
      </c>
      <c r="E3509" s="0" t="s">
        <v>2045</v>
      </c>
      <c r="F3509" s="0" t="s">
        <v>2099</v>
      </c>
      <c r="G3509" s="0" t="s">
        <v>2236</v>
      </c>
      <c r="H3509" s="0" t="s">
        <v>2233</v>
      </c>
      <c r="J3509" s="0" t="s">
        <v>2346</v>
      </c>
      <c r="K3509" s="272" t="n">
        <v>7427.21699387179</v>
      </c>
    </row>
    <row r="3510" customFormat="false" ht="15" hidden="false" customHeight="false" outlineLevel="0" collapsed="false">
      <c r="A3510" s="0" t="s">
        <v>2041</v>
      </c>
      <c r="B3510" s="0" t="s">
        <v>2042</v>
      </c>
      <c r="C3510" s="0" t="s">
        <v>2339</v>
      </c>
      <c r="D3510" s="0" t="s">
        <v>2105</v>
      </c>
      <c r="E3510" s="0" t="s">
        <v>2045</v>
      </c>
      <c r="F3510" s="0" t="s">
        <v>2099</v>
      </c>
      <c r="G3510" s="0" t="s">
        <v>2236</v>
      </c>
      <c r="H3510" s="0" t="s">
        <v>2237</v>
      </c>
      <c r="J3510" s="0" t="s">
        <v>2346</v>
      </c>
      <c r="K3510" s="272" t="n">
        <v>323.05521963862</v>
      </c>
    </row>
    <row r="3511" customFormat="false" ht="15" hidden="false" customHeight="false" outlineLevel="0" collapsed="false">
      <c r="A3511" s="0" t="s">
        <v>2041</v>
      </c>
      <c r="B3511" s="0" t="s">
        <v>2042</v>
      </c>
      <c r="C3511" s="0" t="s">
        <v>2339</v>
      </c>
      <c r="D3511" s="0" t="s">
        <v>2105</v>
      </c>
      <c r="E3511" s="0" t="s">
        <v>2045</v>
      </c>
      <c r="F3511" s="0" t="s">
        <v>2099</v>
      </c>
      <c r="G3511" s="0" t="s">
        <v>2238</v>
      </c>
      <c r="H3511" s="0" t="s">
        <v>2239</v>
      </c>
      <c r="J3511" s="0" t="s">
        <v>2346</v>
      </c>
      <c r="K3511" s="272" t="n">
        <v>21314.3316771924</v>
      </c>
    </row>
    <row r="3512" customFormat="false" ht="15" hidden="false" customHeight="false" outlineLevel="0" collapsed="false">
      <c r="A3512" s="0" t="s">
        <v>2041</v>
      </c>
      <c r="B3512" s="0" t="s">
        <v>2042</v>
      </c>
      <c r="C3512" s="0" t="s">
        <v>2339</v>
      </c>
      <c r="D3512" s="0" t="s">
        <v>2105</v>
      </c>
      <c r="E3512" s="0" t="s">
        <v>2045</v>
      </c>
      <c r="F3512" s="0" t="s">
        <v>2099</v>
      </c>
      <c r="G3512" s="0" t="s">
        <v>2240</v>
      </c>
      <c r="H3512" s="0" t="s">
        <v>2100</v>
      </c>
      <c r="J3512" s="0" t="s">
        <v>2346</v>
      </c>
      <c r="K3512" s="272" t="n">
        <v>11189.4067650262</v>
      </c>
    </row>
    <row r="3513" customFormat="false" ht="15" hidden="false" customHeight="false" outlineLevel="0" collapsed="false">
      <c r="A3513" s="0" t="s">
        <v>2041</v>
      </c>
      <c r="B3513" s="0" t="s">
        <v>2042</v>
      </c>
      <c r="C3513" s="0" t="s">
        <v>2339</v>
      </c>
      <c r="D3513" s="0" t="s">
        <v>2105</v>
      </c>
      <c r="E3513" s="0" t="s">
        <v>2045</v>
      </c>
      <c r="F3513" s="0" t="s">
        <v>2099</v>
      </c>
      <c r="G3513" s="0" t="s">
        <v>2240</v>
      </c>
      <c r="H3513" s="0" t="s">
        <v>2235</v>
      </c>
      <c r="J3513" s="0" t="s">
        <v>2346</v>
      </c>
      <c r="K3513" s="272" t="n">
        <v>315.947943162393</v>
      </c>
    </row>
    <row r="3514" customFormat="false" ht="15" hidden="false" customHeight="false" outlineLevel="0" collapsed="false">
      <c r="A3514" s="0" t="s">
        <v>2041</v>
      </c>
      <c r="B3514" s="0" t="s">
        <v>2042</v>
      </c>
      <c r="C3514" s="0" t="s">
        <v>2339</v>
      </c>
      <c r="D3514" s="0" t="s">
        <v>2105</v>
      </c>
      <c r="E3514" s="0" t="s">
        <v>2045</v>
      </c>
      <c r="F3514" s="0" t="s">
        <v>2099</v>
      </c>
      <c r="G3514" s="0" t="s">
        <v>2241</v>
      </c>
      <c r="H3514" s="0" t="s">
        <v>2242</v>
      </c>
      <c r="J3514" s="0" t="s">
        <v>2346</v>
      </c>
      <c r="K3514" s="272" t="n">
        <v>4328.46933071807</v>
      </c>
    </row>
    <row r="3515" customFormat="false" ht="15" hidden="false" customHeight="false" outlineLevel="0" collapsed="false">
      <c r="A3515" s="0" t="s">
        <v>2041</v>
      </c>
      <c r="B3515" s="0" t="s">
        <v>2042</v>
      </c>
      <c r="C3515" s="0" t="s">
        <v>2339</v>
      </c>
      <c r="D3515" s="0" t="s">
        <v>2105</v>
      </c>
      <c r="E3515" s="0" t="s">
        <v>2045</v>
      </c>
      <c r="F3515" s="0" t="s">
        <v>2099</v>
      </c>
      <c r="G3515" s="0" t="s">
        <v>2243</v>
      </c>
      <c r="H3515" s="0" t="s">
        <v>2239</v>
      </c>
      <c r="J3515" s="0" t="s">
        <v>2346</v>
      </c>
      <c r="K3515" s="272" t="n">
        <v>260.764707607666</v>
      </c>
    </row>
    <row r="3516" customFormat="false" ht="15" hidden="false" customHeight="false" outlineLevel="0" collapsed="false">
      <c r="A3516" s="0" t="s">
        <v>2041</v>
      </c>
      <c r="B3516" s="0" t="s">
        <v>2042</v>
      </c>
      <c r="C3516" s="0" t="s">
        <v>2339</v>
      </c>
      <c r="D3516" s="0" t="s">
        <v>2105</v>
      </c>
      <c r="E3516" s="0" t="s">
        <v>2045</v>
      </c>
      <c r="F3516" s="0" t="s">
        <v>2099</v>
      </c>
      <c r="G3516" s="0" t="s">
        <v>2243</v>
      </c>
      <c r="H3516" s="0" t="s">
        <v>2244</v>
      </c>
      <c r="J3516" s="0" t="s">
        <v>2346</v>
      </c>
      <c r="K3516" s="272" t="n">
        <v>14501.8684753324</v>
      </c>
    </row>
    <row r="3517" customFormat="false" ht="15" hidden="false" customHeight="false" outlineLevel="0" collapsed="false">
      <c r="A3517" s="0" t="s">
        <v>2041</v>
      </c>
      <c r="B3517" s="0" t="s">
        <v>2042</v>
      </c>
      <c r="C3517" s="0" t="s">
        <v>2339</v>
      </c>
      <c r="D3517" s="0" t="s">
        <v>2105</v>
      </c>
      <c r="E3517" s="0" t="s">
        <v>2045</v>
      </c>
      <c r="F3517" s="0" t="s">
        <v>2099</v>
      </c>
      <c r="G3517" s="0" t="s">
        <v>2243</v>
      </c>
      <c r="H3517" s="0" t="s">
        <v>2245</v>
      </c>
      <c r="J3517" s="0" t="s">
        <v>2346</v>
      </c>
      <c r="K3517" s="272" t="n">
        <v>4195.84894052241</v>
      </c>
    </row>
    <row r="3518" customFormat="false" ht="15" hidden="false" customHeight="false" outlineLevel="0" collapsed="false">
      <c r="A3518" s="0" t="s">
        <v>2041</v>
      </c>
      <c r="B3518" s="0" t="s">
        <v>2042</v>
      </c>
      <c r="C3518" s="0" t="s">
        <v>2339</v>
      </c>
      <c r="D3518" s="0" t="s">
        <v>2105</v>
      </c>
      <c r="E3518" s="0" t="s">
        <v>2045</v>
      </c>
      <c r="F3518" s="0" t="s">
        <v>2099</v>
      </c>
      <c r="G3518" s="0" t="s">
        <v>2243</v>
      </c>
      <c r="H3518" s="0" t="s">
        <v>2247</v>
      </c>
      <c r="J3518" s="0" t="s">
        <v>2346</v>
      </c>
      <c r="K3518" s="272" t="n">
        <v>9599.42278971733</v>
      </c>
    </row>
    <row r="3519" customFormat="false" ht="15" hidden="false" customHeight="false" outlineLevel="0" collapsed="false">
      <c r="A3519" s="0" t="s">
        <v>2041</v>
      </c>
      <c r="B3519" s="0" t="s">
        <v>2042</v>
      </c>
      <c r="C3519" s="0" t="s">
        <v>2339</v>
      </c>
      <c r="D3519" s="0" t="s">
        <v>2105</v>
      </c>
      <c r="E3519" s="0" t="s">
        <v>2045</v>
      </c>
      <c r="F3519" s="0" t="s">
        <v>2099</v>
      </c>
      <c r="G3519" s="0" t="s">
        <v>2248</v>
      </c>
      <c r="H3519" s="0" t="s">
        <v>2244</v>
      </c>
      <c r="J3519" s="0" t="s">
        <v>2346</v>
      </c>
      <c r="K3519" s="272" t="n">
        <v>324.129350847538</v>
      </c>
    </row>
    <row r="3520" customFormat="false" ht="15" hidden="false" customHeight="false" outlineLevel="0" collapsed="false">
      <c r="A3520" s="0" t="s">
        <v>2041</v>
      </c>
      <c r="B3520" s="0" t="s">
        <v>2042</v>
      </c>
      <c r="C3520" s="0" t="s">
        <v>2339</v>
      </c>
      <c r="D3520" s="0" t="s">
        <v>2105</v>
      </c>
      <c r="E3520" s="0" t="s">
        <v>2045</v>
      </c>
      <c r="F3520" s="0" t="s">
        <v>2099</v>
      </c>
      <c r="G3520" s="0" t="s">
        <v>2248</v>
      </c>
      <c r="H3520" s="0" t="s">
        <v>2245</v>
      </c>
      <c r="J3520" s="0" t="s">
        <v>2346</v>
      </c>
      <c r="K3520" s="272" t="n">
        <v>162.790387062499</v>
      </c>
    </row>
    <row r="3521" customFormat="false" ht="15" hidden="false" customHeight="false" outlineLevel="0" collapsed="false">
      <c r="A3521" s="0" t="s">
        <v>2041</v>
      </c>
      <c r="B3521" s="0" t="s">
        <v>2042</v>
      </c>
      <c r="C3521" s="0" t="s">
        <v>2339</v>
      </c>
      <c r="D3521" s="0" t="s">
        <v>2105</v>
      </c>
      <c r="E3521" s="0" t="s">
        <v>2045</v>
      </c>
      <c r="F3521" s="0" t="s">
        <v>2099</v>
      </c>
      <c r="G3521" s="0" t="s">
        <v>2249</v>
      </c>
      <c r="H3521" s="0" t="s">
        <v>2245</v>
      </c>
      <c r="J3521" s="0" t="s">
        <v>2346</v>
      </c>
      <c r="K3521" s="272" t="n">
        <v>2071.31098959855</v>
      </c>
    </row>
    <row r="3522" customFormat="false" ht="15" hidden="false" customHeight="false" outlineLevel="0" collapsed="false">
      <c r="A3522" s="0" t="s">
        <v>2041</v>
      </c>
      <c r="B3522" s="0" t="s">
        <v>2042</v>
      </c>
      <c r="C3522" s="0" t="s">
        <v>2339</v>
      </c>
      <c r="D3522" s="0" t="s">
        <v>2105</v>
      </c>
      <c r="E3522" s="0" t="s">
        <v>2045</v>
      </c>
      <c r="F3522" s="0" t="s">
        <v>2250</v>
      </c>
      <c r="G3522" s="0" t="s">
        <v>2251</v>
      </c>
      <c r="H3522" s="0" t="s">
        <v>2252</v>
      </c>
      <c r="J3522" s="0" t="s">
        <v>2346</v>
      </c>
      <c r="K3522" s="272" t="n">
        <v>6796.82916176979</v>
      </c>
    </row>
    <row r="3523" customFormat="false" ht="15" hidden="false" customHeight="false" outlineLevel="0" collapsed="false">
      <c r="A3523" s="0" t="s">
        <v>2041</v>
      </c>
      <c r="B3523" s="0" t="s">
        <v>2042</v>
      </c>
      <c r="C3523" s="0" t="s">
        <v>2339</v>
      </c>
      <c r="D3523" s="0" t="s">
        <v>2105</v>
      </c>
      <c r="E3523" s="0" t="s">
        <v>2045</v>
      </c>
      <c r="F3523" s="0" t="s">
        <v>2250</v>
      </c>
      <c r="G3523" s="0" t="s">
        <v>2251</v>
      </c>
      <c r="H3523" s="0" t="s">
        <v>2253</v>
      </c>
      <c r="J3523" s="0" t="s">
        <v>2346</v>
      </c>
      <c r="K3523" s="272" t="n">
        <v>19094.2875865635</v>
      </c>
    </row>
    <row r="3524" customFormat="false" ht="15" hidden="false" customHeight="false" outlineLevel="0" collapsed="false">
      <c r="A3524" s="0" t="s">
        <v>2041</v>
      </c>
      <c r="B3524" s="0" t="s">
        <v>2042</v>
      </c>
      <c r="C3524" s="0" t="s">
        <v>2339</v>
      </c>
      <c r="D3524" s="0" t="s">
        <v>2105</v>
      </c>
      <c r="E3524" s="0" t="s">
        <v>2045</v>
      </c>
      <c r="F3524" s="0" t="s">
        <v>2250</v>
      </c>
      <c r="G3524" s="0" t="s">
        <v>2251</v>
      </c>
      <c r="H3524" s="0" t="s">
        <v>2255</v>
      </c>
      <c r="J3524" s="0" t="s">
        <v>2346</v>
      </c>
      <c r="K3524" s="272" t="n">
        <v>3633.72794909812</v>
      </c>
    </row>
    <row r="3525" customFormat="false" ht="15" hidden="false" customHeight="false" outlineLevel="0" collapsed="false">
      <c r="A3525" s="0" t="s">
        <v>2041</v>
      </c>
      <c r="B3525" s="0" t="s">
        <v>2042</v>
      </c>
      <c r="C3525" s="0" t="s">
        <v>2339</v>
      </c>
      <c r="D3525" s="0" t="s">
        <v>2105</v>
      </c>
      <c r="E3525" s="0" t="s">
        <v>2045</v>
      </c>
      <c r="F3525" s="0" t="s">
        <v>2256</v>
      </c>
      <c r="G3525" s="0" t="s">
        <v>2257</v>
      </c>
      <c r="H3525" s="0" t="s">
        <v>2179</v>
      </c>
      <c r="J3525" s="0" t="s">
        <v>2346</v>
      </c>
      <c r="K3525" s="272" t="n">
        <v>1850.605712989</v>
      </c>
    </row>
    <row r="3526" customFormat="false" ht="15" hidden="false" customHeight="false" outlineLevel="0" collapsed="false">
      <c r="A3526" s="0" t="s">
        <v>2041</v>
      </c>
      <c r="B3526" s="0" t="s">
        <v>2042</v>
      </c>
      <c r="C3526" s="0" t="s">
        <v>2339</v>
      </c>
      <c r="D3526" s="0" t="s">
        <v>2105</v>
      </c>
      <c r="E3526" s="0" t="s">
        <v>2045</v>
      </c>
      <c r="F3526" s="0" t="s">
        <v>2256</v>
      </c>
      <c r="G3526" s="0" t="s">
        <v>2257</v>
      </c>
      <c r="H3526" s="0" t="s">
        <v>2258</v>
      </c>
      <c r="J3526" s="0" t="s">
        <v>2346</v>
      </c>
      <c r="K3526" s="272" t="n">
        <v>1204.43901411689</v>
      </c>
    </row>
    <row r="3527" customFormat="false" ht="15" hidden="false" customHeight="false" outlineLevel="0" collapsed="false">
      <c r="A3527" s="0" t="s">
        <v>2041</v>
      </c>
      <c r="B3527" s="0" t="s">
        <v>2042</v>
      </c>
      <c r="C3527" s="0" t="s">
        <v>2339</v>
      </c>
      <c r="D3527" s="0" t="s">
        <v>2105</v>
      </c>
      <c r="E3527" s="0" t="s">
        <v>2045</v>
      </c>
      <c r="F3527" s="0" t="s">
        <v>2256</v>
      </c>
      <c r="G3527" s="0" t="s">
        <v>2259</v>
      </c>
      <c r="H3527" s="0" t="s">
        <v>2258</v>
      </c>
      <c r="J3527" s="0" t="s">
        <v>2346</v>
      </c>
      <c r="K3527" s="272" t="n">
        <v>32799.0290876026</v>
      </c>
    </row>
    <row r="3528" customFormat="false" ht="15" hidden="false" customHeight="false" outlineLevel="0" collapsed="false">
      <c r="A3528" s="0" t="s">
        <v>2041</v>
      </c>
      <c r="B3528" s="0" t="s">
        <v>2042</v>
      </c>
      <c r="C3528" s="0" t="s">
        <v>2339</v>
      </c>
      <c r="D3528" s="0" t="s">
        <v>2105</v>
      </c>
      <c r="E3528" s="0" t="s">
        <v>2045</v>
      </c>
      <c r="F3528" s="0" t="s">
        <v>2256</v>
      </c>
      <c r="G3528" s="0" t="s">
        <v>2260</v>
      </c>
      <c r="H3528" s="0" t="s">
        <v>2261</v>
      </c>
      <c r="J3528" s="0" t="s">
        <v>2346</v>
      </c>
      <c r="K3528" s="272" t="n">
        <v>7508.98149543666</v>
      </c>
    </row>
    <row r="3529" customFormat="false" ht="15" hidden="false" customHeight="false" outlineLevel="0" collapsed="false">
      <c r="A3529" s="0" t="s">
        <v>2041</v>
      </c>
      <c r="B3529" s="0" t="s">
        <v>2042</v>
      </c>
      <c r="C3529" s="0" t="s">
        <v>2339</v>
      </c>
      <c r="D3529" s="0" t="s">
        <v>2105</v>
      </c>
      <c r="E3529" s="0" t="s">
        <v>2045</v>
      </c>
      <c r="F3529" s="0" t="s">
        <v>2256</v>
      </c>
      <c r="G3529" s="0" t="s">
        <v>2262</v>
      </c>
      <c r="H3529" s="0" t="s">
        <v>2263</v>
      </c>
      <c r="J3529" s="0" t="s">
        <v>2346</v>
      </c>
      <c r="K3529" s="272" t="n">
        <v>760.230149497683</v>
      </c>
    </row>
    <row r="3530" customFormat="false" ht="15" hidden="false" customHeight="false" outlineLevel="0" collapsed="false">
      <c r="A3530" s="0" t="s">
        <v>2041</v>
      </c>
      <c r="B3530" s="0" t="s">
        <v>2042</v>
      </c>
      <c r="C3530" s="0" t="s">
        <v>2339</v>
      </c>
      <c r="D3530" s="0" t="s">
        <v>2105</v>
      </c>
      <c r="E3530" s="0" t="s">
        <v>2045</v>
      </c>
      <c r="F3530" s="0" t="s">
        <v>2256</v>
      </c>
      <c r="G3530" s="0" t="s">
        <v>2262</v>
      </c>
      <c r="H3530" s="0" t="s">
        <v>2264</v>
      </c>
      <c r="J3530" s="0" t="s">
        <v>2346</v>
      </c>
      <c r="K3530" s="272" t="n">
        <v>9285.1485230834</v>
      </c>
    </row>
    <row r="3531" customFormat="false" ht="15" hidden="false" customHeight="false" outlineLevel="0" collapsed="false">
      <c r="A3531" s="0" t="s">
        <v>2041</v>
      </c>
      <c r="B3531" s="0" t="s">
        <v>2042</v>
      </c>
      <c r="C3531" s="0" t="s">
        <v>2339</v>
      </c>
      <c r="D3531" s="0" t="s">
        <v>2105</v>
      </c>
      <c r="E3531" s="0" t="s">
        <v>2045</v>
      </c>
      <c r="F3531" s="0" t="s">
        <v>2256</v>
      </c>
      <c r="G3531" s="0" t="s">
        <v>2262</v>
      </c>
      <c r="H3531" s="0" t="s">
        <v>2265</v>
      </c>
      <c r="J3531" s="0" t="s">
        <v>2346</v>
      </c>
      <c r="K3531" s="272" t="n">
        <v>1597.65626151177</v>
      </c>
    </row>
    <row r="3532" customFormat="false" ht="15" hidden="false" customHeight="false" outlineLevel="0" collapsed="false">
      <c r="A3532" s="0" t="s">
        <v>2041</v>
      </c>
      <c r="B3532" s="0" t="s">
        <v>2042</v>
      </c>
      <c r="C3532" s="0" t="s">
        <v>2339</v>
      </c>
      <c r="D3532" s="0" t="s">
        <v>2105</v>
      </c>
      <c r="E3532" s="0" t="s">
        <v>2045</v>
      </c>
      <c r="F3532" s="0" t="s">
        <v>2256</v>
      </c>
      <c r="G3532" s="0" t="s">
        <v>2266</v>
      </c>
      <c r="H3532" s="0" t="s">
        <v>2267</v>
      </c>
      <c r="J3532" s="0" t="s">
        <v>2346</v>
      </c>
      <c r="K3532" s="272" t="n">
        <v>16356.2086742341</v>
      </c>
    </row>
    <row r="3533" customFormat="false" ht="15" hidden="false" customHeight="false" outlineLevel="0" collapsed="false">
      <c r="A3533" s="0" t="s">
        <v>2041</v>
      </c>
      <c r="B3533" s="0" t="s">
        <v>2042</v>
      </c>
      <c r="C3533" s="0" t="s">
        <v>2339</v>
      </c>
      <c r="D3533" s="0" t="s">
        <v>2105</v>
      </c>
      <c r="E3533" s="0" t="s">
        <v>2045</v>
      </c>
      <c r="F3533" s="0" t="s">
        <v>2268</v>
      </c>
      <c r="G3533" s="0" t="s">
        <v>2269</v>
      </c>
      <c r="H3533" s="0" t="s">
        <v>2270</v>
      </c>
      <c r="J3533" s="0" t="s">
        <v>2346</v>
      </c>
      <c r="K3533" s="272" t="n">
        <v>7182.6760308867</v>
      </c>
    </row>
    <row r="3534" customFormat="false" ht="15" hidden="false" customHeight="false" outlineLevel="0" collapsed="false">
      <c r="A3534" s="0" t="s">
        <v>2041</v>
      </c>
      <c r="B3534" s="0" t="s">
        <v>2042</v>
      </c>
      <c r="C3534" s="0" t="s">
        <v>2339</v>
      </c>
      <c r="D3534" s="0" t="s">
        <v>2105</v>
      </c>
      <c r="E3534" s="0" t="s">
        <v>2045</v>
      </c>
      <c r="F3534" s="0" t="s">
        <v>2150</v>
      </c>
      <c r="G3534" s="0" t="s">
        <v>2151</v>
      </c>
      <c r="H3534" s="0" t="s">
        <v>2271</v>
      </c>
      <c r="J3534" s="0" t="s">
        <v>2346</v>
      </c>
      <c r="K3534" s="272" t="n">
        <v>163.64189366995</v>
      </c>
    </row>
    <row r="3535" customFormat="false" ht="15" hidden="false" customHeight="false" outlineLevel="0" collapsed="false">
      <c r="A3535" s="0" t="s">
        <v>2041</v>
      </c>
      <c r="B3535" s="0" t="s">
        <v>2042</v>
      </c>
      <c r="C3535" s="0" t="s">
        <v>2339</v>
      </c>
      <c r="D3535" s="0" t="s">
        <v>2105</v>
      </c>
      <c r="E3535" s="0" t="s">
        <v>2045</v>
      </c>
      <c r="F3535" s="0" t="s">
        <v>2150</v>
      </c>
      <c r="G3535" s="0" t="s">
        <v>2151</v>
      </c>
      <c r="H3535" s="0" t="s">
        <v>2152</v>
      </c>
      <c r="J3535" s="0" t="s">
        <v>2346</v>
      </c>
      <c r="K3535" s="272" t="n">
        <v>16541.0611778696</v>
      </c>
    </row>
    <row r="3536" customFormat="false" ht="15" hidden="false" customHeight="false" outlineLevel="0" collapsed="false">
      <c r="A3536" s="0" t="s">
        <v>2041</v>
      </c>
      <c r="B3536" s="0" t="s">
        <v>2042</v>
      </c>
      <c r="C3536" s="0" t="s">
        <v>2339</v>
      </c>
      <c r="D3536" s="0" t="s">
        <v>2105</v>
      </c>
      <c r="E3536" s="0" t="s">
        <v>2045</v>
      </c>
      <c r="F3536" s="0" t="s">
        <v>2150</v>
      </c>
      <c r="G3536" s="0" t="s">
        <v>2151</v>
      </c>
      <c r="H3536" s="0" t="s">
        <v>2273</v>
      </c>
      <c r="J3536" s="0" t="s">
        <v>2346</v>
      </c>
      <c r="K3536" s="272" t="n">
        <v>163.64189366995</v>
      </c>
    </row>
    <row r="3537" customFormat="false" ht="15" hidden="false" customHeight="false" outlineLevel="0" collapsed="false">
      <c r="A3537" s="0" t="s">
        <v>2041</v>
      </c>
      <c r="B3537" s="0" t="s">
        <v>2042</v>
      </c>
      <c r="C3537" s="0" t="s">
        <v>2339</v>
      </c>
      <c r="D3537" s="0" t="s">
        <v>2105</v>
      </c>
      <c r="E3537" s="0" t="s">
        <v>2045</v>
      </c>
      <c r="F3537" s="0" t="s">
        <v>2150</v>
      </c>
      <c r="G3537" s="0" t="s">
        <v>2151</v>
      </c>
      <c r="H3537" s="0" t="s">
        <v>2153</v>
      </c>
      <c r="J3537" s="0" t="s">
        <v>2346</v>
      </c>
      <c r="K3537" s="272" t="n">
        <v>5199.2529262824</v>
      </c>
    </row>
    <row r="3538" customFormat="false" ht="15" hidden="false" customHeight="false" outlineLevel="0" collapsed="false">
      <c r="A3538" s="0" t="s">
        <v>2041</v>
      </c>
      <c r="B3538" s="0" t="s">
        <v>2042</v>
      </c>
      <c r="C3538" s="0" t="s">
        <v>2339</v>
      </c>
      <c r="D3538" s="0" t="s">
        <v>2105</v>
      </c>
      <c r="E3538" s="0" t="s">
        <v>2045</v>
      </c>
      <c r="F3538" s="0" t="s">
        <v>2150</v>
      </c>
      <c r="G3538" s="0" t="s">
        <v>2151</v>
      </c>
      <c r="H3538" s="0" t="s">
        <v>2154</v>
      </c>
      <c r="J3538" s="0" t="s">
        <v>2346</v>
      </c>
      <c r="K3538" s="272" t="n">
        <v>572.543127792105</v>
      </c>
    </row>
    <row r="3539" customFormat="false" ht="15" hidden="false" customHeight="false" outlineLevel="0" collapsed="false">
      <c r="A3539" s="0" t="s">
        <v>2041</v>
      </c>
      <c r="B3539" s="0" t="s">
        <v>2042</v>
      </c>
      <c r="C3539" s="0" t="s">
        <v>2339</v>
      </c>
      <c r="D3539" s="0" t="s">
        <v>2105</v>
      </c>
      <c r="E3539" s="0" t="s">
        <v>2045</v>
      </c>
      <c r="F3539" s="0" t="s">
        <v>2150</v>
      </c>
      <c r="G3539" s="0" t="s">
        <v>2155</v>
      </c>
      <c r="H3539" s="0" t="s">
        <v>2154</v>
      </c>
      <c r="J3539" s="0" t="s">
        <v>2346</v>
      </c>
      <c r="K3539" s="272" t="n">
        <v>6007.50036148572</v>
      </c>
    </row>
    <row r="3540" customFormat="false" ht="15" hidden="false" customHeight="false" outlineLevel="0" collapsed="false">
      <c r="A3540" s="0" t="s">
        <v>2041</v>
      </c>
      <c r="B3540" s="0" t="s">
        <v>2042</v>
      </c>
      <c r="C3540" s="0" t="s">
        <v>2339</v>
      </c>
      <c r="D3540" s="0" t="s">
        <v>2105</v>
      </c>
      <c r="E3540" s="0" t="s">
        <v>2045</v>
      </c>
      <c r="F3540" s="0" t="s">
        <v>2150</v>
      </c>
      <c r="G3540" s="0" t="s">
        <v>2332</v>
      </c>
      <c r="H3540" s="0" t="s">
        <v>2152</v>
      </c>
      <c r="J3540" s="0" t="s">
        <v>2346</v>
      </c>
      <c r="K3540" s="272" t="n">
        <v>1790.38380870196</v>
      </c>
    </row>
    <row r="3541" customFormat="false" ht="15" hidden="false" customHeight="false" outlineLevel="0" collapsed="false">
      <c r="A3541" s="0" t="s">
        <v>2041</v>
      </c>
      <c r="B3541" s="0" t="s">
        <v>2042</v>
      </c>
      <c r="C3541" s="0" t="s">
        <v>2339</v>
      </c>
      <c r="D3541" s="0" t="s">
        <v>2105</v>
      </c>
      <c r="E3541" s="0" t="s">
        <v>2274</v>
      </c>
      <c r="F3541" s="0" t="s">
        <v>2275</v>
      </c>
      <c r="G3541" s="0" t="s">
        <v>2276</v>
      </c>
      <c r="H3541" s="0" t="s">
        <v>2277</v>
      </c>
      <c r="J3541" s="0" t="s">
        <v>2346</v>
      </c>
      <c r="K3541" s="272" t="n">
        <v>5036.87510958226</v>
      </c>
    </row>
    <row r="3542" customFormat="false" ht="15" hidden="false" customHeight="false" outlineLevel="0" collapsed="false">
      <c r="A3542" s="0" t="s">
        <v>2041</v>
      </c>
      <c r="B3542" s="0" t="s">
        <v>2042</v>
      </c>
      <c r="C3542" s="0" t="s">
        <v>2339</v>
      </c>
      <c r="D3542" s="0" t="s">
        <v>2334</v>
      </c>
      <c r="E3542" s="0" t="s">
        <v>2279</v>
      </c>
      <c r="F3542" s="0" t="s">
        <v>2280</v>
      </c>
      <c r="G3542" s="0" t="s">
        <v>2281</v>
      </c>
      <c r="H3542" s="0" t="s">
        <v>2287</v>
      </c>
      <c r="J3542" s="0" t="s">
        <v>2346</v>
      </c>
      <c r="K3542" s="272" t="n">
        <v>335.39705221542</v>
      </c>
    </row>
    <row r="3543" customFormat="false" ht="15" hidden="false" customHeight="false" outlineLevel="0" collapsed="false">
      <c r="A3543" s="0" t="s">
        <v>2041</v>
      </c>
      <c r="B3543" s="0" t="s">
        <v>2042</v>
      </c>
      <c r="C3543" s="0" t="s">
        <v>2339</v>
      </c>
      <c r="D3543" s="0" t="s">
        <v>2334</v>
      </c>
      <c r="E3543" s="0" t="s">
        <v>2279</v>
      </c>
      <c r="F3543" s="0" t="s">
        <v>2292</v>
      </c>
      <c r="G3543" s="0" t="s">
        <v>2293</v>
      </c>
      <c r="H3543" s="0" t="s">
        <v>2200</v>
      </c>
      <c r="J3543" s="0" t="s">
        <v>2346</v>
      </c>
      <c r="K3543" s="272" t="n">
        <v>205.366088785463</v>
      </c>
    </row>
    <row r="3544" customFormat="false" ht="15" hidden="false" customHeight="false" outlineLevel="0" collapsed="false">
      <c r="A3544" s="0" t="s">
        <v>2041</v>
      </c>
      <c r="B3544" s="0" t="s">
        <v>2042</v>
      </c>
      <c r="C3544" s="0" t="s">
        <v>2339</v>
      </c>
      <c r="D3544" s="0" t="s">
        <v>2334</v>
      </c>
      <c r="E3544" s="0" t="s">
        <v>2279</v>
      </c>
      <c r="F3544" s="0" t="s">
        <v>2292</v>
      </c>
      <c r="G3544" s="0" t="s">
        <v>2293</v>
      </c>
      <c r="H3544" s="0" t="s">
        <v>2202</v>
      </c>
      <c r="J3544" s="0" t="s">
        <v>2346</v>
      </c>
      <c r="K3544" s="272" t="n">
        <v>110.58185437693</v>
      </c>
    </row>
    <row r="3545" customFormat="false" ht="15" hidden="false" customHeight="false" outlineLevel="0" collapsed="false">
      <c r="A3545" s="0" t="s">
        <v>2041</v>
      </c>
      <c r="B3545" s="0" t="s">
        <v>2042</v>
      </c>
      <c r="C3545" s="0" t="s">
        <v>2339</v>
      </c>
      <c r="D3545" s="0" t="s">
        <v>2334</v>
      </c>
      <c r="E3545" s="0" t="s">
        <v>2279</v>
      </c>
      <c r="F3545" s="0" t="s">
        <v>2292</v>
      </c>
      <c r="G3545" s="0" t="s">
        <v>2293</v>
      </c>
      <c r="H3545" s="0" t="s">
        <v>2314</v>
      </c>
      <c r="J3545" s="0" t="s">
        <v>2346</v>
      </c>
      <c r="K3545" s="272" t="n">
        <v>572.543127792105</v>
      </c>
    </row>
    <row r="3546" customFormat="false" ht="15" hidden="false" customHeight="false" outlineLevel="0" collapsed="false">
      <c r="A3546" s="0" t="s">
        <v>2041</v>
      </c>
      <c r="B3546" s="0" t="s">
        <v>2042</v>
      </c>
      <c r="C3546" s="0" t="s">
        <v>2339</v>
      </c>
      <c r="D3546" s="0" t="s">
        <v>2334</v>
      </c>
      <c r="E3546" s="0" t="s">
        <v>2279</v>
      </c>
      <c r="F3546" s="0" t="s">
        <v>2292</v>
      </c>
      <c r="G3546" s="0" t="s">
        <v>2293</v>
      </c>
      <c r="H3546" s="0" t="s">
        <v>2318</v>
      </c>
      <c r="J3546" s="0" t="s">
        <v>2346</v>
      </c>
      <c r="K3546" s="272" t="n">
        <v>315.947943162393</v>
      </c>
    </row>
    <row r="3547" customFormat="false" ht="15" hidden="false" customHeight="false" outlineLevel="0" collapsed="false">
      <c r="A3547" s="0" t="s">
        <v>2041</v>
      </c>
      <c r="B3547" s="0" t="s">
        <v>2042</v>
      </c>
      <c r="C3547" s="0" t="s">
        <v>2339</v>
      </c>
      <c r="D3547" s="0" t="s">
        <v>2044</v>
      </c>
      <c r="E3547" s="0" t="s">
        <v>2045</v>
      </c>
      <c r="F3547" s="0" t="s">
        <v>2046</v>
      </c>
      <c r="G3547" s="0" t="s">
        <v>2047</v>
      </c>
      <c r="H3547" s="0" t="s">
        <v>2048</v>
      </c>
      <c r="J3547" s="0" t="s">
        <v>2346</v>
      </c>
      <c r="K3547" s="272" t="n">
        <v>86.4344192892511</v>
      </c>
    </row>
    <row r="3548" customFormat="false" ht="15" hidden="false" customHeight="false" outlineLevel="0" collapsed="false">
      <c r="A3548" s="0" t="s">
        <v>2041</v>
      </c>
      <c r="B3548" s="0" t="s">
        <v>2042</v>
      </c>
      <c r="C3548" s="0" t="s">
        <v>2339</v>
      </c>
      <c r="D3548" s="0" t="s">
        <v>2044</v>
      </c>
      <c r="E3548" s="0" t="s">
        <v>2045</v>
      </c>
      <c r="F3548" s="0" t="s">
        <v>2051</v>
      </c>
      <c r="G3548" s="0" t="s">
        <v>2047</v>
      </c>
      <c r="H3548" s="0" t="s">
        <v>2052</v>
      </c>
      <c r="J3548" s="0" t="s">
        <v>2346</v>
      </c>
      <c r="K3548" s="272" t="n">
        <v>21.6086976599281</v>
      </c>
    </row>
    <row r="3549" customFormat="false" ht="15" hidden="false" customHeight="false" outlineLevel="0" collapsed="false">
      <c r="A3549" s="0" t="s">
        <v>2041</v>
      </c>
      <c r="B3549" s="0" t="s">
        <v>2042</v>
      </c>
      <c r="C3549" s="0" t="s">
        <v>2339</v>
      </c>
      <c r="D3549" s="0" t="s">
        <v>2044</v>
      </c>
      <c r="E3549" s="0" t="s">
        <v>2045</v>
      </c>
      <c r="F3549" s="0" t="s">
        <v>2046</v>
      </c>
      <c r="G3549" s="0" t="s">
        <v>2053</v>
      </c>
      <c r="H3549" s="0" t="s">
        <v>2048</v>
      </c>
      <c r="J3549" s="0" t="s">
        <v>2346</v>
      </c>
      <c r="K3549" s="272" t="n">
        <v>317.441329041966</v>
      </c>
    </row>
    <row r="3550" customFormat="false" ht="15" hidden="false" customHeight="false" outlineLevel="0" collapsed="false">
      <c r="A3550" s="0" t="s">
        <v>2041</v>
      </c>
      <c r="B3550" s="0" t="s">
        <v>2042</v>
      </c>
      <c r="C3550" s="0" t="s">
        <v>2339</v>
      </c>
      <c r="D3550" s="0" t="s">
        <v>2044</v>
      </c>
      <c r="E3550" s="0" t="s">
        <v>2045</v>
      </c>
      <c r="F3550" s="0" t="s">
        <v>2051</v>
      </c>
      <c r="G3550" s="0" t="s">
        <v>2053</v>
      </c>
      <c r="H3550" s="0" t="s">
        <v>2052</v>
      </c>
      <c r="J3550" s="0" t="s">
        <v>2346</v>
      </c>
      <c r="K3550" s="272" t="n">
        <v>8.13944508303274</v>
      </c>
    </row>
    <row r="3551" customFormat="false" ht="15" hidden="false" customHeight="false" outlineLevel="0" collapsed="false">
      <c r="A3551" s="0" t="s">
        <v>2041</v>
      </c>
      <c r="B3551" s="0" t="s">
        <v>2042</v>
      </c>
      <c r="C3551" s="0" t="s">
        <v>2339</v>
      </c>
      <c r="D3551" s="0" t="s">
        <v>2044</v>
      </c>
      <c r="E3551" s="0" t="s">
        <v>2045</v>
      </c>
      <c r="F3551" s="0" t="s">
        <v>2046</v>
      </c>
      <c r="G3551" s="0" t="s">
        <v>2054</v>
      </c>
      <c r="H3551" s="0" t="s">
        <v>2048</v>
      </c>
      <c r="J3551" s="0" t="s">
        <v>2346</v>
      </c>
      <c r="K3551" s="272" t="n">
        <v>138.371866138171</v>
      </c>
    </row>
    <row r="3552" customFormat="false" ht="15" hidden="false" customHeight="false" outlineLevel="0" collapsed="false">
      <c r="A3552" s="0" t="s">
        <v>2041</v>
      </c>
      <c r="B3552" s="0" t="s">
        <v>2042</v>
      </c>
      <c r="C3552" s="0" t="s">
        <v>2339</v>
      </c>
      <c r="D3552" s="0" t="s">
        <v>2044</v>
      </c>
      <c r="E3552" s="0" t="s">
        <v>2045</v>
      </c>
      <c r="F3552" s="0" t="s">
        <v>2051</v>
      </c>
      <c r="G3552" s="0" t="s">
        <v>2054</v>
      </c>
      <c r="H3552" s="0" t="s">
        <v>2052</v>
      </c>
      <c r="J3552" s="0" t="s">
        <v>2346</v>
      </c>
      <c r="K3552" s="272" t="n">
        <v>24.4185209243288</v>
      </c>
    </row>
    <row r="3553" customFormat="false" ht="15" hidden="false" customHeight="false" outlineLevel="0" collapsed="false">
      <c r="A3553" s="0" t="s">
        <v>2041</v>
      </c>
      <c r="B3553" s="0" t="s">
        <v>2042</v>
      </c>
      <c r="C3553" s="0" t="s">
        <v>2339</v>
      </c>
      <c r="D3553" s="0" t="s">
        <v>2044</v>
      </c>
      <c r="E3553" s="0" t="s">
        <v>2045</v>
      </c>
      <c r="F3553" s="0" t="s">
        <v>2046</v>
      </c>
      <c r="G3553" s="0" t="s">
        <v>2055</v>
      </c>
      <c r="H3553" s="0" t="s">
        <v>2048</v>
      </c>
      <c r="J3553" s="0" t="s">
        <v>2346</v>
      </c>
      <c r="K3553" s="272" t="n">
        <v>67.708329584112</v>
      </c>
    </row>
    <row r="3554" customFormat="false" ht="15" hidden="false" customHeight="false" outlineLevel="0" collapsed="false">
      <c r="A3554" s="0" t="s">
        <v>2041</v>
      </c>
      <c r="B3554" s="0" t="s">
        <v>2042</v>
      </c>
      <c r="C3554" s="0" t="s">
        <v>2339</v>
      </c>
      <c r="D3554" s="0" t="s">
        <v>2044</v>
      </c>
      <c r="E3554" s="0" t="s">
        <v>2045</v>
      </c>
      <c r="F3554" s="0" t="s">
        <v>2051</v>
      </c>
      <c r="G3554" s="0" t="s">
        <v>2055</v>
      </c>
      <c r="H3554" s="0" t="s">
        <v>2052</v>
      </c>
      <c r="J3554" s="0" t="s">
        <v>2346</v>
      </c>
      <c r="K3554" s="272" t="n">
        <v>203.125174427567</v>
      </c>
    </row>
    <row r="3555" customFormat="false" ht="15" hidden="false" customHeight="false" outlineLevel="0" collapsed="false">
      <c r="A3555" s="0" t="s">
        <v>2041</v>
      </c>
      <c r="B3555" s="0" t="s">
        <v>2042</v>
      </c>
      <c r="C3555" s="0" t="s">
        <v>2339</v>
      </c>
      <c r="D3555" s="0" t="s">
        <v>2044</v>
      </c>
      <c r="E3555" s="0" t="s">
        <v>2045</v>
      </c>
      <c r="F3555" s="0" t="s">
        <v>2046</v>
      </c>
      <c r="G3555" s="0" t="s">
        <v>2056</v>
      </c>
      <c r="H3555" s="0" t="s">
        <v>2048</v>
      </c>
      <c r="J3555" s="0" t="s">
        <v>2346</v>
      </c>
      <c r="K3555" s="272" t="n">
        <v>14.6510754195512</v>
      </c>
    </row>
    <row r="3556" customFormat="false" ht="15" hidden="false" customHeight="false" outlineLevel="0" collapsed="false">
      <c r="A3556" s="0" t="s">
        <v>2041</v>
      </c>
      <c r="B3556" s="0" t="s">
        <v>2042</v>
      </c>
      <c r="C3556" s="0" t="s">
        <v>2339</v>
      </c>
      <c r="D3556" s="0" t="s">
        <v>2044</v>
      </c>
      <c r="E3556" s="0" t="s">
        <v>2045</v>
      </c>
      <c r="F3556" s="0" t="s">
        <v>2051</v>
      </c>
      <c r="G3556" s="0" t="s">
        <v>2056</v>
      </c>
      <c r="H3556" s="0" t="s">
        <v>2052</v>
      </c>
      <c r="J3556" s="0" t="s">
        <v>2346</v>
      </c>
      <c r="K3556" s="272" t="n">
        <v>148.139311642948</v>
      </c>
    </row>
    <row r="3557" customFormat="false" ht="15" hidden="false" customHeight="false" outlineLevel="0" collapsed="false">
      <c r="A3557" s="0" t="s">
        <v>2041</v>
      </c>
      <c r="B3557" s="0" t="s">
        <v>2042</v>
      </c>
      <c r="C3557" s="0" t="s">
        <v>2339</v>
      </c>
      <c r="D3557" s="0" t="s">
        <v>2044</v>
      </c>
      <c r="E3557" s="0" t="s">
        <v>2045</v>
      </c>
      <c r="F3557" s="0" t="s">
        <v>2046</v>
      </c>
      <c r="G3557" s="0" t="s">
        <v>2057</v>
      </c>
      <c r="H3557" s="0" t="s">
        <v>2048</v>
      </c>
      <c r="J3557" s="0" t="s">
        <v>2346</v>
      </c>
      <c r="K3557" s="272" t="n">
        <v>135.416659168224</v>
      </c>
    </row>
    <row r="3558" customFormat="false" ht="15" hidden="false" customHeight="false" outlineLevel="0" collapsed="false">
      <c r="A3558" s="0" t="s">
        <v>2041</v>
      </c>
      <c r="B3558" s="0" t="s">
        <v>2042</v>
      </c>
      <c r="C3558" s="0" t="s">
        <v>2339</v>
      </c>
      <c r="D3558" s="0" t="s">
        <v>2044</v>
      </c>
      <c r="E3558" s="0" t="s">
        <v>2045</v>
      </c>
      <c r="F3558" s="0" t="s">
        <v>2051</v>
      </c>
      <c r="G3558" s="0" t="s">
        <v>2057</v>
      </c>
      <c r="H3558" s="0" t="s">
        <v>2052</v>
      </c>
      <c r="J3558" s="0" t="s">
        <v>2346</v>
      </c>
      <c r="K3558" s="272" t="n">
        <v>135.416844843455</v>
      </c>
    </row>
    <row r="3559" customFormat="false" ht="15" hidden="false" customHeight="false" outlineLevel="0" collapsed="false">
      <c r="A3559" s="0" t="s">
        <v>2041</v>
      </c>
      <c r="B3559" s="0" t="s">
        <v>2042</v>
      </c>
      <c r="C3559" s="0" t="s">
        <v>2339</v>
      </c>
      <c r="D3559" s="0" t="s">
        <v>2044</v>
      </c>
      <c r="E3559" s="0" t="s">
        <v>2045</v>
      </c>
      <c r="F3559" s="0" t="s">
        <v>2046</v>
      </c>
      <c r="G3559" s="0" t="s">
        <v>2058</v>
      </c>
      <c r="H3559" s="0" t="s">
        <v>2048</v>
      </c>
      <c r="J3559" s="0" t="s">
        <v>2346</v>
      </c>
      <c r="K3559" s="272" t="n">
        <v>130.232235379907</v>
      </c>
    </row>
    <row r="3560" customFormat="false" ht="15" hidden="false" customHeight="false" outlineLevel="0" collapsed="false">
      <c r="A3560" s="0" t="s">
        <v>2041</v>
      </c>
      <c r="B3560" s="0" t="s">
        <v>2042</v>
      </c>
      <c r="C3560" s="0" t="s">
        <v>2339</v>
      </c>
      <c r="D3560" s="0" t="s">
        <v>2044</v>
      </c>
      <c r="E3560" s="0" t="s">
        <v>2045</v>
      </c>
      <c r="F3560" s="0" t="s">
        <v>2051</v>
      </c>
      <c r="G3560" s="0" t="s">
        <v>2058</v>
      </c>
      <c r="H3560" s="0" t="s">
        <v>2052</v>
      </c>
      <c r="J3560" s="0" t="s">
        <v>2346</v>
      </c>
      <c r="K3560" s="272" t="n">
        <v>32.5581516825921</v>
      </c>
    </row>
    <row r="3561" customFormat="false" ht="15" hidden="false" customHeight="false" outlineLevel="0" collapsed="false">
      <c r="A3561" s="0" t="s">
        <v>2041</v>
      </c>
      <c r="B3561" s="0" t="s">
        <v>2042</v>
      </c>
      <c r="C3561" s="0" t="s">
        <v>2339</v>
      </c>
      <c r="D3561" s="0" t="s">
        <v>2044</v>
      </c>
      <c r="E3561" s="0" t="s">
        <v>2045</v>
      </c>
      <c r="F3561" s="0" t="s">
        <v>2046</v>
      </c>
      <c r="G3561" s="0" t="s">
        <v>2059</v>
      </c>
      <c r="H3561" s="0" t="s">
        <v>2048</v>
      </c>
      <c r="J3561" s="0" t="s">
        <v>2346</v>
      </c>
      <c r="K3561" s="272" t="n">
        <v>1.6582654843298</v>
      </c>
    </row>
    <row r="3562" customFormat="false" ht="15" hidden="false" customHeight="false" outlineLevel="0" collapsed="false">
      <c r="A3562" s="0" t="s">
        <v>2041</v>
      </c>
      <c r="B3562" s="0" t="s">
        <v>2042</v>
      </c>
      <c r="C3562" s="0" t="s">
        <v>2339</v>
      </c>
      <c r="D3562" s="0" t="s">
        <v>2044</v>
      </c>
      <c r="E3562" s="0" t="s">
        <v>2045</v>
      </c>
      <c r="F3562" s="0" t="s">
        <v>2051</v>
      </c>
      <c r="G3562" s="0" t="s">
        <v>2059</v>
      </c>
      <c r="H3562" s="0" t="s">
        <v>2052</v>
      </c>
      <c r="J3562" s="0" t="s">
        <v>2346</v>
      </c>
      <c r="K3562" s="272" t="n">
        <v>0.710579107438153</v>
      </c>
    </row>
    <row r="3563" customFormat="false" ht="15" hidden="false" customHeight="false" outlineLevel="0" collapsed="false">
      <c r="A3563" s="0" t="s">
        <v>2041</v>
      </c>
      <c r="B3563" s="0" t="s">
        <v>2042</v>
      </c>
      <c r="C3563" s="0" t="s">
        <v>2339</v>
      </c>
      <c r="D3563" s="0" t="s">
        <v>2044</v>
      </c>
      <c r="E3563" s="0" t="s">
        <v>2045</v>
      </c>
      <c r="F3563" s="0" t="s">
        <v>2046</v>
      </c>
      <c r="G3563" s="0" t="s">
        <v>2060</v>
      </c>
      <c r="H3563" s="0" t="s">
        <v>2048</v>
      </c>
      <c r="J3563" s="0" t="s">
        <v>2346</v>
      </c>
      <c r="K3563" s="272" t="n">
        <v>429.287817414392</v>
      </c>
    </row>
    <row r="3564" customFormat="false" ht="15" hidden="false" customHeight="false" outlineLevel="0" collapsed="false">
      <c r="A3564" s="0" t="s">
        <v>2041</v>
      </c>
      <c r="B3564" s="0" t="s">
        <v>2042</v>
      </c>
      <c r="C3564" s="0" t="s">
        <v>2339</v>
      </c>
      <c r="D3564" s="0" t="s">
        <v>2044</v>
      </c>
      <c r="E3564" s="0" t="s">
        <v>2045</v>
      </c>
      <c r="F3564" s="0" t="s">
        <v>2051</v>
      </c>
      <c r="G3564" s="0" t="s">
        <v>2060</v>
      </c>
      <c r="H3564" s="0" t="s">
        <v>2052</v>
      </c>
      <c r="J3564" s="0" t="s">
        <v>2346</v>
      </c>
      <c r="K3564" s="272" t="n">
        <v>4.33607365978656</v>
      </c>
    </row>
    <row r="3565" customFormat="false" ht="15" hidden="false" customHeight="false" outlineLevel="0" collapsed="false">
      <c r="A3565" s="0" t="s">
        <v>2041</v>
      </c>
      <c r="B3565" s="0" t="s">
        <v>2042</v>
      </c>
      <c r="C3565" s="0" t="s">
        <v>2339</v>
      </c>
      <c r="D3565" s="0" t="s">
        <v>2044</v>
      </c>
      <c r="E3565" s="0" t="s">
        <v>2045</v>
      </c>
      <c r="F3565" s="0" t="s">
        <v>2046</v>
      </c>
      <c r="G3565" s="0" t="s">
        <v>2061</v>
      </c>
      <c r="H3565" s="0" t="s">
        <v>2048</v>
      </c>
      <c r="J3565" s="0" t="s">
        <v>2346</v>
      </c>
      <c r="K3565" s="272" t="n">
        <v>424.951372404144</v>
      </c>
    </row>
    <row r="3566" customFormat="false" ht="15" hidden="false" customHeight="false" outlineLevel="0" collapsed="false">
      <c r="A3566" s="0" t="s">
        <v>2041</v>
      </c>
      <c r="B3566" s="0" t="s">
        <v>2042</v>
      </c>
      <c r="C3566" s="0" t="s">
        <v>2339</v>
      </c>
      <c r="D3566" s="0" t="s">
        <v>2044</v>
      </c>
      <c r="E3566" s="0" t="s">
        <v>2045</v>
      </c>
      <c r="F3566" s="0" t="s">
        <v>2051</v>
      </c>
      <c r="G3566" s="0" t="s">
        <v>2061</v>
      </c>
      <c r="H3566" s="0" t="s">
        <v>2052</v>
      </c>
      <c r="J3566" s="0" t="s">
        <v>2346</v>
      </c>
      <c r="K3566" s="272" t="n">
        <v>8.67251867003429</v>
      </c>
    </row>
    <row r="3567" customFormat="false" ht="15" hidden="false" customHeight="false" outlineLevel="0" collapsed="false">
      <c r="A3567" s="0" t="s">
        <v>2041</v>
      </c>
      <c r="B3567" s="0" t="s">
        <v>2042</v>
      </c>
      <c r="C3567" s="0" t="s">
        <v>2339</v>
      </c>
      <c r="D3567" s="0" t="s">
        <v>2044</v>
      </c>
      <c r="E3567" s="0" t="s">
        <v>2045</v>
      </c>
      <c r="F3567" s="0" t="s">
        <v>2046</v>
      </c>
      <c r="G3567" s="0" t="s">
        <v>2062</v>
      </c>
      <c r="H3567" s="0" t="s">
        <v>2048</v>
      </c>
      <c r="J3567" s="0" t="s">
        <v>2346</v>
      </c>
      <c r="K3567" s="272" t="n">
        <v>232.873131495297</v>
      </c>
    </row>
    <row r="3568" customFormat="false" ht="15" hidden="false" customHeight="false" outlineLevel="0" collapsed="false">
      <c r="A3568" s="0" t="s">
        <v>2041</v>
      </c>
      <c r="B3568" s="0" t="s">
        <v>2042</v>
      </c>
      <c r="C3568" s="0" t="s">
        <v>2339</v>
      </c>
      <c r="D3568" s="0" t="s">
        <v>2044</v>
      </c>
      <c r="E3568" s="0" t="s">
        <v>2045</v>
      </c>
      <c r="F3568" s="0" t="s">
        <v>2051</v>
      </c>
      <c r="G3568" s="0" t="s">
        <v>2062</v>
      </c>
      <c r="H3568" s="0" t="s">
        <v>2052</v>
      </c>
      <c r="J3568" s="0" t="s">
        <v>2346</v>
      </c>
      <c r="K3568" s="272" t="n">
        <v>37.9603725163818</v>
      </c>
    </row>
    <row r="3569" customFormat="false" ht="15" hidden="false" customHeight="false" outlineLevel="0" collapsed="false">
      <c r="A3569" s="0" t="s">
        <v>2041</v>
      </c>
      <c r="B3569" s="0" t="s">
        <v>2042</v>
      </c>
      <c r="C3569" s="0" t="s">
        <v>2339</v>
      </c>
      <c r="D3569" s="0" t="s">
        <v>2044</v>
      </c>
      <c r="E3569" s="0" t="s">
        <v>2045</v>
      </c>
      <c r="F3569" s="0" t="s">
        <v>2046</v>
      </c>
      <c r="G3569" s="0" t="s">
        <v>2063</v>
      </c>
      <c r="H3569" s="0" t="s">
        <v>2048</v>
      </c>
      <c r="J3569" s="0" t="s">
        <v>2346</v>
      </c>
      <c r="K3569" s="272" t="n">
        <v>260.047072841466</v>
      </c>
    </row>
    <row r="3570" customFormat="false" ht="15" hidden="false" customHeight="false" outlineLevel="0" collapsed="false">
      <c r="A3570" s="0" t="s">
        <v>2041</v>
      </c>
      <c r="B3570" s="0" t="s">
        <v>2042</v>
      </c>
      <c r="C3570" s="0" t="s">
        <v>2339</v>
      </c>
      <c r="D3570" s="0" t="s">
        <v>2044</v>
      </c>
      <c r="E3570" s="0" t="s">
        <v>2045</v>
      </c>
      <c r="F3570" s="0" t="s">
        <v>2051</v>
      </c>
      <c r="G3570" s="0" t="s">
        <v>2063</v>
      </c>
      <c r="H3570" s="0" t="s">
        <v>2052</v>
      </c>
      <c r="J3570" s="0" t="s">
        <v>2346</v>
      </c>
      <c r="K3570" s="272" t="n">
        <v>65.0117682103664</v>
      </c>
    </row>
    <row r="3571" customFormat="false" ht="15" hidden="false" customHeight="false" outlineLevel="0" collapsed="false">
      <c r="A3571" s="0" t="s">
        <v>2041</v>
      </c>
      <c r="B3571" s="0" t="s">
        <v>2042</v>
      </c>
      <c r="C3571" s="0" t="s">
        <v>2339</v>
      </c>
      <c r="D3571" s="0" t="s">
        <v>2044</v>
      </c>
      <c r="E3571" s="0" t="s">
        <v>2045</v>
      </c>
      <c r="F3571" s="0" t="s">
        <v>2046</v>
      </c>
      <c r="G3571" s="0" t="s">
        <v>2064</v>
      </c>
      <c r="H3571" s="0" t="s">
        <v>2048</v>
      </c>
      <c r="J3571" s="0" t="s">
        <v>2346</v>
      </c>
      <c r="K3571" s="272" t="n">
        <v>471.656491255256</v>
      </c>
    </row>
    <row r="3572" customFormat="false" ht="15" hidden="false" customHeight="false" outlineLevel="0" collapsed="false">
      <c r="A3572" s="0" t="s">
        <v>2041</v>
      </c>
      <c r="B3572" s="0" t="s">
        <v>2042</v>
      </c>
      <c r="C3572" s="0" t="s">
        <v>2339</v>
      </c>
      <c r="D3572" s="0" t="s">
        <v>2044</v>
      </c>
      <c r="E3572" s="0" t="s">
        <v>2045</v>
      </c>
      <c r="F3572" s="0" t="s">
        <v>2051</v>
      </c>
      <c r="G3572" s="0" t="s">
        <v>2064</v>
      </c>
      <c r="H3572" s="0" t="s">
        <v>2052</v>
      </c>
      <c r="J3572" s="0" t="s">
        <v>2346</v>
      </c>
      <c r="K3572" s="272" t="n">
        <v>395.5912908931</v>
      </c>
    </row>
    <row r="3573" customFormat="false" ht="15" hidden="false" customHeight="false" outlineLevel="0" collapsed="false">
      <c r="A3573" s="0" t="s">
        <v>2041</v>
      </c>
      <c r="B3573" s="0" t="s">
        <v>2042</v>
      </c>
      <c r="C3573" s="0" t="s">
        <v>2339</v>
      </c>
      <c r="D3573" s="0" t="s">
        <v>2044</v>
      </c>
      <c r="E3573" s="0" t="s">
        <v>2045</v>
      </c>
      <c r="F3573" s="0" t="s">
        <v>2046</v>
      </c>
      <c r="G3573" s="0" t="s">
        <v>2065</v>
      </c>
      <c r="H3573" s="0" t="s">
        <v>2048</v>
      </c>
      <c r="J3573" s="0" t="s">
        <v>2346</v>
      </c>
      <c r="K3573" s="272" t="n">
        <v>161.162572315985</v>
      </c>
    </row>
    <row r="3574" customFormat="false" ht="15" hidden="false" customHeight="false" outlineLevel="0" collapsed="false">
      <c r="A3574" s="0" t="s">
        <v>2041</v>
      </c>
      <c r="B3574" s="0" t="s">
        <v>2042</v>
      </c>
      <c r="C3574" s="0" t="s">
        <v>2339</v>
      </c>
      <c r="D3574" s="0" t="s">
        <v>2044</v>
      </c>
      <c r="E3574" s="0" t="s">
        <v>2045</v>
      </c>
      <c r="F3574" s="0" t="s">
        <v>2051</v>
      </c>
      <c r="G3574" s="0" t="s">
        <v>2065</v>
      </c>
      <c r="H3574" s="0" t="s">
        <v>2052</v>
      </c>
      <c r="J3574" s="0" t="s">
        <v>2346</v>
      </c>
      <c r="K3574" s="272" t="n">
        <v>1.62781474651432</v>
      </c>
    </row>
    <row r="3575" customFormat="false" ht="15" hidden="false" customHeight="false" outlineLevel="0" collapsed="false">
      <c r="A3575" s="0" t="s">
        <v>2041</v>
      </c>
      <c r="B3575" s="0" t="s">
        <v>2042</v>
      </c>
      <c r="C3575" s="0" t="s">
        <v>2339</v>
      </c>
      <c r="D3575" s="0" t="s">
        <v>2044</v>
      </c>
      <c r="E3575" s="0" t="s">
        <v>2045</v>
      </c>
      <c r="F3575" s="0" t="s">
        <v>2046</v>
      </c>
      <c r="G3575" s="0" t="s">
        <v>2066</v>
      </c>
      <c r="H3575" s="0" t="s">
        <v>2048</v>
      </c>
      <c r="J3575" s="0" t="s">
        <v>2346</v>
      </c>
      <c r="K3575" s="272" t="n">
        <v>317.441329041966</v>
      </c>
    </row>
    <row r="3576" customFormat="false" ht="15" hidden="false" customHeight="false" outlineLevel="0" collapsed="false">
      <c r="A3576" s="0" t="s">
        <v>2041</v>
      </c>
      <c r="B3576" s="0" t="s">
        <v>2042</v>
      </c>
      <c r="C3576" s="0" t="s">
        <v>2339</v>
      </c>
      <c r="D3576" s="0" t="s">
        <v>2044</v>
      </c>
      <c r="E3576" s="0" t="s">
        <v>2045</v>
      </c>
      <c r="F3576" s="0" t="s">
        <v>2051</v>
      </c>
      <c r="G3576" s="0" t="s">
        <v>2066</v>
      </c>
      <c r="H3576" s="0" t="s">
        <v>2052</v>
      </c>
      <c r="J3576" s="0" t="s">
        <v>2346</v>
      </c>
      <c r="K3576" s="272" t="n">
        <v>8.13944508303274</v>
      </c>
    </row>
    <row r="3577" customFormat="false" ht="15" hidden="false" customHeight="false" outlineLevel="0" collapsed="false">
      <c r="A3577" s="0" t="s">
        <v>2041</v>
      </c>
      <c r="B3577" s="0" t="s">
        <v>2042</v>
      </c>
      <c r="C3577" s="0" t="s">
        <v>2339</v>
      </c>
      <c r="D3577" s="0" t="s">
        <v>2044</v>
      </c>
      <c r="E3577" s="0" t="s">
        <v>2045</v>
      </c>
      <c r="F3577" s="0" t="s">
        <v>2051</v>
      </c>
      <c r="G3577" s="0" t="s">
        <v>2067</v>
      </c>
      <c r="H3577" s="0" t="s">
        <v>2052</v>
      </c>
      <c r="J3577" s="0" t="s">
        <v>2346</v>
      </c>
      <c r="K3577" s="272" t="n">
        <v>270.833504011679</v>
      </c>
    </row>
    <row r="3578" customFormat="false" ht="15" hidden="false" customHeight="false" outlineLevel="0" collapsed="false">
      <c r="A3578" s="0" t="s">
        <v>2041</v>
      </c>
      <c r="B3578" s="0" t="s">
        <v>2042</v>
      </c>
      <c r="C3578" s="0" t="s">
        <v>2339</v>
      </c>
      <c r="D3578" s="0" t="s">
        <v>2044</v>
      </c>
      <c r="E3578" s="0" t="s">
        <v>2045</v>
      </c>
      <c r="F3578" s="0" t="s">
        <v>2046</v>
      </c>
      <c r="G3578" s="0" t="s">
        <v>2068</v>
      </c>
      <c r="H3578" s="0" t="s">
        <v>2048</v>
      </c>
      <c r="J3578" s="0" t="s">
        <v>2346</v>
      </c>
      <c r="K3578" s="272" t="n">
        <v>520.493904454375</v>
      </c>
    </row>
    <row r="3579" customFormat="false" ht="15" hidden="false" customHeight="false" outlineLevel="0" collapsed="false">
      <c r="A3579" s="0" t="s">
        <v>2041</v>
      </c>
      <c r="B3579" s="0" t="s">
        <v>2042</v>
      </c>
      <c r="C3579" s="0" t="s">
        <v>2339</v>
      </c>
      <c r="D3579" s="0" t="s">
        <v>2044</v>
      </c>
      <c r="E3579" s="0" t="s">
        <v>2045</v>
      </c>
      <c r="F3579" s="0" t="s">
        <v>2051</v>
      </c>
      <c r="G3579" s="0" t="s">
        <v>2068</v>
      </c>
      <c r="H3579" s="0" t="s">
        <v>2052</v>
      </c>
      <c r="J3579" s="0" t="s">
        <v>2346</v>
      </c>
      <c r="K3579" s="272" t="n">
        <v>75.9203736823024</v>
      </c>
    </row>
    <row r="3580" customFormat="false" ht="15" hidden="false" customHeight="false" outlineLevel="0" collapsed="false">
      <c r="A3580" s="0" t="s">
        <v>2041</v>
      </c>
      <c r="B3580" s="0" t="s">
        <v>2042</v>
      </c>
      <c r="C3580" s="0" t="s">
        <v>2339</v>
      </c>
      <c r="D3580" s="0" t="s">
        <v>2044</v>
      </c>
      <c r="E3580" s="0" t="s">
        <v>2045</v>
      </c>
      <c r="F3580" s="0" t="s">
        <v>2046</v>
      </c>
      <c r="G3580" s="0" t="s">
        <v>2069</v>
      </c>
      <c r="H3580" s="0" t="s">
        <v>2048</v>
      </c>
      <c r="J3580" s="0" t="s">
        <v>2346</v>
      </c>
      <c r="K3580" s="272" t="n">
        <v>162.790387062499</v>
      </c>
    </row>
    <row r="3581" customFormat="false" ht="15" hidden="false" customHeight="false" outlineLevel="0" collapsed="false">
      <c r="A3581" s="0" t="s">
        <v>2041</v>
      </c>
      <c r="B3581" s="0" t="s">
        <v>2042</v>
      </c>
      <c r="C3581" s="0" t="s">
        <v>2339</v>
      </c>
      <c r="D3581" s="0" t="s">
        <v>2044</v>
      </c>
      <c r="E3581" s="0" t="s">
        <v>2045</v>
      </c>
      <c r="F3581" s="0" t="s">
        <v>2046</v>
      </c>
      <c r="G3581" s="0" t="s">
        <v>2070</v>
      </c>
      <c r="H3581" s="0" t="s">
        <v>2048</v>
      </c>
      <c r="J3581" s="0" t="s">
        <v>2346</v>
      </c>
      <c r="K3581" s="272" t="n">
        <v>121.729795221086</v>
      </c>
    </row>
    <row r="3582" customFormat="false" ht="15" hidden="false" customHeight="false" outlineLevel="0" collapsed="false">
      <c r="A3582" s="0" t="s">
        <v>2041</v>
      </c>
      <c r="B3582" s="0" t="s">
        <v>2042</v>
      </c>
      <c r="C3582" s="0" t="s">
        <v>2339</v>
      </c>
      <c r="D3582" s="0" t="s">
        <v>2044</v>
      </c>
      <c r="E3582" s="0" t="s">
        <v>2045</v>
      </c>
      <c r="F3582" s="0" t="s">
        <v>2051</v>
      </c>
      <c r="G3582" s="0" t="s">
        <v>2070</v>
      </c>
      <c r="H3582" s="0" t="s">
        <v>2052</v>
      </c>
      <c r="J3582" s="0" t="s">
        <v>2346</v>
      </c>
      <c r="K3582" s="272" t="n">
        <v>257.146825739772</v>
      </c>
    </row>
    <row r="3583" customFormat="false" ht="15" hidden="false" customHeight="false" outlineLevel="0" collapsed="false">
      <c r="A3583" s="0" t="s">
        <v>2041</v>
      </c>
      <c r="B3583" s="0" t="s">
        <v>2042</v>
      </c>
      <c r="C3583" s="0" t="s">
        <v>2339</v>
      </c>
      <c r="D3583" s="0" t="s">
        <v>2044</v>
      </c>
      <c r="E3583" s="0" t="s">
        <v>2045</v>
      </c>
      <c r="F3583" s="0" t="s">
        <v>2046</v>
      </c>
      <c r="G3583" s="0" t="s">
        <v>2071</v>
      </c>
      <c r="H3583" s="0" t="s">
        <v>2048</v>
      </c>
      <c r="J3583" s="0" t="s">
        <v>2346</v>
      </c>
      <c r="K3583" s="272" t="n">
        <v>107.622562551911</v>
      </c>
    </row>
    <row r="3584" customFormat="false" ht="15" hidden="false" customHeight="false" outlineLevel="0" collapsed="false">
      <c r="A3584" s="0" t="s">
        <v>2041</v>
      </c>
      <c r="B3584" s="0" t="s">
        <v>2042</v>
      </c>
      <c r="C3584" s="0" t="s">
        <v>2339</v>
      </c>
      <c r="D3584" s="0" t="s">
        <v>2044</v>
      </c>
      <c r="E3584" s="0" t="s">
        <v>2045</v>
      </c>
      <c r="F3584" s="0" t="s">
        <v>2051</v>
      </c>
      <c r="G3584" s="0" t="s">
        <v>2071</v>
      </c>
      <c r="H3584" s="0" t="s">
        <v>2052</v>
      </c>
      <c r="J3584" s="0" t="s">
        <v>2346</v>
      </c>
      <c r="K3584" s="272" t="n">
        <v>18.9921623105635</v>
      </c>
    </row>
    <row r="3585" customFormat="false" ht="15" hidden="false" customHeight="false" outlineLevel="0" collapsed="false">
      <c r="A3585" s="0" t="s">
        <v>2041</v>
      </c>
      <c r="B3585" s="0" t="s">
        <v>2042</v>
      </c>
      <c r="C3585" s="0" t="s">
        <v>2339</v>
      </c>
      <c r="D3585" s="0" t="s">
        <v>2044</v>
      </c>
      <c r="E3585" s="0" t="s">
        <v>2045</v>
      </c>
      <c r="F3585" s="0" t="s">
        <v>2046</v>
      </c>
      <c r="G3585" s="0" t="s">
        <v>2072</v>
      </c>
      <c r="H3585" s="0" t="s">
        <v>2048</v>
      </c>
      <c r="J3585" s="0" t="s">
        <v>2346</v>
      </c>
      <c r="K3585" s="272" t="n">
        <v>161.763974387841</v>
      </c>
    </row>
    <row r="3586" customFormat="false" ht="15" hidden="false" customHeight="false" outlineLevel="0" collapsed="false">
      <c r="A3586" s="0" t="s">
        <v>2041</v>
      </c>
      <c r="B3586" s="0" t="s">
        <v>2042</v>
      </c>
      <c r="C3586" s="0" t="s">
        <v>2339</v>
      </c>
      <c r="D3586" s="0" t="s">
        <v>2044</v>
      </c>
      <c r="E3586" s="0" t="s">
        <v>2045</v>
      </c>
      <c r="F3586" s="0" t="s">
        <v>2051</v>
      </c>
      <c r="G3586" s="0" t="s">
        <v>2072</v>
      </c>
      <c r="H3586" s="0" t="s">
        <v>2052</v>
      </c>
      <c r="J3586" s="0" t="s">
        <v>2346</v>
      </c>
      <c r="K3586" s="272" t="n">
        <v>217.112646573017</v>
      </c>
    </row>
    <row r="3587" customFormat="false" ht="15" hidden="false" customHeight="false" outlineLevel="0" collapsed="false">
      <c r="A3587" s="0" t="s">
        <v>2041</v>
      </c>
      <c r="B3587" s="0" t="s">
        <v>2042</v>
      </c>
      <c r="C3587" s="0" t="s">
        <v>2339</v>
      </c>
      <c r="D3587" s="0" t="s">
        <v>2044</v>
      </c>
      <c r="E3587" s="0" t="s">
        <v>2045</v>
      </c>
      <c r="F3587" s="0" t="s">
        <v>2046</v>
      </c>
      <c r="G3587" s="0" t="s">
        <v>2073</v>
      </c>
      <c r="H3587" s="0" t="s">
        <v>2048</v>
      </c>
      <c r="J3587" s="0" t="s">
        <v>2346</v>
      </c>
      <c r="K3587" s="272" t="n">
        <v>235.204469690487</v>
      </c>
    </row>
    <row r="3588" customFormat="false" ht="15" hidden="false" customHeight="false" outlineLevel="0" collapsed="false">
      <c r="A3588" s="0" t="s">
        <v>2041</v>
      </c>
      <c r="B3588" s="0" t="s">
        <v>2042</v>
      </c>
      <c r="C3588" s="0" t="s">
        <v>2339</v>
      </c>
      <c r="D3588" s="0" t="s">
        <v>2044</v>
      </c>
      <c r="E3588" s="0" t="s">
        <v>2045</v>
      </c>
      <c r="F3588" s="0" t="s">
        <v>2051</v>
      </c>
      <c r="G3588" s="0" t="s">
        <v>2073</v>
      </c>
      <c r="H3588" s="0" t="s">
        <v>2052</v>
      </c>
      <c r="J3588" s="0" t="s">
        <v>2346</v>
      </c>
      <c r="K3588" s="272" t="n">
        <v>651.725629600506</v>
      </c>
    </row>
    <row r="3589" customFormat="false" ht="15" hidden="false" customHeight="false" outlineLevel="0" collapsed="false">
      <c r="A3589" s="0" t="s">
        <v>2041</v>
      </c>
      <c r="B3589" s="0" t="s">
        <v>2042</v>
      </c>
      <c r="C3589" s="0" t="s">
        <v>2339</v>
      </c>
      <c r="D3589" s="0" t="s">
        <v>2044</v>
      </c>
      <c r="E3589" s="0" t="s">
        <v>2045</v>
      </c>
      <c r="F3589" s="0" t="s">
        <v>2046</v>
      </c>
      <c r="G3589" s="0" t="s">
        <v>2074</v>
      </c>
      <c r="H3589" s="0" t="s">
        <v>2048</v>
      </c>
      <c r="J3589" s="0" t="s">
        <v>2346</v>
      </c>
      <c r="K3589" s="272" t="n">
        <v>135.416659168224</v>
      </c>
    </row>
    <row r="3590" customFormat="false" ht="15" hidden="false" customHeight="false" outlineLevel="0" collapsed="false">
      <c r="A3590" s="0" t="s">
        <v>2041</v>
      </c>
      <c r="B3590" s="0" t="s">
        <v>2042</v>
      </c>
      <c r="C3590" s="0" t="s">
        <v>2339</v>
      </c>
      <c r="D3590" s="0" t="s">
        <v>2044</v>
      </c>
      <c r="E3590" s="0" t="s">
        <v>2045</v>
      </c>
      <c r="F3590" s="0" t="s">
        <v>2051</v>
      </c>
      <c r="G3590" s="0" t="s">
        <v>2074</v>
      </c>
      <c r="H3590" s="0" t="s">
        <v>2052</v>
      </c>
      <c r="J3590" s="0" t="s">
        <v>2346</v>
      </c>
      <c r="K3590" s="272" t="n">
        <v>135.416844843455</v>
      </c>
    </row>
    <row r="3591" customFormat="false" ht="15" hidden="false" customHeight="false" outlineLevel="0" collapsed="false">
      <c r="A3591" s="0" t="s">
        <v>2041</v>
      </c>
      <c r="B3591" s="0" t="s">
        <v>2042</v>
      </c>
      <c r="C3591" s="0" t="s">
        <v>2339</v>
      </c>
      <c r="D3591" s="0" t="s">
        <v>2044</v>
      </c>
      <c r="E3591" s="0" t="s">
        <v>2045</v>
      </c>
      <c r="F3591" s="0" t="s">
        <v>2046</v>
      </c>
      <c r="G3591" s="0" t="s">
        <v>2075</v>
      </c>
      <c r="H3591" s="0" t="s">
        <v>2048</v>
      </c>
      <c r="J3591" s="0" t="s">
        <v>2346</v>
      </c>
      <c r="K3591" s="272" t="n">
        <v>9.7239975008214</v>
      </c>
    </row>
    <row r="3592" customFormat="false" ht="15" hidden="false" customHeight="false" outlineLevel="0" collapsed="false">
      <c r="A3592" s="0" t="s">
        <v>2041</v>
      </c>
      <c r="B3592" s="0" t="s">
        <v>2042</v>
      </c>
      <c r="C3592" s="0" t="s">
        <v>2339</v>
      </c>
      <c r="D3592" s="0" t="s">
        <v>2044</v>
      </c>
      <c r="E3592" s="0" t="s">
        <v>2045</v>
      </c>
      <c r="F3592" s="0" t="s">
        <v>2051</v>
      </c>
      <c r="G3592" s="0" t="s">
        <v>2075</v>
      </c>
      <c r="H3592" s="0" t="s">
        <v>2052</v>
      </c>
      <c r="J3592" s="0" t="s">
        <v>2346</v>
      </c>
      <c r="K3592" s="272" t="n">
        <v>314.405353346716</v>
      </c>
    </row>
    <row r="3593" customFormat="false" ht="15" hidden="false" customHeight="false" outlineLevel="0" collapsed="false">
      <c r="A3593" s="0" t="s">
        <v>2041</v>
      </c>
      <c r="B3593" s="0" t="s">
        <v>2042</v>
      </c>
      <c r="C3593" s="0" t="s">
        <v>2339</v>
      </c>
      <c r="D3593" s="0" t="s">
        <v>2044</v>
      </c>
      <c r="E3593" s="0" t="s">
        <v>2045</v>
      </c>
      <c r="F3593" s="0" t="s">
        <v>2046</v>
      </c>
      <c r="G3593" s="0" t="s">
        <v>2076</v>
      </c>
      <c r="H3593" s="0" t="s">
        <v>2048</v>
      </c>
      <c r="J3593" s="0" t="s">
        <v>2346</v>
      </c>
      <c r="K3593" s="272" t="n">
        <v>252.325211352013</v>
      </c>
    </row>
    <row r="3594" customFormat="false" ht="15" hidden="false" customHeight="false" outlineLevel="0" collapsed="false">
      <c r="A3594" s="0" t="s">
        <v>2041</v>
      </c>
      <c r="B3594" s="0" t="s">
        <v>2042</v>
      </c>
      <c r="C3594" s="0" t="s">
        <v>2339</v>
      </c>
      <c r="D3594" s="0" t="s">
        <v>2044</v>
      </c>
      <c r="E3594" s="0" t="s">
        <v>2045</v>
      </c>
      <c r="F3594" s="0" t="s">
        <v>2051</v>
      </c>
      <c r="G3594" s="0" t="s">
        <v>2076</v>
      </c>
      <c r="H3594" s="0" t="s">
        <v>2052</v>
      </c>
      <c r="J3594" s="0" t="s">
        <v>2346</v>
      </c>
      <c r="K3594" s="272" t="n">
        <v>236.045949835486</v>
      </c>
    </row>
    <row r="3595" customFormat="false" ht="15" hidden="false" customHeight="false" outlineLevel="0" collapsed="false">
      <c r="A3595" s="0" t="s">
        <v>2041</v>
      </c>
      <c r="B3595" s="0" t="s">
        <v>2042</v>
      </c>
      <c r="C3595" s="0" t="s">
        <v>2339</v>
      </c>
      <c r="D3595" s="0" t="s">
        <v>2044</v>
      </c>
      <c r="E3595" s="0" t="s">
        <v>2045</v>
      </c>
      <c r="F3595" s="0" t="s">
        <v>2046</v>
      </c>
      <c r="G3595" s="0" t="s">
        <v>2077</v>
      </c>
      <c r="H3595" s="0" t="s">
        <v>2048</v>
      </c>
      <c r="J3595" s="0" t="s">
        <v>2346</v>
      </c>
      <c r="K3595" s="272" t="n">
        <v>146.511311221203</v>
      </c>
    </row>
    <row r="3596" customFormat="false" ht="15" hidden="false" customHeight="false" outlineLevel="0" collapsed="false">
      <c r="A3596" s="0" t="s">
        <v>2041</v>
      </c>
      <c r="B3596" s="0" t="s">
        <v>2042</v>
      </c>
      <c r="C3596" s="0" t="s">
        <v>2339</v>
      </c>
      <c r="D3596" s="0" t="s">
        <v>2044</v>
      </c>
      <c r="E3596" s="0" t="s">
        <v>2045</v>
      </c>
      <c r="F3596" s="0" t="s">
        <v>2051</v>
      </c>
      <c r="G3596" s="0" t="s">
        <v>2077</v>
      </c>
      <c r="H3596" s="0" t="s">
        <v>2052</v>
      </c>
      <c r="J3596" s="0" t="s">
        <v>2346</v>
      </c>
      <c r="K3596" s="272" t="n">
        <v>16.2790758412961</v>
      </c>
    </row>
    <row r="3597" customFormat="false" ht="15" hidden="false" customHeight="false" outlineLevel="0" collapsed="false">
      <c r="A3597" s="0" t="s">
        <v>2041</v>
      </c>
      <c r="B3597" s="0" t="s">
        <v>2042</v>
      </c>
      <c r="C3597" s="0" t="s">
        <v>2339</v>
      </c>
      <c r="D3597" s="0" t="s">
        <v>2044</v>
      </c>
      <c r="E3597" s="0" t="s">
        <v>2045</v>
      </c>
      <c r="F3597" s="0" t="s">
        <v>2046</v>
      </c>
      <c r="G3597" s="0" t="s">
        <v>2078</v>
      </c>
      <c r="H3597" s="0" t="s">
        <v>2048</v>
      </c>
      <c r="J3597" s="0" t="s">
        <v>2346</v>
      </c>
      <c r="K3597" s="272" t="n">
        <v>210.143698143575</v>
      </c>
    </row>
    <row r="3598" customFormat="false" ht="15" hidden="false" customHeight="false" outlineLevel="0" collapsed="false">
      <c r="A3598" s="0" t="s">
        <v>2041</v>
      </c>
      <c r="B3598" s="0" t="s">
        <v>2042</v>
      </c>
      <c r="C3598" s="0" t="s">
        <v>2339</v>
      </c>
      <c r="D3598" s="0" t="s">
        <v>2044</v>
      </c>
      <c r="E3598" s="0" t="s">
        <v>2045</v>
      </c>
      <c r="F3598" s="0" t="s">
        <v>2051</v>
      </c>
      <c r="G3598" s="0" t="s">
        <v>2078</v>
      </c>
      <c r="H3598" s="0" t="s">
        <v>2052</v>
      </c>
      <c r="J3598" s="0" t="s">
        <v>2346</v>
      </c>
      <c r="K3598" s="272" t="n">
        <v>23.3492172714058</v>
      </c>
    </row>
    <row r="3599" customFormat="false" ht="15" hidden="false" customHeight="false" outlineLevel="0" collapsed="false">
      <c r="A3599" s="0" t="s">
        <v>2041</v>
      </c>
      <c r="B3599" s="0" t="s">
        <v>2042</v>
      </c>
      <c r="C3599" s="0" t="s">
        <v>2339</v>
      </c>
      <c r="D3599" s="0" t="s">
        <v>2044</v>
      </c>
      <c r="E3599" s="0" t="s">
        <v>2045</v>
      </c>
      <c r="F3599" s="0" t="s">
        <v>2046</v>
      </c>
      <c r="G3599" s="0" t="s">
        <v>2079</v>
      </c>
      <c r="H3599" s="0" t="s">
        <v>2048</v>
      </c>
      <c r="J3599" s="0" t="s">
        <v>2346</v>
      </c>
      <c r="K3599" s="272" t="n">
        <v>162.790387062499</v>
      </c>
    </row>
    <row r="3600" customFormat="false" ht="15" hidden="false" customHeight="false" outlineLevel="0" collapsed="false">
      <c r="A3600" s="0" t="s">
        <v>2041</v>
      </c>
      <c r="B3600" s="0" t="s">
        <v>2042</v>
      </c>
      <c r="C3600" s="0" t="s">
        <v>2339</v>
      </c>
      <c r="D3600" s="0" t="s">
        <v>2044</v>
      </c>
      <c r="E3600" s="0" t="s">
        <v>2045</v>
      </c>
      <c r="F3600" s="0" t="s">
        <v>2046</v>
      </c>
      <c r="G3600" s="0" t="s">
        <v>2080</v>
      </c>
      <c r="H3600" s="0" t="s">
        <v>2048</v>
      </c>
      <c r="J3600" s="0" t="s">
        <v>2346</v>
      </c>
      <c r="K3600" s="272" t="n">
        <v>262.694058928646</v>
      </c>
    </row>
    <row r="3601" customFormat="false" ht="15" hidden="false" customHeight="false" outlineLevel="0" collapsed="false">
      <c r="A3601" s="0" t="s">
        <v>2041</v>
      </c>
      <c r="B3601" s="0" t="s">
        <v>2042</v>
      </c>
      <c r="C3601" s="0" t="s">
        <v>2339</v>
      </c>
      <c r="D3601" s="0" t="s">
        <v>2044</v>
      </c>
      <c r="E3601" s="0" t="s">
        <v>2045</v>
      </c>
      <c r="F3601" s="0" t="s">
        <v>2051</v>
      </c>
      <c r="G3601" s="0" t="s">
        <v>2080</v>
      </c>
      <c r="H3601" s="0" t="s">
        <v>2052</v>
      </c>
      <c r="J3601" s="0" t="s">
        <v>2346</v>
      </c>
      <c r="K3601" s="272" t="n">
        <v>8.13944508303274</v>
      </c>
    </row>
    <row r="3602" customFormat="false" ht="15" hidden="false" customHeight="false" outlineLevel="0" collapsed="false">
      <c r="A3602" s="0" t="s">
        <v>2041</v>
      </c>
      <c r="B3602" s="0" t="s">
        <v>2042</v>
      </c>
      <c r="C3602" s="0" t="s">
        <v>2339</v>
      </c>
      <c r="D3602" s="0" t="s">
        <v>2044</v>
      </c>
      <c r="E3602" s="0" t="s">
        <v>2045</v>
      </c>
      <c r="F3602" s="0" t="s">
        <v>2046</v>
      </c>
      <c r="G3602" s="0" t="s">
        <v>2081</v>
      </c>
      <c r="H3602" s="0" t="s">
        <v>2048</v>
      </c>
      <c r="J3602" s="0" t="s">
        <v>2346</v>
      </c>
      <c r="K3602" s="272" t="n">
        <v>904.844973913719</v>
      </c>
    </row>
    <row r="3603" customFormat="false" ht="15" hidden="false" customHeight="false" outlineLevel="0" collapsed="false">
      <c r="A3603" s="0" t="s">
        <v>2041</v>
      </c>
      <c r="B3603" s="0" t="s">
        <v>2042</v>
      </c>
      <c r="C3603" s="0" t="s">
        <v>2339</v>
      </c>
      <c r="D3603" s="0" t="s">
        <v>2044</v>
      </c>
      <c r="E3603" s="0" t="s">
        <v>2045</v>
      </c>
      <c r="F3603" s="0" t="s">
        <v>2051</v>
      </c>
      <c r="G3603" s="0" t="s">
        <v>2081</v>
      </c>
      <c r="H3603" s="0" t="s">
        <v>2052</v>
      </c>
      <c r="J3603" s="0" t="s">
        <v>2346</v>
      </c>
      <c r="K3603" s="272" t="n">
        <v>70.4459251838163</v>
      </c>
    </row>
    <row r="3604" customFormat="false" ht="15" hidden="false" customHeight="false" outlineLevel="0" collapsed="false">
      <c r="A3604" s="0" t="s">
        <v>2041</v>
      </c>
      <c r="B3604" s="0" t="s">
        <v>2042</v>
      </c>
      <c r="C3604" s="0" t="s">
        <v>2339</v>
      </c>
      <c r="D3604" s="0" t="s">
        <v>2044</v>
      </c>
      <c r="E3604" s="0" t="s">
        <v>2045</v>
      </c>
      <c r="F3604" s="0" t="s">
        <v>2046</v>
      </c>
      <c r="G3604" s="0" t="s">
        <v>2082</v>
      </c>
      <c r="H3604" s="0" t="s">
        <v>2048</v>
      </c>
      <c r="J3604" s="0" t="s">
        <v>2346</v>
      </c>
      <c r="K3604" s="272" t="n">
        <v>1128.19315175538</v>
      </c>
    </row>
    <row r="3605" customFormat="false" ht="15" hidden="false" customHeight="false" outlineLevel="0" collapsed="false">
      <c r="A3605" s="0" t="s">
        <v>2041</v>
      </c>
      <c r="B3605" s="0" t="s">
        <v>2042</v>
      </c>
      <c r="C3605" s="0" t="s">
        <v>2339</v>
      </c>
      <c r="D3605" s="0" t="s">
        <v>2044</v>
      </c>
      <c r="E3605" s="0" t="s">
        <v>2045</v>
      </c>
      <c r="F3605" s="0" t="s">
        <v>2046</v>
      </c>
      <c r="G3605" s="0" t="s">
        <v>2083</v>
      </c>
      <c r="H3605" s="0" t="s">
        <v>2048</v>
      </c>
      <c r="J3605" s="0" t="s">
        <v>2346</v>
      </c>
      <c r="K3605" s="272" t="n">
        <v>249.974748608072</v>
      </c>
    </row>
    <row r="3606" customFormat="false" ht="15" hidden="false" customHeight="false" outlineLevel="0" collapsed="false">
      <c r="A3606" s="0" t="s">
        <v>2041</v>
      </c>
      <c r="B3606" s="0" t="s">
        <v>2042</v>
      </c>
      <c r="C3606" s="0" t="s">
        <v>2339</v>
      </c>
      <c r="D3606" s="0" t="s">
        <v>2044</v>
      </c>
      <c r="E3606" s="0" t="s">
        <v>2045</v>
      </c>
      <c r="F3606" s="0" t="s">
        <v>2051</v>
      </c>
      <c r="G3606" s="0" t="s">
        <v>2083</v>
      </c>
      <c r="H3606" s="0" t="s">
        <v>2052</v>
      </c>
      <c r="J3606" s="0" t="s">
        <v>2346</v>
      </c>
      <c r="K3606" s="272" t="n">
        <v>6.40969463492879</v>
      </c>
    </row>
    <row r="3607" customFormat="false" ht="15" hidden="false" customHeight="false" outlineLevel="0" collapsed="false">
      <c r="A3607" s="0" t="s">
        <v>2041</v>
      </c>
      <c r="B3607" s="0" t="s">
        <v>2042</v>
      </c>
      <c r="C3607" s="0" t="s">
        <v>2339</v>
      </c>
      <c r="D3607" s="0" t="s">
        <v>2044</v>
      </c>
      <c r="E3607" s="0" t="s">
        <v>2045</v>
      </c>
      <c r="F3607" s="0" t="s">
        <v>2046</v>
      </c>
      <c r="G3607" s="0" t="s">
        <v>2084</v>
      </c>
      <c r="H3607" s="0" t="s">
        <v>2048</v>
      </c>
      <c r="J3607" s="0" t="s">
        <v>2346</v>
      </c>
      <c r="K3607" s="272" t="n">
        <v>140.601082956541</v>
      </c>
    </row>
    <row r="3608" customFormat="false" ht="15" hidden="false" customHeight="false" outlineLevel="0" collapsed="false">
      <c r="A3608" s="0" t="s">
        <v>2041</v>
      </c>
      <c r="B3608" s="0" t="s">
        <v>2042</v>
      </c>
      <c r="C3608" s="0" t="s">
        <v>2339</v>
      </c>
      <c r="D3608" s="0" t="s">
        <v>2044</v>
      </c>
      <c r="E3608" s="0" t="s">
        <v>2045</v>
      </c>
      <c r="F3608" s="0" t="s">
        <v>2051</v>
      </c>
      <c r="G3608" s="0" t="s">
        <v>2084</v>
      </c>
      <c r="H3608" s="0" t="s">
        <v>2052</v>
      </c>
      <c r="J3608" s="0" t="s">
        <v>2346</v>
      </c>
      <c r="K3608" s="272" t="n">
        <v>238.275538004317</v>
      </c>
    </row>
    <row r="3609" customFormat="false" ht="15" hidden="false" customHeight="false" outlineLevel="0" collapsed="false">
      <c r="A3609" s="0" t="s">
        <v>2041</v>
      </c>
      <c r="B3609" s="0" t="s">
        <v>2042</v>
      </c>
      <c r="C3609" s="0" t="s">
        <v>2339</v>
      </c>
      <c r="D3609" s="0" t="s">
        <v>2044</v>
      </c>
      <c r="E3609" s="0" t="s">
        <v>2045</v>
      </c>
      <c r="F3609" s="0" t="s">
        <v>2046</v>
      </c>
      <c r="G3609" s="0" t="s">
        <v>2085</v>
      </c>
      <c r="H3609" s="0" t="s">
        <v>2048</v>
      </c>
      <c r="J3609" s="0" t="s">
        <v>2346</v>
      </c>
      <c r="K3609" s="272" t="n">
        <v>398.082495461822</v>
      </c>
    </row>
    <row r="3610" customFormat="false" ht="15" hidden="false" customHeight="false" outlineLevel="0" collapsed="false">
      <c r="A3610" s="0" t="s">
        <v>2041</v>
      </c>
      <c r="B3610" s="0" t="s">
        <v>2042</v>
      </c>
      <c r="C3610" s="0" t="s">
        <v>2339</v>
      </c>
      <c r="D3610" s="0" t="s">
        <v>2044</v>
      </c>
      <c r="E3610" s="0" t="s">
        <v>2045</v>
      </c>
      <c r="F3610" s="0" t="s">
        <v>2051</v>
      </c>
      <c r="G3610" s="0" t="s">
        <v>2085</v>
      </c>
      <c r="H3610" s="0" t="s">
        <v>2052</v>
      </c>
      <c r="J3610" s="0" t="s">
        <v>2346</v>
      </c>
      <c r="K3610" s="272" t="n">
        <v>174.204029161619</v>
      </c>
    </row>
    <row r="3611" customFormat="false" ht="15" hidden="false" customHeight="false" outlineLevel="0" collapsed="false">
      <c r="A3611" s="0" t="s">
        <v>2041</v>
      </c>
      <c r="B3611" s="0" t="s">
        <v>2042</v>
      </c>
      <c r="C3611" s="0" t="s">
        <v>2339</v>
      </c>
      <c r="D3611" s="0" t="s">
        <v>2044</v>
      </c>
      <c r="E3611" s="0" t="s">
        <v>2045</v>
      </c>
      <c r="F3611" s="0" t="s">
        <v>2046</v>
      </c>
      <c r="G3611" s="0" t="s">
        <v>2086</v>
      </c>
      <c r="H3611" s="0" t="s">
        <v>2048</v>
      </c>
      <c r="J3611" s="0" t="s">
        <v>2346</v>
      </c>
      <c r="K3611" s="272" t="n">
        <v>428.723179038191</v>
      </c>
    </row>
    <row r="3612" customFormat="false" ht="15" hidden="false" customHeight="false" outlineLevel="0" collapsed="false">
      <c r="A3612" s="0" t="s">
        <v>2041</v>
      </c>
      <c r="B3612" s="0" t="s">
        <v>2042</v>
      </c>
      <c r="C3612" s="0" t="s">
        <v>2339</v>
      </c>
      <c r="D3612" s="0" t="s">
        <v>2044</v>
      </c>
      <c r="E3612" s="0" t="s">
        <v>2045</v>
      </c>
      <c r="F3612" s="0" t="s">
        <v>2051</v>
      </c>
      <c r="G3612" s="0" t="s">
        <v>2086</v>
      </c>
      <c r="H3612" s="0" t="s">
        <v>2052</v>
      </c>
      <c r="J3612" s="0" t="s">
        <v>2346</v>
      </c>
      <c r="K3612" s="272" t="n">
        <v>59.640555140084</v>
      </c>
    </row>
    <row r="3613" customFormat="false" ht="15" hidden="false" customHeight="false" outlineLevel="0" collapsed="false">
      <c r="A3613" s="0" t="s">
        <v>2041</v>
      </c>
      <c r="B3613" s="0" t="s">
        <v>2042</v>
      </c>
      <c r="C3613" s="0" t="s">
        <v>2339</v>
      </c>
      <c r="D3613" s="0" t="s">
        <v>2044</v>
      </c>
      <c r="E3613" s="0" t="s">
        <v>2045</v>
      </c>
      <c r="F3613" s="0" t="s">
        <v>2046</v>
      </c>
      <c r="G3613" s="0" t="s">
        <v>2087</v>
      </c>
      <c r="H3613" s="0" t="s">
        <v>2048</v>
      </c>
      <c r="J3613" s="0" t="s">
        <v>2346</v>
      </c>
      <c r="K3613" s="272" t="n">
        <v>387.709563030115</v>
      </c>
    </row>
    <row r="3614" customFormat="false" ht="15" hidden="false" customHeight="false" outlineLevel="0" collapsed="false">
      <c r="A3614" s="0" t="s">
        <v>2041</v>
      </c>
      <c r="B3614" s="0" t="s">
        <v>2042</v>
      </c>
      <c r="C3614" s="0" t="s">
        <v>2339</v>
      </c>
      <c r="D3614" s="0" t="s">
        <v>2044</v>
      </c>
      <c r="E3614" s="0" t="s">
        <v>2045</v>
      </c>
      <c r="F3614" s="0" t="s">
        <v>2051</v>
      </c>
      <c r="G3614" s="0" t="s">
        <v>2087</v>
      </c>
      <c r="H3614" s="0" t="s">
        <v>2052</v>
      </c>
      <c r="J3614" s="0" t="s">
        <v>2346</v>
      </c>
      <c r="K3614" s="272" t="n">
        <v>531.509087508665</v>
      </c>
    </row>
    <row r="3615" customFormat="false" ht="15" hidden="false" customHeight="false" outlineLevel="0" collapsed="false">
      <c r="A3615" s="0" t="s">
        <v>2041</v>
      </c>
      <c r="B3615" s="0" t="s">
        <v>2042</v>
      </c>
      <c r="C3615" s="0" t="s">
        <v>2339</v>
      </c>
      <c r="D3615" s="0" t="s">
        <v>2044</v>
      </c>
      <c r="E3615" s="0" t="s">
        <v>2045</v>
      </c>
      <c r="F3615" s="0" t="s">
        <v>2046</v>
      </c>
      <c r="G3615" s="0" t="s">
        <v>2088</v>
      </c>
      <c r="H3615" s="0" t="s">
        <v>2048</v>
      </c>
      <c r="J3615" s="0" t="s">
        <v>2346</v>
      </c>
      <c r="K3615" s="272" t="n">
        <v>546.241303003981</v>
      </c>
    </row>
    <row r="3616" customFormat="false" ht="15" hidden="false" customHeight="false" outlineLevel="0" collapsed="false">
      <c r="A3616" s="0" t="s">
        <v>2041</v>
      </c>
      <c r="B3616" s="0" t="s">
        <v>2042</v>
      </c>
      <c r="C3616" s="0" t="s">
        <v>2339</v>
      </c>
      <c r="D3616" s="0" t="s">
        <v>2044</v>
      </c>
      <c r="E3616" s="0" t="s">
        <v>2045</v>
      </c>
      <c r="F3616" s="0" t="s">
        <v>2051</v>
      </c>
      <c r="G3616" s="0" t="s">
        <v>2088</v>
      </c>
      <c r="H3616" s="0" t="s">
        <v>2052</v>
      </c>
      <c r="J3616" s="0" t="s">
        <v>2346</v>
      </c>
      <c r="K3616" s="272" t="n">
        <v>134.601916256429</v>
      </c>
    </row>
    <row r="3617" customFormat="false" ht="15" hidden="false" customHeight="false" outlineLevel="0" collapsed="false">
      <c r="A3617" s="0" t="s">
        <v>2041</v>
      </c>
      <c r="B3617" s="0" t="s">
        <v>2042</v>
      </c>
      <c r="C3617" s="0" t="s">
        <v>2339</v>
      </c>
      <c r="D3617" s="0" t="s">
        <v>2044</v>
      </c>
      <c r="E3617" s="0" t="s">
        <v>2045</v>
      </c>
      <c r="F3617" s="0" t="s">
        <v>2046</v>
      </c>
      <c r="G3617" s="0" t="s">
        <v>2089</v>
      </c>
      <c r="H3617" s="0" t="s">
        <v>2048</v>
      </c>
      <c r="J3617" s="0" t="s">
        <v>2346</v>
      </c>
      <c r="K3617" s="272" t="n">
        <v>161.162572315985</v>
      </c>
    </row>
    <row r="3618" customFormat="false" ht="15" hidden="false" customHeight="false" outlineLevel="0" collapsed="false">
      <c r="A3618" s="0" t="s">
        <v>2041</v>
      </c>
      <c r="B3618" s="0" t="s">
        <v>2042</v>
      </c>
      <c r="C3618" s="0" t="s">
        <v>2339</v>
      </c>
      <c r="D3618" s="0" t="s">
        <v>2044</v>
      </c>
      <c r="E3618" s="0" t="s">
        <v>2045</v>
      </c>
      <c r="F3618" s="0" t="s">
        <v>2051</v>
      </c>
      <c r="G3618" s="0" t="s">
        <v>2089</v>
      </c>
      <c r="H3618" s="0" t="s">
        <v>2052</v>
      </c>
      <c r="J3618" s="0" t="s">
        <v>2346</v>
      </c>
      <c r="K3618" s="272" t="n">
        <v>1.62781474651432</v>
      </c>
    </row>
    <row r="3619" customFormat="false" ht="15" hidden="false" customHeight="false" outlineLevel="0" collapsed="false">
      <c r="A3619" s="0" t="s">
        <v>2041</v>
      </c>
      <c r="B3619" s="0" t="s">
        <v>2042</v>
      </c>
      <c r="C3619" s="0" t="s">
        <v>2339</v>
      </c>
      <c r="D3619" s="0" t="s">
        <v>2044</v>
      </c>
      <c r="E3619" s="0" t="s">
        <v>2045</v>
      </c>
      <c r="F3619" s="0" t="s">
        <v>2046</v>
      </c>
      <c r="G3619" s="0" t="s">
        <v>2090</v>
      </c>
      <c r="H3619" s="0" t="s">
        <v>2048</v>
      </c>
      <c r="J3619" s="0" t="s">
        <v>2346</v>
      </c>
      <c r="K3619" s="272" t="n">
        <v>1148.50267982692</v>
      </c>
    </row>
    <row r="3620" customFormat="false" ht="15" hidden="false" customHeight="false" outlineLevel="0" collapsed="false">
      <c r="A3620" s="0" t="s">
        <v>2041</v>
      </c>
      <c r="B3620" s="0" t="s">
        <v>2042</v>
      </c>
      <c r="C3620" s="0" t="s">
        <v>2339</v>
      </c>
      <c r="D3620" s="0" t="s">
        <v>2044</v>
      </c>
      <c r="E3620" s="0" t="s">
        <v>2045</v>
      </c>
      <c r="F3620" s="0" t="s">
        <v>2051</v>
      </c>
      <c r="G3620" s="0" t="s">
        <v>2090</v>
      </c>
      <c r="H3620" s="0" t="s">
        <v>2052</v>
      </c>
      <c r="J3620" s="0" t="s">
        <v>2346</v>
      </c>
      <c r="K3620" s="272" t="n">
        <v>334.841697600748</v>
      </c>
    </row>
    <row r="3621" customFormat="false" ht="15" hidden="false" customHeight="false" outlineLevel="0" collapsed="false">
      <c r="A3621" s="0" t="s">
        <v>2041</v>
      </c>
      <c r="B3621" s="0" t="s">
        <v>2042</v>
      </c>
      <c r="C3621" s="0" t="s">
        <v>2339</v>
      </c>
      <c r="D3621" s="0" t="s">
        <v>2044</v>
      </c>
      <c r="E3621" s="0" t="s">
        <v>2045</v>
      </c>
      <c r="F3621" s="0" t="s">
        <v>2046</v>
      </c>
      <c r="G3621" s="0" t="s">
        <v>2091</v>
      </c>
      <c r="H3621" s="0" t="s">
        <v>2048</v>
      </c>
      <c r="J3621" s="0" t="s">
        <v>2346</v>
      </c>
      <c r="K3621" s="272" t="n">
        <v>287.112579852975</v>
      </c>
    </row>
    <row r="3622" customFormat="false" ht="15" hidden="false" customHeight="false" outlineLevel="0" collapsed="false">
      <c r="A3622" s="0" t="s">
        <v>2041</v>
      </c>
      <c r="B3622" s="0" t="s">
        <v>2042</v>
      </c>
      <c r="C3622" s="0" t="s">
        <v>2339</v>
      </c>
      <c r="D3622" s="0" t="s">
        <v>2044</v>
      </c>
      <c r="E3622" s="0" t="s">
        <v>2045</v>
      </c>
      <c r="F3622" s="0" t="s">
        <v>2051</v>
      </c>
      <c r="G3622" s="0" t="s">
        <v>2091</v>
      </c>
      <c r="H3622" s="0" t="s">
        <v>2052</v>
      </c>
      <c r="J3622" s="0" t="s">
        <v>2346</v>
      </c>
      <c r="K3622" s="272" t="n">
        <v>417.344815232882</v>
      </c>
    </row>
    <row r="3623" customFormat="false" ht="15" hidden="false" customHeight="false" outlineLevel="0" collapsed="false">
      <c r="A3623" s="0" t="s">
        <v>2041</v>
      </c>
      <c r="B3623" s="0" t="s">
        <v>2042</v>
      </c>
      <c r="C3623" s="0" t="s">
        <v>2339</v>
      </c>
      <c r="D3623" s="0" t="s">
        <v>2044</v>
      </c>
      <c r="E3623" s="0" t="s">
        <v>2045</v>
      </c>
      <c r="F3623" s="0" t="s">
        <v>2046</v>
      </c>
      <c r="G3623" s="0" t="s">
        <v>2092</v>
      </c>
      <c r="H3623" s="0" t="s">
        <v>2048</v>
      </c>
      <c r="J3623" s="0" t="s">
        <v>2346</v>
      </c>
      <c r="K3623" s="272" t="n">
        <v>295.96706024898</v>
      </c>
    </row>
    <row r="3624" customFormat="false" ht="15" hidden="false" customHeight="false" outlineLevel="0" collapsed="false">
      <c r="A3624" s="0" t="s">
        <v>2041</v>
      </c>
      <c r="B3624" s="0" t="s">
        <v>2042</v>
      </c>
      <c r="C3624" s="0" t="s">
        <v>2339</v>
      </c>
      <c r="D3624" s="0" t="s">
        <v>2044</v>
      </c>
      <c r="E3624" s="0" t="s">
        <v>2045</v>
      </c>
      <c r="F3624" s="0" t="s">
        <v>2051</v>
      </c>
      <c r="G3624" s="0" t="s">
        <v>2092</v>
      </c>
      <c r="H3624" s="0" t="s">
        <v>2052</v>
      </c>
      <c r="J3624" s="0" t="s">
        <v>2346</v>
      </c>
      <c r="K3624" s="272" t="n">
        <v>15.5770377944647</v>
      </c>
    </row>
    <row r="3625" customFormat="false" ht="15" hidden="false" customHeight="false" outlineLevel="0" collapsed="false">
      <c r="A3625" s="0" t="s">
        <v>2041</v>
      </c>
      <c r="B3625" s="0" t="s">
        <v>2042</v>
      </c>
      <c r="C3625" s="0" t="s">
        <v>2339</v>
      </c>
      <c r="D3625" s="0" t="s">
        <v>2044</v>
      </c>
      <c r="E3625" s="0" t="s">
        <v>2045</v>
      </c>
      <c r="F3625" s="0" t="s">
        <v>2046</v>
      </c>
      <c r="G3625" s="0" t="s">
        <v>2093</v>
      </c>
      <c r="H3625" s="0" t="s">
        <v>2048</v>
      </c>
      <c r="J3625" s="0" t="s">
        <v>2346</v>
      </c>
      <c r="K3625" s="272" t="n">
        <v>647.480908154167</v>
      </c>
    </row>
    <row r="3626" customFormat="false" ht="15" hidden="false" customHeight="false" outlineLevel="0" collapsed="false">
      <c r="A3626" s="0" t="s">
        <v>2041</v>
      </c>
      <c r="B3626" s="0" t="s">
        <v>2042</v>
      </c>
      <c r="C3626" s="0" t="s">
        <v>2339</v>
      </c>
      <c r="D3626" s="0" t="s">
        <v>2044</v>
      </c>
      <c r="E3626" s="0" t="s">
        <v>2045</v>
      </c>
      <c r="F3626" s="0" t="s">
        <v>2051</v>
      </c>
      <c r="G3626" s="0" t="s">
        <v>2093</v>
      </c>
      <c r="H3626" s="0" t="s">
        <v>2052</v>
      </c>
      <c r="J3626" s="0" t="s">
        <v>2346</v>
      </c>
      <c r="K3626" s="272" t="n">
        <v>56.9764869316903</v>
      </c>
    </row>
    <row r="3627" customFormat="false" ht="15" hidden="false" customHeight="false" outlineLevel="0" collapsed="false">
      <c r="A3627" s="0" t="s">
        <v>2041</v>
      </c>
      <c r="B3627" s="0" t="s">
        <v>2042</v>
      </c>
      <c r="C3627" s="0" t="s">
        <v>2339</v>
      </c>
      <c r="D3627" s="0" t="s">
        <v>2044</v>
      </c>
      <c r="E3627" s="0" t="s">
        <v>2045</v>
      </c>
      <c r="F3627" s="0" t="s">
        <v>2046</v>
      </c>
      <c r="G3627" s="0" t="s">
        <v>2094</v>
      </c>
      <c r="H3627" s="0" t="s">
        <v>2048</v>
      </c>
      <c r="J3627" s="0" t="s">
        <v>2346</v>
      </c>
      <c r="K3627" s="272" t="n">
        <v>426.307544288316</v>
      </c>
    </row>
    <row r="3628" customFormat="false" ht="15" hidden="false" customHeight="false" outlineLevel="0" collapsed="false">
      <c r="A3628" s="0" t="s">
        <v>2041</v>
      </c>
      <c r="B3628" s="0" t="s">
        <v>2042</v>
      </c>
      <c r="C3628" s="0" t="s">
        <v>2339</v>
      </c>
      <c r="D3628" s="0" t="s">
        <v>2044</v>
      </c>
      <c r="E3628" s="0" t="s">
        <v>2045</v>
      </c>
      <c r="F3628" s="0" t="s">
        <v>2051</v>
      </c>
      <c r="G3628" s="0" t="s">
        <v>2094</v>
      </c>
      <c r="H3628" s="0" t="s">
        <v>2052</v>
      </c>
      <c r="J3628" s="0" t="s">
        <v>2346</v>
      </c>
      <c r="K3628" s="272" t="n">
        <v>332.897120910861</v>
      </c>
    </row>
    <row r="3629" customFormat="false" ht="15" hidden="false" customHeight="false" outlineLevel="0" collapsed="false">
      <c r="A3629" s="0" t="s">
        <v>2041</v>
      </c>
      <c r="B3629" s="0" t="s">
        <v>2042</v>
      </c>
      <c r="C3629" s="0" t="s">
        <v>2339</v>
      </c>
      <c r="D3629" s="0" t="s">
        <v>2044</v>
      </c>
      <c r="E3629" s="0" t="s">
        <v>2045</v>
      </c>
      <c r="F3629" s="0" t="s">
        <v>2046</v>
      </c>
      <c r="G3629" s="0" t="s">
        <v>2095</v>
      </c>
      <c r="H3629" s="0" t="s">
        <v>2048</v>
      </c>
      <c r="J3629" s="0" t="s">
        <v>2346</v>
      </c>
      <c r="K3629" s="272" t="n">
        <v>698.077965513513</v>
      </c>
    </row>
    <row r="3630" customFormat="false" ht="15" hidden="false" customHeight="false" outlineLevel="0" collapsed="false">
      <c r="A3630" s="0" t="s">
        <v>2041</v>
      </c>
      <c r="B3630" s="0" t="s">
        <v>2042</v>
      </c>
      <c r="C3630" s="0" t="s">
        <v>2339</v>
      </c>
      <c r="D3630" s="0" t="s">
        <v>2044</v>
      </c>
      <c r="E3630" s="0" t="s">
        <v>2045</v>
      </c>
      <c r="F3630" s="0" t="s">
        <v>2051</v>
      </c>
      <c r="G3630" s="0" t="s">
        <v>2095</v>
      </c>
      <c r="H3630" s="0" t="s">
        <v>2052</v>
      </c>
      <c r="J3630" s="0" t="s">
        <v>2346</v>
      </c>
      <c r="K3630" s="272" t="n">
        <v>324.855155323884</v>
      </c>
    </row>
    <row r="3631" customFormat="false" ht="15" hidden="false" customHeight="false" outlineLevel="0" collapsed="false">
      <c r="A3631" s="0" t="s">
        <v>2041</v>
      </c>
      <c r="B3631" s="0" t="s">
        <v>2042</v>
      </c>
      <c r="C3631" s="0" t="s">
        <v>2339</v>
      </c>
      <c r="D3631" s="0" t="s">
        <v>2044</v>
      </c>
      <c r="E3631" s="0" t="s">
        <v>2045</v>
      </c>
      <c r="F3631" s="0" t="s">
        <v>2046</v>
      </c>
      <c r="G3631" s="0" t="s">
        <v>2096</v>
      </c>
      <c r="H3631" s="0" t="s">
        <v>2048</v>
      </c>
      <c r="J3631" s="0" t="s">
        <v>2346</v>
      </c>
      <c r="K3631" s="272" t="n">
        <v>163.61979831751</v>
      </c>
    </row>
    <row r="3632" customFormat="false" ht="15" hidden="false" customHeight="false" outlineLevel="0" collapsed="false">
      <c r="A3632" s="0" t="s">
        <v>2041</v>
      </c>
      <c r="B3632" s="0" t="s">
        <v>2042</v>
      </c>
      <c r="C3632" s="0" t="s">
        <v>2339</v>
      </c>
      <c r="D3632" s="0" t="s">
        <v>2044</v>
      </c>
      <c r="E3632" s="0" t="s">
        <v>2045</v>
      </c>
      <c r="F3632" s="0" t="s">
        <v>2051</v>
      </c>
      <c r="G3632" s="0" t="s">
        <v>2096</v>
      </c>
      <c r="H3632" s="0" t="s">
        <v>2052</v>
      </c>
      <c r="J3632" s="0" t="s">
        <v>2346</v>
      </c>
      <c r="K3632" s="272" t="n">
        <v>163.61979831751</v>
      </c>
    </row>
    <row r="3633" customFormat="false" ht="15" hidden="false" customHeight="false" outlineLevel="0" collapsed="false">
      <c r="A3633" s="0" t="s">
        <v>2041</v>
      </c>
      <c r="B3633" s="0" t="s">
        <v>2042</v>
      </c>
      <c r="C3633" s="0" t="s">
        <v>2339</v>
      </c>
      <c r="D3633" s="0" t="s">
        <v>2044</v>
      </c>
      <c r="E3633" s="0" t="s">
        <v>2045</v>
      </c>
      <c r="F3633" s="0" t="s">
        <v>2046</v>
      </c>
      <c r="G3633" s="0" t="s">
        <v>2098</v>
      </c>
      <c r="H3633" s="0" t="s">
        <v>2048</v>
      </c>
      <c r="J3633" s="0" t="s">
        <v>2346</v>
      </c>
      <c r="K3633" s="272" t="n">
        <v>211.764457231327</v>
      </c>
    </row>
    <row r="3634" customFormat="false" ht="15" hidden="false" customHeight="false" outlineLevel="0" collapsed="false">
      <c r="A3634" s="0" t="s">
        <v>2041</v>
      </c>
      <c r="B3634" s="0" t="s">
        <v>2042</v>
      </c>
      <c r="C3634" s="0" t="s">
        <v>2339</v>
      </c>
      <c r="D3634" s="0" t="s">
        <v>2044</v>
      </c>
      <c r="E3634" s="0" t="s">
        <v>2045</v>
      </c>
      <c r="F3634" s="0" t="s">
        <v>2051</v>
      </c>
      <c r="G3634" s="0" t="s">
        <v>2098</v>
      </c>
      <c r="H3634" s="0" t="s">
        <v>2052</v>
      </c>
      <c r="J3634" s="0" t="s">
        <v>2346</v>
      </c>
      <c r="K3634" s="272" t="n">
        <v>4.32177666703173</v>
      </c>
    </row>
    <row r="3635" customFormat="false" ht="15" hidden="false" customHeight="false" outlineLevel="0" collapsed="false">
      <c r="A3635" s="0" t="s">
        <v>2041</v>
      </c>
      <c r="B3635" s="0" t="s">
        <v>2042</v>
      </c>
      <c r="C3635" s="0" t="s">
        <v>2339</v>
      </c>
      <c r="D3635" s="0" t="s">
        <v>2044</v>
      </c>
      <c r="E3635" s="0" t="s">
        <v>2045</v>
      </c>
      <c r="F3635" s="0" t="s">
        <v>2099</v>
      </c>
      <c r="G3635" s="0" t="s">
        <v>2064</v>
      </c>
      <c r="H3635" s="0" t="s">
        <v>2100</v>
      </c>
      <c r="J3635" s="0" t="s">
        <v>2346</v>
      </c>
      <c r="K3635" s="272" t="n">
        <v>1195.54108571693</v>
      </c>
    </row>
    <row r="3636" customFormat="false" ht="15" hidden="false" customHeight="false" outlineLevel="0" collapsed="false">
      <c r="A3636" s="0" t="s">
        <v>2041</v>
      </c>
      <c r="B3636" s="0" t="s">
        <v>2042</v>
      </c>
      <c r="C3636" s="0" t="s">
        <v>2339</v>
      </c>
      <c r="D3636" s="0" t="s">
        <v>2044</v>
      </c>
      <c r="E3636" s="0" t="s">
        <v>2045</v>
      </c>
      <c r="F3636" s="0" t="s">
        <v>2099</v>
      </c>
      <c r="G3636" s="0" t="s">
        <v>2076</v>
      </c>
      <c r="H3636" s="0" t="s">
        <v>2100</v>
      </c>
      <c r="J3636" s="0" t="s">
        <v>2346</v>
      </c>
      <c r="K3636" s="272" t="n">
        <v>216.086233898358</v>
      </c>
    </row>
    <row r="3637" customFormat="false" ht="15" hidden="false" customHeight="false" outlineLevel="0" collapsed="false">
      <c r="A3637" s="0" t="s">
        <v>2041</v>
      </c>
      <c r="B3637" s="0" t="s">
        <v>2042</v>
      </c>
      <c r="C3637" s="0" t="s">
        <v>2339</v>
      </c>
      <c r="D3637" s="0" t="s">
        <v>2044</v>
      </c>
      <c r="E3637" s="0" t="s">
        <v>2045</v>
      </c>
      <c r="F3637" s="0" t="s">
        <v>2099</v>
      </c>
      <c r="G3637" s="0" t="s">
        <v>2081</v>
      </c>
      <c r="H3637" s="0" t="s">
        <v>2100</v>
      </c>
      <c r="J3637" s="0" t="s">
        <v>2346</v>
      </c>
      <c r="K3637" s="272" t="n">
        <v>216.086233898358</v>
      </c>
    </row>
    <row r="3638" customFormat="false" ht="15" hidden="false" customHeight="false" outlineLevel="0" collapsed="false">
      <c r="A3638" s="0" t="s">
        <v>2041</v>
      </c>
      <c r="B3638" s="0" t="s">
        <v>2042</v>
      </c>
      <c r="C3638" s="0" t="s">
        <v>2339</v>
      </c>
      <c r="D3638" s="0" t="s">
        <v>2044</v>
      </c>
      <c r="E3638" s="0" t="s">
        <v>2045</v>
      </c>
      <c r="F3638" s="0" t="s">
        <v>2099</v>
      </c>
      <c r="G3638" s="0" t="s">
        <v>2085</v>
      </c>
      <c r="H3638" s="0" t="s">
        <v>2100</v>
      </c>
      <c r="J3638" s="0" t="s">
        <v>2346</v>
      </c>
      <c r="K3638" s="272" t="n">
        <v>210.60138758696</v>
      </c>
    </row>
    <row r="3639" customFormat="false" ht="15" hidden="false" customHeight="false" outlineLevel="0" collapsed="false">
      <c r="A3639" s="0" t="s">
        <v>2041</v>
      </c>
      <c r="B3639" s="0" t="s">
        <v>2042</v>
      </c>
      <c r="C3639" s="0" t="s">
        <v>2339</v>
      </c>
      <c r="D3639" s="0" t="s">
        <v>2044</v>
      </c>
      <c r="E3639" s="0" t="s">
        <v>2045</v>
      </c>
      <c r="F3639" s="0" t="s">
        <v>2099</v>
      </c>
      <c r="G3639" s="0" t="s">
        <v>2086</v>
      </c>
      <c r="H3639" s="0" t="s">
        <v>2100</v>
      </c>
      <c r="J3639" s="0" t="s">
        <v>2346</v>
      </c>
      <c r="K3639" s="272" t="n">
        <v>108.043116949179</v>
      </c>
    </row>
    <row r="3640" customFormat="false" ht="15" hidden="false" customHeight="false" outlineLevel="0" collapsed="false">
      <c r="A3640" s="0" t="s">
        <v>2041</v>
      </c>
      <c r="B3640" s="0" t="s">
        <v>2042</v>
      </c>
      <c r="C3640" s="0" t="s">
        <v>2339</v>
      </c>
      <c r="D3640" s="0" t="s">
        <v>2044</v>
      </c>
      <c r="E3640" s="0" t="s">
        <v>2045</v>
      </c>
      <c r="F3640" s="0" t="s">
        <v>2099</v>
      </c>
      <c r="G3640" s="0" t="s">
        <v>2095</v>
      </c>
      <c r="H3640" s="0" t="s">
        <v>2100</v>
      </c>
      <c r="J3640" s="0" t="s">
        <v>2346</v>
      </c>
      <c r="K3640" s="272" t="n">
        <v>108.043116949179</v>
      </c>
    </row>
    <row r="3641" customFormat="false" ht="15" hidden="false" customHeight="false" outlineLevel="0" collapsed="false">
      <c r="A3641" s="0" t="s">
        <v>2041</v>
      </c>
      <c r="B3641" s="0" t="s">
        <v>2042</v>
      </c>
      <c r="C3641" s="0" t="s">
        <v>2339</v>
      </c>
      <c r="D3641" s="0" t="s">
        <v>2044</v>
      </c>
      <c r="E3641" s="0" t="s">
        <v>2045</v>
      </c>
      <c r="F3641" s="0" t="s">
        <v>2099</v>
      </c>
      <c r="G3641" s="0" t="s">
        <v>2096</v>
      </c>
      <c r="H3641" s="0" t="s">
        <v>2100</v>
      </c>
      <c r="J3641" s="0" t="s">
        <v>2346</v>
      </c>
      <c r="K3641" s="272" t="n">
        <v>162.790387062499</v>
      </c>
    </row>
    <row r="3642" customFormat="false" ht="15" hidden="false" customHeight="false" outlineLevel="0" collapsed="false">
      <c r="A3642" s="0" t="s">
        <v>2041</v>
      </c>
      <c r="B3642" s="0" t="s">
        <v>2042</v>
      </c>
      <c r="C3642" s="0" t="s">
        <v>2347</v>
      </c>
      <c r="D3642" s="0" t="s">
        <v>2279</v>
      </c>
      <c r="E3642" s="0" t="s">
        <v>2279</v>
      </c>
      <c r="F3642" s="0" t="s">
        <v>2280</v>
      </c>
      <c r="G3642" s="0" t="s">
        <v>2281</v>
      </c>
      <c r="H3642" s="0" t="s">
        <v>2153</v>
      </c>
      <c r="J3642" s="0" t="s">
        <v>2348</v>
      </c>
      <c r="K3642" s="272" t="n">
        <v>126580.95</v>
      </c>
    </row>
    <row r="3643" customFormat="false" ht="15" hidden="false" customHeight="false" outlineLevel="0" collapsed="false">
      <c r="A3643" s="0" t="s">
        <v>2041</v>
      </c>
      <c r="B3643" s="0" t="s">
        <v>2042</v>
      </c>
      <c r="C3643" s="0" t="s">
        <v>2347</v>
      </c>
      <c r="D3643" s="0" t="s">
        <v>2279</v>
      </c>
      <c r="E3643" s="0" t="s">
        <v>2279</v>
      </c>
      <c r="F3643" s="0" t="s">
        <v>2280</v>
      </c>
      <c r="G3643" s="0" t="s">
        <v>2281</v>
      </c>
      <c r="H3643" s="0" t="s">
        <v>2153</v>
      </c>
      <c r="J3643" s="0" t="s">
        <v>2348</v>
      </c>
      <c r="K3643" s="272" t="n">
        <v>87401.61</v>
      </c>
    </row>
    <row r="3644" customFormat="false" ht="15" hidden="false" customHeight="false" outlineLevel="0" collapsed="false">
      <c r="A3644" s="0" t="s">
        <v>2041</v>
      </c>
      <c r="B3644" s="0" t="s">
        <v>2042</v>
      </c>
      <c r="C3644" s="0" t="s">
        <v>2347</v>
      </c>
      <c r="D3644" s="0" t="s">
        <v>2279</v>
      </c>
      <c r="E3644" s="0" t="s">
        <v>2279</v>
      </c>
      <c r="F3644" s="0" t="s">
        <v>2280</v>
      </c>
      <c r="G3644" s="0" t="s">
        <v>2281</v>
      </c>
      <c r="H3644" s="0" t="s">
        <v>2153</v>
      </c>
      <c r="J3644" s="0" t="s">
        <v>2348</v>
      </c>
      <c r="K3644" s="272" t="n">
        <v>151897.14</v>
      </c>
    </row>
    <row r="3645" customFormat="false" ht="15" hidden="false" customHeight="false" outlineLevel="0" collapsed="false">
      <c r="A3645" s="0" t="s">
        <v>2041</v>
      </c>
      <c r="B3645" s="0" t="s">
        <v>2042</v>
      </c>
      <c r="C3645" s="0" t="s">
        <v>2347</v>
      </c>
      <c r="D3645" s="0" t="s">
        <v>2279</v>
      </c>
      <c r="E3645" s="0" t="s">
        <v>2279</v>
      </c>
      <c r="F3645" s="0" t="s">
        <v>2280</v>
      </c>
      <c r="G3645" s="0" t="s">
        <v>2281</v>
      </c>
      <c r="H3645" s="0" t="s">
        <v>2153</v>
      </c>
      <c r="J3645" s="0" t="s">
        <v>2348</v>
      </c>
      <c r="K3645" s="272" t="n">
        <v>109418.26</v>
      </c>
    </row>
    <row r="3646" customFormat="false" ht="15" hidden="false" customHeight="false" outlineLevel="0" collapsed="false">
      <c r="A3646" s="0" t="s">
        <v>2041</v>
      </c>
      <c r="B3646" s="0" t="s">
        <v>2042</v>
      </c>
      <c r="C3646" s="0" t="s">
        <v>2347</v>
      </c>
      <c r="D3646" s="0" t="s">
        <v>2279</v>
      </c>
      <c r="E3646" s="0" t="s">
        <v>2279</v>
      </c>
      <c r="F3646" s="0" t="s">
        <v>2280</v>
      </c>
      <c r="G3646" s="0" t="s">
        <v>2281</v>
      </c>
      <c r="H3646" s="0" t="s">
        <v>2153</v>
      </c>
      <c r="J3646" s="0" t="s">
        <v>2348</v>
      </c>
      <c r="K3646" s="272" t="n">
        <v>295355.55</v>
      </c>
    </row>
    <row r="3647" customFormat="false" ht="15" hidden="false" customHeight="false" outlineLevel="0" collapsed="false">
      <c r="A3647" s="0" t="s">
        <v>2041</v>
      </c>
      <c r="B3647" s="0" t="s">
        <v>2042</v>
      </c>
      <c r="C3647" s="0" t="s">
        <v>2347</v>
      </c>
      <c r="D3647" s="0" t="s">
        <v>2279</v>
      </c>
      <c r="E3647" s="0" t="s">
        <v>2279</v>
      </c>
      <c r="F3647" s="0" t="s">
        <v>2280</v>
      </c>
      <c r="G3647" s="0" t="s">
        <v>2281</v>
      </c>
      <c r="H3647" s="0" t="s">
        <v>2153</v>
      </c>
      <c r="J3647" s="0" t="s">
        <v>2348</v>
      </c>
      <c r="K3647" s="272" t="n">
        <v>126580.95</v>
      </c>
    </row>
    <row r="3648" customFormat="false" ht="15" hidden="false" customHeight="false" outlineLevel="0" collapsed="false">
      <c r="A3648" s="0" t="s">
        <v>2041</v>
      </c>
      <c r="B3648" s="0" t="s">
        <v>2042</v>
      </c>
      <c r="C3648" s="0" t="s">
        <v>2349</v>
      </c>
      <c r="D3648" s="0" t="s">
        <v>2279</v>
      </c>
      <c r="E3648" s="0" t="s">
        <v>2279</v>
      </c>
      <c r="F3648" s="0" t="s">
        <v>2280</v>
      </c>
      <c r="G3648" s="0" t="s">
        <v>2281</v>
      </c>
      <c r="H3648" s="0" t="s">
        <v>2284</v>
      </c>
      <c r="J3648" s="0" t="s">
        <v>2350</v>
      </c>
      <c r="K3648" s="272" t="n">
        <v>541265.32</v>
      </c>
    </row>
    <row r="3649" customFormat="false" ht="15" hidden="false" customHeight="false" outlineLevel="0" collapsed="false">
      <c r="A3649" s="0" t="s">
        <v>2041</v>
      </c>
      <c r="B3649" s="0" t="s">
        <v>2042</v>
      </c>
      <c r="C3649" s="0" t="s">
        <v>2349</v>
      </c>
      <c r="D3649" s="0" t="s">
        <v>2279</v>
      </c>
      <c r="E3649" s="0" t="s">
        <v>2279</v>
      </c>
      <c r="F3649" s="0" t="s">
        <v>2280</v>
      </c>
      <c r="G3649" s="0" t="s">
        <v>2281</v>
      </c>
      <c r="H3649" s="0" t="s">
        <v>2153</v>
      </c>
      <c r="J3649" s="0" t="s">
        <v>2350</v>
      </c>
      <c r="K3649" s="272" t="n">
        <v>1399821.75</v>
      </c>
    </row>
    <row r="3650" customFormat="false" ht="15" hidden="false" customHeight="false" outlineLevel="0" collapsed="false">
      <c r="A3650" s="0" t="s">
        <v>2041</v>
      </c>
      <c r="B3650" s="0" t="s">
        <v>2042</v>
      </c>
      <c r="C3650" s="0" t="s">
        <v>2349</v>
      </c>
      <c r="D3650" s="0" t="s">
        <v>2279</v>
      </c>
      <c r="E3650" s="0" t="s">
        <v>2279</v>
      </c>
      <c r="F3650" s="0" t="s">
        <v>2280</v>
      </c>
      <c r="G3650" s="0" t="s">
        <v>2281</v>
      </c>
      <c r="H3650" s="0" t="s">
        <v>2287</v>
      </c>
      <c r="J3650" s="0" t="s">
        <v>2350</v>
      </c>
      <c r="K3650" s="272" t="n">
        <v>268383.33</v>
      </c>
    </row>
    <row r="3651" customFormat="false" ht="15" hidden="false" customHeight="false" outlineLevel="0" collapsed="false">
      <c r="A3651" s="0" t="s">
        <v>2041</v>
      </c>
      <c r="B3651" s="0" t="s">
        <v>2042</v>
      </c>
      <c r="C3651" s="0" t="s">
        <v>2349</v>
      </c>
      <c r="D3651" s="0" t="s">
        <v>2279</v>
      </c>
      <c r="E3651" s="0" t="s">
        <v>2279</v>
      </c>
      <c r="F3651" s="0" t="s">
        <v>2280</v>
      </c>
      <c r="G3651" s="0" t="s">
        <v>2281</v>
      </c>
      <c r="H3651" s="0" t="s">
        <v>2304</v>
      </c>
      <c r="J3651" s="0" t="s">
        <v>2350</v>
      </c>
      <c r="K3651" s="272" t="n">
        <v>31562.32</v>
      </c>
    </row>
    <row r="3652" customFormat="false" ht="15" hidden="false" customHeight="false" outlineLevel="0" collapsed="false">
      <c r="A3652" s="0" t="s">
        <v>2041</v>
      </c>
      <c r="B3652" s="0" t="s">
        <v>2042</v>
      </c>
      <c r="C3652" s="0" t="s">
        <v>2349</v>
      </c>
      <c r="D3652" s="0" t="s">
        <v>2279</v>
      </c>
      <c r="E3652" s="0" t="s">
        <v>2279</v>
      </c>
      <c r="F3652" s="0" t="s">
        <v>2280</v>
      </c>
      <c r="G3652" s="0" t="s">
        <v>2281</v>
      </c>
      <c r="H3652" s="0" t="s">
        <v>2291</v>
      </c>
      <c r="J3652" s="0" t="s">
        <v>2350</v>
      </c>
      <c r="K3652" s="272" t="n">
        <v>46026.95</v>
      </c>
    </row>
    <row r="3653" customFormat="false" ht="15" hidden="false" customHeight="false" outlineLevel="0" collapsed="false">
      <c r="A3653" s="0" t="s">
        <v>2041</v>
      </c>
      <c r="B3653" s="0" t="s">
        <v>2042</v>
      </c>
      <c r="C3653" s="0" t="s">
        <v>2349</v>
      </c>
      <c r="D3653" s="0" t="s">
        <v>2279</v>
      </c>
      <c r="E3653" s="0" t="s">
        <v>2279</v>
      </c>
      <c r="F3653" s="0" t="s">
        <v>2280</v>
      </c>
      <c r="G3653" s="0" t="s">
        <v>2281</v>
      </c>
      <c r="H3653" s="0" t="s">
        <v>2289</v>
      </c>
      <c r="J3653" s="0" t="s">
        <v>2350</v>
      </c>
      <c r="K3653" s="272" t="n">
        <v>185222.31</v>
      </c>
    </row>
    <row r="3654" customFormat="false" ht="15" hidden="false" customHeight="false" outlineLevel="0" collapsed="false">
      <c r="A3654" s="0" t="s">
        <v>2041</v>
      </c>
      <c r="B3654" s="0" t="s">
        <v>2042</v>
      </c>
      <c r="C3654" s="0" t="s">
        <v>2349</v>
      </c>
      <c r="D3654" s="0" t="s">
        <v>2279</v>
      </c>
      <c r="E3654" s="0" t="s">
        <v>2279</v>
      </c>
      <c r="F3654" s="0" t="s">
        <v>2280</v>
      </c>
      <c r="G3654" s="0" t="s">
        <v>2281</v>
      </c>
      <c r="H3654" s="0" t="s">
        <v>2288</v>
      </c>
      <c r="J3654" s="0" t="s">
        <v>2350</v>
      </c>
      <c r="K3654" s="272" t="n">
        <v>95308.54</v>
      </c>
    </row>
    <row r="3655" customFormat="false" ht="15" hidden="false" customHeight="false" outlineLevel="0" collapsed="false">
      <c r="A3655" s="0" t="s">
        <v>2041</v>
      </c>
      <c r="B3655" s="0" t="s">
        <v>2042</v>
      </c>
      <c r="C3655" s="0" t="s">
        <v>2349</v>
      </c>
      <c r="D3655" s="0" t="s">
        <v>2279</v>
      </c>
      <c r="E3655" s="0" t="s">
        <v>2279</v>
      </c>
      <c r="F3655" s="0" t="s">
        <v>2280</v>
      </c>
      <c r="G3655" s="0" t="s">
        <v>2281</v>
      </c>
      <c r="H3655" s="0" t="s">
        <v>2107</v>
      </c>
      <c r="J3655" s="0" t="s">
        <v>2350</v>
      </c>
      <c r="K3655" s="272" t="n">
        <v>138740.4</v>
      </c>
    </row>
    <row r="3656" customFormat="false" ht="15" hidden="false" customHeight="false" outlineLevel="0" collapsed="false">
      <c r="A3656" s="0" t="s">
        <v>2041</v>
      </c>
      <c r="B3656" s="0" t="s">
        <v>2042</v>
      </c>
      <c r="C3656" s="0" t="s">
        <v>2349</v>
      </c>
      <c r="D3656" s="0" t="s">
        <v>2279</v>
      </c>
      <c r="E3656" s="0" t="s">
        <v>2279</v>
      </c>
      <c r="F3656" s="0" t="s">
        <v>2280</v>
      </c>
      <c r="G3656" s="0" t="s">
        <v>2281</v>
      </c>
      <c r="H3656" s="0" t="s">
        <v>2290</v>
      </c>
      <c r="J3656" s="0" t="s">
        <v>2350</v>
      </c>
      <c r="K3656" s="272" t="n">
        <v>86170.49</v>
      </c>
    </row>
    <row r="3657" customFormat="false" ht="15" hidden="false" customHeight="false" outlineLevel="0" collapsed="false">
      <c r="A3657" s="0" t="s">
        <v>2041</v>
      </c>
      <c r="B3657" s="0" t="s">
        <v>2042</v>
      </c>
      <c r="C3657" s="0" t="s">
        <v>2349</v>
      </c>
      <c r="D3657" s="0" t="s">
        <v>2279</v>
      </c>
      <c r="E3657" s="0" t="s">
        <v>2279</v>
      </c>
      <c r="F3657" s="0" t="s">
        <v>2280</v>
      </c>
      <c r="G3657" s="0" t="s">
        <v>2281</v>
      </c>
      <c r="H3657" s="0" t="s">
        <v>2285</v>
      </c>
      <c r="J3657" s="0" t="s">
        <v>2350</v>
      </c>
      <c r="K3657" s="272" t="n">
        <v>0</v>
      </c>
    </row>
    <row r="3658" customFormat="false" ht="15" hidden="false" customHeight="false" outlineLevel="0" collapsed="false">
      <c r="A3658" s="0" t="s">
        <v>2041</v>
      </c>
      <c r="B3658" s="0" t="s">
        <v>2042</v>
      </c>
      <c r="C3658" s="0" t="s">
        <v>2349</v>
      </c>
      <c r="D3658" s="0" t="s">
        <v>2279</v>
      </c>
      <c r="E3658" s="0" t="s">
        <v>2279</v>
      </c>
      <c r="F3658" s="0" t="s">
        <v>2280</v>
      </c>
      <c r="G3658" s="0" t="s">
        <v>2281</v>
      </c>
      <c r="H3658" s="0" t="s">
        <v>2351</v>
      </c>
      <c r="J3658" s="0" t="s">
        <v>2350</v>
      </c>
      <c r="K3658" s="272" t="n">
        <v>0</v>
      </c>
    </row>
    <row r="3659" customFormat="false" ht="15" hidden="false" customHeight="false" outlineLevel="0" collapsed="false">
      <c r="A3659" s="0" t="s">
        <v>2041</v>
      </c>
      <c r="B3659" s="0" t="s">
        <v>2042</v>
      </c>
      <c r="C3659" s="0" t="s">
        <v>2349</v>
      </c>
      <c r="D3659" s="0" t="s">
        <v>2279</v>
      </c>
      <c r="E3659" s="0" t="s">
        <v>2279</v>
      </c>
      <c r="F3659" s="0" t="s">
        <v>2280</v>
      </c>
      <c r="G3659" s="0" t="s">
        <v>2281</v>
      </c>
      <c r="H3659" s="0" t="s">
        <v>2286</v>
      </c>
      <c r="J3659" s="0" t="s">
        <v>2350</v>
      </c>
      <c r="K3659" s="272" t="n">
        <v>200998.29</v>
      </c>
    </row>
    <row r="3660" customFormat="false" ht="15" hidden="false" customHeight="false" outlineLevel="0" collapsed="false">
      <c r="A3660" s="0" t="s">
        <v>2041</v>
      </c>
      <c r="B3660" s="0" t="s">
        <v>2042</v>
      </c>
      <c r="C3660" s="0" t="s">
        <v>2352</v>
      </c>
      <c r="D3660" s="0" t="s">
        <v>2279</v>
      </c>
      <c r="E3660" s="0" t="s">
        <v>2279</v>
      </c>
      <c r="F3660" s="0" t="s">
        <v>2280</v>
      </c>
      <c r="G3660" s="0" t="s">
        <v>2281</v>
      </c>
      <c r="H3660" s="0" t="s">
        <v>2284</v>
      </c>
      <c r="J3660" s="0" t="s">
        <v>2348</v>
      </c>
      <c r="K3660" s="272" t="n">
        <v>2214329.62</v>
      </c>
    </row>
    <row r="3661" customFormat="false" ht="15" hidden="false" customHeight="false" outlineLevel="0" collapsed="false">
      <c r="A3661" s="0" t="s">
        <v>2041</v>
      </c>
      <c r="B3661" s="0" t="s">
        <v>2042</v>
      </c>
      <c r="C3661" s="0" t="s">
        <v>2352</v>
      </c>
      <c r="D3661" s="0" t="s">
        <v>2279</v>
      </c>
      <c r="E3661" s="0" t="s">
        <v>2279</v>
      </c>
      <c r="F3661" s="0" t="s">
        <v>2280</v>
      </c>
      <c r="G3661" s="0" t="s">
        <v>2281</v>
      </c>
      <c r="H3661" s="0" t="s">
        <v>2153</v>
      </c>
      <c r="J3661" s="0" t="s">
        <v>2348</v>
      </c>
      <c r="K3661" s="272" t="n">
        <v>4592469.88</v>
      </c>
    </row>
    <row r="3662" customFormat="false" ht="15" hidden="false" customHeight="false" outlineLevel="0" collapsed="false">
      <c r="A3662" s="0" t="s">
        <v>2041</v>
      </c>
      <c r="B3662" s="0" t="s">
        <v>2042</v>
      </c>
      <c r="C3662" s="0" t="s">
        <v>2352</v>
      </c>
      <c r="D3662" s="0" t="s">
        <v>2279</v>
      </c>
      <c r="E3662" s="0" t="s">
        <v>2279</v>
      </c>
      <c r="F3662" s="0" t="s">
        <v>2280</v>
      </c>
      <c r="G3662" s="0" t="s">
        <v>2281</v>
      </c>
      <c r="H3662" s="0" t="s">
        <v>2287</v>
      </c>
      <c r="J3662" s="0" t="s">
        <v>2348</v>
      </c>
      <c r="K3662" s="272" t="n">
        <v>467415.42</v>
      </c>
    </row>
    <row r="3663" customFormat="false" ht="15" hidden="false" customHeight="false" outlineLevel="0" collapsed="false">
      <c r="A3663" s="0" t="s">
        <v>2041</v>
      </c>
      <c r="B3663" s="0" t="s">
        <v>2042</v>
      </c>
      <c r="C3663" s="0" t="s">
        <v>2352</v>
      </c>
      <c r="D3663" s="0" t="s">
        <v>2279</v>
      </c>
      <c r="E3663" s="0" t="s">
        <v>2279</v>
      </c>
      <c r="F3663" s="0" t="s">
        <v>2280</v>
      </c>
      <c r="G3663" s="0" t="s">
        <v>2281</v>
      </c>
      <c r="H3663" s="0" t="s">
        <v>2304</v>
      </c>
      <c r="J3663" s="0" t="s">
        <v>2348</v>
      </c>
      <c r="K3663" s="272" t="n">
        <v>132490.43</v>
      </c>
    </row>
    <row r="3664" customFormat="false" ht="15" hidden="false" customHeight="false" outlineLevel="0" collapsed="false">
      <c r="A3664" s="0" t="s">
        <v>2041</v>
      </c>
      <c r="B3664" s="0" t="s">
        <v>2042</v>
      </c>
      <c r="C3664" s="0" t="s">
        <v>2352</v>
      </c>
      <c r="D3664" s="0" t="s">
        <v>2279</v>
      </c>
      <c r="E3664" s="0" t="s">
        <v>2279</v>
      </c>
      <c r="F3664" s="0" t="s">
        <v>2280</v>
      </c>
      <c r="G3664" s="0" t="s">
        <v>2281</v>
      </c>
      <c r="H3664" s="0" t="s">
        <v>2291</v>
      </c>
      <c r="J3664" s="0" t="s">
        <v>2348</v>
      </c>
      <c r="K3664" s="272" t="n">
        <v>187631.23</v>
      </c>
    </row>
    <row r="3665" customFormat="false" ht="15" hidden="false" customHeight="false" outlineLevel="0" collapsed="false">
      <c r="A3665" s="0" t="s">
        <v>2041</v>
      </c>
      <c r="B3665" s="0" t="s">
        <v>2042</v>
      </c>
      <c r="C3665" s="0" t="s">
        <v>2352</v>
      </c>
      <c r="D3665" s="0" t="s">
        <v>2279</v>
      </c>
      <c r="E3665" s="0" t="s">
        <v>2279</v>
      </c>
      <c r="F3665" s="0" t="s">
        <v>2280</v>
      </c>
      <c r="G3665" s="0" t="s">
        <v>2281</v>
      </c>
      <c r="H3665" s="0" t="s">
        <v>2289</v>
      </c>
      <c r="J3665" s="0" t="s">
        <v>2348</v>
      </c>
      <c r="K3665" s="272" t="n">
        <v>367639.23</v>
      </c>
    </row>
    <row r="3666" customFormat="false" ht="15" hidden="false" customHeight="false" outlineLevel="0" collapsed="false">
      <c r="A3666" s="0" t="s">
        <v>2041</v>
      </c>
      <c r="B3666" s="0" t="s">
        <v>2042</v>
      </c>
      <c r="C3666" s="0" t="s">
        <v>2352</v>
      </c>
      <c r="D3666" s="0" t="s">
        <v>2279</v>
      </c>
      <c r="E3666" s="0" t="s">
        <v>2279</v>
      </c>
      <c r="F3666" s="0" t="s">
        <v>2280</v>
      </c>
      <c r="G3666" s="0" t="s">
        <v>2281</v>
      </c>
      <c r="H3666" s="0" t="s">
        <v>2288</v>
      </c>
      <c r="J3666" s="0" t="s">
        <v>2348</v>
      </c>
      <c r="K3666" s="272" t="n">
        <v>392317.39</v>
      </c>
    </row>
    <row r="3667" customFormat="false" ht="15" hidden="false" customHeight="false" outlineLevel="0" collapsed="false">
      <c r="A3667" s="0" t="s">
        <v>2041</v>
      </c>
      <c r="B3667" s="0" t="s">
        <v>2042</v>
      </c>
      <c r="C3667" s="0" t="s">
        <v>2352</v>
      </c>
      <c r="D3667" s="0" t="s">
        <v>2279</v>
      </c>
      <c r="E3667" s="0" t="s">
        <v>2279</v>
      </c>
      <c r="F3667" s="0" t="s">
        <v>2280</v>
      </c>
      <c r="G3667" s="0" t="s">
        <v>2281</v>
      </c>
      <c r="H3667" s="0" t="s">
        <v>2107</v>
      </c>
      <c r="J3667" s="0" t="s">
        <v>2348</v>
      </c>
      <c r="K3667" s="272" t="n">
        <v>550475.56</v>
      </c>
    </row>
    <row r="3668" customFormat="false" ht="15" hidden="false" customHeight="false" outlineLevel="0" collapsed="false">
      <c r="A3668" s="0" t="s">
        <v>2041</v>
      </c>
      <c r="B3668" s="0" t="s">
        <v>2042</v>
      </c>
      <c r="C3668" s="0" t="s">
        <v>2352</v>
      </c>
      <c r="D3668" s="0" t="s">
        <v>2279</v>
      </c>
      <c r="E3668" s="0" t="s">
        <v>2279</v>
      </c>
      <c r="F3668" s="0" t="s">
        <v>2280</v>
      </c>
      <c r="G3668" s="0" t="s">
        <v>2281</v>
      </c>
      <c r="H3668" s="0" t="s">
        <v>2290</v>
      </c>
      <c r="J3668" s="0" t="s">
        <v>2348</v>
      </c>
      <c r="K3668" s="272" t="n">
        <v>342275.84</v>
      </c>
    </row>
    <row r="3669" customFormat="false" ht="15" hidden="false" customHeight="false" outlineLevel="0" collapsed="false">
      <c r="A3669" s="0" t="s">
        <v>2041</v>
      </c>
      <c r="B3669" s="0" t="s">
        <v>2042</v>
      </c>
      <c r="C3669" s="0" t="s">
        <v>2352</v>
      </c>
      <c r="D3669" s="0" t="s">
        <v>2279</v>
      </c>
      <c r="E3669" s="0" t="s">
        <v>2279</v>
      </c>
      <c r="F3669" s="0" t="s">
        <v>2280</v>
      </c>
      <c r="G3669" s="0" t="s">
        <v>2281</v>
      </c>
      <c r="H3669" s="0" t="s">
        <v>2285</v>
      </c>
      <c r="J3669" s="0" t="s">
        <v>2348</v>
      </c>
      <c r="K3669" s="272" t="n">
        <v>0</v>
      </c>
    </row>
    <row r="3670" customFormat="false" ht="15" hidden="false" customHeight="false" outlineLevel="0" collapsed="false">
      <c r="A3670" s="0" t="s">
        <v>2041</v>
      </c>
      <c r="B3670" s="0" t="s">
        <v>2042</v>
      </c>
      <c r="C3670" s="0" t="s">
        <v>2352</v>
      </c>
      <c r="D3670" s="0" t="s">
        <v>2279</v>
      </c>
      <c r="E3670" s="0" t="s">
        <v>2279</v>
      </c>
      <c r="F3670" s="0" t="s">
        <v>2280</v>
      </c>
      <c r="G3670" s="0" t="s">
        <v>2281</v>
      </c>
      <c r="H3670" s="0" t="s">
        <v>2351</v>
      </c>
      <c r="J3670" s="0" t="s">
        <v>2348</v>
      </c>
      <c r="K3670" s="272" t="n">
        <v>0</v>
      </c>
    </row>
    <row r="3671" customFormat="false" ht="15" hidden="false" customHeight="false" outlineLevel="0" collapsed="false">
      <c r="A3671" s="0" t="s">
        <v>2041</v>
      </c>
      <c r="B3671" s="0" t="s">
        <v>2042</v>
      </c>
      <c r="C3671" s="0" t="s">
        <v>2352</v>
      </c>
      <c r="D3671" s="0" t="s">
        <v>2279</v>
      </c>
      <c r="E3671" s="0" t="s">
        <v>2279</v>
      </c>
      <c r="F3671" s="0" t="s">
        <v>2280</v>
      </c>
      <c r="G3671" s="0" t="s">
        <v>2281</v>
      </c>
      <c r="H3671" s="0" t="s">
        <v>2286</v>
      </c>
      <c r="J3671" s="0" t="s">
        <v>2348</v>
      </c>
      <c r="K3671" s="272" t="n">
        <v>798727.7</v>
      </c>
    </row>
    <row r="3672" customFormat="false" ht="15" hidden="false" customHeight="false" outlineLevel="0" collapsed="false">
      <c r="A3672" s="0" t="s">
        <v>2041</v>
      </c>
      <c r="B3672" s="0" t="s">
        <v>2042</v>
      </c>
      <c r="C3672" s="0" t="s">
        <v>2352</v>
      </c>
      <c r="D3672" s="0" t="s">
        <v>2279</v>
      </c>
      <c r="E3672" s="0" t="s">
        <v>2279</v>
      </c>
      <c r="F3672" s="0" t="s">
        <v>2280</v>
      </c>
      <c r="G3672" s="0" t="s">
        <v>2281</v>
      </c>
      <c r="H3672" s="0" t="s">
        <v>2287</v>
      </c>
      <c r="J3672" s="0" t="s">
        <v>2348</v>
      </c>
      <c r="K3672" s="272" t="n">
        <v>1700060.65</v>
      </c>
    </row>
    <row r="3673" customFormat="false" ht="15" hidden="false" customHeight="false" outlineLevel="0" collapsed="false">
      <c r="A3673" s="0" t="s">
        <v>2041</v>
      </c>
      <c r="B3673" s="0" t="s">
        <v>2042</v>
      </c>
      <c r="C3673" s="0" t="s">
        <v>2352</v>
      </c>
      <c r="D3673" s="0" t="s">
        <v>2279</v>
      </c>
      <c r="E3673" s="0" t="s">
        <v>2279</v>
      </c>
      <c r="F3673" s="0" t="s">
        <v>2280</v>
      </c>
      <c r="G3673" s="0" t="s">
        <v>2281</v>
      </c>
      <c r="H3673" s="0" t="s">
        <v>2287</v>
      </c>
      <c r="J3673" s="0" t="s">
        <v>2348</v>
      </c>
      <c r="K3673" s="272" t="n">
        <v>60402.67</v>
      </c>
    </row>
    <row r="3674" customFormat="false" ht="15" hidden="false" customHeight="false" outlineLevel="0" collapsed="false">
      <c r="A3674" s="0" t="s">
        <v>2041</v>
      </c>
      <c r="B3674" s="0" t="s">
        <v>2042</v>
      </c>
      <c r="C3674" s="0" t="s">
        <v>2347</v>
      </c>
      <c r="D3674" s="0" t="s">
        <v>2279</v>
      </c>
      <c r="E3674" s="0" t="s">
        <v>2279</v>
      </c>
      <c r="F3674" s="0" t="s">
        <v>2280</v>
      </c>
      <c r="G3674" s="0" t="s">
        <v>2281</v>
      </c>
      <c r="H3674" s="0" t="s">
        <v>2153</v>
      </c>
      <c r="J3674" s="0" t="s">
        <v>2348</v>
      </c>
      <c r="K3674" s="272" t="n">
        <v>51798.12</v>
      </c>
    </row>
    <row r="3675" customFormat="false" ht="15" hidden="false" customHeight="false" outlineLevel="0" collapsed="false">
      <c r="A3675" s="0" t="s">
        <v>2041</v>
      </c>
      <c r="B3675" s="0" t="s">
        <v>2042</v>
      </c>
      <c r="C3675" s="0" t="s">
        <v>2347</v>
      </c>
      <c r="D3675" s="0" t="s">
        <v>2279</v>
      </c>
      <c r="E3675" s="0" t="s">
        <v>2279</v>
      </c>
      <c r="F3675" s="0" t="s">
        <v>2280</v>
      </c>
      <c r="G3675" s="0" t="s">
        <v>2281</v>
      </c>
      <c r="H3675" s="0" t="s">
        <v>2153</v>
      </c>
      <c r="J3675" s="0" t="s">
        <v>2348</v>
      </c>
      <c r="K3675" s="272" t="n">
        <v>44296.45</v>
      </c>
    </row>
    <row r="3676" customFormat="false" ht="15" hidden="false" customHeight="false" outlineLevel="0" collapsed="false">
      <c r="A3676" s="0" t="s">
        <v>2041</v>
      </c>
      <c r="B3676" s="0" t="s">
        <v>2042</v>
      </c>
      <c r="C3676" s="0" t="s">
        <v>2347</v>
      </c>
      <c r="D3676" s="0" t="s">
        <v>2279</v>
      </c>
      <c r="E3676" s="0" t="s">
        <v>2279</v>
      </c>
      <c r="F3676" s="0" t="s">
        <v>2280</v>
      </c>
      <c r="G3676" s="0" t="s">
        <v>2281</v>
      </c>
      <c r="H3676" s="0" t="s">
        <v>2153</v>
      </c>
      <c r="J3676" s="0" t="s">
        <v>2348</v>
      </c>
      <c r="K3676" s="272" t="n">
        <v>44296.45</v>
      </c>
    </row>
    <row r="3677" customFormat="false" ht="15" hidden="false" customHeight="false" outlineLevel="0" collapsed="false">
      <c r="A3677" s="0" t="s">
        <v>2041</v>
      </c>
      <c r="B3677" s="0" t="s">
        <v>2042</v>
      </c>
      <c r="C3677" s="0" t="s">
        <v>2347</v>
      </c>
      <c r="D3677" s="0" t="s">
        <v>2279</v>
      </c>
      <c r="E3677" s="0" t="s">
        <v>2279</v>
      </c>
      <c r="F3677" s="0" t="s">
        <v>2280</v>
      </c>
      <c r="G3677" s="0" t="s">
        <v>2281</v>
      </c>
      <c r="H3677" s="0" t="s">
        <v>2153</v>
      </c>
      <c r="J3677" s="0" t="s">
        <v>2348</v>
      </c>
      <c r="K3677" s="272" t="n">
        <v>64659.26</v>
      </c>
    </row>
    <row r="3678" customFormat="false" ht="15" hidden="false" customHeight="false" outlineLevel="0" collapsed="false">
      <c r="A3678" s="0" t="s">
        <v>2041</v>
      </c>
      <c r="B3678" s="0" t="s">
        <v>2042</v>
      </c>
      <c r="C3678" s="0" t="s">
        <v>2347</v>
      </c>
      <c r="D3678" s="0" t="s">
        <v>2279</v>
      </c>
      <c r="E3678" s="0" t="s">
        <v>2279</v>
      </c>
      <c r="F3678" s="0" t="s">
        <v>2280</v>
      </c>
      <c r="G3678" s="0" t="s">
        <v>2281</v>
      </c>
      <c r="H3678" s="0" t="s">
        <v>2153</v>
      </c>
      <c r="J3678" s="0" t="s">
        <v>2348</v>
      </c>
      <c r="K3678" s="272" t="n">
        <v>21085.52</v>
      </c>
    </row>
    <row r="3679" customFormat="false" ht="15" hidden="false" customHeight="false" outlineLevel="0" collapsed="false">
      <c r="A3679" s="0" t="s">
        <v>2041</v>
      </c>
      <c r="B3679" s="0" t="s">
        <v>2042</v>
      </c>
      <c r="C3679" s="0" t="s">
        <v>2347</v>
      </c>
      <c r="D3679" s="0" t="s">
        <v>2279</v>
      </c>
      <c r="E3679" s="0" t="s">
        <v>2279</v>
      </c>
      <c r="F3679" s="0" t="s">
        <v>2280</v>
      </c>
      <c r="G3679" s="0" t="s">
        <v>2281</v>
      </c>
      <c r="H3679" s="0" t="s">
        <v>2153</v>
      </c>
      <c r="J3679" s="0" t="s">
        <v>2348</v>
      </c>
      <c r="K3679" s="272" t="n">
        <v>29246.03</v>
      </c>
    </row>
    <row r="3680" customFormat="false" ht="15" hidden="false" customHeight="false" outlineLevel="0" collapsed="false">
      <c r="A3680" s="0" t="s">
        <v>2041</v>
      </c>
      <c r="B3680" s="0" t="s">
        <v>2042</v>
      </c>
      <c r="C3680" s="0" t="s">
        <v>2156</v>
      </c>
      <c r="D3680" s="0" t="s">
        <v>2279</v>
      </c>
      <c r="E3680" s="0" t="s">
        <v>2279</v>
      </c>
      <c r="F3680" s="0" t="s">
        <v>2280</v>
      </c>
      <c r="G3680" s="0" t="s">
        <v>2281</v>
      </c>
      <c r="H3680" s="0" t="s">
        <v>2284</v>
      </c>
      <c r="J3680" s="0" t="s">
        <v>2348</v>
      </c>
      <c r="K3680" s="272" t="n">
        <v>2034718.28</v>
      </c>
    </row>
    <row r="3681" customFormat="false" ht="15" hidden="false" customHeight="false" outlineLevel="0" collapsed="false">
      <c r="A3681" s="0" t="s">
        <v>2041</v>
      </c>
      <c r="B3681" s="0" t="s">
        <v>2042</v>
      </c>
      <c r="C3681" s="0" t="s">
        <v>2156</v>
      </c>
      <c r="D3681" s="0" t="s">
        <v>2279</v>
      </c>
      <c r="E3681" s="0" t="s">
        <v>2279</v>
      </c>
      <c r="F3681" s="0" t="s">
        <v>2280</v>
      </c>
      <c r="G3681" s="0" t="s">
        <v>2281</v>
      </c>
      <c r="H3681" s="0" t="s">
        <v>2153</v>
      </c>
      <c r="J3681" s="0" t="s">
        <v>2348</v>
      </c>
      <c r="K3681" s="272" t="n">
        <v>3750184.97</v>
      </c>
    </row>
    <row r="3682" customFormat="false" ht="15" hidden="false" customHeight="false" outlineLevel="0" collapsed="false">
      <c r="A3682" s="0" t="s">
        <v>2041</v>
      </c>
      <c r="B3682" s="0" t="s">
        <v>2042</v>
      </c>
      <c r="C3682" s="0" t="s">
        <v>2156</v>
      </c>
      <c r="D3682" s="0" t="s">
        <v>2279</v>
      </c>
      <c r="E3682" s="0" t="s">
        <v>2279</v>
      </c>
      <c r="F3682" s="0" t="s">
        <v>2280</v>
      </c>
      <c r="G3682" s="0" t="s">
        <v>2281</v>
      </c>
      <c r="H3682" s="0" t="s">
        <v>2287</v>
      </c>
      <c r="J3682" s="0" t="s">
        <v>2348</v>
      </c>
      <c r="K3682" s="272" t="n">
        <v>444140.42</v>
      </c>
    </row>
    <row r="3683" customFormat="false" ht="15" hidden="false" customHeight="false" outlineLevel="0" collapsed="false">
      <c r="A3683" s="0" t="s">
        <v>2041</v>
      </c>
      <c r="B3683" s="0" t="s">
        <v>2042</v>
      </c>
      <c r="C3683" s="0" t="s">
        <v>2156</v>
      </c>
      <c r="D3683" s="0" t="s">
        <v>2279</v>
      </c>
      <c r="E3683" s="0" t="s">
        <v>2279</v>
      </c>
      <c r="F3683" s="0" t="s">
        <v>2280</v>
      </c>
      <c r="G3683" s="0" t="s">
        <v>2281</v>
      </c>
      <c r="H3683" s="0" t="s">
        <v>2304</v>
      </c>
      <c r="J3683" s="0" t="s">
        <v>2348</v>
      </c>
      <c r="K3683" s="272" t="n">
        <v>429335.73</v>
      </c>
    </row>
    <row r="3684" customFormat="false" ht="15" hidden="false" customHeight="false" outlineLevel="0" collapsed="false">
      <c r="A3684" s="0" t="s">
        <v>2041</v>
      </c>
      <c r="B3684" s="0" t="s">
        <v>2042</v>
      </c>
      <c r="C3684" s="0" t="s">
        <v>2156</v>
      </c>
      <c r="D3684" s="0" t="s">
        <v>2279</v>
      </c>
      <c r="E3684" s="0" t="s">
        <v>2279</v>
      </c>
      <c r="F3684" s="0" t="s">
        <v>2280</v>
      </c>
      <c r="G3684" s="0" t="s">
        <v>2281</v>
      </c>
      <c r="H3684" s="0" t="s">
        <v>2291</v>
      </c>
      <c r="J3684" s="0" t="s">
        <v>2348</v>
      </c>
      <c r="K3684" s="272" t="n">
        <v>463879.99</v>
      </c>
    </row>
    <row r="3685" customFormat="false" ht="15" hidden="false" customHeight="false" outlineLevel="0" collapsed="false">
      <c r="A3685" s="0" t="s">
        <v>2041</v>
      </c>
      <c r="B3685" s="0" t="s">
        <v>2042</v>
      </c>
      <c r="C3685" s="0" t="s">
        <v>2156</v>
      </c>
      <c r="D3685" s="0" t="s">
        <v>2279</v>
      </c>
      <c r="E3685" s="0" t="s">
        <v>2279</v>
      </c>
      <c r="F3685" s="0" t="s">
        <v>2280</v>
      </c>
      <c r="G3685" s="0" t="s">
        <v>2281</v>
      </c>
      <c r="H3685" s="0" t="s">
        <v>2289</v>
      </c>
      <c r="J3685" s="0" t="s">
        <v>2348</v>
      </c>
      <c r="K3685" s="272" t="n">
        <v>493489.35</v>
      </c>
    </row>
    <row r="3686" customFormat="false" ht="15" hidden="false" customHeight="false" outlineLevel="0" collapsed="false">
      <c r="A3686" s="0" t="s">
        <v>2041</v>
      </c>
      <c r="B3686" s="0" t="s">
        <v>2042</v>
      </c>
      <c r="C3686" s="0" t="s">
        <v>2156</v>
      </c>
      <c r="D3686" s="0" t="s">
        <v>2279</v>
      </c>
      <c r="E3686" s="0" t="s">
        <v>2279</v>
      </c>
      <c r="F3686" s="0" t="s">
        <v>2280</v>
      </c>
      <c r="G3686" s="0" t="s">
        <v>2281</v>
      </c>
      <c r="H3686" s="0" t="s">
        <v>2288</v>
      </c>
      <c r="J3686" s="0" t="s">
        <v>2348</v>
      </c>
      <c r="K3686" s="272" t="n">
        <v>1381770.18</v>
      </c>
    </row>
    <row r="3687" customFormat="false" ht="15" hidden="false" customHeight="false" outlineLevel="0" collapsed="false">
      <c r="A3687" s="0" t="s">
        <v>2041</v>
      </c>
      <c r="B3687" s="0" t="s">
        <v>2042</v>
      </c>
      <c r="C3687" s="0" t="s">
        <v>2156</v>
      </c>
      <c r="D3687" s="0" t="s">
        <v>2279</v>
      </c>
      <c r="E3687" s="0" t="s">
        <v>2279</v>
      </c>
      <c r="F3687" s="0" t="s">
        <v>2280</v>
      </c>
      <c r="G3687" s="0" t="s">
        <v>2281</v>
      </c>
      <c r="H3687" s="0" t="s">
        <v>2107</v>
      </c>
      <c r="J3687" s="0" t="s">
        <v>2348</v>
      </c>
      <c r="K3687" s="272" t="n">
        <v>1427006.7</v>
      </c>
    </row>
    <row r="3688" customFormat="false" ht="15" hidden="false" customHeight="false" outlineLevel="0" collapsed="false">
      <c r="A3688" s="0" t="s">
        <v>2041</v>
      </c>
      <c r="B3688" s="0" t="s">
        <v>2042</v>
      </c>
      <c r="C3688" s="0" t="s">
        <v>2156</v>
      </c>
      <c r="D3688" s="0" t="s">
        <v>2279</v>
      </c>
      <c r="E3688" s="0" t="s">
        <v>2279</v>
      </c>
      <c r="F3688" s="0" t="s">
        <v>2280</v>
      </c>
      <c r="G3688" s="0" t="s">
        <v>2281</v>
      </c>
      <c r="H3688" s="0" t="s">
        <v>2351</v>
      </c>
      <c r="J3688" s="0" t="s">
        <v>2348</v>
      </c>
      <c r="K3688" s="272" t="n">
        <v>0</v>
      </c>
    </row>
    <row r="3689" customFormat="false" ht="15" hidden="false" customHeight="false" outlineLevel="0" collapsed="false">
      <c r="A3689" s="0" t="s">
        <v>2041</v>
      </c>
      <c r="B3689" s="0" t="s">
        <v>2042</v>
      </c>
      <c r="C3689" s="0" t="s">
        <v>2156</v>
      </c>
      <c r="D3689" s="0" t="s">
        <v>2279</v>
      </c>
      <c r="E3689" s="0" t="s">
        <v>2279</v>
      </c>
      <c r="F3689" s="0" t="s">
        <v>2280</v>
      </c>
      <c r="G3689" s="0" t="s">
        <v>2281</v>
      </c>
      <c r="H3689" s="0" t="s">
        <v>2290</v>
      </c>
      <c r="J3689" s="0" t="s">
        <v>2348</v>
      </c>
      <c r="K3689" s="272" t="n">
        <v>789582.96</v>
      </c>
    </row>
    <row r="3690" customFormat="false" ht="15" hidden="false" customHeight="false" outlineLevel="0" collapsed="false">
      <c r="A3690" s="0" t="s">
        <v>2041</v>
      </c>
      <c r="B3690" s="0" t="s">
        <v>2042</v>
      </c>
      <c r="C3690" s="0" t="s">
        <v>2156</v>
      </c>
      <c r="D3690" s="0" t="s">
        <v>2279</v>
      </c>
      <c r="E3690" s="0" t="s">
        <v>2279</v>
      </c>
      <c r="F3690" s="0" t="s">
        <v>2280</v>
      </c>
      <c r="G3690" s="0" t="s">
        <v>2281</v>
      </c>
      <c r="H3690" s="0" t="s">
        <v>2286</v>
      </c>
      <c r="J3690" s="0" t="s">
        <v>2348</v>
      </c>
      <c r="K3690" s="272" t="n">
        <v>0</v>
      </c>
    </row>
    <row r="3691" customFormat="false" ht="15" hidden="false" customHeight="false" outlineLevel="0" collapsed="false">
      <c r="A3691" s="0" t="s">
        <v>2041</v>
      </c>
      <c r="B3691" s="0" t="s">
        <v>2042</v>
      </c>
      <c r="C3691" s="0" t="s">
        <v>2156</v>
      </c>
      <c r="D3691" s="0" t="s">
        <v>2279</v>
      </c>
      <c r="E3691" s="0" t="s">
        <v>2279</v>
      </c>
      <c r="F3691" s="0" t="s">
        <v>2280</v>
      </c>
      <c r="G3691" s="0" t="s">
        <v>2281</v>
      </c>
      <c r="H3691" s="0" t="s">
        <v>2285</v>
      </c>
      <c r="J3691" s="0" t="s">
        <v>2348</v>
      </c>
      <c r="K3691" s="272" t="n">
        <v>0</v>
      </c>
    </row>
    <row r="3692" customFormat="false" ht="15" hidden="false" customHeight="false" outlineLevel="0" collapsed="false">
      <c r="A3692" s="0" t="s">
        <v>2041</v>
      </c>
      <c r="B3692" s="0" t="s">
        <v>2042</v>
      </c>
      <c r="C3692" s="0" t="s">
        <v>2347</v>
      </c>
      <c r="D3692" s="0" t="s">
        <v>2279</v>
      </c>
      <c r="E3692" s="0" t="s">
        <v>2279</v>
      </c>
      <c r="F3692" s="0" t="s">
        <v>2292</v>
      </c>
      <c r="G3692" s="0" t="s">
        <v>2293</v>
      </c>
      <c r="H3692" s="0" t="s">
        <v>2313</v>
      </c>
      <c r="J3692" s="0" t="s">
        <v>2348</v>
      </c>
      <c r="K3692" s="272" t="n">
        <v>390238</v>
      </c>
    </row>
    <row r="3693" customFormat="false" ht="15" hidden="false" customHeight="false" outlineLevel="0" collapsed="false">
      <c r="A3693" s="0" t="s">
        <v>2041</v>
      </c>
      <c r="B3693" s="0" t="s">
        <v>2042</v>
      </c>
      <c r="C3693" s="0" t="s">
        <v>2347</v>
      </c>
      <c r="D3693" s="0" t="s">
        <v>2279</v>
      </c>
      <c r="E3693" s="0" t="s">
        <v>2279</v>
      </c>
      <c r="F3693" s="0" t="s">
        <v>2292</v>
      </c>
      <c r="G3693" s="0" t="s">
        <v>2293</v>
      </c>
      <c r="H3693" s="0" t="s">
        <v>2314</v>
      </c>
      <c r="J3693" s="0" t="s">
        <v>2348</v>
      </c>
      <c r="K3693" s="272" t="n">
        <v>160925.33</v>
      </c>
    </row>
    <row r="3694" customFormat="false" ht="15" hidden="false" customHeight="false" outlineLevel="0" collapsed="false">
      <c r="A3694" s="0" t="s">
        <v>2041</v>
      </c>
      <c r="B3694" s="0" t="s">
        <v>2042</v>
      </c>
      <c r="C3694" s="0" t="s">
        <v>2347</v>
      </c>
      <c r="D3694" s="0" t="s">
        <v>2279</v>
      </c>
      <c r="E3694" s="0" t="s">
        <v>2279</v>
      </c>
      <c r="F3694" s="0" t="s">
        <v>2292</v>
      </c>
      <c r="G3694" s="0" t="s">
        <v>2293</v>
      </c>
      <c r="H3694" s="0" t="s">
        <v>2291</v>
      </c>
      <c r="J3694" s="0" t="s">
        <v>2348</v>
      </c>
      <c r="K3694" s="272" t="n">
        <v>34173.16</v>
      </c>
    </row>
    <row r="3695" customFormat="false" ht="15" hidden="false" customHeight="false" outlineLevel="0" collapsed="false">
      <c r="A3695" s="0" t="s">
        <v>2041</v>
      </c>
      <c r="B3695" s="0" t="s">
        <v>2042</v>
      </c>
      <c r="C3695" s="0" t="s">
        <v>2347</v>
      </c>
      <c r="D3695" s="0" t="s">
        <v>2279</v>
      </c>
      <c r="E3695" s="0" t="s">
        <v>2279</v>
      </c>
      <c r="F3695" s="0" t="s">
        <v>2292</v>
      </c>
      <c r="G3695" s="0" t="s">
        <v>2293</v>
      </c>
      <c r="H3695" s="0" t="s">
        <v>2291</v>
      </c>
      <c r="J3695" s="0" t="s">
        <v>2348</v>
      </c>
      <c r="K3695" s="272" t="n">
        <v>62296.25</v>
      </c>
    </row>
    <row r="3696" customFormat="false" ht="15" hidden="false" customHeight="false" outlineLevel="0" collapsed="false">
      <c r="A3696" s="0" t="s">
        <v>2041</v>
      </c>
      <c r="B3696" s="0" t="s">
        <v>2042</v>
      </c>
      <c r="C3696" s="0" t="s">
        <v>2347</v>
      </c>
      <c r="D3696" s="0" t="s">
        <v>2279</v>
      </c>
      <c r="E3696" s="0" t="s">
        <v>2279</v>
      </c>
      <c r="F3696" s="0" t="s">
        <v>2292</v>
      </c>
      <c r="G3696" s="0" t="s">
        <v>2293</v>
      </c>
      <c r="H3696" s="0" t="s">
        <v>2314</v>
      </c>
      <c r="J3696" s="0" t="s">
        <v>2348</v>
      </c>
      <c r="K3696" s="272" t="n">
        <v>171552</v>
      </c>
    </row>
    <row r="3697" customFormat="false" ht="15" hidden="false" customHeight="false" outlineLevel="0" collapsed="false">
      <c r="A3697" s="0" t="s">
        <v>2041</v>
      </c>
      <c r="B3697" s="0" t="s">
        <v>2042</v>
      </c>
      <c r="C3697" s="0" t="s">
        <v>2347</v>
      </c>
      <c r="D3697" s="0" t="s">
        <v>2279</v>
      </c>
      <c r="E3697" s="0" t="s">
        <v>2279</v>
      </c>
      <c r="F3697" s="0" t="s">
        <v>2292</v>
      </c>
      <c r="G3697" s="0" t="s">
        <v>2293</v>
      </c>
      <c r="H3697" s="0" t="s">
        <v>2294</v>
      </c>
      <c r="J3697" s="0" t="s">
        <v>2348</v>
      </c>
      <c r="K3697" s="272" t="n">
        <v>190994.56</v>
      </c>
    </row>
    <row r="3698" customFormat="false" ht="15" hidden="false" customHeight="false" outlineLevel="0" collapsed="false">
      <c r="A3698" s="0" t="s">
        <v>2041</v>
      </c>
      <c r="B3698" s="0" t="s">
        <v>2042</v>
      </c>
      <c r="C3698" s="0" t="s">
        <v>2347</v>
      </c>
      <c r="D3698" s="0" t="s">
        <v>2279</v>
      </c>
      <c r="E3698" s="0" t="s">
        <v>2279</v>
      </c>
      <c r="F3698" s="0" t="s">
        <v>2292</v>
      </c>
      <c r="G3698" s="0" t="s">
        <v>2293</v>
      </c>
      <c r="H3698" s="0" t="s">
        <v>2305</v>
      </c>
      <c r="J3698" s="0" t="s">
        <v>2348</v>
      </c>
      <c r="K3698" s="272" t="n">
        <v>194425.6</v>
      </c>
    </row>
    <row r="3699" customFormat="false" ht="15" hidden="false" customHeight="false" outlineLevel="0" collapsed="false">
      <c r="A3699" s="0" t="s">
        <v>2041</v>
      </c>
      <c r="B3699" s="0" t="s">
        <v>2042</v>
      </c>
      <c r="C3699" s="0" t="s">
        <v>2347</v>
      </c>
      <c r="D3699" s="0" t="s">
        <v>2279</v>
      </c>
      <c r="E3699" s="0" t="s">
        <v>2279</v>
      </c>
      <c r="F3699" s="0" t="s">
        <v>2292</v>
      </c>
      <c r="G3699" s="0" t="s">
        <v>2293</v>
      </c>
      <c r="H3699" s="0" t="s">
        <v>2326</v>
      </c>
      <c r="J3699" s="0" t="s">
        <v>2348</v>
      </c>
      <c r="K3699" s="272" t="n">
        <v>251609.6</v>
      </c>
    </row>
    <row r="3700" customFormat="false" ht="15" hidden="false" customHeight="false" outlineLevel="0" collapsed="false">
      <c r="A3700" s="0" t="s">
        <v>2041</v>
      </c>
      <c r="B3700" s="0" t="s">
        <v>2042</v>
      </c>
      <c r="C3700" s="0" t="s">
        <v>2347</v>
      </c>
      <c r="D3700" s="0" t="s">
        <v>2279</v>
      </c>
      <c r="E3700" s="0" t="s">
        <v>2279</v>
      </c>
      <c r="F3700" s="0" t="s">
        <v>2292</v>
      </c>
      <c r="G3700" s="0" t="s">
        <v>2293</v>
      </c>
      <c r="H3700" s="0" t="s">
        <v>2200</v>
      </c>
      <c r="J3700" s="0" t="s">
        <v>2348</v>
      </c>
      <c r="K3700" s="272" t="n">
        <v>167263.2</v>
      </c>
    </row>
    <row r="3701" customFormat="false" ht="15" hidden="false" customHeight="false" outlineLevel="0" collapsed="false">
      <c r="A3701" s="0" t="s">
        <v>2041</v>
      </c>
      <c r="B3701" s="0" t="s">
        <v>2042</v>
      </c>
      <c r="C3701" s="0" t="s">
        <v>2347</v>
      </c>
      <c r="D3701" s="0" t="s">
        <v>2279</v>
      </c>
      <c r="E3701" s="0" t="s">
        <v>2279</v>
      </c>
      <c r="F3701" s="0" t="s">
        <v>2292</v>
      </c>
      <c r="G3701" s="0" t="s">
        <v>2293</v>
      </c>
      <c r="H3701" s="0" t="s">
        <v>2202</v>
      </c>
      <c r="J3701" s="0" t="s">
        <v>2348</v>
      </c>
      <c r="K3701" s="272" t="n">
        <v>90064.8</v>
      </c>
    </row>
    <row r="3702" customFormat="false" ht="15" hidden="false" customHeight="false" outlineLevel="0" collapsed="false">
      <c r="A3702" s="0" t="s">
        <v>2041</v>
      </c>
      <c r="B3702" s="0" t="s">
        <v>2042</v>
      </c>
      <c r="C3702" s="0" t="s">
        <v>2347</v>
      </c>
      <c r="D3702" s="0" t="s">
        <v>2279</v>
      </c>
      <c r="E3702" s="0" t="s">
        <v>2279</v>
      </c>
      <c r="F3702" s="0" t="s">
        <v>2292</v>
      </c>
      <c r="G3702" s="0" t="s">
        <v>2293</v>
      </c>
      <c r="H3702" s="0" t="s">
        <v>2313</v>
      </c>
      <c r="J3702" s="0" t="s">
        <v>2348</v>
      </c>
      <c r="K3702" s="272" t="n">
        <v>420874.24</v>
      </c>
    </row>
    <row r="3703" customFormat="false" ht="15" hidden="false" customHeight="false" outlineLevel="0" collapsed="false">
      <c r="A3703" s="0" t="s">
        <v>2041</v>
      </c>
      <c r="B3703" s="0" t="s">
        <v>2042</v>
      </c>
      <c r="C3703" s="0" t="s">
        <v>2347</v>
      </c>
      <c r="D3703" s="0" t="s">
        <v>2279</v>
      </c>
      <c r="E3703" s="0" t="s">
        <v>2279</v>
      </c>
      <c r="F3703" s="0" t="s">
        <v>2292</v>
      </c>
      <c r="G3703" s="0" t="s">
        <v>2293</v>
      </c>
      <c r="H3703" s="0" t="s">
        <v>2305</v>
      </c>
      <c r="J3703" s="0" t="s">
        <v>2348</v>
      </c>
      <c r="K3703" s="272" t="n">
        <v>423161.6</v>
      </c>
    </row>
    <row r="3704" customFormat="false" ht="15" hidden="false" customHeight="false" outlineLevel="0" collapsed="false">
      <c r="A3704" s="0" t="s">
        <v>2041</v>
      </c>
      <c r="B3704" s="0" t="s">
        <v>2042</v>
      </c>
      <c r="C3704" s="0" t="s">
        <v>2347</v>
      </c>
      <c r="D3704" s="0" t="s">
        <v>2279</v>
      </c>
      <c r="E3704" s="0" t="s">
        <v>2279</v>
      </c>
      <c r="F3704" s="0" t="s">
        <v>2292</v>
      </c>
      <c r="G3704" s="0" t="s">
        <v>2293</v>
      </c>
      <c r="H3704" s="0" t="s">
        <v>2291</v>
      </c>
      <c r="J3704" s="0" t="s">
        <v>2348</v>
      </c>
      <c r="K3704" s="272" t="n">
        <v>34422</v>
      </c>
    </row>
    <row r="3705" customFormat="false" ht="15" hidden="false" customHeight="false" outlineLevel="0" collapsed="false">
      <c r="A3705" s="0" t="s">
        <v>2041</v>
      </c>
      <c r="B3705" s="0" t="s">
        <v>2042</v>
      </c>
      <c r="C3705" s="0" t="s">
        <v>2347</v>
      </c>
      <c r="D3705" s="0" t="s">
        <v>2279</v>
      </c>
      <c r="E3705" s="0" t="s">
        <v>2279</v>
      </c>
      <c r="F3705" s="0" t="s">
        <v>2292</v>
      </c>
      <c r="G3705" s="0" t="s">
        <v>2293</v>
      </c>
      <c r="H3705" s="0" t="s">
        <v>2314</v>
      </c>
      <c r="J3705" s="0" t="s">
        <v>2348</v>
      </c>
      <c r="K3705" s="272" t="n">
        <v>101485</v>
      </c>
    </row>
    <row r="3706" customFormat="false" ht="15" hidden="false" customHeight="false" outlineLevel="0" collapsed="false">
      <c r="A3706" s="0" t="s">
        <v>2041</v>
      </c>
      <c r="B3706" s="0" t="s">
        <v>2042</v>
      </c>
      <c r="C3706" s="0" t="s">
        <v>2347</v>
      </c>
      <c r="D3706" s="0" t="s">
        <v>2279</v>
      </c>
      <c r="E3706" s="0" t="s">
        <v>2279</v>
      </c>
      <c r="F3706" s="0" t="s">
        <v>2292</v>
      </c>
      <c r="G3706" s="0" t="s">
        <v>2293</v>
      </c>
      <c r="H3706" s="0" t="s">
        <v>2314</v>
      </c>
      <c r="J3706" s="0" t="s">
        <v>2348</v>
      </c>
      <c r="K3706" s="272" t="n">
        <v>114383.7</v>
      </c>
    </row>
    <row r="3707" customFormat="false" ht="15" hidden="false" customHeight="false" outlineLevel="0" collapsed="false">
      <c r="A3707" s="0" t="s">
        <v>2041</v>
      </c>
      <c r="B3707" s="0" t="s">
        <v>2042</v>
      </c>
      <c r="C3707" s="0" t="s">
        <v>2347</v>
      </c>
      <c r="D3707" s="0" t="s">
        <v>2279</v>
      </c>
      <c r="E3707" s="0" t="s">
        <v>2279</v>
      </c>
      <c r="F3707" s="0" t="s">
        <v>2292</v>
      </c>
      <c r="G3707" s="0" t="s">
        <v>2293</v>
      </c>
      <c r="H3707" s="0" t="s">
        <v>2314</v>
      </c>
      <c r="J3707" s="0" t="s">
        <v>2348</v>
      </c>
      <c r="K3707" s="272" t="n">
        <v>226016.35</v>
      </c>
    </row>
    <row r="3708" customFormat="false" ht="15" hidden="false" customHeight="false" outlineLevel="0" collapsed="false">
      <c r="A3708" s="0" t="s">
        <v>2041</v>
      </c>
      <c r="B3708" s="0" t="s">
        <v>2042</v>
      </c>
      <c r="C3708" s="0" t="s">
        <v>2347</v>
      </c>
      <c r="D3708" s="0" t="s">
        <v>2279</v>
      </c>
      <c r="E3708" s="0" t="s">
        <v>2279</v>
      </c>
      <c r="F3708" s="0" t="s">
        <v>2292</v>
      </c>
      <c r="G3708" s="0" t="s">
        <v>2293</v>
      </c>
      <c r="H3708" s="0" t="s">
        <v>2295</v>
      </c>
      <c r="J3708" s="0" t="s">
        <v>2348</v>
      </c>
      <c r="K3708" s="272" t="n">
        <v>244342</v>
      </c>
    </row>
    <row r="3709" customFormat="false" ht="15" hidden="false" customHeight="false" outlineLevel="0" collapsed="false">
      <c r="A3709" s="0" t="s">
        <v>2041</v>
      </c>
      <c r="B3709" s="0" t="s">
        <v>2042</v>
      </c>
      <c r="C3709" s="0" t="s">
        <v>2347</v>
      </c>
      <c r="D3709" s="0" t="s">
        <v>2279</v>
      </c>
      <c r="E3709" s="0" t="s">
        <v>2279</v>
      </c>
      <c r="F3709" s="0" t="s">
        <v>2292</v>
      </c>
      <c r="G3709" s="0" t="s">
        <v>2293</v>
      </c>
      <c r="H3709" s="0" t="s">
        <v>2287</v>
      </c>
      <c r="J3709" s="0" t="s">
        <v>2348</v>
      </c>
      <c r="K3709" s="272" t="n">
        <v>256559.1</v>
      </c>
    </row>
    <row r="3710" customFormat="false" ht="15" hidden="false" customHeight="false" outlineLevel="0" collapsed="false">
      <c r="A3710" s="0" t="s">
        <v>2041</v>
      </c>
      <c r="B3710" s="0" t="s">
        <v>2042</v>
      </c>
      <c r="C3710" s="0" t="s">
        <v>2347</v>
      </c>
      <c r="D3710" s="0" t="s">
        <v>2279</v>
      </c>
      <c r="E3710" s="0" t="s">
        <v>2279</v>
      </c>
      <c r="F3710" s="0" t="s">
        <v>2292</v>
      </c>
      <c r="G3710" s="0" t="s">
        <v>2293</v>
      </c>
      <c r="H3710" s="0" t="s">
        <v>2298</v>
      </c>
      <c r="J3710" s="0" t="s">
        <v>2348</v>
      </c>
      <c r="K3710" s="272" t="n">
        <v>263889.36</v>
      </c>
    </row>
    <row r="3711" customFormat="false" ht="15" hidden="false" customHeight="false" outlineLevel="0" collapsed="false">
      <c r="A3711" s="0" t="s">
        <v>2041</v>
      </c>
      <c r="B3711" s="0" t="s">
        <v>2042</v>
      </c>
      <c r="C3711" s="0" t="s">
        <v>2347</v>
      </c>
      <c r="D3711" s="0" t="s">
        <v>2279</v>
      </c>
      <c r="E3711" s="0" t="s">
        <v>2279</v>
      </c>
      <c r="F3711" s="0" t="s">
        <v>2292</v>
      </c>
      <c r="G3711" s="0" t="s">
        <v>2293</v>
      </c>
      <c r="H3711" s="0" t="s">
        <v>2314</v>
      </c>
      <c r="J3711" s="0" t="s">
        <v>2348</v>
      </c>
      <c r="K3711" s="272" t="n">
        <v>268776.2</v>
      </c>
    </row>
    <row r="3712" customFormat="false" ht="15" hidden="false" customHeight="false" outlineLevel="0" collapsed="false">
      <c r="A3712" s="0" t="s">
        <v>2041</v>
      </c>
      <c r="B3712" s="0" t="s">
        <v>2042</v>
      </c>
      <c r="C3712" s="0" t="s">
        <v>2347</v>
      </c>
      <c r="D3712" s="0" t="s">
        <v>2279</v>
      </c>
      <c r="E3712" s="0" t="s">
        <v>2279</v>
      </c>
      <c r="F3712" s="0" t="s">
        <v>2292</v>
      </c>
      <c r="G3712" s="0" t="s">
        <v>2293</v>
      </c>
      <c r="H3712" s="0" t="s">
        <v>2313</v>
      </c>
      <c r="J3712" s="0" t="s">
        <v>2348</v>
      </c>
      <c r="K3712" s="272" t="n">
        <v>370178.13</v>
      </c>
    </row>
    <row r="3713" customFormat="false" ht="15" hidden="false" customHeight="false" outlineLevel="0" collapsed="false">
      <c r="A3713" s="0" t="s">
        <v>2041</v>
      </c>
      <c r="B3713" s="0" t="s">
        <v>2042</v>
      </c>
      <c r="C3713" s="0" t="s">
        <v>2347</v>
      </c>
      <c r="D3713" s="0" t="s">
        <v>2279</v>
      </c>
      <c r="E3713" s="0" t="s">
        <v>2279</v>
      </c>
      <c r="F3713" s="0" t="s">
        <v>2292</v>
      </c>
      <c r="G3713" s="0" t="s">
        <v>2293</v>
      </c>
      <c r="H3713" s="0" t="s">
        <v>2284</v>
      </c>
      <c r="J3713" s="0" t="s">
        <v>2348</v>
      </c>
      <c r="K3713" s="272" t="n">
        <v>216853.53</v>
      </c>
    </row>
    <row r="3714" customFormat="false" ht="15" hidden="false" customHeight="false" outlineLevel="0" collapsed="false">
      <c r="A3714" s="0" t="s">
        <v>2041</v>
      </c>
      <c r="B3714" s="0" t="s">
        <v>2042</v>
      </c>
      <c r="C3714" s="0" t="s">
        <v>2347</v>
      </c>
      <c r="D3714" s="0" t="s">
        <v>2279</v>
      </c>
      <c r="E3714" s="0" t="s">
        <v>2279</v>
      </c>
      <c r="F3714" s="0" t="s">
        <v>2292</v>
      </c>
      <c r="G3714" s="0" t="s">
        <v>2293</v>
      </c>
      <c r="H3714" s="0" t="s">
        <v>2289</v>
      </c>
      <c r="J3714" s="0" t="s">
        <v>2348</v>
      </c>
      <c r="K3714" s="272" t="n">
        <v>216853.53</v>
      </c>
    </row>
    <row r="3715" customFormat="false" ht="15" hidden="false" customHeight="false" outlineLevel="0" collapsed="false">
      <c r="A3715" s="0" t="s">
        <v>2041</v>
      </c>
      <c r="B3715" s="0" t="s">
        <v>2042</v>
      </c>
      <c r="C3715" s="0" t="s">
        <v>2339</v>
      </c>
      <c r="D3715" s="0" t="s">
        <v>2279</v>
      </c>
      <c r="E3715" s="0" t="s">
        <v>2279</v>
      </c>
      <c r="F3715" s="0" t="s">
        <v>2292</v>
      </c>
      <c r="G3715" s="0" t="s">
        <v>2293</v>
      </c>
      <c r="H3715" s="0" t="s">
        <v>2287</v>
      </c>
      <c r="J3715" s="0" t="s">
        <v>2348</v>
      </c>
      <c r="K3715" s="272" t="n">
        <v>10006.37</v>
      </c>
    </row>
    <row r="3716" customFormat="false" ht="15" hidden="false" customHeight="false" outlineLevel="0" collapsed="false">
      <c r="A3716" s="0" t="s">
        <v>2041</v>
      </c>
      <c r="B3716" s="0" t="s">
        <v>2042</v>
      </c>
      <c r="C3716" s="0" t="s">
        <v>2339</v>
      </c>
      <c r="D3716" s="0" t="s">
        <v>2279</v>
      </c>
      <c r="E3716" s="0" t="s">
        <v>2279</v>
      </c>
      <c r="F3716" s="0" t="s">
        <v>2292</v>
      </c>
      <c r="G3716" s="0" t="s">
        <v>2293</v>
      </c>
      <c r="H3716" s="0" t="s">
        <v>2313</v>
      </c>
      <c r="J3716" s="0" t="s">
        <v>2348</v>
      </c>
      <c r="K3716" s="272" t="n">
        <v>18413.02</v>
      </c>
    </row>
    <row r="3717" customFormat="false" ht="15" hidden="false" customHeight="false" outlineLevel="0" collapsed="false">
      <c r="A3717" s="0" t="s">
        <v>2041</v>
      </c>
      <c r="B3717" s="0" t="s">
        <v>2042</v>
      </c>
      <c r="C3717" s="0" t="s">
        <v>2339</v>
      </c>
      <c r="D3717" s="0" t="s">
        <v>2279</v>
      </c>
      <c r="E3717" s="0" t="s">
        <v>2279</v>
      </c>
      <c r="F3717" s="0" t="s">
        <v>2292</v>
      </c>
      <c r="G3717" s="0" t="s">
        <v>2293</v>
      </c>
      <c r="H3717" s="0" t="s">
        <v>2305</v>
      </c>
      <c r="J3717" s="0" t="s">
        <v>2348</v>
      </c>
      <c r="K3717" s="272" t="n">
        <v>17623.09</v>
      </c>
    </row>
    <row r="3718" customFormat="false" ht="15" hidden="false" customHeight="false" outlineLevel="0" collapsed="false">
      <c r="A3718" s="0" t="s">
        <v>2041</v>
      </c>
      <c r="B3718" s="0" t="s">
        <v>2042</v>
      </c>
      <c r="C3718" s="0" t="s">
        <v>2339</v>
      </c>
      <c r="D3718" s="0" t="s">
        <v>2279</v>
      </c>
      <c r="E3718" s="0" t="s">
        <v>2279</v>
      </c>
      <c r="F3718" s="0" t="s">
        <v>2292</v>
      </c>
      <c r="G3718" s="0" t="s">
        <v>2293</v>
      </c>
      <c r="H3718" s="0" t="s">
        <v>2326</v>
      </c>
      <c r="J3718" s="0" t="s">
        <v>2348</v>
      </c>
      <c r="K3718" s="272" t="n">
        <v>21463.08</v>
      </c>
    </row>
    <row r="3719" customFormat="false" ht="15" hidden="false" customHeight="false" outlineLevel="0" collapsed="false">
      <c r="A3719" s="0" t="s">
        <v>2041</v>
      </c>
      <c r="B3719" s="0" t="s">
        <v>2042</v>
      </c>
      <c r="C3719" s="0" t="s">
        <v>2339</v>
      </c>
      <c r="D3719" s="0" t="s">
        <v>2279</v>
      </c>
      <c r="E3719" s="0" t="s">
        <v>2279</v>
      </c>
      <c r="F3719" s="0" t="s">
        <v>2292</v>
      </c>
      <c r="G3719" s="0" t="s">
        <v>2293</v>
      </c>
      <c r="H3719" s="0" t="s">
        <v>2200</v>
      </c>
      <c r="J3719" s="0" t="s">
        <v>2348</v>
      </c>
      <c r="K3719" s="272" t="n">
        <v>10248.29</v>
      </c>
    </row>
    <row r="3720" customFormat="false" ht="15" hidden="false" customHeight="false" outlineLevel="0" collapsed="false">
      <c r="A3720" s="0" t="s">
        <v>2041</v>
      </c>
      <c r="B3720" s="0" t="s">
        <v>2042</v>
      </c>
      <c r="C3720" s="0" t="s">
        <v>2339</v>
      </c>
      <c r="D3720" s="0" t="s">
        <v>2279</v>
      </c>
      <c r="E3720" s="0" t="s">
        <v>2279</v>
      </c>
      <c r="F3720" s="0" t="s">
        <v>2292</v>
      </c>
      <c r="G3720" s="0" t="s">
        <v>2293</v>
      </c>
      <c r="H3720" s="0" t="s">
        <v>2202</v>
      </c>
      <c r="J3720" s="0" t="s">
        <v>2348</v>
      </c>
      <c r="K3720" s="272" t="n">
        <v>5518.31</v>
      </c>
    </row>
    <row r="3721" customFormat="false" ht="15" hidden="false" customHeight="false" outlineLevel="0" collapsed="false">
      <c r="A3721" s="0" t="s">
        <v>2041</v>
      </c>
      <c r="B3721" s="0" t="s">
        <v>2042</v>
      </c>
      <c r="C3721" s="0" t="s">
        <v>2339</v>
      </c>
      <c r="D3721" s="0" t="s">
        <v>2279</v>
      </c>
      <c r="E3721" s="0" t="s">
        <v>2279</v>
      </c>
      <c r="F3721" s="0" t="s">
        <v>2292</v>
      </c>
      <c r="G3721" s="0" t="s">
        <v>2293</v>
      </c>
      <c r="H3721" s="0" t="s">
        <v>2314</v>
      </c>
      <c r="J3721" s="0" t="s">
        <v>2348</v>
      </c>
      <c r="K3721" s="272" t="n">
        <v>21931.71</v>
      </c>
    </row>
    <row r="3722" customFormat="false" ht="15" hidden="false" customHeight="false" outlineLevel="0" collapsed="false">
      <c r="A3722" s="0" t="s">
        <v>2041</v>
      </c>
      <c r="B3722" s="0" t="s">
        <v>2042</v>
      </c>
      <c r="C3722" s="0" t="s">
        <v>2339</v>
      </c>
      <c r="D3722" s="0" t="s">
        <v>2279</v>
      </c>
      <c r="E3722" s="0" t="s">
        <v>2279</v>
      </c>
      <c r="F3722" s="0" t="s">
        <v>2292</v>
      </c>
      <c r="G3722" s="0" t="s">
        <v>2293</v>
      </c>
      <c r="H3722" s="0" t="s">
        <v>2295</v>
      </c>
      <c r="J3722" s="0" t="s">
        <v>2348</v>
      </c>
      <c r="K3722" s="272" t="n">
        <v>8811.54</v>
      </c>
    </row>
    <row r="3723" customFormat="false" ht="15" hidden="false" customHeight="false" outlineLevel="0" collapsed="false">
      <c r="A3723" s="0" t="s">
        <v>2041</v>
      </c>
      <c r="B3723" s="0" t="s">
        <v>2042</v>
      </c>
      <c r="C3723" s="0" t="s">
        <v>2339</v>
      </c>
      <c r="D3723" s="0" t="s">
        <v>2279</v>
      </c>
      <c r="E3723" s="0" t="s">
        <v>2279</v>
      </c>
      <c r="F3723" s="0" t="s">
        <v>2292</v>
      </c>
      <c r="G3723" s="0" t="s">
        <v>2293</v>
      </c>
      <c r="H3723" s="0" t="s">
        <v>2284</v>
      </c>
      <c r="J3723" s="0" t="s">
        <v>2348</v>
      </c>
      <c r="K3723" s="272" t="n">
        <v>4405.77</v>
      </c>
    </row>
    <row r="3724" customFormat="false" ht="15" hidden="false" customHeight="false" outlineLevel="0" collapsed="false">
      <c r="A3724" s="0" t="s">
        <v>2041</v>
      </c>
      <c r="B3724" s="0" t="s">
        <v>2042</v>
      </c>
      <c r="C3724" s="0" t="s">
        <v>2339</v>
      </c>
      <c r="D3724" s="0" t="s">
        <v>2279</v>
      </c>
      <c r="E3724" s="0" t="s">
        <v>2279</v>
      </c>
      <c r="F3724" s="0" t="s">
        <v>2292</v>
      </c>
      <c r="G3724" s="0" t="s">
        <v>2293</v>
      </c>
      <c r="H3724" s="0" t="s">
        <v>2289</v>
      </c>
      <c r="J3724" s="0" t="s">
        <v>2348</v>
      </c>
      <c r="K3724" s="272" t="n">
        <v>4405.77</v>
      </c>
    </row>
    <row r="3725" customFormat="false" ht="15" hidden="false" customHeight="false" outlineLevel="0" collapsed="false">
      <c r="A3725" s="0" t="s">
        <v>2041</v>
      </c>
      <c r="B3725" s="0" t="s">
        <v>2042</v>
      </c>
      <c r="C3725" s="0" t="s">
        <v>2339</v>
      </c>
      <c r="D3725" s="0" t="s">
        <v>2279</v>
      </c>
      <c r="E3725" s="0" t="s">
        <v>2279</v>
      </c>
      <c r="F3725" s="0" t="s">
        <v>2292</v>
      </c>
      <c r="G3725" s="0" t="s">
        <v>2293</v>
      </c>
      <c r="H3725" s="0" t="s">
        <v>2298</v>
      </c>
      <c r="J3725" s="0" t="s">
        <v>2348</v>
      </c>
      <c r="K3725" s="272" t="n">
        <v>9206.51</v>
      </c>
    </row>
    <row r="3726" customFormat="false" ht="15" hidden="false" customHeight="false" outlineLevel="0" collapsed="false">
      <c r="A3726" s="0" t="s">
        <v>2041</v>
      </c>
      <c r="B3726" s="0" t="s">
        <v>2042</v>
      </c>
      <c r="C3726" s="0" t="s">
        <v>2339</v>
      </c>
      <c r="D3726" s="0" t="s">
        <v>2279</v>
      </c>
      <c r="E3726" s="0" t="s">
        <v>2279</v>
      </c>
      <c r="F3726" s="0" t="s">
        <v>2292</v>
      </c>
      <c r="G3726" s="0" t="s">
        <v>2293</v>
      </c>
      <c r="H3726" s="0" t="s">
        <v>2294</v>
      </c>
      <c r="J3726" s="0" t="s">
        <v>2348</v>
      </c>
      <c r="K3726" s="272" t="n">
        <v>8811.54</v>
      </c>
    </row>
    <row r="3727" customFormat="false" ht="15" hidden="false" customHeight="false" outlineLevel="0" collapsed="false">
      <c r="A3727" s="0" t="s">
        <v>2041</v>
      </c>
      <c r="B3727" s="0" t="s">
        <v>2042</v>
      </c>
      <c r="C3727" s="0" t="s">
        <v>2339</v>
      </c>
      <c r="D3727" s="0" t="s">
        <v>2279</v>
      </c>
      <c r="E3727" s="0" t="s">
        <v>2279</v>
      </c>
      <c r="F3727" s="0" t="s">
        <v>2292</v>
      </c>
      <c r="G3727" s="0" t="s">
        <v>2293</v>
      </c>
      <c r="H3727" s="0" t="s">
        <v>2291</v>
      </c>
      <c r="J3727" s="0" t="s">
        <v>2348</v>
      </c>
      <c r="K3727" s="272" t="n">
        <v>18018.05</v>
      </c>
    </row>
    <row r="3728" customFormat="false" ht="15" hidden="false" customHeight="false" outlineLevel="0" collapsed="false">
      <c r="A3728" s="0" t="s">
        <v>2041</v>
      </c>
      <c r="B3728" s="0" t="s">
        <v>2042</v>
      </c>
      <c r="C3728" s="0" t="s">
        <v>2339</v>
      </c>
      <c r="D3728" s="0" t="s">
        <v>2279</v>
      </c>
      <c r="E3728" s="0" t="s">
        <v>2279</v>
      </c>
      <c r="F3728" s="0" t="s">
        <v>2292</v>
      </c>
      <c r="G3728" s="0" t="s">
        <v>2293</v>
      </c>
      <c r="H3728" s="0" t="s">
        <v>2318</v>
      </c>
      <c r="J3728" s="0" t="s">
        <v>2348</v>
      </c>
      <c r="K3728" s="272" t="n">
        <v>6560.08</v>
      </c>
    </row>
    <row r="3729" customFormat="false" ht="15" hidden="false" customHeight="false" outlineLevel="0" collapsed="false">
      <c r="A3729" s="0" t="s">
        <v>2041</v>
      </c>
      <c r="B3729" s="0" t="s">
        <v>2042</v>
      </c>
      <c r="C3729" s="0" t="s">
        <v>2339</v>
      </c>
      <c r="D3729" s="0" t="s">
        <v>2279</v>
      </c>
      <c r="E3729" s="0" t="s">
        <v>2279</v>
      </c>
      <c r="F3729" s="0" t="s">
        <v>2292</v>
      </c>
      <c r="G3729" s="0" t="s">
        <v>2293</v>
      </c>
      <c r="H3729" s="0" t="s">
        <v>2182</v>
      </c>
      <c r="J3729" s="0" t="s">
        <v>2348</v>
      </c>
      <c r="K3729" s="272" t="n">
        <v>10006.37</v>
      </c>
    </row>
    <row r="3730" customFormat="false" ht="15" hidden="false" customHeight="false" outlineLevel="0" collapsed="false">
      <c r="A3730" s="0" t="s">
        <v>2041</v>
      </c>
      <c r="B3730" s="0" t="s">
        <v>2042</v>
      </c>
      <c r="C3730" s="0" t="s">
        <v>2347</v>
      </c>
      <c r="D3730" s="0" t="s">
        <v>2279</v>
      </c>
      <c r="E3730" s="0" t="s">
        <v>2279</v>
      </c>
      <c r="F3730" s="0" t="s">
        <v>2292</v>
      </c>
      <c r="G3730" s="0" t="s">
        <v>2293</v>
      </c>
      <c r="H3730" s="0" t="s">
        <v>2287</v>
      </c>
      <c r="J3730" s="0" t="s">
        <v>2348</v>
      </c>
      <c r="K3730" s="272" t="n">
        <v>10006.37</v>
      </c>
    </row>
    <row r="3731" customFormat="false" ht="15" hidden="false" customHeight="false" outlineLevel="0" collapsed="false">
      <c r="A3731" s="0" t="s">
        <v>2041</v>
      </c>
      <c r="B3731" s="0" t="s">
        <v>2042</v>
      </c>
      <c r="C3731" s="0" t="s">
        <v>2347</v>
      </c>
      <c r="D3731" s="0" t="s">
        <v>2279</v>
      </c>
      <c r="E3731" s="0" t="s">
        <v>2279</v>
      </c>
      <c r="F3731" s="0" t="s">
        <v>2292</v>
      </c>
      <c r="G3731" s="0" t="s">
        <v>2293</v>
      </c>
      <c r="H3731" s="0" t="s">
        <v>2313</v>
      </c>
      <c r="J3731" s="0" t="s">
        <v>2348</v>
      </c>
      <c r="K3731" s="272" t="n">
        <v>42082.76</v>
      </c>
    </row>
    <row r="3732" customFormat="false" ht="15" hidden="false" customHeight="false" outlineLevel="0" collapsed="false">
      <c r="A3732" s="0" t="s">
        <v>2041</v>
      </c>
      <c r="B3732" s="0" t="s">
        <v>2042</v>
      </c>
      <c r="C3732" s="0" t="s">
        <v>2347</v>
      </c>
      <c r="D3732" s="0" t="s">
        <v>2279</v>
      </c>
      <c r="E3732" s="0" t="s">
        <v>2279</v>
      </c>
      <c r="F3732" s="0" t="s">
        <v>2292</v>
      </c>
      <c r="G3732" s="0" t="s">
        <v>2293</v>
      </c>
      <c r="H3732" s="0" t="s">
        <v>2305</v>
      </c>
      <c r="J3732" s="0" t="s">
        <v>2348</v>
      </c>
      <c r="K3732" s="272" t="n">
        <v>10503.84</v>
      </c>
    </row>
    <row r="3733" customFormat="false" ht="15" hidden="false" customHeight="false" outlineLevel="0" collapsed="false">
      <c r="A3733" s="0" t="s">
        <v>2041</v>
      </c>
      <c r="B3733" s="0" t="s">
        <v>2042</v>
      </c>
      <c r="C3733" s="0" t="s">
        <v>2347</v>
      </c>
      <c r="D3733" s="0" t="s">
        <v>2279</v>
      </c>
      <c r="E3733" s="0" t="s">
        <v>2279</v>
      </c>
      <c r="F3733" s="0" t="s">
        <v>2292</v>
      </c>
      <c r="G3733" s="0" t="s">
        <v>2293</v>
      </c>
      <c r="H3733" s="0" t="s">
        <v>2326</v>
      </c>
      <c r="J3733" s="0" t="s">
        <v>2348</v>
      </c>
      <c r="K3733" s="272" t="n">
        <v>19195.78</v>
      </c>
    </row>
    <row r="3734" customFormat="false" ht="15" hidden="false" customHeight="false" outlineLevel="0" collapsed="false">
      <c r="A3734" s="0" t="s">
        <v>2041</v>
      </c>
      <c r="B3734" s="0" t="s">
        <v>2042</v>
      </c>
      <c r="C3734" s="0" t="s">
        <v>2347</v>
      </c>
      <c r="D3734" s="0" t="s">
        <v>2279</v>
      </c>
      <c r="E3734" s="0" t="s">
        <v>2279</v>
      </c>
      <c r="F3734" s="0" t="s">
        <v>2292</v>
      </c>
      <c r="G3734" s="0" t="s">
        <v>2293</v>
      </c>
      <c r="H3734" s="0" t="s">
        <v>2314</v>
      </c>
      <c r="J3734" s="0" t="s">
        <v>2348</v>
      </c>
      <c r="K3734" s="272" t="n">
        <v>23738.83</v>
      </c>
    </row>
    <row r="3735" customFormat="false" ht="15" hidden="false" customHeight="false" outlineLevel="0" collapsed="false">
      <c r="A3735" s="0" t="s">
        <v>2041</v>
      </c>
      <c r="B3735" s="0" t="s">
        <v>2042</v>
      </c>
      <c r="C3735" s="0" t="s">
        <v>2347</v>
      </c>
      <c r="D3735" s="0" t="s">
        <v>2279</v>
      </c>
      <c r="E3735" s="0" t="s">
        <v>2279</v>
      </c>
      <c r="F3735" s="0" t="s">
        <v>2292</v>
      </c>
      <c r="G3735" s="0" t="s">
        <v>2293</v>
      </c>
      <c r="H3735" s="0" t="s">
        <v>2284</v>
      </c>
      <c r="J3735" s="0" t="s">
        <v>2348</v>
      </c>
      <c r="K3735" s="272" t="n">
        <v>12613.35</v>
      </c>
    </row>
    <row r="3736" customFormat="false" ht="15" hidden="false" customHeight="false" outlineLevel="0" collapsed="false">
      <c r="A3736" s="0" t="s">
        <v>2041</v>
      </c>
      <c r="B3736" s="0" t="s">
        <v>2042</v>
      </c>
      <c r="C3736" s="0" t="s">
        <v>2347</v>
      </c>
      <c r="D3736" s="0" t="s">
        <v>2279</v>
      </c>
      <c r="E3736" s="0" t="s">
        <v>2279</v>
      </c>
      <c r="F3736" s="0" t="s">
        <v>2292</v>
      </c>
      <c r="G3736" s="0" t="s">
        <v>2293</v>
      </c>
      <c r="H3736" s="0" t="s">
        <v>2289</v>
      </c>
      <c r="J3736" s="0" t="s">
        <v>2348</v>
      </c>
      <c r="K3736" s="272" t="n">
        <v>12613.35</v>
      </c>
    </row>
    <row r="3737" customFormat="false" ht="15" hidden="false" customHeight="false" outlineLevel="0" collapsed="false">
      <c r="A3737" s="0" t="s">
        <v>2041</v>
      </c>
      <c r="B3737" s="0" t="s">
        <v>2042</v>
      </c>
      <c r="C3737" s="0" t="s">
        <v>2347</v>
      </c>
      <c r="D3737" s="0" t="s">
        <v>2279</v>
      </c>
      <c r="E3737" s="0" t="s">
        <v>2279</v>
      </c>
      <c r="F3737" s="0" t="s">
        <v>2292</v>
      </c>
      <c r="G3737" s="0" t="s">
        <v>2293</v>
      </c>
      <c r="H3737" s="0" t="s">
        <v>2291</v>
      </c>
      <c r="J3737" s="0" t="s">
        <v>2348</v>
      </c>
      <c r="K3737" s="272" t="n">
        <v>63548.69</v>
      </c>
    </row>
    <row r="3738" customFormat="false" ht="15" hidden="false" customHeight="false" outlineLevel="0" collapsed="false">
      <c r="A3738" s="0" t="s">
        <v>2041</v>
      </c>
      <c r="B3738" s="0" t="s">
        <v>2042</v>
      </c>
      <c r="C3738" s="0" t="s">
        <v>2339</v>
      </c>
      <c r="D3738" s="0" t="s">
        <v>2279</v>
      </c>
      <c r="E3738" s="0" t="s">
        <v>2279</v>
      </c>
      <c r="F3738" s="0" t="s">
        <v>2292</v>
      </c>
      <c r="G3738" s="0" t="s">
        <v>2293</v>
      </c>
      <c r="H3738" s="0" t="s">
        <v>2284</v>
      </c>
      <c r="J3738" s="0" t="s">
        <v>2348</v>
      </c>
      <c r="K3738" s="272" t="n">
        <v>17315.33</v>
      </c>
    </row>
    <row r="3739" customFormat="false" ht="15" hidden="false" customHeight="false" outlineLevel="0" collapsed="false">
      <c r="A3739" s="0" t="s">
        <v>2041</v>
      </c>
      <c r="B3739" s="0" t="s">
        <v>2042</v>
      </c>
      <c r="C3739" s="0" t="s">
        <v>2339</v>
      </c>
      <c r="D3739" s="0" t="s">
        <v>2279</v>
      </c>
      <c r="E3739" s="0" t="s">
        <v>2279</v>
      </c>
      <c r="F3739" s="0" t="s">
        <v>2292</v>
      </c>
      <c r="G3739" s="0" t="s">
        <v>2293</v>
      </c>
      <c r="H3739" s="0" t="s">
        <v>2294</v>
      </c>
      <c r="J3739" s="0" t="s">
        <v>2348</v>
      </c>
      <c r="K3739" s="272" t="n">
        <v>162569.55</v>
      </c>
    </row>
    <row r="3740" customFormat="false" ht="15" hidden="false" customHeight="false" outlineLevel="0" collapsed="false">
      <c r="A3740" s="0" t="s">
        <v>2041</v>
      </c>
      <c r="B3740" s="0" t="s">
        <v>2042</v>
      </c>
      <c r="C3740" s="0" t="s">
        <v>2339</v>
      </c>
      <c r="D3740" s="0" t="s">
        <v>2279</v>
      </c>
      <c r="E3740" s="0" t="s">
        <v>2279</v>
      </c>
      <c r="F3740" s="0" t="s">
        <v>2292</v>
      </c>
      <c r="G3740" s="0" t="s">
        <v>2293</v>
      </c>
      <c r="H3740" s="0" t="s">
        <v>2296</v>
      </c>
      <c r="J3740" s="0" t="s">
        <v>2348</v>
      </c>
      <c r="K3740" s="272" t="n">
        <v>148843.44</v>
      </c>
    </row>
    <row r="3741" customFormat="false" ht="15" hidden="false" customHeight="false" outlineLevel="0" collapsed="false">
      <c r="A3741" s="0" t="s">
        <v>2041</v>
      </c>
      <c r="B3741" s="0" t="s">
        <v>2042</v>
      </c>
      <c r="C3741" s="0" t="s">
        <v>2339</v>
      </c>
      <c r="D3741" s="0" t="s">
        <v>2279</v>
      </c>
      <c r="E3741" s="0" t="s">
        <v>2279</v>
      </c>
      <c r="F3741" s="0" t="s">
        <v>2292</v>
      </c>
      <c r="G3741" s="0" t="s">
        <v>2293</v>
      </c>
      <c r="H3741" s="0" t="s">
        <v>2297</v>
      </c>
      <c r="J3741" s="0" t="s">
        <v>2348</v>
      </c>
      <c r="K3741" s="272" t="n">
        <v>20875.24</v>
      </c>
    </row>
    <row r="3742" customFormat="false" ht="15" hidden="false" customHeight="false" outlineLevel="0" collapsed="false">
      <c r="A3742" s="0" t="s">
        <v>2041</v>
      </c>
      <c r="B3742" s="0" t="s">
        <v>2042</v>
      </c>
      <c r="C3742" s="0" t="s">
        <v>2339</v>
      </c>
      <c r="D3742" s="0" t="s">
        <v>2279</v>
      </c>
      <c r="E3742" s="0" t="s">
        <v>2279</v>
      </c>
      <c r="F3742" s="0" t="s">
        <v>2292</v>
      </c>
      <c r="G3742" s="0" t="s">
        <v>2293</v>
      </c>
      <c r="H3742" s="0" t="s">
        <v>2353</v>
      </c>
      <c r="J3742" s="0" t="s">
        <v>2348</v>
      </c>
      <c r="K3742" s="272" t="n">
        <v>12868.28</v>
      </c>
    </row>
    <row r="3743" customFormat="false" ht="15" hidden="false" customHeight="false" outlineLevel="0" collapsed="false">
      <c r="A3743" s="0" t="s">
        <v>2041</v>
      </c>
      <c r="B3743" s="0" t="s">
        <v>2042</v>
      </c>
      <c r="C3743" s="0" t="s">
        <v>2339</v>
      </c>
      <c r="D3743" s="0" t="s">
        <v>2279</v>
      </c>
      <c r="E3743" s="0" t="s">
        <v>2279</v>
      </c>
      <c r="F3743" s="0" t="s">
        <v>2292</v>
      </c>
      <c r="G3743" s="0" t="s">
        <v>2293</v>
      </c>
      <c r="H3743" s="0" t="s">
        <v>2299</v>
      </c>
      <c r="J3743" s="0" t="s">
        <v>2348</v>
      </c>
      <c r="K3743" s="272" t="n">
        <v>16013.93</v>
      </c>
    </row>
    <row r="3744" customFormat="false" ht="15" hidden="false" customHeight="false" outlineLevel="0" collapsed="false">
      <c r="A3744" s="0" t="s">
        <v>2041</v>
      </c>
      <c r="B3744" s="0" t="s">
        <v>2042</v>
      </c>
      <c r="C3744" s="0" t="s">
        <v>2339</v>
      </c>
      <c r="D3744" s="0" t="s">
        <v>2279</v>
      </c>
      <c r="E3744" s="0" t="s">
        <v>2279</v>
      </c>
      <c r="F3744" s="0" t="s">
        <v>2292</v>
      </c>
      <c r="G3744" s="0" t="s">
        <v>2293</v>
      </c>
      <c r="H3744" s="0" t="s">
        <v>2300</v>
      </c>
      <c r="J3744" s="0" t="s">
        <v>2348</v>
      </c>
      <c r="K3744" s="272" t="n">
        <v>6963.16</v>
      </c>
    </row>
    <row r="3745" customFormat="false" ht="15" hidden="false" customHeight="false" outlineLevel="0" collapsed="false">
      <c r="A3745" s="0" t="s">
        <v>2041</v>
      </c>
      <c r="B3745" s="0" t="s">
        <v>2042</v>
      </c>
      <c r="C3745" s="0" t="s">
        <v>2339</v>
      </c>
      <c r="D3745" s="0" t="s">
        <v>2279</v>
      </c>
      <c r="E3745" s="0" t="s">
        <v>2279</v>
      </c>
      <c r="F3745" s="0" t="s">
        <v>2292</v>
      </c>
      <c r="G3745" s="0" t="s">
        <v>2293</v>
      </c>
      <c r="H3745" s="0" t="s">
        <v>2301</v>
      </c>
      <c r="J3745" s="0" t="s">
        <v>2348</v>
      </c>
      <c r="K3745" s="272" t="n">
        <v>13912.08</v>
      </c>
    </row>
    <row r="3746" customFormat="false" ht="15" hidden="false" customHeight="false" outlineLevel="0" collapsed="false">
      <c r="A3746" s="0" t="s">
        <v>2041</v>
      </c>
      <c r="B3746" s="0" t="s">
        <v>2042</v>
      </c>
      <c r="C3746" s="0" t="s">
        <v>2339</v>
      </c>
      <c r="D3746" s="0" t="s">
        <v>2279</v>
      </c>
      <c r="E3746" s="0" t="s">
        <v>2279</v>
      </c>
      <c r="F3746" s="0" t="s">
        <v>2292</v>
      </c>
      <c r="G3746" s="0" t="s">
        <v>2293</v>
      </c>
      <c r="H3746" s="0" t="s">
        <v>2302</v>
      </c>
      <c r="J3746" s="0" t="s">
        <v>2348</v>
      </c>
      <c r="K3746" s="272" t="n">
        <v>20017.42</v>
      </c>
    </row>
    <row r="3747" customFormat="false" ht="15" hidden="false" customHeight="false" outlineLevel="0" collapsed="false">
      <c r="A3747" s="0" t="s">
        <v>2041</v>
      </c>
      <c r="B3747" s="0" t="s">
        <v>2042</v>
      </c>
      <c r="C3747" s="0" t="s">
        <v>2339</v>
      </c>
      <c r="D3747" s="0" t="s">
        <v>2279</v>
      </c>
      <c r="E3747" s="0" t="s">
        <v>2279</v>
      </c>
      <c r="F3747" s="0" t="s">
        <v>2292</v>
      </c>
      <c r="G3747" s="0" t="s">
        <v>2293</v>
      </c>
      <c r="H3747" s="0" t="s">
        <v>2303</v>
      </c>
      <c r="J3747" s="0" t="s">
        <v>2348</v>
      </c>
      <c r="K3747" s="272" t="n">
        <v>12882.93</v>
      </c>
    </row>
    <row r="3748" customFormat="false" ht="15" hidden="false" customHeight="false" outlineLevel="0" collapsed="false">
      <c r="A3748" s="0" t="s">
        <v>2041</v>
      </c>
      <c r="B3748" s="0" t="s">
        <v>2042</v>
      </c>
      <c r="C3748" s="0" t="s">
        <v>2339</v>
      </c>
      <c r="D3748" s="0" t="s">
        <v>2279</v>
      </c>
      <c r="E3748" s="0" t="s">
        <v>2279</v>
      </c>
      <c r="F3748" s="0" t="s">
        <v>2292</v>
      </c>
      <c r="G3748" s="0" t="s">
        <v>2293</v>
      </c>
      <c r="H3748" s="0" t="s">
        <v>2285</v>
      </c>
      <c r="J3748" s="0" t="s">
        <v>2348</v>
      </c>
      <c r="K3748" s="272" t="n">
        <v>21733.07</v>
      </c>
    </row>
    <row r="3749" customFormat="false" ht="15" hidden="false" customHeight="false" outlineLevel="0" collapsed="false">
      <c r="A3749" s="0" t="s">
        <v>2041</v>
      </c>
      <c r="B3749" s="0" t="s">
        <v>2042</v>
      </c>
      <c r="C3749" s="0" t="s">
        <v>2339</v>
      </c>
      <c r="D3749" s="0" t="s">
        <v>2279</v>
      </c>
      <c r="E3749" s="0" t="s">
        <v>2279</v>
      </c>
      <c r="F3749" s="0" t="s">
        <v>2292</v>
      </c>
      <c r="G3749" s="0" t="s">
        <v>2293</v>
      </c>
      <c r="H3749" s="0" t="s">
        <v>2286</v>
      </c>
      <c r="J3749" s="0" t="s">
        <v>2348</v>
      </c>
      <c r="K3749" s="272" t="n">
        <v>8864.8</v>
      </c>
    </row>
    <row r="3750" customFormat="false" ht="15" hidden="false" customHeight="false" outlineLevel="0" collapsed="false">
      <c r="A3750" s="0" t="s">
        <v>2041</v>
      </c>
      <c r="B3750" s="0" t="s">
        <v>2042</v>
      </c>
      <c r="C3750" s="0" t="s">
        <v>2339</v>
      </c>
      <c r="D3750" s="0" t="s">
        <v>2279</v>
      </c>
      <c r="E3750" s="0" t="s">
        <v>2279</v>
      </c>
      <c r="F3750" s="0" t="s">
        <v>2292</v>
      </c>
      <c r="G3750" s="0" t="s">
        <v>2293</v>
      </c>
      <c r="H3750" s="0" t="s">
        <v>2304</v>
      </c>
      <c r="J3750" s="0" t="s">
        <v>2348</v>
      </c>
      <c r="K3750" s="272" t="n">
        <v>20875.24</v>
      </c>
    </row>
    <row r="3751" customFormat="false" ht="15" hidden="false" customHeight="false" outlineLevel="0" collapsed="false">
      <c r="A3751" s="0" t="s">
        <v>2041</v>
      </c>
      <c r="B3751" s="0" t="s">
        <v>2042</v>
      </c>
      <c r="C3751" s="0" t="s">
        <v>2339</v>
      </c>
      <c r="D3751" s="0" t="s">
        <v>2279</v>
      </c>
      <c r="E3751" s="0" t="s">
        <v>2279</v>
      </c>
      <c r="F3751" s="0" t="s">
        <v>2292</v>
      </c>
      <c r="G3751" s="0" t="s">
        <v>2293</v>
      </c>
      <c r="H3751" s="0" t="s">
        <v>2287</v>
      </c>
      <c r="J3751" s="0" t="s">
        <v>2348</v>
      </c>
      <c r="K3751" s="272" t="n">
        <v>24449.81</v>
      </c>
    </row>
    <row r="3752" customFormat="false" ht="15" hidden="false" customHeight="false" outlineLevel="0" collapsed="false">
      <c r="A3752" s="0" t="s">
        <v>2041</v>
      </c>
      <c r="B3752" s="0" t="s">
        <v>2042</v>
      </c>
      <c r="C3752" s="0" t="s">
        <v>2339</v>
      </c>
      <c r="D3752" s="0" t="s">
        <v>2279</v>
      </c>
      <c r="E3752" s="0" t="s">
        <v>2279</v>
      </c>
      <c r="F3752" s="0" t="s">
        <v>2292</v>
      </c>
      <c r="G3752" s="0" t="s">
        <v>2293</v>
      </c>
      <c r="H3752" s="0" t="s">
        <v>2288</v>
      </c>
      <c r="J3752" s="0" t="s">
        <v>2348</v>
      </c>
      <c r="K3752" s="272" t="n">
        <v>2216.2</v>
      </c>
    </row>
    <row r="3753" customFormat="false" ht="15" hidden="false" customHeight="false" outlineLevel="0" collapsed="false">
      <c r="A3753" s="0" t="s">
        <v>2041</v>
      </c>
      <c r="B3753" s="0" t="s">
        <v>2042</v>
      </c>
      <c r="C3753" s="0" t="s">
        <v>2339</v>
      </c>
      <c r="D3753" s="0" t="s">
        <v>2279</v>
      </c>
      <c r="E3753" s="0" t="s">
        <v>2279</v>
      </c>
      <c r="F3753" s="0" t="s">
        <v>2292</v>
      </c>
      <c r="G3753" s="0" t="s">
        <v>2293</v>
      </c>
      <c r="H3753" s="0" t="s">
        <v>2305</v>
      </c>
      <c r="J3753" s="0" t="s">
        <v>2348</v>
      </c>
      <c r="K3753" s="272" t="n">
        <v>4003.48</v>
      </c>
    </row>
    <row r="3754" customFormat="false" ht="15" hidden="false" customHeight="false" outlineLevel="0" collapsed="false">
      <c r="A3754" s="0" t="s">
        <v>2041</v>
      </c>
      <c r="B3754" s="0" t="s">
        <v>2042</v>
      </c>
      <c r="C3754" s="0" t="s">
        <v>2339</v>
      </c>
      <c r="D3754" s="0" t="s">
        <v>2279</v>
      </c>
      <c r="E3754" s="0" t="s">
        <v>2279</v>
      </c>
      <c r="F3754" s="0" t="s">
        <v>2292</v>
      </c>
      <c r="G3754" s="0" t="s">
        <v>2293</v>
      </c>
      <c r="H3754" s="0" t="s">
        <v>2200</v>
      </c>
      <c r="J3754" s="0" t="s">
        <v>2348</v>
      </c>
      <c r="K3754" s="272" t="n">
        <v>67565.75</v>
      </c>
    </row>
    <row r="3755" customFormat="false" ht="15" hidden="false" customHeight="false" outlineLevel="0" collapsed="false">
      <c r="A3755" s="0" t="s">
        <v>2041</v>
      </c>
      <c r="B3755" s="0" t="s">
        <v>2042</v>
      </c>
      <c r="C3755" s="0" t="s">
        <v>2339</v>
      </c>
      <c r="D3755" s="0" t="s">
        <v>2279</v>
      </c>
      <c r="E3755" s="0" t="s">
        <v>2279</v>
      </c>
      <c r="F3755" s="0" t="s">
        <v>2292</v>
      </c>
      <c r="G3755" s="0" t="s">
        <v>2293</v>
      </c>
      <c r="H3755" s="0" t="s">
        <v>2202</v>
      </c>
      <c r="J3755" s="0" t="s">
        <v>2348</v>
      </c>
      <c r="K3755" s="272" t="n">
        <v>36381.56</v>
      </c>
    </row>
    <row r="3756" customFormat="false" ht="15" hidden="false" customHeight="false" outlineLevel="0" collapsed="false">
      <c r="A3756" s="0" t="s">
        <v>2041</v>
      </c>
      <c r="B3756" s="0" t="s">
        <v>2042</v>
      </c>
      <c r="C3756" s="0" t="s">
        <v>2339</v>
      </c>
      <c r="D3756" s="0" t="s">
        <v>2279</v>
      </c>
      <c r="E3756" s="0" t="s">
        <v>2279</v>
      </c>
      <c r="F3756" s="0" t="s">
        <v>2292</v>
      </c>
      <c r="G3756" s="0" t="s">
        <v>2293</v>
      </c>
      <c r="H3756" s="0" t="s">
        <v>2306</v>
      </c>
      <c r="J3756" s="0" t="s">
        <v>2348</v>
      </c>
      <c r="K3756" s="272" t="n">
        <v>8435.88</v>
      </c>
    </row>
    <row r="3757" customFormat="false" ht="15" hidden="false" customHeight="false" outlineLevel="0" collapsed="false">
      <c r="A3757" s="0" t="s">
        <v>2041</v>
      </c>
      <c r="B3757" s="0" t="s">
        <v>2042</v>
      </c>
      <c r="C3757" s="0" t="s">
        <v>2339</v>
      </c>
      <c r="D3757" s="0" t="s">
        <v>2279</v>
      </c>
      <c r="E3757" s="0" t="s">
        <v>2279</v>
      </c>
      <c r="F3757" s="0" t="s">
        <v>2292</v>
      </c>
      <c r="G3757" s="0" t="s">
        <v>2293</v>
      </c>
      <c r="H3757" s="0" t="s">
        <v>2182</v>
      </c>
      <c r="J3757" s="0" t="s">
        <v>2348</v>
      </c>
      <c r="K3757" s="272" t="n">
        <v>15084.48</v>
      </c>
    </row>
    <row r="3758" customFormat="false" ht="15" hidden="false" customHeight="false" outlineLevel="0" collapsed="false">
      <c r="A3758" s="0" t="s">
        <v>2041</v>
      </c>
      <c r="B3758" s="0" t="s">
        <v>2042</v>
      </c>
      <c r="C3758" s="0" t="s">
        <v>2347</v>
      </c>
      <c r="D3758" s="0" t="s">
        <v>2279</v>
      </c>
      <c r="E3758" s="0" t="s">
        <v>2279</v>
      </c>
      <c r="F3758" s="0" t="s">
        <v>2292</v>
      </c>
      <c r="G3758" s="0" t="s">
        <v>2293</v>
      </c>
      <c r="H3758" s="0" t="s">
        <v>2289</v>
      </c>
      <c r="J3758" s="0" t="s">
        <v>2348</v>
      </c>
      <c r="K3758" s="272" t="n">
        <v>4003.48</v>
      </c>
    </row>
    <row r="3759" customFormat="false" ht="15" hidden="false" customHeight="false" outlineLevel="0" collapsed="false">
      <c r="A3759" s="0" t="s">
        <v>2041</v>
      </c>
      <c r="B3759" s="0" t="s">
        <v>2042</v>
      </c>
      <c r="C3759" s="0" t="s">
        <v>2347</v>
      </c>
      <c r="D3759" s="0" t="s">
        <v>2279</v>
      </c>
      <c r="E3759" s="0" t="s">
        <v>2279</v>
      </c>
      <c r="F3759" s="0" t="s">
        <v>2292</v>
      </c>
      <c r="G3759" s="0" t="s">
        <v>2293</v>
      </c>
      <c r="H3759" s="0" t="s">
        <v>2307</v>
      </c>
      <c r="J3759" s="0" t="s">
        <v>2348</v>
      </c>
      <c r="K3759" s="272" t="n">
        <v>17729.6</v>
      </c>
    </row>
    <row r="3760" customFormat="false" ht="15" hidden="false" customHeight="false" outlineLevel="0" collapsed="false">
      <c r="A3760" s="0" t="s">
        <v>2041</v>
      </c>
      <c r="B3760" s="0" t="s">
        <v>2042</v>
      </c>
      <c r="C3760" s="0" t="s">
        <v>2339</v>
      </c>
      <c r="D3760" s="0" t="s">
        <v>2279</v>
      </c>
      <c r="E3760" s="0" t="s">
        <v>2279</v>
      </c>
      <c r="F3760" s="0" t="s">
        <v>2292</v>
      </c>
      <c r="G3760" s="0" t="s">
        <v>2293</v>
      </c>
      <c r="H3760" s="0" t="s">
        <v>2308</v>
      </c>
      <c r="J3760" s="0" t="s">
        <v>2348</v>
      </c>
      <c r="K3760" s="272" t="n">
        <v>18587.42</v>
      </c>
    </row>
    <row r="3761" customFormat="false" ht="15" hidden="false" customHeight="false" outlineLevel="0" collapsed="false">
      <c r="A3761" s="0" t="s">
        <v>2041</v>
      </c>
      <c r="B3761" s="0" t="s">
        <v>2042</v>
      </c>
      <c r="C3761" s="0" t="s">
        <v>2339</v>
      </c>
      <c r="D3761" s="0" t="s">
        <v>2279</v>
      </c>
      <c r="E3761" s="0" t="s">
        <v>2279</v>
      </c>
      <c r="F3761" s="0" t="s">
        <v>2292</v>
      </c>
      <c r="G3761" s="0" t="s">
        <v>2293</v>
      </c>
      <c r="H3761" s="0" t="s">
        <v>2309</v>
      </c>
      <c r="J3761" s="0" t="s">
        <v>2348</v>
      </c>
      <c r="K3761" s="272" t="n">
        <v>42179.4</v>
      </c>
    </row>
    <row r="3762" customFormat="false" ht="15" hidden="false" customHeight="false" outlineLevel="0" collapsed="false">
      <c r="A3762" s="0" t="s">
        <v>2041</v>
      </c>
      <c r="B3762" s="0" t="s">
        <v>2042</v>
      </c>
      <c r="C3762" s="0" t="s">
        <v>2339</v>
      </c>
      <c r="D3762" s="0" t="s">
        <v>2279</v>
      </c>
      <c r="E3762" s="0" t="s">
        <v>2279</v>
      </c>
      <c r="F3762" s="0" t="s">
        <v>2292</v>
      </c>
      <c r="G3762" s="0" t="s">
        <v>2293</v>
      </c>
      <c r="H3762" s="0" t="s">
        <v>2310</v>
      </c>
      <c r="J3762" s="0" t="s">
        <v>2348</v>
      </c>
      <c r="K3762" s="272" t="n">
        <v>16442.85</v>
      </c>
    </row>
    <row r="3763" customFormat="false" ht="15" hidden="false" customHeight="false" outlineLevel="0" collapsed="false">
      <c r="A3763" s="0" t="s">
        <v>2041</v>
      </c>
      <c r="B3763" s="0" t="s">
        <v>2042</v>
      </c>
      <c r="C3763" s="0" t="s">
        <v>2339</v>
      </c>
      <c r="D3763" s="0" t="s">
        <v>2279</v>
      </c>
      <c r="E3763" s="0" t="s">
        <v>2279</v>
      </c>
      <c r="F3763" s="0" t="s">
        <v>2292</v>
      </c>
      <c r="G3763" s="0" t="s">
        <v>2293</v>
      </c>
      <c r="H3763" s="0" t="s">
        <v>2311</v>
      </c>
      <c r="J3763" s="0" t="s">
        <v>2348</v>
      </c>
      <c r="K3763" s="272" t="n">
        <v>28453.3</v>
      </c>
    </row>
    <row r="3764" customFormat="false" ht="15" hidden="false" customHeight="false" outlineLevel="0" collapsed="false">
      <c r="A3764" s="0" t="s">
        <v>2041</v>
      </c>
      <c r="B3764" s="0" t="s">
        <v>2042</v>
      </c>
      <c r="C3764" s="0" t="s">
        <v>2339</v>
      </c>
      <c r="D3764" s="0" t="s">
        <v>2279</v>
      </c>
      <c r="E3764" s="0" t="s">
        <v>2279</v>
      </c>
      <c r="F3764" s="0" t="s">
        <v>2292</v>
      </c>
      <c r="G3764" s="0" t="s">
        <v>2293</v>
      </c>
      <c r="H3764" s="0" t="s">
        <v>2312</v>
      </c>
      <c r="J3764" s="0" t="s">
        <v>2348</v>
      </c>
      <c r="K3764" s="272" t="n">
        <v>12868.28</v>
      </c>
    </row>
    <row r="3765" customFormat="false" ht="15" hidden="false" customHeight="false" outlineLevel="0" collapsed="false">
      <c r="A3765" s="0" t="s">
        <v>2041</v>
      </c>
      <c r="B3765" s="0" t="s">
        <v>2042</v>
      </c>
      <c r="C3765" s="0" t="s">
        <v>2339</v>
      </c>
      <c r="D3765" s="0" t="s">
        <v>2279</v>
      </c>
      <c r="E3765" s="0" t="s">
        <v>2279</v>
      </c>
      <c r="F3765" s="0" t="s">
        <v>2292</v>
      </c>
      <c r="G3765" s="0" t="s">
        <v>2293</v>
      </c>
      <c r="H3765" s="0" t="s">
        <v>2315</v>
      </c>
      <c r="J3765" s="0" t="s">
        <v>2348</v>
      </c>
      <c r="K3765" s="272" t="n">
        <v>18158.5</v>
      </c>
    </row>
    <row r="3766" customFormat="false" ht="15" hidden="false" customHeight="false" outlineLevel="0" collapsed="false">
      <c r="A3766" s="0" t="s">
        <v>2041</v>
      </c>
      <c r="B3766" s="0" t="s">
        <v>2042</v>
      </c>
      <c r="C3766" s="0" t="s">
        <v>2339</v>
      </c>
      <c r="D3766" s="0" t="s">
        <v>2279</v>
      </c>
      <c r="E3766" s="0" t="s">
        <v>2279</v>
      </c>
      <c r="F3766" s="0" t="s">
        <v>2292</v>
      </c>
      <c r="G3766" s="0" t="s">
        <v>2293</v>
      </c>
      <c r="H3766" s="0" t="s">
        <v>2316</v>
      </c>
      <c r="J3766" s="0" t="s">
        <v>2348</v>
      </c>
      <c r="K3766" s="272" t="n">
        <v>175133.37</v>
      </c>
    </row>
    <row r="3767" customFormat="false" ht="15" hidden="false" customHeight="false" outlineLevel="0" collapsed="false">
      <c r="A3767" s="0" t="s">
        <v>2041</v>
      </c>
      <c r="B3767" s="0" t="s">
        <v>2042</v>
      </c>
      <c r="C3767" s="0" t="s">
        <v>2339</v>
      </c>
      <c r="D3767" s="0" t="s">
        <v>2279</v>
      </c>
      <c r="E3767" s="0" t="s">
        <v>2279</v>
      </c>
      <c r="F3767" s="0" t="s">
        <v>2292</v>
      </c>
      <c r="G3767" s="0" t="s">
        <v>2293</v>
      </c>
      <c r="H3767" s="0" t="s">
        <v>2326</v>
      </c>
      <c r="J3767" s="0" t="s">
        <v>2348</v>
      </c>
      <c r="K3767" s="272" t="n">
        <v>16871.76</v>
      </c>
    </row>
    <row r="3768" customFormat="false" ht="15" hidden="false" customHeight="false" outlineLevel="0" collapsed="false">
      <c r="A3768" s="0" t="s">
        <v>2041</v>
      </c>
      <c r="B3768" s="0" t="s">
        <v>2042</v>
      </c>
      <c r="C3768" s="0" t="s">
        <v>2339</v>
      </c>
      <c r="D3768" s="0" t="s">
        <v>2279</v>
      </c>
      <c r="E3768" s="0" t="s">
        <v>2279</v>
      </c>
      <c r="F3768" s="0" t="s">
        <v>2292</v>
      </c>
      <c r="G3768" s="0" t="s">
        <v>2293</v>
      </c>
      <c r="H3768" s="0" t="s">
        <v>2317</v>
      </c>
      <c r="J3768" s="0" t="s">
        <v>2348</v>
      </c>
      <c r="K3768" s="272" t="n">
        <v>2001.74</v>
      </c>
    </row>
    <row r="3769" customFormat="false" ht="15" hidden="false" customHeight="false" outlineLevel="0" collapsed="false">
      <c r="A3769" s="0" t="s">
        <v>2041</v>
      </c>
      <c r="B3769" s="0" t="s">
        <v>2042</v>
      </c>
      <c r="C3769" s="0" t="s">
        <v>2339</v>
      </c>
      <c r="D3769" s="0" t="s">
        <v>2279</v>
      </c>
      <c r="E3769" s="0" t="s">
        <v>2279</v>
      </c>
      <c r="F3769" s="0" t="s">
        <v>2292</v>
      </c>
      <c r="G3769" s="0" t="s">
        <v>2293</v>
      </c>
      <c r="H3769" s="0" t="s">
        <v>2318</v>
      </c>
      <c r="J3769" s="0" t="s">
        <v>2348</v>
      </c>
      <c r="K3769" s="272" t="n">
        <v>52903.12</v>
      </c>
    </row>
    <row r="3770" customFormat="false" ht="15" hidden="false" customHeight="false" outlineLevel="0" collapsed="false">
      <c r="A3770" s="0" t="s">
        <v>2041</v>
      </c>
      <c r="B3770" s="0" t="s">
        <v>2042</v>
      </c>
      <c r="C3770" s="0" t="s">
        <v>2339</v>
      </c>
      <c r="D3770" s="0" t="s">
        <v>2279</v>
      </c>
      <c r="E3770" s="0" t="s">
        <v>2279</v>
      </c>
      <c r="F3770" s="0" t="s">
        <v>2292</v>
      </c>
      <c r="G3770" s="0" t="s">
        <v>2293</v>
      </c>
      <c r="H3770" s="0" t="s">
        <v>2319</v>
      </c>
      <c r="J3770" s="0" t="s">
        <v>2348</v>
      </c>
      <c r="K3770" s="272" t="n">
        <v>26182.89</v>
      </c>
    </row>
    <row r="3771" customFormat="false" ht="15" hidden="false" customHeight="false" outlineLevel="0" collapsed="false">
      <c r="A3771" s="0" t="s">
        <v>2041</v>
      </c>
      <c r="B3771" s="0" t="s">
        <v>2042</v>
      </c>
      <c r="C3771" s="0" t="s">
        <v>2339</v>
      </c>
      <c r="D3771" s="0" t="s">
        <v>2279</v>
      </c>
      <c r="E3771" s="0" t="s">
        <v>2279</v>
      </c>
      <c r="F3771" s="0" t="s">
        <v>2292</v>
      </c>
      <c r="G3771" s="0" t="s">
        <v>2293</v>
      </c>
      <c r="H3771" s="0" t="s">
        <v>2320</v>
      </c>
      <c r="J3771" s="0" t="s">
        <v>2348</v>
      </c>
      <c r="K3771" s="272" t="n">
        <v>12439.36</v>
      </c>
    </row>
    <row r="3772" customFormat="false" ht="15" hidden="false" customHeight="false" outlineLevel="0" collapsed="false">
      <c r="A3772" s="0" t="s">
        <v>2041</v>
      </c>
      <c r="B3772" s="0" t="s">
        <v>2042</v>
      </c>
      <c r="C3772" s="0" t="s">
        <v>2339</v>
      </c>
      <c r="D3772" s="0" t="s">
        <v>2279</v>
      </c>
      <c r="E3772" s="0" t="s">
        <v>2279</v>
      </c>
      <c r="F3772" s="0" t="s">
        <v>2292</v>
      </c>
      <c r="G3772" s="0" t="s">
        <v>2293</v>
      </c>
      <c r="H3772" s="0" t="s">
        <v>2290</v>
      </c>
      <c r="J3772" s="0" t="s">
        <v>2348</v>
      </c>
      <c r="K3772" s="272" t="n">
        <v>9293.72</v>
      </c>
    </row>
    <row r="3773" customFormat="false" ht="15" hidden="false" customHeight="false" outlineLevel="0" collapsed="false">
      <c r="A3773" s="0" t="s">
        <v>2041</v>
      </c>
      <c r="B3773" s="0" t="s">
        <v>2042</v>
      </c>
      <c r="C3773" s="0" t="s">
        <v>2339</v>
      </c>
      <c r="D3773" s="0" t="s">
        <v>2279</v>
      </c>
      <c r="E3773" s="0" t="s">
        <v>2279</v>
      </c>
      <c r="F3773" s="0" t="s">
        <v>2292</v>
      </c>
      <c r="G3773" s="0" t="s">
        <v>2293</v>
      </c>
      <c r="H3773" s="0" t="s">
        <v>2291</v>
      </c>
      <c r="J3773" s="0" t="s">
        <v>2348</v>
      </c>
      <c r="K3773" s="272" t="n">
        <v>4861.32</v>
      </c>
    </row>
    <row r="3774" customFormat="false" ht="15" hidden="false" customHeight="false" outlineLevel="0" collapsed="false">
      <c r="A3774" s="0" t="s">
        <v>2041</v>
      </c>
      <c r="B3774" s="0" t="s">
        <v>2042</v>
      </c>
      <c r="C3774" s="0" t="s">
        <v>2339</v>
      </c>
      <c r="D3774" s="0" t="s">
        <v>2279</v>
      </c>
      <c r="E3774" s="0" t="s">
        <v>2279</v>
      </c>
      <c r="F3774" s="0" t="s">
        <v>2292</v>
      </c>
      <c r="G3774" s="0" t="s">
        <v>2293</v>
      </c>
      <c r="H3774" s="0" t="s">
        <v>2203</v>
      </c>
      <c r="J3774" s="0" t="s">
        <v>2348</v>
      </c>
      <c r="K3774" s="272" t="n">
        <v>8435.88</v>
      </c>
    </row>
    <row r="3775" customFormat="false" ht="15" hidden="false" customHeight="false" outlineLevel="0" collapsed="false">
      <c r="A3775" s="0" t="s">
        <v>2041</v>
      </c>
      <c r="B3775" s="0" t="s">
        <v>2042</v>
      </c>
      <c r="C3775" s="0" t="s">
        <v>2352</v>
      </c>
      <c r="D3775" s="0" t="s">
        <v>2279</v>
      </c>
      <c r="E3775" s="0" t="s">
        <v>2279</v>
      </c>
      <c r="F3775" s="0" t="s">
        <v>2292</v>
      </c>
      <c r="G3775" s="0" t="s">
        <v>2293</v>
      </c>
      <c r="H3775" s="0" t="s">
        <v>2284</v>
      </c>
      <c r="J3775" s="0" t="s">
        <v>2348</v>
      </c>
      <c r="K3775" s="272" t="n">
        <v>1886879.86</v>
      </c>
    </row>
    <row r="3776" customFormat="false" ht="15" hidden="false" customHeight="false" outlineLevel="0" collapsed="false">
      <c r="A3776" s="0" t="s">
        <v>2041</v>
      </c>
      <c r="B3776" s="0" t="s">
        <v>2042</v>
      </c>
      <c r="C3776" s="0" t="s">
        <v>2352</v>
      </c>
      <c r="D3776" s="0" t="s">
        <v>2279</v>
      </c>
      <c r="E3776" s="0" t="s">
        <v>2279</v>
      </c>
      <c r="F3776" s="0" t="s">
        <v>2292</v>
      </c>
      <c r="G3776" s="0" t="s">
        <v>2293</v>
      </c>
      <c r="H3776" s="0" t="s">
        <v>2294</v>
      </c>
      <c r="J3776" s="0" t="s">
        <v>2348</v>
      </c>
      <c r="K3776" s="272" t="n">
        <v>10065323.66</v>
      </c>
    </row>
    <row r="3777" customFormat="false" ht="15" hidden="false" customHeight="false" outlineLevel="0" collapsed="false">
      <c r="A3777" s="0" t="s">
        <v>2041</v>
      </c>
      <c r="B3777" s="0" t="s">
        <v>2042</v>
      </c>
      <c r="C3777" s="0" t="s">
        <v>2352</v>
      </c>
      <c r="D3777" s="0" t="s">
        <v>2279</v>
      </c>
      <c r="E3777" s="0" t="s">
        <v>2279</v>
      </c>
      <c r="F3777" s="0" t="s">
        <v>2292</v>
      </c>
      <c r="G3777" s="0" t="s">
        <v>2293</v>
      </c>
      <c r="H3777" s="0" t="s">
        <v>2296</v>
      </c>
      <c r="J3777" s="0" t="s">
        <v>2348</v>
      </c>
      <c r="K3777" s="272" t="n">
        <v>7526196</v>
      </c>
    </row>
    <row r="3778" customFormat="false" ht="15" hidden="false" customHeight="false" outlineLevel="0" collapsed="false">
      <c r="A3778" s="0" t="s">
        <v>2041</v>
      </c>
      <c r="B3778" s="0" t="s">
        <v>2042</v>
      </c>
      <c r="C3778" s="0" t="s">
        <v>2352</v>
      </c>
      <c r="D3778" s="0" t="s">
        <v>2279</v>
      </c>
      <c r="E3778" s="0" t="s">
        <v>2279</v>
      </c>
      <c r="F3778" s="0" t="s">
        <v>2292</v>
      </c>
      <c r="G3778" s="0" t="s">
        <v>2293</v>
      </c>
      <c r="H3778" s="0" t="s">
        <v>2297</v>
      </c>
      <c r="J3778" s="0" t="s">
        <v>2348</v>
      </c>
      <c r="K3778" s="272" t="n">
        <v>1124530.05</v>
      </c>
    </row>
    <row r="3779" customFormat="false" ht="15" hidden="false" customHeight="false" outlineLevel="0" collapsed="false">
      <c r="A3779" s="0" t="s">
        <v>2041</v>
      </c>
      <c r="B3779" s="0" t="s">
        <v>2042</v>
      </c>
      <c r="C3779" s="0" t="s">
        <v>2352</v>
      </c>
      <c r="D3779" s="0" t="s">
        <v>2279</v>
      </c>
      <c r="E3779" s="0" t="s">
        <v>2279</v>
      </c>
      <c r="F3779" s="0" t="s">
        <v>2292</v>
      </c>
      <c r="G3779" s="0" t="s">
        <v>2293</v>
      </c>
      <c r="H3779" s="0" t="s">
        <v>2353</v>
      </c>
      <c r="J3779" s="0" t="s">
        <v>2348</v>
      </c>
      <c r="K3779" s="272" t="n">
        <v>728833.52</v>
      </c>
    </row>
    <row r="3780" customFormat="false" ht="15" hidden="false" customHeight="false" outlineLevel="0" collapsed="false">
      <c r="A3780" s="0" t="s">
        <v>2041</v>
      </c>
      <c r="B3780" s="0" t="s">
        <v>2042</v>
      </c>
      <c r="C3780" s="0" t="s">
        <v>2352</v>
      </c>
      <c r="D3780" s="0" t="s">
        <v>2279</v>
      </c>
      <c r="E3780" s="0" t="s">
        <v>2279</v>
      </c>
      <c r="F3780" s="0" t="s">
        <v>2292</v>
      </c>
      <c r="G3780" s="0" t="s">
        <v>2293</v>
      </c>
      <c r="H3780" s="0" t="s">
        <v>2299</v>
      </c>
      <c r="J3780" s="0" t="s">
        <v>2348</v>
      </c>
      <c r="K3780" s="272" t="n">
        <v>891550.02</v>
      </c>
    </row>
    <row r="3781" customFormat="false" ht="15" hidden="false" customHeight="false" outlineLevel="0" collapsed="false">
      <c r="A3781" s="0" t="s">
        <v>2041</v>
      </c>
      <c r="B3781" s="0" t="s">
        <v>2042</v>
      </c>
      <c r="C3781" s="0" t="s">
        <v>2352</v>
      </c>
      <c r="D3781" s="0" t="s">
        <v>2279</v>
      </c>
      <c r="E3781" s="0" t="s">
        <v>2279</v>
      </c>
      <c r="F3781" s="0" t="s">
        <v>2292</v>
      </c>
      <c r="G3781" s="0" t="s">
        <v>2293</v>
      </c>
      <c r="H3781" s="0" t="s">
        <v>2300</v>
      </c>
      <c r="J3781" s="0" t="s">
        <v>2348</v>
      </c>
      <c r="K3781" s="272" t="n">
        <v>382846.08</v>
      </c>
    </row>
    <row r="3782" customFormat="false" ht="15" hidden="false" customHeight="false" outlineLevel="0" collapsed="false">
      <c r="A3782" s="0" t="s">
        <v>2041</v>
      </c>
      <c r="B3782" s="0" t="s">
        <v>2042</v>
      </c>
      <c r="C3782" s="0" t="s">
        <v>2352</v>
      </c>
      <c r="D3782" s="0" t="s">
        <v>2279</v>
      </c>
      <c r="E3782" s="0" t="s">
        <v>2279</v>
      </c>
      <c r="F3782" s="0" t="s">
        <v>2292</v>
      </c>
      <c r="G3782" s="0" t="s">
        <v>2293</v>
      </c>
      <c r="H3782" s="0" t="s">
        <v>2301</v>
      </c>
      <c r="J3782" s="0" t="s">
        <v>2348</v>
      </c>
      <c r="K3782" s="272" t="n">
        <v>897479.37</v>
      </c>
    </row>
    <row r="3783" customFormat="false" ht="15" hidden="false" customHeight="false" outlineLevel="0" collapsed="false">
      <c r="A3783" s="0" t="s">
        <v>2041</v>
      </c>
      <c r="B3783" s="0" t="s">
        <v>2042</v>
      </c>
      <c r="C3783" s="0" t="s">
        <v>2352</v>
      </c>
      <c r="D3783" s="0" t="s">
        <v>2279</v>
      </c>
      <c r="E3783" s="0" t="s">
        <v>2279</v>
      </c>
      <c r="F3783" s="0" t="s">
        <v>2292</v>
      </c>
      <c r="G3783" s="0" t="s">
        <v>2293</v>
      </c>
      <c r="H3783" s="0" t="s">
        <v>2302</v>
      </c>
      <c r="J3783" s="0" t="s">
        <v>2348</v>
      </c>
      <c r="K3783" s="272" t="n">
        <v>838635.75</v>
      </c>
    </row>
    <row r="3784" customFormat="false" ht="15" hidden="false" customHeight="false" outlineLevel="0" collapsed="false">
      <c r="A3784" s="0" t="s">
        <v>2041</v>
      </c>
      <c r="B3784" s="0" t="s">
        <v>2042</v>
      </c>
      <c r="C3784" s="0" t="s">
        <v>2352</v>
      </c>
      <c r="D3784" s="0" t="s">
        <v>2279</v>
      </c>
      <c r="E3784" s="0" t="s">
        <v>2279</v>
      </c>
      <c r="F3784" s="0" t="s">
        <v>2292</v>
      </c>
      <c r="G3784" s="0" t="s">
        <v>2293</v>
      </c>
      <c r="H3784" s="0" t="s">
        <v>2303</v>
      </c>
      <c r="J3784" s="0" t="s">
        <v>2348</v>
      </c>
      <c r="K3784" s="272" t="n">
        <v>1380411.6</v>
      </c>
    </row>
    <row r="3785" customFormat="false" ht="15" hidden="false" customHeight="false" outlineLevel="0" collapsed="false">
      <c r="A3785" s="0" t="s">
        <v>2041</v>
      </c>
      <c r="B3785" s="0" t="s">
        <v>2042</v>
      </c>
      <c r="C3785" s="0" t="s">
        <v>2352</v>
      </c>
      <c r="D3785" s="0" t="s">
        <v>2279</v>
      </c>
      <c r="E3785" s="0" t="s">
        <v>2279</v>
      </c>
      <c r="F3785" s="0" t="s">
        <v>2292</v>
      </c>
      <c r="G3785" s="0" t="s">
        <v>2293</v>
      </c>
      <c r="H3785" s="0" t="s">
        <v>2285</v>
      </c>
      <c r="J3785" s="0" t="s">
        <v>2348</v>
      </c>
      <c r="K3785" s="272" t="n">
        <v>1382217.08</v>
      </c>
    </row>
    <row r="3786" customFormat="false" ht="15" hidden="false" customHeight="false" outlineLevel="0" collapsed="false">
      <c r="A3786" s="0" t="s">
        <v>2041</v>
      </c>
      <c r="B3786" s="0" t="s">
        <v>2042</v>
      </c>
      <c r="C3786" s="0" t="s">
        <v>2352</v>
      </c>
      <c r="D3786" s="0" t="s">
        <v>2279</v>
      </c>
      <c r="E3786" s="0" t="s">
        <v>2279</v>
      </c>
      <c r="F3786" s="0" t="s">
        <v>2292</v>
      </c>
      <c r="G3786" s="0" t="s">
        <v>2293</v>
      </c>
      <c r="H3786" s="0" t="s">
        <v>2286</v>
      </c>
      <c r="J3786" s="0" t="s">
        <v>2348</v>
      </c>
      <c r="K3786" s="272" t="n">
        <v>706168.36</v>
      </c>
    </row>
    <row r="3787" customFormat="false" ht="15" hidden="false" customHeight="false" outlineLevel="0" collapsed="false">
      <c r="A3787" s="0" t="s">
        <v>2041</v>
      </c>
      <c r="B3787" s="0" t="s">
        <v>2042</v>
      </c>
      <c r="C3787" s="0" t="s">
        <v>2352</v>
      </c>
      <c r="D3787" s="0" t="s">
        <v>2279</v>
      </c>
      <c r="E3787" s="0" t="s">
        <v>2279</v>
      </c>
      <c r="F3787" s="0" t="s">
        <v>2292</v>
      </c>
      <c r="G3787" s="0" t="s">
        <v>2293</v>
      </c>
      <c r="H3787" s="0" t="s">
        <v>2304</v>
      </c>
      <c r="J3787" s="0" t="s">
        <v>2348</v>
      </c>
      <c r="K3787" s="272" t="n">
        <v>1139742.2</v>
      </c>
    </row>
    <row r="3788" customFormat="false" ht="15" hidden="false" customHeight="false" outlineLevel="0" collapsed="false">
      <c r="A3788" s="0" t="s">
        <v>2041</v>
      </c>
      <c r="B3788" s="0" t="s">
        <v>2042</v>
      </c>
      <c r="C3788" s="0" t="s">
        <v>2352</v>
      </c>
      <c r="D3788" s="0" t="s">
        <v>2279</v>
      </c>
      <c r="E3788" s="0" t="s">
        <v>2279</v>
      </c>
      <c r="F3788" s="0" t="s">
        <v>2292</v>
      </c>
      <c r="G3788" s="0" t="s">
        <v>2293</v>
      </c>
      <c r="H3788" s="0" t="s">
        <v>2287</v>
      </c>
      <c r="J3788" s="0" t="s">
        <v>2348</v>
      </c>
      <c r="K3788" s="272" t="n">
        <v>2665430.93</v>
      </c>
    </row>
    <row r="3789" customFormat="false" ht="15" hidden="false" customHeight="false" outlineLevel="0" collapsed="false">
      <c r="A3789" s="0" t="s">
        <v>2041</v>
      </c>
      <c r="B3789" s="0" t="s">
        <v>2042</v>
      </c>
      <c r="C3789" s="0" t="s">
        <v>2352</v>
      </c>
      <c r="D3789" s="0" t="s">
        <v>2279</v>
      </c>
      <c r="E3789" s="0" t="s">
        <v>2279</v>
      </c>
      <c r="F3789" s="0" t="s">
        <v>2292</v>
      </c>
      <c r="G3789" s="0" t="s">
        <v>2293</v>
      </c>
      <c r="H3789" s="0" t="s">
        <v>2288</v>
      </c>
      <c r="J3789" s="0" t="s">
        <v>2348</v>
      </c>
      <c r="K3789" s="272" t="n">
        <v>748543.66</v>
      </c>
    </row>
    <row r="3790" customFormat="false" ht="15" hidden="false" customHeight="false" outlineLevel="0" collapsed="false">
      <c r="A3790" s="0" t="s">
        <v>2041</v>
      </c>
      <c r="B3790" s="0" t="s">
        <v>2042</v>
      </c>
      <c r="C3790" s="0" t="s">
        <v>2352</v>
      </c>
      <c r="D3790" s="0" t="s">
        <v>2279</v>
      </c>
      <c r="E3790" s="0" t="s">
        <v>2279</v>
      </c>
      <c r="F3790" s="0" t="s">
        <v>2292</v>
      </c>
      <c r="G3790" s="0" t="s">
        <v>2293</v>
      </c>
      <c r="H3790" s="0" t="s">
        <v>2305</v>
      </c>
      <c r="J3790" s="0" t="s">
        <v>2348</v>
      </c>
      <c r="K3790" s="272" t="n">
        <v>142801.2</v>
      </c>
    </row>
    <row r="3791" customFormat="false" ht="15" hidden="false" customHeight="false" outlineLevel="0" collapsed="false">
      <c r="A3791" s="0" t="s">
        <v>2041</v>
      </c>
      <c r="B3791" s="0" t="s">
        <v>2042</v>
      </c>
      <c r="C3791" s="0" t="s">
        <v>2352</v>
      </c>
      <c r="D3791" s="0" t="s">
        <v>2279</v>
      </c>
      <c r="E3791" s="0" t="s">
        <v>2279</v>
      </c>
      <c r="F3791" s="0" t="s">
        <v>2292</v>
      </c>
      <c r="G3791" s="0" t="s">
        <v>2293</v>
      </c>
      <c r="H3791" s="0" t="s">
        <v>2200</v>
      </c>
      <c r="J3791" s="0" t="s">
        <v>2348</v>
      </c>
      <c r="K3791" s="272" t="n">
        <v>5239802.65</v>
      </c>
    </row>
    <row r="3792" customFormat="false" ht="15" hidden="false" customHeight="false" outlineLevel="0" collapsed="false">
      <c r="A3792" s="0" t="s">
        <v>2041</v>
      </c>
      <c r="B3792" s="0" t="s">
        <v>2042</v>
      </c>
      <c r="C3792" s="0" t="s">
        <v>2352</v>
      </c>
      <c r="D3792" s="0" t="s">
        <v>2279</v>
      </c>
      <c r="E3792" s="0" t="s">
        <v>2279</v>
      </c>
      <c r="F3792" s="0" t="s">
        <v>2292</v>
      </c>
      <c r="G3792" s="0" t="s">
        <v>2293</v>
      </c>
      <c r="H3792" s="0" t="s">
        <v>2202</v>
      </c>
      <c r="J3792" s="0" t="s">
        <v>2348</v>
      </c>
      <c r="K3792" s="272" t="n">
        <v>2821432.2</v>
      </c>
    </row>
    <row r="3793" customFormat="false" ht="15" hidden="false" customHeight="false" outlineLevel="0" collapsed="false">
      <c r="A3793" s="0" t="s">
        <v>2041</v>
      </c>
      <c r="B3793" s="0" t="s">
        <v>2042</v>
      </c>
      <c r="C3793" s="0" t="s">
        <v>2352</v>
      </c>
      <c r="D3793" s="0" t="s">
        <v>2279</v>
      </c>
      <c r="E3793" s="0" t="s">
        <v>2279</v>
      </c>
      <c r="F3793" s="0" t="s">
        <v>2292</v>
      </c>
      <c r="G3793" s="0" t="s">
        <v>2293</v>
      </c>
      <c r="H3793" s="0" t="s">
        <v>2306</v>
      </c>
      <c r="J3793" s="0" t="s">
        <v>2348</v>
      </c>
      <c r="K3793" s="272" t="n">
        <v>1097582.05</v>
      </c>
    </row>
    <row r="3794" customFormat="false" ht="15" hidden="false" customHeight="false" outlineLevel="0" collapsed="false">
      <c r="A3794" s="0" t="s">
        <v>2041</v>
      </c>
      <c r="B3794" s="0" t="s">
        <v>2042</v>
      </c>
      <c r="C3794" s="0" t="s">
        <v>2352</v>
      </c>
      <c r="D3794" s="0" t="s">
        <v>2279</v>
      </c>
      <c r="E3794" s="0" t="s">
        <v>2279</v>
      </c>
      <c r="F3794" s="0" t="s">
        <v>2292</v>
      </c>
      <c r="G3794" s="0" t="s">
        <v>2293</v>
      </c>
      <c r="H3794" s="0" t="s">
        <v>2182</v>
      </c>
      <c r="J3794" s="0" t="s">
        <v>2348</v>
      </c>
      <c r="K3794" s="272" t="n">
        <v>2206190.83</v>
      </c>
    </row>
    <row r="3795" customFormat="false" ht="15" hidden="false" customHeight="false" outlineLevel="0" collapsed="false">
      <c r="A3795" s="0" t="s">
        <v>2041</v>
      </c>
      <c r="B3795" s="0" t="s">
        <v>2042</v>
      </c>
      <c r="C3795" s="0" t="s">
        <v>2352</v>
      </c>
      <c r="D3795" s="0" t="s">
        <v>2279</v>
      </c>
      <c r="E3795" s="0" t="s">
        <v>2279</v>
      </c>
      <c r="F3795" s="0" t="s">
        <v>2292</v>
      </c>
      <c r="G3795" s="0" t="s">
        <v>2293</v>
      </c>
      <c r="H3795" s="0" t="s">
        <v>2289</v>
      </c>
      <c r="J3795" s="0" t="s">
        <v>2348</v>
      </c>
      <c r="K3795" s="272" t="n">
        <v>1324481.13</v>
      </c>
    </row>
    <row r="3796" customFormat="false" ht="15" hidden="false" customHeight="false" outlineLevel="0" collapsed="false">
      <c r="A3796" s="0" t="s">
        <v>2041</v>
      </c>
      <c r="B3796" s="0" t="s">
        <v>2042</v>
      </c>
      <c r="C3796" s="0" t="s">
        <v>2352</v>
      </c>
      <c r="D3796" s="0" t="s">
        <v>2279</v>
      </c>
      <c r="E3796" s="0" t="s">
        <v>2279</v>
      </c>
      <c r="F3796" s="0" t="s">
        <v>2292</v>
      </c>
      <c r="G3796" s="0" t="s">
        <v>2293</v>
      </c>
      <c r="H3796" s="0" t="s">
        <v>2307</v>
      </c>
      <c r="J3796" s="0" t="s">
        <v>2348</v>
      </c>
      <c r="K3796" s="272" t="n">
        <v>2202427.07</v>
      </c>
    </row>
    <row r="3797" customFormat="false" ht="15" hidden="false" customHeight="false" outlineLevel="0" collapsed="false">
      <c r="A3797" s="0" t="s">
        <v>2041</v>
      </c>
      <c r="B3797" s="0" t="s">
        <v>2042</v>
      </c>
      <c r="C3797" s="0" t="s">
        <v>2352</v>
      </c>
      <c r="D3797" s="0" t="s">
        <v>2279</v>
      </c>
      <c r="E3797" s="0" t="s">
        <v>2279</v>
      </c>
      <c r="F3797" s="0" t="s">
        <v>2292</v>
      </c>
      <c r="G3797" s="0" t="s">
        <v>2293</v>
      </c>
      <c r="H3797" s="0" t="s">
        <v>2308</v>
      </c>
      <c r="J3797" s="0" t="s">
        <v>2348</v>
      </c>
      <c r="K3797" s="272" t="n">
        <v>2331279.2</v>
      </c>
    </row>
    <row r="3798" customFormat="false" ht="15" hidden="false" customHeight="false" outlineLevel="0" collapsed="false">
      <c r="A3798" s="0" t="s">
        <v>2041</v>
      </c>
      <c r="B3798" s="0" t="s">
        <v>2042</v>
      </c>
      <c r="C3798" s="0" t="s">
        <v>2352</v>
      </c>
      <c r="D3798" s="0" t="s">
        <v>2279</v>
      </c>
      <c r="E3798" s="0" t="s">
        <v>2279</v>
      </c>
      <c r="F3798" s="0" t="s">
        <v>2292</v>
      </c>
      <c r="G3798" s="0" t="s">
        <v>2293</v>
      </c>
      <c r="H3798" s="0" t="s">
        <v>2309</v>
      </c>
      <c r="J3798" s="0" t="s">
        <v>2348</v>
      </c>
      <c r="K3798" s="272" t="n">
        <v>4613613.67</v>
      </c>
    </row>
    <row r="3799" customFormat="false" ht="15" hidden="false" customHeight="false" outlineLevel="0" collapsed="false">
      <c r="A3799" s="0" t="s">
        <v>2041</v>
      </c>
      <c r="B3799" s="0" t="s">
        <v>2042</v>
      </c>
      <c r="C3799" s="0" t="s">
        <v>2352</v>
      </c>
      <c r="D3799" s="0" t="s">
        <v>2279</v>
      </c>
      <c r="E3799" s="0" t="s">
        <v>2279</v>
      </c>
      <c r="F3799" s="0" t="s">
        <v>2292</v>
      </c>
      <c r="G3799" s="0" t="s">
        <v>2293</v>
      </c>
      <c r="H3799" s="0" t="s">
        <v>2310</v>
      </c>
      <c r="J3799" s="0" t="s">
        <v>2348</v>
      </c>
      <c r="K3799" s="272" t="n">
        <v>1997917.07</v>
      </c>
    </row>
    <row r="3800" customFormat="false" ht="15" hidden="false" customHeight="false" outlineLevel="0" collapsed="false">
      <c r="A3800" s="0" t="s">
        <v>2041</v>
      </c>
      <c r="B3800" s="0" t="s">
        <v>2042</v>
      </c>
      <c r="C3800" s="0" t="s">
        <v>2352</v>
      </c>
      <c r="D3800" s="0" t="s">
        <v>2279</v>
      </c>
      <c r="E3800" s="0" t="s">
        <v>2279</v>
      </c>
      <c r="F3800" s="0" t="s">
        <v>2292</v>
      </c>
      <c r="G3800" s="0" t="s">
        <v>2293</v>
      </c>
      <c r="H3800" s="0" t="s">
        <v>2311</v>
      </c>
      <c r="J3800" s="0" t="s">
        <v>2348</v>
      </c>
      <c r="K3800" s="272" t="n">
        <v>1573215.12</v>
      </c>
    </row>
    <row r="3801" customFormat="false" ht="15" hidden="false" customHeight="false" outlineLevel="0" collapsed="false">
      <c r="A3801" s="0" t="s">
        <v>2041</v>
      </c>
      <c r="B3801" s="0" t="s">
        <v>2042</v>
      </c>
      <c r="C3801" s="0" t="s">
        <v>2352</v>
      </c>
      <c r="D3801" s="0" t="s">
        <v>2279</v>
      </c>
      <c r="E3801" s="0" t="s">
        <v>2279</v>
      </c>
      <c r="F3801" s="0" t="s">
        <v>2292</v>
      </c>
      <c r="G3801" s="0" t="s">
        <v>2293</v>
      </c>
      <c r="H3801" s="0" t="s">
        <v>2312</v>
      </c>
      <c r="J3801" s="0" t="s">
        <v>2348</v>
      </c>
      <c r="K3801" s="272" t="n">
        <v>1832615.4</v>
      </c>
    </row>
    <row r="3802" customFormat="false" ht="15" hidden="false" customHeight="false" outlineLevel="0" collapsed="false">
      <c r="A3802" s="0" t="s">
        <v>2041</v>
      </c>
      <c r="B3802" s="0" t="s">
        <v>2042</v>
      </c>
      <c r="C3802" s="0" t="s">
        <v>2352</v>
      </c>
      <c r="D3802" s="0" t="s">
        <v>2279</v>
      </c>
      <c r="E3802" s="0" t="s">
        <v>2279</v>
      </c>
      <c r="F3802" s="0" t="s">
        <v>2292</v>
      </c>
      <c r="G3802" s="0" t="s">
        <v>2293</v>
      </c>
      <c r="H3802" s="0" t="s">
        <v>2315</v>
      </c>
      <c r="J3802" s="0" t="s">
        <v>2348</v>
      </c>
      <c r="K3802" s="272" t="n">
        <v>4676144.3</v>
      </c>
    </row>
    <row r="3803" customFormat="false" ht="15" hidden="false" customHeight="false" outlineLevel="0" collapsed="false">
      <c r="A3803" s="0" t="s">
        <v>2041</v>
      </c>
      <c r="B3803" s="0" t="s">
        <v>2042</v>
      </c>
      <c r="C3803" s="0" t="s">
        <v>2352</v>
      </c>
      <c r="D3803" s="0" t="s">
        <v>2279</v>
      </c>
      <c r="E3803" s="0" t="s">
        <v>2279</v>
      </c>
      <c r="F3803" s="0" t="s">
        <v>2292</v>
      </c>
      <c r="G3803" s="0" t="s">
        <v>2293</v>
      </c>
      <c r="H3803" s="0" t="s">
        <v>2316</v>
      </c>
      <c r="J3803" s="0" t="s">
        <v>2348</v>
      </c>
      <c r="K3803" s="272" t="n">
        <v>15771153.62</v>
      </c>
    </row>
    <row r="3804" customFormat="false" ht="15" hidden="false" customHeight="false" outlineLevel="0" collapsed="false">
      <c r="A3804" s="0" t="s">
        <v>2041</v>
      </c>
      <c r="B3804" s="0" t="s">
        <v>2042</v>
      </c>
      <c r="C3804" s="0" t="s">
        <v>2352</v>
      </c>
      <c r="D3804" s="0" t="s">
        <v>2279</v>
      </c>
      <c r="E3804" s="0" t="s">
        <v>2279</v>
      </c>
      <c r="F3804" s="0" t="s">
        <v>2292</v>
      </c>
      <c r="G3804" s="0" t="s">
        <v>2293</v>
      </c>
      <c r="H3804" s="0" t="s">
        <v>2326</v>
      </c>
      <c r="J3804" s="0" t="s">
        <v>2348</v>
      </c>
      <c r="K3804" s="272" t="n">
        <v>2362169.85</v>
      </c>
    </row>
    <row r="3805" customFormat="false" ht="15" hidden="false" customHeight="false" outlineLevel="0" collapsed="false">
      <c r="A3805" s="0" t="s">
        <v>2041</v>
      </c>
      <c r="B3805" s="0" t="s">
        <v>2042</v>
      </c>
      <c r="C3805" s="0" t="s">
        <v>2352</v>
      </c>
      <c r="D3805" s="0" t="s">
        <v>2279</v>
      </c>
      <c r="E3805" s="0" t="s">
        <v>2279</v>
      </c>
      <c r="F3805" s="0" t="s">
        <v>2292</v>
      </c>
      <c r="G3805" s="0" t="s">
        <v>2293</v>
      </c>
      <c r="H3805" s="0" t="s">
        <v>2317</v>
      </c>
      <c r="J3805" s="0" t="s">
        <v>2348</v>
      </c>
      <c r="K3805" s="272" t="n">
        <v>639322.65</v>
      </c>
    </row>
    <row r="3806" customFormat="false" ht="15" hidden="false" customHeight="false" outlineLevel="0" collapsed="false">
      <c r="A3806" s="0" t="s">
        <v>2041</v>
      </c>
      <c r="B3806" s="0" t="s">
        <v>2042</v>
      </c>
      <c r="C3806" s="0" t="s">
        <v>2352</v>
      </c>
      <c r="D3806" s="0" t="s">
        <v>2279</v>
      </c>
      <c r="E3806" s="0" t="s">
        <v>2279</v>
      </c>
      <c r="F3806" s="0" t="s">
        <v>2292</v>
      </c>
      <c r="G3806" s="0" t="s">
        <v>2293</v>
      </c>
      <c r="H3806" s="0" t="s">
        <v>2318</v>
      </c>
      <c r="J3806" s="0" t="s">
        <v>2348</v>
      </c>
      <c r="K3806" s="272" t="n">
        <v>3312880.5</v>
      </c>
    </row>
    <row r="3807" customFormat="false" ht="15" hidden="false" customHeight="false" outlineLevel="0" collapsed="false">
      <c r="A3807" s="0" t="s">
        <v>2041</v>
      </c>
      <c r="B3807" s="0" t="s">
        <v>2042</v>
      </c>
      <c r="C3807" s="0" t="s">
        <v>2352</v>
      </c>
      <c r="D3807" s="0" t="s">
        <v>2279</v>
      </c>
      <c r="E3807" s="0" t="s">
        <v>2279</v>
      </c>
      <c r="F3807" s="0" t="s">
        <v>2292</v>
      </c>
      <c r="G3807" s="0" t="s">
        <v>2293</v>
      </c>
      <c r="H3807" s="0" t="s">
        <v>2319</v>
      </c>
      <c r="J3807" s="0" t="s">
        <v>2348</v>
      </c>
      <c r="K3807" s="272" t="n">
        <v>1124678.45</v>
      </c>
    </row>
    <row r="3808" customFormat="false" ht="15" hidden="false" customHeight="false" outlineLevel="0" collapsed="false">
      <c r="A3808" s="0" t="s">
        <v>2041</v>
      </c>
      <c r="B3808" s="0" t="s">
        <v>2042</v>
      </c>
      <c r="C3808" s="0" t="s">
        <v>2352</v>
      </c>
      <c r="D3808" s="0" t="s">
        <v>2279</v>
      </c>
      <c r="E3808" s="0" t="s">
        <v>2279</v>
      </c>
      <c r="F3808" s="0" t="s">
        <v>2292</v>
      </c>
      <c r="G3808" s="0" t="s">
        <v>2293</v>
      </c>
      <c r="H3808" s="0" t="s">
        <v>2320</v>
      </c>
      <c r="J3808" s="0" t="s">
        <v>2348</v>
      </c>
      <c r="K3808" s="272" t="n">
        <v>773287.42</v>
      </c>
    </row>
    <row r="3809" customFormat="false" ht="15" hidden="false" customHeight="false" outlineLevel="0" collapsed="false">
      <c r="A3809" s="0" t="s">
        <v>2041</v>
      </c>
      <c r="B3809" s="0" t="s">
        <v>2042</v>
      </c>
      <c r="C3809" s="0" t="s">
        <v>2352</v>
      </c>
      <c r="D3809" s="0" t="s">
        <v>2279</v>
      </c>
      <c r="E3809" s="0" t="s">
        <v>2279</v>
      </c>
      <c r="F3809" s="0" t="s">
        <v>2292</v>
      </c>
      <c r="G3809" s="0" t="s">
        <v>2293</v>
      </c>
      <c r="H3809" s="0" t="s">
        <v>2290</v>
      </c>
      <c r="J3809" s="0" t="s">
        <v>2348</v>
      </c>
      <c r="K3809" s="272" t="n">
        <v>1090049.16</v>
      </c>
    </row>
    <row r="3810" customFormat="false" ht="15" hidden="false" customHeight="false" outlineLevel="0" collapsed="false">
      <c r="A3810" s="0" t="s">
        <v>2041</v>
      </c>
      <c r="B3810" s="0" t="s">
        <v>2042</v>
      </c>
      <c r="C3810" s="0" t="s">
        <v>2352</v>
      </c>
      <c r="D3810" s="0" t="s">
        <v>2279</v>
      </c>
      <c r="E3810" s="0" t="s">
        <v>2279</v>
      </c>
      <c r="F3810" s="0" t="s">
        <v>2292</v>
      </c>
      <c r="G3810" s="0" t="s">
        <v>2293</v>
      </c>
      <c r="H3810" s="0" t="s">
        <v>2291</v>
      </c>
      <c r="J3810" s="0" t="s">
        <v>2348</v>
      </c>
      <c r="K3810" s="272" t="n">
        <v>489509.9</v>
      </c>
    </row>
    <row r="3811" customFormat="false" ht="15" hidden="false" customHeight="false" outlineLevel="0" collapsed="false">
      <c r="A3811" s="0" t="s">
        <v>2041</v>
      </c>
      <c r="B3811" s="0" t="s">
        <v>2042</v>
      </c>
      <c r="C3811" s="0" t="s">
        <v>2352</v>
      </c>
      <c r="D3811" s="0" t="s">
        <v>2279</v>
      </c>
      <c r="E3811" s="0" t="s">
        <v>2279</v>
      </c>
      <c r="F3811" s="0" t="s">
        <v>2292</v>
      </c>
      <c r="G3811" s="0" t="s">
        <v>2293</v>
      </c>
      <c r="H3811" s="0" t="s">
        <v>2203</v>
      </c>
      <c r="J3811" s="0" t="s">
        <v>2348</v>
      </c>
      <c r="K3811" s="272" t="n">
        <v>1320911.1</v>
      </c>
    </row>
    <row r="3812" customFormat="false" ht="15" hidden="false" customHeight="false" outlineLevel="0" collapsed="false">
      <c r="A3812" s="0" t="s">
        <v>2041</v>
      </c>
      <c r="B3812" s="0" t="s">
        <v>2042</v>
      </c>
      <c r="C3812" s="0" t="s">
        <v>2321</v>
      </c>
      <c r="D3812" s="0" t="s">
        <v>2279</v>
      </c>
      <c r="E3812" s="0" t="s">
        <v>2279</v>
      </c>
      <c r="F3812" s="0" t="s">
        <v>2292</v>
      </c>
      <c r="G3812" s="0" t="s">
        <v>2293</v>
      </c>
      <c r="H3812" s="0" t="s">
        <v>2354</v>
      </c>
      <c r="J3812" s="0" t="s">
        <v>2348</v>
      </c>
      <c r="K3812" s="272" t="n">
        <v>59500.5</v>
      </c>
    </row>
    <row r="3813" customFormat="false" ht="15" hidden="false" customHeight="false" outlineLevel="0" collapsed="false">
      <c r="A3813" s="0" t="s">
        <v>2041</v>
      </c>
      <c r="B3813" s="0" t="s">
        <v>2042</v>
      </c>
      <c r="C3813" s="0" t="s">
        <v>2156</v>
      </c>
      <c r="D3813" s="0" t="s">
        <v>2279</v>
      </c>
      <c r="E3813" s="0" t="s">
        <v>2279</v>
      </c>
      <c r="F3813" s="0" t="s">
        <v>2292</v>
      </c>
      <c r="G3813" s="0" t="s">
        <v>2293</v>
      </c>
      <c r="H3813" s="0" t="s">
        <v>2284</v>
      </c>
      <c r="J3813" s="0" t="s">
        <v>2348</v>
      </c>
      <c r="K3813" s="272" t="n">
        <v>3164120.29</v>
      </c>
    </row>
    <row r="3814" customFormat="false" ht="15" hidden="false" customHeight="false" outlineLevel="0" collapsed="false">
      <c r="A3814" s="0" t="s">
        <v>2041</v>
      </c>
      <c r="B3814" s="0" t="s">
        <v>2042</v>
      </c>
      <c r="C3814" s="0" t="s">
        <v>2156</v>
      </c>
      <c r="D3814" s="0" t="s">
        <v>2279</v>
      </c>
      <c r="E3814" s="0" t="s">
        <v>2279</v>
      </c>
      <c r="F3814" s="0" t="s">
        <v>2292</v>
      </c>
      <c r="G3814" s="0" t="s">
        <v>2293</v>
      </c>
      <c r="H3814" s="0" t="s">
        <v>2294</v>
      </c>
      <c r="J3814" s="0" t="s">
        <v>2348</v>
      </c>
      <c r="K3814" s="272" t="n">
        <v>24511757.65</v>
      </c>
    </row>
    <row r="3815" customFormat="false" ht="15" hidden="false" customHeight="false" outlineLevel="0" collapsed="false">
      <c r="A3815" s="0" t="s">
        <v>2041</v>
      </c>
      <c r="B3815" s="0" t="s">
        <v>2042</v>
      </c>
      <c r="C3815" s="0" t="s">
        <v>2156</v>
      </c>
      <c r="D3815" s="0" t="s">
        <v>2279</v>
      </c>
      <c r="E3815" s="0" t="s">
        <v>2279</v>
      </c>
      <c r="F3815" s="0" t="s">
        <v>2292</v>
      </c>
      <c r="G3815" s="0" t="s">
        <v>2293</v>
      </c>
      <c r="H3815" s="0" t="s">
        <v>2296</v>
      </c>
      <c r="J3815" s="0" t="s">
        <v>2348</v>
      </c>
      <c r="K3815" s="272" t="n">
        <v>15955988.15</v>
      </c>
    </row>
    <row r="3816" customFormat="false" ht="15" hidden="false" customHeight="false" outlineLevel="0" collapsed="false">
      <c r="A3816" s="0" t="s">
        <v>2041</v>
      </c>
      <c r="B3816" s="0" t="s">
        <v>2042</v>
      </c>
      <c r="C3816" s="0" t="s">
        <v>2156</v>
      </c>
      <c r="D3816" s="0" t="s">
        <v>2279</v>
      </c>
      <c r="E3816" s="0" t="s">
        <v>2279</v>
      </c>
      <c r="F3816" s="0" t="s">
        <v>2292</v>
      </c>
      <c r="G3816" s="0" t="s">
        <v>2293</v>
      </c>
      <c r="H3816" s="0" t="s">
        <v>2297</v>
      </c>
      <c r="J3816" s="0" t="s">
        <v>2348</v>
      </c>
      <c r="K3816" s="272" t="n">
        <v>2311336.94</v>
      </c>
    </row>
    <row r="3817" customFormat="false" ht="15" hidden="false" customHeight="false" outlineLevel="0" collapsed="false">
      <c r="A3817" s="0" t="s">
        <v>2041</v>
      </c>
      <c r="B3817" s="0" t="s">
        <v>2042</v>
      </c>
      <c r="C3817" s="0" t="s">
        <v>2156</v>
      </c>
      <c r="D3817" s="0" t="s">
        <v>2279</v>
      </c>
      <c r="E3817" s="0" t="s">
        <v>2279</v>
      </c>
      <c r="F3817" s="0" t="s">
        <v>2292</v>
      </c>
      <c r="G3817" s="0" t="s">
        <v>2293</v>
      </c>
      <c r="H3817" s="0" t="s">
        <v>2353</v>
      </c>
      <c r="J3817" s="0" t="s">
        <v>2348</v>
      </c>
      <c r="K3817" s="272" t="n">
        <v>1407974.72</v>
      </c>
    </row>
    <row r="3818" customFormat="false" ht="15" hidden="false" customHeight="false" outlineLevel="0" collapsed="false">
      <c r="A3818" s="0" t="s">
        <v>2041</v>
      </c>
      <c r="B3818" s="0" t="s">
        <v>2042</v>
      </c>
      <c r="C3818" s="0" t="s">
        <v>2156</v>
      </c>
      <c r="D3818" s="0" t="s">
        <v>2279</v>
      </c>
      <c r="E3818" s="0" t="s">
        <v>2279</v>
      </c>
      <c r="F3818" s="0" t="s">
        <v>2292</v>
      </c>
      <c r="G3818" s="0" t="s">
        <v>2293</v>
      </c>
      <c r="H3818" s="0" t="s">
        <v>2299</v>
      </c>
      <c r="J3818" s="0" t="s">
        <v>2348</v>
      </c>
      <c r="K3818" s="272" t="n">
        <v>1889944.34</v>
      </c>
    </row>
    <row r="3819" customFormat="false" ht="15" hidden="false" customHeight="false" outlineLevel="0" collapsed="false">
      <c r="A3819" s="0" t="s">
        <v>2041</v>
      </c>
      <c r="B3819" s="0" t="s">
        <v>2042</v>
      </c>
      <c r="C3819" s="0" t="s">
        <v>2156</v>
      </c>
      <c r="D3819" s="0" t="s">
        <v>2279</v>
      </c>
      <c r="E3819" s="0" t="s">
        <v>2279</v>
      </c>
      <c r="F3819" s="0" t="s">
        <v>2292</v>
      </c>
      <c r="G3819" s="0" t="s">
        <v>2293</v>
      </c>
      <c r="H3819" s="0" t="s">
        <v>2300</v>
      </c>
      <c r="J3819" s="0" t="s">
        <v>2348</v>
      </c>
      <c r="K3819" s="272" t="n">
        <v>933885.99</v>
      </c>
    </row>
    <row r="3820" customFormat="false" ht="15" hidden="false" customHeight="false" outlineLevel="0" collapsed="false">
      <c r="A3820" s="0" t="s">
        <v>2041</v>
      </c>
      <c r="B3820" s="0" t="s">
        <v>2042</v>
      </c>
      <c r="C3820" s="0" t="s">
        <v>2156</v>
      </c>
      <c r="D3820" s="0" t="s">
        <v>2279</v>
      </c>
      <c r="E3820" s="0" t="s">
        <v>2279</v>
      </c>
      <c r="F3820" s="0" t="s">
        <v>2292</v>
      </c>
      <c r="G3820" s="0" t="s">
        <v>2293</v>
      </c>
      <c r="H3820" s="0" t="s">
        <v>2301</v>
      </c>
      <c r="J3820" s="0" t="s">
        <v>2348</v>
      </c>
      <c r="K3820" s="272" t="n">
        <v>2276990.36</v>
      </c>
    </row>
    <row r="3821" customFormat="false" ht="15" hidden="false" customHeight="false" outlineLevel="0" collapsed="false">
      <c r="A3821" s="0" t="s">
        <v>2041</v>
      </c>
      <c r="B3821" s="0" t="s">
        <v>2042</v>
      </c>
      <c r="C3821" s="0" t="s">
        <v>2156</v>
      </c>
      <c r="D3821" s="0" t="s">
        <v>2279</v>
      </c>
      <c r="E3821" s="0" t="s">
        <v>2279</v>
      </c>
      <c r="F3821" s="0" t="s">
        <v>2292</v>
      </c>
      <c r="G3821" s="0" t="s">
        <v>2293</v>
      </c>
      <c r="H3821" s="0" t="s">
        <v>2302</v>
      </c>
      <c r="J3821" s="0" t="s">
        <v>2348</v>
      </c>
      <c r="K3821" s="272" t="n">
        <v>1630286.51</v>
      </c>
    </row>
    <row r="3822" customFormat="false" ht="15" hidden="false" customHeight="false" outlineLevel="0" collapsed="false">
      <c r="A3822" s="0" t="s">
        <v>2041</v>
      </c>
      <c r="B3822" s="0" t="s">
        <v>2042</v>
      </c>
      <c r="C3822" s="0" t="s">
        <v>2156</v>
      </c>
      <c r="D3822" s="0" t="s">
        <v>2279</v>
      </c>
      <c r="E3822" s="0" t="s">
        <v>2279</v>
      </c>
      <c r="F3822" s="0" t="s">
        <v>2292</v>
      </c>
      <c r="G3822" s="0" t="s">
        <v>2293</v>
      </c>
      <c r="H3822" s="0" t="s">
        <v>2303</v>
      </c>
      <c r="J3822" s="0" t="s">
        <v>2348</v>
      </c>
      <c r="K3822" s="272" t="n">
        <v>3999259.84</v>
      </c>
    </row>
    <row r="3823" customFormat="false" ht="15" hidden="false" customHeight="false" outlineLevel="0" collapsed="false">
      <c r="A3823" s="0" t="s">
        <v>2041</v>
      </c>
      <c r="B3823" s="0" t="s">
        <v>2042</v>
      </c>
      <c r="C3823" s="0" t="s">
        <v>2156</v>
      </c>
      <c r="D3823" s="0" t="s">
        <v>2279</v>
      </c>
      <c r="E3823" s="0" t="s">
        <v>2279</v>
      </c>
      <c r="F3823" s="0" t="s">
        <v>2292</v>
      </c>
      <c r="G3823" s="0" t="s">
        <v>2293</v>
      </c>
      <c r="H3823" s="0" t="s">
        <v>2285</v>
      </c>
      <c r="J3823" s="0" t="s">
        <v>2348</v>
      </c>
      <c r="K3823" s="272" t="n">
        <v>2800658.14</v>
      </c>
    </row>
    <row r="3824" customFormat="false" ht="15" hidden="false" customHeight="false" outlineLevel="0" collapsed="false">
      <c r="A3824" s="0" t="s">
        <v>2041</v>
      </c>
      <c r="B3824" s="0" t="s">
        <v>2042</v>
      </c>
      <c r="C3824" s="0" t="s">
        <v>2156</v>
      </c>
      <c r="D3824" s="0" t="s">
        <v>2279</v>
      </c>
      <c r="E3824" s="0" t="s">
        <v>2279</v>
      </c>
      <c r="F3824" s="0" t="s">
        <v>2292</v>
      </c>
      <c r="G3824" s="0" t="s">
        <v>2293</v>
      </c>
      <c r="H3824" s="0" t="s">
        <v>2286</v>
      </c>
      <c r="J3824" s="0" t="s">
        <v>2348</v>
      </c>
      <c r="K3824" s="272" t="n">
        <v>1646754.05</v>
      </c>
    </row>
    <row r="3825" customFormat="false" ht="15" hidden="false" customHeight="false" outlineLevel="0" collapsed="false">
      <c r="A3825" s="0" t="s">
        <v>2041</v>
      </c>
      <c r="B3825" s="0" t="s">
        <v>2042</v>
      </c>
      <c r="C3825" s="0" t="s">
        <v>2156</v>
      </c>
      <c r="D3825" s="0" t="s">
        <v>2279</v>
      </c>
      <c r="E3825" s="0" t="s">
        <v>2279</v>
      </c>
      <c r="F3825" s="0" t="s">
        <v>2292</v>
      </c>
      <c r="G3825" s="0" t="s">
        <v>2293</v>
      </c>
      <c r="H3825" s="0" t="s">
        <v>2304</v>
      </c>
      <c r="J3825" s="0" t="s">
        <v>2348</v>
      </c>
      <c r="K3825" s="272" t="n">
        <v>2999444.88</v>
      </c>
    </row>
    <row r="3826" customFormat="false" ht="15" hidden="false" customHeight="false" outlineLevel="0" collapsed="false">
      <c r="A3826" s="0" t="s">
        <v>2041</v>
      </c>
      <c r="B3826" s="0" t="s">
        <v>2042</v>
      </c>
      <c r="C3826" s="0" t="s">
        <v>2156</v>
      </c>
      <c r="D3826" s="0" t="s">
        <v>2279</v>
      </c>
      <c r="E3826" s="0" t="s">
        <v>2279</v>
      </c>
      <c r="F3826" s="0" t="s">
        <v>2292</v>
      </c>
      <c r="G3826" s="0" t="s">
        <v>2293</v>
      </c>
      <c r="H3826" s="0" t="s">
        <v>2287</v>
      </c>
      <c r="J3826" s="0" t="s">
        <v>2348</v>
      </c>
      <c r="K3826" s="272" t="n">
        <v>7727981.52</v>
      </c>
    </row>
    <row r="3827" customFormat="false" ht="15" hidden="false" customHeight="false" outlineLevel="0" collapsed="false">
      <c r="A3827" s="0" t="s">
        <v>2041</v>
      </c>
      <c r="B3827" s="0" t="s">
        <v>2042</v>
      </c>
      <c r="C3827" s="0" t="s">
        <v>2156</v>
      </c>
      <c r="D3827" s="0" t="s">
        <v>2279</v>
      </c>
      <c r="E3827" s="0" t="s">
        <v>2279</v>
      </c>
      <c r="F3827" s="0" t="s">
        <v>2292</v>
      </c>
      <c r="G3827" s="0" t="s">
        <v>2293</v>
      </c>
      <c r="H3827" s="0" t="s">
        <v>2288</v>
      </c>
      <c r="J3827" s="0" t="s">
        <v>2348</v>
      </c>
      <c r="K3827" s="272" t="n">
        <v>2058442.57</v>
      </c>
    </row>
    <row r="3828" customFormat="false" ht="15" hidden="false" customHeight="false" outlineLevel="0" collapsed="false">
      <c r="A3828" s="0" t="s">
        <v>2041</v>
      </c>
      <c r="B3828" s="0" t="s">
        <v>2042</v>
      </c>
      <c r="C3828" s="0" t="s">
        <v>2156</v>
      </c>
      <c r="D3828" s="0" t="s">
        <v>2279</v>
      </c>
      <c r="E3828" s="0" t="s">
        <v>2279</v>
      </c>
      <c r="F3828" s="0" t="s">
        <v>2292</v>
      </c>
      <c r="G3828" s="0" t="s">
        <v>2293</v>
      </c>
      <c r="H3828" s="0" t="s">
        <v>2305</v>
      </c>
      <c r="J3828" s="0" t="s">
        <v>2348</v>
      </c>
      <c r="K3828" s="272" t="n">
        <v>352875.87</v>
      </c>
    </row>
    <row r="3829" customFormat="false" ht="15" hidden="false" customHeight="false" outlineLevel="0" collapsed="false">
      <c r="A3829" s="0" t="s">
        <v>2041</v>
      </c>
      <c r="B3829" s="0" t="s">
        <v>2042</v>
      </c>
      <c r="C3829" s="0" t="s">
        <v>2156</v>
      </c>
      <c r="D3829" s="0" t="s">
        <v>2279</v>
      </c>
      <c r="E3829" s="0" t="s">
        <v>2279</v>
      </c>
      <c r="F3829" s="0" t="s">
        <v>2292</v>
      </c>
      <c r="G3829" s="0" t="s">
        <v>2293</v>
      </c>
      <c r="H3829" s="0" t="s">
        <v>2200</v>
      </c>
      <c r="J3829" s="0" t="s">
        <v>2348</v>
      </c>
      <c r="K3829" s="272" t="n">
        <v>16715671.09</v>
      </c>
    </row>
    <row r="3830" customFormat="false" ht="15" hidden="false" customHeight="false" outlineLevel="0" collapsed="false">
      <c r="A3830" s="0" t="s">
        <v>2041</v>
      </c>
      <c r="B3830" s="0" t="s">
        <v>2042</v>
      </c>
      <c r="C3830" s="0" t="s">
        <v>2156</v>
      </c>
      <c r="D3830" s="0" t="s">
        <v>2279</v>
      </c>
      <c r="E3830" s="0" t="s">
        <v>2279</v>
      </c>
      <c r="F3830" s="0" t="s">
        <v>2292</v>
      </c>
      <c r="G3830" s="0" t="s">
        <v>2293</v>
      </c>
      <c r="H3830" s="0" t="s">
        <v>2202</v>
      </c>
      <c r="J3830" s="0" t="s">
        <v>2348</v>
      </c>
      <c r="K3830" s="272" t="n">
        <v>9000745.97</v>
      </c>
    </row>
    <row r="3831" customFormat="false" ht="15" hidden="false" customHeight="false" outlineLevel="0" collapsed="false">
      <c r="A3831" s="0" t="s">
        <v>2041</v>
      </c>
      <c r="B3831" s="0" t="s">
        <v>2042</v>
      </c>
      <c r="C3831" s="0" t="s">
        <v>2156</v>
      </c>
      <c r="D3831" s="0" t="s">
        <v>2279</v>
      </c>
      <c r="E3831" s="0" t="s">
        <v>2279</v>
      </c>
      <c r="F3831" s="0" t="s">
        <v>2292</v>
      </c>
      <c r="G3831" s="0" t="s">
        <v>2293</v>
      </c>
      <c r="H3831" s="0" t="s">
        <v>2306</v>
      </c>
      <c r="J3831" s="0" t="s">
        <v>2348</v>
      </c>
      <c r="K3831" s="272" t="n">
        <v>3893397.08</v>
      </c>
    </row>
    <row r="3832" customFormat="false" ht="15" hidden="false" customHeight="false" outlineLevel="0" collapsed="false">
      <c r="A3832" s="0" t="s">
        <v>2041</v>
      </c>
      <c r="B3832" s="0" t="s">
        <v>2042</v>
      </c>
      <c r="C3832" s="0" t="s">
        <v>2156</v>
      </c>
      <c r="D3832" s="0" t="s">
        <v>2279</v>
      </c>
      <c r="E3832" s="0" t="s">
        <v>2279</v>
      </c>
      <c r="F3832" s="0" t="s">
        <v>2292</v>
      </c>
      <c r="G3832" s="0" t="s">
        <v>2293</v>
      </c>
      <c r="H3832" s="0" t="s">
        <v>2182</v>
      </c>
      <c r="J3832" s="0" t="s">
        <v>2348</v>
      </c>
      <c r="K3832" s="272" t="n">
        <v>7727981.52</v>
      </c>
    </row>
    <row r="3833" customFormat="false" ht="15" hidden="false" customHeight="false" outlineLevel="0" collapsed="false">
      <c r="A3833" s="0" t="s">
        <v>2041</v>
      </c>
      <c r="B3833" s="0" t="s">
        <v>2042</v>
      </c>
      <c r="C3833" s="0" t="s">
        <v>2156</v>
      </c>
      <c r="D3833" s="0" t="s">
        <v>2279</v>
      </c>
      <c r="E3833" s="0" t="s">
        <v>2279</v>
      </c>
      <c r="F3833" s="0" t="s">
        <v>2292</v>
      </c>
      <c r="G3833" s="0" t="s">
        <v>2293</v>
      </c>
      <c r="H3833" s="0" t="s">
        <v>2289</v>
      </c>
      <c r="J3833" s="0" t="s">
        <v>2348</v>
      </c>
      <c r="K3833" s="272" t="n">
        <v>4705011.58</v>
      </c>
    </row>
    <row r="3834" customFormat="false" ht="15" hidden="false" customHeight="false" outlineLevel="0" collapsed="false">
      <c r="A3834" s="0" t="s">
        <v>2041</v>
      </c>
      <c r="B3834" s="0" t="s">
        <v>2042</v>
      </c>
      <c r="C3834" s="0" t="s">
        <v>2156</v>
      </c>
      <c r="D3834" s="0" t="s">
        <v>2279</v>
      </c>
      <c r="E3834" s="0" t="s">
        <v>2279</v>
      </c>
      <c r="F3834" s="0" t="s">
        <v>2292</v>
      </c>
      <c r="G3834" s="0" t="s">
        <v>2293</v>
      </c>
      <c r="H3834" s="0" t="s">
        <v>2307</v>
      </c>
      <c r="J3834" s="0" t="s">
        <v>2348</v>
      </c>
      <c r="K3834" s="272" t="n">
        <v>4383600.48</v>
      </c>
    </row>
    <row r="3835" customFormat="false" ht="15" hidden="false" customHeight="false" outlineLevel="0" collapsed="false">
      <c r="A3835" s="0" t="s">
        <v>2041</v>
      </c>
      <c r="B3835" s="0" t="s">
        <v>2042</v>
      </c>
      <c r="C3835" s="0" t="s">
        <v>2156</v>
      </c>
      <c r="D3835" s="0" t="s">
        <v>2279</v>
      </c>
      <c r="E3835" s="0" t="s">
        <v>2279</v>
      </c>
      <c r="F3835" s="0" t="s">
        <v>2292</v>
      </c>
      <c r="G3835" s="0" t="s">
        <v>2293</v>
      </c>
      <c r="H3835" s="0" t="s">
        <v>2308</v>
      </c>
      <c r="J3835" s="0" t="s">
        <v>2348</v>
      </c>
      <c r="K3835" s="272" t="n">
        <v>3970500.46</v>
      </c>
    </row>
    <row r="3836" customFormat="false" ht="15" hidden="false" customHeight="false" outlineLevel="0" collapsed="false">
      <c r="A3836" s="0" t="s">
        <v>2041</v>
      </c>
      <c r="B3836" s="0" t="s">
        <v>2042</v>
      </c>
      <c r="C3836" s="0" t="s">
        <v>2156</v>
      </c>
      <c r="D3836" s="0" t="s">
        <v>2279</v>
      </c>
      <c r="E3836" s="0" t="s">
        <v>2279</v>
      </c>
      <c r="F3836" s="0" t="s">
        <v>2292</v>
      </c>
      <c r="G3836" s="0" t="s">
        <v>2293</v>
      </c>
      <c r="H3836" s="0" t="s">
        <v>2309</v>
      </c>
      <c r="J3836" s="0" t="s">
        <v>2348</v>
      </c>
      <c r="K3836" s="272" t="n">
        <v>9322509.95</v>
      </c>
    </row>
    <row r="3837" customFormat="false" ht="15" hidden="false" customHeight="false" outlineLevel="0" collapsed="false">
      <c r="A3837" s="0" t="s">
        <v>2041</v>
      </c>
      <c r="B3837" s="0" t="s">
        <v>2042</v>
      </c>
      <c r="C3837" s="0" t="s">
        <v>2156</v>
      </c>
      <c r="D3837" s="0" t="s">
        <v>2279</v>
      </c>
      <c r="E3837" s="0" t="s">
        <v>2279</v>
      </c>
      <c r="F3837" s="0" t="s">
        <v>2292</v>
      </c>
      <c r="G3837" s="0" t="s">
        <v>2293</v>
      </c>
      <c r="H3837" s="0" t="s">
        <v>2310</v>
      </c>
      <c r="J3837" s="0" t="s">
        <v>2348</v>
      </c>
      <c r="K3837" s="272" t="n">
        <v>5130662.22</v>
      </c>
    </row>
    <row r="3838" customFormat="false" ht="15" hidden="false" customHeight="false" outlineLevel="0" collapsed="false">
      <c r="A3838" s="0" t="s">
        <v>2041</v>
      </c>
      <c r="B3838" s="0" t="s">
        <v>2042</v>
      </c>
      <c r="C3838" s="0" t="s">
        <v>2156</v>
      </c>
      <c r="D3838" s="0" t="s">
        <v>2279</v>
      </c>
      <c r="E3838" s="0" t="s">
        <v>2279</v>
      </c>
      <c r="F3838" s="0" t="s">
        <v>2292</v>
      </c>
      <c r="G3838" s="0" t="s">
        <v>2293</v>
      </c>
      <c r="H3838" s="0" t="s">
        <v>2311</v>
      </c>
      <c r="J3838" s="0" t="s">
        <v>2348</v>
      </c>
      <c r="K3838" s="272" t="n">
        <v>4266269.25</v>
      </c>
    </row>
    <row r="3839" customFormat="false" ht="15" hidden="false" customHeight="false" outlineLevel="0" collapsed="false">
      <c r="A3839" s="0" t="s">
        <v>2041</v>
      </c>
      <c r="B3839" s="0" t="s">
        <v>2042</v>
      </c>
      <c r="C3839" s="0" t="s">
        <v>2156</v>
      </c>
      <c r="D3839" s="0" t="s">
        <v>2279</v>
      </c>
      <c r="E3839" s="0" t="s">
        <v>2279</v>
      </c>
      <c r="F3839" s="0" t="s">
        <v>2292</v>
      </c>
      <c r="G3839" s="0" t="s">
        <v>2293</v>
      </c>
      <c r="H3839" s="0" t="s">
        <v>2312</v>
      </c>
      <c r="J3839" s="0" t="s">
        <v>2348</v>
      </c>
      <c r="K3839" s="272" t="n">
        <v>3504057.38</v>
      </c>
    </row>
    <row r="3840" customFormat="false" ht="15" hidden="false" customHeight="false" outlineLevel="0" collapsed="false">
      <c r="A3840" s="0" t="s">
        <v>2041</v>
      </c>
      <c r="B3840" s="0" t="s">
        <v>2042</v>
      </c>
      <c r="C3840" s="0" t="s">
        <v>2156</v>
      </c>
      <c r="D3840" s="0" t="s">
        <v>2279</v>
      </c>
      <c r="E3840" s="0" t="s">
        <v>2279</v>
      </c>
      <c r="F3840" s="0" t="s">
        <v>2292</v>
      </c>
      <c r="G3840" s="0" t="s">
        <v>2293</v>
      </c>
      <c r="H3840" s="0" t="s">
        <v>2315</v>
      </c>
      <c r="J3840" s="0" t="s">
        <v>2348</v>
      </c>
      <c r="K3840" s="272" t="n">
        <v>12792926.49</v>
      </c>
    </row>
    <row r="3841" customFormat="false" ht="15" hidden="false" customHeight="false" outlineLevel="0" collapsed="false">
      <c r="A3841" s="0" t="s">
        <v>2041</v>
      </c>
      <c r="B3841" s="0" t="s">
        <v>2042</v>
      </c>
      <c r="C3841" s="0" t="s">
        <v>2156</v>
      </c>
      <c r="D3841" s="0" t="s">
        <v>2279</v>
      </c>
      <c r="E3841" s="0" t="s">
        <v>2279</v>
      </c>
      <c r="F3841" s="0" t="s">
        <v>2292</v>
      </c>
      <c r="G3841" s="0" t="s">
        <v>2293</v>
      </c>
      <c r="H3841" s="0" t="s">
        <v>2316</v>
      </c>
      <c r="J3841" s="0" t="s">
        <v>2348</v>
      </c>
      <c r="K3841" s="272" t="n">
        <v>37373212.64</v>
      </c>
    </row>
    <row r="3842" customFormat="false" ht="15" hidden="false" customHeight="false" outlineLevel="0" collapsed="false">
      <c r="A3842" s="0" t="s">
        <v>2041</v>
      </c>
      <c r="B3842" s="0" t="s">
        <v>2042</v>
      </c>
      <c r="C3842" s="0" t="s">
        <v>2156</v>
      </c>
      <c r="D3842" s="0" t="s">
        <v>2279</v>
      </c>
      <c r="E3842" s="0" t="s">
        <v>2279</v>
      </c>
      <c r="F3842" s="0" t="s">
        <v>2292</v>
      </c>
      <c r="G3842" s="0" t="s">
        <v>2293</v>
      </c>
      <c r="H3842" s="0" t="s">
        <v>2326</v>
      </c>
      <c r="J3842" s="0" t="s">
        <v>2348</v>
      </c>
      <c r="K3842" s="272" t="n">
        <v>7998519.69</v>
      </c>
    </row>
    <row r="3843" customFormat="false" ht="15" hidden="false" customHeight="false" outlineLevel="0" collapsed="false">
      <c r="A3843" s="0" t="s">
        <v>2041</v>
      </c>
      <c r="B3843" s="0" t="s">
        <v>2042</v>
      </c>
      <c r="C3843" s="0" t="s">
        <v>2156</v>
      </c>
      <c r="D3843" s="0" t="s">
        <v>2279</v>
      </c>
      <c r="E3843" s="0" t="s">
        <v>2279</v>
      </c>
      <c r="F3843" s="0" t="s">
        <v>2292</v>
      </c>
      <c r="G3843" s="0" t="s">
        <v>2293</v>
      </c>
      <c r="H3843" s="0" t="s">
        <v>2317</v>
      </c>
      <c r="J3843" s="0" t="s">
        <v>2348</v>
      </c>
      <c r="K3843" s="272" t="n">
        <v>4001612.35</v>
      </c>
    </row>
    <row r="3844" customFormat="false" ht="15" hidden="false" customHeight="false" outlineLevel="0" collapsed="false">
      <c r="A3844" s="0" t="s">
        <v>2041</v>
      </c>
      <c r="B3844" s="0" t="s">
        <v>2042</v>
      </c>
      <c r="C3844" s="0" t="s">
        <v>2156</v>
      </c>
      <c r="D3844" s="0" t="s">
        <v>2279</v>
      </c>
      <c r="E3844" s="0" t="s">
        <v>2279</v>
      </c>
      <c r="F3844" s="0" t="s">
        <v>2292</v>
      </c>
      <c r="G3844" s="0" t="s">
        <v>2293</v>
      </c>
      <c r="H3844" s="0" t="s">
        <v>2318</v>
      </c>
      <c r="J3844" s="0" t="s">
        <v>2348</v>
      </c>
      <c r="K3844" s="272" t="n">
        <v>8319839.05</v>
      </c>
    </row>
    <row r="3845" customFormat="false" ht="15" hidden="false" customHeight="false" outlineLevel="0" collapsed="false">
      <c r="A3845" s="0" t="s">
        <v>2041</v>
      </c>
      <c r="B3845" s="0" t="s">
        <v>2042</v>
      </c>
      <c r="C3845" s="0" t="s">
        <v>2156</v>
      </c>
      <c r="D3845" s="0" t="s">
        <v>2279</v>
      </c>
      <c r="E3845" s="0" t="s">
        <v>2279</v>
      </c>
      <c r="F3845" s="0" t="s">
        <v>2292</v>
      </c>
      <c r="G3845" s="0" t="s">
        <v>2293</v>
      </c>
      <c r="H3845" s="0" t="s">
        <v>2319</v>
      </c>
      <c r="J3845" s="0" t="s">
        <v>2348</v>
      </c>
      <c r="K3845" s="272" t="n">
        <v>2447194.15</v>
      </c>
    </row>
    <row r="3846" customFormat="false" ht="15" hidden="false" customHeight="false" outlineLevel="0" collapsed="false">
      <c r="A3846" s="0" t="s">
        <v>2041</v>
      </c>
      <c r="B3846" s="0" t="s">
        <v>2042</v>
      </c>
      <c r="C3846" s="0" t="s">
        <v>2156</v>
      </c>
      <c r="D3846" s="0" t="s">
        <v>2279</v>
      </c>
      <c r="E3846" s="0" t="s">
        <v>2279</v>
      </c>
      <c r="F3846" s="0" t="s">
        <v>2292</v>
      </c>
      <c r="G3846" s="0" t="s">
        <v>2293</v>
      </c>
      <c r="H3846" s="0" t="s">
        <v>2320</v>
      </c>
      <c r="J3846" s="0" t="s">
        <v>2348</v>
      </c>
      <c r="K3846" s="272" t="n">
        <v>2098199.92</v>
      </c>
    </row>
    <row r="3847" customFormat="false" ht="15" hidden="false" customHeight="false" outlineLevel="0" collapsed="false">
      <c r="A3847" s="0" t="s">
        <v>2041</v>
      </c>
      <c r="B3847" s="0" t="s">
        <v>2042</v>
      </c>
      <c r="C3847" s="0" t="s">
        <v>2156</v>
      </c>
      <c r="D3847" s="0" t="s">
        <v>2279</v>
      </c>
      <c r="E3847" s="0" t="s">
        <v>2279</v>
      </c>
      <c r="F3847" s="0" t="s">
        <v>2292</v>
      </c>
      <c r="G3847" s="0" t="s">
        <v>2293</v>
      </c>
      <c r="H3847" s="0" t="s">
        <v>2290</v>
      </c>
      <c r="J3847" s="0" t="s">
        <v>2348</v>
      </c>
      <c r="K3847" s="272" t="n">
        <v>2783367.23</v>
      </c>
    </row>
    <row r="3848" customFormat="false" ht="15" hidden="false" customHeight="false" outlineLevel="0" collapsed="false">
      <c r="A3848" s="0" t="s">
        <v>2041</v>
      </c>
      <c r="B3848" s="0" t="s">
        <v>2042</v>
      </c>
      <c r="C3848" s="0" t="s">
        <v>2156</v>
      </c>
      <c r="D3848" s="0" t="s">
        <v>2279</v>
      </c>
      <c r="E3848" s="0" t="s">
        <v>2279</v>
      </c>
      <c r="F3848" s="0" t="s">
        <v>2292</v>
      </c>
      <c r="G3848" s="0" t="s">
        <v>2293</v>
      </c>
      <c r="H3848" s="0" t="s">
        <v>2291</v>
      </c>
      <c r="J3848" s="0" t="s">
        <v>2348</v>
      </c>
      <c r="K3848" s="272" t="n">
        <v>882189.67</v>
      </c>
    </row>
    <row r="3849" customFormat="false" ht="15" hidden="false" customHeight="false" outlineLevel="0" collapsed="false">
      <c r="A3849" s="0" t="s">
        <v>2041</v>
      </c>
      <c r="B3849" s="0" t="s">
        <v>2042</v>
      </c>
      <c r="C3849" s="0" t="s">
        <v>2156</v>
      </c>
      <c r="D3849" s="0" t="s">
        <v>2279</v>
      </c>
      <c r="E3849" s="0" t="s">
        <v>2279</v>
      </c>
      <c r="F3849" s="0" t="s">
        <v>2292</v>
      </c>
      <c r="G3849" s="0" t="s">
        <v>2293</v>
      </c>
      <c r="H3849" s="0" t="s">
        <v>2203</v>
      </c>
      <c r="J3849" s="0" t="s">
        <v>2348</v>
      </c>
      <c r="K3849" s="272" t="n">
        <v>4822636.87</v>
      </c>
    </row>
    <row r="3850" customFormat="false" ht="15" hidden="false" customHeight="false" outlineLevel="0" collapsed="false">
      <c r="A3850" s="0" t="s">
        <v>2041</v>
      </c>
      <c r="B3850" s="0" t="s">
        <v>2042</v>
      </c>
      <c r="C3850" s="0" t="s">
        <v>2349</v>
      </c>
      <c r="D3850" s="0" t="s">
        <v>2279</v>
      </c>
      <c r="E3850" s="0" t="s">
        <v>2279</v>
      </c>
      <c r="F3850" s="0" t="s">
        <v>2292</v>
      </c>
      <c r="G3850" s="0" t="s">
        <v>2293</v>
      </c>
      <c r="H3850" s="0" t="s">
        <v>2284</v>
      </c>
      <c r="J3850" s="0" t="s">
        <v>2348</v>
      </c>
      <c r="K3850" s="272" t="n">
        <v>523256.44</v>
      </c>
    </row>
    <row r="3851" customFormat="false" ht="15" hidden="false" customHeight="false" outlineLevel="0" collapsed="false">
      <c r="A3851" s="0" t="s">
        <v>2041</v>
      </c>
      <c r="B3851" s="0" t="s">
        <v>2042</v>
      </c>
      <c r="C3851" s="0" t="s">
        <v>2349</v>
      </c>
      <c r="D3851" s="0" t="s">
        <v>2279</v>
      </c>
      <c r="E3851" s="0" t="s">
        <v>2279</v>
      </c>
      <c r="F3851" s="0" t="s">
        <v>2292</v>
      </c>
      <c r="G3851" s="0" t="s">
        <v>2293</v>
      </c>
      <c r="H3851" s="0" t="s">
        <v>2294</v>
      </c>
      <c r="J3851" s="0" t="s">
        <v>2348</v>
      </c>
      <c r="K3851" s="272" t="n">
        <v>2925203.7</v>
      </c>
    </row>
    <row r="3852" customFormat="false" ht="15" hidden="false" customHeight="false" outlineLevel="0" collapsed="false">
      <c r="A3852" s="0" t="s">
        <v>2041</v>
      </c>
      <c r="B3852" s="0" t="s">
        <v>2042</v>
      </c>
      <c r="C3852" s="0" t="s">
        <v>2349</v>
      </c>
      <c r="D3852" s="0" t="s">
        <v>2279</v>
      </c>
      <c r="E3852" s="0" t="s">
        <v>2279</v>
      </c>
      <c r="F3852" s="0" t="s">
        <v>2292</v>
      </c>
      <c r="G3852" s="0" t="s">
        <v>2293</v>
      </c>
      <c r="H3852" s="0" t="s">
        <v>2296</v>
      </c>
      <c r="J3852" s="0" t="s">
        <v>2348</v>
      </c>
      <c r="K3852" s="272" t="n">
        <v>2376148.77</v>
      </c>
    </row>
    <row r="3853" customFormat="false" ht="15" hidden="false" customHeight="false" outlineLevel="0" collapsed="false">
      <c r="A3853" s="0" t="s">
        <v>2041</v>
      </c>
      <c r="B3853" s="0" t="s">
        <v>2042</v>
      </c>
      <c r="C3853" s="0" t="s">
        <v>2349</v>
      </c>
      <c r="D3853" s="0" t="s">
        <v>2279</v>
      </c>
      <c r="E3853" s="0" t="s">
        <v>2279</v>
      </c>
      <c r="F3853" s="0" t="s">
        <v>2292</v>
      </c>
      <c r="G3853" s="0" t="s">
        <v>2293</v>
      </c>
      <c r="H3853" s="0" t="s">
        <v>2297</v>
      </c>
      <c r="J3853" s="0" t="s">
        <v>2348</v>
      </c>
      <c r="K3853" s="272" t="n">
        <v>337464.43</v>
      </c>
    </row>
    <row r="3854" customFormat="false" ht="15" hidden="false" customHeight="false" outlineLevel="0" collapsed="false">
      <c r="A3854" s="0" t="s">
        <v>2041</v>
      </c>
      <c r="B3854" s="0" t="s">
        <v>2042</v>
      </c>
      <c r="C3854" s="0" t="s">
        <v>2349</v>
      </c>
      <c r="D3854" s="0" t="s">
        <v>2279</v>
      </c>
      <c r="E3854" s="0" t="s">
        <v>2279</v>
      </c>
      <c r="F3854" s="0" t="s">
        <v>2292</v>
      </c>
      <c r="G3854" s="0" t="s">
        <v>2293</v>
      </c>
      <c r="H3854" s="0" t="s">
        <v>2353</v>
      </c>
      <c r="J3854" s="0" t="s">
        <v>2348</v>
      </c>
      <c r="K3854" s="272" t="n">
        <v>236363.5</v>
      </c>
    </row>
    <row r="3855" customFormat="false" ht="15" hidden="false" customHeight="false" outlineLevel="0" collapsed="false">
      <c r="A3855" s="0" t="s">
        <v>2041</v>
      </c>
      <c r="B3855" s="0" t="s">
        <v>2042</v>
      </c>
      <c r="C3855" s="0" t="s">
        <v>2349</v>
      </c>
      <c r="D3855" s="0" t="s">
        <v>2279</v>
      </c>
      <c r="E3855" s="0" t="s">
        <v>2279</v>
      </c>
      <c r="F3855" s="0" t="s">
        <v>2292</v>
      </c>
      <c r="G3855" s="0" t="s">
        <v>2293</v>
      </c>
      <c r="H3855" s="0" t="s">
        <v>2299</v>
      </c>
      <c r="J3855" s="0" t="s">
        <v>2348</v>
      </c>
      <c r="K3855" s="272" t="n">
        <v>259935.91</v>
      </c>
    </row>
    <row r="3856" customFormat="false" ht="15" hidden="false" customHeight="false" outlineLevel="0" collapsed="false">
      <c r="A3856" s="0" t="s">
        <v>2041</v>
      </c>
      <c r="B3856" s="0" t="s">
        <v>2042</v>
      </c>
      <c r="C3856" s="0" t="s">
        <v>2349</v>
      </c>
      <c r="D3856" s="0" t="s">
        <v>2279</v>
      </c>
      <c r="E3856" s="0" t="s">
        <v>2279</v>
      </c>
      <c r="F3856" s="0" t="s">
        <v>2292</v>
      </c>
      <c r="G3856" s="0" t="s">
        <v>2293</v>
      </c>
      <c r="H3856" s="0" t="s">
        <v>2300</v>
      </c>
      <c r="J3856" s="0" t="s">
        <v>2348</v>
      </c>
      <c r="K3856" s="272" t="n">
        <v>123755.73</v>
      </c>
    </row>
    <row r="3857" customFormat="false" ht="15" hidden="false" customHeight="false" outlineLevel="0" collapsed="false">
      <c r="A3857" s="0" t="s">
        <v>2041</v>
      </c>
      <c r="B3857" s="0" t="s">
        <v>2042</v>
      </c>
      <c r="C3857" s="0" t="s">
        <v>2349</v>
      </c>
      <c r="D3857" s="0" t="s">
        <v>2279</v>
      </c>
      <c r="E3857" s="0" t="s">
        <v>2279</v>
      </c>
      <c r="F3857" s="0" t="s">
        <v>2292</v>
      </c>
      <c r="G3857" s="0" t="s">
        <v>2293</v>
      </c>
      <c r="H3857" s="0" t="s">
        <v>2301</v>
      </c>
      <c r="J3857" s="0" t="s">
        <v>2348</v>
      </c>
      <c r="K3857" s="272" t="n">
        <v>271030.53</v>
      </c>
    </row>
    <row r="3858" customFormat="false" ht="15" hidden="false" customHeight="false" outlineLevel="0" collapsed="false">
      <c r="A3858" s="0" t="s">
        <v>2041</v>
      </c>
      <c r="B3858" s="0" t="s">
        <v>2042</v>
      </c>
      <c r="C3858" s="0" t="s">
        <v>2349</v>
      </c>
      <c r="D3858" s="0" t="s">
        <v>2279</v>
      </c>
      <c r="E3858" s="0" t="s">
        <v>2279</v>
      </c>
      <c r="F3858" s="0" t="s">
        <v>2292</v>
      </c>
      <c r="G3858" s="0" t="s">
        <v>2293</v>
      </c>
      <c r="H3858" s="0" t="s">
        <v>2302</v>
      </c>
      <c r="J3858" s="0" t="s">
        <v>2348</v>
      </c>
      <c r="K3858" s="272" t="n">
        <v>262650.53</v>
      </c>
    </row>
    <row r="3859" customFormat="false" ht="15" hidden="false" customHeight="false" outlineLevel="0" collapsed="false">
      <c r="A3859" s="0" t="s">
        <v>2041</v>
      </c>
      <c r="B3859" s="0" t="s">
        <v>2042</v>
      </c>
      <c r="C3859" s="0" t="s">
        <v>2349</v>
      </c>
      <c r="D3859" s="0" t="s">
        <v>2279</v>
      </c>
      <c r="E3859" s="0" t="s">
        <v>2279</v>
      </c>
      <c r="F3859" s="0" t="s">
        <v>2292</v>
      </c>
      <c r="G3859" s="0" t="s">
        <v>2293</v>
      </c>
      <c r="H3859" s="0" t="s">
        <v>2303</v>
      </c>
      <c r="J3859" s="0" t="s">
        <v>2348</v>
      </c>
      <c r="K3859" s="272" t="n">
        <v>361650.02</v>
      </c>
    </row>
    <row r="3860" customFormat="false" ht="15" hidden="false" customHeight="false" outlineLevel="0" collapsed="false">
      <c r="A3860" s="0" t="s">
        <v>2041</v>
      </c>
      <c r="B3860" s="0" t="s">
        <v>2042</v>
      </c>
      <c r="C3860" s="0" t="s">
        <v>2349</v>
      </c>
      <c r="D3860" s="0" t="s">
        <v>2279</v>
      </c>
      <c r="E3860" s="0" t="s">
        <v>2279</v>
      </c>
      <c r="F3860" s="0" t="s">
        <v>2292</v>
      </c>
      <c r="G3860" s="0" t="s">
        <v>2293</v>
      </c>
      <c r="H3860" s="0" t="s">
        <v>2285</v>
      </c>
      <c r="J3860" s="0" t="s">
        <v>2348</v>
      </c>
      <c r="K3860" s="272" t="n">
        <v>378664.01</v>
      </c>
    </row>
    <row r="3861" customFormat="false" ht="15" hidden="false" customHeight="false" outlineLevel="0" collapsed="false">
      <c r="A3861" s="0" t="s">
        <v>2041</v>
      </c>
      <c r="B3861" s="0" t="s">
        <v>2042</v>
      </c>
      <c r="C3861" s="0" t="s">
        <v>2349</v>
      </c>
      <c r="D3861" s="0" t="s">
        <v>2279</v>
      </c>
      <c r="E3861" s="0" t="s">
        <v>2279</v>
      </c>
      <c r="F3861" s="0" t="s">
        <v>2292</v>
      </c>
      <c r="G3861" s="0" t="s">
        <v>2293</v>
      </c>
      <c r="H3861" s="0" t="s">
        <v>2286</v>
      </c>
      <c r="J3861" s="0" t="s">
        <v>2348</v>
      </c>
      <c r="K3861" s="272" t="n">
        <v>194888.83</v>
      </c>
    </row>
    <row r="3862" customFormat="false" ht="15" hidden="false" customHeight="false" outlineLevel="0" collapsed="false">
      <c r="A3862" s="0" t="s">
        <v>2041</v>
      </c>
      <c r="B3862" s="0" t="s">
        <v>2042</v>
      </c>
      <c r="C3862" s="0" t="s">
        <v>2349</v>
      </c>
      <c r="D3862" s="0" t="s">
        <v>2279</v>
      </c>
      <c r="E3862" s="0" t="s">
        <v>2279</v>
      </c>
      <c r="F3862" s="0" t="s">
        <v>2292</v>
      </c>
      <c r="G3862" s="0" t="s">
        <v>2293</v>
      </c>
      <c r="H3862" s="0" t="s">
        <v>2304</v>
      </c>
      <c r="J3862" s="0" t="s">
        <v>2348</v>
      </c>
      <c r="K3862" s="272" t="n">
        <v>325064.77</v>
      </c>
    </row>
    <row r="3863" customFormat="false" ht="15" hidden="false" customHeight="false" outlineLevel="0" collapsed="false">
      <c r="A3863" s="0" t="s">
        <v>2041</v>
      </c>
      <c r="B3863" s="0" t="s">
        <v>2042</v>
      </c>
      <c r="C3863" s="0" t="s">
        <v>2349</v>
      </c>
      <c r="D3863" s="0" t="s">
        <v>2279</v>
      </c>
      <c r="E3863" s="0" t="s">
        <v>2279</v>
      </c>
      <c r="F3863" s="0" t="s">
        <v>2292</v>
      </c>
      <c r="G3863" s="0" t="s">
        <v>2293</v>
      </c>
      <c r="H3863" s="0" t="s">
        <v>2287</v>
      </c>
      <c r="J3863" s="0" t="s">
        <v>2348</v>
      </c>
      <c r="K3863" s="272" t="n">
        <v>542020.58</v>
      </c>
    </row>
    <row r="3864" customFormat="false" ht="15" hidden="false" customHeight="false" outlineLevel="0" collapsed="false">
      <c r="A3864" s="0" t="s">
        <v>2041</v>
      </c>
      <c r="B3864" s="0" t="s">
        <v>2042</v>
      </c>
      <c r="C3864" s="0" t="s">
        <v>2349</v>
      </c>
      <c r="D3864" s="0" t="s">
        <v>2279</v>
      </c>
      <c r="E3864" s="0" t="s">
        <v>2279</v>
      </c>
      <c r="F3864" s="0" t="s">
        <v>2292</v>
      </c>
      <c r="G3864" s="0" t="s">
        <v>2293</v>
      </c>
      <c r="H3864" s="0" t="s">
        <v>2288</v>
      </c>
      <c r="J3864" s="0" t="s">
        <v>2348</v>
      </c>
      <c r="K3864" s="272" t="n">
        <v>72656.94</v>
      </c>
    </row>
    <row r="3865" customFormat="false" ht="15" hidden="false" customHeight="false" outlineLevel="0" collapsed="false">
      <c r="A3865" s="0" t="s">
        <v>2041</v>
      </c>
      <c r="B3865" s="0" t="s">
        <v>2042</v>
      </c>
      <c r="C3865" s="0" t="s">
        <v>2349</v>
      </c>
      <c r="D3865" s="0" t="s">
        <v>2279</v>
      </c>
      <c r="E3865" s="0" t="s">
        <v>2279</v>
      </c>
      <c r="F3865" s="0" t="s">
        <v>2292</v>
      </c>
      <c r="G3865" s="0" t="s">
        <v>2293</v>
      </c>
      <c r="H3865" s="0" t="s">
        <v>2305</v>
      </c>
      <c r="J3865" s="0" t="s">
        <v>2348</v>
      </c>
      <c r="K3865" s="272" t="n">
        <v>40864.44</v>
      </c>
    </row>
    <row r="3866" customFormat="false" ht="15" hidden="false" customHeight="false" outlineLevel="0" collapsed="false">
      <c r="A3866" s="0" t="s">
        <v>2041</v>
      </c>
      <c r="B3866" s="0" t="s">
        <v>2042</v>
      </c>
      <c r="C3866" s="0" t="s">
        <v>2349</v>
      </c>
      <c r="D3866" s="0" t="s">
        <v>2279</v>
      </c>
      <c r="E3866" s="0" t="s">
        <v>2279</v>
      </c>
      <c r="F3866" s="0" t="s">
        <v>2292</v>
      </c>
      <c r="G3866" s="0" t="s">
        <v>2293</v>
      </c>
      <c r="H3866" s="0" t="s">
        <v>2200</v>
      </c>
      <c r="J3866" s="0" t="s">
        <v>2348</v>
      </c>
      <c r="K3866" s="272" t="n">
        <v>1462001.36</v>
      </c>
    </row>
    <row r="3867" customFormat="false" ht="15" hidden="false" customHeight="false" outlineLevel="0" collapsed="false">
      <c r="A3867" s="0" t="s">
        <v>2041</v>
      </c>
      <c r="B3867" s="0" t="s">
        <v>2042</v>
      </c>
      <c r="C3867" s="0" t="s">
        <v>2349</v>
      </c>
      <c r="D3867" s="0" t="s">
        <v>2279</v>
      </c>
      <c r="E3867" s="0" t="s">
        <v>2279</v>
      </c>
      <c r="F3867" s="0" t="s">
        <v>2292</v>
      </c>
      <c r="G3867" s="0" t="s">
        <v>2293</v>
      </c>
      <c r="H3867" s="0" t="s">
        <v>2202</v>
      </c>
      <c r="J3867" s="0" t="s">
        <v>2348</v>
      </c>
      <c r="K3867" s="272" t="n">
        <v>787231.5</v>
      </c>
    </row>
    <row r="3868" customFormat="false" ht="15" hidden="false" customHeight="false" outlineLevel="0" collapsed="false">
      <c r="A3868" s="0" t="s">
        <v>2041</v>
      </c>
      <c r="B3868" s="0" t="s">
        <v>2042</v>
      </c>
      <c r="C3868" s="0" t="s">
        <v>2349</v>
      </c>
      <c r="D3868" s="0" t="s">
        <v>2279</v>
      </c>
      <c r="E3868" s="0" t="s">
        <v>2279</v>
      </c>
      <c r="F3868" s="0" t="s">
        <v>2292</v>
      </c>
      <c r="G3868" s="0" t="s">
        <v>2293</v>
      </c>
      <c r="H3868" s="0" t="s">
        <v>2306</v>
      </c>
      <c r="J3868" s="0" t="s">
        <v>2348</v>
      </c>
      <c r="K3868" s="272" t="n">
        <v>217129.52</v>
      </c>
    </row>
    <row r="3869" customFormat="false" ht="15" hidden="false" customHeight="false" outlineLevel="0" collapsed="false">
      <c r="A3869" s="0" t="s">
        <v>2041</v>
      </c>
      <c r="B3869" s="0" t="s">
        <v>2042</v>
      </c>
      <c r="C3869" s="0" t="s">
        <v>2349</v>
      </c>
      <c r="D3869" s="0" t="s">
        <v>2279</v>
      </c>
      <c r="E3869" s="0" t="s">
        <v>2279</v>
      </c>
      <c r="F3869" s="0" t="s">
        <v>2292</v>
      </c>
      <c r="G3869" s="0" t="s">
        <v>2293</v>
      </c>
      <c r="H3869" s="0" t="s">
        <v>2182</v>
      </c>
      <c r="J3869" s="0" t="s">
        <v>2348</v>
      </c>
      <c r="K3869" s="272" t="n">
        <v>450668.52</v>
      </c>
    </row>
    <row r="3870" customFormat="false" ht="15" hidden="false" customHeight="false" outlineLevel="0" collapsed="false">
      <c r="A3870" s="0" t="s">
        <v>2041</v>
      </c>
      <c r="B3870" s="0" t="s">
        <v>2042</v>
      </c>
      <c r="C3870" s="0" t="s">
        <v>2349</v>
      </c>
      <c r="D3870" s="0" t="s">
        <v>2279</v>
      </c>
      <c r="E3870" s="0" t="s">
        <v>2279</v>
      </c>
      <c r="F3870" s="0" t="s">
        <v>2292</v>
      </c>
      <c r="G3870" s="0" t="s">
        <v>2293</v>
      </c>
      <c r="H3870" s="0" t="s">
        <v>2289</v>
      </c>
      <c r="J3870" s="0" t="s">
        <v>2348</v>
      </c>
      <c r="K3870" s="272" t="n">
        <v>145313.88</v>
      </c>
    </row>
    <row r="3871" customFormat="false" ht="15" hidden="false" customHeight="false" outlineLevel="0" collapsed="false">
      <c r="A3871" s="0" t="s">
        <v>2041</v>
      </c>
      <c r="B3871" s="0" t="s">
        <v>2042</v>
      </c>
      <c r="C3871" s="0" t="s">
        <v>2349</v>
      </c>
      <c r="D3871" s="0" t="s">
        <v>2279</v>
      </c>
      <c r="E3871" s="0" t="s">
        <v>2279</v>
      </c>
      <c r="F3871" s="0" t="s">
        <v>2292</v>
      </c>
      <c r="G3871" s="0" t="s">
        <v>2293</v>
      </c>
      <c r="H3871" s="0" t="s">
        <v>2307</v>
      </c>
      <c r="J3871" s="0" t="s">
        <v>2348</v>
      </c>
      <c r="K3871" s="272" t="n">
        <v>573678.83</v>
      </c>
    </row>
    <row r="3872" customFormat="false" ht="15" hidden="false" customHeight="false" outlineLevel="0" collapsed="false">
      <c r="A3872" s="0" t="s">
        <v>2041</v>
      </c>
      <c r="B3872" s="0" t="s">
        <v>2042</v>
      </c>
      <c r="C3872" s="0" t="s">
        <v>2349</v>
      </c>
      <c r="D3872" s="0" t="s">
        <v>2279</v>
      </c>
      <c r="E3872" s="0" t="s">
        <v>2279</v>
      </c>
      <c r="F3872" s="0" t="s">
        <v>2292</v>
      </c>
      <c r="G3872" s="0" t="s">
        <v>2293</v>
      </c>
      <c r="H3872" s="0" t="s">
        <v>2308</v>
      </c>
      <c r="J3872" s="0" t="s">
        <v>2348</v>
      </c>
      <c r="K3872" s="272" t="n">
        <v>531213.92</v>
      </c>
    </row>
    <row r="3873" customFormat="false" ht="15" hidden="false" customHeight="false" outlineLevel="0" collapsed="false">
      <c r="A3873" s="0" t="s">
        <v>2041</v>
      </c>
      <c r="B3873" s="0" t="s">
        <v>2042</v>
      </c>
      <c r="C3873" s="0" t="s">
        <v>2349</v>
      </c>
      <c r="D3873" s="0" t="s">
        <v>2279</v>
      </c>
      <c r="E3873" s="0" t="s">
        <v>2279</v>
      </c>
      <c r="F3873" s="0" t="s">
        <v>2292</v>
      </c>
      <c r="G3873" s="0" t="s">
        <v>2293</v>
      </c>
      <c r="H3873" s="0" t="s">
        <v>2309</v>
      </c>
      <c r="J3873" s="0" t="s">
        <v>2348</v>
      </c>
      <c r="K3873" s="272" t="n">
        <v>1196131.35</v>
      </c>
    </row>
    <row r="3874" customFormat="false" ht="15" hidden="false" customHeight="false" outlineLevel="0" collapsed="false">
      <c r="A3874" s="0" t="s">
        <v>2041</v>
      </c>
      <c r="B3874" s="0" t="s">
        <v>2042</v>
      </c>
      <c r="C3874" s="0" t="s">
        <v>2349</v>
      </c>
      <c r="D3874" s="0" t="s">
        <v>2279</v>
      </c>
      <c r="E3874" s="0" t="s">
        <v>2279</v>
      </c>
      <c r="F3874" s="0" t="s">
        <v>2292</v>
      </c>
      <c r="G3874" s="0" t="s">
        <v>2293</v>
      </c>
      <c r="H3874" s="0" t="s">
        <v>2310</v>
      </c>
      <c r="J3874" s="0" t="s">
        <v>2348</v>
      </c>
      <c r="K3874" s="272" t="n">
        <v>527408.38</v>
      </c>
    </row>
    <row r="3875" customFormat="false" ht="15" hidden="false" customHeight="false" outlineLevel="0" collapsed="false">
      <c r="A3875" s="0" t="s">
        <v>2041</v>
      </c>
      <c r="B3875" s="0" t="s">
        <v>2042</v>
      </c>
      <c r="C3875" s="0" t="s">
        <v>2349</v>
      </c>
      <c r="D3875" s="0" t="s">
        <v>2279</v>
      </c>
      <c r="E3875" s="0" t="s">
        <v>2279</v>
      </c>
      <c r="F3875" s="0" t="s">
        <v>2292</v>
      </c>
      <c r="G3875" s="0" t="s">
        <v>2293</v>
      </c>
      <c r="H3875" s="0" t="s">
        <v>2311</v>
      </c>
      <c r="J3875" s="0" t="s">
        <v>2348</v>
      </c>
      <c r="K3875" s="272" t="n">
        <v>494420.74</v>
      </c>
    </row>
    <row r="3876" customFormat="false" ht="15" hidden="false" customHeight="false" outlineLevel="0" collapsed="false">
      <c r="A3876" s="0" t="s">
        <v>2041</v>
      </c>
      <c r="B3876" s="0" t="s">
        <v>2042</v>
      </c>
      <c r="C3876" s="0" t="s">
        <v>2349</v>
      </c>
      <c r="D3876" s="0" t="s">
        <v>2279</v>
      </c>
      <c r="E3876" s="0" t="s">
        <v>2279</v>
      </c>
      <c r="F3876" s="0" t="s">
        <v>2292</v>
      </c>
      <c r="G3876" s="0" t="s">
        <v>2293</v>
      </c>
      <c r="H3876" s="0" t="s">
        <v>2312</v>
      </c>
      <c r="J3876" s="0" t="s">
        <v>2348</v>
      </c>
      <c r="K3876" s="272" t="n">
        <v>384180.83</v>
      </c>
    </row>
    <row r="3877" customFormat="false" ht="15" hidden="false" customHeight="false" outlineLevel="0" collapsed="false">
      <c r="A3877" s="0" t="s">
        <v>2041</v>
      </c>
      <c r="B3877" s="0" t="s">
        <v>2042</v>
      </c>
      <c r="C3877" s="0" t="s">
        <v>2349</v>
      </c>
      <c r="D3877" s="0" t="s">
        <v>2279</v>
      </c>
      <c r="E3877" s="0" t="s">
        <v>2279</v>
      </c>
      <c r="F3877" s="0" t="s">
        <v>2292</v>
      </c>
      <c r="G3877" s="0" t="s">
        <v>2293</v>
      </c>
      <c r="H3877" s="0" t="s">
        <v>2315</v>
      </c>
      <c r="J3877" s="0" t="s">
        <v>2348</v>
      </c>
      <c r="K3877" s="272" t="n">
        <v>563343.24</v>
      </c>
    </row>
    <row r="3878" customFormat="false" ht="15" hidden="false" customHeight="false" outlineLevel="0" collapsed="false">
      <c r="A3878" s="0" t="s">
        <v>2041</v>
      </c>
      <c r="B3878" s="0" t="s">
        <v>2042</v>
      </c>
      <c r="C3878" s="0" t="s">
        <v>2349</v>
      </c>
      <c r="D3878" s="0" t="s">
        <v>2279</v>
      </c>
      <c r="E3878" s="0" t="s">
        <v>2279</v>
      </c>
      <c r="F3878" s="0" t="s">
        <v>2292</v>
      </c>
      <c r="G3878" s="0" t="s">
        <v>2293</v>
      </c>
      <c r="H3878" s="0" t="s">
        <v>2316</v>
      </c>
      <c r="J3878" s="0" t="s">
        <v>2348</v>
      </c>
      <c r="K3878" s="272" t="n">
        <v>4516665.8</v>
      </c>
    </row>
    <row r="3879" customFormat="false" ht="15" hidden="false" customHeight="false" outlineLevel="0" collapsed="false">
      <c r="A3879" s="0" t="s">
        <v>2041</v>
      </c>
      <c r="B3879" s="0" t="s">
        <v>2042</v>
      </c>
      <c r="C3879" s="0" t="s">
        <v>2349</v>
      </c>
      <c r="D3879" s="0" t="s">
        <v>2279</v>
      </c>
      <c r="E3879" s="0" t="s">
        <v>2279</v>
      </c>
      <c r="F3879" s="0" t="s">
        <v>2292</v>
      </c>
      <c r="G3879" s="0" t="s">
        <v>2293</v>
      </c>
      <c r="H3879" s="0" t="s">
        <v>2326</v>
      </c>
      <c r="J3879" s="0" t="s">
        <v>2348</v>
      </c>
      <c r="K3879" s="272" t="n">
        <v>552842.7</v>
      </c>
    </row>
    <row r="3880" customFormat="false" ht="15" hidden="false" customHeight="false" outlineLevel="0" collapsed="false">
      <c r="A3880" s="0" t="s">
        <v>2041</v>
      </c>
      <c r="B3880" s="0" t="s">
        <v>2042</v>
      </c>
      <c r="C3880" s="0" t="s">
        <v>2349</v>
      </c>
      <c r="D3880" s="0" t="s">
        <v>2279</v>
      </c>
      <c r="E3880" s="0" t="s">
        <v>2279</v>
      </c>
      <c r="F3880" s="0" t="s">
        <v>2292</v>
      </c>
      <c r="G3880" s="0" t="s">
        <v>2293</v>
      </c>
      <c r="H3880" s="0" t="s">
        <v>2317</v>
      </c>
      <c r="J3880" s="0" t="s">
        <v>2348</v>
      </c>
      <c r="K3880" s="272" t="n">
        <v>72656.94</v>
      </c>
    </row>
    <row r="3881" customFormat="false" ht="15" hidden="false" customHeight="false" outlineLevel="0" collapsed="false">
      <c r="A3881" s="0" t="s">
        <v>2041</v>
      </c>
      <c r="B3881" s="0" t="s">
        <v>2042</v>
      </c>
      <c r="C3881" s="0" t="s">
        <v>2349</v>
      </c>
      <c r="D3881" s="0" t="s">
        <v>2279</v>
      </c>
      <c r="E3881" s="0" t="s">
        <v>2279</v>
      </c>
      <c r="F3881" s="0" t="s">
        <v>2292</v>
      </c>
      <c r="G3881" s="0" t="s">
        <v>2293</v>
      </c>
      <c r="H3881" s="0" t="s">
        <v>2318</v>
      </c>
      <c r="J3881" s="0" t="s">
        <v>2348</v>
      </c>
      <c r="K3881" s="272" t="n">
        <v>834914.73</v>
      </c>
    </row>
    <row r="3882" customFormat="false" ht="15" hidden="false" customHeight="false" outlineLevel="0" collapsed="false">
      <c r="A3882" s="0" t="s">
        <v>2041</v>
      </c>
      <c r="B3882" s="0" t="s">
        <v>2042</v>
      </c>
      <c r="C3882" s="0" t="s">
        <v>2349</v>
      </c>
      <c r="D3882" s="0" t="s">
        <v>2279</v>
      </c>
      <c r="E3882" s="0" t="s">
        <v>2279</v>
      </c>
      <c r="F3882" s="0" t="s">
        <v>2292</v>
      </c>
      <c r="G3882" s="0" t="s">
        <v>2293</v>
      </c>
      <c r="H3882" s="0" t="s">
        <v>2319</v>
      </c>
      <c r="J3882" s="0" t="s">
        <v>2348</v>
      </c>
      <c r="K3882" s="272" t="n">
        <v>340565.57</v>
      </c>
    </row>
    <row r="3883" customFormat="false" ht="15" hidden="false" customHeight="false" outlineLevel="0" collapsed="false">
      <c r="A3883" s="0" t="s">
        <v>2041</v>
      </c>
      <c r="B3883" s="0" t="s">
        <v>2042</v>
      </c>
      <c r="C3883" s="0" t="s">
        <v>2349</v>
      </c>
      <c r="D3883" s="0" t="s">
        <v>2279</v>
      </c>
      <c r="E3883" s="0" t="s">
        <v>2279</v>
      </c>
      <c r="F3883" s="0" t="s">
        <v>2292</v>
      </c>
      <c r="G3883" s="0" t="s">
        <v>2293</v>
      </c>
      <c r="H3883" s="0" t="s">
        <v>2320</v>
      </c>
      <c r="J3883" s="0" t="s">
        <v>2348</v>
      </c>
      <c r="K3883" s="272" t="n">
        <v>248484.1</v>
      </c>
    </row>
    <row r="3884" customFormat="false" ht="15" hidden="false" customHeight="false" outlineLevel="0" collapsed="false">
      <c r="A3884" s="0" t="s">
        <v>2041</v>
      </c>
      <c r="B3884" s="0" t="s">
        <v>2042</v>
      </c>
      <c r="C3884" s="0" t="s">
        <v>2349</v>
      </c>
      <c r="D3884" s="0" t="s">
        <v>2279</v>
      </c>
      <c r="E3884" s="0" t="s">
        <v>2279</v>
      </c>
      <c r="F3884" s="0" t="s">
        <v>2292</v>
      </c>
      <c r="G3884" s="0" t="s">
        <v>2293</v>
      </c>
      <c r="H3884" s="0" t="s">
        <v>2290</v>
      </c>
      <c r="J3884" s="0" t="s">
        <v>2348</v>
      </c>
      <c r="K3884" s="272" t="n">
        <v>221502.45</v>
      </c>
    </row>
    <row r="3885" customFormat="false" ht="15" hidden="false" customHeight="false" outlineLevel="0" collapsed="false">
      <c r="A3885" s="0" t="s">
        <v>2041</v>
      </c>
      <c r="B3885" s="0" t="s">
        <v>2042</v>
      </c>
      <c r="C3885" s="0" t="s">
        <v>2349</v>
      </c>
      <c r="D3885" s="0" t="s">
        <v>2279</v>
      </c>
      <c r="E3885" s="0" t="s">
        <v>2279</v>
      </c>
      <c r="F3885" s="0" t="s">
        <v>2292</v>
      </c>
      <c r="G3885" s="0" t="s">
        <v>2293</v>
      </c>
      <c r="H3885" s="0" t="s">
        <v>2291</v>
      </c>
      <c r="J3885" s="0" t="s">
        <v>2348</v>
      </c>
      <c r="K3885" s="272" t="n">
        <v>126446</v>
      </c>
    </row>
    <row r="3886" customFormat="false" ht="15" hidden="false" customHeight="false" outlineLevel="0" collapsed="false">
      <c r="A3886" s="0" t="s">
        <v>2041</v>
      </c>
      <c r="B3886" s="0" t="s">
        <v>2042</v>
      </c>
      <c r="C3886" s="0" t="s">
        <v>2349</v>
      </c>
      <c r="D3886" s="0" t="s">
        <v>2279</v>
      </c>
      <c r="E3886" s="0" t="s">
        <v>2279</v>
      </c>
      <c r="F3886" s="0" t="s">
        <v>2292</v>
      </c>
      <c r="G3886" s="0" t="s">
        <v>2293</v>
      </c>
      <c r="H3886" s="0" t="s">
        <v>2203</v>
      </c>
      <c r="J3886" s="0" t="s">
        <v>2348</v>
      </c>
      <c r="K3886" s="272" t="n">
        <v>242758.29</v>
      </c>
    </row>
    <row r="3887" customFormat="false" ht="15" hidden="false" customHeight="false" outlineLevel="0" collapsed="false">
      <c r="A3887" s="0" t="s">
        <v>2041</v>
      </c>
      <c r="B3887" s="0" t="s">
        <v>2042</v>
      </c>
      <c r="C3887" s="0" t="s">
        <v>2349</v>
      </c>
      <c r="D3887" s="0" t="s">
        <v>2279</v>
      </c>
      <c r="E3887" s="0" t="s">
        <v>2279</v>
      </c>
      <c r="F3887" s="0" t="s">
        <v>2292</v>
      </c>
      <c r="G3887" s="0" t="s">
        <v>2293</v>
      </c>
      <c r="H3887" s="0" t="s">
        <v>2354</v>
      </c>
      <c r="J3887" s="0" t="s">
        <v>2348</v>
      </c>
      <c r="K3887" s="272" t="n">
        <v>80.55</v>
      </c>
    </row>
    <row r="3888" customFormat="false" ht="15" hidden="false" customHeight="false" outlineLevel="0" collapsed="false">
      <c r="A3888" s="0" t="s">
        <v>2041</v>
      </c>
      <c r="B3888" s="0" t="s">
        <v>2042</v>
      </c>
      <c r="C3888" s="0" t="s">
        <v>2352</v>
      </c>
      <c r="D3888" s="0" t="s">
        <v>2279</v>
      </c>
      <c r="E3888" s="0" t="s">
        <v>2279</v>
      </c>
      <c r="F3888" s="0" t="s">
        <v>2292</v>
      </c>
      <c r="G3888" s="0" t="s">
        <v>2293</v>
      </c>
      <c r="H3888" s="0" t="s">
        <v>2313</v>
      </c>
      <c r="J3888" s="0" t="s">
        <v>2348</v>
      </c>
      <c r="K3888" s="272" t="n">
        <v>5116347.47</v>
      </c>
    </row>
    <row r="3889" customFormat="false" ht="15" hidden="false" customHeight="false" outlineLevel="0" collapsed="false">
      <c r="A3889" s="0" t="s">
        <v>2041</v>
      </c>
      <c r="B3889" s="0" t="s">
        <v>2042</v>
      </c>
      <c r="C3889" s="0" t="s">
        <v>2352</v>
      </c>
      <c r="D3889" s="0" t="s">
        <v>2279</v>
      </c>
      <c r="E3889" s="0" t="s">
        <v>2279</v>
      </c>
      <c r="F3889" s="0" t="s">
        <v>2292</v>
      </c>
      <c r="G3889" s="0" t="s">
        <v>2293</v>
      </c>
      <c r="H3889" s="0" t="s">
        <v>2314</v>
      </c>
      <c r="J3889" s="0" t="s">
        <v>2348</v>
      </c>
      <c r="K3889" s="272" t="n">
        <v>1755713.05</v>
      </c>
    </row>
    <row r="3890" customFormat="false" ht="15" hidden="false" customHeight="false" outlineLevel="0" collapsed="false">
      <c r="A3890" s="0" t="s">
        <v>2041</v>
      </c>
      <c r="B3890" s="0" t="s">
        <v>2042</v>
      </c>
      <c r="C3890" s="0" t="s">
        <v>2352</v>
      </c>
      <c r="D3890" s="0" t="s">
        <v>2279</v>
      </c>
      <c r="E3890" s="0" t="s">
        <v>2279</v>
      </c>
      <c r="F3890" s="0" t="s">
        <v>2292</v>
      </c>
      <c r="G3890" s="0" t="s">
        <v>2293</v>
      </c>
      <c r="H3890" s="0" t="s">
        <v>2291</v>
      </c>
      <c r="J3890" s="0" t="s">
        <v>2348</v>
      </c>
      <c r="K3890" s="272" t="n">
        <v>2037742.81</v>
      </c>
    </row>
    <row r="3891" customFormat="false" ht="15" hidden="false" customHeight="false" outlineLevel="0" collapsed="false">
      <c r="A3891" s="0" t="s">
        <v>2041</v>
      </c>
      <c r="B3891" s="0" t="s">
        <v>2042</v>
      </c>
      <c r="C3891" s="0" t="s">
        <v>2352</v>
      </c>
      <c r="D3891" s="0" t="s">
        <v>2279</v>
      </c>
      <c r="E3891" s="0" t="s">
        <v>2279</v>
      </c>
      <c r="F3891" s="0" t="s">
        <v>2292</v>
      </c>
      <c r="G3891" s="0" t="s">
        <v>2293</v>
      </c>
      <c r="H3891" s="0" t="s">
        <v>2287</v>
      </c>
      <c r="J3891" s="0" t="s">
        <v>2348</v>
      </c>
      <c r="K3891" s="272" t="n">
        <v>1405623.4</v>
      </c>
    </row>
    <row r="3892" customFormat="false" ht="15" hidden="false" customHeight="false" outlineLevel="0" collapsed="false">
      <c r="A3892" s="0" t="s">
        <v>2041</v>
      </c>
      <c r="B3892" s="0" t="s">
        <v>2042</v>
      </c>
      <c r="C3892" s="0" t="s">
        <v>2352</v>
      </c>
      <c r="D3892" s="0" t="s">
        <v>2279</v>
      </c>
      <c r="E3892" s="0" t="s">
        <v>2279</v>
      </c>
      <c r="F3892" s="0" t="s">
        <v>2292</v>
      </c>
      <c r="G3892" s="0" t="s">
        <v>2293</v>
      </c>
      <c r="H3892" s="0" t="s">
        <v>2305</v>
      </c>
      <c r="J3892" s="0" t="s">
        <v>2348</v>
      </c>
      <c r="K3892" s="272" t="n">
        <v>1056951</v>
      </c>
    </row>
    <row r="3893" customFormat="false" ht="15" hidden="false" customHeight="false" outlineLevel="0" collapsed="false">
      <c r="A3893" s="0" t="s">
        <v>2041</v>
      </c>
      <c r="B3893" s="0" t="s">
        <v>2042</v>
      </c>
      <c r="C3893" s="0" t="s">
        <v>2352</v>
      </c>
      <c r="D3893" s="0" t="s">
        <v>2279</v>
      </c>
      <c r="E3893" s="0" t="s">
        <v>2279</v>
      </c>
      <c r="F3893" s="0" t="s">
        <v>2292</v>
      </c>
      <c r="G3893" s="0" t="s">
        <v>2293</v>
      </c>
      <c r="H3893" s="0" t="s">
        <v>2355</v>
      </c>
      <c r="J3893" s="0" t="s">
        <v>2348</v>
      </c>
      <c r="K3893" s="272" t="n">
        <v>568698.36</v>
      </c>
    </row>
    <row r="3894" customFormat="false" ht="15" hidden="false" customHeight="false" outlineLevel="0" collapsed="false">
      <c r="A3894" s="0" t="s">
        <v>2041</v>
      </c>
      <c r="B3894" s="0" t="s">
        <v>2042</v>
      </c>
      <c r="C3894" s="0" t="s">
        <v>2352</v>
      </c>
      <c r="D3894" s="0" t="s">
        <v>2279</v>
      </c>
      <c r="E3894" s="0" t="s">
        <v>2279</v>
      </c>
      <c r="F3894" s="0" t="s">
        <v>2292</v>
      </c>
      <c r="G3894" s="0" t="s">
        <v>2293</v>
      </c>
      <c r="H3894" s="0" t="s">
        <v>2356</v>
      </c>
      <c r="J3894" s="0" t="s">
        <v>2348</v>
      </c>
      <c r="K3894" s="272" t="n">
        <v>306222.19</v>
      </c>
    </row>
    <row r="3895" customFormat="false" ht="15" hidden="false" customHeight="false" outlineLevel="0" collapsed="false">
      <c r="A3895" s="0" t="s">
        <v>2041</v>
      </c>
      <c r="B3895" s="0" t="s">
        <v>2042</v>
      </c>
      <c r="C3895" s="0" t="s">
        <v>2352</v>
      </c>
      <c r="D3895" s="0" t="s">
        <v>2279</v>
      </c>
      <c r="E3895" s="0" t="s">
        <v>2279</v>
      </c>
      <c r="F3895" s="0" t="s">
        <v>2292</v>
      </c>
      <c r="G3895" s="0" t="s">
        <v>2293</v>
      </c>
      <c r="H3895" s="0" t="s">
        <v>2326</v>
      </c>
      <c r="J3895" s="0" t="s">
        <v>2348</v>
      </c>
      <c r="K3895" s="272" t="n">
        <v>1667633.8</v>
      </c>
    </row>
    <row r="3896" customFormat="false" ht="15" hidden="false" customHeight="false" outlineLevel="0" collapsed="false">
      <c r="A3896" s="0" t="s">
        <v>2041</v>
      </c>
      <c r="B3896" s="0" t="s">
        <v>2042</v>
      </c>
      <c r="C3896" s="0" t="s">
        <v>2352</v>
      </c>
      <c r="D3896" s="0" t="s">
        <v>2279</v>
      </c>
      <c r="E3896" s="0" t="s">
        <v>2279</v>
      </c>
      <c r="F3896" s="0" t="s">
        <v>2292</v>
      </c>
      <c r="G3896" s="0" t="s">
        <v>2293</v>
      </c>
      <c r="H3896" s="0" t="s">
        <v>2318</v>
      </c>
      <c r="J3896" s="0" t="s">
        <v>2348</v>
      </c>
      <c r="K3896" s="272" t="n">
        <v>176158.5</v>
      </c>
    </row>
    <row r="3897" customFormat="false" ht="15" hidden="false" customHeight="false" outlineLevel="0" collapsed="false">
      <c r="A3897" s="0" t="s">
        <v>2041</v>
      </c>
      <c r="B3897" s="0" t="s">
        <v>2042</v>
      </c>
      <c r="C3897" s="0" t="s">
        <v>2352</v>
      </c>
      <c r="D3897" s="0" t="s">
        <v>2279</v>
      </c>
      <c r="E3897" s="0" t="s">
        <v>2279</v>
      </c>
      <c r="F3897" s="0" t="s">
        <v>2292</v>
      </c>
      <c r="G3897" s="0" t="s">
        <v>2293</v>
      </c>
      <c r="H3897" s="0" t="s">
        <v>2284</v>
      </c>
      <c r="J3897" s="0" t="s">
        <v>2348</v>
      </c>
      <c r="K3897" s="272" t="n">
        <v>1186625.91</v>
      </c>
    </row>
    <row r="3898" customFormat="false" ht="15" hidden="false" customHeight="false" outlineLevel="0" collapsed="false">
      <c r="A3898" s="0" t="s">
        <v>2041</v>
      </c>
      <c r="B3898" s="0" t="s">
        <v>2042</v>
      </c>
      <c r="C3898" s="0" t="s">
        <v>2352</v>
      </c>
      <c r="D3898" s="0" t="s">
        <v>2279</v>
      </c>
      <c r="E3898" s="0" t="s">
        <v>2279</v>
      </c>
      <c r="F3898" s="0" t="s">
        <v>2292</v>
      </c>
      <c r="G3898" s="0" t="s">
        <v>2293</v>
      </c>
      <c r="H3898" s="0" t="s">
        <v>2289</v>
      </c>
      <c r="J3898" s="0" t="s">
        <v>2348</v>
      </c>
      <c r="K3898" s="272" t="n">
        <v>1186625.91</v>
      </c>
    </row>
    <row r="3899" customFormat="false" ht="15" hidden="false" customHeight="false" outlineLevel="0" collapsed="false">
      <c r="A3899" s="0" t="s">
        <v>2041</v>
      </c>
      <c r="B3899" s="0" t="s">
        <v>2042</v>
      </c>
      <c r="C3899" s="0" t="s">
        <v>2352</v>
      </c>
      <c r="D3899" s="0" t="s">
        <v>2279</v>
      </c>
      <c r="E3899" s="0" t="s">
        <v>2279</v>
      </c>
      <c r="F3899" s="0" t="s">
        <v>2292</v>
      </c>
      <c r="G3899" s="0" t="s">
        <v>2293</v>
      </c>
      <c r="H3899" s="0" t="s">
        <v>2294</v>
      </c>
      <c r="J3899" s="0" t="s">
        <v>2348</v>
      </c>
      <c r="K3899" s="272" t="n">
        <v>587195</v>
      </c>
    </row>
    <row r="3900" customFormat="false" ht="15" hidden="false" customHeight="false" outlineLevel="0" collapsed="false">
      <c r="A3900" s="0" t="s">
        <v>2041</v>
      </c>
      <c r="B3900" s="0" t="s">
        <v>2042</v>
      </c>
      <c r="C3900" s="0" t="s">
        <v>2352</v>
      </c>
      <c r="D3900" s="0" t="s">
        <v>2279</v>
      </c>
      <c r="E3900" s="0" t="s">
        <v>2279</v>
      </c>
      <c r="F3900" s="0" t="s">
        <v>2292</v>
      </c>
      <c r="G3900" s="0" t="s">
        <v>2293</v>
      </c>
      <c r="H3900" s="0" t="s">
        <v>2295</v>
      </c>
      <c r="J3900" s="0" t="s">
        <v>2348</v>
      </c>
      <c r="K3900" s="272" t="n">
        <v>924244.93</v>
      </c>
    </row>
    <row r="3901" customFormat="false" ht="15" hidden="false" customHeight="false" outlineLevel="0" collapsed="false">
      <c r="A3901" s="0" t="s">
        <v>2041</v>
      </c>
      <c r="B3901" s="0" t="s">
        <v>2042</v>
      </c>
      <c r="C3901" s="0" t="s">
        <v>2352</v>
      </c>
      <c r="D3901" s="0" t="s">
        <v>2279</v>
      </c>
      <c r="E3901" s="0" t="s">
        <v>2279</v>
      </c>
      <c r="F3901" s="0" t="s">
        <v>2292</v>
      </c>
      <c r="G3901" s="0" t="s">
        <v>2293</v>
      </c>
      <c r="H3901" s="0" t="s">
        <v>2298</v>
      </c>
      <c r="J3901" s="0" t="s">
        <v>2348</v>
      </c>
      <c r="K3901" s="272" t="n">
        <v>833816.9</v>
      </c>
    </row>
    <row r="3902" customFormat="false" ht="15" hidden="false" customHeight="false" outlineLevel="0" collapsed="false">
      <c r="A3902" s="0" t="s">
        <v>2041</v>
      </c>
      <c r="B3902" s="0" t="s">
        <v>2042</v>
      </c>
      <c r="C3902" s="0" t="s">
        <v>2352</v>
      </c>
      <c r="D3902" s="0" t="s">
        <v>2279</v>
      </c>
      <c r="E3902" s="0" t="s">
        <v>2279</v>
      </c>
      <c r="F3902" s="0" t="s">
        <v>2292</v>
      </c>
      <c r="G3902" s="0" t="s">
        <v>2293</v>
      </c>
      <c r="H3902" s="0" t="s">
        <v>2182</v>
      </c>
      <c r="J3902" s="0" t="s">
        <v>2348</v>
      </c>
      <c r="K3902" s="272" t="n">
        <v>1585426.5</v>
      </c>
    </row>
    <row r="3903" customFormat="false" ht="15" hidden="false" customHeight="false" outlineLevel="0" collapsed="false">
      <c r="A3903" s="0" t="s">
        <v>2041</v>
      </c>
      <c r="B3903" s="0" t="s">
        <v>2042</v>
      </c>
      <c r="C3903" s="0" t="s">
        <v>2156</v>
      </c>
      <c r="D3903" s="0" t="s">
        <v>2279</v>
      </c>
      <c r="E3903" s="0" t="s">
        <v>2279</v>
      </c>
      <c r="F3903" s="0" t="s">
        <v>2292</v>
      </c>
      <c r="G3903" s="0" t="s">
        <v>2293</v>
      </c>
      <c r="H3903" s="0" t="s">
        <v>2200</v>
      </c>
      <c r="J3903" s="0" t="s">
        <v>2348</v>
      </c>
      <c r="K3903" s="272" t="n">
        <v>229369.32</v>
      </c>
    </row>
    <row r="3904" customFormat="false" ht="15" hidden="false" customHeight="false" outlineLevel="0" collapsed="false">
      <c r="A3904" s="0" t="s">
        <v>2041</v>
      </c>
      <c r="B3904" s="0" t="s">
        <v>2042</v>
      </c>
      <c r="C3904" s="0" t="s">
        <v>2156</v>
      </c>
      <c r="D3904" s="0" t="s">
        <v>2279</v>
      </c>
      <c r="E3904" s="0" t="s">
        <v>2279</v>
      </c>
      <c r="F3904" s="0" t="s">
        <v>2292</v>
      </c>
      <c r="G3904" s="0" t="s">
        <v>2293</v>
      </c>
      <c r="H3904" s="0" t="s">
        <v>2202</v>
      </c>
      <c r="J3904" s="0" t="s">
        <v>2348</v>
      </c>
      <c r="K3904" s="272" t="n">
        <v>123506.55</v>
      </c>
    </row>
    <row r="3905" customFormat="false" ht="15" hidden="false" customHeight="false" outlineLevel="0" collapsed="false">
      <c r="A3905" s="0" t="s">
        <v>2041</v>
      </c>
      <c r="B3905" s="0" t="s">
        <v>2042</v>
      </c>
      <c r="C3905" s="0" t="s">
        <v>2156</v>
      </c>
      <c r="D3905" s="0" t="s">
        <v>2279</v>
      </c>
      <c r="E3905" s="0" t="s">
        <v>2279</v>
      </c>
      <c r="F3905" s="0" t="s">
        <v>2292</v>
      </c>
      <c r="G3905" s="0" t="s">
        <v>2293</v>
      </c>
      <c r="H3905" s="0" t="s">
        <v>2182</v>
      </c>
      <c r="J3905" s="0" t="s">
        <v>2348</v>
      </c>
      <c r="K3905" s="272" t="n">
        <v>7175142.66</v>
      </c>
    </row>
    <row r="3906" customFormat="false" ht="15" hidden="false" customHeight="false" outlineLevel="0" collapsed="false">
      <c r="A3906" s="0" t="s">
        <v>2041</v>
      </c>
      <c r="B3906" s="0" t="s">
        <v>2042</v>
      </c>
      <c r="C3906" s="0" t="s">
        <v>2349</v>
      </c>
      <c r="D3906" s="0" t="s">
        <v>2279</v>
      </c>
      <c r="E3906" s="0" t="s">
        <v>2279</v>
      </c>
      <c r="F3906" s="0" t="s">
        <v>2292</v>
      </c>
      <c r="G3906" s="0" t="s">
        <v>2293</v>
      </c>
      <c r="H3906" s="0" t="s">
        <v>2313</v>
      </c>
      <c r="J3906" s="0" t="s">
        <v>2348</v>
      </c>
      <c r="K3906" s="272" t="n">
        <v>225168.38</v>
      </c>
    </row>
    <row r="3907" customFormat="false" ht="15" hidden="false" customHeight="false" outlineLevel="0" collapsed="false">
      <c r="A3907" s="0" t="s">
        <v>2041</v>
      </c>
      <c r="B3907" s="0" t="s">
        <v>2042</v>
      </c>
      <c r="C3907" s="0" t="s">
        <v>2349</v>
      </c>
      <c r="D3907" s="0" t="s">
        <v>2279</v>
      </c>
      <c r="E3907" s="0" t="s">
        <v>2279</v>
      </c>
      <c r="F3907" s="0" t="s">
        <v>2292</v>
      </c>
      <c r="G3907" s="0" t="s">
        <v>2293</v>
      </c>
      <c r="H3907" s="0" t="s">
        <v>2314</v>
      </c>
      <c r="J3907" s="0" t="s">
        <v>2348</v>
      </c>
      <c r="K3907" s="272" t="n">
        <v>285532.02</v>
      </c>
    </row>
    <row r="3908" customFormat="false" ht="15" hidden="false" customHeight="false" outlineLevel="0" collapsed="false">
      <c r="A3908" s="0" t="s">
        <v>2041</v>
      </c>
      <c r="B3908" s="0" t="s">
        <v>2042</v>
      </c>
      <c r="C3908" s="0" t="s">
        <v>2349</v>
      </c>
      <c r="D3908" s="0" t="s">
        <v>2279</v>
      </c>
      <c r="E3908" s="0" t="s">
        <v>2279</v>
      </c>
      <c r="F3908" s="0" t="s">
        <v>2292</v>
      </c>
      <c r="G3908" s="0" t="s">
        <v>2293</v>
      </c>
      <c r="H3908" s="0" t="s">
        <v>2291</v>
      </c>
      <c r="J3908" s="0" t="s">
        <v>2348</v>
      </c>
      <c r="K3908" s="272" t="n">
        <v>225168.38</v>
      </c>
    </row>
    <row r="3909" customFormat="false" ht="15" hidden="false" customHeight="false" outlineLevel="0" collapsed="false">
      <c r="A3909" s="0" t="s">
        <v>2041</v>
      </c>
      <c r="B3909" s="0" t="s">
        <v>2042</v>
      </c>
      <c r="C3909" s="0" t="s">
        <v>2349</v>
      </c>
      <c r="D3909" s="0" t="s">
        <v>2279</v>
      </c>
      <c r="E3909" s="0" t="s">
        <v>2279</v>
      </c>
      <c r="F3909" s="0" t="s">
        <v>2292</v>
      </c>
      <c r="G3909" s="0" t="s">
        <v>2293</v>
      </c>
      <c r="H3909" s="0" t="s">
        <v>2287</v>
      </c>
      <c r="J3909" s="0" t="s">
        <v>2348</v>
      </c>
      <c r="K3909" s="272" t="n">
        <v>112584.19</v>
      </c>
    </row>
    <row r="3910" customFormat="false" ht="15" hidden="false" customHeight="false" outlineLevel="0" collapsed="false">
      <c r="A3910" s="0" t="s">
        <v>2041</v>
      </c>
      <c r="B3910" s="0" t="s">
        <v>2042</v>
      </c>
      <c r="C3910" s="0" t="s">
        <v>2349</v>
      </c>
      <c r="D3910" s="0" t="s">
        <v>2279</v>
      </c>
      <c r="E3910" s="0" t="s">
        <v>2279</v>
      </c>
      <c r="F3910" s="0" t="s">
        <v>2292</v>
      </c>
      <c r="G3910" s="0" t="s">
        <v>2293</v>
      </c>
      <c r="H3910" s="0" t="s">
        <v>2305</v>
      </c>
      <c r="J3910" s="0" t="s">
        <v>2348</v>
      </c>
      <c r="K3910" s="272" t="n">
        <v>181090.94</v>
      </c>
    </row>
    <row r="3911" customFormat="false" ht="15" hidden="false" customHeight="false" outlineLevel="0" collapsed="false">
      <c r="A3911" s="0" t="s">
        <v>2041</v>
      </c>
      <c r="B3911" s="0" t="s">
        <v>2042</v>
      </c>
      <c r="C3911" s="0" t="s">
        <v>2349</v>
      </c>
      <c r="D3911" s="0" t="s">
        <v>2279</v>
      </c>
      <c r="E3911" s="0" t="s">
        <v>2279</v>
      </c>
      <c r="F3911" s="0" t="s">
        <v>2292</v>
      </c>
      <c r="G3911" s="0" t="s">
        <v>2293</v>
      </c>
      <c r="H3911" s="0" t="s">
        <v>2355</v>
      </c>
      <c r="J3911" s="0" t="s">
        <v>2348</v>
      </c>
      <c r="K3911" s="272" t="n">
        <v>102607</v>
      </c>
    </row>
    <row r="3912" customFormat="false" ht="15" hidden="false" customHeight="false" outlineLevel="0" collapsed="false">
      <c r="A3912" s="0" t="s">
        <v>2041</v>
      </c>
      <c r="B3912" s="0" t="s">
        <v>2042</v>
      </c>
      <c r="C3912" s="0" t="s">
        <v>2349</v>
      </c>
      <c r="D3912" s="0" t="s">
        <v>2279</v>
      </c>
      <c r="E3912" s="0" t="s">
        <v>2279</v>
      </c>
      <c r="F3912" s="0" t="s">
        <v>2292</v>
      </c>
      <c r="G3912" s="0" t="s">
        <v>2293</v>
      </c>
      <c r="H3912" s="0" t="s">
        <v>2356</v>
      </c>
      <c r="J3912" s="0" t="s">
        <v>2348</v>
      </c>
      <c r="K3912" s="272" t="n">
        <v>55249.92</v>
      </c>
    </row>
    <row r="3913" customFormat="false" ht="15" hidden="false" customHeight="false" outlineLevel="0" collapsed="false">
      <c r="A3913" s="0" t="s">
        <v>2041</v>
      </c>
      <c r="B3913" s="0" t="s">
        <v>2042</v>
      </c>
      <c r="C3913" s="0" t="s">
        <v>2349</v>
      </c>
      <c r="D3913" s="0" t="s">
        <v>2279</v>
      </c>
      <c r="E3913" s="0" t="s">
        <v>2279</v>
      </c>
      <c r="F3913" s="0" t="s">
        <v>2292</v>
      </c>
      <c r="G3913" s="0" t="s">
        <v>2293</v>
      </c>
      <c r="H3913" s="0" t="s">
        <v>2326</v>
      </c>
      <c r="J3913" s="0" t="s">
        <v>2348</v>
      </c>
      <c r="K3913" s="272" t="n">
        <v>168756.44</v>
      </c>
    </row>
    <row r="3914" customFormat="false" ht="15" hidden="false" customHeight="false" outlineLevel="0" collapsed="false">
      <c r="A3914" s="0" t="s">
        <v>2041</v>
      </c>
      <c r="B3914" s="0" t="s">
        <v>2042</v>
      </c>
      <c r="C3914" s="0" t="s">
        <v>2349</v>
      </c>
      <c r="D3914" s="0" t="s">
        <v>2279</v>
      </c>
      <c r="E3914" s="0" t="s">
        <v>2279</v>
      </c>
      <c r="F3914" s="0" t="s">
        <v>2292</v>
      </c>
      <c r="G3914" s="0" t="s">
        <v>2293</v>
      </c>
      <c r="H3914" s="0" t="s">
        <v>2318</v>
      </c>
      <c r="J3914" s="0" t="s">
        <v>2348</v>
      </c>
      <c r="K3914" s="272" t="n">
        <v>45272.73</v>
      </c>
    </row>
    <row r="3915" customFormat="false" ht="15" hidden="false" customHeight="false" outlineLevel="0" collapsed="false">
      <c r="A3915" s="0" t="s">
        <v>2041</v>
      </c>
      <c r="B3915" s="0" t="s">
        <v>2042</v>
      </c>
      <c r="C3915" s="0" t="s">
        <v>2349</v>
      </c>
      <c r="D3915" s="0" t="s">
        <v>2279</v>
      </c>
      <c r="E3915" s="0" t="s">
        <v>2279</v>
      </c>
      <c r="F3915" s="0" t="s">
        <v>2292</v>
      </c>
      <c r="G3915" s="0" t="s">
        <v>2293</v>
      </c>
      <c r="H3915" s="0" t="s">
        <v>2284</v>
      </c>
      <c r="J3915" s="0" t="s">
        <v>2348</v>
      </c>
      <c r="K3915" s="272" t="n">
        <v>56292.09</v>
      </c>
    </row>
    <row r="3916" customFormat="false" ht="15" hidden="false" customHeight="false" outlineLevel="0" collapsed="false">
      <c r="A3916" s="0" t="s">
        <v>2041</v>
      </c>
      <c r="B3916" s="0" t="s">
        <v>2042</v>
      </c>
      <c r="C3916" s="0" t="s">
        <v>2349</v>
      </c>
      <c r="D3916" s="0" t="s">
        <v>2279</v>
      </c>
      <c r="E3916" s="0" t="s">
        <v>2279</v>
      </c>
      <c r="F3916" s="0" t="s">
        <v>2292</v>
      </c>
      <c r="G3916" s="0" t="s">
        <v>2293</v>
      </c>
      <c r="H3916" s="0" t="s">
        <v>2289</v>
      </c>
      <c r="J3916" s="0" t="s">
        <v>2348</v>
      </c>
      <c r="K3916" s="272" t="n">
        <v>56292.09</v>
      </c>
    </row>
    <row r="3917" customFormat="false" ht="15" hidden="false" customHeight="false" outlineLevel="0" collapsed="false">
      <c r="A3917" s="0" t="s">
        <v>2041</v>
      </c>
      <c r="B3917" s="0" t="s">
        <v>2042</v>
      </c>
      <c r="C3917" s="0" t="s">
        <v>2349</v>
      </c>
      <c r="D3917" s="0" t="s">
        <v>2279</v>
      </c>
      <c r="E3917" s="0" t="s">
        <v>2279</v>
      </c>
      <c r="F3917" s="0" t="s">
        <v>2292</v>
      </c>
      <c r="G3917" s="0" t="s">
        <v>2293</v>
      </c>
      <c r="H3917" s="0" t="s">
        <v>2294</v>
      </c>
      <c r="J3917" s="0" t="s">
        <v>2348</v>
      </c>
      <c r="K3917" s="272" t="n">
        <v>105636.38</v>
      </c>
    </row>
    <row r="3918" customFormat="false" ht="15" hidden="false" customHeight="false" outlineLevel="0" collapsed="false">
      <c r="A3918" s="0" t="s">
        <v>2041</v>
      </c>
      <c r="B3918" s="0" t="s">
        <v>2042</v>
      </c>
      <c r="C3918" s="0" t="s">
        <v>2349</v>
      </c>
      <c r="D3918" s="0" t="s">
        <v>2279</v>
      </c>
      <c r="E3918" s="0" t="s">
        <v>2279</v>
      </c>
      <c r="F3918" s="0" t="s">
        <v>2292</v>
      </c>
      <c r="G3918" s="0" t="s">
        <v>2293</v>
      </c>
      <c r="H3918" s="0" t="s">
        <v>2295</v>
      </c>
      <c r="J3918" s="0" t="s">
        <v>2348</v>
      </c>
      <c r="K3918" s="272" t="n">
        <v>112584.19</v>
      </c>
    </row>
    <row r="3919" customFormat="false" ht="15" hidden="false" customHeight="false" outlineLevel="0" collapsed="false">
      <c r="A3919" s="0" t="s">
        <v>2041</v>
      </c>
      <c r="B3919" s="0" t="s">
        <v>2042</v>
      </c>
      <c r="C3919" s="0" t="s">
        <v>2349</v>
      </c>
      <c r="D3919" s="0" t="s">
        <v>2279</v>
      </c>
      <c r="E3919" s="0" t="s">
        <v>2279</v>
      </c>
      <c r="F3919" s="0" t="s">
        <v>2292</v>
      </c>
      <c r="G3919" s="0" t="s">
        <v>2293</v>
      </c>
      <c r="H3919" s="0" t="s">
        <v>2298</v>
      </c>
      <c r="J3919" s="0" t="s">
        <v>2348</v>
      </c>
      <c r="K3919" s="272" t="n">
        <v>112584.19</v>
      </c>
    </row>
    <row r="3920" customFormat="false" ht="15" hidden="false" customHeight="false" outlineLevel="0" collapsed="false">
      <c r="A3920" s="0" t="s">
        <v>2041</v>
      </c>
      <c r="B3920" s="0" t="s">
        <v>2042</v>
      </c>
      <c r="C3920" s="0" t="s">
        <v>2349</v>
      </c>
      <c r="D3920" s="0" t="s">
        <v>2279</v>
      </c>
      <c r="E3920" s="0" t="s">
        <v>2279</v>
      </c>
      <c r="F3920" s="0" t="s">
        <v>2292</v>
      </c>
      <c r="G3920" s="0" t="s">
        <v>2293</v>
      </c>
      <c r="H3920" s="0" t="s">
        <v>2182</v>
      </c>
      <c r="J3920" s="0" t="s">
        <v>2348</v>
      </c>
      <c r="K3920" s="272" t="n">
        <v>112584.19</v>
      </c>
    </row>
    <row r="3921" customFormat="false" ht="15" hidden="false" customHeight="false" outlineLevel="0" collapsed="false">
      <c r="A3921" s="0" t="s">
        <v>2041</v>
      </c>
      <c r="B3921" s="0" t="s">
        <v>2042</v>
      </c>
      <c r="C3921" s="0" t="s">
        <v>2357</v>
      </c>
      <c r="D3921" s="0" t="s">
        <v>2105</v>
      </c>
      <c r="E3921" s="0" t="s">
        <v>2045</v>
      </c>
      <c r="F3921" s="0" t="s">
        <v>2157</v>
      </c>
      <c r="G3921" s="0" t="s">
        <v>2158</v>
      </c>
      <c r="H3921" s="0" t="s">
        <v>2179</v>
      </c>
      <c r="I3921" s="0" t="s">
        <v>1685</v>
      </c>
      <c r="J3921" s="0" t="s">
        <v>2357</v>
      </c>
      <c r="K3921" s="272" t="n">
        <v>0.28</v>
      </c>
    </row>
    <row r="3922" customFormat="false" ht="15" hidden="false" customHeight="false" outlineLevel="0" collapsed="false">
      <c r="A3922" s="0" t="s">
        <v>2041</v>
      </c>
      <c r="B3922" s="0" t="s">
        <v>2042</v>
      </c>
      <c r="C3922" s="0" t="s">
        <v>2357</v>
      </c>
      <c r="D3922" s="0" t="s">
        <v>2105</v>
      </c>
      <c r="E3922" s="0" t="s">
        <v>2045</v>
      </c>
      <c r="F3922" s="0" t="s">
        <v>2157</v>
      </c>
      <c r="G3922" s="0" t="s">
        <v>2158</v>
      </c>
      <c r="H3922" s="0" t="s">
        <v>2159</v>
      </c>
      <c r="I3922" s="0" t="s">
        <v>1685</v>
      </c>
      <c r="J3922" s="0" t="s">
        <v>2357</v>
      </c>
      <c r="K3922" s="272" t="n">
        <v>12.305</v>
      </c>
    </row>
    <row r="3923" customFormat="false" ht="15" hidden="false" customHeight="false" outlineLevel="0" collapsed="false">
      <c r="A3923" s="0" t="s">
        <v>2041</v>
      </c>
      <c r="B3923" s="0" t="s">
        <v>2042</v>
      </c>
      <c r="C3923" s="0" t="s">
        <v>2357</v>
      </c>
      <c r="D3923" s="0" t="s">
        <v>2105</v>
      </c>
      <c r="E3923" s="0" t="s">
        <v>2045</v>
      </c>
      <c r="F3923" s="0" t="s">
        <v>2157</v>
      </c>
      <c r="G3923" s="0" t="s">
        <v>2158</v>
      </c>
      <c r="H3923" s="0" t="s">
        <v>2159</v>
      </c>
      <c r="I3923" s="0" t="s">
        <v>2124</v>
      </c>
      <c r="J3923" s="0" t="s">
        <v>2357</v>
      </c>
      <c r="K3923" s="272" t="n">
        <v>0.15</v>
      </c>
    </row>
    <row r="3924" customFormat="false" ht="15" hidden="false" customHeight="false" outlineLevel="0" collapsed="false">
      <c r="A3924" s="0" t="s">
        <v>2041</v>
      </c>
      <c r="B3924" s="0" t="s">
        <v>2042</v>
      </c>
      <c r="C3924" s="0" t="s">
        <v>2357</v>
      </c>
      <c r="D3924" s="0" t="s">
        <v>2105</v>
      </c>
      <c r="E3924" s="0" t="s">
        <v>2045</v>
      </c>
      <c r="F3924" s="0" t="s">
        <v>2157</v>
      </c>
      <c r="G3924" s="0" t="s">
        <v>2158</v>
      </c>
      <c r="H3924" s="0" t="s">
        <v>2162</v>
      </c>
      <c r="I3924" s="0" t="s">
        <v>1685</v>
      </c>
      <c r="J3924" s="0" t="s">
        <v>2357</v>
      </c>
      <c r="K3924" s="272" t="n">
        <v>2</v>
      </c>
    </row>
    <row r="3925" customFormat="false" ht="15" hidden="false" customHeight="false" outlineLevel="0" collapsed="false">
      <c r="A3925" s="0" t="s">
        <v>2041</v>
      </c>
      <c r="B3925" s="0" t="s">
        <v>2042</v>
      </c>
      <c r="C3925" s="0" t="s">
        <v>2357</v>
      </c>
      <c r="D3925" s="0" t="s">
        <v>2105</v>
      </c>
      <c r="E3925" s="0" t="s">
        <v>2045</v>
      </c>
      <c r="F3925" s="0" t="s">
        <v>2157</v>
      </c>
      <c r="G3925" s="0" t="s">
        <v>2158</v>
      </c>
      <c r="H3925" s="0" t="s">
        <v>2126</v>
      </c>
      <c r="I3925" s="0" t="s">
        <v>1685</v>
      </c>
      <c r="J3925" s="0" t="s">
        <v>2357</v>
      </c>
      <c r="K3925" s="272" t="n">
        <v>2</v>
      </c>
    </row>
    <row r="3926" customFormat="false" ht="15" hidden="false" customHeight="false" outlineLevel="0" collapsed="false">
      <c r="A3926" s="0" t="s">
        <v>2041</v>
      </c>
      <c r="B3926" s="0" t="s">
        <v>2042</v>
      </c>
      <c r="C3926" s="0" t="s">
        <v>2357</v>
      </c>
      <c r="D3926" s="0" t="s">
        <v>2105</v>
      </c>
      <c r="E3926" s="0" t="s">
        <v>2045</v>
      </c>
      <c r="F3926" s="0" t="s">
        <v>2163</v>
      </c>
      <c r="G3926" s="0" t="s">
        <v>2164</v>
      </c>
      <c r="H3926" s="0" t="s">
        <v>2165</v>
      </c>
      <c r="I3926" s="0" t="s">
        <v>1685</v>
      </c>
      <c r="J3926" s="0" t="s">
        <v>2357</v>
      </c>
      <c r="K3926" s="272" t="n">
        <v>0.870967741935484</v>
      </c>
    </row>
    <row r="3927" customFormat="false" ht="15" hidden="false" customHeight="false" outlineLevel="0" collapsed="false">
      <c r="A3927" s="0" t="s">
        <v>2041</v>
      </c>
      <c r="B3927" s="0" t="s">
        <v>2042</v>
      </c>
      <c r="C3927" s="0" t="s">
        <v>2357</v>
      </c>
      <c r="D3927" s="0" t="s">
        <v>2105</v>
      </c>
      <c r="E3927" s="0" t="s">
        <v>2045</v>
      </c>
      <c r="F3927" s="0" t="s">
        <v>2163</v>
      </c>
      <c r="G3927" s="0" t="s">
        <v>2164</v>
      </c>
      <c r="H3927" s="0" t="s">
        <v>2166</v>
      </c>
      <c r="I3927" s="0" t="s">
        <v>1685</v>
      </c>
      <c r="J3927" s="0" t="s">
        <v>2357</v>
      </c>
      <c r="K3927" s="272" t="n">
        <v>18.94</v>
      </c>
    </row>
    <row r="3928" customFormat="false" ht="15" hidden="false" customHeight="false" outlineLevel="0" collapsed="false">
      <c r="A3928" s="0" t="s">
        <v>2041</v>
      </c>
      <c r="B3928" s="0" t="s">
        <v>2042</v>
      </c>
      <c r="C3928" s="0" t="s">
        <v>2357</v>
      </c>
      <c r="D3928" s="0" t="s">
        <v>2105</v>
      </c>
      <c r="E3928" s="0" t="s">
        <v>2045</v>
      </c>
      <c r="F3928" s="0" t="s">
        <v>2163</v>
      </c>
      <c r="G3928" s="0" t="s">
        <v>2164</v>
      </c>
      <c r="H3928" s="0" t="s">
        <v>2166</v>
      </c>
      <c r="I3928" s="0" t="s">
        <v>2124</v>
      </c>
      <c r="J3928" s="0" t="s">
        <v>2357</v>
      </c>
      <c r="K3928" s="272" t="n">
        <v>1</v>
      </c>
    </row>
    <row r="3929" customFormat="false" ht="15" hidden="false" customHeight="false" outlineLevel="0" collapsed="false">
      <c r="A3929" s="0" t="s">
        <v>2041</v>
      </c>
      <c r="B3929" s="0" t="s">
        <v>2042</v>
      </c>
      <c r="C3929" s="0" t="s">
        <v>2357</v>
      </c>
      <c r="D3929" s="0" t="s">
        <v>2105</v>
      </c>
      <c r="E3929" s="0" t="s">
        <v>2045</v>
      </c>
      <c r="F3929" s="0" t="s">
        <v>2163</v>
      </c>
      <c r="G3929" s="0" t="s">
        <v>2164</v>
      </c>
      <c r="H3929" s="0" t="s">
        <v>2166</v>
      </c>
      <c r="I3929" s="0" t="s">
        <v>2167</v>
      </c>
      <c r="J3929" s="0" t="s">
        <v>2357</v>
      </c>
      <c r="K3929" s="272" t="n">
        <v>1</v>
      </c>
    </row>
    <row r="3930" customFormat="false" ht="15" hidden="false" customHeight="false" outlineLevel="0" collapsed="false">
      <c r="A3930" s="0" t="s">
        <v>2041</v>
      </c>
      <c r="B3930" s="0" t="s">
        <v>2042</v>
      </c>
      <c r="C3930" s="0" t="s">
        <v>2357</v>
      </c>
      <c r="D3930" s="0" t="s">
        <v>2105</v>
      </c>
      <c r="E3930" s="0" t="s">
        <v>2045</v>
      </c>
      <c r="F3930" s="0" t="s">
        <v>2163</v>
      </c>
      <c r="G3930" s="0" t="s">
        <v>2168</v>
      </c>
      <c r="H3930" s="0" t="s">
        <v>2169</v>
      </c>
      <c r="I3930" s="0" t="s">
        <v>1685</v>
      </c>
      <c r="J3930" s="0" t="s">
        <v>2357</v>
      </c>
      <c r="K3930" s="272" t="n">
        <v>57.9032258064516</v>
      </c>
    </row>
    <row r="3931" customFormat="false" ht="15" hidden="false" customHeight="false" outlineLevel="0" collapsed="false">
      <c r="A3931" s="0" t="s">
        <v>2041</v>
      </c>
      <c r="B3931" s="0" t="s">
        <v>2042</v>
      </c>
      <c r="C3931" s="0" t="s">
        <v>2357</v>
      </c>
      <c r="D3931" s="0" t="s">
        <v>2105</v>
      </c>
      <c r="E3931" s="0" t="s">
        <v>2045</v>
      </c>
      <c r="F3931" s="0" t="s">
        <v>2163</v>
      </c>
      <c r="G3931" s="0" t="s">
        <v>2168</v>
      </c>
      <c r="H3931" s="0" t="s">
        <v>2169</v>
      </c>
      <c r="I3931" s="0" t="s">
        <v>2167</v>
      </c>
      <c r="J3931" s="0" t="s">
        <v>2357</v>
      </c>
      <c r="K3931" s="272" t="n">
        <v>32.1612903225807</v>
      </c>
    </row>
    <row r="3932" customFormat="false" ht="15" hidden="false" customHeight="false" outlineLevel="0" collapsed="false">
      <c r="A3932" s="0" t="s">
        <v>2041</v>
      </c>
      <c r="B3932" s="0" t="s">
        <v>2042</v>
      </c>
      <c r="C3932" s="0" t="s">
        <v>2357</v>
      </c>
      <c r="D3932" s="0" t="s">
        <v>2105</v>
      </c>
      <c r="E3932" s="0" t="s">
        <v>2045</v>
      </c>
      <c r="F3932" s="0" t="s">
        <v>2163</v>
      </c>
      <c r="G3932" s="0" t="s">
        <v>2168</v>
      </c>
      <c r="H3932" s="0" t="s">
        <v>2165</v>
      </c>
      <c r="I3932" s="0" t="s">
        <v>1685</v>
      </c>
      <c r="J3932" s="0" t="s">
        <v>2357</v>
      </c>
      <c r="K3932" s="272" t="n">
        <v>1</v>
      </c>
    </row>
    <row r="3933" customFormat="false" ht="15" hidden="false" customHeight="false" outlineLevel="0" collapsed="false">
      <c r="A3933" s="0" t="s">
        <v>2041</v>
      </c>
      <c r="B3933" s="0" t="s">
        <v>2042</v>
      </c>
      <c r="C3933" s="0" t="s">
        <v>2357</v>
      </c>
      <c r="D3933" s="0" t="s">
        <v>2105</v>
      </c>
      <c r="E3933" s="0" t="s">
        <v>2045</v>
      </c>
      <c r="F3933" s="0" t="s">
        <v>2163</v>
      </c>
      <c r="G3933" s="0" t="s">
        <v>2168</v>
      </c>
      <c r="H3933" s="0" t="s">
        <v>2166</v>
      </c>
      <c r="I3933" s="0" t="s">
        <v>2167</v>
      </c>
      <c r="J3933" s="0" t="s">
        <v>2357</v>
      </c>
      <c r="K3933" s="272" t="n">
        <v>1</v>
      </c>
    </row>
    <row r="3934" customFormat="false" ht="15" hidden="false" customHeight="false" outlineLevel="0" collapsed="false">
      <c r="A3934" s="0" t="s">
        <v>2041</v>
      </c>
      <c r="B3934" s="0" t="s">
        <v>2042</v>
      </c>
      <c r="C3934" s="0" t="s">
        <v>2357</v>
      </c>
      <c r="D3934" s="0" t="s">
        <v>2105</v>
      </c>
      <c r="E3934" s="0" t="s">
        <v>2045</v>
      </c>
      <c r="F3934" s="0" t="s">
        <v>2163</v>
      </c>
      <c r="G3934" s="0" t="s">
        <v>2170</v>
      </c>
      <c r="H3934" s="0" t="s">
        <v>2169</v>
      </c>
      <c r="I3934" s="0" t="s">
        <v>1685</v>
      </c>
      <c r="J3934" s="0" t="s">
        <v>2357</v>
      </c>
      <c r="K3934" s="272" t="n">
        <v>0.838709677419355</v>
      </c>
    </row>
    <row r="3935" customFormat="false" ht="15" hidden="false" customHeight="false" outlineLevel="0" collapsed="false">
      <c r="A3935" s="0" t="s">
        <v>2041</v>
      </c>
      <c r="B3935" s="0" t="s">
        <v>2042</v>
      </c>
      <c r="C3935" s="0" t="s">
        <v>2357</v>
      </c>
      <c r="D3935" s="0" t="s">
        <v>2105</v>
      </c>
      <c r="E3935" s="0" t="s">
        <v>2045</v>
      </c>
      <c r="F3935" s="0" t="s">
        <v>2163</v>
      </c>
      <c r="G3935" s="0" t="s">
        <v>2170</v>
      </c>
      <c r="H3935" s="0" t="s">
        <v>2165</v>
      </c>
      <c r="I3935" s="0" t="s">
        <v>1685</v>
      </c>
      <c r="J3935" s="0" t="s">
        <v>2357</v>
      </c>
      <c r="K3935" s="272" t="n">
        <v>51.7096774193549</v>
      </c>
    </row>
    <row r="3936" customFormat="false" ht="15" hidden="false" customHeight="false" outlineLevel="0" collapsed="false">
      <c r="A3936" s="0" t="s">
        <v>2041</v>
      </c>
      <c r="B3936" s="0" t="s">
        <v>2042</v>
      </c>
      <c r="C3936" s="0" t="s">
        <v>2357</v>
      </c>
      <c r="D3936" s="0" t="s">
        <v>2105</v>
      </c>
      <c r="E3936" s="0" t="s">
        <v>2045</v>
      </c>
      <c r="F3936" s="0" t="s">
        <v>2163</v>
      </c>
      <c r="G3936" s="0" t="s">
        <v>2170</v>
      </c>
      <c r="H3936" s="0" t="s">
        <v>2165</v>
      </c>
      <c r="I3936" s="0" t="s">
        <v>2124</v>
      </c>
      <c r="J3936" s="0" t="s">
        <v>2357</v>
      </c>
      <c r="K3936" s="272" t="n">
        <v>5</v>
      </c>
    </row>
    <row r="3937" customFormat="false" ht="15" hidden="false" customHeight="false" outlineLevel="0" collapsed="false">
      <c r="A3937" s="0" t="s">
        <v>2041</v>
      </c>
      <c r="B3937" s="0" t="s">
        <v>2042</v>
      </c>
      <c r="C3937" s="0" t="s">
        <v>2357</v>
      </c>
      <c r="D3937" s="0" t="s">
        <v>2105</v>
      </c>
      <c r="E3937" s="0" t="s">
        <v>2045</v>
      </c>
      <c r="F3937" s="0" t="s">
        <v>2163</v>
      </c>
      <c r="G3937" s="0" t="s">
        <v>2170</v>
      </c>
      <c r="H3937" s="0" t="s">
        <v>2165</v>
      </c>
      <c r="I3937" s="0" t="s">
        <v>2167</v>
      </c>
      <c r="J3937" s="0" t="s">
        <v>2357</v>
      </c>
      <c r="K3937" s="272" t="n">
        <v>27</v>
      </c>
    </row>
    <row r="3938" customFormat="false" ht="15" hidden="false" customHeight="false" outlineLevel="0" collapsed="false">
      <c r="A3938" s="0" t="s">
        <v>2041</v>
      </c>
      <c r="B3938" s="0" t="s">
        <v>2042</v>
      </c>
      <c r="C3938" s="0" t="s">
        <v>2357</v>
      </c>
      <c r="D3938" s="0" t="s">
        <v>2105</v>
      </c>
      <c r="E3938" s="0" t="s">
        <v>2045</v>
      </c>
      <c r="F3938" s="0" t="s">
        <v>2163</v>
      </c>
      <c r="G3938" s="0" t="s">
        <v>2170</v>
      </c>
      <c r="H3938" s="0" t="s">
        <v>2171</v>
      </c>
      <c r="I3938" s="0" t="s">
        <v>1685</v>
      </c>
      <c r="J3938" s="0" t="s">
        <v>2357</v>
      </c>
      <c r="K3938" s="272" t="n">
        <v>10</v>
      </c>
    </row>
    <row r="3939" customFormat="false" ht="15" hidden="false" customHeight="false" outlineLevel="0" collapsed="false">
      <c r="A3939" s="0" t="s">
        <v>2041</v>
      </c>
      <c r="B3939" s="0" t="s">
        <v>2042</v>
      </c>
      <c r="C3939" s="0" t="s">
        <v>2357</v>
      </c>
      <c r="D3939" s="0" t="s">
        <v>2105</v>
      </c>
      <c r="E3939" s="0" t="s">
        <v>2045</v>
      </c>
      <c r="F3939" s="0" t="s">
        <v>2163</v>
      </c>
      <c r="G3939" s="0" t="s">
        <v>2172</v>
      </c>
      <c r="H3939" s="0" t="s">
        <v>2173</v>
      </c>
      <c r="I3939" s="0" t="s">
        <v>1685</v>
      </c>
      <c r="J3939" s="0" t="s">
        <v>2357</v>
      </c>
      <c r="K3939" s="272" t="n">
        <v>22</v>
      </c>
    </row>
    <row r="3940" customFormat="false" ht="15" hidden="false" customHeight="false" outlineLevel="0" collapsed="false">
      <c r="A3940" s="0" t="s">
        <v>2041</v>
      </c>
      <c r="B3940" s="0" t="s">
        <v>2042</v>
      </c>
      <c r="C3940" s="0" t="s">
        <v>2357</v>
      </c>
      <c r="D3940" s="0" t="s">
        <v>2105</v>
      </c>
      <c r="E3940" s="0" t="s">
        <v>2045</v>
      </c>
      <c r="F3940" s="0" t="s">
        <v>2163</v>
      </c>
      <c r="G3940" s="0" t="s">
        <v>2172</v>
      </c>
      <c r="H3940" s="0" t="s">
        <v>2173</v>
      </c>
      <c r="I3940" s="0" t="s">
        <v>2124</v>
      </c>
      <c r="J3940" s="0" t="s">
        <v>2357</v>
      </c>
      <c r="K3940" s="272" t="n">
        <v>1</v>
      </c>
    </row>
    <row r="3941" customFormat="false" ht="15" hidden="false" customHeight="false" outlineLevel="0" collapsed="false">
      <c r="A3941" s="0" t="s">
        <v>2041</v>
      </c>
      <c r="B3941" s="0" t="s">
        <v>2042</v>
      </c>
      <c r="C3941" s="0" t="s">
        <v>2357</v>
      </c>
      <c r="D3941" s="0" t="s">
        <v>2105</v>
      </c>
      <c r="E3941" s="0" t="s">
        <v>2045</v>
      </c>
      <c r="F3941" s="0" t="s">
        <v>2163</v>
      </c>
      <c r="G3941" s="0" t="s">
        <v>2172</v>
      </c>
      <c r="H3941" s="0" t="s">
        <v>2173</v>
      </c>
      <c r="I3941" s="0" t="s">
        <v>2167</v>
      </c>
      <c r="J3941" s="0" t="s">
        <v>2357</v>
      </c>
      <c r="K3941" s="272" t="n">
        <v>2</v>
      </c>
    </row>
    <row r="3942" customFormat="false" ht="15" hidden="false" customHeight="false" outlineLevel="0" collapsed="false">
      <c r="A3942" s="0" t="s">
        <v>2041</v>
      </c>
      <c r="B3942" s="0" t="s">
        <v>2042</v>
      </c>
      <c r="C3942" s="0" t="s">
        <v>2357</v>
      </c>
      <c r="D3942" s="0" t="s">
        <v>2105</v>
      </c>
      <c r="E3942" s="0" t="s">
        <v>2045</v>
      </c>
      <c r="F3942" s="0" t="s">
        <v>2163</v>
      </c>
      <c r="G3942" s="0" t="s">
        <v>2327</v>
      </c>
      <c r="H3942" s="0" t="s">
        <v>2328</v>
      </c>
      <c r="I3942" s="0" t="s">
        <v>1685</v>
      </c>
      <c r="J3942" s="0" t="s">
        <v>2357</v>
      </c>
      <c r="K3942" s="272" t="n">
        <v>0.28</v>
      </c>
    </row>
    <row r="3943" customFormat="false" ht="15" hidden="false" customHeight="false" outlineLevel="0" collapsed="false">
      <c r="A3943" s="0" t="s">
        <v>2041</v>
      </c>
      <c r="B3943" s="0" t="s">
        <v>2042</v>
      </c>
      <c r="C3943" s="0" t="s">
        <v>2357</v>
      </c>
      <c r="D3943" s="0" t="s">
        <v>2105</v>
      </c>
      <c r="E3943" s="0" t="s">
        <v>2045</v>
      </c>
      <c r="F3943" s="0" t="s">
        <v>2163</v>
      </c>
      <c r="G3943" s="0" t="s">
        <v>2174</v>
      </c>
      <c r="H3943" s="0" t="s">
        <v>2175</v>
      </c>
      <c r="I3943" s="0" t="s">
        <v>1685</v>
      </c>
      <c r="J3943" s="0" t="s">
        <v>2357</v>
      </c>
      <c r="K3943" s="272" t="n">
        <v>34.9677419354839</v>
      </c>
    </row>
    <row r="3944" customFormat="false" ht="15" hidden="false" customHeight="false" outlineLevel="0" collapsed="false">
      <c r="A3944" s="0" t="s">
        <v>2041</v>
      </c>
      <c r="B3944" s="0" t="s">
        <v>2042</v>
      </c>
      <c r="C3944" s="0" t="s">
        <v>2357</v>
      </c>
      <c r="D3944" s="0" t="s">
        <v>2105</v>
      </c>
      <c r="E3944" s="0" t="s">
        <v>2045</v>
      </c>
      <c r="F3944" s="0" t="s">
        <v>2163</v>
      </c>
      <c r="G3944" s="0" t="s">
        <v>2174</v>
      </c>
      <c r="H3944" s="0" t="s">
        <v>2175</v>
      </c>
      <c r="I3944" s="0" t="s">
        <v>2167</v>
      </c>
      <c r="J3944" s="0" t="s">
        <v>2357</v>
      </c>
      <c r="K3944" s="272" t="n">
        <v>3</v>
      </c>
    </row>
    <row r="3945" customFormat="false" ht="15" hidden="false" customHeight="false" outlineLevel="0" collapsed="false">
      <c r="A3945" s="0" t="s">
        <v>2041</v>
      </c>
      <c r="B3945" s="0" t="s">
        <v>2042</v>
      </c>
      <c r="C3945" s="0" t="s">
        <v>2357</v>
      </c>
      <c r="D3945" s="0" t="s">
        <v>2105</v>
      </c>
      <c r="E3945" s="0" t="s">
        <v>2045</v>
      </c>
      <c r="F3945" s="0" t="s">
        <v>2176</v>
      </c>
      <c r="G3945" s="0" t="s">
        <v>2177</v>
      </c>
      <c r="H3945" s="0" t="s">
        <v>2178</v>
      </c>
      <c r="I3945" s="0" t="s">
        <v>1685</v>
      </c>
      <c r="J3945" s="0" t="s">
        <v>2357</v>
      </c>
      <c r="K3945" s="272" t="n">
        <v>3</v>
      </c>
    </row>
    <row r="3946" customFormat="false" ht="15" hidden="false" customHeight="false" outlineLevel="0" collapsed="false">
      <c r="A3946" s="0" t="s">
        <v>2041</v>
      </c>
      <c r="B3946" s="0" t="s">
        <v>2042</v>
      </c>
      <c r="C3946" s="0" t="s">
        <v>2357</v>
      </c>
      <c r="D3946" s="0" t="s">
        <v>2105</v>
      </c>
      <c r="E3946" s="0" t="s">
        <v>2045</v>
      </c>
      <c r="F3946" s="0" t="s">
        <v>2176</v>
      </c>
      <c r="G3946" s="0" t="s">
        <v>2177</v>
      </c>
      <c r="H3946" s="0" t="s">
        <v>2178</v>
      </c>
      <c r="I3946" s="0" t="s">
        <v>2124</v>
      </c>
      <c r="J3946" s="0" t="s">
        <v>2357</v>
      </c>
      <c r="K3946" s="272" t="n">
        <v>1</v>
      </c>
    </row>
    <row r="3947" customFormat="false" ht="15" hidden="false" customHeight="false" outlineLevel="0" collapsed="false">
      <c r="A3947" s="0" t="s">
        <v>2041</v>
      </c>
      <c r="B3947" s="0" t="s">
        <v>2042</v>
      </c>
      <c r="C3947" s="0" t="s">
        <v>2357</v>
      </c>
      <c r="D3947" s="0" t="s">
        <v>2105</v>
      </c>
      <c r="E3947" s="0" t="s">
        <v>2045</v>
      </c>
      <c r="F3947" s="0" t="s">
        <v>2176</v>
      </c>
      <c r="G3947" s="0" t="s">
        <v>2177</v>
      </c>
      <c r="H3947" s="0" t="s">
        <v>2178</v>
      </c>
      <c r="I3947" s="0" t="s">
        <v>2167</v>
      </c>
      <c r="J3947" s="0" t="s">
        <v>2357</v>
      </c>
      <c r="K3947" s="272" t="n">
        <v>4</v>
      </c>
    </row>
    <row r="3948" customFormat="false" ht="15" hidden="false" customHeight="false" outlineLevel="0" collapsed="false">
      <c r="A3948" s="0" t="s">
        <v>2041</v>
      </c>
      <c r="B3948" s="0" t="s">
        <v>2042</v>
      </c>
      <c r="C3948" s="0" t="s">
        <v>2357</v>
      </c>
      <c r="D3948" s="0" t="s">
        <v>2105</v>
      </c>
      <c r="E3948" s="0" t="s">
        <v>2045</v>
      </c>
      <c r="F3948" s="0" t="s">
        <v>2176</v>
      </c>
      <c r="G3948" s="0" t="s">
        <v>2177</v>
      </c>
      <c r="H3948" s="0" t="s">
        <v>2187</v>
      </c>
      <c r="I3948" s="0" t="s">
        <v>1685</v>
      </c>
      <c r="J3948" s="0" t="s">
        <v>2357</v>
      </c>
      <c r="K3948" s="272" t="n">
        <v>0.3</v>
      </c>
    </row>
    <row r="3949" customFormat="false" ht="15" hidden="false" customHeight="false" outlineLevel="0" collapsed="false">
      <c r="A3949" s="0" t="s">
        <v>2041</v>
      </c>
      <c r="B3949" s="0" t="s">
        <v>2042</v>
      </c>
      <c r="C3949" s="0" t="s">
        <v>2357</v>
      </c>
      <c r="D3949" s="0" t="s">
        <v>2105</v>
      </c>
      <c r="E3949" s="0" t="s">
        <v>2045</v>
      </c>
      <c r="F3949" s="0" t="s">
        <v>2176</v>
      </c>
      <c r="G3949" s="0" t="s">
        <v>2177</v>
      </c>
      <c r="H3949" s="0" t="s">
        <v>2179</v>
      </c>
      <c r="I3949" s="0" t="s">
        <v>1685</v>
      </c>
      <c r="J3949" s="0" t="s">
        <v>2357</v>
      </c>
      <c r="K3949" s="272" t="n">
        <v>0.6</v>
      </c>
    </row>
    <row r="3950" customFormat="false" ht="15" hidden="false" customHeight="false" outlineLevel="0" collapsed="false">
      <c r="A3950" s="0" t="s">
        <v>2041</v>
      </c>
      <c r="B3950" s="0" t="s">
        <v>2042</v>
      </c>
      <c r="C3950" s="0" t="s">
        <v>2357</v>
      </c>
      <c r="D3950" s="0" t="s">
        <v>2105</v>
      </c>
      <c r="E3950" s="0" t="s">
        <v>2045</v>
      </c>
      <c r="F3950" s="0" t="s">
        <v>2176</v>
      </c>
      <c r="G3950" s="0" t="s">
        <v>2177</v>
      </c>
      <c r="H3950" s="0" t="s">
        <v>2180</v>
      </c>
      <c r="I3950" s="0" t="s">
        <v>1685</v>
      </c>
      <c r="J3950" s="0" t="s">
        <v>2357</v>
      </c>
      <c r="K3950" s="272" t="n">
        <v>4.2</v>
      </c>
    </row>
    <row r="3951" customFormat="false" ht="15" hidden="false" customHeight="false" outlineLevel="0" collapsed="false">
      <c r="A3951" s="0" t="s">
        <v>2041</v>
      </c>
      <c r="B3951" s="0" t="s">
        <v>2042</v>
      </c>
      <c r="C3951" s="0" t="s">
        <v>2357</v>
      </c>
      <c r="D3951" s="0" t="s">
        <v>2105</v>
      </c>
      <c r="E3951" s="0" t="s">
        <v>2045</v>
      </c>
      <c r="F3951" s="0" t="s">
        <v>2176</v>
      </c>
      <c r="G3951" s="0" t="s">
        <v>2181</v>
      </c>
      <c r="H3951" s="0" t="s">
        <v>2182</v>
      </c>
      <c r="I3951" s="0" t="s">
        <v>1685</v>
      </c>
      <c r="J3951" s="0" t="s">
        <v>2357</v>
      </c>
      <c r="K3951" s="272" t="n">
        <v>2.5</v>
      </c>
    </row>
    <row r="3952" customFormat="false" ht="15" hidden="false" customHeight="false" outlineLevel="0" collapsed="false">
      <c r="A3952" s="0" t="s">
        <v>2041</v>
      </c>
      <c r="B3952" s="0" t="s">
        <v>2042</v>
      </c>
      <c r="C3952" s="0" t="s">
        <v>2357</v>
      </c>
      <c r="D3952" s="0" t="s">
        <v>2105</v>
      </c>
      <c r="E3952" s="0" t="s">
        <v>2045</v>
      </c>
      <c r="F3952" s="0" t="s">
        <v>2176</v>
      </c>
      <c r="G3952" s="0" t="s">
        <v>2181</v>
      </c>
      <c r="H3952" s="0" t="s">
        <v>2182</v>
      </c>
      <c r="I3952" s="0" t="s">
        <v>2124</v>
      </c>
      <c r="J3952" s="0" t="s">
        <v>2357</v>
      </c>
      <c r="K3952" s="272" t="n">
        <v>2.34</v>
      </c>
    </row>
    <row r="3953" customFormat="false" ht="15" hidden="false" customHeight="false" outlineLevel="0" collapsed="false">
      <c r="A3953" s="0" t="s">
        <v>2041</v>
      </c>
      <c r="B3953" s="0" t="s">
        <v>2042</v>
      </c>
      <c r="C3953" s="0" t="s">
        <v>2357</v>
      </c>
      <c r="D3953" s="0" t="s">
        <v>2105</v>
      </c>
      <c r="E3953" s="0" t="s">
        <v>2045</v>
      </c>
      <c r="F3953" s="0" t="s">
        <v>2176</v>
      </c>
      <c r="G3953" s="0" t="s">
        <v>2181</v>
      </c>
      <c r="H3953" s="0" t="s">
        <v>2183</v>
      </c>
      <c r="I3953" s="0" t="s">
        <v>2124</v>
      </c>
      <c r="J3953" s="0" t="s">
        <v>2357</v>
      </c>
      <c r="K3953" s="272" t="n">
        <v>0.33</v>
      </c>
    </row>
    <row r="3954" customFormat="false" ht="15" hidden="false" customHeight="false" outlineLevel="0" collapsed="false">
      <c r="A3954" s="0" t="s">
        <v>2041</v>
      </c>
      <c r="B3954" s="0" t="s">
        <v>2042</v>
      </c>
      <c r="C3954" s="0" t="s">
        <v>2357</v>
      </c>
      <c r="D3954" s="0" t="s">
        <v>2105</v>
      </c>
      <c r="E3954" s="0" t="s">
        <v>2045</v>
      </c>
      <c r="F3954" s="0" t="s">
        <v>2176</v>
      </c>
      <c r="G3954" s="0" t="s">
        <v>2181</v>
      </c>
      <c r="H3954" s="0" t="s">
        <v>2184</v>
      </c>
      <c r="I3954" s="0" t="s">
        <v>1685</v>
      </c>
      <c r="J3954" s="0" t="s">
        <v>2357</v>
      </c>
      <c r="K3954" s="272" t="n">
        <v>1.5</v>
      </c>
    </row>
    <row r="3955" customFormat="false" ht="15" hidden="false" customHeight="false" outlineLevel="0" collapsed="false">
      <c r="A3955" s="0" t="s">
        <v>2041</v>
      </c>
      <c r="B3955" s="0" t="s">
        <v>2042</v>
      </c>
      <c r="C3955" s="0" t="s">
        <v>2357</v>
      </c>
      <c r="D3955" s="0" t="s">
        <v>2105</v>
      </c>
      <c r="E3955" s="0" t="s">
        <v>2045</v>
      </c>
      <c r="F3955" s="0" t="s">
        <v>2176</v>
      </c>
      <c r="G3955" s="0" t="s">
        <v>2181</v>
      </c>
      <c r="H3955" s="0" t="s">
        <v>2185</v>
      </c>
      <c r="I3955" s="0" t="s">
        <v>1685</v>
      </c>
      <c r="J3955" s="0" t="s">
        <v>2357</v>
      </c>
      <c r="K3955" s="272" t="n">
        <v>2.5</v>
      </c>
    </row>
    <row r="3956" customFormat="false" ht="15" hidden="false" customHeight="false" outlineLevel="0" collapsed="false">
      <c r="A3956" s="0" t="s">
        <v>2041</v>
      </c>
      <c r="B3956" s="0" t="s">
        <v>2042</v>
      </c>
      <c r="C3956" s="0" t="s">
        <v>2357</v>
      </c>
      <c r="D3956" s="0" t="s">
        <v>2105</v>
      </c>
      <c r="E3956" s="0" t="s">
        <v>2045</v>
      </c>
      <c r="F3956" s="0" t="s">
        <v>2176</v>
      </c>
      <c r="G3956" s="0" t="s">
        <v>2181</v>
      </c>
      <c r="H3956" s="0" t="s">
        <v>2185</v>
      </c>
      <c r="I3956" s="0" t="s">
        <v>2124</v>
      </c>
      <c r="J3956" s="0" t="s">
        <v>2357</v>
      </c>
      <c r="K3956" s="272" t="n">
        <v>2.33</v>
      </c>
    </row>
    <row r="3957" customFormat="false" ht="15" hidden="false" customHeight="false" outlineLevel="0" collapsed="false">
      <c r="A3957" s="0" t="s">
        <v>2041</v>
      </c>
      <c r="B3957" s="0" t="s">
        <v>2042</v>
      </c>
      <c r="C3957" s="0" t="s">
        <v>2357</v>
      </c>
      <c r="D3957" s="0" t="s">
        <v>2105</v>
      </c>
      <c r="E3957" s="0" t="s">
        <v>2045</v>
      </c>
      <c r="F3957" s="0" t="s">
        <v>2176</v>
      </c>
      <c r="G3957" s="0" t="s">
        <v>2181</v>
      </c>
      <c r="H3957" s="0" t="s">
        <v>2186</v>
      </c>
      <c r="I3957" s="0" t="s">
        <v>1685</v>
      </c>
      <c r="J3957" s="0" t="s">
        <v>2357</v>
      </c>
      <c r="K3957" s="272" t="n">
        <v>3</v>
      </c>
    </row>
    <row r="3958" customFormat="false" ht="15" hidden="false" customHeight="false" outlineLevel="0" collapsed="false">
      <c r="A3958" s="0" t="s">
        <v>2041</v>
      </c>
      <c r="B3958" s="0" t="s">
        <v>2042</v>
      </c>
      <c r="C3958" s="0" t="s">
        <v>2357</v>
      </c>
      <c r="D3958" s="0" t="s">
        <v>2105</v>
      </c>
      <c r="E3958" s="0" t="s">
        <v>2045</v>
      </c>
      <c r="F3958" s="0" t="s">
        <v>2176</v>
      </c>
      <c r="G3958" s="0" t="s">
        <v>2181</v>
      </c>
      <c r="H3958" s="0" t="s">
        <v>2187</v>
      </c>
      <c r="I3958" s="0" t="s">
        <v>1685</v>
      </c>
      <c r="J3958" s="0" t="s">
        <v>2357</v>
      </c>
      <c r="K3958" s="272" t="n">
        <v>4</v>
      </c>
    </row>
    <row r="3959" customFormat="false" ht="15" hidden="false" customHeight="false" outlineLevel="0" collapsed="false">
      <c r="A3959" s="0" t="s">
        <v>2041</v>
      </c>
      <c r="B3959" s="0" t="s">
        <v>2042</v>
      </c>
      <c r="C3959" s="0" t="s">
        <v>2357</v>
      </c>
      <c r="D3959" s="0" t="s">
        <v>2105</v>
      </c>
      <c r="E3959" s="0" t="s">
        <v>2045</v>
      </c>
      <c r="F3959" s="0" t="s">
        <v>2176</v>
      </c>
      <c r="G3959" s="0" t="s">
        <v>2181</v>
      </c>
      <c r="H3959" s="0" t="s">
        <v>2187</v>
      </c>
      <c r="I3959" s="0" t="s">
        <v>2124</v>
      </c>
      <c r="J3959" s="0" t="s">
        <v>2357</v>
      </c>
      <c r="K3959" s="272" t="n">
        <v>1</v>
      </c>
    </row>
    <row r="3960" customFormat="false" ht="15" hidden="false" customHeight="false" outlineLevel="0" collapsed="false">
      <c r="A3960" s="0" t="s">
        <v>2041</v>
      </c>
      <c r="B3960" s="0" t="s">
        <v>2042</v>
      </c>
      <c r="C3960" s="0" t="s">
        <v>2357</v>
      </c>
      <c r="D3960" s="0" t="s">
        <v>2105</v>
      </c>
      <c r="E3960" s="0" t="s">
        <v>2045</v>
      </c>
      <c r="F3960" s="0" t="s">
        <v>2176</v>
      </c>
      <c r="G3960" s="0" t="s">
        <v>2181</v>
      </c>
      <c r="H3960" s="0" t="s">
        <v>2179</v>
      </c>
      <c r="I3960" s="0" t="s">
        <v>1685</v>
      </c>
      <c r="J3960" s="0" t="s">
        <v>2357</v>
      </c>
      <c r="K3960" s="272" t="n">
        <v>1</v>
      </c>
    </row>
    <row r="3961" customFormat="false" ht="15" hidden="false" customHeight="false" outlineLevel="0" collapsed="false">
      <c r="A3961" s="0" t="s">
        <v>2041</v>
      </c>
      <c r="B3961" s="0" t="s">
        <v>2042</v>
      </c>
      <c r="C3961" s="0" t="s">
        <v>2357</v>
      </c>
      <c r="D3961" s="0" t="s">
        <v>2105</v>
      </c>
      <c r="E3961" s="0" t="s">
        <v>2045</v>
      </c>
      <c r="F3961" s="0" t="s">
        <v>2176</v>
      </c>
      <c r="G3961" s="0" t="s">
        <v>2188</v>
      </c>
      <c r="H3961" s="0" t="s">
        <v>2189</v>
      </c>
      <c r="I3961" s="0" t="s">
        <v>1685</v>
      </c>
      <c r="J3961" s="0" t="s">
        <v>2357</v>
      </c>
      <c r="K3961" s="272" t="n">
        <v>20.5</v>
      </c>
    </row>
    <row r="3962" customFormat="false" ht="15" hidden="false" customHeight="false" outlineLevel="0" collapsed="false">
      <c r="A3962" s="0" t="s">
        <v>2041</v>
      </c>
      <c r="B3962" s="0" t="s">
        <v>2042</v>
      </c>
      <c r="C3962" s="0" t="s">
        <v>2357</v>
      </c>
      <c r="D3962" s="0" t="s">
        <v>2105</v>
      </c>
      <c r="E3962" s="0" t="s">
        <v>2045</v>
      </c>
      <c r="F3962" s="0" t="s">
        <v>2176</v>
      </c>
      <c r="G3962" s="0" t="s">
        <v>2188</v>
      </c>
      <c r="H3962" s="0" t="s">
        <v>2189</v>
      </c>
      <c r="I3962" s="0" t="s">
        <v>2124</v>
      </c>
      <c r="J3962" s="0" t="s">
        <v>2357</v>
      </c>
      <c r="K3962" s="272" t="n">
        <v>1</v>
      </c>
    </row>
    <row r="3963" customFormat="false" ht="15" hidden="false" customHeight="false" outlineLevel="0" collapsed="false">
      <c r="A3963" s="0" t="s">
        <v>2041</v>
      </c>
      <c r="B3963" s="0" t="s">
        <v>2042</v>
      </c>
      <c r="C3963" s="0" t="s">
        <v>2357</v>
      </c>
      <c r="D3963" s="0" t="s">
        <v>2105</v>
      </c>
      <c r="E3963" s="0" t="s">
        <v>2045</v>
      </c>
      <c r="F3963" s="0" t="s">
        <v>2176</v>
      </c>
      <c r="G3963" s="0" t="s">
        <v>2188</v>
      </c>
      <c r="H3963" s="0" t="s">
        <v>2189</v>
      </c>
      <c r="I3963" s="0" t="s">
        <v>2167</v>
      </c>
      <c r="J3963" s="0" t="s">
        <v>2357</v>
      </c>
      <c r="K3963" s="272" t="n">
        <v>1</v>
      </c>
    </row>
    <row r="3964" customFormat="false" ht="15" hidden="false" customHeight="false" outlineLevel="0" collapsed="false">
      <c r="A3964" s="0" t="s">
        <v>2041</v>
      </c>
      <c r="B3964" s="0" t="s">
        <v>2042</v>
      </c>
      <c r="C3964" s="0" t="s">
        <v>2357</v>
      </c>
      <c r="D3964" s="0" t="s">
        <v>2105</v>
      </c>
      <c r="E3964" s="0" t="s">
        <v>2045</v>
      </c>
      <c r="F3964" s="0" t="s">
        <v>2176</v>
      </c>
      <c r="G3964" s="0" t="s">
        <v>2190</v>
      </c>
      <c r="H3964" s="0" t="s">
        <v>2191</v>
      </c>
      <c r="I3964" s="0" t="s">
        <v>1685</v>
      </c>
      <c r="J3964" s="0" t="s">
        <v>2357</v>
      </c>
      <c r="K3964" s="272" t="n">
        <v>19</v>
      </c>
    </row>
    <row r="3965" customFormat="false" ht="15" hidden="false" customHeight="false" outlineLevel="0" collapsed="false">
      <c r="A3965" s="0" t="s">
        <v>2041</v>
      </c>
      <c r="B3965" s="0" t="s">
        <v>2042</v>
      </c>
      <c r="C3965" s="0" t="s">
        <v>2357</v>
      </c>
      <c r="D3965" s="0" t="s">
        <v>2105</v>
      </c>
      <c r="E3965" s="0" t="s">
        <v>2045</v>
      </c>
      <c r="F3965" s="0" t="s">
        <v>2176</v>
      </c>
      <c r="G3965" s="0" t="s">
        <v>2190</v>
      </c>
      <c r="H3965" s="0" t="s">
        <v>2191</v>
      </c>
      <c r="I3965" s="0" t="s">
        <v>2124</v>
      </c>
      <c r="J3965" s="0" t="s">
        <v>2357</v>
      </c>
      <c r="K3965" s="272" t="n">
        <v>1</v>
      </c>
    </row>
    <row r="3966" customFormat="false" ht="15" hidden="false" customHeight="false" outlineLevel="0" collapsed="false">
      <c r="A3966" s="0" t="s">
        <v>2041</v>
      </c>
      <c r="B3966" s="0" t="s">
        <v>2042</v>
      </c>
      <c r="C3966" s="0" t="s">
        <v>2357</v>
      </c>
      <c r="D3966" s="0" t="s">
        <v>2105</v>
      </c>
      <c r="E3966" s="0" t="s">
        <v>2045</v>
      </c>
      <c r="F3966" s="0" t="s">
        <v>2192</v>
      </c>
      <c r="G3966" s="0" t="s">
        <v>2193</v>
      </c>
      <c r="H3966" s="0" t="s">
        <v>2162</v>
      </c>
      <c r="I3966" s="0" t="s">
        <v>1685</v>
      </c>
      <c r="J3966" s="0" t="s">
        <v>2357</v>
      </c>
      <c r="K3966" s="272" t="n">
        <v>57.3154838709677</v>
      </c>
    </row>
    <row r="3967" customFormat="false" ht="15" hidden="false" customHeight="false" outlineLevel="0" collapsed="false">
      <c r="A3967" s="0" t="s">
        <v>2041</v>
      </c>
      <c r="B3967" s="0" t="s">
        <v>2042</v>
      </c>
      <c r="C3967" s="0" t="s">
        <v>2357</v>
      </c>
      <c r="D3967" s="0" t="s">
        <v>2105</v>
      </c>
      <c r="E3967" s="0" t="s">
        <v>2045</v>
      </c>
      <c r="F3967" s="0" t="s">
        <v>2192</v>
      </c>
      <c r="G3967" s="0" t="s">
        <v>2193</v>
      </c>
      <c r="H3967" s="0" t="s">
        <v>2162</v>
      </c>
      <c r="I3967" s="0" t="s">
        <v>2124</v>
      </c>
      <c r="J3967" s="0" t="s">
        <v>2357</v>
      </c>
      <c r="K3967" s="272" t="n">
        <v>6</v>
      </c>
    </row>
    <row r="3968" customFormat="false" ht="15" hidden="false" customHeight="false" outlineLevel="0" collapsed="false">
      <c r="A3968" s="0" t="s">
        <v>2041</v>
      </c>
      <c r="B3968" s="0" t="s">
        <v>2042</v>
      </c>
      <c r="C3968" s="0" t="s">
        <v>2357</v>
      </c>
      <c r="D3968" s="0" t="s">
        <v>2105</v>
      </c>
      <c r="E3968" s="0" t="s">
        <v>2045</v>
      </c>
      <c r="F3968" s="0" t="s">
        <v>2192</v>
      </c>
      <c r="G3968" s="0" t="s">
        <v>2193</v>
      </c>
      <c r="H3968" s="0" t="s">
        <v>2162</v>
      </c>
      <c r="I3968" s="0" t="s">
        <v>2101</v>
      </c>
      <c r="J3968" s="0" t="s">
        <v>2357</v>
      </c>
      <c r="K3968" s="272" t="n">
        <v>1</v>
      </c>
    </row>
    <row r="3969" customFormat="false" ht="15" hidden="false" customHeight="false" outlineLevel="0" collapsed="false">
      <c r="A3969" s="0" t="s">
        <v>2041</v>
      </c>
      <c r="B3969" s="0" t="s">
        <v>2042</v>
      </c>
      <c r="C3969" s="0" t="s">
        <v>2357</v>
      </c>
      <c r="D3969" s="0" t="s">
        <v>2105</v>
      </c>
      <c r="E3969" s="0" t="s">
        <v>2045</v>
      </c>
      <c r="F3969" s="0" t="s">
        <v>2192</v>
      </c>
      <c r="G3969" s="0" t="s">
        <v>2194</v>
      </c>
      <c r="H3969" s="0" t="s">
        <v>2162</v>
      </c>
      <c r="I3969" s="0" t="s">
        <v>1685</v>
      </c>
      <c r="J3969" s="0" t="s">
        <v>2357</v>
      </c>
      <c r="K3969" s="272" t="n">
        <v>19</v>
      </c>
    </row>
    <row r="3970" customFormat="false" ht="15" hidden="false" customHeight="false" outlineLevel="0" collapsed="false">
      <c r="A3970" s="0" t="s">
        <v>2041</v>
      </c>
      <c r="B3970" s="0" t="s">
        <v>2042</v>
      </c>
      <c r="C3970" s="0" t="s">
        <v>2357</v>
      </c>
      <c r="D3970" s="0" t="s">
        <v>2105</v>
      </c>
      <c r="E3970" s="0" t="s">
        <v>2045</v>
      </c>
      <c r="F3970" s="0" t="s">
        <v>2192</v>
      </c>
      <c r="G3970" s="0" t="s">
        <v>2194</v>
      </c>
      <c r="H3970" s="0" t="s">
        <v>2162</v>
      </c>
      <c r="I3970" s="0" t="s">
        <v>2124</v>
      </c>
      <c r="J3970" s="0" t="s">
        <v>2357</v>
      </c>
      <c r="K3970" s="272" t="n">
        <v>4</v>
      </c>
    </row>
    <row r="3971" customFormat="false" ht="15" hidden="false" customHeight="false" outlineLevel="0" collapsed="false">
      <c r="A3971" s="0" t="s">
        <v>2041</v>
      </c>
      <c r="B3971" s="0" t="s">
        <v>2042</v>
      </c>
      <c r="C3971" s="0" t="s">
        <v>2357</v>
      </c>
      <c r="D3971" s="0" t="s">
        <v>2105</v>
      </c>
      <c r="E3971" s="0" t="s">
        <v>2045</v>
      </c>
      <c r="F3971" s="0" t="s">
        <v>2192</v>
      </c>
      <c r="G3971" s="0" t="s">
        <v>2195</v>
      </c>
      <c r="H3971" s="0" t="s">
        <v>2171</v>
      </c>
      <c r="I3971" s="0" t="s">
        <v>1685</v>
      </c>
      <c r="J3971" s="0" t="s">
        <v>2357</v>
      </c>
      <c r="K3971" s="272" t="n">
        <v>23.3225806451613</v>
      </c>
    </row>
    <row r="3972" customFormat="false" ht="15" hidden="false" customHeight="false" outlineLevel="0" collapsed="false">
      <c r="A3972" s="0" t="s">
        <v>2041</v>
      </c>
      <c r="B3972" s="0" t="s">
        <v>2042</v>
      </c>
      <c r="C3972" s="0" t="s">
        <v>2357</v>
      </c>
      <c r="D3972" s="0" t="s">
        <v>2105</v>
      </c>
      <c r="E3972" s="0" t="s">
        <v>2045</v>
      </c>
      <c r="F3972" s="0" t="s">
        <v>2192</v>
      </c>
      <c r="G3972" s="0" t="s">
        <v>2195</v>
      </c>
      <c r="H3972" s="0" t="s">
        <v>2171</v>
      </c>
      <c r="I3972" s="0" t="s">
        <v>2124</v>
      </c>
      <c r="J3972" s="0" t="s">
        <v>2357</v>
      </c>
      <c r="K3972" s="272" t="n">
        <v>3</v>
      </c>
    </row>
    <row r="3973" customFormat="false" ht="15" hidden="false" customHeight="false" outlineLevel="0" collapsed="false">
      <c r="A3973" s="0" t="s">
        <v>2041</v>
      </c>
      <c r="B3973" s="0" t="s">
        <v>2042</v>
      </c>
      <c r="C3973" s="0" t="s">
        <v>2357</v>
      </c>
      <c r="D3973" s="0" t="s">
        <v>2105</v>
      </c>
      <c r="E3973" s="0" t="s">
        <v>2045</v>
      </c>
      <c r="F3973" s="0" t="s">
        <v>2192</v>
      </c>
      <c r="G3973" s="0" t="s">
        <v>2195</v>
      </c>
      <c r="H3973" s="0" t="s">
        <v>2171</v>
      </c>
      <c r="I3973" s="0" t="s">
        <v>2167</v>
      </c>
      <c r="J3973" s="0" t="s">
        <v>2357</v>
      </c>
      <c r="K3973" s="272" t="n">
        <v>0.838709677419355</v>
      </c>
    </row>
    <row r="3974" customFormat="false" ht="15" hidden="false" customHeight="false" outlineLevel="0" collapsed="false">
      <c r="A3974" s="0" t="s">
        <v>2041</v>
      </c>
      <c r="B3974" s="0" t="s">
        <v>2042</v>
      </c>
      <c r="C3974" s="0" t="s">
        <v>2357</v>
      </c>
      <c r="D3974" s="0" t="s">
        <v>2105</v>
      </c>
      <c r="E3974" s="0" t="s">
        <v>2045</v>
      </c>
      <c r="F3974" s="0" t="s">
        <v>2192</v>
      </c>
      <c r="G3974" s="0" t="s">
        <v>2195</v>
      </c>
      <c r="H3974" s="0" t="s">
        <v>2162</v>
      </c>
      <c r="I3974" s="0" t="s">
        <v>1685</v>
      </c>
      <c r="J3974" s="0" t="s">
        <v>2357</v>
      </c>
      <c r="K3974" s="272" t="n">
        <v>1</v>
      </c>
    </row>
    <row r="3975" customFormat="false" ht="15" hidden="false" customHeight="false" outlineLevel="0" collapsed="false">
      <c r="A3975" s="0" t="s">
        <v>2041</v>
      </c>
      <c r="B3975" s="0" t="s">
        <v>2042</v>
      </c>
      <c r="C3975" s="0" t="s">
        <v>2357</v>
      </c>
      <c r="D3975" s="0" t="s">
        <v>2105</v>
      </c>
      <c r="E3975" s="0" t="s">
        <v>2045</v>
      </c>
      <c r="F3975" s="0" t="s">
        <v>2192</v>
      </c>
      <c r="G3975" s="0" t="s">
        <v>2195</v>
      </c>
      <c r="H3975" s="0" t="s">
        <v>2162</v>
      </c>
      <c r="I3975" s="0" t="s">
        <v>2124</v>
      </c>
      <c r="J3975" s="0" t="s">
        <v>2357</v>
      </c>
      <c r="K3975" s="272" t="n">
        <v>3.83870967741936</v>
      </c>
    </row>
    <row r="3976" customFormat="false" ht="15" hidden="false" customHeight="false" outlineLevel="0" collapsed="false">
      <c r="A3976" s="0" t="s">
        <v>2041</v>
      </c>
      <c r="B3976" s="0" t="s">
        <v>2042</v>
      </c>
      <c r="C3976" s="0" t="s">
        <v>2357</v>
      </c>
      <c r="D3976" s="0" t="s">
        <v>2105</v>
      </c>
      <c r="E3976" s="0" t="s">
        <v>2045</v>
      </c>
      <c r="F3976" s="0" t="s">
        <v>2192</v>
      </c>
      <c r="G3976" s="0" t="s">
        <v>2196</v>
      </c>
      <c r="H3976" s="0" t="s">
        <v>2162</v>
      </c>
      <c r="I3976" s="0" t="s">
        <v>1685</v>
      </c>
      <c r="J3976" s="0" t="s">
        <v>2357</v>
      </c>
      <c r="K3976" s="272" t="n">
        <v>28.0967741935484</v>
      </c>
    </row>
    <row r="3977" customFormat="false" ht="15" hidden="false" customHeight="false" outlineLevel="0" collapsed="false">
      <c r="A3977" s="0" t="s">
        <v>2041</v>
      </c>
      <c r="B3977" s="0" t="s">
        <v>2042</v>
      </c>
      <c r="C3977" s="0" t="s">
        <v>2357</v>
      </c>
      <c r="D3977" s="0" t="s">
        <v>2105</v>
      </c>
      <c r="E3977" s="0" t="s">
        <v>2045</v>
      </c>
      <c r="F3977" s="0" t="s">
        <v>2192</v>
      </c>
      <c r="G3977" s="0" t="s">
        <v>2196</v>
      </c>
      <c r="H3977" s="0" t="s">
        <v>2162</v>
      </c>
      <c r="I3977" s="0" t="s">
        <v>2124</v>
      </c>
      <c r="J3977" s="0" t="s">
        <v>2357</v>
      </c>
      <c r="K3977" s="272" t="n">
        <v>3</v>
      </c>
    </row>
    <row r="3978" customFormat="false" ht="15" hidden="false" customHeight="false" outlineLevel="0" collapsed="false">
      <c r="A3978" s="0" t="s">
        <v>2041</v>
      </c>
      <c r="B3978" s="0" t="s">
        <v>2042</v>
      </c>
      <c r="C3978" s="0" t="s">
        <v>2357</v>
      </c>
      <c r="D3978" s="0" t="s">
        <v>2105</v>
      </c>
      <c r="E3978" s="0" t="s">
        <v>2045</v>
      </c>
      <c r="F3978" s="0" t="s">
        <v>2192</v>
      </c>
      <c r="G3978" s="0" t="s">
        <v>2196</v>
      </c>
      <c r="H3978" s="0" t="s">
        <v>2162</v>
      </c>
      <c r="I3978" s="0" t="s">
        <v>2197</v>
      </c>
      <c r="J3978" s="0" t="s">
        <v>2357</v>
      </c>
      <c r="K3978" s="272" t="n">
        <v>2</v>
      </c>
    </row>
    <row r="3979" customFormat="false" ht="15" hidden="false" customHeight="false" outlineLevel="0" collapsed="false">
      <c r="A3979" s="0" t="s">
        <v>2041</v>
      </c>
      <c r="B3979" s="0" t="s">
        <v>2042</v>
      </c>
      <c r="C3979" s="0" t="s">
        <v>2357</v>
      </c>
      <c r="D3979" s="0" t="s">
        <v>2105</v>
      </c>
      <c r="E3979" s="0" t="s">
        <v>2045</v>
      </c>
      <c r="F3979" s="0" t="s">
        <v>2198</v>
      </c>
      <c r="G3979" s="0" t="s">
        <v>2199</v>
      </c>
      <c r="H3979" s="0" t="s">
        <v>2200</v>
      </c>
      <c r="I3979" s="0" t="s">
        <v>1685</v>
      </c>
      <c r="J3979" s="0" t="s">
        <v>2357</v>
      </c>
      <c r="K3979" s="272" t="n">
        <v>35.558064516129</v>
      </c>
    </row>
    <row r="3980" customFormat="false" ht="15" hidden="false" customHeight="false" outlineLevel="0" collapsed="false">
      <c r="A3980" s="0" t="s">
        <v>2041</v>
      </c>
      <c r="B3980" s="0" t="s">
        <v>2042</v>
      </c>
      <c r="C3980" s="0" t="s">
        <v>2357</v>
      </c>
      <c r="D3980" s="0" t="s">
        <v>2105</v>
      </c>
      <c r="E3980" s="0" t="s">
        <v>2045</v>
      </c>
      <c r="F3980" s="0" t="s">
        <v>2198</v>
      </c>
      <c r="G3980" s="0" t="s">
        <v>2199</v>
      </c>
      <c r="H3980" s="0" t="s">
        <v>2200</v>
      </c>
      <c r="I3980" s="0" t="s">
        <v>2124</v>
      </c>
      <c r="J3980" s="0" t="s">
        <v>2357</v>
      </c>
      <c r="K3980" s="272" t="n">
        <v>4.04032258064516</v>
      </c>
    </row>
    <row r="3981" customFormat="false" ht="15" hidden="false" customHeight="false" outlineLevel="0" collapsed="false">
      <c r="A3981" s="0" t="s">
        <v>2041</v>
      </c>
      <c r="B3981" s="0" t="s">
        <v>2042</v>
      </c>
      <c r="C3981" s="0" t="s">
        <v>2357</v>
      </c>
      <c r="D3981" s="0" t="s">
        <v>2105</v>
      </c>
      <c r="E3981" s="0" t="s">
        <v>2045</v>
      </c>
      <c r="F3981" s="0" t="s">
        <v>2198</v>
      </c>
      <c r="G3981" s="0" t="s">
        <v>2199</v>
      </c>
      <c r="H3981" s="0" t="s">
        <v>2200</v>
      </c>
      <c r="I3981" s="0" t="s">
        <v>2201</v>
      </c>
      <c r="J3981" s="0" t="s">
        <v>2357</v>
      </c>
      <c r="K3981" s="272" t="n">
        <v>2</v>
      </c>
    </row>
    <row r="3982" customFormat="false" ht="15" hidden="false" customHeight="false" outlineLevel="0" collapsed="false">
      <c r="A3982" s="0" t="s">
        <v>2041</v>
      </c>
      <c r="B3982" s="0" t="s">
        <v>2042</v>
      </c>
      <c r="C3982" s="0" t="s">
        <v>2357</v>
      </c>
      <c r="D3982" s="0" t="s">
        <v>2105</v>
      </c>
      <c r="E3982" s="0" t="s">
        <v>2045</v>
      </c>
      <c r="F3982" s="0" t="s">
        <v>2198</v>
      </c>
      <c r="G3982" s="0" t="s">
        <v>2199</v>
      </c>
      <c r="H3982" s="0" t="s">
        <v>2202</v>
      </c>
      <c r="I3982" s="0" t="s">
        <v>1685</v>
      </c>
      <c r="J3982" s="0" t="s">
        <v>2357</v>
      </c>
      <c r="K3982" s="272" t="n">
        <v>4.53225806451613</v>
      </c>
    </row>
    <row r="3983" customFormat="false" ht="15" hidden="false" customHeight="false" outlineLevel="0" collapsed="false">
      <c r="A3983" s="0" t="s">
        <v>2041</v>
      </c>
      <c r="B3983" s="0" t="s">
        <v>2042</v>
      </c>
      <c r="C3983" s="0" t="s">
        <v>2357</v>
      </c>
      <c r="D3983" s="0" t="s">
        <v>2105</v>
      </c>
      <c r="E3983" s="0" t="s">
        <v>2045</v>
      </c>
      <c r="F3983" s="0" t="s">
        <v>2198</v>
      </c>
      <c r="G3983" s="0" t="s">
        <v>2199</v>
      </c>
      <c r="H3983" s="0" t="s">
        <v>2202</v>
      </c>
      <c r="I3983" s="0" t="s">
        <v>2124</v>
      </c>
      <c r="J3983" s="0" t="s">
        <v>2357</v>
      </c>
      <c r="K3983" s="272" t="n">
        <v>1.04032258064516</v>
      </c>
    </row>
    <row r="3984" customFormat="false" ht="15" hidden="false" customHeight="false" outlineLevel="0" collapsed="false">
      <c r="A3984" s="0" t="s">
        <v>2041</v>
      </c>
      <c r="B3984" s="0" t="s">
        <v>2042</v>
      </c>
      <c r="C3984" s="0" t="s">
        <v>2357</v>
      </c>
      <c r="D3984" s="0" t="s">
        <v>2105</v>
      </c>
      <c r="E3984" s="0" t="s">
        <v>2045</v>
      </c>
      <c r="F3984" s="0" t="s">
        <v>2198</v>
      </c>
      <c r="G3984" s="0" t="s">
        <v>2199</v>
      </c>
      <c r="H3984" s="0" t="s">
        <v>2203</v>
      </c>
      <c r="I3984" s="0" t="s">
        <v>1685</v>
      </c>
      <c r="J3984" s="0" t="s">
        <v>2357</v>
      </c>
      <c r="K3984" s="272" t="n">
        <v>22.4032258064516</v>
      </c>
    </row>
    <row r="3985" customFormat="false" ht="15" hidden="false" customHeight="false" outlineLevel="0" collapsed="false">
      <c r="A3985" s="0" t="s">
        <v>2041</v>
      </c>
      <c r="B3985" s="0" t="s">
        <v>2042</v>
      </c>
      <c r="C3985" s="0" t="s">
        <v>2357</v>
      </c>
      <c r="D3985" s="0" t="s">
        <v>2105</v>
      </c>
      <c r="E3985" s="0" t="s">
        <v>2045</v>
      </c>
      <c r="F3985" s="0" t="s">
        <v>2198</v>
      </c>
      <c r="G3985" s="0" t="s">
        <v>2199</v>
      </c>
      <c r="H3985" s="0" t="s">
        <v>2203</v>
      </c>
      <c r="I3985" s="0" t="s">
        <v>2124</v>
      </c>
      <c r="J3985" s="0" t="s">
        <v>2357</v>
      </c>
      <c r="K3985" s="272" t="n">
        <v>5.08064516129032</v>
      </c>
    </row>
    <row r="3986" customFormat="false" ht="15" hidden="false" customHeight="false" outlineLevel="0" collapsed="false">
      <c r="A3986" s="0" t="s">
        <v>2041</v>
      </c>
      <c r="B3986" s="0" t="s">
        <v>2042</v>
      </c>
      <c r="C3986" s="0" t="s">
        <v>2357</v>
      </c>
      <c r="D3986" s="0" t="s">
        <v>2105</v>
      </c>
      <c r="E3986" s="0" t="s">
        <v>2045</v>
      </c>
      <c r="F3986" s="0" t="s">
        <v>2204</v>
      </c>
      <c r="G3986" s="0" t="s">
        <v>2205</v>
      </c>
      <c r="H3986" s="0" t="s">
        <v>2206</v>
      </c>
      <c r="I3986" s="0" t="s">
        <v>1685</v>
      </c>
      <c r="J3986" s="0" t="s">
        <v>2357</v>
      </c>
      <c r="K3986" s="272" t="n">
        <v>0.5</v>
      </c>
    </row>
    <row r="3987" customFormat="false" ht="15" hidden="false" customHeight="false" outlineLevel="0" collapsed="false">
      <c r="A3987" s="0" t="s">
        <v>2041</v>
      </c>
      <c r="B3987" s="0" t="s">
        <v>2042</v>
      </c>
      <c r="C3987" s="0" t="s">
        <v>2357</v>
      </c>
      <c r="D3987" s="0" t="s">
        <v>2105</v>
      </c>
      <c r="E3987" s="0" t="s">
        <v>2045</v>
      </c>
      <c r="F3987" s="0" t="s">
        <v>2204</v>
      </c>
      <c r="G3987" s="0" t="s">
        <v>2205</v>
      </c>
      <c r="H3987" s="0" t="s">
        <v>2207</v>
      </c>
      <c r="I3987" s="0" t="s">
        <v>1685</v>
      </c>
      <c r="J3987" s="0" t="s">
        <v>2357</v>
      </c>
      <c r="K3987" s="272" t="n">
        <v>0.5</v>
      </c>
    </row>
    <row r="3988" customFormat="false" ht="15" hidden="false" customHeight="false" outlineLevel="0" collapsed="false">
      <c r="A3988" s="0" t="s">
        <v>2041</v>
      </c>
      <c r="B3988" s="0" t="s">
        <v>2042</v>
      </c>
      <c r="C3988" s="0" t="s">
        <v>2357</v>
      </c>
      <c r="D3988" s="0" t="s">
        <v>2105</v>
      </c>
      <c r="E3988" s="0" t="s">
        <v>2045</v>
      </c>
      <c r="F3988" s="0" t="s">
        <v>2204</v>
      </c>
      <c r="G3988" s="0" t="s">
        <v>2205</v>
      </c>
      <c r="H3988" s="0" t="s">
        <v>2208</v>
      </c>
      <c r="I3988" s="0" t="s">
        <v>1685</v>
      </c>
      <c r="J3988" s="0" t="s">
        <v>2357</v>
      </c>
      <c r="K3988" s="272" t="n">
        <v>1</v>
      </c>
    </row>
    <row r="3989" customFormat="false" ht="15" hidden="false" customHeight="false" outlineLevel="0" collapsed="false">
      <c r="A3989" s="0" t="s">
        <v>2041</v>
      </c>
      <c r="B3989" s="0" t="s">
        <v>2042</v>
      </c>
      <c r="C3989" s="0" t="s">
        <v>2357</v>
      </c>
      <c r="D3989" s="0" t="s">
        <v>2105</v>
      </c>
      <c r="E3989" s="0" t="s">
        <v>2045</v>
      </c>
      <c r="F3989" s="0" t="s">
        <v>2204</v>
      </c>
      <c r="G3989" s="0" t="s">
        <v>2209</v>
      </c>
      <c r="H3989" s="0" t="s">
        <v>2207</v>
      </c>
      <c r="I3989" s="0" t="s">
        <v>1685</v>
      </c>
      <c r="J3989" s="0" t="s">
        <v>2357</v>
      </c>
      <c r="K3989" s="272" t="n">
        <v>2</v>
      </c>
    </row>
    <row r="3990" customFormat="false" ht="15" hidden="false" customHeight="false" outlineLevel="0" collapsed="false">
      <c r="A3990" s="0" t="s">
        <v>2041</v>
      </c>
      <c r="B3990" s="0" t="s">
        <v>2042</v>
      </c>
      <c r="C3990" s="0" t="s">
        <v>2357</v>
      </c>
      <c r="D3990" s="0" t="s">
        <v>2105</v>
      </c>
      <c r="E3990" s="0" t="s">
        <v>2045</v>
      </c>
      <c r="F3990" s="0" t="s">
        <v>2204</v>
      </c>
      <c r="G3990" s="0" t="s">
        <v>2210</v>
      </c>
      <c r="H3990" s="0" t="s">
        <v>2211</v>
      </c>
      <c r="I3990" s="0" t="s">
        <v>1685</v>
      </c>
      <c r="J3990" s="0" t="s">
        <v>2357</v>
      </c>
      <c r="K3990" s="272" t="n">
        <v>4</v>
      </c>
    </row>
    <row r="3991" customFormat="false" ht="15" hidden="false" customHeight="false" outlineLevel="0" collapsed="false">
      <c r="A3991" s="0" t="s">
        <v>2041</v>
      </c>
      <c r="B3991" s="0" t="s">
        <v>2042</v>
      </c>
      <c r="C3991" s="0" t="s">
        <v>2357</v>
      </c>
      <c r="D3991" s="0" t="s">
        <v>2105</v>
      </c>
      <c r="E3991" s="0" t="s">
        <v>2045</v>
      </c>
      <c r="F3991" s="0" t="s">
        <v>2204</v>
      </c>
      <c r="G3991" s="0" t="s">
        <v>2210</v>
      </c>
      <c r="H3991" s="0" t="s">
        <v>2211</v>
      </c>
      <c r="I3991" s="0" t="s">
        <v>2167</v>
      </c>
      <c r="J3991" s="0" t="s">
        <v>2357</v>
      </c>
      <c r="K3991" s="272" t="n">
        <v>1</v>
      </c>
    </row>
    <row r="3992" customFormat="false" ht="15" hidden="false" customHeight="false" outlineLevel="0" collapsed="false">
      <c r="A3992" s="0" t="s">
        <v>2041</v>
      </c>
      <c r="B3992" s="0" t="s">
        <v>2042</v>
      </c>
      <c r="C3992" s="0" t="s">
        <v>2357</v>
      </c>
      <c r="D3992" s="0" t="s">
        <v>2105</v>
      </c>
      <c r="E3992" s="0" t="s">
        <v>2045</v>
      </c>
      <c r="F3992" s="0" t="s">
        <v>2204</v>
      </c>
      <c r="G3992" s="0" t="s">
        <v>2212</v>
      </c>
      <c r="H3992" s="0" t="s">
        <v>2213</v>
      </c>
      <c r="I3992" s="0" t="s">
        <v>1685</v>
      </c>
      <c r="J3992" s="0" t="s">
        <v>2357</v>
      </c>
      <c r="K3992" s="272" t="n">
        <v>1.5</v>
      </c>
    </row>
    <row r="3993" customFormat="false" ht="15" hidden="false" customHeight="false" outlineLevel="0" collapsed="false">
      <c r="A3993" s="0" t="s">
        <v>2041</v>
      </c>
      <c r="B3993" s="0" t="s">
        <v>2042</v>
      </c>
      <c r="C3993" s="0" t="s">
        <v>2357</v>
      </c>
      <c r="D3993" s="0" t="s">
        <v>2105</v>
      </c>
      <c r="E3993" s="0" t="s">
        <v>2045</v>
      </c>
      <c r="F3993" s="0" t="s">
        <v>2204</v>
      </c>
      <c r="G3993" s="0" t="s">
        <v>2212</v>
      </c>
      <c r="H3993" s="0" t="s">
        <v>2206</v>
      </c>
      <c r="I3993" s="0" t="s">
        <v>1685</v>
      </c>
      <c r="J3993" s="0" t="s">
        <v>2357</v>
      </c>
      <c r="K3993" s="272" t="n">
        <v>1.5</v>
      </c>
    </row>
    <row r="3994" customFormat="false" ht="15" hidden="false" customHeight="false" outlineLevel="0" collapsed="false">
      <c r="A3994" s="0" t="s">
        <v>2041</v>
      </c>
      <c r="B3994" s="0" t="s">
        <v>2042</v>
      </c>
      <c r="C3994" s="0" t="s">
        <v>2357</v>
      </c>
      <c r="D3994" s="0" t="s">
        <v>2105</v>
      </c>
      <c r="E3994" s="0" t="s">
        <v>2045</v>
      </c>
      <c r="F3994" s="0" t="s">
        <v>2204</v>
      </c>
      <c r="G3994" s="0" t="s">
        <v>2212</v>
      </c>
      <c r="H3994" s="0" t="s">
        <v>2208</v>
      </c>
      <c r="I3994" s="0" t="s">
        <v>1685</v>
      </c>
      <c r="J3994" s="0" t="s">
        <v>2357</v>
      </c>
      <c r="K3994" s="272" t="n">
        <v>1</v>
      </c>
    </row>
    <row r="3995" customFormat="false" ht="15" hidden="false" customHeight="false" outlineLevel="0" collapsed="false">
      <c r="A3995" s="0" t="s">
        <v>2041</v>
      </c>
      <c r="B3995" s="0" t="s">
        <v>2042</v>
      </c>
      <c r="C3995" s="0" t="s">
        <v>2357</v>
      </c>
      <c r="D3995" s="0" t="s">
        <v>2105</v>
      </c>
      <c r="E3995" s="0" t="s">
        <v>2045</v>
      </c>
      <c r="F3995" s="0" t="s">
        <v>2204</v>
      </c>
      <c r="G3995" s="0" t="s">
        <v>2212</v>
      </c>
      <c r="H3995" s="0" t="s">
        <v>2208</v>
      </c>
      <c r="I3995" s="0" t="s">
        <v>2124</v>
      </c>
      <c r="J3995" s="0" t="s">
        <v>2357</v>
      </c>
      <c r="K3995" s="272" t="n">
        <v>4</v>
      </c>
    </row>
    <row r="3996" customFormat="false" ht="15" hidden="false" customHeight="false" outlineLevel="0" collapsed="false">
      <c r="A3996" s="0" t="s">
        <v>2041</v>
      </c>
      <c r="B3996" s="0" t="s">
        <v>2042</v>
      </c>
      <c r="C3996" s="0" t="s">
        <v>2357</v>
      </c>
      <c r="D3996" s="0" t="s">
        <v>2105</v>
      </c>
      <c r="E3996" s="0" t="s">
        <v>2045</v>
      </c>
      <c r="F3996" s="0" t="s">
        <v>2204</v>
      </c>
      <c r="G3996" s="0" t="s">
        <v>2214</v>
      </c>
      <c r="H3996" s="0" t="s">
        <v>2206</v>
      </c>
      <c r="I3996" s="0" t="s">
        <v>1685</v>
      </c>
      <c r="J3996" s="0" t="s">
        <v>2357</v>
      </c>
      <c r="K3996" s="272" t="n">
        <v>0.72</v>
      </c>
    </row>
    <row r="3997" customFormat="false" ht="15" hidden="false" customHeight="false" outlineLevel="0" collapsed="false">
      <c r="A3997" s="0" t="s">
        <v>2041</v>
      </c>
      <c r="B3997" s="0" t="s">
        <v>2042</v>
      </c>
      <c r="C3997" s="0" t="s">
        <v>2357</v>
      </c>
      <c r="D3997" s="0" t="s">
        <v>2105</v>
      </c>
      <c r="E3997" s="0" t="s">
        <v>2045</v>
      </c>
      <c r="F3997" s="0" t="s">
        <v>2204</v>
      </c>
      <c r="G3997" s="0" t="s">
        <v>2214</v>
      </c>
      <c r="H3997" s="0" t="s">
        <v>2208</v>
      </c>
      <c r="I3997" s="0" t="s">
        <v>1685</v>
      </c>
      <c r="J3997" s="0" t="s">
        <v>2357</v>
      </c>
      <c r="K3997" s="272" t="n">
        <v>0.72</v>
      </c>
    </row>
    <row r="3998" customFormat="false" ht="15" hidden="false" customHeight="false" outlineLevel="0" collapsed="false">
      <c r="A3998" s="0" t="s">
        <v>2041</v>
      </c>
      <c r="B3998" s="0" t="s">
        <v>2042</v>
      </c>
      <c r="C3998" s="0" t="s">
        <v>2357</v>
      </c>
      <c r="D3998" s="0" t="s">
        <v>2105</v>
      </c>
      <c r="E3998" s="0" t="s">
        <v>2045</v>
      </c>
      <c r="F3998" s="0" t="s">
        <v>2051</v>
      </c>
      <c r="G3998" s="0" t="s">
        <v>2106</v>
      </c>
      <c r="H3998" s="0" t="s">
        <v>2107</v>
      </c>
      <c r="I3998" s="0" t="s">
        <v>1685</v>
      </c>
      <c r="J3998" s="0" t="s">
        <v>2357</v>
      </c>
      <c r="K3998" s="272" t="n">
        <v>3</v>
      </c>
    </row>
    <row r="3999" customFormat="false" ht="15" hidden="false" customHeight="false" outlineLevel="0" collapsed="false">
      <c r="A3999" s="0" t="s">
        <v>2041</v>
      </c>
      <c r="B3999" s="0" t="s">
        <v>2042</v>
      </c>
      <c r="C3999" s="0" t="s">
        <v>2357</v>
      </c>
      <c r="D3999" s="0" t="s">
        <v>2105</v>
      </c>
      <c r="E3999" s="0" t="s">
        <v>2045</v>
      </c>
      <c r="F3999" s="0" t="s">
        <v>2051</v>
      </c>
      <c r="G3999" s="0" t="s">
        <v>2106</v>
      </c>
      <c r="H3999" s="0" t="s">
        <v>2107</v>
      </c>
      <c r="I3999" s="0" t="s">
        <v>2124</v>
      </c>
      <c r="J3999" s="0" t="s">
        <v>2357</v>
      </c>
      <c r="K3999" s="272" t="n">
        <v>1</v>
      </c>
    </row>
    <row r="4000" customFormat="false" ht="15" hidden="false" customHeight="false" outlineLevel="0" collapsed="false">
      <c r="A4000" s="0" t="s">
        <v>2041</v>
      </c>
      <c r="B4000" s="0" t="s">
        <v>2042</v>
      </c>
      <c r="C4000" s="0" t="s">
        <v>2357</v>
      </c>
      <c r="D4000" s="0" t="s">
        <v>2105</v>
      </c>
      <c r="E4000" s="0" t="s">
        <v>2045</v>
      </c>
      <c r="F4000" s="0" t="s">
        <v>2051</v>
      </c>
      <c r="G4000" s="0" t="s">
        <v>2110</v>
      </c>
      <c r="H4000" s="0" t="s">
        <v>2115</v>
      </c>
      <c r="I4000" s="0" t="s">
        <v>1685</v>
      </c>
      <c r="J4000" s="0" t="s">
        <v>2357</v>
      </c>
      <c r="K4000" s="272" t="n">
        <v>0.44</v>
      </c>
    </row>
    <row r="4001" customFormat="false" ht="15" hidden="false" customHeight="false" outlineLevel="0" collapsed="false">
      <c r="A4001" s="0" t="s">
        <v>2041</v>
      </c>
      <c r="B4001" s="0" t="s">
        <v>2042</v>
      </c>
      <c r="C4001" s="0" t="s">
        <v>2357</v>
      </c>
      <c r="D4001" s="0" t="s">
        <v>2105</v>
      </c>
      <c r="E4001" s="0" t="s">
        <v>2045</v>
      </c>
      <c r="F4001" s="0" t="s">
        <v>2051</v>
      </c>
      <c r="G4001" s="0" t="s">
        <v>2110</v>
      </c>
      <c r="H4001" s="0" t="s">
        <v>2111</v>
      </c>
      <c r="I4001" s="0" t="s">
        <v>1685</v>
      </c>
      <c r="J4001" s="0" t="s">
        <v>2357</v>
      </c>
      <c r="K4001" s="272" t="n">
        <v>2.7</v>
      </c>
    </row>
    <row r="4002" customFormat="false" ht="15" hidden="false" customHeight="false" outlineLevel="0" collapsed="false">
      <c r="A4002" s="0" t="s">
        <v>2041</v>
      </c>
      <c r="B4002" s="0" t="s">
        <v>2042</v>
      </c>
      <c r="C4002" s="0" t="s">
        <v>2357</v>
      </c>
      <c r="D4002" s="0" t="s">
        <v>2105</v>
      </c>
      <c r="E4002" s="0" t="s">
        <v>2045</v>
      </c>
      <c r="F4002" s="0" t="s">
        <v>2051</v>
      </c>
      <c r="G4002" s="0" t="s">
        <v>2110</v>
      </c>
      <c r="H4002" s="0" t="s">
        <v>2119</v>
      </c>
      <c r="I4002" s="0" t="s">
        <v>1685</v>
      </c>
      <c r="J4002" s="0" t="s">
        <v>2357</v>
      </c>
      <c r="K4002" s="272" t="n">
        <v>0.17</v>
      </c>
    </row>
    <row r="4003" customFormat="false" ht="15" hidden="false" customHeight="false" outlineLevel="0" collapsed="false">
      <c r="A4003" s="0" t="s">
        <v>2041</v>
      </c>
      <c r="B4003" s="0" t="s">
        <v>2042</v>
      </c>
      <c r="C4003" s="0" t="s">
        <v>2357</v>
      </c>
      <c r="D4003" s="0" t="s">
        <v>2105</v>
      </c>
      <c r="E4003" s="0" t="s">
        <v>2045</v>
      </c>
      <c r="F4003" s="0" t="s">
        <v>2051</v>
      </c>
      <c r="G4003" s="0" t="s">
        <v>2110</v>
      </c>
      <c r="H4003" s="0" t="s">
        <v>2120</v>
      </c>
      <c r="I4003" s="0" t="s">
        <v>1685</v>
      </c>
      <c r="J4003" s="0" t="s">
        <v>2357</v>
      </c>
      <c r="K4003" s="272" t="n">
        <v>0.29</v>
      </c>
    </row>
    <row r="4004" customFormat="false" ht="15" hidden="false" customHeight="false" outlineLevel="0" collapsed="false">
      <c r="A4004" s="0" t="s">
        <v>2041</v>
      </c>
      <c r="B4004" s="0" t="s">
        <v>2042</v>
      </c>
      <c r="C4004" s="0" t="s">
        <v>2357</v>
      </c>
      <c r="D4004" s="0" t="s">
        <v>2105</v>
      </c>
      <c r="E4004" s="0" t="s">
        <v>2045</v>
      </c>
      <c r="F4004" s="0" t="s">
        <v>2051</v>
      </c>
      <c r="G4004" s="0" t="s">
        <v>2110</v>
      </c>
      <c r="H4004" s="0" t="s">
        <v>2121</v>
      </c>
      <c r="I4004" s="0" t="s">
        <v>1685</v>
      </c>
      <c r="J4004" s="0" t="s">
        <v>2357</v>
      </c>
      <c r="K4004" s="272" t="n">
        <v>0.2</v>
      </c>
    </row>
    <row r="4005" customFormat="false" ht="15" hidden="false" customHeight="false" outlineLevel="0" collapsed="false">
      <c r="A4005" s="0" t="s">
        <v>2041</v>
      </c>
      <c r="B4005" s="0" t="s">
        <v>2042</v>
      </c>
      <c r="C4005" s="0" t="s">
        <v>2357</v>
      </c>
      <c r="D4005" s="0" t="s">
        <v>2105</v>
      </c>
      <c r="E4005" s="0" t="s">
        <v>2045</v>
      </c>
      <c r="F4005" s="0" t="s">
        <v>2051</v>
      </c>
      <c r="G4005" s="0" t="s">
        <v>2110</v>
      </c>
      <c r="H4005" s="0" t="s">
        <v>2122</v>
      </c>
      <c r="I4005" s="0" t="s">
        <v>1685</v>
      </c>
      <c r="J4005" s="0" t="s">
        <v>2357</v>
      </c>
      <c r="K4005" s="272" t="n">
        <v>0.29</v>
      </c>
    </row>
    <row r="4006" customFormat="false" ht="15" hidden="false" customHeight="false" outlineLevel="0" collapsed="false">
      <c r="A4006" s="0" t="s">
        <v>2041</v>
      </c>
      <c r="B4006" s="0" t="s">
        <v>2042</v>
      </c>
      <c r="C4006" s="0" t="s">
        <v>2357</v>
      </c>
      <c r="D4006" s="0" t="s">
        <v>2105</v>
      </c>
      <c r="E4006" s="0" t="s">
        <v>2045</v>
      </c>
      <c r="F4006" s="0" t="s">
        <v>2051</v>
      </c>
      <c r="G4006" s="0" t="s">
        <v>2110</v>
      </c>
      <c r="H4006" s="0" t="s">
        <v>2112</v>
      </c>
      <c r="I4006" s="0" t="s">
        <v>1685</v>
      </c>
      <c r="J4006" s="0" t="s">
        <v>2357</v>
      </c>
      <c r="K4006" s="272" t="n">
        <v>5.59</v>
      </c>
    </row>
    <row r="4007" customFormat="false" ht="15" hidden="false" customHeight="false" outlineLevel="0" collapsed="false">
      <c r="A4007" s="0" t="s">
        <v>2041</v>
      </c>
      <c r="B4007" s="0" t="s">
        <v>2042</v>
      </c>
      <c r="C4007" s="0" t="s">
        <v>2357</v>
      </c>
      <c r="D4007" s="0" t="s">
        <v>2105</v>
      </c>
      <c r="E4007" s="0" t="s">
        <v>2045</v>
      </c>
      <c r="F4007" s="0" t="s">
        <v>2051</v>
      </c>
      <c r="G4007" s="0" t="s">
        <v>2110</v>
      </c>
      <c r="H4007" s="0" t="s">
        <v>2113</v>
      </c>
      <c r="I4007" s="0" t="s">
        <v>1685</v>
      </c>
      <c r="J4007" s="0" t="s">
        <v>2357</v>
      </c>
      <c r="K4007" s="272" t="n">
        <v>15.32</v>
      </c>
    </row>
    <row r="4008" customFormat="false" ht="15" hidden="false" customHeight="false" outlineLevel="0" collapsed="false">
      <c r="A4008" s="0" t="s">
        <v>2041</v>
      </c>
      <c r="B4008" s="0" t="s">
        <v>2042</v>
      </c>
      <c r="C4008" s="0" t="s">
        <v>2357</v>
      </c>
      <c r="D4008" s="0" t="s">
        <v>2105</v>
      </c>
      <c r="E4008" s="0" t="s">
        <v>2045</v>
      </c>
      <c r="F4008" s="0" t="s">
        <v>2051</v>
      </c>
      <c r="G4008" s="0" t="s">
        <v>2110</v>
      </c>
      <c r="H4008" s="0" t="s">
        <v>2107</v>
      </c>
      <c r="I4008" s="0" t="s">
        <v>1685</v>
      </c>
      <c r="J4008" s="0" t="s">
        <v>2357</v>
      </c>
      <c r="K4008" s="272" t="n">
        <v>4</v>
      </c>
    </row>
    <row r="4009" customFormat="false" ht="15" hidden="false" customHeight="false" outlineLevel="0" collapsed="false">
      <c r="A4009" s="0" t="s">
        <v>2041</v>
      </c>
      <c r="B4009" s="0" t="s">
        <v>2042</v>
      </c>
      <c r="C4009" s="0" t="s">
        <v>2357</v>
      </c>
      <c r="D4009" s="0" t="s">
        <v>2105</v>
      </c>
      <c r="E4009" s="0" t="s">
        <v>2045</v>
      </c>
      <c r="F4009" s="0" t="s">
        <v>2051</v>
      </c>
      <c r="G4009" s="0" t="s">
        <v>2114</v>
      </c>
      <c r="H4009" s="0" t="s">
        <v>2115</v>
      </c>
      <c r="I4009" s="0" t="s">
        <v>1685</v>
      </c>
      <c r="J4009" s="0" t="s">
        <v>2357</v>
      </c>
      <c r="K4009" s="272" t="n">
        <v>7.5</v>
      </c>
    </row>
    <row r="4010" customFormat="false" ht="15" hidden="false" customHeight="false" outlineLevel="0" collapsed="false">
      <c r="A4010" s="0" t="s">
        <v>2041</v>
      </c>
      <c r="B4010" s="0" t="s">
        <v>2042</v>
      </c>
      <c r="C4010" s="0" t="s">
        <v>2357</v>
      </c>
      <c r="D4010" s="0" t="s">
        <v>2105</v>
      </c>
      <c r="E4010" s="0" t="s">
        <v>2045</v>
      </c>
      <c r="F4010" s="0" t="s">
        <v>2051</v>
      </c>
      <c r="G4010" s="0" t="s">
        <v>2114</v>
      </c>
      <c r="H4010" s="0" t="s">
        <v>2116</v>
      </c>
      <c r="I4010" s="0" t="s">
        <v>1685</v>
      </c>
      <c r="J4010" s="0" t="s">
        <v>2357</v>
      </c>
      <c r="K4010" s="272" t="n">
        <v>0.7</v>
      </c>
    </row>
    <row r="4011" customFormat="false" ht="15" hidden="false" customHeight="false" outlineLevel="0" collapsed="false">
      <c r="A4011" s="0" t="s">
        <v>2041</v>
      </c>
      <c r="B4011" s="0" t="s">
        <v>2042</v>
      </c>
      <c r="C4011" s="0" t="s">
        <v>2357</v>
      </c>
      <c r="D4011" s="0" t="s">
        <v>2105</v>
      </c>
      <c r="E4011" s="0" t="s">
        <v>2045</v>
      </c>
      <c r="F4011" s="0" t="s">
        <v>2051</v>
      </c>
      <c r="G4011" s="0" t="s">
        <v>2114</v>
      </c>
      <c r="H4011" s="0" t="s">
        <v>2117</v>
      </c>
      <c r="I4011" s="0" t="s">
        <v>1685</v>
      </c>
      <c r="J4011" s="0" t="s">
        <v>2357</v>
      </c>
      <c r="K4011" s="272" t="n">
        <v>0.3</v>
      </c>
    </row>
    <row r="4012" customFormat="false" ht="15" hidden="false" customHeight="false" outlineLevel="0" collapsed="false">
      <c r="A4012" s="0" t="s">
        <v>2041</v>
      </c>
      <c r="B4012" s="0" t="s">
        <v>2042</v>
      </c>
      <c r="C4012" s="0" t="s">
        <v>2357</v>
      </c>
      <c r="D4012" s="0" t="s">
        <v>2105</v>
      </c>
      <c r="E4012" s="0" t="s">
        <v>2045</v>
      </c>
      <c r="F4012" s="0" t="s">
        <v>2051</v>
      </c>
      <c r="G4012" s="0" t="s">
        <v>2114</v>
      </c>
      <c r="H4012" s="0" t="s">
        <v>2118</v>
      </c>
      <c r="I4012" s="0" t="s">
        <v>1685</v>
      </c>
      <c r="J4012" s="0" t="s">
        <v>2357</v>
      </c>
      <c r="K4012" s="272" t="n">
        <v>1</v>
      </c>
    </row>
    <row r="4013" customFormat="false" ht="15" hidden="false" customHeight="false" outlineLevel="0" collapsed="false">
      <c r="A4013" s="0" t="s">
        <v>2041</v>
      </c>
      <c r="B4013" s="0" t="s">
        <v>2042</v>
      </c>
      <c r="C4013" s="0" t="s">
        <v>2357</v>
      </c>
      <c r="D4013" s="0" t="s">
        <v>2105</v>
      </c>
      <c r="E4013" s="0" t="s">
        <v>2045</v>
      </c>
      <c r="F4013" s="0" t="s">
        <v>2051</v>
      </c>
      <c r="G4013" s="0" t="s">
        <v>2114</v>
      </c>
      <c r="H4013" s="0" t="s">
        <v>2119</v>
      </c>
      <c r="I4013" s="0" t="s">
        <v>1685</v>
      </c>
      <c r="J4013" s="0" t="s">
        <v>2357</v>
      </c>
      <c r="K4013" s="272" t="n">
        <v>2.1</v>
      </c>
    </row>
    <row r="4014" customFormat="false" ht="15" hidden="false" customHeight="false" outlineLevel="0" collapsed="false">
      <c r="A4014" s="0" t="s">
        <v>2041</v>
      </c>
      <c r="B4014" s="0" t="s">
        <v>2042</v>
      </c>
      <c r="C4014" s="0" t="s">
        <v>2357</v>
      </c>
      <c r="D4014" s="0" t="s">
        <v>2105</v>
      </c>
      <c r="E4014" s="0" t="s">
        <v>2045</v>
      </c>
      <c r="F4014" s="0" t="s">
        <v>2051</v>
      </c>
      <c r="G4014" s="0" t="s">
        <v>2114</v>
      </c>
      <c r="H4014" s="0" t="s">
        <v>2120</v>
      </c>
      <c r="I4014" s="0" t="s">
        <v>1685</v>
      </c>
      <c r="J4014" s="0" t="s">
        <v>2357</v>
      </c>
      <c r="K4014" s="272" t="n">
        <v>3</v>
      </c>
    </row>
    <row r="4015" customFormat="false" ht="15" hidden="false" customHeight="false" outlineLevel="0" collapsed="false">
      <c r="A4015" s="0" t="s">
        <v>2041</v>
      </c>
      <c r="B4015" s="0" t="s">
        <v>2042</v>
      </c>
      <c r="C4015" s="0" t="s">
        <v>2357</v>
      </c>
      <c r="D4015" s="0" t="s">
        <v>2105</v>
      </c>
      <c r="E4015" s="0" t="s">
        <v>2045</v>
      </c>
      <c r="F4015" s="0" t="s">
        <v>2051</v>
      </c>
      <c r="G4015" s="0" t="s">
        <v>2114</v>
      </c>
      <c r="H4015" s="0" t="s">
        <v>2121</v>
      </c>
      <c r="I4015" s="0" t="s">
        <v>1685</v>
      </c>
      <c r="J4015" s="0" t="s">
        <v>2357</v>
      </c>
      <c r="K4015" s="272" t="n">
        <v>1</v>
      </c>
    </row>
    <row r="4016" customFormat="false" ht="15" hidden="false" customHeight="false" outlineLevel="0" collapsed="false">
      <c r="A4016" s="0" t="s">
        <v>2041</v>
      </c>
      <c r="B4016" s="0" t="s">
        <v>2042</v>
      </c>
      <c r="C4016" s="0" t="s">
        <v>2357</v>
      </c>
      <c r="D4016" s="0" t="s">
        <v>2105</v>
      </c>
      <c r="E4016" s="0" t="s">
        <v>2045</v>
      </c>
      <c r="F4016" s="0" t="s">
        <v>2051</v>
      </c>
      <c r="G4016" s="0" t="s">
        <v>2114</v>
      </c>
      <c r="H4016" s="0" t="s">
        <v>2122</v>
      </c>
      <c r="I4016" s="0" t="s">
        <v>1685</v>
      </c>
      <c r="J4016" s="0" t="s">
        <v>2357</v>
      </c>
      <c r="K4016" s="272" t="n">
        <v>4.1</v>
      </c>
    </row>
    <row r="4017" customFormat="false" ht="15" hidden="false" customHeight="false" outlineLevel="0" collapsed="false">
      <c r="A4017" s="0" t="s">
        <v>2041</v>
      </c>
      <c r="B4017" s="0" t="s">
        <v>2042</v>
      </c>
      <c r="C4017" s="0" t="s">
        <v>2357</v>
      </c>
      <c r="D4017" s="0" t="s">
        <v>2105</v>
      </c>
      <c r="E4017" s="0" t="s">
        <v>2045</v>
      </c>
      <c r="F4017" s="0" t="s">
        <v>2051</v>
      </c>
      <c r="G4017" s="0" t="s">
        <v>2114</v>
      </c>
      <c r="H4017" s="0" t="s">
        <v>2112</v>
      </c>
      <c r="I4017" s="0" t="s">
        <v>1685</v>
      </c>
      <c r="J4017" s="0" t="s">
        <v>2357</v>
      </c>
      <c r="K4017" s="272" t="n">
        <v>0.999999999999999</v>
      </c>
    </row>
    <row r="4018" customFormat="false" ht="15" hidden="false" customHeight="false" outlineLevel="0" collapsed="false">
      <c r="A4018" s="0" t="s">
        <v>2041</v>
      </c>
      <c r="B4018" s="0" t="s">
        <v>2042</v>
      </c>
      <c r="C4018" s="0" t="s">
        <v>2357</v>
      </c>
      <c r="D4018" s="0" t="s">
        <v>2105</v>
      </c>
      <c r="E4018" s="0" t="s">
        <v>2045</v>
      </c>
      <c r="F4018" s="0" t="s">
        <v>2051</v>
      </c>
      <c r="G4018" s="0" t="s">
        <v>2114</v>
      </c>
      <c r="H4018" s="0" t="s">
        <v>2113</v>
      </c>
      <c r="I4018" s="0" t="s">
        <v>1685</v>
      </c>
      <c r="J4018" s="0" t="s">
        <v>2357</v>
      </c>
      <c r="K4018" s="272" t="n">
        <v>1.3</v>
      </c>
    </row>
    <row r="4019" customFormat="false" ht="15" hidden="false" customHeight="false" outlineLevel="0" collapsed="false">
      <c r="A4019" s="0" t="s">
        <v>2041</v>
      </c>
      <c r="B4019" s="0" t="s">
        <v>2042</v>
      </c>
      <c r="C4019" s="0" t="s">
        <v>2357</v>
      </c>
      <c r="D4019" s="0" t="s">
        <v>2105</v>
      </c>
      <c r="E4019" s="0" t="s">
        <v>2045</v>
      </c>
      <c r="F4019" s="0" t="s">
        <v>2051</v>
      </c>
      <c r="G4019" s="0" t="s">
        <v>2114</v>
      </c>
      <c r="H4019" s="0" t="s">
        <v>2107</v>
      </c>
      <c r="I4019" s="0" t="s">
        <v>1685</v>
      </c>
      <c r="J4019" s="0" t="s">
        <v>2357</v>
      </c>
      <c r="K4019" s="272" t="n">
        <v>2</v>
      </c>
    </row>
    <row r="4020" customFormat="false" ht="15" hidden="false" customHeight="false" outlineLevel="0" collapsed="false">
      <c r="A4020" s="0" t="s">
        <v>2041</v>
      </c>
      <c r="B4020" s="0" t="s">
        <v>2042</v>
      </c>
      <c r="C4020" s="0" t="s">
        <v>2357</v>
      </c>
      <c r="D4020" s="0" t="s">
        <v>2105</v>
      </c>
      <c r="E4020" s="0" t="s">
        <v>2045</v>
      </c>
      <c r="F4020" s="0" t="s">
        <v>2051</v>
      </c>
      <c r="G4020" s="0" t="s">
        <v>2123</v>
      </c>
      <c r="H4020" s="0" t="s">
        <v>2115</v>
      </c>
      <c r="I4020" s="0" t="s">
        <v>1685</v>
      </c>
      <c r="J4020" s="0" t="s">
        <v>2357</v>
      </c>
      <c r="K4020" s="272" t="n">
        <v>1.5</v>
      </c>
    </row>
    <row r="4021" customFormat="false" ht="15" hidden="false" customHeight="false" outlineLevel="0" collapsed="false">
      <c r="A4021" s="0" t="s">
        <v>2041</v>
      </c>
      <c r="B4021" s="0" t="s">
        <v>2042</v>
      </c>
      <c r="C4021" s="0" t="s">
        <v>2357</v>
      </c>
      <c r="D4021" s="0" t="s">
        <v>2105</v>
      </c>
      <c r="E4021" s="0" t="s">
        <v>2045</v>
      </c>
      <c r="F4021" s="0" t="s">
        <v>2051</v>
      </c>
      <c r="G4021" s="0" t="s">
        <v>2123</v>
      </c>
      <c r="H4021" s="0" t="s">
        <v>2116</v>
      </c>
      <c r="I4021" s="0" t="s">
        <v>1685</v>
      </c>
      <c r="J4021" s="0" t="s">
        <v>2357</v>
      </c>
      <c r="K4021" s="272" t="n">
        <v>2.7</v>
      </c>
    </row>
    <row r="4022" customFormat="false" ht="15" hidden="false" customHeight="false" outlineLevel="0" collapsed="false">
      <c r="A4022" s="0" t="s">
        <v>2041</v>
      </c>
      <c r="B4022" s="0" t="s">
        <v>2042</v>
      </c>
      <c r="C4022" s="0" t="s">
        <v>2357</v>
      </c>
      <c r="D4022" s="0" t="s">
        <v>2105</v>
      </c>
      <c r="E4022" s="0" t="s">
        <v>2045</v>
      </c>
      <c r="F4022" s="0" t="s">
        <v>2051</v>
      </c>
      <c r="G4022" s="0" t="s">
        <v>2123</v>
      </c>
      <c r="H4022" s="0" t="s">
        <v>2111</v>
      </c>
      <c r="I4022" s="0" t="s">
        <v>1685</v>
      </c>
      <c r="J4022" s="0" t="s">
        <v>2357</v>
      </c>
      <c r="K4022" s="272" t="n">
        <v>3.3</v>
      </c>
    </row>
    <row r="4023" customFormat="false" ht="15" hidden="false" customHeight="false" outlineLevel="0" collapsed="false">
      <c r="A4023" s="0" t="s">
        <v>2041</v>
      </c>
      <c r="B4023" s="0" t="s">
        <v>2042</v>
      </c>
      <c r="C4023" s="0" t="s">
        <v>2357</v>
      </c>
      <c r="D4023" s="0" t="s">
        <v>2105</v>
      </c>
      <c r="E4023" s="0" t="s">
        <v>2045</v>
      </c>
      <c r="F4023" s="0" t="s">
        <v>2051</v>
      </c>
      <c r="G4023" s="0" t="s">
        <v>2123</v>
      </c>
      <c r="H4023" s="0" t="s">
        <v>2117</v>
      </c>
      <c r="I4023" s="0" t="s">
        <v>1685</v>
      </c>
      <c r="J4023" s="0" t="s">
        <v>2357</v>
      </c>
      <c r="K4023" s="272" t="n">
        <v>1</v>
      </c>
    </row>
    <row r="4024" customFormat="false" ht="15" hidden="false" customHeight="false" outlineLevel="0" collapsed="false">
      <c r="A4024" s="0" t="s">
        <v>2041</v>
      </c>
      <c r="B4024" s="0" t="s">
        <v>2042</v>
      </c>
      <c r="C4024" s="0" t="s">
        <v>2357</v>
      </c>
      <c r="D4024" s="0" t="s">
        <v>2105</v>
      </c>
      <c r="E4024" s="0" t="s">
        <v>2045</v>
      </c>
      <c r="F4024" s="0" t="s">
        <v>2051</v>
      </c>
      <c r="G4024" s="0" t="s">
        <v>2123</v>
      </c>
      <c r="H4024" s="0" t="s">
        <v>2119</v>
      </c>
      <c r="I4024" s="0" t="s">
        <v>1685</v>
      </c>
      <c r="J4024" s="0" t="s">
        <v>2357</v>
      </c>
      <c r="K4024" s="272" t="n">
        <v>0.2</v>
      </c>
    </row>
    <row r="4025" customFormat="false" ht="15" hidden="false" customHeight="false" outlineLevel="0" collapsed="false">
      <c r="A4025" s="0" t="s">
        <v>2041</v>
      </c>
      <c r="B4025" s="0" t="s">
        <v>2042</v>
      </c>
      <c r="C4025" s="0" t="s">
        <v>2357</v>
      </c>
      <c r="D4025" s="0" t="s">
        <v>2105</v>
      </c>
      <c r="E4025" s="0" t="s">
        <v>2045</v>
      </c>
      <c r="F4025" s="0" t="s">
        <v>2051</v>
      </c>
      <c r="G4025" s="0" t="s">
        <v>2123</v>
      </c>
      <c r="H4025" s="0" t="s">
        <v>2120</v>
      </c>
      <c r="I4025" s="0" t="s">
        <v>1685</v>
      </c>
      <c r="J4025" s="0" t="s">
        <v>2357</v>
      </c>
      <c r="K4025" s="272" t="n">
        <v>0.5</v>
      </c>
    </row>
    <row r="4026" customFormat="false" ht="15" hidden="false" customHeight="false" outlineLevel="0" collapsed="false">
      <c r="A4026" s="0" t="s">
        <v>2041</v>
      </c>
      <c r="B4026" s="0" t="s">
        <v>2042</v>
      </c>
      <c r="C4026" s="0" t="s">
        <v>2357</v>
      </c>
      <c r="D4026" s="0" t="s">
        <v>2105</v>
      </c>
      <c r="E4026" s="0" t="s">
        <v>2045</v>
      </c>
      <c r="F4026" s="0" t="s">
        <v>2051</v>
      </c>
      <c r="G4026" s="0" t="s">
        <v>2123</v>
      </c>
      <c r="H4026" s="0" t="s">
        <v>2121</v>
      </c>
      <c r="I4026" s="0" t="s">
        <v>1685</v>
      </c>
      <c r="J4026" s="0" t="s">
        <v>2357</v>
      </c>
      <c r="K4026" s="272" t="n">
        <v>0.2</v>
      </c>
    </row>
    <row r="4027" customFormat="false" ht="15" hidden="false" customHeight="false" outlineLevel="0" collapsed="false">
      <c r="A4027" s="0" t="s">
        <v>2041</v>
      </c>
      <c r="B4027" s="0" t="s">
        <v>2042</v>
      </c>
      <c r="C4027" s="0" t="s">
        <v>2357</v>
      </c>
      <c r="D4027" s="0" t="s">
        <v>2105</v>
      </c>
      <c r="E4027" s="0" t="s">
        <v>2045</v>
      </c>
      <c r="F4027" s="0" t="s">
        <v>2051</v>
      </c>
      <c r="G4027" s="0" t="s">
        <v>2123</v>
      </c>
      <c r="H4027" s="0" t="s">
        <v>2121</v>
      </c>
      <c r="I4027" s="0" t="s">
        <v>2124</v>
      </c>
      <c r="J4027" s="0" t="s">
        <v>2357</v>
      </c>
      <c r="K4027" s="272" t="n">
        <v>0.3</v>
      </c>
    </row>
    <row r="4028" customFormat="false" ht="15" hidden="false" customHeight="false" outlineLevel="0" collapsed="false">
      <c r="A4028" s="0" t="s">
        <v>2041</v>
      </c>
      <c r="B4028" s="0" t="s">
        <v>2042</v>
      </c>
      <c r="C4028" s="0" t="s">
        <v>2357</v>
      </c>
      <c r="D4028" s="0" t="s">
        <v>2105</v>
      </c>
      <c r="E4028" s="0" t="s">
        <v>2045</v>
      </c>
      <c r="F4028" s="0" t="s">
        <v>2051</v>
      </c>
      <c r="G4028" s="0" t="s">
        <v>2123</v>
      </c>
      <c r="H4028" s="0" t="s">
        <v>2122</v>
      </c>
      <c r="I4028" s="0" t="s">
        <v>1685</v>
      </c>
      <c r="J4028" s="0" t="s">
        <v>2357</v>
      </c>
      <c r="K4028" s="272" t="n">
        <v>0.4</v>
      </c>
    </row>
    <row r="4029" customFormat="false" ht="15" hidden="false" customHeight="false" outlineLevel="0" collapsed="false">
      <c r="A4029" s="0" t="s">
        <v>2041</v>
      </c>
      <c r="B4029" s="0" t="s">
        <v>2042</v>
      </c>
      <c r="C4029" s="0" t="s">
        <v>2357</v>
      </c>
      <c r="D4029" s="0" t="s">
        <v>2105</v>
      </c>
      <c r="E4029" s="0" t="s">
        <v>2045</v>
      </c>
      <c r="F4029" s="0" t="s">
        <v>2051</v>
      </c>
      <c r="G4029" s="0" t="s">
        <v>2123</v>
      </c>
      <c r="H4029" s="0" t="s">
        <v>2122</v>
      </c>
      <c r="I4029" s="0" t="s">
        <v>2124</v>
      </c>
      <c r="J4029" s="0" t="s">
        <v>2357</v>
      </c>
      <c r="K4029" s="272" t="n">
        <v>0.5</v>
      </c>
    </row>
    <row r="4030" customFormat="false" ht="15" hidden="false" customHeight="false" outlineLevel="0" collapsed="false">
      <c r="A4030" s="0" t="s">
        <v>2041</v>
      </c>
      <c r="B4030" s="0" t="s">
        <v>2042</v>
      </c>
      <c r="C4030" s="0" t="s">
        <v>2357</v>
      </c>
      <c r="D4030" s="0" t="s">
        <v>2105</v>
      </c>
      <c r="E4030" s="0" t="s">
        <v>2045</v>
      </c>
      <c r="F4030" s="0" t="s">
        <v>2051</v>
      </c>
      <c r="G4030" s="0" t="s">
        <v>2123</v>
      </c>
      <c r="H4030" s="0" t="s">
        <v>2112</v>
      </c>
      <c r="I4030" s="0" t="s">
        <v>1685</v>
      </c>
      <c r="J4030" s="0" t="s">
        <v>2357</v>
      </c>
      <c r="K4030" s="272" t="n">
        <v>0.8</v>
      </c>
    </row>
    <row r="4031" customFormat="false" ht="15" hidden="false" customHeight="false" outlineLevel="0" collapsed="false">
      <c r="A4031" s="0" t="s">
        <v>2041</v>
      </c>
      <c r="B4031" s="0" t="s">
        <v>2042</v>
      </c>
      <c r="C4031" s="0" t="s">
        <v>2357</v>
      </c>
      <c r="D4031" s="0" t="s">
        <v>2105</v>
      </c>
      <c r="E4031" s="0" t="s">
        <v>2045</v>
      </c>
      <c r="F4031" s="0" t="s">
        <v>2051</v>
      </c>
      <c r="G4031" s="0" t="s">
        <v>2123</v>
      </c>
      <c r="H4031" s="0" t="s">
        <v>2112</v>
      </c>
      <c r="I4031" s="0" t="s">
        <v>2124</v>
      </c>
      <c r="J4031" s="0" t="s">
        <v>2357</v>
      </c>
      <c r="K4031" s="272" t="n">
        <v>0.2</v>
      </c>
    </row>
    <row r="4032" customFormat="false" ht="15" hidden="false" customHeight="false" outlineLevel="0" collapsed="false">
      <c r="A4032" s="0" t="s">
        <v>2041</v>
      </c>
      <c r="B4032" s="0" t="s">
        <v>2042</v>
      </c>
      <c r="C4032" s="0" t="s">
        <v>2357</v>
      </c>
      <c r="D4032" s="0" t="s">
        <v>2105</v>
      </c>
      <c r="E4032" s="0" t="s">
        <v>2045</v>
      </c>
      <c r="F4032" s="0" t="s">
        <v>2051</v>
      </c>
      <c r="G4032" s="0" t="s">
        <v>2123</v>
      </c>
      <c r="H4032" s="0" t="s">
        <v>2113</v>
      </c>
      <c r="I4032" s="0" t="s">
        <v>1685</v>
      </c>
      <c r="J4032" s="0" t="s">
        <v>2357</v>
      </c>
      <c r="K4032" s="272" t="n">
        <v>4.4</v>
      </c>
    </row>
    <row r="4033" customFormat="false" ht="15" hidden="false" customHeight="false" outlineLevel="0" collapsed="false">
      <c r="A4033" s="0" t="s">
        <v>2041</v>
      </c>
      <c r="B4033" s="0" t="s">
        <v>2042</v>
      </c>
      <c r="C4033" s="0" t="s">
        <v>2357</v>
      </c>
      <c r="D4033" s="0" t="s">
        <v>2105</v>
      </c>
      <c r="E4033" s="0" t="s">
        <v>2045</v>
      </c>
      <c r="F4033" s="0" t="s">
        <v>2051</v>
      </c>
      <c r="G4033" s="0" t="s">
        <v>2123</v>
      </c>
      <c r="H4033" s="0" t="s">
        <v>2107</v>
      </c>
      <c r="I4033" s="0" t="s">
        <v>1685</v>
      </c>
      <c r="J4033" s="0" t="s">
        <v>2357</v>
      </c>
      <c r="K4033" s="272" t="n">
        <v>2</v>
      </c>
    </row>
    <row r="4034" customFormat="false" ht="15" hidden="false" customHeight="false" outlineLevel="0" collapsed="false">
      <c r="A4034" s="0" t="s">
        <v>2041</v>
      </c>
      <c r="B4034" s="0" t="s">
        <v>2042</v>
      </c>
      <c r="C4034" s="0" t="s">
        <v>2357</v>
      </c>
      <c r="D4034" s="0" t="s">
        <v>2105</v>
      </c>
      <c r="E4034" s="0" t="s">
        <v>2045</v>
      </c>
      <c r="F4034" s="0" t="s">
        <v>2046</v>
      </c>
      <c r="G4034" s="0" t="s">
        <v>2125</v>
      </c>
      <c r="H4034" s="0" t="s">
        <v>2126</v>
      </c>
      <c r="I4034" s="0" t="s">
        <v>1685</v>
      </c>
      <c r="J4034" s="0" t="s">
        <v>2357</v>
      </c>
      <c r="K4034" s="272" t="n">
        <v>10.1</v>
      </c>
    </row>
    <row r="4035" customFormat="false" ht="15" hidden="false" customHeight="false" outlineLevel="0" collapsed="false">
      <c r="A4035" s="0" t="s">
        <v>2041</v>
      </c>
      <c r="B4035" s="0" t="s">
        <v>2042</v>
      </c>
      <c r="C4035" s="0" t="s">
        <v>2357</v>
      </c>
      <c r="D4035" s="0" t="s">
        <v>2105</v>
      </c>
      <c r="E4035" s="0" t="s">
        <v>2045</v>
      </c>
      <c r="F4035" s="0" t="s">
        <v>2046</v>
      </c>
      <c r="G4035" s="0" t="s">
        <v>2125</v>
      </c>
      <c r="H4035" s="0" t="s">
        <v>2126</v>
      </c>
      <c r="I4035" s="0" t="s">
        <v>2124</v>
      </c>
      <c r="J4035" s="0" t="s">
        <v>2357</v>
      </c>
      <c r="K4035" s="272" t="n">
        <v>2</v>
      </c>
    </row>
    <row r="4036" customFormat="false" ht="15" hidden="false" customHeight="false" outlineLevel="0" collapsed="false">
      <c r="A4036" s="0" t="s">
        <v>2041</v>
      </c>
      <c r="B4036" s="0" t="s">
        <v>2042</v>
      </c>
      <c r="C4036" s="0" t="s">
        <v>2357</v>
      </c>
      <c r="D4036" s="0" t="s">
        <v>2105</v>
      </c>
      <c r="E4036" s="0" t="s">
        <v>2045</v>
      </c>
      <c r="F4036" s="0" t="s">
        <v>2046</v>
      </c>
      <c r="G4036" s="0" t="s">
        <v>2127</v>
      </c>
      <c r="H4036" s="0" t="s">
        <v>2128</v>
      </c>
      <c r="I4036" s="0" t="s">
        <v>1685</v>
      </c>
      <c r="J4036" s="0" t="s">
        <v>2357</v>
      </c>
      <c r="K4036" s="272" t="n">
        <v>6.5</v>
      </c>
    </row>
    <row r="4037" customFormat="false" ht="15" hidden="false" customHeight="false" outlineLevel="0" collapsed="false">
      <c r="A4037" s="0" t="s">
        <v>2041</v>
      </c>
      <c r="B4037" s="0" t="s">
        <v>2042</v>
      </c>
      <c r="C4037" s="0" t="s">
        <v>2357</v>
      </c>
      <c r="D4037" s="0" t="s">
        <v>2105</v>
      </c>
      <c r="E4037" s="0" t="s">
        <v>2045</v>
      </c>
      <c r="F4037" s="0" t="s">
        <v>2046</v>
      </c>
      <c r="G4037" s="0" t="s">
        <v>2127</v>
      </c>
      <c r="H4037" s="0" t="s">
        <v>2128</v>
      </c>
      <c r="I4037" s="0" t="s">
        <v>2124</v>
      </c>
      <c r="J4037" s="0" t="s">
        <v>2357</v>
      </c>
      <c r="K4037" s="272" t="n">
        <v>1</v>
      </c>
    </row>
    <row r="4038" customFormat="false" ht="15" hidden="false" customHeight="false" outlineLevel="0" collapsed="false">
      <c r="A4038" s="0" t="s">
        <v>2041</v>
      </c>
      <c r="B4038" s="0" t="s">
        <v>2042</v>
      </c>
      <c r="C4038" s="0" t="s">
        <v>2357</v>
      </c>
      <c r="D4038" s="0" t="s">
        <v>2105</v>
      </c>
      <c r="E4038" s="0" t="s">
        <v>2045</v>
      </c>
      <c r="F4038" s="0" t="s">
        <v>2046</v>
      </c>
      <c r="G4038" s="0" t="s">
        <v>2127</v>
      </c>
      <c r="H4038" s="0" t="s">
        <v>2132</v>
      </c>
      <c r="I4038" s="0" t="s">
        <v>1685</v>
      </c>
      <c r="J4038" s="0" t="s">
        <v>2357</v>
      </c>
      <c r="K4038" s="272" t="n">
        <v>0.5</v>
      </c>
    </row>
    <row r="4039" customFormat="false" ht="15" hidden="false" customHeight="false" outlineLevel="0" collapsed="false">
      <c r="A4039" s="0" t="s">
        <v>2041</v>
      </c>
      <c r="B4039" s="0" t="s">
        <v>2042</v>
      </c>
      <c r="C4039" s="0" t="s">
        <v>2357</v>
      </c>
      <c r="D4039" s="0" t="s">
        <v>2105</v>
      </c>
      <c r="E4039" s="0" t="s">
        <v>2045</v>
      </c>
      <c r="F4039" s="0" t="s">
        <v>2046</v>
      </c>
      <c r="G4039" s="0" t="s">
        <v>2129</v>
      </c>
      <c r="H4039" s="0" t="s">
        <v>2130</v>
      </c>
      <c r="I4039" s="0" t="s">
        <v>1685</v>
      </c>
      <c r="J4039" s="0" t="s">
        <v>2357</v>
      </c>
      <c r="K4039" s="272" t="n">
        <v>4</v>
      </c>
    </row>
    <row r="4040" customFormat="false" ht="15" hidden="false" customHeight="false" outlineLevel="0" collapsed="false">
      <c r="A4040" s="0" t="s">
        <v>2041</v>
      </c>
      <c r="B4040" s="0" t="s">
        <v>2042</v>
      </c>
      <c r="C4040" s="0" t="s">
        <v>2357</v>
      </c>
      <c r="D4040" s="0" t="s">
        <v>2105</v>
      </c>
      <c r="E4040" s="0" t="s">
        <v>2045</v>
      </c>
      <c r="F4040" s="0" t="s">
        <v>2046</v>
      </c>
      <c r="G4040" s="0" t="s">
        <v>2129</v>
      </c>
      <c r="H4040" s="0" t="s">
        <v>2130</v>
      </c>
      <c r="I4040" s="0" t="s">
        <v>2124</v>
      </c>
      <c r="J4040" s="0" t="s">
        <v>2357</v>
      </c>
      <c r="K4040" s="272" t="n">
        <v>3</v>
      </c>
    </row>
    <row r="4041" customFormat="false" ht="15" hidden="false" customHeight="false" outlineLevel="0" collapsed="false">
      <c r="A4041" s="0" t="s">
        <v>2041</v>
      </c>
      <c r="B4041" s="0" t="s">
        <v>2042</v>
      </c>
      <c r="C4041" s="0" t="s">
        <v>2357</v>
      </c>
      <c r="D4041" s="0" t="s">
        <v>2105</v>
      </c>
      <c r="E4041" s="0" t="s">
        <v>2045</v>
      </c>
      <c r="F4041" s="0" t="s">
        <v>2046</v>
      </c>
      <c r="G4041" s="0" t="s">
        <v>2131</v>
      </c>
      <c r="H4041" s="0" t="s">
        <v>2132</v>
      </c>
      <c r="I4041" s="0" t="s">
        <v>1685</v>
      </c>
      <c r="J4041" s="0" t="s">
        <v>2357</v>
      </c>
      <c r="K4041" s="272" t="n">
        <v>5</v>
      </c>
    </row>
    <row r="4042" customFormat="false" ht="15" hidden="false" customHeight="false" outlineLevel="0" collapsed="false">
      <c r="A4042" s="0" t="s">
        <v>2041</v>
      </c>
      <c r="B4042" s="0" t="s">
        <v>2042</v>
      </c>
      <c r="C4042" s="0" t="s">
        <v>2357</v>
      </c>
      <c r="D4042" s="0" t="s">
        <v>2105</v>
      </c>
      <c r="E4042" s="0" t="s">
        <v>2045</v>
      </c>
      <c r="F4042" s="0" t="s">
        <v>2046</v>
      </c>
      <c r="G4042" s="0" t="s">
        <v>2131</v>
      </c>
      <c r="H4042" s="0" t="s">
        <v>2132</v>
      </c>
      <c r="I4042" s="0" t="s">
        <v>2124</v>
      </c>
      <c r="J4042" s="0" t="s">
        <v>2357</v>
      </c>
      <c r="K4042" s="272" t="n">
        <v>1</v>
      </c>
    </row>
    <row r="4043" customFormat="false" ht="15" hidden="false" customHeight="false" outlineLevel="0" collapsed="false">
      <c r="A4043" s="0" t="s">
        <v>2041</v>
      </c>
      <c r="B4043" s="0" t="s">
        <v>2042</v>
      </c>
      <c r="C4043" s="0" t="s">
        <v>2357</v>
      </c>
      <c r="D4043" s="0" t="s">
        <v>2105</v>
      </c>
      <c r="E4043" s="0" t="s">
        <v>2045</v>
      </c>
      <c r="F4043" s="0" t="s">
        <v>2046</v>
      </c>
      <c r="G4043" s="0" t="s">
        <v>2131</v>
      </c>
      <c r="H4043" s="0" t="s">
        <v>2126</v>
      </c>
      <c r="I4043" s="0" t="s">
        <v>1685</v>
      </c>
      <c r="J4043" s="0" t="s">
        <v>2357</v>
      </c>
      <c r="K4043" s="272" t="n">
        <v>0.161290322580645</v>
      </c>
    </row>
    <row r="4044" customFormat="false" ht="15" hidden="false" customHeight="false" outlineLevel="0" collapsed="false">
      <c r="A4044" s="0" t="s">
        <v>2041</v>
      </c>
      <c r="B4044" s="0" t="s">
        <v>2042</v>
      </c>
      <c r="C4044" s="0" t="s">
        <v>2357</v>
      </c>
      <c r="D4044" s="0" t="s">
        <v>2105</v>
      </c>
      <c r="E4044" s="0" t="s">
        <v>2045</v>
      </c>
      <c r="F4044" s="0" t="s">
        <v>2046</v>
      </c>
      <c r="G4044" s="0" t="s">
        <v>2133</v>
      </c>
      <c r="H4044" s="0" t="s">
        <v>2134</v>
      </c>
      <c r="I4044" s="0" t="s">
        <v>1685</v>
      </c>
      <c r="J4044" s="0" t="s">
        <v>2357</v>
      </c>
      <c r="K4044" s="272" t="n">
        <v>6</v>
      </c>
    </row>
    <row r="4045" customFormat="false" ht="15" hidden="false" customHeight="false" outlineLevel="0" collapsed="false">
      <c r="A4045" s="0" t="s">
        <v>2041</v>
      </c>
      <c r="B4045" s="0" t="s">
        <v>2042</v>
      </c>
      <c r="C4045" s="0" t="s">
        <v>2357</v>
      </c>
      <c r="D4045" s="0" t="s">
        <v>2105</v>
      </c>
      <c r="E4045" s="0" t="s">
        <v>2045</v>
      </c>
      <c r="F4045" s="0" t="s">
        <v>2046</v>
      </c>
      <c r="G4045" s="0" t="s">
        <v>2135</v>
      </c>
      <c r="H4045" s="0" t="s">
        <v>2136</v>
      </c>
      <c r="I4045" s="0" t="s">
        <v>1685</v>
      </c>
      <c r="J4045" s="0" t="s">
        <v>2357</v>
      </c>
      <c r="K4045" s="272" t="n">
        <v>6</v>
      </c>
    </row>
    <row r="4046" customFormat="false" ht="15" hidden="false" customHeight="false" outlineLevel="0" collapsed="false">
      <c r="A4046" s="0" t="s">
        <v>2041</v>
      </c>
      <c r="B4046" s="0" t="s">
        <v>2042</v>
      </c>
      <c r="C4046" s="0" t="s">
        <v>2357</v>
      </c>
      <c r="D4046" s="0" t="s">
        <v>2105</v>
      </c>
      <c r="E4046" s="0" t="s">
        <v>2045</v>
      </c>
      <c r="F4046" s="0" t="s">
        <v>2046</v>
      </c>
      <c r="G4046" s="0" t="s">
        <v>2135</v>
      </c>
      <c r="H4046" s="0" t="s">
        <v>2136</v>
      </c>
      <c r="I4046" s="0" t="s">
        <v>2124</v>
      </c>
      <c r="J4046" s="0" t="s">
        <v>2357</v>
      </c>
      <c r="K4046" s="272" t="n">
        <v>1</v>
      </c>
    </row>
    <row r="4047" customFormat="false" ht="15" hidden="false" customHeight="false" outlineLevel="0" collapsed="false">
      <c r="A4047" s="0" t="s">
        <v>2041</v>
      </c>
      <c r="B4047" s="0" t="s">
        <v>2042</v>
      </c>
      <c r="C4047" s="0" t="s">
        <v>2357</v>
      </c>
      <c r="D4047" s="0" t="s">
        <v>2105</v>
      </c>
      <c r="E4047" s="0" t="s">
        <v>2045</v>
      </c>
      <c r="F4047" s="0" t="s">
        <v>2046</v>
      </c>
      <c r="G4047" s="0" t="s">
        <v>2137</v>
      </c>
      <c r="H4047" s="0" t="s">
        <v>2138</v>
      </c>
      <c r="I4047" s="0" t="s">
        <v>1685</v>
      </c>
      <c r="J4047" s="0" t="s">
        <v>2357</v>
      </c>
      <c r="K4047" s="272" t="n">
        <v>11</v>
      </c>
    </row>
    <row r="4048" customFormat="false" ht="15" hidden="false" customHeight="false" outlineLevel="0" collapsed="false">
      <c r="A4048" s="0" t="s">
        <v>2041</v>
      </c>
      <c r="B4048" s="0" t="s">
        <v>2042</v>
      </c>
      <c r="C4048" s="0" t="s">
        <v>2357</v>
      </c>
      <c r="D4048" s="0" t="s">
        <v>2105</v>
      </c>
      <c r="E4048" s="0" t="s">
        <v>2045</v>
      </c>
      <c r="F4048" s="0" t="s">
        <v>2046</v>
      </c>
      <c r="G4048" s="0" t="s">
        <v>2139</v>
      </c>
      <c r="H4048" s="0" t="s">
        <v>2136</v>
      </c>
      <c r="I4048" s="0" t="s">
        <v>1685</v>
      </c>
      <c r="J4048" s="0" t="s">
        <v>2357</v>
      </c>
      <c r="K4048" s="272" t="n">
        <v>0.5</v>
      </c>
    </row>
    <row r="4049" customFormat="false" ht="15" hidden="false" customHeight="false" outlineLevel="0" collapsed="false">
      <c r="A4049" s="0" t="s">
        <v>2041</v>
      </c>
      <c r="B4049" s="0" t="s">
        <v>2042</v>
      </c>
      <c r="C4049" s="0" t="s">
        <v>2357</v>
      </c>
      <c r="D4049" s="0" t="s">
        <v>2105</v>
      </c>
      <c r="E4049" s="0" t="s">
        <v>2045</v>
      </c>
      <c r="F4049" s="0" t="s">
        <v>2046</v>
      </c>
      <c r="G4049" s="0" t="s">
        <v>2139</v>
      </c>
      <c r="H4049" s="0" t="s">
        <v>2140</v>
      </c>
      <c r="I4049" s="0" t="s">
        <v>1685</v>
      </c>
      <c r="J4049" s="0" t="s">
        <v>2357</v>
      </c>
      <c r="K4049" s="272" t="n">
        <v>4.5</v>
      </c>
    </row>
    <row r="4050" customFormat="false" ht="15" hidden="false" customHeight="false" outlineLevel="0" collapsed="false">
      <c r="A4050" s="0" t="s">
        <v>2041</v>
      </c>
      <c r="B4050" s="0" t="s">
        <v>2042</v>
      </c>
      <c r="C4050" s="0" t="s">
        <v>2357</v>
      </c>
      <c r="D4050" s="0" t="s">
        <v>2105</v>
      </c>
      <c r="E4050" s="0" t="s">
        <v>2045</v>
      </c>
      <c r="F4050" s="0" t="s">
        <v>2046</v>
      </c>
      <c r="G4050" s="0" t="s">
        <v>2141</v>
      </c>
      <c r="H4050" s="0" t="s">
        <v>2144</v>
      </c>
      <c r="I4050" s="0" t="s">
        <v>1685</v>
      </c>
      <c r="J4050" s="0" t="s">
        <v>2357</v>
      </c>
      <c r="K4050" s="272" t="n">
        <v>0.5</v>
      </c>
    </row>
    <row r="4051" customFormat="false" ht="15" hidden="false" customHeight="false" outlineLevel="0" collapsed="false">
      <c r="A4051" s="0" t="s">
        <v>2041</v>
      </c>
      <c r="B4051" s="0" t="s">
        <v>2042</v>
      </c>
      <c r="C4051" s="0" t="s">
        <v>2357</v>
      </c>
      <c r="D4051" s="0" t="s">
        <v>2105</v>
      </c>
      <c r="E4051" s="0" t="s">
        <v>2045</v>
      </c>
      <c r="F4051" s="0" t="s">
        <v>2046</v>
      </c>
      <c r="G4051" s="0" t="s">
        <v>2141</v>
      </c>
      <c r="H4051" s="0" t="s">
        <v>2142</v>
      </c>
      <c r="I4051" s="0" t="s">
        <v>1685</v>
      </c>
      <c r="J4051" s="0" t="s">
        <v>2357</v>
      </c>
      <c r="K4051" s="272" t="n">
        <v>6.5</v>
      </c>
    </row>
    <row r="4052" customFormat="false" ht="15" hidden="false" customHeight="false" outlineLevel="0" collapsed="false">
      <c r="A4052" s="0" t="s">
        <v>2041</v>
      </c>
      <c r="B4052" s="0" t="s">
        <v>2042</v>
      </c>
      <c r="C4052" s="0" t="s">
        <v>2357</v>
      </c>
      <c r="D4052" s="0" t="s">
        <v>2105</v>
      </c>
      <c r="E4052" s="0" t="s">
        <v>2045</v>
      </c>
      <c r="F4052" s="0" t="s">
        <v>2046</v>
      </c>
      <c r="G4052" s="0" t="s">
        <v>2143</v>
      </c>
      <c r="H4052" s="0" t="s">
        <v>2144</v>
      </c>
      <c r="I4052" s="0" t="s">
        <v>1685</v>
      </c>
      <c r="J4052" s="0" t="s">
        <v>2357</v>
      </c>
      <c r="K4052" s="272" t="n">
        <v>5.5</v>
      </c>
    </row>
    <row r="4053" customFormat="false" ht="15" hidden="false" customHeight="false" outlineLevel="0" collapsed="false">
      <c r="A4053" s="0" t="s">
        <v>2041</v>
      </c>
      <c r="B4053" s="0" t="s">
        <v>2042</v>
      </c>
      <c r="C4053" s="0" t="s">
        <v>2357</v>
      </c>
      <c r="D4053" s="0" t="s">
        <v>2105</v>
      </c>
      <c r="E4053" s="0" t="s">
        <v>2045</v>
      </c>
      <c r="F4053" s="0" t="s">
        <v>2046</v>
      </c>
      <c r="G4053" s="0" t="s">
        <v>2143</v>
      </c>
      <c r="H4053" s="0" t="s">
        <v>2142</v>
      </c>
      <c r="I4053" s="0" t="s">
        <v>1685</v>
      </c>
      <c r="J4053" s="0" t="s">
        <v>2357</v>
      </c>
      <c r="K4053" s="272" t="n">
        <v>0.5</v>
      </c>
    </row>
    <row r="4054" customFormat="false" ht="15" hidden="false" customHeight="false" outlineLevel="0" collapsed="false">
      <c r="A4054" s="0" t="s">
        <v>2041</v>
      </c>
      <c r="B4054" s="0" t="s">
        <v>2042</v>
      </c>
      <c r="C4054" s="0" t="s">
        <v>2357</v>
      </c>
      <c r="D4054" s="0" t="s">
        <v>2105</v>
      </c>
      <c r="E4054" s="0" t="s">
        <v>2045</v>
      </c>
      <c r="F4054" s="0" t="s">
        <v>2046</v>
      </c>
      <c r="G4054" s="0" t="s">
        <v>2145</v>
      </c>
      <c r="H4054" s="0" t="s">
        <v>2146</v>
      </c>
      <c r="I4054" s="0" t="s">
        <v>1685</v>
      </c>
      <c r="J4054" s="0" t="s">
        <v>2357</v>
      </c>
      <c r="K4054" s="272" t="n">
        <v>5.29032258064516</v>
      </c>
    </row>
    <row r="4055" customFormat="false" ht="15" hidden="false" customHeight="false" outlineLevel="0" collapsed="false">
      <c r="A4055" s="0" t="s">
        <v>2041</v>
      </c>
      <c r="B4055" s="0" t="s">
        <v>2042</v>
      </c>
      <c r="C4055" s="0" t="s">
        <v>2357</v>
      </c>
      <c r="D4055" s="0" t="s">
        <v>2105</v>
      </c>
      <c r="E4055" s="0" t="s">
        <v>2045</v>
      </c>
      <c r="F4055" s="0" t="s">
        <v>2046</v>
      </c>
      <c r="G4055" s="0" t="s">
        <v>2145</v>
      </c>
      <c r="H4055" s="0" t="s">
        <v>2146</v>
      </c>
      <c r="I4055" s="0" t="s">
        <v>2124</v>
      </c>
      <c r="J4055" s="0" t="s">
        <v>2357</v>
      </c>
      <c r="K4055" s="272" t="n">
        <v>1</v>
      </c>
    </row>
    <row r="4056" customFormat="false" ht="15" hidden="false" customHeight="false" outlineLevel="0" collapsed="false">
      <c r="A4056" s="0" t="s">
        <v>2041</v>
      </c>
      <c r="B4056" s="0" t="s">
        <v>2042</v>
      </c>
      <c r="C4056" s="0" t="s">
        <v>2357</v>
      </c>
      <c r="D4056" s="0" t="s">
        <v>2105</v>
      </c>
      <c r="E4056" s="0" t="s">
        <v>2045</v>
      </c>
      <c r="F4056" s="0" t="s">
        <v>2046</v>
      </c>
      <c r="G4056" s="0" t="s">
        <v>2147</v>
      </c>
      <c r="H4056" s="0" t="s">
        <v>2126</v>
      </c>
      <c r="I4056" s="0" t="s">
        <v>1685</v>
      </c>
      <c r="J4056" s="0" t="s">
        <v>2357</v>
      </c>
      <c r="K4056" s="272" t="n">
        <v>23.8387096774194</v>
      </c>
    </row>
    <row r="4057" customFormat="false" ht="15" hidden="false" customHeight="false" outlineLevel="0" collapsed="false">
      <c r="A4057" s="0" t="s">
        <v>2041</v>
      </c>
      <c r="B4057" s="0" t="s">
        <v>2042</v>
      </c>
      <c r="C4057" s="0" t="s">
        <v>2357</v>
      </c>
      <c r="D4057" s="0" t="s">
        <v>2105</v>
      </c>
      <c r="E4057" s="0" t="s">
        <v>2045</v>
      </c>
      <c r="F4057" s="0" t="s">
        <v>2046</v>
      </c>
      <c r="G4057" s="0" t="s">
        <v>2147</v>
      </c>
      <c r="H4057" s="0" t="s">
        <v>2126</v>
      </c>
      <c r="I4057" s="0" t="s">
        <v>2124</v>
      </c>
      <c r="J4057" s="0" t="s">
        <v>2357</v>
      </c>
      <c r="K4057" s="272" t="n">
        <v>2</v>
      </c>
    </row>
    <row r="4058" customFormat="false" ht="15" hidden="false" customHeight="false" outlineLevel="0" collapsed="false">
      <c r="A4058" s="0" t="s">
        <v>2041</v>
      </c>
      <c r="B4058" s="0" t="s">
        <v>2042</v>
      </c>
      <c r="C4058" s="0" t="s">
        <v>2357</v>
      </c>
      <c r="D4058" s="0" t="s">
        <v>2105</v>
      </c>
      <c r="E4058" s="0" t="s">
        <v>2045</v>
      </c>
      <c r="F4058" s="0" t="s">
        <v>2046</v>
      </c>
      <c r="G4058" s="0" t="s">
        <v>2148</v>
      </c>
      <c r="H4058" s="0" t="s">
        <v>2149</v>
      </c>
      <c r="I4058" s="0" t="s">
        <v>1685</v>
      </c>
      <c r="J4058" s="0" t="s">
        <v>2357</v>
      </c>
      <c r="K4058" s="272" t="n">
        <v>10</v>
      </c>
    </row>
    <row r="4059" customFormat="false" ht="15" hidden="false" customHeight="false" outlineLevel="0" collapsed="false">
      <c r="A4059" s="0" t="s">
        <v>2041</v>
      </c>
      <c r="B4059" s="0" t="s">
        <v>2042</v>
      </c>
      <c r="C4059" s="0" t="s">
        <v>2357</v>
      </c>
      <c r="D4059" s="0" t="s">
        <v>2105</v>
      </c>
      <c r="E4059" s="0" t="s">
        <v>2045</v>
      </c>
      <c r="F4059" s="0" t="s">
        <v>2215</v>
      </c>
      <c r="G4059" s="0" t="s">
        <v>2216</v>
      </c>
      <c r="H4059" s="0" t="s">
        <v>2217</v>
      </c>
      <c r="I4059" s="0" t="s">
        <v>1685</v>
      </c>
      <c r="J4059" s="0" t="s">
        <v>2357</v>
      </c>
      <c r="K4059" s="272" t="n">
        <v>41.8709677419355</v>
      </c>
    </row>
    <row r="4060" customFormat="false" ht="15" hidden="false" customHeight="false" outlineLevel="0" collapsed="false">
      <c r="A4060" s="0" t="s">
        <v>2041</v>
      </c>
      <c r="B4060" s="0" t="s">
        <v>2042</v>
      </c>
      <c r="C4060" s="0" t="s">
        <v>2357</v>
      </c>
      <c r="D4060" s="0" t="s">
        <v>2105</v>
      </c>
      <c r="E4060" s="0" t="s">
        <v>2045</v>
      </c>
      <c r="F4060" s="0" t="s">
        <v>2215</v>
      </c>
      <c r="G4060" s="0" t="s">
        <v>2216</v>
      </c>
      <c r="H4060" s="0" t="s">
        <v>2217</v>
      </c>
      <c r="I4060" s="0" t="s">
        <v>2124</v>
      </c>
      <c r="J4060" s="0" t="s">
        <v>2357</v>
      </c>
      <c r="K4060" s="272" t="n">
        <v>9</v>
      </c>
    </row>
    <row r="4061" customFormat="false" ht="15" hidden="false" customHeight="false" outlineLevel="0" collapsed="false">
      <c r="A4061" s="0" t="s">
        <v>2041</v>
      </c>
      <c r="B4061" s="0" t="s">
        <v>2042</v>
      </c>
      <c r="C4061" s="0" t="s">
        <v>2357</v>
      </c>
      <c r="D4061" s="0" t="s">
        <v>2105</v>
      </c>
      <c r="E4061" s="0" t="s">
        <v>2045</v>
      </c>
      <c r="F4061" s="0" t="s">
        <v>2215</v>
      </c>
      <c r="G4061" s="0" t="s">
        <v>2218</v>
      </c>
      <c r="H4061" s="0" t="s">
        <v>2183</v>
      </c>
      <c r="I4061" s="0" t="s">
        <v>1685</v>
      </c>
      <c r="J4061" s="0" t="s">
        <v>2357</v>
      </c>
      <c r="K4061" s="272" t="n">
        <v>3.72225806451613</v>
      </c>
    </row>
    <row r="4062" customFormat="false" ht="15" hidden="false" customHeight="false" outlineLevel="0" collapsed="false">
      <c r="A4062" s="0" t="s">
        <v>2041</v>
      </c>
      <c r="B4062" s="0" t="s">
        <v>2042</v>
      </c>
      <c r="C4062" s="0" t="s">
        <v>2357</v>
      </c>
      <c r="D4062" s="0" t="s">
        <v>2105</v>
      </c>
      <c r="E4062" s="0" t="s">
        <v>2045</v>
      </c>
      <c r="F4062" s="0" t="s">
        <v>2215</v>
      </c>
      <c r="G4062" s="0" t="s">
        <v>2218</v>
      </c>
      <c r="H4062" s="0" t="s">
        <v>2183</v>
      </c>
      <c r="I4062" s="0" t="s">
        <v>2124</v>
      </c>
      <c r="J4062" s="0" t="s">
        <v>2357</v>
      </c>
      <c r="K4062" s="272" t="n">
        <v>1</v>
      </c>
    </row>
    <row r="4063" customFormat="false" ht="15" hidden="false" customHeight="false" outlineLevel="0" collapsed="false">
      <c r="A4063" s="0" t="s">
        <v>2041</v>
      </c>
      <c r="B4063" s="0" t="s">
        <v>2042</v>
      </c>
      <c r="C4063" s="0" t="s">
        <v>2357</v>
      </c>
      <c r="D4063" s="0" t="s">
        <v>2105</v>
      </c>
      <c r="E4063" s="0" t="s">
        <v>2045</v>
      </c>
      <c r="F4063" s="0" t="s">
        <v>2215</v>
      </c>
      <c r="G4063" s="0" t="s">
        <v>2218</v>
      </c>
      <c r="H4063" s="0" t="s">
        <v>2185</v>
      </c>
      <c r="I4063" s="0" t="s">
        <v>1685</v>
      </c>
      <c r="J4063" s="0" t="s">
        <v>2357</v>
      </c>
      <c r="K4063" s="272" t="n">
        <v>5.34</v>
      </c>
    </row>
    <row r="4064" customFormat="false" ht="15" hidden="false" customHeight="false" outlineLevel="0" collapsed="false">
      <c r="A4064" s="0" t="s">
        <v>2041</v>
      </c>
      <c r="B4064" s="0" t="s">
        <v>2042</v>
      </c>
      <c r="C4064" s="0" t="s">
        <v>2357</v>
      </c>
      <c r="D4064" s="0" t="s">
        <v>2105</v>
      </c>
      <c r="E4064" s="0" t="s">
        <v>2045</v>
      </c>
      <c r="F4064" s="0" t="s">
        <v>2215</v>
      </c>
      <c r="G4064" s="0" t="s">
        <v>2218</v>
      </c>
      <c r="H4064" s="0" t="s">
        <v>2185</v>
      </c>
      <c r="I4064" s="0" t="s">
        <v>2167</v>
      </c>
      <c r="J4064" s="0" t="s">
        <v>2357</v>
      </c>
      <c r="K4064" s="272" t="n">
        <v>1</v>
      </c>
    </row>
    <row r="4065" customFormat="false" ht="15" hidden="false" customHeight="false" outlineLevel="0" collapsed="false">
      <c r="A4065" s="0" t="s">
        <v>2041</v>
      </c>
      <c r="B4065" s="0" t="s">
        <v>2042</v>
      </c>
      <c r="C4065" s="0" t="s">
        <v>2357</v>
      </c>
      <c r="D4065" s="0" t="s">
        <v>2105</v>
      </c>
      <c r="E4065" s="0" t="s">
        <v>2045</v>
      </c>
      <c r="F4065" s="0" t="s">
        <v>2215</v>
      </c>
      <c r="G4065" s="0" t="s">
        <v>2218</v>
      </c>
      <c r="H4065" s="0" t="s">
        <v>2186</v>
      </c>
      <c r="I4065" s="0" t="s">
        <v>1685</v>
      </c>
      <c r="J4065" s="0" t="s">
        <v>2357</v>
      </c>
      <c r="K4065" s="272" t="n">
        <v>0.33</v>
      </c>
    </row>
    <row r="4066" customFormat="false" ht="15" hidden="false" customHeight="false" outlineLevel="0" collapsed="false">
      <c r="A4066" s="0" t="s">
        <v>2041</v>
      </c>
      <c r="B4066" s="0" t="s">
        <v>2042</v>
      </c>
      <c r="C4066" s="0" t="s">
        <v>2357</v>
      </c>
      <c r="D4066" s="0" t="s">
        <v>2105</v>
      </c>
      <c r="E4066" s="0" t="s">
        <v>2045</v>
      </c>
      <c r="F4066" s="0" t="s">
        <v>2215</v>
      </c>
      <c r="G4066" s="0" t="s">
        <v>2218</v>
      </c>
      <c r="H4066" s="0" t="s">
        <v>2179</v>
      </c>
      <c r="I4066" s="0" t="s">
        <v>1685</v>
      </c>
      <c r="J4066" s="0" t="s">
        <v>2357</v>
      </c>
      <c r="K4066" s="272" t="n">
        <v>2</v>
      </c>
    </row>
    <row r="4067" customFormat="false" ht="15" hidden="false" customHeight="false" outlineLevel="0" collapsed="false">
      <c r="A4067" s="0" t="s">
        <v>2041</v>
      </c>
      <c r="B4067" s="0" t="s">
        <v>2042</v>
      </c>
      <c r="C4067" s="0" t="s">
        <v>2357</v>
      </c>
      <c r="D4067" s="0" t="s">
        <v>2105</v>
      </c>
      <c r="E4067" s="0" t="s">
        <v>2045</v>
      </c>
      <c r="F4067" s="0" t="s">
        <v>2215</v>
      </c>
      <c r="G4067" s="0" t="s">
        <v>2218</v>
      </c>
      <c r="H4067" s="0" t="s">
        <v>2217</v>
      </c>
      <c r="I4067" s="0" t="s">
        <v>1685</v>
      </c>
      <c r="J4067" s="0" t="s">
        <v>2357</v>
      </c>
      <c r="K4067" s="272" t="n">
        <v>1</v>
      </c>
    </row>
    <row r="4068" customFormat="false" ht="15" hidden="false" customHeight="false" outlineLevel="0" collapsed="false">
      <c r="A4068" s="0" t="s">
        <v>2041</v>
      </c>
      <c r="B4068" s="0" t="s">
        <v>2042</v>
      </c>
      <c r="C4068" s="0" t="s">
        <v>2357</v>
      </c>
      <c r="D4068" s="0" t="s">
        <v>2105</v>
      </c>
      <c r="E4068" s="0" t="s">
        <v>2045</v>
      </c>
      <c r="F4068" s="0" t="s">
        <v>2215</v>
      </c>
      <c r="G4068" s="0" t="s">
        <v>2218</v>
      </c>
      <c r="H4068" s="0" t="s">
        <v>2219</v>
      </c>
      <c r="I4068" s="0" t="s">
        <v>1685</v>
      </c>
      <c r="J4068" s="0" t="s">
        <v>2357</v>
      </c>
      <c r="K4068" s="272" t="n">
        <v>12.05</v>
      </c>
    </row>
    <row r="4069" customFormat="false" ht="15" hidden="false" customHeight="false" outlineLevel="0" collapsed="false">
      <c r="A4069" s="0" t="s">
        <v>2041</v>
      </c>
      <c r="B4069" s="0" t="s">
        <v>2042</v>
      </c>
      <c r="C4069" s="0" t="s">
        <v>2357</v>
      </c>
      <c r="D4069" s="0" t="s">
        <v>2105</v>
      </c>
      <c r="E4069" s="0" t="s">
        <v>2045</v>
      </c>
      <c r="F4069" s="0" t="s">
        <v>2215</v>
      </c>
      <c r="G4069" s="0" t="s">
        <v>2218</v>
      </c>
      <c r="H4069" s="0" t="s">
        <v>2220</v>
      </c>
      <c r="I4069" s="0" t="s">
        <v>1685</v>
      </c>
      <c r="J4069" s="0" t="s">
        <v>2357</v>
      </c>
      <c r="K4069" s="272" t="n">
        <v>10.65</v>
      </c>
    </row>
    <row r="4070" customFormat="false" ht="15" hidden="false" customHeight="false" outlineLevel="0" collapsed="false">
      <c r="A4070" s="0" t="s">
        <v>2041</v>
      </c>
      <c r="B4070" s="0" t="s">
        <v>2042</v>
      </c>
      <c r="C4070" s="0" t="s">
        <v>2357</v>
      </c>
      <c r="D4070" s="0" t="s">
        <v>2105</v>
      </c>
      <c r="E4070" s="0" t="s">
        <v>2045</v>
      </c>
      <c r="F4070" s="0" t="s">
        <v>2215</v>
      </c>
      <c r="G4070" s="0" t="s">
        <v>2218</v>
      </c>
      <c r="H4070" s="0" t="s">
        <v>2220</v>
      </c>
      <c r="I4070" s="0" t="s">
        <v>2124</v>
      </c>
      <c r="J4070" s="0" t="s">
        <v>2357</v>
      </c>
      <c r="K4070" s="272" t="n">
        <v>3</v>
      </c>
    </row>
    <row r="4071" customFormat="false" ht="15" hidden="false" customHeight="false" outlineLevel="0" collapsed="false">
      <c r="A4071" s="0" t="s">
        <v>2041</v>
      </c>
      <c r="B4071" s="0" t="s">
        <v>2042</v>
      </c>
      <c r="C4071" s="0" t="s">
        <v>2357</v>
      </c>
      <c r="D4071" s="0" t="s">
        <v>2105</v>
      </c>
      <c r="E4071" s="0" t="s">
        <v>2045</v>
      </c>
      <c r="F4071" s="0" t="s">
        <v>2215</v>
      </c>
      <c r="G4071" s="0" t="s">
        <v>2218</v>
      </c>
      <c r="H4071" s="0" t="s">
        <v>2221</v>
      </c>
      <c r="I4071" s="0" t="s">
        <v>1685</v>
      </c>
      <c r="J4071" s="0" t="s">
        <v>2357</v>
      </c>
      <c r="K4071" s="272" t="n">
        <v>19</v>
      </c>
    </row>
    <row r="4072" customFormat="false" ht="15" hidden="false" customHeight="false" outlineLevel="0" collapsed="false">
      <c r="A4072" s="0" t="s">
        <v>2041</v>
      </c>
      <c r="B4072" s="0" t="s">
        <v>2042</v>
      </c>
      <c r="C4072" s="0" t="s">
        <v>2357</v>
      </c>
      <c r="D4072" s="0" t="s">
        <v>2105</v>
      </c>
      <c r="E4072" s="0" t="s">
        <v>2045</v>
      </c>
      <c r="F4072" s="0" t="s">
        <v>2215</v>
      </c>
      <c r="G4072" s="0" t="s">
        <v>2218</v>
      </c>
      <c r="H4072" s="0" t="s">
        <v>2221</v>
      </c>
      <c r="I4072" s="0" t="s">
        <v>2124</v>
      </c>
      <c r="J4072" s="0" t="s">
        <v>2357</v>
      </c>
      <c r="K4072" s="272" t="n">
        <v>5</v>
      </c>
    </row>
    <row r="4073" customFormat="false" ht="15" hidden="false" customHeight="false" outlineLevel="0" collapsed="false">
      <c r="A4073" s="0" t="s">
        <v>2041</v>
      </c>
      <c r="B4073" s="0" t="s">
        <v>2042</v>
      </c>
      <c r="C4073" s="0" t="s">
        <v>2357</v>
      </c>
      <c r="D4073" s="0" t="s">
        <v>2105</v>
      </c>
      <c r="E4073" s="0" t="s">
        <v>2045</v>
      </c>
      <c r="F4073" s="0" t="s">
        <v>2215</v>
      </c>
      <c r="G4073" s="0" t="s">
        <v>2218</v>
      </c>
      <c r="H4073" s="0" t="s">
        <v>2222</v>
      </c>
      <c r="I4073" s="0" t="s">
        <v>2124</v>
      </c>
      <c r="J4073" s="0" t="s">
        <v>2357</v>
      </c>
      <c r="K4073" s="272" t="n">
        <v>4</v>
      </c>
    </row>
    <row r="4074" customFormat="false" ht="15" hidden="false" customHeight="false" outlineLevel="0" collapsed="false">
      <c r="A4074" s="0" t="s">
        <v>2041</v>
      </c>
      <c r="B4074" s="0" t="s">
        <v>2042</v>
      </c>
      <c r="C4074" s="0" t="s">
        <v>2357</v>
      </c>
      <c r="D4074" s="0" t="s">
        <v>2105</v>
      </c>
      <c r="E4074" s="0" t="s">
        <v>2045</v>
      </c>
      <c r="F4074" s="0" t="s">
        <v>2215</v>
      </c>
      <c r="G4074" s="0" t="s">
        <v>2223</v>
      </c>
      <c r="H4074" s="0" t="s">
        <v>2189</v>
      </c>
      <c r="I4074" s="0" t="s">
        <v>1685</v>
      </c>
      <c r="J4074" s="0" t="s">
        <v>2357</v>
      </c>
      <c r="K4074" s="272" t="n">
        <v>1</v>
      </c>
    </row>
    <row r="4075" customFormat="false" ht="15" hidden="false" customHeight="false" outlineLevel="0" collapsed="false">
      <c r="A4075" s="0" t="s">
        <v>2041</v>
      </c>
      <c r="B4075" s="0" t="s">
        <v>2042</v>
      </c>
      <c r="C4075" s="0" t="s">
        <v>2357</v>
      </c>
      <c r="D4075" s="0" t="s">
        <v>2105</v>
      </c>
      <c r="E4075" s="0" t="s">
        <v>2045</v>
      </c>
      <c r="F4075" s="0" t="s">
        <v>2215</v>
      </c>
      <c r="G4075" s="0" t="s">
        <v>2223</v>
      </c>
      <c r="H4075" s="0" t="s">
        <v>2222</v>
      </c>
      <c r="I4075" s="0" t="s">
        <v>1685</v>
      </c>
      <c r="J4075" s="0" t="s">
        <v>2357</v>
      </c>
      <c r="K4075" s="272" t="n">
        <v>6.17741935483871</v>
      </c>
    </row>
    <row r="4076" customFormat="false" ht="15" hidden="false" customHeight="false" outlineLevel="0" collapsed="false">
      <c r="A4076" s="0" t="s">
        <v>2041</v>
      </c>
      <c r="B4076" s="0" t="s">
        <v>2042</v>
      </c>
      <c r="C4076" s="0" t="s">
        <v>2357</v>
      </c>
      <c r="D4076" s="0" t="s">
        <v>2105</v>
      </c>
      <c r="E4076" s="0" t="s">
        <v>2045</v>
      </c>
      <c r="F4076" s="0" t="s">
        <v>2215</v>
      </c>
      <c r="G4076" s="0" t="s">
        <v>2223</v>
      </c>
      <c r="H4076" s="0" t="s">
        <v>2224</v>
      </c>
      <c r="I4076" s="0" t="s">
        <v>1685</v>
      </c>
      <c r="J4076" s="0" t="s">
        <v>2357</v>
      </c>
      <c r="K4076" s="272" t="n">
        <v>4</v>
      </c>
    </row>
    <row r="4077" customFormat="false" ht="15" hidden="false" customHeight="false" outlineLevel="0" collapsed="false">
      <c r="A4077" s="0" t="s">
        <v>2041</v>
      </c>
      <c r="B4077" s="0" t="s">
        <v>2042</v>
      </c>
      <c r="C4077" s="0" t="s">
        <v>2357</v>
      </c>
      <c r="D4077" s="0" t="s">
        <v>2105</v>
      </c>
      <c r="E4077" s="0" t="s">
        <v>2045</v>
      </c>
      <c r="F4077" s="0" t="s">
        <v>2215</v>
      </c>
      <c r="G4077" s="0" t="s">
        <v>2223</v>
      </c>
      <c r="H4077" s="0" t="s">
        <v>2224</v>
      </c>
      <c r="I4077" s="0" t="s">
        <v>2124</v>
      </c>
      <c r="J4077" s="0" t="s">
        <v>2357</v>
      </c>
      <c r="K4077" s="272" t="n">
        <v>0.25</v>
      </c>
    </row>
    <row r="4078" customFormat="false" ht="15" hidden="false" customHeight="false" outlineLevel="0" collapsed="false">
      <c r="A4078" s="0" t="s">
        <v>2041</v>
      </c>
      <c r="B4078" s="0" t="s">
        <v>2042</v>
      </c>
      <c r="C4078" s="0" t="s">
        <v>2357</v>
      </c>
      <c r="D4078" s="0" t="s">
        <v>2105</v>
      </c>
      <c r="E4078" s="0" t="s">
        <v>2045</v>
      </c>
      <c r="F4078" s="0" t="s">
        <v>2225</v>
      </c>
      <c r="G4078" s="0" t="s">
        <v>2226</v>
      </c>
      <c r="H4078" s="0" t="s">
        <v>2227</v>
      </c>
      <c r="I4078" s="0" t="s">
        <v>1685</v>
      </c>
      <c r="J4078" s="0" t="s">
        <v>2357</v>
      </c>
      <c r="K4078" s="272" t="n">
        <v>2</v>
      </c>
    </row>
    <row r="4079" customFormat="false" ht="15" hidden="false" customHeight="false" outlineLevel="0" collapsed="false">
      <c r="A4079" s="0" t="s">
        <v>2041</v>
      </c>
      <c r="B4079" s="0" t="s">
        <v>2042</v>
      </c>
      <c r="C4079" s="0" t="s">
        <v>2357</v>
      </c>
      <c r="D4079" s="0" t="s">
        <v>2105</v>
      </c>
      <c r="E4079" s="0" t="s">
        <v>2045</v>
      </c>
      <c r="F4079" s="0" t="s">
        <v>2225</v>
      </c>
      <c r="G4079" s="0" t="s">
        <v>2228</v>
      </c>
      <c r="H4079" s="0" t="s">
        <v>2227</v>
      </c>
      <c r="I4079" s="0" t="s">
        <v>1685</v>
      </c>
      <c r="J4079" s="0" t="s">
        <v>2357</v>
      </c>
      <c r="K4079" s="272" t="n">
        <v>20</v>
      </c>
    </row>
    <row r="4080" customFormat="false" ht="15" hidden="false" customHeight="false" outlineLevel="0" collapsed="false">
      <c r="A4080" s="0" t="s">
        <v>2041</v>
      </c>
      <c r="B4080" s="0" t="s">
        <v>2042</v>
      </c>
      <c r="C4080" s="0" t="s">
        <v>2357</v>
      </c>
      <c r="D4080" s="0" t="s">
        <v>2105</v>
      </c>
      <c r="E4080" s="0" t="s">
        <v>2045</v>
      </c>
      <c r="F4080" s="0" t="s">
        <v>2225</v>
      </c>
      <c r="G4080" s="0" t="s">
        <v>2228</v>
      </c>
      <c r="H4080" s="0" t="s">
        <v>2227</v>
      </c>
      <c r="I4080" s="0" t="s">
        <v>2124</v>
      </c>
      <c r="J4080" s="0" t="s">
        <v>2357</v>
      </c>
      <c r="K4080" s="272" t="n">
        <v>2</v>
      </c>
    </row>
    <row r="4081" customFormat="false" ht="15" hidden="false" customHeight="false" outlineLevel="0" collapsed="false">
      <c r="A4081" s="0" t="s">
        <v>2041</v>
      </c>
      <c r="B4081" s="0" t="s">
        <v>2042</v>
      </c>
      <c r="C4081" s="0" t="s">
        <v>2357</v>
      </c>
      <c r="D4081" s="0" t="s">
        <v>2105</v>
      </c>
      <c r="E4081" s="0" t="s">
        <v>2045</v>
      </c>
      <c r="F4081" s="0" t="s">
        <v>2225</v>
      </c>
      <c r="G4081" s="0" t="s">
        <v>2229</v>
      </c>
      <c r="H4081" s="0" t="s">
        <v>2227</v>
      </c>
      <c r="I4081" s="0" t="s">
        <v>1685</v>
      </c>
      <c r="J4081" s="0" t="s">
        <v>2357</v>
      </c>
      <c r="K4081" s="272" t="n">
        <v>16</v>
      </c>
    </row>
    <row r="4082" customFormat="false" ht="15" hidden="false" customHeight="false" outlineLevel="0" collapsed="false">
      <c r="A4082" s="0" t="s">
        <v>2041</v>
      </c>
      <c r="B4082" s="0" t="s">
        <v>2042</v>
      </c>
      <c r="C4082" s="0" t="s">
        <v>2357</v>
      </c>
      <c r="D4082" s="0" t="s">
        <v>2105</v>
      </c>
      <c r="E4082" s="0" t="s">
        <v>2045</v>
      </c>
      <c r="F4082" s="0" t="s">
        <v>2225</v>
      </c>
      <c r="G4082" s="0" t="s">
        <v>2230</v>
      </c>
      <c r="H4082" s="0" t="s">
        <v>2227</v>
      </c>
      <c r="I4082" s="0" t="s">
        <v>1685</v>
      </c>
      <c r="J4082" s="0" t="s">
        <v>2357</v>
      </c>
      <c r="K4082" s="272" t="n">
        <v>6</v>
      </c>
    </row>
    <row r="4083" customFormat="false" ht="15" hidden="false" customHeight="false" outlineLevel="0" collapsed="false">
      <c r="A4083" s="0" t="s">
        <v>2041</v>
      </c>
      <c r="B4083" s="0" t="s">
        <v>2042</v>
      </c>
      <c r="C4083" s="0" t="s">
        <v>2357</v>
      </c>
      <c r="D4083" s="0" t="s">
        <v>2105</v>
      </c>
      <c r="E4083" s="0" t="s">
        <v>2045</v>
      </c>
      <c r="F4083" s="0" t="s">
        <v>2225</v>
      </c>
      <c r="G4083" s="0" t="s">
        <v>2231</v>
      </c>
      <c r="H4083" s="0" t="s">
        <v>2227</v>
      </c>
      <c r="I4083" s="0" t="s">
        <v>1685</v>
      </c>
      <c r="J4083" s="0" t="s">
        <v>2357</v>
      </c>
      <c r="K4083" s="272" t="n">
        <v>9.99999999999999</v>
      </c>
    </row>
    <row r="4084" customFormat="false" ht="15" hidden="false" customHeight="false" outlineLevel="0" collapsed="false">
      <c r="A4084" s="0" t="s">
        <v>2041</v>
      </c>
      <c r="B4084" s="0" t="s">
        <v>2042</v>
      </c>
      <c r="C4084" s="0" t="s">
        <v>2357</v>
      </c>
      <c r="D4084" s="0" t="s">
        <v>2105</v>
      </c>
      <c r="E4084" s="0" t="s">
        <v>2045</v>
      </c>
      <c r="F4084" s="0" t="s">
        <v>2225</v>
      </c>
      <c r="G4084" s="0" t="s">
        <v>2231</v>
      </c>
      <c r="H4084" s="0" t="s">
        <v>2227</v>
      </c>
      <c r="I4084" s="0" t="s">
        <v>2124</v>
      </c>
      <c r="J4084" s="0" t="s">
        <v>2357</v>
      </c>
      <c r="K4084" s="272" t="n">
        <v>3</v>
      </c>
    </row>
    <row r="4085" customFormat="false" ht="15" hidden="false" customHeight="false" outlineLevel="0" collapsed="false">
      <c r="A4085" s="0" t="s">
        <v>2041</v>
      </c>
      <c r="B4085" s="0" t="s">
        <v>2042</v>
      </c>
      <c r="C4085" s="0" t="s">
        <v>2357</v>
      </c>
      <c r="D4085" s="0" t="s">
        <v>2105</v>
      </c>
      <c r="E4085" s="0" t="s">
        <v>2045</v>
      </c>
      <c r="F4085" s="0" t="s">
        <v>2099</v>
      </c>
      <c r="G4085" s="0" t="s">
        <v>2232</v>
      </c>
      <c r="H4085" s="0" t="s">
        <v>2100</v>
      </c>
      <c r="I4085" s="0" t="s">
        <v>1685</v>
      </c>
      <c r="J4085" s="0" t="s">
        <v>2357</v>
      </c>
      <c r="K4085" s="272" t="n">
        <v>1</v>
      </c>
    </row>
    <row r="4086" customFormat="false" ht="15" hidden="false" customHeight="false" outlineLevel="0" collapsed="false">
      <c r="A4086" s="0" t="s">
        <v>2041</v>
      </c>
      <c r="B4086" s="0" t="s">
        <v>2042</v>
      </c>
      <c r="C4086" s="0" t="s">
        <v>2357</v>
      </c>
      <c r="D4086" s="0" t="s">
        <v>2105</v>
      </c>
      <c r="E4086" s="0" t="s">
        <v>2045</v>
      </c>
      <c r="F4086" s="0" t="s">
        <v>2099</v>
      </c>
      <c r="G4086" s="0" t="s">
        <v>2232</v>
      </c>
      <c r="H4086" s="0" t="s">
        <v>2233</v>
      </c>
      <c r="I4086" s="0" t="s">
        <v>1685</v>
      </c>
      <c r="J4086" s="0" t="s">
        <v>2357</v>
      </c>
      <c r="K4086" s="272" t="n">
        <v>1</v>
      </c>
    </row>
    <row r="4087" customFormat="false" ht="15" hidden="false" customHeight="false" outlineLevel="0" collapsed="false">
      <c r="A4087" s="0" t="s">
        <v>2041</v>
      </c>
      <c r="B4087" s="0" t="s">
        <v>2042</v>
      </c>
      <c r="C4087" s="0" t="s">
        <v>2357</v>
      </c>
      <c r="D4087" s="0" t="s">
        <v>2105</v>
      </c>
      <c r="E4087" s="0" t="s">
        <v>2045</v>
      </c>
      <c r="F4087" s="0" t="s">
        <v>2099</v>
      </c>
      <c r="G4087" s="0" t="s">
        <v>2232</v>
      </c>
      <c r="H4087" s="0" t="s">
        <v>2234</v>
      </c>
      <c r="I4087" s="0" t="s">
        <v>1685</v>
      </c>
      <c r="J4087" s="0" t="s">
        <v>2357</v>
      </c>
      <c r="K4087" s="272" t="n">
        <v>17.7096774193548</v>
      </c>
    </row>
    <row r="4088" customFormat="false" ht="15" hidden="false" customHeight="false" outlineLevel="0" collapsed="false">
      <c r="A4088" s="0" t="s">
        <v>2041</v>
      </c>
      <c r="B4088" s="0" t="s">
        <v>2042</v>
      </c>
      <c r="C4088" s="0" t="s">
        <v>2357</v>
      </c>
      <c r="D4088" s="0" t="s">
        <v>2105</v>
      </c>
      <c r="E4088" s="0" t="s">
        <v>2045</v>
      </c>
      <c r="F4088" s="0" t="s">
        <v>2099</v>
      </c>
      <c r="G4088" s="0" t="s">
        <v>2232</v>
      </c>
      <c r="H4088" s="0" t="s">
        <v>2235</v>
      </c>
      <c r="I4088" s="0" t="s">
        <v>1685</v>
      </c>
      <c r="J4088" s="0" t="s">
        <v>2357</v>
      </c>
      <c r="K4088" s="272" t="n">
        <v>4</v>
      </c>
    </row>
    <row r="4089" customFormat="false" ht="15" hidden="false" customHeight="false" outlineLevel="0" collapsed="false">
      <c r="A4089" s="0" t="s">
        <v>2041</v>
      </c>
      <c r="B4089" s="0" t="s">
        <v>2042</v>
      </c>
      <c r="C4089" s="0" t="s">
        <v>2357</v>
      </c>
      <c r="D4089" s="0" t="s">
        <v>2105</v>
      </c>
      <c r="E4089" s="0" t="s">
        <v>2045</v>
      </c>
      <c r="F4089" s="0" t="s">
        <v>2099</v>
      </c>
      <c r="G4089" s="0" t="s">
        <v>2236</v>
      </c>
      <c r="H4089" s="0" t="s">
        <v>2233</v>
      </c>
      <c r="I4089" s="0" t="s">
        <v>1685</v>
      </c>
      <c r="J4089" s="0" t="s">
        <v>2357</v>
      </c>
      <c r="K4089" s="272" t="n">
        <v>13</v>
      </c>
    </row>
    <row r="4090" customFormat="false" ht="15" hidden="false" customHeight="false" outlineLevel="0" collapsed="false">
      <c r="A4090" s="0" t="s">
        <v>2041</v>
      </c>
      <c r="B4090" s="0" t="s">
        <v>2042</v>
      </c>
      <c r="C4090" s="0" t="s">
        <v>2357</v>
      </c>
      <c r="D4090" s="0" t="s">
        <v>2105</v>
      </c>
      <c r="E4090" s="0" t="s">
        <v>2045</v>
      </c>
      <c r="F4090" s="0" t="s">
        <v>2099</v>
      </c>
      <c r="G4090" s="0" t="s">
        <v>2236</v>
      </c>
      <c r="H4090" s="0" t="s">
        <v>2233</v>
      </c>
      <c r="I4090" s="0" t="s">
        <v>2124</v>
      </c>
      <c r="J4090" s="0" t="s">
        <v>2357</v>
      </c>
      <c r="K4090" s="272" t="n">
        <v>4.12903225806452</v>
      </c>
    </row>
    <row r="4091" customFormat="false" ht="15" hidden="false" customHeight="false" outlineLevel="0" collapsed="false">
      <c r="A4091" s="0" t="s">
        <v>2041</v>
      </c>
      <c r="B4091" s="0" t="s">
        <v>2042</v>
      </c>
      <c r="C4091" s="0" t="s">
        <v>2357</v>
      </c>
      <c r="D4091" s="0" t="s">
        <v>2105</v>
      </c>
      <c r="E4091" s="0" t="s">
        <v>2045</v>
      </c>
      <c r="F4091" s="0" t="s">
        <v>2099</v>
      </c>
      <c r="G4091" s="0" t="s">
        <v>2236</v>
      </c>
      <c r="H4091" s="0" t="s">
        <v>2237</v>
      </c>
      <c r="I4091" s="0" t="s">
        <v>1685</v>
      </c>
      <c r="J4091" s="0" t="s">
        <v>2357</v>
      </c>
      <c r="K4091" s="272" t="n">
        <v>1</v>
      </c>
    </row>
    <row r="4092" customFormat="false" ht="15" hidden="false" customHeight="false" outlineLevel="0" collapsed="false">
      <c r="A4092" s="0" t="s">
        <v>2041</v>
      </c>
      <c r="B4092" s="0" t="s">
        <v>2042</v>
      </c>
      <c r="C4092" s="0" t="s">
        <v>2357</v>
      </c>
      <c r="D4092" s="0" t="s">
        <v>2105</v>
      </c>
      <c r="E4092" s="0" t="s">
        <v>2045</v>
      </c>
      <c r="F4092" s="0" t="s">
        <v>2099</v>
      </c>
      <c r="G4092" s="0" t="s">
        <v>2238</v>
      </c>
      <c r="H4092" s="0" t="s">
        <v>2239</v>
      </c>
      <c r="I4092" s="0" t="s">
        <v>1685</v>
      </c>
      <c r="J4092" s="0" t="s">
        <v>2357</v>
      </c>
      <c r="K4092" s="272" t="n">
        <v>45.1729032258065</v>
      </c>
    </row>
    <row r="4093" customFormat="false" ht="15" hidden="false" customHeight="false" outlineLevel="0" collapsed="false">
      <c r="A4093" s="0" t="s">
        <v>2041</v>
      </c>
      <c r="B4093" s="0" t="s">
        <v>2042</v>
      </c>
      <c r="C4093" s="0" t="s">
        <v>2357</v>
      </c>
      <c r="D4093" s="0" t="s">
        <v>2105</v>
      </c>
      <c r="E4093" s="0" t="s">
        <v>2045</v>
      </c>
      <c r="F4093" s="0" t="s">
        <v>2099</v>
      </c>
      <c r="G4093" s="0" t="s">
        <v>2238</v>
      </c>
      <c r="H4093" s="0" t="s">
        <v>2239</v>
      </c>
      <c r="I4093" s="0" t="s">
        <v>2124</v>
      </c>
      <c r="J4093" s="0" t="s">
        <v>2357</v>
      </c>
      <c r="K4093" s="272" t="n">
        <v>4</v>
      </c>
    </row>
    <row r="4094" customFormat="false" ht="15" hidden="false" customHeight="false" outlineLevel="0" collapsed="false">
      <c r="A4094" s="0" t="s">
        <v>2041</v>
      </c>
      <c r="B4094" s="0" t="s">
        <v>2042</v>
      </c>
      <c r="C4094" s="0" t="s">
        <v>2357</v>
      </c>
      <c r="D4094" s="0" t="s">
        <v>2105</v>
      </c>
      <c r="E4094" s="0" t="s">
        <v>2045</v>
      </c>
      <c r="F4094" s="0" t="s">
        <v>2099</v>
      </c>
      <c r="G4094" s="0" t="s">
        <v>2238</v>
      </c>
      <c r="H4094" s="0" t="s">
        <v>2239</v>
      </c>
      <c r="I4094" s="0" t="s">
        <v>2197</v>
      </c>
      <c r="J4094" s="0" t="s">
        <v>2357</v>
      </c>
      <c r="K4094" s="272" t="n">
        <v>4</v>
      </c>
    </row>
    <row r="4095" customFormat="false" ht="15" hidden="false" customHeight="false" outlineLevel="0" collapsed="false">
      <c r="A4095" s="0" t="s">
        <v>2041</v>
      </c>
      <c r="B4095" s="0" t="s">
        <v>2042</v>
      </c>
      <c r="C4095" s="0" t="s">
        <v>2357</v>
      </c>
      <c r="D4095" s="0" t="s">
        <v>2105</v>
      </c>
      <c r="E4095" s="0" t="s">
        <v>2045</v>
      </c>
      <c r="F4095" s="0" t="s">
        <v>2099</v>
      </c>
      <c r="G4095" s="0" t="s">
        <v>2238</v>
      </c>
      <c r="H4095" s="0" t="s">
        <v>2239</v>
      </c>
      <c r="I4095" s="0" t="s">
        <v>2201</v>
      </c>
      <c r="J4095" s="0" t="s">
        <v>2357</v>
      </c>
      <c r="K4095" s="272" t="n">
        <v>1</v>
      </c>
    </row>
    <row r="4096" customFormat="false" ht="15" hidden="false" customHeight="false" outlineLevel="0" collapsed="false">
      <c r="A4096" s="0" t="s">
        <v>2041</v>
      </c>
      <c r="B4096" s="0" t="s">
        <v>2042</v>
      </c>
      <c r="C4096" s="0" t="s">
        <v>2357</v>
      </c>
      <c r="D4096" s="0" t="s">
        <v>2105</v>
      </c>
      <c r="E4096" s="0" t="s">
        <v>2045</v>
      </c>
      <c r="F4096" s="0" t="s">
        <v>2099</v>
      </c>
      <c r="G4096" s="0" t="s">
        <v>2240</v>
      </c>
      <c r="H4096" s="0" t="s">
        <v>2100</v>
      </c>
      <c r="I4096" s="0" t="s">
        <v>1685</v>
      </c>
      <c r="J4096" s="0" t="s">
        <v>2357</v>
      </c>
      <c r="K4096" s="272" t="n">
        <v>29.5161290322581</v>
      </c>
    </row>
    <row r="4097" customFormat="false" ht="15" hidden="false" customHeight="false" outlineLevel="0" collapsed="false">
      <c r="A4097" s="0" t="s">
        <v>2041</v>
      </c>
      <c r="B4097" s="0" t="s">
        <v>2042</v>
      </c>
      <c r="C4097" s="0" t="s">
        <v>2357</v>
      </c>
      <c r="D4097" s="0" t="s">
        <v>2105</v>
      </c>
      <c r="E4097" s="0" t="s">
        <v>2045</v>
      </c>
      <c r="F4097" s="0" t="s">
        <v>2099</v>
      </c>
      <c r="G4097" s="0" t="s">
        <v>2240</v>
      </c>
      <c r="H4097" s="0" t="s">
        <v>2100</v>
      </c>
      <c r="I4097" s="0" t="s">
        <v>2124</v>
      </c>
      <c r="J4097" s="0" t="s">
        <v>2357</v>
      </c>
      <c r="K4097" s="272" t="n">
        <v>1</v>
      </c>
    </row>
    <row r="4098" customFormat="false" ht="15" hidden="false" customHeight="false" outlineLevel="0" collapsed="false">
      <c r="A4098" s="0" t="s">
        <v>2041</v>
      </c>
      <c r="B4098" s="0" t="s">
        <v>2042</v>
      </c>
      <c r="C4098" s="0" t="s">
        <v>2357</v>
      </c>
      <c r="D4098" s="0" t="s">
        <v>2105</v>
      </c>
      <c r="E4098" s="0" t="s">
        <v>2045</v>
      </c>
      <c r="F4098" s="0" t="s">
        <v>2099</v>
      </c>
      <c r="G4098" s="0" t="s">
        <v>2240</v>
      </c>
      <c r="H4098" s="0" t="s">
        <v>2235</v>
      </c>
      <c r="I4098" s="0" t="s">
        <v>1685</v>
      </c>
      <c r="J4098" s="0" t="s">
        <v>2357</v>
      </c>
      <c r="K4098" s="272" t="n">
        <v>1</v>
      </c>
    </row>
    <row r="4099" customFormat="false" ht="15" hidden="false" customHeight="false" outlineLevel="0" collapsed="false">
      <c r="A4099" s="0" t="s">
        <v>2041</v>
      </c>
      <c r="B4099" s="0" t="s">
        <v>2042</v>
      </c>
      <c r="C4099" s="0" t="s">
        <v>2357</v>
      </c>
      <c r="D4099" s="0" t="s">
        <v>2105</v>
      </c>
      <c r="E4099" s="0" t="s">
        <v>2045</v>
      </c>
      <c r="F4099" s="0" t="s">
        <v>2099</v>
      </c>
      <c r="G4099" s="0" t="s">
        <v>2241</v>
      </c>
      <c r="H4099" s="0" t="s">
        <v>2242</v>
      </c>
      <c r="I4099" s="0" t="s">
        <v>1685</v>
      </c>
      <c r="J4099" s="0" t="s">
        <v>2357</v>
      </c>
      <c r="K4099" s="272" t="n">
        <v>9</v>
      </c>
    </row>
    <row r="4100" customFormat="false" ht="15" hidden="false" customHeight="false" outlineLevel="0" collapsed="false">
      <c r="A4100" s="0" t="s">
        <v>2041</v>
      </c>
      <c r="B4100" s="0" t="s">
        <v>2042</v>
      </c>
      <c r="C4100" s="0" t="s">
        <v>2357</v>
      </c>
      <c r="D4100" s="0" t="s">
        <v>2105</v>
      </c>
      <c r="E4100" s="0" t="s">
        <v>2045</v>
      </c>
      <c r="F4100" s="0" t="s">
        <v>2099</v>
      </c>
      <c r="G4100" s="0" t="s">
        <v>2243</v>
      </c>
      <c r="H4100" s="0" t="s">
        <v>2244</v>
      </c>
      <c r="I4100" s="0" t="s">
        <v>1685</v>
      </c>
      <c r="J4100" s="0" t="s">
        <v>2357</v>
      </c>
      <c r="K4100" s="272" t="n">
        <v>14.5806451612903</v>
      </c>
    </row>
    <row r="4101" customFormat="false" ht="15" hidden="false" customHeight="false" outlineLevel="0" collapsed="false">
      <c r="A4101" s="0" t="s">
        <v>2041</v>
      </c>
      <c r="B4101" s="0" t="s">
        <v>2042</v>
      </c>
      <c r="C4101" s="0" t="s">
        <v>2357</v>
      </c>
      <c r="D4101" s="0" t="s">
        <v>2105</v>
      </c>
      <c r="E4101" s="0" t="s">
        <v>2045</v>
      </c>
      <c r="F4101" s="0" t="s">
        <v>2099</v>
      </c>
      <c r="G4101" s="0" t="s">
        <v>2243</v>
      </c>
      <c r="H4101" s="0" t="s">
        <v>2244</v>
      </c>
      <c r="I4101" s="0" t="s">
        <v>2124</v>
      </c>
      <c r="J4101" s="0" t="s">
        <v>2357</v>
      </c>
      <c r="K4101" s="272" t="n">
        <v>6.96774193548387</v>
      </c>
    </row>
    <row r="4102" customFormat="false" ht="15" hidden="false" customHeight="false" outlineLevel="0" collapsed="false">
      <c r="A4102" s="0" t="s">
        <v>2041</v>
      </c>
      <c r="B4102" s="0" t="s">
        <v>2042</v>
      </c>
      <c r="C4102" s="0" t="s">
        <v>2357</v>
      </c>
      <c r="D4102" s="0" t="s">
        <v>2105</v>
      </c>
      <c r="E4102" s="0" t="s">
        <v>2045</v>
      </c>
      <c r="F4102" s="0" t="s">
        <v>2099</v>
      </c>
      <c r="G4102" s="0" t="s">
        <v>2243</v>
      </c>
      <c r="H4102" s="0" t="s">
        <v>2244</v>
      </c>
      <c r="I4102" s="0" t="s">
        <v>2197</v>
      </c>
      <c r="J4102" s="0" t="s">
        <v>2357</v>
      </c>
      <c r="K4102" s="272" t="n">
        <v>15.0322580645161</v>
      </c>
    </row>
    <row r="4103" customFormat="false" ht="15" hidden="false" customHeight="false" outlineLevel="0" collapsed="false">
      <c r="A4103" s="0" t="s">
        <v>2041</v>
      </c>
      <c r="B4103" s="0" t="s">
        <v>2042</v>
      </c>
      <c r="C4103" s="0" t="s">
        <v>2357</v>
      </c>
      <c r="D4103" s="0" t="s">
        <v>2105</v>
      </c>
      <c r="E4103" s="0" t="s">
        <v>2045</v>
      </c>
      <c r="F4103" s="0" t="s">
        <v>2099</v>
      </c>
      <c r="G4103" s="0" t="s">
        <v>2243</v>
      </c>
      <c r="H4103" s="0" t="s">
        <v>2244</v>
      </c>
      <c r="I4103" s="0" t="s">
        <v>2201</v>
      </c>
      <c r="J4103" s="0" t="s">
        <v>2357</v>
      </c>
      <c r="K4103" s="272" t="n">
        <v>1</v>
      </c>
    </row>
    <row r="4104" customFormat="false" ht="15" hidden="false" customHeight="false" outlineLevel="0" collapsed="false">
      <c r="A4104" s="0" t="s">
        <v>2041</v>
      </c>
      <c r="B4104" s="0" t="s">
        <v>2042</v>
      </c>
      <c r="C4104" s="0" t="s">
        <v>2357</v>
      </c>
      <c r="D4104" s="0" t="s">
        <v>2105</v>
      </c>
      <c r="E4104" s="0" t="s">
        <v>2045</v>
      </c>
      <c r="F4104" s="0" t="s">
        <v>2099</v>
      </c>
      <c r="G4104" s="0" t="s">
        <v>2243</v>
      </c>
      <c r="H4104" s="0" t="s">
        <v>2245</v>
      </c>
      <c r="I4104" s="0" t="s">
        <v>1685</v>
      </c>
      <c r="J4104" s="0" t="s">
        <v>2357</v>
      </c>
      <c r="K4104" s="272" t="n">
        <v>0.594516129032258</v>
      </c>
    </row>
    <row r="4105" customFormat="false" ht="15" hidden="false" customHeight="false" outlineLevel="0" collapsed="false">
      <c r="A4105" s="0" t="s">
        <v>2041</v>
      </c>
      <c r="B4105" s="0" t="s">
        <v>2042</v>
      </c>
      <c r="C4105" s="0" t="s">
        <v>2357</v>
      </c>
      <c r="D4105" s="0" t="s">
        <v>2105</v>
      </c>
      <c r="E4105" s="0" t="s">
        <v>2045</v>
      </c>
      <c r="F4105" s="0" t="s">
        <v>2099</v>
      </c>
      <c r="G4105" s="0" t="s">
        <v>2243</v>
      </c>
      <c r="H4105" s="0" t="s">
        <v>2245</v>
      </c>
      <c r="I4105" s="0" t="s">
        <v>2246</v>
      </c>
      <c r="J4105" s="0" t="s">
        <v>2357</v>
      </c>
      <c r="K4105" s="272" t="n">
        <v>15</v>
      </c>
    </row>
    <row r="4106" customFormat="false" ht="15" hidden="false" customHeight="false" outlineLevel="0" collapsed="false">
      <c r="A4106" s="0" t="s">
        <v>2041</v>
      </c>
      <c r="B4106" s="0" t="s">
        <v>2042</v>
      </c>
      <c r="C4106" s="0" t="s">
        <v>2357</v>
      </c>
      <c r="D4106" s="0" t="s">
        <v>2105</v>
      </c>
      <c r="E4106" s="0" t="s">
        <v>2045</v>
      </c>
      <c r="F4106" s="0" t="s">
        <v>2099</v>
      </c>
      <c r="G4106" s="0" t="s">
        <v>2243</v>
      </c>
      <c r="H4106" s="0" t="s">
        <v>2247</v>
      </c>
      <c r="I4106" s="0" t="s">
        <v>1685</v>
      </c>
      <c r="J4106" s="0" t="s">
        <v>2357</v>
      </c>
      <c r="K4106" s="272" t="n">
        <v>2</v>
      </c>
    </row>
    <row r="4107" customFormat="false" ht="15" hidden="false" customHeight="false" outlineLevel="0" collapsed="false">
      <c r="A4107" s="0" t="s">
        <v>2041</v>
      </c>
      <c r="B4107" s="0" t="s">
        <v>2042</v>
      </c>
      <c r="C4107" s="0" t="s">
        <v>2357</v>
      </c>
      <c r="D4107" s="0" t="s">
        <v>2105</v>
      </c>
      <c r="E4107" s="0" t="s">
        <v>2045</v>
      </c>
      <c r="F4107" s="0" t="s">
        <v>2099</v>
      </c>
      <c r="G4107" s="0" t="s">
        <v>2243</v>
      </c>
      <c r="H4107" s="0" t="s">
        <v>2247</v>
      </c>
      <c r="I4107" s="0" t="s">
        <v>2124</v>
      </c>
      <c r="J4107" s="0" t="s">
        <v>2357</v>
      </c>
      <c r="K4107" s="272" t="n">
        <v>2</v>
      </c>
    </row>
    <row r="4108" customFormat="false" ht="15" hidden="false" customHeight="false" outlineLevel="0" collapsed="false">
      <c r="A4108" s="0" t="s">
        <v>2041</v>
      </c>
      <c r="B4108" s="0" t="s">
        <v>2042</v>
      </c>
      <c r="C4108" s="0" t="s">
        <v>2357</v>
      </c>
      <c r="D4108" s="0" t="s">
        <v>2105</v>
      </c>
      <c r="E4108" s="0" t="s">
        <v>2045</v>
      </c>
      <c r="F4108" s="0" t="s">
        <v>2099</v>
      </c>
      <c r="G4108" s="0" t="s">
        <v>2243</v>
      </c>
      <c r="H4108" s="0" t="s">
        <v>2247</v>
      </c>
      <c r="I4108" s="0" t="s">
        <v>2197</v>
      </c>
      <c r="J4108" s="0" t="s">
        <v>2357</v>
      </c>
      <c r="K4108" s="272" t="n">
        <v>0.483870967741935</v>
      </c>
    </row>
    <row r="4109" customFormat="false" ht="15" hidden="false" customHeight="false" outlineLevel="0" collapsed="false">
      <c r="A4109" s="0" t="s">
        <v>2041</v>
      </c>
      <c r="B4109" s="0" t="s">
        <v>2042</v>
      </c>
      <c r="C4109" s="0" t="s">
        <v>2357</v>
      </c>
      <c r="D4109" s="0" t="s">
        <v>2105</v>
      </c>
      <c r="E4109" s="0" t="s">
        <v>2045</v>
      </c>
      <c r="F4109" s="0" t="s">
        <v>2099</v>
      </c>
      <c r="G4109" s="0" t="s">
        <v>2243</v>
      </c>
      <c r="H4109" s="0" t="s">
        <v>2247</v>
      </c>
      <c r="I4109" s="0" t="s">
        <v>2201</v>
      </c>
      <c r="J4109" s="0" t="s">
        <v>2357</v>
      </c>
      <c r="K4109" s="272" t="n">
        <v>16</v>
      </c>
    </row>
    <row r="4110" customFormat="false" ht="15" hidden="false" customHeight="false" outlineLevel="0" collapsed="false">
      <c r="A4110" s="0" t="s">
        <v>2041</v>
      </c>
      <c r="B4110" s="0" t="s">
        <v>2042</v>
      </c>
      <c r="C4110" s="0" t="s">
        <v>2357</v>
      </c>
      <c r="D4110" s="0" t="s">
        <v>2105</v>
      </c>
      <c r="E4110" s="0" t="s">
        <v>2045</v>
      </c>
      <c r="F4110" s="0" t="s">
        <v>2099</v>
      </c>
      <c r="G4110" s="0" t="s">
        <v>2248</v>
      </c>
      <c r="H4110" s="0" t="s">
        <v>2244</v>
      </c>
      <c r="I4110" s="0" t="s">
        <v>2246</v>
      </c>
      <c r="J4110" s="0" t="s">
        <v>2357</v>
      </c>
      <c r="K4110" s="272" t="n">
        <v>3</v>
      </c>
    </row>
    <row r="4111" customFormat="false" ht="15" hidden="false" customHeight="false" outlineLevel="0" collapsed="false">
      <c r="A4111" s="0" t="s">
        <v>2041</v>
      </c>
      <c r="B4111" s="0" t="s">
        <v>2042</v>
      </c>
      <c r="C4111" s="0" t="s">
        <v>2357</v>
      </c>
      <c r="D4111" s="0" t="s">
        <v>2105</v>
      </c>
      <c r="E4111" s="0" t="s">
        <v>2045</v>
      </c>
      <c r="F4111" s="0" t="s">
        <v>2099</v>
      </c>
      <c r="G4111" s="0" t="s">
        <v>2248</v>
      </c>
      <c r="H4111" s="0" t="s">
        <v>2245</v>
      </c>
      <c r="I4111" s="0" t="s">
        <v>2246</v>
      </c>
      <c r="J4111" s="0" t="s">
        <v>2357</v>
      </c>
      <c r="K4111" s="272" t="n">
        <v>1</v>
      </c>
    </row>
    <row r="4112" customFormat="false" ht="15" hidden="false" customHeight="false" outlineLevel="0" collapsed="false">
      <c r="A4112" s="0" t="s">
        <v>2041</v>
      </c>
      <c r="B4112" s="0" t="s">
        <v>2042</v>
      </c>
      <c r="C4112" s="0" t="s">
        <v>2357</v>
      </c>
      <c r="D4112" s="0" t="s">
        <v>2105</v>
      </c>
      <c r="E4112" s="0" t="s">
        <v>2045</v>
      </c>
      <c r="F4112" s="0" t="s">
        <v>2099</v>
      </c>
      <c r="G4112" s="0" t="s">
        <v>2249</v>
      </c>
      <c r="H4112" s="0" t="s">
        <v>2245</v>
      </c>
      <c r="I4112" s="0" t="s">
        <v>2246</v>
      </c>
      <c r="J4112" s="0" t="s">
        <v>2357</v>
      </c>
      <c r="K4112" s="272" t="n">
        <v>14</v>
      </c>
    </row>
    <row r="4113" customFormat="false" ht="15" hidden="false" customHeight="false" outlineLevel="0" collapsed="false">
      <c r="A4113" s="0" t="s">
        <v>2041</v>
      </c>
      <c r="B4113" s="0" t="s">
        <v>2042</v>
      </c>
      <c r="C4113" s="0" t="s">
        <v>2357</v>
      </c>
      <c r="D4113" s="0" t="s">
        <v>2105</v>
      </c>
      <c r="E4113" s="0" t="s">
        <v>2045</v>
      </c>
      <c r="F4113" s="0" t="s">
        <v>2250</v>
      </c>
      <c r="G4113" s="0" t="s">
        <v>2251</v>
      </c>
      <c r="H4113" s="0" t="s">
        <v>2252</v>
      </c>
      <c r="I4113" s="0" t="s">
        <v>1685</v>
      </c>
      <c r="J4113" s="0" t="s">
        <v>2357</v>
      </c>
      <c r="K4113" s="272" t="n">
        <v>21.6193548387097</v>
      </c>
    </row>
    <row r="4114" customFormat="false" ht="15" hidden="false" customHeight="false" outlineLevel="0" collapsed="false">
      <c r="A4114" s="0" t="s">
        <v>2041</v>
      </c>
      <c r="B4114" s="0" t="s">
        <v>2042</v>
      </c>
      <c r="C4114" s="0" t="s">
        <v>2357</v>
      </c>
      <c r="D4114" s="0" t="s">
        <v>2105</v>
      </c>
      <c r="E4114" s="0" t="s">
        <v>2045</v>
      </c>
      <c r="F4114" s="0" t="s">
        <v>2250</v>
      </c>
      <c r="G4114" s="0" t="s">
        <v>2251</v>
      </c>
      <c r="H4114" s="0" t="s">
        <v>2253</v>
      </c>
      <c r="I4114" s="0" t="s">
        <v>1685</v>
      </c>
      <c r="J4114" s="0" t="s">
        <v>2357</v>
      </c>
      <c r="K4114" s="272" t="n">
        <v>49.660935483871</v>
      </c>
    </row>
    <row r="4115" customFormat="false" ht="15" hidden="false" customHeight="false" outlineLevel="0" collapsed="false">
      <c r="A4115" s="0" t="s">
        <v>2041</v>
      </c>
      <c r="B4115" s="0" t="s">
        <v>2042</v>
      </c>
      <c r="C4115" s="0" t="s">
        <v>2357</v>
      </c>
      <c r="D4115" s="0" t="s">
        <v>2105</v>
      </c>
      <c r="E4115" s="0" t="s">
        <v>2045</v>
      </c>
      <c r="F4115" s="0" t="s">
        <v>2250</v>
      </c>
      <c r="G4115" s="0" t="s">
        <v>2251</v>
      </c>
      <c r="H4115" s="0" t="s">
        <v>2253</v>
      </c>
      <c r="I4115" s="0" t="s">
        <v>2254</v>
      </c>
      <c r="J4115" s="0" t="s">
        <v>2357</v>
      </c>
      <c r="K4115" s="272" t="n">
        <v>5</v>
      </c>
    </row>
    <row r="4116" customFormat="false" ht="15" hidden="false" customHeight="false" outlineLevel="0" collapsed="false">
      <c r="A4116" s="0" t="s">
        <v>2041</v>
      </c>
      <c r="B4116" s="0" t="s">
        <v>2042</v>
      </c>
      <c r="C4116" s="0" t="s">
        <v>2357</v>
      </c>
      <c r="D4116" s="0" t="s">
        <v>2105</v>
      </c>
      <c r="E4116" s="0" t="s">
        <v>2045</v>
      </c>
      <c r="F4116" s="0" t="s">
        <v>2250</v>
      </c>
      <c r="G4116" s="0" t="s">
        <v>2251</v>
      </c>
      <c r="H4116" s="0" t="s">
        <v>2253</v>
      </c>
      <c r="I4116" s="0" t="s">
        <v>2197</v>
      </c>
      <c r="J4116" s="0" t="s">
        <v>2357</v>
      </c>
      <c r="K4116" s="272" t="n">
        <v>2</v>
      </c>
    </row>
    <row r="4117" customFormat="false" ht="15" hidden="false" customHeight="false" outlineLevel="0" collapsed="false">
      <c r="A4117" s="0" t="s">
        <v>2041</v>
      </c>
      <c r="B4117" s="0" t="s">
        <v>2042</v>
      </c>
      <c r="C4117" s="0" t="s">
        <v>2357</v>
      </c>
      <c r="D4117" s="0" t="s">
        <v>2105</v>
      </c>
      <c r="E4117" s="0" t="s">
        <v>2045</v>
      </c>
      <c r="F4117" s="0" t="s">
        <v>2250</v>
      </c>
      <c r="G4117" s="0" t="s">
        <v>2251</v>
      </c>
      <c r="H4117" s="0" t="s">
        <v>2255</v>
      </c>
      <c r="I4117" s="0" t="s">
        <v>1685</v>
      </c>
      <c r="J4117" s="0" t="s">
        <v>2357</v>
      </c>
      <c r="K4117" s="272" t="n">
        <v>7.58258064516129</v>
      </c>
    </row>
    <row r="4118" customFormat="false" ht="15" hidden="false" customHeight="false" outlineLevel="0" collapsed="false">
      <c r="A4118" s="0" t="s">
        <v>2041</v>
      </c>
      <c r="B4118" s="0" t="s">
        <v>2042</v>
      </c>
      <c r="C4118" s="0" t="s">
        <v>2357</v>
      </c>
      <c r="D4118" s="0" t="s">
        <v>2105</v>
      </c>
      <c r="E4118" s="0" t="s">
        <v>2045</v>
      </c>
      <c r="F4118" s="0" t="s">
        <v>2256</v>
      </c>
      <c r="G4118" s="0" t="s">
        <v>2257</v>
      </c>
      <c r="H4118" s="0" t="s">
        <v>2179</v>
      </c>
      <c r="I4118" s="0" t="s">
        <v>1685</v>
      </c>
      <c r="J4118" s="0" t="s">
        <v>2357</v>
      </c>
      <c r="K4118" s="272" t="n">
        <v>1.5</v>
      </c>
    </row>
    <row r="4119" customFormat="false" ht="15" hidden="false" customHeight="false" outlineLevel="0" collapsed="false">
      <c r="A4119" s="0" t="s">
        <v>2041</v>
      </c>
      <c r="B4119" s="0" t="s">
        <v>2042</v>
      </c>
      <c r="C4119" s="0" t="s">
        <v>2357</v>
      </c>
      <c r="D4119" s="0" t="s">
        <v>2105</v>
      </c>
      <c r="E4119" s="0" t="s">
        <v>2045</v>
      </c>
      <c r="F4119" s="0" t="s">
        <v>2256</v>
      </c>
      <c r="G4119" s="0" t="s">
        <v>2257</v>
      </c>
      <c r="H4119" s="0" t="s">
        <v>2258</v>
      </c>
      <c r="I4119" s="0" t="s">
        <v>1685</v>
      </c>
      <c r="J4119" s="0" t="s">
        <v>2357</v>
      </c>
      <c r="K4119" s="272" t="n">
        <v>3.01</v>
      </c>
    </row>
    <row r="4120" customFormat="false" ht="15" hidden="false" customHeight="false" outlineLevel="0" collapsed="false">
      <c r="A4120" s="0" t="s">
        <v>2041</v>
      </c>
      <c r="B4120" s="0" t="s">
        <v>2042</v>
      </c>
      <c r="C4120" s="0" t="s">
        <v>2357</v>
      </c>
      <c r="D4120" s="0" t="s">
        <v>2105</v>
      </c>
      <c r="E4120" s="0" t="s">
        <v>2045</v>
      </c>
      <c r="F4120" s="0" t="s">
        <v>2256</v>
      </c>
      <c r="G4120" s="0" t="s">
        <v>2259</v>
      </c>
      <c r="H4120" s="0" t="s">
        <v>2258</v>
      </c>
      <c r="I4120" s="0" t="s">
        <v>1685</v>
      </c>
      <c r="J4120" s="0" t="s">
        <v>2357</v>
      </c>
      <c r="K4120" s="272" t="n">
        <v>53</v>
      </c>
    </row>
    <row r="4121" customFormat="false" ht="15" hidden="false" customHeight="false" outlineLevel="0" collapsed="false">
      <c r="A4121" s="0" t="s">
        <v>2041</v>
      </c>
      <c r="B4121" s="0" t="s">
        <v>2042</v>
      </c>
      <c r="C4121" s="0" t="s">
        <v>2357</v>
      </c>
      <c r="D4121" s="0" t="s">
        <v>2105</v>
      </c>
      <c r="E4121" s="0" t="s">
        <v>2045</v>
      </c>
      <c r="F4121" s="0" t="s">
        <v>2256</v>
      </c>
      <c r="G4121" s="0" t="s">
        <v>2259</v>
      </c>
      <c r="H4121" s="0" t="s">
        <v>2258</v>
      </c>
      <c r="I4121" s="0" t="s">
        <v>2124</v>
      </c>
      <c r="J4121" s="0" t="s">
        <v>2357</v>
      </c>
      <c r="K4121" s="272" t="n">
        <v>12.9677419354839</v>
      </c>
    </row>
    <row r="4122" customFormat="false" ht="15" hidden="false" customHeight="false" outlineLevel="0" collapsed="false">
      <c r="A4122" s="0" t="s">
        <v>2041</v>
      </c>
      <c r="B4122" s="0" t="s">
        <v>2042</v>
      </c>
      <c r="C4122" s="0" t="s">
        <v>2357</v>
      </c>
      <c r="D4122" s="0" t="s">
        <v>2105</v>
      </c>
      <c r="E4122" s="0" t="s">
        <v>2045</v>
      </c>
      <c r="F4122" s="0" t="s">
        <v>2256</v>
      </c>
      <c r="G4122" s="0" t="s">
        <v>2259</v>
      </c>
      <c r="H4122" s="0" t="s">
        <v>2258</v>
      </c>
      <c r="I4122" s="0" t="s">
        <v>2101</v>
      </c>
      <c r="J4122" s="0" t="s">
        <v>2357</v>
      </c>
      <c r="K4122" s="272" t="n">
        <v>0.870967741935484</v>
      </c>
    </row>
    <row r="4123" customFormat="false" ht="15" hidden="false" customHeight="false" outlineLevel="0" collapsed="false">
      <c r="A4123" s="0" t="s">
        <v>2041</v>
      </c>
      <c r="B4123" s="0" t="s">
        <v>2042</v>
      </c>
      <c r="C4123" s="0" t="s">
        <v>2357</v>
      </c>
      <c r="D4123" s="0" t="s">
        <v>2105</v>
      </c>
      <c r="E4123" s="0" t="s">
        <v>2045</v>
      </c>
      <c r="F4123" s="0" t="s">
        <v>2256</v>
      </c>
      <c r="G4123" s="0" t="s">
        <v>2260</v>
      </c>
      <c r="H4123" s="0" t="s">
        <v>2261</v>
      </c>
      <c r="I4123" s="0" t="s">
        <v>1685</v>
      </c>
      <c r="J4123" s="0" t="s">
        <v>2357</v>
      </c>
      <c r="K4123" s="272" t="n">
        <v>20</v>
      </c>
    </row>
    <row r="4124" customFormat="false" ht="15" hidden="false" customHeight="false" outlineLevel="0" collapsed="false">
      <c r="A4124" s="0" t="s">
        <v>2041</v>
      </c>
      <c r="B4124" s="0" t="s">
        <v>2042</v>
      </c>
      <c r="C4124" s="0" t="s">
        <v>2357</v>
      </c>
      <c r="D4124" s="0" t="s">
        <v>2105</v>
      </c>
      <c r="E4124" s="0" t="s">
        <v>2045</v>
      </c>
      <c r="F4124" s="0" t="s">
        <v>2256</v>
      </c>
      <c r="G4124" s="0" t="s">
        <v>2260</v>
      </c>
      <c r="H4124" s="0" t="s">
        <v>2261</v>
      </c>
      <c r="I4124" s="0" t="s">
        <v>2124</v>
      </c>
      <c r="J4124" s="0" t="s">
        <v>2357</v>
      </c>
      <c r="K4124" s="272" t="n">
        <v>1</v>
      </c>
    </row>
    <row r="4125" customFormat="false" ht="15" hidden="false" customHeight="false" outlineLevel="0" collapsed="false">
      <c r="A4125" s="0" t="s">
        <v>2041</v>
      </c>
      <c r="B4125" s="0" t="s">
        <v>2042</v>
      </c>
      <c r="C4125" s="0" t="s">
        <v>2357</v>
      </c>
      <c r="D4125" s="0" t="s">
        <v>2105</v>
      </c>
      <c r="E4125" s="0" t="s">
        <v>2045</v>
      </c>
      <c r="F4125" s="0" t="s">
        <v>2256</v>
      </c>
      <c r="G4125" s="0" t="s">
        <v>2262</v>
      </c>
      <c r="H4125" s="0" t="s">
        <v>2263</v>
      </c>
      <c r="I4125" s="0" t="s">
        <v>1685</v>
      </c>
      <c r="J4125" s="0" t="s">
        <v>2357</v>
      </c>
      <c r="K4125" s="272" t="n">
        <v>0.5</v>
      </c>
    </row>
    <row r="4126" customFormat="false" ht="15" hidden="false" customHeight="false" outlineLevel="0" collapsed="false">
      <c r="A4126" s="0" t="s">
        <v>2041</v>
      </c>
      <c r="B4126" s="0" t="s">
        <v>2042</v>
      </c>
      <c r="C4126" s="0" t="s">
        <v>2357</v>
      </c>
      <c r="D4126" s="0" t="s">
        <v>2105</v>
      </c>
      <c r="E4126" s="0" t="s">
        <v>2045</v>
      </c>
      <c r="F4126" s="0" t="s">
        <v>2256</v>
      </c>
      <c r="G4126" s="0" t="s">
        <v>2262</v>
      </c>
      <c r="H4126" s="0" t="s">
        <v>2264</v>
      </c>
      <c r="I4126" s="0" t="s">
        <v>1685</v>
      </c>
      <c r="J4126" s="0" t="s">
        <v>2357</v>
      </c>
      <c r="K4126" s="272" t="n">
        <v>14.75</v>
      </c>
    </row>
    <row r="4127" customFormat="false" ht="15" hidden="false" customHeight="false" outlineLevel="0" collapsed="false">
      <c r="A4127" s="0" t="s">
        <v>2041</v>
      </c>
      <c r="B4127" s="0" t="s">
        <v>2042</v>
      </c>
      <c r="C4127" s="0" t="s">
        <v>2357</v>
      </c>
      <c r="D4127" s="0" t="s">
        <v>2105</v>
      </c>
      <c r="E4127" s="0" t="s">
        <v>2045</v>
      </c>
      <c r="F4127" s="0" t="s">
        <v>2256</v>
      </c>
      <c r="G4127" s="0" t="s">
        <v>2262</v>
      </c>
      <c r="H4127" s="0" t="s">
        <v>2264</v>
      </c>
      <c r="I4127" s="0" t="s">
        <v>2124</v>
      </c>
      <c r="J4127" s="0" t="s">
        <v>2357</v>
      </c>
      <c r="K4127" s="272" t="n">
        <v>3</v>
      </c>
    </row>
    <row r="4128" customFormat="false" ht="15" hidden="false" customHeight="false" outlineLevel="0" collapsed="false">
      <c r="A4128" s="0" t="s">
        <v>2041</v>
      </c>
      <c r="B4128" s="0" t="s">
        <v>2042</v>
      </c>
      <c r="C4128" s="0" t="s">
        <v>2357</v>
      </c>
      <c r="D4128" s="0" t="s">
        <v>2105</v>
      </c>
      <c r="E4128" s="0" t="s">
        <v>2045</v>
      </c>
      <c r="F4128" s="0" t="s">
        <v>2256</v>
      </c>
      <c r="G4128" s="0" t="s">
        <v>2262</v>
      </c>
      <c r="H4128" s="0" t="s">
        <v>2265</v>
      </c>
      <c r="I4128" s="0" t="s">
        <v>1685</v>
      </c>
      <c r="J4128" s="0" t="s">
        <v>2357</v>
      </c>
      <c r="K4128" s="272" t="n">
        <v>1.75</v>
      </c>
    </row>
    <row r="4129" customFormat="false" ht="15" hidden="false" customHeight="false" outlineLevel="0" collapsed="false">
      <c r="A4129" s="0" t="s">
        <v>2041</v>
      </c>
      <c r="B4129" s="0" t="s">
        <v>2042</v>
      </c>
      <c r="C4129" s="0" t="s">
        <v>2357</v>
      </c>
      <c r="D4129" s="0" t="s">
        <v>2105</v>
      </c>
      <c r="E4129" s="0" t="s">
        <v>2045</v>
      </c>
      <c r="F4129" s="0" t="s">
        <v>2256</v>
      </c>
      <c r="G4129" s="0" t="s">
        <v>2266</v>
      </c>
      <c r="H4129" s="0" t="s">
        <v>2267</v>
      </c>
      <c r="I4129" s="0" t="s">
        <v>1685</v>
      </c>
      <c r="J4129" s="0" t="s">
        <v>2357</v>
      </c>
      <c r="K4129" s="272" t="n">
        <v>31</v>
      </c>
    </row>
    <row r="4130" customFormat="false" ht="15" hidden="false" customHeight="false" outlineLevel="0" collapsed="false">
      <c r="A4130" s="0" t="s">
        <v>2041</v>
      </c>
      <c r="B4130" s="0" t="s">
        <v>2042</v>
      </c>
      <c r="C4130" s="0" t="s">
        <v>2357</v>
      </c>
      <c r="D4130" s="0" t="s">
        <v>2105</v>
      </c>
      <c r="E4130" s="0" t="s">
        <v>2045</v>
      </c>
      <c r="F4130" s="0" t="s">
        <v>2256</v>
      </c>
      <c r="G4130" s="0" t="s">
        <v>2266</v>
      </c>
      <c r="H4130" s="0" t="s">
        <v>2267</v>
      </c>
      <c r="I4130" s="0" t="s">
        <v>2124</v>
      </c>
      <c r="J4130" s="0" t="s">
        <v>2357</v>
      </c>
      <c r="K4130" s="272" t="n">
        <v>7</v>
      </c>
    </row>
    <row r="4131" customFormat="false" ht="15" hidden="false" customHeight="false" outlineLevel="0" collapsed="false">
      <c r="A4131" s="0" t="s">
        <v>2041</v>
      </c>
      <c r="B4131" s="0" t="s">
        <v>2042</v>
      </c>
      <c r="C4131" s="0" t="s">
        <v>2357</v>
      </c>
      <c r="D4131" s="0" t="s">
        <v>2105</v>
      </c>
      <c r="E4131" s="0" t="s">
        <v>2045</v>
      </c>
      <c r="F4131" s="0" t="s">
        <v>2275</v>
      </c>
      <c r="G4131" s="0" t="s">
        <v>2276</v>
      </c>
      <c r="H4131" s="0" t="s">
        <v>2277</v>
      </c>
      <c r="I4131" s="0" t="s">
        <v>1685</v>
      </c>
      <c r="J4131" s="0" t="s">
        <v>2357</v>
      </c>
      <c r="K4131" s="272" t="n">
        <v>24.9677419354839</v>
      </c>
    </row>
    <row r="4132" customFormat="false" ht="15" hidden="false" customHeight="false" outlineLevel="0" collapsed="false">
      <c r="A4132" s="0" t="s">
        <v>2041</v>
      </c>
      <c r="B4132" s="0" t="s">
        <v>2042</v>
      </c>
      <c r="C4132" s="0" t="s">
        <v>2357</v>
      </c>
      <c r="D4132" s="0" t="s">
        <v>2105</v>
      </c>
      <c r="E4132" s="0" t="s">
        <v>2045</v>
      </c>
      <c r="F4132" s="0" t="s">
        <v>2275</v>
      </c>
      <c r="G4132" s="0" t="s">
        <v>2276</v>
      </c>
      <c r="H4132" s="0" t="s">
        <v>2277</v>
      </c>
      <c r="I4132" s="0" t="s">
        <v>2278</v>
      </c>
      <c r="J4132" s="0" t="s">
        <v>2357</v>
      </c>
      <c r="K4132" s="272" t="n">
        <v>0.0645161290322581</v>
      </c>
    </row>
    <row r="4133" customFormat="false" ht="15" hidden="false" customHeight="false" outlineLevel="0" collapsed="false">
      <c r="A4133" s="0" t="s">
        <v>2041</v>
      </c>
      <c r="B4133" s="0" t="s">
        <v>2042</v>
      </c>
      <c r="C4133" s="0" t="s">
        <v>2357</v>
      </c>
      <c r="D4133" s="0" t="s">
        <v>2105</v>
      </c>
      <c r="E4133" s="0" t="s">
        <v>2045</v>
      </c>
      <c r="F4133" s="0" t="s">
        <v>2268</v>
      </c>
      <c r="G4133" s="0" t="s">
        <v>2330</v>
      </c>
      <c r="H4133" s="0" t="s">
        <v>2331</v>
      </c>
      <c r="I4133" s="0" t="s">
        <v>1685</v>
      </c>
      <c r="J4133" s="0" t="s">
        <v>2357</v>
      </c>
      <c r="K4133" s="272" t="n">
        <v>0.5</v>
      </c>
    </row>
    <row r="4134" customFormat="false" ht="15" hidden="false" customHeight="false" outlineLevel="0" collapsed="false">
      <c r="A4134" s="0" t="s">
        <v>2041</v>
      </c>
      <c r="B4134" s="0" t="s">
        <v>2042</v>
      </c>
      <c r="C4134" s="0" t="s">
        <v>2357</v>
      </c>
      <c r="D4134" s="0" t="s">
        <v>2105</v>
      </c>
      <c r="E4134" s="0" t="s">
        <v>2045</v>
      </c>
      <c r="F4134" s="0" t="s">
        <v>2268</v>
      </c>
      <c r="G4134" s="0" t="s">
        <v>2269</v>
      </c>
      <c r="H4134" s="0" t="s">
        <v>2270</v>
      </c>
      <c r="I4134" s="0" t="s">
        <v>1685</v>
      </c>
      <c r="J4134" s="0" t="s">
        <v>2357</v>
      </c>
      <c r="K4134" s="272" t="n">
        <v>20.3632258064516</v>
      </c>
    </row>
    <row r="4135" customFormat="false" ht="15" hidden="false" customHeight="false" outlineLevel="0" collapsed="false">
      <c r="A4135" s="0" t="s">
        <v>2041</v>
      </c>
      <c r="B4135" s="0" t="s">
        <v>2042</v>
      </c>
      <c r="C4135" s="0" t="s">
        <v>2357</v>
      </c>
      <c r="D4135" s="0" t="s">
        <v>2105</v>
      </c>
      <c r="E4135" s="0" t="s">
        <v>2045</v>
      </c>
      <c r="F4135" s="0" t="s">
        <v>2268</v>
      </c>
      <c r="G4135" s="0" t="s">
        <v>2269</v>
      </c>
      <c r="H4135" s="0" t="s">
        <v>2270</v>
      </c>
      <c r="I4135" s="0" t="s">
        <v>2124</v>
      </c>
      <c r="J4135" s="0" t="s">
        <v>2357</v>
      </c>
      <c r="K4135" s="272" t="n">
        <v>7.16129032258065</v>
      </c>
    </row>
    <row r="4136" customFormat="false" ht="15" hidden="false" customHeight="false" outlineLevel="0" collapsed="false">
      <c r="A4136" s="0" t="s">
        <v>2041</v>
      </c>
      <c r="B4136" s="0" t="s">
        <v>2042</v>
      </c>
      <c r="C4136" s="0" t="s">
        <v>2357</v>
      </c>
      <c r="D4136" s="0" t="s">
        <v>2105</v>
      </c>
      <c r="E4136" s="0" t="s">
        <v>2045</v>
      </c>
      <c r="F4136" s="0" t="s">
        <v>2150</v>
      </c>
      <c r="G4136" s="0" t="s">
        <v>2151</v>
      </c>
      <c r="H4136" s="0" t="s">
        <v>2271</v>
      </c>
      <c r="I4136" s="0" t="s">
        <v>2272</v>
      </c>
      <c r="J4136" s="0" t="s">
        <v>2357</v>
      </c>
      <c r="K4136" s="272" t="n">
        <v>1</v>
      </c>
    </row>
    <row r="4137" customFormat="false" ht="15" hidden="false" customHeight="false" outlineLevel="0" collapsed="false">
      <c r="A4137" s="0" t="s">
        <v>2041</v>
      </c>
      <c r="B4137" s="0" t="s">
        <v>2042</v>
      </c>
      <c r="C4137" s="0" t="s">
        <v>2357</v>
      </c>
      <c r="D4137" s="0" t="s">
        <v>2105</v>
      </c>
      <c r="E4137" s="0" t="s">
        <v>2045</v>
      </c>
      <c r="F4137" s="0" t="s">
        <v>2150</v>
      </c>
      <c r="G4137" s="0" t="s">
        <v>2151</v>
      </c>
      <c r="H4137" s="0" t="s">
        <v>2152</v>
      </c>
      <c r="I4137" s="0" t="s">
        <v>1685</v>
      </c>
      <c r="J4137" s="0" t="s">
        <v>2357</v>
      </c>
      <c r="K4137" s="272" t="n">
        <v>78</v>
      </c>
    </row>
    <row r="4138" customFormat="false" ht="15" hidden="false" customHeight="false" outlineLevel="0" collapsed="false">
      <c r="A4138" s="0" t="s">
        <v>2041</v>
      </c>
      <c r="B4138" s="0" t="s">
        <v>2042</v>
      </c>
      <c r="C4138" s="0" t="s">
        <v>2357</v>
      </c>
      <c r="D4138" s="0" t="s">
        <v>2105</v>
      </c>
      <c r="E4138" s="0" t="s">
        <v>2045</v>
      </c>
      <c r="F4138" s="0" t="s">
        <v>2150</v>
      </c>
      <c r="G4138" s="0" t="s">
        <v>2151</v>
      </c>
      <c r="H4138" s="0" t="s">
        <v>2273</v>
      </c>
      <c r="I4138" s="0" t="s">
        <v>2272</v>
      </c>
      <c r="J4138" s="0" t="s">
        <v>2357</v>
      </c>
      <c r="K4138" s="272" t="n">
        <v>1</v>
      </c>
    </row>
    <row r="4139" customFormat="false" ht="15" hidden="false" customHeight="false" outlineLevel="0" collapsed="false">
      <c r="A4139" s="0" t="s">
        <v>2041</v>
      </c>
      <c r="B4139" s="0" t="s">
        <v>2042</v>
      </c>
      <c r="C4139" s="0" t="s">
        <v>2357</v>
      </c>
      <c r="D4139" s="0" t="s">
        <v>2105</v>
      </c>
      <c r="E4139" s="0" t="s">
        <v>2045</v>
      </c>
      <c r="F4139" s="0" t="s">
        <v>2150</v>
      </c>
      <c r="G4139" s="0" t="s">
        <v>2151</v>
      </c>
      <c r="H4139" s="0" t="s">
        <v>2153</v>
      </c>
      <c r="I4139" s="0" t="s">
        <v>1685</v>
      </c>
      <c r="J4139" s="0" t="s">
        <v>2357</v>
      </c>
      <c r="K4139" s="272" t="n">
        <v>19.5161290322581</v>
      </c>
    </row>
    <row r="4140" customFormat="false" ht="15" hidden="false" customHeight="false" outlineLevel="0" collapsed="false">
      <c r="A4140" s="0" t="s">
        <v>2041</v>
      </c>
      <c r="B4140" s="0" t="s">
        <v>2042</v>
      </c>
      <c r="C4140" s="0" t="s">
        <v>2357</v>
      </c>
      <c r="D4140" s="0" t="s">
        <v>2105</v>
      </c>
      <c r="E4140" s="0" t="s">
        <v>2045</v>
      </c>
      <c r="F4140" s="0" t="s">
        <v>2150</v>
      </c>
      <c r="G4140" s="0" t="s">
        <v>2151</v>
      </c>
      <c r="H4140" s="0" t="s">
        <v>2154</v>
      </c>
      <c r="I4140" s="0" t="s">
        <v>1685</v>
      </c>
      <c r="J4140" s="0" t="s">
        <v>2357</v>
      </c>
      <c r="K4140" s="272" t="n">
        <v>1</v>
      </c>
    </row>
    <row r="4141" customFormat="false" ht="15" hidden="false" customHeight="false" outlineLevel="0" collapsed="false">
      <c r="A4141" s="0" t="s">
        <v>2041</v>
      </c>
      <c r="B4141" s="0" t="s">
        <v>2042</v>
      </c>
      <c r="C4141" s="0" t="s">
        <v>2357</v>
      </c>
      <c r="D4141" s="0" t="s">
        <v>2105</v>
      </c>
      <c r="E4141" s="0" t="s">
        <v>2045</v>
      </c>
      <c r="F4141" s="0" t="s">
        <v>2150</v>
      </c>
      <c r="G4141" s="0" t="s">
        <v>2155</v>
      </c>
      <c r="H4141" s="0" t="s">
        <v>2154</v>
      </c>
      <c r="I4141" s="0" t="s">
        <v>1685</v>
      </c>
      <c r="J4141" s="0" t="s">
        <v>2357</v>
      </c>
      <c r="K4141" s="272" t="n">
        <v>16</v>
      </c>
    </row>
    <row r="4142" customFormat="false" ht="15" hidden="false" customHeight="false" outlineLevel="0" collapsed="false">
      <c r="A4142" s="0" t="s">
        <v>2041</v>
      </c>
      <c r="B4142" s="0" t="s">
        <v>2042</v>
      </c>
      <c r="C4142" s="0" t="s">
        <v>2357</v>
      </c>
      <c r="D4142" s="0" t="s">
        <v>2105</v>
      </c>
      <c r="E4142" s="0" t="s">
        <v>2045</v>
      </c>
      <c r="F4142" s="0" t="s">
        <v>2150</v>
      </c>
      <c r="G4142" s="0" t="s">
        <v>2332</v>
      </c>
      <c r="H4142" s="0" t="s">
        <v>2152</v>
      </c>
      <c r="I4142" s="0" t="s">
        <v>1685</v>
      </c>
      <c r="J4142" s="0" t="s">
        <v>2357</v>
      </c>
      <c r="K4142" s="272" t="n">
        <v>10</v>
      </c>
    </row>
    <row r="4143" customFormat="false" ht="15" hidden="false" customHeight="false" outlineLevel="0" collapsed="false">
      <c r="A4143" s="0" t="s">
        <v>2041</v>
      </c>
      <c r="B4143" s="0" t="s">
        <v>2042</v>
      </c>
      <c r="C4143" s="0" t="s">
        <v>2357</v>
      </c>
      <c r="D4143" s="0" t="s">
        <v>2279</v>
      </c>
      <c r="E4143" s="0" t="s">
        <v>2279</v>
      </c>
      <c r="F4143" s="0" t="s">
        <v>2280</v>
      </c>
      <c r="G4143" s="0" t="s">
        <v>2281</v>
      </c>
      <c r="H4143" s="0" t="s">
        <v>2284</v>
      </c>
      <c r="I4143" s="0" t="s">
        <v>1685</v>
      </c>
      <c r="J4143" s="0" t="s">
        <v>2357</v>
      </c>
      <c r="K4143" s="272" t="n">
        <v>9</v>
      </c>
    </row>
    <row r="4144" customFormat="false" ht="15" hidden="false" customHeight="false" outlineLevel="0" collapsed="false">
      <c r="A4144" s="0" t="s">
        <v>2041</v>
      </c>
      <c r="B4144" s="0" t="s">
        <v>2042</v>
      </c>
      <c r="C4144" s="0" t="s">
        <v>2357</v>
      </c>
      <c r="D4144" s="0" t="s">
        <v>2279</v>
      </c>
      <c r="E4144" s="0" t="s">
        <v>2279</v>
      </c>
      <c r="F4144" s="0" t="s">
        <v>2280</v>
      </c>
      <c r="G4144" s="0" t="s">
        <v>2281</v>
      </c>
      <c r="H4144" s="0" t="s">
        <v>2285</v>
      </c>
      <c r="I4144" s="0" t="s">
        <v>1685</v>
      </c>
      <c r="J4144" s="0" t="s">
        <v>2357</v>
      </c>
      <c r="K4144" s="272" t="n">
        <v>1</v>
      </c>
    </row>
    <row r="4145" customFormat="false" ht="15" hidden="false" customHeight="false" outlineLevel="0" collapsed="false">
      <c r="A4145" s="0" t="s">
        <v>2041</v>
      </c>
      <c r="B4145" s="0" t="s">
        <v>2042</v>
      </c>
      <c r="C4145" s="0" t="s">
        <v>2357</v>
      </c>
      <c r="D4145" s="0" t="s">
        <v>2279</v>
      </c>
      <c r="E4145" s="0" t="s">
        <v>2279</v>
      </c>
      <c r="F4145" s="0" t="s">
        <v>2280</v>
      </c>
      <c r="G4145" s="0" t="s">
        <v>2281</v>
      </c>
      <c r="H4145" s="0" t="s">
        <v>2286</v>
      </c>
      <c r="I4145" s="0" t="s">
        <v>1685</v>
      </c>
      <c r="J4145" s="0" t="s">
        <v>2357</v>
      </c>
      <c r="K4145" s="272" t="n">
        <v>1</v>
      </c>
    </row>
    <row r="4146" customFormat="false" ht="15" hidden="false" customHeight="false" outlineLevel="0" collapsed="false">
      <c r="A4146" s="0" t="s">
        <v>2041</v>
      </c>
      <c r="B4146" s="0" t="s">
        <v>2042</v>
      </c>
      <c r="C4146" s="0" t="s">
        <v>2357</v>
      </c>
      <c r="D4146" s="0" t="s">
        <v>2279</v>
      </c>
      <c r="E4146" s="0" t="s">
        <v>2279</v>
      </c>
      <c r="F4146" s="0" t="s">
        <v>2280</v>
      </c>
      <c r="G4146" s="0" t="s">
        <v>2281</v>
      </c>
      <c r="H4146" s="0" t="s">
        <v>2287</v>
      </c>
      <c r="I4146" s="0" t="s">
        <v>1685</v>
      </c>
      <c r="J4146" s="0" t="s">
        <v>2357</v>
      </c>
      <c r="K4146" s="272" t="n">
        <v>4.19354838709677</v>
      </c>
    </row>
    <row r="4147" customFormat="false" ht="15" hidden="false" customHeight="false" outlineLevel="0" collapsed="false">
      <c r="A4147" s="0" t="s">
        <v>2041</v>
      </c>
      <c r="B4147" s="0" t="s">
        <v>2042</v>
      </c>
      <c r="C4147" s="0" t="s">
        <v>2357</v>
      </c>
      <c r="D4147" s="0" t="s">
        <v>2279</v>
      </c>
      <c r="E4147" s="0" t="s">
        <v>2279</v>
      </c>
      <c r="F4147" s="0" t="s">
        <v>2280</v>
      </c>
      <c r="G4147" s="0" t="s">
        <v>2281</v>
      </c>
      <c r="H4147" s="0" t="s">
        <v>2288</v>
      </c>
      <c r="I4147" s="0" t="s">
        <v>1685</v>
      </c>
      <c r="J4147" s="0" t="s">
        <v>2357</v>
      </c>
      <c r="K4147" s="272" t="n">
        <v>1</v>
      </c>
    </row>
    <row r="4148" customFormat="false" ht="15" hidden="false" customHeight="false" outlineLevel="0" collapsed="false">
      <c r="A4148" s="0" t="s">
        <v>2041</v>
      </c>
      <c r="B4148" s="0" t="s">
        <v>2042</v>
      </c>
      <c r="C4148" s="0" t="s">
        <v>2357</v>
      </c>
      <c r="D4148" s="0" t="s">
        <v>2279</v>
      </c>
      <c r="E4148" s="0" t="s">
        <v>2279</v>
      </c>
      <c r="F4148" s="0" t="s">
        <v>2280</v>
      </c>
      <c r="G4148" s="0" t="s">
        <v>2281</v>
      </c>
      <c r="H4148" s="0" t="s">
        <v>2182</v>
      </c>
      <c r="I4148" s="0" t="s">
        <v>1685</v>
      </c>
      <c r="J4148" s="0" t="s">
        <v>2357</v>
      </c>
      <c r="K4148" s="272" t="n">
        <v>1</v>
      </c>
    </row>
    <row r="4149" customFormat="false" ht="15" hidden="false" customHeight="false" outlineLevel="0" collapsed="false">
      <c r="A4149" s="0" t="s">
        <v>2041</v>
      </c>
      <c r="B4149" s="0" t="s">
        <v>2042</v>
      </c>
      <c r="C4149" s="0" t="s">
        <v>2357</v>
      </c>
      <c r="D4149" s="0" t="s">
        <v>2279</v>
      </c>
      <c r="E4149" s="0" t="s">
        <v>2279</v>
      </c>
      <c r="F4149" s="0" t="s">
        <v>2280</v>
      </c>
      <c r="G4149" s="0" t="s">
        <v>2281</v>
      </c>
      <c r="H4149" s="0" t="s">
        <v>2289</v>
      </c>
      <c r="I4149" s="0" t="s">
        <v>1685</v>
      </c>
      <c r="J4149" s="0" t="s">
        <v>2357</v>
      </c>
      <c r="K4149" s="272" t="n">
        <v>2</v>
      </c>
    </row>
    <row r="4150" customFormat="false" ht="15" hidden="false" customHeight="false" outlineLevel="0" collapsed="false">
      <c r="A4150" s="0" t="s">
        <v>2041</v>
      </c>
      <c r="B4150" s="0" t="s">
        <v>2042</v>
      </c>
      <c r="C4150" s="0" t="s">
        <v>2357</v>
      </c>
      <c r="D4150" s="0" t="s">
        <v>2279</v>
      </c>
      <c r="E4150" s="0" t="s">
        <v>2279</v>
      </c>
      <c r="F4150" s="0" t="s">
        <v>2280</v>
      </c>
      <c r="G4150" s="0" t="s">
        <v>2281</v>
      </c>
      <c r="H4150" s="0" t="s">
        <v>2153</v>
      </c>
      <c r="I4150" s="0" t="s">
        <v>1685</v>
      </c>
      <c r="J4150" s="0" t="s">
        <v>2357</v>
      </c>
      <c r="K4150" s="272" t="n">
        <v>18</v>
      </c>
    </row>
    <row r="4151" customFormat="false" ht="15" hidden="false" customHeight="false" outlineLevel="0" collapsed="false">
      <c r="A4151" s="0" t="s">
        <v>2041</v>
      </c>
      <c r="B4151" s="0" t="s">
        <v>2042</v>
      </c>
      <c r="C4151" s="0" t="s">
        <v>2357</v>
      </c>
      <c r="D4151" s="0" t="s">
        <v>2279</v>
      </c>
      <c r="E4151" s="0" t="s">
        <v>2279</v>
      </c>
      <c r="F4151" s="0" t="s">
        <v>2280</v>
      </c>
      <c r="G4151" s="0" t="s">
        <v>2281</v>
      </c>
      <c r="H4151" s="0" t="s">
        <v>2107</v>
      </c>
      <c r="I4151" s="0" t="s">
        <v>1685</v>
      </c>
      <c r="J4151" s="0" t="s">
        <v>2357</v>
      </c>
      <c r="K4151" s="272" t="n">
        <v>1</v>
      </c>
    </row>
    <row r="4152" customFormat="false" ht="15" hidden="false" customHeight="false" outlineLevel="0" collapsed="false">
      <c r="A4152" s="0" t="s">
        <v>2041</v>
      </c>
      <c r="B4152" s="0" t="s">
        <v>2042</v>
      </c>
      <c r="C4152" s="0" t="s">
        <v>2357</v>
      </c>
      <c r="D4152" s="0" t="s">
        <v>2279</v>
      </c>
      <c r="E4152" s="0" t="s">
        <v>2279</v>
      </c>
      <c r="F4152" s="0" t="s">
        <v>2280</v>
      </c>
      <c r="G4152" s="0" t="s">
        <v>2281</v>
      </c>
      <c r="H4152" s="0" t="s">
        <v>2290</v>
      </c>
      <c r="I4152" s="0" t="s">
        <v>1685</v>
      </c>
      <c r="J4152" s="0" t="s">
        <v>2357</v>
      </c>
      <c r="K4152" s="272" t="n">
        <v>1</v>
      </c>
    </row>
    <row r="4153" customFormat="false" ht="15" hidden="false" customHeight="false" outlineLevel="0" collapsed="false">
      <c r="A4153" s="0" t="s">
        <v>2041</v>
      </c>
      <c r="B4153" s="0" t="s">
        <v>2042</v>
      </c>
      <c r="C4153" s="0" t="s">
        <v>2357</v>
      </c>
      <c r="D4153" s="0" t="s">
        <v>2279</v>
      </c>
      <c r="E4153" s="0" t="s">
        <v>2279</v>
      </c>
      <c r="F4153" s="0" t="s">
        <v>2280</v>
      </c>
      <c r="G4153" s="0" t="s">
        <v>2281</v>
      </c>
      <c r="H4153" s="0" t="s">
        <v>2291</v>
      </c>
      <c r="I4153" s="0" t="s">
        <v>1685</v>
      </c>
      <c r="J4153" s="0" t="s">
        <v>2357</v>
      </c>
      <c r="K4153" s="272" t="n">
        <v>1</v>
      </c>
    </row>
    <row r="4154" customFormat="false" ht="15" hidden="false" customHeight="false" outlineLevel="0" collapsed="false">
      <c r="A4154" s="0" t="s">
        <v>2041</v>
      </c>
      <c r="B4154" s="0" t="s">
        <v>2042</v>
      </c>
      <c r="C4154" s="0" t="s">
        <v>2357</v>
      </c>
      <c r="D4154" s="0" t="s">
        <v>2279</v>
      </c>
      <c r="E4154" s="0" t="s">
        <v>2279</v>
      </c>
      <c r="F4154" s="0" t="s">
        <v>2292</v>
      </c>
      <c r="G4154" s="0" t="s">
        <v>2293</v>
      </c>
      <c r="H4154" s="0" t="s">
        <v>2284</v>
      </c>
      <c r="I4154" s="0" t="s">
        <v>1685</v>
      </c>
      <c r="J4154" s="0" t="s">
        <v>2357</v>
      </c>
      <c r="K4154" s="272" t="n">
        <v>5.5</v>
      </c>
    </row>
    <row r="4155" customFormat="false" ht="15" hidden="false" customHeight="false" outlineLevel="0" collapsed="false">
      <c r="A4155" s="0" t="s">
        <v>2041</v>
      </c>
      <c r="B4155" s="0" t="s">
        <v>2042</v>
      </c>
      <c r="C4155" s="0" t="s">
        <v>2357</v>
      </c>
      <c r="D4155" s="0" t="s">
        <v>2279</v>
      </c>
      <c r="E4155" s="0" t="s">
        <v>2279</v>
      </c>
      <c r="F4155" s="0" t="s">
        <v>2292</v>
      </c>
      <c r="G4155" s="0" t="s">
        <v>2293</v>
      </c>
      <c r="H4155" s="0" t="s">
        <v>2294</v>
      </c>
      <c r="I4155" s="0" t="s">
        <v>1685</v>
      </c>
      <c r="J4155" s="0" t="s">
        <v>2357</v>
      </c>
      <c r="K4155" s="272" t="n">
        <v>40</v>
      </c>
    </row>
    <row r="4156" customFormat="false" ht="15" hidden="false" customHeight="false" outlineLevel="0" collapsed="false">
      <c r="A4156" s="0" t="s">
        <v>2041</v>
      </c>
      <c r="B4156" s="0" t="s">
        <v>2042</v>
      </c>
      <c r="C4156" s="0" t="s">
        <v>2357</v>
      </c>
      <c r="D4156" s="0" t="s">
        <v>2279</v>
      </c>
      <c r="E4156" s="0" t="s">
        <v>2279</v>
      </c>
      <c r="F4156" s="0" t="s">
        <v>2292</v>
      </c>
      <c r="G4156" s="0" t="s">
        <v>2293</v>
      </c>
      <c r="H4156" s="0" t="s">
        <v>2295</v>
      </c>
      <c r="I4156" s="0" t="s">
        <v>1685</v>
      </c>
      <c r="J4156" s="0" t="s">
        <v>2357</v>
      </c>
      <c r="K4156" s="272" t="n">
        <v>1</v>
      </c>
    </row>
    <row r="4157" customFormat="false" ht="15" hidden="false" customHeight="false" outlineLevel="0" collapsed="false">
      <c r="A4157" s="0" t="s">
        <v>2041</v>
      </c>
      <c r="B4157" s="0" t="s">
        <v>2042</v>
      </c>
      <c r="C4157" s="0" t="s">
        <v>2357</v>
      </c>
      <c r="D4157" s="0" t="s">
        <v>2279</v>
      </c>
      <c r="E4157" s="0" t="s">
        <v>2279</v>
      </c>
      <c r="F4157" s="0" t="s">
        <v>2292</v>
      </c>
      <c r="G4157" s="0" t="s">
        <v>2293</v>
      </c>
      <c r="H4157" s="0" t="s">
        <v>2296</v>
      </c>
      <c r="I4157" s="0" t="s">
        <v>1685</v>
      </c>
      <c r="J4157" s="0" t="s">
        <v>2357</v>
      </c>
      <c r="K4157" s="272" t="n">
        <v>37</v>
      </c>
    </row>
    <row r="4158" customFormat="false" ht="15" hidden="false" customHeight="false" outlineLevel="0" collapsed="false">
      <c r="A4158" s="0" t="s">
        <v>2041</v>
      </c>
      <c r="B4158" s="0" t="s">
        <v>2042</v>
      </c>
      <c r="C4158" s="0" t="s">
        <v>2357</v>
      </c>
      <c r="D4158" s="0" t="s">
        <v>2279</v>
      </c>
      <c r="E4158" s="0" t="s">
        <v>2279</v>
      </c>
      <c r="F4158" s="0" t="s">
        <v>2292</v>
      </c>
      <c r="G4158" s="0" t="s">
        <v>2293</v>
      </c>
      <c r="H4158" s="0" t="s">
        <v>2297</v>
      </c>
      <c r="I4158" s="0" t="s">
        <v>1685</v>
      </c>
      <c r="J4158" s="0" t="s">
        <v>2357</v>
      </c>
      <c r="K4158" s="272" t="n">
        <v>5</v>
      </c>
    </row>
    <row r="4159" customFormat="false" ht="15" hidden="false" customHeight="false" outlineLevel="0" collapsed="false">
      <c r="A4159" s="0" t="s">
        <v>2041</v>
      </c>
      <c r="B4159" s="0" t="s">
        <v>2042</v>
      </c>
      <c r="C4159" s="0" t="s">
        <v>2357</v>
      </c>
      <c r="D4159" s="0" t="s">
        <v>2279</v>
      </c>
      <c r="E4159" s="0" t="s">
        <v>2279</v>
      </c>
      <c r="F4159" s="0" t="s">
        <v>2292</v>
      </c>
      <c r="G4159" s="0" t="s">
        <v>2293</v>
      </c>
      <c r="H4159" s="0" t="s">
        <v>2353</v>
      </c>
      <c r="I4159" s="0" t="s">
        <v>1685</v>
      </c>
      <c r="J4159" s="0" t="s">
        <v>2357</v>
      </c>
      <c r="K4159" s="272" t="n">
        <v>3</v>
      </c>
    </row>
    <row r="4160" customFormat="false" ht="15" hidden="false" customHeight="false" outlineLevel="0" collapsed="false">
      <c r="A4160" s="0" t="s">
        <v>2041</v>
      </c>
      <c r="B4160" s="0" t="s">
        <v>2042</v>
      </c>
      <c r="C4160" s="0" t="s">
        <v>2357</v>
      </c>
      <c r="D4160" s="0" t="s">
        <v>2279</v>
      </c>
      <c r="E4160" s="0" t="s">
        <v>2279</v>
      </c>
      <c r="F4160" s="0" t="s">
        <v>2292</v>
      </c>
      <c r="G4160" s="0" t="s">
        <v>2293</v>
      </c>
      <c r="H4160" s="0" t="s">
        <v>2298</v>
      </c>
      <c r="I4160" s="0" t="s">
        <v>1685</v>
      </c>
      <c r="J4160" s="0" t="s">
        <v>2357</v>
      </c>
      <c r="K4160" s="272" t="n">
        <v>1</v>
      </c>
    </row>
    <row r="4161" customFormat="false" ht="15" hidden="false" customHeight="false" outlineLevel="0" collapsed="false">
      <c r="A4161" s="0" t="s">
        <v>2041</v>
      </c>
      <c r="B4161" s="0" t="s">
        <v>2042</v>
      </c>
      <c r="C4161" s="0" t="s">
        <v>2357</v>
      </c>
      <c r="D4161" s="0" t="s">
        <v>2279</v>
      </c>
      <c r="E4161" s="0" t="s">
        <v>2279</v>
      </c>
      <c r="F4161" s="0" t="s">
        <v>2292</v>
      </c>
      <c r="G4161" s="0" t="s">
        <v>2293</v>
      </c>
      <c r="H4161" s="0" t="s">
        <v>2299</v>
      </c>
      <c r="I4161" s="0" t="s">
        <v>1685</v>
      </c>
      <c r="J4161" s="0" t="s">
        <v>2357</v>
      </c>
      <c r="K4161" s="272" t="n">
        <v>1</v>
      </c>
    </row>
    <row r="4162" customFormat="false" ht="15" hidden="false" customHeight="false" outlineLevel="0" collapsed="false">
      <c r="A4162" s="0" t="s">
        <v>2041</v>
      </c>
      <c r="B4162" s="0" t="s">
        <v>2042</v>
      </c>
      <c r="C4162" s="0" t="s">
        <v>2357</v>
      </c>
      <c r="D4162" s="0" t="s">
        <v>2279</v>
      </c>
      <c r="E4162" s="0" t="s">
        <v>2279</v>
      </c>
      <c r="F4162" s="0" t="s">
        <v>2292</v>
      </c>
      <c r="G4162" s="0" t="s">
        <v>2293</v>
      </c>
      <c r="H4162" s="0" t="s">
        <v>2301</v>
      </c>
      <c r="I4162" s="0" t="s">
        <v>1685</v>
      </c>
      <c r="J4162" s="0" t="s">
        <v>2357</v>
      </c>
      <c r="K4162" s="272" t="n">
        <v>7</v>
      </c>
    </row>
    <row r="4163" customFormat="false" ht="15" hidden="false" customHeight="false" outlineLevel="0" collapsed="false">
      <c r="A4163" s="0" t="s">
        <v>2041</v>
      </c>
      <c r="B4163" s="0" t="s">
        <v>2042</v>
      </c>
      <c r="C4163" s="0" t="s">
        <v>2357</v>
      </c>
      <c r="D4163" s="0" t="s">
        <v>2279</v>
      </c>
      <c r="E4163" s="0" t="s">
        <v>2279</v>
      </c>
      <c r="F4163" s="0" t="s">
        <v>2292</v>
      </c>
      <c r="G4163" s="0" t="s">
        <v>2293</v>
      </c>
      <c r="H4163" s="0" t="s">
        <v>2302</v>
      </c>
      <c r="I4163" s="0" t="s">
        <v>1685</v>
      </c>
      <c r="J4163" s="0" t="s">
        <v>2357</v>
      </c>
      <c r="K4163" s="272" t="n">
        <v>4</v>
      </c>
    </row>
    <row r="4164" customFormat="false" ht="15" hidden="false" customHeight="false" outlineLevel="0" collapsed="false">
      <c r="A4164" s="0" t="s">
        <v>2041</v>
      </c>
      <c r="B4164" s="0" t="s">
        <v>2042</v>
      </c>
      <c r="C4164" s="0" t="s">
        <v>2357</v>
      </c>
      <c r="D4164" s="0" t="s">
        <v>2279</v>
      </c>
      <c r="E4164" s="0" t="s">
        <v>2279</v>
      </c>
      <c r="F4164" s="0" t="s">
        <v>2292</v>
      </c>
      <c r="G4164" s="0" t="s">
        <v>2293</v>
      </c>
      <c r="H4164" s="0" t="s">
        <v>2303</v>
      </c>
      <c r="I4164" s="0" t="s">
        <v>1685</v>
      </c>
      <c r="J4164" s="0" t="s">
        <v>2357</v>
      </c>
      <c r="K4164" s="272" t="n">
        <v>3</v>
      </c>
    </row>
    <row r="4165" customFormat="false" ht="15" hidden="false" customHeight="false" outlineLevel="0" collapsed="false">
      <c r="A4165" s="0" t="s">
        <v>2041</v>
      </c>
      <c r="B4165" s="0" t="s">
        <v>2042</v>
      </c>
      <c r="C4165" s="0" t="s">
        <v>2357</v>
      </c>
      <c r="D4165" s="0" t="s">
        <v>2279</v>
      </c>
      <c r="E4165" s="0" t="s">
        <v>2279</v>
      </c>
      <c r="F4165" s="0" t="s">
        <v>2292</v>
      </c>
      <c r="G4165" s="0" t="s">
        <v>2293</v>
      </c>
      <c r="H4165" s="0" t="s">
        <v>2285</v>
      </c>
      <c r="I4165" s="0" t="s">
        <v>1685</v>
      </c>
      <c r="J4165" s="0" t="s">
        <v>2357</v>
      </c>
      <c r="K4165" s="272" t="n">
        <v>5</v>
      </c>
    </row>
    <row r="4166" customFormat="false" ht="15" hidden="false" customHeight="false" outlineLevel="0" collapsed="false">
      <c r="A4166" s="0" t="s">
        <v>2041</v>
      </c>
      <c r="B4166" s="0" t="s">
        <v>2042</v>
      </c>
      <c r="C4166" s="0" t="s">
        <v>2357</v>
      </c>
      <c r="D4166" s="0" t="s">
        <v>2279</v>
      </c>
      <c r="E4166" s="0" t="s">
        <v>2279</v>
      </c>
      <c r="F4166" s="0" t="s">
        <v>2292</v>
      </c>
      <c r="G4166" s="0" t="s">
        <v>2293</v>
      </c>
      <c r="H4166" s="0" t="s">
        <v>2286</v>
      </c>
      <c r="I4166" s="0" t="s">
        <v>1685</v>
      </c>
      <c r="J4166" s="0" t="s">
        <v>2357</v>
      </c>
      <c r="K4166" s="272" t="n">
        <v>2</v>
      </c>
    </row>
    <row r="4167" customFormat="false" ht="15" hidden="false" customHeight="false" outlineLevel="0" collapsed="false">
      <c r="A4167" s="0" t="s">
        <v>2041</v>
      </c>
      <c r="B4167" s="0" t="s">
        <v>2042</v>
      </c>
      <c r="C4167" s="0" t="s">
        <v>2357</v>
      </c>
      <c r="D4167" s="0" t="s">
        <v>2279</v>
      </c>
      <c r="E4167" s="0" t="s">
        <v>2279</v>
      </c>
      <c r="F4167" s="0" t="s">
        <v>2292</v>
      </c>
      <c r="G4167" s="0" t="s">
        <v>2293</v>
      </c>
      <c r="H4167" s="0" t="s">
        <v>2304</v>
      </c>
      <c r="I4167" s="0" t="s">
        <v>1685</v>
      </c>
      <c r="J4167" s="0" t="s">
        <v>2357</v>
      </c>
      <c r="K4167" s="272" t="n">
        <v>5.19354838709677</v>
      </c>
    </row>
    <row r="4168" customFormat="false" ht="15" hidden="false" customHeight="false" outlineLevel="0" collapsed="false">
      <c r="A4168" s="0" t="s">
        <v>2041</v>
      </c>
      <c r="B4168" s="0" t="s">
        <v>2042</v>
      </c>
      <c r="C4168" s="0" t="s">
        <v>2357</v>
      </c>
      <c r="D4168" s="0" t="s">
        <v>2279</v>
      </c>
      <c r="E4168" s="0" t="s">
        <v>2279</v>
      </c>
      <c r="F4168" s="0" t="s">
        <v>2292</v>
      </c>
      <c r="G4168" s="0" t="s">
        <v>2293</v>
      </c>
      <c r="H4168" s="0" t="s">
        <v>2287</v>
      </c>
      <c r="I4168" s="0" t="s">
        <v>1685</v>
      </c>
      <c r="J4168" s="0" t="s">
        <v>2357</v>
      </c>
      <c r="K4168" s="272" t="n">
        <v>7</v>
      </c>
    </row>
    <row r="4169" customFormat="false" ht="15" hidden="false" customHeight="false" outlineLevel="0" collapsed="false">
      <c r="A4169" s="0" t="s">
        <v>2041</v>
      </c>
      <c r="B4169" s="0" t="s">
        <v>2042</v>
      </c>
      <c r="C4169" s="0" t="s">
        <v>2357</v>
      </c>
      <c r="D4169" s="0" t="s">
        <v>2279</v>
      </c>
      <c r="E4169" s="0" t="s">
        <v>2279</v>
      </c>
      <c r="F4169" s="0" t="s">
        <v>2292</v>
      </c>
      <c r="G4169" s="0" t="s">
        <v>2293</v>
      </c>
      <c r="H4169" s="0" t="s">
        <v>2288</v>
      </c>
      <c r="I4169" s="0" t="s">
        <v>1685</v>
      </c>
      <c r="J4169" s="0" t="s">
        <v>2357</v>
      </c>
      <c r="K4169" s="272" t="n">
        <v>0.5</v>
      </c>
    </row>
    <row r="4170" customFormat="false" ht="15" hidden="false" customHeight="false" outlineLevel="0" collapsed="false">
      <c r="A4170" s="0" t="s">
        <v>2041</v>
      </c>
      <c r="B4170" s="0" t="s">
        <v>2042</v>
      </c>
      <c r="C4170" s="0" t="s">
        <v>2357</v>
      </c>
      <c r="D4170" s="0" t="s">
        <v>2279</v>
      </c>
      <c r="E4170" s="0" t="s">
        <v>2279</v>
      </c>
      <c r="F4170" s="0" t="s">
        <v>2292</v>
      </c>
      <c r="G4170" s="0" t="s">
        <v>2293</v>
      </c>
      <c r="H4170" s="0" t="s">
        <v>2305</v>
      </c>
      <c r="I4170" s="0" t="s">
        <v>1685</v>
      </c>
      <c r="J4170" s="0" t="s">
        <v>2357</v>
      </c>
      <c r="K4170" s="272" t="n">
        <v>3</v>
      </c>
    </row>
    <row r="4171" customFormat="false" ht="15" hidden="false" customHeight="false" outlineLevel="0" collapsed="false">
      <c r="A4171" s="0" t="s">
        <v>2041</v>
      </c>
      <c r="B4171" s="0" t="s">
        <v>2042</v>
      </c>
      <c r="C4171" s="0" t="s">
        <v>2357</v>
      </c>
      <c r="D4171" s="0" t="s">
        <v>2279</v>
      </c>
      <c r="E4171" s="0" t="s">
        <v>2279</v>
      </c>
      <c r="F4171" s="0" t="s">
        <v>2292</v>
      </c>
      <c r="G4171" s="0" t="s">
        <v>2293</v>
      </c>
      <c r="H4171" s="0" t="s">
        <v>2200</v>
      </c>
      <c r="I4171" s="0" t="s">
        <v>1685</v>
      </c>
      <c r="J4171" s="0" t="s">
        <v>2357</v>
      </c>
      <c r="K4171" s="272" t="n">
        <v>17.55</v>
      </c>
    </row>
    <row r="4172" customFormat="false" ht="15" hidden="false" customHeight="false" outlineLevel="0" collapsed="false">
      <c r="A4172" s="0" t="s">
        <v>2041</v>
      </c>
      <c r="B4172" s="0" t="s">
        <v>2042</v>
      </c>
      <c r="C4172" s="0" t="s">
        <v>2357</v>
      </c>
      <c r="D4172" s="0" t="s">
        <v>2279</v>
      </c>
      <c r="E4172" s="0" t="s">
        <v>2279</v>
      </c>
      <c r="F4172" s="0" t="s">
        <v>2292</v>
      </c>
      <c r="G4172" s="0" t="s">
        <v>2293</v>
      </c>
      <c r="H4172" s="0" t="s">
        <v>2202</v>
      </c>
      <c r="I4172" s="0" t="s">
        <v>1685</v>
      </c>
      <c r="J4172" s="0" t="s">
        <v>2357</v>
      </c>
      <c r="K4172" s="272" t="n">
        <v>9.45</v>
      </c>
    </row>
    <row r="4173" customFormat="false" ht="15" hidden="false" customHeight="false" outlineLevel="0" collapsed="false">
      <c r="A4173" s="0" t="s">
        <v>2041</v>
      </c>
      <c r="B4173" s="0" t="s">
        <v>2042</v>
      </c>
      <c r="C4173" s="0" t="s">
        <v>2357</v>
      </c>
      <c r="D4173" s="0" t="s">
        <v>2279</v>
      </c>
      <c r="E4173" s="0" t="s">
        <v>2279</v>
      </c>
      <c r="F4173" s="0" t="s">
        <v>2292</v>
      </c>
      <c r="G4173" s="0" t="s">
        <v>2293</v>
      </c>
      <c r="H4173" s="0" t="s">
        <v>2306</v>
      </c>
      <c r="I4173" s="0" t="s">
        <v>1685</v>
      </c>
      <c r="J4173" s="0" t="s">
        <v>2357</v>
      </c>
      <c r="K4173" s="272" t="n">
        <v>2</v>
      </c>
    </row>
    <row r="4174" customFormat="false" ht="15" hidden="false" customHeight="false" outlineLevel="0" collapsed="false">
      <c r="A4174" s="0" t="s">
        <v>2041</v>
      </c>
      <c r="B4174" s="0" t="s">
        <v>2042</v>
      </c>
      <c r="C4174" s="0" t="s">
        <v>2357</v>
      </c>
      <c r="D4174" s="0" t="s">
        <v>2279</v>
      </c>
      <c r="E4174" s="0" t="s">
        <v>2279</v>
      </c>
      <c r="F4174" s="0" t="s">
        <v>2292</v>
      </c>
      <c r="G4174" s="0" t="s">
        <v>2293</v>
      </c>
      <c r="H4174" s="0" t="s">
        <v>2182</v>
      </c>
      <c r="I4174" s="0" t="s">
        <v>1685</v>
      </c>
      <c r="J4174" s="0" t="s">
        <v>2357</v>
      </c>
      <c r="K4174" s="272" t="n">
        <v>4.5</v>
      </c>
    </row>
    <row r="4175" customFormat="false" ht="15" hidden="false" customHeight="false" outlineLevel="0" collapsed="false">
      <c r="A4175" s="0" t="s">
        <v>2041</v>
      </c>
      <c r="B4175" s="0" t="s">
        <v>2042</v>
      </c>
      <c r="C4175" s="0" t="s">
        <v>2357</v>
      </c>
      <c r="D4175" s="0" t="s">
        <v>2279</v>
      </c>
      <c r="E4175" s="0" t="s">
        <v>2279</v>
      </c>
      <c r="F4175" s="0" t="s">
        <v>2292</v>
      </c>
      <c r="G4175" s="0" t="s">
        <v>2293</v>
      </c>
      <c r="H4175" s="0" t="s">
        <v>2289</v>
      </c>
      <c r="I4175" s="0" t="s">
        <v>1685</v>
      </c>
      <c r="J4175" s="0" t="s">
        <v>2357</v>
      </c>
      <c r="K4175" s="272" t="n">
        <v>1.5</v>
      </c>
    </row>
    <row r="4176" customFormat="false" ht="15" hidden="false" customHeight="false" outlineLevel="0" collapsed="false">
      <c r="A4176" s="0" t="s">
        <v>2041</v>
      </c>
      <c r="B4176" s="0" t="s">
        <v>2042</v>
      </c>
      <c r="C4176" s="0" t="s">
        <v>2357</v>
      </c>
      <c r="D4176" s="0" t="s">
        <v>2279</v>
      </c>
      <c r="E4176" s="0" t="s">
        <v>2279</v>
      </c>
      <c r="F4176" s="0" t="s">
        <v>2292</v>
      </c>
      <c r="G4176" s="0" t="s">
        <v>2293</v>
      </c>
      <c r="H4176" s="0" t="s">
        <v>2307</v>
      </c>
      <c r="I4176" s="0" t="s">
        <v>1685</v>
      </c>
      <c r="J4176" s="0" t="s">
        <v>2357</v>
      </c>
      <c r="K4176" s="272" t="n">
        <v>4</v>
      </c>
    </row>
    <row r="4177" customFormat="false" ht="15" hidden="false" customHeight="false" outlineLevel="0" collapsed="false">
      <c r="A4177" s="0" t="s">
        <v>2041</v>
      </c>
      <c r="B4177" s="0" t="s">
        <v>2042</v>
      </c>
      <c r="C4177" s="0" t="s">
        <v>2357</v>
      </c>
      <c r="D4177" s="0" t="s">
        <v>2279</v>
      </c>
      <c r="E4177" s="0" t="s">
        <v>2279</v>
      </c>
      <c r="F4177" s="0" t="s">
        <v>2292</v>
      </c>
      <c r="G4177" s="0" t="s">
        <v>2293</v>
      </c>
      <c r="H4177" s="0" t="s">
        <v>2308</v>
      </c>
      <c r="I4177" s="0" t="s">
        <v>1685</v>
      </c>
      <c r="J4177" s="0" t="s">
        <v>2357</v>
      </c>
      <c r="K4177" s="272" t="n">
        <v>4</v>
      </c>
    </row>
    <row r="4178" customFormat="false" ht="15" hidden="false" customHeight="false" outlineLevel="0" collapsed="false">
      <c r="A4178" s="0" t="s">
        <v>2041</v>
      </c>
      <c r="B4178" s="0" t="s">
        <v>2042</v>
      </c>
      <c r="C4178" s="0" t="s">
        <v>2357</v>
      </c>
      <c r="D4178" s="0" t="s">
        <v>2279</v>
      </c>
      <c r="E4178" s="0" t="s">
        <v>2279</v>
      </c>
      <c r="F4178" s="0" t="s">
        <v>2292</v>
      </c>
      <c r="G4178" s="0" t="s">
        <v>2293</v>
      </c>
      <c r="H4178" s="0" t="s">
        <v>2309</v>
      </c>
      <c r="I4178" s="0" t="s">
        <v>1685</v>
      </c>
      <c r="J4178" s="0" t="s">
        <v>2357</v>
      </c>
      <c r="K4178" s="272" t="n">
        <v>10</v>
      </c>
    </row>
    <row r="4179" customFormat="false" ht="15" hidden="false" customHeight="false" outlineLevel="0" collapsed="false">
      <c r="A4179" s="0" t="s">
        <v>2041</v>
      </c>
      <c r="B4179" s="0" t="s">
        <v>2042</v>
      </c>
      <c r="C4179" s="0" t="s">
        <v>2357</v>
      </c>
      <c r="D4179" s="0" t="s">
        <v>2279</v>
      </c>
      <c r="E4179" s="0" t="s">
        <v>2279</v>
      </c>
      <c r="F4179" s="0" t="s">
        <v>2292</v>
      </c>
      <c r="G4179" s="0" t="s">
        <v>2293</v>
      </c>
      <c r="H4179" s="0" t="s">
        <v>2310</v>
      </c>
      <c r="I4179" s="0" t="s">
        <v>1685</v>
      </c>
      <c r="J4179" s="0" t="s">
        <v>2357</v>
      </c>
      <c r="K4179" s="272" t="n">
        <v>4</v>
      </c>
    </row>
    <row r="4180" customFormat="false" ht="15" hidden="false" customHeight="false" outlineLevel="0" collapsed="false">
      <c r="A4180" s="0" t="s">
        <v>2041</v>
      </c>
      <c r="B4180" s="0" t="s">
        <v>2042</v>
      </c>
      <c r="C4180" s="0" t="s">
        <v>2357</v>
      </c>
      <c r="D4180" s="0" t="s">
        <v>2279</v>
      </c>
      <c r="E4180" s="0" t="s">
        <v>2279</v>
      </c>
      <c r="F4180" s="0" t="s">
        <v>2292</v>
      </c>
      <c r="G4180" s="0" t="s">
        <v>2293</v>
      </c>
      <c r="H4180" s="0" t="s">
        <v>2311</v>
      </c>
      <c r="I4180" s="0" t="s">
        <v>1685</v>
      </c>
      <c r="J4180" s="0" t="s">
        <v>2357</v>
      </c>
      <c r="K4180" s="272" t="n">
        <v>7</v>
      </c>
    </row>
    <row r="4181" customFormat="false" ht="15" hidden="false" customHeight="false" outlineLevel="0" collapsed="false">
      <c r="A4181" s="0" t="s">
        <v>2041</v>
      </c>
      <c r="B4181" s="0" t="s">
        <v>2042</v>
      </c>
      <c r="C4181" s="0" t="s">
        <v>2357</v>
      </c>
      <c r="D4181" s="0" t="s">
        <v>2279</v>
      </c>
      <c r="E4181" s="0" t="s">
        <v>2279</v>
      </c>
      <c r="F4181" s="0" t="s">
        <v>2292</v>
      </c>
      <c r="G4181" s="0" t="s">
        <v>2293</v>
      </c>
      <c r="H4181" s="0" t="s">
        <v>2312</v>
      </c>
      <c r="I4181" s="0" t="s">
        <v>1685</v>
      </c>
      <c r="J4181" s="0" t="s">
        <v>2357</v>
      </c>
      <c r="K4181" s="272" t="n">
        <v>3</v>
      </c>
    </row>
    <row r="4182" customFormat="false" ht="15" hidden="false" customHeight="false" outlineLevel="0" collapsed="false">
      <c r="A4182" s="0" t="s">
        <v>2041</v>
      </c>
      <c r="B4182" s="0" t="s">
        <v>2042</v>
      </c>
      <c r="C4182" s="0" t="s">
        <v>2357</v>
      </c>
      <c r="D4182" s="0" t="s">
        <v>2279</v>
      </c>
      <c r="E4182" s="0" t="s">
        <v>2279</v>
      </c>
      <c r="F4182" s="0" t="s">
        <v>2292</v>
      </c>
      <c r="G4182" s="0" t="s">
        <v>2293</v>
      </c>
      <c r="H4182" s="0" t="s">
        <v>2313</v>
      </c>
      <c r="I4182" s="0" t="s">
        <v>1685</v>
      </c>
      <c r="J4182" s="0" t="s">
        <v>2357</v>
      </c>
      <c r="K4182" s="272" t="n">
        <v>2</v>
      </c>
    </row>
    <row r="4183" customFormat="false" ht="15" hidden="false" customHeight="false" outlineLevel="0" collapsed="false">
      <c r="A4183" s="0" t="s">
        <v>2041</v>
      </c>
      <c r="B4183" s="0" t="s">
        <v>2042</v>
      </c>
      <c r="C4183" s="0" t="s">
        <v>2357</v>
      </c>
      <c r="D4183" s="0" t="s">
        <v>2279</v>
      </c>
      <c r="E4183" s="0" t="s">
        <v>2279</v>
      </c>
      <c r="F4183" s="0" t="s">
        <v>2292</v>
      </c>
      <c r="G4183" s="0" t="s">
        <v>2293</v>
      </c>
      <c r="H4183" s="0" t="s">
        <v>2314</v>
      </c>
      <c r="I4183" s="0" t="s">
        <v>1685</v>
      </c>
      <c r="J4183" s="0" t="s">
        <v>2357</v>
      </c>
      <c r="K4183" s="272" t="n">
        <v>3</v>
      </c>
    </row>
    <row r="4184" customFormat="false" ht="15" hidden="false" customHeight="false" outlineLevel="0" collapsed="false">
      <c r="A4184" s="0" t="s">
        <v>2041</v>
      </c>
      <c r="B4184" s="0" t="s">
        <v>2042</v>
      </c>
      <c r="C4184" s="0" t="s">
        <v>2357</v>
      </c>
      <c r="D4184" s="0" t="s">
        <v>2279</v>
      </c>
      <c r="E4184" s="0" t="s">
        <v>2279</v>
      </c>
      <c r="F4184" s="0" t="s">
        <v>2292</v>
      </c>
      <c r="G4184" s="0" t="s">
        <v>2293</v>
      </c>
      <c r="H4184" s="0" t="s">
        <v>2315</v>
      </c>
      <c r="I4184" s="0" t="s">
        <v>1685</v>
      </c>
      <c r="J4184" s="0" t="s">
        <v>2357</v>
      </c>
      <c r="K4184" s="272" t="n">
        <v>4</v>
      </c>
    </row>
    <row r="4185" customFormat="false" ht="15" hidden="false" customHeight="false" outlineLevel="0" collapsed="false">
      <c r="A4185" s="0" t="s">
        <v>2041</v>
      </c>
      <c r="B4185" s="0" t="s">
        <v>2042</v>
      </c>
      <c r="C4185" s="0" t="s">
        <v>2357</v>
      </c>
      <c r="D4185" s="0" t="s">
        <v>2279</v>
      </c>
      <c r="E4185" s="0" t="s">
        <v>2279</v>
      </c>
      <c r="F4185" s="0" t="s">
        <v>2292</v>
      </c>
      <c r="G4185" s="0" t="s">
        <v>2293</v>
      </c>
      <c r="H4185" s="0" t="s">
        <v>2316</v>
      </c>
      <c r="I4185" s="0" t="s">
        <v>1685</v>
      </c>
      <c r="J4185" s="0" t="s">
        <v>2357</v>
      </c>
      <c r="K4185" s="272" t="n">
        <v>41.5</v>
      </c>
    </row>
    <row r="4186" customFormat="false" ht="15" hidden="false" customHeight="false" outlineLevel="0" collapsed="false">
      <c r="A4186" s="0" t="s">
        <v>2041</v>
      </c>
      <c r="B4186" s="0" t="s">
        <v>2042</v>
      </c>
      <c r="C4186" s="0" t="s">
        <v>2357</v>
      </c>
      <c r="D4186" s="0" t="s">
        <v>2279</v>
      </c>
      <c r="E4186" s="0" t="s">
        <v>2279</v>
      </c>
      <c r="F4186" s="0" t="s">
        <v>2292</v>
      </c>
      <c r="G4186" s="0" t="s">
        <v>2293</v>
      </c>
      <c r="H4186" s="0" t="s">
        <v>2326</v>
      </c>
      <c r="I4186" s="0" t="s">
        <v>1685</v>
      </c>
      <c r="J4186" s="0" t="s">
        <v>2357</v>
      </c>
      <c r="K4186" s="272" t="n">
        <v>6.96774193548387</v>
      </c>
    </row>
    <row r="4187" customFormat="false" ht="15" hidden="false" customHeight="false" outlineLevel="0" collapsed="false">
      <c r="A4187" s="0" t="s">
        <v>2041</v>
      </c>
      <c r="B4187" s="0" t="s">
        <v>2042</v>
      </c>
      <c r="C4187" s="0" t="s">
        <v>2357</v>
      </c>
      <c r="D4187" s="0" t="s">
        <v>2279</v>
      </c>
      <c r="E4187" s="0" t="s">
        <v>2279</v>
      </c>
      <c r="F4187" s="0" t="s">
        <v>2292</v>
      </c>
      <c r="G4187" s="0" t="s">
        <v>2293</v>
      </c>
      <c r="H4187" s="0" t="s">
        <v>2317</v>
      </c>
      <c r="I4187" s="0" t="s">
        <v>1685</v>
      </c>
      <c r="J4187" s="0" t="s">
        <v>2357</v>
      </c>
      <c r="K4187" s="272" t="n">
        <v>0.5</v>
      </c>
    </row>
    <row r="4188" customFormat="false" ht="15" hidden="false" customHeight="false" outlineLevel="0" collapsed="false">
      <c r="A4188" s="0" t="s">
        <v>2041</v>
      </c>
      <c r="B4188" s="0" t="s">
        <v>2042</v>
      </c>
      <c r="C4188" s="0" t="s">
        <v>2357</v>
      </c>
      <c r="D4188" s="0" t="s">
        <v>2279</v>
      </c>
      <c r="E4188" s="0" t="s">
        <v>2279</v>
      </c>
      <c r="F4188" s="0" t="s">
        <v>2292</v>
      </c>
      <c r="G4188" s="0" t="s">
        <v>2293</v>
      </c>
      <c r="H4188" s="0" t="s">
        <v>2318</v>
      </c>
      <c r="I4188" s="0" t="s">
        <v>1685</v>
      </c>
      <c r="J4188" s="0" t="s">
        <v>2357</v>
      </c>
      <c r="K4188" s="272" t="n">
        <v>26.9677419354839</v>
      </c>
    </row>
    <row r="4189" customFormat="false" ht="15" hidden="false" customHeight="false" outlineLevel="0" collapsed="false">
      <c r="A4189" s="0" t="s">
        <v>2041</v>
      </c>
      <c r="B4189" s="0" t="s">
        <v>2042</v>
      </c>
      <c r="C4189" s="0" t="s">
        <v>2357</v>
      </c>
      <c r="D4189" s="0" t="s">
        <v>2279</v>
      </c>
      <c r="E4189" s="0" t="s">
        <v>2279</v>
      </c>
      <c r="F4189" s="0" t="s">
        <v>2292</v>
      </c>
      <c r="G4189" s="0" t="s">
        <v>2293</v>
      </c>
      <c r="H4189" s="0" t="s">
        <v>2319</v>
      </c>
      <c r="I4189" s="0" t="s">
        <v>1685</v>
      </c>
      <c r="J4189" s="0" t="s">
        <v>2357</v>
      </c>
      <c r="K4189" s="272" t="n">
        <v>6</v>
      </c>
    </row>
    <row r="4190" customFormat="false" ht="15" hidden="false" customHeight="false" outlineLevel="0" collapsed="false">
      <c r="A4190" s="0" t="s">
        <v>2041</v>
      </c>
      <c r="B4190" s="0" t="s">
        <v>2042</v>
      </c>
      <c r="C4190" s="0" t="s">
        <v>2357</v>
      </c>
      <c r="D4190" s="0" t="s">
        <v>2279</v>
      </c>
      <c r="E4190" s="0" t="s">
        <v>2279</v>
      </c>
      <c r="F4190" s="0" t="s">
        <v>2292</v>
      </c>
      <c r="G4190" s="0" t="s">
        <v>2293</v>
      </c>
      <c r="H4190" s="0" t="s">
        <v>2320</v>
      </c>
      <c r="I4190" s="0" t="s">
        <v>1685</v>
      </c>
      <c r="J4190" s="0" t="s">
        <v>2357</v>
      </c>
      <c r="K4190" s="272" t="n">
        <v>3</v>
      </c>
    </row>
    <row r="4191" customFormat="false" ht="15" hidden="false" customHeight="false" outlineLevel="0" collapsed="false">
      <c r="A4191" s="0" t="s">
        <v>2041</v>
      </c>
      <c r="B4191" s="0" t="s">
        <v>2042</v>
      </c>
      <c r="C4191" s="0" t="s">
        <v>2357</v>
      </c>
      <c r="D4191" s="0" t="s">
        <v>2279</v>
      </c>
      <c r="E4191" s="0" t="s">
        <v>2279</v>
      </c>
      <c r="F4191" s="0" t="s">
        <v>2292</v>
      </c>
      <c r="G4191" s="0" t="s">
        <v>2293</v>
      </c>
      <c r="H4191" s="0" t="s">
        <v>2290</v>
      </c>
      <c r="I4191" s="0" t="s">
        <v>1685</v>
      </c>
      <c r="J4191" s="0" t="s">
        <v>2357</v>
      </c>
      <c r="K4191" s="272" t="n">
        <v>2</v>
      </c>
    </row>
    <row r="4192" customFormat="false" ht="15" hidden="false" customHeight="false" outlineLevel="0" collapsed="false">
      <c r="A4192" s="0" t="s">
        <v>2041</v>
      </c>
      <c r="B4192" s="0" t="s">
        <v>2042</v>
      </c>
      <c r="C4192" s="0" t="s">
        <v>2357</v>
      </c>
      <c r="D4192" s="0" t="s">
        <v>2279</v>
      </c>
      <c r="E4192" s="0" t="s">
        <v>2279</v>
      </c>
      <c r="F4192" s="0" t="s">
        <v>2292</v>
      </c>
      <c r="G4192" s="0" t="s">
        <v>2293</v>
      </c>
      <c r="H4192" s="0" t="s">
        <v>2291</v>
      </c>
      <c r="I4192" s="0" t="s">
        <v>1685</v>
      </c>
      <c r="J4192" s="0" t="s">
        <v>2357</v>
      </c>
      <c r="K4192" s="272" t="n">
        <v>3.51612903225806</v>
      </c>
    </row>
    <row r="4193" customFormat="false" ht="15" hidden="false" customHeight="false" outlineLevel="0" collapsed="false">
      <c r="A4193" s="0" t="s">
        <v>2041</v>
      </c>
      <c r="B4193" s="0" t="s">
        <v>2042</v>
      </c>
      <c r="C4193" s="0" t="s">
        <v>2357</v>
      </c>
      <c r="D4193" s="0" t="s">
        <v>2279</v>
      </c>
      <c r="E4193" s="0" t="s">
        <v>2279</v>
      </c>
      <c r="F4193" s="0" t="s">
        <v>2292</v>
      </c>
      <c r="G4193" s="0" t="s">
        <v>2293</v>
      </c>
      <c r="H4193" s="0" t="s">
        <v>2203</v>
      </c>
      <c r="I4193" s="0" t="s">
        <v>1685</v>
      </c>
      <c r="J4193" s="0" t="s">
        <v>2357</v>
      </c>
      <c r="K4193" s="272" t="n">
        <v>2</v>
      </c>
    </row>
    <row r="4194" customFormat="false" ht="15" hidden="false" customHeight="false" outlineLevel="0" collapsed="false">
      <c r="A4194" s="0" t="s">
        <v>2041</v>
      </c>
      <c r="B4194" s="0" t="s">
        <v>2042</v>
      </c>
      <c r="C4194" s="0" t="s">
        <v>2357</v>
      </c>
      <c r="D4194" s="0" t="s">
        <v>2044</v>
      </c>
      <c r="E4194" s="0" t="s">
        <v>2045</v>
      </c>
      <c r="F4194" s="0" t="s">
        <v>2046</v>
      </c>
      <c r="G4194" s="0" t="s">
        <v>2047</v>
      </c>
      <c r="H4194" s="0" t="s">
        <v>2048</v>
      </c>
      <c r="I4194" s="0" t="s">
        <v>1685</v>
      </c>
      <c r="J4194" s="0" t="s">
        <v>2357</v>
      </c>
      <c r="K4194" s="272" t="n">
        <v>0.8</v>
      </c>
    </row>
    <row r="4195" customFormat="false" ht="15" hidden="false" customHeight="false" outlineLevel="0" collapsed="false">
      <c r="A4195" s="0" t="s">
        <v>2041</v>
      </c>
      <c r="B4195" s="0" t="s">
        <v>2042</v>
      </c>
      <c r="C4195" s="0" t="s">
        <v>2357</v>
      </c>
      <c r="D4195" s="0" t="s">
        <v>2044</v>
      </c>
      <c r="E4195" s="0" t="s">
        <v>2045</v>
      </c>
      <c r="F4195" s="0" t="s">
        <v>2051</v>
      </c>
      <c r="G4195" s="0" t="s">
        <v>2047</v>
      </c>
      <c r="H4195" s="0" t="s">
        <v>2052</v>
      </c>
      <c r="I4195" s="0" t="s">
        <v>1685</v>
      </c>
      <c r="J4195" s="0" t="s">
        <v>2357</v>
      </c>
      <c r="K4195" s="272" t="n">
        <v>0.2</v>
      </c>
    </row>
    <row r="4196" customFormat="false" ht="15" hidden="false" customHeight="false" outlineLevel="0" collapsed="false">
      <c r="A4196" s="0" t="s">
        <v>2041</v>
      </c>
      <c r="B4196" s="0" t="s">
        <v>2042</v>
      </c>
      <c r="C4196" s="0" t="s">
        <v>2357</v>
      </c>
      <c r="D4196" s="0" t="s">
        <v>2044</v>
      </c>
      <c r="E4196" s="0" t="s">
        <v>2045</v>
      </c>
      <c r="F4196" s="0" t="s">
        <v>2046</v>
      </c>
      <c r="G4196" s="0" t="s">
        <v>2053</v>
      </c>
      <c r="H4196" s="0" t="s">
        <v>2048</v>
      </c>
      <c r="I4196" s="0" t="s">
        <v>1685</v>
      </c>
      <c r="J4196" s="0" t="s">
        <v>2357</v>
      </c>
      <c r="K4196" s="272" t="n">
        <v>1.95</v>
      </c>
    </row>
    <row r="4197" customFormat="false" ht="15" hidden="false" customHeight="false" outlineLevel="0" collapsed="false">
      <c r="A4197" s="0" t="s">
        <v>2041</v>
      </c>
      <c r="B4197" s="0" t="s">
        <v>2042</v>
      </c>
      <c r="C4197" s="0" t="s">
        <v>2357</v>
      </c>
      <c r="D4197" s="0" t="s">
        <v>2044</v>
      </c>
      <c r="E4197" s="0" t="s">
        <v>2045</v>
      </c>
      <c r="F4197" s="0" t="s">
        <v>2051</v>
      </c>
      <c r="G4197" s="0" t="s">
        <v>2053</v>
      </c>
      <c r="H4197" s="0" t="s">
        <v>2052</v>
      </c>
      <c r="I4197" s="0" t="s">
        <v>1685</v>
      </c>
      <c r="J4197" s="0" t="s">
        <v>2357</v>
      </c>
      <c r="K4197" s="272" t="n">
        <v>0.05</v>
      </c>
    </row>
    <row r="4198" customFormat="false" ht="15" hidden="false" customHeight="false" outlineLevel="0" collapsed="false">
      <c r="A4198" s="0" t="s">
        <v>2041</v>
      </c>
      <c r="B4198" s="0" t="s">
        <v>2042</v>
      </c>
      <c r="C4198" s="0" t="s">
        <v>2357</v>
      </c>
      <c r="D4198" s="0" t="s">
        <v>2044</v>
      </c>
      <c r="E4198" s="0" t="s">
        <v>2045</v>
      </c>
      <c r="F4198" s="0" t="s">
        <v>2046</v>
      </c>
      <c r="G4198" s="0" t="s">
        <v>2054</v>
      </c>
      <c r="H4198" s="0" t="s">
        <v>2048</v>
      </c>
      <c r="I4198" s="0" t="s">
        <v>1685</v>
      </c>
      <c r="J4198" s="0" t="s">
        <v>2357</v>
      </c>
      <c r="K4198" s="272" t="n">
        <v>0.850000000000001</v>
      </c>
    </row>
    <row r="4199" customFormat="false" ht="15" hidden="false" customHeight="false" outlineLevel="0" collapsed="false">
      <c r="A4199" s="0" t="s">
        <v>2041</v>
      </c>
      <c r="B4199" s="0" t="s">
        <v>2042</v>
      </c>
      <c r="C4199" s="0" t="s">
        <v>2357</v>
      </c>
      <c r="D4199" s="0" t="s">
        <v>2044</v>
      </c>
      <c r="E4199" s="0" t="s">
        <v>2045</v>
      </c>
      <c r="F4199" s="0" t="s">
        <v>2051</v>
      </c>
      <c r="G4199" s="0" t="s">
        <v>2054</v>
      </c>
      <c r="H4199" s="0" t="s">
        <v>2052</v>
      </c>
      <c r="I4199" s="0" t="s">
        <v>1685</v>
      </c>
      <c r="J4199" s="0" t="s">
        <v>2357</v>
      </c>
      <c r="K4199" s="272" t="n">
        <v>0.15</v>
      </c>
    </row>
    <row r="4200" customFormat="false" ht="15" hidden="false" customHeight="false" outlineLevel="0" collapsed="false">
      <c r="A4200" s="0" t="s">
        <v>2041</v>
      </c>
      <c r="B4200" s="0" t="s">
        <v>2042</v>
      </c>
      <c r="C4200" s="0" t="s">
        <v>2357</v>
      </c>
      <c r="D4200" s="0" t="s">
        <v>2044</v>
      </c>
      <c r="E4200" s="0" t="s">
        <v>2045</v>
      </c>
      <c r="F4200" s="0" t="s">
        <v>2046</v>
      </c>
      <c r="G4200" s="0" t="s">
        <v>2055</v>
      </c>
      <c r="H4200" s="0" t="s">
        <v>2048</v>
      </c>
      <c r="I4200" s="0" t="s">
        <v>1685</v>
      </c>
      <c r="J4200" s="0" t="s">
        <v>2357</v>
      </c>
      <c r="K4200" s="272" t="n">
        <v>0.5</v>
      </c>
    </row>
    <row r="4201" customFormat="false" ht="15" hidden="false" customHeight="false" outlineLevel="0" collapsed="false">
      <c r="A4201" s="0" t="s">
        <v>2041</v>
      </c>
      <c r="B4201" s="0" t="s">
        <v>2042</v>
      </c>
      <c r="C4201" s="0" t="s">
        <v>2357</v>
      </c>
      <c r="D4201" s="0" t="s">
        <v>2044</v>
      </c>
      <c r="E4201" s="0" t="s">
        <v>2045</v>
      </c>
      <c r="F4201" s="0" t="s">
        <v>2051</v>
      </c>
      <c r="G4201" s="0" t="s">
        <v>2055</v>
      </c>
      <c r="H4201" s="0" t="s">
        <v>2052</v>
      </c>
      <c r="I4201" s="0" t="s">
        <v>1685</v>
      </c>
      <c r="J4201" s="0" t="s">
        <v>2357</v>
      </c>
      <c r="K4201" s="272" t="n">
        <v>1.5</v>
      </c>
    </row>
    <row r="4202" customFormat="false" ht="15" hidden="false" customHeight="false" outlineLevel="0" collapsed="false">
      <c r="A4202" s="0" t="s">
        <v>2041</v>
      </c>
      <c r="B4202" s="0" t="s">
        <v>2042</v>
      </c>
      <c r="C4202" s="0" t="s">
        <v>2357</v>
      </c>
      <c r="D4202" s="0" t="s">
        <v>2044</v>
      </c>
      <c r="E4202" s="0" t="s">
        <v>2045</v>
      </c>
      <c r="F4202" s="0" t="s">
        <v>2046</v>
      </c>
      <c r="G4202" s="0" t="s">
        <v>2056</v>
      </c>
      <c r="H4202" s="0" t="s">
        <v>2048</v>
      </c>
      <c r="I4202" s="0" t="s">
        <v>1685</v>
      </c>
      <c r="J4202" s="0" t="s">
        <v>2357</v>
      </c>
      <c r="K4202" s="272" t="n">
        <v>0.09</v>
      </c>
    </row>
    <row r="4203" customFormat="false" ht="15" hidden="false" customHeight="false" outlineLevel="0" collapsed="false">
      <c r="A4203" s="0" t="s">
        <v>2041</v>
      </c>
      <c r="B4203" s="0" t="s">
        <v>2042</v>
      </c>
      <c r="C4203" s="0" t="s">
        <v>2357</v>
      </c>
      <c r="D4203" s="0" t="s">
        <v>2044</v>
      </c>
      <c r="E4203" s="0" t="s">
        <v>2045</v>
      </c>
      <c r="F4203" s="0" t="s">
        <v>2051</v>
      </c>
      <c r="G4203" s="0" t="s">
        <v>2056</v>
      </c>
      <c r="H4203" s="0" t="s">
        <v>2052</v>
      </c>
      <c r="I4203" s="0" t="s">
        <v>1685</v>
      </c>
      <c r="J4203" s="0" t="s">
        <v>2357</v>
      </c>
      <c r="K4203" s="272" t="n">
        <v>0.91</v>
      </c>
    </row>
    <row r="4204" customFormat="false" ht="15" hidden="false" customHeight="false" outlineLevel="0" collapsed="false">
      <c r="A4204" s="0" t="s">
        <v>2041</v>
      </c>
      <c r="B4204" s="0" t="s">
        <v>2042</v>
      </c>
      <c r="C4204" s="0" t="s">
        <v>2357</v>
      </c>
      <c r="D4204" s="0" t="s">
        <v>2044</v>
      </c>
      <c r="E4204" s="0" t="s">
        <v>2045</v>
      </c>
      <c r="F4204" s="0" t="s">
        <v>2046</v>
      </c>
      <c r="G4204" s="0" t="s">
        <v>2057</v>
      </c>
      <c r="H4204" s="0" t="s">
        <v>2048</v>
      </c>
      <c r="I4204" s="0" t="s">
        <v>1685</v>
      </c>
      <c r="J4204" s="0" t="s">
        <v>2357</v>
      </c>
      <c r="K4204" s="272" t="n">
        <v>1</v>
      </c>
    </row>
    <row r="4205" customFormat="false" ht="15" hidden="false" customHeight="false" outlineLevel="0" collapsed="false">
      <c r="A4205" s="0" t="s">
        <v>2041</v>
      </c>
      <c r="B4205" s="0" t="s">
        <v>2042</v>
      </c>
      <c r="C4205" s="0" t="s">
        <v>2357</v>
      </c>
      <c r="D4205" s="0" t="s">
        <v>2044</v>
      </c>
      <c r="E4205" s="0" t="s">
        <v>2045</v>
      </c>
      <c r="F4205" s="0" t="s">
        <v>2051</v>
      </c>
      <c r="G4205" s="0" t="s">
        <v>2057</v>
      </c>
      <c r="H4205" s="0" t="s">
        <v>2052</v>
      </c>
      <c r="I4205" s="0" t="s">
        <v>1685</v>
      </c>
      <c r="J4205" s="0" t="s">
        <v>2357</v>
      </c>
      <c r="K4205" s="272" t="n">
        <v>1</v>
      </c>
    </row>
    <row r="4206" customFormat="false" ht="15" hidden="false" customHeight="false" outlineLevel="0" collapsed="false">
      <c r="A4206" s="0" t="s">
        <v>2041</v>
      </c>
      <c r="B4206" s="0" t="s">
        <v>2042</v>
      </c>
      <c r="C4206" s="0" t="s">
        <v>2357</v>
      </c>
      <c r="D4206" s="0" t="s">
        <v>2044</v>
      </c>
      <c r="E4206" s="0" t="s">
        <v>2045</v>
      </c>
      <c r="F4206" s="0" t="s">
        <v>2046</v>
      </c>
      <c r="G4206" s="0" t="s">
        <v>2058</v>
      </c>
      <c r="H4206" s="0" t="s">
        <v>2048</v>
      </c>
      <c r="I4206" s="0" t="s">
        <v>1685</v>
      </c>
      <c r="J4206" s="0" t="s">
        <v>2357</v>
      </c>
      <c r="K4206" s="272" t="n">
        <v>0.8</v>
      </c>
    </row>
    <row r="4207" customFormat="false" ht="15" hidden="false" customHeight="false" outlineLevel="0" collapsed="false">
      <c r="A4207" s="0" t="s">
        <v>2041</v>
      </c>
      <c r="B4207" s="0" t="s">
        <v>2042</v>
      </c>
      <c r="C4207" s="0" t="s">
        <v>2357</v>
      </c>
      <c r="D4207" s="0" t="s">
        <v>2044</v>
      </c>
      <c r="E4207" s="0" t="s">
        <v>2045</v>
      </c>
      <c r="F4207" s="0" t="s">
        <v>2051</v>
      </c>
      <c r="G4207" s="0" t="s">
        <v>2058</v>
      </c>
      <c r="H4207" s="0" t="s">
        <v>2052</v>
      </c>
      <c r="I4207" s="0" t="s">
        <v>1685</v>
      </c>
      <c r="J4207" s="0" t="s">
        <v>2357</v>
      </c>
      <c r="K4207" s="272" t="n">
        <v>0.2</v>
      </c>
    </row>
    <row r="4208" customFormat="false" ht="15" hidden="false" customHeight="false" outlineLevel="0" collapsed="false">
      <c r="A4208" s="0" t="s">
        <v>2041</v>
      </c>
      <c r="B4208" s="0" t="s">
        <v>2042</v>
      </c>
      <c r="C4208" s="0" t="s">
        <v>2357</v>
      </c>
      <c r="D4208" s="0" t="s">
        <v>2044</v>
      </c>
      <c r="E4208" s="0" t="s">
        <v>2045</v>
      </c>
      <c r="F4208" s="0" t="s">
        <v>2046</v>
      </c>
      <c r="G4208" s="0" t="s">
        <v>2060</v>
      </c>
      <c r="H4208" s="0" t="s">
        <v>2048</v>
      </c>
      <c r="I4208" s="0" t="s">
        <v>1685</v>
      </c>
      <c r="J4208" s="0" t="s">
        <v>2357</v>
      </c>
      <c r="K4208" s="272" t="n">
        <v>2.97</v>
      </c>
    </row>
    <row r="4209" customFormat="false" ht="15" hidden="false" customHeight="false" outlineLevel="0" collapsed="false">
      <c r="A4209" s="0" t="s">
        <v>2041</v>
      </c>
      <c r="B4209" s="0" t="s">
        <v>2042</v>
      </c>
      <c r="C4209" s="0" t="s">
        <v>2357</v>
      </c>
      <c r="D4209" s="0" t="s">
        <v>2044</v>
      </c>
      <c r="E4209" s="0" t="s">
        <v>2045</v>
      </c>
      <c r="F4209" s="0" t="s">
        <v>2051</v>
      </c>
      <c r="G4209" s="0" t="s">
        <v>2060</v>
      </c>
      <c r="H4209" s="0" t="s">
        <v>2052</v>
      </c>
      <c r="I4209" s="0" t="s">
        <v>1685</v>
      </c>
      <c r="J4209" s="0" t="s">
        <v>2357</v>
      </c>
      <c r="K4209" s="272" t="n">
        <v>0.03</v>
      </c>
    </row>
    <row r="4210" customFormat="false" ht="15" hidden="false" customHeight="false" outlineLevel="0" collapsed="false">
      <c r="A4210" s="0" t="s">
        <v>2041</v>
      </c>
      <c r="B4210" s="0" t="s">
        <v>2042</v>
      </c>
      <c r="C4210" s="0" t="s">
        <v>2357</v>
      </c>
      <c r="D4210" s="0" t="s">
        <v>2044</v>
      </c>
      <c r="E4210" s="0" t="s">
        <v>2045</v>
      </c>
      <c r="F4210" s="0" t="s">
        <v>2046</v>
      </c>
      <c r="G4210" s="0" t="s">
        <v>2061</v>
      </c>
      <c r="H4210" s="0" t="s">
        <v>2048</v>
      </c>
      <c r="I4210" s="0" t="s">
        <v>1685</v>
      </c>
      <c r="J4210" s="0" t="s">
        <v>2357</v>
      </c>
      <c r="K4210" s="272" t="n">
        <v>2.94</v>
      </c>
    </row>
    <row r="4211" customFormat="false" ht="15" hidden="false" customHeight="false" outlineLevel="0" collapsed="false">
      <c r="A4211" s="0" t="s">
        <v>2041</v>
      </c>
      <c r="B4211" s="0" t="s">
        <v>2042</v>
      </c>
      <c r="C4211" s="0" t="s">
        <v>2357</v>
      </c>
      <c r="D4211" s="0" t="s">
        <v>2044</v>
      </c>
      <c r="E4211" s="0" t="s">
        <v>2045</v>
      </c>
      <c r="F4211" s="0" t="s">
        <v>2051</v>
      </c>
      <c r="G4211" s="0" t="s">
        <v>2061</v>
      </c>
      <c r="H4211" s="0" t="s">
        <v>2052</v>
      </c>
      <c r="I4211" s="0" t="s">
        <v>1685</v>
      </c>
      <c r="J4211" s="0" t="s">
        <v>2357</v>
      </c>
      <c r="K4211" s="272" t="n">
        <v>0.06</v>
      </c>
    </row>
    <row r="4212" customFormat="false" ht="15" hidden="false" customHeight="false" outlineLevel="0" collapsed="false">
      <c r="A4212" s="0" t="s">
        <v>2041</v>
      </c>
      <c r="B4212" s="0" t="s">
        <v>2042</v>
      </c>
      <c r="C4212" s="0" t="s">
        <v>2357</v>
      </c>
      <c r="D4212" s="0" t="s">
        <v>2044</v>
      </c>
      <c r="E4212" s="0" t="s">
        <v>2045</v>
      </c>
      <c r="F4212" s="0" t="s">
        <v>2046</v>
      </c>
      <c r="G4212" s="0" t="s">
        <v>2062</v>
      </c>
      <c r="H4212" s="0" t="s">
        <v>2048</v>
      </c>
      <c r="I4212" s="0" t="s">
        <v>1685</v>
      </c>
      <c r="J4212" s="0" t="s">
        <v>2357</v>
      </c>
      <c r="K4212" s="272" t="n">
        <v>1.75</v>
      </c>
    </row>
    <row r="4213" customFormat="false" ht="15" hidden="false" customHeight="false" outlineLevel="0" collapsed="false">
      <c r="A4213" s="0" t="s">
        <v>2041</v>
      </c>
      <c r="B4213" s="0" t="s">
        <v>2042</v>
      </c>
      <c r="C4213" s="0" t="s">
        <v>2357</v>
      </c>
      <c r="D4213" s="0" t="s">
        <v>2044</v>
      </c>
      <c r="E4213" s="0" t="s">
        <v>2045</v>
      </c>
      <c r="F4213" s="0" t="s">
        <v>2051</v>
      </c>
      <c r="G4213" s="0" t="s">
        <v>2062</v>
      </c>
      <c r="H4213" s="0" t="s">
        <v>2052</v>
      </c>
      <c r="I4213" s="0" t="s">
        <v>1685</v>
      </c>
      <c r="J4213" s="0" t="s">
        <v>2357</v>
      </c>
      <c r="K4213" s="272" t="n">
        <v>0.25</v>
      </c>
    </row>
    <row r="4214" customFormat="false" ht="15" hidden="false" customHeight="false" outlineLevel="0" collapsed="false">
      <c r="A4214" s="0" t="s">
        <v>2041</v>
      </c>
      <c r="B4214" s="0" t="s">
        <v>2042</v>
      </c>
      <c r="C4214" s="0" t="s">
        <v>2357</v>
      </c>
      <c r="D4214" s="0" t="s">
        <v>2044</v>
      </c>
      <c r="E4214" s="0" t="s">
        <v>2045</v>
      </c>
      <c r="F4214" s="0" t="s">
        <v>2046</v>
      </c>
      <c r="G4214" s="0" t="s">
        <v>2063</v>
      </c>
      <c r="H4214" s="0" t="s">
        <v>2048</v>
      </c>
      <c r="I4214" s="0" t="s">
        <v>1685</v>
      </c>
      <c r="J4214" s="0" t="s">
        <v>2357</v>
      </c>
      <c r="K4214" s="272" t="n">
        <v>1.6</v>
      </c>
    </row>
    <row r="4215" customFormat="false" ht="15" hidden="false" customHeight="false" outlineLevel="0" collapsed="false">
      <c r="A4215" s="0" t="s">
        <v>2041</v>
      </c>
      <c r="B4215" s="0" t="s">
        <v>2042</v>
      </c>
      <c r="C4215" s="0" t="s">
        <v>2357</v>
      </c>
      <c r="D4215" s="0" t="s">
        <v>2044</v>
      </c>
      <c r="E4215" s="0" t="s">
        <v>2045</v>
      </c>
      <c r="F4215" s="0" t="s">
        <v>2051</v>
      </c>
      <c r="G4215" s="0" t="s">
        <v>2063</v>
      </c>
      <c r="H4215" s="0" t="s">
        <v>2052</v>
      </c>
      <c r="I4215" s="0" t="s">
        <v>1685</v>
      </c>
      <c r="J4215" s="0" t="s">
        <v>2357</v>
      </c>
      <c r="K4215" s="272" t="n">
        <v>0.4</v>
      </c>
    </row>
    <row r="4216" customFormat="false" ht="15" hidden="false" customHeight="false" outlineLevel="0" collapsed="false">
      <c r="A4216" s="0" t="s">
        <v>2041</v>
      </c>
      <c r="B4216" s="0" t="s">
        <v>2042</v>
      </c>
      <c r="C4216" s="0" t="s">
        <v>2357</v>
      </c>
      <c r="D4216" s="0" t="s">
        <v>2044</v>
      </c>
      <c r="E4216" s="0" t="s">
        <v>2045</v>
      </c>
      <c r="F4216" s="0" t="s">
        <v>2046</v>
      </c>
      <c r="G4216" s="0" t="s">
        <v>2064</v>
      </c>
      <c r="H4216" s="0" t="s">
        <v>2048</v>
      </c>
      <c r="I4216" s="0" t="s">
        <v>1685</v>
      </c>
      <c r="J4216" s="0" t="s">
        <v>2357</v>
      </c>
      <c r="K4216" s="272" t="n">
        <v>3.2</v>
      </c>
    </row>
    <row r="4217" customFormat="false" ht="15" hidden="false" customHeight="false" outlineLevel="0" collapsed="false">
      <c r="A4217" s="0" t="s">
        <v>2041</v>
      </c>
      <c r="B4217" s="0" t="s">
        <v>2042</v>
      </c>
      <c r="C4217" s="0" t="s">
        <v>2357</v>
      </c>
      <c r="D4217" s="0" t="s">
        <v>2044</v>
      </c>
      <c r="E4217" s="0" t="s">
        <v>2045</v>
      </c>
      <c r="F4217" s="0" t="s">
        <v>2051</v>
      </c>
      <c r="G4217" s="0" t="s">
        <v>2064</v>
      </c>
      <c r="H4217" s="0" t="s">
        <v>2052</v>
      </c>
      <c r="I4217" s="0" t="s">
        <v>1685</v>
      </c>
      <c r="J4217" s="0" t="s">
        <v>2357</v>
      </c>
      <c r="K4217" s="272" t="n">
        <v>2.8</v>
      </c>
    </row>
    <row r="4218" customFormat="false" ht="15" hidden="false" customHeight="false" outlineLevel="0" collapsed="false">
      <c r="A4218" s="0" t="s">
        <v>2041</v>
      </c>
      <c r="B4218" s="0" t="s">
        <v>2042</v>
      </c>
      <c r="C4218" s="0" t="s">
        <v>2357</v>
      </c>
      <c r="D4218" s="0" t="s">
        <v>2044</v>
      </c>
      <c r="E4218" s="0" t="s">
        <v>2045</v>
      </c>
      <c r="F4218" s="0" t="s">
        <v>2046</v>
      </c>
      <c r="G4218" s="0" t="s">
        <v>2065</v>
      </c>
      <c r="H4218" s="0" t="s">
        <v>2048</v>
      </c>
      <c r="I4218" s="0" t="s">
        <v>1685</v>
      </c>
      <c r="J4218" s="0" t="s">
        <v>2357</v>
      </c>
      <c r="K4218" s="272" t="n">
        <v>0.990000000000001</v>
      </c>
    </row>
    <row r="4219" customFormat="false" ht="15" hidden="false" customHeight="false" outlineLevel="0" collapsed="false">
      <c r="A4219" s="0" t="s">
        <v>2041</v>
      </c>
      <c r="B4219" s="0" t="s">
        <v>2042</v>
      </c>
      <c r="C4219" s="0" t="s">
        <v>2357</v>
      </c>
      <c r="D4219" s="0" t="s">
        <v>2044</v>
      </c>
      <c r="E4219" s="0" t="s">
        <v>2045</v>
      </c>
      <c r="F4219" s="0" t="s">
        <v>2051</v>
      </c>
      <c r="G4219" s="0" t="s">
        <v>2065</v>
      </c>
      <c r="H4219" s="0" t="s">
        <v>2052</v>
      </c>
      <c r="I4219" s="0" t="s">
        <v>1685</v>
      </c>
      <c r="J4219" s="0" t="s">
        <v>2357</v>
      </c>
      <c r="K4219" s="272" t="n">
        <v>0.01</v>
      </c>
    </row>
    <row r="4220" customFormat="false" ht="15" hidden="false" customHeight="false" outlineLevel="0" collapsed="false">
      <c r="A4220" s="0" t="s">
        <v>2041</v>
      </c>
      <c r="B4220" s="0" t="s">
        <v>2042</v>
      </c>
      <c r="C4220" s="0" t="s">
        <v>2357</v>
      </c>
      <c r="D4220" s="0" t="s">
        <v>2044</v>
      </c>
      <c r="E4220" s="0" t="s">
        <v>2045</v>
      </c>
      <c r="F4220" s="0" t="s">
        <v>2046</v>
      </c>
      <c r="G4220" s="0" t="s">
        <v>2066</v>
      </c>
      <c r="H4220" s="0" t="s">
        <v>2048</v>
      </c>
      <c r="I4220" s="0" t="s">
        <v>1685</v>
      </c>
      <c r="J4220" s="0" t="s">
        <v>2357</v>
      </c>
      <c r="K4220" s="272" t="n">
        <v>1.95</v>
      </c>
    </row>
    <row r="4221" customFormat="false" ht="15" hidden="false" customHeight="false" outlineLevel="0" collapsed="false">
      <c r="A4221" s="0" t="s">
        <v>2041</v>
      </c>
      <c r="B4221" s="0" t="s">
        <v>2042</v>
      </c>
      <c r="C4221" s="0" t="s">
        <v>2357</v>
      </c>
      <c r="D4221" s="0" t="s">
        <v>2044</v>
      </c>
      <c r="E4221" s="0" t="s">
        <v>2045</v>
      </c>
      <c r="F4221" s="0" t="s">
        <v>2051</v>
      </c>
      <c r="G4221" s="0" t="s">
        <v>2066</v>
      </c>
      <c r="H4221" s="0" t="s">
        <v>2052</v>
      </c>
      <c r="I4221" s="0" t="s">
        <v>1685</v>
      </c>
      <c r="J4221" s="0" t="s">
        <v>2357</v>
      </c>
      <c r="K4221" s="272" t="n">
        <v>0.05</v>
      </c>
    </row>
    <row r="4222" customFormat="false" ht="15" hidden="false" customHeight="false" outlineLevel="0" collapsed="false">
      <c r="A4222" s="0" t="s">
        <v>2041</v>
      </c>
      <c r="B4222" s="0" t="s">
        <v>2042</v>
      </c>
      <c r="C4222" s="0" t="s">
        <v>2357</v>
      </c>
      <c r="D4222" s="0" t="s">
        <v>2044</v>
      </c>
      <c r="E4222" s="0" t="s">
        <v>2045</v>
      </c>
      <c r="F4222" s="0" t="s">
        <v>2051</v>
      </c>
      <c r="G4222" s="0" t="s">
        <v>2067</v>
      </c>
      <c r="H4222" s="0" t="s">
        <v>2052</v>
      </c>
      <c r="I4222" s="0" t="s">
        <v>1685</v>
      </c>
      <c r="J4222" s="0" t="s">
        <v>2357</v>
      </c>
      <c r="K4222" s="272" t="n">
        <v>2</v>
      </c>
    </row>
    <row r="4223" customFormat="false" ht="15" hidden="false" customHeight="false" outlineLevel="0" collapsed="false">
      <c r="A4223" s="0" t="s">
        <v>2041</v>
      </c>
      <c r="B4223" s="0" t="s">
        <v>2042</v>
      </c>
      <c r="C4223" s="0" t="s">
        <v>2357</v>
      </c>
      <c r="D4223" s="0" t="s">
        <v>2044</v>
      </c>
      <c r="E4223" s="0" t="s">
        <v>2045</v>
      </c>
      <c r="F4223" s="0" t="s">
        <v>2046</v>
      </c>
      <c r="G4223" s="0" t="s">
        <v>2068</v>
      </c>
      <c r="H4223" s="0" t="s">
        <v>2048</v>
      </c>
      <c r="I4223" s="0" t="s">
        <v>1685</v>
      </c>
      <c r="J4223" s="0" t="s">
        <v>2357</v>
      </c>
      <c r="K4223" s="272" t="n">
        <v>3.5</v>
      </c>
    </row>
    <row r="4224" customFormat="false" ht="15" hidden="false" customHeight="false" outlineLevel="0" collapsed="false">
      <c r="A4224" s="0" t="s">
        <v>2041</v>
      </c>
      <c r="B4224" s="0" t="s">
        <v>2042</v>
      </c>
      <c r="C4224" s="0" t="s">
        <v>2357</v>
      </c>
      <c r="D4224" s="0" t="s">
        <v>2044</v>
      </c>
      <c r="E4224" s="0" t="s">
        <v>2045</v>
      </c>
      <c r="F4224" s="0" t="s">
        <v>2051</v>
      </c>
      <c r="G4224" s="0" t="s">
        <v>2068</v>
      </c>
      <c r="H4224" s="0" t="s">
        <v>2052</v>
      </c>
      <c r="I4224" s="0" t="s">
        <v>1685</v>
      </c>
      <c r="J4224" s="0" t="s">
        <v>2357</v>
      </c>
      <c r="K4224" s="272" t="n">
        <v>0.5</v>
      </c>
    </row>
    <row r="4225" customFormat="false" ht="15" hidden="false" customHeight="false" outlineLevel="0" collapsed="false">
      <c r="A4225" s="0" t="s">
        <v>2041</v>
      </c>
      <c r="B4225" s="0" t="s">
        <v>2042</v>
      </c>
      <c r="C4225" s="0" t="s">
        <v>2357</v>
      </c>
      <c r="D4225" s="0" t="s">
        <v>2044</v>
      </c>
      <c r="E4225" s="0" t="s">
        <v>2045</v>
      </c>
      <c r="F4225" s="0" t="s">
        <v>2046</v>
      </c>
      <c r="G4225" s="0" t="s">
        <v>2069</v>
      </c>
      <c r="H4225" s="0" t="s">
        <v>2048</v>
      </c>
      <c r="I4225" s="0" t="s">
        <v>1685</v>
      </c>
      <c r="J4225" s="0" t="s">
        <v>2357</v>
      </c>
      <c r="K4225" s="272" t="n">
        <v>1</v>
      </c>
    </row>
    <row r="4226" customFormat="false" ht="15" hidden="false" customHeight="false" outlineLevel="0" collapsed="false">
      <c r="A4226" s="0" t="s">
        <v>2041</v>
      </c>
      <c r="B4226" s="0" t="s">
        <v>2042</v>
      </c>
      <c r="C4226" s="0" t="s">
        <v>2357</v>
      </c>
      <c r="D4226" s="0" t="s">
        <v>2044</v>
      </c>
      <c r="E4226" s="0" t="s">
        <v>2045</v>
      </c>
      <c r="F4226" s="0" t="s">
        <v>2046</v>
      </c>
      <c r="G4226" s="0" t="s">
        <v>2070</v>
      </c>
      <c r="H4226" s="0" t="s">
        <v>2048</v>
      </c>
      <c r="I4226" s="0" t="s">
        <v>1685</v>
      </c>
      <c r="J4226" s="0" t="s">
        <v>2357</v>
      </c>
      <c r="K4226" s="272" t="n">
        <v>1</v>
      </c>
    </row>
    <row r="4227" customFormat="false" ht="15" hidden="false" customHeight="false" outlineLevel="0" collapsed="false">
      <c r="A4227" s="0" t="s">
        <v>2041</v>
      </c>
      <c r="B4227" s="0" t="s">
        <v>2042</v>
      </c>
      <c r="C4227" s="0" t="s">
        <v>2357</v>
      </c>
      <c r="D4227" s="0" t="s">
        <v>2044</v>
      </c>
      <c r="E4227" s="0" t="s">
        <v>2045</v>
      </c>
      <c r="F4227" s="0" t="s">
        <v>2051</v>
      </c>
      <c r="G4227" s="0" t="s">
        <v>2070</v>
      </c>
      <c r="H4227" s="0" t="s">
        <v>2052</v>
      </c>
      <c r="I4227" s="0" t="s">
        <v>1685</v>
      </c>
      <c r="J4227" s="0" t="s">
        <v>2357</v>
      </c>
      <c r="K4227" s="272" t="n">
        <v>2</v>
      </c>
    </row>
    <row r="4228" customFormat="false" ht="15" hidden="false" customHeight="false" outlineLevel="0" collapsed="false">
      <c r="A4228" s="0" t="s">
        <v>2041</v>
      </c>
      <c r="B4228" s="0" t="s">
        <v>2042</v>
      </c>
      <c r="C4228" s="0" t="s">
        <v>2357</v>
      </c>
      <c r="D4228" s="0" t="s">
        <v>2044</v>
      </c>
      <c r="E4228" s="0" t="s">
        <v>2045</v>
      </c>
      <c r="F4228" s="0" t="s">
        <v>2046</v>
      </c>
      <c r="G4228" s="0" t="s">
        <v>2071</v>
      </c>
      <c r="H4228" s="0" t="s">
        <v>2048</v>
      </c>
      <c r="I4228" s="0" t="s">
        <v>1685</v>
      </c>
      <c r="J4228" s="0" t="s">
        <v>2357</v>
      </c>
      <c r="K4228" s="272" t="n">
        <v>0.274193548387097</v>
      </c>
    </row>
    <row r="4229" customFormat="false" ht="15" hidden="false" customHeight="false" outlineLevel="0" collapsed="false">
      <c r="A4229" s="0" t="s">
        <v>2041</v>
      </c>
      <c r="B4229" s="0" t="s">
        <v>2042</v>
      </c>
      <c r="C4229" s="0" t="s">
        <v>2357</v>
      </c>
      <c r="D4229" s="0" t="s">
        <v>2044</v>
      </c>
      <c r="E4229" s="0" t="s">
        <v>2045</v>
      </c>
      <c r="F4229" s="0" t="s">
        <v>2051</v>
      </c>
      <c r="G4229" s="0" t="s">
        <v>2071</v>
      </c>
      <c r="H4229" s="0" t="s">
        <v>2052</v>
      </c>
      <c r="I4229" s="0" t="s">
        <v>1685</v>
      </c>
      <c r="J4229" s="0" t="s">
        <v>2357</v>
      </c>
      <c r="K4229" s="272" t="n">
        <v>0.0483870967741935</v>
      </c>
    </row>
    <row r="4230" customFormat="false" ht="15" hidden="false" customHeight="false" outlineLevel="0" collapsed="false">
      <c r="A4230" s="0" t="s">
        <v>2041</v>
      </c>
      <c r="B4230" s="0" t="s">
        <v>2042</v>
      </c>
      <c r="C4230" s="0" t="s">
        <v>2357</v>
      </c>
      <c r="D4230" s="0" t="s">
        <v>2044</v>
      </c>
      <c r="E4230" s="0" t="s">
        <v>2045</v>
      </c>
      <c r="F4230" s="0" t="s">
        <v>2046</v>
      </c>
      <c r="G4230" s="0" t="s">
        <v>2072</v>
      </c>
      <c r="H4230" s="0" t="s">
        <v>2048</v>
      </c>
      <c r="I4230" s="0" t="s">
        <v>1685</v>
      </c>
      <c r="J4230" s="0" t="s">
        <v>2357</v>
      </c>
      <c r="K4230" s="272" t="n">
        <v>1.33</v>
      </c>
    </row>
    <row r="4231" customFormat="false" ht="15" hidden="false" customHeight="false" outlineLevel="0" collapsed="false">
      <c r="A4231" s="0" t="s">
        <v>2041</v>
      </c>
      <c r="B4231" s="0" t="s">
        <v>2042</v>
      </c>
      <c r="C4231" s="0" t="s">
        <v>2357</v>
      </c>
      <c r="D4231" s="0" t="s">
        <v>2044</v>
      </c>
      <c r="E4231" s="0" t="s">
        <v>2045</v>
      </c>
      <c r="F4231" s="0" t="s">
        <v>2051</v>
      </c>
      <c r="G4231" s="0" t="s">
        <v>2072</v>
      </c>
      <c r="H4231" s="0" t="s">
        <v>2052</v>
      </c>
      <c r="I4231" s="0" t="s">
        <v>1685</v>
      </c>
      <c r="J4231" s="0" t="s">
        <v>2357</v>
      </c>
      <c r="K4231" s="272" t="n">
        <v>1.67</v>
      </c>
    </row>
    <row r="4232" customFormat="false" ht="15" hidden="false" customHeight="false" outlineLevel="0" collapsed="false">
      <c r="A4232" s="0" t="s">
        <v>2041</v>
      </c>
      <c r="B4232" s="0" t="s">
        <v>2042</v>
      </c>
      <c r="C4232" s="0" t="s">
        <v>2357</v>
      </c>
      <c r="D4232" s="0" t="s">
        <v>2044</v>
      </c>
      <c r="E4232" s="0" t="s">
        <v>2045</v>
      </c>
      <c r="F4232" s="0" t="s">
        <v>2046</v>
      </c>
      <c r="G4232" s="0" t="s">
        <v>2073</v>
      </c>
      <c r="H4232" s="0" t="s">
        <v>2048</v>
      </c>
      <c r="I4232" s="0" t="s">
        <v>1685</v>
      </c>
      <c r="J4232" s="0" t="s">
        <v>2357</v>
      </c>
      <c r="K4232" s="272" t="n">
        <v>1.4</v>
      </c>
    </row>
    <row r="4233" customFormat="false" ht="15" hidden="false" customHeight="false" outlineLevel="0" collapsed="false">
      <c r="A4233" s="0" t="s">
        <v>2041</v>
      </c>
      <c r="B4233" s="0" t="s">
        <v>2042</v>
      </c>
      <c r="C4233" s="0" t="s">
        <v>2357</v>
      </c>
      <c r="D4233" s="0" t="s">
        <v>2044</v>
      </c>
      <c r="E4233" s="0" t="s">
        <v>2045</v>
      </c>
      <c r="F4233" s="0" t="s">
        <v>2051</v>
      </c>
      <c r="G4233" s="0" t="s">
        <v>2073</v>
      </c>
      <c r="H4233" s="0" t="s">
        <v>2052</v>
      </c>
      <c r="I4233" s="0" t="s">
        <v>1685</v>
      </c>
      <c r="J4233" s="0" t="s">
        <v>2357</v>
      </c>
      <c r="K4233" s="272" t="n">
        <v>3.6</v>
      </c>
    </row>
    <row r="4234" customFormat="false" ht="15" hidden="false" customHeight="false" outlineLevel="0" collapsed="false">
      <c r="A4234" s="0" t="s">
        <v>2041</v>
      </c>
      <c r="B4234" s="0" t="s">
        <v>2042</v>
      </c>
      <c r="C4234" s="0" t="s">
        <v>2357</v>
      </c>
      <c r="D4234" s="0" t="s">
        <v>2044</v>
      </c>
      <c r="E4234" s="0" t="s">
        <v>2045</v>
      </c>
      <c r="F4234" s="0" t="s">
        <v>2046</v>
      </c>
      <c r="G4234" s="0" t="s">
        <v>2074</v>
      </c>
      <c r="H4234" s="0" t="s">
        <v>2048</v>
      </c>
      <c r="I4234" s="0" t="s">
        <v>1685</v>
      </c>
      <c r="J4234" s="0" t="s">
        <v>2357</v>
      </c>
      <c r="K4234" s="272" t="n">
        <v>1</v>
      </c>
    </row>
    <row r="4235" customFormat="false" ht="15" hidden="false" customHeight="false" outlineLevel="0" collapsed="false">
      <c r="A4235" s="0" t="s">
        <v>2041</v>
      </c>
      <c r="B4235" s="0" t="s">
        <v>2042</v>
      </c>
      <c r="C4235" s="0" t="s">
        <v>2357</v>
      </c>
      <c r="D4235" s="0" t="s">
        <v>2044</v>
      </c>
      <c r="E4235" s="0" t="s">
        <v>2045</v>
      </c>
      <c r="F4235" s="0" t="s">
        <v>2051</v>
      </c>
      <c r="G4235" s="0" t="s">
        <v>2074</v>
      </c>
      <c r="H4235" s="0" t="s">
        <v>2052</v>
      </c>
      <c r="I4235" s="0" t="s">
        <v>1685</v>
      </c>
      <c r="J4235" s="0" t="s">
        <v>2357</v>
      </c>
      <c r="K4235" s="272" t="n">
        <v>1</v>
      </c>
    </row>
    <row r="4236" customFormat="false" ht="15" hidden="false" customHeight="false" outlineLevel="0" collapsed="false">
      <c r="A4236" s="0" t="s">
        <v>2041</v>
      </c>
      <c r="B4236" s="0" t="s">
        <v>2042</v>
      </c>
      <c r="C4236" s="0" t="s">
        <v>2357</v>
      </c>
      <c r="D4236" s="0" t="s">
        <v>2044</v>
      </c>
      <c r="E4236" s="0" t="s">
        <v>2045</v>
      </c>
      <c r="F4236" s="0" t="s">
        <v>2046</v>
      </c>
      <c r="G4236" s="0" t="s">
        <v>2075</v>
      </c>
      <c r="H4236" s="0" t="s">
        <v>2048</v>
      </c>
      <c r="I4236" s="0" t="s">
        <v>1685</v>
      </c>
      <c r="J4236" s="0" t="s">
        <v>2357</v>
      </c>
      <c r="K4236" s="272" t="n">
        <v>0.09</v>
      </c>
    </row>
    <row r="4237" customFormat="false" ht="15" hidden="false" customHeight="false" outlineLevel="0" collapsed="false">
      <c r="A4237" s="0" t="s">
        <v>2041</v>
      </c>
      <c r="B4237" s="0" t="s">
        <v>2042</v>
      </c>
      <c r="C4237" s="0" t="s">
        <v>2357</v>
      </c>
      <c r="D4237" s="0" t="s">
        <v>2044</v>
      </c>
      <c r="E4237" s="0" t="s">
        <v>2045</v>
      </c>
      <c r="F4237" s="0" t="s">
        <v>2051</v>
      </c>
      <c r="G4237" s="0" t="s">
        <v>2075</v>
      </c>
      <c r="H4237" s="0" t="s">
        <v>2052</v>
      </c>
      <c r="I4237" s="0" t="s">
        <v>1685</v>
      </c>
      <c r="J4237" s="0" t="s">
        <v>2357</v>
      </c>
      <c r="K4237" s="272" t="n">
        <v>2.91</v>
      </c>
    </row>
    <row r="4238" customFormat="false" ht="15" hidden="false" customHeight="false" outlineLevel="0" collapsed="false">
      <c r="A4238" s="0" t="s">
        <v>2041</v>
      </c>
      <c r="B4238" s="0" t="s">
        <v>2042</v>
      </c>
      <c r="C4238" s="0" t="s">
        <v>2357</v>
      </c>
      <c r="D4238" s="0" t="s">
        <v>2044</v>
      </c>
      <c r="E4238" s="0" t="s">
        <v>2045</v>
      </c>
      <c r="F4238" s="0" t="s">
        <v>2046</v>
      </c>
      <c r="G4238" s="0" t="s">
        <v>2076</v>
      </c>
      <c r="H4238" s="0" t="s">
        <v>2048</v>
      </c>
      <c r="I4238" s="0" t="s">
        <v>1685</v>
      </c>
      <c r="J4238" s="0" t="s">
        <v>2357</v>
      </c>
      <c r="K4238" s="272" t="n">
        <v>1.55</v>
      </c>
    </row>
    <row r="4239" customFormat="false" ht="15" hidden="false" customHeight="false" outlineLevel="0" collapsed="false">
      <c r="A4239" s="0" t="s">
        <v>2041</v>
      </c>
      <c r="B4239" s="0" t="s">
        <v>2042</v>
      </c>
      <c r="C4239" s="0" t="s">
        <v>2357</v>
      </c>
      <c r="D4239" s="0" t="s">
        <v>2044</v>
      </c>
      <c r="E4239" s="0" t="s">
        <v>2045</v>
      </c>
      <c r="F4239" s="0" t="s">
        <v>2051</v>
      </c>
      <c r="G4239" s="0" t="s">
        <v>2076</v>
      </c>
      <c r="H4239" s="0" t="s">
        <v>2052</v>
      </c>
      <c r="I4239" s="0" t="s">
        <v>1685</v>
      </c>
      <c r="J4239" s="0" t="s">
        <v>2357</v>
      </c>
      <c r="K4239" s="272" t="n">
        <v>1.45</v>
      </c>
    </row>
    <row r="4240" customFormat="false" ht="15" hidden="false" customHeight="false" outlineLevel="0" collapsed="false">
      <c r="A4240" s="0" t="s">
        <v>2041</v>
      </c>
      <c r="B4240" s="0" t="s">
        <v>2042</v>
      </c>
      <c r="C4240" s="0" t="s">
        <v>2357</v>
      </c>
      <c r="D4240" s="0" t="s">
        <v>2044</v>
      </c>
      <c r="E4240" s="0" t="s">
        <v>2045</v>
      </c>
      <c r="F4240" s="0" t="s">
        <v>2046</v>
      </c>
      <c r="G4240" s="0" t="s">
        <v>2077</v>
      </c>
      <c r="H4240" s="0" t="s">
        <v>2048</v>
      </c>
      <c r="I4240" s="0" t="s">
        <v>1685</v>
      </c>
      <c r="J4240" s="0" t="s">
        <v>2357</v>
      </c>
      <c r="K4240" s="272" t="n">
        <v>0.9</v>
      </c>
    </row>
    <row r="4241" customFormat="false" ht="15" hidden="false" customHeight="false" outlineLevel="0" collapsed="false">
      <c r="A4241" s="0" t="s">
        <v>2041</v>
      </c>
      <c r="B4241" s="0" t="s">
        <v>2042</v>
      </c>
      <c r="C4241" s="0" t="s">
        <v>2357</v>
      </c>
      <c r="D4241" s="0" t="s">
        <v>2044</v>
      </c>
      <c r="E4241" s="0" t="s">
        <v>2045</v>
      </c>
      <c r="F4241" s="0" t="s">
        <v>2051</v>
      </c>
      <c r="G4241" s="0" t="s">
        <v>2077</v>
      </c>
      <c r="H4241" s="0" t="s">
        <v>2052</v>
      </c>
      <c r="I4241" s="0" t="s">
        <v>1685</v>
      </c>
      <c r="J4241" s="0" t="s">
        <v>2357</v>
      </c>
      <c r="K4241" s="272" t="n">
        <v>0.1</v>
      </c>
    </row>
    <row r="4242" customFormat="false" ht="15" hidden="false" customHeight="false" outlineLevel="0" collapsed="false">
      <c r="A4242" s="0" t="s">
        <v>2041</v>
      </c>
      <c r="B4242" s="0" t="s">
        <v>2042</v>
      </c>
      <c r="C4242" s="0" t="s">
        <v>2357</v>
      </c>
      <c r="D4242" s="0" t="s">
        <v>2044</v>
      </c>
      <c r="E4242" s="0" t="s">
        <v>2045</v>
      </c>
      <c r="F4242" s="0" t="s">
        <v>2046</v>
      </c>
      <c r="G4242" s="0" t="s">
        <v>2078</v>
      </c>
      <c r="H4242" s="0" t="s">
        <v>2048</v>
      </c>
      <c r="I4242" s="0" t="s">
        <v>1685</v>
      </c>
      <c r="J4242" s="0" t="s">
        <v>2357</v>
      </c>
      <c r="K4242" s="272" t="n">
        <v>1.8</v>
      </c>
    </row>
    <row r="4243" customFormat="false" ht="15" hidden="false" customHeight="false" outlineLevel="0" collapsed="false">
      <c r="A4243" s="0" t="s">
        <v>2041</v>
      </c>
      <c r="B4243" s="0" t="s">
        <v>2042</v>
      </c>
      <c r="C4243" s="0" t="s">
        <v>2357</v>
      </c>
      <c r="D4243" s="0" t="s">
        <v>2044</v>
      </c>
      <c r="E4243" s="0" t="s">
        <v>2045</v>
      </c>
      <c r="F4243" s="0" t="s">
        <v>2051</v>
      </c>
      <c r="G4243" s="0" t="s">
        <v>2078</v>
      </c>
      <c r="H4243" s="0" t="s">
        <v>2052</v>
      </c>
      <c r="I4243" s="0" t="s">
        <v>1685</v>
      </c>
      <c r="J4243" s="0" t="s">
        <v>2357</v>
      </c>
      <c r="K4243" s="272" t="n">
        <v>0.2</v>
      </c>
    </row>
    <row r="4244" customFormat="false" ht="15" hidden="false" customHeight="false" outlineLevel="0" collapsed="false">
      <c r="A4244" s="0" t="s">
        <v>2041</v>
      </c>
      <c r="B4244" s="0" t="s">
        <v>2042</v>
      </c>
      <c r="C4244" s="0" t="s">
        <v>2357</v>
      </c>
      <c r="D4244" s="0" t="s">
        <v>2044</v>
      </c>
      <c r="E4244" s="0" t="s">
        <v>2045</v>
      </c>
      <c r="F4244" s="0" t="s">
        <v>2046</v>
      </c>
      <c r="G4244" s="0" t="s">
        <v>2079</v>
      </c>
      <c r="H4244" s="0" t="s">
        <v>2048</v>
      </c>
      <c r="I4244" s="0" t="s">
        <v>1685</v>
      </c>
      <c r="J4244" s="0" t="s">
        <v>2357</v>
      </c>
      <c r="K4244" s="272" t="n">
        <v>1</v>
      </c>
    </row>
    <row r="4245" customFormat="false" ht="15" hidden="false" customHeight="false" outlineLevel="0" collapsed="false">
      <c r="A4245" s="0" t="s">
        <v>2041</v>
      </c>
      <c r="B4245" s="0" t="s">
        <v>2042</v>
      </c>
      <c r="C4245" s="0" t="s">
        <v>2357</v>
      </c>
      <c r="D4245" s="0" t="s">
        <v>2044</v>
      </c>
      <c r="E4245" s="0" t="s">
        <v>2045</v>
      </c>
      <c r="F4245" s="0" t="s">
        <v>2046</v>
      </c>
      <c r="G4245" s="0" t="s">
        <v>2080</v>
      </c>
      <c r="H4245" s="0" t="s">
        <v>2048</v>
      </c>
      <c r="I4245" s="0" t="s">
        <v>1685</v>
      </c>
      <c r="J4245" s="0" t="s">
        <v>2357</v>
      </c>
      <c r="K4245" s="272" t="n">
        <v>1.95</v>
      </c>
    </row>
    <row r="4246" customFormat="false" ht="15" hidden="false" customHeight="false" outlineLevel="0" collapsed="false">
      <c r="A4246" s="0" t="s">
        <v>2041</v>
      </c>
      <c r="B4246" s="0" t="s">
        <v>2042</v>
      </c>
      <c r="C4246" s="0" t="s">
        <v>2357</v>
      </c>
      <c r="D4246" s="0" t="s">
        <v>2044</v>
      </c>
      <c r="E4246" s="0" t="s">
        <v>2045</v>
      </c>
      <c r="F4246" s="0" t="s">
        <v>2051</v>
      </c>
      <c r="G4246" s="0" t="s">
        <v>2080</v>
      </c>
      <c r="H4246" s="0" t="s">
        <v>2052</v>
      </c>
      <c r="I4246" s="0" t="s">
        <v>1685</v>
      </c>
      <c r="J4246" s="0" t="s">
        <v>2357</v>
      </c>
      <c r="K4246" s="272" t="n">
        <v>0.05</v>
      </c>
    </row>
    <row r="4247" customFormat="false" ht="15" hidden="false" customHeight="false" outlineLevel="0" collapsed="false">
      <c r="A4247" s="0" t="s">
        <v>2041</v>
      </c>
      <c r="B4247" s="0" t="s">
        <v>2042</v>
      </c>
      <c r="C4247" s="0" t="s">
        <v>2357</v>
      </c>
      <c r="D4247" s="0" t="s">
        <v>2044</v>
      </c>
      <c r="E4247" s="0" t="s">
        <v>2045</v>
      </c>
      <c r="F4247" s="0" t="s">
        <v>2046</v>
      </c>
      <c r="G4247" s="0" t="s">
        <v>2081</v>
      </c>
      <c r="H4247" s="0" t="s">
        <v>2048</v>
      </c>
      <c r="I4247" s="0" t="s">
        <v>1685</v>
      </c>
      <c r="J4247" s="0" t="s">
        <v>2357</v>
      </c>
      <c r="K4247" s="272" t="n">
        <v>5.6</v>
      </c>
    </row>
    <row r="4248" customFormat="false" ht="15" hidden="false" customHeight="false" outlineLevel="0" collapsed="false">
      <c r="A4248" s="0" t="s">
        <v>2041</v>
      </c>
      <c r="B4248" s="0" t="s">
        <v>2042</v>
      </c>
      <c r="C4248" s="0" t="s">
        <v>2357</v>
      </c>
      <c r="D4248" s="0" t="s">
        <v>2044</v>
      </c>
      <c r="E4248" s="0" t="s">
        <v>2045</v>
      </c>
      <c r="F4248" s="0" t="s">
        <v>2051</v>
      </c>
      <c r="G4248" s="0" t="s">
        <v>2081</v>
      </c>
      <c r="H4248" s="0" t="s">
        <v>2052</v>
      </c>
      <c r="I4248" s="0" t="s">
        <v>1685</v>
      </c>
      <c r="J4248" s="0" t="s">
        <v>2357</v>
      </c>
      <c r="K4248" s="272" t="n">
        <v>0.4</v>
      </c>
    </row>
    <row r="4249" customFormat="false" ht="15" hidden="false" customHeight="false" outlineLevel="0" collapsed="false">
      <c r="A4249" s="0" t="s">
        <v>2041</v>
      </c>
      <c r="B4249" s="0" t="s">
        <v>2042</v>
      </c>
      <c r="C4249" s="0" t="s">
        <v>2357</v>
      </c>
      <c r="D4249" s="0" t="s">
        <v>2044</v>
      </c>
      <c r="E4249" s="0" t="s">
        <v>2045</v>
      </c>
      <c r="F4249" s="0" t="s">
        <v>2046</v>
      </c>
      <c r="G4249" s="0" t="s">
        <v>2082</v>
      </c>
      <c r="H4249" s="0" t="s">
        <v>2048</v>
      </c>
      <c r="I4249" s="0" t="s">
        <v>1685</v>
      </c>
      <c r="J4249" s="0" t="s">
        <v>2357</v>
      </c>
      <c r="K4249" s="272" t="n">
        <v>5</v>
      </c>
    </row>
    <row r="4250" customFormat="false" ht="15" hidden="false" customHeight="false" outlineLevel="0" collapsed="false">
      <c r="A4250" s="0" t="s">
        <v>2041</v>
      </c>
      <c r="B4250" s="0" t="s">
        <v>2042</v>
      </c>
      <c r="C4250" s="0" t="s">
        <v>2357</v>
      </c>
      <c r="D4250" s="0" t="s">
        <v>2044</v>
      </c>
      <c r="E4250" s="0" t="s">
        <v>2045</v>
      </c>
      <c r="F4250" s="0" t="s">
        <v>2046</v>
      </c>
      <c r="G4250" s="0" t="s">
        <v>2083</v>
      </c>
      <c r="H4250" s="0" t="s">
        <v>2048</v>
      </c>
      <c r="I4250" s="0" t="s">
        <v>1685</v>
      </c>
      <c r="J4250" s="0" t="s">
        <v>2357</v>
      </c>
      <c r="K4250" s="272" t="n">
        <v>1.95</v>
      </c>
    </row>
    <row r="4251" customFormat="false" ht="15" hidden="false" customHeight="false" outlineLevel="0" collapsed="false">
      <c r="A4251" s="0" t="s">
        <v>2041</v>
      </c>
      <c r="B4251" s="0" t="s">
        <v>2042</v>
      </c>
      <c r="C4251" s="0" t="s">
        <v>2357</v>
      </c>
      <c r="D4251" s="0" t="s">
        <v>2044</v>
      </c>
      <c r="E4251" s="0" t="s">
        <v>2045</v>
      </c>
      <c r="F4251" s="0" t="s">
        <v>2051</v>
      </c>
      <c r="G4251" s="0" t="s">
        <v>2083</v>
      </c>
      <c r="H4251" s="0" t="s">
        <v>2052</v>
      </c>
      <c r="I4251" s="0" t="s">
        <v>1685</v>
      </c>
      <c r="J4251" s="0" t="s">
        <v>2357</v>
      </c>
      <c r="K4251" s="272" t="n">
        <v>0.05</v>
      </c>
    </row>
    <row r="4252" customFormat="false" ht="15" hidden="false" customHeight="false" outlineLevel="0" collapsed="false">
      <c r="A4252" s="0" t="s">
        <v>2041</v>
      </c>
      <c r="B4252" s="0" t="s">
        <v>2042</v>
      </c>
      <c r="C4252" s="0" t="s">
        <v>2357</v>
      </c>
      <c r="D4252" s="0" t="s">
        <v>2044</v>
      </c>
      <c r="E4252" s="0" t="s">
        <v>2045</v>
      </c>
      <c r="F4252" s="0" t="s">
        <v>2046</v>
      </c>
      <c r="G4252" s="0" t="s">
        <v>2084</v>
      </c>
      <c r="H4252" s="0" t="s">
        <v>2048</v>
      </c>
      <c r="I4252" s="0" t="s">
        <v>1685</v>
      </c>
      <c r="J4252" s="0" t="s">
        <v>2357</v>
      </c>
      <c r="K4252" s="272" t="n">
        <v>1.2</v>
      </c>
    </row>
    <row r="4253" customFormat="false" ht="15" hidden="false" customHeight="false" outlineLevel="0" collapsed="false">
      <c r="A4253" s="0" t="s">
        <v>2041</v>
      </c>
      <c r="B4253" s="0" t="s">
        <v>2042</v>
      </c>
      <c r="C4253" s="0" t="s">
        <v>2357</v>
      </c>
      <c r="D4253" s="0" t="s">
        <v>2044</v>
      </c>
      <c r="E4253" s="0" t="s">
        <v>2045</v>
      </c>
      <c r="F4253" s="0" t="s">
        <v>2051</v>
      </c>
      <c r="G4253" s="0" t="s">
        <v>2084</v>
      </c>
      <c r="H4253" s="0" t="s">
        <v>2052</v>
      </c>
      <c r="I4253" s="0" t="s">
        <v>1685</v>
      </c>
      <c r="J4253" s="0" t="s">
        <v>2357</v>
      </c>
      <c r="K4253" s="272" t="n">
        <v>1.8</v>
      </c>
    </row>
    <row r="4254" customFormat="false" ht="15" hidden="false" customHeight="false" outlineLevel="0" collapsed="false">
      <c r="A4254" s="0" t="s">
        <v>2041</v>
      </c>
      <c r="B4254" s="0" t="s">
        <v>2042</v>
      </c>
      <c r="C4254" s="0" t="s">
        <v>2357</v>
      </c>
      <c r="D4254" s="0" t="s">
        <v>2044</v>
      </c>
      <c r="E4254" s="0" t="s">
        <v>2045</v>
      </c>
      <c r="F4254" s="0" t="s">
        <v>2046</v>
      </c>
      <c r="G4254" s="0" t="s">
        <v>2085</v>
      </c>
      <c r="H4254" s="0" t="s">
        <v>2048</v>
      </c>
      <c r="I4254" s="0" t="s">
        <v>1685</v>
      </c>
      <c r="J4254" s="0" t="s">
        <v>2357</v>
      </c>
      <c r="K4254" s="272" t="n">
        <v>3.4</v>
      </c>
    </row>
    <row r="4255" customFormat="false" ht="15" hidden="false" customHeight="false" outlineLevel="0" collapsed="false">
      <c r="A4255" s="0" t="s">
        <v>2041</v>
      </c>
      <c r="B4255" s="0" t="s">
        <v>2042</v>
      </c>
      <c r="C4255" s="0" t="s">
        <v>2357</v>
      </c>
      <c r="D4255" s="0" t="s">
        <v>2044</v>
      </c>
      <c r="E4255" s="0" t="s">
        <v>2045</v>
      </c>
      <c r="F4255" s="0" t="s">
        <v>2051</v>
      </c>
      <c r="G4255" s="0" t="s">
        <v>2085</v>
      </c>
      <c r="H4255" s="0" t="s">
        <v>2052</v>
      </c>
      <c r="I4255" s="0" t="s">
        <v>1685</v>
      </c>
      <c r="J4255" s="0" t="s">
        <v>2357</v>
      </c>
      <c r="K4255" s="272" t="n">
        <v>1.6</v>
      </c>
    </row>
    <row r="4256" customFormat="false" ht="15" hidden="false" customHeight="false" outlineLevel="0" collapsed="false">
      <c r="A4256" s="0" t="s">
        <v>2041</v>
      </c>
      <c r="B4256" s="0" t="s">
        <v>2042</v>
      </c>
      <c r="C4256" s="0" t="s">
        <v>2357</v>
      </c>
      <c r="D4256" s="0" t="s">
        <v>2044</v>
      </c>
      <c r="E4256" s="0" t="s">
        <v>2045</v>
      </c>
      <c r="F4256" s="0" t="s">
        <v>2046</v>
      </c>
      <c r="G4256" s="0" t="s">
        <v>2086</v>
      </c>
      <c r="H4256" s="0" t="s">
        <v>2048</v>
      </c>
      <c r="I4256" s="0" t="s">
        <v>1685</v>
      </c>
      <c r="J4256" s="0" t="s">
        <v>2357</v>
      </c>
      <c r="K4256" s="272" t="n">
        <v>3.45</v>
      </c>
    </row>
    <row r="4257" customFormat="false" ht="15" hidden="false" customHeight="false" outlineLevel="0" collapsed="false">
      <c r="A4257" s="0" t="s">
        <v>2041</v>
      </c>
      <c r="B4257" s="0" t="s">
        <v>2042</v>
      </c>
      <c r="C4257" s="0" t="s">
        <v>2357</v>
      </c>
      <c r="D4257" s="0" t="s">
        <v>2044</v>
      </c>
      <c r="E4257" s="0" t="s">
        <v>2045</v>
      </c>
      <c r="F4257" s="0" t="s">
        <v>2051</v>
      </c>
      <c r="G4257" s="0" t="s">
        <v>2086</v>
      </c>
      <c r="H4257" s="0" t="s">
        <v>2052</v>
      </c>
      <c r="I4257" s="0" t="s">
        <v>1685</v>
      </c>
      <c r="J4257" s="0" t="s">
        <v>2357</v>
      </c>
      <c r="K4257" s="272" t="n">
        <v>0.55</v>
      </c>
    </row>
    <row r="4258" customFormat="false" ht="15" hidden="false" customHeight="false" outlineLevel="0" collapsed="false">
      <c r="A4258" s="0" t="s">
        <v>2041</v>
      </c>
      <c r="B4258" s="0" t="s">
        <v>2042</v>
      </c>
      <c r="C4258" s="0" t="s">
        <v>2357</v>
      </c>
      <c r="D4258" s="0" t="s">
        <v>2044</v>
      </c>
      <c r="E4258" s="0" t="s">
        <v>2045</v>
      </c>
      <c r="F4258" s="0" t="s">
        <v>2046</v>
      </c>
      <c r="G4258" s="0" t="s">
        <v>2087</v>
      </c>
      <c r="H4258" s="0" t="s">
        <v>2048</v>
      </c>
      <c r="I4258" s="0" t="s">
        <v>1685</v>
      </c>
      <c r="J4258" s="0" t="s">
        <v>2357</v>
      </c>
      <c r="K4258" s="272" t="n">
        <v>2.85</v>
      </c>
    </row>
    <row r="4259" customFormat="false" ht="15" hidden="false" customHeight="false" outlineLevel="0" collapsed="false">
      <c r="A4259" s="0" t="s">
        <v>2041</v>
      </c>
      <c r="B4259" s="0" t="s">
        <v>2042</v>
      </c>
      <c r="C4259" s="0" t="s">
        <v>2357</v>
      </c>
      <c r="D4259" s="0" t="s">
        <v>2044</v>
      </c>
      <c r="E4259" s="0" t="s">
        <v>2045</v>
      </c>
      <c r="F4259" s="0" t="s">
        <v>2051</v>
      </c>
      <c r="G4259" s="0" t="s">
        <v>2087</v>
      </c>
      <c r="H4259" s="0" t="s">
        <v>2052</v>
      </c>
      <c r="I4259" s="0" t="s">
        <v>1685</v>
      </c>
      <c r="J4259" s="0" t="s">
        <v>2357</v>
      </c>
      <c r="K4259" s="272" t="n">
        <v>4.15</v>
      </c>
    </row>
    <row r="4260" customFormat="false" ht="15" hidden="false" customHeight="false" outlineLevel="0" collapsed="false">
      <c r="A4260" s="0" t="s">
        <v>2041</v>
      </c>
      <c r="B4260" s="0" t="s">
        <v>2042</v>
      </c>
      <c r="C4260" s="0" t="s">
        <v>2357</v>
      </c>
      <c r="D4260" s="0" t="s">
        <v>2044</v>
      </c>
      <c r="E4260" s="0" t="s">
        <v>2045</v>
      </c>
      <c r="F4260" s="0" t="s">
        <v>2046</v>
      </c>
      <c r="G4260" s="0" t="s">
        <v>2088</v>
      </c>
      <c r="H4260" s="0" t="s">
        <v>2048</v>
      </c>
      <c r="I4260" s="0" t="s">
        <v>1685</v>
      </c>
      <c r="J4260" s="0" t="s">
        <v>2357</v>
      </c>
      <c r="K4260" s="272" t="n">
        <v>1.65</v>
      </c>
    </row>
    <row r="4261" customFormat="false" ht="15" hidden="false" customHeight="false" outlineLevel="0" collapsed="false">
      <c r="A4261" s="0" t="s">
        <v>2041</v>
      </c>
      <c r="B4261" s="0" t="s">
        <v>2042</v>
      </c>
      <c r="C4261" s="0" t="s">
        <v>2357</v>
      </c>
      <c r="D4261" s="0" t="s">
        <v>2044</v>
      </c>
      <c r="E4261" s="0" t="s">
        <v>2045</v>
      </c>
      <c r="F4261" s="0" t="s">
        <v>2051</v>
      </c>
      <c r="G4261" s="0" t="s">
        <v>2088</v>
      </c>
      <c r="H4261" s="0" t="s">
        <v>2052</v>
      </c>
      <c r="I4261" s="0" t="s">
        <v>1685</v>
      </c>
      <c r="J4261" s="0" t="s">
        <v>2357</v>
      </c>
      <c r="K4261" s="272" t="n">
        <v>0.35</v>
      </c>
    </row>
    <row r="4262" customFormat="false" ht="15" hidden="false" customHeight="false" outlineLevel="0" collapsed="false">
      <c r="A4262" s="0" t="s">
        <v>2041</v>
      </c>
      <c r="B4262" s="0" t="s">
        <v>2042</v>
      </c>
      <c r="C4262" s="0" t="s">
        <v>2357</v>
      </c>
      <c r="D4262" s="0" t="s">
        <v>2044</v>
      </c>
      <c r="E4262" s="0" t="s">
        <v>2045</v>
      </c>
      <c r="F4262" s="0" t="s">
        <v>2046</v>
      </c>
      <c r="G4262" s="0" t="s">
        <v>2089</v>
      </c>
      <c r="H4262" s="0" t="s">
        <v>2048</v>
      </c>
      <c r="I4262" s="0" t="s">
        <v>1685</v>
      </c>
      <c r="J4262" s="0" t="s">
        <v>2357</v>
      </c>
      <c r="K4262" s="272" t="n">
        <v>0.990000000000001</v>
      </c>
    </row>
    <row r="4263" customFormat="false" ht="15" hidden="false" customHeight="false" outlineLevel="0" collapsed="false">
      <c r="A4263" s="0" t="s">
        <v>2041</v>
      </c>
      <c r="B4263" s="0" t="s">
        <v>2042</v>
      </c>
      <c r="C4263" s="0" t="s">
        <v>2357</v>
      </c>
      <c r="D4263" s="0" t="s">
        <v>2044</v>
      </c>
      <c r="E4263" s="0" t="s">
        <v>2045</v>
      </c>
      <c r="F4263" s="0" t="s">
        <v>2051</v>
      </c>
      <c r="G4263" s="0" t="s">
        <v>2089</v>
      </c>
      <c r="H4263" s="0" t="s">
        <v>2052</v>
      </c>
      <c r="I4263" s="0" t="s">
        <v>1685</v>
      </c>
      <c r="J4263" s="0" t="s">
        <v>2357</v>
      </c>
      <c r="K4263" s="272" t="n">
        <v>0.01</v>
      </c>
    </row>
    <row r="4264" customFormat="false" ht="15" hidden="false" customHeight="false" outlineLevel="0" collapsed="false">
      <c r="A4264" s="0" t="s">
        <v>2041</v>
      </c>
      <c r="B4264" s="0" t="s">
        <v>2042</v>
      </c>
      <c r="C4264" s="0" t="s">
        <v>2357</v>
      </c>
      <c r="D4264" s="0" t="s">
        <v>2044</v>
      </c>
      <c r="E4264" s="0" t="s">
        <v>2045</v>
      </c>
      <c r="F4264" s="0" t="s">
        <v>2046</v>
      </c>
      <c r="G4264" s="0" t="s">
        <v>2090</v>
      </c>
      <c r="H4264" s="0" t="s">
        <v>2048</v>
      </c>
      <c r="I4264" s="0" t="s">
        <v>1685</v>
      </c>
      <c r="J4264" s="0" t="s">
        <v>2357</v>
      </c>
      <c r="K4264" s="272" t="n">
        <v>5.3</v>
      </c>
    </row>
    <row r="4265" customFormat="false" ht="15" hidden="false" customHeight="false" outlineLevel="0" collapsed="false">
      <c r="A4265" s="0" t="s">
        <v>2041</v>
      </c>
      <c r="B4265" s="0" t="s">
        <v>2042</v>
      </c>
      <c r="C4265" s="0" t="s">
        <v>2357</v>
      </c>
      <c r="D4265" s="0" t="s">
        <v>2044</v>
      </c>
      <c r="E4265" s="0" t="s">
        <v>2045</v>
      </c>
      <c r="F4265" s="0" t="s">
        <v>2051</v>
      </c>
      <c r="G4265" s="0" t="s">
        <v>2090</v>
      </c>
      <c r="H4265" s="0" t="s">
        <v>2052</v>
      </c>
      <c r="I4265" s="0" t="s">
        <v>1685</v>
      </c>
      <c r="J4265" s="0" t="s">
        <v>2357</v>
      </c>
      <c r="K4265" s="272" t="n">
        <v>1.7</v>
      </c>
    </row>
    <row r="4266" customFormat="false" ht="15" hidden="false" customHeight="false" outlineLevel="0" collapsed="false">
      <c r="A4266" s="0" t="s">
        <v>2041</v>
      </c>
      <c r="B4266" s="0" t="s">
        <v>2042</v>
      </c>
      <c r="C4266" s="0" t="s">
        <v>2357</v>
      </c>
      <c r="D4266" s="0" t="s">
        <v>2044</v>
      </c>
      <c r="E4266" s="0" t="s">
        <v>2045</v>
      </c>
      <c r="F4266" s="0" t="s">
        <v>2046</v>
      </c>
      <c r="G4266" s="0" t="s">
        <v>2091</v>
      </c>
      <c r="H4266" s="0" t="s">
        <v>2048</v>
      </c>
      <c r="I4266" s="0" t="s">
        <v>1685</v>
      </c>
      <c r="J4266" s="0" t="s">
        <v>2357</v>
      </c>
      <c r="K4266" s="272" t="n">
        <v>2.1</v>
      </c>
    </row>
    <row r="4267" customFormat="false" ht="15" hidden="false" customHeight="false" outlineLevel="0" collapsed="false">
      <c r="A4267" s="0" t="s">
        <v>2041</v>
      </c>
      <c r="B4267" s="0" t="s">
        <v>2042</v>
      </c>
      <c r="C4267" s="0" t="s">
        <v>2357</v>
      </c>
      <c r="D4267" s="0" t="s">
        <v>2044</v>
      </c>
      <c r="E4267" s="0" t="s">
        <v>2045</v>
      </c>
      <c r="F4267" s="0" t="s">
        <v>2051</v>
      </c>
      <c r="G4267" s="0" t="s">
        <v>2091</v>
      </c>
      <c r="H4267" s="0" t="s">
        <v>2052</v>
      </c>
      <c r="I4267" s="0" t="s">
        <v>1685</v>
      </c>
      <c r="J4267" s="0" t="s">
        <v>2357</v>
      </c>
      <c r="K4267" s="272" t="n">
        <v>2.9</v>
      </c>
    </row>
    <row r="4268" customFormat="false" ht="15" hidden="false" customHeight="false" outlineLevel="0" collapsed="false">
      <c r="A4268" s="0" t="s">
        <v>2041</v>
      </c>
      <c r="B4268" s="0" t="s">
        <v>2042</v>
      </c>
      <c r="C4268" s="0" t="s">
        <v>2357</v>
      </c>
      <c r="D4268" s="0" t="s">
        <v>2044</v>
      </c>
      <c r="E4268" s="0" t="s">
        <v>2045</v>
      </c>
      <c r="F4268" s="0" t="s">
        <v>2046</v>
      </c>
      <c r="G4268" s="0" t="s">
        <v>2092</v>
      </c>
      <c r="H4268" s="0" t="s">
        <v>2048</v>
      </c>
      <c r="I4268" s="0" t="s">
        <v>1685</v>
      </c>
      <c r="J4268" s="0" t="s">
        <v>2357</v>
      </c>
      <c r="K4268" s="272" t="n">
        <v>0.95</v>
      </c>
    </row>
    <row r="4269" customFormat="false" ht="15" hidden="false" customHeight="false" outlineLevel="0" collapsed="false">
      <c r="A4269" s="0" t="s">
        <v>2041</v>
      </c>
      <c r="B4269" s="0" t="s">
        <v>2042</v>
      </c>
      <c r="C4269" s="0" t="s">
        <v>2357</v>
      </c>
      <c r="D4269" s="0" t="s">
        <v>2044</v>
      </c>
      <c r="E4269" s="0" t="s">
        <v>2045</v>
      </c>
      <c r="F4269" s="0" t="s">
        <v>2051</v>
      </c>
      <c r="G4269" s="0" t="s">
        <v>2092</v>
      </c>
      <c r="H4269" s="0" t="s">
        <v>2052</v>
      </c>
      <c r="I4269" s="0" t="s">
        <v>1685</v>
      </c>
      <c r="J4269" s="0" t="s">
        <v>2357</v>
      </c>
      <c r="K4269" s="272" t="n">
        <v>0.05</v>
      </c>
    </row>
    <row r="4270" customFormat="false" ht="15" hidden="false" customHeight="false" outlineLevel="0" collapsed="false">
      <c r="A4270" s="0" t="s">
        <v>2041</v>
      </c>
      <c r="B4270" s="0" t="s">
        <v>2042</v>
      </c>
      <c r="C4270" s="0" t="s">
        <v>2357</v>
      </c>
      <c r="D4270" s="0" t="s">
        <v>2044</v>
      </c>
      <c r="E4270" s="0" t="s">
        <v>2045</v>
      </c>
      <c r="F4270" s="0" t="s">
        <v>2046</v>
      </c>
      <c r="G4270" s="0" t="s">
        <v>2093</v>
      </c>
      <c r="H4270" s="0" t="s">
        <v>2048</v>
      </c>
      <c r="I4270" s="0" t="s">
        <v>1685</v>
      </c>
      <c r="J4270" s="0" t="s">
        <v>2357</v>
      </c>
      <c r="K4270" s="272" t="n">
        <v>4.65</v>
      </c>
    </row>
    <row r="4271" customFormat="false" ht="15" hidden="false" customHeight="false" outlineLevel="0" collapsed="false">
      <c r="A4271" s="0" t="s">
        <v>2041</v>
      </c>
      <c r="B4271" s="0" t="s">
        <v>2042</v>
      </c>
      <c r="C4271" s="0" t="s">
        <v>2357</v>
      </c>
      <c r="D4271" s="0" t="s">
        <v>2044</v>
      </c>
      <c r="E4271" s="0" t="s">
        <v>2045</v>
      </c>
      <c r="F4271" s="0" t="s">
        <v>2051</v>
      </c>
      <c r="G4271" s="0" t="s">
        <v>2093</v>
      </c>
      <c r="H4271" s="0" t="s">
        <v>2052</v>
      </c>
      <c r="I4271" s="0" t="s">
        <v>1685</v>
      </c>
      <c r="J4271" s="0" t="s">
        <v>2357</v>
      </c>
      <c r="K4271" s="272" t="n">
        <v>0.35</v>
      </c>
    </row>
    <row r="4272" customFormat="false" ht="15" hidden="false" customHeight="false" outlineLevel="0" collapsed="false">
      <c r="A4272" s="0" t="s">
        <v>2041</v>
      </c>
      <c r="B4272" s="0" t="s">
        <v>2042</v>
      </c>
      <c r="C4272" s="0" t="s">
        <v>2357</v>
      </c>
      <c r="D4272" s="0" t="s">
        <v>2044</v>
      </c>
      <c r="E4272" s="0" t="s">
        <v>2045</v>
      </c>
      <c r="F4272" s="0" t="s">
        <v>2046</v>
      </c>
      <c r="G4272" s="0" t="s">
        <v>2094</v>
      </c>
      <c r="H4272" s="0" t="s">
        <v>2048</v>
      </c>
      <c r="I4272" s="0" t="s">
        <v>1685</v>
      </c>
      <c r="J4272" s="0" t="s">
        <v>2357</v>
      </c>
      <c r="K4272" s="272" t="n">
        <v>2.76</v>
      </c>
    </row>
    <row r="4273" customFormat="false" ht="15" hidden="false" customHeight="false" outlineLevel="0" collapsed="false">
      <c r="A4273" s="0" t="s">
        <v>2041</v>
      </c>
      <c r="B4273" s="0" t="s">
        <v>2042</v>
      </c>
      <c r="C4273" s="0" t="s">
        <v>2357</v>
      </c>
      <c r="D4273" s="0" t="s">
        <v>2044</v>
      </c>
      <c r="E4273" s="0" t="s">
        <v>2045</v>
      </c>
      <c r="F4273" s="0" t="s">
        <v>2051</v>
      </c>
      <c r="G4273" s="0" t="s">
        <v>2094</v>
      </c>
      <c r="H4273" s="0" t="s">
        <v>2052</v>
      </c>
      <c r="I4273" s="0" t="s">
        <v>1685</v>
      </c>
      <c r="J4273" s="0" t="s">
        <v>2357</v>
      </c>
      <c r="K4273" s="272" t="n">
        <v>2.24</v>
      </c>
    </row>
    <row r="4274" customFormat="false" ht="15" hidden="false" customHeight="false" outlineLevel="0" collapsed="false">
      <c r="A4274" s="0" t="s">
        <v>2041</v>
      </c>
      <c r="B4274" s="0" t="s">
        <v>2042</v>
      </c>
      <c r="C4274" s="0" t="s">
        <v>2357</v>
      </c>
      <c r="D4274" s="0" t="s">
        <v>2044</v>
      </c>
      <c r="E4274" s="0" t="s">
        <v>2045</v>
      </c>
      <c r="F4274" s="0" t="s">
        <v>2046</v>
      </c>
      <c r="G4274" s="0" t="s">
        <v>2095</v>
      </c>
      <c r="H4274" s="0" t="s">
        <v>2048</v>
      </c>
      <c r="I4274" s="0" t="s">
        <v>1685</v>
      </c>
      <c r="J4274" s="0" t="s">
        <v>2357</v>
      </c>
      <c r="K4274" s="272" t="n">
        <v>3.5</v>
      </c>
    </row>
    <row r="4275" customFormat="false" ht="15" hidden="false" customHeight="false" outlineLevel="0" collapsed="false">
      <c r="A4275" s="0" t="s">
        <v>2041</v>
      </c>
      <c r="B4275" s="0" t="s">
        <v>2042</v>
      </c>
      <c r="C4275" s="0" t="s">
        <v>2357</v>
      </c>
      <c r="D4275" s="0" t="s">
        <v>2044</v>
      </c>
      <c r="E4275" s="0" t="s">
        <v>2045</v>
      </c>
      <c r="F4275" s="0" t="s">
        <v>2051</v>
      </c>
      <c r="G4275" s="0" t="s">
        <v>2095</v>
      </c>
      <c r="H4275" s="0" t="s">
        <v>2052</v>
      </c>
      <c r="I4275" s="0" t="s">
        <v>1685</v>
      </c>
      <c r="J4275" s="0" t="s">
        <v>2357</v>
      </c>
      <c r="K4275" s="272" t="n">
        <v>2.5</v>
      </c>
    </row>
    <row r="4276" customFormat="false" ht="15" hidden="false" customHeight="false" outlineLevel="0" collapsed="false">
      <c r="A4276" s="0" t="s">
        <v>2041</v>
      </c>
      <c r="B4276" s="0" t="s">
        <v>2042</v>
      </c>
      <c r="C4276" s="0" t="s">
        <v>2357</v>
      </c>
      <c r="D4276" s="0" t="s">
        <v>2044</v>
      </c>
      <c r="E4276" s="0" t="s">
        <v>2045</v>
      </c>
      <c r="F4276" s="0" t="s">
        <v>2046</v>
      </c>
      <c r="G4276" s="0" t="s">
        <v>2096</v>
      </c>
      <c r="H4276" s="0" t="s">
        <v>2048</v>
      </c>
      <c r="I4276" s="0" t="s">
        <v>2097</v>
      </c>
      <c r="J4276" s="0" t="s">
        <v>2357</v>
      </c>
      <c r="K4276" s="272" t="n">
        <v>1</v>
      </c>
    </row>
    <row r="4277" customFormat="false" ht="15" hidden="false" customHeight="false" outlineLevel="0" collapsed="false">
      <c r="A4277" s="0" t="s">
        <v>2041</v>
      </c>
      <c r="B4277" s="0" t="s">
        <v>2042</v>
      </c>
      <c r="C4277" s="0" t="s">
        <v>2357</v>
      </c>
      <c r="D4277" s="0" t="s">
        <v>2044</v>
      </c>
      <c r="E4277" s="0" t="s">
        <v>2045</v>
      </c>
      <c r="F4277" s="0" t="s">
        <v>2051</v>
      </c>
      <c r="G4277" s="0" t="s">
        <v>2096</v>
      </c>
      <c r="H4277" s="0" t="s">
        <v>2052</v>
      </c>
      <c r="I4277" s="0" t="s">
        <v>2097</v>
      </c>
      <c r="J4277" s="0" t="s">
        <v>2357</v>
      </c>
      <c r="K4277" s="272" t="n">
        <v>1</v>
      </c>
    </row>
    <row r="4278" customFormat="false" ht="15" hidden="false" customHeight="false" outlineLevel="0" collapsed="false">
      <c r="A4278" s="0" t="s">
        <v>2041</v>
      </c>
      <c r="B4278" s="0" t="s">
        <v>2042</v>
      </c>
      <c r="C4278" s="0" t="s">
        <v>2357</v>
      </c>
      <c r="D4278" s="0" t="s">
        <v>2044</v>
      </c>
      <c r="E4278" s="0" t="s">
        <v>2045</v>
      </c>
      <c r="F4278" s="0" t="s">
        <v>2046</v>
      </c>
      <c r="G4278" s="0" t="s">
        <v>2098</v>
      </c>
      <c r="H4278" s="0" t="s">
        <v>2048</v>
      </c>
      <c r="I4278" s="0" t="s">
        <v>1685</v>
      </c>
      <c r="J4278" s="0" t="s">
        <v>2357</v>
      </c>
      <c r="K4278" s="272" t="n">
        <v>1.96</v>
      </c>
    </row>
    <row r="4279" customFormat="false" ht="15" hidden="false" customHeight="false" outlineLevel="0" collapsed="false">
      <c r="A4279" s="0" t="s">
        <v>2041</v>
      </c>
      <c r="B4279" s="0" t="s">
        <v>2042</v>
      </c>
      <c r="C4279" s="0" t="s">
        <v>2357</v>
      </c>
      <c r="D4279" s="0" t="s">
        <v>2044</v>
      </c>
      <c r="E4279" s="0" t="s">
        <v>2045</v>
      </c>
      <c r="F4279" s="0" t="s">
        <v>2051</v>
      </c>
      <c r="G4279" s="0" t="s">
        <v>2098</v>
      </c>
      <c r="H4279" s="0" t="s">
        <v>2052</v>
      </c>
      <c r="I4279" s="0" t="s">
        <v>1685</v>
      </c>
      <c r="J4279" s="0" t="s">
        <v>2357</v>
      </c>
      <c r="K4279" s="272" t="n">
        <v>0.04</v>
      </c>
    </row>
    <row r="4280" customFormat="false" ht="15" hidden="false" customHeight="false" outlineLevel="0" collapsed="false">
      <c r="A4280" s="0" t="s">
        <v>2041</v>
      </c>
      <c r="B4280" s="0" t="s">
        <v>2042</v>
      </c>
      <c r="C4280" s="0" t="s">
        <v>2357</v>
      </c>
      <c r="D4280" s="0" t="s">
        <v>2044</v>
      </c>
      <c r="E4280" s="0" t="s">
        <v>2045</v>
      </c>
      <c r="F4280" s="0" t="s">
        <v>2099</v>
      </c>
      <c r="G4280" s="0" t="s">
        <v>2064</v>
      </c>
      <c r="H4280" s="0" t="s">
        <v>2100</v>
      </c>
      <c r="I4280" s="0" t="s">
        <v>1685</v>
      </c>
      <c r="J4280" s="0" t="s">
        <v>2357</v>
      </c>
      <c r="K4280" s="272" t="n">
        <v>3</v>
      </c>
    </row>
    <row r="4281" customFormat="false" ht="15" hidden="false" customHeight="false" outlineLevel="0" collapsed="false">
      <c r="A4281" s="0" t="s">
        <v>2041</v>
      </c>
      <c r="B4281" s="0" t="s">
        <v>2042</v>
      </c>
      <c r="C4281" s="0" t="s">
        <v>2357</v>
      </c>
      <c r="D4281" s="0" t="s">
        <v>2044</v>
      </c>
      <c r="E4281" s="0" t="s">
        <v>2045</v>
      </c>
      <c r="F4281" s="0" t="s">
        <v>2099</v>
      </c>
      <c r="G4281" s="0" t="s">
        <v>2076</v>
      </c>
      <c r="H4281" s="0" t="s">
        <v>2100</v>
      </c>
      <c r="I4281" s="0" t="s">
        <v>1685</v>
      </c>
      <c r="J4281" s="0" t="s">
        <v>2357</v>
      </c>
      <c r="K4281" s="272" t="n">
        <v>2</v>
      </c>
    </row>
    <row r="4282" customFormat="false" ht="15" hidden="false" customHeight="false" outlineLevel="0" collapsed="false">
      <c r="A4282" s="0" t="s">
        <v>2041</v>
      </c>
      <c r="B4282" s="0" t="s">
        <v>2042</v>
      </c>
      <c r="C4282" s="0" t="s">
        <v>2357</v>
      </c>
      <c r="D4282" s="0" t="s">
        <v>2044</v>
      </c>
      <c r="E4282" s="0" t="s">
        <v>2045</v>
      </c>
      <c r="F4282" s="0" t="s">
        <v>2099</v>
      </c>
      <c r="G4282" s="0" t="s">
        <v>2081</v>
      </c>
      <c r="H4282" s="0" t="s">
        <v>2100</v>
      </c>
      <c r="I4282" s="0" t="s">
        <v>1685</v>
      </c>
      <c r="J4282" s="0" t="s">
        <v>2357</v>
      </c>
      <c r="K4282" s="272" t="n">
        <v>2</v>
      </c>
    </row>
    <row r="4283" customFormat="false" ht="15" hidden="false" customHeight="false" outlineLevel="0" collapsed="false">
      <c r="A4283" s="0" t="s">
        <v>2041</v>
      </c>
      <c r="B4283" s="0" t="s">
        <v>2042</v>
      </c>
      <c r="C4283" s="0" t="s">
        <v>2357</v>
      </c>
      <c r="D4283" s="0" t="s">
        <v>2044</v>
      </c>
      <c r="E4283" s="0" t="s">
        <v>2045</v>
      </c>
      <c r="F4283" s="0" t="s">
        <v>2099</v>
      </c>
      <c r="G4283" s="0" t="s">
        <v>2085</v>
      </c>
      <c r="H4283" s="0" t="s">
        <v>2100</v>
      </c>
      <c r="I4283" s="0" t="s">
        <v>1685</v>
      </c>
      <c r="J4283" s="0" t="s">
        <v>2357</v>
      </c>
      <c r="K4283" s="272" t="n">
        <v>2</v>
      </c>
    </row>
    <row r="4284" customFormat="false" ht="15" hidden="false" customHeight="false" outlineLevel="0" collapsed="false">
      <c r="A4284" s="0" t="s">
        <v>2041</v>
      </c>
      <c r="B4284" s="0" t="s">
        <v>2042</v>
      </c>
      <c r="C4284" s="0" t="s">
        <v>2357</v>
      </c>
      <c r="D4284" s="0" t="s">
        <v>2044</v>
      </c>
      <c r="E4284" s="0" t="s">
        <v>2045</v>
      </c>
      <c r="F4284" s="0" t="s">
        <v>2099</v>
      </c>
      <c r="G4284" s="0" t="s">
        <v>2086</v>
      </c>
      <c r="H4284" s="0" t="s">
        <v>2100</v>
      </c>
      <c r="I4284" s="0" t="s">
        <v>1685</v>
      </c>
      <c r="J4284" s="0" t="s">
        <v>2357</v>
      </c>
      <c r="K4284" s="272" t="n">
        <v>1</v>
      </c>
    </row>
    <row r="4285" customFormat="false" ht="15" hidden="false" customHeight="false" outlineLevel="0" collapsed="false">
      <c r="A4285" s="0" t="s">
        <v>2041</v>
      </c>
      <c r="B4285" s="0" t="s">
        <v>2042</v>
      </c>
      <c r="C4285" s="0" t="s">
        <v>2357</v>
      </c>
      <c r="D4285" s="0" t="s">
        <v>2044</v>
      </c>
      <c r="E4285" s="0" t="s">
        <v>2045</v>
      </c>
      <c r="F4285" s="0" t="s">
        <v>2099</v>
      </c>
      <c r="G4285" s="0" t="s">
        <v>2095</v>
      </c>
      <c r="H4285" s="0" t="s">
        <v>2100</v>
      </c>
      <c r="I4285" s="0" t="s">
        <v>1685</v>
      </c>
      <c r="J4285" s="0" t="s">
        <v>2357</v>
      </c>
      <c r="K4285" s="272" t="n">
        <v>1</v>
      </c>
    </row>
    <row r="4286" customFormat="false" ht="15" hidden="false" customHeight="false" outlineLevel="0" collapsed="false">
      <c r="A4286" s="0" t="s">
        <v>2041</v>
      </c>
      <c r="B4286" s="0" t="s">
        <v>2042</v>
      </c>
      <c r="C4286" s="0" t="s">
        <v>2357</v>
      </c>
      <c r="D4286" s="0" t="s">
        <v>2044</v>
      </c>
      <c r="E4286" s="0" t="s">
        <v>2045</v>
      </c>
      <c r="F4286" s="0" t="s">
        <v>2099</v>
      </c>
      <c r="G4286" s="0" t="s">
        <v>2096</v>
      </c>
      <c r="H4286" s="0" t="s">
        <v>2100</v>
      </c>
      <c r="I4286" s="0" t="s">
        <v>2101</v>
      </c>
      <c r="J4286" s="0" t="s">
        <v>2357</v>
      </c>
      <c r="K4286" s="272" t="n">
        <v>1</v>
      </c>
    </row>
    <row r="4287" customFormat="false" ht="15" hidden="false" customHeight="false" outlineLevel="0" collapsed="false">
      <c r="A4287" s="0" t="s">
        <v>2041</v>
      </c>
      <c r="B4287" s="0" t="s">
        <v>2042</v>
      </c>
      <c r="C4287" s="0" t="s">
        <v>2352</v>
      </c>
      <c r="D4287" s="0" t="s">
        <v>2105</v>
      </c>
      <c r="E4287" s="0" t="s">
        <v>2045</v>
      </c>
      <c r="F4287" s="0" t="s">
        <v>2157</v>
      </c>
      <c r="G4287" s="0" t="s">
        <v>2158</v>
      </c>
      <c r="H4287" s="0" t="s">
        <v>2179</v>
      </c>
      <c r="I4287" s="0" t="s">
        <v>2322</v>
      </c>
      <c r="J4287" s="0" t="s">
        <v>2358</v>
      </c>
      <c r="K4287" s="272" t="n">
        <v>360000</v>
      </c>
    </row>
    <row r="4288" customFormat="false" ht="15" hidden="false" customHeight="false" outlineLevel="0" collapsed="false">
      <c r="A4288" s="0" t="s">
        <v>2041</v>
      </c>
      <c r="B4288" s="0" t="s">
        <v>2042</v>
      </c>
      <c r="C4288" s="0" t="s">
        <v>2359</v>
      </c>
      <c r="D4288" s="0" t="s">
        <v>2105</v>
      </c>
      <c r="E4288" s="0" t="s">
        <v>2045</v>
      </c>
      <c r="F4288" s="0" t="s">
        <v>2157</v>
      </c>
      <c r="G4288" s="0" t="s">
        <v>2158</v>
      </c>
      <c r="H4288" s="0" t="s">
        <v>2179</v>
      </c>
      <c r="I4288" s="0" t="s">
        <v>2322</v>
      </c>
      <c r="J4288" s="0" t="s">
        <v>2358</v>
      </c>
      <c r="K4288" s="272" t="n">
        <v>12024.12</v>
      </c>
    </row>
    <row r="4289" customFormat="false" ht="15" hidden="false" customHeight="false" outlineLevel="0" collapsed="false">
      <c r="A4289" s="0" t="s">
        <v>2041</v>
      </c>
      <c r="B4289" s="0" t="s">
        <v>2042</v>
      </c>
      <c r="C4289" s="0" t="s">
        <v>2349</v>
      </c>
      <c r="D4289" s="0" t="s">
        <v>2105</v>
      </c>
      <c r="E4289" s="0" t="s">
        <v>2045</v>
      </c>
      <c r="F4289" s="0" t="s">
        <v>2157</v>
      </c>
      <c r="G4289" s="0" t="s">
        <v>2158</v>
      </c>
      <c r="H4289" s="0" t="s">
        <v>2179</v>
      </c>
      <c r="I4289" s="0" t="s">
        <v>2322</v>
      </c>
      <c r="J4289" s="0" t="s">
        <v>2358</v>
      </c>
      <c r="K4289" s="272" t="n">
        <v>112351.29</v>
      </c>
    </row>
    <row r="4290" customFormat="false" ht="15" hidden="false" customHeight="false" outlineLevel="0" collapsed="false">
      <c r="A4290" s="0" t="s">
        <v>2041</v>
      </c>
      <c r="B4290" s="0" t="s">
        <v>2042</v>
      </c>
      <c r="C4290" s="0" t="s">
        <v>2352</v>
      </c>
      <c r="D4290" s="0" t="s">
        <v>2105</v>
      </c>
      <c r="E4290" s="0" t="s">
        <v>2045</v>
      </c>
      <c r="F4290" s="0" t="s">
        <v>2157</v>
      </c>
      <c r="G4290" s="0" t="s">
        <v>2158</v>
      </c>
      <c r="H4290" s="0" t="s">
        <v>2159</v>
      </c>
      <c r="I4290" s="0" t="s">
        <v>2124</v>
      </c>
      <c r="J4290" s="0" t="s">
        <v>2358</v>
      </c>
      <c r="K4290" s="272" t="n">
        <v>47142.86</v>
      </c>
    </row>
    <row r="4291" customFormat="false" ht="15" hidden="false" customHeight="false" outlineLevel="0" collapsed="false">
      <c r="A4291" s="0" t="s">
        <v>2041</v>
      </c>
      <c r="B4291" s="0" t="s">
        <v>2042</v>
      </c>
      <c r="C4291" s="0" t="s">
        <v>2359</v>
      </c>
      <c r="D4291" s="0" t="s">
        <v>2105</v>
      </c>
      <c r="E4291" s="0" t="s">
        <v>2045</v>
      </c>
      <c r="F4291" s="0" t="s">
        <v>2157</v>
      </c>
      <c r="G4291" s="0" t="s">
        <v>2158</v>
      </c>
      <c r="H4291" s="0" t="s">
        <v>2159</v>
      </c>
      <c r="I4291" s="0" t="s">
        <v>2124</v>
      </c>
      <c r="J4291" s="0" t="s">
        <v>2358</v>
      </c>
      <c r="K4291" s="272" t="n">
        <v>55724.28</v>
      </c>
    </row>
    <row r="4292" customFormat="false" ht="15" hidden="false" customHeight="false" outlineLevel="0" collapsed="false">
      <c r="A4292" s="0" t="s">
        <v>2041</v>
      </c>
      <c r="B4292" s="0" t="s">
        <v>2042</v>
      </c>
      <c r="C4292" s="0" t="s">
        <v>2156</v>
      </c>
      <c r="D4292" s="0" t="s">
        <v>2105</v>
      </c>
      <c r="E4292" s="0" t="s">
        <v>2045</v>
      </c>
      <c r="F4292" s="0" t="s">
        <v>2157</v>
      </c>
      <c r="G4292" s="0" t="s">
        <v>2158</v>
      </c>
      <c r="H4292" s="0" t="s">
        <v>2159</v>
      </c>
      <c r="I4292" s="0" t="s">
        <v>2124</v>
      </c>
      <c r="J4292" s="0" t="s">
        <v>2358</v>
      </c>
      <c r="K4292" s="272" t="n">
        <v>3000000</v>
      </c>
    </row>
    <row r="4293" customFormat="false" ht="15" hidden="false" customHeight="false" outlineLevel="0" collapsed="false">
      <c r="A4293" s="0" t="s">
        <v>2041</v>
      </c>
      <c r="B4293" s="0" t="s">
        <v>2042</v>
      </c>
      <c r="C4293" s="0" t="s">
        <v>2360</v>
      </c>
      <c r="D4293" s="0" t="s">
        <v>2105</v>
      </c>
      <c r="E4293" s="0" t="s">
        <v>2045</v>
      </c>
      <c r="F4293" s="0" t="s">
        <v>2157</v>
      </c>
      <c r="G4293" s="0" t="s">
        <v>2158</v>
      </c>
      <c r="H4293" s="0" t="s">
        <v>2159</v>
      </c>
      <c r="I4293" s="0" t="s">
        <v>2124</v>
      </c>
      <c r="J4293" s="0" t="s">
        <v>2358</v>
      </c>
      <c r="K4293" s="272" t="n">
        <v>201050</v>
      </c>
    </row>
    <row r="4294" customFormat="false" ht="15" hidden="false" customHeight="false" outlineLevel="0" collapsed="false">
      <c r="A4294" s="0" t="s">
        <v>2041</v>
      </c>
      <c r="B4294" s="0" t="s">
        <v>2042</v>
      </c>
      <c r="C4294" s="0" t="s">
        <v>2161</v>
      </c>
      <c r="D4294" s="0" t="s">
        <v>2105</v>
      </c>
      <c r="E4294" s="0" t="s">
        <v>2045</v>
      </c>
      <c r="F4294" s="0" t="s">
        <v>2157</v>
      </c>
      <c r="G4294" s="0" t="s">
        <v>2158</v>
      </c>
      <c r="H4294" s="0" t="s">
        <v>2159</v>
      </c>
      <c r="I4294" s="0" t="s">
        <v>2124</v>
      </c>
      <c r="J4294" s="0" t="s">
        <v>2358</v>
      </c>
      <c r="K4294" s="272" t="n">
        <v>782657.98</v>
      </c>
    </row>
    <row r="4295" customFormat="false" ht="15" hidden="false" customHeight="false" outlineLevel="0" collapsed="false">
      <c r="A4295" s="0" t="s">
        <v>2041</v>
      </c>
      <c r="B4295" s="0" t="s">
        <v>2042</v>
      </c>
      <c r="C4295" s="0" t="s">
        <v>2349</v>
      </c>
      <c r="D4295" s="0" t="s">
        <v>2105</v>
      </c>
      <c r="E4295" s="0" t="s">
        <v>2045</v>
      </c>
      <c r="F4295" s="0" t="s">
        <v>2157</v>
      </c>
      <c r="G4295" s="0" t="s">
        <v>2158</v>
      </c>
      <c r="H4295" s="0" t="s">
        <v>2159</v>
      </c>
      <c r="I4295" s="0" t="s">
        <v>2124</v>
      </c>
      <c r="J4295" s="0" t="s">
        <v>2358</v>
      </c>
      <c r="K4295" s="272" t="n">
        <v>83480.07</v>
      </c>
    </row>
    <row r="4296" customFormat="false" ht="15" hidden="false" customHeight="false" outlineLevel="0" collapsed="false">
      <c r="A4296" s="0" t="s">
        <v>2041</v>
      </c>
      <c r="B4296" s="0" t="s">
        <v>2042</v>
      </c>
      <c r="C4296" s="0" t="s">
        <v>2352</v>
      </c>
      <c r="D4296" s="0" t="s">
        <v>2105</v>
      </c>
      <c r="E4296" s="0" t="s">
        <v>2045</v>
      </c>
      <c r="F4296" s="0" t="s">
        <v>2157</v>
      </c>
      <c r="G4296" s="0" t="s">
        <v>2158</v>
      </c>
      <c r="H4296" s="0" t="s">
        <v>2159</v>
      </c>
      <c r="I4296" s="0" t="s">
        <v>2322</v>
      </c>
      <c r="J4296" s="0" t="s">
        <v>2358</v>
      </c>
      <c r="K4296" s="272" t="n">
        <v>9505495.24</v>
      </c>
    </row>
    <row r="4297" customFormat="false" ht="15" hidden="false" customHeight="false" outlineLevel="0" collapsed="false">
      <c r="A4297" s="0" t="s">
        <v>2041</v>
      </c>
      <c r="B4297" s="0" t="s">
        <v>2042</v>
      </c>
      <c r="C4297" s="0" t="s">
        <v>2359</v>
      </c>
      <c r="D4297" s="0" t="s">
        <v>2105</v>
      </c>
      <c r="E4297" s="0" t="s">
        <v>2045</v>
      </c>
      <c r="F4297" s="0" t="s">
        <v>2157</v>
      </c>
      <c r="G4297" s="0" t="s">
        <v>2158</v>
      </c>
      <c r="H4297" s="0" t="s">
        <v>2159</v>
      </c>
      <c r="I4297" s="0" t="s">
        <v>2322</v>
      </c>
      <c r="J4297" s="0" t="s">
        <v>2358</v>
      </c>
      <c r="K4297" s="272" t="n">
        <v>2611170.75</v>
      </c>
    </row>
    <row r="4298" customFormat="false" ht="15" hidden="false" customHeight="false" outlineLevel="0" collapsed="false">
      <c r="A4298" s="0" t="s">
        <v>2041</v>
      </c>
      <c r="B4298" s="0" t="s">
        <v>2042</v>
      </c>
      <c r="C4298" s="0" t="s">
        <v>2361</v>
      </c>
      <c r="D4298" s="0" t="s">
        <v>2105</v>
      </c>
      <c r="E4298" s="0" t="s">
        <v>2045</v>
      </c>
      <c r="F4298" s="0" t="s">
        <v>2157</v>
      </c>
      <c r="G4298" s="0" t="s">
        <v>2158</v>
      </c>
      <c r="H4298" s="0" t="s">
        <v>2159</v>
      </c>
      <c r="I4298" s="0" t="s">
        <v>2322</v>
      </c>
      <c r="J4298" s="0" t="s">
        <v>2358</v>
      </c>
      <c r="K4298" s="272" t="n">
        <v>188882.82</v>
      </c>
    </row>
    <row r="4299" customFormat="false" ht="15" hidden="false" customHeight="false" outlineLevel="0" collapsed="false">
      <c r="A4299" s="0" t="s">
        <v>2041</v>
      </c>
      <c r="B4299" s="0" t="s">
        <v>2042</v>
      </c>
      <c r="C4299" s="0" t="s">
        <v>2156</v>
      </c>
      <c r="D4299" s="0" t="s">
        <v>2105</v>
      </c>
      <c r="E4299" s="0" t="s">
        <v>2045</v>
      </c>
      <c r="F4299" s="0" t="s">
        <v>2157</v>
      </c>
      <c r="G4299" s="0" t="s">
        <v>2158</v>
      </c>
      <c r="H4299" s="0" t="s">
        <v>2159</v>
      </c>
      <c r="I4299" s="0" t="s">
        <v>2322</v>
      </c>
      <c r="J4299" s="0" t="s">
        <v>2358</v>
      </c>
      <c r="K4299" s="272" t="n">
        <v>184270604</v>
      </c>
    </row>
    <row r="4300" customFormat="false" ht="15" hidden="false" customHeight="false" outlineLevel="0" collapsed="false">
      <c r="A4300" s="0" t="s">
        <v>2041</v>
      </c>
      <c r="B4300" s="0" t="s">
        <v>2042</v>
      </c>
      <c r="C4300" s="0" t="s">
        <v>2360</v>
      </c>
      <c r="D4300" s="0" t="s">
        <v>2105</v>
      </c>
      <c r="E4300" s="0" t="s">
        <v>2045</v>
      </c>
      <c r="F4300" s="0" t="s">
        <v>2157</v>
      </c>
      <c r="G4300" s="0" t="s">
        <v>2158</v>
      </c>
      <c r="H4300" s="0" t="s">
        <v>2159</v>
      </c>
      <c r="I4300" s="0" t="s">
        <v>2322</v>
      </c>
      <c r="J4300" s="0" t="s">
        <v>2358</v>
      </c>
      <c r="K4300" s="272" t="n">
        <v>72</v>
      </c>
    </row>
    <row r="4301" customFormat="false" ht="15" hidden="false" customHeight="false" outlineLevel="0" collapsed="false">
      <c r="A4301" s="0" t="s">
        <v>2041</v>
      </c>
      <c r="B4301" s="0" t="s">
        <v>2042</v>
      </c>
      <c r="C4301" s="0" t="s">
        <v>2161</v>
      </c>
      <c r="D4301" s="0" t="s">
        <v>2105</v>
      </c>
      <c r="E4301" s="0" t="s">
        <v>2045</v>
      </c>
      <c r="F4301" s="0" t="s">
        <v>2157</v>
      </c>
      <c r="G4301" s="0" t="s">
        <v>2158</v>
      </c>
      <c r="H4301" s="0" t="s">
        <v>2159</v>
      </c>
      <c r="I4301" s="0" t="s">
        <v>2322</v>
      </c>
      <c r="J4301" s="0" t="s">
        <v>2358</v>
      </c>
      <c r="K4301" s="272" t="n">
        <v>29289842.54</v>
      </c>
    </row>
    <row r="4302" customFormat="false" ht="15" hidden="false" customHeight="false" outlineLevel="0" collapsed="false">
      <c r="A4302" s="0" t="s">
        <v>2041</v>
      </c>
      <c r="B4302" s="0" t="s">
        <v>2042</v>
      </c>
      <c r="C4302" s="0" t="s">
        <v>2349</v>
      </c>
      <c r="D4302" s="0" t="s">
        <v>2105</v>
      </c>
      <c r="E4302" s="0" t="s">
        <v>2045</v>
      </c>
      <c r="F4302" s="0" t="s">
        <v>2157</v>
      </c>
      <c r="G4302" s="0" t="s">
        <v>2158</v>
      </c>
      <c r="H4302" s="0" t="s">
        <v>2159</v>
      </c>
      <c r="I4302" s="0" t="s">
        <v>2322</v>
      </c>
      <c r="J4302" s="0" t="s">
        <v>2358</v>
      </c>
      <c r="K4302" s="272" t="n">
        <v>2865285.12</v>
      </c>
    </row>
    <row r="4303" customFormat="false" ht="15" hidden="false" customHeight="false" outlineLevel="0" collapsed="false">
      <c r="A4303" s="0" t="s">
        <v>2041</v>
      </c>
      <c r="B4303" s="0" t="s">
        <v>2042</v>
      </c>
      <c r="C4303" s="0" t="s">
        <v>2352</v>
      </c>
      <c r="D4303" s="0" t="s">
        <v>2105</v>
      </c>
      <c r="E4303" s="0" t="s">
        <v>2045</v>
      </c>
      <c r="F4303" s="0" t="s">
        <v>2157</v>
      </c>
      <c r="G4303" s="0" t="s">
        <v>2158</v>
      </c>
      <c r="H4303" s="0" t="s">
        <v>2162</v>
      </c>
      <c r="I4303" s="0" t="s">
        <v>2322</v>
      </c>
      <c r="J4303" s="0" t="s">
        <v>2358</v>
      </c>
      <c r="K4303" s="272" t="n">
        <v>430000</v>
      </c>
    </row>
    <row r="4304" customFormat="false" ht="15" hidden="false" customHeight="false" outlineLevel="0" collapsed="false">
      <c r="A4304" s="0" t="s">
        <v>2041</v>
      </c>
      <c r="B4304" s="0" t="s">
        <v>2042</v>
      </c>
      <c r="C4304" s="0" t="s">
        <v>2359</v>
      </c>
      <c r="D4304" s="0" t="s">
        <v>2105</v>
      </c>
      <c r="E4304" s="0" t="s">
        <v>2045</v>
      </c>
      <c r="F4304" s="0" t="s">
        <v>2157</v>
      </c>
      <c r="G4304" s="0" t="s">
        <v>2158</v>
      </c>
      <c r="H4304" s="0" t="s">
        <v>2162</v>
      </c>
      <c r="I4304" s="0" t="s">
        <v>2322</v>
      </c>
      <c r="J4304" s="0" t="s">
        <v>2358</v>
      </c>
      <c r="K4304" s="272" t="n">
        <v>2330.85</v>
      </c>
    </row>
    <row r="4305" customFormat="false" ht="15" hidden="false" customHeight="false" outlineLevel="0" collapsed="false">
      <c r="A4305" s="0" t="s">
        <v>2041</v>
      </c>
      <c r="B4305" s="0" t="s">
        <v>2042</v>
      </c>
      <c r="C4305" s="0" t="s">
        <v>2156</v>
      </c>
      <c r="D4305" s="0" t="s">
        <v>2105</v>
      </c>
      <c r="E4305" s="0" t="s">
        <v>2045</v>
      </c>
      <c r="F4305" s="0" t="s">
        <v>2157</v>
      </c>
      <c r="G4305" s="0" t="s">
        <v>2158</v>
      </c>
      <c r="H4305" s="0" t="s">
        <v>2162</v>
      </c>
      <c r="I4305" s="0" t="s">
        <v>2322</v>
      </c>
      <c r="J4305" s="0" t="s">
        <v>2358</v>
      </c>
      <c r="K4305" s="272" t="n">
        <v>625000</v>
      </c>
    </row>
    <row r="4306" customFormat="false" ht="15" hidden="false" customHeight="false" outlineLevel="0" collapsed="false">
      <c r="A4306" s="0" t="s">
        <v>2041</v>
      </c>
      <c r="B4306" s="0" t="s">
        <v>2042</v>
      </c>
      <c r="C4306" s="0" t="s">
        <v>2161</v>
      </c>
      <c r="D4306" s="0" t="s">
        <v>2105</v>
      </c>
      <c r="E4306" s="0" t="s">
        <v>2045</v>
      </c>
      <c r="F4306" s="0" t="s">
        <v>2157</v>
      </c>
      <c r="G4306" s="0" t="s">
        <v>2158</v>
      </c>
      <c r="H4306" s="0" t="s">
        <v>2162</v>
      </c>
      <c r="I4306" s="0" t="s">
        <v>2322</v>
      </c>
      <c r="J4306" s="0" t="s">
        <v>2358</v>
      </c>
      <c r="K4306" s="272" t="n">
        <v>188750</v>
      </c>
    </row>
    <row r="4307" customFormat="false" ht="15" hidden="false" customHeight="false" outlineLevel="0" collapsed="false">
      <c r="A4307" s="0" t="s">
        <v>2041</v>
      </c>
      <c r="B4307" s="0" t="s">
        <v>2042</v>
      </c>
      <c r="C4307" s="0" t="s">
        <v>2349</v>
      </c>
      <c r="D4307" s="0" t="s">
        <v>2105</v>
      </c>
      <c r="E4307" s="0" t="s">
        <v>2045</v>
      </c>
      <c r="F4307" s="0" t="s">
        <v>2157</v>
      </c>
      <c r="G4307" s="0" t="s">
        <v>2158</v>
      </c>
      <c r="H4307" s="0" t="s">
        <v>2162</v>
      </c>
      <c r="I4307" s="0" t="s">
        <v>2322</v>
      </c>
      <c r="J4307" s="0" t="s">
        <v>2358</v>
      </c>
      <c r="K4307" s="272" t="n">
        <v>130563.91</v>
      </c>
    </row>
    <row r="4308" customFormat="false" ht="15" hidden="false" customHeight="false" outlineLevel="0" collapsed="false">
      <c r="A4308" s="0" t="s">
        <v>2041</v>
      </c>
      <c r="B4308" s="0" t="s">
        <v>2042</v>
      </c>
      <c r="C4308" s="0" t="s">
        <v>2352</v>
      </c>
      <c r="D4308" s="0" t="s">
        <v>2105</v>
      </c>
      <c r="E4308" s="0" t="s">
        <v>2045</v>
      </c>
      <c r="F4308" s="0" t="s">
        <v>2157</v>
      </c>
      <c r="G4308" s="0" t="s">
        <v>2158</v>
      </c>
      <c r="H4308" s="0" t="s">
        <v>2126</v>
      </c>
      <c r="I4308" s="0" t="s">
        <v>2322</v>
      </c>
      <c r="J4308" s="0" t="s">
        <v>2358</v>
      </c>
      <c r="K4308" s="272" t="n">
        <v>525000</v>
      </c>
    </row>
    <row r="4309" customFormat="false" ht="15" hidden="false" customHeight="false" outlineLevel="0" collapsed="false">
      <c r="A4309" s="0" t="s">
        <v>2041</v>
      </c>
      <c r="B4309" s="0" t="s">
        <v>2042</v>
      </c>
      <c r="C4309" s="0" t="s">
        <v>2359</v>
      </c>
      <c r="D4309" s="0" t="s">
        <v>2105</v>
      </c>
      <c r="E4309" s="0" t="s">
        <v>2045</v>
      </c>
      <c r="F4309" s="0" t="s">
        <v>2157</v>
      </c>
      <c r="G4309" s="0" t="s">
        <v>2158</v>
      </c>
      <c r="H4309" s="0" t="s">
        <v>2126</v>
      </c>
      <c r="I4309" s="0" t="s">
        <v>2322</v>
      </c>
      <c r="J4309" s="0" t="s">
        <v>2358</v>
      </c>
      <c r="K4309" s="272" t="n">
        <v>18608.85</v>
      </c>
    </row>
    <row r="4310" customFormat="false" ht="15" hidden="false" customHeight="false" outlineLevel="0" collapsed="false">
      <c r="A4310" s="0" t="s">
        <v>2041</v>
      </c>
      <c r="B4310" s="0" t="s">
        <v>2042</v>
      </c>
      <c r="C4310" s="0" t="s">
        <v>2156</v>
      </c>
      <c r="D4310" s="0" t="s">
        <v>2105</v>
      </c>
      <c r="E4310" s="0" t="s">
        <v>2045</v>
      </c>
      <c r="F4310" s="0" t="s">
        <v>2157</v>
      </c>
      <c r="G4310" s="0" t="s">
        <v>2158</v>
      </c>
      <c r="H4310" s="0" t="s">
        <v>2126</v>
      </c>
      <c r="I4310" s="0" t="s">
        <v>2322</v>
      </c>
      <c r="J4310" s="0" t="s">
        <v>2358</v>
      </c>
      <c r="K4310" s="272" t="n">
        <v>1325000</v>
      </c>
    </row>
    <row r="4311" customFormat="false" ht="15" hidden="false" customHeight="false" outlineLevel="0" collapsed="false">
      <c r="A4311" s="0" t="s">
        <v>2041</v>
      </c>
      <c r="B4311" s="0" t="s">
        <v>2042</v>
      </c>
      <c r="C4311" s="0" t="s">
        <v>2161</v>
      </c>
      <c r="D4311" s="0" t="s">
        <v>2105</v>
      </c>
      <c r="E4311" s="0" t="s">
        <v>2045</v>
      </c>
      <c r="F4311" s="0" t="s">
        <v>2157</v>
      </c>
      <c r="G4311" s="0" t="s">
        <v>2158</v>
      </c>
      <c r="H4311" s="0" t="s">
        <v>2126</v>
      </c>
      <c r="I4311" s="0" t="s">
        <v>2322</v>
      </c>
      <c r="J4311" s="0" t="s">
        <v>2358</v>
      </c>
      <c r="K4311" s="272" t="n">
        <v>400150</v>
      </c>
    </row>
    <row r="4312" customFormat="false" ht="15" hidden="false" customHeight="false" outlineLevel="0" collapsed="false">
      <c r="A4312" s="0" t="s">
        <v>2041</v>
      </c>
      <c r="B4312" s="0" t="s">
        <v>2042</v>
      </c>
      <c r="C4312" s="0" t="s">
        <v>2349</v>
      </c>
      <c r="D4312" s="0" t="s">
        <v>2105</v>
      </c>
      <c r="E4312" s="0" t="s">
        <v>2045</v>
      </c>
      <c r="F4312" s="0" t="s">
        <v>2157</v>
      </c>
      <c r="G4312" s="0" t="s">
        <v>2158</v>
      </c>
      <c r="H4312" s="0" t="s">
        <v>2126</v>
      </c>
      <c r="I4312" s="0" t="s">
        <v>2322</v>
      </c>
      <c r="J4312" s="0" t="s">
        <v>2358</v>
      </c>
      <c r="K4312" s="272" t="n">
        <v>164169.88</v>
      </c>
    </row>
    <row r="4313" customFormat="false" ht="15" hidden="false" customHeight="false" outlineLevel="0" collapsed="false">
      <c r="A4313" s="0" t="s">
        <v>2041</v>
      </c>
      <c r="B4313" s="0" t="s">
        <v>2042</v>
      </c>
      <c r="C4313" s="0" t="s">
        <v>2352</v>
      </c>
      <c r="D4313" s="0" t="s">
        <v>2105</v>
      </c>
      <c r="E4313" s="0" t="s">
        <v>2045</v>
      </c>
      <c r="F4313" s="0" t="s">
        <v>2163</v>
      </c>
      <c r="G4313" s="0" t="s">
        <v>2164</v>
      </c>
      <c r="H4313" s="0" t="s">
        <v>2165</v>
      </c>
      <c r="I4313" s="0" t="s">
        <v>2322</v>
      </c>
      <c r="J4313" s="0" t="s">
        <v>2358</v>
      </c>
      <c r="K4313" s="272" t="n">
        <v>857142.86</v>
      </c>
    </row>
    <row r="4314" customFormat="false" ht="15" hidden="false" customHeight="false" outlineLevel="0" collapsed="false">
      <c r="A4314" s="0" t="s">
        <v>2041</v>
      </c>
      <c r="B4314" s="0" t="s">
        <v>2042</v>
      </c>
      <c r="C4314" s="0" t="s">
        <v>2349</v>
      </c>
      <c r="D4314" s="0" t="s">
        <v>2105</v>
      </c>
      <c r="E4314" s="0" t="s">
        <v>2045</v>
      </c>
      <c r="F4314" s="0" t="s">
        <v>2163</v>
      </c>
      <c r="G4314" s="0" t="s">
        <v>2164</v>
      </c>
      <c r="H4314" s="0" t="s">
        <v>2165</v>
      </c>
      <c r="I4314" s="0" t="s">
        <v>2322</v>
      </c>
      <c r="J4314" s="0" t="s">
        <v>2358</v>
      </c>
      <c r="K4314" s="272" t="n">
        <v>258857.15</v>
      </c>
    </row>
    <row r="4315" customFormat="false" ht="15" hidden="false" customHeight="false" outlineLevel="0" collapsed="false">
      <c r="A4315" s="0" t="s">
        <v>2041</v>
      </c>
      <c r="B4315" s="0" t="s">
        <v>2042</v>
      </c>
      <c r="C4315" s="0" t="s">
        <v>2352</v>
      </c>
      <c r="D4315" s="0" t="s">
        <v>2105</v>
      </c>
      <c r="E4315" s="0" t="s">
        <v>2045</v>
      </c>
      <c r="F4315" s="0" t="s">
        <v>2163</v>
      </c>
      <c r="G4315" s="0" t="s">
        <v>2164</v>
      </c>
      <c r="H4315" s="0" t="s">
        <v>2166</v>
      </c>
      <c r="I4315" s="0" t="s">
        <v>2124</v>
      </c>
      <c r="J4315" s="0" t="s">
        <v>2358</v>
      </c>
      <c r="K4315" s="272" t="n">
        <v>1184000</v>
      </c>
    </row>
    <row r="4316" customFormat="false" ht="15" hidden="false" customHeight="false" outlineLevel="0" collapsed="false">
      <c r="A4316" s="0" t="s">
        <v>2041</v>
      </c>
      <c r="B4316" s="0" t="s">
        <v>2042</v>
      </c>
      <c r="C4316" s="0" t="s">
        <v>2156</v>
      </c>
      <c r="D4316" s="0" t="s">
        <v>2105</v>
      </c>
      <c r="E4316" s="0" t="s">
        <v>2045</v>
      </c>
      <c r="F4316" s="0" t="s">
        <v>2163</v>
      </c>
      <c r="G4316" s="0" t="s">
        <v>2164</v>
      </c>
      <c r="H4316" s="0" t="s">
        <v>2166</v>
      </c>
      <c r="I4316" s="0" t="s">
        <v>2124</v>
      </c>
      <c r="J4316" s="0" t="s">
        <v>2358</v>
      </c>
      <c r="K4316" s="272" t="n">
        <v>22000000</v>
      </c>
    </row>
    <row r="4317" customFormat="false" ht="15" hidden="false" customHeight="false" outlineLevel="0" collapsed="false">
      <c r="A4317" s="0" t="s">
        <v>2041</v>
      </c>
      <c r="B4317" s="0" t="s">
        <v>2042</v>
      </c>
      <c r="C4317" s="0" t="s">
        <v>2161</v>
      </c>
      <c r="D4317" s="0" t="s">
        <v>2105</v>
      </c>
      <c r="E4317" s="0" t="s">
        <v>2045</v>
      </c>
      <c r="F4317" s="0" t="s">
        <v>2163</v>
      </c>
      <c r="G4317" s="0" t="s">
        <v>2164</v>
      </c>
      <c r="H4317" s="0" t="s">
        <v>2166</v>
      </c>
      <c r="I4317" s="0" t="s">
        <v>2124</v>
      </c>
      <c r="J4317" s="0" t="s">
        <v>2358</v>
      </c>
      <c r="K4317" s="272" t="n">
        <v>3366000</v>
      </c>
    </row>
    <row r="4318" customFormat="false" ht="15" hidden="false" customHeight="false" outlineLevel="0" collapsed="false">
      <c r="A4318" s="0" t="s">
        <v>2041</v>
      </c>
      <c r="B4318" s="0" t="s">
        <v>2042</v>
      </c>
      <c r="C4318" s="0" t="s">
        <v>2349</v>
      </c>
      <c r="D4318" s="0" t="s">
        <v>2105</v>
      </c>
      <c r="E4318" s="0" t="s">
        <v>2045</v>
      </c>
      <c r="F4318" s="0" t="s">
        <v>2163</v>
      </c>
      <c r="G4318" s="0" t="s">
        <v>2164</v>
      </c>
      <c r="H4318" s="0" t="s">
        <v>2166</v>
      </c>
      <c r="I4318" s="0" t="s">
        <v>2124</v>
      </c>
      <c r="J4318" s="0" t="s">
        <v>2358</v>
      </c>
      <c r="K4318" s="272" t="n">
        <v>270070.88</v>
      </c>
    </row>
    <row r="4319" customFormat="false" ht="15" hidden="false" customHeight="false" outlineLevel="0" collapsed="false">
      <c r="A4319" s="0" t="s">
        <v>2041</v>
      </c>
      <c r="B4319" s="0" t="s">
        <v>2042</v>
      </c>
      <c r="C4319" s="0" t="s">
        <v>2352</v>
      </c>
      <c r="D4319" s="0" t="s">
        <v>2105</v>
      </c>
      <c r="E4319" s="0" t="s">
        <v>2045</v>
      </c>
      <c r="F4319" s="0" t="s">
        <v>2163</v>
      </c>
      <c r="G4319" s="0" t="s">
        <v>2164</v>
      </c>
      <c r="H4319" s="0" t="s">
        <v>2166</v>
      </c>
      <c r="I4319" s="0" t="s">
        <v>2167</v>
      </c>
      <c r="J4319" s="0" t="s">
        <v>2358</v>
      </c>
      <c r="K4319" s="272" t="n">
        <v>495238.1</v>
      </c>
    </row>
    <row r="4320" customFormat="false" ht="15" hidden="false" customHeight="false" outlineLevel="0" collapsed="false">
      <c r="A4320" s="0" t="s">
        <v>2041</v>
      </c>
      <c r="B4320" s="0" t="s">
        <v>2042</v>
      </c>
      <c r="C4320" s="0" t="s">
        <v>2359</v>
      </c>
      <c r="D4320" s="0" t="s">
        <v>2105</v>
      </c>
      <c r="E4320" s="0" t="s">
        <v>2045</v>
      </c>
      <c r="F4320" s="0" t="s">
        <v>2163</v>
      </c>
      <c r="G4320" s="0" t="s">
        <v>2164</v>
      </c>
      <c r="H4320" s="0" t="s">
        <v>2166</v>
      </c>
      <c r="I4320" s="0" t="s">
        <v>2167</v>
      </c>
      <c r="J4320" s="0" t="s">
        <v>2358</v>
      </c>
      <c r="K4320" s="272" t="n">
        <v>149081.85</v>
      </c>
    </row>
    <row r="4321" customFormat="false" ht="15" hidden="false" customHeight="false" outlineLevel="0" collapsed="false">
      <c r="A4321" s="0" t="s">
        <v>2041</v>
      </c>
      <c r="B4321" s="0" t="s">
        <v>2042</v>
      </c>
      <c r="C4321" s="0" t="s">
        <v>2156</v>
      </c>
      <c r="D4321" s="0" t="s">
        <v>2105</v>
      </c>
      <c r="E4321" s="0" t="s">
        <v>2045</v>
      </c>
      <c r="F4321" s="0" t="s">
        <v>2163</v>
      </c>
      <c r="G4321" s="0" t="s">
        <v>2164</v>
      </c>
      <c r="H4321" s="0" t="s">
        <v>2166</v>
      </c>
      <c r="I4321" s="0" t="s">
        <v>2167</v>
      </c>
      <c r="J4321" s="0" t="s">
        <v>2358</v>
      </c>
      <c r="K4321" s="272" t="n">
        <v>4700000</v>
      </c>
    </row>
    <row r="4322" customFormat="false" ht="15" hidden="false" customHeight="false" outlineLevel="0" collapsed="false">
      <c r="A4322" s="0" t="s">
        <v>2041</v>
      </c>
      <c r="B4322" s="0" t="s">
        <v>2042</v>
      </c>
      <c r="C4322" s="0" t="s">
        <v>2161</v>
      </c>
      <c r="D4322" s="0" t="s">
        <v>2105</v>
      </c>
      <c r="E4322" s="0" t="s">
        <v>2045</v>
      </c>
      <c r="F4322" s="0" t="s">
        <v>2163</v>
      </c>
      <c r="G4322" s="0" t="s">
        <v>2164</v>
      </c>
      <c r="H4322" s="0" t="s">
        <v>2166</v>
      </c>
      <c r="I4322" s="0" t="s">
        <v>2167</v>
      </c>
      <c r="J4322" s="0" t="s">
        <v>2358</v>
      </c>
      <c r="K4322" s="272" t="n">
        <v>1148780.52</v>
      </c>
    </row>
    <row r="4323" customFormat="false" ht="15" hidden="false" customHeight="false" outlineLevel="0" collapsed="false">
      <c r="A4323" s="0" t="s">
        <v>2041</v>
      </c>
      <c r="B4323" s="0" t="s">
        <v>2042</v>
      </c>
      <c r="C4323" s="0" t="s">
        <v>2349</v>
      </c>
      <c r="D4323" s="0" t="s">
        <v>2105</v>
      </c>
      <c r="E4323" s="0" t="s">
        <v>2045</v>
      </c>
      <c r="F4323" s="0" t="s">
        <v>2163</v>
      </c>
      <c r="G4323" s="0" t="s">
        <v>2164</v>
      </c>
      <c r="H4323" s="0" t="s">
        <v>2166</v>
      </c>
      <c r="I4323" s="0" t="s">
        <v>2167</v>
      </c>
      <c r="J4323" s="0" t="s">
        <v>2358</v>
      </c>
      <c r="K4323" s="272" t="n">
        <v>172371.43</v>
      </c>
    </row>
    <row r="4324" customFormat="false" ht="15" hidden="false" customHeight="false" outlineLevel="0" collapsed="false">
      <c r="A4324" s="0" t="s">
        <v>2041</v>
      </c>
      <c r="B4324" s="0" t="s">
        <v>2042</v>
      </c>
      <c r="C4324" s="0" t="s">
        <v>2352</v>
      </c>
      <c r="D4324" s="0" t="s">
        <v>2105</v>
      </c>
      <c r="E4324" s="0" t="s">
        <v>2045</v>
      </c>
      <c r="F4324" s="0" t="s">
        <v>2163</v>
      </c>
      <c r="G4324" s="0" t="s">
        <v>2164</v>
      </c>
      <c r="H4324" s="0" t="s">
        <v>2166</v>
      </c>
      <c r="I4324" s="0" t="s">
        <v>2322</v>
      </c>
      <c r="J4324" s="0" t="s">
        <v>2358</v>
      </c>
      <c r="K4324" s="272" t="n">
        <v>13532934.58</v>
      </c>
    </row>
    <row r="4325" customFormat="false" ht="15" hidden="false" customHeight="false" outlineLevel="0" collapsed="false">
      <c r="A4325" s="0" t="s">
        <v>2041</v>
      </c>
      <c r="B4325" s="0" t="s">
        <v>2042</v>
      </c>
      <c r="C4325" s="0" t="s">
        <v>2359</v>
      </c>
      <c r="D4325" s="0" t="s">
        <v>2105</v>
      </c>
      <c r="E4325" s="0" t="s">
        <v>2045</v>
      </c>
      <c r="F4325" s="0" t="s">
        <v>2163</v>
      </c>
      <c r="G4325" s="0" t="s">
        <v>2164</v>
      </c>
      <c r="H4325" s="0" t="s">
        <v>2166</v>
      </c>
      <c r="I4325" s="0" t="s">
        <v>2322</v>
      </c>
      <c r="J4325" s="0" t="s">
        <v>2358</v>
      </c>
      <c r="K4325" s="272" t="n">
        <v>3086485.92</v>
      </c>
    </row>
    <row r="4326" customFormat="false" ht="15" hidden="false" customHeight="false" outlineLevel="0" collapsed="false">
      <c r="A4326" s="0" t="s">
        <v>2041</v>
      </c>
      <c r="B4326" s="0" t="s">
        <v>2042</v>
      </c>
      <c r="C4326" s="0" t="s">
        <v>2362</v>
      </c>
      <c r="D4326" s="0" t="s">
        <v>2105</v>
      </c>
      <c r="E4326" s="0" t="s">
        <v>2045</v>
      </c>
      <c r="F4326" s="0" t="s">
        <v>2163</v>
      </c>
      <c r="G4326" s="0" t="s">
        <v>2164</v>
      </c>
      <c r="H4326" s="0" t="s">
        <v>2166</v>
      </c>
      <c r="I4326" s="0" t="s">
        <v>2322</v>
      </c>
      <c r="J4326" s="0" t="s">
        <v>2358</v>
      </c>
      <c r="K4326" s="272" t="n">
        <v>418928.58</v>
      </c>
    </row>
    <row r="4327" customFormat="false" ht="15" hidden="false" customHeight="false" outlineLevel="0" collapsed="false">
      <c r="A4327" s="0" t="s">
        <v>2041</v>
      </c>
      <c r="B4327" s="0" t="s">
        <v>2042</v>
      </c>
      <c r="C4327" s="0" t="s">
        <v>2361</v>
      </c>
      <c r="D4327" s="0" t="s">
        <v>2105</v>
      </c>
      <c r="E4327" s="0" t="s">
        <v>2045</v>
      </c>
      <c r="F4327" s="0" t="s">
        <v>2163</v>
      </c>
      <c r="G4327" s="0" t="s">
        <v>2164</v>
      </c>
      <c r="H4327" s="0" t="s">
        <v>2166</v>
      </c>
      <c r="I4327" s="0" t="s">
        <v>2322</v>
      </c>
      <c r="J4327" s="0" t="s">
        <v>2358</v>
      </c>
      <c r="K4327" s="272" t="n">
        <v>3383589.69</v>
      </c>
    </row>
    <row r="4328" customFormat="false" ht="15" hidden="false" customHeight="false" outlineLevel="0" collapsed="false">
      <c r="A4328" s="0" t="s">
        <v>2041</v>
      </c>
      <c r="B4328" s="0" t="s">
        <v>2042</v>
      </c>
      <c r="C4328" s="0" t="s">
        <v>2156</v>
      </c>
      <c r="D4328" s="0" t="s">
        <v>2105</v>
      </c>
      <c r="E4328" s="0" t="s">
        <v>2045</v>
      </c>
      <c r="F4328" s="0" t="s">
        <v>2163</v>
      </c>
      <c r="G4328" s="0" t="s">
        <v>2164</v>
      </c>
      <c r="H4328" s="0" t="s">
        <v>2166</v>
      </c>
      <c r="I4328" s="0" t="s">
        <v>2322</v>
      </c>
      <c r="J4328" s="0" t="s">
        <v>2358</v>
      </c>
      <c r="K4328" s="272" t="n">
        <v>220771002</v>
      </c>
    </row>
    <row r="4329" customFormat="false" ht="15" hidden="false" customHeight="false" outlineLevel="0" collapsed="false">
      <c r="A4329" s="0" t="s">
        <v>2041</v>
      </c>
      <c r="B4329" s="0" t="s">
        <v>2042</v>
      </c>
      <c r="C4329" s="0" t="s">
        <v>2360</v>
      </c>
      <c r="D4329" s="0" t="s">
        <v>2105</v>
      </c>
      <c r="E4329" s="0" t="s">
        <v>2045</v>
      </c>
      <c r="F4329" s="0" t="s">
        <v>2163</v>
      </c>
      <c r="G4329" s="0" t="s">
        <v>2164</v>
      </c>
      <c r="H4329" s="0" t="s">
        <v>2166</v>
      </c>
      <c r="I4329" s="0" t="s">
        <v>2322</v>
      </c>
      <c r="J4329" s="0" t="s">
        <v>2358</v>
      </c>
      <c r="K4329" s="272" t="n">
        <v>6108</v>
      </c>
    </row>
    <row r="4330" customFormat="false" ht="15" hidden="false" customHeight="false" outlineLevel="0" collapsed="false">
      <c r="A4330" s="0" t="s">
        <v>2041</v>
      </c>
      <c r="B4330" s="0" t="s">
        <v>2042</v>
      </c>
      <c r="C4330" s="0" t="s">
        <v>2161</v>
      </c>
      <c r="D4330" s="0" t="s">
        <v>2105</v>
      </c>
      <c r="E4330" s="0" t="s">
        <v>2045</v>
      </c>
      <c r="F4330" s="0" t="s">
        <v>2163</v>
      </c>
      <c r="G4330" s="0" t="s">
        <v>2164</v>
      </c>
      <c r="H4330" s="0" t="s">
        <v>2166</v>
      </c>
      <c r="I4330" s="0" t="s">
        <v>2322</v>
      </c>
      <c r="J4330" s="0" t="s">
        <v>2358</v>
      </c>
      <c r="K4330" s="272" t="n">
        <v>35900875.45</v>
      </c>
    </row>
    <row r="4331" customFormat="false" ht="15" hidden="false" customHeight="false" outlineLevel="0" collapsed="false">
      <c r="A4331" s="0" t="s">
        <v>2041</v>
      </c>
      <c r="B4331" s="0" t="s">
        <v>2042</v>
      </c>
      <c r="C4331" s="0" t="s">
        <v>2349</v>
      </c>
      <c r="D4331" s="0" t="s">
        <v>2105</v>
      </c>
      <c r="E4331" s="0" t="s">
        <v>2045</v>
      </c>
      <c r="F4331" s="0" t="s">
        <v>2163</v>
      </c>
      <c r="G4331" s="0" t="s">
        <v>2164</v>
      </c>
      <c r="H4331" s="0" t="s">
        <v>2166</v>
      </c>
      <c r="I4331" s="0" t="s">
        <v>2322</v>
      </c>
      <c r="J4331" s="0" t="s">
        <v>2358</v>
      </c>
      <c r="K4331" s="272" t="n">
        <v>4709482.99</v>
      </c>
    </row>
    <row r="4332" customFormat="false" ht="15" hidden="false" customHeight="false" outlineLevel="0" collapsed="false">
      <c r="A4332" s="0" t="s">
        <v>2041</v>
      </c>
      <c r="B4332" s="0" t="s">
        <v>2042</v>
      </c>
      <c r="C4332" s="0" t="s">
        <v>2352</v>
      </c>
      <c r="D4332" s="0" t="s">
        <v>2105</v>
      </c>
      <c r="E4332" s="0" t="s">
        <v>2045</v>
      </c>
      <c r="F4332" s="0" t="s">
        <v>2163</v>
      </c>
      <c r="G4332" s="0" t="s">
        <v>2168</v>
      </c>
      <c r="H4332" s="0" t="s">
        <v>2169</v>
      </c>
      <c r="I4332" s="0" t="s">
        <v>2167</v>
      </c>
      <c r="J4332" s="0" t="s">
        <v>2358</v>
      </c>
      <c r="K4332" s="272" t="n">
        <v>10950401.15</v>
      </c>
    </row>
    <row r="4333" customFormat="false" ht="15" hidden="false" customHeight="false" outlineLevel="0" collapsed="false">
      <c r="A4333" s="0" t="s">
        <v>2041</v>
      </c>
      <c r="B4333" s="0" t="s">
        <v>2042</v>
      </c>
      <c r="C4333" s="0" t="s">
        <v>2359</v>
      </c>
      <c r="D4333" s="0" t="s">
        <v>2105</v>
      </c>
      <c r="E4333" s="0" t="s">
        <v>2045</v>
      </c>
      <c r="F4333" s="0" t="s">
        <v>2163</v>
      </c>
      <c r="G4333" s="0" t="s">
        <v>2168</v>
      </c>
      <c r="H4333" s="0" t="s">
        <v>2169</v>
      </c>
      <c r="I4333" s="0" t="s">
        <v>2167</v>
      </c>
      <c r="J4333" s="0" t="s">
        <v>2358</v>
      </c>
      <c r="K4333" s="272" t="n">
        <v>1704264.8</v>
      </c>
    </row>
    <row r="4334" customFormat="false" ht="15" hidden="false" customHeight="false" outlineLevel="0" collapsed="false">
      <c r="A4334" s="0" t="s">
        <v>2041</v>
      </c>
      <c r="B4334" s="0" t="s">
        <v>2042</v>
      </c>
      <c r="C4334" s="0" t="s">
        <v>2362</v>
      </c>
      <c r="D4334" s="0" t="s">
        <v>2105</v>
      </c>
      <c r="E4334" s="0" t="s">
        <v>2045</v>
      </c>
      <c r="F4334" s="0" t="s">
        <v>2163</v>
      </c>
      <c r="G4334" s="0" t="s">
        <v>2168</v>
      </c>
      <c r="H4334" s="0" t="s">
        <v>2169</v>
      </c>
      <c r="I4334" s="0" t="s">
        <v>2167</v>
      </c>
      <c r="J4334" s="0" t="s">
        <v>2358</v>
      </c>
      <c r="K4334" s="272" t="n">
        <v>380817.28</v>
      </c>
    </row>
    <row r="4335" customFormat="false" ht="15" hidden="false" customHeight="false" outlineLevel="0" collapsed="false">
      <c r="A4335" s="0" t="s">
        <v>2041</v>
      </c>
      <c r="B4335" s="0" t="s">
        <v>2042</v>
      </c>
      <c r="C4335" s="0" t="s">
        <v>2361</v>
      </c>
      <c r="D4335" s="0" t="s">
        <v>2105</v>
      </c>
      <c r="E4335" s="0" t="s">
        <v>2045</v>
      </c>
      <c r="F4335" s="0" t="s">
        <v>2163</v>
      </c>
      <c r="G4335" s="0" t="s">
        <v>2168</v>
      </c>
      <c r="H4335" s="0" t="s">
        <v>2169</v>
      </c>
      <c r="I4335" s="0" t="s">
        <v>2167</v>
      </c>
      <c r="J4335" s="0" t="s">
        <v>2358</v>
      </c>
      <c r="K4335" s="272" t="n">
        <v>1285711.47</v>
      </c>
    </row>
    <row r="4336" customFormat="false" ht="15" hidden="false" customHeight="false" outlineLevel="0" collapsed="false">
      <c r="A4336" s="0" t="s">
        <v>2041</v>
      </c>
      <c r="B4336" s="0" t="s">
        <v>2042</v>
      </c>
      <c r="C4336" s="0" t="s">
        <v>2363</v>
      </c>
      <c r="D4336" s="0" t="s">
        <v>2105</v>
      </c>
      <c r="E4336" s="0" t="s">
        <v>2045</v>
      </c>
      <c r="F4336" s="0" t="s">
        <v>2163</v>
      </c>
      <c r="G4336" s="0" t="s">
        <v>2168</v>
      </c>
      <c r="H4336" s="0" t="s">
        <v>2169</v>
      </c>
      <c r="I4336" s="0" t="s">
        <v>2167</v>
      </c>
      <c r="J4336" s="0" t="s">
        <v>2358</v>
      </c>
      <c r="K4336" s="272" t="n">
        <v>50000</v>
      </c>
    </row>
    <row r="4337" customFormat="false" ht="15" hidden="false" customHeight="false" outlineLevel="0" collapsed="false">
      <c r="A4337" s="0" t="s">
        <v>2041</v>
      </c>
      <c r="B4337" s="0" t="s">
        <v>2042</v>
      </c>
      <c r="C4337" s="0" t="s">
        <v>2156</v>
      </c>
      <c r="D4337" s="0" t="s">
        <v>2105</v>
      </c>
      <c r="E4337" s="0" t="s">
        <v>2045</v>
      </c>
      <c r="F4337" s="0" t="s">
        <v>2163</v>
      </c>
      <c r="G4337" s="0" t="s">
        <v>2168</v>
      </c>
      <c r="H4337" s="0" t="s">
        <v>2169</v>
      </c>
      <c r="I4337" s="0" t="s">
        <v>2167</v>
      </c>
      <c r="J4337" s="0" t="s">
        <v>2358</v>
      </c>
      <c r="K4337" s="272" t="n">
        <v>230030836.1</v>
      </c>
    </row>
    <row r="4338" customFormat="false" ht="15" hidden="false" customHeight="false" outlineLevel="0" collapsed="false">
      <c r="A4338" s="0" t="s">
        <v>2041</v>
      </c>
      <c r="B4338" s="0" t="s">
        <v>2042</v>
      </c>
      <c r="C4338" s="0" t="s">
        <v>2360</v>
      </c>
      <c r="D4338" s="0" t="s">
        <v>2105</v>
      </c>
      <c r="E4338" s="0" t="s">
        <v>2045</v>
      </c>
      <c r="F4338" s="0" t="s">
        <v>2163</v>
      </c>
      <c r="G4338" s="0" t="s">
        <v>2168</v>
      </c>
      <c r="H4338" s="0" t="s">
        <v>2169</v>
      </c>
      <c r="I4338" s="0" t="s">
        <v>2167</v>
      </c>
      <c r="J4338" s="0" t="s">
        <v>2358</v>
      </c>
      <c r="K4338" s="272" t="n">
        <v>69</v>
      </c>
    </row>
    <row r="4339" customFormat="false" ht="15" hidden="false" customHeight="false" outlineLevel="0" collapsed="false">
      <c r="A4339" s="0" t="s">
        <v>2041</v>
      </c>
      <c r="B4339" s="0" t="s">
        <v>2042</v>
      </c>
      <c r="C4339" s="0" t="s">
        <v>2161</v>
      </c>
      <c r="D4339" s="0" t="s">
        <v>2105</v>
      </c>
      <c r="E4339" s="0" t="s">
        <v>2045</v>
      </c>
      <c r="F4339" s="0" t="s">
        <v>2163</v>
      </c>
      <c r="G4339" s="0" t="s">
        <v>2168</v>
      </c>
      <c r="H4339" s="0" t="s">
        <v>2169</v>
      </c>
      <c r="I4339" s="0" t="s">
        <v>2167</v>
      </c>
      <c r="J4339" s="0" t="s">
        <v>2358</v>
      </c>
      <c r="K4339" s="272" t="n">
        <v>40924394.26</v>
      </c>
    </row>
    <row r="4340" customFormat="false" ht="15" hidden="false" customHeight="false" outlineLevel="0" collapsed="false">
      <c r="A4340" s="0" t="s">
        <v>2041</v>
      </c>
      <c r="B4340" s="0" t="s">
        <v>2042</v>
      </c>
      <c r="C4340" s="0" t="s">
        <v>2349</v>
      </c>
      <c r="D4340" s="0" t="s">
        <v>2105</v>
      </c>
      <c r="E4340" s="0" t="s">
        <v>2045</v>
      </c>
      <c r="F4340" s="0" t="s">
        <v>2163</v>
      </c>
      <c r="G4340" s="0" t="s">
        <v>2168</v>
      </c>
      <c r="H4340" s="0" t="s">
        <v>2169</v>
      </c>
      <c r="I4340" s="0" t="s">
        <v>2167</v>
      </c>
      <c r="J4340" s="0" t="s">
        <v>2358</v>
      </c>
      <c r="K4340" s="272" t="n">
        <v>4160324.74</v>
      </c>
    </row>
    <row r="4341" customFormat="false" ht="15" hidden="false" customHeight="false" outlineLevel="0" collapsed="false">
      <c r="A4341" s="0" t="s">
        <v>2041</v>
      </c>
      <c r="B4341" s="0" t="s">
        <v>2042</v>
      </c>
      <c r="C4341" s="0" t="s">
        <v>2352</v>
      </c>
      <c r="D4341" s="0" t="s">
        <v>2105</v>
      </c>
      <c r="E4341" s="0" t="s">
        <v>2045</v>
      </c>
      <c r="F4341" s="0" t="s">
        <v>2163</v>
      </c>
      <c r="G4341" s="0" t="s">
        <v>2168</v>
      </c>
      <c r="H4341" s="0" t="s">
        <v>2169</v>
      </c>
      <c r="I4341" s="0" t="s">
        <v>2322</v>
      </c>
      <c r="J4341" s="0" t="s">
        <v>2358</v>
      </c>
      <c r="K4341" s="272" t="n">
        <v>19337442.17</v>
      </c>
    </row>
    <row r="4342" customFormat="false" ht="15" hidden="false" customHeight="false" outlineLevel="0" collapsed="false">
      <c r="A4342" s="0" t="s">
        <v>2041</v>
      </c>
      <c r="B4342" s="0" t="s">
        <v>2042</v>
      </c>
      <c r="C4342" s="0" t="s">
        <v>2359</v>
      </c>
      <c r="D4342" s="0" t="s">
        <v>2105</v>
      </c>
      <c r="E4342" s="0" t="s">
        <v>2045</v>
      </c>
      <c r="F4342" s="0" t="s">
        <v>2163</v>
      </c>
      <c r="G4342" s="0" t="s">
        <v>2168</v>
      </c>
      <c r="H4342" s="0" t="s">
        <v>2169</v>
      </c>
      <c r="I4342" s="0" t="s">
        <v>2322</v>
      </c>
      <c r="J4342" s="0" t="s">
        <v>2358</v>
      </c>
      <c r="K4342" s="272" t="n">
        <v>2619391.71</v>
      </c>
    </row>
    <row r="4343" customFormat="false" ht="15" hidden="false" customHeight="false" outlineLevel="0" collapsed="false">
      <c r="A4343" s="0" t="s">
        <v>2041</v>
      </c>
      <c r="B4343" s="0" t="s">
        <v>2042</v>
      </c>
      <c r="C4343" s="0" t="s">
        <v>2362</v>
      </c>
      <c r="D4343" s="0" t="s">
        <v>2105</v>
      </c>
      <c r="E4343" s="0" t="s">
        <v>2045</v>
      </c>
      <c r="F4343" s="0" t="s">
        <v>2163</v>
      </c>
      <c r="G4343" s="0" t="s">
        <v>2168</v>
      </c>
      <c r="H4343" s="0" t="s">
        <v>2169</v>
      </c>
      <c r="I4343" s="0" t="s">
        <v>2322</v>
      </c>
      <c r="J4343" s="0" t="s">
        <v>2358</v>
      </c>
      <c r="K4343" s="272" t="n">
        <v>1014012.76</v>
      </c>
    </row>
    <row r="4344" customFormat="false" ht="15" hidden="false" customHeight="false" outlineLevel="0" collapsed="false">
      <c r="A4344" s="0" t="s">
        <v>2041</v>
      </c>
      <c r="B4344" s="0" t="s">
        <v>2042</v>
      </c>
      <c r="C4344" s="0" t="s">
        <v>2361</v>
      </c>
      <c r="D4344" s="0" t="s">
        <v>2105</v>
      </c>
      <c r="E4344" s="0" t="s">
        <v>2045</v>
      </c>
      <c r="F4344" s="0" t="s">
        <v>2163</v>
      </c>
      <c r="G4344" s="0" t="s">
        <v>2168</v>
      </c>
      <c r="H4344" s="0" t="s">
        <v>2169</v>
      </c>
      <c r="I4344" s="0" t="s">
        <v>2322</v>
      </c>
      <c r="J4344" s="0" t="s">
        <v>2358</v>
      </c>
      <c r="K4344" s="272" t="n">
        <v>1997843.02</v>
      </c>
    </row>
    <row r="4345" customFormat="false" ht="15" hidden="false" customHeight="false" outlineLevel="0" collapsed="false">
      <c r="A4345" s="0" t="s">
        <v>2041</v>
      </c>
      <c r="B4345" s="0" t="s">
        <v>2042</v>
      </c>
      <c r="C4345" s="0" t="s">
        <v>2363</v>
      </c>
      <c r="D4345" s="0" t="s">
        <v>2105</v>
      </c>
      <c r="E4345" s="0" t="s">
        <v>2045</v>
      </c>
      <c r="F4345" s="0" t="s">
        <v>2163</v>
      </c>
      <c r="G4345" s="0" t="s">
        <v>2168</v>
      </c>
      <c r="H4345" s="0" t="s">
        <v>2169</v>
      </c>
      <c r="I4345" s="0" t="s">
        <v>2322</v>
      </c>
      <c r="J4345" s="0" t="s">
        <v>2358</v>
      </c>
      <c r="K4345" s="272" t="n">
        <v>50000</v>
      </c>
    </row>
    <row r="4346" customFormat="false" ht="15" hidden="false" customHeight="false" outlineLevel="0" collapsed="false">
      <c r="A4346" s="0" t="s">
        <v>2041</v>
      </c>
      <c r="B4346" s="0" t="s">
        <v>2042</v>
      </c>
      <c r="C4346" s="0" t="s">
        <v>2156</v>
      </c>
      <c r="D4346" s="0" t="s">
        <v>2105</v>
      </c>
      <c r="E4346" s="0" t="s">
        <v>2045</v>
      </c>
      <c r="F4346" s="0" t="s">
        <v>2163</v>
      </c>
      <c r="G4346" s="0" t="s">
        <v>2168</v>
      </c>
      <c r="H4346" s="0" t="s">
        <v>2169</v>
      </c>
      <c r="I4346" s="0" t="s">
        <v>2322</v>
      </c>
      <c r="J4346" s="0" t="s">
        <v>2358</v>
      </c>
      <c r="K4346" s="272" t="n">
        <v>209983566.4</v>
      </c>
    </row>
    <row r="4347" customFormat="false" ht="15" hidden="false" customHeight="false" outlineLevel="0" collapsed="false">
      <c r="A4347" s="0" t="s">
        <v>2041</v>
      </c>
      <c r="B4347" s="0" t="s">
        <v>2042</v>
      </c>
      <c r="C4347" s="0" t="s">
        <v>2360</v>
      </c>
      <c r="D4347" s="0" t="s">
        <v>2105</v>
      </c>
      <c r="E4347" s="0" t="s">
        <v>2045</v>
      </c>
      <c r="F4347" s="0" t="s">
        <v>2163</v>
      </c>
      <c r="G4347" s="0" t="s">
        <v>2168</v>
      </c>
      <c r="H4347" s="0" t="s">
        <v>2169</v>
      </c>
      <c r="I4347" s="0" t="s">
        <v>2322</v>
      </c>
      <c r="J4347" s="0" t="s">
        <v>2358</v>
      </c>
      <c r="K4347" s="272" t="n">
        <v>5899</v>
      </c>
    </row>
    <row r="4348" customFormat="false" ht="15" hidden="false" customHeight="false" outlineLevel="0" collapsed="false">
      <c r="A4348" s="0" t="s">
        <v>2041</v>
      </c>
      <c r="B4348" s="0" t="s">
        <v>2042</v>
      </c>
      <c r="C4348" s="0" t="s">
        <v>2161</v>
      </c>
      <c r="D4348" s="0" t="s">
        <v>2105</v>
      </c>
      <c r="E4348" s="0" t="s">
        <v>2045</v>
      </c>
      <c r="F4348" s="0" t="s">
        <v>2163</v>
      </c>
      <c r="G4348" s="0" t="s">
        <v>2168</v>
      </c>
      <c r="H4348" s="0" t="s">
        <v>2169</v>
      </c>
      <c r="I4348" s="0" t="s">
        <v>2322</v>
      </c>
      <c r="J4348" s="0" t="s">
        <v>2358</v>
      </c>
      <c r="K4348" s="272" t="n">
        <v>41468573.05</v>
      </c>
    </row>
    <row r="4349" customFormat="false" ht="15" hidden="false" customHeight="false" outlineLevel="0" collapsed="false">
      <c r="A4349" s="0" t="s">
        <v>2041</v>
      </c>
      <c r="B4349" s="0" t="s">
        <v>2042</v>
      </c>
      <c r="C4349" s="0" t="s">
        <v>2349</v>
      </c>
      <c r="D4349" s="0" t="s">
        <v>2105</v>
      </c>
      <c r="E4349" s="0" t="s">
        <v>2045</v>
      </c>
      <c r="F4349" s="0" t="s">
        <v>2163</v>
      </c>
      <c r="G4349" s="0" t="s">
        <v>2168</v>
      </c>
      <c r="H4349" s="0" t="s">
        <v>2169</v>
      </c>
      <c r="I4349" s="0" t="s">
        <v>2322</v>
      </c>
      <c r="J4349" s="0" t="s">
        <v>2358</v>
      </c>
      <c r="K4349" s="272" t="n">
        <v>7337121.21</v>
      </c>
    </row>
    <row r="4350" customFormat="false" ht="15" hidden="false" customHeight="false" outlineLevel="0" collapsed="false">
      <c r="A4350" s="0" t="s">
        <v>2041</v>
      </c>
      <c r="B4350" s="0" t="s">
        <v>2042</v>
      </c>
      <c r="C4350" s="0" t="s">
        <v>2347</v>
      </c>
      <c r="D4350" s="0" t="s">
        <v>2105</v>
      </c>
      <c r="E4350" s="0" t="s">
        <v>2045</v>
      </c>
      <c r="F4350" s="0" t="s">
        <v>2163</v>
      </c>
      <c r="G4350" s="0" t="s">
        <v>2168</v>
      </c>
      <c r="H4350" s="0" t="s">
        <v>2169</v>
      </c>
      <c r="I4350" s="0" t="s">
        <v>2322</v>
      </c>
      <c r="J4350" s="0" t="s">
        <v>2358</v>
      </c>
      <c r="K4350" s="272" t="n">
        <v>235864.95</v>
      </c>
    </row>
    <row r="4351" customFormat="false" ht="15" hidden="false" customHeight="false" outlineLevel="0" collapsed="false">
      <c r="A4351" s="0" t="s">
        <v>2041</v>
      </c>
      <c r="B4351" s="0" t="s">
        <v>2042</v>
      </c>
      <c r="C4351" s="0" t="s">
        <v>2352</v>
      </c>
      <c r="D4351" s="0" t="s">
        <v>2105</v>
      </c>
      <c r="E4351" s="0" t="s">
        <v>2045</v>
      </c>
      <c r="F4351" s="0" t="s">
        <v>2163</v>
      </c>
      <c r="G4351" s="0" t="s">
        <v>2168</v>
      </c>
      <c r="H4351" s="0" t="s">
        <v>2165</v>
      </c>
      <c r="I4351" s="0" t="s">
        <v>2322</v>
      </c>
      <c r="J4351" s="0" t="s">
        <v>2358</v>
      </c>
      <c r="K4351" s="272" t="n">
        <v>243642.84</v>
      </c>
    </row>
    <row r="4352" customFormat="false" ht="15" hidden="false" customHeight="false" outlineLevel="0" collapsed="false">
      <c r="A4352" s="0" t="s">
        <v>2041</v>
      </c>
      <c r="B4352" s="0" t="s">
        <v>2042</v>
      </c>
      <c r="C4352" s="0" t="s">
        <v>2362</v>
      </c>
      <c r="D4352" s="0" t="s">
        <v>2105</v>
      </c>
      <c r="E4352" s="0" t="s">
        <v>2045</v>
      </c>
      <c r="F4352" s="0" t="s">
        <v>2163</v>
      </c>
      <c r="G4352" s="0" t="s">
        <v>2168</v>
      </c>
      <c r="H4352" s="0" t="s">
        <v>2165</v>
      </c>
      <c r="I4352" s="0" t="s">
        <v>2322</v>
      </c>
      <c r="J4352" s="0" t="s">
        <v>2358</v>
      </c>
      <c r="K4352" s="272" t="n">
        <v>33214.26</v>
      </c>
    </row>
    <row r="4353" customFormat="false" ht="15" hidden="false" customHeight="false" outlineLevel="0" collapsed="false">
      <c r="A4353" s="0" t="s">
        <v>2041</v>
      </c>
      <c r="B4353" s="0" t="s">
        <v>2042</v>
      </c>
      <c r="C4353" s="0" t="s">
        <v>2361</v>
      </c>
      <c r="D4353" s="0" t="s">
        <v>2105</v>
      </c>
      <c r="E4353" s="0" t="s">
        <v>2045</v>
      </c>
      <c r="F4353" s="0" t="s">
        <v>2163</v>
      </c>
      <c r="G4353" s="0" t="s">
        <v>2168</v>
      </c>
      <c r="H4353" s="0" t="s">
        <v>2165</v>
      </c>
      <c r="I4353" s="0" t="s">
        <v>2322</v>
      </c>
      <c r="J4353" s="0" t="s">
        <v>2358</v>
      </c>
      <c r="K4353" s="272" t="n">
        <v>47114.86</v>
      </c>
    </row>
    <row r="4354" customFormat="false" ht="15" hidden="false" customHeight="false" outlineLevel="0" collapsed="false">
      <c r="A4354" s="0" t="s">
        <v>2041</v>
      </c>
      <c r="B4354" s="0" t="s">
        <v>2042</v>
      </c>
      <c r="C4354" s="0" t="s">
        <v>2156</v>
      </c>
      <c r="D4354" s="0" t="s">
        <v>2105</v>
      </c>
      <c r="E4354" s="0" t="s">
        <v>2045</v>
      </c>
      <c r="F4354" s="0" t="s">
        <v>2163</v>
      </c>
      <c r="G4354" s="0" t="s">
        <v>2168</v>
      </c>
      <c r="H4354" s="0" t="s">
        <v>2165</v>
      </c>
      <c r="I4354" s="0" t="s">
        <v>2322</v>
      </c>
      <c r="J4354" s="0" t="s">
        <v>2358</v>
      </c>
      <c r="K4354" s="272" t="n">
        <v>2749999.6</v>
      </c>
    </row>
    <row r="4355" customFormat="false" ht="15" hidden="false" customHeight="false" outlineLevel="0" collapsed="false">
      <c r="A4355" s="0" t="s">
        <v>2041</v>
      </c>
      <c r="B4355" s="0" t="s">
        <v>2042</v>
      </c>
      <c r="C4355" s="0" t="s">
        <v>2161</v>
      </c>
      <c r="D4355" s="0" t="s">
        <v>2105</v>
      </c>
      <c r="E4355" s="0" t="s">
        <v>2045</v>
      </c>
      <c r="F4355" s="0" t="s">
        <v>2163</v>
      </c>
      <c r="G4355" s="0" t="s">
        <v>2168</v>
      </c>
      <c r="H4355" s="0" t="s">
        <v>2165</v>
      </c>
      <c r="I4355" s="0" t="s">
        <v>2322</v>
      </c>
      <c r="J4355" s="0" t="s">
        <v>2358</v>
      </c>
      <c r="K4355" s="272" t="n">
        <v>737528.12</v>
      </c>
    </row>
    <row r="4356" customFormat="false" ht="15" hidden="false" customHeight="false" outlineLevel="0" collapsed="false">
      <c r="A4356" s="0" t="s">
        <v>2041</v>
      </c>
      <c r="B4356" s="0" t="s">
        <v>2042</v>
      </c>
      <c r="C4356" s="0" t="s">
        <v>2349</v>
      </c>
      <c r="D4356" s="0" t="s">
        <v>2105</v>
      </c>
      <c r="E4356" s="0" t="s">
        <v>2045</v>
      </c>
      <c r="F4356" s="0" t="s">
        <v>2163</v>
      </c>
      <c r="G4356" s="0" t="s">
        <v>2168</v>
      </c>
      <c r="H4356" s="0" t="s">
        <v>2165</v>
      </c>
      <c r="I4356" s="0" t="s">
        <v>2322</v>
      </c>
      <c r="J4356" s="0" t="s">
        <v>2358</v>
      </c>
      <c r="K4356" s="272" t="n">
        <v>97839.53</v>
      </c>
    </row>
    <row r="4357" customFormat="false" ht="15" hidden="false" customHeight="false" outlineLevel="0" collapsed="false">
      <c r="A4357" s="0" t="s">
        <v>2041</v>
      </c>
      <c r="B4357" s="0" t="s">
        <v>2042</v>
      </c>
      <c r="C4357" s="0" t="s">
        <v>2352</v>
      </c>
      <c r="D4357" s="0" t="s">
        <v>2105</v>
      </c>
      <c r="E4357" s="0" t="s">
        <v>2045</v>
      </c>
      <c r="F4357" s="0" t="s">
        <v>2163</v>
      </c>
      <c r="G4357" s="0" t="s">
        <v>2168</v>
      </c>
      <c r="H4357" s="0" t="s">
        <v>2166</v>
      </c>
      <c r="I4357" s="0" t="s">
        <v>2167</v>
      </c>
      <c r="J4357" s="0" t="s">
        <v>2358</v>
      </c>
      <c r="K4357" s="272" t="n">
        <v>950000</v>
      </c>
    </row>
    <row r="4358" customFormat="false" ht="15" hidden="false" customHeight="false" outlineLevel="0" collapsed="false">
      <c r="A4358" s="0" t="s">
        <v>2041</v>
      </c>
      <c r="B4358" s="0" t="s">
        <v>2042</v>
      </c>
      <c r="C4358" s="0" t="s">
        <v>2359</v>
      </c>
      <c r="D4358" s="0" t="s">
        <v>2105</v>
      </c>
      <c r="E4358" s="0" t="s">
        <v>2045</v>
      </c>
      <c r="F4358" s="0" t="s">
        <v>2163</v>
      </c>
      <c r="G4358" s="0" t="s">
        <v>2168</v>
      </c>
      <c r="H4358" s="0" t="s">
        <v>2166</v>
      </c>
      <c r="I4358" s="0" t="s">
        <v>2167</v>
      </c>
      <c r="J4358" s="0" t="s">
        <v>2358</v>
      </c>
      <c r="K4358" s="272" t="n">
        <v>462562.25</v>
      </c>
    </row>
    <row r="4359" customFormat="false" ht="15" hidden="false" customHeight="false" outlineLevel="0" collapsed="false">
      <c r="A4359" s="0" t="s">
        <v>2041</v>
      </c>
      <c r="B4359" s="0" t="s">
        <v>2042</v>
      </c>
      <c r="C4359" s="0" t="s">
        <v>2156</v>
      </c>
      <c r="D4359" s="0" t="s">
        <v>2105</v>
      </c>
      <c r="E4359" s="0" t="s">
        <v>2045</v>
      </c>
      <c r="F4359" s="0" t="s">
        <v>2163</v>
      </c>
      <c r="G4359" s="0" t="s">
        <v>2168</v>
      </c>
      <c r="H4359" s="0" t="s">
        <v>2166</v>
      </c>
      <c r="I4359" s="0" t="s">
        <v>2167</v>
      </c>
      <c r="J4359" s="0" t="s">
        <v>2358</v>
      </c>
      <c r="K4359" s="272" t="n">
        <v>34581490</v>
      </c>
    </row>
    <row r="4360" customFormat="false" ht="15" hidden="false" customHeight="false" outlineLevel="0" collapsed="false">
      <c r="A4360" s="0" t="s">
        <v>2041</v>
      </c>
      <c r="B4360" s="0" t="s">
        <v>2042</v>
      </c>
      <c r="C4360" s="0" t="s">
        <v>2161</v>
      </c>
      <c r="D4360" s="0" t="s">
        <v>2105</v>
      </c>
      <c r="E4360" s="0" t="s">
        <v>2045</v>
      </c>
      <c r="F4360" s="0" t="s">
        <v>2163</v>
      </c>
      <c r="G4360" s="0" t="s">
        <v>2168</v>
      </c>
      <c r="H4360" s="0" t="s">
        <v>2166</v>
      </c>
      <c r="I4360" s="0" t="s">
        <v>2167</v>
      </c>
      <c r="J4360" s="0" t="s">
        <v>2358</v>
      </c>
      <c r="K4360" s="272" t="n">
        <v>5326072.49</v>
      </c>
    </row>
    <row r="4361" customFormat="false" ht="15" hidden="false" customHeight="false" outlineLevel="0" collapsed="false">
      <c r="A4361" s="0" t="s">
        <v>2041</v>
      </c>
      <c r="B4361" s="0" t="s">
        <v>2042</v>
      </c>
      <c r="C4361" s="0" t="s">
        <v>2349</v>
      </c>
      <c r="D4361" s="0" t="s">
        <v>2105</v>
      </c>
      <c r="E4361" s="0" t="s">
        <v>2045</v>
      </c>
      <c r="F4361" s="0" t="s">
        <v>2163</v>
      </c>
      <c r="G4361" s="0" t="s">
        <v>2168</v>
      </c>
      <c r="H4361" s="0" t="s">
        <v>2166</v>
      </c>
      <c r="I4361" s="0" t="s">
        <v>2167</v>
      </c>
      <c r="J4361" s="0" t="s">
        <v>2358</v>
      </c>
      <c r="K4361" s="272" t="n">
        <v>357672.02</v>
      </c>
    </row>
    <row r="4362" customFormat="false" ht="15" hidden="false" customHeight="false" outlineLevel="0" collapsed="false">
      <c r="A4362" s="0" t="s">
        <v>2041</v>
      </c>
      <c r="B4362" s="0" t="s">
        <v>2042</v>
      </c>
      <c r="C4362" s="0" t="s">
        <v>2352</v>
      </c>
      <c r="D4362" s="0" t="s">
        <v>2105</v>
      </c>
      <c r="E4362" s="0" t="s">
        <v>2045</v>
      </c>
      <c r="F4362" s="0" t="s">
        <v>2163</v>
      </c>
      <c r="G4362" s="0" t="s">
        <v>2170</v>
      </c>
      <c r="H4362" s="0" t="s">
        <v>2169</v>
      </c>
      <c r="I4362" s="0" t="s">
        <v>2322</v>
      </c>
      <c r="J4362" s="0" t="s">
        <v>2358</v>
      </c>
      <c r="K4362" s="272" t="n">
        <v>257142.86</v>
      </c>
    </row>
    <row r="4363" customFormat="false" ht="15" hidden="false" customHeight="false" outlineLevel="0" collapsed="false">
      <c r="A4363" s="0" t="s">
        <v>2041</v>
      </c>
      <c r="B4363" s="0" t="s">
        <v>2042</v>
      </c>
      <c r="C4363" s="0" t="s">
        <v>2361</v>
      </c>
      <c r="D4363" s="0" t="s">
        <v>2105</v>
      </c>
      <c r="E4363" s="0" t="s">
        <v>2045</v>
      </c>
      <c r="F4363" s="0" t="s">
        <v>2163</v>
      </c>
      <c r="G4363" s="0" t="s">
        <v>2170</v>
      </c>
      <c r="H4363" s="0" t="s">
        <v>2169</v>
      </c>
      <c r="I4363" s="0" t="s">
        <v>2322</v>
      </c>
      <c r="J4363" s="0" t="s">
        <v>2358</v>
      </c>
      <c r="K4363" s="272" t="n">
        <v>9130.83</v>
      </c>
    </row>
    <row r="4364" customFormat="false" ht="15" hidden="false" customHeight="false" outlineLevel="0" collapsed="false">
      <c r="A4364" s="0" t="s">
        <v>2041</v>
      </c>
      <c r="B4364" s="0" t="s">
        <v>2042</v>
      </c>
      <c r="C4364" s="0" t="s">
        <v>2349</v>
      </c>
      <c r="D4364" s="0" t="s">
        <v>2105</v>
      </c>
      <c r="E4364" s="0" t="s">
        <v>2045</v>
      </c>
      <c r="F4364" s="0" t="s">
        <v>2163</v>
      </c>
      <c r="G4364" s="0" t="s">
        <v>2170</v>
      </c>
      <c r="H4364" s="0" t="s">
        <v>2169</v>
      </c>
      <c r="I4364" s="0" t="s">
        <v>2322</v>
      </c>
      <c r="J4364" s="0" t="s">
        <v>2358</v>
      </c>
      <c r="K4364" s="272" t="n">
        <v>80414.66</v>
      </c>
    </row>
    <row r="4365" customFormat="false" ht="15" hidden="false" customHeight="false" outlineLevel="0" collapsed="false">
      <c r="A4365" s="0" t="s">
        <v>2041</v>
      </c>
      <c r="B4365" s="0" t="s">
        <v>2042</v>
      </c>
      <c r="C4365" s="0" t="s">
        <v>2352</v>
      </c>
      <c r="D4365" s="0" t="s">
        <v>2105</v>
      </c>
      <c r="E4365" s="0" t="s">
        <v>2045</v>
      </c>
      <c r="F4365" s="0" t="s">
        <v>2163</v>
      </c>
      <c r="G4365" s="0" t="s">
        <v>2170</v>
      </c>
      <c r="H4365" s="0" t="s">
        <v>2165</v>
      </c>
      <c r="I4365" s="0" t="s">
        <v>2124</v>
      </c>
      <c r="J4365" s="0" t="s">
        <v>2358</v>
      </c>
      <c r="K4365" s="272" t="n">
        <v>1642142.86</v>
      </c>
    </row>
    <row r="4366" customFormat="false" ht="15" hidden="false" customHeight="false" outlineLevel="0" collapsed="false">
      <c r="A4366" s="0" t="s">
        <v>2041</v>
      </c>
      <c r="B4366" s="0" t="s">
        <v>2042</v>
      </c>
      <c r="C4366" s="0" t="s">
        <v>2359</v>
      </c>
      <c r="D4366" s="0" t="s">
        <v>2105</v>
      </c>
      <c r="E4366" s="0" t="s">
        <v>2045</v>
      </c>
      <c r="F4366" s="0" t="s">
        <v>2163</v>
      </c>
      <c r="G4366" s="0" t="s">
        <v>2170</v>
      </c>
      <c r="H4366" s="0" t="s">
        <v>2165</v>
      </c>
      <c r="I4366" s="0" t="s">
        <v>2124</v>
      </c>
      <c r="J4366" s="0" t="s">
        <v>2358</v>
      </c>
      <c r="K4366" s="272" t="n">
        <v>169812.42</v>
      </c>
    </row>
    <row r="4367" customFormat="false" ht="15" hidden="false" customHeight="false" outlineLevel="0" collapsed="false">
      <c r="A4367" s="0" t="s">
        <v>2041</v>
      </c>
      <c r="B4367" s="0" t="s">
        <v>2042</v>
      </c>
      <c r="C4367" s="0" t="s">
        <v>2362</v>
      </c>
      <c r="D4367" s="0" t="s">
        <v>2105</v>
      </c>
      <c r="E4367" s="0" t="s">
        <v>2045</v>
      </c>
      <c r="F4367" s="0" t="s">
        <v>2163</v>
      </c>
      <c r="G4367" s="0" t="s">
        <v>2170</v>
      </c>
      <c r="H4367" s="0" t="s">
        <v>2165</v>
      </c>
      <c r="I4367" s="0" t="s">
        <v>2124</v>
      </c>
      <c r="J4367" s="0" t="s">
        <v>2358</v>
      </c>
      <c r="K4367" s="272" t="n">
        <v>63797.62</v>
      </c>
    </row>
    <row r="4368" customFormat="false" ht="15" hidden="false" customHeight="false" outlineLevel="0" collapsed="false">
      <c r="A4368" s="0" t="s">
        <v>2041</v>
      </c>
      <c r="B4368" s="0" t="s">
        <v>2042</v>
      </c>
      <c r="C4368" s="0" t="s">
        <v>2156</v>
      </c>
      <c r="D4368" s="0" t="s">
        <v>2105</v>
      </c>
      <c r="E4368" s="0" t="s">
        <v>2045</v>
      </c>
      <c r="F4368" s="0" t="s">
        <v>2163</v>
      </c>
      <c r="G4368" s="0" t="s">
        <v>2170</v>
      </c>
      <c r="H4368" s="0" t="s">
        <v>2165</v>
      </c>
      <c r="I4368" s="0" t="s">
        <v>2124</v>
      </c>
      <c r="J4368" s="0" t="s">
        <v>2358</v>
      </c>
      <c r="K4368" s="272" t="n">
        <v>6555000</v>
      </c>
    </row>
    <row r="4369" customFormat="false" ht="15" hidden="false" customHeight="false" outlineLevel="0" collapsed="false">
      <c r="A4369" s="0" t="s">
        <v>2041</v>
      </c>
      <c r="B4369" s="0" t="s">
        <v>2042</v>
      </c>
      <c r="C4369" s="0" t="s">
        <v>2161</v>
      </c>
      <c r="D4369" s="0" t="s">
        <v>2105</v>
      </c>
      <c r="E4369" s="0" t="s">
        <v>2045</v>
      </c>
      <c r="F4369" s="0" t="s">
        <v>2163</v>
      </c>
      <c r="G4369" s="0" t="s">
        <v>2170</v>
      </c>
      <c r="H4369" s="0" t="s">
        <v>2165</v>
      </c>
      <c r="I4369" s="0" t="s">
        <v>2124</v>
      </c>
      <c r="J4369" s="0" t="s">
        <v>2358</v>
      </c>
      <c r="K4369" s="272" t="n">
        <v>1692316.71</v>
      </c>
    </row>
    <row r="4370" customFormat="false" ht="15" hidden="false" customHeight="false" outlineLevel="0" collapsed="false">
      <c r="A4370" s="0" t="s">
        <v>2041</v>
      </c>
      <c r="B4370" s="0" t="s">
        <v>2042</v>
      </c>
      <c r="C4370" s="0" t="s">
        <v>2349</v>
      </c>
      <c r="D4370" s="0" t="s">
        <v>2105</v>
      </c>
      <c r="E4370" s="0" t="s">
        <v>2045</v>
      </c>
      <c r="F4370" s="0" t="s">
        <v>2163</v>
      </c>
      <c r="G4370" s="0" t="s">
        <v>2170</v>
      </c>
      <c r="H4370" s="0" t="s">
        <v>2165</v>
      </c>
      <c r="I4370" s="0" t="s">
        <v>2124</v>
      </c>
      <c r="J4370" s="0" t="s">
        <v>2358</v>
      </c>
      <c r="K4370" s="272" t="n">
        <v>541175.33</v>
      </c>
    </row>
    <row r="4371" customFormat="false" ht="15" hidden="false" customHeight="false" outlineLevel="0" collapsed="false">
      <c r="A4371" s="0" t="s">
        <v>2041</v>
      </c>
      <c r="B4371" s="0" t="s">
        <v>2042</v>
      </c>
      <c r="C4371" s="0" t="s">
        <v>2352</v>
      </c>
      <c r="D4371" s="0" t="s">
        <v>2105</v>
      </c>
      <c r="E4371" s="0" t="s">
        <v>2045</v>
      </c>
      <c r="F4371" s="0" t="s">
        <v>2163</v>
      </c>
      <c r="G4371" s="0" t="s">
        <v>2170</v>
      </c>
      <c r="H4371" s="0" t="s">
        <v>2165</v>
      </c>
      <c r="I4371" s="0" t="s">
        <v>2167</v>
      </c>
      <c r="J4371" s="0" t="s">
        <v>2358</v>
      </c>
      <c r="K4371" s="272" t="n">
        <v>6790345.08</v>
      </c>
    </row>
    <row r="4372" customFormat="false" ht="15" hidden="false" customHeight="false" outlineLevel="0" collapsed="false">
      <c r="A4372" s="0" t="s">
        <v>2041</v>
      </c>
      <c r="B4372" s="0" t="s">
        <v>2042</v>
      </c>
      <c r="C4372" s="0" t="s">
        <v>2359</v>
      </c>
      <c r="D4372" s="0" t="s">
        <v>2105</v>
      </c>
      <c r="E4372" s="0" t="s">
        <v>2045</v>
      </c>
      <c r="F4372" s="0" t="s">
        <v>2163</v>
      </c>
      <c r="G4372" s="0" t="s">
        <v>2170</v>
      </c>
      <c r="H4372" s="0" t="s">
        <v>2165</v>
      </c>
      <c r="I4372" s="0" t="s">
        <v>2167</v>
      </c>
      <c r="J4372" s="0" t="s">
        <v>2358</v>
      </c>
      <c r="K4372" s="272" t="n">
        <v>1262345.76</v>
      </c>
    </row>
    <row r="4373" customFormat="false" ht="15" hidden="false" customHeight="false" outlineLevel="0" collapsed="false">
      <c r="A4373" s="0" t="s">
        <v>2041</v>
      </c>
      <c r="B4373" s="0" t="s">
        <v>2042</v>
      </c>
      <c r="C4373" s="0" t="s">
        <v>2362</v>
      </c>
      <c r="D4373" s="0" t="s">
        <v>2105</v>
      </c>
      <c r="E4373" s="0" t="s">
        <v>2045</v>
      </c>
      <c r="F4373" s="0" t="s">
        <v>2163</v>
      </c>
      <c r="G4373" s="0" t="s">
        <v>2170</v>
      </c>
      <c r="H4373" s="0" t="s">
        <v>2165</v>
      </c>
      <c r="I4373" s="0" t="s">
        <v>2167</v>
      </c>
      <c r="J4373" s="0" t="s">
        <v>2358</v>
      </c>
      <c r="K4373" s="272" t="n">
        <v>233735.1</v>
      </c>
    </row>
    <row r="4374" customFormat="false" ht="15" hidden="false" customHeight="false" outlineLevel="0" collapsed="false">
      <c r="A4374" s="0" t="s">
        <v>2041</v>
      </c>
      <c r="B4374" s="0" t="s">
        <v>2042</v>
      </c>
      <c r="C4374" s="0" t="s">
        <v>2361</v>
      </c>
      <c r="D4374" s="0" t="s">
        <v>2105</v>
      </c>
      <c r="E4374" s="0" t="s">
        <v>2045</v>
      </c>
      <c r="F4374" s="0" t="s">
        <v>2163</v>
      </c>
      <c r="G4374" s="0" t="s">
        <v>2170</v>
      </c>
      <c r="H4374" s="0" t="s">
        <v>2165</v>
      </c>
      <c r="I4374" s="0" t="s">
        <v>2167</v>
      </c>
      <c r="J4374" s="0" t="s">
        <v>2358</v>
      </c>
      <c r="K4374" s="272" t="n">
        <v>216942.84</v>
      </c>
    </row>
    <row r="4375" customFormat="false" ht="15" hidden="false" customHeight="false" outlineLevel="0" collapsed="false">
      <c r="A4375" s="0" t="s">
        <v>2041</v>
      </c>
      <c r="B4375" s="0" t="s">
        <v>2042</v>
      </c>
      <c r="C4375" s="0" t="s">
        <v>2156</v>
      </c>
      <c r="D4375" s="0" t="s">
        <v>2105</v>
      </c>
      <c r="E4375" s="0" t="s">
        <v>2045</v>
      </c>
      <c r="F4375" s="0" t="s">
        <v>2163</v>
      </c>
      <c r="G4375" s="0" t="s">
        <v>2170</v>
      </c>
      <c r="H4375" s="0" t="s">
        <v>2165</v>
      </c>
      <c r="I4375" s="0" t="s">
        <v>2167</v>
      </c>
      <c r="J4375" s="0" t="s">
        <v>2358</v>
      </c>
      <c r="K4375" s="272" t="n">
        <v>36310538</v>
      </c>
    </row>
    <row r="4376" customFormat="false" ht="15" hidden="false" customHeight="false" outlineLevel="0" collapsed="false">
      <c r="A4376" s="0" t="s">
        <v>2041</v>
      </c>
      <c r="B4376" s="0" t="s">
        <v>2042</v>
      </c>
      <c r="C4376" s="0" t="s">
        <v>2360</v>
      </c>
      <c r="D4376" s="0" t="s">
        <v>2105</v>
      </c>
      <c r="E4376" s="0" t="s">
        <v>2045</v>
      </c>
      <c r="F4376" s="0" t="s">
        <v>2163</v>
      </c>
      <c r="G4376" s="0" t="s">
        <v>2170</v>
      </c>
      <c r="H4376" s="0" t="s">
        <v>2165</v>
      </c>
      <c r="I4376" s="0" t="s">
        <v>2167</v>
      </c>
      <c r="J4376" s="0" t="s">
        <v>2358</v>
      </c>
      <c r="K4376" s="272" t="n">
        <v>7122</v>
      </c>
    </row>
    <row r="4377" customFormat="false" ht="15" hidden="false" customHeight="false" outlineLevel="0" collapsed="false">
      <c r="A4377" s="0" t="s">
        <v>2041</v>
      </c>
      <c r="B4377" s="0" t="s">
        <v>2042</v>
      </c>
      <c r="C4377" s="0" t="s">
        <v>2161</v>
      </c>
      <c r="D4377" s="0" t="s">
        <v>2105</v>
      </c>
      <c r="E4377" s="0" t="s">
        <v>2045</v>
      </c>
      <c r="F4377" s="0" t="s">
        <v>2163</v>
      </c>
      <c r="G4377" s="0" t="s">
        <v>2170</v>
      </c>
      <c r="H4377" s="0" t="s">
        <v>2165</v>
      </c>
      <c r="I4377" s="0" t="s">
        <v>2167</v>
      </c>
      <c r="J4377" s="0" t="s">
        <v>2358</v>
      </c>
      <c r="K4377" s="272" t="n">
        <v>9760535.47</v>
      </c>
    </row>
    <row r="4378" customFormat="false" ht="15" hidden="false" customHeight="false" outlineLevel="0" collapsed="false">
      <c r="A4378" s="0" t="s">
        <v>2041</v>
      </c>
      <c r="B4378" s="0" t="s">
        <v>2042</v>
      </c>
      <c r="C4378" s="0" t="s">
        <v>2349</v>
      </c>
      <c r="D4378" s="0" t="s">
        <v>2105</v>
      </c>
      <c r="E4378" s="0" t="s">
        <v>2045</v>
      </c>
      <c r="F4378" s="0" t="s">
        <v>2163</v>
      </c>
      <c r="G4378" s="0" t="s">
        <v>2170</v>
      </c>
      <c r="H4378" s="0" t="s">
        <v>2165</v>
      </c>
      <c r="I4378" s="0" t="s">
        <v>2167</v>
      </c>
      <c r="J4378" s="0" t="s">
        <v>2358</v>
      </c>
      <c r="K4378" s="272" t="n">
        <v>2452832.55</v>
      </c>
    </row>
    <row r="4379" customFormat="false" ht="15" hidden="false" customHeight="false" outlineLevel="0" collapsed="false">
      <c r="A4379" s="0" t="s">
        <v>2041</v>
      </c>
      <c r="B4379" s="0" t="s">
        <v>2042</v>
      </c>
      <c r="C4379" s="0" t="s">
        <v>2352</v>
      </c>
      <c r="D4379" s="0" t="s">
        <v>2105</v>
      </c>
      <c r="E4379" s="0" t="s">
        <v>2045</v>
      </c>
      <c r="F4379" s="0" t="s">
        <v>2163</v>
      </c>
      <c r="G4379" s="0" t="s">
        <v>2170</v>
      </c>
      <c r="H4379" s="0" t="s">
        <v>2165</v>
      </c>
      <c r="I4379" s="0" t="s">
        <v>2322</v>
      </c>
      <c r="J4379" s="0" t="s">
        <v>2358</v>
      </c>
      <c r="K4379" s="272" t="n">
        <v>12943798.05</v>
      </c>
    </row>
    <row r="4380" customFormat="false" ht="15" hidden="false" customHeight="false" outlineLevel="0" collapsed="false">
      <c r="A4380" s="0" t="s">
        <v>2041</v>
      </c>
      <c r="B4380" s="0" t="s">
        <v>2042</v>
      </c>
      <c r="C4380" s="0" t="s">
        <v>2359</v>
      </c>
      <c r="D4380" s="0" t="s">
        <v>2105</v>
      </c>
      <c r="E4380" s="0" t="s">
        <v>2045</v>
      </c>
      <c r="F4380" s="0" t="s">
        <v>2163</v>
      </c>
      <c r="G4380" s="0" t="s">
        <v>2170</v>
      </c>
      <c r="H4380" s="0" t="s">
        <v>2165</v>
      </c>
      <c r="I4380" s="0" t="s">
        <v>2322</v>
      </c>
      <c r="J4380" s="0" t="s">
        <v>2358</v>
      </c>
      <c r="K4380" s="272" t="n">
        <v>1939458.03</v>
      </c>
    </row>
    <row r="4381" customFormat="false" ht="15" hidden="false" customHeight="false" outlineLevel="0" collapsed="false">
      <c r="A4381" s="0" t="s">
        <v>2041</v>
      </c>
      <c r="B4381" s="0" t="s">
        <v>2042</v>
      </c>
      <c r="C4381" s="0" t="s">
        <v>2362</v>
      </c>
      <c r="D4381" s="0" t="s">
        <v>2105</v>
      </c>
      <c r="E4381" s="0" t="s">
        <v>2045</v>
      </c>
      <c r="F4381" s="0" t="s">
        <v>2163</v>
      </c>
      <c r="G4381" s="0" t="s">
        <v>2170</v>
      </c>
      <c r="H4381" s="0" t="s">
        <v>2165</v>
      </c>
      <c r="I4381" s="0" t="s">
        <v>2322</v>
      </c>
      <c r="J4381" s="0" t="s">
        <v>2358</v>
      </c>
      <c r="K4381" s="272" t="n">
        <v>1577492</v>
      </c>
    </row>
    <row r="4382" customFormat="false" ht="15" hidden="false" customHeight="false" outlineLevel="0" collapsed="false">
      <c r="A4382" s="0" t="s">
        <v>2041</v>
      </c>
      <c r="B4382" s="0" t="s">
        <v>2042</v>
      </c>
      <c r="C4382" s="0" t="s">
        <v>2361</v>
      </c>
      <c r="D4382" s="0" t="s">
        <v>2105</v>
      </c>
      <c r="E4382" s="0" t="s">
        <v>2045</v>
      </c>
      <c r="F4382" s="0" t="s">
        <v>2163</v>
      </c>
      <c r="G4382" s="0" t="s">
        <v>2170</v>
      </c>
      <c r="H4382" s="0" t="s">
        <v>2165</v>
      </c>
      <c r="I4382" s="0" t="s">
        <v>2322</v>
      </c>
      <c r="J4382" s="0" t="s">
        <v>2358</v>
      </c>
      <c r="K4382" s="272" t="n">
        <v>435709.07</v>
      </c>
    </row>
    <row r="4383" customFormat="false" ht="15" hidden="false" customHeight="false" outlineLevel="0" collapsed="false">
      <c r="A4383" s="0" t="s">
        <v>2041</v>
      </c>
      <c r="B4383" s="0" t="s">
        <v>2042</v>
      </c>
      <c r="C4383" s="0" t="s">
        <v>2156</v>
      </c>
      <c r="D4383" s="0" t="s">
        <v>2105</v>
      </c>
      <c r="E4383" s="0" t="s">
        <v>2045</v>
      </c>
      <c r="F4383" s="0" t="s">
        <v>2163</v>
      </c>
      <c r="G4383" s="0" t="s">
        <v>2170</v>
      </c>
      <c r="H4383" s="0" t="s">
        <v>2165</v>
      </c>
      <c r="I4383" s="0" t="s">
        <v>2322</v>
      </c>
      <c r="J4383" s="0" t="s">
        <v>2358</v>
      </c>
      <c r="K4383" s="272" t="n">
        <v>59038537</v>
      </c>
    </row>
    <row r="4384" customFormat="false" ht="15" hidden="false" customHeight="false" outlineLevel="0" collapsed="false">
      <c r="A4384" s="0" t="s">
        <v>2041</v>
      </c>
      <c r="B4384" s="0" t="s">
        <v>2042</v>
      </c>
      <c r="C4384" s="0" t="s">
        <v>2360</v>
      </c>
      <c r="D4384" s="0" t="s">
        <v>2105</v>
      </c>
      <c r="E4384" s="0" t="s">
        <v>2045</v>
      </c>
      <c r="F4384" s="0" t="s">
        <v>2163</v>
      </c>
      <c r="G4384" s="0" t="s">
        <v>2170</v>
      </c>
      <c r="H4384" s="0" t="s">
        <v>2165</v>
      </c>
      <c r="I4384" s="0" t="s">
        <v>2322</v>
      </c>
      <c r="J4384" s="0" t="s">
        <v>2358</v>
      </c>
      <c r="K4384" s="272" t="n">
        <v>66308</v>
      </c>
    </row>
    <row r="4385" customFormat="false" ht="15" hidden="false" customHeight="false" outlineLevel="0" collapsed="false">
      <c r="A4385" s="0" t="s">
        <v>2041</v>
      </c>
      <c r="B4385" s="0" t="s">
        <v>2042</v>
      </c>
      <c r="C4385" s="0" t="s">
        <v>2161</v>
      </c>
      <c r="D4385" s="0" t="s">
        <v>2105</v>
      </c>
      <c r="E4385" s="0" t="s">
        <v>2045</v>
      </c>
      <c r="F4385" s="0" t="s">
        <v>2163</v>
      </c>
      <c r="G4385" s="0" t="s">
        <v>2170</v>
      </c>
      <c r="H4385" s="0" t="s">
        <v>2165</v>
      </c>
      <c r="I4385" s="0" t="s">
        <v>2322</v>
      </c>
      <c r="J4385" s="0" t="s">
        <v>2358</v>
      </c>
      <c r="K4385" s="272" t="n">
        <v>15919919.74</v>
      </c>
    </row>
    <row r="4386" customFormat="false" ht="15" hidden="false" customHeight="false" outlineLevel="0" collapsed="false">
      <c r="A4386" s="0" t="s">
        <v>2041</v>
      </c>
      <c r="B4386" s="0" t="s">
        <v>2042</v>
      </c>
      <c r="C4386" s="0" t="s">
        <v>2349</v>
      </c>
      <c r="D4386" s="0" t="s">
        <v>2105</v>
      </c>
      <c r="E4386" s="0" t="s">
        <v>2045</v>
      </c>
      <c r="F4386" s="0" t="s">
        <v>2163</v>
      </c>
      <c r="G4386" s="0" t="s">
        <v>2170</v>
      </c>
      <c r="H4386" s="0" t="s">
        <v>2165</v>
      </c>
      <c r="I4386" s="0" t="s">
        <v>2322</v>
      </c>
      <c r="J4386" s="0" t="s">
        <v>2358</v>
      </c>
      <c r="K4386" s="272" t="n">
        <v>5040015.95</v>
      </c>
    </row>
    <row r="4387" customFormat="false" ht="15" hidden="false" customHeight="false" outlineLevel="0" collapsed="false">
      <c r="A4387" s="0" t="s">
        <v>2041</v>
      </c>
      <c r="B4387" s="0" t="s">
        <v>2042</v>
      </c>
      <c r="C4387" s="0" t="s">
        <v>2347</v>
      </c>
      <c r="D4387" s="0" t="s">
        <v>2105</v>
      </c>
      <c r="E4387" s="0" t="s">
        <v>2045</v>
      </c>
      <c r="F4387" s="0" t="s">
        <v>2163</v>
      </c>
      <c r="G4387" s="0" t="s">
        <v>2170</v>
      </c>
      <c r="H4387" s="0" t="s">
        <v>2165</v>
      </c>
      <c r="I4387" s="0" t="s">
        <v>2322</v>
      </c>
      <c r="J4387" s="0" t="s">
        <v>2358</v>
      </c>
      <c r="K4387" s="272" t="n">
        <v>49147.51</v>
      </c>
    </row>
    <row r="4388" customFormat="false" ht="15" hidden="false" customHeight="false" outlineLevel="0" collapsed="false">
      <c r="A4388" s="0" t="s">
        <v>2041</v>
      </c>
      <c r="B4388" s="0" t="s">
        <v>2042</v>
      </c>
      <c r="C4388" s="0" t="s">
        <v>2352</v>
      </c>
      <c r="D4388" s="0" t="s">
        <v>2105</v>
      </c>
      <c r="E4388" s="0" t="s">
        <v>2045</v>
      </c>
      <c r="F4388" s="0" t="s">
        <v>2163</v>
      </c>
      <c r="G4388" s="0" t="s">
        <v>2170</v>
      </c>
      <c r="H4388" s="0" t="s">
        <v>2171</v>
      </c>
      <c r="I4388" s="0" t="s">
        <v>2322</v>
      </c>
      <c r="J4388" s="0" t="s">
        <v>2358</v>
      </c>
      <c r="K4388" s="272" t="n">
        <v>2642674.94</v>
      </c>
    </row>
    <row r="4389" customFormat="false" ht="15" hidden="false" customHeight="false" outlineLevel="0" collapsed="false">
      <c r="A4389" s="0" t="s">
        <v>2041</v>
      </c>
      <c r="B4389" s="0" t="s">
        <v>2042</v>
      </c>
      <c r="C4389" s="0" t="s">
        <v>2359</v>
      </c>
      <c r="D4389" s="0" t="s">
        <v>2105</v>
      </c>
      <c r="E4389" s="0" t="s">
        <v>2045</v>
      </c>
      <c r="F4389" s="0" t="s">
        <v>2163</v>
      </c>
      <c r="G4389" s="0" t="s">
        <v>2170</v>
      </c>
      <c r="H4389" s="0" t="s">
        <v>2171</v>
      </c>
      <c r="I4389" s="0" t="s">
        <v>2322</v>
      </c>
      <c r="J4389" s="0" t="s">
        <v>2358</v>
      </c>
      <c r="K4389" s="272" t="n">
        <v>621206.45</v>
      </c>
    </row>
    <row r="4390" customFormat="false" ht="15" hidden="false" customHeight="false" outlineLevel="0" collapsed="false">
      <c r="A4390" s="0" t="s">
        <v>2041</v>
      </c>
      <c r="B4390" s="0" t="s">
        <v>2042</v>
      </c>
      <c r="C4390" s="0" t="s">
        <v>2362</v>
      </c>
      <c r="D4390" s="0" t="s">
        <v>2105</v>
      </c>
      <c r="E4390" s="0" t="s">
        <v>2045</v>
      </c>
      <c r="F4390" s="0" t="s">
        <v>2163</v>
      </c>
      <c r="G4390" s="0" t="s">
        <v>2170</v>
      </c>
      <c r="H4390" s="0" t="s">
        <v>2171</v>
      </c>
      <c r="I4390" s="0" t="s">
        <v>2322</v>
      </c>
      <c r="J4390" s="0" t="s">
        <v>2358</v>
      </c>
      <c r="K4390" s="272" t="n">
        <v>838126.52</v>
      </c>
    </row>
    <row r="4391" customFormat="false" ht="15" hidden="false" customHeight="false" outlineLevel="0" collapsed="false">
      <c r="A4391" s="0" t="s">
        <v>2041</v>
      </c>
      <c r="B4391" s="0" t="s">
        <v>2042</v>
      </c>
      <c r="C4391" s="0" t="s">
        <v>2156</v>
      </c>
      <c r="D4391" s="0" t="s">
        <v>2105</v>
      </c>
      <c r="E4391" s="0" t="s">
        <v>2045</v>
      </c>
      <c r="F4391" s="0" t="s">
        <v>2163</v>
      </c>
      <c r="G4391" s="0" t="s">
        <v>2170</v>
      </c>
      <c r="H4391" s="0" t="s">
        <v>2171</v>
      </c>
      <c r="I4391" s="0" t="s">
        <v>2322</v>
      </c>
      <c r="J4391" s="0" t="s">
        <v>2358</v>
      </c>
      <c r="K4391" s="272" t="n">
        <v>20100000</v>
      </c>
    </row>
    <row r="4392" customFormat="false" ht="15" hidden="false" customHeight="false" outlineLevel="0" collapsed="false">
      <c r="A4392" s="0" t="s">
        <v>2041</v>
      </c>
      <c r="B4392" s="0" t="s">
        <v>2042</v>
      </c>
      <c r="C4392" s="0" t="s">
        <v>2360</v>
      </c>
      <c r="D4392" s="0" t="s">
        <v>2105</v>
      </c>
      <c r="E4392" s="0" t="s">
        <v>2045</v>
      </c>
      <c r="F4392" s="0" t="s">
        <v>2163</v>
      </c>
      <c r="G4392" s="0" t="s">
        <v>2170</v>
      </c>
      <c r="H4392" s="0" t="s">
        <v>2171</v>
      </c>
      <c r="I4392" s="0" t="s">
        <v>2322</v>
      </c>
      <c r="J4392" s="0" t="s">
        <v>2358</v>
      </c>
      <c r="K4392" s="272" t="n">
        <v>461</v>
      </c>
    </row>
    <row r="4393" customFormat="false" ht="15" hidden="false" customHeight="false" outlineLevel="0" collapsed="false">
      <c r="A4393" s="0" t="s">
        <v>2041</v>
      </c>
      <c r="B4393" s="0" t="s">
        <v>2042</v>
      </c>
      <c r="C4393" s="0" t="s">
        <v>2161</v>
      </c>
      <c r="D4393" s="0" t="s">
        <v>2105</v>
      </c>
      <c r="E4393" s="0" t="s">
        <v>2045</v>
      </c>
      <c r="F4393" s="0" t="s">
        <v>2163</v>
      </c>
      <c r="G4393" s="0" t="s">
        <v>2170</v>
      </c>
      <c r="H4393" s="0" t="s">
        <v>2171</v>
      </c>
      <c r="I4393" s="0" t="s">
        <v>2322</v>
      </c>
      <c r="J4393" s="0" t="s">
        <v>2358</v>
      </c>
      <c r="K4393" s="272" t="n">
        <v>5774982.92</v>
      </c>
    </row>
    <row r="4394" customFormat="false" ht="15" hidden="false" customHeight="false" outlineLevel="0" collapsed="false">
      <c r="A4394" s="0" t="s">
        <v>2041</v>
      </c>
      <c r="B4394" s="0" t="s">
        <v>2042</v>
      </c>
      <c r="C4394" s="0" t="s">
        <v>2349</v>
      </c>
      <c r="D4394" s="0" t="s">
        <v>2105</v>
      </c>
      <c r="E4394" s="0" t="s">
        <v>2045</v>
      </c>
      <c r="F4394" s="0" t="s">
        <v>2163</v>
      </c>
      <c r="G4394" s="0" t="s">
        <v>2170</v>
      </c>
      <c r="H4394" s="0" t="s">
        <v>2171</v>
      </c>
      <c r="I4394" s="0" t="s">
        <v>2322</v>
      </c>
      <c r="J4394" s="0" t="s">
        <v>2358</v>
      </c>
      <c r="K4394" s="272" t="n">
        <v>1206201.46</v>
      </c>
    </row>
    <row r="4395" customFormat="false" ht="15" hidden="false" customHeight="false" outlineLevel="0" collapsed="false">
      <c r="A4395" s="0" t="s">
        <v>2041</v>
      </c>
      <c r="B4395" s="0" t="s">
        <v>2042</v>
      </c>
      <c r="C4395" s="0" t="s">
        <v>2352</v>
      </c>
      <c r="D4395" s="0" t="s">
        <v>2105</v>
      </c>
      <c r="E4395" s="0" t="s">
        <v>2045</v>
      </c>
      <c r="F4395" s="0" t="s">
        <v>2163</v>
      </c>
      <c r="G4395" s="0" t="s">
        <v>2172</v>
      </c>
      <c r="H4395" s="0" t="s">
        <v>2173</v>
      </c>
      <c r="I4395" s="0" t="s">
        <v>2124</v>
      </c>
      <c r="J4395" s="0" t="s">
        <v>2358</v>
      </c>
      <c r="K4395" s="272" t="n">
        <v>385000</v>
      </c>
    </row>
    <row r="4396" customFormat="false" ht="15" hidden="false" customHeight="false" outlineLevel="0" collapsed="false">
      <c r="A4396" s="0" t="s">
        <v>2041</v>
      </c>
      <c r="B4396" s="0" t="s">
        <v>2042</v>
      </c>
      <c r="C4396" s="0" t="s">
        <v>2156</v>
      </c>
      <c r="D4396" s="0" t="s">
        <v>2105</v>
      </c>
      <c r="E4396" s="0" t="s">
        <v>2045</v>
      </c>
      <c r="F4396" s="0" t="s">
        <v>2163</v>
      </c>
      <c r="G4396" s="0" t="s">
        <v>2172</v>
      </c>
      <c r="H4396" s="0" t="s">
        <v>2173</v>
      </c>
      <c r="I4396" s="0" t="s">
        <v>2124</v>
      </c>
      <c r="J4396" s="0" t="s">
        <v>2358</v>
      </c>
      <c r="K4396" s="272" t="n">
        <v>1000000</v>
      </c>
    </row>
    <row r="4397" customFormat="false" ht="15" hidden="false" customHeight="false" outlineLevel="0" collapsed="false">
      <c r="A4397" s="0" t="s">
        <v>2041</v>
      </c>
      <c r="B4397" s="0" t="s">
        <v>2042</v>
      </c>
      <c r="C4397" s="0" t="s">
        <v>2161</v>
      </c>
      <c r="D4397" s="0" t="s">
        <v>2105</v>
      </c>
      <c r="E4397" s="0" t="s">
        <v>2045</v>
      </c>
      <c r="F4397" s="0" t="s">
        <v>2163</v>
      </c>
      <c r="G4397" s="0" t="s">
        <v>2172</v>
      </c>
      <c r="H4397" s="0" t="s">
        <v>2173</v>
      </c>
      <c r="I4397" s="0" t="s">
        <v>2124</v>
      </c>
      <c r="J4397" s="0" t="s">
        <v>2358</v>
      </c>
      <c r="K4397" s="272" t="n">
        <v>302000</v>
      </c>
    </row>
    <row r="4398" customFormat="false" ht="15" hidden="false" customHeight="false" outlineLevel="0" collapsed="false">
      <c r="A4398" s="0" t="s">
        <v>2041</v>
      </c>
      <c r="B4398" s="0" t="s">
        <v>2042</v>
      </c>
      <c r="C4398" s="0" t="s">
        <v>2349</v>
      </c>
      <c r="D4398" s="0" t="s">
        <v>2105</v>
      </c>
      <c r="E4398" s="0" t="s">
        <v>2045</v>
      </c>
      <c r="F4398" s="0" t="s">
        <v>2163</v>
      </c>
      <c r="G4398" s="0" t="s">
        <v>2172</v>
      </c>
      <c r="H4398" s="0" t="s">
        <v>2173</v>
      </c>
      <c r="I4398" s="0" t="s">
        <v>2124</v>
      </c>
      <c r="J4398" s="0" t="s">
        <v>2358</v>
      </c>
      <c r="K4398" s="272" t="n">
        <v>116270</v>
      </c>
    </row>
    <row r="4399" customFormat="false" ht="15" hidden="false" customHeight="false" outlineLevel="0" collapsed="false">
      <c r="A4399" s="0" t="s">
        <v>2041</v>
      </c>
      <c r="B4399" s="0" t="s">
        <v>2042</v>
      </c>
      <c r="C4399" s="0" t="s">
        <v>2352</v>
      </c>
      <c r="D4399" s="0" t="s">
        <v>2105</v>
      </c>
      <c r="E4399" s="0" t="s">
        <v>2045</v>
      </c>
      <c r="F4399" s="0" t="s">
        <v>2163</v>
      </c>
      <c r="G4399" s="0" t="s">
        <v>2172</v>
      </c>
      <c r="H4399" s="0" t="s">
        <v>2173</v>
      </c>
      <c r="I4399" s="0" t="s">
        <v>2167</v>
      </c>
      <c r="J4399" s="0" t="s">
        <v>2358</v>
      </c>
      <c r="K4399" s="272" t="n">
        <v>451554.1</v>
      </c>
    </row>
    <row r="4400" customFormat="false" ht="15" hidden="false" customHeight="false" outlineLevel="0" collapsed="false">
      <c r="A4400" s="0" t="s">
        <v>2041</v>
      </c>
      <c r="B4400" s="0" t="s">
        <v>2042</v>
      </c>
      <c r="C4400" s="0" t="s">
        <v>2359</v>
      </c>
      <c r="D4400" s="0" t="s">
        <v>2105</v>
      </c>
      <c r="E4400" s="0" t="s">
        <v>2045</v>
      </c>
      <c r="F4400" s="0" t="s">
        <v>2163</v>
      </c>
      <c r="G4400" s="0" t="s">
        <v>2172</v>
      </c>
      <c r="H4400" s="0" t="s">
        <v>2173</v>
      </c>
      <c r="I4400" s="0" t="s">
        <v>2167</v>
      </c>
      <c r="J4400" s="0" t="s">
        <v>2358</v>
      </c>
      <c r="K4400" s="272" t="n">
        <v>14510.82</v>
      </c>
    </row>
    <row r="4401" customFormat="false" ht="15" hidden="false" customHeight="false" outlineLevel="0" collapsed="false">
      <c r="A4401" s="0" t="s">
        <v>2041</v>
      </c>
      <c r="B4401" s="0" t="s">
        <v>2042</v>
      </c>
      <c r="C4401" s="0" t="s">
        <v>2362</v>
      </c>
      <c r="D4401" s="0" t="s">
        <v>2105</v>
      </c>
      <c r="E4401" s="0" t="s">
        <v>2045</v>
      </c>
      <c r="F4401" s="0" t="s">
        <v>2163</v>
      </c>
      <c r="G4401" s="0" t="s">
        <v>2172</v>
      </c>
      <c r="H4401" s="0" t="s">
        <v>2173</v>
      </c>
      <c r="I4401" s="0" t="s">
        <v>2167</v>
      </c>
      <c r="J4401" s="0" t="s">
        <v>2358</v>
      </c>
      <c r="K4401" s="272" t="n">
        <v>71962.66</v>
      </c>
    </row>
    <row r="4402" customFormat="false" ht="15" hidden="false" customHeight="false" outlineLevel="0" collapsed="false">
      <c r="A4402" s="0" t="s">
        <v>2041</v>
      </c>
      <c r="B4402" s="0" t="s">
        <v>2042</v>
      </c>
      <c r="C4402" s="0" t="s">
        <v>2156</v>
      </c>
      <c r="D4402" s="0" t="s">
        <v>2105</v>
      </c>
      <c r="E4402" s="0" t="s">
        <v>2045</v>
      </c>
      <c r="F4402" s="0" t="s">
        <v>2163</v>
      </c>
      <c r="G4402" s="0" t="s">
        <v>2172</v>
      </c>
      <c r="H4402" s="0" t="s">
        <v>2173</v>
      </c>
      <c r="I4402" s="0" t="s">
        <v>2167</v>
      </c>
      <c r="J4402" s="0" t="s">
        <v>2358</v>
      </c>
      <c r="K4402" s="272" t="n">
        <v>2000000</v>
      </c>
    </row>
    <row r="4403" customFormat="false" ht="15" hidden="false" customHeight="false" outlineLevel="0" collapsed="false">
      <c r="A4403" s="0" t="s">
        <v>2041</v>
      </c>
      <c r="B4403" s="0" t="s">
        <v>2042</v>
      </c>
      <c r="C4403" s="0" t="s">
        <v>2161</v>
      </c>
      <c r="D4403" s="0" t="s">
        <v>2105</v>
      </c>
      <c r="E4403" s="0" t="s">
        <v>2045</v>
      </c>
      <c r="F4403" s="0" t="s">
        <v>2163</v>
      </c>
      <c r="G4403" s="0" t="s">
        <v>2172</v>
      </c>
      <c r="H4403" s="0" t="s">
        <v>2173</v>
      </c>
      <c r="I4403" s="0" t="s">
        <v>2167</v>
      </c>
      <c r="J4403" s="0" t="s">
        <v>2358</v>
      </c>
      <c r="K4403" s="272" t="n">
        <v>604000</v>
      </c>
    </row>
    <row r="4404" customFormat="false" ht="15" hidden="false" customHeight="false" outlineLevel="0" collapsed="false">
      <c r="A4404" s="0" t="s">
        <v>2041</v>
      </c>
      <c r="B4404" s="0" t="s">
        <v>2042</v>
      </c>
      <c r="C4404" s="0" t="s">
        <v>2349</v>
      </c>
      <c r="D4404" s="0" t="s">
        <v>2105</v>
      </c>
      <c r="E4404" s="0" t="s">
        <v>2045</v>
      </c>
      <c r="F4404" s="0" t="s">
        <v>2163</v>
      </c>
      <c r="G4404" s="0" t="s">
        <v>2172</v>
      </c>
      <c r="H4404" s="0" t="s">
        <v>2173</v>
      </c>
      <c r="I4404" s="0" t="s">
        <v>2167</v>
      </c>
      <c r="J4404" s="0" t="s">
        <v>2358</v>
      </c>
      <c r="K4404" s="272" t="n">
        <v>162484.33</v>
      </c>
    </row>
    <row r="4405" customFormat="false" ht="15" hidden="false" customHeight="false" outlineLevel="0" collapsed="false">
      <c r="A4405" s="0" t="s">
        <v>2041</v>
      </c>
      <c r="B4405" s="0" t="s">
        <v>2042</v>
      </c>
      <c r="C4405" s="0" t="s">
        <v>2352</v>
      </c>
      <c r="D4405" s="0" t="s">
        <v>2105</v>
      </c>
      <c r="E4405" s="0" t="s">
        <v>2045</v>
      </c>
      <c r="F4405" s="0" t="s">
        <v>2163</v>
      </c>
      <c r="G4405" s="0" t="s">
        <v>2172</v>
      </c>
      <c r="H4405" s="0" t="s">
        <v>2173</v>
      </c>
      <c r="I4405" s="0" t="s">
        <v>2322</v>
      </c>
      <c r="J4405" s="0" t="s">
        <v>2358</v>
      </c>
      <c r="K4405" s="272" t="n">
        <v>9226204.55</v>
      </c>
    </row>
    <row r="4406" customFormat="false" ht="15" hidden="false" customHeight="false" outlineLevel="0" collapsed="false">
      <c r="A4406" s="0" t="s">
        <v>2041</v>
      </c>
      <c r="B4406" s="0" t="s">
        <v>2042</v>
      </c>
      <c r="C4406" s="0" t="s">
        <v>2359</v>
      </c>
      <c r="D4406" s="0" t="s">
        <v>2105</v>
      </c>
      <c r="E4406" s="0" t="s">
        <v>2045</v>
      </c>
      <c r="F4406" s="0" t="s">
        <v>2163</v>
      </c>
      <c r="G4406" s="0" t="s">
        <v>2172</v>
      </c>
      <c r="H4406" s="0" t="s">
        <v>2173</v>
      </c>
      <c r="I4406" s="0" t="s">
        <v>2322</v>
      </c>
      <c r="J4406" s="0" t="s">
        <v>2358</v>
      </c>
      <c r="K4406" s="272" t="n">
        <v>918968.17</v>
      </c>
    </row>
    <row r="4407" customFormat="false" ht="15" hidden="false" customHeight="false" outlineLevel="0" collapsed="false">
      <c r="A4407" s="0" t="s">
        <v>2041</v>
      </c>
      <c r="B4407" s="0" t="s">
        <v>2042</v>
      </c>
      <c r="C4407" s="0" t="s">
        <v>2362</v>
      </c>
      <c r="D4407" s="0" t="s">
        <v>2105</v>
      </c>
      <c r="E4407" s="0" t="s">
        <v>2045</v>
      </c>
      <c r="F4407" s="0" t="s">
        <v>2163</v>
      </c>
      <c r="G4407" s="0" t="s">
        <v>2172</v>
      </c>
      <c r="H4407" s="0" t="s">
        <v>2173</v>
      </c>
      <c r="I4407" s="0" t="s">
        <v>2322</v>
      </c>
      <c r="J4407" s="0" t="s">
        <v>2358</v>
      </c>
      <c r="K4407" s="272" t="n">
        <v>908780.74</v>
      </c>
    </row>
    <row r="4408" customFormat="false" ht="15" hidden="false" customHeight="false" outlineLevel="0" collapsed="false">
      <c r="A4408" s="0" t="s">
        <v>2041</v>
      </c>
      <c r="B4408" s="0" t="s">
        <v>2042</v>
      </c>
      <c r="C4408" s="0" t="s">
        <v>2361</v>
      </c>
      <c r="D4408" s="0" t="s">
        <v>2105</v>
      </c>
      <c r="E4408" s="0" t="s">
        <v>2045</v>
      </c>
      <c r="F4408" s="0" t="s">
        <v>2163</v>
      </c>
      <c r="G4408" s="0" t="s">
        <v>2172</v>
      </c>
      <c r="H4408" s="0" t="s">
        <v>2173</v>
      </c>
      <c r="I4408" s="0" t="s">
        <v>2322</v>
      </c>
      <c r="J4408" s="0" t="s">
        <v>2358</v>
      </c>
      <c r="K4408" s="272" t="n">
        <v>116092.2</v>
      </c>
    </row>
    <row r="4409" customFormat="false" ht="15" hidden="false" customHeight="false" outlineLevel="0" collapsed="false">
      <c r="A4409" s="0" t="s">
        <v>2041</v>
      </c>
      <c r="B4409" s="0" t="s">
        <v>2042</v>
      </c>
      <c r="C4409" s="0" t="s">
        <v>2156</v>
      </c>
      <c r="D4409" s="0" t="s">
        <v>2105</v>
      </c>
      <c r="E4409" s="0" t="s">
        <v>2045</v>
      </c>
      <c r="F4409" s="0" t="s">
        <v>2163</v>
      </c>
      <c r="G4409" s="0" t="s">
        <v>2172</v>
      </c>
      <c r="H4409" s="0" t="s">
        <v>2173</v>
      </c>
      <c r="I4409" s="0" t="s">
        <v>2322</v>
      </c>
      <c r="J4409" s="0" t="s">
        <v>2358</v>
      </c>
      <c r="K4409" s="272" t="n">
        <v>94750000</v>
      </c>
    </row>
    <row r="4410" customFormat="false" ht="15" hidden="false" customHeight="false" outlineLevel="0" collapsed="false">
      <c r="A4410" s="0" t="s">
        <v>2041</v>
      </c>
      <c r="B4410" s="0" t="s">
        <v>2042</v>
      </c>
      <c r="C4410" s="0" t="s">
        <v>2360</v>
      </c>
      <c r="D4410" s="0" t="s">
        <v>2105</v>
      </c>
      <c r="E4410" s="0" t="s">
        <v>2045</v>
      </c>
      <c r="F4410" s="0" t="s">
        <v>2163</v>
      </c>
      <c r="G4410" s="0" t="s">
        <v>2172</v>
      </c>
      <c r="H4410" s="0" t="s">
        <v>2173</v>
      </c>
      <c r="I4410" s="0" t="s">
        <v>2322</v>
      </c>
      <c r="J4410" s="0" t="s">
        <v>2358</v>
      </c>
      <c r="K4410" s="272" t="n">
        <v>3640</v>
      </c>
    </row>
    <row r="4411" customFormat="false" ht="15" hidden="false" customHeight="false" outlineLevel="0" collapsed="false">
      <c r="A4411" s="0" t="s">
        <v>2041</v>
      </c>
      <c r="B4411" s="0" t="s">
        <v>2042</v>
      </c>
      <c r="C4411" s="0" t="s">
        <v>2161</v>
      </c>
      <c r="D4411" s="0" t="s">
        <v>2105</v>
      </c>
      <c r="E4411" s="0" t="s">
        <v>2045</v>
      </c>
      <c r="F4411" s="0" t="s">
        <v>2163</v>
      </c>
      <c r="G4411" s="0" t="s">
        <v>2172</v>
      </c>
      <c r="H4411" s="0" t="s">
        <v>2173</v>
      </c>
      <c r="I4411" s="0" t="s">
        <v>2322</v>
      </c>
      <c r="J4411" s="0" t="s">
        <v>2358</v>
      </c>
      <c r="K4411" s="272" t="n">
        <v>18168205.86</v>
      </c>
    </row>
    <row r="4412" customFormat="false" ht="15" hidden="false" customHeight="false" outlineLevel="0" collapsed="false">
      <c r="A4412" s="0" t="s">
        <v>2041</v>
      </c>
      <c r="B4412" s="0" t="s">
        <v>2042</v>
      </c>
      <c r="C4412" s="0" t="s">
        <v>2349</v>
      </c>
      <c r="D4412" s="0" t="s">
        <v>2105</v>
      </c>
      <c r="E4412" s="0" t="s">
        <v>2045</v>
      </c>
      <c r="F4412" s="0" t="s">
        <v>2163</v>
      </c>
      <c r="G4412" s="0" t="s">
        <v>2172</v>
      </c>
      <c r="H4412" s="0" t="s">
        <v>2173</v>
      </c>
      <c r="I4412" s="0" t="s">
        <v>2322</v>
      </c>
      <c r="J4412" s="0" t="s">
        <v>2358</v>
      </c>
      <c r="K4412" s="272" t="n">
        <v>3295717.71</v>
      </c>
    </row>
    <row r="4413" customFormat="false" ht="15" hidden="false" customHeight="false" outlineLevel="0" collapsed="false">
      <c r="A4413" s="0" t="s">
        <v>2041</v>
      </c>
      <c r="B4413" s="0" t="s">
        <v>2042</v>
      </c>
      <c r="C4413" s="0" t="s">
        <v>2347</v>
      </c>
      <c r="D4413" s="0" t="s">
        <v>2105</v>
      </c>
      <c r="E4413" s="0" t="s">
        <v>2045</v>
      </c>
      <c r="F4413" s="0" t="s">
        <v>2163</v>
      </c>
      <c r="G4413" s="0" t="s">
        <v>2172</v>
      </c>
      <c r="H4413" s="0" t="s">
        <v>2173</v>
      </c>
      <c r="I4413" s="0" t="s">
        <v>2322</v>
      </c>
      <c r="J4413" s="0" t="s">
        <v>2358</v>
      </c>
      <c r="K4413" s="272" t="n">
        <v>85251.47</v>
      </c>
    </row>
    <row r="4414" customFormat="false" ht="15" hidden="false" customHeight="false" outlineLevel="0" collapsed="false">
      <c r="A4414" s="0" t="s">
        <v>2041</v>
      </c>
      <c r="B4414" s="0" t="s">
        <v>2042</v>
      </c>
      <c r="C4414" s="0" t="s">
        <v>2352</v>
      </c>
      <c r="D4414" s="0" t="s">
        <v>2105</v>
      </c>
      <c r="E4414" s="0" t="s">
        <v>2045</v>
      </c>
      <c r="F4414" s="0" t="s">
        <v>2163</v>
      </c>
      <c r="G4414" s="0" t="s">
        <v>2327</v>
      </c>
      <c r="H4414" s="0" t="s">
        <v>2328</v>
      </c>
      <c r="I4414" s="0" t="s">
        <v>2322</v>
      </c>
      <c r="J4414" s="0" t="s">
        <v>2358</v>
      </c>
      <c r="K4414" s="272" t="n">
        <v>10709.52</v>
      </c>
    </row>
    <row r="4415" customFormat="false" ht="15" hidden="false" customHeight="false" outlineLevel="0" collapsed="false">
      <c r="A4415" s="0" t="s">
        <v>2041</v>
      </c>
      <c r="B4415" s="0" t="s">
        <v>2042</v>
      </c>
      <c r="C4415" s="0" t="s">
        <v>2359</v>
      </c>
      <c r="D4415" s="0" t="s">
        <v>2105</v>
      </c>
      <c r="E4415" s="0" t="s">
        <v>2045</v>
      </c>
      <c r="F4415" s="0" t="s">
        <v>2163</v>
      </c>
      <c r="G4415" s="0" t="s">
        <v>2327</v>
      </c>
      <c r="H4415" s="0" t="s">
        <v>2328</v>
      </c>
      <c r="I4415" s="0" t="s">
        <v>2322</v>
      </c>
      <c r="J4415" s="0" t="s">
        <v>2358</v>
      </c>
      <c r="K4415" s="272" t="n">
        <v>187.32</v>
      </c>
    </row>
    <row r="4416" customFormat="false" ht="15" hidden="false" customHeight="false" outlineLevel="0" collapsed="false">
      <c r="A4416" s="0" t="s">
        <v>2041</v>
      </c>
      <c r="B4416" s="0" t="s">
        <v>2042</v>
      </c>
      <c r="C4416" s="0" t="s">
        <v>2156</v>
      </c>
      <c r="D4416" s="0" t="s">
        <v>2105</v>
      </c>
      <c r="E4416" s="0" t="s">
        <v>2045</v>
      </c>
      <c r="F4416" s="0" t="s">
        <v>2163</v>
      </c>
      <c r="G4416" s="0" t="s">
        <v>2327</v>
      </c>
      <c r="H4416" s="0" t="s">
        <v>2328</v>
      </c>
      <c r="I4416" s="0" t="s">
        <v>2322</v>
      </c>
      <c r="J4416" s="0" t="s">
        <v>2358</v>
      </c>
      <c r="K4416" s="272" t="n">
        <v>16024728</v>
      </c>
    </row>
    <row r="4417" customFormat="false" ht="15" hidden="false" customHeight="false" outlineLevel="0" collapsed="false">
      <c r="A4417" s="0" t="s">
        <v>2041</v>
      </c>
      <c r="B4417" s="0" t="s">
        <v>2042</v>
      </c>
      <c r="C4417" s="0" t="s">
        <v>2161</v>
      </c>
      <c r="D4417" s="0" t="s">
        <v>2105</v>
      </c>
      <c r="E4417" s="0" t="s">
        <v>2045</v>
      </c>
      <c r="F4417" s="0" t="s">
        <v>2163</v>
      </c>
      <c r="G4417" s="0" t="s">
        <v>2327</v>
      </c>
      <c r="H4417" s="0" t="s">
        <v>2328</v>
      </c>
      <c r="I4417" s="0" t="s">
        <v>2322</v>
      </c>
      <c r="J4417" s="0" t="s">
        <v>2358</v>
      </c>
      <c r="K4417" s="272" t="n">
        <v>3413310.19</v>
      </c>
    </row>
    <row r="4418" customFormat="false" ht="15" hidden="false" customHeight="false" outlineLevel="0" collapsed="false">
      <c r="A4418" s="0" t="s">
        <v>2041</v>
      </c>
      <c r="B4418" s="0" t="s">
        <v>2042</v>
      </c>
      <c r="C4418" s="0" t="s">
        <v>2349</v>
      </c>
      <c r="D4418" s="0" t="s">
        <v>2105</v>
      </c>
      <c r="E4418" s="0" t="s">
        <v>2045</v>
      </c>
      <c r="F4418" s="0" t="s">
        <v>2163</v>
      </c>
      <c r="G4418" s="0" t="s">
        <v>2327</v>
      </c>
      <c r="H4418" s="0" t="s">
        <v>2328</v>
      </c>
      <c r="I4418" s="0" t="s">
        <v>2322</v>
      </c>
      <c r="J4418" s="0" t="s">
        <v>2358</v>
      </c>
      <c r="K4418" s="272" t="n">
        <v>3290.83999999972</v>
      </c>
    </row>
    <row r="4419" customFormat="false" ht="15" hidden="false" customHeight="false" outlineLevel="0" collapsed="false">
      <c r="A4419" s="0" t="s">
        <v>2041</v>
      </c>
      <c r="B4419" s="0" t="s">
        <v>2042</v>
      </c>
      <c r="C4419" s="0" t="s">
        <v>2352</v>
      </c>
      <c r="D4419" s="0" t="s">
        <v>2105</v>
      </c>
      <c r="E4419" s="0" t="s">
        <v>2045</v>
      </c>
      <c r="F4419" s="0" t="s">
        <v>2163</v>
      </c>
      <c r="G4419" s="0" t="s">
        <v>2174</v>
      </c>
      <c r="H4419" s="0" t="s">
        <v>2175</v>
      </c>
      <c r="I4419" s="0" t="s">
        <v>2167</v>
      </c>
      <c r="J4419" s="0" t="s">
        <v>2358</v>
      </c>
      <c r="K4419" s="272" t="n">
        <v>907439.28</v>
      </c>
    </row>
    <row r="4420" customFormat="false" ht="15" hidden="false" customHeight="false" outlineLevel="0" collapsed="false">
      <c r="A4420" s="0" t="s">
        <v>2041</v>
      </c>
      <c r="B4420" s="0" t="s">
        <v>2042</v>
      </c>
      <c r="C4420" s="0" t="s">
        <v>2359</v>
      </c>
      <c r="D4420" s="0" t="s">
        <v>2105</v>
      </c>
      <c r="E4420" s="0" t="s">
        <v>2045</v>
      </c>
      <c r="F4420" s="0" t="s">
        <v>2163</v>
      </c>
      <c r="G4420" s="0" t="s">
        <v>2174</v>
      </c>
      <c r="H4420" s="0" t="s">
        <v>2175</v>
      </c>
      <c r="I4420" s="0" t="s">
        <v>2167</v>
      </c>
      <c r="J4420" s="0" t="s">
        <v>2358</v>
      </c>
      <c r="K4420" s="272" t="n">
        <v>21981.13</v>
      </c>
    </row>
    <row r="4421" customFormat="false" ht="15" hidden="false" customHeight="false" outlineLevel="0" collapsed="false">
      <c r="A4421" s="0" t="s">
        <v>2041</v>
      </c>
      <c r="B4421" s="0" t="s">
        <v>2042</v>
      </c>
      <c r="C4421" s="0" t="s">
        <v>2362</v>
      </c>
      <c r="D4421" s="0" t="s">
        <v>2105</v>
      </c>
      <c r="E4421" s="0" t="s">
        <v>2045</v>
      </c>
      <c r="F4421" s="0" t="s">
        <v>2163</v>
      </c>
      <c r="G4421" s="0" t="s">
        <v>2174</v>
      </c>
      <c r="H4421" s="0" t="s">
        <v>2175</v>
      </c>
      <c r="I4421" s="0" t="s">
        <v>2167</v>
      </c>
      <c r="J4421" s="0" t="s">
        <v>2358</v>
      </c>
      <c r="K4421" s="272" t="n">
        <v>68749.99</v>
      </c>
    </row>
    <row r="4422" customFormat="false" ht="15" hidden="false" customHeight="false" outlineLevel="0" collapsed="false">
      <c r="A4422" s="0" t="s">
        <v>2041</v>
      </c>
      <c r="B4422" s="0" t="s">
        <v>2042</v>
      </c>
      <c r="C4422" s="0" t="s">
        <v>2156</v>
      </c>
      <c r="D4422" s="0" t="s">
        <v>2105</v>
      </c>
      <c r="E4422" s="0" t="s">
        <v>2045</v>
      </c>
      <c r="F4422" s="0" t="s">
        <v>2163</v>
      </c>
      <c r="G4422" s="0" t="s">
        <v>2174</v>
      </c>
      <c r="H4422" s="0" t="s">
        <v>2175</v>
      </c>
      <c r="I4422" s="0" t="s">
        <v>2167</v>
      </c>
      <c r="J4422" s="0" t="s">
        <v>2358</v>
      </c>
      <c r="K4422" s="272" t="n">
        <v>3150000</v>
      </c>
    </row>
    <row r="4423" customFormat="false" ht="15" hidden="false" customHeight="false" outlineLevel="0" collapsed="false">
      <c r="A4423" s="0" t="s">
        <v>2041</v>
      </c>
      <c r="B4423" s="0" t="s">
        <v>2042</v>
      </c>
      <c r="C4423" s="0" t="s">
        <v>2161</v>
      </c>
      <c r="D4423" s="0" t="s">
        <v>2105</v>
      </c>
      <c r="E4423" s="0" t="s">
        <v>2045</v>
      </c>
      <c r="F4423" s="0" t="s">
        <v>2163</v>
      </c>
      <c r="G4423" s="0" t="s">
        <v>2174</v>
      </c>
      <c r="H4423" s="0" t="s">
        <v>2175</v>
      </c>
      <c r="I4423" s="0" t="s">
        <v>2167</v>
      </c>
      <c r="J4423" s="0" t="s">
        <v>2358</v>
      </c>
      <c r="K4423" s="272" t="n">
        <v>935386.8</v>
      </c>
    </row>
    <row r="4424" customFormat="false" ht="15" hidden="false" customHeight="false" outlineLevel="0" collapsed="false">
      <c r="A4424" s="0" t="s">
        <v>2041</v>
      </c>
      <c r="B4424" s="0" t="s">
        <v>2042</v>
      </c>
      <c r="C4424" s="0" t="s">
        <v>2349</v>
      </c>
      <c r="D4424" s="0" t="s">
        <v>2105</v>
      </c>
      <c r="E4424" s="0" t="s">
        <v>2045</v>
      </c>
      <c r="F4424" s="0" t="s">
        <v>2163</v>
      </c>
      <c r="G4424" s="0" t="s">
        <v>2174</v>
      </c>
      <c r="H4424" s="0" t="s">
        <v>2175</v>
      </c>
      <c r="I4424" s="0" t="s">
        <v>2167</v>
      </c>
      <c r="J4424" s="0" t="s">
        <v>2358</v>
      </c>
      <c r="K4424" s="272" t="n">
        <v>301447.46</v>
      </c>
    </row>
    <row r="4425" customFormat="false" ht="15" hidden="false" customHeight="false" outlineLevel="0" collapsed="false">
      <c r="A4425" s="0" t="s">
        <v>2041</v>
      </c>
      <c r="B4425" s="0" t="s">
        <v>2042</v>
      </c>
      <c r="C4425" s="0" t="s">
        <v>2352</v>
      </c>
      <c r="D4425" s="0" t="s">
        <v>2105</v>
      </c>
      <c r="E4425" s="0" t="s">
        <v>2045</v>
      </c>
      <c r="F4425" s="0" t="s">
        <v>2163</v>
      </c>
      <c r="G4425" s="0" t="s">
        <v>2174</v>
      </c>
      <c r="H4425" s="0" t="s">
        <v>2175</v>
      </c>
      <c r="I4425" s="0" t="s">
        <v>2322</v>
      </c>
      <c r="J4425" s="0" t="s">
        <v>2358</v>
      </c>
      <c r="K4425" s="272" t="n">
        <v>10092648.13</v>
      </c>
    </row>
    <row r="4426" customFormat="false" ht="15" hidden="false" customHeight="false" outlineLevel="0" collapsed="false">
      <c r="A4426" s="0" t="s">
        <v>2041</v>
      </c>
      <c r="B4426" s="0" t="s">
        <v>2042</v>
      </c>
      <c r="C4426" s="0" t="s">
        <v>2359</v>
      </c>
      <c r="D4426" s="0" t="s">
        <v>2105</v>
      </c>
      <c r="E4426" s="0" t="s">
        <v>2045</v>
      </c>
      <c r="F4426" s="0" t="s">
        <v>2163</v>
      </c>
      <c r="G4426" s="0" t="s">
        <v>2174</v>
      </c>
      <c r="H4426" s="0" t="s">
        <v>2175</v>
      </c>
      <c r="I4426" s="0" t="s">
        <v>2322</v>
      </c>
      <c r="J4426" s="0" t="s">
        <v>2358</v>
      </c>
      <c r="K4426" s="272" t="n">
        <v>2486275.64</v>
      </c>
    </row>
    <row r="4427" customFormat="false" ht="15" hidden="false" customHeight="false" outlineLevel="0" collapsed="false">
      <c r="A4427" s="0" t="s">
        <v>2041</v>
      </c>
      <c r="B4427" s="0" t="s">
        <v>2042</v>
      </c>
      <c r="C4427" s="0" t="s">
        <v>2362</v>
      </c>
      <c r="D4427" s="0" t="s">
        <v>2105</v>
      </c>
      <c r="E4427" s="0" t="s">
        <v>2045</v>
      </c>
      <c r="F4427" s="0" t="s">
        <v>2163</v>
      </c>
      <c r="G4427" s="0" t="s">
        <v>2174</v>
      </c>
      <c r="H4427" s="0" t="s">
        <v>2175</v>
      </c>
      <c r="I4427" s="0" t="s">
        <v>2322</v>
      </c>
      <c r="J4427" s="0" t="s">
        <v>2358</v>
      </c>
      <c r="K4427" s="272" t="n">
        <v>1051604.17</v>
      </c>
    </row>
    <row r="4428" customFormat="false" ht="15" hidden="false" customHeight="false" outlineLevel="0" collapsed="false">
      <c r="A4428" s="0" t="s">
        <v>2041</v>
      </c>
      <c r="B4428" s="0" t="s">
        <v>2042</v>
      </c>
      <c r="C4428" s="0" t="s">
        <v>2361</v>
      </c>
      <c r="D4428" s="0" t="s">
        <v>2105</v>
      </c>
      <c r="E4428" s="0" t="s">
        <v>2045</v>
      </c>
      <c r="F4428" s="0" t="s">
        <v>2163</v>
      </c>
      <c r="G4428" s="0" t="s">
        <v>2174</v>
      </c>
      <c r="H4428" s="0" t="s">
        <v>2175</v>
      </c>
      <c r="I4428" s="0" t="s">
        <v>2322</v>
      </c>
      <c r="J4428" s="0" t="s">
        <v>2358</v>
      </c>
      <c r="K4428" s="272" t="n">
        <v>2517.63</v>
      </c>
    </row>
    <row r="4429" customFormat="false" ht="15" hidden="false" customHeight="false" outlineLevel="0" collapsed="false">
      <c r="A4429" s="0" t="s">
        <v>2041</v>
      </c>
      <c r="B4429" s="0" t="s">
        <v>2042</v>
      </c>
      <c r="C4429" s="0" t="s">
        <v>2156</v>
      </c>
      <c r="D4429" s="0" t="s">
        <v>2105</v>
      </c>
      <c r="E4429" s="0" t="s">
        <v>2045</v>
      </c>
      <c r="F4429" s="0" t="s">
        <v>2163</v>
      </c>
      <c r="G4429" s="0" t="s">
        <v>2174</v>
      </c>
      <c r="H4429" s="0" t="s">
        <v>2175</v>
      </c>
      <c r="I4429" s="0" t="s">
        <v>2322</v>
      </c>
      <c r="J4429" s="0" t="s">
        <v>2358</v>
      </c>
      <c r="K4429" s="272" t="n">
        <v>57900000</v>
      </c>
    </row>
    <row r="4430" customFormat="false" ht="15" hidden="false" customHeight="false" outlineLevel="0" collapsed="false">
      <c r="A4430" s="0" t="s">
        <v>2041</v>
      </c>
      <c r="B4430" s="0" t="s">
        <v>2042</v>
      </c>
      <c r="C4430" s="0" t="s">
        <v>2360</v>
      </c>
      <c r="D4430" s="0" t="s">
        <v>2105</v>
      </c>
      <c r="E4430" s="0" t="s">
        <v>2045</v>
      </c>
      <c r="F4430" s="0" t="s">
        <v>2163</v>
      </c>
      <c r="G4430" s="0" t="s">
        <v>2174</v>
      </c>
      <c r="H4430" s="0" t="s">
        <v>2175</v>
      </c>
      <c r="I4430" s="0" t="s">
        <v>2322</v>
      </c>
      <c r="J4430" s="0" t="s">
        <v>2358</v>
      </c>
      <c r="K4430" s="272" t="n">
        <v>703</v>
      </c>
    </row>
    <row r="4431" customFormat="false" ht="15" hidden="false" customHeight="false" outlineLevel="0" collapsed="false">
      <c r="A4431" s="0" t="s">
        <v>2041</v>
      </c>
      <c r="B4431" s="0" t="s">
        <v>2042</v>
      </c>
      <c r="C4431" s="0" t="s">
        <v>2161</v>
      </c>
      <c r="D4431" s="0" t="s">
        <v>2105</v>
      </c>
      <c r="E4431" s="0" t="s">
        <v>2045</v>
      </c>
      <c r="F4431" s="0" t="s">
        <v>2163</v>
      </c>
      <c r="G4431" s="0" t="s">
        <v>2174</v>
      </c>
      <c r="H4431" s="0" t="s">
        <v>2175</v>
      </c>
      <c r="I4431" s="0" t="s">
        <v>2322</v>
      </c>
      <c r="J4431" s="0" t="s">
        <v>2358</v>
      </c>
      <c r="K4431" s="272" t="n">
        <v>13428502.49</v>
      </c>
    </row>
    <row r="4432" customFormat="false" ht="15" hidden="false" customHeight="false" outlineLevel="0" collapsed="false">
      <c r="A4432" s="0" t="s">
        <v>2041</v>
      </c>
      <c r="B4432" s="0" t="s">
        <v>2042</v>
      </c>
      <c r="C4432" s="0" t="s">
        <v>2349</v>
      </c>
      <c r="D4432" s="0" t="s">
        <v>2105</v>
      </c>
      <c r="E4432" s="0" t="s">
        <v>2045</v>
      </c>
      <c r="F4432" s="0" t="s">
        <v>2163</v>
      </c>
      <c r="G4432" s="0" t="s">
        <v>2174</v>
      </c>
      <c r="H4432" s="0" t="s">
        <v>2175</v>
      </c>
      <c r="I4432" s="0" t="s">
        <v>2322</v>
      </c>
      <c r="J4432" s="0" t="s">
        <v>2358</v>
      </c>
      <c r="K4432" s="272" t="n">
        <v>3941771.63</v>
      </c>
    </row>
    <row r="4433" customFormat="false" ht="15" hidden="false" customHeight="false" outlineLevel="0" collapsed="false">
      <c r="A4433" s="0" t="s">
        <v>2041</v>
      </c>
      <c r="B4433" s="0" t="s">
        <v>2042</v>
      </c>
      <c r="C4433" s="0" t="s">
        <v>2347</v>
      </c>
      <c r="D4433" s="0" t="s">
        <v>2105</v>
      </c>
      <c r="E4433" s="0" t="s">
        <v>2045</v>
      </c>
      <c r="F4433" s="0" t="s">
        <v>2163</v>
      </c>
      <c r="G4433" s="0" t="s">
        <v>2174</v>
      </c>
      <c r="H4433" s="0" t="s">
        <v>2175</v>
      </c>
      <c r="I4433" s="0" t="s">
        <v>2322</v>
      </c>
      <c r="J4433" s="0" t="s">
        <v>2358</v>
      </c>
      <c r="K4433" s="272" t="n">
        <v>197365.3</v>
      </c>
    </row>
    <row r="4434" customFormat="false" ht="15" hidden="false" customHeight="false" outlineLevel="0" collapsed="false">
      <c r="A4434" s="0" t="s">
        <v>2041</v>
      </c>
      <c r="B4434" s="0" t="s">
        <v>2042</v>
      </c>
      <c r="C4434" s="0" t="s">
        <v>2352</v>
      </c>
      <c r="D4434" s="0" t="s">
        <v>2105</v>
      </c>
      <c r="E4434" s="0" t="s">
        <v>2045</v>
      </c>
      <c r="F4434" s="0" t="s">
        <v>2176</v>
      </c>
      <c r="G4434" s="0" t="s">
        <v>2177</v>
      </c>
      <c r="H4434" s="0" t="s">
        <v>2178</v>
      </c>
      <c r="I4434" s="0" t="s">
        <v>2124</v>
      </c>
      <c r="J4434" s="0" t="s">
        <v>2358</v>
      </c>
      <c r="K4434" s="272" t="n">
        <v>265750</v>
      </c>
    </row>
    <row r="4435" customFormat="false" ht="15" hidden="false" customHeight="false" outlineLevel="0" collapsed="false">
      <c r="A4435" s="0" t="s">
        <v>2041</v>
      </c>
      <c r="B4435" s="0" t="s">
        <v>2042</v>
      </c>
      <c r="C4435" s="0" t="s">
        <v>2349</v>
      </c>
      <c r="D4435" s="0" t="s">
        <v>2105</v>
      </c>
      <c r="E4435" s="0" t="s">
        <v>2045</v>
      </c>
      <c r="F4435" s="0" t="s">
        <v>2176</v>
      </c>
      <c r="G4435" s="0" t="s">
        <v>2177</v>
      </c>
      <c r="H4435" s="0" t="s">
        <v>2178</v>
      </c>
      <c r="I4435" s="0" t="s">
        <v>2124</v>
      </c>
      <c r="J4435" s="0" t="s">
        <v>2358</v>
      </c>
      <c r="K4435" s="272" t="n">
        <v>80256.5</v>
      </c>
    </row>
    <row r="4436" customFormat="false" ht="15" hidden="false" customHeight="false" outlineLevel="0" collapsed="false">
      <c r="A4436" s="0" t="s">
        <v>2041</v>
      </c>
      <c r="B4436" s="0" t="s">
        <v>2042</v>
      </c>
      <c r="C4436" s="0" t="s">
        <v>2352</v>
      </c>
      <c r="D4436" s="0" t="s">
        <v>2105</v>
      </c>
      <c r="E4436" s="0" t="s">
        <v>2045</v>
      </c>
      <c r="F4436" s="0" t="s">
        <v>2176</v>
      </c>
      <c r="G4436" s="0" t="s">
        <v>2177</v>
      </c>
      <c r="H4436" s="0" t="s">
        <v>2178</v>
      </c>
      <c r="I4436" s="0" t="s">
        <v>2167</v>
      </c>
      <c r="J4436" s="0" t="s">
        <v>2358</v>
      </c>
      <c r="K4436" s="272" t="n">
        <v>1479226.2</v>
      </c>
    </row>
    <row r="4437" customFormat="false" ht="15" hidden="false" customHeight="false" outlineLevel="0" collapsed="false">
      <c r="A4437" s="0" t="s">
        <v>2041</v>
      </c>
      <c r="B4437" s="0" t="s">
        <v>2042</v>
      </c>
      <c r="C4437" s="0" t="s">
        <v>2359</v>
      </c>
      <c r="D4437" s="0" t="s">
        <v>2105</v>
      </c>
      <c r="E4437" s="0" t="s">
        <v>2045</v>
      </c>
      <c r="F4437" s="0" t="s">
        <v>2176</v>
      </c>
      <c r="G4437" s="0" t="s">
        <v>2177</v>
      </c>
      <c r="H4437" s="0" t="s">
        <v>2178</v>
      </c>
      <c r="I4437" s="0" t="s">
        <v>2167</v>
      </c>
      <c r="J4437" s="0" t="s">
        <v>2358</v>
      </c>
      <c r="K4437" s="272" t="n">
        <v>130940.34</v>
      </c>
    </row>
    <row r="4438" customFormat="false" ht="15" hidden="false" customHeight="false" outlineLevel="0" collapsed="false">
      <c r="A4438" s="0" t="s">
        <v>2041</v>
      </c>
      <c r="B4438" s="0" t="s">
        <v>2042</v>
      </c>
      <c r="C4438" s="0" t="s">
        <v>2349</v>
      </c>
      <c r="D4438" s="0" t="s">
        <v>2105</v>
      </c>
      <c r="E4438" s="0" t="s">
        <v>2045</v>
      </c>
      <c r="F4438" s="0" t="s">
        <v>2176</v>
      </c>
      <c r="G4438" s="0" t="s">
        <v>2177</v>
      </c>
      <c r="H4438" s="0" t="s">
        <v>2178</v>
      </c>
      <c r="I4438" s="0" t="s">
        <v>2167</v>
      </c>
      <c r="J4438" s="0" t="s">
        <v>2358</v>
      </c>
      <c r="K4438" s="272" t="n">
        <v>486270.3</v>
      </c>
    </row>
    <row r="4439" customFormat="false" ht="15" hidden="false" customHeight="false" outlineLevel="0" collapsed="false">
      <c r="A4439" s="0" t="s">
        <v>2041</v>
      </c>
      <c r="B4439" s="0" t="s">
        <v>2042</v>
      </c>
      <c r="C4439" s="0" t="s">
        <v>2352</v>
      </c>
      <c r="D4439" s="0" t="s">
        <v>2105</v>
      </c>
      <c r="E4439" s="0" t="s">
        <v>2045</v>
      </c>
      <c r="F4439" s="0" t="s">
        <v>2176</v>
      </c>
      <c r="G4439" s="0" t="s">
        <v>2177</v>
      </c>
      <c r="H4439" s="0" t="s">
        <v>2178</v>
      </c>
      <c r="I4439" s="0" t="s">
        <v>2322</v>
      </c>
      <c r="J4439" s="0" t="s">
        <v>2358</v>
      </c>
      <c r="K4439" s="272" t="n">
        <v>1473000</v>
      </c>
    </row>
    <row r="4440" customFormat="false" ht="15" hidden="false" customHeight="false" outlineLevel="0" collapsed="false">
      <c r="A4440" s="0" t="s">
        <v>2041</v>
      </c>
      <c r="B4440" s="0" t="s">
        <v>2042</v>
      </c>
      <c r="C4440" s="0" t="s">
        <v>2349</v>
      </c>
      <c r="D4440" s="0" t="s">
        <v>2105</v>
      </c>
      <c r="E4440" s="0" t="s">
        <v>2045</v>
      </c>
      <c r="F4440" s="0" t="s">
        <v>2176</v>
      </c>
      <c r="G4440" s="0" t="s">
        <v>2177</v>
      </c>
      <c r="H4440" s="0" t="s">
        <v>2178</v>
      </c>
      <c r="I4440" s="0" t="s">
        <v>2322</v>
      </c>
      <c r="J4440" s="0" t="s">
        <v>2358</v>
      </c>
      <c r="K4440" s="272" t="n">
        <v>444846</v>
      </c>
    </row>
    <row r="4441" customFormat="false" ht="15" hidden="false" customHeight="false" outlineLevel="0" collapsed="false">
      <c r="A4441" s="0" t="s">
        <v>2041</v>
      </c>
      <c r="B4441" s="0" t="s">
        <v>2042</v>
      </c>
      <c r="C4441" s="0" t="s">
        <v>2352</v>
      </c>
      <c r="D4441" s="0" t="s">
        <v>2105</v>
      </c>
      <c r="E4441" s="0" t="s">
        <v>2045</v>
      </c>
      <c r="F4441" s="0" t="s">
        <v>2176</v>
      </c>
      <c r="G4441" s="0" t="s">
        <v>2177</v>
      </c>
      <c r="H4441" s="0" t="s">
        <v>2187</v>
      </c>
      <c r="I4441" s="0" t="s">
        <v>2322</v>
      </c>
      <c r="J4441" s="0" t="s">
        <v>2358</v>
      </c>
      <c r="K4441" s="272" t="n">
        <v>13809.52</v>
      </c>
    </row>
    <row r="4442" customFormat="false" ht="15" hidden="false" customHeight="false" outlineLevel="0" collapsed="false">
      <c r="A4442" s="0" t="s">
        <v>2041</v>
      </c>
      <c r="B4442" s="0" t="s">
        <v>2042</v>
      </c>
      <c r="C4442" s="0" t="s">
        <v>2359</v>
      </c>
      <c r="D4442" s="0" t="s">
        <v>2105</v>
      </c>
      <c r="E4442" s="0" t="s">
        <v>2045</v>
      </c>
      <c r="F4442" s="0" t="s">
        <v>2176</v>
      </c>
      <c r="G4442" s="0" t="s">
        <v>2177</v>
      </c>
      <c r="H4442" s="0" t="s">
        <v>2187</v>
      </c>
      <c r="I4442" s="0" t="s">
        <v>2322</v>
      </c>
      <c r="J4442" s="0" t="s">
        <v>2358</v>
      </c>
      <c r="K4442" s="272" t="n">
        <v>338.36</v>
      </c>
    </row>
    <row r="4443" customFormat="false" ht="15" hidden="false" customHeight="false" outlineLevel="0" collapsed="false">
      <c r="A4443" s="0" t="s">
        <v>2041</v>
      </c>
      <c r="B4443" s="0" t="s">
        <v>2042</v>
      </c>
      <c r="C4443" s="0" t="s">
        <v>2361</v>
      </c>
      <c r="D4443" s="0" t="s">
        <v>2105</v>
      </c>
      <c r="E4443" s="0" t="s">
        <v>2045</v>
      </c>
      <c r="F4443" s="0" t="s">
        <v>2176</v>
      </c>
      <c r="G4443" s="0" t="s">
        <v>2177</v>
      </c>
      <c r="H4443" s="0" t="s">
        <v>2187</v>
      </c>
      <c r="I4443" s="0" t="s">
        <v>2322</v>
      </c>
      <c r="J4443" s="0" t="s">
        <v>2358</v>
      </c>
      <c r="K4443" s="272" t="n">
        <v>2.1</v>
      </c>
    </row>
    <row r="4444" customFormat="false" ht="15" hidden="false" customHeight="false" outlineLevel="0" collapsed="false">
      <c r="A4444" s="0" t="s">
        <v>2041</v>
      </c>
      <c r="B4444" s="0" t="s">
        <v>2042</v>
      </c>
      <c r="C4444" s="0" t="s">
        <v>2349</v>
      </c>
      <c r="D4444" s="0" t="s">
        <v>2105</v>
      </c>
      <c r="E4444" s="0" t="s">
        <v>2045</v>
      </c>
      <c r="F4444" s="0" t="s">
        <v>2176</v>
      </c>
      <c r="G4444" s="0" t="s">
        <v>2177</v>
      </c>
      <c r="H4444" s="0" t="s">
        <v>2187</v>
      </c>
      <c r="I4444" s="0" t="s">
        <v>2322</v>
      </c>
      <c r="J4444" s="0" t="s">
        <v>2358</v>
      </c>
      <c r="K4444" s="272" t="n">
        <v>4273.3</v>
      </c>
    </row>
    <row r="4445" customFormat="false" ht="15" hidden="false" customHeight="false" outlineLevel="0" collapsed="false">
      <c r="A4445" s="0" t="s">
        <v>2041</v>
      </c>
      <c r="B4445" s="0" t="s">
        <v>2042</v>
      </c>
      <c r="C4445" s="0" t="s">
        <v>2352</v>
      </c>
      <c r="D4445" s="0" t="s">
        <v>2105</v>
      </c>
      <c r="E4445" s="0" t="s">
        <v>2045</v>
      </c>
      <c r="F4445" s="0" t="s">
        <v>2176</v>
      </c>
      <c r="G4445" s="0" t="s">
        <v>2177</v>
      </c>
      <c r="H4445" s="0" t="s">
        <v>2179</v>
      </c>
      <c r="I4445" s="0" t="s">
        <v>2322</v>
      </c>
      <c r="J4445" s="0" t="s">
        <v>2358</v>
      </c>
      <c r="K4445" s="272" t="n">
        <v>922857.14</v>
      </c>
    </row>
    <row r="4446" customFormat="false" ht="15" hidden="false" customHeight="false" outlineLevel="0" collapsed="false">
      <c r="A4446" s="0" t="s">
        <v>2041</v>
      </c>
      <c r="B4446" s="0" t="s">
        <v>2042</v>
      </c>
      <c r="C4446" s="0" t="s">
        <v>2359</v>
      </c>
      <c r="D4446" s="0" t="s">
        <v>2105</v>
      </c>
      <c r="E4446" s="0" t="s">
        <v>2045</v>
      </c>
      <c r="F4446" s="0" t="s">
        <v>2176</v>
      </c>
      <c r="G4446" s="0" t="s">
        <v>2177</v>
      </c>
      <c r="H4446" s="0" t="s">
        <v>2179</v>
      </c>
      <c r="I4446" s="0" t="s">
        <v>2322</v>
      </c>
      <c r="J4446" s="0" t="s">
        <v>2358</v>
      </c>
      <c r="K4446" s="272" t="n">
        <v>55671.41</v>
      </c>
    </row>
    <row r="4447" customFormat="false" ht="15" hidden="false" customHeight="false" outlineLevel="0" collapsed="false">
      <c r="A4447" s="0" t="s">
        <v>2041</v>
      </c>
      <c r="B4447" s="0" t="s">
        <v>2042</v>
      </c>
      <c r="C4447" s="0" t="s">
        <v>2361</v>
      </c>
      <c r="D4447" s="0" t="s">
        <v>2105</v>
      </c>
      <c r="E4447" s="0" t="s">
        <v>2045</v>
      </c>
      <c r="F4447" s="0" t="s">
        <v>2176</v>
      </c>
      <c r="G4447" s="0" t="s">
        <v>2177</v>
      </c>
      <c r="H4447" s="0" t="s">
        <v>2179</v>
      </c>
      <c r="I4447" s="0" t="s">
        <v>2322</v>
      </c>
      <c r="J4447" s="0" t="s">
        <v>2358</v>
      </c>
      <c r="K4447" s="272" t="n">
        <v>195612.3</v>
      </c>
    </row>
    <row r="4448" customFormat="false" ht="15" hidden="false" customHeight="false" outlineLevel="0" collapsed="false">
      <c r="A4448" s="0" t="s">
        <v>2041</v>
      </c>
      <c r="B4448" s="0" t="s">
        <v>2042</v>
      </c>
      <c r="C4448" s="0" t="s">
        <v>2156</v>
      </c>
      <c r="D4448" s="0" t="s">
        <v>2105</v>
      </c>
      <c r="E4448" s="0" t="s">
        <v>2045</v>
      </c>
      <c r="F4448" s="0" t="s">
        <v>2176</v>
      </c>
      <c r="G4448" s="0" t="s">
        <v>2177</v>
      </c>
      <c r="H4448" s="0" t="s">
        <v>2179</v>
      </c>
      <c r="I4448" s="0" t="s">
        <v>2322</v>
      </c>
      <c r="J4448" s="0" t="s">
        <v>2358</v>
      </c>
      <c r="K4448" s="272" t="n">
        <v>20000000</v>
      </c>
    </row>
    <row r="4449" customFormat="false" ht="15" hidden="false" customHeight="false" outlineLevel="0" collapsed="false">
      <c r="A4449" s="0" t="s">
        <v>2041</v>
      </c>
      <c r="B4449" s="0" t="s">
        <v>2042</v>
      </c>
      <c r="C4449" s="0" t="s">
        <v>2161</v>
      </c>
      <c r="D4449" s="0" t="s">
        <v>2105</v>
      </c>
      <c r="E4449" s="0" t="s">
        <v>2045</v>
      </c>
      <c r="F4449" s="0" t="s">
        <v>2176</v>
      </c>
      <c r="G4449" s="0" t="s">
        <v>2177</v>
      </c>
      <c r="H4449" s="0" t="s">
        <v>2179</v>
      </c>
      <c r="I4449" s="0" t="s">
        <v>2322</v>
      </c>
      <c r="J4449" s="0" t="s">
        <v>2358</v>
      </c>
      <c r="K4449" s="272" t="n">
        <v>3060000</v>
      </c>
    </row>
    <row r="4450" customFormat="false" ht="15" hidden="false" customHeight="false" outlineLevel="0" collapsed="false">
      <c r="A4450" s="0" t="s">
        <v>2041</v>
      </c>
      <c r="B4450" s="0" t="s">
        <v>2042</v>
      </c>
      <c r="C4450" s="0" t="s">
        <v>2349</v>
      </c>
      <c r="D4450" s="0" t="s">
        <v>2105</v>
      </c>
      <c r="E4450" s="0" t="s">
        <v>2045</v>
      </c>
      <c r="F4450" s="0" t="s">
        <v>2176</v>
      </c>
      <c r="G4450" s="0" t="s">
        <v>2177</v>
      </c>
      <c r="H4450" s="0" t="s">
        <v>2179</v>
      </c>
      <c r="I4450" s="0" t="s">
        <v>2322</v>
      </c>
      <c r="J4450" s="0" t="s">
        <v>2358</v>
      </c>
      <c r="K4450" s="272" t="n">
        <v>315587.2</v>
      </c>
    </row>
    <row r="4451" customFormat="false" ht="15" hidden="false" customHeight="false" outlineLevel="0" collapsed="false">
      <c r="A4451" s="0" t="s">
        <v>2041</v>
      </c>
      <c r="B4451" s="0" t="s">
        <v>2042</v>
      </c>
      <c r="C4451" s="0" t="s">
        <v>2352</v>
      </c>
      <c r="D4451" s="0" t="s">
        <v>2105</v>
      </c>
      <c r="E4451" s="0" t="s">
        <v>2045</v>
      </c>
      <c r="F4451" s="0" t="s">
        <v>2176</v>
      </c>
      <c r="G4451" s="0" t="s">
        <v>2177</v>
      </c>
      <c r="H4451" s="0" t="s">
        <v>2180</v>
      </c>
      <c r="I4451" s="0" t="s">
        <v>2322</v>
      </c>
      <c r="J4451" s="0" t="s">
        <v>2358</v>
      </c>
      <c r="K4451" s="272" t="n">
        <v>1621904.76</v>
      </c>
    </row>
    <row r="4452" customFormat="false" ht="15" hidden="false" customHeight="false" outlineLevel="0" collapsed="false">
      <c r="A4452" s="0" t="s">
        <v>2041</v>
      </c>
      <c r="B4452" s="0" t="s">
        <v>2042</v>
      </c>
      <c r="C4452" s="0" t="s">
        <v>2359</v>
      </c>
      <c r="D4452" s="0" t="s">
        <v>2105</v>
      </c>
      <c r="E4452" s="0" t="s">
        <v>2045</v>
      </c>
      <c r="F4452" s="0" t="s">
        <v>2176</v>
      </c>
      <c r="G4452" s="0" t="s">
        <v>2177</v>
      </c>
      <c r="H4452" s="0" t="s">
        <v>2180</v>
      </c>
      <c r="I4452" s="0" t="s">
        <v>2322</v>
      </c>
      <c r="J4452" s="0" t="s">
        <v>2358</v>
      </c>
      <c r="K4452" s="272" t="n">
        <v>57894.45</v>
      </c>
    </row>
    <row r="4453" customFormat="false" ht="15" hidden="false" customHeight="false" outlineLevel="0" collapsed="false">
      <c r="A4453" s="0" t="s">
        <v>2041</v>
      </c>
      <c r="B4453" s="0" t="s">
        <v>2042</v>
      </c>
      <c r="C4453" s="0" t="s">
        <v>2349</v>
      </c>
      <c r="D4453" s="0" t="s">
        <v>2105</v>
      </c>
      <c r="E4453" s="0" t="s">
        <v>2045</v>
      </c>
      <c r="F4453" s="0" t="s">
        <v>2176</v>
      </c>
      <c r="G4453" s="0" t="s">
        <v>2177</v>
      </c>
      <c r="H4453" s="0" t="s">
        <v>2180</v>
      </c>
      <c r="I4453" s="0" t="s">
        <v>2322</v>
      </c>
      <c r="J4453" s="0" t="s">
        <v>2358</v>
      </c>
      <c r="K4453" s="272" t="n">
        <v>507299.37</v>
      </c>
    </row>
    <row r="4454" customFormat="false" ht="15" hidden="false" customHeight="false" outlineLevel="0" collapsed="false">
      <c r="A4454" s="0" t="s">
        <v>2041</v>
      </c>
      <c r="B4454" s="0" t="s">
        <v>2042</v>
      </c>
      <c r="C4454" s="0" t="s">
        <v>2352</v>
      </c>
      <c r="D4454" s="0" t="s">
        <v>2105</v>
      </c>
      <c r="E4454" s="0" t="s">
        <v>2045</v>
      </c>
      <c r="F4454" s="0" t="s">
        <v>2176</v>
      </c>
      <c r="G4454" s="0" t="s">
        <v>2181</v>
      </c>
      <c r="H4454" s="0" t="s">
        <v>2182</v>
      </c>
      <c r="I4454" s="0" t="s">
        <v>2124</v>
      </c>
      <c r="J4454" s="0" t="s">
        <v>2358</v>
      </c>
      <c r="K4454" s="272" t="n">
        <v>736085.72</v>
      </c>
    </row>
    <row r="4455" customFormat="false" ht="15" hidden="false" customHeight="false" outlineLevel="0" collapsed="false">
      <c r="A4455" s="0" t="s">
        <v>2041</v>
      </c>
      <c r="B4455" s="0" t="s">
        <v>2042</v>
      </c>
      <c r="C4455" s="0" t="s">
        <v>2359</v>
      </c>
      <c r="D4455" s="0" t="s">
        <v>2105</v>
      </c>
      <c r="E4455" s="0" t="s">
        <v>2045</v>
      </c>
      <c r="F4455" s="0" t="s">
        <v>2176</v>
      </c>
      <c r="G4455" s="0" t="s">
        <v>2181</v>
      </c>
      <c r="H4455" s="0" t="s">
        <v>2182</v>
      </c>
      <c r="I4455" s="0" t="s">
        <v>2124</v>
      </c>
      <c r="J4455" s="0" t="s">
        <v>2358</v>
      </c>
      <c r="K4455" s="272" t="n">
        <v>247840.4002</v>
      </c>
    </row>
    <row r="4456" customFormat="false" ht="15" hidden="false" customHeight="false" outlineLevel="0" collapsed="false">
      <c r="A4456" s="0" t="s">
        <v>2041</v>
      </c>
      <c r="B4456" s="0" t="s">
        <v>2042</v>
      </c>
      <c r="C4456" s="0" t="s">
        <v>2156</v>
      </c>
      <c r="D4456" s="0" t="s">
        <v>2105</v>
      </c>
      <c r="E4456" s="0" t="s">
        <v>2045</v>
      </c>
      <c r="F4456" s="0" t="s">
        <v>2176</v>
      </c>
      <c r="G4456" s="0" t="s">
        <v>2181</v>
      </c>
      <c r="H4456" s="0" t="s">
        <v>2182</v>
      </c>
      <c r="I4456" s="0" t="s">
        <v>2124</v>
      </c>
      <c r="J4456" s="0" t="s">
        <v>2358</v>
      </c>
      <c r="K4456" s="272" t="n">
        <v>850000</v>
      </c>
    </row>
    <row r="4457" customFormat="false" ht="15" hidden="false" customHeight="false" outlineLevel="0" collapsed="false">
      <c r="A4457" s="0" t="s">
        <v>2041</v>
      </c>
      <c r="B4457" s="0" t="s">
        <v>2042</v>
      </c>
      <c r="C4457" s="0" t="s">
        <v>2161</v>
      </c>
      <c r="D4457" s="0" t="s">
        <v>2105</v>
      </c>
      <c r="E4457" s="0" t="s">
        <v>2045</v>
      </c>
      <c r="F4457" s="0" t="s">
        <v>2176</v>
      </c>
      <c r="G4457" s="0" t="s">
        <v>2181</v>
      </c>
      <c r="H4457" s="0" t="s">
        <v>2182</v>
      </c>
      <c r="I4457" s="0" t="s">
        <v>2124</v>
      </c>
      <c r="J4457" s="0" t="s">
        <v>2358</v>
      </c>
      <c r="K4457" s="272" t="n">
        <v>236828.609924316</v>
      </c>
    </row>
    <row r="4458" customFormat="false" ht="15" hidden="false" customHeight="false" outlineLevel="0" collapsed="false">
      <c r="A4458" s="0" t="s">
        <v>2041</v>
      </c>
      <c r="B4458" s="0" t="s">
        <v>2042</v>
      </c>
      <c r="C4458" s="0" t="s">
        <v>2349</v>
      </c>
      <c r="D4458" s="0" t="s">
        <v>2105</v>
      </c>
      <c r="E4458" s="0" t="s">
        <v>2045</v>
      </c>
      <c r="F4458" s="0" t="s">
        <v>2176</v>
      </c>
      <c r="G4458" s="0" t="s">
        <v>2181</v>
      </c>
      <c r="H4458" s="0" t="s">
        <v>2182</v>
      </c>
      <c r="I4458" s="0" t="s">
        <v>2124</v>
      </c>
      <c r="J4458" s="0" t="s">
        <v>2358</v>
      </c>
      <c r="K4458" s="272" t="n">
        <v>285437.227875684</v>
      </c>
    </row>
    <row r="4459" customFormat="false" ht="15" hidden="false" customHeight="false" outlineLevel="0" collapsed="false">
      <c r="A4459" s="0" t="s">
        <v>2041</v>
      </c>
      <c r="B4459" s="0" t="s">
        <v>2042</v>
      </c>
      <c r="C4459" s="0" t="s">
        <v>2352</v>
      </c>
      <c r="D4459" s="0" t="s">
        <v>2105</v>
      </c>
      <c r="E4459" s="0" t="s">
        <v>2045</v>
      </c>
      <c r="F4459" s="0" t="s">
        <v>2176</v>
      </c>
      <c r="G4459" s="0" t="s">
        <v>2181</v>
      </c>
      <c r="H4459" s="0" t="s">
        <v>2182</v>
      </c>
      <c r="I4459" s="0" t="s">
        <v>2322</v>
      </c>
      <c r="J4459" s="0" t="s">
        <v>2358</v>
      </c>
      <c r="K4459" s="272" t="n">
        <v>844167.21</v>
      </c>
    </row>
    <row r="4460" customFormat="false" ht="15" hidden="false" customHeight="false" outlineLevel="0" collapsed="false">
      <c r="A4460" s="0" t="s">
        <v>2041</v>
      </c>
      <c r="B4460" s="0" t="s">
        <v>2042</v>
      </c>
      <c r="C4460" s="0" t="s">
        <v>2359</v>
      </c>
      <c r="D4460" s="0" t="s">
        <v>2105</v>
      </c>
      <c r="E4460" s="0" t="s">
        <v>2045</v>
      </c>
      <c r="F4460" s="0" t="s">
        <v>2176</v>
      </c>
      <c r="G4460" s="0" t="s">
        <v>2181</v>
      </c>
      <c r="H4460" s="0" t="s">
        <v>2182</v>
      </c>
      <c r="I4460" s="0" t="s">
        <v>2322</v>
      </c>
      <c r="J4460" s="0" t="s">
        <v>2358</v>
      </c>
      <c r="K4460" s="272" t="n">
        <v>175011.74</v>
      </c>
    </row>
    <row r="4461" customFormat="false" ht="15" hidden="false" customHeight="false" outlineLevel="0" collapsed="false">
      <c r="A4461" s="0" t="s">
        <v>2041</v>
      </c>
      <c r="B4461" s="0" t="s">
        <v>2042</v>
      </c>
      <c r="C4461" s="0" t="s">
        <v>2156</v>
      </c>
      <c r="D4461" s="0" t="s">
        <v>2105</v>
      </c>
      <c r="E4461" s="0" t="s">
        <v>2045</v>
      </c>
      <c r="F4461" s="0" t="s">
        <v>2176</v>
      </c>
      <c r="G4461" s="0" t="s">
        <v>2181</v>
      </c>
      <c r="H4461" s="0" t="s">
        <v>2182</v>
      </c>
      <c r="I4461" s="0" t="s">
        <v>2322</v>
      </c>
      <c r="J4461" s="0" t="s">
        <v>2358</v>
      </c>
      <c r="K4461" s="272" t="n">
        <v>24000000</v>
      </c>
    </row>
    <row r="4462" customFormat="false" ht="15" hidden="false" customHeight="false" outlineLevel="0" collapsed="false">
      <c r="A4462" s="0" t="s">
        <v>2041</v>
      </c>
      <c r="B4462" s="0" t="s">
        <v>2042</v>
      </c>
      <c r="C4462" s="0" t="s">
        <v>2161</v>
      </c>
      <c r="D4462" s="0" t="s">
        <v>2105</v>
      </c>
      <c r="E4462" s="0" t="s">
        <v>2045</v>
      </c>
      <c r="F4462" s="0" t="s">
        <v>2176</v>
      </c>
      <c r="G4462" s="0" t="s">
        <v>2181</v>
      </c>
      <c r="H4462" s="0" t="s">
        <v>2182</v>
      </c>
      <c r="I4462" s="0" t="s">
        <v>2322</v>
      </c>
      <c r="J4462" s="0" t="s">
        <v>2358</v>
      </c>
      <c r="K4462" s="272" t="n">
        <v>3683195.46</v>
      </c>
    </row>
    <row r="4463" customFormat="false" ht="15" hidden="false" customHeight="false" outlineLevel="0" collapsed="false">
      <c r="A4463" s="0" t="s">
        <v>2041</v>
      </c>
      <c r="B4463" s="0" t="s">
        <v>2042</v>
      </c>
      <c r="C4463" s="0" t="s">
        <v>2349</v>
      </c>
      <c r="D4463" s="0" t="s">
        <v>2105</v>
      </c>
      <c r="E4463" s="0" t="s">
        <v>2045</v>
      </c>
      <c r="F4463" s="0" t="s">
        <v>2176</v>
      </c>
      <c r="G4463" s="0" t="s">
        <v>2181</v>
      </c>
      <c r="H4463" s="0" t="s">
        <v>2182</v>
      </c>
      <c r="I4463" s="0" t="s">
        <v>2322</v>
      </c>
      <c r="J4463" s="0" t="s">
        <v>2358</v>
      </c>
      <c r="K4463" s="272" t="n">
        <v>287914.135</v>
      </c>
    </row>
    <row r="4464" customFormat="false" ht="15" hidden="false" customHeight="false" outlineLevel="0" collapsed="false">
      <c r="A4464" s="0" t="s">
        <v>2041</v>
      </c>
      <c r="B4464" s="0" t="s">
        <v>2042</v>
      </c>
      <c r="C4464" s="0" t="s">
        <v>2352</v>
      </c>
      <c r="D4464" s="0" t="s">
        <v>2105</v>
      </c>
      <c r="E4464" s="0" t="s">
        <v>2045</v>
      </c>
      <c r="F4464" s="0" t="s">
        <v>2176</v>
      </c>
      <c r="G4464" s="0" t="s">
        <v>2181</v>
      </c>
      <c r="H4464" s="0" t="s">
        <v>2183</v>
      </c>
      <c r="I4464" s="0" t="s">
        <v>2124</v>
      </c>
      <c r="J4464" s="0" t="s">
        <v>2358</v>
      </c>
      <c r="K4464" s="272" t="n">
        <v>89100</v>
      </c>
    </row>
    <row r="4465" customFormat="false" ht="15" hidden="false" customHeight="false" outlineLevel="0" collapsed="false">
      <c r="A4465" s="0" t="s">
        <v>2041</v>
      </c>
      <c r="B4465" s="0" t="s">
        <v>2042</v>
      </c>
      <c r="C4465" s="0" t="s">
        <v>2359</v>
      </c>
      <c r="D4465" s="0" t="s">
        <v>2105</v>
      </c>
      <c r="E4465" s="0" t="s">
        <v>2045</v>
      </c>
      <c r="F4465" s="0" t="s">
        <v>2176</v>
      </c>
      <c r="G4465" s="0" t="s">
        <v>2181</v>
      </c>
      <c r="H4465" s="0" t="s">
        <v>2183</v>
      </c>
      <c r="I4465" s="0" t="s">
        <v>2124</v>
      </c>
      <c r="J4465" s="0" t="s">
        <v>2358</v>
      </c>
      <c r="K4465" s="272" t="n">
        <v>76274.8899</v>
      </c>
    </row>
    <row r="4466" customFormat="false" ht="15" hidden="false" customHeight="false" outlineLevel="0" collapsed="false">
      <c r="A4466" s="0" t="s">
        <v>2041</v>
      </c>
      <c r="B4466" s="0" t="s">
        <v>2042</v>
      </c>
      <c r="C4466" s="0" t="s">
        <v>2156</v>
      </c>
      <c r="D4466" s="0" t="s">
        <v>2105</v>
      </c>
      <c r="E4466" s="0" t="s">
        <v>2045</v>
      </c>
      <c r="F4466" s="0" t="s">
        <v>2176</v>
      </c>
      <c r="G4466" s="0" t="s">
        <v>2181</v>
      </c>
      <c r="H4466" s="0" t="s">
        <v>2183</v>
      </c>
      <c r="I4466" s="0" t="s">
        <v>2124</v>
      </c>
      <c r="J4466" s="0" t="s">
        <v>2358</v>
      </c>
      <c r="K4466" s="272" t="n">
        <v>825000</v>
      </c>
    </row>
    <row r="4467" customFormat="false" ht="15" hidden="false" customHeight="false" outlineLevel="0" collapsed="false">
      <c r="A4467" s="0" t="s">
        <v>2041</v>
      </c>
      <c r="B4467" s="0" t="s">
        <v>2042</v>
      </c>
      <c r="C4467" s="0" t="s">
        <v>2161</v>
      </c>
      <c r="D4467" s="0" t="s">
        <v>2105</v>
      </c>
      <c r="E4467" s="0" t="s">
        <v>2045</v>
      </c>
      <c r="F4467" s="0" t="s">
        <v>2176</v>
      </c>
      <c r="G4467" s="0" t="s">
        <v>2181</v>
      </c>
      <c r="H4467" s="0" t="s">
        <v>2183</v>
      </c>
      <c r="I4467" s="0" t="s">
        <v>2124</v>
      </c>
      <c r="J4467" s="0" t="s">
        <v>2358</v>
      </c>
      <c r="K4467" s="272" t="n">
        <v>229863.062573601</v>
      </c>
    </row>
    <row r="4468" customFormat="false" ht="15" hidden="false" customHeight="false" outlineLevel="0" collapsed="false">
      <c r="A4468" s="0" t="s">
        <v>2041</v>
      </c>
      <c r="B4468" s="0" t="s">
        <v>2042</v>
      </c>
      <c r="C4468" s="0" t="s">
        <v>2349</v>
      </c>
      <c r="D4468" s="0" t="s">
        <v>2105</v>
      </c>
      <c r="E4468" s="0" t="s">
        <v>2045</v>
      </c>
      <c r="F4468" s="0" t="s">
        <v>2176</v>
      </c>
      <c r="G4468" s="0" t="s">
        <v>2181</v>
      </c>
      <c r="H4468" s="0" t="s">
        <v>2183</v>
      </c>
      <c r="I4468" s="0" t="s">
        <v>2124</v>
      </c>
      <c r="J4468" s="0" t="s">
        <v>2358</v>
      </c>
      <c r="K4468" s="272" t="n">
        <v>38579.1235263988</v>
      </c>
    </row>
    <row r="4469" customFormat="false" ht="15" hidden="false" customHeight="false" outlineLevel="0" collapsed="false">
      <c r="A4469" s="0" t="s">
        <v>2041</v>
      </c>
      <c r="B4469" s="0" t="s">
        <v>2042</v>
      </c>
      <c r="C4469" s="0" t="s">
        <v>2352</v>
      </c>
      <c r="D4469" s="0" t="s">
        <v>2105</v>
      </c>
      <c r="E4469" s="0" t="s">
        <v>2045</v>
      </c>
      <c r="F4469" s="0" t="s">
        <v>2176</v>
      </c>
      <c r="G4469" s="0" t="s">
        <v>2181</v>
      </c>
      <c r="H4469" s="0" t="s">
        <v>2184</v>
      </c>
      <c r="I4469" s="0" t="s">
        <v>2322</v>
      </c>
      <c r="J4469" s="0" t="s">
        <v>2358</v>
      </c>
      <c r="K4469" s="272" t="n">
        <v>850265.31</v>
      </c>
    </row>
    <row r="4470" customFormat="false" ht="15" hidden="false" customHeight="false" outlineLevel="0" collapsed="false">
      <c r="A4470" s="0" t="s">
        <v>2041</v>
      </c>
      <c r="B4470" s="0" t="s">
        <v>2042</v>
      </c>
      <c r="C4470" s="0" t="s">
        <v>2359</v>
      </c>
      <c r="D4470" s="0" t="s">
        <v>2105</v>
      </c>
      <c r="E4470" s="0" t="s">
        <v>2045</v>
      </c>
      <c r="F4470" s="0" t="s">
        <v>2176</v>
      </c>
      <c r="G4470" s="0" t="s">
        <v>2181</v>
      </c>
      <c r="H4470" s="0" t="s">
        <v>2184</v>
      </c>
      <c r="I4470" s="0" t="s">
        <v>2322</v>
      </c>
      <c r="J4470" s="0" t="s">
        <v>2358</v>
      </c>
      <c r="K4470" s="272" t="n">
        <v>133408.78</v>
      </c>
    </row>
    <row r="4471" customFormat="false" ht="15" hidden="false" customHeight="false" outlineLevel="0" collapsed="false">
      <c r="A4471" s="0" t="s">
        <v>2041</v>
      </c>
      <c r="B4471" s="0" t="s">
        <v>2042</v>
      </c>
      <c r="C4471" s="0" t="s">
        <v>2156</v>
      </c>
      <c r="D4471" s="0" t="s">
        <v>2105</v>
      </c>
      <c r="E4471" s="0" t="s">
        <v>2045</v>
      </c>
      <c r="F4471" s="0" t="s">
        <v>2176</v>
      </c>
      <c r="G4471" s="0" t="s">
        <v>2181</v>
      </c>
      <c r="H4471" s="0" t="s">
        <v>2184</v>
      </c>
      <c r="I4471" s="0" t="s">
        <v>2322</v>
      </c>
      <c r="J4471" s="0" t="s">
        <v>2358</v>
      </c>
      <c r="K4471" s="272" t="n">
        <v>24000000</v>
      </c>
    </row>
    <row r="4472" customFormat="false" ht="15" hidden="false" customHeight="false" outlineLevel="0" collapsed="false">
      <c r="A4472" s="0" t="s">
        <v>2041</v>
      </c>
      <c r="B4472" s="0" t="s">
        <v>2042</v>
      </c>
      <c r="C4472" s="0" t="s">
        <v>2161</v>
      </c>
      <c r="D4472" s="0" t="s">
        <v>2105</v>
      </c>
      <c r="E4472" s="0" t="s">
        <v>2045</v>
      </c>
      <c r="F4472" s="0" t="s">
        <v>2176</v>
      </c>
      <c r="G4472" s="0" t="s">
        <v>2181</v>
      </c>
      <c r="H4472" s="0" t="s">
        <v>2184</v>
      </c>
      <c r="I4472" s="0" t="s">
        <v>2322</v>
      </c>
      <c r="J4472" s="0" t="s">
        <v>2358</v>
      </c>
      <c r="K4472" s="272" t="n">
        <v>3683195.46</v>
      </c>
    </row>
    <row r="4473" customFormat="false" ht="15" hidden="false" customHeight="false" outlineLevel="0" collapsed="false">
      <c r="A4473" s="0" t="s">
        <v>2041</v>
      </c>
      <c r="B4473" s="0" t="s">
        <v>2042</v>
      </c>
      <c r="C4473" s="0" t="s">
        <v>2349</v>
      </c>
      <c r="D4473" s="0" t="s">
        <v>2105</v>
      </c>
      <c r="E4473" s="0" t="s">
        <v>2045</v>
      </c>
      <c r="F4473" s="0" t="s">
        <v>2176</v>
      </c>
      <c r="G4473" s="0" t="s">
        <v>2181</v>
      </c>
      <c r="H4473" s="0" t="s">
        <v>2184</v>
      </c>
      <c r="I4473" s="0" t="s">
        <v>2322</v>
      </c>
      <c r="J4473" s="0" t="s">
        <v>2358</v>
      </c>
      <c r="K4473" s="272" t="n">
        <v>277191.665</v>
      </c>
    </row>
    <row r="4474" customFormat="false" ht="15" hidden="false" customHeight="false" outlineLevel="0" collapsed="false">
      <c r="A4474" s="0" t="s">
        <v>2041</v>
      </c>
      <c r="B4474" s="0" t="s">
        <v>2042</v>
      </c>
      <c r="C4474" s="0" t="s">
        <v>2352</v>
      </c>
      <c r="D4474" s="0" t="s">
        <v>2105</v>
      </c>
      <c r="E4474" s="0" t="s">
        <v>2045</v>
      </c>
      <c r="F4474" s="0" t="s">
        <v>2176</v>
      </c>
      <c r="G4474" s="0" t="s">
        <v>2181</v>
      </c>
      <c r="H4474" s="0" t="s">
        <v>2185</v>
      </c>
      <c r="I4474" s="0" t="s">
        <v>2124</v>
      </c>
      <c r="J4474" s="0" t="s">
        <v>2358</v>
      </c>
      <c r="K4474" s="272" t="n">
        <v>838100</v>
      </c>
    </row>
    <row r="4475" customFormat="false" ht="15" hidden="false" customHeight="false" outlineLevel="0" collapsed="false">
      <c r="A4475" s="0" t="s">
        <v>2041</v>
      </c>
      <c r="B4475" s="0" t="s">
        <v>2042</v>
      </c>
      <c r="C4475" s="0" t="s">
        <v>2359</v>
      </c>
      <c r="D4475" s="0" t="s">
        <v>2105</v>
      </c>
      <c r="E4475" s="0" t="s">
        <v>2045</v>
      </c>
      <c r="F4475" s="0" t="s">
        <v>2176</v>
      </c>
      <c r="G4475" s="0" t="s">
        <v>2181</v>
      </c>
      <c r="H4475" s="0" t="s">
        <v>2185</v>
      </c>
      <c r="I4475" s="0" t="s">
        <v>2124</v>
      </c>
      <c r="J4475" s="0" t="s">
        <v>2358</v>
      </c>
      <c r="K4475" s="272" t="n">
        <v>76274.8899</v>
      </c>
    </row>
    <row r="4476" customFormat="false" ht="15" hidden="false" customHeight="false" outlineLevel="0" collapsed="false">
      <c r="A4476" s="0" t="s">
        <v>2041</v>
      </c>
      <c r="B4476" s="0" t="s">
        <v>2042</v>
      </c>
      <c r="C4476" s="0" t="s">
        <v>2156</v>
      </c>
      <c r="D4476" s="0" t="s">
        <v>2105</v>
      </c>
      <c r="E4476" s="0" t="s">
        <v>2045</v>
      </c>
      <c r="F4476" s="0" t="s">
        <v>2176</v>
      </c>
      <c r="G4476" s="0" t="s">
        <v>2181</v>
      </c>
      <c r="H4476" s="0" t="s">
        <v>2185</v>
      </c>
      <c r="I4476" s="0" t="s">
        <v>2124</v>
      </c>
      <c r="J4476" s="0" t="s">
        <v>2358</v>
      </c>
      <c r="K4476" s="272" t="n">
        <v>825000</v>
      </c>
    </row>
    <row r="4477" customFormat="false" ht="15" hidden="false" customHeight="false" outlineLevel="0" collapsed="false">
      <c r="A4477" s="0" t="s">
        <v>2041</v>
      </c>
      <c r="B4477" s="0" t="s">
        <v>2042</v>
      </c>
      <c r="C4477" s="0" t="s">
        <v>2161</v>
      </c>
      <c r="D4477" s="0" t="s">
        <v>2105</v>
      </c>
      <c r="E4477" s="0" t="s">
        <v>2045</v>
      </c>
      <c r="F4477" s="0" t="s">
        <v>2176</v>
      </c>
      <c r="G4477" s="0" t="s">
        <v>2181</v>
      </c>
      <c r="H4477" s="0" t="s">
        <v>2185</v>
      </c>
      <c r="I4477" s="0" t="s">
        <v>2124</v>
      </c>
      <c r="J4477" s="0" t="s">
        <v>2358</v>
      </c>
      <c r="K4477" s="272" t="n">
        <v>229863.062573601</v>
      </c>
    </row>
    <row r="4478" customFormat="false" ht="15" hidden="false" customHeight="false" outlineLevel="0" collapsed="false">
      <c r="A4478" s="0" t="s">
        <v>2041</v>
      </c>
      <c r="B4478" s="0" t="s">
        <v>2042</v>
      </c>
      <c r="C4478" s="0" t="s">
        <v>2349</v>
      </c>
      <c r="D4478" s="0" t="s">
        <v>2105</v>
      </c>
      <c r="E4478" s="0" t="s">
        <v>2045</v>
      </c>
      <c r="F4478" s="0" t="s">
        <v>2176</v>
      </c>
      <c r="G4478" s="0" t="s">
        <v>2181</v>
      </c>
      <c r="H4478" s="0" t="s">
        <v>2185</v>
      </c>
      <c r="I4478" s="0" t="s">
        <v>2124</v>
      </c>
      <c r="J4478" s="0" t="s">
        <v>2358</v>
      </c>
      <c r="K4478" s="272" t="n">
        <v>264777.123526399</v>
      </c>
    </row>
    <row r="4479" customFormat="false" ht="15" hidden="false" customHeight="false" outlineLevel="0" collapsed="false">
      <c r="A4479" s="0" t="s">
        <v>2041</v>
      </c>
      <c r="B4479" s="0" t="s">
        <v>2042</v>
      </c>
      <c r="C4479" s="0" t="s">
        <v>2352</v>
      </c>
      <c r="D4479" s="0" t="s">
        <v>2105</v>
      </c>
      <c r="E4479" s="0" t="s">
        <v>2045</v>
      </c>
      <c r="F4479" s="0" t="s">
        <v>2176</v>
      </c>
      <c r="G4479" s="0" t="s">
        <v>2181</v>
      </c>
      <c r="H4479" s="0" t="s">
        <v>2185</v>
      </c>
      <c r="I4479" s="0" t="s">
        <v>2322</v>
      </c>
      <c r="J4479" s="0" t="s">
        <v>2358</v>
      </c>
      <c r="K4479" s="272" t="n">
        <v>1654425</v>
      </c>
    </row>
    <row r="4480" customFormat="false" ht="15" hidden="false" customHeight="false" outlineLevel="0" collapsed="false">
      <c r="A4480" s="0" t="s">
        <v>2041</v>
      </c>
      <c r="B4480" s="0" t="s">
        <v>2042</v>
      </c>
      <c r="C4480" s="0" t="s">
        <v>2360</v>
      </c>
      <c r="D4480" s="0" t="s">
        <v>2105</v>
      </c>
      <c r="E4480" s="0" t="s">
        <v>2045</v>
      </c>
      <c r="F4480" s="0" t="s">
        <v>2176</v>
      </c>
      <c r="G4480" s="0" t="s">
        <v>2181</v>
      </c>
      <c r="H4480" s="0" t="s">
        <v>2185</v>
      </c>
      <c r="I4480" s="0" t="s">
        <v>2322</v>
      </c>
      <c r="J4480" s="0" t="s">
        <v>2358</v>
      </c>
      <c r="K4480" s="272" t="n">
        <v>15358</v>
      </c>
    </row>
    <row r="4481" customFormat="false" ht="15" hidden="false" customHeight="false" outlineLevel="0" collapsed="false">
      <c r="A4481" s="0" t="s">
        <v>2041</v>
      </c>
      <c r="B4481" s="0" t="s">
        <v>2042</v>
      </c>
      <c r="C4481" s="0" t="s">
        <v>2349</v>
      </c>
      <c r="D4481" s="0" t="s">
        <v>2105</v>
      </c>
      <c r="E4481" s="0" t="s">
        <v>2045</v>
      </c>
      <c r="F4481" s="0" t="s">
        <v>2176</v>
      </c>
      <c r="G4481" s="0" t="s">
        <v>2181</v>
      </c>
      <c r="H4481" s="0" t="s">
        <v>2185</v>
      </c>
      <c r="I4481" s="0" t="s">
        <v>2322</v>
      </c>
      <c r="J4481" s="0" t="s">
        <v>2358</v>
      </c>
      <c r="K4481" s="272" t="n">
        <v>504274.46</v>
      </c>
    </row>
    <row r="4482" customFormat="false" ht="15" hidden="false" customHeight="false" outlineLevel="0" collapsed="false">
      <c r="A4482" s="0" t="s">
        <v>2041</v>
      </c>
      <c r="B4482" s="0" t="s">
        <v>2042</v>
      </c>
      <c r="C4482" s="0" t="s">
        <v>2352</v>
      </c>
      <c r="D4482" s="0" t="s">
        <v>2105</v>
      </c>
      <c r="E4482" s="0" t="s">
        <v>2045</v>
      </c>
      <c r="F4482" s="0" t="s">
        <v>2176</v>
      </c>
      <c r="G4482" s="0" t="s">
        <v>2181</v>
      </c>
      <c r="H4482" s="0" t="s">
        <v>2186</v>
      </c>
      <c r="I4482" s="0" t="s">
        <v>2322</v>
      </c>
      <c r="J4482" s="0" t="s">
        <v>2358</v>
      </c>
      <c r="K4482" s="272" t="n">
        <v>1794023.81</v>
      </c>
    </row>
    <row r="4483" customFormat="false" ht="15" hidden="false" customHeight="false" outlineLevel="0" collapsed="false">
      <c r="A4483" s="0" t="s">
        <v>2041</v>
      </c>
      <c r="B4483" s="0" t="s">
        <v>2042</v>
      </c>
      <c r="C4483" s="0" t="s">
        <v>2359</v>
      </c>
      <c r="D4483" s="0" t="s">
        <v>2105</v>
      </c>
      <c r="E4483" s="0" t="s">
        <v>2045</v>
      </c>
      <c r="F4483" s="0" t="s">
        <v>2176</v>
      </c>
      <c r="G4483" s="0" t="s">
        <v>2181</v>
      </c>
      <c r="H4483" s="0" t="s">
        <v>2186</v>
      </c>
      <c r="I4483" s="0" t="s">
        <v>2322</v>
      </c>
      <c r="J4483" s="0" t="s">
        <v>2358</v>
      </c>
      <c r="K4483" s="272" t="n">
        <v>2437084.93</v>
      </c>
    </row>
    <row r="4484" customFormat="false" ht="15" hidden="false" customHeight="false" outlineLevel="0" collapsed="false">
      <c r="A4484" s="0" t="s">
        <v>2041</v>
      </c>
      <c r="B4484" s="0" t="s">
        <v>2042</v>
      </c>
      <c r="C4484" s="0" t="s">
        <v>2156</v>
      </c>
      <c r="D4484" s="0" t="s">
        <v>2105</v>
      </c>
      <c r="E4484" s="0" t="s">
        <v>2045</v>
      </c>
      <c r="F4484" s="0" t="s">
        <v>2176</v>
      </c>
      <c r="G4484" s="0" t="s">
        <v>2181</v>
      </c>
      <c r="H4484" s="0" t="s">
        <v>2186</v>
      </c>
      <c r="I4484" s="0" t="s">
        <v>2322</v>
      </c>
      <c r="J4484" s="0" t="s">
        <v>2358</v>
      </c>
      <c r="K4484" s="272" t="n">
        <v>102000000</v>
      </c>
    </row>
    <row r="4485" customFormat="false" ht="15" hidden="false" customHeight="false" outlineLevel="0" collapsed="false">
      <c r="A4485" s="0" t="s">
        <v>2041</v>
      </c>
      <c r="B4485" s="0" t="s">
        <v>2042</v>
      </c>
      <c r="C4485" s="0" t="s">
        <v>2161</v>
      </c>
      <c r="D4485" s="0" t="s">
        <v>2105</v>
      </c>
      <c r="E4485" s="0" t="s">
        <v>2045</v>
      </c>
      <c r="F4485" s="0" t="s">
        <v>2176</v>
      </c>
      <c r="G4485" s="0" t="s">
        <v>2181</v>
      </c>
      <c r="H4485" s="0" t="s">
        <v>2186</v>
      </c>
      <c r="I4485" s="0" t="s">
        <v>2322</v>
      </c>
      <c r="J4485" s="0" t="s">
        <v>2358</v>
      </c>
      <c r="K4485" s="272" t="n">
        <v>15786031.79</v>
      </c>
    </row>
    <row r="4486" customFormat="false" ht="15" hidden="false" customHeight="false" outlineLevel="0" collapsed="false">
      <c r="A4486" s="0" t="s">
        <v>2041</v>
      </c>
      <c r="B4486" s="0" t="s">
        <v>2042</v>
      </c>
      <c r="C4486" s="0" t="s">
        <v>2349</v>
      </c>
      <c r="D4486" s="0" t="s">
        <v>2105</v>
      </c>
      <c r="E4486" s="0" t="s">
        <v>2045</v>
      </c>
      <c r="F4486" s="0" t="s">
        <v>2176</v>
      </c>
      <c r="G4486" s="0" t="s">
        <v>2181</v>
      </c>
      <c r="H4486" s="0" t="s">
        <v>2186</v>
      </c>
      <c r="I4486" s="0" t="s">
        <v>2322</v>
      </c>
      <c r="J4486" s="0" t="s">
        <v>2358</v>
      </c>
      <c r="K4486" s="272" t="n">
        <v>914669.19</v>
      </c>
    </row>
    <row r="4487" customFormat="false" ht="15" hidden="false" customHeight="false" outlineLevel="0" collapsed="false">
      <c r="A4487" s="0" t="s">
        <v>2041</v>
      </c>
      <c r="B4487" s="0" t="s">
        <v>2042</v>
      </c>
      <c r="C4487" s="0" t="s">
        <v>2352</v>
      </c>
      <c r="D4487" s="0" t="s">
        <v>2105</v>
      </c>
      <c r="E4487" s="0" t="s">
        <v>2045</v>
      </c>
      <c r="F4487" s="0" t="s">
        <v>2176</v>
      </c>
      <c r="G4487" s="0" t="s">
        <v>2181</v>
      </c>
      <c r="H4487" s="0" t="s">
        <v>2187</v>
      </c>
      <c r="I4487" s="0" t="s">
        <v>2124</v>
      </c>
      <c r="J4487" s="0" t="s">
        <v>2358</v>
      </c>
      <c r="K4487" s="272" t="n">
        <v>559238.1</v>
      </c>
    </row>
    <row r="4488" customFormat="false" ht="15" hidden="false" customHeight="false" outlineLevel="0" collapsed="false">
      <c r="A4488" s="0" t="s">
        <v>2041</v>
      </c>
      <c r="B4488" s="0" t="s">
        <v>2042</v>
      </c>
      <c r="C4488" s="0" t="s">
        <v>2359</v>
      </c>
      <c r="D4488" s="0" t="s">
        <v>2105</v>
      </c>
      <c r="E4488" s="0" t="s">
        <v>2045</v>
      </c>
      <c r="F4488" s="0" t="s">
        <v>2176</v>
      </c>
      <c r="G4488" s="0" t="s">
        <v>2181</v>
      </c>
      <c r="H4488" s="0" t="s">
        <v>2187</v>
      </c>
      <c r="I4488" s="0" t="s">
        <v>2124</v>
      </c>
      <c r="J4488" s="0" t="s">
        <v>2358</v>
      </c>
      <c r="K4488" s="272" t="n">
        <v>169329.44</v>
      </c>
    </row>
    <row r="4489" customFormat="false" ht="15" hidden="false" customHeight="false" outlineLevel="0" collapsed="false">
      <c r="A4489" s="0" t="s">
        <v>2041</v>
      </c>
      <c r="B4489" s="0" t="s">
        <v>2042</v>
      </c>
      <c r="C4489" s="0" t="s">
        <v>2349</v>
      </c>
      <c r="D4489" s="0" t="s">
        <v>2105</v>
      </c>
      <c r="E4489" s="0" t="s">
        <v>2045</v>
      </c>
      <c r="F4489" s="0" t="s">
        <v>2176</v>
      </c>
      <c r="G4489" s="0" t="s">
        <v>2181</v>
      </c>
      <c r="H4489" s="0" t="s">
        <v>2187</v>
      </c>
      <c r="I4489" s="0" t="s">
        <v>2124</v>
      </c>
      <c r="J4489" s="0" t="s">
        <v>2358</v>
      </c>
      <c r="K4489" s="272" t="n">
        <v>220027.4</v>
      </c>
    </row>
    <row r="4490" customFormat="false" ht="15" hidden="false" customHeight="false" outlineLevel="0" collapsed="false">
      <c r="A4490" s="0" t="s">
        <v>2041</v>
      </c>
      <c r="B4490" s="0" t="s">
        <v>2042</v>
      </c>
      <c r="C4490" s="0" t="s">
        <v>2352</v>
      </c>
      <c r="D4490" s="0" t="s">
        <v>2105</v>
      </c>
      <c r="E4490" s="0" t="s">
        <v>2045</v>
      </c>
      <c r="F4490" s="0" t="s">
        <v>2176</v>
      </c>
      <c r="G4490" s="0" t="s">
        <v>2181</v>
      </c>
      <c r="H4490" s="0" t="s">
        <v>2187</v>
      </c>
      <c r="I4490" s="0" t="s">
        <v>2322</v>
      </c>
      <c r="J4490" s="0" t="s">
        <v>2358</v>
      </c>
      <c r="K4490" s="272" t="n">
        <v>2391999.77</v>
      </c>
    </row>
    <row r="4491" customFormat="false" ht="15" hidden="false" customHeight="false" outlineLevel="0" collapsed="false">
      <c r="A4491" s="0" t="s">
        <v>2041</v>
      </c>
      <c r="B4491" s="0" t="s">
        <v>2042</v>
      </c>
      <c r="C4491" s="0" t="s">
        <v>2359</v>
      </c>
      <c r="D4491" s="0" t="s">
        <v>2105</v>
      </c>
      <c r="E4491" s="0" t="s">
        <v>2045</v>
      </c>
      <c r="F4491" s="0" t="s">
        <v>2176</v>
      </c>
      <c r="G4491" s="0" t="s">
        <v>2181</v>
      </c>
      <c r="H4491" s="0" t="s">
        <v>2187</v>
      </c>
      <c r="I4491" s="0" t="s">
        <v>2322</v>
      </c>
      <c r="J4491" s="0" t="s">
        <v>2358</v>
      </c>
      <c r="K4491" s="272" t="n">
        <v>197613.44</v>
      </c>
    </row>
    <row r="4492" customFormat="false" ht="15" hidden="false" customHeight="false" outlineLevel="0" collapsed="false">
      <c r="A4492" s="0" t="s">
        <v>2041</v>
      </c>
      <c r="B4492" s="0" t="s">
        <v>2042</v>
      </c>
      <c r="C4492" s="0" t="s">
        <v>2156</v>
      </c>
      <c r="D4492" s="0" t="s">
        <v>2105</v>
      </c>
      <c r="E4492" s="0" t="s">
        <v>2045</v>
      </c>
      <c r="F4492" s="0" t="s">
        <v>2176</v>
      </c>
      <c r="G4492" s="0" t="s">
        <v>2181</v>
      </c>
      <c r="H4492" s="0" t="s">
        <v>2187</v>
      </c>
      <c r="I4492" s="0" t="s">
        <v>2322</v>
      </c>
      <c r="J4492" s="0" t="s">
        <v>2358</v>
      </c>
      <c r="K4492" s="272" t="n">
        <v>1000000</v>
      </c>
    </row>
    <row r="4493" customFormat="false" ht="15" hidden="false" customHeight="false" outlineLevel="0" collapsed="false">
      <c r="A4493" s="0" t="s">
        <v>2041</v>
      </c>
      <c r="B4493" s="0" t="s">
        <v>2042</v>
      </c>
      <c r="C4493" s="0" t="s">
        <v>2161</v>
      </c>
      <c r="D4493" s="0" t="s">
        <v>2105</v>
      </c>
      <c r="E4493" s="0" t="s">
        <v>2045</v>
      </c>
      <c r="F4493" s="0" t="s">
        <v>2176</v>
      </c>
      <c r="G4493" s="0" t="s">
        <v>2181</v>
      </c>
      <c r="H4493" s="0" t="s">
        <v>2187</v>
      </c>
      <c r="I4493" s="0" t="s">
        <v>2322</v>
      </c>
      <c r="J4493" s="0" t="s">
        <v>2358</v>
      </c>
      <c r="K4493" s="272" t="n">
        <v>302000</v>
      </c>
    </row>
    <row r="4494" customFormat="false" ht="15" hidden="false" customHeight="false" outlineLevel="0" collapsed="false">
      <c r="A4494" s="0" t="s">
        <v>2041</v>
      </c>
      <c r="B4494" s="0" t="s">
        <v>2042</v>
      </c>
      <c r="C4494" s="0" t="s">
        <v>2349</v>
      </c>
      <c r="D4494" s="0" t="s">
        <v>2105</v>
      </c>
      <c r="E4494" s="0" t="s">
        <v>2045</v>
      </c>
      <c r="F4494" s="0" t="s">
        <v>2176</v>
      </c>
      <c r="G4494" s="0" t="s">
        <v>2181</v>
      </c>
      <c r="H4494" s="0" t="s">
        <v>2187</v>
      </c>
      <c r="I4494" s="0" t="s">
        <v>2322</v>
      </c>
      <c r="J4494" s="0" t="s">
        <v>2358</v>
      </c>
      <c r="K4494" s="272" t="n">
        <v>782063.21</v>
      </c>
    </row>
    <row r="4495" customFormat="false" ht="15" hidden="false" customHeight="false" outlineLevel="0" collapsed="false">
      <c r="A4495" s="0" t="s">
        <v>2041</v>
      </c>
      <c r="B4495" s="0" t="s">
        <v>2042</v>
      </c>
      <c r="C4495" s="0" t="s">
        <v>2352</v>
      </c>
      <c r="D4495" s="0" t="s">
        <v>2105</v>
      </c>
      <c r="E4495" s="0" t="s">
        <v>2045</v>
      </c>
      <c r="F4495" s="0" t="s">
        <v>2176</v>
      </c>
      <c r="G4495" s="0" t="s">
        <v>2181</v>
      </c>
      <c r="H4495" s="0" t="s">
        <v>2179</v>
      </c>
      <c r="I4495" s="0" t="s">
        <v>2322</v>
      </c>
      <c r="J4495" s="0" t="s">
        <v>2358</v>
      </c>
      <c r="K4495" s="272" t="n">
        <v>1466667</v>
      </c>
    </row>
    <row r="4496" customFormat="false" ht="15" hidden="false" customHeight="false" outlineLevel="0" collapsed="false">
      <c r="A4496" s="0" t="s">
        <v>2041</v>
      </c>
      <c r="B4496" s="0" t="s">
        <v>2042</v>
      </c>
      <c r="C4496" s="0" t="s">
        <v>2349</v>
      </c>
      <c r="D4496" s="0" t="s">
        <v>2105</v>
      </c>
      <c r="E4496" s="0" t="s">
        <v>2045</v>
      </c>
      <c r="F4496" s="0" t="s">
        <v>2176</v>
      </c>
      <c r="G4496" s="0" t="s">
        <v>2181</v>
      </c>
      <c r="H4496" s="0" t="s">
        <v>2179</v>
      </c>
      <c r="I4496" s="0" t="s">
        <v>2322</v>
      </c>
      <c r="J4496" s="0" t="s">
        <v>2358</v>
      </c>
      <c r="K4496" s="272" t="n">
        <v>224400.04</v>
      </c>
    </row>
    <row r="4497" customFormat="false" ht="15" hidden="false" customHeight="false" outlineLevel="0" collapsed="false">
      <c r="A4497" s="0" t="s">
        <v>2041</v>
      </c>
      <c r="B4497" s="0" t="s">
        <v>2042</v>
      </c>
      <c r="C4497" s="0" t="s">
        <v>2352</v>
      </c>
      <c r="D4497" s="0" t="s">
        <v>2105</v>
      </c>
      <c r="E4497" s="0" t="s">
        <v>2045</v>
      </c>
      <c r="F4497" s="0" t="s">
        <v>2176</v>
      </c>
      <c r="G4497" s="0" t="s">
        <v>2188</v>
      </c>
      <c r="H4497" s="0" t="s">
        <v>2189</v>
      </c>
      <c r="I4497" s="0" t="s">
        <v>2124</v>
      </c>
      <c r="J4497" s="0" t="s">
        <v>2358</v>
      </c>
      <c r="K4497" s="272" t="n">
        <v>188190.48</v>
      </c>
    </row>
    <row r="4498" customFormat="false" ht="15" hidden="false" customHeight="false" outlineLevel="0" collapsed="false">
      <c r="A4498" s="0" t="s">
        <v>2041</v>
      </c>
      <c r="B4498" s="0" t="s">
        <v>2042</v>
      </c>
      <c r="C4498" s="0" t="s">
        <v>2359</v>
      </c>
      <c r="D4498" s="0" t="s">
        <v>2105</v>
      </c>
      <c r="E4498" s="0" t="s">
        <v>2045</v>
      </c>
      <c r="F4498" s="0" t="s">
        <v>2176</v>
      </c>
      <c r="G4498" s="0" t="s">
        <v>2188</v>
      </c>
      <c r="H4498" s="0" t="s">
        <v>2189</v>
      </c>
      <c r="I4498" s="0" t="s">
        <v>2124</v>
      </c>
      <c r="J4498" s="0" t="s">
        <v>2358</v>
      </c>
      <c r="K4498" s="272" t="n">
        <v>37135.7</v>
      </c>
    </row>
    <row r="4499" customFormat="false" ht="15" hidden="false" customHeight="false" outlineLevel="0" collapsed="false">
      <c r="A4499" s="0" t="s">
        <v>2041</v>
      </c>
      <c r="B4499" s="0" t="s">
        <v>2042</v>
      </c>
      <c r="C4499" s="0" t="s">
        <v>2349</v>
      </c>
      <c r="D4499" s="0" t="s">
        <v>2105</v>
      </c>
      <c r="E4499" s="0" t="s">
        <v>2045</v>
      </c>
      <c r="F4499" s="0" t="s">
        <v>2176</v>
      </c>
      <c r="G4499" s="0" t="s">
        <v>2188</v>
      </c>
      <c r="H4499" s="0" t="s">
        <v>2189</v>
      </c>
      <c r="I4499" s="0" t="s">
        <v>2124</v>
      </c>
      <c r="J4499" s="0" t="s">
        <v>2358</v>
      </c>
      <c r="K4499" s="272" t="n">
        <v>68048.5</v>
      </c>
    </row>
    <row r="4500" customFormat="false" ht="15" hidden="false" customHeight="false" outlineLevel="0" collapsed="false">
      <c r="A4500" s="0" t="s">
        <v>2041</v>
      </c>
      <c r="B4500" s="0" t="s">
        <v>2042</v>
      </c>
      <c r="C4500" s="0" t="s">
        <v>2352</v>
      </c>
      <c r="D4500" s="0" t="s">
        <v>2105</v>
      </c>
      <c r="E4500" s="0" t="s">
        <v>2045</v>
      </c>
      <c r="F4500" s="0" t="s">
        <v>2176</v>
      </c>
      <c r="G4500" s="0" t="s">
        <v>2188</v>
      </c>
      <c r="H4500" s="0" t="s">
        <v>2189</v>
      </c>
      <c r="I4500" s="0" t="s">
        <v>2167</v>
      </c>
      <c r="J4500" s="0" t="s">
        <v>2358</v>
      </c>
      <c r="K4500" s="272" t="n">
        <v>800000</v>
      </c>
    </row>
    <row r="4501" customFormat="false" ht="15" hidden="false" customHeight="false" outlineLevel="0" collapsed="false">
      <c r="A4501" s="0" t="s">
        <v>2041</v>
      </c>
      <c r="B4501" s="0" t="s">
        <v>2042</v>
      </c>
      <c r="C4501" s="0" t="s">
        <v>2349</v>
      </c>
      <c r="D4501" s="0" t="s">
        <v>2105</v>
      </c>
      <c r="E4501" s="0" t="s">
        <v>2045</v>
      </c>
      <c r="F4501" s="0" t="s">
        <v>2176</v>
      </c>
      <c r="G4501" s="0" t="s">
        <v>2188</v>
      </c>
      <c r="H4501" s="0" t="s">
        <v>2189</v>
      </c>
      <c r="I4501" s="0" t="s">
        <v>2167</v>
      </c>
      <c r="J4501" s="0" t="s">
        <v>2358</v>
      </c>
      <c r="K4501" s="272" t="n">
        <v>241600</v>
      </c>
    </row>
    <row r="4502" customFormat="false" ht="15" hidden="false" customHeight="false" outlineLevel="0" collapsed="false">
      <c r="A4502" s="0" t="s">
        <v>2041</v>
      </c>
      <c r="B4502" s="0" t="s">
        <v>2042</v>
      </c>
      <c r="C4502" s="0" t="s">
        <v>2352</v>
      </c>
      <c r="D4502" s="0" t="s">
        <v>2105</v>
      </c>
      <c r="E4502" s="0" t="s">
        <v>2045</v>
      </c>
      <c r="F4502" s="0" t="s">
        <v>2176</v>
      </c>
      <c r="G4502" s="0" t="s">
        <v>2188</v>
      </c>
      <c r="H4502" s="0" t="s">
        <v>2189</v>
      </c>
      <c r="I4502" s="0" t="s">
        <v>2322</v>
      </c>
      <c r="J4502" s="0" t="s">
        <v>2358</v>
      </c>
      <c r="K4502" s="272" t="n">
        <v>10225047.33</v>
      </c>
    </row>
    <row r="4503" customFormat="false" ht="15" hidden="false" customHeight="false" outlineLevel="0" collapsed="false">
      <c r="A4503" s="0" t="s">
        <v>2041</v>
      </c>
      <c r="B4503" s="0" t="s">
        <v>2042</v>
      </c>
      <c r="C4503" s="0" t="s">
        <v>2359</v>
      </c>
      <c r="D4503" s="0" t="s">
        <v>2105</v>
      </c>
      <c r="E4503" s="0" t="s">
        <v>2045</v>
      </c>
      <c r="F4503" s="0" t="s">
        <v>2176</v>
      </c>
      <c r="G4503" s="0" t="s">
        <v>2188</v>
      </c>
      <c r="H4503" s="0" t="s">
        <v>2189</v>
      </c>
      <c r="I4503" s="0" t="s">
        <v>2322</v>
      </c>
      <c r="J4503" s="0" t="s">
        <v>2358</v>
      </c>
      <c r="K4503" s="272" t="n">
        <v>1870772.29</v>
      </c>
    </row>
    <row r="4504" customFormat="false" ht="15" hidden="false" customHeight="false" outlineLevel="0" collapsed="false">
      <c r="A4504" s="0" t="s">
        <v>2041</v>
      </c>
      <c r="B4504" s="0" t="s">
        <v>2042</v>
      </c>
      <c r="C4504" s="0" t="s">
        <v>2361</v>
      </c>
      <c r="D4504" s="0" t="s">
        <v>2105</v>
      </c>
      <c r="E4504" s="0" t="s">
        <v>2045</v>
      </c>
      <c r="F4504" s="0" t="s">
        <v>2176</v>
      </c>
      <c r="G4504" s="0" t="s">
        <v>2188</v>
      </c>
      <c r="H4504" s="0" t="s">
        <v>2189</v>
      </c>
      <c r="I4504" s="0" t="s">
        <v>2322</v>
      </c>
      <c r="J4504" s="0" t="s">
        <v>2358</v>
      </c>
      <c r="K4504" s="272" t="n">
        <v>41428.57</v>
      </c>
    </row>
    <row r="4505" customFormat="false" ht="15" hidden="false" customHeight="false" outlineLevel="0" collapsed="false">
      <c r="A4505" s="0" t="s">
        <v>2041</v>
      </c>
      <c r="B4505" s="0" t="s">
        <v>2042</v>
      </c>
      <c r="C4505" s="0" t="s">
        <v>2156</v>
      </c>
      <c r="D4505" s="0" t="s">
        <v>2105</v>
      </c>
      <c r="E4505" s="0" t="s">
        <v>2045</v>
      </c>
      <c r="F4505" s="0" t="s">
        <v>2176</v>
      </c>
      <c r="G4505" s="0" t="s">
        <v>2188</v>
      </c>
      <c r="H4505" s="0" t="s">
        <v>2189</v>
      </c>
      <c r="I4505" s="0" t="s">
        <v>2322</v>
      </c>
      <c r="J4505" s="0" t="s">
        <v>2358</v>
      </c>
      <c r="K4505" s="272" t="n">
        <v>17800000</v>
      </c>
    </row>
    <row r="4506" customFormat="false" ht="15" hidden="false" customHeight="false" outlineLevel="0" collapsed="false">
      <c r="A4506" s="0" t="s">
        <v>2041</v>
      </c>
      <c r="B4506" s="0" t="s">
        <v>2042</v>
      </c>
      <c r="C4506" s="0" t="s">
        <v>2161</v>
      </c>
      <c r="D4506" s="0" t="s">
        <v>2105</v>
      </c>
      <c r="E4506" s="0" t="s">
        <v>2045</v>
      </c>
      <c r="F4506" s="0" t="s">
        <v>2176</v>
      </c>
      <c r="G4506" s="0" t="s">
        <v>2188</v>
      </c>
      <c r="H4506" s="0" t="s">
        <v>2189</v>
      </c>
      <c r="I4506" s="0" t="s">
        <v>2322</v>
      </c>
      <c r="J4506" s="0" t="s">
        <v>2358</v>
      </c>
      <c r="K4506" s="272" t="n">
        <v>3397658.38</v>
      </c>
    </row>
    <row r="4507" customFormat="false" ht="15" hidden="false" customHeight="false" outlineLevel="0" collapsed="false">
      <c r="A4507" s="0" t="s">
        <v>2041</v>
      </c>
      <c r="B4507" s="0" t="s">
        <v>2042</v>
      </c>
      <c r="C4507" s="0" t="s">
        <v>2349</v>
      </c>
      <c r="D4507" s="0" t="s">
        <v>2105</v>
      </c>
      <c r="E4507" s="0" t="s">
        <v>2045</v>
      </c>
      <c r="F4507" s="0" t="s">
        <v>2176</v>
      </c>
      <c r="G4507" s="0" t="s">
        <v>2188</v>
      </c>
      <c r="H4507" s="0" t="s">
        <v>2189</v>
      </c>
      <c r="I4507" s="0" t="s">
        <v>2322</v>
      </c>
      <c r="J4507" s="0" t="s">
        <v>2358</v>
      </c>
      <c r="K4507" s="272" t="n">
        <v>3242797.07</v>
      </c>
    </row>
    <row r="4508" customFormat="false" ht="15" hidden="false" customHeight="false" outlineLevel="0" collapsed="false">
      <c r="A4508" s="0" t="s">
        <v>2041</v>
      </c>
      <c r="B4508" s="0" t="s">
        <v>2042</v>
      </c>
      <c r="C4508" s="0" t="s">
        <v>2352</v>
      </c>
      <c r="D4508" s="0" t="s">
        <v>2105</v>
      </c>
      <c r="E4508" s="0" t="s">
        <v>2045</v>
      </c>
      <c r="F4508" s="0" t="s">
        <v>2176</v>
      </c>
      <c r="G4508" s="0" t="s">
        <v>2190</v>
      </c>
      <c r="H4508" s="0" t="s">
        <v>2191</v>
      </c>
      <c r="I4508" s="0" t="s">
        <v>2124</v>
      </c>
      <c r="J4508" s="0" t="s">
        <v>2358</v>
      </c>
      <c r="K4508" s="272" t="n">
        <v>345714.29</v>
      </c>
    </row>
    <row r="4509" customFormat="false" ht="15" hidden="false" customHeight="false" outlineLevel="0" collapsed="false">
      <c r="A4509" s="0" t="s">
        <v>2041</v>
      </c>
      <c r="B4509" s="0" t="s">
        <v>2042</v>
      </c>
      <c r="C4509" s="0" t="s">
        <v>2359</v>
      </c>
      <c r="D4509" s="0" t="s">
        <v>2105</v>
      </c>
      <c r="E4509" s="0" t="s">
        <v>2045</v>
      </c>
      <c r="F4509" s="0" t="s">
        <v>2176</v>
      </c>
      <c r="G4509" s="0" t="s">
        <v>2190</v>
      </c>
      <c r="H4509" s="0" t="s">
        <v>2191</v>
      </c>
      <c r="I4509" s="0" t="s">
        <v>2124</v>
      </c>
      <c r="J4509" s="0" t="s">
        <v>2358</v>
      </c>
      <c r="K4509" s="272" t="n">
        <v>161370.02</v>
      </c>
    </row>
    <row r="4510" customFormat="false" ht="15" hidden="false" customHeight="false" outlineLevel="0" collapsed="false">
      <c r="A4510" s="0" t="s">
        <v>2041</v>
      </c>
      <c r="B4510" s="0" t="s">
        <v>2042</v>
      </c>
      <c r="C4510" s="0" t="s">
        <v>2156</v>
      </c>
      <c r="D4510" s="0" t="s">
        <v>2105</v>
      </c>
      <c r="E4510" s="0" t="s">
        <v>2045</v>
      </c>
      <c r="F4510" s="0" t="s">
        <v>2176</v>
      </c>
      <c r="G4510" s="0" t="s">
        <v>2190</v>
      </c>
      <c r="H4510" s="0" t="s">
        <v>2191</v>
      </c>
      <c r="I4510" s="0" t="s">
        <v>2124</v>
      </c>
      <c r="J4510" s="0" t="s">
        <v>2358</v>
      </c>
      <c r="K4510" s="272" t="n">
        <v>4000000</v>
      </c>
    </row>
    <row r="4511" customFormat="false" ht="15" hidden="false" customHeight="false" outlineLevel="0" collapsed="false">
      <c r="A4511" s="0" t="s">
        <v>2041</v>
      </c>
      <c r="B4511" s="0" t="s">
        <v>2042</v>
      </c>
      <c r="C4511" s="0" t="s">
        <v>2161</v>
      </c>
      <c r="D4511" s="0" t="s">
        <v>2105</v>
      </c>
      <c r="E4511" s="0" t="s">
        <v>2045</v>
      </c>
      <c r="F4511" s="0" t="s">
        <v>2176</v>
      </c>
      <c r="G4511" s="0" t="s">
        <v>2190</v>
      </c>
      <c r="H4511" s="0" t="s">
        <v>2191</v>
      </c>
      <c r="I4511" s="0" t="s">
        <v>2124</v>
      </c>
      <c r="J4511" s="0" t="s">
        <v>2358</v>
      </c>
      <c r="K4511" s="272" t="n">
        <v>891119.57</v>
      </c>
    </row>
    <row r="4512" customFormat="false" ht="15" hidden="false" customHeight="false" outlineLevel="0" collapsed="false">
      <c r="A4512" s="0" t="s">
        <v>2041</v>
      </c>
      <c r="B4512" s="0" t="s">
        <v>2042</v>
      </c>
      <c r="C4512" s="0" t="s">
        <v>2349</v>
      </c>
      <c r="D4512" s="0" t="s">
        <v>2105</v>
      </c>
      <c r="E4512" s="0" t="s">
        <v>2045</v>
      </c>
      <c r="F4512" s="0" t="s">
        <v>2176</v>
      </c>
      <c r="G4512" s="0" t="s">
        <v>2190</v>
      </c>
      <c r="H4512" s="0" t="s">
        <v>2191</v>
      </c>
      <c r="I4512" s="0" t="s">
        <v>2124</v>
      </c>
      <c r="J4512" s="0" t="s">
        <v>2358</v>
      </c>
      <c r="K4512" s="272" t="n">
        <v>129095.33</v>
      </c>
    </row>
    <row r="4513" customFormat="false" ht="15" hidden="false" customHeight="false" outlineLevel="0" collapsed="false">
      <c r="A4513" s="0" t="s">
        <v>2041</v>
      </c>
      <c r="B4513" s="0" t="s">
        <v>2042</v>
      </c>
      <c r="C4513" s="0" t="s">
        <v>2352</v>
      </c>
      <c r="D4513" s="0" t="s">
        <v>2105</v>
      </c>
      <c r="E4513" s="0" t="s">
        <v>2045</v>
      </c>
      <c r="F4513" s="0" t="s">
        <v>2176</v>
      </c>
      <c r="G4513" s="0" t="s">
        <v>2190</v>
      </c>
      <c r="H4513" s="0" t="s">
        <v>2191</v>
      </c>
      <c r="I4513" s="0" t="s">
        <v>2322</v>
      </c>
      <c r="J4513" s="0" t="s">
        <v>2358</v>
      </c>
      <c r="K4513" s="272" t="n">
        <v>11724960.5</v>
      </c>
    </row>
    <row r="4514" customFormat="false" ht="15" hidden="false" customHeight="false" outlineLevel="0" collapsed="false">
      <c r="A4514" s="0" t="s">
        <v>2041</v>
      </c>
      <c r="B4514" s="0" t="s">
        <v>2042</v>
      </c>
      <c r="C4514" s="0" t="s">
        <v>2359</v>
      </c>
      <c r="D4514" s="0" t="s">
        <v>2105</v>
      </c>
      <c r="E4514" s="0" t="s">
        <v>2045</v>
      </c>
      <c r="F4514" s="0" t="s">
        <v>2176</v>
      </c>
      <c r="G4514" s="0" t="s">
        <v>2190</v>
      </c>
      <c r="H4514" s="0" t="s">
        <v>2191</v>
      </c>
      <c r="I4514" s="0" t="s">
        <v>2322</v>
      </c>
      <c r="J4514" s="0" t="s">
        <v>2358</v>
      </c>
      <c r="K4514" s="272" t="n">
        <v>2135437.5</v>
      </c>
    </row>
    <row r="4515" customFormat="false" ht="15" hidden="false" customHeight="false" outlineLevel="0" collapsed="false">
      <c r="A4515" s="0" t="s">
        <v>2041</v>
      </c>
      <c r="B4515" s="0" t="s">
        <v>2042</v>
      </c>
      <c r="C4515" s="0" t="s">
        <v>2156</v>
      </c>
      <c r="D4515" s="0" t="s">
        <v>2105</v>
      </c>
      <c r="E4515" s="0" t="s">
        <v>2045</v>
      </c>
      <c r="F4515" s="0" t="s">
        <v>2176</v>
      </c>
      <c r="G4515" s="0" t="s">
        <v>2190</v>
      </c>
      <c r="H4515" s="0" t="s">
        <v>2191</v>
      </c>
      <c r="I4515" s="0" t="s">
        <v>2322</v>
      </c>
      <c r="J4515" s="0" t="s">
        <v>2358</v>
      </c>
      <c r="K4515" s="272" t="n">
        <v>42000000</v>
      </c>
    </row>
    <row r="4516" customFormat="false" ht="15" hidden="false" customHeight="false" outlineLevel="0" collapsed="false">
      <c r="A4516" s="0" t="s">
        <v>2041</v>
      </c>
      <c r="B4516" s="0" t="s">
        <v>2042</v>
      </c>
      <c r="C4516" s="0" t="s">
        <v>2161</v>
      </c>
      <c r="D4516" s="0" t="s">
        <v>2105</v>
      </c>
      <c r="E4516" s="0" t="s">
        <v>2045</v>
      </c>
      <c r="F4516" s="0" t="s">
        <v>2176</v>
      </c>
      <c r="G4516" s="0" t="s">
        <v>2190</v>
      </c>
      <c r="H4516" s="0" t="s">
        <v>2191</v>
      </c>
      <c r="I4516" s="0" t="s">
        <v>2322</v>
      </c>
      <c r="J4516" s="0" t="s">
        <v>2358</v>
      </c>
      <c r="K4516" s="272" t="n">
        <v>8479234.84</v>
      </c>
    </row>
    <row r="4517" customFormat="false" ht="15" hidden="false" customHeight="false" outlineLevel="0" collapsed="false">
      <c r="A4517" s="0" t="s">
        <v>2041</v>
      </c>
      <c r="B4517" s="0" t="s">
        <v>2042</v>
      </c>
      <c r="C4517" s="0" t="s">
        <v>2349</v>
      </c>
      <c r="D4517" s="0" t="s">
        <v>2105</v>
      </c>
      <c r="E4517" s="0" t="s">
        <v>2045</v>
      </c>
      <c r="F4517" s="0" t="s">
        <v>2176</v>
      </c>
      <c r="G4517" s="0" t="s">
        <v>2190</v>
      </c>
      <c r="H4517" s="0" t="s">
        <v>2191</v>
      </c>
      <c r="I4517" s="0" t="s">
        <v>2322</v>
      </c>
      <c r="J4517" s="0" t="s">
        <v>2358</v>
      </c>
      <c r="K4517" s="272" t="n">
        <v>3722305.73</v>
      </c>
    </row>
    <row r="4518" customFormat="false" ht="15" hidden="false" customHeight="false" outlineLevel="0" collapsed="false">
      <c r="A4518" s="0" t="s">
        <v>2041</v>
      </c>
      <c r="B4518" s="0" t="s">
        <v>2042</v>
      </c>
      <c r="C4518" s="0" t="s">
        <v>2352</v>
      </c>
      <c r="D4518" s="0" t="s">
        <v>2105</v>
      </c>
      <c r="E4518" s="0" t="s">
        <v>2045</v>
      </c>
      <c r="F4518" s="0" t="s">
        <v>2192</v>
      </c>
      <c r="G4518" s="0" t="s">
        <v>2193</v>
      </c>
      <c r="H4518" s="0" t="s">
        <v>2162</v>
      </c>
      <c r="I4518" s="0" t="s">
        <v>2124</v>
      </c>
      <c r="J4518" s="0" t="s">
        <v>2358</v>
      </c>
      <c r="K4518" s="272" t="n">
        <v>2194916.18</v>
      </c>
    </row>
    <row r="4519" customFormat="false" ht="15" hidden="false" customHeight="false" outlineLevel="0" collapsed="false">
      <c r="A4519" s="0" t="s">
        <v>2041</v>
      </c>
      <c r="B4519" s="0" t="s">
        <v>2042</v>
      </c>
      <c r="C4519" s="0" t="s">
        <v>2359</v>
      </c>
      <c r="D4519" s="0" t="s">
        <v>2105</v>
      </c>
      <c r="E4519" s="0" t="s">
        <v>2045</v>
      </c>
      <c r="F4519" s="0" t="s">
        <v>2192</v>
      </c>
      <c r="G4519" s="0" t="s">
        <v>2193</v>
      </c>
      <c r="H4519" s="0" t="s">
        <v>2162</v>
      </c>
      <c r="I4519" s="0" t="s">
        <v>2124</v>
      </c>
      <c r="J4519" s="0" t="s">
        <v>2358</v>
      </c>
      <c r="K4519" s="272" t="n">
        <v>293113.61</v>
      </c>
    </row>
    <row r="4520" customFormat="false" ht="15" hidden="false" customHeight="false" outlineLevel="0" collapsed="false">
      <c r="A4520" s="0" t="s">
        <v>2041</v>
      </c>
      <c r="B4520" s="0" t="s">
        <v>2042</v>
      </c>
      <c r="C4520" s="0" t="s">
        <v>2364</v>
      </c>
      <c r="D4520" s="0" t="s">
        <v>2105</v>
      </c>
      <c r="E4520" s="0" t="s">
        <v>2045</v>
      </c>
      <c r="F4520" s="0" t="s">
        <v>2192</v>
      </c>
      <c r="G4520" s="0" t="s">
        <v>2193</v>
      </c>
      <c r="H4520" s="0" t="s">
        <v>2162</v>
      </c>
      <c r="I4520" s="0" t="s">
        <v>2124</v>
      </c>
      <c r="J4520" s="0" t="s">
        <v>2358</v>
      </c>
      <c r="K4520" s="272" t="n">
        <v>760000</v>
      </c>
    </row>
    <row r="4521" customFormat="false" ht="15" hidden="false" customHeight="false" outlineLevel="0" collapsed="false">
      <c r="A4521" s="0" t="s">
        <v>2041</v>
      </c>
      <c r="B4521" s="0" t="s">
        <v>2042</v>
      </c>
      <c r="C4521" s="0" t="s">
        <v>2156</v>
      </c>
      <c r="D4521" s="0" t="s">
        <v>2105</v>
      </c>
      <c r="E4521" s="0" t="s">
        <v>2045</v>
      </c>
      <c r="F4521" s="0" t="s">
        <v>2192</v>
      </c>
      <c r="G4521" s="0" t="s">
        <v>2193</v>
      </c>
      <c r="H4521" s="0" t="s">
        <v>2162</v>
      </c>
      <c r="I4521" s="0" t="s">
        <v>2124</v>
      </c>
      <c r="J4521" s="0" t="s">
        <v>2358</v>
      </c>
      <c r="K4521" s="272" t="n">
        <v>3700000</v>
      </c>
    </row>
    <row r="4522" customFormat="false" ht="15" hidden="false" customHeight="false" outlineLevel="0" collapsed="false">
      <c r="A4522" s="0" t="s">
        <v>2041</v>
      </c>
      <c r="B4522" s="0" t="s">
        <v>2042</v>
      </c>
      <c r="C4522" s="0" t="s">
        <v>2161</v>
      </c>
      <c r="D4522" s="0" t="s">
        <v>2105</v>
      </c>
      <c r="E4522" s="0" t="s">
        <v>2045</v>
      </c>
      <c r="F4522" s="0" t="s">
        <v>2192</v>
      </c>
      <c r="G4522" s="0" t="s">
        <v>2193</v>
      </c>
      <c r="H4522" s="0" t="s">
        <v>2162</v>
      </c>
      <c r="I4522" s="0" t="s">
        <v>2124</v>
      </c>
      <c r="J4522" s="0" t="s">
        <v>2358</v>
      </c>
      <c r="K4522" s="272" t="n">
        <v>1117400</v>
      </c>
    </row>
    <row r="4523" customFormat="false" ht="15" hidden="false" customHeight="false" outlineLevel="0" collapsed="false">
      <c r="A4523" s="0" t="s">
        <v>2041</v>
      </c>
      <c r="B4523" s="0" t="s">
        <v>2042</v>
      </c>
      <c r="C4523" s="0" t="s">
        <v>2349</v>
      </c>
      <c r="D4523" s="0" t="s">
        <v>2105</v>
      </c>
      <c r="E4523" s="0" t="s">
        <v>2045</v>
      </c>
      <c r="F4523" s="0" t="s">
        <v>2192</v>
      </c>
      <c r="G4523" s="0" t="s">
        <v>2193</v>
      </c>
      <c r="H4523" s="0" t="s">
        <v>2162</v>
      </c>
      <c r="I4523" s="0" t="s">
        <v>2124</v>
      </c>
      <c r="J4523" s="0" t="s">
        <v>2358</v>
      </c>
      <c r="K4523" s="272" t="n">
        <v>751384.99</v>
      </c>
    </row>
    <row r="4524" customFormat="false" ht="15" hidden="false" customHeight="false" outlineLevel="0" collapsed="false">
      <c r="A4524" s="0" t="s">
        <v>2041</v>
      </c>
      <c r="B4524" s="0" t="s">
        <v>2042</v>
      </c>
      <c r="C4524" s="0" t="s">
        <v>2352</v>
      </c>
      <c r="D4524" s="0" t="s">
        <v>2105</v>
      </c>
      <c r="E4524" s="0" t="s">
        <v>2045</v>
      </c>
      <c r="F4524" s="0" t="s">
        <v>2192</v>
      </c>
      <c r="G4524" s="0" t="s">
        <v>2193</v>
      </c>
      <c r="H4524" s="0" t="s">
        <v>2162</v>
      </c>
      <c r="I4524" s="0" t="s">
        <v>2101</v>
      </c>
      <c r="J4524" s="0" t="s">
        <v>2358</v>
      </c>
      <c r="K4524" s="272" t="n">
        <v>350000</v>
      </c>
    </row>
    <row r="4525" customFormat="false" ht="15" hidden="false" customHeight="false" outlineLevel="0" collapsed="false">
      <c r="A4525" s="0" t="s">
        <v>2041</v>
      </c>
      <c r="B4525" s="0" t="s">
        <v>2042</v>
      </c>
      <c r="C4525" s="0" t="s">
        <v>2349</v>
      </c>
      <c r="D4525" s="0" t="s">
        <v>2105</v>
      </c>
      <c r="E4525" s="0" t="s">
        <v>2045</v>
      </c>
      <c r="F4525" s="0" t="s">
        <v>2192</v>
      </c>
      <c r="G4525" s="0" t="s">
        <v>2193</v>
      </c>
      <c r="H4525" s="0" t="s">
        <v>2162</v>
      </c>
      <c r="I4525" s="0" t="s">
        <v>2101</v>
      </c>
      <c r="J4525" s="0" t="s">
        <v>2358</v>
      </c>
      <c r="K4525" s="272" t="n">
        <v>105700</v>
      </c>
    </row>
    <row r="4526" customFormat="false" ht="15" hidden="false" customHeight="false" outlineLevel="0" collapsed="false">
      <c r="A4526" s="0" t="s">
        <v>2041</v>
      </c>
      <c r="B4526" s="0" t="s">
        <v>2042</v>
      </c>
      <c r="C4526" s="0" t="s">
        <v>2352</v>
      </c>
      <c r="D4526" s="0" t="s">
        <v>2105</v>
      </c>
      <c r="E4526" s="0" t="s">
        <v>2045</v>
      </c>
      <c r="F4526" s="0" t="s">
        <v>2192</v>
      </c>
      <c r="G4526" s="0" t="s">
        <v>2193</v>
      </c>
      <c r="H4526" s="0" t="s">
        <v>2162</v>
      </c>
      <c r="I4526" s="0" t="s">
        <v>2322</v>
      </c>
      <c r="J4526" s="0" t="s">
        <v>2358</v>
      </c>
      <c r="K4526" s="272" t="n">
        <v>23722340.15</v>
      </c>
    </row>
    <row r="4527" customFormat="false" ht="15" hidden="false" customHeight="false" outlineLevel="0" collapsed="false">
      <c r="A4527" s="0" t="s">
        <v>2041</v>
      </c>
      <c r="B4527" s="0" t="s">
        <v>2042</v>
      </c>
      <c r="C4527" s="0" t="s">
        <v>2359</v>
      </c>
      <c r="D4527" s="0" t="s">
        <v>2105</v>
      </c>
      <c r="E4527" s="0" t="s">
        <v>2045</v>
      </c>
      <c r="F4527" s="0" t="s">
        <v>2192</v>
      </c>
      <c r="G4527" s="0" t="s">
        <v>2193</v>
      </c>
      <c r="H4527" s="0" t="s">
        <v>2162</v>
      </c>
      <c r="I4527" s="0" t="s">
        <v>2322</v>
      </c>
      <c r="J4527" s="0" t="s">
        <v>2358</v>
      </c>
      <c r="K4527" s="272" t="n">
        <v>4227762.84</v>
      </c>
    </row>
    <row r="4528" customFormat="false" ht="15" hidden="false" customHeight="false" outlineLevel="0" collapsed="false">
      <c r="A4528" s="0" t="s">
        <v>2041</v>
      </c>
      <c r="B4528" s="0" t="s">
        <v>2042</v>
      </c>
      <c r="C4528" s="0" t="s">
        <v>2361</v>
      </c>
      <c r="D4528" s="0" t="s">
        <v>2105</v>
      </c>
      <c r="E4528" s="0" t="s">
        <v>2045</v>
      </c>
      <c r="F4528" s="0" t="s">
        <v>2192</v>
      </c>
      <c r="G4528" s="0" t="s">
        <v>2193</v>
      </c>
      <c r="H4528" s="0" t="s">
        <v>2162</v>
      </c>
      <c r="I4528" s="0" t="s">
        <v>2322</v>
      </c>
      <c r="J4528" s="0" t="s">
        <v>2358</v>
      </c>
      <c r="K4528" s="272" t="n">
        <v>81576.45</v>
      </c>
    </row>
    <row r="4529" customFormat="false" ht="15" hidden="false" customHeight="false" outlineLevel="0" collapsed="false">
      <c r="A4529" s="0" t="s">
        <v>2041</v>
      </c>
      <c r="B4529" s="0" t="s">
        <v>2042</v>
      </c>
      <c r="C4529" s="0" t="s">
        <v>2156</v>
      </c>
      <c r="D4529" s="0" t="s">
        <v>2105</v>
      </c>
      <c r="E4529" s="0" t="s">
        <v>2045</v>
      </c>
      <c r="F4529" s="0" t="s">
        <v>2192</v>
      </c>
      <c r="G4529" s="0" t="s">
        <v>2193</v>
      </c>
      <c r="H4529" s="0" t="s">
        <v>2162</v>
      </c>
      <c r="I4529" s="0" t="s">
        <v>2322</v>
      </c>
      <c r="J4529" s="0" t="s">
        <v>2358</v>
      </c>
      <c r="K4529" s="272" t="n">
        <v>144901839</v>
      </c>
    </row>
    <row r="4530" customFormat="false" ht="15" hidden="false" customHeight="false" outlineLevel="0" collapsed="false">
      <c r="A4530" s="0" t="s">
        <v>2041</v>
      </c>
      <c r="B4530" s="0" t="s">
        <v>2042</v>
      </c>
      <c r="C4530" s="0" t="s">
        <v>2360</v>
      </c>
      <c r="D4530" s="0" t="s">
        <v>2105</v>
      </c>
      <c r="E4530" s="0" t="s">
        <v>2045</v>
      </c>
      <c r="F4530" s="0" t="s">
        <v>2192</v>
      </c>
      <c r="G4530" s="0" t="s">
        <v>2193</v>
      </c>
      <c r="H4530" s="0" t="s">
        <v>2162</v>
      </c>
      <c r="I4530" s="0" t="s">
        <v>2322</v>
      </c>
      <c r="J4530" s="0" t="s">
        <v>2358</v>
      </c>
      <c r="K4530" s="272" t="n">
        <v>7503</v>
      </c>
    </row>
    <row r="4531" customFormat="false" ht="15" hidden="false" customHeight="false" outlineLevel="0" collapsed="false">
      <c r="A4531" s="0" t="s">
        <v>2041</v>
      </c>
      <c r="B4531" s="0" t="s">
        <v>2042</v>
      </c>
      <c r="C4531" s="0" t="s">
        <v>2161</v>
      </c>
      <c r="D4531" s="0" t="s">
        <v>2105</v>
      </c>
      <c r="E4531" s="0" t="s">
        <v>2045</v>
      </c>
      <c r="F4531" s="0" t="s">
        <v>2192</v>
      </c>
      <c r="G4531" s="0" t="s">
        <v>2193</v>
      </c>
      <c r="H4531" s="0" t="s">
        <v>2162</v>
      </c>
      <c r="I4531" s="0" t="s">
        <v>2322</v>
      </c>
      <c r="J4531" s="0" t="s">
        <v>2358</v>
      </c>
      <c r="K4531" s="272" t="n">
        <v>28414769.48</v>
      </c>
    </row>
    <row r="4532" customFormat="false" ht="15" hidden="false" customHeight="false" outlineLevel="0" collapsed="false">
      <c r="A4532" s="0" t="s">
        <v>2041</v>
      </c>
      <c r="B4532" s="0" t="s">
        <v>2042</v>
      </c>
      <c r="C4532" s="0" t="s">
        <v>2349</v>
      </c>
      <c r="D4532" s="0" t="s">
        <v>2105</v>
      </c>
      <c r="E4532" s="0" t="s">
        <v>2045</v>
      </c>
      <c r="F4532" s="0" t="s">
        <v>2192</v>
      </c>
      <c r="G4532" s="0" t="s">
        <v>2193</v>
      </c>
      <c r="H4532" s="0" t="s">
        <v>2162</v>
      </c>
      <c r="I4532" s="0" t="s">
        <v>2322</v>
      </c>
      <c r="J4532" s="0" t="s">
        <v>2358</v>
      </c>
      <c r="K4532" s="272" t="n">
        <v>7972261.62</v>
      </c>
    </row>
    <row r="4533" customFormat="false" ht="15" hidden="false" customHeight="false" outlineLevel="0" collapsed="false">
      <c r="A4533" s="0" t="s">
        <v>2041</v>
      </c>
      <c r="B4533" s="0" t="s">
        <v>2042</v>
      </c>
      <c r="C4533" s="0" t="s">
        <v>2347</v>
      </c>
      <c r="D4533" s="0" t="s">
        <v>2105</v>
      </c>
      <c r="E4533" s="0" t="s">
        <v>2045</v>
      </c>
      <c r="F4533" s="0" t="s">
        <v>2192</v>
      </c>
      <c r="G4533" s="0" t="s">
        <v>2193</v>
      </c>
      <c r="H4533" s="0" t="s">
        <v>2162</v>
      </c>
      <c r="I4533" s="0" t="s">
        <v>2322</v>
      </c>
      <c r="J4533" s="0" t="s">
        <v>2358</v>
      </c>
      <c r="K4533" s="272" t="n">
        <v>31666.67</v>
      </c>
    </row>
    <row r="4534" customFormat="false" ht="15" hidden="false" customHeight="false" outlineLevel="0" collapsed="false">
      <c r="A4534" s="0" t="s">
        <v>2041</v>
      </c>
      <c r="B4534" s="0" t="s">
        <v>2042</v>
      </c>
      <c r="C4534" s="0" t="s">
        <v>2352</v>
      </c>
      <c r="D4534" s="0" t="s">
        <v>2105</v>
      </c>
      <c r="E4534" s="0" t="s">
        <v>2045</v>
      </c>
      <c r="F4534" s="0" t="s">
        <v>2192</v>
      </c>
      <c r="G4534" s="0" t="s">
        <v>2194</v>
      </c>
      <c r="H4534" s="0" t="s">
        <v>2162</v>
      </c>
      <c r="I4534" s="0" t="s">
        <v>2124</v>
      </c>
      <c r="J4534" s="0" t="s">
        <v>2358</v>
      </c>
      <c r="K4534" s="272" t="n">
        <v>1137440.47</v>
      </c>
    </row>
    <row r="4535" customFormat="false" ht="15" hidden="false" customHeight="false" outlineLevel="0" collapsed="false">
      <c r="A4535" s="0" t="s">
        <v>2041</v>
      </c>
      <c r="B4535" s="0" t="s">
        <v>2042</v>
      </c>
      <c r="C4535" s="0" t="s">
        <v>2359</v>
      </c>
      <c r="D4535" s="0" t="s">
        <v>2105</v>
      </c>
      <c r="E4535" s="0" t="s">
        <v>2045</v>
      </c>
      <c r="F4535" s="0" t="s">
        <v>2192</v>
      </c>
      <c r="G4535" s="0" t="s">
        <v>2194</v>
      </c>
      <c r="H4535" s="0" t="s">
        <v>2162</v>
      </c>
      <c r="I4535" s="0" t="s">
        <v>2124</v>
      </c>
      <c r="J4535" s="0" t="s">
        <v>2358</v>
      </c>
      <c r="K4535" s="272" t="n">
        <v>23841.44</v>
      </c>
    </row>
    <row r="4536" customFormat="false" ht="15" hidden="false" customHeight="false" outlineLevel="0" collapsed="false">
      <c r="A4536" s="0" t="s">
        <v>2041</v>
      </c>
      <c r="B4536" s="0" t="s">
        <v>2042</v>
      </c>
      <c r="C4536" s="0" t="s">
        <v>2156</v>
      </c>
      <c r="D4536" s="0" t="s">
        <v>2105</v>
      </c>
      <c r="E4536" s="0" t="s">
        <v>2045</v>
      </c>
      <c r="F4536" s="0" t="s">
        <v>2192</v>
      </c>
      <c r="G4536" s="0" t="s">
        <v>2194</v>
      </c>
      <c r="H4536" s="0" t="s">
        <v>2162</v>
      </c>
      <c r="I4536" s="0" t="s">
        <v>2124</v>
      </c>
      <c r="J4536" s="0" t="s">
        <v>2358</v>
      </c>
      <c r="K4536" s="272" t="n">
        <v>2100000</v>
      </c>
    </row>
    <row r="4537" customFormat="false" ht="15" hidden="false" customHeight="false" outlineLevel="0" collapsed="false">
      <c r="A4537" s="0" t="s">
        <v>2041</v>
      </c>
      <c r="B4537" s="0" t="s">
        <v>2042</v>
      </c>
      <c r="C4537" s="0" t="s">
        <v>2161</v>
      </c>
      <c r="D4537" s="0" t="s">
        <v>2105</v>
      </c>
      <c r="E4537" s="0" t="s">
        <v>2045</v>
      </c>
      <c r="F4537" s="0" t="s">
        <v>2192</v>
      </c>
      <c r="G4537" s="0" t="s">
        <v>2194</v>
      </c>
      <c r="H4537" s="0" t="s">
        <v>2162</v>
      </c>
      <c r="I4537" s="0" t="s">
        <v>2124</v>
      </c>
      <c r="J4537" s="0" t="s">
        <v>2358</v>
      </c>
      <c r="K4537" s="272" t="n">
        <v>634200</v>
      </c>
    </row>
    <row r="4538" customFormat="false" ht="15" hidden="false" customHeight="false" outlineLevel="0" collapsed="false">
      <c r="A4538" s="0" t="s">
        <v>2041</v>
      </c>
      <c r="B4538" s="0" t="s">
        <v>2042</v>
      </c>
      <c r="C4538" s="0" t="s">
        <v>2349</v>
      </c>
      <c r="D4538" s="0" t="s">
        <v>2105</v>
      </c>
      <c r="E4538" s="0" t="s">
        <v>2045</v>
      </c>
      <c r="F4538" s="0" t="s">
        <v>2192</v>
      </c>
      <c r="G4538" s="0" t="s">
        <v>2194</v>
      </c>
      <c r="H4538" s="0" t="s">
        <v>2162</v>
      </c>
      <c r="I4538" s="0" t="s">
        <v>2124</v>
      </c>
      <c r="J4538" s="0" t="s">
        <v>2358</v>
      </c>
      <c r="K4538" s="272" t="n">
        <v>350707.14</v>
      </c>
    </row>
    <row r="4539" customFormat="false" ht="15" hidden="false" customHeight="false" outlineLevel="0" collapsed="false">
      <c r="A4539" s="0" t="s">
        <v>2041</v>
      </c>
      <c r="B4539" s="0" t="s">
        <v>2042</v>
      </c>
      <c r="C4539" s="0" t="s">
        <v>2352</v>
      </c>
      <c r="D4539" s="0" t="s">
        <v>2105</v>
      </c>
      <c r="E4539" s="0" t="s">
        <v>2045</v>
      </c>
      <c r="F4539" s="0" t="s">
        <v>2192</v>
      </c>
      <c r="G4539" s="0" t="s">
        <v>2194</v>
      </c>
      <c r="H4539" s="0" t="s">
        <v>2162</v>
      </c>
      <c r="I4539" s="0" t="s">
        <v>2322</v>
      </c>
      <c r="J4539" s="0" t="s">
        <v>2358</v>
      </c>
      <c r="K4539" s="272" t="n">
        <v>8245738.09</v>
      </c>
    </row>
    <row r="4540" customFormat="false" ht="15" hidden="false" customHeight="false" outlineLevel="0" collapsed="false">
      <c r="A4540" s="0" t="s">
        <v>2041</v>
      </c>
      <c r="B4540" s="0" t="s">
        <v>2042</v>
      </c>
      <c r="C4540" s="0" t="s">
        <v>2359</v>
      </c>
      <c r="D4540" s="0" t="s">
        <v>2105</v>
      </c>
      <c r="E4540" s="0" t="s">
        <v>2045</v>
      </c>
      <c r="F4540" s="0" t="s">
        <v>2192</v>
      </c>
      <c r="G4540" s="0" t="s">
        <v>2194</v>
      </c>
      <c r="H4540" s="0" t="s">
        <v>2162</v>
      </c>
      <c r="I4540" s="0" t="s">
        <v>2322</v>
      </c>
      <c r="J4540" s="0" t="s">
        <v>2358</v>
      </c>
      <c r="K4540" s="272" t="n">
        <v>960969.11</v>
      </c>
    </row>
    <row r="4541" customFormat="false" ht="15" hidden="false" customHeight="false" outlineLevel="0" collapsed="false">
      <c r="A4541" s="0" t="s">
        <v>2041</v>
      </c>
      <c r="B4541" s="0" t="s">
        <v>2042</v>
      </c>
      <c r="C4541" s="0" t="s">
        <v>2156</v>
      </c>
      <c r="D4541" s="0" t="s">
        <v>2105</v>
      </c>
      <c r="E4541" s="0" t="s">
        <v>2045</v>
      </c>
      <c r="F4541" s="0" t="s">
        <v>2192</v>
      </c>
      <c r="G4541" s="0" t="s">
        <v>2194</v>
      </c>
      <c r="H4541" s="0" t="s">
        <v>2162</v>
      </c>
      <c r="I4541" s="0" t="s">
        <v>2322</v>
      </c>
      <c r="J4541" s="0" t="s">
        <v>2358</v>
      </c>
      <c r="K4541" s="272" t="n">
        <v>18125000</v>
      </c>
    </row>
    <row r="4542" customFormat="false" ht="15" hidden="false" customHeight="false" outlineLevel="0" collapsed="false">
      <c r="A4542" s="0" t="s">
        <v>2041</v>
      </c>
      <c r="B4542" s="0" t="s">
        <v>2042</v>
      </c>
      <c r="C4542" s="0" t="s">
        <v>2360</v>
      </c>
      <c r="D4542" s="0" t="s">
        <v>2105</v>
      </c>
      <c r="E4542" s="0" t="s">
        <v>2045</v>
      </c>
      <c r="F4542" s="0" t="s">
        <v>2192</v>
      </c>
      <c r="G4542" s="0" t="s">
        <v>2194</v>
      </c>
      <c r="H4542" s="0" t="s">
        <v>2162</v>
      </c>
      <c r="I4542" s="0" t="s">
        <v>2322</v>
      </c>
      <c r="J4542" s="0" t="s">
        <v>2358</v>
      </c>
      <c r="K4542" s="272" t="n">
        <v>2638</v>
      </c>
    </row>
    <row r="4543" customFormat="false" ht="15" hidden="false" customHeight="false" outlineLevel="0" collapsed="false">
      <c r="A4543" s="0" t="s">
        <v>2041</v>
      </c>
      <c r="B4543" s="0" t="s">
        <v>2042</v>
      </c>
      <c r="C4543" s="0" t="s">
        <v>2161</v>
      </c>
      <c r="D4543" s="0" t="s">
        <v>2105</v>
      </c>
      <c r="E4543" s="0" t="s">
        <v>2045</v>
      </c>
      <c r="F4543" s="0" t="s">
        <v>2192</v>
      </c>
      <c r="G4543" s="0" t="s">
        <v>2194</v>
      </c>
      <c r="H4543" s="0" t="s">
        <v>2162</v>
      </c>
      <c r="I4543" s="0" t="s">
        <v>2322</v>
      </c>
      <c r="J4543" s="0" t="s">
        <v>2358</v>
      </c>
      <c r="K4543" s="272" t="n">
        <v>4213054.26</v>
      </c>
    </row>
    <row r="4544" customFormat="false" ht="15" hidden="false" customHeight="false" outlineLevel="0" collapsed="false">
      <c r="A4544" s="0" t="s">
        <v>2041</v>
      </c>
      <c r="B4544" s="0" t="s">
        <v>2042</v>
      </c>
      <c r="C4544" s="0" t="s">
        <v>2349</v>
      </c>
      <c r="D4544" s="0" t="s">
        <v>2105</v>
      </c>
      <c r="E4544" s="0" t="s">
        <v>2045</v>
      </c>
      <c r="F4544" s="0" t="s">
        <v>2192</v>
      </c>
      <c r="G4544" s="0" t="s">
        <v>2194</v>
      </c>
      <c r="H4544" s="0" t="s">
        <v>2162</v>
      </c>
      <c r="I4544" s="0" t="s">
        <v>2322</v>
      </c>
      <c r="J4544" s="0" t="s">
        <v>2358</v>
      </c>
      <c r="K4544" s="272" t="n">
        <v>2716158.59</v>
      </c>
    </row>
    <row r="4545" customFormat="false" ht="15" hidden="false" customHeight="false" outlineLevel="0" collapsed="false">
      <c r="A4545" s="0" t="s">
        <v>2041</v>
      </c>
      <c r="B4545" s="0" t="s">
        <v>2042</v>
      </c>
      <c r="C4545" s="0" t="s">
        <v>2352</v>
      </c>
      <c r="D4545" s="0" t="s">
        <v>2105</v>
      </c>
      <c r="E4545" s="0" t="s">
        <v>2045</v>
      </c>
      <c r="F4545" s="0" t="s">
        <v>2192</v>
      </c>
      <c r="G4545" s="0" t="s">
        <v>2195</v>
      </c>
      <c r="H4545" s="0" t="s">
        <v>2171</v>
      </c>
      <c r="I4545" s="0" t="s">
        <v>2124</v>
      </c>
      <c r="J4545" s="0" t="s">
        <v>2358</v>
      </c>
      <c r="K4545" s="272" t="n">
        <v>1075714.29</v>
      </c>
    </row>
    <row r="4546" customFormat="false" ht="15" hidden="false" customHeight="false" outlineLevel="0" collapsed="false">
      <c r="A4546" s="0" t="s">
        <v>2041</v>
      </c>
      <c r="B4546" s="0" t="s">
        <v>2042</v>
      </c>
      <c r="C4546" s="0" t="s">
        <v>2359</v>
      </c>
      <c r="D4546" s="0" t="s">
        <v>2105</v>
      </c>
      <c r="E4546" s="0" t="s">
        <v>2045</v>
      </c>
      <c r="F4546" s="0" t="s">
        <v>2192</v>
      </c>
      <c r="G4546" s="0" t="s">
        <v>2195</v>
      </c>
      <c r="H4546" s="0" t="s">
        <v>2171</v>
      </c>
      <c r="I4546" s="0" t="s">
        <v>2124</v>
      </c>
      <c r="J4546" s="0" t="s">
        <v>2358</v>
      </c>
      <c r="K4546" s="272" t="n">
        <v>128804.78</v>
      </c>
    </row>
    <row r="4547" customFormat="false" ht="15" hidden="false" customHeight="false" outlineLevel="0" collapsed="false">
      <c r="A4547" s="0" t="s">
        <v>2041</v>
      </c>
      <c r="B4547" s="0" t="s">
        <v>2042</v>
      </c>
      <c r="C4547" s="0" t="s">
        <v>2156</v>
      </c>
      <c r="D4547" s="0" t="s">
        <v>2105</v>
      </c>
      <c r="E4547" s="0" t="s">
        <v>2045</v>
      </c>
      <c r="F4547" s="0" t="s">
        <v>2192</v>
      </c>
      <c r="G4547" s="0" t="s">
        <v>2195</v>
      </c>
      <c r="H4547" s="0" t="s">
        <v>2171</v>
      </c>
      <c r="I4547" s="0" t="s">
        <v>2124</v>
      </c>
      <c r="J4547" s="0" t="s">
        <v>2358</v>
      </c>
      <c r="K4547" s="272" t="n">
        <v>5700000</v>
      </c>
    </row>
    <row r="4548" customFormat="false" ht="15" hidden="false" customHeight="false" outlineLevel="0" collapsed="false">
      <c r="A4548" s="0" t="s">
        <v>2041</v>
      </c>
      <c r="B4548" s="0" t="s">
        <v>2042</v>
      </c>
      <c r="C4548" s="0" t="s">
        <v>2161</v>
      </c>
      <c r="D4548" s="0" t="s">
        <v>2105</v>
      </c>
      <c r="E4548" s="0" t="s">
        <v>2045</v>
      </c>
      <c r="F4548" s="0" t="s">
        <v>2192</v>
      </c>
      <c r="G4548" s="0" t="s">
        <v>2195</v>
      </c>
      <c r="H4548" s="0" t="s">
        <v>2171</v>
      </c>
      <c r="I4548" s="0" t="s">
        <v>2124</v>
      </c>
      <c r="J4548" s="0" t="s">
        <v>2358</v>
      </c>
      <c r="K4548" s="272" t="n">
        <v>1277363.58</v>
      </c>
    </row>
    <row r="4549" customFormat="false" ht="15" hidden="false" customHeight="false" outlineLevel="0" collapsed="false">
      <c r="A4549" s="0" t="s">
        <v>2041</v>
      </c>
      <c r="B4549" s="0" t="s">
        <v>2042</v>
      </c>
      <c r="C4549" s="0" t="s">
        <v>2349</v>
      </c>
      <c r="D4549" s="0" t="s">
        <v>2105</v>
      </c>
      <c r="E4549" s="0" t="s">
        <v>2045</v>
      </c>
      <c r="F4549" s="0" t="s">
        <v>2192</v>
      </c>
      <c r="G4549" s="0" t="s">
        <v>2195</v>
      </c>
      <c r="H4549" s="0" t="s">
        <v>2171</v>
      </c>
      <c r="I4549" s="0" t="s">
        <v>2124</v>
      </c>
      <c r="J4549" s="0" t="s">
        <v>2358</v>
      </c>
      <c r="K4549" s="272" t="n">
        <v>360424.89</v>
      </c>
    </row>
    <row r="4550" customFormat="false" ht="15" hidden="false" customHeight="false" outlineLevel="0" collapsed="false">
      <c r="A4550" s="0" t="s">
        <v>2041</v>
      </c>
      <c r="B4550" s="0" t="s">
        <v>2042</v>
      </c>
      <c r="C4550" s="0" t="s">
        <v>2352</v>
      </c>
      <c r="D4550" s="0" t="s">
        <v>2105</v>
      </c>
      <c r="E4550" s="0" t="s">
        <v>2045</v>
      </c>
      <c r="F4550" s="0" t="s">
        <v>2192</v>
      </c>
      <c r="G4550" s="0" t="s">
        <v>2195</v>
      </c>
      <c r="H4550" s="0" t="s">
        <v>2171</v>
      </c>
      <c r="I4550" s="0" t="s">
        <v>2167</v>
      </c>
      <c r="J4550" s="0" t="s">
        <v>2358</v>
      </c>
      <c r="K4550" s="272" t="n">
        <v>385714.29</v>
      </c>
    </row>
    <row r="4551" customFormat="false" ht="15" hidden="false" customHeight="false" outlineLevel="0" collapsed="false">
      <c r="A4551" s="0" t="s">
        <v>2041</v>
      </c>
      <c r="B4551" s="0" t="s">
        <v>2042</v>
      </c>
      <c r="C4551" s="0" t="s">
        <v>2362</v>
      </c>
      <c r="D4551" s="0" t="s">
        <v>2105</v>
      </c>
      <c r="E4551" s="0" t="s">
        <v>2045</v>
      </c>
      <c r="F4551" s="0" t="s">
        <v>2192</v>
      </c>
      <c r="G4551" s="0" t="s">
        <v>2195</v>
      </c>
      <c r="H4551" s="0" t="s">
        <v>2171</v>
      </c>
      <c r="I4551" s="0" t="s">
        <v>2167</v>
      </c>
      <c r="J4551" s="0" t="s">
        <v>2358</v>
      </c>
      <c r="K4551" s="272" t="n">
        <v>85714.28</v>
      </c>
    </row>
    <row r="4552" customFormat="false" ht="15" hidden="false" customHeight="false" outlineLevel="0" collapsed="false">
      <c r="A4552" s="0" t="s">
        <v>2041</v>
      </c>
      <c r="B4552" s="0" t="s">
        <v>2042</v>
      </c>
      <c r="C4552" s="0" t="s">
        <v>2349</v>
      </c>
      <c r="D4552" s="0" t="s">
        <v>2105</v>
      </c>
      <c r="E4552" s="0" t="s">
        <v>2045</v>
      </c>
      <c r="F4552" s="0" t="s">
        <v>2192</v>
      </c>
      <c r="G4552" s="0" t="s">
        <v>2195</v>
      </c>
      <c r="H4552" s="0" t="s">
        <v>2171</v>
      </c>
      <c r="I4552" s="0" t="s">
        <v>2167</v>
      </c>
      <c r="J4552" s="0" t="s">
        <v>2358</v>
      </c>
      <c r="K4552" s="272" t="n">
        <v>142371.43</v>
      </c>
    </row>
    <row r="4553" customFormat="false" ht="15" hidden="false" customHeight="false" outlineLevel="0" collapsed="false">
      <c r="A4553" s="0" t="s">
        <v>2041</v>
      </c>
      <c r="B4553" s="0" t="s">
        <v>2042</v>
      </c>
      <c r="C4553" s="0" t="s">
        <v>2352</v>
      </c>
      <c r="D4553" s="0" t="s">
        <v>2105</v>
      </c>
      <c r="E4553" s="0" t="s">
        <v>2045</v>
      </c>
      <c r="F4553" s="0" t="s">
        <v>2192</v>
      </c>
      <c r="G4553" s="0" t="s">
        <v>2195</v>
      </c>
      <c r="H4553" s="0" t="s">
        <v>2171</v>
      </c>
      <c r="I4553" s="0" t="s">
        <v>2322</v>
      </c>
      <c r="J4553" s="0" t="s">
        <v>2358</v>
      </c>
      <c r="K4553" s="272" t="n">
        <v>10704642.86</v>
      </c>
    </row>
    <row r="4554" customFormat="false" ht="15" hidden="false" customHeight="false" outlineLevel="0" collapsed="false">
      <c r="A4554" s="0" t="s">
        <v>2041</v>
      </c>
      <c r="B4554" s="0" t="s">
        <v>2042</v>
      </c>
      <c r="C4554" s="0" t="s">
        <v>2359</v>
      </c>
      <c r="D4554" s="0" t="s">
        <v>2105</v>
      </c>
      <c r="E4554" s="0" t="s">
        <v>2045</v>
      </c>
      <c r="F4554" s="0" t="s">
        <v>2192</v>
      </c>
      <c r="G4554" s="0" t="s">
        <v>2195</v>
      </c>
      <c r="H4554" s="0" t="s">
        <v>2171</v>
      </c>
      <c r="I4554" s="0" t="s">
        <v>2322</v>
      </c>
      <c r="J4554" s="0" t="s">
        <v>2358</v>
      </c>
      <c r="K4554" s="272" t="n">
        <v>1998514.03</v>
      </c>
    </row>
    <row r="4555" customFormat="false" ht="15" hidden="false" customHeight="false" outlineLevel="0" collapsed="false">
      <c r="A4555" s="0" t="s">
        <v>2041</v>
      </c>
      <c r="B4555" s="0" t="s">
        <v>2042</v>
      </c>
      <c r="C4555" s="0" t="s">
        <v>2362</v>
      </c>
      <c r="D4555" s="0" t="s">
        <v>2105</v>
      </c>
      <c r="E4555" s="0" t="s">
        <v>2045</v>
      </c>
      <c r="F4555" s="0" t="s">
        <v>2192</v>
      </c>
      <c r="G4555" s="0" t="s">
        <v>2195</v>
      </c>
      <c r="H4555" s="0" t="s">
        <v>2171</v>
      </c>
      <c r="I4555" s="0" t="s">
        <v>2322</v>
      </c>
      <c r="J4555" s="0" t="s">
        <v>2358</v>
      </c>
      <c r="K4555" s="272" t="n">
        <v>889523.8</v>
      </c>
    </row>
    <row r="4556" customFormat="false" ht="15" hidden="false" customHeight="false" outlineLevel="0" collapsed="false">
      <c r="A4556" s="0" t="s">
        <v>2041</v>
      </c>
      <c r="B4556" s="0" t="s">
        <v>2042</v>
      </c>
      <c r="C4556" s="0" t="s">
        <v>2156</v>
      </c>
      <c r="D4556" s="0" t="s">
        <v>2105</v>
      </c>
      <c r="E4556" s="0" t="s">
        <v>2045</v>
      </c>
      <c r="F4556" s="0" t="s">
        <v>2192</v>
      </c>
      <c r="G4556" s="0" t="s">
        <v>2195</v>
      </c>
      <c r="H4556" s="0" t="s">
        <v>2171</v>
      </c>
      <c r="I4556" s="0" t="s">
        <v>2322</v>
      </c>
      <c r="J4556" s="0" t="s">
        <v>2358</v>
      </c>
      <c r="K4556" s="272" t="n">
        <v>72020000</v>
      </c>
    </row>
    <row r="4557" customFormat="false" ht="15" hidden="false" customHeight="false" outlineLevel="0" collapsed="false">
      <c r="A4557" s="0" t="s">
        <v>2041</v>
      </c>
      <c r="B4557" s="0" t="s">
        <v>2042</v>
      </c>
      <c r="C4557" s="0" t="s">
        <v>2360</v>
      </c>
      <c r="D4557" s="0" t="s">
        <v>2105</v>
      </c>
      <c r="E4557" s="0" t="s">
        <v>2045</v>
      </c>
      <c r="F4557" s="0" t="s">
        <v>2192</v>
      </c>
      <c r="G4557" s="0" t="s">
        <v>2195</v>
      </c>
      <c r="H4557" s="0" t="s">
        <v>2171</v>
      </c>
      <c r="I4557" s="0" t="s">
        <v>2322</v>
      </c>
      <c r="J4557" s="0" t="s">
        <v>2358</v>
      </c>
      <c r="K4557" s="272" t="n">
        <v>2299</v>
      </c>
    </row>
    <row r="4558" customFormat="false" ht="15" hidden="false" customHeight="false" outlineLevel="0" collapsed="false">
      <c r="A4558" s="0" t="s">
        <v>2041</v>
      </c>
      <c r="B4558" s="0" t="s">
        <v>2042</v>
      </c>
      <c r="C4558" s="0" t="s">
        <v>2161</v>
      </c>
      <c r="D4558" s="0" t="s">
        <v>2105</v>
      </c>
      <c r="E4558" s="0" t="s">
        <v>2045</v>
      </c>
      <c r="F4558" s="0" t="s">
        <v>2192</v>
      </c>
      <c r="G4558" s="0" t="s">
        <v>2195</v>
      </c>
      <c r="H4558" s="0" t="s">
        <v>2171</v>
      </c>
      <c r="I4558" s="0" t="s">
        <v>2322</v>
      </c>
      <c r="J4558" s="0" t="s">
        <v>2358</v>
      </c>
      <c r="K4558" s="272" t="n">
        <v>15246245</v>
      </c>
    </row>
    <row r="4559" customFormat="false" ht="15" hidden="false" customHeight="false" outlineLevel="0" collapsed="false">
      <c r="A4559" s="0" t="s">
        <v>2041</v>
      </c>
      <c r="B4559" s="0" t="s">
        <v>2042</v>
      </c>
      <c r="C4559" s="0" t="s">
        <v>2349</v>
      </c>
      <c r="D4559" s="0" t="s">
        <v>2105</v>
      </c>
      <c r="E4559" s="0" t="s">
        <v>2045</v>
      </c>
      <c r="F4559" s="0" t="s">
        <v>2192</v>
      </c>
      <c r="G4559" s="0" t="s">
        <v>2195</v>
      </c>
      <c r="H4559" s="0" t="s">
        <v>2171</v>
      </c>
      <c r="I4559" s="0" t="s">
        <v>2322</v>
      </c>
      <c r="J4559" s="0" t="s">
        <v>2358</v>
      </c>
      <c r="K4559" s="272" t="n">
        <v>3663601.44</v>
      </c>
    </row>
    <row r="4560" customFormat="false" ht="15" hidden="false" customHeight="false" outlineLevel="0" collapsed="false">
      <c r="A4560" s="0" t="s">
        <v>2041</v>
      </c>
      <c r="B4560" s="0" t="s">
        <v>2042</v>
      </c>
      <c r="C4560" s="0" t="s">
        <v>2352</v>
      </c>
      <c r="D4560" s="0" t="s">
        <v>2105</v>
      </c>
      <c r="E4560" s="0" t="s">
        <v>2045</v>
      </c>
      <c r="F4560" s="0" t="s">
        <v>2192</v>
      </c>
      <c r="G4560" s="0" t="s">
        <v>2195</v>
      </c>
      <c r="H4560" s="0" t="s">
        <v>2162</v>
      </c>
      <c r="I4560" s="0" t="s">
        <v>2124</v>
      </c>
      <c r="J4560" s="0" t="s">
        <v>2358</v>
      </c>
      <c r="K4560" s="272" t="n">
        <v>2052857.14</v>
      </c>
    </row>
    <row r="4561" customFormat="false" ht="15" hidden="false" customHeight="false" outlineLevel="0" collapsed="false">
      <c r="A4561" s="0" t="s">
        <v>2041</v>
      </c>
      <c r="B4561" s="0" t="s">
        <v>2042</v>
      </c>
      <c r="C4561" s="0" t="s">
        <v>2359</v>
      </c>
      <c r="D4561" s="0" t="s">
        <v>2105</v>
      </c>
      <c r="E4561" s="0" t="s">
        <v>2045</v>
      </c>
      <c r="F4561" s="0" t="s">
        <v>2192</v>
      </c>
      <c r="G4561" s="0" t="s">
        <v>2195</v>
      </c>
      <c r="H4561" s="0" t="s">
        <v>2162</v>
      </c>
      <c r="I4561" s="0" t="s">
        <v>2124</v>
      </c>
      <c r="J4561" s="0" t="s">
        <v>2358</v>
      </c>
      <c r="K4561" s="272" t="n">
        <v>53880.5</v>
      </c>
    </row>
    <row r="4562" customFormat="false" ht="15" hidden="false" customHeight="false" outlineLevel="0" collapsed="false">
      <c r="A4562" s="0" t="s">
        <v>2041</v>
      </c>
      <c r="B4562" s="0" t="s">
        <v>2042</v>
      </c>
      <c r="C4562" s="0" t="s">
        <v>2362</v>
      </c>
      <c r="D4562" s="0" t="s">
        <v>2105</v>
      </c>
      <c r="E4562" s="0" t="s">
        <v>2045</v>
      </c>
      <c r="F4562" s="0" t="s">
        <v>2192</v>
      </c>
      <c r="G4562" s="0" t="s">
        <v>2195</v>
      </c>
      <c r="H4562" s="0" t="s">
        <v>2162</v>
      </c>
      <c r="I4562" s="0" t="s">
        <v>2124</v>
      </c>
      <c r="J4562" s="0" t="s">
        <v>2358</v>
      </c>
      <c r="K4562" s="272" t="n">
        <v>36190.48</v>
      </c>
    </row>
    <row r="4563" customFormat="false" ht="15" hidden="false" customHeight="false" outlineLevel="0" collapsed="false">
      <c r="A4563" s="0" t="s">
        <v>2041</v>
      </c>
      <c r="B4563" s="0" t="s">
        <v>2042</v>
      </c>
      <c r="C4563" s="0" t="s">
        <v>2156</v>
      </c>
      <c r="D4563" s="0" t="s">
        <v>2105</v>
      </c>
      <c r="E4563" s="0" t="s">
        <v>2045</v>
      </c>
      <c r="F4563" s="0" t="s">
        <v>2192</v>
      </c>
      <c r="G4563" s="0" t="s">
        <v>2195</v>
      </c>
      <c r="H4563" s="0" t="s">
        <v>2162</v>
      </c>
      <c r="I4563" s="0" t="s">
        <v>2124</v>
      </c>
      <c r="J4563" s="0" t="s">
        <v>2358</v>
      </c>
      <c r="K4563" s="272" t="n">
        <v>16600000</v>
      </c>
    </row>
    <row r="4564" customFormat="false" ht="15" hidden="false" customHeight="false" outlineLevel="0" collapsed="false">
      <c r="A4564" s="0" t="s">
        <v>2041</v>
      </c>
      <c r="B4564" s="0" t="s">
        <v>2042</v>
      </c>
      <c r="C4564" s="0" t="s">
        <v>2161</v>
      </c>
      <c r="D4564" s="0" t="s">
        <v>2105</v>
      </c>
      <c r="E4564" s="0" t="s">
        <v>2045</v>
      </c>
      <c r="F4564" s="0" t="s">
        <v>2192</v>
      </c>
      <c r="G4564" s="0" t="s">
        <v>2195</v>
      </c>
      <c r="H4564" s="0" t="s">
        <v>2162</v>
      </c>
      <c r="I4564" s="0" t="s">
        <v>2124</v>
      </c>
      <c r="J4564" s="0" t="s">
        <v>2358</v>
      </c>
      <c r="K4564" s="272" t="n">
        <v>2990699.49</v>
      </c>
    </row>
    <row r="4565" customFormat="false" ht="15" hidden="false" customHeight="false" outlineLevel="0" collapsed="false">
      <c r="A4565" s="0" t="s">
        <v>2041</v>
      </c>
      <c r="B4565" s="0" t="s">
        <v>2042</v>
      </c>
      <c r="C4565" s="0" t="s">
        <v>2349</v>
      </c>
      <c r="D4565" s="0" t="s">
        <v>2105</v>
      </c>
      <c r="E4565" s="0" t="s">
        <v>2045</v>
      </c>
      <c r="F4565" s="0" t="s">
        <v>2192</v>
      </c>
      <c r="G4565" s="0" t="s">
        <v>2195</v>
      </c>
      <c r="H4565" s="0" t="s">
        <v>2162</v>
      </c>
      <c r="I4565" s="0" t="s">
        <v>2124</v>
      </c>
      <c r="J4565" s="0" t="s">
        <v>2358</v>
      </c>
      <c r="K4565" s="272" t="n">
        <v>641772.930000001</v>
      </c>
    </row>
    <row r="4566" customFormat="false" ht="15" hidden="false" customHeight="false" outlineLevel="0" collapsed="false">
      <c r="A4566" s="0" t="s">
        <v>2041</v>
      </c>
      <c r="B4566" s="0" t="s">
        <v>2042</v>
      </c>
      <c r="C4566" s="0" t="s">
        <v>2352</v>
      </c>
      <c r="D4566" s="0" t="s">
        <v>2105</v>
      </c>
      <c r="E4566" s="0" t="s">
        <v>2045</v>
      </c>
      <c r="F4566" s="0" t="s">
        <v>2192</v>
      </c>
      <c r="G4566" s="0" t="s">
        <v>2195</v>
      </c>
      <c r="H4566" s="0" t="s">
        <v>2162</v>
      </c>
      <c r="I4566" s="0" t="s">
        <v>2322</v>
      </c>
      <c r="J4566" s="0" t="s">
        <v>2358</v>
      </c>
      <c r="K4566" s="272" t="n">
        <v>265000</v>
      </c>
    </row>
    <row r="4567" customFormat="false" ht="15" hidden="false" customHeight="false" outlineLevel="0" collapsed="false">
      <c r="A4567" s="0" t="s">
        <v>2041</v>
      </c>
      <c r="B4567" s="0" t="s">
        <v>2042</v>
      </c>
      <c r="C4567" s="0" t="s">
        <v>2359</v>
      </c>
      <c r="D4567" s="0" t="s">
        <v>2105</v>
      </c>
      <c r="E4567" s="0" t="s">
        <v>2045</v>
      </c>
      <c r="F4567" s="0" t="s">
        <v>2192</v>
      </c>
      <c r="G4567" s="0" t="s">
        <v>2195</v>
      </c>
      <c r="H4567" s="0" t="s">
        <v>2162</v>
      </c>
      <c r="I4567" s="0" t="s">
        <v>2322</v>
      </c>
      <c r="J4567" s="0" t="s">
        <v>2358</v>
      </c>
      <c r="K4567" s="272" t="n">
        <v>792186.51</v>
      </c>
    </row>
    <row r="4568" customFormat="false" ht="15" hidden="false" customHeight="false" outlineLevel="0" collapsed="false">
      <c r="A4568" s="0" t="s">
        <v>2041</v>
      </c>
      <c r="B4568" s="0" t="s">
        <v>2042</v>
      </c>
      <c r="C4568" s="0" t="s">
        <v>2156</v>
      </c>
      <c r="D4568" s="0" t="s">
        <v>2105</v>
      </c>
      <c r="E4568" s="0" t="s">
        <v>2045</v>
      </c>
      <c r="F4568" s="0" t="s">
        <v>2192</v>
      </c>
      <c r="G4568" s="0" t="s">
        <v>2195</v>
      </c>
      <c r="H4568" s="0" t="s">
        <v>2162</v>
      </c>
      <c r="I4568" s="0" t="s">
        <v>2322</v>
      </c>
      <c r="J4568" s="0" t="s">
        <v>2358</v>
      </c>
      <c r="K4568" s="272" t="n">
        <v>400000</v>
      </c>
    </row>
    <row r="4569" customFormat="false" ht="15" hidden="false" customHeight="false" outlineLevel="0" collapsed="false">
      <c r="A4569" s="0" t="s">
        <v>2041</v>
      </c>
      <c r="B4569" s="0" t="s">
        <v>2042</v>
      </c>
      <c r="C4569" s="0" t="s">
        <v>2161</v>
      </c>
      <c r="D4569" s="0" t="s">
        <v>2105</v>
      </c>
      <c r="E4569" s="0" t="s">
        <v>2045</v>
      </c>
      <c r="F4569" s="0" t="s">
        <v>2192</v>
      </c>
      <c r="G4569" s="0" t="s">
        <v>2195</v>
      </c>
      <c r="H4569" s="0" t="s">
        <v>2162</v>
      </c>
      <c r="I4569" s="0" t="s">
        <v>2322</v>
      </c>
      <c r="J4569" s="0" t="s">
        <v>2358</v>
      </c>
      <c r="K4569" s="272" t="n">
        <v>120800</v>
      </c>
    </row>
    <row r="4570" customFormat="false" ht="15" hidden="false" customHeight="false" outlineLevel="0" collapsed="false">
      <c r="A4570" s="0" t="s">
        <v>2041</v>
      </c>
      <c r="B4570" s="0" t="s">
        <v>2042</v>
      </c>
      <c r="C4570" s="0" t="s">
        <v>2349</v>
      </c>
      <c r="D4570" s="0" t="s">
        <v>2105</v>
      </c>
      <c r="E4570" s="0" t="s">
        <v>2045</v>
      </c>
      <c r="F4570" s="0" t="s">
        <v>2192</v>
      </c>
      <c r="G4570" s="0" t="s">
        <v>2195</v>
      </c>
      <c r="H4570" s="0" t="s">
        <v>2162</v>
      </c>
      <c r="I4570" s="0" t="s">
        <v>2322</v>
      </c>
      <c r="J4570" s="0" t="s">
        <v>2358</v>
      </c>
      <c r="K4570" s="272" t="n">
        <v>319270.32</v>
      </c>
    </row>
    <row r="4571" customFormat="false" ht="15" hidden="false" customHeight="false" outlineLevel="0" collapsed="false">
      <c r="A4571" s="0" t="s">
        <v>2041</v>
      </c>
      <c r="B4571" s="0" t="s">
        <v>2042</v>
      </c>
      <c r="C4571" s="0" t="s">
        <v>2352</v>
      </c>
      <c r="D4571" s="0" t="s">
        <v>2105</v>
      </c>
      <c r="E4571" s="0" t="s">
        <v>2045</v>
      </c>
      <c r="F4571" s="0" t="s">
        <v>2192</v>
      </c>
      <c r="G4571" s="0" t="s">
        <v>2196</v>
      </c>
      <c r="H4571" s="0" t="s">
        <v>2162</v>
      </c>
      <c r="I4571" s="0" t="s">
        <v>2124</v>
      </c>
      <c r="J4571" s="0" t="s">
        <v>2358</v>
      </c>
      <c r="K4571" s="272" t="n">
        <v>1380857.14</v>
      </c>
    </row>
    <row r="4572" customFormat="false" ht="15" hidden="false" customHeight="false" outlineLevel="0" collapsed="false">
      <c r="A4572" s="0" t="s">
        <v>2041</v>
      </c>
      <c r="B4572" s="0" t="s">
        <v>2042</v>
      </c>
      <c r="C4572" s="0" t="s">
        <v>2359</v>
      </c>
      <c r="D4572" s="0" t="s">
        <v>2105</v>
      </c>
      <c r="E4572" s="0" t="s">
        <v>2045</v>
      </c>
      <c r="F4572" s="0" t="s">
        <v>2192</v>
      </c>
      <c r="G4572" s="0" t="s">
        <v>2196</v>
      </c>
      <c r="H4572" s="0" t="s">
        <v>2162</v>
      </c>
      <c r="I4572" s="0" t="s">
        <v>2124</v>
      </c>
      <c r="J4572" s="0" t="s">
        <v>2358</v>
      </c>
      <c r="K4572" s="272" t="n">
        <v>138641.03</v>
      </c>
    </row>
    <row r="4573" customFormat="false" ht="15" hidden="false" customHeight="false" outlineLevel="0" collapsed="false">
      <c r="A4573" s="0" t="s">
        <v>2041</v>
      </c>
      <c r="B4573" s="0" t="s">
        <v>2042</v>
      </c>
      <c r="C4573" s="0" t="s">
        <v>2156</v>
      </c>
      <c r="D4573" s="0" t="s">
        <v>2105</v>
      </c>
      <c r="E4573" s="0" t="s">
        <v>2045</v>
      </c>
      <c r="F4573" s="0" t="s">
        <v>2192</v>
      </c>
      <c r="G4573" s="0" t="s">
        <v>2196</v>
      </c>
      <c r="H4573" s="0" t="s">
        <v>2162</v>
      </c>
      <c r="I4573" s="0" t="s">
        <v>2124</v>
      </c>
      <c r="J4573" s="0" t="s">
        <v>2358</v>
      </c>
      <c r="K4573" s="272" t="n">
        <v>8500000</v>
      </c>
    </row>
    <row r="4574" customFormat="false" ht="15" hidden="false" customHeight="false" outlineLevel="0" collapsed="false">
      <c r="A4574" s="0" t="s">
        <v>2041</v>
      </c>
      <c r="B4574" s="0" t="s">
        <v>2042</v>
      </c>
      <c r="C4574" s="0" t="s">
        <v>2161</v>
      </c>
      <c r="D4574" s="0" t="s">
        <v>2105</v>
      </c>
      <c r="E4574" s="0" t="s">
        <v>2045</v>
      </c>
      <c r="F4574" s="0" t="s">
        <v>2192</v>
      </c>
      <c r="G4574" s="0" t="s">
        <v>2196</v>
      </c>
      <c r="H4574" s="0" t="s">
        <v>2162</v>
      </c>
      <c r="I4574" s="0" t="s">
        <v>2124</v>
      </c>
      <c r="J4574" s="0" t="s">
        <v>2358</v>
      </c>
      <c r="K4574" s="272" t="n">
        <v>1735738.53</v>
      </c>
    </row>
    <row r="4575" customFormat="false" ht="15" hidden="false" customHeight="false" outlineLevel="0" collapsed="false">
      <c r="A4575" s="0" t="s">
        <v>2041</v>
      </c>
      <c r="B4575" s="0" t="s">
        <v>2042</v>
      </c>
      <c r="C4575" s="0" t="s">
        <v>2349</v>
      </c>
      <c r="D4575" s="0" t="s">
        <v>2105</v>
      </c>
      <c r="E4575" s="0" t="s">
        <v>2045</v>
      </c>
      <c r="F4575" s="0" t="s">
        <v>2192</v>
      </c>
      <c r="G4575" s="0" t="s">
        <v>2196</v>
      </c>
      <c r="H4575" s="0" t="s">
        <v>2162</v>
      </c>
      <c r="I4575" s="0" t="s">
        <v>2124</v>
      </c>
      <c r="J4575" s="0" t="s">
        <v>2358</v>
      </c>
      <c r="K4575" s="272" t="n">
        <v>438760.36</v>
      </c>
    </row>
    <row r="4576" customFormat="false" ht="15" hidden="false" customHeight="false" outlineLevel="0" collapsed="false">
      <c r="A4576" s="0" t="s">
        <v>2041</v>
      </c>
      <c r="B4576" s="0" t="s">
        <v>2042</v>
      </c>
      <c r="C4576" s="0" t="s">
        <v>2359</v>
      </c>
      <c r="D4576" s="0" t="s">
        <v>2105</v>
      </c>
      <c r="E4576" s="0" t="s">
        <v>2045</v>
      </c>
      <c r="F4576" s="0" t="s">
        <v>2192</v>
      </c>
      <c r="G4576" s="0" t="s">
        <v>2196</v>
      </c>
      <c r="H4576" s="0" t="s">
        <v>2162</v>
      </c>
      <c r="I4576" s="0" t="s">
        <v>2197</v>
      </c>
      <c r="J4576" s="0" t="s">
        <v>2358</v>
      </c>
      <c r="K4576" s="272" t="n">
        <v>190537.03</v>
      </c>
    </row>
    <row r="4577" customFormat="false" ht="15" hidden="false" customHeight="false" outlineLevel="0" collapsed="false">
      <c r="A4577" s="0" t="s">
        <v>2041</v>
      </c>
      <c r="B4577" s="0" t="s">
        <v>2042</v>
      </c>
      <c r="C4577" s="0" t="s">
        <v>2156</v>
      </c>
      <c r="D4577" s="0" t="s">
        <v>2105</v>
      </c>
      <c r="E4577" s="0" t="s">
        <v>2045</v>
      </c>
      <c r="F4577" s="0" t="s">
        <v>2192</v>
      </c>
      <c r="G4577" s="0" t="s">
        <v>2196</v>
      </c>
      <c r="H4577" s="0" t="s">
        <v>2162</v>
      </c>
      <c r="I4577" s="0" t="s">
        <v>2197</v>
      </c>
      <c r="J4577" s="0" t="s">
        <v>2358</v>
      </c>
      <c r="K4577" s="272" t="n">
        <v>3300000</v>
      </c>
    </row>
    <row r="4578" customFormat="false" ht="15" hidden="false" customHeight="false" outlineLevel="0" collapsed="false">
      <c r="A4578" s="0" t="s">
        <v>2041</v>
      </c>
      <c r="B4578" s="0" t="s">
        <v>2042</v>
      </c>
      <c r="C4578" s="0" t="s">
        <v>2360</v>
      </c>
      <c r="D4578" s="0" t="s">
        <v>2105</v>
      </c>
      <c r="E4578" s="0" t="s">
        <v>2045</v>
      </c>
      <c r="F4578" s="0" t="s">
        <v>2192</v>
      </c>
      <c r="G4578" s="0" t="s">
        <v>2196</v>
      </c>
      <c r="H4578" s="0" t="s">
        <v>2162</v>
      </c>
      <c r="I4578" s="0" t="s">
        <v>2197</v>
      </c>
      <c r="J4578" s="0" t="s">
        <v>2358</v>
      </c>
      <c r="K4578" s="272" t="n">
        <v>4226</v>
      </c>
    </row>
    <row r="4579" customFormat="false" ht="15" hidden="false" customHeight="false" outlineLevel="0" collapsed="false">
      <c r="A4579" s="0" t="s">
        <v>2041</v>
      </c>
      <c r="B4579" s="0" t="s">
        <v>2042</v>
      </c>
      <c r="C4579" s="0" t="s">
        <v>2365</v>
      </c>
      <c r="D4579" s="0" t="s">
        <v>2105</v>
      </c>
      <c r="E4579" s="0" t="s">
        <v>2045</v>
      </c>
      <c r="F4579" s="0" t="s">
        <v>2192</v>
      </c>
      <c r="G4579" s="0" t="s">
        <v>2196</v>
      </c>
      <c r="H4579" s="0" t="s">
        <v>2162</v>
      </c>
      <c r="I4579" s="0" t="s">
        <v>2197</v>
      </c>
      <c r="J4579" s="0" t="s">
        <v>2358</v>
      </c>
      <c r="K4579" s="272" t="n">
        <v>269006.79</v>
      </c>
    </row>
    <row r="4580" customFormat="false" ht="15" hidden="false" customHeight="false" outlineLevel="0" collapsed="false">
      <c r="A4580" s="0" t="s">
        <v>2041</v>
      </c>
      <c r="B4580" s="0" t="s">
        <v>2042</v>
      </c>
      <c r="C4580" s="0" t="s">
        <v>2161</v>
      </c>
      <c r="D4580" s="0" t="s">
        <v>2105</v>
      </c>
      <c r="E4580" s="0" t="s">
        <v>2045</v>
      </c>
      <c r="F4580" s="0" t="s">
        <v>2192</v>
      </c>
      <c r="G4580" s="0" t="s">
        <v>2196</v>
      </c>
      <c r="H4580" s="0" t="s">
        <v>2162</v>
      </c>
      <c r="I4580" s="0" t="s">
        <v>2197</v>
      </c>
      <c r="J4580" s="0" t="s">
        <v>2358</v>
      </c>
      <c r="K4580" s="272" t="n">
        <v>924240</v>
      </c>
    </row>
    <row r="4581" customFormat="false" ht="15" hidden="false" customHeight="false" outlineLevel="0" collapsed="false">
      <c r="A4581" s="0" t="s">
        <v>2041</v>
      </c>
      <c r="B4581" s="0" t="s">
        <v>2042</v>
      </c>
      <c r="C4581" s="0" t="s">
        <v>2349</v>
      </c>
      <c r="D4581" s="0" t="s">
        <v>2105</v>
      </c>
      <c r="E4581" s="0" t="s">
        <v>2045</v>
      </c>
      <c r="F4581" s="0" t="s">
        <v>2192</v>
      </c>
      <c r="G4581" s="0" t="s">
        <v>2196</v>
      </c>
      <c r="H4581" s="0" t="s">
        <v>2162</v>
      </c>
      <c r="I4581" s="0" t="s">
        <v>2197</v>
      </c>
      <c r="J4581" s="0" t="s">
        <v>2358</v>
      </c>
      <c r="K4581" s="272" t="n">
        <v>56376.7700000001</v>
      </c>
    </row>
    <row r="4582" customFormat="false" ht="15" hidden="false" customHeight="false" outlineLevel="0" collapsed="false">
      <c r="A4582" s="0" t="s">
        <v>2041</v>
      </c>
      <c r="B4582" s="0" t="s">
        <v>2042</v>
      </c>
      <c r="C4582" s="0" t="s">
        <v>2366</v>
      </c>
      <c r="D4582" s="0" t="s">
        <v>2105</v>
      </c>
      <c r="E4582" s="0" t="s">
        <v>2045</v>
      </c>
      <c r="F4582" s="0" t="s">
        <v>2192</v>
      </c>
      <c r="G4582" s="0" t="s">
        <v>2196</v>
      </c>
      <c r="H4582" s="0" t="s">
        <v>2162</v>
      </c>
      <c r="I4582" s="0" t="s">
        <v>2197</v>
      </c>
      <c r="J4582" s="0" t="s">
        <v>2358</v>
      </c>
      <c r="K4582" s="272" t="n">
        <v>935857.14</v>
      </c>
    </row>
    <row r="4583" customFormat="false" ht="15" hidden="false" customHeight="false" outlineLevel="0" collapsed="false">
      <c r="A4583" s="0" t="s">
        <v>2041</v>
      </c>
      <c r="B4583" s="0" t="s">
        <v>2042</v>
      </c>
      <c r="C4583" s="0" t="s">
        <v>2352</v>
      </c>
      <c r="D4583" s="0" t="s">
        <v>2105</v>
      </c>
      <c r="E4583" s="0" t="s">
        <v>2045</v>
      </c>
      <c r="F4583" s="0" t="s">
        <v>2192</v>
      </c>
      <c r="G4583" s="0" t="s">
        <v>2196</v>
      </c>
      <c r="H4583" s="0" t="s">
        <v>2162</v>
      </c>
      <c r="I4583" s="0" t="s">
        <v>2322</v>
      </c>
      <c r="J4583" s="0" t="s">
        <v>2358</v>
      </c>
      <c r="K4583" s="272" t="n">
        <v>13522651.79</v>
      </c>
    </row>
    <row r="4584" customFormat="false" ht="15" hidden="false" customHeight="false" outlineLevel="0" collapsed="false">
      <c r="A4584" s="0" t="s">
        <v>2041</v>
      </c>
      <c r="B4584" s="0" t="s">
        <v>2042</v>
      </c>
      <c r="C4584" s="0" t="s">
        <v>2359</v>
      </c>
      <c r="D4584" s="0" t="s">
        <v>2105</v>
      </c>
      <c r="E4584" s="0" t="s">
        <v>2045</v>
      </c>
      <c r="F4584" s="0" t="s">
        <v>2192</v>
      </c>
      <c r="G4584" s="0" t="s">
        <v>2196</v>
      </c>
      <c r="H4584" s="0" t="s">
        <v>2162</v>
      </c>
      <c r="I4584" s="0" t="s">
        <v>2322</v>
      </c>
      <c r="J4584" s="0" t="s">
        <v>2358</v>
      </c>
      <c r="K4584" s="272" t="n">
        <v>2115844.35</v>
      </c>
    </row>
    <row r="4585" customFormat="false" ht="15" hidden="false" customHeight="false" outlineLevel="0" collapsed="false">
      <c r="A4585" s="0" t="s">
        <v>2041</v>
      </c>
      <c r="B4585" s="0" t="s">
        <v>2042</v>
      </c>
      <c r="C4585" s="0" t="s">
        <v>2361</v>
      </c>
      <c r="D4585" s="0" t="s">
        <v>2105</v>
      </c>
      <c r="E4585" s="0" t="s">
        <v>2045</v>
      </c>
      <c r="F4585" s="0" t="s">
        <v>2192</v>
      </c>
      <c r="G4585" s="0" t="s">
        <v>2196</v>
      </c>
      <c r="H4585" s="0" t="s">
        <v>2162</v>
      </c>
      <c r="I4585" s="0" t="s">
        <v>2322</v>
      </c>
      <c r="J4585" s="0" t="s">
        <v>2358</v>
      </c>
      <c r="K4585" s="272" t="n">
        <v>184.06</v>
      </c>
    </row>
    <row r="4586" customFormat="false" ht="15" hidden="false" customHeight="false" outlineLevel="0" collapsed="false">
      <c r="A4586" s="0" t="s">
        <v>2041</v>
      </c>
      <c r="B4586" s="0" t="s">
        <v>2042</v>
      </c>
      <c r="C4586" s="0" t="s">
        <v>2156</v>
      </c>
      <c r="D4586" s="0" t="s">
        <v>2105</v>
      </c>
      <c r="E4586" s="0" t="s">
        <v>2045</v>
      </c>
      <c r="F4586" s="0" t="s">
        <v>2192</v>
      </c>
      <c r="G4586" s="0" t="s">
        <v>2196</v>
      </c>
      <c r="H4586" s="0" t="s">
        <v>2162</v>
      </c>
      <c r="I4586" s="0" t="s">
        <v>2322</v>
      </c>
      <c r="J4586" s="0" t="s">
        <v>2358</v>
      </c>
      <c r="K4586" s="272" t="n">
        <v>42370000</v>
      </c>
    </row>
    <row r="4587" customFormat="false" ht="15" hidden="false" customHeight="false" outlineLevel="0" collapsed="false">
      <c r="A4587" s="0" t="s">
        <v>2041</v>
      </c>
      <c r="B4587" s="0" t="s">
        <v>2042</v>
      </c>
      <c r="C4587" s="0" t="s">
        <v>2360</v>
      </c>
      <c r="D4587" s="0" t="s">
        <v>2105</v>
      </c>
      <c r="E4587" s="0" t="s">
        <v>2045</v>
      </c>
      <c r="F4587" s="0" t="s">
        <v>2192</v>
      </c>
      <c r="G4587" s="0" t="s">
        <v>2196</v>
      </c>
      <c r="H4587" s="0" t="s">
        <v>2162</v>
      </c>
      <c r="I4587" s="0" t="s">
        <v>2322</v>
      </c>
      <c r="J4587" s="0" t="s">
        <v>2358</v>
      </c>
      <c r="K4587" s="272" t="n">
        <v>745</v>
      </c>
    </row>
    <row r="4588" customFormat="false" ht="15" hidden="false" customHeight="false" outlineLevel="0" collapsed="false">
      <c r="A4588" s="0" t="s">
        <v>2041</v>
      </c>
      <c r="B4588" s="0" t="s">
        <v>2042</v>
      </c>
      <c r="C4588" s="0" t="s">
        <v>2161</v>
      </c>
      <c r="D4588" s="0" t="s">
        <v>2105</v>
      </c>
      <c r="E4588" s="0" t="s">
        <v>2045</v>
      </c>
      <c r="F4588" s="0" t="s">
        <v>2192</v>
      </c>
      <c r="G4588" s="0" t="s">
        <v>2196</v>
      </c>
      <c r="H4588" s="0" t="s">
        <v>2162</v>
      </c>
      <c r="I4588" s="0" t="s">
        <v>2322</v>
      </c>
      <c r="J4588" s="0" t="s">
        <v>2358</v>
      </c>
      <c r="K4588" s="272" t="n">
        <v>9796206.08</v>
      </c>
    </row>
    <row r="4589" customFormat="false" ht="15" hidden="false" customHeight="false" outlineLevel="0" collapsed="false">
      <c r="A4589" s="0" t="s">
        <v>2041</v>
      </c>
      <c r="B4589" s="0" t="s">
        <v>2042</v>
      </c>
      <c r="C4589" s="0" t="s">
        <v>2349</v>
      </c>
      <c r="D4589" s="0" t="s">
        <v>2105</v>
      </c>
      <c r="E4589" s="0" t="s">
        <v>2045</v>
      </c>
      <c r="F4589" s="0" t="s">
        <v>2192</v>
      </c>
      <c r="G4589" s="0" t="s">
        <v>2196</v>
      </c>
      <c r="H4589" s="0" t="s">
        <v>2162</v>
      </c>
      <c r="I4589" s="0" t="s">
        <v>2322</v>
      </c>
      <c r="J4589" s="0" t="s">
        <v>2358</v>
      </c>
      <c r="K4589" s="272" t="n">
        <v>4533281.3</v>
      </c>
    </row>
    <row r="4590" customFormat="false" ht="15" hidden="false" customHeight="false" outlineLevel="0" collapsed="false">
      <c r="A4590" s="0" t="s">
        <v>2041</v>
      </c>
      <c r="B4590" s="0" t="s">
        <v>2042</v>
      </c>
      <c r="C4590" s="0" t="s">
        <v>2347</v>
      </c>
      <c r="D4590" s="0" t="s">
        <v>2105</v>
      </c>
      <c r="E4590" s="0" t="s">
        <v>2045</v>
      </c>
      <c r="F4590" s="0" t="s">
        <v>2192</v>
      </c>
      <c r="G4590" s="0" t="s">
        <v>2196</v>
      </c>
      <c r="H4590" s="0" t="s">
        <v>2162</v>
      </c>
      <c r="I4590" s="0" t="s">
        <v>2322</v>
      </c>
      <c r="J4590" s="0" t="s">
        <v>2358</v>
      </c>
      <c r="K4590" s="272" t="n">
        <v>11025.89</v>
      </c>
    </row>
    <row r="4591" customFormat="false" ht="15" hidden="false" customHeight="false" outlineLevel="0" collapsed="false">
      <c r="A4591" s="0" t="s">
        <v>2041</v>
      </c>
      <c r="B4591" s="0" t="s">
        <v>2042</v>
      </c>
      <c r="C4591" s="0" t="s">
        <v>2352</v>
      </c>
      <c r="D4591" s="0" t="s">
        <v>2105</v>
      </c>
      <c r="E4591" s="0" t="s">
        <v>2045</v>
      </c>
      <c r="F4591" s="0" t="s">
        <v>2198</v>
      </c>
      <c r="G4591" s="0" t="s">
        <v>2199</v>
      </c>
      <c r="H4591" s="0" t="s">
        <v>2200</v>
      </c>
      <c r="I4591" s="0" t="s">
        <v>2124</v>
      </c>
      <c r="J4591" s="0" t="s">
        <v>2358</v>
      </c>
      <c r="K4591" s="272" t="n">
        <v>3068071.435</v>
      </c>
    </row>
    <row r="4592" customFormat="false" ht="15" hidden="false" customHeight="false" outlineLevel="0" collapsed="false">
      <c r="A4592" s="0" t="s">
        <v>2041</v>
      </c>
      <c r="B4592" s="0" t="s">
        <v>2042</v>
      </c>
      <c r="C4592" s="0" t="s">
        <v>2359</v>
      </c>
      <c r="D4592" s="0" t="s">
        <v>2105</v>
      </c>
      <c r="E4592" s="0" t="s">
        <v>2045</v>
      </c>
      <c r="F4592" s="0" t="s">
        <v>2198</v>
      </c>
      <c r="G4592" s="0" t="s">
        <v>2199</v>
      </c>
      <c r="H4592" s="0" t="s">
        <v>2200</v>
      </c>
      <c r="I4592" s="0" t="s">
        <v>2124</v>
      </c>
      <c r="J4592" s="0" t="s">
        <v>2358</v>
      </c>
      <c r="K4592" s="272" t="n">
        <v>320582.43</v>
      </c>
    </row>
    <row r="4593" customFormat="false" ht="15" hidden="false" customHeight="false" outlineLevel="0" collapsed="false">
      <c r="A4593" s="0" t="s">
        <v>2041</v>
      </c>
      <c r="B4593" s="0" t="s">
        <v>2042</v>
      </c>
      <c r="C4593" s="0" t="s">
        <v>2361</v>
      </c>
      <c r="D4593" s="0" t="s">
        <v>2105</v>
      </c>
      <c r="E4593" s="0" t="s">
        <v>2045</v>
      </c>
      <c r="F4593" s="0" t="s">
        <v>2198</v>
      </c>
      <c r="G4593" s="0" t="s">
        <v>2199</v>
      </c>
      <c r="H4593" s="0" t="s">
        <v>2200</v>
      </c>
      <c r="I4593" s="0" t="s">
        <v>2124</v>
      </c>
      <c r="J4593" s="0" t="s">
        <v>2358</v>
      </c>
      <c r="K4593" s="272" t="n">
        <v>21561.135</v>
      </c>
    </row>
    <row r="4594" customFormat="false" ht="15" hidden="false" customHeight="false" outlineLevel="0" collapsed="false">
      <c r="A4594" s="0" t="s">
        <v>2041</v>
      </c>
      <c r="B4594" s="0" t="s">
        <v>2042</v>
      </c>
      <c r="C4594" s="0" t="s">
        <v>2156</v>
      </c>
      <c r="D4594" s="0" t="s">
        <v>2105</v>
      </c>
      <c r="E4594" s="0" t="s">
        <v>2045</v>
      </c>
      <c r="F4594" s="0" t="s">
        <v>2198</v>
      </c>
      <c r="G4594" s="0" t="s">
        <v>2199</v>
      </c>
      <c r="H4594" s="0" t="s">
        <v>2200</v>
      </c>
      <c r="I4594" s="0" t="s">
        <v>2124</v>
      </c>
      <c r="J4594" s="0" t="s">
        <v>2358</v>
      </c>
      <c r="K4594" s="272" t="n">
        <v>77834554</v>
      </c>
    </row>
    <row r="4595" customFormat="false" ht="15" hidden="false" customHeight="false" outlineLevel="0" collapsed="false">
      <c r="A4595" s="0" t="s">
        <v>2041</v>
      </c>
      <c r="B4595" s="0" t="s">
        <v>2042</v>
      </c>
      <c r="C4595" s="0" t="s">
        <v>2161</v>
      </c>
      <c r="D4595" s="0" t="s">
        <v>2105</v>
      </c>
      <c r="E4595" s="0" t="s">
        <v>2045</v>
      </c>
      <c r="F4595" s="0" t="s">
        <v>2198</v>
      </c>
      <c r="G4595" s="0" t="s">
        <v>2199</v>
      </c>
      <c r="H4595" s="0" t="s">
        <v>2200</v>
      </c>
      <c r="I4595" s="0" t="s">
        <v>2124</v>
      </c>
      <c r="J4595" s="0" t="s">
        <v>2358</v>
      </c>
      <c r="K4595" s="272" t="n">
        <v>12636913.79</v>
      </c>
    </row>
    <row r="4596" customFormat="false" ht="15" hidden="false" customHeight="false" outlineLevel="0" collapsed="false">
      <c r="A4596" s="0" t="s">
        <v>2041</v>
      </c>
      <c r="B4596" s="0" t="s">
        <v>2042</v>
      </c>
      <c r="C4596" s="0" t="s">
        <v>2349</v>
      </c>
      <c r="D4596" s="0" t="s">
        <v>2105</v>
      </c>
      <c r="E4596" s="0" t="s">
        <v>2045</v>
      </c>
      <c r="F4596" s="0" t="s">
        <v>2198</v>
      </c>
      <c r="G4596" s="0" t="s">
        <v>2199</v>
      </c>
      <c r="H4596" s="0" t="s">
        <v>2200</v>
      </c>
      <c r="I4596" s="0" t="s">
        <v>2124</v>
      </c>
      <c r="J4596" s="0" t="s">
        <v>2358</v>
      </c>
      <c r="K4596" s="272" t="n">
        <v>713565.1275</v>
      </c>
    </row>
    <row r="4597" customFormat="false" ht="15" hidden="false" customHeight="false" outlineLevel="0" collapsed="false">
      <c r="A4597" s="0" t="s">
        <v>2041</v>
      </c>
      <c r="B4597" s="0" t="s">
        <v>2042</v>
      </c>
      <c r="C4597" s="0" t="s">
        <v>2352</v>
      </c>
      <c r="D4597" s="0" t="s">
        <v>2105</v>
      </c>
      <c r="E4597" s="0" t="s">
        <v>2045</v>
      </c>
      <c r="F4597" s="0" t="s">
        <v>2198</v>
      </c>
      <c r="G4597" s="0" t="s">
        <v>2199</v>
      </c>
      <c r="H4597" s="0" t="s">
        <v>2200</v>
      </c>
      <c r="I4597" s="0" t="s">
        <v>2201</v>
      </c>
      <c r="J4597" s="0" t="s">
        <v>2358</v>
      </c>
      <c r="K4597" s="272" t="n">
        <v>1115000</v>
      </c>
    </row>
    <row r="4598" customFormat="false" ht="15" hidden="false" customHeight="false" outlineLevel="0" collapsed="false">
      <c r="A4598" s="0" t="s">
        <v>2041</v>
      </c>
      <c r="B4598" s="0" t="s">
        <v>2042</v>
      </c>
      <c r="C4598" s="0" t="s">
        <v>2359</v>
      </c>
      <c r="D4598" s="0" t="s">
        <v>2105</v>
      </c>
      <c r="E4598" s="0" t="s">
        <v>2045</v>
      </c>
      <c r="F4598" s="0" t="s">
        <v>2198</v>
      </c>
      <c r="G4598" s="0" t="s">
        <v>2199</v>
      </c>
      <c r="H4598" s="0" t="s">
        <v>2200</v>
      </c>
      <c r="I4598" s="0" t="s">
        <v>2201</v>
      </c>
      <c r="J4598" s="0" t="s">
        <v>2358</v>
      </c>
      <c r="K4598" s="272" t="n">
        <v>23407.76</v>
      </c>
    </row>
    <row r="4599" customFormat="false" ht="15" hidden="false" customHeight="false" outlineLevel="0" collapsed="false">
      <c r="A4599" s="0" t="s">
        <v>2041</v>
      </c>
      <c r="B4599" s="0" t="s">
        <v>2042</v>
      </c>
      <c r="C4599" s="0" t="s">
        <v>2156</v>
      </c>
      <c r="D4599" s="0" t="s">
        <v>2105</v>
      </c>
      <c r="E4599" s="0" t="s">
        <v>2045</v>
      </c>
      <c r="F4599" s="0" t="s">
        <v>2198</v>
      </c>
      <c r="G4599" s="0" t="s">
        <v>2199</v>
      </c>
      <c r="H4599" s="0" t="s">
        <v>2200</v>
      </c>
      <c r="I4599" s="0" t="s">
        <v>2201</v>
      </c>
      <c r="J4599" s="0" t="s">
        <v>2358</v>
      </c>
      <c r="K4599" s="272" t="n">
        <v>2000000</v>
      </c>
    </row>
    <row r="4600" customFormat="false" ht="15" hidden="false" customHeight="false" outlineLevel="0" collapsed="false">
      <c r="A4600" s="0" t="s">
        <v>2041</v>
      </c>
      <c r="B4600" s="0" t="s">
        <v>2042</v>
      </c>
      <c r="C4600" s="0" t="s">
        <v>2161</v>
      </c>
      <c r="D4600" s="0" t="s">
        <v>2105</v>
      </c>
      <c r="E4600" s="0" t="s">
        <v>2045</v>
      </c>
      <c r="F4600" s="0" t="s">
        <v>2198</v>
      </c>
      <c r="G4600" s="0" t="s">
        <v>2199</v>
      </c>
      <c r="H4600" s="0" t="s">
        <v>2200</v>
      </c>
      <c r="I4600" s="0" t="s">
        <v>2201</v>
      </c>
      <c r="J4600" s="0" t="s">
        <v>2358</v>
      </c>
      <c r="K4600" s="272" t="n">
        <v>573281.27</v>
      </c>
    </row>
    <row r="4601" customFormat="false" ht="15" hidden="false" customHeight="false" outlineLevel="0" collapsed="false">
      <c r="A4601" s="0" t="s">
        <v>2041</v>
      </c>
      <c r="B4601" s="0" t="s">
        <v>2042</v>
      </c>
      <c r="C4601" s="0" t="s">
        <v>2349</v>
      </c>
      <c r="D4601" s="0" t="s">
        <v>2105</v>
      </c>
      <c r="E4601" s="0" t="s">
        <v>2045</v>
      </c>
      <c r="F4601" s="0" t="s">
        <v>2198</v>
      </c>
      <c r="G4601" s="0" t="s">
        <v>2199</v>
      </c>
      <c r="H4601" s="0" t="s">
        <v>2200</v>
      </c>
      <c r="I4601" s="0" t="s">
        <v>2201</v>
      </c>
      <c r="J4601" s="0" t="s">
        <v>2358</v>
      </c>
      <c r="K4601" s="272" t="n">
        <v>340311.39</v>
      </c>
    </row>
    <row r="4602" customFormat="false" ht="15" hidden="false" customHeight="false" outlineLevel="0" collapsed="false">
      <c r="A4602" s="0" t="s">
        <v>2041</v>
      </c>
      <c r="B4602" s="0" t="s">
        <v>2042</v>
      </c>
      <c r="C4602" s="0" t="s">
        <v>2352</v>
      </c>
      <c r="D4602" s="0" t="s">
        <v>2105</v>
      </c>
      <c r="E4602" s="0" t="s">
        <v>2045</v>
      </c>
      <c r="F4602" s="0" t="s">
        <v>2198</v>
      </c>
      <c r="G4602" s="0" t="s">
        <v>2199</v>
      </c>
      <c r="H4602" s="0" t="s">
        <v>2200</v>
      </c>
      <c r="I4602" s="0" t="s">
        <v>2322</v>
      </c>
      <c r="J4602" s="0" t="s">
        <v>2358</v>
      </c>
      <c r="K4602" s="272" t="n">
        <v>14966078.7375</v>
      </c>
    </row>
    <row r="4603" customFormat="false" ht="15" hidden="false" customHeight="false" outlineLevel="0" collapsed="false">
      <c r="A4603" s="0" t="s">
        <v>2041</v>
      </c>
      <c r="B4603" s="0" t="s">
        <v>2042</v>
      </c>
      <c r="C4603" s="0" t="s">
        <v>2359</v>
      </c>
      <c r="D4603" s="0" t="s">
        <v>2105</v>
      </c>
      <c r="E4603" s="0" t="s">
        <v>2045</v>
      </c>
      <c r="F4603" s="0" t="s">
        <v>2198</v>
      </c>
      <c r="G4603" s="0" t="s">
        <v>2199</v>
      </c>
      <c r="H4603" s="0" t="s">
        <v>2200</v>
      </c>
      <c r="I4603" s="0" t="s">
        <v>2322</v>
      </c>
      <c r="J4603" s="0" t="s">
        <v>2358</v>
      </c>
      <c r="K4603" s="272" t="n">
        <v>6008479.9775</v>
      </c>
    </row>
    <row r="4604" customFormat="false" ht="15" hidden="false" customHeight="false" outlineLevel="0" collapsed="false">
      <c r="A4604" s="0" t="s">
        <v>2041</v>
      </c>
      <c r="B4604" s="0" t="s">
        <v>2042</v>
      </c>
      <c r="C4604" s="0" t="s">
        <v>2362</v>
      </c>
      <c r="D4604" s="0" t="s">
        <v>2105</v>
      </c>
      <c r="E4604" s="0" t="s">
        <v>2045</v>
      </c>
      <c r="F4604" s="0" t="s">
        <v>2198</v>
      </c>
      <c r="G4604" s="0" t="s">
        <v>2199</v>
      </c>
      <c r="H4604" s="0" t="s">
        <v>2200</v>
      </c>
      <c r="I4604" s="0" t="s">
        <v>2322</v>
      </c>
      <c r="J4604" s="0" t="s">
        <v>2358</v>
      </c>
      <c r="K4604" s="272" t="n">
        <v>250172.605</v>
      </c>
    </row>
    <row r="4605" customFormat="false" ht="15" hidden="false" customHeight="false" outlineLevel="0" collapsed="false">
      <c r="A4605" s="0" t="s">
        <v>2041</v>
      </c>
      <c r="B4605" s="0" t="s">
        <v>2042</v>
      </c>
      <c r="C4605" s="0" t="s">
        <v>2364</v>
      </c>
      <c r="D4605" s="0" t="s">
        <v>2105</v>
      </c>
      <c r="E4605" s="0" t="s">
        <v>2045</v>
      </c>
      <c r="F4605" s="0" t="s">
        <v>2198</v>
      </c>
      <c r="G4605" s="0" t="s">
        <v>2199</v>
      </c>
      <c r="H4605" s="0" t="s">
        <v>2200</v>
      </c>
      <c r="I4605" s="0" t="s">
        <v>2322</v>
      </c>
      <c r="J4605" s="0" t="s">
        <v>2358</v>
      </c>
      <c r="K4605" s="272" t="n">
        <v>217500</v>
      </c>
    </row>
    <row r="4606" customFormat="false" ht="15" hidden="false" customHeight="false" outlineLevel="0" collapsed="false">
      <c r="A4606" s="0" t="s">
        <v>2041</v>
      </c>
      <c r="B4606" s="0" t="s">
        <v>2042</v>
      </c>
      <c r="C4606" s="0" t="s">
        <v>2361</v>
      </c>
      <c r="D4606" s="0" t="s">
        <v>2105</v>
      </c>
      <c r="E4606" s="0" t="s">
        <v>2045</v>
      </c>
      <c r="F4606" s="0" t="s">
        <v>2198</v>
      </c>
      <c r="G4606" s="0" t="s">
        <v>2199</v>
      </c>
      <c r="H4606" s="0" t="s">
        <v>2200</v>
      </c>
      <c r="I4606" s="0" t="s">
        <v>2322</v>
      </c>
      <c r="J4606" s="0" t="s">
        <v>2358</v>
      </c>
      <c r="K4606" s="272" t="n">
        <v>3178204.8</v>
      </c>
    </row>
    <row r="4607" customFormat="false" ht="15" hidden="false" customHeight="false" outlineLevel="0" collapsed="false">
      <c r="A4607" s="0" t="s">
        <v>2041</v>
      </c>
      <c r="B4607" s="0" t="s">
        <v>2042</v>
      </c>
      <c r="C4607" s="0" t="s">
        <v>2156</v>
      </c>
      <c r="D4607" s="0" t="s">
        <v>2105</v>
      </c>
      <c r="E4607" s="0" t="s">
        <v>2045</v>
      </c>
      <c r="F4607" s="0" t="s">
        <v>2198</v>
      </c>
      <c r="G4607" s="0" t="s">
        <v>2199</v>
      </c>
      <c r="H4607" s="0" t="s">
        <v>2200</v>
      </c>
      <c r="I4607" s="0" t="s">
        <v>2322</v>
      </c>
      <c r="J4607" s="0" t="s">
        <v>2358</v>
      </c>
      <c r="K4607" s="272" t="n">
        <v>176690000</v>
      </c>
    </row>
    <row r="4608" customFormat="false" ht="15" hidden="false" customHeight="false" outlineLevel="0" collapsed="false">
      <c r="A4608" s="0" t="s">
        <v>2041</v>
      </c>
      <c r="B4608" s="0" t="s">
        <v>2042</v>
      </c>
      <c r="C4608" s="0" t="s">
        <v>2360</v>
      </c>
      <c r="D4608" s="0" t="s">
        <v>2105</v>
      </c>
      <c r="E4608" s="0" t="s">
        <v>2045</v>
      </c>
      <c r="F4608" s="0" t="s">
        <v>2198</v>
      </c>
      <c r="G4608" s="0" t="s">
        <v>2199</v>
      </c>
      <c r="H4608" s="0" t="s">
        <v>2200</v>
      </c>
      <c r="I4608" s="0" t="s">
        <v>2322</v>
      </c>
      <c r="J4608" s="0" t="s">
        <v>2358</v>
      </c>
      <c r="K4608" s="272" t="n">
        <v>527</v>
      </c>
    </row>
    <row r="4609" customFormat="false" ht="15" hidden="false" customHeight="false" outlineLevel="0" collapsed="false">
      <c r="A4609" s="0" t="s">
        <v>2041</v>
      </c>
      <c r="B4609" s="0" t="s">
        <v>2042</v>
      </c>
      <c r="C4609" s="0" t="s">
        <v>2161</v>
      </c>
      <c r="D4609" s="0" t="s">
        <v>2105</v>
      </c>
      <c r="E4609" s="0" t="s">
        <v>2045</v>
      </c>
      <c r="F4609" s="0" t="s">
        <v>2198</v>
      </c>
      <c r="G4609" s="0" t="s">
        <v>2199</v>
      </c>
      <c r="H4609" s="0" t="s">
        <v>2200</v>
      </c>
      <c r="I4609" s="0" t="s">
        <v>2322</v>
      </c>
      <c r="J4609" s="0" t="s">
        <v>2358</v>
      </c>
      <c r="K4609" s="272" t="n">
        <v>32820949.47</v>
      </c>
    </row>
    <row r="4610" customFormat="false" ht="15" hidden="false" customHeight="false" outlineLevel="0" collapsed="false">
      <c r="A4610" s="0" t="s">
        <v>2041</v>
      </c>
      <c r="B4610" s="0" t="s">
        <v>2042</v>
      </c>
      <c r="C4610" s="0" t="s">
        <v>2349</v>
      </c>
      <c r="D4610" s="0" t="s">
        <v>2105</v>
      </c>
      <c r="E4610" s="0" t="s">
        <v>2045</v>
      </c>
      <c r="F4610" s="0" t="s">
        <v>2198</v>
      </c>
      <c r="G4610" s="0" t="s">
        <v>2199</v>
      </c>
      <c r="H4610" s="0" t="s">
        <v>2200</v>
      </c>
      <c r="I4610" s="0" t="s">
        <v>2322</v>
      </c>
      <c r="J4610" s="0" t="s">
        <v>2358</v>
      </c>
      <c r="K4610" s="272" t="n">
        <v>6250873.775</v>
      </c>
    </row>
    <row r="4611" customFormat="false" ht="15" hidden="false" customHeight="false" outlineLevel="0" collapsed="false">
      <c r="A4611" s="0" t="s">
        <v>2041</v>
      </c>
      <c r="B4611" s="0" t="s">
        <v>2042</v>
      </c>
      <c r="C4611" s="0" t="s">
        <v>2352</v>
      </c>
      <c r="D4611" s="0" t="s">
        <v>2105</v>
      </c>
      <c r="E4611" s="0" t="s">
        <v>2045</v>
      </c>
      <c r="F4611" s="0" t="s">
        <v>2198</v>
      </c>
      <c r="G4611" s="0" t="s">
        <v>2199</v>
      </c>
      <c r="H4611" s="0" t="s">
        <v>2202</v>
      </c>
      <c r="I4611" s="0" t="s">
        <v>2124</v>
      </c>
      <c r="J4611" s="0" t="s">
        <v>2358</v>
      </c>
      <c r="K4611" s="272" t="n">
        <v>520776.94</v>
      </c>
    </row>
    <row r="4612" customFormat="false" ht="15" hidden="false" customHeight="false" outlineLevel="0" collapsed="false">
      <c r="A4612" s="0" t="s">
        <v>2041</v>
      </c>
      <c r="B4612" s="0" t="s">
        <v>2042</v>
      </c>
      <c r="C4612" s="0" t="s">
        <v>2359</v>
      </c>
      <c r="D4612" s="0" t="s">
        <v>2105</v>
      </c>
      <c r="E4612" s="0" t="s">
        <v>2045</v>
      </c>
      <c r="F4612" s="0" t="s">
        <v>2198</v>
      </c>
      <c r="G4612" s="0" t="s">
        <v>2199</v>
      </c>
      <c r="H4612" s="0" t="s">
        <v>2202</v>
      </c>
      <c r="I4612" s="0" t="s">
        <v>2124</v>
      </c>
      <c r="J4612" s="0" t="s">
        <v>2358</v>
      </c>
      <c r="K4612" s="272" t="n">
        <v>125474.075</v>
      </c>
    </row>
    <row r="4613" customFormat="false" ht="15" hidden="false" customHeight="false" outlineLevel="0" collapsed="false">
      <c r="A4613" s="0" t="s">
        <v>2041</v>
      </c>
      <c r="B4613" s="0" t="s">
        <v>2042</v>
      </c>
      <c r="C4613" s="0" t="s">
        <v>2361</v>
      </c>
      <c r="D4613" s="0" t="s">
        <v>2105</v>
      </c>
      <c r="E4613" s="0" t="s">
        <v>2045</v>
      </c>
      <c r="F4613" s="0" t="s">
        <v>2198</v>
      </c>
      <c r="G4613" s="0" t="s">
        <v>2199</v>
      </c>
      <c r="H4613" s="0" t="s">
        <v>2202</v>
      </c>
      <c r="I4613" s="0" t="s">
        <v>2124</v>
      </c>
      <c r="J4613" s="0" t="s">
        <v>2358</v>
      </c>
      <c r="K4613" s="272" t="n">
        <v>242.52</v>
      </c>
    </row>
    <row r="4614" customFormat="false" ht="15" hidden="false" customHeight="false" outlineLevel="0" collapsed="false">
      <c r="A4614" s="0" t="s">
        <v>2041</v>
      </c>
      <c r="B4614" s="0" t="s">
        <v>2042</v>
      </c>
      <c r="C4614" s="0" t="s">
        <v>2156</v>
      </c>
      <c r="D4614" s="0" t="s">
        <v>2105</v>
      </c>
      <c r="E4614" s="0" t="s">
        <v>2045</v>
      </c>
      <c r="F4614" s="0" t="s">
        <v>2198</v>
      </c>
      <c r="G4614" s="0" t="s">
        <v>2199</v>
      </c>
      <c r="H4614" s="0" t="s">
        <v>2202</v>
      </c>
      <c r="I4614" s="0" t="s">
        <v>2124</v>
      </c>
      <c r="J4614" s="0" t="s">
        <v>2358</v>
      </c>
      <c r="K4614" s="272" t="n">
        <v>3000000</v>
      </c>
    </row>
    <row r="4615" customFormat="false" ht="15" hidden="false" customHeight="false" outlineLevel="0" collapsed="false">
      <c r="A4615" s="0" t="s">
        <v>2041</v>
      </c>
      <c r="B4615" s="0" t="s">
        <v>2042</v>
      </c>
      <c r="C4615" s="0" t="s">
        <v>2161</v>
      </c>
      <c r="D4615" s="0" t="s">
        <v>2105</v>
      </c>
      <c r="E4615" s="0" t="s">
        <v>2045</v>
      </c>
      <c r="F4615" s="0" t="s">
        <v>2198</v>
      </c>
      <c r="G4615" s="0" t="s">
        <v>2199</v>
      </c>
      <c r="H4615" s="0" t="s">
        <v>2202</v>
      </c>
      <c r="I4615" s="0" t="s">
        <v>2124</v>
      </c>
      <c r="J4615" s="0" t="s">
        <v>2358</v>
      </c>
      <c r="K4615" s="272" t="n">
        <v>536866.03</v>
      </c>
    </row>
    <row r="4616" customFormat="false" ht="15" hidden="false" customHeight="false" outlineLevel="0" collapsed="false">
      <c r="A4616" s="0" t="s">
        <v>2041</v>
      </c>
      <c r="B4616" s="0" t="s">
        <v>2042</v>
      </c>
      <c r="C4616" s="0" t="s">
        <v>2349</v>
      </c>
      <c r="D4616" s="0" t="s">
        <v>2105</v>
      </c>
      <c r="E4616" s="0" t="s">
        <v>2045</v>
      </c>
      <c r="F4616" s="0" t="s">
        <v>2198</v>
      </c>
      <c r="G4616" s="0" t="s">
        <v>2199</v>
      </c>
      <c r="H4616" s="0" t="s">
        <v>2202</v>
      </c>
      <c r="I4616" s="0" t="s">
        <v>2124</v>
      </c>
      <c r="J4616" s="0" t="s">
        <v>2358</v>
      </c>
      <c r="K4616" s="272" t="n">
        <v>175446.0225</v>
      </c>
    </row>
    <row r="4617" customFormat="false" ht="15" hidden="false" customHeight="false" outlineLevel="0" collapsed="false">
      <c r="A4617" s="0" t="s">
        <v>2041</v>
      </c>
      <c r="B4617" s="0" t="s">
        <v>2042</v>
      </c>
      <c r="C4617" s="0" t="s">
        <v>2352</v>
      </c>
      <c r="D4617" s="0" t="s">
        <v>2105</v>
      </c>
      <c r="E4617" s="0" t="s">
        <v>2045</v>
      </c>
      <c r="F4617" s="0" t="s">
        <v>2198</v>
      </c>
      <c r="G4617" s="0" t="s">
        <v>2199</v>
      </c>
      <c r="H4617" s="0" t="s">
        <v>2202</v>
      </c>
      <c r="I4617" s="0" t="s">
        <v>2322</v>
      </c>
      <c r="J4617" s="0" t="s">
        <v>2358</v>
      </c>
      <c r="K4617" s="272" t="n">
        <v>2302373.0325</v>
      </c>
    </row>
    <row r="4618" customFormat="false" ht="15" hidden="false" customHeight="false" outlineLevel="0" collapsed="false">
      <c r="A4618" s="0" t="s">
        <v>2041</v>
      </c>
      <c r="B4618" s="0" t="s">
        <v>2042</v>
      </c>
      <c r="C4618" s="0" t="s">
        <v>2359</v>
      </c>
      <c r="D4618" s="0" t="s">
        <v>2105</v>
      </c>
      <c r="E4618" s="0" t="s">
        <v>2045</v>
      </c>
      <c r="F4618" s="0" t="s">
        <v>2198</v>
      </c>
      <c r="G4618" s="0" t="s">
        <v>2199</v>
      </c>
      <c r="H4618" s="0" t="s">
        <v>2202</v>
      </c>
      <c r="I4618" s="0" t="s">
        <v>2322</v>
      </c>
      <c r="J4618" s="0" t="s">
        <v>2358</v>
      </c>
      <c r="K4618" s="272" t="n">
        <v>483282.3325</v>
      </c>
    </row>
    <row r="4619" customFormat="false" ht="15" hidden="false" customHeight="false" outlineLevel="0" collapsed="false">
      <c r="A4619" s="0" t="s">
        <v>2041</v>
      </c>
      <c r="B4619" s="0" t="s">
        <v>2042</v>
      </c>
      <c r="C4619" s="0" t="s">
        <v>2362</v>
      </c>
      <c r="D4619" s="0" t="s">
        <v>2105</v>
      </c>
      <c r="E4619" s="0" t="s">
        <v>2045</v>
      </c>
      <c r="F4619" s="0" t="s">
        <v>2198</v>
      </c>
      <c r="G4619" s="0" t="s">
        <v>2199</v>
      </c>
      <c r="H4619" s="0" t="s">
        <v>2202</v>
      </c>
      <c r="I4619" s="0" t="s">
        <v>2322</v>
      </c>
      <c r="J4619" s="0" t="s">
        <v>2358</v>
      </c>
      <c r="K4619" s="272" t="n">
        <v>26785.715</v>
      </c>
    </row>
    <row r="4620" customFormat="false" ht="15" hidden="false" customHeight="false" outlineLevel="0" collapsed="false">
      <c r="A4620" s="0" t="s">
        <v>2041</v>
      </c>
      <c r="B4620" s="0" t="s">
        <v>2042</v>
      </c>
      <c r="C4620" s="0" t="s">
        <v>2364</v>
      </c>
      <c r="D4620" s="0" t="s">
        <v>2105</v>
      </c>
      <c r="E4620" s="0" t="s">
        <v>2045</v>
      </c>
      <c r="F4620" s="0" t="s">
        <v>2198</v>
      </c>
      <c r="G4620" s="0" t="s">
        <v>2199</v>
      </c>
      <c r="H4620" s="0" t="s">
        <v>2202</v>
      </c>
      <c r="I4620" s="0" t="s">
        <v>2322</v>
      </c>
      <c r="J4620" s="0" t="s">
        <v>2358</v>
      </c>
      <c r="K4620" s="272" t="n">
        <v>217500</v>
      </c>
    </row>
    <row r="4621" customFormat="false" ht="15" hidden="false" customHeight="false" outlineLevel="0" collapsed="false">
      <c r="A4621" s="0" t="s">
        <v>2041</v>
      </c>
      <c r="B4621" s="0" t="s">
        <v>2042</v>
      </c>
      <c r="C4621" s="0" t="s">
        <v>2361</v>
      </c>
      <c r="D4621" s="0" t="s">
        <v>2105</v>
      </c>
      <c r="E4621" s="0" t="s">
        <v>2045</v>
      </c>
      <c r="F4621" s="0" t="s">
        <v>2198</v>
      </c>
      <c r="G4621" s="0" t="s">
        <v>2199</v>
      </c>
      <c r="H4621" s="0" t="s">
        <v>2202</v>
      </c>
      <c r="I4621" s="0" t="s">
        <v>2322</v>
      </c>
      <c r="J4621" s="0" t="s">
        <v>2358</v>
      </c>
      <c r="K4621" s="272" t="n">
        <v>23809.525</v>
      </c>
    </row>
    <row r="4622" customFormat="false" ht="15" hidden="false" customHeight="false" outlineLevel="0" collapsed="false">
      <c r="A4622" s="0" t="s">
        <v>2041</v>
      </c>
      <c r="B4622" s="0" t="s">
        <v>2042</v>
      </c>
      <c r="C4622" s="0" t="s">
        <v>2156</v>
      </c>
      <c r="D4622" s="0" t="s">
        <v>2105</v>
      </c>
      <c r="E4622" s="0" t="s">
        <v>2045</v>
      </c>
      <c r="F4622" s="0" t="s">
        <v>2198</v>
      </c>
      <c r="G4622" s="0" t="s">
        <v>2199</v>
      </c>
      <c r="H4622" s="0" t="s">
        <v>2202</v>
      </c>
      <c r="I4622" s="0" t="s">
        <v>2322</v>
      </c>
      <c r="J4622" s="0" t="s">
        <v>2358</v>
      </c>
      <c r="K4622" s="272" t="n">
        <v>19675000</v>
      </c>
    </row>
    <row r="4623" customFormat="false" ht="15" hidden="false" customHeight="false" outlineLevel="0" collapsed="false">
      <c r="A4623" s="0" t="s">
        <v>2041</v>
      </c>
      <c r="B4623" s="0" t="s">
        <v>2042</v>
      </c>
      <c r="C4623" s="0" t="s">
        <v>2161</v>
      </c>
      <c r="D4623" s="0" t="s">
        <v>2105</v>
      </c>
      <c r="E4623" s="0" t="s">
        <v>2045</v>
      </c>
      <c r="F4623" s="0" t="s">
        <v>2198</v>
      </c>
      <c r="G4623" s="0" t="s">
        <v>2199</v>
      </c>
      <c r="H4623" s="0" t="s">
        <v>2202</v>
      </c>
      <c r="I4623" s="0" t="s">
        <v>2322</v>
      </c>
      <c r="J4623" s="0" t="s">
        <v>2358</v>
      </c>
      <c r="K4623" s="272" t="n">
        <v>3759215.17</v>
      </c>
    </row>
    <row r="4624" customFormat="false" ht="15" hidden="false" customHeight="false" outlineLevel="0" collapsed="false">
      <c r="A4624" s="0" t="s">
        <v>2041</v>
      </c>
      <c r="B4624" s="0" t="s">
        <v>2042</v>
      </c>
      <c r="C4624" s="0" t="s">
        <v>2349</v>
      </c>
      <c r="D4624" s="0" t="s">
        <v>2105</v>
      </c>
      <c r="E4624" s="0" t="s">
        <v>2045</v>
      </c>
      <c r="F4624" s="0" t="s">
        <v>2198</v>
      </c>
      <c r="G4624" s="0" t="s">
        <v>2199</v>
      </c>
      <c r="H4624" s="0" t="s">
        <v>2202</v>
      </c>
      <c r="I4624" s="0" t="s">
        <v>2322</v>
      </c>
      <c r="J4624" s="0" t="s">
        <v>2358</v>
      </c>
      <c r="K4624" s="272" t="n">
        <v>783470.27</v>
      </c>
    </row>
    <row r="4625" customFormat="false" ht="15" hidden="false" customHeight="false" outlineLevel="0" collapsed="false">
      <c r="A4625" s="0" t="s">
        <v>2041</v>
      </c>
      <c r="B4625" s="0" t="s">
        <v>2042</v>
      </c>
      <c r="C4625" s="0" t="s">
        <v>2352</v>
      </c>
      <c r="D4625" s="0" t="s">
        <v>2105</v>
      </c>
      <c r="E4625" s="0" t="s">
        <v>2045</v>
      </c>
      <c r="F4625" s="0" t="s">
        <v>2198</v>
      </c>
      <c r="G4625" s="0" t="s">
        <v>2199</v>
      </c>
      <c r="H4625" s="0" t="s">
        <v>2203</v>
      </c>
      <c r="I4625" s="0" t="s">
        <v>2124</v>
      </c>
      <c r="J4625" s="0" t="s">
        <v>2358</v>
      </c>
      <c r="K4625" s="272" t="n">
        <v>2124913.895</v>
      </c>
    </row>
    <row r="4626" customFormat="false" ht="15" hidden="false" customHeight="false" outlineLevel="0" collapsed="false">
      <c r="A4626" s="0" t="s">
        <v>2041</v>
      </c>
      <c r="B4626" s="0" t="s">
        <v>2042</v>
      </c>
      <c r="C4626" s="0" t="s">
        <v>2359</v>
      </c>
      <c r="D4626" s="0" t="s">
        <v>2105</v>
      </c>
      <c r="E4626" s="0" t="s">
        <v>2045</v>
      </c>
      <c r="F4626" s="0" t="s">
        <v>2198</v>
      </c>
      <c r="G4626" s="0" t="s">
        <v>2199</v>
      </c>
      <c r="H4626" s="0" t="s">
        <v>2203</v>
      </c>
      <c r="I4626" s="0" t="s">
        <v>2124</v>
      </c>
      <c r="J4626" s="0" t="s">
        <v>2358</v>
      </c>
      <c r="K4626" s="272" t="n">
        <v>459169.685</v>
      </c>
    </row>
    <row r="4627" customFormat="false" ht="15" hidden="false" customHeight="false" outlineLevel="0" collapsed="false">
      <c r="A4627" s="0" t="s">
        <v>2041</v>
      </c>
      <c r="B4627" s="0" t="s">
        <v>2042</v>
      </c>
      <c r="C4627" s="0" t="s">
        <v>2361</v>
      </c>
      <c r="D4627" s="0" t="s">
        <v>2105</v>
      </c>
      <c r="E4627" s="0" t="s">
        <v>2045</v>
      </c>
      <c r="F4627" s="0" t="s">
        <v>2198</v>
      </c>
      <c r="G4627" s="0" t="s">
        <v>2199</v>
      </c>
      <c r="H4627" s="0" t="s">
        <v>2203</v>
      </c>
      <c r="I4627" s="0" t="s">
        <v>2124</v>
      </c>
      <c r="J4627" s="0" t="s">
        <v>2358</v>
      </c>
      <c r="K4627" s="272" t="n">
        <v>21803.655</v>
      </c>
    </row>
    <row r="4628" customFormat="false" ht="15" hidden="false" customHeight="false" outlineLevel="0" collapsed="false">
      <c r="A4628" s="0" t="s">
        <v>2041</v>
      </c>
      <c r="B4628" s="0" t="s">
        <v>2042</v>
      </c>
      <c r="C4628" s="0" t="s">
        <v>2156</v>
      </c>
      <c r="D4628" s="0" t="s">
        <v>2105</v>
      </c>
      <c r="E4628" s="0" t="s">
        <v>2045</v>
      </c>
      <c r="F4628" s="0" t="s">
        <v>2198</v>
      </c>
      <c r="G4628" s="0" t="s">
        <v>2199</v>
      </c>
      <c r="H4628" s="0" t="s">
        <v>2203</v>
      </c>
      <c r="I4628" s="0" t="s">
        <v>2124</v>
      </c>
      <c r="J4628" s="0" t="s">
        <v>2358</v>
      </c>
      <c r="K4628" s="272" t="n">
        <v>20800000</v>
      </c>
    </row>
    <row r="4629" customFormat="false" ht="15" hidden="false" customHeight="false" outlineLevel="0" collapsed="false">
      <c r="A4629" s="0" t="s">
        <v>2041</v>
      </c>
      <c r="B4629" s="0" t="s">
        <v>2042</v>
      </c>
      <c r="C4629" s="0" t="s">
        <v>2161</v>
      </c>
      <c r="D4629" s="0" t="s">
        <v>2105</v>
      </c>
      <c r="E4629" s="0" t="s">
        <v>2045</v>
      </c>
      <c r="F4629" s="0" t="s">
        <v>2198</v>
      </c>
      <c r="G4629" s="0" t="s">
        <v>2199</v>
      </c>
      <c r="H4629" s="0" t="s">
        <v>2203</v>
      </c>
      <c r="I4629" s="0" t="s">
        <v>2124</v>
      </c>
      <c r="J4629" s="0" t="s">
        <v>2358</v>
      </c>
      <c r="K4629" s="272" t="n">
        <v>4245329.41</v>
      </c>
    </row>
    <row r="4630" customFormat="false" ht="15" hidden="false" customHeight="false" outlineLevel="0" collapsed="false">
      <c r="A4630" s="0" t="s">
        <v>2041</v>
      </c>
      <c r="B4630" s="0" t="s">
        <v>2042</v>
      </c>
      <c r="C4630" s="0" t="s">
        <v>2349</v>
      </c>
      <c r="D4630" s="0" t="s">
        <v>2105</v>
      </c>
      <c r="E4630" s="0" t="s">
        <v>2045</v>
      </c>
      <c r="F4630" s="0" t="s">
        <v>2198</v>
      </c>
      <c r="G4630" s="0" t="s">
        <v>2199</v>
      </c>
      <c r="H4630" s="0" t="s">
        <v>2203</v>
      </c>
      <c r="I4630" s="0" t="s">
        <v>2124</v>
      </c>
      <c r="J4630" s="0" t="s">
        <v>2358</v>
      </c>
      <c r="K4630" s="272" t="n">
        <v>732654.96</v>
      </c>
    </row>
    <row r="4631" customFormat="false" ht="15" hidden="false" customHeight="false" outlineLevel="0" collapsed="false">
      <c r="A4631" s="0" t="s">
        <v>2041</v>
      </c>
      <c r="B4631" s="0" t="s">
        <v>2042</v>
      </c>
      <c r="C4631" s="0" t="s">
        <v>2347</v>
      </c>
      <c r="D4631" s="0" t="s">
        <v>2105</v>
      </c>
      <c r="E4631" s="0" t="s">
        <v>2045</v>
      </c>
      <c r="F4631" s="0" t="s">
        <v>2198</v>
      </c>
      <c r="G4631" s="0" t="s">
        <v>2199</v>
      </c>
      <c r="H4631" s="0" t="s">
        <v>2203</v>
      </c>
      <c r="I4631" s="0" t="s">
        <v>2124</v>
      </c>
      <c r="J4631" s="0" t="s">
        <v>2358</v>
      </c>
      <c r="K4631" s="272" t="n">
        <v>47289.24</v>
      </c>
    </row>
    <row r="4632" customFormat="false" ht="15" hidden="false" customHeight="false" outlineLevel="0" collapsed="false">
      <c r="A4632" s="0" t="s">
        <v>2041</v>
      </c>
      <c r="B4632" s="0" t="s">
        <v>2042</v>
      </c>
      <c r="C4632" s="0" t="s">
        <v>2352</v>
      </c>
      <c r="D4632" s="0" t="s">
        <v>2105</v>
      </c>
      <c r="E4632" s="0" t="s">
        <v>2045</v>
      </c>
      <c r="F4632" s="0" t="s">
        <v>2198</v>
      </c>
      <c r="G4632" s="0" t="s">
        <v>2199</v>
      </c>
      <c r="H4632" s="0" t="s">
        <v>2203</v>
      </c>
      <c r="I4632" s="0" t="s">
        <v>2322</v>
      </c>
      <c r="J4632" s="0" t="s">
        <v>2358</v>
      </c>
      <c r="K4632" s="272" t="n">
        <v>11560873.02</v>
      </c>
    </row>
    <row r="4633" customFormat="false" ht="15" hidden="false" customHeight="false" outlineLevel="0" collapsed="false">
      <c r="A4633" s="0" t="s">
        <v>2041</v>
      </c>
      <c r="B4633" s="0" t="s">
        <v>2042</v>
      </c>
      <c r="C4633" s="0" t="s">
        <v>2359</v>
      </c>
      <c r="D4633" s="0" t="s">
        <v>2105</v>
      </c>
      <c r="E4633" s="0" t="s">
        <v>2045</v>
      </c>
      <c r="F4633" s="0" t="s">
        <v>2198</v>
      </c>
      <c r="G4633" s="0" t="s">
        <v>2199</v>
      </c>
      <c r="H4633" s="0" t="s">
        <v>2203</v>
      </c>
      <c r="I4633" s="0" t="s">
        <v>2322</v>
      </c>
      <c r="J4633" s="0" t="s">
        <v>2358</v>
      </c>
      <c r="K4633" s="272" t="n">
        <v>4908326.96</v>
      </c>
    </row>
    <row r="4634" customFormat="false" ht="15" hidden="false" customHeight="false" outlineLevel="0" collapsed="false">
      <c r="A4634" s="0" t="s">
        <v>2041</v>
      </c>
      <c r="B4634" s="0" t="s">
        <v>2042</v>
      </c>
      <c r="C4634" s="0" t="s">
        <v>2362</v>
      </c>
      <c r="D4634" s="0" t="s">
        <v>2105</v>
      </c>
      <c r="E4634" s="0" t="s">
        <v>2045</v>
      </c>
      <c r="F4634" s="0" t="s">
        <v>2198</v>
      </c>
      <c r="G4634" s="0" t="s">
        <v>2199</v>
      </c>
      <c r="H4634" s="0" t="s">
        <v>2203</v>
      </c>
      <c r="I4634" s="0" t="s">
        <v>2322</v>
      </c>
      <c r="J4634" s="0" t="s">
        <v>2358</v>
      </c>
      <c r="K4634" s="272" t="n">
        <v>103125</v>
      </c>
    </row>
    <row r="4635" customFormat="false" ht="15" hidden="false" customHeight="false" outlineLevel="0" collapsed="false">
      <c r="A4635" s="0" t="s">
        <v>2041</v>
      </c>
      <c r="B4635" s="0" t="s">
        <v>2042</v>
      </c>
      <c r="C4635" s="0" t="s">
        <v>2364</v>
      </c>
      <c r="D4635" s="0" t="s">
        <v>2105</v>
      </c>
      <c r="E4635" s="0" t="s">
        <v>2045</v>
      </c>
      <c r="F4635" s="0" t="s">
        <v>2198</v>
      </c>
      <c r="G4635" s="0" t="s">
        <v>2199</v>
      </c>
      <c r="H4635" s="0" t="s">
        <v>2203</v>
      </c>
      <c r="I4635" s="0" t="s">
        <v>2322</v>
      </c>
      <c r="J4635" s="0" t="s">
        <v>2358</v>
      </c>
      <c r="K4635" s="272" t="n">
        <v>435000</v>
      </c>
    </row>
    <row r="4636" customFormat="false" ht="15" hidden="false" customHeight="false" outlineLevel="0" collapsed="false">
      <c r="A4636" s="0" t="s">
        <v>2041</v>
      </c>
      <c r="B4636" s="0" t="s">
        <v>2042</v>
      </c>
      <c r="C4636" s="0" t="s">
        <v>2361</v>
      </c>
      <c r="D4636" s="0" t="s">
        <v>2105</v>
      </c>
      <c r="E4636" s="0" t="s">
        <v>2045</v>
      </c>
      <c r="F4636" s="0" t="s">
        <v>2198</v>
      </c>
      <c r="G4636" s="0" t="s">
        <v>2199</v>
      </c>
      <c r="H4636" s="0" t="s">
        <v>2203</v>
      </c>
      <c r="I4636" s="0" t="s">
        <v>2322</v>
      </c>
      <c r="J4636" s="0" t="s">
        <v>2358</v>
      </c>
      <c r="K4636" s="272" t="n">
        <v>563781.315</v>
      </c>
    </row>
    <row r="4637" customFormat="false" ht="15" hidden="false" customHeight="false" outlineLevel="0" collapsed="false">
      <c r="A4637" s="0" t="s">
        <v>2041</v>
      </c>
      <c r="B4637" s="0" t="s">
        <v>2042</v>
      </c>
      <c r="C4637" s="0" t="s">
        <v>2156</v>
      </c>
      <c r="D4637" s="0" t="s">
        <v>2105</v>
      </c>
      <c r="E4637" s="0" t="s">
        <v>2045</v>
      </c>
      <c r="F4637" s="0" t="s">
        <v>2198</v>
      </c>
      <c r="G4637" s="0" t="s">
        <v>2199</v>
      </c>
      <c r="H4637" s="0" t="s">
        <v>2203</v>
      </c>
      <c r="I4637" s="0" t="s">
        <v>2322</v>
      </c>
      <c r="J4637" s="0" t="s">
        <v>2358</v>
      </c>
      <c r="K4637" s="272" t="n">
        <v>179325313</v>
      </c>
    </row>
    <row r="4638" customFormat="false" ht="15" hidden="false" customHeight="false" outlineLevel="0" collapsed="false">
      <c r="A4638" s="0" t="s">
        <v>2041</v>
      </c>
      <c r="B4638" s="0" t="s">
        <v>2042</v>
      </c>
      <c r="C4638" s="0" t="s">
        <v>2360</v>
      </c>
      <c r="D4638" s="0" t="s">
        <v>2105</v>
      </c>
      <c r="E4638" s="0" t="s">
        <v>2045</v>
      </c>
      <c r="F4638" s="0" t="s">
        <v>2198</v>
      </c>
      <c r="G4638" s="0" t="s">
        <v>2199</v>
      </c>
      <c r="H4638" s="0" t="s">
        <v>2203</v>
      </c>
      <c r="I4638" s="0" t="s">
        <v>2322</v>
      </c>
      <c r="J4638" s="0" t="s">
        <v>2358</v>
      </c>
      <c r="K4638" s="272" t="n">
        <v>1262</v>
      </c>
    </row>
    <row r="4639" customFormat="false" ht="15" hidden="false" customHeight="false" outlineLevel="0" collapsed="false">
      <c r="A4639" s="0" t="s">
        <v>2041</v>
      </c>
      <c r="B4639" s="0" t="s">
        <v>2042</v>
      </c>
      <c r="C4639" s="0" t="s">
        <v>2161</v>
      </c>
      <c r="D4639" s="0" t="s">
        <v>2105</v>
      </c>
      <c r="E4639" s="0" t="s">
        <v>2045</v>
      </c>
      <c r="F4639" s="0" t="s">
        <v>2198</v>
      </c>
      <c r="G4639" s="0" t="s">
        <v>2199</v>
      </c>
      <c r="H4639" s="0" t="s">
        <v>2203</v>
      </c>
      <c r="I4639" s="0" t="s">
        <v>2322</v>
      </c>
      <c r="J4639" s="0" t="s">
        <v>2358</v>
      </c>
      <c r="K4639" s="272" t="n">
        <v>31773903.19</v>
      </c>
    </row>
    <row r="4640" customFormat="false" ht="15" hidden="false" customHeight="false" outlineLevel="0" collapsed="false">
      <c r="A4640" s="0" t="s">
        <v>2041</v>
      </c>
      <c r="B4640" s="0" t="s">
        <v>2042</v>
      </c>
      <c r="C4640" s="0" t="s">
        <v>2349</v>
      </c>
      <c r="D4640" s="0" t="s">
        <v>2105</v>
      </c>
      <c r="E4640" s="0" t="s">
        <v>2045</v>
      </c>
      <c r="F4640" s="0" t="s">
        <v>2198</v>
      </c>
      <c r="G4640" s="0" t="s">
        <v>2199</v>
      </c>
      <c r="H4640" s="0" t="s">
        <v>2203</v>
      </c>
      <c r="I4640" s="0" t="s">
        <v>2322</v>
      </c>
      <c r="J4640" s="0" t="s">
        <v>2358</v>
      </c>
      <c r="K4640" s="272" t="n">
        <v>3978041.865</v>
      </c>
    </row>
    <row r="4641" customFormat="false" ht="15" hidden="false" customHeight="false" outlineLevel="0" collapsed="false">
      <c r="A4641" s="0" t="s">
        <v>2041</v>
      </c>
      <c r="B4641" s="0" t="s">
        <v>2042</v>
      </c>
      <c r="C4641" s="0" t="s">
        <v>2352</v>
      </c>
      <c r="D4641" s="0" t="s">
        <v>2105</v>
      </c>
      <c r="E4641" s="0" t="s">
        <v>2045</v>
      </c>
      <c r="F4641" s="0" t="s">
        <v>2204</v>
      </c>
      <c r="G4641" s="0" t="s">
        <v>2205</v>
      </c>
      <c r="H4641" s="0" t="s">
        <v>2206</v>
      </c>
      <c r="I4641" s="0" t="s">
        <v>2322</v>
      </c>
      <c r="J4641" s="0" t="s">
        <v>2358</v>
      </c>
      <c r="K4641" s="272" t="n">
        <v>445238.095</v>
      </c>
    </row>
    <row r="4642" customFormat="false" ht="15" hidden="false" customHeight="false" outlineLevel="0" collapsed="false">
      <c r="A4642" s="0" t="s">
        <v>2041</v>
      </c>
      <c r="B4642" s="0" t="s">
        <v>2042</v>
      </c>
      <c r="C4642" s="0" t="s">
        <v>2359</v>
      </c>
      <c r="D4642" s="0" t="s">
        <v>2105</v>
      </c>
      <c r="E4642" s="0" t="s">
        <v>2045</v>
      </c>
      <c r="F4642" s="0" t="s">
        <v>2204</v>
      </c>
      <c r="G4642" s="0" t="s">
        <v>2205</v>
      </c>
      <c r="H4642" s="0" t="s">
        <v>2206</v>
      </c>
      <c r="I4642" s="0" t="s">
        <v>2322</v>
      </c>
      <c r="J4642" s="0" t="s">
        <v>2358</v>
      </c>
      <c r="K4642" s="272" t="n">
        <v>248211.09</v>
      </c>
    </row>
    <row r="4643" customFormat="false" ht="15" hidden="false" customHeight="false" outlineLevel="0" collapsed="false">
      <c r="A4643" s="0" t="s">
        <v>2041</v>
      </c>
      <c r="B4643" s="0" t="s">
        <v>2042</v>
      </c>
      <c r="C4643" s="0" t="s">
        <v>2156</v>
      </c>
      <c r="D4643" s="0" t="s">
        <v>2105</v>
      </c>
      <c r="E4643" s="0" t="s">
        <v>2045</v>
      </c>
      <c r="F4643" s="0" t="s">
        <v>2204</v>
      </c>
      <c r="G4643" s="0" t="s">
        <v>2205</v>
      </c>
      <c r="H4643" s="0" t="s">
        <v>2206</v>
      </c>
      <c r="I4643" s="0" t="s">
        <v>2322</v>
      </c>
      <c r="J4643" s="0" t="s">
        <v>2358</v>
      </c>
      <c r="K4643" s="272" t="n">
        <v>6250000</v>
      </c>
    </row>
    <row r="4644" customFormat="false" ht="15" hidden="false" customHeight="false" outlineLevel="0" collapsed="false">
      <c r="A4644" s="0" t="s">
        <v>2041</v>
      </c>
      <c r="B4644" s="0" t="s">
        <v>2042</v>
      </c>
      <c r="C4644" s="0" t="s">
        <v>2161</v>
      </c>
      <c r="D4644" s="0" t="s">
        <v>2105</v>
      </c>
      <c r="E4644" s="0" t="s">
        <v>2045</v>
      </c>
      <c r="F4644" s="0" t="s">
        <v>2204</v>
      </c>
      <c r="G4644" s="0" t="s">
        <v>2205</v>
      </c>
      <c r="H4644" s="0" t="s">
        <v>2206</v>
      </c>
      <c r="I4644" s="0" t="s">
        <v>2322</v>
      </c>
      <c r="J4644" s="0" t="s">
        <v>2358</v>
      </c>
      <c r="K4644" s="272" t="n">
        <v>956250</v>
      </c>
    </row>
    <row r="4645" customFormat="false" ht="15" hidden="false" customHeight="false" outlineLevel="0" collapsed="false">
      <c r="A4645" s="0" t="s">
        <v>2041</v>
      </c>
      <c r="B4645" s="0" t="s">
        <v>2042</v>
      </c>
      <c r="C4645" s="0" t="s">
        <v>2349</v>
      </c>
      <c r="D4645" s="0" t="s">
        <v>2105</v>
      </c>
      <c r="E4645" s="0" t="s">
        <v>2045</v>
      </c>
      <c r="F4645" s="0" t="s">
        <v>2204</v>
      </c>
      <c r="G4645" s="0" t="s">
        <v>2205</v>
      </c>
      <c r="H4645" s="0" t="s">
        <v>2206</v>
      </c>
      <c r="I4645" s="0" t="s">
        <v>2322</v>
      </c>
      <c r="J4645" s="0" t="s">
        <v>2358</v>
      </c>
      <c r="K4645" s="272" t="n">
        <v>113351.405</v>
      </c>
    </row>
    <row r="4646" customFormat="false" ht="15" hidden="false" customHeight="false" outlineLevel="0" collapsed="false">
      <c r="A4646" s="0" t="s">
        <v>2041</v>
      </c>
      <c r="B4646" s="0" t="s">
        <v>2042</v>
      </c>
      <c r="C4646" s="0" t="s">
        <v>2352</v>
      </c>
      <c r="D4646" s="0" t="s">
        <v>2105</v>
      </c>
      <c r="E4646" s="0" t="s">
        <v>2045</v>
      </c>
      <c r="F4646" s="0" t="s">
        <v>2204</v>
      </c>
      <c r="G4646" s="0" t="s">
        <v>2205</v>
      </c>
      <c r="H4646" s="0" t="s">
        <v>2207</v>
      </c>
      <c r="I4646" s="0" t="s">
        <v>2322</v>
      </c>
      <c r="J4646" s="0" t="s">
        <v>2358</v>
      </c>
      <c r="K4646" s="272" t="n">
        <v>445238.095</v>
      </c>
    </row>
    <row r="4647" customFormat="false" ht="15" hidden="false" customHeight="false" outlineLevel="0" collapsed="false">
      <c r="A4647" s="0" t="s">
        <v>2041</v>
      </c>
      <c r="B4647" s="0" t="s">
        <v>2042</v>
      </c>
      <c r="C4647" s="0" t="s">
        <v>2359</v>
      </c>
      <c r="D4647" s="0" t="s">
        <v>2105</v>
      </c>
      <c r="E4647" s="0" t="s">
        <v>2045</v>
      </c>
      <c r="F4647" s="0" t="s">
        <v>2204</v>
      </c>
      <c r="G4647" s="0" t="s">
        <v>2205</v>
      </c>
      <c r="H4647" s="0" t="s">
        <v>2207</v>
      </c>
      <c r="I4647" s="0" t="s">
        <v>2322</v>
      </c>
      <c r="J4647" s="0" t="s">
        <v>2358</v>
      </c>
      <c r="K4647" s="272" t="n">
        <v>248211.09</v>
      </c>
    </row>
    <row r="4648" customFormat="false" ht="15" hidden="false" customHeight="false" outlineLevel="0" collapsed="false">
      <c r="A4648" s="0" t="s">
        <v>2041</v>
      </c>
      <c r="B4648" s="0" t="s">
        <v>2042</v>
      </c>
      <c r="C4648" s="0" t="s">
        <v>2156</v>
      </c>
      <c r="D4648" s="0" t="s">
        <v>2105</v>
      </c>
      <c r="E4648" s="0" t="s">
        <v>2045</v>
      </c>
      <c r="F4648" s="0" t="s">
        <v>2204</v>
      </c>
      <c r="G4648" s="0" t="s">
        <v>2205</v>
      </c>
      <c r="H4648" s="0" t="s">
        <v>2207</v>
      </c>
      <c r="I4648" s="0" t="s">
        <v>2322</v>
      </c>
      <c r="J4648" s="0" t="s">
        <v>2358</v>
      </c>
      <c r="K4648" s="272" t="n">
        <v>6250000</v>
      </c>
    </row>
    <row r="4649" customFormat="false" ht="15" hidden="false" customHeight="false" outlineLevel="0" collapsed="false">
      <c r="A4649" s="0" t="s">
        <v>2041</v>
      </c>
      <c r="B4649" s="0" t="s">
        <v>2042</v>
      </c>
      <c r="C4649" s="0" t="s">
        <v>2161</v>
      </c>
      <c r="D4649" s="0" t="s">
        <v>2105</v>
      </c>
      <c r="E4649" s="0" t="s">
        <v>2045</v>
      </c>
      <c r="F4649" s="0" t="s">
        <v>2204</v>
      </c>
      <c r="G4649" s="0" t="s">
        <v>2205</v>
      </c>
      <c r="H4649" s="0" t="s">
        <v>2207</v>
      </c>
      <c r="I4649" s="0" t="s">
        <v>2322</v>
      </c>
      <c r="J4649" s="0" t="s">
        <v>2358</v>
      </c>
      <c r="K4649" s="272" t="n">
        <v>956250</v>
      </c>
    </row>
    <row r="4650" customFormat="false" ht="15" hidden="false" customHeight="false" outlineLevel="0" collapsed="false">
      <c r="A4650" s="0" t="s">
        <v>2041</v>
      </c>
      <c r="B4650" s="0" t="s">
        <v>2042</v>
      </c>
      <c r="C4650" s="0" t="s">
        <v>2349</v>
      </c>
      <c r="D4650" s="0" t="s">
        <v>2105</v>
      </c>
      <c r="E4650" s="0" t="s">
        <v>2045</v>
      </c>
      <c r="F4650" s="0" t="s">
        <v>2204</v>
      </c>
      <c r="G4650" s="0" t="s">
        <v>2205</v>
      </c>
      <c r="H4650" s="0" t="s">
        <v>2207</v>
      </c>
      <c r="I4650" s="0" t="s">
        <v>2322</v>
      </c>
      <c r="J4650" s="0" t="s">
        <v>2358</v>
      </c>
      <c r="K4650" s="272" t="n">
        <v>113351.405</v>
      </c>
    </row>
    <row r="4651" customFormat="false" ht="15" hidden="false" customHeight="false" outlineLevel="0" collapsed="false">
      <c r="A4651" s="0" t="s">
        <v>2041</v>
      </c>
      <c r="B4651" s="0" t="s">
        <v>2042</v>
      </c>
      <c r="C4651" s="0" t="s">
        <v>2352</v>
      </c>
      <c r="D4651" s="0" t="s">
        <v>2105</v>
      </c>
      <c r="E4651" s="0" t="s">
        <v>2045</v>
      </c>
      <c r="F4651" s="0" t="s">
        <v>2204</v>
      </c>
      <c r="G4651" s="0" t="s">
        <v>2205</v>
      </c>
      <c r="H4651" s="0" t="s">
        <v>2208</v>
      </c>
      <c r="I4651" s="0" t="s">
        <v>2322</v>
      </c>
      <c r="J4651" s="0" t="s">
        <v>2358</v>
      </c>
      <c r="K4651" s="272" t="n">
        <v>890476.19</v>
      </c>
    </row>
    <row r="4652" customFormat="false" ht="15" hidden="false" customHeight="false" outlineLevel="0" collapsed="false">
      <c r="A4652" s="0" t="s">
        <v>2041</v>
      </c>
      <c r="B4652" s="0" t="s">
        <v>2042</v>
      </c>
      <c r="C4652" s="0" t="s">
        <v>2359</v>
      </c>
      <c r="D4652" s="0" t="s">
        <v>2105</v>
      </c>
      <c r="E4652" s="0" t="s">
        <v>2045</v>
      </c>
      <c r="F4652" s="0" t="s">
        <v>2204</v>
      </c>
      <c r="G4652" s="0" t="s">
        <v>2205</v>
      </c>
      <c r="H4652" s="0" t="s">
        <v>2208</v>
      </c>
      <c r="I4652" s="0" t="s">
        <v>2322</v>
      </c>
      <c r="J4652" s="0" t="s">
        <v>2358</v>
      </c>
      <c r="K4652" s="272" t="n">
        <v>496422.18</v>
      </c>
    </row>
    <row r="4653" customFormat="false" ht="15" hidden="false" customHeight="false" outlineLevel="0" collapsed="false">
      <c r="A4653" s="0" t="s">
        <v>2041</v>
      </c>
      <c r="B4653" s="0" t="s">
        <v>2042</v>
      </c>
      <c r="C4653" s="0" t="s">
        <v>2156</v>
      </c>
      <c r="D4653" s="0" t="s">
        <v>2105</v>
      </c>
      <c r="E4653" s="0" t="s">
        <v>2045</v>
      </c>
      <c r="F4653" s="0" t="s">
        <v>2204</v>
      </c>
      <c r="G4653" s="0" t="s">
        <v>2205</v>
      </c>
      <c r="H4653" s="0" t="s">
        <v>2208</v>
      </c>
      <c r="I4653" s="0" t="s">
        <v>2322</v>
      </c>
      <c r="J4653" s="0" t="s">
        <v>2358</v>
      </c>
      <c r="K4653" s="272" t="n">
        <v>12500000</v>
      </c>
    </row>
    <row r="4654" customFormat="false" ht="15" hidden="false" customHeight="false" outlineLevel="0" collapsed="false">
      <c r="A4654" s="0" t="s">
        <v>2041</v>
      </c>
      <c r="B4654" s="0" t="s">
        <v>2042</v>
      </c>
      <c r="C4654" s="0" t="s">
        <v>2161</v>
      </c>
      <c r="D4654" s="0" t="s">
        <v>2105</v>
      </c>
      <c r="E4654" s="0" t="s">
        <v>2045</v>
      </c>
      <c r="F4654" s="0" t="s">
        <v>2204</v>
      </c>
      <c r="G4654" s="0" t="s">
        <v>2205</v>
      </c>
      <c r="H4654" s="0" t="s">
        <v>2208</v>
      </c>
      <c r="I4654" s="0" t="s">
        <v>2322</v>
      </c>
      <c r="J4654" s="0" t="s">
        <v>2358</v>
      </c>
      <c r="K4654" s="272" t="n">
        <v>1912500</v>
      </c>
    </row>
    <row r="4655" customFormat="false" ht="15" hidden="false" customHeight="false" outlineLevel="0" collapsed="false">
      <c r="A4655" s="0" t="s">
        <v>2041</v>
      </c>
      <c r="B4655" s="0" t="s">
        <v>2042</v>
      </c>
      <c r="C4655" s="0" t="s">
        <v>2349</v>
      </c>
      <c r="D4655" s="0" t="s">
        <v>2105</v>
      </c>
      <c r="E4655" s="0" t="s">
        <v>2045</v>
      </c>
      <c r="F4655" s="0" t="s">
        <v>2204</v>
      </c>
      <c r="G4655" s="0" t="s">
        <v>2205</v>
      </c>
      <c r="H4655" s="0" t="s">
        <v>2208</v>
      </c>
      <c r="I4655" s="0" t="s">
        <v>2322</v>
      </c>
      <c r="J4655" s="0" t="s">
        <v>2358</v>
      </c>
      <c r="K4655" s="272" t="n">
        <v>226702.81</v>
      </c>
    </row>
    <row r="4656" customFormat="false" ht="15" hidden="false" customHeight="false" outlineLevel="0" collapsed="false">
      <c r="A4656" s="0" t="s">
        <v>2041</v>
      </c>
      <c r="B4656" s="0" t="s">
        <v>2042</v>
      </c>
      <c r="C4656" s="0" t="s">
        <v>2352</v>
      </c>
      <c r="D4656" s="0" t="s">
        <v>2105</v>
      </c>
      <c r="E4656" s="0" t="s">
        <v>2045</v>
      </c>
      <c r="F4656" s="0" t="s">
        <v>2204</v>
      </c>
      <c r="G4656" s="0" t="s">
        <v>2209</v>
      </c>
      <c r="H4656" s="0" t="s">
        <v>2207</v>
      </c>
      <c r="I4656" s="0" t="s">
        <v>2322</v>
      </c>
      <c r="J4656" s="0" t="s">
        <v>2358</v>
      </c>
      <c r="K4656" s="272" t="n">
        <v>1184285.71</v>
      </c>
    </row>
    <row r="4657" customFormat="false" ht="15" hidden="false" customHeight="false" outlineLevel="0" collapsed="false">
      <c r="A4657" s="0" t="s">
        <v>2041</v>
      </c>
      <c r="B4657" s="0" t="s">
        <v>2042</v>
      </c>
      <c r="C4657" s="0" t="s">
        <v>2349</v>
      </c>
      <c r="D4657" s="0" t="s">
        <v>2105</v>
      </c>
      <c r="E4657" s="0" t="s">
        <v>2045</v>
      </c>
      <c r="F4657" s="0" t="s">
        <v>2204</v>
      </c>
      <c r="G4657" s="0" t="s">
        <v>2209</v>
      </c>
      <c r="H4657" s="0" t="s">
        <v>2207</v>
      </c>
      <c r="I4657" s="0" t="s">
        <v>2322</v>
      </c>
      <c r="J4657" s="0" t="s">
        <v>2358</v>
      </c>
      <c r="K4657" s="272" t="n">
        <v>260696.95</v>
      </c>
    </row>
    <row r="4658" customFormat="false" ht="15" hidden="false" customHeight="false" outlineLevel="0" collapsed="false">
      <c r="A4658" s="0" t="s">
        <v>2041</v>
      </c>
      <c r="B4658" s="0" t="s">
        <v>2042</v>
      </c>
      <c r="C4658" s="0" t="s">
        <v>2352</v>
      </c>
      <c r="D4658" s="0" t="s">
        <v>2105</v>
      </c>
      <c r="E4658" s="0" t="s">
        <v>2045</v>
      </c>
      <c r="F4658" s="0" t="s">
        <v>2204</v>
      </c>
      <c r="G4658" s="0" t="s">
        <v>2210</v>
      </c>
      <c r="H4658" s="0" t="s">
        <v>2211</v>
      </c>
      <c r="I4658" s="0" t="s">
        <v>2167</v>
      </c>
      <c r="J4658" s="0" t="s">
        <v>2358</v>
      </c>
      <c r="K4658" s="272" t="n">
        <v>344500</v>
      </c>
    </row>
    <row r="4659" customFormat="false" ht="15" hidden="false" customHeight="false" outlineLevel="0" collapsed="false">
      <c r="A4659" s="0" t="s">
        <v>2041</v>
      </c>
      <c r="B4659" s="0" t="s">
        <v>2042</v>
      </c>
      <c r="C4659" s="0" t="s">
        <v>2349</v>
      </c>
      <c r="D4659" s="0" t="s">
        <v>2105</v>
      </c>
      <c r="E4659" s="0" t="s">
        <v>2045</v>
      </c>
      <c r="F4659" s="0" t="s">
        <v>2204</v>
      </c>
      <c r="G4659" s="0" t="s">
        <v>2210</v>
      </c>
      <c r="H4659" s="0" t="s">
        <v>2211</v>
      </c>
      <c r="I4659" s="0" t="s">
        <v>2167</v>
      </c>
      <c r="J4659" s="0" t="s">
        <v>2358</v>
      </c>
      <c r="K4659" s="272" t="n">
        <v>104039</v>
      </c>
    </row>
    <row r="4660" customFormat="false" ht="15" hidden="false" customHeight="false" outlineLevel="0" collapsed="false">
      <c r="A4660" s="0" t="s">
        <v>2041</v>
      </c>
      <c r="B4660" s="0" t="s">
        <v>2042</v>
      </c>
      <c r="C4660" s="0" t="s">
        <v>2352</v>
      </c>
      <c r="D4660" s="0" t="s">
        <v>2105</v>
      </c>
      <c r="E4660" s="0" t="s">
        <v>2045</v>
      </c>
      <c r="F4660" s="0" t="s">
        <v>2204</v>
      </c>
      <c r="G4660" s="0" t="s">
        <v>2210</v>
      </c>
      <c r="H4660" s="0" t="s">
        <v>2211</v>
      </c>
      <c r="I4660" s="0" t="s">
        <v>2322</v>
      </c>
      <c r="J4660" s="0" t="s">
        <v>2358</v>
      </c>
      <c r="K4660" s="272" t="n">
        <v>1737057.96</v>
      </c>
    </row>
    <row r="4661" customFormat="false" ht="15" hidden="false" customHeight="false" outlineLevel="0" collapsed="false">
      <c r="A4661" s="0" t="s">
        <v>2041</v>
      </c>
      <c r="B4661" s="0" t="s">
        <v>2042</v>
      </c>
      <c r="C4661" s="0" t="s">
        <v>2359</v>
      </c>
      <c r="D4661" s="0" t="s">
        <v>2105</v>
      </c>
      <c r="E4661" s="0" t="s">
        <v>2045</v>
      </c>
      <c r="F4661" s="0" t="s">
        <v>2204</v>
      </c>
      <c r="G4661" s="0" t="s">
        <v>2210</v>
      </c>
      <c r="H4661" s="0" t="s">
        <v>2211</v>
      </c>
      <c r="I4661" s="0" t="s">
        <v>2322</v>
      </c>
      <c r="J4661" s="0" t="s">
        <v>2358</v>
      </c>
      <c r="K4661" s="272" t="n">
        <v>84687.74</v>
      </c>
    </row>
    <row r="4662" customFormat="false" ht="15" hidden="false" customHeight="false" outlineLevel="0" collapsed="false">
      <c r="A4662" s="0" t="s">
        <v>2041</v>
      </c>
      <c r="B4662" s="0" t="s">
        <v>2042</v>
      </c>
      <c r="C4662" s="0" t="s">
        <v>2349</v>
      </c>
      <c r="D4662" s="0" t="s">
        <v>2105</v>
      </c>
      <c r="E4662" s="0" t="s">
        <v>2045</v>
      </c>
      <c r="F4662" s="0" t="s">
        <v>2204</v>
      </c>
      <c r="G4662" s="0" t="s">
        <v>2210</v>
      </c>
      <c r="H4662" s="0" t="s">
        <v>2211</v>
      </c>
      <c r="I4662" s="0" t="s">
        <v>2322</v>
      </c>
      <c r="J4662" s="0" t="s">
        <v>2358</v>
      </c>
      <c r="K4662" s="272" t="n">
        <v>550167.2</v>
      </c>
    </row>
    <row r="4663" customFormat="false" ht="15" hidden="false" customHeight="false" outlineLevel="0" collapsed="false">
      <c r="A4663" s="0" t="s">
        <v>2041</v>
      </c>
      <c r="B4663" s="0" t="s">
        <v>2042</v>
      </c>
      <c r="C4663" s="0" t="s">
        <v>2352</v>
      </c>
      <c r="D4663" s="0" t="s">
        <v>2105</v>
      </c>
      <c r="E4663" s="0" t="s">
        <v>2045</v>
      </c>
      <c r="F4663" s="0" t="s">
        <v>2204</v>
      </c>
      <c r="G4663" s="0" t="s">
        <v>2212</v>
      </c>
      <c r="H4663" s="0" t="s">
        <v>2213</v>
      </c>
      <c r="I4663" s="0" t="s">
        <v>2322</v>
      </c>
      <c r="J4663" s="0" t="s">
        <v>2358</v>
      </c>
      <c r="K4663" s="272" t="n">
        <v>846353.45</v>
      </c>
    </row>
    <row r="4664" customFormat="false" ht="15" hidden="false" customHeight="false" outlineLevel="0" collapsed="false">
      <c r="A4664" s="0" t="s">
        <v>2041</v>
      </c>
      <c r="B4664" s="0" t="s">
        <v>2042</v>
      </c>
      <c r="C4664" s="0" t="s">
        <v>2359</v>
      </c>
      <c r="D4664" s="0" t="s">
        <v>2105</v>
      </c>
      <c r="E4664" s="0" t="s">
        <v>2045</v>
      </c>
      <c r="F4664" s="0" t="s">
        <v>2204</v>
      </c>
      <c r="G4664" s="0" t="s">
        <v>2212</v>
      </c>
      <c r="H4664" s="0" t="s">
        <v>2213</v>
      </c>
      <c r="I4664" s="0" t="s">
        <v>2322</v>
      </c>
      <c r="J4664" s="0" t="s">
        <v>2358</v>
      </c>
      <c r="K4664" s="272" t="n">
        <v>130062.55</v>
      </c>
    </row>
    <row r="4665" customFormat="false" ht="15" hidden="false" customHeight="false" outlineLevel="0" collapsed="false">
      <c r="A4665" s="0" t="s">
        <v>2041</v>
      </c>
      <c r="B4665" s="0" t="s">
        <v>2042</v>
      </c>
      <c r="C4665" s="0" t="s">
        <v>2362</v>
      </c>
      <c r="D4665" s="0" t="s">
        <v>2105</v>
      </c>
      <c r="E4665" s="0" t="s">
        <v>2045</v>
      </c>
      <c r="F4665" s="0" t="s">
        <v>2204</v>
      </c>
      <c r="G4665" s="0" t="s">
        <v>2212</v>
      </c>
      <c r="H4665" s="0" t="s">
        <v>2213</v>
      </c>
      <c r="I4665" s="0" t="s">
        <v>2322</v>
      </c>
      <c r="J4665" s="0" t="s">
        <v>2358</v>
      </c>
      <c r="K4665" s="272" t="n">
        <v>24546.43</v>
      </c>
    </row>
    <row r="4666" customFormat="false" ht="15" hidden="false" customHeight="false" outlineLevel="0" collapsed="false">
      <c r="A4666" s="0" t="s">
        <v>2041</v>
      </c>
      <c r="B4666" s="0" t="s">
        <v>2042</v>
      </c>
      <c r="C4666" s="0" t="s">
        <v>2349</v>
      </c>
      <c r="D4666" s="0" t="s">
        <v>2105</v>
      </c>
      <c r="E4666" s="0" t="s">
        <v>2045</v>
      </c>
      <c r="F4666" s="0" t="s">
        <v>2204</v>
      </c>
      <c r="G4666" s="0" t="s">
        <v>2212</v>
      </c>
      <c r="H4666" s="0" t="s">
        <v>2213</v>
      </c>
      <c r="I4666" s="0" t="s">
        <v>2322</v>
      </c>
      <c r="J4666" s="0" t="s">
        <v>2358</v>
      </c>
      <c r="K4666" s="272" t="n">
        <v>302290.65</v>
      </c>
    </row>
    <row r="4667" customFormat="false" ht="15" hidden="false" customHeight="false" outlineLevel="0" collapsed="false">
      <c r="A4667" s="0" t="s">
        <v>2041</v>
      </c>
      <c r="B4667" s="0" t="s">
        <v>2042</v>
      </c>
      <c r="C4667" s="0" t="s">
        <v>2352</v>
      </c>
      <c r="D4667" s="0" t="s">
        <v>2105</v>
      </c>
      <c r="E4667" s="0" t="s">
        <v>2045</v>
      </c>
      <c r="F4667" s="0" t="s">
        <v>2204</v>
      </c>
      <c r="G4667" s="0" t="s">
        <v>2212</v>
      </c>
      <c r="H4667" s="0" t="s">
        <v>2206</v>
      </c>
      <c r="I4667" s="0" t="s">
        <v>2322</v>
      </c>
      <c r="J4667" s="0" t="s">
        <v>2358</v>
      </c>
      <c r="K4667" s="272" t="n">
        <v>846353.45</v>
      </c>
    </row>
    <row r="4668" customFormat="false" ht="15" hidden="false" customHeight="false" outlineLevel="0" collapsed="false">
      <c r="A4668" s="0" t="s">
        <v>2041</v>
      </c>
      <c r="B4668" s="0" t="s">
        <v>2042</v>
      </c>
      <c r="C4668" s="0" t="s">
        <v>2359</v>
      </c>
      <c r="D4668" s="0" t="s">
        <v>2105</v>
      </c>
      <c r="E4668" s="0" t="s">
        <v>2045</v>
      </c>
      <c r="F4668" s="0" t="s">
        <v>2204</v>
      </c>
      <c r="G4668" s="0" t="s">
        <v>2212</v>
      </c>
      <c r="H4668" s="0" t="s">
        <v>2206</v>
      </c>
      <c r="I4668" s="0" t="s">
        <v>2322</v>
      </c>
      <c r="J4668" s="0" t="s">
        <v>2358</v>
      </c>
      <c r="K4668" s="272" t="n">
        <v>130062.55</v>
      </c>
    </row>
    <row r="4669" customFormat="false" ht="15" hidden="false" customHeight="false" outlineLevel="0" collapsed="false">
      <c r="A4669" s="0" t="s">
        <v>2041</v>
      </c>
      <c r="B4669" s="0" t="s">
        <v>2042</v>
      </c>
      <c r="C4669" s="0" t="s">
        <v>2362</v>
      </c>
      <c r="D4669" s="0" t="s">
        <v>2105</v>
      </c>
      <c r="E4669" s="0" t="s">
        <v>2045</v>
      </c>
      <c r="F4669" s="0" t="s">
        <v>2204</v>
      </c>
      <c r="G4669" s="0" t="s">
        <v>2212</v>
      </c>
      <c r="H4669" s="0" t="s">
        <v>2206</v>
      </c>
      <c r="I4669" s="0" t="s">
        <v>2322</v>
      </c>
      <c r="J4669" s="0" t="s">
        <v>2358</v>
      </c>
      <c r="K4669" s="272" t="n">
        <v>24546.43</v>
      </c>
    </row>
    <row r="4670" customFormat="false" ht="15" hidden="false" customHeight="false" outlineLevel="0" collapsed="false">
      <c r="A4670" s="0" t="s">
        <v>2041</v>
      </c>
      <c r="B4670" s="0" t="s">
        <v>2042</v>
      </c>
      <c r="C4670" s="0" t="s">
        <v>2349</v>
      </c>
      <c r="D4670" s="0" t="s">
        <v>2105</v>
      </c>
      <c r="E4670" s="0" t="s">
        <v>2045</v>
      </c>
      <c r="F4670" s="0" t="s">
        <v>2204</v>
      </c>
      <c r="G4670" s="0" t="s">
        <v>2212</v>
      </c>
      <c r="H4670" s="0" t="s">
        <v>2206</v>
      </c>
      <c r="I4670" s="0" t="s">
        <v>2322</v>
      </c>
      <c r="J4670" s="0" t="s">
        <v>2358</v>
      </c>
      <c r="K4670" s="272" t="n">
        <v>302290.65</v>
      </c>
    </row>
    <row r="4671" customFormat="false" ht="15" hidden="false" customHeight="false" outlineLevel="0" collapsed="false">
      <c r="A4671" s="0" t="s">
        <v>2041</v>
      </c>
      <c r="B4671" s="0" t="s">
        <v>2042</v>
      </c>
      <c r="C4671" s="0" t="s">
        <v>2352</v>
      </c>
      <c r="D4671" s="0" t="s">
        <v>2105</v>
      </c>
      <c r="E4671" s="0" t="s">
        <v>2045</v>
      </c>
      <c r="F4671" s="0" t="s">
        <v>2204</v>
      </c>
      <c r="G4671" s="0" t="s">
        <v>2212</v>
      </c>
      <c r="H4671" s="0" t="s">
        <v>2208</v>
      </c>
      <c r="I4671" s="0" t="s">
        <v>2124</v>
      </c>
      <c r="J4671" s="0" t="s">
        <v>2358</v>
      </c>
      <c r="K4671" s="272" t="n">
        <v>2739619.05</v>
      </c>
    </row>
    <row r="4672" customFormat="false" ht="15" hidden="false" customHeight="false" outlineLevel="0" collapsed="false">
      <c r="A4672" s="0" t="s">
        <v>2041</v>
      </c>
      <c r="B4672" s="0" t="s">
        <v>2042</v>
      </c>
      <c r="C4672" s="0" t="s">
        <v>2359</v>
      </c>
      <c r="D4672" s="0" t="s">
        <v>2105</v>
      </c>
      <c r="E4672" s="0" t="s">
        <v>2045</v>
      </c>
      <c r="F4672" s="0" t="s">
        <v>2204</v>
      </c>
      <c r="G4672" s="0" t="s">
        <v>2212</v>
      </c>
      <c r="H4672" s="0" t="s">
        <v>2208</v>
      </c>
      <c r="I4672" s="0" t="s">
        <v>2124</v>
      </c>
      <c r="J4672" s="0" t="s">
        <v>2358</v>
      </c>
      <c r="K4672" s="272" t="n">
        <v>339914.92</v>
      </c>
    </row>
    <row r="4673" customFormat="false" ht="15" hidden="false" customHeight="false" outlineLevel="0" collapsed="false">
      <c r="A4673" s="0" t="s">
        <v>2041</v>
      </c>
      <c r="B4673" s="0" t="s">
        <v>2042</v>
      </c>
      <c r="C4673" s="0" t="s">
        <v>2156</v>
      </c>
      <c r="D4673" s="0" t="s">
        <v>2105</v>
      </c>
      <c r="E4673" s="0" t="s">
        <v>2045</v>
      </c>
      <c r="F4673" s="0" t="s">
        <v>2204</v>
      </c>
      <c r="G4673" s="0" t="s">
        <v>2212</v>
      </c>
      <c r="H4673" s="0" t="s">
        <v>2208</v>
      </c>
      <c r="I4673" s="0" t="s">
        <v>2124</v>
      </c>
      <c r="J4673" s="0" t="s">
        <v>2358</v>
      </c>
      <c r="K4673" s="272" t="n">
        <v>11000000</v>
      </c>
    </row>
    <row r="4674" customFormat="false" ht="15" hidden="false" customHeight="false" outlineLevel="0" collapsed="false">
      <c r="A4674" s="0" t="s">
        <v>2041</v>
      </c>
      <c r="B4674" s="0" t="s">
        <v>2042</v>
      </c>
      <c r="C4674" s="0" t="s">
        <v>2161</v>
      </c>
      <c r="D4674" s="0" t="s">
        <v>2105</v>
      </c>
      <c r="E4674" s="0" t="s">
        <v>2045</v>
      </c>
      <c r="F4674" s="0" t="s">
        <v>2204</v>
      </c>
      <c r="G4674" s="0" t="s">
        <v>2212</v>
      </c>
      <c r="H4674" s="0" t="s">
        <v>2208</v>
      </c>
      <c r="I4674" s="0" t="s">
        <v>2124</v>
      </c>
      <c r="J4674" s="0" t="s">
        <v>2358</v>
      </c>
      <c r="K4674" s="272" t="n">
        <v>1716443.35</v>
      </c>
    </row>
    <row r="4675" customFormat="false" ht="15" hidden="false" customHeight="false" outlineLevel="0" collapsed="false">
      <c r="A4675" s="0" t="s">
        <v>2041</v>
      </c>
      <c r="B4675" s="0" t="s">
        <v>2042</v>
      </c>
      <c r="C4675" s="0" t="s">
        <v>2349</v>
      </c>
      <c r="D4675" s="0" t="s">
        <v>2105</v>
      </c>
      <c r="E4675" s="0" t="s">
        <v>2045</v>
      </c>
      <c r="F4675" s="0" t="s">
        <v>2204</v>
      </c>
      <c r="G4675" s="0" t="s">
        <v>2212</v>
      </c>
      <c r="H4675" s="0" t="s">
        <v>2208</v>
      </c>
      <c r="I4675" s="0" t="s">
        <v>2124</v>
      </c>
      <c r="J4675" s="0" t="s">
        <v>2358</v>
      </c>
      <c r="K4675" s="272" t="n">
        <v>879371.94</v>
      </c>
    </row>
    <row r="4676" customFormat="false" ht="15" hidden="false" customHeight="false" outlineLevel="0" collapsed="false">
      <c r="A4676" s="0" t="s">
        <v>2041</v>
      </c>
      <c r="B4676" s="0" t="s">
        <v>2042</v>
      </c>
      <c r="C4676" s="0" t="s">
        <v>2352</v>
      </c>
      <c r="D4676" s="0" t="s">
        <v>2105</v>
      </c>
      <c r="E4676" s="0" t="s">
        <v>2045</v>
      </c>
      <c r="F4676" s="0" t="s">
        <v>2204</v>
      </c>
      <c r="G4676" s="0" t="s">
        <v>2212</v>
      </c>
      <c r="H4676" s="0" t="s">
        <v>2208</v>
      </c>
      <c r="I4676" s="0" t="s">
        <v>2322</v>
      </c>
      <c r="J4676" s="0" t="s">
        <v>2358</v>
      </c>
      <c r="K4676" s="272" t="n">
        <v>357142.86</v>
      </c>
    </row>
    <row r="4677" customFormat="false" ht="15" hidden="false" customHeight="false" outlineLevel="0" collapsed="false">
      <c r="A4677" s="0" t="s">
        <v>2041</v>
      </c>
      <c r="B4677" s="0" t="s">
        <v>2042</v>
      </c>
      <c r="C4677" s="0" t="s">
        <v>2359</v>
      </c>
      <c r="D4677" s="0" t="s">
        <v>2105</v>
      </c>
      <c r="E4677" s="0" t="s">
        <v>2045</v>
      </c>
      <c r="F4677" s="0" t="s">
        <v>2204</v>
      </c>
      <c r="G4677" s="0" t="s">
        <v>2212</v>
      </c>
      <c r="H4677" s="0" t="s">
        <v>2208</v>
      </c>
      <c r="I4677" s="0" t="s">
        <v>2322</v>
      </c>
      <c r="J4677" s="0" t="s">
        <v>2358</v>
      </c>
      <c r="K4677" s="272" t="n">
        <v>13053.82</v>
      </c>
    </row>
    <row r="4678" customFormat="false" ht="15" hidden="false" customHeight="false" outlineLevel="0" collapsed="false">
      <c r="A4678" s="0" t="s">
        <v>2041</v>
      </c>
      <c r="B4678" s="0" t="s">
        <v>2042</v>
      </c>
      <c r="C4678" s="0" t="s">
        <v>2349</v>
      </c>
      <c r="D4678" s="0" t="s">
        <v>2105</v>
      </c>
      <c r="E4678" s="0" t="s">
        <v>2045</v>
      </c>
      <c r="F4678" s="0" t="s">
        <v>2204</v>
      </c>
      <c r="G4678" s="0" t="s">
        <v>2212</v>
      </c>
      <c r="H4678" s="0" t="s">
        <v>2208</v>
      </c>
      <c r="I4678" s="0" t="s">
        <v>2322</v>
      </c>
      <c r="J4678" s="0" t="s">
        <v>2358</v>
      </c>
      <c r="K4678" s="272" t="n">
        <v>111799.39</v>
      </c>
    </row>
    <row r="4679" customFormat="false" ht="15" hidden="false" customHeight="false" outlineLevel="0" collapsed="false">
      <c r="A4679" s="0" t="s">
        <v>2041</v>
      </c>
      <c r="B4679" s="0" t="s">
        <v>2042</v>
      </c>
      <c r="C4679" s="0" t="s">
        <v>2352</v>
      </c>
      <c r="D4679" s="0" t="s">
        <v>2105</v>
      </c>
      <c r="E4679" s="0" t="s">
        <v>2045</v>
      </c>
      <c r="F4679" s="0" t="s">
        <v>2204</v>
      </c>
      <c r="G4679" s="0" t="s">
        <v>2214</v>
      </c>
      <c r="H4679" s="0" t="s">
        <v>2206</v>
      </c>
      <c r="I4679" s="0" t="s">
        <v>2322</v>
      </c>
      <c r="J4679" s="0" t="s">
        <v>2358</v>
      </c>
      <c r="K4679" s="272" t="n">
        <v>315952.38</v>
      </c>
    </row>
    <row r="4680" customFormat="false" ht="15" hidden="false" customHeight="false" outlineLevel="0" collapsed="false">
      <c r="A4680" s="0" t="s">
        <v>2041</v>
      </c>
      <c r="B4680" s="0" t="s">
        <v>2042</v>
      </c>
      <c r="C4680" s="0" t="s">
        <v>2359</v>
      </c>
      <c r="D4680" s="0" t="s">
        <v>2105</v>
      </c>
      <c r="E4680" s="0" t="s">
        <v>2045</v>
      </c>
      <c r="F4680" s="0" t="s">
        <v>2204</v>
      </c>
      <c r="G4680" s="0" t="s">
        <v>2214</v>
      </c>
      <c r="H4680" s="0" t="s">
        <v>2206</v>
      </c>
      <c r="I4680" s="0" t="s">
        <v>2322</v>
      </c>
      <c r="J4680" s="0" t="s">
        <v>2358</v>
      </c>
      <c r="K4680" s="272" t="n">
        <v>96031.65</v>
      </c>
    </row>
    <row r="4681" customFormat="false" ht="15" hidden="false" customHeight="false" outlineLevel="0" collapsed="false">
      <c r="A4681" s="0" t="s">
        <v>2041</v>
      </c>
      <c r="B4681" s="0" t="s">
        <v>2042</v>
      </c>
      <c r="C4681" s="0" t="s">
        <v>2156</v>
      </c>
      <c r="D4681" s="0" t="s">
        <v>2105</v>
      </c>
      <c r="E4681" s="0" t="s">
        <v>2045</v>
      </c>
      <c r="F4681" s="0" t="s">
        <v>2204</v>
      </c>
      <c r="G4681" s="0" t="s">
        <v>2214</v>
      </c>
      <c r="H4681" s="0" t="s">
        <v>2206</v>
      </c>
      <c r="I4681" s="0" t="s">
        <v>2322</v>
      </c>
      <c r="J4681" s="0" t="s">
        <v>2358</v>
      </c>
      <c r="K4681" s="272" t="n">
        <v>1300000</v>
      </c>
    </row>
    <row r="4682" customFormat="false" ht="15" hidden="false" customHeight="false" outlineLevel="0" collapsed="false">
      <c r="A4682" s="0" t="s">
        <v>2041</v>
      </c>
      <c r="B4682" s="0" t="s">
        <v>2042</v>
      </c>
      <c r="C4682" s="0" t="s">
        <v>2161</v>
      </c>
      <c r="D4682" s="0" t="s">
        <v>2105</v>
      </c>
      <c r="E4682" s="0" t="s">
        <v>2045</v>
      </c>
      <c r="F4682" s="0" t="s">
        <v>2204</v>
      </c>
      <c r="G4682" s="0" t="s">
        <v>2214</v>
      </c>
      <c r="H4682" s="0" t="s">
        <v>2206</v>
      </c>
      <c r="I4682" s="0" t="s">
        <v>2322</v>
      </c>
      <c r="J4682" s="0" t="s">
        <v>2358</v>
      </c>
      <c r="K4682" s="272" t="n">
        <v>361445.31</v>
      </c>
    </row>
    <row r="4683" customFormat="false" ht="15" hidden="false" customHeight="false" outlineLevel="0" collapsed="false">
      <c r="A4683" s="0" t="s">
        <v>2041</v>
      </c>
      <c r="B4683" s="0" t="s">
        <v>2042</v>
      </c>
      <c r="C4683" s="0" t="s">
        <v>2349</v>
      </c>
      <c r="D4683" s="0" t="s">
        <v>2105</v>
      </c>
      <c r="E4683" s="0" t="s">
        <v>2045</v>
      </c>
      <c r="F4683" s="0" t="s">
        <v>2204</v>
      </c>
      <c r="G4683" s="0" t="s">
        <v>2214</v>
      </c>
      <c r="H4683" s="0" t="s">
        <v>2206</v>
      </c>
      <c r="I4683" s="0" t="s">
        <v>2322</v>
      </c>
      <c r="J4683" s="0" t="s">
        <v>2358</v>
      </c>
      <c r="K4683" s="272" t="n">
        <v>123877.02</v>
      </c>
    </row>
    <row r="4684" customFormat="false" ht="15" hidden="false" customHeight="false" outlineLevel="0" collapsed="false">
      <c r="A4684" s="0" t="s">
        <v>2041</v>
      </c>
      <c r="B4684" s="0" t="s">
        <v>2042</v>
      </c>
      <c r="C4684" s="0" t="s">
        <v>2352</v>
      </c>
      <c r="D4684" s="0" t="s">
        <v>2105</v>
      </c>
      <c r="E4684" s="0" t="s">
        <v>2045</v>
      </c>
      <c r="F4684" s="0" t="s">
        <v>2204</v>
      </c>
      <c r="G4684" s="0" t="s">
        <v>2214</v>
      </c>
      <c r="H4684" s="0" t="s">
        <v>2208</v>
      </c>
      <c r="I4684" s="0" t="s">
        <v>2322</v>
      </c>
      <c r="J4684" s="0" t="s">
        <v>2358</v>
      </c>
      <c r="K4684" s="272" t="n">
        <v>315952.38</v>
      </c>
    </row>
    <row r="4685" customFormat="false" ht="15" hidden="false" customHeight="false" outlineLevel="0" collapsed="false">
      <c r="A4685" s="0" t="s">
        <v>2041</v>
      </c>
      <c r="B4685" s="0" t="s">
        <v>2042</v>
      </c>
      <c r="C4685" s="0" t="s">
        <v>2359</v>
      </c>
      <c r="D4685" s="0" t="s">
        <v>2105</v>
      </c>
      <c r="E4685" s="0" t="s">
        <v>2045</v>
      </c>
      <c r="F4685" s="0" t="s">
        <v>2204</v>
      </c>
      <c r="G4685" s="0" t="s">
        <v>2214</v>
      </c>
      <c r="H4685" s="0" t="s">
        <v>2208</v>
      </c>
      <c r="I4685" s="0" t="s">
        <v>2322</v>
      </c>
      <c r="J4685" s="0" t="s">
        <v>2358</v>
      </c>
      <c r="K4685" s="272" t="n">
        <v>96031.65</v>
      </c>
    </row>
    <row r="4686" customFormat="false" ht="15" hidden="false" customHeight="false" outlineLevel="0" collapsed="false">
      <c r="A4686" s="0" t="s">
        <v>2041</v>
      </c>
      <c r="B4686" s="0" t="s">
        <v>2042</v>
      </c>
      <c r="C4686" s="0" t="s">
        <v>2156</v>
      </c>
      <c r="D4686" s="0" t="s">
        <v>2105</v>
      </c>
      <c r="E4686" s="0" t="s">
        <v>2045</v>
      </c>
      <c r="F4686" s="0" t="s">
        <v>2204</v>
      </c>
      <c r="G4686" s="0" t="s">
        <v>2214</v>
      </c>
      <c r="H4686" s="0" t="s">
        <v>2208</v>
      </c>
      <c r="I4686" s="0" t="s">
        <v>2322</v>
      </c>
      <c r="J4686" s="0" t="s">
        <v>2358</v>
      </c>
      <c r="K4686" s="272" t="n">
        <v>1300000</v>
      </c>
    </row>
    <row r="4687" customFormat="false" ht="15" hidden="false" customHeight="false" outlineLevel="0" collapsed="false">
      <c r="A4687" s="0" t="s">
        <v>2041</v>
      </c>
      <c r="B4687" s="0" t="s">
        <v>2042</v>
      </c>
      <c r="C4687" s="0" t="s">
        <v>2161</v>
      </c>
      <c r="D4687" s="0" t="s">
        <v>2105</v>
      </c>
      <c r="E4687" s="0" t="s">
        <v>2045</v>
      </c>
      <c r="F4687" s="0" t="s">
        <v>2204</v>
      </c>
      <c r="G4687" s="0" t="s">
        <v>2214</v>
      </c>
      <c r="H4687" s="0" t="s">
        <v>2208</v>
      </c>
      <c r="I4687" s="0" t="s">
        <v>2322</v>
      </c>
      <c r="J4687" s="0" t="s">
        <v>2358</v>
      </c>
      <c r="K4687" s="272" t="n">
        <v>361445.31</v>
      </c>
    </row>
    <row r="4688" customFormat="false" ht="15" hidden="false" customHeight="false" outlineLevel="0" collapsed="false">
      <c r="A4688" s="0" t="s">
        <v>2041</v>
      </c>
      <c r="B4688" s="0" t="s">
        <v>2042</v>
      </c>
      <c r="C4688" s="0" t="s">
        <v>2349</v>
      </c>
      <c r="D4688" s="0" t="s">
        <v>2105</v>
      </c>
      <c r="E4688" s="0" t="s">
        <v>2045</v>
      </c>
      <c r="F4688" s="0" t="s">
        <v>2204</v>
      </c>
      <c r="G4688" s="0" t="s">
        <v>2214</v>
      </c>
      <c r="H4688" s="0" t="s">
        <v>2208</v>
      </c>
      <c r="I4688" s="0" t="s">
        <v>2322</v>
      </c>
      <c r="J4688" s="0" t="s">
        <v>2358</v>
      </c>
      <c r="K4688" s="272" t="n">
        <v>123877.02</v>
      </c>
    </row>
    <row r="4689" customFormat="false" ht="15" hidden="false" customHeight="false" outlineLevel="0" collapsed="false">
      <c r="A4689" s="0" t="s">
        <v>2041</v>
      </c>
      <c r="B4689" s="0" t="s">
        <v>2042</v>
      </c>
      <c r="C4689" s="0" t="s">
        <v>2352</v>
      </c>
      <c r="D4689" s="0" t="s">
        <v>2105</v>
      </c>
      <c r="E4689" s="0" t="s">
        <v>2045</v>
      </c>
      <c r="F4689" s="0" t="s">
        <v>2051</v>
      </c>
      <c r="G4689" s="0" t="s">
        <v>2106</v>
      </c>
      <c r="H4689" s="0" t="s">
        <v>2107</v>
      </c>
      <c r="I4689" s="0" t="s">
        <v>2124</v>
      </c>
      <c r="J4689" s="0" t="s">
        <v>2358</v>
      </c>
      <c r="K4689" s="272" t="n">
        <v>700000</v>
      </c>
    </row>
    <row r="4690" customFormat="false" ht="15" hidden="false" customHeight="false" outlineLevel="0" collapsed="false">
      <c r="A4690" s="0" t="s">
        <v>2041</v>
      </c>
      <c r="B4690" s="0" t="s">
        <v>2042</v>
      </c>
      <c r="C4690" s="0" t="s">
        <v>2156</v>
      </c>
      <c r="D4690" s="0" t="s">
        <v>2105</v>
      </c>
      <c r="E4690" s="0" t="s">
        <v>2045</v>
      </c>
      <c r="F4690" s="0" t="s">
        <v>2051</v>
      </c>
      <c r="G4690" s="0" t="s">
        <v>2106</v>
      </c>
      <c r="H4690" s="0" t="s">
        <v>2107</v>
      </c>
      <c r="I4690" s="0" t="s">
        <v>2124</v>
      </c>
      <c r="J4690" s="0" t="s">
        <v>2358</v>
      </c>
      <c r="K4690" s="272" t="n">
        <v>10000000</v>
      </c>
    </row>
    <row r="4691" customFormat="false" ht="15" hidden="false" customHeight="false" outlineLevel="0" collapsed="false">
      <c r="A4691" s="0" t="s">
        <v>2041</v>
      </c>
      <c r="B4691" s="0" t="s">
        <v>2042</v>
      </c>
      <c r="C4691" s="0" t="s">
        <v>2161</v>
      </c>
      <c r="D4691" s="0" t="s">
        <v>2105</v>
      </c>
      <c r="E4691" s="0" t="s">
        <v>2045</v>
      </c>
      <c r="F4691" s="0" t="s">
        <v>2051</v>
      </c>
      <c r="G4691" s="0" t="s">
        <v>2106</v>
      </c>
      <c r="H4691" s="0" t="s">
        <v>2107</v>
      </c>
      <c r="I4691" s="0" t="s">
        <v>2124</v>
      </c>
      <c r="J4691" s="0" t="s">
        <v>2358</v>
      </c>
      <c r="K4691" s="272" t="n">
        <v>1660971</v>
      </c>
    </row>
    <row r="4692" customFormat="false" ht="15" hidden="false" customHeight="false" outlineLevel="0" collapsed="false">
      <c r="A4692" s="0" t="s">
        <v>2041</v>
      </c>
      <c r="B4692" s="0" t="s">
        <v>2042</v>
      </c>
      <c r="C4692" s="0" t="s">
        <v>2349</v>
      </c>
      <c r="D4692" s="0" t="s">
        <v>2105</v>
      </c>
      <c r="E4692" s="0" t="s">
        <v>2045</v>
      </c>
      <c r="F4692" s="0" t="s">
        <v>2051</v>
      </c>
      <c r="G4692" s="0" t="s">
        <v>2106</v>
      </c>
      <c r="H4692" s="0" t="s">
        <v>2107</v>
      </c>
      <c r="I4692" s="0" t="s">
        <v>2124</v>
      </c>
      <c r="J4692" s="0" t="s">
        <v>2358</v>
      </c>
      <c r="K4692" s="272" t="n">
        <v>211400</v>
      </c>
    </row>
    <row r="4693" customFormat="false" ht="15" hidden="false" customHeight="false" outlineLevel="0" collapsed="false">
      <c r="A4693" s="0" t="s">
        <v>2041</v>
      </c>
      <c r="B4693" s="0" t="s">
        <v>2042</v>
      </c>
      <c r="C4693" s="0" t="s">
        <v>2352</v>
      </c>
      <c r="D4693" s="0" t="s">
        <v>2105</v>
      </c>
      <c r="E4693" s="0" t="s">
        <v>2045</v>
      </c>
      <c r="F4693" s="0" t="s">
        <v>2051</v>
      </c>
      <c r="G4693" s="0" t="s">
        <v>2106</v>
      </c>
      <c r="H4693" s="0" t="s">
        <v>2107</v>
      </c>
      <c r="I4693" s="0" t="s">
        <v>2322</v>
      </c>
      <c r="J4693" s="0" t="s">
        <v>2358</v>
      </c>
      <c r="K4693" s="272" t="n">
        <v>4469671.53</v>
      </c>
    </row>
    <row r="4694" customFormat="false" ht="15" hidden="false" customHeight="false" outlineLevel="0" collapsed="false">
      <c r="A4694" s="0" t="s">
        <v>2041</v>
      </c>
      <c r="B4694" s="0" t="s">
        <v>2042</v>
      </c>
      <c r="C4694" s="0" t="s">
        <v>2359</v>
      </c>
      <c r="D4694" s="0" t="s">
        <v>2105</v>
      </c>
      <c r="E4694" s="0" t="s">
        <v>2045</v>
      </c>
      <c r="F4694" s="0" t="s">
        <v>2051</v>
      </c>
      <c r="G4694" s="0" t="s">
        <v>2106</v>
      </c>
      <c r="H4694" s="0" t="s">
        <v>2107</v>
      </c>
      <c r="I4694" s="0" t="s">
        <v>2322</v>
      </c>
      <c r="J4694" s="0" t="s">
        <v>2358</v>
      </c>
      <c r="K4694" s="272" t="n">
        <v>3269754.75</v>
      </c>
    </row>
    <row r="4695" customFormat="false" ht="15" hidden="false" customHeight="false" outlineLevel="0" collapsed="false">
      <c r="A4695" s="0" t="s">
        <v>2041</v>
      </c>
      <c r="B4695" s="0" t="s">
        <v>2042</v>
      </c>
      <c r="C4695" s="0" t="s">
        <v>2362</v>
      </c>
      <c r="D4695" s="0" t="s">
        <v>2105</v>
      </c>
      <c r="E4695" s="0" t="s">
        <v>2045</v>
      </c>
      <c r="F4695" s="0" t="s">
        <v>2051</v>
      </c>
      <c r="G4695" s="0" t="s">
        <v>2106</v>
      </c>
      <c r="H4695" s="0" t="s">
        <v>2107</v>
      </c>
      <c r="I4695" s="0" t="s">
        <v>2322</v>
      </c>
      <c r="J4695" s="0" t="s">
        <v>2358</v>
      </c>
      <c r="K4695" s="272" t="n">
        <v>143247.1</v>
      </c>
    </row>
    <row r="4696" customFormat="false" ht="15" hidden="false" customHeight="false" outlineLevel="0" collapsed="false">
      <c r="A4696" s="0" t="s">
        <v>2041</v>
      </c>
      <c r="B4696" s="0" t="s">
        <v>2042</v>
      </c>
      <c r="C4696" s="0" t="s">
        <v>2361</v>
      </c>
      <c r="D4696" s="0" t="s">
        <v>2105</v>
      </c>
      <c r="E4696" s="0" t="s">
        <v>2045</v>
      </c>
      <c r="F4696" s="0" t="s">
        <v>2051</v>
      </c>
      <c r="G4696" s="0" t="s">
        <v>2106</v>
      </c>
      <c r="H4696" s="0" t="s">
        <v>2107</v>
      </c>
      <c r="I4696" s="0" t="s">
        <v>2322</v>
      </c>
      <c r="J4696" s="0" t="s">
        <v>2358</v>
      </c>
      <c r="K4696" s="272" t="n">
        <v>1232115.64</v>
      </c>
    </row>
    <row r="4697" customFormat="false" ht="15" hidden="false" customHeight="false" outlineLevel="0" collapsed="false">
      <c r="A4697" s="0" t="s">
        <v>2041</v>
      </c>
      <c r="B4697" s="0" t="s">
        <v>2042</v>
      </c>
      <c r="C4697" s="0" t="s">
        <v>2156</v>
      </c>
      <c r="D4697" s="0" t="s">
        <v>2105</v>
      </c>
      <c r="E4697" s="0" t="s">
        <v>2045</v>
      </c>
      <c r="F4697" s="0" t="s">
        <v>2051</v>
      </c>
      <c r="G4697" s="0" t="s">
        <v>2106</v>
      </c>
      <c r="H4697" s="0" t="s">
        <v>2107</v>
      </c>
      <c r="I4697" s="0" t="s">
        <v>2322</v>
      </c>
      <c r="J4697" s="0" t="s">
        <v>2358</v>
      </c>
      <c r="K4697" s="272" t="n">
        <v>99822815</v>
      </c>
    </row>
    <row r="4698" customFormat="false" ht="15" hidden="false" customHeight="false" outlineLevel="0" collapsed="false">
      <c r="A4698" s="0" t="s">
        <v>2041</v>
      </c>
      <c r="B4698" s="0" t="s">
        <v>2042</v>
      </c>
      <c r="C4698" s="0" t="s">
        <v>2161</v>
      </c>
      <c r="D4698" s="0" t="s">
        <v>2105</v>
      </c>
      <c r="E4698" s="0" t="s">
        <v>2045</v>
      </c>
      <c r="F4698" s="0" t="s">
        <v>2051</v>
      </c>
      <c r="G4698" s="0" t="s">
        <v>2106</v>
      </c>
      <c r="H4698" s="0" t="s">
        <v>2107</v>
      </c>
      <c r="I4698" s="0" t="s">
        <v>2322</v>
      </c>
      <c r="J4698" s="0" t="s">
        <v>2358</v>
      </c>
      <c r="K4698" s="272" t="n">
        <v>15272890.7</v>
      </c>
    </row>
    <row r="4699" customFormat="false" ht="15" hidden="false" customHeight="false" outlineLevel="0" collapsed="false">
      <c r="A4699" s="0" t="s">
        <v>2041</v>
      </c>
      <c r="B4699" s="0" t="s">
        <v>2042</v>
      </c>
      <c r="C4699" s="0" t="s">
        <v>2349</v>
      </c>
      <c r="D4699" s="0" t="s">
        <v>2105</v>
      </c>
      <c r="E4699" s="0" t="s">
        <v>2045</v>
      </c>
      <c r="F4699" s="0" t="s">
        <v>2051</v>
      </c>
      <c r="G4699" s="0" t="s">
        <v>2106</v>
      </c>
      <c r="H4699" s="0" t="s">
        <v>2107</v>
      </c>
      <c r="I4699" s="0" t="s">
        <v>2322</v>
      </c>
      <c r="J4699" s="0" t="s">
        <v>2358</v>
      </c>
      <c r="K4699" s="272" t="n">
        <v>1440015.76</v>
      </c>
    </row>
    <row r="4700" customFormat="false" ht="15" hidden="false" customHeight="false" outlineLevel="0" collapsed="false">
      <c r="A4700" s="0" t="s">
        <v>2041</v>
      </c>
      <c r="B4700" s="0" t="s">
        <v>2042</v>
      </c>
      <c r="C4700" s="0" t="s">
        <v>2352</v>
      </c>
      <c r="D4700" s="0" t="s">
        <v>2105</v>
      </c>
      <c r="E4700" s="0" t="s">
        <v>2045</v>
      </c>
      <c r="F4700" s="0" t="s">
        <v>2051</v>
      </c>
      <c r="G4700" s="0" t="s">
        <v>2110</v>
      </c>
      <c r="H4700" s="0" t="s">
        <v>2115</v>
      </c>
      <c r="I4700" s="0" t="s">
        <v>2322</v>
      </c>
      <c r="J4700" s="0" t="s">
        <v>2358</v>
      </c>
      <c r="K4700" s="272" t="n">
        <v>148336.4872</v>
      </c>
    </row>
    <row r="4701" customFormat="false" ht="15" hidden="false" customHeight="false" outlineLevel="0" collapsed="false">
      <c r="A4701" s="0" t="s">
        <v>2041</v>
      </c>
      <c r="B4701" s="0" t="s">
        <v>2042</v>
      </c>
      <c r="C4701" s="0" t="s">
        <v>2359</v>
      </c>
      <c r="D4701" s="0" t="s">
        <v>2105</v>
      </c>
      <c r="E4701" s="0" t="s">
        <v>2045</v>
      </c>
      <c r="F4701" s="0" t="s">
        <v>2051</v>
      </c>
      <c r="G4701" s="0" t="s">
        <v>2110</v>
      </c>
      <c r="H4701" s="0" t="s">
        <v>2115</v>
      </c>
      <c r="I4701" s="0" t="s">
        <v>2322</v>
      </c>
      <c r="J4701" s="0" t="s">
        <v>2358</v>
      </c>
      <c r="K4701" s="272" t="n">
        <v>19756.2288</v>
      </c>
    </row>
    <row r="4702" customFormat="false" ht="15" hidden="false" customHeight="false" outlineLevel="0" collapsed="false">
      <c r="A4702" s="0" t="s">
        <v>2041</v>
      </c>
      <c r="B4702" s="0" t="s">
        <v>2042</v>
      </c>
      <c r="C4702" s="0" t="s">
        <v>2156</v>
      </c>
      <c r="D4702" s="0" t="s">
        <v>2105</v>
      </c>
      <c r="E4702" s="0" t="s">
        <v>2045</v>
      </c>
      <c r="F4702" s="0" t="s">
        <v>2051</v>
      </c>
      <c r="G4702" s="0" t="s">
        <v>2110</v>
      </c>
      <c r="H4702" s="0" t="s">
        <v>2115</v>
      </c>
      <c r="I4702" s="0" t="s">
        <v>2322</v>
      </c>
      <c r="J4702" s="0" t="s">
        <v>2358</v>
      </c>
      <c r="K4702" s="272" t="n">
        <v>1013332.76</v>
      </c>
    </row>
    <row r="4703" customFormat="false" ht="15" hidden="false" customHeight="false" outlineLevel="0" collapsed="false">
      <c r="A4703" s="0" t="s">
        <v>2041</v>
      </c>
      <c r="B4703" s="0" t="s">
        <v>2042</v>
      </c>
      <c r="C4703" s="0" t="s">
        <v>2161</v>
      </c>
      <c r="D4703" s="0" t="s">
        <v>2105</v>
      </c>
      <c r="E4703" s="0" t="s">
        <v>2045</v>
      </c>
      <c r="F4703" s="0" t="s">
        <v>2051</v>
      </c>
      <c r="G4703" s="0" t="s">
        <v>2110</v>
      </c>
      <c r="H4703" s="0" t="s">
        <v>2115</v>
      </c>
      <c r="I4703" s="0" t="s">
        <v>2322</v>
      </c>
      <c r="J4703" s="0" t="s">
        <v>2358</v>
      </c>
      <c r="K4703" s="272" t="n">
        <v>264051.83</v>
      </c>
    </row>
    <row r="4704" customFormat="false" ht="15" hidden="false" customHeight="false" outlineLevel="0" collapsed="false">
      <c r="A4704" s="0" t="s">
        <v>2041</v>
      </c>
      <c r="B4704" s="0" t="s">
        <v>2042</v>
      </c>
      <c r="C4704" s="0" t="s">
        <v>2349</v>
      </c>
      <c r="D4704" s="0" t="s">
        <v>2105</v>
      </c>
      <c r="E4704" s="0" t="s">
        <v>2045</v>
      </c>
      <c r="F4704" s="0" t="s">
        <v>2051</v>
      </c>
      <c r="G4704" s="0" t="s">
        <v>2110</v>
      </c>
      <c r="H4704" s="0" t="s">
        <v>2115</v>
      </c>
      <c r="I4704" s="0" t="s">
        <v>2322</v>
      </c>
      <c r="J4704" s="0" t="s">
        <v>2358</v>
      </c>
      <c r="K4704" s="272" t="n">
        <v>47820.3196</v>
      </c>
    </row>
    <row r="4705" customFormat="false" ht="15" hidden="false" customHeight="false" outlineLevel="0" collapsed="false">
      <c r="A4705" s="0" t="s">
        <v>2041</v>
      </c>
      <c r="B4705" s="0" t="s">
        <v>2042</v>
      </c>
      <c r="C4705" s="0" t="s">
        <v>2352</v>
      </c>
      <c r="D4705" s="0" t="s">
        <v>2105</v>
      </c>
      <c r="E4705" s="0" t="s">
        <v>2045</v>
      </c>
      <c r="F4705" s="0" t="s">
        <v>2051</v>
      </c>
      <c r="G4705" s="0" t="s">
        <v>2110</v>
      </c>
      <c r="H4705" s="0" t="s">
        <v>2111</v>
      </c>
      <c r="I4705" s="0" t="s">
        <v>2322</v>
      </c>
      <c r="J4705" s="0" t="s">
        <v>2358</v>
      </c>
      <c r="K4705" s="272" t="n">
        <v>1269107.3</v>
      </c>
    </row>
    <row r="4706" customFormat="false" ht="15" hidden="false" customHeight="false" outlineLevel="0" collapsed="false">
      <c r="A4706" s="0" t="s">
        <v>2041</v>
      </c>
      <c r="B4706" s="0" t="s">
        <v>2042</v>
      </c>
      <c r="C4706" s="0" t="s">
        <v>2156</v>
      </c>
      <c r="D4706" s="0" t="s">
        <v>2105</v>
      </c>
      <c r="E4706" s="0" t="s">
        <v>2045</v>
      </c>
      <c r="F4706" s="0" t="s">
        <v>2051</v>
      </c>
      <c r="G4706" s="0" t="s">
        <v>2110</v>
      </c>
      <c r="H4706" s="0" t="s">
        <v>2111</v>
      </c>
      <c r="I4706" s="0" t="s">
        <v>2322</v>
      </c>
      <c r="J4706" s="0" t="s">
        <v>2358</v>
      </c>
      <c r="K4706" s="272" t="n">
        <v>11221510.4</v>
      </c>
    </row>
    <row r="4707" customFormat="false" ht="15" hidden="false" customHeight="false" outlineLevel="0" collapsed="false">
      <c r="A4707" s="0" t="s">
        <v>2041</v>
      </c>
      <c r="B4707" s="0" t="s">
        <v>2042</v>
      </c>
      <c r="C4707" s="0" t="s">
        <v>2360</v>
      </c>
      <c r="D4707" s="0" t="s">
        <v>2105</v>
      </c>
      <c r="E4707" s="0" t="s">
        <v>2045</v>
      </c>
      <c r="F4707" s="0" t="s">
        <v>2051</v>
      </c>
      <c r="G4707" s="0" t="s">
        <v>2110</v>
      </c>
      <c r="H4707" s="0" t="s">
        <v>2111</v>
      </c>
      <c r="I4707" s="0" t="s">
        <v>2322</v>
      </c>
      <c r="J4707" s="0" t="s">
        <v>2358</v>
      </c>
      <c r="K4707" s="272" t="n">
        <v>2324</v>
      </c>
    </row>
    <row r="4708" customFormat="false" ht="15" hidden="false" customHeight="false" outlineLevel="0" collapsed="false">
      <c r="A4708" s="0" t="s">
        <v>2041</v>
      </c>
      <c r="B4708" s="0" t="s">
        <v>2042</v>
      </c>
      <c r="C4708" s="0" t="s">
        <v>2161</v>
      </c>
      <c r="D4708" s="0" t="s">
        <v>2105</v>
      </c>
      <c r="E4708" s="0" t="s">
        <v>2045</v>
      </c>
      <c r="F4708" s="0" t="s">
        <v>2051</v>
      </c>
      <c r="G4708" s="0" t="s">
        <v>2110</v>
      </c>
      <c r="H4708" s="0" t="s">
        <v>2111</v>
      </c>
      <c r="I4708" s="0" t="s">
        <v>2322</v>
      </c>
      <c r="J4708" s="0" t="s">
        <v>2358</v>
      </c>
      <c r="K4708" s="272" t="n">
        <v>2347279.78</v>
      </c>
    </row>
    <row r="4709" customFormat="false" ht="15" hidden="false" customHeight="false" outlineLevel="0" collapsed="false">
      <c r="A4709" s="0" t="s">
        <v>2041</v>
      </c>
      <c r="B4709" s="0" t="s">
        <v>2042</v>
      </c>
      <c r="C4709" s="0" t="s">
        <v>2349</v>
      </c>
      <c r="D4709" s="0" t="s">
        <v>2105</v>
      </c>
      <c r="E4709" s="0" t="s">
        <v>2045</v>
      </c>
      <c r="F4709" s="0" t="s">
        <v>2051</v>
      </c>
      <c r="G4709" s="0" t="s">
        <v>2110</v>
      </c>
      <c r="H4709" s="0" t="s">
        <v>2111</v>
      </c>
      <c r="I4709" s="0" t="s">
        <v>2322</v>
      </c>
      <c r="J4709" s="0" t="s">
        <v>2358</v>
      </c>
      <c r="K4709" s="272" t="n">
        <v>383972.252</v>
      </c>
    </row>
    <row r="4710" customFormat="false" ht="15" hidden="false" customHeight="false" outlineLevel="0" collapsed="false">
      <c r="A4710" s="0" t="s">
        <v>2041</v>
      </c>
      <c r="B4710" s="0" t="s">
        <v>2042</v>
      </c>
      <c r="C4710" s="0" t="s">
        <v>2352</v>
      </c>
      <c r="D4710" s="0" t="s">
        <v>2105</v>
      </c>
      <c r="E4710" s="0" t="s">
        <v>2045</v>
      </c>
      <c r="F4710" s="0" t="s">
        <v>2051</v>
      </c>
      <c r="G4710" s="0" t="s">
        <v>2110</v>
      </c>
      <c r="H4710" s="0" t="s">
        <v>2119</v>
      </c>
      <c r="I4710" s="0" t="s">
        <v>2322</v>
      </c>
      <c r="J4710" s="0" t="s">
        <v>2358</v>
      </c>
      <c r="K4710" s="272" t="n">
        <v>57311.8246</v>
      </c>
    </row>
    <row r="4711" customFormat="false" ht="15" hidden="false" customHeight="false" outlineLevel="0" collapsed="false">
      <c r="A4711" s="0" t="s">
        <v>2041</v>
      </c>
      <c r="B4711" s="0" t="s">
        <v>2042</v>
      </c>
      <c r="C4711" s="0" t="s">
        <v>2359</v>
      </c>
      <c r="D4711" s="0" t="s">
        <v>2105</v>
      </c>
      <c r="E4711" s="0" t="s">
        <v>2045</v>
      </c>
      <c r="F4711" s="0" t="s">
        <v>2051</v>
      </c>
      <c r="G4711" s="0" t="s">
        <v>2110</v>
      </c>
      <c r="H4711" s="0" t="s">
        <v>2119</v>
      </c>
      <c r="I4711" s="0" t="s">
        <v>2322</v>
      </c>
      <c r="J4711" s="0" t="s">
        <v>2358</v>
      </c>
      <c r="K4711" s="272" t="n">
        <v>7633.0884</v>
      </c>
    </row>
    <row r="4712" customFormat="false" ht="15" hidden="false" customHeight="false" outlineLevel="0" collapsed="false">
      <c r="A4712" s="0" t="s">
        <v>2041</v>
      </c>
      <c r="B4712" s="0" t="s">
        <v>2042</v>
      </c>
      <c r="C4712" s="0" t="s">
        <v>2156</v>
      </c>
      <c r="D4712" s="0" t="s">
        <v>2105</v>
      </c>
      <c r="E4712" s="0" t="s">
        <v>2045</v>
      </c>
      <c r="F4712" s="0" t="s">
        <v>2051</v>
      </c>
      <c r="G4712" s="0" t="s">
        <v>2110</v>
      </c>
      <c r="H4712" s="0" t="s">
        <v>2119</v>
      </c>
      <c r="I4712" s="0" t="s">
        <v>2322</v>
      </c>
      <c r="J4712" s="0" t="s">
        <v>2358</v>
      </c>
      <c r="K4712" s="272" t="n">
        <v>391514.93</v>
      </c>
    </row>
    <row r="4713" customFormat="false" ht="15" hidden="false" customHeight="false" outlineLevel="0" collapsed="false">
      <c r="A4713" s="0" t="s">
        <v>2041</v>
      </c>
      <c r="B4713" s="0" t="s">
        <v>2042</v>
      </c>
      <c r="C4713" s="0" t="s">
        <v>2161</v>
      </c>
      <c r="D4713" s="0" t="s">
        <v>2105</v>
      </c>
      <c r="E4713" s="0" t="s">
        <v>2045</v>
      </c>
      <c r="F4713" s="0" t="s">
        <v>2051</v>
      </c>
      <c r="G4713" s="0" t="s">
        <v>2110</v>
      </c>
      <c r="H4713" s="0" t="s">
        <v>2119</v>
      </c>
      <c r="I4713" s="0" t="s">
        <v>2322</v>
      </c>
      <c r="J4713" s="0" t="s">
        <v>2358</v>
      </c>
      <c r="K4713" s="272" t="n">
        <v>102020.025227273</v>
      </c>
    </row>
    <row r="4714" customFormat="false" ht="15" hidden="false" customHeight="false" outlineLevel="0" collapsed="false">
      <c r="A4714" s="0" t="s">
        <v>2041</v>
      </c>
      <c r="B4714" s="0" t="s">
        <v>2042</v>
      </c>
      <c r="C4714" s="0" t="s">
        <v>2349</v>
      </c>
      <c r="D4714" s="0" t="s">
        <v>2105</v>
      </c>
      <c r="E4714" s="0" t="s">
        <v>2045</v>
      </c>
      <c r="F4714" s="0" t="s">
        <v>2051</v>
      </c>
      <c r="G4714" s="0" t="s">
        <v>2110</v>
      </c>
      <c r="H4714" s="0" t="s">
        <v>2119</v>
      </c>
      <c r="I4714" s="0" t="s">
        <v>2322</v>
      </c>
      <c r="J4714" s="0" t="s">
        <v>2358</v>
      </c>
      <c r="K4714" s="272" t="n">
        <v>18476.0325727273</v>
      </c>
    </row>
    <row r="4715" customFormat="false" ht="15" hidden="false" customHeight="false" outlineLevel="0" collapsed="false">
      <c r="A4715" s="0" t="s">
        <v>2041</v>
      </c>
      <c r="B4715" s="0" t="s">
        <v>2042</v>
      </c>
      <c r="C4715" s="0" t="s">
        <v>2352</v>
      </c>
      <c r="D4715" s="0" t="s">
        <v>2105</v>
      </c>
      <c r="E4715" s="0" t="s">
        <v>2045</v>
      </c>
      <c r="F4715" s="0" t="s">
        <v>2051</v>
      </c>
      <c r="G4715" s="0" t="s">
        <v>2110</v>
      </c>
      <c r="H4715" s="0" t="s">
        <v>2120</v>
      </c>
      <c r="I4715" s="0" t="s">
        <v>2322</v>
      </c>
      <c r="J4715" s="0" t="s">
        <v>2358</v>
      </c>
      <c r="K4715" s="272" t="n">
        <v>93230.5108</v>
      </c>
    </row>
    <row r="4716" customFormat="false" ht="15" hidden="false" customHeight="false" outlineLevel="0" collapsed="false">
      <c r="A4716" s="0" t="s">
        <v>2041</v>
      </c>
      <c r="B4716" s="0" t="s">
        <v>2042</v>
      </c>
      <c r="C4716" s="0" t="s">
        <v>2359</v>
      </c>
      <c r="D4716" s="0" t="s">
        <v>2105</v>
      </c>
      <c r="E4716" s="0" t="s">
        <v>2045</v>
      </c>
      <c r="F4716" s="0" t="s">
        <v>2051</v>
      </c>
      <c r="G4716" s="0" t="s">
        <v>2110</v>
      </c>
      <c r="H4716" s="0" t="s">
        <v>2120</v>
      </c>
      <c r="I4716" s="0" t="s">
        <v>2322</v>
      </c>
      <c r="J4716" s="0" t="s">
        <v>2358</v>
      </c>
      <c r="K4716" s="272" t="n">
        <v>9664.1282</v>
      </c>
    </row>
    <row r="4717" customFormat="false" ht="15" hidden="false" customHeight="false" outlineLevel="0" collapsed="false">
      <c r="A4717" s="0" t="s">
        <v>2041</v>
      </c>
      <c r="B4717" s="0" t="s">
        <v>2042</v>
      </c>
      <c r="C4717" s="0" t="s">
        <v>2156</v>
      </c>
      <c r="D4717" s="0" t="s">
        <v>2105</v>
      </c>
      <c r="E4717" s="0" t="s">
        <v>2045</v>
      </c>
      <c r="F4717" s="0" t="s">
        <v>2051</v>
      </c>
      <c r="G4717" s="0" t="s">
        <v>2110</v>
      </c>
      <c r="H4717" s="0" t="s">
        <v>2120</v>
      </c>
      <c r="I4717" s="0" t="s">
        <v>2322</v>
      </c>
      <c r="J4717" s="0" t="s">
        <v>2358</v>
      </c>
      <c r="K4717" s="272" t="n">
        <v>594468.39</v>
      </c>
    </row>
    <row r="4718" customFormat="false" ht="15" hidden="false" customHeight="false" outlineLevel="0" collapsed="false">
      <c r="A4718" s="0" t="s">
        <v>2041</v>
      </c>
      <c r="B4718" s="0" t="s">
        <v>2042</v>
      </c>
      <c r="C4718" s="0" t="s">
        <v>2161</v>
      </c>
      <c r="D4718" s="0" t="s">
        <v>2105</v>
      </c>
      <c r="E4718" s="0" t="s">
        <v>2045</v>
      </c>
      <c r="F4718" s="0" t="s">
        <v>2051</v>
      </c>
      <c r="G4718" s="0" t="s">
        <v>2110</v>
      </c>
      <c r="H4718" s="0" t="s">
        <v>2120</v>
      </c>
      <c r="I4718" s="0" t="s">
        <v>2322</v>
      </c>
      <c r="J4718" s="0" t="s">
        <v>2358</v>
      </c>
      <c r="K4718" s="272" t="n">
        <v>175077.72</v>
      </c>
    </row>
    <row r="4719" customFormat="false" ht="15" hidden="false" customHeight="false" outlineLevel="0" collapsed="false">
      <c r="A4719" s="0" t="s">
        <v>2041</v>
      </c>
      <c r="B4719" s="0" t="s">
        <v>2042</v>
      </c>
      <c r="C4719" s="0" t="s">
        <v>2349</v>
      </c>
      <c r="D4719" s="0" t="s">
        <v>2105</v>
      </c>
      <c r="E4719" s="0" t="s">
        <v>2045</v>
      </c>
      <c r="F4719" s="0" t="s">
        <v>2051</v>
      </c>
      <c r="G4719" s="0" t="s">
        <v>2110</v>
      </c>
      <c r="H4719" s="0" t="s">
        <v>2120</v>
      </c>
      <c r="I4719" s="0" t="s">
        <v>2322</v>
      </c>
      <c r="J4719" s="0" t="s">
        <v>2358</v>
      </c>
      <c r="K4719" s="272" t="n">
        <v>29634.2283</v>
      </c>
    </row>
    <row r="4720" customFormat="false" ht="15" hidden="false" customHeight="false" outlineLevel="0" collapsed="false">
      <c r="A4720" s="0" t="s">
        <v>2041</v>
      </c>
      <c r="B4720" s="0" t="s">
        <v>2042</v>
      </c>
      <c r="C4720" s="0" t="s">
        <v>2352</v>
      </c>
      <c r="D4720" s="0" t="s">
        <v>2105</v>
      </c>
      <c r="E4720" s="0" t="s">
        <v>2045</v>
      </c>
      <c r="F4720" s="0" t="s">
        <v>2051</v>
      </c>
      <c r="G4720" s="0" t="s">
        <v>2110</v>
      </c>
      <c r="H4720" s="0" t="s">
        <v>2121</v>
      </c>
      <c r="I4720" s="0" t="s">
        <v>2322</v>
      </c>
      <c r="J4720" s="0" t="s">
        <v>2358</v>
      </c>
      <c r="K4720" s="272" t="n">
        <v>120676.4</v>
      </c>
    </row>
    <row r="4721" customFormat="false" ht="15" hidden="false" customHeight="false" outlineLevel="0" collapsed="false">
      <c r="A4721" s="0" t="s">
        <v>2041</v>
      </c>
      <c r="B4721" s="0" t="s">
        <v>2042</v>
      </c>
      <c r="C4721" s="0" t="s">
        <v>2156</v>
      </c>
      <c r="D4721" s="0" t="s">
        <v>2105</v>
      </c>
      <c r="E4721" s="0" t="s">
        <v>2045</v>
      </c>
      <c r="F4721" s="0" t="s">
        <v>2051</v>
      </c>
      <c r="G4721" s="0" t="s">
        <v>2110</v>
      </c>
      <c r="H4721" s="0" t="s">
        <v>2121</v>
      </c>
      <c r="I4721" s="0" t="s">
        <v>2322</v>
      </c>
      <c r="J4721" s="0" t="s">
        <v>2358</v>
      </c>
      <c r="K4721" s="272" t="n">
        <v>851115.8</v>
      </c>
    </row>
    <row r="4722" customFormat="false" ht="15" hidden="false" customHeight="false" outlineLevel="0" collapsed="false">
      <c r="A4722" s="0" t="s">
        <v>2041</v>
      </c>
      <c r="B4722" s="0" t="s">
        <v>2042</v>
      </c>
      <c r="C4722" s="0" t="s">
        <v>2161</v>
      </c>
      <c r="D4722" s="0" t="s">
        <v>2105</v>
      </c>
      <c r="E4722" s="0" t="s">
        <v>2045</v>
      </c>
      <c r="F4722" s="0" t="s">
        <v>2051</v>
      </c>
      <c r="G4722" s="0" t="s">
        <v>2110</v>
      </c>
      <c r="H4722" s="0" t="s">
        <v>2121</v>
      </c>
      <c r="I4722" s="0" t="s">
        <v>2322</v>
      </c>
      <c r="J4722" s="0" t="s">
        <v>2358</v>
      </c>
      <c r="K4722" s="272" t="n">
        <v>165052.57</v>
      </c>
    </row>
    <row r="4723" customFormat="false" ht="15" hidden="false" customHeight="false" outlineLevel="0" collapsed="false">
      <c r="A4723" s="0" t="s">
        <v>2041</v>
      </c>
      <c r="B4723" s="0" t="s">
        <v>2042</v>
      </c>
      <c r="C4723" s="0" t="s">
        <v>2349</v>
      </c>
      <c r="D4723" s="0" t="s">
        <v>2105</v>
      </c>
      <c r="E4723" s="0" t="s">
        <v>2045</v>
      </c>
      <c r="F4723" s="0" t="s">
        <v>2051</v>
      </c>
      <c r="G4723" s="0" t="s">
        <v>2110</v>
      </c>
      <c r="H4723" s="0" t="s">
        <v>2121</v>
      </c>
      <c r="I4723" s="0" t="s">
        <v>2322</v>
      </c>
      <c r="J4723" s="0" t="s">
        <v>2358</v>
      </c>
      <c r="K4723" s="272" t="n">
        <v>36444.27</v>
      </c>
    </row>
    <row r="4724" customFormat="false" ht="15" hidden="false" customHeight="false" outlineLevel="0" collapsed="false">
      <c r="A4724" s="0" t="s">
        <v>2041</v>
      </c>
      <c r="B4724" s="0" t="s">
        <v>2042</v>
      </c>
      <c r="C4724" s="0" t="s">
        <v>2352</v>
      </c>
      <c r="D4724" s="0" t="s">
        <v>2105</v>
      </c>
      <c r="E4724" s="0" t="s">
        <v>2045</v>
      </c>
      <c r="F4724" s="0" t="s">
        <v>2051</v>
      </c>
      <c r="G4724" s="0" t="s">
        <v>2110</v>
      </c>
      <c r="H4724" s="0" t="s">
        <v>2122</v>
      </c>
      <c r="I4724" s="0" t="s">
        <v>2322</v>
      </c>
      <c r="J4724" s="0" t="s">
        <v>2358</v>
      </c>
      <c r="K4724" s="272" t="n">
        <v>93230.5108</v>
      </c>
    </row>
    <row r="4725" customFormat="false" ht="15" hidden="false" customHeight="false" outlineLevel="0" collapsed="false">
      <c r="A4725" s="0" t="s">
        <v>2041</v>
      </c>
      <c r="B4725" s="0" t="s">
        <v>2042</v>
      </c>
      <c r="C4725" s="0" t="s">
        <v>2359</v>
      </c>
      <c r="D4725" s="0" t="s">
        <v>2105</v>
      </c>
      <c r="E4725" s="0" t="s">
        <v>2045</v>
      </c>
      <c r="F4725" s="0" t="s">
        <v>2051</v>
      </c>
      <c r="G4725" s="0" t="s">
        <v>2110</v>
      </c>
      <c r="H4725" s="0" t="s">
        <v>2122</v>
      </c>
      <c r="I4725" s="0" t="s">
        <v>2322</v>
      </c>
      <c r="J4725" s="0" t="s">
        <v>2358</v>
      </c>
      <c r="K4725" s="272" t="n">
        <v>9664.1282</v>
      </c>
    </row>
    <row r="4726" customFormat="false" ht="15" hidden="false" customHeight="false" outlineLevel="0" collapsed="false">
      <c r="A4726" s="0" t="s">
        <v>2041</v>
      </c>
      <c r="B4726" s="0" t="s">
        <v>2042</v>
      </c>
      <c r="C4726" s="0" t="s">
        <v>2156</v>
      </c>
      <c r="D4726" s="0" t="s">
        <v>2105</v>
      </c>
      <c r="E4726" s="0" t="s">
        <v>2045</v>
      </c>
      <c r="F4726" s="0" t="s">
        <v>2051</v>
      </c>
      <c r="G4726" s="0" t="s">
        <v>2110</v>
      </c>
      <c r="H4726" s="0" t="s">
        <v>2122</v>
      </c>
      <c r="I4726" s="0" t="s">
        <v>2322</v>
      </c>
      <c r="J4726" s="0" t="s">
        <v>2358</v>
      </c>
      <c r="K4726" s="272" t="n">
        <v>594468.39</v>
      </c>
    </row>
    <row r="4727" customFormat="false" ht="15" hidden="false" customHeight="false" outlineLevel="0" collapsed="false">
      <c r="A4727" s="0" t="s">
        <v>2041</v>
      </c>
      <c r="B4727" s="0" t="s">
        <v>2042</v>
      </c>
      <c r="C4727" s="0" t="s">
        <v>2161</v>
      </c>
      <c r="D4727" s="0" t="s">
        <v>2105</v>
      </c>
      <c r="E4727" s="0" t="s">
        <v>2045</v>
      </c>
      <c r="F4727" s="0" t="s">
        <v>2051</v>
      </c>
      <c r="G4727" s="0" t="s">
        <v>2110</v>
      </c>
      <c r="H4727" s="0" t="s">
        <v>2122</v>
      </c>
      <c r="I4727" s="0" t="s">
        <v>2322</v>
      </c>
      <c r="J4727" s="0" t="s">
        <v>2358</v>
      </c>
      <c r="K4727" s="272" t="n">
        <v>175077.72</v>
      </c>
    </row>
    <row r="4728" customFormat="false" ht="15" hidden="false" customHeight="false" outlineLevel="0" collapsed="false">
      <c r="A4728" s="0" t="s">
        <v>2041</v>
      </c>
      <c r="B4728" s="0" t="s">
        <v>2042</v>
      </c>
      <c r="C4728" s="0" t="s">
        <v>2349</v>
      </c>
      <c r="D4728" s="0" t="s">
        <v>2105</v>
      </c>
      <c r="E4728" s="0" t="s">
        <v>2045</v>
      </c>
      <c r="F4728" s="0" t="s">
        <v>2051</v>
      </c>
      <c r="G4728" s="0" t="s">
        <v>2110</v>
      </c>
      <c r="H4728" s="0" t="s">
        <v>2122</v>
      </c>
      <c r="I4728" s="0" t="s">
        <v>2322</v>
      </c>
      <c r="J4728" s="0" t="s">
        <v>2358</v>
      </c>
      <c r="K4728" s="272" t="n">
        <v>29634.2283</v>
      </c>
    </row>
    <row r="4729" customFormat="false" ht="15" hidden="false" customHeight="false" outlineLevel="0" collapsed="false">
      <c r="A4729" s="0" t="s">
        <v>2041</v>
      </c>
      <c r="B4729" s="0" t="s">
        <v>2042</v>
      </c>
      <c r="C4729" s="0" t="s">
        <v>2352</v>
      </c>
      <c r="D4729" s="0" t="s">
        <v>2105</v>
      </c>
      <c r="E4729" s="0" t="s">
        <v>2045</v>
      </c>
      <c r="F4729" s="0" t="s">
        <v>2051</v>
      </c>
      <c r="G4729" s="0" t="s">
        <v>2110</v>
      </c>
      <c r="H4729" s="0" t="s">
        <v>2112</v>
      </c>
      <c r="I4729" s="0" t="s">
        <v>2322</v>
      </c>
      <c r="J4729" s="0" t="s">
        <v>2358</v>
      </c>
      <c r="K4729" s="272" t="n">
        <v>2279633.8682</v>
      </c>
    </row>
    <row r="4730" customFormat="false" ht="15" hidden="false" customHeight="false" outlineLevel="0" collapsed="false">
      <c r="A4730" s="0" t="s">
        <v>2041</v>
      </c>
      <c r="B4730" s="0" t="s">
        <v>2042</v>
      </c>
      <c r="C4730" s="0" t="s">
        <v>2359</v>
      </c>
      <c r="D4730" s="0" t="s">
        <v>2105</v>
      </c>
      <c r="E4730" s="0" t="s">
        <v>2045</v>
      </c>
      <c r="F4730" s="0" t="s">
        <v>2051</v>
      </c>
      <c r="G4730" s="0" t="s">
        <v>2110</v>
      </c>
      <c r="H4730" s="0" t="s">
        <v>2112</v>
      </c>
      <c r="I4730" s="0" t="s">
        <v>2322</v>
      </c>
      <c r="J4730" s="0" t="s">
        <v>2358</v>
      </c>
      <c r="K4730" s="272" t="n">
        <v>208443.8528</v>
      </c>
    </row>
    <row r="4731" customFormat="false" ht="15" hidden="false" customHeight="false" outlineLevel="0" collapsed="false">
      <c r="A4731" s="0" t="s">
        <v>2041</v>
      </c>
      <c r="B4731" s="0" t="s">
        <v>2042</v>
      </c>
      <c r="C4731" s="0" t="s">
        <v>2156</v>
      </c>
      <c r="D4731" s="0" t="s">
        <v>2105</v>
      </c>
      <c r="E4731" s="0" t="s">
        <v>2045</v>
      </c>
      <c r="F4731" s="0" t="s">
        <v>2051</v>
      </c>
      <c r="G4731" s="0" t="s">
        <v>2110</v>
      </c>
      <c r="H4731" s="0" t="s">
        <v>2112</v>
      </c>
      <c r="I4731" s="0" t="s">
        <v>2322</v>
      </c>
      <c r="J4731" s="0" t="s">
        <v>2358</v>
      </c>
      <c r="K4731" s="272" t="n">
        <v>33008228.71</v>
      </c>
    </row>
    <row r="4732" customFormat="false" ht="15" hidden="false" customHeight="false" outlineLevel="0" collapsed="false">
      <c r="A4732" s="0" t="s">
        <v>2041</v>
      </c>
      <c r="B4732" s="0" t="s">
        <v>2042</v>
      </c>
      <c r="C4732" s="0" t="s">
        <v>2360</v>
      </c>
      <c r="D4732" s="0" t="s">
        <v>2105</v>
      </c>
      <c r="E4732" s="0" t="s">
        <v>2045</v>
      </c>
      <c r="F4732" s="0" t="s">
        <v>2051</v>
      </c>
      <c r="G4732" s="0" t="s">
        <v>2110</v>
      </c>
      <c r="H4732" s="0" t="s">
        <v>2112</v>
      </c>
      <c r="I4732" s="0" t="s">
        <v>2322</v>
      </c>
      <c r="J4732" s="0" t="s">
        <v>2358</v>
      </c>
      <c r="K4732" s="272" t="n">
        <v>1675</v>
      </c>
    </row>
    <row r="4733" customFormat="false" ht="15" hidden="false" customHeight="false" outlineLevel="0" collapsed="false">
      <c r="A4733" s="0" t="s">
        <v>2041</v>
      </c>
      <c r="B4733" s="0" t="s">
        <v>2042</v>
      </c>
      <c r="C4733" s="0" t="s">
        <v>2161</v>
      </c>
      <c r="D4733" s="0" t="s">
        <v>2105</v>
      </c>
      <c r="E4733" s="0" t="s">
        <v>2045</v>
      </c>
      <c r="F4733" s="0" t="s">
        <v>2051</v>
      </c>
      <c r="G4733" s="0" t="s">
        <v>2110</v>
      </c>
      <c r="H4733" s="0" t="s">
        <v>2112</v>
      </c>
      <c r="I4733" s="0" t="s">
        <v>2322</v>
      </c>
      <c r="J4733" s="0" t="s">
        <v>2358</v>
      </c>
      <c r="K4733" s="272" t="n">
        <v>6481622.32022727</v>
      </c>
    </row>
    <row r="4734" customFormat="false" ht="15" hidden="false" customHeight="false" outlineLevel="0" collapsed="false">
      <c r="A4734" s="0" t="s">
        <v>2041</v>
      </c>
      <c r="B4734" s="0" t="s">
        <v>2042</v>
      </c>
      <c r="C4734" s="0" t="s">
        <v>2349</v>
      </c>
      <c r="D4734" s="0" t="s">
        <v>2105</v>
      </c>
      <c r="E4734" s="0" t="s">
        <v>2045</v>
      </c>
      <c r="F4734" s="0" t="s">
        <v>2051</v>
      </c>
      <c r="G4734" s="0" t="s">
        <v>2110</v>
      </c>
      <c r="H4734" s="0" t="s">
        <v>2112</v>
      </c>
      <c r="I4734" s="0" t="s">
        <v>2322</v>
      </c>
      <c r="J4734" s="0" t="s">
        <v>2358</v>
      </c>
      <c r="K4734" s="272" t="n">
        <v>720787.444372728</v>
      </c>
    </row>
    <row r="4735" customFormat="false" ht="15" hidden="false" customHeight="false" outlineLevel="0" collapsed="false">
      <c r="A4735" s="0" t="s">
        <v>2041</v>
      </c>
      <c r="B4735" s="0" t="s">
        <v>2042</v>
      </c>
      <c r="C4735" s="0" t="s">
        <v>2352</v>
      </c>
      <c r="D4735" s="0" t="s">
        <v>2105</v>
      </c>
      <c r="E4735" s="0" t="s">
        <v>2045</v>
      </c>
      <c r="F4735" s="0" t="s">
        <v>2051</v>
      </c>
      <c r="G4735" s="0" t="s">
        <v>2110</v>
      </c>
      <c r="H4735" s="0" t="s">
        <v>2113</v>
      </c>
      <c r="I4735" s="0" t="s">
        <v>2322</v>
      </c>
      <c r="J4735" s="0" t="s">
        <v>2358</v>
      </c>
      <c r="K4735" s="272" t="n">
        <v>6512448.5784</v>
      </c>
    </row>
    <row r="4736" customFormat="false" ht="15" hidden="false" customHeight="false" outlineLevel="0" collapsed="false">
      <c r="A4736" s="0" t="s">
        <v>2041</v>
      </c>
      <c r="B4736" s="0" t="s">
        <v>2042</v>
      </c>
      <c r="C4736" s="0" t="s">
        <v>2359</v>
      </c>
      <c r="D4736" s="0" t="s">
        <v>2105</v>
      </c>
      <c r="E4736" s="0" t="s">
        <v>2045</v>
      </c>
      <c r="F4736" s="0" t="s">
        <v>2051</v>
      </c>
      <c r="G4736" s="0" t="s">
        <v>2110</v>
      </c>
      <c r="H4736" s="0" t="s">
        <v>2113</v>
      </c>
      <c r="I4736" s="0" t="s">
        <v>2322</v>
      </c>
      <c r="J4736" s="0" t="s">
        <v>2358</v>
      </c>
      <c r="K4736" s="272" t="n">
        <v>1374283.0136</v>
      </c>
    </row>
    <row r="4737" customFormat="false" ht="15" hidden="false" customHeight="false" outlineLevel="0" collapsed="false">
      <c r="A4737" s="0" t="s">
        <v>2041</v>
      </c>
      <c r="B4737" s="0" t="s">
        <v>2042</v>
      </c>
      <c r="C4737" s="0" t="s">
        <v>2156</v>
      </c>
      <c r="D4737" s="0" t="s">
        <v>2105</v>
      </c>
      <c r="E4737" s="0" t="s">
        <v>2045</v>
      </c>
      <c r="F4737" s="0" t="s">
        <v>2051</v>
      </c>
      <c r="G4737" s="0" t="s">
        <v>2110</v>
      </c>
      <c r="H4737" s="0" t="s">
        <v>2113</v>
      </c>
      <c r="I4737" s="0" t="s">
        <v>2322</v>
      </c>
      <c r="J4737" s="0" t="s">
        <v>2358</v>
      </c>
      <c r="K4737" s="272" t="n">
        <v>90007813.62</v>
      </c>
    </row>
    <row r="4738" customFormat="false" ht="15" hidden="false" customHeight="false" outlineLevel="0" collapsed="false">
      <c r="A4738" s="0" t="s">
        <v>2041</v>
      </c>
      <c r="B4738" s="0" t="s">
        <v>2042</v>
      </c>
      <c r="C4738" s="0" t="s">
        <v>2360</v>
      </c>
      <c r="D4738" s="0" t="s">
        <v>2105</v>
      </c>
      <c r="E4738" s="0" t="s">
        <v>2045</v>
      </c>
      <c r="F4738" s="0" t="s">
        <v>2051</v>
      </c>
      <c r="G4738" s="0" t="s">
        <v>2110</v>
      </c>
      <c r="H4738" s="0" t="s">
        <v>2113</v>
      </c>
      <c r="I4738" s="0" t="s">
        <v>2322</v>
      </c>
      <c r="J4738" s="0" t="s">
        <v>2358</v>
      </c>
      <c r="K4738" s="272" t="n">
        <v>2324</v>
      </c>
    </row>
    <row r="4739" customFormat="false" ht="15" hidden="false" customHeight="false" outlineLevel="0" collapsed="false">
      <c r="A4739" s="0" t="s">
        <v>2041</v>
      </c>
      <c r="B4739" s="0" t="s">
        <v>2042</v>
      </c>
      <c r="C4739" s="0" t="s">
        <v>2161</v>
      </c>
      <c r="D4739" s="0" t="s">
        <v>2105</v>
      </c>
      <c r="E4739" s="0" t="s">
        <v>2045</v>
      </c>
      <c r="F4739" s="0" t="s">
        <v>2051</v>
      </c>
      <c r="G4739" s="0" t="s">
        <v>2110</v>
      </c>
      <c r="H4739" s="0" t="s">
        <v>2113</v>
      </c>
      <c r="I4739" s="0" t="s">
        <v>2322</v>
      </c>
      <c r="J4739" s="0" t="s">
        <v>2358</v>
      </c>
      <c r="K4739" s="272" t="n">
        <v>17550362.3558621</v>
      </c>
    </row>
    <row r="4740" customFormat="false" ht="15" hidden="false" customHeight="false" outlineLevel="0" collapsed="false">
      <c r="A4740" s="0" t="s">
        <v>2041</v>
      </c>
      <c r="B4740" s="0" t="s">
        <v>2042</v>
      </c>
      <c r="C4740" s="0" t="s">
        <v>2349</v>
      </c>
      <c r="D4740" s="0" t="s">
        <v>2105</v>
      </c>
      <c r="E4740" s="0" t="s">
        <v>2045</v>
      </c>
      <c r="F4740" s="0" t="s">
        <v>2051</v>
      </c>
      <c r="G4740" s="0" t="s">
        <v>2110</v>
      </c>
      <c r="H4740" s="0" t="s">
        <v>2113</v>
      </c>
      <c r="I4740" s="0" t="s">
        <v>2322</v>
      </c>
      <c r="J4740" s="0" t="s">
        <v>2358</v>
      </c>
      <c r="K4740" s="272" t="n">
        <v>2184018.67353793</v>
      </c>
    </row>
    <row r="4741" customFormat="false" ht="15" hidden="false" customHeight="false" outlineLevel="0" collapsed="false">
      <c r="A4741" s="0" t="s">
        <v>2041</v>
      </c>
      <c r="B4741" s="0" t="s">
        <v>2042</v>
      </c>
      <c r="C4741" s="0" t="s">
        <v>2352</v>
      </c>
      <c r="D4741" s="0" t="s">
        <v>2105</v>
      </c>
      <c r="E4741" s="0" t="s">
        <v>2045</v>
      </c>
      <c r="F4741" s="0" t="s">
        <v>2051</v>
      </c>
      <c r="G4741" s="0" t="s">
        <v>2110</v>
      </c>
      <c r="H4741" s="0" t="s">
        <v>2107</v>
      </c>
      <c r="I4741" s="0" t="s">
        <v>2322</v>
      </c>
      <c r="J4741" s="0" t="s">
        <v>2358</v>
      </c>
      <c r="K4741" s="272" t="n">
        <v>2265657.48</v>
      </c>
    </row>
    <row r="4742" customFormat="false" ht="15" hidden="false" customHeight="false" outlineLevel="0" collapsed="false">
      <c r="A4742" s="0" t="s">
        <v>2041</v>
      </c>
      <c r="B4742" s="0" t="s">
        <v>2042</v>
      </c>
      <c r="C4742" s="0" t="s">
        <v>2359</v>
      </c>
      <c r="D4742" s="0" t="s">
        <v>2105</v>
      </c>
      <c r="E4742" s="0" t="s">
        <v>2045</v>
      </c>
      <c r="F4742" s="0" t="s">
        <v>2051</v>
      </c>
      <c r="G4742" s="0" t="s">
        <v>2110</v>
      </c>
      <c r="H4742" s="0" t="s">
        <v>2107</v>
      </c>
      <c r="I4742" s="0" t="s">
        <v>2322</v>
      </c>
      <c r="J4742" s="0" t="s">
        <v>2358</v>
      </c>
      <c r="K4742" s="272" t="n">
        <v>844286.02</v>
      </c>
    </row>
    <row r="4743" customFormat="false" ht="15" hidden="false" customHeight="false" outlineLevel="0" collapsed="false">
      <c r="A4743" s="0" t="s">
        <v>2041</v>
      </c>
      <c r="B4743" s="0" t="s">
        <v>2042</v>
      </c>
      <c r="C4743" s="0" t="s">
        <v>2361</v>
      </c>
      <c r="D4743" s="0" t="s">
        <v>2105</v>
      </c>
      <c r="E4743" s="0" t="s">
        <v>2045</v>
      </c>
      <c r="F4743" s="0" t="s">
        <v>2051</v>
      </c>
      <c r="G4743" s="0" t="s">
        <v>2110</v>
      </c>
      <c r="H4743" s="0" t="s">
        <v>2107</v>
      </c>
      <c r="I4743" s="0" t="s">
        <v>2322</v>
      </c>
      <c r="J4743" s="0" t="s">
        <v>2358</v>
      </c>
      <c r="K4743" s="272" t="n">
        <v>1282113.11</v>
      </c>
    </row>
    <row r="4744" customFormat="false" ht="15" hidden="false" customHeight="false" outlineLevel="0" collapsed="false">
      <c r="A4744" s="0" t="s">
        <v>2041</v>
      </c>
      <c r="B4744" s="0" t="s">
        <v>2042</v>
      </c>
      <c r="C4744" s="0" t="s">
        <v>2156</v>
      </c>
      <c r="D4744" s="0" t="s">
        <v>2105</v>
      </c>
      <c r="E4744" s="0" t="s">
        <v>2045</v>
      </c>
      <c r="F4744" s="0" t="s">
        <v>2051</v>
      </c>
      <c r="G4744" s="0" t="s">
        <v>2110</v>
      </c>
      <c r="H4744" s="0" t="s">
        <v>2107</v>
      </c>
      <c r="I4744" s="0" t="s">
        <v>2322</v>
      </c>
      <c r="J4744" s="0" t="s">
        <v>2358</v>
      </c>
      <c r="K4744" s="272" t="n">
        <v>56763475</v>
      </c>
    </row>
    <row r="4745" customFormat="false" ht="15" hidden="false" customHeight="false" outlineLevel="0" collapsed="false">
      <c r="A4745" s="0" t="s">
        <v>2041</v>
      </c>
      <c r="B4745" s="0" t="s">
        <v>2042</v>
      </c>
      <c r="C4745" s="0" t="s">
        <v>2360</v>
      </c>
      <c r="D4745" s="0" t="s">
        <v>2105</v>
      </c>
      <c r="E4745" s="0" t="s">
        <v>2045</v>
      </c>
      <c r="F4745" s="0" t="s">
        <v>2051</v>
      </c>
      <c r="G4745" s="0" t="s">
        <v>2110</v>
      </c>
      <c r="H4745" s="0" t="s">
        <v>2107</v>
      </c>
      <c r="I4745" s="0" t="s">
        <v>2322</v>
      </c>
      <c r="J4745" s="0" t="s">
        <v>2358</v>
      </c>
      <c r="K4745" s="272" t="n">
        <v>19642</v>
      </c>
    </row>
    <row r="4746" customFormat="false" ht="15" hidden="false" customHeight="false" outlineLevel="0" collapsed="false">
      <c r="A4746" s="0" t="s">
        <v>2041</v>
      </c>
      <c r="B4746" s="0" t="s">
        <v>2042</v>
      </c>
      <c r="C4746" s="0" t="s">
        <v>2161</v>
      </c>
      <c r="D4746" s="0" t="s">
        <v>2105</v>
      </c>
      <c r="E4746" s="0" t="s">
        <v>2045</v>
      </c>
      <c r="F4746" s="0" t="s">
        <v>2051</v>
      </c>
      <c r="G4746" s="0" t="s">
        <v>2110</v>
      </c>
      <c r="H4746" s="0" t="s">
        <v>2107</v>
      </c>
      <c r="I4746" s="0" t="s">
        <v>2322</v>
      </c>
      <c r="J4746" s="0" t="s">
        <v>2358</v>
      </c>
      <c r="K4746" s="272" t="n">
        <v>9321578.65</v>
      </c>
    </row>
    <row r="4747" customFormat="false" ht="15" hidden="false" customHeight="false" outlineLevel="0" collapsed="false">
      <c r="A4747" s="0" t="s">
        <v>2041</v>
      </c>
      <c r="B4747" s="0" t="s">
        <v>2042</v>
      </c>
      <c r="C4747" s="0" t="s">
        <v>2349</v>
      </c>
      <c r="D4747" s="0" t="s">
        <v>2105</v>
      </c>
      <c r="E4747" s="0" t="s">
        <v>2045</v>
      </c>
      <c r="F4747" s="0" t="s">
        <v>2051</v>
      </c>
      <c r="G4747" s="0" t="s">
        <v>2110</v>
      </c>
      <c r="H4747" s="0" t="s">
        <v>2107</v>
      </c>
      <c r="I4747" s="0" t="s">
        <v>2322</v>
      </c>
      <c r="J4747" s="0" t="s">
        <v>2358</v>
      </c>
      <c r="K4747" s="272" t="n">
        <v>902574.630000001</v>
      </c>
    </row>
    <row r="4748" customFormat="false" ht="15" hidden="false" customHeight="false" outlineLevel="0" collapsed="false">
      <c r="A4748" s="0" t="s">
        <v>2041</v>
      </c>
      <c r="B4748" s="0" t="s">
        <v>2042</v>
      </c>
      <c r="C4748" s="0" t="s">
        <v>2347</v>
      </c>
      <c r="D4748" s="0" t="s">
        <v>2105</v>
      </c>
      <c r="E4748" s="0" t="s">
        <v>2045</v>
      </c>
      <c r="F4748" s="0" t="s">
        <v>2051</v>
      </c>
      <c r="G4748" s="0" t="s">
        <v>2110</v>
      </c>
      <c r="H4748" s="0" t="s">
        <v>2107</v>
      </c>
      <c r="I4748" s="0" t="s">
        <v>2322</v>
      </c>
      <c r="J4748" s="0" t="s">
        <v>2358</v>
      </c>
      <c r="K4748" s="272" t="n">
        <v>70642.82</v>
      </c>
    </row>
    <row r="4749" customFormat="false" ht="15" hidden="false" customHeight="false" outlineLevel="0" collapsed="false">
      <c r="A4749" s="0" t="s">
        <v>2041</v>
      </c>
      <c r="B4749" s="0" t="s">
        <v>2042</v>
      </c>
      <c r="C4749" s="0" t="s">
        <v>2352</v>
      </c>
      <c r="D4749" s="0" t="s">
        <v>2105</v>
      </c>
      <c r="E4749" s="0" t="s">
        <v>2045</v>
      </c>
      <c r="F4749" s="0" t="s">
        <v>2051</v>
      </c>
      <c r="G4749" s="0" t="s">
        <v>2114</v>
      </c>
      <c r="H4749" s="0" t="s">
        <v>2115</v>
      </c>
      <c r="I4749" s="0" t="s">
        <v>2322</v>
      </c>
      <c r="J4749" s="0" t="s">
        <v>2358</v>
      </c>
      <c r="K4749" s="272" t="n">
        <v>3420674.25</v>
      </c>
    </row>
    <row r="4750" customFormat="false" ht="15" hidden="false" customHeight="false" outlineLevel="0" collapsed="false">
      <c r="A4750" s="0" t="s">
        <v>2041</v>
      </c>
      <c r="B4750" s="0" t="s">
        <v>2042</v>
      </c>
      <c r="C4750" s="0" t="s">
        <v>2359</v>
      </c>
      <c r="D4750" s="0" t="s">
        <v>2105</v>
      </c>
      <c r="E4750" s="0" t="s">
        <v>2045</v>
      </c>
      <c r="F4750" s="0" t="s">
        <v>2051</v>
      </c>
      <c r="G4750" s="0" t="s">
        <v>2114</v>
      </c>
      <c r="H4750" s="0" t="s">
        <v>2115</v>
      </c>
      <c r="I4750" s="0" t="s">
        <v>2322</v>
      </c>
      <c r="J4750" s="0" t="s">
        <v>2358</v>
      </c>
      <c r="K4750" s="272" t="n">
        <v>182045.125</v>
      </c>
    </row>
    <row r="4751" customFormat="false" ht="15" hidden="false" customHeight="false" outlineLevel="0" collapsed="false">
      <c r="A4751" s="0" t="s">
        <v>2041</v>
      </c>
      <c r="B4751" s="0" t="s">
        <v>2042</v>
      </c>
      <c r="C4751" s="0" t="s">
        <v>2156</v>
      </c>
      <c r="D4751" s="0" t="s">
        <v>2105</v>
      </c>
      <c r="E4751" s="0" t="s">
        <v>2045</v>
      </c>
      <c r="F4751" s="0" t="s">
        <v>2051</v>
      </c>
      <c r="G4751" s="0" t="s">
        <v>2114</v>
      </c>
      <c r="H4751" s="0" t="s">
        <v>2115</v>
      </c>
      <c r="I4751" s="0" t="s">
        <v>2322</v>
      </c>
      <c r="J4751" s="0" t="s">
        <v>2358</v>
      </c>
      <c r="K4751" s="272" t="n">
        <v>42486580.5</v>
      </c>
    </row>
    <row r="4752" customFormat="false" ht="15" hidden="false" customHeight="false" outlineLevel="0" collapsed="false">
      <c r="A4752" s="0" t="s">
        <v>2041</v>
      </c>
      <c r="B4752" s="0" t="s">
        <v>2042</v>
      </c>
      <c r="C4752" s="0" t="s">
        <v>2161</v>
      </c>
      <c r="D4752" s="0" t="s">
        <v>2105</v>
      </c>
      <c r="E4752" s="0" t="s">
        <v>2045</v>
      </c>
      <c r="F4752" s="0" t="s">
        <v>2051</v>
      </c>
      <c r="G4752" s="0" t="s">
        <v>2114</v>
      </c>
      <c r="H4752" s="0" t="s">
        <v>2115</v>
      </c>
      <c r="I4752" s="0" t="s">
        <v>2322</v>
      </c>
      <c r="J4752" s="0" t="s">
        <v>2358</v>
      </c>
      <c r="K4752" s="272" t="n">
        <v>8069656.14</v>
      </c>
    </row>
    <row r="4753" customFormat="false" ht="15" hidden="false" customHeight="false" outlineLevel="0" collapsed="false">
      <c r="A4753" s="0" t="s">
        <v>2041</v>
      </c>
      <c r="B4753" s="0" t="s">
        <v>2042</v>
      </c>
      <c r="C4753" s="0" t="s">
        <v>2349</v>
      </c>
      <c r="D4753" s="0" t="s">
        <v>2105</v>
      </c>
      <c r="E4753" s="0" t="s">
        <v>2045</v>
      </c>
      <c r="F4753" s="0" t="s">
        <v>2051</v>
      </c>
      <c r="G4753" s="0" t="s">
        <v>2114</v>
      </c>
      <c r="H4753" s="0" t="s">
        <v>2115</v>
      </c>
      <c r="I4753" s="0" t="s">
        <v>2322</v>
      </c>
      <c r="J4753" s="0" t="s">
        <v>2358</v>
      </c>
      <c r="K4753" s="272" t="n">
        <v>1057691.05</v>
      </c>
    </row>
    <row r="4754" customFormat="false" ht="15" hidden="false" customHeight="false" outlineLevel="0" collapsed="false">
      <c r="A4754" s="0" t="s">
        <v>2041</v>
      </c>
      <c r="B4754" s="0" t="s">
        <v>2042</v>
      </c>
      <c r="C4754" s="0" t="s">
        <v>2347</v>
      </c>
      <c r="D4754" s="0" t="s">
        <v>2105</v>
      </c>
      <c r="E4754" s="0" t="s">
        <v>2045</v>
      </c>
      <c r="F4754" s="0" t="s">
        <v>2051</v>
      </c>
      <c r="G4754" s="0" t="s">
        <v>2114</v>
      </c>
      <c r="H4754" s="0" t="s">
        <v>2115</v>
      </c>
      <c r="I4754" s="0" t="s">
        <v>2322</v>
      </c>
      <c r="J4754" s="0" t="s">
        <v>2358</v>
      </c>
      <c r="K4754" s="272" t="n">
        <v>19477.93</v>
      </c>
    </row>
    <row r="4755" customFormat="false" ht="15" hidden="false" customHeight="false" outlineLevel="0" collapsed="false">
      <c r="A4755" s="0" t="s">
        <v>2041</v>
      </c>
      <c r="B4755" s="0" t="s">
        <v>2042</v>
      </c>
      <c r="C4755" s="0" t="s">
        <v>2352</v>
      </c>
      <c r="D4755" s="0" t="s">
        <v>2105</v>
      </c>
      <c r="E4755" s="0" t="s">
        <v>2045</v>
      </c>
      <c r="F4755" s="0" t="s">
        <v>2051</v>
      </c>
      <c r="G4755" s="0" t="s">
        <v>2114</v>
      </c>
      <c r="H4755" s="0" t="s">
        <v>2116</v>
      </c>
      <c r="I4755" s="0" t="s">
        <v>2322</v>
      </c>
      <c r="J4755" s="0" t="s">
        <v>2358</v>
      </c>
      <c r="K4755" s="272" t="n">
        <v>340073.3</v>
      </c>
    </row>
    <row r="4756" customFormat="false" ht="15" hidden="false" customHeight="false" outlineLevel="0" collapsed="false">
      <c r="A4756" s="0" t="s">
        <v>2041</v>
      </c>
      <c r="B4756" s="0" t="s">
        <v>2042</v>
      </c>
      <c r="C4756" s="0" t="s">
        <v>2156</v>
      </c>
      <c r="D4756" s="0" t="s">
        <v>2105</v>
      </c>
      <c r="E4756" s="0" t="s">
        <v>2045</v>
      </c>
      <c r="F4756" s="0" t="s">
        <v>2051</v>
      </c>
      <c r="G4756" s="0" t="s">
        <v>2114</v>
      </c>
      <c r="H4756" s="0" t="s">
        <v>2116</v>
      </c>
      <c r="I4756" s="0" t="s">
        <v>2322</v>
      </c>
      <c r="J4756" s="0" t="s">
        <v>2358</v>
      </c>
      <c r="K4756" s="272" t="n">
        <v>4307436.7</v>
      </c>
    </row>
    <row r="4757" customFormat="false" ht="15" hidden="false" customHeight="false" outlineLevel="0" collapsed="false">
      <c r="A4757" s="0" t="s">
        <v>2041</v>
      </c>
      <c r="B4757" s="0" t="s">
        <v>2042</v>
      </c>
      <c r="C4757" s="0" t="s">
        <v>2161</v>
      </c>
      <c r="D4757" s="0" t="s">
        <v>2105</v>
      </c>
      <c r="E4757" s="0" t="s">
        <v>2045</v>
      </c>
      <c r="F4757" s="0" t="s">
        <v>2051</v>
      </c>
      <c r="G4757" s="0" t="s">
        <v>2114</v>
      </c>
      <c r="H4757" s="0" t="s">
        <v>2116</v>
      </c>
      <c r="I4757" s="0" t="s">
        <v>2322</v>
      </c>
      <c r="J4757" s="0" t="s">
        <v>2358</v>
      </c>
      <c r="K4757" s="272" t="n">
        <v>817734.76</v>
      </c>
    </row>
    <row r="4758" customFormat="false" ht="15" hidden="false" customHeight="false" outlineLevel="0" collapsed="false">
      <c r="A4758" s="0" t="s">
        <v>2041</v>
      </c>
      <c r="B4758" s="0" t="s">
        <v>2042</v>
      </c>
      <c r="C4758" s="0" t="s">
        <v>2349</v>
      </c>
      <c r="D4758" s="0" t="s">
        <v>2105</v>
      </c>
      <c r="E4758" s="0" t="s">
        <v>2045</v>
      </c>
      <c r="F4758" s="0" t="s">
        <v>2051</v>
      </c>
      <c r="G4758" s="0" t="s">
        <v>2114</v>
      </c>
      <c r="H4758" s="0" t="s">
        <v>2116</v>
      </c>
      <c r="I4758" s="0" t="s">
        <v>2322</v>
      </c>
      <c r="J4758" s="0" t="s">
        <v>2358</v>
      </c>
      <c r="K4758" s="272" t="n">
        <v>102702.128</v>
      </c>
    </row>
    <row r="4759" customFormat="false" ht="15" hidden="false" customHeight="false" outlineLevel="0" collapsed="false">
      <c r="A4759" s="0" t="s">
        <v>2041</v>
      </c>
      <c r="B4759" s="0" t="s">
        <v>2042</v>
      </c>
      <c r="C4759" s="0" t="s">
        <v>2352</v>
      </c>
      <c r="D4759" s="0" t="s">
        <v>2105</v>
      </c>
      <c r="E4759" s="0" t="s">
        <v>2045</v>
      </c>
      <c r="F4759" s="0" t="s">
        <v>2051</v>
      </c>
      <c r="G4759" s="0" t="s">
        <v>2114</v>
      </c>
      <c r="H4759" s="0" t="s">
        <v>2117</v>
      </c>
      <c r="I4759" s="0" t="s">
        <v>2322</v>
      </c>
      <c r="J4759" s="0" t="s">
        <v>2358</v>
      </c>
      <c r="K4759" s="272" t="n">
        <v>176598.285</v>
      </c>
    </row>
    <row r="4760" customFormat="false" ht="15" hidden="false" customHeight="false" outlineLevel="0" collapsed="false">
      <c r="A4760" s="0" t="s">
        <v>2041</v>
      </c>
      <c r="B4760" s="0" t="s">
        <v>2042</v>
      </c>
      <c r="C4760" s="0" t="s">
        <v>2359</v>
      </c>
      <c r="D4760" s="0" t="s">
        <v>2105</v>
      </c>
      <c r="E4760" s="0" t="s">
        <v>2045</v>
      </c>
      <c r="F4760" s="0" t="s">
        <v>2051</v>
      </c>
      <c r="G4760" s="0" t="s">
        <v>2114</v>
      </c>
      <c r="H4760" s="0" t="s">
        <v>2117</v>
      </c>
      <c r="I4760" s="0" t="s">
        <v>2322</v>
      </c>
      <c r="J4760" s="0" t="s">
        <v>2358</v>
      </c>
      <c r="K4760" s="272" t="n">
        <v>29795.244</v>
      </c>
    </row>
    <row r="4761" customFormat="false" ht="15" hidden="false" customHeight="false" outlineLevel="0" collapsed="false">
      <c r="A4761" s="0" t="s">
        <v>2041</v>
      </c>
      <c r="B4761" s="0" t="s">
        <v>2042</v>
      </c>
      <c r="C4761" s="0" t="s">
        <v>2361</v>
      </c>
      <c r="D4761" s="0" t="s">
        <v>2105</v>
      </c>
      <c r="E4761" s="0" t="s">
        <v>2045</v>
      </c>
      <c r="F4761" s="0" t="s">
        <v>2051</v>
      </c>
      <c r="G4761" s="0" t="s">
        <v>2114</v>
      </c>
      <c r="H4761" s="0" t="s">
        <v>2117</v>
      </c>
      <c r="I4761" s="0" t="s">
        <v>2322</v>
      </c>
      <c r="J4761" s="0" t="s">
        <v>2358</v>
      </c>
      <c r="K4761" s="272" t="n">
        <v>21615.789</v>
      </c>
    </row>
    <row r="4762" customFormat="false" ht="15" hidden="false" customHeight="false" outlineLevel="0" collapsed="false">
      <c r="A4762" s="0" t="s">
        <v>2041</v>
      </c>
      <c r="B4762" s="0" t="s">
        <v>2042</v>
      </c>
      <c r="C4762" s="0" t="s">
        <v>2156</v>
      </c>
      <c r="D4762" s="0" t="s">
        <v>2105</v>
      </c>
      <c r="E4762" s="0" t="s">
        <v>2045</v>
      </c>
      <c r="F4762" s="0" t="s">
        <v>2051</v>
      </c>
      <c r="G4762" s="0" t="s">
        <v>2114</v>
      </c>
      <c r="H4762" s="0" t="s">
        <v>2117</v>
      </c>
      <c r="I4762" s="0" t="s">
        <v>2322</v>
      </c>
      <c r="J4762" s="0" t="s">
        <v>2358</v>
      </c>
      <c r="K4762" s="272" t="n">
        <v>2687229.9</v>
      </c>
    </row>
    <row r="4763" customFormat="false" ht="15" hidden="false" customHeight="false" outlineLevel="0" collapsed="false">
      <c r="A4763" s="0" t="s">
        <v>2041</v>
      </c>
      <c r="B4763" s="0" t="s">
        <v>2042</v>
      </c>
      <c r="C4763" s="0" t="s">
        <v>2161</v>
      </c>
      <c r="D4763" s="0" t="s">
        <v>2105</v>
      </c>
      <c r="E4763" s="0" t="s">
        <v>2045</v>
      </c>
      <c r="F4763" s="0" t="s">
        <v>2051</v>
      </c>
      <c r="G4763" s="0" t="s">
        <v>2114</v>
      </c>
      <c r="H4763" s="0" t="s">
        <v>2117</v>
      </c>
      <c r="I4763" s="0" t="s">
        <v>2322</v>
      </c>
      <c r="J4763" s="0" t="s">
        <v>2358</v>
      </c>
      <c r="K4763" s="272" t="n">
        <v>461106.66</v>
      </c>
    </row>
    <row r="4764" customFormat="false" ht="15" hidden="false" customHeight="false" outlineLevel="0" collapsed="false">
      <c r="A4764" s="0" t="s">
        <v>2041</v>
      </c>
      <c r="B4764" s="0" t="s">
        <v>2042</v>
      </c>
      <c r="C4764" s="0" t="s">
        <v>2349</v>
      </c>
      <c r="D4764" s="0" t="s">
        <v>2105</v>
      </c>
      <c r="E4764" s="0" t="s">
        <v>2045</v>
      </c>
      <c r="F4764" s="0" t="s">
        <v>2051</v>
      </c>
      <c r="G4764" s="0" t="s">
        <v>2114</v>
      </c>
      <c r="H4764" s="0" t="s">
        <v>2117</v>
      </c>
      <c r="I4764" s="0" t="s">
        <v>2322</v>
      </c>
      <c r="J4764" s="0" t="s">
        <v>2358</v>
      </c>
      <c r="K4764" s="272" t="n">
        <v>64419.321</v>
      </c>
    </row>
    <row r="4765" customFormat="false" ht="15" hidden="false" customHeight="false" outlineLevel="0" collapsed="false">
      <c r="A4765" s="0" t="s">
        <v>2041</v>
      </c>
      <c r="B4765" s="0" t="s">
        <v>2042</v>
      </c>
      <c r="C4765" s="0" t="s">
        <v>2352</v>
      </c>
      <c r="D4765" s="0" t="s">
        <v>2105</v>
      </c>
      <c r="E4765" s="0" t="s">
        <v>2045</v>
      </c>
      <c r="F4765" s="0" t="s">
        <v>2051</v>
      </c>
      <c r="G4765" s="0" t="s">
        <v>2114</v>
      </c>
      <c r="H4765" s="0" t="s">
        <v>2118</v>
      </c>
      <c r="I4765" s="0" t="s">
        <v>2322</v>
      </c>
      <c r="J4765" s="0" t="s">
        <v>2358</v>
      </c>
      <c r="K4765" s="272" t="n">
        <v>253813.24</v>
      </c>
    </row>
    <row r="4766" customFormat="false" ht="15" hidden="false" customHeight="false" outlineLevel="0" collapsed="false">
      <c r="A4766" s="0" t="s">
        <v>2041</v>
      </c>
      <c r="B4766" s="0" t="s">
        <v>2042</v>
      </c>
      <c r="C4766" s="0" t="s">
        <v>2359</v>
      </c>
      <c r="D4766" s="0" t="s">
        <v>2105</v>
      </c>
      <c r="E4766" s="0" t="s">
        <v>2045</v>
      </c>
      <c r="F4766" s="0" t="s">
        <v>2051</v>
      </c>
      <c r="G4766" s="0" t="s">
        <v>2114</v>
      </c>
      <c r="H4766" s="0" t="s">
        <v>2118</v>
      </c>
      <c r="I4766" s="0" t="s">
        <v>2322</v>
      </c>
      <c r="J4766" s="0" t="s">
        <v>2358</v>
      </c>
      <c r="K4766" s="272" t="n">
        <v>72915.88</v>
      </c>
    </row>
    <row r="4767" customFormat="false" ht="15" hidden="false" customHeight="false" outlineLevel="0" collapsed="false">
      <c r="A4767" s="0" t="s">
        <v>2041</v>
      </c>
      <c r="B4767" s="0" t="s">
        <v>2042</v>
      </c>
      <c r="C4767" s="0" t="s">
        <v>2156</v>
      </c>
      <c r="D4767" s="0" t="s">
        <v>2105</v>
      </c>
      <c r="E4767" s="0" t="s">
        <v>2045</v>
      </c>
      <c r="F4767" s="0" t="s">
        <v>2051</v>
      </c>
      <c r="G4767" s="0" t="s">
        <v>2114</v>
      </c>
      <c r="H4767" s="0" t="s">
        <v>2118</v>
      </c>
      <c r="I4767" s="0" t="s">
        <v>2322</v>
      </c>
      <c r="J4767" s="0" t="s">
        <v>2358</v>
      </c>
      <c r="K4767" s="272" t="n">
        <v>2272550</v>
      </c>
    </row>
    <row r="4768" customFormat="false" ht="15" hidden="false" customHeight="false" outlineLevel="0" collapsed="false">
      <c r="A4768" s="0" t="s">
        <v>2041</v>
      </c>
      <c r="B4768" s="0" t="s">
        <v>2042</v>
      </c>
      <c r="C4768" s="0" t="s">
        <v>2161</v>
      </c>
      <c r="D4768" s="0" t="s">
        <v>2105</v>
      </c>
      <c r="E4768" s="0" t="s">
        <v>2045</v>
      </c>
      <c r="F4768" s="0" t="s">
        <v>2051</v>
      </c>
      <c r="G4768" s="0" t="s">
        <v>2114</v>
      </c>
      <c r="H4768" s="0" t="s">
        <v>2118</v>
      </c>
      <c r="I4768" s="0" t="s">
        <v>2322</v>
      </c>
      <c r="J4768" s="0" t="s">
        <v>2358</v>
      </c>
      <c r="K4768" s="272" t="n">
        <v>660319.85</v>
      </c>
    </row>
    <row r="4769" customFormat="false" ht="15" hidden="false" customHeight="false" outlineLevel="0" collapsed="false">
      <c r="A4769" s="0" t="s">
        <v>2041</v>
      </c>
      <c r="B4769" s="0" t="s">
        <v>2042</v>
      </c>
      <c r="C4769" s="0" t="s">
        <v>2349</v>
      </c>
      <c r="D4769" s="0" t="s">
        <v>2105</v>
      </c>
      <c r="E4769" s="0" t="s">
        <v>2045</v>
      </c>
      <c r="F4769" s="0" t="s">
        <v>2051</v>
      </c>
      <c r="G4769" s="0" t="s">
        <v>2114</v>
      </c>
      <c r="H4769" s="0" t="s">
        <v>2118</v>
      </c>
      <c r="I4769" s="0" t="s">
        <v>2322</v>
      </c>
      <c r="J4769" s="0" t="s">
        <v>2358</v>
      </c>
      <c r="K4769" s="272" t="n">
        <v>87807.7200000001</v>
      </c>
    </row>
    <row r="4770" customFormat="false" ht="15" hidden="false" customHeight="false" outlineLevel="0" collapsed="false">
      <c r="A4770" s="0" t="s">
        <v>2041</v>
      </c>
      <c r="B4770" s="0" t="s">
        <v>2042</v>
      </c>
      <c r="C4770" s="0" t="s">
        <v>2352</v>
      </c>
      <c r="D4770" s="0" t="s">
        <v>2105</v>
      </c>
      <c r="E4770" s="0" t="s">
        <v>2045</v>
      </c>
      <c r="F4770" s="0" t="s">
        <v>2051</v>
      </c>
      <c r="G4770" s="0" t="s">
        <v>2114</v>
      </c>
      <c r="H4770" s="0" t="s">
        <v>2119</v>
      </c>
      <c r="I4770" s="0" t="s">
        <v>2322</v>
      </c>
      <c r="J4770" s="0" t="s">
        <v>2358</v>
      </c>
      <c r="K4770" s="272" t="n">
        <v>1026975.145</v>
      </c>
    </row>
    <row r="4771" customFormat="false" ht="15" hidden="false" customHeight="false" outlineLevel="0" collapsed="false">
      <c r="A4771" s="0" t="s">
        <v>2041</v>
      </c>
      <c r="B4771" s="0" t="s">
        <v>2042</v>
      </c>
      <c r="C4771" s="0" t="s">
        <v>2359</v>
      </c>
      <c r="D4771" s="0" t="s">
        <v>2105</v>
      </c>
      <c r="E4771" s="0" t="s">
        <v>2045</v>
      </c>
      <c r="F4771" s="0" t="s">
        <v>2051</v>
      </c>
      <c r="G4771" s="0" t="s">
        <v>2114</v>
      </c>
      <c r="H4771" s="0" t="s">
        <v>2119</v>
      </c>
      <c r="I4771" s="0" t="s">
        <v>2322</v>
      </c>
      <c r="J4771" s="0" t="s">
        <v>2358</v>
      </c>
      <c r="K4771" s="272" t="n">
        <v>161755.685</v>
      </c>
    </row>
    <row r="4772" customFormat="false" ht="15" hidden="false" customHeight="false" outlineLevel="0" collapsed="false">
      <c r="A4772" s="0" t="s">
        <v>2041</v>
      </c>
      <c r="B4772" s="0" t="s">
        <v>2042</v>
      </c>
      <c r="C4772" s="0" t="s">
        <v>2361</v>
      </c>
      <c r="D4772" s="0" t="s">
        <v>2105</v>
      </c>
      <c r="E4772" s="0" t="s">
        <v>2045</v>
      </c>
      <c r="F4772" s="0" t="s">
        <v>2051</v>
      </c>
      <c r="G4772" s="0" t="s">
        <v>2114</v>
      </c>
      <c r="H4772" s="0" t="s">
        <v>2119</v>
      </c>
      <c r="I4772" s="0" t="s">
        <v>2322</v>
      </c>
      <c r="J4772" s="0" t="s">
        <v>2358</v>
      </c>
      <c r="K4772" s="272" t="n">
        <v>21615.789</v>
      </c>
    </row>
    <row r="4773" customFormat="false" ht="15" hidden="false" customHeight="false" outlineLevel="0" collapsed="false">
      <c r="A4773" s="0" t="s">
        <v>2041</v>
      </c>
      <c r="B4773" s="0" t="s">
        <v>2042</v>
      </c>
      <c r="C4773" s="0" t="s">
        <v>2156</v>
      </c>
      <c r="D4773" s="0" t="s">
        <v>2105</v>
      </c>
      <c r="E4773" s="0" t="s">
        <v>2045</v>
      </c>
      <c r="F4773" s="0" t="s">
        <v>2051</v>
      </c>
      <c r="G4773" s="0" t="s">
        <v>2114</v>
      </c>
      <c r="H4773" s="0" t="s">
        <v>2119</v>
      </c>
      <c r="I4773" s="0" t="s">
        <v>2322</v>
      </c>
      <c r="J4773" s="0" t="s">
        <v>2358</v>
      </c>
      <c r="K4773" s="272" t="n">
        <v>11367538.8</v>
      </c>
    </row>
    <row r="4774" customFormat="false" ht="15" hidden="false" customHeight="false" outlineLevel="0" collapsed="false">
      <c r="A4774" s="0" t="s">
        <v>2041</v>
      </c>
      <c r="B4774" s="0" t="s">
        <v>2042</v>
      </c>
      <c r="C4774" s="0" t="s">
        <v>2161</v>
      </c>
      <c r="D4774" s="0" t="s">
        <v>2105</v>
      </c>
      <c r="E4774" s="0" t="s">
        <v>2045</v>
      </c>
      <c r="F4774" s="0" t="s">
        <v>2051</v>
      </c>
      <c r="G4774" s="0" t="s">
        <v>2114</v>
      </c>
      <c r="H4774" s="0" t="s">
        <v>2119</v>
      </c>
      <c r="I4774" s="0" t="s">
        <v>2322</v>
      </c>
      <c r="J4774" s="0" t="s">
        <v>2358</v>
      </c>
      <c r="K4774" s="272" t="n">
        <v>2191841.596</v>
      </c>
    </row>
    <row r="4775" customFormat="false" ht="15" hidden="false" customHeight="false" outlineLevel="0" collapsed="false">
      <c r="A4775" s="0" t="s">
        <v>2041</v>
      </c>
      <c r="B4775" s="0" t="s">
        <v>2042</v>
      </c>
      <c r="C4775" s="0" t="s">
        <v>2349</v>
      </c>
      <c r="D4775" s="0" t="s">
        <v>2105</v>
      </c>
      <c r="E4775" s="0" t="s">
        <v>2045</v>
      </c>
      <c r="F4775" s="0" t="s">
        <v>2051</v>
      </c>
      <c r="G4775" s="0" t="s">
        <v>2114</v>
      </c>
      <c r="H4775" s="0" t="s">
        <v>2119</v>
      </c>
      <c r="I4775" s="0" t="s">
        <v>2322</v>
      </c>
      <c r="J4775" s="0" t="s">
        <v>2358</v>
      </c>
      <c r="K4775" s="272" t="n">
        <v>341423.071</v>
      </c>
    </row>
    <row r="4776" customFormat="false" ht="15" hidden="false" customHeight="false" outlineLevel="0" collapsed="false">
      <c r="A4776" s="0" t="s">
        <v>2041</v>
      </c>
      <c r="B4776" s="0" t="s">
        <v>2042</v>
      </c>
      <c r="C4776" s="0" t="s">
        <v>2352</v>
      </c>
      <c r="D4776" s="0" t="s">
        <v>2105</v>
      </c>
      <c r="E4776" s="0" t="s">
        <v>2045</v>
      </c>
      <c r="F4776" s="0" t="s">
        <v>2051</v>
      </c>
      <c r="G4776" s="0" t="s">
        <v>2114</v>
      </c>
      <c r="H4776" s="0" t="s">
        <v>2120</v>
      </c>
      <c r="I4776" s="0" t="s">
        <v>2322</v>
      </c>
      <c r="J4776" s="0" t="s">
        <v>2358</v>
      </c>
      <c r="K4776" s="272" t="n">
        <v>1222725.71</v>
      </c>
    </row>
    <row r="4777" customFormat="false" ht="15" hidden="false" customHeight="false" outlineLevel="0" collapsed="false">
      <c r="A4777" s="0" t="s">
        <v>2041</v>
      </c>
      <c r="B4777" s="0" t="s">
        <v>2042</v>
      </c>
      <c r="C4777" s="0" t="s">
        <v>2359</v>
      </c>
      <c r="D4777" s="0" t="s">
        <v>2105</v>
      </c>
      <c r="E4777" s="0" t="s">
        <v>2045</v>
      </c>
      <c r="F4777" s="0" t="s">
        <v>2051</v>
      </c>
      <c r="G4777" s="0" t="s">
        <v>2114</v>
      </c>
      <c r="H4777" s="0" t="s">
        <v>2120</v>
      </c>
      <c r="I4777" s="0" t="s">
        <v>2322</v>
      </c>
      <c r="J4777" s="0" t="s">
        <v>2358</v>
      </c>
      <c r="K4777" s="272" t="n">
        <v>42522.36</v>
      </c>
    </row>
    <row r="4778" customFormat="false" ht="15" hidden="false" customHeight="false" outlineLevel="0" collapsed="false">
      <c r="A4778" s="0" t="s">
        <v>2041</v>
      </c>
      <c r="B4778" s="0" t="s">
        <v>2042</v>
      </c>
      <c r="C4778" s="0" t="s">
        <v>2361</v>
      </c>
      <c r="D4778" s="0" t="s">
        <v>2105</v>
      </c>
      <c r="E4778" s="0" t="s">
        <v>2045</v>
      </c>
      <c r="F4778" s="0" t="s">
        <v>2051</v>
      </c>
      <c r="G4778" s="0" t="s">
        <v>2114</v>
      </c>
      <c r="H4778" s="0" t="s">
        <v>2120</v>
      </c>
      <c r="I4778" s="0" t="s">
        <v>2322</v>
      </c>
      <c r="J4778" s="0" t="s">
        <v>2358</v>
      </c>
      <c r="K4778" s="272" t="n">
        <v>148654.86</v>
      </c>
    </row>
    <row r="4779" customFormat="false" ht="15" hidden="false" customHeight="false" outlineLevel="0" collapsed="false">
      <c r="A4779" s="0" t="s">
        <v>2041</v>
      </c>
      <c r="B4779" s="0" t="s">
        <v>2042</v>
      </c>
      <c r="C4779" s="0" t="s">
        <v>2156</v>
      </c>
      <c r="D4779" s="0" t="s">
        <v>2105</v>
      </c>
      <c r="E4779" s="0" t="s">
        <v>2045</v>
      </c>
      <c r="F4779" s="0" t="s">
        <v>2051</v>
      </c>
      <c r="G4779" s="0" t="s">
        <v>2114</v>
      </c>
      <c r="H4779" s="0" t="s">
        <v>2120</v>
      </c>
      <c r="I4779" s="0" t="s">
        <v>2322</v>
      </c>
      <c r="J4779" s="0" t="s">
        <v>2358</v>
      </c>
      <c r="K4779" s="272" t="n">
        <v>12860181</v>
      </c>
    </row>
    <row r="4780" customFormat="false" ht="15" hidden="false" customHeight="false" outlineLevel="0" collapsed="false">
      <c r="A4780" s="0" t="s">
        <v>2041</v>
      </c>
      <c r="B4780" s="0" t="s">
        <v>2042</v>
      </c>
      <c r="C4780" s="0" t="s">
        <v>2161</v>
      </c>
      <c r="D4780" s="0" t="s">
        <v>2105</v>
      </c>
      <c r="E4780" s="0" t="s">
        <v>2045</v>
      </c>
      <c r="F4780" s="0" t="s">
        <v>2051</v>
      </c>
      <c r="G4780" s="0" t="s">
        <v>2114</v>
      </c>
      <c r="H4780" s="0" t="s">
        <v>2120</v>
      </c>
      <c r="I4780" s="0" t="s">
        <v>2322</v>
      </c>
      <c r="J4780" s="0" t="s">
        <v>2358</v>
      </c>
      <c r="K4780" s="272" t="n">
        <v>2726042.32</v>
      </c>
    </row>
    <row r="4781" customFormat="false" ht="15" hidden="false" customHeight="false" outlineLevel="0" collapsed="false">
      <c r="A4781" s="0" t="s">
        <v>2041</v>
      </c>
      <c r="B4781" s="0" t="s">
        <v>2042</v>
      </c>
      <c r="C4781" s="0" t="s">
        <v>2349</v>
      </c>
      <c r="D4781" s="0" t="s">
        <v>2105</v>
      </c>
      <c r="E4781" s="0" t="s">
        <v>2045</v>
      </c>
      <c r="F4781" s="0" t="s">
        <v>2051</v>
      </c>
      <c r="G4781" s="0" t="s">
        <v>2114</v>
      </c>
      <c r="H4781" s="0" t="s">
        <v>2120</v>
      </c>
      <c r="I4781" s="0" t="s">
        <v>2322</v>
      </c>
      <c r="J4781" s="0" t="s">
        <v>2358</v>
      </c>
      <c r="K4781" s="272" t="n">
        <v>420662.85</v>
      </c>
    </row>
    <row r="4782" customFormat="false" ht="15" hidden="false" customHeight="false" outlineLevel="0" collapsed="false">
      <c r="A4782" s="0" t="s">
        <v>2041</v>
      </c>
      <c r="B4782" s="0" t="s">
        <v>2042</v>
      </c>
      <c r="C4782" s="0" t="s">
        <v>2352</v>
      </c>
      <c r="D4782" s="0" t="s">
        <v>2105</v>
      </c>
      <c r="E4782" s="0" t="s">
        <v>2045</v>
      </c>
      <c r="F4782" s="0" t="s">
        <v>2051</v>
      </c>
      <c r="G4782" s="0" t="s">
        <v>2114</v>
      </c>
      <c r="H4782" s="0" t="s">
        <v>2121</v>
      </c>
      <c r="I4782" s="0" t="s">
        <v>2322</v>
      </c>
      <c r="J4782" s="0" t="s">
        <v>2358</v>
      </c>
      <c r="K4782" s="272" t="n">
        <v>537428</v>
      </c>
    </row>
    <row r="4783" customFormat="false" ht="15" hidden="false" customHeight="false" outlineLevel="0" collapsed="false">
      <c r="A4783" s="0" t="s">
        <v>2041</v>
      </c>
      <c r="B4783" s="0" t="s">
        <v>2042</v>
      </c>
      <c r="C4783" s="0" t="s">
        <v>2359</v>
      </c>
      <c r="D4783" s="0" t="s">
        <v>2105</v>
      </c>
      <c r="E4783" s="0" t="s">
        <v>2045</v>
      </c>
      <c r="F4783" s="0" t="s">
        <v>2051</v>
      </c>
      <c r="G4783" s="0" t="s">
        <v>2114</v>
      </c>
      <c r="H4783" s="0" t="s">
        <v>2121</v>
      </c>
      <c r="I4783" s="0" t="s">
        <v>2322</v>
      </c>
      <c r="J4783" s="0" t="s">
        <v>2358</v>
      </c>
      <c r="K4783" s="272" t="n">
        <v>169592.82</v>
      </c>
    </row>
    <row r="4784" customFormat="false" ht="15" hidden="false" customHeight="false" outlineLevel="0" collapsed="false">
      <c r="A4784" s="0" t="s">
        <v>2041</v>
      </c>
      <c r="B4784" s="0" t="s">
        <v>2042</v>
      </c>
      <c r="C4784" s="0" t="s">
        <v>2156</v>
      </c>
      <c r="D4784" s="0" t="s">
        <v>2105</v>
      </c>
      <c r="E4784" s="0" t="s">
        <v>2045</v>
      </c>
      <c r="F4784" s="0" t="s">
        <v>2051</v>
      </c>
      <c r="G4784" s="0" t="s">
        <v>2114</v>
      </c>
      <c r="H4784" s="0" t="s">
        <v>2121</v>
      </c>
      <c r="I4784" s="0" t="s">
        <v>2322</v>
      </c>
      <c r="J4784" s="0" t="s">
        <v>2358</v>
      </c>
      <c r="K4784" s="272" t="n">
        <v>6046901</v>
      </c>
    </row>
    <row r="4785" customFormat="false" ht="15" hidden="false" customHeight="false" outlineLevel="0" collapsed="false">
      <c r="A4785" s="0" t="s">
        <v>2041</v>
      </c>
      <c r="B4785" s="0" t="s">
        <v>2042</v>
      </c>
      <c r="C4785" s="0" t="s">
        <v>2161</v>
      </c>
      <c r="D4785" s="0" t="s">
        <v>2105</v>
      </c>
      <c r="E4785" s="0" t="s">
        <v>2045</v>
      </c>
      <c r="F4785" s="0" t="s">
        <v>2051</v>
      </c>
      <c r="G4785" s="0" t="s">
        <v>2114</v>
      </c>
      <c r="H4785" s="0" t="s">
        <v>2121</v>
      </c>
      <c r="I4785" s="0" t="s">
        <v>2322</v>
      </c>
      <c r="J4785" s="0" t="s">
        <v>2358</v>
      </c>
      <c r="K4785" s="272" t="n">
        <v>1128816.54</v>
      </c>
    </row>
    <row r="4786" customFormat="false" ht="15" hidden="false" customHeight="false" outlineLevel="0" collapsed="false">
      <c r="A4786" s="0" t="s">
        <v>2041</v>
      </c>
      <c r="B4786" s="0" t="s">
        <v>2042</v>
      </c>
      <c r="C4786" s="0" t="s">
        <v>2349</v>
      </c>
      <c r="D4786" s="0" t="s">
        <v>2105</v>
      </c>
      <c r="E4786" s="0" t="s">
        <v>2045</v>
      </c>
      <c r="F4786" s="0" t="s">
        <v>2051</v>
      </c>
      <c r="G4786" s="0" t="s">
        <v>2114</v>
      </c>
      <c r="H4786" s="0" t="s">
        <v>2121</v>
      </c>
      <c r="I4786" s="0" t="s">
        <v>2322</v>
      </c>
      <c r="J4786" s="0" t="s">
        <v>2358</v>
      </c>
      <c r="K4786" s="272" t="n">
        <v>188250.96</v>
      </c>
    </row>
    <row r="4787" customFormat="false" ht="15" hidden="false" customHeight="false" outlineLevel="0" collapsed="false">
      <c r="A4787" s="0" t="s">
        <v>2041</v>
      </c>
      <c r="B4787" s="0" t="s">
        <v>2042</v>
      </c>
      <c r="C4787" s="0" t="s">
        <v>2352</v>
      </c>
      <c r="D4787" s="0" t="s">
        <v>2105</v>
      </c>
      <c r="E4787" s="0" t="s">
        <v>2045</v>
      </c>
      <c r="F4787" s="0" t="s">
        <v>2051</v>
      </c>
      <c r="G4787" s="0" t="s">
        <v>2114</v>
      </c>
      <c r="H4787" s="0" t="s">
        <v>2122</v>
      </c>
      <c r="I4787" s="0" t="s">
        <v>2322</v>
      </c>
      <c r="J4787" s="0" t="s">
        <v>2358</v>
      </c>
      <c r="K4787" s="272" t="n">
        <v>1577532.373</v>
      </c>
    </row>
    <row r="4788" customFormat="false" ht="15" hidden="false" customHeight="false" outlineLevel="0" collapsed="false">
      <c r="A4788" s="0" t="s">
        <v>2041</v>
      </c>
      <c r="B4788" s="0" t="s">
        <v>2042</v>
      </c>
      <c r="C4788" s="0" t="s">
        <v>2359</v>
      </c>
      <c r="D4788" s="0" t="s">
        <v>2105</v>
      </c>
      <c r="E4788" s="0" t="s">
        <v>2045</v>
      </c>
      <c r="F4788" s="0" t="s">
        <v>2051</v>
      </c>
      <c r="G4788" s="0" t="s">
        <v>2114</v>
      </c>
      <c r="H4788" s="0" t="s">
        <v>2122</v>
      </c>
      <c r="I4788" s="0" t="s">
        <v>2322</v>
      </c>
      <c r="J4788" s="0" t="s">
        <v>2358</v>
      </c>
      <c r="K4788" s="272" t="n">
        <v>334493.467</v>
      </c>
    </row>
    <row r="4789" customFormat="false" ht="15" hidden="false" customHeight="false" outlineLevel="0" collapsed="false">
      <c r="A4789" s="0" t="s">
        <v>2041</v>
      </c>
      <c r="B4789" s="0" t="s">
        <v>2042</v>
      </c>
      <c r="C4789" s="0" t="s">
        <v>2361</v>
      </c>
      <c r="D4789" s="0" t="s">
        <v>2105</v>
      </c>
      <c r="E4789" s="0" t="s">
        <v>2045</v>
      </c>
      <c r="F4789" s="0" t="s">
        <v>2051</v>
      </c>
      <c r="G4789" s="0" t="s">
        <v>2114</v>
      </c>
      <c r="H4789" s="0" t="s">
        <v>2122</v>
      </c>
      <c r="I4789" s="0" t="s">
        <v>2322</v>
      </c>
      <c r="J4789" s="0" t="s">
        <v>2358</v>
      </c>
      <c r="K4789" s="272" t="n">
        <v>28821.052</v>
      </c>
    </row>
    <row r="4790" customFormat="false" ht="15" hidden="false" customHeight="false" outlineLevel="0" collapsed="false">
      <c r="A4790" s="0" t="s">
        <v>2041</v>
      </c>
      <c r="B4790" s="0" t="s">
        <v>2042</v>
      </c>
      <c r="C4790" s="0" t="s">
        <v>2156</v>
      </c>
      <c r="D4790" s="0" t="s">
        <v>2105</v>
      </c>
      <c r="E4790" s="0" t="s">
        <v>2045</v>
      </c>
      <c r="F4790" s="0" t="s">
        <v>2051</v>
      </c>
      <c r="G4790" s="0" t="s">
        <v>2114</v>
      </c>
      <c r="H4790" s="0" t="s">
        <v>2122</v>
      </c>
      <c r="I4790" s="0" t="s">
        <v>2322</v>
      </c>
      <c r="J4790" s="0" t="s">
        <v>2358</v>
      </c>
      <c r="K4790" s="272" t="n">
        <v>19257687.1</v>
      </c>
    </row>
    <row r="4791" customFormat="false" ht="15" hidden="false" customHeight="false" outlineLevel="0" collapsed="false">
      <c r="A4791" s="0" t="s">
        <v>2041</v>
      </c>
      <c r="B4791" s="0" t="s">
        <v>2042</v>
      </c>
      <c r="C4791" s="0" t="s">
        <v>2161</v>
      </c>
      <c r="D4791" s="0" t="s">
        <v>2105</v>
      </c>
      <c r="E4791" s="0" t="s">
        <v>2045</v>
      </c>
      <c r="F4791" s="0" t="s">
        <v>2051</v>
      </c>
      <c r="G4791" s="0" t="s">
        <v>2114</v>
      </c>
      <c r="H4791" s="0" t="s">
        <v>2122</v>
      </c>
      <c r="I4791" s="0" t="s">
        <v>2322</v>
      </c>
      <c r="J4791" s="0" t="s">
        <v>2358</v>
      </c>
      <c r="K4791" s="272" t="n">
        <v>3956824.18685714</v>
      </c>
    </row>
    <row r="4792" customFormat="false" ht="15" hidden="false" customHeight="false" outlineLevel="0" collapsed="false">
      <c r="A4792" s="0" t="s">
        <v>2041</v>
      </c>
      <c r="B4792" s="0" t="s">
        <v>2042</v>
      </c>
      <c r="C4792" s="0" t="s">
        <v>2349</v>
      </c>
      <c r="D4792" s="0" t="s">
        <v>2105</v>
      </c>
      <c r="E4792" s="0" t="s">
        <v>2045</v>
      </c>
      <c r="F4792" s="0" t="s">
        <v>2051</v>
      </c>
      <c r="G4792" s="0" t="s">
        <v>2114</v>
      </c>
      <c r="H4792" s="0" t="s">
        <v>2122</v>
      </c>
      <c r="I4792" s="0" t="s">
        <v>2322</v>
      </c>
      <c r="J4792" s="0" t="s">
        <v>2358</v>
      </c>
      <c r="K4792" s="272" t="n">
        <v>547295.389142857</v>
      </c>
    </row>
    <row r="4793" customFormat="false" ht="15" hidden="false" customHeight="false" outlineLevel="0" collapsed="false">
      <c r="A4793" s="0" t="s">
        <v>2041</v>
      </c>
      <c r="B4793" s="0" t="s">
        <v>2042</v>
      </c>
      <c r="C4793" s="0" t="s">
        <v>2352</v>
      </c>
      <c r="D4793" s="0" t="s">
        <v>2105</v>
      </c>
      <c r="E4793" s="0" t="s">
        <v>2045</v>
      </c>
      <c r="F4793" s="0" t="s">
        <v>2051</v>
      </c>
      <c r="G4793" s="0" t="s">
        <v>2114</v>
      </c>
      <c r="H4793" s="0" t="s">
        <v>2112</v>
      </c>
      <c r="I4793" s="0" t="s">
        <v>2322</v>
      </c>
      <c r="J4793" s="0" t="s">
        <v>2358</v>
      </c>
      <c r="K4793" s="272" t="n">
        <v>291793.33</v>
      </c>
    </row>
    <row r="4794" customFormat="false" ht="15" hidden="false" customHeight="false" outlineLevel="0" collapsed="false">
      <c r="A4794" s="0" t="s">
        <v>2041</v>
      </c>
      <c r="B4794" s="0" t="s">
        <v>2042</v>
      </c>
      <c r="C4794" s="0" t="s">
        <v>2361</v>
      </c>
      <c r="D4794" s="0" t="s">
        <v>2105</v>
      </c>
      <c r="E4794" s="0" t="s">
        <v>2045</v>
      </c>
      <c r="F4794" s="0" t="s">
        <v>2051</v>
      </c>
      <c r="G4794" s="0" t="s">
        <v>2114</v>
      </c>
      <c r="H4794" s="0" t="s">
        <v>2112</v>
      </c>
      <c r="I4794" s="0" t="s">
        <v>2322</v>
      </c>
      <c r="J4794" s="0" t="s">
        <v>2358</v>
      </c>
      <c r="K4794" s="272" t="n">
        <v>34148.49</v>
      </c>
    </row>
    <row r="4795" customFormat="false" ht="15" hidden="false" customHeight="false" outlineLevel="0" collapsed="false">
      <c r="A4795" s="0" t="s">
        <v>2041</v>
      </c>
      <c r="B4795" s="0" t="s">
        <v>2042</v>
      </c>
      <c r="C4795" s="0" t="s">
        <v>2156</v>
      </c>
      <c r="D4795" s="0" t="s">
        <v>2105</v>
      </c>
      <c r="E4795" s="0" t="s">
        <v>2045</v>
      </c>
      <c r="F4795" s="0" t="s">
        <v>2051</v>
      </c>
      <c r="G4795" s="0" t="s">
        <v>2114</v>
      </c>
      <c r="H4795" s="0" t="s">
        <v>2112</v>
      </c>
      <c r="I4795" s="0" t="s">
        <v>2322</v>
      </c>
      <c r="J4795" s="0" t="s">
        <v>2358</v>
      </c>
      <c r="K4795" s="272" t="n">
        <v>3360920</v>
      </c>
    </row>
    <row r="4796" customFormat="false" ht="15" hidden="false" customHeight="false" outlineLevel="0" collapsed="false">
      <c r="A4796" s="0" t="s">
        <v>2041</v>
      </c>
      <c r="B4796" s="0" t="s">
        <v>2042</v>
      </c>
      <c r="C4796" s="0" t="s">
        <v>2360</v>
      </c>
      <c r="D4796" s="0" t="s">
        <v>2105</v>
      </c>
      <c r="E4796" s="0" t="s">
        <v>2045</v>
      </c>
      <c r="F4796" s="0" t="s">
        <v>2051</v>
      </c>
      <c r="G4796" s="0" t="s">
        <v>2114</v>
      </c>
      <c r="H4796" s="0" t="s">
        <v>2112</v>
      </c>
      <c r="I4796" s="0" t="s">
        <v>2322</v>
      </c>
      <c r="J4796" s="0" t="s">
        <v>2358</v>
      </c>
      <c r="K4796" s="272" t="n">
        <v>33</v>
      </c>
    </row>
    <row r="4797" customFormat="false" ht="15" hidden="false" customHeight="false" outlineLevel="0" collapsed="false">
      <c r="A4797" s="0" t="s">
        <v>2041</v>
      </c>
      <c r="B4797" s="0" t="s">
        <v>2042</v>
      </c>
      <c r="C4797" s="0" t="s">
        <v>2161</v>
      </c>
      <c r="D4797" s="0" t="s">
        <v>2105</v>
      </c>
      <c r="E4797" s="0" t="s">
        <v>2045</v>
      </c>
      <c r="F4797" s="0" t="s">
        <v>2051</v>
      </c>
      <c r="G4797" s="0" t="s">
        <v>2114</v>
      </c>
      <c r="H4797" s="0" t="s">
        <v>2112</v>
      </c>
      <c r="I4797" s="0" t="s">
        <v>2322</v>
      </c>
      <c r="J4797" s="0" t="s">
        <v>2358</v>
      </c>
      <c r="K4797" s="272" t="n">
        <v>818224.29</v>
      </c>
    </row>
    <row r="4798" customFormat="false" ht="15" hidden="false" customHeight="false" outlineLevel="0" collapsed="false">
      <c r="A4798" s="0" t="s">
        <v>2041</v>
      </c>
      <c r="B4798" s="0" t="s">
        <v>2042</v>
      </c>
      <c r="C4798" s="0" t="s">
        <v>2349</v>
      </c>
      <c r="D4798" s="0" t="s">
        <v>2105</v>
      </c>
      <c r="E4798" s="0" t="s">
        <v>2045</v>
      </c>
      <c r="F4798" s="0" t="s">
        <v>2051</v>
      </c>
      <c r="G4798" s="0" t="s">
        <v>2114</v>
      </c>
      <c r="H4798" s="0" t="s">
        <v>2112</v>
      </c>
      <c r="I4798" s="0" t="s">
        <v>2322</v>
      </c>
      <c r="J4798" s="0" t="s">
        <v>2358</v>
      </c>
      <c r="K4798" s="272" t="n">
        <v>98434.4399999999</v>
      </c>
    </row>
    <row r="4799" customFormat="false" ht="15" hidden="false" customHeight="false" outlineLevel="0" collapsed="false">
      <c r="A4799" s="0" t="s">
        <v>2041</v>
      </c>
      <c r="B4799" s="0" t="s">
        <v>2042</v>
      </c>
      <c r="C4799" s="0" t="s">
        <v>2352</v>
      </c>
      <c r="D4799" s="0" t="s">
        <v>2105</v>
      </c>
      <c r="E4799" s="0" t="s">
        <v>2045</v>
      </c>
      <c r="F4799" s="0" t="s">
        <v>2051</v>
      </c>
      <c r="G4799" s="0" t="s">
        <v>2114</v>
      </c>
      <c r="H4799" s="0" t="s">
        <v>2113</v>
      </c>
      <c r="I4799" s="0" t="s">
        <v>2322</v>
      </c>
      <c r="J4799" s="0" t="s">
        <v>2358</v>
      </c>
      <c r="K4799" s="272" t="n">
        <v>301786.287</v>
      </c>
    </row>
    <row r="4800" customFormat="false" ht="15" hidden="false" customHeight="false" outlineLevel="0" collapsed="false">
      <c r="A4800" s="0" t="s">
        <v>2041</v>
      </c>
      <c r="B4800" s="0" t="s">
        <v>2042</v>
      </c>
      <c r="C4800" s="0" t="s">
        <v>2359</v>
      </c>
      <c r="D4800" s="0" t="s">
        <v>2105</v>
      </c>
      <c r="E4800" s="0" t="s">
        <v>2045</v>
      </c>
      <c r="F4800" s="0" t="s">
        <v>2051</v>
      </c>
      <c r="G4800" s="0" t="s">
        <v>2114</v>
      </c>
      <c r="H4800" s="0" t="s">
        <v>2113</v>
      </c>
      <c r="I4800" s="0" t="s">
        <v>2322</v>
      </c>
      <c r="J4800" s="0" t="s">
        <v>2358</v>
      </c>
      <c r="K4800" s="272" t="n">
        <v>31637.109</v>
      </c>
    </row>
    <row r="4801" customFormat="false" ht="15" hidden="false" customHeight="false" outlineLevel="0" collapsed="false">
      <c r="A4801" s="0" t="s">
        <v>2041</v>
      </c>
      <c r="B4801" s="0" t="s">
        <v>2042</v>
      </c>
      <c r="C4801" s="0" t="s">
        <v>2156</v>
      </c>
      <c r="D4801" s="0" t="s">
        <v>2105</v>
      </c>
      <c r="E4801" s="0" t="s">
        <v>2045</v>
      </c>
      <c r="F4801" s="0" t="s">
        <v>2051</v>
      </c>
      <c r="G4801" s="0" t="s">
        <v>2114</v>
      </c>
      <c r="H4801" s="0" t="s">
        <v>2113</v>
      </c>
      <c r="I4801" s="0" t="s">
        <v>2322</v>
      </c>
      <c r="J4801" s="0" t="s">
        <v>2358</v>
      </c>
      <c r="K4801" s="272" t="n">
        <v>2973211</v>
      </c>
    </row>
    <row r="4802" customFormat="false" ht="15" hidden="false" customHeight="false" outlineLevel="0" collapsed="false">
      <c r="A4802" s="0" t="s">
        <v>2041</v>
      </c>
      <c r="B4802" s="0" t="s">
        <v>2042</v>
      </c>
      <c r="C4802" s="0" t="s">
        <v>2161</v>
      </c>
      <c r="D4802" s="0" t="s">
        <v>2105</v>
      </c>
      <c r="E4802" s="0" t="s">
        <v>2045</v>
      </c>
      <c r="F4802" s="0" t="s">
        <v>2051</v>
      </c>
      <c r="G4802" s="0" t="s">
        <v>2114</v>
      </c>
      <c r="H4802" s="0" t="s">
        <v>2113</v>
      </c>
      <c r="I4802" s="0" t="s">
        <v>2322</v>
      </c>
      <c r="J4802" s="0" t="s">
        <v>2358</v>
      </c>
      <c r="K4802" s="272" t="n">
        <v>871982.462857143</v>
      </c>
    </row>
    <row r="4803" customFormat="false" ht="15" hidden="false" customHeight="false" outlineLevel="0" collapsed="false">
      <c r="A4803" s="0" t="s">
        <v>2041</v>
      </c>
      <c r="B4803" s="0" t="s">
        <v>2042</v>
      </c>
      <c r="C4803" s="0" t="s">
        <v>2349</v>
      </c>
      <c r="D4803" s="0" t="s">
        <v>2105</v>
      </c>
      <c r="E4803" s="0" t="s">
        <v>2045</v>
      </c>
      <c r="F4803" s="0" t="s">
        <v>2051</v>
      </c>
      <c r="G4803" s="0" t="s">
        <v>2114</v>
      </c>
      <c r="H4803" s="0" t="s">
        <v>2113</v>
      </c>
      <c r="I4803" s="0" t="s">
        <v>2322</v>
      </c>
      <c r="J4803" s="0" t="s">
        <v>2358</v>
      </c>
      <c r="K4803" s="272" t="n">
        <v>100693.865142857</v>
      </c>
    </row>
    <row r="4804" customFormat="false" ht="15" hidden="false" customHeight="false" outlineLevel="0" collapsed="false">
      <c r="A4804" s="0" t="s">
        <v>2041</v>
      </c>
      <c r="B4804" s="0" t="s">
        <v>2042</v>
      </c>
      <c r="C4804" s="0" t="s">
        <v>2352</v>
      </c>
      <c r="D4804" s="0" t="s">
        <v>2105</v>
      </c>
      <c r="E4804" s="0" t="s">
        <v>2045</v>
      </c>
      <c r="F4804" s="0" t="s">
        <v>2051</v>
      </c>
      <c r="G4804" s="0" t="s">
        <v>2114</v>
      </c>
      <c r="H4804" s="0" t="s">
        <v>2107</v>
      </c>
      <c r="I4804" s="0" t="s">
        <v>2322</v>
      </c>
      <c r="J4804" s="0" t="s">
        <v>2358</v>
      </c>
      <c r="K4804" s="272" t="n">
        <v>2039360.57</v>
      </c>
    </row>
    <row r="4805" customFormat="false" ht="15" hidden="false" customHeight="false" outlineLevel="0" collapsed="false">
      <c r="A4805" s="0" t="s">
        <v>2041</v>
      </c>
      <c r="B4805" s="0" t="s">
        <v>2042</v>
      </c>
      <c r="C4805" s="0" t="s">
        <v>2359</v>
      </c>
      <c r="D4805" s="0" t="s">
        <v>2105</v>
      </c>
      <c r="E4805" s="0" t="s">
        <v>2045</v>
      </c>
      <c r="F4805" s="0" t="s">
        <v>2051</v>
      </c>
      <c r="G4805" s="0" t="s">
        <v>2114</v>
      </c>
      <c r="H4805" s="0" t="s">
        <v>2107</v>
      </c>
      <c r="I4805" s="0" t="s">
        <v>2322</v>
      </c>
      <c r="J4805" s="0" t="s">
        <v>2358</v>
      </c>
      <c r="K4805" s="272" t="n">
        <v>362485</v>
      </c>
    </row>
    <row r="4806" customFormat="false" ht="15" hidden="false" customHeight="false" outlineLevel="0" collapsed="false">
      <c r="A4806" s="0" t="s">
        <v>2041</v>
      </c>
      <c r="B4806" s="0" t="s">
        <v>2042</v>
      </c>
      <c r="C4806" s="0" t="s">
        <v>2361</v>
      </c>
      <c r="D4806" s="0" t="s">
        <v>2105</v>
      </c>
      <c r="E4806" s="0" t="s">
        <v>2045</v>
      </c>
      <c r="F4806" s="0" t="s">
        <v>2051</v>
      </c>
      <c r="G4806" s="0" t="s">
        <v>2114</v>
      </c>
      <c r="H4806" s="0" t="s">
        <v>2107</v>
      </c>
      <c r="I4806" s="0" t="s">
        <v>2322</v>
      </c>
      <c r="J4806" s="0" t="s">
        <v>2358</v>
      </c>
      <c r="K4806" s="272" t="n">
        <v>265872.38</v>
      </c>
    </row>
    <row r="4807" customFormat="false" ht="15" hidden="false" customHeight="false" outlineLevel="0" collapsed="false">
      <c r="A4807" s="0" t="s">
        <v>2041</v>
      </c>
      <c r="B4807" s="0" t="s">
        <v>2042</v>
      </c>
      <c r="C4807" s="0" t="s">
        <v>2156</v>
      </c>
      <c r="D4807" s="0" t="s">
        <v>2105</v>
      </c>
      <c r="E4807" s="0" t="s">
        <v>2045</v>
      </c>
      <c r="F4807" s="0" t="s">
        <v>2051</v>
      </c>
      <c r="G4807" s="0" t="s">
        <v>2114</v>
      </c>
      <c r="H4807" s="0" t="s">
        <v>2107</v>
      </c>
      <c r="I4807" s="0" t="s">
        <v>2322</v>
      </c>
      <c r="J4807" s="0" t="s">
        <v>2358</v>
      </c>
      <c r="K4807" s="272" t="n">
        <v>49474138</v>
      </c>
    </row>
    <row r="4808" customFormat="false" ht="15" hidden="false" customHeight="false" outlineLevel="0" collapsed="false">
      <c r="A4808" s="0" t="s">
        <v>2041</v>
      </c>
      <c r="B4808" s="0" t="s">
        <v>2042</v>
      </c>
      <c r="C4808" s="0" t="s">
        <v>2360</v>
      </c>
      <c r="D4808" s="0" t="s">
        <v>2105</v>
      </c>
      <c r="E4808" s="0" t="s">
        <v>2045</v>
      </c>
      <c r="F4808" s="0" t="s">
        <v>2051</v>
      </c>
      <c r="G4808" s="0" t="s">
        <v>2114</v>
      </c>
      <c r="H4808" s="0" t="s">
        <v>2107</v>
      </c>
      <c r="I4808" s="0" t="s">
        <v>2322</v>
      </c>
      <c r="J4808" s="0" t="s">
        <v>2358</v>
      </c>
      <c r="K4808" s="272" t="n">
        <v>3332</v>
      </c>
    </row>
    <row r="4809" customFormat="false" ht="15" hidden="false" customHeight="false" outlineLevel="0" collapsed="false">
      <c r="A4809" s="0" t="s">
        <v>2041</v>
      </c>
      <c r="B4809" s="0" t="s">
        <v>2042</v>
      </c>
      <c r="C4809" s="0" t="s">
        <v>2161</v>
      </c>
      <c r="D4809" s="0" t="s">
        <v>2105</v>
      </c>
      <c r="E4809" s="0" t="s">
        <v>2045</v>
      </c>
      <c r="F4809" s="0" t="s">
        <v>2051</v>
      </c>
      <c r="G4809" s="0" t="s">
        <v>2114</v>
      </c>
      <c r="H4809" s="0" t="s">
        <v>2107</v>
      </c>
      <c r="I4809" s="0" t="s">
        <v>2322</v>
      </c>
      <c r="J4809" s="0" t="s">
        <v>2358</v>
      </c>
      <c r="K4809" s="272" t="n">
        <v>8231488.13</v>
      </c>
    </row>
    <row r="4810" customFormat="false" ht="15" hidden="false" customHeight="false" outlineLevel="0" collapsed="false">
      <c r="A4810" s="0" t="s">
        <v>2041</v>
      </c>
      <c r="B4810" s="0" t="s">
        <v>2042</v>
      </c>
      <c r="C4810" s="0" t="s">
        <v>2349</v>
      </c>
      <c r="D4810" s="0" t="s">
        <v>2105</v>
      </c>
      <c r="E4810" s="0" t="s">
        <v>2045</v>
      </c>
      <c r="F4810" s="0" t="s">
        <v>2051</v>
      </c>
      <c r="G4810" s="0" t="s">
        <v>2114</v>
      </c>
      <c r="H4810" s="0" t="s">
        <v>2107</v>
      </c>
      <c r="I4810" s="0" t="s">
        <v>2322</v>
      </c>
      <c r="J4810" s="0" t="s">
        <v>2358</v>
      </c>
      <c r="K4810" s="272" t="n">
        <v>594121.84</v>
      </c>
    </row>
    <row r="4811" customFormat="false" ht="15" hidden="false" customHeight="false" outlineLevel="0" collapsed="false">
      <c r="A4811" s="0" t="s">
        <v>2041</v>
      </c>
      <c r="B4811" s="0" t="s">
        <v>2042</v>
      </c>
      <c r="C4811" s="0" t="s">
        <v>2352</v>
      </c>
      <c r="D4811" s="0" t="s">
        <v>2105</v>
      </c>
      <c r="E4811" s="0" t="s">
        <v>2045</v>
      </c>
      <c r="F4811" s="0" t="s">
        <v>2051</v>
      </c>
      <c r="G4811" s="0" t="s">
        <v>2123</v>
      </c>
      <c r="H4811" s="0" t="s">
        <v>2115</v>
      </c>
      <c r="I4811" s="0" t="s">
        <v>2322</v>
      </c>
      <c r="J4811" s="0" t="s">
        <v>2358</v>
      </c>
      <c r="K4811" s="272" t="n">
        <v>641491.51</v>
      </c>
    </row>
    <row r="4812" customFormat="false" ht="15" hidden="false" customHeight="false" outlineLevel="0" collapsed="false">
      <c r="A4812" s="0" t="s">
        <v>2041</v>
      </c>
      <c r="B4812" s="0" t="s">
        <v>2042</v>
      </c>
      <c r="C4812" s="0" t="s">
        <v>2359</v>
      </c>
      <c r="D4812" s="0" t="s">
        <v>2105</v>
      </c>
      <c r="E4812" s="0" t="s">
        <v>2045</v>
      </c>
      <c r="F4812" s="0" t="s">
        <v>2051</v>
      </c>
      <c r="G4812" s="0" t="s">
        <v>2123</v>
      </c>
      <c r="H4812" s="0" t="s">
        <v>2115</v>
      </c>
      <c r="I4812" s="0" t="s">
        <v>2322</v>
      </c>
      <c r="J4812" s="0" t="s">
        <v>2358</v>
      </c>
      <c r="K4812" s="272" t="n">
        <v>42629.2</v>
      </c>
    </row>
    <row r="4813" customFormat="false" ht="15" hidden="false" customHeight="false" outlineLevel="0" collapsed="false">
      <c r="A4813" s="0" t="s">
        <v>2041</v>
      </c>
      <c r="B4813" s="0" t="s">
        <v>2042</v>
      </c>
      <c r="C4813" s="0" t="s">
        <v>2156</v>
      </c>
      <c r="D4813" s="0" t="s">
        <v>2105</v>
      </c>
      <c r="E4813" s="0" t="s">
        <v>2045</v>
      </c>
      <c r="F4813" s="0" t="s">
        <v>2051</v>
      </c>
      <c r="G4813" s="0" t="s">
        <v>2123</v>
      </c>
      <c r="H4813" s="0" t="s">
        <v>2115</v>
      </c>
      <c r="I4813" s="0" t="s">
        <v>2322</v>
      </c>
      <c r="J4813" s="0" t="s">
        <v>2358</v>
      </c>
      <c r="K4813" s="272" t="n">
        <v>6833816.4</v>
      </c>
    </row>
    <row r="4814" customFormat="false" ht="15" hidden="false" customHeight="false" outlineLevel="0" collapsed="false">
      <c r="A4814" s="0" t="s">
        <v>2041</v>
      </c>
      <c r="B4814" s="0" t="s">
        <v>2042</v>
      </c>
      <c r="C4814" s="0" t="s">
        <v>2161</v>
      </c>
      <c r="D4814" s="0" t="s">
        <v>2105</v>
      </c>
      <c r="E4814" s="0" t="s">
        <v>2045</v>
      </c>
      <c r="F4814" s="0" t="s">
        <v>2051</v>
      </c>
      <c r="G4814" s="0" t="s">
        <v>2123</v>
      </c>
      <c r="H4814" s="0" t="s">
        <v>2115</v>
      </c>
      <c r="I4814" s="0" t="s">
        <v>2322</v>
      </c>
      <c r="J4814" s="0" t="s">
        <v>2358</v>
      </c>
      <c r="K4814" s="272" t="n">
        <v>1417784.79</v>
      </c>
    </row>
    <row r="4815" customFormat="false" ht="15" hidden="false" customHeight="false" outlineLevel="0" collapsed="false">
      <c r="A4815" s="0" t="s">
        <v>2041</v>
      </c>
      <c r="B4815" s="0" t="s">
        <v>2042</v>
      </c>
      <c r="C4815" s="0" t="s">
        <v>2349</v>
      </c>
      <c r="D4815" s="0" t="s">
        <v>2105</v>
      </c>
      <c r="E4815" s="0" t="s">
        <v>2045</v>
      </c>
      <c r="F4815" s="0" t="s">
        <v>2051</v>
      </c>
      <c r="G4815" s="0" t="s">
        <v>2123</v>
      </c>
      <c r="H4815" s="0" t="s">
        <v>2115</v>
      </c>
      <c r="I4815" s="0" t="s">
        <v>2322</v>
      </c>
      <c r="J4815" s="0" t="s">
        <v>2358</v>
      </c>
      <c r="K4815" s="272" t="n">
        <v>200252.702</v>
      </c>
    </row>
    <row r="4816" customFormat="false" ht="15" hidden="false" customHeight="false" outlineLevel="0" collapsed="false">
      <c r="A4816" s="0" t="s">
        <v>2041</v>
      </c>
      <c r="B4816" s="0" t="s">
        <v>2042</v>
      </c>
      <c r="C4816" s="0" t="s">
        <v>2352</v>
      </c>
      <c r="D4816" s="0" t="s">
        <v>2105</v>
      </c>
      <c r="E4816" s="0" t="s">
        <v>2045</v>
      </c>
      <c r="F4816" s="0" t="s">
        <v>2051</v>
      </c>
      <c r="G4816" s="0" t="s">
        <v>2123</v>
      </c>
      <c r="H4816" s="0" t="s">
        <v>2116</v>
      </c>
      <c r="I4816" s="0" t="s">
        <v>2322</v>
      </c>
      <c r="J4816" s="0" t="s">
        <v>2358</v>
      </c>
      <c r="K4816" s="272" t="n">
        <v>930482.21</v>
      </c>
    </row>
    <row r="4817" customFormat="false" ht="15" hidden="false" customHeight="false" outlineLevel="0" collapsed="false">
      <c r="A4817" s="0" t="s">
        <v>2041</v>
      </c>
      <c r="B4817" s="0" t="s">
        <v>2042</v>
      </c>
      <c r="C4817" s="0" t="s">
        <v>2359</v>
      </c>
      <c r="D4817" s="0" t="s">
        <v>2105</v>
      </c>
      <c r="E4817" s="0" t="s">
        <v>2045</v>
      </c>
      <c r="F4817" s="0" t="s">
        <v>2051</v>
      </c>
      <c r="G4817" s="0" t="s">
        <v>2123</v>
      </c>
      <c r="H4817" s="0" t="s">
        <v>2116</v>
      </c>
      <c r="I4817" s="0" t="s">
        <v>2322</v>
      </c>
      <c r="J4817" s="0" t="s">
        <v>2358</v>
      </c>
      <c r="K4817" s="272" t="n">
        <v>212300.872</v>
      </c>
    </row>
    <row r="4818" customFormat="false" ht="15" hidden="false" customHeight="false" outlineLevel="0" collapsed="false">
      <c r="A4818" s="0" t="s">
        <v>2041</v>
      </c>
      <c r="B4818" s="0" t="s">
        <v>2042</v>
      </c>
      <c r="C4818" s="0" t="s">
        <v>2156</v>
      </c>
      <c r="D4818" s="0" t="s">
        <v>2105</v>
      </c>
      <c r="E4818" s="0" t="s">
        <v>2045</v>
      </c>
      <c r="F4818" s="0" t="s">
        <v>2051</v>
      </c>
      <c r="G4818" s="0" t="s">
        <v>2123</v>
      </c>
      <c r="H4818" s="0" t="s">
        <v>2116</v>
      </c>
      <c r="I4818" s="0" t="s">
        <v>2322</v>
      </c>
      <c r="J4818" s="0" t="s">
        <v>2358</v>
      </c>
      <c r="K4818" s="272" t="n">
        <v>7884225.6</v>
      </c>
    </row>
    <row r="4819" customFormat="false" ht="15" hidden="false" customHeight="false" outlineLevel="0" collapsed="false">
      <c r="A4819" s="0" t="s">
        <v>2041</v>
      </c>
      <c r="B4819" s="0" t="s">
        <v>2042</v>
      </c>
      <c r="C4819" s="0" t="s">
        <v>2161</v>
      </c>
      <c r="D4819" s="0" t="s">
        <v>2105</v>
      </c>
      <c r="E4819" s="0" t="s">
        <v>2045</v>
      </c>
      <c r="F4819" s="0" t="s">
        <v>2051</v>
      </c>
      <c r="G4819" s="0" t="s">
        <v>2123</v>
      </c>
      <c r="H4819" s="0" t="s">
        <v>2116</v>
      </c>
      <c r="I4819" s="0" t="s">
        <v>2322</v>
      </c>
      <c r="J4819" s="0" t="s">
        <v>2358</v>
      </c>
      <c r="K4819" s="272" t="n">
        <v>1988497.89</v>
      </c>
    </row>
    <row r="4820" customFormat="false" ht="15" hidden="false" customHeight="false" outlineLevel="0" collapsed="false">
      <c r="A4820" s="0" t="s">
        <v>2041</v>
      </c>
      <c r="B4820" s="0" t="s">
        <v>2042</v>
      </c>
      <c r="C4820" s="0" t="s">
        <v>2349</v>
      </c>
      <c r="D4820" s="0" t="s">
        <v>2105</v>
      </c>
      <c r="E4820" s="0" t="s">
        <v>2045</v>
      </c>
      <c r="F4820" s="0" t="s">
        <v>2051</v>
      </c>
      <c r="G4820" s="0" t="s">
        <v>2123</v>
      </c>
      <c r="H4820" s="0" t="s">
        <v>2116</v>
      </c>
      <c r="I4820" s="0" t="s">
        <v>2322</v>
      </c>
      <c r="J4820" s="0" t="s">
        <v>2358</v>
      </c>
      <c r="K4820" s="272" t="n">
        <v>313487.643</v>
      </c>
    </row>
    <row r="4821" customFormat="false" ht="15" hidden="false" customHeight="false" outlineLevel="0" collapsed="false">
      <c r="A4821" s="0" t="s">
        <v>2041</v>
      </c>
      <c r="B4821" s="0" t="s">
        <v>2042</v>
      </c>
      <c r="C4821" s="0" t="s">
        <v>2352</v>
      </c>
      <c r="D4821" s="0" t="s">
        <v>2105</v>
      </c>
      <c r="E4821" s="0" t="s">
        <v>2045</v>
      </c>
      <c r="F4821" s="0" t="s">
        <v>2051</v>
      </c>
      <c r="G4821" s="0" t="s">
        <v>2123</v>
      </c>
      <c r="H4821" s="0" t="s">
        <v>2111</v>
      </c>
      <c r="I4821" s="0" t="s">
        <v>2322</v>
      </c>
      <c r="J4821" s="0" t="s">
        <v>2358</v>
      </c>
      <c r="K4821" s="272" t="n">
        <v>1074408.018</v>
      </c>
    </row>
    <row r="4822" customFormat="false" ht="15" hidden="false" customHeight="false" outlineLevel="0" collapsed="false">
      <c r="A4822" s="0" t="s">
        <v>2041</v>
      </c>
      <c r="B4822" s="0" t="s">
        <v>2042</v>
      </c>
      <c r="C4822" s="0" t="s">
        <v>2359</v>
      </c>
      <c r="D4822" s="0" t="s">
        <v>2105</v>
      </c>
      <c r="E4822" s="0" t="s">
        <v>2045</v>
      </c>
      <c r="F4822" s="0" t="s">
        <v>2051</v>
      </c>
      <c r="G4822" s="0" t="s">
        <v>2123</v>
      </c>
      <c r="H4822" s="0" t="s">
        <v>2111</v>
      </c>
      <c r="I4822" s="0" t="s">
        <v>2322</v>
      </c>
      <c r="J4822" s="0" t="s">
        <v>2358</v>
      </c>
      <c r="K4822" s="272" t="n">
        <v>743003.475</v>
      </c>
    </row>
    <row r="4823" customFormat="false" ht="15" hidden="false" customHeight="false" outlineLevel="0" collapsed="false">
      <c r="A4823" s="0" t="s">
        <v>2041</v>
      </c>
      <c r="B4823" s="0" t="s">
        <v>2042</v>
      </c>
      <c r="C4823" s="0" t="s">
        <v>2156</v>
      </c>
      <c r="D4823" s="0" t="s">
        <v>2105</v>
      </c>
      <c r="E4823" s="0" t="s">
        <v>2045</v>
      </c>
      <c r="F4823" s="0" t="s">
        <v>2051</v>
      </c>
      <c r="G4823" s="0" t="s">
        <v>2123</v>
      </c>
      <c r="H4823" s="0" t="s">
        <v>2111</v>
      </c>
      <c r="I4823" s="0" t="s">
        <v>2322</v>
      </c>
      <c r="J4823" s="0" t="s">
        <v>2358</v>
      </c>
      <c r="K4823" s="272" t="n">
        <v>15605166.4</v>
      </c>
    </row>
    <row r="4824" customFormat="false" ht="15" hidden="false" customHeight="false" outlineLevel="0" collapsed="false">
      <c r="A4824" s="0" t="s">
        <v>2041</v>
      </c>
      <c r="B4824" s="0" t="s">
        <v>2042</v>
      </c>
      <c r="C4824" s="0" t="s">
        <v>2161</v>
      </c>
      <c r="D4824" s="0" t="s">
        <v>2105</v>
      </c>
      <c r="E4824" s="0" t="s">
        <v>2045</v>
      </c>
      <c r="F4824" s="0" t="s">
        <v>2051</v>
      </c>
      <c r="G4824" s="0" t="s">
        <v>2123</v>
      </c>
      <c r="H4824" s="0" t="s">
        <v>2111</v>
      </c>
      <c r="I4824" s="0" t="s">
        <v>2322</v>
      </c>
      <c r="J4824" s="0" t="s">
        <v>2358</v>
      </c>
      <c r="K4824" s="272" t="n">
        <v>3200348.86777778</v>
      </c>
    </row>
    <row r="4825" customFormat="false" ht="15" hidden="false" customHeight="false" outlineLevel="0" collapsed="false">
      <c r="A4825" s="0" t="s">
        <v>2041</v>
      </c>
      <c r="B4825" s="0" t="s">
        <v>2042</v>
      </c>
      <c r="C4825" s="0" t="s">
        <v>2349</v>
      </c>
      <c r="D4825" s="0" t="s">
        <v>2105</v>
      </c>
      <c r="E4825" s="0" t="s">
        <v>2045</v>
      </c>
      <c r="F4825" s="0" t="s">
        <v>2051</v>
      </c>
      <c r="G4825" s="0" t="s">
        <v>2123</v>
      </c>
      <c r="H4825" s="0" t="s">
        <v>2111</v>
      </c>
      <c r="I4825" s="0" t="s">
        <v>2322</v>
      </c>
      <c r="J4825" s="0" t="s">
        <v>2358</v>
      </c>
      <c r="K4825" s="272" t="n">
        <v>437752.881222222</v>
      </c>
    </row>
    <row r="4826" customFormat="false" ht="15" hidden="false" customHeight="false" outlineLevel="0" collapsed="false">
      <c r="A4826" s="0" t="s">
        <v>2041</v>
      </c>
      <c r="B4826" s="0" t="s">
        <v>2042</v>
      </c>
      <c r="C4826" s="0" t="s">
        <v>2347</v>
      </c>
      <c r="D4826" s="0" t="s">
        <v>2105</v>
      </c>
      <c r="E4826" s="0" t="s">
        <v>2045</v>
      </c>
      <c r="F4826" s="0" t="s">
        <v>2051</v>
      </c>
      <c r="G4826" s="0" t="s">
        <v>2123</v>
      </c>
      <c r="H4826" s="0" t="s">
        <v>2111</v>
      </c>
      <c r="I4826" s="0" t="s">
        <v>2322</v>
      </c>
      <c r="J4826" s="0" t="s">
        <v>2358</v>
      </c>
      <c r="K4826" s="272" t="n">
        <v>7961.86</v>
      </c>
    </row>
    <row r="4827" customFormat="false" ht="15" hidden="false" customHeight="false" outlineLevel="0" collapsed="false">
      <c r="A4827" s="0" t="s">
        <v>2041</v>
      </c>
      <c r="B4827" s="0" t="s">
        <v>2042</v>
      </c>
      <c r="C4827" s="0" t="s">
        <v>2352</v>
      </c>
      <c r="D4827" s="0" t="s">
        <v>2105</v>
      </c>
      <c r="E4827" s="0" t="s">
        <v>2045</v>
      </c>
      <c r="F4827" s="0" t="s">
        <v>2051</v>
      </c>
      <c r="G4827" s="0" t="s">
        <v>2123</v>
      </c>
      <c r="H4827" s="0" t="s">
        <v>2117</v>
      </c>
      <c r="I4827" s="0" t="s">
        <v>2322</v>
      </c>
      <c r="J4827" s="0" t="s">
        <v>2358</v>
      </c>
      <c r="K4827" s="272" t="n">
        <v>349831.684</v>
      </c>
    </row>
    <row r="4828" customFormat="false" ht="15" hidden="false" customHeight="false" outlineLevel="0" collapsed="false">
      <c r="A4828" s="0" t="s">
        <v>2041</v>
      </c>
      <c r="B4828" s="0" t="s">
        <v>2042</v>
      </c>
      <c r="C4828" s="0" t="s">
        <v>2359</v>
      </c>
      <c r="D4828" s="0" t="s">
        <v>2105</v>
      </c>
      <c r="E4828" s="0" t="s">
        <v>2045</v>
      </c>
      <c r="F4828" s="0" t="s">
        <v>2051</v>
      </c>
      <c r="G4828" s="0" t="s">
        <v>2123</v>
      </c>
      <c r="H4828" s="0" t="s">
        <v>2117</v>
      </c>
      <c r="I4828" s="0" t="s">
        <v>2322</v>
      </c>
      <c r="J4828" s="0" t="s">
        <v>2358</v>
      </c>
      <c r="K4828" s="272" t="n">
        <v>235600.092</v>
      </c>
    </row>
    <row r="4829" customFormat="false" ht="15" hidden="false" customHeight="false" outlineLevel="0" collapsed="false">
      <c r="A4829" s="0" t="s">
        <v>2041</v>
      </c>
      <c r="B4829" s="0" t="s">
        <v>2042</v>
      </c>
      <c r="C4829" s="0" t="s">
        <v>2156</v>
      </c>
      <c r="D4829" s="0" t="s">
        <v>2105</v>
      </c>
      <c r="E4829" s="0" t="s">
        <v>2045</v>
      </c>
      <c r="F4829" s="0" t="s">
        <v>2051</v>
      </c>
      <c r="G4829" s="0" t="s">
        <v>2123</v>
      </c>
      <c r="H4829" s="0" t="s">
        <v>2117</v>
      </c>
      <c r="I4829" s="0" t="s">
        <v>2322</v>
      </c>
      <c r="J4829" s="0" t="s">
        <v>2358</v>
      </c>
      <c r="K4829" s="272" t="n">
        <v>3931001</v>
      </c>
    </row>
    <row r="4830" customFormat="false" ht="15" hidden="false" customHeight="false" outlineLevel="0" collapsed="false">
      <c r="A4830" s="0" t="s">
        <v>2041</v>
      </c>
      <c r="B4830" s="0" t="s">
        <v>2042</v>
      </c>
      <c r="C4830" s="0" t="s">
        <v>2360</v>
      </c>
      <c r="D4830" s="0" t="s">
        <v>2105</v>
      </c>
      <c r="E4830" s="0" t="s">
        <v>2045</v>
      </c>
      <c r="F4830" s="0" t="s">
        <v>2051</v>
      </c>
      <c r="G4830" s="0" t="s">
        <v>2123</v>
      </c>
      <c r="H4830" s="0" t="s">
        <v>2117</v>
      </c>
      <c r="I4830" s="0" t="s">
        <v>2322</v>
      </c>
      <c r="J4830" s="0" t="s">
        <v>2358</v>
      </c>
      <c r="K4830" s="272" t="n">
        <v>7.4</v>
      </c>
    </row>
    <row r="4831" customFormat="false" ht="15" hidden="false" customHeight="false" outlineLevel="0" collapsed="false">
      <c r="A4831" s="0" t="s">
        <v>2041</v>
      </c>
      <c r="B4831" s="0" t="s">
        <v>2042</v>
      </c>
      <c r="C4831" s="0" t="s">
        <v>2161</v>
      </c>
      <c r="D4831" s="0" t="s">
        <v>2105</v>
      </c>
      <c r="E4831" s="0" t="s">
        <v>2045</v>
      </c>
      <c r="F4831" s="0" t="s">
        <v>2051</v>
      </c>
      <c r="G4831" s="0" t="s">
        <v>2123</v>
      </c>
      <c r="H4831" s="0" t="s">
        <v>2117</v>
      </c>
      <c r="I4831" s="0" t="s">
        <v>2322</v>
      </c>
      <c r="J4831" s="0" t="s">
        <v>2358</v>
      </c>
      <c r="K4831" s="272" t="n">
        <v>857174.82</v>
      </c>
    </row>
    <row r="4832" customFormat="false" ht="15" hidden="false" customHeight="false" outlineLevel="0" collapsed="false">
      <c r="A4832" s="0" t="s">
        <v>2041</v>
      </c>
      <c r="B4832" s="0" t="s">
        <v>2042</v>
      </c>
      <c r="C4832" s="0" t="s">
        <v>2349</v>
      </c>
      <c r="D4832" s="0" t="s">
        <v>2105</v>
      </c>
      <c r="E4832" s="0" t="s">
        <v>2045</v>
      </c>
      <c r="F4832" s="0" t="s">
        <v>2051</v>
      </c>
      <c r="G4832" s="0" t="s">
        <v>2123</v>
      </c>
      <c r="H4832" s="0" t="s">
        <v>2117</v>
      </c>
      <c r="I4832" s="0" t="s">
        <v>2322</v>
      </c>
      <c r="J4832" s="0" t="s">
        <v>2358</v>
      </c>
      <c r="K4832" s="272" t="n">
        <v>140873.46</v>
      </c>
    </row>
    <row r="4833" customFormat="false" ht="15" hidden="false" customHeight="false" outlineLevel="0" collapsed="false">
      <c r="A4833" s="0" t="s">
        <v>2041</v>
      </c>
      <c r="B4833" s="0" t="s">
        <v>2042</v>
      </c>
      <c r="C4833" s="0" t="s">
        <v>2352</v>
      </c>
      <c r="D4833" s="0" t="s">
        <v>2105</v>
      </c>
      <c r="E4833" s="0" t="s">
        <v>2045</v>
      </c>
      <c r="F4833" s="0" t="s">
        <v>2051</v>
      </c>
      <c r="G4833" s="0" t="s">
        <v>2123</v>
      </c>
      <c r="H4833" s="0" t="s">
        <v>2119</v>
      </c>
      <c r="I4833" s="0" t="s">
        <v>2322</v>
      </c>
      <c r="J4833" s="0" t="s">
        <v>2358</v>
      </c>
      <c r="K4833" s="272" t="n">
        <v>47819.6</v>
      </c>
    </row>
    <row r="4834" customFormat="false" ht="15" hidden="false" customHeight="false" outlineLevel="0" collapsed="false">
      <c r="A4834" s="0" t="s">
        <v>2041</v>
      </c>
      <c r="B4834" s="0" t="s">
        <v>2042</v>
      </c>
      <c r="C4834" s="0" t="s">
        <v>2359</v>
      </c>
      <c r="D4834" s="0" t="s">
        <v>2105</v>
      </c>
      <c r="E4834" s="0" t="s">
        <v>2045</v>
      </c>
      <c r="F4834" s="0" t="s">
        <v>2051</v>
      </c>
      <c r="G4834" s="0" t="s">
        <v>2123</v>
      </c>
      <c r="H4834" s="0" t="s">
        <v>2119</v>
      </c>
      <c r="I4834" s="0" t="s">
        <v>2322</v>
      </c>
      <c r="J4834" s="0" t="s">
        <v>2358</v>
      </c>
      <c r="K4834" s="272" t="n">
        <v>10735.168</v>
      </c>
    </row>
    <row r="4835" customFormat="false" ht="15" hidden="false" customHeight="false" outlineLevel="0" collapsed="false">
      <c r="A4835" s="0" t="s">
        <v>2041</v>
      </c>
      <c r="B4835" s="0" t="s">
        <v>2042</v>
      </c>
      <c r="C4835" s="0" t="s">
        <v>2156</v>
      </c>
      <c r="D4835" s="0" t="s">
        <v>2105</v>
      </c>
      <c r="E4835" s="0" t="s">
        <v>2045</v>
      </c>
      <c r="F4835" s="0" t="s">
        <v>2051</v>
      </c>
      <c r="G4835" s="0" t="s">
        <v>2123</v>
      </c>
      <c r="H4835" s="0" t="s">
        <v>2119</v>
      </c>
      <c r="I4835" s="0" t="s">
        <v>2322</v>
      </c>
      <c r="J4835" s="0" t="s">
        <v>2358</v>
      </c>
      <c r="K4835" s="272" t="n">
        <v>486595</v>
      </c>
    </row>
    <row r="4836" customFormat="false" ht="15" hidden="false" customHeight="false" outlineLevel="0" collapsed="false">
      <c r="A4836" s="0" t="s">
        <v>2041</v>
      </c>
      <c r="B4836" s="0" t="s">
        <v>2042</v>
      </c>
      <c r="C4836" s="0" t="s">
        <v>2161</v>
      </c>
      <c r="D4836" s="0" t="s">
        <v>2105</v>
      </c>
      <c r="E4836" s="0" t="s">
        <v>2045</v>
      </c>
      <c r="F4836" s="0" t="s">
        <v>2051</v>
      </c>
      <c r="G4836" s="0" t="s">
        <v>2123</v>
      </c>
      <c r="H4836" s="0" t="s">
        <v>2119</v>
      </c>
      <c r="I4836" s="0" t="s">
        <v>2322</v>
      </c>
      <c r="J4836" s="0" t="s">
        <v>2358</v>
      </c>
      <c r="K4836" s="272" t="n">
        <v>144697.923333333</v>
      </c>
    </row>
    <row r="4837" customFormat="false" ht="15" hidden="false" customHeight="false" outlineLevel="0" collapsed="false">
      <c r="A4837" s="0" t="s">
        <v>2041</v>
      </c>
      <c r="B4837" s="0" t="s">
        <v>2042</v>
      </c>
      <c r="C4837" s="0" t="s">
        <v>2349</v>
      </c>
      <c r="D4837" s="0" t="s">
        <v>2105</v>
      </c>
      <c r="E4837" s="0" t="s">
        <v>2045</v>
      </c>
      <c r="F4837" s="0" t="s">
        <v>2051</v>
      </c>
      <c r="G4837" s="0" t="s">
        <v>2123</v>
      </c>
      <c r="H4837" s="0" t="s">
        <v>2119</v>
      </c>
      <c r="I4837" s="0" t="s">
        <v>2322</v>
      </c>
      <c r="J4837" s="0" t="s">
        <v>2358</v>
      </c>
      <c r="K4837" s="272" t="n">
        <v>16083.9986666667</v>
      </c>
    </row>
    <row r="4838" customFormat="false" ht="15" hidden="false" customHeight="false" outlineLevel="0" collapsed="false">
      <c r="A4838" s="0" t="s">
        <v>2041</v>
      </c>
      <c r="B4838" s="0" t="s">
        <v>2042</v>
      </c>
      <c r="C4838" s="0" t="s">
        <v>2352</v>
      </c>
      <c r="D4838" s="0" t="s">
        <v>2105</v>
      </c>
      <c r="E4838" s="0" t="s">
        <v>2045</v>
      </c>
      <c r="F4838" s="0" t="s">
        <v>2051</v>
      </c>
      <c r="G4838" s="0" t="s">
        <v>2123</v>
      </c>
      <c r="H4838" s="0" t="s">
        <v>2120</v>
      </c>
      <c r="I4838" s="0" t="s">
        <v>2322</v>
      </c>
      <c r="J4838" s="0" t="s">
        <v>2358</v>
      </c>
      <c r="K4838" s="272" t="n">
        <v>279020.958</v>
      </c>
    </row>
    <row r="4839" customFormat="false" ht="15" hidden="false" customHeight="false" outlineLevel="0" collapsed="false">
      <c r="A4839" s="0" t="s">
        <v>2041</v>
      </c>
      <c r="B4839" s="0" t="s">
        <v>2042</v>
      </c>
      <c r="C4839" s="0" t="s">
        <v>2359</v>
      </c>
      <c r="D4839" s="0" t="s">
        <v>2105</v>
      </c>
      <c r="E4839" s="0" t="s">
        <v>2045</v>
      </c>
      <c r="F4839" s="0" t="s">
        <v>2051</v>
      </c>
      <c r="G4839" s="0" t="s">
        <v>2123</v>
      </c>
      <c r="H4839" s="0" t="s">
        <v>2120</v>
      </c>
      <c r="I4839" s="0" t="s">
        <v>2322</v>
      </c>
      <c r="J4839" s="0" t="s">
        <v>2358</v>
      </c>
      <c r="K4839" s="272" t="n">
        <v>9844.336</v>
      </c>
    </row>
    <row r="4840" customFormat="false" ht="15" hidden="false" customHeight="false" outlineLevel="0" collapsed="false">
      <c r="A4840" s="0" t="s">
        <v>2041</v>
      </c>
      <c r="B4840" s="0" t="s">
        <v>2042</v>
      </c>
      <c r="C4840" s="0" t="s">
        <v>2156</v>
      </c>
      <c r="D4840" s="0" t="s">
        <v>2105</v>
      </c>
      <c r="E4840" s="0" t="s">
        <v>2045</v>
      </c>
      <c r="F4840" s="0" t="s">
        <v>2051</v>
      </c>
      <c r="G4840" s="0" t="s">
        <v>2123</v>
      </c>
      <c r="H4840" s="0" t="s">
        <v>2120</v>
      </c>
      <c r="I4840" s="0" t="s">
        <v>2322</v>
      </c>
      <c r="J4840" s="0" t="s">
        <v>2358</v>
      </c>
      <c r="K4840" s="272" t="n">
        <v>2738353.4</v>
      </c>
    </row>
    <row r="4841" customFormat="false" ht="15" hidden="false" customHeight="false" outlineLevel="0" collapsed="false">
      <c r="A4841" s="0" t="s">
        <v>2041</v>
      </c>
      <c r="B4841" s="0" t="s">
        <v>2042</v>
      </c>
      <c r="C4841" s="0" t="s">
        <v>2161</v>
      </c>
      <c r="D4841" s="0" t="s">
        <v>2105</v>
      </c>
      <c r="E4841" s="0" t="s">
        <v>2045</v>
      </c>
      <c r="F4841" s="0" t="s">
        <v>2051</v>
      </c>
      <c r="G4841" s="0" t="s">
        <v>2123</v>
      </c>
      <c r="H4841" s="0" t="s">
        <v>2120</v>
      </c>
      <c r="I4841" s="0" t="s">
        <v>2322</v>
      </c>
      <c r="J4841" s="0" t="s">
        <v>2358</v>
      </c>
      <c r="K4841" s="272" t="n">
        <v>514820.31</v>
      </c>
    </row>
    <row r="4842" customFormat="false" ht="15" hidden="false" customHeight="false" outlineLevel="0" collapsed="false">
      <c r="A4842" s="0" t="s">
        <v>2041</v>
      </c>
      <c r="B4842" s="0" t="s">
        <v>2042</v>
      </c>
      <c r="C4842" s="0" t="s">
        <v>2349</v>
      </c>
      <c r="D4842" s="0" t="s">
        <v>2105</v>
      </c>
      <c r="E4842" s="0" t="s">
        <v>2045</v>
      </c>
      <c r="F4842" s="0" t="s">
        <v>2051</v>
      </c>
      <c r="G4842" s="0" t="s">
        <v>2123</v>
      </c>
      <c r="H4842" s="0" t="s">
        <v>2120</v>
      </c>
      <c r="I4842" s="0" t="s">
        <v>2322</v>
      </c>
      <c r="J4842" s="0" t="s">
        <v>2358</v>
      </c>
      <c r="K4842" s="272" t="n">
        <v>85770.5099999999</v>
      </c>
    </row>
    <row r="4843" customFormat="false" ht="15" hidden="false" customHeight="false" outlineLevel="0" collapsed="false">
      <c r="A4843" s="0" t="s">
        <v>2041</v>
      </c>
      <c r="B4843" s="0" t="s">
        <v>2042</v>
      </c>
      <c r="C4843" s="0" t="s">
        <v>2352</v>
      </c>
      <c r="D4843" s="0" t="s">
        <v>2105</v>
      </c>
      <c r="E4843" s="0" t="s">
        <v>2045</v>
      </c>
      <c r="F4843" s="0" t="s">
        <v>2051</v>
      </c>
      <c r="G4843" s="0" t="s">
        <v>2123</v>
      </c>
      <c r="H4843" s="0" t="s">
        <v>2121</v>
      </c>
      <c r="I4843" s="0" t="s">
        <v>2124</v>
      </c>
      <c r="J4843" s="0" t="s">
        <v>2358</v>
      </c>
      <c r="K4843" s="272" t="n">
        <v>94857.9</v>
      </c>
    </row>
    <row r="4844" customFormat="false" ht="15" hidden="false" customHeight="false" outlineLevel="0" collapsed="false">
      <c r="A4844" s="0" t="s">
        <v>2041</v>
      </c>
      <c r="B4844" s="0" t="s">
        <v>2042</v>
      </c>
      <c r="C4844" s="0" t="s">
        <v>2156</v>
      </c>
      <c r="D4844" s="0" t="s">
        <v>2105</v>
      </c>
      <c r="E4844" s="0" t="s">
        <v>2045</v>
      </c>
      <c r="F4844" s="0" t="s">
        <v>2051</v>
      </c>
      <c r="G4844" s="0" t="s">
        <v>2123</v>
      </c>
      <c r="H4844" s="0" t="s">
        <v>2121</v>
      </c>
      <c r="I4844" s="0" t="s">
        <v>2124</v>
      </c>
      <c r="J4844" s="0" t="s">
        <v>2358</v>
      </c>
      <c r="K4844" s="272" t="n">
        <v>1052262</v>
      </c>
    </row>
    <row r="4845" customFormat="false" ht="15" hidden="false" customHeight="false" outlineLevel="0" collapsed="false">
      <c r="A4845" s="0" t="s">
        <v>2041</v>
      </c>
      <c r="B4845" s="0" t="s">
        <v>2042</v>
      </c>
      <c r="C4845" s="0" t="s">
        <v>2161</v>
      </c>
      <c r="D4845" s="0" t="s">
        <v>2105</v>
      </c>
      <c r="E4845" s="0" t="s">
        <v>2045</v>
      </c>
      <c r="F4845" s="0" t="s">
        <v>2051</v>
      </c>
      <c r="G4845" s="0" t="s">
        <v>2123</v>
      </c>
      <c r="H4845" s="0" t="s">
        <v>2121</v>
      </c>
      <c r="I4845" s="0" t="s">
        <v>2124</v>
      </c>
      <c r="J4845" s="0" t="s">
        <v>2358</v>
      </c>
      <c r="K4845" s="272" t="n">
        <v>251755.91</v>
      </c>
    </row>
    <row r="4846" customFormat="false" ht="15" hidden="false" customHeight="false" outlineLevel="0" collapsed="false">
      <c r="A4846" s="0" t="s">
        <v>2041</v>
      </c>
      <c r="B4846" s="0" t="s">
        <v>2042</v>
      </c>
      <c r="C4846" s="0" t="s">
        <v>2349</v>
      </c>
      <c r="D4846" s="0" t="s">
        <v>2105</v>
      </c>
      <c r="E4846" s="0" t="s">
        <v>2045</v>
      </c>
      <c r="F4846" s="0" t="s">
        <v>2051</v>
      </c>
      <c r="G4846" s="0" t="s">
        <v>2123</v>
      </c>
      <c r="H4846" s="0" t="s">
        <v>2121</v>
      </c>
      <c r="I4846" s="0" t="s">
        <v>2124</v>
      </c>
      <c r="J4846" s="0" t="s">
        <v>2358</v>
      </c>
      <c r="K4846" s="272" t="n">
        <v>28647.082</v>
      </c>
    </row>
    <row r="4847" customFormat="false" ht="15" hidden="false" customHeight="false" outlineLevel="0" collapsed="false">
      <c r="A4847" s="0" t="s">
        <v>2041</v>
      </c>
      <c r="B4847" s="0" t="s">
        <v>2042</v>
      </c>
      <c r="C4847" s="0" t="s">
        <v>2352</v>
      </c>
      <c r="D4847" s="0" t="s">
        <v>2105</v>
      </c>
      <c r="E4847" s="0" t="s">
        <v>2045</v>
      </c>
      <c r="F4847" s="0" t="s">
        <v>2051</v>
      </c>
      <c r="G4847" s="0" t="s">
        <v>2123</v>
      </c>
      <c r="H4847" s="0" t="s">
        <v>2121</v>
      </c>
      <c r="I4847" s="0" t="s">
        <v>2322</v>
      </c>
      <c r="J4847" s="0" t="s">
        <v>2358</v>
      </c>
      <c r="K4847" s="272" t="n">
        <v>57244.484</v>
      </c>
    </row>
    <row r="4848" customFormat="false" ht="15" hidden="false" customHeight="false" outlineLevel="0" collapsed="false">
      <c r="A4848" s="0" t="s">
        <v>2041</v>
      </c>
      <c r="B4848" s="0" t="s">
        <v>2042</v>
      </c>
      <c r="C4848" s="0" t="s">
        <v>2359</v>
      </c>
      <c r="D4848" s="0" t="s">
        <v>2105</v>
      </c>
      <c r="E4848" s="0" t="s">
        <v>2045</v>
      </c>
      <c r="F4848" s="0" t="s">
        <v>2051</v>
      </c>
      <c r="G4848" s="0" t="s">
        <v>2123</v>
      </c>
      <c r="H4848" s="0" t="s">
        <v>2121</v>
      </c>
      <c r="I4848" s="0" t="s">
        <v>2322</v>
      </c>
      <c r="J4848" s="0" t="s">
        <v>2358</v>
      </c>
      <c r="K4848" s="272" t="n">
        <v>27999.244</v>
      </c>
    </row>
    <row r="4849" customFormat="false" ht="15" hidden="false" customHeight="false" outlineLevel="0" collapsed="false">
      <c r="A4849" s="0" t="s">
        <v>2041</v>
      </c>
      <c r="B4849" s="0" t="s">
        <v>2042</v>
      </c>
      <c r="C4849" s="0" t="s">
        <v>2156</v>
      </c>
      <c r="D4849" s="0" t="s">
        <v>2105</v>
      </c>
      <c r="E4849" s="0" t="s">
        <v>2045</v>
      </c>
      <c r="F4849" s="0" t="s">
        <v>2051</v>
      </c>
      <c r="G4849" s="0" t="s">
        <v>2123</v>
      </c>
      <c r="H4849" s="0" t="s">
        <v>2121</v>
      </c>
      <c r="I4849" s="0" t="s">
        <v>2322</v>
      </c>
      <c r="J4849" s="0" t="s">
        <v>2358</v>
      </c>
      <c r="K4849" s="272" t="n">
        <v>587285.4</v>
      </c>
    </row>
    <row r="4850" customFormat="false" ht="15" hidden="false" customHeight="false" outlineLevel="0" collapsed="false">
      <c r="A4850" s="0" t="s">
        <v>2041</v>
      </c>
      <c r="B4850" s="0" t="s">
        <v>2042</v>
      </c>
      <c r="C4850" s="0" t="s">
        <v>2360</v>
      </c>
      <c r="D4850" s="0" t="s">
        <v>2105</v>
      </c>
      <c r="E4850" s="0" t="s">
        <v>2045</v>
      </c>
      <c r="F4850" s="0" t="s">
        <v>2051</v>
      </c>
      <c r="G4850" s="0" t="s">
        <v>2123</v>
      </c>
      <c r="H4850" s="0" t="s">
        <v>2121</v>
      </c>
      <c r="I4850" s="0" t="s">
        <v>2322</v>
      </c>
      <c r="J4850" s="0" t="s">
        <v>2358</v>
      </c>
      <c r="K4850" s="272" t="n">
        <v>7.4</v>
      </c>
    </row>
    <row r="4851" customFormat="false" ht="15" hidden="false" customHeight="false" outlineLevel="0" collapsed="false">
      <c r="A4851" s="0" t="s">
        <v>2041</v>
      </c>
      <c r="B4851" s="0" t="s">
        <v>2042</v>
      </c>
      <c r="C4851" s="0" t="s">
        <v>2161</v>
      </c>
      <c r="D4851" s="0" t="s">
        <v>2105</v>
      </c>
      <c r="E4851" s="0" t="s">
        <v>2045</v>
      </c>
      <c r="F4851" s="0" t="s">
        <v>2051</v>
      </c>
      <c r="G4851" s="0" t="s">
        <v>2123</v>
      </c>
      <c r="H4851" s="0" t="s">
        <v>2121</v>
      </c>
      <c r="I4851" s="0" t="s">
        <v>2322</v>
      </c>
      <c r="J4851" s="0" t="s">
        <v>2358</v>
      </c>
      <c r="K4851" s="272" t="n">
        <v>151776.9</v>
      </c>
    </row>
    <row r="4852" customFormat="false" ht="15" hidden="false" customHeight="false" outlineLevel="0" collapsed="false">
      <c r="A4852" s="0" t="s">
        <v>2041</v>
      </c>
      <c r="B4852" s="0" t="s">
        <v>2042</v>
      </c>
      <c r="C4852" s="0" t="s">
        <v>2349</v>
      </c>
      <c r="D4852" s="0" t="s">
        <v>2105</v>
      </c>
      <c r="E4852" s="0" t="s">
        <v>2045</v>
      </c>
      <c r="F4852" s="0" t="s">
        <v>2051</v>
      </c>
      <c r="G4852" s="0" t="s">
        <v>2123</v>
      </c>
      <c r="H4852" s="0" t="s">
        <v>2121</v>
      </c>
      <c r="I4852" s="0" t="s">
        <v>2322</v>
      </c>
      <c r="J4852" s="0" t="s">
        <v>2358</v>
      </c>
      <c r="K4852" s="272" t="n">
        <v>20749.204</v>
      </c>
    </row>
    <row r="4853" customFormat="false" ht="15" hidden="false" customHeight="false" outlineLevel="0" collapsed="false">
      <c r="A4853" s="0" t="s">
        <v>2041</v>
      </c>
      <c r="B4853" s="0" t="s">
        <v>2042</v>
      </c>
      <c r="C4853" s="0" t="s">
        <v>2352</v>
      </c>
      <c r="D4853" s="0" t="s">
        <v>2105</v>
      </c>
      <c r="E4853" s="0" t="s">
        <v>2045</v>
      </c>
      <c r="F4853" s="0" t="s">
        <v>2051</v>
      </c>
      <c r="G4853" s="0" t="s">
        <v>2123</v>
      </c>
      <c r="H4853" s="0" t="s">
        <v>2122</v>
      </c>
      <c r="I4853" s="0" t="s">
        <v>2124</v>
      </c>
      <c r="J4853" s="0" t="s">
        <v>2358</v>
      </c>
      <c r="K4853" s="272" t="n">
        <v>158096.5</v>
      </c>
    </row>
    <row r="4854" customFormat="false" ht="15" hidden="false" customHeight="false" outlineLevel="0" collapsed="false">
      <c r="A4854" s="0" t="s">
        <v>2041</v>
      </c>
      <c r="B4854" s="0" t="s">
        <v>2042</v>
      </c>
      <c r="C4854" s="0" t="s">
        <v>2156</v>
      </c>
      <c r="D4854" s="0" t="s">
        <v>2105</v>
      </c>
      <c r="E4854" s="0" t="s">
        <v>2045</v>
      </c>
      <c r="F4854" s="0" t="s">
        <v>2051</v>
      </c>
      <c r="G4854" s="0" t="s">
        <v>2123</v>
      </c>
      <c r="H4854" s="0" t="s">
        <v>2122</v>
      </c>
      <c r="I4854" s="0" t="s">
        <v>2124</v>
      </c>
      <c r="J4854" s="0" t="s">
        <v>2358</v>
      </c>
      <c r="K4854" s="272" t="n">
        <v>1753770</v>
      </c>
    </row>
    <row r="4855" customFormat="false" ht="15" hidden="false" customHeight="false" outlineLevel="0" collapsed="false">
      <c r="A4855" s="0" t="s">
        <v>2041</v>
      </c>
      <c r="B4855" s="0" t="s">
        <v>2042</v>
      </c>
      <c r="C4855" s="0" t="s">
        <v>2161</v>
      </c>
      <c r="D4855" s="0" t="s">
        <v>2105</v>
      </c>
      <c r="E4855" s="0" t="s">
        <v>2045</v>
      </c>
      <c r="F4855" s="0" t="s">
        <v>2051</v>
      </c>
      <c r="G4855" s="0" t="s">
        <v>2123</v>
      </c>
      <c r="H4855" s="0" t="s">
        <v>2122</v>
      </c>
      <c r="I4855" s="0" t="s">
        <v>2124</v>
      </c>
      <c r="J4855" s="0" t="s">
        <v>2358</v>
      </c>
      <c r="K4855" s="272" t="n">
        <v>419593.183333333</v>
      </c>
    </row>
    <row r="4856" customFormat="false" ht="15" hidden="false" customHeight="false" outlineLevel="0" collapsed="false">
      <c r="A4856" s="0" t="s">
        <v>2041</v>
      </c>
      <c r="B4856" s="0" t="s">
        <v>2042</v>
      </c>
      <c r="C4856" s="0" t="s">
        <v>2349</v>
      </c>
      <c r="D4856" s="0" t="s">
        <v>2105</v>
      </c>
      <c r="E4856" s="0" t="s">
        <v>2045</v>
      </c>
      <c r="F4856" s="0" t="s">
        <v>2051</v>
      </c>
      <c r="G4856" s="0" t="s">
        <v>2123</v>
      </c>
      <c r="H4856" s="0" t="s">
        <v>2122</v>
      </c>
      <c r="I4856" s="0" t="s">
        <v>2124</v>
      </c>
      <c r="J4856" s="0" t="s">
        <v>2358</v>
      </c>
      <c r="K4856" s="272" t="n">
        <v>47745.1366666667</v>
      </c>
    </row>
    <row r="4857" customFormat="false" ht="15" hidden="false" customHeight="false" outlineLevel="0" collapsed="false">
      <c r="A4857" s="0" t="s">
        <v>2041</v>
      </c>
      <c r="B4857" s="0" t="s">
        <v>2042</v>
      </c>
      <c r="C4857" s="0" t="s">
        <v>2352</v>
      </c>
      <c r="D4857" s="0" t="s">
        <v>2105</v>
      </c>
      <c r="E4857" s="0" t="s">
        <v>2045</v>
      </c>
      <c r="F4857" s="0" t="s">
        <v>2051</v>
      </c>
      <c r="G4857" s="0" t="s">
        <v>2123</v>
      </c>
      <c r="H4857" s="0" t="s">
        <v>2122</v>
      </c>
      <c r="I4857" s="0" t="s">
        <v>2322</v>
      </c>
      <c r="J4857" s="0" t="s">
        <v>2358</v>
      </c>
      <c r="K4857" s="272" t="n">
        <v>269809.2</v>
      </c>
    </row>
    <row r="4858" customFormat="false" ht="15" hidden="false" customHeight="false" outlineLevel="0" collapsed="false">
      <c r="A4858" s="0" t="s">
        <v>2041</v>
      </c>
      <c r="B4858" s="0" t="s">
        <v>2042</v>
      </c>
      <c r="C4858" s="0" t="s">
        <v>2156</v>
      </c>
      <c r="D4858" s="0" t="s">
        <v>2105</v>
      </c>
      <c r="E4858" s="0" t="s">
        <v>2045</v>
      </c>
      <c r="F4858" s="0" t="s">
        <v>2051</v>
      </c>
      <c r="G4858" s="0" t="s">
        <v>2123</v>
      </c>
      <c r="H4858" s="0" t="s">
        <v>2122</v>
      </c>
      <c r="I4858" s="0" t="s">
        <v>2322</v>
      </c>
      <c r="J4858" s="0" t="s">
        <v>2358</v>
      </c>
      <c r="K4858" s="272" t="n">
        <v>2600000</v>
      </c>
    </row>
    <row r="4859" customFormat="false" ht="15" hidden="false" customHeight="false" outlineLevel="0" collapsed="false">
      <c r="A4859" s="0" t="s">
        <v>2041</v>
      </c>
      <c r="B4859" s="0" t="s">
        <v>2042</v>
      </c>
      <c r="C4859" s="0" t="s">
        <v>2161</v>
      </c>
      <c r="D4859" s="0" t="s">
        <v>2105</v>
      </c>
      <c r="E4859" s="0" t="s">
        <v>2045</v>
      </c>
      <c r="F4859" s="0" t="s">
        <v>2051</v>
      </c>
      <c r="G4859" s="0" t="s">
        <v>2123</v>
      </c>
      <c r="H4859" s="0" t="s">
        <v>2122</v>
      </c>
      <c r="I4859" s="0" t="s">
        <v>2322</v>
      </c>
      <c r="J4859" s="0" t="s">
        <v>2358</v>
      </c>
      <c r="K4859" s="272" t="n">
        <v>457423.786666667</v>
      </c>
    </row>
    <row r="4860" customFormat="false" ht="15" hidden="false" customHeight="false" outlineLevel="0" collapsed="false">
      <c r="A4860" s="0" t="s">
        <v>2041</v>
      </c>
      <c r="B4860" s="0" t="s">
        <v>2042</v>
      </c>
      <c r="C4860" s="0" t="s">
        <v>2349</v>
      </c>
      <c r="D4860" s="0" t="s">
        <v>2105</v>
      </c>
      <c r="E4860" s="0" t="s">
        <v>2045</v>
      </c>
      <c r="F4860" s="0" t="s">
        <v>2051</v>
      </c>
      <c r="G4860" s="0" t="s">
        <v>2123</v>
      </c>
      <c r="H4860" s="0" t="s">
        <v>2122</v>
      </c>
      <c r="I4860" s="0" t="s">
        <v>2322</v>
      </c>
      <c r="J4860" s="0" t="s">
        <v>2358</v>
      </c>
      <c r="K4860" s="272" t="n">
        <v>81482.3813333333</v>
      </c>
    </row>
    <row r="4861" customFormat="false" ht="15" hidden="false" customHeight="false" outlineLevel="0" collapsed="false">
      <c r="A4861" s="0" t="s">
        <v>2041</v>
      </c>
      <c r="B4861" s="0" t="s">
        <v>2042</v>
      </c>
      <c r="C4861" s="0" t="s">
        <v>2352</v>
      </c>
      <c r="D4861" s="0" t="s">
        <v>2105</v>
      </c>
      <c r="E4861" s="0" t="s">
        <v>2045</v>
      </c>
      <c r="F4861" s="0" t="s">
        <v>2051</v>
      </c>
      <c r="G4861" s="0" t="s">
        <v>2123</v>
      </c>
      <c r="H4861" s="0" t="s">
        <v>2112</v>
      </c>
      <c r="I4861" s="0" t="s">
        <v>2124</v>
      </c>
      <c r="J4861" s="0" t="s">
        <v>2358</v>
      </c>
      <c r="K4861" s="272" t="n">
        <v>63238.6</v>
      </c>
    </row>
    <row r="4862" customFormat="false" ht="15" hidden="false" customHeight="false" outlineLevel="0" collapsed="false">
      <c r="A4862" s="0" t="s">
        <v>2041</v>
      </c>
      <c r="B4862" s="0" t="s">
        <v>2042</v>
      </c>
      <c r="C4862" s="0" t="s">
        <v>2156</v>
      </c>
      <c r="D4862" s="0" t="s">
        <v>2105</v>
      </c>
      <c r="E4862" s="0" t="s">
        <v>2045</v>
      </c>
      <c r="F4862" s="0" t="s">
        <v>2051</v>
      </c>
      <c r="G4862" s="0" t="s">
        <v>2123</v>
      </c>
      <c r="H4862" s="0" t="s">
        <v>2112</v>
      </c>
      <c r="I4862" s="0" t="s">
        <v>2124</v>
      </c>
      <c r="J4862" s="0" t="s">
        <v>2358</v>
      </c>
      <c r="K4862" s="272" t="n">
        <v>701508</v>
      </c>
    </row>
    <row r="4863" customFormat="false" ht="15" hidden="false" customHeight="false" outlineLevel="0" collapsed="false">
      <c r="A4863" s="0" t="s">
        <v>2041</v>
      </c>
      <c r="B4863" s="0" t="s">
        <v>2042</v>
      </c>
      <c r="C4863" s="0" t="s">
        <v>2161</v>
      </c>
      <c r="D4863" s="0" t="s">
        <v>2105</v>
      </c>
      <c r="E4863" s="0" t="s">
        <v>2045</v>
      </c>
      <c r="F4863" s="0" t="s">
        <v>2051</v>
      </c>
      <c r="G4863" s="0" t="s">
        <v>2123</v>
      </c>
      <c r="H4863" s="0" t="s">
        <v>2112</v>
      </c>
      <c r="I4863" s="0" t="s">
        <v>2124</v>
      </c>
      <c r="J4863" s="0" t="s">
        <v>2358</v>
      </c>
      <c r="K4863" s="272" t="n">
        <v>167837.273333333</v>
      </c>
    </row>
    <row r="4864" customFormat="false" ht="15" hidden="false" customHeight="false" outlineLevel="0" collapsed="false">
      <c r="A4864" s="0" t="s">
        <v>2041</v>
      </c>
      <c r="B4864" s="0" t="s">
        <v>2042</v>
      </c>
      <c r="C4864" s="0" t="s">
        <v>2349</v>
      </c>
      <c r="D4864" s="0" t="s">
        <v>2105</v>
      </c>
      <c r="E4864" s="0" t="s">
        <v>2045</v>
      </c>
      <c r="F4864" s="0" t="s">
        <v>2051</v>
      </c>
      <c r="G4864" s="0" t="s">
        <v>2123</v>
      </c>
      <c r="H4864" s="0" t="s">
        <v>2112</v>
      </c>
      <c r="I4864" s="0" t="s">
        <v>2124</v>
      </c>
      <c r="J4864" s="0" t="s">
        <v>2358</v>
      </c>
      <c r="K4864" s="272" t="n">
        <v>19098.0546666667</v>
      </c>
    </row>
    <row r="4865" customFormat="false" ht="15" hidden="false" customHeight="false" outlineLevel="0" collapsed="false">
      <c r="A4865" s="0" t="s">
        <v>2041</v>
      </c>
      <c r="B4865" s="0" t="s">
        <v>2042</v>
      </c>
      <c r="C4865" s="0" t="s">
        <v>2352</v>
      </c>
      <c r="D4865" s="0" t="s">
        <v>2105</v>
      </c>
      <c r="E4865" s="0" t="s">
        <v>2045</v>
      </c>
      <c r="F4865" s="0" t="s">
        <v>2051</v>
      </c>
      <c r="G4865" s="0" t="s">
        <v>2123</v>
      </c>
      <c r="H4865" s="0" t="s">
        <v>2112</v>
      </c>
      <c r="I4865" s="0" t="s">
        <v>2322</v>
      </c>
      <c r="J4865" s="0" t="s">
        <v>2358</v>
      </c>
      <c r="K4865" s="272" t="n">
        <v>281801.65</v>
      </c>
    </row>
    <row r="4866" customFormat="false" ht="15" hidden="false" customHeight="false" outlineLevel="0" collapsed="false">
      <c r="A4866" s="0" t="s">
        <v>2041</v>
      </c>
      <c r="B4866" s="0" t="s">
        <v>2042</v>
      </c>
      <c r="C4866" s="0" t="s">
        <v>2359</v>
      </c>
      <c r="D4866" s="0" t="s">
        <v>2105</v>
      </c>
      <c r="E4866" s="0" t="s">
        <v>2045</v>
      </c>
      <c r="F4866" s="0" t="s">
        <v>2051</v>
      </c>
      <c r="G4866" s="0" t="s">
        <v>2123</v>
      </c>
      <c r="H4866" s="0" t="s">
        <v>2112</v>
      </c>
      <c r="I4866" s="0" t="s">
        <v>2322</v>
      </c>
      <c r="J4866" s="0" t="s">
        <v>2358</v>
      </c>
      <c r="K4866" s="272" t="n">
        <v>95162.572</v>
      </c>
    </row>
    <row r="4867" customFormat="false" ht="15" hidden="false" customHeight="false" outlineLevel="0" collapsed="false">
      <c r="A4867" s="0" t="s">
        <v>2041</v>
      </c>
      <c r="B4867" s="0" t="s">
        <v>2042</v>
      </c>
      <c r="C4867" s="0" t="s">
        <v>2156</v>
      </c>
      <c r="D4867" s="0" t="s">
        <v>2105</v>
      </c>
      <c r="E4867" s="0" t="s">
        <v>2045</v>
      </c>
      <c r="F4867" s="0" t="s">
        <v>2051</v>
      </c>
      <c r="G4867" s="0" t="s">
        <v>2123</v>
      </c>
      <c r="H4867" s="0" t="s">
        <v>2112</v>
      </c>
      <c r="I4867" s="0" t="s">
        <v>2322</v>
      </c>
      <c r="J4867" s="0" t="s">
        <v>2358</v>
      </c>
      <c r="K4867" s="272" t="n">
        <v>4260895.4</v>
      </c>
    </row>
    <row r="4868" customFormat="false" ht="15" hidden="false" customHeight="false" outlineLevel="0" collapsed="false">
      <c r="A4868" s="0" t="s">
        <v>2041</v>
      </c>
      <c r="B4868" s="0" t="s">
        <v>2042</v>
      </c>
      <c r="C4868" s="0" t="s">
        <v>2161</v>
      </c>
      <c r="D4868" s="0" t="s">
        <v>2105</v>
      </c>
      <c r="E4868" s="0" t="s">
        <v>2045</v>
      </c>
      <c r="F4868" s="0" t="s">
        <v>2051</v>
      </c>
      <c r="G4868" s="0" t="s">
        <v>2123</v>
      </c>
      <c r="H4868" s="0" t="s">
        <v>2112</v>
      </c>
      <c r="I4868" s="0" t="s">
        <v>2322</v>
      </c>
      <c r="J4868" s="0" t="s">
        <v>2358</v>
      </c>
      <c r="K4868" s="272" t="n">
        <v>851632.59</v>
      </c>
    </row>
    <row r="4869" customFormat="false" ht="15" hidden="false" customHeight="false" outlineLevel="0" collapsed="false">
      <c r="A4869" s="0" t="s">
        <v>2041</v>
      </c>
      <c r="B4869" s="0" t="s">
        <v>2042</v>
      </c>
      <c r="C4869" s="0" t="s">
        <v>2349</v>
      </c>
      <c r="D4869" s="0" t="s">
        <v>2105</v>
      </c>
      <c r="E4869" s="0" t="s">
        <v>2045</v>
      </c>
      <c r="F4869" s="0" t="s">
        <v>2051</v>
      </c>
      <c r="G4869" s="0" t="s">
        <v>2123</v>
      </c>
      <c r="H4869" s="0" t="s">
        <v>2112</v>
      </c>
      <c r="I4869" s="0" t="s">
        <v>2322</v>
      </c>
      <c r="J4869" s="0" t="s">
        <v>2358</v>
      </c>
      <c r="K4869" s="272" t="n">
        <v>99663.9719999998</v>
      </c>
    </row>
    <row r="4870" customFormat="false" ht="15" hidden="false" customHeight="false" outlineLevel="0" collapsed="false">
      <c r="A4870" s="0" t="s">
        <v>2041</v>
      </c>
      <c r="B4870" s="0" t="s">
        <v>2042</v>
      </c>
      <c r="C4870" s="0" t="s">
        <v>2352</v>
      </c>
      <c r="D4870" s="0" t="s">
        <v>2105</v>
      </c>
      <c r="E4870" s="0" t="s">
        <v>2045</v>
      </c>
      <c r="F4870" s="0" t="s">
        <v>2051</v>
      </c>
      <c r="G4870" s="0" t="s">
        <v>2123</v>
      </c>
      <c r="H4870" s="0" t="s">
        <v>2113</v>
      </c>
      <c r="I4870" s="0" t="s">
        <v>2322</v>
      </c>
      <c r="J4870" s="0" t="s">
        <v>2358</v>
      </c>
      <c r="K4870" s="272" t="n">
        <v>1504247.156</v>
      </c>
    </row>
    <row r="4871" customFormat="false" ht="15" hidden="false" customHeight="false" outlineLevel="0" collapsed="false">
      <c r="A4871" s="0" t="s">
        <v>2041</v>
      </c>
      <c r="B4871" s="0" t="s">
        <v>2042</v>
      </c>
      <c r="C4871" s="0" t="s">
        <v>2359</v>
      </c>
      <c r="D4871" s="0" t="s">
        <v>2105</v>
      </c>
      <c r="E4871" s="0" t="s">
        <v>2045</v>
      </c>
      <c r="F4871" s="0" t="s">
        <v>2051</v>
      </c>
      <c r="G4871" s="0" t="s">
        <v>2123</v>
      </c>
      <c r="H4871" s="0" t="s">
        <v>2113</v>
      </c>
      <c r="I4871" s="0" t="s">
        <v>2322</v>
      </c>
      <c r="J4871" s="0" t="s">
        <v>2358</v>
      </c>
      <c r="K4871" s="272" t="n">
        <v>553142.331</v>
      </c>
    </row>
    <row r="4872" customFormat="false" ht="15" hidden="false" customHeight="false" outlineLevel="0" collapsed="false">
      <c r="A4872" s="0" t="s">
        <v>2041</v>
      </c>
      <c r="B4872" s="0" t="s">
        <v>2042</v>
      </c>
      <c r="C4872" s="0" t="s">
        <v>2156</v>
      </c>
      <c r="D4872" s="0" t="s">
        <v>2105</v>
      </c>
      <c r="E4872" s="0" t="s">
        <v>2045</v>
      </c>
      <c r="F4872" s="0" t="s">
        <v>2051</v>
      </c>
      <c r="G4872" s="0" t="s">
        <v>2123</v>
      </c>
      <c r="H4872" s="0" t="s">
        <v>2113</v>
      </c>
      <c r="I4872" s="0" t="s">
        <v>2322</v>
      </c>
      <c r="J4872" s="0" t="s">
        <v>2358</v>
      </c>
      <c r="K4872" s="272" t="n">
        <v>16474618.4</v>
      </c>
    </row>
    <row r="4873" customFormat="false" ht="15" hidden="false" customHeight="false" outlineLevel="0" collapsed="false">
      <c r="A4873" s="0" t="s">
        <v>2041</v>
      </c>
      <c r="B4873" s="0" t="s">
        <v>2042</v>
      </c>
      <c r="C4873" s="0" t="s">
        <v>2360</v>
      </c>
      <c r="D4873" s="0" t="s">
        <v>2105</v>
      </c>
      <c r="E4873" s="0" t="s">
        <v>2045</v>
      </c>
      <c r="F4873" s="0" t="s">
        <v>2051</v>
      </c>
      <c r="G4873" s="0" t="s">
        <v>2123</v>
      </c>
      <c r="H4873" s="0" t="s">
        <v>2113</v>
      </c>
      <c r="I4873" s="0" t="s">
        <v>2322</v>
      </c>
      <c r="J4873" s="0" t="s">
        <v>2358</v>
      </c>
      <c r="K4873" s="272" t="n">
        <v>22.2</v>
      </c>
    </row>
    <row r="4874" customFormat="false" ht="15" hidden="false" customHeight="false" outlineLevel="0" collapsed="false">
      <c r="A4874" s="0" t="s">
        <v>2041</v>
      </c>
      <c r="B4874" s="0" t="s">
        <v>2042</v>
      </c>
      <c r="C4874" s="0" t="s">
        <v>2161</v>
      </c>
      <c r="D4874" s="0" t="s">
        <v>2105</v>
      </c>
      <c r="E4874" s="0" t="s">
        <v>2045</v>
      </c>
      <c r="F4874" s="0" t="s">
        <v>2051</v>
      </c>
      <c r="G4874" s="0" t="s">
        <v>2123</v>
      </c>
      <c r="H4874" s="0" t="s">
        <v>2113</v>
      </c>
      <c r="I4874" s="0" t="s">
        <v>2322</v>
      </c>
      <c r="J4874" s="0" t="s">
        <v>2358</v>
      </c>
      <c r="K4874" s="272" t="n">
        <v>3763111.9</v>
      </c>
    </row>
    <row r="4875" customFormat="false" ht="15" hidden="false" customHeight="false" outlineLevel="0" collapsed="false">
      <c r="A4875" s="0" t="s">
        <v>2041</v>
      </c>
      <c r="B4875" s="0" t="s">
        <v>2042</v>
      </c>
      <c r="C4875" s="0" t="s">
        <v>2349</v>
      </c>
      <c r="D4875" s="0" t="s">
        <v>2105</v>
      </c>
      <c r="E4875" s="0" t="s">
        <v>2045</v>
      </c>
      <c r="F4875" s="0" t="s">
        <v>2051</v>
      </c>
      <c r="G4875" s="0" t="s">
        <v>2123</v>
      </c>
      <c r="H4875" s="0" t="s">
        <v>2113</v>
      </c>
      <c r="I4875" s="0" t="s">
        <v>2322</v>
      </c>
      <c r="J4875" s="0" t="s">
        <v>2358</v>
      </c>
      <c r="K4875" s="272" t="n">
        <v>536048</v>
      </c>
    </row>
    <row r="4876" customFormat="false" ht="15" hidden="false" customHeight="false" outlineLevel="0" collapsed="false">
      <c r="A4876" s="0" t="s">
        <v>2041</v>
      </c>
      <c r="B4876" s="0" t="s">
        <v>2042</v>
      </c>
      <c r="C4876" s="0" t="s">
        <v>2347</v>
      </c>
      <c r="D4876" s="0" t="s">
        <v>2105</v>
      </c>
      <c r="E4876" s="0" t="s">
        <v>2045</v>
      </c>
      <c r="F4876" s="0" t="s">
        <v>2051</v>
      </c>
      <c r="G4876" s="0" t="s">
        <v>2123</v>
      </c>
      <c r="H4876" s="0" t="s">
        <v>2113</v>
      </c>
      <c r="I4876" s="0" t="s">
        <v>2322</v>
      </c>
      <c r="J4876" s="0" t="s">
        <v>2358</v>
      </c>
      <c r="K4876" s="272" t="n">
        <v>7961.86</v>
      </c>
    </row>
    <row r="4877" customFormat="false" ht="15" hidden="false" customHeight="false" outlineLevel="0" collapsed="false">
      <c r="A4877" s="0" t="s">
        <v>2041</v>
      </c>
      <c r="B4877" s="0" t="s">
        <v>2042</v>
      </c>
      <c r="C4877" s="0" t="s">
        <v>2352</v>
      </c>
      <c r="D4877" s="0" t="s">
        <v>2105</v>
      </c>
      <c r="E4877" s="0" t="s">
        <v>2045</v>
      </c>
      <c r="F4877" s="0" t="s">
        <v>2051</v>
      </c>
      <c r="G4877" s="0" t="s">
        <v>2123</v>
      </c>
      <c r="H4877" s="0" t="s">
        <v>2107</v>
      </c>
      <c r="I4877" s="0" t="s">
        <v>2322</v>
      </c>
      <c r="J4877" s="0" t="s">
        <v>2358</v>
      </c>
      <c r="K4877" s="272" t="n">
        <v>1347524.71</v>
      </c>
    </row>
    <row r="4878" customFormat="false" ht="15" hidden="false" customHeight="false" outlineLevel="0" collapsed="false">
      <c r="A4878" s="0" t="s">
        <v>2041</v>
      </c>
      <c r="B4878" s="0" t="s">
        <v>2042</v>
      </c>
      <c r="C4878" s="0" t="s">
        <v>2359</v>
      </c>
      <c r="D4878" s="0" t="s">
        <v>2105</v>
      </c>
      <c r="E4878" s="0" t="s">
        <v>2045</v>
      </c>
      <c r="F4878" s="0" t="s">
        <v>2051</v>
      </c>
      <c r="G4878" s="0" t="s">
        <v>2123</v>
      </c>
      <c r="H4878" s="0" t="s">
        <v>2107</v>
      </c>
      <c r="I4878" s="0" t="s">
        <v>2322</v>
      </c>
      <c r="J4878" s="0" t="s">
        <v>2358</v>
      </c>
      <c r="K4878" s="272" t="n">
        <v>85323.81</v>
      </c>
    </row>
    <row r="4879" customFormat="false" ht="15" hidden="false" customHeight="false" outlineLevel="0" collapsed="false">
      <c r="A4879" s="0" t="s">
        <v>2041</v>
      </c>
      <c r="B4879" s="0" t="s">
        <v>2042</v>
      </c>
      <c r="C4879" s="0" t="s">
        <v>2156</v>
      </c>
      <c r="D4879" s="0" t="s">
        <v>2105</v>
      </c>
      <c r="E4879" s="0" t="s">
        <v>2045</v>
      </c>
      <c r="F4879" s="0" t="s">
        <v>2051</v>
      </c>
      <c r="G4879" s="0" t="s">
        <v>2123</v>
      </c>
      <c r="H4879" s="0" t="s">
        <v>2107</v>
      </c>
      <c r="I4879" s="0" t="s">
        <v>2322</v>
      </c>
      <c r="J4879" s="0" t="s">
        <v>2358</v>
      </c>
      <c r="K4879" s="272" t="n">
        <v>20841693</v>
      </c>
    </row>
    <row r="4880" customFormat="false" ht="15" hidden="false" customHeight="false" outlineLevel="0" collapsed="false">
      <c r="A4880" s="0" t="s">
        <v>2041</v>
      </c>
      <c r="B4880" s="0" t="s">
        <v>2042</v>
      </c>
      <c r="C4880" s="0" t="s">
        <v>2161</v>
      </c>
      <c r="D4880" s="0" t="s">
        <v>2105</v>
      </c>
      <c r="E4880" s="0" t="s">
        <v>2045</v>
      </c>
      <c r="F4880" s="0" t="s">
        <v>2051</v>
      </c>
      <c r="G4880" s="0" t="s">
        <v>2123</v>
      </c>
      <c r="H4880" s="0" t="s">
        <v>2107</v>
      </c>
      <c r="I4880" s="0" t="s">
        <v>2322</v>
      </c>
      <c r="J4880" s="0" t="s">
        <v>2358</v>
      </c>
      <c r="K4880" s="272" t="n">
        <v>3455240.1</v>
      </c>
    </row>
    <row r="4881" customFormat="false" ht="15" hidden="false" customHeight="false" outlineLevel="0" collapsed="false">
      <c r="A4881" s="0" t="s">
        <v>2041</v>
      </c>
      <c r="B4881" s="0" t="s">
        <v>2042</v>
      </c>
      <c r="C4881" s="0" t="s">
        <v>2349</v>
      </c>
      <c r="D4881" s="0" t="s">
        <v>2105</v>
      </c>
      <c r="E4881" s="0" t="s">
        <v>2045</v>
      </c>
      <c r="F4881" s="0" t="s">
        <v>2051</v>
      </c>
      <c r="G4881" s="0" t="s">
        <v>2123</v>
      </c>
      <c r="H4881" s="0" t="s">
        <v>2107</v>
      </c>
      <c r="I4881" s="0" t="s">
        <v>2322</v>
      </c>
      <c r="J4881" s="0" t="s">
        <v>2358</v>
      </c>
      <c r="K4881" s="272" t="n">
        <v>420007</v>
      </c>
    </row>
    <row r="4882" customFormat="false" ht="15" hidden="false" customHeight="false" outlineLevel="0" collapsed="false">
      <c r="A4882" s="0" t="s">
        <v>2041</v>
      </c>
      <c r="B4882" s="0" t="s">
        <v>2042</v>
      </c>
      <c r="C4882" s="0" t="s">
        <v>2352</v>
      </c>
      <c r="D4882" s="0" t="s">
        <v>2105</v>
      </c>
      <c r="E4882" s="0" t="s">
        <v>2045</v>
      </c>
      <c r="F4882" s="0" t="s">
        <v>2046</v>
      </c>
      <c r="G4882" s="0" t="s">
        <v>2125</v>
      </c>
      <c r="H4882" s="0" t="s">
        <v>2126</v>
      </c>
      <c r="I4882" s="0" t="s">
        <v>2124</v>
      </c>
      <c r="J4882" s="0" t="s">
        <v>2358</v>
      </c>
      <c r="K4882" s="272" t="n">
        <v>1583333.34</v>
      </c>
    </row>
    <row r="4883" customFormat="false" ht="15" hidden="false" customHeight="false" outlineLevel="0" collapsed="false">
      <c r="A4883" s="0" t="s">
        <v>2041</v>
      </c>
      <c r="B4883" s="0" t="s">
        <v>2042</v>
      </c>
      <c r="C4883" s="0" t="s">
        <v>2359</v>
      </c>
      <c r="D4883" s="0" t="s">
        <v>2105</v>
      </c>
      <c r="E4883" s="0" t="s">
        <v>2045</v>
      </c>
      <c r="F4883" s="0" t="s">
        <v>2046</v>
      </c>
      <c r="G4883" s="0" t="s">
        <v>2125</v>
      </c>
      <c r="H4883" s="0" t="s">
        <v>2126</v>
      </c>
      <c r="I4883" s="0" t="s">
        <v>2124</v>
      </c>
      <c r="J4883" s="0" t="s">
        <v>2358</v>
      </c>
      <c r="K4883" s="272" t="n">
        <v>78856.89</v>
      </c>
    </row>
    <row r="4884" customFormat="false" ht="15" hidden="false" customHeight="false" outlineLevel="0" collapsed="false">
      <c r="A4884" s="0" t="s">
        <v>2041</v>
      </c>
      <c r="B4884" s="0" t="s">
        <v>2042</v>
      </c>
      <c r="C4884" s="0" t="s">
        <v>2361</v>
      </c>
      <c r="D4884" s="0" t="s">
        <v>2105</v>
      </c>
      <c r="E4884" s="0" t="s">
        <v>2045</v>
      </c>
      <c r="F4884" s="0" t="s">
        <v>2046</v>
      </c>
      <c r="G4884" s="0" t="s">
        <v>2125</v>
      </c>
      <c r="H4884" s="0" t="s">
        <v>2126</v>
      </c>
      <c r="I4884" s="0" t="s">
        <v>2124</v>
      </c>
      <c r="J4884" s="0" t="s">
        <v>2358</v>
      </c>
      <c r="K4884" s="272" t="n">
        <v>537354.49</v>
      </c>
    </row>
    <row r="4885" customFormat="false" ht="15" hidden="false" customHeight="false" outlineLevel="0" collapsed="false">
      <c r="A4885" s="0" t="s">
        <v>2041</v>
      </c>
      <c r="B4885" s="0" t="s">
        <v>2042</v>
      </c>
      <c r="C4885" s="0" t="s">
        <v>2156</v>
      </c>
      <c r="D4885" s="0" t="s">
        <v>2105</v>
      </c>
      <c r="E4885" s="0" t="s">
        <v>2045</v>
      </c>
      <c r="F4885" s="0" t="s">
        <v>2046</v>
      </c>
      <c r="G4885" s="0" t="s">
        <v>2125</v>
      </c>
      <c r="H4885" s="0" t="s">
        <v>2126</v>
      </c>
      <c r="I4885" s="0" t="s">
        <v>2124</v>
      </c>
      <c r="J4885" s="0" t="s">
        <v>2358</v>
      </c>
      <c r="K4885" s="272" t="n">
        <v>25000000</v>
      </c>
    </row>
    <row r="4886" customFormat="false" ht="15" hidden="false" customHeight="false" outlineLevel="0" collapsed="false">
      <c r="A4886" s="0" t="s">
        <v>2041</v>
      </c>
      <c r="B4886" s="0" t="s">
        <v>2042</v>
      </c>
      <c r="C4886" s="0" t="s">
        <v>2161</v>
      </c>
      <c r="D4886" s="0" t="s">
        <v>2105</v>
      </c>
      <c r="E4886" s="0" t="s">
        <v>2045</v>
      </c>
      <c r="F4886" s="0" t="s">
        <v>2046</v>
      </c>
      <c r="G4886" s="0" t="s">
        <v>2125</v>
      </c>
      <c r="H4886" s="0" t="s">
        <v>2126</v>
      </c>
      <c r="I4886" s="0" t="s">
        <v>2124</v>
      </c>
      <c r="J4886" s="0" t="s">
        <v>2358</v>
      </c>
      <c r="K4886" s="272" t="n">
        <v>3825000</v>
      </c>
    </row>
    <row r="4887" customFormat="false" ht="15" hidden="false" customHeight="false" outlineLevel="0" collapsed="false">
      <c r="A4887" s="0" t="s">
        <v>2041</v>
      </c>
      <c r="B4887" s="0" t="s">
        <v>2042</v>
      </c>
      <c r="C4887" s="0" t="s">
        <v>2349</v>
      </c>
      <c r="D4887" s="0" t="s">
        <v>2105</v>
      </c>
      <c r="E4887" s="0" t="s">
        <v>2045</v>
      </c>
      <c r="F4887" s="0" t="s">
        <v>2046</v>
      </c>
      <c r="G4887" s="0" t="s">
        <v>2125</v>
      </c>
      <c r="H4887" s="0" t="s">
        <v>2126</v>
      </c>
      <c r="I4887" s="0" t="s">
        <v>2124</v>
      </c>
      <c r="J4887" s="0" t="s">
        <v>2358</v>
      </c>
      <c r="K4887" s="272" t="n">
        <v>554456.87</v>
      </c>
    </row>
    <row r="4888" customFormat="false" ht="15" hidden="false" customHeight="false" outlineLevel="0" collapsed="false">
      <c r="A4888" s="0" t="s">
        <v>2041</v>
      </c>
      <c r="B4888" s="0" t="s">
        <v>2042</v>
      </c>
      <c r="C4888" s="0" t="s">
        <v>2352</v>
      </c>
      <c r="D4888" s="0" t="s">
        <v>2105</v>
      </c>
      <c r="E4888" s="0" t="s">
        <v>2045</v>
      </c>
      <c r="F4888" s="0" t="s">
        <v>2046</v>
      </c>
      <c r="G4888" s="0" t="s">
        <v>2125</v>
      </c>
      <c r="H4888" s="0" t="s">
        <v>2126</v>
      </c>
      <c r="I4888" s="0" t="s">
        <v>2322</v>
      </c>
      <c r="J4888" s="0" t="s">
        <v>2358</v>
      </c>
      <c r="K4888" s="272" t="n">
        <v>7131900</v>
      </c>
    </row>
    <row r="4889" customFormat="false" ht="15" hidden="false" customHeight="false" outlineLevel="0" collapsed="false">
      <c r="A4889" s="0" t="s">
        <v>2041</v>
      </c>
      <c r="B4889" s="0" t="s">
        <v>2042</v>
      </c>
      <c r="C4889" s="0" t="s">
        <v>2359</v>
      </c>
      <c r="D4889" s="0" t="s">
        <v>2105</v>
      </c>
      <c r="E4889" s="0" t="s">
        <v>2045</v>
      </c>
      <c r="F4889" s="0" t="s">
        <v>2046</v>
      </c>
      <c r="G4889" s="0" t="s">
        <v>2125</v>
      </c>
      <c r="H4889" s="0" t="s">
        <v>2126</v>
      </c>
      <c r="I4889" s="0" t="s">
        <v>2322</v>
      </c>
      <c r="J4889" s="0" t="s">
        <v>2358</v>
      </c>
      <c r="K4889" s="272" t="n">
        <v>4761506.11</v>
      </c>
    </row>
    <row r="4890" customFormat="false" ht="15" hidden="false" customHeight="false" outlineLevel="0" collapsed="false">
      <c r="A4890" s="0" t="s">
        <v>2041</v>
      </c>
      <c r="B4890" s="0" t="s">
        <v>2042</v>
      </c>
      <c r="C4890" s="0" t="s">
        <v>2364</v>
      </c>
      <c r="D4890" s="0" t="s">
        <v>2105</v>
      </c>
      <c r="E4890" s="0" t="s">
        <v>2045</v>
      </c>
      <c r="F4890" s="0" t="s">
        <v>2046</v>
      </c>
      <c r="G4890" s="0" t="s">
        <v>2125</v>
      </c>
      <c r="H4890" s="0" t="s">
        <v>2126</v>
      </c>
      <c r="I4890" s="0" t="s">
        <v>2322</v>
      </c>
      <c r="J4890" s="0" t="s">
        <v>2358</v>
      </c>
      <c r="K4890" s="272" t="n">
        <v>170000</v>
      </c>
    </row>
    <row r="4891" customFormat="false" ht="15" hidden="false" customHeight="false" outlineLevel="0" collapsed="false">
      <c r="A4891" s="0" t="s">
        <v>2041</v>
      </c>
      <c r="B4891" s="0" t="s">
        <v>2042</v>
      </c>
      <c r="C4891" s="0" t="s">
        <v>2361</v>
      </c>
      <c r="D4891" s="0" t="s">
        <v>2105</v>
      </c>
      <c r="E4891" s="0" t="s">
        <v>2045</v>
      </c>
      <c r="F4891" s="0" t="s">
        <v>2046</v>
      </c>
      <c r="G4891" s="0" t="s">
        <v>2125</v>
      </c>
      <c r="H4891" s="0" t="s">
        <v>2126</v>
      </c>
      <c r="I4891" s="0" t="s">
        <v>2322</v>
      </c>
      <c r="J4891" s="0" t="s">
        <v>2358</v>
      </c>
      <c r="K4891" s="272" t="n">
        <v>4203084.67</v>
      </c>
    </row>
    <row r="4892" customFormat="false" ht="15" hidden="false" customHeight="false" outlineLevel="0" collapsed="false">
      <c r="A4892" s="0" t="s">
        <v>2041</v>
      </c>
      <c r="B4892" s="0" t="s">
        <v>2042</v>
      </c>
      <c r="C4892" s="0" t="s">
        <v>2156</v>
      </c>
      <c r="D4892" s="0" t="s">
        <v>2105</v>
      </c>
      <c r="E4892" s="0" t="s">
        <v>2045</v>
      </c>
      <c r="F4892" s="0" t="s">
        <v>2046</v>
      </c>
      <c r="G4892" s="0" t="s">
        <v>2125</v>
      </c>
      <c r="H4892" s="0" t="s">
        <v>2126</v>
      </c>
      <c r="I4892" s="0" t="s">
        <v>2322</v>
      </c>
      <c r="J4892" s="0" t="s">
        <v>2358</v>
      </c>
      <c r="K4892" s="272" t="n">
        <v>155031655</v>
      </c>
    </row>
    <row r="4893" customFormat="false" ht="15" hidden="false" customHeight="false" outlineLevel="0" collapsed="false">
      <c r="A4893" s="0" t="s">
        <v>2041</v>
      </c>
      <c r="B4893" s="0" t="s">
        <v>2042</v>
      </c>
      <c r="C4893" s="0" t="s">
        <v>2360</v>
      </c>
      <c r="D4893" s="0" t="s">
        <v>2105</v>
      </c>
      <c r="E4893" s="0" t="s">
        <v>2045</v>
      </c>
      <c r="F4893" s="0" t="s">
        <v>2046</v>
      </c>
      <c r="G4893" s="0" t="s">
        <v>2125</v>
      </c>
      <c r="H4893" s="0" t="s">
        <v>2126</v>
      </c>
      <c r="I4893" s="0" t="s">
        <v>2322</v>
      </c>
      <c r="J4893" s="0" t="s">
        <v>2358</v>
      </c>
      <c r="K4893" s="272" t="n">
        <v>50000</v>
      </c>
    </row>
    <row r="4894" customFormat="false" ht="15" hidden="false" customHeight="false" outlineLevel="0" collapsed="false">
      <c r="A4894" s="0" t="s">
        <v>2041</v>
      </c>
      <c r="B4894" s="0" t="s">
        <v>2042</v>
      </c>
      <c r="C4894" s="0" t="s">
        <v>2161</v>
      </c>
      <c r="D4894" s="0" t="s">
        <v>2105</v>
      </c>
      <c r="E4894" s="0" t="s">
        <v>2045</v>
      </c>
      <c r="F4894" s="0" t="s">
        <v>2046</v>
      </c>
      <c r="G4894" s="0" t="s">
        <v>2125</v>
      </c>
      <c r="H4894" s="0" t="s">
        <v>2126</v>
      </c>
      <c r="I4894" s="0" t="s">
        <v>2322</v>
      </c>
      <c r="J4894" s="0" t="s">
        <v>2358</v>
      </c>
      <c r="K4894" s="272" t="n">
        <v>24308917.48</v>
      </c>
    </row>
    <row r="4895" customFormat="false" ht="15" hidden="false" customHeight="false" outlineLevel="0" collapsed="false">
      <c r="A4895" s="0" t="s">
        <v>2041</v>
      </c>
      <c r="B4895" s="0" t="s">
        <v>2042</v>
      </c>
      <c r="C4895" s="0" t="s">
        <v>2349</v>
      </c>
      <c r="D4895" s="0" t="s">
        <v>2105</v>
      </c>
      <c r="E4895" s="0" t="s">
        <v>2045</v>
      </c>
      <c r="F4895" s="0" t="s">
        <v>2046</v>
      </c>
      <c r="G4895" s="0" t="s">
        <v>2125</v>
      </c>
      <c r="H4895" s="0" t="s">
        <v>2126</v>
      </c>
      <c r="I4895" s="0" t="s">
        <v>2322</v>
      </c>
      <c r="J4895" s="0" t="s">
        <v>2358</v>
      </c>
      <c r="K4895" s="272" t="n">
        <v>3153219.61</v>
      </c>
    </row>
    <row r="4896" customFormat="false" ht="15" hidden="false" customHeight="false" outlineLevel="0" collapsed="false">
      <c r="A4896" s="0" t="s">
        <v>2041</v>
      </c>
      <c r="B4896" s="0" t="s">
        <v>2042</v>
      </c>
      <c r="C4896" s="0" t="s">
        <v>2347</v>
      </c>
      <c r="D4896" s="0" t="s">
        <v>2105</v>
      </c>
      <c r="E4896" s="0" t="s">
        <v>2045</v>
      </c>
      <c r="F4896" s="0" t="s">
        <v>2046</v>
      </c>
      <c r="G4896" s="0" t="s">
        <v>2125</v>
      </c>
      <c r="H4896" s="0" t="s">
        <v>2126</v>
      </c>
      <c r="I4896" s="0" t="s">
        <v>2322</v>
      </c>
      <c r="J4896" s="0" t="s">
        <v>2358</v>
      </c>
      <c r="K4896" s="272" t="n">
        <v>24914.28</v>
      </c>
    </row>
    <row r="4897" customFormat="false" ht="15" hidden="false" customHeight="false" outlineLevel="0" collapsed="false">
      <c r="A4897" s="0" t="s">
        <v>2041</v>
      </c>
      <c r="B4897" s="0" t="s">
        <v>2042</v>
      </c>
      <c r="C4897" s="0" t="s">
        <v>2352</v>
      </c>
      <c r="D4897" s="0" t="s">
        <v>2105</v>
      </c>
      <c r="E4897" s="0" t="s">
        <v>2045</v>
      </c>
      <c r="F4897" s="0" t="s">
        <v>2046</v>
      </c>
      <c r="G4897" s="0" t="s">
        <v>2127</v>
      </c>
      <c r="H4897" s="0" t="s">
        <v>2128</v>
      </c>
      <c r="I4897" s="0" t="s">
        <v>2124</v>
      </c>
      <c r="J4897" s="0" t="s">
        <v>2358</v>
      </c>
      <c r="K4897" s="272" t="n">
        <v>995238.1</v>
      </c>
    </row>
    <row r="4898" customFormat="false" ht="15" hidden="false" customHeight="false" outlineLevel="0" collapsed="false">
      <c r="A4898" s="0" t="s">
        <v>2041</v>
      </c>
      <c r="B4898" s="0" t="s">
        <v>2042</v>
      </c>
      <c r="C4898" s="0" t="s">
        <v>2359</v>
      </c>
      <c r="D4898" s="0" t="s">
        <v>2105</v>
      </c>
      <c r="E4898" s="0" t="s">
        <v>2045</v>
      </c>
      <c r="F4898" s="0" t="s">
        <v>2046</v>
      </c>
      <c r="G4898" s="0" t="s">
        <v>2127</v>
      </c>
      <c r="H4898" s="0" t="s">
        <v>2128</v>
      </c>
      <c r="I4898" s="0" t="s">
        <v>2124</v>
      </c>
      <c r="J4898" s="0" t="s">
        <v>2358</v>
      </c>
      <c r="K4898" s="272" t="n">
        <v>317372.66</v>
      </c>
    </row>
    <row r="4899" customFormat="false" ht="15" hidden="false" customHeight="false" outlineLevel="0" collapsed="false">
      <c r="A4899" s="0" t="s">
        <v>2041</v>
      </c>
      <c r="B4899" s="0" t="s">
        <v>2042</v>
      </c>
      <c r="C4899" s="0" t="s">
        <v>2361</v>
      </c>
      <c r="D4899" s="0" t="s">
        <v>2105</v>
      </c>
      <c r="E4899" s="0" t="s">
        <v>2045</v>
      </c>
      <c r="F4899" s="0" t="s">
        <v>2046</v>
      </c>
      <c r="G4899" s="0" t="s">
        <v>2127</v>
      </c>
      <c r="H4899" s="0" t="s">
        <v>2128</v>
      </c>
      <c r="I4899" s="0" t="s">
        <v>2124</v>
      </c>
      <c r="J4899" s="0" t="s">
        <v>2358</v>
      </c>
      <c r="K4899" s="272" t="n">
        <v>259067.36</v>
      </c>
    </row>
    <row r="4900" customFormat="false" ht="15" hidden="false" customHeight="false" outlineLevel="0" collapsed="false">
      <c r="A4900" s="0" t="s">
        <v>2041</v>
      </c>
      <c r="B4900" s="0" t="s">
        <v>2042</v>
      </c>
      <c r="C4900" s="0" t="s">
        <v>2156</v>
      </c>
      <c r="D4900" s="0" t="s">
        <v>2105</v>
      </c>
      <c r="E4900" s="0" t="s">
        <v>2045</v>
      </c>
      <c r="F4900" s="0" t="s">
        <v>2046</v>
      </c>
      <c r="G4900" s="0" t="s">
        <v>2127</v>
      </c>
      <c r="H4900" s="0" t="s">
        <v>2128</v>
      </c>
      <c r="I4900" s="0" t="s">
        <v>2124</v>
      </c>
      <c r="J4900" s="0" t="s">
        <v>2358</v>
      </c>
      <c r="K4900" s="272" t="n">
        <v>25000000</v>
      </c>
    </row>
    <row r="4901" customFormat="false" ht="15" hidden="false" customHeight="false" outlineLevel="0" collapsed="false">
      <c r="A4901" s="0" t="s">
        <v>2041</v>
      </c>
      <c r="B4901" s="0" t="s">
        <v>2042</v>
      </c>
      <c r="C4901" s="0" t="s">
        <v>2161</v>
      </c>
      <c r="D4901" s="0" t="s">
        <v>2105</v>
      </c>
      <c r="E4901" s="0" t="s">
        <v>2045</v>
      </c>
      <c r="F4901" s="0" t="s">
        <v>2046</v>
      </c>
      <c r="G4901" s="0" t="s">
        <v>2127</v>
      </c>
      <c r="H4901" s="0" t="s">
        <v>2128</v>
      </c>
      <c r="I4901" s="0" t="s">
        <v>2124</v>
      </c>
      <c r="J4901" s="0" t="s">
        <v>2358</v>
      </c>
      <c r="K4901" s="272" t="n">
        <v>3825000</v>
      </c>
    </row>
    <row r="4902" customFormat="false" ht="15" hidden="false" customHeight="false" outlineLevel="0" collapsed="false">
      <c r="A4902" s="0" t="s">
        <v>2041</v>
      </c>
      <c r="B4902" s="0" t="s">
        <v>2042</v>
      </c>
      <c r="C4902" s="0" t="s">
        <v>2349</v>
      </c>
      <c r="D4902" s="0" t="s">
        <v>2105</v>
      </c>
      <c r="E4902" s="0" t="s">
        <v>2045</v>
      </c>
      <c r="F4902" s="0" t="s">
        <v>2046</v>
      </c>
      <c r="G4902" s="0" t="s">
        <v>2127</v>
      </c>
      <c r="H4902" s="0" t="s">
        <v>2128</v>
      </c>
      <c r="I4902" s="0" t="s">
        <v>2124</v>
      </c>
      <c r="J4902" s="0" t="s">
        <v>2358</v>
      </c>
      <c r="K4902" s="272" t="n">
        <v>349614.18</v>
      </c>
    </row>
    <row r="4903" customFormat="false" ht="15" hidden="false" customHeight="false" outlineLevel="0" collapsed="false">
      <c r="A4903" s="0" t="s">
        <v>2041</v>
      </c>
      <c r="B4903" s="0" t="s">
        <v>2042</v>
      </c>
      <c r="C4903" s="0" t="s">
        <v>2352</v>
      </c>
      <c r="D4903" s="0" t="s">
        <v>2105</v>
      </c>
      <c r="E4903" s="0" t="s">
        <v>2045</v>
      </c>
      <c r="F4903" s="0" t="s">
        <v>2046</v>
      </c>
      <c r="G4903" s="0" t="s">
        <v>2127</v>
      </c>
      <c r="H4903" s="0" t="s">
        <v>2128</v>
      </c>
      <c r="I4903" s="0" t="s">
        <v>2322</v>
      </c>
      <c r="J4903" s="0" t="s">
        <v>2358</v>
      </c>
      <c r="K4903" s="272" t="n">
        <v>4300314.675</v>
      </c>
    </row>
    <row r="4904" customFormat="false" ht="15" hidden="false" customHeight="false" outlineLevel="0" collapsed="false">
      <c r="A4904" s="0" t="s">
        <v>2041</v>
      </c>
      <c r="B4904" s="0" t="s">
        <v>2042</v>
      </c>
      <c r="C4904" s="0" t="s">
        <v>2359</v>
      </c>
      <c r="D4904" s="0" t="s">
        <v>2105</v>
      </c>
      <c r="E4904" s="0" t="s">
        <v>2045</v>
      </c>
      <c r="F4904" s="0" t="s">
        <v>2046</v>
      </c>
      <c r="G4904" s="0" t="s">
        <v>2127</v>
      </c>
      <c r="H4904" s="0" t="s">
        <v>2128</v>
      </c>
      <c r="I4904" s="0" t="s">
        <v>2322</v>
      </c>
      <c r="J4904" s="0" t="s">
        <v>2358</v>
      </c>
      <c r="K4904" s="272" t="n">
        <v>3624048.845</v>
      </c>
    </row>
    <row r="4905" customFormat="false" ht="15" hidden="false" customHeight="false" outlineLevel="0" collapsed="false">
      <c r="A4905" s="0" t="s">
        <v>2041</v>
      </c>
      <c r="B4905" s="0" t="s">
        <v>2042</v>
      </c>
      <c r="C4905" s="0" t="s">
        <v>2361</v>
      </c>
      <c r="D4905" s="0" t="s">
        <v>2105</v>
      </c>
      <c r="E4905" s="0" t="s">
        <v>2045</v>
      </c>
      <c r="F4905" s="0" t="s">
        <v>2046</v>
      </c>
      <c r="G4905" s="0" t="s">
        <v>2127</v>
      </c>
      <c r="H4905" s="0" t="s">
        <v>2128</v>
      </c>
      <c r="I4905" s="0" t="s">
        <v>2322</v>
      </c>
      <c r="J4905" s="0" t="s">
        <v>2358</v>
      </c>
      <c r="K4905" s="272" t="n">
        <v>782546.38</v>
      </c>
    </row>
    <row r="4906" customFormat="false" ht="15" hidden="false" customHeight="false" outlineLevel="0" collapsed="false">
      <c r="A4906" s="0" t="s">
        <v>2041</v>
      </c>
      <c r="B4906" s="0" t="s">
        <v>2042</v>
      </c>
      <c r="C4906" s="0" t="s">
        <v>2156</v>
      </c>
      <c r="D4906" s="0" t="s">
        <v>2105</v>
      </c>
      <c r="E4906" s="0" t="s">
        <v>2045</v>
      </c>
      <c r="F4906" s="0" t="s">
        <v>2046</v>
      </c>
      <c r="G4906" s="0" t="s">
        <v>2127</v>
      </c>
      <c r="H4906" s="0" t="s">
        <v>2128</v>
      </c>
      <c r="I4906" s="0" t="s">
        <v>2322</v>
      </c>
      <c r="J4906" s="0" t="s">
        <v>2358</v>
      </c>
      <c r="K4906" s="272" t="n">
        <v>197364025</v>
      </c>
    </row>
    <row r="4907" customFormat="false" ht="15" hidden="false" customHeight="false" outlineLevel="0" collapsed="false">
      <c r="A4907" s="0" t="s">
        <v>2041</v>
      </c>
      <c r="B4907" s="0" t="s">
        <v>2042</v>
      </c>
      <c r="C4907" s="0" t="s">
        <v>2360</v>
      </c>
      <c r="D4907" s="0" t="s">
        <v>2105</v>
      </c>
      <c r="E4907" s="0" t="s">
        <v>2045</v>
      </c>
      <c r="F4907" s="0" t="s">
        <v>2046</v>
      </c>
      <c r="G4907" s="0" t="s">
        <v>2127</v>
      </c>
      <c r="H4907" s="0" t="s">
        <v>2128</v>
      </c>
      <c r="I4907" s="0" t="s">
        <v>2322</v>
      </c>
      <c r="J4907" s="0" t="s">
        <v>2358</v>
      </c>
      <c r="K4907" s="272" t="n">
        <v>4399</v>
      </c>
    </row>
    <row r="4908" customFormat="false" ht="15" hidden="false" customHeight="false" outlineLevel="0" collapsed="false">
      <c r="A4908" s="0" t="s">
        <v>2041</v>
      </c>
      <c r="B4908" s="0" t="s">
        <v>2042</v>
      </c>
      <c r="C4908" s="0" t="s">
        <v>2161</v>
      </c>
      <c r="D4908" s="0" t="s">
        <v>2105</v>
      </c>
      <c r="E4908" s="0" t="s">
        <v>2045</v>
      </c>
      <c r="F4908" s="0" t="s">
        <v>2046</v>
      </c>
      <c r="G4908" s="0" t="s">
        <v>2127</v>
      </c>
      <c r="H4908" s="0" t="s">
        <v>2128</v>
      </c>
      <c r="I4908" s="0" t="s">
        <v>2322</v>
      </c>
      <c r="J4908" s="0" t="s">
        <v>2358</v>
      </c>
      <c r="K4908" s="272" t="n">
        <v>30902188.4</v>
      </c>
    </row>
    <row r="4909" customFormat="false" ht="15" hidden="false" customHeight="false" outlineLevel="0" collapsed="false">
      <c r="A4909" s="0" t="s">
        <v>2041</v>
      </c>
      <c r="B4909" s="0" t="s">
        <v>2042</v>
      </c>
      <c r="C4909" s="0" t="s">
        <v>2349</v>
      </c>
      <c r="D4909" s="0" t="s">
        <v>2105</v>
      </c>
      <c r="E4909" s="0" t="s">
        <v>2045</v>
      </c>
      <c r="F4909" s="0" t="s">
        <v>2046</v>
      </c>
      <c r="G4909" s="0" t="s">
        <v>2127</v>
      </c>
      <c r="H4909" s="0" t="s">
        <v>2128</v>
      </c>
      <c r="I4909" s="0" t="s">
        <v>2322</v>
      </c>
      <c r="J4909" s="0" t="s">
        <v>2358</v>
      </c>
      <c r="K4909" s="272" t="n">
        <v>1876625.905</v>
      </c>
    </row>
    <row r="4910" customFormat="false" ht="15" hidden="false" customHeight="false" outlineLevel="0" collapsed="false">
      <c r="A4910" s="0" t="s">
        <v>2041</v>
      </c>
      <c r="B4910" s="0" t="s">
        <v>2042</v>
      </c>
      <c r="C4910" s="0" t="s">
        <v>2352</v>
      </c>
      <c r="D4910" s="0" t="s">
        <v>2105</v>
      </c>
      <c r="E4910" s="0" t="s">
        <v>2045</v>
      </c>
      <c r="F4910" s="0" t="s">
        <v>2046</v>
      </c>
      <c r="G4910" s="0" t="s">
        <v>2127</v>
      </c>
      <c r="H4910" s="0" t="s">
        <v>2132</v>
      </c>
      <c r="I4910" s="0" t="s">
        <v>2322</v>
      </c>
      <c r="J4910" s="0" t="s">
        <v>2358</v>
      </c>
      <c r="K4910" s="272" t="n">
        <v>83809.525</v>
      </c>
    </row>
    <row r="4911" customFormat="false" ht="15" hidden="false" customHeight="false" outlineLevel="0" collapsed="false">
      <c r="A4911" s="0" t="s">
        <v>2041</v>
      </c>
      <c r="B4911" s="0" t="s">
        <v>2042</v>
      </c>
      <c r="C4911" s="0" t="s">
        <v>2359</v>
      </c>
      <c r="D4911" s="0" t="s">
        <v>2105</v>
      </c>
      <c r="E4911" s="0" t="s">
        <v>2045</v>
      </c>
      <c r="F4911" s="0" t="s">
        <v>2046</v>
      </c>
      <c r="G4911" s="0" t="s">
        <v>2127</v>
      </c>
      <c r="H4911" s="0" t="s">
        <v>2132</v>
      </c>
      <c r="I4911" s="0" t="s">
        <v>2322</v>
      </c>
      <c r="J4911" s="0" t="s">
        <v>2358</v>
      </c>
      <c r="K4911" s="272" t="n">
        <v>24298.575</v>
      </c>
    </row>
    <row r="4912" customFormat="false" ht="15" hidden="false" customHeight="false" outlineLevel="0" collapsed="false">
      <c r="A4912" s="0" t="s">
        <v>2041</v>
      </c>
      <c r="B4912" s="0" t="s">
        <v>2042</v>
      </c>
      <c r="C4912" s="0" t="s">
        <v>2156</v>
      </c>
      <c r="D4912" s="0" t="s">
        <v>2105</v>
      </c>
      <c r="E4912" s="0" t="s">
        <v>2045</v>
      </c>
      <c r="F4912" s="0" t="s">
        <v>2046</v>
      </c>
      <c r="G4912" s="0" t="s">
        <v>2127</v>
      </c>
      <c r="H4912" s="0" t="s">
        <v>2132</v>
      </c>
      <c r="I4912" s="0" t="s">
        <v>2322</v>
      </c>
      <c r="J4912" s="0" t="s">
        <v>2358</v>
      </c>
      <c r="K4912" s="272" t="n">
        <v>500000</v>
      </c>
    </row>
    <row r="4913" customFormat="false" ht="15" hidden="false" customHeight="false" outlineLevel="0" collapsed="false">
      <c r="A4913" s="0" t="s">
        <v>2041</v>
      </c>
      <c r="B4913" s="0" t="s">
        <v>2042</v>
      </c>
      <c r="C4913" s="0" t="s">
        <v>2161</v>
      </c>
      <c r="D4913" s="0" t="s">
        <v>2105</v>
      </c>
      <c r="E4913" s="0" t="s">
        <v>2045</v>
      </c>
      <c r="F4913" s="0" t="s">
        <v>2046</v>
      </c>
      <c r="G4913" s="0" t="s">
        <v>2127</v>
      </c>
      <c r="H4913" s="0" t="s">
        <v>2132</v>
      </c>
      <c r="I4913" s="0" t="s">
        <v>2322</v>
      </c>
      <c r="J4913" s="0" t="s">
        <v>2358</v>
      </c>
      <c r="K4913" s="272" t="n">
        <v>151000</v>
      </c>
    </row>
    <row r="4914" customFormat="false" ht="15" hidden="false" customHeight="false" outlineLevel="0" collapsed="false">
      <c r="A4914" s="0" t="s">
        <v>2041</v>
      </c>
      <c r="B4914" s="0" t="s">
        <v>2042</v>
      </c>
      <c r="C4914" s="0" t="s">
        <v>2349</v>
      </c>
      <c r="D4914" s="0" t="s">
        <v>2105</v>
      </c>
      <c r="E4914" s="0" t="s">
        <v>2045</v>
      </c>
      <c r="F4914" s="0" t="s">
        <v>2046</v>
      </c>
      <c r="G4914" s="0" t="s">
        <v>2127</v>
      </c>
      <c r="H4914" s="0" t="s">
        <v>2132</v>
      </c>
      <c r="I4914" s="0" t="s">
        <v>2322</v>
      </c>
      <c r="J4914" s="0" t="s">
        <v>2358</v>
      </c>
      <c r="K4914" s="272" t="n">
        <v>32648.645</v>
      </c>
    </row>
    <row r="4915" customFormat="false" ht="15" hidden="false" customHeight="false" outlineLevel="0" collapsed="false">
      <c r="A4915" s="0" t="s">
        <v>2041</v>
      </c>
      <c r="B4915" s="0" t="s">
        <v>2042</v>
      </c>
      <c r="C4915" s="0" t="s">
        <v>2352</v>
      </c>
      <c r="D4915" s="0" t="s">
        <v>2105</v>
      </c>
      <c r="E4915" s="0" t="s">
        <v>2045</v>
      </c>
      <c r="F4915" s="0" t="s">
        <v>2046</v>
      </c>
      <c r="G4915" s="0" t="s">
        <v>2129</v>
      </c>
      <c r="H4915" s="0" t="s">
        <v>2130</v>
      </c>
      <c r="I4915" s="0" t="s">
        <v>2124</v>
      </c>
      <c r="J4915" s="0" t="s">
        <v>2358</v>
      </c>
      <c r="K4915" s="272" t="n">
        <v>1583600</v>
      </c>
    </row>
    <row r="4916" customFormat="false" ht="15" hidden="false" customHeight="false" outlineLevel="0" collapsed="false">
      <c r="A4916" s="0" t="s">
        <v>2041</v>
      </c>
      <c r="B4916" s="0" t="s">
        <v>2042</v>
      </c>
      <c r="C4916" s="0" t="s">
        <v>2359</v>
      </c>
      <c r="D4916" s="0" t="s">
        <v>2105</v>
      </c>
      <c r="E4916" s="0" t="s">
        <v>2045</v>
      </c>
      <c r="F4916" s="0" t="s">
        <v>2046</v>
      </c>
      <c r="G4916" s="0" t="s">
        <v>2129</v>
      </c>
      <c r="H4916" s="0" t="s">
        <v>2130</v>
      </c>
      <c r="I4916" s="0" t="s">
        <v>2124</v>
      </c>
      <c r="J4916" s="0" t="s">
        <v>2358</v>
      </c>
      <c r="K4916" s="272" t="n">
        <v>299321</v>
      </c>
    </row>
    <row r="4917" customFormat="false" ht="15" hidden="false" customHeight="false" outlineLevel="0" collapsed="false">
      <c r="A4917" s="0" t="s">
        <v>2041</v>
      </c>
      <c r="B4917" s="0" t="s">
        <v>2042</v>
      </c>
      <c r="C4917" s="0" t="s">
        <v>2156</v>
      </c>
      <c r="D4917" s="0" t="s">
        <v>2105</v>
      </c>
      <c r="E4917" s="0" t="s">
        <v>2045</v>
      </c>
      <c r="F4917" s="0" t="s">
        <v>2046</v>
      </c>
      <c r="G4917" s="0" t="s">
        <v>2129</v>
      </c>
      <c r="H4917" s="0" t="s">
        <v>2130</v>
      </c>
      <c r="I4917" s="0" t="s">
        <v>2124</v>
      </c>
      <c r="J4917" s="0" t="s">
        <v>2358</v>
      </c>
      <c r="K4917" s="272" t="n">
        <v>12700000</v>
      </c>
    </row>
    <row r="4918" customFormat="false" ht="15" hidden="false" customHeight="false" outlineLevel="0" collapsed="false">
      <c r="A4918" s="0" t="s">
        <v>2041</v>
      </c>
      <c r="B4918" s="0" t="s">
        <v>2042</v>
      </c>
      <c r="C4918" s="0" t="s">
        <v>2161</v>
      </c>
      <c r="D4918" s="0" t="s">
        <v>2105</v>
      </c>
      <c r="E4918" s="0" t="s">
        <v>2045</v>
      </c>
      <c r="F4918" s="0" t="s">
        <v>2046</v>
      </c>
      <c r="G4918" s="0" t="s">
        <v>2129</v>
      </c>
      <c r="H4918" s="0" t="s">
        <v>2130</v>
      </c>
      <c r="I4918" s="0" t="s">
        <v>2124</v>
      </c>
      <c r="J4918" s="0" t="s">
        <v>2358</v>
      </c>
      <c r="K4918" s="272" t="n">
        <v>2317313.89</v>
      </c>
    </row>
    <row r="4919" customFormat="false" ht="15" hidden="false" customHeight="false" outlineLevel="0" collapsed="false">
      <c r="A4919" s="0" t="s">
        <v>2041</v>
      </c>
      <c r="B4919" s="0" t="s">
        <v>2042</v>
      </c>
      <c r="C4919" s="0" t="s">
        <v>2349</v>
      </c>
      <c r="D4919" s="0" t="s">
        <v>2105</v>
      </c>
      <c r="E4919" s="0" t="s">
        <v>2045</v>
      </c>
      <c r="F4919" s="0" t="s">
        <v>2046</v>
      </c>
      <c r="G4919" s="0" t="s">
        <v>2129</v>
      </c>
      <c r="H4919" s="0" t="s">
        <v>2130</v>
      </c>
      <c r="I4919" s="0" t="s">
        <v>2124</v>
      </c>
      <c r="J4919" s="0" t="s">
        <v>2358</v>
      </c>
      <c r="K4919" s="272" t="n">
        <v>484645.02</v>
      </c>
    </row>
    <row r="4920" customFormat="false" ht="15" hidden="false" customHeight="false" outlineLevel="0" collapsed="false">
      <c r="A4920" s="0" t="s">
        <v>2041</v>
      </c>
      <c r="B4920" s="0" t="s">
        <v>2042</v>
      </c>
      <c r="C4920" s="0" t="s">
        <v>2352</v>
      </c>
      <c r="D4920" s="0" t="s">
        <v>2105</v>
      </c>
      <c r="E4920" s="0" t="s">
        <v>2045</v>
      </c>
      <c r="F4920" s="0" t="s">
        <v>2046</v>
      </c>
      <c r="G4920" s="0" t="s">
        <v>2129</v>
      </c>
      <c r="H4920" s="0" t="s">
        <v>2130</v>
      </c>
      <c r="I4920" s="0" t="s">
        <v>2322</v>
      </c>
      <c r="J4920" s="0" t="s">
        <v>2358</v>
      </c>
      <c r="K4920" s="272" t="n">
        <v>2292857.14</v>
      </c>
    </row>
    <row r="4921" customFormat="false" ht="15" hidden="false" customHeight="false" outlineLevel="0" collapsed="false">
      <c r="A4921" s="0" t="s">
        <v>2041</v>
      </c>
      <c r="B4921" s="0" t="s">
        <v>2042</v>
      </c>
      <c r="C4921" s="0" t="s">
        <v>2359</v>
      </c>
      <c r="D4921" s="0" t="s">
        <v>2105</v>
      </c>
      <c r="E4921" s="0" t="s">
        <v>2045</v>
      </c>
      <c r="F4921" s="0" t="s">
        <v>2046</v>
      </c>
      <c r="G4921" s="0" t="s">
        <v>2129</v>
      </c>
      <c r="H4921" s="0" t="s">
        <v>2130</v>
      </c>
      <c r="I4921" s="0" t="s">
        <v>2322</v>
      </c>
      <c r="J4921" s="0" t="s">
        <v>2358</v>
      </c>
      <c r="K4921" s="272" t="n">
        <v>2345176.5</v>
      </c>
    </row>
    <row r="4922" customFormat="false" ht="15" hidden="false" customHeight="false" outlineLevel="0" collapsed="false">
      <c r="A4922" s="0" t="s">
        <v>2041</v>
      </c>
      <c r="B4922" s="0" t="s">
        <v>2042</v>
      </c>
      <c r="C4922" s="0" t="s">
        <v>2361</v>
      </c>
      <c r="D4922" s="0" t="s">
        <v>2105</v>
      </c>
      <c r="E4922" s="0" t="s">
        <v>2045</v>
      </c>
      <c r="F4922" s="0" t="s">
        <v>2046</v>
      </c>
      <c r="G4922" s="0" t="s">
        <v>2129</v>
      </c>
      <c r="H4922" s="0" t="s">
        <v>2130</v>
      </c>
      <c r="I4922" s="0" t="s">
        <v>2322</v>
      </c>
      <c r="J4922" s="0" t="s">
        <v>2358</v>
      </c>
      <c r="K4922" s="272" t="n">
        <v>335280.51</v>
      </c>
    </row>
    <row r="4923" customFormat="false" ht="15" hidden="false" customHeight="false" outlineLevel="0" collapsed="false">
      <c r="A4923" s="0" t="s">
        <v>2041</v>
      </c>
      <c r="B4923" s="0" t="s">
        <v>2042</v>
      </c>
      <c r="C4923" s="0" t="s">
        <v>2156</v>
      </c>
      <c r="D4923" s="0" t="s">
        <v>2105</v>
      </c>
      <c r="E4923" s="0" t="s">
        <v>2045</v>
      </c>
      <c r="F4923" s="0" t="s">
        <v>2046</v>
      </c>
      <c r="G4923" s="0" t="s">
        <v>2129</v>
      </c>
      <c r="H4923" s="0" t="s">
        <v>2130</v>
      </c>
      <c r="I4923" s="0" t="s">
        <v>2322</v>
      </c>
      <c r="J4923" s="0" t="s">
        <v>2358</v>
      </c>
      <c r="K4923" s="272" t="n">
        <v>99143725</v>
      </c>
    </row>
    <row r="4924" customFormat="false" ht="15" hidden="false" customHeight="false" outlineLevel="0" collapsed="false">
      <c r="A4924" s="0" t="s">
        <v>2041</v>
      </c>
      <c r="B4924" s="0" t="s">
        <v>2042</v>
      </c>
      <c r="C4924" s="0" t="s">
        <v>2161</v>
      </c>
      <c r="D4924" s="0" t="s">
        <v>2105</v>
      </c>
      <c r="E4924" s="0" t="s">
        <v>2045</v>
      </c>
      <c r="F4924" s="0" t="s">
        <v>2046</v>
      </c>
      <c r="G4924" s="0" t="s">
        <v>2129</v>
      </c>
      <c r="H4924" s="0" t="s">
        <v>2130</v>
      </c>
      <c r="I4924" s="0" t="s">
        <v>2322</v>
      </c>
      <c r="J4924" s="0" t="s">
        <v>2358</v>
      </c>
      <c r="K4924" s="272" t="n">
        <v>15660477.97</v>
      </c>
    </row>
    <row r="4925" customFormat="false" ht="15" hidden="false" customHeight="false" outlineLevel="0" collapsed="false">
      <c r="A4925" s="0" t="s">
        <v>2041</v>
      </c>
      <c r="B4925" s="0" t="s">
        <v>2042</v>
      </c>
      <c r="C4925" s="0" t="s">
        <v>2349</v>
      </c>
      <c r="D4925" s="0" t="s">
        <v>2105</v>
      </c>
      <c r="E4925" s="0" t="s">
        <v>2045</v>
      </c>
      <c r="F4925" s="0" t="s">
        <v>2046</v>
      </c>
      <c r="G4925" s="0" t="s">
        <v>2129</v>
      </c>
      <c r="H4925" s="0" t="s">
        <v>2130</v>
      </c>
      <c r="I4925" s="0" t="s">
        <v>2322</v>
      </c>
      <c r="J4925" s="0" t="s">
        <v>2358</v>
      </c>
      <c r="K4925" s="272" t="n">
        <v>1098189.79</v>
      </c>
    </row>
    <row r="4926" customFormat="false" ht="15" hidden="false" customHeight="false" outlineLevel="0" collapsed="false">
      <c r="A4926" s="0" t="s">
        <v>2041</v>
      </c>
      <c r="B4926" s="0" t="s">
        <v>2042</v>
      </c>
      <c r="C4926" s="0" t="s">
        <v>2352</v>
      </c>
      <c r="D4926" s="0" t="s">
        <v>2105</v>
      </c>
      <c r="E4926" s="0" t="s">
        <v>2045</v>
      </c>
      <c r="F4926" s="0" t="s">
        <v>2046</v>
      </c>
      <c r="G4926" s="0" t="s">
        <v>2131</v>
      </c>
      <c r="H4926" s="0" t="s">
        <v>2132</v>
      </c>
      <c r="I4926" s="0" t="s">
        <v>2124</v>
      </c>
      <c r="J4926" s="0" t="s">
        <v>2358</v>
      </c>
      <c r="K4926" s="272" t="n">
        <v>565714.29</v>
      </c>
    </row>
    <row r="4927" customFormat="false" ht="15" hidden="false" customHeight="false" outlineLevel="0" collapsed="false">
      <c r="A4927" s="0" t="s">
        <v>2041</v>
      </c>
      <c r="B4927" s="0" t="s">
        <v>2042</v>
      </c>
      <c r="C4927" s="0" t="s">
        <v>2359</v>
      </c>
      <c r="D4927" s="0" t="s">
        <v>2105</v>
      </c>
      <c r="E4927" s="0" t="s">
        <v>2045</v>
      </c>
      <c r="F4927" s="0" t="s">
        <v>2046</v>
      </c>
      <c r="G4927" s="0" t="s">
        <v>2131</v>
      </c>
      <c r="H4927" s="0" t="s">
        <v>2132</v>
      </c>
      <c r="I4927" s="0" t="s">
        <v>2124</v>
      </c>
      <c r="J4927" s="0" t="s">
        <v>2358</v>
      </c>
      <c r="K4927" s="272" t="n">
        <v>143756.36</v>
      </c>
    </row>
    <row r="4928" customFormat="false" ht="15" hidden="false" customHeight="false" outlineLevel="0" collapsed="false">
      <c r="A4928" s="0" t="s">
        <v>2041</v>
      </c>
      <c r="B4928" s="0" t="s">
        <v>2042</v>
      </c>
      <c r="C4928" s="0" t="s">
        <v>2156</v>
      </c>
      <c r="D4928" s="0" t="s">
        <v>2105</v>
      </c>
      <c r="E4928" s="0" t="s">
        <v>2045</v>
      </c>
      <c r="F4928" s="0" t="s">
        <v>2046</v>
      </c>
      <c r="G4928" s="0" t="s">
        <v>2131</v>
      </c>
      <c r="H4928" s="0" t="s">
        <v>2132</v>
      </c>
      <c r="I4928" s="0" t="s">
        <v>2124</v>
      </c>
      <c r="J4928" s="0" t="s">
        <v>2358</v>
      </c>
      <c r="K4928" s="272" t="n">
        <v>7500000</v>
      </c>
    </row>
    <row r="4929" customFormat="false" ht="15" hidden="false" customHeight="false" outlineLevel="0" collapsed="false">
      <c r="A4929" s="0" t="s">
        <v>2041</v>
      </c>
      <c r="B4929" s="0" t="s">
        <v>2042</v>
      </c>
      <c r="C4929" s="0" t="s">
        <v>2161</v>
      </c>
      <c r="D4929" s="0" t="s">
        <v>2105</v>
      </c>
      <c r="E4929" s="0" t="s">
        <v>2045</v>
      </c>
      <c r="F4929" s="0" t="s">
        <v>2046</v>
      </c>
      <c r="G4929" s="0" t="s">
        <v>2131</v>
      </c>
      <c r="H4929" s="0" t="s">
        <v>2132</v>
      </c>
      <c r="I4929" s="0" t="s">
        <v>2124</v>
      </c>
      <c r="J4929" s="0" t="s">
        <v>2358</v>
      </c>
      <c r="K4929" s="272" t="n">
        <v>1306911.98</v>
      </c>
    </row>
    <row r="4930" customFormat="false" ht="15" hidden="false" customHeight="false" outlineLevel="0" collapsed="false">
      <c r="A4930" s="0" t="s">
        <v>2041</v>
      </c>
      <c r="B4930" s="0" t="s">
        <v>2042</v>
      </c>
      <c r="C4930" s="0" t="s">
        <v>2349</v>
      </c>
      <c r="D4930" s="0" t="s">
        <v>2105</v>
      </c>
      <c r="E4930" s="0" t="s">
        <v>2045</v>
      </c>
      <c r="F4930" s="0" t="s">
        <v>2046</v>
      </c>
      <c r="G4930" s="0" t="s">
        <v>2131</v>
      </c>
      <c r="H4930" s="0" t="s">
        <v>2132</v>
      </c>
      <c r="I4930" s="0" t="s">
        <v>2124</v>
      </c>
      <c r="J4930" s="0" t="s">
        <v>2358</v>
      </c>
      <c r="K4930" s="272" t="n">
        <v>192840.44</v>
      </c>
    </row>
    <row r="4931" customFormat="false" ht="15" hidden="false" customHeight="false" outlineLevel="0" collapsed="false">
      <c r="A4931" s="0" t="s">
        <v>2041</v>
      </c>
      <c r="B4931" s="0" t="s">
        <v>2042</v>
      </c>
      <c r="C4931" s="0" t="s">
        <v>2352</v>
      </c>
      <c r="D4931" s="0" t="s">
        <v>2105</v>
      </c>
      <c r="E4931" s="0" t="s">
        <v>2045</v>
      </c>
      <c r="F4931" s="0" t="s">
        <v>2046</v>
      </c>
      <c r="G4931" s="0" t="s">
        <v>2131</v>
      </c>
      <c r="H4931" s="0" t="s">
        <v>2132</v>
      </c>
      <c r="I4931" s="0" t="s">
        <v>2322</v>
      </c>
      <c r="J4931" s="0" t="s">
        <v>2358</v>
      </c>
      <c r="K4931" s="272" t="n">
        <v>3569523.81</v>
      </c>
    </row>
    <row r="4932" customFormat="false" ht="15" hidden="false" customHeight="false" outlineLevel="0" collapsed="false">
      <c r="A4932" s="0" t="s">
        <v>2041</v>
      </c>
      <c r="B4932" s="0" t="s">
        <v>2042</v>
      </c>
      <c r="C4932" s="0" t="s">
        <v>2359</v>
      </c>
      <c r="D4932" s="0" t="s">
        <v>2105</v>
      </c>
      <c r="E4932" s="0" t="s">
        <v>2045</v>
      </c>
      <c r="F4932" s="0" t="s">
        <v>2046</v>
      </c>
      <c r="G4932" s="0" t="s">
        <v>2131</v>
      </c>
      <c r="H4932" s="0" t="s">
        <v>2132</v>
      </c>
      <c r="I4932" s="0" t="s">
        <v>2322</v>
      </c>
      <c r="J4932" s="0" t="s">
        <v>2358</v>
      </c>
      <c r="K4932" s="272" t="n">
        <v>2229619.09</v>
      </c>
    </row>
    <row r="4933" customFormat="false" ht="15" hidden="false" customHeight="false" outlineLevel="0" collapsed="false">
      <c r="A4933" s="0" t="s">
        <v>2041</v>
      </c>
      <c r="B4933" s="0" t="s">
        <v>2042</v>
      </c>
      <c r="C4933" s="0" t="s">
        <v>2361</v>
      </c>
      <c r="D4933" s="0" t="s">
        <v>2105</v>
      </c>
      <c r="E4933" s="0" t="s">
        <v>2045</v>
      </c>
      <c r="F4933" s="0" t="s">
        <v>2046</v>
      </c>
      <c r="G4933" s="0" t="s">
        <v>2131</v>
      </c>
      <c r="H4933" s="0" t="s">
        <v>2132</v>
      </c>
      <c r="I4933" s="0" t="s">
        <v>2322</v>
      </c>
      <c r="J4933" s="0" t="s">
        <v>2358</v>
      </c>
      <c r="K4933" s="272" t="n">
        <v>1430215.92</v>
      </c>
    </row>
    <row r="4934" customFormat="false" ht="15" hidden="false" customHeight="false" outlineLevel="0" collapsed="false">
      <c r="A4934" s="0" t="s">
        <v>2041</v>
      </c>
      <c r="B4934" s="0" t="s">
        <v>2042</v>
      </c>
      <c r="C4934" s="0" t="s">
        <v>2156</v>
      </c>
      <c r="D4934" s="0" t="s">
        <v>2105</v>
      </c>
      <c r="E4934" s="0" t="s">
        <v>2045</v>
      </c>
      <c r="F4934" s="0" t="s">
        <v>2046</v>
      </c>
      <c r="G4934" s="0" t="s">
        <v>2131</v>
      </c>
      <c r="H4934" s="0" t="s">
        <v>2132</v>
      </c>
      <c r="I4934" s="0" t="s">
        <v>2322</v>
      </c>
      <c r="J4934" s="0" t="s">
        <v>2358</v>
      </c>
      <c r="K4934" s="272" t="n">
        <v>88243817</v>
      </c>
    </row>
    <row r="4935" customFormat="false" ht="15" hidden="false" customHeight="false" outlineLevel="0" collapsed="false">
      <c r="A4935" s="0" t="s">
        <v>2041</v>
      </c>
      <c r="B4935" s="0" t="s">
        <v>2042</v>
      </c>
      <c r="C4935" s="0" t="s">
        <v>2161</v>
      </c>
      <c r="D4935" s="0" t="s">
        <v>2105</v>
      </c>
      <c r="E4935" s="0" t="s">
        <v>2045</v>
      </c>
      <c r="F4935" s="0" t="s">
        <v>2046</v>
      </c>
      <c r="G4935" s="0" t="s">
        <v>2131</v>
      </c>
      <c r="H4935" s="0" t="s">
        <v>2132</v>
      </c>
      <c r="I4935" s="0" t="s">
        <v>2322</v>
      </c>
      <c r="J4935" s="0" t="s">
        <v>2358</v>
      </c>
      <c r="K4935" s="272" t="n">
        <v>14140150.76</v>
      </c>
    </row>
    <row r="4936" customFormat="false" ht="15" hidden="false" customHeight="false" outlineLevel="0" collapsed="false">
      <c r="A4936" s="0" t="s">
        <v>2041</v>
      </c>
      <c r="B4936" s="0" t="s">
        <v>2042</v>
      </c>
      <c r="C4936" s="0" t="s">
        <v>2349</v>
      </c>
      <c r="D4936" s="0" t="s">
        <v>2105</v>
      </c>
      <c r="E4936" s="0" t="s">
        <v>2045</v>
      </c>
      <c r="F4936" s="0" t="s">
        <v>2046</v>
      </c>
      <c r="G4936" s="0" t="s">
        <v>2131</v>
      </c>
      <c r="H4936" s="0" t="s">
        <v>2132</v>
      </c>
      <c r="I4936" s="0" t="s">
        <v>2322</v>
      </c>
      <c r="J4936" s="0" t="s">
        <v>2358</v>
      </c>
      <c r="K4936" s="272" t="n">
        <v>1724926.89</v>
      </c>
    </row>
    <row r="4937" customFormat="false" ht="15" hidden="false" customHeight="false" outlineLevel="0" collapsed="false">
      <c r="A4937" s="0" t="s">
        <v>2041</v>
      </c>
      <c r="B4937" s="0" t="s">
        <v>2042</v>
      </c>
      <c r="C4937" s="0" t="s">
        <v>2352</v>
      </c>
      <c r="D4937" s="0" t="s">
        <v>2105</v>
      </c>
      <c r="E4937" s="0" t="s">
        <v>2045</v>
      </c>
      <c r="F4937" s="0" t="s">
        <v>2046</v>
      </c>
      <c r="G4937" s="0" t="s">
        <v>2131</v>
      </c>
      <c r="H4937" s="0" t="s">
        <v>2126</v>
      </c>
      <c r="I4937" s="0" t="s">
        <v>2322</v>
      </c>
      <c r="J4937" s="0" t="s">
        <v>2358</v>
      </c>
      <c r="K4937" s="272" t="n">
        <v>47142.86</v>
      </c>
    </row>
    <row r="4938" customFormat="false" ht="15" hidden="false" customHeight="false" outlineLevel="0" collapsed="false">
      <c r="A4938" s="0" t="s">
        <v>2041</v>
      </c>
      <c r="B4938" s="0" t="s">
        <v>2042</v>
      </c>
      <c r="C4938" s="0" t="s">
        <v>2156</v>
      </c>
      <c r="D4938" s="0" t="s">
        <v>2105</v>
      </c>
      <c r="E4938" s="0" t="s">
        <v>2045</v>
      </c>
      <c r="F4938" s="0" t="s">
        <v>2046</v>
      </c>
      <c r="G4938" s="0" t="s">
        <v>2131</v>
      </c>
      <c r="H4938" s="0" t="s">
        <v>2126</v>
      </c>
      <c r="I4938" s="0" t="s">
        <v>2322</v>
      </c>
      <c r="J4938" s="0" t="s">
        <v>2358</v>
      </c>
      <c r="K4938" s="272" t="n">
        <v>900000</v>
      </c>
    </row>
    <row r="4939" customFormat="false" ht="15" hidden="false" customHeight="false" outlineLevel="0" collapsed="false">
      <c r="A4939" s="0" t="s">
        <v>2041</v>
      </c>
      <c r="B4939" s="0" t="s">
        <v>2042</v>
      </c>
      <c r="C4939" s="0" t="s">
        <v>2161</v>
      </c>
      <c r="D4939" s="0" t="s">
        <v>2105</v>
      </c>
      <c r="E4939" s="0" t="s">
        <v>2045</v>
      </c>
      <c r="F4939" s="0" t="s">
        <v>2046</v>
      </c>
      <c r="G4939" s="0" t="s">
        <v>2131</v>
      </c>
      <c r="H4939" s="0" t="s">
        <v>2126</v>
      </c>
      <c r="I4939" s="0" t="s">
        <v>2322</v>
      </c>
      <c r="J4939" s="0" t="s">
        <v>2358</v>
      </c>
      <c r="K4939" s="272" t="n">
        <v>271800</v>
      </c>
    </row>
    <row r="4940" customFormat="false" ht="15" hidden="false" customHeight="false" outlineLevel="0" collapsed="false">
      <c r="A4940" s="0" t="s">
        <v>2041</v>
      </c>
      <c r="B4940" s="0" t="s">
        <v>2042</v>
      </c>
      <c r="C4940" s="0" t="s">
        <v>2349</v>
      </c>
      <c r="D4940" s="0" t="s">
        <v>2105</v>
      </c>
      <c r="E4940" s="0" t="s">
        <v>2045</v>
      </c>
      <c r="F4940" s="0" t="s">
        <v>2046</v>
      </c>
      <c r="G4940" s="0" t="s">
        <v>2131</v>
      </c>
      <c r="H4940" s="0" t="s">
        <v>2126</v>
      </c>
      <c r="I4940" s="0" t="s">
        <v>2322</v>
      </c>
      <c r="J4940" s="0" t="s">
        <v>2358</v>
      </c>
      <c r="K4940" s="272" t="n">
        <v>20966.16</v>
      </c>
    </row>
    <row r="4941" customFormat="false" ht="15" hidden="false" customHeight="false" outlineLevel="0" collapsed="false">
      <c r="A4941" s="0" t="s">
        <v>2041</v>
      </c>
      <c r="B4941" s="0" t="s">
        <v>2042</v>
      </c>
      <c r="C4941" s="0" t="s">
        <v>2352</v>
      </c>
      <c r="D4941" s="0" t="s">
        <v>2105</v>
      </c>
      <c r="E4941" s="0" t="s">
        <v>2045</v>
      </c>
      <c r="F4941" s="0" t="s">
        <v>2046</v>
      </c>
      <c r="G4941" s="0" t="s">
        <v>2133</v>
      </c>
      <c r="H4941" s="0" t="s">
        <v>2134</v>
      </c>
      <c r="I4941" s="0" t="s">
        <v>2322</v>
      </c>
      <c r="J4941" s="0" t="s">
        <v>2358</v>
      </c>
      <c r="K4941" s="272" t="n">
        <v>4110000</v>
      </c>
    </row>
    <row r="4942" customFormat="false" ht="15" hidden="false" customHeight="false" outlineLevel="0" collapsed="false">
      <c r="A4942" s="0" t="s">
        <v>2041</v>
      </c>
      <c r="B4942" s="0" t="s">
        <v>2042</v>
      </c>
      <c r="C4942" s="0" t="s">
        <v>2359</v>
      </c>
      <c r="D4942" s="0" t="s">
        <v>2105</v>
      </c>
      <c r="E4942" s="0" t="s">
        <v>2045</v>
      </c>
      <c r="F4942" s="0" t="s">
        <v>2046</v>
      </c>
      <c r="G4942" s="0" t="s">
        <v>2133</v>
      </c>
      <c r="H4942" s="0" t="s">
        <v>2134</v>
      </c>
      <c r="I4942" s="0" t="s">
        <v>2322</v>
      </c>
      <c r="J4942" s="0" t="s">
        <v>2358</v>
      </c>
      <c r="K4942" s="272" t="n">
        <v>846322.53</v>
      </c>
    </row>
    <row r="4943" customFormat="false" ht="15" hidden="false" customHeight="false" outlineLevel="0" collapsed="false">
      <c r="A4943" s="0" t="s">
        <v>2041</v>
      </c>
      <c r="B4943" s="0" t="s">
        <v>2042</v>
      </c>
      <c r="C4943" s="0" t="s">
        <v>2362</v>
      </c>
      <c r="D4943" s="0" t="s">
        <v>2105</v>
      </c>
      <c r="E4943" s="0" t="s">
        <v>2045</v>
      </c>
      <c r="F4943" s="0" t="s">
        <v>2046</v>
      </c>
      <c r="G4943" s="0" t="s">
        <v>2133</v>
      </c>
      <c r="H4943" s="0" t="s">
        <v>2134</v>
      </c>
      <c r="I4943" s="0" t="s">
        <v>2322</v>
      </c>
      <c r="J4943" s="0" t="s">
        <v>2358</v>
      </c>
      <c r="K4943" s="272" t="n">
        <v>160714.28</v>
      </c>
    </row>
    <row r="4944" customFormat="false" ht="15" hidden="false" customHeight="false" outlineLevel="0" collapsed="false">
      <c r="A4944" s="0" t="s">
        <v>2041</v>
      </c>
      <c r="B4944" s="0" t="s">
        <v>2042</v>
      </c>
      <c r="C4944" s="0" t="s">
        <v>2361</v>
      </c>
      <c r="D4944" s="0" t="s">
        <v>2105</v>
      </c>
      <c r="E4944" s="0" t="s">
        <v>2045</v>
      </c>
      <c r="F4944" s="0" t="s">
        <v>2046</v>
      </c>
      <c r="G4944" s="0" t="s">
        <v>2133</v>
      </c>
      <c r="H4944" s="0" t="s">
        <v>2134</v>
      </c>
      <c r="I4944" s="0" t="s">
        <v>2322</v>
      </c>
      <c r="J4944" s="0" t="s">
        <v>2358</v>
      </c>
      <c r="K4944" s="272" t="n">
        <v>5568993.36</v>
      </c>
    </row>
    <row r="4945" customFormat="false" ht="15" hidden="false" customHeight="false" outlineLevel="0" collapsed="false">
      <c r="A4945" s="0" t="s">
        <v>2041</v>
      </c>
      <c r="B4945" s="0" t="s">
        <v>2042</v>
      </c>
      <c r="C4945" s="0" t="s">
        <v>2156</v>
      </c>
      <c r="D4945" s="0" t="s">
        <v>2105</v>
      </c>
      <c r="E4945" s="0" t="s">
        <v>2045</v>
      </c>
      <c r="F4945" s="0" t="s">
        <v>2046</v>
      </c>
      <c r="G4945" s="0" t="s">
        <v>2133</v>
      </c>
      <c r="H4945" s="0" t="s">
        <v>2134</v>
      </c>
      <c r="I4945" s="0" t="s">
        <v>2322</v>
      </c>
      <c r="J4945" s="0" t="s">
        <v>2358</v>
      </c>
      <c r="K4945" s="272" t="n">
        <v>184548957</v>
      </c>
    </row>
    <row r="4946" customFormat="false" ht="15" hidden="false" customHeight="false" outlineLevel="0" collapsed="false">
      <c r="A4946" s="0" t="s">
        <v>2041</v>
      </c>
      <c r="B4946" s="0" t="s">
        <v>2042</v>
      </c>
      <c r="C4946" s="0" t="s">
        <v>2161</v>
      </c>
      <c r="D4946" s="0" t="s">
        <v>2105</v>
      </c>
      <c r="E4946" s="0" t="s">
        <v>2045</v>
      </c>
      <c r="F4946" s="0" t="s">
        <v>2046</v>
      </c>
      <c r="G4946" s="0" t="s">
        <v>2133</v>
      </c>
      <c r="H4946" s="0" t="s">
        <v>2134</v>
      </c>
      <c r="I4946" s="0" t="s">
        <v>2322</v>
      </c>
      <c r="J4946" s="0" t="s">
        <v>2358</v>
      </c>
      <c r="K4946" s="272" t="n">
        <v>28657695.14</v>
      </c>
    </row>
    <row r="4947" customFormat="false" ht="15" hidden="false" customHeight="false" outlineLevel="0" collapsed="false">
      <c r="A4947" s="0" t="s">
        <v>2041</v>
      </c>
      <c r="B4947" s="0" t="s">
        <v>2042</v>
      </c>
      <c r="C4947" s="0" t="s">
        <v>2349</v>
      </c>
      <c r="D4947" s="0" t="s">
        <v>2105</v>
      </c>
      <c r="E4947" s="0" t="s">
        <v>2045</v>
      </c>
      <c r="F4947" s="0" t="s">
        <v>2046</v>
      </c>
      <c r="G4947" s="0" t="s">
        <v>2133</v>
      </c>
      <c r="H4947" s="0" t="s">
        <v>2134</v>
      </c>
      <c r="I4947" s="0" t="s">
        <v>2322</v>
      </c>
      <c r="J4947" s="0" t="s">
        <v>2358</v>
      </c>
      <c r="K4947" s="272" t="n">
        <v>2091863.86</v>
      </c>
    </row>
    <row r="4948" customFormat="false" ht="15" hidden="false" customHeight="false" outlineLevel="0" collapsed="false">
      <c r="A4948" s="0" t="s">
        <v>2041</v>
      </c>
      <c r="B4948" s="0" t="s">
        <v>2042</v>
      </c>
      <c r="C4948" s="0" t="s">
        <v>2352</v>
      </c>
      <c r="D4948" s="0" t="s">
        <v>2105</v>
      </c>
      <c r="E4948" s="0" t="s">
        <v>2045</v>
      </c>
      <c r="F4948" s="0" t="s">
        <v>2046</v>
      </c>
      <c r="G4948" s="0" t="s">
        <v>2135</v>
      </c>
      <c r="H4948" s="0" t="s">
        <v>2136</v>
      </c>
      <c r="I4948" s="0" t="s">
        <v>2124</v>
      </c>
      <c r="J4948" s="0" t="s">
        <v>2358</v>
      </c>
      <c r="K4948" s="272" t="n">
        <v>540000</v>
      </c>
    </row>
    <row r="4949" customFormat="false" ht="15" hidden="false" customHeight="false" outlineLevel="0" collapsed="false">
      <c r="A4949" s="0" t="s">
        <v>2041</v>
      </c>
      <c r="B4949" s="0" t="s">
        <v>2042</v>
      </c>
      <c r="C4949" s="0" t="s">
        <v>2156</v>
      </c>
      <c r="D4949" s="0" t="s">
        <v>2105</v>
      </c>
      <c r="E4949" s="0" t="s">
        <v>2045</v>
      </c>
      <c r="F4949" s="0" t="s">
        <v>2046</v>
      </c>
      <c r="G4949" s="0" t="s">
        <v>2135</v>
      </c>
      <c r="H4949" s="0" t="s">
        <v>2136</v>
      </c>
      <c r="I4949" s="0" t="s">
        <v>2124</v>
      </c>
      <c r="J4949" s="0" t="s">
        <v>2358</v>
      </c>
      <c r="K4949" s="272" t="n">
        <v>4000000</v>
      </c>
    </row>
    <row r="4950" customFormat="false" ht="15" hidden="false" customHeight="false" outlineLevel="0" collapsed="false">
      <c r="A4950" s="0" t="s">
        <v>2041</v>
      </c>
      <c r="B4950" s="0" t="s">
        <v>2042</v>
      </c>
      <c r="C4950" s="0" t="s">
        <v>2161</v>
      </c>
      <c r="D4950" s="0" t="s">
        <v>2105</v>
      </c>
      <c r="E4950" s="0" t="s">
        <v>2045</v>
      </c>
      <c r="F4950" s="0" t="s">
        <v>2046</v>
      </c>
      <c r="G4950" s="0" t="s">
        <v>2135</v>
      </c>
      <c r="H4950" s="0" t="s">
        <v>2136</v>
      </c>
      <c r="I4950" s="0" t="s">
        <v>2124</v>
      </c>
      <c r="J4950" s="0" t="s">
        <v>2358</v>
      </c>
      <c r="K4950" s="272" t="n">
        <v>814491</v>
      </c>
    </row>
    <row r="4951" customFormat="false" ht="15" hidden="false" customHeight="false" outlineLevel="0" collapsed="false">
      <c r="A4951" s="0" t="s">
        <v>2041</v>
      </c>
      <c r="B4951" s="0" t="s">
        <v>2042</v>
      </c>
      <c r="C4951" s="0" t="s">
        <v>2349</v>
      </c>
      <c r="D4951" s="0" t="s">
        <v>2105</v>
      </c>
      <c r="E4951" s="0" t="s">
        <v>2045</v>
      </c>
      <c r="F4951" s="0" t="s">
        <v>2046</v>
      </c>
      <c r="G4951" s="0" t="s">
        <v>2135</v>
      </c>
      <c r="H4951" s="0" t="s">
        <v>2136</v>
      </c>
      <c r="I4951" s="0" t="s">
        <v>2124</v>
      </c>
      <c r="J4951" s="0" t="s">
        <v>2358</v>
      </c>
      <c r="K4951" s="272" t="n">
        <v>163080</v>
      </c>
    </row>
    <row r="4952" customFormat="false" ht="15" hidden="false" customHeight="false" outlineLevel="0" collapsed="false">
      <c r="A4952" s="0" t="s">
        <v>2041</v>
      </c>
      <c r="B4952" s="0" t="s">
        <v>2042</v>
      </c>
      <c r="C4952" s="0" t="s">
        <v>2352</v>
      </c>
      <c r="D4952" s="0" t="s">
        <v>2105</v>
      </c>
      <c r="E4952" s="0" t="s">
        <v>2045</v>
      </c>
      <c r="F4952" s="0" t="s">
        <v>2046</v>
      </c>
      <c r="G4952" s="0" t="s">
        <v>2135</v>
      </c>
      <c r="H4952" s="0" t="s">
        <v>2136</v>
      </c>
      <c r="I4952" s="0" t="s">
        <v>2322</v>
      </c>
      <c r="J4952" s="0" t="s">
        <v>2358</v>
      </c>
      <c r="K4952" s="272" t="n">
        <v>4673809.52</v>
      </c>
    </row>
    <row r="4953" customFormat="false" ht="15" hidden="false" customHeight="false" outlineLevel="0" collapsed="false">
      <c r="A4953" s="0" t="s">
        <v>2041</v>
      </c>
      <c r="B4953" s="0" t="s">
        <v>2042</v>
      </c>
      <c r="C4953" s="0" t="s">
        <v>2359</v>
      </c>
      <c r="D4953" s="0" t="s">
        <v>2105</v>
      </c>
      <c r="E4953" s="0" t="s">
        <v>2045</v>
      </c>
      <c r="F4953" s="0" t="s">
        <v>2046</v>
      </c>
      <c r="G4953" s="0" t="s">
        <v>2135</v>
      </c>
      <c r="H4953" s="0" t="s">
        <v>2136</v>
      </c>
      <c r="I4953" s="0" t="s">
        <v>2322</v>
      </c>
      <c r="J4953" s="0" t="s">
        <v>2358</v>
      </c>
      <c r="K4953" s="272" t="n">
        <v>1694014.54</v>
      </c>
    </row>
    <row r="4954" customFormat="false" ht="15" hidden="false" customHeight="false" outlineLevel="0" collapsed="false">
      <c r="A4954" s="0" t="s">
        <v>2041</v>
      </c>
      <c r="B4954" s="0" t="s">
        <v>2042</v>
      </c>
      <c r="C4954" s="0" t="s">
        <v>2362</v>
      </c>
      <c r="D4954" s="0" t="s">
        <v>2105</v>
      </c>
      <c r="E4954" s="0" t="s">
        <v>2045</v>
      </c>
      <c r="F4954" s="0" t="s">
        <v>2046</v>
      </c>
      <c r="G4954" s="0" t="s">
        <v>2135</v>
      </c>
      <c r="H4954" s="0" t="s">
        <v>2136</v>
      </c>
      <c r="I4954" s="0" t="s">
        <v>2322</v>
      </c>
      <c r="J4954" s="0" t="s">
        <v>2358</v>
      </c>
      <c r="K4954" s="272" t="n">
        <v>66964.29</v>
      </c>
    </row>
    <row r="4955" customFormat="false" ht="15" hidden="false" customHeight="false" outlineLevel="0" collapsed="false">
      <c r="A4955" s="0" t="s">
        <v>2041</v>
      </c>
      <c r="B4955" s="0" t="s">
        <v>2042</v>
      </c>
      <c r="C4955" s="0" t="s">
        <v>2361</v>
      </c>
      <c r="D4955" s="0" t="s">
        <v>2105</v>
      </c>
      <c r="E4955" s="0" t="s">
        <v>2045</v>
      </c>
      <c r="F4955" s="0" t="s">
        <v>2046</v>
      </c>
      <c r="G4955" s="0" t="s">
        <v>2135</v>
      </c>
      <c r="H4955" s="0" t="s">
        <v>2136</v>
      </c>
      <c r="I4955" s="0" t="s">
        <v>2322</v>
      </c>
      <c r="J4955" s="0" t="s">
        <v>2358</v>
      </c>
      <c r="K4955" s="272" t="n">
        <v>296831.63</v>
      </c>
    </row>
    <row r="4956" customFormat="false" ht="15" hidden="false" customHeight="false" outlineLevel="0" collapsed="false">
      <c r="A4956" s="0" t="s">
        <v>2041</v>
      </c>
      <c r="B4956" s="0" t="s">
        <v>2042</v>
      </c>
      <c r="C4956" s="0" t="s">
        <v>2156</v>
      </c>
      <c r="D4956" s="0" t="s">
        <v>2105</v>
      </c>
      <c r="E4956" s="0" t="s">
        <v>2045</v>
      </c>
      <c r="F4956" s="0" t="s">
        <v>2046</v>
      </c>
      <c r="G4956" s="0" t="s">
        <v>2135</v>
      </c>
      <c r="H4956" s="0" t="s">
        <v>2136</v>
      </c>
      <c r="I4956" s="0" t="s">
        <v>2322</v>
      </c>
      <c r="J4956" s="0" t="s">
        <v>2358</v>
      </c>
      <c r="K4956" s="272" t="n">
        <v>72949385</v>
      </c>
    </row>
    <row r="4957" customFormat="false" ht="15" hidden="false" customHeight="false" outlineLevel="0" collapsed="false">
      <c r="A4957" s="0" t="s">
        <v>2041</v>
      </c>
      <c r="B4957" s="0" t="s">
        <v>2042</v>
      </c>
      <c r="C4957" s="0" t="s">
        <v>2161</v>
      </c>
      <c r="D4957" s="0" t="s">
        <v>2105</v>
      </c>
      <c r="E4957" s="0" t="s">
        <v>2045</v>
      </c>
      <c r="F4957" s="0" t="s">
        <v>2046</v>
      </c>
      <c r="G4957" s="0" t="s">
        <v>2135</v>
      </c>
      <c r="H4957" s="0" t="s">
        <v>2136</v>
      </c>
      <c r="I4957" s="0" t="s">
        <v>2322</v>
      </c>
      <c r="J4957" s="0" t="s">
        <v>2358</v>
      </c>
      <c r="K4957" s="272" t="n">
        <v>11763861.58</v>
      </c>
    </row>
    <row r="4958" customFormat="false" ht="15" hidden="false" customHeight="false" outlineLevel="0" collapsed="false">
      <c r="A4958" s="0" t="s">
        <v>2041</v>
      </c>
      <c r="B4958" s="0" t="s">
        <v>2042</v>
      </c>
      <c r="C4958" s="0" t="s">
        <v>2349</v>
      </c>
      <c r="D4958" s="0" t="s">
        <v>2105</v>
      </c>
      <c r="E4958" s="0" t="s">
        <v>2045</v>
      </c>
      <c r="F4958" s="0" t="s">
        <v>2046</v>
      </c>
      <c r="G4958" s="0" t="s">
        <v>2135</v>
      </c>
      <c r="H4958" s="0" t="s">
        <v>2136</v>
      </c>
      <c r="I4958" s="0" t="s">
        <v>2322</v>
      </c>
      <c r="J4958" s="0" t="s">
        <v>2358</v>
      </c>
      <c r="K4958" s="272" t="n">
        <v>1657806.33</v>
      </c>
    </row>
    <row r="4959" customFormat="false" ht="15" hidden="false" customHeight="false" outlineLevel="0" collapsed="false">
      <c r="A4959" s="0" t="s">
        <v>2041</v>
      </c>
      <c r="B4959" s="0" t="s">
        <v>2042</v>
      </c>
      <c r="C4959" s="0" t="s">
        <v>2352</v>
      </c>
      <c r="D4959" s="0" t="s">
        <v>2105</v>
      </c>
      <c r="E4959" s="0" t="s">
        <v>2045</v>
      </c>
      <c r="F4959" s="0" t="s">
        <v>2046</v>
      </c>
      <c r="G4959" s="0" t="s">
        <v>2137</v>
      </c>
      <c r="H4959" s="0" t="s">
        <v>2138</v>
      </c>
      <c r="I4959" s="0" t="s">
        <v>2322</v>
      </c>
      <c r="J4959" s="0" t="s">
        <v>2358</v>
      </c>
      <c r="K4959" s="272" t="n">
        <v>6136196.49</v>
      </c>
    </row>
    <row r="4960" customFormat="false" ht="15" hidden="false" customHeight="false" outlineLevel="0" collapsed="false">
      <c r="A4960" s="0" t="s">
        <v>2041</v>
      </c>
      <c r="B4960" s="0" t="s">
        <v>2042</v>
      </c>
      <c r="C4960" s="0" t="s">
        <v>2359</v>
      </c>
      <c r="D4960" s="0" t="s">
        <v>2105</v>
      </c>
      <c r="E4960" s="0" t="s">
        <v>2045</v>
      </c>
      <c r="F4960" s="0" t="s">
        <v>2046</v>
      </c>
      <c r="G4960" s="0" t="s">
        <v>2137</v>
      </c>
      <c r="H4960" s="0" t="s">
        <v>2138</v>
      </c>
      <c r="I4960" s="0" t="s">
        <v>2322</v>
      </c>
      <c r="J4960" s="0" t="s">
        <v>2358</v>
      </c>
      <c r="K4960" s="272" t="n">
        <v>1062080.41</v>
      </c>
    </row>
    <row r="4961" customFormat="false" ht="15" hidden="false" customHeight="false" outlineLevel="0" collapsed="false">
      <c r="A4961" s="0" t="s">
        <v>2041</v>
      </c>
      <c r="B4961" s="0" t="s">
        <v>2042</v>
      </c>
      <c r="C4961" s="0" t="s">
        <v>2362</v>
      </c>
      <c r="D4961" s="0" t="s">
        <v>2105</v>
      </c>
      <c r="E4961" s="0" t="s">
        <v>2045</v>
      </c>
      <c r="F4961" s="0" t="s">
        <v>2046</v>
      </c>
      <c r="G4961" s="0" t="s">
        <v>2137</v>
      </c>
      <c r="H4961" s="0" t="s">
        <v>2138</v>
      </c>
      <c r="I4961" s="0" t="s">
        <v>2322</v>
      </c>
      <c r="J4961" s="0" t="s">
        <v>2358</v>
      </c>
      <c r="K4961" s="272" t="n">
        <v>32142.86</v>
      </c>
    </row>
    <row r="4962" customFormat="false" ht="15" hidden="false" customHeight="false" outlineLevel="0" collapsed="false">
      <c r="A4962" s="0" t="s">
        <v>2041</v>
      </c>
      <c r="B4962" s="0" t="s">
        <v>2042</v>
      </c>
      <c r="C4962" s="0" t="s">
        <v>2361</v>
      </c>
      <c r="D4962" s="0" t="s">
        <v>2105</v>
      </c>
      <c r="E4962" s="0" t="s">
        <v>2045</v>
      </c>
      <c r="F4962" s="0" t="s">
        <v>2046</v>
      </c>
      <c r="G4962" s="0" t="s">
        <v>2137</v>
      </c>
      <c r="H4962" s="0" t="s">
        <v>2138</v>
      </c>
      <c r="I4962" s="0" t="s">
        <v>2322</v>
      </c>
      <c r="J4962" s="0" t="s">
        <v>2358</v>
      </c>
      <c r="K4962" s="272" t="n">
        <v>95799.92</v>
      </c>
    </row>
    <row r="4963" customFormat="false" ht="15" hidden="false" customHeight="false" outlineLevel="0" collapsed="false">
      <c r="A4963" s="0" t="s">
        <v>2041</v>
      </c>
      <c r="B4963" s="0" t="s">
        <v>2042</v>
      </c>
      <c r="C4963" s="0" t="s">
        <v>2156</v>
      </c>
      <c r="D4963" s="0" t="s">
        <v>2105</v>
      </c>
      <c r="E4963" s="0" t="s">
        <v>2045</v>
      </c>
      <c r="F4963" s="0" t="s">
        <v>2046</v>
      </c>
      <c r="G4963" s="0" t="s">
        <v>2137</v>
      </c>
      <c r="H4963" s="0" t="s">
        <v>2138</v>
      </c>
      <c r="I4963" s="0" t="s">
        <v>2322</v>
      </c>
      <c r="J4963" s="0" t="s">
        <v>2358</v>
      </c>
      <c r="K4963" s="272" t="n">
        <v>158690922</v>
      </c>
    </row>
    <row r="4964" customFormat="false" ht="15" hidden="false" customHeight="false" outlineLevel="0" collapsed="false">
      <c r="A4964" s="0" t="s">
        <v>2041</v>
      </c>
      <c r="B4964" s="0" t="s">
        <v>2042</v>
      </c>
      <c r="C4964" s="0" t="s">
        <v>2161</v>
      </c>
      <c r="D4964" s="0" t="s">
        <v>2105</v>
      </c>
      <c r="E4964" s="0" t="s">
        <v>2045</v>
      </c>
      <c r="F4964" s="0" t="s">
        <v>2046</v>
      </c>
      <c r="G4964" s="0" t="s">
        <v>2137</v>
      </c>
      <c r="H4964" s="0" t="s">
        <v>2138</v>
      </c>
      <c r="I4964" s="0" t="s">
        <v>2322</v>
      </c>
      <c r="J4964" s="0" t="s">
        <v>2358</v>
      </c>
      <c r="K4964" s="272" t="n">
        <v>25789608.48</v>
      </c>
    </row>
    <row r="4965" customFormat="false" ht="15" hidden="false" customHeight="false" outlineLevel="0" collapsed="false">
      <c r="A4965" s="0" t="s">
        <v>2041</v>
      </c>
      <c r="B4965" s="0" t="s">
        <v>2042</v>
      </c>
      <c r="C4965" s="0" t="s">
        <v>2349</v>
      </c>
      <c r="D4965" s="0" t="s">
        <v>2105</v>
      </c>
      <c r="E4965" s="0" t="s">
        <v>2045</v>
      </c>
      <c r="F4965" s="0" t="s">
        <v>2046</v>
      </c>
      <c r="G4965" s="0" t="s">
        <v>2137</v>
      </c>
      <c r="H4965" s="0" t="s">
        <v>2138</v>
      </c>
      <c r="I4965" s="0" t="s">
        <v>2322</v>
      </c>
      <c r="J4965" s="0" t="s">
        <v>2358</v>
      </c>
      <c r="K4965" s="272" t="n">
        <v>1963461.28</v>
      </c>
    </row>
    <row r="4966" customFormat="false" ht="15" hidden="false" customHeight="false" outlineLevel="0" collapsed="false">
      <c r="A4966" s="0" t="s">
        <v>2041</v>
      </c>
      <c r="B4966" s="0" t="s">
        <v>2042</v>
      </c>
      <c r="C4966" s="0" t="s">
        <v>2347</v>
      </c>
      <c r="D4966" s="0" t="s">
        <v>2105</v>
      </c>
      <c r="E4966" s="0" t="s">
        <v>2045</v>
      </c>
      <c r="F4966" s="0" t="s">
        <v>2046</v>
      </c>
      <c r="G4966" s="0" t="s">
        <v>2137</v>
      </c>
      <c r="H4966" s="0" t="s">
        <v>2138</v>
      </c>
      <c r="I4966" s="0" t="s">
        <v>2322</v>
      </c>
      <c r="J4966" s="0" t="s">
        <v>2358</v>
      </c>
      <c r="K4966" s="272" t="n">
        <v>129672.52</v>
      </c>
    </row>
    <row r="4967" customFormat="false" ht="15" hidden="false" customHeight="false" outlineLevel="0" collapsed="false">
      <c r="A4967" s="0" t="s">
        <v>2041</v>
      </c>
      <c r="B4967" s="0" t="s">
        <v>2042</v>
      </c>
      <c r="C4967" s="0" t="s">
        <v>2352</v>
      </c>
      <c r="D4967" s="0" t="s">
        <v>2105</v>
      </c>
      <c r="E4967" s="0" t="s">
        <v>2045</v>
      </c>
      <c r="F4967" s="0" t="s">
        <v>2046</v>
      </c>
      <c r="G4967" s="0" t="s">
        <v>2139</v>
      </c>
      <c r="H4967" s="0" t="s">
        <v>2136</v>
      </c>
      <c r="I4967" s="0" t="s">
        <v>2322</v>
      </c>
      <c r="J4967" s="0" t="s">
        <v>2358</v>
      </c>
      <c r="K4967" s="272" t="n">
        <v>97500</v>
      </c>
    </row>
    <row r="4968" customFormat="false" ht="15" hidden="false" customHeight="false" outlineLevel="0" collapsed="false">
      <c r="A4968" s="0" t="s">
        <v>2041</v>
      </c>
      <c r="B4968" s="0" t="s">
        <v>2042</v>
      </c>
      <c r="C4968" s="0" t="s">
        <v>2156</v>
      </c>
      <c r="D4968" s="0" t="s">
        <v>2105</v>
      </c>
      <c r="E4968" s="0" t="s">
        <v>2045</v>
      </c>
      <c r="F4968" s="0" t="s">
        <v>2046</v>
      </c>
      <c r="G4968" s="0" t="s">
        <v>2139</v>
      </c>
      <c r="H4968" s="0" t="s">
        <v>2136</v>
      </c>
      <c r="I4968" s="0" t="s">
        <v>2322</v>
      </c>
      <c r="J4968" s="0" t="s">
        <v>2358</v>
      </c>
      <c r="K4968" s="272" t="n">
        <v>500000</v>
      </c>
    </row>
    <row r="4969" customFormat="false" ht="15" hidden="false" customHeight="false" outlineLevel="0" collapsed="false">
      <c r="A4969" s="0" t="s">
        <v>2041</v>
      </c>
      <c r="B4969" s="0" t="s">
        <v>2042</v>
      </c>
      <c r="C4969" s="0" t="s">
        <v>2161</v>
      </c>
      <c r="D4969" s="0" t="s">
        <v>2105</v>
      </c>
      <c r="E4969" s="0" t="s">
        <v>2045</v>
      </c>
      <c r="F4969" s="0" t="s">
        <v>2046</v>
      </c>
      <c r="G4969" s="0" t="s">
        <v>2139</v>
      </c>
      <c r="H4969" s="0" t="s">
        <v>2136</v>
      </c>
      <c r="I4969" s="0" t="s">
        <v>2322</v>
      </c>
      <c r="J4969" s="0" t="s">
        <v>2358</v>
      </c>
      <c r="K4969" s="272" t="n">
        <v>151000</v>
      </c>
    </row>
    <row r="4970" customFormat="false" ht="15" hidden="false" customHeight="false" outlineLevel="0" collapsed="false">
      <c r="A4970" s="0" t="s">
        <v>2041</v>
      </c>
      <c r="B4970" s="0" t="s">
        <v>2042</v>
      </c>
      <c r="C4970" s="0" t="s">
        <v>2349</v>
      </c>
      <c r="D4970" s="0" t="s">
        <v>2105</v>
      </c>
      <c r="E4970" s="0" t="s">
        <v>2045</v>
      </c>
      <c r="F4970" s="0" t="s">
        <v>2046</v>
      </c>
      <c r="G4970" s="0" t="s">
        <v>2139</v>
      </c>
      <c r="H4970" s="0" t="s">
        <v>2136</v>
      </c>
      <c r="I4970" s="0" t="s">
        <v>2322</v>
      </c>
      <c r="J4970" s="0" t="s">
        <v>2358</v>
      </c>
      <c r="K4970" s="272" t="n">
        <v>29445</v>
      </c>
    </row>
    <row r="4971" customFormat="false" ht="15" hidden="false" customHeight="false" outlineLevel="0" collapsed="false">
      <c r="A4971" s="0" t="s">
        <v>2041</v>
      </c>
      <c r="B4971" s="0" t="s">
        <v>2042</v>
      </c>
      <c r="C4971" s="0" t="s">
        <v>2352</v>
      </c>
      <c r="D4971" s="0" t="s">
        <v>2105</v>
      </c>
      <c r="E4971" s="0" t="s">
        <v>2045</v>
      </c>
      <c r="F4971" s="0" t="s">
        <v>2046</v>
      </c>
      <c r="G4971" s="0" t="s">
        <v>2139</v>
      </c>
      <c r="H4971" s="0" t="s">
        <v>2140</v>
      </c>
      <c r="I4971" s="0" t="s">
        <v>2322</v>
      </c>
      <c r="J4971" s="0" t="s">
        <v>2358</v>
      </c>
      <c r="K4971" s="272" t="n">
        <v>2854166.67</v>
      </c>
    </row>
    <row r="4972" customFormat="false" ht="15" hidden="false" customHeight="false" outlineLevel="0" collapsed="false">
      <c r="A4972" s="0" t="s">
        <v>2041</v>
      </c>
      <c r="B4972" s="0" t="s">
        <v>2042</v>
      </c>
      <c r="C4972" s="0" t="s">
        <v>2359</v>
      </c>
      <c r="D4972" s="0" t="s">
        <v>2105</v>
      </c>
      <c r="E4972" s="0" t="s">
        <v>2045</v>
      </c>
      <c r="F4972" s="0" t="s">
        <v>2046</v>
      </c>
      <c r="G4972" s="0" t="s">
        <v>2139</v>
      </c>
      <c r="H4972" s="0" t="s">
        <v>2140</v>
      </c>
      <c r="I4972" s="0" t="s">
        <v>2322</v>
      </c>
      <c r="J4972" s="0" t="s">
        <v>2358</v>
      </c>
      <c r="K4972" s="272" t="n">
        <v>590113.63</v>
      </c>
    </row>
    <row r="4973" customFormat="false" ht="15" hidden="false" customHeight="false" outlineLevel="0" collapsed="false">
      <c r="A4973" s="0" t="s">
        <v>2041</v>
      </c>
      <c r="B4973" s="0" t="s">
        <v>2042</v>
      </c>
      <c r="C4973" s="0" t="s">
        <v>2156</v>
      </c>
      <c r="D4973" s="0" t="s">
        <v>2105</v>
      </c>
      <c r="E4973" s="0" t="s">
        <v>2045</v>
      </c>
      <c r="F4973" s="0" t="s">
        <v>2046</v>
      </c>
      <c r="G4973" s="0" t="s">
        <v>2139</v>
      </c>
      <c r="H4973" s="0" t="s">
        <v>2140</v>
      </c>
      <c r="I4973" s="0" t="s">
        <v>2322</v>
      </c>
      <c r="J4973" s="0" t="s">
        <v>2358</v>
      </c>
      <c r="K4973" s="272" t="n">
        <v>61783401</v>
      </c>
    </row>
    <row r="4974" customFormat="false" ht="15" hidden="false" customHeight="false" outlineLevel="0" collapsed="false">
      <c r="A4974" s="0" t="s">
        <v>2041</v>
      </c>
      <c r="B4974" s="0" t="s">
        <v>2042</v>
      </c>
      <c r="C4974" s="0" t="s">
        <v>2161</v>
      </c>
      <c r="D4974" s="0" t="s">
        <v>2105</v>
      </c>
      <c r="E4974" s="0" t="s">
        <v>2045</v>
      </c>
      <c r="F4974" s="0" t="s">
        <v>2046</v>
      </c>
      <c r="G4974" s="0" t="s">
        <v>2139</v>
      </c>
      <c r="H4974" s="0" t="s">
        <v>2140</v>
      </c>
      <c r="I4974" s="0" t="s">
        <v>2322</v>
      </c>
      <c r="J4974" s="0" t="s">
        <v>2358</v>
      </c>
      <c r="K4974" s="272" t="n">
        <v>10842353.12</v>
      </c>
    </row>
    <row r="4975" customFormat="false" ht="15" hidden="false" customHeight="false" outlineLevel="0" collapsed="false">
      <c r="A4975" s="0" t="s">
        <v>2041</v>
      </c>
      <c r="B4975" s="0" t="s">
        <v>2042</v>
      </c>
      <c r="C4975" s="0" t="s">
        <v>2349</v>
      </c>
      <c r="D4975" s="0" t="s">
        <v>2105</v>
      </c>
      <c r="E4975" s="0" t="s">
        <v>2045</v>
      </c>
      <c r="F4975" s="0" t="s">
        <v>2046</v>
      </c>
      <c r="G4975" s="0" t="s">
        <v>2139</v>
      </c>
      <c r="H4975" s="0" t="s">
        <v>2140</v>
      </c>
      <c r="I4975" s="0" t="s">
        <v>2322</v>
      </c>
      <c r="J4975" s="0" t="s">
        <v>2358</v>
      </c>
      <c r="K4975" s="272" t="n">
        <v>919649</v>
      </c>
    </row>
    <row r="4976" customFormat="false" ht="15" hidden="false" customHeight="false" outlineLevel="0" collapsed="false">
      <c r="A4976" s="0" t="s">
        <v>2041</v>
      </c>
      <c r="B4976" s="0" t="s">
        <v>2042</v>
      </c>
      <c r="C4976" s="0" t="s">
        <v>2352</v>
      </c>
      <c r="D4976" s="0" t="s">
        <v>2105</v>
      </c>
      <c r="E4976" s="0" t="s">
        <v>2045</v>
      </c>
      <c r="F4976" s="0" t="s">
        <v>2046</v>
      </c>
      <c r="G4976" s="0" t="s">
        <v>2141</v>
      </c>
      <c r="H4976" s="0" t="s">
        <v>2144</v>
      </c>
      <c r="I4976" s="0" t="s">
        <v>2322</v>
      </c>
      <c r="J4976" s="0" t="s">
        <v>2358</v>
      </c>
      <c r="K4976" s="272" t="n">
        <v>542857.145</v>
      </c>
    </row>
    <row r="4977" customFormat="false" ht="15" hidden="false" customHeight="false" outlineLevel="0" collapsed="false">
      <c r="A4977" s="0" t="s">
        <v>2041</v>
      </c>
      <c r="B4977" s="0" t="s">
        <v>2042</v>
      </c>
      <c r="C4977" s="0" t="s">
        <v>2359</v>
      </c>
      <c r="D4977" s="0" t="s">
        <v>2105</v>
      </c>
      <c r="E4977" s="0" t="s">
        <v>2045</v>
      </c>
      <c r="F4977" s="0" t="s">
        <v>2046</v>
      </c>
      <c r="G4977" s="0" t="s">
        <v>2141</v>
      </c>
      <c r="H4977" s="0" t="s">
        <v>2144</v>
      </c>
      <c r="I4977" s="0" t="s">
        <v>2322</v>
      </c>
      <c r="J4977" s="0" t="s">
        <v>2358</v>
      </c>
      <c r="K4977" s="272" t="n">
        <v>304577.3</v>
      </c>
    </row>
    <row r="4978" customFormat="false" ht="15" hidden="false" customHeight="false" outlineLevel="0" collapsed="false">
      <c r="A4978" s="0" t="s">
        <v>2041</v>
      </c>
      <c r="B4978" s="0" t="s">
        <v>2042</v>
      </c>
      <c r="C4978" s="0" t="s">
        <v>2361</v>
      </c>
      <c r="D4978" s="0" t="s">
        <v>2105</v>
      </c>
      <c r="E4978" s="0" t="s">
        <v>2045</v>
      </c>
      <c r="F4978" s="0" t="s">
        <v>2046</v>
      </c>
      <c r="G4978" s="0" t="s">
        <v>2141</v>
      </c>
      <c r="H4978" s="0" t="s">
        <v>2144</v>
      </c>
      <c r="I4978" s="0" t="s">
        <v>2322</v>
      </c>
      <c r="J4978" s="0" t="s">
        <v>2358</v>
      </c>
      <c r="K4978" s="272" t="n">
        <v>148384.67</v>
      </c>
    </row>
    <row r="4979" customFormat="false" ht="15" hidden="false" customHeight="false" outlineLevel="0" collapsed="false">
      <c r="A4979" s="0" t="s">
        <v>2041</v>
      </c>
      <c r="B4979" s="0" t="s">
        <v>2042</v>
      </c>
      <c r="C4979" s="0" t="s">
        <v>2156</v>
      </c>
      <c r="D4979" s="0" t="s">
        <v>2105</v>
      </c>
      <c r="E4979" s="0" t="s">
        <v>2045</v>
      </c>
      <c r="F4979" s="0" t="s">
        <v>2046</v>
      </c>
      <c r="G4979" s="0" t="s">
        <v>2141</v>
      </c>
      <c r="H4979" s="0" t="s">
        <v>2144</v>
      </c>
      <c r="I4979" s="0" t="s">
        <v>2322</v>
      </c>
      <c r="J4979" s="0" t="s">
        <v>2358</v>
      </c>
      <c r="K4979" s="272" t="n">
        <v>11081187.5</v>
      </c>
    </row>
    <row r="4980" customFormat="false" ht="15" hidden="false" customHeight="false" outlineLevel="0" collapsed="false">
      <c r="A4980" s="0" t="s">
        <v>2041</v>
      </c>
      <c r="B4980" s="0" t="s">
        <v>2042</v>
      </c>
      <c r="C4980" s="0" t="s">
        <v>2161</v>
      </c>
      <c r="D4980" s="0" t="s">
        <v>2105</v>
      </c>
      <c r="E4980" s="0" t="s">
        <v>2045</v>
      </c>
      <c r="F4980" s="0" t="s">
        <v>2046</v>
      </c>
      <c r="G4980" s="0" t="s">
        <v>2141</v>
      </c>
      <c r="H4980" s="0" t="s">
        <v>2144</v>
      </c>
      <c r="I4980" s="0" t="s">
        <v>2322</v>
      </c>
      <c r="J4980" s="0" t="s">
        <v>2358</v>
      </c>
      <c r="K4980" s="272" t="n">
        <v>1695421.69</v>
      </c>
    </row>
    <row r="4981" customFormat="false" ht="15" hidden="false" customHeight="false" outlineLevel="0" collapsed="false">
      <c r="A4981" s="0" t="s">
        <v>2041</v>
      </c>
      <c r="B4981" s="0" t="s">
        <v>2042</v>
      </c>
      <c r="C4981" s="0" t="s">
        <v>2349</v>
      </c>
      <c r="D4981" s="0" t="s">
        <v>2105</v>
      </c>
      <c r="E4981" s="0" t="s">
        <v>2045</v>
      </c>
      <c r="F4981" s="0" t="s">
        <v>2046</v>
      </c>
      <c r="G4981" s="0" t="s">
        <v>2141</v>
      </c>
      <c r="H4981" s="0" t="s">
        <v>2144</v>
      </c>
      <c r="I4981" s="0" t="s">
        <v>2322</v>
      </c>
      <c r="J4981" s="0" t="s">
        <v>2358</v>
      </c>
      <c r="K4981" s="272" t="n">
        <v>214377.88</v>
      </c>
    </row>
    <row r="4982" customFormat="false" ht="15" hidden="false" customHeight="false" outlineLevel="0" collapsed="false">
      <c r="A4982" s="0" t="s">
        <v>2041</v>
      </c>
      <c r="B4982" s="0" t="s">
        <v>2042</v>
      </c>
      <c r="C4982" s="0" t="s">
        <v>2352</v>
      </c>
      <c r="D4982" s="0" t="s">
        <v>2105</v>
      </c>
      <c r="E4982" s="0" t="s">
        <v>2045</v>
      </c>
      <c r="F4982" s="0" t="s">
        <v>2046</v>
      </c>
      <c r="G4982" s="0" t="s">
        <v>2141</v>
      </c>
      <c r="H4982" s="0" t="s">
        <v>2142</v>
      </c>
      <c r="I4982" s="0" t="s">
        <v>2322</v>
      </c>
      <c r="J4982" s="0" t="s">
        <v>2358</v>
      </c>
      <c r="K4982" s="272" t="n">
        <v>3558952.385</v>
      </c>
    </row>
    <row r="4983" customFormat="false" ht="15" hidden="false" customHeight="false" outlineLevel="0" collapsed="false">
      <c r="A4983" s="0" t="s">
        <v>2041</v>
      </c>
      <c r="B4983" s="0" t="s">
        <v>2042</v>
      </c>
      <c r="C4983" s="0" t="s">
        <v>2359</v>
      </c>
      <c r="D4983" s="0" t="s">
        <v>2105</v>
      </c>
      <c r="E4983" s="0" t="s">
        <v>2045</v>
      </c>
      <c r="F4983" s="0" t="s">
        <v>2046</v>
      </c>
      <c r="G4983" s="0" t="s">
        <v>2141</v>
      </c>
      <c r="H4983" s="0" t="s">
        <v>2142</v>
      </c>
      <c r="I4983" s="0" t="s">
        <v>2322</v>
      </c>
      <c r="J4983" s="0" t="s">
        <v>2358</v>
      </c>
      <c r="K4983" s="272" t="n">
        <v>514233.8</v>
      </c>
    </row>
    <row r="4984" customFormat="false" ht="15" hidden="false" customHeight="false" outlineLevel="0" collapsed="false">
      <c r="A4984" s="0" t="s">
        <v>2041</v>
      </c>
      <c r="B4984" s="0" t="s">
        <v>2042</v>
      </c>
      <c r="C4984" s="0" t="s">
        <v>2362</v>
      </c>
      <c r="D4984" s="0" t="s">
        <v>2105</v>
      </c>
      <c r="E4984" s="0" t="s">
        <v>2045</v>
      </c>
      <c r="F4984" s="0" t="s">
        <v>2046</v>
      </c>
      <c r="G4984" s="0" t="s">
        <v>2141</v>
      </c>
      <c r="H4984" s="0" t="s">
        <v>2142</v>
      </c>
      <c r="I4984" s="0" t="s">
        <v>2322</v>
      </c>
      <c r="J4984" s="0" t="s">
        <v>2358</v>
      </c>
      <c r="K4984" s="272" t="n">
        <v>67500</v>
      </c>
    </row>
    <row r="4985" customFormat="false" ht="15" hidden="false" customHeight="false" outlineLevel="0" collapsed="false">
      <c r="A4985" s="0" t="s">
        <v>2041</v>
      </c>
      <c r="B4985" s="0" t="s">
        <v>2042</v>
      </c>
      <c r="C4985" s="0" t="s">
        <v>2361</v>
      </c>
      <c r="D4985" s="0" t="s">
        <v>2105</v>
      </c>
      <c r="E4985" s="0" t="s">
        <v>2045</v>
      </c>
      <c r="F4985" s="0" t="s">
        <v>2046</v>
      </c>
      <c r="G4985" s="0" t="s">
        <v>2141</v>
      </c>
      <c r="H4985" s="0" t="s">
        <v>2142</v>
      </c>
      <c r="I4985" s="0" t="s">
        <v>2322</v>
      </c>
      <c r="J4985" s="0" t="s">
        <v>2358</v>
      </c>
      <c r="K4985" s="272" t="n">
        <v>450837.61</v>
      </c>
    </row>
    <row r="4986" customFormat="false" ht="15" hidden="false" customHeight="false" outlineLevel="0" collapsed="false">
      <c r="A4986" s="0" t="s">
        <v>2041</v>
      </c>
      <c r="B4986" s="0" t="s">
        <v>2042</v>
      </c>
      <c r="C4986" s="0" t="s">
        <v>2156</v>
      </c>
      <c r="D4986" s="0" t="s">
        <v>2105</v>
      </c>
      <c r="E4986" s="0" t="s">
        <v>2045</v>
      </c>
      <c r="F4986" s="0" t="s">
        <v>2046</v>
      </c>
      <c r="G4986" s="0" t="s">
        <v>2141</v>
      </c>
      <c r="H4986" s="0" t="s">
        <v>2142</v>
      </c>
      <c r="I4986" s="0" t="s">
        <v>2322</v>
      </c>
      <c r="J4986" s="0" t="s">
        <v>2358</v>
      </c>
      <c r="K4986" s="272" t="n">
        <v>42306187.5</v>
      </c>
    </row>
    <row r="4987" customFormat="false" ht="15" hidden="false" customHeight="false" outlineLevel="0" collapsed="false">
      <c r="A4987" s="0" t="s">
        <v>2041</v>
      </c>
      <c r="B4987" s="0" t="s">
        <v>2042</v>
      </c>
      <c r="C4987" s="0" t="s">
        <v>2161</v>
      </c>
      <c r="D4987" s="0" t="s">
        <v>2105</v>
      </c>
      <c r="E4987" s="0" t="s">
        <v>2045</v>
      </c>
      <c r="F4987" s="0" t="s">
        <v>2046</v>
      </c>
      <c r="G4987" s="0" t="s">
        <v>2141</v>
      </c>
      <c r="H4987" s="0" t="s">
        <v>2142</v>
      </c>
      <c r="I4987" s="0" t="s">
        <v>2322</v>
      </c>
      <c r="J4987" s="0" t="s">
        <v>2358</v>
      </c>
      <c r="K4987" s="272" t="n">
        <v>7468163.03</v>
      </c>
    </row>
    <row r="4988" customFormat="false" ht="15" hidden="false" customHeight="false" outlineLevel="0" collapsed="false">
      <c r="A4988" s="0" t="s">
        <v>2041</v>
      </c>
      <c r="B4988" s="0" t="s">
        <v>2042</v>
      </c>
      <c r="C4988" s="0" t="s">
        <v>2349</v>
      </c>
      <c r="D4988" s="0" t="s">
        <v>2105</v>
      </c>
      <c r="E4988" s="0" t="s">
        <v>2045</v>
      </c>
      <c r="F4988" s="0" t="s">
        <v>2046</v>
      </c>
      <c r="G4988" s="0" t="s">
        <v>2141</v>
      </c>
      <c r="H4988" s="0" t="s">
        <v>2142</v>
      </c>
      <c r="I4988" s="0" t="s">
        <v>2322</v>
      </c>
      <c r="J4988" s="0" t="s">
        <v>2358</v>
      </c>
      <c r="K4988" s="272" t="n">
        <v>1275331.14</v>
      </c>
    </row>
    <row r="4989" customFormat="false" ht="15" hidden="false" customHeight="false" outlineLevel="0" collapsed="false">
      <c r="A4989" s="0" t="s">
        <v>2041</v>
      </c>
      <c r="B4989" s="0" t="s">
        <v>2042</v>
      </c>
      <c r="C4989" s="0" t="s">
        <v>2352</v>
      </c>
      <c r="D4989" s="0" t="s">
        <v>2105</v>
      </c>
      <c r="E4989" s="0" t="s">
        <v>2045</v>
      </c>
      <c r="F4989" s="0" t="s">
        <v>2046</v>
      </c>
      <c r="G4989" s="0" t="s">
        <v>2143</v>
      </c>
      <c r="H4989" s="0" t="s">
        <v>2144</v>
      </c>
      <c r="I4989" s="0" t="s">
        <v>2322</v>
      </c>
      <c r="J4989" s="0" t="s">
        <v>2358</v>
      </c>
      <c r="K4989" s="272" t="n">
        <v>2937714.285</v>
      </c>
    </row>
    <row r="4990" customFormat="false" ht="15" hidden="false" customHeight="false" outlineLevel="0" collapsed="false">
      <c r="A4990" s="0" t="s">
        <v>2041</v>
      </c>
      <c r="B4990" s="0" t="s">
        <v>2042</v>
      </c>
      <c r="C4990" s="0" t="s">
        <v>2359</v>
      </c>
      <c r="D4990" s="0" t="s">
        <v>2105</v>
      </c>
      <c r="E4990" s="0" t="s">
        <v>2045</v>
      </c>
      <c r="F4990" s="0" t="s">
        <v>2046</v>
      </c>
      <c r="G4990" s="0" t="s">
        <v>2143</v>
      </c>
      <c r="H4990" s="0" t="s">
        <v>2144</v>
      </c>
      <c r="I4990" s="0" t="s">
        <v>2322</v>
      </c>
      <c r="J4990" s="0" t="s">
        <v>2358</v>
      </c>
      <c r="K4990" s="272" t="n">
        <v>556725.04</v>
      </c>
    </row>
    <row r="4991" customFormat="false" ht="15" hidden="false" customHeight="false" outlineLevel="0" collapsed="false">
      <c r="A4991" s="0" t="s">
        <v>2041</v>
      </c>
      <c r="B4991" s="0" t="s">
        <v>2042</v>
      </c>
      <c r="C4991" s="0" t="s">
        <v>2361</v>
      </c>
      <c r="D4991" s="0" t="s">
        <v>2105</v>
      </c>
      <c r="E4991" s="0" t="s">
        <v>2045</v>
      </c>
      <c r="F4991" s="0" t="s">
        <v>2046</v>
      </c>
      <c r="G4991" s="0" t="s">
        <v>2143</v>
      </c>
      <c r="H4991" s="0" t="s">
        <v>2144</v>
      </c>
      <c r="I4991" s="0" t="s">
        <v>2322</v>
      </c>
      <c r="J4991" s="0" t="s">
        <v>2358</v>
      </c>
      <c r="K4991" s="272" t="n">
        <v>342116.75</v>
      </c>
    </row>
    <row r="4992" customFormat="false" ht="15" hidden="false" customHeight="false" outlineLevel="0" collapsed="false">
      <c r="A4992" s="0" t="s">
        <v>2041</v>
      </c>
      <c r="B4992" s="0" t="s">
        <v>2042</v>
      </c>
      <c r="C4992" s="0" t="s">
        <v>2156</v>
      </c>
      <c r="D4992" s="0" t="s">
        <v>2105</v>
      </c>
      <c r="E4992" s="0" t="s">
        <v>2045</v>
      </c>
      <c r="F4992" s="0" t="s">
        <v>2046</v>
      </c>
      <c r="G4992" s="0" t="s">
        <v>2143</v>
      </c>
      <c r="H4992" s="0" t="s">
        <v>2144</v>
      </c>
      <c r="I4992" s="0" t="s">
        <v>2322</v>
      </c>
      <c r="J4992" s="0" t="s">
        <v>2358</v>
      </c>
      <c r="K4992" s="272" t="n">
        <v>51700000</v>
      </c>
    </row>
    <row r="4993" customFormat="false" ht="15" hidden="false" customHeight="false" outlineLevel="0" collapsed="false">
      <c r="A4993" s="0" t="s">
        <v>2041</v>
      </c>
      <c r="B4993" s="0" t="s">
        <v>2042</v>
      </c>
      <c r="C4993" s="0" t="s">
        <v>2360</v>
      </c>
      <c r="D4993" s="0" t="s">
        <v>2105</v>
      </c>
      <c r="E4993" s="0" t="s">
        <v>2045</v>
      </c>
      <c r="F4993" s="0" t="s">
        <v>2046</v>
      </c>
      <c r="G4993" s="0" t="s">
        <v>2143</v>
      </c>
      <c r="H4993" s="0" t="s">
        <v>2144</v>
      </c>
      <c r="I4993" s="0" t="s">
        <v>2322</v>
      </c>
      <c r="J4993" s="0" t="s">
        <v>2358</v>
      </c>
      <c r="K4993" s="272" t="n">
        <v>18</v>
      </c>
    </row>
    <row r="4994" customFormat="false" ht="15" hidden="false" customHeight="false" outlineLevel="0" collapsed="false">
      <c r="A4994" s="0" t="s">
        <v>2041</v>
      </c>
      <c r="B4994" s="0" t="s">
        <v>2042</v>
      </c>
      <c r="C4994" s="0" t="s">
        <v>2161</v>
      </c>
      <c r="D4994" s="0" t="s">
        <v>2105</v>
      </c>
      <c r="E4994" s="0" t="s">
        <v>2045</v>
      </c>
      <c r="F4994" s="0" t="s">
        <v>2046</v>
      </c>
      <c r="G4994" s="0" t="s">
        <v>2143</v>
      </c>
      <c r="H4994" s="0" t="s">
        <v>2144</v>
      </c>
      <c r="I4994" s="0" t="s">
        <v>2322</v>
      </c>
      <c r="J4994" s="0" t="s">
        <v>2358</v>
      </c>
      <c r="K4994" s="272" t="n">
        <v>8970490.5</v>
      </c>
    </row>
    <row r="4995" customFormat="false" ht="15" hidden="false" customHeight="false" outlineLevel="0" collapsed="false">
      <c r="A4995" s="0" t="s">
        <v>2041</v>
      </c>
      <c r="B4995" s="0" t="s">
        <v>2042</v>
      </c>
      <c r="C4995" s="0" t="s">
        <v>2349</v>
      </c>
      <c r="D4995" s="0" t="s">
        <v>2105</v>
      </c>
      <c r="E4995" s="0" t="s">
        <v>2045</v>
      </c>
      <c r="F4995" s="0" t="s">
        <v>2046</v>
      </c>
      <c r="G4995" s="0" t="s">
        <v>2143</v>
      </c>
      <c r="H4995" s="0" t="s">
        <v>2144</v>
      </c>
      <c r="I4995" s="0" t="s">
        <v>2322</v>
      </c>
      <c r="J4995" s="0" t="s">
        <v>2358</v>
      </c>
      <c r="K4995" s="272" t="n">
        <v>985136.37</v>
      </c>
    </row>
    <row r="4996" customFormat="false" ht="15" hidden="false" customHeight="false" outlineLevel="0" collapsed="false">
      <c r="A4996" s="0" t="s">
        <v>2041</v>
      </c>
      <c r="B4996" s="0" t="s">
        <v>2042</v>
      </c>
      <c r="C4996" s="0" t="s">
        <v>2352</v>
      </c>
      <c r="D4996" s="0" t="s">
        <v>2105</v>
      </c>
      <c r="E4996" s="0" t="s">
        <v>2045</v>
      </c>
      <c r="F4996" s="0" t="s">
        <v>2046</v>
      </c>
      <c r="G4996" s="0" t="s">
        <v>2143</v>
      </c>
      <c r="H4996" s="0" t="s">
        <v>2142</v>
      </c>
      <c r="I4996" s="0" t="s">
        <v>2322</v>
      </c>
      <c r="J4996" s="0" t="s">
        <v>2358</v>
      </c>
      <c r="K4996" s="272" t="n">
        <v>448809.525</v>
      </c>
    </row>
    <row r="4997" customFormat="false" ht="15" hidden="false" customHeight="false" outlineLevel="0" collapsed="false">
      <c r="A4997" s="0" t="s">
        <v>2041</v>
      </c>
      <c r="B4997" s="0" t="s">
        <v>2042</v>
      </c>
      <c r="C4997" s="0" t="s">
        <v>2359</v>
      </c>
      <c r="D4997" s="0" t="s">
        <v>2105</v>
      </c>
      <c r="E4997" s="0" t="s">
        <v>2045</v>
      </c>
      <c r="F4997" s="0" t="s">
        <v>2046</v>
      </c>
      <c r="G4997" s="0" t="s">
        <v>2143</v>
      </c>
      <c r="H4997" s="0" t="s">
        <v>2142</v>
      </c>
      <c r="I4997" s="0" t="s">
        <v>2322</v>
      </c>
      <c r="J4997" s="0" t="s">
        <v>2358</v>
      </c>
      <c r="K4997" s="272" t="n">
        <v>284464.26</v>
      </c>
    </row>
    <row r="4998" customFormat="false" ht="15" hidden="false" customHeight="false" outlineLevel="0" collapsed="false">
      <c r="A4998" s="0" t="s">
        <v>2041</v>
      </c>
      <c r="B4998" s="0" t="s">
        <v>2042</v>
      </c>
      <c r="C4998" s="0" t="s">
        <v>2361</v>
      </c>
      <c r="D4998" s="0" t="s">
        <v>2105</v>
      </c>
      <c r="E4998" s="0" t="s">
        <v>2045</v>
      </c>
      <c r="F4998" s="0" t="s">
        <v>2046</v>
      </c>
      <c r="G4998" s="0" t="s">
        <v>2143</v>
      </c>
      <c r="H4998" s="0" t="s">
        <v>2142</v>
      </c>
      <c r="I4998" s="0" t="s">
        <v>2322</v>
      </c>
      <c r="J4998" s="0" t="s">
        <v>2358</v>
      </c>
      <c r="K4998" s="272" t="n">
        <v>213618.53</v>
      </c>
    </row>
    <row r="4999" customFormat="false" ht="15" hidden="false" customHeight="false" outlineLevel="0" collapsed="false">
      <c r="A4999" s="0" t="s">
        <v>2041</v>
      </c>
      <c r="B4999" s="0" t="s">
        <v>2042</v>
      </c>
      <c r="C4999" s="0" t="s">
        <v>2156</v>
      </c>
      <c r="D4999" s="0" t="s">
        <v>2105</v>
      </c>
      <c r="E4999" s="0" t="s">
        <v>2045</v>
      </c>
      <c r="F4999" s="0" t="s">
        <v>2046</v>
      </c>
      <c r="G4999" s="0" t="s">
        <v>2143</v>
      </c>
      <c r="H4999" s="0" t="s">
        <v>2142</v>
      </c>
      <c r="I4999" s="0" t="s">
        <v>2322</v>
      </c>
      <c r="J4999" s="0" t="s">
        <v>2358</v>
      </c>
      <c r="K4999" s="272" t="n">
        <v>15000000</v>
      </c>
    </row>
    <row r="5000" customFormat="false" ht="15" hidden="false" customHeight="false" outlineLevel="0" collapsed="false">
      <c r="A5000" s="0" t="s">
        <v>2041</v>
      </c>
      <c r="B5000" s="0" t="s">
        <v>2042</v>
      </c>
      <c r="C5000" s="0" t="s">
        <v>2161</v>
      </c>
      <c r="D5000" s="0" t="s">
        <v>2105</v>
      </c>
      <c r="E5000" s="0" t="s">
        <v>2045</v>
      </c>
      <c r="F5000" s="0" t="s">
        <v>2046</v>
      </c>
      <c r="G5000" s="0" t="s">
        <v>2143</v>
      </c>
      <c r="H5000" s="0" t="s">
        <v>2142</v>
      </c>
      <c r="I5000" s="0" t="s">
        <v>2322</v>
      </c>
      <c r="J5000" s="0" t="s">
        <v>2358</v>
      </c>
      <c r="K5000" s="272" t="n">
        <v>2295000</v>
      </c>
    </row>
    <row r="5001" customFormat="false" ht="15" hidden="false" customHeight="false" outlineLevel="0" collapsed="false">
      <c r="A5001" s="0" t="s">
        <v>2041</v>
      </c>
      <c r="B5001" s="0" t="s">
        <v>2042</v>
      </c>
      <c r="C5001" s="0" t="s">
        <v>2349</v>
      </c>
      <c r="D5001" s="0" t="s">
        <v>2105</v>
      </c>
      <c r="E5001" s="0" t="s">
        <v>2045</v>
      </c>
      <c r="F5001" s="0" t="s">
        <v>2046</v>
      </c>
      <c r="G5001" s="0" t="s">
        <v>2143</v>
      </c>
      <c r="H5001" s="0" t="s">
        <v>2142</v>
      </c>
      <c r="I5001" s="0" t="s">
        <v>2322</v>
      </c>
      <c r="J5001" s="0" t="s">
        <v>2358</v>
      </c>
      <c r="K5001" s="272" t="n">
        <v>144874.52</v>
      </c>
    </row>
    <row r="5002" customFormat="false" ht="15" hidden="false" customHeight="false" outlineLevel="0" collapsed="false">
      <c r="A5002" s="0" t="s">
        <v>2041</v>
      </c>
      <c r="B5002" s="0" t="s">
        <v>2042</v>
      </c>
      <c r="C5002" s="0" t="s">
        <v>2352</v>
      </c>
      <c r="D5002" s="0" t="s">
        <v>2105</v>
      </c>
      <c r="E5002" s="0" t="s">
        <v>2045</v>
      </c>
      <c r="F5002" s="0" t="s">
        <v>2046</v>
      </c>
      <c r="G5002" s="0" t="s">
        <v>2145</v>
      </c>
      <c r="H5002" s="0" t="s">
        <v>2146</v>
      </c>
      <c r="I5002" s="0" t="s">
        <v>2124</v>
      </c>
      <c r="J5002" s="0" t="s">
        <v>2358</v>
      </c>
      <c r="K5002" s="272" t="n">
        <v>523809.52</v>
      </c>
    </row>
    <row r="5003" customFormat="false" ht="15" hidden="false" customHeight="false" outlineLevel="0" collapsed="false">
      <c r="A5003" s="0" t="s">
        <v>2041</v>
      </c>
      <c r="B5003" s="0" t="s">
        <v>2042</v>
      </c>
      <c r="C5003" s="0" t="s">
        <v>2359</v>
      </c>
      <c r="D5003" s="0" t="s">
        <v>2105</v>
      </c>
      <c r="E5003" s="0" t="s">
        <v>2045</v>
      </c>
      <c r="F5003" s="0" t="s">
        <v>2046</v>
      </c>
      <c r="G5003" s="0" t="s">
        <v>2145</v>
      </c>
      <c r="H5003" s="0" t="s">
        <v>2146</v>
      </c>
      <c r="I5003" s="0" t="s">
        <v>2124</v>
      </c>
      <c r="J5003" s="0" t="s">
        <v>2358</v>
      </c>
      <c r="K5003" s="272" t="n">
        <v>47425.27</v>
      </c>
    </row>
    <row r="5004" customFormat="false" ht="15" hidden="false" customHeight="false" outlineLevel="0" collapsed="false">
      <c r="A5004" s="0" t="s">
        <v>2041</v>
      </c>
      <c r="B5004" s="0" t="s">
        <v>2042</v>
      </c>
      <c r="C5004" s="0" t="s">
        <v>2156</v>
      </c>
      <c r="D5004" s="0" t="s">
        <v>2105</v>
      </c>
      <c r="E5004" s="0" t="s">
        <v>2045</v>
      </c>
      <c r="F5004" s="0" t="s">
        <v>2046</v>
      </c>
      <c r="G5004" s="0" t="s">
        <v>2145</v>
      </c>
      <c r="H5004" s="0" t="s">
        <v>2146</v>
      </c>
      <c r="I5004" s="0" t="s">
        <v>2124</v>
      </c>
      <c r="J5004" s="0" t="s">
        <v>2358</v>
      </c>
      <c r="K5004" s="272" t="n">
        <v>2500000</v>
      </c>
    </row>
    <row r="5005" customFormat="false" ht="15" hidden="false" customHeight="false" outlineLevel="0" collapsed="false">
      <c r="A5005" s="0" t="s">
        <v>2041</v>
      </c>
      <c r="B5005" s="0" t="s">
        <v>2042</v>
      </c>
      <c r="C5005" s="0" t="s">
        <v>2161</v>
      </c>
      <c r="D5005" s="0" t="s">
        <v>2105</v>
      </c>
      <c r="E5005" s="0" t="s">
        <v>2045</v>
      </c>
      <c r="F5005" s="0" t="s">
        <v>2046</v>
      </c>
      <c r="G5005" s="0" t="s">
        <v>2145</v>
      </c>
      <c r="H5005" s="0" t="s">
        <v>2146</v>
      </c>
      <c r="I5005" s="0" t="s">
        <v>2124</v>
      </c>
      <c r="J5005" s="0" t="s">
        <v>2358</v>
      </c>
      <c r="K5005" s="272" t="n">
        <v>575780.8</v>
      </c>
    </row>
    <row r="5006" customFormat="false" ht="15" hidden="false" customHeight="false" outlineLevel="0" collapsed="false">
      <c r="A5006" s="0" t="s">
        <v>2041</v>
      </c>
      <c r="B5006" s="0" t="s">
        <v>2042</v>
      </c>
      <c r="C5006" s="0" t="s">
        <v>2349</v>
      </c>
      <c r="D5006" s="0" t="s">
        <v>2105</v>
      </c>
      <c r="E5006" s="0" t="s">
        <v>2045</v>
      </c>
      <c r="F5006" s="0" t="s">
        <v>2046</v>
      </c>
      <c r="G5006" s="0" t="s">
        <v>2145</v>
      </c>
      <c r="H5006" s="0" t="s">
        <v>2146</v>
      </c>
      <c r="I5006" s="0" t="s">
        <v>2124</v>
      </c>
      <c r="J5006" s="0" t="s">
        <v>2358</v>
      </c>
      <c r="K5006" s="272" t="n">
        <v>165502.69</v>
      </c>
    </row>
    <row r="5007" customFormat="false" ht="15" hidden="false" customHeight="false" outlineLevel="0" collapsed="false">
      <c r="A5007" s="0" t="s">
        <v>2041</v>
      </c>
      <c r="B5007" s="0" t="s">
        <v>2042</v>
      </c>
      <c r="C5007" s="0" t="s">
        <v>2352</v>
      </c>
      <c r="D5007" s="0" t="s">
        <v>2105</v>
      </c>
      <c r="E5007" s="0" t="s">
        <v>2045</v>
      </c>
      <c r="F5007" s="0" t="s">
        <v>2046</v>
      </c>
      <c r="G5007" s="0" t="s">
        <v>2145</v>
      </c>
      <c r="H5007" s="0" t="s">
        <v>2146</v>
      </c>
      <c r="I5007" s="0" t="s">
        <v>2322</v>
      </c>
      <c r="J5007" s="0" t="s">
        <v>2358</v>
      </c>
      <c r="K5007" s="272" t="n">
        <v>3504047.62</v>
      </c>
    </row>
    <row r="5008" customFormat="false" ht="15" hidden="false" customHeight="false" outlineLevel="0" collapsed="false">
      <c r="A5008" s="0" t="s">
        <v>2041</v>
      </c>
      <c r="B5008" s="0" t="s">
        <v>2042</v>
      </c>
      <c r="C5008" s="0" t="s">
        <v>2359</v>
      </c>
      <c r="D5008" s="0" t="s">
        <v>2105</v>
      </c>
      <c r="E5008" s="0" t="s">
        <v>2045</v>
      </c>
      <c r="F5008" s="0" t="s">
        <v>2046</v>
      </c>
      <c r="G5008" s="0" t="s">
        <v>2145</v>
      </c>
      <c r="H5008" s="0" t="s">
        <v>2146</v>
      </c>
      <c r="I5008" s="0" t="s">
        <v>2322</v>
      </c>
      <c r="J5008" s="0" t="s">
        <v>2358</v>
      </c>
      <c r="K5008" s="272" t="n">
        <v>633240.63</v>
      </c>
    </row>
    <row r="5009" customFormat="false" ht="15" hidden="false" customHeight="false" outlineLevel="0" collapsed="false">
      <c r="A5009" s="0" t="s">
        <v>2041</v>
      </c>
      <c r="B5009" s="0" t="s">
        <v>2042</v>
      </c>
      <c r="C5009" s="0" t="s">
        <v>2361</v>
      </c>
      <c r="D5009" s="0" t="s">
        <v>2105</v>
      </c>
      <c r="E5009" s="0" t="s">
        <v>2045</v>
      </c>
      <c r="F5009" s="0" t="s">
        <v>2046</v>
      </c>
      <c r="G5009" s="0" t="s">
        <v>2145</v>
      </c>
      <c r="H5009" s="0" t="s">
        <v>2146</v>
      </c>
      <c r="I5009" s="0" t="s">
        <v>2322</v>
      </c>
      <c r="J5009" s="0" t="s">
        <v>2358</v>
      </c>
      <c r="K5009" s="272" t="n">
        <v>225128.8</v>
      </c>
    </row>
    <row r="5010" customFormat="false" ht="15" hidden="false" customHeight="false" outlineLevel="0" collapsed="false">
      <c r="A5010" s="0" t="s">
        <v>2041</v>
      </c>
      <c r="B5010" s="0" t="s">
        <v>2042</v>
      </c>
      <c r="C5010" s="0" t="s">
        <v>2156</v>
      </c>
      <c r="D5010" s="0" t="s">
        <v>2105</v>
      </c>
      <c r="E5010" s="0" t="s">
        <v>2045</v>
      </c>
      <c r="F5010" s="0" t="s">
        <v>2046</v>
      </c>
      <c r="G5010" s="0" t="s">
        <v>2145</v>
      </c>
      <c r="H5010" s="0" t="s">
        <v>2146</v>
      </c>
      <c r="I5010" s="0" t="s">
        <v>2322</v>
      </c>
      <c r="J5010" s="0" t="s">
        <v>2358</v>
      </c>
      <c r="K5010" s="272" t="n">
        <v>61000000</v>
      </c>
    </row>
    <row r="5011" customFormat="false" ht="15" hidden="false" customHeight="false" outlineLevel="0" collapsed="false">
      <c r="A5011" s="0" t="s">
        <v>2041</v>
      </c>
      <c r="B5011" s="0" t="s">
        <v>2042</v>
      </c>
      <c r="C5011" s="0" t="s">
        <v>2360</v>
      </c>
      <c r="D5011" s="0" t="s">
        <v>2105</v>
      </c>
      <c r="E5011" s="0" t="s">
        <v>2045</v>
      </c>
      <c r="F5011" s="0" t="s">
        <v>2046</v>
      </c>
      <c r="G5011" s="0" t="s">
        <v>2145</v>
      </c>
      <c r="H5011" s="0" t="s">
        <v>2146</v>
      </c>
      <c r="I5011" s="0" t="s">
        <v>2322</v>
      </c>
      <c r="J5011" s="0" t="s">
        <v>2358</v>
      </c>
      <c r="K5011" s="272" t="n">
        <v>7478</v>
      </c>
    </row>
    <row r="5012" customFormat="false" ht="15" hidden="false" customHeight="false" outlineLevel="0" collapsed="false">
      <c r="A5012" s="0" t="s">
        <v>2041</v>
      </c>
      <c r="B5012" s="0" t="s">
        <v>2042</v>
      </c>
      <c r="C5012" s="0" t="s">
        <v>2161</v>
      </c>
      <c r="D5012" s="0" t="s">
        <v>2105</v>
      </c>
      <c r="E5012" s="0" t="s">
        <v>2045</v>
      </c>
      <c r="F5012" s="0" t="s">
        <v>2046</v>
      </c>
      <c r="G5012" s="0" t="s">
        <v>2145</v>
      </c>
      <c r="H5012" s="0" t="s">
        <v>2146</v>
      </c>
      <c r="I5012" s="0" t="s">
        <v>2322</v>
      </c>
      <c r="J5012" s="0" t="s">
        <v>2358</v>
      </c>
      <c r="K5012" s="272" t="n">
        <v>9720239.61</v>
      </c>
    </row>
    <row r="5013" customFormat="false" ht="15" hidden="false" customHeight="false" outlineLevel="0" collapsed="false">
      <c r="A5013" s="0" t="s">
        <v>2041</v>
      </c>
      <c r="B5013" s="0" t="s">
        <v>2042</v>
      </c>
      <c r="C5013" s="0" t="s">
        <v>2349</v>
      </c>
      <c r="D5013" s="0" t="s">
        <v>2105</v>
      </c>
      <c r="E5013" s="0" t="s">
        <v>2045</v>
      </c>
      <c r="F5013" s="0" t="s">
        <v>2046</v>
      </c>
      <c r="G5013" s="0" t="s">
        <v>2145</v>
      </c>
      <c r="H5013" s="0" t="s">
        <v>2146</v>
      </c>
      <c r="I5013" s="0" t="s">
        <v>2322</v>
      </c>
      <c r="J5013" s="0" t="s">
        <v>2358</v>
      </c>
      <c r="K5013" s="272" t="n">
        <v>1152841.76</v>
      </c>
    </row>
    <row r="5014" customFormat="false" ht="15" hidden="false" customHeight="false" outlineLevel="0" collapsed="false">
      <c r="A5014" s="0" t="s">
        <v>2041</v>
      </c>
      <c r="B5014" s="0" t="s">
        <v>2042</v>
      </c>
      <c r="C5014" s="0" t="s">
        <v>2352</v>
      </c>
      <c r="D5014" s="0" t="s">
        <v>2105</v>
      </c>
      <c r="E5014" s="0" t="s">
        <v>2045</v>
      </c>
      <c r="F5014" s="0" t="s">
        <v>2046</v>
      </c>
      <c r="G5014" s="0" t="s">
        <v>2147</v>
      </c>
      <c r="H5014" s="0" t="s">
        <v>2126</v>
      </c>
      <c r="I5014" s="0" t="s">
        <v>2124</v>
      </c>
      <c r="J5014" s="0" t="s">
        <v>2358</v>
      </c>
      <c r="K5014" s="272" t="n">
        <v>483099.27</v>
      </c>
    </row>
    <row r="5015" customFormat="false" ht="15" hidden="false" customHeight="false" outlineLevel="0" collapsed="false">
      <c r="A5015" s="0" t="s">
        <v>2041</v>
      </c>
      <c r="B5015" s="0" t="s">
        <v>2042</v>
      </c>
      <c r="C5015" s="0" t="s">
        <v>2359</v>
      </c>
      <c r="D5015" s="0" t="s">
        <v>2105</v>
      </c>
      <c r="E5015" s="0" t="s">
        <v>2045</v>
      </c>
      <c r="F5015" s="0" t="s">
        <v>2046</v>
      </c>
      <c r="G5015" s="0" t="s">
        <v>2147</v>
      </c>
      <c r="H5015" s="0" t="s">
        <v>2126</v>
      </c>
      <c r="I5015" s="0" t="s">
        <v>2124</v>
      </c>
      <c r="J5015" s="0" t="s">
        <v>2358</v>
      </c>
      <c r="K5015" s="272" t="n">
        <v>104839.76</v>
      </c>
    </row>
    <row r="5016" customFormat="false" ht="15" hidden="false" customHeight="false" outlineLevel="0" collapsed="false">
      <c r="A5016" s="0" t="s">
        <v>2041</v>
      </c>
      <c r="B5016" s="0" t="s">
        <v>2042</v>
      </c>
      <c r="C5016" s="0" t="s">
        <v>2361</v>
      </c>
      <c r="D5016" s="0" t="s">
        <v>2105</v>
      </c>
      <c r="E5016" s="0" t="s">
        <v>2045</v>
      </c>
      <c r="F5016" s="0" t="s">
        <v>2046</v>
      </c>
      <c r="G5016" s="0" t="s">
        <v>2147</v>
      </c>
      <c r="H5016" s="0" t="s">
        <v>2126</v>
      </c>
      <c r="I5016" s="0" t="s">
        <v>2124</v>
      </c>
      <c r="J5016" s="0" t="s">
        <v>2358</v>
      </c>
      <c r="K5016" s="272" t="n">
        <v>24.74</v>
      </c>
    </row>
    <row r="5017" customFormat="false" ht="15" hidden="false" customHeight="false" outlineLevel="0" collapsed="false">
      <c r="A5017" s="0" t="s">
        <v>2041</v>
      </c>
      <c r="B5017" s="0" t="s">
        <v>2042</v>
      </c>
      <c r="C5017" s="0" t="s">
        <v>2156</v>
      </c>
      <c r="D5017" s="0" t="s">
        <v>2105</v>
      </c>
      <c r="E5017" s="0" t="s">
        <v>2045</v>
      </c>
      <c r="F5017" s="0" t="s">
        <v>2046</v>
      </c>
      <c r="G5017" s="0" t="s">
        <v>2147</v>
      </c>
      <c r="H5017" s="0" t="s">
        <v>2126</v>
      </c>
      <c r="I5017" s="0" t="s">
        <v>2124</v>
      </c>
      <c r="J5017" s="0" t="s">
        <v>2358</v>
      </c>
      <c r="K5017" s="272" t="n">
        <v>2199999.4</v>
      </c>
    </row>
    <row r="5018" customFormat="false" ht="15" hidden="false" customHeight="false" outlineLevel="0" collapsed="false">
      <c r="A5018" s="0" t="s">
        <v>2041</v>
      </c>
      <c r="B5018" s="0" t="s">
        <v>2042</v>
      </c>
      <c r="C5018" s="0" t="s">
        <v>2360</v>
      </c>
      <c r="D5018" s="0" t="s">
        <v>2105</v>
      </c>
      <c r="E5018" s="0" t="s">
        <v>2045</v>
      </c>
      <c r="F5018" s="0" t="s">
        <v>2046</v>
      </c>
      <c r="G5018" s="0" t="s">
        <v>2147</v>
      </c>
      <c r="H5018" s="0" t="s">
        <v>2126</v>
      </c>
      <c r="I5018" s="0" t="s">
        <v>2124</v>
      </c>
      <c r="J5018" s="0" t="s">
        <v>2358</v>
      </c>
      <c r="K5018" s="272" t="n">
        <v>6419</v>
      </c>
    </row>
    <row r="5019" customFormat="false" ht="15" hidden="false" customHeight="false" outlineLevel="0" collapsed="false">
      <c r="A5019" s="0" t="s">
        <v>2041</v>
      </c>
      <c r="B5019" s="0" t="s">
        <v>2042</v>
      </c>
      <c r="C5019" s="0" t="s">
        <v>2161</v>
      </c>
      <c r="D5019" s="0" t="s">
        <v>2105</v>
      </c>
      <c r="E5019" s="0" t="s">
        <v>2045</v>
      </c>
      <c r="F5019" s="0" t="s">
        <v>2046</v>
      </c>
      <c r="G5019" s="0" t="s">
        <v>2147</v>
      </c>
      <c r="H5019" s="0" t="s">
        <v>2126</v>
      </c>
      <c r="I5019" s="0" t="s">
        <v>2124</v>
      </c>
      <c r="J5019" s="0" t="s">
        <v>2358</v>
      </c>
      <c r="K5019" s="272" t="n">
        <v>664399.82</v>
      </c>
    </row>
    <row r="5020" customFormat="false" ht="15" hidden="false" customHeight="false" outlineLevel="0" collapsed="false">
      <c r="A5020" s="0" t="s">
        <v>2041</v>
      </c>
      <c r="B5020" s="0" t="s">
        <v>2042</v>
      </c>
      <c r="C5020" s="0" t="s">
        <v>2349</v>
      </c>
      <c r="D5020" s="0" t="s">
        <v>2105</v>
      </c>
      <c r="E5020" s="0" t="s">
        <v>2045</v>
      </c>
      <c r="F5020" s="0" t="s">
        <v>2046</v>
      </c>
      <c r="G5020" s="0" t="s">
        <v>2147</v>
      </c>
      <c r="H5020" s="0" t="s">
        <v>2126</v>
      </c>
      <c r="I5020" s="0" t="s">
        <v>2124</v>
      </c>
      <c r="J5020" s="0" t="s">
        <v>2358</v>
      </c>
      <c r="K5020" s="272" t="n">
        <v>179503.61</v>
      </c>
    </row>
    <row r="5021" customFormat="false" ht="15" hidden="false" customHeight="false" outlineLevel="0" collapsed="false">
      <c r="A5021" s="0" t="s">
        <v>2041</v>
      </c>
      <c r="B5021" s="0" t="s">
        <v>2042</v>
      </c>
      <c r="C5021" s="0" t="s">
        <v>2352</v>
      </c>
      <c r="D5021" s="0" t="s">
        <v>2105</v>
      </c>
      <c r="E5021" s="0" t="s">
        <v>2045</v>
      </c>
      <c r="F5021" s="0" t="s">
        <v>2046</v>
      </c>
      <c r="G5021" s="0" t="s">
        <v>2147</v>
      </c>
      <c r="H5021" s="0" t="s">
        <v>2126</v>
      </c>
      <c r="I5021" s="0" t="s">
        <v>2322</v>
      </c>
      <c r="J5021" s="0" t="s">
        <v>2358</v>
      </c>
      <c r="K5021" s="272" t="n">
        <v>6027305.78</v>
      </c>
    </row>
    <row r="5022" customFormat="false" ht="15" hidden="false" customHeight="false" outlineLevel="0" collapsed="false">
      <c r="A5022" s="0" t="s">
        <v>2041</v>
      </c>
      <c r="B5022" s="0" t="s">
        <v>2042</v>
      </c>
      <c r="C5022" s="0" t="s">
        <v>2359</v>
      </c>
      <c r="D5022" s="0" t="s">
        <v>2105</v>
      </c>
      <c r="E5022" s="0" t="s">
        <v>2045</v>
      </c>
      <c r="F5022" s="0" t="s">
        <v>2046</v>
      </c>
      <c r="G5022" s="0" t="s">
        <v>2147</v>
      </c>
      <c r="H5022" s="0" t="s">
        <v>2126</v>
      </c>
      <c r="I5022" s="0" t="s">
        <v>2322</v>
      </c>
      <c r="J5022" s="0" t="s">
        <v>2358</v>
      </c>
      <c r="K5022" s="272" t="n">
        <v>4497074.43</v>
      </c>
    </row>
    <row r="5023" customFormat="false" ht="15" hidden="false" customHeight="false" outlineLevel="0" collapsed="false">
      <c r="A5023" s="0" t="s">
        <v>2041</v>
      </c>
      <c r="B5023" s="0" t="s">
        <v>2042</v>
      </c>
      <c r="C5023" s="0" t="s">
        <v>2364</v>
      </c>
      <c r="D5023" s="0" t="s">
        <v>2105</v>
      </c>
      <c r="E5023" s="0" t="s">
        <v>2045</v>
      </c>
      <c r="F5023" s="0" t="s">
        <v>2046</v>
      </c>
      <c r="G5023" s="0" t="s">
        <v>2147</v>
      </c>
      <c r="H5023" s="0" t="s">
        <v>2126</v>
      </c>
      <c r="I5023" s="0" t="s">
        <v>2322</v>
      </c>
      <c r="J5023" s="0" t="s">
        <v>2358</v>
      </c>
      <c r="K5023" s="272" t="n">
        <v>490000</v>
      </c>
    </row>
    <row r="5024" customFormat="false" ht="15" hidden="false" customHeight="false" outlineLevel="0" collapsed="false">
      <c r="A5024" s="0" t="s">
        <v>2041</v>
      </c>
      <c r="B5024" s="0" t="s">
        <v>2042</v>
      </c>
      <c r="C5024" s="0" t="s">
        <v>2361</v>
      </c>
      <c r="D5024" s="0" t="s">
        <v>2105</v>
      </c>
      <c r="E5024" s="0" t="s">
        <v>2045</v>
      </c>
      <c r="F5024" s="0" t="s">
        <v>2046</v>
      </c>
      <c r="G5024" s="0" t="s">
        <v>2147</v>
      </c>
      <c r="H5024" s="0" t="s">
        <v>2126</v>
      </c>
      <c r="I5024" s="0" t="s">
        <v>2322</v>
      </c>
      <c r="J5024" s="0" t="s">
        <v>2358</v>
      </c>
      <c r="K5024" s="272" t="n">
        <v>58825.59</v>
      </c>
    </row>
    <row r="5025" customFormat="false" ht="15" hidden="false" customHeight="false" outlineLevel="0" collapsed="false">
      <c r="A5025" s="0" t="s">
        <v>2041</v>
      </c>
      <c r="B5025" s="0" t="s">
        <v>2042</v>
      </c>
      <c r="C5025" s="0" t="s">
        <v>2156</v>
      </c>
      <c r="D5025" s="0" t="s">
        <v>2105</v>
      </c>
      <c r="E5025" s="0" t="s">
        <v>2045</v>
      </c>
      <c r="F5025" s="0" t="s">
        <v>2046</v>
      </c>
      <c r="G5025" s="0" t="s">
        <v>2147</v>
      </c>
      <c r="H5025" s="0" t="s">
        <v>2126</v>
      </c>
      <c r="I5025" s="0" t="s">
        <v>2322</v>
      </c>
      <c r="J5025" s="0" t="s">
        <v>2358</v>
      </c>
      <c r="K5025" s="272" t="n">
        <v>24650000</v>
      </c>
    </row>
    <row r="5026" customFormat="false" ht="15" hidden="false" customHeight="false" outlineLevel="0" collapsed="false">
      <c r="A5026" s="0" t="s">
        <v>2041</v>
      </c>
      <c r="B5026" s="0" t="s">
        <v>2042</v>
      </c>
      <c r="C5026" s="0" t="s">
        <v>2360</v>
      </c>
      <c r="D5026" s="0" t="s">
        <v>2105</v>
      </c>
      <c r="E5026" s="0" t="s">
        <v>2045</v>
      </c>
      <c r="F5026" s="0" t="s">
        <v>2046</v>
      </c>
      <c r="G5026" s="0" t="s">
        <v>2147</v>
      </c>
      <c r="H5026" s="0" t="s">
        <v>2126</v>
      </c>
      <c r="I5026" s="0" t="s">
        <v>2322</v>
      </c>
      <c r="J5026" s="0" t="s">
        <v>2358</v>
      </c>
      <c r="K5026" s="272" t="n">
        <v>6281</v>
      </c>
    </row>
    <row r="5027" customFormat="false" ht="15" hidden="false" customHeight="false" outlineLevel="0" collapsed="false">
      <c r="A5027" s="0" t="s">
        <v>2041</v>
      </c>
      <c r="B5027" s="0" t="s">
        <v>2042</v>
      </c>
      <c r="C5027" s="0" t="s">
        <v>2161</v>
      </c>
      <c r="D5027" s="0" t="s">
        <v>2105</v>
      </c>
      <c r="E5027" s="0" t="s">
        <v>2045</v>
      </c>
      <c r="F5027" s="0" t="s">
        <v>2046</v>
      </c>
      <c r="G5027" s="0" t="s">
        <v>2147</v>
      </c>
      <c r="H5027" s="0" t="s">
        <v>2126</v>
      </c>
      <c r="I5027" s="0" t="s">
        <v>2322</v>
      </c>
      <c r="J5027" s="0" t="s">
        <v>2358</v>
      </c>
      <c r="K5027" s="272" t="n">
        <v>6772916.41</v>
      </c>
    </row>
    <row r="5028" customFormat="false" ht="15" hidden="false" customHeight="false" outlineLevel="0" collapsed="false">
      <c r="A5028" s="0" t="s">
        <v>2041</v>
      </c>
      <c r="B5028" s="0" t="s">
        <v>2042</v>
      </c>
      <c r="C5028" s="0" t="s">
        <v>2349</v>
      </c>
      <c r="D5028" s="0" t="s">
        <v>2105</v>
      </c>
      <c r="E5028" s="0" t="s">
        <v>2045</v>
      </c>
      <c r="F5028" s="0" t="s">
        <v>2046</v>
      </c>
      <c r="G5028" s="0" t="s">
        <v>2147</v>
      </c>
      <c r="H5028" s="0" t="s">
        <v>2126</v>
      </c>
      <c r="I5028" s="0" t="s">
        <v>2322</v>
      </c>
      <c r="J5028" s="0" t="s">
        <v>2358</v>
      </c>
      <c r="K5028" s="272" t="n">
        <v>2840069.06</v>
      </c>
    </row>
    <row r="5029" customFormat="false" ht="15" hidden="false" customHeight="false" outlineLevel="0" collapsed="false">
      <c r="A5029" s="0" t="s">
        <v>2041</v>
      </c>
      <c r="B5029" s="0" t="s">
        <v>2042</v>
      </c>
      <c r="C5029" s="0" t="s">
        <v>2352</v>
      </c>
      <c r="D5029" s="0" t="s">
        <v>2105</v>
      </c>
      <c r="E5029" s="0" t="s">
        <v>2045</v>
      </c>
      <c r="F5029" s="0" t="s">
        <v>2046</v>
      </c>
      <c r="G5029" s="0" t="s">
        <v>2148</v>
      </c>
      <c r="H5029" s="0" t="s">
        <v>2149</v>
      </c>
      <c r="I5029" s="0" t="s">
        <v>2322</v>
      </c>
      <c r="J5029" s="0" t="s">
        <v>2358</v>
      </c>
      <c r="K5029" s="272" t="n">
        <v>6583615.54</v>
      </c>
    </row>
    <row r="5030" customFormat="false" ht="15" hidden="false" customHeight="false" outlineLevel="0" collapsed="false">
      <c r="A5030" s="0" t="s">
        <v>2041</v>
      </c>
      <c r="B5030" s="0" t="s">
        <v>2042</v>
      </c>
      <c r="C5030" s="0" t="s">
        <v>2359</v>
      </c>
      <c r="D5030" s="0" t="s">
        <v>2105</v>
      </c>
      <c r="E5030" s="0" t="s">
        <v>2045</v>
      </c>
      <c r="F5030" s="0" t="s">
        <v>2046</v>
      </c>
      <c r="G5030" s="0" t="s">
        <v>2148</v>
      </c>
      <c r="H5030" s="0" t="s">
        <v>2149</v>
      </c>
      <c r="I5030" s="0" t="s">
        <v>2322</v>
      </c>
      <c r="J5030" s="0" t="s">
        <v>2358</v>
      </c>
      <c r="K5030" s="272" t="n">
        <v>1611753.88</v>
      </c>
    </row>
    <row r="5031" customFormat="false" ht="15" hidden="false" customHeight="false" outlineLevel="0" collapsed="false">
      <c r="A5031" s="0" t="s">
        <v>2041</v>
      </c>
      <c r="B5031" s="0" t="s">
        <v>2042</v>
      </c>
      <c r="C5031" s="0" t="s">
        <v>2361</v>
      </c>
      <c r="D5031" s="0" t="s">
        <v>2105</v>
      </c>
      <c r="E5031" s="0" t="s">
        <v>2045</v>
      </c>
      <c r="F5031" s="0" t="s">
        <v>2046</v>
      </c>
      <c r="G5031" s="0" t="s">
        <v>2148</v>
      </c>
      <c r="H5031" s="0" t="s">
        <v>2149</v>
      </c>
      <c r="I5031" s="0" t="s">
        <v>2322</v>
      </c>
      <c r="J5031" s="0" t="s">
        <v>2358</v>
      </c>
      <c r="K5031" s="272" t="n">
        <v>1534725.12</v>
      </c>
    </row>
    <row r="5032" customFormat="false" ht="15" hidden="false" customHeight="false" outlineLevel="0" collapsed="false">
      <c r="A5032" s="0" t="s">
        <v>2041</v>
      </c>
      <c r="B5032" s="0" t="s">
        <v>2042</v>
      </c>
      <c r="C5032" s="0" t="s">
        <v>2156</v>
      </c>
      <c r="D5032" s="0" t="s">
        <v>2105</v>
      </c>
      <c r="E5032" s="0" t="s">
        <v>2045</v>
      </c>
      <c r="F5032" s="0" t="s">
        <v>2046</v>
      </c>
      <c r="G5032" s="0" t="s">
        <v>2148</v>
      </c>
      <c r="H5032" s="0" t="s">
        <v>2149</v>
      </c>
      <c r="I5032" s="0" t="s">
        <v>2322</v>
      </c>
      <c r="J5032" s="0" t="s">
        <v>2358</v>
      </c>
      <c r="K5032" s="272" t="n">
        <v>109800000</v>
      </c>
    </row>
    <row r="5033" customFormat="false" ht="15" hidden="false" customHeight="false" outlineLevel="0" collapsed="false">
      <c r="A5033" s="0" t="s">
        <v>2041</v>
      </c>
      <c r="B5033" s="0" t="s">
        <v>2042</v>
      </c>
      <c r="C5033" s="0" t="s">
        <v>2161</v>
      </c>
      <c r="D5033" s="0" t="s">
        <v>2105</v>
      </c>
      <c r="E5033" s="0" t="s">
        <v>2045</v>
      </c>
      <c r="F5033" s="0" t="s">
        <v>2046</v>
      </c>
      <c r="G5033" s="0" t="s">
        <v>2148</v>
      </c>
      <c r="H5033" s="0" t="s">
        <v>2149</v>
      </c>
      <c r="I5033" s="0" t="s">
        <v>2322</v>
      </c>
      <c r="J5033" s="0" t="s">
        <v>2358</v>
      </c>
      <c r="K5033" s="272" t="n">
        <v>17894350.67</v>
      </c>
    </row>
    <row r="5034" customFormat="false" ht="15" hidden="false" customHeight="false" outlineLevel="0" collapsed="false">
      <c r="A5034" s="0" t="s">
        <v>2041</v>
      </c>
      <c r="B5034" s="0" t="s">
        <v>2042</v>
      </c>
      <c r="C5034" s="0" t="s">
        <v>2349</v>
      </c>
      <c r="D5034" s="0" t="s">
        <v>2105</v>
      </c>
      <c r="E5034" s="0" t="s">
        <v>2045</v>
      </c>
      <c r="F5034" s="0" t="s">
        <v>2046</v>
      </c>
      <c r="G5034" s="0" t="s">
        <v>2148</v>
      </c>
      <c r="H5034" s="0" t="s">
        <v>2149</v>
      </c>
      <c r="I5034" s="0" t="s">
        <v>2322</v>
      </c>
      <c r="J5034" s="0" t="s">
        <v>2358</v>
      </c>
      <c r="K5034" s="272" t="n">
        <v>2279161.35</v>
      </c>
    </row>
    <row r="5035" customFormat="false" ht="15" hidden="false" customHeight="false" outlineLevel="0" collapsed="false">
      <c r="A5035" s="0" t="s">
        <v>2041</v>
      </c>
      <c r="B5035" s="0" t="s">
        <v>2042</v>
      </c>
      <c r="C5035" s="0" t="s">
        <v>2347</v>
      </c>
      <c r="D5035" s="0" t="s">
        <v>2105</v>
      </c>
      <c r="E5035" s="0" t="s">
        <v>2045</v>
      </c>
      <c r="F5035" s="0" t="s">
        <v>2046</v>
      </c>
      <c r="G5035" s="0" t="s">
        <v>2148</v>
      </c>
      <c r="H5035" s="0" t="s">
        <v>2149</v>
      </c>
      <c r="I5035" s="0" t="s">
        <v>2322</v>
      </c>
      <c r="J5035" s="0" t="s">
        <v>2358</v>
      </c>
      <c r="K5035" s="272" t="n">
        <v>55035.6</v>
      </c>
    </row>
    <row r="5036" customFormat="false" ht="15" hidden="false" customHeight="false" outlineLevel="0" collapsed="false">
      <c r="A5036" s="0" t="s">
        <v>2041</v>
      </c>
      <c r="B5036" s="0" t="s">
        <v>2042</v>
      </c>
      <c r="C5036" s="0" t="s">
        <v>2352</v>
      </c>
      <c r="D5036" s="0" t="s">
        <v>2105</v>
      </c>
      <c r="E5036" s="0" t="s">
        <v>2045</v>
      </c>
      <c r="F5036" s="0" t="s">
        <v>2215</v>
      </c>
      <c r="G5036" s="0" t="s">
        <v>2216</v>
      </c>
      <c r="H5036" s="0" t="s">
        <v>2217</v>
      </c>
      <c r="I5036" s="0" t="s">
        <v>2124</v>
      </c>
      <c r="J5036" s="0" t="s">
        <v>2358</v>
      </c>
      <c r="K5036" s="272" t="n">
        <v>5049523.81</v>
      </c>
    </row>
    <row r="5037" customFormat="false" ht="15" hidden="false" customHeight="false" outlineLevel="0" collapsed="false">
      <c r="A5037" s="0" t="s">
        <v>2041</v>
      </c>
      <c r="B5037" s="0" t="s">
        <v>2042</v>
      </c>
      <c r="C5037" s="0" t="s">
        <v>2359</v>
      </c>
      <c r="D5037" s="0" t="s">
        <v>2105</v>
      </c>
      <c r="E5037" s="0" t="s">
        <v>2045</v>
      </c>
      <c r="F5037" s="0" t="s">
        <v>2215</v>
      </c>
      <c r="G5037" s="0" t="s">
        <v>2216</v>
      </c>
      <c r="H5037" s="0" t="s">
        <v>2217</v>
      </c>
      <c r="I5037" s="0" t="s">
        <v>2124</v>
      </c>
      <c r="J5037" s="0" t="s">
        <v>2358</v>
      </c>
      <c r="K5037" s="272" t="n">
        <v>301638.88</v>
      </c>
    </row>
    <row r="5038" customFormat="false" ht="15" hidden="false" customHeight="false" outlineLevel="0" collapsed="false">
      <c r="A5038" s="0" t="s">
        <v>2041</v>
      </c>
      <c r="B5038" s="0" t="s">
        <v>2042</v>
      </c>
      <c r="C5038" s="0" t="s">
        <v>2361</v>
      </c>
      <c r="D5038" s="0" t="s">
        <v>2105</v>
      </c>
      <c r="E5038" s="0" t="s">
        <v>2045</v>
      </c>
      <c r="F5038" s="0" t="s">
        <v>2215</v>
      </c>
      <c r="G5038" s="0" t="s">
        <v>2216</v>
      </c>
      <c r="H5038" s="0" t="s">
        <v>2217</v>
      </c>
      <c r="I5038" s="0" t="s">
        <v>2124</v>
      </c>
      <c r="J5038" s="0" t="s">
        <v>2358</v>
      </c>
      <c r="K5038" s="272" t="n">
        <v>75878.63</v>
      </c>
    </row>
    <row r="5039" customFormat="false" ht="15" hidden="false" customHeight="false" outlineLevel="0" collapsed="false">
      <c r="A5039" s="0" t="s">
        <v>2041</v>
      </c>
      <c r="B5039" s="0" t="s">
        <v>2042</v>
      </c>
      <c r="C5039" s="0" t="s">
        <v>2156</v>
      </c>
      <c r="D5039" s="0" t="s">
        <v>2105</v>
      </c>
      <c r="E5039" s="0" t="s">
        <v>2045</v>
      </c>
      <c r="F5039" s="0" t="s">
        <v>2215</v>
      </c>
      <c r="G5039" s="0" t="s">
        <v>2216</v>
      </c>
      <c r="H5039" s="0" t="s">
        <v>2217</v>
      </c>
      <c r="I5039" s="0" t="s">
        <v>2124</v>
      </c>
      <c r="J5039" s="0" t="s">
        <v>2358</v>
      </c>
      <c r="K5039" s="272" t="n">
        <v>36860000</v>
      </c>
    </row>
    <row r="5040" customFormat="false" ht="15" hidden="false" customHeight="false" outlineLevel="0" collapsed="false">
      <c r="A5040" s="0" t="s">
        <v>2041</v>
      </c>
      <c r="B5040" s="0" t="s">
        <v>2042</v>
      </c>
      <c r="C5040" s="0" t="s">
        <v>2161</v>
      </c>
      <c r="D5040" s="0" t="s">
        <v>2105</v>
      </c>
      <c r="E5040" s="0" t="s">
        <v>2045</v>
      </c>
      <c r="F5040" s="0" t="s">
        <v>2215</v>
      </c>
      <c r="G5040" s="0" t="s">
        <v>2216</v>
      </c>
      <c r="H5040" s="0" t="s">
        <v>2217</v>
      </c>
      <c r="I5040" s="0" t="s">
        <v>2124</v>
      </c>
      <c r="J5040" s="0" t="s">
        <v>2358</v>
      </c>
      <c r="K5040" s="272" t="n">
        <v>7104129.11</v>
      </c>
    </row>
    <row r="5041" customFormat="false" ht="15" hidden="false" customHeight="false" outlineLevel="0" collapsed="false">
      <c r="A5041" s="0" t="s">
        <v>2041</v>
      </c>
      <c r="B5041" s="0" t="s">
        <v>2042</v>
      </c>
      <c r="C5041" s="0" t="s">
        <v>2349</v>
      </c>
      <c r="D5041" s="0" t="s">
        <v>2105</v>
      </c>
      <c r="E5041" s="0" t="s">
        <v>2045</v>
      </c>
      <c r="F5041" s="0" t="s">
        <v>2215</v>
      </c>
      <c r="G5041" s="0" t="s">
        <v>2216</v>
      </c>
      <c r="H5041" s="0" t="s">
        <v>2217</v>
      </c>
      <c r="I5041" s="0" t="s">
        <v>2124</v>
      </c>
      <c r="J5041" s="0" t="s">
        <v>2358</v>
      </c>
      <c r="K5041" s="272" t="n">
        <v>1555099.83</v>
      </c>
    </row>
    <row r="5042" customFormat="false" ht="15" hidden="false" customHeight="false" outlineLevel="0" collapsed="false">
      <c r="A5042" s="0" t="s">
        <v>2041</v>
      </c>
      <c r="B5042" s="0" t="s">
        <v>2042</v>
      </c>
      <c r="C5042" s="0" t="s">
        <v>2352</v>
      </c>
      <c r="D5042" s="0" t="s">
        <v>2105</v>
      </c>
      <c r="E5042" s="0" t="s">
        <v>2045</v>
      </c>
      <c r="F5042" s="0" t="s">
        <v>2215</v>
      </c>
      <c r="G5042" s="0" t="s">
        <v>2216</v>
      </c>
      <c r="H5042" s="0" t="s">
        <v>2217</v>
      </c>
      <c r="I5042" s="0" t="s">
        <v>2322</v>
      </c>
      <c r="J5042" s="0" t="s">
        <v>2358</v>
      </c>
      <c r="K5042" s="272" t="n">
        <v>29183777.26</v>
      </c>
    </row>
    <row r="5043" customFormat="false" ht="15" hidden="false" customHeight="false" outlineLevel="0" collapsed="false">
      <c r="A5043" s="0" t="s">
        <v>2041</v>
      </c>
      <c r="B5043" s="0" t="s">
        <v>2042</v>
      </c>
      <c r="C5043" s="0" t="s">
        <v>2359</v>
      </c>
      <c r="D5043" s="0" t="s">
        <v>2105</v>
      </c>
      <c r="E5043" s="0" t="s">
        <v>2045</v>
      </c>
      <c r="F5043" s="0" t="s">
        <v>2215</v>
      </c>
      <c r="G5043" s="0" t="s">
        <v>2216</v>
      </c>
      <c r="H5043" s="0" t="s">
        <v>2217</v>
      </c>
      <c r="I5043" s="0" t="s">
        <v>2322</v>
      </c>
      <c r="J5043" s="0" t="s">
        <v>2358</v>
      </c>
      <c r="K5043" s="272" t="n">
        <v>13594487.12</v>
      </c>
    </row>
    <row r="5044" customFormat="false" ht="15" hidden="false" customHeight="false" outlineLevel="0" collapsed="false">
      <c r="A5044" s="0" t="s">
        <v>2041</v>
      </c>
      <c r="B5044" s="0" t="s">
        <v>2042</v>
      </c>
      <c r="C5044" s="0" t="s">
        <v>2362</v>
      </c>
      <c r="D5044" s="0" t="s">
        <v>2105</v>
      </c>
      <c r="E5044" s="0" t="s">
        <v>2045</v>
      </c>
      <c r="F5044" s="0" t="s">
        <v>2215</v>
      </c>
      <c r="G5044" s="0" t="s">
        <v>2216</v>
      </c>
      <c r="H5044" s="0" t="s">
        <v>2217</v>
      </c>
      <c r="I5044" s="0" t="s">
        <v>2322</v>
      </c>
      <c r="J5044" s="0" t="s">
        <v>2358</v>
      </c>
      <c r="K5044" s="272" t="n">
        <v>497142.84</v>
      </c>
    </row>
    <row r="5045" customFormat="false" ht="15" hidden="false" customHeight="false" outlineLevel="0" collapsed="false">
      <c r="A5045" s="0" t="s">
        <v>2041</v>
      </c>
      <c r="B5045" s="0" t="s">
        <v>2042</v>
      </c>
      <c r="C5045" s="0" t="s">
        <v>2364</v>
      </c>
      <c r="D5045" s="0" t="s">
        <v>2105</v>
      </c>
      <c r="E5045" s="0" t="s">
        <v>2045</v>
      </c>
      <c r="F5045" s="0" t="s">
        <v>2215</v>
      </c>
      <c r="G5045" s="0" t="s">
        <v>2216</v>
      </c>
      <c r="H5045" s="0" t="s">
        <v>2217</v>
      </c>
      <c r="I5045" s="0" t="s">
        <v>2322</v>
      </c>
      <c r="J5045" s="0" t="s">
        <v>2358</v>
      </c>
      <c r="K5045" s="272" t="n">
        <v>1770000</v>
      </c>
    </row>
    <row r="5046" customFormat="false" ht="15" hidden="false" customHeight="false" outlineLevel="0" collapsed="false">
      <c r="A5046" s="0" t="s">
        <v>2041</v>
      </c>
      <c r="B5046" s="0" t="s">
        <v>2042</v>
      </c>
      <c r="C5046" s="0" t="s">
        <v>2361</v>
      </c>
      <c r="D5046" s="0" t="s">
        <v>2105</v>
      </c>
      <c r="E5046" s="0" t="s">
        <v>2045</v>
      </c>
      <c r="F5046" s="0" t="s">
        <v>2215</v>
      </c>
      <c r="G5046" s="0" t="s">
        <v>2216</v>
      </c>
      <c r="H5046" s="0" t="s">
        <v>2217</v>
      </c>
      <c r="I5046" s="0" t="s">
        <v>2322</v>
      </c>
      <c r="J5046" s="0" t="s">
        <v>2358</v>
      </c>
      <c r="K5046" s="272" t="n">
        <v>4491296.36</v>
      </c>
    </row>
    <row r="5047" customFormat="false" ht="15" hidden="false" customHeight="false" outlineLevel="0" collapsed="false">
      <c r="A5047" s="0" t="s">
        <v>2041</v>
      </c>
      <c r="B5047" s="0" t="s">
        <v>2042</v>
      </c>
      <c r="C5047" s="0" t="s">
        <v>2363</v>
      </c>
      <c r="D5047" s="0" t="s">
        <v>2105</v>
      </c>
      <c r="E5047" s="0" t="s">
        <v>2045</v>
      </c>
      <c r="F5047" s="0" t="s">
        <v>2215</v>
      </c>
      <c r="G5047" s="0" t="s">
        <v>2216</v>
      </c>
      <c r="H5047" s="0" t="s">
        <v>2217</v>
      </c>
      <c r="I5047" s="0" t="s">
        <v>2322</v>
      </c>
      <c r="J5047" s="0" t="s">
        <v>2358</v>
      </c>
      <c r="K5047" s="272" t="n">
        <v>50000</v>
      </c>
    </row>
    <row r="5048" customFormat="false" ht="15" hidden="false" customHeight="false" outlineLevel="0" collapsed="false">
      <c r="A5048" s="0" t="s">
        <v>2041</v>
      </c>
      <c r="B5048" s="0" t="s">
        <v>2042</v>
      </c>
      <c r="C5048" s="0" t="s">
        <v>2156</v>
      </c>
      <c r="D5048" s="0" t="s">
        <v>2105</v>
      </c>
      <c r="E5048" s="0" t="s">
        <v>2045</v>
      </c>
      <c r="F5048" s="0" t="s">
        <v>2215</v>
      </c>
      <c r="G5048" s="0" t="s">
        <v>2216</v>
      </c>
      <c r="H5048" s="0" t="s">
        <v>2217</v>
      </c>
      <c r="I5048" s="0" t="s">
        <v>2322</v>
      </c>
      <c r="J5048" s="0" t="s">
        <v>2358</v>
      </c>
      <c r="K5048" s="272" t="n">
        <v>641206897</v>
      </c>
    </row>
    <row r="5049" customFormat="false" ht="15" hidden="false" customHeight="false" outlineLevel="0" collapsed="false">
      <c r="A5049" s="0" t="s">
        <v>2041</v>
      </c>
      <c r="B5049" s="0" t="s">
        <v>2042</v>
      </c>
      <c r="C5049" s="0" t="s">
        <v>2360</v>
      </c>
      <c r="D5049" s="0" t="s">
        <v>2105</v>
      </c>
      <c r="E5049" s="0" t="s">
        <v>2045</v>
      </c>
      <c r="F5049" s="0" t="s">
        <v>2215</v>
      </c>
      <c r="G5049" s="0" t="s">
        <v>2216</v>
      </c>
      <c r="H5049" s="0" t="s">
        <v>2217</v>
      </c>
      <c r="I5049" s="0" t="s">
        <v>2322</v>
      </c>
      <c r="J5049" s="0" t="s">
        <v>2358</v>
      </c>
      <c r="K5049" s="272" t="n">
        <v>21691</v>
      </c>
    </row>
    <row r="5050" customFormat="false" ht="15" hidden="false" customHeight="false" outlineLevel="0" collapsed="false">
      <c r="A5050" s="0" t="s">
        <v>2041</v>
      </c>
      <c r="B5050" s="0" t="s">
        <v>2042</v>
      </c>
      <c r="C5050" s="0" t="s">
        <v>2161</v>
      </c>
      <c r="D5050" s="0" t="s">
        <v>2105</v>
      </c>
      <c r="E5050" s="0" t="s">
        <v>2045</v>
      </c>
      <c r="F5050" s="0" t="s">
        <v>2215</v>
      </c>
      <c r="G5050" s="0" t="s">
        <v>2216</v>
      </c>
      <c r="H5050" s="0" t="s">
        <v>2217</v>
      </c>
      <c r="I5050" s="0" t="s">
        <v>2322</v>
      </c>
      <c r="J5050" s="0" t="s">
        <v>2358</v>
      </c>
      <c r="K5050" s="272" t="n">
        <v>101356727.51</v>
      </c>
    </row>
    <row r="5051" customFormat="false" ht="15" hidden="false" customHeight="false" outlineLevel="0" collapsed="false">
      <c r="A5051" s="0" t="s">
        <v>2041</v>
      </c>
      <c r="B5051" s="0" t="s">
        <v>2042</v>
      </c>
      <c r="C5051" s="0" t="s">
        <v>2349</v>
      </c>
      <c r="D5051" s="0" t="s">
        <v>2105</v>
      </c>
      <c r="E5051" s="0" t="s">
        <v>2045</v>
      </c>
      <c r="F5051" s="0" t="s">
        <v>2215</v>
      </c>
      <c r="G5051" s="0" t="s">
        <v>2216</v>
      </c>
      <c r="H5051" s="0" t="s">
        <v>2217</v>
      </c>
      <c r="I5051" s="0" t="s">
        <v>2322</v>
      </c>
      <c r="J5051" s="0" t="s">
        <v>2358</v>
      </c>
      <c r="K5051" s="272" t="n">
        <v>11415466.98</v>
      </c>
    </row>
    <row r="5052" customFormat="false" ht="15" hidden="false" customHeight="false" outlineLevel="0" collapsed="false">
      <c r="A5052" s="0" t="s">
        <v>2041</v>
      </c>
      <c r="B5052" s="0" t="s">
        <v>2042</v>
      </c>
      <c r="C5052" s="0" t="s">
        <v>2156</v>
      </c>
      <c r="D5052" s="0" t="s">
        <v>2105</v>
      </c>
      <c r="E5052" s="0" t="s">
        <v>2045</v>
      </c>
      <c r="F5052" s="0" t="s">
        <v>2215</v>
      </c>
      <c r="G5052" s="0" t="s">
        <v>2218</v>
      </c>
      <c r="H5052" s="0" t="s">
        <v>2182</v>
      </c>
      <c r="I5052" s="0" t="s">
        <v>2124</v>
      </c>
      <c r="J5052" s="0" t="s">
        <v>2358</v>
      </c>
      <c r="K5052" s="272" t="n">
        <v>5000000</v>
      </c>
    </row>
    <row r="5053" customFormat="false" ht="15" hidden="false" customHeight="false" outlineLevel="0" collapsed="false">
      <c r="A5053" s="0" t="s">
        <v>2041</v>
      </c>
      <c r="B5053" s="0" t="s">
        <v>2042</v>
      </c>
      <c r="C5053" s="0" t="s">
        <v>2161</v>
      </c>
      <c r="D5053" s="0" t="s">
        <v>2105</v>
      </c>
      <c r="E5053" s="0" t="s">
        <v>2045</v>
      </c>
      <c r="F5053" s="0" t="s">
        <v>2215</v>
      </c>
      <c r="G5053" s="0" t="s">
        <v>2218</v>
      </c>
      <c r="H5053" s="0" t="s">
        <v>2182</v>
      </c>
      <c r="I5053" s="0" t="s">
        <v>2124</v>
      </c>
      <c r="J5053" s="0" t="s">
        <v>2358</v>
      </c>
      <c r="K5053" s="272" t="n">
        <v>1208871</v>
      </c>
    </row>
    <row r="5054" customFormat="false" ht="15" hidden="false" customHeight="false" outlineLevel="0" collapsed="false">
      <c r="A5054" s="0" t="s">
        <v>2041</v>
      </c>
      <c r="B5054" s="0" t="s">
        <v>2042</v>
      </c>
      <c r="C5054" s="0" t="s">
        <v>2352</v>
      </c>
      <c r="D5054" s="0" t="s">
        <v>2105</v>
      </c>
      <c r="E5054" s="0" t="s">
        <v>2045</v>
      </c>
      <c r="F5054" s="0" t="s">
        <v>2215</v>
      </c>
      <c r="G5054" s="0" t="s">
        <v>2218</v>
      </c>
      <c r="H5054" s="0" t="s">
        <v>2183</v>
      </c>
      <c r="I5054" s="0" t="s">
        <v>2124</v>
      </c>
      <c r="J5054" s="0" t="s">
        <v>2358</v>
      </c>
      <c r="K5054" s="272" t="n">
        <v>300000</v>
      </c>
    </row>
    <row r="5055" customFormat="false" ht="15" hidden="false" customHeight="false" outlineLevel="0" collapsed="false">
      <c r="A5055" s="0" t="s">
        <v>2041</v>
      </c>
      <c r="B5055" s="0" t="s">
        <v>2042</v>
      </c>
      <c r="C5055" s="0" t="s">
        <v>2359</v>
      </c>
      <c r="D5055" s="0" t="s">
        <v>2105</v>
      </c>
      <c r="E5055" s="0" t="s">
        <v>2045</v>
      </c>
      <c r="F5055" s="0" t="s">
        <v>2215</v>
      </c>
      <c r="G5055" s="0" t="s">
        <v>2218</v>
      </c>
      <c r="H5055" s="0" t="s">
        <v>2183</v>
      </c>
      <c r="I5055" s="0" t="s">
        <v>2124</v>
      </c>
      <c r="J5055" s="0" t="s">
        <v>2358</v>
      </c>
      <c r="K5055" s="272" t="n">
        <v>164575.09</v>
      </c>
    </row>
    <row r="5056" customFormat="false" ht="15" hidden="false" customHeight="false" outlineLevel="0" collapsed="false">
      <c r="A5056" s="0" t="s">
        <v>2041</v>
      </c>
      <c r="B5056" s="0" t="s">
        <v>2042</v>
      </c>
      <c r="C5056" s="0" t="s">
        <v>2156</v>
      </c>
      <c r="D5056" s="0" t="s">
        <v>2105</v>
      </c>
      <c r="E5056" s="0" t="s">
        <v>2045</v>
      </c>
      <c r="F5056" s="0" t="s">
        <v>2215</v>
      </c>
      <c r="G5056" s="0" t="s">
        <v>2218</v>
      </c>
      <c r="H5056" s="0" t="s">
        <v>2183</v>
      </c>
      <c r="I5056" s="0" t="s">
        <v>2124</v>
      </c>
      <c r="J5056" s="0" t="s">
        <v>2358</v>
      </c>
      <c r="K5056" s="272" t="n">
        <v>3000000</v>
      </c>
    </row>
    <row r="5057" customFormat="false" ht="15" hidden="false" customHeight="false" outlineLevel="0" collapsed="false">
      <c r="A5057" s="0" t="s">
        <v>2041</v>
      </c>
      <c r="B5057" s="0" t="s">
        <v>2042</v>
      </c>
      <c r="C5057" s="0" t="s">
        <v>2161</v>
      </c>
      <c r="D5057" s="0" t="s">
        <v>2105</v>
      </c>
      <c r="E5057" s="0" t="s">
        <v>2045</v>
      </c>
      <c r="F5057" s="0" t="s">
        <v>2215</v>
      </c>
      <c r="G5057" s="0" t="s">
        <v>2218</v>
      </c>
      <c r="H5057" s="0" t="s">
        <v>2183</v>
      </c>
      <c r="I5057" s="0" t="s">
        <v>2124</v>
      </c>
      <c r="J5057" s="0" t="s">
        <v>2358</v>
      </c>
      <c r="K5057" s="272" t="n">
        <v>728541</v>
      </c>
    </row>
    <row r="5058" customFormat="false" ht="15" hidden="false" customHeight="false" outlineLevel="0" collapsed="false">
      <c r="A5058" s="0" t="s">
        <v>2041</v>
      </c>
      <c r="B5058" s="0" t="s">
        <v>2042</v>
      </c>
      <c r="C5058" s="0" t="s">
        <v>2349</v>
      </c>
      <c r="D5058" s="0" t="s">
        <v>2105</v>
      </c>
      <c r="E5058" s="0" t="s">
        <v>2045</v>
      </c>
      <c r="F5058" s="0" t="s">
        <v>2215</v>
      </c>
      <c r="G5058" s="0" t="s">
        <v>2218</v>
      </c>
      <c r="H5058" s="0" t="s">
        <v>2183</v>
      </c>
      <c r="I5058" s="0" t="s">
        <v>2124</v>
      </c>
      <c r="J5058" s="0" t="s">
        <v>2358</v>
      </c>
      <c r="K5058" s="272" t="n">
        <v>115779.99</v>
      </c>
    </row>
    <row r="5059" customFormat="false" ht="15" hidden="false" customHeight="false" outlineLevel="0" collapsed="false">
      <c r="A5059" s="0" t="s">
        <v>2041</v>
      </c>
      <c r="B5059" s="0" t="s">
        <v>2042</v>
      </c>
      <c r="C5059" s="0" t="s">
        <v>2352</v>
      </c>
      <c r="D5059" s="0" t="s">
        <v>2105</v>
      </c>
      <c r="E5059" s="0" t="s">
        <v>2045</v>
      </c>
      <c r="F5059" s="0" t="s">
        <v>2215</v>
      </c>
      <c r="G5059" s="0" t="s">
        <v>2218</v>
      </c>
      <c r="H5059" s="0" t="s">
        <v>2183</v>
      </c>
      <c r="I5059" s="0" t="s">
        <v>2322</v>
      </c>
      <c r="J5059" s="0" t="s">
        <v>2358</v>
      </c>
      <c r="K5059" s="272" t="n">
        <v>2201006.9081</v>
      </c>
    </row>
    <row r="5060" customFormat="false" ht="15" hidden="false" customHeight="false" outlineLevel="0" collapsed="false">
      <c r="A5060" s="0" t="s">
        <v>2041</v>
      </c>
      <c r="B5060" s="0" t="s">
        <v>2042</v>
      </c>
      <c r="C5060" s="0" t="s">
        <v>2359</v>
      </c>
      <c r="D5060" s="0" t="s">
        <v>2105</v>
      </c>
      <c r="E5060" s="0" t="s">
        <v>2045</v>
      </c>
      <c r="F5060" s="0" t="s">
        <v>2215</v>
      </c>
      <c r="G5060" s="0" t="s">
        <v>2218</v>
      </c>
      <c r="H5060" s="0" t="s">
        <v>2183</v>
      </c>
      <c r="I5060" s="0" t="s">
        <v>2322</v>
      </c>
      <c r="J5060" s="0" t="s">
        <v>2358</v>
      </c>
      <c r="K5060" s="272" t="n">
        <v>547556.5985</v>
      </c>
    </row>
    <row r="5061" customFormat="false" ht="15" hidden="false" customHeight="false" outlineLevel="0" collapsed="false">
      <c r="A5061" s="0" t="s">
        <v>2041</v>
      </c>
      <c r="B5061" s="0" t="s">
        <v>2042</v>
      </c>
      <c r="C5061" s="0" t="s">
        <v>2156</v>
      </c>
      <c r="D5061" s="0" t="s">
        <v>2105</v>
      </c>
      <c r="E5061" s="0" t="s">
        <v>2045</v>
      </c>
      <c r="F5061" s="0" t="s">
        <v>2215</v>
      </c>
      <c r="G5061" s="0" t="s">
        <v>2218</v>
      </c>
      <c r="H5061" s="0" t="s">
        <v>2183</v>
      </c>
      <c r="I5061" s="0" t="s">
        <v>2322</v>
      </c>
      <c r="J5061" s="0" t="s">
        <v>2358</v>
      </c>
      <c r="K5061" s="272" t="n">
        <v>19400000</v>
      </c>
    </row>
    <row r="5062" customFormat="false" ht="15" hidden="false" customHeight="false" outlineLevel="0" collapsed="false">
      <c r="A5062" s="0" t="s">
        <v>2041</v>
      </c>
      <c r="B5062" s="0" t="s">
        <v>2042</v>
      </c>
      <c r="C5062" s="0" t="s">
        <v>2360</v>
      </c>
      <c r="D5062" s="0" t="s">
        <v>2105</v>
      </c>
      <c r="E5062" s="0" t="s">
        <v>2045</v>
      </c>
      <c r="F5062" s="0" t="s">
        <v>2215</v>
      </c>
      <c r="G5062" s="0" t="s">
        <v>2218</v>
      </c>
      <c r="H5062" s="0" t="s">
        <v>2183</v>
      </c>
      <c r="I5062" s="0" t="s">
        <v>2322</v>
      </c>
      <c r="J5062" s="0" t="s">
        <v>2358</v>
      </c>
      <c r="K5062" s="272" t="n">
        <v>1670.79</v>
      </c>
    </row>
    <row r="5063" customFormat="false" ht="15" hidden="false" customHeight="false" outlineLevel="0" collapsed="false">
      <c r="A5063" s="0" t="s">
        <v>2041</v>
      </c>
      <c r="B5063" s="0" t="s">
        <v>2042</v>
      </c>
      <c r="C5063" s="0" t="s">
        <v>2161</v>
      </c>
      <c r="D5063" s="0" t="s">
        <v>2105</v>
      </c>
      <c r="E5063" s="0" t="s">
        <v>2045</v>
      </c>
      <c r="F5063" s="0" t="s">
        <v>2215</v>
      </c>
      <c r="G5063" s="0" t="s">
        <v>2218</v>
      </c>
      <c r="H5063" s="0" t="s">
        <v>2183</v>
      </c>
      <c r="I5063" s="0" t="s">
        <v>2322</v>
      </c>
      <c r="J5063" s="0" t="s">
        <v>2358</v>
      </c>
      <c r="K5063" s="272" t="n">
        <v>3698023.86</v>
      </c>
    </row>
    <row r="5064" customFormat="false" ht="15" hidden="false" customHeight="false" outlineLevel="0" collapsed="false">
      <c r="A5064" s="0" t="s">
        <v>2041</v>
      </c>
      <c r="B5064" s="0" t="s">
        <v>2042</v>
      </c>
      <c r="C5064" s="0" t="s">
        <v>2349</v>
      </c>
      <c r="D5064" s="0" t="s">
        <v>2105</v>
      </c>
      <c r="E5064" s="0" t="s">
        <v>2045</v>
      </c>
      <c r="F5064" s="0" t="s">
        <v>2215</v>
      </c>
      <c r="G5064" s="0" t="s">
        <v>2218</v>
      </c>
      <c r="H5064" s="0" t="s">
        <v>2183</v>
      </c>
      <c r="I5064" s="0" t="s">
        <v>2322</v>
      </c>
      <c r="J5064" s="0" t="s">
        <v>2358</v>
      </c>
      <c r="K5064" s="272" t="n">
        <v>952928.9551</v>
      </c>
    </row>
    <row r="5065" customFormat="false" ht="15" hidden="false" customHeight="false" outlineLevel="0" collapsed="false">
      <c r="A5065" s="0" t="s">
        <v>2041</v>
      </c>
      <c r="B5065" s="0" t="s">
        <v>2042</v>
      </c>
      <c r="C5065" s="0" t="s">
        <v>2347</v>
      </c>
      <c r="D5065" s="0" t="s">
        <v>2105</v>
      </c>
      <c r="E5065" s="0" t="s">
        <v>2045</v>
      </c>
      <c r="F5065" s="0" t="s">
        <v>2215</v>
      </c>
      <c r="G5065" s="0" t="s">
        <v>2218</v>
      </c>
      <c r="H5065" s="0" t="s">
        <v>2183</v>
      </c>
      <c r="I5065" s="0" t="s">
        <v>2322</v>
      </c>
      <c r="J5065" s="0" t="s">
        <v>2358</v>
      </c>
      <c r="K5065" s="272" t="n">
        <v>1196875.43</v>
      </c>
    </row>
    <row r="5066" customFormat="false" ht="15" hidden="false" customHeight="false" outlineLevel="0" collapsed="false">
      <c r="A5066" s="0" t="s">
        <v>2041</v>
      </c>
      <c r="B5066" s="0" t="s">
        <v>2042</v>
      </c>
      <c r="C5066" s="0" t="s">
        <v>2352</v>
      </c>
      <c r="D5066" s="0" t="s">
        <v>2105</v>
      </c>
      <c r="E5066" s="0" t="s">
        <v>2045</v>
      </c>
      <c r="F5066" s="0" t="s">
        <v>2215</v>
      </c>
      <c r="G5066" s="0" t="s">
        <v>2218</v>
      </c>
      <c r="H5066" s="0" t="s">
        <v>2185</v>
      </c>
      <c r="I5066" s="0" t="s">
        <v>2167</v>
      </c>
      <c r="J5066" s="0" t="s">
        <v>2358</v>
      </c>
      <c r="K5066" s="272" t="n">
        <v>365357.14</v>
      </c>
    </row>
    <row r="5067" customFormat="false" ht="15" hidden="false" customHeight="false" outlineLevel="0" collapsed="false">
      <c r="A5067" s="0" t="s">
        <v>2041</v>
      </c>
      <c r="B5067" s="0" t="s">
        <v>2042</v>
      </c>
      <c r="C5067" s="0" t="s">
        <v>2359</v>
      </c>
      <c r="D5067" s="0" t="s">
        <v>2105</v>
      </c>
      <c r="E5067" s="0" t="s">
        <v>2045</v>
      </c>
      <c r="F5067" s="0" t="s">
        <v>2215</v>
      </c>
      <c r="G5067" s="0" t="s">
        <v>2218</v>
      </c>
      <c r="H5067" s="0" t="s">
        <v>2185</v>
      </c>
      <c r="I5067" s="0" t="s">
        <v>2167</v>
      </c>
      <c r="J5067" s="0" t="s">
        <v>2358</v>
      </c>
      <c r="K5067" s="272" t="n">
        <v>870123.15</v>
      </c>
    </row>
    <row r="5068" customFormat="false" ht="15" hidden="false" customHeight="false" outlineLevel="0" collapsed="false">
      <c r="A5068" s="0" t="s">
        <v>2041</v>
      </c>
      <c r="B5068" s="0" t="s">
        <v>2042</v>
      </c>
      <c r="C5068" s="0" t="s">
        <v>2349</v>
      </c>
      <c r="D5068" s="0" t="s">
        <v>2105</v>
      </c>
      <c r="E5068" s="0" t="s">
        <v>2045</v>
      </c>
      <c r="F5068" s="0" t="s">
        <v>2215</v>
      </c>
      <c r="G5068" s="0" t="s">
        <v>2218</v>
      </c>
      <c r="H5068" s="0" t="s">
        <v>2185</v>
      </c>
      <c r="I5068" s="0" t="s">
        <v>2167</v>
      </c>
      <c r="J5068" s="0" t="s">
        <v>2358</v>
      </c>
      <c r="K5068" s="272" t="n">
        <v>373115.05</v>
      </c>
    </row>
    <row r="5069" customFormat="false" ht="15" hidden="false" customHeight="false" outlineLevel="0" collapsed="false">
      <c r="A5069" s="0" t="s">
        <v>2041</v>
      </c>
      <c r="B5069" s="0" t="s">
        <v>2042</v>
      </c>
      <c r="C5069" s="0" t="s">
        <v>2352</v>
      </c>
      <c r="D5069" s="0" t="s">
        <v>2105</v>
      </c>
      <c r="E5069" s="0" t="s">
        <v>2045</v>
      </c>
      <c r="F5069" s="0" t="s">
        <v>2215</v>
      </c>
      <c r="G5069" s="0" t="s">
        <v>2218</v>
      </c>
      <c r="H5069" s="0" t="s">
        <v>2185</v>
      </c>
      <c r="I5069" s="0" t="s">
        <v>2322</v>
      </c>
      <c r="J5069" s="0" t="s">
        <v>2358</v>
      </c>
      <c r="K5069" s="272" t="n">
        <v>3131922.85</v>
      </c>
    </row>
    <row r="5070" customFormat="false" ht="15" hidden="false" customHeight="false" outlineLevel="0" collapsed="false">
      <c r="A5070" s="0" t="s">
        <v>2041</v>
      </c>
      <c r="B5070" s="0" t="s">
        <v>2042</v>
      </c>
      <c r="C5070" s="0" t="s">
        <v>2156</v>
      </c>
      <c r="D5070" s="0" t="s">
        <v>2105</v>
      </c>
      <c r="E5070" s="0" t="s">
        <v>2045</v>
      </c>
      <c r="F5070" s="0" t="s">
        <v>2215</v>
      </c>
      <c r="G5070" s="0" t="s">
        <v>2218</v>
      </c>
      <c r="H5070" s="0" t="s">
        <v>2185</v>
      </c>
      <c r="I5070" s="0" t="s">
        <v>2322</v>
      </c>
      <c r="J5070" s="0" t="s">
        <v>2358</v>
      </c>
      <c r="K5070" s="272" t="n">
        <v>2000000</v>
      </c>
    </row>
    <row r="5071" customFormat="false" ht="15" hidden="false" customHeight="false" outlineLevel="0" collapsed="false">
      <c r="A5071" s="0" t="s">
        <v>2041</v>
      </c>
      <c r="B5071" s="0" t="s">
        <v>2042</v>
      </c>
      <c r="C5071" s="0" t="s">
        <v>2360</v>
      </c>
      <c r="D5071" s="0" t="s">
        <v>2105</v>
      </c>
      <c r="E5071" s="0" t="s">
        <v>2045</v>
      </c>
      <c r="F5071" s="0" t="s">
        <v>2215</v>
      </c>
      <c r="G5071" s="0" t="s">
        <v>2218</v>
      </c>
      <c r="H5071" s="0" t="s">
        <v>2185</v>
      </c>
      <c r="I5071" s="0" t="s">
        <v>2322</v>
      </c>
      <c r="J5071" s="0" t="s">
        <v>2358</v>
      </c>
      <c r="K5071" s="272" t="n">
        <v>3583</v>
      </c>
    </row>
    <row r="5072" customFormat="false" ht="15" hidden="false" customHeight="false" outlineLevel="0" collapsed="false">
      <c r="A5072" s="0" t="s">
        <v>2041</v>
      </c>
      <c r="B5072" s="0" t="s">
        <v>2042</v>
      </c>
      <c r="C5072" s="0" t="s">
        <v>2161</v>
      </c>
      <c r="D5072" s="0" t="s">
        <v>2105</v>
      </c>
      <c r="E5072" s="0" t="s">
        <v>2045</v>
      </c>
      <c r="F5072" s="0" t="s">
        <v>2215</v>
      </c>
      <c r="G5072" s="0" t="s">
        <v>2218</v>
      </c>
      <c r="H5072" s="0" t="s">
        <v>2185</v>
      </c>
      <c r="I5072" s="0" t="s">
        <v>2322</v>
      </c>
      <c r="J5072" s="0" t="s">
        <v>2358</v>
      </c>
      <c r="K5072" s="272" t="n">
        <v>604000</v>
      </c>
    </row>
    <row r="5073" customFormat="false" ht="15" hidden="false" customHeight="false" outlineLevel="0" collapsed="false">
      <c r="A5073" s="0" t="s">
        <v>2041</v>
      </c>
      <c r="B5073" s="0" t="s">
        <v>2042</v>
      </c>
      <c r="C5073" s="0" t="s">
        <v>2349</v>
      </c>
      <c r="D5073" s="0" t="s">
        <v>2105</v>
      </c>
      <c r="E5073" s="0" t="s">
        <v>2045</v>
      </c>
      <c r="F5073" s="0" t="s">
        <v>2215</v>
      </c>
      <c r="G5073" s="0" t="s">
        <v>2218</v>
      </c>
      <c r="H5073" s="0" t="s">
        <v>2185</v>
      </c>
      <c r="I5073" s="0" t="s">
        <v>2322</v>
      </c>
      <c r="J5073" s="0" t="s">
        <v>2358</v>
      </c>
      <c r="K5073" s="272" t="n">
        <v>883750.51</v>
      </c>
    </row>
    <row r="5074" customFormat="false" ht="15" hidden="false" customHeight="false" outlineLevel="0" collapsed="false">
      <c r="A5074" s="0" t="s">
        <v>2041</v>
      </c>
      <c r="B5074" s="0" t="s">
        <v>2042</v>
      </c>
      <c r="C5074" s="0" t="s">
        <v>2352</v>
      </c>
      <c r="D5074" s="0" t="s">
        <v>2105</v>
      </c>
      <c r="E5074" s="0" t="s">
        <v>2045</v>
      </c>
      <c r="F5074" s="0" t="s">
        <v>2215</v>
      </c>
      <c r="G5074" s="0" t="s">
        <v>2218</v>
      </c>
      <c r="H5074" s="0" t="s">
        <v>2186</v>
      </c>
      <c r="I5074" s="0" t="s">
        <v>2322</v>
      </c>
      <c r="J5074" s="0" t="s">
        <v>2358</v>
      </c>
      <c r="K5074" s="272" t="n">
        <v>69960</v>
      </c>
    </row>
    <row r="5075" customFormat="false" ht="15" hidden="false" customHeight="false" outlineLevel="0" collapsed="false">
      <c r="A5075" s="0" t="s">
        <v>2041</v>
      </c>
      <c r="B5075" s="0" t="s">
        <v>2042</v>
      </c>
      <c r="C5075" s="0" t="s">
        <v>2349</v>
      </c>
      <c r="D5075" s="0" t="s">
        <v>2105</v>
      </c>
      <c r="E5075" s="0" t="s">
        <v>2045</v>
      </c>
      <c r="F5075" s="0" t="s">
        <v>2215</v>
      </c>
      <c r="G5075" s="0" t="s">
        <v>2218</v>
      </c>
      <c r="H5075" s="0" t="s">
        <v>2186</v>
      </c>
      <c r="I5075" s="0" t="s">
        <v>2322</v>
      </c>
      <c r="J5075" s="0" t="s">
        <v>2358</v>
      </c>
      <c r="K5075" s="272" t="n">
        <v>21127.92</v>
      </c>
    </row>
    <row r="5076" customFormat="false" ht="15" hidden="false" customHeight="false" outlineLevel="0" collapsed="false">
      <c r="A5076" s="0" t="s">
        <v>2041</v>
      </c>
      <c r="B5076" s="0" t="s">
        <v>2042</v>
      </c>
      <c r="C5076" s="0" t="s">
        <v>2352</v>
      </c>
      <c r="D5076" s="0" t="s">
        <v>2105</v>
      </c>
      <c r="E5076" s="0" t="s">
        <v>2045</v>
      </c>
      <c r="F5076" s="0" t="s">
        <v>2215</v>
      </c>
      <c r="G5076" s="0" t="s">
        <v>2218</v>
      </c>
      <c r="H5076" s="0" t="s">
        <v>2179</v>
      </c>
      <c r="I5076" s="0" t="s">
        <v>2322</v>
      </c>
      <c r="J5076" s="0" t="s">
        <v>2358</v>
      </c>
      <c r="K5076" s="272" t="n">
        <v>2097000</v>
      </c>
    </row>
    <row r="5077" customFormat="false" ht="15" hidden="false" customHeight="false" outlineLevel="0" collapsed="false">
      <c r="A5077" s="0" t="s">
        <v>2041</v>
      </c>
      <c r="B5077" s="0" t="s">
        <v>2042</v>
      </c>
      <c r="C5077" s="0" t="s">
        <v>2361</v>
      </c>
      <c r="D5077" s="0" t="s">
        <v>2105</v>
      </c>
      <c r="E5077" s="0" t="s">
        <v>2045</v>
      </c>
      <c r="F5077" s="0" t="s">
        <v>2215</v>
      </c>
      <c r="G5077" s="0" t="s">
        <v>2218</v>
      </c>
      <c r="H5077" s="0" t="s">
        <v>2179</v>
      </c>
      <c r="I5077" s="0" t="s">
        <v>2322</v>
      </c>
      <c r="J5077" s="0" t="s">
        <v>2358</v>
      </c>
      <c r="K5077" s="272" t="n">
        <v>343683.36</v>
      </c>
    </row>
    <row r="5078" customFormat="false" ht="15" hidden="false" customHeight="false" outlineLevel="0" collapsed="false">
      <c r="A5078" s="0" t="s">
        <v>2041</v>
      </c>
      <c r="B5078" s="0" t="s">
        <v>2042</v>
      </c>
      <c r="C5078" s="0" t="s">
        <v>2156</v>
      </c>
      <c r="D5078" s="0" t="s">
        <v>2105</v>
      </c>
      <c r="E5078" s="0" t="s">
        <v>2045</v>
      </c>
      <c r="F5078" s="0" t="s">
        <v>2215</v>
      </c>
      <c r="G5078" s="0" t="s">
        <v>2218</v>
      </c>
      <c r="H5078" s="0" t="s">
        <v>2179</v>
      </c>
      <c r="I5078" s="0" t="s">
        <v>2322</v>
      </c>
      <c r="J5078" s="0" t="s">
        <v>2358</v>
      </c>
      <c r="K5078" s="272" t="n">
        <v>30000000</v>
      </c>
    </row>
    <row r="5079" customFormat="false" ht="15" hidden="false" customHeight="false" outlineLevel="0" collapsed="false">
      <c r="A5079" s="0" t="s">
        <v>2041</v>
      </c>
      <c r="B5079" s="0" t="s">
        <v>2042</v>
      </c>
      <c r="C5079" s="0" t="s">
        <v>2161</v>
      </c>
      <c r="D5079" s="0" t="s">
        <v>2105</v>
      </c>
      <c r="E5079" s="0" t="s">
        <v>2045</v>
      </c>
      <c r="F5079" s="0" t="s">
        <v>2215</v>
      </c>
      <c r="G5079" s="0" t="s">
        <v>2218</v>
      </c>
      <c r="H5079" s="0" t="s">
        <v>2179</v>
      </c>
      <c r="I5079" s="0" t="s">
        <v>2322</v>
      </c>
      <c r="J5079" s="0" t="s">
        <v>2358</v>
      </c>
      <c r="K5079" s="272" t="n">
        <v>4590000</v>
      </c>
    </row>
    <row r="5080" customFormat="false" ht="15" hidden="false" customHeight="false" outlineLevel="0" collapsed="false">
      <c r="A5080" s="0" t="s">
        <v>2041</v>
      </c>
      <c r="B5080" s="0" t="s">
        <v>2042</v>
      </c>
      <c r="C5080" s="0" t="s">
        <v>2349</v>
      </c>
      <c r="D5080" s="0" t="s">
        <v>2105</v>
      </c>
      <c r="E5080" s="0" t="s">
        <v>2045</v>
      </c>
      <c r="F5080" s="0" t="s">
        <v>2215</v>
      </c>
      <c r="G5080" s="0" t="s">
        <v>2218</v>
      </c>
      <c r="H5080" s="0" t="s">
        <v>2179</v>
      </c>
      <c r="I5080" s="0" t="s">
        <v>2322</v>
      </c>
      <c r="J5080" s="0" t="s">
        <v>2358</v>
      </c>
      <c r="K5080" s="272" t="n">
        <v>410227.560000001</v>
      </c>
    </row>
    <row r="5081" customFormat="false" ht="15" hidden="false" customHeight="false" outlineLevel="0" collapsed="false">
      <c r="A5081" s="0" t="s">
        <v>2041</v>
      </c>
      <c r="B5081" s="0" t="s">
        <v>2042</v>
      </c>
      <c r="C5081" s="0" t="s">
        <v>2352</v>
      </c>
      <c r="D5081" s="0" t="s">
        <v>2105</v>
      </c>
      <c r="E5081" s="0" t="s">
        <v>2045</v>
      </c>
      <c r="F5081" s="0" t="s">
        <v>2215</v>
      </c>
      <c r="G5081" s="0" t="s">
        <v>2218</v>
      </c>
      <c r="H5081" s="0" t="s">
        <v>2217</v>
      </c>
      <c r="I5081" s="0" t="s">
        <v>2322</v>
      </c>
      <c r="J5081" s="0" t="s">
        <v>2358</v>
      </c>
      <c r="K5081" s="272" t="n">
        <v>252857.14</v>
      </c>
    </row>
    <row r="5082" customFormat="false" ht="15" hidden="false" customHeight="false" outlineLevel="0" collapsed="false">
      <c r="A5082" s="0" t="s">
        <v>2041</v>
      </c>
      <c r="B5082" s="0" t="s">
        <v>2042</v>
      </c>
      <c r="C5082" s="0" t="s">
        <v>2359</v>
      </c>
      <c r="D5082" s="0" t="s">
        <v>2105</v>
      </c>
      <c r="E5082" s="0" t="s">
        <v>2045</v>
      </c>
      <c r="F5082" s="0" t="s">
        <v>2215</v>
      </c>
      <c r="G5082" s="0" t="s">
        <v>2218</v>
      </c>
      <c r="H5082" s="0" t="s">
        <v>2217</v>
      </c>
      <c r="I5082" s="0" t="s">
        <v>2322</v>
      </c>
      <c r="J5082" s="0" t="s">
        <v>2358</v>
      </c>
      <c r="K5082" s="272" t="n">
        <v>40000.84</v>
      </c>
    </row>
    <row r="5083" customFormat="false" ht="15" hidden="false" customHeight="false" outlineLevel="0" collapsed="false">
      <c r="A5083" s="0" t="s">
        <v>2041</v>
      </c>
      <c r="B5083" s="0" t="s">
        <v>2042</v>
      </c>
      <c r="C5083" s="0" t="s">
        <v>2156</v>
      </c>
      <c r="D5083" s="0" t="s">
        <v>2105</v>
      </c>
      <c r="E5083" s="0" t="s">
        <v>2045</v>
      </c>
      <c r="F5083" s="0" t="s">
        <v>2215</v>
      </c>
      <c r="G5083" s="0" t="s">
        <v>2218</v>
      </c>
      <c r="H5083" s="0" t="s">
        <v>2217</v>
      </c>
      <c r="I5083" s="0" t="s">
        <v>2322</v>
      </c>
      <c r="J5083" s="0" t="s">
        <v>2358</v>
      </c>
      <c r="K5083" s="272" t="n">
        <v>1780000</v>
      </c>
    </row>
    <row r="5084" customFormat="false" ht="15" hidden="false" customHeight="false" outlineLevel="0" collapsed="false">
      <c r="A5084" s="0" t="s">
        <v>2041</v>
      </c>
      <c r="B5084" s="0" t="s">
        <v>2042</v>
      </c>
      <c r="C5084" s="0" t="s">
        <v>2161</v>
      </c>
      <c r="D5084" s="0" t="s">
        <v>2105</v>
      </c>
      <c r="E5084" s="0" t="s">
        <v>2045</v>
      </c>
      <c r="F5084" s="0" t="s">
        <v>2215</v>
      </c>
      <c r="G5084" s="0" t="s">
        <v>2218</v>
      </c>
      <c r="H5084" s="0" t="s">
        <v>2217</v>
      </c>
      <c r="I5084" s="0" t="s">
        <v>2322</v>
      </c>
      <c r="J5084" s="0" t="s">
        <v>2358</v>
      </c>
      <c r="K5084" s="272" t="n">
        <v>537560</v>
      </c>
    </row>
    <row r="5085" customFormat="false" ht="15" hidden="false" customHeight="false" outlineLevel="0" collapsed="false">
      <c r="A5085" s="0" t="s">
        <v>2041</v>
      </c>
      <c r="B5085" s="0" t="s">
        <v>2042</v>
      </c>
      <c r="C5085" s="0" t="s">
        <v>2349</v>
      </c>
      <c r="D5085" s="0" t="s">
        <v>2105</v>
      </c>
      <c r="E5085" s="0" t="s">
        <v>2045</v>
      </c>
      <c r="F5085" s="0" t="s">
        <v>2215</v>
      </c>
      <c r="G5085" s="0" t="s">
        <v>2218</v>
      </c>
      <c r="H5085" s="0" t="s">
        <v>2217</v>
      </c>
      <c r="I5085" s="0" t="s">
        <v>2322</v>
      </c>
      <c r="J5085" s="0" t="s">
        <v>2358</v>
      </c>
      <c r="K5085" s="272" t="n">
        <v>88443.11</v>
      </c>
    </row>
    <row r="5086" customFormat="false" ht="15" hidden="false" customHeight="false" outlineLevel="0" collapsed="false">
      <c r="A5086" s="0" t="s">
        <v>2041</v>
      </c>
      <c r="B5086" s="0" t="s">
        <v>2042</v>
      </c>
      <c r="C5086" s="0" t="s">
        <v>2352</v>
      </c>
      <c r="D5086" s="0" t="s">
        <v>2105</v>
      </c>
      <c r="E5086" s="0" t="s">
        <v>2045</v>
      </c>
      <c r="F5086" s="0" t="s">
        <v>2215</v>
      </c>
      <c r="G5086" s="0" t="s">
        <v>2218</v>
      </c>
      <c r="H5086" s="0" t="s">
        <v>2219</v>
      </c>
      <c r="I5086" s="0" t="s">
        <v>2322</v>
      </c>
      <c r="J5086" s="0" t="s">
        <v>2358</v>
      </c>
      <c r="K5086" s="272" t="n">
        <v>6791928.3938</v>
      </c>
    </row>
    <row r="5087" customFormat="false" ht="15" hidden="false" customHeight="false" outlineLevel="0" collapsed="false">
      <c r="A5087" s="0" t="s">
        <v>2041</v>
      </c>
      <c r="B5087" s="0" t="s">
        <v>2042</v>
      </c>
      <c r="C5087" s="0" t="s">
        <v>2359</v>
      </c>
      <c r="D5087" s="0" t="s">
        <v>2105</v>
      </c>
      <c r="E5087" s="0" t="s">
        <v>2045</v>
      </c>
      <c r="F5087" s="0" t="s">
        <v>2215</v>
      </c>
      <c r="G5087" s="0" t="s">
        <v>2218</v>
      </c>
      <c r="H5087" s="0" t="s">
        <v>2219</v>
      </c>
      <c r="I5087" s="0" t="s">
        <v>2322</v>
      </c>
      <c r="J5087" s="0" t="s">
        <v>2358</v>
      </c>
      <c r="K5087" s="272" t="n">
        <v>3311134.326</v>
      </c>
    </row>
    <row r="5088" customFormat="false" ht="15" hidden="false" customHeight="false" outlineLevel="0" collapsed="false">
      <c r="A5088" s="0" t="s">
        <v>2041</v>
      </c>
      <c r="B5088" s="0" t="s">
        <v>2042</v>
      </c>
      <c r="C5088" s="0" t="s">
        <v>2361</v>
      </c>
      <c r="D5088" s="0" t="s">
        <v>2105</v>
      </c>
      <c r="E5088" s="0" t="s">
        <v>2045</v>
      </c>
      <c r="F5088" s="0" t="s">
        <v>2215</v>
      </c>
      <c r="G5088" s="0" t="s">
        <v>2218</v>
      </c>
      <c r="H5088" s="0" t="s">
        <v>2219</v>
      </c>
      <c r="I5088" s="0" t="s">
        <v>2322</v>
      </c>
      <c r="J5088" s="0" t="s">
        <v>2358</v>
      </c>
      <c r="K5088" s="272" t="n">
        <v>620281.52</v>
      </c>
    </row>
    <row r="5089" customFormat="false" ht="15" hidden="false" customHeight="false" outlineLevel="0" collapsed="false">
      <c r="A5089" s="0" t="s">
        <v>2041</v>
      </c>
      <c r="B5089" s="0" t="s">
        <v>2042</v>
      </c>
      <c r="C5089" s="0" t="s">
        <v>2156</v>
      </c>
      <c r="D5089" s="0" t="s">
        <v>2105</v>
      </c>
      <c r="E5089" s="0" t="s">
        <v>2045</v>
      </c>
      <c r="F5089" s="0" t="s">
        <v>2215</v>
      </c>
      <c r="G5089" s="0" t="s">
        <v>2218</v>
      </c>
      <c r="H5089" s="0" t="s">
        <v>2219</v>
      </c>
      <c r="I5089" s="0" t="s">
        <v>2322</v>
      </c>
      <c r="J5089" s="0" t="s">
        <v>2358</v>
      </c>
      <c r="K5089" s="272" t="n">
        <v>93100000</v>
      </c>
    </row>
    <row r="5090" customFormat="false" ht="15" hidden="false" customHeight="false" outlineLevel="0" collapsed="false">
      <c r="A5090" s="0" t="s">
        <v>2041</v>
      </c>
      <c r="B5090" s="0" t="s">
        <v>2042</v>
      </c>
      <c r="C5090" s="0" t="s">
        <v>2360</v>
      </c>
      <c r="D5090" s="0" t="s">
        <v>2105</v>
      </c>
      <c r="E5090" s="0" t="s">
        <v>2045</v>
      </c>
      <c r="F5090" s="0" t="s">
        <v>2215</v>
      </c>
      <c r="G5090" s="0" t="s">
        <v>2218</v>
      </c>
      <c r="H5090" s="0" t="s">
        <v>2219</v>
      </c>
      <c r="I5090" s="0" t="s">
        <v>2322</v>
      </c>
      <c r="J5090" s="0" t="s">
        <v>2358</v>
      </c>
      <c r="K5090" s="272" t="n">
        <v>1721.42</v>
      </c>
    </row>
    <row r="5091" customFormat="false" ht="15" hidden="false" customHeight="false" outlineLevel="0" collapsed="false">
      <c r="A5091" s="0" t="s">
        <v>2041</v>
      </c>
      <c r="B5091" s="0" t="s">
        <v>2042</v>
      </c>
      <c r="C5091" s="0" t="s">
        <v>2161</v>
      </c>
      <c r="D5091" s="0" t="s">
        <v>2105</v>
      </c>
      <c r="E5091" s="0" t="s">
        <v>2045</v>
      </c>
      <c r="F5091" s="0" t="s">
        <v>2215</v>
      </c>
      <c r="G5091" s="0" t="s">
        <v>2218</v>
      </c>
      <c r="H5091" s="0" t="s">
        <v>2219</v>
      </c>
      <c r="I5091" s="0" t="s">
        <v>2322</v>
      </c>
      <c r="J5091" s="0" t="s">
        <v>2358</v>
      </c>
      <c r="K5091" s="272" t="n">
        <v>15762421.135</v>
      </c>
    </row>
    <row r="5092" customFormat="false" ht="15" hidden="false" customHeight="false" outlineLevel="0" collapsed="false">
      <c r="A5092" s="0" t="s">
        <v>2041</v>
      </c>
      <c r="B5092" s="0" t="s">
        <v>2042</v>
      </c>
      <c r="C5092" s="0" t="s">
        <v>2349</v>
      </c>
      <c r="D5092" s="0" t="s">
        <v>2105</v>
      </c>
      <c r="E5092" s="0" t="s">
        <v>2045</v>
      </c>
      <c r="F5092" s="0" t="s">
        <v>2215</v>
      </c>
      <c r="G5092" s="0" t="s">
        <v>2218</v>
      </c>
      <c r="H5092" s="0" t="s">
        <v>2219</v>
      </c>
      <c r="I5092" s="0" t="s">
        <v>2322</v>
      </c>
      <c r="J5092" s="0" t="s">
        <v>2358</v>
      </c>
      <c r="K5092" s="272" t="n">
        <v>2632814.7248</v>
      </c>
    </row>
    <row r="5093" customFormat="false" ht="15" hidden="false" customHeight="false" outlineLevel="0" collapsed="false">
      <c r="A5093" s="0" t="s">
        <v>2041</v>
      </c>
      <c r="B5093" s="0" t="s">
        <v>2042</v>
      </c>
      <c r="C5093" s="0" t="s">
        <v>2347</v>
      </c>
      <c r="D5093" s="0" t="s">
        <v>2105</v>
      </c>
      <c r="E5093" s="0" t="s">
        <v>2045</v>
      </c>
      <c r="F5093" s="0" t="s">
        <v>2215</v>
      </c>
      <c r="G5093" s="0" t="s">
        <v>2218</v>
      </c>
      <c r="H5093" s="0" t="s">
        <v>2219</v>
      </c>
      <c r="I5093" s="0" t="s">
        <v>2322</v>
      </c>
      <c r="J5093" s="0" t="s">
        <v>2358</v>
      </c>
      <c r="K5093" s="272" t="n">
        <v>36418.73</v>
      </c>
    </row>
    <row r="5094" customFormat="false" ht="15" hidden="false" customHeight="false" outlineLevel="0" collapsed="false">
      <c r="A5094" s="0" t="s">
        <v>2041</v>
      </c>
      <c r="B5094" s="0" t="s">
        <v>2042</v>
      </c>
      <c r="C5094" s="0" t="s">
        <v>2352</v>
      </c>
      <c r="D5094" s="0" t="s">
        <v>2105</v>
      </c>
      <c r="E5094" s="0" t="s">
        <v>2045</v>
      </c>
      <c r="F5094" s="0" t="s">
        <v>2215</v>
      </c>
      <c r="G5094" s="0" t="s">
        <v>2218</v>
      </c>
      <c r="H5094" s="0" t="s">
        <v>2220</v>
      </c>
      <c r="I5094" s="0" t="s">
        <v>2124</v>
      </c>
      <c r="J5094" s="0" t="s">
        <v>2358</v>
      </c>
      <c r="K5094" s="272" t="n">
        <v>1334761.91</v>
      </c>
    </row>
    <row r="5095" customFormat="false" ht="15" hidden="false" customHeight="false" outlineLevel="0" collapsed="false">
      <c r="A5095" s="0" t="s">
        <v>2041</v>
      </c>
      <c r="B5095" s="0" t="s">
        <v>2042</v>
      </c>
      <c r="C5095" s="0" t="s">
        <v>2361</v>
      </c>
      <c r="D5095" s="0" t="s">
        <v>2105</v>
      </c>
      <c r="E5095" s="0" t="s">
        <v>2045</v>
      </c>
      <c r="F5095" s="0" t="s">
        <v>2215</v>
      </c>
      <c r="G5095" s="0" t="s">
        <v>2218</v>
      </c>
      <c r="H5095" s="0" t="s">
        <v>2220</v>
      </c>
      <c r="I5095" s="0" t="s">
        <v>2124</v>
      </c>
      <c r="J5095" s="0" t="s">
        <v>2358</v>
      </c>
      <c r="K5095" s="272" t="n">
        <v>1684840.1</v>
      </c>
    </row>
    <row r="5096" customFormat="false" ht="15" hidden="false" customHeight="false" outlineLevel="0" collapsed="false">
      <c r="A5096" s="0" t="s">
        <v>2041</v>
      </c>
      <c r="B5096" s="0" t="s">
        <v>2042</v>
      </c>
      <c r="C5096" s="0" t="s">
        <v>2156</v>
      </c>
      <c r="D5096" s="0" t="s">
        <v>2105</v>
      </c>
      <c r="E5096" s="0" t="s">
        <v>2045</v>
      </c>
      <c r="F5096" s="0" t="s">
        <v>2215</v>
      </c>
      <c r="G5096" s="0" t="s">
        <v>2218</v>
      </c>
      <c r="H5096" s="0" t="s">
        <v>2220</v>
      </c>
      <c r="I5096" s="0" t="s">
        <v>2124</v>
      </c>
      <c r="J5096" s="0" t="s">
        <v>2358</v>
      </c>
      <c r="K5096" s="272" t="n">
        <v>22062881</v>
      </c>
    </row>
    <row r="5097" customFormat="false" ht="15" hidden="false" customHeight="false" outlineLevel="0" collapsed="false">
      <c r="A5097" s="0" t="s">
        <v>2041</v>
      </c>
      <c r="B5097" s="0" t="s">
        <v>2042</v>
      </c>
      <c r="C5097" s="0" t="s">
        <v>2161</v>
      </c>
      <c r="D5097" s="0" t="s">
        <v>2105</v>
      </c>
      <c r="E5097" s="0" t="s">
        <v>2045</v>
      </c>
      <c r="F5097" s="0" t="s">
        <v>2215</v>
      </c>
      <c r="G5097" s="0" t="s">
        <v>2218</v>
      </c>
      <c r="H5097" s="0" t="s">
        <v>2220</v>
      </c>
      <c r="I5097" s="0" t="s">
        <v>2124</v>
      </c>
      <c r="J5097" s="0" t="s">
        <v>2358</v>
      </c>
      <c r="K5097" s="272" t="n">
        <v>3703738.88</v>
      </c>
    </row>
    <row r="5098" customFormat="false" ht="15" hidden="false" customHeight="false" outlineLevel="0" collapsed="false">
      <c r="A5098" s="0" t="s">
        <v>2041</v>
      </c>
      <c r="B5098" s="0" t="s">
        <v>2042</v>
      </c>
      <c r="C5098" s="0" t="s">
        <v>2349</v>
      </c>
      <c r="D5098" s="0" t="s">
        <v>2105</v>
      </c>
      <c r="E5098" s="0" t="s">
        <v>2045</v>
      </c>
      <c r="F5098" s="0" t="s">
        <v>2215</v>
      </c>
      <c r="G5098" s="0" t="s">
        <v>2218</v>
      </c>
      <c r="H5098" s="0" t="s">
        <v>2220</v>
      </c>
      <c r="I5098" s="0" t="s">
        <v>2124</v>
      </c>
      <c r="J5098" s="0" t="s">
        <v>2358</v>
      </c>
      <c r="K5098" s="272" t="n">
        <v>911919.8</v>
      </c>
    </row>
    <row r="5099" customFormat="false" ht="15" hidden="false" customHeight="false" outlineLevel="0" collapsed="false">
      <c r="A5099" s="0" t="s">
        <v>2041</v>
      </c>
      <c r="B5099" s="0" t="s">
        <v>2042</v>
      </c>
      <c r="C5099" s="0" t="s">
        <v>2352</v>
      </c>
      <c r="D5099" s="0" t="s">
        <v>2105</v>
      </c>
      <c r="E5099" s="0" t="s">
        <v>2045</v>
      </c>
      <c r="F5099" s="0" t="s">
        <v>2215</v>
      </c>
      <c r="G5099" s="0" t="s">
        <v>2218</v>
      </c>
      <c r="H5099" s="0" t="s">
        <v>2220</v>
      </c>
      <c r="I5099" s="0" t="s">
        <v>2322</v>
      </c>
      <c r="J5099" s="0" t="s">
        <v>2358</v>
      </c>
      <c r="K5099" s="272" t="n">
        <v>4574942.7181</v>
      </c>
    </row>
    <row r="5100" customFormat="false" ht="15" hidden="false" customHeight="false" outlineLevel="0" collapsed="false">
      <c r="A5100" s="0" t="s">
        <v>2041</v>
      </c>
      <c r="B5100" s="0" t="s">
        <v>2042</v>
      </c>
      <c r="C5100" s="0" t="s">
        <v>2359</v>
      </c>
      <c r="D5100" s="0" t="s">
        <v>2105</v>
      </c>
      <c r="E5100" s="0" t="s">
        <v>2045</v>
      </c>
      <c r="F5100" s="0" t="s">
        <v>2215</v>
      </c>
      <c r="G5100" s="0" t="s">
        <v>2218</v>
      </c>
      <c r="H5100" s="0" t="s">
        <v>2220</v>
      </c>
      <c r="I5100" s="0" t="s">
        <v>2322</v>
      </c>
      <c r="J5100" s="0" t="s">
        <v>2358</v>
      </c>
      <c r="K5100" s="272" t="n">
        <v>1167792.7255</v>
      </c>
    </row>
    <row r="5101" customFormat="false" ht="15" hidden="false" customHeight="false" outlineLevel="0" collapsed="false">
      <c r="A5101" s="0" t="s">
        <v>2041</v>
      </c>
      <c r="B5101" s="0" t="s">
        <v>2042</v>
      </c>
      <c r="C5101" s="0" t="s">
        <v>2362</v>
      </c>
      <c r="D5101" s="0" t="s">
        <v>2105</v>
      </c>
      <c r="E5101" s="0" t="s">
        <v>2045</v>
      </c>
      <c r="F5101" s="0" t="s">
        <v>2215</v>
      </c>
      <c r="G5101" s="0" t="s">
        <v>2218</v>
      </c>
      <c r="H5101" s="0" t="s">
        <v>2220</v>
      </c>
      <c r="I5101" s="0" t="s">
        <v>2322</v>
      </c>
      <c r="J5101" s="0" t="s">
        <v>2358</v>
      </c>
      <c r="K5101" s="272" t="n">
        <v>285238.08</v>
      </c>
    </row>
    <row r="5102" customFormat="false" ht="15" hidden="false" customHeight="false" outlineLevel="0" collapsed="false">
      <c r="A5102" s="0" t="s">
        <v>2041</v>
      </c>
      <c r="B5102" s="0" t="s">
        <v>2042</v>
      </c>
      <c r="C5102" s="0" t="s">
        <v>2361</v>
      </c>
      <c r="D5102" s="0" t="s">
        <v>2105</v>
      </c>
      <c r="E5102" s="0" t="s">
        <v>2045</v>
      </c>
      <c r="F5102" s="0" t="s">
        <v>2215</v>
      </c>
      <c r="G5102" s="0" t="s">
        <v>2218</v>
      </c>
      <c r="H5102" s="0" t="s">
        <v>2220</v>
      </c>
      <c r="I5102" s="0" t="s">
        <v>2322</v>
      </c>
      <c r="J5102" s="0" t="s">
        <v>2358</v>
      </c>
      <c r="K5102" s="272" t="n">
        <v>300358.36</v>
      </c>
    </row>
    <row r="5103" customFormat="false" ht="15" hidden="false" customHeight="false" outlineLevel="0" collapsed="false">
      <c r="A5103" s="0" t="s">
        <v>2041</v>
      </c>
      <c r="B5103" s="0" t="s">
        <v>2042</v>
      </c>
      <c r="C5103" s="0" t="s">
        <v>2156</v>
      </c>
      <c r="D5103" s="0" t="s">
        <v>2105</v>
      </c>
      <c r="E5103" s="0" t="s">
        <v>2045</v>
      </c>
      <c r="F5103" s="0" t="s">
        <v>2215</v>
      </c>
      <c r="G5103" s="0" t="s">
        <v>2218</v>
      </c>
      <c r="H5103" s="0" t="s">
        <v>2220</v>
      </c>
      <c r="I5103" s="0" t="s">
        <v>2322</v>
      </c>
      <c r="J5103" s="0" t="s">
        <v>2358</v>
      </c>
      <c r="K5103" s="272" t="n">
        <v>46655887</v>
      </c>
    </row>
    <row r="5104" customFormat="false" ht="15" hidden="false" customHeight="false" outlineLevel="0" collapsed="false">
      <c r="A5104" s="0" t="s">
        <v>2041</v>
      </c>
      <c r="B5104" s="0" t="s">
        <v>2042</v>
      </c>
      <c r="C5104" s="0" t="s">
        <v>2360</v>
      </c>
      <c r="D5104" s="0" t="s">
        <v>2105</v>
      </c>
      <c r="E5104" s="0" t="s">
        <v>2045</v>
      </c>
      <c r="F5104" s="0" t="s">
        <v>2215</v>
      </c>
      <c r="G5104" s="0" t="s">
        <v>2218</v>
      </c>
      <c r="H5104" s="0" t="s">
        <v>2220</v>
      </c>
      <c r="I5104" s="0" t="s">
        <v>2322</v>
      </c>
      <c r="J5104" s="0" t="s">
        <v>2358</v>
      </c>
      <c r="K5104" s="272" t="n">
        <v>1670.79</v>
      </c>
    </row>
    <row r="5105" customFormat="false" ht="15" hidden="false" customHeight="false" outlineLevel="0" collapsed="false">
      <c r="A5105" s="0" t="s">
        <v>2041</v>
      </c>
      <c r="B5105" s="0" t="s">
        <v>2042</v>
      </c>
      <c r="C5105" s="0" t="s">
        <v>2161</v>
      </c>
      <c r="D5105" s="0" t="s">
        <v>2105</v>
      </c>
      <c r="E5105" s="0" t="s">
        <v>2045</v>
      </c>
      <c r="F5105" s="0" t="s">
        <v>2215</v>
      </c>
      <c r="G5105" s="0" t="s">
        <v>2218</v>
      </c>
      <c r="H5105" s="0" t="s">
        <v>2220</v>
      </c>
      <c r="I5105" s="0" t="s">
        <v>2322</v>
      </c>
      <c r="J5105" s="0" t="s">
        <v>2358</v>
      </c>
      <c r="K5105" s="272" t="n">
        <v>7838261.195</v>
      </c>
    </row>
    <row r="5106" customFormat="false" ht="15" hidden="false" customHeight="false" outlineLevel="0" collapsed="false">
      <c r="A5106" s="0" t="s">
        <v>2041</v>
      </c>
      <c r="B5106" s="0" t="s">
        <v>2042</v>
      </c>
      <c r="C5106" s="0" t="s">
        <v>2349</v>
      </c>
      <c r="D5106" s="0" t="s">
        <v>2105</v>
      </c>
      <c r="E5106" s="0" t="s">
        <v>2045</v>
      </c>
      <c r="F5106" s="0" t="s">
        <v>2215</v>
      </c>
      <c r="G5106" s="0" t="s">
        <v>2218</v>
      </c>
      <c r="H5106" s="0" t="s">
        <v>2220</v>
      </c>
      <c r="I5106" s="0" t="s">
        <v>2322</v>
      </c>
      <c r="J5106" s="0" t="s">
        <v>2358</v>
      </c>
      <c r="K5106" s="272" t="n">
        <v>1669299.3601</v>
      </c>
    </row>
    <row r="5107" customFormat="false" ht="15" hidden="false" customHeight="false" outlineLevel="0" collapsed="false">
      <c r="A5107" s="0" t="s">
        <v>2041</v>
      </c>
      <c r="B5107" s="0" t="s">
        <v>2042</v>
      </c>
      <c r="C5107" s="0" t="s">
        <v>2352</v>
      </c>
      <c r="D5107" s="0" t="s">
        <v>2105</v>
      </c>
      <c r="E5107" s="0" t="s">
        <v>2045</v>
      </c>
      <c r="F5107" s="0" t="s">
        <v>2215</v>
      </c>
      <c r="G5107" s="0" t="s">
        <v>2218</v>
      </c>
      <c r="H5107" s="0" t="s">
        <v>2221</v>
      </c>
      <c r="I5107" s="0" t="s">
        <v>2124</v>
      </c>
      <c r="J5107" s="0" t="s">
        <v>2358</v>
      </c>
      <c r="K5107" s="272" t="n">
        <v>1275023.03</v>
      </c>
    </row>
    <row r="5108" customFormat="false" ht="15" hidden="false" customHeight="false" outlineLevel="0" collapsed="false">
      <c r="A5108" s="0" t="s">
        <v>2041</v>
      </c>
      <c r="B5108" s="0" t="s">
        <v>2042</v>
      </c>
      <c r="C5108" s="0" t="s">
        <v>2359</v>
      </c>
      <c r="D5108" s="0" t="s">
        <v>2105</v>
      </c>
      <c r="E5108" s="0" t="s">
        <v>2045</v>
      </c>
      <c r="F5108" s="0" t="s">
        <v>2215</v>
      </c>
      <c r="G5108" s="0" t="s">
        <v>2218</v>
      </c>
      <c r="H5108" s="0" t="s">
        <v>2221</v>
      </c>
      <c r="I5108" s="0" t="s">
        <v>2124</v>
      </c>
      <c r="J5108" s="0" t="s">
        <v>2358</v>
      </c>
      <c r="K5108" s="272" t="n">
        <v>160624.02</v>
      </c>
    </row>
    <row r="5109" customFormat="false" ht="15" hidden="false" customHeight="false" outlineLevel="0" collapsed="false">
      <c r="A5109" s="0" t="s">
        <v>2041</v>
      </c>
      <c r="B5109" s="0" t="s">
        <v>2042</v>
      </c>
      <c r="C5109" s="0" t="s">
        <v>2156</v>
      </c>
      <c r="D5109" s="0" t="s">
        <v>2105</v>
      </c>
      <c r="E5109" s="0" t="s">
        <v>2045</v>
      </c>
      <c r="F5109" s="0" t="s">
        <v>2215</v>
      </c>
      <c r="G5109" s="0" t="s">
        <v>2218</v>
      </c>
      <c r="H5109" s="0" t="s">
        <v>2221</v>
      </c>
      <c r="I5109" s="0" t="s">
        <v>2124</v>
      </c>
      <c r="J5109" s="0" t="s">
        <v>2358</v>
      </c>
      <c r="K5109" s="272" t="n">
        <v>8450000</v>
      </c>
    </row>
    <row r="5110" customFormat="false" ht="15" hidden="false" customHeight="false" outlineLevel="0" collapsed="false">
      <c r="A5110" s="0" t="s">
        <v>2041</v>
      </c>
      <c r="B5110" s="0" t="s">
        <v>2042</v>
      </c>
      <c r="C5110" s="0" t="s">
        <v>2161</v>
      </c>
      <c r="D5110" s="0" t="s">
        <v>2105</v>
      </c>
      <c r="E5110" s="0" t="s">
        <v>2045</v>
      </c>
      <c r="F5110" s="0" t="s">
        <v>2215</v>
      </c>
      <c r="G5110" s="0" t="s">
        <v>2218</v>
      </c>
      <c r="H5110" s="0" t="s">
        <v>2221</v>
      </c>
      <c r="I5110" s="0" t="s">
        <v>2124</v>
      </c>
      <c r="J5110" s="0" t="s">
        <v>2358</v>
      </c>
      <c r="K5110" s="272" t="n">
        <v>2122904.06</v>
      </c>
    </row>
    <row r="5111" customFormat="false" ht="15" hidden="false" customHeight="false" outlineLevel="0" collapsed="false">
      <c r="A5111" s="0" t="s">
        <v>2041</v>
      </c>
      <c r="B5111" s="0" t="s">
        <v>2042</v>
      </c>
      <c r="C5111" s="0" t="s">
        <v>2349</v>
      </c>
      <c r="D5111" s="0" t="s">
        <v>2105</v>
      </c>
      <c r="E5111" s="0" t="s">
        <v>2045</v>
      </c>
      <c r="F5111" s="0" t="s">
        <v>2215</v>
      </c>
      <c r="G5111" s="0" t="s">
        <v>2218</v>
      </c>
      <c r="H5111" s="0" t="s">
        <v>2221</v>
      </c>
      <c r="I5111" s="0" t="s">
        <v>2124</v>
      </c>
      <c r="J5111" s="0" t="s">
        <v>2358</v>
      </c>
      <c r="K5111" s="272" t="n">
        <v>421914.35</v>
      </c>
    </row>
    <row r="5112" customFormat="false" ht="15" hidden="false" customHeight="false" outlineLevel="0" collapsed="false">
      <c r="A5112" s="0" t="s">
        <v>2041</v>
      </c>
      <c r="B5112" s="0" t="s">
        <v>2042</v>
      </c>
      <c r="C5112" s="0" t="s">
        <v>2352</v>
      </c>
      <c r="D5112" s="0" t="s">
        <v>2105</v>
      </c>
      <c r="E5112" s="0" t="s">
        <v>2045</v>
      </c>
      <c r="F5112" s="0" t="s">
        <v>2215</v>
      </c>
      <c r="G5112" s="0" t="s">
        <v>2218</v>
      </c>
      <c r="H5112" s="0" t="s">
        <v>2221</v>
      </c>
      <c r="I5112" s="0" t="s">
        <v>2322</v>
      </c>
      <c r="J5112" s="0" t="s">
        <v>2358</v>
      </c>
      <c r="K5112" s="272" t="n">
        <v>6010102.05</v>
      </c>
    </row>
    <row r="5113" customFormat="false" ht="15" hidden="false" customHeight="false" outlineLevel="0" collapsed="false">
      <c r="A5113" s="0" t="s">
        <v>2041</v>
      </c>
      <c r="B5113" s="0" t="s">
        <v>2042</v>
      </c>
      <c r="C5113" s="0" t="s">
        <v>2359</v>
      </c>
      <c r="D5113" s="0" t="s">
        <v>2105</v>
      </c>
      <c r="E5113" s="0" t="s">
        <v>2045</v>
      </c>
      <c r="F5113" s="0" t="s">
        <v>2215</v>
      </c>
      <c r="G5113" s="0" t="s">
        <v>2218</v>
      </c>
      <c r="H5113" s="0" t="s">
        <v>2221</v>
      </c>
      <c r="I5113" s="0" t="s">
        <v>2322</v>
      </c>
      <c r="J5113" s="0" t="s">
        <v>2358</v>
      </c>
      <c r="K5113" s="272" t="n">
        <v>1918542.83</v>
      </c>
    </row>
    <row r="5114" customFormat="false" ht="15" hidden="false" customHeight="false" outlineLevel="0" collapsed="false">
      <c r="A5114" s="0" t="s">
        <v>2041</v>
      </c>
      <c r="B5114" s="0" t="s">
        <v>2042</v>
      </c>
      <c r="C5114" s="0" t="s">
        <v>2156</v>
      </c>
      <c r="D5114" s="0" t="s">
        <v>2105</v>
      </c>
      <c r="E5114" s="0" t="s">
        <v>2045</v>
      </c>
      <c r="F5114" s="0" t="s">
        <v>2215</v>
      </c>
      <c r="G5114" s="0" t="s">
        <v>2218</v>
      </c>
      <c r="H5114" s="0" t="s">
        <v>2221</v>
      </c>
      <c r="I5114" s="0" t="s">
        <v>2322</v>
      </c>
      <c r="J5114" s="0" t="s">
        <v>2358</v>
      </c>
      <c r="K5114" s="272" t="n">
        <v>68550000</v>
      </c>
    </row>
    <row r="5115" customFormat="false" ht="15" hidden="false" customHeight="false" outlineLevel="0" collapsed="false">
      <c r="A5115" s="0" t="s">
        <v>2041</v>
      </c>
      <c r="B5115" s="0" t="s">
        <v>2042</v>
      </c>
      <c r="C5115" s="0" t="s">
        <v>2360</v>
      </c>
      <c r="D5115" s="0" t="s">
        <v>2105</v>
      </c>
      <c r="E5115" s="0" t="s">
        <v>2045</v>
      </c>
      <c r="F5115" s="0" t="s">
        <v>2215</v>
      </c>
      <c r="G5115" s="0" t="s">
        <v>2218</v>
      </c>
      <c r="H5115" s="0" t="s">
        <v>2221</v>
      </c>
      <c r="I5115" s="0" t="s">
        <v>2322</v>
      </c>
      <c r="J5115" s="0" t="s">
        <v>2358</v>
      </c>
      <c r="K5115" s="272" t="n">
        <v>1803</v>
      </c>
    </row>
    <row r="5116" customFormat="false" ht="15" hidden="false" customHeight="false" outlineLevel="0" collapsed="false">
      <c r="A5116" s="0" t="s">
        <v>2041</v>
      </c>
      <c r="B5116" s="0" t="s">
        <v>2042</v>
      </c>
      <c r="C5116" s="0" t="s">
        <v>2161</v>
      </c>
      <c r="D5116" s="0" t="s">
        <v>2105</v>
      </c>
      <c r="E5116" s="0" t="s">
        <v>2045</v>
      </c>
      <c r="F5116" s="0" t="s">
        <v>2215</v>
      </c>
      <c r="G5116" s="0" t="s">
        <v>2218</v>
      </c>
      <c r="H5116" s="0" t="s">
        <v>2221</v>
      </c>
      <c r="I5116" s="0" t="s">
        <v>2322</v>
      </c>
      <c r="J5116" s="0" t="s">
        <v>2358</v>
      </c>
      <c r="K5116" s="272" t="n">
        <v>15458624.14</v>
      </c>
    </row>
    <row r="5117" customFormat="false" ht="15" hidden="false" customHeight="false" outlineLevel="0" collapsed="false">
      <c r="A5117" s="0" t="s">
        <v>2041</v>
      </c>
      <c r="B5117" s="0" t="s">
        <v>2042</v>
      </c>
      <c r="C5117" s="0" t="s">
        <v>2349</v>
      </c>
      <c r="D5117" s="0" t="s">
        <v>2105</v>
      </c>
      <c r="E5117" s="0" t="s">
        <v>2045</v>
      </c>
      <c r="F5117" s="0" t="s">
        <v>2215</v>
      </c>
      <c r="G5117" s="0" t="s">
        <v>2218</v>
      </c>
      <c r="H5117" s="0" t="s">
        <v>2221</v>
      </c>
      <c r="I5117" s="0" t="s">
        <v>2322</v>
      </c>
      <c r="J5117" s="0" t="s">
        <v>2358</v>
      </c>
      <c r="K5117" s="272" t="n">
        <v>2117874.62</v>
      </c>
    </row>
    <row r="5118" customFormat="false" ht="15" hidden="false" customHeight="false" outlineLevel="0" collapsed="false">
      <c r="A5118" s="0" t="s">
        <v>2041</v>
      </c>
      <c r="B5118" s="0" t="s">
        <v>2042</v>
      </c>
      <c r="C5118" s="0" t="s">
        <v>2352</v>
      </c>
      <c r="D5118" s="0" t="s">
        <v>2105</v>
      </c>
      <c r="E5118" s="0" t="s">
        <v>2045</v>
      </c>
      <c r="F5118" s="0" t="s">
        <v>2215</v>
      </c>
      <c r="G5118" s="0" t="s">
        <v>2218</v>
      </c>
      <c r="H5118" s="0" t="s">
        <v>2222</v>
      </c>
      <c r="I5118" s="0" t="s">
        <v>2124</v>
      </c>
      <c r="J5118" s="0" t="s">
        <v>2358</v>
      </c>
      <c r="K5118" s="272" t="n">
        <v>1145238.1</v>
      </c>
    </row>
    <row r="5119" customFormat="false" ht="15" hidden="false" customHeight="false" outlineLevel="0" collapsed="false">
      <c r="A5119" s="0" t="s">
        <v>2041</v>
      </c>
      <c r="B5119" s="0" t="s">
        <v>2042</v>
      </c>
      <c r="C5119" s="0" t="s">
        <v>2359</v>
      </c>
      <c r="D5119" s="0" t="s">
        <v>2105</v>
      </c>
      <c r="E5119" s="0" t="s">
        <v>2045</v>
      </c>
      <c r="F5119" s="0" t="s">
        <v>2215</v>
      </c>
      <c r="G5119" s="0" t="s">
        <v>2218</v>
      </c>
      <c r="H5119" s="0" t="s">
        <v>2222</v>
      </c>
      <c r="I5119" s="0" t="s">
        <v>2124</v>
      </c>
      <c r="J5119" s="0" t="s">
        <v>2358</v>
      </c>
      <c r="K5119" s="272" t="n">
        <v>215216.67</v>
      </c>
    </row>
    <row r="5120" customFormat="false" ht="15" hidden="false" customHeight="false" outlineLevel="0" collapsed="false">
      <c r="A5120" s="0" t="s">
        <v>2041</v>
      </c>
      <c r="B5120" s="0" t="s">
        <v>2042</v>
      </c>
      <c r="C5120" s="0" t="s">
        <v>2361</v>
      </c>
      <c r="D5120" s="0" t="s">
        <v>2105</v>
      </c>
      <c r="E5120" s="0" t="s">
        <v>2045</v>
      </c>
      <c r="F5120" s="0" t="s">
        <v>2215</v>
      </c>
      <c r="G5120" s="0" t="s">
        <v>2218</v>
      </c>
      <c r="H5120" s="0" t="s">
        <v>2222</v>
      </c>
      <c r="I5120" s="0" t="s">
        <v>2124</v>
      </c>
      <c r="J5120" s="0" t="s">
        <v>2358</v>
      </c>
      <c r="K5120" s="272" t="n">
        <v>18.07</v>
      </c>
    </row>
    <row r="5121" customFormat="false" ht="15" hidden="false" customHeight="false" outlineLevel="0" collapsed="false">
      <c r="A5121" s="0" t="s">
        <v>2041</v>
      </c>
      <c r="B5121" s="0" t="s">
        <v>2042</v>
      </c>
      <c r="C5121" s="0" t="s">
        <v>2156</v>
      </c>
      <c r="D5121" s="0" t="s">
        <v>2105</v>
      </c>
      <c r="E5121" s="0" t="s">
        <v>2045</v>
      </c>
      <c r="F5121" s="0" t="s">
        <v>2215</v>
      </c>
      <c r="G5121" s="0" t="s">
        <v>2218</v>
      </c>
      <c r="H5121" s="0" t="s">
        <v>2222</v>
      </c>
      <c r="I5121" s="0" t="s">
        <v>2124</v>
      </c>
      <c r="J5121" s="0" t="s">
        <v>2358</v>
      </c>
      <c r="K5121" s="272" t="n">
        <v>6950000</v>
      </c>
    </row>
    <row r="5122" customFormat="false" ht="15" hidden="false" customHeight="false" outlineLevel="0" collapsed="false">
      <c r="A5122" s="0" t="s">
        <v>2041</v>
      </c>
      <c r="B5122" s="0" t="s">
        <v>2042</v>
      </c>
      <c r="C5122" s="0" t="s">
        <v>2161</v>
      </c>
      <c r="D5122" s="0" t="s">
        <v>2105</v>
      </c>
      <c r="E5122" s="0" t="s">
        <v>2045</v>
      </c>
      <c r="F5122" s="0" t="s">
        <v>2215</v>
      </c>
      <c r="G5122" s="0" t="s">
        <v>2218</v>
      </c>
      <c r="H5122" s="0" t="s">
        <v>2222</v>
      </c>
      <c r="I5122" s="0" t="s">
        <v>2124</v>
      </c>
      <c r="J5122" s="0" t="s">
        <v>2358</v>
      </c>
      <c r="K5122" s="272" t="n">
        <v>2078510.26</v>
      </c>
    </row>
    <row r="5123" customFormat="false" ht="15" hidden="false" customHeight="false" outlineLevel="0" collapsed="false">
      <c r="A5123" s="0" t="s">
        <v>2041</v>
      </c>
      <c r="B5123" s="0" t="s">
        <v>2042</v>
      </c>
      <c r="C5123" s="0" t="s">
        <v>2349</v>
      </c>
      <c r="D5123" s="0" t="s">
        <v>2105</v>
      </c>
      <c r="E5123" s="0" t="s">
        <v>2045</v>
      </c>
      <c r="F5123" s="0" t="s">
        <v>2215</v>
      </c>
      <c r="G5123" s="0" t="s">
        <v>2218</v>
      </c>
      <c r="H5123" s="0" t="s">
        <v>2222</v>
      </c>
      <c r="I5123" s="0" t="s">
        <v>2124</v>
      </c>
      <c r="J5123" s="0" t="s">
        <v>2358</v>
      </c>
      <c r="K5123" s="272" t="n">
        <v>398730.51</v>
      </c>
    </row>
    <row r="5124" customFormat="false" ht="15" hidden="false" customHeight="false" outlineLevel="0" collapsed="false">
      <c r="A5124" s="0" t="s">
        <v>2041</v>
      </c>
      <c r="B5124" s="0" t="s">
        <v>2042</v>
      </c>
      <c r="C5124" s="0" t="s">
        <v>2352</v>
      </c>
      <c r="D5124" s="0" t="s">
        <v>2105</v>
      </c>
      <c r="E5124" s="0" t="s">
        <v>2045</v>
      </c>
      <c r="F5124" s="0" t="s">
        <v>2215</v>
      </c>
      <c r="G5124" s="0" t="s">
        <v>2223</v>
      </c>
      <c r="H5124" s="0" t="s">
        <v>2189</v>
      </c>
      <c r="I5124" s="0" t="s">
        <v>2322</v>
      </c>
      <c r="J5124" s="0" t="s">
        <v>2358</v>
      </c>
      <c r="K5124" s="272" t="n">
        <v>122000</v>
      </c>
    </row>
    <row r="5125" customFormat="false" ht="15" hidden="false" customHeight="false" outlineLevel="0" collapsed="false">
      <c r="A5125" s="0" t="s">
        <v>2041</v>
      </c>
      <c r="B5125" s="0" t="s">
        <v>2042</v>
      </c>
      <c r="C5125" s="0" t="s">
        <v>2359</v>
      </c>
      <c r="D5125" s="0" t="s">
        <v>2105</v>
      </c>
      <c r="E5125" s="0" t="s">
        <v>2045</v>
      </c>
      <c r="F5125" s="0" t="s">
        <v>2215</v>
      </c>
      <c r="G5125" s="0" t="s">
        <v>2223</v>
      </c>
      <c r="H5125" s="0" t="s">
        <v>2189</v>
      </c>
      <c r="I5125" s="0" t="s">
        <v>2322</v>
      </c>
      <c r="J5125" s="0" t="s">
        <v>2358</v>
      </c>
      <c r="K5125" s="272" t="n">
        <v>37925.6</v>
      </c>
    </row>
    <row r="5126" customFormat="false" ht="15" hidden="false" customHeight="false" outlineLevel="0" collapsed="false">
      <c r="A5126" s="0" t="s">
        <v>2041</v>
      </c>
      <c r="B5126" s="0" t="s">
        <v>2042</v>
      </c>
      <c r="C5126" s="0" t="s">
        <v>2349</v>
      </c>
      <c r="D5126" s="0" t="s">
        <v>2105</v>
      </c>
      <c r="E5126" s="0" t="s">
        <v>2045</v>
      </c>
      <c r="F5126" s="0" t="s">
        <v>2215</v>
      </c>
      <c r="G5126" s="0" t="s">
        <v>2223</v>
      </c>
      <c r="H5126" s="0" t="s">
        <v>2189</v>
      </c>
      <c r="I5126" s="0" t="s">
        <v>2322</v>
      </c>
      <c r="J5126" s="0" t="s">
        <v>2358</v>
      </c>
      <c r="K5126" s="272" t="n">
        <v>48297.53</v>
      </c>
    </row>
    <row r="5127" customFormat="false" ht="15" hidden="false" customHeight="false" outlineLevel="0" collapsed="false">
      <c r="A5127" s="0" t="s">
        <v>2041</v>
      </c>
      <c r="B5127" s="0" t="s">
        <v>2042</v>
      </c>
      <c r="C5127" s="0" t="s">
        <v>2352</v>
      </c>
      <c r="D5127" s="0" t="s">
        <v>2105</v>
      </c>
      <c r="E5127" s="0" t="s">
        <v>2045</v>
      </c>
      <c r="F5127" s="0" t="s">
        <v>2215</v>
      </c>
      <c r="G5127" s="0" t="s">
        <v>2223</v>
      </c>
      <c r="H5127" s="0" t="s">
        <v>2222</v>
      </c>
      <c r="I5127" s="0" t="s">
        <v>2322</v>
      </c>
      <c r="J5127" s="0" t="s">
        <v>2358</v>
      </c>
      <c r="K5127" s="272" t="n">
        <v>2379828.56</v>
      </c>
    </row>
    <row r="5128" customFormat="false" ht="15" hidden="false" customHeight="false" outlineLevel="0" collapsed="false">
      <c r="A5128" s="0" t="s">
        <v>2041</v>
      </c>
      <c r="B5128" s="0" t="s">
        <v>2042</v>
      </c>
      <c r="C5128" s="0" t="s">
        <v>2359</v>
      </c>
      <c r="D5128" s="0" t="s">
        <v>2105</v>
      </c>
      <c r="E5128" s="0" t="s">
        <v>2045</v>
      </c>
      <c r="F5128" s="0" t="s">
        <v>2215</v>
      </c>
      <c r="G5128" s="0" t="s">
        <v>2223</v>
      </c>
      <c r="H5128" s="0" t="s">
        <v>2222</v>
      </c>
      <c r="I5128" s="0" t="s">
        <v>2322</v>
      </c>
      <c r="J5128" s="0" t="s">
        <v>2358</v>
      </c>
      <c r="K5128" s="272" t="n">
        <v>320640.92</v>
      </c>
    </row>
    <row r="5129" customFormat="false" ht="15" hidden="false" customHeight="false" outlineLevel="0" collapsed="false">
      <c r="A5129" s="0" t="s">
        <v>2041</v>
      </c>
      <c r="B5129" s="0" t="s">
        <v>2042</v>
      </c>
      <c r="C5129" s="0" t="s">
        <v>2361</v>
      </c>
      <c r="D5129" s="0" t="s">
        <v>2105</v>
      </c>
      <c r="E5129" s="0" t="s">
        <v>2045</v>
      </c>
      <c r="F5129" s="0" t="s">
        <v>2215</v>
      </c>
      <c r="G5129" s="0" t="s">
        <v>2223</v>
      </c>
      <c r="H5129" s="0" t="s">
        <v>2222</v>
      </c>
      <c r="I5129" s="0" t="s">
        <v>2322</v>
      </c>
      <c r="J5129" s="0" t="s">
        <v>2358</v>
      </c>
      <c r="K5129" s="272" t="n">
        <v>428.01</v>
      </c>
    </row>
    <row r="5130" customFormat="false" ht="15" hidden="false" customHeight="false" outlineLevel="0" collapsed="false">
      <c r="A5130" s="0" t="s">
        <v>2041</v>
      </c>
      <c r="B5130" s="0" t="s">
        <v>2042</v>
      </c>
      <c r="C5130" s="0" t="s">
        <v>2349</v>
      </c>
      <c r="D5130" s="0" t="s">
        <v>2105</v>
      </c>
      <c r="E5130" s="0" t="s">
        <v>2045</v>
      </c>
      <c r="F5130" s="0" t="s">
        <v>2215</v>
      </c>
      <c r="G5130" s="0" t="s">
        <v>2223</v>
      </c>
      <c r="H5130" s="0" t="s">
        <v>2222</v>
      </c>
      <c r="I5130" s="0" t="s">
        <v>2322</v>
      </c>
      <c r="J5130" s="0" t="s">
        <v>2358</v>
      </c>
      <c r="K5130" s="272" t="n">
        <v>740656.66</v>
      </c>
    </row>
    <row r="5131" customFormat="false" ht="15" hidden="false" customHeight="false" outlineLevel="0" collapsed="false">
      <c r="A5131" s="0" t="s">
        <v>2041</v>
      </c>
      <c r="B5131" s="0" t="s">
        <v>2042</v>
      </c>
      <c r="C5131" s="0" t="s">
        <v>2352</v>
      </c>
      <c r="D5131" s="0" t="s">
        <v>2105</v>
      </c>
      <c r="E5131" s="0" t="s">
        <v>2045</v>
      </c>
      <c r="F5131" s="0" t="s">
        <v>2215</v>
      </c>
      <c r="G5131" s="0" t="s">
        <v>2223</v>
      </c>
      <c r="H5131" s="0" t="s">
        <v>2224</v>
      </c>
      <c r="I5131" s="0" t="s">
        <v>2124</v>
      </c>
      <c r="J5131" s="0" t="s">
        <v>2358</v>
      </c>
      <c r="K5131" s="272" t="n">
        <v>120000</v>
      </c>
    </row>
    <row r="5132" customFormat="false" ht="15" hidden="false" customHeight="false" outlineLevel="0" collapsed="false">
      <c r="A5132" s="0" t="s">
        <v>2041</v>
      </c>
      <c r="B5132" s="0" t="s">
        <v>2042</v>
      </c>
      <c r="C5132" s="0" t="s">
        <v>2349</v>
      </c>
      <c r="D5132" s="0" t="s">
        <v>2105</v>
      </c>
      <c r="E5132" s="0" t="s">
        <v>2045</v>
      </c>
      <c r="F5132" s="0" t="s">
        <v>2215</v>
      </c>
      <c r="G5132" s="0" t="s">
        <v>2223</v>
      </c>
      <c r="H5132" s="0" t="s">
        <v>2224</v>
      </c>
      <c r="I5132" s="0" t="s">
        <v>2124</v>
      </c>
      <c r="J5132" s="0" t="s">
        <v>2358</v>
      </c>
      <c r="K5132" s="272" t="n">
        <v>36240</v>
      </c>
    </row>
    <row r="5133" customFormat="false" ht="15" hidden="false" customHeight="false" outlineLevel="0" collapsed="false">
      <c r="A5133" s="0" t="s">
        <v>2041</v>
      </c>
      <c r="B5133" s="0" t="s">
        <v>2042</v>
      </c>
      <c r="C5133" s="0" t="s">
        <v>2352</v>
      </c>
      <c r="D5133" s="0" t="s">
        <v>2105</v>
      </c>
      <c r="E5133" s="0" t="s">
        <v>2045</v>
      </c>
      <c r="F5133" s="0" t="s">
        <v>2215</v>
      </c>
      <c r="G5133" s="0" t="s">
        <v>2223</v>
      </c>
      <c r="H5133" s="0" t="s">
        <v>2224</v>
      </c>
      <c r="I5133" s="0" t="s">
        <v>2322</v>
      </c>
      <c r="J5133" s="0" t="s">
        <v>2358</v>
      </c>
      <c r="K5133" s="272" t="n">
        <v>2092952.39</v>
      </c>
    </row>
    <row r="5134" customFormat="false" ht="15" hidden="false" customHeight="false" outlineLevel="0" collapsed="false">
      <c r="A5134" s="0" t="s">
        <v>2041</v>
      </c>
      <c r="B5134" s="0" t="s">
        <v>2042</v>
      </c>
      <c r="C5134" s="0" t="s">
        <v>2359</v>
      </c>
      <c r="D5134" s="0" t="s">
        <v>2105</v>
      </c>
      <c r="E5134" s="0" t="s">
        <v>2045</v>
      </c>
      <c r="F5134" s="0" t="s">
        <v>2215</v>
      </c>
      <c r="G5134" s="0" t="s">
        <v>2223</v>
      </c>
      <c r="H5134" s="0" t="s">
        <v>2224</v>
      </c>
      <c r="I5134" s="0" t="s">
        <v>2322</v>
      </c>
      <c r="J5134" s="0" t="s">
        <v>2358</v>
      </c>
      <c r="K5134" s="272" t="n">
        <v>460203.4</v>
      </c>
    </row>
    <row r="5135" customFormat="false" ht="15" hidden="false" customHeight="false" outlineLevel="0" collapsed="false">
      <c r="A5135" s="0" t="s">
        <v>2041</v>
      </c>
      <c r="B5135" s="0" t="s">
        <v>2042</v>
      </c>
      <c r="C5135" s="0" t="s">
        <v>2361</v>
      </c>
      <c r="D5135" s="0" t="s">
        <v>2105</v>
      </c>
      <c r="E5135" s="0" t="s">
        <v>2045</v>
      </c>
      <c r="F5135" s="0" t="s">
        <v>2215</v>
      </c>
      <c r="G5135" s="0" t="s">
        <v>2223</v>
      </c>
      <c r="H5135" s="0" t="s">
        <v>2224</v>
      </c>
      <c r="I5135" s="0" t="s">
        <v>2322</v>
      </c>
      <c r="J5135" s="0" t="s">
        <v>2358</v>
      </c>
      <c r="K5135" s="272" t="n">
        <v>61335.83</v>
      </c>
    </row>
    <row r="5136" customFormat="false" ht="15" hidden="false" customHeight="false" outlineLevel="0" collapsed="false">
      <c r="A5136" s="0" t="s">
        <v>2041</v>
      </c>
      <c r="B5136" s="0" t="s">
        <v>2042</v>
      </c>
      <c r="C5136" s="0" t="s">
        <v>2349</v>
      </c>
      <c r="D5136" s="0" t="s">
        <v>2105</v>
      </c>
      <c r="E5136" s="0" t="s">
        <v>2045</v>
      </c>
      <c r="F5136" s="0" t="s">
        <v>2215</v>
      </c>
      <c r="G5136" s="0" t="s">
        <v>2223</v>
      </c>
      <c r="H5136" s="0" t="s">
        <v>2224</v>
      </c>
      <c r="I5136" s="0" t="s">
        <v>2322</v>
      </c>
      <c r="J5136" s="0" t="s">
        <v>2358</v>
      </c>
      <c r="K5136" s="272" t="n">
        <v>789576.47</v>
      </c>
    </row>
    <row r="5137" customFormat="false" ht="15" hidden="false" customHeight="false" outlineLevel="0" collapsed="false">
      <c r="A5137" s="0" t="s">
        <v>2041</v>
      </c>
      <c r="B5137" s="0" t="s">
        <v>2042</v>
      </c>
      <c r="C5137" s="0" t="s">
        <v>2352</v>
      </c>
      <c r="D5137" s="0" t="s">
        <v>2105</v>
      </c>
      <c r="E5137" s="0" t="s">
        <v>2045</v>
      </c>
      <c r="F5137" s="0" t="s">
        <v>2225</v>
      </c>
      <c r="G5137" s="0" t="s">
        <v>2226</v>
      </c>
      <c r="H5137" s="0" t="s">
        <v>2227</v>
      </c>
      <c r="I5137" s="0" t="s">
        <v>2322</v>
      </c>
      <c r="J5137" s="0" t="s">
        <v>2358</v>
      </c>
      <c r="K5137" s="272" t="n">
        <v>2173488.1</v>
      </c>
    </row>
    <row r="5138" customFormat="false" ht="15" hidden="false" customHeight="false" outlineLevel="0" collapsed="false">
      <c r="A5138" s="0" t="s">
        <v>2041</v>
      </c>
      <c r="B5138" s="0" t="s">
        <v>2042</v>
      </c>
      <c r="C5138" s="0" t="s">
        <v>2359</v>
      </c>
      <c r="D5138" s="0" t="s">
        <v>2105</v>
      </c>
      <c r="E5138" s="0" t="s">
        <v>2045</v>
      </c>
      <c r="F5138" s="0" t="s">
        <v>2225</v>
      </c>
      <c r="G5138" s="0" t="s">
        <v>2226</v>
      </c>
      <c r="H5138" s="0" t="s">
        <v>2227</v>
      </c>
      <c r="I5138" s="0" t="s">
        <v>2322</v>
      </c>
      <c r="J5138" s="0" t="s">
        <v>2358</v>
      </c>
      <c r="K5138" s="272" t="n">
        <v>141374.33</v>
      </c>
    </row>
    <row r="5139" customFormat="false" ht="15" hidden="false" customHeight="false" outlineLevel="0" collapsed="false">
      <c r="A5139" s="0" t="s">
        <v>2041</v>
      </c>
      <c r="B5139" s="0" t="s">
        <v>2042</v>
      </c>
      <c r="C5139" s="0" t="s">
        <v>2156</v>
      </c>
      <c r="D5139" s="0" t="s">
        <v>2105</v>
      </c>
      <c r="E5139" s="0" t="s">
        <v>2045</v>
      </c>
      <c r="F5139" s="0" t="s">
        <v>2225</v>
      </c>
      <c r="G5139" s="0" t="s">
        <v>2226</v>
      </c>
      <c r="H5139" s="0" t="s">
        <v>2227</v>
      </c>
      <c r="I5139" s="0" t="s">
        <v>2322</v>
      </c>
      <c r="J5139" s="0" t="s">
        <v>2358</v>
      </c>
      <c r="K5139" s="272" t="n">
        <v>30000000</v>
      </c>
    </row>
    <row r="5140" customFormat="false" ht="15" hidden="false" customHeight="false" outlineLevel="0" collapsed="false">
      <c r="A5140" s="0" t="s">
        <v>2041</v>
      </c>
      <c r="B5140" s="0" t="s">
        <v>2042</v>
      </c>
      <c r="C5140" s="0" t="s">
        <v>2161</v>
      </c>
      <c r="D5140" s="0" t="s">
        <v>2105</v>
      </c>
      <c r="E5140" s="0" t="s">
        <v>2045</v>
      </c>
      <c r="F5140" s="0" t="s">
        <v>2225</v>
      </c>
      <c r="G5140" s="0" t="s">
        <v>2226</v>
      </c>
      <c r="H5140" s="0" t="s">
        <v>2227</v>
      </c>
      <c r="I5140" s="0" t="s">
        <v>2322</v>
      </c>
      <c r="J5140" s="0" t="s">
        <v>2358</v>
      </c>
      <c r="K5140" s="272" t="n">
        <v>4590000</v>
      </c>
    </row>
    <row r="5141" customFormat="false" ht="15" hidden="false" customHeight="false" outlineLevel="0" collapsed="false">
      <c r="A5141" s="0" t="s">
        <v>2041</v>
      </c>
      <c r="B5141" s="0" t="s">
        <v>2042</v>
      </c>
      <c r="C5141" s="0" t="s">
        <v>2349</v>
      </c>
      <c r="D5141" s="0" t="s">
        <v>2105</v>
      </c>
      <c r="E5141" s="0" t="s">
        <v>2045</v>
      </c>
      <c r="F5141" s="0" t="s">
        <v>2225</v>
      </c>
      <c r="G5141" s="0" t="s">
        <v>2226</v>
      </c>
      <c r="H5141" s="0" t="s">
        <v>2227</v>
      </c>
      <c r="I5141" s="0" t="s">
        <v>2322</v>
      </c>
      <c r="J5141" s="0" t="s">
        <v>2358</v>
      </c>
      <c r="K5141" s="272" t="n">
        <v>388571.25</v>
      </c>
    </row>
    <row r="5142" customFormat="false" ht="15" hidden="false" customHeight="false" outlineLevel="0" collapsed="false">
      <c r="A5142" s="0" t="s">
        <v>2041</v>
      </c>
      <c r="B5142" s="0" t="s">
        <v>2042</v>
      </c>
      <c r="C5142" s="0" t="s">
        <v>2352</v>
      </c>
      <c r="D5142" s="0" t="s">
        <v>2105</v>
      </c>
      <c r="E5142" s="0" t="s">
        <v>2045</v>
      </c>
      <c r="F5142" s="0" t="s">
        <v>2225</v>
      </c>
      <c r="G5142" s="0" t="s">
        <v>2228</v>
      </c>
      <c r="H5142" s="0" t="s">
        <v>2227</v>
      </c>
      <c r="I5142" s="0" t="s">
        <v>2124</v>
      </c>
      <c r="J5142" s="0" t="s">
        <v>2358</v>
      </c>
      <c r="K5142" s="272" t="n">
        <v>600000</v>
      </c>
    </row>
    <row r="5143" customFormat="false" ht="15" hidden="false" customHeight="false" outlineLevel="0" collapsed="false">
      <c r="A5143" s="0" t="s">
        <v>2041</v>
      </c>
      <c r="B5143" s="0" t="s">
        <v>2042</v>
      </c>
      <c r="C5143" s="0" t="s">
        <v>2359</v>
      </c>
      <c r="D5143" s="0" t="s">
        <v>2105</v>
      </c>
      <c r="E5143" s="0" t="s">
        <v>2045</v>
      </c>
      <c r="F5143" s="0" t="s">
        <v>2225</v>
      </c>
      <c r="G5143" s="0" t="s">
        <v>2228</v>
      </c>
      <c r="H5143" s="0" t="s">
        <v>2227</v>
      </c>
      <c r="I5143" s="0" t="s">
        <v>2124</v>
      </c>
      <c r="J5143" s="0" t="s">
        <v>2358</v>
      </c>
      <c r="K5143" s="272" t="n">
        <v>4289.02</v>
      </c>
    </row>
    <row r="5144" customFormat="false" ht="15" hidden="false" customHeight="false" outlineLevel="0" collapsed="false">
      <c r="A5144" s="0" t="s">
        <v>2041</v>
      </c>
      <c r="B5144" s="0" t="s">
        <v>2042</v>
      </c>
      <c r="C5144" s="0" t="s">
        <v>2156</v>
      </c>
      <c r="D5144" s="0" t="s">
        <v>2105</v>
      </c>
      <c r="E5144" s="0" t="s">
        <v>2045</v>
      </c>
      <c r="F5144" s="0" t="s">
        <v>2225</v>
      </c>
      <c r="G5144" s="0" t="s">
        <v>2228</v>
      </c>
      <c r="H5144" s="0" t="s">
        <v>2227</v>
      </c>
      <c r="I5144" s="0" t="s">
        <v>2124</v>
      </c>
      <c r="J5144" s="0" t="s">
        <v>2358</v>
      </c>
      <c r="K5144" s="272" t="n">
        <v>3050000</v>
      </c>
    </row>
    <row r="5145" customFormat="false" ht="15" hidden="false" customHeight="false" outlineLevel="0" collapsed="false">
      <c r="A5145" s="0" t="s">
        <v>2041</v>
      </c>
      <c r="B5145" s="0" t="s">
        <v>2042</v>
      </c>
      <c r="C5145" s="0" t="s">
        <v>2161</v>
      </c>
      <c r="D5145" s="0" t="s">
        <v>2105</v>
      </c>
      <c r="E5145" s="0" t="s">
        <v>2045</v>
      </c>
      <c r="F5145" s="0" t="s">
        <v>2225</v>
      </c>
      <c r="G5145" s="0" t="s">
        <v>2228</v>
      </c>
      <c r="H5145" s="0" t="s">
        <v>2227</v>
      </c>
      <c r="I5145" s="0" t="s">
        <v>2124</v>
      </c>
      <c r="J5145" s="0" t="s">
        <v>2358</v>
      </c>
      <c r="K5145" s="272" t="n">
        <v>921100</v>
      </c>
    </row>
    <row r="5146" customFormat="false" ht="15" hidden="false" customHeight="false" outlineLevel="0" collapsed="false">
      <c r="A5146" s="0" t="s">
        <v>2041</v>
      </c>
      <c r="B5146" s="0" t="s">
        <v>2042</v>
      </c>
      <c r="C5146" s="0" t="s">
        <v>2349</v>
      </c>
      <c r="D5146" s="0" t="s">
        <v>2105</v>
      </c>
      <c r="E5146" s="0" t="s">
        <v>2045</v>
      </c>
      <c r="F5146" s="0" t="s">
        <v>2225</v>
      </c>
      <c r="G5146" s="0" t="s">
        <v>2228</v>
      </c>
      <c r="H5146" s="0" t="s">
        <v>2227</v>
      </c>
      <c r="I5146" s="0" t="s">
        <v>2124</v>
      </c>
      <c r="J5146" s="0" t="s">
        <v>2358</v>
      </c>
      <c r="K5146" s="272" t="n">
        <v>182495.29</v>
      </c>
    </row>
    <row r="5147" customFormat="false" ht="15" hidden="false" customHeight="false" outlineLevel="0" collapsed="false">
      <c r="A5147" s="0" t="s">
        <v>2041</v>
      </c>
      <c r="B5147" s="0" t="s">
        <v>2042</v>
      </c>
      <c r="C5147" s="0" t="s">
        <v>2352</v>
      </c>
      <c r="D5147" s="0" t="s">
        <v>2105</v>
      </c>
      <c r="E5147" s="0" t="s">
        <v>2045</v>
      </c>
      <c r="F5147" s="0" t="s">
        <v>2225</v>
      </c>
      <c r="G5147" s="0" t="s">
        <v>2228</v>
      </c>
      <c r="H5147" s="0" t="s">
        <v>2227</v>
      </c>
      <c r="I5147" s="0" t="s">
        <v>2322</v>
      </c>
      <c r="J5147" s="0" t="s">
        <v>2358</v>
      </c>
      <c r="K5147" s="272" t="n">
        <v>9284404.78</v>
      </c>
    </row>
    <row r="5148" customFormat="false" ht="15" hidden="false" customHeight="false" outlineLevel="0" collapsed="false">
      <c r="A5148" s="0" t="s">
        <v>2041</v>
      </c>
      <c r="B5148" s="0" t="s">
        <v>2042</v>
      </c>
      <c r="C5148" s="0" t="s">
        <v>2359</v>
      </c>
      <c r="D5148" s="0" t="s">
        <v>2105</v>
      </c>
      <c r="E5148" s="0" t="s">
        <v>2045</v>
      </c>
      <c r="F5148" s="0" t="s">
        <v>2225</v>
      </c>
      <c r="G5148" s="0" t="s">
        <v>2228</v>
      </c>
      <c r="H5148" s="0" t="s">
        <v>2227</v>
      </c>
      <c r="I5148" s="0" t="s">
        <v>2322</v>
      </c>
      <c r="J5148" s="0" t="s">
        <v>2358</v>
      </c>
      <c r="K5148" s="272" t="n">
        <v>1241005.33</v>
      </c>
    </row>
    <row r="5149" customFormat="false" ht="15" hidden="false" customHeight="false" outlineLevel="0" collapsed="false">
      <c r="A5149" s="0" t="s">
        <v>2041</v>
      </c>
      <c r="B5149" s="0" t="s">
        <v>2042</v>
      </c>
      <c r="C5149" s="0" t="s">
        <v>2361</v>
      </c>
      <c r="D5149" s="0" t="s">
        <v>2105</v>
      </c>
      <c r="E5149" s="0" t="s">
        <v>2045</v>
      </c>
      <c r="F5149" s="0" t="s">
        <v>2225</v>
      </c>
      <c r="G5149" s="0" t="s">
        <v>2228</v>
      </c>
      <c r="H5149" s="0" t="s">
        <v>2227</v>
      </c>
      <c r="I5149" s="0" t="s">
        <v>2322</v>
      </c>
      <c r="J5149" s="0" t="s">
        <v>2358</v>
      </c>
      <c r="K5149" s="272" t="n">
        <v>1139.9</v>
      </c>
    </row>
    <row r="5150" customFormat="false" ht="15" hidden="false" customHeight="false" outlineLevel="0" collapsed="false">
      <c r="A5150" s="0" t="s">
        <v>2041</v>
      </c>
      <c r="B5150" s="0" t="s">
        <v>2042</v>
      </c>
      <c r="C5150" s="0" t="s">
        <v>2156</v>
      </c>
      <c r="D5150" s="0" t="s">
        <v>2105</v>
      </c>
      <c r="E5150" s="0" t="s">
        <v>2045</v>
      </c>
      <c r="F5150" s="0" t="s">
        <v>2225</v>
      </c>
      <c r="G5150" s="0" t="s">
        <v>2228</v>
      </c>
      <c r="H5150" s="0" t="s">
        <v>2227</v>
      </c>
      <c r="I5150" s="0" t="s">
        <v>2322</v>
      </c>
      <c r="J5150" s="0" t="s">
        <v>2358</v>
      </c>
      <c r="K5150" s="272" t="n">
        <v>44600000</v>
      </c>
    </row>
    <row r="5151" customFormat="false" ht="15" hidden="false" customHeight="false" outlineLevel="0" collapsed="false">
      <c r="A5151" s="0" t="s">
        <v>2041</v>
      </c>
      <c r="B5151" s="0" t="s">
        <v>2042</v>
      </c>
      <c r="C5151" s="0" t="s">
        <v>2161</v>
      </c>
      <c r="D5151" s="0" t="s">
        <v>2105</v>
      </c>
      <c r="E5151" s="0" t="s">
        <v>2045</v>
      </c>
      <c r="F5151" s="0" t="s">
        <v>2225</v>
      </c>
      <c r="G5151" s="0" t="s">
        <v>2228</v>
      </c>
      <c r="H5151" s="0" t="s">
        <v>2227</v>
      </c>
      <c r="I5151" s="0" t="s">
        <v>2322</v>
      </c>
      <c r="J5151" s="0" t="s">
        <v>2358</v>
      </c>
      <c r="K5151" s="272" t="n">
        <v>8279120.72</v>
      </c>
    </row>
    <row r="5152" customFormat="false" ht="15" hidden="false" customHeight="false" outlineLevel="0" collapsed="false">
      <c r="A5152" s="0" t="s">
        <v>2041</v>
      </c>
      <c r="B5152" s="0" t="s">
        <v>2042</v>
      </c>
      <c r="C5152" s="0" t="s">
        <v>2349</v>
      </c>
      <c r="D5152" s="0" t="s">
        <v>2105</v>
      </c>
      <c r="E5152" s="0" t="s">
        <v>2045</v>
      </c>
      <c r="F5152" s="0" t="s">
        <v>2225</v>
      </c>
      <c r="G5152" s="0" t="s">
        <v>2228</v>
      </c>
      <c r="H5152" s="0" t="s">
        <v>2227</v>
      </c>
      <c r="I5152" s="0" t="s">
        <v>2322</v>
      </c>
      <c r="J5152" s="0" t="s">
        <v>2358</v>
      </c>
      <c r="K5152" s="272" t="n">
        <v>2876765.22</v>
      </c>
    </row>
    <row r="5153" customFormat="false" ht="15" hidden="false" customHeight="false" outlineLevel="0" collapsed="false">
      <c r="A5153" s="0" t="s">
        <v>2041</v>
      </c>
      <c r="B5153" s="0" t="s">
        <v>2042</v>
      </c>
      <c r="C5153" s="0" t="s">
        <v>2352</v>
      </c>
      <c r="D5153" s="0" t="s">
        <v>2105</v>
      </c>
      <c r="E5153" s="0" t="s">
        <v>2045</v>
      </c>
      <c r="F5153" s="0" t="s">
        <v>2225</v>
      </c>
      <c r="G5153" s="0" t="s">
        <v>2229</v>
      </c>
      <c r="H5153" s="0" t="s">
        <v>2227</v>
      </c>
      <c r="I5153" s="0" t="s">
        <v>2322</v>
      </c>
      <c r="J5153" s="0" t="s">
        <v>2358</v>
      </c>
      <c r="K5153" s="272" t="n">
        <v>12593402.06</v>
      </c>
    </row>
    <row r="5154" customFormat="false" ht="15" hidden="false" customHeight="false" outlineLevel="0" collapsed="false">
      <c r="A5154" s="0" t="s">
        <v>2041</v>
      </c>
      <c r="B5154" s="0" t="s">
        <v>2042</v>
      </c>
      <c r="C5154" s="0" t="s">
        <v>2359</v>
      </c>
      <c r="D5154" s="0" t="s">
        <v>2105</v>
      </c>
      <c r="E5154" s="0" t="s">
        <v>2045</v>
      </c>
      <c r="F5154" s="0" t="s">
        <v>2225</v>
      </c>
      <c r="G5154" s="0" t="s">
        <v>2229</v>
      </c>
      <c r="H5154" s="0" t="s">
        <v>2227</v>
      </c>
      <c r="I5154" s="0" t="s">
        <v>2322</v>
      </c>
      <c r="J5154" s="0" t="s">
        <v>2358</v>
      </c>
      <c r="K5154" s="272" t="n">
        <v>1899431.88</v>
      </c>
    </row>
    <row r="5155" customFormat="false" ht="15" hidden="false" customHeight="false" outlineLevel="0" collapsed="false">
      <c r="A5155" s="0" t="s">
        <v>2041</v>
      </c>
      <c r="B5155" s="0" t="s">
        <v>2042</v>
      </c>
      <c r="C5155" s="0" t="s">
        <v>2362</v>
      </c>
      <c r="D5155" s="0" t="s">
        <v>2105</v>
      </c>
      <c r="E5155" s="0" t="s">
        <v>2045</v>
      </c>
      <c r="F5155" s="0" t="s">
        <v>2225</v>
      </c>
      <c r="G5155" s="0" t="s">
        <v>2229</v>
      </c>
      <c r="H5155" s="0" t="s">
        <v>2227</v>
      </c>
      <c r="I5155" s="0" t="s">
        <v>2322</v>
      </c>
      <c r="J5155" s="0" t="s">
        <v>2358</v>
      </c>
      <c r="K5155" s="272" t="n">
        <v>125357.14</v>
      </c>
    </row>
    <row r="5156" customFormat="false" ht="15" hidden="false" customHeight="false" outlineLevel="0" collapsed="false">
      <c r="A5156" s="0" t="s">
        <v>2041</v>
      </c>
      <c r="B5156" s="0" t="s">
        <v>2042</v>
      </c>
      <c r="C5156" s="0" t="s">
        <v>2361</v>
      </c>
      <c r="D5156" s="0" t="s">
        <v>2105</v>
      </c>
      <c r="E5156" s="0" t="s">
        <v>2045</v>
      </c>
      <c r="F5156" s="0" t="s">
        <v>2225</v>
      </c>
      <c r="G5156" s="0" t="s">
        <v>2229</v>
      </c>
      <c r="H5156" s="0" t="s">
        <v>2227</v>
      </c>
      <c r="I5156" s="0" t="s">
        <v>2322</v>
      </c>
      <c r="J5156" s="0" t="s">
        <v>2358</v>
      </c>
      <c r="K5156" s="272" t="n">
        <v>636626.76</v>
      </c>
    </row>
    <row r="5157" customFormat="false" ht="15" hidden="false" customHeight="false" outlineLevel="0" collapsed="false">
      <c r="A5157" s="0" t="s">
        <v>2041</v>
      </c>
      <c r="B5157" s="0" t="s">
        <v>2042</v>
      </c>
      <c r="C5157" s="0" t="s">
        <v>2156</v>
      </c>
      <c r="D5157" s="0" t="s">
        <v>2105</v>
      </c>
      <c r="E5157" s="0" t="s">
        <v>2045</v>
      </c>
      <c r="F5157" s="0" t="s">
        <v>2225</v>
      </c>
      <c r="G5157" s="0" t="s">
        <v>2229</v>
      </c>
      <c r="H5157" s="0" t="s">
        <v>2227</v>
      </c>
      <c r="I5157" s="0" t="s">
        <v>2322</v>
      </c>
      <c r="J5157" s="0" t="s">
        <v>2358</v>
      </c>
      <c r="K5157" s="272" t="n">
        <v>109245943</v>
      </c>
    </row>
    <row r="5158" customFormat="false" ht="15" hidden="false" customHeight="false" outlineLevel="0" collapsed="false">
      <c r="A5158" s="0" t="s">
        <v>2041</v>
      </c>
      <c r="B5158" s="0" t="s">
        <v>2042</v>
      </c>
      <c r="C5158" s="0" t="s">
        <v>2360</v>
      </c>
      <c r="D5158" s="0" t="s">
        <v>2105</v>
      </c>
      <c r="E5158" s="0" t="s">
        <v>2045</v>
      </c>
      <c r="F5158" s="0" t="s">
        <v>2225</v>
      </c>
      <c r="G5158" s="0" t="s">
        <v>2229</v>
      </c>
      <c r="H5158" s="0" t="s">
        <v>2227</v>
      </c>
      <c r="I5158" s="0" t="s">
        <v>2322</v>
      </c>
      <c r="J5158" s="0" t="s">
        <v>2358</v>
      </c>
      <c r="K5158" s="272" t="n">
        <v>5381</v>
      </c>
    </row>
    <row r="5159" customFormat="false" ht="15" hidden="false" customHeight="false" outlineLevel="0" collapsed="false">
      <c r="A5159" s="0" t="s">
        <v>2041</v>
      </c>
      <c r="B5159" s="0" t="s">
        <v>2042</v>
      </c>
      <c r="C5159" s="0" t="s">
        <v>2161</v>
      </c>
      <c r="D5159" s="0" t="s">
        <v>2105</v>
      </c>
      <c r="E5159" s="0" t="s">
        <v>2045</v>
      </c>
      <c r="F5159" s="0" t="s">
        <v>2225</v>
      </c>
      <c r="G5159" s="0" t="s">
        <v>2229</v>
      </c>
      <c r="H5159" s="0" t="s">
        <v>2227</v>
      </c>
      <c r="I5159" s="0" t="s">
        <v>2322</v>
      </c>
      <c r="J5159" s="0" t="s">
        <v>2358</v>
      </c>
      <c r="K5159" s="272" t="n">
        <v>17036455.6</v>
      </c>
    </row>
    <row r="5160" customFormat="false" ht="15" hidden="false" customHeight="false" outlineLevel="0" collapsed="false">
      <c r="A5160" s="0" t="s">
        <v>2041</v>
      </c>
      <c r="B5160" s="0" t="s">
        <v>2042</v>
      </c>
      <c r="C5160" s="0" t="s">
        <v>2349</v>
      </c>
      <c r="D5160" s="0" t="s">
        <v>2105</v>
      </c>
      <c r="E5160" s="0" t="s">
        <v>2045</v>
      </c>
      <c r="F5160" s="0" t="s">
        <v>2225</v>
      </c>
      <c r="G5160" s="0" t="s">
        <v>2229</v>
      </c>
      <c r="H5160" s="0" t="s">
        <v>2227</v>
      </c>
      <c r="I5160" s="0" t="s">
        <v>2322</v>
      </c>
      <c r="J5160" s="0" t="s">
        <v>2358</v>
      </c>
      <c r="K5160" s="272" t="n">
        <v>4103231.53</v>
      </c>
    </row>
    <row r="5161" customFormat="false" ht="15" hidden="false" customHeight="false" outlineLevel="0" collapsed="false">
      <c r="A5161" s="0" t="s">
        <v>2041</v>
      </c>
      <c r="B5161" s="0" t="s">
        <v>2042</v>
      </c>
      <c r="C5161" s="0" t="s">
        <v>2352</v>
      </c>
      <c r="D5161" s="0" t="s">
        <v>2105</v>
      </c>
      <c r="E5161" s="0" t="s">
        <v>2045</v>
      </c>
      <c r="F5161" s="0" t="s">
        <v>2225</v>
      </c>
      <c r="G5161" s="0" t="s">
        <v>2230</v>
      </c>
      <c r="H5161" s="0" t="s">
        <v>2227</v>
      </c>
      <c r="I5161" s="0" t="s">
        <v>2322</v>
      </c>
      <c r="J5161" s="0" t="s">
        <v>2358</v>
      </c>
      <c r="K5161" s="272" t="n">
        <v>5062840.67</v>
      </c>
    </row>
    <row r="5162" customFormat="false" ht="15" hidden="false" customHeight="false" outlineLevel="0" collapsed="false">
      <c r="A5162" s="0" t="s">
        <v>2041</v>
      </c>
      <c r="B5162" s="0" t="s">
        <v>2042</v>
      </c>
      <c r="C5162" s="0" t="s">
        <v>2359</v>
      </c>
      <c r="D5162" s="0" t="s">
        <v>2105</v>
      </c>
      <c r="E5162" s="0" t="s">
        <v>2045</v>
      </c>
      <c r="F5162" s="0" t="s">
        <v>2225</v>
      </c>
      <c r="G5162" s="0" t="s">
        <v>2230</v>
      </c>
      <c r="H5162" s="0" t="s">
        <v>2227</v>
      </c>
      <c r="I5162" s="0" t="s">
        <v>2322</v>
      </c>
      <c r="J5162" s="0" t="s">
        <v>2358</v>
      </c>
      <c r="K5162" s="272" t="n">
        <v>718785.11</v>
      </c>
    </row>
    <row r="5163" customFormat="false" ht="15" hidden="false" customHeight="false" outlineLevel="0" collapsed="false">
      <c r="A5163" s="0" t="s">
        <v>2041</v>
      </c>
      <c r="B5163" s="0" t="s">
        <v>2042</v>
      </c>
      <c r="C5163" s="0" t="s">
        <v>2156</v>
      </c>
      <c r="D5163" s="0" t="s">
        <v>2105</v>
      </c>
      <c r="E5163" s="0" t="s">
        <v>2045</v>
      </c>
      <c r="F5163" s="0" t="s">
        <v>2225</v>
      </c>
      <c r="G5163" s="0" t="s">
        <v>2230</v>
      </c>
      <c r="H5163" s="0" t="s">
        <v>2227</v>
      </c>
      <c r="I5163" s="0" t="s">
        <v>2322</v>
      </c>
      <c r="J5163" s="0" t="s">
        <v>2358</v>
      </c>
      <c r="K5163" s="272" t="n">
        <v>47000000</v>
      </c>
    </row>
    <row r="5164" customFormat="false" ht="15" hidden="false" customHeight="false" outlineLevel="0" collapsed="false">
      <c r="A5164" s="0" t="s">
        <v>2041</v>
      </c>
      <c r="B5164" s="0" t="s">
        <v>2042</v>
      </c>
      <c r="C5164" s="0" t="s">
        <v>2360</v>
      </c>
      <c r="D5164" s="0" t="s">
        <v>2105</v>
      </c>
      <c r="E5164" s="0" t="s">
        <v>2045</v>
      </c>
      <c r="F5164" s="0" t="s">
        <v>2225</v>
      </c>
      <c r="G5164" s="0" t="s">
        <v>2230</v>
      </c>
      <c r="H5164" s="0" t="s">
        <v>2227</v>
      </c>
      <c r="I5164" s="0" t="s">
        <v>2322</v>
      </c>
      <c r="J5164" s="0" t="s">
        <v>2358</v>
      </c>
      <c r="K5164" s="272" t="n">
        <v>26846</v>
      </c>
    </row>
    <row r="5165" customFormat="false" ht="15" hidden="false" customHeight="false" outlineLevel="0" collapsed="false">
      <c r="A5165" s="0" t="s">
        <v>2041</v>
      </c>
      <c r="B5165" s="0" t="s">
        <v>2042</v>
      </c>
      <c r="C5165" s="0" t="s">
        <v>2161</v>
      </c>
      <c r="D5165" s="0" t="s">
        <v>2105</v>
      </c>
      <c r="E5165" s="0" t="s">
        <v>2045</v>
      </c>
      <c r="F5165" s="0" t="s">
        <v>2225</v>
      </c>
      <c r="G5165" s="0" t="s">
        <v>2230</v>
      </c>
      <c r="H5165" s="0" t="s">
        <v>2227</v>
      </c>
      <c r="I5165" s="0" t="s">
        <v>2322</v>
      </c>
      <c r="J5165" s="0" t="s">
        <v>2358</v>
      </c>
      <c r="K5165" s="272" t="n">
        <v>7327581</v>
      </c>
    </row>
    <row r="5166" customFormat="false" ht="15" hidden="false" customHeight="false" outlineLevel="0" collapsed="false">
      <c r="A5166" s="0" t="s">
        <v>2041</v>
      </c>
      <c r="B5166" s="0" t="s">
        <v>2042</v>
      </c>
      <c r="C5166" s="0" t="s">
        <v>2349</v>
      </c>
      <c r="D5166" s="0" t="s">
        <v>2105</v>
      </c>
      <c r="E5166" s="0" t="s">
        <v>2045</v>
      </c>
      <c r="F5166" s="0" t="s">
        <v>2225</v>
      </c>
      <c r="G5166" s="0" t="s">
        <v>2230</v>
      </c>
      <c r="H5166" s="0" t="s">
        <v>2227</v>
      </c>
      <c r="I5166" s="0" t="s">
        <v>2322</v>
      </c>
      <c r="J5166" s="0" t="s">
        <v>2358</v>
      </c>
      <c r="K5166" s="272" t="n">
        <v>1535879.31</v>
      </c>
    </row>
    <row r="5167" customFormat="false" ht="15" hidden="false" customHeight="false" outlineLevel="0" collapsed="false">
      <c r="A5167" s="0" t="s">
        <v>2041</v>
      </c>
      <c r="B5167" s="0" t="s">
        <v>2042</v>
      </c>
      <c r="C5167" s="0" t="s">
        <v>2352</v>
      </c>
      <c r="D5167" s="0" t="s">
        <v>2105</v>
      </c>
      <c r="E5167" s="0" t="s">
        <v>2045</v>
      </c>
      <c r="F5167" s="0" t="s">
        <v>2225</v>
      </c>
      <c r="G5167" s="0" t="s">
        <v>2231</v>
      </c>
      <c r="H5167" s="0" t="s">
        <v>2227</v>
      </c>
      <c r="I5167" s="0" t="s">
        <v>2124</v>
      </c>
      <c r="J5167" s="0" t="s">
        <v>2358</v>
      </c>
      <c r="K5167" s="272" t="n">
        <v>961375</v>
      </c>
    </row>
    <row r="5168" customFormat="false" ht="15" hidden="false" customHeight="false" outlineLevel="0" collapsed="false">
      <c r="A5168" s="0" t="s">
        <v>2041</v>
      </c>
      <c r="B5168" s="0" t="s">
        <v>2042</v>
      </c>
      <c r="C5168" s="0" t="s">
        <v>2359</v>
      </c>
      <c r="D5168" s="0" t="s">
        <v>2105</v>
      </c>
      <c r="E5168" s="0" t="s">
        <v>2045</v>
      </c>
      <c r="F5168" s="0" t="s">
        <v>2225</v>
      </c>
      <c r="G5168" s="0" t="s">
        <v>2231</v>
      </c>
      <c r="H5168" s="0" t="s">
        <v>2227</v>
      </c>
      <c r="I5168" s="0" t="s">
        <v>2124</v>
      </c>
      <c r="J5168" s="0" t="s">
        <v>2358</v>
      </c>
      <c r="K5168" s="272" t="n">
        <v>114545.14</v>
      </c>
    </row>
    <row r="5169" customFormat="false" ht="15" hidden="false" customHeight="false" outlineLevel="0" collapsed="false">
      <c r="A5169" s="0" t="s">
        <v>2041</v>
      </c>
      <c r="B5169" s="0" t="s">
        <v>2042</v>
      </c>
      <c r="C5169" s="0" t="s">
        <v>2156</v>
      </c>
      <c r="D5169" s="0" t="s">
        <v>2105</v>
      </c>
      <c r="E5169" s="0" t="s">
        <v>2045</v>
      </c>
      <c r="F5169" s="0" t="s">
        <v>2225</v>
      </c>
      <c r="G5169" s="0" t="s">
        <v>2231</v>
      </c>
      <c r="H5169" s="0" t="s">
        <v>2227</v>
      </c>
      <c r="I5169" s="0" t="s">
        <v>2124</v>
      </c>
      <c r="J5169" s="0" t="s">
        <v>2358</v>
      </c>
      <c r="K5169" s="272" t="n">
        <v>3000000</v>
      </c>
    </row>
    <row r="5170" customFormat="false" ht="15" hidden="false" customHeight="false" outlineLevel="0" collapsed="false">
      <c r="A5170" s="0" t="s">
        <v>2041</v>
      </c>
      <c r="B5170" s="0" t="s">
        <v>2042</v>
      </c>
      <c r="C5170" s="0" t="s">
        <v>2161</v>
      </c>
      <c r="D5170" s="0" t="s">
        <v>2105</v>
      </c>
      <c r="E5170" s="0" t="s">
        <v>2045</v>
      </c>
      <c r="F5170" s="0" t="s">
        <v>2225</v>
      </c>
      <c r="G5170" s="0" t="s">
        <v>2231</v>
      </c>
      <c r="H5170" s="0" t="s">
        <v>2227</v>
      </c>
      <c r="I5170" s="0" t="s">
        <v>2124</v>
      </c>
      <c r="J5170" s="0" t="s">
        <v>2358</v>
      </c>
      <c r="K5170" s="272" t="n">
        <v>763724.66</v>
      </c>
    </row>
    <row r="5171" customFormat="false" ht="15" hidden="false" customHeight="false" outlineLevel="0" collapsed="false">
      <c r="A5171" s="0" t="s">
        <v>2041</v>
      </c>
      <c r="B5171" s="0" t="s">
        <v>2042</v>
      </c>
      <c r="C5171" s="0" t="s">
        <v>2349</v>
      </c>
      <c r="D5171" s="0" t="s">
        <v>2105</v>
      </c>
      <c r="E5171" s="0" t="s">
        <v>2045</v>
      </c>
      <c r="F5171" s="0" t="s">
        <v>2225</v>
      </c>
      <c r="G5171" s="0" t="s">
        <v>2231</v>
      </c>
      <c r="H5171" s="0" t="s">
        <v>2227</v>
      </c>
      <c r="I5171" s="0" t="s">
        <v>2124</v>
      </c>
      <c r="J5171" s="0" t="s">
        <v>2358</v>
      </c>
      <c r="K5171" s="272" t="n">
        <v>322471.7</v>
      </c>
    </row>
    <row r="5172" customFormat="false" ht="15" hidden="false" customHeight="false" outlineLevel="0" collapsed="false">
      <c r="A5172" s="0" t="s">
        <v>2041</v>
      </c>
      <c r="B5172" s="0" t="s">
        <v>2042</v>
      </c>
      <c r="C5172" s="0" t="s">
        <v>2352</v>
      </c>
      <c r="D5172" s="0" t="s">
        <v>2105</v>
      </c>
      <c r="E5172" s="0" t="s">
        <v>2045</v>
      </c>
      <c r="F5172" s="0" t="s">
        <v>2225</v>
      </c>
      <c r="G5172" s="0" t="s">
        <v>2231</v>
      </c>
      <c r="H5172" s="0" t="s">
        <v>2227</v>
      </c>
      <c r="I5172" s="0" t="s">
        <v>2322</v>
      </c>
      <c r="J5172" s="0" t="s">
        <v>2358</v>
      </c>
      <c r="K5172" s="272" t="n">
        <v>8653333.35</v>
      </c>
    </row>
    <row r="5173" customFormat="false" ht="15" hidden="false" customHeight="false" outlineLevel="0" collapsed="false">
      <c r="A5173" s="0" t="s">
        <v>2041</v>
      </c>
      <c r="B5173" s="0" t="s">
        <v>2042</v>
      </c>
      <c r="C5173" s="0" t="s">
        <v>2359</v>
      </c>
      <c r="D5173" s="0" t="s">
        <v>2105</v>
      </c>
      <c r="E5173" s="0" t="s">
        <v>2045</v>
      </c>
      <c r="F5173" s="0" t="s">
        <v>2225</v>
      </c>
      <c r="G5173" s="0" t="s">
        <v>2231</v>
      </c>
      <c r="H5173" s="0" t="s">
        <v>2227</v>
      </c>
      <c r="I5173" s="0" t="s">
        <v>2322</v>
      </c>
      <c r="J5173" s="0" t="s">
        <v>2358</v>
      </c>
      <c r="K5173" s="272" t="n">
        <v>3302910.17</v>
      </c>
    </row>
    <row r="5174" customFormat="false" ht="15" hidden="false" customHeight="false" outlineLevel="0" collapsed="false">
      <c r="A5174" s="0" t="s">
        <v>2041</v>
      </c>
      <c r="B5174" s="0" t="s">
        <v>2042</v>
      </c>
      <c r="C5174" s="0" t="s">
        <v>2156</v>
      </c>
      <c r="D5174" s="0" t="s">
        <v>2105</v>
      </c>
      <c r="E5174" s="0" t="s">
        <v>2045</v>
      </c>
      <c r="F5174" s="0" t="s">
        <v>2225</v>
      </c>
      <c r="G5174" s="0" t="s">
        <v>2231</v>
      </c>
      <c r="H5174" s="0" t="s">
        <v>2227</v>
      </c>
      <c r="I5174" s="0" t="s">
        <v>2322</v>
      </c>
      <c r="J5174" s="0" t="s">
        <v>2358</v>
      </c>
      <c r="K5174" s="272" t="n">
        <v>157500000</v>
      </c>
    </row>
    <row r="5175" customFormat="false" ht="15" hidden="false" customHeight="false" outlineLevel="0" collapsed="false">
      <c r="A5175" s="0" t="s">
        <v>2041</v>
      </c>
      <c r="B5175" s="0" t="s">
        <v>2042</v>
      </c>
      <c r="C5175" s="0" t="s">
        <v>2360</v>
      </c>
      <c r="D5175" s="0" t="s">
        <v>2105</v>
      </c>
      <c r="E5175" s="0" t="s">
        <v>2045</v>
      </c>
      <c r="F5175" s="0" t="s">
        <v>2225</v>
      </c>
      <c r="G5175" s="0" t="s">
        <v>2231</v>
      </c>
      <c r="H5175" s="0" t="s">
        <v>2227</v>
      </c>
      <c r="I5175" s="0" t="s">
        <v>2322</v>
      </c>
      <c r="J5175" s="0" t="s">
        <v>2358</v>
      </c>
      <c r="K5175" s="272" t="n">
        <v>8002</v>
      </c>
    </row>
    <row r="5176" customFormat="false" ht="15" hidden="false" customHeight="false" outlineLevel="0" collapsed="false">
      <c r="A5176" s="0" t="s">
        <v>2041</v>
      </c>
      <c r="B5176" s="0" t="s">
        <v>2042</v>
      </c>
      <c r="C5176" s="0" t="s">
        <v>2161</v>
      </c>
      <c r="D5176" s="0" t="s">
        <v>2105</v>
      </c>
      <c r="E5176" s="0" t="s">
        <v>2045</v>
      </c>
      <c r="F5176" s="0" t="s">
        <v>2225</v>
      </c>
      <c r="G5176" s="0" t="s">
        <v>2231</v>
      </c>
      <c r="H5176" s="0" t="s">
        <v>2227</v>
      </c>
      <c r="I5176" s="0" t="s">
        <v>2322</v>
      </c>
      <c r="J5176" s="0" t="s">
        <v>2358</v>
      </c>
      <c r="K5176" s="272" t="n">
        <v>24782512.57</v>
      </c>
    </row>
    <row r="5177" customFormat="false" ht="15" hidden="false" customHeight="false" outlineLevel="0" collapsed="false">
      <c r="A5177" s="0" t="s">
        <v>2041</v>
      </c>
      <c r="B5177" s="0" t="s">
        <v>2042</v>
      </c>
      <c r="C5177" s="0" t="s">
        <v>2349</v>
      </c>
      <c r="D5177" s="0" t="s">
        <v>2105</v>
      </c>
      <c r="E5177" s="0" t="s">
        <v>2045</v>
      </c>
      <c r="F5177" s="0" t="s">
        <v>2225</v>
      </c>
      <c r="G5177" s="0" t="s">
        <v>2231</v>
      </c>
      <c r="H5177" s="0" t="s">
        <v>2227</v>
      </c>
      <c r="I5177" s="0" t="s">
        <v>2322</v>
      </c>
      <c r="J5177" s="0" t="s">
        <v>2358</v>
      </c>
      <c r="K5177" s="272" t="n">
        <v>3014905</v>
      </c>
    </row>
    <row r="5178" customFormat="false" ht="15" hidden="false" customHeight="false" outlineLevel="0" collapsed="false">
      <c r="A5178" s="0" t="s">
        <v>2041</v>
      </c>
      <c r="B5178" s="0" t="s">
        <v>2042</v>
      </c>
      <c r="C5178" s="0" t="s">
        <v>2347</v>
      </c>
      <c r="D5178" s="0" t="s">
        <v>2105</v>
      </c>
      <c r="E5178" s="0" t="s">
        <v>2045</v>
      </c>
      <c r="F5178" s="0" t="s">
        <v>2225</v>
      </c>
      <c r="G5178" s="0" t="s">
        <v>2231</v>
      </c>
      <c r="H5178" s="0" t="s">
        <v>2227</v>
      </c>
      <c r="I5178" s="0" t="s">
        <v>2322</v>
      </c>
      <c r="J5178" s="0" t="s">
        <v>2358</v>
      </c>
      <c r="K5178" s="272" t="n">
        <v>44761.9</v>
      </c>
    </row>
    <row r="5179" customFormat="false" ht="15" hidden="false" customHeight="false" outlineLevel="0" collapsed="false">
      <c r="A5179" s="0" t="s">
        <v>2041</v>
      </c>
      <c r="B5179" s="0" t="s">
        <v>2042</v>
      </c>
      <c r="C5179" s="0" t="s">
        <v>2352</v>
      </c>
      <c r="D5179" s="0" t="s">
        <v>2105</v>
      </c>
      <c r="E5179" s="0" t="s">
        <v>2045</v>
      </c>
      <c r="F5179" s="0" t="s">
        <v>2099</v>
      </c>
      <c r="G5179" s="0" t="s">
        <v>2232</v>
      </c>
      <c r="H5179" s="0" t="s">
        <v>2100</v>
      </c>
      <c r="I5179" s="0" t="s">
        <v>2322</v>
      </c>
      <c r="J5179" s="0" t="s">
        <v>2358</v>
      </c>
      <c r="K5179" s="272" t="n">
        <v>1250000</v>
      </c>
    </row>
    <row r="5180" customFormat="false" ht="15" hidden="false" customHeight="false" outlineLevel="0" collapsed="false">
      <c r="A5180" s="0" t="s">
        <v>2041</v>
      </c>
      <c r="B5180" s="0" t="s">
        <v>2042</v>
      </c>
      <c r="C5180" s="0" t="s">
        <v>2359</v>
      </c>
      <c r="D5180" s="0" t="s">
        <v>2105</v>
      </c>
      <c r="E5180" s="0" t="s">
        <v>2045</v>
      </c>
      <c r="F5180" s="0" t="s">
        <v>2099</v>
      </c>
      <c r="G5180" s="0" t="s">
        <v>2232</v>
      </c>
      <c r="H5180" s="0" t="s">
        <v>2100</v>
      </c>
      <c r="I5180" s="0" t="s">
        <v>2322</v>
      </c>
      <c r="J5180" s="0" t="s">
        <v>2358</v>
      </c>
      <c r="K5180" s="272" t="n">
        <v>209365.32</v>
      </c>
    </row>
    <row r="5181" customFormat="false" ht="15" hidden="false" customHeight="false" outlineLevel="0" collapsed="false">
      <c r="A5181" s="0" t="s">
        <v>2041</v>
      </c>
      <c r="B5181" s="0" t="s">
        <v>2042</v>
      </c>
      <c r="C5181" s="0" t="s">
        <v>2156</v>
      </c>
      <c r="D5181" s="0" t="s">
        <v>2105</v>
      </c>
      <c r="E5181" s="0" t="s">
        <v>2045</v>
      </c>
      <c r="F5181" s="0" t="s">
        <v>2099</v>
      </c>
      <c r="G5181" s="0" t="s">
        <v>2232</v>
      </c>
      <c r="H5181" s="0" t="s">
        <v>2100</v>
      </c>
      <c r="I5181" s="0" t="s">
        <v>2322</v>
      </c>
      <c r="J5181" s="0" t="s">
        <v>2358</v>
      </c>
      <c r="K5181" s="272" t="n">
        <v>11000000</v>
      </c>
    </row>
    <row r="5182" customFormat="false" ht="15" hidden="false" customHeight="false" outlineLevel="0" collapsed="false">
      <c r="A5182" s="0" t="s">
        <v>2041</v>
      </c>
      <c r="B5182" s="0" t="s">
        <v>2042</v>
      </c>
      <c r="C5182" s="0" t="s">
        <v>2161</v>
      </c>
      <c r="D5182" s="0" t="s">
        <v>2105</v>
      </c>
      <c r="E5182" s="0" t="s">
        <v>2045</v>
      </c>
      <c r="F5182" s="0" t="s">
        <v>2099</v>
      </c>
      <c r="G5182" s="0" t="s">
        <v>2232</v>
      </c>
      <c r="H5182" s="0" t="s">
        <v>2100</v>
      </c>
      <c r="I5182" s="0" t="s">
        <v>2322</v>
      </c>
      <c r="J5182" s="0" t="s">
        <v>2358</v>
      </c>
      <c r="K5182" s="272" t="n">
        <v>1683000</v>
      </c>
    </row>
    <row r="5183" customFormat="false" ht="15" hidden="false" customHeight="false" outlineLevel="0" collapsed="false">
      <c r="A5183" s="0" t="s">
        <v>2041</v>
      </c>
      <c r="B5183" s="0" t="s">
        <v>2042</v>
      </c>
      <c r="C5183" s="0" t="s">
        <v>2349</v>
      </c>
      <c r="D5183" s="0" t="s">
        <v>2105</v>
      </c>
      <c r="E5183" s="0" t="s">
        <v>2045</v>
      </c>
      <c r="F5183" s="0" t="s">
        <v>2099</v>
      </c>
      <c r="G5183" s="0" t="s">
        <v>2232</v>
      </c>
      <c r="H5183" s="0" t="s">
        <v>2100</v>
      </c>
      <c r="I5183" s="0" t="s">
        <v>2322</v>
      </c>
      <c r="J5183" s="0" t="s">
        <v>2358</v>
      </c>
      <c r="K5183" s="272" t="n">
        <v>344940.86</v>
      </c>
    </row>
    <row r="5184" customFormat="false" ht="15" hidden="false" customHeight="false" outlineLevel="0" collapsed="false">
      <c r="A5184" s="0" t="s">
        <v>2041</v>
      </c>
      <c r="B5184" s="0" t="s">
        <v>2042</v>
      </c>
      <c r="C5184" s="0" t="s">
        <v>2352</v>
      </c>
      <c r="D5184" s="0" t="s">
        <v>2105</v>
      </c>
      <c r="E5184" s="0" t="s">
        <v>2045</v>
      </c>
      <c r="F5184" s="0" t="s">
        <v>2099</v>
      </c>
      <c r="G5184" s="0" t="s">
        <v>2232</v>
      </c>
      <c r="H5184" s="0" t="s">
        <v>2233</v>
      </c>
      <c r="I5184" s="0" t="s">
        <v>2322</v>
      </c>
      <c r="J5184" s="0" t="s">
        <v>2358</v>
      </c>
      <c r="K5184" s="272" t="n">
        <v>147940.48</v>
      </c>
    </row>
    <row r="5185" customFormat="false" ht="15" hidden="false" customHeight="false" outlineLevel="0" collapsed="false">
      <c r="A5185" s="0" t="s">
        <v>2041</v>
      </c>
      <c r="B5185" s="0" t="s">
        <v>2042</v>
      </c>
      <c r="C5185" s="0" t="s">
        <v>2359</v>
      </c>
      <c r="D5185" s="0" t="s">
        <v>2105</v>
      </c>
      <c r="E5185" s="0" t="s">
        <v>2045</v>
      </c>
      <c r="F5185" s="0" t="s">
        <v>2099</v>
      </c>
      <c r="G5185" s="0" t="s">
        <v>2232</v>
      </c>
      <c r="H5185" s="0" t="s">
        <v>2233</v>
      </c>
      <c r="I5185" s="0" t="s">
        <v>2322</v>
      </c>
      <c r="J5185" s="0" t="s">
        <v>2358</v>
      </c>
      <c r="K5185" s="272" t="n">
        <v>37951.86</v>
      </c>
    </row>
    <row r="5186" customFormat="false" ht="15" hidden="false" customHeight="false" outlineLevel="0" collapsed="false">
      <c r="A5186" s="0" t="s">
        <v>2041</v>
      </c>
      <c r="B5186" s="0" t="s">
        <v>2042</v>
      </c>
      <c r="C5186" s="0" t="s">
        <v>2156</v>
      </c>
      <c r="D5186" s="0" t="s">
        <v>2105</v>
      </c>
      <c r="E5186" s="0" t="s">
        <v>2045</v>
      </c>
      <c r="F5186" s="0" t="s">
        <v>2099</v>
      </c>
      <c r="G5186" s="0" t="s">
        <v>2232</v>
      </c>
      <c r="H5186" s="0" t="s">
        <v>2233</v>
      </c>
      <c r="I5186" s="0" t="s">
        <v>2322</v>
      </c>
      <c r="J5186" s="0" t="s">
        <v>2358</v>
      </c>
      <c r="K5186" s="272" t="n">
        <v>780000</v>
      </c>
    </row>
    <row r="5187" customFormat="false" ht="15" hidden="false" customHeight="false" outlineLevel="0" collapsed="false">
      <c r="A5187" s="0" t="s">
        <v>2041</v>
      </c>
      <c r="B5187" s="0" t="s">
        <v>2042</v>
      </c>
      <c r="C5187" s="0" t="s">
        <v>2161</v>
      </c>
      <c r="D5187" s="0" t="s">
        <v>2105</v>
      </c>
      <c r="E5187" s="0" t="s">
        <v>2045</v>
      </c>
      <c r="F5187" s="0" t="s">
        <v>2099</v>
      </c>
      <c r="G5187" s="0" t="s">
        <v>2232</v>
      </c>
      <c r="H5187" s="0" t="s">
        <v>2233</v>
      </c>
      <c r="I5187" s="0" t="s">
        <v>2322</v>
      </c>
      <c r="J5187" s="0" t="s">
        <v>2358</v>
      </c>
      <c r="K5187" s="272" t="n">
        <v>235560</v>
      </c>
    </row>
    <row r="5188" customFormat="false" ht="15" hidden="false" customHeight="false" outlineLevel="0" collapsed="false">
      <c r="A5188" s="0" t="s">
        <v>2041</v>
      </c>
      <c r="B5188" s="0" t="s">
        <v>2042</v>
      </c>
      <c r="C5188" s="0" t="s">
        <v>2349</v>
      </c>
      <c r="D5188" s="0" t="s">
        <v>2105</v>
      </c>
      <c r="E5188" s="0" t="s">
        <v>2045</v>
      </c>
      <c r="F5188" s="0" t="s">
        <v>2099</v>
      </c>
      <c r="G5188" s="0" t="s">
        <v>2232</v>
      </c>
      <c r="H5188" s="0" t="s">
        <v>2233</v>
      </c>
      <c r="I5188" s="0" t="s">
        <v>2322</v>
      </c>
      <c r="J5188" s="0" t="s">
        <v>2358</v>
      </c>
      <c r="K5188" s="272" t="n">
        <v>56139.49</v>
      </c>
    </row>
    <row r="5189" customFormat="false" ht="15" hidden="false" customHeight="false" outlineLevel="0" collapsed="false">
      <c r="A5189" s="0" t="s">
        <v>2041</v>
      </c>
      <c r="B5189" s="0" t="s">
        <v>2042</v>
      </c>
      <c r="C5189" s="0" t="s">
        <v>2352</v>
      </c>
      <c r="D5189" s="0" t="s">
        <v>2105</v>
      </c>
      <c r="E5189" s="0" t="s">
        <v>2045</v>
      </c>
      <c r="F5189" s="0" t="s">
        <v>2099</v>
      </c>
      <c r="G5189" s="0" t="s">
        <v>2232</v>
      </c>
      <c r="H5189" s="0" t="s">
        <v>2234</v>
      </c>
      <c r="I5189" s="0" t="s">
        <v>2322</v>
      </c>
      <c r="J5189" s="0" t="s">
        <v>2358</v>
      </c>
      <c r="K5189" s="272" t="n">
        <v>6326974.12</v>
      </c>
    </row>
    <row r="5190" customFormat="false" ht="15" hidden="false" customHeight="false" outlineLevel="0" collapsed="false">
      <c r="A5190" s="0" t="s">
        <v>2041</v>
      </c>
      <c r="B5190" s="0" t="s">
        <v>2042</v>
      </c>
      <c r="C5190" s="0" t="s">
        <v>2359</v>
      </c>
      <c r="D5190" s="0" t="s">
        <v>2105</v>
      </c>
      <c r="E5190" s="0" t="s">
        <v>2045</v>
      </c>
      <c r="F5190" s="0" t="s">
        <v>2099</v>
      </c>
      <c r="G5190" s="0" t="s">
        <v>2232</v>
      </c>
      <c r="H5190" s="0" t="s">
        <v>2234</v>
      </c>
      <c r="I5190" s="0" t="s">
        <v>2322</v>
      </c>
      <c r="J5190" s="0" t="s">
        <v>2358</v>
      </c>
      <c r="K5190" s="272" t="n">
        <v>2327056.08</v>
      </c>
    </row>
    <row r="5191" customFormat="false" ht="15" hidden="false" customHeight="false" outlineLevel="0" collapsed="false">
      <c r="A5191" s="0" t="s">
        <v>2041</v>
      </c>
      <c r="B5191" s="0" t="s">
        <v>2042</v>
      </c>
      <c r="C5191" s="0" t="s">
        <v>2361</v>
      </c>
      <c r="D5191" s="0" t="s">
        <v>2105</v>
      </c>
      <c r="E5191" s="0" t="s">
        <v>2045</v>
      </c>
      <c r="F5191" s="0" t="s">
        <v>2099</v>
      </c>
      <c r="G5191" s="0" t="s">
        <v>2232</v>
      </c>
      <c r="H5191" s="0" t="s">
        <v>2234</v>
      </c>
      <c r="I5191" s="0" t="s">
        <v>2322</v>
      </c>
      <c r="J5191" s="0" t="s">
        <v>2358</v>
      </c>
      <c r="K5191" s="272" t="n">
        <v>8617.03</v>
      </c>
    </row>
    <row r="5192" customFormat="false" ht="15" hidden="false" customHeight="false" outlineLevel="0" collapsed="false">
      <c r="A5192" s="0" t="s">
        <v>2041</v>
      </c>
      <c r="B5192" s="0" t="s">
        <v>2042</v>
      </c>
      <c r="C5192" s="0" t="s">
        <v>2156</v>
      </c>
      <c r="D5192" s="0" t="s">
        <v>2105</v>
      </c>
      <c r="E5192" s="0" t="s">
        <v>2045</v>
      </c>
      <c r="F5192" s="0" t="s">
        <v>2099</v>
      </c>
      <c r="G5192" s="0" t="s">
        <v>2232</v>
      </c>
      <c r="H5192" s="0" t="s">
        <v>2234</v>
      </c>
      <c r="I5192" s="0" t="s">
        <v>2322</v>
      </c>
      <c r="J5192" s="0" t="s">
        <v>2358</v>
      </c>
      <c r="K5192" s="272" t="n">
        <v>52700000</v>
      </c>
    </row>
    <row r="5193" customFormat="false" ht="15" hidden="false" customHeight="false" outlineLevel="0" collapsed="false">
      <c r="A5193" s="0" t="s">
        <v>2041</v>
      </c>
      <c r="B5193" s="0" t="s">
        <v>2042</v>
      </c>
      <c r="C5193" s="0" t="s">
        <v>2360</v>
      </c>
      <c r="D5193" s="0" t="s">
        <v>2105</v>
      </c>
      <c r="E5193" s="0" t="s">
        <v>2045</v>
      </c>
      <c r="F5193" s="0" t="s">
        <v>2099</v>
      </c>
      <c r="G5193" s="0" t="s">
        <v>2232</v>
      </c>
      <c r="H5193" s="0" t="s">
        <v>2234</v>
      </c>
      <c r="I5193" s="0" t="s">
        <v>2322</v>
      </c>
      <c r="J5193" s="0" t="s">
        <v>2358</v>
      </c>
      <c r="K5193" s="272" t="n">
        <v>32</v>
      </c>
    </row>
    <row r="5194" customFormat="false" ht="15" hidden="false" customHeight="false" outlineLevel="0" collapsed="false">
      <c r="A5194" s="0" t="s">
        <v>2041</v>
      </c>
      <c r="B5194" s="0" t="s">
        <v>2042</v>
      </c>
      <c r="C5194" s="0" t="s">
        <v>2161</v>
      </c>
      <c r="D5194" s="0" t="s">
        <v>2105</v>
      </c>
      <c r="E5194" s="0" t="s">
        <v>2045</v>
      </c>
      <c r="F5194" s="0" t="s">
        <v>2099</v>
      </c>
      <c r="G5194" s="0" t="s">
        <v>2232</v>
      </c>
      <c r="H5194" s="0" t="s">
        <v>2234</v>
      </c>
      <c r="I5194" s="0" t="s">
        <v>2322</v>
      </c>
      <c r="J5194" s="0" t="s">
        <v>2358</v>
      </c>
      <c r="K5194" s="272" t="n">
        <v>10654591.46</v>
      </c>
    </row>
    <row r="5195" customFormat="false" ht="15" hidden="false" customHeight="false" outlineLevel="0" collapsed="false">
      <c r="A5195" s="0" t="s">
        <v>2041</v>
      </c>
      <c r="B5195" s="0" t="s">
        <v>2042</v>
      </c>
      <c r="C5195" s="0" t="s">
        <v>2349</v>
      </c>
      <c r="D5195" s="0" t="s">
        <v>2105</v>
      </c>
      <c r="E5195" s="0" t="s">
        <v>2045</v>
      </c>
      <c r="F5195" s="0" t="s">
        <v>2099</v>
      </c>
      <c r="G5195" s="0" t="s">
        <v>2232</v>
      </c>
      <c r="H5195" s="0" t="s">
        <v>2234</v>
      </c>
      <c r="I5195" s="0" t="s">
        <v>2322</v>
      </c>
      <c r="J5195" s="0" t="s">
        <v>2358</v>
      </c>
      <c r="K5195" s="272" t="n">
        <v>2245058.89</v>
      </c>
    </row>
    <row r="5196" customFormat="false" ht="15" hidden="false" customHeight="false" outlineLevel="0" collapsed="false">
      <c r="A5196" s="0" t="s">
        <v>2041</v>
      </c>
      <c r="B5196" s="0" t="s">
        <v>2042</v>
      </c>
      <c r="C5196" s="0" t="s">
        <v>2347</v>
      </c>
      <c r="D5196" s="0" t="s">
        <v>2105</v>
      </c>
      <c r="E5196" s="0" t="s">
        <v>2045</v>
      </c>
      <c r="F5196" s="0" t="s">
        <v>2099</v>
      </c>
      <c r="G5196" s="0" t="s">
        <v>2232</v>
      </c>
      <c r="H5196" s="0" t="s">
        <v>2234</v>
      </c>
      <c r="I5196" s="0" t="s">
        <v>2322</v>
      </c>
      <c r="J5196" s="0" t="s">
        <v>2358</v>
      </c>
      <c r="K5196" s="272" t="n">
        <v>40791.61</v>
      </c>
    </row>
    <row r="5197" customFormat="false" ht="15" hidden="false" customHeight="false" outlineLevel="0" collapsed="false">
      <c r="A5197" s="0" t="s">
        <v>2041</v>
      </c>
      <c r="B5197" s="0" t="s">
        <v>2042</v>
      </c>
      <c r="C5197" s="0" t="s">
        <v>2352</v>
      </c>
      <c r="D5197" s="0" t="s">
        <v>2105</v>
      </c>
      <c r="E5197" s="0" t="s">
        <v>2045</v>
      </c>
      <c r="F5197" s="0" t="s">
        <v>2099</v>
      </c>
      <c r="G5197" s="0" t="s">
        <v>2232</v>
      </c>
      <c r="H5197" s="0" t="s">
        <v>2235</v>
      </c>
      <c r="I5197" s="0" t="s">
        <v>2322</v>
      </c>
      <c r="J5197" s="0" t="s">
        <v>2358</v>
      </c>
      <c r="K5197" s="272" t="n">
        <v>2925476.19</v>
      </c>
    </row>
    <row r="5198" customFormat="false" ht="15" hidden="false" customHeight="false" outlineLevel="0" collapsed="false">
      <c r="A5198" s="0" t="s">
        <v>2041</v>
      </c>
      <c r="B5198" s="0" t="s">
        <v>2042</v>
      </c>
      <c r="C5198" s="0" t="s">
        <v>2359</v>
      </c>
      <c r="D5198" s="0" t="s">
        <v>2105</v>
      </c>
      <c r="E5198" s="0" t="s">
        <v>2045</v>
      </c>
      <c r="F5198" s="0" t="s">
        <v>2099</v>
      </c>
      <c r="G5198" s="0" t="s">
        <v>2232</v>
      </c>
      <c r="H5198" s="0" t="s">
        <v>2235</v>
      </c>
      <c r="I5198" s="0" t="s">
        <v>2322</v>
      </c>
      <c r="J5198" s="0" t="s">
        <v>2358</v>
      </c>
      <c r="K5198" s="272" t="n">
        <v>715141.64</v>
      </c>
    </row>
    <row r="5199" customFormat="false" ht="15" hidden="false" customHeight="false" outlineLevel="0" collapsed="false">
      <c r="A5199" s="0" t="s">
        <v>2041</v>
      </c>
      <c r="B5199" s="0" t="s">
        <v>2042</v>
      </c>
      <c r="C5199" s="0" t="s">
        <v>2156</v>
      </c>
      <c r="D5199" s="0" t="s">
        <v>2105</v>
      </c>
      <c r="E5199" s="0" t="s">
        <v>2045</v>
      </c>
      <c r="F5199" s="0" t="s">
        <v>2099</v>
      </c>
      <c r="G5199" s="0" t="s">
        <v>2232</v>
      </c>
      <c r="H5199" s="0" t="s">
        <v>2235</v>
      </c>
      <c r="I5199" s="0" t="s">
        <v>2322</v>
      </c>
      <c r="J5199" s="0" t="s">
        <v>2358</v>
      </c>
      <c r="K5199" s="272" t="n">
        <v>59100000</v>
      </c>
    </row>
    <row r="5200" customFormat="false" ht="15" hidden="false" customHeight="false" outlineLevel="0" collapsed="false">
      <c r="A5200" s="0" t="s">
        <v>2041</v>
      </c>
      <c r="B5200" s="0" t="s">
        <v>2042</v>
      </c>
      <c r="C5200" s="0" t="s">
        <v>2161</v>
      </c>
      <c r="D5200" s="0" t="s">
        <v>2105</v>
      </c>
      <c r="E5200" s="0" t="s">
        <v>2045</v>
      </c>
      <c r="F5200" s="0" t="s">
        <v>2099</v>
      </c>
      <c r="G5200" s="0" t="s">
        <v>2232</v>
      </c>
      <c r="H5200" s="0" t="s">
        <v>2235</v>
      </c>
      <c r="I5200" s="0" t="s">
        <v>2322</v>
      </c>
      <c r="J5200" s="0" t="s">
        <v>2358</v>
      </c>
      <c r="K5200" s="272" t="n">
        <v>9468828.18</v>
      </c>
    </row>
    <row r="5201" customFormat="false" ht="15" hidden="false" customHeight="false" outlineLevel="0" collapsed="false">
      <c r="A5201" s="0" t="s">
        <v>2041</v>
      </c>
      <c r="B5201" s="0" t="s">
        <v>2042</v>
      </c>
      <c r="C5201" s="0" t="s">
        <v>2349</v>
      </c>
      <c r="D5201" s="0" t="s">
        <v>2105</v>
      </c>
      <c r="E5201" s="0" t="s">
        <v>2045</v>
      </c>
      <c r="F5201" s="0" t="s">
        <v>2099</v>
      </c>
      <c r="G5201" s="0" t="s">
        <v>2232</v>
      </c>
      <c r="H5201" s="0" t="s">
        <v>2235</v>
      </c>
      <c r="I5201" s="0" t="s">
        <v>2322</v>
      </c>
      <c r="J5201" s="0" t="s">
        <v>2358</v>
      </c>
      <c r="K5201" s="272" t="n">
        <v>773091.01</v>
      </c>
    </row>
    <row r="5202" customFormat="false" ht="15" hidden="false" customHeight="false" outlineLevel="0" collapsed="false">
      <c r="A5202" s="0" t="s">
        <v>2041</v>
      </c>
      <c r="B5202" s="0" t="s">
        <v>2042</v>
      </c>
      <c r="C5202" s="0" t="s">
        <v>2347</v>
      </c>
      <c r="D5202" s="0" t="s">
        <v>2105</v>
      </c>
      <c r="E5202" s="0" t="s">
        <v>2045</v>
      </c>
      <c r="F5202" s="0" t="s">
        <v>2099</v>
      </c>
      <c r="G5202" s="0" t="s">
        <v>2232</v>
      </c>
      <c r="H5202" s="0" t="s">
        <v>2235</v>
      </c>
      <c r="I5202" s="0" t="s">
        <v>2322</v>
      </c>
      <c r="J5202" s="0" t="s">
        <v>2358</v>
      </c>
      <c r="K5202" s="272" t="n">
        <v>100000</v>
      </c>
    </row>
    <row r="5203" customFormat="false" ht="15" hidden="false" customHeight="false" outlineLevel="0" collapsed="false">
      <c r="A5203" s="0" t="s">
        <v>2041</v>
      </c>
      <c r="B5203" s="0" t="s">
        <v>2042</v>
      </c>
      <c r="C5203" s="0" t="s">
        <v>2352</v>
      </c>
      <c r="D5203" s="0" t="s">
        <v>2105</v>
      </c>
      <c r="E5203" s="0" t="s">
        <v>2045</v>
      </c>
      <c r="F5203" s="0" t="s">
        <v>2099</v>
      </c>
      <c r="G5203" s="0" t="s">
        <v>2236</v>
      </c>
      <c r="H5203" s="0" t="s">
        <v>2233</v>
      </c>
      <c r="I5203" s="0" t="s">
        <v>2124</v>
      </c>
      <c r="J5203" s="0" t="s">
        <v>2358</v>
      </c>
      <c r="K5203" s="272" t="n">
        <v>960529.83</v>
      </c>
    </row>
    <row r="5204" customFormat="false" ht="15" hidden="false" customHeight="false" outlineLevel="0" collapsed="false">
      <c r="A5204" s="0" t="s">
        <v>2041</v>
      </c>
      <c r="B5204" s="0" t="s">
        <v>2042</v>
      </c>
      <c r="C5204" s="0" t="s">
        <v>2359</v>
      </c>
      <c r="D5204" s="0" t="s">
        <v>2105</v>
      </c>
      <c r="E5204" s="0" t="s">
        <v>2045</v>
      </c>
      <c r="F5204" s="0" t="s">
        <v>2099</v>
      </c>
      <c r="G5204" s="0" t="s">
        <v>2236</v>
      </c>
      <c r="H5204" s="0" t="s">
        <v>2233</v>
      </c>
      <c r="I5204" s="0" t="s">
        <v>2124</v>
      </c>
      <c r="J5204" s="0" t="s">
        <v>2358</v>
      </c>
      <c r="K5204" s="272" t="n">
        <v>180062.48</v>
      </c>
    </row>
    <row r="5205" customFormat="false" ht="15" hidden="false" customHeight="false" outlineLevel="0" collapsed="false">
      <c r="A5205" s="0" t="s">
        <v>2041</v>
      </c>
      <c r="B5205" s="0" t="s">
        <v>2042</v>
      </c>
      <c r="C5205" s="0" t="s">
        <v>2156</v>
      </c>
      <c r="D5205" s="0" t="s">
        <v>2105</v>
      </c>
      <c r="E5205" s="0" t="s">
        <v>2045</v>
      </c>
      <c r="F5205" s="0" t="s">
        <v>2099</v>
      </c>
      <c r="G5205" s="0" t="s">
        <v>2236</v>
      </c>
      <c r="H5205" s="0" t="s">
        <v>2233</v>
      </c>
      <c r="I5205" s="0" t="s">
        <v>2124</v>
      </c>
      <c r="J5205" s="0" t="s">
        <v>2358</v>
      </c>
      <c r="K5205" s="272" t="n">
        <v>2650000</v>
      </c>
    </row>
    <row r="5206" customFormat="false" ht="15" hidden="false" customHeight="false" outlineLevel="0" collapsed="false">
      <c r="A5206" s="0" t="s">
        <v>2041</v>
      </c>
      <c r="B5206" s="0" t="s">
        <v>2042</v>
      </c>
      <c r="C5206" s="0" t="s">
        <v>2360</v>
      </c>
      <c r="D5206" s="0" t="s">
        <v>2105</v>
      </c>
      <c r="E5206" s="0" t="s">
        <v>2045</v>
      </c>
      <c r="F5206" s="0" t="s">
        <v>2099</v>
      </c>
      <c r="G5206" s="0" t="s">
        <v>2236</v>
      </c>
      <c r="H5206" s="0" t="s">
        <v>2233</v>
      </c>
      <c r="I5206" s="0" t="s">
        <v>2124</v>
      </c>
      <c r="J5206" s="0" t="s">
        <v>2358</v>
      </c>
      <c r="K5206" s="272" t="n">
        <v>2861</v>
      </c>
    </row>
    <row r="5207" customFormat="false" ht="15" hidden="false" customHeight="false" outlineLevel="0" collapsed="false">
      <c r="A5207" s="0" t="s">
        <v>2041</v>
      </c>
      <c r="B5207" s="0" t="s">
        <v>2042</v>
      </c>
      <c r="C5207" s="0" t="s">
        <v>2161</v>
      </c>
      <c r="D5207" s="0" t="s">
        <v>2105</v>
      </c>
      <c r="E5207" s="0" t="s">
        <v>2045</v>
      </c>
      <c r="F5207" s="0" t="s">
        <v>2099</v>
      </c>
      <c r="G5207" s="0" t="s">
        <v>2236</v>
      </c>
      <c r="H5207" s="0" t="s">
        <v>2233</v>
      </c>
      <c r="I5207" s="0" t="s">
        <v>2124</v>
      </c>
      <c r="J5207" s="0" t="s">
        <v>2358</v>
      </c>
      <c r="K5207" s="272" t="n">
        <v>800300</v>
      </c>
    </row>
    <row r="5208" customFormat="false" ht="15" hidden="false" customHeight="false" outlineLevel="0" collapsed="false">
      <c r="A5208" s="0" t="s">
        <v>2041</v>
      </c>
      <c r="B5208" s="0" t="s">
        <v>2042</v>
      </c>
      <c r="C5208" s="0" t="s">
        <v>2349</v>
      </c>
      <c r="D5208" s="0" t="s">
        <v>2105</v>
      </c>
      <c r="E5208" s="0" t="s">
        <v>2045</v>
      </c>
      <c r="F5208" s="0" t="s">
        <v>2099</v>
      </c>
      <c r="G5208" s="0" t="s">
        <v>2236</v>
      </c>
      <c r="H5208" s="0" t="s">
        <v>2233</v>
      </c>
      <c r="I5208" s="0" t="s">
        <v>2124</v>
      </c>
      <c r="J5208" s="0" t="s">
        <v>2358</v>
      </c>
      <c r="K5208" s="272" t="n">
        <v>339137.28</v>
      </c>
    </row>
    <row r="5209" customFormat="false" ht="15" hidden="false" customHeight="false" outlineLevel="0" collapsed="false">
      <c r="A5209" s="0" t="s">
        <v>2041</v>
      </c>
      <c r="B5209" s="0" t="s">
        <v>2042</v>
      </c>
      <c r="C5209" s="0" t="s">
        <v>2352</v>
      </c>
      <c r="D5209" s="0" t="s">
        <v>2105</v>
      </c>
      <c r="E5209" s="0" t="s">
        <v>2045</v>
      </c>
      <c r="F5209" s="0" t="s">
        <v>2099</v>
      </c>
      <c r="G5209" s="0" t="s">
        <v>2236</v>
      </c>
      <c r="H5209" s="0" t="s">
        <v>2233</v>
      </c>
      <c r="I5209" s="0" t="s">
        <v>2322</v>
      </c>
      <c r="J5209" s="0" t="s">
        <v>2358</v>
      </c>
      <c r="K5209" s="272" t="n">
        <v>6278942.85</v>
      </c>
    </row>
    <row r="5210" customFormat="false" ht="15" hidden="false" customHeight="false" outlineLevel="0" collapsed="false">
      <c r="A5210" s="0" t="s">
        <v>2041</v>
      </c>
      <c r="B5210" s="0" t="s">
        <v>2042</v>
      </c>
      <c r="C5210" s="0" t="s">
        <v>2359</v>
      </c>
      <c r="D5210" s="0" t="s">
        <v>2105</v>
      </c>
      <c r="E5210" s="0" t="s">
        <v>2045</v>
      </c>
      <c r="F5210" s="0" t="s">
        <v>2099</v>
      </c>
      <c r="G5210" s="0" t="s">
        <v>2236</v>
      </c>
      <c r="H5210" s="0" t="s">
        <v>2233</v>
      </c>
      <c r="I5210" s="0" t="s">
        <v>2322</v>
      </c>
      <c r="J5210" s="0" t="s">
        <v>2358</v>
      </c>
      <c r="K5210" s="272" t="n">
        <v>1345820.06</v>
      </c>
    </row>
    <row r="5211" customFormat="false" ht="15" hidden="false" customHeight="false" outlineLevel="0" collapsed="false">
      <c r="A5211" s="0" t="s">
        <v>2041</v>
      </c>
      <c r="B5211" s="0" t="s">
        <v>2042</v>
      </c>
      <c r="C5211" s="0" t="s">
        <v>2361</v>
      </c>
      <c r="D5211" s="0" t="s">
        <v>2105</v>
      </c>
      <c r="E5211" s="0" t="s">
        <v>2045</v>
      </c>
      <c r="F5211" s="0" t="s">
        <v>2099</v>
      </c>
      <c r="G5211" s="0" t="s">
        <v>2236</v>
      </c>
      <c r="H5211" s="0" t="s">
        <v>2233</v>
      </c>
      <c r="I5211" s="0" t="s">
        <v>2322</v>
      </c>
      <c r="J5211" s="0" t="s">
        <v>2358</v>
      </c>
      <c r="K5211" s="272" t="n">
        <v>251265.09</v>
      </c>
    </row>
    <row r="5212" customFormat="false" ht="15" hidden="false" customHeight="false" outlineLevel="0" collapsed="false">
      <c r="A5212" s="0" t="s">
        <v>2041</v>
      </c>
      <c r="B5212" s="0" t="s">
        <v>2042</v>
      </c>
      <c r="C5212" s="0" t="s">
        <v>2156</v>
      </c>
      <c r="D5212" s="0" t="s">
        <v>2105</v>
      </c>
      <c r="E5212" s="0" t="s">
        <v>2045</v>
      </c>
      <c r="F5212" s="0" t="s">
        <v>2099</v>
      </c>
      <c r="G5212" s="0" t="s">
        <v>2236</v>
      </c>
      <c r="H5212" s="0" t="s">
        <v>2233</v>
      </c>
      <c r="I5212" s="0" t="s">
        <v>2322</v>
      </c>
      <c r="J5212" s="0" t="s">
        <v>2358</v>
      </c>
      <c r="K5212" s="272" t="n">
        <v>63200071</v>
      </c>
    </row>
    <row r="5213" customFormat="false" ht="15" hidden="false" customHeight="false" outlineLevel="0" collapsed="false">
      <c r="A5213" s="0" t="s">
        <v>2041</v>
      </c>
      <c r="B5213" s="0" t="s">
        <v>2042</v>
      </c>
      <c r="C5213" s="0" t="s">
        <v>2161</v>
      </c>
      <c r="D5213" s="0" t="s">
        <v>2105</v>
      </c>
      <c r="E5213" s="0" t="s">
        <v>2045</v>
      </c>
      <c r="F5213" s="0" t="s">
        <v>2099</v>
      </c>
      <c r="G5213" s="0" t="s">
        <v>2236</v>
      </c>
      <c r="H5213" s="0" t="s">
        <v>2233</v>
      </c>
      <c r="I5213" s="0" t="s">
        <v>2322</v>
      </c>
      <c r="J5213" s="0" t="s">
        <v>2358</v>
      </c>
      <c r="K5213" s="272" t="n">
        <v>12327355.67</v>
      </c>
    </row>
    <row r="5214" customFormat="false" ht="15" hidden="false" customHeight="false" outlineLevel="0" collapsed="false">
      <c r="A5214" s="0" t="s">
        <v>2041</v>
      </c>
      <c r="B5214" s="0" t="s">
        <v>2042</v>
      </c>
      <c r="C5214" s="0" t="s">
        <v>2349</v>
      </c>
      <c r="D5214" s="0" t="s">
        <v>2105</v>
      </c>
      <c r="E5214" s="0" t="s">
        <v>2045</v>
      </c>
      <c r="F5214" s="0" t="s">
        <v>2099</v>
      </c>
      <c r="G5214" s="0" t="s">
        <v>2236</v>
      </c>
      <c r="H5214" s="0" t="s">
        <v>2233</v>
      </c>
      <c r="I5214" s="0" t="s">
        <v>2322</v>
      </c>
      <c r="J5214" s="0" t="s">
        <v>2358</v>
      </c>
      <c r="K5214" s="272" t="n">
        <v>1932211.59</v>
      </c>
    </row>
    <row r="5215" customFormat="false" ht="15" hidden="false" customHeight="false" outlineLevel="0" collapsed="false">
      <c r="A5215" s="0" t="s">
        <v>2041</v>
      </c>
      <c r="B5215" s="0" t="s">
        <v>2042</v>
      </c>
      <c r="C5215" s="0" t="s">
        <v>2352</v>
      </c>
      <c r="D5215" s="0" t="s">
        <v>2105</v>
      </c>
      <c r="E5215" s="0" t="s">
        <v>2045</v>
      </c>
      <c r="F5215" s="0" t="s">
        <v>2099</v>
      </c>
      <c r="G5215" s="0" t="s">
        <v>2236</v>
      </c>
      <c r="H5215" s="0" t="s">
        <v>2237</v>
      </c>
      <c r="I5215" s="0" t="s">
        <v>2322</v>
      </c>
      <c r="J5215" s="0" t="s">
        <v>2358</v>
      </c>
      <c r="K5215" s="272" t="n">
        <v>520000</v>
      </c>
    </row>
    <row r="5216" customFormat="false" ht="15" hidden="false" customHeight="false" outlineLevel="0" collapsed="false">
      <c r="A5216" s="0" t="s">
        <v>2041</v>
      </c>
      <c r="B5216" s="0" t="s">
        <v>2042</v>
      </c>
      <c r="C5216" s="0" t="s">
        <v>2361</v>
      </c>
      <c r="D5216" s="0" t="s">
        <v>2105</v>
      </c>
      <c r="E5216" s="0" t="s">
        <v>2045</v>
      </c>
      <c r="F5216" s="0" t="s">
        <v>2099</v>
      </c>
      <c r="G5216" s="0" t="s">
        <v>2236</v>
      </c>
      <c r="H5216" s="0" t="s">
        <v>2237</v>
      </c>
      <c r="I5216" s="0" t="s">
        <v>2322</v>
      </c>
      <c r="J5216" s="0" t="s">
        <v>2358</v>
      </c>
      <c r="K5216" s="272" t="n">
        <v>23662.68</v>
      </c>
    </row>
    <row r="5217" customFormat="false" ht="15" hidden="false" customHeight="false" outlineLevel="0" collapsed="false">
      <c r="A5217" s="0" t="s">
        <v>2041</v>
      </c>
      <c r="B5217" s="0" t="s">
        <v>2042</v>
      </c>
      <c r="C5217" s="0" t="s">
        <v>2156</v>
      </c>
      <c r="D5217" s="0" t="s">
        <v>2105</v>
      </c>
      <c r="E5217" s="0" t="s">
        <v>2045</v>
      </c>
      <c r="F5217" s="0" t="s">
        <v>2099</v>
      </c>
      <c r="G5217" s="0" t="s">
        <v>2236</v>
      </c>
      <c r="H5217" s="0" t="s">
        <v>2237</v>
      </c>
      <c r="I5217" s="0" t="s">
        <v>2322</v>
      </c>
      <c r="J5217" s="0" t="s">
        <v>2358</v>
      </c>
      <c r="K5217" s="272" t="n">
        <v>3500000</v>
      </c>
    </row>
    <row r="5218" customFormat="false" ht="15" hidden="false" customHeight="false" outlineLevel="0" collapsed="false">
      <c r="A5218" s="0" t="s">
        <v>2041</v>
      </c>
      <c r="B5218" s="0" t="s">
        <v>2042</v>
      </c>
      <c r="C5218" s="0" t="s">
        <v>2161</v>
      </c>
      <c r="D5218" s="0" t="s">
        <v>2105</v>
      </c>
      <c r="E5218" s="0" t="s">
        <v>2045</v>
      </c>
      <c r="F5218" s="0" t="s">
        <v>2099</v>
      </c>
      <c r="G5218" s="0" t="s">
        <v>2236</v>
      </c>
      <c r="H5218" s="0" t="s">
        <v>2237</v>
      </c>
      <c r="I5218" s="0" t="s">
        <v>2322</v>
      </c>
      <c r="J5218" s="0" t="s">
        <v>2358</v>
      </c>
      <c r="K5218" s="272" t="n">
        <v>729622.76</v>
      </c>
    </row>
    <row r="5219" customFormat="false" ht="15" hidden="false" customHeight="false" outlineLevel="0" collapsed="false">
      <c r="A5219" s="0" t="s">
        <v>2041</v>
      </c>
      <c r="B5219" s="0" t="s">
        <v>2042</v>
      </c>
      <c r="C5219" s="0" t="s">
        <v>2349</v>
      </c>
      <c r="D5219" s="0" t="s">
        <v>2105</v>
      </c>
      <c r="E5219" s="0" t="s">
        <v>2045</v>
      </c>
      <c r="F5219" s="0" t="s">
        <v>2099</v>
      </c>
      <c r="G5219" s="0" t="s">
        <v>2236</v>
      </c>
      <c r="H5219" s="0" t="s">
        <v>2237</v>
      </c>
      <c r="I5219" s="0" t="s">
        <v>2322</v>
      </c>
      <c r="J5219" s="0" t="s">
        <v>2358</v>
      </c>
      <c r="K5219" s="272" t="n">
        <v>164186.13</v>
      </c>
    </row>
    <row r="5220" customFormat="false" ht="15" hidden="false" customHeight="false" outlineLevel="0" collapsed="false">
      <c r="A5220" s="0" t="s">
        <v>2041</v>
      </c>
      <c r="B5220" s="0" t="s">
        <v>2042</v>
      </c>
      <c r="C5220" s="0" t="s">
        <v>2352</v>
      </c>
      <c r="D5220" s="0" t="s">
        <v>2105</v>
      </c>
      <c r="E5220" s="0" t="s">
        <v>2045</v>
      </c>
      <c r="F5220" s="0" t="s">
        <v>2099</v>
      </c>
      <c r="G5220" s="0" t="s">
        <v>2238</v>
      </c>
      <c r="H5220" s="0" t="s">
        <v>2239</v>
      </c>
      <c r="I5220" s="0" t="s">
        <v>2124</v>
      </c>
      <c r="J5220" s="0" t="s">
        <v>2358</v>
      </c>
      <c r="K5220" s="272" t="n">
        <v>1903063.14</v>
      </c>
    </row>
    <row r="5221" customFormat="false" ht="15" hidden="false" customHeight="false" outlineLevel="0" collapsed="false">
      <c r="A5221" s="0" t="s">
        <v>2041</v>
      </c>
      <c r="B5221" s="0" t="s">
        <v>2042</v>
      </c>
      <c r="C5221" s="0" t="s">
        <v>2359</v>
      </c>
      <c r="D5221" s="0" t="s">
        <v>2105</v>
      </c>
      <c r="E5221" s="0" t="s">
        <v>2045</v>
      </c>
      <c r="F5221" s="0" t="s">
        <v>2099</v>
      </c>
      <c r="G5221" s="0" t="s">
        <v>2238</v>
      </c>
      <c r="H5221" s="0" t="s">
        <v>2239</v>
      </c>
      <c r="I5221" s="0" t="s">
        <v>2124</v>
      </c>
      <c r="J5221" s="0" t="s">
        <v>2358</v>
      </c>
      <c r="K5221" s="272" t="n">
        <v>3640.53</v>
      </c>
    </row>
    <row r="5222" customFormat="false" ht="15" hidden="false" customHeight="false" outlineLevel="0" collapsed="false">
      <c r="A5222" s="0" t="s">
        <v>2041</v>
      </c>
      <c r="B5222" s="0" t="s">
        <v>2042</v>
      </c>
      <c r="C5222" s="0" t="s">
        <v>2156</v>
      </c>
      <c r="D5222" s="0" t="s">
        <v>2105</v>
      </c>
      <c r="E5222" s="0" t="s">
        <v>2045</v>
      </c>
      <c r="F5222" s="0" t="s">
        <v>2099</v>
      </c>
      <c r="G5222" s="0" t="s">
        <v>2238</v>
      </c>
      <c r="H5222" s="0" t="s">
        <v>2239</v>
      </c>
      <c r="I5222" s="0" t="s">
        <v>2124</v>
      </c>
      <c r="J5222" s="0" t="s">
        <v>2358</v>
      </c>
      <c r="K5222" s="272" t="n">
        <v>5250000</v>
      </c>
    </row>
    <row r="5223" customFormat="false" ht="15" hidden="false" customHeight="false" outlineLevel="0" collapsed="false">
      <c r="A5223" s="0" t="s">
        <v>2041</v>
      </c>
      <c r="B5223" s="0" t="s">
        <v>2042</v>
      </c>
      <c r="C5223" s="0" t="s">
        <v>2161</v>
      </c>
      <c r="D5223" s="0" t="s">
        <v>2105</v>
      </c>
      <c r="E5223" s="0" t="s">
        <v>2045</v>
      </c>
      <c r="F5223" s="0" t="s">
        <v>2099</v>
      </c>
      <c r="G5223" s="0" t="s">
        <v>2238</v>
      </c>
      <c r="H5223" s="0" t="s">
        <v>2239</v>
      </c>
      <c r="I5223" s="0" t="s">
        <v>2124</v>
      </c>
      <c r="J5223" s="0" t="s">
        <v>2358</v>
      </c>
      <c r="K5223" s="272" t="n">
        <v>1197951</v>
      </c>
    </row>
    <row r="5224" customFormat="false" ht="15" hidden="false" customHeight="false" outlineLevel="0" collapsed="false">
      <c r="A5224" s="0" t="s">
        <v>2041</v>
      </c>
      <c r="B5224" s="0" t="s">
        <v>2042</v>
      </c>
      <c r="C5224" s="0" t="s">
        <v>2349</v>
      </c>
      <c r="D5224" s="0" t="s">
        <v>2105</v>
      </c>
      <c r="E5224" s="0" t="s">
        <v>2045</v>
      </c>
      <c r="F5224" s="0" t="s">
        <v>2099</v>
      </c>
      <c r="G5224" s="0" t="s">
        <v>2238</v>
      </c>
      <c r="H5224" s="0" t="s">
        <v>2239</v>
      </c>
      <c r="I5224" s="0" t="s">
        <v>2124</v>
      </c>
      <c r="J5224" s="0" t="s">
        <v>2358</v>
      </c>
      <c r="K5224" s="272" t="n">
        <v>575824.51</v>
      </c>
    </row>
    <row r="5225" customFormat="false" ht="15" hidden="false" customHeight="false" outlineLevel="0" collapsed="false">
      <c r="A5225" s="0" t="s">
        <v>2041</v>
      </c>
      <c r="B5225" s="0" t="s">
        <v>2042</v>
      </c>
      <c r="C5225" s="0" t="s">
        <v>2359</v>
      </c>
      <c r="D5225" s="0" t="s">
        <v>2105</v>
      </c>
      <c r="E5225" s="0" t="s">
        <v>2045</v>
      </c>
      <c r="F5225" s="0" t="s">
        <v>2099</v>
      </c>
      <c r="G5225" s="0" t="s">
        <v>2238</v>
      </c>
      <c r="H5225" s="0" t="s">
        <v>2239</v>
      </c>
      <c r="I5225" s="0" t="s">
        <v>2197</v>
      </c>
      <c r="J5225" s="0" t="s">
        <v>2358</v>
      </c>
      <c r="K5225" s="272" t="n">
        <v>109984.93</v>
      </c>
    </row>
    <row r="5226" customFormat="false" ht="15" hidden="false" customHeight="false" outlineLevel="0" collapsed="false">
      <c r="A5226" s="0" t="s">
        <v>2041</v>
      </c>
      <c r="B5226" s="0" t="s">
        <v>2042</v>
      </c>
      <c r="C5226" s="0" t="s">
        <v>2365</v>
      </c>
      <c r="D5226" s="0" t="s">
        <v>2105</v>
      </c>
      <c r="E5226" s="0" t="s">
        <v>2045</v>
      </c>
      <c r="F5226" s="0" t="s">
        <v>2099</v>
      </c>
      <c r="G5226" s="0" t="s">
        <v>2238</v>
      </c>
      <c r="H5226" s="0" t="s">
        <v>2239</v>
      </c>
      <c r="I5226" s="0" t="s">
        <v>2197</v>
      </c>
      <c r="J5226" s="0" t="s">
        <v>2358</v>
      </c>
      <c r="K5226" s="272" t="n">
        <v>614657.229525497</v>
      </c>
    </row>
    <row r="5227" customFormat="false" ht="15" hidden="false" customHeight="false" outlineLevel="0" collapsed="false">
      <c r="A5227" s="0" t="s">
        <v>2041</v>
      </c>
      <c r="B5227" s="0" t="s">
        <v>2042</v>
      </c>
      <c r="C5227" s="0" t="s">
        <v>2349</v>
      </c>
      <c r="D5227" s="0" t="s">
        <v>2105</v>
      </c>
      <c r="E5227" s="0" t="s">
        <v>2045</v>
      </c>
      <c r="F5227" s="0" t="s">
        <v>2099</v>
      </c>
      <c r="G5227" s="0" t="s">
        <v>2238</v>
      </c>
      <c r="H5227" s="0" t="s">
        <v>2239</v>
      </c>
      <c r="I5227" s="0" t="s">
        <v>2197</v>
      </c>
      <c r="J5227" s="0" t="s">
        <v>2358</v>
      </c>
      <c r="K5227" s="272" t="n">
        <v>33215.46</v>
      </c>
    </row>
    <row r="5228" customFormat="false" ht="15" hidden="false" customHeight="false" outlineLevel="0" collapsed="false">
      <c r="A5228" s="0" t="s">
        <v>2041</v>
      </c>
      <c r="B5228" s="0" t="s">
        <v>2042</v>
      </c>
      <c r="C5228" s="0" t="s">
        <v>2366</v>
      </c>
      <c r="D5228" s="0" t="s">
        <v>2105</v>
      </c>
      <c r="E5228" s="0" t="s">
        <v>2045</v>
      </c>
      <c r="F5228" s="0" t="s">
        <v>2099</v>
      </c>
      <c r="G5228" s="0" t="s">
        <v>2238</v>
      </c>
      <c r="H5228" s="0" t="s">
        <v>2239</v>
      </c>
      <c r="I5228" s="0" t="s">
        <v>2197</v>
      </c>
      <c r="J5228" s="0" t="s">
        <v>2358</v>
      </c>
      <c r="K5228" s="272" t="n">
        <v>2138476.19</v>
      </c>
    </row>
    <row r="5229" customFormat="false" ht="15" hidden="false" customHeight="false" outlineLevel="0" collapsed="false">
      <c r="A5229" s="0" t="s">
        <v>2041</v>
      </c>
      <c r="B5229" s="0" t="s">
        <v>2042</v>
      </c>
      <c r="C5229" s="0" t="s">
        <v>2352</v>
      </c>
      <c r="D5229" s="0" t="s">
        <v>2105</v>
      </c>
      <c r="E5229" s="0" t="s">
        <v>2045</v>
      </c>
      <c r="F5229" s="0" t="s">
        <v>2099</v>
      </c>
      <c r="G5229" s="0" t="s">
        <v>2238</v>
      </c>
      <c r="H5229" s="0" t="s">
        <v>2239</v>
      </c>
      <c r="I5229" s="0" t="s">
        <v>2201</v>
      </c>
      <c r="J5229" s="0" t="s">
        <v>2358</v>
      </c>
      <c r="K5229" s="272" t="n">
        <v>148571.43</v>
      </c>
    </row>
    <row r="5230" customFormat="false" ht="15" hidden="false" customHeight="false" outlineLevel="0" collapsed="false">
      <c r="A5230" s="0" t="s">
        <v>2041</v>
      </c>
      <c r="B5230" s="0" t="s">
        <v>2042</v>
      </c>
      <c r="C5230" s="0" t="s">
        <v>2359</v>
      </c>
      <c r="D5230" s="0" t="s">
        <v>2105</v>
      </c>
      <c r="E5230" s="0" t="s">
        <v>2045</v>
      </c>
      <c r="F5230" s="0" t="s">
        <v>2099</v>
      </c>
      <c r="G5230" s="0" t="s">
        <v>2238</v>
      </c>
      <c r="H5230" s="0" t="s">
        <v>2239</v>
      </c>
      <c r="I5230" s="0" t="s">
        <v>2201</v>
      </c>
      <c r="J5230" s="0" t="s">
        <v>2358</v>
      </c>
      <c r="K5230" s="272" t="n">
        <v>135404.18</v>
      </c>
    </row>
    <row r="5231" customFormat="false" ht="15" hidden="false" customHeight="false" outlineLevel="0" collapsed="false">
      <c r="A5231" s="0" t="s">
        <v>2041</v>
      </c>
      <c r="B5231" s="0" t="s">
        <v>2042</v>
      </c>
      <c r="C5231" s="0" t="s">
        <v>2156</v>
      </c>
      <c r="D5231" s="0" t="s">
        <v>2105</v>
      </c>
      <c r="E5231" s="0" t="s">
        <v>2045</v>
      </c>
      <c r="F5231" s="0" t="s">
        <v>2099</v>
      </c>
      <c r="G5231" s="0" t="s">
        <v>2238</v>
      </c>
      <c r="H5231" s="0" t="s">
        <v>2239</v>
      </c>
      <c r="I5231" s="0" t="s">
        <v>2201</v>
      </c>
      <c r="J5231" s="0" t="s">
        <v>2358</v>
      </c>
      <c r="K5231" s="272" t="n">
        <v>450000</v>
      </c>
    </row>
    <row r="5232" customFormat="false" ht="15" hidden="false" customHeight="false" outlineLevel="0" collapsed="false">
      <c r="A5232" s="0" t="s">
        <v>2041</v>
      </c>
      <c r="B5232" s="0" t="s">
        <v>2042</v>
      </c>
      <c r="C5232" s="0" t="s">
        <v>2161</v>
      </c>
      <c r="D5232" s="0" t="s">
        <v>2105</v>
      </c>
      <c r="E5232" s="0" t="s">
        <v>2045</v>
      </c>
      <c r="F5232" s="0" t="s">
        <v>2099</v>
      </c>
      <c r="G5232" s="0" t="s">
        <v>2238</v>
      </c>
      <c r="H5232" s="0" t="s">
        <v>2239</v>
      </c>
      <c r="I5232" s="0" t="s">
        <v>2201</v>
      </c>
      <c r="J5232" s="0" t="s">
        <v>2358</v>
      </c>
      <c r="K5232" s="272" t="n">
        <v>135900</v>
      </c>
    </row>
    <row r="5233" customFormat="false" ht="15" hidden="false" customHeight="false" outlineLevel="0" collapsed="false">
      <c r="A5233" s="0" t="s">
        <v>2041</v>
      </c>
      <c r="B5233" s="0" t="s">
        <v>2042</v>
      </c>
      <c r="C5233" s="0" t="s">
        <v>2349</v>
      </c>
      <c r="D5233" s="0" t="s">
        <v>2105</v>
      </c>
      <c r="E5233" s="0" t="s">
        <v>2045</v>
      </c>
      <c r="F5233" s="0" t="s">
        <v>2099</v>
      </c>
      <c r="G5233" s="0" t="s">
        <v>2238</v>
      </c>
      <c r="H5233" s="0" t="s">
        <v>2239</v>
      </c>
      <c r="I5233" s="0" t="s">
        <v>2201</v>
      </c>
      <c r="J5233" s="0" t="s">
        <v>2358</v>
      </c>
      <c r="K5233" s="272" t="n">
        <v>85760.63</v>
      </c>
    </row>
    <row r="5234" customFormat="false" ht="15" hidden="false" customHeight="false" outlineLevel="0" collapsed="false">
      <c r="A5234" s="0" t="s">
        <v>2041</v>
      </c>
      <c r="B5234" s="0" t="s">
        <v>2042</v>
      </c>
      <c r="C5234" s="0" t="s">
        <v>2352</v>
      </c>
      <c r="D5234" s="0" t="s">
        <v>2105</v>
      </c>
      <c r="E5234" s="0" t="s">
        <v>2045</v>
      </c>
      <c r="F5234" s="0" t="s">
        <v>2099</v>
      </c>
      <c r="G5234" s="0" t="s">
        <v>2238</v>
      </c>
      <c r="H5234" s="0" t="s">
        <v>2239</v>
      </c>
      <c r="I5234" s="0" t="s">
        <v>2322</v>
      </c>
      <c r="J5234" s="0" t="s">
        <v>2358</v>
      </c>
      <c r="K5234" s="272" t="n">
        <v>18641928.68</v>
      </c>
    </row>
    <row r="5235" customFormat="false" ht="15" hidden="false" customHeight="false" outlineLevel="0" collapsed="false">
      <c r="A5235" s="0" t="s">
        <v>2041</v>
      </c>
      <c r="B5235" s="0" t="s">
        <v>2042</v>
      </c>
      <c r="C5235" s="0" t="s">
        <v>2359</v>
      </c>
      <c r="D5235" s="0" t="s">
        <v>2105</v>
      </c>
      <c r="E5235" s="0" t="s">
        <v>2045</v>
      </c>
      <c r="F5235" s="0" t="s">
        <v>2099</v>
      </c>
      <c r="G5235" s="0" t="s">
        <v>2238</v>
      </c>
      <c r="H5235" s="0" t="s">
        <v>2239</v>
      </c>
      <c r="I5235" s="0" t="s">
        <v>2322</v>
      </c>
      <c r="J5235" s="0" t="s">
        <v>2358</v>
      </c>
      <c r="K5235" s="272" t="n">
        <v>5261774.11</v>
      </c>
    </row>
    <row r="5236" customFormat="false" ht="15" hidden="false" customHeight="false" outlineLevel="0" collapsed="false">
      <c r="A5236" s="0" t="s">
        <v>2041</v>
      </c>
      <c r="B5236" s="0" t="s">
        <v>2042</v>
      </c>
      <c r="C5236" s="0" t="s">
        <v>2361</v>
      </c>
      <c r="D5236" s="0" t="s">
        <v>2105</v>
      </c>
      <c r="E5236" s="0" t="s">
        <v>2045</v>
      </c>
      <c r="F5236" s="0" t="s">
        <v>2099</v>
      </c>
      <c r="G5236" s="0" t="s">
        <v>2238</v>
      </c>
      <c r="H5236" s="0" t="s">
        <v>2239</v>
      </c>
      <c r="I5236" s="0" t="s">
        <v>2322</v>
      </c>
      <c r="J5236" s="0" t="s">
        <v>2358</v>
      </c>
      <c r="K5236" s="272" t="n">
        <v>733.53</v>
      </c>
    </row>
    <row r="5237" customFormat="false" ht="15" hidden="false" customHeight="false" outlineLevel="0" collapsed="false">
      <c r="A5237" s="0" t="s">
        <v>2041</v>
      </c>
      <c r="B5237" s="0" t="s">
        <v>2042</v>
      </c>
      <c r="C5237" s="0" t="s">
        <v>2156</v>
      </c>
      <c r="D5237" s="0" t="s">
        <v>2105</v>
      </c>
      <c r="E5237" s="0" t="s">
        <v>2045</v>
      </c>
      <c r="F5237" s="0" t="s">
        <v>2099</v>
      </c>
      <c r="G5237" s="0" t="s">
        <v>2238</v>
      </c>
      <c r="H5237" s="0" t="s">
        <v>2239</v>
      </c>
      <c r="I5237" s="0" t="s">
        <v>2322</v>
      </c>
      <c r="J5237" s="0" t="s">
        <v>2358</v>
      </c>
      <c r="K5237" s="272" t="n">
        <v>80700000</v>
      </c>
    </row>
    <row r="5238" customFormat="false" ht="15" hidden="false" customHeight="false" outlineLevel="0" collapsed="false">
      <c r="A5238" s="0" t="s">
        <v>2041</v>
      </c>
      <c r="B5238" s="0" t="s">
        <v>2042</v>
      </c>
      <c r="C5238" s="0" t="s">
        <v>2360</v>
      </c>
      <c r="D5238" s="0" t="s">
        <v>2105</v>
      </c>
      <c r="E5238" s="0" t="s">
        <v>2045</v>
      </c>
      <c r="F5238" s="0" t="s">
        <v>2099</v>
      </c>
      <c r="G5238" s="0" t="s">
        <v>2238</v>
      </c>
      <c r="H5238" s="0" t="s">
        <v>2239</v>
      </c>
      <c r="I5238" s="0" t="s">
        <v>2322</v>
      </c>
      <c r="J5238" s="0" t="s">
        <v>2358</v>
      </c>
      <c r="K5238" s="272" t="n">
        <v>14610</v>
      </c>
    </row>
    <row r="5239" customFormat="false" ht="15" hidden="false" customHeight="false" outlineLevel="0" collapsed="false">
      <c r="A5239" s="0" t="s">
        <v>2041</v>
      </c>
      <c r="B5239" s="0" t="s">
        <v>2042</v>
      </c>
      <c r="C5239" s="0" t="s">
        <v>2161</v>
      </c>
      <c r="D5239" s="0" t="s">
        <v>2105</v>
      </c>
      <c r="E5239" s="0" t="s">
        <v>2045</v>
      </c>
      <c r="F5239" s="0" t="s">
        <v>2099</v>
      </c>
      <c r="G5239" s="0" t="s">
        <v>2238</v>
      </c>
      <c r="H5239" s="0" t="s">
        <v>2239</v>
      </c>
      <c r="I5239" s="0" t="s">
        <v>2322</v>
      </c>
      <c r="J5239" s="0" t="s">
        <v>2358</v>
      </c>
      <c r="K5239" s="272" t="n">
        <v>19130525.86</v>
      </c>
    </row>
    <row r="5240" customFormat="false" ht="15" hidden="false" customHeight="false" outlineLevel="0" collapsed="false">
      <c r="A5240" s="0" t="s">
        <v>2041</v>
      </c>
      <c r="B5240" s="0" t="s">
        <v>2042</v>
      </c>
      <c r="C5240" s="0" t="s">
        <v>2349</v>
      </c>
      <c r="D5240" s="0" t="s">
        <v>2105</v>
      </c>
      <c r="E5240" s="0" t="s">
        <v>2045</v>
      </c>
      <c r="F5240" s="0" t="s">
        <v>2099</v>
      </c>
      <c r="G5240" s="0" t="s">
        <v>2238</v>
      </c>
      <c r="H5240" s="0" t="s">
        <v>2239</v>
      </c>
      <c r="I5240" s="0" t="s">
        <v>2322</v>
      </c>
      <c r="J5240" s="0" t="s">
        <v>2358</v>
      </c>
      <c r="K5240" s="272" t="n">
        <v>6846418.95</v>
      </c>
    </row>
    <row r="5241" customFormat="false" ht="15" hidden="false" customHeight="false" outlineLevel="0" collapsed="false">
      <c r="A5241" s="0" t="s">
        <v>2041</v>
      </c>
      <c r="B5241" s="0" t="s">
        <v>2042</v>
      </c>
      <c r="C5241" s="0" t="s">
        <v>2347</v>
      </c>
      <c r="D5241" s="0" t="s">
        <v>2105</v>
      </c>
      <c r="E5241" s="0" t="s">
        <v>2045</v>
      </c>
      <c r="F5241" s="0" t="s">
        <v>2099</v>
      </c>
      <c r="G5241" s="0" t="s">
        <v>2238</v>
      </c>
      <c r="H5241" s="0" t="s">
        <v>2239</v>
      </c>
      <c r="I5241" s="0" t="s">
        <v>2322</v>
      </c>
      <c r="J5241" s="0" t="s">
        <v>2358</v>
      </c>
      <c r="K5241" s="272" t="n">
        <v>111305.93</v>
      </c>
    </row>
    <row r="5242" customFormat="false" ht="15" hidden="false" customHeight="false" outlineLevel="0" collapsed="false">
      <c r="A5242" s="0" t="s">
        <v>2041</v>
      </c>
      <c r="B5242" s="0" t="s">
        <v>2042</v>
      </c>
      <c r="C5242" s="0" t="s">
        <v>2352</v>
      </c>
      <c r="D5242" s="0" t="s">
        <v>2105</v>
      </c>
      <c r="E5242" s="0" t="s">
        <v>2045</v>
      </c>
      <c r="F5242" s="0" t="s">
        <v>2099</v>
      </c>
      <c r="G5242" s="0" t="s">
        <v>2240</v>
      </c>
      <c r="H5242" s="0" t="s">
        <v>2100</v>
      </c>
      <c r="I5242" s="0" t="s">
        <v>2124</v>
      </c>
      <c r="J5242" s="0" t="s">
        <v>2358</v>
      </c>
      <c r="K5242" s="272" t="n">
        <v>165000</v>
      </c>
    </row>
    <row r="5243" customFormat="false" ht="15" hidden="false" customHeight="false" outlineLevel="0" collapsed="false">
      <c r="A5243" s="0" t="s">
        <v>2041</v>
      </c>
      <c r="B5243" s="0" t="s">
        <v>2042</v>
      </c>
      <c r="C5243" s="0" t="s">
        <v>2359</v>
      </c>
      <c r="D5243" s="0" t="s">
        <v>2105</v>
      </c>
      <c r="E5243" s="0" t="s">
        <v>2045</v>
      </c>
      <c r="F5243" s="0" t="s">
        <v>2099</v>
      </c>
      <c r="G5243" s="0" t="s">
        <v>2240</v>
      </c>
      <c r="H5243" s="0" t="s">
        <v>2100</v>
      </c>
      <c r="I5243" s="0" t="s">
        <v>2124</v>
      </c>
      <c r="J5243" s="0" t="s">
        <v>2358</v>
      </c>
      <c r="K5243" s="272" t="n">
        <v>172891.04</v>
      </c>
    </row>
    <row r="5244" customFormat="false" ht="15" hidden="false" customHeight="false" outlineLevel="0" collapsed="false">
      <c r="A5244" s="0" t="s">
        <v>2041</v>
      </c>
      <c r="B5244" s="0" t="s">
        <v>2042</v>
      </c>
      <c r="C5244" s="0" t="s">
        <v>2156</v>
      </c>
      <c r="D5244" s="0" t="s">
        <v>2105</v>
      </c>
      <c r="E5244" s="0" t="s">
        <v>2045</v>
      </c>
      <c r="F5244" s="0" t="s">
        <v>2099</v>
      </c>
      <c r="G5244" s="0" t="s">
        <v>2240</v>
      </c>
      <c r="H5244" s="0" t="s">
        <v>2100</v>
      </c>
      <c r="I5244" s="0" t="s">
        <v>2124</v>
      </c>
      <c r="J5244" s="0" t="s">
        <v>2358</v>
      </c>
      <c r="K5244" s="272" t="n">
        <v>800000</v>
      </c>
    </row>
    <row r="5245" customFormat="false" ht="15" hidden="false" customHeight="false" outlineLevel="0" collapsed="false">
      <c r="A5245" s="0" t="s">
        <v>2041</v>
      </c>
      <c r="B5245" s="0" t="s">
        <v>2042</v>
      </c>
      <c r="C5245" s="0" t="s">
        <v>2161</v>
      </c>
      <c r="D5245" s="0" t="s">
        <v>2105</v>
      </c>
      <c r="E5245" s="0" t="s">
        <v>2045</v>
      </c>
      <c r="F5245" s="0" t="s">
        <v>2099</v>
      </c>
      <c r="G5245" s="0" t="s">
        <v>2240</v>
      </c>
      <c r="H5245" s="0" t="s">
        <v>2100</v>
      </c>
      <c r="I5245" s="0" t="s">
        <v>2124</v>
      </c>
      <c r="J5245" s="0" t="s">
        <v>2358</v>
      </c>
      <c r="K5245" s="272" t="n">
        <v>241600</v>
      </c>
    </row>
    <row r="5246" customFormat="false" ht="15" hidden="false" customHeight="false" outlineLevel="0" collapsed="false">
      <c r="A5246" s="0" t="s">
        <v>2041</v>
      </c>
      <c r="B5246" s="0" t="s">
        <v>2042</v>
      </c>
      <c r="C5246" s="0" t="s">
        <v>2349</v>
      </c>
      <c r="D5246" s="0" t="s">
        <v>2105</v>
      </c>
      <c r="E5246" s="0" t="s">
        <v>2045</v>
      </c>
      <c r="F5246" s="0" t="s">
        <v>2099</v>
      </c>
      <c r="G5246" s="0" t="s">
        <v>2240</v>
      </c>
      <c r="H5246" s="0" t="s">
        <v>2100</v>
      </c>
      <c r="I5246" s="0" t="s">
        <v>2124</v>
      </c>
      <c r="J5246" s="0" t="s">
        <v>2358</v>
      </c>
      <c r="K5246" s="272" t="n">
        <v>102043.09</v>
      </c>
    </row>
    <row r="5247" customFormat="false" ht="15" hidden="false" customHeight="false" outlineLevel="0" collapsed="false">
      <c r="A5247" s="0" t="s">
        <v>2041</v>
      </c>
      <c r="B5247" s="0" t="s">
        <v>2042</v>
      </c>
      <c r="C5247" s="0" t="s">
        <v>2352</v>
      </c>
      <c r="D5247" s="0" t="s">
        <v>2105</v>
      </c>
      <c r="E5247" s="0" t="s">
        <v>2045</v>
      </c>
      <c r="F5247" s="0" t="s">
        <v>2099</v>
      </c>
      <c r="G5247" s="0" t="s">
        <v>2240</v>
      </c>
      <c r="H5247" s="0" t="s">
        <v>2100</v>
      </c>
      <c r="I5247" s="0" t="s">
        <v>2322</v>
      </c>
      <c r="J5247" s="0" t="s">
        <v>2358</v>
      </c>
      <c r="K5247" s="272" t="n">
        <v>11006564.09</v>
      </c>
    </row>
    <row r="5248" customFormat="false" ht="15" hidden="false" customHeight="false" outlineLevel="0" collapsed="false">
      <c r="A5248" s="0" t="s">
        <v>2041</v>
      </c>
      <c r="B5248" s="0" t="s">
        <v>2042</v>
      </c>
      <c r="C5248" s="0" t="s">
        <v>2359</v>
      </c>
      <c r="D5248" s="0" t="s">
        <v>2105</v>
      </c>
      <c r="E5248" s="0" t="s">
        <v>2045</v>
      </c>
      <c r="F5248" s="0" t="s">
        <v>2099</v>
      </c>
      <c r="G5248" s="0" t="s">
        <v>2240</v>
      </c>
      <c r="H5248" s="0" t="s">
        <v>2100</v>
      </c>
      <c r="I5248" s="0" t="s">
        <v>2322</v>
      </c>
      <c r="J5248" s="0" t="s">
        <v>2358</v>
      </c>
      <c r="K5248" s="272" t="n">
        <v>3609548.27</v>
      </c>
    </row>
    <row r="5249" customFormat="false" ht="15" hidden="false" customHeight="false" outlineLevel="0" collapsed="false">
      <c r="A5249" s="0" t="s">
        <v>2041</v>
      </c>
      <c r="B5249" s="0" t="s">
        <v>2042</v>
      </c>
      <c r="C5249" s="0" t="s">
        <v>2156</v>
      </c>
      <c r="D5249" s="0" t="s">
        <v>2105</v>
      </c>
      <c r="E5249" s="0" t="s">
        <v>2045</v>
      </c>
      <c r="F5249" s="0" t="s">
        <v>2099</v>
      </c>
      <c r="G5249" s="0" t="s">
        <v>2240</v>
      </c>
      <c r="H5249" s="0" t="s">
        <v>2100</v>
      </c>
      <c r="I5249" s="0" t="s">
        <v>2322</v>
      </c>
      <c r="J5249" s="0" t="s">
        <v>2358</v>
      </c>
      <c r="K5249" s="272" t="n">
        <v>72214500</v>
      </c>
    </row>
    <row r="5250" customFormat="false" ht="15" hidden="false" customHeight="false" outlineLevel="0" collapsed="false">
      <c r="A5250" s="0" t="s">
        <v>2041</v>
      </c>
      <c r="B5250" s="0" t="s">
        <v>2042</v>
      </c>
      <c r="C5250" s="0" t="s">
        <v>2161</v>
      </c>
      <c r="D5250" s="0" t="s">
        <v>2105</v>
      </c>
      <c r="E5250" s="0" t="s">
        <v>2045</v>
      </c>
      <c r="F5250" s="0" t="s">
        <v>2099</v>
      </c>
      <c r="G5250" s="0" t="s">
        <v>2240</v>
      </c>
      <c r="H5250" s="0" t="s">
        <v>2100</v>
      </c>
      <c r="I5250" s="0" t="s">
        <v>2322</v>
      </c>
      <c r="J5250" s="0" t="s">
        <v>2358</v>
      </c>
      <c r="K5250" s="272" t="n">
        <v>14978888.76</v>
      </c>
    </row>
    <row r="5251" customFormat="false" ht="15" hidden="false" customHeight="false" outlineLevel="0" collapsed="false">
      <c r="A5251" s="0" t="s">
        <v>2041</v>
      </c>
      <c r="B5251" s="0" t="s">
        <v>2042</v>
      </c>
      <c r="C5251" s="0" t="s">
        <v>2349</v>
      </c>
      <c r="D5251" s="0" t="s">
        <v>2105</v>
      </c>
      <c r="E5251" s="0" t="s">
        <v>2045</v>
      </c>
      <c r="F5251" s="0" t="s">
        <v>2099</v>
      </c>
      <c r="G5251" s="0" t="s">
        <v>2240</v>
      </c>
      <c r="H5251" s="0" t="s">
        <v>2100</v>
      </c>
      <c r="I5251" s="0" t="s">
        <v>2322</v>
      </c>
      <c r="J5251" s="0" t="s">
        <v>2358</v>
      </c>
      <c r="K5251" s="272" t="n">
        <v>4047525.38</v>
      </c>
    </row>
    <row r="5252" customFormat="false" ht="15" hidden="false" customHeight="false" outlineLevel="0" collapsed="false">
      <c r="A5252" s="0" t="s">
        <v>2041</v>
      </c>
      <c r="B5252" s="0" t="s">
        <v>2042</v>
      </c>
      <c r="C5252" s="0" t="s">
        <v>2347</v>
      </c>
      <c r="D5252" s="0" t="s">
        <v>2105</v>
      </c>
      <c r="E5252" s="0" t="s">
        <v>2045</v>
      </c>
      <c r="F5252" s="0" t="s">
        <v>2099</v>
      </c>
      <c r="G5252" s="0" t="s">
        <v>2240</v>
      </c>
      <c r="H5252" s="0" t="s">
        <v>2100</v>
      </c>
      <c r="I5252" s="0" t="s">
        <v>2322</v>
      </c>
      <c r="J5252" s="0" t="s">
        <v>2358</v>
      </c>
      <c r="K5252" s="272" t="n">
        <v>14477.07</v>
      </c>
    </row>
    <row r="5253" customFormat="false" ht="15" hidden="false" customHeight="false" outlineLevel="0" collapsed="false">
      <c r="A5253" s="0" t="s">
        <v>2041</v>
      </c>
      <c r="B5253" s="0" t="s">
        <v>2042</v>
      </c>
      <c r="C5253" s="0" t="s">
        <v>2352</v>
      </c>
      <c r="D5253" s="0" t="s">
        <v>2105</v>
      </c>
      <c r="E5253" s="0" t="s">
        <v>2045</v>
      </c>
      <c r="F5253" s="0" t="s">
        <v>2099</v>
      </c>
      <c r="G5253" s="0" t="s">
        <v>2240</v>
      </c>
      <c r="H5253" s="0" t="s">
        <v>2235</v>
      </c>
      <c r="I5253" s="0" t="s">
        <v>2322</v>
      </c>
      <c r="J5253" s="0" t="s">
        <v>2358</v>
      </c>
      <c r="K5253" s="272" t="n">
        <v>480480</v>
      </c>
    </row>
    <row r="5254" customFormat="false" ht="15" hidden="false" customHeight="false" outlineLevel="0" collapsed="false">
      <c r="A5254" s="0" t="s">
        <v>2041</v>
      </c>
      <c r="B5254" s="0" t="s">
        <v>2042</v>
      </c>
      <c r="C5254" s="0" t="s">
        <v>2359</v>
      </c>
      <c r="D5254" s="0" t="s">
        <v>2105</v>
      </c>
      <c r="E5254" s="0" t="s">
        <v>2045</v>
      </c>
      <c r="F5254" s="0" t="s">
        <v>2099</v>
      </c>
      <c r="G5254" s="0" t="s">
        <v>2240</v>
      </c>
      <c r="H5254" s="0" t="s">
        <v>2235</v>
      </c>
      <c r="I5254" s="0" t="s">
        <v>2322</v>
      </c>
      <c r="J5254" s="0" t="s">
        <v>2358</v>
      </c>
      <c r="K5254" s="272" t="n">
        <v>18162.37</v>
      </c>
    </row>
    <row r="5255" customFormat="false" ht="15" hidden="false" customHeight="false" outlineLevel="0" collapsed="false">
      <c r="A5255" s="0" t="s">
        <v>2041</v>
      </c>
      <c r="B5255" s="0" t="s">
        <v>2042</v>
      </c>
      <c r="C5255" s="0" t="s">
        <v>2156</v>
      </c>
      <c r="D5255" s="0" t="s">
        <v>2105</v>
      </c>
      <c r="E5255" s="0" t="s">
        <v>2045</v>
      </c>
      <c r="F5255" s="0" t="s">
        <v>2099</v>
      </c>
      <c r="G5255" s="0" t="s">
        <v>2240</v>
      </c>
      <c r="H5255" s="0" t="s">
        <v>2235</v>
      </c>
      <c r="I5255" s="0" t="s">
        <v>2322</v>
      </c>
      <c r="J5255" s="0" t="s">
        <v>2358</v>
      </c>
      <c r="K5255" s="272" t="n">
        <v>730000</v>
      </c>
    </row>
    <row r="5256" customFormat="false" ht="15" hidden="false" customHeight="false" outlineLevel="0" collapsed="false">
      <c r="A5256" s="0" t="s">
        <v>2041</v>
      </c>
      <c r="B5256" s="0" t="s">
        <v>2042</v>
      </c>
      <c r="C5256" s="0" t="s">
        <v>2161</v>
      </c>
      <c r="D5256" s="0" t="s">
        <v>2105</v>
      </c>
      <c r="E5256" s="0" t="s">
        <v>2045</v>
      </c>
      <c r="F5256" s="0" t="s">
        <v>2099</v>
      </c>
      <c r="G5256" s="0" t="s">
        <v>2240</v>
      </c>
      <c r="H5256" s="0" t="s">
        <v>2235</v>
      </c>
      <c r="I5256" s="0" t="s">
        <v>2322</v>
      </c>
      <c r="J5256" s="0" t="s">
        <v>2358</v>
      </c>
      <c r="K5256" s="272" t="n">
        <v>220460</v>
      </c>
    </row>
    <row r="5257" customFormat="false" ht="15" hidden="false" customHeight="false" outlineLevel="0" collapsed="false">
      <c r="A5257" s="0" t="s">
        <v>2041</v>
      </c>
      <c r="B5257" s="0" t="s">
        <v>2042</v>
      </c>
      <c r="C5257" s="0" t="s">
        <v>2349</v>
      </c>
      <c r="D5257" s="0" t="s">
        <v>2105</v>
      </c>
      <c r="E5257" s="0" t="s">
        <v>2045</v>
      </c>
      <c r="F5257" s="0" t="s">
        <v>2099</v>
      </c>
      <c r="G5257" s="0" t="s">
        <v>2240</v>
      </c>
      <c r="H5257" s="0" t="s">
        <v>2235</v>
      </c>
      <c r="I5257" s="0" t="s">
        <v>2322</v>
      </c>
      <c r="J5257" s="0" t="s">
        <v>2358</v>
      </c>
      <c r="K5257" s="272" t="n">
        <v>150589.99</v>
      </c>
    </row>
    <row r="5258" customFormat="false" ht="15" hidden="false" customHeight="false" outlineLevel="0" collapsed="false">
      <c r="A5258" s="0" t="s">
        <v>2041</v>
      </c>
      <c r="B5258" s="0" t="s">
        <v>2042</v>
      </c>
      <c r="C5258" s="0" t="s">
        <v>2352</v>
      </c>
      <c r="D5258" s="0" t="s">
        <v>2105</v>
      </c>
      <c r="E5258" s="0" t="s">
        <v>2045</v>
      </c>
      <c r="F5258" s="0" t="s">
        <v>2099</v>
      </c>
      <c r="G5258" s="0" t="s">
        <v>2241</v>
      </c>
      <c r="H5258" s="0" t="s">
        <v>2242</v>
      </c>
      <c r="I5258" s="0" t="s">
        <v>2322</v>
      </c>
      <c r="J5258" s="0" t="s">
        <v>2358</v>
      </c>
      <c r="K5258" s="272" t="n">
        <v>3886725.13</v>
      </c>
    </row>
    <row r="5259" customFormat="false" ht="15" hidden="false" customHeight="false" outlineLevel="0" collapsed="false">
      <c r="A5259" s="0" t="s">
        <v>2041</v>
      </c>
      <c r="B5259" s="0" t="s">
        <v>2042</v>
      </c>
      <c r="C5259" s="0" t="s">
        <v>2359</v>
      </c>
      <c r="D5259" s="0" t="s">
        <v>2105</v>
      </c>
      <c r="E5259" s="0" t="s">
        <v>2045</v>
      </c>
      <c r="F5259" s="0" t="s">
        <v>2099</v>
      </c>
      <c r="G5259" s="0" t="s">
        <v>2241</v>
      </c>
      <c r="H5259" s="0" t="s">
        <v>2242</v>
      </c>
      <c r="I5259" s="0" t="s">
        <v>2322</v>
      </c>
      <c r="J5259" s="0" t="s">
        <v>2358</v>
      </c>
      <c r="K5259" s="272" t="n">
        <v>280379.63</v>
      </c>
    </row>
    <row r="5260" customFormat="false" ht="15" hidden="false" customHeight="false" outlineLevel="0" collapsed="false">
      <c r="A5260" s="0" t="s">
        <v>2041</v>
      </c>
      <c r="B5260" s="0" t="s">
        <v>2042</v>
      </c>
      <c r="C5260" s="0" t="s">
        <v>2156</v>
      </c>
      <c r="D5260" s="0" t="s">
        <v>2105</v>
      </c>
      <c r="E5260" s="0" t="s">
        <v>2045</v>
      </c>
      <c r="F5260" s="0" t="s">
        <v>2099</v>
      </c>
      <c r="G5260" s="0" t="s">
        <v>2241</v>
      </c>
      <c r="H5260" s="0" t="s">
        <v>2242</v>
      </c>
      <c r="I5260" s="0" t="s">
        <v>2322</v>
      </c>
      <c r="J5260" s="0" t="s">
        <v>2358</v>
      </c>
      <c r="K5260" s="272" t="n">
        <v>34672511</v>
      </c>
    </row>
    <row r="5261" customFormat="false" ht="15" hidden="false" customHeight="false" outlineLevel="0" collapsed="false">
      <c r="A5261" s="0" t="s">
        <v>2041</v>
      </c>
      <c r="B5261" s="0" t="s">
        <v>2042</v>
      </c>
      <c r="C5261" s="0" t="s">
        <v>2360</v>
      </c>
      <c r="D5261" s="0" t="s">
        <v>2105</v>
      </c>
      <c r="E5261" s="0" t="s">
        <v>2045</v>
      </c>
      <c r="F5261" s="0" t="s">
        <v>2099</v>
      </c>
      <c r="G5261" s="0" t="s">
        <v>2241</v>
      </c>
      <c r="H5261" s="0" t="s">
        <v>2242</v>
      </c>
      <c r="I5261" s="0" t="s">
        <v>2322</v>
      </c>
      <c r="J5261" s="0" t="s">
        <v>2358</v>
      </c>
      <c r="K5261" s="272" t="n">
        <v>25000</v>
      </c>
    </row>
    <row r="5262" customFormat="false" ht="15" hidden="false" customHeight="false" outlineLevel="0" collapsed="false">
      <c r="A5262" s="0" t="s">
        <v>2041</v>
      </c>
      <c r="B5262" s="0" t="s">
        <v>2042</v>
      </c>
      <c r="C5262" s="0" t="s">
        <v>2161</v>
      </c>
      <c r="D5262" s="0" t="s">
        <v>2105</v>
      </c>
      <c r="E5262" s="0" t="s">
        <v>2045</v>
      </c>
      <c r="F5262" s="0" t="s">
        <v>2099</v>
      </c>
      <c r="G5262" s="0" t="s">
        <v>2241</v>
      </c>
      <c r="H5262" s="0" t="s">
        <v>2242</v>
      </c>
      <c r="I5262" s="0" t="s">
        <v>2322</v>
      </c>
      <c r="J5262" s="0" t="s">
        <v>2358</v>
      </c>
      <c r="K5262" s="272" t="n">
        <v>6218325.68</v>
      </c>
    </row>
    <row r="5263" customFormat="false" ht="15" hidden="false" customHeight="false" outlineLevel="0" collapsed="false">
      <c r="A5263" s="0" t="s">
        <v>2041</v>
      </c>
      <c r="B5263" s="0" t="s">
        <v>2042</v>
      </c>
      <c r="C5263" s="0" t="s">
        <v>2349</v>
      </c>
      <c r="D5263" s="0" t="s">
        <v>2105</v>
      </c>
      <c r="E5263" s="0" t="s">
        <v>2045</v>
      </c>
      <c r="F5263" s="0" t="s">
        <v>2099</v>
      </c>
      <c r="G5263" s="0" t="s">
        <v>2241</v>
      </c>
      <c r="H5263" s="0" t="s">
        <v>2242</v>
      </c>
      <c r="I5263" s="0" t="s">
        <v>2322</v>
      </c>
      <c r="J5263" s="0" t="s">
        <v>2358</v>
      </c>
      <c r="K5263" s="272" t="n">
        <v>1199967.1</v>
      </c>
    </row>
    <row r="5264" customFormat="false" ht="15" hidden="false" customHeight="false" outlineLevel="0" collapsed="false">
      <c r="A5264" s="0" t="s">
        <v>2041</v>
      </c>
      <c r="B5264" s="0" t="s">
        <v>2042</v>
      </c>
      <c r="C5264" s="0" t="s">
        <v>2347</v>
      </c>
      <c r="D5264" s="0" t="s">
        <v>2105</v>
      </c>
      <c r="E5264" s="0" t="s">
        <v>2045</v>
      </c>
      <c r="F5264" s="0" t="s">
        <v>2099</v>
      </c>
      <c r="G5264" s="0" t="s">
        <v>2241</v>
      </c>
      <c r="H5264" s="0" t="s">
        <v>2242</v>
      </c>
      <c r="I5264" s="0" t="s">
        <v>2322</v>
      </c>
      <c r="J5264" s="0" t="s">
        <v>2358</v>
      </c>
      <c r="K5264" s="272" t="n">
        <v>5995.25</v>
      </c>
    </row>
    <row r="5265" customFormat="false" ht="15" hidden="false" customHeight="false" outlineLevel="0" collapsed="false">
      <c r="A5265" s="0" t="s">
        <v>2041</v>
      </c>
      <c r="B5265" s="0" t="s">
        <v>2042</v>
      </c>
      <c r="C5265" s="0" t="s">
        <v>2352</v>
      </c>
      <c r="D5265" s="0" t="s">
        <v>2105</v>
      </c>
      <c r="E5265" s="0" t="s">
        <v>2045</v>
      </c>
      <c r="F5265" s="0" t="s">
        <v>2099</v>
      </c>
      <c r="G5265" s="0" t="s">
        <v>2243</v>
      </c>
      <c r="H5265" s="0" t="s">
        <v>2244</v>
      </c>
      <c r="I5265" s="0" t="s">
        <v>2124</v>
      </c>
      <c r="J5265" s="0" t="s">
        <v>2358</v>
      </c>
      <c r="K5265" s="272" t="n">
        <v>2458146.45</v>
      </c>
    </row>
    <row r="5266" customFormat="false" ht="15" hidden="false" customHeight="false" outlineLevel="0" collapsed="false">
      <c r="A5266" s="0" t="s">
        <v>2041</v>
      </c>
      <c r="B5266" s="0" t="s">
        <v>2042</v>
      </c>
      <c r="C5266" s="0" t="s">
        <v>2359</v>
      </c>
      <c r="D5266" s="0" t="s">
        <v>2105</v>
      </c>
      <c r="E5266" s="0" t="s">
        <v>2045</v>
      </c>
      <c r="F5266" s="0" t="s">
        <v>2099</v>
      </c>
      <c r="G5266" s="0" t="s">
        <v>2243</v>
      </c>
      <c r="H5266" s="0" t="s">
        <v>2244</v>
      </c>
      <c r="I5266" s="0" t="s">
        <v>2124</v>
      </c>
      <c r="J5266" s="0" t="s">
        <v>2358</v>
      </c>
      <c r="K5266" s="272" t="n">
        <v>613523.55</v>
      </c>
    </row>
    <row r="5267" customFormat="false" ht="15" hidden="false" customHeight="false" outlineLevel="0" collapsed="false">
      <c r="A5267" s="0" t="s">
        <v>2041</v>
      </c>
      <c r="B5267" s="0" t="s">
        <v>2042</v>
      </c>
      <c r="C5267" s="0" t="s">
        <v>2156</v>
      </c>
      <c r="D5267" s="0" t="s">
        <v>2105</v>
      </c>
      <c r="E5267" s="0" t="s">
        <v>2045</v>
      </c>
      <c r="F5267" s="0" t="s">
        <v>2099</v>
      </c>
      <c r="G5267" s="0" t="s">
        <v>2243</v>
      </c>
      <c r="H5267" s="0" t="s">
        <v>2244</v>
      </c>
      <c r="I5267" s="0" t="s">
        <v>2124</v>
      </c>
      <c r="J5267" s="0" t="s">
        <v>2358</v>
      </c>
      <c r="K5267" s="272" t="n">
        <v>10129999.8</v>
      </c>
    </row>
    <row r="5268" customFormat="false" ht="15" hidden="false" customHeight="false" outlineLevel="0" collapsed="false">
      <c r="A5268" s="0" t="s">
        <v>2041</v>
      </c>
      <c r="B5268" s="0" t="s">
        <v>2042</v>
      </c>
      <c r="C5268" s="0" t="s">
        <v>2161</v>
      </c>
      <c r="D5268" s="0" t="s">
        <v>2105</v>
      </c>
      <c r="E5268" s="0" t="s">
        <v>2045</v>
      </c>
      <c r="F5268" s="0" t="s">
        <v>2099</v>
      </c>
      <c r="G5268" s="0" t="s">
        <v>2243</v>
      </c>
      <c r="H5268" s="0" t="s">
        <v>2244</v>
      </c>
      <c r="I5268" s="0" t="s">
        <v>2124</v>
      </c>
      <c r="J5268" s="0" t="s">
        <v>2358</v>
      </c>
      <c r="K5268" s="272" t="n">
        <v>2366815.06</v>
      </c>
    </row>
    <row r="5269" customFormat="false" ht="15" hidden="false" customHeight="false" outlineLevel="0" collapsed="false">
      <c r="A5269" s="0" t="s">
        <v>2041</v>
      </c>
      <c r="B5269" s="0" t="s">
        <v>2042</v>
      </c>
      <c r="C5269" s="0" t="s">
        <v>2349</v>
      </c>
      <c r="D5269" s="0" t="s">
        <v>2105</v>
      </c>
      <c r="E5269" s="0" t="s">
        <v>2045</v>
      </c>
      <c r="F5269" s="0" t="s">
        <v>2099</v>
      </c>
      <c r="G5269" s="0" t="s">
        <v>2243</v>
      </c>
      <c r="H5269" s="0" t="s">
        <v>2244</v>
      </c>
      <c r="I5269" s="0" t="s">
        <v>2124</v>
      </c>
      <c r="J5269" s="0" t="s">
        <v>2358</v>
      </c>
      <c r="K5269" s="272" t="n">
        <v>836979.98</v>
      </c>
    </row>
    <row r="5270" customFormat="false" ht="15" hidden="false" customHeight="false" outlineLevel="0" collapsed="false">
      <c r="A5270" s="0" t="s">
        <v>2041</v>
      </c>
      <c r="B5270" s="0" t="s">
        <v>2042</v>
      </c>
      <c r="C5270" s="0" t="s">
        <v>2352</v>
      </c>
      <c r="D5270" s="0" t="s">
        <v>2105</v>
      </c>
      <c r="E5270" s="0" t="s">
        <v>2045</v>
      </c>
      <c r="F5270" s="0" t="s">
        <v>2099</v>
      </c>
      <c r="G5270" s="0" t="s">
        <v>2243</v>
      </c>
      <c r="H5270" s="0" t="s">
        <v>2244</v>
      </c>
      <c r="I5270" s="0" t="s">
        <v>2197</v>
      </c>
      <c r="J5270" s="0" t="s">
        <v>2358</v>
      </c>
      <c r="K5270" s="272" t="n">
        <v>423488.53</v>
      </c>
    </row>
    <row r="5271" customFormat="false" ht="15" hidden="false" customHeight="false" outlineLevel="0" collapsed="false">
      <c r="A5271" s="0" t="s">
        <v>2041</v>
      </c>
      <c r="B5271" s="0" t="s">
        <v>2042</v>
      </c>
      <c r="C5271" s="0" t="s">
        <v>2359</v>
      </c>
      <c r="D5271" s="0" t="s">
        <v>2105</v>
      </c>
      <c r="E5271" s="0" t="s">
        <v>2045</v>
      </c>
      <c r="F5271" s="0" t="s">
        <v>2099</v>
      </c>
      <c r="G5271" s="0" t="s">
        <v>2243</v>
      </c>
      <c r="H5271" s="0" t="s">
        <v>2244</v>
      </c>
      <c r="I5271" s="0" t="s">
        <v>2197</v>
      </c>
      <c r="J5271" s="0" t="s">
        <v>2358</v>
      </c>
      <c r="K5271" s="272" t="n">
        <v>417893.16</v>
      </c>
    </row>
    <row r="5272" customFormat="false" ht="15" hidden="false" customHeight="false" outlineLevel="0" collapsed="false">
      <c r="A5272" s="0" t="s">
        <v>2041</v>
      </c>
      <c r="B5272" s="0" t="s">
        <v>2042</v>
      </c>
      <c r="C5272" s="0" t="s">
        <v>2365</v>
      </c>
      <c r="D5272" s="0" t="s">
        <v>2105</v>
      </c>
      <c r="E5272" s="0" t="s">
        <v>2045</v>
      </c>
      <c r="F5272" s="0" t="s">
        <v>2099</v>
      </c>
      <c r="G5272" s="0" t="s">
        <v>2243</v>
      </c>
      <c r="H5272" s="0" t="s">
        <v>2244</v>
      </c>
      <c r="I5272" s="0" t="s">
        <v>2197</v>
      </c>
      <c r="J5272" s="0" t="s">
        <v>2358</v>
      </c>
      <c r="K5272" s="272" t="n">
        <v>2266891.66526903</v>
      </c>
    </row>
    <row r="5273" customFormat="false" ht="15" hidden="false" customHeight="false" outlineLevel="0" collapsed="false">
      <c r="A5273" s="0" t="s">
        <v>2041</v>
      </c>
      <c r="B5273" s="0" t="s">
        <v>2042</v>
      </c>
      <c r="C5273" s="0" t="s">
        <v>2349</v>
      </c>
      <c r="D5273" s="0" t="s">
        <v>2105</v>
      </c>
      <c r="E5273" s="0" t="s">
        <v>2045</v>
      </c>
      <c r="F5273" s="0" t="s">
        <v>2099</v>
      </c>
      <c r="G5273" s="0" t="s">
        <v>2243</v>
      </c>
      <c r="H5273" s="0" t="s">
        <v>2244</v>
      </c>
      <c r="I5273" s="0" t="s">
        <v>2197</v>
      </c>
      <c r="J5273" s="0" t="s">
        <v>2358</v>
      </c>
      <c r="K5273" s="272" t="n">
        <v>295544.14</v>
      </c>
    </row>
    <row r="5274" customFormat="false" ht="15" hidden="false" customHeight="false" outlineLevel="0" collapsed="false">
      <c r="A5274" s="0" t="s">
        <v>2041</v>
      </c>
      <c r="B5274" s="0" t="s">
        <v>2042</v>
      </c>
      <c r="C5274" s="0" t="s">
        <v>2366</v>
      </c>
      <c r="D5274" s="0" t="s">
        <v>2105</v>
      </c>
      <c r="E5274" s="0" t="s">
        <v>2045</v>
      </c>
      <c r="F5274" s="0" t="s">
        <v>2099</v>
      </c>
      <c r="G5274" s="0" t="s">
        <v>2243</v>
      </c>
      <c r="H5274" s="0" t="s">
        <v>2244</v>
      </c>
      <c r="I5274" s="0" t="s">
        <v>2197</v>
      </c>
      <c r="J5274" s="0" t="s">
        <v>2358</v>
      </c>
      <c r="K5274" s="272" t="n">
        <v>7638237.78</v>
      </c>
    </row>
    <row r="5275" customFormat="false" ht="15" hidden="false" customHeight="false" outlineLevel="0" collapsed="false">
      <c r="A5275" s="0" t="s">
        <v>2041</v>
      </c>
      <c r="B5275" s="0" t="s">
        <v>2042</v>
      </c>
      <c r="C5275" s="0" t="s">
        <v>2347</v>
      </c>
      <c r="D5275" s="0" t="s">
        <v>2105</v>
      </c>
      <c r="E5275" s="0" t="s">
        <v>2045</v>
      </c>
      <c r="F5275" s="0" t="s">
        <v>2099</v>
      </c>
      <c r="G5275" s="0" t="s">
        <v>2243</v>
      </c>
      <c r="H5275" s="0" t="s">
        <v>2244</v>
      </c>
      <c r="I5275" s="0" t="s">
        <v>2197</v>
      </c>
      <c r="J5275" s="0" t="s">
        <v>2358</v>
      </c>
      <c r="K5275" s="272" t="n">
        <v>170743.85</v>
      </c>
    </row>
    <row r="5276" customFormat="false" ht="15" hidden="false" customHeight="false" outlineLevel="0" collapsed="false">
      <c r="A5276" s="0" t="s">
        <v>2041</v>
      </c>
      <c r="B5276" s="0" t="s">
        <v>2042</v>
      </c>
      <c r="C5276" s="0" t="s">
        <v>2352</v>
      </c>
      <c r="D5276" s="0" t="s">
        <v>2105</v>
      </c>
      <c r="E5276" s="0" t="s">
        <v>2045</v>
      </c>
      <c r="F5276" s="0" t="s">
        <v>2099</v>
      </c>
      <c r="G5276" s="0" t="s">
        <v>2243</v>
      </c>
      <c r="H5276" s="0" t="s">
        <v>2244</v>
      </c>
      <c r="I5276" s="0" t="s">
        <v>2201</v>
      </c>
      <c r="J5276" s="0" t="s">
        <v>2358</v>
      </c>
      <c r="K5276" s="272" t="n">
        <v>540482.2</v>
      </c>
    </row>
    <row r="5277" customFormat="false" ht="15" hidden="false" customHeight="false" outlineLevel="0" collapsed="false">
      <c r="A5277" s="0" t="s">
        <v>2041</v>
      </c>
      <c r="B5277" s="0" t="s">
        <v>2042</v>
      </c>
      <c r="C5277" s="0" t="s">
        <v>2156</v>
      </c>
      <c r="D5277" s="0" t="s">
        <v>2105</v>
      </c>
      <c r="E5277" s="0" t="s">
        <v>2045</v>
      </c>
      <c r="F5277" s="0" t="s">
        <v>2099</v>
      </c>
      <c r="G5277" s="0" t="s">
        <v>2243</v>
      </c>
      <c r="H5277" s="0" t="s">
        <v>2244</v>
      </c>
      <c r="I5277" s="0" t="s">
        <v>2201</v>
      </c>
      <c r="J5277" s="0" t="s">
        <v>2358</v>
      </c>
      <c r="K5277" s="272" t="n">
        <v>1000000</v>
      </c>
    </row>
    <row r="5278" customFormat="false" ht="15" hidden="false" customHeight="false" outlineLevel="0" collapsed="false">
      <c r="A5278" s="0" t="s">
        <v>2041</v>
      </c>
      <c r="B5278" s="0" t="s">
        <v>2042</v>
      </c>
      <c r="C5278" s="0" t="s">
        <v>2161</v>
      </c>
      <c r="D5278" s="0" t="s">
        <v>2105</v>
      </c>
      <c r="E5278" s="0" t="s">
        <v>2045</v>
      </c>
      <c r="F5278" s="0" t="s">
        <v>2099</v>
      </c>
      <c r="G5278" s="0" t="s">
        <v>2243</v>
      </c>
      <c r="H5278" s="0" t="s">
        <v>2244</v>
      </c>
      <c r="I5278" s="0" t="s">
        <v>2201</v>
      </c>
      <c r="J5278" s="0" t="s">
        <v>2358</v>
      </c>
      <c r="K5278" s="272" t="n">
        <v>302000</v>
      </c>
    </row>
    <row r="5279" customFormat="false" ht="15" hidden="false" customHeight="false" outlineLevel="0" collapsed="false">
      <c r="A5279" s="0" t="s">
        <v>2041</v>
      </c>
      <c r="B5279" s="0" t="s">
        <v>2042</v>
      </c>
      <c r="C5279" s="0" t="s">
        <v>2349</v>
      </c>
      <c r="D5279" s="0" t="s">
        <v>2105</v>
      </c>
      <c r="E5279" s="0" t="s">
        <v>2045</v>
      </c>
      <c r="F5279" s="0" t="s">
        <v>2099</v>
      </c>
      <c r="G5279" s="0" t="s">
        <v>2243</v>
      </c>
      <c r="H5279" s="0" t="s">
        <v>2244</v>
      </c>
      <c r="I5279" s="0" t="s">
        <v>2201</v>
      </c>
      <c r="J5279" s="0" t="s">
        <v>2358</v>
      </c>
      <c r="K5279" s="272" t="n">
        <v>169055.71</v>
      </c>
    </row>
    <row r="5280" customFormat="false" ht="15" hidden="false" customHeight="false" outlineLevel="0" collapsed="false">
      <c r="A5280" s="0" t="s">
        <v>2041</v>
      </c>
      <c r="B5280" s="0" t="s">
        <v>2042</v>
      </c>
      <c r="C5280" s="0" t="s">
        <v>2347</v>
      </c>
      <c r="D5280" s="0" t="s">
        <v>2105</v>
      </c>
      <c r="E5280" s="0" t="s">
        <v>2045</v>
      </c>
      <c r="F5280" s="0" t="s">
        <v>2099</v>
      </c>
      <c r="G5280" s="0" t="s">
        <v>2243</v>
      </c>
      <c r="H5280" s="0" t="s">
        <v>2244</v>
      </c>
      <c r="I5280" s="0" t="s">
        <v>2201</v>
      </c>
      <c r="J5280" s="0" t="s">
        <v>2358</v>
      </c>
      <c r="K5280" s="272" t="n">
        <v>39787.14</v>
      </c>
    </row>
    <row r="5281" customFormat="false" ht="15" hidden="false" customHeight="false" outlineLevel="0" collapsed="false">
      <c r="A5281" s="0" t="s">
        <v>2041</v>
      </c>
      <c r="B5281" s="0" t="s">
        <v>2042</v>
      </c>
      <c r="C5281" s="0" t="s">
        <v>2352</v>
      </c>
      <c r="D5281" s="0" t="s">
        <v>2105</v>
      </c>
      <c r="E5281" s="0" t="s">
        <v>2045</v>
      </c>
      <c r="F5281" s="0" t="s">
        <v>2099</v>
      </c>
      <c r="G5281" s="0" t="s">
        <v>2243</v>
      </c>
      <c r="H5281" s="0" t="s">
        <v>2244</v>
      </c>
      <c r="I5281" s="0" t="s">
        <v>2322</v>
      </c>
      <c r="J5281" s="0" t="s">
        <v>2358</v>
      </c>
      <c r="K5281" s="272" t="n">
        <v>4073577.43</v>
      </c>
    </row>
    <row r="5282" customFormat="false" ht="15" hidden="false" customHeight="false" outlineLevel="0" collapsed="false">
      <c r="A5282" s="0" t="s">
        <v>2041</v>
      </c>
      <c r="B5282" s="0" t="s">
        <v>2042</v>
      </c>
      <c r="C5282" s="0" t="s">
        <v>2359</v>
      </c>
      <c r="D5282" s="0" t="s">
        <v>2105</v>
      </c>
      <c r="E5282" s="0" t="s">
        <v>2045</v>
      </c>
      <c r="F5282" s="0" t="s">
        <v>2099</v>
      </c>
      <c r="G5282" s="0" t="s">
        <v>2243</v>
      </c>
      <c r="H5282" s="0" t="s">
        <v>2244</v>
      </c>
      <c r="I5282" s="0" t="s">
        <v>2322</v>
      </c>
      <c r="J5282" s="0" t="s">
        <v>2358</v>
      </c>
      <c r="K5282" s="272" t="n">
        <v>1551122.19</v>
      </c>
    </row>
    <row r="5283" customFormat="false" ht="15" hidden="false" customHeight="false" outlineLevel="0" collapsed="false">
      <c r="A5283" s="0" t="s">
        <v>2041</v>
      </c>
      <c r="B5283" s="0" t="s">
        <v>2042</v>
      </c>
      <c r="C5283" s="0" t="s">
        <v>2156</v>
      </c>
      <c r="D5283" s="0" t="s">
        <v>2105</v>
      </c>
      <c r="E5283" s="0" t="s">
        <v>2045</v>
      </c>
      <c r="F5283" s="0" t="s">
        <v>2099</v>
      </c>
      <c r="G5283" s="0" t="s">
        <v>2243</v>
      </c>
      <c r="H5283" s="0" t="s">
        <v>2244</v>
      </c>
      <c r="I5283" s="0" t="s">
        <v>2322</v>
      </c>
      <c r="J5283" s="0" t="s">
        <v>2358</v>
      </c>
      <c r="K5283" s="272" t="n">
        <v>15689010</v>
      </c>
    </row>
    <row r="5284" customFormat="false" ht="15" hidden="false" customHeight="false" outlineLevel="0" collapsed="false">
      <c r="A5284" s="0" t="s">
        <v>2041</v>
      </c>
      <c r="B5284" s="0" t="s">
        <v>2042</v>
      </c>
      <c r="C5284" s="0" t="s">
        <v>2161</v>
      </c>
      <c r="D5284" s="0" t="s">
        <v>2105</v>
      </c>
      <c r="E5284" s="0" t="s">
        <v>2045</v>
      </c>
      <c r="F5284" s="0" t="s">
        <v>2099</v>
      </c>
      <c r="G5284" s="0" t="s">
        <v>2243</v>
      </c>
      <c r="H5284" s="0" t="s">
        <v>2244</v>
      </c>
      <c r="I5284" s="0" t="s">
        <v>2322</v>
      </c>
      <c r="J5284" s="0" t="s">
        <v>2358</v>
      </c>
      <c r="K5284" s="272" t="n">
        <v>4283284.19</v>
      </c>
    </row>
    <row r="5285" customFormat="false" ht="15" hidden="false" customHeight="false" outlineLevel="0" collapsed="false">
      <c r="A5285" s="0" t="s">
        <v>2041</v>
      </c>
      <c r="B5285" s="0" t="s">
        <v>2042</v>
      </c>
      <c r="C5285" s="0" t="s">
        <v>2349</v>
      </c>
      <c r="D5285" s="0" t="s">
        <v>2105</v>
      </c>
      <c r="E5285" s="0" t="s">
        <v>2045</v>
      </c>
      <c r="F5285" s="0" t="s">
        <v>2099</v>
      </c>
      <c r="G5285" s="0" t="s">
        <v>2243</v>
      </c>
      <c r="H5285" s="0" t="s">
        <v>2244</v>
      </c>
      <c r="I5285" s="0" t="s">
        <v>2322</v>
      </c>
      <c r="J5285" s="0" t="s">
        <v>2358</v>
      </c>
      <c r="K5285" s="272" t="n">
        <v>1690605.28</v>
      </c>
    </row>
    <row r="5286" customFormat="false" ht="15" hidden="false" customHeight="false" outlineLevel="0" collapsed="false">
      <c r="A5286" s="0" t="s">
        <v>2041</v>
      </c>
      <c r="B5286" s="0" t="s">
        <v>2042</v>
      </c>
      <c r="C5286" s="0" t="s">
        <v>2352</v>
      </c>
      <c r="D5286" s="0" t="s">
        <v>2105</v>
      </c>
      <c r="E5286" s="0" t="s">
        <v>2045</v>
      </c>
      <c r="F5286" s="0" t="s">
        <v>2099</v>
      </c>
      <c r="G5286" s="0" t="s">
        <v>2243</v>
      </c>
      <c r="H5286" s="0" t="s">
        <v>2245</v>
      </c>
      <c r="I5286" s="0" t="s">
        <v>2246</v>
      </c>
      <c r="J5286" s="0" t="s">
        <v>2358</v>
      </c>
      <c r="K5286" s="272" t="n">
        <v>3688555.69</v>
      </c>
    </row>
    <row r="5287" customFormat="false" ht="15" hidden="false" customHeight="false" outlineLevel="0" collapsed="false">
      <c r="A5287" s="0" t="s">
        <v>2041</v>
      </c>
      <c r="B5287" s="0" t="s">
        <v>2042</v>
      </c>
      <c r="C5287" s="0" t="s">
        <v>2359</v>
      </c>
      <c r="D5287" s="0" t="s">
        <v>2105</v>
      </c>
      <c r="E5287" s="0" t="s">
        <v>2045</v>
      </c>
      <c r="F5287" s="0" t="s">
        <v>2099</v>
      </c>
      <c r="G5287" s="0" t="s">
        <v>2243</v>
      </c>
      <c r="H5287" s="0" t="s">
        <v>2245</v>
      </c>
      <c r="I5287" s="0" t="s">
        <v>2246</v>
      </c>
      <c r="J5287" s="0" t="s">
        <v>2358</v>
      </c>
      <c r="K5287" s="272" t="n">
        <v>434020.4</v>
      </c>
    </row>
    <row r="5288" customFormat="false" ht="15" hidden="false" customHeight="false" outlineLevel="0" collapsed="false">
      <c r="A5288" s="0" t="s">
        <v>2041</v>
      </c>
      <c r="B5288" s="0" t="s">
        <v>2042</v>
      </c>
      <c r="C5288" s="0" t="s">
        <v>2156</v>
      </c>
      <c r="D5288" s="0" t="s">
        <v>2105</v>
      </c>
      <c r="E5288" s="0" t="s">
        <v>2045</v>
      </c>
      <c r="F5288" s="0" t="s">
        <v>2099</v>
      </c>
      <c r="G5288" s="0" t="s">
        <v>2243</v>
      </c>
      <c r="H5288" s="0" t="s">
        <v>2245</v>
      </c>
      <c r="I5288" s="0" t="s">
        <v>2246</v>
      </c>
      <c r="J5288" s="0" t="s">
        <v>2358</v>
      </c>
      <c r="K5288" s="272" t="n">
        <v>14300000</v>
      </c>
    </row>
    <row r="5289" customFormat="false" ht="15" hidden="false" customHeight="false" outlineLevel="0" collapsed="false">
      <c r="A5289" s="0" t="s">
        <v>2041</v>
      </c>
      <c r="B5289" s="0" t="s">
        <v>2042</v>
      </c>
      <c r="C5289" s="0" t="s">
        <v>2360</v>
      </c>
      <c r="D5289" s="0" t="s">
        <v>2105</v>
      </c>
      <c r="E5289" s="0" t="s">
        <v>2045</v>
      </c>
      <c r="F5289" s="0" t="s">
        <v>2099</v>
      </c>
      <c r="G5289" s="0" t="s">
        <v>2243</v>
      </c>
      <c r="H5289" s="0" t="s">
        <v>2245</v>
      </c>
      <c r="I5289" s="0" t="s">
        <v>2246</v>
      </c>
      <c r="J5289" s="0" t="s">
        <v>2358</v>
      </c>
      <c r="K5289" s="272" t="n">
        <v>6</v>
      </c>
    </row>
    <row r="5290" customFormat="false" ht="15" hidden="false" customHeight="false" outlineLevel="0" collapsed="false">
      <c r="A5290" s="0" t="s">
        <v>2041</v>
      </c>
      <c r="B5290" s="0" t="s">
        <v>2042</v>
      </c>
      <c r="C5290" s="0" t="s">
        <v>2161</v>
      </c>
      <c r="D5290" s="0" t="s">
        <v>2105</v>
      </c>
      <c r="E5290" s="0" t="s">
        <v>2045</v>
      </c>
      <c r="F5290" s="0" t="s">
        <v>2099</v>
      </c>
      <c r="G5290" s="0" t="s">
        <v>2243</v>
      </c>
      <c r="H5290" s="0" t="s">
        <v>2245</v>
      </c>
      <c r="I5290" s="0" t="s">
        <v>2246</v>
      </c>
      <c r="J5290" s="0" t="s">
        <v>2358</v>
      </c>
      <c r="K5290" s="272" t="n">
        <v>3433198.51</v>
      </c>
    </row>
    <row r="5291" customFormat="false" ht="15" hidden="false" customHeight="false" outlineLevel="0" collapsed="false">
      <c r="A5291" s="0" t="s">
        <v>2041</v>
      </c>
      <c r="B5291" s="0" t="s">
        <v>2042</v>
      </c>
      <c r="C5291" s="0" t="s">
        <v>2349</v>
      </c>
      <c r="D5291" s="0" t="s">
        <v>2105</v>
      </c>
      <c r="E5291" s="0" t="s">
        <v>2045</v>
      </c>
      <c r="F5291" s="0" t="s">
        <v>2099</v>
      </c>
      <c r="G5291" s="0" t="s">
        <v>2243</v>
      </c>
      <c r="H5291" s="0" t="s">
        <v>2245</v>
      </c>
      <c r="I5291" s="0" t="s">
        <v>2246</v>
      </c>
      <c r="J5291" s="0" t="s">
        <v>2358</v>
      </c>
      <c r="K5291" s="272" t="n">
        <v>1197555.7</v>
      </c>
    </row>
    <row r="5292" customFormat="false" ht="15" hidden="false" customHeight="false" outlineLevel="0" collapsed="false">
      <c r="A5292" s="0" t="s">
        <v>2041</v>
      </c>
      <c r="B5292" s="0" t="s">
        <v>2042</v>
      </c>
      <c r="C5292" s="0" t="s">
        <v>2347</v>
      </c>
      <c r="D5292" s="0" t="s">
        <v>2105</v>
      </c>
      <c r="E5292" s="0" t="s">
        <v>2045</v>
      </c>
      <c r="F5292" s="0" t="s">
        <v>2099</v>
      </c>
      <c r="G5292" s="0" t="s">
        <v>2243</v>
      </c>
      <c r="H5292" s="0" t="s">
        <v>2245</v>
      </c>
      <c r="I5292" s="0" t="s">
        <v>2246</v>
      </c>
      <c r="J5292" s="0" t="s">
        <v>2358</v>
      </c>
      <c r="K5292" s="272" t="n">
        <v>703.38</v>
      </c>
    </row>
    <row r="5293" customFormat="false" ht="15" hidden="false" customHeight="false" outlineLevel="0" collapsed="false">
      <c r="A5293" s="0" t="s">
        <v>2041</v>
      </c>
      <c r="B5293" s="0" t="s">
        <v>2042</v>
      </c>
      <c r="C5293" s="0" t="s">
        <v>2352</v>
      </c>
      <c r="D5293" s="0" t="s">
        <v>2105</v>
      </c>
      <c r="E5293" s="0" t="s">
        <v>2045</v>
      </c>
      <c r="F5293" s="0" t="s">
        <v>2099</v>
      </c>
      <c r="G5293" s="0" t="s">
        <v>2243</v>
      </c>
      <c r="H5293" s="0" t="s">
        <v>2245</v>
      </c>
      <c r="I5293" s="0" t="s">
        <v>2322</v>
      </c>
      <c r="J5293" s="0" t="s">
        <v>2358</v>
      </c>
      <c r="K5293" s="272" t="n">
        <v>28018.96</v>
      </c>
    </row>
    <row r="5294" customFormat="false" ht="15" hidden="false" customHeight="false" outlineLevel="0" collapsed="false">
      <c r="A5294" s="0" t="s">
        <v>2041</v>
      </c>
      <c r="B5294" s="0" t="s">
        <v>2042</v>
      </c>
      <c r="C5294" s="0" t="s">
        <v>2359</v>
      </c>
      <c r="D5294" s="0" t="s">
        <v>2105</v>
      </c>
      <c r="E5294" s="0" t="s">
        <v>2045</v>
      </c>
      <c r="F5294" s="0" t="s">
        <v>2099</v>
      </c>
      <c r="G5294" s="0" t="s">
        <v>2243</v>
      </c>
      <c r="H5294" s="0" t="s">
        <v>2245</v>
      </c>
      <c r="I5294" s="0" t="s">
        <v>2322</v>
      </c>
      <c r="J5294" s="0" t="s">
        <v>2358</v>
      </c>
      <c r="K5294" s="272" t="n">
        <v>4484.34</v>
      </c>
    </row>
    <row r="5295" customFormat="false" ht="15" hidden="false" customHeight="false" outlineLevel="0" collapsed="false">
      <c r="A5295" s="0" t="s">
        <v>2041</v>
      </c>
      <c r="B5295" s="0" t="s">
        <v>2042</v>
      </c>
      <c r="C5295" s="0" t="s">
        <v>2362</v>
      </c>
      <c r="D5295" s="0" t="s">
        <v>2105</v>
      </c>
      <c r="E5295" s="0" t="s">
        <v>2045</v>
      </c>
      <c r="F5295" s="0" t="s">
        <v>2099</v>
      </c>
      <c r="G5295" s="0" t="s">
        <v>2243</v>
      </c>
      <c r="H5295" s="0" t="s">
        <v>2245</v>
      </c>
      <c r="I5295" s="0" t="s">
        <v>2322</v>
      </c>
      <c r="J5295" s="0" t="s">
        <v>2358</v>
      </c>
      <c r="K5295" s="272" t="n">
        <v>1398.6</v>
      </c>
    </row>
    <row r="5296" customFormat="false" ht="15" hidden="false" customHeight="false" outlineLevel="0" collapsed="false">
      <c r="A5296" s="0" t="s">
        <v>2041</v>
      </c>
      <c r="B5296" s="0" t="s">
        <v>2042</v>
      </c>
      <c r="C5296" s="0" t="s">
        <v>2361</v>
      </c>
      <c r="D5296" s="0" t="s">
        <v>2105</v>
      </c>
      <c r="E5296" s="0" t="s">
        <v>2045</v>
      </c>
      <c r="F5296" s="0" t="s">
        <v>2099</v>
      </c>
      <c r="G5296" s="0" t="s">
        <v>2243</v>
      </c>
      <c r="H5296" s="0" t="s">
        <v>2245</v>
      </c>
      <c r="I5296" s="0" t="s">
        <v>2322</v>
      </c>
      <c r="J5296" s="0" t="s">
        <v>2358</v>
      </c>
      <c r="K5296" s="272" t="n">
        <v>0.08</v>
      </c>
    </row>
    <row r="5297" customFormat="false" ht="15" hidden="false" customHeight="false" outlineLevel="0" collapsed="false">
      <c r="A5297" s="0" t="s">
        <v>2041</v>
      </c>
      <c r="B5297" s="0" t="s">
        <v>2042</v>
      </c>
      <c r="C5297" s="0" t="s">
        <v>2156</v>
      </c>
      <c r="D5297" s="0" t="s">
        <v>2105</v>
      </c>
      <c r="E5297" s="0" t="s">
        <v>2045</v>
      </c>
      <c r="F5297" s="0" t="s">
        <v>2099</v>
      </c>
      <c r="G5297" s="0" t="s">
        <v>2243</v>
      </c>
      <c r="H5297" s="0" t="s">
        <v>2245</v>
      </c>
      <c r="I5297" s="0" t="s">
        <v>2322</v>
      </c>
      <c r="J5297" s="0" t="s">
        <v>2358</v>
      </c>
      <c r="K5297" s="272" t="n">
        <v>196425</v>
      </c>
    </row>
    <row r="5298" customFormat="false" ht="15" hidden="false" customHeight="false" outlineLevel="0" collapsed="false">
      <c r="A5298" s="0" t="s">
        <v>2041</v>
      </c>
      <c r="B5298" s="0" t="s">
        <v>2042</v>
      </c>
      <c r="C5298" s="0" t="s">
        <v>2161</v>
      </c>
      <c r="D5298" s="0" t="s">
        <v>2105</v>
      </c>
      <c r="E5298" s="0" t="s">
        <v>2045</v>
      </c>
      <c r="F5298" s="0" t="s">
        <v>2099</v>
      </c>
      <c r="G5298" s="0" t="s">
        <v>2243</v>
      </c>
      <c r="H5298" s="0" t="s">
        <v>2245</v>
      </c>
      <c r="I5298" s="0" t="s">
        <v>2322</v>
      </c>
      <c r="J5298" s="0" t="s">
        <v>2358</v>
      </c>
      <c r="K5298" s="272" t="n">
        <v>59320.35</v>
      </c>
    </row>
    <row r="5299" customFormat="false" ht="15" hidden="false" customHeight="false" outlineLevel="0" collapsed="false">
      <c r="A5299" s="0" t="s">
        <v>2041</v>
      </c>
      <c r="B5299" s="0" t="s">
        <v>2042</v>
      </c>
      <c r="C5299" s="0" t="s">
        <v>2349</v>
      </c>
      <c r="D5299" s="0" t="s">
        <v>2105</v>
      </c>
      <c r="E5299" s="0" t="s">
        <v>2045</v>
      </c>
      <c r="F5299" s="0" t="s">
        <v>2099</v>
      </c>
      <c r="G5299" s="0" t="s">
        <v>2243</v>
      </c>
      <c r="H5299" s="0" t="s">
        <v>2245</v>
      </c>
      <c r="I5299" s="0" t="s">
        <v>2322</v>
      </c>
      <c r="J5299" s="0" t="s">
        <v>2358</v>
      </c>
      <c r="K5299" s="272" t="n">
        <v>10211.95</v>
      </c>
    </row>
    <row r="5300" customFormat="false" ht="15" hidden="false" customHeight="false" outlineLevel="0" collapsed="false">
      <c r="A5300" s="0" t="s">
        <v>2041</v>
      </c>
      <c r="B5300" s="0" t="s">
        <v>2042</v>
      </c>
      <c r="C5300" s="0" t="s">
        <v>2352</v>
      </c>
      <c r="D5300" s="0" t="s">
        <v>2105</v>
      </c>
      <c r="E5300" s="0" t="s">
        <v>2045</v>
      </c>
      <c r="F5300" s="0" t="s">
        <v>2099</v>
      </c>
      <c r="G5300" s="0" t="s">
        <v>2243</v>
      </c>
      <c r="H5300" s="0" t="s">
        <v>2247</v>
      </c>
      <c r="I5300" s="0" t="s">
        <v>2124</v>
      </c>
      <c r="J5300" s="0" t="s">
        <v>2358</v>
      </c>
      <c r="K5300" s="272" t="n">
        <v>730439</v>
      </c>
    </row>
    <row r="5301" customFormat="false" ht="15" hidden="false" customHeight="false" outlineLevel="0" collapsed="false">
      <c r="A5301" s="0" t="s">
        <v>2041</v>
      </c>
      <c r="B5301" s="0" t="s">
        <v>2042</v>
      </c>
      <c r="C5301" s="0" t="s">
        <v>2359</v>
      </c>
      <c r="D5301" s="0" t="s">
        <v>2105</v>
      </c>
      <c r="E5301" s="0" t="s">
        <v>2045</v>
      </c>
      <c r="F5301" s="0" t="s">
        <v>2099</v>
      </c>
      <c r="G5301" s="0" t="s">
        <v>2243</v>
      </c>
      <c r="H5301" s="0" t="s">
        <v>2247</v>
      </c>
      <c r="I5301" s="0" t="s">
        <v>2124</v>
      </c>
      <c r="J5301" s="0" t="s">
        <v>2358</v>
      </c>
      <c r="K5301" s="272" t="n">
        <v>6262.86</v>
      </c>
    </row>
    <row r="5302" customFormat="false" ht="15" hidden="false" customHeight="false" outlineLevel="0" collapsed="false">
      <c r="A5302" s="0" t="s">
        <v>2041</v>
      </c>
      <c r="B5302" s="0" t="s">
        <v>2042</v>
      </c>
      <c r="C5302" s="0" t="s">
        <v>2156</v>
      </c>
      <c r="D5302" s="0" t="s">
        <v>2105</v>
      </c>
      <c r="E5302" s="0" t="s">
        <v>2045</v>
      </c>
      <c r="F5302" s="0" t="s">
        <v>2099</v>
      </c>
      <c r="G5302" s="0" t="s">
        <v>2243</v>
      </c>
      <c r="H5302" s="0" t="s">
        <v>2247</v>
      </c>
      <c r="I5302" s="0" t="s">
        <v>2124</v>
      </c>
      <c r="J5302" s="0" t="s">
        <v>2358</v>
      </c>
      <c r="K5302" s="272" t="n">
        <v>2260000</v>
      </c>
    </row>
    <row r="5303" customFormat="false" ht="15" hidden="false" customHeight="false" outlineLevel="0" collapsed="false">
      <c r="A5303" s="0" t="s">
        <v>2041</v>
      </c>
      <c r="B5303" s="0" t="s">
        <v>2042</v>
      </c>
      <c r="C5303" s="0" t="s">
        <v>2161</v>
      </c>
      <c r="D5303" s="0" t="s">
        <v>2105</v>
      </c>
      <c r="E5303" s="0" t="s">
        <v>2045</v>
      </c>
      <c r="F5303" s="0" t="s">
        <v>2099</v>
      </c>
      <c r="G5303" s="0" t="s">
        <v>2243</v>
      </c>
      <c r="H5303" s="0" t="s">
        <v>2247</v>
      </c>
      <c r="I5303" s="0" t="s">
        <v>2124</v>
      </c>
      <c r="J5303" s="0" t="s">
        <v>2358</v>
      </c>
      <c r="K5303" s="272" t="n">
        <v>682520</v>
      </c>
    </row>
    <row r="5304" customFormat="false" ht="15" hidden="false" customHeight="false" outlineLevel="0" collapsed="false">
      <c r="A5304" s="0" t="s">
        <v>2041</v>
      </c>
      <c r="B5304" s="0" t="s">
        <v>2042</v>
      </c>
      <c r="C5304" s="0" t="s">
        <v>2349</v>
      </c>
      <c r="D5304" s="0" t="s">
        <v>2105</v>
      </c>
      <c r="E5304" s="0" t="s">
        <v>2045</v>
      </c>
      <c r="F5304" s="0" t="s">
        <v>2099</v>
      </c>
      <c r="G5304" s="0" t="s">
        <v>2243</v>
      </c>
      <c r="H5304" s="0" t="s">
        <v>2247</v>
      </c>
      <c r="I5304" s="0" t="s">
        <v>2124</v>
      </c>
      <c r="J5304" s="0" t="s">
        <v>2358</v>
      </c>
      <c r="K5304" s="272" t="n">
        <v>222483.97</v>
      </c>
    </row>
    <row r="5305" customFormat="false" ht="15" hidden="false" customHeight="false" outlineLevel="0" collapsed="false">
      <c r="A5305" s="0" t="s">
        <v>2041</v>
      </c>
      <c r="B5305" s="0" t="s">
        <v>2042</v>
      </c>
      <c r="C5305" s="0" t="s">
        <v>2352</v>
      </c>
      <c r="D5305" s="0" t="s">
        <v>2105</v>
      </c>
      <c r="E5305" s="0" t="s">
        <v>2045</v>
      </c>
      <c r="F5305" s="0" t="s">
        <v>2099</v>
      </c>
      <c r="G5305" s="0" t="s">
        <v>2243</v>
      </c>
      <c r="H5305" s="0" t="s">
        <v>2247</v>
      </c>
      <c r="I5305" s="0" t="s">
        <v>2197</v>
      </c>
      <c r="J5305" s="0" t="s">
        <v>2358</v>
      </c>
      <c r="K5305" s="272" t="n">
        <v>18058.34</v>
      </c>
    </row>
    <row r="5306" customFormat="false" ht="15" hidden="false" customHeight="false" outlineLevel="0" collapsed="false">
      <c r="A5306" s="0" t="s">
        <v>2041</v>
      </c>
      <c r="B5306" s="0" t="s">
        <v>2042</v>
      </c>
      <c r="C5306" s="0" t="s">
        <v>2359</v>
      </c>
      <c r="D5306" s="0" t="s">
        <v>2105</v>
      </c>
      <c r="E5306" s="0" t="s">
        <v>2045</v>
      </c>
      <c r="F5306" s="0" t="s">
        <v>2099</v>
      </c>
      <c r="G5306" s="0" t="s">
        <v>2243</v>
      </c>
      <c r="H5306" s="0" t="s">
        <v>2247</v>
      </c>
      <c r="I5306" s="0" t="s">
        <v>2197</v>
      </c>
      <c r="J5306" s="0" t="s">
        <v>2358</v>
      </c>
      <c r="K5306" s="272" t="n">
        <v>78856.4</v>
      </c>
    </row>
    <row r="5307" customFormat="false" ht="15" hidden="false" customHeight="false" outlineLevel="0" collapsed="false">
      <c r="A5307" s="0" t="s">
        <v>2041</v>
      </c>
      <c r="B5307" s="0" t="s">
        <v>2042</v>
      </c>
      <c r="C5307" s="0" t="s">
        <v>2365</v>
      </c>
      <c r="D5307" s="0" t="s">
        <v>2105</v>
      </c>
      <c r="E5307" s="0" t="s">
        <v>2045</v>
      </c>
      <c r="F5307" s="0" t="s">
        <v>2099</v>
      </c>
      <c r="G5307" s="0" t="s">
        <v>2243</v>
      </c>
      <c r="H5307" s="0" t="s">
        <v>2247</v>
      </c>
      <c r="I5307" s="0" t="s">
        <v>2197</v>
      </c>
      <c r="J5307" s="0" t="s">
        <v>2358</v>
      </c>
      <c r="K5307" s="272" t="n">
        <v>49050.1925194081</v>
      </c>
    </row>
    <row r="5308" customFormat="false" ht="15" hidden="false" customHeight="false" outlineLevel="0" collapsed="false">
      <c r="A5308" s="0" t="s">
        <v>2041</v>
      </c>
      <c r="B5308" s="0" t="s">
        <v>2042</v>
      </c>
      <c r="C5308" s="0" t="s">
        <v>2349</v>
      </c>
      <c r="D5308" s="0" t="s">
        <v>2105</v>
      </c>
      <c r="E5308" s="0" t="s">
        <v>2045</v>
      </c>
      <c r="F5308" s="0" t="s">
        <v>2099</v>
      </c>
      <c r="G5308" s="0" t="s">
        <v>2243</v>
      </c>
      <c r="H5308" s="0" t="s">
        <v>2247</v>
      </c>
      <c r="I5308" s="0" t="s">
        <v>2197</v>
      </c>
      <c r="J5308" s="0" t="s">
        <v>2358</v>
      </c>
      <c r="K5308" s="272" t="n">
        <v>17358.89</v>
      </c>
    </row>
    <row r="5309" customFormat="false" ht="15" hidden="false" customHeight="false" outlineLevel="0" collapsed="false">
      <c r="A5309" s="0" t="s">
        <v>2041</v>
      </c>
      <c r="B5309" s="0" t="s">
        <v>2042</v>
      </c>
      <c r="C5309" s="0" t="s">
        <v>2366</v>
      </c>
      <c r="D5309" s="0" t="s">
        <v>2105</v>
      </c>
      <c r="E5309" s="0" t="s">
        <v>2045</v>
      </c>
      <c r="F5309" s="0" t="s">
        <v>2099</v>
      </c>
      <c r="G5309" s="0" t="s">
        <v>2243</v>
      </c>
      <c r="H5309" s="0" t="s">
        <v>2247</v>
      </c>
      <c r="I5309" s="0" t="s">
        <v>2197</v>
      </c>
      <c r="J5309" s="0" t="s">
        <v>2358</v>
      </c>
      <c r="K5309" s="272" t="n">
        <v>162417.85</v>
      </c>
    </row>
    <row r="5310" customFormat="false" ht="15" hidden="false" customHeight="false" outlineLevel="0" collapsed="false">
      <c r="A5310" s="0" t="s">
        <v>2041</v>
      </c>
      <c r="B5310" s="0" t="s">
        <v>2042</v>
      </c>
      <c r="C5310" s="0" t="s">
        <v>2352</v>
      </c>
      <c r="D5310" s="0" t="s">
        <v>2105</v>
      </c>
      <c r="E5310" s="0" t="s">
        <v>2045</v>
      </c>
      <c r="F5310" s="0" t="s">
        <v>2099</v>
      </c>
      <c r="G5310" s="0" t="s">
        <v>2243</v>
      </c>
      <c r="H5310" s="0" t="s">
        <v>2247</v>
      </c>
      <c r="I5310" s="0" t="s">
        <v>2201</v>
      </c>
      <c r="J5310" s="0" t="s">
        <v>2358</v>
      </c>
      <c r="K5310" s="272" t="n">
        <v>6184767.91</v>
      </c>
    </row>
    <row r="5311" customFormat="false" ht="15" hidden="false" customHeight="false" outlineLevel="0" collapsed="false">
      <c r="A5311" s="0" t="s">
        <v>2041</v>
      </c>
      <c r="B5311" s="0" t="s">
        <v>2042</v>
      </c>
      <c r="C5311" s="0" t="s">
        <v>2359</v>
      </c>
      <c r="D5311" s="0" t="s">
        <v>2105</v>
      </c>
      <c r="E5311" s="0" t="s">
        <v>2045</v>
      </c>
      <c r="F5311" s="0" t="s">
        <v>2099</v>
      </c>
      <c r="G5311" s="0" t="s">
        <v>2243</v>
      </c>
      <c r="H5311" s="0" t="s">
        <v>2247</v>
      </c>
      <c r="I5311" s="0" t="s">
        <v>2201</v>
      </c>
      <c r="J5311" s="0" t="s">
        <v>2358</v>
      </c>
      <c r="K5311" s="272" t="n">
        <v>1736709.31</v>
      </c>
    </row>
    <row r="5312" customFormat="false" ht="15" hidden="false" customHeight="false" outlineLevel="0" collapsed="false">
      <c r="A5312" s="0" t="s">
        <v>2041</v>
      </c>
      <c r="B5312" s="0" t="s">
        <v>2042</v>
      </c>
      <c r="C5312" s="0" t="s">
        <v>2361</v>
      </c>
      <c r="D5312" s="0" t="s">
        <v>2105</v>
      </c>
      <c r="E5312" s="0" t="s">
        <v>2045</v>
      </c>
      <c r="F5312" s="0" t="s">
        <v>2099</v>
      </c>
      <c r="G5312" s="0" t="s">
        <v>2243</v>
      </c>
      <c r="H5312" s="0" t="s">
        <v>2247</v>
      </c>
      <c r="I5312" s="0" t="s">
        <v>2201</v>
      </c>
      <c r="J5312" s="0" t="s">
        <v>2358</v>
      </c>
      <c r="K5312" s="272" t="n">
        <v>259.59</v>
      </c>
    </row>
    <row r="5313" customFormat="false" ht="15" hidden="false" customHeight="false" outlineLevel="0" collapsed="false">
      <c r="A5313" s="0" t="s">
        <v>2041</v>
      </c>
      <c r="B5313" s="0" t="s">
        <v>2042</v>
      </c>
      <c r="C5313" s="0" t="s">
        <v>2156</v>
      </c>
      <c r="D5313" s="0" t="s">
        <v>2105</v>
      </c>
      <c r="E5313" s="0" t="s">
        <v>2045</v>
      </c>
      <c r="F5313" s="0" t="s">
        <v>2099</v>
      </c>
      <c r="G5313" s="0" t="s">
        <v>2243</v>
      </c>
      <c r="H5313" s="0" t="s">
        <v>2247</v>
      </c>
      <c r="I5313" s="0" t="s">
        <v>2201</v>
      </c>
      <c r="J5313" s="0" t="s">
        <v>2358</v>
      </c>
      <c r="K5313" s="272" t="n">
        <v>22290000</v>
      </c>
    </row>
    <row r="5314" customFormat="false" ht="15" hidden="false" customHeight="false" outlineLevel="0" collapsed="false">
      <c r="A5314" s="0" t="s">
        <v>2041</v>
      </c>
      <c r="B5314" s="0" t="s">
        <v>2042</v>
      </c>
      <c r="C5314" s="0" t="s">
        <v>2161</v>
      </c>
      <c r="D5314" s="0" t="s">
        <v>2105</v>
      </c>
      <c r="E5314" s="0" t="s">
        <v>2045</v>
      </c>
      <c r="F5314" s="0" t="s">
        <v>2099</v>
      </c>
      <c r="G5314" s="0" t="s">
        <v>2243</v>
      </c>
      <c r="H5314" s="0" t="s">
        <v>2247</v>
      </c>
      <c r="I5314" s="0" t="s">
        <v>2201</v>
      </c>
      <c r="J5314" s="0" t="s">
        <v>2358</v>
      </c>
      <c r="K5314" s="272" t="n">
        <v>5667720.9</v>
      </c>
    </row>
    <row r="5315" customFormat="false" ht="15" hidden="false" customHeight="false" outlineLevel="0" collapsed="false">
      <c r="A5315" s="0" t="s">
        <v>2041</v>
      </c>
      <c r="B5315" s="0" t="s">
        <v>2042</v>
      </c>
      <c r="C5315" s="0" t="s">
        <v>2349</v>
      </c>
      <c r="D5315" s="0" t="s">
        <v>2105</v>
      </c>
      <c r="E5315" s="0" t="s">
        <v>2045</v>
      </c>
      <c r="F5315" s="0" t="s">
        <v>2099</v>
      </c>
      <c r="G5315" s="0" t="s">
        <v>2243</v>
      </c>
      <c r="H5315" s="0" t="s">
        <v>2247</v>
      </c>
      <c r="I5315" s="0" t="s">
        <v>2201</v>
      </c>
      <c r="J5315" s="0" t="s">
        <v>2358</v>
      </c>
      <c r="K5315" s="272" t="n">
        <v>2265707.65</v>
      </c>
    </row>
    <row r="5316" customFormat="false" ht="15" hidden="false" customHeight="false" outlineLevel="0" collapsed="false">
      <c r="A5316" s="0" t="s">
        <v>2041</v>
      </c>
      <c r="B5316" s="0" t="s">
        <v>2042</v>
      </c>
      <c r="C5316" s="0" t="s">
        <v>2347</v>
      </c>
      <c r="D5316" s="0" t="s">
        <v>2105</v>
      </c>
      <c r="E5316" s="0" t="s">
        <v>2045</v>
      </c>
      <c r="F5316" s="0" t="s">
        <v>2099</v>
      </c>
      <c r="G5316" s="0" t="s">
        <v>2243</v>
      </c>
      <c r="H5316" s="0" t="s">
        <v>2247</v>
      </c>
      <c r="I5316" s="0" t="s">
        <v>2201</v>
      </c>
      <c r="J5316" s="0" t="s">
        <v>2358</v>
      </c>
      <c r="K5316" s="272" t="n">
        <v>79451.32</v>
      </c>
    </row>
    <row r="5317" customFormat="false" ht="15" hidden="false" customHeight="false" outlineLevel="0" collapsed="false">
      <c r="A5317" s="0" t="s">
        <v>2041</v>
      </c>
      <c r="B5317" s="0" t="s">
        <v>2042</v>
      </c>
      <c r="C5317" s="0" t="s">
        <v>2352</v>
      </c>
      <c r="D5317" s="0" t="s">
        <v>2105</v>
      </c>
      <c r="E5317" s="0" t="s">
        <v>2045</v>
      </c>
      <c r="F5317" s="0" t="s">
        <v>2099</v>
      </c>
      <c r="G5317" s="0" t="s">
        <v>2243</v>
      </c>
      <c r="H5317" s="0" t="s">
        <v>2247</v>
      </c>
      <c r="I5317" s="0" t="s">
        <v>2322</v>
      </c>
      <c r="J5317" s="0" t="s">
        <v>2358</v>
      </c>
      <c r="K5317" s="272" t="n">
        <v>708095.24</v>
      </c>
    </row>
    <row r="5318" customFormat="false" ht="15" hidden="false" customHeight="false" outlineLevel="0" collapsed="false">
      <c r="A5318" s="0" t="s">
        <v>2041</v>
      </c>
      <c r="B5318" s="0" t="s">
        <v>2042</v>
      </c>
      <c r="C5318" s="0" t="s">
        <v>2359</v>
      </c>
      <c r="D5318" s="0" t="s">
        <v>2105</v>
      </c>
      <c r="E5318" s="0" t="s">
        <v>2045</v>
      </c>
      <c r="F5318" s="0" t="s">
        <v>2099</v>
      </c>
      <c r="G5318" s="0" t="s">
        <v>2243</v>
      </c>
      <c r="H5318" s="0" t="s">
        <v>2247</v>
      </c>
      <c r="I5318" s="0" t="s">
        <v>2322</v>
      </c>
      <c r="J5318" s="0" t="s">
        <v>2358</v>
      </c>
      <c r="K5318" s="272" t="n">
        <v>133399.25</v>
      </c>
    </row>
    <row r="5319" customFormat="false" ht="15" hidden="false" customHeight="false" outlineLevel="0" collapsed="false">
      <c r="A5319" s="0" t="s">
        <v>2041</v>
      </c>
      <c r="B5319" s="0" t="s">
        <v>2042</v>
      </c>
      <c r="C5319" s="0" t="s">
        <v>2156</v>
      </c>
      <c r="D5319" s="0" t="s">
        <v>2105</v>
      </c>
      <c r="E5319" s="0" t="s">
        <v>2045</v>
      </c>
      <c r="F5319" s="0" t="s">
        <v>2099</v>
      </c>
      <c r="G5319" s="0" t="s">
        <v>2243</v>
      </c>
      <c r="H5319" s="0" t="s">
        <v>2247</v>
      </c>
      <c r="I5319" s="0" t="s">
        <v>2322</v>
      </c>
      <c r="J5319" s="0" t="s">
        <v>2358</v>
      </c>
      <c r="K5319" s="272" t="n">
        <v>2250000</v>
      </c>
    </row>
    <row r="5320" customFormat="false" ht="15" hidden="false" customHeight="false" outlineLevel="0" collapsed="false">
      <c r="A5320" s="0" t="s">
        <v>2041</v>
      </c>
      <c r="B5320" s="0" t="s">
        <v>2042</v>
      </c>
      <c r="C5320" s="0" t="s">
        <v>2161</v>
      </c>
      <c r="D5320" s="0" t="s">
        <v>2105</v>
      </c>
      <c r="E5320" s="0" t="s">
        <v>2045</v>
      </c>
      <c r="F5320" s="0" t="s">
        <v>2099</v>
      </c>
      <c r="G5320" s="0" t="s">
        <v>2243</v>
      </c>
      <c r="H5320" s="0" t="s">
        <v>2247</v>
      </c>
      <c r="I5320" s="0" t="s">
        <v>2322</v>
      </c>
      <c r="J5320" s="0" t="s">
        <v>2358</v>
      </c>
      <c r="K5320" s="272" t="n">
        <v>647339.48</v>
      </c>
    </row>
    <row r="5321" customFormat="false" ht="15" hidden="false" customHeight="false" outlineLevel="0" collapsed="false">
      <c r="A5321" s="0" t="s">
        <v>2041</v>
      </c>
      <c r="B5321" s="0" t="s">
        <v>2042</v>
      </c>
      <c r="C5321" s="0" t="s">
        <v>2349</v>
      </c>
      <c r="D5321" s="0" t="s">
        <v>2105</v>
      </c>
      <c r="E5321" s="0" t="s">
        <v>2045</v>
      </c>
      <c r="F5321" s="0" t="s">
        <v>2099</v>
      </c>
      <c r="G5321" s="0" t="s">
        <v>2243</v>
      </c>
      <c r="H5321" s="0" t="s">
        <v>2247</v>
      </c>
      <c r="I5321" s="0" t="s">
        <v>2322</v>
      </c>
      <c r="J5321" s="0" t="s">
        <v>2358</v>
      </c>
      <c r="K5321" s="272" t="n">
        <v>235380.73</v>
      </c>
    </row>
    <row r="5322" customFormat="false" ht="15" hidden="false" customHeight="false" outlineLevel="0" collapsed="false">
      <c r="A5322" s="0" t="s">
        <v>2041</v>
      </c>
      <c r="B5322" s="0" t="s">
        <v>2042</v>
      </c>
      <c r="C5322" s="0" t="s">
        <v>2352</v>
      </c>
      <c r="D5322" s="0" t="s">
        <v>2105</v>
      </c>
      <c r="E5322" s="0" t="s">
        <v>2045</v>
      </c>
      <c r="F5322" s="0" t="s">
        <v>2099</v>
      </c>
      <c r="G5322" s="0" t="s">
        <v>2248</v>
      </c>
      <c r="H5322" s="0" t="s">
        <v>2244</v>
      </c>
      <c r="I5322" s="0" t="s">
        <v>2246</v>
      </c>
      <c r="J5322" s="0" t="s">
        <v>2358</v>
      </c>
      <c r="K5322" s="272" t="n">
        <v>351714.29</v>
      </c>
    </row>
    <row r="5323" customFormat="false" ht="15" hidden="false" customHeight="false" outlineLevel="0" collapsed="false">
      <c r="A5323" s="0" t="s">
        <v>2041</v>
      </c>
      <c r="B5323" s="0" t="s">
        <v>2042</v>
      </c>
      <c r="C5323" s="0" t="s">
        <v>2359</v>
      </c>
      <c r="D5323" s="0" t="s">
        <v>2105</v>
      </c>
      <c r="E5323" s="0" t="s">
        <v>2045</v>
      </c>
      <c r="F5323" s="0" t="s">
        <v>2099</v>
      </c>
      <c r="G5323" s="0" t="s">
        <v>2248</v>
      </c>
      <c r="H5323" s="0" t="s">
        <v>2244</v>
      </c>
      <c r="I5323" s="0" t="s">
        <v>2246</v>
      </c>
      <c r="J5323" s="0" t="s">
        <v>2358</v>
      </c>
      <c r="K5323" s="272" t="n">
        <v>25411.08</v>
      </c>
    </row>
    <row r="5324" customFormat="false" ht="15" hidden="false" customHeight="false" outlineLevel="0" collapsed="false">
      <c r="A5324" s="0" t="s">
        <v>2041</v>
      </c>
      <c r="B5324" s="0" t="s">
        <v>2042</v>
      </c>
      <c r="C5324" s="0" t="s">
        <v>2156</v>
      </c>
      <c r="D5324" s="0" t="s">
        <v>2105</v>
      </c>
      <c r="E5324" s="0" t="s">
        <v>2045</v>
      </c>
      <c r="F5324" s="0" t="s">
        <v>2099</v>
      </c>
      <c r="G5324" s="0" t="s">
        <v>2248</v>
      </c>
      <c r="H5324" s="0" t="s">
        <v>2244</v>
      </c>
      <c r="I5324" s="0" t="s">
        <v>2246</v>
      </c>
      <c r="J5324" s="0" t="s">
        <v>2358</v>
      </c>
      <c r="K5324" s="272" t="n">
        <v>480000</v>
      </c>
    </row>
    <row r="5325" customFormat="false" ht="15" hidden="false" customHeight="false" outlineLevel="0" collapsed="false">
      <c r="A5325" s="0" t="s">
        <v>2041</v>
      </c>
      <c r="B5325" s="0" t="s">
        <v>2042</v>
      </c>
      <c r="C5325" s="0" t="s">
        <v>2161</v>
      </c>
      <c r="D5325" s="0" t="s">
        <v>2105</v>
      </c>
      <c r="E5325" s="0" t="s">
        <v>2045</v>
      </c>
      <c r="F5325" s="0" t="s">
        <v>2099</v>
      </c>
      <c r="G5325" s="0" t="s">
        <v>2248</v>
      </c>
      <c r="H5325" s="0" t="s">
        <v>2244</v>
      </c>
      <c r="I5325" s="0" t="s">
        <v>2246</v>
      </c>
      <c r="J5325" s="0" t="s">
        <v>2358</v>
      </c>
      <c r="K5325" s="272" t="n">
        <v>144960</v>
      </c>
    </row>
    <row r="5326" customFormat="false" ht="15" hidden="false" customHeight="false" outlineLevel="0" collapsed="false">
      <c r="A5326" s="0" t="s">
        <v>2041</v>
      </c>
      <c r="B5326" s="0" t="s">
        <v>2042</v>
      </c>
      <c r="C5326" s="0" t="s">
        <v>2349</v>
      </c>
      <c r="D5326" s="0" t="s">
        <v>2105</v>
      </c>
      <c r="E5326" s="0" t="s">
        <v>2045</v>
      </c>
      <c r="F5326" s="0" t="s">
        <v>2099</v>
      </c>
      <c r="G5326" s="0" t="s">
        <v>2248</v>
      </c>
      <c r="H5326" s="0" t="s">
        <v>2244</v>
      </c>
      <c r="I5326" s="0" t="s">
        <v>2246</v>
      </c>
      <c r="J5326" s="0" t="s">
        <v>2358</v>
      </c>
      <c r="K5326" s="272" t="n">
        <v>113891.87</v>
      </c>
    </row>
    <row r="5327" customFormat="false" ht="15" hidden="false" customHeight="false" outlineLevel="0" collapsed="false">
      <c r="A5327" s="0" t="s">
        <v>2041</v>
      </c>
      <c r="B5327" s="0" t="s">
        <v>2042</v>
      </c>
      <c r="C5327" s="0" t="s">
        <v>2352</v>
      </c>
      <c r="D5327" s="0" t="s">
        <v>2105</v>
      </c>
      <c r="E5327" s="0" t="s">
        <v>2045</v>
      </c>
      <c r="F5327" s="0" t="s">
        <v>2099</v>
      </c>
      <c r="G5327" s="0" t="s">
        <v>2248</v>
      </c>
      <c r="H5327" s="0" t="s">
        <v>2245</v>
      </c>
      <c r="I5327" s="0" t="s">
        <v>2246</v>
      </c>
      <c r="J5327" s="0" t="s">
        <v>2358</v>
      </c>
      <c r="K5327" s="272" t="n">
        <v>162857.15</v>
      </c>
    </row>
    <row r="5328" customFormat="false" ht="15" hidden="false" customHeight="false" outlineLevel="0" collapsed="false">
      <c r="A5328" s="0" t="s">
        <v>2041</v>
      </c>
      <c r="B5328" s="0" t="s">
        <v>2042</v>
      </c>
      <c r="C5328" s="0" t="s">
        <v>2359</v>
      </c>
      <c r="D5328" s="0" t="s">
        <v>2105</v>
      </c>
      <c r="E5328" s="0" t="s">
        <v>2045</v>
      </c>
      <c r="F5328" s="0" t="s">
        <v>2099</v>
      </c>
      <c r="G5328" s="0" t="s">
        <v>2248</v>
      </c>
      <c r="H5328" s="0" t="s">
        <v>2245</v>
      </c>
      <c r="I5328" s="0" t="s">
        <v>2246</v>
      </c>
      <c r="J5328" s="0" t="s">
        <v>2358</v>
      </c>
      <c r="K5328" s="272" t="n">
        <v>38388.01</v>
      </c>
    </row>
    <row r="5329" customFormat="false" ht="15" hidden="false" customHeight="false" outlineLevel="0" collapsed="false">
      <c r="A5329" s="0" t="s">
        <v>2041</v>
      </c>
      <c r="B5329" s="0" t="s">
        <v>2042</v>
      </c>
      <c r="C5329" s="0" t="s">
        <v>2156</v>
      </c>
      <c r="D5329" s="0" t="s">
        <v>2105</v>
      </c>
      <c r="E5329" s="0" t="s">
        <v>2045</v>
      </c>
      <c r="F5329" s="0" t="s">
        <v>2099</v>
      </c>
      <c r="G5329" s="0" t="s">
        <v>2248</v>
      </c>
      <c r="H5329" s="0" t="s">
        <v>2245</v>
      </c>
      <c r="I5329" s="0" t="s">
        <v>2246</v>
      </c>
      <c r="J5329" s="0" t="s">
        <v>2358</v>
      </c>
      <c r="K5329" s="272" t="n">
        <v>315000</v>
      </c>
    </row>
    <row r="5330" customFormat="false" ht="15" hidden="false" customHeight="false" outlineLevel="0" collapsed="false">
      <c r="A5330" s="0" t="s">
        <v>2041</v>
      </c>
      <c r="B5330" s="0" t="s">
        <v>2042</v>
      </c>
      <c r="C5330" s="0" t="s">
        <v>2161</v>
      </c>
      <c r="D5330" s="0" t="s">
        <v>2105</v>
      </c>
      <c r="E5330" s="0" t="s">
        <v>2045</v>
      </c>
      <c r="F5330" s="0" t="s">
        <v>2099</v>
      </c>
      <c r="G5330" s="0" t="s">
        <v>2248</v>
      </c>
      <c r="H5330" s="0" t="s">
        <v>2245</v>
      </c>
      <c r="I5330" s="0" t="s">
        <v>2246</v>
      </c>
      <c r="J5330" s="0" t="s">
        <v>2358</v>
      </c>
      <c r="K5330" s="272" t="n">
        <v>95130</v>
      </c>
    </row>
    <row r="5331" customFormat="false" ht="15" hidden="false" customHeight="false" outlineLevel="0" collapsed="false">
      <c r="A5331" s="0" t="s">
        <v>2041</v>
      </c>
      <c r="B5331" s="0" t="s">
        <v>2042</v>
      </c>
      <c r="C5331" s="0" t="s">
        <v>2349</v>
      </c>
      <c r="D5331" s="0" t="s">
        <v>2105</v>
      </c>
      <c r="E5331" s="0" t="s">
        <v>2045</v>
      </c>
      <c r="F5331" s="0" t="s">
        <v>2099</v>
      </c>
      <c r="G5331" s="0" t="s">
        <v>2248</v>
      </c>
      <c r="H5331" s="0" t="s">
        <v>2245</v>
      </c>
      <c r="I5331" s="0" t="s">
        <v>2246</v>
      </c>
      <c r="J5331" s="0" t="s">
        <v>2358</v>
      </c>
      <c r="K5331" s="272" t="n">
        <v>60776.03</v>
      </c>
    </row>
    <row r="5332" customFormat="false" ht="15" hidden="false" customHeight="false" outlineLevel="0" collapsed="false">
      <c r="A5332" s="0" t="s">
        <v>2041</v>
      </c>
      <c r="B5332" s="0" t="s">
        <v>2042</v>
      </c>
      <c r="C5332" s="0" t="s">
        <v>2352</v>
      </c>
      <c r="D5332" s="0" t="s">
        <v>2105</v>
      </c>
      <c r="E5332" s="0" t="s">
        <v>2045</v>
      </c>
      <c r="F5332" s="0" t="s">
        <v>2099</v>
      </c>
      <c r="G5332" s="0" t="s">
        <v>2249</v>
      </c>
      <c r="H5332" s="0" t="s">
        <v>2245</v>
      </c>
      <c r="I5332" s="0" t="s">
        <v>2246</v>
      </c>
      <c r="J5332" s="0" t="s">
        <v>2358</v>
      </c>
      <c r="K5332" s="272" t="n">
        <v>1806047.62</v>
      </c>
    </row>
    <row r="5333" customFormat="false" ht="15" hidden="false" customHeight="false" outlineLevel="0" collapsed="false">
      <c r="A5333" s="0" t="s">
        <v>2041</v>
      </c>
      <c r="B5333" s="0" t="s">
        <v>2042</v>
      </c>
      <c r="C5333" s="0" t="s">
        <v>2359</v>
      </c>
      <c r="D5333" s="0" t="s">
        <v>2105</v>
      </c>
      <c r="E5333" s="0" t="s">
        <v>2045</v>
      </c>
      <c r="F5333" s="0" t="s">
        <v>2099</v>
      </c>
      <c r="G5333" s="0" t="s">
        <v>2249</v>
      </c>
      <c r="H5333" s="0" t="s">
        <v>2245</v>
      </c>
      <c r="I5333" s="0" t="s">
        <v>2246</v>
      </c>
      <c r="J5333" s="0" t="s">
        <v>2358</v>
      </c>
      <c r="K5333" s="272" t="n">
        <v>156492.92</v>
      </c>
    </row>
    <row r="5334" customFormat="false" ht="15" hidden="false" customHeight="false" outlineLevel="0" collapsed="false">
      <c r="A5334" s="0" t="s">
        <v>2041</v>
      </c>
      <c r="B5334" s="0" t="s">
        <v>2042</v>
      </c>
      <c r="C5334" s="0" t="s">
        <v>2156</v>
      </c>
      <c r="D5334" s="0" t="s">
        <v>2105</v>
      </c>
      <c r="E5334" s="0" t="s">
        <v>2045</v>
      </c>
      <c r="F5334" s="0" t="s">
        <v>2099</v>
      </c>
      <c r="G5334" s="0" t="s">
        <v>2249</v>
      </c>
      <c r="H5334" s="0" t="s">
        <v>2245</v>
      </c>
      <c r="I5334" s="0" t="s">
        <v>2246</v>
      </c>
      <c r="J5334" s="0" t="s">
        <v>2358</v>
      </c>
      <c r="K5334" s="272" t="n">
        <v>2587500</v>
      </c>
    </row>
    <row r="5335" customFormat="false" ht="15" hidden="false" customHeight="false" outlineLevel="0" collapsed="false">
      <c r="A5335" s="0" t="s">
        <v>2041</v>
      </c>
      <c r="B5335" s="0" t="s">
        <v>2042</v>
      </c>
      <c r="C5335" s="0" t="s">
        <v>2360</v>
      </c>
      <c r="D5335" s="0" t="s">
        <v>2105</v>
      </c>
      <c r="E5335" s="0" t="s">
        <v>2045</v>
      </c>
      <c r="F5335" s="0" t="s">
        <v>2099</v>
      </c>
      <c r="G5335" s="0" t="s">
        <v>2249</v>
      </c>
      <c r="H5335" s="0" t="s">
        <v>2245</v>
      </c>
      <c r="I5335" s="0" t="s">
        <v>2246</v>
      </c>
      <c r="J5335" s="0" t="s">
        <v>2358</v>
      </c>
      <c r="K5335" s="272" t="n">
        <v>3994</v>
      </c>
    </row>
    <row r="5336" customFormat="false" ht="15" hidden="false" customHeight="false" outlineLevel="0" collapsed="false">
      <c r="A5336" s="0" t="s">
        <v>2041</v>
      </c>
      <c r="B5336" s="0" t="s">
        <v>2042</v>
      </c>
      <c r="C5336" s="0" t="s">
        <v>2161</v>
      </c>
      <c r="D5336" s="0" t="s">
        <v>2105</v>
      </c>
      <c r="E5336" s="0" t="s">
        <v>2045</v>
      </c>
      <c r="F5336" s="0" t="s">
        <v>2099</v>
      </c>
      <c r="G5336" s="0" t="s">
        <v>2249</v>
      </c>
      <c r="H5336" s="0" t="s">
        <v>2245</v>
      </c>
      <c r="I5336" s="0" t="s">
        <v>2246</v>
      </c>
      <c r="J5336" s="0" t="s">
        <v>2358</v>
      </c>
      <c r="K5336" s="272" t="n">
        <v>781425</v>
      </c>
    </row>
    <row r="5337" customFormat="false" ht="15" hidden="false" customHeight="false" outlineLevel="0" collapsed="false">
      <c r="A5337" s="0" t="s">
        <v>2041</v>
      </c>
      <c r="B5337" s="0" t="s">
        <v>2042</v>
      </c>
      <c r="C5337" s="0" t="s">
        <v>2349</v>
      </c>
      <c r="D5337" s="0" t="s">
        <v>2105</v>
      </c>
      <c r="E5337" s="0" t="s">
        <v>2045</v>
      </c>
      <c r="F5337" s="0" t="s">
        <v>2099</v>
      </c>
      <c r="G5337" s="0" t="s">
        <v>2249</v>
      </c>
      <c r="H5337" s="0" t="s">
        <v>2245</v>
      </c>
      <c r="I5337" s="0" t="s">
        <v>2246</v>
      </c>
      <c r="J5337" s="0" t="s">
        <v>2358</v>
      </c>
      <c r="K5337" s="272" t="n">
        <v>596780.5</v>
      </c>
    </row>
    <row r="5338" customFormat="false" ht="15" hidden="false" customHeight="false" outlineLevel="0" collapsed="false">
      <c r="A5338" s="0" t="s">
        <v>2041</v>
      </c>
      <c r="B5338" s="0" t="s">
        <v>2042</v>
      </c>
      <c r="C5338" s="0" t="s">
        <v>2352</v>
      </c>
      <c r="D5338" s="0" t="s">
        <v>2105</v>
      </c>
      <c r="E5338" s="0" t="s">
        <v>2045</v>
      </c>
      <c r="F5338" s="0" t="s">
        <v>2250</v>
      </c>
      <c r="G5338" s="0" t="s">
        <v>2251</v>
      </c>
      <c r="H5338" s="0" t="s">
        <v>2252</v>
      </c>
      <c r="I5338" s="0" t="s">
        <v>2322</v>
      </c>
      <c r="J5338" s="0" t="s">
        <v>2358</v>
      </c>
      <c r="K5338" s="272" t="n">
        <v>5939458.405</v>
      </c>
    </row>
    <row r="5339" customFormat="false" ht="15" hidden="false" customHeight="false" outlineLevel="0" collapsed="false">
      <c r="A5339" s="0" t="s">
        <v>2041</v>
      </c>
      <c r="B5339" s="0" t="s">
        <v>2042</v>
      </c>
      <c r="C5339" s="0" t="s">
        <v>2359</v>
      </c>
      <c r="D5339" s="0" t="s">
        <v>2105</v>
      </c>
      <c r="E5339" s="0" t="s">
        <v>2045</v>
      </c>
      <c r="F5339" s="0" t="s">
        <v>2250</v>
      </c>
      <c r="G5339" s="0" t="s">
        <v>2251</v>
      </c>
      <c r="H5339" s="0" t="s">
        <v>2252</v>
      </c>
      <c r="I5339" s="0" t="s">
        <v>2322</v>
      </c>
      <c r="J5339" s="0" t="s">
        <v>2358</v>
      </c>
      <c r="K5339" s="272" t="n">
        <v>939567.13</v>
      </c>
    </row>
    <row r="5340" customFormat="false" ht="15" hidden="false" customHeight="false" outlineLevel="0" collapsed="false">
      <c r="A5340" s="0" t="s">
        <v>2041</v>
      </c>
      <c r="B5340" s="0" t="s">
        <v>2042</v>
      </c>
      <c r="C5340" s="0" t="s">
        <v>2362</v>
      </c>
      <c r="D5340" s="0" t="s">
        <v>2105</v>
      </c>
      <c r="E5340" s="0" t="s">
        <v>2045</v>
      </c>
      <c r="F5340" s="0" t="s">
        <v>2250</v>
      </c>
      <c r="G5340" s="0" t="s">
        <v>2251</v>
      </c>
      <c r="H5340" s="0" t="s">
        <v>2252</v>
      </c>
      <c r="I5340" s="0" t="s">
        <v>2322</v>
      </c>
      <c r="J5340" s="0" t="s">
        <v>2358</v>
      </c>
      <c r="K5340" s="272" t="n">
        <v>572689.484</v>
      </c>
    </row>
    <row r="5341" customFormat="false" ht="15" hidden="false" customHeight="false" outlineLevel="0" collapsed="false">
      <c r="A5341" s="0" t="s">
        <v>2041</v>
      </c>
      <c r="B5341" s="0" t="s">
        <v>2042</v>
      </c>
      <c r="C5341" s="0" t="s">
        <v>2156</v>
      </c>
      <c r="D5341" s="0" t="s">
        <v>2105</v>
      </c>
      <c r="E5341" s="0" t="s">
        <v>2045</v>
      </c>
      <c r="F5341" s="0" t="s">
        <v>2250</v>
      </c>
      <c r="G5341" s="0" t="s">
        <v>2251</v>
      </c>
      <c r="H5341" s="0" t="s">
        <v>2252</v>
      </c>
      <c r="I5341" s="0" t="s">
        <v>2322</v>
      </c>
      <c r="J5341" s="0" t="s">
        <v>2358</v>
      </c>
      <c r="K5341" s="272" t="n">
        <v>16321000</v>
      </c>
    </row>
    <row r="5342" customFormat="false" ht="15" hidden="false" customHeight="false" outlineLevel="0" collapsed="false">
      <c r="A5342" s="0" t="s">
        <v>2041</v>
      </c>
      <c r="B5342" s="0" t="s">
        <v>2042</v>
      </c>
      <c r="C5342" s="0" t="s">
        <v>2360</v>
      </c>
      <c r="D5342" s="0" t="s">
        <v>2105</v>
      </c>
      <c r="E5342" s="0" t="s">
        <v>2045</v>
      </c>
      <c r="F5342" s="0" t="s">
        <v>2250</v>
      </c>
      <c r="G5342" s="0" t="s">
        <v>2251</v>
      </c>
      <c r="H5342" s="0" t="s">
        <v>2252</v>
      </c>
      <c r="I5342" s="0" t="s">
        <v>2322</v>
      </c>
      <c r="J5342" s="0" t="s">
        <v>2358</v>
      </c>
      <c r="K5342" s="272" t="n">
        <v>716</v>
      </c>
    </row>
    <row r="5343" customFormat="false" ht="15" hidden="false" customHeight="false" outlineLevel="0" collapsed="false">
      <c r="A5343" s="0" t="s">
        <v>2041</v>
      </c>
      <c r="B5343" s="0" t="s">
        <v>2042</v>
      </c>
      <c r="C5343" s="0" t="s">
        <v>2161</v>
      </c>
      <c r="D5343" s="0" t="s">
        <v>2105</v>
      </c>
      <c r="E5343" s="0" t="s">
        <v>2045</v>
      </c>
      <c r="F5343" s="0" t="s">
        <v>2250</v>
      </c>
      <c r="G5343" s="0" t="s">
        <v>2251</v>
      </c>
      <c r="H5343" s="0" t="s">
        <v>2252</v>
      </c>
      <c r="I5343" s="0" t="s">
        <v>2322</v>
      </c>
      <c r="J5343" s="0" t="s">
        <v>2358</v>
      </c>
      <c r="K5343" s="272" t="n">
        <v>4193638.68</v>
      </c>
    </row>
    <row r="5344" customFormat="false" ht="15" hidden="false" customHeight="false" outlineLevel="0" collapsed="false">
      <c r="A5344" s="0" t="s">
        <v>2041</v>
      </c>
      <c r="B5344" s="0" t="s">
        <v>2042</v>
      </c>
      <c r="C5344" s="0" t="s">
        <v>2349</v>
      </c>
      <c r="D5344" s="0" t="s">
        <v>2105</v>
      </c>
      <c r="E5344" s="0" t="s">
        <v>2045</v>
      </c>
      <c r="F5344" s="0" t="s">
        <v>2250</v>
      </c>
      <c r="G5344" s="0" t="s">
        <v>2251</v>
      </c>
      <c r="H5344" s="0" t="s">
        <v>2252</v>
      </c>
      <c r="I5344" s="0" t="s">
        <v>2322</v>
      </c>
      <c r="J5344" s="0" t="s">
        <v>2358</v>
      </c>
      <c r="K5344" s="272" t="n">
        <v>2202857.187</v>
      </c>
    </row>
    <row r="5345" customFormat="false" ht="15" hidden="false" customHeight="false" outlineLevel="0" collapsed="false">
      <c r="A5345" s="0" t="s">
        <v>2041</v>
      </c>
      <c r="B5345" s="0" t="s">
        <v>2042</v>
      </c>
      <c r="C5345" s="0" t="s">
        <v>2352</v>
      </c>
      <c r="D5345" s="0" t="s">
        <v>2105</v>
      </c>
      <c r="E5345" s="0" t="s">
        <v>2045</v>
      </c>
      <c r="F5345" s="0" t="s">
        <v>2250</v>
      </c>
      <c r="G5345" s="0" t="s">
        <v>2251</v>
      </c>
      <c r="H5345" s="0" t="s">
        <v>2253</v>
      </c>
      <c r="I5345" s="0" t="s">
        <v>2254</v>
      </c>
      <c r="J5345" s="0" t="s">
        <v>2358</v>
      </c>
      <c r="K5345" s="272" t="n">
        <v>853333.33</v>
      </c>
    </row>
    <row r="5346" customFormat="false" ht="15" hidden="false" customHeight="false" outlineLevel="0" collapsed="false">
      <c r="A5346" s="0" t="s">
        <v>2041</v>
      </c>
      <c r="B5346" s="0" t="s">
        <v>2042</v>
      </c>
      <c r="C5346" s="0" t="s">
        <v>2359</v>
      </c>
      <c r="D5346" s="0" t="s">
        <v>2105</v>
      </c>
      <c r="E5346" s="0" t="s">
        <v>2045</v>
      </c>
      <c r="F5346" s="0" t="s">
        <v>2250</v>
      </c>
      <c r="G5346" s="0" t="s">
        <v>2251</v>
      </c>
      <c r="H5346" s="0" t="s">
        <v>2253</v>
      </c>
      <c r="I5346" s="0" t="s">
        <v>2254</v>
      </c>
      <c r="J5346" s="0" t="s">
        <v>2358</v>
      </c>
      <c r="K5346" s="272" t="n">
        <v>98961.38</v>
      </c>
    </row>
    <row r="5347" customFormat="false" ht="15" hidden="false" customHeight="false" outlineLevel="0" collapsed="false">
      <c r="A5347" s="0" t="s">
        <v>2041</v>
      </c>
      <c r="B5347" s="0" t="s">
        <v>2042</v>
      </c>
      <c r="C5347" s="0" t="s">
        <v>2156</v>
      </c>
      <c r="D5347" s="0" t="s">
        <v>2105</v>
      </c>
      <c r="E5347" s="0" t="s">
        <v>2045</v>
      </c>
      <c r="F5347" s="0" t="s">
        <v>2250</v>
      </c>
      <c r="G5347" s="0" t="s">
        <v>2251</v>
      </c>
      <c r="H5347" s="0" t="s">
        <v>2253</v>
      </c>
      <c r="I5347" s="0" t="s">
        <v>2254</v>
      </c>
      <c r="J5347" s="0" t="s">
        <v>2358</v>
      </c>
      <c r="K5347" s="272" t="n">
        <v>1405000</v>
      </c>
    </row>
    <row r="5348" customFormat="false" ht="15" hidden="false" customHeight="false" outlineLevel="0" collapsed="false">
      <c r="A5348" s="0" t="s">
        <v>2041</v>
      </c>
      <c r="B5348" s="0" t="s">
        <v>2042</v>
      </c>
      <c r="C5348" s="0" t="s">
        <v>2161</v>
      </c>
      <c r="D5348" s="0" t="s">
        <v>2105</v>
      </c>
      <c r="E5348" s="0" t="s">
        <v>2045</v>
      </c>
      <c r="F5348" s="0" t="s">
        <v>2250</v>
      </c>
      <c r="G5348" s="0" t="s">
        <v>2251</v>
      </c>
      <c r="H5348" s="0" t="s">
        <v>2253</v>
      </c>
      <c r="I5348" s="0" t="s">
        <v>2254</v>
      </c>
      <c r="J5348" s="0" t="s">
        <v>2358</v>
      </c>
      <c r="K5348" s="272" t="n">
        <v>424310</v>
      </c>
    </row>
    <row r="5349" customFormat="false" ht="15" hidden="false" customHeight="false" outlineLevel="0" collapsed="false">
      <c r="A5349" s="0" t="s">
        <v>2041</v>
      </c>
      <c r="B5349" s="0" t="s">
        <v>2042</v>
      </c>
      <c r="C5349" s="0" t="s">
        <v>2349</v>
      </c>
      <c r="D5349" s="0" t="s">
        <v>2105</v>
      </c>
      <c r="E5349" s="0" t="s">
        <v>2045</v>
      </c>
      <c r="F5349" s="0" t="s">
        <v>2250</v>
      </c>
      <c r="G5349" s="0" t="s">
        <v>2251</v>
      </c>
      <c r="H5349" s="0" t="s">
        <v>2253</v>
      </c>
      <c r="I5349" s="0" t="s">
        <v>2254</v>
      </c>
      <c r="J5349" s="0" t="s">
        <v>2358</v>
      </c>
      <c r="K5349" s="272" t="n">
        <v>287593.01</v>
      </c>
    </row>
    <row r="5350" customFormat="false" ht="15" hidden="false" customHeight="false" outlineLevel="0" collapsed="false">
      <c r="A5350" s="0" t="s">
        <v>2041</v>
      </c>
      <c r="B5350" s="0" t="s">
        <v>2042</v>
      </c>
      <c r="C5350" s="0" t="s">
        <v>2359</v>
      </c>
      <c r="D5350" s="0" t="s">
        <v>2105</v>
      </c>
      <c r="E5350" s="0" t="s">
        <v>2045</v>
      </c>
      <c r="F5350" s="0" t="s">
        <v>2250</v>
      </c>
      <c r="G5350" s="0" t="s">
        <v>2251</v>
      </c>
      <c r="H5350" s="0" t="s">
        <v>2253</v>
      </c>
      <c r="I5350" s="0" t="s">
        <v>2197</v>
      </c>
      <c r="J5350" s="0" t="s">
        <v>2358</v>
      </c>
      <c r="K5350" s="272" t="n">
        <v>158108.26</v>
      </c>
    </row>
    <row r="5351" customFormat="false" ht="15" hidden="false" customHeight="false" outlineLevel="0" collapsed="false">
      <c r="A5351" s="0" t="s">
        <v>2041</v>
      </c>
      <c r="B5351" s="0" t="s">
        <v>2042</v>
      </c>
      <c r="C5351" s="0" t="s">
        <v>2365</v>
      </c>
      <c r="D5351" s="0" t="s">
        <v>2105</v>
      </c>
      <c r="E5351" s="0" t="s">
        <v>2045</v>
      </c>
      <c r="F5351" s="0" t="s">
        <v>2250</v>
      </c>
      <c r="G5351" s="0" t="s">
        <v>2251</v>
      </c>
      <c r="H5351" s="0" t="s">
        <v>2253</v>
      </c>
      <c r="I5351" s="0" t="s">
        <v>2197</v>
      </c>
      <c r="J5351" s="0" t="s">
        <v>2358</v>
      </c>
      <c r="K5351" s="272" t="n">
        <v>304468.386012483</v>
      </c>
    </row>
    <row r="5352" customFormat="false" ht="15" hidden="false" customHeight="false" outlineLevel="0" collapsed="false">
      <c r="A5352" s="0" t="s">
        <v>2041</v>
      </c>
      <c r="B5352" s="0" t="s">
        <v>2042</v>
      </c>
      <c r="C5352" s="0" t="s">
        <v>2349</v>
      </c>
      <c r="D5352" s="0" t="s">
        <v>2105</v>
      </c>
      <c r="E5352" s="0" t="s">
        <v>2045</v>
      </c>
      <c r="F5352" s="0" t="s">
        <v>2250</v>
      </c>
      <c r="G5352" s="0" t="s">
        <v>2251</v>
      </c>
      <c r="H5352" s="0" t="s">
        <v>2253</v>
      </c>
      <c r="I5352" s="0" t="s">
        <v>2197</v>
      </c>
      <c r="J5352" s="0" t="s">
        <v>2358</v>
      </c>
      <c r="K5352" s="272" t="n">
        <v>41610.56</v>
      </c>
    </row>
    <row r="5353" customFormat="false" ht="15" hidden="false" customHeight="false" outlineLevel="0" collapsed="false">
      <c r="A5353" s="0" t="s">
        <v>2041</v>
      </c>
      <c r="B5353" s="0" t="s">
        <v>2042</v>
      </c>
      <c r="C5353" s="0" t="s">
        <v>2366</v>
      </c>
      <c r="D5353" s="0" t="s">
        <v>2105</v>
      </c>
      <c r="E5353" s="0" t="s">
        <v>2045</v>
      </c>
      <c r="F5353" s="0" t="s">
        <v>2250</v>
      </c>
      <c r="G5353" s="0" t="s">
        <v>2251</v>
      </c>
      <c r="H5353" s="0" t="s">
        <v>2253</v>
      </c>
      <c r="I5353" s="0" t="s">
        <v>2197</v>
      </c>
      <c r="J5353" s="0" t="s">
        <v>2358</v>
      </c>
      <c r="K5353" s="272" t="n">
        <v>1061797.14</v>
      </c>
    </row>
    <row r="5354" customFormat="false" ht="15" hidden="false" customHeight="false" outlineLevel="0" collapsed="false">
      <c r="A5354" s="0" t="s">
        <v>2041</v>
      </c>
      <c r="B5354" s="0" t="s">
        <v>2042</v>
      </c>
      <c r="C5354" s="0" t="s">
        <v>2352</v>
      </c>
      <c r="D5354" s="0" t="s">
        <v>2105</v>
      </c>
      <c r="E5354" s="0" t="s">
        <v>2045</v>
      </c>
      <c r="F5354" s="0" t="s">
        <v>2250</v>
      </c>
      <c r="G5354" s="0" t="s">
        <v>2251</v>
      </c>
      <c r="H5354" s="0" t="s">
        <v>2253</v>
      </c>
      <c r="I5354" s="0" t="s">
        <v>2322</v>
      </c>
      <c r="J5354" s="0" t="s">
        <v>2358</v>
      </c>
      <c r="K5354" s="272" t="n">
        <v>12279048.685</v>
      </c>
    </row>
    <row r="5355" customFormat="false" ht="15" hidden="false" customHeight="false" outlineLevel="0" collapsed="false">
      <c r="A5355" s="0" t="s">
        <v>2041</v>
      </c>
      <c r="B5355" s="0" t="s">
        <v>2042</v>
      </c>
      <c r="C5355" s="0" t="s">
        <v>2359</v>
      </c>
      <c r="D5355" s="0" t="s">
        <v>2105</v>
      </c>
      <c r="E5355" s="0" t="s">
        <v>2045</v>
      </c>
      <c r="F5355" s="0" t="s">
        <v>2250</v>
      </c>
      <c r="G5355" s="0" t="s">
        <v>2251</v>
      </c>
      <c r="H5355" s="0" t="s">
        <v>2253</v>
      </c>
      <c r="I5355" s="0" t="s">
        <v>2322</v>
      </c>
      <c r="J5355" s="0" t="s">
        <v>2358</v>
      </c>
      <c r="K5355" s="272" t="n">
        <v>1375761.68</v>
      </c>
    </row>
    <row r="5356" customFormat="false" ht="15" hidden="false" customHeight="false" outlineLevel="0" collapsed="false">
      <c r="A5356" s="0" t="s">
        <v>2041</v>
      </c>
      <c r="B5356" s="0" t="s">
        <v>2042</v>
      </c>
      <c r="C5356" s="0" t="s">
        <v>2362</v>
      </c>
      <c r="D5356" s="0" t="s">
        <v>2105</v>
      </c>
      <c r="E5356" s="0" t="s">
        <v>2045</v>
      </c>
      <c r="F5356" s="0" t="s">
        <v>2250</v>
      </c>
      <c r="G5356" s="0" t="s">
        <v>2251</v>
      </c>
      <c r="H5356" s="0" t="s">
        <v>2253</v>
      </c>
      <c r="I5356" s="0" t="s">
        <v>2322</v>
      </c>
      <c r="J5356" s="0" t="s">
        <v>2358</v>
      </c>
      <c r="K5356" s="272" t="n">
        <v>840799.606</v>
      </c>
    </row>
    <row r="5357" customFormat="false" ht="15" hidden="false" customHeight="false" outlineLevel="0" collapsed="false">
      <c r="A5357" s="0" t="s">
        <v>2041</v>
      </c>
      <c r="B5357" s="0" t="s">
        <v>2042</v>
      </c>
      <c r="C5357" s="0" t="s">
        <v>2156</v>
      </c>
      <c r="D5357" s="0" t="s">
        <v>2105</v>
      </c>
      <c r="E5357" s="0" t="s">
        <v>2045</v>
      </c>
      <c r="F5357" s="0" t="s">
        <v>2250</v>
      </c>
      <c r="G5357" s="0" t="s">
        <v>2251</v>
      </c>
      <c r="H5357" s="0" t="s">
        <v>2253</v>
      </c>
      <c r="I5357" s="0" t="s">
        <v>2322</v>
      </c>
      <c r="J5357" s="0" t="s">
        <v>2358</v>
      </c>
      <c r="K5357" s="272" t="n">
        <v>27870856</v>
      </c>
    </row>
    <row r="5358" customFormat="false" ht="15" hidden="false" customHeight="false" outlineLevel="0" collapsed="false">
      <c r="A5358" s="0" t="s">
        <v>2041</v>
      </c>
      <c r="B5358" s="0" t="s">
        <v>2042</v>
      </c>
      <c r="C5358" s="0" t="s">
        <v>2360</v>
      </c>
      <c r="D5358" s="0" t="s">
        <v>2105</v>
      </c>
      <c r="E5358" s="0" t="s">
        <v>2045</v>
      </c>
      <c r="F5358" s="0" t="s">
        <v>2250</v>
      </c>
      <c r="G5358" s="0" t="s">
        <v>2251</v>
      </c>
      <c r="H5358" s="0" t="s">
        <v>2253</v>
      </c>
      <c r="I5358" s="0" t="s">
        <v>2322</v>
      </c>
      <c r="J5358" s="0" t="s">
        <v>2358</v>
      </c>
      <c r="K5358" s="272" t="n">
        <v>63345</v>
      </c>
    </row>
    <row r="5359" customFormat="false" ht="15" hidden="false" customHeight="false" outlineLevel="0" collapsed="false">
      <c r="A5359" s="0" t="s">
        <v>2041</v>
      </c>
      <c r="B5359" s="0" t="s">
        <v>2042</v>
      </c>
      <c r="C5359" s="0" t="s">
        <v>2161</v>
      </c>
      <c r="D5359" s="0" t="s">
        <v>2105</v>
      </c>
      <c r="E5359" s="0" t="s">
        <v>2045</v>
      </c>
      <c r="F5359" s="0" t="s">
        <v>2250</v>
      </c>
      <c r="G5359" s="0" t="s">
        <v>2251</v>
      </c>
      <c r="H5359" s="0" t="s">
        <v>2253</v>
      </c>
      <c r="I5359" s="0" t="s">
        <v>2322</v>
      </c>
      <c r="J5359" s="0" t="s">
        <v>2358</v>
      </c>
      <c r="K5359" s="272" t="n">
        <v>7378365.03833333</v>
      </c>
    </row>
    <row r="5360" customFormat="false" ht="15" hidden="false" customHeight="false" outlineLevel="0" collapsed="false">
      <c r="A5360" s="0" t="s">
        <v>2041</v>
      </c>
      <c r="B5360" s="0" t="s">
        <v>2042</v>
      </c>
      <c r="C5360" s="0" t="s">
        <v>2349</v>
      </c>
      <c r="D5360" s="0" t="s">
        <v>2105</v>
      </c>
      <c r="E5360" s="0" t="s">
        <v>2045</v>
      </c>
      <c r="F5360" s="0" t="s">
        <v>2250</v>
      </c>
      <c r="G5360" s="0" t="s">
        <v>2251</v>
      </c>
      <c r="H5360" s="0" t="s">
        <v>2253</v>
      </c>
      <c r="I5360" s="0" t="s">
        <v>2322</v>
      </c>
      <c r="J5360" s="0" t="s">
        <v>2358</v>
      </c>
      <c r="K5360" s="272" t="n">
        <v>4346339.86466667</v>
      </c>
    </row>
    <row r="5361" customFormat="false" ht="15" hidden="false" customHeight="false" outlineLevel="0" collapsed="false">
      <c r="A5361" s="0" t="s">
        <v>2041</v>
      </c>
      <c r="B5361" s="0" t="s">
        <v>2042</v>
      </c>
      <c r="C5361" s="0" t="s">
        <v>2156</v>
      </c>
      <c r="D5361" s="0" t="s">
        <v>2105</v>
      </c>
      <c r="E5361" s="0" t="s">
        <v>2045</v>
      </c>
      <c r="F5361" s="0" t="s">
        <v>2250</v>
      </c>
      <c r="G5361" s="0" t="s">
        <v>2251</v>
      </c>
      <c r="H5361" s="0" t="s">
        <v>2255</v>
      </c>
      <c r="I5361" s="0" t="s">
        <v>2101</v>
      </c>
      <c r="J5361" s="0" t="s">
        <v>2358</v>
      </c>
      <c r="K5361" s="272" t="n">
        <v>1063523</v>
      </c>
    </row>
    <row r="5362" customFormat="false" ht="15" hidden="false" customHeight="false" outlineLevel="0" collapsed="false">
      <c r="A5362" s="0" t="s">
        <v>2041</v>
      </c>
      <c r="B5362" s="0" t="s">
        <v>2042</v>
      </c>
      <c r="C5362" s="0" t="s">
        <v>2161</v>
      </c>
      <c r="D5362" s="0" t="s">
        <v>2105</v>
      </c>
      <c r="E5362" s="0" t="s">
        <v>2045</v>
      </c>
      <c r="F5362" s="0" t="s">
        <v>2250</v>
      </c>
      <c r="G5362" s="0" t="s">
        <v>2251</v>
      </c>
      <c r="H5362" s="0" t="s">
        <v>2255</v>
      </c>
      <c r="I5362" s="0" t="s">
        <v>2101</v>
      </c>
      <c r="J5362" s="0" t="s">
        <v>2358</v>
      </c>
      <c r="K5362" s="272" t="n">
        <v>321183.95</v>
      </c>
    </row>
    <row r="5363" customFormat="false" ht="15" hidden="false" customHeight="false" outlineLevel="0" collapsed="false">
      <c r="A5363" s="0" t="s">
        <v>2041</v>
      </c>
      <c r="B5363" s="0" t="s">
        <v>2042</v>
      </c>
      <c r="C5363" s="0" t="s">
        <v>2352</v>
      </c>
      <c r="D5363" s="0" t="s">
        <v>2105</v>
      </c>
      <c r="E5363" s="0" t="s">
        <v>2045</v>
      </c>
      <c r="F5363" s="0" t="s">
        <v>2250</v>
      </c>
      <c r="G5363" s="0" t="s">
        <v>2251</v>
      </c>
      <c r="H5363" s="0" t="s">
        <v>2255</v>
      </c>
      <c r="I5363" s="0" t="s">
        <v>2322</v>
      </c>
      <c r="J5363" s="0" t="s">
        <v>2358</v>
      </c>
      <c r="K5363" s="272" t="n">
        <v>2914947.86</v>
      </c>
    </row>
    <row r="5364" customFormat="false" ht="15" hidden="false" customHeight="false" outlineLevel="0" collapsed="false">
      <c r="A5364" s="0" t="s">
        <v>2041</v>
      </c>
      <c r="B5364" s="0" t="s">
        <v>2042</v>
      </c>
      <c r="C5364" s="0" t="s">
        <v>2359</v>
      </c>
      <c r="D5364" s="0" t="s">
        <v>2105</v>
      </c>
      <c r="E5364" s="0" t="s">
        <v>2045</v>
      </c>
      <c r="F5364" s="0" t="s">
        <v>2250</v>
      </c>
      <c r="G5364" s="0" t="s">
        <v>2251</v>
      </c>
      <c r="H5364" s="0" t="s">
        <v>2255</v>
      </c>
      <c r="I5364" s="0" t="s">
        <v>2322</v>
      </c>
      <c r="J5364" s="0" t="s">
        <v>2358</v>
      </c>
      <c r="K5364" s="272" t="n">
        <v>853087.67</v>
      </c>
    </row>
    <row r="5365" customFormat="false" ht="15" hidden="false" customHeight="false" outlineLevel="0" collapsed="false">
      <c r="A5365" s="0" t="s">
        <v>2041</v>
      </c>
      <c r="B5365" s="0" t="s">
        <v>2042</v>
      </c>
      <c r="C5365" s="0" t="s">
        <v>2362</v>
      </c>
      <c r="D5365" s="0" t="s">
        <v>2105</v>
      </c>
      <c r="E5365" s="0" t="s">
        <v>2045</v>
      </c>
      <c r="F5365" s="0" t="s">
        <v>2250</v>
      </c>
      <c r="G5365" s="0" t="s">
        <v>2251</v>
      </c>
      <c r="H5365" s="0" t="s">
        <v>2255</v>
      </c>
      <c r="I5365" s="0" t="s">
        <v>2322</v>
      </c>
      <c r="J5365" s="0" t="s">
        <v>2358</v>
      </c>
      <c r="K5365" s="272" t="n">
        <v>117002.76</v>
      </c>
    </row>
    <row r="5366" customFormat="false" ht="15" hidden="false" customHeight="false" outlineLevel="0" collapsed="false">
      <c r="A5366" s="0" t="s">
        <v>2041</v>
      </c>
      <c r="B5366" s="0" t="s">
        <v>2042</v>
      </c>
      <c r="C5366" s="0" t="s">
        <v>2156</v>
      </c>
      <c r="D5366" s="0" t="s">
        <v>2105</v>
      </c>
      <c r="E5366" s="0" t="s">
        <v>2045</v>
      </c>
      <c r="F5366" s="0" t="s">
        <v>2250</v>
      </c>
      <c r="G5366" s="0" t="s">
        <v>2251</v>
      </c>
      <c r="H5366" s="0" t="s">
        <v>2255</v>
      </c>
      <c r="I5366" s="0" t="s">
        <v>2322</v>
      </c>
      <c r="J5366" s="0" t="s">
        <v>2358</v>
      </c>
      <c r="K5366" s="272" t="n">
        <v>10005000</v>
      </c>
    </row>
    <row r="5367" customFormat="false" ht="15" hidden="false" customHeight="false" outlineLevel="0" collapsed="false">
      <c r="A5367" s="0" t="s">
        <v>2041</v>
      </c>
      <c r="B5367" s="0" t="s">
        <v>2042</v>
      </c>
      <c r="C5367" s="0" t="s">
        <v>2161</v>
      </c>
      <c r="D5367" s="0" t="s">
        <v>2105</v>
      </c>
      <c r="E5367" s="0" t="s">
        <v>2045</v>
      </c>
      <c r="F5367" s="0" t="s">
        <v>2250</v>
      </c>
      <c r="G5367" s="0" t="s">
        <v>2251</v>
      </c>
      <c r="H5367" s="0" t="s">
        <v>2255</v>
      </c>
      <c r="I5367" s="0" t="s">
        <v>2322</v>
      </c>
      <c r="J5367" s="0" t="s">
        <v>2358</v>
      </c>
      <c r="K5367" s="272" t="n">
        <v>2438407.32</v>
      </c>
    </row>
    <row r="5368" customFormat="false" ht="15" hidden="false" customHeight="false" outlineLevel="0" collapsed="false">
      <c r="A5368" s="0" t="s">
        <v>2041</v>
      </c>
      <c r="B5368" s="0" t="s">
        <v>2042</v>
      </c>
      <c r="C5368" s="0" t="s">
        <v>2349</v>
      </c>
      <c r="D5368" s="0" t="s">
        <v>2105</v>
      </c>
      <c r="E5368" s="0" t="s">
        <v>2045</v>
      </c>
      <c r="F5368" s="0" t="s">
        <v>2250</v>
      </c>
      <c r="G5368" s="0" t="s">
        <v>2251</v>
      </c>
      <c r="H5368" s="0" t="s">
        <v>2255</v>
      </c>
      <c r="I5368" s="0" t="s">
        <v>2322</v>
      </c>
      <c r="J5368" s="0" t="s">
        <v>2358</v>
      </c>
      <c r="K5368" s="272" t="n">
        <v>1078051.38</v>
      </c>
    </row>
    <row r="5369" customFormat="false" ht="15" hidden="false" customHeight="false" outlineLevel="0" collapsed="false">
      <c r="A5369" s="0" t="s">
        <v>2041</v>
      </c>
      <c r="B5369" s="0" t="s">
        <v>2042</v>
      </c>
      <c r="C5369" s="0" t="s">
        <v>2352</v>
      </c>
      <c r="D5369" s="0" t="s">
        <v>2105</v>
      </c>
      <c r="E5369" s="0" t="s">
        <v>2045</v>
      </c>
      <c r="F5369" s="0" t="s">
        <v>2256</v>
      </c>
      <c r="G5369" s="0" t="s">
        <v>2257</v>
      </c>
      <c r="H5369" s="0" t="s">
        <v>2179</v>
      </c>
      <c r="I5369" s="0" t="s">
        <v>2322</v>
      </c>
      <c r="J5369" s="0" t="s">
        <v>2358</v>
      </c>
      <c r="K5369" s="272" t="n">
        <v>2161600</v>
      </c>
    </row>
    <row r="5370" customFormat="false" ht="15" hidden="false" customHeight="false" outlineLevel="0" collapsed="false">
      <c r="A5370" s="0" t="s">
        <v>2041</v>
      </c>
      <c r="B5370" s="0" t="s">
        <v>2042</v>
      </c>
      <c r="C5370" s="0" t="s">
        <v>2359</v>
      </c>
      <c r="D5370" s="0" t="s">
        <v>2105</v>
      </c>
      <c r="E5370" s="0" t="s">
        <v>2045</v>
      </c>
      <c r="F5370" s="0" t="s">
        <v>2256</v>
      </c>
      <c r="G5370" s="0" t="s">
        <v>2257</v>
      </c>
      <c r="H5370" s="0" t="s">
        <v>2179</v>
      </c>
      <c r="I5370" s="0" t="s">
        <v>2322</v>
      </c>
      <c r="J5370" s="0" t="s">
        <v>2358</v>
      </c>
      <c r="K5370" s="272" t="n">
        <v>676258.56</v>
      </c>
    </row>
    <row r="5371" customFormat="false" ht="15" hidden="false" customHeight="false" outlineLevel="0" collapsed="false">
      <c r="A5371" s="0" t="s">
        <v>2041</v>
      </c>
      <c r="B5371" s="0" t="s">
        <v>2042</v>
      </c>
      <c r="C5371" s="0" t="s">
        <v>2156</v>
      </c>
      <c r="D5371" s="0" t="s">
        <v>2105</v>
      </c>
      <c r="E5371" s="0" t="s">
        <v>2045</v>
      </c>
      <c r="F5371" s="0" t="s">
        <v>2256</v>
      </c>
      <c r="G5371" s="0" t="s">
        <v>2257</v>
      </c>
      <c r="H5371" s="0" t="s">
        <v>2179</v>
      </c>
      <c r="I5371" s="0" t="s">
        <v>2322</v>
      </c>
      <c r="J5371" s="0" t="s">
        <v>2358</v>
      </c>
      <c r="K5371" s="272" t="n">
        <v>30000000</v>
      </c>
    </row>
    <row r="5372" customFormat="false" ht="15" hidden="false" customHeight="false" outlineLevel="0" collapsed="false">
      <c r="A5372" s="0" t="s">
        <v>2041</v>
      </c>
      <c r="B5372" s="0" t="s">
        <v>2042</v>
      </c>
      <c r="C5372" s="0" t="s">
        <v>2161</v>
      </c>
      <c r="D5372" s="0" t="s">
        <v>2105</v>
      </c>
      <c r="E5372" s="0" t="s">
        <v>2045</v>
      </c>
      <c r="F5372" s="0" t="s">
        <v>2256</v>
      </c>
      <c r="G5372" s="0" t="s">
        <v>2257</v>
      </c>
      <c r="H5372" s="0" t="s">
        <v>2179</v>
      </c>
      <c r="I5372" s="0" t="s">
        <v>2322</v>
      </c>
      <c r="J5372" s="0" t="s">
        <v>2358</v>
      </c>
      <c r="K5372" s="272" t="n">
        <v>4590000</v>
      </c>
    </row>
    <row r="5373" customFormat="false" ht="15" hidden="false" customHeight="false" outlineLevel="0" collapsed="false">
      <c r="A5373" s="0" t="s">
        <v>2041</v>
      </c>
      <c r="B5373" s="0" t="s">
        <v>2042</v>
      </c>
      <c r="C5373" s="0" t="s">
        <v>2349</v>
      </c>
      <c r="D5373" s="0" t="s">
        <v>2105</v>
      </c>
      <c r="E5373" s="0" t="s">
        <v>2045</v>
      </c>
      <c r="F5373" s="0" t="s">
        <v>2256</v>
      </c>
      <c r="G5373" s="0" t="s">
        <v>2257</v>
      </c>
      <c r="H5373" s="0" t="s">
        <v>2179</v>
      </c>
      <c r="I5373" s="0" t="s">
        <v>2322</v>
      </c>
      <c r="J5373" s="0" t="s">
        <v>2358</v>
      </c>
      <c r="K5373" s="272" t="n">
        <v>458270.76</v>
      </c>
    </row>
    <row r="5374" customFormat="false" ht="15" hidden="false" customHeight="false" outlineLevel="0" collapsed="false">
      <c r="A5374" s="0" t="s">
        <v>2041</v>
      </c>
      <c r="B5374" s="0" t="s">
        <v>2042</v>
      </c>
      <c r="C5374" s="0" t="s">
        <v>2352</v>
      </c>
      <c r="D5374" s="0" t="s">
        <v>2105</v>
      </c>
      <c r="E5374" s="0" t="s">
        <v>2045</v>
      </c>
      <c r="F5374" s="0" t="s">
        <v>2256</v>
      </c>
      <c r="G5374" s="0" t="s">
        <v>2257</v>
      </c>
      <c r="H5374" s="0" t="s">
        <v>2258</v>
      </c>
      <c r="I5374" s="0" t="s">
        <v>2322</v>
      </c>
      <c r="J5374" s="0" t="s">
        <v>2358</v>
      </c>
      <c r="K5374" s="272" t="n">
        <v>1610333.33</v>
      </c>
    </row>
    <row r="5375" customFormat="false" ht="15" hidden="false" customHeight="false" outlineLevel="0" collapsed="false">
      <c r="A5375" s="0" t="s">
        <v>2041</v>
      </c>
      <c r="B5375" s="0" t="s">
        <v>2042</v>
      </c>
      <c r="C5375" s="0" t="s">
        <v>2156</v>
      </c>
      <c r="D5375" s="0" t="s">
        <v>2105</v>
      </c>
      <c r="E5375" s="0" t="s">
        <v>2045</v>
      </c>
      <c r="F5375" s="0" t="s">
        <v>2256</v>
      </c>
      <c r="G5375" s="0" t="s">
        <v>2257</v>
      </c>
      <c r="H5375" s="0" t="s">
        <v>2258</v>
      </c>
      <c r="I5375" s="0" t="s">
        <v>2322</v>
      </c>
      <c r="J5375" s="0" t="s">
        <v>2358</v>
      </c>
      <c r="K5375" s="272" t="n">
        <v>82090000</v>
      </c>
    </row>
    <row r="5376" customFormat="false" ht="15" hidden="false" customHeight="false" outlineLevel="0" collapsed="false">
      <c r="A5376" s="0" t="s">
        <v>2041</v>
      </c>
      <c r="B5376" s="0" t="s">
        <v>2042</v>
      </c>
      <c r="C5376" s="0" t="s">
        <v>2161</v>
      </c>
      <c r="D5376" s="0" t="s">
        <v>2105</v>
      </c>
      <c r="E5376" s="0" t="s">
        <v>2045</v>
      </c>
      <c r="F5376" s="0" t="s">
        <v>2256</v>
      </c>
      <c r="G5376" s="0" t="s">
        <v>2257</v>
      </c>
      <c r="H5376" s="0" t="s">
        <v>2258</v>
      </c>
      <c r="I5376" s="0" t="s">
        <v>2322</v>
      </c>
      <c r="J5376" s="0" t="s">
        <v>2358</v>
      </c>
      <c r="K5376" s="272" t="n">
        <v>12871180</v>
      </c>
    </row>
    <row r="5377" customFormat="false" ht="15" hidden="false" customHeight="false" outlineLevel="0" collapsed="false">
      <c r="A5377" s="0" t="s">
        <v>2041</v>
      </c>
      <c r="B5377" s="0" t="s">
        <v>2042</v>
      </c>
      <c r="C5377" s="0" t="s">
        <v>2349</v>
      </c>
      <c r="D5377" s="0" t="s">
        <v>2105</v>
      </c>
      <c r="E5377" s="0" t="s">
        <v>2045</v>
      </c>
      <c r="F5377" s="0" t="s">
        <v>2256</v>
      </c>
      <c r="G5377" s="0" t="s">
        <v>2257</v>
      </c>
      <c r="H5377" s="0" t="s">
        <v>2258</v>
      </c>
      <c r="I5377" s="0" t="s">
        <v>2322</v>
      </c>
      <c r="J5377" s="0" t="s">
        <v>2358</v>
      </c>
      <c r="K5377" s="272" t="n">
        <v>393791.67</v>
      </c>
    </row>
    <row r="5378" customFormat="false" ht="15" hidden="false" customHeight="false" outlineLevel="0" collapsed="false">
      <c r="A5378" s="0" t="s">
        <v>2041</v>
      </c>
      <c r="B5378" s="0" t="s">
        <v>2042</v>
      </c>
      <c r="C5378" s="0" t="s">
        <v>2352</v>
      </c>
      <c r="D5378" s="0" t="s">
        <v>2105</v>
      </c>
      <c r="E5378" s="0" t="s">
        <v>2045</v>
      </c>
      <c r="F5378" s="0" t="s">
        <v>2256</v>
      </c>
      <c r="G5378" s="0" t="s">
        <v>2259</v>
      </c>
      <c r="H5378" s="0" t="s">
        <v>2258</v>
      </c>
      <c r="I5378" s="0" t="s">
        <v>2124</v>
      </c>
      <c r="J5378" s="0" t="s">
        <v>2358</v>
      </c>
      <c r="K5378" s="272" t="n">
        <v>6111982.2</v>
      </c>
    </row>
    <row r="5379" customFormat="false" ht="15" hidden="false" customHeight="false" outlineLevel="0" collapsed="false">
      <c r="A5379" s="0" t="s">
        <v>2041</v>
      </c>
      <c r="B5379" s="0" t="s">
        <v>2042</v>
      </c>
      <c r="C5379" s="0" t="s">
        <v>2359</v>
      </c>
      <c r="D5379" s="0" t="s">
        <v>2105</v>
      </c>
      <c r="E5379" s="0" t="s">
        <v>2045</v>
      </c>
      <c r="F5379" s="0" t="s">
        <v>2256</v>
      </c>
      <c r="G5379" s="0" t="s">
        <v>2259</v>
      </c>
      <c r="H5379" s="0" t="s">
        <v>2258</v>
      </c>
      <c r="I5379" s="0" t="s">
        <v>2124</v>
      </c>
      <c r="J5379" s="0" t="s">
        <v>2358</v>
      </c>
      <c r="K5379" s="272" t="n">
        <v>1621462.28</v>
      </c>
    </row>
    <row r="5380" customFormat="false" ht="15" hidden="false" customHeight="false" outlineLevel="0" collapsed="false">
      <c r="A5380" s="0" t="s">
        <v>2041</v>
      </c>
      <c r="B5380" s="0" t="s">
        <v>2042</v>
      </c>
      <c r="C5380" s="0" t="s">
        <v>2156</v>
      </c>
      <c r="D5380" s="0" t="s">
        <v>2105</v>
      </c>
      <c r="E5380" s="0" t="s">
        <v>2045</v>
      </c>
      <c r="F5380" s="0" t="s">
        <v>2256</v>
      </c>
      <c r="G5380" s="0" t="s">
        <v>2259</v>
      </c>
      <c r="H5380" s="0" t="s">
        <v>2258</v>
      </c>
      <c r="I5380" s="0" t="s">
        <v>2124</v>
      </c>
      <c r="J5380" s="0" t="s">
        <v>2358</v>
      </c>
      <c r="K5380" s="272" t="n">
        <v>48740000</v>
      </c>
    </row>
    <row r="5381" customFormat="false" ht="15" hidden="false" customHeight="false" outlineLevel="0" collapsed="false">
      <c r="A5381" s="0" t="s">
        <v>2041</v>
      </c>
      <c r="B5381" s="0" t="s">
        <v>2042</v>
      </c>
      <c r="C5381" s="0" t="s">
        <v>2161</v>
      </c>
      <c r="D5381" s="0" t="s">
        <v>2105</v>
      </c>
      <c r="E5381" s="0" t="s">
        <v>2045</v>
      </c>
      <c r="F5381" s="0" t="s">
        <v>2256</v>
      </c>
      <c r="G5381" s="0" t="s">
        <v>2259</v>
      </c>
      <c r="H5381" s="0" t="s">
        <v>2258</v>
      </c>
      <c r="I5381" s="0" t="s">
        <v>2124</v>
      </c>
      <c r="J5381" s="0" t="s">
        <v>2358</v>
      </c>
      <c r="K5381" s="272" t="n">
        <v>10072223.93</v>
      </c>
    </row>
    <row r="5382" customFormat="false" ht="15" hidden="false" customHeight="false" outlineLevel="0" collapsed="false">
      <c r="A5382" s="0" t="s">
        <v>2041</v>
      </c>
      <c r="B5382" s="0" t="s">
        <v>2042</v>
      </c>
      <c r="C5382" s="0" t="s">
        <v>2349</v>
      </c>
      <c r="D5382" s="0" t="s">
        <v>2105</v>
      </c>
      <c r="E5382" s="0" t="s">
        <v>2045</v>
      </c>
      <c r="F5382" s="0" t="s">
        <v>2256</v>
      </c>
      <c r="G5382" s="0" t="s">
        <v>2259</v>
      </c>
      <c r="H5382" s="0" t="s">
        <v>2258</v>
      </c>
      <c r="I5382" s="0" t="s">
        <v>2124</v>
      </c>
      <c r="J5382" s="0" t="s">
        <v>2358</v>
      </c>
      <c r="K5382" s="272" t="n">
        <v>2128385.49</v>
      </c>
    </row>
    <row r="5383" customFormat="false" ht="15" hidden="false" customHeight="false" outlineLevel="0" collapsed="false">
      <c r="A5383" s="0" t="s">
        <v>2041</v>
      </c>
      <c r="B5383" s="0" t="s">
        <v>2042</v>
      </c>
      <c r="C5383" s="0" t="s">
        <v>2347</v>
      </c>
      <c r="D5383" s="0" t="s">
        <v>2105</v>
      </c>
      <c r="E5383" s="0" t="s">
        <v>2045</v>
      </c>
      <c r="F5383" s="0" t="s">
        <v>2256</v>
      </c>
      <c r="G5383" s="0" t="s">
        <v>2259</v>
      </c>
      <c r="H5383" s="0" t="s">
        <v>2258</v>
      </c>
      <c r="I5383" s="0" t="s">
        <v>2124</v>
      </c>
      <c r="J5383" s="0" t="s">
        <v>2358</v>
      </c>
      <c r="K5383" s="272" t="n">
        <v>24660.65</v>
      </c>
    </row>
    <row r="5384" customFormat="false" ht="15" hidden="false" customHeight="false" outlineLevel="0" collapsed="false">
      <c r="A5384" s="0" t="s">
        <v>2041</v>
      </c>
      <c r="B5384" s="0" t="s">
        <v>2042</v>
      </c>
      <c r="C5384" s="0" t="s">
        <v>2352</v>
      </c>
      <c r="D5384" s="0" t="s">
        <v>2105</v>
      </c>
      <c r="E5384" s="0" t="s">
        <v>2045</v>
      </c>
      <c r="F5384" s="0" t="s">
        <v>2256</v>
      </c>
      <c r="G5384" s="0" t="s">
        <v>2259</v>
      </c>
      <c r="H5384" s="0" t="s">
        <v>2258</v>
      </c>
      <c r="I5384" s="0" t="s">
        <v>2101</v>
      </c>
      <c r="J5384" s="0" t="s">
        <v>2358</v>
      </c>
      <c r="K5384" s="272" t="n">
        <v>266571.43</v>
      </c>
    </row>
    <row r="5385" customFormat="false" ht="15" hidden="false" customHeight="false" outlineLevel="0" collapsed="false">
      <c r="A5385" s="0" t="s">
        <v>2041</v>
      </c>
      <c r="B5385" s="0" t="s">
        <v>2042</v>
      </c>
      <c r="C5385" s="0" t="s">
        <v>2349</v>
      </c>
      <c r="D5385" s="0" t="s">
        <v>2105</v>
      </c>
      <c r="E5385" s="0" t="s">
        <v>2045</v>
      </c>
      <c r="F5385" s="0" t="s">
        <v>2256</v>
      </c>
      <c r="G5385" s="0" t="s">
        <v>2259</v>
      </c>
      <c r="H5385" s="0" t="s">
        <v>2258</v>
      </c>
      <c r="I5385" s="0" t="s">
        <v>2101</v>
      </c>
      <c r="J5385" s="0" t="s">
        <v>2358</v>
      </c>
      <c r="K5385" s="272" t="n">
        <v>80504.58</v>
      </c>
    </row>
    <row r="5386" customFormat="false" ht="15" hidden="false" customHeight="false" outlineLevel="0" collapsed="false">
      <c r="A5386" s="0" t="s">
        <v>2041</v>
      </c>
      <c r="B5386" s="0" t="s">
        <v>2042</v>
      </c>
      <c r="C5386" s="0" t="s">
        <v>2352</v>
      </c>
      <c r="D5386" s="0" t="s">
        <v>2105</v>
      </c>
      <c r="E5386" s="0" t="s">
        <v>2045</v>
      </c>
      <c r="F5386" s="0" t="s">
        <v>2256</v>
      </c>
      <c r="G5386" s="0" t="s">
        <v>2259</v>
      </c>
      <c r="H5386" s="0" t="s">
        <v>2258</v>
      </c>
      <c r="I5386" s="0" t="s">
        <v>2322</v>
      </c>
      <c r="J5386" s="0" t="s">
        <v>2358</v>
      </c>
      <c r="K5386" s="272" t="n">
        <v>28934714.29</v>
      </c>
    </row>
    <row r="5387" customFormat="false" ht="15" hidden="false" customHeight="false" outlineLevel="0" collapsed="false">
      <c r="A5387" s="0" t="s">
        <v>2041</v>
      </c>
      <c r="B5387" s="0" t="s">
        <v>2042</v>
      </c>
      <c r="C5387" s="0" t="s">
        <v>2359</v>
      </c>
      <c r="D5387" s="0" t="s">
        <v>2105</v>
      </c>
      <c r="E5387" s="0" t="s">
        <v>2045</v>
      </c>
      <c r="F5387" s="0" t="s">
        <v>2256</v>
      </c>
      <c r="G5387" s="0" t="s">
        <v>2259</v>
      </c>
      <c r="H5387" s="0" t="s">
        <v>2258</v>
      </c>
      <c r="I5387" s="0" t="s">
        <v>2322</v>
      </c>
      <c r="J5387" s="0" t="s">
        <v>2358</v>
      </c>
      <c r="K5387" s="272" t="n">
        <v>12336456.3</v>
      </c>
    </row>
    <row r="5388" customFormat="false" ht="15" hidden="false" customHeight="false" outlineLevel="0" collapsed="false">
      <c r="A5388" s="0" t="s">
        <v>2041</v>
      </c>
      <c r="B5388" s="0" t="s">
        <v>2042</v>
      </c>
      <c r="C5388" s="0" t="s">
        <v>2362</v>
      </c>
      <c r="D5388" s="0" t="s">
        <v>2105</v>
      </c>
      <c r="E5388" s="0" t="s">
        <v>2045</v>
      </c>
      <c r="F5388" s="0" t="s">
        <v>2256</v>
      </c>
      <c r="G5388" s="0" t="s">
        <v>2259</v>
      </c>
      <c r="H5388" s="0" t="s">
        <v>2258</v>
      </c>
      <c r="I5388" s="0" t="s">
        <v>2322</v>
      </c>
      <c r="J5388" s="0" t="s">
        <v>2358</v>
      </c>
      <c r="K5388" s="272" t="n">
        <v>88392.86</v>
      </c>
    </row>
    <row r="5389" customFormat="false" ht="15" hidden="false" customHeight="false" outlineLevel="0" collapsed="false">
      <c r="A5389" s="0" t="s">
        <v>2041</v>
      </c>
      <c r="B5389" s="0" t="s">
        <v>2042</v>
      </c>
      <c r="C5389" s="0" t="s">
        <v>2361</v>
      </c>
      <c r="D5389" s="0" t="s">
        <v>2105</v>
      </c>
      <c r="E5389" s="0" t="s">
        <v>2045</v>
      </c>
      <c r="F5389" s="0" t="s">
        <v>2256</v>
      </c>
      <c r="G5389" s="0" t="s">
        <v>2259</v>
      </c>
      <c r="H5389" s="0" t="s">
        <v>2258</v>
      </c>
      <c r="I5389" s="0" t="s">
        <v>2322</v>
      </c>
      <c r="J5389" s="0" t="s">
        <v>2358</v>
      </c>
      <c r="K5389" s="272" t="n">
        <v>1045711.8</v>
      </c>
    </row>
    <row r="5390" customFormat="false" ht="15" hidden="false" customHeight="false" outlineLevel="0" collapsed="false">
      <c r="A5390" s="0" t="s">
        <v>2041</v>
      </c>
      <c r="B5390" s="0" t="s">
        <v>2042</v>
      </c>
      <c r="C5390" s="0" t="s">
        <v>2156</v>
      </c>
      <c r="D5390" s="0" t="s">
        <v>2105</v>
      </c>
      <c r="E5390" s="0" t="s">
        <v>2045</v>
      </c>
      <c r="F5390" s="0" t="s">
        <v>2256</v>
      </c>
      <c r="G5390" s="0" t="s">
        <v>2259</v>
      </c>
      <c r="H5390" s="0" t="s">
        <v>2258</v>
      </c>
      <c r="I5390" s="0" t="s">
        <v>2322</v>
      </c>
      <c r="J5390" s="0" t="s">
        <v>2358</v>
      </c>
      <c r="K5390" s="272" t="n">
        <v>723775000</v>
      </c>
    </row>
    <row r="5391" customFormat="false" ht="15" hidden="false" customHeight="false" outlineLevel="0" collapsed="false">
      <c r="A5391" s="0" t="s">
        <v>2041</v>
      </c>
      <c r="B5391" s="0" t="s">
        <v>2042</v>
      </c>
      <c r="C5391" s="0" t="s">
        <v>2360</v>
      </c>
      <c r="D5391" s="0" t="s">
        <v>2105</v>
      </c>
      <c r="E5391" s="0" t="s">
        <v>2045</v>
      </c>
      <c r="F5391" s="0" t="s">
        <v>2256</v>
      </c>
      <c r="G5391" s="0" t="s">
        <v>2259</v>
      </c>
      <c r="H5391" s="0" t="s">
        <v>2258</v>
      </c>
      <c r="I5391" s="0" t="s">
        <v>2322</v>
      </c>
      <c r="J5391" s="0" t="s">
        <v>2358</v>
      </c>
      <c r="K5391" s="272" t="n">
        <v>10875</v>
      </c>
    </row>
    <row r="5392" customFormat="false" ht="15" hidden="false" customHeight="false" outlineLevel="0" collapsed="false">
      <c r="A5392" s="0" t="s">
        <v>2041</v>
      </c>
      <c r="B5392" s="0" t="s">
        <v>2042</v>
      </c>
      <c r="C5392" s="0" t="s">
        <v>2161</v>
      </c>
      <c r="D5392" s="0" t="s">
        <v>2105</v>
      </c>
      <c r="E5392" s="0" t="s">
        <v>2045</v>
      </c>
      <c r="F5392" s="0" t="s">
        <v>2256</v>
      </c>
      <c r="G5392" s="0" t="s">
        <v>2259</v>
      </c>
      <c r="H5392" s="0" t="s">
        <v>2258</v>
      </c>
      <c r="I5392" s="0" t="s">
        <v>2322</v>
      </c>
      <c r="J5392" s="0" t="s">
        <v>2358</v>
      </c>
      <c r="K5392" s="272" t="n">
        <v>119483954.08</v>
      </c>
    </row>
    <row r="5393" customFormat="false" ht="15" hidden="false" customHeight="false" outlineLevel="0" collapsed="false">
      <c r="A5393" s="0" t="s">
        <v>2041</v>
      </c>
      <c r="B5393" s="0" t="s">
        <v>2042</v>
      </c>
      <c r="C5393" s="0" t="s">
        <v>2349</v>
      </c>
      <c r="D5393" s="0" t="s">
        <v>2105</v>
      </c>
      <c r="E5393" s="0" t="s">
        <v>2045</v>
      </c>
      <c r="F5393" s="0" t="s">
        <v>2256</v>
      </c>
      <c r="G5393" s="0" t="s">
        <v>2259</v>
      </c>
      <c r="H5393" s="0" t="s">
        <v>2258</v>
      </c>
      <c r="I5393" s="0" t="s">
        <v>2322</v>
      </c>
      <c r="J5393" s="0" t="s">
        <v>2358</v>
      </c>
      <c r="K5393" s="272" t="n">
        <v>10599099.5</v>
      </c>
    </row>
    <row r="5394" customFormat="false" ht="15" hidden="false" customHeight="false" outlineLevel="0" collapsed="false">
      <c r="A5394" s="0" t="s">
        <v>2041</v>
      </c>
      <c r="B5394" s="0" t="s">
        <v>2042</v>
      </c>
      <c r="C5394" s="0" t="s">
        <v>2352</v>
      </c>
      <c r="D5394" s="0" t="s">
        <v>2105</v>
      </c>
      <c r="E5394" s="0" t="s">
        <v>2045</v>
      </c>
      <c r="F5394" s="0" t="s">
        <v>2256</v>
      </c>
      <c r="G5394" s="0" t="s">
        <v>2260</v>
      </c>
      <c r="H5394" s="0" t="s">
        <v>2261</v>
      </c>
      <c r="I5394" s="0" t="s">
        <v>2124</v>
      </c>
      <c r="J5394" s="0" t="s">
        <v>2358</v>
      </c>
      <c r="K5394" s="272" t="n">
        <v>400000</v>
      </c>
    </row>
    <row r="5395" customFormat="false" ht="15" hidden="false" customHeight="false" outlineLevel="0" collapsed="false">
      <c r="A5395" s="0" t="s">
        <v>2041</v>
      </c>
      <c r="B5395" s="0" t="s">
        <v>2042</v>
      </c>
      <c r="C5395" s="0" t="s">
        <v>2156</v>
      </c>
      <c r="D5395" s="0" t="s">
        <v>2105</v>
      </c>
      <c r="E5395" s="0" t="s">
        <v>2045</v>
      </c>
      <c r="F5395" s="0" t="s">
        <v>2256</v>
      </c>
      <c r="G5395" s="0" t="s">
        <v>2260</v>
      </c>
      <c r="H5395" s="0" t="s">
        <v>2261</v>
      </c>
      <c r="I5395" s="0" t="s">
        <v>2124</v>
      </c>
      <c r="J5395" s="0" t="s">
        <v>2358</v>
      </c>
      <c r="K5395" s="272" t="n">
        <v>1600000</v>
      </c>
    </row>
    <row r="5396" customFormat="false" ht="15" hidden="false" customHeight="false" outlineLevel="0" collapsed="false">
      <c r="A5396" s="0" t="s">
        <v>2041</v>
      </c>
      <c r="B5396" s="0" t="s">
        <v>2042</v>
      </c>
      <c r="C5396" s="0" t="s">
        <v>2161</v>
      </c>
      <c r="D5396" s="0" t="s">
        <v>2105</v>
      </c>
      <c r="E5396" s="0" t="s">
        <v>2045</v>
      </c>
      <c r="F5396" s="0" t="s">
        <v>2256</v>
      </c>
      <c r="G5396" s="0" t="s">
        <v>2260</v>
      </c>
      <c r="H5396" s="0" t="s">
        <v>2261</v>
      </c>
      <c r="I5396" s="0" t="s">
        <v>2124</v>
      </c>
      <c r="J5396" s="0" t="s">
        <v>2358</v>
      </c>
      <c r="K5396" s="272" t="n">
        <v>483200</v>
      </c>
    </row>
    <row r="5397" customFormat="false" ht="15" hidden="false" customHeight="false" outlineLevel="0" collapsed="false">
      <c r="A5397" s="0" t="s">
        <v>2041</v>
      </c>
      <c r="B5397" s="0" t="s">
        <v>2042</v>
      </c>
      <c r="C5397" s="0" t="s">
        <v>2349</v>
      </c>
      <c r="D5397" s="0" t="s">
        <v>2105</v>
      </c>
      <c r="E5397" s="0" t="s">
        <v>2045</v>
      </c>
      <c r="F5397" s="0" t="s">
        <v>2256</v>
      </c>
      <c r="G5397" s="0" t="s">
        <v>2260</v>
      </c>
      <c r="H5397" s="0" t="s">
        <v>2261</v>
      </c>
      <c r="I5397" s="0" t="s">
        <v>2124</v>
      </c>
      <c r="J5397" s="0" t="s">
        <v>2358</v>
      </c>
      <c r="K5397" s="272" t="n">
        <v>120800</v>
      </c>
    </row>
    <row r="5398" customFormat="false" ht="15" hidden="false" customHeight="false" outlineLevel="0" collapsed="false">
      <c r="A5398" s="0" t="s">
        <v>2041</v>
      </c>
      <c r="B5398" s="0" t="s">
        <v>2042</v>
      </c>
      <c r="C5398" s="0" t="s">
        <v>2352</v>
      </c>
      <c r="D5398" s="0" t="s">
        <v>2105</v>
      </c>
      <c r="E5398" s="0" t="s">
        <v>2045</v>
      </c>
      <c r="F5398" s="0" t="s">
        <v>2256</v>
      </c>
      <c r="G5398" s="0" t="s">
        <v>2260</v>
      </c>
      <c r="H5398" s="0" t="s">
        <v>2261</v>
      </c>
      <c r="I5398" s="0" t="s">
        <v>2322</v>
      </c>
      <c r="J5398" s="0" t="s">
        <v>2358</v>
      </c>
      <c r="K5398" s="272" t="n">
        <v>9216923.8</v>
      </c>
    </row>
    <row r="5399" customFormat="false" ht="15" hidden="false" customHeight="false" outlineLevel="0" collapsed="false">
      <c r="A5399" s="0" t="s">
        <v>2041</v>
      </c>
      <c r="B5399" s="0" t="s">
        <v>2042</v>
      </c>
      <c r="C5399" s="0" t="s">
        <v>2359</v>
      </c>
      <c r="D5399" s="0" t="s">
        <v>2105</v>
      </c>
      <c r="E5399" s="0" t="s">
        <v>2045</v>
      </c>
      <c r="F5399" s="0" t="s">
        <v>2256</v>
      </c>
      <c r="G5399" s="0" t="s">
        <v>2260</v>
      </c>
      <c r="H5399" s="0" t="s">
        <v>2261</v>
      </c>
      <c r="I5399" s="0" t="s">
        <v>2322</v>
      </c>
      <c r="J5399" s="0" t="s">
        <v>2358</v>
      </c>
      <c r="K5399" s="272" t="n">
        <v>884531.69</v>
      </c>
    </row>
    <row r="5400" customFormat="false" ht="15" hidden="false" customHeight="false" outlineLevel="0" collapsed="false">
      <c r="A5400" s="0" t="s">
        <v>2041</v>
      </c>
      <c r="B5400" s="0" t="s">
        <v>2042</v>
      </c>
      <c r="C5400" s="0" t="s">
        <v>2362</v>
      </c>
      <c r="D5400" s="0" t="s">
        <v>2105</v>
      </c>
      <c r="E5400" s="0" t="s">
        <v>2045</v>
      </c>
      <c r="F5400" s="0" t="s">
        <v>2256</v>
      </c>
      <c r="G5400" s="0" t="s">
        <v>2260</v>
      </c>
      <c r="H5400" s="0" t="s">
        <v>2261</v>
      </c>
      <c r="I5400" s="0" t="s">
        <v>2322</v>
      </c>
      <c r="J5400" s="0" t="s">
        <v>2358</v>
      </c>
      <c r="K5400" s="272" t="n">
        <v>71052.63</v>
      </c>
    </row>
    <row r="5401" customFormat="false" ht="15" hidden="false" customHeight="false" outlineLevel="0" collapsed="false">
      <c r="A5401" s="0" t="s">
        <v>2041</v>
      </c>
      <c r="B5401" s="0" t="s">
        <v>2042</v>
      </c>
      <c r="C5401" s="0" t="s">
        <v>2361</v>
      </c>
      <c r="D5401" s="0" t="s">
        <v>2105</v>
      </c>
      <c r="E5401" s="0" t="s">
        <v>2045</v>
      </c>
      <c r="F5401" s="0" t="s">
        <v>2256</v>
      </c>
      <c r="G5401" s="0" t="s">
        <v>2260</v>
      </c>
      <c r="H5401" s="0" t="s">
        <v>2261</v>
      </c>
      <c r="I5401" s="0" t="s">
        <v>2322</v>
      </c>
      <c r="J5401" s="0" t="s">
        <v>2358</v>
      </c>
      <c r="K5401" s="272" t="n">
        <v>525685.02</v>
      </c>
    </row>
    <row r="5402" customFormat="false" ht="15" hidden="false" customHeight="false" outlineLevel="0" collapsed="false">
      <c r="A5402" s="0" t="s">
        <v>2041</v>
      </c>
      <c r="B5402" s="0" t="s">
        <v>2042</v>
      </c>
      <c r="C5402" s="0" t="s">
        <v>2156</v>
      </c>
      <c r="D5402" s="0" t="s">
        <v>2105</v>
      </c>
      <c r="E5402" s="0" t="s">
        <v>2045</v>
      </c>
      <c r="F5402" s="0" t="s">
        <v>2256</v>
      </c>
      <c r="G5402" s="0" t="s">
        <v>2260</v>
      </c>
      <c r="H5402" s="0" t="s">
        <v>2261</v>
      </c>
      <c r="I5402" s="0" t="s">
        <v>2322</v>
      </c>
      <c r="J5402" s="0" t="s">
        <v>2358</v>
      </c>
      <c r="K5402" s="272" t="n">
        <v>83800000</v>
      </c>
    </row>
    <row r="5403" customFormat="false" ht="15" hidden="false" customHeight="false" outlineLevel="0" collapsed="false">
      <c r="A5403" s="0" t="s">
        <v>2041</v>
      </c>
      <c r="B5403" s="0" t="s">
        <v>2042</v>
      </c>
      <c r="C5403" s="0" t="s">
        <v>2360</v>
      </c>
      <c r="D5403" s="0" t="s">
        <v>2105</v>
      </c>
      <c r="E5403" s="0" t="s">
        <v>2045</v>
      </c>
      <c r="F5403" s="0" t="s">
        <v>2256</v>
      </c>
      <c r="G5403" s="0" t="s">
        <v>2260</v>
      </c>
      <c r="H5403" s="0" t="s">
        <v>2261</v>
      </c>
      <c r="I5403" s="0" t="s">
        <v>2322</v>
      </c>
      <c r="J5403" s="0" t="s">
        <v>2358</v>
      </c>
      <c r="K5403" s="272" t="n">
        <v>58</v>
      </c>
    </row>
    <row r="5404" customFormat="false" ht="15" hidden="false" customHeight="false" outlineLevel="0" collapsed="false">
      <c r="A5404" s="0" t="s">
        <v>2041</v>
      </c>
      <c r="B5404" s="0" t="s">
        <v>2042</v>
      </c>
      <c r="C5404" s="0" t="s">
        <v>2161</v>
      </c>
      <c r="D5404" s="0" t="s">
        <v>2105</v>
      </c>
      <c r="E5404" s="0" t="s">
        <v>2045</v>
      </c>
      <c r="F5404" s="0" t="s">
        <v>2256</v>
      </c>
      <c r="G5404" s="0" t="s">
        <v>2260</v>
      </c>
      <c r="H5404" s="0" t="s">
        <v>2261</v>
      </c>
      <c r="I5404" s="0" t="s">
        <v>2322</v>
      </c>
      <c r="J5404" s="0" t="s">
        <v>2358</v>
      </c>
      <c r="K5404" s="272" t="n">
        <v>16574942.23</v>
      </c>
    </row>
    <row r="5405" customFormat="false" ht="15" hidden="false" customHeight="false" outlineLevel="0" collapsed="false">
      <c r="A5405" s="0" t="s">
        <v>2041</v>
      </c>
      <c r="B5405" s="0" t="s">
        <v>2042</v>
      </c>
      <c r="C5405" s="0" t="s">
        <v>2349</v>
      </c>
      <c r="D5405" s="0" t="s">
        <v>2105</v>
      </c>
      <c r="E5405" s="0" t="s">
        <v>2045</v>
      </c>
      <c r="F5405" s="0" t="s">
        <v>2256</v>
      </c>
      <c r="G5405" s="0" t="s">
        <v>2260</v>
      </c>
      <c r="H5405" s="0" t="s">
        <v>2261</v>
      </c>
      <c r="I5405" s="0" t="s">
        <v>2322</v>
      </c>
      <c r="J5405" s="0" t="s">
        <v>2358</v>
      </c>
      <c r="K5405" s="272" t="n">
        <v>2933414.41</v>
      </c>
    </row>
    <row r="5406" customFormat="false" ht="15" hidden="false" customHeight="false" outlineLevel="0" collapsed="false">
      <c r="A5406" s="0" t="s">
        <v>2041</v>
      </c>
      <c r="B5406" s="0" t="s">
        <v>2042</v>
      </c>
      <c r="C5406" s="0" t="s">
        <v>2352</v>
      </c>
      <c r="D5406" s="0" t="s">
        <v>2105</v>
      </c>
      <c r="E5406" s="0" t="s">
        <v>2045</v>
      </c>
      <c r="F5406" s="0" t="s">
        <v>2256</v>
      </c>
      <c r="G5406" s="0" t="s">
        <v>2262</v>
      </c>
      <c r="H5406" s="0" t="s">
        <v>2263</v>
      </c>
      <c r="I5406" s="0" t="s">
        <v>2322</v>
      </c>
      <c r="J5406" s="0" t="s">
        <v>2358</v>
      </c>
      <c r="K5406" s="272" t="n">
        <v>393214.285</v>
      </c>
    </row>
    <row r="5407" customFormat="false" ht="15" hidden="false" customHeight="false" outlineLevel="0" collapsed="false">
      <c r="A5407" s="0" t="s">
        <v>2041</v>
      </c>
      <c r="B5407" s="0" t="s">
        <v>2042</v>
      </c>
      <c r="C5407" s="0" t="s">
        <v>2359</v>
      </c>
      <c r="D5407" s="0" t="s">
        <v>2105</v>
      </c>
      <c r="E5407" s="0" t="s">
        <v>2045</v>
      </c>
      <c r="F5407" s="0" t="s">
        <v>2256</v>
      </c>
      <c r="G5407" s="0" t="s">
        <v>2262</v>
      </c>
      <c r="H5407" s="0" t="s">
        <v>2263</v>
      </c>
      <c r="I5407" s="0" t="s">
        <v>2322</v>
      </c>
      <c r="J5407" s="0" t="s">
        <v>2358</v>
      </c>
      <c r="K5407" s="272" t="n">
        <v>100055.075</v>
      </c>
    </row>
    <row r="5408" customFormat="false" ht="15" hidden="false" customHeight="false" outlineLevel="0" collapsed="false">
      <c r="A5408" s="0" t="s">
        <v>2041</v>
      </c>
      <c r="B5408" s="0" t="s">
        <v>2042</v>
      </c>
      <c r="C5408" s="0" t="s">
        <v>2156</v>
      </c>
      <c r="D5408" s="0" t="s">
        <v>2105</v>
      </c>
      <c r="E5408" s="0" t="s">
        <v>2045</v>
      </c>
      <c r="F5408" s="0" t="s">
        <v>2256</v>
      </c>
      <c r="G5408" s="0" t="s">
        <v>2262</v>
      </c>
      <c r="H5408" s="0" t="s">
        <v>2263</v>
      </c>
      <c r="I5408" s="0" t="s">
        <v>2322</v>
      </c>
      <c r="J5408" s="0" t="s">
        <v>2358</v>
      </c>
      <c r="K5408" s="272" t="n">
        <v>18625000</v>
      </c>
    </row>
    <row r="5409" customFormat="false" ht="15" hidden="false" customHeight="false" outlineLevel="0" collapsed="false">
      <c r="A5409" s="0" t="s">
        <v>2041</v>
      </c>
      <c r="B5409" s="0" t="s">
        <v>2042</v>
      </c>
      <c r="C5409" s="0" t="s">
        <v>2161</v>
      </c>
      <c r="D5409" s="0" t="s">
        <v>2105</v>
      </c>
      <c r="E5409" s="0" t="s">
        <v>2045</v>
      </c>
      <c r="F5409" s="0" t="s">
        <v>2256</v>
      </c>
      <c r="G5409" s="0" t="s">
        <v>2262</v>
      </c>
      <c r="H5409" s="0" t="s">
        <v>2263</v>
      </c>
      <c r="I5409" s="0" t="s">
        <v>2322</v>
      </c>
      <c r="J5409" s="0" t="s">
        <v>2358</v>
      </c>
      <c r="K5409" s="272" t="n">
        <v>2867840.25</v>
      </c>
    </row>
    <row r="5410" customFormat="false" ht="15" hidden="false" customHeight="false" outlineLevel="0" collapsed="false">
      <c r="A5410" s="0" t="s">
        <v>2041</v>
      </c>
      <c r="B5410" s="0" t="s">
        <v>2042</v>
      </c>
      <c r="C5410" s="0" t="s">
        <v>2349</v>
      </c>
      <c r="D5410" s="0" t="s">
        <v>2105</v>
      </c>
      <c r="E5410" s="0" t="s">
        <v>2045</v>
      </c>
      <c r="F5410" s="0" t="s">
        <v>2256</v>
      </c>
      <c r="G5410" s="0" t="s">
        <v>2262</v>
      </c>
      <c r="H5410" s="0" t="s">
        <v>2263</v>
      </c>
      <c r="I5410" s="0" t="s">
        <v>2322</v>
      </c>
      <c r="J5410" s="0" t="s">
        <v>2358</v>
      </c>
      <c r="K5410" s="272" t="n">
        <v>124602.96</v>
      </c>
    </row>
    <row r="5411" customFormat="false" ht="15" hidden="false" customHeight="false" outlineLevel="0" collapsed="false">
      <c r="A5411" s="0" t="s">
        <v>2041</v>
      </c>
      <c r="B5411" s="0" t="s">
        <v>2042</v>
      </c>
      <c r="C5411" s="0" t="s">
        <v>2352</v>
      </c>
      <c r="D5411" s="0" t="s">
        <v>2105</v>
      </c>
      <c r="E5411" s="0" t="s">
        <v>2045</v>
      </c>
      <c r="F5411" s="0" t="s">
        <v>2256</v>
      </c>
      <c r="G5411" s="0" t="s">
        <v>2262</v>
      </c>
      <c r="H5411" s="0" t="s">
        <v>2264</v>
      </c>
      <c r="I5411" s="0" t="s">
        <v>2124</v>
      </c>
      <c r="J5411" s="0" t="s">
        <v>2358</v>
      </c>
      <c r="K5411" s="272" t="n">
        <v>690000</v>
      </c>
    </row>
    <row r="5412" customFormat="false" ht="15" hidden="false" customHeight="false" outlineLevel="0" collapsed="false">
      <c r="A5412" s="0" t="s">
        <v>2041</v>
      </c>
      <c r="B5412" s="0" t="s">
        <v>2042</v>
      </c>
      <c r="C5412" s="0" t="s">
        <v>2359</v>
      </c>
      <c r="D5412" s="0" t="s">
        <v>2105</v>
      </c>
      <c r="E5412" s="0" t="s">
        <v>2045</v>
      </c>
      <c r="F5412" s="0" t="s">
        <v>2256</v>
      </c>
      <c r="G5412" s="0" t="s">
        <v>2262</v>
      </c>
      <c r="H5412" s="0" t="s">
        <v>2264</v>
      </c>
      <c r="I5412" s="0" t="s">
        <v>2124</v>
      </c>
      <c r="J5412" s="0" t="s">
        <v>2358</v>
      </c>
      <c r="K5412" s="272" t="n">
        <v>40188.71</v>
      </c>
    </row>
    <row r="5413" customFormat="false" ht="15" hidden="false" customHeight="false" outlineLevel="0" collapsed="false">
      <c r="A5413" s="0" t="s">
        <v>2041</v>
      </c>
      <c r="B5413" s="0" t="s">
        <v>2042</v>
      </c>
      <c r="C5413" s="0" t="s">
        <v>2361</v>
      </c>
      <c r="D5413" s="0" t="s">
        <v>2105</v>
      </c>
      <c r="E5413" s="0" t="s">
        <v>2045</v>
      </c>
      <c r="F5413" s="0" t="s">
        <v>2256</v>
      </c>
      <c r="G5413" s="0" t="s">
        <v>2262</v>
      </c>
      <c r="H5413" s="0" t="s">
        <v>2264</v>
      </c>
      <c r="I5413" s="0" t="s">
        <v>2124</v>
      </c>
      <c r="J5413" s="0" t="s">
        <v>2358</v>
      </c>
      <c r="K5413" s="272" t="n">
        <v>37699.79</v>
      </c>
    </row>
    <row r="5414" customFormat="false" ht="15" hidden="false" customHeight="false" outlineLevel="0" collapsed="false">
      <c r="A5414" s="0" t="s">
        <v>2041</v>
      </c>
      <c r="B5414" s="0" t="s">
        <v>2042</v>
      </c>
      <c r="C5414" s="0" t="s">
        <v>2156</v>
      </c>
      <c r="D5414" s="0" t="s">
        <v>2105</v>
      </c>
      <c r="E5414" s="0" t="s">
        <v>2045</v>
      </c>
      <c r="F5414" s="0" t="s">
        <v>2256</v>
      </c>
      <c r="G5414" s="0" t="s">
        <v>2262</v>
      </c>
      <c r="H5414" s="0" t="s">
        <v>2264</v>
      </c>
      <c r="I5414" s="0" t="s">
        <v>2124</v>
      </c>
      <c r="J5414" s="0" t="s">
        <v>2358</v>
      </c>
      <c r="K5414" s="272" t="n">
        <v>10500000</v>
      </c>
    </row>
    <row r="5415" customFormat="false" ht="15" hidden="false" customHeight="false" outlineLevel="0" collapsed="false">
      <c r="A5415" s="0" t="s">
        <v>2041</v>
      </c>
      <c r="B5415" s="0" t="s">
        <v>2042</v>
      </c>
      <c r="C5415" s="0" t="s">
        <v>2161</v>
      </c>
      <c r="D5415" s="0" t="s">
        <v>2105</v>
      </c>
      <c r="E5415" s="0" t="s">
        <v>2045</v>
      </c>
      <c r="F5415" s="0" t="s">
        <v>2256</v>
      </c>
      <c r="G5415" s="0" t="s">
        <v>2262</v>
      </c>
      <c r="H5415" s="0" t="s">
        <v>2264</v>
      </c>
      <c r="I5415" s="0" t="s">
        <v>2124</v>
      </c>
      <c r="J5415" s="0" t="s">
        <v>2358</v>
      </c>
      <c r="K5415" s="272" t="n">
        <v>2626337.01</v>
      </c>
    </row>
    <row r="5416" customFormat="false" ht="15" hidden="false" customHeight="false" outlineLevel="0" collapsed="false">
      <c r="A5416" s="0" t="s">
        <v>2041</v>
      </c>
      <c r="B5416" s="0" t="s">
        <v>2042</v>
      </c>
      <c r="C5416" s="0" t="s">
        <v>2349</v>
      </c>
      <c r="D5416" s="0" t="s">
        <v>2105</v>
      </c>
      <c r="E5416" s="0" t="s">
        <v>2045</v>
      </c>
      <c r="F5416" s="0" t="s">
        <v>2256</v>
      </c>
      <c r="G5416" s="0" t="s">
        <v>2262</v>
      </c>
      <c r="H5416" s="0" t="s">
        <v>2264</v>
      </c>
      <c r="I5416" s="0" t="s">
        <v>2124</v>
      </c>
      <c r="J5416" s="0" t="s">
        <v>2358</v>
      </c>
      <c r="K5416" s="272" t="n">
        <v>225922.19</v>
      </c>
    </row>
    <row r="5417" customFormat="false" ht="15" hidden="false" customHeight="false" outlineLevel="0" collapsed="false">
      <c r="A5417" s="0" t="s">
        <v>2041</v>
      </c>
      <c r="B5417" s="0" t="s">
        <v>2042</v>
      </c>
      <c r="C5417" s="0" t="s">
        <v>2352</v>
      </c>
      <c r="D5417" s="0" t="s">
        <v>2105</v>
      </c>
      <c r="E5417" s="0" t="s">
        <v>2045</v>
      </c>
      <c r="F5417" s="0" t="s">
        <v>2256</v>
      </c>
      <c r="G5417" s="0" t="s">
        <v>2262</v>
      </c>
      <c r="H5417" s="0" t="s">
        <v>2264</v>
      </c>
      <c r="I5417" s="0" t="s">
        <v>2322</v>
      </c>
      <c r="J5417" s="0" t="s">
        <v>2358</v>
      </c>
      <c r="K5417" s="272" t="n">
        <v>7493500.02</v>
      </c>
    </row>
    <row r="5418" customFormat="false" ht="15" hidden="false" customHeight="false" outlineLevel="0" collapsed="false">
      <c r="A5418" s="0" t="s">
        <v>2041</v>
      </c>
      <c r="B5418" s="0" t="s">
        <v>2042</v>
      </c>
      <c r="C5418" s="0" t="s">
        <v>2359</v>
      </c>
      <c r="D5418" s="0" t="s">
        <v>2105</v>
      </c>
      <c r="E5418" s="0" t="s">
        <v>2045</v>
      </c>
      <c r="F5418" s="0" t="s">
        <v>2256</v>
      </c>
      <c r="G5418" s="0" t="s">
        <v>2262</v>
      </c>
      <c r="H5418" s="0" t="s">
        <v>2264</v>
      </c>
      <c r="I5418" s="0" t="s">
        <v>2322</v>
      </c>
      <c r="J5418" s="0" t="s">
        <v>2358</v>
      </c>
      <c r="K5418" s="272" t="n">
        <v>4134254.21</v>
      </c>
    </row>
    <row r="5419" customFormat="false" ht="15" hidden="false" customHeight="false" outlineLevel="0" collapsed="false">
      <c r="A5419" s="0" t="s">
        <v>2041</v>
      </c>
      <c r="B5419" s="0" t="s">
        <v>2042</v>
      </c>
      <c r="C5419" s="0" t="s">
        <v>2361</v>
      </c>
      <c r="D5419" s="0" t="s">
        <v>2105</v>
      </c>
      <c r="E5419" s="0" t="s">
        <v>2045</v>
      </c>
      <c r="F5419" s="0" t="s">
        <v>2256</v>
      </c>
      <c r="G5419" s="0" t="s">
        <v>2262</v>
      </c>
      <c r="H5419" s="0" t="s">
        <v>2264</v>
      </c>
      <c r="I5419" s="0" t="s">
        <v>2322</v>
      </c>
      <c r="J5419" s="0" t="s">
        <v>2358</v>
      </c>
      <c r="K5419" s="272" t="n">
        <v>560391.305</v>
      </c>
    </row>
    <row r="5420" customFormat="false" ht="15" hidden="false" customHeight="false" outlineLevel="0" collapsed="false">
      <c r="A5420" s="0" t="s">
        <v>2041</v>
      </c>
      <c r="B5420" s="0" t="s">
        <v>2042</v>
      </c>
      <c r="C5420" s="0" t="s">
        <v>2156</v>
      </c>
      <c r="D5420" s="0" t="s">
        <v>2105</v>
      </c>
      <c r="E5420" s="0" t="s">
        <v>2045</v>
      </c>
      <c r="F5420" s="0" t="s">
        <v>2256</v>
      </c>
      <c r="G5420" s="0" t="s">
        <v>2262</v>
      </c>
      <c r="H5420" s="0" t="s">
        <v>2264</v>
      </c>
      <c r="I5420" s="0" t="s">
        <v>2322</v>
      </c>
      <c r="J5420" s="0" t="s">
        <v>2358</v>
      </c>
      <c r="K5420" s="272" t="n">
        <v>363448993.75</v>
      </c>
    </row>
    <row r="5421" customFormat="false" ht="15" hidden="false" customHeight="false" outlineLevel="0" collapsed="false">
      <c r="A5421" s="0" t="s">
        <v>2041</v>
      </c>
      <c r="B5421" s="0" t="s">
        <v>2042</v>
      </c>
      <c r="C5421" s="0" t="s">
        <v>2360</v>
      </c>
      <c r="D5421" s="0" t="s">
        <v>2105</v>
      </c>
      <c r="E5421" s="0" t="s">
        <v>2045</v>
      </c>
      <c r="F5421" s="0" t="s">
        <v>2256</v>
      </c>
      <c r="G5421" s="0" t="s">
        <v>2262</v>
      </c>
      <c r="H5421" s="0" t="s">
        <v>2264</v>
      </c>
      <c r="I5421" s="0" t="s">
        <v>2322</v>
      </c>
      <c r="J5421" s="0" t="s">
        <v>2358</v>
      </c>
      <c r="K5421" s="272" t="n">
        <v>2881.5</v>
      </c>
    </row>
    <row r="5422" customFormat="false" ht="15" hidden="false" customHeight="false" outlineLevel="0" collapsed="false">
      <c r="A5422" s="0" t="s">
        <v>2041</v>
      </c>
      <c r="B5422" s="0" t="s">
        <v>2042</v>
      </c>
      <c r="C5422" s="0" t="s">
        <v>2161</v>
      </c>
      <c r="D5422" s="0" t="s">
        <v>2105</v>
      </c>
      <c r="E5422" s="0" t="s">
        <v>2045</v>
      </c>
      <c r="F5422" s="0" t="s">
        <v>2256</v>
      </c>
      <c r="G5422" s="0" t="s">
        <v>2262</v>
      </c>
      <c r="H5422" s="0" t="s">
        <v>2264</v>
      </c>
      <c r="I5422" s="0" t="s">
        <v>2322</v>
      </c>
      <c r="J5422" s="0" t="s">
        <v>2358</v>
      </c>
      <c r="K5422" s="272" t="n">
        <v>58420128.79</v>
      </c>
    </row>
    <row r="5423" customFormat="false" ht="15" hidden="false" customHeight="false" outlineLevel="0" collapsed="false">
      <c r="A5423" s="0" t="s">
        <v>2041</v>
      </c>
      <c r="B5423" s="0" t="s">
        <v>2042</v>
      </c>
      <c r="C5423" s="0" t="s">
        <v>2349</v>
      </c>
      <c r="D5423" s="0" t="s">
        <v>2105</v>
      </c>
      <c r="E5423" s="0" t="s">
        <v>2045</v>
      </c>
      <c r="F5423" s="0" t="s">
        <v>2256</v>
      </c>
      <c r="G5423" s="0" t="s">
        <v>2262</v>
      </c>
      <c r="H5423" s="0" t="s">
        <v>2264</v>
      </c>
      <c r="I5423" s="0" t="s">
        <v>2322</v>
      </c>
      <c r="J5423" s="0" t="s">
        <v>2358</v>
      </c>
      <c r="K5423" s="272" t="n">
        <v>3038867.28</v>
      </c>
    </row>
    <row r="5424" customFormat="false" ht="15" hidden="false" customHeight="false" outlineLevel="0" collapsed="false">
      <c r="A5424" s="0" t="s">
        <v>2041</v>
      </c>
      <c r="B5424" s="0" t="s">
        <v>2042</v>
      </c>
      <c r="C5424" s="0" t="s">
        <v>2352</v>
      </c>
      <c r="D5424" s="0" t="s">
        <v>2105</v>
      </c>
      <c r="E5424" s="0" t="s">
        <v>2045</v>
      </c>
      <c r="F5424" s="0" t="s">
        <v>2256</v>
      </c>
      <c r="G5424" s="0" t="s">
        <v>2262</v>
      </c>
      <c r="H5424" s="0" t="s">
        <v>2265</v>
      </c>
      <c r="I5424" s="0" t="s">
        <v>2322</v>
      </c>
      <c r="J5424" s="0" t="s">
        <v>2358</v>
      </c>
      <c r="K5424" s="272" t="n">
        <v>1055714.285</v>
      </c>
    </row>
    <row r="5425" customFormat="false" ht="15" hidden="false" customHeight="false" outlineLevel="0" collapsed="false">
      <c r="A5425" s="0" t="s">
        <v>2041</v>
      </c>
      <c r="B5425" s="0" t="s">
        <v>2042</v>
      </c>
      <c r="C5425" s="0" t="s">
        <v>2359</v>
      </c>
      <c r="D5425" s="0" t="s">
        <v>2105</v>
      </c>
      <c r="E5425" s="0" t="s">
        <v>2045</v>
      </c>
      <c r="F5425" s="0" t="s">
        <v>2256</v>
      </c>
      <c r="G5425" s="0" t="s">
        <v>2262</v>
      </c>
      <c r="H5425" s="0" t="s">
        <v>2265</v>
      </c>
      <c r="I5425" s="0" t="s">
        <v>2322</v>
      </c>
      <c r="J5425" s="0" t="s">
        <v>2358</v>
      </c>
      <c r="K5425" s="272" t="n">
        <v>647624.355</v>
      </c>
    </row>
    <row r="5426" customFormat="false" ht="15" hidden="false" customHeight="false" outlineLevel="0" collapsed="false">
      <c r="A5426" s="0" t="s">
        <v>2041</v>
      </c>
      <c r="B5426" s="0" t="s">
        <v>2042</v>
      </c>
      <c r="C5426" s="0" t="s">
        <v>2361</v>
      </c>
      <c r="D5426" s="0" t="s">
        <v>2105</v>
      </c>
      <c r="E5426" s="0" t="s">
        <v>2045</v>
      </c>
      <c r="F5426" s="0" t="s">
        <v>2256</v>
      </c>
      <c r="G5426" s="0" t="s">
        <v>2262</v>
      </c>
      <c r="H5426" s="0" t="s">
        <v>2265</v>
      </c>
      <c r="I5426" s="0" t="s">
        <v>2322</v>
      </c>
      <c r="J5426" s="0" t="s">
        <v>2358</v>
      </c>
      <c r="K5426" s="272" t="n">
        <v>162346.455</v>
      </c>
    </row>
    <row r="5427" customFormat="false" ht="15" hidden="false" customHeight="false" outlineLevel="0" collapsed="false">
      <c r="A5427" s="0" t="s">
        <v>2041</v>
      </c>
      <c r="B5427" s="0" t="s">
        <v>2042</v>
      </c>
      <c r="C5427" s="0" t="s">
        <v>2156</v>
      </c>
      <c r="D5427" s="0" t="s">
        <v>2105</v>
      </c>
      <c r="E5427" s="0" t="s">
        <v>2045</v>
      </c>
      <c r="F5427" s="0" t="s">
        <v>2256</v>
      </c>
      <c r="G5427" s="0" t="s">
        <v>2262</v>
      </c>
      <c r="H5427" s="0" t="s">
        <v>2265</v>
      </c>
      <c r="I5427" s="0" t="s">
        <v>2322</v>
      </c>
      <c r="J5427" s="0" t="s">
        <v>2358</v>
      </c>
      <c r="K5427" s="272" t="n">
        <v>59261600.25</v>
      </c>
    </row>
    <row r="5428" customFormat="false" ht="15" hidden="false" customHeight="false" outlineLevel="0" collapsed="false">
      <c r="A5428" s="0" t="s">
        <v>2041</v>
      </c>
      <c r="B5428" s="0" t="s">
        <v>2042</v>
      </c>
      <c r="C5428" s="0" t="s">
        <v>2360</v>
      </c>
      <c r="D5428" s="0" t="s">
        <v>2105</v>
      </c>
      <c r="E5428" s="0" t="s">
        <v>2045</v>
      </c>
      <c r="F5428" s="0" t="s">
        <v>2256</v>
      </c>
      <c r="G5428" s="0" t="s">
        <v>2262</v>
      </c>
      <c r="H5428" s="0" t="s">
        <v>2265</v>
      </c>
      <c r="I5428" s="0" t="s">
        <v>2322</v>
      </c>
      <c r="J5428" s="0" t="s">
        <v>2358</v>
      </c>
      <c r="K5428" s="272" t="n">
        <v>960.5</v>
      </c>
    </row>
    <row r="5429" customFormat="false" ht="15" hidden="false" customHeight="false" outlineLevel="0" collapsed="false">
      <c r="A5429" s="0" t="s">
        <v>2041</v>
      </c>
      <c r="B5429" s="0" t="s">
        <v>2042</v>
      </c>
      <c r="C5429" s="0" t="s">
        <v>2161</v>
      </c>
      <c r="D5429" s="0" t="s">
        <v>2105</v>
      </c>
      <c r="E5429" s="0" t="s">
        <v>2045</v>
      </c>
      <c r="F5429" s="0" t="s">
        <v>2256</v>
      </c>
      <c r="G5429" s="0" t="s">
        <v>2262</v>
      </c>
      <c r="H5429" s="0" t="s">
        <v>2265</v>
      </c>
      <c r="I5429" s="0" t="s">
        <v>2322</v>
      </c>
      <c r="J5429" s="0" t="s">
        <v>2358</v>
      </c>
      <c r="K5429" s="272" t="n">
        <v>9313151.41666667</v>
      </c>
    </row>
    <row r="5430" customFormat="false" ht="15" hidden="false" customHeight="false" outlineLevel="0" collapsed="false">
      <c r="A5430" s="0" t="s">
        <v>2041</v>
      </c>
      <c r="B5430" s="0" t="s">
        <v>2042</v>
      </c>
      <c r="C5430" s="0" t="s">
        <v>2349</v>
      </c>
      <c r="D5430" s="0" t="s">
        <v>2105</v>
      </c>
      <c r="E5430" s="0" t="s">
        <v>2045</v>
      </c>
      <c r="F5430" s="0" t="s">
        <v>2256</v>
      </c>
      <c r="G5430" s="0" t="s">
        <v>2262</v>
      </c>
      <c r="H5430" s="0" t="s">
        <v>2265</v>
      </c>
      <c r="I5430" s="0" t="s">
        <v>2322</v>
      </c>
      <c r="J5430" s="0" t="s">
        <v>2358</v>
      </c>
      <c r="K5430" s="272" t="n">
        <v>467747.443333333</v>
      </c>
    </row>
    <row r="5431" customFormat="false" ht="15" hidden="false" customHeight="false" outlineLevel="0" collapsed="false">
      <c r="A5431" s="0" t="s">
        <v>2041</v>
      </c>
      <c r="B5431" s="0" t="s">
        <v>2042</v>
      </c>
      <c r="C5431" s="0" t="s">
        <v>2352</v>
      </c>
      <c r="D5431" s="0" t="s">
        <v>2105</v>
      </c>
      <c r="E5431" s="0" t="s">
        <v>2045</v>
      </c>
      <c r="F5431" s="0" t="s">
        <v>2256</v>
      </c>
      <c r="G5431" s="0" t="s">
        <v>2266</v>
      </c>
      <c r="H5431" s="0" t="s">
        <v>2267</v>
      </c>
      <c r="I5431" s="0" t="s">
        <v>2124</v>
      </c>
      <c r="J5431" s="0" t="s">
        <v>2358</v>
      </c>
      <c r="K5431" s="272" t="n">
        <v>2280714.29</v>
      </c>
    </row>
    <row r="5432" customFormat="false" ht="15" hidden="false" customHeight="false" outlineLevel="0" collapsed="false">
      <c r="A5432" s="0" t="s">
        <v>2041</v>
      </c>
      <c r="B5432" s="0" t="s">
        <v>2042</v>
      </c>
      <c r="C5432" s="0" t="s">
        <v>2359</v>
      </c>
      <c r="D5432" s="0" t="s">
        <v>2105</v>
      </c>
      <c r="E5432" s="0" t="s">
        <v>2045</v>
      </c>
      <c r="F5432" s="0" t="s">
        <v>2256</v>
      </c>
      <c r="G5432" s="0" t="s">
        <v>2266</v>
      </c>
      <c r="H5432" s="0" t="s">
        <v>2267</v>
      </c>
      <c r="I5432" s="0" t="s">
        <v>2124</v>
      </c>
      <c r="J5432" s="0" t="s">
        <v>2358</v>
      </c>
      <c r="K5432" s="272" t="n">
        <v>250241.86</v>
      </c>
    </row>
    <row r="5433" customFormat="false" ht="15" hidden="false" customHeight="false" outlineLevel="0" collapsed="false">
      <c r="A5433" s="0" t="s">
        <v>2041</v>
      </c>
      <c r="B5433" s="0" t="s">
        <v>2042</v>
      </c>
      <c r="C5433" s="0" t="s">
        <v>2156</v>
      </c>
      <c r="D5433" s="0" t="s">
        <v>2105</v>
      </c>
      <c r="E5433" s="0" t="s">
        <v>2045</v>
      </c>
      <c r="F5433" s="0" t="s">
        <v>2256</v>
      </c>
      <c r="G5433" s="0" t="s">
        <v>2266</v>
      </c>
      <c r="H5433" s="0" t="s">
        <v>2267</v>
      </c>
      <c r="I5433" s="0" t="s">
        <v>2124</v>
      </c>
      <c r="J5433" s="0" t="s">
        <v>2358</v>
      </c>
      <c r="K5433" s="272" t="n">
        <v>23258000</v>
      </c>
    </row>
    <row r="5434" customFormat="false" ht="15" hidden="false" customHeight="false" outlineLevel="0" collapsed="false">
      <c r="A5434" s="0" t="s">
        <v>2041</v>
      </c>
      <c r="B5434" s="0" t="s">
        <v>2042</v>
      </c>
      <c r="C5434" s="0" t="s">
        <v>2161</v>
      </c>
      <c r="D5434" s="0" t="s">
        <v>2105</v>
      </c>
      <c r="E5434" s="0" t="s">
        <v>2045</v>
      </c>
      <c r="F5434" s="0" t="s">
        <v>2256</v>
      </c>
      <c r="G5434" s="0" t="s">
        <v>2266</v>
      </c>
      <c r="H5434" s="0" t="s">
        <v>2267</v>
      </c>
      <c r="I5434" s="0" t="s">
        <v>2124</v>
      </c>
      <c r="J5434" s="0" t="s">
        <v>2358</v>
      </c>
      <c r="K5434" s="272" t="n">
        <v>5586009.16</v>
      </c>
    </row>
    <row r="5435" customFormat="false" ht="15" hidden="false" customHeight="false" outlineLevel="0" collapsed="false">
      <c r="A5435" s="0" t="s">
        <v>2041</v>
      </c>
      <c r="B5435" s="0" t="s">
        <v>2042</v>
      </c>
      <c r="C5435" s="0" t="s">
        <v>2349</v>
      </c>
      <c r="D5435" s="0" t="s">
        <v>2105</v>
      </c>
      <c r="E5435" s="0" t="s">
        <v>2045</v>
      </c>
      <c r="F5435" s="0" t="s">
        <v>2256</v>
      </c>
      <c r="G5435" s="0" t="s">
        <v>2266</v>
      </c>
      <c r="H5435" s="0" t="s">
        <v>2267</v>
      </c>
      <c r="I5435" s="0" t="s">
        <v>2124</v>
      </c>
      <c r="J5435" s="0" t="s">
        <v>2358</v>
      </c>
      <c r="K5435" s="272" t="n">
        <v>734932.83</v>
      </c>
    </row>
    <row r="5436" customFormat="false" ht="15" hidden="false" customHeight="false" outlineLevel="0" collapsed="false">
      <c r="A5436" s="0" t="s">
        <v>2041</v>
      </c>
      <c r="B5436" s="0" t="s">
        <v>2042</v>
      </c>
      <c r="C5436" s="0" t="s">
        <v>2352</v>
      </c>
      <c r="D5436" s="0" t="s">
        <v>2105</v>
      </c>
      <c r="E5436" s="0" t="s">
        <v>2045</v>
      </c>
      <c r="F5436" s="0" t="s">
        <v>2256</v>
      </c>
      <c r="G5436" s="0" t="s">
        <v>2266</v>
      </c>
      <c r="H5436" s="0" t="s">
        <v>2267</v>
      </c>
      <c r="I5436" s="0" t="s">
        <v>2322</v>
      </c>
      <c r="J5436" s="0" t="s">
        <v>2358</v>
      </c>
      <c r="K5436" s="272" t="n">
        <v>19285290.57</v>
      </c>
    </row>
    <row r="5437" customFormat="false" ht="15" hidden="false" customHeight="false" outlineLevel="0" collapsed="false">
      <c r="A5437" s="0" t="s">
        <v>2041</v>
      </c>
      <c r="B5437" s="0" t="s">
        <v>2042</v>
      </c>
      <c r="C5437" s="0" t="s">
        <v>2359</v>
      </c>
      <c r="D5437" s="0" t="s">
        <v>2105</v>
      </c>
      <c r="E5437" s="0" t="s">
        <v>2045</v>
      </c>
      <c r="F5437" s="0" t="s">
        <v>2256</v>
      </c>
      <c r="G5437" s="0" t="s">
        <v>2266</v>
      </c>
      <c r="H5437" s="0" t="s">
        <v>2267</v>
      </c>
      <c r="I5437" s="0" t="s">
        <v>2322</v>
      </c>
      <c r="J5437" s="0" t="s">
        <v>2358</v>
      </c>
      <c r="K5437" s="272" t="n">
        <v>5958616.95</v>
      </c>
    </row>
    <row r="5438" customFormat="false" ht="15" hidden="false" customHeight="false" outlineLevel="0" collapsed="false">
      <c r="A5438" s="0" t="s">
        <v>2041</v>
      </c>
      <c r="B5438" s="0" t="s">
        <v>2042</v>
      </c>
      <c r="C5438" s="0" t="s">
        <v>2156</v>
      </c>
      <c r="D5438" s="0" t="s">
        <v>2105</v>
      </c>
      <c r="E5438" s="0" t="s">
        <v>2045</v>
      </c>
      <c r="F5438" s="0" t="s">
        <v>2256</v>
      </c>
      <c r="G5438" s="0" t="s">
        <v>2266</v>
      </c>
      <c r="H5438" s="0" t="s">
        <v>2267</v>
      </c>
      <c r="I5438" s="0" t="s">
        <v>2322</v>
      </c>
      <c r="J5438" s="0" t="s">
        <v>2358</v>
      </c>
      <c r="K5438" s="272" t="n">
        <v>420760673</v>
      </c>
    </row>
    <row r="5439" customFormat="false" ht="15" hidden="false" customHeight="false" outlineLevel="0" collapsed="false">
      <c r="A5439" s="0" t="s">
        <v>2041</v>
      </c>
      <c r="B5439" s="0" t="s">
        <v>2042</v>
      </c>
      <c r="C5439" s="0" t="s">
        <v>2360</v>
      </c>
      <c r="D5439" s="0" t="s">
        <v>2105</v>
      </c>
      <c r="E5439" s="0" t="s">
        <v>2045</v>
      </c>
      <c r="F5439" s="0" t="s">
        <v>2256</v>
      </c>
      <c r="G5439" s="0" t="s">
        <v>2266</v>
      </c>
      <c r="H5439" s="0" t="s">
        <v>2267</v>
      </c>
      <c r="I5439" s="0" t="s">
        <v>2322</v>
      </c>
      <c r="J5439" s="0" t="s">
        <v>2358</v>
      </c>
      <c r="K5439" s="272" t="n">
        <v>21674</v>
      </c>
    </row>
    <row r="5440" customFormat="false" ht="15" hidden="false" customHeight="false" outlineLevel="0" collapsed="false">
      <c r="A5440" s="0" t="s">
        <v>2041</v>
      </c>
      <c r="B5440" s="0" t="s">
        <v>2042</v>
      </c>
      <c r="C5440" s="0" t="s">
        <v>2161</v>
      </c>
      <c r="D5440" s="0" t="s">
        <v>2105</v>
      </c>
      <c r="E5440" s="0" t="s">
        <v>2045</v>
      </c>
      <c r="F5440" s="0" t="s">
        <v>2256</v>
      </c>
      <c r="G5440" s="0" t="s">
        <v>2266</v>
      </c>
      <c r="H5440" s="0" t="s">
        <v>2267</v>
      </c>
      <c r="I5440" s="0" t="s">
        <v>2322</v>
      </c>
      <c r="J5440" s="0" t="s">
        <v>2358</v>
      </c>
      <c r="K5440" s="272" t="n">
        <v>69700136.3</v>
      </c>
    </row>
    <row r="5441" customFormat="false" ht="15" hidden="false" customHeight="false" outlineLevel="0" collapsed="false">
      <c r="A5441" s="0" t="s">
        <v>2041</v>
      </c>
      <c r="B5441" s="0" t="s">
        <v>2042</v>
      </c>
      <c r="C5441" s="0" t="s">
        <v>2349</v>
      </c>
      <c r="D5441" s="0" t="s">
        <v>2105</v>
      </c>
      <c r="E5441" s="0" t="s">
        <v>2045</v>
      </c>
      <c r="F5441" s="0" t="s">
        <v>2256</v>
      </c>
      <c r="G5441" s="0" t="s">
        <v>2266</v>
      </c>
      <c r="H5441" s="0" t="s">
        <v>2267</v>
      </c>
      <c r="I5441" s="0" t="s">
        <v>2322</v>
      </c>
      <c r="J5441" s="0" t="s">
        <v>2358</v>
      </c>
      <c r="K5441" s="272" t="n">
        <v>6273648.91</v>
      </c>
    </row>
    <row r="5442" customFormat="false" ht="15" hidden="false" customHeight="false" outlineLevel="0" collapsed="false">
      <c r="A5442" s="0" t="s">
        <v>2041</v>
      </c>
      <c r="B5442" s="0" t="s">
        <v>2042</v>
      </c>
      <c r="C5442" s="0" t="s">
        <v>2352</v>
      </c>
      <c r="D5442" s="0" t="s">
        <v>2105</v>
      </c>
      <c r="E5442" s="0" t="s">
        <v>2045</v>
      </c>
      <c r="F5442" s="0" t="s">
        <v>2268</v>
      </c>
      <c r="G5442" s="0" t="s">
        <v>2269</v>
      </c>
      <c r="H5442" s="0" t="s">
        <v>2270</v>
      </c>
      <c r="I5442" s="0" t="s">
        <v>2124</v>
      </c>
      <c r="J5442" s="0" t="s">
        <v>2358</v>
      </c>
      <c r="K5442" s="272" t="n">
        <v>2912456.48</v>
      </c>
    </row>
    <row r="5443" customFormat="false" ht="15" hidden="false" customHeight="false" outlineLevel="0" collapsed="false">
      <c r="A5443" s="0" t="s">
        <v>2041</v>
      </c>
      <c r="B5443" s="0" t="s">
        <v>2042</v>
      </c>
      <c r="C5443" s="0" t="s">
        <v>2359</v>
      </c>
      <c r="D5443" s="0" t="s">
        <v>2105</v>
      </c>
      <c r="E5443" s="0" t="s">
        <v>2045</v>
      </c>
      <c r="F5443" s="0" t="s">
        <v>2268</v>
      </c>
      <c r="G5443" s="0" t="s">
        <v>2269</v>
      </c>
      <c r="H5443" s="0" t="s">
        <v>2270</v>
      </c>
      <c r="I5443" s="0" t="s">
        <v>2124</v>
      </c>
      <c r="J5443" s="0" t="s">
        <v>2358</v>
      </c>
      <c r="K5443" s="272" t="n">
        <v>584904.42</v>
      </c>
    </row>
    <row r="5444" customFormat="false" ht="15" hidden="false" customHeight="false" outlineLevel="0" collapsed="false">
      <c r="A5444" s="0" t="s">
        <v>2041</v>
      </c>
      <c r="B5444" s="0" t="s">
        <v>2042</v>
      </c>
      <c r="C5444" s="0" t="s">
        <v>2364</v>
      </c>
      <c r="D5444" s="0" t="s">
        <v>2105</v>
      </c>
      <c r="E5444" s="0" t="s">
        <v>2045</v>
      </c>
      <c r="F5444" s="0" t="s">
        <v>2268</v>
      </c>
      <c r="G5444" s="0" t="s">
        <v>2269</v>
      </c>
      <c r="H5444" s="0" t="s">
        <v>2270</v>
      </c>
      <c r="I5444" s="0" t="s">
        <v>2124</v>
      </c>
      <c r="J5444" s="0" t="s">
        <v>2358</v>
      </c>
      <c r="K5444" s="272" t="n">
        <v>293000</v>
      </c>
    </row>
    <row r="5445" customFormat="false" ht="15" hidden="false" customHeight="false" outlineLevel="0" collapsed="false">
      <c r="A5445" s="0" t="s">
        <v>2041</v>
      </c>
      <c r="B5445" s="0" t="s">
        <v>2042</v>
      </c>
      <c r="C5445" s="0" t="s">
        <v>2361</v>
      </c>
      <c r="D5445" s="0" t="s">
        <v>2105</v>
      </c>
      <c r="E5445" s="0" t="s">
        <v>2045</v>
      </c>
      <c r="F5445" s="0" t="s">
        <v>2268</v>
      </c>
      <c r="G5445" s="0" t="s">
        <v>2269</v>
      </c>
      <c r="H5445" s="0" t="s">
        <v>2270</v>
      </c>
      <c r="I5445" s="0" t="s">
        <v>2124</v>
      </c>
      <c r="J5445" s="0" t="s">
        <v>2358</v>
      </c>
      <c r="K5445" s="272" t="n">
        <v>112580</v>
      </c>
    </row>
    <row r="5446" customFormat="false" ht="15" hidden="false" customHeight="false" outlineLevel="0" collapsed="false">
      <c r="A5446" s="0" t="s">
        <v>2041</v>
      </c>
      <c r="B5446" s="0" t="s">
        <v>2042</v>
      </c>
      <c r="C5446" s="0" t="s">
        <v>2156</v>
      </c>
      <c r="D5446" s="0" t="s">
        <v>2105</v>
      </c>
      <c r="E5446" s="0" t="s">
        <v>2045</v>
      </c>
      <c r="F5446" s="0" t="s">
        <v>2268</v>
      </c>
      <c r="G5446" s="0" t="s">
        <v>2269</v>
      </c>
      <c r="H5446" s="0" t="s">
        <v>2270</v>
      </c>
      <c r="I5446" s="0" t="s">
        <v>2124</v>
      </c>
      <c r="J5446" s="0" t="s">
        <v>2358</v>
      </c>
      <c r="K5446" s="272" t="n">
        <v>10490000</v>
      </c>
    </row>
    <row r="5447" customFormat="false" ht="15" hidden="false" customHeight="false" outlineLevel="0" collapsed="false">
      <c r="A5447" s="0" t="s">
        <v>2041</v>
      </c>
      <c r="B5447" s="0" t="s">
        <v>2042</v>
      </c>
      <c r="C5447" s="0" t="s">
        <v>2161</v>
      </c>
      <c r="D5447" s="0" t="s">
        <v>2105</v>
      </c>
      <c r="E5447" s="0" t="s">
        <v>2045</v>
      </c>
      <c r="F5447" s="0" t="s">
        <v>2268</v>
      </c>
      <c r="G5447" s="0" t="s">
        <v>2269</v>
      </c>
      <c r="H5447" s="0" t="s">
        <v>2270</v>
      </c>
      <c r="I5447" s="0" t="s">
        <v>2124</v>
      </c>
      <c r="J5447" s="0" t="s">
        <v>2358</v>
      </c>
      <c r="K5447" s="272" t="n">
        <v>2915376.04</v>
      </c>
    </row>
    <row r="5448" customFormat="false" ht="15" hidden="false" customHeight="false" outlineLevel="0" collapsed="false">
      <c r="A5448" s="0" t="s">
        <v>2041</v>
      </c>
      <c r="B5448" s="0" t="s">
        <v>2042</v>
      </c>
      <c r="C5448" s="0" t="s">
        <v>2349</v>
      </c>
      <c r="D5448" s="0" t="s">
        <v>2105</v>
      </c>
      <c r="E5448" s="0" t="s">
        <v>2045</v>
      </c>
      <c r="F5448" s="0" t="s">
        <v>2268</v>
      </c>
      <c r="G5448" s="0" t="s">
        <v>2269</v>
      </c>
      <c r="H5448" s="0" t="s">
        <v>2270</v>
      </c>
      <c r="I5448" s="0" t="s">
        <v>2124</v>
      </c>
      <c r="J5448" s="0" t="s">
        <v>2358</v>
      </c>
      <c r="K5448" s="272" t="n">
        <v>1068281.36</v>
      </c>
    </row>
    <row r="5449" customFormat="false" ht="15" hidden="false" customHeight="false" outlineLevel="0" collapsed="false">
      <c r="A5449" s="0" t="s">
        <v>2041</v>
      </c>
      <c r="B5449" s="0" t="s">
        <v>2042</v>
      </c>
      <c r="C5449" s="0" t="s">
        <v>2347</v>
      </c>
      <c r="D5449" s="0" t="s">
        <v>2105</v>
      </c>
      <c r="E5449" s="0" t="s">
        <v>2045</v>
      </c>
      <c r="F5449" s="0" t="s">
        <v>2268</v>
      </c>
      <c r="G5449" s="0" t="s">
        <v>2269</v>
      </c>
      <c r="H5449" s="0" t="s">
        <v>2270</v>
      </c>
      <c r="I5449" s="0" t="s">
        <v>2124</v>
      </c>
      <c r="J5449" s="0" t="s">
        <v>2358</v>
      </c>
      <c r="K5449" s="272" t="n">
        <v>32529.68</v>
      </c>
    </row>
    <row r="5450" customFormat="false" ht="15" hidden="false" customHeight="false" outlineLevel="0" collapsed="false">
      <c r="A5450" s="0" t="s">
        <v>2041</v>
      </c>
      <c r="B5450" s="0" t="s">
        <v>2042</v>
      </c>
      <c r="C5450" s="0" t="s">
        <v>2352</v>
      </c>
      <c r="D5450" s="0" t="s">
        <v>2105</v>
      </c>
      <c r="E5450" s="0" t="s">
        <v>2045</v>
      </c>
      <c r="F5450" s="0" t="s">
        <v>2268</v>
      </c>
      <c r="G5450" s="0" t="s">
        <v>2269</v>
      </c>
      <c r="H5450" s="0" t="s">
        <v>2270</v>
      </c>
      <c r="I5450" s="0" t="s">
        <v>2322</v>
      </c>
      <c r="J5450" s="0" t="s">
        <v>2358</v>
      </c>
      <c r="K5450" s="272" t="n">
        <v>8052181.26</v>
      </c>
    </row>
    <row r="5451" customFormat="false" ht="15" hidden="false" customHeight="false" outlineLevel="0" collapsed="false">
      <c r="A5451" s="0" t="s">
        <v>2041</v>
      </c>
      <c r="B5451" s="0" t="s">
        <v>2042</v>
      </c>
      <c r="C5451" s="0" t="s">
        <v>2359</v>
      </c>
      <c r="D5451" s="0" t="s">
        <v>2105</v>
      </c>
      <c r="E5451" s="0" t="s">
        <v>2045</v>
      </c>
      <c r="F5451" s="0" t="s">
        <v>2268</v>
      </c>
      <c r="G5451" s="0" t="s">
        <v>2269</v>
      </c>
      <c r="H5451" s="0" t="s">
        <v>2270</v>
      </c>
      <c r="I5451" s="0" t="s">
        <v>2322</v>
      </c>
      <c r="J5451" s="0" t="s">
        <v>2358</v>
      </c>
      <c r="K5451" s="272" t="n">
        <v>914085.71</v>
      </c>
    </row>
    <row r="5452" customFormat="false" ht="15" hidden="false" customHeight="false" outlineLevel="0" collapsed="false">
      <c r="A5452" s="0" t="s">
        <v>2041</v>
      </c>
      <c r="B5452" s="0" t="s">
        <v>2042</v>
      </c>
      <c r="C5452" s="0" t="s">
        <v>2361</v>
      </c>
      <c r="D5452" s="0" t="s">
        <v>2105</v>
      </c>
      <c r="E5452" s="0" t="s">
        <v>2045</v>
      </c>
      <c r="F5452" s="0" t="s">
        <v>2268</v>
      </c>
      <c r="G5452" s="0" t="s">
        <v>2269</v>
      </c>
      <c r="H5452" s="0" t="s">
        <v>2270</v>
      </c>
      <c r="I5452" s="0" t="s">
        <v>2322</v>
      </c>
      <c r="J5452" s="0" t="s">
        <v>2358</v>
      </c>
      <c r="K5452" s="272" t="n">
        <v>14938.18</v>
      </c>
    </row>
    <row r="5453" customFormat="false" ht="15" hidden="false" customHeight="false" outlineLevel="0" collapsed="false">
      <c r="A5453" s="0" t="s">
        <v>2041</v>
      </c>
      <c r="B5453" s="0" t="s">
        <v>2042</v>
      </c>
      <c r="C5453" s="0" t="s">
        <v>2156</v>
      </c>
      <c r="D5453" s="0" t="s">
        <v>2105</v>
      </c>
      <c r="E5453" s="0" t="s">
        <v>2045</v>
      </c>
      <c r="F5453" s="0" t="s">
        <v>2268</v>
      </c>
      <c r="G5453" s="0" t="s">
        <v>2269</v>
      </c>
      <c r="H5453" s="0" t="s">
        <v>2270</v>
      </c>
      <c r="I5453" s="0" t="s">
        <v>2322</v>
      </c>
      <c r="J5453" s="0" t="s">
        <v>2358</v>
      </c>
      <c r="K5453" s="272" t="n">
        <v>32405000</v>
      </c>
    </row>
    <row r="5454" customFormat="false" ht="15" hidden="false" customHeight="false" outlineLevel="0" collapsed="false">
      <c r="A5454" s="0" t="s">
        <v>2041</v>
      </c>
      <c r="B5454" s="0" t="s">
        <v>2042</v>
      </c>
      <c r="C5454" s="0" t="s">
        <v>2360</v>
      </c>
      <c r="D5454" s="0" t="s">
        <v>2105</v>
      </c>
      <c r="E5454" s="0" t="s">
        <v>2045</v>
      </c>
      <c r="F5454" s="0" t="s">
        <v>2268</v>
      </c>
      <c r="G5454" s="0" t="s">
        <v>2269</v>
      </c>
      <c r="H5454" s="0" t="s">
        <v>2270</v>
      </c>
      <c r="I5454" s="0" t="s">
        <v>2322</v>
      </c>
      <c r="J5454" s="0" t="s">
        <v>2358</v>
      </c>
      <c r="K5454" s="272" t="n">
        <v>25000</v>
      </c>
    </row>
    <row r="5455" customFormat="false" ht="15" hidden="false" customHeight="false" outlineLevel="0" collapsed="false">
      <c r="A5455" s="0" t="s">
        <v>2041</v>
      </c>
      <c r="B5455" s="0" t="s">
        <v>2042</v>
      </c>
      <c r="C5455" s="0" t="s">
        <v>2161</v>
      </c>
      <c r="D5455" s="0" t="s">
        <v>2105</v>
      </c>
      <c r="E5455" s="0" t="s">
        <v>2045</v>
      </c>
      <c r="F5455" s="0" t="s">
        <v>2268</v>
      </c>
      <c r="G5455" s="0" t="s">
        <v>2269</v>
      </c>
      <c r="H5455" s="0" t="s">
        <v>2270</v>
      </c>
      <c r="I5455" s="0" t="s">
        <v>2322</v>
      </c>
      <c r="J5455" s="0" t="s">
        <v>2358</v>
      </c>
      <c r="K5455" s="272" t="n">
        <v>7135433.83</v>
      </c>
    </row>
    <row r="5456" customFormat="false" ht="15" hidden="false" customHeight="false" outlineLevel="0" collapsed="false">
      <c r="A5456" s="0" t="s">
        <v>2041</v>
      </c>
      <c r="B5456" s="0" t="s">
        <v>2042</v>
      </c>
      <c r="C5456" s="0" t="s">
        <v>2349</v>
      </c>
      <c r="D5456" s="0" t="s">
        <v>2105</v>
      </c>
      <c r="E5456" s="0" t="s">
        <v>2045</v>
      </c>
      <c r="F5456" s="0" t="s">
        <v>2268</v>
      </c>
      <c r="G5456" s="0" t="s">
        <v>2269</v>
      </c>
      <c r="H5456" s="0" t="s">
        <v>2270</v>
      </c>
      <c r="I5456" s="0" t="s">
        <v>2322</v>
      </c>
      <c r="J5456" s="0" t="s">
        <v>2358</v>
      </c>
      <c r="K5456" s="272" t="n">
        <v>2637598.4</v>
      </c>
    </row>
    <row r="5457" customFormat="false" ht="15" hidden="false" customHeight="false" outlineLevel="0" collapsed="false">
      <c r="A5457" s="0" t="s">
        <v>2041</v>
      </c>
      <c r="B5457" s="0" t="s">
        <v>2042</v>
      </c>
      <c r="C5457" s="0" t="s">
        <v>2347</v>
      </c>
      <c r="D5457" s="0" t="s">
        <v>2105</v>
      </c>
      <c r="E5457" s="0" t="s">
        <v>2045</v>
      </c>
      <c r="F5457" s="0" t="s">
        <v>2268</v>
      </c>
      <c r="G5457" s="0" t="s">
        <v>2269</v>
      </c>
      <c r="H5457" s="0" t="s">
        <v>2270</v>
      </c>
      <c r="I5457" s="0" t="s">
        <v>2322</v>
      </c>
      <c r="J5457" s="0" t="s">
        <v>2358</v>
      </c>
      <c r="K5457" s="272" t="n">
        <v>89957.21</v>
      </c>
    </row>
    <row r="5458" customFormat="false" ht="15" hidden="false" customHeight="false" outlineLevel="0" collapsed="false">
      <c r="A5458" s="0" t="s">
        <v>2041</v>
      </c>
      <c r="B5458" s="0" t="s">
        <v>2042</v>
      </c>
      <c r="C5458" s="0" t="s">
        <v>2352</v>
      </c>
      <c r="D5458" s="0" t="s">
        <v>2105</v>
      </c>
      <c r="E5458" s="0" t="s">
        <v>2045</v>
      </c>
      <c r="F5458" s="0" t="s">
        <v>2150</v>
      </c>
      <c r="G5458" s="0" t="s">
        <v>2151</v>
      </c>
      <c r="H5458" s="0" t="s">
        <v>2271</v>
      </c>
      <c r="I5458" s="0" t="s">
        <v>2272</v>
      </c>
      <c r="J5458" s="0" t="s">
        <v>2358</v>
      </c>
      <c r="K5458" s="272" t="n">
        <v>170500</v>
      </c>
    </row>
    <row r="5459" customFormat="false" ht="15" hidden="false" customHeight="false" outlineLevel="0" collapsed="false">
      <c r="A5459" s="0" t="s">
        <v>2041</v>
      </c>
      <c r="B5459" s="0" t="s">
        <v>2042</v>
      </c>
      <c r="C5459" s="0" t="s">
        <v>2156</v>
      </c>
      <c r="D5459" s="0" t="s">
        <v>2105</v>
      </c>
      <c r="E5459" s="0" t="s">
        <v>2045</v>
      </c>
      <c r="F5459" s="0" t="s">
        <v>2150</v>
      </c>
      <c r="G5459" s="0" t="s">
        <v>2151</v>
      </c>
      <c r="H5459" s="0" t="s">
        <v>2271</v>
      </c>
      <c r="I5459" s="0" t="s">
        <v>2272</v>
      </c>
      <c r="J5459" s="0" t="s">
        <v>2358</v>
      </c>
      <c r="K5459" s="272" t="n">
        <v>240000</v>
      </c>
    </row>
    <row r="5460" customFormat="false" ht="15" hidden="false" customHeight="false" outlineLevel="0" collapsed="false">
      <c r="A5460" s="0" t="s">
        <v>2041</v>
      </c>
      <c r="B5460" s="0" t="s">
        <v>2042</v>
      </c>
      <c r="C5460" s="0" t="s">
        <v>2161</v>
      </c>
      <c r="D5460" s="0" t="s">
        <v>2105</v>
      </c>
      <c r="E5460" s="0" t="s">
        <v>2045</v>
      </c>
      <c r="F5460" s="0" t="s">
        <v>2150</v>
      </c>
      <c r="G5460" s="0" t="s">
        <v>2151</v>
      </c>
      <c r="H5460" s="0" t="s">
        <v>2271</v>
      </c>
      <c r="I5460" s="0" t="s">
        <v>2272</v>
      </c>
      <c r="J5460" s="0" t="s">
        <v>2358</v>
      </c>
      <c r="K5460" s="272" t="n">
        <v>72480</v>
      </c>
    </row>
    <row r="5461" customFormat="false" ht="15" hidden="false" customHeight="false" outlineLevel="0" collapsed="false">
      <c r="A5461" s="0" t="s">
        <v>2041</v>
      </c>
      <c r="B5461" s="0" t="s">
        <v>2042</v>
      </c>
      <c r="C5461" s="0" t="s">
        <v>2349</v>
      </c>
      <c r="D5461" s="0" t="s">
        <v>2105</v>
      </c>
      <c r="E5461" s="0" t="s">
        <v>2045</v>
      </c>
      <c r="F5461" s="0" t="s">
        <v>2150</v>
      </c>
      <c r="G5461" s="0" t="s">
        <v>2151</v>
      </c>
      <c r="H5461" s="0" t="s">
        <v>2271</v>
      </c>
      <c r="I5461" s="0" t="s">
        <v>2272</v>
      </c>
      <c r="J5461" s="0" t="s">
        <v>2358</v>
      </c>
      <c r="K5461" s="272" t="n">
        <v>51491</v>
      </c>
    </row>
    <row r="5462" customFormat="false" ht="15" hidden="false" customHeight="false" outlineLevel="0" collapsed="false">
      <c r="A5462" s="0" t="s">
        <v>2041</v>
      </c>
      <c r="B5462" s="0" t="s">
        <v>2042</v>
      </c>
      <c r="C5462" s="0" t="s">
        <v>2352</v>
      </c>
      <c r="D5462" s="0" t="s">
        <v>2105</v>
      </c>
      <c r="E5462" s="0" t="s">
        <v>2045</v>
      </c>
      <c r="F5462" s="0" t="s">
        <v>2150</v>
      </c>
      <c r="G5462" s="0" t="s">
        <v>2151</v>
      </c>
      <c r="H5462" s="0" t="s">
        <v>2152</v>
      </c>
      <c r="I5462" s="0" t="s">
        <v>2322</v>
      </c>
      <c r="J5462" s="0" t="s">
        <v>2358</v>
      </c>
      <c r="K5462" s="272" t="n">
        <v>15538766.79</v>
      </c>
    </row>
    <row r="5463" customFormat="false" ht="15" hidden="false" customHeight="false" outlineLevel="0" collapsed="false">
      <c r="A5463" s="0" t="s">
        <v>2041</v>
      </c>
      <c r="B5463" s="0" t="s">
        <v>2042</v>
      </c>
      <c r="C5463" s="0" t="s">
        <v>2359</v>
      </c>
      <c r="D5463" s="0" t="s">
        <v>2105</v>
      </c>
      <c r="E5463" s="0" t="s">
        <v>2045</v>
      </c>
      <c r="F5463" s="0" t="s">
        <v>2150</v>
      </c>
      <c r="G5463" s="0" t="s">
        <v>2151</v>
      </c>
      <c r="H5463" s="0" t="s">
        <v>2152</v>
      </c>
      <c r="I5463" s="0" t="s">
        <v>2322</v>
      </c>
      <c r="J5463" s="0" t="s">
        <v>2358</v>
      </c>
      <c r="K5463" s="272" t="n">
        <v>930614.8</v>
      </c>
    </row>
    <row r="5464" customFormat="false" ht="15" hidden="false" customHeight="false" outlineLevel="0" collapsed="false">
      <c r="A5464" s="0" t="s">
        <v>2041</v>
      </c>
      <c r="B5464" s="0" t="s">
        <v>2042</v>
      </c>
      <c r="C5464" s="0" t="s">
        <v>2362</v>
      </c>
      <c r="D5464" s="0" t="s">
        <v>2105</v>
      </c>
      <c r="E5464" s="0" t="s">
        <v>2045</v>
      </c>
      <c r="F5464" s="0" t="s">
        <v>2150</v>
      </c>
      <c r="G5464" s="0" t="s">
        <v>2151</v>
      </c>
      <c r="H5464" s="0" t="s">
        <v>2152</v>
      </c>
      <c r="I5464" s="0" t="s">
        <v>2322</v>
      </c>
      <c r="J5464" s="0" t="s">
        <v>2358</v>
      </c>
      <c r="K5464" s="272" t="n">
        <v>10833.33</v>
      </c>
    </row>
    <row r="5465" customFormat="false" ht="15" hidden="false" customHeight="false" outlineLevel="0" collapsed="false">
      <c r="A5465" s="0" t="s">
        <v>2041</v>
      </c>
      <c r="B5465" s="0" t="s">
        <v>2042</v>
      </c>
      <c r="C5465" s="0" t="s">
        <v>2156</v>
      </c>
      <c r="D5465" s="0" t="s">
        <v>2105</v>
      </c>
      <c r="E5465" s="0" t="s">
        <v>2045</v>
      </c>
      <c r="F5465" s="0" t="s">
        <v>2150</v>
      </c>
      <c r="G5465" s="0" t="s">
        <v>2151</v>
      </c>
      <c r="H5465" s="0" t="s">
        <v>2152</v>
      </c>
      <c r="I5465" s="0" t="s">
        <v>2322</v>
      </c>
      <c r="J5465" s="0" t="s">
        <v>2358</v>
      </c>
      <c r="K5465" s="272" t="n">
        <v>24768997</v>
      </c>
    </row>
    <row r="5466" customFormat="false" ht="15" hidden="false" customHeight="false" outlineLevel="0" collapsed="false">
      <c r="A5466" s="0" t="s">
        <v>2041</v>
      </c>
      <c r="B5466" s="0" t="s">
        <v>2042</v>
      </c>
      <c r="C5466" s="0" t="s">
        <v>2360</v>
      </c>
      <c r="D5466" s="0" t="s">
        <v>2105</v>
      </c>
      <c r="E5466" s="0" t="s">
        <v>2045</v>
      </c>
      <c r="F5466" s="0" t="s">
        <v>2150</v>
      </c>
      <c r="G5466" s="0" t="s">
        <v>2151</v>
      </c>
      <c r="H5466" s="0" t="s">
        <v>2152</v>
      </c>
      <c r="I5466" s="0" t="s">
        <v>2322</v>
      </c>
      <c r="J5466" s="0" t="s">
        <v>2358</v>
      </c>
      <c r="K5466" s="272" t="n">
        <v>62969</v>
      </c>
    </row>
    <row r="5467" customFormat="false" ht="15" hidden="false" customHeight="false" outlineLevel="0" collapsed="false">
      <c r="A5467" s="0" t="s">
        <v>2041</v>
      </c>
      <c r="B5467" s="0" t="s">
        <v>2042</v>
      </c>
      <c r="C5467" s="0" t="s">
        <v>2161</v>
      </c>
      <c r="D5467" s="0" t="s">
        <v>2105</v>
      </c>
      <c r="E5467" s="0" t="s">
        <v>2045</v>
      </c>
      <c r="F5467" s="0" t="s">
        <v>2150</v>
      </c>
      <c r="G5467" s="0" t="s">
        <v>2151</v>
      </c>
      <c r="H5467" s="0" t="s">
        <v>2152</v>
      </c>
      <c r="I5467" s="0" t="s">
        <v>2322</v>
      </c>
      <c r="J5467" s="0" t="s">
        <v>2358</v>
      </c>
      <c r="K5467" s="272" t="n">
        <v>7480237.09</v>
      </c>
    </row>
    <row r="5468" customFormat="false" ht="15" hidden="false" customHeight="false" outlineLevel="0" collapsed="false">
      <c r="A5468" s="0" t="s">
        <v>2041</v>
      </c>
      <c r="B5468" s="0" t="s">
        <v>2042</v>
      </c>
      <c r="C5468" s="0" t="s">
        <v>2349</v>
      </c>
      <c r="D5468" s="0" t="s">
        <v>2105</v>
      </c>
      <c r="E5468" s="0" t="s">
        <v>2045</v>
      </c>
      <c r="F5468" s="0" t="s">
        <v>2150</v>
      </c>
      <c r="G5468" s="0" t="s">
        <v>2151</v>
      </c>
      <c r="H5468" s="0" t="s">
        <v>2152</v>
      </c>
      <c r="I5468" s="0" t="s">
        <v>2322</v>
      </c>
      <c r="J5468" s="0" t="s">
        <v>2358</v>
      </c>
      <c r="K5468" s="272" t="n">
        <v>4993936.88</v>
      </c>
    </row>
    <row r="5469" customFormat="false" ht="15" hidden="false" customHeight="false" outlineLevel="0" collapsed="false">
      <c r="A5469" s="0" t="s">
        <v>2041</v>
      </c>
      <c r="B5469" s="0" t="s">
        <v>2042</v>
      </c>
      <c r="C5469" s="0" t="s">
        <v>2352</v>
      </c>
      <c r="D5469" s="0" t="s">
        <v>2105</v>
      </c>
      <c r="E5469" s="0" t="s">
        <v>2045</v>
      </c>
      <c r="F5469" s="0" t="s">
        <v>2150</v>
      </c>
      <c r="G5469" s="0" t="s">
        <v>2151</v>
      </c>
      <c r="H5469" s="0" t="s">
        <v>2273</v>
      </c>
      <c r="I5469" s="0" t="s">
        <v>2272</v>
      </c>
      <c r="J5469" s="0" t="s">
        <v>2358</v>
      </c>
      <c r="K5469" s="272" t="n">
        <v>154261.9</v>
      </c>
    </row>
    <row r="5470" customFormat="false" ht="15" hidden="false" customHeight="false" outlineLevel="0" collapsed="false">
      <c r="A5470" s="0" t="s">
        <v>2041</v>
      </c>
      <c r="B5470" s="0" t="s">
        <v>2042</v>
      </c>
      <c r="C5470" s="0" t="s">
        <v>2359</v>
      </c>
      <c r="D5470" s="0" t="s">
        <v>2105</v>
      </c>
      <c r="E5470" s="0" t="s">
        <v>2045</v>
      </c>
      <c r="F5470" s="0" t="s">
        <v>2150</v>
      </c>
      <c r="G5470" s="0" t="s">
        <v>2151</v>
      </c>
      <c r="H5470" s="0" t="s">
        <v>2273</v>
      </c>
      <c r="I5470" s="0" t="s">
        <v>2272</v>
      </c>
      <c r="J5470" s="0" t="s">
        <v>2358</v>
      </c>
      <c r="K5470" s="272" t="n">
        <v>4121.48</v>
      </c>
    </row>
    <row r="5471" customFormat="false" ht="15" hidden="false" customHeight="false" outlineLevel="0" collapsed="false">
      <c r="A5471" s="0" t="s">
        <v>2041</v>
      </c>
      <c r="B5471" s="0" t="s">
        <v>2042</v>
      </c>
      <c r="C5471" s="0" t="s">
        <v>2156</v>
      </c>
      <c r="D5471" s="0" t="s">
        <v>2105</v>
      </c>
      <c r="E5471" s="0" t="s">
        <v>2045</v>
      </c>
      <c r="F5471" s="0" t="s">
        <v>2150</v>
      </c>
      <c r="G5471" s="0" t="s">
        <v>2151</v>
      </c>
      <c r="H5471" s="0" t="s">
        <v>2273</v>
      </c>
      <c r="I5471" s="0" t="s">
        <v>2272</v>
      </c>
      <c r="J5471" s="0" t="s">
        <v>2358</v>
      </c>
      <c r="K5471" s="272" t="n">
        <v>250000</v>
      </c>
    </row>
    <row r="5472" customFormat="false" ht="15" hidden="false" customHeight="false" outlineLevel="0" collapsed="false">
      <c r="A5472" s="0" t="s">
        <v>2041</v>
      </c>
      <c r="B5472" s="0" t="s">
        <v>2042</v>
      </c>
      <c r="C5472" s="0" t="s">
        <v>2161</v>
      </c>
      <c r="D5472" s="0" t="s">
        <v>2105</v>
      </c>
      <c r="E5472" s="0" t="s">
        <v>2045</v>
      </c>
      <c r="F5472" s="0" t="s">
        <v>2150</v>
      </c>
      <c r="G5472" s="0" t="s">
        <v>2151</v>
      </c>
      <c r="H5472" s="0" t="s">
        <v>2273</v>
      </c>
      <c r="I5472" s="0" t="s">
        <v>2272</v>
      </c>
      <c r="J5472" s="0" t="s">
        <v>2358</v>
      </c>
      <c r="K5472" s="272" t="n">
        <v>75500</v>
      </c>
    </row>
    <row r="5473" customFormat="false" ht="15" hidden="false" customHeight="false" outlineLevel="0" collapsed="false">
      <c r="A5473" s="0" t="s">
        <v>2041</v>
      </c>
      <c r="B5473" s="0" t="s">
        <v>2042</v>
      </c>
      <c r="C5473" s="0" t="s">
        <v>2349</v>
      </c>
      <c r="D5473" s="0" t="s">
        <v>2105</v>
      </c>
      <c r="E5473" s="0" t="s">
        <v>2045</v>
      </c>
      <c r="F5473" s="0" t="s">
        <v>2150</v>
      </c>
      <c r="G5473" s="0" t="s">
        <v>2151</v>
      </c>
      <c r="H5473" s="0" t="s">
        <v>2273</v>
      </c>
      <c r="I5473" s="0" t="s">
        <v>2272</v>
      </c>
      <c r="J5473" s="0" t="s">
        <v>2358</v>
      </c>
      <c r="K5473" s="272" t="n">
        <v>47831.78</v>
      </c>
    </row>
    <row r="5474" customFormat="false" ht="15" hidden="false" customHeight="false" outlineLevel="0" collapsed="false">
      <c r="A5474" s="0" t="s">
        <v>2041</v>
      </c>
      <c r="B5474" s="0" t="s">
        <v>2042</v>
      </c>
      <c r="C5474" s="0" t="s">
        <v>2352</v>
      </c>
      <c r="D5474" s="0" t="s">
        <v>2105</v>
      </c>
      <c r="E5474" s="0" t="s">
        <v>2045</v>
      </c>
      <c r="F5474" s="0" t="s">
        <v>2150</v>
      </c>
      <c r="G5474" s="0" t="s">
        <v>2151</v>
      </c>
      <c r="H5474" s="0" t="s">
        <v>2153</v>
      </c>
      <c r="I5474" s="0" t="s">
        <v>2322</v>
      </c>
      <c r="J5474" s="0" t="s">
        <v>2358</v>
      </c>
      <c r="K5474" s="272" t="n">
        <v>5448492.55</v>
      </c>
    </row>
    <row r="5475" customFormat="false" ht="15" hidden="false" customHeight="false" outlineLevel="0" collapsed="false">
      <c r="A5475" s="0" t="s">
        <v>2041</v>
      </c>
      <c r="B5475" s="0" t="s">
        <v>2042</v>
      </c>
      <c r="C5475" s="0" t="s">
        <v>2359</v>
      </c>
      <c r="D5475" s="0" t="s">
        <v>2105</v>
      </c>
      <c r="E5475" s="0" t="s">
        <v>2045</v>
      </c>
      <c r="F5475" s="0" t="s">
        <v>2150</v>
      </c>
      <c r="G5475" s="0" t="s">
        <v>2151</v>
      </c>
      <c r="H5475" s="0" t="s">
        <v>2153</v>
      </c>
      <c r="I5475" s="0" t="s">
        <v>2322</v>
      </c>
      <c r="J5475" s="0" t="s">
        <v>2358</v>
      </c>
      <c r="K5475" s="272" t="n">
        <v>464547.06</v>
      </c>
    </row>
    <row r="5476" customFormat="false" ht="15" hidden="false" customHeight="false" outlineLevel="0" collapsed="false">
      <c r="A5476" s="0" t="s">
        <v>2041</v>
      </c>
      <c r="B5476" s="0" t="s">
        <v>2042</v>
      </c>
      <c r="C5476" s="0" t="s">
        <v>2362</v>
      </c>
      <c r="D5476" s="0" t="s">
        <v>2105</v>
      </c>
      <c r="E5476" s="0" t="s">
        <v>2045</v>
      </c>
      <c r="F5476" s="0" t="s">
        <v>2150</v>
      </c>
      <c r="G5476" s="0" t="s">
        <v>2151</v>
      </c>
      <c r="H5476" s="0" t="s">
        <v>2153</v>
      </c>
      <c r="I5476" s="0" t="s">
        <v>2322</v>
      </c>
      <c r="J5476" s="0" t="s">
        <v>2358</v>
      </c>
      <c r="K5476" s="272" t="n">
        <v>195053.74</v>
      </c>
    </row>
    <row r="5477" customFormat="false" ht="15" hidden="false" customHeight="false" outlineLevel="0" collapsed="false">
      <c r="A5477" s="0" t="s">
        <v>2041</v>
      </c>
      <c r="B5477" s="0" t="s">
        <v>2042</v>
      </c>
      <c r="C5477" s="0" t="s">
        <v>2156</v>
      </c>
      <c r="D5477" s="0" t="s">
        <v>2105</v>
      </c>
      <c r="E5477" s="0" t="s">
        <v>2045</v>
      </c>
      <c r="F5477" s="0" t="s">
        <v>2150</v>
      </c>
      <c r="G5477" s="0" t="s">
        <v>2151</v>
      </c>
      <c r="H5477" s="0" t="s">
        <v>2153</v>
      </c>
      <c r="I5477" s="0" t="s">
        <v>2322</v>
      </c>
      <c r="J5477" s="0" t="s">
        <v>2358</v>
      </c>
      <c r="K5477" s="272" t="n">
        <v>7426111</v>
      </c>
    </row>
    <row r="5478" customFormat="false" ht="15" hidden="false" customHeight="false" outlineLevel="0" collapsed="false">
      <c r="A5478" s="0" t="s">
        <v>2041</v>
      </c>
      <c r="B5478" s="0" t="s">
        <v>2042</v>
      </c>
      <c r="C5478" s="0" t="s">
        <v>2360</v>
      </c>
      <c r="D5478" s="0" t="s">
        <v>2105</v>
      </c>
      <c r="E5478" s="0" t="s">
        <v>2045</v>
      </c>
      <c r="F5478" s="0" t="s">
        <v>2150</v>
      </c>
      <c r="G5478" s="0" t="s">
        <v>2151</v>
      </c>
      <c r="H5478" s="0" t="s">
        <v>2153</v>
      </c>
      <c r="I5478" s="0" t="s">
        <v>2322</v>
      </c>
      <c r="J5478" s="0" t="s">
        <v>2358</v>
      </c>
      <c r="K5478" s="272" t="n">
        <v>11760</v>
      </c>
    </row>
    <row r="5479" customFormat="false" ht="15" hidden="false" customHeight="false" outlineLevel="0" collapsed="false">
      <c r="A5479" s="0" t="s">
        <v>2041</v>
      </c>
      <c r="B5479" s="0" t="s">
        <v>2042</v>
      </c>
      <c r="C5479" s="0" t="s">
        <v>2161</v>
      </c>
      <c r="D5479" s="0" t="s">
        <v>2105</v>
      </c>
      <c r="E5479" s="0" t="s">
        <v>2045</v>
      </c>
      <c r="F5479" s="0" t="s">
        <v>2150</v>
      </c>
      <c r="G5479" s="0" t="s">
        <v>2151</v>
      </c>
      <c r="H5479" s="0" t="s">
        <v>2153</v>
      </c>
      <c r="I5479" s="0" t="s">
        <v>2322</v>
      </c>
      <c r="J5479" s="0" t="s">
        <v>2358</v>
      </c>
      <c r="K5479" s="272" t="n">
        <v>2213017.98</v>
      </c>
    </row>
    <row r="5480" customFormat="false" ht="15" hidden="false" customHeight="false" outlineLevel="0" collapsed="false">
      <c r="A5480" s="0" t="s">
        <v>2041</v>
      </c>
      <c r="B5480" s="0" t="s">
        <v>2042</v>
      </c>
      <c r="C5480" s="0" t="s">
        <v>2349</v>
      </c>
      <c r="D5480" s="0" t="s">
        <v>2105</v>
      </c>
      <c r="E5480" s="0" t="s">
        <v>2045</v>
      </c>
      <c r="F5480" s="0" t="s">
        <v>2150</v>
      </c>
      <c r="G5480" s="0" t="s">
        <v>2151</v>
      </c>
      <c r="H5480" s="0" t="s">
        <v>2153</v>
      </c>
      <c r="I5480" s="0" t="s">
        <v>2322</v>
      </c>
      <c r="J5480" s="0" t="s">
        <v>2358</v>
      </c>
      <c r="K5480" s="272" t="n">
        <v>1847976.78</v>
      </c>
    </row>
    <row r="5481" customFormat="false" ht="15" hidden="false" customHeight="false" outlineLevel="0" collapsed="false">
      <c r="A5481" s="0" t="s">
        <v>2041</v>
      </c>
      <c r="B5481" s="0" t="s">
        <v>2042</v>
      </c>
      <c r="C5481" s="0" t="s">
        <v>2352</v>
      </c>
      <c r="D5481" s="0" t="s">
        <v>2105</v>
      </c>
      <c r="E5481" s="0" t="s">
        <v>2045</v>
      </c>
      <c r="F5481" s="0" t="s">
        <v>2150</v>
      </c>
      <c r="G5481" s="0" t="s">
        <v>2151</v>
      </c>
      <c r="H5481" s="0" t="s">
        <v>2154</v>
      </c>
      <c r="I5481" s="0" t="s">
        <v>2322</v>
      </c>
      <c r="J5481" s="0" t="s">
        <v>2358</v>
      </c>
      <c r="K5481" s="272" t="n">
        <v>975000</v>
      </c>
    </row>
    <row r="5482" customFormat="false" ht="15" hidden="false" customHeight="false" outlineLevel="0" collapsed="false">
      <c r="A5482" s="0" t="s">
        <v>2041</v>
      </c>
      <c r="B5482" s="0" t="s">
        <v>2042</v>
      </c>
      <c r="C5482" s="0" t="s">
        <v>2359</v>
      </c>
      <c r="D5482" s="0" t="s">
        <v>2105</v>
      </c>
      <c r="E5482" s="0" t="s">
        <v>2045</v>
      </c>
      <c r="F5482" s="0" t="s">
        <v>2150</v>
      </c>
      <c r="G5482" s="0" t="s">
        <v>2151</v>
      </c>
      <c r="H5482" s="0" t="s">
        <v>2154</v>
      </c>
      <c r="I5482" s="0" t="s">
        <v>2322</v>
      </c>
      <c r="J5482" s="0" t="s">
        <v>2358</v>
      </c>
      <c r="K5482" s="272" t="n">
        <v>51002.45</v>
      </c>
    </row>
    <row r="5483" customFormat="false" ht="15" hidden="false" customHeight="false" outlineLevel="0" collapsed="false">
      <c r="A5483" s="0" t="s">
        <v>2041</v>
      </c>
      <c r="B5483" s="0" t="s">
        <v>2042</v>
      </c>
      <c r="C5483" s="0" t="s">
        <v>2156</v>
      </c>
      <c r="D5483" s="0" t="s">
        <v>2105</v>
      </c>
      <c r="E5483" s="0" t="s">
        <v>2045</v>
      </c>
      <c r="F5483" s="0" t="s">
        <v>2150</v>
      </c>
      <c r="G5483" s="0" t="s">
        <v>2151</v>
      </c>
      <c r="H5483" s="0" t="s">
        <v>2154</v>
      </c>
      <c r="I5483" s="0" t="s">
        <v>2322</v>
      </c>
      <c r="J5483" s="0" t="s">
        <v>2358</v>
      </c>
      <c r="K5483" s="272" t="n">
        <v>3700000</v>
      </c>
    </row>
    <row r="5484" customFormat="false" ht="15" hidden="false" customHeight="false" outlineLevel="0" collapsed="false">
      <c r="A5484" s="0" t="s">
        <v>2041</v>
      </c>
      <c r="B5484" s="0" t="s">
        <v>2042</v>
      </c>
      <c r="C5484" s="0" t="s">
        <v>2161</v>
      </c>
      <c r="D5484" s="0" t="s">
        <v>2105</v>
      </c>
      <c r="E5484" s="0" t="s">
        <v>2045</v>
      </c>
      <c r="F5484" s="0" t="s">
        <v>2150</v>
      </c>
      <c r="G5484" s="0" t="s">
        <v>2151</v>
      </c>
      <c r="H5484" s="0" t="s">
        <v>2154</v>
      </c>
      <c r="I5484" s="0" t="s">
        <v>2322</v>
      </c>
      <c r="J5484" s="0" t="s">
        <v>2358</v>
      </c>
      <c r="K5484" s="272" t="n">
        <v>598731.73</v>
      </c>
    </row>
    <row r="5485" customFormat="false" ht="15" hidden="false" customHeight="false" outlineLevel="0" collapsed="false">
      <c r="A5485" s="0" t="s">
        <v>2041</v>
      </c>
      <c r="B5485" s="0" t="s">
        <v>2042</v>
      </c>
      <c r="C5485" s="0" t="s">
        <v>2349</v>
      </c>
      <c r="D5485" s="0" t="s">
        <v>2105</v>
      </c>
      <c r="E5485" s="0" t="s">
        <v>2045</v>
      </c>
      <c r="F5485" s="0" t="s">
        <v>2150</v>
      </c>
      <c r="G5485" s="0" t="s">
        <v>2151</v>
      </c>
      <c r="H5485" s="0" t="s">
        <v>2154</v>
      </c>
      <c r="I5485" s="0" t="s">
        <v>2322</v>
      </c>
      <c r="J5485" s="0" t="s">
        <v>2358</v>
      </c>
      <c r="K5485" s="272" t="n">
        <v>302253.38</v>
      </c>
    </row>
    <row r="5486" customFormat="false" ht="15" hidden="false" customHeight="false" outlineLevel="0" collapsed="false">
      <c r="A5486" s="0" t="s">
        <v>2041</v>
      </c>
      <c r="B5486" s="0" t="s">
        <v>2042</v>
      </c>
      <c r="C5486" s="0" t="s">
        <v>2352</v>
      </c>
      <c r="D5486" s="0" t="s">
        <v>2105</v>
      </c>
      <c r="E5486" s="0" t="s">
        <v>2045</v>
      </c>
      <c r="F5486" s="0" t="s">
        <v>2150</v>
      </c>
      <c r="G5486" s="0" t="s">
        <v>2155</v>
      </c>
      <c r="H5486" s="0" t="s">
        <v>2154</v>
      </c>
      <c r="I5486" s="0" t="s">
        <v>2322</v>
      </c>
      <c r="J5486" s="0" t="s">
        <v>2358</v>
      </c>
      <c r="K5486" s="272" t="n">
        <v>6924720.29</v>
      </c>
    </row>
    <row r="5487" customFormat="false" ht="15" hidden="false" customHeight="false" outlineLevel="0" collapsed="false">
      <c r="A5487" s="0" t="s">
        <v>2041</v>
      </c>
      <c r="B5487" s="0" t="s">
        <v>2042</v>
      </c>
      <c r="C5487" s="0" t="s">
        <v>2359</v>
      </c>
      <c r="D5487" s="0" t="s">
        <v>2105</v>
      </c>
      <c r="E5487" s="0" t="s">
        <v>2045</v>
      </c>
      <c r="F5487" s="0" t="s">
        <v>2150</v>
      </c>
      <c r="G5487" s="0" t="s">
        <v>2155</v>
      </c>
      <c r="H5487" s="0" t="s">
        <v>2154</v>
      </c>
      <c r="I5487" s="0" t="s">
        <v>2322</v>
      </c>
      <c r="J5487" s="0" t="s">
        <v>2358</v>
      </c>
      <c r="K5487" s="272" t="n">
        <v>505750.55</v>
      </c>
    </row>
    <row r="5488" customFormat="false" ht="15" hidden="false" customHeight="false" outlineLevel="0" collapsed="false">
      <c r="A5488" s="0" t="s">
        <v>2041</v>
      </c>
      <c r="B5488" s="0" t="s">
        <v>2042</v>
      </c>
      <c r="C5488" s="0" t="s">
        <v>2156</v>
      </c>
      <c r="D5488" s="0" t="s">
        <v>2105</v>
      </c>
      <c r="E5488" s="0" t="s">
        <v>2045</v>
      </c>
      <c r="F5488" s="0" t="s">
        <v>2150</v>
      </c>
      <c r="G5488" s="0" t="s">
        <v>2155</v>
      </c>
      <c r="H5488" s="0" t="s">
        <v>2154</v>
      </c>
      <c r="I5488" s="0" t="s">
        <v>2322</v>
      </c>
      <c r="J5488" s="0" t="s">
        <v>2358</v>
      </c>
      <c r="K5488" s="272" t="n">
        <v>15363000</v>
      </c>
    </row>
    <row r="5489" customFormat="false" ht="15" hidden="false" customHeight="false" outlineLevel="0" collapsed="false">
      <c r="A5489" s="0" t="s">
        <v>2041</v>
      </c>
      <c r="B5489" s="0" t="s">
        <v>2042</v>
      </c>
      <c r="C5489" s="0" t="s">
        <v>2161</v>
      </c>
      <c r="D5489" s="0" t="s">
        <v>2105</v>
      </c>
      <c r="E5489" s="0" t="s">
        <v>2045</v>
      </c>
      <c r="F5489" s="0" t="s">
        <v>2150</v>
      </c>
      <c r="G5489" s="0" t="s">
        <v>2155</v>
      </c>
      <c r="H5489" s="0" t="s">
        <v>2154</v>
      </c>
      <c r="I5489" s="0" t="s">
        <v>2322</v>
      </c>
      <c r="J5489" s="0" t="s">
        <v>2358</v>
      </c>
      <c r="K5489" s="272" t="n">
        <v>3782876</v>
      </c>
    </row>
    <row r="5490" customFormat="false" ht="15" hidden="false" customHeight="false" outlineLevel="0" collapsed="false">
      <c r="A5490" s="0" t="s">
        <v>2041</v>
      </c>
      <c r="B5490" s="0" t="s">
        <v>2042</v>
      </c>
      <c r="C5490" s="0" t="s">
        <v>2349</v>
      </c>
      <c r="D5490" s="0" t="s">
        <v>2105</v>
      </c>
      <c r="E5490" s="0" t="s">
        <v>2045</v>
      </c>
      <c r="F5490" s="0" t="s">
        <v>2150</v>
      </c>
      <c r="G5490" s="0" t="s">
        <v>2155</v>
      </c>
      <c r="H5490" s="0" t="s">
        <v>2154</v>
      </c>
      <c r="I5490" s="0" t="s">
        <v>2322</v>
      </c>
      <c r="J5490" s="0" t="s">
        <v>2358</v>
      </c>
      <c r="K5490" s="272" t="n">
        <v>2222119.16</v>
      </c>
    </row>
    <row r="5491" customFormat="false" ht="15" hidden="false" customHeight="false" outlineLevel="0" collapsed="false">
      <c r="A5491" s="0" t="s">
        <v>2041</v>
      </c>
      <c r="B5491" s="0" t="s">
        <v>2042</v>
      </c>
      <c r="C5491" s="0" t="s">
        <v>2347</v>
      </c>
      <c r="D5491" s="0" t="s">
        <v>2105</v>
      </c>
      <c r="E5491" s="0" t="s">
        <v>2045</v>
      </c>
      <c r="F5491" s="0" t="s">
        <v>2150</v>
      </c>
      <c r="G5491" s="0" t="s">
        <v>2155</v>
      </c>
      <c r="H5491" s="0" t="s">
        <v>2154</v>
      </c>
      <c r="I5491" s="0" t="s">
        <v>2322</v>
      </c>
      <c r="J5491" s="0" t="s">
        <v>2358</v>
      </c>
      <c r="K5491" s="272" t="n">
        <v>32389.3</v>
      </c>
    </row>
    <row r="5492" customFormat="false" ht="15" hidden="false" customHeight="false" outlineLevel="0" collapsed="false">
      <c r="A5492" s="0" t="s">
        <v>2041</v>
      </c>
      <c r="B5492" s="0" t="s">
        <v>2042</v>
      </c>
      <c r="C5492" s="0" t="s">
        <v>2352</v>
      </c>
      <c r="D5492" s="0" t="s">
        <v>2105</v>
      </c>
      <c r="E5492" s="0" t="s">
        <v>2045</v>
      </c>
      <c r="F5492" s="0" t="s">
        <v>2150</v>
      </c>
      <c r="G5492" s="0" t="s">
        <v>2332</v>
      </c>
      <c r="H5492" s="0" t="s">
        <v>2152</v>
      </c>
      <c r="I5492" s="0" t="s">
        <v>2322</v>
      </c>
      <c r="J5492" s="0" t="s">
        <v>2358</v>
      </c>
      <c r="K5492" s="272" t="n">
        <v>1933777.87</v>
      </c>
    </row>
    <row r="5493" customFormat="false" ht="15" hidden="false" customHeight="false" outlineLevel="0" collapsed="false">
      <c r="A5493" s="0" t="s">
        <v>2041</v>
      </c>
      <c r="B5493" s="0" t="s">
        <v>2042</v>
      </c>
      <c r="C5493" s="0" t="s">
        <v>2359</v>
      </c>
      <c r="D5493" s="0" t="s">
        <v>2105</v>
      </c>
      <c r="E5493" s="0" t="s">
        <v>2045</v>
      </c>
      <c r="F5493" s="0" t="s">
        <v>2150</v>
      </c>
      <c r="G5493" s="0" t="s">
        <v>2332</v>
      </c>
      <c r="H5493" s="0" t="s">
        <v>2152</v>
      </c>
      <c r="I5493" s="0" t="s">
        <v>2322</v>
      </c>
      <c r="J5493" s="0" t="s">
        <v>2358</v>
      </c>
      <c r="K5493" s="272" t="n">
        <v>41474.99</v>
      </c>
    </row>
    <row r="5494" customFormat="false" ht="15" hidden="false" customHeight="false" outlineLevel="0" collapsed="false">
      <c r="A5494" s="0" t="s">
        <v>2041</v>
      </c>
      <c r="B5494" s="0" t="s">
        <v>2042</v>
      </c>
      <c r="C5494" s="0" t="s">
        <v>2361</v>
      </c>
      <c r="D5494" s="0" t="s">
        <v>2105</v>
      </c>
      <c r="E5494" s="0" t="s">
        <v>2045</v>
      </c>
      <c r="F5494" s="0" t="s">
        <v>2150</v>
      </c>
      <c r="G5494" s="0" t="s">
        <v>2332</v>
      </c>
      <c r="H5494" s="0" t="s">
        <v>2152</v>
      </c>
      <c r="I5494" s="0" t="s">
        <v>2322</v>
      </c>
      <c r="J5494" s="0" t="s">
        <v>2358</v>
      </c>
      <c r="K5494" s="272" t="n">
        <v>41.08</v>
      </c>
    </row>
    <row r="5495" customFormat="false" ht="15" hidden="false" customHeight="false" outlineLevel="0" collapsed="false">
      <c r="A5495" s="0" t="s">
        <v>2041</v>
      </c>
      <c r="B5495" s="0" t="s">
        <v>2042</v>
      </c>
      <c r="C5495" s="0" t="s">
        <v>2156</v>
      </c>
      <c r="D5495" s="0" t="s">
        <v>2105</v>
      </c>
      <c r="E5495" s="0" t="s">
        <v>2045</v>
      </c>
      <c r="F5495" s="0" t="s">
        <v>2150</v>
      </c>
      <c r="G5495" s="0" t="s">
        <v>2332</v>
      </c>
      <c r="H5495" s="0" t="s">
        <v>2152</v>
      </c>
      <c r="I5495" s="0" t="s">
        <v>2322</v>
      </c>
      <c r="J5495" s="0" t="s">
        <v>2358</v>
      </c>
      <c r="K5495" s="272" t="n">
        <v>2900000</v>
      </c>
    </row>
    <row r="5496" customFormat="false" ht="15" hidden="false" customHeight="false" outlineLevel="0" collapsed="false">
      <c r="A5496" s="0" t="s">
        <v>2041</v>
      </c>
      <c r="B5496" s="0" t="s">
        <v>2042</v>
      </c>
      <c r="C5496" s="0" t="s">
        <v>2161</v>
      </c>
      <c r="D5496" s="0" t="s">
        <v>2105</v>
      </c>
      <c r="E5496" s="0" t="s">
        <v>2045</v>
      </c>
      <c r="F5496" s="0" t="s">
        <v>2150</v>
      </c>
      <c r="G5496" s="0" t="s">
        <v>2332</v>
      </c>
      <c r="H5496" s="0" t="s">
        <v>2152</v>
      </c>
      <c r="I5496" s="0" t="s">
        <v>2322</v>
      </c>
      <c r="J5496" s="0" t="s">
        <v>2358</v>
      </c>
      <c r="K5496" s="272" t="n">
        <v>875800</v>
      </c>
    </row>
    <row r="5497" customFormat="false" ht="15" hidden="false" customHeight="false" outlineLevel="0" collapsed="false">
      <c r="A5497" s="0" t="s">
        <v>2041</v>
      </c>
      <c r="B5497" s="0" t="s">
        <v>2042</v>
      </c>
      <c r="C5497" s="0" t="s">
        <v>2349</v>
      </c>
      <c r="D5497" s="0" t="s">
        <v>2105</v>
      </c>
      <c r="E5497" s="0" t="s">
        <v>2045</v>
      </c>
      <c r="F5497" s="0" t="s">
        <v>2150</v>
      </c>
      <c r="G5497" s="0" t="s">
        <v>2332</v>
      </c>
      <c r="H5497" s="0" t="s">
        <v>2152</v>
      </c>
      <c r="I5497" s="0" t="s">
        <v>2322</v>
      </c>
      <c r="J5497" s="0" t="s">
        <v>2358</v>
      </c>
      <c r="K5497" s="272" t="n">
        <v>591932.04</v>
      </c>
    </row>
    <row r="5498" customFormat="false" ht="15" hidden="false" customHeight="false" outlineLevel="0" collapsed="false">
      <c r="A5498" s="0" t="s">
        <v>2041</v>
      </c>
      <c r="B5498" s="0" t="s">
        <v>2042</v>
      </c>
      <c r="C5498" s="0" t="s">
        <v>2352</v>
      </c>
      <c r="D5498" s="0" t="s">
        <v>2105</v>
      </c>
      <c r="E5498" s="0" t="s">
        <v>2274</v>
      </c>
      <c r="F5498" s="0" t="s">
        <v>2275</v>
      </c>
      <c r="G5498" s="0" t="s">
        <v>2276</v>
      </c>
      <c r="H5498" s="0" t="s">
        <v>2277</v>
      </c>
      <c r="I5498" s="0" t="s">
        <v>2278</v>
      </c>
      <c r="J5498" s="0" t="s">
        <v>2358</v>
      </c>
      <c r="K5498" s="272" t="n">
        <v>4378.53</v>
      </c>
    </row>
    <row r="5499" customFormat="false" ht="15" hidden="false" customHeight="false" outlineLevel="0" collapsed="false">
      <c r="A5499" s="0" t="s">
        <v>2041</v>
      </c>
      <c r="B5499" s="0" t="s">
        <v>2042</v>
      </c>
      <c r="C5499" s="0" t="s">
        <v>2359</v>
      </c>
      <c r="D5499" s="0" t="s">
        <v>2105</v>
      </c>
      <c r="E5499" s="0" t="s">
        <v>2274</v>
      </c>
      <c r="F5499" s="0" t="s">
        <v>2275</v>
      </c>
      <c r="G5499" s="0" t="s">
        <v>2276</v>
      </c>
      <c r="H5499" s="0" t="s">
        <v>2277</v>
      </c>
      <c r="I5499" s="0" t="s">
        <v>2278</v>
      </c>
      <c r="J5499" s="0" t="s">
        <v>2358</v>
      </c>
      <c r="K5499" s="272" t="n">
        <v>60900.82</v>
      </c>
    </row>
    <row r="5500" customFormat="false" ht="15" hidden="false" customHeight="false" outlineLevel="0" collapsed="false">
      <c r="A5500" s="0" t="s">
        <v>2041</v>
      </c>
      <c r="B5500" s="0" t="s">
        <v>2042</v>
      </c>
      <c r="C5500" s="0" t="s">
        <v>2156</v>
      </c>
      <c r="D5500" s="0" t="s">
        <v>2105</v>
      </c>
      <c r="E5500" s="0" t="s">
        <v>2274</v>
      </c>
      <c r="F5500" s="0" t="s">
        <v>2275</v>
      </c>
      <c r="G5500" s="0" t="s">
        <v>2276</v>
      </c>
      <c r="H5500" s="0" t="s">
        <v>2277</v>
      </c>
      <c r="I5500" s="0" t="s">
        <v>2278</v>
      </c>
      <c r="J5500" s="0" t="s">
        <v>2358</v>
      </c>
      <c r="K5500" s="272" t="n">
        <v>58586</v>
      </c>
    </row>
    <row r="5501" customFormat="false" ht="15" hidden="false" customHeight="false" outlineLevel="0" collapsed="false">
      <c r="A5501" s="0" t="s">
        <v>2041</v>
      </c>
      <c r="B5501" s="0" t="s">
        <v>2042</v>
      </c>
      <c r="C5501" s="0" t="s">
        <v>2161</v>
      </c>
      <c r="D5501" s="0" t="s">
        <v>2105</v>
      </c>
      <c r="E5501" s="0" t="s">
        <v>2274</v>
      </c>
      <c r="F5501" s="0" t="s">
        <v>2275</v>
      </c>
      <c r="G5501" s="0" t="s">
        <v>2276</v>
      </c>
      <c r="H5501" s="0" t="s">
        <v>2277</v>
      </c>
      <c r="I5501" s="0" t="s">
        <v>2278</v>
      </c>
      <c r="J5501" s="0" t="s">
        <v>2358</v>
      </c>
      <c r="K5501" s="272" t="n">
        <v>4569.7</v>
      </c>
    </row>
    <row r="5502" customFormat="false" ht="15" hidden="false" customHeight="false" outlineLevel="0" collapsed="false">
      <c r="A5502" s="0" t="s">
        <v>2041</v>
      </c>
      <c r="B5502" s="0" t="s">
        <v>2042</v>
      </c>
      <c r="C5502" s="0" t="s">
        <v>2349</v>
      </c>
      <c r="D5502" s="0" t="s">
        <v>2105</v>
      </c>
      <c r="E5502" s="0" t="s">
        <v>2274</v>
      </c>
      <c r="F5502" s="0" t="s">
        <v>2275</v>
      </c>
      <c r="G5502" s="0" t="s">
        <v>2276</v>
      </c>
      <c r="H5502" s="0" t="s">
        <v>2277</v>
      </c>
      <c r="I5502" s="0" t="s">
        <v>2278</v>
      </c>
      <c r="J5502" s="0" t="s">
        <v>2358</v>
      </c>
      <c r="K5502" s="272" t="n">
        <v>5091.79</v>
      </c>
    </row>
    <row r="5503" customFormat="false" ht="15" hidden="false" customHeight="false" outlineLevel="0" collapsed="false">
      <c r="A5503" s="0" t="s">
        <v>2041</v>
      </c>
      <c r="B5503" s="0" t="s">
        <v>2042</v>
      </c>
      <c r="C5503" s="0" t="s">
        <v>2352</v>
      </c>
      <c r="D5503" s="0" t="s">
        <v>2105</v>
      </c>
      <c r="E5503" s="0" t="s">
        <v>2274</v>
      </c>
      <c r="F5503" s="0" t="s">
        <v>2275</v>
      </c>
      <c r="G5503" s="0" t="s">
        <v>2276</v>
      </c>
      <c r="H5503" s="0" t="s">
        <v>2277</v>
      </c>
      <c r="I5503" s="0" t="s">
        <v>2322</v>
      </c>
      <c r="J5503" s="0" t="s">
        <v>2358</v>
      </c>
      <c r="K5503" s="272" t="n">
        <v>4512820</v>
      </c>
    </row>
    <row r="5504" customFormat="false" ht="15" hidden="false" customHeight="false" outlineLevel="0" collapsed="false">
      <c r="A5504" s="0" t="s">
        <v>2041</v>
      </c>
      <c r="B5504" s="0" t="s">
        <v>2042</v>
      </c>
      <c r="C5504" s="0" t="s">
        <v>2359</v>
      </c>
      <c r="D5504" s="0" t="s">
        <v>2105</v>
      </c>
      <c r="E5504" s="0" t="s">
        <v>2274</v>
      </c>
      <c r="F5504" s="0" t="s">
        <v>2275</v>
      </c>
      <c r="G5504" s="0" t="s">
        <v>2276</v>
      </c>
      <c r="H5504" s="0" t="s">
        <v>2277</v>
      </c>
      <c r="I5504" s="0" t="s">
        <v>2322</v>
      </c>
      <c r="J5504" s="0" t="s">
        <v>2358</v>
      </c>
      <c r="K5504" s="272" t="n">
        <v>312402.58</v>
      </c>
    </row>
    <row r="5505" customFormat="false" ht="15" hidden="false" customHeight="false" outlineLevel="0" collapsed="false">
      <c r="A5505" s="0" t="s">
        <v>2041</v>
      </c>
      <c r="B5505" s="0" t="s">
        <v>2042</v>
      </c>
      <c r="C5505" s="0" t="s">
        <v>2362</v>
      </c>
      <c r="D5505" s="0" t="s">
        <v>2105</v>
      </c>
      <c r="E5505" s="0" t="s">
        <v>2274</v>
      </c>
      <c r="F5505" s="0" t="s">
        <v>2275</v>
      </c>
      <c r="G5505" s="0" t="s">
        <v>2276</v>
      </c>
      <c r="H5505" s="0" t="s">
        <v>2277</v>
      </c>
      <c r="I5505" s="0" t="s">
        <v>2322</v>
      </c>
      <c r="J5505" s="0" t="s">
        <v>2358</v>
      </c>
      <c r="K5505" s="272" t="n">
        <v>26035.72</v>
      </c>
    </row>
    <row r="5506" customFormat="false" ht="15" hidden="false" customHeight="false" outlineLevel="0" collapsed="false">
      <c r="A5506" s="0" t="s">
        <v>2041</v>
      </c>
      <c r="B5506" s="0" t="s">
        <v>2042</v>
      </c>
      <c r="C5506" s="0" t="s">
        <v>2361</v>
      </c>
      <c r="D5506" s="0" t="s">
        <v>2105</v>
      </c>
      <c r="E5506" s="0" t="s">
        <v>2274</v>
      </c>
      <c r="F5506" s="0" t="s">
        <v>2275</v>
      </c>
      <c r="G5506" s="0" t="s">
        <v>2276</v>
      </c>
      <c r="H5506" s="0" t="s">
        <v>2277</v>
      </c>
      <c r="I5506" s="0" t="s">
        <v>2322</v>
      </c>
      <c r="J5506" s="0" t="s">
        <v>2358</v>
      </c>
      <c r="K5506" s="272" t="n">
        <v>91854.18</v>
      </c>
    </row>
    <row r="5507" customFormat="false" ht="15" hidden="false" customHeight="false" outlineLevel="0" collapsed="false">
      <c r="A5507" s="0" t="s">
        <v>2041</v>
      </c>
      <c r="B5507" s="0" t="s">
        <v>2042</v>
      </c>
      <c r="C5507" s="0" t="s">
        <v>2156</v>
      </c>
      <c r="D5507" s="0" t="s">
        <v>2105</v>
      </c>
      <c r="E5507" s="0" t="s">
        <v>2274</v>
      </c>
      <c r="F5507" s="0" t="s">
        <v>2275</v>
      </c>
      <c r="G5507" s="0" t="s">
        <v>2276</v>
      </c>
      <c r="H5507" s="0" t="s">
        <v>2277</v>
      </c>
      <c r="I5507" s="0" t="s">
        <v>2322</v>
      </c>
      <c r="J5507" s="0" t="s">
        <v>2358</v>
      </c>
      <c r="K5507" s="272" t="n">
        <v>6531163</v>
      </c>
    </row>
    <row r="5508" customFormat="false" ht="15" hidden="false" customHeight="false" outlineLevel="0" collapsed="false">
      <c r="A5508" s="0" t="s">
        <v>2041</v>
      </c>
      <c r="B5508" s="0" t="s">
        <v>2042</v>
      </c>
      <c r="C5508" s="0" t="s">
        <v>2161</v>
      </c>
      <c r="D5508" s="0" t="s">
        <v>2105</v>
      </c>
      <c r="E5508" s="0" t="s">
        <v>2274</v>
      </c>
      <c r="F5508" s="0" t="s">
        <v>2275</v>
      </c>
      <c r="G5508" s="0" t="s">
        <v>2276</v>
      </c>
      <c r="H5508" s="0" t="s">
        <v>2277</v>
      </c>
      <c r="I5508" s="0" t="s">
        <v>2322</v>
      </c>
      <c r="J5508" s="0" t="s">
        <v>2358</v>
      </c>
      <c r="K5508" s="272" t="n">
        <v>1972411.23</v>
      </c>
    </row>
    <row r="5509" customFormat="false" ht="15" hidden="false" customHeight="false" outlineLevel="0" collapsed="false">
      <c r="A5509" s="0" t="s">
        <v>2041</v>
      </c>
      <c r="B5509" s="0" t="s">
        <v>2042</v>
      </c>
      <c r="C5509" s="0" t="s">
        <v>2349</v>
      </c>
      <c r="D5509" s="0" t="s">
        <v>2105</v>
      </c>
      <c r="E5509" s="0" t="s">
        <v>2274</v>
      </c>
      <c r="F5509" s="0" t="s">
        <v>2275</v>
      </c>
      <c r="G5509" s="0" t="s">
        <v>2276</v>
      </c>
      <c r="H5509" s="0" t="s">
        <v>2277</v>
      </c>
      <c r="I5509" s="0" t="s">
        <v>2322</v>
      </c>
      <c r="J5509" s="0" t="s">
        <v>2358</v>
      </c>
      <c r="K5509" s="272" t="n">
        <v>1488180.01</v>
      </c>
    </row>
    <row r="5510" customFormat="false" ht="15" hidden="false" customHeight="false" outlineLevel="0" collapsed="false">
      <c r="A5510" s="0" t="s">
        <v>2041</v>
      </c>
      <c r="B5510" s="0" t="s">
        <v>2042</v>
      </c>
      <c r="C5510" s="0" t="s">
        <v>2156</v>
      </c>
      <c r="D5510" s="0" t="s">
        <v>2279</v>
      </c>
      <c r="E5510" s="0" t="s">
        <v>2279</v>
      </c>
      <c r="F5510" s="0" t="s">
        <v>2280</v>
      </c>
      <c r="G5510" s="0" t="s">
        <v>2281</v>
      </c>
      <c r="H5510" s="0" t="s">
        <v>2284</v>
      </c>
      <c r="I5510" s="0" t="s">
        <v>2322</v>
      </c>
      <c r="J5510" s="0" t="s">
        <v>2358</v>
      </c>
      <c r="K5510" s="272" t="n">
        <v>2467446.75</v>
      </c>
    </row>
    <row r="5511" customFormat="false" ht="15" hidden="false" customHeight="false" outlineLevel="0" collapsed="false">
      <c r="A5511" s="0" t="s">
        <v>2041</v>
      </c>
      <c r="B5511" s="0" t="s">
        <v>2042</v>
      </c>
      <c r="C5511" s="0" t="s">
        <v>2161</v>
      </c>
      <c r="D5511" s="0" t="s">
        <v>2279</v>
      </c>
      <c r="E5511" s="0" t="s">
        <v>2279</v>
      </c>
      <c r="F5511" s="0" t="s">
        <v>2280</v>
      </c>
      <c r="G5511" s="0" t="s">
        <v>2281</v>
      </c>
      <c r="H5511" s="0" t="s">
        <v>2284</v>
      </c>
      <c r="I5511" s="0" t="s">
        <v>2322</v>
      </c>
      <c r="J5511" s="0" t="s">
        <v>2358</v>
      </c>
      <c r="K5511" s="272" t="n">
        <v>377519.34</v>
      </c>
    </row>
    <row r="5512" customFormat="false" ht="15" hidden="false" customHeight="false" outlineLevel="0" collapsed="false">
      <c r="A5512" s="0" t="s">
        <v>2041</v>
      </c>
      <c r="B5512" s="0" t="s">
        <v>2042</v>
      </c>
      <c r="C5512" s="0" t="s">
        <v>2349</v>
      </c>
      <c r="D5512" s="0" t="s">
        <v>2279</v>
      </c>
      <c r="E5512" s="0" t="s">
        <v>2279</v>
      </c>
      <c r="F5512" s="0" t="s">
        <v>2280</v>
      </c>
      <c r="G5512" s="0" t="s">
        <v>2281</v>
      </c>
      <c r="H5512" s="0" t="s">
        <v>2284</v>
      </c>
      <c r="I5512" s="0" t="s">
        <v>2322</v>
      </c>
      <c r="J5512" s="0" t="s">
        <v>2358</v>
      </c>
      <c r="K5512" s="272" t="n">
        <v>310895.24</v>
      </c>
    </row>
    <row r="5513" customFormat="false" ht="15" hidden="false" customHeight="false" outlineLevel="0" collapsed="false">
      <c r="A5513" s="0" t="s">
        <v>2041</v>
      </c>
      <c r="B5513" s="0" t="s">
        <v>2042</v>
      </c>
      <c r="C5513" s="0" t="s">
        <v>2156</v>
      </c>
      <c r="D5513" s="0" t="s">
        <v>2279</v>
      </c>
      <c r="E5513" s="0" t="s">
        <v>2279</v>
      </c>
      <c r="F5513" s="0" t="s">
        <v>2280</v>
      </c>
      <c r="G5513" s="0" t="s">
        <v>2281</v>
      </c>
      <c r="H5513" s="0" t="s">
        <v>2286</v>
      </c>
      <c r="I5513" s="0" t="s">
        <v>2322</v>
      </c>
      <c r="J5513" s="0" t="s">
        <v>2358</v>
      </c>
      <c r="K5513" s="272" t="n">
        <v>2770302.15</v>
      </c>
    </row>
    <row r="5514" customFormat="false" ht="15" hidden="false" customHeight="false" outlineLevel="0" collapsed="false">
      <c r="A5514" s="0" t="s">
        <v>2041</v>
      </c>
      <c r="B5514" s="0" t="s">
        <v>2042</v>
      </c>
      <c r="C5514" s="0" t="s">
        <v>2161</v>
      </c>
      <c r="D5514" s="0" t="s">
        <v>2279</v>
      </c>
      <c r="E5514" s="0" t="s">
        <v>2279</v>
      </c>
      <c r="F5514" s="0" t="s">
        <v>2280</v>
      </c>
      <c r="G5514" s="0" t="s">
        <v>2281</v>
      </c>
      <c r="H5514" s="0" t="s">
        <v>2286</v>
      </c>
      <c r="I5514" s="0" t="s">
        <v>2322</v>
      </c>
      <c r="J5514" s="0" t="s">
        <v>2358</v>
      </c>
      <c r="K5514" s="272" t="n">
        <v>531788.68</v>
      </c>
    </row>
    <row r="5515" customFormat="false" ht="15" hidden="false" customHeight="false" outlineLevel="0" collapsed="false">
      <c r="A5515" s="0" t="s">
        <v>2041</v>
      </c>
      <c r="B5515" s="0" t="s">
        <v>2042</v>
      </c>
      <c r="C5515" s="0" t="s">
        <v>2349</v>
      </c>
      <c r="D5515" s="0" t="s">
        <v>2279</v>
      </c>
      <c r="E5515" s="0" t="s">
        <v>2279</v>
      </c>
      <c r="F5515" s="0" t="s">
        <v>2280</v>
      </c>
      <c r="G5515" s="0" t="s">
        <v>2281</v>
      </c>
      <c r="H5515" s="0" t="s">
        <v>2286</v>
      </c>
      <c r="I5515" s="0" t="s">
        <v>2322</v>
      </c>
      <c r="J5515" s="0" t="s">
        <v>2358</v>
      </c>
      <c r="K5515" s="272" t="n">
        <v>250766.96</v>
      </c>
    </row>
    <row r="5516" customFormat="false" ht="15" hidden="false" customHeight="false" outlineLevel="0" collapsed="false">
      <c r="A5516" s="0" t="s">
        <v>2041</v>
      </c>
      <c r="B5516" s="0" t="s">
        <v>2042</v>
      </c>
      <c r="C5516" s="0" t="s">
        <v>2156</v>
      </c>
      <c r="D5516" s="0" t="s">
        <v>2279</v>
      </c>
      <c r="E5516" s="0" t="s">
        <v>2279</v>
      </c>
      <c r="F5516" s="0" t="s">
        <v>2280</v>
      </c>
      <c r="G5516" s="0" t="s">
        <v>2281</v>
      </c>
      <c r="H5516" s="0" t="s">
        <v>2287</v>
      </c>
      <c r="I5516" s="0" t="s">
        <v>2322</v>
      </c>
      <c r="J5516" s="0" t="s">
        <v>2358</v>
      </c>
      <c r="K5516" s="272" t="n">
        <v>3158331.84</v>
      </c>
    </row>
    <row r="5517" customFormat="false" ht="15" hidden="false" customHeight="false" outlineLevel="0" collapsed="false">
      <c r="A5517" s="0" t="s">
        <v>2041</v>
      </c>
      <c r="B5517" s="0" t="s">
        <v>2042</v>
      </c>
      <c r="C5517" s="0" t="s">
        <v>2161</v>
      </c>
      <c r="D5517" s="0" t="s">
        <v>2279</v>
      </c>
      <c r="E5517" s="0" t="s">
        <v>2279</v>
      </c>
      <c r="F5517" s="0" t="s">
        <v>2280</v>
      </c>
      <c r="G5517" s="0" t="s">
        <v>2281</v>
      </c>
      <c r="H5517" s="0" t="s">
        <v>2287</v>
      </c>
      <c r="I5517" s="0" t="s">
        <v>2322</v>
      </c>
      <c r="J5517" s="0" t="s">
        <v>2358</v>
      </c>
      <c r="K5517" s="272" t="n">
        <v>680541.13</v>
      </c>
    </row>
    <row r="5518" customFormat="false" ht="15" hidden="false" customHeight="false" outlineLevel="0" collapsed="false">
      <c r="A5518" s="0" t="s">
        <v>2041</v>
      </c>
      <c r="B5518" s="0" t="s">
        <v>2042</v>
      </c>
      <c r="C5518" s="0" t="s">
        <v>2156</v>
      </c>
      <c r="D5518" s="0" t="s">
        <v>2279</v>
      </c>
      <c r="E5518" s="0" t="s">
        <v>2279</v>
      </c>
      <c r="F5518" s="0" t="s">
        <v>2280</v>
      </c>
      <c r="G5518" s="0" t="s">
        <v>2281</v>
      </c>
      <c r="H5518" s="0" t="s">
        <v>2153</v>
      </c>
      <c r="I5518" s="0" t="s">
        <v>2322</v>
      </c>
      <c r="J5518" s="0" t="s">
        <v>2358</v>
      </c>
      <c r="K5518" s="272" t="n">
        <v>22938017.64</v>
      </c>
    </row>
    <row r="5519" customFormat="false" ht="15" hidden="false" customHeight="false" outlineLevel="0" collapsed="false">
      <c r="A5519" s="0" t="s">
        <v>2041</v>
      </c>
      <c r="B5519" s="0" t="s">
        <v>2042</v>
      </c>
      <c r="C5519" s="0" t="s">
        <v>2161</v>
      </c>
      <c r="D5519" s="0" t="s">
        <v>2279</v>
      </c>
      <c r="E5519" s="0" t="s">
        <v>2279</v>
      </c>
      <c r="F5519" s="0" t="s">
        <v>2280</v>
      </c>
      <c r="G5519" s="0" t="s">
        <v>2281</v>
      </c>
      <c r="H5519" s="0" t="s">
        <v>2153</v>
      </c>
      <c r="I5519" s="0" t="s">
        <v>2322</v>
      </c>
      <c r="J5519" s="0" t="s">
        <v>2358</v>
      </c>
      <c r="K5519" s="272" t="n">
        <v>3509516.7</v>
      </c>
    </row>
    <row r="5520" customFormat="false" ht="15" hidden="false" customHeight="false" outlineLevel="0" collapsed="false">
      <c r="A5520" s="0" t="s">
        <v>2041</v>
      </c>
      <c r="B5520" s="0" t="s">
        <v>2042</v>
      </c>
      <c r="C5520" s="0" t="s">
        <v>2349</v>
      </c>
      <c r="D5520" s="0" t="s">
        <v>2279</v>
      </c>
      <c r="E5520" s="0" t="s">
        <v>2279</v>
      </c>
      <c r="F5520" s="0" t="s">
        <v>2280</v>
      </c>
      <c r="G5520" s="0" t="s">
        <v>2281</v>
      </c>
      <c r="H5520" s="0" t="s">
        <v>2153</v>
      </c>
      <c r="I5520" s="0" t="s">
        <v>2322</v>
      </c>
      <c r="J5520" s="0" t="s">
        <v>2358</v>
      </c>
      <c r="K5520" s="272" t="n">
        <v>509722.45</v>
      </c>
    </row>
    <row r="5521" customFormat="false" ht="15" hidden="false" customHeight="false" outlineLevel="0" collapsed="false">
      <c r="A5521" s="0" t="s">
        <v>2041</v>
      </c>
      <c r="B5521" s="0" t="s">
        <v>2042</v>
      </c>
      <c r="C5521" s="0" t="s">
        <v>2156</v>
      </c>
      <c r="D5521" s="0" t="s">
        <v>2279</v>
      </c>
      <c r="E5521" s="0" t="s">
        <v>2279</v>
      </c>
      <c r="F5521" s="0" t="s">
        <v>2292</v>
      </c>
      <c r="G5521" s="0" t="s">
        <v>2293</v>
      </c>
      <c r="H5521" s="0" t="s">
        <v>2284</v>
      </c>
      <c r="I5521" s="0" t="s">
        <v>2322</v>
      </c>
      <c r="J5521" s="0" t="s">
        <v>2358</v>
      </c>
      <c r="K5521" s="272" t="n">
        <v>5187275.27</v>
      </c>
    </row>
    <row r="5522" customFormat="false" ht="15" hidden="false" customHeight="false" outlineLevel="0" collapsed="false">
      <c r="A5522" s="0" t="s">
        <v>2041</v>
      </c>
      <c r="B5522" s="0" t="s">
        <v>2042</v>
      </c>
      <c r="C5522" s="0" t="s">
        <v>2161</v>
      </c>
      <c r="D5522" s="0" t="s">
        <v>2279</v>
      </c>
      <c r="E5522" s="0" t="s">
        <v>2279</v>
      </c>
      <c r="F5522" s="0" t="s">
        <v>2292</v>
      </c>
      <c r="G5522" s="0" t="s">
        <v>2293</v>
      </c>
      <c r="H5522" s="0" t="s">
        <v>2284</v>
      </c>
      <c r="I5522" s="0" t="s">
        <v>2322</v>
      </c>
      <c r="J5522" s="0" t="s">
        <v>2358</v>
      </c>
      <c r="K5522" s="272" t="n">
        <v>793653.12</v>
      </c>
    </row>
    <row r="5523" customFormat="false" ht="15" hidden="false" customHeight="false" outlineLevel="0" collapsed="false">
      <c r="A5523" s="0" t="s">
        <v>2041</v>
      </c>
      <c r="B5523" s="0" t="s">
        <v>2042</v>
      </c>
      <c r="C5523" s="0" t="s">
        <v>2349</v>
      </c>
      <c r="D5523" s="0" t="s">
        <v>2279</v>
      </c>
      <c r="E5523" s="0" t="s">
        <v>2279</v>
      </c>
      <c r="F5523" s="0" t="s">
        <v>2292</v>
      </c>
      <c r="G5523" s="0" t="s">
        <v>2293</v>
      </c>
      <c r="H5523" s="0" t="s">
        <v>2284</v>
      </c>
      <c r="I5523" s="0" t="s">
        <v>2322</v>
      </c>
      <c r="J5523" s="0" t="s">
        <v>2358</v>
      </c>
      <c r="K5523" s="272" t="n">
        <v>181553.76</v>
      </c>
    </row>
    <row r="5524" customFormat="false" ht="15" hidden="false" customHeight="false" outlineLevel="0" collapsed="false">
      <c r="A5524" s="0" t="s">
        <v>2041</v>
      </c>
      <c r="B5524" s="0" t="s">
        <v>2042</v>
      </c>
      <c r="C5524" s="0" t="s">
        <v>2156</v>
      </c>
      <c r="D5524" s="0" t="s">
        <v>2279</v>
      </c>
      <c r="E5524" s="0" t="s">
        <v>2279</v>
      </c>
      <c r="F5524" s="0" t="s">
        <v>2292</v>
      </c>
      <c r="G5524" s="0" t="s">
        <v>2293</v>
      </c>
      <c r="H5524" s="0" t="s">
        <v>2294</v>
      </c>
      <c r="I5524" s="0" t="s">
        <v>2322</v>
      </c>
      <c r="J5524" s="0" t="s">
        <v>2358</v>
      </c>
      <c r="K5524" s="272" t="n">
        <v>2352505.79</v>
      </c>
    </row>
    <row r="5525" customFormat="false" ht="15" hidden="false" customHeight="false" outlineLevel="0" collapsed="false">
      <c r="A5525" s="0" t="s">
        <v>2041</v>
      </c>
      <c r="B5525" s="0" t="s">
        <v>2042</v>
      </c>
      <c r="C5525" s="0" t="s">
        <v>2161</v>
      </c>
      <c r="D5525" s="0" t="s">
        <v>2279</v>
      </c>
      <c r="E5525" s="0" t="s">
        <v>2279</v>
      </c>
      <c r="F5525" s="0" t="s">
        <v>2292</v>
      </c>
      <c r="G5525" s="0" t="s">
        <v>2293</v>
      </c>
      <c r="H5525" s="0" t="s">
        <v>2294</v>
      </c>
      <c r="I5525" s="0" t="s">
        <v>2322</v>
      </c>
      <c r="J5525" s="0" t="s">
        <v>2358</v>
      </c>
      <c r="K5525" s="272" t="n">
        <v>551900.41</v>
      </c>
    </row>
    <row r="5526" customFormat="false" ht="15" hidden="false" customHeight="false" outlineLevel="0" collapsed="false">
      <c r="A5526" s="0" t="s">
        <v>2041</v>
      </c>
      <c r="B5526" s="0" t="s">
        <v>2042</v>
      </c>
      <c r="C5526" s="0" t="s">
        <v>2349</v>
      </c>
      <c r="D5526" s="0" t="s">
        <v>2279</v>
      </c>
      <c r="E5526" s="0" t="s">
        <v>2279</v>
      </c>
      <c r="F5526" s="0" t="s">
        <v>2292</v>
      </c>
      <c r="G5526" s="0" t="s">
        <v>2293</v>
      </c>
      <c r="H5526" s="0" t="s">
        <v>2294</v>
      </c>
      <c r="I5526" s="0" t="s">
        <v>2322</v>
      </c>
      <c r="J5526" s="0" t="s">
        <v>2358</v>
      </c>
      <c r="K5526" s="272" t="n">
        <v>177332.89</v>
      </c>
    </row>
    <row r="5527" customFormat="false" ht="15" hidden="false" customHeight="false" outlineLevel="0" collapsed="false">
      <c r="A5527" s="0" t="s">
        <v>2041</v>
      </c>
      <c r="B5527" s="0" t="s">
        <v>2042</v>
      </c>
      <c r="C5527" s="0" t="s">
        <v>2156</v>
      </c>
      <c r="D5527" s="0" t="s">
        <v>2279</v>
      </c>
      <c r="E5527" s="0" t="s">
        <v>2279</v>
      </c>
      <c r="F5527" s="0" t="s">
        <v>2292</v>
      </c>
      <c r="G5527" s="0" t="s">
        <v>2293</v>
      </c>
      <c r="H5527" s="0" t="s">
        <v>2295</v>
      </c>
      <c r="I5527" s="0" t="s">
        <v>2322</v>
      </c>
      <c r="J5527" s="0" t="s">
        <v>2358</v>
      </c>
      <c r="K5527" s="272" t="n">
        <v>4116885.14</v>
      </c>
    </row>
    <row r="5528" customFormat="false" ht="15" hidden="false" customHeight="false" outlineLevel="0" collapsed="false">
      <c r="A5528" s="0" t="s">
        <v>2041</v>
      </c>
      <c r="B5528" s="0" t="s">
        <v>2042</v>
      </c>
      <c r="C5528" s="0" t="s">
        <v>2161</v>
      </c>
      <c r="D5528" s="0" t="s">
        <v>2279</v>
      </c>
      <c r="E5528" s="0" t="s">
        <v>2279</v>
      </c>
      <c r="F5528" s="0" t="s">
        <v>2292</v>
      </c>
      <c r="G5528" s="0" t="s">
        <v>2293</v>
      </c>
      <c r="H5528" s="0" t="s">
        <v>2295</v>
      </c>
      <c r="I5528" s="0" t="s">
        <v>2322</v>
      </c>
      <c r="J5528" s="0" t="s">
        <v>2358</v>
      </c>
      <c r="K5528" s="272" t="n">
        <v>676599.77</v>
      </c>
    </row>
    <row r="5529" customFormat="false" ht="15" hidden="false" customHeight="false" outlineLevel="0" collapsed="false">
      <c r="A5529" s="0" t="s">
        <v>2041</v>
      </c>
      <c r="B5529" s="0" t="s">
        <v>2042</v>
      </c>
      <c r="C5529" s="0" t="s">
        <v>2349</v>
      </c>
      <c r="D5529" s="0" t="s">
        <v>2279</v>
      </c>
      <c r="E5529" s="0" t="s">
        <v>2279</v>
      </c>
      <c r="F5529" s="0" t="s">
        <v>2292</v>
      </c>
      <c r="G5529" s="0" t="s">
        <v>2293</v>
      </c>
      <c r="H5529" s="0" t="s">
        <v>2295</v>
      </c>
      <c r="I5529" s="0" t="s">
        <v>2322</v>
      </c>
      <c r="J5529" s="0" t="s">
        <v>2358</v>
      </c>
      <c r="K5529" s="272" t="n">
        <v>279121.97</v>
      </c>
    </row>
    <row r="5530" customFormat="false" ht="15" hidden="false" customHeight="false" outlineLevel="0" collapsed="false">
      <c r="A5530" s="0" t="s">
        <v>2041</v>
      </c>
      <c r="B5530" s="0" t="s">
        <v>2042</v>
      </c>
      <c r="C5530" s="0" t="s">
        <v>2156</v>
      </c>
      <c r="D5530" s="0" t="s">
        <v>2279</v>
      </c>
      <c r="E5530" s="0" t="s">
        <v>2279</v>
      </c>
      <c r="F5530" s="0" t="s">
        <v>2292</v>
      </c>
      <c r="G5530" s="0" t="s">
        <v>2293</v>
      </c>
      <c r="H5530" s="0" t="s">
        <v>2298</v>
      </c>
      <c r="I5530" s="0" t="s">
        <v>2322</v>
      </c>
      <c r="J5530" s="0" t="s">
        <v>2358</v>
      </c>
      <c r="K5530" s="272" t="n">
        <v>3528758.69</v>
      </c>
    </row>
    <row r="5531" customFormat="false" ht="15" hidden="false" customHeight="false" outlineLevel="0" collapsed="false">
      <c r="A5531" s="0" t="s">
        <v>2041</v>
      </c>
      <c r="B5531" s="0" t="s">
        <v>2042</v>
      </c>
      <c r="C5531" s="0" t="s">
        <v>2360</v>
      </c>
      <c r="D5531" s="0" t="s">
        <v>2279</v>
      </c>
      <c r="E5531" s="0" t="s">
        <v>2279</v>
      </c>
      <c r="F5531" s="0" t="s">
        <v>2292</v>
      </c>
      <c r="G5531" s="0" t="s">
        <v>2293</v>
      </c>
      <c r="H5531" s="0" t="s">
        <v>2298</v>
      </c>
      <c r="I5531" s="0" t="s">
        <v>2322</v>
      </c>
      <c r="J5531" s="0" t="s">
        <v>2358</v>
      </c>
      <c r="K5531" s="272" t="n">
        <v>1721</v>
      </c>
    </row>
    <row r="5532" customFormat="false" ht="15" hidden="false" customHeight="false" outlineLevel="0" collapsed="false">
      <c r="A5532" s="0" t="s">
        <v>2041</v>
      </c>
      <c r="B5532" s="0" t="s">
        <v>2042</v>
      </c>
      <c r="C5532" s="0" t="s">
        <v>2161</v>
      </c>
      <c r="D5532" s="0" t="s">
        <v>2279</v>
      </c>
      <c r="E5532" s="0" t="s">
        <v>2279</v>
      </c>
      <c r="F5532" s="0" t="s">
        <v>2292</v>
      </c>
      <c r="G5532" s="0" t="s">
        <v>2293</v>
      </c>
      <c r="H5532" s="0" t="s">
        <v>2298</v>
      </c>
      <c r="I5532" s="0" t="s">
        <v>2322</v>
      </c>
      <c r="J5532" s="0" t="s">
        <v>2358</v>
      </c>
      <c r="K5532" s="272" t="n">
        <v>625884.96</v>
      </c>
    </row>
    <row r="5533" customFormat="false" ht="15" hidden="false" customHeight="false" outlineLevel="0" collapsed="false">
      <c r="A5533" s="0" t="s">
        <v>2041</v>
      </c>
      <c r="B5533" s="0" t="s">
        <v>2042</v>
      </c>
      <c r="C5533" s="0" t="s">
        <v>2349</v>
      </c>
      <c r="D5533" s="0" t="s">
        <v>2279</v>
      </c>
      <c r="E5533" s="0" t="s">
        <v>2279</v>
      </c>
      <c r="F5533" s="0" t="s">
        <v>2292</v>
      </c>
      <c r="G5533" s="0" t="s">
        <v>2293</v>
      </c>
      <c r="H5533" s="0" t="s">
        <v>2298</v>
      </c>
      <c r="I5533" s="0" t="s">
        <v>2322</v>
      </c>
      <c r="J5533" s="0" t="s">
        <v>2358</v>
      </c>
      <c r="K5533" s="272" t="n">
        <v>252291.98</v>
      </c>
    </row>
    <row r="5534" customFormat="false" ht="15" hidden="false" customHeight="false" outlineLevel="0" collapsed="false">
      <c r="A5534" s="0" t="s">
        <v>2041</v>
      </c>
      <c r="B5534" s="0" t="s">
        <v>2042</v>
      </c>
      <c r="C5534" s="0" t="s">
        <v>2156</v>
      </c>
      <c r="D5534" s="0" t="s">
        <v>2279</v>
      </c>
      <c r="E5534" s="0" t="s">
        <v>2279</v>
      </c>
      <c r="F5534" s="0" t="s">
        <v>2292</v>
      </c>
      <c r="G5534" s="0" t="s">
        <v>2293</v>
      </c>
      <c r="H5534" s="0" t="s">
        <v>2287</v>
      </c>
      <c r="I5534" s="0" t="s">
        <v>2322</v>
      </c>
      <c r="J5534" s="0" t="s">
        <v>2358</v>
      </c>
      <c r="K5534" s="272" t="n">
        <v>4705011.58</v>
      </c>
    </row>
    <row r="5535" customFormat="false" ht="15" hidden="false" customHeight="false" outlineLevel="0" collapsed="false">
      <c r="A5535" s="0" t="s">
        <v>2041</v>
      </c>
      <c r="B5535" s="0" t="s">
        <v>2042</v>
      </c>
      <c r="C5535" s="0" t="s">
        <v>2161</v>
      </c>
      <c r="D5535" s="0" t="s">
        <v>2279</v>
      </c>
      <c r="E5535" s="0" t="s">
        <v>2279</v>
      </c>
      <c r="F5535" s="0" t="s">
        <v>2292</v>
      </c>
      <c r="G5535" s="0" t="s">
        <v>2293</v>
      </c>
      <c r="H5535" s="0" t="s">
        <v>2287</v>
      </c>
      <c r="I5535" s="0" t="s">
        <v>2322</v>
      </c>
      <c r="J5535" s="0" t="s">
        <v>2358</v>
      </c>
      <c r="K5535" s="272" t="n">
        <v>719866.77</v>
      </c>
    </row>
    <row r="5536" customFormat="false" ht="15" hidden="false" customHeight="false" outlineLevel="0" collapsed="false">
      <c r="A5536" s="0" t="s">
        <v>2041</v>
      </c>
      <c r="B5536" s="0" t="s">
        <v>2042</v>
      </c>
      <c r="C5536" s="0" t="s">
        <v>2349</v>
      </c>
      <c r="D5536" s="0" t="s">
        <v>2279</v>
      </c>
      <c r="E5536" s="0" t="s">
        <v>2279</v>
      </c>
      <c r="F5536" s="0" t="s">
        <v>2292</v>
      </c>
      <c r="G5536" s="0" t="s">
        <v>2293</v>
      </c>
      <c r="H5536" s="0" t="s">
        <v>2287</v>
      </c>
      <c r="I5536" s="0" t="s">
        <v>2322</v>
      </c>
      <c r="J5536" s="0" t="s">
        <v>2358</v>
      </c>
      <c r="K5536" s="272" t="n">
        <v>246904.4</v>
      </c>
    </row>
    <row r="5537" customFormat="false" ht="15" hidden="false" customHeight="false" outlineLevel="0" collapsed="false">
      <c r="A5537" s="0" t="s">
        <v>2041</v>
      </c>
      <c r="B5537" s="0" t="s">
        <v>2042</v>
      </c>
      <c r="C5537" s="0" t="s">
        <v>2156</v>
      </c>
      <c r="D5537" s="0" t="s">
        <v>2279</v>
      </c>
      <c r="E5537" s="0" t="s">
        <v>2279</v>
      </c>
      <c r="F5537" s="0" t="s">
        <v>2292</v>
      </c>
      <c r="G5537" s="0" t="s">
        <v>2293</v>
      </c>
      <c r="H5537" s="0" t="s">
        <v>2305</v>
      </c>
      <c r="I5537" s="0" t="s">
        <v>2322</v>
      </c>
      <c r="J5537" s="0" t="s">
        <v>2358</v>
      </c>
      <c r="K5537" s="272" t="n">
        <v>2470131.09</v>
      </c>
    </row>
    <row r="5538" customFormat="false" ht="15" hidden="false" customHeight="false" outlineLevel="0" collapsed="false">
      <c r="A5538" s="0" t="s">
        <v>2041</v>
      </c>
      <c r="B5538" s="0" t="s">
        <v>2042</v>
      </c>
      <c r="C5538" s="0" t="s">
        <v>2161</v>
      </c>
      <c r="D5538" s="0" t="s">
        <v>2279</v>
      </c>
      <c r="E5538" s="0" t="s">
        <v>2279</v>
      </c>
      <c r="F5538" s="0" t="s">
        <v>2292</v>
      </c>
      <c r="G5538" s="0" t="s">
        <v>2293</v>
      </c>
      <c r="H5538" s="0" t="s">
        <v>2305</v>
      </c>
      <c r="I5538" s="0" t="s">
        <v>2322</v>
      </c>
      <c r="J5538" s="0" t="s">
        <v>2358</v>
      </c>
      <c r="K5538" s="272" t="n">
        <v>727272.89</v>
      </c>
    </row>
    <row r="5539" customFormat="false" ht="15" hidden="false" customHeight="false" outlineLevel="0" collapsed="false">
      <c r="A5539" s="0" t="s">
        <v>2041</v>
      </c>
      <c r="B5539" s="0" t="s">
        <v>2042</v>
      </c>
      <c r="C5539" s="0" t="s">
        <v>2349</v>
      </c>
      <c r="D5539" s="0" t="s">
        <v>2279</v>
      </c>
      <c r="E5539" s="0" t="s">
        <v>2279</v>
      </c>
      <c r="F5539" s="0" t="s">
        <v>2292</v>
      </c>
      <c r="G5539" s="0" t="s">
        <v>2293</v>
      </c>
      <c r="H5539" s="0" t="s">
        <v>2305</v>
      </c>
      <c r="I5539" s="0" t="s">
        <v>2322</v>
      </c>
      <c r="J5539" s="0" t="s">
        <v>2358</v>
      </c>
      <c r="K5539" s="272" t="n">
        <v>319199.2</v>
      </c>
    </row>
    <row r="5540" customFormat="false" ht="15" hidden="false" customHeight="false" outlineLevel="0" collapsed="false">
      <c r="A5540" s="0" t="s">
        <v>2041</v>
      </c>
      <c r="B5540" s="0" t="s">
        <v>2042</v>
      </c>
      <c r="C5540" s="0" t="s">
        <v>2156</v>
      </c>
      <c r="D5540" s="0" t="s">
        <v>2279</v>
      </c>
      <c r="E5540" s="0" t="s">
        <v>2279</v>
      </c>
      <c r="F5540" s="0" t="s">
        <v>2292</v>
      </c>
      <c r="G5540" s="0" t="s">
        <v>2293</v>
      </c>
      <c r="H5540" s="0" t="s">
        <v>2200</v>
      </c>
      <c r="I5540" s="0" t="s">
        <v>2322</v>
      </c>
      <c r="J5540" s="0" t="s">
        <v>2358</v>
      </c>
      <c r="K5540" s="272" t="n">
        <v>2293693.1485</v>
      </c>
    </row>
    <row r="5541" customFormat="false" ht="15" hidden="false" customHeight="false" outlineLevel="0" collapsed="false">
      <c r="A5541" s="0" t="s">
        <v>2041</v>
      </c>
      <c r="B5541" s="0" t="s">
        <v>2042</v>
      </c>
      <c r="C5541" s="0" t="s">
        <v>2161</v>
      </c>
      <c r="D5541" s="0" t="s">
        <v>2279</v>
      </c>
      <c r="E5541" s="0" t="s">
        <v>2279</v>
      </c>
      <c r="F5541" s="0" t="s">
        <v>2292</v>
      </c>
      <c r="G5541" s="0" t="s">
        <v>2293</v>
      </c>
      <c r="H5541" s="0" t="s">
        <v>2200</v>
      </c>
      <c r="I5541" s="0" t="s">
        <v>2322</v>
      </c>
      <c r="J5541" s="0" t="s">
        <v>2358</v>
      </c>
      <c r="K5541" s="272" t="n">
        <v>442088.429710889</v>
      </c>
    </row>
    <row r="5542" customFormat="false" ht="15" hidden="false" customHeight="false" outlineLevel="0" collapsed="false">
      <c r="A5542" s="0" t="s">
        <v>2041</v>
      </c>
      <c r="B5542" s="0" t="s">
        <v>2042</v>
      </c>
      <c r="C5542" s="0" t="s">
        <v>2349</v>
      </c>
      <c r="D5542" s="0" t="s">
        <v>2279</v>
      </c>
      <c r="E5542" s="0" t="s">
        <v>2279</v>
      </c>
      <c r="F5542" s="0" t="s">
        <v>2292</v>
      </c>
      <c r="G5542" s="0" t="s">
        <v>2293</v>
      </c>
      <c r="H5542" s="0" t="s">
        <v>2200</v>
      </c>
      <c r="I5542" s="0" t="s">
        <v>2322</v>
      </c>
      <c r="J5542" s="0" t="s">
        <v>2358</v>
      </c>
      <c r="K5542" s="272" t="n">
        <v>240906.733789111</v>
      </c>
    </row>
    <row r="5543" customFormat="false" ht="15" hidden="false" customHeight="false" outlineLevel="0" collapsed="false">
      <c r="A5543" s="0" t="s">
        <v>2041</v>
      </c>
      <c r="B5543" s="0" t="s">
        <v>2042</v>
      </c>
      <c r="C5543" s="0" t="s">
        <v>2156</v>
      </c>
      <c r="D5543" s="0" t="s">
        <v>2279</v>
      </c>
      <c r="E5543" s="0" t="s">
        <v>2279</v>
      </c>
      <c r="F5543" s="0" t="s">
        <v>2292</v>
      </c>
      <c r="G5543" s="0" t="s">
        <v>2293</v>
      </c>
      <c r="H5543" s="0" t="s">
        <v>2202</v>
      </c>
      <c r="I5543" s="0" t="s">
        <v>2322</v>
      </c>
      <c r="J5543" s="0" t="s">
        <v>2358</v>
      </c>
      <c r="K5543" s="272" t="n">
        <v>1235065.5415</v>
      </c>
    </row>
    <row r="5544" customFormat="false" ht="15" hidden="false" customHeight="false" outlineLevel="0" collapsed="false">
      <c r="A5544" s="0" t="s">
        <v>2041</v>
      </c>
      <c r="B5544" s="0" t="s">
        <v>2042</v>
      </c>
      <c r="C5544" s="0" t="s">
        <v>2161</v>
      </c>
      <c r="D5544" s="0" t="s">
        <v>2279</v>
      </c>
      <c r="E5544" s="0" t="s">
        <v>2279</v>
      </c>
      <c r="F5544" s="0" t="s">
        <v>2292</v>
      </c>
      <c r="G5544" s="0" t="s">
        <v>2293</v>
      </c>
      <c r="H5544" s="0" t="s">
        <v>2202</v>
      </c>
      <c r="I5544" s="0" t="s">
        <v>2322</v>
      </c>
      <c r="J5544" s="0" t="s">
        <v>2358</v>
      </c>
      <c r="K5544" s="272" t="n">
        <v>238047.615998171</v>
      </c>
    </row>
    <row r="5545" customFormat="false" ht="15" hidden="false" customHeight="false" outlineLevel="0" collapsed="false">
      <c r="A5545" s="0" t="s">
        <v>2041</v>
      </c>
      <c r="B5545" s="0" t="s">
        <v>2042</v>
      </c>
      <c r="C5545" s="0" t="s">
        <v>2349</v>
      </c>
      <c r="D5545" s="0" t="s">
        <v>2279</v>
      </c>
      <c r="E5545" s="0" t="s">
        <v>2279</v>
      </c>
      <c r="F5545" s="0" t="s">
        <v>2292</v>
      </c>
      <c r="G5545" s="0" t="s">
        <v>2293</v>
      </c>
      <c r="H5545" s="0" t="s">
        <v>2202</v>
      </c>
      <c r="I5545" s="0" t="s">
        <v>2322</v>
      </c>
      <c r="J5545" s="0" t="s">
        <v>2358</v>
      </c>
      <c r="K5545" s="272" t="n">
        <v>129719.010501829</v>
      </c>
    </row>
    <row r="5546" customFormat="false" ht="15" hidden="false" customHeight="false" outlineLevel="0" collapsed="false">
      <c r="A5546" s="0" t="s">
        <v>2041</v>
      </c>
      <c r="B5546" s="0" t="s">
        <v>2042</v>
      </c>
      <c r="C5546" s="0" t="s">
        <v>2156</v>
      </c>
      <c r="D5546" s="0" t="s">
        <v>2279</v>
      </c>
      <c r="E5546" s="0" t="s">
        <v>2279</v>
      </c>
      <c r="F5546" s="0" t="s">
        <v>2292</v>
      </c>
      <c r="G5546" s="0" t="s">
        <v>2293</v>
      </c>
      <c r="H5546" s="0" t="s">
        <v>2289</v>
      </c>
      <c r="I5546" s="0" t="s">
        <v>2322</v>
      </c>
      <c r="J5546" s="0" t="s">
        <v>2358</v>
      </c>
      <c r="K5546" s="272" t="n">
        <v>5187275.27</v>
      </c>
    </row>
    <row r="5547" customFormat="false" ht="15" hidden="false" customHeight="false" outlineLevel="0" collapsed="false">
      <c r="A5547" s="0" t="s">
        <v>2041</v>
      </c>
      <c r="B5547" s="0" t="s">
        <v>2042</v>
      </c>
      <c r="C5547" s="0" t="s">
        <v>2161</v>
      </c>
      <c r="D5547" s="0" t="s">
        <v>2279</v>
      </c>
      <c r="E5547" s="0" t="s">
        <v>2279</v>
      </c>
      <c r="F5547" s="0" t="s">
        <v>2292</v>
      </c>
      <c r="G5547" s="0" t="s">
        <v>2293</v>
      </c>
      <c r="H5547" s="0" t="s">
        <v>2289</v>
      </c>
      <c r="I5547" s="0" t="s">
        <v>2322</v>
      </c>
      <c r="J5547" s="0" t="s">
        <v>2358</v>
      </c>
      <c r="K5547" s="272" t="n">
        <v>793653.12</v>
      </c>
    </row>
    <row r="5548" customFormat="false" ht="15" hidden="false" customHeight="false" outlineLevel="0" collapsed="false">
      <c r="A5548" s="0" t="s">
        <v>2041</v>
      </c>
      <c r="B5548" s="0" t="s">
        <v>2042</v>
      </c>
      <c r="C5548" s="0" t="s">
        <v>2349</v>
      </c>
      <c r="D5548" s="0" t="s">
        <v>2279</v>
      </c>
      <c r="E5548" s="0" t="s">
        <v>2279</v>
      </c>
      <c r="F5548" s="0" t="s">
        <v>2292</v>
      </c>
      <c r="G5548" s="0" t="s">
        <v>2293</v>
      </c>
      <c r="H5548" s="0" t="s">
        <v>2289</v>
      </c>
      <c r="I5548" s="0" t="s">
        <v>2322</v>
      </c>
      <c r="J5548" s="0" t="s">
        <v>2358</v>
      </c>
      <c r="K5548" s="272" t="n">
        <v>181553.76</v>
      </c>
    </row>
    <row r="5549" customFormat="false" ht="15" hidden="false" customHeight="false" outlineLevel="0" collapsed="false">
      <c r="A5549" s="0" t="s">
        <v>2041</v>
      </c>
      <c r="B5549" s="0" t="s">
        <v>2042</v>
      </c>
      <c r="C5549" s="0" t="s">
        <v>2156</v>
      </c>
      <c r="D5549" s="0" t="s">
        <v>2279</v>
      </c>
      <c r="E5549" s="0" t="s">
        <v>2279</v>
      </c>
      <c r="F5549" s="0" t="s">
        <v>2292</v>
      </c>
      <c r="G5549" s="0" t="s">
        <v>2293</v>
      </c>
      <c r="H5549" s="0" t="s">
        <v>2313</v>
      </c>
      <c r="I5549" s="0" t="s">
        <v>2322</v>
      </c>
      <c r="J5549" s="0" t="s">
        <v>2358</v>
      </c>
      <c r="K5549" s="272" t="n">
        <v>90435081.09</v>
      </c>
    </row>
    <row r="5550" customFormat="false" ht="15" hidden="false" customHeight="false" outlineLevel="0" collapsed="false">
      <c r="A5550" s="0" t="s">
        <v>2041</v>
      </c>
      <c r="B5550" s="0" t="s">
        <v>2042</v>
      </c>
      <c r="C5550" s="0" t="s">
        <v>2161</v>
      </c>
      <c r="D5550" s="0" t="s">
        <v>2279</v>
      </c>
      <c r="E5550" s="0" t="s">
        <v>2279</v>
      </c>
      <c r="F5550" s="0" t="s">
        <v>2292</v>
      </c>
      <c r="G5550" s="0" t="s">
        <v>2293</v>
      </c>
      <c r="H5550" s="0" t="s">
        <v>2313</v>
      </c>
      <c r="I5550" s="0" t="s">
        <v>2322</v>
      </c>
      <c r="J5550" s="0" t="s">
        <v>2358</v>
      </c>
      <c r="K5550" s="272" t="n">
        <v>13836567.41</v>
      </c>
    </row>
    <row r="5551" customFormat="false" ht="15" hidden="false" customHeight="false" outlineLevel="0" collapsed="false">
      <c r="A5551" s="0" t="s">
        <v>2041</v>
      </c>
      <c r="B5551" s="0" t="s">
        <v>2042</v>
      </c>
      <c r="C5551" s="0" t="s">
        <v>2349</v>
      </c>
      <c r="D5551" s="0" t="s">
        <v>2279</v>
      </c>
      <c r="E5551" s="0" t="s">
        <v>2279</v>
      </c>
      <c r="F5551" s="0" t="s">
        <v>2292</v>
      </c>
      <c r="G5551" s="0" t="s">
        <v>2293</v>
      </c>
      <c r="H5551" s="0" t="s">
        <v>2313</v>
      </c>
      <c r="I5551" s="0" t="s">
        <v>2322</v>
      </c>
      <c r="J5551" s="0" t="s">
        <v>2358</v>
      </c>
      <c r="K5551" s="272" t="n">
        <v>782801.15</v>
      </c>
    </row>
    <row r="5552" customFormat="false" ht="15" hidden="false" customHeight="false" outlineLevel="0" collapsed="false">
      <c r="A5552" s="0" t="s">
        <v>2041</v>
      </c>
      <c r="B5552" s="0" t="s">
        <v>2042</v>
      </c>
      <c r="C5552" s="0" t="s">
        <v>2156</v>
      </c>
      <c r="D5552" s="0" t="s">
        <v>2279</v>
      </c>
      <c r="E5552" s="0" t="s">
        <v>2279</v>
      </c>
      <c r="F5552" s="0" t="s">
        <v>2292</v>
      </c>
      <c r="G5552" s="0" t="s">
        <v>2293</v>
      </c>
      <c r="H5552" s="0" t="s">
        <v>2314</v>
      </c>
      <c r="I5552" s="0" t="s">
        <v>2322</v>
      </c>
      <c r="J5552" s="0" t="s">
        <v>2358</v>
      </c>
      <c r="K5552" s="272" t="n">
        <v>8704648.05</v>
      </c>
    </row>
    <row r="5553" customFormat="false" ht="15" hidden="false" customHeight="false" outlineLevel="0" collapsed="false">
      <c r="A5553" s="0" t="s">
        <v>2041</v>
      </c>
      <c r="B5553" s="0" t="s">
        <v>2042</v>
      </c>
      <c r="C5553" s="0" t="s">
        <v>2161</v>
      </c>
      <c r="D5553" s="0" t="s">
        <v>2279</v>
      </c>
      <c r="E5553" s="0" t="s">
        <v>2279</v>
      </c>
      <c r="F5553" s="0" t="s">
        <v>2292</v>
      </c>
      <c r="G5553" s="0" t="s">
        <v>2293</v>
      </c>
      <c r="H5553" s="0" t="s">
        <v>2314</v>
      </c>
      <c r="I5553" s="0" t="s">
        <v>2322</v>
      </c>
      <c r="J5553" s="0" t="s">
        <v>2358</v>
      </c>
      <c r="K5553" s="272" t="n">
        <v>1806214.66</v>
      </c>
    </row>
    <row r="5554" customFormat="false" ht="15" hidden="false" customHeight="false" outlineLevel="0" collapsed="false">
      <c r="A5554" s="0" t="s">
        <v>2041</v>
      </c>
      <c r="B5554" s="0" t="s">
        <v>2042</v>
      </c>
      <c r="C5554" s="0" t="s">
        <v>2349</v>
      </c>
      <c r="D5554" s="0" t="s">
        <v>2279</v>
      </c>
      <c r="E5554" s="0" t="s">
        <v>2279</v>
      </c>
      <c r="F5554" s="0" t="s">
        <v>2292</v>
      </c>
      <c r="G5554" s="0" t="s">
        <v>2293</v>
      </c>
      <c r="H5554" s="0" t="s">
        <v>2314</v>
      </c>
      <c r="I5554" s="0" t="s">
        <v>2322</v>
      </c>
      <c r="J5554" s="0" t="s">
        <v>2358</v>
      </c>
      <c r="K5554" s="272" t="n">
        <v>530225.34</v>
      </c>
    </row>
    <row r="5555" customFormat="false" ht="15" hidden="false" customHeight="false" outlineLevel="0" collapsed="false">
      <c r="A5555" s="0" t="s">
        <v>2041</v>
      </c>
      <c r="B5555" s="0" t="s">
        <v>2042</v>
      </c>
      <c r="C5555" s="0" t="s">
        <v>2156</v>
      </c>
      <c r="D5555" s="0" t="s">
        <v>2279</v>
      </c>
      <c r="E5555" s="0" t="s">
        <v>2279</v>
      </c>
      <c r="F5555" s="0" t="s">
        <v>2292</v>
      </c>
      <c r="G5555" s="0" t="s">
        <v>2293</v>
      </c>
      <c r="H5555" s="0" t="s">
        <v>2326</v>
      </c>
      <c r="I5555" s="0" t="s">
        <v>2322</v>
      </c>
      <c r="J5555" s="0" t="s">
        <v>2358</v>
      </c>
      <c r="K5555" s="272" t="n">
        <v>12233030.11</v>
      </c>
    </row>
    <row r="5556" customFormat="false" ht="15" hidden="false" customHeight="false" outlineLevel="0" collapsed="false">
      <c r="A5556" s="0" t="s">
        <v>2041</v>
      </c>
      <c r="B5556" s="0" t="s">
        <v>2042</v>
      </c>
      <c r="C5556" s="0" t="s">
        <v>2161</v>
      </c>
      <c r="D5556" s="0" t="s">
        <v>2279</v>
      </c>
      <c r="E5556" s="0" t="s">
        <v>2279</v>
      </c>
      <c r="F5556" s="0" t="s">
        <v>2292</v>
      </c>
      <c r="G5556" s="0" t="s">
        <v>2293</v>
      </c>
      <c r="H5556" s="0" t="s">
        <v>2326</v>
      </c>
      <c r="I5556" s="0" t="s">
        <v>2322</v>
      </c>
      <c r="J5556" s="0" t="s">
        <v>2358</v>
      </c>
      <c r="K5556" s="272" t="n">
        <v>2132105.6</v>
      </c>
    </row>
    <row r="5557" customFormat="false" ht="15" hidden="false" customHeight="false" outlineLevel="0" collapsed="false">
      <c r="A5557" s="0" t="s">
        <v>2041</v>
      </c>
      <c r="B5557" s="0" t="s">
        <v>2042</v>
      </c>
      <c r="C5557" s="0" t="s">
        <v>2349</v>
      </c>
      <c r="D5557" s="0" t="s">
        <v>2279</v>
      </c>
      <c r="E5557" s="0" t="s">
        <v>2279</v>
      </c>
      <c r="F5557" s="0" t="s">
        <v>2292</v>
      </c>
      <c r="G5557" s="0" t="s">
        <v>2293</v>
      </c>
      <c r="H5557" s="0" t="s">
        <v>2326</v>
      </c>
      <c r="I5557" s="0" t="s">
        <v>2322</v>
      </c>
      <c r="J5557" s="0" t="s">
        <v>2358</v>
      </c>
      <c r="K5557" s="272" t="n">
        <v>425598.94</v>
      </c>
    </row>
    <row r="5558" customFormat="false" ht="15" hidden="false" customHeight="false" outlineLevel="0" collapsed="false">
      <c r="A5558" s="0" t="s">
        <v>2041</v>
      </c>
      <c r="B5558" s="0" t="s">
        <v>2042</v>
      </c>
      <c r="C5558" s="0" t="s">
        <v>2349</v>
      </c>
      <c r="D5558" s="0" t="s">
        <v>2279</v>
      </c>
      <c r="E5558" s="0" t="s">
        <v>2279</v>
      </c>
      <c r="F5558" s="0" t="s">
        <v>2292</v>
      </c>
      <c r="G5558" s="0" t="s">
        <v>2293</v>
      </c>
      <c r="H5558" s="0" t="s">
        <v>2318</v>
      </c>
      <c r="I5558" s="0" t="s">
        <v>2322</v>
      </c>
      <c r="J5558" s="0" t="s">
        <v>2358</v>
      </c>
      <c r="K5558" s="272" t="n">
        <v>131226.34</v>
      </c>
    </row>
    <row r="5559" customFormat="false" ht="15" hidden="false" customHeight="false" outlineLevel="0" collapsed="false">
      <c r="A5559" s="0" t="s">
        <v>2041</v>
      </c>
      <c r="B5559" s="0" t="s">
        <v>2042</v>
      </c>
      <c r="C5559" s="0" t="s">
        <v>2156</v>
      </c>
      <c r="D5559" s="0" t="s">
        <v>2279</v>
      </c>
      <c r="E5559" s="0" t="s">
        <v>2279</v>
      </c>
      <c r="F5559" s="0" t="s">
        <v>2292</v>
      </c>
      <c r="G5559" s="0" t="s">
        <v>2293</v>
      </c>
      <c r="H5559" s="0" t="s">
        <v>2291</v>
      </c>
      <c r="I5559" s="0" t="s">
        <v>2322</v>
      </c>
      <c r="J5559" s="0" t="s">
        <v>2358</v>
      </c>
      <c r="K5559" s="272" t="n">
        <v>4206484.55</v>
      </c>
    </row>
    <row r="5560" customFormat="false" ht="15" hidden="false" customHeight="false" outlineLevel="0" collapsed="false">
      <c r="A5560" s="0" t="s">
        <v>2041</v>
      </c>
      <c r="B5560" s="0" t="s">
        <v>2042</v>
      </c>
      <c r="C5560" s="0" t="s">
        <v>2161</v>
      </c>
      <c r="D5560" s="0" t="s">
        <v>2279</v>
      </c>
      <c r="E5560" s="0" t="s">
        <v>2279</v>
      </c>
      <c r="F5560" s="0" t="s">
        <v>2292</v>
      </c>
      <c r="G5560" s="0" t="s">
        <v>2293</v>
      </c>
      <c r="H5560" s="0" t="s">
        <v>2291</v>
      </c>
      <c r="I5560" s="0" t="s">
        <v>2322</v>
      </c>
      <c r="J5560" s="0" t="s">
        <v>2358</v>
      </c>
      <c r="K5560" s="272" t="n">
        <v>749260.65</v>
      </c>
    </row>
    <row r="5561" customFormat="false" ht="15" hidden="false" customHeight="false" outlineLevel="0" collapsed="false">
      <c r="A5561" s="0" t="s">
        <v>2041</v>
      </c>
      <c r="B5561" s="0" t="s">
        <v>2042</v>
      </c>
      <c r="C5561" s="0" t="s">
        <v>2349</v>
      </c>
      <c r="D5561" s="0" t="s">
        <v>2279</v>
      </c>
      <c r="E5561" s="0" t="s">
        <v>2279</v>
      </c>
      <c r="F5561" s="0" t="s">
        <v>2292</v>
      </c>
      <c r="G5561" s="0" t="s">
        <v>2293</v>
      </c>
      <c r="H5561" s="0" t="s">
        <v>2291</v>
      </c>
      <c r="I5561" s="0" t="s">
        <v>2322</v>
      </c>
      <c r="J5561" s="0" t="s">
        <v>2358</v>
      </c>
      <c r="K5561" s="272" t="n">
        <v>521559.67</v>
      </c>
    </row>
    <row r="5562" customFormat="false" ht="15" hidden="false" customHeight="false" outlineLevel="0" collapsed="false">
      <c r="A5562" s="0" t="s">
        <v>2041</v>
      </c>
      <c r="B5562" s="0" t="s">
        <v>2042</v>
      </c>
      <c r="C5562" s="0" t="s">
        <v>2352</v>
      </c>
      <c r="D5562" s="0" t="s">
        <v>2044</v>
      </c>
      <c r="E5562" s="0" t="s">
        <v>2045</v>
      </c>
      <c r="F5562" s="0" t="s">
        <v>2046</v>
      </c>
      <c r="G5562" s="0" t="s">
        <v>2047</v>
      </c>
      <c r="H5562" s="0" t="s">
        <v>2048</v>
      </c>
      <c r="I5562" s="0" t="s">
        <v>2322</v>
      </c>
      <c r="J5562" s="0" t="s">
        <v>2358</v>
      </c>
      <c r="K5562" s="272" t="n">
        <v>102816</v>
      </c>
    </row>
    <row r="5563" customFormat="false" ht="15" hidden="false" customHeight="false" outlineLevel="0" collapsed="false">
      <c r="A5563" s="0" t="s">
        <v>2041</v>
      </c>
      <c r="B5563" s="0" t="s">
        <v>2042</v>
      </c>
      <c r="C5563" s="0" t="s">
        <v>2156</v>
      </c>
      <c r="D5563" s="0" t="s">
        <v>2044</v>
      </c>
      <c r="E5563" s="0" t="s">
        <v>2045</v>
      </c>
      <c r="F5563" s="0" t="s">
        <v>2046</v>
      </c>
      <c r="G5563" s="0" t="s">
        <v>2047</v>
      </c>
      <c r="H5563" s="0" t="s">
        <v>2048</v>
      </c>
      <c r="I5563" s="0" t="s">
        <v>2322</v>
      </c>
      <c r="J5563" s="0" t="s">
        <v>2358</v>
      </c>
      <c r="K5563" s="272" t="n">
        <v>167924.64</v>
      </c>
    </row>
    <row r="5564" customFormat="false" ht="15" hidden="false" customHeight="false" outlineLevel="0" collapsed="false">
      <c r="A5564" s="0" t="s">
        <v>2041</v>
      </c>
      <c r="B5564" s="0" t="s">
        <v>2042</v>
      </c>
      <c r="C5564" s="0" t="s">
        <v>2360</v>
      </c>
      <c r="D5564" s="0" t="s">
        <v>2044</v>
      </c>
      <c r="E5564" s="0" t="s">
        <v>2045</v>
      </c>
      <c r="F5564" s="0" t="s">
        <v>2046</v>
      </c>
      <c r="G5564" s="0" t="s">
        <v>2047</v>
      </c>
      <c r="H5564" s="0" t="s">
        <v>2048</v>
      </c>
      <c r="I5564" s="0" t="s">
        <v>2322</v>
      </c>
      <c r="J5564" s="0" t="s">
        <v>2358</v>
      </c>
      <c r="K5564" s="272" t="n">
        <v>172.8</v>
      </c>
    </row>
    <row r="5565" customFormat="false" ht="15" hidden="false" customHeight="false" outlineLevel="0" collapsed="false">
      <c r="A5565" s="0" t="s">
        <v>2041</v>
      </c>
      <c r="B5565" s="0" t="s">
        <v>2042</v>
      </c>
      <c r="C5565" s="0" t="s">
        <v>2161</v>
      </c>
      <c r="D5565" s="0" t="s">
        <v>2044</v>
      </c>
      <c r="E5565" s="0" t="s">
        <v>2045</v>
      </c>
      <c r="F5565" s="0" t="s">
        <v>2046</v>
      </c>
      <c r="G5565" s="0" t="s">
        <v>2047</v>
      </c>
      <c r="H5565" s="0" t="s">
        <v>2048</v>
      </c>
      <c r="I5565" s="0" t="s">
        <v>2322</v>
      </c>
      <c r="J5565" s="0" t="s">
        <v>2358</v>
      </c>
      <c r="K5565" s="272" t="n">
        <v>50713.24</v>
      </c>
    </row>
    <row r="5566" customFormat="false" ht="15" hidden="false" customHeight="false" outlineLevel="0" collapsed="false">
      <c r="A5566" s="0" t="s">
        <v>2041</v>
      </c>
      <c r="B5566" s="0" t="s">
        <v>2042</v>
      </c>
      <c r="C5566" s="0" t="s">
        <v>2349</v>
      </c>
      <c r="D5566" s="0" t="s">
        <v>2044</v>
      </c>
      <c r="E5566" s="0" t="s">
        <v>2045</v>
      </c>
      <c r="F5566" s="0" t="s">
        <v>2046</v>
      </c>
      <c r="G5566" s="0" t="s">
        <v>2047</v>
      </c>
      <c r="H5566" s="0" t="s">
        <v>2048</v>
      </c>
      <c r="I5566" s="0" t="s">
        <v>2322</v>
      </c>
      <c r="J5566" s="0" t="s">
        <v>2358</v>
      </c>
      <c r="K5566" s="272" t="n">
        <v>31050.432</v>
      </c>
    </row>
    <row r="5567" customFormat="false" ht="15" hidden="false" customHeight="false" outlineLevel="0" collapsed="false">
      <c r="A5567" s="0" t="s">
        <v>2041</v>
      </c>
      <c r="B5567" s="0" t="s">
        <v>2042</v>
      </c>
      <c r="C5567" s="0" t="s">
        <v>2352</v>
      </c>
      <c r="D5567" s="0" t="s">
        <v>2044</v>
      </c>
      <c r="E5567" s="0" t="s">
        <v>2045</v>
      </c>
      <c r="F5567" s="0" t="s">
        <v>2051</v>
      </c>
      <c r="G5567" s="0" t="s">
        <v>2047</v>
      </c>
      <c r="H5567" s="0" t="s">
        <v>2052</v>
      </c>
      <c r="I5567" s="0" t="s">
        <v>2322</v>
      </c>
      <c r="J5567" s="0" t="s">
        <v>2358</v>
      </c>
      <c r="K5567" s="272" t="n">
        <v>25704</v>
      </c>
    </row>
    <row r="5568" customFormat="false" ht="15" hidden="false" customHeight="false" outlineLevel="0" collapsed="false">
      <c r="A5568" s="0" t="s">
        <v>2041</v>
      </c>
      <c r="B5568" s="0" t="s">
        <v>2042</v>
      </c>
      <c r="C5568" s="0" t="s">
        <v>2156</v>
      </c>
      <c r="D5568" s="0" t="s">
        <v>2044</v>
      </c>
      <c r="E5568" s="0" t="s">
        <v>2045</v>
      </c>
      <c r="F5568" s="0" t="s">
        <v>2051</v>
      </c>
      <c r="G5568" s="0" t="s">
        <v>2047</v>
      </c>
      <c r="H5568" s="0" t="s">
        <v>2052</v>
      </c>
      <c r="I5568" s="0" t="s">
        <v>2322</v>
      </c>
      <c r="J5568" s="0" t="s">
        <v>2358</v>
      </c>
      <c r="K5568" s="272" t="n">
        <v>41981.16</v>
      </c>
    </row>
    <row r="5569" customFormat="false" ht="15" hidden="false" customHeight="false" outlineLevel="0" collapsed="false">
      <c r="A5569" s="0" t="s">
        <v>2041</v>
      </c>
      <c r="B5569" s="0" t="s">
        <v>2042</v>
      </c>
      <c r="C5569" s="0" t="s">
        <v>2360</v>
      </c>
      <c r="D5569" s="0" t="s">
        <v>2044</v>
      </c>
      <c r="E5569" s="0" t="s">
        <v>2045</v>
      </c>
      <c r="F5569" s="0" t="s">
        <v>2051</v>
      </c>
      <c r="G5569" s="0" t="s">
        <v>2047</v>
      </c>
      <c r="H5569" s="0" t="s">
        <v>2052</v>
      </c>
      <c r="I5569" s="0" t="s">
        <v>2322</v>
      </c>
      <c r="J5569" s="0" t="s">
        <v>2358</v>
      </c>
      <c r="K5569" s="272" t="n">
        <v>43.2</v>
      </c>
    </row>
    <row r="5570" customFormat="false" ht="15" hidden="false" customHeight="false" outlineLevel="0" collapsed="false">
      <c r="A5570" s="0" t="s">
        <v>2041</v>
      </c>
      <c r="B5570" s="0" t="s">
        <v>2042</v>
      </c>
      <c r="C5570" s="0" t="s">
        <v>2161</v>
      </c>
      <c r="D5570" s="0" t="s">
        <v>2044</v>
      </c>
      <c r="E5570" s="0" t="s">
        <v>2045</v>
      </c>
      <c r="F5570" s="0" t="s">
        <v>2051</v>
      </c>
      <c r="G5570" s="0" t="s">
        <v>2047</v>
      </c>
      <c r="H5570" s="0" t="s">
        <v>2052</v>
      </c>
      <c r="I5570" s="0" t="s">
        <v>2322</v>
      </c>
      <c r="J5570" s="0" t="s">
        <v>2358</v>
      </c>
      <c r="K5570" s="272" t="n">
        <v>12678.31</v>
      </c>
    </row>
    <row r="5571" customFormat="false" ht="15" hidden="false" customHeight="false" outlineLevel="0" collapsed="false">
      <c r="A5571" s="0" t="s">
        <v>2041</v>
      </c>
      <c r="B5571" s="0" t="s">
        <v>2042</v>
      </c>
      <c r="C5571" s="0" t="s">
        <v>2349</v>
      </c>
      <c r="D5571" s="0" t="s">
        <v>2044</v>
      </c>
      <c r="E5571" s="0" t="s">
        <v>2045</v>
      </c>
      <c r="F5571" s="0" t="s">
        <v>2051</v>
      </c>
      <c r="G5571" s="0" t="s">
        <v>2047</v>
      </c>
      <c r="H5571" s="0" t="s">
        <v>2052</v>
      </c>
      <c r="I5571" s="0" t="s">
        <v>2322</v>
      </c>
      <c r="J5571" s="0" t="s">
        <v>2358</v>
      </c>
      <c r="K5571" s="272" t="n">
        <v>7762.60800000001</v>
      </c>
    </row>
    <row r="5572" customFormat="false" ht="15" hidden="false" customHeight="false" outlineLevel="0" collapsed="false">
      <c r="A5572" s="0" t="s">
        <v>2041</v>
      </c>
      <c r="B5572" s="0" t="s">
        <v>2042</v>
      </c>
      <c r="C5572" s="0" t="s">
        <v>2352</v>
      </c>
      <c r="D5572" s="0" t="s">
        <v>2044</v>
      </c>
      <c r="E5572" s="0" t="s">
        <v>2045</v>
      </c>
      <c r="F5572" s="0" t="s">
        <v>2046</v>
      </c>
      <c r="G5572" s="0" t="s">
        <v>2053</v>
      </c>
      <c r="H5572" s="0" t="s">
        <v>2048</v>
      </c>
      <c r="I5572" s="0" t="s">
        <v>2322</v>
      </c>
      <c r="J5572" s="0" t="s">
        <v>2358</v>
      </c>
      <c r="K5572" s="272" t="n">
        <v>290324.75</v>
      </c>
    </row>
    <row r="5573" customFormat="false" ht="15" hidden="false" customHeight="false" outlineLevel="0" collapsed="false">
      <c r="A5573" s="0" t="s">
        <v>2041</v>
      </c>
      <c r="B5573" s="0" t="s">
        <v>2042</v>
      </c>
      <c r="C5573" s="0" t="s">
        <v>2359</v>
      </c>
      <c r="D5573" s="0" t="s">
        <v>2044</v>
      </c>
      <c r="E5573" s="0" t="s">
        <v>2045</v>
      </c>
      <c r="F5573" s="0" t="s">
        <v>2046</v>
      </c>
      <c r="G5573" s="0" t="s">
        <v>2053</v>
      </c>
      <c r="H5573" s="0" t="s">
        <v>2048</v>
      </c>
      <c r="I5573" s="0" t="s">
        <v>2322</v>
      </c>
      <c r="J5573" s="0" t="s">
        <v>2358</v>
      </c>
      <c r="K5573" s="272" t="n">
        <v>68878.681</v>
      </c>
    </row>
    <row r="5574" customFormat="false" ht="15" hidden="false" customHeight="false" outlineLevel="0" collapsed="false">
      <c r="A5574" s="0" t="s">
        <v>2041</v>
      </c>
      <c r="B5574" s="0" t="s">
        <v>2042</v>
      </c>
      <c r="C5574" s="0" t="s">
        <v>2361</v>
      </c>
      <c r="D5574" s="0" t="s">
        <v>2044</v>
      </c>
      <c r="E5574" s="0" t="s">
        <v>2045</v>
      </c>
      <c r="F5574" s="0" t="s">
        <v>2046</v>
      </c>
      <c r="G5574" s="0" t="s">
        <v>2053</v>
      </c>
      <c r="H5574" s="0" t="s">
        <v>2048</v>
      </c>
      <c r="I5574" s="0" t="s">
        <v>2322</v>
      </c>
      <c r="J5574" s="0" t="s">
        <v>2358</v>
      </c>
      <c r="K5574" s="272" t="n">
        <v>96917.221</v>
      </c>
    </row>
    <row r="5575" customFormat="false" ht="15" hidden="false" customHeight="false" outlineLevel="0" collapsed="false">
      <c r="A5575" s="0" t="s">
        <v>2041</v>
      </c>
      <c r="B5575" s="0" t="s">
        <v>2042</v>
      </c>
      <c r="C5575" s="0" t="s">
        <v>2156</v>
      </c>
      <c r="D5575" s="0" t="s">
        <v>2044</v>
      </c>
      <c r="E5575" s="0" t="s">
        <v>2045</v>
      </c>
      <c r="F5575" s="0" t="s">
        <v>2046</v>
      </c>
      <c r="G5575" s="0" t="s">
        <v>2053</v>
      </c>
      <c r="H5575" s="0" t="s">
        <v>2048</v>
      </c>
      <c r="I5575" s="0" t="s">
        <v>2322</v>
      </c>
      <c r="J5575" s="0" t="s">
        <v>2358</v>
      </c>
      <c r="K5575" s="272" t="n">
        <v>1172034.825</v>
      </c>
    </row>
    <row r="5576" customFormat="false" ht="15" hidden="false" customHeight="false" outlineLevel="0" collapsed="false">
      <c r="A5576" s="0" t="s">
        <v>2041</v>
      </c>
      <c r="B5576" s="0" t="s">
        <v>2042</v>
      </c>
      <c r="C5576" s="0" t="s">
        <v>2161</v>
      </c>
      <c r="D5576" s="0" t="s">
        <v>2044</v>
      </c>
      <c r="E5576" s="0" t="s">
        <v>2045</v>
      </c>
      <c r="F5576" s="0" t="s">
        <v>2046</v>
      </c>
      <c r="G5576" s="0" t="s">
        <v>2053</v>
      </c>
      <c r="H5576" s="0" t="s">
        <v>2048</v>
      </c>
      <c r="I5576" s="0" t="s">
        <v>2322</v>
      </c>
      <c r="J5576" s="0" t="s">
        <v>2358</v>
      </c>
      <c r="K5576" s="272" t="n">
        <v>353954.50849</v>
      </c>
    </row>
    <row r="5577" customFormat="false" ht="15" hidden="false" customHeight="false" outlineLevel="0" collapsed="false">
      <c r="A5577" s="0" t="s">
        <v>2041</v>
      </c>
      <c r="B5577" s="0" t="s">
        <v>2042</v>
      </c>
      <c r="C5577" s="0" t="s">
        <v>2349</v>
      </c>
      <c r="D5577" s="0" t="s">
        <v>2044</v>
      </c>
      <c r="E5577" s="0" t="s">
        <v>2045</v>
      </c>
      <c r="F5577" s="0" t="s">
        <v>2046</v>
      </c>
      <c r="G5577" s="0" t="s">
        <v>2053</v>
      </c>
      <c r="H5577" s="0" t="s">
        <v>2048</v>
      </c>
      <c r="I5577" s="0" t="s">
        <v>2322</v>
      </c>
      <c r="J5577" s="0" t="s">
        <v>2358</v>
      </c>
      <c r="K5577" s="272" t="n">
        <v>131872.09751</v>
      </c>
    </row>
    <row r="5578" customFormat="false" ht="15" hidden="false" customHeight="false" outlineLevel="0" collapsed="false">
      <c r="A5578" s="0" t="s">
        <v>2041</v>
      </c>
      <c r="B5578" s="0" t="s">
        <v>2042</v>
      </c>
      <c r="C5578" s="0" t="s">
        <v>2352</v>
      </c>
      <c r="D5578" s="0" t="s">
        <v>2044</v>
      </c>
      <c r="E5578" s="0" t="s">
        <v>2045</v>
      </c>
      <c r="F5578" s="0" t="s">
        <v>2051</v>
      </c>
      <c r="G5578" s="0" t="s">
        <v>2053</v>
      </c>
      <c r="H5578" s="0" t="s">
        <v>2052</v>
      </c>
      <c r="I5578" s="0" t="s">
        <v>2322</v>
      </c>
      <c r="J5578" s="0" t="s">
        <v>2358</v>
      </c>
      <c r="K5578" s="272" t="n">
        <v>7824.11</v>
      </c>
    </row>
    <row r="5579" customFormat="false" ht="15" hidden="false" customHeight="false" outlineLevel="0" collapsed="false">
      <c r="A5579" s="0" t="s">
        <v>2041</v>
      </c>
      <c r="B5579" s="0" t="s">
        <v>2042</v>
      </c>
      <c r="C5579" s="0" t="s">
        <v>2359</v>
      </c>
      <c r="D5579" s="0" t="s">
        <v>2044</v>
      </c>
      <c r="E5579" s="0" t="s">
        <v>2045</v>
      </c>
      <c r="F5579" s="0" t="s">
        <v>2051</v>
      </c>
      <c r="G5579" s="0" t="s">
        <v>2053</v>
      </c>
      <c r="H5579" s="0" t="s">
        <v>2052</v>
      </c>
      <c r="I5579" s="0" t="s">
        <v>2322</v>
      </c>
      <c r="J5579" s="0" t="s">
        <v>2358</v>
      </c>
      <c r="K5579" s="272" t="n">
        <v>88.779</v>
      </c>
    </row>
    <row r="5580" customFormat="false" ht="15" hidden="false" customHeight="false" outlineLevel="0" collapsed="false">
      <c r="A5580" s="0" t="s">
        <v>2041</v>
      </c>
      <c r="B5580" s="0" t="s">
        <v>2042</v>
      </c>
      <c r="C5580" s="0" t="s">
        <v>2361</v>
      </c>
      <c r="D5580" s="0" t="s">
        <v>2044</v>
      </c>
      <c r="E5580" s="0" t="s">
        <v>2045</v>
      </c>
      <c r="F5580" s="0" t="s">
        <v>2051</v>
      </c>
      <c r="G5580" s="0" t="s">
        <v>2053</v>
      </c>
      <c r="H5580" s="0" t="s">
        <v>2052</v>
      </c>
      <c r="I5580" s="0" t="s">
        <v>2322</v>
      </c>
      <c r="J5580" s="0" t="s">
        <v>2358</v>
      </c>
      <c r="K5580" s="272" t="n">
        <v>208.989</v>
      </c>
    </row>
    <row r="5581" customFormat="false" ht="15" hidden="false" customHeight="false" outlineLevel="0" collapsed="false">
      <c r="A5581" s="0" t="s">
        <v>2041</v>
      </c>
      <c r="B5581" s="0" t="s">
        <v>2042</v>
      </c>
      <c r="C5581" s="0" t="s">
        <v>2156</v>
      </c>
      <c r="D5581" s="0" t="s">
        <v>2044</v>
      </c>
      <c r="E5581" s="0" t="s">
        <v>2045</v>
      </c>
      <c r="F5581" s="0" t="s">
        <v>2051</v>
      </c>
      <c r="G5581" s="0" t="s">
        <v>2053</v>
      </c>
      <c r="H5581" s="0" t="s">
        <v>2052</v>
      </c>
      <c r="I5581" s="0" t="s">
        <v>2322</v>
      </c>
      <c r="J5581" s="0" t="s">
        <v>2358</v>
      </c>
      <c r="K5581" s="272" t="n">
        <v>16997.875</v>
      </c>
    </row>
    <row r="5582" customFormat="false" ht="15" hidden="false" customHeight="false" outlineLevel="0" collapsed="false">
      <c r="A5582" s="0" t="s">
        <v>2041</v>
      </c>
      <c r="B5582" s="0" t="s">
        <v>2042</v>
      </c>
      <c r="C5582" s="0" t="s">
        <v>2161</v>
      </c>
      <c r="D5582" s="0" t="s">
        <v>2044</v>
      </c>
      <c r="E5582" s="0" t="s">
        <v>2045</v>
      </c>
      <c r="F5582" s="0" t="s">
        <v>2051</v>
      </c>
      <c r="G5582" s="0" t="s">
        <v>2053</v>
      </c>
      <c r="H5582" s="0" t="s">
        <v>2052</v>
      </c>
      <c r="I5582" s="0" t="s">
        <v>2322</v>
      </c>
      <c r="J5582" s="0" t="s">
        <v>2358</v>
      </c>
      <c r="K5582" s="272" t="n">
        <v>5133.35781526316</v>
      </c>
    </row>
    <row r="5583" customFormat="false" ht="15" hidden="false" customHeight="false" outlineLevel="0" collapsed="false">
      <c r="A5583" s="0" t="s">
        <v>2041</v>
      </c>
      <c r="B5583" s="0" t="s">
        <v>2042</v>
      </c>
      <c r="C5583" s="0" t="s">
        <v>2349</v>
      </c>
      <c r="D5583" s="0" t="s">
        <v>2044</v>
      </c>
      <c r="E5583" s="0" t="s">
        <v>2045</v>
      </c>
      <c r="F5583" s="0" t="s">
        <v>2051</v>
      </c>
      <c r="G5583" s="0" t="s">
        <v>2053</v>
      </c>
      <c r="H5583" s="0" t="s">
        <v>2052</v>
      </c>
      <c r="I5583" s="0" t="s">
        <v>2322</v>
      </c>
      <c r="J5583" s="0" t="s">
        <v>2358</v>
      </c>
      <c r="K5583" s="272" t="n">
        <v>2143.52618473684</v>
      </c>
    </row>
    <row r="5584" customFormat="false" ht="15" hidden="false" customHeight="false" outlineLevel="0" collapsed="false">
      <c r="A5584" s="0" t="s">
        <v>2041</v>
      </c>
      <c r="B5584" s="0" t="s">
        <v>2042</v>
      </c>
      <c r="C5584" s="0" t="s">
        <v>2352</v>
      </c>
      <c r="D5584" s="0" t="s">
        <v>2044</v>
      </c>
      <c r="E5584" s="0" t="s">
        <v>2045</v>
      </c>
      <c r="F5584" s="0" t="s">
        <v>2046</v>
      </c>
      <c r="G5584" s="0" t="s">
        <v>2054</v>
      </c>
      <c r="H5584" s="0" t="s">
        <v>2048</v>
      </c>
      <c r="I5584" s="0" t="s">
        <v>2322</v>
      </c>
      <c r="J5584" s="0" t="s">
        <v>2358</v>
      </c>
      <c r="K5584" s="272" t="n">
        <v>156116.6695</v>
      </c>
    </row>
    <row r="5585" customFormat="false" ht="15" hidden="false" customHeight="false" outlineLevel="0" collapsed="false">
      <c r="A5585" s="0" t="s">
        <v>2041</v>
      </c>
      <c r="B5585" s="0" t="s">
        <v>2042</v>
      </c>
      <c r="C5585" s="0" t="s">
        <v>2359</v>
      </c>
      <c r="D5585" s="0" t="s">
        <v>2044</v>
      </c>
      <c r="E5585" s="0" t="s">
        <v>2045</v>
      </c>
      <c r="F5585" s="0" t="s">
        <v>2046</v>
      </c>
      <c r="G5585" s="0" t="s">
        <v>2054</v>
      </c>
      <c r="H5585" s="0" t="s">
        <v>2048</v>
      </c>
      <c r="I5585" s="0" t="s">
        <v>2322</v>
      </c>
      <c r="J5585" s="0" t="s">
        <v>2358</v>
      </c>
      <c r="K5585" s="272" t="n">
        <v>60014.08</v>
      </c>
    </row>
    <row r="5586" customFormat="false" ht="15" hidden="false" customHeight="false" outlineLevel="0" collapsed="false">
      <c r="A5586" s="0" t="s">
        <v>2041</v>
      </c>
      <c r="B5586" s="0" t="s">
        <v>2042</v>
      </c>
      <c r="C5586" s="0" t="s">
        <v>2156</v>
      </c>
      <c r="D5586" s="0" t="s">
        <v>2044</v>
      </c>
      <c r="E5586" s="0" t="s">
        <v>2045</v>
      </c>
      <c r="F5586" s="0" t="s">
        <v>2046</v>
      </c>
      <c r="G5586" s="0" t="s">
        <v>2054</v>
      </c>
      <c r="H5586" s="0" t="s">
        <v>2048</v>
      </c>
      <c r="I5586" s="0" t="s">
        <v>2322</v>
      </c>
      <c r="J5586" s="0" t="s">
        <v>2358</v>
      </c>
      <c r="K5586" s="272" t="n">
        <v>282644.55</v>
      </c>
    </row>
    <row r="5587" customFormat="false" ht="15" hidden="false" customHeight="false" outlineLevel="0" collapsed="false">
      <c r="A5587" s="0" t="s">
        <v>2041</v>
      </c>
      <c r="B5587" s="0" t="s">
        <v>2042</v>
      </c>
      <c r="C5587" s="0" t="s">
        <v>2161</v>
      </c>
      <c r="D5587" s="0" t="s">
        <v>2044</v>
      </c>
      <c r="E5587" s="0" t="s">
        <v>2045</v>
      </c>
      <c r="F5587" s="0" t="s">
        <v>2046</v>
      </c>
      <c r="G5587" s="0" t="s">
        <v>2054</v>
      </c>
      <c r="H5587" s="0" t="s">
        <v>2048</v>
      </c>
      <c r="I5587" s="0" t="s">
        <v>2322</v>
      </c>
      <c r="J5587" s="0" t="s">
        <v>2358</v>
      </c>
      <c r="K5587" s="272" t="n">
        <v>85358.65</v>
      </c>
    </row>
    <row r="5588" customFormat="false" ht="15" hidden="false" customHeight="false" outlineLevel="0" collapsed="false">
      <c r="A5588" s="0" t="s">
        <v>2041</v>
      </c>
      <c r="B5588" s="0" t="s">
        <v>2042</v>
      </c>
      <c r="C5588" s="0" t="s">
        <v>2349</v>
      </c>
      <c r="D5588" s="0" t="s">
        <v>2044</v>
      </c>
      <c r="E5588" s="0" t="s">
        <v>2045</v>
      </c>
      <c r="F5588" s="0" t="s">
        <v>2046</v>
      </c>
      <c r="G5588" s="0" t="s">
        <v>2054</v>
      </c>
      <c r="H5588" s="0" t="s">
        <v>2048</v>
      </c>
      <c r="I5588" s="0" t="s">
        <v>2322</v>
      </c>
      <c r="J5588" s="0" t="s">
        <v>2358</v>
      </c>
      <c r="K5588" s="272" t="n">
        <v>65271.4905</v>
      </c>
    </row>
    <row r="5589" customFormat="false" ht="15" hidden="false" customHeight="false" outlineLevel="0" collapsed="false">
      <c r="A5589" s="0" t="s">
        <v>2041</v>
      </c>
      <c r="B5589" s="0" t="s">
        <v>2042</v>
      </c>
      <c r="C5589" s="0" t="s">
        <v>2352</v>
      </c>
      <c r="D5589" s="0" t="s">
        <v>2044</v>
      </c>
      <c r="E5589" s="0" t="s">
        <v>2045</v>
      </c>
      <c r="F5589" s="0" t="s">
        <v>2051</v>
      </c>
      <c r="G5589" s="0" t="s">
        <v>2054</v>
      </c>
      <c r="H5589" s="0" t="s">
        <v>2052</v>
      </c>
      <c r="I5589" s="0" t="s">
        <v>2322</v>
      </c>
      <c r="J5589" s="0" t="s">
        <v>2358</v>
      </c>
      <c r="K5589" s="272" t="n">
        <v>27550.0005</v>
      </c>
    </row>
    <row r="5590" customFormat="false" ht="15" hidden="false" customHeight="false" outlineLevel="0" collapsed="false">
      <c r="A5590" s="0" t="s">
        <v>2041</v>
      </c>
      <c r="B5590" s="0" t="s">
        <v>2042</v>
      </c>
      <c r="C5590" s="0" t="s">
        <v>2359</v>
      </c>
      <c r="D5590" s="0" t="s">
        <v>2044</v>
      </c>
      <c r="E5590" s="0" t="s">
        <v>2045</v>
      </c>
      <c r="F5590" s="0" t="s">
        <v>2051</v>
      </c>
      <c r="G5590" s="0" t="s">
        <v>2054</v>
      </c>
      <c r="H5590" s="0" t="s">
        <v>2052</v>
      </c>
      <c r="I5590" s="0" t="s">
        <v>2322</v>
      </c>
      <c r="J5590" s="0" t="s">
        <v>2358</v>
      </c>
      <c r="K5590" s="272" t="n">
        <v>10590.72</v>
      </c>
    </row>
    <row r="5591" customFormat="false" ht="15" hidden="false" customHeight="false" outlineLevel="0" collapsed="false">
      <c r="A5591" s="0" t="s">
        <v>2041</v>
      </c>
      <c r="B5591" s="0" t="s">
        <v>2042</v>
      </c>
      <c r="C5591" s="0" t="s">
        <v>2156</v>
      </c>
      <c r="D5591" s="0" t="s">
        <v>2044</v>
      </c>
      <c r="E5591" s="0" t="s">
        <v>2045</v>
      </c>
      <c r="F5591" s="0" t="s">
        <v>2051</v>
      </c>
      <c r="G5591" s="0" t="s">
        <v>2054</v>
      </c>
      <c r="H5591" s="0" t="s">
        <v>2052</v>
      </c>
      <c r="I5591" s="0" t="s">
        <v>2322</v>
      </c>
      <c r="J5591" s="0" t="s">
        <v>2358</v>
      </c>
      <c r="K5591" s="272" t="n">
        <v>49878.45</v>
      </c>
    </row>
    <row r="5592" customFormat="false" ht="15" hidden="false" customHeight="false" outlineLevel="0" collapsed="false">
      <c r="A5592" s="0" t="s">
        <v>2041</v>
      </c>
      <c r="B5592" s="0" t="s">
        <v>2042</v>
      </c>
      <c r="C5592" s="0" t="s">
        <v>2161</v>
      </c>
      <c r="D5592" s="0" t="s">
        <v>2044</v>
      </c>
      <c r="E5592" s="0" t="s">
        <v>2045</v>
      </c>
      <c r="F5592" s="0" t="s">
        <v>2051</v>
      </c>
      <c r="G5592" s="0" t="s">
        <v>2054</v>
      </c>
      <c r="H5592" s="0" t="s">
        <v>2052</v>
      </c>
      <c r="I5592" s="0" t="s">
        <v>2322</v>
      </c>
      <c r="J5592" s="0" t="s">
        <v>2358</v>
      </c>
      <c r="K5592" s="272" t="n">
        <v>15063.2911764706</v>
      </c>
    </row>
    <row r="5593" customFormat="false" ht="15" hidden="false" customHeight="false" outlineLevel="0" collapsed="false">
      <c r="A5593" s="0" t="s">
        <v>2041</v>
      </c>
      <c r="B5593" s="0" t="s">
        <v>2042</v>
      </c>
      <c r="C5593" s="0" t="s">
        <v>2349</v>
      </c>
      <c r="D5593" s="0" t="s">
        <v>2044</v>
      </c>
      <c r="E5593" s="0" t="s">
        <v>2045</v>
      </c>
      <c r="F5593" s="0" t="s">
        <v>2051</v>
      </c>
      <c r="G5593" s="0" t="s">
        <v>2054</v>
      </c>
      <c r="H5593" s="0" t="s">
        <v>2052</v>
      </c>
      <c r="I5593" s="0" t="s">
        <v>2322</v>
      </c>
      <c r="J5593" s="0" t="s">
        <v>2358</v>
      </c>
      <c r="K5593" s="272" t="n">
        <v>11518.4983235294</v>
      </c>
    </row>
    <row r="5594" customFormat="false" ht="15" hidden="false" customHeight="false" outlineLevel="0" collapsed="false">
      <c r="A5594" s="0" t="s">
        <v>2041</v>
      </c>
      <c r="B5594" s="0" t="s">
        <v>2042</v>
      </c>
      <c r="C5594" s="0" t="s">
        <v>2352</v>
      </c>
      <c r="D5594" s="0" t="s">
        <v>2044</v>
      </c>
      <c r="E5594" s="0" t="s">
        <v>2045</v>
      </c>
      <c r="F5594" s="0" t="s">
        <v>2046</v>
      </c>
      <c r="G5594" s="0" t="s">
        <v>2055</v>
      </c>
      <c r="H5594" s="0" t="s">
        <v>2048</v>
      </c>
      <c r="I5594" s="0" t="s">
        <v>2322</v>
      </c>
      <c r="J5594" s="0" t="s">
        <v>2358</v>
      </c>
      <c r="K5594" s="272" t="n">
        <v>64250</v>
      </c>
    </row>
    <row r="5595" customFormat="false" ht="15" hidden="false" customHeight="false" outlineLevel="0" collapsed="false">
      <c r="A5595" s="0" t="s">
        <v>2041</v>
      </c>
      <c r="B5595" s="0" t="s">
        <v>2042</v>
      </c>
      <c r="C5595" s="0" t="s">
        <v>2156</v>
      </c>
      <c r="D5595" s="0" t="s">
        <v>2044</v>
      </c>
      <c r="E5595" s="0" t="s">
        <v>2045</v>
      </c>
      <c r="F5595" s="0" t="s">
        <v>2046</v>
      </c>
      <c r="G5595" s="0" t="s">
        <v>2055</v>
      </c>
      <c r="H5595" s="0" t="s">
        <v>2048</v>
      </c>
      <c r="I5595" s="0" t="s">
        <v>2322</v>
      </c>
      <c r="J5595" s="0" t="s">
        <v>2358</v>
      </c>
      <c r="K5595" s="272" t="n">
        <v>107554.5</v>
      </c>
    </row>
    <row r="5596" customFormat="false" ht="15" hidden="false" customHeight="false" outlineLevel="0" collapsed="false">
      <c r="A5596" s="0" t="s">
        <v>2041</v>
      </c>
      <c r="B5596" s="0" t="s">
        <v>2042</v>
      </c>
      <c r="C5596" s="0" t="s">
        <v>2360</v>
      </c>
      <c r="D5596" s="0" t="s">
        <v>2044</v>
      </c>
      <c r="E5596" s="0" t="s">
        <v>2045</v>
      </c>
      <c r="F5596" s="0" t="s">
        <v>2046</v>
      </c>
      <c r="G5596" s="0" t="s">
        <v>2055</v>
      </c>
      <c r="H5596" s="0" t="s">
        <v>2048</v>
      </c>
      <c r="I5596" s="0" t="s">
        <v>2322</v>
      </c>
      <c r="J5596" s="0" t="s">
        <v>2358</v>
      </c>
      <c r="K5596" s="272" t="n">
        <v>12500</v>
      </c>
    </row>
    <row r="5597" customFormat="false" ht="15" hidden="false" customHeight="false" outlineLevel="0" collapsed="false">
      <c r="A5597" s="0" t="s">
        <v>2041</v>
      </c>
      <c r="B5597" s="0" t="s">
        <v>2042</v>
      </c>
      <c r="C5597" s="0" t="s">
        <v>2161</v>
      </c>
      <c r="D5597" s="0" t="s">
        <v>2044</v>
      </c>
      <c r="E5597" s="0" t="s">
        <v>2045</v>
      </c>
      <c r="F5597" s="0" t="s">
        <v>2046</v>
      </c>
      <c r="G5597" s="0" t="s">
        <v>2055</v>
      </c>
      <c r="H5597" s="0" t="s">
        <v>2048</v>
      </c>
      <c r="I5597" s="0" t="s">
        <v>2322</v>
      </c>
      <c r="J5597" s="0" t="s">
        <v>2358</v>
      </c>
      <c r="K5597" s="272" t="n">
        <v>32481.46</v>
      </c>
    </row>
    <row r="5598" customFormat="false" ht="15" hidden="false" customHeight="false" outlineLevel="0" collapsed="false">
      <c r="A5598" s="0" t="s">
        <v>2041</v>
      </c>
      <c r="B5598" s="0" t="s">
        <v>2042</v>
      </c>
      <c r="C5598" s="0" t="s">
        <v>2349</v>
      </c>
      <c r="D5598" s="0" t="s">
        <v>2044</v>
      </c>
      <c r="E5598" s="0" t="s">
        <v>2045</v>
      </c>
      <c r="F5598" s="0" t="s">
        <v>2046</v>
      </c>
      <c r="G5598" s="0" t="s">
        <v>2055</v>
      </c>
      <c r="H5598" s="0" t="s">
        <v>2048</v>
      </c>
      <c r="I5598" s="0" t="s">
        <v>2322</v>
      </c>
      <c r="J5598" s="0" t="s">
        <v>2358</v>
      </c>
      <c r="K5598" s="272" t="n">
        <v>19403.4975</v>
      </c>
    </row>
    <row r="5599" customFormat="false" ht="15" hidden="false" customHeight="false" outlineLevel="0" collapsed="false">
      <c r="A5599" s="0" t="s">
        <v>2041</v>
      </c>
      <c r="B5599" s="0" t="s">
        <v>2042</v>
      </c>
      <c r="C5599" s="0" t="s">
        <v>2352</v>
      </c>
      <c r="D5599" s="0" t="s">
        <v>2044</v>
      </c>
      <c r="E5599" s="0" t="s">
        <v>2045</v>
      </c>
      <c r="F5599" s="0" t="s">
        <v>2051</v>
      </c>
      <c r="G5599" s="0" t="s">
        <v>2055</v>
      </c>
      <c r="H5599" s="0" t="s">
        <v>2052</v>
      </c>
      <c r="I5599" s="0" t="s">
        <v>2322</v>
      </c>
      <c r="J5599" s="0" t="s">
        <v>2358</v>
      </c>
      <c r="K5599" s="272" t="n">
        <v>192750</v>
      </c>
    </row>
    <row r="5600" customFormat="false" ht="15" hidden="false" customHeight="false" outlineLevel="0" collapsed="false">
      <c r="A5600" s="0" t="s">
        <v>2041</v>
      </c>
      <c r="B5600" s="0" t="s">
        <v>2042</v>
      </c>
      <c r="C5600" s="0" t="s">
        <v>2156</v>
      </c>
      <c r="D5600" s="0" t="s">
        <v>2044</v>
      </c>
      <c r="E5600" s="0" t="s">
        <v>2045</v>
      </c>
      <c r="F5600" s="0" t="s">
        <v>2051</v>
      </c>
      <c r="G5600" s="0" t="s">
        <v>2055</v>
      </c>
      <c r="H5600" s="0" t="s">
        <v>2052</v>
      </c>
      <c r="I5600" s="0" t="s">
        <v>2322</v>
      </c>
      <c r="J5600" s="0" t="s">
        <v>2358</v>
      </c>
      <c r="K5600" s="272" t="n">
        <v>322663.5</v>
      </c>
    </row>
    <row r="5601" customFormat="false" ht="15" hidden="false" customHeight="false" outlineLevel="0" collapsed="false">
      <c r="A5601" s="0" t="s">
        <v>2041</v>
      </c>
      <c r="B5601" s="0" t="s">
        <v>2042</v>
      </c>
      <c r="C5601" s="0" t="s">
        <v>2360</v>
      </c>
      <c r="D5601" s="0" t="s">
        <v>2044</v>
      </c>
      <c r="E5601" s="0" t="s">
        <v>2045</v>
      </c>
      <c r="F5601" s="0" t="s">
        <v>2051</v>
      </c>
      <c r="G5601" s="0" t="s">
        <v>2055</v>
      </c>
      <c r="H5601" s="0" t="s">
        <v>2052</v>
      </c>
      <c r="I5601" s="0" t="s">
        <v>2322</v>
      </c>
      <c r="J5601" s="0" t="s">
        <v>2358</v>
      </c>
      <c r="K5601" s="272" t="n">
        <v>37500</v>
      </c>
    </row>
    <row r="5602" customFormat="false" ht="15" hidden="false" customHeight="false" outlineLevel="0" collapsed="false">
      <c r="A5602" s="0" t="s">
        <v>2041</v>
      </c>
      <c r="B5602" s="0" t="s">
        <v>2042</v>
      </c>
      <c r="C5602" s="0" t="s">
        <v>2161</v>
      </c>
      <c r="D5602" s="0" t="s">
        <v>2044</v>
      </c>
      <c r="E5602" s="0" t="s">
        <v>2045</v>
      </c>
      <c r="F5602" s="0" t="s">
        <v>2051</v>
      </c>
      <c r="G5602" s="0" t="s">
        <v>2055</v>
      </c>
      <c r="H5602" s="0" t="s">
        <v>2052</v>
      </c>
      <c r="I5602" s="0" t="s">
        <v>2322</v>
      </c>
      <c r="J5602" s="0" t="s">
        <v>2358</v>
      </c>
      <c r="K5602" s="272" t="n">
        <v>97444.38</v>
      </c>
    </row>
    <row r="5603" customFormat="false" ht="15" hidden="false" customHeight="false" outlineLevel="0" collapsed="false">
      <c r="A5603" s="0" t="s">
        <v>2041</v>
      </c>
      <c r="B5603" s="0" t="s">
        <v>2042</v>
      </c>
      <c r="C5603" s="0" t="s">
        <v>2349</v>
      </c>
      <c r="D5603" s="0" t="s">
        <v>2044</v>
      </c>
      <c r="E5603" s="0" t="s">
        <v>2045</v>
      </c>
      <c r="F5603" s="0" t="s">
        <v>2051</v>
      </c>
      <c r="G5603" s="0" t="s">
        <v>2055</v>
      </c>
      <c r="H5603" s="0" t="s">
        <v>2052</v>
      </c>
      <c r="I5603" s="0" t="s">
        <v>2322</v>
      </c>
      <c r="J5603" s="0" t="s">
        <v>2358</v>
      </c>
      <c r="K5603" s="272" t="n">
        <v>58210.4925</v>
      </c>
    </row>
    <row r="5604" customFormat="false" ht="15" hidden="false" customHeight="false" outlineLevel="0" collapsed="false">
      <c r="A5604" s="0" t="s">
        <v>2041</v>
      </c>
      <c r="B5604" s="0" t="s">
        <v>2042</v>
      </c>
      <c r="C5604" s="0" t="s">
        <v>2352</v>
      </c>
      <c r="D5604" s="0" t="s">
        <v>2044</v>
      </c>
      <c r="E5604" s="0" t="s">
        <v>2045</v>
      </c>
      <c r="F5604" s="0" t="s">
        <v>2046</v>
      </c>
      <c r="G5604" s="0" t="s">
        <v>2056</v>
      </c>
      <c r="H5604" s="0" t="s">
        <v>2048</v>
      </c>
      <c r="I5604" s="0" t="s">
        <v>2322</v>
      </c>
      <c r="J5604" s="0" t="s">
        <v>2358</v>
      </c>
      <c r="K5604" s="272" t="n">
        <v>19156.815</v>
      </c>
    </row>
    <row r="5605" customFormat="false" ht="15" hidden="false" customHeight="false" outlineLevel="0" collapsed="false">
      <c r="A5605" s="0" t="s">
        <v>2041</v>
      </c>
      <c r="B5605" s="0" t="s">
        <v>2042</v>
      </c>
      <c r="C5605" s="0" t="s">
        <v>2156</v>
      </c>
      <c r="D5605" s="0" t="s">
        <v>2044</v>
      </c>
      <c r="E5605" s="0" t="s">
        <v>2045</v>
      </c>
      <c r="F5605" s="0" t="s">
        <v>2046</v>
      </c>
      <c r="G5605" s="0" t="s">
        <v>2056</v>
      </c>
      <c r="H5605" s="0" t="s">
        <v>2048</v>
      </c>
      <c r="I5605" s="0" t="s">
        <v>2322</v>
      </c>
      <c r="J5605" s="0" t="s">
        <v>2358</v>
      </c>
      <c r="K5605" s="272" t="n">
        <v>29860.785</v>
      </c>
    </row>
    <row r="5606" customFormat="false" ht="15" hidden="false" customHeight="false" outlineLevel="0" collapsed="false">
      <c r="A5606" s="0" t="s">
        <v>2041</v>
      </c>
      <c r="B5606" s="0" t="s">
        <v>2042</v>
      </c>
      <c r="C5606" s="0" t="s">
        <v>2161</v>
      </c>
      <c r="D5606" s="0" t="s">
        <v>2044</v>
      </c>
      <c r="E5606" s="0" t="s">
        <v>2045</v>
      </c>
      <c r="F5606" s="0" t="s">
        <v>2046</v>
      </c>
      <c r="G5606" s="0" t="s">
        <v>2056</v>
      </c>
      <c r="H5606" s="0" t="s">
        <v>2048</v>
      </c>
      <c r="I5606" s="0" t="s">
        <v>2322</v>
      </c>
      <c r="J5606" s="0" t="s">
        <v>2358</v>
      </c>
      <c r="K5606" s="272" t="n">
        <v>9017.95848999976</v>
      </c>
    </row>
    <row r="5607" customFormat="false" ht="15" hidden="false" customHeight="false" outlineLevel="0" collapsed="false">
      <c r="A5607" s="0" t="s">
        <v>2041</v>
      </c>
      <c r="B5607" s="0" t="s">
        <v>2042</v>
      </c>
      <c r="C5607" s="0" t="s">
        <v>2349</v>
      </c>
      <c r="D5607" s="0" t="s">
        <v>2044</v>
      </c>
      <c r="E5607" s="0" t="s">
        <v>2045</v>
      </c>
      <c r="F5607" s="0" t="s">
        <v>2046</v>
      </c>
      <c r="G5607" s="0" t="s">
        <v>2056</v>
      </c>
      <c r="H5607" s="0" t="s">
        <v>2048</v>
      </c>
      <c r="I5607" s="0" t="s">
        <v>2322</v>
      </c>
      <c r="J5607" s="0" t="s">
        <v>2358</v>
      </c>
      <c r="K5607" s="272" t="n">
        <v>5785.35671000024</v>
      </c>
    </row>
    <row r="5608" customFormat="false" ht="15" hidden="false" customHeight="false" outlineLevel="0" collapsed="false">
      <c r="A5608" s="0" t="s">
        <v>2041</v>
      </c>
      <c r="B5608" s="0" t="s">
        <v>2042</v>
      </c>
      <c r="C5608" s="0" t="s">
        <v>2352</v>
      </c>
      <c r="D5608" s="0" t="s">
        <v>2044</v>
      </c>
      <c r="E5608" s="0" t="s">
        <v>2045</v>
      </c>
      <c r="F5608" s="0" t="s">
        <v>2051</v>
      </c>
      <c r="G5608" s="0" t="s">
        <v>2056</v>
      </c>
      <c r="H5608" s="0" t="s">
        <v>2052</v>
      </c>
      <c r="I5608" s="0" t="s">
        <v>2322</v>
      </c>
      <c r="J5608" s="0" t="s">
        <v>2358</v>
      </c>
      <c r="K5608" s="272" t="n">
        <v>193696.685</v>
      </c>
    </row>
    <row r="5609" customFormat="false" ht="15" hidden="false" customHeight="false" outlineLevel="0" collapsed="false">
      <c r="A5609" s="0" t="s">
        <v>2041</v>
      </c>
      <c r="B5609" s="0" t="s">
        <v>2042</v>
      </c>
      <c r="C5609" s="0" t="s">
        <v>2156</v>
      </c>
      <c r="D5609" s="0" t="s">
        <v>2044</v>
      </c>
      <c r="E5609" s="0" t="s">
        <v>2045</v>
      </c>
      <c r="F5609" s="0" t="s">
        <v>2051</v>
      </c>
      <c r="G5609" s="0" t="s">
        <v>2056</v>
      </c>
      <c r="H5609" s="0" t="s">
        <v>2052</v>
      </c>
      <c r="I5609" s="0" t="s">
        <v>2322</v>
      </c>
      <c r="J5609" s="0" t="s">
        <v>2358</v>
      </c>
      <c r="K5609" s="272" t="n">
        <v>301925.715</v>
      </c>
    </row>
    <row r="5610" customFormat="false" ht="15" hidden="false" customHeight="false" outlineLevel="0" collapsed="false">
      <c r="A5610" s="0" t="s">
        <v>2041</v>
      </c>
      <c r="B5610" s="0" t="s">
        <v>2042</v>
      </c>
      <c r="C5610" s="0" t="s">
        <v>2161</v>
      </c>
      <c r="D5610" s="0" t="s">
        <v>2044</v>
      </c>
      <c r="E5610" s="0" t="s">
        <v>2045</v>
      </c>
      <c r="F5610" s="0" t="s">
        <v>2051</v>
      </c>
      <c r="G5610" s="0" t="s">
        <v>2056</v>
      </c>
      <c r="H5610" s="0" t="s">
        <v>2052</v>
      </c>
      <c r="I5610" s="0" t="s">
        <v>2322</v>
      </c>
      <c r="J5610" s="0" t="s">
        <v>2358</v>
      </c>
      <c r="K5610" s="272" t="n">
        <v>91181.5802877754</v>
      </c>
    </row>
    <row r="5611" customFormat="false" ht="15" hidden="false" customHeight="false" outlineLevel="0" collapsed="false">
      <c r="A5611" s="0" t="s">
        <v>2041</v>
      </c>
      <c r="B5611" s="0" t="s">
        <v>2042</v>
      </c>
      <c r="C5611" s="0" t="s">
        <v>2349</v>
      </c>
      <c r="D5611" s="0" t="s">
        <v>2044</v>
      </c>
      <c r="E5611" s="0" t="s">
        <v>2045</v>
      </c>
      <c r="F5611" s="0" t="s">
        <v>2051</v>
      </c>
      <c r="G5611" s="0" t="s">
        <v>2056</v>
      </c>
      <c r="H5611" s="0" t="s">
        <v>2052</v>
      </c>
      <c r="I5611" s="0" t="s">
        <v>2322</v>
      </c>
      <c r="J5611" s="0" t="s">
        <v>2358</v>
      </c>
      <c r="K5611" s="272" t="n">
        <v>58496.3845122246</v>
      </c>
    </row>
    <row r="5612" customFormat="false" ht="15" hidden="false" customHeight="false" outlineLevel="0" collapsed="false">
      <c r="A5612" s="0" t="s">
        <v>2041</v>
      </c>
      <c r="B5612" s="0" t="s">
        <v>2042</v>
      </c>
      <c r="C5612" s="0" t="s">
        <v>2352</v>
      </c>
      <c r="D5612" s="0" t="s">
        <v>2044</v>
      </c>
      <c r="E5612" s="0" t="s">
        <v>2045</v>
      </c>
      <c r="F5612" s="0" t="s">
        <v>2046</v>
      </c>
      <c r="G5612" s="0" t="s">
        <v>2057</v>
      </c>
      <c r="H5612" s="0" t="s">
        <v>2048</v>
      </c>
      <c r="I5612" s="0" t="s">
        <v>2322</v>
      </c>
      <c r="J5612" s="0" t="s">
        <v>2358</v>
      </c>
      <c r="K5612" s="272" t="n">
        <v>124092.57</v>
      </c>
    </row>
    <row r="5613" customFormat="false" ht="15" hidden="false" customHeight="false" outlineLevel="0" collapsed="false">
      <c r="A5613" s="0" t="s">
        <v>2041</v>
      </c>
      <c r="B5613" s="0" t="s">
        <v>2042</v>
      </c>
      <c r="C5613" s="0" t="s">
        <v>2359</v>
      </c>
      <c r="D5613" s="0" t="s">
        <v>2044</v>
      </c>
      <c r="E5613" s="0" t="s">
        <v>2045</v>
      </c>
      <c r="F5613" s="0" t="s">
        <v>2046</v>
      </c>
      <c r="G5613" s="0" t="s">
        <v>2057</v>
      </c>
      <c r="H5613" s="0" t="s">
        <v>2048</v>
      </c>
      <c r="I5613" s="0" t="s">
        <v>2322</v>
      </c>
      <c r="J5613" s="0" t="s">
        <v>2358</v>
      </c>
      <c r="K5613" s="272" t="n">
        <v>19523.715</v>
      </c>
    </row>
    <row r="5614" customFormat="false" ht="15" hidden="false" customHeight="false" outlineLevel="0" collapsed="false">
      <c r="A5614" s="0" t="s">
        <v>2041</v>
      </c>
      <c r="B5614" s="0" t="s">
        <v>2042</v>
      </c>
      <c r="C5614" s="0" t="s">
        <v>2156</v>
      </c>
      <c r="D5614" s="0" t="s">
        <v>2044</v>
      </c>
      <c r="E5614" s="0" t="s">
        <v>2045</v>
      </c>
      <c r="F5614" s="0" t="s">
        <v>2046</v>
      </c>
      <c r="G5614" s="0" t="s">
        <v>2057</v>
      </c>
      <c r="H5614" s="0" t="s">
        <v>2048</v>
      </c>
      <c r="I5614" s="0" t="s">
        <v>2322</v>
      </c>
      <c r="J5614" s="0" t="s">
        <v>2358</v>
      </c>
      <c r="K5614" s="272" t="n">
        <v>224764.5</v>
      </c>
    </row>
    <row r="5615" customFormat="false" ht="15" hidden="false" customHeight="false" outlineLevel="0" collapsed="false">
      <c r="A5615" s="0" t="s">
        <v>2041</v>
      </c>
      <c r="B5615" s="0" t="s">
        <v>2042</v>
      </c>
      <c r="C5615" s="0" t="s">
        <v>2161</v>
      </c>
      <c r="D5615" s="0" t="s">
        <v>2044</v>
      </c>
      <c r="E5615" s="0" t="s">
        <v>2045</v>
      </c>
      <c r="F5615" s="0" t="s">
        <v>2046</v>
      </c>
      <c r="G5615" s="0" t="s">
        <v>2057</v>
      </c>
      <c r="H5615" s="0" t="s">
        <v>2048</v>
      </c>
      <c r="I5615" s="0" t="s">
        <v>2322</v>
      </c>
      <c r="J5615" s="0" t="s">
        <v>2358</v>
      </c>
      <c r="K5615" s="272" t="n">
        <v>67878.88</v>
      </c>
    </row>
    <row r="5616" customFormat="false" ht="15" hidden="false" customHeight="false" outlineLevel="0" collapsed="false">
      <c r="A5616" s="0" t="s">
        <v>2041</v>
      </c>
      <c r="B5616" s="0" t="s">
        <v>2042</v>
      </c>
      <c r="C5616" s="0" t="s">
        <v>2349</v>
      </c>
      <c r="D5616" s="0" t="s">
        <v>2044</v>
      </c>
      <c r="E5616" s="0" t="s">
        <v>2045</v>
      </c>
      <c r="F5616" s="0" t="s">
        <v>2046</v>
      </c>
      <c r="G5616" s="0" t="s">
        <v>2057</v>
      </c>
      <c r="H5616" s="0" t="s">
        <v>2048</v>
      </c>
      <c r="I5616" s="0" t="s">
        <v>2322</v>
      </c>
      <c r="J5616" s="0" t="s">
        <v>2358</v>
      </c>
      <c r="K5616" s="272" t="n">
        <v>43372.12</v>
      </c>
    </row>
    <row r="5617" customFormat="false" ht="15" hidden="false" customHeight="false" outlineLevel="0" collapsed="false">
      <c r="A5617" s="0" t="s">
        <v>2041</v>
      </c>
      <c r="B5617" s="0" t="s">
        <v>2042</v>
      </c>
      <c r="C5617" s="0" t="s">
        <v>2352</v>
      </c>
      <c r="D5617" s="0" t="s">
        <v>2044</v>
      </c>
      <c r="E5617" s="0" t="s">
        <v>2045</v>
      </c>
      <c r="F5617" s="0" t="s">
        <v>2051</v>
      </c>
      <c r="G5617" s="0" t="s">
        <v>2057</v>
      </c>
      <c r="H5617" s="0" t="s">
        <v>2052</v>
      </c>
      <c r="I5617" s="0" t="s">
        <v>2322</v>
      </c>
      <c r="J5617" s="0" t="s">
        <v>2358</v>
      </c>
      <c r="K5617" s="272" t="n">
        <v>124092.57</v>
      </c>
    </row>
    <row r="5618" customFormat="false" ht="15" hidden="false" customHeight="false" outlineLevel="0" collapsed="false">
      <c r="A5618" s="0" t="s">
        <v>2041</v>
      </c>
      <c r="B5618" s="0" t="s">
        <v>2042</v>
      </c>
      <c r="C5618" s="0" t="s">
        <v>2359</v>
      </c>
      <c r="D5618" s="0" t="s">
        <v>2044</v>
      </c>
      <c r="E5618" s="0" t="s">
        <v>2045</v>
      </c>
      <c r="F5618" s="0" t="s">
        <v>2051</v>
      </c>
      <c r="G5618" s="0" t="s">
        <v>2057</v>
      </c>
      <c r="H5618" s="0" t="s">
        <v>2052</v>
      </c>
      <c r="I5618" s="0" t="s">
        <v>2322</v>
      </c>
      <c r="J5618" s="0" t="s">
        <v>2358</v>
      </c>
      <c r="K5618" s="272" t="n">
        <v>19523.715</v>
      </c>
    </row>
    <row r="5619" customFormat="false" ht="15" hidden="false" customHeight="false" outlineLevel="0" collapsed="false">
      <c r="A5619" s="0" t="s">
        <v>2041</v>
      </c>
      <c r="B5619" s="0" t="s">
        <v>2042</v>
      </c>
      <c r="C5619" s="0" t="s">
        <v>2156</v>
      </c>
      <c r="D5619" s="0" t="s">
        <v>2044</v>
      </c>
      <c r="E5619" s="0" t="s">
        <v>2045</v>
      </c>
      <c r="F5619" s="0" t="s">
        <v>2051</v>
      </c>
      <c r="G5619" s="0" t="s">
        <v>2057</v>
      </c>
      <c r="H5619" s="0" t="s">
        <v>2052</v>
      </c>
      <c r="I5619" s="0" t="s">
        <v>2322</v>
      </c>
      <c r="J5619" s="0" t="s">
        <v>2358</v>
      </c>
      <c r="K5619" s="272" t="n">
        <v>224764.5</v>
      </c>
    </row>
    <row r="5620" customFormat="false" ht="15" hidden="false" customHeight="false" outlineLevel="0" collapsed="false">
      <c r="A5620" s="0" t="s">
        <v>2041</v>
      </c>
      <c r="B5620" s="0" t="s">
        <v>2042</v>
      </c>
      <c r="C5620" s="0" t="s">
        <v>2161</v>
      </c>
      <c r="D5620" s="0" t="s">
        <v>2044</v>
      </c>
      <c r="E5620" s="0" t="s">
        <v>2045</v>
      </c>
      <c r="F5620" s="0" t="s">
        <v>2051</v>
      </c>
      <c r="G5620" s="0" t="s">
        <v>2057</v>
      </c>
      <c r="H5620" s="0" t="s">
        <v>2052</v>
      </c>
      <c r="I5620" s="0" t="s">
        <v>2322</v>
      </c>
      <c r="J5620" s="0" t="s">
        <v>2358</v>
      </c>
      <c r="K5620" s="272" t="n">
        <v>67878.88</v>
      </c>
    </row>
    <row r="5621" customFormat="false" ht="15" hidden="false" customHeight="false" outlineLevel="0" collapsed="false">
      <c r="A5621" s="0" t="s">
        <v>2041</v>
      </c>
      <c r="B5621" s="0" t="s">
        <v>2042</v>
      </c>
      <c r="C5621" s="0" t="s">
        <v>2349</v>
      </c>
      <c r="D5621" s="0" t="s">
        <v>2044</v>
      </c>
      <c r="E5621" s="0" t="s">
        <v>2045</v>
      </c>
      <c r="F5621" s="0" t="s">
        <v>2051</v>
      </c>
      <c r="G5621" s="0" t="s">
        <v>2057</v>
      </c>
      <c r="H5621" s="0" t="s">
        <v>2052</v>
      </c>
      <c r="I5621" s="0" t="s">
        <v>2322</v>
      </c>
      <c r="J5621" s="0" t="s">
        <v>2358</v>
      </c>
      <c r="K5621" s="272" t="n">
        <v>43372.12</v>
      </c>
    </row>
    <row r="5622" customFormat="false" ht="15" hidden="false" customHeight="false" outlineLevel="0" collapsed="false">
      <c r="A5622" s="0" t="s">
        <v>2041</v>
      </c>
      <c r="B5622" s="0" t="s">
        <v>2042</v>
      </c>
      <c r="C5622" s="0" t="s">
        <v>2352</v>
      </c>
      <c r="D5622" s="0" t="s">
        <v>2044</v>
      </c>
      <c r="E5622" s="0" t="s">
        <v>2045</v>
      </c>
      <c r="F5622" s="0" t="s">
        <v>2046</v>
      </c>
      <c r="G5622" s="0" t="s">
        <v>2058</v>
      </c>
      <c r="H5622" s="0" t="s">
        <v>2048</v>
      </c>
      <c r="I5622" s="0" t="s">
        <v>2322</v>
      </c>
      <c r="J5622" s="0" t="s">
        <v>2358</v>
      </c>
      <c r="K5622" s="272" t="n">
        <v>128000</v>
      </c>
    </row>
    <row r="5623" customFormat="false" ht="15" hidden="false" customHeight="false" outlineLevel="0" collapsed="false">
      <c r="A5623" s="0" t="s">
        <v>2041</v>
      </c>
      <c r="B5623" s="0" t="s">
        <v>2042</v>
      </c>
      <c r="C5623" s="0" t="s">
        <v>2359</v>
      </c>
      <c r="D5623" s="0" t="s">
        <v>2044</v>
      </c>
      <c r="E5623" s="0" t="s">
        <v>2045</v>
      </c>
      <c r="F5623" s="0" t="s">
        <v>2046</v>
      </c>
      <c r="G5623" s="0" t="s">
        <v>2058</v>
      </c>
      <c r="H5623" s="0" t="s">
        <v>2048</v>
      </c>
      <c r="I5623" s="0" t="s">
        <v>2322</v>
      </c>
      <c r="J5623" s="0" t="s">
        <v>2358</v>
      </c>
      <c r="K5623" s="272" t="n">
        <v>108387.504</v>
      </c>
    </row>
    <row r="5624" customFormat="false" ht="15" hidden="false" customHeight="false" outlineLevel="0" collapsed="false">
      <c r="A5624" s="0" t="s">
        <v>2041</v>
      </c>
      <c r="B5624" s="0" t="s">
        <v>2042</v>
      </c>
      <c r="C5624" s="0" t="s">
        <v>2156</v>
      </c>
      <c r="D5624" s="0" t="s">
        <v>2044</v>
      </c>
      <c r="E5624" s="0" t="s">
        <v>2045</v>
      </c>
      <c r="F5624" s="0" t="s">
        <v>2046</v>
      </c>
      <c r="G5624" s="0" t="s">
        <v>2058</v>
      </c>
      <c r="H5624" s="0" t="s">
        <v>2048</v>
      </c>
      <c r="I5624" s="0" t="s">
        <v>2322</v>
      </c>
      <c r="J5624" s="0" t="s">
        <v>2358</v>
      </c>
      <c r="K5624" s="272" t="n">
        <v>223076.8</v>
      </c>
    </row>
    <row r="5625" customFormat="false" ht="15" hidden="false" customHeight="false" outlineLevel="0" collapsed="false">
      <c r="A5625" s="0" t="s">
        <v>2041</v>
      </c>
      <c r="B5625" s="0" t="s">
        <v>2042</v>
      </c>
      <c r="C5625" s="0" t="s">
        <v>2161</v>
      </c>
      <c r="D5625" s="0" t="s">
        <v>2044</v>
      </c>
      <c r="E5625" s="0" t="s">
        <v>2045</v>
      </c>
      <c r="F5625" s="0" t="s">
        <v>2046</v>
      </c>
      <c r="G5625" s="0" t="s">
        <v>2058</v>
      </c>
      <c r="H5625" s="0" t="s">
        <v>2048</v>
      </c>
      <c r="I5625" s="0" t="s">
        <v>2322</v>
      </c>
      <c r="J5625" s="0" t="s">
        <v>2358</v>
      </c>
      <c r="K5625" s="272" t="n">
        <v>67369.19</v>
      </c>
    </row>
    <row r="5626" customFormat="false" ht="15" hidden="false" customHeight="false" outlineLevel="0" collapsed="false">
      <c r="A5626" s="0" t="s">
        <v>2041</v>
      </c>
      <c r="B5626" s="0" t="s">
        <v>2042</v>
      </c>
      <c r="C5626" s="0" t="s">
        <v>2349</v>
      </c>
      <c r="D5626" s="0" t="s">
        <v>2044</v>
      </c>
      <c r="E5626" s="0" t="s">
        <v>2045</v>
      </c>
      <c r="F5626" s="0" t="s">
        <v>2046</v>
      </c>
      <c r="G5626" s="0" t="s">
        <v>2058</v>
      </c>
      <c r="H5626" s="0" t="s">
        <v>2048</v>
      </c>
      <c r="I5626" s="0" t="s">
        <v>2322</v>
      </c>
      <c r="J5626" s="0" t="s">
        <v>2358</v>
      </c>
      <c r="K5626" s="272" t="n">
        <v>71389.026</v>
      </c>
    </row>
    <row r="5627" customFormat="false" ht="15" hidden="false" customHeight="false" outlineLevel="0" collapsed="false">
      <c r="A5627" s="0" t="s">
        <v>2041</v>
      </c>
      <c r="B5627" s="0" t="s">
        <v>2042</v>
      </c>
      <c r="C5627" s="0" t="s">
        <v>2352</v>
      </c>
      <c r="D5627" s="0" t="s">
        <v>2044</v>
      </c>
      <c r="E5627" s="0" t="s">
        <v>2045</v>
      </c>
      <c r="F5627" s="0" t="s">
        <v>2051</v>
      </c>
      <c r="G5627" s="0" t="s">
        <v>2058</v>
      </c>
      <c r="H5627" s="0" t="s">
        <v>2052</v>
      </c>
      <c r="I5627" s="0" t="s">
        <v>2322</v>
      </c>
      <c r="J5627" s="0" t="s">
        <v>2358</v>
      </c>
      <c r="K5627" s="272" t="n">
        <v>32000</v>
      </c>
    </row>
    <row r="5628" customFormat="false" ht="15" hidden="false" customHeight="false" outlineLevel="0" collapsed="false">
      <c r="A5628" s="0" t="s">
        <v>2041</v>
      </c>
      <c r="B5628" s="0" t="s">
        <v>2042</v>
      </c>
      <c r="C5628" s="0" t="s">
        <v>2359</v>
      </c>
      <c r="D5628" s="0" t="s">
        <v>2044</v>
      </c>
      <c r="E5628" s="0" t="s">
        <v>2045</v>
      </c>
      <c r="F5628" s="0" t="s">
        <v>2051</v>
      </c>
      <c r="G5628" s="0" t="s">
        <v>2058</v>
      </c>
      <c r="H5628" s="0" t="s">
        <v>2052</v>
      </c>
      <c r="I5628" s="0" t="s">
        <v>2322</v>
      </c>
      <c r="J5628" s="0" t="s">
        <v>2358</v>
      </c>
      <c r="K5628" s="272" t="n">
        <v>27096.876</v>
      </c>
    </row>
    <row r="5629" customFormat="false" ht="15" hidden="false" customHeight="false" outlineLevel="0" collapsed="false">
      <c r="A5629" s="0" t="s">
        <v>2041</v>
      </c>
      <c r="B5629" s="0" t="s">
        <v>2042</v>
      </c>
      <c r="C5629" s="0" t="s">
        <v>2156</v>
      </c>
      <c r="D5629" s="0" t="s">
        <v>2044</v>
      </c>
      <c r="E5629" s="0" t="s">
        <v>2045</v>
      </c>
      <c r="F5629" s="0" t="s">
        <v>2051</v>
      </c>
      <c r="G5629" s="0" t="s">
        <v>2058</v>
      </c>
      <c r="H5629" s="0" t="s">
        <v>2052</v>
      </c>
      <c r="I5629" s="0" t="s">
        <v>2322</v>
      </c>
      <c r="J5629" s="0" t="s">
        <v>2358</v>
      </c>
      <c r="K5629" s="272" t="n">
        <v>55769.2</v>
      </c>
    </row>
    <row r="5630" customFormat="false" ht="15" hidden="false" customHeight="false" outlineLevel="0" collapsed="false">
      <c r="A5630" s="0" t="s">
        <v>2041</v>
      </c>
      <c r="B5630" s="0" t="s">
        <v>2042</v>
      </c>
      <c r="C5630" s="0" t="s">
        <v>2161</v>
      </c>
      <c r="D5630" s="0" t="s">
        <v>2044</v>
      </c>
      <c r="E5630" s="0" t="s">
        <v>2045</v>
      </c>
      <c r="F5630" s="0" t="s">
        <v>2051</v>
      </c>
      <c r="G5630" s="0" t="s">
        <v>2058</v>
      </c>
      <c r="H5630" s="0" t="s">
        <v>2052</v>
      </c>
      <c r="I5630" s="0" t="s">
        <v>2322</v>
      </c>
      <c r="J5630" s="0" t="s">
        <v>2358</v>
      </c>
      <c r="K5630" s="272" t="n">
        <v>16842.2975</v>
      </c>
    </row>
    <row r="5631" customFormat="false" ht="15" hidden="false" customHeight="false" outlineLevel="0" collapsed="false">
      <c r="A5631" s="0" t="s">
        <v>2041</v>
      </c>
      <c r="B5631" s="0" t="s">
        <v>2042</v>
      </c>
      <c r="C5631" s="0" t="s">
        <v>2349</v>
      </c>
      <c r="D5631" s="0" t="s">
        <v>2044</v>
      </c>
      <c r="E5631" s="0" t="s">
        <v>2045</v>
      </c>
      <c r="F5631" s="0" t="s">
        <v>2051</v>
      </c>
      <c r="G5631" s="0" t="s">
        <v>2058</v>
      </c>
      <c r="H5631" s="0" t="s">
        <v>2052</v>
      </c>
      <c r="I5631" s="0" t="s">
        <v>2322</v>
      </c>
      <c r="J5631" s="0" t="s">
        <v>2358</v>
      </c>
      <c r="K5631" s="272" t="n">
        <v>17847.2565</v>
      </c>
    </row>
    <row r="5632" customFormat="false" ht="15" hidden="false" customHeight="false" outlineLevel="0" collapsed="false">
      <c r="A5632" s="0" t="s">
        <v>2041</v>
      </c>
      <c r="B5632" s="0" t="s">
        <v>2042</v>
      </c>
      <c r="C5632" s="0" t="s">
        <v>2359</v>
      </c>
      <c r="D5632" s="0" t="s">
        <v>2044</v>
      </c>
      <c r="E5632" s="0" t="s">
        <v>2045</v>
      </c>
      <c r="F5632" s="0" t="s">
        <v>2046</v>
      </c>
      <c r="G5632" s="0" t="s">
        <v>2059</v>
      </c>
      <c r="H5632" s="0" t="s">
        <v>2048</v>
      </c>
      <c r="I5632" s="0" t="s">
        <v>2322</v>
      </c>
      <c r="J5632" s="0" t="s">
        <v>2358</v>
      </c>
      <c r="K5632" s="272" t="n">
        <v>23837.52</v>
      </c>
    </row>
    <row r="5633" customFormat="false" ht="15" hidden="false" customHeight="false" outlineLevel="0" collapsed="false">
      <c r="A5633" s="0" t="s">
        <v>2041</v>
      </c>
      <c r="B5633" s="0" t="s">
        <v>2042</v>
      </c>
      <c r="C5633" s="0" t="s">
        <v>2156</v>
      </c>
      <c r="D5633" s="0" t="s">
        <v>2044</v>
      </c>
      <c r="E5633" s="0" t="s">
        <v>2045</v>
      </c>
      <c r="F5633" s="0" t="s">
        <v>2046</v>
      </c>
      <c r="G5633" s="0" t="s">
        <v>2059</v>
      </c>
      <c r="H5633" s="0" t="s">
        <v>2048</v>
      </c>
      <c r="I5633" s="0" t="s">
        <v>2322</v>
      </c>
      <c r="J5633" s="0" t="s">
        <v>2358</v>
      </c>
      <c r="K5633" s="272" t="n">
        <v>141417.57</v>
      </c>
    </row>
    <row r="5634" customFormat="false" ht="15" hidden="false" customHeight="false" outlineLevel="0" collapsed="false">
      <c r="A5634" s="0" t="s">
        <v>2041</v>
      </c>
      <c r="B5634" s="0" t="s">
        <v>2042</v>
      </c>
      <c r="C5634" s="0" t="s">
        <v>2161</v>
      </c>
      <c r="D5634" s="0" t="s">
        <v>2044</v>
      </c>
      <c r="E5634" s="0" t="s">
        <v>2045</v>
      </c>
      <c r="F5634" s="0" t="s">
        <v>2046</v>
      </c>
      <c r="G5634" s="0" t="s">
        <v>2059</v>
      </c>
      <c r="H5634" s="0" t="s">
        <v>2048</v>
      </c>
      <c r="I5634" s="0" t="s">
        <v>2322</v>
      </c>
      <c r="J5634" s="0" t="s">
        <v>2358</v>
      </c>
      <c r="K5634" s="272" t="n">
        <v>42708.106</v>
      </c>
    </row>
    <row r="5635" customFormat="false" ht="15" hidden="false" customHeight="false" outlineLevel="0" collapsed="false">
      <c r="A5635" s="0" t="s">
        <v>2041</v>
      </c>
      <c r="B5635" s="0" t="s">
        <v>2042</v>
      </c>
      <c r="C5635" s="0" t="s">
        <v>2349</v>
      </c>
      <c r="D5635" s="0" t="s">
        <v>2044</v>
      </c>
      <c r="E5635" s="0" t="s">
        <v>2045</v>
      </c>
      <c r="F5635" s="0" t="s">
        <v>2046</v>
      </c>
      <c r="G5635" s="0" t="s">
        <v>2059</v>
      </c>
      <c r="H5635" s="0" t="s">
        <v>2048</v>
      </c>
      <c r="I5635" s="0" t="s">
        <v>2322</v>
      </c>
      <c r="J5635" s="0" t="s">
        <v>2358</v>
      </c>
      <c r="K5635" s="272" t="n">
        <v>7198.933</v>
      </c>
    </row>
    <row r="5636" customFormat="false" ht="15" hidden="false" customHeight="false" outlineLevel="0" collapsed="false">
      <c r="A5636" s="0" t="s">
        <v>2041</v>
      </c>
      <c r="B5636" s="0" t="s">
        <v>2042</v>
      </c>
      <c r="C5636" s="0" t="s">
        <v>2359</v>
      </c>
      <c r="D5636" s="0" t="s">
        <v>2044</v>
      </c>
      <c r="E5636" s="0" t="s">
        <v>2045</v>
      </c>
      <c r="F5636" s="0" t="s">
        <v>2051</v>
      </c>
      <c r="G5636" s="0" t="s">
        <v>2059</v>
      </c>
      <c r="H5636" s="0" t="s">
        <v>2052</v>
      </c>
      <c r="I5636" s="0" t="s">
        <v>2322</v>
      </c>
      <c r="J5636" s="0" t="s">
        <v>2358</v>
      </c>
      <c r="K5636" s="272" t="n">
        <v>10216.08</v>
      </c>
    </row>
    <row r="5637" customFormat="false" ht="15" hidden="false" customHeight="false" outlineLevel="0" collapsed="false">
      <c r="A5637" s="0" t="s">
        <v>2041</v>
      </c>
      <c r="B5637" s="0" t="s">
        <v>2042</v>
      </c>
      <c r="C5637" s="0" t="s">
        <v>2156</v>
      </c>
      <c r="D5637" s="0" t="s">
        <v>2044</v>
      </c>
      <c r="E5637" s="0" t="s">
        <v>2045</v>
      </c>
      <c r="F5637" s="0" t="s">
        <v>2051</v>
      </c>
      <c r="G5637" s="0" t="s">
        <v>2059</v>
      </c>
      <c r="H5637" s="0" t="s">
        <v>2052</v>
      </c>
      <c r="I5637" s="0" t="s">
        <v>2322</v>
      </c>
      <c r="J5637" s="0" t="s">
        <v>2358</v>
      </c>
      <c r="K5637" s="272" t="n">
        <v>60607.53</v>
      </c>
    </row>
    <row r="5638" customFormat="false" ht="15" hidden="false" customHeight="false" outlineLevel="0" collapsed="false">
      <c r="A5638" s="0" t="s">
        <v>2041</v>
      </c>
      <c r="B5638" s="0" t="s">
        <v>2042</v>
      </c>
      <c r="C5638" s="0" t="s">
        <v>2161</v>
      </c>
      <c r="D5638" s="0" t="s">
        <v>2044</v>
      </c>
      <c r="E5638" s="0" t="s">
        <v>2045</v>
      </c>
      <c r="F5638" s="0" t="s">
        <v>2051</v>
      </c>
      <c r="G5638" s="0" t="s">
        <v>2059</v>
      </c>
      <c r="H5638" s="0" t="s">
        <v>2052</v>
      </c>
      <c r="I5638" s="0" t="s">
        <v>2322</v>
      </c>
      <c r="J5638" s="0" t="s">
        <v>2358</v>
      </c>
      <c r="K5638" s="272" t="n">
        <v>18303.474</v>
      </c>
    </row>
    <row r="5639" customFormat="false" ht="15" hidden="false" customHeight="false" outlineLevel="0" collapsed="false">
      <c r="A5639" s="0" t="s">
        <v>2041</v>
      </c>
      <c r="B5639" s="0" t="s">
        <v>2042</v>
      </c>
      <c r="C5639" s="0" t="s">
        <v>2349</v>
      </c>
      <c r="D5639" s="0" t="s">
        <v>2044</v>
      </c>
      <c r="E5639" s="0" t="s">
        <v>2045</v>
      </c>
      <c r="F5639" s="0" t="s">
        <v>2051</v>
      </c>
      <c r="G5639" s="0" t="s">
        <v>2059</v>
      </c>
      <c r="H5639" s="0" t="s">
        <v>2052</v>
      </c>
      <c r="I5639" s="0" t="s">
        <v>2322</v>
      </c>
      <c r="J5639" s="0" t="s">
        <v>2358</v>
      </c>
      <c r="K5639" s="272" t="n">
        <v>3085.257</v>
      </c>
    </row>
    <row r="5640" customFormat="false" ht="15" hidden="false" customHeight="false" outlineLevel="0" collapsed="false">
      <c r="A5640" s="0" t="s">
        <v>2041</v>
      </c>
      <c r="B5640" s="0" t="s">
        <v>2042</v>
      </c>
      <c r="C5640" s="0" t="s">
        <v>2352</v>
      </c>
      <c r="D5640" s="0" t="s">
        <v>2044</v>
      </c>
      <c r="E5640" s="0" t="s">
        <v>2045</v>
      </c>
      <c r="F5640" s="0" t="s">
        <v>2046</v>
      </c>
      <c r="G5640" s="0" t="s">
        <v>2060</v>
      </c>
      <c r="H5640" s="0" t="s">
        <v>2048</v>
      </c>
      <c r="I5640" s="0" t="s">
        <v>2322</v>
      </c>
      <c r="J5640" s="0" t="s">
        <v>2358</v>
      </c>
      <c r="K5640" s="272" t="n">
        <v>624548.5785</v>
      </c>
    </row>
    <row r="5641" customFormat="false" ht="15" hidden="false" customHeight="false" outlineLevel="0" collapsed="false">
      <c r="A5641" s="0" t="s">
        <v>2041</v>
      </c>
      <c r="B5641" s="0" t="s">
        <v>2042</v>
      </c>
      <c r="C5641" s="0" t="s">
        <v>2359</v>
      </c>
      <c r="D5641" s="0" t="s">
        <v>2044</v>
      </c>
      <c r="E5641" s="0" t="s">
        <v>2045</v>
      </c>
      <c r="F5641" s="0" t="s">
        <v>2046</v>
      </c>
      <c r="G5641" s="0" t="s">
        <v>2060</v>
      </c>
      <c r="H5641" s="0" t="s">
        <v>2048</v>
      </c>
      <c r="I5641" s="0" t="s">
        <v>2322</v>
      </c>
      <c r="J5641" s="0" t="s">
        <v>2358</v>
      </c>
      <c r="K5641" s="272" t="n">
        <v>12486.969</v>
      </c>
    </row>
    <row r="5642" customFormat="false" ht="15" hidden="false" customHeight="false" outlineLevel="0" collapsed="false">
      <c r="A5642" s="0" t="s">
        <v>2041</v>
      </c>
      <c r="B5642" s="0" t="s">
        <v>2042</v>
      </c>
      <c r="C5642" s="0" t="s">
        <v>2362</v>
      </c>
      <c r="D5642" s="0" t="s">
        <v>2044</v>
      </c>
      <c r="E5642" s="0" t="s">
        <v>2045</v>
      </c>
      <c r="F5642" s="0" t="s">
        <v>2046</v>
      </c>
      <c r="G5642" s="0" t="s">
        <v>2060</v>
      </c>
      <c r="H5642" s="0" t="s">
        <v>2048</v>
      </c>
      <c r="I5642" s="0" t="s">
        <v>2322</v>
      </c>
      <c r="J5642" s="0" t="s">
        <v>2358</v>
      </c>
      <c r="K5642" s="272" t="n">
        <v>35374.8186</v>
      </c>
    </row>
    <row r="5643" customFormat="false" ht="15" hidden="false" customHeight="false" outlineLevel="0" collapsed="false">
      <c r="A5643" s="0" t="s">
        <v>2041</v>
      </c>
      <c r="B5643" s="0" t="s">
        <v>2042</v>
      </c>
      <c r="C5643" s="0" t="s">
        <v>2361</v>
      </c>
      <c r="D5643" s="0" t="s">
        <v>2044</v>
      </c>
      <c r="E5643" s="0" t="s">
        <v>2045</v>
      </c>
      <c r="F5643" s="0" t="s">
        <v>2046</v>
      </c>
      <c r="G5643" s="0" t="s">
        <v>2060</v>
      </c>
      <c r="H5643" s="0" t="s">
        <v>2048</v>
      </c>
      <c r="I5643" s="0" t="s">
        <v>2322</v>
      </c>
      <c r="J5643" s="0" t="s">
        <v>2358</v>
      </c>
      <c r="K5643" s="272" t="n">
        <v>88636.7394</v>
      </c>
    </row>
    <row r="5644" customFormat="false" ht="15" hidden="false" customHeight="false" outlineLevel="0" collapsed="false">
      <c r="A5644" s="0" t="s">
        <v>2041</v>
      </c>
      <c r="B5644" s="0" t="s">
        <v>2042</v>
      </c>
      <c r="C5644" s="0" t="s">
        <v>2156</v>
      </c>
      <c r="D5644" s="0" t="s">
        <v>2044</v>
      </c>
      <c r="E5644" s="0" t="s">
        <v>2045</v>
      </c>
      <c r="F5644" s="0" t="s">
        <v>2046</v>
      </c>
      <c r="G5644" s="0" t="s">
        <v>2060</v>
      </c>
      <c r="H5644" s="0" t="s">
        <v>2048</v>
      </c>
      <c r="I5644" s="0" t="s">
        <v>2322</v>
      </c>
      <c r="J5644" s="0" t="s">
        <v>2358</v>
      </c>
      <c r="K5644" s="272" t="n">
        <v>1971761.319</v>
      </c>
    </row>
    <row r="5645" customFormat="false" ht="15" hidden="false" customHeight="false" outlineLevel="0" collapsed="false">
      <c r="A5645" s="0" t="s">
        <v>2041</v>
      </c>
      <c r="B5645" s="0" t="s">
        <v>2042</v>
      </c>
      <c r="C5645" s="0" t="s">
        <v>2161</v>
      </c>
      <c r="D5645" s="0" t="s">
        <v>2044</v>
      </c>
      <c r="E5645" s="0" t="s">
        <v>2045</v>
      </c>
      <c r="F5645" s="0" t="s">
        <v>2046</v>
      </c>
      <c r="G5645" s="0" t="s">
        <v>2060</v>
      </c>
      <c r="H5645" s="0" t="s">
        <v>2048</v>
      </c>
      <c r="I5645" s="0" t="s">
        <v>2322</v>
      </c>
      <c r="J5645" s="0" t="s">
        <v>2358</v>
      </c>
      <c r="K5645" s="272" t="n">
        <v>595471.919698</v>
      </c>
    </row>
    <row r="5646" customFormat="false" ht="15" hidden="false" customHeight="false" outlineLevel="0" collapsed="false">
      <c r="A5646" s="0" t="s">
        <v>2041</v>
      </c>
      <c r="B5646" s="0" t="s">
        <v>2042</v>
      </c>
      <c r="C5646" s="0" t="s">
        <v>2349</v>
      </c>
      <c r="D5646" s="0" t="s">
        <v>2044</v>
      </c>
      <c r="E5646" s="0" t="s">
        <v>2045</v>
      </c>
      <c r="F5646" s="0" t="s">
        <v>2046</v>
      </c>
      <c r="G5646" s="0" t="s">
        <v>2060</v>
      </c>
      <c r="H5646" s="0" t="s">
        <v>2048</v>
      </c>
      <c r="I5646" s="0" t="s">
        <v>2322</v>
      </c>
      <c r="J5646" s="0" t="s">
        <v>2358</v>
      </c>
      <c r="K5646" s="272" t="n">
        <v>229836.224402</v>
      </c>
    </row>
    <row r="5647" customFormat="false" ht="15" hidden="false" customHeight="false" outlineLevel="0" collapsed="false">
      <c r="A5647" s="0" t="s">
        <v>2041</v>
      </c>
      <c r="B5647" s="0" t="s">
        <v>2042</v>
      </c>
      <c r="C5647" s="0" t="s">
        <v>2352</v>
      </c>
      <c r="D5647" s="0" t="s">
        <v>2044</v>
      </c>
      <c r="E5647" s="0" t="s">
        <v>2045</v>
      </c>
      <c r="F5647" s="0" t="s">
        <v>2051</v>
      </c>
      <c r="G5647" s="0" t="s">
        <v>2060</v>
      </c>
      <c r="H5647" s="0" t="s">
        <v>2052</v>
      </c>
      <c r="I5647" s="0" t="s">
        <v>2322</v>
      </c>
      <c r="J5647" s="0" t="s">
        <v>2358</v>
      </c>
      <c r="K5647" s="272" t="n">
        <v>6308.5715</v>
      </c>
    </row>
    <row r="5648" customFormat="false" ht="15" hidden="false" customHeight="false" outlineLevel="0" collapsed="false">
      <c r="A5648" s="0" t="s">
        <v>2041</v>
      </c>
      <c r="B5648" s="0" t="s">
        <v>2042</v>
      </c>
      <c r="C5648" s="0" t="s">
        <v>2359</v>
      </c>
      <c r="D5648" s="0" t="s">
        <v>2044</v>
      </c>
      <c r="E5648" s="0" t="s">
        <v>2045</v>
      </c>
      <c r="F5648" s="0" t="s">
        <v>2051</v>
      </c>
      <c r="G5648" s="0" t="s">
        <v>2060</v>
      </c>
      <c r="H5648" s="0" t="s">
        <v>2052</v>
      </c>
      <c r="I5648" s="0" t="s">
        <v>2322</v>
      </c>
      <c r="J5648" s="0" t="s">
        <v>2358</v>
      </c>
      <c r="K5648" s="272" t="n">
        <v>126.131</v>
      </c>
    </row>
    <row r="5649" customFormat="false" ht="15" hidden="false" customHeight="false" outlineLevel="0" collapsed="false">
      <c r="A5649" s="0" t="s">
        <v>2041</v>
      </c>
      <c r="B5649" s="0" t="s">
        <v>2042</v>
      </c>
      <c r="C5649" s="0" t="s">
        <v>2362</v>
      </c>
      <c r="D5649" s="0" t="s">
        <v>2044</v>
      </c>
      <c r="E5649" s="0" t="s">
        <v>2045</v>
      </c>
      <c r="F5649" s="0" t="s">
        <v>2051</v>
      </c>
      <c r="G5649" s="0" t="s">
        <v>2060</v>
      </c>
      <c r="H5649" s="0" t="s">
        <v>2052</v>
      </c>
      <c r="I5649" s="0" t="s">
        <v>2322</v>
      </c>
      <c r="J5649" s="0" t="s">
        <v>2358</v>
      </c>
      <c r="K5649" s="272" t="n">
        <v>357.3214</v>
      </c>
    </row>
    <row r="5650" customFormat="false" ht="15" hidden="false" customHeight="false" outlineLevel="0" collapsed="false">
      <c r="A5650" s="0" t="s">
        <v>2041</v>
      </c>
      <c r="B5650" s="0" t="s">
        <v>2042</v>
      </c>
      <c r="C5650" s="0" t="s">
        <v>2361</v>
      </c>
      <c r="D5650" s="0" t="s">
        <v>2044</v>
      </c>
      <c r="E5650" s="0" t="s">
        <v>2045</v>
      </c>
      <c r="F5650" s="0" t="s">
        <v>2051</v>
      </c>
      <c r="G5650" s="0" t="s">
        <v>2060</v>
      </c>
      <c r="H5650" s="0" t="s">
        <v>2052</v>
      </c>
      <c r="I5650" s="0" t="s">
        <v>2322</v>
      </c>
      <c r="J5650" s="0" t="s">
        <v>2358</v>
      </c>
      <c r="K5650" s="272" t="n">
        <v>895.3206</v>
      </c>
    </row>
    <row r="5651" customFormat="false" ht="15" hidden="false" customHeight="false" outlineLevel="0" collapsed="false">
      <c r="A5651" s="0" t="s">
        <v>2041</v>
      </c>
      <c r="B5651" s="0" t="s">
        <v>2042</v>
      </c>
      <c r="C5651" s="0" t="s">
        <v>2156</v>
      </c>
      <c r="D5651" s="0" t="s">
        <v>2044</v>
      </c>
      <c r="E5651" s="0" t="s">
        <v>2045</v>
      </c>
      <c r="F5651" s="0" t="s">
        <v>2051</v>
      </c>
      <c r="G5651" s="0" t="s">
        <v>2060</v>
      </c>
      <c r="H5651" s="0" t="s">
        <v>2052</v>
      </c>
      <c r="I5651" s="0" t="s">
        <v>2322</v>
      </c>
      <c r="J5651" s="0" t="s">
        <v>2358</v>
      </c>
      <c r="K5651" s="272" t="n">
        <v>19916.781</v>
      </c>
    </row>
    <row r="5652" customFormat="false" ht="15" hidden="false" customHeight="false" outlineLevel="0" collapsed="false">
      <c r="A5652" s="0" t="s">
        <v>2041</v>
      </c>
      <c r="B5652" s="0" t="s">
        <v>2042</v>
      </c>
      <c r="C5652" s="0" t="s">
        <v>2161</v>
      </c>
      <c r="D5652" s="0" t="s">
        <v>2044</v>
      </c>
      <c r="E5652" s="0" t="s">
        <v>2045</v>
      </c>
      <c r="F5652" s="0" t="s">
        <v>2051</v>
      </c>
      <c r="G5652" s="0" t="s">
        <v>2060</v>
      </c>
      <c r="H5652" s="0" t="s">
        <v>2052</v>
      </c>
      <c r="I5652" s="0" t="s">
        <v>2322</v>
      </c>
      <c r="J5652" s="0" t="s">
        <v>2358</v>
      </c>
      <c r="K5652" s="272" t="n">
        <v>6014.86787573738</v>
      </c>
    </row>
    <row r="5653" customFormat="false" ht="15" hidden="false" customHeight="false" outlineLevel="0" collapsed="false">
      <c r="A5653" s="0" t="s">
        <v>2041</v>
      </c>
      <c r="B5653" s="0" t="s">
        <v>2042</v>
      </c>
      <c r="C5653" s="0" t="s">
        <v>2349</v>
      </c>
      <c r="D5653" s="0" t="s">
        <v>2044</v>
      </c>
      <c r="E5653" s="0" t="s">
        <v>2045</v>
      </c>
      <c r="F5653" s="0" t="s">
        <v>2051</v>
      </c>
      <c r="G5653" s="0" t="s">
        <v>2060</v>
      </c>
      <c r="H5653" s="0" t="s">
        <v>2052</v>
      </c>
      <c r="I5653" s="0" t="s">
        <v>2322</v>
      </c>
      <c r="J5653" s="0" t="s">
        <v>2358</v>
      </c>
      <c r="K5653" s="272" t="n">
        <v>2321.57802426263</v>
      </c>
    </row>
    <row r="5654" customFormat="false" ht="15" hidden="false" customHeight="false" outlineLevel="0" collapsed="false">
      <c r="A5654" s="0" t="s">
        <v>2041</v>
      </c>
      <c r="B5654" s="0" t="s">
        <v>2042</v>
      </c>
      <c r="C5654" s="0" t="s">
        <v>2352</v>
      </c>
      <c r="D5654" s="0" t="s">
        <v>2044</v>
      </c>
      <c r="E5654" s="0" t="s">
        <v>2045</v>
      </c>
      <c r="F5654" s="0" t="s">
        <v>2046</v>
      </c>
      <c r="G5654" s="0" t="s">
        <v>2061</v>
      </c>
      <c r="H5654" s="0" t="s">
        <v>2048</v>
      </c>
      <c r="I5654" s="0" t="s">
        <v>2322</v>
      </c>
      <c r="J5654" s="0" t="s">
        <v>2358</v>
      </c>
      <c r="K5654" s="272" t="n">
        <v>656949.9972</v>
      </c>
    </row>
    <row r="5655" customFormat="false" ht="15" hidden="false" customHeight="false" outlineLevel="0" collapsed="false">
      <c r="A5655" s="0" t="s">
        <v>2041</v>
      </c>
      <c r="B5655" s="0" t="s">
        <v>2042</v>
      </c>
      <c r="C5655" s="0" t="s">
        <v>2359</v>
      </c>
      <c r="D5655" s="0" t="s">
        <v>2044</v>
      </c>
      <c r="E5655" s="0" t="s">
        <v>2045</v>
      </c>
      <c r="F5655" s="0" t="s">
        <v>2046</v>
      </c>
      <c r="G5655" s="0" t="s">
        <v>2061</v>
      </c>
      <c r="H5655" s="0" t="s">
        <v>2048</v>
      </c>
      <c r="I5655" s="0" t="s">
        <v>2322</v>
      </c>
      <c r="J5655" s="0" t="s">
        <v>2358</v>
      </c>
      <c r="K5655" s="272" t="n">
        <v>122752.9086</v>
      </c>
    </row>
    <row r="5656" customFormat="false" ht="15" hidden="false" customHeight="false" outlineLevel="0" collapsed="false">
      <c r="A5656" s="0" t="s">
        <v>2041</v>
      </c>
      <c r="B5656" s="0" t="s">
        <v>2042</v>
      </c>
      <c r="C5656" s="0" t="s">
        <v>2156</v>
      </c>
      <c r="D5656" s="0" t="s">
        <v>2044</v>
      </c>
      <c r="E5656" s="0" t="s">
        <v>2045</v>
      </c>
      <c r="F5656" s="0" t="s">
        <v>2046</v>
      </c>
      <c r="G5656" s="0" t="s">
        <v>2061</v>
      </c>
      <c r="H5656" s="0" t="s">
        <v>2048</v>
      </c>
      <c r="I5656" s="0" t="s">
        <v>2322</v>
      </c>
      <c r="J5656" s="0" t="s">
        <v>2358</v>
      </c>
      <c r="K5656" s="272" t="n">
        <v>959187.74</v>
      </c>
    </row>
    <row r="5657" customFormat="false" ht="15" hidden="false" customHeight="false" outlineLevel="0" collapsed="false">
      <c r="A5657" s="0" t="s">
        <v>2041</v>
      </c>
      <c r="B5657" s="0" t="s">
        <v>2042</v>
      </c>
      <c r="C5657" s="0" t="s">
        <v>2360</v>
      </c>
      <c r="D5657" s="0" t="s">
        <v>2044</v>
      </c>
      <c r="E5657" s="0" t="s">
        <v>2045</v>
      </c>
      <c r="F5657" s="0" t="s">
        <v>2046</v>
      </c>
      <c r="G5657" s="0" t="s">
        <v>2061</v>
      </c>
      <c r="H5657" s="0" t="s">
        <v>2048</v>
      </c>
      <c r="I5657" s="0" t="s">
        <v>2322</v>
      </c>
      <c r="J5657" s="0" t="s">
        <v>2358</v>
      </c>
      <c r="K5657" s="272" t="n">
        <v>270480</v>
      </c>
    </row>
    <row r="5658" customFormat="false" ht="15" hidden="false" customHeight="false" outlineLevel="0" collapsed="false">
      <c r="A5658" s="0" t="s">
        <v>2041</v>
      </c>
      <c r="B5658" s="0" t="s">
        <v>2042</v>
      </c>
      <c r="C5658" s="0" t="s">
        <v>2161</v>
      </c>
      <c r="D5658" s="0" t="s">
        <v>2044</v>
      </c>
      <c r="E5658" s="0" t="s">
        <v>2045</v>
      </c>
      <c r="F5658" s="0" t="s">
        <v>2046</v>
      </c>
      <c r="G5658" s="0" t="s">
        <v>2061</v>
      </c>
      <c r="H5658" s="0" t="s">
        <v>2048</v>
      </c>
      <c r="I5658" s="0" t="s">
        <v>2322</v>
      </c>
      <c r="J5658" s="0" t="s">
        <v>2358</v>
      </c>
      <c r="K5658" s="272" t="n">
        <v>289674.7</v>
      </c>
    </row>
    <row r="5659" customFormat="false" ht="15" hidden="false" customHeight="false" outlineLevel="0" collapsed="false">
      <c r="A5659" s="0" t="s">
        <v>2041</v>
      </c>
      <c r="B5659" s="0" t="s">
        <v>2042</v>
      </c>
      <c r="C5659" s="0" t="s">
        <v>2349</v>
      </c>
      <c r="D5659" s="0" t="s">
        <v>2044</v>
      </c>
      <c r="E5659" s="0" t="s">
        <v>2045</v>
      </c>
      <c r="F5659" s="0" t="s">
        <v>2046</v>
      </c>
      <c r="G5659" s="0" t="s">
        <v>2061</v>
      </c>
      <c r="H5659" s="0" t="s">
        <v>2048</v>
      </c>
      <c r="I5659" s="0" t="s">
        <v>2322</v>
      </c>
      <c r="J5659" s="0" t="s">
        <v>2358</v>
      </c>
      <c r="K5659" s="272" t="n">
        <v>317155.2356</v>
      </c>
    </row>
    <row r="5660" customFormat="false" ht="15" hidden="false" customHeight="false" outlineLevel="0" collapsed="false">
      <c r="A5660" s="0" t="s">
        <v>2041</v>
      </c>
      <c r="B5660" s="0" t="s">
        <v>2042</v>
      </c>
      <c r="C5660" s="0" t="s">
        <v>2352</v>
      </c>
      <c r="D5660" s="0" t="s">
        <v>2044</v>
      </c>
      <c r="E5660" s="0" t="s">
        <v>2045</v>
      </c>
      <c r="F5660" s="0" t="s">
        <v>2051</v>
      </c>
      <c r="G5660" s="0" t="s">
        <v>2061</v>
      </c>
      <c r="H5660" s="0" t="s">
        <v>2052</v>
      </c>
      <c r="I5660" s="0" t="s">
        <v>2322</v>
      </c>
      <c r="J5660" s="0" t="s">
        <v>2358</v>
      </c>
      <c r="K5660" s="272" t="n">
        <v>13407.1428</v>
      </c>
    </row>
    <row r="5661" customFormat="false" ht="15" hidden="false" customHeight="false" outlineLevel="0" collapsed="false">
      <c r="A5661" s="0" t="s">
        <v>2041</v>
      </c>
      <c r="B5661" s="0" t="s">
        <v>2042</v>
      </c>
      <c r="C5661" s="0" t="s">
        <v>2359</v>
      </c>
      <c r="D5661" s="0" t="s">
        <v>2044</v>
      </c>
      <c r="E5661" s="0" t="s">
        <v>2045</v>
      </c>
      <c r="F5661" s="0" t="s">
        <v>2051</v>
      </c>
      <c r="G5661" s="0" t="s">
        <v>2061</v>
      </c>
      <c r="H5661" s="0" t="s">
        <v>2052</v>
      </c>
      <c r="I5661" s="0" t="s">
        <v>2322</v>
      </c>
      <c r="J5661" s="0" t="s">
        <v>2358</v>
      </c>
      <c r="K5661" s="272" t="n">
        <v>2505.1614</v>
      </c>
    </row>
    <row r="5662" customFormat="false" ht="15" hidden="false" customHeight="false" outlineLevel="0" collapsed="false">
      <c r="A5662" s="0" t="s">
        <v>2041</v>
      </c>
      <c r="B5662" s="0" t="s">
        <v>2042</v>
      </c>
      <c r="C5662" s="0" t="s">
        <v>2156</v>
      </c>
      <c r="D5662" s="0" t="s">
        <v>2044</v>
      </c>
      <c r="E5662" s="0" t="s">
        <v>2045</v>
      </c>
      <c r="F5662" s="0" t="s">
        <v>2051</v>
      </c>
      <c r="G5662" s="0" t="s">
        <v>2061</v>
      </c>
      <c r="H5662" s="0" t="s">
        <v>2052</v>
      </c>
      <c r="I5662" s="0" t="s">
        <v>2322</v>
      </c>
      <c r="J5662" s="0" t="s">
        <v>2358</v>
      </c>
      <c r="K5662" s="272" t="n">
        <v>19575.26</v>
      </c>
    </row>
    <row r="5663" customFormat="false" ht="15" hidden="false" customHeight="false" outlineLevel="0" collapsed="false">
      <c r="A5663" s="0" t="s">
        <v>2041</v>
      </c>
      <c r="B5663" s="0" t="s">
        <v>2042</v>
      </c>
      <c r="C5663" s="0" t="s">
        <v>2360</v>
      </c>
      <c r="D5663" s="0" t="s">
        <v>2044</v>
      </c>
      <c r="E5663" s="0" t="s">
        <v>2045</v>
      </c>
      <c r="F5663" s="0" t="s">
        <v>2051</v>
      </c>
      <c r="G5663" s="0" t="s">
        <v>2061</v>
      </c>
      <c r="H5663" s="0" t="s">
        <v>2052</v>
      </c>
      <c r="I5663" s="0" t="s">
        <v>2322</v>
      </c>
      <c r="J5663" s="0" t="s">
        <v>2358</v>
      </c>
      <c r="K5663" s="272" t="n">
        <v>5520</v>
      </c>
    </row>
    <row r="5664" customFormat="false" ht="15" hidden="false" customHeight="false" outlineLevel="0" collapsed="false">
      <c r="A5664" s="0" t="s">
        <v>2041</v>
      </c>
      <c r="B5664" s="0" t="s">
        <v>2042</v>
      </c>
      <c r="C5664" s="0" t="s">
        <v>2161</v>
      </c>
      <c r="D5664" s="0" t="s">
        <v>2044</v>
      </c>
      <c r="E5664" s="0" t="s">
        <v>2045</v>
      </c>
      <c r="F5664" s="0" t="s">
        <v>2051</v>
      </c>
      <c r="G5664" s="0" t="s">
        <v>2061</v>
      </c>
      <c r="H5664" s="0" t="s">
        <v>2052</v>
      </c>
      <c r="I5664" s="0" t="s">
        <v>2322</v>
      </c>
      <c r="J5664" s="0" t="s">
        <v>2358</v>
      </c>
      <c r="K5664" s="272" t="n">
        <v>5911.72857142857</v>
      </c>
    </row>
    <row r="5665" customFormat="false" ht="15" hidden="false" customHeight="false" outlineLevel="0" collapsed="false">
      <c r="A5665" s="0" t="s">
        <v>2041</v>
      </c>
      <c r="B5665" s="0" t="s">
        <v>2042</v>
      </c>
      <c r="C5665" s="0" t="s">
        <v>2349</v>
      </c>
      <c r="D5665" s="0" t="s">
        <v>2044</v>
      </c>
      <c r="E5665" s="0" t="s">
        <v>2045</v>
      </c>
      <c r="F5665" s="0" t="s">
        <v>2051</v>
      </c>
      <c r="G5665" s="0" t="s">
        <v>2061</v>
      </c>
      <c r="H5665" s="0" t="s">
        <v>2052</v>
      </c>
      <c r="I5665" s="0" t="s">
        <v>2322</v>
      </c>
      <c r="J5665" s="0" t="s">
        <v>2358</v>
      </c>
      <c r="K5665" s="272" t="n">
        <v>6472.55582857143</v>
      </c>
    </row>
    <row r="5666" customFormat="false" ht="15" hidden="false" customHeight="false" outlineLevel="0" collapsed="false">
      <c r="A5666" s="0" t="s">
        <v>2041</v>
      </c>
      <c r="B5666" s="0" t="s">
        <v>2042</v>
      </c>
      <c r="C5666" s="0" t="s">
        <v>2352</v>
      </c>
      <c r="D5666" s="0" t="s">
        <v>2044</v>
      </c>
      <c r="E5666" s="0" t="s">
        <v>2045</v>
      </c>
      <c r="F5666" s="0" t="s">
        <v>2046</v>
      </c>
      <c r="G5666" s="0" t="s">
        <v>2062</v>
      </c>
      <c r="H5666" s="0" t="s">
        <v>2048</v>
      </c>
      <c r="I5666" s="0" t="s">
        <v>2322</v>
      </c>
      <c r="J5666" s="0" t="s">
        <v>2358</v>
      </c>
      <c r="K5666" s="272" t="n">
        <v>203150</v>
      </c>
    </row>
    <row r="5667" customFormat="false" ht="15" hidden="false" customHeight="false" outlineLevel="0" collapsed="false">
      <c r="A5667" s="0" t="s">
        <v>2041</v>
      </c>
      <c r="B5667" s="0" t="s">
        <v>2042</v>
      </c>
      <c r="C5667" s="0" t="s">
        <v>2359</v>
      </c>
      <c r="D5667" s="0" t="s">
        <v>2044</v>
      </c>
      <c r="E5667" s="0" t="s">
        <v>2045</v>
      </c>
      <c r="F5667" s="0" t="s">
        <v>2046</v>
      </c>
      <c r="G5667" s="0" t="s">
        <v>2062</v>
      </c>
      <c r="H5667" s="0" t="s">
        <v>2048</v>
      </c>
      <c r="I5667" s="0" t="s">
        <v>2322</v>
      </c>
      <c r="J5667" s="0" t="s">
        <v>2358</v>
      </c>
      <c r="K5667" s="272" t="n">
        <v>339.093</v>
      </c>
    </row>
    <row r="5668" customFormat="false" ht="15" hidden="false" customHeight="false" outlineLevel="0" collapsed="false">
      <c r="A5668" s="0" t="s">
        <v>2041</v>
      </c>
      <c r="B5668" s="0" t="s">
        <v>2042</v>
      </c>
      <c r="C5668" s="0" t="s">
        <v>2156</v>
      </c>
      <c r="D5668" s="0" t="s">
        <v>2044</v>
      </c>
      <c r="E5668" s="0" t="s">
        <v>2045</v>
      </c>
      <c r="F5668" s="0" t="s">
        <v>2046</v>
      </c>
      <c r="G5668" s="0" t="s">
        <v>2062</v>
      </c>
      <c r="H5668" s="0" t="s">
        <v>2048</v>
      </c>
      <c r="I5668" s="0" t="s">
        <v>2322</v>
      </c>
      <c r="J5668" s="0" t="s">
        <v>2358</v>
      </c>
      <c r="K5668" s="272" t="n">
        <v>332638.65</v>
      </c>
    </row>
    <row r="5669" customFormat="false" ht="15" hidden="false" customHeight="false" outlineLevel="0" collapsed="false">
      <c r="A5669" s="0" t="s">
        <v>2041</v>
      </c>
      <c r="B5669" s="0" t="s">
        <v>2042</v>
      </c>
      <c r="C5669" s="0" t="s">
        <v>2161</v>
      </c>
      <c r="D5669" s="0" t="s">
        <v>2044</v>
      </c>
      <c r="E5669" s="0" t="s">
        <v>2045</v>
      </c>
      <c r="F5669" s="0" t="s">
        <v>2046</v>
      </c>
      <c r="G5669" s="0" t="s">
        <v>2062</v>
      </c>
      <c r="H5669" s="0" t="s">
        <v>2048</v>
      </c>
      <c r="I5669" s="0" t="s">
        <v>2322</v>
      </c>
      <c r="J5669" s="0" t="s">
        <v>2358</v>
      </c>
      <c r="K5669" s="272" t="n">
        <v>100456.87</v>
      </c>
    </row>
    <row r="5670" customFormat="false" ht="15" hidden="false" customHeight="false" outlineLevel="0" collapsed="false">
      <c r="A5670" s="0" t="s">
        <v>2041</v>
      </c>
      <c r="B5670" s="0" t="s">
        <v>2042</v>
      </c>
      <c r="C5670" s="0" t="s">
        <v>2349</v>
      </c>
      <c r="D5670" s="0" t="s">
        <v>2044</v>
      </c>
      <c r="E5670" s="0" t="s">
        <v>2045</v>
      </c>
      <c r="F5670" s="0" t="s">
        <v>2046</v>
      </c>
      <c r="G5670" s="0" t="s">
        <v>2062</v>
      </c>
      <c r="H5670" s="0" t="s">
        <v>2048</v>
      </c>
      <c r="I5670" s="0" t="s">
        <v>2322</v>
      </c>
      <c r="J5670" s="0" t="s">
        <v>2358</v>
      </c>
      <c r="K5670" s="272" t="n">
        <v>61453.711</v>
      </c>
    </row>
    <row r="5671" customFormat="false" ht="15" hidden="false" customHeight="false" outlineLevel="0" collapsed="false">
      <c r="A5671" s="0" t="s">
        <v>2041</v>
      </c>
      <c r="B5671" s="0" t="s">
        <v>2042</v>
      </c>
      <c r="C5671" s="0" t="s">
        <v>2352</v>
      </c>
      <c r="D5671" s="0" t="s">
        <v>2044</v>
      </c>
      <c r="E5671" s="0" t="s">
        <v>2045</v>
      </c>
      <c r="F5671" s="0" t="s">
        <v>2051</v>
      </c>
      <c r="G5671" s="0" t="s">
        <v>2062</v>
      </c>
      <c r="H5671" s="0" t="s">
        <v>2052</v>
      </c>
      <c r="I5671" s="0" t="s">
        <v>2322</v>
      </c>
      <c r="J5671" s="0" t="s">
        <v>2358</v>
      </c>
      <c r="K5671" s="272" t="n">
        <v>34850</v>
      </c>
    </row>
    <row r="5672" customFormat="false" ht="15" hidden="false" customHeight="false" outlineLevel="0" collapsed="false">
      <c r="A5672" s="0" t="s">
        <v>2041</v>
      </c>
      <c r="B5672" s="0" t="s">
        <v>2042</v>
      </c>
      <c r="C5672" s="0" t="s">
        <v>2359</v>
      </c>
      <c r="D5672" s="0" t="s">
        <v>2044</v>
      </c>
      <c r="E5672" s="0" t="s">
        <v>2045</v>
      </c>
      <c r="F5672" s="0" t="s">
        <v>2051</v>
      </c>
      <c r="G5672" s="0" t="s">
        <v>2062</v>
      </c>
      <c r="H5672" s="0" t="s">
        <v>2052</v>
      </c>
      <c r="I5672" s="0" t="s">
        <v>2322</v>
      </c>
      <c r="J5672" s="0" t="s">
        <v>2358</v>
      </c>
      <c r="K5672" s="272" t="n">
        <v>17.847</v>
      </c>
    </row>
    <row r="5673" customFormat="false" ht="15" hidden="false" customHeight="false" outlineLevel="0" collapsed="false">
      <c r="A5673" s="0" t="s">
        <v>2041</v>
      </c>
      <c r="B5673" s="0" t="s">
        <v>2042</v>
      </c>
      <c r="C5673" s="0" t="s">
        <v>2156</v>
      </c>
      <c r="D5673" s="0" t="s">
        <v>2044</v>
      </c>
      <c r="E5673" s="0" t="s">
        <v>2045</v>
      </c>
      <c r="F5673" s="0" t="s">
        <v>2051</v>
      </c>
      <c r="G5673" s="0" t="s">
        <v>2062</v>
      </c>
      <c r="H5673" s="0" t="s">
        <v>2052</v>
      </c>
      <c r="I5673" s="0" t="s">
        <v>2322</v>
      </c>
      <c r="J5673" s="0" t="s">
        <v>2358</v>
      </c>
      <c r="K5673" s="272" t="n">
        <v>59227.35</v>
      </c>
    </row>
    <row r="5674" customFormat="false" ht="15" hidden="false" customHeight="false" outlineLevel="0" collapsed="false">
      <c r="A5674" s="0" t="s">
        <v>2041</v>
      </c>
      <c r="B5674" s="0" t="s">
        <v>2042</v>
      </c>
      <c r="C5674" s="0" t="s">
        <v>2161</v>
      </c>
      <c r="D5674" s="0" t="s">
        <v>2044</v>
      </c>
      <c r="E5674" s="0" t="s">
        <v>2045</v>
      </c>
      <c r="F5674" s="0" t="s">
        <v>2051</v>
      </c>
      <c r="G5674" s="0" t="s">
        <v>2062</v>
      </c>
      <c r="H5674" s="0" t="s">
        <v>2052</v>
      </c>
      <c r="I5674" s="0" t="s">
        <v>2322</v>
      </c>
      <c r="J5674" s="0" t="s">
        <v>2358</v>
      </c>
      <c r="K5674" s="272" t="n">
        <v>17886.6589473684</v>
      </c>
    </row>
    <row r="5675" customFormat="false" ht="15" hidden="false" customHeight="false" outlineLevel="0" collapsed="false">
      <c r="A5675" s="0" t="s">
        <v>2041</v>
      </c>
      <c r="B5675" s="0" t="s">
        <v>2042</v>
      </c>
      <c r="C5675" s="0" t="s">
        <v>2349</v>
      </c>
      <c r="D5675" s="0" t="s">
        <v>2044</v>
      </c>
      <c r="E5675" s="0" t="s">
        <v>2045</v>
      </c>
      <c r="F5675" s="0" t="s">
        <v>2051</v>
      </c>
      <c r="G5675" s="0" t="s">
        <v>2062</v>
      </c>
      <c r="H5675" s="0" t="s">
        <v>2052</v>
      </c>
      <c r="I5675" s="0" t="s">
        <v>2322</v>
      </c>
      <c r="J5675" s="0" t="s">
        <v>2358</v>
      </c>
      <c r="K5675" s="272" t="n">
        <v>10530.0900526316</v>
      </c>
    </row>
    <row r="5676" customFormat="false" ht="15" hidden="false" customHeight="false" outlineLevel="0" collapsed="false">
      <c r="A5676" s="0" t="s">
        <v>2041</v>
      </c>
      <c r="B5676" s="0" t="s">
        <v>2042</v>
      </c>
      <c r="C5676" s="0" t="s">
        <v>2352</v>
      </c>
      <c r="D5676" s="0" t="s">
        <v>2044</v>
      </c>
      <c r="E5676" s="0" t="s">
        <v>2045</v>
      </c>
      <c r="F5676" s="0" t="s">
        <v>2046</v>
      </c>
      <c r="G5676" s="0" t="s">
        <v>2063</v>
      </c>
      <c r="H5676" s="0" t="s">
        <v>2048</v>
      </c>
      <c r="I5676" s="0" t="s">
        <v>2322</v>
      </c>
      <c r="J5676" s="0" t="s">
        <v>2358</v>
      </c>
      <c r="K5676" s="272" t="n">
        <v>207219.04</v>
      </c>
    </row>
    <row r="5677" customFormat="false" ht="15" hidden="false" customHeight="false" outlineLevel="0" collapsed="false">
      <c r="A5677" s="0" t="s">
        <v>2041</v>
      </c>
      <c r="B5677" s="0" t="s">
        <v>2042</v>
      </c>
      <c r="C5677" s="0" t="s">
        <v>2359</v>
      </c>
      <c r="D5677" s="0" t="s">
        <v>2044</v>
      </c>
      <c r="E5677" s="0" t="s">
        <v>2045</v>
      </c>
      <c r="F5677" s="0" t="s">
        <v>2046</v>
      </c>
      <c r="G5677" s="0" t="s">
        <v>2063</v>
      </c>
      <c r="H5677" s="0" t="s">
        <v>2048</v>
      </c>
      <c r="I5677" s="0" t="s">
        <v>2322</v>
      </c>
      <c r="J5677" s="0" t="s">
        <v>2358</v>
      </c>
      <c r="K5677" s="272" t="n">
        <v>33123.344</v>
      </c>
    </row>
    <row r="5678" customFormat="false" ht="15" hidden="false" customHeight="false" outlineLevel="0" collapsed="false">
      <c r="A5678" s="0" t="s">
        <v>2041</v>
      </c>
      <c r="B5678" s="0" t="s">
        <v>2042</v>
      </c>
      <c r="C5678" s="0" t="s">
        <v>2156</v>
      </c>
      <c r="D5678" s="0" t="s">
        <v>2044</v>
      </c>
      <c r="E5678" s="0" t="s">
        <v>2045</v>
      </c>
      <c r="F5678" s="0" t="s">
        <v>2046</v>
      </c>
      <c r="G5678" s="0" t="s">
        <v>2063</v>
      </c>
      <c r="H5678" s="0" t="s">
        <v>2048</v>
      </c>
      <c r="I5678" s="0" t="s">
        <v>2322</v>
      </c>
      <c r="J5678" s="0" t="s">
        <v>2358</v>
      </c>
      <c r="K5678" s="272" t="n">
        <v>392063.52</v>
      </c>
    </row>
    <row r="5679" customFormat="false" ht="15" hidden="false" customHeight="false" outlineLevel="0" collapsed="false">
      <c r="A5679" s="0" t="s">
        <v>2041</v>
      </c>
      <c r="B5679" s="0" t="s">
        <v>2042</v>
      </c>
      <c r="C5679" s="0" t="s">
        <v>2161</v>
      </c>
      <c r="D5679" s="0" t="s">
        <v>2044</v>
      </c>
      <c r="E5679" s="0" t="s">
        <v>2045</v>
      </c>
      <c r="F5679" s="0" t="s">
        <v>2046</v>
      </c>
      <c r="G5679" s="0" t="s">
        <v>2063</v>
      </c>
      <c r="H5679" s="0" t="s">
        <v>2048</v>
      </c>
      <c r="I5679" s="0" t="s">
        <v>2322</v>
      </c>
      <c r="J5679" s="0" t="s">
        <v>2358</v>
      </c>
      <c r="K5679" s="272" t="n">
        <v>118403.18</v>
      </c>
    </row>
    <row r="5680" customFormat="false" ht="15" hidden="false" customHeight="false" outlineLevel="0" collapsed="false">
      <c r="A5680" s="0" t="s">
        <v>2041</v>
      </c>
      <c r="B5680" s="0" t="s">
        <v>2042</v>
      </c>
      <c r="C5680" s="0" t="s">
        <v>2349</v>
      </c>
      <c r="D5680" s="0" t="s">
        <v>2044</v>
      </c>
      <c r="E5680" s="0" t="s">
        <v>2045</v>
      </c>
      <c r="F5680" s="0" t="s">
        <v>2046</v>
      </c>
      <c r="G5680" s="0" t="s">
        <v>2063</v>
      </c>
      <c r="H5680" s="0" t="s">
        <v>2048</v>
      </c>
      <c r="I5680" s="0" t="s">
        <v>2322</v>
      </c>
      <c r="J5680" s="0" t="s">
        <v>2358</v>
      </c>
      <c r="K5680" s="272" t="n">
        <v>72583.404</v>
      </c>
    </row>
    <row r="5681" customFormat="false" ht="15" hidden="false" customHeight="false" outlineLevel="0" collapsed="false">
      <c r="A5681" s="0" t="s">
        <v>2041</v>
      </c>
      <c r="B5681" s="0" t="s">
        <v>2042</v>
      </c>
      <c r="C5681" s="0" t="s">
        <v>2352</v>
      </c>
      <c r="D5681" s="0" t="s">
        <v>2044</v>
      </c>
      <c r="E5681" s="0" t="s">
        <v>2045</v>
      </c>
      <c r="F5681" s="0" t="s">
        <v>2051</v>
      </c>
      <c r="G5681" s="0" t="s">
        <v>2063</v>
      </c>
      <c r="H5681" s="0" t="s">
        <v>2052</v>
      </c>
      <c r="I5681" s="0" t="s">
        <v>2322</v>
      </c>
      <c r="J5681" s="0" t="s">
        <v>2358</v>
      </c>
      <c r="K5681" s="272" t="n">
        <v>51804.76</v>
      </c>
    </row>
    <row r="5682" customFormat="false" ht="15" hidden="false" customHeight="false" outlineLevel="0" collapsed="false">
      <c r="A5682" s="0" t="s">
        <v>2041</v>
      </c>
      <c r="B5682" s="0" t="s">
        <v>2042</v>
      </c>
      <c r="C5682" s="0" t="s">
        <v>2359</v>
      </c>
      <c r="D5682" s="0" t="s">
        <v>2044</v>
      </c>
      <c r="E5682" s="0" t="s">
        <v>2045</v>
      </c>
      <c r="F5682" s="0" t="s">
        <v>2051</v>
      </c>
      <c r="G5682" s="0" t="s">
        <v>2063</v>
      </c>
      <c r="H5682" s="0" t="s">
        <v>2052</v>
      </c>
      <c r="I5682" s="0" t="s">
        <v>2322</v>
      </c>
      <c r="J5682" s="0" t="s">
        <v>2358</v>
      </c>
      <c r="K5682" s="272" t="n">
        <v>8280.836</v>
      </c>
    </row>
    <row r="5683" customFormat="false" ht="15" hidden="false" customHeight="false" outlineLevel="0" collapsed="false">
      <c r="A5683" s="0" t="s">
        <v>2041</v>
      </c>
      <c r="B5683" s="0" t="s">
        <v>2042</v>
      </c>
      <c r="C5683" s="0" t="s">
        <v>2156</v>
      </c>
      <c r="D5683" s="0" t="s">
        <v>2044</v>
      </c>
      <c r="E5683" s="0" t="s">
        <v>2045</v>
      </c>
      <c r="F5683" s="0" t="s">
        <v>2051</v>
      </c>
      <c r="G5683" s="0" t="s">
        <v>2063</v>
      </c>
      <c r="H5683" s="0" t="s">
        <v>2052</v>
      </c>
      <c r="I5683" s="0" t="s">
        <v>2322</v>
      </c>
      <c r="J5683" s="0" t="s">
        <v>2358</v>
      </c>
      <c r="K5683" s="272" t="n">
        <v>98015.88</v>
      </c>
    </row>
    <row r="5684" customFormat="false" ht="15" hidden="false" customHeight="false" outlineLevel="0" collapsed="false">
      <c r="A5684" s="0" t="s">
        <v>2041</v>
      </c>
      <c r="B5684" s="0" t="s">
        <v>2042</v>
      </c>
      <c r="C5684" s="0" t="s">
        <v>2161</v>
      </c>
      <c r="D5684" s="0" t="s">
        <v>2044</v>
      </c>
      <c r="E5684" s="0" t="s">
        <v>2045</v>
      </c>
      <c r="F5684" s="0" t="s">
        <v>2051</v>
      </c>
      <c r="G5684" s="0" t="s">
        <v>2063</v>
      </c>
      <c r="H5684" s="0" t="s">
        <v>2052</v>
      </c>
      <c r="I5684" s="0" t="s">
        <v>2322</v>
      </c>
      <c r="J5684" s="0" t="s">
        <v>2358</v>
      </c>
      <c r="K5684" s="272" t="n">
        <v>29600.795</v>
      </c>
    </row>
    <row r="5685" customFormat="false" ht="15" hidden="false" customHeight="false" outlineLevel="0" collapsed="false">
      <c r="A5685" s="0" t="s">
        <v>2041</v>
      </c>
      <c r="B5685" s="0" t="s">
        <v>2042</v>
      </c>
      <c r="C5685" s="0" t="s">
        <v>2349</v>
      </c>
      <c r="D5685" s="0" t="s">
        <v>2044</v>
      </c>
      <c r="E5685" s="0" t="s">
        <v>2045</v>
      </c>
      <c r="F5685" s="0" t="s">
        <v>2051</v>
      </c>
      <c r="G5685" s="0" t="s">
        <v>2063</v>
      </c>
      <c r="H5685" s="0" t="s">
        <v>2052</v>
      </c>
      <c r="I5685" s="0" t="s">
        <v>2322</v>
      </c>
      <c r="J5685" s="0" t="s">
        <v>2358</v>
      </c>
      <c r="K5685" s="272" t="n">
        <v>18145.851</v>
      </c>
    </row>
    <row r="5686" customFormat="false" ht="15" hidden="false" customHeight="false" outlineLevel="0" collapsed="false">
      <c r="A5686" s="0" t="s">
        <v>2041</v>
      </c>
      <c r="B5686" s="0" t="s">
        <v>2042</v>
      </c>
      <c r="C5686" s="0" t="s">
        <v>2352</v>
      </c>
      <c r="D5686" s="0" t="s">
        <v>2044</v>
      </c>
      <c r="E5686" s="0" t="s">
        <v>2045</v>
      </c>
      <c r="F5686" s="0" t="s">
        <v>2046</v>
      </c>
      <c r="G5686" s="0" t="s">
        <v>2064</v>
      </c>
      <c r="H5686" s="0" t="s">
        <v>2048</v>
      </c>
      <c r="I5686" s="0" t="s">
        <v>2322</v>
      </c>
      <c r="J5686" s="0" t="s">
        <v>2358</v>
      </c>
      <c r="K5686" s="272" t="n">
        <v>666000</v>
      </c>
    </row>
    <row r="5687" customFormat="false" ht="15" hidden="false" customHeight="false" outlineLevel="0" collapsed="false">
      <c r="A5687" s="0" t="s">
        <v>2041</v>
      </c>
      <c r="B5687" s="0" t="s">
        <v>2042</v>
      </c>
      <c r="C5687" s="0" t="s">
        <v>2361</v>
      </c>
      <c r="D5687" s="0" t="s">
        <v>2044</v>
      </c>
      <c r="E5687" s="0" t="s">
        <v>2045</v>
      </c>
      <c r="F5687" s="0" t="s">
        <v>2046</v>
      </c>
      <c r="G5687" s="0" t="s">
        <v>2064</v>
      </c>
      <c r="H5687" s="0" t="s">
        <v>2048</v>
      </c>
      <c r="I5687" s="0" t="s">
        <v>2322</v>
      </c>
      <c r="J5687" s="0" t="s">
        <v>2358</v>
      </c>
      <c r="K5687" s="272" t="n">
        <v>7210.52</v>
      </c>
    </row>
    <row r="5688" customFormat="false" ht="15" hidden="false" customHeight="false" outlineLevel="0" collapsed="false">
      <c r="A5688" s="0" t="s">
        <v>2041</v>
      </c>
      <c r="B5688" s="0" t="s">
        <v>2042</v>
      </c>
      <c r="C5688" s="0" t="s">
        <v>2156</v>
      </c>
      <c r="D5688" s="0" t="s">
        <v>2044</v>
      </c>
      <c r="E5688" s="0" t="s">
        <v>2045</v>
      </c>
      <c r="F5688" s="0" t="s">
        <v>2046</v>
      </c>
      <c r="G5688" s="0" t="s">
        <v>2064</v>
      </c>
      <c r="H5688" s="0" t="s">
        <v>2048</v>
      </c>
      <c r="I5688" s="0" t="s">
        <v>2322</v>
      </c>
      <c r="J5688" s="0" t="s">
        <v>2358</v>
      </c>
      <c r="K5688" s="272" t="n">
        <v>2056562.2</v>
      </c>
    </row>
    <row r="5689" customFormat="false" ht="15" hidden="false" customHeight="false" outlineLevel="0" collapsed="false">
      <c r="A5689" s="0" t="s">
        <v>2041</v>
      </c>
      <c r="B5689" s="0" t="s">
        <v>2042</v>
      </c>
      <c r="C5689" s="0" t="s">
        <v>2161</v>
      </c>
      <c r="D5689" s="0" t="s">
        <v>2044</v>
      </c>
      <c r="E5689" s="0" t="s">
        <v>2045</v>
      </c>
      <c r="F5689" s="0" t="s">
        <v>2046</v>
      </c>
      <c r="G5689" s="0" t="s">
        <v>2064</v>
      </c>
      <c r="H5689" s="0" t="s">
        <v>2048</v>
      </c>
      <c r="I5689" s="0" t="s">
        <v>2322</v>
      </c>
      <c r="J5689" s="0" t="s">
        <v>2358</v>
      </c>
      <c r="K5689" s="272" t="n">
        <v>569663.89</v>
      </c>
    </row>
    <row r="5690" customFormat="false" ht="15" hidden="false" customHeight="false" outlineLevel="0" collapsed="false">
      <c r="A5690" s="0" t="s">
        <v>2041</v>
      </c>
      <c r="B5690" s="0" t="s">
        <v>2042</v>
      </c>
      <c r="C5690" s="0" t="s">
        <v>2349</v>
      </c>
      <c r="D5690" s="0" t="s">
        <v>2044</v>
      </c>
      <c r="E5690" s="0" t="s">
        <v>2045</v>
      </c>
      <c r="F5690" s="0" t="s">
        <v>2046</v>
      </c>
      <c r="G5690" s="0" t="s">
        <v>2064</v>
      </c>
      <c r="H5690" s="0" t="s">
        <v>2048</v>
      </c>
      <c r="I5690" s="0" t="s">
        <v>2322</v>
      </c>
      <c r="J5690" s="0" t="s">
        <v>2358</v>
      </c>
      <c r="K5690" s="272" t="n">
        <v>203309.58</v>
      </c>
    </row>
    <row r="5691" customFormat="false" ht="15" hidden="false" customHeight="false" outlineLevel="0" collapsed="false">
      <c r="A5691" s="0" t="s">
        <v>2041</v>
      </c>
      <c r="B5691" s="0" t="s">
        <v>2042</v>
      </c>
      <c r="C5691" s="0" t="s">
        <v>2352</v>
      </c>
      <c r="D5691" s="0" t="s">
        <v>2044</v>
      </c>
      <c r="E5691" s="0" t="s">
        <v>2045</v>
      </c>
      <c r="F5691" s="0" t="s">
        <v>2051</v>
      </c>
      <c r="G5691" s="0" t="s">
        <v>2064</v>
      </c>
      <c r="H5691" s="0" t="s">
        <v>2052</v>
      </c>
      <c r="I5691" s="0" t="s">
        <v>2322</v>
      </c>
      <c r="J5691" s="0" t="s">
        <v>2358</v>
      </c>
      <c r="K5691" s="272" t="n">
        <v>564000</v>
      </c>
    </row>
    <row r="5692" customFormat="false" ht="15" hidden="false" customHeight="false" outlineLevel="0" collapsed="false">
      <c r="A5692" s="0" t="s">
        <v>2041</v>
      </c>
      <c r="B5692" s="0" t="s">
        <v>2042</v>
      </c>
      <c r="C5692" s="0" t="s">
        <v>2361</v>
      </c>
      <c r="D5692" s="0" t="s">
        <v>2044</v>
      </c>
      <c r="E5692" s="0" t="s">
        <v>2045</v>
      </c>
      <c r="F5692" s="0" t="s">
        <v>2051</v>
      </c>
      <c r="G5692" s="0" t="s">
        <v>2064</v>
      </c>
      <c r="H5692" s="0" t="s">
        <v>2052</v>
      </c>
      <c r="I5692" s="0" t="s">
        <v>2322</v>
      </c>
      <c r="J5692" s="0" t="s">
        <v>2358</v>
      </c>
      <c r="K5692" s="272" t="n">
        <v>7210.52</v>
      </c>
    </row>
    <row r="5693" customFormat="false" ht="15" hidden="false" customHeight="false" outlineLevel="0" collapsed="false">
      <c r="A5693" s="0" t="s">
        <v>2041</v>
      </c>
      <c r="B5693" s="0" t="s">
        <v>2042</v>
      </c>
      <c r="C5693" s="0" t="s">
        <v>2156</v>
      </c>
      <c r="D5693" s="0" t="s">
        <v>2044</v>
      </c>
      <c r="E5693" s="0" t="s">
        <v>2045</v>
      </c>
      <c r="F5693" s="0" t="s">
        <v>2051</v>
      </c>
      <c r="G5693" s="0" t="s">
        <v>2064</v>
      </c>
      <c r="H5693" s="0" t="s">
        <v>2052</v>
      </c>
      <c r="I5693" s="0" t="s">
        <v>2322</v>
      </c>
      <c r="J5693" s="0" t="s">
        <v>2358</v>
      </c>
      <c r="K5693" s="272" t="n">
        <v>1727739.8</v>
      </c>
    </row>
    <row r="5694" customFormat="false" ht="15" hidden="false" customHeight="false" outlineLevel="0" collapsed="false">
      <c r="A5694" s="0" t="s">
        <v>2041</v>
      </c>
      <c r="B5694" s="0" t="s">
        <v>2042</v>
      </c>
      <c r="C5694" s="0" t="s">
        <v>2161</v>
      </c>
      <c r="D5694" s="0" t="s">
        <v>2044</v>
      </c>
      <c r="E5694" s="0" t="s">
        <v>2045</v>
      </c>
      <c r="F5694" s="0" t="s">
        <v>2051</v>
      </c>
      <c r="G5694" s="0" t="s">
        <v>2064</v>
      </c>
      <c r="H5694" s="0" t="s">
        <v>2052</v>
      </c>
      <c r="I5694" s="0" t="s">
        <v>2322</v>
      </c>
      <c r="J5694" s="0" t="s">
        <v>2358</v>
      </c>
      <c r="K5694" s="272" t="n">
        <v>470359.526666667</v>
      </c>
    </row>
    <row r="5695" customFormat="false" ht="15" hidden="false" customHeight="false" outlineLevel="0" collapsed="false">
      <c r="A5695" s="0" t="s">
        <v>2041</v>
      </c>
      <c r="B5695" s="0" t="s">
        <v>2042</v>
      </c>
      <c r="C5695" s="0" t="s">
        <v>2349</v>
      </c>
      <c r="D5695" s="0" t="s">
        <v>2044</v>
      </c>
      <c r="E5695" s="0" t="s">
        <v>2045</v>
      </c>
      <c r="F5695" s="0" t="s">
        <v>2051</v>
      </c>
      <c r="G5695" s="0" t="s">
        <v>2064</v>
      </c>
      <c r="H5695" s="0" t="s">
        <v>2052</v>
      </c>
      <c r="I5695" s="0" t="s">
        <v>2322</v>
      </c>
      <c r="J5695" s="0" t="s">
        <v>2358</v>
      </c>
      <c r="K5695" s="272" t="n">
        <v>172505.583333333</v>
      </c>
    </row>
    <row r="5696" customFormat="false" ht="15" hidden="false" customHeight="false" outlineLevel="0" collapsed="false">
      <c r="A5696" s="0" t="s">
        <v>2041</v>
      </c>
      <c r="B5696" s="0" t="s">
        <v>2042</v>
      </c>
      <c r="C5696" s="0" t="s">
        <v>2352</v>
      </c>
      <c r="D5696" s="0" t="s">
        <v>2044</v>
      </c>
      <c r="E5696" s="0" t="s">
        <v>2045</v>
      </c>
      <c r="F5696" s="0" t="s">
        <v>2046</v>
      </c>
      <c r="G5696" s="0" t="s">
        <v>2065</v>
      </c>
      <c r="H5696" s="0" t="s">
        <v>2048</v>
      </c>
      <c r="I5696" s="0" t="s">
        <v>2322</v>
      </c>
      <c r="J5696" s="0" t="s">
        <v>2358</v>
      </c>
      <c r="K5696" s="272" t="n">
        <v>131999.9967</v>
      </c>
    </row>
    <row r="5697" customFormat="false" ht="15" hidden="false" customHeight="false" outlineLevel="0" collapsed="false">
      <c r="A5697" s="0" t="s">
        <v>2041</v>
      </c>
      <c r="B5697" s="0" t="s">
        <v>2042</v>
      </c>
      <c r="C5697" s="0" t="s">
        <v>2359</v>
      </c>
      <c r="D5697" s="0" t="s">
        <v>2044</v>
      </c>
      <c r="E5697" s="0" t="s">
        <v>2045</v>
      </c>
      <c r="F5697" s="0" t="s">
        <v>2046</v>
      </c>
      <c r="G5697" s="0" t="s">
        <v>2065</v>
      </c>
      <c r="H5697" s="0" t="s">
        <v>2048</v>
      </c>
      <c r="I5697" s="0" t="s">
        <v>2322</v>
      </c>
      <c r="J5697" s="0" t="s">
        <v>2358</v>
      </c>
      <c r="K5697" s="272" t="n">
        <v>102071.3364</v>
      </c>
    </row>
    <row r="5698" customFormat="false" ht="15" hidden="false" customHeight="false" outlineLevel="0" collapsed="false">
      <c r="A5698" s="0" t="s">
        <v>2041</v>
      </c>
      <c r="B5698" s="0" t="s">
        <v>2042</v>
      </c>
      <c r="C5698" s="0" t="s">
        <v>2156</v>
      </c>
      <c r="D5698" s="0" t="s">
        <v>2044</v>
      </c>
      <c r="E5698" s="0" t="s">
        <v>2045</v>
      </c>
      <c r="F5698" s="0" t="s">
        <v>2046</v>
      </c>
      <c r="G5698" s="0" t="s">
        <v>2065</v>
      </c>
      <c r="H5698" s="0" t="s">
        <v>2048</v>
      </c>
      <c r="I5698" s="0" t="s">
        <v>2322</v>
      </c>
      <c r="J5698" s="0" t="s">
        <v>2358</v>
      </c>
      <c r="K5698" s="272" t="n">
        <v>244207.26</v>
      </c>
    </row>
    <row r="5699" customFormat="false" ht="15" hidden="false" customHeight="false" outlineLevel="0" collapsed="false">
      <c r="A5699" s="0" t="s">
        <v>2041</v>
      </c>
      <c r="B5699" s="0" t="s">
        <v>2042</v>
      </c>
      <c r="C5699" s="0" t="s">
        <v>2161</v>
      </c>
      <c r="D5699" s="0" t="s">
        <v>2044</v>
      </c>
      <c r="E5699" s="0" t="s">
        <v>2045</v>
      </c>
      <c r="F5699" s="0" t="s">
        <v>2046</v>
      </c>
      <c r="G5699" s="0" t="s">
        <v>2065</v>
      </c>
      <c r="H5699" s="0" t="s">
        <v>2048</v>
      </c>
      <c r="I5699" s="0" t="s">
        <v>2322</v>
      </c>
      <c r="J5699" s="0" t="s">
        <v>2358</v>
      </c>
      <c r="K5699" s="272" t="n">
        <v>73750.59</v>
      </c>
    </row>
    <row r="5700" customFormat="false" ht="15" hidden="false" customHeight="false" outlineLevel="0" collapsed="false">
      <c r="A5700" s="0" t="s">
        <v>2041</v>
      </c>
      <c r="B5700" s="0" t="s">
        <v>2042</v>
      </c>
      <c r="C5700" s="0" t="s">
        <v>2349</v>
      </c>
      <c r="D5700" s="0" t="s">
        <v>2044</v>
      </c>
      <c r="E5700" s="0" t="s">
        <v>2045</v>
      </c>
      <c r="F5700" s="0" t="s">
        <v>2046</v>
      </c>
      <c r="G5700" s="0" t="s">
        <v>2065</v>
      </c>
      <c r="H5700" s="0" t="s">
        <v>2048</v>
      </c>
      <c r="I5700" s="0" t="s">
        <v>2322</v>
      </c>
      <c r="J5700" s="0" t="s">
        <v>2358</v>
      </c>
      <c r="K5700" s="272" t="n">
        <v>70689.5487</v>
      </c>
    </row>
    <row r="5701" customFormat="false" ht="15" hidden="false" customHeight="false" outlineLevel="0" collapsed="false">
      <c r="A5701" s="0" t="s">
        <v>2041</v>
      </c>
      <c r="B5701" s="0" t="s">
        <v>2042</v>
      </c>
      <c r="C5701" s="0" t="s">
        <v>2352</v>
      </c>
      <c r="D5701" s="0" t="s">
        <v>2044</v>
      </c>
      <c r="E5701" s="0" t="s">
        <v>2045</v>
      </c>
      <c r="F5701" s="0" t="s">
        <v>2051</v>
      </c>
      <c r="G5701" s="0" t="s">
        <v>2065</v>
      </c>
      <c r="H5701" s="0" t="s">
        <v>2052</v>
      </c>
      <c r="I5701" s="0" t="s">
        <v>2322</v>
      </c>
      <c r="J5701" s="0" t="s">
        <v>2358</v>
      </c>
      <c r="K5701" s="272" t="n">
        <v>1333.3333</v>
      </c>
    </row>
    <row r="5702" customFormat="false" ht="15" hidden="false" customHeight="false" outlineLevel="0" collapsed="false">
      <c r="A5702" s="0" t="s">
        <v>2041</v>
      </c>
      <c r="B5702" s="0" t="s">
        <v>2042</v>
      </c>
      <c r="C5702" s="0" t="s">
        <v>2359</v>
      </c>
      <c r="D5702" s="0" t="s">
        <v>2044</v>
      </c>
      <c r="E5702" s="0" t="s">
        <v>2045</v>
      </c>
      <c r="F5702" s="0" t="s">
        <v>2051</v>
      </c>
      <c r="G5702" s="0" t="s">
        <v>2065</v>
      </c>
      <c r="H5702" s="0" t="s">
        <v>2052</v>
      </c>
      <c r="I5702" s="0" t="s">
        <v>2322</v>
      </c>
      <c r="J5702" s="0" t="s">
        <v>2358</v>
      </c>
      <c r="K5702" s="272" t="n">
        <v>1031.0236</v>
      </c>
    </row>
    <row r="5703" customFormat="false" ht="15" hidden="false" customHeight="false" outlineLevel="0" collapsed="false">
      <c r="A5703" s="0" t="s">
        <v>2041</v>
      </c>
      <c r="B5703" s="0" t="s">
        <v>2042</v>
      </c>
      <c r="C5703" s="0" t="s">
        <v>2156</v>
      </c>
      <c r="D5703" s="0" t="s">
        <v>2044</v>
      </c>
      <c r="E5703" s="0" t="s">
        <v>2045</v>
      </c>
      <c r="F5703" s="0" t="s">
        <v>2051</v>
      </c>
      <c r="G5703" s="0" t="s">
        <v>2065</v>
      </c>
      <c r="H5703" s="0" t="s">
        <v>2052</v>
      </c>
      <c r="I5703" s="0" t="s">
        <v>2322</v>
      </c>
      <c r="J5703" s="0" t="s">
        <v>2358</v>
      </c>
      <c r="K5703" s="272" t="n">
        <v>2466.74</v>
      </c>
    </row>
    <row r="5704" customFormat="false" ht="15" hidden="false" customHeight="false" outlineLevel="0" collapsed="false">
      <c r="A5704" s="0" t="s">
        <v>2041</v>
      </c>
      <c r="B5704" s="0" t="s">
        <v>2042</v>
      </c>
      <c r="C5704" s="0" t="s">
        <v>2161</v>
      </c>
      <c r="D5704" s="0" t="s">
        <v>2044</v>
      </c>
      <c r="E5704" s="0" t="s">
        <v>2045</v>
      </c>
      <c r="F5704" s="0" t="s">
        <v>2051</v>
      </c>
      <c r="G5704" s="0" t="s">
        <v>2065</v>
      </c>
      <c r="H5704" s="0" t="s">
        <v>2052</v>
      </c>
      <c r="I5704" s="0" t="s">
        <v>2322</v>
      </c>
      <c r="J5704" s="0" t="s">
        <v>2358</v>
      </c>
      <c r="K5704" s="272" t="n">
        <v>744.955454545454</v>
      </c>
    </row>
    <row r="5705" customFormat="false" ht="15" hidden="false" customHeight="false" outlineLevel="0" collapsed="false">
      <c r="A5705" s="0" t="s">
        <v>2041</v>
      </c>
      <c r="B5705" s="0" t="s">
        <v>2042</v>
      </c>
      <c r="C5705" s="0" t="s">
        <v>2349</v>
      </c>
      <c r="D5705" s="0" t="s">
        <v>2044</v>
      </c>
      <c r="E5705" s="0" t="s">
        <v>2045</v>
      </c>
      <c r="F5705" s="0" t="s">
        <v>2051</v>
      </c>
      <c r="G5705" s="0" t="s">
        <v>2065</v>
      </c>
      <c r="H5705" s="0" t="s">
        <v>2052</v>
      </c>
      <c r="I5705" s="0" t="s">
        <v>2322</v>
      </c>
      <c r="J5705" s="0" t="s">
        <v>2358</v>
      </c>
      <c r="K5705" s="272" t="n">
        <v>714.035845454546</v>
      </c>
    </row>
    <row r="5706" customFormat="false" ht="15" hidden="false" customHeight="false" outlineLevel="0" collapsed="false">
      <c r="A5706" s="0" t="s">
        <v>2041</v>
      </c>
      <c r="B5706" s="0" t="s">
        <v>2042</v>
      </c>
      <c r="C5706" s="0" t="s">
        <v>2352</v>
      </c>
      <c r="D5706" s="0" t="s">
        <v>2044</v>
      </c>
      <c r="E5706" s="0" t="s">
        <v>2045</v>
      </c>
      <c r="F5706" s="0" t="s">
        <v>2046</v>
      </c>
      <c r="G5706" s="0" t="s">
        <v>2066</v>
      </c>
      <c r="H5706" s="0" t="s">
        <v>2048</v>
      </c>
      <c r="I5706" s="0" t="s">
        <v>2322</v>
      </c>
      <c r="J5706" s="0" t="s">
        <v>2358</v>
      </c>
      <c r="K5706" s="272" t="n">
        <v>309564.283</v>
      </c>
    </row>
    <row r="5707" customFormat="false" ht="15" hidden="false" customHeight="false" outlineLevel="0" collapsed="false">
      <c r="A5707" s="0" t="s">
        <v>2041</v>
      </c>
      <c r="B5707" s="0" t="s">
        <v>2042</v>
      </c>
      <c r="C5707" s="0" t="s">
        <v>2359</v>
      </c>
      <c r="D5707" s="0" t="s">
        <v>2044</v>
      </c>
      <c r="E5707" s="0" t="s">
        <v>2045</v>
      </c>
      <c r="F5707" s="0" t="s">
        <v>2046</v>
      </c>
      <c r="G5707" s="0" t="s">
        <v>2066</v>
      </c>
      <c r="H5707" s="0" t="s">
        <v>2048</v>
      </c>
      <c r="I5707" s="0" t="s">
        <v>2322</v>
      </c>
      <c r="J5707" s="0" t="s">
        <v>2358</v>
      </c>
      <c r="K5707" s="272" t="n">
        <v>88146.82</v>
      </c>
    </row>
    <row r="5708" customFormat="false" ht="15" hidden="false" customHeight="false" outlineLevel="0" collapsed="false">
      <c r="A5708" s="0" t="s">
        <v>2041</v>
      </c>
      <c r="B5708" s="0" t="s">
        <v>2042</v>
      </c>
      <c r="C5708" s="0" t="s">
        <v>2156</v>
      </c>
      <c r="D5708" s="0" t="s">
        <v>2044</v>
      </c>
      <c r="E5708" s="0" t="s">
        <v>2045</v>
      </c>
      <c r="F5708" s="0" t="s">
        <v>2046</v>
      </c>
      <c r="G5708" s="0" t="s">
        <v>2066</v>
      </c>
      <c r="H5708" s="0" t="s">
        <v>2048</v>
      </c>
      <c r="I5708" s="0" t="s">
        <v>2322</v>
      </c>
      <c r="J5708" s="0" t="s">
        <v>2358</v>
      </c>
      <c r="K5708" s="272" t="n">
        <v>866934.9</v>
      </c>
    </row>
    <row r="5709" customFormat="false" ht="15" hidden="false" customHeight="false" outlineLevel="0" collapsed="false">
      <c r="A5709" s="0" t="s">
        <v>2041</v>
      </c>
      <c r="B5709" s="0" t="s">
        <v>2042</v>
      </c>
      <c r="C5709" s="0" t="s">
        <v>2161</v>
      </c>
      <c r="D5709" s="0" t="s">
        <v>2044</v>
      </c>
      <c r="E5709" s="0" t="s">
        <v>2045</v>
      </c>
      <c r="F5709" s="0" t="s">
        <v>2046</v>
      </c>
      <c r="G5709" s="0" t="s">
        <v>2066</v>
      </c>
      <c r="H5709" s="0" t="s">
        <v>2048</v>
      </c>
      <c r="I5709" s="0" t="s">
        <v>2322</v>
      </c>
      <c r="J5709" s="0" t="s">
        <v>2358</v>
      </c>
      <c r="K5709" s="272" t="n">
        <v>261814.34</v>
      </c>
    </row>
    <row r="5710" customFormat="false" ht="15" hidden="false" customHeight="false" outlineLevel="0" collapsed="false">
      <c r="A5710" s="0" t="s">
        <v>2041</v>
      </c>
      <c r="B5710" s="0" t="s">
        <v>2042</v>
      </c>
      <c r="C5710" s="0" t="s">
        <v>2349</v>
      </c>
      <c r="D5710" s="0" t="s">
        <v>2044</v>
      </c>
      <c r="E5710" s="0" t="s">
        <v>2045</v>
      </c>
      <c r="F5710" s="0" t="s">
        <v>2046</v>
      </c>
      <c r="G5710" s="0" t="s">
        <v>2066</v>
      </c>
      <c r="H5710" s="0" t="s">
        <v>2048</v>
      </c>
      <c r="I5710" s="0" t="s">
        <v>2322</v>
      </c>
      <c r="J5710" s="0" t="s">
        <v>2358</v>
      </c>
      <c r="K5710" s="272" t="n">
        <v>120108.752</v>
      </c>
    </row>
    <row r="5711" customFormat="false" ht="15" hidden="false" customHeight="false" outlineLevel="0" collapsed="false">
      <c r="A5711" s="0" t="s">
        <v>2041</v>
      </c>
      <c r="B5711" s="0" t="s">
        <v>2042</v>
      </c>
      <c r="C5711" s="0" t="s">
        <v>2352</v>
      </c>
      <c r="D5711" s="0" t="s">
        <v>2044</v>
      </c>
      <c r="E5711" s="0" t="s">
        <v>2045</v>
      </c>
      <c r="F5711" s="0" t="s">
        <v>2051</v>
      </c>
      <c r="G5711" s="0" t="s">
        <v>2066</v>
      </c>
      <c r="H5711" s="0" t="s">
        <v>2052</v>
      </c>
      <c r="I5711" s="0" t="s">
        <v>2322</v>
      </c>
      <c r="J5711" s="0" t="s">
        <v>2358</v>
      </c>
      <c r="K5711" s="272" t="n">
        <v>5892.857</v>
      </c>
    </row>
    <row r="5712" customFormat="false" ht="15" hidden="false" customHeight="false" outlineLevel="0" collapsed="false">
      <c r="A5712" s="0" t="s">
        <v>2041</v>
      </c>
      <c r="B5712" s="0" t="s">
        <v>2042</v>
      </c>
      <c r="C5712" s="0" t="s">
        <v>2359</v>
      </c>
      <c r="D5712" s="0" t="s">
        <v>2044</v>
      </c>
      <c r="E5712" s="0" t="s">
        <v>2045</v>
      </c>
      <c r="F5712" s="0" t="s">
        <v>2051</v>
      </c>
      <c r="G5712" s="0" t="s">
        <v>2066</v>
      </c>
      <c r="H5712" s="0" t="s">
        <v>2052</v>
      </c>
      <c r="I5712" s="0" t="s">
        <v>2322</v>
      </c>
      <c r="J5712" s="0" t="s">
        <v>2358</v>
      </c>
      <c r="K5712" s="272" t="n">
        <v>4087.48</v>
      </c>
    </row>
    <row r="5713" customFormat="false" ht="15" hidden="false" customHeight="false" outlineLevel="0" collapsed="false">
      <c r="A5713" s="0" t="s">
        <v>2041</v>
      </c>
      <c r="B5713" s="0" t="s">
        <v>2042</v>
      </c>
      <c r="C5713" s="0" t="s">
        <v>2156</v>
      </c>
      <c r="D5713" s="0" t="s">
        <v>2044</v>
      </c>
      <c r="E5713" s="0" t="s">
        <v>2045</v>
      </c>
      <c r="F5713" s="0" t="s">
        <v>2051</v>
      </c>
      <c r="G5713" s="0" t="s">
        <v>2066</v>
      </c>
      <c r="H5713" s="0" t="s">
        <v>2052</v>
      </c>
      <c r="I5713" s="0" t="s">
        <v>2322</v>
      </c>
      <c r="J5713" s="0" t="s">
        <v>2358</v>
      </c>
      <c r="K5713" s="272" t="n">
        <v>14068.1</v>
      </c>
    </row>
    <row r="5714" customFormat="false" ht="15" hidden="false" customHeight="false" outlineLevel="0" collapsed="false">
      <c r="A5714" s="0" t="s">
        <v>2041</v>
      </c>
      <c r="B5714" s="0" t="s">
        <v>2042</v>
      </c>
      <c r="C5714" s="0" t="s">
        <v>2161</v>
      </c>
      <c r="D5714" s="0" t="s">
        <v>2044</v>
      </c>
      <c r="E5714" s="0" t="s">
        <v>2045</v>
      </c>
      <c r="F5714" s="0" t="s">
        <v>2051</v>
      </c>
      <c r="G5714" s="0" t="s">
        <v>2066</v>
      </c>
      <c r="H5714" s="0" t="s">
        <v>2052</v>
      </c>
      <c r="I5714" s="0" t="s">
        <v>2322</v>
      </c>
      <c r="J5714" s="0" t="s">
        <v>2358</v>
      </c>
      <c r="K5714" s="272" t="n">
        <v>4248.56631578947</v>
      </c>
    </row>
    <row r="5715" customFormat="false" ht="15" hidden="false" customHeight="false" outlineLevel="0" collapsed="false">
      <c r="A5715" s="0" t="s">
        <v>2041</v>
      </c>
      <c r="B5715" s="0" t="s">
        <v>2042</v>
      </c>
      <c r="C5715" s="0" t="s">
        <v>2349</v>
      </c>
      <c r="D5715" s="0" t="s">
        <v>2044</v>
      </c>
      <c r="E5715" s="0" t="s">
        <v>2045</v>
      </c>
      <c r="F5715" s="0" t="s">
        <v>2051</v>
      </c>
      <c r="G5715" s="0" t="s">
        <v>2066</v>
      </c>
      <c r="H5715" s="0" t="s">
        <v>2052</v>
      </c>
      <c r="I5715" s="0" t="s">
        <v>2322</v>
      </c>
      <c r="J5715" s="0" t="s">
        <v>2358</v>
      </c>
      <c r="K5715" s="272" t="n">
        <v>3014.06168421053</v>
      </c>
    </row>
    <row r="5716" customFormat="false" ht="15" hidden="false" customHeight="false" outlineLevel="0" collapsed="false">
      <c r="A5716" s="0" t="s">
        <v>2041</v>
      </c>
      <c r="B5716" s="0" t="s">
        <v>2042</v>
      </c>
      <c r="C5716" s="0" t="s">
        <v>2352</v>
      </c>
      <c r="D5716" s="0" t="s">
        <v>2044</v>
      </c>
      <c r="E5716" s="0" t="s">
        <v>2045</v>
      </c>
      <c r="F5716" s="0" t="s">
        <v>2051</v>
      </c>
      <c r="G5716" s="0" t="s">
        <v>2067</v>
      </c>
      <c r="H5716" s="0" t="s">
        <v>2052</v>
      </c>
      <c r="I5716" s="0" t="s">
        <v>2322</v>
      </c>
      <c r="J5716" s="0" t="s">
        <v>2358</v>
      </c>
      <c r="K5716" s="272" t="n">
        <v>316215</v>
      </c>
    </row>
    <row r="5717" customFormat="false" ht="15" hidden="false" customHeight="false" outlineLevel="0" collapsed="false">
      <c r="A5717" s="0" t="s">
        <v>2041</v>
      </c>
      <c r="B5717" s="0" t="s">
        <v>2042</v>
      </c>
      <c r="C5717" s="0" t="s">
        <v>2156</v>
      </c>
      <c r="D5717" s="0" t="s">
        <v>2044</v>
      </c>
      <c r="E5717" s="0" t="s">
        <v>2045</v>
      </c>
      <c r="F5717" s="0" t="s">
        <v>2051</v>
      </c>
      <c r="G5717" s="0" t="s">
        <v>2067</v>
      </c>
      <c r="H5717" s="0" t="s">
        <v>2052</v>
      </c>
      <c r="I5717" s="0" t="s">
        <v>2322</v>
      </c>
      <c r="J5717" s="0" t="s">
        <v>2358</v>
      </c>
      <c r="K5717" s="272" t="n">
        <v>603915</v>
      </c>
    </row>
    <row r="5718" customFormat="false" ht="15" hidden="false" customHeight="false" outlineLevel="0" collapsed="false">
      <c r="A5718" s="0" t="s">
        <v>2041</v>
      </c>
      <c r="B5718" s="0" t="s">
        <v>2042</v>
      </c>
      <c r="C5718" s="0" t="s">
        <v>2360</v>
      </c>
      <c r="D5718" s="0" t="s">
        <v>2044</v>
      </c>
      <c r="E5718" s="0" t="s">
        <v>2045</v>
      </c>
      <c r="F5718" s="0" t="s">
        <v>2051</v>
      </c>
      <c r="G5718" s="0" t="s">
        <v>2067</v>
      </c>
      <c r="H5718" s="0" t="s">
        <v>2052</v>
      </c>
      <c r="I5718" s="0" t="s">
        <v>2322</v>
      </c>
      <c r="J5718" s="0" t="s">
        <v>2358</v>
      </c>
      <c r="K5718" s="272" t="n">
        <v>1687</v>
      </c>
    </row>
    <row r="5719" customFormat="false" ht="15" hidden="false" customHeight="false" outlineLevel="0" collapsed="false">
      <c r="A5719" s="0" t="s">
        <v>2041</v>
      </c>
      <c r="B5719" s="0" t="s">
        <v>2042</v>
      </c>
      <c r="C5719" s="0" t="s">
        <v>2161</v>
      </c>
      <c r="D5719" s="0" t="s">
        <v>2044</v>
      </c>
      <c r="E5719" s="0" t="s">
        <v>2045</v>
      </c>
      <c r="F5719" s="0" t="s">
        <v>2051</v>
      </c>
      <c r="G5719" s="0" t="s">
        <v>2067</v>
      </c>
      <c r="H5719" s="0" t="s">
        <v>2052</v>
      </c>
      <c r="I5719" s="0" t="s">
        <v>2322</v>
      </c>
      <c r="J5719" s="0" t="s">
        <v>2358</v>
      </c>
      <c r="K5719" s="272" t="n">
        <v>182382.32</v>
      </c>
    </row>
    <row r="5720" customFormat="false" ht="15" hidden="false" customHeight="false" outlineLevel="0" collapsed="false">
      <c r="A5720" s="0" t="s">
        <v>2041</v>
      </c>
      <c r="B5720" s="0" t="s">
        <v>2042</v>
      </c>
      <c r="C5720" s="0" t="s">
        <v>2349</v>
      </c>
      <c r="D5720" s="0" t="s">
        <v>2044</v>
      </c>
      <c r="E5720" s="0" t="s">
        <v>2045</v>
      </c>
      <c r="F5720" s="0" t="s">
        <v>2051</v>
      </c>
      <c r="G5720" s="0" t="s">
        <v>2067</v>
      </c>
      <c r="H5720" s="0" t="s">
        <v>2052</v>
      </c>
      <c r="I5720" s="0" t="s">
        <v>2322</v>
      </c>
      <c r="J5720" s="0" t="s">
        <v>2358</v>
      </c>
      <c r="K5720" s="272" t="n">
        <v>95831.85</v>
      </c>
    </row>
    <row r="5721" customFormat="false" ht="15" hidden="false" customHeight="false" outlineLevel="0" collapsed="false">
      <c r="A5721" s="0" t="s">
        <v>2041</v>
      </c>
      <c r="B5721" s="0" t="s">
        <v>2042</v>
      </c>
      <c r="C5721" s="0" t="s">
        <v>2352</v>
      </c>
      <c r="D5721" s="0" t="s">
        <v>2044</v>
      </c>
      <c r="E5721" s="0" t="s">
        <v>2045</v>
      </c>
      <c r="F5721" s="0" t="s">
        <v>2046</v>
      </c>
      <c r="G5721" s="0" t="s">
        <v>2068</v>
      </c>
      <c r="H5721" s="0" t="s">
        <v>2048</v>
      </c>
      <c r="I5721" s="0" t="s">
        <v>2322</v>
      </c>
      <c r="J5721" s="0" t="s">
        <v>2358</v>
      </c>
      <c r="K5721" s="272" t="n">
        <v>840617.136</v>
      </c>
    </row>
    <row r="5722" customFormat="false" ht="15" hidden="false" customHeight="false" outlineLevel="0" collapsed="false">
      <c r="A5722" s="0" t="s">
        <v>2041</v>
      </c>
      <c r="B5722" s="0" t="s">
        <v>2042</v>
      </c>
      <c r="C5722" s="0" t="s">
        <v>2359</v>
      </c>
      <c r="D5722" s="0" t="s">
        <v>2044</v>
      </c>
      <c r="E5722" s="0" t="s">
        <v>2045</v>
      </c>
      <c r="F5722" s="0" t="s">
        <v>2046</v>
      </c>
      <c r="G5722" s="0" t="s">
        <v>2068</v>
      </c>
      <c r="H5722" s="0" t="s">
        <v>2048</v>
      </c>
      <c r="I5722" s="0" t="s">
        <v>2322</v>
      </c>
      <c r="J5722" s="0" t="s">
        <v>2358</v>
      </c>
      <c r="K5722" s="272" t="n">
        <v>133109.356</v>
      </c>
    </row>
    <row r="5723" customFormat="false" ht="15" hidden="false" customHeight="false" outlineLevel="0" collapsed="false">
      <c r="A5723" s="0" t="s">
        <v>2041</v>
      </c>
      <c r="B5723" s="0" t="s">
        <v>2042</v>
      </c>
      <c r="C5723" s="0" t="s">
        <v>2361</v>
      </c>
      <c r="D5723" s="0" t="s">
        <v>2044</v>
      </c>
      <c r="E5723" s="0" t="s">
        <v>2045</v>
      </c>
      <c r="F5723" s="0" t="s">
        <v>2046</v>
      </c>
      <c r="G5723" s="0" t="s">
        <v>2068</v>
      </c>
      <c r="H5723" s="0" t="s">
        <v>2048</v>
      </c>
      <c r="I5723" s="0" t="s">
        <v>2322</v>
      </c>
      <c r="J5723" s="0" t="s">
        <v>2358</v>
      </c>
      <c r="K5723" s="272" t="n">
        <v>75785.046</v>
      </c>
    </row>
    <row r="5724" customFormat="false" ht="15" hidden="false" customHeight="false" outlineLevel="0" collapsed="false">
      <c r="A5724" s="0" t="s">
        <v>2041</v>
      </c>
      <c r="B5724" s="0" t="s">
        <v>2042</v>
      </c>
      <c r="C5724" s="0" t="s">
        <v>2156</v>
      </c>
      <c r="D5724" s="0" t="s">
        <v>2044</v>
      </c>
      <c r="E5724" s="0" t="s">
        <v>2045</v>
      </c>
      <c r="F5724" s="0" t="s">
        <v>2046</v>
      </c>
      <c r="G5724" s="0" t="s">
        <v>2068</v>
      </c>
      <c r="H5724" s="0" t="s">
        <v>2048</v>
      </c>
      <c r="I5724" s="0" t="s">
        <v>2322</v>
      </c>
      <c r="J5724" s="0" t="s">
        <v>2358</v>
      </c>
      <c r="K5724" s="272" t="n">
        <v>3783760.96</v>
      </c>
    </row>
    <row r="5725" customFormat="false" ht="15" hidden="false" customHeight="false" outlineLevel="0" collapsed="false">
      <c r="A5725" s="0" t="s">
        <v>2041</v>
      </c>
      <c r="B5725" s="0" t="s">
        <v>2042</v>
      </c>
      <c r="C5725" s="0" t="s">
        <v>2161</v>
      </c>
      <c r="D5725" s="0" t="s">
        <v>2044</v>
      </c>
      <c r="E5725" s="0" t="s">
        <v>2045</v>
      </c>
      <c r="F5725" s="0" t="s">
        <v>2046</v>
      </c>
      <c r="G5725" s="0" t="s">
        <v>2068</v>
      </c>
      <c r="H5725" s="0" t="s">
        <v>2048</v>
      </c>
      <c r="I5725" s="0" t="s">
        <v>2322</v>
      </c>
      <c r="J5725" s="0" t="s">
        <v>2358</v>
      </c>
      <c r="K5725" s="272" t="n">
        <v>843746.44</v>
      </c>
    </row>
    <row r="5726" customFormat="false" ht="15" hidden="false" customHeight="false" outlineLevel="0" collapsed="false">
      <c r="A5726" s="0" t="s">
        <v>2041</v>
      </c>
      <c r="B5726" s="0" t="s">
        <v>2042</v>
      </c>
      <c r="C5726" s="0" t="s">
        <v>2349</v>
      </c>
      <c r="D5726" s="0" t="s">
        <v>2044</v>
      </c>
      <c r="E5726" s="0" t="s">
        <v>2045</v>
      </c>
      <c r="F5726" s="0" t="s">
        <v>2046</v>
      </c>
      <c r="G5726" s="0" t="s">
        <v>2068</v>
      </c>
      <c r="H5726" s="0" t="s">
        <v>2048</v>
      </c>
      <c r="I5726" s="0" t="s">
        <v>2322</v>
      </c>
      <c r="J5726" s="0" t="s">
        <v>2358</v>
      </c>
      <c r="K5726" s="272" t="n">
        <v>316952.48</v>
      </c>
    </row>
    <row r="5727" customFormat="false" ht="15" hidden="false" customHeight="false" outlineLevel="0" collapsed="false">
      <c r="A5727" s="0" t="s">
        <v>2041</v>
      </c>
      <c r="B5727" s="0" t="s">
        <v>2042</v>
      </c>
      <c r="C5727" s="0" t="s">
        <v>2352</v>
      </c>
      <c r="D5727" s="0" t="s">
        <v>2044</v>
      </c>
      <c r="E5727" s="0" t="s">
        <v>2045</v>
      </c>
      <c r="F5727" s="0" t="s">
        <v>2051</v>
      </c>
      <c r="G5727" s="0" t="s">
        <v>2068</v>
      </c>
      <c r="H5727" s="0" t="s">
        <v>2052</v>
      </c>
      <c r="I5727" s="0" t="s">
        <v>2322</v>
      </c>
      <c r="J5727" s="0" t="s">
        <v>2358</v>
      </c>
      <c r="K5727" s="272" t="n">
        <v>119001.904</v>
      </c>
    </row>
    <row r="5728" customFormat="false" ht="15" hidden="false" customHeight="false" outlineLevel="0" collapsed="false">
      <c r="A5728" s="0" t="s">
        <v>2041</v>
      </c>
      <c r="B5728" s="0" t="s">
        <v>2042</v>
      </c>
      <c r="C5728" s="0" t="s">
        <v>2359</v>
      </c>
      <c r="D5728" s="0" t="s">
        <v>2044</v>
      </c>
      <c r="E5728" s="0" t="s">
        <v>2045</v>
      </c>
      <c r="F5728" s="0" t="s">
        <v>2051</v>
      </c>
      <c r="G5728" s="0" t="s">
        <v>2068</v>
      </c>
      <c r="H5728" s="0" t="s">
        <v>2052</v>
      </c>
      <c r="I5728" s="0" t="s">
        <v>2322</v>
      </c>
      <c r="J5728" s="0" t="s">
        <v>2358</v>
      </c>
      <c r="K5728" s="272" t="n">
        <v>9496.014</v>
      </c>
    </row>
    <row r="5729" customFormat="false" ht="15" hidden="false" customHeight="false" outlineLevel="0" collapsed="false">
      <c r="A5729" s="0" t="s">
        <v>2041</v>
      </c>
      <c r="B5729" s="0" t="s">
        <v>2042</v>
      </c>
      <c r="C5729" s="0" t="s">
        <v>2361</v>
      </c>
      <c r="D5729" s="0" t="s">
        <v>2044</v>
      </c>
      <c r="E5729" s="0" t="s">
        <v>2045</v>
      </c>
      <c r="F5729" s="0" t="s">
        <v>2051</v>
      </c>
      <c r="G5729" s="0" t="s">
        <v>2068</v>
      </c>
      <c r="H5729" s="0" t="s">
        <v>2052</v>
      </c>
      <c r="I5729" s="0" t="s">
        <v>2322</v>
      </c>
      <c r="J5729" s="0" t="s">
        <v>2358</v>
      </c>
      <c r="K5729" s="272" t="n">
        <v>222.654</v>
      </c>
    </row>
    <row r="5730" customFormat="false" ht="15" hidden="false" customHeight="false" outlineLevel="0" collapsed="false">
      <c r="A5730" s="0" t="s">
        <v>2041</v>
      </c>
      <c r="B5730" s="0" t="s">
        <v>2042</v>
      </c>
      <c r="C5730" s="0" t="s">
        <v>2156</v>
      </c>
      <c r="D5730" s="0" t="s">
        <v>2044</v>
      </c>
      <c r="E5730" s="0" t="s">
        <v>2045</v>
      </c>
      <c r="F5730" s="0" t="s">
        <v>2051</v>
      </c>
      <c r="G5730" s="0" t="s">
        <v>2068</v>
      </c>
      <c r="H5730" s="0" t="s">
        <v>2052</v>
      </c>
      <c r="I5730" s="0" t="s">
        <v>2322</v>
      </c>
      <c r="J5730" s="0" t="s">
        <v>2358</v>
      </c>
      <c r="K5730" s="272" t="n">
        <v>232659.84</v>
      </c>
    </row>
    <row r="5731" customFormat="false" ht="15" hidden="false" customHeight="false" outlineLevel="0" collapsed="false">
      <c r="A5731" s="0" t="s">
        <v>2041</v>
      </c>
      <c r="B5731" s="0" t="s">
        <v>2042</v>
      </c>
      <c r="C5731" s="0" t="s">
        <v>2161</v>
      </c>
      <c r="D5731" s="0" t="s">
        <v>2044</v>
      </c>
      <c r="E5731" s="0" t="s">
        <v>2045</v>
      </c>
      <c r="F5731" s="0" t="s">
        <v>2051</v>
      </c>
      <c r="G5731" s="0" t="s">
        <v>2068</v>
      </c>
      <c r="H5731" s="0" t="s">
        <v>2052</v>
      </c>
      <c r="I5731" s="0" t="s">
        <v>2322</v>
      </c>
      <c r="J5731" s="0" t="s">
        <v>2358</v>
      </c>
      <c r="K5731" s="272" t="n">
        <v>70263.2744444445</v>
      </c>
    </row>
    <row r="5732" customFormat="false" ht="15" hidden="false" customHeight="false" outlineLevel="0" collapsed="false">
      <c r="A5732" s="0" t="s">
        <v>2041</v>
      </c>
      <c r="B5732" s="0" t="s">
        <v>2042</v>
      </c>
      <c r="C5732" s="0" t="s">
        <v>2349</v>
      </c>
      <c r="D5732" s="0" t="s">
        <v>2044</v>
      </c>
      <c r="E5732" s="0" t="s">
        <v>2045</v>
      </c>
      <c r="F5732" s="0" t="s">
        <v>2051</v>
      </c>
      <c r="G5732" s="0" t="s">
        <v>2068</v>
      </c>
      <c r="H5732" s="0" t="s">
        <v>2052</v>
      </c>
      <c r="I5732" s="0" t="s">
        <v>2322</v>
      </c>
      <c r="J5732" s="0" t="s">
        <v>2358</v>
      </c>
      <c r="K5732" s="272" t="n">
        <v>38873.6055555556</v>
      </c>
    </row>
    <row r="5733" customFormat="false" ht="15" hidden="false" customHeight="false" outlineLevel="0" collapsed="false">
      <c r="A5733" s="0" t="s">
        <v>2041</v>
      </c>
      <c r="B5733" s="0" t="s">
        <v>2042</v>
      </c>
      <c r="C5733" s="0" t="s">
        <v>2352</v>
      </c>
      <c r="D5733" s="0" t="s">
        <v>2044</v>
      </c>
      <c r="E5733" s="0" t="s">
        <v>2045</v>
      </c>
      <c r="F5733" s="0" t="s">
        <v>2046</v>
      </c>
      <c r="G5733" s="0" t="s">
        <v>2069</v>
      </c>
      <c r="H5733" s="0" t="s">
        <v>2048</v>
      </c>
      <c r="I5733" s="0" t="s">
        <v>2322</v>
      </c>
      <c r="J5733" s="0" t="s">
        <v>2358</v>
      </c>
      <c r="K5733" s="272" t="n">
        <v>248809.53</v>
      </c>
    </row>
    <row r="5734" customFormat="false" ht="15" hidden="false" customHeight="false" outlineLevel="0" collapsed="false">
      <c r="A5734" s="0" t="s">
        <v>2041</v>
      </c>
      <c r="B5734" s="0" t="s">
        <v>2042</v>
      </c>
      <c r="C5734" s="0" t="s">
        <v>2361</v>
      </c>
      <c r="D5734" s="0" t="s">
        <v>2044</v>
      </c>
      <c r="E5734" s="0" t="s">
        <v>2045</v>
      </c>
      <c r="F5734" s="0" t="s">
        <v>2046</v>
      </c>
      <c r="G5734" s="0" t="s">
        <v>2069</v>
      </c>
      <c r="H5734" s="0" t="s">
        <v>2048</v>
      </c>
      <c r="I5734" s="0" t="s">
        <v>2322</v>
      </c>
      <c r="J5734" s="0" t="s">
        <v>2358</v>
      </c>
      <c r="K5734" s="272" t="n">
        <v>38163.32</v>
      </c>
    </row>
    <row r="5735" customFormat="false" ht="15" hidden="false" customHeight="false" outlineLevel="0" collapsed="false">
      <c r="A5735" s="0" t="s">
        <v>2041</v>
      </c>
      <c r="B5735" s="0" t="s">
        <v>2042</v>
      </c>
      <c r="C5735" s="0" t="s">
        <v>2156</v>
      </c>
      <c r="D5735" s="0" t="s">
        <v>2044</v>
      </c>
      <c r="E5735" s="0" t="s">
        <v>2045</v>
      </c>
      <c r="F5735" s="0" t="s">
        <v>2046</v>
      </c>
      <c r="G5735" s="0" t="s">
        <v>2069</v>
      </c>
      <c r="H5735" s="0" t="s">
        <v>2048</v>
      </c>
      <c r="I5735" s="0" t="s">
        <v>2322</v>
      </c>
      <c r="J5735" s="0" t="s">
        <v>2358</v>
      </c>
      <c r="K5735" s="272" t="n">
        <v>466115</v>
      </c>
    </row>
    <row r="5736" customFormat="false" ht="15" hidden="false" customHeight="false" outlineLevel="0" collapsed="false">
      <c r="A5736" s="0" t="s">
        <v>2041</v>
      </c>
      <c r="B5736" s="0" t="s">
        <v>2042</v>
      </c>
      <c r="C5736" s="0" t="s">
        <v>2360</v>
      </c>
      <c r="D5736" s="0" t="s">
        <v>2044</v>
      </c>
      <c r="E5736" s="0" t="s">
        <v>2045</v>
      </c>
      <c r="F5736" s="0" t="s">
        <v>2046</v>
      </c>
      <c r="G5736" s="0" t="s">
        <v>2069</v>
      </c>
      <c r="H5736" s="0" t="s">
        <v>2048</v>
      </c>
      <c r="I5736" s="0" t="s">
        <v>2322</v>
      </c>
      <c r="J5736" s="0" t="s">
        <v>2358</v>
      </c>
      <c r="K5736" s="272" t="n">
        <v>1030</v>
      </c>
    </row>
    <row r="5737" customFormat="false" ht="15" hidden="false" customHeight="false" outlineLevel="0" collapsed="false">
      <c r="A5737" s="0" t="s">
        <v>2041</v>
      </c>
      <c r="B5737" s="0" t="s">
        <v>2042</v>
      </c>
      <c r="C5737" s="0" t="s">
        <v>2161</v>
      </c>
      <c r="D5737" s="0" t="s">
        <v>2044</v>
      </c>
      <c r="E5737" s="0" t="s">
        <v>2045</v>
      </c>
      <c r="F5737" s="0" t="s">
        <v>2046</v>
      </c>
      <c r="G5737" s="0" t="s">
        <v>2069</v>
      </c>
      <c r="H5737" s="0" t="s">
        <v>2048</v>
      </c>
      <c r="I5737" s="0" t="s">
        <v>2322</v>
      </c>
      <c r="J5737" s="0" t="s">
        <v>2358</v>
      </c>
      <c r="K5737" s="272" t="n">
        <v>140766.73</v>
      </c>
    </row>
    <row r="5738" customFormat="false" ht="15" hidden="false" customHeight="false" outlineLevel="0" collapsed="false">
      <c r="A5738" s="0" t="s">
        <v>2041</v>
      </c>
      <c r="B5738" s="0" t="s">
        <v>2042</v>
      </c>
      <c r="C5738" s="0" t="s">
        <v>2349</v>
      </c>
      <c r="D5738" s="0" t="s">
        <v>2044</v>
      </c>
      <c r="E5738" s="0" t="s">
        <v>2045</v>
      </c>
      <c r="F5738" s="0" t="s">
        <v>2046</v>
      </c>
      <c r="G5738" s="0" t="s">
        <v>2069</v>
      </c>
      <c r="H5738" s="0" t="s">
        <v>2048</v>
      </c>
      <c r="I5738" s="0" t="s">
        <v>2322</v>
      </c>
      <c r="J5738" s="0" t="s">
        <v>2358</v>
      </c>
      <c r="K5738" s="272" t="n">
        <v>86665.8</v>
      </c>
    </row>
    <row r="5739" customFormat="false" ht="15" hidden="false" customHeight="false" outlineLevel="0" collapsed="false">
      <c r="A5739" s="0" t="s">
        <v>2041</v>
      </c>
      <c r="B5739" s="0" t="s">
        <v>2042</v>
      </c>
      <c r="C5739" s="0" t="s">
        <v>2352</v>
      </c>
      <c r="D5739" s="0" t="s">
        <v>2044</v>
      </c>
      <c r="E5739" s="0" t="s">
        <v>2045</v>
      </c>
      <c r="F5739" s="0" t="s">
        <v>2046</v>
      </c>
      <c r="G5739" s="0" t="s">
        <v>2070</v>
      </c>
      <c r="H5739" s="0" t="s">
        <v>2048</v>
      </c>
      <c r="I5739" s="0" t="s">
        <v>2322</v>
      </c>
      <c r="J5739" s="0" t="s">
        <v>2358</v>
      </c>
      <c r="K5739" s="272" t="n">
        <v>135823.515</v>
      </c>
    </row>
    <row r="5740" customFormat="false" ht="15" hidden="false" customHeight="false" outlineLevel="0" collapsed="false">
      <c r="A5740" s="0" t="s">
        <v>2041</v>
      </c>
      <c r="B5740" s="0" t="s">
        <v>2042</v>
      </c>
      <c r="C5740" s="0" t="s">
        <v>2359</v>
      </c>
      <c r="D5740" s="0" t="s">
        <v>2044</v>
      </c>
      <c r="E5740" s="0" t="s">
        <v>2045</v>
      </c>
      <c r="F5740" s="0" t="s">
        <v>2046</v>
      </c>
      <c r="G5740" s="0" t="s">
        <v>2070</v>
      </c>
      <c r="H5740" s="0" t="s">
        <v>2048</v>
      </c>
      <c r="I5740" s="0" t="s">
        <v>2322</v>
      </c>
      <c r="J5740" s="0" t="s">
        <v>2358</v>
      </c>
      <c r="K5740" s="272" t="n">
        <v>4338.7975</v>
      </c>
    </row>
    <row r="5741" customFormat="false" ht="15" hidden="false" customHeight="false" outlineLevel="0" collapsed="false">
      <c r="A5741" s="0" t="s">
        <v>2041</v>
      </c>
      <c r="B5741" s="0" t="s">
        <v>2042</v>
      </c>
      <c r="C5741" s="0" t="s">
        <v>2156</v>
      </c>
      <c r="D5741" s="0" t="s">
        <v>2044</v>
      </c>
      <c r="E5741" s="0" t="s">
        <v>2045</v>
      </c>
      <c r="F5741" s="0" t="s">
        <v>2046</v>
      </c>
      <c r="G5741" s="0" t="s">
        <v>2070</v>
      </c>
      <c r="H5741" s="0" t="s">
        <v>2048</v>
      </c>
      <c r="I5741" s="0" t="s">
        <v>2322</v>
      </c>
      <c r="J5741" s="0" t="s">
        <v>2358</v>
      </c>
      <c r="K5741" s="272" t="n">
        <v>260830.35</v>
      </c>
    </row>
    <row r="5742" customFormat="false" ht="15" hidden="false" customHeight="false" outlineLevel="0" collapsed="false">
      <c r="A5742" s="0" t="s">
        <v>2041</v>
      </c>
      <c r="B5742" s="0" t="s">
        <v>2042</v>
      </c>
      <c r="C5742" s="0" t="s">
        <v>2360</v>
      </c>
      <c r="D5742" s="0" t="s">
        <v>2044</v>
      </c>
      <c r="E5742" s="0" t="s">
        <v>2045</v>
      </c>
      <c r="F5742" s="0" t="s">
        <v>2046</v>
      </c>
      <c r="G5742" s="0" t="s">
        <v>2070</v>
      </c>
      <c r="H5742" s="0" t="s">
        <v>2048</v>
      </c>
      <c r="I5742" s="0" t="s">
        <v>2322</v>
      </c>
      <c r="J5742" s="0" t="s">
        <v>2358</v>
      </c>
      <c r="K5742" s="272" t="n">
        <v>83.5</v>
      </c>
    </row>
    <row r="5743" customFormat="false" ht="15" hidden="false" customHeight="false" outlineLevel="0" collapsed="false">
      <c r="A5743" s="0" t="s">
        <v>2041</v>
      </c>
      <c r="B5743" s="0" t="s">
        <v>2042</v>
      </c>
      <c r="C5743" s="0" t="s">
        <v>2161</v>
      </c>
      <c r="D5743" s="0" t="s">
        <v>2044</v>
      </c>
      <c r="E5743" s="0" t="s">
        <v>2045</v>
      </c>
      <c r="F5743" s="0" t="s">
        <v>2046</v>
      </c>
      <c r="G5743" s="0" t="s">
        <v>2070</v>
      </c>
      <c r="H5743" s="0" t="s">
        <v>2048</v>
      </c>
      <c r="I5743" s="0" t="s">
        <v>2322</v>
      </c>
      <c r="J5743" s="0" t="s">
        <v>2358</v>
      </c>
      <c r="K5743" s="272" t="n">
        <v>78770.77</v>
      </c>
    </row>
    <row r="5744" customFormat="false" ht="15" hidden="false" customHeight="false" outlineLevel="0" collapsed="false">
      <c r="A5744" s="0" t="s">
        <v>2041</v>
      </c>
      <c r="B5744" s="0" t="s">
        <v>2042</v>
      </c>
      <c r="C5744" s="0" t="s">
        <v>2349</v>
      </c>
      <c r="D5744" s="0" t="s">
        <v>2044</v>
      </c>
      <c r="E5744" s="0" t="s">
        <v>2045</v>
      </c>
      <c r="F5744" s="0" t="s">
        <v>2046</v>
      </c>
      <c r="G5744" s="0" t="s">
        <v>2070</v>
      </c>
      <c r="H5744" s="0" t="s">
        <v>2048</v>
      </c>
      <c r="I5744" s="0" t="s">
        <v>2322</v>
      </c>
      <c r="J5744" s="0" t="s">
        <v>2358</v>
      </c>
      <c r="K5744" s="272" t="n">
        <v>42329.02</v>
      </c>
    </row>
    <row r="5745" customFormat="false" ht="15" hidden="false" customHeight="false" outlineLevel="0" collapsed="false">
      <c r="A5745" s="0" t="s">
        <v>2041</v>
      </c>
      <c r="B5745" s="0" t="s">
        <v>2042</v>
      </c>
      <c r="C5745" s="0" t="s">
        <v>2352</v>
      </c>
      <c r="D5745" s="0" t="s">
        <v>2044</v>
      </c>
      <c r="E5745" s="0" t="s">
        <v>2045</v>
      </c>
      <c r="F5745" s="0" t="s">
        <v>2051</v>
      </c>
      <c r="G5745" s="0" t="s">
        <v>2070</v>
      </c>
      <c r="H5745" s="0" t="s">
        <v>2052</v>
      </c>
      <c r="I5745" s="0" t="s">
        <v>2322</v>
      </c>
      <c r="J5745" s="0" t="s">
        <v>2358</v>
      </c>
      <c r="K5745" s="272" t="n">
        <v>281518.165</v>
      </c>
    </row>
    <row r="5746" customFormat="false" ht="15" hidden="false" customHeight="false" outlineLevel="0" collapsed="false">
      <c r="A5746" s="0" t="s">
        <v>2041</v>
      </c>
      <c r="B5746" s="0" t="s">
        <v>2042</v>
      </c>
      <c r="C5746" s="0" t="s">
        <v>2359</v>
      </c>
      <c r="D5746" s="0" t="s">
        <v>2044</v>
      </c>
      <c r="E5746" s="0" t="s">
        <v>2045</v>
      </c>
      <c r="F5746" s="0" t="s">
        <v>2051</v>
      </c>
      <c r="G5746" s="0" t="s">
        <v>2070</v>
      </c>
      <c r="H5746" s="0" t="s">
        <v>2052</v>
      </c>
      <c r="I5746" s="0" t="s">
        <v>2322</v>
      </c>
      <c r="J5746" s="0" t="s">
        <v>2358</v>
      </c>
      <c r="K5746" s="272" t="n">
        <v>4736.9425</v>
      </c>
    </row>
    <row r="5747" customFormat="false" ht="15" hidden="false" customHeight="false" outlineLevel="0" collapsed="false">
      <c r="A5747" s="0" t="s">
        <v>2041</v>
      </c>
      <c r="B5747" s="0" t="s">
        <v>2042</v>
      </c>
      <c r="C5747" s="0" t="s">
        <v>2156</v>
      </c>
      <c r="D5747" s="0" t="s">
        <v>2044</v>
      </c>
      <c r="E5747" s="0" t="s">
        <v>2045</v>
      </c>
      <c r="F5747" s="0" t="s">
        <v>2051</v>
      </c>
      <c r="G5747" s="0" t="s">
        <v>2070</v>
      </c>
      <c r="H5747" s="0" t="s">
        <v>2052</v>
      </c>
      <c r="I5747" s="0" t="s">
        <v>2322</v>
      </c>
      <c r="J5747" s="0" t="s">
        <v>2358</v>
      </c>
      <c r="K5747" s="272" t="n">
        <v>564138.25</v>
      </c>
    </row>
    <row r="5748" customFormat="false" ht="15" hidden="false" customHeight="false" outlineLevel="0" collapsed="false">
      <c r="A5748" s="0" t="s">
        <v>2041</v>
      </c>
      <c r="B5748" s="0" t="s">
        <v>2042</v>
      </c>
      <c r="C5748" s="0" t="s">
        <v>2360</v>
      </c>
      <c r="D5748" s="0" t="s">
        <v>2044</v>
      </c>
      <c r="E5748" s="0" t="s">
        <v>2045</v>
      </c>
      <c r="F5748" s="0" t="s">
        <v>2051</v>
      </c>
      <c r="G5748" s="0" t="s">
        <v>2070</v>
      </c>
      <c r="H5748" s="0" t="s">
        <v>2052</v>
      </c>
      <c r="I5748" s="0" t="s">
        <v>2322</v>
      </c>
      <c r="J5748" s="0" t="s">
        <v>2358</v>
      </c>
      <c r="K5748" s="272" t="n">
        <v>250.5</v>
      </c>
    </row>
    <row r="5749" customFormat="false" ht="15" hidden="false" customHeight="false" outlineLevel="0" collapsed="false">
      <c r="A5749" s="0" t="s">
        <v>2041</v>
      </c>
      <c r="B5749" s="0" t="s">
        <v>2042</v>
      </c>
      <c r="C5749" s="0" t="s">
        <v>2161</v>
      </c>
      <c r="D5749" s="0" t="s">
        <v>2044</v>
      </c>
      <c r="E5749" s="0" t="s">
        <v>2045</v>
      </c>
      <c r="F5749" s="0" t="s">
        <v>2051</v>
      </c>
      <c r="G5749" s="0" t="s">
        <v>2070</v>
      </c>
      <c r="H5749" s="0" t="s">
        <v>2052</v>
      </c>
      <c r="I5749" s="0" t="s">
        <v>2322</v>
      </c>
      <c r="J5749" s="0" t="s">
        <v>2358</v>
      </c>
      <c r="K5749" s="272" t="n">
        <v>170369.77</v>
      </c>
    </row>
    <row r="5750" customFormat="false" ht="15" hidden="false" customHeight="false" outlineLevel="0" collapsed="false">
      <c r="A5750" s="0" t="s">
        <v>2041</v>
      </c>
      <c r="B5750" s="0" t="s">
        <v>2042</v>
      </c>
      <c r="C5750" s="0" t="s">
        <v>2349</v>
      </c>
      <c r="D5750" s="0" t="s">
        <v>2044</v>
      </c>
      <c r="E5750" s="0" t="s">
        <v>2045</v>
      </c>
      <c r="F5750" s="0" t="s">
        <v>2051</v>
      </c>
      <c r="G5750" s="0" t="s">
        <v>2070</v>
      </c>
      <c r="H5750" s="0" t="s">
        <v>2052</v>
      </c>
      <c r="I5750" s="0" t="s">
        <v>2322</v>
      </c>
      <c r="J5750" s="0" t="s">
        <v>2358</v>
      </c>
      <c r="K5750" s="272" t="n">
        <v>86449.0400000001</v>
      </c>
    </row>
    <row r="5751" customFormat="false" ht="15" hidden="false" customHeight="false" outlineLevel="0" collapsed="false">
      <c r="A5751" s="0" t="s">
        <v>2041</v>
      </c>
      <c r="B5751" s="0" t="s">
        <v>2042</v>
      </c>
      <c r="C5751" s="0" t="s">
        <v>2352</v>
      </c>
      <c r="D5751" s="0" t="s">
        <v>2044</v>
      </c>
      <c r="E5751" s="0" t="s">
        <v>2045</v>
      </c>
      <c r="F5751" s="0" t="s">
        <v>2046</v>
      </c>
      <c r="G5751" s="0" t="s">
        <v>2071</v>
      </c>
      <c r="H5751" s="0" t="s">
        <v>2048</v>
      </c>
      <c r="I5751" s="0" t="s">
        <v>2322</v>
      </c>
      <c r="J5751" s="0" t="s">
        <v>2358</v>
      </c>
      <c r="K5751" s="272" t="n">
        <v>12847.1465</v>
      </c>
    </row>
    <row r="5752" customFormat="false" ht="15" hidden="false" customHeight="false" outlineLevel="0" collapsed="false">
      <c r="A5752" s="0" t="s">
        <v>2041</v>
      </c>
      <c r="B5752" s="0" t="s">
        <v>2042</v>
      </c>
      <c r="C5752" s="0" t="s">
        <v>2359</v>
      </c>
      <c r="D5752" s="0" t="s">
        <v>2044</v>
      </c>
      <c r="E5752" s="0" t="s">
        <v>2045</v>
      </c>
      <c r="F5752" s="0" t="s">
        <v>2046</v>
      </c>
      <c r="G5752" s="0" t="s">
        <v>2071</v>
      </c>
      <c r="H5752" s="0" t="s">
        <v>2048</v>
      </c>
      <c r="I5752" s="0" t="s">
        <v>2322</v>
      </c>
      <c r="J5752" s="0" t="s">
        <v>2358</v>
      </c>
      <c r="K5752" s="272" t="n">
        <v>4233.663</v>
      </c>
    </row>
    <row r="5753" customFormat="false" ht="15" hidden="false" customHeight="false" outlineLevel="0" collapsed="false">
      <c r="A5753" s="0" t="s">
        <v>2041</v>
      </c>
      <c r="B5753" s="0" t="s">
        <v>2042</v>
      </c>
      <c r="C5753" s="0" t="s">
        <v>2349</v>
      </c>
      <c r="D5753" s="0" t="s">
        <v>2044</v>
      </c>
      <c r="E5753" s="0" t="s">
        <v>2045</v>
      </c>
      <c r="F5753" s="0" t="s">
        <v>2046</v>
      </c>
      <c r="G5753" s="0" t="s">
        <v>2071</v>
      </c>
      <c r="H5753" s="0" t="s">
        <v>2048</v>
      </c>
      <c r="I5753" s="0" t="s">
        <v>2322</v>
      </c>
      <c r="J5753" s="0" t="s">
        <v>2358</v>
      </c>
      <c r="K5753" s="272" t="n">
        <v>3879.842</v>
      </c>
    </row>
    <row r="5754" customFormat="false" ht="15" hidden="false" customHeight="false" outlineLevel="0" collapsed="false">
      <c r="A5754" s="0" t="s">
        <v>2041</v>
      </c>
      <c r="B5754" s="0" t="s">
        <v>2042</v>
      </c>
      <c r="C5754" s="0" t="s">
        <v>2352</v>
      </c>
      <c r="D5754" s="0" t="s">
        <v>2044</v>
      </c>
      <c r="E5754" s="0" t="s">
        <v>2045</v>
      </c>
      <c r="F5754" s="0" t="s">
        <v>2051</v>
      </c>
      <c r="G5754" s="0" t="s">
        <v>2071</v>
      </c>
      <c r="H5754" s="0" t="s">
        <v>2052</v>
      </c>
      <c r="I5754" s="0" t="s">
        <v>2322</v>
      </c>
      <c r="J5754" s="0" t="s">
        <v>2358</v>
      </c>
      <c r="K5754" s="272" t="n">
        <v>2267.1435</v>
      </c>
    </row>
    <row r="5755" customFormat="false" ht="15" hidden="false" customHeight="false" outlineLevel="0" collapsed="false">
      <c r="A5755" s="0" t="s">
        <v>2041</v>
      </c>
      <c r="B5755" s="0" t="s">
        <v>2042</v>
      </c>
      <c r="C5755" s="0" t="s">
        <v>2359</v>
      </c>
      <c r="D5755" s="0" t="s">
        <v>2044</v>
      </c>
      <c r="E5755" s="0" t="s">
        <v>2045</v>
      </c>
      <c r="F5755" s="0" t="s">
        <v>2051</v>
      </c>
      <c r="G5755" s="0" t="s">
        <v>2071</v>
      </c>
      <c r="H5755" s="0" t="s">
        <v>2052</v>
      </c>
      <c r="I5755" s="0" t="s">
        <v>2322</v>
      </c>
      <c r="J5755" s="0" t="s">
        <v>2358</v>
      </c>
      <c r="K5755" s="272" t="n">
        <v>747.117</v>
      </c>
    </row>
    <row r="5756" customFormat="false" ht="15" hidden="false" customHeight="false" outlineLevel="0" collapsed="false">
      <c r="A5756" s="0" t="s">
        <v>2041</v>
      </c>
      <c r="B5756" s="0" t="s">
        <v>2042</v>
      </c>
      <c r="C5756" s="0" t="s">
        <v>2349</v>
      </c>
      <c r="D5756" s="0" t="s">
        <v>2044</v>
      </c>
      <c r="E5756" s="0" t="s">
        <v>2045</v>
      </c>
      <c r="F5756" s="0" t="s">
        <v>2051</v>
      </c>
      <c r="G5756" s="0" t="s">
        <v>2071</v>
      </c>
      <c r="H5756" s="0" t="s">
        <v>2052</v>
      </c>
      <c r="I5756" s="0" t="s">
        <v>2322</v>
      </c>
      <c r="J5756" s="0" t="s">
        <v>2358</v>
      </c>
      <c r="K5756" s="272" t="n">
        <v>684.678</v>
      </c>
    </row>
    <row r="5757" customFormat="false" ht="15" hidden="false" customHeight="false" outlineLevel="0" collapsed="false">
      <c r="A5757" s="0" t="s">
        <v>2041</v>
      </c>
      <c r="B5757" s="0" t="s">
        <v>2042</v>
      </c>
      <c r="C5757" s="0" t="s">
        <v>2352</v>
      </c>
      <c r="D5757" s="0" t="s">
        <v>2044</v>
      </c>
      <c r="E5757" s="0" t="s">
        <v>2045</v>
      </c>
      <c r="F5757" s="0" t="s">
        <v>2046</v>
      </c>
      <c r="G5757" s="0" t="s">
        <v>2072</v>
      </c>
      <c r="H5757" s="0" t="s">
        <v>2048</v>
      </c>
      <c r="I5757" s="0" t="s">
        <v>2322</v>
      </c>
      <c r="J5757" s="0" t="s">
        <v>2358</v>
      </c>
      <c r="K5757" s="272" t="n">
        <v>161209.3998</v>
      </c>
    </row>
    <row r="5758" customFormat="false" ht="15" hidden="false" customHeight="false" outlineLevel="0" collapsed="false">
      <c r="A5758" s="0" t="s">
        <v>2041</v>
      </c>
      <c r="B5758" s="0" t="s">
        <v>2042</v>
      </c>
      <c r="C5758" s="0" t="s">
        <v>2359</v>
      </c>
      <c r="D5758" s="0" t="s">
        <v>2044</v>
      </c>
      <c r="E5758" s="0" t="s">
        <v>2045</v>
      </c>
      <c r="F5758" s="0" t="s">
        <v>2046</v>
      </c>
      <c r="G5758" s="0" t="s">
        <v>2072</v>
      </c>
      <c r="H5758" s="0" t="s">
        <v>2048</v>
      </c>
      <c r="I5758" s="0" t="s">
        <v>2322</v>
      </c>
      <c r="J5758" s="0" t="s">
        <v>2358</v>
      </c>
      <c r="K5758" s="272" t="n">
        <v>42788.7628</v>
      </c>
    </row>
    <row r="5759" customFormat="false" ht="15" hidden="false" customHeight="false" outlineLevel="0" collapsed="false">
      <c r="A5759" s="0" t="s">
        <v>2041</v>
      </c>
      <c r="B5759" s="0" t="s">
        <v>2042</v>
      </c>
      <c r="C5759" s="0" t="s">
        <v>2156</v>
      </c>
      <c r="D5759" s="0" t="s">
        <v>2044</v>
      </c>
      <c r="E5759" s="0" t="s">
        <v>2045</v>
      </c>
      <c r="F5759" s="0" t="s">
        <v>2046</v>
      </c>
      <c r="G5759" s="0" t="s">
        <v>2072</v>
      </c>
      <c r="H5759" s="0" t="s">
        <v>2048</v>
      </c>
      <c r="I5759" s="0" t="s">
        <v>2322</v>
      </c>
      <c r="J5759" s="0" t="s">
        <v>2358</v>
      </c>
      <c r="K5759" s="272" t="n">
        <v>348029.008</v>
      </c>
    </row>
    <row r="5760" customFormat="false" ht="15" hidden="false" customHeight="false" outlineLevel="0" collapsed="false">
      <c r="A5760" s="0" t="s">
        <v>2041</v>
      </c>
      <c r="B5760" s="0" t="s">
        <v>2042</v>
      </c>
      <c r="C5760" s="0" t="s">
        <v>2161</v>
      </c>
      <c r="D5760" s="0" t="s">
        <v>2044</v>
      </c>
      <c r="E5760" s="0" t="s">
        <v>2045</v>
      </c>
      <c r="F5760" s="0" t="s">
        <v>2046</v>
      </c>
      <c r="G5760" s="0" t="s">
        <v>2072</v>
      </c>
      <c r="H5760" s="0" t="s">
        <v>2048</v>
      </c>
      <c r="I5760" s="0" t="s">
        <v>2322</v>
      </c>
      <c r="J5760" s="0" t="s">
        <v>2358</v>
      </c>
      <c r="K5760" s="272" t="n">
        <v>105104.749396</v>
      </c>
    </row>
    <row r="5761" customFormat="false" ht="15" hidden="false" customHeight="false" outlineLevel="0" collapsed="false">
      <c r="A5761" s="0" t="s">
        <v>2041</v>
      </c>
      <c r="B5761" s="0" t="s">
        <v>2042</v>
      </c>
      <c r="C5761" s="0" t="s">
        <v>2349</v>
      </c>
      <c r="D5761" s="0" t="s">
        <v>2044</v>
      </c>
      <c r="E5761" s="0" t="s">
        <v>2045</v>
      </c>
      <c r="F5761" s="0" t="s">
        <v>2046</v>
      </c>
      <c r="G5761" s="0" t="s">
        <v>2072</v>
      </c>
      <c r="H5761" s="0" t="s">
        <v>2048</v>
      </c>
      <c r="I5761" s="0" t="s">
        <v>2322</v>
      </c>
      <c r="J5761" s="0" t="s">
        <v>2358</v>
      </c>
      <c r="K5761" s="272" t="n">
        <v>61607.4532039998</v>
      </c>
    </row>
    <row r="5762" customFormat="false" ht="15" hidden="false" customHeight="false" outlineLevel="0" collapsed="false">
      <c r="A5762" s="0" t="s">
        <v>2041</v>
      </c>
      <c r="B5762" s="0" t="s">
        <v>2042</v>
      </c>
      <c r="C5762" s="0" t="s">
        <v>2352</v>
      </c>
      <c r="D5762" s="0" t="s">
        <v>2044</v>
      </c>
      <c r="E5762" s="0" t="s">
        <v>2045</v>
      </c>
      <c r="F5762" s="0" t="s">
        <v>2051</v>
      </c>
      <c r="G5762" s="0" t="s">
        <v>2072</v>
      </c>
      <c r="H5762" s="0" t="s">
        <v>2052</v>
      </c>
      <c r="I5762" s="0" t="s">
        <v>2322</v>
      </c>
      <c r="J5762" s="0" t="s">
        <v>2358</v>
      </c>
      <c r="K5762" s="272" t="n">
        <v>213689.1602</v>
      </c>
    </row>
    <row r="5763" customFormat="false" ht="15" hidden="false" customHeight="false" outlineLevel="0" collapsed="false">
      <c r="A5763" s="0" t="s">
        <v>2041</v>
      </c>
      <c r="B5763" s="0" t="s">
        <v>2042</v>
      </c>
      <c r="C5763" s="0" t="s">
        <v>2359</v>
      </c>
      <c r="D5763" s="0" t="s">
        <v>2044</v>
      </c>
      <c r="E5763" s="0" t="s">
        <v>2045</v>
      </c>
      <c r="F5763" s="0" t="s">
        <v>2051</v>
      </c>
      <c r="G5763" s="0" t="s">
        <v>2072</v>
      </c>
      <c r="H5763" s="0" t="s">
        <v>2052</v>
      </c>
      <c r="I5763" s="0" t="s">
        <v>2322</v>
      </c>
      <c r="J5763" s="0" t="s">
        <v>2358</v>
      </c>
      <c r="K5763" s="272" t="n">
        <v>45661.8372</v>
      </c>
    </row>
    <row r="5764" customFormat="false" ht="15" hidden="false" customHeight="false" outlineLevel="0" collapsed="false">
      <c r="A5764" s="0" t="s">
        <v>2041</v>
      </c>
      <c r="B5764" s="0" t="s">
        <v>2042</v>
      </c>
      <c r="C5764" s="0" t="s">
        <v>2156</v>
      </c>
      <c r="D5764" s="0" t="s">
        <v>2044</v>
      </c>
      <c r="E5764" s="0" t="s">
        <v>2045</v>
      </c>
      <c r="F5764" s="0" t="s">
        <v>2051</v>
      </c>
      <c r="G5764" s="0" t="s">
        <v>2072</v>
      </c>
      <c r="H5764" s="0" t="s">
        <v>2052</v>
      </c>
      <c r="I5764" s="0" t="s">
        <v>2322</v>
      </c>
      <c r="J5764" s="0" t="s">
        <v>2358</v>
      </c>
      <c r="K5764" s="272" t="n">
        <v>502348.842</v>
      </c>
    </row>
    <row r="5765" customFormat="false" ht="15" hidden="false" customHeight="false" outlineLevel="0" collapsed="false">
      <c r="A5765" s="0" t="s">
        <v>2041</v>
      </c>
      <c r="B5765" s="0" t="s">
        <v>2042</v>
      </c>
      <c r="C5765" s="0" t="s">
        <v>2161</v>
      </c>
      <c r="D5765" s="0" t="s">
        <v>2044</v>
      </c>
      <c r="E5765" s="0" t="s">
        <v>2045</v>
      </c>
      <c r="F5765" s="0" t="s">
        <v>2051</v>
      </c>
      <c r="G5765" s="0" t="s">
        <v>2072</v>
      </c>
      <c r="H5765" s="0" t="s">
        <v>2052</v>
      </c>
      <c r="I5765" s="0" t="s">
        <v>2322</v>
      </c>
      <c r="J5765" s="0" t="s">
        <v>2358</v>
      </c>
      <c r="K5765" s="272" t="n">
        <v>151709.335174996</v>
      </c>
    </row>
    <row r="5766" customFormat="false" ht="15" hidden="false" customHeight="false" outlineLevel="0" collapsed="false">
      <c r="A5766" s="0" t="s">
        <v>2041</v>
      </c>
      <c r="B5766" s="0" t="s">
        <v>2042</v>
      </c>
      <c r="C5766" s="0" t="s">
        <v>2349</v>
      </c>
      <c r="D5766" s="0" t="s">
        <v>2044</v>
      </c>
      <c r="E5766" s="0" t="s">
        <v>2045</v>
      </c>
      <c r="F5766" s="0" t="s">
        <v>2051</v>
      </c>
      <c r="G5766" s="0" t="s">
        <v>2072</v>
      </c>
      <c r="H5766" s="0" t="s">
        <v>2052</v>
      </c>
      <c r="I5766" s="0" t="s">
        <v>2322</v>
      </c>
      <c r="J5766" s="0" t="s">
        <v>2358</v>
      </c>
      <c r="K5766" s="272" t="n">
        <v>78324.0122250043</v>
      </c>
    </row>
    <row r="5767" customFormat="false" ht="15" hidden="false" customHeight="false" outlineLevel="0" collapsed="false">
      <c r="A5767" s="0" t="s">
        <v>2041</v>
      </c>
      <c r="B5767" s="0" t="s">
        <v>2042</v>
      </c>
      <c r="C5767" s="0" t="s">
        <v>2352</v>
      </c>
      <c r="D5767" s="0" t="s">
        <v>2044</v>
      </c>
      <c r="E5767" s="0" t="s">
        <v>2045</v>
      </c>
      <c r="F5767" s="0" t="s">
        <v>2046</v>
      </c>
      <c r="G5767" s="0" t="s">
        <v>2073</v>
      </c>
      <c r="H5767" s="0" t="s">
        <v>2048</v>
      </c>
      <c r="I5767" s="0" t="s">
        <v>2322</v>
      </c>
      <c r="J5767" s="0" t="s">
        <v>2358</v>
      </c>
      <c r="K5767" s="272" t="n">
        <v>226272.723</v>
      </c>
    </row>
    <row r="5768" customFormat="false" ht="15" hidden="false" customHeight="false" outlineLevel="0" collapsed="false">
      <c r="A5768" s="0" t="s">
        <v>2041</v>
      </c>
      <c r="B5768" s="0" t="s">
        <v>2042</v>
      </c>
      <c r="C5768" s="0" t="s">
        <v>2359</v>
      </c>
      <c r="D5768" s="0" t="s">
        <v>2044</v>
      </c>
      <c r="E5768" s="0" t="s">
        <v>2045</v>
      </c>
      <c r="F5768" s="0" t="s">
        <v>2046</v>
      </c>
      <c r="G5768" s="0" t="s">
        <v>2073</v>
      </c>
      <c r="H5768" s="0" t="s">
        <v>2048</v>
      </c>
      <c r="I5768" s="0" t="s">
        <v>2322</v>
      </c>
      <c r="J5768" s="0" t="s">
        <v>2358</v>
      </c>
      <c r="K5768" s="272" t="n">
        <v>15874.894</v>
      </c>
    </row>
    <row r="5769" customFormat="false" ht="15" hidden="false" customHeight="false" outlineLevel="0" collapsed="false">
      <c r="A5769" s="0" t="s">
        <v>2041</v>
      </c>
      <c r="B5769" s="0" t="s">
        <v>2042</v>
      </c>
      <c r="C5769" s="0" t="s">
        <v>2361</v>
      </c>
      <c r="D5769" s="0" t="s">
        <v>2044</v>
      </c>
      <c r="E5769" s="0" t="s">
        <v>2045</v>
      </c>
      <c r="F5769" s="0" t="s">
        <v>2046</v>
      </c>
      <c r="G5769" s="0" t="s">
        <v>2073</v>
      </c>
      <c r="H5769" s="0" t="s">
        <v>2048</v>
      </c>
      <c r="I5769" s="0" t="s">
        <v>2322</v>
      </c>
      <c r="J5769" s="0" t="s">
        <v>2358</v>
      </c>
      <c r="K5769" s="272" t="n">
        <v>23.91</v>
      </c>
    </row>
    <row r="5770" customFormat="false" ht="15" hidden="false" customHeight="false" outlineLevel="0" collapsed="false">
      <c r="A5770" s="0" t="s">
        <v>2041</v>
      </c>
      <c r="B5770" s="0" t="s">
        <v>2042</v>
      </c>
      <c r="C5770" s="0" t="s">
        <v>2156</v>
      </c>
      <c r="D5770" s="0" t="s">
        <v>2044</v>
      </c>
      <c r="E5770" s="0" t="s">
        <v>2045</v>
      </c>
      <c r="F5770" s="0" t="s">
        <v>2046</v>
      </c>
      <c r="G5770" s="0" t="s">
        <v>2073</v>
      </c>
      <c r="H5770" s="0" t="s">
        <v>2048</v>
      </c>
      <c r="I5770" s="0" t="s">
        <v>2322</v>
      </c>
      <c r="J5770" s="0" t="s">
        <v>2358</v>
      </c>
      <c r="K5770" s="272" t="n">
        <v>610232.3</v>
      </c>
    </row>
    <row r="5771" customFormat="false" ht="15" hidden="false" customHeight="false" outlineLevel="0" collapsed="false">
      <c r="A5771" s="0" t="s">
        <v>2041</v>
      </c>
      <c r="B5771" s="0" t="s">
        <v>2042</v>
      </c>
      <c r="C5771" s="0" t="s">
        <v>2161</v>
      </c>
      <c r="D5771" s="0" t="s">
        <v>2044</v>
      </c>
      <c r="E5771" s="0" t="s">
        <v>2045</v>
      </c>
      <c r="F5771" s="0" t="s">
        <v>2046</v>
      </c>
      <c r="G5771" s="0" t="s">
        <v>2073</v>
      </c>
      <c r="H5771" s="0" t="s">
        <v>2048</v>
      </c>
      <c r="I5771" s="0" t="s">
        <v>2322</v>
      </c>
      <c r="J5771" s="0" t="s">
        <v>2358</v>
      </c>
      <c r="K5771" s="272" t="n">
        <v>184290.16</v>
      </c>
    </row>
    <row r="5772" customFormat="false" ht="15" hidden="false" customHeight="false" outlineLevel="0" collapsed="false">
      <c r="A5772" s="0" t="s">
        <v>2041</v>
      </c>
      <c r="B5772" s="0" t="s">
        <v>2042</v>
      </c>
      <c r="C5772" s="0" t="s">
        <v>2349</v>
      </c>
      <c r="D5772" s="0" t="s">
        <v>2044</v>
      </c>
      <c r="E5772" s="0" t="s">
        <v>2045</v>
      </c>
      <c r="F5772" s="0" t="s">
        <v>2046</v>
      </c>
      <c r="G5772" s="0" t="s">
        <v>2073</v>
      </c>
      <c r="H5772" s="0" t="s">
        <v>2048</v>
      </c>
      <c r="I5772" s="0" t="s">
        <v>2322</v>
      </c>
      <c r="J5772" s="0" t="s">
        <v>2358</v>
      </c>
      <c r="K5772" s="272" t="n">
        <v>72679.947</v>
      </c>
    </row>
    <row r="5773" customFormat="false" ht="15" hidden="false" customHeight="false" outlineLevel="0" collapsed="false">
      <c r="A5773" s="0" t="s">
        <v>2041</v>
      </c>
      <c r="B5773" s="0" t="s">
        <v>2042</v>
      </c>
      <c r="C5773" s="0" t="s">
        <v>2352</v>
      </c>
      <c r="D5773" s="0" t="s">
        <v>2044</v>
      </c>
      <c r="E5773" s="0" t="s">
        <v>2045</v>
      </c>
      <c r="F5773" s="0" t="s">
        <v>2051</v>
      </c>
      <c r="G5773" s="0" t="s">
        <v>2073</v>
      </c>
      <c r="H5773" s="0" t="s">
        <v>2052</v>
      </c>
      <c r="I5773" s="0" t="s">
        <v>2322</v>
      </c>
      <c r="J5773" s="0" t="s">
        <v>2358</v>
      </c>
      <c r="K5773" s="272" t="n">
        <v>488454.507</v>
      </c>
    </row>
    <row r="5774" customFormat="false" ht="15" hidden="false" customHeight="false" outlineLevel="0" collapsed="false">
      <c r="A5774" s="0" t="s">
        <v>2041</v>
      </c>
      <c r="B5774" s="0" t="s">
        <v>2042</v>
      </c>
      <c r="C5774" s="0" t="s">
        <v>2359</v>
      </c>
      <c r="D5774" s="0" t="s">
        <v>2044</v>
      </c>
      <c r="E5774" s="0" t="s">
        <v>2045</v>
      </c>
      <c r="F5774" s="0" t="s">
        <v>2051</v>
      </c>
      <c r="G5774" s="0" t="s">
        <v>2073</v>
      </c>
      <c r="H5774" s="0" t="s">
        <v>2052</v>
      </c>
      <c r="I5774" s="0" t="s">
        <v>2322</v>
      </c>
      <c r="J5774" s="0" t="s">
        <v>2358</v>
      </c>
      <c r="K5774" s="272" t="n">
        <v>142874.046</v>
      </c>
    </row>
    <row r="5775" customFormat="false" ht="15" hidden="false" customHeight="false" outlineLevel="0" collapsed="false">
      <c r="A5775" s="0" t="s">
        <v>2041</v>
      </c>
      <c r="B5775" s="0" t="s">
        <v>2042</v>
      </c>
      <c r="C5775" s="0" t="s">
        <v>2361</v>
      </c>
      <c r="D5775" s="0" t="s">
        <v>2044</v>
      </c>
      <c r="E5775" s="0" t="s">
        <v>2045</v>
      </c>
      <c r="F5775" s="0" t="s">
        <v>2051</v>
      </c>
      <c r="G5775" s="0" t="s">
        <v>2073</v>
      </c>
      <c r="H5775" s="0" t="s">
        <v>2052</v>
      </c>
      <c r="I5775" s="0" t="s">
        <v>2322</v>
      </c>
      <c r="J5775" s="0" t="s">
        <v>2358</v>
      </c>
      <c r="K5775" s="272" t="n">
        <v>215.19</v>
      </c>
    </row>
    <row r="5776" customFormat="false" ht="15" hidden="false" customHeight="false" outlineLevel="0" collapsed="false">
      <c r="A5776" s="0" t="s">
        <v>2041</v>
      </c>
      <c r="B5776" s="0" t="s">
        <v>2042</v>
      </c>
      <c r="C5776" s="0" t="s">
        <v>2156</v>
      </c>
      <c r="D5776" s="0" t="s">
        <v>2044</v>
      </c>
      <c r="E5776" s="0" t="s">
        <v>2045</v>
      </c>
      <c r="F5776" s="0" t="s">
        <v>2051</v>
      </c>
      <c r="G5776" s="0" t="s">
        <v>2073</v>
      </c>
      <c r="H5776" s="0" t="s">
        <v>2052</v>
      </c>
      <c r="I5776" s="0" t="s">
        <v>2322</v>
      </c>
      <c r="J5776" s="0" t="s">
        <v>2358</v>
      </c>
      <c r="K5776" s="272" t="n">
        <v>990830.7</v>
      </c>
    </row>
    <row r="5777" customFormat="false" ht="15" hidden="false" customHeight="false" outlineLevel="0" collapsed="false">
      <c r="A5777" s="0" t="s">
        <v>2041</v>
      </c>
      <c r="B5777" s="0" t="s">
        <v>2042</v>
      </c>
      <c r="C5777" s="0" t="s">
        <v>2161</v>
      </c>
      <c r="D5777" s="0" t="s">
        <v>2044</v>
      </c>
      <c r="E5777" s="0" t="s">
        <v>2045</v>
      </c>
      <c r="F5777" s="0" t="s">
        <v>2051</v>
      </c>
      <c r="G5777" s="0" t="s">
        <v>2073</v>
      </c>
      <c r="H5777" s="0" t="s">
        <v>2052</v>
      </c>
      <c r="I5777" s="0" t="s">
        <v>2322</v>
      </c>
      <c r="J5777" s="0" t="s">
        <v>2358</v>
      </c>
      <c r="K5777" s="272" t="n">
        <v>299230.92</v>
      </c>
    </row>
    <row r="5778" customFormat="false" ht="15" hidden="false" customHeight="false" outlineLevel="0" collapsed="false">
      <c r="A5778" s="0" t="s">
        <v>2041</v>
      </c>
      <c r="B5778" s="0" t="s">
        <v>2042</v>
      </c>
      <c r="C5778" s="0" t="s">
        <v>2349</v>
      </c>
      <c r="D5778" s="0" t="s">
        <v>2044</v>
      </c>
      <c r="E5778" s="0" t="s">
        <v>2045</v>
      </c>
      <c r="F5778" s="0" t="s">
        <v>2051</v>
      </c>
      <c r="G5778" s="0" t="s">
        <v>2073</v>
      </c>
      <c r="H5778" s="0" t="s">
        <v>2052</v>
      </c>
      <c r="I5778" s="0" t="s">
        <v>2322</v>
      </c>
      <c r="J5778" s="0" t="s">
        <v>2358</v>
      </c>
      <c r="K5778" s="272" t="n">
        <v>186623.523</v>
      </c>
    </row>
    <row r="5779" customFormat="false" ht="15" hidden="false" customHeight="false" outlineLevel="0" collapsed="false">
      <c r="A5779" s="0" t="s">
        <v>2041</v>
      </c>
      <c r="B5779" s="0" t="s">
        <v>2042</v>
      </c>
      <c r="C5779" s="0" t="s">
        <v>2352</v>
      </c>
      <c r="D5779" s="0" t="s">
        <v>2044</v>
      </c>
      <c r="E5779" s="0" t="s">
        <v>2045</v>
      </c>
      <c r="F5779" s="0" t="s">
        <v>2046</v>
      </c>
      <c r="G5779" s="0" t="s">
        <v>2074</v>
      </c>
      <c r="H5779" s="0" t="s">
        <v>2048</v>
      </c>
      <c r="I5779" s="0" t="s">
        <v>2322</v>
      </c>
      <c r="J5779" s="0" t="s">
        <v>2358</v>
      </c>
      <c r="K5779" s="272" t="n">
        <v>122500</v>
      </c>
    </row>
    <row r="5780" customFormat="false" ht="15" hidden="false" customHeight="false" outlineLevel="0" collapsed="false">
      <c r="A5780" s="0" t="s">
        <v>2041</v>
      </c>
      <c r="B5780" s="0" t="s">
        <v>2042</v>
      </c>
      <c r="C5780" s="0" t="s">
        <v>2156</v>
      </c>
      <c r="D5780" s="0" t="s">
        <v>2044</v>
      </c>
      <c r="E5780" s="0" t="s">
        <v>2045</v>
      </c>
      <c r="F5780" s="0" t="s">
        <v>2046</v>
      </c>
      <c r="G5780" s="0" t="s">
        <v>2074</v>
      </c>
      <c r="H5780" s="0" t="s">
        <v>2048</v>
      </c>
      <c r="I5780" s="0" t="s">
        <v>2322</v>
      </c>
      <c r="J5780" s="0" t="s">
        <v>2358</v>
      </c>
      <c r="K5780" s="272" t="n">
        <v>209553</v>
      </c>
    </row>
    <row r="5781" customFormat="false" ht="15" hidden="false" customHeight="false" outlineLevel="0" collapsed="false">
      <c r="A5781" s="0" t="s">
        <v>2041</v>
      </c>
      <c r="B5781" s="0" t="s">
        <v>2042</v>
      </c>
      <c r="C5781" s="0" t="s">
        <v>2161</v>
      </c>
      <c r="D5781" s="0" t="s">
        <v>2044</v>
      </c>
      <c r="E5781" s="0" t="s">
        <v>2045</v>
      </c>
      <c r="F5781" s="0" t="s">
        <v>2046</v>
      </c>
      <c r="G5781" s="0" t="s">
        <v>2074</v>
      </c>
      <c r="H5781" s="0" t="s">
        <v>2048</v>
      </c>
      <c r="I5781" s="0" t="s">
        <v>2322</v>
      </c>
      <c r="J5781" s="0" t="s">
        <v>2358</v>
      </c>
      <c r="K5781" s="272" t="n">
        <v>63285.01</v>
      </c>
    </row>
    <row r="5782" customFormat="false" ht="15" hidden="false" customHeight="false" outlineLevel="0" collapsed="false">
      <c r="A5782" s="0" t="s">
        <v>2041</v>
      </c>
      <c r="B5782" s="0" t="s">
        <v>2042</v>
      </c>
      <c r="C5782" s="0" t="s">
        <v>2349</v>
      </c>
      <c r="D5782" s="0" t="s">
        <v>2044</v>
      </c>
      <c r="E5782" s="0" t="s">
        <v>2045</v>
      </c>
      <c r="F5782" s="0" t="s">
        <v>2046</v>
      </c>
      <c r="G5782" s="0" t="s">
        <v>2074</v>
      </c>
      <c r="H5782" s="0" t="s">
        <v>2048</v>
      </c>
      <c r="I5782" s="0" t="s">
        <v>2322</v>
      </c>
      <c r="J5782" s="0" t="s">
        <v>2358</v>
      </c>
      <c r="K5782" s="272" t="n">
        <v>36994.995</v>
      </c>
    </row>
    <row r="5783" customFormat="false" ht="15" hidden="false" customHeight="false" outlineLevel="0" collapsed="false">
      <c r="A5783" s="0" t="s">
        <v>2041</v>
      </c>
      <c r="B5783" s="0" t="s">
        <v>2042</v>
      </c>
      <c r="C5783" s="0" t="s">
        <v>2352</v>
      </c>
      <c r="D5783" s="0" t="s">
        <v>2044</v>
      </c>
      <c r="E5783" s="0" t="s">
        <v>2045</v>
      </c>
      <c r="F5783" s="0" t="s">
        <v>2051</v>
      </c>
      <c r="G5783" s="0" t="s">
        <v>2074</v>
      </c>
      <c r="H5783" s="0" t="s">
        <v>2052</v>
      </c>
      <c r="I5783" s="0" t="s">
        <v>2322</v>
      </c>
      <c r="J5783" s="0" t="s">
        <v>2358</v>
      </c>
      <c r="K5783" s="272" t="n">
        <v>122500</v>
      </c>
    </row>
    <row r="5784" customFormat="false" ht="15" hidden="false" customHeight="false" outlineLevel="0" collapsed="false">
      <c r="A5784" s="0" t="s">
        <v>2041</v>
      </c>
      <c r="B5784" s="0" t="s">
        <v>2042</v>
      </c>
      <c r="C5784" s="0" t="s">
        <v>2156</v>
      </c>
      <c r="D5784" s="0" t="s">
        <v>2044</v>
      </c>
      <c r="E5784" s="0" t="s">
        <v>2045</v>
      </c>
      <c r="F5784" s="0" t="s">
        <v>2051</v>
      </c>
      <c r="G5784" s="0" t="s">
        <v>2074</v>
      </c>
      <c r="H5784" s="0" t="s">
        <v>2052</v>
      </c>
      <c r="I5784" s="0" t="s">
        <v>2322</v>
      </c>
      <c r="J5784" s="0" t="s">
        <v>2358</v>
      </c>
      <c r="K5784" s="272" t="n">
        <v>209553</v>
      </c>
    </row>
    <row r="5785" customFormat="false" ht="15" hidden="false" customHeight="false" outlineLevel="0" collapsed="false">
      <c r="A5785" s="0" t="s">
        <v>2041</v>
      </c>
      <c r="B5785" s="0" t="s">
        <v>2042</v>
      </c>
      <c r="C5785" s="0" t="s">
        <v>2161</v>
      </c>
      <c r="D5785" s="0" t="s">
        <v>2044</v>
      </c>
      <c r="E5785" s="0" t="s">
        <v>2045</v>
      </c>
      <c r="F5785" s="0" t="s">
        <v>2051</v>
      </c>
      <c r="G5785" s="0" t="s">
        <v>2074</v>
      </c>
      <c r="H5785" s="0" t="s">
        <v>2052</v>
      </c>
      <c r="I5785" s="0" t="s">
        <v>2322</v>
      </c>
      <c r="J5785" s="0" t="s">
        <v>2358</v>
      </c>
      <c r="K5785" s="272" t="n">
        <v>63285.01</v>
      </c>
    </row>
    <row r="5786" customFormat="false" ht="15" hidden="false" customHeight="false" outlineLevel="0" collapsed="false">
      <c r="A5786" s="0" t="s">
        <v>2041</v>
      </c>
      <c r="B5786" s="0" t="s">
        <v>2042</v>
      </c>
      <c r="C5786" s="0" t="s">
        <v>2349</v>
      </c>
      <c r="D5786" s="0" t="s">
        <v>2044</v>
      </c>
      <c r="E5786" s="0" t="s">
        <v>2045</v>
      </c>
      <c r="F5786" s="0" t="s">
        <v>2051</v>
      </c>
      <c r="G5786" s="0" t="s">
        <v>2074</v>
      </c>
      <c r="H5786" s="0" t="s">
        <v>2052</v>
      </c>
      <c r="I5786" s="0" t="s">
        <v>2322</v>
      </c>
      <c r="J5786" s="0" t="s">
        <v>2358</v>
      </c>
      <c r="K5786" s="272" t="n">
        <v>36994.995</v>
      </c>
    </row>
    <row r="5787" customFormat="false" ht="15" hidden="false" customHeight="false" outlineLevel="0" collapsed="false">
      <c r="A5787" s="0" t="s">
        <v>2041</v>
      </c>
      <c r="B5787" s="0" t="s">
        <v>2042</v>
      </c>
      <c r="C5787" s="0" t="s">
        <v>2352</v>
      </c>
      <c r="D5787" s="0" t="s">
        <v>2044</v>
      </c>
      <c r="E5787" s="0" t="s">
        <v>2045</v>
      </c>
      <c r="F5787" s="0" t="s">
        <v>2046</v>
      </c>
      <c r="G5787" s="0" t="s">
        <v>2075</v>
      </c>
      <c r="H5787" s="0" t="s">
        <v>2048</v>
      </c>
      <c r="I5787" s="0" t="s">
        <v>2322</v>
      </c>
      <c r="J5787" s="0" t="s">
        <v>2358</v>
      </c>
      <c r="K5787" s="272" t="n">
        <v>8499.2799</v>
      </c>
    </row>
    <row r="5788" customFormat="false" ht="15" hidden="false" customHeight="false" outlineLevel="0" collapsed="false">
      <c r="A5788" s="0" t="s">
        <v>2041</v>
      </c>
      <c r="B5788" s="0" t="s">
        <v>2042</v>
      </c>
      <c r="C5788" s="0" t="s">
        <v>2359</v>
      </c>
      <c r="D5788" s="0" t="s">
        <v>2044</v>
      </c>
      <c r="E5788" s="0" t="s">
        <v>2045</v>
      </c>
      <c r="F5788" s="0" t="s">
        <v>2046</v>
      </c>
      <c r="G5788" s="0" t="s">
        <v>2075</v>
      </c>
      <c r="H5788" s="0" t="s">
        <v>2048</v>
      </c>
      <c r="I5788" s="0" t="s">
        <v>2322</v>
      </c>
      <c r="J5788" s="0" t="s">
        <v>2358</v>
      </c>
      <c r="K5788" s="272" t="n">
        <v>165.7941</v>
      </c>
    </row>
    <row r="5789" customFormat="false" ht="15" hidden="false" customHeight="false" outlineLevel="0" collapsed="false">
      <c r="A5789" s="0" t="s">
        <v>2041</v>
      </c>
      <c r="B5789" s="0" t="s">
        <v>2042</v>
      </c>
      <c r="C5789" s="0" t="s">
        <v>2156</v>
      </c>
      <c r="D5789" s="0" t="s">
        <v>2044</v>
      </c>
      <c r="E5789" s="0" t="s">
        <v>2045</v>
      </c>
      <c r="F5789" s="0" t="s">
        <v>2046</v>
      </c>
      <c r="G5789" s="0" t="s">
        <v>2075</v>
      </c>
      <c r="H5789" s="0" t="s">
        <v>2048</v>
      </c>
      <c r="I5789" s="0" t="s">
        <v>2322</v>
      </c>
      <c r="J5789" s="0" t="s">
        <v>2358</v>
      </c>
      <c r="K5789" s="272" t="n">
        <v>20874.54</v>
      </c>
    </row>
    <row r="5790" customFormat="false" ht="15" hidden="false" customHeight="false" outlineLevel="0" collapsed="false">
      <c r="A5790" s="0" t="s">
        <v>2041</v>
      </c>
      <c r="B5790" s="0" t="s">
        <v>2042</v>
      </c>
      <c r="C5790" s="0" t="s">
        <v>2161</v>
      </c>
      <c r="D5790" s="0" t="s">
        <v>2044</v>
      </c>
      <c r="E5790" s="0" t="s">
        <v>2045</v>
      </c>
      <c r="F5790" s="0" t="s">
        <v>2046</v>
      </c>
      <c r="G5790" s="0" t="s">
        <v>2075</v>
      </c>
      <c r="H5790" s="0" t="s">
        <v>2048</v>
      </c>
      <c r="I5790" s="0" t="s">
        <v>2322</v>
      </c>
      <c r="J5790" s="0" t="s">
        <v>2358</v>
      </c>
      <c r="K5790" s="272" t="n">
        <v>6304.11</v>
      </c>
    </row>
    <row r="5791" customFormat="false" ht="15" hidden="false" customHeight="false" outlineLevel="0" collapsed="false">
      <c r="A5791" s="0" t="s">
        <v>2041</v>
      </c>
      <c r="B5791" s="0" t="s">
        <v>2042</v>
      </c>
      <c r="C5791" s="0" t="s">
        <v>2349</v>
      </c>
      <c r="D5791" s="0" t="s">
        <v>2044</v>
      </c>
      <c r="E5791" s="0" t="s">
        <v>2045</v>
      </c>
      <c r="F5791" s="0" t="s">
        <v>2046</v>
      </c>
      <c r="G5791" s="0" t="s">
        <v>2075</v>
      </c>
      <c r="H5791" s="0" t="s">
        <v>2048</v>
      </c>
      <c r="I5791" s="0" t="s">
        <v>2322</v>
      </c>
      <c r="J5791" s="0" t="s">
        <v>2358</v>
      </c>
      <c r="K5791" s="272" t="n">
        <v>2498.6097</v>
      </c>
    </row>
    <row r="5792" customFormat="false" ht="15" hidden="false" customHeight="false" outlineLevel="0" collapsed="false">
      <c r="A5792" s="0" t="s">
        <v>2041</v>
      </c>
      <c r="B5792" s="0" t="s">
        <v>2042</v>
      </c>
      <c r="C5792" s="0" t="s">
        <v>2352</v>
      </c>
      <c r="D5792" s="0" t="s">
        <v>2044</v>
      </c>
      <c r="E5792" s="0" t="s">
        <v>2045</v>
      </c>
      <c r="F5792" s="0" t="s">
        <v>2051</v>
      </c>
      <c r="G5792" s="0" t="s">
        <v>2075</v>
      </c>
      <c r="H5792" s="0" t="s">
        <v>2052</v>
      </c>
      <c r="I5792" s="0" t="s">
        <v>2322</v>
      </c>
      <c r="J5792" s="0" t="s">
        <v>2358</v>
      </c>
      <c r="K5792" s="272" t="n">
        <v>274810.0501</v>
      </c>
    </row>
    <row r="5793" customFormat="false" ht="15" hidden="false" customHeight="false" outlineLevel="0" collapsed="false">
      <c r="A5793" s="0" t="s">
        <v>2041</v>
      </c>
      <c r="B5793" s="0" t="s">
        <v>2042</v>
      </c>
      <c r="C5793" s="0" t="s">
        <v>2359</v>
      </c>
      <c r="D5793" s="0" t="s">
        <v>2044</v>
      </c>
      <c r="E5793" s="0" t="s">
        <v>2045</v>
      </c>
      <c r="F5793" s="0" t="s">
        <v>2051</v>
      </c>
      <c r="G5793" s="0" t="s">
        <v>2075</v>
      </c>
      <c r="H5793" s="0" t="s">
        <v>2052</v>
      </c>
      <c r="I5793" s="0" t="s">
        <v>2322</v>
      </c>
      <c r="J5793" s="0" t="s">
        <v>2358</v>
      </c>
      <c r="K5793" s="272" t="n">
        <v>5360.6759</v>
      </c>
    </row>
    <row r="5794" customFormat="false" ht="15" hidden="false" customHeight="false" outlineLevel="0" collapsed="false">
      <c r="A5794" s="0" t="s">
        <v>2041</v>
      </c>
      <c r="B5794" s="0" t="s">
        <v>2042</v>
      </c>
      <c r="C5794" s="0" t="s">
        <v>2156</v>
      </c>
      <c r="D5794" s="0" t="s">
        <v>2044</v>
      </c>
      <c r="E5794" s="0" t="s">
        <v>2045</v>
      </c>
      <c r="F5794" s="0" t="s">
        <v>2051</v>
      </c>
      <c r="G5794" s="0" t="s">
        <v>2075</v>
      </c>
      <c r="H5794" s="0" t="s">
        <v>2052</v>
      </c>
      <c r="I5794" s="0" t="s">
        <v>2322</v>
      </c>
      <c r="J5794" s="0" t="s">
        <v>2358</v>
      </c>
      <c r="K5794" s="272" t="n">
        <v>674943.46</v>
      </c>
    </row>
    <row r="5795" customFormat="false" ht="15" hidden="false" customHeight="false" outlineLevel="0" collapsed="false">
      <c r="A5795" s="0" t="s">
        <v>2041</v>
      </c>
      <c r="B5795" s="0" t="s">
        <v>2042</v>
      </c>
      <c r="C5795" s="0" t="s">
        <v>2161</v>
      </c>
      <c r="D5795" s="0" t="s">
        <v>2044</v>
      </c>
      <c r="E5795" s="0" t="s">
        <v>2045</v>
      </c>
      <c r="F5795" s="0" t="s">
        <v>2051</v>
      </c>
      <c r="G5795" s="0" t="s">
        <v>2075</v>
      </c>
      <c r="H5795" s="0" t="s">
        <v>2052</v>
      </c>
      <c r="I5795" s="0" t="s">
        <v>2322</v>
      </c>
      <c r="J5795" s="0" t="s">
        <v>2358</v>
      </c>
      <c r="K5795" s="272" t="n">
        <v>203832.89</v>
      </c>
    </row>
    <row r="5796" customFormat="false" ht="15" hidden="false" customHeight="false" outlineLevel="0" collapsed="false">
      <c r="A5796" s="0" t="s">
        <v>2041</v>
      </c>
      <c r="B5796" s="0" t="s">
        <v>2042</v>
      </c>
      <c r="C5796" s="0" t="s">
        <v>2349</v>
      </c>
      <c r="D5796" s="0" t="s">
        <v>2044</v>
      </c>
      <c r="E5796" s="0" t="s">
        <v>2045</v>
      </c>
      <c r="F5796" s="0" t="s">
        <v>2051</v>
      </c>
      <c r="G5796" s="0" t="s">
        <v>2075</v>
      </c>
      <c r="H5796" s="0" t="s">
        <v>2052</v>
      </c>
      <c r="I5796" s="0" t="s">
        <v>2322</v>
      </c>
      <c r="J5796" s="0" t="s">
        <v>2358</v>
      </c>
      <c r="K5796" s="272" t="n">
        <v>80788.3803</v>
      </c>
    </row>
    <row r="5797" customFormat="false" ht="15" hidden="false" customHeight="false" outlineLevel="0" collapsed="false">
      <c r="A5797" s="0" t="s">
        <v>2041</v>
      </c>
      <c r="B5797" s="0" t="s">
        <v>2042</v>
      </c>
      <c r="C5797" s="0" t="s">
        <v>2352</v>
      </c>
      <c r="D5797" s="0" t="s">
        <v>2044</v>
      </c>
      <c r="E5797" s="0" t="s">
        <v>2045</v>
      </c>
      <c r="F5797" s="0" t="s">
        <v>2046</v>
      </c>
      <c r="G5797" s="0" t="s">
        <v>2076</v>
      </c>
      <c r="H5797" s="0" t="s">
        <v>2048</v>
      </c>
      <c r="I5797" s="0" t="s">
        <v>2322</v>
      </c>
      <c r="J5797" s="0" t="s">
        <v>2358</v>
      </c>
      <c r="K5797" s="272" t="n">
        <v>376523.81</v>
      </c>
    </row>
    <row r="5798" customFormat="false" ht="15" hidden="false" customHeight="false" outlineLevel="0" collapsed="false">
      <c r="A5798" s="0" t="s">
        <v>2041</v>
      </c>
      <c r="B5798" s="0" t="s">
        <v>2042</v>
      </c>
      <c r="C5798" s="0" t="s">
        <v>2359</v>
      </c>
      <c r="D5798" s="0" t="s">
        <v>2044</v>
      </c>
      <c r="E5798" s="0" t="s">
        <v>2045</v>
      </c>
      <c r="F5798" s="0" t="s">
        <v>2046</v>
      </c>
      <c r="G5798" s="0" t="s">
        <v>2076</v>
      </c>
      <c r="H5798" s="0" t="s">
        <v>2048</v>
      </c>
      <c r="I5798" s="0" t="s">
        <v>2322</v>
      </c>
      <c r="J5798" s="0" t="s">
        <v>2358</v>
      </c>
      <c r="K5798" s="272" t="n">
        <v>37289.6825</v>
      </c>
    </row>
    <row r="5799" customFormat="false" ht="15" hidden="false" customHeight="false" outlineLevel="0" collapsed="false">
      <c r="A5799" s="0" t="s">
        <v>2041</v>
      </c>
      <c r="B5799" s="0" t="s">
        <v>2042</v>
      </c>
      <c r="C5799" s="0" t="s">
        <v>2361</v>
      </c>
      <c r="D5799" s="0" t="s">
        <v>2044</v>
      </c>
      <c r="E5799" s="0" t="s">
        <v>2045</v>
      </c>
      <c r="F5799" s="0" t="s">
        <v>2046</v>
      </c>
      <c r="G5799" s="0" t="s">
        <v>2076</v>
      </c>
      <c r="H5799" s="0" t="s">
        <v>2048</v>
      </c>
      <c r="I5799" s="0" t="s">
        <v>2322</v>
      </c>
      <c r="J5799" s="0" t="s">
        <v>2358</v>
      </c>
      <c r="K5799" s="272" t="n">
        <v>31006.5</v>
      </c>
    </row>
    <row r="5800" customFormat="false" ht="15" hidden="false" customHeight="false" outlineLevel="0" collapsed="false">
      <c r="A5800" s="0" t="s">
        <v>2041</v>
      </c>
      <c r="B5800" s="0" t="s">
        <v>2042</v>
      </c>
      <c r="C5800" s="0" t="s">
        <v>2156</v>
      </c>
      <c r="D5800" s="0" t="s">
        <v>2044</v>
      </c>
      <c r="E5800" s="0" t="s">
        <v>2045</v>
      </c>
      <c r="F5800" s="0" t="s">
        <v>2046</v>
      </c>
      <c r="G5800" s="0" t="s">
        <v>2076</v>
      </c>
      <c r="H5800" s="0" t="s">
        <v>2048</v>
      </c>
      <c r="I5800" s="0" t="s">
        <v>2322</v>
      </c>
      <c r="J5800" s="0" t="s">
        <v>2358</v>
      </c>
      <c r="K5800" s="272" t="n">
        <v>1388987.85</v>
      </c>
    </row>
    <row r="5801" customFormat="false" ht="15" hidden="false" customHeight="false" outlineLevel="0" collapsed="false">
      <c r="A5801" s="0" t="s">
        <v>2041</v>
      </c>
      <c r="B5801" s="0" t="s">
        <v>2042</v>
      </c>
      <c r="C5801" s="0" t="s">
        <v>2161</v>
      </c>
      <c r="D5801" s="0" t="s">
        <v>2044</v>
      </c>
      <c r="E5801" s="0" t="s">
        <v>2045</v>
      </c>
      <c r="F5801" s="0" t="s">
        <v>2046</v>
      </c>
      <c r="G5801" s="0" t="s">
        <v>2076</v>
      </c>
      <c r="H5801" s="0" t="s">
        <v>2048</v>
      </c>
      <c r="I5801" s="0" t="s">
        <v>2322</v>
      </c>
      <c r="J5801" s="0" t="s">
        <v>2358</v>
      </c>
      <c r="K5801" s="272" t="n">
        <v>379635.286</v>
      </c>
    </row>
    <row r="5802" customFormat="false" ht="15" hidden="false" customHeight="false" outlineLevel="0" collapsed="false">
      <c r="A5802" s="0" t="s">
        <v>2041</v>
      </c>
      <c r="B5802" s="0" t="s">
        <v>2042</v>
      </c>
      <c r="C5802" s="0" t="s">
        <v>2349</v>
      </c>
      <c r="D5802" s="0" t="s">
        <v>2044</v>
      </c>
      <c r="E5802" s="0" t="s">
        <v>2045</v>
      </c>
      <c r="F5802" s="0" t="s">
        <v>2046</v>
      </c>
      <c r="G5802" s="0" t="s">
        <v>2076</v>
      </c>
      <c r="H5802" s="0" t="s">
        <v>2048</v>
      </c>
      <c r="I5802" s="0" t="s">
        <v>2322</v>
      </c>
      <c r="J5802" s="0" t="s">
        <v>2358</v>
      </c>
      <c r="K5802" s="272" t="n">
        <v>131769.205</v>
      </c>
    </row>
    <row r="5803" customFormat="false" ht="15" hidden="false" customHeight="false" outlineLevel="0" collapsed="false">
      <c r="A5803" s="0" t="s">
        <v>2041</v>
      </c>
      <c r="B5803" s="0" t="s">
        <v>2042</v>
      </c>
      <c r="C5803" s="0" t="s">
        <v>2352</v>
      </c>
      <c r="D5803" s="0" t="s">
        <v>2044</v>
      </c>
      <c r="E5803" s="0" t="s">
        <v>2045</v>
      </c>
      <c r="F5803" s="0" t="s">
        <v>2051</v>
      </c>
      <c r="G5803" s="0" t="s">
        <v>2076</v>
      </c>
      <c r="H5803" s="0" t="s">
        <v>2052</v>
      </c>
      <c r="I5803" s="0" t="s">
        <v>2322</v>
      </c>
      <c r="J5803" s="0" t="s">
        <v>2358</v>
      </c>
      <c r="K5803" s="272" t="n">
        <v>498000</v>
      </c>
    </row>
    <row r="5804" customFormat="false" ht="15" hidden="false" customHeight="false" outlineLevel="0" collapsed="false">
      <c r="A5804" s="0" t="s">
        <v>2041</v>
      </c>
      <c r="B5804" s="0" t="s">
        <v>2042</v>
      </c>
      <c r="C5804" s="0" t="s">
        <v>2359</v>
      </c>
      <c r="D5804" s="0" t="s">
        <v>2044</v>
      </c>
      <c r="E5804" s="0" t="s">
        <v>2045</v>
      </c>
      <c r="F5804" s="0" t="s">
        <v>2051</v>
      </c>
      <c r="G5804" s="0" t="s">
        <v>2076</v>
      </c>
      <c r="H5804" s="0" t="s">
        <v>2052</v>
      </c>
      <c r="I5804" s="0" t="s">
        <v>2322</v>
      </c>
      <c r="J5804" s="0" t="s">
        <v>2358</v>
      </c>
      <c r="K5804" s="272" t="n">
        <v>51672.9675</v>
      </c>
    </row>
    <row r="5805" customFormat="false" ht="15" hidden="false" customHeight="false" outlineLevel="0" collapsed="false">
      <c r="A5805" s="0" t="s">
        <v>2041</v>
      </c>
      <c r="B5805" s="0" t="s">
        <v>2042</v>
      </c>
      <c r="C5805" s="0" t="s">
        <v>2156</v>
      </c>
      <c r="D5805" s="0" t="s">
        <v>2044</v>
      </c>
      <c r="E5805" s="0" t="s">
        <v>2045</v>
      </c>
      <c r="F5805" s="0" t="s">
        <v>2051</v>
      </c>
      <c r="G5805" s="0" t="s">
        <v>2076</v>
      </c>
      <c r="H5805" s="0" t="s">
        <v>2052</v>
      </c>
      <c r="I5805" s="0" t="s">
        <v>2322</v>
      </c>
      <c r="J5805" s="0" t="s">
        <v>2358</v>
      </c>
      <c r="K5805" s="272" t="n">
        <v>2137899.15</v>
      </c>
    </row>
    <row r="5806" customFormat="false" ht="15" hidden="false" customHeight="false" outlineLevel="0" collapsed="false">
      <c r="A5806" s="0" t="s">
        <v>2041</v>
      </c>
      <c r="B5806" s="0" t="s">
        <v>2042</v>
      </c>
      <c r="C5806" s="0" t="s">
        <v>2161</v>
      </c>
      <c r="D5806" s="0" t="s">
        <v>2044</v>
      </c>
      <c r="E5806" s="0" t="s">
        <v>2045</v>
      </c>
      <c r="F5806" s="0" t="s">
        <v>2051</v>
      </c>
      <c r="G5806" s="0" t="s">
        <v>2076</v>
      </c>
      <c r="H5806" s="0" t="s">
        <v>2052</v>
      </c>
      <c r="I5806" s="0" t="s">
        <v>2322</v>
      </c>
      <c r="J5806" s="0" t="s">
        <v>2358</v>
      </c>
      <c r="K5806" s="272" t="n">
        <v>526128.420666667</v>
      </c>
    </row>
    <row r="5807" customFormat="false" ht="15" hidden="false" customHeight="false" outlineLevel="0" collapsed="false">
      <c r="A5807" s="0" t="s">
        <v>2041</v>
      </c>
      <c r="B5807" s="0" t="s">
        <v>2042</v>
      </c>
      <c r="C5807" s="0" t="s">
        <v>2349</v>
      </c>
      <c r="D5807" s="0" t="s">
        <v>2044</v>
      </c>
      <c r="E5807" s="0" t="s">
        <v>2045</v>
      </c>
      <c r="F5807" s="0" t="s">
        <v>2051</v>
      </c>
      <c r="G5807" s="0" t="s">
        <v>2076</v>
      </c>
      <c r="H5807" s="0" t="s">
        <v>2052</v>
      </c>
      <c r="I5807" s="0" t="s">
        <v>2322</v>
      </c>
      <c r="J5807" s="0" t="s">
        <v>2358</v>
      </c>
      <c r="K5807" s="272" t="n">
        <v>158301.948333333</v>
      </c>
    </row>
    <row r="5808" customFormat="false" ht="15" hidden="false" customHeight="false" outlineLevel="0" collapsed="false">
      <c r="A5808" s="0" t="s">
        <v>2041</v>
      </c>
      <c r="B5808" s="0" t="s">
        <v>2042</v>
      </c>
      <c r="C5808" s="0" t="s">
        <v>2352</v>
      </c>
      <c r="D5808" s="0" t="s">
        <v>2044</v>
      </c>
      <c r="E5808" s="0" t="s">
        <v>2045</v>
      </c>
      <c r="F5808" s="0" t="s">
        <v>2046</v>
      </c>
      <c r="G5808" s="0" t="s">
        <v>2077</v>
      </c>
      <c r="H5808" s="0" t="s">
        <v>2048</v>
      </c>
      <c r="I5808" s="0" t="s">
        <v>2322</v>
      </c>
      <c r="J5808" s="0" t="s">
        <v>2358</v>
      </c>
      <c r="K5808" s="272" t="n">
        <v>160200</v>
      </c>
    </row>
    <row r="5809" customFormat="false" ht="15" hidden="false" customHeight="false" outlineLevel="0" collapsed="false">
      <c r="A5809" s="0" t="s">
        <v>2041</v>
      </c>
      <c r="B5809" s="0" t="s">
        <v>2042</v>
      </c>
      <c r="C5809" s="0" t="s">
        <v>2156</v>
      </c>
      <c r="D5809" s="0" t="s">
        <v>2044</v>
      </c>
      <c r="E5809" s="0" t="s">
        <v>2045</v>
      </c>
      <c r="F5809" s="0" t="s">
        <v>2046</v>
      </c>
      <c r="G5809" s="0" t="s">
        <v>2077</v>
      </c>
      <c r="H5809" s="0" t="s">
        <v>2048</v>
      </c>
      <c r="I5809" s="0" t="s">
        <v>2322</v>
      </c>
      <c r="J5809" s="0" t="s">
        <v>2358</v>
      </c>
      <c r="K5809" s="272" t="n">
        <v>276354</v>
      </c>
    </row>
    <row r="5810" customFormat="false" ht="15" hidden="false" customHeight="false" outlineLevel="0" collapsed="false">
      <c r="A5810" s="0" t="s">
        <v>2041</v>
      </c>
      <c r="B5810" s="0" t="s">
        <v>2042</v>
      </c>
      <c r="C5810" s="0" t="s">
        <v>2161</v>
      </c>
      <c r="D5810" s="0" t="s">
        <v>2044</v>
      </c>
      <c r="E5810" s="0" t="s">
        <v>2045</v>
      </c>
      <c r="F5810" s="0" t="s">
        <v>2046</v>
      </c>
      <c r="G5810" s="0" t="s">
        <v>2077</v>
      </c>
      <c r="H5810" s="0" t="s">
        <v>2048</v>
      </c>
      <c r="I5810" s="0" t="s">
        <v>2322</v>
      </c>
      <c r="J5810" s="0" t="s">
        <v>2358</v>
      </c>
      <c r="K5810" s="272" t="n">
        <v>83458.91</v>
      </c>
    </row>
    <row r="5811" customFormat="false" ht="15" hidden="false" customHeight="false" outlineLevel="0" collapsed="false">
      <c r="A5811" s="0" t="s">
        <v>2041</v>
      </c>
      <c r="B5811" s="0" t="s">
        <v>2042</v>
      </c>
      <c r="C5811" s="0" t="s">
        <v>2349</v>
      </c>
      <c r="D5811" s="0" t="s">
        <v>2044</v>
      </c>
      <c r="E5811" s="0" t="s">
        <v>2045</v>
      </c>
      <c r="F5811" s="0" t="s">
        <v>2046</v>
      </c>
      <c r="G5811" s="0" t="s">
        <v>2077</v>
      </c>
      <c r="H5811" s="0" t="s">
        <v>2048</v>
      </c>
      <c r="I5811" s="0" t="s">
        <v>2322</v>
      </c>
      <c r="J5811" s="0" t="s">
        <v>2358</v>
      </c>
      <c r="K5811" s="272" t="n">
        <v>48380.398</v>
      </c>
    </row>
    <row r="5812" customFormat="false" ht="15" hidden="false" customHeight="false" outlineLevel="0" collapsed="false">
      <c r="A5812" s="0" t="s">
        <v>2041</v>
      </c>
      <c r="B5812" s="0" t="s">
        <v>2042</v>
      </c>
      <c r="C5812" s="0" t="s">
        <v>2352</v>
      </c>
      <c r="D5812" s="0" t="s">
        <v>2044</v>
      </c>
      <c r="E5812" s="0" t="s">
        <v>2045</v>
      </c>
      <c r="F5812" s="0" t="s">
        <v>2051</v>
      </c>
      <c r="G5812" s="0" t="s">
        <v>2077</v>
      </c>
      <c r="H5812" s="0" t="s">
        <v>2052</v>
      </c>
      <c r="I5812" s="0" t="s">
        <v>2322</v>
      </c>
      <c r="J5812" s="0" t="s">
        <v>2358</v>
      </c>
      <c r="K5812" s="272" t="n">
        <v>17800</v>
      </c>
    </row>
    <row r="5813" customFormat="false" ht="15" hidden="false" customHeight="false" outlineLevel="0" collapsed="false">
      <c r="A5813" s="0" t="s">
        <v>2041</v>
      </c>
      <c r="B5813" s="0" t="s">
        <v>2042</v>
      </c>
      <c r="C5813" s="0" t="s">
        <v>2156</v>
      </c>
      <c r="D5813" s="0" t="s">
        <v>2044</v>
      </c>
      <c r="E5813" s="0" t="s">
        <v>2045</v>
      </c>
      <c r="F5813" s="0" t="s">
        <v>2051</v>
      </c>
      <c r="G5813" s="0" t="s">
        <v>2077</v>
      </c>
      <c r="H5813" s="0" t="s">
        <v>2052</v>
      </c>
      <c r="I5813" s="0" t="s">
        <v>2322</v>
      </c>
      <c r="J5813" s="0" t="s">
        <v>2358</v>
      </c>
      <c r="K5813" s="272" t="n">
        <v>30706</v>
      </c>
    </row>
    <row r="5814" customFormat="false" ht="15" hidden="false" customHeight="false" outlineLevel="0" collapsed="false">
      <c r="A5814" s="0" t="s">
        <v>2041</v>
      </c>
      <c r="B5814" s="0" t="s">
        <v>2042</v>
      </c>
      <c r="C5814" s="0" t="s">
        <v>2161</v>
      </c>
      <c r="D5814" s="0" t="s">
        <v>2044</v>
      </c>
      <c r="E5814" s="0" t="s">
        <v>2045</v>
      </c>
      <c r="F5814" s="0" t="s">
        <v>2051</v>
      </c>
      <c r="G5814" s="0" t="s">
        <v>2077</v>
      </c>
      <c r="H5814" s="0" t="s">
        <v>2052</v>
      </c>
      <c r="I5814" s="0" t="s">
        <v>2322</v>
      </c>
      <c r="J5814" s="0" t="s">
        <v>2358</v>
      </c>
      <c r="K5814" s="272" t="n">
        <v>9273.21222222222</v>
      </c>
    </row>
    <row r="5815" customFormat="false" ht="15" hidden="false" customHeight="false" outlineLevel="0" collapsed="false">
      <c r="A5815" s="0" t="s">
        <v>2041</v>
      </c>
      <c r="B5815" s="0" t="s">
        <v>2042</v>
      </c>
      <c r="C5815" s="0" t="s">
        <v>2349</v>
      </c>
      <c r="D5815" s="0" t="s">
        <v>2044</v>
      </c>
      <c r="E5815" s="0" t="s">
        <v>2045</v>
      </c>
      <c r="F5815" s="0" t="s">
        <v>2051</v>
      </c>
      <c r="G5815" s="0" t="s">
        <v>2077</v>
      </c>
      <c r="H5815" s="0" t="s">
        <v>2052</v>
      </c>
      <c r="I5815" s="0" t="s">
        <v>2322</v>
      </c>
      <c r="J5815" s="0" t="s">
        <v>2358</v>
      </c>
      <c r="K5815" s="272" t="n">
        <v>5375.59977777778</v>
      </c>
    </row>
    <row r="5816" customFormat="false" ht="15" hidden="false" customHeight="false" outlineLevel="0" collapsed="false">
      <c r="A5816" s="0" t="s">
        <v>2041</v>
      </c>
      <c r="B5816" s="0" t="s">
        <v>2042</v>
      </c>
      <c r="C5816" s="0" t="s">
        <v>2352</v>
      </c>
      <c r="D5816" s="0" t="s">
        <v>2044</v>
      </c>
      <c r="E5816" s="0" t="s">
        <v>2045</v>
      </c>
      <c r="F5816" s="0" t="s">
        <v>2046</v>
      </c>
      <c r="G5816" s="0" t="s">
        <v>2078</v>
      </c>
      <c r="H5816" s="0" t="s">
        <v>2048</v>
      </c>
      <c r="I5816" s="0" t="s">
        <v>2322</v>
      </c>
      <c r="J5816" s="0" t="s">
        <v>2358</v>
      </c>
      <c r="K5816" s="272" t="n">
        <v>269378.577</v>
      </c>
    </row>
    <row r="5817" customFormat="false" ht="15" hidden="false" customHeight="false" outlineLevel="0" collapsed="false">
      <c r="A5817" s="0" t="s">
        <v>2041</v>
      </c>
      <c r="B5817" s="0" t="s">
        <v>2042</v>
      </c>
      <c r="C5817" s="0" t="s">
        <v>2359</v>
      </c>
      <c r="D5817" s="0" t="s">
        <v>2044</v>
      </c>
      <c r="E5817" s="0" t="s">
        <v>2045</v>
      </c>
      <c r="F5817" s="0" t="s">
        <v>2046</v>
      </c>
      <c r="G5817" s="0" t="s">
        <v>2078</v>
      </c>
      <c r="H5817" s="0" t="s">
        <v>2048</v>
      </c>
      <c r="I5817" s="0" t="s">
        <v>2322</v>
      </c>
      <c r="J5817" s="0" t="s">
        <v>2358</v>
      </c>
      <c r="K5817" s="272" t="n">
        <v>45490.437</v>
      </c>
    </row>
    <row r="5818" customFormat="false" ht="15" hidden="false" customHeight="false" outlineLevel="0" collapsed="false">
      <c r="A5818" s="0" t="s">
        <v>2041</v>
      </c>
      <c r="B5818" s="0" t="s">
        <v>2042</v>
      </c>
      <c r="C5818" s="0" t="s">
        <v>2361</v>
      </c>
      <c r="D5818" s="0" t="s">
        <v>2044</v>
      </c>
      <c r="E5818" s="0" t="s">
        <v>2045</v>
      </c>
      <c r="F5818" s="0" t="s">
        <v>2046</v>
      </c>
      <c r="G5818" s="0" t="s">
        <v>2078</v>
      </c>
      <c r="H5818" s="0" t="s">
        <v>2048</v>
      </c>
      <c r="I5818" s="0" t="s">
        <v>2322</v>
      </c>
      <c r="J5818" s="0" t="s">
        <v>2358</v>
      </c>
      <c r="K5818" s="272" t="n">
        <v>2754.198</v>
      </c>
    </row>
    <row r="5819" customFormat="false" ht="15" hidden="false" customHeight="false" outlineLevel="0" collapsed="false">
      <c r="A5819" s="0" t="s">
        <v>2041</v>
      </c>
      <c r="B5819" s="0" t="s">
        <v>2042</v>
      </c>
      <c r="C5819" s="0" t="s">
        <v>2156</v>
      </c>
      <c r="D5819" s="0" t="s">
        <v>2044</v>
      </c>
      <c r="E5819" s="0" t="s">
        <v>2045</v>
      </c>
      <c r="F5819" s="0" t="s">
        <v>2046</v>
      </c>
      <c r="G5819" s="0" t="s">
        <v>2078</v>
      </c>
      <c r="H5819" s="0" t="s">
        <v>2048</v>
      </c>
      <c r="I5819" s="0" t="s">
        <v>2322</v>
      </c>
      <c r="J5819" s="0" t="s">
        <v>2358</v>
      </c>
      <c r="K5819" s="272" t="n">
        <v>592872.93</v>
      </c>
    </row>
    <row r="5820" customFormat="false" ht="15" hidden="false" customHeight="false" outlineLevel="0" collapsed="false">
      <c r="A5820" s="0" t="s">
        <v>2041</v>
      </c>
      <c r="B5820" s="0" t="s">
        <v>2042</v>
      </c>
      <c r="C5820" s="0" t="s">
        <v>2161</v>
      </c>
      <c r="D5820" s="0" t="s">
        <v>2044</v>
      </c>
      <c r="E5820" s="0" t="s">
        <v>2045</v>
      </c>
      <c r="F5820" s="0" t="s">
        <v>2046</v>
      </c>
      <c r="G5820" s="0" t="s">
        <v>2078</v>
      </c>
      <c r="H5820" s="0" t="s">
        <v>2048</v>
      </c>
      <c r="I5820" s="0" t="s">
        <v>2322</v>
      </c>
      <c r="J5820" s="0" t="s">
        <v>2358</v>
      </c>
      <c r="K5820" s="272" t="n">
        <v>179047.62</v>
      </c>
    </row>
    <row r="5821" customFormat="false" ht="15" hidden="false" customHeight="false" outlineLevel="0" collapsed="false">
      <c r="A5821" s="0" t="s">
        <v>2041</v>
      </c>
      <c r="B5821" s="0" t="s">
        <v>2042</v>
      </c>
      <c r="C5821" s="0" t="s">
        <v>2349</v>
      </c>
      <c r="D5821" s="0" t="s">
        <v>2044</v>
      </c>
      <c r="E5821" s="0" t="s">
        <v>2045</v>
      </c>
      <c r="F5821" s="0" t="s">
        <v>2046</v>
      </c>
      <c r="G5821" s="0" t="s">
        <v>2078</v>
      </c>
      <c r="H5821" s="0" t="s">
        <v>2048</v>
      </c>
      <c r="I5821" s="0" t="s">
        <v>2322</v>
      </c>
      <c r="J5821" s="0" t="s">
        <v>2358</v>
      </c>
      <c r="K5821" s="272" t="n">
        <v>95922.207</v>
      </c>
    </row>
    <row r="5822" customFormat="false" ht="15" hidden="false" customHeight="false" outlineLevel="0" collapsed="false">
      <c r="A5822" s="0" t="s">
        <v>2041</v>
      </c>
      <c r="B5822" s="0" t="s">
        <v>2042</v>
      </c>
      <c r="C5822" s="0" t="s">
        <v>2352</v>
      </c>
      <c r="D5822" s="0" t="s">
        <v>2044</v>
      </c>
      <c r="E5822" s="0" t="s">
        <v>2045</v>
      </c>
      <c r="F5822" s="0" t="s">
        <v>2051</v>
      </c>
      <c r="G5822" s="0" t="s">
        <v>2078</v>
      </c>
      <c r="H5822" s="0" t="s">
        <v>2052</v>
      </c>
      <c r="I5822" s="0" t="s">
        <v>2322</v>
      </c>
      <c r="J5822" s="0" t="s">
        <v>2358</v>
      </c>
      <c r="K5822" s="272" t="n">
        <v>29930.953</v>
      </c>
    </row>
    <row r="5823" customFormat="false" ht="15" hidden="false" customHeight="false" outlineLevel="0" collapsed="false">
      <c r="A5823" s="0" t="s">
        <v>2041</v>
      </c>
      <c r="B5823" s="0" t="s">
        <v>2042</v>
      </c>
      <c r="C5823" s="0" t="s">
        <v>2359</v>
      </c>
      <c r="D5823" s="0" t="s">
        <v>2044</v>
      </c>
      <c r="E5823" s="0" t="s">
        <v>2045</v>
      </c>
      <c r="F5823" s="0" t="s">
        <v>2051</v>
      </c>
      <c r="G5823" s="0" t="s">
        <v>2078</v>
      </c>
      <c r="H5823" s="0" t="s">
        <v>2052</v>
      </c>
      <c r="I5823" s="0" t="s">
        <v>2322</v>
      </c>
      <c r="J5823" s="0" t="s">
        <v>2358</v>
      </c>
      <c r="K5823" s="272" t="n">
        <v>5054.493</v>
      </c>
    </row>
    <row r="5824" customFormat="false" ht="15" hidden="false" customHeight="false" outlineLevel="0" collapsed="false">
      <c r="A5824" s="0" t="s">
        <v>2041</v>
      </c>
      <c r="B5824" s="0" t="s">
        <v>2042</v>
      </c>
      <c r="C5824" s="0" t="s">
        <v>2361</v>
      </c>
      <c r="D5824" s="0" t="s">
        <v>2044</v>
      </c>
      <c r="E5824" s="0" t="s">
        <v>2045</v>
      </c>
      <c r="F5824" s="0" t="s">
        <v>2051</v>
      </c>
      <c r="G5824" s="0" t="s">
        <v>2078</v>
      </c>
      <c r="H5824" s="0" t="s">
        <v>2052</v>
      </c>
      <c r="I5824" s="0" t="s">
        <v>2322</v>
      </c>
      <c r="J5824" s="0" t="s">
        <v>2358</v>
      </c>
      <c r="K5824" s="272" t="n">
        <v>306.022</v>
      </c>
    </row>
    <row r="5825" customFormat="false" ht="15" hidden="false" customHeight="false" outlineLevel="0" collapsed="false">
      <c r="A5825" s="0" t="s">
        <v>2041</v>
      </c>
      <c r="B5825" s="0" t="s">
        <v>2042</v>
      </c>
      <c r="C5825" s="0" t="s">
        <v>2156</v>
      </c>
      <c r="D5825" s="0" t="s">
        <v>2044</v>
      </c>
      <c r="E5825" s="0" t="s">
        <v>2045</v>
      </c>
      <c r="F5825" s="0" t="s">
        <v>2051</v>
      </c>
      <c r="G5825" s="0" t="s">
        <v>2078</v>
      </c>
      <c r="H5825" s="0" t="s">
        <v>2052</v>
      </c>
      <c r="I5825" s="0" t="s">
        <v>2322</v>
      </c>
      <c r="J5825" s="0" t="s">
        <v>2358</v>
      </c>
      <c r="K5825" s="272" t="n">
        <v>65874.77</v>
      </c>
    </row>
    <row r="5826" customFormat="false" ht="15" hidden="false" customHeight="false" outlineLevel="0" collapsed="false">
      <c r="A5826" s="0" t="s">
        <v>2041</v>
      </c>
      <c r="B5826" s="0" t="s">
        <v>2042</v>
      </c>
      <c r="C5826" s="0" t="s">
        <v>2161</v>
      </c>
      <c r="D5826" s="0" t="s">
        <v>2044</v>
      </c>
      <c r="E5826" s="0" t="s">
        <v>2045</v>
      </c>
      <c r="F5826" s="0" t="s">
        <v>2051</v>
      </c>
      <c r="G5826" s="0" t="s">
        <v>2078</v>
      </c>
      <c r="H5826" s="0" t="s">
        <v>2052</v>
      </c>
      <c r="I5826" s="0" t="s">
        <v>2322</v>
      </c>
      <c r="J5826" s="0" t="s">
        <v>2358</v>
      </c>
      <c r="K5826" s="272" t="n">
        <v>19894.18</v>
      </c>
    </row>
    <row r="5827" customFormat="false" ht="15" hidden="false" customHeight="false" outlineLevel="0" collapsed="false">
      <c r="A5827" s="0" t="s">
        <v>2041</v>
      </c>
      <c r="B5827" s="0" t="s">
        <v>2042</v>
      </c>
      <c r="C5827" s="0" t="s">
        <v>2349</v>
      </c>
      <c r="D5827" s="0" t="s">
        <v>2044</v>
      </c>
      <c r="E5827" s="0" t="s">
        <v>2045</v>
      </c>
      <c r="F5827" s="0" t="s">
        <v>2051</v>
      </c>
      <c r="G5827" s="0" t="s">
        <v>2078</v>
      </c>
      <c r="H5827" s="0" t="s">
        <v>2052</v>
      </c>
      <c r="I5827" s="0" t="s">
        <v>2322</v>
      </c>
      <c r="J5827" s="0" t="s">
        <v>2358</v>
      </c>
      <c r="K5827" s="272" t="n">
        <v>10658.023</v>
      </c>
    </row>
    <row r="5828" customFormat="false" ht="15" hidden="false" customHeight="false" outlineLevel="0" collapsed="false">
      <c r="A5828" s="0" t="s">
        <v>2041</v>
      </c>
      <c r="B5828" s="0" t="s">
        <v>2042</v>
      </c>
      <c r="C5828" s="0" t="s">
        <v>2352</v>
      </c>
      <c r="D5828" s="0" t="s">
        <v>2044</v>
      </c>
      <c r="E5828" s="0" t="s">
        <v>2045</v>
      </c>
      <c r="F5828" s="0" t="s">
        <v>2046</v>
      </c>
      <c r="G5828" s="0" t="s">
        <v>2079</v>
      </c>
      <c r="H5828" s="0" t="s">
        <v>2048</v>
      </c>
      <c r="I5828" s="0" t="s">
        <v>2322</v>
      </c>
      <c r="J5828" s="0" t="s">
        <v>2358</v>
      </c>
      <c r="K5828" s="272" t="n">
        <v>111500</v>
      </c>
    </row>
    <row r="5829" customFormat="false" ht="15" hidden="false" customHeight="false" outlineLevel="0" collapsed="false">
      <c r="A5829" s="0" t="s">
        <v>2041</v>
      </c>
      <c r="B5829" s="0" t="s">
        <v>2042</v>
      </c>
      <c r="C5829" s="0" t="s">
        <v>2359</v>
      </c>
      <c r="D5829" s="0" t="s">
        <v>2044</v>
      </c>
      <c r="E5829" s="0" t="s">
        <v>2045</v>
      </c>
      <c r="F5829" s="0" t="s">
        <v>2046</v>
      </c>
      <c r="G5829" s="0" t="s">
        <v>2079</v>
      </c>
      <c r="H5829" s="0" t="s">
        <v>2048</v>
      </c>
      <c r="I5829" s="0" t="s">
        <v>2322</v>
      </c>
      <c r="J5829" s="0" t="s">
        <v>2358</v>
      </c>
      <c r="K5829" s="272" t="n">
        <v>30282.44</v>
      </c>
    </row>
    <row r="5830" customFormat="false" ht="15" hidden="false" customHeight="false" outlineLevel="0" collapsed="false">
      <c r="A5830" s="0" t="s">
        <v>2041</v>
      </c>
      <c r="B5830" s="0" t="s">
        <v>2042</v>
      </c>
      <c r="C5830" s="0" t="s">
        <v>2156</v>
      </c>
      <c r="D5830" s="0" t="s">
        <v>2044</v>
      </c>
      <c r="E5830" s="0" t="s">
        <v>2045</v>
      </c>
      <c r="F5830" s="0" t="s">
        <v>2046</v>
      </c>
      <c r="G5830" s="0" t="s">
        <v>2079</v>
      </c>
      <c r="H5830" s="0" t="s">
        <v>2048</v>
      </c>
      <c r="I5830" s="0" t="s">
        <v>2322</v>
      </c>
      <c r="J5830" s="0" t="s">
        <v>2358</v>
      </c>
      <c r="K5830" s="272" t="n">
        <v>287880</v>
      </c>
    </row>
    <row r="5831" customFormat="false" ht="15" hidden="false" customHeight="false" outlineLevel="0" collapsed="false">
      <c r="A5831" s="0" t="s">
        <v>2041</v>
      </c>
      <c r="B5831" s="0" t="s">
        <v>2042</v>
      </c>
      <c r="C5831" s="0" t="s">
        <v>2161</v>
      </c>
      <c r="D5831" s="0" t="s">
        <v>2044</v>
      </c>
      <c r="E5831" s="0" t="s">
        <v>2045</v>
      </c>
      <c r="F5831" s="0" t="s">
        <v>2046</v>
      </c>
      <c r="G5831" s="0" t="s">
        <v>2079</v>
      </c>
      <c r="H5831" s="0" t="s">
        <v>2048</v>
      </c>
      <c r="I5831" s="0" t="s">
        <v>2322</v>
      </c>
      <c r="J5831" s="0" t="s">
        <v>2358</v>
      </c>
      <c r="K5831" s="272" t="n">
        <v>86939.76</v>
      </c>
    </row>
    <row r="5832" customFormat="false" ht="15" hidden="false" customHeight="false" outlineLevel="0" collapsed="false">
      <c r="A5832" s="0" t="s">
        <v>2041</v>
      </c>
      <c r="B5832" s="0" t="s">
        <v>2042</v>
      </c>
      <c r="C5832" s="0" t="s">
        <v>2349</v>
      </c>
      <c r="D5832" s="0" t="s">
        <v>2044</v>
      </c>
      <c r="E5832" s="0" t="s">
        <v>2045</v>
      </c>
      <c r="F5832" s="0" t="s">
        <v>2046</v>
      </c>
      <c r="G5832" s="0" t="s">
        <v>2079</v>
      </c>
      <c r="H5832" s="0" t="s">
        <v>2048</v>
      </c>
      <c r="I5832" s="0" t="s">
        <v>2322</v>
      </c>
      <c r="J5832" s="0" t="s">
        <v>2358</v>
      </c>
      <c r="K5832" s="272" t="n">
        <v>42818.3</v>
      </c>
    </row>
    <row r="5833" customFormat="false" ht="15" hidden="false" customHeight="false" outlineLevel="0" collapsed="false">
      <c r="A5833" s="0" t="s">
        <v>2041</v>
      </c>
      <c r="B5833" s="0" t="s">
        <v>2042</v>
      </c>
      <c r="C5833" s="0" t="s">
        <v>2352</v>
      </c>
      <c r="D5833" s="0" t="s">
        <v>2044</v>
      </c>
      <c r="E5833" s="0" t="s">
        <v>2045</v>
      </c>
      <c r="F5833" s="0" t="s">
        <v>2046</v>
      </c>
      <c r="G5833" s="0" t="s">
        <v>2080</v>
      </c>
      <c r="H5833" s="0" t="s">
        <v>2048</v>
      </c>
      <c r="I5833" s="0" t="s">
        <v>2322</v>
      </c>
      <c r="J5833" s="0" t="s">
        <v>2358</v>
      </c>
      <c r="K5833" s="272" t="n">
        <v>339392.85</v>
      </c>
    </row>
    <row r="5834" customFormat="false" ht="15" hidden="false" customHeight="false" outlineLevel="0" collapsed="false">
      <c r="A5834" s="0" t="s">
        <v>2041</v>
      </c>
      <c r="B5834" s="0" t="s">
        <v>2042</v>
      </c>
      <c r="C5834" s="0" t="s">
        <v>2359</v>
      </c>
      <c r="D5834" s="0" t="s">
        <v>2044</v>
      </c>
      <c r="E5834" s="0" t="s">
        <v>2045</v>
      </c>
      <c r="F5834" s="0" t="s">
        <v>2046</v>
      </c>
      <c r="G5834" s="0" t="s">
        <v>2080</v>
      </c>
      <c r="H5834" s="0" t="s">
        <v>2048</v>
      </c>
      <c r="I5834" s="0" t="s">
        <v>2322</v>
      </c>
      <c r="J5834" s="0" t="s">
        <v>2358</v>
      </c>
      <c r="K5834" s="272" t="n">
        <v>39223.1</v>
      </c>
    </row>
    <row r="5835" customFormat="false" ht="15" hidden="false" customHeight="false" outlineLevel="0" collapsed="false">
      <c r="A5835" s="0" t="s">
        <v>2041</v>
      </c>
      <c r="B5835" s="0" t="s">
        <v>2042</v>
      </c>
      <c r="C5835" s="0" t="s">
        <v>2156</v>
      </c>
      <c r="D5835" s="0" t="s">
        <v>2044</v>
      </c>
      <c r="E5835" s="0" t="s">
        <v>2045</v>
      </c>
      <c r="F5835" s="0" t="s">
        <v>2046</v>
      </c>
      <c r="G5835" s="0" t="s">
        <v>2080</v>
      </c>
      <c r="H5835" s="0" t="s">
        <v>2048</v>
      </c>
      <c r="I5835" s="0" t="s">
        <v>2322</v>
      </c>
      <c r="J5835" s="0" t="s">
        <v>2358</v>
      </c>
      <c r="K5835" s="272" t="n">
        <v>449405.75</v>
      </c>
    </row>
    <row r="5836" customFormat="false" ht="15" hidden="false" customHeight="false" outlineLevel="0" collapsed="false">
      <c r="A5836" s="0" t="s">
        <v>2041</v>
      </c>
      <c r="B5836" s="0" t="s">
        <v>2042</v>
      </c>
      <c r="C5836" s="0" t="s">
        <v>2360</v>
      </c>
      <c r="D5836" s="0" t="s">
        <v>2044</v>
      </c>
      <c r="E5836" s="0" t="s">
        <v>2045</v>
      </c>
      <c r="F5836" s="0" t="s">
        <v>2046</v>
      </c>
      <c r="G5836" s="0" t="s">
        <v>2080</v>
      </c>
      <c r="H5836" s="0" t="s">
        <v>2048</v>
      </c>
      <c r="I5836" s="0" t="s">
        <v>2322</v>
      </c>
      <c r="J5836" s="0" t="s">
        <v>2358</v>
      </c>
      <c r="K5836" s="272" t="n">
        <v>92000</v>
      </c>
    </row>
    <row r="5837" customFormat="false" ht="15" hidden="false" customHeight="false" outlineLevel="0" collapsed="false">
      <c r="A5837" s="0" t="s">
        <v>2041</v>
      </c>
      <c r="B5837" s="0" t="s">
        <v>2042</v>
      </c>
      <c r="C5837" s="0" t="s">
        <v>2161</v>
      </c>
      <c r="D5837" s="0" t="s">
        <v>2044</v>
      </c>
      <c r="E5837" s="0" t="s">
        <v>2045</v>
      </c>
      <c r="F5837" s="0" t="s">
        <v>2046</v>
      </c>
      <c r="G5837" s="0" t="s">
        <v>2080</v>
      </c>
      <c r="H5837" s="0" t="s">
        <v>2048</v>
      </c>
      <c r="I5837" s="0" t="s">
        <v>2322</v>
      </c>
      <c r="J5837" s="0" t="s">
        <v>2358</v>
      </c>
      <c r="K5837" s="272" t="n">
        <v>135720.53</v>
      </c>
    </row>
    <row r="5838" customFormat="false" ht="15" hidden="false" customHeight="false" outlineLevel="0" collapsed="false">
      <c r="A5838" s="0" t="s">
        <v>2041</v>
      </c>
      <c r="B5838" s="0" t="s">
        <v>2042</v>
      </c>
      <c r="C5838" s="0" t="s">
        <v>2349</v>
      </c>
      <c r="D5838" s="0" t="s">
        <v>2044</v>
      </c>
      <c r="E5838" s="0" t="s">
        <v>2045</v>
      </c>
      <c r="F5838" s="0" t="s">
        <v>2046</v>
      </c>
      <c r="G5838" s="0" t="s">
        <v>2080</v>
      </c>
      <c r="H5838" s="0" t="s">
        <v>2048</v>
      </c>
      <c r="I5838" s="0" t="s">
        <v>2322</v>
      </c>
      <c r="J5838" s="0" t="s">
        <v>2358</v>
      </c>
      <c r="K5838" s="272" t="n">
        <v>142126.0325</v>
      </c>
    </row>
    <row r="5839" customFormat="false" ht="15" hidden="false" customHeight="false" outlineLevel="0" collapsed="false">
      <c r="A5839" s="0" t="s">
        <v>2041</v>
      </c>
      <c r="B5839" s="0" t="s">
        <v>2042</v>
      </c>
      <c r="C5839" s="0" t="s">
        <v>2352</v>
      </c>
      <c r="D5839" s="0" t="s">
        <v>2044</v>
      </c>
      <c r="E5839" s="0" t="s">
        <v>2045</v>
      </c>
      <c r="F5839" s="0" t="s">
        <v>2051</v>
      </c>
      <c r="G5839" s="0" t="s">
        <v>2080</v>
      </c>
      <c r="H5839" s="0" t="s">
        <v>2052</v>
      </c>
      <c r="I5839" s="0" t="s">
        <v>2322</v>
      </c>
      <c r="J5839" s="0" t="s">
        <v>2358</v>
      </c>
      <c r="K5839" s="272" t="n">
        <v>12750</v>
      </c>
    </row>
    <row r="5840" customFormat="false" ht="15" hidden="false" customHeight="false" outlineLevel="0" collapsed="false">
      <c r="A5840" s="0" t="s">
        <v>2041</v>
      </c>
      <c r="B5840" s="0" t="s">
        <v>2042</v>
      </c>
      <c r="C5840" s="0" t="s">
        <v>2156</v>
      </c>
      <c r="D5840" s="0" t="s">
        <v>2044</v>
      </c>
      <c r="E5840" s="0" t="s">
        <v>2045</v>
      </c>
      <c r="F5840" s="0" t="s">
        <v>2051</v>
      </c>
      <c r="G5840" s="0" t="s">
        <v>2080</v>
      </c>
      <c r="H5840" s="0" t="s">
        <v>2052</v>
      </c>
      <c r="I5840" s="0" t="s">
        <v>2322</v>
      </c>
      <c r="J5840" s="0" t="s">
        <v>2358</v>
      </c>
      <c r="K5840" s="272" t="n">
        <v>17876.25</v>
      </c>
    </row>
    <row r="5841" customFormat="false" ht="15" hidden="false" customHeight="false" outlineLevel="0" collapsed="false">
      <c r="A5841" s="0" t="s">
        <v>2041</v>
      </c>
      <c r="B5841" s="0" t="s">
        <v>2042</v>
      </c>
      <c r="C5841" s="0" t="s">
        <v>2161</v>
      </c>
      <c r="D5841" s="0" t="s">
        <v>2044</v>
      </c>
      <c r="E5841" s="0" t="s">
        <v>2045</v>
      </c>
      <c r="F5841" s="0" t="s">
        <v>2051</v>
      </c>
      <c r="G5841" s="0" t="s">
        <v>2080</v>
      </c>
      <c r="H5841" s="0" t="s">
        <v>2052</v>
      </c>
      <c r="I5841" s="0" t="s">
        <v>2322</v>
      </c>
      <c r="J5841" s="0" t="s">
        <v>2358</v>
      </c>
      <c r="K5841" s="272" t="n">
        <v>5398.62736842105</v>
      </c>
    </row>
    <row r="5842" customFormat="false" ht="15" hidden="false" customHeight="false" outlineLevel="0" collapsed="false">
      <c r="A5842" s="0" t="s">
        <v>2041</v>
      </c>
      <c r="B5842" s="0" t="s">
        <v>2042</v>
      </c>
      <c r="C5842" s="0" t="s">
        <v>2349</v>
      </c>
      <c r="D5842" s="0" t="s">
        <v>2044</v>
      </c>
      <c r="E5842" s="0" t="s">
        <v>2045</v>
      </c>
      <c r="F5842" s="0" t="s">
        <v>2051</v>
      </c>
      <c r="G5842" s="0" t="s">
        <v>2080</v>
      </c>
      <c r="H5842" s="0" t="s">
        <v>2052</v>
      </c>
      <c r="I5842" s="0" t="s">
        <v>2322</v>
      </c>
      <c r="J5842" s="0" t="s">
        <v>2358</v>
      </c>
      <c r="K5842" s="272" t="n">
        <v>3850.50013157895</v>
      </c>
    </row>
    <row r="5843" customFormat="false" ht="15" hidden="false" customHeight="false" outlineLevel="0" collapsed="false">
      <c r="A5843" s="0" t="s">
        <v>2041</v>
      </c>
      <c r="B5843" s="0" t="s">
        <v>2042</v>
      </c>
      <c r="C5843" s="0" t="s">
        <v>2352</v>
      </c>
      <c r="D5843" s="0" t="s">
        <v>2044</v>
      </c>
      <c r="E5843" s="0" t="s">
        <v>2045</v>
      </c>
      <c r="F5843" s="0" t="s">
        <v>2046</v>
      </c>
      <c r="G5843" s="0" t="s">
        <v>2081</v>
      </c>
      <c r="H5843" s="0" t="s">
        <v>2048</v>
      </c>
      <c r="I5843" s="0" t="s">
        <v>2322</v>
      </c>
      <c r="J5843" s="0" t="s">
        <v>2358</v>
      </c>
      <c r="K5843" s="272" t="n">
        <v>952833.333</v>
      </c>
    </row>
    <row r="5844" customFormat="false" ht="15" hidden="false" customHeight="false" outlineLevel="0" collapsed="false">
      <c r="A5844" s="0" t="s">
        <v>2041</v>
      </c>
      <c r="B5844" s="0" t="s">
        <v>2042</v>
      </c>
      <c r="C5844" s="0" t="s">
        <v>2359</v>
      </c>
      <c r="D5844" s="0" t="s">
        <v>2044</v>
      </c>
      <c r="E5844" s="0" t="s">
        <v>2045</v>
      </c>
      <c r="F5844" s="0" t="s">
        <v>2046</v>
      </c>
      <c r="G5844" s="0" t="s">
        <v>2081</v>
      </c>
      <c r="H5844" s="0" t="s">
        <v>2048</v>
      </c>
      <c r="I5844" s="0" t="s">
        <v>2322</v>
      </c>
      <c r="J5844" s="0" t="s">
        <v>2358</v>
      </c>
      <c r="K5844" s="272" t="n">
        <v>124992.158</v>
      </c>
    </row>
    <row r="5845" customFormat="false" ht="15" hidden="false" customHeight="false" outlineLevel="0" collapsed="false">
      <c r="A5845" s="0" t="s">
        <v>2041</v>
      </c>
      <c r="B5845" s="0" t="s">
        <v>2042</v>
      </c>
      <c r="C5845" s="0" t="s">
        <v>2361</v>
      </c>
      <c r="D5845" s="0" t="s">
        <v>2044</v>
      </c>
      <c r="E5845" s="0" t="s">
        <v>2045</v>
      </c>
      <c r="F5845" s="0" t="s">
        <v>2046</v>
      </c>
      <c r="G5845" s="0" t="s">
        <v>2081</v>
      </c>
      <c r="H5845" s="0" t="s">
        <v>2048</v>
      </c>
      <c r="I5845" s="0" t="s">
        <v>2322</v>
      </c>
      <c r="J5845" s="0" t="s">
        <v>2358</v>
      </c>
      <c r="K5845" s="272" t="n">
        <v>158836.604</v>
      </c>
    </row>
    <row r="5846" customFormat="false" ht="15" hidden="false" customHeight="false" outlineLevel="0" collapsed="false">
      <c r="A5846" s="0" t="s">
        <v>2041</v>
      </c>
      <c r="B5846" s="0" t="s">
        <v>2042</v>
      </c>
      <c r="C5846" s="0" t="s">
        <v>2156</v>
      </c>
      <c r="D5846" s="0" t="s">
        <v>2044</v>
      </c>
      <c r="E5846" s="0" t="s">
        <v>2045</v>
      </c>
      <c r="F5846" s="0" t="s">
        <v>2046</v>
      </c>
      <c r="G5846" s="0" t="s">
        <v>2081</v>
      </c>
      <c r="H5846" s="0" t="s">
        <v>2048</v>
      </c>
      <c r="I5846" s="0" t="s">
        <v>2322</v>
      </c>
      <c r="J5846" s="0" t="s">
        <v>2358</v>
      </c>
      <c r="K5846" s="272" t="n">
        <v>3707546</v>
      </c>
    </row>
    <row r="5847" customFormat="false" ht="15" hidden="false" customHeight="false" outlineLevel="0" collapsed="false">
      <c r="A5847" s="0" t="s">
        <v>2041</v>
      </c>
      <c r="B5847" s="0" t="s">
        <v>2042</v>
      </c>
      <c r="C5847" s="0" t="s">
        <v>2360</v>
      </c>
      <c r="D5847" s="0" t="s">
        <v>2044</v>
      </c>
      <c r="E5847" s="0" t="s">
        <v>2045</v>
      </c>
      <c r="F5847" s="0" t="s">
        <v>2046</v>
      </c>
      <c r="G5847" s="0" t="s">
        <v>2081</v>
      </c>
      <c r="H5847" s="0" t="s">
        <v>2048</v>
      </c>
      <c r="I5847" s="0" t="s">
        <v>2322</v>
      </c>
      <c r="J5847" s="0" t="s">
        <v>2358</v>
      </c>
      <c r="K5847" s="272" t="n">
        <v>50000</v>
      </c>
    </row>
    <row r="5848" customFormat="false" ht="15" hidden="false" customHeight="false" outlineLevel="0" collapsed="false">
      <c r="A5848" s="0" t="s">
        <v>2041</v>
      </c>
      <c r="B5848" s="0" t="s">
        <v>2042</v>
      </c>
      <c r="C5848" s="0" t="s">
        <v>2161</v>
      </c>
      <c r="D5848" s="0" t="s">
        <v>2044</v>
      </c>
      <c r="E5848" s="0" t="s">
        <v>2045</v>
      </c>
      <c r="F5848" s="0" t="s">
        <v>2046</v>
      </c>
      <c r="G5848" s="0" t="s">
        <v>2081</v>
      </c>
      <c r="H5848" s="0" t="s">
        <v>2048</v>
      </c>
      <c r="I5848" s="0" t="s">
        <v>2322</v>
      </c>
      <c r="J5848" s="0" t="s">
        <v>2358</v>
      </c>
      <c r="K5848" s="272" t="n">
        <v>1119678.893</v>
      </c>
    </row>
    <row r="5849" customFormat="false" ht="15" hidden="false" customHeight="false" outlineLevel="0" collapsed="false">
      <c r="A5849" s="0" t="s">
        <v>2041</v>
      </c>
      <c r="B5849" s="0" t="s">
        <v>2042</v>
      </c>
      <c r="C5849" s="0" t="s">
        <v>2349</v>
      </c>
      <c r="D5849" s="0" t="s">
        <v>2044</v>
      </c>
      <c r="E5849" s="0" t="s">
        <v>2045</v>
      </c>
      <c r="F5849" s="0" t="s">
        <v>2046</v>
      </c>
      <c r="G5849" s="0" t="s">
        <v>2081</v>
      </c>
      <c r="H5849" s="0" t="s">
        <v>2048</v>
      </c>
      <c r="I5849" s="0" t="s">
        <v>2322</v>
      </c>
      <c r="J5849" s="0" t="s">
        <v>2358</v>
      </c>
      <c r="K5849" s="272" t="n">
        <v>384689.077</v>
      </c>
    </row>
    <row r="5850" customFormat="false" ht="15" hidden="false" customHeight="false" outlineLevel="0" collapsed="false">
      <c r="A5850" s="0" t="s">
        <v>2041</v>
      </c>
      <c r="B5850" s="0" t="s">
        <v>2042</v>
      </c>
      <c r="C5850" s="0" t="s">
        <v>2347</v>
      </c>
      <c r="D5850" s="0" t="s">
        <v>2044</v>
      </c>
      <c r="E5850" s="0" t="s">
        <v>2045</v>
      </c>
      <c r="F5850" s="0" t="s">
        <v>2046</v>
      </c>
      <c r="G5850" s="0" t="s">
        <v>2081</v>
      </c>
      <c r="H5850" s="0" t="s">
        <v>2048</v>
      </c>
      <c r="I5850" s="0" t="s">
        <v>2322</v>
      </c>
      <c r="J5850" s="0" t="s">
        <v>2358</v>
      </c>
      <c r="K5850" s="272" t="n">
        <v>37142.85</v>
      </c>
    </row>
    <row r="5851" customFormat="false" ht="15" hidden="false" customHeight="false" outlineLevel="0" collapsed="false">
      <c r="A5851" s="0" t="s">
        <v>2041</v>
      </c>
      <c r="B5851" s="0" t="s">
        <v>2042</v>
      </c>
      <c r="C5851" s="0" t="s">
        <v>2352</v>
      </c>
      <c r="D5851" s="0" t="s">
        <v>2044</v>
      </c>
      <c r="E5851" s="0" t="s">
        <v>2045</v>
      </c>
      <c r="F5851" s="0" t="s">
        <v>2051</v>
      </c>
      <c r="G5851" s="0" t="s">
        <v>2081</v>
      </c>
      <c r="H5851" s="0" t="s">
        <v>2052</v>
      </c>
      <c r="I5851" s="0" t="s">
        <v>2322</v>
      </c>
      <c r="J5851" s="0" t="s">
        <v>2358</v>
      </c>
      <c r="K5851" s="272" t="n">
        <v>72166.667</v>
      </c>
    </row>
    <row r="5852" customFormat="false" ht="15" hidden="false" customHeight="false" outlineLevel="0" collapsed="false">
      <c r="A5852" s="0" t="s">
        <v>2041</v>
      </c>
      <c r="B5852" s="0" t="s">
        <v>2042</v>
      </c>
      <c r="C5852" s="0" t="s">
        <v>2359</v>
      </c>
      <c r="D5852" s="0" t="s">
        <v>2044</v>
      </c>
      <c r="E5852" s="0" t="s">
        <v>2045</v>
      </c>
      <c r="F5852" s="0" t="s">
        <v>2051</v>
      </c>
      <c r="G5852" s="0" t="s">
        <v>2081</v>
      </c>
      <c r="H5852" s="0" t="s">
        <v>2052</v>
      </c>
      <c r="I5852" s="0" t="s">
        <v>2322</v>
      </c>
      <c r="J5852" s="0" t="s">
        <v>2358</v>
      </c>
      <c r="K5852" s="272" t="n">
        <v>479.522</v>
      </c>
    </row>
    <row r="5853" customFormat="false" ht="15" hidden="false" customHeight="false" outlineLevel="0" collapsed="false">
      <c r="A5853" s="0" t="s">
        <v>2041</v>
      </c>
      <c r="B5853" s="0" t="s">
        <v>2042</v>
      </c>
      <c r="C5853" s="0" t="s">
        <v>2361</v>
      </c>
      <c r="D5853" s="0" t="s">
        <v>2044</v>
      </c>
      <c r="E5853" s="0" t="s">
        <v>2045</v>
      </c>
      <c r="F5853" s="0" t="s">
        <v>2051</v>
      </c>
      <c r="G5853" s="0" t="s">
        <v>2081</v>
      </c>
      <c r="H5853" s="0" t="s">
        <v>2052</v>
      </c>
      <c r="I5853" s="0" t="s">
        <v>2322</v>
      </c>
      <c r="J5853" s="0" t="s">
        <v>2358</v>
      </c>
      <c r="K5853" s="272" t="n">
        <v>11700.216</v>
      </c>
    </row>
    <row r="5854" customFormat="false" ht="15" hidden="false" customHeight="false" outlineLevel="0" collapsed="false">
      <c r="A5854" s="0" t="s">
        <v>2041</v>
      </c>
      <c r="B5854" s="0" t="s">
        <v>2042</v>
      </c>
      <c r="C5854" s="0" t="s">
        <v>2156</v>
      </c>
      <c r="D5854" s="0" t="s">
        <v>2044</v>
      </c>
      <c r="E5854" s="0" t="s">
        <v>2045</v>
      </c>
      <c r="F5854" s="0" t="s">
        <v>2051</v>
      </c>
      <c r="G5854" s="0" t="s">
        <v>2081</v>
      </c>
      <c r="H5854" s="0" t="s">
        <v>2052</v>
      </c>
      <c r="I5854" s="0" t="s">
        <v>2322</v>
      </c>
      <c r="J5854" s="0" t="s">
        <v>2358</v>
      </c>
      <c r="K5854" s="272" t="n">
        <v>263362</v>
      </c>
    </row>
    <row r="5855" customFormat="false" ht="15" hidden="false" customHeight="false" outlineLevel="0" collapsed="false">
      <c r="A5855" s="0" t="s">
        <v>2041</v>
      </c>
      <c r="B5855" s="0" t="s">
        <v>2042</v>
      </c>
      <c r="C5855" s="0" t="s">
        <v>2161</v>
      </c>
      <c r="D5855" s="0" t="s">
        <v>2044</v>
      </c>
      <c r="E5855" s="0" t="s">
        <v>2045</v>
      </c>
      <c r="F5855" s="0" t="s">
        <v>2051</v>
      </c>
      <c r="G5855" s="0" t="s">
        <v>2081</v>
      </c>
      <c r="H5855" s="0" t="s">
        <v>2052</v>
      </c>
      <c r="I5855" s="0" t="s">
        <v>2322</v>
      </c>
      <c r="J5855" s="0" t="s">
        <v>2358</v>
      </c>
      <c r="K5855" s="272" t="n">
        <v>79535.3264444445</v>
      </c>
    </row>
    <row r="5856" customFormat="false" ht="15" hidden="false" customHeight="false" outlineLevel="0" collapsed="false">
      <c r="A5856" s="0" t="s">
        <v>2041</v>
      </c>
      <c r="B5856" s="0" t="s">
        <v>2042</v>
      </c>
      <c r="C5856" s="0" t="s">
        <v>2349</v>
      </c>
      <c r="D5856" s="0" t="s">
        <v>2044</v>
      </c>
      <c r="E5856" s="0" t="s">
        <v>2045</v>
      </c>
      <c r="F5856" s="0" t="s">
        <v>2051</v>
      </c>
      <c r="G5856" s="0" t="s">
        <v>2081</v>
      </c>
      <c r="H5856" s="0" t="s">
        <v>2052</v>
      </c>
      <c r="I5856" s="0" t="s">
        <v>2322</v>
      </c>
      <c r="J5856" s="0" t="s">
        <v>2358</v>
      </c>
      <c r="K5856" s="272" t="n">
        <v>25472.6135555556</v>
      </c>
    </row>
    <row r="5857" customFormat="false" ht="15" hidden="false" customHeight="false" outlineLevel="0" collapsed="false">
      <c r="A5857" s="0" t="s">
        <v>2041</v>
      </c>
      <c r="B5857" s="0" t="s">
        <v>2042</v>
      </c>
      <c r="C5857" s="0" t="s">
        <v>2352</v>
      </c>
      <c r="D5857" s="0" t="s">
        <v>2044</v>
      </c>
      <c r="E5857" s="0" t="s">
        <v>2045</v>
      </c>
      <c r="F5857" s="0" t="s">
        <v>2046</v>
      </c>
      <c r="G5857" s="0" t="s">
        <v>2082</v>
      </c>
      <c r="H5857" s="0" t="s">
        <v>2048</v>
      </c>
      <c r="I5857" s="0" t="s">
        <v>2322</v>
      </c>
      <c r="J5857" s="0" t="s">
        <v>2358</v>
      </c>
      <c r="K5857" s="272" t="n">
        <v>1055785.72</v>
      </c>
    </row>
    <row r="5858" customFormat="false" ht="15" hidden="false" customHeight="false" outlineLevel="0" collapsed="false">
      <c r="A5858" s="0" t="s">
        <v>2041</v>
      </c>
      <c r="B5858" s="0" t="s">
        <v>2042</v>
      </c>
      <c r="C5858" s="0" t="s">
        <v>2359</v>
      </c>
      <c r="D5858" s="0" t="s">
        <v>2044</v>
      </c>
      <c r="E5858" s="0" t="s">
        <v>2045</v>
      </c>
      <c r="F5858" s="0" t="s">
        <v>2046</v>
      </c>
      <c r="G5858" s="0" t="s">
        <v>2082</v>
      </c>
      <c r="H5858" s="0" t="s">
        <v>2048</v>
      </c>
      <c r="I5858" s="0" t="s">
        <v>2322</v>
      </c>
      <c r="J5858" s="0" t="s">
        <v>2358</v>
      </c>
      <c r="K5858" s="272" t="n">
        <v>277688.29</v>
      </c>
    </row>
    <row r="5859" customFormat="false" ht="15" hidden="false" customHeight="false" outlineLevel="0" collapsed="false">
      <c r="A5859" s="0" t="s">
        <v>2041</v>
      </c>
      <c r="B5859" s="0" t="s">
        <v>2042</v>
      </c>
      <c r="C5859" s="0" t="s">
        <v>2361</v>
      </c>
      <c r="D5859" s="0" t="s">
        <v>2044</v>
      </c>
      <c r="E5859" s="0" t="s">
        <v>2045</v>
      </c>
      <c r="F5859" s="0" t="s">
        <v>2046</v>
      </c>
      <c r="G5859" s="0" t="s">
        <v>2082</v>
      </c>
      <c r="H5859" s="0" t="s">
        <v>2048</v>
      </c>
      <c r="I5859" s="0" t="s">
        <v>2322</v>
      </c>
      <c r="J5859" s="0" t="s">
        <v>2358</v>
      </c>
      <c r="K5859" s="272" t="n">
        <v>21216.8</v>
      </c>
    </row>
    <row r="5860" customFormat="false" ht="15" hidden="false" customHeight="false" outlineLevel="0" collapsed="false">
      <c r="A5860" s="0" t="s">
        <v>2041</v>
      </c>
      <c r="B5860" s="0" t="s">
        <v>2042</v>
      </c>
      <c r="C5860" s="0" t="s">
        <v>2156</v>
      </c>
      <c r="D5860" s="0" t="s">
        <v>2044</v>
      </c>
      <c r="E5860" s="0" t="s">
        <v>2045</v>
      </c>
      <c r="F5860" s="0" t="s">
        <v>2046</v>
      </c>
      <c r="G5860" s="0" t="s">
        <v>2082</v>
      </c>
      <c r="H5860" s="0" t="s">
        <v>2048</v>
      </c>
      <c r="I5860" s="0" t="s">
        <v>2322</v>
      </c>
      <c r="J5860" s="0" t="s">
        <v>2358</v>
      </c>
      <c r="K5860" s="272" t="n">
        <v>4906343</v>
      </c>
    </row>
    <row r="5861" customFormat="false" ht="15" hidden="false" customHeight="false" outlineLevel="0" collapsed="false">
      <c r="A5861" s="0" t="s">
        <v>2041</v>
      </c>
      <c r="B5861" s="0" t="s">
        <v>2042</v>
      </c>
      <c r="C5861" s="0" t="s">
        <v>2161</v>
      </c>
      <c r="D5861" s="0" t="s">
        <v>2044</v>
      </c>
      <c r="E5861" s="0" t="s">
        <v>2045</v>
      </c>
      <c r="F5861" s="0" t="s">
        <v>2046</v>
      </c>
      <c r="G5861" s="0" t="s">
        <v>2082</v>
      </c>
      <c r="H5861" s="0" t="s">
        <v>2048</v>
      </c>
      <c r="I5861" s="0" t="s">
        <v>2322</v>
      </c>
      <c r="J5861" s="0" t="s">
        <v>2358</v>
      </c>
      <c r="K5861" s="272" t="n">
        <v>1185895.09</v>
      </c>
    </row>
    <row r="5862" customFormat="false" ht="15" hidden="false" customHeight="false" outlineLevel="0" collapsed="false">
      <c r="A5862" s="0" t="s">
        <v>2041</v>
      </c>
      <c r="B5862" s="0" t="s">
        <v>2042</v>
      </c>
      <c r="C5862" s="0" t="s">
        <v>2349</v>
      </c>
      <c r="D5862" s="0" t="s">
        <v>2044</v>
      </c>
      <c r="E5862" s="0" t="s">
        <v>2045</v>
      </c>
      <c r="F5862" s="0" t="s">
        <v>2046</v>
      </c>
      <c r="G5862" s="0" t="s">
        <v>2082</v>
      </c>
      <c r="H5862" s="0" t="s">
        <v>2048</v>
      </c>
      <c r="I5862" s="0" t="s">
        <v>2322</v>
      </c>
      <c r="J5862" s="0" t="s">
        <v>2358</v>
      </c>
      <c r="K5862" s="272" t="n">
        <v>387273.47</v>
      </c>
    </row>
    <row r="5863" customFormat="false" ht="15" hidden="false" customHeight="false" outlineLevel="0" collapsed="false">
      <c r="A5863" s="0" t="s">
        <v>2041</v>
      </c>
      <c r="B5863" s="0" t="s">
        <v>2042</v>
      </c>
      <c r="C5863" s="0" t="s">
        <v>2352</v>
      </c>
      <c r="D5863" s="0" t="s">
        <v>2044</v>
      </c>
      <c r="E5863" s="0" t="s">
        <v>2045</v>
      </c>
      <c r="F5863" s="0" t="s">
        <v>2046</v>
      </c>
      <c r="G5863" s="0" t="s">
        <v>2083</v>
      </c>
      <c r="H5863" s="0" t="s">
        <v>2048</v>
      </c>
      <c r="I5863" s="0" t="s">
        <v>2322</v>
      </c>
      <c r="J5863" s="0" t="s">
        <v>2358</v>
      </c>
      <c r="K5863" s="272" t="n">
        <v>504411.1555</v>
      </c>
    </row>
    <row r="5864" customFormat="false" ht="15" hidden="false" customHeight="false" outlineLevel="0" collapsed="false">
      <c r="A5864" s="0" t="s">
        <v>2041</v>
      </c>
      <c r="B5864" s="0" t="s">
        <v>2042</v>
      </c>
      <c r="C5864" s="0" t="s">
        <v>2359</v>
      </c>
      <c r="D5864" s="0" t="s">
        <v>2044</v>
      </c>
      <c r="E5864" s="0" t="s">
        <v>2045</v>
      </c>
      <c r="F5864" s="0" t="s">
        <v>2046</v>
      </c>
      <c r="G5864" s="0" t="s">
        <v>2083</v>
      </c>
      <c r="H5864" s="0" t="s">
        <v>2048</v>
      </c>
      <c r="I5864" s="0" t="s">
        <v>2322</v>
      </c>
      <c r="J5864" s="0" t="s">
        <v>2358</v>
      </c>
      <c r="K5864" s="272" t="n">
        <v>113665.04</v>
      </c>
    </row>
    <row r="5865" customFormat="false" ht="15" hidden="false" customHeight="false" outlineLevel="0" collapsed="false">
      <c r="A5865" s="0" t="s">
        <v>2041</v>
      </c>
      <c r="B5865" s="0" t="s">
        <v>2042</v>
      </c>
      <c r="C5865" s="0" t="s">
        <v>2156</v>
      </c>
      <c r="D5865" s="0" t="s">
        <v>2044</v>
      </c>
      <c r="E5865" s="0" t="s">
        <v>2045</v>
      </c>
      <c r="F5865" s="0" t="s">
        <v>2046</v>
      </c>
      <c r="G5865" s="0" t="s">
        <v>2083</v>
      </c>
      <c r="H5865" s="0" t="s">
        <v>2048</v>
      </c>
      <c r="I5865" s="0" t="s">
        <v>2322</v>
      </c>
      <c r="J5865" s="0" t="s">
        <v>2358</v>
      </c>
      <c r="K5865" s="272" t="n">
        <v>1275902.32</v>
      </c>
    </row>
    <row r="5866" customFormat="false" ht="15" hidden="false" customHeight="false" outlineLevel="0" collapsed="false">
      <c r="A5866" s="0" t="s">
        <v>2041</v>
      </c>
      <c r="B5866" s="0" t="s">
        <v>2042</v>
      </c>
      <c r="C5866" s="0" t="s">
        <v>2161</v>
      </c>
      <c r="D5866" s="0" t="s">
        <v>2044</v>
      </c>
      <c r="E5866" s="0" t="s">
        <v>2045</v>
      </c>
      <c r="F5866" s="0" t="s">
        <v>2046</v>
      </c>
      <c r="G5866" s="0" t="s">
        <v>2083</v>
      </c>
      <c r="H5866" s="0" t="s">
        <v>2048</v>
      </c>
      <c r="I5866" s="0" t="s">
        <v>2322</v>
      </c>
      <c r="J5866" s="0" t="s">
        <v>2358</v>
      </c>
      <c r="K5866" s="272" t="n">
        <v>385322.5</v>
      </c>
    </row>
    <row r="5867" customFormat="false" ht="15" hidden="false" customHeight="false" outlineLevel="0" collapsed="false">
      <c r="A5867" s="0" t="s">
        <v>2041</v>
      </c>
      <c r="B5867" s="0" t="s">
        <v>2042</v>
      </c>
      <c r="C5867" s="0" t="s">
        <v>2349</v>
      </c>
      <c r="D5867" s="0" t="s">
        <v>2044</v>
      </c>
      <c r="E5867" s="0" t="s">
        <v>2045</v>
      </c>
      <c r="F5867" s="0" t="s">
        <v>2046</v>
      </c>
      <c r="G5867" s="0" t="s">
        <v>2083</v>
      </c>
      <c r="H5867" s="0" t="s">
        <v>2048</v>
      </c>
      <c r="I5867" s="0" t="s">
        <v>2322</v>
      </c>
      <c r="J5867" s="0" t="s">
        <v>2358</v>
      </c>
      <c r="K5867" s="272" t="n">
        <v>186659.0045</v>
      </c>
    </row>
    <row r="5868" customFormat="false" ht="15" hidden="false" customHeight="false" outlineLevel="0" collapsed="false">
      <c r="A5868" s="0" t="s">
        <v>2041</v>
      </c>
      <c r="B5868" s="0" t="s">
        <v>2042</v>
      </c>
      <c r="C5868" s="0" t="s">
        <v>2352</v>
      </c>
      <c r="D5868" s="0" t="s">
        <v>2044</v>
      </c>
      <c r="E5868" s="0" t="s">
        <v>2045</v>
      </c>
      <c r="F5868" s="0" t="s">
        <v>2051</v>
      </c>
      <c r="G5868" s="0" t="s">
        <v>2083</v>
      </c>
      <c r="H5868" s="0" t="s">
        <v>2052</v>
      </c>
      <c r="I5868" s="0" t="s">
        <v>2322</v>
      </c>
      <c r="J5868" s="0" t="s">
        <v>2358</v>
      </c>
      <c r="K5868" s="272" t="n">
        <v>13715.3045</v>
      </c>
    </row>
    <row r="5869" customFormat="false" ht="15" hidden="false" customHeight="false" outlineLevel="0" collapsed="false">
      <c r="A5869" s="0" t="s">
        <v>2041</v>
      </c>
      <c r="B5869" s="0" t="s">
        <v>2042</v>
      </c>
      <c r="C5869" s="0" t="s">
        <v>2359</v>
      </c>
      <c r="D5869" s="0" t="s">
        <v>2044</v>
      </c>
      <c r="E5869" s="0" t="s">
        <v>2045</v>
      </c>
      <c r="F5869" s="0" t="s">
        <v>2051</v>
      </c>
      <c r="G5869" s="0" t="s">
        <v>2083</v>
      </c>
      <c r="H5869" s="0" t="s">
        <v>2052</v>
      </c>
      <c r="I5869" s="0" t="s">
        <v>2322</v>
      </c>
      <c r="J5869" s="0" t="s">
        <v>2358</v>
      </c>
      <c r="K5869" s="272" t="n">
        <v>5552.88</v>
      </c>
    </row>
    <row r="5870" customFormat="false" ht="15" hidden="false" customHeight="false" outlineLevel="0" collapsed="false">
      <c r="A5870" s="0" t="s">
        <v>2041</v>
      </c>
      <c r="B5870" s="0" t="s">
        <v>2042</v>
      </c>
      <c r="C5870" s="0" t="s">
        <v>2156</v>
      </c>
      <c r="D5870" s="0" t="s">
        <v>2044</v>
      </c>
      <c r="E5870" s="0" t="s">
        <v>2045</v>
      </c>
      <c r="F5870" s="0" t="s">
        <v>2051</v>
      </c>
      <c r="G5870" s="0" t="s">
        <v>2083</v>
      </c>
      <c r="H5870" s="0" t="s">
        <v>2052</v>
      </c>
      <c r="I5870" s="0" t="s">
        <v>2322</v>
      </c>
      <c r="J5870" s="0" t="s">
        <v>2358</v>
      </c>
      <c r="K5870" s="272" t="n">
        <v>28364.88</v>
      </c>
    </row>
    <row r="5871" customFormat="false" ht="15" hidden="false" customHeight="false" outlineLevel="0" collapsed="false">
      <c r="A5871" s="0" t="s">
        <v>2041</v>
      </c>
      <c r="B5871" s="0" t="s">
        <v>2042</v>
      </c>
      <c r="C5871" s="0" t="s">
        <v>2161</v>
      </c>
      <c r="D5871" s="0" t="s">
        <v>2044</v>
      </c>
      <c r="E5871" s="0" t="s">
        <v>2045</v>
      </c>
      <c r="F5871" s="0" t="s">
        <v>2051</v>
      </c>
      <c r="G5871" s="0" t="s">
        <v>2083</v>
      </c>
      <c r="H5871" s="0" t="s">
        <v>2052</v>
      </c>
      <c r="I5871" s="0" t="s">
        <v>2322</v>
      </c>
      <c r="J5871" s="0" t="s">
        <v>2358</v>
      </c>
      <c r="K5871" s="272" t="n">
        <v>8566.19368421053</v>
      </c>
    </row>
    <row r="5872" customFormat="false" ht="15" hidden="false" customHeight="false" outlineLevel="0" collapsed="false">
      <c r="A5872" s="0" t="s">
        <v>2041</v>
      </c>
      <c r="B5872" s="0" t="s">
        <v>2042</v>
      </c>
      <c r="C5872" s="0" t="s">
        <v>2349</v>
      </c>
      <c r="D5872" s="0" t="s">
        <v>2044</v>
      </c>
      <c r="E5872" s="0" t="s">
        <v>2045</v>
      </c>
      <c r="F5872" s="0" t="s">
        <v>2051</v>
      </c>
      <c r="G5872" s="0" t="s">
        <v>2083</v>
      </c>
      <c r="H5872" s="0" t="s">
        <v>2052</v>
      </c>
      <c r="I5872" s="0" t="s">
        <v>2322</v>
      </c>
      <c r="J5872" s="0" t="s">
        <v>2358</v>
      </c>
      <c r="K5872" s="272" t="n">
        <v>5818.99181578947</v>
      </c>
    </row>
    <row r="5873" customFormat="false" ht="15" hidden="false" customHeight="false" outlineLevel="0" collapsed="false">
      <c r="A5873" s="0" t="s">
        <v>2041</v>
      </c>
      <c r="B5873" s="0" t="s">
        <v>2042</v>
      </c>
      <c r="C5873" s="0" t="s">
        <v>2352</v>
      </c>
      <c r="D5873" s="0" t="s">
        <v>2044</v>
      </c>
      <c r="E5873" s="0" t="s">
        <v>2045</v>
      </c>
      <c r="F5873" s="0" t="s">
        <v>2046</v>
      </c>
      <c r="G5873" s="0" t="s">
        <v>2084</v>
      </c>
      <c r="H5873" s="0" t="s">
        <v>2048</v>
      </c>
      <c r="I5873" s="0" t="s">
        <v>2322</v>
      </c>
      <c r="J5873" s="0" t="s">
        <v>2358</v>
      </c>
      <c r="K5873" s="272" t="n">
        <v>171497.311</v>
      </c>
    </row>
    <row r="5874" customFormat="false" ht="15" hidden="false" customHeight="false" outlineLevel="0" collapsed="false">
      <c r="A5874" s="0" t="s">
        <v>2041</v>
      </c>
      <c r="B5874" s="0" t="s">
        <v>2042</v>
      </c>
      <c r="C5874" s="0" t="s">
        <v>2359</v>
      </c>
      <c r="D5874" s="0" t="s">
        <v>2044</v>
      </c>
      <c r="E5874" s="0" t="s">
        <v>2045</v>
      </c>
      <c r="F5874" s="0" t="s">
        <v>2046</v>
      </c>
      <c r="G5874" s="0" t="s">
        <v>2084</v>
      </c>
      <c r="H5874" s="0" t="s">
        <v>2048</v>
      </c>
      <c r="I5874" s="0" t="s">
        <v>2322</v>
      </c>
      <c r="J5874" s="0" t="s">
        <v>2358</v>
      </c>
      <c r="K5874" s="272" t="n">
        <v>7886.344</v>
      </c>
    </row>
    <row r="5875" customFormat="false" ht="15" hidden="false" customHeight="false" outlineLevel="0" collapsed="false">
      <c r="A5875" s="0" t="s">
        <v>2041</v>
      </c>
      <c r="B5875" s="0" t="s">
        <v>2042</v>
      </c>
      <c r="C5875" s="0" t="s">
        <v>2361</v>
      </c>
      <c r="D5875" s="0" t="s">
        <v>2044</v>
      </c>
      <c r="E5875" s="0" t="s">
        <v>2045</v>
      </c>
      <c r="F5875" s="0" t="s">
        <v>2046</v>
      </c>
      <c r="G5875" s="0" t="s">
        <v>2084</v>
      </c>
      <c r="H5875" s="0" t="s">
        <v>2048</v>
      </c>
      <c r="I5875" s="0" t="s">
        <v>2322</v>
      </c>
      <c r="J5875" s="0" t="s">
        <v>2358</v>
      </c>
      <c r="K5875" s="272" t="n">
        <v>6164.936</v>
      </c>
    </row>
    <row r="5876" customFormat="false" ht="15" hidden="false" customHeight="false" outlineLevel="0" collapsed="false">
      <c r="A5876" s="0" t="s">
        <v>2041</v>
      </c>
      <c r="B5876" s="0" t="s">
        <v>2042</v>
      </c>
      <c r="C5876" s="0" t="s">
        <v>2156</v>
      </c>
      <c r="D5876" s="0" t="s">
        <v>2044</v>
      </c>
      <c r="E5876" s="0" t="s">
        <v>2045</v>
      </c>
      <c r="F5876" s="0" t="s">
        <v>2046</v>
      </c>
      <c r="G5876" s="0" t="s">
        <v>2084</v>
      </c>
      <c r="H5876" s="0" t="s">
        <v>2048</v>
      </c>
      <c r="I5876" s="0" t="s">
        <v>2322</v>
      </c>
      <c r="J5876" s="0" t="s">
        <v>2358</v>
      </c>
      <c r="K5876" s="272" t="n">
        <v>322607.545</v>
      </c>
    </row>
    <row r="5877" customFormat="false" ht="15" hidden="false" customHeight="false" outlineLevel="0" collapsed="false">
      <c r="A5877" s="0" t="s">
        <v>2041</v>
      </c>
      <c r="B5877" s="0" t="s">
        <v>2042</v>
      </c>
      <c r="C5877" s="0" t="s">
        <v>2161</v>
      </c>
      <c r="D5877" s="0" t="s">
        <v>2044</v>
      </c>
      <c r="E5877" s="0" t="s">
        <v>2045</v>
      </c>
      <c r="F5877" s="0" t="s">
        <v>2046</v>
      </c>
      <c r="G5877" s="0" t="s">
        <v>2084</v>
      </c>
      <c r="H5877" s="0" t="s">
        <v>2048</v>
      </c>
      <c r="I5877" s="0" t="s">
        <v>2322</v>
      </c>
      <c r="J5877" s="0" t="s">
        <v>2358</v>
      </c>
      <c r="K5877" s="272" t="n">
        <v>97427.4684900003</v>
      </c>
    </row>
    <row r="5878" customFormat="false" ht="15" hidden="false" customHeight="false" outlineLevel="0" collapsed="false">
      <c r="A5878" s="0" t="s">
        <v>2041</v>
      </c>
      <c r="B5878" s="0" t="s">
        <v>2042</v>
      </c>
      <c r="C5878" s="0" t="s">
        <v>2349</v>
      </c>
      <c r="D5878" s="0" t="s">
        <v>2044</v>
      </c>
      <c r="E5878" s="0" t="s">
        <v>2045</v>
      </c>
      <c r="F5878" s="0" t="s">
        <v>2046</v>
      </c>
      <c r="G5878" s="0" t="s">
        <v>2084</v>
      </c>
      <c r="H5878" s="0" t="s">
        <v>2048</v>
      </c>
      <c r="I5878" s="0" t="s">
        <v>2322</v>
      </c>
      <c r="J5878" s="0" t="s">
        <v>2358</v>
      </c>
      <c r="K5878" s="272" t="n">
        <v>56035.6805099997</v>
      </c>
    </row>
    <row r="5879" customFormat="false" ht="15" hidden="false" customHeight="false" outlineLevel="0" collapsed="false">
      <c r="A5879" s="0" t="s">
        <v>2041</v>
      </c>
      <c r="B5879" s="0" t="s">
        <v>2042</v>
      </c>
      <c r="C5879" s="0" t="s">
        <v>2352</v>
      </c>
      <c r="D5879" s="0" t="s">
        <v>2044</v>
      </c>
      <c r="E5879" s="0" t="s">
        <v>2045</v>
      </c>
      <c r="F5879" s="0" t="s">
        <v>2051</v>
      </c>
      <c r="G5879" s="0" t="s">
        <v>2084</v>
      </c>
      <c r="H5879" s="0" t="s">
        <v>2052</v>
      </c>
      <c r="I5879" s="0" t="s">
        <v>2322</v>
      </c>
      <c r="J5879" s="0" t="s">
        <v>2358</v>
      </c>
      <c r="K5879" s="272" t="n">
        <v>272040.169</v>
      </c>
    </row>
    <row r="5880" customFormat="false" ht="15" hidden="false" customHeight="false" outlineLevel="0" collapsed="false">
      <c r="A5880" s="0" t="s">
        <v>2041</v>
      </c>
      <c r="B5880" s="0" t="s">
        <v>2042</v>
      </c>
      <c r="C5880" s="0" t="s">
        <v>2359</v>
      </c>
      <c r="D5880" s="0" t="s">
        <v>2044</v>
      </c>
      <c r="E5880" s="0" t="s">
        <v>2045</v>
      </c>
      <c r="F5880" s="0" t="s">
        <v>2051</v>
      </c>
      <c r="G5880" s="0" t="s">
        <v>2084</v>
      </c>
      <c r="H5880" s="0" t="s">
        <v>2052</v>
      </c>
      <c r="I5880" s="0" t="s">
        <v>2322</v>
      </c>
      <c r="J5880" s="0" t="s">
        <v>2358</v>
      </c>
      <c r="K5880" s="272" t="n">
        <v>23052.796</v>
      </c>
    </row>
    <row r="5881" customFormat="false" ht="15" hidden="false" customHeight="false" outlineLevel="0" collapsed="false">
      <c r="A5881" s="0" t="s">
        <v>2041</v>
      </c>
      <c r="B5881" s="0" t="s">
        <v>2042</v>
      </c>
      <c r="C5881" s="0" t="s">
        <v>2361</v>
      </c>
      <c r="D5881" s="0" t="s">
        <v>2044</v>
      </c>
      <c r="E5881" s="0" t="s">
        <v>2045</v>
      </c>
      <c r="F5881" s="0" t="s">
        <v>2051</v>
      </c>
      <c r="G5881" s="0" t="s">
        <v>2084</v>
      </c>
      <c r="H5881" s="0" t="s">
        <v>2052</v>
      </c>
      <c r="I5881" s="0" t="s">
        <v>2322</v>
      </c>
      <c r="J5881" s="0" t="s">
        <v>2358</v>
      </c>
      <c r="K5881" s="272" t="n">
        <v>24659.744</v>
      </c>
    </row>
    <row r="5882" customFormat="false" ht="15" hidden="false" customHeight="false" outlineLevel="0" collapsed="false">
      <c r="A5882" s="0" t="s">
        <v>2041</v>
      </c>
      <c r="B5882" s="0" t="s">
        <v>2042</v>
      </c>
      <c r="C5882" s="0" t="s">
        <v>2156</v>
      </c>
      <c r="D5882" s="0" t="s">
        <v>2044</v>
      </c>
      <c r="E5882" s="0" t="s">
        <v>2045</v>
      </c>
      <c r="F5882" s="0" t="s">
        <v>2051</v>
      </c>
      <c r="G5882" s="0" t="s">
        <v>2084</v>
      </c>
      <c r="H5882" s="0" t="s">
        <v>2052</v>
      </c>
      <c r="I5882" s="0" t="s">
        <v>2322</v>
      </c>
      <c r="J5882" s="0" t="s">
        <v>2358</v>
      </c>
      <c r="K5882" s="272" t="n">
        <v>604392.505</v>
      </c>
    </row>
    <row r="5883" customFormat="false" ht="15" hidden="false" customHeight="false" outlineLevel="0" collapsed="false">
      <c r="A5883" s="0" t="s">
        <v>2041</v>
      </c>
      <c r="B5883" s="0" t="s">
        <v>2042</v>
      </c>
      <c r="C5883" s="0" t="s">
        <v>2161</v>
      </c>
      <c r="D5883" s="0" t="s">
        <v>2044</v>
      </c>
      <c r="E5883" s="0" t="s">
        <v>2045</v>
      </c>
      <c r="F5883" s="0" t="s">
        <v>2051</v>
      </c>
      <c r="G5883" s="0" t="s">
        <v>2084</v>
      </c>
      <c r="H5883" s="0" t="s">
        <v>2052</v>
      </c>
      <c r="I5883" s="0" t="s">
        <v>2322</v>
      </c>
      <c r="J5883" s="0" t="s">
        <v>2358</v>
      </c>
      <c r="K5883" s="272" t="n">
        <v>182526.51849</v>
      </c>
    </row>
    <row r="5884" customFormat="false" ht="15" hidden="false" customHeight="false" outlineLevel="0" collapsed="false">
      <c r="A5884" s="0" t="s">
        <v>2041</v>
      </c>
      <c r="B5884" s="0" t="s">
        <v>2042</v>
      </c>
      <c r="C5884" s="0" t="s">
        <v>2349</v>
      </c>
      <c r="D5884" s="0" t="s">
        <v>2044</v>
      </c>
      <c r="E5884" s="0" t="s">
        <v>2045</v>
      </c>
      <c r="F5884" s="0" t="s">
        <v>2051</v>
      </c>
      <c r="G5884" s="0" t="s">
        <v>2084</v>
      </c>
      <c r="H5884" s="0" t="s">
        <v>2052</v>
      </c>
      <c r="I5884" s="0" t="s">
        <v>2322</v>
      </c>
      <c r="J5884" s="0" t="s">
        <v>2358</v>
      </c>
      <c r="K5884" s="272" t="n">
        <v>96565.3325099997</v>
      </c>
    </row>
    <row r="5885" customFormat="false" ht="15" hidden="false" customHeight="false" outlineLevel="0" collapsed="false">
      <c r="A5885" s="0" t="s">
        <v>2041</v>
      </c>
      <c r="B5885" s="0" t="s">
        <v>2042</v>
      </c>
      <c r="C5885" s="0" t="s">
        <v>2352</v>
      </c>
      <c r="D5885" s="0" t="s">
        <v>2044</v>
      </c>
      <c r="E5885" s="0" t="s">
        <v>2045</v>
      </c>
      <c r="F5885" s="0" t="s">
        <v>2046</v>
      </c>
      <c r="G5885" s="0" t="s">
        <v>2085</v>
      </c>
      <c r="H5885" s="0" t="s">
        <v>2048</v>
      </c>
      <c r="I5885" s="0" t="s">
        <v>2322</v>
      </c>
      <c r="J5885" s="0" t="s">
        <v>2358</v>
      </c>
      <c r="K5885" s="272" t="n">
        <v>609904.7605</v>
      </c>
    </row>
    <row r="5886" customFormat="false" ht="15" hidden="false" customHeight="false" outlineLevel="0" collapsed="false">
      <c r="A5886" s="0" t="s">
        <v>2041</v>
      </c>
      <c r="B5886" s="0" t="s">
        <v>2042</v>
      </c>
      <c r="C5886" s="0" t="s">
        <v>2359</v>
      </c>
      <c r="D5886" s="0" t="s">
        <v>2044</v>
      </c>
      <c r="E5886" s="0" t="s">
        <v>2045</v>
      </c>
      <c r="F5886" s="0" t="s">
        <v>2046</v>
      </c>
      <c r="G5886" s="0" t="s">
        <v>2085</v>
      </c>
      <c r="H5886" s="0" t="s">
        <v>2048</v>
      </c>
      <c r="I5886" s="0" t="s">
        <v>2322</v>
      </c>
      <c r="J5886" s="0" t="s">
        <v>2358</v>
      </c>
      <c r="K5886" s="272" t="n">
        <v>151089.024</v>
      </c>
    </row>
    <row r="5887" customFormat="false" ht="15" hidden="false" customHeight="false" outlineLevel="0" collapsed="false">
      <c r="A5887" s="0" t="s">
        <v>2041</v>
      </c>
      <c r="B5887" s="0" t="s">
        <v>2042</v>
      </c>
      <c r="C5887" s="0" t="s">
        <v>2362</v>
      </c>
      <c r="D5887" s="0" t="s">
        <v>2044</v>
      </c>
      <c r="E5887" s="0" t="s">
        <v>2045</v>
      </c>
      <c r="F5887" s="0" t="s">
        <v>2046</v>
      </c>
      <c r="G5887" s="0" t="s">
        <v>2085</v>
      </c>
      <c r="H5887" s="0" t="s">
        <v>2048</v>
      </c>
      <c r="I5887" s="0" t="s">
        <v>2322</v>
      </c>
      <c r="J5887" s="0" t="s">
        <v>2358</v>
      </c>
      <c r="K5887" s="272" t="n">
        <v>23142.87</v>
      </c>
    </row>
    <row r="5888" customFormat="false" ht="15" hidden="false" customHeight="false" outlineLevel="0" collapsed="false">
      <c r="A5888" s="0" t="s">
        <v>2041</v>
      </c>
      <c r="B5888" s="0" t="s">
        <v>2042</v>
      </c>
      <c r="C5888" s="0" t="s">
        <v>2361</v>
      </c>
      <c r="D5888" s="0" t="s">
        <v>2044</v>
      </c>
      <c r="E5888" s="0" t="s">
        <v>2045</v>
      </c>
      <c r="F5888" s="0" t="s">
        <v>2046</v>
      </c>
      <c r="G5888" s="0" t="s">
        <v>2085</v>
      </c>
      <c r="H5888" s="0" t="s">
        <v>2048</v>
      </c>
      <c r="I5888" s="0" t="s">
        <v>2322</v>
      </c>
      <c r="J5888" s="0" t="s">
        <v>2358</v>
      </c>
      <c r="K5888" s="272" t="n">
        <v>30770.985</v>
      </c>
    </row>
    <row r="5889" customFormat="false" ht="15" hidden="false" customHeight="false" outlineLevel="0" collapsed="false">
      <c r="A5889" s="0" t="s">
        <v>2041</v>
      </c>
      <c r="B5889" s="0" t="s">
        <v>2042</v>
      </c>
      <c r="C5889" s="0" t="s">
        <v>2156</v>
      </c>
      <c r="D5889" s="0" t="s">
        <v>2044</v>
      </c>
      <c r="E5889" s="0" t="s">
        <v>2045</v>
      </c>
      <c r="F5889" s="0" t="s">
        <v>2046</v>
      </c>
      <c r="G5889" s="0" t="s">
        <v>2085</v>
      </c>
      <c r="H5889" s="0" t="s">
        <v>2048</v>
      </c>
      <c r="I5889" s="0" t="s">
        <v>2322</v>
      </c>
      <c r="J5889" s="0" t="s">
        <v>2358</v>
      </c>
      <c r="K5889" s="272" t="n">
        <v>1431474.16</v>
      </c>
    </row>
    <row r="5890" customFormat="false" ht="15" hidden="false" customHeight="false" outlineLevel="0" collapsed="false">
      <c r="A5890" s="0" t="s">
        <v>2041</v>
      </c>
      <c r="B5890" s="0" t="s">
        <v>2042</v>
      </c>
      <c r="C5890" s="0" t="s">
        <v>2161</v>
      </c>
      <c r="D5890" s="0" t="s">
        <v>2044</v>
      </c>
      <c r="E5890" s="0" t="s">
        <v>2045</v>
      </c>
      <c r="F5890" s="0" t="s">
        <v>2046</v>
      </c>
      <c r="G5890" s="0" t="s">
        <v>2085</v>
      </c>
      <c r="H5890" s="0" t="s">
        <v>2048</v>
      </c>
      <c r="I5890" s="0" t="s">
        <v>2322</v>
      </c>
      <c r="J5890" s="0" t="s">
        <v>2358</v>
      </c>
      <c r="K5890" s="272" t="n">
        <v>432305.2</v>
      </c>
    </row>
    <row r="5891" customFormat="false" ht="15" hidden="false" customHeight="false" outlineLevel="0" collapsed="false">
      <c r="A5891" s="0" t="s">
        <v>2041</v>
      </c>
      <c r="B5891" s="0" t="s">
        <v>2042</v>
      </c>
      <c r="C5891" s="0" t="s">
        <v>2349</v>
      </c>
      <c r="D5891" s="0" t="s">
        <v>2044</v>
      </c>
      <c r="E5891" s="0" t="s">
        <v>2045</v>
      </c>
      <c r="F5891" s="0" t="s">
        <v>2046</v>
      </c>
      <c r="G5891" s="0" t="s">
        <v>2085</v>
      </c>
      <c r="H5891" s="0" t="s">
        <v>2048</v>
      </c>
      <c r="I5891" s="0" t="s">
        <v>2322</v>
      </c>
      <c r="J5891" s="0" t="s">
        <v>2358</v>
      </c>
      <c r="K5891" s="272" t="n">
        <v>246102.1155</v>
      </c>
    </row>
    <row r="5892" customFormat="false" ht="15" hidden="false" customHeight="false" outlineLevel="0" collapsed="false">
      <c r="A5892" s="0" t="s">
        <v>2041</v>
      </c>
      <c r="B5892" s="0" t="s">
        <v>2042</v>
      </c>
      <c r="C5892" s="0" t="s">
        <v>2352</v>
      </c>
      <c r="D5892" s="0" t="s">
        <v>2044</v>
      </c>
      <c r="E5892" s="0" t="s">
        <v>2045</v>
      </c>
      <c r="F5892" s="0" t="s">
        <v>2051</v>
      </c>
      <c r="G5892" s="0" t="s">
        <v>2085</v>
      </c>
      <c r="H5892" s="0" t="s">
        <v>2052</v>
      </c>
      <c r="I5892" s="0" t="s">
        <v>2322</v>
      </c>
      <c r="J5892" s="0" t="s">
        <v>2358</v>
      </c>
      <c r="K5892" s="272" t="n">
        <v>225421.2795</v>
      </c>
    </row>
    <row r="5893" customFormat="false" ht="15" hidden="false" customHeight="false" outlineLevel="0" collapsed="false">
      <c r="A5893" s="0" t="s">
        <v>2041</v>
      </c>
      <c r="B5893" s="0" t="s">
        <v>2042</v>
      </c>
      <c r="C5893" s="0" t="s">
        <v>2359</v>
      </c>
      <c r="D5893" s="0" t="s">
        <v>2044</v>
      </c>
      <c r="E5893" s="0" t="s">
        <v>2045</v>
      </c>
      <c r="F5893" s="0" t="s">
        <v>2051</v>
      </c>
      <c r="G5893" s="0" t="s">
        <v>2085</v>
      </c>
      <c r="H5893" s="0" t="s">
        <v>2052</v>
      </c>
      <c r="I5893" s="0" t="s">
        <v>2322</v>
      </c>
      <c r="J5893" s="0" t="s">
        <v>2358</v>
      </c>
      <c r="K5893" s="272" t="n">
        <v>22832.886</v>
      </c>
    </row>
    <row r="5894" customFormat="false" ht="15" hidden="false" customHeight="false" outlineLevel="0" collapsed="false">
      <c r="A5894" s="0" t="s">
        <v>2041</v>
      </c>
      <c r="B5894" s="0" t="s">
        <v>2042</v>
      </c>
      <c r="C5894" s="0" t="s">
        <v>2362</v>
      </c>
      <c r="D5894" s="0" t="s">
        <v>2044</v>
      </c>
      <c r="E5894" s="0" t="s">
        <v>2045</v>
      </c>
      <c r="F5894" s="0" t="s">
        <v>2051</v>
      </c>
      <c r="G5894" s="0" t="s">
        <v>2085</v>
      </c>
      <c r="H5894" s="0" t="s">
        <v>2052</v>
      </c>
      <c r="I5894" s="0" t="s">
        <v>2322</v>
      </c>
      <c r="J5894" s="0" t="s">
        <v>2358</v>
      </c>
      <c r="K5894" s="272" t="n">
        <v>7714.29</v>
      </c>
    </row>
    <row r="5895" customFormat="false" ht="15" hidden="false" customHeight="false" outlineLevel="0" collapsed="false">
      <c r="A5895" s="0" t="s">
        <v>2041</v>
      </c>
      <c r="B5895" s="0" t="s">
        <v>2042</v>
      </c>
      <c r="C5895" s="0" t="s">
        <v>2361</v>
      </c>
      <c r="D5895" s="0" t="s">
        <v>2044</v>
      </c>
      <c r="E5895" s="0" t="s">
        <v>2045</v>
      </c>
      <c r="F5895" s="0" t="s">
        <v>2051</v>
      </c>
      <c r="G5895" s="0" t="s">
        <v>2085</v>
      </c>
      <c r="H5895" s="0" t="s">
        <v>2052</v>
      </c>
      <c r="I5895" s="0" t="s">
        <v>2322</v>
      </c>
      <c r="J5895" s="0" t="s">
        <v>2358</v>
      </c>
      <c r="K5895" s="272" t="n">
        <v>10256.995</v>
      </c>
    </row>
    <row r="5896" customFormat="false" ht="15" hidden="false" customHeight="false" outlineLevel="0" collapsed="false">
      <c r="A5896" s="0" t="s">
        <v>2041</v>
      </c>
      <c r="B5896" s="0" t="s">
        <v>2042</v>
      </c>
      <c r="C5896" s="0" t="s">
        <v>2156</v>
      </c>
      <c r="D5896" s="0" t="s">
        <v>2044</v>
      </c>
      <c r="E5896" s="0" t="s">
        <v>2045</v>
      </c>
      <c r="F5896" s="0" t="s">
        <v>2051</v>
      </c>
      <c r="G5896" s="0" t="s">
        <v>2085</v>
      </c>
      <c r="H5896" s="0" t="s">
        <v>2052</v>
      </c>
      <c r="I5896" s="0" t="s">
        <v>2322</v>
      </c>
      <c r="J5896" s="0" t="s">
        <v>2358</v>
      </c>
      <c r="K5896" s="272" t="n">
        <v>547809.04</v>
      </c>
    </row>
    <row r="5897" customFormat="false" ht="15" hidden="false" customHeight="false" outlineLevel="0" collapsed="false">
      <c r="A5897" s="0" t="s">
        <v>2041</v>
      </c>
      <c r="B5897" s="0" t="s">
        <v>2042</v>
      </c>
      <c r="C5897" s="0" t="s">
        <v>2161</v>
      </c>
      <c r="D5897" s="0" t="s">
        <v>2044</v>
      </c>
      <c r="E5897" s="0" t="s">
        <v>2045</v>
      </c>
      <c r="F5897" s="0" t="s">
        <v>2051</v>
      </c>
      <c r="G5897" s="0" t="s">
        <v>2085</v>
      </c>
      <c r="H5897" s="0" t="s">
        <v>2052</v>
      </c>
      <c r="I5897" s="0" t="s">
        <v>2322</v>
      </c>
      <c r="J5897" s="0" t="s">
        <v>2358</v>
      </c>
      <c r="K5897" s="272" t="n">
        <v>165438.332820513</v>
      </c>
    </row>
    <row r="5898" customFormat="false" ht="15" hidden="false" customHeight="false" outlineLevel="0" collapsed="false">
      <c r="A5898" s="0" t="s">
        <v>2041</v>
      </c>
      <c r="B5898" s="0" t="s">
        <v>2042</v>
      </c>
      <c r="C5898" s="0" t="s">
        <v>2349</v>
      </c>
      <c r="D5898" s="0" t="s">
        <v>2044</v>
      </c>
      <c r="E5898" s="0" t="s">
        <v>2045</v>
      </c>
      <c r="F5898" s="0" t="s">
        <v>2051</v>
      </c>
      <c r="G5898" s="0" t="s">
        <v>2085</v>
      </c>
      <c r="H5898" s="0" t="s">
        <v>2052</v>
      </c>
      <c r="I5898" s="0" t="s">
        <v>2322</v>
      </c>
      <c r="J5898" s="0" t="s">
        <v>2358</v>
      </c>
      <c r="K5898" s="272" t="n">
        <v>76404.3816794872</v>
      </c>
    </row>
    <row r="5899" customFormat="false" ht="15" hidden="false" customHeight="false" outlineLevel="0" collapsed="false">
      <c r="A5899" s="0" t="s">
        <v>2041</v>
      </c>
      <c r="B5899" s="0" t="s">
        <v>2042</v>
      </c>
      <c r="C5899" s="0" t="s">
        <v>2352</v>
      </c>
      <c r="D5899" s="0" t="s">
        <v>2044</v>
      </c>
      <c r="E5899" s="0" t="s">
        <v>2045</v>
      </c>
      <c r="F5899" s="0" t="s">
        <v>2046</v>
      </c>
      <c r="G5899" s="0" t="s">
        <v>2086</v>
      </c>
      <c r="H5899" s="0" t="s">
        <v>2048</v>
      </c>
      <c r="I5899" s="0" t="s">
        <v>2322</v>
      </c>
      <c r="J5899" s="0" t="s">
        <v>2358</v>
      </c>
      <c r="K5899" s="272" t="n">
        <v>578888.0935</v>
      </c>
    </row>
    <row r="5900" customFormat="false" ht="15" hidden="false" customHeight="false" outlineLevel="0" collapsed="false">
      <c r="A5900" s="0" t="s">
        <v>2041</v>
      </c>
      <c r="B5900" s="0" t="s">
        <v>2042</v>
      </c>
      <c r="C5900" s="0" t="s">
        <v>2359</v>
      </c>
      <c r="D5900" s="0" t="s">
        <v>2044</v>
      </c>
      <c r="E5900" s="0" t="s">
        <v>2045</v>
      </c>
      <c r="F5900" s="0" t="s">
        <v>2046</v>
      </c>
      <c r="G5900" s="0" t="s">
        <v>2086</v>
      </c>
      <c r="H5900" s="0" t="s">
        <v>2048</v>
      </c>
      <c r="I5900" s="0" t="s">
        <v>2322</v>
      </c>
      <c r="J5900" s="0" t="s">
        <v>2358</v>
      </c>
      <c r="K5900" s="272" t="n">
        <v>45829.975</v>
      </c>
    </row>
    <row r="5901" customFormat="false" ht="15" hidden="false" customHeight="false" outlineLevel="0" collapsed="false">
      <c r="A5901" s="0" t="s">
        <v>2041</v>
      </c>
      <c r="B5901" s="0" t="s">
        <v>2042</v>
      </c>
      <c r="C5901" s="0" t="s">
        <v>2361</v>
      </c>
      <c r="D5901" s="0" t="s">
        <v>2044</v>
      </c>
      <c r="E5901" s="0" t="s">
        <v>2045</v>
      </c>
      <c r="F5901" s="0" t="s">
        <v>2046</v>
      </c>
      <c r="G5901" s="0" t="s">
        <v>2086</v>
      </c>
      <c r="H5901" s="0" t="s">
        <v>2048</v>
      </c>
      <c r="I5901" s="0" t="s">
        <v>2322</v>
      </c>
      <c r="J5901" s="0" t="s">
        <v>2358</v>
      </c>
      <c r="K5901" s="272" t="n">
        <v>66614.823</v>
      </c>
    </row>
    <row r="5902" customFormat="false" ht="15" hidden="false" customHeight="false" outlineLevel="0" collapsed="false">
      <c r="A5902" s="0" t="s">
        <v>2041</v>
      </c>
      <c r="B5902" s="0" t="s">
        <v>2042</v>
      </c>
      <c r="C5902" s="0" t="s">
        <v>2156</v>
      </c>
      <c r="D5902" s="0" t="s">
        <v>2044</v>
      </c>
      <c r="E5902" s="0" t="s">
        <v>2045</v>
      </c>
      <c r="F5902" s="0" t="s">
        <v>2046</v>
      </c>
      <c r="G5902" s="0" t="s">
        <v>2086</v>
      </c>
      <c r="H5902" s="0" t="s">
        <v>2048</v>
      </c>
      <c r="I5902" s="0" t="s">
        <v>2322</v>
      </c>
      <c r="J5902" s="0" t="s">
        <v>2358</v>
      </c>
      <c r="K5902" s="272" t="n">
        <v>1413034.785</v>
      </c>
    </row>
    <row r="5903" customFormat="false" ht="15" hidden="false" customHeight="false" outlineLevel="0" collapsed="false">
      <c r="A5903" s="0" t="s">
        <v>2041</v>
      </c>
      <c r="B5903" s="0" t="s">
        <v>2042</v>
      </c>
      <c r="C5903" s="0" t="s">
        <v>2161</v>
      </c>
      <c r="D5903" s="0" t="s">
        <v>2044</v>
      </c>
      <c r="E5903" s="0" t="s">
        <v>2045</v>
      </c>
      <c r="F5903" s="0" t="s">
        <v>2046</v>
      </c>
      <c r="G5903" s="0" t="s">
        <v>2086</v>
      </c>
      <c r="H5903" s="0" t="s">
        <v>2048</v>
      </c>
      <c r="I5903" s="0" t="s">
        <v>2322</v>
      </c>
      <c r="J5903" s="0" t="s">
        <v>2358</v>
      </c>
      <c r="K5903" s="272" t="n">
        <v>426736.507</v>
      </c>
    </row>
    <row r="5904" customFormat="false" ht="15" hidden="false" customHeight="false" outlineLevel="0" collapsed="false">
      <c r="A5904" s="0" t="s">
        <v>2041</v>
      </c>
      <c r="B5904" s="0" t="s">
        <v>2042</v>
      </c>
      <c r="C5904" s="0" t="s">
        <v>2349</v>
      </c>
      <c r="D5904" s="0" t="s">
        <v>2044</v>
      </c>
      <c r="E5904" s="0" t="s">
        <v>2045</v>
      </c>
      <c r="F5904" s="0" t="s">
        <v>2046</v>
      </c>
      <c r="G5904" s="0" t="s">
        <v>2086</v>
      </c>
      <c r="H5904" s="0" t="s">
        <v>2048</v>
      </c>
      <c r="I5904" s="0" t="s">
        <v>2322</v>
      </c>
      <c r="J5904" s="0" t="s">
        <v>2358</v>
      </c>
      <c r="K5904" s="272" t="n">
        <v>206820.8165</v>
      </c>
    </row>
    <row r="5905" customFormat="false" ht="15" hidden="false" customHeight="false" outlineLevel="0" collapsed="false">
      <c r="A5905" s="0" t="s">
        <v>2041</v>
      </c>
      <c r="B5905" s="0" t="s">
        <v>2042</v>
      </c>
      <c r="C5905" s="0" t="s">
        <v>2352</v>
      </c>
      <c r="D5905" s="0" t="s">
        <v>2044</v>
      </c>
      <c r="E5905" s="0" t="s">
        <v>2045</v>
      </c>
      <c r="F5905" s="0" t="s">
        <v>2051</v>
      </c>
      <c r="G5905" s="0" t="s">
        <v>2086</v>
      </c>
      <c r="H5905" s="0" t="s">
        <v>2052</v>
      </c>
      <c r="I5905" s="0" t="s">
        <v>2322</v>
      </c>
      <c r="J5905" s="0" t="s">
        <v>2358</v>
      </c>
      <c r="K5905" s="272" t="n">
        <v>72066.6665</v>
      </c>
    </row>
    <row r="5906" customFormat="false" ht="15" hidden="false" customHeight="false" outlineLevel="0" collapsed="false">
      <c r="A5906" s="0" t="s">
        <v>2041</v>
      </c>
      <c r="B5906" s="0" t="s">
        <v>2042</v>
      </c>
      <c r="C5906" s="0" t="s">
        <v>2359</v>
      </c>
      <c r="D5906" s="0" t="s">
        <v>2044</v>
      </c>
      <c r="E5906" s="0" t="s">
        <v>2045</v>
      </c>
      <c r="F5906" s="0" t="s">
        <v>2051</v>
      </c>
      <c r="G5906" s="0" t="s">
        <v>2086</v>
      </c>
      <c r="H5906" s="0" t="s">
        <v>2052</v>
      </c>
      <c r="I5906" s="0" t="s">
        <v>2322</v>
      </c>
      <c r="J5906" s="0" t="s">
        <v>2358</v>
      </c>
      <c r="K5906" s="272" t="n">
        <v>8750.915</v>
      </c>
    </row>
    <row r="5907" customFormat="false" ht="15" hidden="false" customHeight="false" outlineLevel="0" collapsed="false">
      <c r="A5907" s="0" t="s">
        <v>2041</v>
      </c>
      <c r="B5907" s="0" t="s">
        <v>2042</v>
      </c>
      <c r="C5907" s="0" t="s">
        <v>2361</v>
      </c>
      <c r="D5907" s="0" t="s">
        <v>2044</v>
      </c>
      <c r="E5907" s="0" t="s">
        <v>2045</v>
      </c>
      <c r="F5907" s="0" t="s">
        <v>2051</v>
      </c>
      <c r="G5907" s="0" t="s">
        <v>2086</v>
      </c>
      <c r="H5907" s="0" t="s">
        <v>2052</v>
      </c>
      <c r="I5907" s="0" t="s">
        <v>2322</v>
      </c>
      <c r="J5907" s="0" t="s">
        <v>2358</v>
      </c>
      <c r="K5907" s="272" t="n">
        <v>11755.557</v>
      </c>
    </row>
    <row r="5908" customFormat="false" ht="15" hidden="false" customHeight="false" outlineLevel="0" collapsed="false">
      <c r="A5908" s="0" t="s">
        <v>2041</v>
      </c>
      <c r="B5908" s="0" t="s">
        <v>2042</v>
      </c>
      <c r="C5908" s="0" t="s">
        <v>2156</v>
      </c>
      <c r="D5908" s="0" t="s">
        <v>2044</v>
      </c>
      <c r="E5908" s="0" t="s">
        <v>2045</v>
      </c>
      <c r="F5908" s="0" t="s">
        <v>2051</v>
      </c>
      <c r="G5908" s="0" t="s">
        <v>2086</v>
      </c>
      <c r="H5908" s="0" t="s">
        <v>2052</v>
      </c>
      <c r="I5908" s="0" t="s">
        <v>2322</v>
      </c>
      <c r="J5908" s="0" t="s">
        <v>2358</v>
      </c>
      <c r="K5908" s="272" t="n">
        <v>238312.315</v>
      </c>
    </row>
    <row r="5909" customFormat="false" ht="15" hidden="false" customHeight="false" outlineLevel="0" collapsed="false">
      <c r="A5909" s="0" t="s">
        <v>2041</v>
      </c>
      <c r="B5909" s="0" t="s">
        <v>2042</v>
      </c>
      <c r="C5909" s="0" t="s">
        <v>2161</v>
      </c>
      <c r="D5909" s="0" t="s">
        <v>2044</v>
      </c>
      <c r="E5909" s="0" t="s">
        <v>2045</v>
      </c>
      <c r="F5909" s="0" t="s">
        <v>2051</v>
      </c>
      <c r="G5909" s="0" t="s">
        <v>2086</v>
      </c>
      <c r="H5909" s="0" t="s">
        <v>2052</v>
      </c>
      <c r="I5909" s="0" t="s">
        <v>2322</v>
      </c>
      <c r="J5909" s="0" t="s">
        <v>2358</v>
      </c>
      <c r="K5909" s="272" t="n">
        <v>71970.318</v>
      </c>
    </row>
    <row r="5910" customFormat="false" ht="15" hidden="false" customHeight="false" outlineLevel="0" collapsed="false">
      <c r="A5910" s="0" t="s">
        <v>2041</v>
      </c>
      <c r="B5910" s="0" t="s">
        <v>2042</v>
      </c>
      <c r="C5910" s="0" t="s">
        <v>2349</v>
      </c>
      <c r="D5910" s="0" t="s">
        <v>2044</v>
      </c>
      <c r="E5910" s="0" t="s">
        <v>2045</v>
      </c>
      <c r="F5910" s="0" t="s">
        <v>2051</v>
      </c>
      <c r="G5910" s="0" t="s">
        <v>2086</v>
      </c>
      <c r="H5910" s="0" t="s">
        <v>2052</v>
      </c>
      <c r="I5910" s="0" t="s">
        <v>2322</v>
      </c>
      <c r="J5910" s="0" t="s">
        <v>2358</v>
      </c>
      <c r="K5910" s="272" t="n">
        <v>29918.8185</v>
      </c>
    </row>
    <row r="5911" customFormat="false" ht="15" hidden="false" customHeight="false" outlineLevel="0" collapsed="false">
      <c r="A5911" s="0" t="s">
        <v>2041</v>
      </c>
      <c r="B5911" s="0" t="s">
        <v>2042</v>
      </c>
      <c r="C5911" s="0" t="s">
        <v>2352</v>
      </c>
      <c r="D5911" s="0" t="s">
        <v>2044</v>
      </c>
      <c r="E5911" s="0" t="s">
        <v>2045</v>
      </c>
      <c r="F5911" s="0" t="s">
        <v>2046</v>
      </c>
      <c r="G5911" s="0" t="s">
        <v>2087</v>
      </c>
      <c r="H5911" s="0" t="s">
        <v>2048</v>
      </c>
      <c r="I5911" s="0" t="s">
        <v>2322</v>
      </c>
      <c r="J5911" s="0" t="s">
        <v>2358</v>
      </c>
      <c r="K5911" s="272" t="n">
        <v>620450</v>
      </c>
    </row>
    <row r="5912" customFormat="false" ht="15" hidden="false" customHeight="false" outlineLevel="0" collapsed="false">
      <c r="A5912" s="0" t="s">
        <v>2041</v>
      </c>
      <c r="B5912" s="0" t="s">
        <v>2042</v>
      </c>
      <c r="C5912" s="0" t="s">
        <v>2359</v>
      </c>
      <c r="D5912" s="0" t="s">
        <v>2044</v>
      </c>
      <c r="E5912" s="0" t="s">
        <v>2045</v>
      </c>
      <c r="F5912" s="0" t="s">
        <v>2046</v>
      </c>
      <c r="G5912" s="0" t="s">
        <v>2087</v>
      </c>
      <c r="H5912" s="0" t="s">
        <v>2048</v>
      </c>
      <c r="I5912" s="0" t="s">
        <v>2322</v>
      </c>
      <c r="J5912" s="0" t="s">
        <v>2358</v>
      </c>
      <c r="K5912" s="272" t="n">
        <v>182160.682</v>
      </c>
    </row>
    <row r="5913" customFormat="false" ht="15" hidden="false" customHeight="false" outlineLevel="0" collapsed="false">
      <c r="A5913" s="0" t="s">
        <v>2041</v>
      </c>
      <c r="B5913" s="0" t="s">
        <v>2042</v>
      </c>
      <c r="C5913" s="0" t="s">
        <v>2361</v>
      </c>
      <c r="D5913" s="0" t="s">
        <v>2044</v>
      </c>
      <c r="E5913" s="0" t="s">
        <v>2045</v>
      </c>
      <c r="F5913" s="0" t="s">
        <v>2046</v>
      </c>
      <c r="G5913" s="0" t="s">
        <v>2087</v>
      </c>
      <c r="H5913" s="0" t="s">
        <v>2048</v>
      </c>
      <c r="I5913" s="0" t="s">
        <v>2322</v>
      </c>
      <c r="J5913" s="0" t="s">
        <v>2358</v>
      </c>
      <c r="K5913" s="272" t="n">
        <v>43857.411</v>
      </c>
    </row>
    <row r="5914" customFormat="false" ht="15" hidden="false" customHeight="false" outlineLevel="0" collapsed="false">
      <c r="A5914" s="0" t="s">
        <v>2041</v>
      </c>
      <c r="B5914" s="0" t="s">
        <v>2042</v>
      </c>
      <c r="C5914" s="0" t="s">
        <v>2156</v>
      </c>
      <c r="D5914" s="0" t="s">
        <v>2044</v>
      </c>
      <c r="E5914" s="0" t="s">
        <v>2045</v>
      </c>
      <c r="F5914" s="0" t="s">
        <v>2046</v>
      </c>
      <c r="G5914" s="0" t="s">
        <v>2087</v>
      </c>
      <c r="H5914" s="0" t="s">
        <v>2048</v>
      </c>
      <c r="I5914" s="0" t="s">
        <v>2322</v>
      </c>
      <c r="J5914" s="0" t="s">
        <v>2358</v>
      </c>
      <c r="K5914" s="272" t="n">
        <v>1713501.95</v>
      </c>
    </row>
    <row r="5915" customFormat="false" ht="15" hidden="false" customHeight="false" outlineLevel="0" collapsed="false">
      <c r="A5915" s="0" t="s">
        <v>2041</v>
      </c>
      <c r="B5915" s="0" t="s">
        <v>2042</v>
      </c>
      <c r="C5915" s="0" t="s">
        <v>2360</v>
      </c>
      <c r="D5915" s="0" t="s">
        <v>2044</v>
      </c>
      <c r="E5915" s="0" t="s">
        <v>2045</v>
      </c>
      <c r="F5915" s="0" t="s">
        <v>2046</v>
      </c>
      <c r="G5915" s="0" t="s">
        <v>2087</v>
      </c>
      <c r="H5915" s="0" t="s">
        <v>2048</v>
      </c>
      <c r="I5915" s="0" t="s">
        <v>2322</v>
      </c>
      <c r="J5915" s="0" t="s">
        <v>2358</v>
      </c>
      <c r="K5915" s="272" t="n">
        <v>2467.5</v>
      </c>
    </row>
    <row r="5916" customFormat="false" ht="15" hidden="false" customHeight="false" outlineLevel="0" collapsed="false">
      <c r="A5916" s="0" t="s">
        <v>2041</v>
      </c>
      <c r="B5916" s="0" t="s">
        <v>2042</v>
      </c>
      <c r="C5916" s="0" t="s">
        <v>2161</v>
      </c>
      <c r="D5916" s="0" t="s">
        <v>2044</v>
      </c>
      <c r="E5916" s="0" t="s">
        <v>2045</v>
      </c>
      <c r="F5916" s="0" t="s">
        <v>2046</v>
      </c>
      <c r="G5916" s="0" t="s">
        <v>2087</v>
      </c>
      <c r="H5916" s="0" t="s">
        <v>2048</v>
      </c>
      <c r="I5916" s="0" t="s">
        <v>2322</v>
      </c>
      <c r="J5916" s="0" t="s">
        <v>2358</v>
      </c>
      <c r="K5916" s="272" t="n">
        <v>406179.07</v>
      </c>
    </row>
    <row r="5917" customFormat="false" ht="15" hidden="false" customHeight="false" outlineLevel="0" collapsed="false">
      <c r="A5917" s="0" t="s">
        <v>2041</v>
      </c>
      <c r="B5917" s="0" t="s">
        <v>2042</v>
      </c>
      <c r="C5917" s="0" t="s">
        <v>2349</v>
      </c>
      <c r="D5917" s="0" t="s">
        <v>2044</v>
      </c>
      <c r="E5917" s="0" t="s">
        <v>2045</v>
      </c>
      <c r="F5917" s="0" t="s">
        <v>2046</v>
      </c>
      <c r="G5917" s="0" t="s">
        <v>2087</v>
      </c>
      <c r="H5917" s="0" t="s">
        <v>2048</v>
      </c>
      <c r="I5917" s="0" t="s">
        <v>2322</v>
      </c>
      <c r="J5917" s="0" t="s">
        <v>2358</v>
      </c>
      <c r="K5917" s="272" t="n">
        <v>229886.6905</v>
      </c>
    </row>
    <row r="5918" customFormat="false" ht="15" hidden="false" customHeight="false" outlineLevel="0" collapsed="false">
      <c r="A5918" s="0" t="s">
        <v>2041</v>
      </c>
      <c r="B5918" s="0" t="s">
        <v>2042</v>
      </c>
      <c r="C5918" s="0" t="s">
        <v>2352</v>
      </c>
      <c r="D5918" s="0" t="s">
        <v>2044</v>
      </c>
      <c r="E5918" s="0" t="s">
        <v>2045</v>
      </c>
      <c r="F5918" s="0" t="s">
        <v>2051</v>
      </c>
      <c r="G5918" s="0" t="s">
        <v>2087</v>
      </c>
      <c r="H5918" s="0" t="s">
        <v>2052</v>
      </c>
      <c r="I5918" s="0" t="s">
        <v>2322</v>
      </c>
      <c r="J5918" s="0" t="s">
        <v>2358</v>
      </c>
      <c r="K5918" s="272" t="n">
        <v>720800</v>
      </c>
    </row>
    <row r="5919" customFormat="false" ht="15" hidden="false" customHeight="false" outlineLevel="0" collapsed="false">
      <c r="A5919" s="0" t="s">
        <v>2041</v>
      </c>
      <c r="B5919" s="0" t="s">
        <v>2042</v>
      </c>
      <c r="C5919" s="0" t="s">
        <v>2359</v>
      </c>
      <c r="D5919" s="0" t="s">
        <v>2044</v>
      </c>
      <c r="E5919" s="0" t="s">
        <v>2045</v>
      </c>
      <c r="F5919" s="0" t="s">
        <v>2051</v>
      </c>
      <c r="G5919" s="0" t="s">
        <v>2087</v>
      </c>
      <c r="H5919" s="0" t="s">
        <v>2052</v>
      </c>
      <c r="I5919" s="0" t="s">
        <v>2322</v>
      </c>
      <c r="J5919" s="0" t="s">
        <v>2358</v>
      </c>
      <c r="K5919" s="272" t="n">
        <v>305336.548</v>
      </c>
    </row>
    <row r="5920" customFormat="false" ht="15" hidden="false" customHeight="false" outlineLevel="0" collapsed="false">
      <c r="A5920" s="0" t="s">
        <v>2041</v>
      </c>
      <c r="B5920" s="0" t="s">
        <v>2042</v>
      </c>
      <c r="C5920" s="0" t="s">
        <v>2361</v>
      </c>
      <c r="D5920" s="0" t="s">
        <v>2044</v>
      </c>
      <c r="E5920" s="0" t="s">
        <v>2045</v>
      </c>
      <c r="F5920" s="0" t="s">
        <v>2051</v>
      </c>
      <c r="G5920" s="0" t="s">
        <v>2087</v>
      </c>
      <c r="H5920" s="0" t="s">
        <v>2052</v>
      </c>
      <c r="I5920" s="0" t="s">
        <v>2322</v>
      </c>
      <c r="J5920" s="0" t="s">
        <v>2358</v>
      </c>
      <c r="K5920" s="272" t="n">
        <v>41114.489</v>
      </c>
    </row>
    <row r="5921" customFormat="false" ht="15" hidden="false" customHeight="false" outlineLevel="0" collapsed="false">
      <c r="A5921" s="0" t="s">
        <v>2041</v>
      </c>
      <c r="B5921" s="0" t="s">
        <v>2042</v>
      </c>
      <c r="C5921" s="0" t="s">
        <v>2156</v>
      </c>
      <c r="D5921" s="0" t="s">
        <v>2044</v>
      </c>
      <c r="E5921" s="0" t="s">
        <v>2045</v>
      </c>
      <c r="F5921" s="0" t="s">
        <v>2051</v>
      </c>
      <c r="G5921" s="0" t="s">
        <v>2087</v>
      </c>
      <c r="H5921" s="0" t="s">
        <v>2052</v>
      </c>
      <c r="I5921" s="0" t="s">
        <v>2322</v>
      </c>
      <c r="J5921" s="0" t="s">
        <v>2358</v>
      </c>
      <c r="K5921" s="272" t="n">
        <v>2963628.05</v>
      </c>
    </row>
    <row r="5922" customFormat="false" ht="15" hidden="false" customHeight="false" outlineLevel="0" collapsed="false">
      <c r="A5922" s="0" t="s">
        <v>2041</v>
      </c>
      <c r="B5922" s="0" t="s">
        <v>2042</v>
      </c>
      <c r="C5922" s="0" t="s">
        <v>2360</v>
      </c>
      <c r="D5922" s="0" t="s">
        <v>2044</v>
      </c>
      <c r="E5922" s="0" t="s">
        <v>2045</v>
      </c>
      <c r="F5922" s="0" t="s">
        <v>2051</v>
      </c>
      <c r="G5922" s="0" t="s">
        <v>2087</v>
      </c>
      <c r="H5922" s="0" t="s">
        <v>2052</v>
      </c>
      <c r="I5922" s="0" t="s">
        <v>2322</v>
      </c>
      <c r="J5922" s="0" t="s">
        <v>2358</v>
      </c>
      <c r="K5922" s="272" t="n">
        <v>2467.5</v>
      </c>
    </row>
    <row r="5923" customFormat="false" ht="15" hidden="false" customHeight="false" outlineLevel="0" collapsed="false">
      <c r="A5923" s="0" t="s">
        <v>2041</v>
      </c>
      <c r="B5923" s="0" t="s">
        <v>2042</v>
      </c>
      <c r="C5923" s="0" t="s">
        <v>2161</v>
      </c>
      <c r="D5923" s="0" t="s">
        <v>2044</v>
      </c>
      <c r="E5923" s="0" t="s">
        <v>2045</v>
      </c>
      <c r="F5923" s="0" t="s">
        <v>2051</v>
      </c>
      <c r="G5923" s="0" t="s">
        <v>2087</v>
      </c>
      <c r="H5923" s="0" t="s">
        <v>2052</v>
      </c>
      <c r="I5923" s="0" t="s">
        <v>2322</v>
      </c>
      <c r="J5923" s="0" t="s">
        <v>2358</v>
      </c>
      <c r="K5923" s="272" t="n">
        <v>728067.894444444</v>
      </c>
    </row>
    <row r="5924" customFormat="false" ht="15" hidden="false" customHeight="false" outlineLevel="0" collapsed="false">
      <c r="A5924" s="0" t="s">
        <v>2041</v>
      </c>
      <c r="B5924" s="0" t="s">
        <v>2042</v>
      </c>
      <c r="C5924" s="0" t="s">
        <v>2349</v>
      </c>
      <c r="D5924" s="0" t="s">
        <v>2044</v>
      </c>
      <c r="E5924" s="0" t="s">
        <v>2045</v>
      </c>
      <c r="F5924" s="0" t="s">
        <v>2051</v>
      </c>
      <c r="G5924" s="0" t="s">
        <v>2087</v>
      </c>
      <c r="H5924" s="0" t="s">
        <v>2052</v>
      </c>
      <c r="I5924" s="0" t="s">
        <v>2322</v>
      </c>
      <c r="J5924" s="0" t="s">
        <v>2358</v>
      </c>
      <c r="K5924" s="272" t="n">
        <v>283373.455055556</v>
      </c>
    </row>
    <row r="5925" customFormat="false" ht="15" hidden="false" customHeight="false" outlineLevel="0" collapsed="false">
      <c r="A5925" s="0" t="s">
        <v>2041</v>
      </c>
      <c r="B5925" s="0" t="s">
        <v>2042</v>
      </c>
      <c r="C5925" s="0" t="s">
        <v>2352</v>
      </c>
      <c r="D5925" s="0" t="s">
        <v>2044</v>
      </c>
      <c r="E5925" s="0" t="s">
        <v>2045</v>
      </c>
      <c r="F5925" s="0" t="s">
        <v>2046</v>
      </c>
      <c r="G5925" s="0" t="s">
        <v>2088</v>
      </c>
      <c r="H5925" s="0" t="s">
        <v>2048</v>
      </c>
      <c r="I5925" s="0" t="s">
        <v>2322</v>
      </c>
      <c r="J5925" s="0" t="s">
        <v>2358</v>
      </c>
      <c r="K5925" s="272" t="n">
        <v>438973.21</v>
      </c>
    </row>
    <row r="5926" customFormat="false" ht="15" hidden="false" customHeight="false" outlineLevel="0" collapsed="false">
      <c r="A5926" s="0" t="s">
        <v>2041</v>
      </c>
      <c r="B5926" s="0" t="s">
        <v>2042</v>
      </c>
      <c r="C5926" s="0" t="s">
        <v>2359</v>
      </c>
      <c r="D5926" s="0" t="s">
        <v>2044</v>
      </c>
      <c r="E5926" s="0" t="s">
        <v>2045</v>
      </c>
      <c r="F5926" s="0" t="s">
        <v>2046</v>
      </c>
      <c r="G5926" s="0" t="s">
        <v>2088</v>
      </c>
      <c r="H5926" s="0" t="s">
        <v>2048</v>
      </c>
      <c r="I5926" s="0" t="s">
        <v>2322</v>
      </c>
      <c r="J5926" s="0" t="s">
        <v>2358</v>
      </c>
      <c r="K5926" s="272" t="n">
        <v>170440.726</v>
      </c>
    </row>
    <row r="5927" customFormat="false" ht="15" hidden="false" customHeight="false" outlineLevel="0" collapsed="false">
      <c r="A5927" s="0" t="s">
        <v>2041</v>
      </c>
      <c r="B5927" s="0" t="s">
        <v>2042</v>
      </c>
      <c r="C5927" s="0" t="s">
        <v>2361</v>
      </c>
      <c r="D5927" s="0" t="s">
        <v>2044</v>
      </c>
      <c r="E5927" s="0" t="s">
        <v>2045</v>
      </c>
      <c r="F5927" s="0" t="s">
        <v>2046</v>
      </c>
      <c r="G5927" s="0" t="s">
        <v>2088</v>
      </c>
      <c r="H5927" s="0" t="s">
        <v>2048</v>
      </c>
      <c r="I5927" s="0" t="s">
        <v>2322</v>
      </c>
      <c r="J5927" s="0" t="s">
        <v>2358</v>
      </c>
      <c r="K5927" s="272" t="n">
        <v>2513.459</v>
      </c>
    </row>
    <row r="5928" customFormat="false" ht="15" hidden="false" customHeight="false" outlineLevel="0" collapsed="false">
      <c r="A5928" s="0" t="s">
        <v>2041</v>
      </c>
      <c r="B5928" s="0" t="s">
        <v>2042</v>
      </c>
      <c r="C5928" s="0" t="s">
        <v>2156</v>
      </c>
      <c r="D5928" s="0" t="s">
        <v>2044</v>
      </c>
      <c r="E5928" s="0" t="s">
        <v>2045</v>
      </c>
      <c r="F5928" s="0" t="s">
        <v>2046</v>
      </c>
      <c r="G5928" s="0" t="s">
        <v>2088</v>
      </c>
      <c r="H5928" s="0" t="s">
        <v>2048</v>
      </c>
      <c r="I5928" s="0" t="s">
        <v>2322</v>
      </c>
      <c r="J5928" s="0" t="s">
        <v>2358</v>
      </c>
      <c r="K5928" s="272" t="n">
        <v>1092411</v>
      </c>
    </row>
    <row r="5929" customFormat="false" ht="15" hidden="false" customHeight="false" outlineLevel="0" collapsed="false">
      <c r="A5929" s="0" t="s">
        <v>2041</v>
      </c>
      <c r="B5929" s="0" t="s">
        <v>2042</v>
      </c>
      <c r="C5929" s="0" t="s">
        <v>2161</v>
      </c>
      <c r="D5929" s="0" t="s">
        <v>2044</v>
      </c>
      <c r="E5929" s="0" t="s">
        <v>2045</v>
      </c>
      <c r="F5929" s="0" t="s">
        <v>2046</v>
      </c>
      <c r="G5929" s="0" t="s">
        <v>2088</v>
      </c>
      <c r="H5929" s="0" t="s">
        <v>2048</v>
      </c>
      <c r="I5929" s="0" t="s">
        <v>2322</v>
      </c>
      <c r="J5929" s="0" t="s">
        <v>2358</v>
      </c>
      <c r="K5929" s="272" t="n">
        <v>329908.13</v>
      </c>
    </row>
    <row r="5930" customFormat="false" ht="15" hidden="false" customHeight="false" outlineLevel="0" collapsed="false">
      <c r="A5930" s="0" t="s">
        <v>2041</v>
      </c>
      <c r="B5930" s="0" t="s">
        <v>2042</v>
      </c>
      <c r="C5930" s="0" t="s">
        <v>2349</v>
      </c>
      <c r="D5930" s="0" t="s">
        <v>2044</v>
      </c>
      <c r="E5930" s="0" t="s">
        <v>2045</v>
      </c>
      <c r="F5930" s="0" t="s">
        <v>2046</v>
      </c>
      <c r="G5930" s="0" t="s">
        <v>2088</v>
      </c>
      <c r="H5930" s="0" t="s">
        <v>2048</v>
      </c>
      <c r="I5930" s="0" t="s">
        <v>2322</v>
      </c>
      <c r="J5930" s="0" t="s">
        <v>2358</v>
      </c>
      <c r="K5930" s="272" t="n">
        <v>184802.0595</v>
      </c>
    </row>
    <row r="5931" customFormat="false" ht="15" hidden="false" customHeight="false" outlineLevel="0" collapsed="false">
      <c r="A5931" s="0" t="s">
        <v>2041</v>
      </c>
      <c r="B5931" s="0" t="s">
        <v>2042</v>
      </c>
      <c r="C5931" s="0" t="s">
        <v>2352</v>
      </c>
      <c r="D5931" s="0" t="s">
        <v>2044</v>
      </c>
      <c r="E5931" s="0" t="s">
        <v>2045</v>
      </c>
      <c r="F5931" s="0" t="s">
        <v>2051</v>
      </c>
      <c r="G5931" s="0" t="s">
        <v>2088</v>
      </c>
      <c r="H5931" s="0" t="s">
        <v>2052</v>
      </c>
      <c r="I5931" s="0" t="s">
        <v>2322</v>
      </c>
      <c r="J5931" s="0" t="s">
        <v>2358</v>
      </c>
      <c r="K5931" s="272" t="n">
        <v>94062.5</v>
      </c>
    </row>
    <row r="5932" customFormat="false" ht="15" hidden="false" customHeight="false" outlineLevel="0" collapsed="false">
      <c r="A5932" s="0" t="s">
        <v>2041</v>
      </c>
      <c r="B5932" s="0" t="s">
        <v>2042</v>
      </c>
      <c r="C5932" s="0" t="s">
        <v>2359</v>
      </c>
      <c r="D5932" s="0" t="s">
        <v>2044</v>
      </c>
      <c r="E5932" s="0" t="s">
        <v>2045</v>
      </c>
      <c r="F5932" s="0" t="s">
        <v>2051</v>
      </c>
      <c r="G5932" s="0" t="s">
        <v>2088</v>
      </c>
      <c r="H5932" s="0" t="s">
        <v>2052</v>
      </c>
      <c r="I5932" s="0" t="s">
        <v>2322</v>
      </c>
      <c r="J5932" s="0" t="s">
        <v>2358</v>
      </c>
      <c r="K5932" s="272" t="n">
        <v>84088.494</v>
      </c>
    </row>
    <row r="5933" customFormat="false" ht="15" hidden="false" customHeight="false" outlineLevel="0" collapsed="false">
      <c r="A5933" s="0" t="s">
        <v>2041</v>
      </c>
      <c r="B5933" s="0" t="s">
        <v>2042</v>
      </c>
      <c r="C5933" s="0" t="s">
        <v>2361</v>
      </c>
      <c r="D5933" s="0" t="s">
        <v>2044</v>
      </c>
      <c r="E5933" s="0" t="s">
        <v>2045</v>
      </c>
      <c r="F5933" s="0" t="s">
        <v>2051</v>
      </c>
      <c r="G5933" s="0" t="s">
        <v>2088</v>
      </c>
      <c r="H5933" s="0" t="s">
        <v>2052</v>
      </c>
      <c r="I5933" s="0" t="s">
        <v>2322</v>
      </c>
      <c r="J5933" s="0" t="s">
        <v>2358</v>
      </c>
      <c r="K5933" s="272" t="n">
        <v>1353.401</v>
      </c>
    </row>
    <row r="5934" customFormat="false" ht="15" hidden="false" customHeight="false" outlineLevel="0" collapsed="false">
      <c r="A5934" s="0" t="s">
        <v>2041</v>
      </c>
      <c r="B5934" s="0" t="s">
        <v>2042</v>
      </c>
      <c r="C5934" s="0" t="s">
        <v>2156</v>
      </c>
      <c r="D5934" s="0" t="s">
        <v>2044</v>
      </c>
      <c r="E5934" s="0" t="s">
        <v>2045</v>
      </c>
      <c r="F5934" s="0" t="s">
        <v>2051</v>
      </c>
      <c r="G5934" s="0" t="s">
        <v>2088</v>
      </c>
      <c r="H5934" s="0" t="s">
        <v>2052</v>
      </c>
      <c r="I5934" s="0" t="s">
        <v>2322</v>
      </c>
      <c r="J5934" s="0" t="s">
        <v>2358</v>
      </c>
      <c r="K5934" s="272" t="n">
        <v>165791.5</v>
      </c>
    </row>
    <row r="5935" customFormat="false" ht="15" hidden="false" customHeight="false" outlineLevel="0" collapsed="false">
      <c r="A5935" s="0" t="s">
        <v>2041</v>
      </c>
      <c r="B5935" s="0" t="s">
        <v>2042</v>
      </c>
      <c r="C5935" s="0" t="s">
        <v>2161</v>
      </c>
      <c r="D5935" s="0" t="s">
        <v>2044</v>
      </c>
      <c r="E5935" s="0" t="s">
        <v>2045</v>
      </c>
      <c r="F5935" s="0" t="s">
        <v>2051</v>
      </c>
      <c r="G5935" s="0" t="s">
        <v>2088</v>
      </c>
      <c r="H5935" s="0" t="s">
        <v>2052</v>
      </c>
      <c r="I5935" s="0" t="s">
        <v>2322</v>
      </c>
      <c r="J5935" s="0" t="s">
        <v>2358</v>
      </c>
      <c r="K5935" s="272" t="n">
        <v>50069.0346153846</v>
      </c>
    </row>
    <row r="5936" customFormat="false" ht="15" hidden="false" customHeight="false" outlineLevel="0" collapsed="false">
      <c r="A5936" s="0" t="s">
        <v>2041</v>
      </c>
      <c r="B5936" s="0" t="s">
        <v>2042</v>
      </c>
      <c r="C5936" s="0" t="s">
        <v>2349</v>
      </c>
      <c r="D5936" s="0" t="s">
        <v>2044</v>
      </c>
      <c r="E5936" s="0" t="s">
        <v>2045</v>
      </c>
      <c r="F5936" s="0" t="s">
        <v>2051</v>
      </c>
      <c r="G5936" s="0" t="s">
        <v>2088</v>
      </c>
      <c r="H5936" s="0" t="s">
        <v>2052</v>
      </c>
      <c r="I5936" s="0" t="s">
        <v>2322</v>
      </c>
      <c r="J5936" s="0" t="s">
        <v>2358</v>
      </c>
      <c r="K5936" s="272" t="n">
        <v>54210.3258846154</v>
      </c>
    </row>
    <row r="5937" customFormat="false" ht="15" hidden="false" customHeight="false" outlineLevel="0" collapsed="false">
      <c r="A5937" s="0" t="s">
        <v>2041</v>
      </c>
      <c r="B5937" s="0" t="s">
        <v>2042</v>
      </c>
      <c r="C5937" s="0" t="s">
        <v>2352</v>
      </c>
      <c r="D5937" s="0" t="s">
        <v>2044</v>
      </c>
      <c r="E5937" s="0" t="s">
        <v>2045</v>
      </c>
      <c r="F5937" s="0" t="s">
        <v>2046</v>
      </c>
      <c r="G5937" s="0" t="s">
        <v>2089</v>
      </c>
      <c r="H5937" s="0" t="s">
        <v>2048</v>
      </c>
      <c r="I5937" s="0" t="s">
        <v>2322</v>
      </c>
      <c r="J5937" s="0" t="s">
        <v>2358</v>
      </c>
      <c r="K5937" s="272" t="n">
        <v>124457.1471</v>
      </c>
    </row>
    <row r="5938" customFormat="false" ht="15" hidden="false" customHeight="false" outlineLevel="0" collapsed="false">
      <c r="A5938" s="0" t="s">
        <v>2041</v>
      </c>
      <c r="B5938" s="0" t="s">
        <v>2042</v>
      </c>
      <c r="C5938" s="0" t="s">
        <v>2359</v>
      </c>
      <c r="D5938" s="0" t="s">
        <v>2044</v>
      </c>
      <c r="E5938" s="0" t="s">
        <v>2045</v>
      </c>
      <c r="F5938" s="0" t="s">
        <v>2046</v>
      </c>
      <c r="G5938" s="0" t="s">
        <v>2089</v>
      </c>
      <c r="H5938" s="0" t="s">
        <v>2048</v>
      </c>
      <c r="I5938" s="0" t="s">
        <v>2322</v>
      </c>
      <c r="J5938" s="0" t="s">
        <v>2358</v>
      </c>
      <c r="K5938" s="272" t="n">
        <v>53174.3751</v>
      </c>
    </row>
    <row r="5939" customFormat="false" ht="15" hidden="false" customHeight="false" outlineLevel="0" collapsed="false">
      <c r="A5939" s="0" t="s">
        <v>2041</v>
      </c>
      <c r="B5939" s="0" t="s">
        <v>2042</v>
      </c>
      <c r="C5939" s="0" t="s">
        <v>2156</v>
      </c>
      <c r="D5939" s="0" t="s">
        <v>2044</v>
      </c>
      <c r="E5939" s="0" t="s">
        <v>2045</v>
      </c>
      <c r="F5939" s="0" t="s">
        <v>2046</v>
      </c>
      <c r="G5939" s="0" t="s">
        <v>2089</v>
      </c>
      <c r="H5939" s="0" t="s">
        <v>2048</v>
      </c>
      <c r="I5939" s="0" t="s">
        <v>2322</v>
      </c>
      <c r="J5939" s="0" t="s">
        <v>2358</v>
      </c>
      <c r="K5939" s="272" t="n">
        <v>267785.1</v>
      </c>
    </row>
    <row r="5940" customFormat="false" ht="15" hidden="false" customHeight="false" outlineLevel="0" collapsed="false">
      <c r="A5940" s="0" t="s">
        <v>2041</v>
      </c>
      <c r="B5940" s="0" t="s">
        <v>2042</v>
      </c>
      <c r="C5940" s="0" t="s">
        <v>2161</v>
      </c>
      <c r="D5940" s="0" t="s">
        <v>2044</v>
      </c>
      <c r="E5940" s="0" t="s">
        <v>2045</v>
      </c>
      <c r="F5940" s="0" t="s">
        <v>2046</v>
      </c>
      <c r="G5940" s="0" t="s">
        <v>2089</v>
      </c>
      <c r="H5940" s="0" t="s">
        <v>2048</v>
      </c>
      <c r="I5940" s="0" t="s">
        <v>2322</v>
      </c>
      <c r="J5940" s="0" t="s">
        <v>2358</v>
      </c>
      <c r="K5940" s="272" t="n">
        <v>80871.1</v>
      </c>
    </row>
    <row r="5941" customFormat="false" ht="15" hidden="false" customHeight="false" outlineLevel="0" collapsed="false">
      <c r="A5941" s="0" t="s">
        <v>2041</v>
      </c>
      <c r="B5941" s="0" t="s">
        <v>2042</v>
      </c>
      <c r="C5941" s="0" t="s">
        <v>2349</v>
      </c>
      <c r="D5941" s="0" t="s">
        <v>2044</v>
      </c>
      <c r="E5941" s="0" t="s">
        <v>2045</v>
      </c>
      <c r="F5941" s="0" t="s">
        <v>2046</v>
      </c>
      <c r="G5941" s="0" t="s">
        <v>2089</v>
      </c>
      <c r="H5941" s="0" t="s">
        <v>2048</v>
      </c>
      <c r="I5941" s="0" t="s">
        <v>2322</v>
      </c>
      <c r="J5941" s="0" t="s">
        <v>2358</v>
      </c>
      <c r="K5941" s="272" t="n">
        <v>53644.7144</v>
      </c>
    </row>
    <row r="5942" customFormat="false" ht="15" hidden="false" customHeight="false" outlineLevel="0" collapsed="false">
      <c r="A5942" s="0" t="s">
        <v>2041</v>
      </c>
      <c r="B5942" s="0" t="s">
        <v>2042</v>
      </c>
      <c r="C5942" s="0" t="s">
        <v>2352</v>
      </c>
      <c r="D5942" s="0" t="s">
        <v>2044</v>
      </c>
      <c r="E5942" s="0" t="s">
        <v>2045</v>
      </c>
      <c r="F5942" s="0" t="s">
        <v>2051</v>
      </c>
      <c r="G5942" s="0" t="s">
        <v>2089</v>
      </c>
      <c r="H5942" s="0" t="s">
        <v>2052</v>
      </c>
      <c r="I5942" s="0" t="s">
        <v>2322</v>
      </c>
      <c r="J5942" s="0" t="s">
        <v>2358</v>
      </c>
      <c r="K5942" s="272" t="n">
        <v>1257.1429</v>
      </c>
    </row>
    <row r="5943" customFormat="false" ht="15" hidden="false" customHeight="false" outlineLevel="0" collapsed="false">
      <c r="A5943" s="0" t="s">
        <v>2041</v>
      </c>
      <c r="B5943" s="0" t="s">
        <v>2042</v>
      </c>
      <c r="C5943" s="0" t="s">
        <v>2359</v>
      </c>
      <c r="D5943" s="0" t="s">
        <v>2044</v>
      </c>
      <c r="E5943" s="0" t="s">
        <v>2045</v>
      </c>
      <c r="F5943" s="0" t="s">
        <v>2051</v>
      </c>
      <c r="G5943" s="0" t="s">
        <v>2089</v>
      </c>
      <c r="H5943" s="0" t="s">
        <v>2052</v>
      </c>
      <c r="I5943" s="0" t="s">
        <v>2322</v>
      </c>
      <c r="J5943" s="0" t="s">
        <v>2358</v>
      </c>
      <c r="K5943" s="272" t="n">
        <v>537.1149</v>
      </c>
    </row>
    <row r="5944" customFormat="false" ht="15" hidden="false" customHeight="false" outlineLevel="0" collapsed="false">
      <c r="A5944" s="0" t="s">
        <v>2041</v>
      </c>
      <c r="B5944" s="0" t="s">
        <v>2042</v>
      </c>
      <c r="C5944" s="0" t="s">
        <v>2156</v>
      </c>
      <c r="D5944" s="0" t="s">
        <v>2044</v>
      </c>
      <c r="E5944" s="0" t="s">
        <v>2045</v>
      </c>
      <c r="F5944" s="0" t="s">
        <v>2051</v>
      </c>
      <c r="G5944" s="0" t="s">
        <v>2089</v>
      </c>
      <c r="H5944" s="0" t="s">
        <v>2052</v>
      </c>
      <c r="I5944" s="0" t="s">
        <v>2322</v>
      </c>
      <c r="J5944" s="0" t="s">
        <v>2358</v>
      </c>
      <c r="K5944" s="272" t="n">
        <v>2704.9</v>
      </c>
    </row>
    <row r="5945" customFormat="false" ht="15" hidden="false" customHeight="false" outlineLevel="0" collapsed="false">
      <c r="A5945" s="0" t="s">
        <v>2041</v>
      </c>
      <c r="B5945" s="0" t="s">
        <v>2042</v>
      </c>
      <c r="C5945" s="0" t="s">
        <v>2161</v>
      </c>
      <c r="D5945" s="0" t="s">
        <v>2044</v>
      </c>
      <c r="E5945" s="0" t="s">
        <v>2045</v>
      </c>
      <c r="F5945" s="0" t="s">
        <v>2051</v>
      </c>
      <c r="G5945" s="0" t="s">
        <v>2089</v>
      </c>
      <c r="H5945" s="0" t="s">
        <v>2052</v>
      </c>
      <c r="I5945" s="0" t="s">
        <v>2322</v>
      </c>
      <c r="J5945" s="0" t="s">
        <v>2358</v>
      </c>
      <c r="K5945" s="272" t="n">
        <v>816.879797979798</v>
      </c>
    </row>
    <row r="5946" customFormat="false" ht="15" hidden="false" customHeight="false" outlineLevel="0" collapsed="false">
      <c r="A5946" s="0" t="s">
        <v>2041</v>
      </c>
      <c r="B5946" s="0" t="s">
        <v>2042</v>
      </c>
      <c r="C5946" s="0" t="s">
        <v>2349</v>
      </c>
      <c r="D5946" s="0" t="s">
        <v>2044</v>
      </c>
      <c r="E5946" s="0" t="s">
        <v>2045</v>
      </c>
      <c r="F5946" s="0" t="s">
        <v>2051</v>
      </c>
      <c r="G5946" s="0" t="s">
        <v>2089</v>
      </c>
      <c r="H5946" s="0" t="s">
        <v>2052</v>
      </c>
      <c r="I5946" s="0" t="s">
        <v>2322</v>
      </c>
      <c r="J5946" s="0" t="s">
        <v>2358</v>
      </c>
      <c r="K5946" s="272" t="n">
        <v>541.865802020202</v>
      </c>
    </row>
    <row r="5947" customFormat="false" ht="15" hidden="false" customHeight="false" outlineLevel="0" collapsed="false">
      <c r="A5947" s="0" t="s">
        <v>2041</v>
      </c>
      <c r="B5947" s="0" t="s">
        <v>2042</v>
      </c>
      <c r="C5947" s="0" t="s">
        <v>2352</v>
      </c>
      <c r="D5947" s="0" t="s">
        <v>2044</v>
      </c>
      <c r="E5947" s="0" t="s">
        <v>2045</v>
      </c>
      <c r="F5947" s="0" t="s">
        <v>2046</v>
      </c>
      <c r="G5947" s="0" t="s">
        <v>2090</v>
      </c>
      <c r="H5947" s="0" t="s">
        <v>2048</v>
      </c>
      <c r="I5947" s="0" t="s">
        <v>2322</v>
      </c>
      <c r="J5947" s="0" t="s">
        <v>2358</v>
      </c>
      <c r="K5947" s="272" t="n">
        <v>812739.991</v>
      </c>
    </row>
    <row r="5948" customFormat="false" ht="15" hidden="false" customHeight="false" outlineLevel="0" collapsed="false">
      <c r="A5948" s="0" t="s">
        <v>2041</v>
      </c>
      <c r="B5948" s="0" t="s">
        <v>2042</v>
      </c>
      <c r="C5948" s="0" t="s">
        <v>2359</v>
      </c>
      <c r="D5948" s="0" t="s">
        <v>2044</v>
      </c>
      <c r="E5948" s="0" t="s">
        <v>2045</v>
      </c>
      <c r="F5948" s="0" t="s">
        <v>2046</v>
      </c>
      <c r="G5948" s="0" t="s">
        <v>2090</v>
      </c>
      <c r="H5948" s="0" t="s">
        <v>2048</v>
      </c>
      <c r="I5948" s="0" t="s">
        <v>2322</v>
      </c>
      <c r="J5948" s="0" t="s">
        <v>2358</v>
      </c>
      <c r="K5948" s="272" t="n">
        <v>579374.376</v>
      </c>
    </row>
    <row r="5949" customFormat="false" ht="15" hidden="false" customHeight="false" outlineLevel="0" collapsed="false">
      <c r="A5949" s="0" t="s">
        <v>2041</v>
      </c>
      <c r="B5949" s="0" t="s">
        <v>2042</v>
      </c>
      <c r="C5949" s="0" t="s">
        <v>2361</v>
      </c>
      <c r="D5949" s="0" t="s">
        <v>2044</v>
      </c>
      <c r="E5949" s="0" t="s">
        <v>2045</v>
      </c>
      <c r="F5949" s="0" t="s">
        <v>2046</v>
      </c>
      <c r="G5949" s="0" t="s">
        <v>2090</v>
      </c>
      <c r="H5949" s="0" t="s">
        <v>2048</v>
      </c>
      <c r="I5949" s="0" t="s">
        <v>2322</v>
      </c>
      <c r="J5949" s="0" t="s">
        <v>2358</v>
      </c>
      <c r="K5949" s="272" t="n">
        <v>217137.906</v>
      </c>
    </row>
    <row r="5950" customFormat="false" ht="15" hidden="false" customHeight="false" outlineLevel="0" collapsed="false">
      <c r="A5950" s="0" t="s">
        <v>2041</v>
      </c>
      <c r="B5950" s="0" t="s">
        <v>2042</v>
      </c>
      <c r="C5950" s="0" t="s">
        <v>2156</v>
      </c>
      <c r="D5950" s="0" t="s">
        <v>2044</v>
      </c>
      <c r="E5950" s="0" t="s">
        <v>2045</v>
      </c>
      <c r="F5950" s="0" t="s">
        <v>2046</v>
      </c>
      <c r="G5950" s="0" t="s">
        <v>2090</v>
      </c>
      <c r="H5950" s="0" t="s">
        <v>2048</v>
      </c>
      <c r="I5950" s="0" t="s">
        <v>2322</v>
      </c>
      <c r="J5950" s="0" t="s">
        <v>2358</v>
      </c>
      <c r="K5950" s="272" t="n">
        <v>3845965.78</v>
      </c>
    </row>
    <row r="5951" customFormat="false" ht="15" hidden="false" customHeight="false" outlineLevel="0" collapsed="false">
      <c r="A5951" s="0" t="s">
        <v>2041</v>
      </c>
      <c r="B5951" s="0" t="s">
        <v>2042</v>
      </c>
      <c r="C5951" s="0" t="s">
        <v>2360</v>
      </c>
      <c r="D5951" s="0" t="s">
        <v>2044</v>
      </c>
      <c r="E5951" s="0" t="s">
        <v>2045</v>
      </c>
      <c r="F5951" s="0" t="s">
        <v>2046</v>
      </c>
      <c r="G5951" s="0" t="s">
        <v>2090</v>
      </c>
      <c r="H5951" s="0" t="s">
        <v>2048</v>
      </c>
      <c r="I5951" s="0" t="s">
        <v>2322</v>
      </c>
      <c r="J5951" s="0" t="s">
        <v>2358</v>
      </c>
      <c r="K5951" s="272" t="n">
        <v>1890</v>
      </c>
    </row>
    <row r="5952" customFormat="false" ht="15" hidden="false" customHeight="false" outlineLevel="0" collapsed="false">
      <c r="A5952" s="0" t="s">
        <v>2041</v>
      </c>
      <c r="B5952" s="0" t="s">
        <v>2042</v>
      </c>
      <c r="C5952" s="0" t="s">
        <v>2161</v>
      </c>
      <c r="D5952" s="0" t="s">
        <v>2044</v>
      </c>
      <c r="E5952" s="0" t="s">
        <v>2045</v>
      </c>
      <c r="F5952" s="0" t="s">
        <v>2046</v>
      </c>
      <c r="G5952" s="0" t="s">
        <v>2090</v>
      </c>
      <c r="H5952" s="0" t="s">
        <v>2048</v>
      </c>
      <c r="I5952" s="0" t="s">
        <v>2322</v>
      </c>
      <c r="J5952" s="0" t="s">
        <v>2358</v>
      </c>
      <c r="K5952" s="272" t="n">
        <v>1052484.02</v>
      </c>
    </row>
    <row r="5953" customFormat="false" ht="15" hidden="false" customHeight="false" outlineLevel="0" collapsed="false">
      <c r="A5953" s="0" t="s">
        <v>2041</v>
      </c>
      <c r="B5953" s="0" t="s">
        <v>2042</v>
      </c>
      <c r="C5953" s="0" t="s">
        <v>2349</v>
      </c>
      <c r="D5953" s="0" t="s">
        <v>2044</v>
      </c>
      <c r="E5953" s="0" t="s">
        <v>2045</v>
      </c>
      <c r="F5953" s="0" t="s">
        <v>2046</v>
      </c>
      <c r="G5953" s="0" t="s">
        <v>2090</v>
      </c>
      <c r="H5953" s="0" t="s">
        <v>2048</v>
      </c>
      <c r="I5953" s="0" t="s">
        <v>2322</v>
      </c>
      <c r="J5953" s="0" t="s">
        <v>2358</v>
      </c>
      <c r="K5953" s="272" t="n">
        <v>444414.297</v>
      </c>
    </row>
    <row r="5954" customFormat="false" ht="15" hidden="false" customHeight="false" outlineLevel="0" collapsed="false">
      <c r="A5954" s="0" t="s">
        <v>2041</v>
      </c>
      <c r="B5954" s="0" t="s">
        <v>2042</v>
      </c>
      <c r="C5954" s="0" t="s">
        <v>2352</v>
      </c>
      <c r="D5954" s="0" t="s">
        <v>2044</v>
      </c>
      <c r="E5954" s="0" t="s">
        <v>2045</v>
      </c>
      <c r="F5954" s="0" t="s">
        <v>2051</v>
      </c>
      <c r="G5954" s="0" t="s">
        <v>2090</v>
      </c>
      <c r="H5954" s="0" t="s">
        <v>2052</v>
      </c>
      <c r="I5954" s="0" t="s">
        <v>2322</v>
      </c>
      <c r="J5954" s="0" t="s">
        <v>2358</v>
      </c>
      <c r="K5954" s="272" t="n">
        <v>268559.999</v>
      </c>
    </row>
    <row r="5955" customFormat="false" ht="15" hidden="false" customHeight="false" outlineLevel="0" collapsed="false">
      <c r="A5955" s="0" t="s">
        <v>2041</v>
      </c>
      <c r="B5955" s="0" t="s">
        <v>2042</v>
      </c>
      <c r="C5955" s="0" t="s">
        <v>2359</v>
      </c>
      <c r="D5955" s="0" t="s">
        <v>2044</v>
      </c>
      <c r="E5955" s="0" t="s">
        <v>2045</v>
      </c>
      <c r="F5955" s="0" t="s">
        <v>2051</v>
      </c>
      <c r="G5955" s="0" t="s">
        <v>2090</v>
      </c>
      <c r="H5955" s="0" t="s">
        <v>2052</v>
      </c>
      <c r="I5955" s="0" t="s">
        <v>2322</v>
      </c>
      <c r="J5955" s="0" t="s">
        <v>2358</v>
      </c>
      <c r="K5955" s="272" t="n">
        <v>44320.324</v>
      </c>
    </row>
    <row r="5956" customFormat="false" ht="15" hidden="false" customHeight="false" outlineLevel="0" collapsed="false">
      <c r="A5956" s="0" t="s">
        <v>2041</v>
      </c>
      <c r="B5956" s="0" t="s">
        <v>2042</v>
      </c>
      <c r="C5956" s="0" t="s">
        <v>2361</v>
      </c>
      <c r="D5956" s="0" t="s">
        <v>2044</v>
      </c>
      <c r="E5956" s="0" t="s">
        <v>2045</v>
      </c>
      <c r="F5956" s="0" t="s">
        <v>2051</v>
      </c>
      <c r="G5956" s="0" t="s">
        <v>2090</v>
      </c>
      <c r="H5956" s="0" t="s">
        <v>2052</v>
      </c>
      <c r="I5956" s="0" t="s">
        <v>2322</v>
      </c>
      <c r="J5956" s="0" t="s">
        <v>2358</v>
      </c>
      <c r="K5956" s="272" t="n">
        <v>40232.634</v>
      </c>
    </row>
    <row r="5957" customFormat="false" ht="15" hidden="false" customHeight="false" outlineLevel="0" collapsed="false">
      <c r="A5957" s="0" t="s">
        <v>2041</v>
      </c>
      <c r="B5957" s="0" t="s">
        <v>2042</v>
      </c>
      <c r="C5957" s="0" t="s">
        <v>2156</v>
      </c>
      <c r="D5957" s="0" t="s">
        <v>2044</v>
      </c>
      <c r="E5957" s="0" t="s">
        <v>2045</v>
      </c>
      <c r="F5957" s="0" t="s">
        <v>2051</v>
      </c>
      <c r="G5957" s="0" t="s">
        <v>2090</v>
      </c>
      <c r="H5957" s="0" t="s">
        <v>2052</v>
      </c>
      <c r="I5957" s="0" t="s">
        <v>2322</v>
      </c>
      <c r="J5957" s="0" t="s">
        <v>2358</v>
      </c>
      <c r="K5957" s="272" t="n">
        <v>877441.92</v>
      </c>
    </row>
    <row r="5958" customFormat="false" ht="15" hidden="false" customHeight="false" outlineLevel="0" collapsed="false">
      <c r="A5958" s="0" t="s">
        <v>2041</v>
      </c>
      <c r="B5958" s="0" t="s">
        <v>2042</v>
      </c>
      <c r="C5958" s="0" t="s">
        <v>2360</v>
      </c>
      <c r="D5958" s="0" t="s">
        <v>2044</v>
      </c>
      <c r="E5958" s="0" t="s">
        <v>2045</v>
      </c>
      <c r="F5958" s="0" t="s">
        <v>2051</v>
      </c>
      <c r="G5958" s="0" t="s">
        <v>2090</v>
      </c>
      <c r="H5958" s="0" t="s">
        <v>2052</v>
      </c>
      <c r="I5958" s="0" t="s">
        <v>2322</v>
      </c>
      <c r="J5958" s="0" t="s">
        <v>2358</v>
      </c>
      <c r="K5958" s="272" t="n">
        <v>210</v>
      </c>
    </row>
    <row r="5959" customFormat="false" ht="15" hidden="false" customHeight="false" outlineLevel="0" collapsed="false">
      <c r="A5959" s="0" t="s">
        <v>2041</v>
      </c>
      <c r="B5959" s="0" t="s">
        <v>2042</v>
      </c>
      <c r="C5959" s="0" t="s">
        <v>2161</v>
      </c>
      <c r="D5959" s="0" t="s">
        <v>2044</v>
      </c>
      <c r="E5959" s="0" t="s">
        <v>2045</v>
      </c>
      <c r="F5959" s="0" t="s">
        <v>2051</v>
      </c>
      <c r="G5959" s="0" t="s">
        <v>2090</v>
      </c>
      <c r="H5959" s="0" t="s">
        <v>2052</v>
      </c>
      <c r="I5959" s="0" t="s">
        <v>2322</v>
      </c>
      <c r="J5959" s="0" t="s">
        <v>2358</v>
      </c>
      <c r="K5959" s="272" t="n">
        <v>252876.611388889</v>
      </c>
    </row>
    <row r="5960" customFormat="false" ht="15" hidden="false" customHeight="false" outlineLevel="0" collapsed="false">
      <c r="A5960" s="0" t="s">
        <v>2041</v>
      </c>
      <c r="B5960" s="0" t="s">
        <v>2042</v>
      </c>
      <c r="C5960" s="0" t="s">
        <v>2349</v>
      </c>
      <c r="D5960" s="0" t="s">
        <v>2044</v>
      </c>
      <c r="E5960" s="0" t="s">
        <v>2045</v>
      </c>
      <c r="F5960" s="0" t="s">
        <v>2051</v>
      </c>
      <c r="G5960" s="0" t="s">
        <v>2090</v>
      </c>
      <c r="H5960" s="0" t="s">
        <v>2052</v>
      </c>
      <c r="I5960" s="0" t="s">
        <v>2322</v>
      </c>
      <c r="J5960" s="0" t="s">
        <v>2358</v>
      </c>
      <c r="K5960" s="272" t="n">
        <v>102020.121611111</v>
      </c>
    </row>
    <row r="5961" customFormat="false" ht="15" hidden="false" customHeight="false" outlineLevel="0" collapsed="false">
      <c r="A5961" s="0" t="s">
        <v>2041</v>
      </c>
      <c r="B5961" s="0" t="s">
        <v>2042</v>
      </c>
      <c r="C5961" s="0" t="s">
        <v>2352</v>
      </c>
      <c r="D5961" s="0" t="s">
        <v>2044</v>
      </c>
      <c r="E5961" s="0" t="s">
        <v>2045</v>
      </c>
      <c r="F5961" s="0" t="s">
        <v>2046</v>
      </c>
      <c r="G5961" s="0" t="s">
        <v>2091</v>
      </c>
      <c r="H5961" s="0" t="s">
        <v>2048</v>
      </c>
      <c r="I5961" s="0" t="s">
        <v>2322</v>
      </c>
      <c r="J5961" s="0" t="s">
        <v>2358</v>
      </c>
      <c r="K5961" s="272" t="n">
        <v>364127.143</v>
      </c>
    </row>
    <row r="5962" customFormat="false" ht="15" hidden="false" customHeight="false" outlineLevel="0" collapsed="false">
      <c r="A5962" s="0" t="s">
        <v>2041</v>
      </c>
      <c r="B5962" s="0" t="s">
        <v>2042</v>
      </c>
      <c r="C5962" s="0" t="s">
        <v>2359</v>
      </c>
      <c r="D5962" s="0" t="s">
        <v>2044</v>
      </c>
      <c r="E5962" s="0" t="s">
        <v>2045</v>
      </c>
      <c r="F5962" s="0" t="s">
        <v>2046</v>
      </c>
      <c r="G5962" s="0" t="s">
        <v>2091</v>
      </c>
      <c r="H5962" s="0" t="s">
        <v>2048</v>
      </c>
      <c r="I5962" s="0" t="s">
        <v>2322</v>
      </c>
      <c r="J5962" s="0" t="s">
        <v>2358</v>
      </c>
      <c r="K5962" s="272" t="n">
        <v>11042.25</v>
      </c>
    </row>
    <row r="5963" customFormat="false" ht="15" hidden="false" customHeight="false" outlineLevel="0" collapsed="false">
      <c r="A5963" s="0" t="s">
        <v>2041</v>
      </c>
      <c r="B5963" s="0" t="s">
        <v>2042</v>
      </c>
      <c r="C5963" s="0" t="s">
        <v>2361</v>
      </c>
      <c r="D5963" s="0" t="s">
        <v>2044</v>
      </c>
      <c r="E5963" s="0" t="s">
        <v>2045</v>
      </c>
      <c r="F5963" s="0" t="s">
        <v>2046</v>
      </c>
      <c r="G5963" s="0" t="s">
        <v>2091</v>
      </c>
      <c r="H5963" s="0" t="s">
        <v>2048</v>
      </c>
      <c r="I5963" s="0" t="s">
        <v>2322</v>
      </c>
      <c r="J5963" s="0" t="s">
        <v>2358</v>
      </c>
      <c r="K5963" s="272" t="n">
        <v>22580.391</v>
      </c>
    </row>
    <row r="5964" customFormat="false" ht="15" hidden="false" customHeight="false" outlineLevel="0" collapsed="false">
      <c r="A5964" s="0" t="s">
        <v>2041</v>
      </c>
      <c r="B5964" s="0" t="s">
        <v>2042</v>
      </c>
      <c r="C5964" s="0" t="s">
        <v>2156</v>
      </c>
      <c r="D5964" s="0" t="s">
        <v>2044</v>
      </c>
      <c r="E5964" s="0" t="s">
        <v>2045</v>
      </c>
      <c r="F5964" s="0" t="s">
        <v>2046</v>
      </c>
      <c r="G5964" s="0" t="s">
        <v>2091</v>
      </c>
      <c r="H5964" s="0" t="s">
        <v>2048</v>
      </c>
      <c r="I5964" s="0" t="s">
        <v>2322</v>
      </c>
      <c r="J5964" s="0" t="s">
        <v>2358</v>
      </c>
      <c r="K5964" s="272" t="n">
        <v>1261136.8</v>
      </c>
    </row>
    <row r="5965" customFormat="false" ht="15" hidden="false" customHeight="false" outlineLevel="0" collapsed="false">
      <c r="A5965" s="0" t="s">
        <v>2041</v>
      </c>
      <c r="B5965" s="0" t="s">
        <v>2042</v>
      </c>
      <c r="C5965" s="0" t="s">
        <v>2161</v>
      </c>
      <c r="D5965" s="0" t="s">
        <v>2044</v>
      </c>
      <c r="E5965" s="0" t="s">
        <v>2045</v>
      </c>
      <c r="F5965" s="0" t="s">
        <v>2046</v>
      </c>
      <c r="G5965" s="0" t="s">
        <v>2091</v>
      </c>
      <c r="H5965" s="0" t="s">
        <v>2048</v>
      </c>
      <c r="I5965" s="0" t="s">
        <v>2322</v>
      </c>
      <c r="J5965" s="0" t="s">
        <v>2358</v>
      </c>
      <c r="K5965" s="272" t="n">
        <v>312363.08</v>
      </c>
    </row>
    <row r="5966" customFormat="false" ht="15" hidden="false" customHeight="false" outlineLevel="0" collapsed="false">
      <c r="A5966" s="0" t="s">
        <v>2041</v>
      </c>
      <c r="B5966" s="0" t="s">
        <v>2042</v>
      </c>
      <c r="C5966" s="0" t="s">
        <v>2349</v>
      </c>
      <c r="D5966" s="0" t="s">
        <v>2044</v>
      </c>
      <c r="E5966" s="0" t="s">
        <v>2045</v>
      </c>
      <c r="F5966" s="0" t="s">
        <v>2046</v>
      </c>
      <c r="G5966" s="0" t="s">
        <v>2091</v>
      </c>
      <c r="H5966" s="0" t="s">
        <v>2048</v>
      </c>
      <c r="I5966" s="0" t="s">
        <v>2322</v>
      </c>
      <c r="J5966" s="0" t="s">
        <v>2358</v>
      </c>
      <c r="K5966" s="272" t="n">
        <v>118475.142</v>
      </c>
    </row>
    <row r="5967" customFormat="false" ht="15" hidden="false" customHeight="false" outlineLevel="0" collapsed="false">
      <c r="A5967" s="0" t="s">
        <v>2041</v>
      </c>
      <c r="B5967" s="0" t="s">
        <v>2042</v>
      </c>
      <c r="C5967" s="0" t="s">
        <v>2352</v>
      </c>
      <c r="D5967" s="0" t="s">
        <v>2044</v>
      </c>
      <c r="E5967" s="0" t="s">
        <v>2045</v>
      </c>
      <c r="F5967" s="0" t="s">
        <v>2051</v>
      </c>
      <c r="G5967" s="0" t="s">
        <v>2091</v>
      </c>
      <c r="H5967" s="0" t="s">
        <v>2052</v>
      </c>
      <c r="I5967" s="0" t="s">
        <v>2322</v>
      </c>
      <c r="J5967" s="0" t="s">
        <v>2358</v>
      </c>
      <c r="K5967" s="272" t="n">
        <v>604696.667</v>
      </c>
    </row>
    <row r="5968" customFormat="false" ht="15" hidden="false" customHeight="false" outlineLevel="0" collapsed="false">
      <c r="A5968" s="0" t="s">
        <v>2041</v>
      </c>
      <c r="B5968" s="0" t="s">
        <v>2042</v>
      </c>
      <c r="C5968" s="0" t="s">
        <v>2359</v>
      </c>
      <c r="D5968" s="0" t="s">
        <v>2044</v>
      </c>
      <c r="E5968" s="0" t="s">
        <v>2045</v>
      </c>
      <c r="F5968" s="0" t="s">
        <v>2051</v>
      </c>
      <c r="G5968" s="0" t="s">
        <v>2091</v>
      </c>
      <c r="H5968" s="0" t="s">
        <v>2052</v>
      </c>
      <c r="I5968" s="0" t="s">
        <v>2322</v>
      </c>
      <c r="J5968" s="0" t="s">
        <v>2358</v>
      </c>
      <c r="K5968" s="272" t="n">
        <v>25765.25</v>
      </c>
    </row>
    <row r="5969" customFormat="false" ht="15" hidden="false" customHeight="false" outlineLevel="0" collapsed="false">
      <c r="A5969" s="0" t="s">
        <v>2041</v>
      </c>
      <c r="B5969" s="0" t="s">
        <v>2042</v>
      </c>
      <c r="C5969" s="0" t="s">
        <v>2361</v>
      </c>
      <c r="D5969" s="0" t="s">
        <v>2044</v>
      </c>
      <c r="E5969" s="0" t="s">
        <v>2045</v>
      </c>
      <c r="F5969" s="0" t="s">
        <v>2051</v>
      </c>
      <c r="G5969" s="0" t="s">
        <v>2091</v>
      </c>
      <c r="H5969" s="0" t="s">
        <v>2052</v>
      </c>
      <c r="I5969" s="0" t="s">
        <v>2322</v>
      </c>
      <c r="J5969" s="0" t="s">
        <v>2358</v>
      </c>
      <c r="K5969" s="272" t="n">
        <v>52687.579</v>
      </c>
    </row>
    <row r="5970" customFormat="false" ht="15" hidden="false" customHeight="false" outlineLevel="0" collapsed="false">
      <c r="A5970" s="0" t="s">
        <v>2041</v>
      </c>
      <c r="B5970" s="0" t="s">
        <v>2042</v>
      </c>
      <c r="C5970" s="0" t="s">
        <v>2156</v>
      </c>
      <c r="D5970" s="0" t="s">
        <v>2044</v>
      </c>
      <c r="E5970" s="0" t="s">
        <v>2045</v>
      </c>
      <c r="F5970" s="0" t="s">
        <v>2051</v>
      </c>
      <c r="G5970" s="0" t="s">
        <v>2091</v>
      </c>
      <c r="H5970" s="0" t="s">
        <v>2052</v>
      </c>
      <c r="I5970" s="0" t="s">
        <v>2322</v>
      </c>
      <c r="J5970" s="0" t="s">
        <v>2358</v>
      </c>
      <c r="K5970" s="272" t="n">
        <v>2405781.2</v>
      </c>
    </row>
    <row r="5971" customFormat="false" ht="15" hidden="false" customHeight="false" outlineLevel="0" collapsed="false">
      <c r="A5971" s="0" t="s">
        <v>2041</v>
      </c>
      <c r="B5971" s="0" t="s">
        <v>2042</v>
      </c>
      <c r="C5971" s="0" t="s">
        <v>2161</v>
      </c>
      <c r="D5971" s="0" t="s">
        <v>2044</v>
      </c>
      <c r="E5971" s="0" t="s">
        <v>2045</v>
      </c>
      <c r="F5971" s="0" t="s">
        <v>2051</v>
      </c>
      <c r="G5971" s="0" t="s">
        <v>2091</v>
      </c>
      <c r="H5971" s="0" t="s">
        <v>2052</v>
      </c>
      <c r="I5971" s="0" t="s">
        <v>2322</v>
      </c>
      <c r="J5971" s="0" t="s">
        <v>2358</v>
      </c>
      <c r="K5971" s="272" t="n">
        <v>566712.021587302</v>
      </c>
    </row>
    <row r="5972" customFormat="false" ht="15" hidden="false" customHeight="false" outlineLevel="0" collapsed="false">
      <c r="A5972" s="0" t="s">
        <v>2041</v>
      </c>
      <c r="B5972" s="0" t="s">
        <v>2042</v>
      </c>
      <c r="C5972" s="0" t="s">
        <v>2349</v>
      </c>
      <c r="D5972" s="0" t="s">
        <v>2044</v>
      </c>
      <c r="E5972" s="0" t="s">
        <v>2045</v>
      </c>
      <c r="F5972" s="0" t="s">
        <v>2051</v>
      </c>
      <c r="G5972" s="0" t="s">
        <v>2091</v>
      </c>
      <c r="H5972" s="0" t="s">
        <v>2052</v>
      </c>
      <c r="I5972" s="0" t="s">
        <v>2322</v>
      </c>
      <c r="J5972" s="0" t="s">
        <v>2358</v>
      </c>
      <c r="K5972" s="272" t="n">
        <v>202472.156412698</v>
      </c>
    </row>
    <row r="5973" customFormat="false" ht="15" hidden="false" customHeight="false" outlineLevel="0" collapsed="false">
      <c r="A5973" s="0" t="s">
        <v>2041</v>
      </c>
      <c r="B5973" s="0" t="s">
        <v>2042</v>
      </c>
      <c r="C5973" s="0" t="s">
        <v>2352</v>
      </c>
      <c r="D5973" s="0" t="s">
        <v>2044</v>
      </c>
      <c r="E5973" s="0" t="s">
        <v>2045</v>
      </c>
      <c r="F5973" s="0" t="s">
        <v>2046</v>
      </c>
      <c r="G5973" s="0" t="s">
        <v>2092</v>
      </c>
      <c r="H5973" s="0" t="s">
        <v>2048</v>
      </c>
      <c r="I5973" s="0" t="s">
        <v>2322</v>
      </c>
      <c r="J5973" s="0" t="s">
        <v>2358</v>
      </c>
      <c r="K5973" s="272" t="n">
        <v>230714.283</v>
      </c>
    </row>
    <row r="5974" customFormat="false" ht="15" hidden="false" customHeight="false" outlineLevel="0" collapsed="false">
      <c r="A5974" s="0" t="s">
        <v>2041</v>
      </c>
      <c r="B5974" s="0" t="s">
        <v>2042</v>
      </c>
      <c r="C5974" s="0" t="s">
        <v>2362</v>
      </c>
      <c r="D5974" s="0" t="s">
        <v>2044</v>
      </c>
      <c r="E5974" s="0" t="s">
        <v>2045</v>
      </c>
      <c r="F5974" s="0" t="s">
        <v>2046</v>
      </c>
      <c r="G5974" s="0" t="s">
        <v>2092</v>
      </c>
      <c r="H5974" s="0" t="s">
        <v>2048</v>
      </c>
      <c r="I5974" s="0" t="s">
        <v>2322</v>
      </c>
      <c r="J5974" s="0" t="s">
        <v>2358</v>
      </c>
      <c r="K5974" s="272" t="n">
        <v>30535.717</v>
      </c>
    </row>
    <row r="5975" customFormat="false" ht="15" hidden="false" customHeight="false" outlineLevel="0" collapsed="false">
      <c r="A5975" s="0" t="s">
        <v>2041</v>
      </c>
      <c r="B5975" s="0" t="s">
        <v>2042</v>
      </c>
      <c r="C5975" s="0" t="s">
        <v>2361</v>
      </c>
      <c r="D5975" s="0" t="s">
        <v>2044</v>
      </c>
      <c r="E5975" s="0" t="s">
        <v>2045</v>
      </c>
      <c r="F5975" s="0" t="s">
        <v>2046</v>
      </c>
      <c r="G5975" s="0" t="s">
        <v>2092</v>
      </c>
      <c r="H5975" s="0" t="s">
        <v>2048</v>
      </c>
      <c r="I5975" s="0" t="s">
        <v>2322</v>
      </c>
      <c r="J5975" s="0" t="s">
        <v>2358</v>
      </c>
      <c r="K5975" s="272" t="n">
        <v>90799.822</v>
      </c>
    </row>
    <row r="5976" customFormat="false" ht="15" hidden="false" customHeight="false" outlineLevel="0" collapsed="false">
      <c r="A5976" s="0" t="s">
        <v>2041</v>
      </c>
      <c r="B5976" s="0" t="s">
        <v>2042</v>
      </c>
      <c r="C5976" s="0" t="s">
        <v>2156</v>
      </c>
      <c r="D5976" s="0" t="s">
        <v>2044</v>
      </c>
      <c r="E5976" s="0" t="s">
        <v>2045</v>
      </c>
      <c r="F5976" s="0" t="s">
        <v>2046</v>
      </c>
      <c r="G5976" s="0" t="s">
        <v>2092</v>
      </c>
      <c r="H5976" s="0" t="s">
        <v>2048</v>
      </c>
      <c r="I5976" s="0" t="s">
        <v>2322</v>
      </c>
      <c r="J5976" s="0" t="s">
        <v>2358</v>
      </c>
      <c r="K5976" s="272" t="n">
        <v>568947.4</v>
      </c>
    </row>
    <row r="5977" customFormat="false" ht="15" hidden="false" customHeight="false" outlineLevel="0" collapsed="false">
      <c r="A5977" s="0" t="s">
        <v>2041</v>
      </c>
      <c r="B5977" s="0" t="s">
        <v>2042</v>
      </c>
      <c r="C5977" s="0" t="s">
        <v>2161</v>
      </c>
      <c r="D5977" s="0" t="s">
        <v>2044</v>
      </c>
      <c r="E5977" s="0" t="s">
        <v>2045</v>
      </c>
      <c r="F5977" s="0" t="s">
        <v>2046</v>
      </c>
      <c r="G5977" s="0" t="s">
        <v>2092</v>
      </c>
      <c r="H5977" s="0" t="s">
        <v>2048</v>
      </c>
      <c r="I5977" s="0" t="s">
        <v>2322</v>
      </c>
      <c r="J5977" s="0" t="s">
        <v>2358</v>
      </c>
      <c r="K5977" s="272" t="n">
        <v>171822.11</v>
      </c>
    </row>
    <row r="5978" customFormat="false" ht="15" hidden="false" customHeight="false" outlineLevel="0" collapsed="false">
      <c r="A5978" s="0" t="s">
        <v>2041</v>
      </c>
      <c r="B5978" s="0" t="s">
        <v>2042</v>
      </c>
      <c r="C5978" s="0" t="s">
        <v>2349</v>
      </c>
      <c r="D5978" s="0" t="s">
        <v>2044</v>
      </c>
      <c r="E5978" s="0" t="s">
        <v>2045</v>
      </c>
      <c r="F5978" s="0" t="s">
        <v>2046</v>
      </c>
      <c r="G5978" s="0" t="s">
        <v>2092</v>
      </c>
      <c r="H5978" s="0" t="s">
        <v>2048</v>
      </c>
      <c r="I5978" s="0" t="s">
        <v>2322</v>
      </c>
      <c r="J5978" s="0" t="s">
        <v>2358</v>
      </c>
      <c r="K5978" s="272" t="n">
        <v>130569.274</v>
      </c>
    </row>
    <row r="5979" customFormat="false" ht="15" hidden="false" customHeight="false" outlineLevel="0" collapsed="false">
      <c r="A5979" s="0" t="s">
        <v>2041</v>
      </c>
      <c r="B5979" s="0" t="s">
        <v>2042</v>
      </c>
      <c r="C5979" s="0" t="s">
        <v>2347</v>
      </c>
      <c r="D5979" s="0" t="s">
        <v>2044</v>
      </c>
      <c r="E5979" s="0" t="s">
        <v>2045</v>
      </c>
      <c r="F5979" s="0" t="s">
        <v>2046</v>
      </c>
      <c r="G5979" s="0" t="s">
        <v>2092</v>
      </c>
      <c r="H5979" s="0" t="s">
        <v>2048</v>
      </c>
      <c r="I5979" s="0" t="s">
        <v>2322</v>
      </c>
      <c r="J5979" s="0" t="s">
        <v>2358</v>
      </c>
      <c r="K5979" s="272" t="n">
        <v>80298.75</v>
      </c>
    </row>
    <row r="5980" customFormat="false" ht="15" hidden="false" customHeight="false" outlineLevel="0" collapsed="false">
      <c r="A5980" s="0" t="s">
        <v>2041</v>
      </c>
      <c r="B5980" s="0" t="s">
        <v>2042</v>
      </c>
      <c r="C5980" s="0" t="s">
        <v>2352</v>
      </c>
      <c r="D5980" s="0" t="s">
        <v>2044</v>
      </c>
      <c r="E5980" s="0" t="s">
        <v>2045</v>
      </c>
      <c r="F5980" s="0" t="s">
        <v>2051</v>
      </c>
      <c r="G5980" s="0" t="s">
        <v>2092</v>
      </c>
      <c r="H5980" s="0" t="s">
        <v>2052</v>
      </c>
      <c r="I5980" s="0" t="s">
        <v>2322</v>
      </c>
      <c r="J5980" s="0" t="s">
        <v>2358</v>
      </c>
      <c r="K5980" s="272" t="n">
        <v>12142.857</v>
      </c>
    </row>
    <row r="5981" customFormat="false" ht="15" hidden="false" customHeight="false" outlineLevel="0" collapsed="false">
      <c r="A5981" s="0" t="s">
        <v>2041</v>
      </c>
      <c r="B5981" s="0" t="s">
        <v>2042</v>
      </c>
      <c r="C5981" s="0" t="s">
        <v>2362</v>
      </c>
      <c r="D5981" s="0" t="s">
        <v>2044</v>
      </c>
      <c r="E5981" s="0" t="s">
        <v>2045</v>
      </c>
      <c r="F5981" s="0" t="s">
        <v>2051</v>
      </c>
      <c r="G5981" s="0" t="s">
        <v>2092</v>
      </c>
      <c r="H5981" s="0" t="s">
        <v>2052</v>
      </c>
      <c r="I5981" s="0" t="s">
        <v>2322</v>
      </c>
      <c r="J5981" s="0" t="s">
        <v>2358</v>
      </c>
      <c r="K5981" s="272" t="n">
        <v>1607.143</v>
      </c>
    </row>
    <row r="5982" customFormat="false" ht="15" hidden="false" customHeight="false" outlineLevel="0" collapsed="false">
      <c r="A5982" s="0" t="s">
        <v>2041</v>
      </c>
      <c r="B5982" s="0" t="s">
        <v>2042</v>
      </c>
      <c r="C5982" s="0" t="s">
        <v>2361</v>
      </c>
      <c r="D5982" s="0" t="s">
        <v>2044</v>
      </c>
      <c r="E5982" s="0" t="s">
        <v>2045</v>
      </c>
      <c r="F5982" s="0" t="s">
        <v>2051</v>
      </c>
      <c r="G5982" s="0" t="s">
        <v>2092</v>
      </c>
      <c r="H5982" s="0" t="s">
        <v>2052</v>
      </c>
      <c r="I5982" s="0" t="s">
        <v>2322</v>
      </c>
      <c r="J5982" s="0" t="s">
        <v>2358</v>
      </c>
      <c r="K5982" s="272" t="n">
        <v>4778.938</v>
      </c>
    </row>
    <row r="5983" customFormat="false" ht="15" hidden="false" customHeight="false" outlineLevel="0" collapsed="false">
      <c r="A5983" s="0" t="s">
        <v>2041</v>
      </c>
      <c r="B5983" s="0" t="s">
        <v>2042</v>
      </c>
      <c r="C5983" s="0" t="s">
        <v>2156</v>
      </c>
      <c r="D5983" s="0" t="s">
        <v>2044</v>
      </c>
      <c r="E5983" s="0" t="s">
        <v>2045</v>
      </c>
      <c r="F5983" s="0" t="s">
        <v>2051</v>
      </c>
      <c r="G5983" s="0" t="s">
        <v>2092</v>
      </c>
      <c r="H5983" s="0" t="s">
        <v>2052</v>
      </c>
      <c r="I5983" s="0" t="s">
        <v>2322</v>
      </c>
      <c r="J5983" s="0" t="s">
        <v>2358</v>
      </c>
      <c r="K5983" s="272" t="n">
        <v>29944.6</v>
      </c>
    </row>
    <row r="5984" customFormat="false" ht="15" hidden="false" customHeight="false" outlineLevel="0" collapsed="false">
      <c r="A5984" s="0" t="s">
        <v>2041</v>
      </c>
      <c r="B5984" s="0" t="s">
        <v>2042</v>
      </c>
      <c r="C5984" s="0" t="s">
        <v>2161</v>
      </c>
      <c r="D5984" s="0" t="s">
        <v>2044</v>
      </c>
      <c r="E5984" s="0" t="s">
        <v>2045</v>
      </c>
      <c r="F5984" s="0" t="s">
        <v>2051</v>
      </c>
      <c r="G5984" s="0" t="s">
        <v>2092</v>
      </c>
      <c r="H5984" s="0" t="s">
        <v>2052</v>
      </c>
      <c r="I5984" s="0" t="s">
        <v>2322</v>
      </c>
      <c r="J5984" s="0" t="s">
        <v>2358</v>
      </c>
      <c r="K5984" s="272" t="n">
        <v>9043.26894736842</v>
      </c>
    </row>
    <row r="5985" customFormat="false" ht="15" hidden="false" customHeight="false" outlineLevel="0" collapsed="false">
      <c r="A5985" s="0" t="s">
        <v>2041</v>
      </c>
      <c r="B5985" s="0" t="s">
        <v>2042</v>
      </c>
      <c r="C5985" s="0" t="s">
        <v>2349</v>
      </c>
      <c r="D5985" s="0" t="s">
        <v>2044</v>
      </c>
      <c r="E5985" s="0" t="s">
        <v>2045</v>
      </c>
      <c r="F5985" s="0" t="s">
        <v>2051</v>
      </c>
      <c r="G5985" s="0" t="s">
        <v>2092</v>
      </c>
      <c r="H5985" s="0" t="s">
        <v>2052</v>
      </c>
      <c r="I5985" s="0" t="s">
        <v>2322</v>
      </c>
      <c r="J5985" s="0" t="s">
        <v>2358</v>
      </c>
      <c r="K5985" s="272" t="n">
        <v>6872.06705263158</v>
      </c>
    </row>
    <row r="5986" customFormat="false" ht="15" hidden="false" customHeight="false" outlineLevel="0" collapsed="false">
      <c r="A5986" s="0" t="s">
        <v>2041</v>
      </c>
      <c r="B5986" s="0" t="s">
        <v>2042</v>
      </c>
      <c r="C5986" s="0" t="s">
        <v>2347</v>
      </c>
      <c r="D5986" s="0" t="s">
        <v>2044</v>
      </c>
      <c r="E5986" s="0" t="s">
        <v>2045</v>
      </c>
      <c r="F5986" s="0" t="s">
        <v>2051</v>
      </c>
      <c r="G5986" s="0" t="s">
        <v>2092</v>
      </c>
      <c r="H5986" s="0" t="s">
        <v>2052</v>
      </c>
      <c r="I5986" s="0" t="s">
        <v>2322</v>
      </c>
      <c r="J5986" s="0" t="s">
        <v>2358</v>
      </c>
      <c r="K5986" s="272" t="n">
        <v>4226.25</v>
      </c>
    </row>
    <row r="5987" customFormat="false" ht="15" hidden="false" customHeight="false" outlineLevel="0" collapsed="false">
      <c r="A5987" s="0" t="s">
        <v>2041</v>
      </c>
      <c r="B5987" s="0" t="s">
        <v>2042</v>
      </c>
      <c r="C5987" s="0" t="s">
        <v>2352</v>
      </c>
      <c r="D5987" s="0" t="s">
        <v>2044</v>
      </c>
      <c r="E5987" s="0" t="s">
        <v>2045</v>
      </c>
      <c r="F5987" s="0" t="s">
        <v>2046</v>
      </c>
      <c r="G5987" s="0" t="s">
        <v>2093</v>
      </c>
      <c r="H5987" s="0" t="s">
        <v>2048</v>
      </c>
      <c r="I5987" s="0" t="s">
        <v>2322</v>
      </c>
      <c r="J5987" s="0" t="s">
        <v>2358</v>
      </c>
      <c r="K5987" s="272" t="n">
        <v>738771.1945</v>
      </c>
    </row>
    <row r="5988" customFormat="false" ht="15" hidden="false" customHeight="false" outlineLevel="0" collapsed="false">
      <c r="A5988" s="0" t="s">
        <v>2041</v>
      </c>
      <c r="B5988" s="0" t="s">
        <v>2042</v>
      </c>
      <c r="C5988" s="0" t="s">
        <v>2359</v>
      </c>
      <c r="D5988" s="0" t="s">
        <v>2044</v>
      </c>
      <c r="E5988" s="0" t="s">
        <v>2045</v>
      </c>
      <c r="F5988" s="0" t="s">
        <v>2046</v>
      </c>
      <c r="G5988" s="0" t="s">
        <v>2093</v>
      </c>
      <c r="H5988" s="0" t="s">
        <v>2048</v>
      </c>
      <c r="I5988" s="0" t="s">
        <v>2322</v>
      </c>
      <c r="J5988" s="0" t="s">
        <v>2358</v>
      </c>
      <c r="K5988" s="272" t="n">
        <v>89453.2065</v>
      </c>
    </row>
    <row r="5989" customFormat="false" ht="15" hidden="false" customHeight="false" outlineLevel="0" collapsed="false">
      <c r="A5989" s="0" t="s">
        <v>2041</v>
      </c>
      <c r="B5989" s="0" t="s">
        <v>2042</v>
      </c>
      <c r="C5989" s="0" t="s">
        <v>2361</v>
      </c>
      <c r="D5989" s="0" t="s">
        <v>2044</v>
      </c>
      <c r="E5989" s="0" t="s">
        <v>2045</v>
      </c>
      <c r="F5989" s="0" t="s">
        <v>2046</v>
      </c>
      <c r="G5989" s="0" t="s">
        <v>2093</v>
      </c>
      <c r="H5989" s="0" t="s">
        <v>2048</v>
      </c>
      <c r="I5989" s="0" t="s">
        <v>2322</v>
      </c>
      <c r="J5989" s="0" t="s">
        <v>2358</v>
      </c>
      <c r="K5989" s="272" t="n">
        <v>67389.205</v>
      </c>
    </row>
    <row r="5990" customFormat="false" ht="15" hidden="false" customHeight="false" outlineLevel="0" collapsed="false">
      <c r="A5990" s="0" t="s">
        <v>2041</v>
      </c>
      <c r="B5990" s="0" t="s">
        <v>2042</v>
      </c>
      <c r="C5990" s="0" t="s">
        <v>2156</v>
      </c>
      <c r="D5990" s="0" t="s">
        <v>2044</v>
      </c>
      <c r="E5990" s="0" t="s">
        <v>2045</v>
      </c>
      <c r="F5990" s="0" t="s">
        <v>2046</v>
      </c>
      <c r="G5990" s="0" t="s">
        <v>2093</v>
      </c>
      <c r="H5990" s="0" t="s">
        <v>2048</v>
      </c>
      <c r="I5990" s="0" t="s">
        <v>2322</v>
      </c>
      <c r="J5990" s="0" t="s">
        <v>2358</v>
      </c>
      <c r="K5990" s="272" t="n">
        <v>2097105.95</v>
      </c>
    </row>
    <row r="5991" customFormat="false" ht="15" hidden="false" customHeight="false" outlineLevel="0" collapsed="false">
      <c r="A5991" s="0" t="s">
        <v>2041</v>
      </c>
      <c r="B5991" s="0" t="s">
        <v>2042</v>
      </c>
      <c r="C5991" s="0" t="s">
        <v>2161</v>
      </c>
      <c r="D5991" s="0" t="s">
        <v>2044</v>
      </c>
      <c r="E5991" s="0" t="s">
        <v>2045</v>
      </c>
      <c r="F5991" s="0" t="s">
        <v>2046</v>
      </c>
      <c r="G5991" s="0" t="s">
        <v>2093</v>
      </c>
      <c r="H5991" s="0" t="s">
        <v>2048</v>
      </c>
      <c r="I5991" s="0" t="s">
        <v>2322</v>
      </c>
      <c r="J5991" s="0" t="s">
        <v>2358</v>
      </c>
      <c r="K5991" s="272" t="n">
        <v>633326.01</v>
      </c>
    </row>
    <row r="5992" customFormat="false" ht="15" hidden="false" customHeight="false" outlineLevel="0" collapsed="false">
      <c r="A5992" s="0" t="s">
        <v>2041</v>
      </c>
      <c r="B5992" s="0" t="s">
        <v>2042</v>
      </c>
      <c r="C5992" s="0" t="s">
        <v>2349</v>
      </c>
      <c r="D5992" s="0" t="s">
        <v>2044</v>
      </c>
      <c r="E5992" s="0" t="s">
        <v>2045</v>
      </c>
      <c r="F5992" s="0" t="s">
        <v>2046</v>
      </c>
      <c r="G5992" s="0" t="s">
        <v>2093</v>
      </c>
      <c r="H5992" s="0" t="s">
        <v>2048</v>
      </c>
      <c r="I5992" s="0" t="s">
        <v>2322</v>
      </c>
      <c r="J5992" s="0" t="s">
        <v>2358</v>
      </c>
      <c r="K5992" s="272" t="n">
        <v>270475.321</v>
      </c>
    </row>
    <row r="5993" customFormat="false" ht="15" hidden="false" customHeight="false" outlineLevel="0" collapsed="false">
      <c r="A5993" s="0" t="s">
        <v>2041</v>
      </c>
      <c r="B5993" s="0" t="s">
        <v>2042</v>
      </c>
      <c r="C5993" s="0" t="s">
        <v>2352</v>
      </c>
      <c r="D5993" s="0" t="s">
        <v>2044</v>
      </c>
      <c r="E5993" s="0" t="s">
        <v>2045</v>
      </c>
      <c r="F5993" s="0" t="s">
        <v>2051</v>
      </c>
      <c r="G5993" s="0" t="s">
        <v>2093</v>
      </c>
      <c r="H5993" s="0" t="s">
        <v>2052</v>
      </c>
      <c r="I5993" s="0" t="s">
        <v>2322</v>
      </c>
      <c r="J5993" s="0" t="s">
        <v>2358</v>
      </c>
      <c r="K5993" s="272" t="n">
        <v>70719.2855</v>
      </c>
    </row>
    <row r="5994" customFormat="false" ht="15" hidden="false" customHeight="false" outlineLevel="0" collapsed="false">
      <c r="A5994" s="0" t="s">
        <v>2041</v>
      </c>
      <c r="B5994" s="0" t="s">
        <v>2042</v>
      </c>
      <c r="C5994" s="0" t="s">
        <v>2359</v>
      </c>
      <c r="D5994" s="0" t="s">
        <v>2044</v>
      </c>
      <c r="E5994" s="0" t="s">
        <v>2045</v>
      </c>
      <c r="F5994" s="0" t="s">
        <v>2051</v>
      </c>
      <c r="G5994" s="0" t="s">
        <v>2093</v>
      </c>
      <c r="H5994" s="0" t="s">
        <v>2052</v>
      </c>
      <c r="I5994" s="0" t="s">
        <v>2322</v>
      </c>
      <c r="J5994" s="0" t="s">
        <v>2358</v>
      </c>
      <c r="K5994" s="272" t="n">
        <v>7832.4435</v>
      </c>
    </row>
    <row r="5995" customFormat="false" ht="15" hidden="false" customHeight="false" outlineLevel="0" collapsed="false">
      <c r="A5995" s="0" t="s">
        <v>2041</v>
      </c>
      <c r="B5995" s="0" t="s">
        <v>2042</v>
      </c>
      <c r="C5995" s="0" t="s">
        <v>2361</v>
      </c>
      <c r="D5995" s="0" t="s">
        <v>2044</v>
      </c>
      <c r="E5995" s="0" t="s">
        <v>2045</v>
      </c>
      <c r="F5995" s="0" t="s">
        <v>2051</v>
      </c>
      <c r="G5995" s="0" t="s">
        <v>2093</v>
      </c>
      <c r="H5995" s="0" t="s">
        <v>2052</v>
      </c>
      <c r="I5995" s="0" t="s">
        <v>2322</v>
      </c>
      <c r="J5995" s="0" t="s">
        <v>2358</v>
      </c>
      <c r="K5995" s="272" t="n">
        <v>8318.895</v>
      </c>
    </row>
    <row r="5996" customFormat="false" ht="15" hidden="false" customHeight="false" outlineLevel="0" collapsed="false">
      <c r="A5996" s="0" t="s">
        <v>2041</v>
      </c>
      <c r="B5996" s="0" t="s">
        <v>2042</v>
      </c>
      <c r="C5996" s="0" t="s">
        <v>2156</v>
      </c>
      <c r="D5996" s="0" t="s">
        <v>2044</v>
      </c>
      <c r="E5996" s="0" t="s">
        <v>2045</v>
      </c>
      <c r="F5996" s="0" t="s">
        <v>2051</v>
      </c>
      <c r="G5996" s="0" t="s">
        <v>2093</v>
      </c>
      <c r="H5996" s="0" t="s">
        <v>2052</v>
      </c>
      <c r="I5996" s="0" t="s">
        <v>2322</v>
      </c>
      <c r="J5996" s="0" t="s">
        <v>2358</v>
      </c>
      <c r="K5996" s="272" t="n">
        <v>192657.05</v>
      </c>
    </row>
    <row r="5997" customFormat="false" ht="15" hidden="false" customHeight="false" outlineLevel="0" collapsed="false">
      <c r="A5997" s="0" t="s">
        <v>2041</v>
      </c>
      <c r="B5997" s="0" t="s">
        <v>2042</v>
      </c>
      <c r="C5997" s="0" t="s">
        <v>2161</v>
      </c>
      <c r="D5997" s="0" t="s">
        <v>2044</v>
      </c>
      <c r="E5997" s="0" t="s">
        <v>2045</v>
      </c>
      <c r="F5997" s="0" t="s">
        <v>2051</v>
      </c>
      <c r="G5997" s="0" t="s">
        <v>2093</v>
      </c>
      <c r="H5997" s="0" t="s">
        <v>2052</v>
      </c>
      <c r="I5997" s="0" t="s">
        <v>2322</v>
      </c>
      <c r="J5997" s="0" t="s">
        <v>2358</v>
      </c>
      <c r="K5997" s="272" t="n">
        <v>58182.4294427245</v>
      </c>
    </row>
    <row r="5998" customFormat="false" ht="15" hidden="false" customHeight="false" outlineLevel="0" collapsed="false">
      <c r="A5998" s="0" t="s">
        <v>2041</v>
      </c>
      <c r="B5998" s="0" t="s">
        <v>2042</v>
      </c>
      <c r="C5998" s="0" t="s">
        <v>2349</v>
      </c>
      <c r="D5998" s="0" t="s">
        <v>2044</v>
      </c>
      <c r="E5998" s="0" t="s">
        <v>2045</v>
      </c>
      <c r="F5998" s="0" t="s">
        <v>2051</v>
      </c>
      <c r="G5998" s="0" t="s">
        <v>2093</v>
      </c>
      <c r="H5998" s="0" t="s">
        <v>2052</v>
      </c>
      <c r="I5998" s="0" t="s">
        <v>2322</v>
      </c>
      <c r="J5998" s="0" t="s">
        <v>2358</v>
      </c>
      <c r="K5998" s="272" t="n">
        <v>26234.9295572755</v>
      </c>
    </row>
    <row r="5999" customFormat="false" ht="15" hidden="false" customHeight="false" outlineLevel="0" collapsed="false">
      <c r="A5999" s="0" t="s">
        <v>2041</v>
      </c>
      <c r="B5999" s="0" t="s">
        <v>2042</v>
      </c>
      <c r="C5999" s="0" t="s">
        <v>2352</v>
      </c>
      <c r="D5999" s="0" t="s">
        <v>2044</v>
      </c>
      <c r="E5999" s="0" t="s">
        <v>2045</v>
      </c>
      <c r="F5999" s="0" t="s">
        <v>2046</v>
      </c>
      <c r="G5999" s="0" t="s">
        <v>2094</v>
      </c>
      <c r="H5999" s="0" t="s">
        <v>2048</v>
      </c>
      <c r="I5999" s="0" t="s">
        <v>2322</v>
      </c>
      <c r="J5999" s="0" t="s">
        <v>2358</v>
      </c>
      <c r="K5999" s="272" t="n">
        <v>515411.5926</v>
      </c>
    </row>
    <row r="6000" customFormat="false" ht="15" hidden="false" customHeight="false" outlineLevel="0" collapsed="false">
      <c r="A6000" s="0" t="s">
        <v>2041</v>
      </c>
      <c r="B6000" s="0" t="s">
        <v>2042</v>
      </c>
      <c r="C6000" s="0" t="s">
        <v>2359</v>
      </c>
      <c r="D6000" s="0" t="s">
        <v>2044</v>
      </c>
      <c r="E6000" s="0" t="s">
        <v>2045</v>
      </c>
      <c r="F6000" s="0" t="s">
        <v>2046</v>
      </c>
      <c r="G6000" s="0" t="s">
        <v>2094</v>
      </c>
      <c r="H6000" s="0" t="s">
        <v>2048</v>
      </c>
      <c r="I6000" s="0" t="s">
        <v>2322</v>
      </c>
      <c r="J6000" s="0" t="s">
        <v>2358</v>
      </c>
      <c r="K6000" s="272" t="n">
        <v>35091.0714</v>
      </c>
    </row>
    <row r="6001" customFormat="false" ht="15" hidden="false" customHeight="false" outlineLevel="0" collapsed="false">
      <c r="A6001" s="0" t="s">
        <v>2041</v>
      </c>
      <c r="B6001" s="0" t="s">
        <v>2042</v>
      </c>
      <c r="C6001" s="0" t="s">
        <v>2361</v>
      </c>
      <c r="D6001" s="0" t="s">
        <v>2044</v>
      </c>
      <c r="E6001" s="0" t="s">
        <v>2045</v>
      </c>
      <c r="F6001" s="0" t="s">
        <v>2046</v>
      </c>
      <c r="G6001" s="0" t="s">
        <v>2094</v>
      </c>
      <c r="H6001" s="0" t="s">
        <v>2048</v>
      </c>
      <c r="I6001" s="0" t="s">
        <v>2322</v>
      </c>
      <c r="J6001" s="0" t="s">
        <v>2358</v>
      </c>
      <c r="K6001" s="272" t="n">
        <v>8582.6034</v>
      </c>
    </row>
    <row r="6002" customFormat="false" ht="15" hidden="false" customHeight="false" outlineLevel="0" collapsed="false">
      <c r="A6002" s="0" t="s">
        <v>2041</v>
      </c>
      <c r="B6002" s="0" t="s">
        <v>2042</v>
      </c>
      <c r="C6002" s="0" t="s">
        <v>2156</v>
      </c>
      <c r="D6002" s="0" t="s">
        <v>2044</v>
      </c>
      <c r="E6002" s="0" t="s">
        <v>2045</v>
      </c>
      <c r="F6002" s="0" t="s">
        <v>2046</v>
      </c>
      <c r="G6002" s="0" t="s">
        <v>2094</v>
      </c>
      <c r="H6002" s="0" t="s">
        <v>2048</v>
      </c>
      <c r="I6002" s="0" t="s">
        <v>2322</v>
      </c>
      <c r="J6002" s="0" t="s">
        <v>2358</v>
      </c>
      <c r="K6002" s="272" t="n">
        <v>1541738.08</v>
      </c>
    </row>
    <row r="6003" customFormat="false" ht="15" hidden="false" customHeight="false" outlineLevel="0" collapsed="false">
      <c r="A6003" s="0" t="s">
        <v>2041</v>
      </c>
      <c r="B6003" s="0" t="s">
        <v>2042</v>
      </c>
      <c r="C6003" s="0" t="s">
        <v>2161</v>
      </c>
      <c r="D6003" s="0" t="s">
        <v>2044</v>
      </c>
      <c r="E6003" s="0" t="s">
        <v>2045</v>
      </c>
      <c r="F6003" s="0" t="s">
        <v>2046</v>
      </c>
      <c r="G6003" s="0" t="s">
        <v>2094</v>
      </c>
      <c r="H6003" s="0" t="s">
        <v>2048</v>
      </c>
      <c r="I6003" s="0" t="s">
        <v>2322</v>
      </c>
      <c r="J6003" s="0" t="s">
        <v>2358</v>
      </c>
      <c r="K6003" s="272" t="n">
        <v>438124.6</v>
      </c>
    </row>
    <row r="6004" customFormat="false" ht="15" hidden="false" customHeight="false" outlineLevel="0" collapsed="false">
      <c r="A6004" s="0" t="s">
        <v>2041</v>
      </c>
      <c r="B6004" s="0" t="s">
        <v>2042</v>
      </c>
      <c r="C6004" s="0" t="s">
        <v>2349</v>
      </c>
      <c r="D6004" s="0" t="s">
        <v>2044</v>
      </c>
      <c r="E6004" s="0" t="s">
        <v>2045</v>
      </c>
      <c r="F6004" s="0" t="s">
        <v>2046</v>
      </c>
      <c r="G6004" s="0" t="s">
        <v>2094</v>
      </c>
      <c r="H6004" s="0" t="s">
        <v>2048</v>
      </c>
      <c r="I6004" s="0" t="s">
        <v>2322</v>
      </c>
      <c r="J6004" s="0" t="s">
        <v>2358</v>
      </c>
      <c r="K6004" s="272" t="n">
        <v>167085.029</v>
      </c>
    </row>
    <row r="6005" customFormat="false" ht="15" hidden="false" customHeight="false" outlineLevel="0" collapsed="false">
      <c r="A6005" s="0" t="s">
        <v>2041</v>
      </c>
      <c r="B6005" s="0" t="s">
        <v>2042</v>
      </c>
      <c r="C6005" s="0" t="s">
        <v>2352</v>
      </c>
      <c r="D6005" s="0" t="s">
        <v>2044</v>
      </c>
      <c r="E6005" s="0" t="s">
        <v>2045</v>
      </c>
      <c r="F6005" s="0" t="s">
        <v>2051</v>
      </c>
      <c r="G6005" s="0" t="s">
        <v>2094</v>
      </c>
      <c r="H6005" s="0" t="s">
        <v>2052</v>
      </c>
      <c r="I6005" s="0" t="s">
        <v>2322</v>
      </c>
      <c r="J6005" s="0" t="s">
        <v>2358</v>
      </c>
      <c r="K6005" s="272" t="n">
        <v>449187.4374</v>
      </c>
    </row>
    <row r="6006" customFormat="false" ht="15" hidden="false" customHeight="false" outlineLevel="0" collapsed="false">
      <c r="A6006" s="0" t="s">
        <v>2041</v>
      </c>
      <c r="B6006" s="0" t="s">
        <v>2042</v>
      </c>
      <c r="C6006" s="0" t="s">
        <v>2359</v>
      </c>
      <c r="D6006" s="0" t="s">
        <v>2044</v>
      </c>
      <c r="E6006" s="0" t="s">
        <v>2045</v>
      </c>
      <c r="F6006" s="0" t="s">
        <v>2051</v>
      </c>
      <c r="G6006" s="0" t="s">
        <v>2094</v>
      </c>
      <c r="H6006" s="0" t="s">
        <v>2052</v>
      </c>
      <c r="I6006" s="0" t="s">
        <v>2322</v>
      </c>
      <c r="J6006" s="0" t="s">
        <v>2358</v>
      </c>
      <c r="K6006" s="272" t="n">
        <v>47514.6586</v>
      </c>
    </row>
    <row r="6007" customFormat="false" ht="15" hidden="false" customHeight="false" outlineLevel="0" collapsed="false">
      <c r="A6007" s="0" t="s">
        <v>2041</v>
      </c>
      <c r="B6007" s="0" t="s">
        <v>2042</v>
      </c>
      <c r="C6007" s="0" t="s">
        <v>2361</v>
      </c>
      <c r="D6007" s="0" t="s">
        <v>2044</v>
      </c>
      <c r="E6007" s="0" t="s">
        <v>2045</v>
      </c>
      <c r="F6007" s="0" t="s">
        <v>2051</v>
      </c>
      <c r="G6007" s="0" t="s">
        <v>2094</v>
      </c>
      <c r="H6007" s="0" t="s">
        <v>2052</v>
      </c>
      <c r="I6007" s="0" t="s">
        <v>2322</v>
      </c>
      <c r="J6007" s="0" t="s">
        <v>2358</v>
      </c>
      <c r="K6007" s="272" t="n">
        <v>11852.1666</v>
      </c>
    </row>
    <row r="6008" customFormat="false" ht="15" hidden="false" customHeight="false" outlineLevel="0" collapsed="false">
      <c r="A6008" s="0" t="s">
        <v>2041</v>
      </c>
      <c r="B6008" s="0" t="s">
        <v>2042</v>
      </c>
      <c r="C6008" s="0" t="s">
        <v>2156</v>
      </c>
      <c r="D6008" s="0" t="s">
        <v>2044</v>
      </c>
      <c r="E6008" s="0" t="s">
        <v>2045</v>
      </c>
      <c r="F6008" s="0" t="s">
        <v>2051</v>
      </c>
      <c r="G6008" s="0" t="s">
        <v>2094</v>
      </c>
      <c r="H6008" s="0" t="s">
        <v>2052</v>
      </c>
      <c r="I6008" s="0" t="s">
        <v>2322</v>
      </c>
      <c r="J6008" s="0" t="s">
        <v>2358</v>
      </c>
      <c r="K6008" s="272" t="n">
        <v>1596814.92</v>
      </c>
    </row>
    <row r="6009" customFormat="false" ht="15" hidden="false" customHeight="false" outlineLevel="0" collapsed="false">
      <c r="A6009" s="0" t="s">
        <v>2041</v>
      </c>
      <c r="B6009" s="0" t="s">
        <v>2042</v>
      </c>
      <c r="C6009" s="0" t="s">
        <v>2161</v>
      </c>
      <c r="D6009" s="0" t="s">
        <v>2044</v>
      </c>
      <c r="E6009" s="0" t="s">
        <v>2045</v>
      </c>
      <c r="F6009" s="0" t="s">
        <v>2051</v>
      </c>
      <c r="G6009" s="0" t="s">
        <v>2094</v>
      </c>
      <c r="H6009" s="0" t="s">
        <v>2052</v>
      </c>
      <c r="I6009" s="0" t="s">
        <v>2322</v>
      </c>
      <c r="J6009" s="0" t="s">
        <v>2358</v>
      </c>
      <c r="K6009" s="272" t="n">
        <v>444289.114761905</v>
      </c>
    </row>
    <row r="6010" customFormat="false" ht="15" hidden="false" customHeight="false" outlineLevel="0" collapsed="false">
      <c r="A6010" s="0" t="s">
        <v>2041</v>
      </c>
      <c r="B6010" s="0" t="s">
        <v>2042</v>
      </c>
      <c r="C6010" s="0" t="s">
        <v>2349</v>
      </c>
      <c r="D6010" s="0" t="s">
        <v>2044</v>
      </c>
      <c r="E6010" s="0" t="s">
        <v>2045</v>
      </c>
      <c r="F6010" s="0" t="s">
        <v>2051</v>
      </c>
      <c r="G6010" s="0" t="s">
        <v>2094</v>
      </c>
      <c r="H6010" s="0" t="s">
        <v>2052</v>
      </c>
      <c r="I6010" s="0" t="s">
        <v>2322</v>
      </c>
      <c r="J6010" s="0" t="s">
        <v>2358</v>
      </c>
      <c r="K6010" s="272" t="n">
        <v>151154.676238095</v>
      </c>
    </row>
    <row r="6011" customFormat="false" ht="15" hidden="false" customHeight="false" outlineLevel="0" collapsed="false">
      <c r="A6011" s="0" t="s">
        <v>2041</v>
      </c>
      <c r="B6011" s="0" t="s">
        <v>2042</v>
      </c>
      <c r="C6011" s="0" t="s">
        <v>2352</v>
      </c>
      <c r="D6011" s="0" t="s">
        <v>2044</v>
      </c>
      <c r="E6011" s="0" t="s">
        <v>2045</v>
      </c>
      <c r="F6011" s="0" t="s">
        <v>2046</v>
      </c>
      <c r="G6011" s="0" t="s">
        <v>2095</v>
      </c>
      <c r="H6011" s="0" t="s">
        <v>2048</v>
      </c>
      <c r="I6011" s="0" t="s">
        <v>2322</v>
      </c>
      <c r="J6011" s="0" t="s">
        <v>2358</v>
      </c>
      <c r="K6011" s="272" t="n">
        <v>677563.57</v>
      </c>
    </row>
    <row r="6012" customFormat="false" ht="15" hidden="false" customHeight="false" outlineLevel="0" collapsed="false">
      <c r="A6012" s="0" t="s">
        <v>2041</v>
      </c>
      <c r="B6012" s="0" t="s">
        <v>2042</v>
      </c>
      <c r="C6012" s="0" t="s">
        <v>2359</v>
      </c>
      <c r="D6012" s="0" t="s">
        <v>2044</v>
      </c>
      <c r="E6012" s="0" t="s">
        <v>2045</v>
      </c>
      <c r="F6012" s="0" t="s">
        <v>2046</v>
      </c>
      <c r="G6012" s="0" t="s">
        <v>2095</v>
      </c>
      <c r="H6012" s="0" t="s">
        <v>2048</v>
      </c>
      <c r="I6012" s="0" t="s">
        <v>2322</v>
      </c>
      <c r="J6012" s="0" t="s">
        <v>2358</v>
      </c>
      <c r="K6012" s="272" t="n">
        <v>100942.375</v>
      </c>
    </row>
    <row r="6013" customFormat="false" ht="15" hidden="false" customHeight="false" outlineLevel="0" collapsed="false">
      <c r="A6013" s="0" t="s">
        <v>2041</v>
      </c>
      <c r="B6013" s="0" t="s">
        <v>2042</v>
      </c>
      <c r="C6013" s="0" t="s">
        <v>2156</v>
      </c>
      <c r="D6013" s="0" t="s">
        <v>2044</v>
      </c>
      <c r="E6013" s="0" t="s">
        <v>2045</v>
      </c>
      <c r="F6013" s="0" t="s">
        <v>2046</v>
      </c>
      <c r="G6013" s="0" t="s">
        <v>2095</v>
      </c>
      <c r="H6013" s="0" t="s">
        <v>2048</v>
      </c>
      <c r="I6013" s="0" t="s">
        <v>2322</v>
      </c>
      <c r="J6013" s="0" t="s">
        <v>2358</v>
      </c>
      <c r="K6013" s="272" t="n">
        <v>1580385.775</v>
      </c>
    </row>
    <row r="6014" customFormat="false" ht="15" hidden="false" customHeight="false" outlineLevel="0" collapsed="false">
      <c r="A6014" s="0" t="s">
        <v>2041</v>
      </c>
      <c r="B6014" s="0" t="s">
        <v>2042</v>
      </c>
      <c r="C6014" s="0" t="s">
        <v>2360</v>
      </c>
      <c r="D6014" s="0" t="s">
        <v>2044</v>
      </c>
      <c r="E6014" s="0" t="s">
        <v>2045</v>
      </c>
      <c r="F6014" s="0" t="s">
        <v>2046</v>
      </c>
      <c r="G6014" s="0" t="s">
        <v>2095</v>
      </c>
      <c r="H6014" s="0" t="s">
        <v>2048</v>
      </c>
      <c r="I6014" s="0" t="s">
        <v>2322</v>
      </c>
      <c r="J6014" s="0" t="s">
        <v>2358</v>
      </c>
      <c r="K6014" s="272" t="n">
        <v>3</v>
      </c>
    </row>
    <row r="6015" customFormat="false" ht="15" hidden="false" customHeight="false" outlineLevel="0" collapsed="false">
      <c r="A6015" s="0" t="s">
        <v>2041</v>
      </c>
      <c r="B6015" s="0" t="s">
        <v>2042</v>
      </c>
      <c r="C6015" s="0" t="s">
        <v>2161</v>
      </c>
      <c r="D6015" s="0" t="s">
        <v>2044</v>
      </c>
      <c r="E6015" s="0" t="s">
        <v>2045</v>
      </c>
      <c r="F6015" s="0" t="s">
        <v>2046</v>
      </c>
      <c r="G6015" s="0" t="s">
        <v>2095</v>
      </c>
      <c r="H6015" s="0" t="s">
        <v>2048</v>
      </c>
      <c r="I6015" s="0" t="s">
        <v>2322</v>
      </c>
      <c r="J6015" s="0" t="s">
        <v>2358</v>
      </c>
      <c r="K6015" s="272" t="n">
        <v>477276.51849</v>
      </c>
    </row>
    <row r="6016" customFormat="false" ht="15" hidden="false" customHeight="false" outlineLevel="0" collapsed="false">
      <c r="A6016" s="0" t="s">
        <v>2041</v>
      </c>
      <c r="B6016" s="0" t="s">
        <v>2042</v>
      </c>
      <c r="C6016" s="0" t="s">
        <v>2349</v>
      </c>
      <c r="D6016" s="0" t="s">
        <v>2044</v>
      </c>
      <c r="E6016" s="0" t="s">
        <v>2045</v>
      </c>
      <c r="F6016" s="0" t="s">
        <v>2046</v>
      </c>
      <c r="G6016" s="0" t="s">
        <v>2095</v>
      </c>
      <c r="H6016" s="0" t="s">
        <v>2048</v>
      </c>
      <c r="I6016" s="0" t="s">
        <v>2322</v>
      </c>
      <c r="J6016" s="0" t="s">
        <v>2358</v>
      </c>
      <c r="K6016" s="272" t="n">
        <v>235108.78151</v>
      </c>
    </row>
    <row r="6017" customFormat="false" ht="15" hidden="false" customHeight="false" outlineLevel="0" collapsed="false">
      <c r="A6017" s="0" t="s">
        <v>2041</v>
      </c>
      <c r="B6017" s="0" t="s">
        <v>2042</v>
      </c>
      <c r="C6017" s="0" t="s">
        <v>2352</v>
      </c>
      <c r="D6017" s="0" t="s">
        <v>2044</v>
      </c>
      <c r="E6017" s="0" t="s">
        <v>2045</v>
      </c>
      <c r="F6017" s="0" t="s">
        <v>2051</v>
      </c>
      <c r="G6017" s="0" t="s">
        <v>2095</v>
      </c>
      <c r="H6017" s="0" t="s">
        <v>2052</v>
      </c>
      <c r="I6017" s="0" t="s">
        <v>2322</v>
      </c>
      <c r="J6017" s="0" t="s">
        <v>2358</v>
      </c>
      <c r="K6017" s="272" t="n">
        <v>500682.62</v>
      </c>
    </row>
    <row r="6018" customFormat="false" ht="15" hidden="false" customHeight="false" outlineLevel="0" collapsed="false">
      <c r="A6018" s="0" t="s">
        <v>2041</v>
      </c>
      <c r="B6018" s="0" t="s">
        <v>2042</v>
      </c>
      <c r="C6018" s="0" t="s">
        <v>2359</v>
      </c>
      <c r="D6018" s="0" t="s">
        <v>2044</v>
      </c>
      <c r="E6018" s="0" t="s">
        <v>2045</v>
      </c>
      <c r="F6018" s="0" t="s">
        <v>2051</v>
      </c>
      <c r="G6018" s="0" t="s">
        <v>2095</v>
      </c>
      <c r="H6018" s="0" t="s">
        <v>2052</v>
      </c>
      <c r="I6018" s="0" t="s">
        <v>2322</v>
      </c>
      <c r="J6018" s="0" t="s">
        <v>2358</v>
      </c>
      <c r="K6018" s="272" t="n">
        <v>32521.295</v>
      </c>
    </row>
    <row r="6019" customFormat="false" ht="15" hidden="false" customHeight="false" outlineLevel="0" collapsed="false">
      <c r="A6019" s="0" t="s">
        <v>2041</v>
      </c>
      <c r="B6019" s="0" t="s">
        <v>2042</v>
      </c>
      <c r="C6019" s="0" t="s">
        <v>2156</v>
      </c>
      <c r="D6019" s="0" t="s">
        <v>2044</v>
      </c>
      <c r="E6019" s="0" t="s">
        <v>2045</v>
      </c>
      <c r="F6019" s="0" t="s">
        <v>2051</v>
      </c>
      <c r="G6019" s="0" t="s">
        <v>2095</v>
      </c>
      <c r="H6019" s="0" t="s">
        <v>2052</v>
      </c>
      <c r="I6019" s="0" t="s">
        <v>2322</v>
      </c>
      <c r="J6019" s="0" t="s">
        <v>2358</v>
      </c>
      <c r="K6019" s="272" t="n">
        <v>1005128.175</v>
      </c>
    </row>
    <row r="6020" customFormat="false" ht="15" hidden="false" customHeight="false" outlineLevel="0" collapsed="false">
      <c r="A6020" s="0" t="s">
        <v>2041</v>
      </c>
      <c r="B6020" s="0" t="s">
        <v>2042</v>
      </c>
      <c r="C6020" s="0" t="s">
        <v>2360</v>
      </c>
      <c r="D6020" s="0" t="s">
        <v>2044</v>
      </c>
      <c r="E6020" s="0" t="s">
        <v>2045</v>
      </c>
      <c r="F6020" s="0" t="s">
        <v>2051</v>
      </c>
      <c r="G6020" s="0" t="s">
        <v>2095</v>
      </c>
      <c r="H6020" s="0" t="s">
        <v>2052</v>
      </c>
      <c r="I6020" s="0" t="s">
        <v>2322</v>
      </c>
      <c r="J6020" s="0" t="s">
        <v>2358</v>
      </c>
      <c r="K6020" s="272" t="n">
        <v>3</v>
      </c>
    </row>
    <row r="6021" customFormat="false" ht="15" hidden="false" customHeight="false" outlineLevel="0" collapsed="false">
      <c r="A6021" s="0" t="s">
        <v>2041</v>
      </c>
      <c r="B6021" s="0" t="s">
        <v>2042</v>
      </c>
      <c r="C6021" s="0" t="s">
        <v>2161</v>
      </c>
      <c r="D6021" s="0" t="s">
        <v>2044</v>
      </c>
      <c r="E6021" s="0" t="s">
        <v>2045</v>
      </c>
      <c r="F6021" s="0" t="s">
        <v>2051</v>
      </c>
      <c r="G6021" s="0" t="s">
        <v>2095</v>
      </c>
      <c r="H6021" s="0" t="s">
        <v>2052</v>
      </c>
      <c r="I6021" s="0" t="s">
        <v>2322</v>
      </c>
      <c r="J6021" s="0" t="s">
        <v>2358</v>
      </c>
      <c r="K6021" s="272" t="n">
        <v>303548.71849</v>
      </c>
    </row>
    <row r="6022" customFormat="false" ht="15" hidden="false" customHeight="false" outlineLevel="0" collapsed="false">
      <c r="A6022" s="0" t="s">
        <v>2041</v>
      </c>
      <c r="B6022" s="0" t="s">
        <v>2042</v>
      </c>
      <c r="C6022" s="0" t="s">
        <v>2349</v>
      </c>
      <c r="D6022" s="0" t="s">
        <v>2044</v>
      </c>
      <c r="E6022" s="0" t="s">
        <v>2045</v>
      </c>
      <c r="F6022" s="0" t="s">
        <v>2051</v>
      </c>
      <c r="G6022" s="0" t="s">
        <v>2095</v>
      </c>
      <c r="H6022" s="0" t="s">
        <v>2052</v>
      </c>
      <c r="I6022" s="0" t="s">
        <v>2322</v>
      </c>
      <c r="J6022" s="0" t="s">
        <v>2358</v>
      </c>
      <c r="K6022" s="272" t="n">
        <v>161027.57151</v>
      </c>
    </row>
    <row r="6023" customFormat="false" ht="15" hidden="false" customHeight="false" outlineLevel="0" collapsed="false">
      <c r="A6023" s="0" t="s">
        <v>2041</v>
      </c>
      <c r="B6023" s="0" t="s">
        <v>2042</v>
      </c>
      <c r="C6023" s="0" t="s">
        <v>2352</v>
      </c>
      <c r="D6023" s="0" t="s">
        <v>2044</v>
      </c>
      <c r="E6023" s="0" t="s">
        <v>2045</v>
      </c>
      <c r="F6023" s="0" t="s">
        <v>2046</v>
      </c>
      <c r="G6023" s="0" t="s">
        <v>2096</v>
      </c>
      <c r="H6023" s="0" t="s">
        <v>2048</v>
      </c>
      <c r="I6023" s="0" t="s">
        <v>2097</v>
      </c>
      <c r="J6023" s="0" t="s">
        <v>2358</v>
      </c>
      <c r="K6023" s="272" t="n">
        <v>256000</v>
      </c>
    </row>
    <row r="6024" customFormat="false" ht="15" hidden="false" customHeight="false" outlineLevel="0" collapsed="false">
      <c r="A6024" s="0" t="s">
        <v>2041</v>
      </c>
      <c r="B6024" s="0" t="s">
        <v>2042</v>
      </c>
      <c r="C6024" s="0" t="s">
        <v>2359</v>
      </c>
      <c r="D6024" s="0" t="s">
        <v>2044</v>
      </c>
      <c r="E6024" s="0" t="s">
        <v>2045</v>
      </c>
      <c r="F6024" s="0" t="s">
        <v>2046</v>
      </c>
      <c r="G6024" s="0" t="s">
        <v>2096</v>
      </c>
      <c r="H6024" s="0" t="s">
        <v>2048</v>
      </c>
      <c r="I6024" s="0" t="s">
        <v>2097</v>
      </c>
      <c r="J6024" s="0" t="s">
        <v>2358</v>
      </c>
      <c r="K6024" s="272" t="n">
        <v>3485.7</v>
      </c>
    </row>
    <row r="6025" customFormat="false" ht="15" hidden="false" customHeight="false" outlineLevel="0" collapsed="false">
      <c r="A6025" s="0" t="s">
        <v>2041</v>
      </c>
      <c r="B6025" s="0" t="s">
        <v>2042</v>
      </c>
      <c r="C6025" s="0" t="s">
        <v>2156</v>
      </c>
      <c r="D6025" s="0" t="s">
        <v>2044</v>
      </c>
      <c r="E6025" s="0" t="s">
        <v>2045</v>
      </c>
      <c r="F6025" s="0" t="s">
        <v>2046</v>
      </c>
      <c r="G6025" s="0" t="s">
        <v>2096</v>
      </c>
      <c r="H6025" s="0" t="s">
        <v>2048</v>
      </c>
      <c r="I6025" s="0" t="s">
        <v>2097</v>
      </c>
      <c r="J6025" s="0" t="s">
        <v>2358</v>
      </c>
      <c r="K6025" s="272" t="n">
        <v>405279</v>
      </c>
    </row>
    <row r="6026" customFormat="false" ht="15" hidden="false" customHeight="false" outlineLevel="0" collapsed="false">
      <c r="A6026" s="0" t="s">
        <v>2041</v>
      </c>
      <c r="B6026" s="0" t="s">
        <v>2042</v>
      </c>
      <c r="C6026" s="0" t="s">
        <v>2161</v>
      </c>
      <c r="D6026" s="0" t="s">
        <v>2044</v>
      </c>
      <c r="E6026" s="0" t="s">
        <v>2045</v>
      </c>
      <c r="F6026" s="0" t="s">
        <v>2046</v>
      </c>
      <c r="G6026" s="0" t="s">
        <v>2096</v>
      </c>
      <c r="H6026" s="0" t="s">
        <v>2048</v>
      </c>
      <c r="I6026" s="0" t="s">
        <v>2097</v>
      </c>
      <c r="J6026" s="0" t="s">
        <v>2358</v>
      </c>
      <c r="K6026" s="272" t="n">
        <v>31611.78</v>
      </c>
    </row>
    <row r="6027" customFormat="false" ht="15" hidden="false" customHeight="false" outlineLevel="0" collapsed="false">
      <c r="A6027" s="0" t="s">
        <v>2041</v>
      </c>
      <c r="B6027" s="0" t="s">
        <v>2042</v>
      </c>
      <c r="C6027" s="0" t="s">
        <v>2349</v>
      </c>
      <c r="D6027" s="0" t="s">
        <v>2044</v>
      </c>
      <c r="E6027" s="0" t="s">
        <v>2045</v>
      </c>
      <c r="F6027" s="0" t="s">
        <v>2046</v>
      </c>
      <c r="G6027" s="0" t="s">
        <v>2096</v>
      </c>
      <c r="H6027" s="0" t="s">
        <v>2048</v>
      </c>
      <c r="I6027" s="0" t="s">
        <v>2097</v>
      </c>
      <c r="J6027" s="0" t="s">
        <v>2358</v>
      </c>
      <c r="K6027" s="272" t="n">
        <v>22579.87</v>
      </c>
    </row>
    <row r="6028" customFormat="false" ht="15" hidden="false" customHeight="false" outlineLevel="0" collapsed="false">
      <c r="A6028" s="0" t="s">
        <v>2041</v>
      </c>
      <c r="B6028" s="0" t="s">
        <v>2042</v>
      </c>
      <c r="C6028" s="0" t="s">
        <v>2347</v>
      </c>
      <c r="D6028" s="0" t="s">
        <v>2044</v>
      </c>
      <c r="E6028" s="0" t="s">
        <v>2045</v>
      </c>
      <c r="F6028" s="0" t="s">
        <v>2046</v>
      </c>
      <c r="G6028" s="0" t="s">
        <v>2096</v>
      </c>
      <c r="H6028" s="0" t="s">
        <v>2048</v>
      </c>
      <c r="I6028" s="0" t="s">
        <v>2097</v>
      </c>
      <c r="J6028" s="0" t="s">
        <v>2358</v>
      </c>
      <c r="K6028" s="272" t="n">
        <v>30000</v>
      </c>
    </row>
    <row r="6029" customFormat="false" ht="15" hidden="false" customHeight="false" outlineLevel="0" collapsed="false">
      <c r="A6029" s="0" t="s">
        <v>2041</v>
      </c>
      <c r="B6029" s="0" t="s">
        <v>2042</v>
      </c>
      <c r="C6029" s="0" t="s">
        <v>2352</v>
      </c>
      <c r="D6029" s="0" t="s">
        <v>2044</v>
      </c>
      <c r="E6029" s="0" t="s">
        <v>2045</v>
      </c>
      <c r="F6029" s="0" t="s">
        <v>2051</v>
      </c>
      <c r="G6029" s="0" t="s">
        <v>2096</v>
      </c>
      <c r="H6029" s="0" t="s">
        <v>2052</v>
      </c>
      <c r="I6029" s="0" t="s">
        <v>2097</v>
      </c>
      <c r="J6029" s="0" t="s">
        <v>2358</v>
      </c>
      <c r="K6029" s="272" t="n">
        <v>256000</v>
      </c>
    </row>
    <row r="6030" customFormat="false" ht="15" hidden="false" customHeight="false" outlineLevel="0" collapsed="false">
      <c r="A6030" s="0" t="s">
        <v>2041</v>
      </c>
      <c r="B6030" s="0" t="s">
        <v>2042</v>
      </c>
      <c r="C6030" s="0" t="s">
        <v>2359</v>
      </c>
      <c r="D6030" s="0" t="s">
        <v>2044</v>
      </c>
      <c r="E6030" s="0" t="s">
        <v>2045</v>
      </c>
      <c r="F6030" s="0" t="s">
        <v>2051</v>
      </c>
      <c r="G6030" s="0" t="s">
        <v>2096</v>
      </c>
      <c r="H6030" s="0" t="s">
        <v>2052</v>
      </c>
      <c r="I6030" s="0" t="s">
        <v>2097</v>
      </c>
      <c r="J6030" s="0" t="s">
        <v>2358</v>
      </c>
      <c r="K6030" s="272" t="n">
        <v>3485.7</v>
      </c>
    </row>
    <row r="6031" customFormat="false" ht="15" hidden="false" customHeight="false" outlineLevel="0" collapsed="false">
      <c r="A6031" s="0" t="s">
        <v>2041</v>
      </c>
      <c r="B6031" s="0" t="s">
        <v>2042</v>
      </c>
      <c r="C6031" s="0" t="s">
        <v>2156</v>
      </c>
      <c r="D6031" s="0" t="s">
        <v>2044</v>
      </c>
      <c r="E6031" s="0" t="s">
        <v>2045</v>
      </c>
      <c r="F6031" s="0" t="s">
        <v>2051</v>
      </c>
      <c r="G6031" s="0" t="s">
        <v>2096</v>
      </c>
      <c r="H6031" s="0" t="s">
        <v>2052</v>
      </c>
      <c r="I6031" s="0" t="s">
        <v>2097</v>
      </c>
      <c r="J6031" s="0" t="s">
        <v>2358</v>
      </c>
      <c r="K6031" s="272" t="n">
        <v>405279</v>
      </c>
    </row>
    <row r="6032" customFormat="false" ht="15" hidden="false" customHeight="false" outlineLevel="0" collapsed="false">
      <c r="A6032" s="0" t="s">
        <v>2041</v>
      </c>
      <c r="B6032" s="0" t="s">
        <v>2042</v>
      </c>
      <c r="C6032" s="0" t="s">
        <v>2161</v>
      </c>
      <c r="D6032" s="0" t="s">
        <v>2044</v>
      </c>
      <c r="E6032" s="0" t="s">
        <v>2045</v>
      </c>
      <c r="F6032" s="0" t="s">
        <v>2051</v>
      </c>
      <c r="G6032" s="0" t="s">
        <v>2096</v>
      </c>
      <c r="H6032" s="0" t="s">
        <v>2052</v>
      </c>
      <c r="I6032" s="0" t="s">
        <v>2097</v>
      </c>
      <c r="J6032" s="0" t="s">
        <v>2358</v>
      </c>
      <c r="K6032" s="272" t="n">
        <v>31611.78</v>
      </c>
    </row>
    <row r="6033" customFormat="false" ht="15" hidden="false" customHeight="false" outlineLevel="0" collapsed="false">
      <c r="A6033" s="0" t="s">
        <v>2041</v>
      </c>
      <c r="B6033" s="0" t="s">
        <v>2042</v>
      </c>
      <c r="C6033" s="0" t="s">
        <v>2349</v>
      </c>
      <c r="D6033" s="0" t="s">
        <v>2044</v>
      </c>
      <c r="E6033" s="0" t="s">
        <v>2045</v>
      </c>
      <c r="F6033" s="0" t="s">
        <v>2051</v>
      </c>
      <c r="G6033" s="0" t="s">
        <v>2096</v>
      </c>
      <c r="H6033" s="0" t="s">
        <v>2052</v>
      </c>
      <c r="I6033" s="0" t="s">
        <v>2097</v>
      </c>
      <c r="J6033" s="0" t="s">
        <v>2358</v>
      </c>
      <c r="K6033" s="272" t="n">
        <v>22579.87</v>
      </c>
    </row>
    <row r="6034" customFormat="false" ht="15" hidden="false" customHeight="false" outlineLevel="0" collapsed="false">
      <c r="A6034" s="0" t="s">
        <v>2041</v>
      </c>
      <c r="B6034" s="0" t="s">
        <v>2042</v>
      </c>
      <c r="C6034" s="0" t="s">
        <v>2347</v>
      </c>
      <c r="D6034" s="0" t="s">
        <v>2044</v>
      </c>
      <c r="E6034" s="0" t="s">
        <v>2045</v>
      </c>
      <c r="F6034" s="0" t="s">
        <v>2051</v>
      </c>
      <c r="G6034" s="0" t="s">
        <v>2096</v>
      </c>
      <c r="H6034" s="0" t="s">
        <v>2052</v>
      </c>
      <c r="I6034" s="0" t="s">
        <v>2097</v>
      </c>
      <c r="J6034" s="0" t="s">
        <v>2358</v>
      </c>
      <c r="K6034" s="272" t="n">
        <v>30000</v>
      </c>
    </row>
    <row r="6035" customFormat="false" ht="15" hidden="false" customHeight="false" outlineLevel="0" collapsed="false">
      <c r="A6035" s="0" t="s">
        <v>2041</v>
      </c>
      <c r="B6035" s="0" t="s">
        <v>2042</v>
      </c>
      <c r="C6035" s="0" t="s">
        <v>2352</v>
      </c>
      <c r="D6035" s="0" t="s">
        <v>2044</v>
      </c>
      <c r="E6035" s="0" t="s">
        <v>2045</v>
      </c>
      <c r="F6035" s="0" t="s">
        <v>2046</v>
      </c>
      <c r="G6035" s="0" t="s">
        <v>2098</v>
      </c>
      <c r="H6035" s="0" t="s">
        <v>2048</v>
      </c>
      <c r="I6035" s="0" t="s">
        <v>2322</v>
      </c>
      <c r="J6035" s="0" t="s">
        <v>2358</v>
      </c>
      <c r="K6035" s="272" t="n">
        <v>234416</v>
      </c>
    </row>
    <row r="6036" customFormat="false" ht="15" hidden="false" customHeight="false" outlineLevel="0" collapsed="false">
      <c r="A6036" s="0" t="s">
        <v>2041</v>
      </c>
      <c r="B6036" s="0" t="s">
        <v>2042</v>
      </c>
      <c r="C6036" s="0" t="s">
        <v>2359</v>
      </c>
      <c r="D6036" s="0" t="s">
        <v>2044</v>
      </c>
      <c r="E6036" s="0" t="s">
        <v>2045</v>
      </c>
      <c r="F6036" s="0" t="s">
        <v>2046</v>
      </c>
      <c r="G6036" s="0" t="s">
        <v>2098</v>
      </c>
      <c r="H6036" s="0" t="s">
        <v>2048</v>
      </c>
      <c r="I6036" s="0" t="s">
        <v>2322</v>
      </c>
      <c r="J6036" s="0" t="s">
        <v>2358</v>
      </c>
      <c r="K6036" s="272" t="n">
        <v>18252.7842</v>
      </c>
    </row>
    <row r="6037" customFormat="false" ht="15" hidden="false" customHeight="false" outlineLevel="0" collapsed="false">
      <c r="A6037" s="0" t="s">
        <v>2041</v>
      </c>
      <c r="B6037" s="0" t="s">
        <v>2042</v>
      </c>
      <c r="C6037" s="0" t="s">
        <v>2156</v>
      </c>
      <c r="D6037" s="0" t="s">
        <v>2044</v>
      </c>
      <c r="E6037" s="0" t="s">
        <v>2045</v>
      </c>
      <c r="F6037" s="0" t="s">
        <v>2046</v>
      </c>
      <c r="G6037" s="0" t="s">
        <v>2098</v>
      </c>
      <c r="H6037" s="0" t="s">
        <v>2048</v>
      </c>
      <c r="I6037" s="0" t="s">
        <v>2322</v>
      </c>
      <c r="J6037" s="0" t="s">
        <v>2358</v>
      </c>
      <c r="K6037" s="272" t="n">
        <v>407022.42</v>
      </c>
    </row>
    <row r="6038" customFormat="false" ht="15" hidden="false" customHeight="false" outlineLevel="0" collapsed="false">
      <c r="A6038" s="0" t="s">
        <v>2041</v>
      </c>
      <c r="B6038" s="0" t="s">
        <v>2042</v>
      </c>
      <c r="C6038" s="0" t="s">
        <v>2161</v>
      </c>
      <c r="D6038" s="0" t="s">
        <v>2044</v>
      </c>
      <c r="E6038" s="0" t="s">
        <v>2045</v>
      </c>
      <c r="F6038" s="0" t="s">
        <v>2046</v>
      </c>
      <c r="G6038" s="0" t="s">
        <v>2098</v>
      </c>
      <c r="H6038" s="0" t="s">
        <v>2048</v>
      </c>
      <c r="I6038" s="0" t="s">
        <v>2322</v>
      </c>
      <c r="J6038" s="0" t="s">
        <v>2358</v>
      </c>
      <c r="K6038" s="272" t="n">
        <v>122920.77</v>
      </c>
    </row>
    <row r="6039" customFormat="false" ht="15" hidden="false" customHeight="false" outlineLevel="0" collapsed="false">
      <c r="A6039" s="0" t="s">
        <v>2041</v>
      </c>
      <c r="B6039" s="0" t="s">
        <v>2042</v>
      </c>
      <c r="C6039" s="0" t="s">
        <v>2349</v>
      </c>
      <c r="D6039" s="0" t="s">
        <v>2044</v>
      </c>
      <c r="E6039" s="0" t="s">
        <v>2045</v>
      </c>
      <c r="F6039" s="0" t="s">
        <v>2046</v>
      </c>
      <c r="G6039" s="0" t="s">
        <v>2098</v>
      </c>
      <c r="H6039" s="0" t="s">
        <v>2048</v>
      </c>
      <c r="I6039" s="0" t="s">
        <v>2322</v>
      </c>
      <c r="J6039" s="0" t="s">
        <v>2358</v>
      </c>
      <c r="K6039" s="272" t="n">
        <v>76305.978</v>
      </c>
    </row>
    <row r="6040" customFormat="false" ht="15" hidden="false" customHeight="false" outlineLevel="0" collapsed="false">
      <c r="A6040" s="0" t="s">
        <v>2041</v>
      </c>
      <c r="B6040" s="0" t="s">
        <v>2042</v>
      </c>
      <c r="C6040" s="0" t="s">
        <v>2352</v>
      </c>
      <c r="D6040" s="0" t="s">
        <v>2044</v>
      </c>
      <c r="E6040" s="0" t="s">
        <v>2045</v>
      </c>
      <c r="F6040" s="0" t="s">
        <v>2051</v>
      </c>
      <c r="G6040" s="0" t="s">
        <v>2098</v>
      </c>
      <c r="H6040" s="0" t="s">
        <v>2052</v>
      </c>
      <c r="I6040" s="0" t="s">
        <v>2322</v>
      </c>
      <c r="J6040" s="0" t="s">
        <v>2358</v>
      </c>
      <c r="K6040" s="272" t="n">
        <v>4784</v>
      </c>
    </row>
    <row r="6041" customFormat="false" ht="15" hidden="false" customHeight="false" outlineLevel="0" collapsed="false">
      <c r="A6041" s="0" t="s">
        <v>2041</v>
      </c>
      <c r="B6041" s="0" t="s">
        <v>2042</v>
      </c>
      <c r="C6041" s="0" t="s">
        <v>2359</v>
      </c>
      <c r="D6041" s="0" t="s">
        <v>2044</v>
      </c>
      <c r="E6041" s="0" t="s">
        <v>2045</v>
      </c>
      <c r="F6041" s="0" t="s">
        <v>2051</v>
      </c>
      <c r="G6041" s="0" t="s">
        <v>2098</v>
      </c>
      <c r="H6041" s="0" t="s">
        <v>2052</v>
      </c>
      <c r="I6041" s="0" t="s">
        <v>2322</v>
      </c>
      <c r="J6041" s="0" t="s">
        <v>2358</v>
      </c>
      <c r="K6041" s="272" t="n">
        <v>372.5058</v>
      </c>
    </row>
    <row r="6042" customFormat="false" ht="15" hidden="false" customHeight="false" outlineLevel="0" collapsed="false">
      <c r="A6042" s="0" t="s">
        <v>2041</v>
      </c>
      <c r="B6042" s="0" t="s">
        <v>2042</v>
      </c>
      <c r="C6042" s="0" t="s">
        <v>2156</v>
      </c>
      <c r="D6042" s="0" t="s">
        <v>2044</v>
      </c>
      <c r="E6042" s="0" t="s">
        <v>2045</v>
      </c>
      <c r="F6042" s="0" t="s">
        <v>2051</v>
      </c>
      <c r="G6042" s="0" t="s">
        <v>2098</v>
      </c>
      <c r="H6042" s="0" t="s">
        <v>2052</v>
      </c>
      <c r="I6042" s="0" t="s">
        <v>2322</v>
      </c>
      <c r="J6042" s="0" t="s">
        <v>2358</v>
      </c>
      <c r="K6042" s="272" t="n">
        <v>8306.58</v>
      </c>
    </row>
    <row r="6043" customFormat="false" ht="15" hidden="false" customHeight="false" outlineLevel="0" collapsed="false">
      <c r="A6043" s="0" t="s">
        <v>2041</v>
      </c>
      <c r="B6043" s="0" t="s">
        <v>2042</v>
      </c>
      <c r="C6043" s="0" t="s">
        <v>2161</v>
      </c>
      <c r="D6043" s="0" t="s">
        <v>2044</v>
      </c>
      <c r="E6043" s="0" t="s">
        <v>2045</v>
      </c>
      <c r="F6043" s="0" t="s">
        <v>2051</v>
      </c>
      <c r="G6043" s="0" t="s">
        <v>2098</v>
      </c>
      <c r="H6043" s="0" t="s">
        <v>2052</v>
      </c>
      <c r="I6043" s="0" t="s">
        <v>2322</v>
      </c>
      <c r="J6043" s="0" t="s">
        <v>2358</v>
      </c>
      <c r="K6043" s="272" t="n">
        <v>2508.58714285714</v>
      </c>
    </row>
    <row r="6044" customFormat="false" ht="15" hidden="false" customHeight="false" outlineLevel="0" collapsed="false">
      <c r="A6044" s="0" t="s">
        <v>2041</v>
      </c>
      <c r="B6044" s="0" t="s">
        <v>2042</v>
      </c>
      <c r="C6044" s="0" t="s">
        <v>2349</v>
      </c>
      <c r="D6044" s="0" t="s">
        <v>2044</v>
      </c>
      <c r="E6044" s="0" t="s">
        <v>2045</v>
      </c>
      <c r="F6044" s="0" t="s">
        <v>2051</v>
      </c>
      <c r="G6044" s="0" t="s">
        <v>2098</v>
      </c>
      <c r="H6044" s="0" t="s">
        <v>2052</v>
      </c>
      <c r="I6044" s="0" t="s">
        <v>2322</v>
      </c>
      <c r="J6044" s="0" t="s">
        <v>2358</v>
      </c>
      <c r="K6044" s="272" t="n">
        <v>1557.26485714286</v>
      </c>
    </row>
    <row r="6045" customFormat="false" ht="15" hidden="false" customHeight="false" outlineLevel="0" collapsed="false">
      <c r="A6045" s="0" t="s">
        <v>2041</v>
      </c>
      <c r="B6045" s="0" t="s">
        <v>2042</v>
      </c>
      <c r="C6045" s="0" t="s">
        <v>2352</v>
      </c>
      <c r="D6045" s="0" t="s">
        <v>2044</v>
      </c>
      <c r="E6045" s="0" t="s">
        <v>2045</v>
      </c>
      <c r="F6045" s="0" t="s">
        <v>2099</v>
      </c>
      <c r="G6045" s="0" t="s">
        <v>2064</v>
      </c>
      <c r="H6045" s="0" t="s">
        <v>2100</v>
      </c>
      <c r="I6045" s="0" t="s">
        <v>2322</v>
      </c>
      <c r="J6045" s="0" t="s">
        <v>2358</v>
      </c>
      <c r="K6045" s="272" t="n">
        <v>357600</v>
      </c>
    </row>
    <row r="6046" customFormat="false" ht="15" hidden="false" customHeight="false" outlineLevel="0" collapsed="false">
      <c r="A6046" s="0" t="s">
        <v>2041</v>
      </c>
      <c r="B6046" s="0" t="s">
        <v>2042</v>
      </c>
      <c r="C6046" s="0" t="s">
        <v>2361</v>
      </c>
      <c r="D6046" s="0" t="s">
        <v>2044</v>
      </c>
      <c r="E6046" s="0" t="s">
        <v>2045</v>
      </c>
      <c r="F6046" s="0" t="s">
        <v>2099</v>
      </c>
      <c r="G6046" s="0" t="s">
        <v>2064</v>
      </c>
      <c r="H6046" s="0" t="s">
        <v>2100</v>
      </c>
      <c r="I6046" s="0" t="s">
        <v>2322</v>
      </c>
      <c r="J6046" s="0" t="s">
        <v>2358</v>
      </c>
      <c r="K6046" s="272" t="n">
        <v>1981.06</v>
      </c>
    </row>
    <row r="6047" customFormat="false" ht="15" hidden="false" customHeight="false" outlineLevel="0" collapsed="false">
      <c r="A6047" s="0" t="s">
        <v>2041</v>
      </c>
      <c r="B6047" s="0" t="s">
        <v>2042</v>
      </c>
      <c r="C6047" s="0" t="s">
        <v>2156</v>
      </c>
      <c r="D6047" s="0" t="s">
        <v>2044</v>
      </c>
      <c r="E6047" s="0" t="s">
        <v>2045</v>
      </c>
      <c r="F6047" s="0" t="s">
        <v>2099</v>
      </c>
      <c r="G6047" s="0" t="s">
        <v>2064</v>
      </c>
      <c r="H6047" s="0" t="s">
        <v>2100</v>
      </c>
      <c r="I6047" s="0" t="s">
        <v>2322</v>
      </c>
      <c r="J6047" s="0" t="s">
        <v>2358</v>
      </c>
      <c r="K6047" s="272" t="n">
        <v>665275</v>
      </c>
    </row>
    <row r="6048" customFormat="false" ht="15" hidden="false" customHeight="false" outlineLevel="0" collapsed="false">
      <c r="A6048" s="0" t="s">
        <v>2041</v>
      </c>
      <c r="B6048" s="0" t="s">
        <v>2042</v>
      </c>
      <c r="C6048" s="0" t="s">
        <v>2161</v>
      </c>
      <c r="D6048" s="0" t="s">
        <v>2044</v>
      </c>
      <c r="E6048" s="0" t="s">
        <v>2045</v>
      </c>
      <c r="F6048" s="0" t="s">
        <v>2099</v>
      </c>
      <c r="G6048" s="0" t="s">
        <v>2064</v>
      </c>
      <c r="H6048" s="0" t="s">
        <v>2100</v>
      </c>
      <c r="I6048" s="0" t="s">
        <v>2322</v>
      </c>
      <c r="J6048" s="0" t="s">
        <v>2358</v>
      </c>
      <c r="K6048" s="272" t="n">
        <v>200913.06</v>
      </c>
    </row>
    <row r="6049" customFormat="false" ht="15" hidden="false" customHeight="false" outlineLevel="0" collapsed="false">
      <c r="A6049" s="0" t="s">
        <v>2041</v>
      </c>
      <c r="B6049" s="0" t="s">
        <v>2042</v>
      </c>
      <c r="C6049" s="0" t="s">
        <v>2349</v>
      </c>
      <c r="D6049" s="0" t="s">
        <v>2044</v>
      </c>
      <c r="E6049" s="0" t="s">
        <v>2045</v>
      </c>
      <c r="F6049" s="0" t="s">
        <v>2099</v>
      </c>
      <c r="G6049" s="0" t="s">
        <v>2064</v>
      </c>
      <c r="H6049" s="0" t="s">
        <v>2100</v>
      </c>
      <c r="I6049" s="0" t="s">
        <v>2322</v>
      </c>
      <c r="J6049" s="0" t="s">
        <v>2358</v>
      </c>
      <c r="K6049" s="272" t="n">
        <v>108593.48</v>
      </c>
    </row>
    <row r="6050" customFormat="false" ht="15" hidden="false" customHeight="false" outlineLevel="0" collapsed="false">
      <c r="A6050" s="0" t="s">
        <v>2041</v>
      </c>
      <c r="B6050" s="0" t="s">
        <v>2042</v>
      </c>
      <c r="C6050" s="0" t="s">
        <v>2352</v>
      </c>
      <c r="D6050" s="0" t="s">
        <v>2044</v>
      </c>
      <c r="E6050" s="0" t="s">
        <v>2045</v>
      </c>
      <c r="F6050" s="0" t="s">
        <v>2099</v>
      </c>
      <c r="G6050" s="0" t="s">
        <v>2076</v>
      </c>
      <c r="H6050" s="0" t="s">
        <v>2100</v>
      </c>
      <c r="I6050" s="0" t="s">
        <v>2322</v>
      </c>
      <c r="J6050" s="0" t="s">
        <v>2358</v>
      </c>
      <c r="K6050" s="272" t="n">
        <v>257360.57</v>
      </c>
    </row>
    <row r="6051" customFormat="false" ht="15" hidden="false" customHeight="false" outlineLevel="0" collapsed="false">
      <c r="A6051" s="0" t="s">
        <v>2041</v>
      </c>
      <c r="B6051" s="0" t="s">
        <v>2042</v>
      </c>
      <c r="C6051" s="0" t="s">
        <v>2359</v>
      </c>
      <c r="D6051" s="0" t="s">
        <v>2044</v>
      </c>
      <c r="E6051" s="0" t="s">
        <v>2045</v>
      </c>
      <c r="F6051" s="0" t="s">
        <v>2099</v>
      </c>
      <c r="G6051" s="0" t="s">
        <v>2076</v>
      </c>
      <c r="H6051" s="0" t="s">
        <v>2100</v>
      </c>
      <c r="I6051" s="0" t="s">
        <v>2322</v>
      </c>
      <c r="J6051" s="0" t="s">
        <v>2358</v>
      </c>
      <c r="K6051" s="272" t="n">
        <v>35175.36</v>
      </c>
    </row>
    <row r="6052" customFormat="false" ht="15" hidden="false" customHeight="false" outlineLevel="0" collapsed="false">
      <c r="A6052" s="0" t="s">
        <v>2041</v>
      </c>
      <c r="B6052" s="0" t="s">
        <v>2042</v>
      </c>
      <c r="C6052" s="0" t="s">
        <v>2156</v>
      </c>
      <c r="D6052" s="0" t="s">
        <v>2044</v>
      </c>
      <c r="E6052" s="0" t="s">
        <v>2045</v>
      </c>
      <c r="F6052" s="0" t="s">
        <v>2099</v>
      </c>
      <c r="G6052" s="0" t="s">
        <v>2076</v>
      </c>
      <c r="H6052" s="0" t="s">
        <v>2100</v>
      </c>
      <c r="I6052" s="0" t="s">
        <v>2322</v>
      </c>
      <c r="J6052" s="0" t="s">
        <v>2358</v>
      </c>
      <c r="K6052" s="272" t="n">
        <v>542839</v>
      </c>
    </row>
    <row r="6053" customFormat="false" ht="15" hidden="false" customHeight="false" outlineLevel="0" collapsed="false">
      <c r="A6053" s="0" t="s">
        <v>2041</v>
      </c>
      <c r="B6053" s="0" t="s">
        <v>2042</v>
      </c>
      <c r="C6053" s="0" t="s">
        <v>2161</v>
      </c>
      <c r="D6053" s="0" t="s">
        <v>2044</v>
      </c>
      <c r="E6053" s="0" t="s">
        <v>2045</v>
      </c>
      <c r="F6053" s="0" t="s">
        <v>2099</v>
      </c>
      <c r="G6053" s="0" t="s">
        <v>2076</v>
      </c>
      <c r="H6053" s="0" t="s">
        <v>2100</v>
      </c>
      <c r="I6053" s="0" t="s">
        <v>2322</v>
      </c>
      <c r="J6053" s="0" t="s">
        <v>2358</v>
      </c>
      <c r="K6053" s="272" t="n">
        <v>163937.38</v>
      </c>
    </row>
    <row r="6054" customFormat="false" ht="15" hidden="false" customHeight="false" outlineLevel="0" collapsed="false">
      <c r="A6054" s="0" t="s">
        <v>2041</v>
      </c>
      <c r="B6054" s="0" t="s">
        <v>2042</v>
      </c>
      <c r="C6054" s="0" t="s">
        <v>2349</v>
      </c>
      <c r="D6054" s="0" t="s">
        <v>2044</v>
      </c>
      <c r="E6054" s="0" t="s">
        <v>2045</v>
      </c>
      <c r="F6054" s="0" t="s">
        <v>2099</v>
      </c>
      <c r="G6054" s="0" t="s">
        <v>2076</v>
      </c>
      <c r="H6054" s="0" t="s">
        <v>2100</v>
      </c>
      <c r="I6054" s="0" t="s">
        <v>2322</v>
      </c>
      <c r="J6054" s="0" t="s">
        <v>2358</v>
      </c>
      <c r="K6054" s="272" t="n">
        <v>88345.8500000001</v>
      </c>
    </row>
    <row r="6055" customFormat="false" ht="15" hidden="false" customHeight="false" outlineLevel="0" collapsed="false">
      <c r="A6055" s="0" t="s">
        <v>2041</v>
      </c>
      <c r="B6055" s="0" t="s">
        <v>2042</v>
      </c>
      <c r="C6055" s="0" t="s">
        <v>2352</v>
      </c>
      <c r="D6055" s="0" t="s">
        <v>2044</v>
      </c>
      <c r="E6055" s="0" t="s">
        <v>2045</v>
      </c>
      <c r="F6055" s="0" t="s">
        <v>2099</v>
      </c>
      <c r="G6055" s="0" t="s">
        <v>2081</v>
      </c>
      <c r="H6055" s="0" t="s">
        <v>2100</v>
      </c>
      <c r="I6055" s="0" t="s">
        <v>2322</v>
      </c>
      <c r="J6055" s="0" t="s">
        <v>2358</v>
      </c>
      <c r="K6055" s="272" t="n">
        <v>223238.09</v>
      </c>
    </row>
    <row r="6056" customFormat="false" ht="15" hidden="false" customHeight="false" outlineLevel="0" collapsed="false">
      <c r="A6056" s="0" t="s">
        <v>2041</v>
      </c>
      <c r="B6056" s="0" t="s">
        <v>2042</v>
      </c>
      <c r="C6056" s="0" t="s">
        <v>2359</v>
      </c>
      <c r="D6056" s="0" t="s">
        <v>2044</v>
      </c>
      <c r="E6056" s="0" t="s">
        <v>2045</v>
      </c>
      <c r="F6056" s="0" t="s">
        <v>2099</v>
      </c>
      <c r="G6056" s="0" t="s">
        <v>2081</v>
      </c>
      <c r="H6056" s="0" t="s">
        <v>2100</v>
      </c>
      <c r="I6056" s="0" t="s">
        <v>2322</v>
      </c>
      <c r="J6056" s="0" t="s">
        <v>2358</v>
      </c>
      <c r="K6056" s="272" t="n">
        <v>22489.85</v>
      </c>
    </row>
    <row r="6057" customFormat="false" ht="15" hidden="false" customHeight="false" outlineLevel="0" collapsed="false">
      <c r="A6057" s="0" t="s">
        <v>2041</v>
      </c>
      <c r="B6057" s="0" t="s">
        <v>2042</v>
      </c>
      <c r="C6057" s="0" t="s">
        <v>2361</v>
      </c>
      <c r="D6057" s="0" t="s">
        <v>2044</v>
      </c>
      <c r="E6057" s="0" t="s">
        <v>2045</v>
      </c>
      <c r="F6057" s="0" t="s">
        <v>2099</v>
      </c>
      <c r="G6057" s="0" t="s">
        <v>2081</v>
      </c>
      <c r="H6057" s="0" t="s">
        <v>2100</v>
      </c>
      <c r="I6057" s="0" t="s">
        <v>2322</v>
      </c>
      <c r="J6057" s="0" t="s">
        <v>2358</v>
      </c>
      <c r="K6057" s="272" t="n">
        <v>53082.44</v>
      </c>
    </row>
    <row r="6058" customFormat="false" ht="15" hidden="false" customHeight="false" outlineLevel="0" collapsed="false">
      <c r="A6058" s="0" t="s">
        <v>2041</v>
      </c>
      <c r="B6058" s="0" t="s">
        <v>2042</v>
      </c>
      <c r="C6058" s="0" t="s">
        <v>2156</v>
      </c>
      <c r="D6058" s="0" t="s">
        <v>2044</v>
      </c>
      <c r="E6058" s="0" t="s">
        <v>2045</v>
      </c>
      <c r="F6058" s="0" t="s">
        <v>2099</v>
      </c>
      <c r="G6058" s="0" t="s">
        <v>2081</v>
      </c>
      <c r="H6058" s="0" t="s">
        <v>2100</v>
      </c>
      <c r="I6058" s="0" t="s">
        <v>2322</v>
      </c>
      <c r="J6058" s="0" t="s">
        <v>2358</v>
      </c>
      <c r="K6058" s="272" t="n">
        <v>909158</v>
      </c>
    </row>
    <row r="6059" customFormat="false" ht="15" hidden="false" customHeight="false" outlineLevel="0" collapsed="false">
      <c r="A6059" s="0" t="s">
        <v>2041</v>
      </c>
      <c r="B6059" s="0" t="s">
        <v>2042</v>
      </c>
      <c r="C6059" s="0" t="s">
        <v>2161</v>
      </c>
      <c r="D6059" s="0" t="s">
        <v>2044</v>
      </c>
      <c r="E6059" s="0" t="s">
        <v>2045</v>
      </c>
      <c r="F6059" s="0" t="s">
        <v>2099</v>
      </c>
      <c r="G6059" s="0" t="s">
        <v>2081</v>
      </c>
      <c r="H6059" s="0" t="s">
        <v>2100</v>
      </c>
      <c r="I6059" s="0" t="s">
        <v>2322</v>
      </c>
      <c r="J6059" s="0" t="s">
        <v>2358</v>
      </c>
      <c r="K6059" s="272" t="n">
        <v>274565.73</v>
      </c>
    </row>
    <row r="6060" customFormat="false" ht="15" hidden="false" customHeight="false" outlineLevel="0" collapsed="false">
      <c r="A6060" s="0" t="s">
        <v>2041</v>
      </c>
      <c r="B6060" s="0" t="s">
        <v>2042</v>
      </c>
      <c r="C6060" s="0" t="s">
        <v>2349</v>
      </c>
      <c r="D6060" s="0" t="s">
        <v>2044</v>
      </c>
      <c r="E6060" s="0" t="s">
        <v>2045</v>
      </c>
      <c r="F6060" s="0" t="s">
        <v>2099</v>
      </c>
      <c r="G6060" s="0" t="s">
        <v>2081</v>
      </c>
      <c r="H6060" s="0" t="s">
        <v>2100</v>
      </c>
      <c r="I6060" s="0" t="s">
        <v>2322</v>
      </c>
      <c r="J6060" s="0" t="s">
        <v>2358</v>
      </c>
      <c r="K6060" s="272" t="n">
        <v>90240.73</v>
      </c>
    </row>
    <row r="6061" customFormat="false" ht="15" hidden="false" customHeight="false" outlineLevel="0" collapsed="false">
      <c r="A6061" s="0" t="s">
        <v>2041</v>
      </c>
      <c r="B6061" s="0" t="s">
        <v>2042</v>
      </c>
      <c r="C6061" s="0" t="s">
        <v>2352</v>
      </c>
      <c r="D6061" s="0" t="s">
        <v>2044</v>
      </c>
      <c r="E6061" s="0" t="s">
        <v>2045</v>
      </c>
      <c r="F6061" s="0" t="s">
        <v>2099</v>
      </c>
      <c r="G6061" s="0" t="s">
        <v>2085</v>
      </c>
      <c r="H6061" s="0" t="s">
        <v>2100</v>
      </c>
      <c r="I6061" s="0" t="s">
        <v>2322</v>
      </c>
      <c r="J6061" s="0" t="s">
        <v>2358</v>
      </c>
      <c r="K6061" s="272" t="n">
        <v>289257.13</v>
      </c>
    </row>
    <row r="6062" customFormat="false" ht="15" hidden="false" customHeight="false" outlineLevel="0" collapsed="false">
      <c r="A6062" s="0" t="s">
        <v>2041</v>
      </c>
      <c r="B6062" s="0" t="s">
        <v>2042</v>
      </c>
      <c r="C6062" s="0" t="s">
        <v>2359</v>
      </c>
      <c r="D6062" s="0" t="s">
        <v>2044</v>
      </c>
      <c r="E6062" s="0" t="s">
        <v>2045</v>
      </c>
      <c r="F6062" s="0" t="s">
        <v>2099</v>
      </c>
      <c r="G6062" s="0" t="s">
        <v>2085</v>
      </c>
      <c r="H6062" s="0" t="s">
        <v>2100</v>
      </c>
      <c r="I6062" s="0" t="s">
        <v>2322</v>
      </c>
      <c r="J6062" s="0" t="s">
        <v>2358</v>
      </c>
      <c r="K6062" s="272" t="n">
        <v>53763.03</v>
      </c>
    </row>
    <row r="6063" customFormat="false" ht="15" hidden="false" customHeight="false" outlineLevel="0" collapsed="false">
      <c r="A6063" s="0" t="s">
        <v>2041</v>
      </c>
      <c r="B6063" s="0" t="s">
        <v>2042</v>
      </c>
      <c r="C6063" s="0" t="s">
        <v>2156</v>
      </c>
      <c r="D6063" s="0" t="s">
        <v>2044</v>
      </c>
      <c r="E6063" s="0" t="s">
        <v>2045</v>
      </c>
      <c r="F6063" s="0" t="s">
        <v>2099</v>
      </c>
      <c r="G6063" s="0" t="s">
        <v>2085</v>
      </c>
      <c r="H6063" s="0" t="s">
        <v>2100</v>
      </c>
      <c r="I6063" s="0" t="s">
        <v>2322</v>
      </c>
      <c r="J6063" s="0" t="s">
        <v>2358</v>
      </c>
      <c r="K6063" s="272" t="n">
        <v>393172.8</v>
      </c>
    </row>
    <row r="6064" customFormat="false" ht="15" hidden="false" customHeight="false" outlineLevel="0" collapsed="false">
      <c r="A6064" s="0" t="s">
        <v>2041</v>
      </c>
      <c r="B6064" s="0" t="s">
        <v>2042</v>
      </c>
      <c r="C6064" s="0" t="s">
        <v>2161</v>
      </c>
      <c r="D6064" s="0" t="s">
        <v>2044</v>
      </c>
      <c r="E6064" s="0" t="s">
        <v>2045</v>
      </c>
      <c r="F6064" s="0" t="s">
        <v>2099</v>
      </c>
      <c r="G6064" s="0" t="s">
        <v>2085</v>
      </c>
      <c r="H6064" s="0" t="s">
        <v>2100</v>
      </c>
      <c r="I6064" s="0" t="s">
        <v>2322</v>
      </c>
      <c r="J6064" s="0" t="s">
        <v>2358</v>
      </c>
      <c r="K6064" s="272" t="n">
        <v>118738.19</v>
      </c>
    </row>
    <row r="6065" customFormat="false" ht="15" hidden="false" customHeight="false" outlineLevel="0" collapsed="false">
      <c r="A6065" s="0" t="s">
        <v>2041</v>
      </c>
      <c r="B6065" s="0" t="s">
        <v>2042</v>
      </c>
      <c r="C6065" s="0" t="s">
        <v>2349</v>
      </c>
      <c r="D6065" s="0" t="s">
        <v>2044</v>
      </c>
      <c r="E6065" s="0" t="s">
        <v>2045</v>
      </c>
      <c r="F6065" s="0" t="s">
        <v>2099</v>
      </c>
      <c r="G6065" s="0" t="s">
        <v>2085</v>
      </c>
      <c r="H6065" s="0" t="s">
        <v>2100</v>
      </c>
      <c r="I6065" s="0" t="s">
        <v>2322</v>
      </c>
      <c r="J6065" s="0" t="s">
        <v>2358</v>
      </c>
      <c r="K6065" s="272" t="n">
        <v>103592.09</v>
      </c>
    </row>
    <row r="6066" customFormat="false" ht="15" hidden="false" customHeight="false" outlineLevel="0" collapsed="false">
      <c r="A6066" s="0" t="s">
        <v>2041</v>
      </c>
      <c r="B6066" s="0" t="s">
        <v>2042</v>
      </c>
      <c r="C6066" s="0" t="s">
        <v>2352</v>
      </c>
      <c r="D6066" s="0" t="s">
        <v>2044</v>
      </c>
      <c r="E6066" s="0" t="s">
        <v>2045</v>
      </c>
      <c r="F6066" s="0" t="s">
        <v>2099</v>
      </c>
      <c r="G6066" s="0" t="s">
        <v>2086</v>
      </c>
      <c r="H6066" s="0" t="s">
        <v>2100</v>
      </c>
      <c r="I6066" s="0" t="s">
        <v>2322</v>
      </c>
      <c r="J6066" s="0" t="s">
        <v>2358</v>
      </c>
      <c r="K6066" s="272" t="n">
        <v>113028.57</v>
      </c>
    </row>
    <row r="6067" customFormat="false" ht="15" hidden="false" customHeight="false" outlineLevel="0" collapsed="false">
      <c r="A6067" s="0" t="s">
        <v>2041</v>
      </c>
      <c r="B6067" s="0" t="s">
        <v>2042</v>
      </c>
      <c r="C6067" s="0" t="s">
        <v>2359</v>
      </c>
      <c r="D6067" s="0" t="s">
        <v>2044</v>
      </c>
      <c r="E6067" s="0" t="s">
        <v>2045</v>
      </c>
      <c r="F6067" s="0" t="s">
        <v>2099</v>
      </c>
      <c r="G6067" s="0" t="s">
        <v>2086</v>
      </c>
      <c r="H6067" s="0" t="s">
        <v>2100</v>
      </c>
      <c r="I6067" s="0" t="s">
        <v>2322</v>
      </c>
      <c r="J6067" s="0" t="s">
        <v>2358</v>
      </c>
      <c r="K6067" s="272" t="n">
        <v>1135.62</v>
      </c>
    </row>
    <row r="6068" customFormat="false" ht="15" hidden="false" customHeight="false" outlineLevel="0" collapsed="false">
      <c r="A6068" s="0" t="s">
        <v>2041</v>
      </c>
      <c r="B6068" s="0" t="s">
        <v>2042</v>
      </c>
      <c r="C6068" s="0" t="s">
        <v>2156</v>
      </c>
      <c r="D6068" s="0" t="s">
        <v>2044</v>
      </c>
      <c r="E6068" s="0" t="s">
        <v>2045</v>
      </c>
      <c r="F6068" s="0" t="s">
        <v>2099</v>
      </c>
      <c r="G6068" s="0" t="s">
        <v>2086</v>
      </c>
      <c r="H6068" s="0" t="s">
        <v>2100</v>
      </c>
      <c r="I6068" s="0" t="s">
        <v>2322</v>
      </c>
      <c r="J6068" s="0" t="s">
        <v>2358</v>
      </c>
      <c r="K6068" s="272" t="n">
        <v>409784.1</v>
      </c>
    </row>
    <row r="6069" customFormat="false" ht="15" hidden="false" customHeight="false" outlineLevel="0" collapsed="false">
      <c r="A6069" s="0" t="s">
        <v>2041</v>
      </c>
      <c r="B6069" s="0" t="s">
        <v>2042</v>
      </c>
      <c r="C6069" s="0" t="s">
        <v>2161</v>
      </c>
      <c r="D6069" s="0" t="s">
        <v>2044</v>
      </c>
      <c r="E6069" s="0" t="s">
        <v>2045</v>
      </c>
      <c r="F6069" s="0" t="s">
        <v>2099</v>
      </c>
      <c r="G6069" s="0" t="s">
        <v>2086</v>
      </c>
      <c r="H6069" s="0" t="s">
        <v>2100</v>
      </c>
      <c r="I6069" s="0" t="s">
        <v>2322</v>
      </c>
      <c r="J6069" s="0" t="s">
        <v>2358</v>
      </c>
      <c r="K6069" s="272" t="n">
        <v>123754.79</v>
      </c>
    </row>
    <row r="6070" customFormat="false" ht="15" hidden="false" customHeight="false" outlineLevel="0" collapsed="false">
      <c r="A6070" s="0" t="s">
        <v>2041</v>
      </c>
      <c r="B6070" s="0" t="s">
        <v>2042</v>
      </c>
      <c r="C6070" s="0" t="s">
        <v>2349</v>
      </c>
      <c r="D6070" s="0" t="s">
        <v>2044</v>
      </c>
      <c r="E6070" s="0" t="s">
        <v>2045</v>
      </c>
      <c r="F6070" s="0" t="s">
        <v>2099</v>
      </c>
      <c r="G6070" s="0" t="s">
        <v>2086</v>
      </c>
      <c r="H6070" s="0" t="s">
        <v>2100</v>
      </c>
      <c r="I6070" s="0" t="s">
        <v>2322</v>
      </c>
      <c r="J6070" s="0" t="s">
        <v>2358</v>
      </c>
      <c r="K6070" s="272" t="n">
        <v>34477.6</v>
      </c>
    </row>
    <row r="6071" customFormat="false" ht="15" hidden="false" customHeight="false" outlineLevel="0" collapsed="false">
      <c r="A6071" s="0" t="s">
        <v>2041</v>
      </c>
      <c r="B6071" s="0" t="s">
        <v>2042</v>
      </c>
      <c r="C6071" s="0" t="s">
        <v>2352</v>
      </c>
      <c r="D6071" s="0" t="s">
        <v>2044</v>
      </c>
      <c r="E6071" s="0" t="s">
        <v>2045</v>
      </c>
      <c r="F6071" s="0" t="s">
        <v>2099</v>
      </c>
      <c r="G6071" s="0" t="s">
        <v>2095</v>
      </c>
      <c r="H6071" s="0" t="s">
        <v>2100</v>
      </c>
      <c r="I6071" s="0" t="s">
        <v>2322</v>
      </c>
      <c r="J6071" s="0" t="s">
        <v>2358</v>
      </c>
      <c r="K6071" s="272" t="n">
        <v>97914.29</v>
      </c>
    </row>
    <row r="6072" customFormat="false" ht="15" hidden="false" customHeight="false" outlineLevel="0" collapsed="false">
      <c r="A6072" s="0" t="s">
        <v>2041</v>
      </c>
      <c r="B6072" s="0" t="s">
        <v>2042</v>
      </c>
      <c r="C6072" s="0" t="s">
        <v>2359</v>
      </c>
      <c r="D6072" s="0" t="s">
        <v>2044</v>
      </c>
      <c r="E6072" s="0" t="s">
        <v>2045</v>
      </c>
      <c r="F6072" s="0" t="s">
        <v>2099</v>
      </c>
      <c r="G6072" s="0" t="s">
        <v>2095</v>
      </c>
      <c r="H6072" s="0" t="s">
        <v>2100</v>
      </c>
      <c r="I6072" s="0" t="s">
        <v>2322</v>
      </c>
      <c r="J6072" s="0" t="s">
        <v>2358</v>
      </c>
      <c r="K6072" s="272" t="n">
        <v>155319.4</v>
      </c>
    </row>
    <row r="6073" customFormat="false" ht="15" hidden="false" customHeight="false" outlineLevel="0" collapsed="false">
      <c r="A6073" s="0" t="s">
        <v>2041</v>
      </c>
      <c r="B6073" s="0" t="s">
        <v>2042</v>
      </c>
      <c r="C6073" s="0" t="s">
        <v>2361</v>
      </c>
      <c r="D6073" s="0" t="s">
        <v>2044</v>
      </c>
      <c r="E6073" s="0" t="s">
        <v>2045</v>
      </c>
      <c r="F6073" s="0" t="s">
        <v>2099</v>
      </c>
      <c r="G6073" s="0" t="s">
        <v>2095</v>
      </c>
      <c r="H6073" s="0" t="s">
        <v>2100</v>
      </c>
      <c r="I6073" s="0" t="s">
        <v>2322</v>
      </c>
      <c r="J6073" s="0" t="s">
        <v>2358</v>
      </c>
      <c r="K6073" s="272" t="n">
        <v>2991.2</v>
      </c>
    </row>
    <row r="6074" customFormat="false" ht="15" hidden="false" customHeight="false" outlineLevel="0" collapsed="false">
      <c r="A6074" s="0" t="s">
        <v>2041</v>
      </c>
      <c r="B6074" s="0" t="s">
        <v>2042</v>
      </c>
      <c r="C6074" s="0" t="s">
        <v>2156</v>
      </c>
      <c r="D6074" s="0" t="s">
        <v>2044</v>
      </c>
      <c r="E6074" s="0" t="s">
        <v>2045</v>
      </c>
      <c r="F6074" s="0" t="s">
        <v>2099</v>
      </c>
      <c r="G6074" s="0" t="s">
        <v>2095</v>
      </c>
      <c r="H6074" s="0" t="s">
        <v>2100</v>
      </c>
      <c r="I6074" s="0" t="s">
        <v>2322</v>
      </c>
      <c r="J6074" s="0" t="s">
        <v>2358</v>
      </c>
      <c r="K6074" s="272" t="n">
        <v>377579.5</v>
      </c>
    </row>
    <row r="6075" customFormat="false" ht="15" hidden="false" customHeight="false" outlineLevel="0" collapsed="false">
      <c r="A6075" s="0" t="s">
        <v>2041</v>
      </c>
      <c r="B6075" s="0" t="s">
        <v>2042</v>
      </c>
      <c r="C6075" s="0" t="s">
        <v>2161</v>
      </c>
      <c r="D6075" s="0" t="s">
        <v>2044</v>
      </c>
      <c r="E6075" s="0" t="s">
        <v>2045</v>
      </c>
      <c r="F6075" s="0" t="s">
        <v>2099</v>
      </c>
      <c r="G6075" s="0" t="s">
        <v>2095</v>
      </c>
      <c r="H6075" s="0" t="s">
        <v>2100</v>
      </c>
      <c r="I6075" s="0" t="s">
        <v>2322</v>
      </c>
      <c r="J6075" s="0" t="s">
        <v>2358</v>
      </c>
      <c r="K6075" s="272" t="n">
        <v>114029.01</v>
      </c>
    </row>
    <row r="6076" customFormat="false" ht="15" hidden="false" customHeight="false" outlineLevel="0" collapsed="false">
      <c r="A6076" s="0" t="s">
        <v>2041</v>
      </c>
      <c r="B6076" s="0" t="s">
        <v>2042</v>
      </c>
      <c r="C6076" s="0" t="s">
        <v>2349</v>
      </c>
      <c r="D6076" s="0" t="s">
        <v>2044</v>
      </c>
      <c r="E6076" s="0" t="s">
        <v>2045</v>
      </c>
      <c r="F6076" s="0" t="s">
        <v>2099</v>
      </c>
      <c r="G6076" s="0" t="s">
        <v>2095</v>
      </c>
      <c r="H6076" s="0" t="s">
        <v>2100</v>
      </c>
      <c r="I6076" s="0" t="s">
        <v>2322</v>
      </c>
      <c r="J6076" s="0" t="s">
        <v>2358</v>
      </c>
      <c r="K6076" s="272" t="n">
        <v>77379.91</v>
      </c>
    </row>
    <row r="6077" customFormat="false" ht="15" hidden="false" customHeight="false" outlineLevel="0" collapsed="false">
      <c r="A6077" s="0" t="s">
        <v>2041</v>
      </c>
      <c r="B6077" s="0" t="s">
        <v>2042</v>
      </c>
      <c r="C6077" s="0" t="s">
        <v>2352</v>
      </c>
      <c r="D6077" s="0" t="s">
        <v>2044</v>
      </c>
      <c r="E6077" s="0" t="s">
        <v>2045</v>
      </c>
      <c r="F6077" s="0" t="s">
        <v>2099</v>
      </c>
      <c r="G6077" s="0" t="s">
        <v>2096</v>
      </c>
      <c r="H6077" s="0" t="s">
        <v>2100</v>
      </c>
      <c r="I6077" s="0" t="s">
        <v>2101</v>
      </c>
      <c r="J6077" s="0" t="s">
        <v>2358</v>
      </c>
      <c r="K6077" s="272" t="n">
        <v>180399</v>
      </c>
    </row>
    <row r="6078" customFormat="false" ht="15" hidden="false" customHeight="false" outlineLevel="0" collapsed="false">
      <c r="A6078" s="0" t="s">
        <v>2041</v>
      </c>
      <c r="B6078" s="0" t="s">
        <v>2042</v>
      </c>
      <c r="C6078" s="0" t="s">
        <v>2156</v>
      </c>
      <c r="D6078" s="0" t="s">
        <v>2044</v>
      </c>
      <c r="E6078" s="0" t="s">
        <v>2045</v>
      </c>
      <c r="F6078" s="0" t="s">
        <v>2099</v>
      </c>
      <c r="G6078" s="0" t="s">
        <v>2096</v>
      </c>
      <c r="H6078" s="0" t="s">
        <v>2100</v>
      </c>
      <c r="I6078" s="0" t="s">
        <v>2101</v>
      </c>
      <c r="J6078" s="0" t="s">
        <v>2358</v>
      </c>
      <c r="K6078" s="272" t="n">
        <v>335161</v>
      </c>
    </row>
    <row r="6079" customFormat="false" ht="15" hidden="false" customHeight="false" outlineLevel="0" collapsed="false">
      <c r="A6079" s="0" t="s">
        <v>2041</v>
      </c>
      <c r="B6079" s="0" t="s">
        <v>2042</v>
      </c>
      <c r="C6079" s="0" t="s">
        <v>2161</v>
      </c>
      <c r="D6079" s="0" t="s">
        <v>2044</v>
      </c>
      <c r="E6079" s="0" t="s">
        <v>2045</v>
      </c>
      <c r="F6079" s="0" t="s">
        <v>2099</v>
      </c>
      <c r="G6079" s="0" t="s">
        <v>2096</v>
      </c>
      <c r="H6079" s="0" t="s">
        <v>2100</v>
      </c>
      <c r="I6079" s="0" t="s">
        <v>2101</v>
      </c>
      <c r="J6079" s="0" t="s">
        <v>2358</v>
      </c>
      <c r="K6079" s="272" t="n">
        <v>101218.62</v>
      </c>
    </row>
    <row r="6080" customFormat="false" ht="15" hidden="false" customHeight="false" outlineLevel="0" collapsed="false">
      <c r="A6080" s="0" t="s">
        <v>2041</v>
      </c>
      <c r="B6080" s="0" t="s">
        <v>2042</v>
      </c>
      <c r="C6080" s="0" t="s">
        <v>2349</v>
      </c>
      <c r="D6080" s="0" t="s">
        <v>2044</v>
      </c>
      <c r="E6080" s="0" t="s">
        <v>2045</v>
      </c>
      <c r="F6080" s="0" t="s">
        <v>2099</v>
      </c>
      <c r="G6080" s="0" t="s">
        <v>2096</v>
      </c>
      <c r="H6080" s="0" t="s">
        <v>2100</v>
      </c>
      <c r="I6080" s="0" t="s">
        <v>2101</v>
      </c>
      <c r="J6080" s="0" t="s">
        <v>2358</v>
      </c>
      <c r="K6080" s="272" t="n">
        <v>54480.5</v>
      </c>
    </row>
    <row r="6081" customFormat="false" ht="15" hidden="false" customHeight="false" outlineLevel="0" collapsed="false">
      <c r="A6081" s="0" t="s">
        <v>2041</v>
      </c>
      <c r="B6081" s="0" t="s">
        <v>2042</v>
      </c>
      <c r="C6081" s="0" t="s">
        <v>2156</v>
      </c>
      <c r="D6081" s="0" t="s">
        <v>2105</v>
      </c>
      <c r="E6081" s="0" t="s">
        <v>2045</v>
      </c>
      <c r="F6081" s="0" t="s">
        <v>2157</v>
      </c>
      <c r="G6081" s="0" t="s">
        <v>2158</v>
      </c>
      <c r="H6081" s="0" t="s">
        <v>2159</v>
      </c>
      <c r="I6081" s="0" t="s">
        <v>2124</v>
      </c>
      <c r="J6081" s="0" t="s">
        <v>2367</v>
      </c>
      <c r="K6081" s="272" t="n">
        <v>3000000</v>
      </c>
    </row>
    <row r="6082" customFormat="false" ht="15" hidden="false" customHeight="false" outlineLevel="0" collapsed="false">
      <c r="A6082" s="0" t="s">
        <v>2041</v>
      </c>
      <c r="B6082" s="0" t="s">
        <v>2042</v>
      </c>
      <c r="C6082" s="0" t="s">
        <v>2161</v>
      </c>
      <c r="D6082" s="0" t="s">
        <v>2105</v>
      </c>
      <c r="E6082" s="0" t="s">
        <v>2045</v>
      </c>
      <c r="F6082" s="0" t="s">
        <v>2157</v>
      </c>
      <c r="G6082" s="0" t="s">
        <v>2158</v>
      </c>
      <c r="H6082" s="0" t="s">
        <v>2159</v>
      </c>
      <c r="I6082" s="0" t="s">
        <v>2124</v>
      </c>
      <c r="J6082" s="0" t="s">
        <v>2367</v>
      </c>
      <c r="K6082" s="272" t="n">
        <v>782657.98</v>
      </c>
    </row>
    <row r="6083" customFormat="false" ht="15" hidden="false" customHeight="false" outlineLevel="0" collapsed="false">
      <c r="A6083" s="0" t="s">
        <v>2041</v>
      </c>
      <c r="B6083" s="0" t="s">
        <v>2042</v>
      </c>
      <c r="C6083" s="0" t="s">
        <v>2156</v>
      </c>
      <c r="D6083" s="0" t="s">
        <v>2105</v>
      </c>
      <c r="E6083" s="0" t="s">
        <v>2045</v>
      </c>
      <c r="F6083" s="0" t="s">
        <v>2157</v>
      </c>
      <c r="G6083" s="0" t="s">
        <v>2158</v>
      </c>
      <c r="H6083" s="0" t="s">
        <v>2159</v>
      </c>
      <c r="I6083" s="0" t="s">
        <v>2322</v>
      </c>
      <c r="J6083" s="0" t="s">
        <v>2367</v>
      </c>
      <c r="K6083" s="272" t="n">
        <v>184270604</v>
      </c>
    </row>
    <row r="6084" customFormat="false" ht="15" hidden="false" customHeight="false" outlineLevel="0" collapsed="false">
      <c r="A6084" s="0" t="s">
        <v>2041</v>
      </c>
      <c r="B6084" s="0" t="s">
        <v>2042</v>
      </c>
      <c r="C6084" s="0" t="s">
        <v>2161</v>
      </c>
      <c r="D6084" s="0" t="s">
        <v>2105</v>
      </c>
      <c r="E6084" s="0" t="s">
        <v>2045</v>
      </c>
      <c r="F6084" s="0" t="s">
        <v>2157</v>
      </c>
      <c r="G6084" s="0" t="s">
        <v>2158</v>
      </c>
      <c r="H6084" s="0" t="s">
        <v>2159</v>
      </c>
      <c r="I6084" s="0" t="s">
        <v>2322</v>
      </c>
      <c r="J6084" s="0" t="s">
        <v>2367</v>
      </c>
      <c r="K6084" s="272" t="n">
        <v>29289842.54</v>
      </c>
    </row>
    <row r="6085" customFormat="false" ht="15" hidden="false" customHeight="false" outlineLevel="0" collapsed="false">
      <c r="A6085" s="0" t="s">
        <v>2041</v>
      </c>
      <c r="B6085" s="0" t="s">
        <v>2042</v>
      </c>
      <c r="C6085" s="0" t="s">
        <v>2156</v>
      </c>
      <c r="D6085" s="0" t="s">
        <v>2105</v>
      </c>
      <c r="E6085" s="0" t="s">
        <v>2045</v>
      </c>
      <c r="F6085" s="0" t="s">
        <v>2157</v>
      </c>
      <c r="G6085" s="0" t="s">
        <v>2158</v>
      </c>
      <c r="H6085" s="0" t="s">
        <v>2162</v>
      </c>
      <c r="I6085" s="0" t="s">
        <v>2322</v>
      </c>
      <c r="J6085" s="0" t="s">
        <v>2367</v>
      </c>
      <c r="K6085" s="272" t="n">
        <v>625000</v>
      </c>
    </row>
    <row r="6086" customFormat="false" ht="15" hidden="false" customHeight="false" outlineLevel="0" collapsed="false">
      <c r="A6086" s="0" t="s">
        <v>2041</v>
      </c>
      <c r="B6086" s="0" t="s">
        <v>2042</v>
      </c>
      <c r="C6086" s="0" t="s">
        <v>2161</v>
      </c>
      <c r="D6086" s="0" t="s">
        <v>2105</v>
      </c>
      <c r="E6086" s="0" t="s">
        <v>2045</v>
      </c>
      <c r="F6086" s="0" t="s">
        <v>2157</v>
      </c>
      <c r="G6086" s="0" t="s">
        <v>2158</v>
      </c>
      <c r="H6086" s="0" t="s">
        <v>2162</v>
      </c>
      <c r="I6086" s="0" t="s">
        <v>2322</v>
      </c>
      <c r="J6086" s="0" t="s">
        <v>2367</v>
      </c>
      <c r="K6086" s="272" t="n">
        <v>188750</v>
      </c>
    </row>
    <row r="6087" customFormat="false" ht="15" hidden="false" customHeight="false" outlineLevel="0" collapsed="false">
      <c r="A6087" s="0" t="s">
        <v>2041</v>
      </c>
      <c r="B6087" s="0" t="s">
        <v>2042</v>
      </c>
      <c r="C6087" s="0" t="s">
        <v>2156</v>
      </c>
      <c r="D6087" s="0" t="s">
        <v>2105</v>
      </c>
      <c r="E6087" s="0" t="s">
        <v>2045</v>
      </c>
      <c r="F6087" s="0" t="s">
        <v>2157</v>
      </c>
      <c r="G6087" s="0" t="s">
        <v>2158</v>
      </c>
      <c r="H6087" s="0" t="s">
        <v>2126</v>
      </c>
      <c r="I6087" s="0" t="s">
        <v>2322</v>
      </c>
      <c r="J6087" s="0" t="s">
        <v>2367</v>
      </c>
      <c r="K6087" s="272" t="n">
        <v>1325000</v>
      </c>
    </row>
    <row r="6088" customFormat="false" ht="15" hidden="false" customHeight="false" outlineLevel="0" collapsed="false">
      <c r="A6088" s="0" t="s">
        <v>2041</v>
      </c>
      <c r="B6088" s="0" t="s">
        <v>2042</v>
      </c>
      <c r="C6088" s="0" t="s">
        <v>2161</v>
      </c>
      <c r="D6088" s="0" t="s">
        <v>2105</v>
      </c>
      <c r="E6088" s="0" t="s">
        <v>2045</v>
      </c>
      <c r="F6088" s="0" t="s">
        <v>2157</v>
      </c>
      <c r="G6088" s="0" t="s">
        <v>2158</v>
      </c>
      <c r="H6088" s="0" t="s">
        <v>2126</v>
      </c>
      <c r="I6088" s="0" t="s">
        <v>2322</v>
      </c>
      <c r="J6088" s="0" t="s">
        <v>2367</v>
      </c>
      <c r="K6088" s="272" t="n">
        <v>400150</v>
      </c>
    </row>
    <row r="6089" customFormat="false" ht="15" hidden="false" customHeight="false" outlineLevel="0" collapsed="false">
      <c r="A6089" s="0" t="s">
        <v>2041</v>
      </c>
      <c r="B6089" s="0" t="s">
        <v>2042</v>
      </c>
      <c r="C6089" s="0" t="s">
        <v>2156</v>
      </c>
      <c r="D6089" s="0" t="s">
        <v>2105</v>
      </c>
      <c r="E6089" s="0" t="s">
        <v>2045</v>
      </c>
      <c r="F6089" s="0" t="s">
        <v>2163</v>
      </c>
      <c r="G6089" s="0" t="s">
        <v>2164</v>
      </c>
      <c r="H6089" s="0" t="s">
        <v>2166</v>
      </c>
      <c r="I6089" s="0" t="s">
        <v>2124</v>
      </c>
      <c r="J6089" s="0" t="s">
        <v>2367</v>
      </c>
      <c r="K6089" s="272" t="n">
        <v>22000000</v>
      </c>
    </row>
    <row r="6090" customFormat="false" ht="15" hidden="false" customHeight="false" outlineLevel="0" collapsed="false">
      <c r="A6090" s="0" t="s">
        <v>2041</v>
      </c>
      <c r="B6090" s="0" t="s">
        <v>2042</v>
      </c>
      <c r="C6090" s="0" t="s">
        <v>2161</v>
      </c>
      <c r="D6090" s="0" t="s">
        <v>2105</v>
      </c>
      <c r="E6090" s="0" t="s">
        <v>2045</v>
      </c>
      <c r="F6090" s="0" t="s">
        <v>2163</v>
      </c>
      <c r="G6090" s="0" t="s">
        <v>2164</v>
      </c>
      <c r="H6090" s="0" t="s">
        <v>2166</v>
      </c>
      <c r="I6090" s="0" t="s">
        <v>2124</v>
      </c>
      <c r="J6090" s="0" t="s">
        <v>2367</v>
      </c>
      <c r="K6090" s="272" t="n">
        <v>3366000</v>
      </c>
    </row>
    <row r="6091" customFormat="false" ht="15" hidden="false" customHeight="false" outlineLevel="0" collapsed="false">
      <c r="A6091" s="0" t="s">
        <v>2041</v>
      </c>
      <c r="B6091" s="0" t="s">
        <v>2042</v>
      </c>
      <c r="C6091" s="0" t="s">
        <v>2156</v>
      </c>
      <c r="D6091" s="0" t="s">
        <v>2105</v>
      </c>
      <c r="E6091" s="0" t="s">
        <v>2045</v>
      </c>
      <c r="F6091" s="0" t="s">
        <v>2163</v>
      </c>
      <c r="G6091" s="0" t="s">
        <v>2164</v>
      </c>
      <c r="H6091" s="0" t="s">
        <v>2166</v>
      </c>
      <c r="I6091" s="0" t="s">
        <v>2167</v>
      </c>
      <c r="J6091" s="0" t="s">
        <v>2367</v>
      </c>
      <c r="K6091" s="272" t="n">
        <v>4700000</v>
      </c>
    </row>
    <row r="6092" customFormat="false" ht="15" hidden="false" customHeight="false" outlineLevel="0" collapsed="false">
      <c r="A6092" s="0" t="s">
        <v>2041</v>
      </c>
      <c r="B6092" s="0" t="s">
        <v>2042</v>
      </c>
      <c r="C6092" s="0" t="s">
        <v>2161</v>
      </c>
      <c r="D6092" s="0" t="s">
        <v>2105</v>
      </c>
      <c r="E6092" s="0" t="s">
        <v>2045</v>
      </c>
      <c r="F6092" s="0" t="s">
        <v>2163</v>
      </c>
      <c r="G6092" s="0" t="s">
        <v>2164</v>
      </c>
      <c r="H6092" s="0" t="s">
        <v>2166</v>
      </c>
      <c r="I6092" s="0" t="s">
        <v>2167</v>
      </c>
      <c r="J6092" s="0" t="s">
        <v>2367</v>
      </c>
      <c r="K6092" s="272" t="n">
        <v>1148780.52</v>
      </c>
    </row>
    <row r="6093" customFormat="false" ht="15" hidden="false" customHeight="false" outlineLevel="0" collapsed="false">
      <c r="A6093" s="0" t="s">
        <v>2041</v>
      </c>
      <c r="B6093" s="0" t="s">
        <v>2042</v>
      </c>
      <c r="C6093" s="0" t="s">
        <v>2156</v>
      </c>
      <c r="D6093" s="0" t="s">
        <v>2105</v>
      </c>
      <c r="E6093" s="0" t="s">
        <v>2045</v>
      </c>
      <c r="F6093" s="0" t="s">
        <v>2163</v>
      </c>
      <c r="G6093" s="0" t="s">
        <v>2164</v>
      </c>
      <c r="H6093" s="0" t="s">
        <v>2166</v>
      </c>
      <c r="I6093" s="0" t="s">
        <v>2322</v>
      </c>
      <c r="J6093" s="0" t="s">
        <v>2367</v>
      </c>
      <c r="K6093" s="272" t="n">
        <v>220771002</v>
      </c>
    </row>
    <row r="6094" customFormat="false" ht="15" hidden="false" customHeight="false" outlineLevel="0" collapsed="false">
      <c r="A6094" s="0" t="s">
        <v>2041</v>
      </c>
      <c r="B6094" s="0" t="s">
        <v>2042</v>
      </c>
      <c r="C6094" s="0" t="s">
        <v>2161</v>
      </c>
      <c r="D6094" s="0" t="s">
        <v>2105</v>
      </c>
      <c r="E6094" s="0" t="s">
        <v>2045</v>
      </c>
      <c r="F6094" s="0" t="s">
        <v>2163</v>
      </c>
      <c r="G6094" s="0" t="s">
        <v>2164</v>
      </c>
      <c r="H6094" s="0" t="s">
        <v>2166</v>
      </c>
      <c r="I6094" s="0" t="s">
        <v>2322</v>
      </c>
      <c r="J6094" s="0" t="s">
        <v>2367</v>
      </c>
      <c r="K6094" s="272" t="n">
        <v>35900875.45</v>
      </c>
    </row>
    <row r="6095" customFormat="false" ht="15" hidden="false" customHeight="false" outlineLevel="0" collapsed="false">
      <c r="A6095" s="0" t="s">
        <v>2041</v>
      </c>
      <c r="B6095" s="0" t="s">
        <v>2042</v>
      </c>
      <c r="C6095" s="0" t="s">
        <v>2156</v>
      </c>
      <c r="D6095" s="0" t="s">
        <v>2105</v>
      </c>
      <c r="E6095" s="0" t="s">
        <v>2045</v>
      </c>
      <c r="F6095" s="0" t="s">
        <v>2163</v>
      </c>
      <c r="G6095" s="0" t="s">
        <v>2168</v>
      </c>
      <c r="H6095" s="0" t="s">
        <v>2169</v>
      </c>
      <c r="I6095" s="0" t="s">
        <v>2167</v>
      </c>
      <c r="J6095" s="0" t="s">
        <v>2367</v>
      </c>
      <c r="K6095" s="272" t="n">
        <v>230030836.1</v>
      </c>
    </row>
    <row r="6096" customFormat="false" ht="15" hidden="false" customHeight="false" outlineLevel="0" collapsed="false">
      <c r="A6096" s="0" t="s">
        <v>2041</v>
      </c>
      <c r="B6096" s="0" t="s">
        <v>2042</v>
      </c>
      <c r="C6096" s="0" t="s">
        <v>2161</v>
      </c>
      <c r="D6096" s="0" t="s">
        <v>2105</v>
      </c>
      <c r="E6096" s="0" t="s">
        <v>2045</v>
      </c>
      <c r="F6096" s="0" t="s">
        <v>2163</v>
      </c>
      <c r="G6096" s="0" t="s">
        <v>2168</v>
      </c>
      <c r="H6096" s="0" t="s">
        <v>2169</v>
      </c>
      <c r="I6096" s="0" t="s">
        <v>2167</v>
      </c>
      <c r="J6096" s="0" t="s">
        <v>2367</v>
      </c>
      <c r="K6096" s="272" t="n">
        <v>40924394.26</v>
      </c>
    </row>
    <row r="6097" customFormat="false" ht="15" hidden="false" customHeight="false" outlineLevel="0" collapsed="false">
      <c r="A6097" s="0" t="s">
        <v>2041</v>
      </c>
      <c r="B6097" s="0" t="s">
        <v>2042</v>
      </c>
      <c r="C6097" s="0" t="s">
        <v>2156</v>
      </c>
      <c r="D6097" s="0" t="s">
        <v>2105</v>
      </c>
      <c r="E6097" s="0" t="s">
        <v>2045</v>
      </c>
      <c r="F6097" s="0" t="s">
        <v>2163</v>
      </c>
      <c r="G6097" s="0" t="s">
        <v>2168</v>
      </c>
      <c r="H6097" s="0" t="s">
        <v>2169</v>
      </c>
      <c r="I6097" s="0" t="s">
        <v>2322</v>
      </c>
      <c r="J6097" s="0" t="s">
        <v>2367</v>
      </c>
      <c r="K6097" s="272" t="n">
        <v>209983566.4</v>
      </c>
    </row>
    <row r="6098" customFormat="false" ht="15" hidden="false" customHeight="false" outlineLevel="0" collapsed="false">
      <c r="A6098" s="0" t="s">
        <v>2041</v>
      </c>
      <c r="B6098" s="0" t="s">
        <v>2042</v>
      </c>
      <c r="C6098" s="0" t="s">
        <v>2161</v>
      </c>
      <c r="D6098" s="0" t="s">
        <v>2105</v>
      </c>
      <c r="E6098" s="0" t="s">
        <v>2045</v>
      </c>
      <c r="F6098" s="0" t="s">
        <v>2163</v>
      </c>
      <c r="G6098" s="0" t="s">
        <v>2168</v>
      </c>
      <c r="H6098" s="0" t="s">
        <v>2169</v>
      </c>
      <c r="I6098" s="0" t="s">
        <v>2322</v>
      </c>
      <c r="J6098" s="0" t="s">
        <v>2367</v>
      </c>
      <c r="K6098" s="272" t="n">
        <v>41468573.05</v>
      </c>
    </row>
    <row r="6099" customFormat="false" ht="15" hidden="false" customHeight="false" outlineLevel="0" collapsed="false">
      <c r="A6099" s="0" t="s">
        <v>2041</v>
      </c>
      <c r="B6099" s="0" t="s">
        <v>2042</v>
      </c>
      <c r="C6099" s="0" t="s">
        <v>2156</v>
      </c>
      <c r="D6099" s="0" t="s">
        <v>2105</v>
      </c>
      <c r="E6099" s="0" t="s">
        <v>2045</v>
      </c>
      <c r="F6099" s="0" t="s">
        <v>2163</v>
      </c>
      <c r="G6099" s="0" t="s">
        <v>2168</v>
      </c>
      <c r="H6099" s="0" t="s">
        <v>2165</v>
      </c>
      <c r="I6099" s="0" t="s">
        <v>2322</v>
      </c>
      <c r="J6099" s="0" t="s">
        <v>2367</v>
      </c>
      <c r="K6099" s="272" t="n">
        <v>2749999.6</v>
      </c>
    </row>
    <row r="6100" customFormat="false" ht="15" hidden="false" customHeight="false" outlineLevel="0" collapsed="false">
      <c r="A6100" s="0" t="s">
        <v>2041</v>
      </c>
      <c r="B6100" s="0" t="s">
        <v>2042</v>
      </c>
      <c r="C6100" s="0" t="s">
        <v>2161</v>
      </c>
      <c r="D6100" s="0" t="s">
        <v>2105</v>
      </c>
      <c r="E6100" s="0" t="s">
        <v>2045</v>
      </c>
      <c r="F6100" s="0" t="s">
        <v>2163</v>
      </c>
      <c r="G6100" s="0" t="s">
        <v>2168</v>
      </c>
      <c r="H6100" s="0" t="s">
        <v>2165</v>
      </c>
      <c r="I6100" s="0" t="s">
        <v>2322</v>
      </c>
      <c r="J6100" s="0" t="s">
        <v>2367</v>
      </c>
      <c r="K6100" s="272" t="n">
        <v>737528.12</v>
      </c>
    </row>
    <row r="6101" customFormat="false" ht="15" hidden="false" customHeight="false" outlineLevel="0" collapsed="false">
      <c r="A6101" s="0" t="s">
        <v>2041</v>
      </c>
      <c r="B6101" s="0" t="s">
        <v>2042</v>
      </c>
      <c r="C6101" s="0" t="s">
        <v>2156</v>
      </c>
      <c r="D6101" s="0" t="s">
        <v>2105</v>
      </c>
      <c r="E6101" s="0" t="s">
        <v>2045</v>
      </c>
      <c r="F6101" s="0" t="s">
        <v>2163</v>
      </c>
      <c r="G6101" s="0" t="s">
        <v>2168</v>
      </c>
      <c r="H6101" s="0" t="s">
        <v>2166</v>
      </c>
      <c r="I6101" s="0" t="s">
        <v>2167</v>
      </c>
      <c r="J6101" s="0" t="s">
        <v>2367</v>
      </c>
      <c r="K6101" s="272" t="n">
        <v>34581490</v>
      </c>
    </row>
    <row r="6102" customFormat="false" ht="15" hidden="false" customHeight="false" outlineLevel="0" collapsed="false">
      <c r="A6102" s="0" t="s">
        <v>2041</v>
      </c>
      <c r="B6102" s="0" t="s">
        <v>2042</v>
      </c>
      <c r="C6102" s="0" t="s">
        <v>2161</v>
      </c>
      <c r="D6102" s="0" t="s">
        <v>2105</v>
      </c>
      <c r="E6102" s="0" t="s">
        <v>2045</v>
      </c>
      <c r="F6102" s="0" t="s">
        <v>2163</v>
      </c>
      <c r="G6102" s="0" t="s">
        <v>2168</v>
      </c>
      <c r="H6102" s="0" t="s">
        <v>2166</v>
      </c>
      <c r="I6102" s="0" t="s">
        <v>2167</v>
      </c>
      <c r="J6102" s="0" t="s">
        <v>2367</v>
      </c>
      <c r="K6102" s="272" t="n">
        <v>5326072.49</v>
      </c>
    </row>
    <row r="6103" customFormat="false" ht="15" hidden="false" customHeight="false" outlineLevel="0" collapsed="false">
      <c r="A6103" s="0" t="s">
        <v>2041</v>
      </c>
      <c r="B6103" s="0" t="s">
        <v>2042</v>
      </c>
      <c r="C6103" s="0" t="s">
        <v>2156</v>
      </c>
      <c r="D6103" s="0" t="s">
        <v>2105</v>
      </c>
      <c r="E6103" s="0" t="s">
        <v>2045</v>
      </c>
      <c r="F6103" s="0" t="s">
        <v>2163</v>
      </c>
      <c r="G6103" s="0" t="s">
        <v>2170</v>
      </c>
      <c r="H6103" s="0" t="s">
        <v>2165</v>
      </c>
      <c r="I6103" s="0" t="s">
        <v>2124</v>
      </c>
      <c r="J6103" s="0" t="s">
        <v>2367</v>
      </c>
      <c r="K6103" s="272" t="n">
        <v>6555000</v>
      </c>
    </row>
    <row r="6104" customFormat="false" ht="15" hidden="false" customHeight="false" outlineLevel="0" collapsed="false">
      <c r="A6104" s="0" t="s">
        <v>2041</v>
      </c>
      <c r="B6104" s="0" t="s">
        <v>2042</v>
      </c>
      <c r="C6104" s="0" t="s">
        <v>2161</v>
      </c>
      <c r="D6104" s="0" t="s">
        <v>2105</v>
      </c>
      <c r="E6104" s="0" t="s">
        <v>2045</v>
      </c>
      <c r="F6104" s="0" t="s">
        <v>2163</v>
      </c>
      <c r="G6104" s="0" t="s">
        <v>2170</v>
      </c>
      <c r="H6104" s="0" t="s">
        <v>2165</v>
      </c>
      <c r="I6104" s="0" t="s">
        <v>2124</v>
      </c>
      <c r="J6104" s="0" t="s">
        <v>2367</v>
      </c>
      <c r="K6104" s="272" t="n">
        <v>1692316.71</v>
      </c>
    </row>
    <row r="6105" customFormat="false" ht="15" hidden="false" customHeight="false" outlineLevel="0" collapsed="false">
      <c r="A6105" s="0" t="s">
        <v>2041</v>
      </c>
      <c r="B6105" s="0" t="s">
        <v>2042</v>
      </c>
      <c r="C6105" s="0" t="s">
        <v>2156</v>
      </c>
      <c r="D6105" s="0" t="s">
        <v>2105</v>
      </c>
      <c r="E6105" s="0" t="s">
        <v>2045</v>
      </c>
      <c r="F6105" s="0" t="s">
        <v>2163</v>
      </c>
      <c r="G6105" s="0" t="s">
        <v>2170</v>
      </c>
      <c r="H6105" s="0" t="s">
        <v>2165</v>
      </c>
      <c r="I6105" s="0" t="s">
        <v>2167</v>
      </c>
      <c r="J6105" s="0" t="s">
        <v>2367</v>
      </c>
      <c r="K6105" s="272" t="n">
        <v>36310538</v>
      </c>
    </row>
    <row r="6106" customFormat="false" ht="15" hidden="false" customHeight="false" outlineLevel="0" collapsed="false">
      <c r="A6106" s="0" t="s">
        <v>2041</v>
      </c>
      <c r="B6106" s="0" t="s">
        <v>2042</v>
      </c>
      <c r="C6106" s="0" t="s">
        <v>2161</v>
      </c>
      <c r="D6106" s="0" t="s">
        <v>2105</v>
      </c>
      <c r="E6106" s="0" t="s">
        <v>2045</v>
      </c>
      <c r="F6106" s="0" t="s">
        <v>2163</v>
      </c>
      <c r="G6106" s="0" t="s">
        <v>2170</v>
      </c>
      <c r="H6106" s="0" t="s">
        <v>2165</v>
      </c>
      <c r="I6106" s="0" t="s">
        <v>2167</v>
      </c>
      <c r="J6106" s="0" t="s">
        <v>2367</v>
      </c>
      <c r="K6106" s="272" t="n">
        <v>9760535.47</v>
      </c>
    </row>
    <row r="6107" customFormat="false" ht="15" hidden="false" customHeight="false" outlineLevel="0" collapsed="false">
      <c r="A6107" s="0" t="s">
        <v>2041</v>
      </c>
      <c r="B6107" s="0" t="s">
        <v>2042</v>
      </c>
      <c r="C6107" s="0" t="s">
        <v>2156</v>
      </c>
      <c r="D6107" s="0" t="s">
        <v>2105</v>
      </c>
      <c r="E6107" s="0" t="s">
        <v>2045</v>
      </c>
      <c r="F6107" s="0" t="s">
        <v>2163</v>
      </c>
      <c r="G6107" s="0" t="s">
        <v>2170</v>
      </c>
      <c r="H6107" s="0" t="s">
        <v>2165</v>
      </c>
      <c r="I6107" s="0" t="s">
        <v>2322</v>
      </c>
      <c r="J6107" s="0" t="s">
        <v>2367</v>
      </c>
      <c r="K6107" s="272" t="n">
        <v>59038537</v>
      </c>
    </row>
    <row r="6108" customFormat="false" ht="15" hidden="false" customHeight="false" outlineLevel="0" collapsed="false">
      <c r="A6108" s="0" t="s">
        <v>2041</v>
      </c>
      <c r="B6108" s="0" t="s">
        <v>2042</v>
      </c>
      <c r="C6108" s="0" t="s">
        <v>2161</v>
      </c>
      <c r="D6108" s="0" t="s">
        <v>2105</v>
      </c>
      <c r="E6108" s="0" t="s">
        <v>2045</v>
      </c>
      <c r="F6108" s="0" t="s">
        <v>2163</v>
      </c>
      <c r="G6108" s="0" t="s">
        <v>2170</v>
      </c>
      <c r="H6108" s="0" t="s">
        <v>2165</v>
      </c>
      <c r="I6108" s="0" t="s">
        <v>2322</v>
      </c>
      <c r="J6108" s="0" t="s">
        <v>2367</v>
      </c>
      <c r="K6108" s="272" t="n">
        <v>15919919.74</v>
      </c>
    </row>
    <row r="6109" customFormat="false" ht="15" hidden="false" customHeight="false" outlineLevel="0" collapsed="false">
      <c r="A6109" s="0" t="s">
        <v>2041</v>
      </c>
      <c r="B6109" s="0" t="s">
        <v>2042</v>
      </c>
      <c r="C6109" s="0" t="s">
        <v>2156</v>
      </c>
      <c r="D6109" s="0" t="s">
        <v>2105</v>
      </c>
      <c r="E6109" s="0" t="s">
        <v>2045</v>
      </c>
      <c r="F6109" s="0" t="s">
        <v>2163</v>
      </c>
      <c r="G6109" s="0" t="s">
        <v>2170</v>
      </c>
      <c r="H6109" s="0" t="s">
        <v>2171</v>
      </c>
      <c r="I6109" s="0" t="s">
        <v>2322</v>
      </c>
      <c r="J6109" s="0" t="s">
        <v>2367</v>
      </c>
      <c r="K6109" s="272" t="n">
        <v>20100000</v>
      </c>
    </row>
    <row r="6110" customFormat="false" ht="15" hidden="false" customHeight="false" outlineLevel="0" collapsed="false">
      <c r="A6110" s="0" t="s">
        <v>2041</v>
      </c>
      <c r="B6110" s="0" t="s">
        <v>2042</v>
      </c>
      <c r="C6110" s="0" t="s">
        <v>2161</v>
      </c>
      <c r="D6110" s="0" t="s">
        <v>2105</v>
      </c>
      <c r="E6110" s="0" t="s">
        <v>2045</v>
      </c>
      <c r="F6110" s="0" t="s">
        <v>2163</v>
      </c>
      <c r="G6110" s="0" t="s">
        <v>2170</v>
      </c>
      <c r="H6110" s="0" t="s">
        <v>2171</v>
      </c>
      <c r="I6110" s="0" t="s">
        <v>2322</v>
      </c>
      <c r="J6110" s="0" t="s">
        <v>2367</v>
      </c>
      <c r="K6110" s="272" t="n">
        <v>5774982.92</v>
      </c>
    </row>
    <row r="6111" customFormat="false" ht="15" hidden="false" customHeight="false" outlineLevel="0" collapsed="false">
      <c r="A6111" s="0" t="s">
        <v>2041</v>
      </c>
      <c r="B6111" s="0" t="s">
        <v>2042</v>
      </c>
      <c r="C6111" s="0" t="s">
        <v>2156</v>
      </c>
      <c r="D6111" s="0" t="s">
        <v>2105</v>
      </c>
      <c r="E6111" s="0" t="s">
        <v>2045</v>
      </c>
      <c r="F6111" s="0" t="s">
        <v>2163</v>
      </c>
      <c r="G6111" s="0" t="s">
        <v>2172</v>
      </c>
      <c r="H6111" s="0" t="s">
        <v>2173</v>
      </c>
      <c r="I6111" s="0" t="s">
        <v>2124</v>
      </c>
      <c r="J6111" s="0" t="s">
        <v>2367</v>
      </c>
      <c r="K6111" s="272" t="n">
        <v>1000000</v>
      </c>
    </row>
    <row r="6112" customFormat="false" ht="15" hidden="false" customHeight="false" outlineLevel="0" collapsed="false">
      <c r="A6112" s="0" t="s">
        <v>2041</v>
      </c>
      <c r="B6112" s="0" t="s">
        <v>2042</v>
      </c>
      <c r="C6112" s="0" t="s">
        <v>2161</v>
      </c>
      <c r="D6112" s="0" t="s">
        <v>2105</v>
      </c>
      <c r="E6112" s="0" t="s">
        <v>2045</v>
      </c>
      <c r="F6112" s="0" t="s">
        <v>2163</v>
      </c>
      <c r="G6112" s="0" t="s">
        <v>2172</v>
      </c>
      <c r="H6112" s="0" t="s">
        <v>2173</v>
      </c>
      <c r="I6112" s="0" t="s">
        <v>2124</v>
      </c>
      <c r="J6112" s="0" t="s">
        <v>2367</v>
      </c>
      <c r="K6112" s="272" t="n">
        <v>302000</v>
      </c>
    </row>
    <row r="6113" customFormat="false" ht="15" hidden="false" customHeight="false" outlineLevel="0" collapsed="false">
      <c r="A6113" s="0" t="s">
        <v>2041</v>
      </c>
      <c r="B6113" s="0" t="s">
        <v>2042</v>
      </c>
      <c r="C6113" s="0" t="s">
        <v>2156</v>
      </c>
      <c r="D6113" s="0" t="s">
        <v>2105</v>
      </c>
      <c r="E6113" s="0" t="s">
        <v>2045</v>
      </c>
      <c r="F6113" s="0" t="s">
        <v>2163</v>
      </c>
      <c r="G6113" s="0" t="s">
        <v>2172</v>
      </c>
      <c r="H6113" s="0" t="s">
        <v>2173</v>
      </c>
      <c r="I6113" s="0" t="s">
        <v>2167</v>
      </c>
      <c r="J6113" s="0" t="s">
        <v>2367</v>
      </c>
      <c r="K6113" s="272" t="n">
        <v>2000000</v>
      </c>
    </row>
    <row r="6114" customFormat="false" ht="15" hidden="false" customHeight="false" outlineLevel="0" collapsed="false">
      <c r="A6114" s="0" t="s">
        <v>2041</v>
      </c>
      <c r="B6114" s="0" t="s">
        <v>2042</v>
      </c>
      <c r="C6114" s="0" t="s">
        <v>2161</v>
      </c>
      <c r="D6114" s="0" t="s">
        <v>2105</v>
      </c>
      <c r="E6114" s="0" t="s">
        <v>2045</v>
      </c>
      <c r="F6114" s="0" t="s">
        <v>2163</v>
      </c>
      <c r="G6114" s="0" t="s">
        <v>2172</v>
      </c>
      <c r="H6114" s="0" t="s">
        <v>2173</v>
      </c>
      <c r="I6114" s="0" t="s">
        <v>2167</v>
      </c>
      <c r="J6114" s="0" t="s">
        <v>2367</v>
      </c>
      <c r="K6114" s="272" t="n">
        <v>604000</v>
      </c>
    </row>
    <row r="6115" customFormat="false" ht="15" hidden="false" customHeight="false" outlineLevel="0" collapsed="false">
      <c r="A6115" s="0" t="s">
        <v>2041</v>
      </c>
      <c r="B6115" s="0" t="s">
        <v>2042</v>
      </c>
      <c r="C6115" s="0" t="s">
        <v>2156</v>
      </c>
      <c r="D6115" s="0" t="s">
        <v>2105</v>
      </c>
      <c r="E6115" s="0" t="s">
        <v>2045</v>
      </c>
      <c r="F6115" s="0" t="s">
        <v>2163</v>
      </c>
      <c r="G6115" s="0" t="s">
        <v>2172</v>
      </c>
      <c r="H6115" s="0" t="s">
        <v>2173</v>
      </c>
      <c r="I6115" s="0" t="s">
        <v>2322</v>
      </c>
      <c r="J6115" s="0" t="s">
        <v>2367</v>
      </c>
      <c r="K6115" s="272" t="n">
        <v>94750000</v>
      </c>
    </row>
    <row r="6116" customFormat="false" ht="15" hidden="false" customHeight="false" outlineLevel="0" collapsed="false">
      <c r="A6116" s="0" t="s">
        <v>2041</v>
      </c>
      <c r="B6116" s="0" t="s">
        <v>2042</v>
      </c>
      <c r="C6116" s="0" t="s">
        <v>2161</v>
      </c>
      <c r="D6116" s="0" t="s">
        <v>2105</v>
      </c>
      <c r="E6116" s="0" t="s">
        <v>2045</v>
      </c>
      <c r="F6116" s="0" t="s">
        <v>2163</v>
      </c>
      <c r="G6116" s="0" t="s">
        <v>2172</v>
      </c>
      <c r="H6116" s="0" t="s">
        <v>2173</v>
      </c>
      <c r="I6116" s="0" t="s">
        <v>2322</v>
      </c>
      <c r="J6116" s="0" t="s">
        <v>2367</v>
      </c>
      <c r="K6116" s="272" t="n">
        <v>18168205.86</v>
      </c>
    </row>
    <row r="6117" customFormat="false" ht="15" hidden="false" customHeight="false" outlineLevel="0" collapsed="false">
      <c r="A6117" s="0" t="s">
        <v>2041</v>
      </c>
      <c r="B6117" s="0" t="s">
        <v>2042</v>
      </c>
      <c r="C6117" s="0" t="s">
        <v>2156</v>
      </c>
      <c r="D6117" s="0" t="s">
        <v>2105</v>
      </c>
      <c r="E6117" s="0" t="s">
        <v>2045</v>
      </c>
      <c r="F6117" s="0" t="s">
        <v>2163</v>
      </c>
      <c r="G6117" s="0" t="s">
        <v>2327</v>
      </c>
      <c r="H6117" s="0" t="s">
        <v>2328</v>
      </c>
      <c r="I6117" s="0" t="s">
        <v>2322</v>
      </c>
      <c r="J6117" s="0" t="s">
        <v>2367</v>
      </c>
      <c r="K6117" s="272" t="n">
        <v>16024728</v>
      </c>
    </row>
    <row r="6118" customFormat="false" ht="15" hidden="false" customHeight="false" outlineLevel="0" collapsed="false">
      <c r="A6118" s="0" t="s">
        <v>2041</v>
      </c>
      <c r="B6118" s="0" t="s">
        <v>2042</v>
      </c>
      <c r="C6118" s="0" t="s">
        <v>2161</v>
      </c>
      <c r="D6118" s="0" t="s">
        <v>2105</v>
      </c>
      <c r="E6118" s="0" t="s">
        <v>2045</v>
      </c>
      <c r="F6118" s="0" t="s">
        <v>2163</v>
      </c>
      <c r="G6118" s="0" t="s">
        <v>2327</v>
      </c>
      <c r="H6118" s="0" t="s">
        <v>2328</v>
      </c>
      <c r="I6118" s="0" t="s">
        <v>2322</v>
      </c>
      <c r="J6118" s="0" t="s">
        <v>2367</v>
      </c>
      <c r="K6118" s="272" t="n">
        <v>3413310.19</v>
      </c>
    </row>
    <row r="6119" customFormat="false" ht="15" hidden="false" customHeight="false" outlineLevel="0" collapsed="false">
      <c r="A6119" s="0" t="s">
        <v>2041</v>
      </c>
      <c r="B6119" s="0" t="s">
        <v>2042</v>
      </c>
      <c r="C6119" s="0" t="s">
        <v>2156</v>
      </c>
      <c r="D6119" s="0" t="s">
        <v>2105</v>
      </c>
      <c r="E6119" s="0" t="s">
        <v>2045</v>
      </c>
      <c r="F6119" s="0" t="s">
        <v>2163</v>
      </c>
      <c r="G6119" s="0" t="s">
        <v>2174</v>
      </c>
      <c r="H6119" s="0" t="s">
        <v>2175</v>
      </c>
      <c r="I6119" s="0" t="s">
        <v>2167</v>
      </c>
      <c r="J6119" s="0" t="s">
        <v>2367</v>
      </c>
      <c r="K6119" s="272" t="n">
        <v>3150000</v>
      </c>
    </row>
    <row r="6120" customFormat="false" ht="15" hidden="false" customHeight="false" outlineLevel="0" collapsed="false">
      <c r="A6120" s="0" t="s">
        <v>2041</v>
      </c>
      <c r="B6120" s="0" t="s">
        <v>2042</v>
      </c>
      <c r="C6120" s="0" t="s">
        <v>2161</v>
      </c>
      <c r="D6120" s="0" t="s">
        <v>2105</v>
      </c>
      <c r="E6120" s="0" t="s">
        <v>2045</v>
      </c>
      <c r="F6120" s="0" t="s">
        <v>2163</v>
      </c>
      <c r="G6120" s="0" t="s">
        <v>2174</v>
      </c>
      <c r="H6120" s="0" t="s">
        <v>2175</v>
      </c>
      <c r="I6120" s="0" t="s">
        <v>2167</v>
      </c>
      <c r="J6120" s="0" t="s">
        <v>2367</v>
      </c>
      <c r="K6120" s="272" t="n">
        <v>935386.8</v>
      </c>
    </row>
    <row r="6121" customFormat="false" ht="15" hidden="false" customHeight="false" outlineLevel="0" collapsed="false">
      <c r="A6121" s="0" t="s">
        <v>2041</v>
      </c>
      <c r="B6121" s="0" t="s">
        <v>2042</v>
      </c>
      <c r="C6121" s="0" t="s">
        <v>2156</v>
      </c>
      <c r="D6121" s="0" t="s">
        <v>2105</v>
      </c>
      <c r="E6121" s="0" t="s">
        <v>2045</v>
      </c>
      <c r="F6121" s="0" t="s">
        <v>2163</v>
      </c>
      <c r="G6121" s="0" t="s">
        <v>2174</v>
      </c>
      <c r="H6121" s="0" t="s">
        <v>2175</v>
      </c>
      <c r="I6121" s="0" t="s">
        <v>2322</v>
      </c>
      <c r="J6121" s="0" t="s">
        <v>2367</v>
      </c>
      <c r="K6121" s="272" t="n">
        <v>57900000</v>
      </c>
    </row>
    <row r="6122" customFormat="false" ht="15" hidden="false" customHeight="false" outlineLevel="0" collapsed="false">
      <c r="A6122" s="0" t="s">
        <v>2041</v>
      </c>
      <c r="B6122" s="0" t="s">
        <v>2042</v>
      </c>
      <c r="C6122" s="0" t="s">
        <v>2161</v>
      </c>
      <c r="D6122" s="0" t="s">
        <v>2105</v>
      </c>
      <c r="E6122" s="0" t="s">
        <v>2045</v>
      </c>
      <c r="F6122" s="0" t="s">
        <v>2163</v>
      </c>
      <c r="G6122" s="0" t="s">
        <v>2174</v>
      </c>
      <c r="H6122" s="0" t="s">
        <v>2175</v>
      </c>
      <c r="I6122" s="0" t="s">
        <v>2322</v>
      </c>
      <c r="J6122" s="0" t="s">
        <v>2367</v>
      </c>
      <c r="K6122" s="272" t="n">
        <v>13428502.49</v>
      </c>
    </row>
    <row r="6123" customFormat="false" ht="15" hidden="false" customHeight="false" outlineLevel="0" collapsed="false">
      <c r="A6123" s="0" t="s">
        <v>2041</v>
      </c>
      <c r="B6123" s="0" t="s">
        <v>2042</v>
      </c>
      <c r="C6123" s="0" t="s">
        <v>2156</v>
      </c>
      <c r="D6123" s="0" t="s">
        <v>2105</v>
      </c>
      <c r="E6123" s="0" t="s">
        <v>2045</v>
      </c>
      <c r="F6123" s="0" t="s">
        <v>2176</v>
      </c>
      <c r="G6123" s="0" t="s">
        <v>2177</v>
      </c>
      <c r="H6123" s="0" t="s">
        <v>2179</v>
      </c>
      <c r="I6123" s="0" t="s">
        <v>2322</v>
      </c>
      <c r="J6123" s="0" t="s">
        <v>2367</v>
      </c>
      <c r="K6123" s="272" t="n">
        <v>20000000</v>
      </c>
    </row>
    <row r="6124" customFormat="false" ht="15" hidden="false" customHeight="false" outlineLevel="0" collapsed="false">
      <c r="A6124" s="0" t="s">
        <v>2041</v>
      </c>
      <c r="B6124" s="0" t="s">
        <v>2042</v>
      </c>
      <c r="C6124" s="0" t="s">
        <v>2161</v>
      </c>
      <c r="D6124" s="0" t="s">
        <v>2105</v>
      </c>
      <c r="E6124" s="0" t="s">
        <v>2045</v>
      </c>
      <c r="F6124" s="0" t="s">
        <v>2176</v>
      </c>
      <c r="G6124" s="0" t="s">
        <v>2177</v>
      </c>
      <c r="H6124" s="0" t="s">
        <v>2179</v>
      </c>
      <c r="I6124" s="0" t="s">
        <v>2322</v>
      </c>
      <c r="J6124" s="0" t="s">
        <v>2367</v>
      </c>
      <c r="K6124" s="272" t="n">
        <v>3060000</v>
      </c>
    </row>
    <row r="6125" customFormat="false" ht="15" hidden="false" customHeight="false" outlineLevel="0" collapsed="false">
      <c r="A6125" s="0" t="s">
        <v>2041</v>
      </c>
      <c r="B6125" s="0" t="s">
        <v>2042</v>
      </c>
      <c r="C6125" s="0" t="s">
        <v>2156</v>
      </c>
      <c r="D6125" s="0" t="s">
        <v>2105</v>
      </c>
      <c r="E6125" s="0" t="s">
        <v>2045</v>
      </c>
      <c r="F6125" s="0" t="s">
        <v>2176</v>
      </c>
      <c r="G6125" s="0" t="s">
        <v>2181</v>
      </c>
      <c r="H6125" s="0" t="s">
        <v>2182</v>
      </c>
      <c r="I6125" s="0" t="s">
        <v>2124</v>
      </c>
      <c r="J6125" s="0" t="s">
        <v>2367</v>
      </c>
      <c r="K6125" s="272" t="n">
        <v>850000</v>
      </c>
    </row>
    <row r="6126" customFormat="false" ht="15" hidden="false" customHeight="false" outlineLevel="0" collapsed="false">
      <c r="A6126" s="0" t="s">
        <v>2041</v>
      </c>
      <c r="B6126" s="0" t="s">
        <v>2042</v>
      </c>
      <c r="C6126" s="0" t="s">
        <v>2161</v>
      </c>
      <c r="D6126" s="0" t="s">
        <v>2105</v>
      </c>
      <c r="E6126" s="0" t="s">
        <v>2045</v>
      </c>
      <c r="F6126" s="0" t="s">
        <v>2176</v>
      </c>
      <c r="G6126" s="0" t="s">
        <v>2181</v>
      </c>
      <c r="H6126" s="0" t="s">
        <v>2182</v>
      </c>
      <c r="I6126" s="0" t="s">
        <v>2124</v>
      </c>
      <c r="J6126" s="0" t="s">
        <v>2367</v>
      </c>
      <c r="K6126" s="272" t="n">
        <v>236828.609924316</v>
      </c>
    </row>
    <row r="6127" customFormat="false" ht="15" hidden="false" customHeight="false" outlineLevel="0" collapsed="false">
      <c r="A6127" s="0" t="s">
        <v>2041</v>
      </c>
      <c r="B6127" s="0" t="s">
        <v>2042</v>
      </c>
      <c r="C6127" s="0" t="s">
        <v>2156</v>
      </c>
      <c r="D6127" s="0" t="s">
        <v>2105</v>
      </c>
      <c r="E6127" s="0" t="s">
        <v>2045</v>
      </c>
      <c r="F6127" s="0" t="s">
        <v>2176</v>
      </c>
      <c r="G6127" s="0" t="s">
        <v>2181</v>
      </c>
      <c r="H6127" s="0" t="s">
        <v>2182</v>
      </c>
      <c r="I6127" s="0" t="s">
        <v>2322</v>
      </c>
      <c r="J6127" s="0" t="s">
        <v>2367</v>
      </c>
      <c r="K6127" s="272" t="n">
        <v>24000000</v>
      </c>
    </row>
    <row r="6128" customFormat="false" ht="15" hidden="false" customHeight="false" outlineLevel="0" collapsed="false">
      <c r="A6128" s="0" t="s">
        <v>2041</v>
      </c>
      <c r="B6128" s="0" t="s">
        <v>2042</v>
      </c>
      <c r="C6128" s="0" t="s">
        <v>2161</v>
      </c>
      <c r="D6128" s="0" t="s">
        <v>2105</v>
      </c>
      <c r="E6128" s="0" t="s">
        <v>2045</v>
      </c>
      <c r="F6128" s="0" t="s">
        <v>2176</v>
      </c>
      <c r="G6128" s="0" t="s">
        <v>2181</v>
      </c>
      <c r="H6128" s="0" t="s">
        <v>2182</v>
      </c>
      <c r="I6128" s="0" t="s">
        <v>2322</v>
      </c>
      <c r="J6128" s="0" t="s">
        <v>2367</v>
      </c>
      <c r="K6128" s="272" t="n">
        <v>3683195.46</v>
      </c>
    </row>
    <row r="6129" customFormat="false" ht="15" hidden="false" customHeight="false" outlineLevel="0" collapsed="false">
      <c r="A6129" s="0" t="s">
        <v>2041</v>
      </c>
      <c r="B6129" s="0" t="s">
        <v>2042</v>
      </c>
      <c r="C6129" s="0" t="s">
        <v>2156</v>
      </c>
      <c r="D6129" s="0" t="s">
        <v>2105</v>
      </c>
      <c r="E6129" s="0" t="s">
        <v>2045</v>
      </c>
      <c r="F6129" s="0" t="s">
        <v>2176</v>
      </c>
      <c r="G6129" s="0" t="s">
        <v>2181</v>
      </c>
      <c r="H6129" s="0" t="s">
        <v>2183</v>
      </c>
      <c r="I6129" s="0" t="s">
        <v>2124</v>
      </c>
      <c r="J6129" s="0" t="s">
        <v>2367</v>
      </c>
      <c r="K6129" s="272" t="n">
        <v>825000</v>
      </c>
    </row>
    <row r="6130" customFormat="false" ht="15" hidden="false" customHeight="false" outlineLevel="0" collapsed="false">
      <c r="A6130" s="0" t="s">
        <v>2041</v>
      </c>
      <c r="B6130" s="0" t="s">
        <v>2042</v>
      </c>
      <c r="C6130" s="0" t="s">
        <v>2161</v>
      </c>
      <c r="D6130" s="0" t="s">
        <v>2105</v>
      </c>
      <c r="E6130" s="0" t="s">
        <v>2045</v>
      </c>
      <c r="F6130" s="0" t="s">
        <v>2176</v>
      </c>
      <c r="G6130" s="0" t="s">
        <v>2181</v>
      </c>
      <c r="H6130" s="0" t="s">
        <v>2183</v>
      </c>
      <c r="I6130" s="0" t="s">
        <v>2124</v>
      </c>
      <c r="J6130" s="0" t="s">
        <v>2367</v>
      </c>
      <c r="K6130" s="272" t="n">
        <v>229863.062573601</v>
      </c>
    </row>
    <row r="6131" customFormat="false" ht="15" hidden="false" customHeight="false" outlineLevel="0" collapsed="false">
      <c r="A6131" s="0" t="s">
        <v>2041</v>
      </c>
      <c r="B6131" s="0" t="s">
        <v>2042</v>
      </c>
      <c r="C6131" s="0" t="s">
        <v>2156</v>
      </c>
      <c r="D6131" s="0" t="s">
        <v>2105</v>
      </c>
      <c r="E6131" s="0" t="s">
        <v>2045</v>
      </c>
      <c r="F6131" s="0" t="s">
        <v>2176</v>
      </c>
      <c r="G6131" s="0" t="s">
        <v>2181</v>
      </c>
      <c r="H6131" s="0" t="s">
        <v>2184</v>
      </c>
      <c r="I6131" s="0" t="s">
        <v>2322</v>
      </c>
      <c r="J6131" s="0" t="s">
        <v>2367</v>
      </c>
      <c r="K6131" s="272" t="n">
        <v>24000000</v>
      </c>
    </row>
    <row r="6132" customFormat="false" ht="15" hidden="false" customHeight="false" outlineLevel="0" collapsed="false">
      <c r="A6132" s="0" t="s">
        <v>2041</v>
      </c>
      <c r="B6132" s="0" t="s">
        <v>2042</v>
      </c>
      <c r="C6132" s="0" t="s">
        <v>2161</v>
      </c>
      <c r="D6132" s="0" t="s">
        <v>2105</v>
      </c>
      <c r="E6132" s="0" t="s">
        <v>2045</v>
      </c>
      <c r="F6132" s="0" t="s">
        <v>2176</v>
      </c>
      <c r="G6132" s="0" t="s">
        <v>2181</v>
      </c>
      <c r="H6132" s="0" t="s">
        <v>2184</v>
      </c>
      <c r="I6132" s="0" t="s">
        <v>2322</v>
      </c>
      <c r="J6132" s="0" t="s">
        <v>2367</v>
      </c>
      <c r="K6132" s="272" t="n">
        <v>3683195.46</v>
      </c>
    </row>
    <row r="6133" customFormat="false" ht="15" hidden="false" customHeight="false" outlineLevel="0" collapsed="false">
      <c r="A6133" s="0" t="s">
        <v>2041</v>
      </c>
      <c r="B6133" s="0" t="s">
        <v>2042</v>
      </c>
      <c r="C6133" s="0" t="s">
        <v>2156</v>
      </c>
      <c r="D6133" s="0" t="s">
        <v>2105</v>
      </c>
      <c r="E6133" s="0" t="s">
        <v>2045</v>
      </c>
      <c r="F6133" s="0" t="s">
        <v>2176</v>
      </c>
      <c r="G6133" s="0" t="s">
        <v>2181</v>
      </c>
      <c r="H6133" s="0" t="s">
        <v>2185</v>
      </c>
      <c r="I6133" s="0" t="s">
        <v>2124</v>
      </c>
      <c r="J6133" s="0" t="s">
        <v>2367</v>
      </c>
      <c r="K6133" s="272" t="n">
        <v>825000</v>
      </c>
    </row>
    <row r="6134" customFormat="false" ht="15" hidden="false" customHeight="false" outlineLevel="0" collapsed="false">
      <c r="A6134" s="0" t="s">
        <v>2041</v>
      </c>
      <c r="B6134" s="0" t="s">
        <v>2042</v>
      </c>
      <c r="C6134" s="0" t="s">
        <v>2161</v>
      </c>
      <c r="D6134" s="0" t="s">
        <v>2105</v>
      </c>
      <c r="E6134" s="0" t="s">
        <v>2045</v>
      </c>
      <c r="F6134" s="0" t="s">
        <v>2176</v>
      </c>
      <c r="G6134" s="0" t="s">
        <v>2181</v>
      </c>
      <c r="H6134" s="0" t="s">
        <v>2185</v>
      </c>
      <c r="I6134" s="0" t="s">
        <v>2124</v>
      </c>
      <c r="J6134" s="0" t="s">
        <v>2367</v>
      </c>
      <c r="K6134" s="272" t="n">
        <v>229863.062573601</v>
      </c>
    </row>
    <row r="6135" customFormat="false" ht="15" hidden="false" customHeight="false" outlineLevel="0" collapsed="false">
      <c r="A6135" s="0" t="s">
        <v>2041</v>
      </c>
      <c r="B6135" s="0" t="s">
        <v>2042</v>
      </c>
      <c r="C6135" s="0" t="s">
        <v>2156</v>
      </c>
      <c r="D6135" s="0" t="s">
        <v>2105</v>
      </c>
      <c r="E6135" s="0" t="s">
        <v>2045</v>
      </c>
      <c r="F6135" s="0" t="s">
        <v>2176</v>
      </c>
      <c r="G6135" s="0" t="s">
        <v>2181</v>
      </c>
      <c r="H6135" s="0" t="s">
        <v>2186</v>
      </c>
      <c r="I6135" s="0" t="s">
        <v>2322</v>
      </c>
      <c r="J6135" s="0" t="s">
        <v>2367</v>
      </c>
      <c r="K6135" s="272" t="n">
        <v>102000000</v>
      </c>
    </row>
    <row r="6136" customFormat="false" ht="15" hidden="false" customHeight="false" outlineLevel="0" collapsed="false">
      <c r="A6136" s="0" t="s">
        <v>2041</v>
      </c>
      <c r="B6136" s="0" t="s">
        <v>2042</v>
      </c>
      <c r="C6136" s="0" t="s">
        <v>2161</v>
      </c>
      <c r="D6136" s="0" t="s">
        <v>2105</v>
      </c>
      <c r="E6136" s="0" t="s">
        <v>2045</v>
      </c>
      <c r="F6136" s="0" t="s">
        <v>2176</v>
      </c>
      <c r="G6136" s="0" t="s">
        <v>2181</v>
      </c>
      <c r="H6136" s="0" t="s">
        <v>2186</v>
      </c>
      <c r="I6136" s="0" t="s">
        <v>2322</v>
      </c>
      <c r="J6136" s="0" t="s">
        <v>2367</v>
      </c>
      <c r="K6136" s="272" t="n">
        <v>15786031.79</v>
      </c>
    </row>
    <row r="6137" customFormat="false" ht="15" hidden="false" customHeight="false" outlineLevel="0" collapsed="false">
      <c r="A6137" s="0" t="s">
        <v>2041</v>
      </c>
      <c r="B6137" s="0" t="s">
        <v>2042</v>
      </c>
      <c r="C6137" s="0" t="s">
        <v>2156</v>
      </c>
      <c r="D6137" s="0" t="s">
        <v>2105</v>
      </c>
      <c r="E6137" s="0" t="s">
        <v>2045</v>
      </c>
      <c r="F6137" s="0" t="s">
        <v>2176</v>
      </c>
      <c r="G6137" s="0" t="s">
        <v>2181</v>
      </c>
      <c r="H6137" s="0" t="s">
        <v>2187</v>
      </c>
      <c r="I6137" s="0" t="s">
        <v>2322</v>
      </c>
      <c r="J6137" s="0" t="s">
        <v>2367</v>
      </c>
      <c r="K6137" s="272" t="n">
        <v>1000000</v>
      </c>
    </row>
    <row r="6138" customFormat="false" ht="15" hidden="false" customHeight="false" outlineLevel="0" collapsed="false">
      <c r="A6138" s="0" t="s">
        <v>2041</v>
      </c>
      <c r="B6138" s="0" t="s">
        <v>2042</v>
      </c>
      <c r="C6138" s="0" t="s">
        <v>2161</v>
      </c>
      <c r="D6138" s="0" t="s">
        <v>2105</v>
      </c>
      <c r="E6138" s="0" t="s">
        <v>2045</v>
      </c>
      <c r="F6138" s="0" t="s">
        <v>2176</v>
      </c>
      <c r="G6138" s="0" t="s">
        <v>2181</v>
      </c>
      <c r="H6138" s="0" t="s">
        <v>2187</v>
      </c>
      <c r="I6138" s="0" t="s">
        <v>2322</v>
      </c>
      <c r="J6138" s="0" t="s">
        <v>2367</v>
      </c>
      <c r="K6138" s="272" t="n">
        <v>302000</v>
      </c>
    </row>
    <row r="6139" customFormat="false" ht="15" hidden="false" customHeight="false" outlineLevel="0" collapsed="false">
      <c r="A6139" s="0" t="s">
        <v>2041</v>
      </c>
      <c r="B6139" s="0" t="s">
        <v>2042</v>
      </c>
      <c r="C6139" s="0" t="s">
        <v>2156</v>
      </c>
      <c r="D6139" s="0" t="s">
        <v>2105</v>
      </c>
      <c r="E6139" s="0" t="s">
        <v>2045</v>
      </c>
      <c r="F6139" s="0" t="s">
        <v>2176</v>
      </c>
      <c r="G6139" s="0" t="s">
        <v>2188</v>
      </c>
      <c r="H6139" s="0" t="s">
        <v>2189</v>
      </c>
      <c r="I6139" s="0" t="s">
        <v>2322</v>
      </c>
      <c r="J6139" s="0" t="s">
        <v>2367</v>
      </c>
      <c r="K6139" s="272" t="n">
        <v>17800000</v>
      </c>
    </row>
    <row r="6140" customFormat="false" ht="15" hidden="false" customHeight="false" outlineLevel="0" collapsed="false">
      <c r="A6140" s="0" t="s">
        <v>2041</v>
      </c>
      <c r="B6140" s="0" t="s">
        <v>2042</v>
      </c>
      <c r="C6140" s="0" t="s">
        <v>2161</v>
      </c>
      <c r="D6140" s="0" t="s">
        <v>2105</v>
      </c>
      <c r="E6140" s="0" t="s">
        <v>2045</v>
      </c>
      <c r="F6140" s="0" t="s">
        <v>2176</v>
      </c>
      <c r="G6140" s="0" t="s">
        <v>2188</v>
      </c>
      <c r="H6140" s="0" t="s">
        <v>2189</v>
      </c>
      <c r="I6140" s="0" t="s">
        <v>2322</v>
      </c>
      <c r="J6140" s="0" t="s">
        <v>2367</v>
      </c>
      <c r="K6140" s="272" t="n">
        <v>3397658.38</v>
      </c>
    </row>
    <row r="6141" customFormat="false" ht="15" hidden="false" customHeight="false" outlineLevel="0" collapsed="false">
      <c r="A6141" s="0" t="s">
        <v>2041</v>
      </c>
      <c r="B6141" s="0" t="s">
        <v>2042</v>
      </c>
      <c r="C6141" s="0" t="s">
        <v>2156</v>
      </c>
      <c r="D6141" s="0" t="s">
        <v>2105</v>
      </c>
      <c r="E6141" s="0" t="s">
        <v>2045</v>
      </c>
      <c r="F6141" s="0" t="s">
        <v>2176</v>
      </c>
      <c r="G6141" s="0" t="s">
        <v>2190</v>
      </c>
      <c r="H6141" s="0" t="s">
        <v>2191</v>
      </c>
      <c r="I6141" s="0" t="s">
        <v>2124</v>
      </c>
      <c r="J6141" s="0" t="s">
        <v>2367</v>
      </c>
      <c r="K6141" s="272" t="n">
        <v>4000000</v>
      </c>
    </row>
    <row r="6142" customFormat="false" ht="15" hidden="false" customHeight="false" outlineLevel="0" collapsed="false">
      <c r="A6142" s="0" t="s">
        <v>2041</v>
      </c>
      <c r="B6142" s="0" t="s">
        <v>2042</v>
      </c>
      <c r="C6142" s="0" t="s">
        <v>2161</v>
      </c>
      <c r="D6142" s="0" t="s">
        <v>2105</v>
      </c>
      <c r="E6142" s="0" t="s">
        <v>2045</v>
      </c>
      <c r="F6142" s="0" t="s">
        <v>2176</v>
      </c>
      <c r="G6142" s="0" t="s">
        <v>2190</v>
      </c>
      <c r="H6142" s="0" t="s">
        <v>2191</v>
      </c>
      <c r="I6142" s="0" t="s">
        <v>2124</v>
      </c>
      <c r="J6142" s="0" t="s">
        <v>2367</v>
      </c>
      <c r="K6142" s="272" t="n">
        <v>891119.57</v>
      </c>
    </row>
    <row r="6143" customFormat="false" ht="15" hidden="false" customHeight="false" outlineLevel="0" collapsed="false">
      <c r="A6143" s="0" t="s">
        <v>2041</v>
      </c>
      <c r="B6143" s="0" t="s">
        <v>2042</v>
      </c>
      <c r="C6143" s="0" t="s">
        <v>2156</v>
      </c>
      <c r="D6143" s="0" t="s">
        <v>2105</v>
      </c>
      <c r="E6143" s="0" t="s">
        <v>2045</v>
      </c>
      <c r="F6143" s="0" t="s">
        <v>2176</v>
      </c>
      <c r="G6143" s="0" t="s">
        <v>2190</v>
      </c>
      <c r="H6143" s="0" t="s">
        <v>2191</v>
      </c>
      <c r="I6143" s="0" t="s">
        <v>2322</v>
      </c>
      <c r="J6143" s="0" t="s">
        <v>2367</v>
      </c>
      <c r="K6143" s="272" t="n">
        <v>42000000</v>
      </c>
    </row>
    <row r="6144" customFormat="false" ht="15" hidden="false" customHeight="false" outlineLevel="0" collapsed="false">
      <c r="A6144" s="0" t="s">
        <v>2041</v>
      </c>
      <c r="B6144" s="0" t="s">
        <v>2042</v>
      </c>
      <c r="C6144" s="0" t="s">
        <v>2161</v>
      </c>
      <c r="D6144" s="0" t="s">
        <v>2105</v>
      </c>
      <c r="E6144" s="0" t="s">
        <v>2045</v>
      </c>
      <c r="F6144" s="0" t="s">
        <v>2176</v>
      </c>
      <c r="G6144" s="0" t="s">
        <v>2190</v>
      </c>
      <c r="H6144" s="0" t="s">
        <v>2191</v>
      </c>
      <c r="I6144" s="0" t="s">
        <v>2322</v>
      </c>
      <c r="J6144" s="0" t="s">
        <v>2367</v>
      </c>
      <c r="K6144" s="272" t="n">
        <v>8479234.84</v>
      </c>
    </row>
    <row r="6145" customFormat="false" ht="15" hidden="false" customHeight="false" outlineLevel="0" collapsed="false">
      <c r="A6145" s="0" t="s">
        <v>2041</v>
      </c>
      <c r="B6145" s="0" t="s">
        <v>2042</v>
      </c>
      <c r="C6145" s="0" t="s">
        <v>2156</v>
      </c>
      <c r="D6145" s="0" t="s">
        <v>2105</v>
      </c>
      <c r="E6145" s="0" t="s">
        <v>2045</v>
      </c>
      <c r="F6145" s="0" t="s">
        <v>2192</v>
      </c>
      <c r="G6145" s="0" t="s">
        <v>2193</v>
      </c>
      <c r="H6145" s="0" t="s">
        <v>2162</v>
      </c>
      <c r="I6145" s="0" t="s">
        <v>2124</v>
      </c>
      <c r="J6145" s="0" t="s">
        <v>2367</v>
      </c>
      <c r="K6145" s="272" t="n">
        <v>3700000</v>
      </c>
    </row>
    <row r="6146" customFormat="false" ht="15" hidden="false" customHeight="false" outlineLevel="0" collapsed="false">
      <c r="A6146" s="0" t="s">
        <v>2041</v>
      </c>
      <c r="B6146" s="0" t="s">
        <v>2042</v>
      </c>
      <c r="C6146" s="0" t="s">
        <v>2161</v>
      </c>
      <c r="D6146" s="0" t="s">
        <v>2105</v>
      </c>
      <c r="E6146" s="0" t="s">
        <v>2045</v>
      </c>
      <c r="F6146" s="0" t="s">
        <v>2192</v>
      </c>
      <c r="G6146" s="0" t="s">
        <v>2193</v>
      </c>
      <c r="H6146" s="0" t="s">
        <v>2162</v>
      </c>
      <c r="I6146" s="0" t="s">
        <v>2124</v>
      </c>
      <c r="J6146" s="0" t="s">
        <v>2367</v>
      </c>
      <c r="K6146" s="272" t="n">
        <v>1117400</v>
      </c>
    </row>
    <row r="6147" customFormat="false" ht="15" hidden="false" customHeight="false" outlineLevel="0" collapsed="false">
      <c r="A6147" s="0" t="s">
        <v>2041</v>
      </c>
      <c r="B6147" s="0" t="s">
        <v>2042</v>
      </c>
      <c r="C6147" s="0" t="s">
        <v>2156</v>
      </c>
      <c r="D6147" s="0" t="s">
        <v>2105</v>
      </c>
      <c r="E6147" s="0" t="s">
        <v>2045</v>
      </c>
      <c r="F6147" s="0" t="s">
        <v>2192</v>
      </c>
      <c r="G6147" s="0" t="s">
        <v>2193</v>
      </c>
      <c r="H6147" s="0" t="s">
        <v>2162</v>
      </c>
      <c r="I6147" s="0" t="s">
        <v>2322</v>
      </c>
      <c r="J6147" s="0" t="s">
        <v>2367</v>
      </c>
      <c r="K6147" s="272" t="n">
        <v>144901839</v>
      </c>
    </row>
    <row r="6148" customFormat="false" ht="15" hidden="false" customHeight="false" outlineLevel="0" collapsed="false">
      <c r="A6148" s="0" t="s">
        <v>2041</v>
      </c>
      <c r="B6148" s="0" t="s">
        <v>2042</v>
      </c>
      <c r="C6148" s="0" t="s">
        <v>2161</v>
      </c>
      <c r="D6148" s="0" t="s">
        <v>2105</v>
      </c>
      <c r="E6148" s="0" t="s">
        <v>2045</v>
      </c>
      <c r="F6148" s="0" t="s">
        <v>2192</v>
      </c>
      <c r="G6148" s="0" t="s">
        <v>2193</v>
      </c>
      <c r="H6148" s="0" t="s">
        <v>2162</v>
      </c>
      <c r="I6148" s="0" t="s">
        <v>2322</v>
      </c>
      <c r="J6148" s="0" t="s">
        <v>2367</v>
      </c>
      <c r="K6148" s="272" t="n">
        <v>28414769.48</v>
      </c>
    </row>
    <row r="6149" customFormat="false" ht="15" hidden="false" customHeight="false" outlineLevel="0" collapsed="false">
      <c r="A6149" s="0" t="s">
        <v>2041</v>
      </c>
      <c r="B6149" s="0" t="s">
        <v>2042</v>
      </c>
      <c r="C6149" s="0" t="s">
        <v>2156</v>
      </c>
      <c r="D6149" s="0" t="s">
        <v>2105</v>
      </c>
      <c r="E6149" s="0" t="s">
        <v>2045</v>
      </c>
      <c r="F6149" s="0" t="s">
        <v>2192</v>
      </c>
      <c r="G6149" s="0" t="s">
        <v>2194</v>
      </c>
      <c r="H6149" s="0" t="s">
        <v>2162</v>
      </c>
      <c r="I6149" s="0" t="s">
        <v>2124</v>
      </c>
      <c r="J6149" s="0" t="s">
        <v>2367</v>
      </c>
      <c r="K6149" s="272" t="n">
        <v>2100000</v>
      </c>
    </row>
    <row r="6150" customFormat="false" ht="15" hidden="false" customHeight="false" outlineLevel="0" collapsed="false">
      <c r="A6150" s="0" t="s">
        <v>2041</v>
      </c>
      <c r="B6150" s="0" t="s">
        <v>2042</v>
      </c>
      <c r="C6150" s="0" t="s">
        <v>2161</v>
      </c>
      <c r="D6150" s="0" t="s">
        <v>2105</v>
      </c>
      <c r="E6150" s="0" t="s">
        <v>2045</v>
      </c>
      <c r="F6150" s="0" t="s">
        <v>2192</v>
      </c>
      <c r="G6150" s="0" t="s">
        <v>2194</v>
      </c>
      <c r="H6150" s="0" t="s">
        <v>2162</v>
      </c>
      <c r="I6150" s="0" t="s">
        <v>2124</v>
      </c>
      <c r="J6150" s="0" t="s">
        <v>2367</v>
      </c>
      <c r="K6150" s="272" t="n">
        <v>634200</v>
      </c>
    </row>
    <row r="6151" customFormat="false" ht="15" hidden="false" customHeight="false" outlineLevel="0" collapsed="false">
      <c r="A6151" s="0" t="s">
        <v>2041</v>
      </c>
      <c r="B6151" s="0" t="s">
        <v>2042</v>
      </c>
      <c r="C6151" s="0" t="s">
        <v>2156</v>
      </c>
      <c r="D6151" s="0" t="s">
        <v>2105</v>
      </c>
      <c r="E6151" s="0" t="s">
        <v>2045</v>
      </c>
      <c r="F6151" s="0" t="s">
        <v>2192</v>
      </c>
      <c r="G6151" s="0" t="s">
        <v>2194</v>
      </c>
      <c r="H6151" s="0" t="s">
        <v>2162</v>
      </c>
      <c r="I6151" s="0" t="s">
        <v>2322</v>
      </c>
      <c r="J6151" s="0" t="s">
        <v>2367</v>
      </c>
      <c r="K6151" s="272" t="n">
        <v>18125000</v>
      </c>
    </row>
    <row r="6152" customFormat="false" ht="15" hidden="false" customHeight="false" outlineLevel="0" collapsed="false">
      <c r="A6152" s="0" t="s">
        <v>2041</v>
      </c>
      <c r="B6152" s="0" t="s">
        <v>2042</v>
      </c>
      <c r="C6152" s="0" t="s">
        <v>2161</v>
      </c>
      <c r="D6152" s="0" t="s">
        <v>2105</v>
      </c>
      <c r="E6152" s="0" t="s">
        <v>2045</v>
      </c>
      <c r="F6152" s="0" t="s">
        <v>2192</v>
      </c>
      <c r="G6152" s="0" t="s">
        <v>2194</v>
      </c>
      <c r="H6152" s="0" t="s">
        <v>2162</v>
      </c>
      <c r="I6152" s="0" t="s">
        <v>2322</v>
      </c>
      <c r="J6152" s="0" t="s">
        <v>2367</v>
      </c>
      <c r="K6152" s="272" t="n">
        <v>4213054.26</v>
      </c>
    </row>
    <row r="6153" customFormat="false" ht="15" hidden="false" customHeight="false" outlineLevel="0" collapsed="false">
      <c r="A6153" s="0" t="s">
        <v>2041</v>
      </c>
      <c r="B6153" s="0" t="s">
        <v>2042</v>
      </c>
      <c r="C6153" s="0" t="s">
        <v>2156</v>
      </c>
      <c r="D6153" s="0" t="s">
        <v>2105</v>
      </c>
      <c r="E6153" s="0" t="s">
        <v>2045</v>
      </c>
      <c r="F6153" s="0" t="s">
        <v>2192</v>
      </c>
      <c r="G6153" s="0" t="s">
        <v>2195</v>
      </c>
      <c r="H6153" s="0" t="s">
        <v>2171</v>
      </c>
      <c r="I6153" s="0" t="s">
        <v>2124</v>
      </c>
      <c r="J6153" s="0" t="s">
        <v>2367</v>
      </c>
      <c r="K6153" s="272" t="n">
        <v>5700000</v>
      </c>
    </row>
    <row r="6154" customFormat="false" ht="15" hidden="false" customHeight="false" outlineLevel="0" collapsed="false">
      <c r="A6154" s="0" t="s">
        <v>2041</v>
      </c>
      <c r="B6154" s="0" t="s">
        <v>2042</v>
      </c>
      <c r="C6154" s="0" t="s">
        <v>2161</v>
      </c>
      <c r="D6154" s="0" t="s">
        <v>2105</v>
      </c>
      <c r="E6154" s="0" t="s">
        <v>2045</v>
      </c>
      <c r="F6154" s="0" t="s">
        <v>2192</v>
      </c>
      <c r="G6154" s="0" t="s">
        <v>2195</v>
      </c>
      <c r="H6154" s="0" t="s">
        <v>2171</v>
      </c>
      <c r="I6154" s="0" t="s">
        <v>2124</v>
      </c>
      <c r="J6154" s="0" t="s">
        <v>2367</v>
      </c>
      <c r="K6154" s="272" t="n">
        <v>1277363.58</v>
      </c>
    </row>
    <row r="6155" customFormat="false" ht="15" hidden="false" customHeight="false" outlineLevel="0" collapsed="false">
      <c r="A6155" s="0" t="s">
        <v>2041</v>
      </c>
      <c r="B6155" s="0" t="s">
        <v>2042</v>
      </c>
      <c r="C6155" s="0" t="s">
        <v>2156</v>
      </c>
      <c r="D6155" s="0" t="s">
        <v>2105</v>
      </c>
      <c r="E6155" s="0" t="s">
        <v>2045</v>
      </c>
      <c r="F6155" s="0" t="s">
        <v>2192</v>
      </c>
      <c r="G6155" s="0" t="s">
        <v>2195</v>
      </c>
      <c r="H6155" s="0" t="s">
        <v>2171</v>
      </c>
      <c r="I6155" s="0" t="s">
        <v>2322</v>
      </c>
      <c r="J6155" s="0" t="s">
        <v>2367</v>
      </c>
      <c r="K6155" s="272" t="n">
        <v>72020000</v>
      </c>
    </row>
    <row r="6156" customFormat="false" ht="15" hidden="false" customHeight="false" outlineLevel="0" collapsed="false">
      <c r="A6156" s="0" t="s">
        <v>2041</v>
      </c>
      <c r="B6156" s="0" t="s">
        <v>2042</v>
      </c>
      <c r="C6156" s="0" t="s">
        <v>2161</v>
      </c>
      <c r="D6156" s="0" t="s">
        <v>2105</v>
      </c>
      <c r="E6156" s="0" t="s">
        <v>2045</v>
      </c>
      <c r="F6156" s="0" t="s">
        <v>2192</v>
      </c>
      <c r="G6156" s="0" t="s">
        <v>2195</v>
      </c>
      <c r="H6156" s="0" t="s">
        <v>2171</v>
      </c>
      <c r="I6156" s="0" t="s">
        <v>2322</v>
      </c>
      <c r="J6156" s="0" t="s">
        <v>2367</v>
      </c>
      <c r="K6156" s="272" t="n">
        <v>15246245</v>
      </c>
    </row>
    <row r="6157" customFormat="false" ht="15" hidden="false" customHeight="false" outlineLevel="0" collapsed="false">
      <c r="A6157" s="0" t="s">
        <v>2041</v>
      </c>
      <c r="B6157" s="0" t="s">
        <v>2042</v>
      </c>
      <c r="C6157" s="0" t="s">
        <v>2156</v>
      </c>
      <c r="D6157" s="0" t="s">
        <v>2105</v>
      </c>
      <c r="E6157" s="0" t="s">
        <v>2045</v>
      </c>
      <c r="F6157" s="0" t="s">
        <v>2192</v>
      </c>
      <c r="G6157" s="0" t="s">
        <v>2195</v>
      </c>
      <c r="H6157" s="0" t="s">
        <v>2162</v>
      </c>
      <c r="I6157" s="0" t="s">
        <v>2124</v>
      </c>
      <c r="J6157" s="0" t="s">
        <v>2367</v>
      </c>
      <c r="K6157" s="272" t="n">
        <v>16600000</v>
      </c>
    </row>
    <row r="6158" customFormat="false" ht="15" hidden="false" customHeight="false" outlineLevel="0" collapsed="false">
      <c r="A6158" s="0" t="s">
        <v>2041</v>
      </c>
      <c r="B6158" s="0" t="s">
        <v>2042</v>
      </c>
      <c r="C6158" s="0" t="s">
        <v>2161</v>
      </c>
      <c r="D6158" s="0" t="s">
        <v>2105</v>
      </c>
      <c r="E6158" s="0" t="s">
        <v>2045</v>
      </c>
      <c r="F6158" s="0" t="s">
        <v>2192</v>
      </c>
      <c r="G6158" s="0" t="s">
        <v>2195</v>
      </c>
      <c r="H6158" s="0" t="s">
        <v>2162</v>
      </c>
      <c r="I6158" s="0" t="s">
        <v>2124</v>
      </c>
      <c r="J6158" s="0" t="s">
        <v>2367</v>
      </c>
      <c r="K6158" s="272" t="n">
        <v>2990699.49</v>
      </c>
    </row>
    <row r="6159" customFormat="false" ht="15" hidden="false" customHeight="false" outlineLevel="0" collapsed="false">
      <c r="A6159" s="0" t="s">
        <v>2041</v>
      </c>
      <c r="B6159" s="0" t="s">
        <v>2042</v>
      </c>
      <c r="C6159" s="0" t="s">
        <v>2156</v>
      </c>
      <c r="D6159" s="0" t="s">
        <v>2105</v>
      </c>
      <c r="E6159" s="0" t="s">
        <v>2045</v>
      </c>
      <c r="F6159" s="0" t="s">
        <v>2192</v>
      </c>
      <c r="G6159" s="0" t="s">
        <v>2195</v>
      </c>
      <c r="H6159" s="0" t="s">
        <v>2162</v>
      </c>
      <c r="I6159" s="0" t="s">
        <v>2322</v>
      </c>
      <c r="J6159" s="0" t="s">
        <v>2367</v>
      </c>
      <c r="K6159" s="272" t="n">
        <v>400000</v>
      </c>
    </row>
    <row r="6160" customFormat="false" ht="15" hidden="false" customHeight="false" outlineLevel="0" collapsed="false">
      <c r="A6160" s="0" t="s">
        <v>2041</v>
      </c>
      <c r="B6160" s="0" t="s">
        <v>2042</v>
      </c>
      <c r="C6160" s="0" t="s">
        <v>2161</v>
      </c>
      <c r="D6160" s="0" t="s">
        <v>2105</v>
      </c>
      <c r="E6160" s="0" t="s">
        <v>2045</v>
      </c>
      <c r="F6160" s="0" t="s">
        <v>2192</v>
      </c>
      <c r="G6160" s="0" t="s">
        <v>2195</v>
      </c>
      <c r="H6160" s="0" t="s">
        <v>2162</v>
      </c>
      <c r="I6160" s="0" t="s">
        <v>2322</v>
      </c>
      <c r="J6160" s="0" t="s">
        <v>2367</v>
      </c>
      <c r="K6160" s="272" t="n">
        <v>120800</v>
      </c>
    </row>
    <row r="6161" customFormat="false" ht="15" hidden="false" customHeight="false" outlineLevel="0" collapsed="false">
      <c r="A6161" s="0" t="s">
        <v>2041</v>
      </c>
      <c r="B6161" s="0" t="s">
        <v>2042</v>
      </c>
      <c r="C6161" s="0" t="s">
        <v>2156</v>
      </c>
      <c r="D6161" s="0" t="s">
        <v>2105</v>
      </c>
      <c r="E6161" s="0" t="s">
        <v>2045</v>
      </c>
      <c r="F6161" s="0" t="s">
        <v>2192</v>
      </c>
      <c r="G6161" s="0" t="s">
        <v>2196</v>
      </c>
      <c r="H6161" s="0" t="s">
        <v>2162</v>
      </c>
      <c r="I6161" s="0" t="s">
        <v>2124</v>
      </c>
      <c r="J6161" s="0" t="s">
        <v>2367</v>
      </c>
      <c r="K6161" s="272" t="n">
        <v>8500000</v>
      </c>
    </row>
    <row r="6162" customFormat="false" ht="15" hidden="false" customHeight="false" outlineLevel="0" collapsed="false">
      <c r="A6162" s="0" t="s">
        <v>2041</v>
      </c>
      <c r="B6162" s="0" t="s">
        <v>2042</v>
      </c>
      <c r="C6162" s="0" t="s">
        <v>2161</v>
      </c>
      <c r="D6162" s="0" t="s">
        <v>2105</v>
      </c>
      <c r="E6162" s="0" t="s">
        <v>2045</v>
      </c>
      <c r="F6162" s="0" t="s">
        <v>2192</v>
      </c>
      <c r="G6162" s="0" t="s">
        <v>2196</v>
      </c>
      <c r="H6162" s="0" t="s">
        <v>2162</v>
      </c>
      <c r="I6162" s="0" t="s">
        <v>2124</v>
      </c>
      <c r="J6162" s="0" t="s">
        <v>2367</v>
      </c>
      <c r="K6162" s="272" t="n">
        <v>1735738.53</v>
      </c>
    </row>
    <row r="6163" customFormat="false" ht="15" hidden="false" customHeight="false" outlineLevel="0" collapsed="false">
      <c r="A6163" s="0" t="s">
        <v>2041</v>
      </c>
      <c r="B6163" s="0" t="s">
        <v>2042</v>
      </c>
      <c r="C6163" s="0" t="s">
        <v>2156</v>
      </c>
      <c r="D6163" s="0" t="s">
        <v>2105</v>
      </c>
      <c r="E6163" s="0" t="s">
        <v>2045</v>
      </c>
      <c r="F6163" s="0" t="s">
        <v>2192</v>
      </c>
      <c r="G6163" s="0" t="s">
        <v>2196</v>
      </c>
      <c r="H6163" s="0" t="s">
        <v>2162</v>
      </c>
      <c r="I6163" s="0" t="s">
        <v>2197</v>
      </c>
      <c r="J6163" s="0" t="s">
        <v>2367</v>
      </c>
      <c r="K6163" s="272" t="n">
        <v>3300000</v>
      </c>
    </row>
    <row r="6164" customFormat="false" ht="15" hidden="false" customHeight="false" outlineLevel="0" collapsed="false">
      <c r="A6164" s="0" t="s">
        <v>2041</v>
      </c>
      <c r="B6164" s="0" t="s">
        <v>2042</v>
      </c>
      <c r="C6164" s="0" t="s">
        <v>2161</v>
      </c>
      <c r="D6164" s="0" t="s">
        <v>2105</v>
      </c>
      <c r="E6164" s="0" t="s">
        <v>2045</v>
      </c>
      <c r="F6164" s="0" t="s">
        <v>2192</v>
      </c>
      <c r="G6164" s="0" t="s">
        <v>2196</v>
      </c>
      <c r="H6164" s="0" t="s">
        <v>2162</v>
      </c>
      <c r="I6164" s="0" t="s">
        <v>2197</v>
      </c>
      <c r="J6164" s="0" t="s">
        <v>2367</v>
      </c>
      <c r="K6164" s="272" t="n">
        <v>924240</v>
      </c>
    </row>
    <row r="6165" customFormat="false" ht="15" hidden="false" customHeight="false" outlineLevel="0" collapsed="false">
      <c r="A6165" s="0" t="s">
        <v>2041</v>
      </c>
      <c r="B6165" s="0" t="s">
        <v>2042</v>
      </c>
      <c r="C6165" s="0" t="s">
        <v>2156</v>
      </c>
      <c r="D6165" s="0" t="s">
        <v>2105</v>
      </c>
      <c r="E6165" s="0" t="s">
        <v>2045</v>
      </c>
      <c r="F6165" s="0" t="s">
        <v>2192</v>
      </c>
      <c r="G6165" s="0" t="s">
        <v>2196</v>
      </c>
      <c r="H6165" s="0" t="s">
        <v>2162</v>
      </c>
      <c r="I6165" s="0" t="s">
        <v>2322</v>
      </c>
      <c r="J6165" s="0" t="s">
        <v>2367</v>
      </c>
      <c r="K6165" s="272" t="n">
        <v>42370000</v>
      </c>
    </row>
    <row r="6166" customFormat="false" ht="15" hidden="false" customHeight="false" outlineLevel="0" collapsed="false">
      <c r="A6166" s="0" t="s">
        <v>2041</v>
      </c>
      <c r="B6166" s="0" t="s">
        <v>2042</v>
      </c>
      <c r="C6166" s="0" t="s">
        <v>2161</v>
      </c>
      <c r="D6166" s="0" t="s">
        <v>2105</v>
      </c>
      <c r="E6166" s="0" t="s">
        <v>2045</v>
      </c>
      <c r="F6166" s="0" t="s">
        <v>2192</v>
      </c>
      <c r="G6166" s="0" t="s">
        <v>2196</v>
      </c>
      <c r="H6166" s="0" t="s">
        <v>2162</v>
      </c>
      <c r="I6166" s="0" t="s">
        <v>2322</v>
      </c>
      <c r="J6166" s="0" t="s">
        <v>2367</v>
      </c>
      <c r="K6166" s="272" t="n">
        <v>9796206.08</v>
      </c>
    </row>
    <row r="6167" customFormat="false" ht="15" hidden="false" customHeight="false" outlineLevel="0" collapsed="false">
      <c r="A6167" s="0" t="s">
        <v>2041</v>
      </c>
      <c r="B6167" s="0" t="s">
        <v>2042</v>
      </c>
      <c r="C6167" s="0" t="s">
        <v>2156</v>
      </c>
      <c r="D6167" s="0" t="s">
        <v>2105</v>
      </c>
      <c r="E6167" s="0" t="s">
        <v>2045</v>
      </c>
      <c r="F6167" s="0" t="s">
        <v>2198</v>
      </c>
      <c r="G6167" s="0" t="s">
        <v>2199</v>
      </c>
      <c r="H6167" s="0" t="s">
        <v>2200</v>
      </c>
      <c r="I6167" s="0" t="s">
        <v>2124</v>
      </c>
      <c r="J6167" s="0" t="s">
        <v>2367</v>
      </c>
      <c r="K6167" s="272" t="n">
        <v>77834554</v>
      </c>
    </row>
    <row r="6168" customFormat="false" ht="15" hidden="false" customHeight="false" outlineLevel="0" collapsed="false">
      <c r="A6168" s="0" t="s">
        <v>2041</v>
      </c>
      <c r="B6168" s="0" t="s">
        <v>2042</v>
      </c>
      <c r="C6168" s="0" t="s">
        <v>2161</v>
      </c>
      <c r="D6168" s="0" t="s">
        <v>2105</v>
      </c>
      <c r="E6168" s="0" t="s">
        <v>2045</v>
      </c>
      <c r="F6168" s="0" t="s">
        <v>2198</v>
      </c>
      <c r="G6168" s="0" t="s">
        <v>2199</v>
      </c>
      <c r="H6168" s="0" t="s">
        <v>2200</v>
      </c>
      <c r="I6168" s="0" t="s">
        <v>2124</v>
      </c>
      <c r="J6168" s="0" t="s">
        <v>2367</v>
      </c>
      <c r="K6168" s="272" t="n">
        <v>12636913.79</v>
      </c>
    </row>
    <row r="6169" customFormat="false" ht="15" hidden="false" customHeight="false" outlineLevel="0" collapsed="false">
      <c r="A6169" s="0" t="s">
        <v>2041</v>
      </c>
      <c r="B6169" s="0" t="s">
        <v>2042</v>
      </c>
      <c r="C6169" s="0" t="s">
        <v>2156</v>
      </c>
      <c r="D6169" s="0" t="s">
        <v>2105</v>
      </c>
      <c r="E6169" s="0" t="s">
        <v>2045</v>
      </c>
      <c r="F6169" s="0" t="s">
        <v>2198</v>
      </c>
      <c r="G6169" s="0" t="s">
        <v>2199</v>
      </c>
      <c r="H6169" s="0" t="s">
        <v>2200</v>
      </c>
      <c r="I6169" s="0" t="s">
        <v>2201</v>
      </c>
      <c r="J6169" s="0" t="s">
        <v>2367</v>
      </c>
      <c r="K6169" s="272" t="n">
        <v>2000000</v>
      </c>
    </row>
    <row r="6170" customFormat="false" ht="15" hidden="false" customHeight="false" outlineLevel="0" collapsed="false">
      <c r="A6170" s="0" t="s">
        <v>2041</v>
      </c>
      <c r="B6170" s="0" t="s">
        <v>2042</v>
      </c>
      <c r="C6170" s="0" t="s">
        <v>2161</v>
      </c>
      <c r="D6170" s="0" t="s">
        <v>2105</v>
      </c>
      <c r="E6170" s="0" t="s">
        <v>2045</v>
      </c>
      <c r="F6170" s="0" t="s">
        <v>2198</v>
      </c>
      <c r="G6170" s="0" t="s">
        <v>2199</v>
      </c>
      <c r="H6170" s="0" t="s">
        <v>2200</v>
      </c>
      <c r="I6170" s="0" t="s">
        <v>2201</v>
      </c>
      <c r="J6170" s="0" t="s">
        <v>2367</v>
      </c>
      <c r="K6170" s="272" t="n">
        <v>573281.27</v>
      </c>
    </row>
    <row r="6171" customFormat="false" ht="15" hidden="false" customHeight="false" outlineLevel="0" collapsed="false">
      <c r="A6171" s="0" t="s">
        <v>2041</v>
      </c>
      <c r="B6171" s="0" t="s">
        <v>2042</v>
      </c>
      <c r="C6171" s="0" t="s">
        <v>2156</v>
      </c>
      <c r="D6171" s="0" t="s">
        <v>2105</v>
      </c>
      <c r="E6171" s="0" t="s">
        <v>2045</v>
      </c>
      <c r="F6171" s="0" t="s">
        <v>2198</v>
      </c>
      <c r="G6171" s="0" t="s">
        <v>2199</v>
      </c>
      <c r="H6171" s="0" t="s">
        <v>2200</v>
      </c>
      <c r="I6171" s="0" t="s">
        <v>2322</v>
      </c>
      <c r="J6171" s="0" t="s">
        <v>2367</v>
      </c>
      <c r="K6171" s="272" t="n">
        <v>176690000</v>
      </c>
    </row>
    <row r="6172" customFormat="false" ht="15" hidden="false" customHeight="false" outlineLevel="0" collapsed="false">
      <c r="A6172" s="0" t="s">
        <v>2041</v>
      </c>
      <c r="B6172" s="0" t="s">
        <v>2042</v>
      </c>
      <c r="C6172" s="0" t="s">
        <v>2161</v>
      </c>
      <c r="D6172" s="0" t="s">
        <v>2105</v>
      </c>
      <c r="E6172" s="0" t="s">
        <v>2045</v>
      </c>
      <c r="F6172" s="0" t="s">
        <v>2198</v>
      </c>
      <c r="G6172" s="0" t="s">
        <v>2199</v>
      </c>
      <c r="H6172" s="0" t="s">
        <v>2200</v>
      </c>
      <c r="I6172" s="0" t="s">
        <v>2322</v>
      </c>
      <c r="J6172" s="0" t="s">
        <v>2367</v>
      </c>
      <c r="K6172" s="272" t="n">
        <v>32820949.47</v>
      </c>
    </row>
    <row r="6173" customFormat="false" ht="15" hidden="false" customHeight="false" outlineLevel="0" collapsed="false">
      <c r="A6173" s="0" t="s">
        <v>2041</v>
      </c>
      <c r="B6173" s="0" t="s">
        <v>2042</v>
      </c>
      <c r="C6173" s="0" t="s">
        <v>2156</v>
      </c>
      <c r="D6173" s="0" t="s">
        <v>2105</v>
      </c>
      <c r="E6173" s="0" t="s">
        <v>2045</v>
      </c>
      <c r="F6173" s="0" t="s">
        <v>2198</v>
      </c>
      <c r="G6173" s="0" t="s">
        <v>2199</v>
      </c>
      <c r="H6173" s="0" t="s">
        <v>2202</v>
      </c>
      <c r="I6173" s="0" t="s">
        <v>2124</v>
      </c>
      <c r="J6173" s="0" t="s">
        <v>2367</v>
      </c>
      <c r="K6173" s="272" t="n">
        <v>3000000</v>
      </c>
    </row>
    <row r="6174" customFormat="false" ht="15" hidden="false" customHeight="false" outlineLevel="0" collapsed="false">
      <c r="A6174" s="0" t="s">
        <v>2041</v>
      </c>
      <c r="B6174" s="0" t="s">
        <v>2042</v>
      </c>
      <c r="C6174" s="0" t="s">
        <v>2161</v>
      </c>
      <c r="D6174" s="0" t="s">
        <v>2105</v>
      </c>
      <c r="E6174" s="0" t="s">
        <v>2045</v>
      </c>
      <c r="F6174" s="0" t="s">
        <v>2198</v>
      </c>
      <c r="G6174" s="0" t="s">
        <v>2199</v>
      </c>
      <c r="H6174" s="0" t="s">
        <v>2202</v>
      </c>
      <c r="I6174" s="0" t="s">
        <v>2124</v>
      </c>
      <c r="J6174" s="0" t="s">
        <v>2367</v>
      </c>
      <c r="K6174" s="272" t="n">
        <v>536866.03</v>
      </c>
    </row>
    <row r="6175" customFormat="false" ht="15" hidden="false" customHeight="false" outlineLevel="0" collapsed="false">
      <c r="A6175" s="0" t="s">
        <v>2041</v>
      </c>
      <c r="B6175" s="0" t="s">
        <v>2042</v>
      </c>
      <c r="C6175" s="0" t="s">
        <v>2156</v>
      </c>
      <c r="D6175" s="0" t="s">
        <v>2105</v>
      </c>
      <c r="E6175" s="0" t="s">
        <v>2045</v>
      </c>
      <c r="F6175" s="0" t="s">
        <v>2198</v>
      </c>
      <c r="G6175" s="0" t="s">
        <v>2199</v>
      </c>
      <c r="H6175" s="0" t="s">
        <v>2202</v>
      </c>
      <c r="I6175" s="0" t="s">
        <v>2322</v>
      </c>
      <c r="J6175" s="0" t="s">
        <v>2367</v>
      </c>
      <c r="K6175" s="272" t="n">
        <v>19675000</v>
      </c>
    </row>
    <row r="6176" customFormat="false" ht="15" hidden="false" customHeight="false" outlineLevel="0" collapsed="false">
      <c r="A6176" s="0" t="s">
        <v>2041</v>
      </c>
      <c r="B6176" s="0" t="s">
        <v>2042</v>
      </c>
      <c r="C6176" s="0" t="s">
        <v>2161</v>
      </c>
      <c r="D6176" s="0" t="s">
        <v>2105</v>
      </c>
      <c r="E6176" s="0" t="s">
        <v>2045</v>
      </c>
      <c r="F6176" s="0" t="s">
        <v>2198</v>
      </c>
      <c r="G6176" s="0" t="s">
        <v>2199</v>
      </c>
      <c r="H6176" s="0" t="s">
        <v>2202</v>
      </c>
      <c r="I6176" s="0" t="s">
        <v>2322</v>
      </c>
      <c r="J6176" s="0" t="s">
        <v>2367</v>
      </c>
      <c r="K6176" s="272" t="n">
        <v>3759215.17</v>
      </c>
    </row>
    <row r="6177" customFormat="false" ht="15" hidden="false" customHeight="false" outlineLevel="0" collapsed="false">
      <c r="A6177" s="0" t="s">
        <v>2041</v>
      </c>
      <c r="B6177" s="0" t="s">
        <v>2042</v>
      </c>
      <c r="C6177" s="0" t="s">
        <v>2156</v>
      </c>
      <c r="D6177" s="0" t="s">
        <v>2105</v>
      </c>
      <c r="E6177" s="0" t="s">
        <v>2045</v>
      </c>
      <c r="F6177" s="0" t="s">
        <v>2198</v>
      </c>
      <c r="G6177" s="0" t="s">
        <v>2199</v>
      </c>
      <c r="H6177" s="0" t="s">
        <v>2203</v>
      </c>
      <c r="I6177" s="0" t="s">
        <v>2124</v>
      </c>
      <c r="J6177" s="0" t="s">
        <v>2367</v>
      </c>
      <c r="K6177" s="272" t="n">
        <v>20800000</v>
      </c>
    </row>
    <row r="6178" customFormat="false" ht="15" hidden="false" customHeight="false" outlineLevel="0" collapsed="false">
      <c r="A6178" s="0" t="s">
        <v>2041</v>
      </c>
      <c r="B6178" s="0" t="s">
        <v>2042</v>
      </c>
      <c r="C6178" s="0" t="s">
        <v>2161</v>
      </c>
      <c r="D6178" s="0" t="s">
        <v>2105</v>
      </c>
      <c r="E6178" s="0" t="s">
        <v>2045</v>
      </c>
      <c r="F6178" s="0" t="s">
        <v>2198</v>
      </c>
      <c r="G6178" s="0" t="s">
        <v>2199</v>
      </c>
      <c r="H6178" s="0" t="s">
        <v>2203</v>
      </c>
      <c r="I6178" s="0" t="s">
        <v>2124</v>
      </c>
      <c r="J6178" s="0" t="s">
        <v>2367</v>
      </c>
      <c r="K6178" s="272" t="n">
        <v>4245329.41</v>
      </c>
    </row>
    <row r="6179" customFormat="false" ht="15" hidden="false" customHeight="false" outlineLevel="0" collapsed="false">
      <c r="A6179" s="0" t="s">
        <v>2041</v>
      </c>
      <c r="B6179" s="0" t="s">
        <v>2042</v>
      </c>
      <c r="C6179" s="0" t="s">
        <v>2156</v>
      </c>
      <c r="D6179" s="0" t="s">
        <v>2105</v>
      </c>
      <c r="E6179" s="0" t="s">
        <v>2045</v>
      </c>
      <c r="F6179" s="0" t="s">
        <v>2198</v>
      </c>
      <c r="G6179" s="0" t="s">
        <v>2199</v>
      </c>
      <c r="H6179" s="0" t="s">
        <v>2203</v>
      </c>
      <c r="I6179" s="0" t="s">
        <v>2322</v>
      </c>
      <c r="J6179" s="0" t="s">
        <v>2367</v>
      </c>
      <c r="K6179" s="272" t="n">
        <v>179325313</v>
      </c>
    </row>
    <row r="6180" customFormat="false" ht="15" hidden="false" customHeight="false" outlineLevel="0" collapsed="false">
      <c r="A6180" s="0" t="s">
        <v>2041</v>
      </c>
      <c r="B6180" s="0" t="s">
        <v>2042</v>
      </c>
      <c r="C6180" s="0" t="s">
        <v>2161</v>
      </c>
      <c r="D6180" s="0" t="s">
        <v>2105</v>
      </c>
      <c r="E6180" s="0" t="s">
        <v>2045</v>
      </c>
      <c r="F6180" s="0" t="s">
        <v>2198</v>
      </c>
      <c r="G6180" s="0" t="s">
        <v>2199</v>
      </c>
      <c r="H6180" s="0" t="s">
        <v>2203</v>
      </c>
      <c r="I6180" s="0" t="s">
        <v>2322</v>
      </c>
      <c r="J6180" s="0" t="s">
        <v>2367</v>
      </c>
      <c r="K6180" s="272" t="n">
        <v>31773903.19</v>
      </c>
    </row>
    <row r="6181" customFormat="false" ht="15" hidden="false" customHeight="false" outlineLevel="0" collapsed="false">
      <c r="A6181" s="0" t="s">
        <v>2041</v>
      </c>
      <c r="B6181" s="0" t="s">
        <v>2042</v>
      </c>
      <c r="C6181" s="0" t="s">
        <v>2156</v>
      </c>
      <c r="D6181" s="0" t="s">
        <v>2105</v>
      </c>
      <c r="E6181" s="0" t="s">
        <v>2045</v>
      </c>
      <c r="F6181" s="0" t="s">
        <v>2204</v>
      </c>
      <c r="G6181" s="0" t="s">
        <v>2205</v>
      </c>
      <c r="H6181" s="0" t="s">
        <v>2206</v>
      </c>
      <c r="I6181" s="0" t="s">
        <v>2322</v>
      </c>
      <c r="J6181" s="0" t="s">
        <v>2367</v>
      </c>
      <c r="K6181" s="272" t="n">
        <v>6250000</v>
      </c>
    </row>
    <row r="6182" customFormat="false" ht="15" hidden="false" customHeight="false" outlineLevel="0" collapsed="false">
      <c r="A6182" s="0" t="s">
        <v>2041</v>
      </c>
      <c r="B6182" s="0" t="s">
        <v>2042</v>
      </c>
      <c r="C6182" s="0" t="s">
        <v>2161</v>
      </c>
      <c r="D6182" s="0" t="s">
        <v>2105</v>
      </c>
      <c r="E6182" s="0" t="s">
        <v>2045</v>
      </c>
      <c r="F6182" s="0" t="s">
        <v>2204</v>
      </c>
      <c r="G6182" s="0" t="s">
        <v>2205</v>
      </c>
      <c r="H6182" s="0" t="s">
        <v>2206</v>
      </c>
      <c r="I6182" s="0" t="s">
        <v>2322</v>
      </c>
      <c r="J6182" s="0" t="s">
        <v>2367</v>
      </c>
      <c r="K6182" s="272" t="n">
        <v>956250</v>
      </c>
    </row>
    <row r="6183" customFormat="false" ht="15" hidden="false" customHeight="false" outlineLevel="0" collapsed="false">
      <c r="A6183" s="0" t="s">
        <v>2041</v>
      </c>
      <c r="B6183" s="0" t="s">
        <v>2042</v>
      </c>
      <c r="C6183" s="0" t="s">
        <v>2156</v>
      </c>
      <c r="D6183" s="0" t="s">
        <v>2105</v>
      </c>
      <c r="E6183" s="0" t="s">
        <v>2045</v>
      </c>
      <c r="F6183" s="0" t="s">
        <v>2204</v>
      </c>
      <c r="G6183" s="0" t="s">
        <v>2205</v>
      </c>
      <c r="H6183" s="0" t="s">
        <v>2207</v>
      </c>
      <c r="I6183" s="0" t="s">
        <v>2322</v>
      </c>
      <c r="J6183" s="0" t="s">
        <v>2367</v>
      </c>
      <c r="K6183" s="272" t="n">
        <v>6250000</v>
      </c>
    </row>
    <row r="6184" customFormat="false" ht="15" hidden="false" customHeight="false" outlineLevel="0" collapsed="false">
      <c r="A6184" s="0" t="s">
        <v>2041</v>
      </c>
      <c r="B6184" s="0" t="s">
        <v>2042</v>
      </c>
      <c r="C6184" s="0" t="s">
        <v>2161</v>
      </c>
      <c r="D6184" s="0" t="s">
        <v>2105</v>
      </c>
      <c r="E6184" s="0" t="s">
        <v>2045</v>
      </c>
      <c r="F6184" s="0" t="s">
        <v>2204</v>
      </c>
      <c r="G6184" s="0" t="s">
        <v>2205</v>
      </c>
      <c r="H6184" s="0" t="s">
        <v>2207</v>
      </c>
      <c r="I6184" s="0" t="s">
        <v>2322</v>
      </c>
      <c r="J6184" s="0" t="s">
        <v>2367</v>
      </c>
      <c r="K6184" s="272" t="n">
        <v>956250</v>
      </c>
    </row>
    <row r="6185" customFormat="false" ht="15" hidden="false" customHeight="false" outlineLevel="0" collapsed="false">
      <c r="A6185" s="0" t="s">
        <v>2041</v>
      </c>
      <c r="B6185" s="0" t="s">
        <v>2042</v>
      </c>
      <c r="C6185" s="0" t="s">
        <v>2156</v>
      </c>
      <c r="D6185" s="0" t="s">
        <v>2105</v>
      </c>
      <c r="E6185" s="0" t="s">
        <v>2045</v>
      </c>
      <c r="F6185" s="0" t="s">
        <v>2204</v>
      </c>
      <c r="G6185" s="0" t="s">
        <v>2205</v>
      </c>
      <c r="H6185" s="0" t="s">
        <v>2208</v>
      </c>
      <c r="I6185" s="0" t="s">
        <v>2322</v>
      </c>
      <c r="J6185" s="0" t="s">
        <v>2367</v>
      </c>
      <c r="K6185" s="272" t="n">
        <v>12500000</v>
      </c>
    </row>
    <row r="6186" customFormat="false" ht="15" hidden="false" customHeight="false" outlineLevel="0" collapsed="false">
      <c r="A6186" s="0" t="s">
        <v>2041</v>
      </c>
      <c r="B6186" s="0" t="s">
        <v>2042</v>
      </c>
      <c r="C6186" s="0" t="s">
        <v>2161</v>
      </c>
      <c r="D6186" s="0" t="s">
        <v>2105</v>
      </c>
      <c r="E6186" s="0" t="s">
        <v>2045</v>
      </c>
      <c r="F6186" s="0" t="s">
        <v>2204</v>
      </c>
      <c r="G6186" s="0" t="s">
        <v>2205</v>
      </c>
      <c r="H6186" s="0" t="s">
        <v>2208</v>
      </c>
      <c r="I6186" s="0" t="s">
        <v>2322</v>
      </c>
      <c r="J6186" s="0" t="s">
        <v>2367</v>
      </c>
      <c r="K6186" s="272" t="n">
        <v>1912500</v>
      </c>
    </row>
    <row r="6187" customFormat="false" ht="15" hidden="false" customHeight="false" outlineLevel="0" collapsed="false">
      <c r="A6187" s="0" t="s">
        <v>2041</v>
      </c>
      <c r="B6187" s="0" t="s">
        <v>2042</v>
      </c>
      <c r="C6187" s="0" t="s">
        <v>2156</v>
      </c>
      <c r="D6187" s="0" t="s">
        <v>2105</v>
      </c>
      <c r="E6187" s="0" t="s">
        <v>2045</v>
      </c>
      <c r="F6187" s="0" t="s">
        <v>2204</v>
      </c>
      <c r="G6187" s="0" t="s">
        <v>2212</v>
      </c>
      <c r="H6187" s="0" t="s">
        <v>2208</v>
      </c>
      <c r="I6187" s="0" t="s">
        <v>2124</v>
      </c>
      <c r="J6187" s="0" t="s">
        <v>2367</v>
      </c>
      <c r="K6187" s="272" t="n">
        <v>11000000</v>
      </c>
    </row>
    <row r="6188" customFormat="false" ht="15" hidden="false" customHeight="false" outlineLevel="0" collapsed="false">
      <c r="A6188" s="0" t="s">
        <v>2041</v>
      </c>
      <c r="B6188" s="0" t="s">
        <v>2042</v>
      </c>
      <c r="C6188" s="0" t="s">
        <v>2161</v>
      </c>
      <c r="D6188" s="0" t="s">
        <v>2105</v>
      </c>
      <c r="E6188" s="0" t="s">
        <v>2045</v>
      </c>
      <c r="F6188" s="0" t="s">
        <v>2204</v>
      </c>
      <c r="G6188" s="0" t="s">
        <v>2212</v>
      </c>
      <c r="H6188" s="0" t="s">
        <v>2208</v>
      </c>
      <c r="I6188" s="0" t="s">
        <v>2124</v>
      </c>
      <c r="J6188" s="0" t="s">
        <v>2367</v>
      </c>
      <c r="K6188" s="272" t="n">
        <v>1716443.35</v>
      </c>
    </row>
    <row r="6189" customFormat="false" ht="15" hidden="false" customHeight="false" outlineLevel="0" collapsed="false">
      <c r="A6189" s="0" t="s">
        <v>2041</v>
      </c>
      <c r="B6189" s="0" t="s">
        <v>2042</v>
      </c>
      <c r="C6189" s="0" t="s">
        <v>2156</v>
      </c>
      <c r="D6189" s="0" t="s">
        <v>2105</v>
      </c>
      <c r="E6189" s="0" t="s">
        <v>2045</v>
      </c>
      <c r="F6189" s="0" t="s">
        <v>2204</v>
      </c>
      <c r="G6189" s="0" t="s">
        <v>2214</v>
      </c>
      <c r="H6189" s="0" t="s">
        <v>2206</v>
      </c>
      <c r="I6189" s="0" t="s">
        <v>2322</v>
      </c>
      <c r="J6189" s="0" t="s">
        <v>2367</v>
      </c>
      <c r="K6189" s="272" t="n">
        <v>1300000</v>
      </c>
    </row>
    <row r="6190" customFormat="false" ht="15" hidden="false" customHeight="false" outlineLevel="0" collapsed="false">
      <c r="A6190" s="0" t="s">
        <v>2041</v>
      </c>
      <c r="B6190" s="0" t="s">
        <v>2042</v>
      </c>
      <c r="C6190" s="0" t="s">
        <v>2161</v>
      </c>
      <c r="D6190" s="0" t="s">
        <v>2105</v>
      </c>
      <c r="E6190" s="0" t="s">
        <v>2045</v>
      </c>
      <c r="F6190" s="0" t="s">
        <v>2204</v>
      </c>
      <c r="G6190" s="0" t="s">
        <v>2214</v>
      </c>
      <c r="H6190" s="0" t="s">
        <v>2206</v>
      </c>
      <c r="I6190" s="0" t="s">
        <v>2322</v>
      </c>
      <c r="J6190" s="0" t="s">
        <v>2367</v>
      </c>
      <c r="K6190" s="272" t="n">
        <v>361445.31</v>
      </c>
    </row>
    <row r="6191" customFormat="false" ht="15" hidden="false" customHeight="false" outlineLevel="0" collapsed="false">
      <c r="A6191" s="0" t="s">
        <v>2041</v>
      </c>
      <c r="B6191" s="0" t="s">
        <v>2042</v>
      </c>
      <c r="C6191" s="0" t="s">
        <v>2156</v>
      </c>
      <c r="D6191" s="0" t="s">
        <v>2105</v>
      </c>
      <c r="E6191" s="0" t="s">
        <v>2045</v>
      </c>
      <c r="F6191" s="0" t="s">
        <v>2204</v>
      </c>
      <c r="G6191" s="0" t="s">
        <v>2214</v>
      </c>
      <c r="H6191" s="0" t="s">
        <v>2208</v>
      </c>
      <c r="I6191" s="0" t="s">
        <v>2322</v>
      </c>
      <c r="J6191" s="0" t="s">
        <v>2367</v>
      </c>
      <c r="K6191" s="272" t="n">
        <v>1300000</v>
      </c>
    </row>
    <row r="6192" customFormat="false" ht="15" hidden="false" customHeight="false" outlineLevel="0" collapsed="false">
      <c r="A6192" s="0" t="s">
        <v>2041</v>
      </c>
      <c r="B6192" s="0" t="s">
        <v>2042</v>
      </c>
      <c r="C6192" s="0" t="s">
        <v>2161</v>
      </c>
      <c r="D6192" s="0" t="s">
        <v>2105</v>
      </c>
      <c r="E6192" s="0" t="s">
        <v>2045</v>
      </c>
      <c r="F6192" s="0" t="s">
        <v>2204</v>
      </c>
      <c r="G6192" s="0" t="s">
        <v>2214</v>
      </c>
      <c r="H6192" s="0" t="s">
        <v>2208</v>
      </c>
      <c r="I6192" s="0" t="s">
        <v>2322</v>
      </c>
      <c r="J6192" s="0" t="s">
        <v>2367</v>
      </c>
      <c r="K6192" s="272" t="n">
        <v>361445.31</v>
      </c>
    </row>
    <row r="6193" customFormat="false" ht="15" hidden="false" customHeight="false" outlineLevel="0" collapsed="false">
      <c r="A6193" s="0" t="s">
        <v>2041</v>
      </c>
      <c r="B6193" s="0" t="s">
        <v>2042</v>
      </c>
      <c r="C6193" s="0" t="s">
        <v>2156</v>
      </c>
      <c r="D6193" s="0" t="s">
        <v>2105</v>
      </c>
      <c r="E6193" s="0" t="s">
        <v>2045</v>
      </c>
      <c r="F6193" s="0" t="s">
        <v>2051</v>
      </c>
      <c r="G6193" s="0" t="s">
        <v>2106</v>
      </c>
      <c r="H6193" s="0" t="s">
        <v>2107</v>
      </c>
      <c r="I6193" s="0" t="s">
        <v>2124</v>
      </c>
      <c r="J6193" s="0" t="s">
        <v>2367</v>
      </c>
      <c r="K6193" s="272" t="n">
        <v>10000000</v>
      </c>
    </row>
    <row r="6194" customFormat="false" ht="15" hidden="false" customHeight="false" outlineLevel="0" collapsed="false">
      <c r="A6194" s="0" t="s">
        <v>2041</v>
      </c>
      <c r="B6194" s="0" t="s">
        <v>2042</v>
      </c>
      <c r="C6194" s="0" t="s">
        <v>2161</v>
      </c>
      <c r="D6194" s="0" t="s">
        <v>2105</v>
      </c>
      <c r="E6194" s="0" t="s">
        <v>2045</v>
      </c>
      <c r="F6194" s="0" t="s">
        <v>2051</v>
      </c>
      <c r="G6194" s="0" t="s">
        <v>2106</v>
      </c>
      <c r="H6194" s="0" t="s">
        <v>2107</v>
      </c>
      <c r="I6194" s="0" t="s">
        <v>2124</v>
      </c>
      <c r="J6194" s="0" t="s">
        <v>2367</v>
      </c>
      <c r="K6194" s="272" t="n">
        <v>1660971</v>
      </c>
    </row>
    <row r="6195" customFormat="false" ht="15" hidden="false" customHeight="false" outlineLevel="0" collapsed="false">
      <c r="A6195" s="0" t="s">
        <v>2041</v>
      </c>
      <c r="B6195" s="0" t="s">
        <v>2042</v>
      </c>
      <c r="C6195" s="0" t="s">
        <v>2156</v>
      </c>
      <c r="D6195" s="0" t="s">
        <v>2105</v>
      </c>
      <c r="E6195" s="0" t="s">
        <v>2045</v>
      </c>
      <c r="F6195" s="0" t="s">
        <v>2051</v>
      </c>
      <c r="G6195" s="0" t="s">
        <v>2106</v>
      </c>
      <c r="H6195" s="0" t="s">
        <v>2107</v>
      </c>
      <c r="I6195" s="0" t="s">
        <v>2322</v>
      </c>
      <c r="J6195" s="0" t="s">
        <v>2367</v>
      </c>
      <c r="K6195" s="272" t="n">
        <v>99822815</v>
      </c>
    </row>
    <row r="6196" customFormat="false" ht="15" hidden="false" customHeight="false" outlineLevel="0" collapsed="false">
      <c r="A6196" s="0" t="s">
        <v>2041</v>
      </c>
      <c r="B6196" s="0" t="s">
        <v>2042</v>
      </c>
      <c r="C6196" s="0" t="s">
        <v>2161</v>
      </c>
      <c r="D6196" s="0" t="s">
        <v>2105</v>
      </c>
      <c r="E6196" s="0" t="s">
        <v>2045</v>
      </c>
      <c r="F6196" s="0" t="s">
        <v>2051</v>
      </c>
      <c r="G6196" s="0" t="s">
        <v>2106</v>
      </c>
      <c r="H6196" s="0" t="s">
        <v>2107</v>
      </c>
      <c r="I6196" s="0" t="s">
        <v>2322</v>
      </c>
      <c r="J6196" s="0" t="s">
        <v>2367</v>
      </c>
      <c r="K6196" s="272" t="n">
        <v>15272890.7</v>
      </c>
    </row>
    <row r="6197" customFormat="false" ht="15" hidden="false" customHeight="false" outlineLevel="0" collapsed="false">
      <c r="A6197" s="0" t="s">
        <v>2041</v>
      </c>
      <c r="B6197" s="0" t="s">
        <v>2042</v>
      </c>
      <c r="C6197" s="0" t="s">
        <v>2156</v>
      </c>
      <c r="D6197" s="0" t="s">
        <v>2105</v>
      </c>
      <c r="E6197" s="0" t="s">
        <v>2045</v>
      </c>
      <c r="F6197" s="0" t="s">
        <v>2051</v>
      </c>
      <c r="G6197" s="0" t="s">
        <v>2110</v>
      </c>
      <c r="H6197" s="0" t="s">
        <v>2115</v>
      </c>
      <c r="I6197" s="0" t="s">
        <v>2322</v>
      </c>
      <c r="J6197" s="0" t="s">
        <v>2367</v>
      </c>
      <c r="K6197" s="272" t="n">
        <v>1013332.76</v>
      </c>
    </row>
    <row r="6198" customFormat="false" ht="15" hidden="false" customHeight="false" outlineLevel="0" collapsed="false">
      <c r="A6198" s="0" t="s">
        <v>2041</v>
      </c>
      <c r="B6198" s="0" t="s">
        <v>2042</v>
      </c>
      <c r="C6198" s="0" t="s">
        <v>2161</v>
      </c>
      <c r="D6198" s="0" t="s">
        <v>2105</v>
      </c>
      <c r="E6198" s="0" t="s">
        <v>2045</v>
      </c>
      <c r="F6198" s="0" t="s">
        <v>2051</v>
      </c>
      <c r="G6198" s="0" t="s">
        <v>2110</v>
      </c>
      <c r="H6198" s="0" t="s">
        <v>2115</v>
      </c>
      <c r="I6198" s="0" t="s">
        <v>2322</v>
      </c>
      <c r="J6198" s="0" t="s">
        <v>2367</v>
      </c>
      <c r="K6198" s="272" t="n">
        <v>264051.83</v>
      </c>
    </row>
    <row r="6199" customFormat="false" ht="15" hidden="false" customHeight="false" outlineLevel="0" collapsed="false">
      <c r="A6199" s="0" t="s">
        <v>2041</v>
      </c>
      <c r="B6199" s="0" t="s">
        <v>2042</v>
      </c>
      <c r="C6199" s="0" t="s">
        <v>2156</v>
      </c>
      <c r="D6199" s="0" t="s">
        <v>2105</v>
      </c>
      <c r="E6199" s="0" t="s">
        <v>2045</v>
      </c>
      <c r="F6199" s="0" t="s">
        <v>2051</v>
      </c>
      <c r="G6199" s="0" t="s">
        <v>2110</v>
      </c>
      <c r="H6199" s="0" t="s">
        <v>2111</v>
      </c>
      <c r="I6199" s="0" t="s">
        <v>2322</v>
      </c>
      <c r="J6199" s="0" t="s">
        <v>2367</v>
      </c>
      <c r="K6199" s="272" t="n">
        <v>11221510.4</v>
      </c>
    </row>
    <row r="6200" customFormat="false" ht="15" hidden="false" customHeight="false" outlineLevel="0" collapsed="false">
      <c r="A6200" s="0" t="s">
        <v>2041</v>
      </c>
      <c r="B6200" s="0" t="s">
        <v>2042</v>
      </c>
      <c r="C6200" s="0" t="s">
        <v>2161</v>
      </c>
      <c r="D6200" s="0" t="s">
        <v>2105</v>
      </c>
      <c r="E6200" s="0" t="s">
        <v>2045</v>
      </c>
      <c r="F6200" s="0" t="s">
        <v>2051</v>
      </c>
      <c r="G6200" s="0" t="s">
        <v>2110</v>
      </c>
      <c r="H6200" s="0" t="s">
        <v>2111</v>
      </c>
      <c r="I6200" s="0" t="s">
        <v>2322</v>
      </c>
      <c r="J6200" s="0" t="s">
        <v>2367</v>
      </c>
      <c r="K6200" s="272" t="n">
        <v>2347279.78</v>
      </c>
    </row>
    <row r="6201" customFormat="false" ht="15" hidden="false" customHeight="false" outlineLevel="0" collapsed="false">
      <c r="A6201" s="0" t="s">
        <v>2041</v>
      </c>
      <c r="B6201" s="0" t="s">
        <v>2042</v>
      </c>
      <c r="C6201" s="0" t="s">
        <v>2156</v>
      </c>
      <c r="D6201" s="0" t="s">
        <v>2105</v>
      </c>
      <c r="E6201" s="0" t="s">
        <v>2045</v>
      </c>
      <c r="F6201" s="0" t="s">
        <v>2051</v>
      </c>
      <c r="G6201" s="0" t="s">
        <v>2110</v>
      </c>
      <c r="H6201" s="0" t="s">
        <v>2119</v>
      </c>
      <c r="I6201" s="0" t="s">
        <v>2322</v>
      </c>
      <c r="J6201" s="0" t="s">
        <v>2367</v>
      </c>
      <c r="K6201" s="272" t="n">
        <v>391514.93</v>
      </c>
    </row>
    <row r="6202" customFormat="false" ht="15" hidden="false" customHeight="false" outlineLevel="0" collapsed="false">
      <c r="A6202" s="0" t="s">
        <v>2041</v>
      </c>
      <c r="B6202" s="0" t="s">
        <v>2042</v>
      </c>
      <c r="C6202" s="0" t="s">
        <v>2161</v>
      </c>
      <c r="D6202" s="0" t="s">
        <v>2105</v>
      </c>
      <c r="E6202" s="0" t="s">
        <v>2045</v>
      </c>
      <c r="F6202" s="0" t="s">
        <v>2051</v>
      </c>
      <c r="G6202" s="0" t="s">
        <v>2110</v>
      </c>
      <c r="H6202" s="0" t="s">
        <v>2119</v>
      </c>
      <c r="I6202" s="0" t="s">
        <v>2322</v>
      </c>
      <c r="J6202" s="0" t="s">
        <v>2367</v>
      </c>
      <c r="K6202" s="272" t="n">
        <v>102020.025227273</v>
      </c>
    </row>
    <row r="6203" customFormat="false" ht="15" hidden="false" customHeight="false" outlineLevel="0" collapsed="false">
      <c r="A6203" s="0" t="s">
        <v>2041</v>
      </c>
      <c r="B6203" s="0" t="s">
        <v>2042</v>
      </c>
      <c r="C6203" s="0" t="s">
        <v>2156</v>
      </c>
      <c r="D6203" s="0" t="s">
        <v>2105</v>
      </c>
      <c r="E6203" s="0" t="s">
        <v>2045</v>
      </c>
      <c r="F6203" s="0" t="s">
        <v>2051</v>
      </c>
      <c r="G6203" s="0" t="s">
        <v>2110</v>
      </c>
      <c r="H6203" s="0" t="s">
        <v>2120</v>
      </c>
      <c r="I6203" s="0" t="s">
        <v>2322</v>
      </c>
      <c r="J6203" s="0" t="s">
        <v>2367</v>
      </c>
      <c r="K6203" s="272" t="n">
        <v>594468.39</v>
      </c>
    </row>
    <row r="6204" customFormat="false" ht="15" hidden="false" customHeight="false" outlineLevel="0" collapsed="false">
      <c r="A6204" s="0" t="s">
        <v>2041</v>
      </c>
      <c r="B6204" s="0" t="s">
        <v>2042</v>
      </c>
      <c r="C6204" s="0" t="s">
        <v>2161</v>
      </c>
      <c r="D6204" s="0" t="s">
        <v>2105</v>
      </c>
      <c r="E6204" s="0" t="s">
        <v>2045</v>
      </c>
      <c r="F6204" s="0" t="s">
        <v>2051</v>
      </c>
      <c r="G6204" s="0" t="s">
        <v>2110</v>
      </c>
      <c r="H6204" s="0" t="s">
        <v>2120</v>
      </c>
      <c r="I6204" s="0" t="s">
        <v>2322</v>
      </c>
      <c r="J6204" s="0" t="s">
        <v>2367</v>
      </c>
      <c r="K6204" s="272" t="n">
        <v>175077.72</v>
      </c>
    </row>
    <row r="6205" customFormat="false" ht="15" hidden="false" customHeight="false" outlineLevel="0" collapsed="false">
      <c r="A6205" s="0" t="s">
        <v>2041</v>
      </c>
      <c r="B6205" s="0" t="s">
        <v>2042</v>
      </c>
      <c r="C6205" s="0" t="s">
        <v>2156</v>
      </c>
      <c r="D6205" s="0" t="s">
        <v>2105</v>
      </c>
      <c r="E6205" s="0" t="s">
        <v>2045</v>
      </c>
      <c r="F6205" s="0" t="s">
        <v>2051</v>
      </c>
      <c r="G6205" s="0" t="s">
        <v>2110</v>
      </c>
      <c r="H6205" s="0" t="s">
        <v>2121</v>
      </c>
      <c r="I6205" s="0" t="s">
        <v>2322</v>
      </c>
      <c r="J6205" s="0" t="s">
        <v>2367</v>
      </c>
      <c r="K6205" s="272" t="n">
        <v>851115.8</v>
      </c>
    </row>
    <row r="6206" customFormat="false" ht="15" hidden="false" customHeight="false" outlineLevel="0" collapsed="false">
      <c r="A6206" s="0" t="s">
        <v>2041</v>
      </c>
      <c r="B6206" s="0" t="s">
        <v>2042</v>
      </c>
      <c r="C6206" s="0" t="s">
        <v>2161</v>
      </c>
      <c r="D6206" s="0" t="s">
        <v>2105</v>
      </c>
      <c r="E6206" s="0" t="s">
        <v>2045</v>
      </c>
      <c r="F6206" s="0" t="s">
        <v>2051</v>
      </c>
      <c r="G6206" s="0" t="s">
        <v>2110</v>
      </c>
      <c r="H6206" s="0" t="s">
        <v>2121</v>
      </c>
      <c r="I6206" s="0" t="s">
        <v>2322</v>
      </c>
      <c r="J6206" s="0" t="s">
        <v>2367</v>
      </c>
      <c r="K6206" s="272" t="n">
        <v>165052.57</v>
      </c>
    </row>
    <row r="6207" customFormat="false" ht="15" hidden="false" customHeight="false" outlineLevel="0" collapsed="false">
      <c r="A6207" s="0" t="s">
        <v>2041</v>
      </c>
      <c r="B6207" s="0" t="s">
        <v>2042</v>
      </c>
      <c r="C6207" s="0" t="s">
        <v>2156</v>
      </c>
      <c r="D6207" s="0" t="s">
        <v>2105</v>
      </c>
      <c r="E6207" s="0" t="s">
        <v>2045</v>
      </c>
      <c r="F6207" s="0" t="s">
        <v>2051</v>
      </c>
      <c r="G6207" s="0" t="s">
        <v>2110</v>
      </c>
      <c r="H6207" s="0" t="s">
        <v>2122</v>
      </c>
      <c r="I6207" s="0" t="s">
        <v>2322</v>
      </c>
      <c r="J6207" s="0" t="s">
        <v>2367</v>
      </c>
      <c r="K6207" s="272" t="n">
        <v>594468.39</v>
      </c>
    </row>
    <row r="6208" customFormat="false" ht="15" hidden="false" customHeight="false" outlineLevel="0" collapsed="false">
      <c r="A6208" s="0" t="s">
        <v>2041</v>
      </c>
      <c r="B6208" s="0" t="s">
        <v>2042</v>
      </c>
      <c r="C6208" s="0" t="s">
        <v>2161</v>
      </c>
      <c r="D6208" s="0" t="s">
        <v>2105</v>
      </c>
      <c r="E6208" s="0" t="s">
        <v>2045</v>
      </c>
      <c r="F6208" s="0" t="s">
        <v>2051</v>
      </c>
      <c r="G6208" s="0" t="s">
        <v>2110</v>
      </c>
      <c r="H6208" s="0" t="s">
        <v>2122</v>
      </c>
      <c r="I6208" s="0" t="s">
        <v>2322</v>
      </c>
      <c r="J6208" s="0" t="s">
        <v>2367</v>
      </c>
      <c r="K6208" s="272" t="n">
        <v>175077.72</v>
      </c>
    </row>
    <row r="6209" customFormat="false" ht="15" hidden="false" customHeight="false" outlineLevel="0" collapsed="false">
      <c r="A6209" s="0" t="s">
        <v>2041</v>
      </c>
      <c r="B6209" s="0" t="s">
        <v>2042</v>
      </c>
      <c r="C6209" s="0" t="s">
        <v>2156</v>
      </c>
      <c r="D6209" s="0" t="s">
        <v>2105</v>
      </c>
      <c r="E6209" s="0" t="s">
        <v>2045</v>
      </c>
      <c r="F6209" s="0" t="s">
        <v>2051</v>
      </c>
      <c r="G6209" s="0" t="s">
        <v>2110</v>
      </c>
      <c r="H6209" s="0" t="s">
        <v>2112</v>
      </c>
      <c r="I6209" s="0" t="s">
        <v>2322</v>
      </c>
      <c r="J6209" s="0" t="s">
        <v>2367</v>
      </c>
      <c r="K6209" s="272" t="n">
        <v>33008228.71</v>
      </c>
    </row>
    <row r="6210" customFormat="false" ht="15" hidden="false" customHeight="false" outlineLevel="0" collapsed="false">
      <c r="A6210" s="0" t="s">
        <v>2041</v>
      </c>
      <c r="B6210" s="0" t="s">
        <v>2042</v>
      </c>
      <c r="C6210" s="0" t="s">
        <v>2161</v>
      </c>
      <c r="D6210" s="0" t="s">
        <v>2105</v>
      </c>
      <c r="E6210" s="0" t="s">
        <v>2045</v>
      </c>
      <c r="F6210" s="0" t="s">
        <v>2051</v>
      </c>
      <c r="G6210" s="0" t="s">
        <v>2110</v>
      </c>
      <c r="H6210" s="0" t="s">
        <v>2112</v>
      </c>
      <c r="I6210" s="0" t="s">
        <v>2322</v>
      </c>
      <c r="J6210" s="0" t="s">
        <v>2367</v>
      </c>
      <c r="K6210" s="272" t="n">
        <v>6481622.32022727</v>
      </c>
    </row>
    <row r="6211" customFormat="false" ht="15" hidden="false" customHeight="false" outlineLevel="0" collapsed="false">
      <c r="A6211" s="0" t="s">
        <v>2041</v>
      </c>
      <c r="B6211" s="0" t="s">
        <v>2042</v>
      </c>
      <c r="C6211" s="0" t="s">
        <v>2156</v>
      </c>
      <c r="D6211" s="0" t="s">
        <v>2105</v>
      </c>
      <c r="E6211" s="0" t="s">
        <v>2045</v>
      </c>
      <c r="F6211" s="0" t="s">
        <v>2051</v>
      </c>
      <c r="G6211" s="0" t="s">
        <v>2110</v>
      </c>
      <c r="H6211" s="0" t="s">
        <v>2113</v>
      </c>
      <c r="I6211" s="0" t="s">
        <v>2322</v>
      </c>
      <c r="J6211" s="0" t="s">
        <v>2367</v>
      </c>
      <c r="K6211" s="272" t="n">
        <v>90007813.62</v>
      </c>
    </row>
    <row r="6212" customFormat="false" ht="15" hidden="false" customHeight="false" outlineLevel="0" collapsed="false">
      <c r="A6212" s="0" t="s">
        <v>2041</v>
      </c>
      <c r="B6212" s="0" t="s">
        <v>2042</v>
      </c>
      <c r="C6212" s="0" t="s">
        <v>2161</v>
      </c>
      <c r="D6212" s="0" t="s">
        <v>2105</v>
      </c>
      <c r="E6212" s="0" t="s">
        <v>2045</v>
      </c>
      <c r="F6212" s="0" t="s">
        <v>2051</v>
      </c>
      <c r="G6212" s="0" t="s">
        <v>2110</v>
      </c>
      <c r="H6212" s="0" t="s">
        <v>2113</v>
      </c>
      <c r="I6212" s="0" t="s">
        <v>2322</v>
      </c>
      <c r="J6212" s="0" t="s">
        <v>2367</v>
      </c>
      <c r="K6212" s="272" t="n">
        <v>17550362.3558621</v>
      </c>
    </row>
    <row r="6213" customFormat="false" ht="15" hidden="false" customHeight="false" outlineLevel="0" collapsed="false">
      <c r="A6213" s="0" t="s">
        <v>2041</v>
      </c>
      <c r="B6213" s="0" t="s">
        <v>2042</v>
      </c>
      <c r="C6213" s="0" t="s">
        <v>2156</v>
      </c>
      <c r="D6213" s="0" t="s">
        <v>2105</v>
      </c>
      <c r="E6213" s="0" t="s">
        <v>2045</v>
      </c>
      <c r="F6213" s="0" t="s">
        <v>2051</v>
      </c>
      <c r="G6213" s="0" t="s">
        <v>2110</v>
      </c>
      <c r="H6213" s="0" t="s">
        <v>2107</v>
      </c>
      <c r="I6213" s="0" t="s">
        <v>2322</v>
      </c>
      <c r="J6213" s="0" t="s">
        <v>2367</v>
      </c>
      <c r="K6213" s="272" t="n">
        <v>56763475</v>
      </c>
    </row>
    <row r="6214" customFormat="false" ht="15" hidden="false" customHeight="false" outlineLevel="0" collapsed="false">
      <c r="A6214" s="0" t="s">
        <v>2041</v>
      </c>
      <c r="B6214" s="0" t="s">
        <v>2042</v>
      </c>
      <c r="C6214" s="0" t="s">
        <v>2161</v>
      </c>
      <c r="D6214" s="0" t="s">
        <v>2105</v>
      </c>
      <c r="E6214" s="0" t="s">
        <v>2045</v>
      </c>
      <c r="F6214" s="0" t="s">
        <v>2051</v>
      </c>
      <c r="G6214" s="0" t="s">
        <v>2110</v>
      </c>
      <c r="H6214" s="0" t="s">
        <v>2107</v>
      </c>
      <c r="I6214" s="0" t="s">
        <v>2322</v>
      </c>
      <c r="J6214" s="0" t="s">
        <v>2367</v>
      </c>
      <c r="K6214" s="272" t="n">
        <v>9321578.65</v>
      </c>
    </row>
    <row r="6215" customFormat="false" ht="15" hidden="false" customHeight="false" outlineLevel="0" collapsed="false">
      <c r="A6215" s="0" t="s">
        <v>2041</v>
      </c>
      <c r="B6215" s="0" t="s">
        <v>2042</v>
      </c>
      <c r="C6215" s="0" t="s">
        <v>2156</v>
      </c>
      <c r="D6215" s="0" t="s">
        <v>2105</v>
      </c>
      <c r="E6215" s="0" t="s">
        <v>2045</v>
      </c>
      <c r="F6215" s="0" t="s">
        <v>2051</v>
      </c>
      <c r="G6215" s="0" t="s">
        <v>2114</v>
      </c>
      <c r="H6215" s="0" t="s">
        <v>2115</v>
      </c>
      <c r="I6215" s="0" t="s">
        <v>2322</v>
      </c>
      <c r="J6215" s="0" t="s">
        <v>2367</v>
      </c>
      <c r="K6215" s="272" t="n">
        <v>42486580.5</v>
      </c>
    </row>
    <row r="6216" customFormat="false" ht="15" hidden="false" customHeight="false" outlineLevel="0" collapsed="false">
      <c r="A6216" s="0" t="s">
        <v>2041</v>
      </c>
      <c r="B6216" s="0" t="s">
        <v>2042</v>
      </c>
      <c r="C6216" s="0" t="s">
        <v>2161</v>
      </c>
      <c r="D6216" s="0" t="s">
        <v>2105</v>
      </c>
      <c r="E6216" s="0" t="s">
        <v>2045</v>
      </c>
      <c r="F6216" s="0" t="s">
        <v>2051</v>
      </c>
      <c r="G6216" s="0" t="s">
        <v>2114</v>
      </c>
      <c r="H6216" s="0" t="s">
        <v>2115</v>
      </c>
      <c r="I6216" s="0" t="s">
        <v>2322</v>
      </c>
      <c r="J6216" s="0" t="s">
        <v>2367</v>
      </c>
      <c r="K6216" s="272" t="n">
        <v>8069656.14</v>
      </c>
    </row>
    <row r="6217" customFormat="false" ht="15" hidden="false" customHeight="false" outlineLevel="0" collapsed="false">
      <c r="A6217" s="0" t="s">
        <v>2041</v>
      </c>
      <c r="B6217" s="0" t="s">
        <v>2042</v>
      </c>
      <c r="C6217" s="0" t="s">
        <v>2156</v>
      </c>
      <c r="D6217" s="0" t="s">
        <v>2105</v>
      </c>
      <c r="E6217" s="0" t="s">
        <v>2045</v>
      </c>
      <c r="F6217" s="0" t="s">
        <v>2051</v>
      </c>
      <c r="G6217" s="0" t="s">
        <v>2114</v>
      </c>
      <c r="H6217" s="0" t="s">
        <v>2116</v>
      </c>
      <c r="I6217" s="0" t="s">
        <v>2322</v>
      </c>
      <c r="J6217" s="0" t="s">
        <v>2367</v>
      </c>
      <c r="K6217" s="272" t="n">
        <v>4307436.7</v>
      </c>
    </row>
    <row r="6218" customFormat="false" ht="15" hidden="false" customHeight="false" outlineLevel="0" collapsed="false">
      <c r="A6218" s="0" t="s">
        <v>2041</v>
      </c>
      <c r="B6218" s="0" t="s">
        <v>2042</v>
      </c>
      <c r="C6218" s="0" t="s">
        <v>2161</v>
      </c>
      <c r="D6218" s="0" t="s">
        <v>2105</v>
      </c>
      <c r="E6218" s="0" t="s">
        <v>2045</v>
      </c>
      <c r="F6218" s="0" t="s">
        <v>2051</v>
      </c>
      <c r="G6218" s="0" t="s">
        <v>2114</v>
      </c>
      <c r="H6218" s="0" t="s">
        <v>2116</v>
      </c>
      <c r="I6218" s="0" t="s">
        <v>2322</v>
      </c>
      <c r="J6218" s="0" t="s">
        <v>2367</v>
      </c>
      <c r="K6218" s="272" t="n">
        <v>817734.76</v>
      </c>
    </row>
    <row r="6219" customFormat="false" ht="15" hidden="false" customHeight="false" outlineLevel="0" collapsed="false">
      <c r="A6219" s="0" t="s">
        <v>2041</v>
      </c>
      <c r="B6219" s="0" t="s">
        <v>2042</v>
      </c>
      <c r="C6219" s="0" t="s">
        <v>2156</v>
      </c>
      <c r="D6219" s="0" t="s">
        <v>2105</v>
      </c>
      <c r="E6219" s="0" t="s">
        <v>2045</v>
      </c>
      <c r="F6219" s="0" t="s">
        <v>2051</v>
      </c>
      <c r="G6219" s="0" t="s">
        <v>2114</v>
      </c>
      <c r="H6219" s="0" t="s">
        <v>2117</v>
      </c>
      <c r="I6219" s="0" t="s">
        <v>2322</v>
      </c>
      <c r="J6219" s="0" t="s">
        <v>2367</v>
      </c>
      <c r="K6219" s="272" t="n">
        <v>2687229.9</v>
      </c>
    </row>
    <row r="6220" customFormat="false" ht="15" hidden="false" customHeight="false" outlineLevel="0" collapsed="false">
      <c r="A6220" s="0" t="s">
        <v>2041</v>
      </c>
      <c r="B6220" s="0" t="s">
        <v>2042</v>
      </c>
      <c r="C6220" s="0" t="s">
        <v>2161</v>
      </c>
      <c r="D6220" s="0" t="s">
        <v>2105</v>
      </c>
      <c r="E6220" s="0" t="s">
        <v>2045</v>
      </c>
      <c r="F6220" s="0" t="s">
        <v>2051</v>
      </c>
      <c r="G6220" s="0" t="s">
        <v>2114</v>
      </c>
      <c r="H6220" s="0" t="s">
        <v>2117</v>
      </c>
      <c r="I6220" s="0" t="s">
        <v>2322</v>
      </c>
      <c r="J6220" s="0" t="s">
        <v>2367</v>
      </c>
      <c r="K6220" s="272" t="n">
        <v>461106.66</v>
      </c>
    </row>
    <row r="6221" customFormat="false" ht="15" hidden="false" customHeight="false" outlineLevel="0" collapsed="false">
      <c r="A6221" s="0" t="s">
        <v>2041</v>
      </c>
      <c r="B6221" s="0" t="s">
        <v>2042</v>
      </c>
      <c r="C6221" s="0" t="s">
        <v>2156</v>
      </c>
      <c r="D6221" s="0" t="s">
        <v>2105</v>
      </c>
      <c r="E6221" s="0" t="s">
        <v>2045</v>
      </c>
      <c r="F6221" s="0" t="s">
        <v>2051</v>
      </c>
      <c r="G6221" s="0" t="s">
        <v>2114</v>
      </c>
      <c r="H6221" s="0" t="s">
        <v>2118</v>
      </c>
      <c r="I6221" s="0" t="s">
        <v>2322</v>
      </c>
      <c r="J6221" s="0" t="s">
        <v>2367</v>
      </c>
      <c r="K6221" s="272" t="n">
        <v>2272550</v>
      </c>
    </row>
    <row r="6222" customFormat="false" ht="15" hidden="false" customHeight="false" outlineLevel="0" collapsed="false">
      <c r="A6222" s="0" t="s">
        <v>2041</v>
      </c>
      <c r="B6222" s="0" t="s">
        <v>2042</v>
      </c>
      <c r="C6222" s="0" t="s">
        <v>2161</v>
      </c>
      <c r="D6222" s="0" t="s">
        <v>2105</v>
      </c>
      <c r="E6222" s="0" t="s">
        <v>2045</v>
      </c>
      <c r="F6222" s="0" t="s">
        <v>2051</v>
      </c>
      <c r="G6222" s="0" t="s">
        <v>2114</v>
      </c>
      <c r="H6222" s="0" t="s">
        <v>2118</v>
      </c>
      <c r="I6222" s="0" t="s">
        <v>2322</v>
      </c>
      <c r="J6222" s="0" t="s">
        <v>2367</v>
      </c>
      <c r="K6222" s="272" t="n">
        <v>660319.85</v>
      </c>
    </row>
    <row r="6223" customFormat="false" ht="15" hidden="false" customHeight="false" outlineLevel="0" collapsed="false">
      <c r="A6223" s="0" t="s">
        <v>2041</v>
      </c>
      <c r="B6223" s="0" t="s">
        <v>2042</v>
      </c>
      <c r="C6223" s="0" t="s">
        <v>2156</v>
      </c>
      <c r="D6223" s="0" t="s">
        <v>2105</v>
      </c>
      <c r="E6223" s="0" t="s">
        <v>2045</v>
      </c>
      <c r="F6223" s="0" t="s">
        <v>2051</v>
      </c>
      <c r="G6223" s="0" t="s">
        <v>2114</v>
      </c>
      <c r="H6223" s="0" t="s">
        <v>2119</v>
      </c>
      <c r="I6223" s="0" t="s">
        <v>2322</v>
      </c>
      <c r="J6223" s="0" t="s">
        <v>2367</v>
      </c>
      <c r="K6223" s="272" t="n">
        <v>11367538.8</v>
      </c>
    </row>
    <row r="6224" customFormat="false" ht="15" hidden="false" customHeight="false" outlineLevel="0" collapsed="false">
      <c r="A6224" s="0" t="s">
        <v>2041</v>
      </c>
      <c r="B6224" s="0" t="s">
        <v>2042</v>
      </c>
      <c r="C6224" s="0" t="s">
        <v>2161</v>
      </c>
      <c r="D6224" s="0" t="s">
        <v>2105</v>
      </c>
      <c r="E6224" s="0" t="s">
        <v>2045</v>
      </c>
      <c r="F6224" s="0" t="s">
        <v>2051</v>
      </c>
      <c r="G6224" s="0" t="s">
        <v>2114</v>
      </c>
      <c r="H6224" s="0" t="s">
        <v>2119</v>
      </c>
      <c r="I6224" s="0" t="s">
        <v>2322</v>
      </c>
      <c r="J6224" s="0" t="s">
        <v>2367</v>
      </c>
      <c r="K6224" s="272" t="n">
        <v>2191841.596</v>
      </c>
    </row>
    <row r="6225" customFormat="false" ht="15" hidden="false" customHeight="false" outlineLevel="0" collapsed="false">
      <c r="A6225" s="0" t="s">
        <v>2041</v>
      </c>
      <c r="B6225" s="0" t="s">
        <v>2042</v>
      </c>
      <c r="C6225" s="0" t="s">
        <v>2156</v>
      </c>
      <c r="D6225" s="0" t="s">
        <v>2105</v>
      </c>
      <c r="E6225" s="0" t="s">
        <v>2045</v>
      </c>
      <c r="F6225" s="0" t="s">
        <v>2051</v>
      </c>
      <c r="G6225" s="0" t="s">
        <v>2114</v>
      </c>
      <c r="H6225" s="0" t="s">
        <v>2120</v>
      </c>
      <c r="I6225" s="0" t="s">
        <v>2322</v>
      </c>
      <c r="J6225" s="0" t="s">
        <v>2367</v>
      </c>
      <c r="K6225" s="272" t="n">
        <v>12860181</v>
      </c>
    </row>
    <row r="6226" customFormat="false" ht="15" hidden="false" customHeight="false" outlineLevel="0" collapsed="false">
      <c r="A6226" s="0" t="s">
        <v>2041</v>
      </c>
      <c r="B6226" s="0" t="s">
        <v>2042</v>
      </c>
      <c r="C6226" s="0" t="s">
        <v>2161</v>
      </c>
      <c r="D6226" s="0" t="s">
        <v>2105</v>
      </c>
      <c r="E6226" s="0" t="s">
        <v>2045</v>
      </c>
      <c r="F6226" s="0" t="s">
        <v>2051</v>
      </c>
      <c r="G6226" s="0" t="s">
        <v>2114</v>
      </c>
      <c r="H6226" s="0" t="s">
        <v>2120</v>
      </c>
      <c r="I6226" s="0" t="s">
        <v>2322</v>
      </c>
      <c r="J6226" s="0" t="s">
        <v>2367</v>
      </c>
      <c r="K6226" s="272" t="n">
        <v>2726042.32</v>
      </c>
    </row>
    <row r="6227" customFormat="false" ht="15" hidden="false" customHeight="false" outlineLevel="0" collapsed="false">
      <c r="A6227" s="0" t="s">
        <v>2041</v>
      </c>
      <c r="B6227" s="0" t="s">
        <v>2042</v>
      </c>
      <c r="C6227" s="0" t="s">
        <v>2156</v>
      </c>
      <c r="D6227" s="0" t="s">
        <v>2105</v>
      </c>
      <c r="E6227" s="0" t="s">
        <v>2045</v>
      </c>
      <c r="F6227" s="0" t="s">
        <v>2051</v>
      </c>
      <c r="G6227" s="0" t="s">
        <v>2114</v>
      </c>
      <c r="H6227" s="0" t="s">
        <v>2121</v>
      </c>
      <c r="I6227" s="0" t="s">
        <v>2322</v>
      </c>
      <c r="J6227" s="0" t="s">
        <v>2367</v>
      </c>
      <c r="K6227" s="272" t="n">
        <v>6046901</v>
      </c>
    </row>
    <row r="6228" customFormat="false" ht="15" hidden="false" customHeight="false" outlineLevel="0" collapsed="false">
      <c r="A6228" s="0" t="s">
        <v>2041</v>
      </c>
      <c r="B6228" s="0" t="s">
        <v>2042</v>
      </c>
      <c r="C6228" s="0" t="s">
        <v>2161</v>
      </c>
      <c r="D6228" s="0" t="s">
        <v>2105</v>
      </c>
      <c r="E6228" s="0" t="s">
        <v>2045</v>
      </c>
      <c r="F6228" s="0" t="s">
        <v>2051</v>
      </c>
      <c r="G6228" s="0" t="s">
        <v>2114</v>
      </c>
      <c r="H6228" s="0" t="s">
        <v>2121</v>
      </c>
      <c r="I6228" s="0" t="s">
        <v>2322</v>
      </c>
      <c r="J6228" s="0" t="s">
        <v>2367</v>
      </c>
      <c r="K6228" s="272" t="n">
        <v>1128816.54</v>
      </c>
    </row>
    <row r="6229" customFormat="false" ht="15" hidden="false" customHeight="false" outlineLevel="0" collapsed="false">
      <c r="A6229" s="0" t="s">
        <v>2041</v>
      </c>
      <c r="B6229" s="0" t="s">
        <v>2042</v>
      </c>
      <c r="C6229" s="0" t="s">
        <v>2156</v>
      </c>
      <c r="D6229" s="0" t="s">
        <v>2105</v>
      </c>
      <c r="E6229" s="0" t="s">
        <v>2045</v>
      </c>
      <c r="F6229" s="0" t="s">
        <v>2051</v>
      </c>
      <c r="G6229" s="0" t="s">
        <v>2114</v>
      </c>
      <c r="H6229" s="0" t="s">
        <v>2122</v>
      </c>
      <c r="I6229" s="0" t="s">
        <v>2322</v>
      </c>
      <c r="J6229" s="0" t="s">
        <v>2367</v>
      </c>
      <c r="K6229" s="272" t="n">
        <v>19257687.1</v>
      </c>
    </row>
    <row r="6230" customFormat="false" ht="15" hidden="false" customHeight="false" outlineLevel="0" collapsed="false">
      <c r="A6230" s="0" t="s">
        <v>2041</v>
      </c>
      <c r="B6230" s="0" t="s">
        <v>2042</v>
      </c>
      <c r="C6230" s="0" t="s">
        <v>2161</v>
      </c>
      <c r="D6230" s="0" t="s">
        <v>2105</v>
      </c>
      <c r="E6230" s="0" t="s">
        <v>2045</v>
      </c>
      <c r="F6230" s="0" t="s">
        <v>2051</v>
      </c>
      <c r="G6230" s="0" t="s">
        <v>2114</v>
      </c>
      <c r="H6230" s="0" t="s">
        <v>2122</v>
      </c>
      <c r="I6230" s="0" t="s">
        <v>2322</v>
      </c>
      <c r="J6230" s="0" t="s">
        <v>2367</v>
      </c>
      <c r="K6230" s="272" t="n">
        <v>3956824.18685714</v>
      </c>
    </row>
    <row r="6231" customFormat="false" ht="15" hidden="false" customHeight="false" outlineLevel="0" collapsed="false">
      <c r="A6231" s="0" t="s">
        <v>2041</v>
      </c>
      <c r="B6231" s="0" t="s">
        <v>2042</v>
      </c>
      <c r="C6231" s="0" t="s">
        <v>2156</v>
      </c>
      <c r="D6231" s="0" t="s">
        <v>2105</v>
      </c>
      <c r="E6231" s="0" t="s">
        <v>2045</v>
      </c>
      <c r="F6231" s="0" t="s">
        <v>2051</v>
      </c>
      <c r="G6231" s="0" t="s">
        <v>2114</v>
      </c>
      <c r="H6231" s="0" t="s">
        <v>2112</v>
      </c>
      <c r="I6231" s="0" t="s">
        <v>2322</v>
      </c>
      <c r="J6231" s="0" t="s">
        <v>2367</v>
      </c>
      <c r="K6231" s="272" t="n">
        <v>3360920</v>
      </c>
    </row>
    <row r="6232" customFormat="false" ht="15" hidden="false" customHeight="false" outlineLevel="0" collapsed="false">
      <c r="A6232" s="0" t="s">
        <v>2041</v>
      </c>
      <c r="B6232" s="0" t="s">
        <v>2042</v>
      </c>
      <c r="C6232" s="0" t="s">
        <v>2161</v>
      </c>
      <c r="D6232" s="0" t="s">
        <v>2105</v>
      </c>
      <c r="E6232" s="0" t="s">
        <v>2045</v>
      </c>
      <c r="F6232" s="0" t="s">
        <v>2051</v>
      </c>
      <c r="G6232" s="0" t="s">
        <v>2114</v>
      </c>
      <c r="H6232" s="0" t="s">
        <v>2112</v>
      </c>
      <c r="I6232" s="0" t="s">
        <v>2322</v>
      </c>
      <c r="J6232" s="0" t="s">
        <v>2367</v>
      </c>
      <c r="K6232" s="272" t="n">
        <v>818224.29</v>
      </c>
    </row>
    <row r="6233" customFormat="false" ht="15" hidden="false" customHeight="false" outlineLevel="0" collapsed="false">
      <c r="A6233" s="0" t="s">
        <v>2041</v>
      </c>
      <c r="B6233" s="0" t="s">
        <v>2042</v>
      </c>
      <c r="C6233" s="0" t="s">
        <v>2156</v>
      </c>
      <c r="D6233" s="0" t="s">
        <v>2105</v>
      </c>
      <c r="E6233" s="0" t="s">
        <v>2045</v>
      </c>
      <c r="F6233" s="0" t="s">
        <v>2051</v>
      </c>
      <c r="G6233" s="0" t="s">
        <v>2114</v>
      </c>
      <c r="H6233" s="0" t="s">
        <v>2113</v>
      </c>
      <c r="I6233" s="0" t="s">
        <v>2322</v>
      </c>
      <c r="J6233" s="0" t="s">
        <v>2367</v>
      </c>
      <c r="K6233" s="272" t="n">
        <v>2973211</v>
      </c>
    </row>
    <row r="6234" customFormat="false" ht="15" hidden="false" customHeight="false" outlineLevel="0" collapsed="false">
      <c r="A6234" s="0" t="s">
        <v>2041</v>
      </c>
      <c r="B6234" s="0" t="s">
        <v>2042</v>
      </c>
      <c r="C6234" s="0" t="s">
        <v>2161</v>
      </c>
      <c r="D6234" s="0" t="s">
        <v>2105</v>
      </c>
      <c r="E6234" s="0" t="s">
        <v>2045</v>
      </c>
      <c r="F6234" s="0" t="s">
        <v>2051</v>
      </c>
      <c r="G6234" s="0" t="s">
        <v>2114</v>
      </c>
      <c r="H6234" s="0" t="s">
        <v>2113</v>
      </c>
      <c r="I6234" s="0" t="s">
        <v>2322</v>
      </c>
      <c r="J6234" s="0" t="s">
        <v>2367</v>
      </c>
      <c r="K6234" s="272" t="n">
        <v>871982.462857143</v>
      </c>
    </row>
    <row r="6235" customFormat="false" ht="15" hidden="false" customHeight="false" outlineLevel="0" collapsed="false">
      <c r="A6235" s="0" t="s">
        <v>2041</v>
      </c>
      <c r="B6235" s="0" t="s">
        <v>2042</v>
      </c>
      <c r="C6235" s="0" t="s">
        <v>2156</v>
      </c>
      <c r="D6235" s="0" t="s">
        <v>2105</v>
      </c>
      <c r="E6235" s="0" t="s">
        <v>2045</v>
      </c>
      <c r="F6235" s="0" t="s">
        <v>2051</v>
      </c>
      <c r="G6235" s="0" t="s">
        <v>2114</v>
      </c>
      <c r="H6235" s="0" t="s">
        <v>2107</v>
      </c>
      <c r="I6235" s="0" t="s">
        <v>2322</v>
      </c>
      <c r="J6235" s="0" t="s">
        <v>2367</v>
      </c>
      <c r="K6235" s="272" t="n">
        <v>49474138</v>
      </c>
    </row>
    <row r="6236" customFormat="false" ht="15" hidden="false" customHeight="false" outlineLevel="0" collapsed="false">
      <c r="A6236" s="0" t="s">
        <v>2041</v>
      </c>
      <c r="B6236" s="0" t="s">
        <v>2042</v>
      </c>
      <c r="C6236" s="0" t="s">
        <v>2161</v>
      </c>
      <c r="D6236" s="0" t="s">
        <v>2105</v>
      </c>
      <c r="E6236" s="0" t="s">
        <v>2045</v>
      </c>
      <c r="F6236" s="0" t="s">
        <v>2051</v>
      </c>
      <c r="G6236" s="0" t="s">
        <v>2114</v>
      </c>
      <c r="H6236" s="0" t="s">
        <v>2107</v>
      </c>
      <c r="I6236" s="0" t="s">
        <v>2322</v>
      </c>
      <c r="J6236" s="0" t="s">
        <v>2367</v>
      </c>
      <c r="K6236" s="272" t="n">
        <v>8231488.13</v>
      </c>
    </row>
    <row r="6237" customFormat="false" ht="15" hidden="false" customHeight="false" outlineLevel="0" collapsed="false">
      <c r="A6237" s="0" t="s">
        <v>2041</v>
      </c>
      <c r="B6237" s="0" t="s">
        <v>2042</v>
      </c>
      <c r="C6237" s="0" t="s">
        <v>2156</v>
      </c>
      <c r="D6237" s="0" t="s">
        <v>2105</v>
      </c>
      <c r="E6237" s="0" t="s">
        <v>2045</v>
      </c>
      <c r="F6237" s="0" t="s">
        <v>2051</v>
      </c>
      <c r="G6237" s="0" t="s">
        <v>2123</v>
      </c>
      <c r="H6237" s="0" t="s">
        <v>2115</v>
      </c>
      <c r="I6237" s="0" t="s">
        <v>2322</v>
      </c>
      <c r="J6237" s="0" t="s">
        <v>2367</v>
      </c>
      <c r="K6237" s="272" t="n">
        <v>6833816.4</v>
      </c>
    </row>
    <row r="6238" customFormat="false" ht="15" hidden="false" customHeight="false" outlineLevel="0" collapsed="false">
      <c r="A6238" s="0" t="s">
        <v>2041</v>
      </c>
      <c r="B6238" s="0" t="s">
        <v>2042</v>
      </c>
      <c r="C6238" s="0" t="s">
        <v>2161</v>
      </c>
      <c r="D6238" s="0" t="s">
        <v>2105</v>
      </c>
      <c r="E6238" s="0" t="s">
        <v>2045</v>
      </c>
      <c r="F6238" s="0" t="s">
        <v>2051</v>
      </c>
      <c r="G6238" s="0" t="s">
        <v>2123</v>
      </c>
      <c r="H6238" s="0" t="s">
        <v>2115</v>
      </c>
      <c r="I6238" s="0" t="s">
        <v>2322</v>
      </c>
      <c r="J6238" s="0" t="s">
        <v>2367</v>
      </c>
      <c r="K6238" s="272" t="n">
        <v>1417784.79</v>
      </c>
    </row>
    <row r="6239" customFormat="false" ht="15" hidden="false" customHeight="false" outlineLevel="0" collapsed="false">
      <c r="A6239" s="0" t="s">
        <v>2041</v>
      </c>
      <c r="B6239" s="0" t="s">
        <v>2042</v>
      </c>
      <c r="C6239" s="0" t="s">
        <v>2156</v>
      </c>
      <c r="D6239" s="0" t="s">
        <v>2105</v>
      </c>
      <c r="E6239" s="0" t="s">
        <v>2045</v>
      </c>
      <c r="F6239" s="0" t="s">
        <v>2051</v>
      </c>
      <c r="G6239" s="0" t="s">
        <v>2123</v>
      </c>
      <c r="H6239" s="0" t="s">
        <v>2116</v>
      </c>
      <c r="I6239" s="0" t="s">
        <v>2322</v>
      </c>
      <c r="J6239" s="0" t="s">
        <v>2367</v>
      </c>
      <c r="K6239" s="272" t="n">
        <v>7884225.6</v>
      </c>
    </row>
    <row r="6240" customFormat="false" ht="15" hidden="false" customHeight="false" outlineLevel="0" collapsed="false">
      <c r="A6240" s="0" t="s">
        <v>2041</v>
      </c>
      <c r="B6240" s="0" t="s">
        <v>2042</v>
      </c>
      <c r="C6240" s="0" t="s">
        <v>2161</v>
      </c>
      <c r="D6240" s="0" t="s">
        <v>2105</v>
      </c>
      <c r="E6240" s="0" t="s">
        <v>2045</v>
      </c>
      <c r="F6240" s="0" t="s">
        <v>2051</v>
      </c>
      <c r="G6240" s="0" t="s">
        <v>2123</v>
      </c>
      <c r="H6240" s="0" t="s">
        <v>2116</v>
      </c>
      <c r="I6240" s="0" t="s">
        <v>2322</v>
      </c>
      <c r="J6240" s="0" t="s">
        <v>2367</v>
      </c>
      <c r="K6240" s="272" t="n">
        <v>1988497.89</v>
      </c>
    </row>
    <row r="6241" customFormat="false" ht="15" hidden="false" customHeight="false" outlineLevel="0" collapsed="false">
      <c r="A6241" s="0" t="s">
        <v>2041</v>
      </c>
      <c r="B6241" s="0" t="s">
        <v>2042</v>
      </c>
      <c r="C6241" s="0" t="s">
        <v>2156</v>
      </c>
      <c r="D6241" s="0" t="s">
        <v>2105</v>
      </c>
      <c r="E6241" s="0" t="s">
        <v>2045</v>
      </c>
      <c r="F6241" s="0" t="s">
        <v>2051</v>
      </c>
      <c r="G6241" s="0" t="s">
        <v>2123</v>
      </c>
      <c r="H6241" s="0" t="s">
        <v>2111</v>
      </c>
      <c r="I6241" s="0" t="s">
        <v>2322</v>
      </c>
      <c r="J6241" s="0" t="s">
        <v>2367</v>
      </c>
      <c r="K6241" s="272" t="n">
        <v>15605166.4</v>
      </c>
    </row>
    <row r="6242" customFormat="false" ht="15" hidden="false" customHeight="false" outlineLevel="0" collapsed="false">
      <c r="A6242" s="0" t="s">
        <v>2041</v>
      </c>
      <c r="B6242" s="0" t="s">
        <v>2042</v>
      </c>
      <c r="C6242" s="0" t="s">
        <v>2161</v>
      </c>
      <c r="D6242" s="0" t="s">
        <v>2105</v>
      </c>
      <c r="E6242" s="0" t="s">
        <v>2045</v>
      </c>
      <c r="F6242" s="0" t="s">
        <v>2051</v>
      </c>
      <c r="G6242" s="0" t="s">
        <v>2123</v>
      </c>
      <c r="H6242" s="0" t="s">
        <v>2111</v>
      </c>
      <c r="I6242" s="0" t="s">
        <v>2322</v>
      </c>
      <c r="J6242" s="0" t="s">
        <v>2367</v>
      </c>
      <c r="K6242" s="272" t="n">
        <v>3200348.86777778</v>
      </c>
    </row>
    <row r="6243" customFormat="false" ht="15" hidden="false" customHeight="false" outlineLevel="0" collapsed="false">
      <c r="A6243" s="0" t="s">
        <v>2041</v>
      </c>
      <c r="B6243" s="0" t="s">
        <v>2042</v>
      </c>
      <c r="C6243" s="0" t="s">
        <v>2156</v>
      </c>
      <c r="D6243" s="0" t="s">
        <v>2105</v>
      </c>
      <c r="E6243" s="0" t="s">
        <v>2045</v>
      </c>
      <c r="F6243" s="0" t="s">
        <v>2051</v>
      </c>
      <c r="G6243" s="0" t="s">
        <v>2123</v>
      </c>
      <c r="H6243" s="0" t="s">
        <v>2117</v>
      </c>
      <c r="I6243" s="0" t="s">
        <v>2322</v>
      </c>
      <c r="J6243" s="0" t="s">
        <v>2367</v>
      </c>
      <c r="K6243" s="272" t="n">
        <v>3931001</v>
      </c>
    </row>
    <row r="6244" customFormat="false" ht="15" hidden="false" customHeight="false" outlineLevel="0" collapsed="false">
      <c r="A6244" s="0" t="s">
        <v>2041</v>
      </c>
      <c r="B6244" s="0" t="s">
        <v>2042</v>
      </c>
      <c r="C6244" s="0" t="s">
        <v>2161</v>
      </c>
      <c r="D6244" s="0" t="s">
        <v>2105</v>
      </c>
      <c r="E6244" s="0" t="s">
        <v>2045</v>
      </c>
      <c r="F6244" s="0" t="s">
        <v>2051</v>
      </c>
      <c r="G6244" s="0" t="s">
        <v>2123</v>
      </c>
      <c r="H6244" s="0" t="s">
        <v>2117</v>
      </c>
      <c r="I6244" s="0" t="s">
        <v>2322</v>
      </c>
      <c r="J6244" s="0" t="s">
        <v>2367</v>
      </c>
      <c r="K6244" s="272" t="n">
        <v>857174.82</v>
      </c>
    </row>
    <row r="6245" customFormat="false" ht="15" hidden="false" customHeight="false" outlineLevel="0" collapsed="false">
      <c r="A6245" s="0" t="s">
        <v>2041</v>
      </c>
      <c r="B6245" s="0" t="s">
        <v>2042</v>
      </c>
      <c r="C6245" s="0" t="s">
        <v>2156</v>
      </c>
      <c r="D6245" s="0" t="s">
        <v>2105</v>
      </c>
      <c r="E6245" s="0" t="s">
        <v>2045</v>
      </c>
      <c r="F6245" s="0" t="s">
        <v>2051</v>
      </c>
      <c r="G6245" s="0" t="s">
        <v>2123</v>
      </c>
      <c r="H6245" s="0" t="s">
        <v>2119</v>
      </c>
      <c r="I6245" s="0" t="s">
        <v>2322</v>
      </c>
      <c r="J6245" s="0" t="s">
        <v>2367</v>
      </c>
      <c r="K6245" s="272" t="n">
        <v>486595</v>
      </c>
    </row>
    <row r="6246" customFormat="false" ht="15" hidden="false" customHeight="false" outlineLevel="0" collapsed="false">
      <c r="A6246" s="0" t="s">
        <v>2041</v>
      </c>
      <c r="B6246" s="0" t="s">
        <v>2042</v>
      </c>
      <c r="C6246" s="0" t="s">
        <v>2161</v>
      </c>
      <c r="D6246" s="0" t="s">
        <v>2105</v>
      </c>
      <c r="E6246" s="0" t="s">
        <v>2045</v>
      </c>
      <c r="F6246" s="0" t="s">
        <v>2051</v>
      </c>
      <c r="G6246" s="0" t="s">
        <v>2123</v>
      </c>
      <c r="H6246" s="0" t="s">
        <v>2119</v>
      </c>
      <c r="I6246" s="0" t="s">
        <v>2322</v>
      </c>
      <c r="J6246" s="0" t="s">
        <v>2367</v>
      </c>
      <c r="K6246" s="272" t="n">
        <v>144697.923333333</v>
      </c>
    </row>
    <row r="6247" customFormat="false" ht="15" hidden="false" customHeight="false" outlineLevel="0" collapsed="false">
      <c r="A6247" s="0" t="s">
        <v>2041</v>
      </c>
      <c r="B6247" s="0" t="s">
        <v>2042</v>
      </c>
      <c r="C6247" s="0" t="s">
        <v>2156</v>
      </c>
      <c r="D6247" s="0" t="s">
        <v>2105</v>
      </c>
      <c r="E6247" s="0" t="s">
        <v>2045</v>
      </c>
      <c r="F6247" s="0" t="s">
        <v>2051</v>
      </c>
      <c r="G6247" s="0" t="s">
        <v>2123</v>
      </c>
      <c r="H6247" s="0" t="s">
        <v>2120</v>
      </c>
      <c r="I6247" s="0" t="s">
        <v>2322</v>
      </c>
      <c r="J6247" s="0" t="s">
        <v>2367</v>
      </c>
      <c r="K6247" s="272" t="n">
        <v>2738353.4</v>
      </c>
    </row>
    <row r="6248" customFormat="false" ht="15" hidden="false" customHeight="false" outlineLevel="0" collapsed="false">
      <c r="A6248" s="0" t="s">
        <v>2041</v>
      </c>
      <c r="B6248" s="0" t="s">
        <v>2042</v>
      </c>
      <c r="C6248" s="0" t="s">
        <v>2161</v>
      </c>
      <c r="D6248" s="0" t="s">
        <v>2105</v>
      </c>
      <c r="E6248" s="0" t="s">
        <v>2045</v>
      </c>
      <c r="F6248" s="0" t="s">
        <v>2051</v>
      </c>
      <c r="G6248" s="0" t="s">
        <v>2123</v>
      </c>
      <c r="H6248" s="0" t="s">
        <v>2120</v>
      </c>
      <c r="I6248" s="0" t="s">
        <v>2322</v>
      </c>
      <c r="J6248" s="0" t="s">
        <v>2367</v>
      </c>
      <c r="K6248" s="272" t="n">
        <v>514820.31</v>
      </c>
    </row>
    <row r="6249" customFormat="false" ht="15" hidden="false" customHeight="false" outlineLevel="0" collapsed="false">
      <c r="A6249" s="0" t="s">
        <v>2041</v>
      </c>
      <c r="B6249" s="0" t="s">
        <v>2042</v>
      </c>
      <c r="C6249" s="0" t="s">
        <v>2156</v>
      </c>
      <c r="D6249" s="0" t="s">
        <v>2105</v>
      </c>
      <c r="E6249" s="0" t="s">
        <v>2045</v>
      </c>
      <c r="F6249" s="0" t="s">
        <v>2051</v>
      </c>
      <c r="G6249" s="0" t="s">
        <v>2123</v>
      </c>
      <c r="H6249" s="0" t="s">
        <v>2121</v>
      </c>
      <c r="I6249" s="0" t="s">
        <v>2124</v>
      </c>
      <c r="J6249" s="0" t="s">
        <v>2367</v>
      </c>
      <c r="K6249" s="272" t="n">
        <v>1052262</v>
      </c>
    </row>
    <row r="6250" customFormat="false" ht="15" hidden="false" customHeight="false" outlineLevel="0" collapsed="false">
      <c r="A6250" s="0" t="s">
        <v>2041</v>
      </c>
      <c r="B6250" s="0" t="s">
        <v>2042</v>
      </c>
      <c r="C6250" s="0" t="s">
        <v>2161</v>
      </c>
      <c r="D6250" s="0" t="s">
        <v>2105</v>
      </c>
      <c r="E6250" s="0" t="s">
        <v>2045</v>
      </c>
      <c r="F6250" s="0" t="s">
        <v>2051</v>
      </c>
      <c r="G6250" s="0" t="s">
        <v>2123</v>
      </c>
      <c r="H6250" s="0" t="s">
        <v>2121</v>
      </c>
      <c r="I6250" s="0" t="s">
        <v>2124</v>
      </c>
      <c r="J6250" s="0" t="s">
        <v>2367</v>
      </c>
      <c r="K6250" s="272" t="n">
        <v>251755.91</v>
      </c>
    </row>
    <row r="6251" customFormat="false" ht="15" hidden="false" customHeight="false" outlineLevel="0" collapsed="false">
      <c r="A6251" s="0" t="s">
        <v>2041</v>
      </c>
      <c r="B6251" s="0" t="s">
        <v>2042</v>
      </c>
      <c r="C6251" s="0" t="s">
        <v>2156</v>
      </c>
      <c r="D6251" s="0" t="s">
        <v>2105</v>
      </c>
      <c r="E6251" s="0" t="s">
        <v>2045</v>
      </c>
      <c r="F6251" s="0" t="s">
        <v>2051</v>
      </c>
      <c r="G6251" s="0" t="s">
        <v>2123</v>
      </c>
      <c r="H6251" s="0" t="s">
        <v>2121</v>
      </c>
      <c r="I6251" s="0" t="s">
        <v>2322</v>
      </c>
      <c r="J6251" s="0" t="s">
        <v>2367</v>
      </c>
      <c r="K6251" s="272" t="n">
        <v>587285.4</v>
      </c>
    </row>
    <row r="6252" customFormat="false" ht="15" hidden="false" customHeight="false" outlineLevel="0" collapsed="false">
      <c r="A6252" s="0" t="s">
        <v>2041</v>
      </c>
      <c r="B6252" s="0" t="s">
        <v>2042</v>
      </c>
      <c r="C6252" s="0" t="s">
        <v>2161</v>
      </c>
      <c r="D6252" s="0" t="s">
        <v>2105</v>
      </c>
      <c r="E6252" s="0" t="s">
        <v>2045</v>
      </c>
      <c r="F6252" s="0" t="s">
        <v>2051</v>
      </c>
      <c r="G6252" s="0" t="s">
        <v>2123</v>
      </c>
      <c r="H6252" s="0" t="s">
        <v>2121</v>
      </c>
      <c r="I6252" s="0" t="s">
        <v>2322</v>
      </c>
      <c r="J6252" s="0" t="s">
        <v>2367</v>
      </c>
      <c r="K6252" s="272" t="n">
        <v>151776.9</v>
      </c>
    </row>
    <row r="6253" customFormat="false" ht="15" hidden="false" customHeight="false" outlineLevel="0" collapsed="false">
      <c r="A6253" s="0" t="s">
        <v>2041</v>
      </c>
      <c r="B6253" s="0" t="s">
        <v>2042</v>
      </c>
      <c r="C6253" s="0" t="s">
        <v>2156</v>
      </c>
      <c r="D6253" s="0" t="s">
        <v>2105</v>
      </c>
      <c r="E6253" s="0" t="s">
        <v>2045</v>
      </c>
      <c r="F6253" s="0" t="s">
        <v>2051</v>
      </c>
      <c r="G6253" s="0" t="s">
        <v>2123</v>
      </c>
      <c r="H6253" s="0" t="s">
        <v>2122</v>
      </c>
      <c r="I6253" s="0" t="s">
        <v>2124</v>
      </c>
      <c r="J6253" s="0" t="s">
        <v>2367</v>
      </c>
      <c r="K6253" s="272" t="n">
        <v>1753770</v>
      </c>
    </row>
    <row r="6254" customFormat="false" ht="15" hidden="false" customHeight="false" outlineLevel="0" collapsed="false">
      <c r="A6254" s="0" t="s">
        <v>2041</v>
      </c>
      <c r="B6254" s="0" t="s">
        <v>2042</v>
      </c>
      <c r="C6254" s="0" t="s">
        <v>2161</v>
      </c>
      <c r="D6254" s="0" t="s">
        <v>2105</v>
      </c>
      <c r="E6254" s="0" t="s">
        <v>2045</v>
      </c>
      <c r="F6254" s="0" t="s">
        <v>2051</v>
      </c>
      <c r="G6254" s="0" t="s">
        <v>2123</v>
      </c>
      <c r="H6254" s="0" t="s">
        <v>2122</v>
      </c>
      <c r="I6254" s="0" t="s">
        <v>2124</v>
      </c>
      <c r="J6254" s="0" t="s">
        <v>2367</v>
      </c>
      <c r="K6254" s="272" t="n">
        <v>419593.183333333</v>
      </c>
    </row>
    <row r="6255" customFormat="false" ht="15" hidden="false" customHeight="false" outlineLevel="0" collapsed="false">
      <c r="A6255" s="0" t="s">
        <v>2041</v>
      </c>
      <c r="B6255" s="0" t="s">
        <v>2042</v>
      </c>
      <c r="C6255" s="0" t="s">
        <v>2156</v>
      </c>
      <c r="D6255" s="0" t="s">
        <v>2105</v>
      </c>
      <c r="E6255" s="0" t="s">
        <v>2045</v>
      </c>
      <c r="F6255" s="0" t="s">
        <v>2051</v>
      </c>
      <c r="G6255" s="0" t="s">
        <v>2123</v>
      </c>
      <c r="H6255" s="0" t="s">
        <v>2122</v>
      </c>
      <c r="I6255" s="0" t="s">
        <v>2322</v>
      </c>
      <c r="J6255" s="0" t="s">
        <v>2367</v>
      </c>
      <c r="K6255" s="272" t="n">
        <v>2600000</v>
      </c>
    </row>
    <row r="6256" customFormat="false" ht="15" hidden="false" customHeight="false" outlineLevel="0" collapsed="false">
      <c r="A6256" s="0" t="s">
        <v>2041</v>
      </c>
      <c r="B6256" s="0" t="s">
        <v>2042</v>
      </c>
      <c r="C6256" s="0" t="s">
        <v>2161</v>
      </c>
      <c r="D6256" s="0" t="s">
        <v>2105</v>
      </c>
      <c r="E6256" s="0" t="s">
        <v>2045</v>
      </c>
      <c r="F6256" s="0" t="s">
        <v>2051</v>
      </c>
      <c r="G6256" s="0" t="s">
        <v>2123</v>
      </c>
      <c r="H6256" s="0" t="s">
        <v>2122</v>
      </c>
      <c r="I6256" s="0" t="s">
        <v>2322</v>
      </c>
      <c r="J6256" s="0" t="s">
        <v>2367</v>
      </c>
      <c r="K6256" s="272" t="n">
        <v>457423.786666667</v>
      </c>
    </row>
    <row r="6257" customFormat="false" ht="15" hidden="false" customHeight="false" outlineLevel="0" collapsed="false">
      <c r="A6257" s="0" t="s">
        <v>2041</v>
      </c>
      <c r="B6257" s="0" t="s">
        <v>2042</v>
      </c>
      <c r="C6257" s="0" t="s">
        <v>2156</v>
      </c>
      <c r="D6257" s="0" t="s">
        <v>2105</v>
      </c>
      <c r="E6257" s="0" t="s">
        <v>2045</v>
      </c>
      <c r="F6257" s="0" t="s">
        <v>2051</v>
      </c>
      <c r="G6257" s="0" t="s">
        <v>2123</v>
      </c>
      <c r="H6257" s="0" t="s">
        <v>2112</v>
      </c>
      <c r="I6257" s="0" t="s">
        <v>2124</v>
      </c>
      <c r="J6257" s="0" t="s">
        <v>2367</v>
      </c>
      <c r="K6257" s="272" t="n">
        <v>701508</v>
      </c>
    </row>
    <row r="6258" customFormat="false" ht="15" hidden="false" customHeight="false" outlineLevel="0" collapsed="false">
      <c r="A6258" s="0" t="s">
        <v>2041</v>
      </c>
      <c r="B6258" s="0" t="s">
        <v>2042</v>
      </c>
      <c r="C6258" s="0" t="s">
        <v>2161</v>
      </c>
      <c r="D6258" s="0" t="s">
        <v>2105</v>
      </c>
      <c r="E6258" s="0" t="s">
        <v>2045</v>
      </c>
      <c r="F6258" s="0" t="s">
        <v>2051</v>
      </c>
      <c r="G6258" s="0" t="s">
        <v>2123</v>
      </c>
      <c r="H6258" s="0" t="s">
        <v>2112</v>
      </c>
      <c r="I6258" s="0" t="s">
        <v>2124</v>
      </c>
      <c r="J6258" s="0" t="s">
        <v>2367</v>
      </c>
      <c r="K6258" s="272" t="n">
        <v>167837.273333333</v>
      </c>
    </row>
    <row r="6259" customFormat="false" ht="15" hidden="false" customHeight="false" outlineLevel="0" collapsed="false">
      <c r="A6259" s="0" t="s">
        <v>2041</v>
      </c>
      <c r="B6259" s="0" t="s">
        <v>2042</v>
      </c>
      <c r="C6259" s="0" t="s">
        <v>2156</v>
      </c>
      <c r="D6259" s="0" t="s">
        <v>2105</v>
      </c>
      <c r="E6259" s="0" t="s">
        <v>2045</v>
      </c>
      <c r="F6259" s="0" t="s">
        <v>2051</v>
      </c>
      <c r="G6259" s="0" t="s">
        <v>2123</v>
      </c>
      <c r="H6259" s="0" t="s">
        <v>2112</v>
      </c>
      <c r="I6259" s="0" t="s">
        <v>2322</v>
      </c>
      <c r="J6259" s="0" t="s">
        <v>2367</v>
      </c>
      <c r="K6259" s="272" t="n">
        <v>4260895.4</v>
      </c>
    </row>
    <row r="6260" customFormat="false" ht="15" hidden="false" customHeight="false" outlineLevel="0" collapsed="false">
      <c r="A6260" s="0" t="s">
        <v>2041</v>
      </c>
      <c r="B6260" s="0" t="s">
        <v>2042</v>
      </c>
      <c r="C6260" s="0" t="s">
        <v>2161</v>
      </c>
      <c r="D6260" s="0" t="s">
        <v>2105</v>
      </c>
      <c r="E6260" s="0" t="s">
        <v>2045</v>
      </c>
      <c r="F6260" s="0" t="s">
        <v>2051</v>
      </c>
      <c r="G6260" s="0" t="s">
        <v>2123</v>
      </c>
      <c r="H6260" s="0" t="s">
        <v>2112</v>
      </c>
      <c r="I6260" s="0" t="s">
        <v>2322</v>
      </c>
      <c r="J6260" s="0" t="s">
        <v>2367</v>
      </c>
      <c r="K6260" s="272" t="n">
        <v>851632.59</v>
      </c>
    </row>
    <row r="6261" customFormat="false" ht="15" hidden="false" customHeight="false" outlineLevel="0" collapsed="false">
      <c r="A6261" s="0" t="s">
        <v>2041</v>
      </c>
      <c r="B6261" s="0" t="s">
        <v>2042</v>
      </c>
      <c r="C6261" s="0" t="s">
        <v>2156</v>
      </c>
      <c r="D6261" s="0" t="s">
        <v>2105</v>
      </c>
      <c r="E6261" s="0" t="s">
        <v>2045</v>
      </c>
      <c r="F6261" s="0" t="s">
        <v>2051</v>
      </c>
      <c r="G6261" s="0" t="s">
        <v>2123</v>
      </c>
      <c r="H6261" s="0" t="s">
        <v>2113</v>
      </c>
      <c r="I6261" s="0" t="s">
        <v>2322</v>
      </c>
      <c r="J6261" s="0" t="s">
        <v>2367</v>
      </c>
      <c r="K6261" s="272" t="n">
        <v>16474618.4</v>
      </c>
    </row>
    <row r="6262" customFormat="false" ht="15" hidden="false" customHeight="false" outlineLevel="0" collapsed="false">
      <c r="A6262" s="0" t="s">
        <v>2041</v>
      </c>
      <c r="B6262" s="0" t="s">
        <v>2042</v>
      </c>
      <c r="C6262" s="0" t="s">
        <v>2161</v>
      </c>
      <c r="D6262" s="0" t="s">
        <v>2105</v>
      </c>
      <c r="E6262" s="0" t="s">
        <v>2045</v>
      </c>
      <c r="F6262" s="0" t="s">
        <v>2051</v>
      </c>
      <c r="G6262" s="0" t="s">
        <v>2123</v>
      </c>
      <c r="H6262" s="0" t="s">
        <v>2113</v>
      </c>
      <c r="I6262" s="0" t="s">
        <v>2322</v>
      </c>
      <c r="J6262" s="0" t="s">
        <v>2367</v>
      </c>
      <c r="K6262" s="272" t="n">
        <v>3763111.9</v>
      </c>
    </row>
    <row r="6263" customFormat="false" ht="15" hidden="false" customHeight="false" outlineLevel="0" collapsed="false">
      <c r="A6263" s="0" t="s">
        <v>2041</v>
      </c>
      <c r="B6263" s="0" t="s">
        <v>2042</v>
      </c>
      <c r="C6263" s="0" t="s">
        <v>2156</v>
      </c>
      <c r="D6263" s="0" t="s">
        <v>2105</v>
      </c>
      <c r="E6263" s="0" t="s">
        <v>2045</v>
      </c>
      <c r="F6263" s="0" t="s">
        <v>2051</v>
      </c>
      <c r="G6263" s="0" t="s">
        <v>2123</v>
      </c>
      <c r="H6263" s="0" t="s">
        <v>2107</v>
      </c>
      <c r="I6263" s="0" t="s">
        <v>2322</v>
      </c>
      <c r="J6263" s="0" t="s">
        <v>2367</v>
      </c>
      <c r="K6263" s="272" t="n">
        <v>20841693</v>
      </c>
    </row>
    <row r="6264" customFormat="false" ht="15" hidden="false" customHeight="false" outlineLevel="0" collapsed="false">
      <c r="A6264" s="0" t="s">
        <v>2041</v>
      </c>
      <c r="B6264" s="0" t="s">
        <v>2042</v>
      </c>
      <c r="C6264" s="0" t="s">
        <v>2161</v>
      </c>
      <c r="D6264" s="0" t="s">
        <v>2105</v>
      </c>
      <c r="E6264" s="0" t="s">
        <v>2045</v>
      </c>
      <c r="F6264" s="0" t="s">
        <v>2051</v>
      </c>
      <c r="G6264" s="0" t="s">
        <v>2123</v>
      </c>
      <c r="H6264" s="0" t="s">
        <v>2107</v>
      </c>
      <c r="I6264" s="0" t="s">
        <v>2322</v>
      </c>
      <c r="J6264" s="0" t="s">
        <v>2367</v>
      </c>
      <c r="K6264" s="272" t="n">
        <v>3455240.1</v>
      </c>
    </row>
    <row r="6265" customFormat="false" ht="15" hidden="false" customHeight="false" outlineLevel="0" collapsed="false">
      <c r="A6265" s="0" t="s">
        <v>2041</v>
      </c>
      <c r="B6265" s="0" t="s">
        <v>2042</v>
      </c>
      <c r="C6265" s="0" t="s">
        <v>2156</v>
      </c>
      <c r="D6265" s="0" t="s">
        <v>2105</v>
      </c>
      <c r="E6265" s="0" t="s">
        <v>2045</v>
      </c>
      <c r="F6265" s="0" t="s">
        <v>2046</v>
      </c>
      <c r="G6265" s="0" t="s">
        <v>2125</v>
      </c>
      <c r="H6265" s="0" t="s">
        <v>2126</v>
      </c>
      <c r="I6265" s="0" t="s">
        <v>2124</v>
      </c>
      <c r="J6265" s="0" t="s">
        <v>2367</v>
      </c>
      <c r="K6265" s="272" t="n">
        <v>25000000</v>
      </c>
    </row>
    <row r="6266" customFormat="false" ht="15" hidden="false" customHeight="false" outlineLevel="0" collapsed="false">
      <c r="A6266" s="0" t="s">
        <v>2041</v>
      </c>
      <c r="B6266" s="0" t="s">
        <v>2042</v>
      </c>
      <c r="C6266" s="0" t="s">
        <v>2161</v>
      </c>
      <c r="D6266" s="0" t="s">
        <v>2105</v>
      </c>
      <c r="E6266" s="0" t="s">
        <v>2045</v>
      </c>
      <c r="F6266" s="0" t="s">
        <v>2046</v>
      </c>
      <c r="G6266" s="0" t="s">
        <v>2125</v>
      </c>
      <c r="H6266" s="0" t="s">
        <v>2126</v>
      </c>
      <c r="I6266" s="0" t="s">
        <v>2124</v>
      </c>
      <c r="J6266" s="0" t="s">
        <v>2367</v>
      </c>
      <c r="K6266" s="272" t="n">
        <v>3825000</v>
      </c>
    </row>
    <row r="6267" customFormat="false" ht="15" hidden="false" customHeight="false" outlineLevel="0" collapsed="false">
      <c r="A6267" s="0" t="s">
        <v>2041</v>
      </c>
      <c r="B6267" s="0" t="s">
        <v>2042</v>
      </c>
      <c r="C6267" s="0" t="s">
        <v>2156</v>
      </c>
      <c r="D6267" s="0" t="s">
        <v>2105</v>
      </c>
      <c r="E6267" s="0" t="s">
        <v>2045</v>
      </c>
      <c r="F6267" s="0" t="s">
        <v>2046</v>
      </c>
      <c r="G6267" s="0" t="s">
        <v>2125</v>
      </c>
      <c r="H6267" s="0" t="s">
        <v>2126</v>
      </c>
      <c r="I6267" s="0" t="s">
        <v>2322</v>
      </c>
      <c r="J6267" s="0" t="s">
        <v>2367</v>
      </c>
      <c r="K6267" s="272" t="n">
        <v>155031655</v>
      </c>
    </row>
    <row r="6268" customFormat="false" ht="15" hidden="false" customHeight="false" outlineLevel="0" collapsed="false">
      <c r="A6268" s="0" t="s">
        <v>2041</v>
      </c>
      <c r="B6268" s="0" t="s">
        <v>2042</v>
      </c>
      <c r="C6268" s="0" t="s">
        <v>2161</v>
      </c>
      <c r="D6268" s="0" t="s">
        <v>2105</v>
      </c>
      <c r="E6268" s="0" t="s">
        <v>2045</v>
      </c>
      <c r="F6268" s="0" t="s">
        <v>2046</v>
      </c>
      <c r="G6268" s="0" t="s">
        <v>2125</v>
      </c>
      <c r="H6268" s="0" t="s">
        <v>2126</v>
      </c>
      <c r="I6268" s="0" t="s">
        <v>2322</v>
      </c>
      <c r="J6268" s="0" t="s">
        <v>2367</v>
      </c>
      <c r="K6268" s="272" t="n">
        <v>24308917.48</v>
      </c>
    </row>
    <row r="6269" customFormat="false" ht="15" hidden="false" customHeight="false" outlineLevel="0" collapsed="false">
      <c r="A6269" s="0" t="s">
        <v>2041</v>
      </c>
      <c r="B6269" s="0" t="s">
        <v>2042</v>
      </c>
      <c r="C6269" s="0" t="s">
        <v>2156</v>
      </c>
      <c r="D6269" s="0" t="s">
        <v>2105</v>
      </c>
      <c r="E6269" s="0" t="s">
        <v>2045</v>
      </c>
      <c r="F6269" s="0" t="s">
        <v>2046</v>
      </c>
      <c r="G6269" s="0" t="s">
        <v>2127</v>
      </c>
      <c r="H6269" s="0" t="s">
        <v>2128</v>
      </c>
      <c r="I6269" s="0" t="s">
        <v>2124</v>
      </c>
      <c r="J6269" s="0" t="s">
        <v>2367</v>
      </c>
      <c r="K6269" s="272" t="n">
        <v>25000000</v>
      </c>
    </row>
    <row r="6270" customFormat="false" ht="15" hidden="false" customHeight="false" outlineLevel="0" collapsed="false">
      <c r="A6270" s="0" t="s">
        <v>2041</v>
      </c>
      <c r="B6270" s="0" t="s">
        <v>2042</v>
      </c>
      <c r="C6270" s="0" t="s">
        <v>2161</v>
      </c>
      <c r="D6270" s="0" t="s">
        <v>2105</v>
      </c>
      <c r="E6270" s="0" t="s">
        <v>2045</v>
      </c>
      <c r="F6270" s="0" t="s">
        <v>2046</v>
      </c>
      <c r="G6270" s="0" t="s">
        <v>2127</v>
      </c>
      <c r="H6270" s="0" t="s">
        <v>2128</v>
      </c>
      <c r="I6270" s="0" t="s">
        <v>2124</v>
      </c>
      <c r="J6270" s="0" t="s">
        <v>2367</v>
      </c>
      <c r="K6270" s="272" t="n">
        <v>3825000</v>
      </c>
    </row>
    <row r="6271" customFormat="false" ht="15" hidden="false" customHeight="false" outlineLevel="0" collapsed="false">
      <c r="A6271" s="0" t="s">
        <v>2041</v>
      </c>
      <c r="B6271" s="0" t="s">
        <v>2042</v>
      </c>
      <c r="C6271" s="0" t="s">
        <v>2156</v>
      </c>
      <c r="D6271" s="0" t="s">
        <v>2105</v>
      </c>
      <c r="E6271" s="0" t="s">
        <v>2045</v>
      </c>
      <c r="F6271" s="0" t="s">
        <v>2046</v>
      </c>
      <c r="G6271" s="0" t="s">
        <v>2127</v>
      </c>
      <c r="H6271" s="0" t="s">
        <v>2128</v>
      </c>
      <c r="I6271" s="0" t="s">
        <v>2322</v>
      </c>
      <c r="J6271" s="0" t="s">
        <v>2367</v>
      </c>
      <c r="K6271" s="272" t="n">
        <v>197364025</v>
      </c>
    </row>
    <row r="6272" customFormat="false" ht="15" hidden="false" customHeight="false" outlineLevel="0" collapsed="false">
      <c r="A6272" s="0" t="s">
        <v>2041</v>
      </c>
      <c r="B6272" s="0" t="s">
        <v>2042</v>
      </c>
      <c r="C6272" s="0" t="s">
        <v>2161</v>
      </c>
      <c r="D6272" s="0" t="s">
        <v>2105</v>
      </c>
      <c r="E6272" s="0" t="s">
        <v>2045</v>
      </c>
      <c r="F6272" s="0" t="s">
        <v>2046</v>
      </c>
      <c r="G6272" s="0" t="s">
        <v>2127</v>
      </c>
      <c r="H6272" s="0" t="s">
        <v>2128</v>
      </c>
      <c r="I6272" s="0" t="s">
        <v>2322</v>
      </c>
      <c r="J6272" s="0" t="s">
        <v>2367</v>
      </c>
      <c r="K6272" s="272" t="n">
        <v>30902188.4</v>
      </c>
    </row>
    <row r="6273" customFormat="false" ht="15" hidden="false" customHeight="false" outlineLevel="0" collapsed="false">
      <c r="A6273" s="0" t="s">
        <v>2041</v>
      </c>
      <c r="B6273" s="0" t="s">
        <v>2042</v>
      </c>
      <c r="C6273" s="0" t="s">
        <v>2156</v>
      </c>
      <c r="D6273" s="0" t="s">
        <v>2105</v>
      </c>
      <c r="E6273" s="0" t="s">
        <v>2045</v>
      </c>
      <c r="F6273" s="0" t="s">
        <v>2046</v>
      </c>
      <c r="G6273" s="0" t="s">
        <v>2127</v>
      </c>
      <c r="H6273" s="0" t="s">
        <v>2132</v>
      </c>
      <c r="I6273" s="0" t="s">
        <v>2322</v>
      </c>
      <c r="J6273" s="0" t="s">
        <v>2367</v>
      </c>
      <c r="K6273" s="272" t="n">
        <v>500000</v>
      </c>
    </row>
    <row r="6274" customFormat="false" ht="15" hidden="false" customHeight="false" outlineLevel="0" collapsed="false">
      <c r="A6274" s="0" t="s">
        <v>2041</v>
      </c>
      <c r="B6274" s="0" t="s">
        <v>2042</v>
      </c>
      <c r="C6274" s="0" t="s">
        <v>2161</v>
      </c>
      <c r="D6274" s="0" t="s">
        <v>2105</v>
      </c>
      <c r="E6274" s="0" t="s">
        <v>2045</v>
      </c>
      <c r="F6274" s="0" t="s">
        <v>2046</v>
      </c>
      <c r="G6274" s="0" t="s">
        <v>2127</v>
      </c>
      <c r="H6274" s="0" t="s">
        <v>2132</v>
      </c>
      <c r="I6274" s="0" t="s">
        <v>2322</v>
      </c>
      <c r="J6274" s="0" t="s">
        <v>2367</v>
      </c>
      <c r="K6274" s="272" t="n">
        <v>151000</v>
      </c>
    </row>
    <row r="6275" customFormat="false" ht="15" hidden="false" customHeight="false" outlineLevel="0" collapsed="false">
      <c r="A6275" s="0" t="s">
        <v>2041</v>
      </c>
      <c r="B6275" s="0" t="s">
        <v>2042</v>
      </c>
      <c r="C6275" s="0" t="s">
        <v>2156</v>
      </c>
      <c r="D6275" s="0" t="s">
        <v>2105</v>
      </c>
      <c r="E6275" s="0" t="s">
        <v>2045</v>
      </c>
      <c r="F6275" s="0" t="s">
        <v>2046</v>
      </c>
      <c r="G6275" s="0" t="s">
        <v>2129</v>
      </c>
      <c r="H6275" s="0" t="s">
        <v>2130</v>
      </c>
      <c r="I6275" s="0" t="s">
        <v>2124</v>
      </c>
      <c r="J6275" s="0" t="s">
        <v>2367</v>
      </c>
      <c r="K6275" s="272" t="n">
        <v>12700000</v>
      </c>
    </row>
    <row r="6276" customFormat="false" ht="15" hidden="false" customHeight="false" outlineLevel="0" collapsed="false">
      <c r="A6276" s="0" t="s">
        <v>2041</v>
      </c>
      <c r="B6276" s="0" t="s">
        <v>2042</v>
      </c>
      <c r="C6276" s="0" t="s">
        <v>2161</v>
      </c>
      <c r="D6276" s="0" t="s">
        <v>2105</v>
      </c>
      <c r="E6276" s="0" t="s">
        <v>2045</v>
      </c>
      <c r="F6276" s="0" t="s">
        <v>2046</v>
      </c>
      <c r="G6276" s="0" t="s">
        <v>2129</v>
      </c>
      <c r="H6276" s="0" t="s">
        <v>2130</v>
      </c>
      <c r="I6276" s="0" t="s">
        <v>2124</v>
      </c>
      <c r="J6276" s="0" t="s">
        <v>2367</v>
      </c>
      <c r="K6276" s="272" t="n">
        <v>2317313.89</v>
      </c>
    </row>
    <row r="6277" customFormat="false" ht="15" hidden="false" customHeight="false" outlineLevel="0" collapsed="false">
      <c r="A6277" s="0" t="s">
        <v>2041</v>
      </c>
      <c r="B6277" s="0" t="s">
        <v>2042</v>
      </c>
      <c r="C6277" s="0" t="s">
        <v>2156</v>
      </c>
      <c r="D6277" s="0" t="s">
        <v>2105</v>
      </c>
      <c r="E6277" s="0" t="s">
        <v>2045</v>
      </c>
      <c r="F6277" s="0" t="s">
        <v>2046</v>
      </c>
      <c r="G6277" s="0" t="s">
        <v>2129</v>
      </c>
      <c r="H6277" s="0" t="s">
        <v>2130</v>
      </c>
      <c r="I6277" s="0" t="s">
        <v>2322</v>
      </c>
      <c r="J6277" s="0" t="s">
        <v>2367</v>
      </c>
      <c r="K6277" s="272" t="n">
        <v>99143725</v>
      </c>
    </row>
    <row r="6278" customFormat="false" ht="15" hidden="false" customHeight="false" outlineLevel="0" collapsed="false">
      <c r="A6278" s="0" t="s">
        <v>2041</v>
      </c>
      <c r="B6278" s="0" t="s">
        <v>2042</v>
      </c>
      <c r="C6278" s="0" t="s">
        <v>2161</v>
      </c>
      <c r="D6278" s="0" t="s">
        <v>2105</v>
      </c>
      <c r="E6278" s="0" t="s">
        <v>2045</v>
      </c>
      <c r="F6278" s="0" t="s">
        <v>2046</v>
      </c>
      <c r="G6278" s="0" t="s">
        <v>2129</v>
      </c>
      <c r="H6278" s="0" t="s">
        <v>2130</v>
      </c>
      <c r="I6278" s="0" t="s">
        <v>2322</v>
      </c>
      <c r="J6278" s="0" t="s">
        <v>2367</v>
      </c>
      <c r="K6278" s="272" t="n">
        <v>15660477.97</v>
      </c>
    </row>
    <row r="6279" customFormat="false" ht="15" hidden="false" customHeight="false" outlineLevel="0" collapsed="false">
      <c r="A6279" s="0" t="s">
        <v>2041</v>
      </c>
      <c r="B6279" s="0" t="s">
        <v>2042</v>
      </c>
      <c r="C6279" s="0" t="s">
        <v>2156</v>
      </c>
      <c r="D6279" s="0" t="s">
        <v>2105</v>
      </c>
      <c r="E6279" s="0" t="s">
        <v>2045</v>
      </c>
      <c r="F6279" s="0" t="s">
        <v>2046</v>
      </c>
      <c r="G6279" s="0" t="s">
        <v>2131</v>
      </c>
      <c r="H6279" s="0" t="s">
        <v>2132</v>
      </c>
      <c r="I6279" s="0" t="s">
        <v>2124</v>
      </c>
      <c r="J6279" s="0" t="s">
        <v>2367</v>
      </c>
      <c r="K6279" s="272" t="n">
        <v>7500000</v>
      </c>
    </row>
    <row r="6280" customFormat="false" ht="15" hidden="false" customHeight="false" outlineLevel="0" collapsed="false">
      <c r="A6280" s="0" t="s">
        <v>2041</v>
      </c>
      <c r="B6280" s="0" t="s">
        <v>2042</v>
      </c>
      <c r="C6280" s="0" t="s">
        <v>2161</v>
      </c>
      <c r="D6280" s="0" t="s">
        <v>2105</v>
      </c>
      <c r="E6280" s="0" t="s">
        <v>2045</v>
      </c>
      <c r="F6280" s="0" t="s">
        <v>2046</v>
      </c>
      <c r="G6280" s="0" t="s">
        <v>2131</v>
      </c>
      <c r="H6280" s="0" t="s">
        <v>2132</v>
      </c>
      <c r="I6280" s="0" t="s">
        <v>2124</v>
      </c>
      <c r="J6280" s="0" t="s">
        <v>2367</v>
      </c>
      <c r="K6280" s="272" t="n">
        <v>1306911.98</v>
      </c>
    </row>
    <row r="6281" customFormat="false" ht="15" hidden="false" customHeight="false" outlineLevel="0" collapsed="false">
      <c r="A6281" s="0" t="s">
        <v>2041</v>
      </c>
      <c r="B6281" s="0" t="s">
        <v>2042</v>
      </c>
      <c r="C6281" s="0" t="s">
        <v>2156</v>
      </c>
      <c r="D6281" s="0" t="s">
        <v>2105</v>
      </c>
      <c r="E6281" s="0" t="s">
        <v>2045</v>
      </c>
      <c r="F6281" s="0" t="s">
        <v>2046</v>
      </c>
      <c r="G6281" s="0" t="s">
        <v>2131</v>
      </c>
      <c r="H6281" s="0" t="s">
        <v>2132</v>
      </c>
      <c r="I6281" s="0" t="s">
        <v>2322</v>
      </c>
      <c r="J6281" s="0" t="s">
        <v>2367</v>
      </c>
      <c r="K6281" s="272" t="n">
        <v>88243817</v>
      </c>
    </row>
    <row r="6282" customFormat="false" ht="15" hidden="false" customHeight="false" outlineLevel="0" collapsed="false">
      <c r="A6282" s="0" t="s">
        <v>2041</v>
      </c>
      <c r="B6282" s="0" t="s">
        <v>2042</v>
      </c>
      <c r="C6282" s="0" t="s">
        <v>2161</v>
      </c>
      <c r="D6282" s="0" t="s">
        <v>2105</v>
      </c>
      <c r="E6282" s="0" t="s">
        <v>2045</v>
      </c>
      <c r="F6282" s="0" t="s">
        <v>2046</v>
      </c>
      <c r="G6282" s="0" t="s">
        <v>2131</v>
      </c>
      <c r="H6282" s="0" t="s">
        <v>2132</v>
      </c>
      <c r="I6282" s="0" t="s">
        <v>2322</v>
      </c>
      <c r="J6282" s="0" t="s">
        <v>2367</v>
      </c>
      <c r="K6282" s="272" t="n">
        <v>14140150.76</v>
      </c>
    </row>
    <row r="6283" customFormat="false" ht="15" hidden="false" customHeight="false" outlineLevel="0" collapsed="false">
      <c r="A6283" s="0" t="s">
        <v>2041</v>
      </c>
      <c r="B6283" s="0" t="s">
        <v>2042</v>
      </c>
      <c r="C6283" s="0" t="s">
        <v>2156</v>
      </c>
      <c r="D6283" s="0" t="s">
        <v>2105</v>
      </c>
      <c r="E6283" s="0" t="s">
        <v>2045</v>
      </c>
      <c r="F6283" s="0" t="s">
        <v>2046</v>
      </c>
      <c r="G6283" s="0" t="s">
        <v>2131</v>
      </c>
      <c r="H6283" s="0" t="s">
        <v>2126</v>
      </c>
      <c r="I6283" s="0" t="s">
        <v>2322</v>
      </c>
      <c r="J6283" s="0" t="s">
        <v>2367</v>
      </c>
      <c r="K6283" s="272" t="n">
        <v>900000</v>
      </c>
    </row>
    <row r="6284" customFormat="false" ht="15" hidden="false" customHeight="false" outlineLevel="0" collapsed="false">
      <c r="A6284" s="0" t="s">
        <v>2041</v>
      </c>
      <c r="B6284" s="0" t="s">
        <v>2042</v>
      </c>
      <c r="C6284" s="0" t="s">
        <v>2161</v>
      </c>
      <c r="D6284" s="0" t="s">
        <v>2105</v>
      </c>
      <c r="E6284" s="0" t="s">
        <v>2045</v>
      </c>
      <c r="F6284" s="0" t="s">
        <v>2046</v>
      </c>
      <c r="G6284" s="0" t="s">
        <v>2131</v>
      </c>
      <c r="H6284" s="0" t="s">
        <v>2126</v>
      </c>
      <c r="I6284" s="0" t="s">
        <v>2322</v>
      </c>
      <c r="J6284" s="0" t="s">
        <v>2367</v>
      </c>
      <c r="K6284" s="272" t="n">
        <v>271800</v>
      </c>
    </row>
    <row r="6285" customFormat="false" ht="15" hidden="false" customHeight="false" outlineLevel="0" collapsed="false">
      <c r="A6285" s="0" t="s">
        <v>2041</v>
      </c>
      <c r="B6285" s="0" t="s">
        <v>2042</v>
      </c>
      <c r="C6285" s="0" t="s">
        <v>2156</v>
      </c>
      <c r="D6285" s="0" t="s">
        <v>2105</v>
      </c>
      <c r="E6285" s="0" t="s">
        <v>2045</v>
      </c>
      <c r="F6285" s="0" t="s">
        <v>2046</v>
      </c>
      <c r="G6285" s="0" t="s">
        <v>2133</v>
      </c>
      <c r="H6285" s="0" t="s">
        <v>2134</v>
      </c>
      <c r="I6285" s="0" t="s">
        <v>2322</v>
      </c>
      <c r="J6285" s="0" t="s">
        <v>2367</v>
      </c>
      <c r="K6285" s="272" t="n">
        <v>184548957</v>
      </c>
    </row>
    <row r="6286" customFormat="false" ht="15" hidden="false" customHeight="false" outlineLevel="0" collapsed="false">
      <c r="A6286" s="0" t="s">
        <v>2041</v>
      </c>
      <c r="B6286" s="0" t="s">
        <v>2042</v>
      </c>
      <c r="C6286" s="0" t="s">
        <v>2161</v>
      </c>
      <c r="D6286" s="0" t="s">
        <v>2105</v>
      </c>
      <c r="E6286" s="0" t="s">
        <v>2045</v>
      </c>
      <c r="F6286" s="0" t="s">
        <v>2046</v>
      </c>
      <c r="G6286" s="0" t="s">
        <v>2133</v>
      </c>
      <c r="H6286" s="0" t="s">
        <v>2134</v>
      </c>
      <c r="I6286" s="0" t="s">
        <v>2322</v>
      </c>
      <c r="J6286" s="0" t="s">
        <v>2367</v>
      </c>
      <c r="K6286" s="272" t="n">
        <v>28657695.14</v>
      </c>
    </row>
    <row r="6287" customFormat="false" ht="15" hidden="false" customHeight="false" outlineLevel="0" collapsed="false">
      <c r="A6287" s="0" t="s">
        <v>2041</v>
      </c>
      <c r="B6287" s="0" t="s">
        <v>2042</v>
      </c>
      <c r="C6287" s="0" t="s">
        <v>2156</v>
      </c>
      <c r="D6287" s="0" t="s">
        <v>2105</v>
      </c>
      <c r="E6287" s="0" t="s">
        <v>2045</v>
      </c>
      <c r="F6287" s="0" t="s">
        <v>2046</v>
      </c>
      <c r="G6287" s="0" t="s">
        <v>2135</v>
      </c>
      <c r="H6287" s="0" t="s">
        <v>2136</v>
      </c>
      <c r="I6287" s="0" t="s">
        <v>2124</v>
      </c>
      <c r="J6287" s="0" t="s">
        <v>2367</v>
      </c>
      <c r="K6287" s="272" t="n">
        <v>4000000</v>
      </c>
    </row>
    <row r="6288" customFormat="false" ht="15" hidden="false" customHeight="false" outlineLevel="0" collapsed="false">
      <c r="A6288" s="0" t="s">
        <v>2041</v>
      </c>
      <c r="B6288" s="0" t="s">
        <v>2042</v>
      </c>
      <c r="C6288" s="0" t="s">
        <v>2161</v>
      </c>
      <c r="D6288" s="0" t="s">
        <v>2105</v>
      </c>
      <c r="E6288" s="0" t="s">
        <v>2045</v>
      </c>
      <c r="F6288" s="0" t="s">
        <v>2046</v>
      </c>
      <c r="G6288" s="0" t="s">
        <v>2135</v>
      </c>
      <c r="H6288" s="0" t="s">
        <v>2136</v>
      </c>
      <c r="I6288" s="0" t="s">
        <v>2124</v>
      </c>
      <c r="J6288" s="0" t="s">
        <v>2367</v>
      </c>
      <c r="K6288" s="272" t="n">
        <v>814491</v>
      </c>
    </row>
    <row r="6289" customFormat="false" ht="15" hidden="false" customHeight="false" outlineLevel="0" collapsed="false">
      <c r="A6289" s="0" t="s">
        <v>2041</v>
      </c>
      <c r="B6289" s="0" t="s">
        <v>2042</v>
      </c>
      <c r="C6289" s="0" t="s">
        <v>2156</v>
      </c>
      <c r="D6289" s="0" t="s">
        <v>2105</v>
      </c>
      <c r="E6289" s="0" t="s">
        <v>2045</v>
      </c>
      <c r="F6289" s="0" t="s">
        <v>2046</v>
      </c>
      <c r="G6289" s="0" t="s">
        <v>2135</v>
      </c>
      <c r="H6289" s="0" t="s">
        <v>2136</v>
      </c>
      <c r="I6289" s="0" t="s">
        <v>2322</v>
      </c>
      <c r="J6289" s="0" t="s">
        <v>2367</v>
      </c>
      <c r="K6289" s="272" t="n">
        <v>72949385</v>
      </c>
    </row>
    <row r="6290" customFormat="false" ht="15" hidden="false" customHeight="false" outlineLevel="0" collapsed="false">
      <c r="A6290" s="0" t="s">
        <v>2041</v>
      </c>
      <c r="B6290" s="0" t="s">
        <v>2042</v>
      </c>
      <c r="C6290" s="0" t="s">
        <v>2161</v>
      </c>
      <c r="D6290" s="0" t="s">
        <v>2105</v>
      </c>
      <c r="E6290" s="0" t="s">
        <v>2045</v>
      </c>
      <c r="F6290" s="0" t="s">
        <v>2046</v>
      </c>
      <c r="G6290" s="0" t="s">
        <v>2135</v>
      </c>
      <c r="H6290" s="0" t="s">
        <v>2136</v>
      </c>
      <c r="I6290" s="0" t="s">
        <v>2322</v>
      </c>
      <c r="J6290" s="0" t="s">
        <v>2367</v>
      </c>
      <c r="K6290" s="272" t="n">
        <v>11763861.58</v>
      </c>
    </row>
    <row r="6291" customFormat="false" ht="15" hidden="false" customHeight="false" outlineLevel="0" collapsed="false">
      <c r="A6291" s="0" t="s">
        <v>2041</v>
      </c>
      <c r="B6291" s="0" t="s">
        <v>2042</v>
      </c>
      <c r="C6291" s="0" t="s">
        <v>2156</v>
      </c>
      <c r="D6291" s="0" t="s">
        <v>2105</v>
      </c>
      <c r="E6291" s="0" t="s">
        <v>2045</v>
      </c>
      <c r="F6291" s="0" t="s">
        <v>2046</v>
      </c>
      <c r="G6291" s="0" t="s">
        <v>2137</v>
      </c>
      <c r="H6291" s="0" t="s">
        <v>2138</v>
      </c>
      <c r="I6291" s="0" t="s">
        <v>2322</v>
      </c>
      <c r="J6291" s="0" t="s">
        <v>2367</v>
      </c>
      <c r="K6291" s="272" t="n">
        <v>158690922</v>
      </c>
    </row>
    <row r="6292" customFormat="false" ht="15" hidden="false" customHeight="false" outlineLevel="0" collapsed="false">
      <c r="A6292" s="0" t="s">
        <v>2041</v>
      </c>
      <c r="B6292" s="0" t="s">
        <v>2042</v>
      </c>
      <c r="C6292" s="0" t="s">
        <v>2161</v>
      </c>
      <c r="D6292" s="0" t="s">
        <v>2105</v>
      </c>
      <c r="E6292" s="0" t="s">
        <v>2045</v>
      </c>
      <c r="F6292" s="0" t="s">
        <v>2046</v>
      </c>
      <c r="G6292" s="0" t="s">
        <v>2137</v>
      </c>
      <c r="H6292" s="0" t="s">
        <v>2138</v>
      </c>
      <c r="I6292" s="0" t="s">
        <v>2322</v>
      </c>
      <c r="J6292" s="0" t="s">
        <v>2367</v>
      </c>
      <c r="K6292" s="272" t="n">
        <v>25789608.48</v>
      </c>
    </row>
    <row r="6293" customFormat="false" ht="15" hidden="false" customHeight="false" outlineLevel="0" collapsed="false">
      <c r="A6293" s="0" t="s">
        <v>2041</v>
      </c>
      <c r="B6293" s="0" t="s">
        <v>2042</v>
      </c>
      <c r="C6293" s="0" t="s">
        <v>2156</v>
      </c>
      <c r="D6293" s="0" t="s">
        <v>2105</v>
      </c>
      <c r="E6293" s="0" t="s">
        <v>2045</v>
      </c>
      <c r="F6293" s="0" t="s">
        <v>2046</v>
      </c>
      <c r="G6293" s="0" t="s">
        <v>2139</v>
      </c>
      <c r="H6293" s="0" t="s">
        <v>2136</v>
      </c>
      <c r="I6293" s="0" t="s">
        <v>2322</v>
      </c>
      <c r="J6293" s="0" t="s">
        <v>2367</v>
      </c>
      <c r="K6293" s="272" t="n">
        <v>500000</v>
      </c>
    </row>
    <row r="6294" customFormat="false" ht="15" hidden="false" customHeight="false" outlineLevel="0" collapsed="false">
      <c r="A6294" s="0" t="s">
        <v>2041</v>
      </c>
      <c r="B6294" s="0" t="s">
        <v>2042</v>
      </c>
      <c r="C6294" s="0" t="s">
        <v>2161</v>
      </c>
      <c r="D6294" s="0" t="s">
        <v>2105</v>
      </c>
      <c r="E6294" s="0" t="s">
        <v>2045</v>
      </c>
      <c r="F6294" s="0" t="s">
        <v>2046</v>
      </c>
      <c r="G6294" s="0" t="s">
        <v>2139</v>
      </c>
      <c r="H6294" s="0" t="s">
        <v>2136</v>
      </c>
      <c r="I6294" s="0" t="s">
        <v>2322</v>
      </c>
      <c r="J6294" s="0" t="s">
        <v>2367</v>
      </c>
      <c r="K6294" s="272" t="n">
        <v>151000</v>
      </c>
    </row>
    <row r="6295" customFormat="false" ht="15" hidden="false" customHeight="false" outlineLevel="0" collapsed="false">
      <c r="A6295" s="0" t="s">
        <v>2041</v>
      </c>
      <c r="B6295" s="0" t="s">
        <v>2042</v>
      </c>
      <c r="C6295" s="0" t="s">
        <v>2156</v>
      </c>
      <c r="D6295" s="0" t="s">
        <v>2105</v>
      </c>
      <c r="E6295" s="0" t="s">
        <v>2045</v>
      </c>
      <c r="F6295" s="0" t="s">
        <v>2046</v>
      </c>
      <c r="G6295" s="0" t="s">
        <v>2139</v>
      </c>
      <c r="H6295" s="0" t="s">
        <v>2140</v>
      </c>
      <c r="I6295" s="0" t="s">
        <v>2322</v>
      </c>
      <c r="J6295" s="0" t="s">
        <v>2367</v>
      </c>
      <c r="K6295" s="272" t="n">
        <v>61783401</v>
      </c>
    </row>
    <row r="6296" customFormat="false" ht="15" hidden="false" customHeight="false" outlineLevel="0" collapsed="false">
      <c r="A6296" s="0" t="s">
        <v>2041</v>
      </c>
      <c r="B6296" s="0" t="s">
        <v>2042</v>
      </c>
      <c r="C6296" s="0" t="s">
        <v>2161</v>
      </c>
      <c r="D6296" s="0" t="s">
        <v>2105</v>
      </c>
      <c r="E6296" s="0" t="s">
        <v>2045</v>
      </c>
      <c r="F6296" s="0" t="s">
        <v>2046</v>
      </c>
      <c r="G6296" s="0" t="s">
        <v>2139</v>
      </c>
      <c r="H6296" s="0" t="s">
        <v>2140</v>
      </c>
      <c r="I6296" s="0" t="s">
        <v>2322</v>
      </c>
      <c r="J6296" s="0" t="s">
        <v>2367</v>
      </c>
      <c r="K6296" s="272" t="n">
        <v>10842353.12</v>
      </c>
    </row>
    <row r="6297" customFormat="false" ht="15" hidden="false" customHeight="false" outlineLevel="0" collapsed="false">
      <c r="A6297" s="0" t="s">
        <v>2041</v>
      </c>
      <c r="B6297" s="0" t="s">
        <v>2042</v>
      </c>
      <c r="C6297" s="0" t="s">
        <v>2156</v>
      </c>
      <c r="D6297" s="0" t="s">
        <v>2105</v>
      </c>
      <c r="E6297" s="0" t="s">
        <v>2045</v>
      </c>
      <c r="F6297" s="0" t="s">
        <v>2046</v>
      </c>
      <c r="G6297" s="0" t="s">
        <v>2141</v>
      </c>
      <c r="H6297" s="0" t="s">
        <v>2144</v>
      </c>
      <c r="I6297" s="0" t="s">
        <v>2322</v>
      </c>
      <c r="J6297" s="0" t="s">
        <v>2367</v>
      </c>
      <c r="K6297" s="272" t="n">
        <v>11081187.5</v>
      </c>
    </row>
    <row r="6298" customFormat="false" ht="15" hidden="false" customHeight="false" outlineLevel="0" collapsed="false">
      <c r="A6298" s="0" t="s">
        <v>2041</v>
      </c>
      <c r="B6298" s="0" t="s">
        <v>2042</v>
      </c>
      <c r="C6298" s="0" t="s">
        <v>2161</v>
      </c>
      <c r="D6298" s="0" t="s">
        <v>2105</v>
      </c>
      <c r="E6298" s="0" t="s">
        <v>2045</v>
      </c>
      <c r="F6298" s="0" t="s">
        <v>2046</v>
      </c>
      <c r="G6298" s="0" t="s">
        <v>2141</v>
      </c>
      <c r="H6298" s="0" t="s">
        <v>2144</v>
      </c>
      <c r="I6298" s="0" t="s">
        <v>2322</v>
      </c>
      <c r="J6298" s="0" t="s">
        <v>2367</v>
      </c>
      <c r="K6298" s="272" t="n">
        <v>1695421.69</v>
      </c>
    </row>
    <row r="6299" customFormat="false" ht="15" hidden="false" customHeight="false" outlineLevel="0" collapsed="false">
      <c r="A6299" s="0" t="s">
        <v>2041</v>
      </c>
      <c r="B6299" s="0" t="s">
        <v>2042</v>
      </c>
      <c r="C6299" s="0" t="s">
        <v>2156</v>
      </c>
      <c r="D6299" s="0" t="s">
        <v>2105</v>
      </c>
      <c r="E6299" s="0" t="s">
        <v>2045</v>
      </c>
      <c r="F6299" s="0" t="s">
        <v>2046</v>
      </c>
      <c r="G6299" s="0" t="s">
        <v>2141</v>
      </c>
      <c r="H6299" s="0" t="s">
        <v>2142</v>
      </c>
      <c r="I6299" s="0" t="s">
        <v>2322</v>
      </c>
      <c r="J6299" s="0" t="s">
        <v>2367</v>
      </c>
      <c r="K6299" s="272" t="n">
        <v>42306187.5</v>
      </c>
    </row>
    <row r="6300" customFormat="false" ht="15" hidden="false" customHeight="false" outlineLevel="0" collapsed="false">
      <c r="A6300" s="0" t="s">
        <v>2041</v>
      </c>
      <c r="B6300" s="0" t="s">
        <v>2042</v>
      </c>
      <c r="C6300" s="0" t="s">
        <v>2161</v>
      </c>
      <c r="D6300" s="0" t="s">
        <v>2105</v>
      </c>
      <c r="E6300" s="0" t="s">
        <v>2045</v>
      </c>
      <c r="F6300" s="0" t="s">
        <v>2046</v>
      </c>
      <c r="G6300" s="0" t="s">
        <v>2141</v>
      </c>
      <c r="H6300" s="0" t="s">
        <v>2142</v>
      </c>
      <c r="I6300" s="0" t="s">
        <v>2322</v>
      </c>
      <c r="J6300" s="0" t="s">
        <v>2367</v>
      </c>
      <c r="K6300" s="272" t="n">
        <v>7468163.03</v>
      </c>
    </row>
    <row r="6301" customFormat="false" ht="15" hidden="false" customHeight="false" outlineLevel="0" collapsed="false">
      <c r="A6301" s="0" t="s">
        <v>2041</v>
      </c>
      <c r="B6301" s="0" t="s">
        <v>2042</v>
      </c>
      <c r="C6301" s="0" t="s">
        <v>2156</v>
      </c>
      <c r="D6301" s="0" t="s">
        <v>2105</v>
      </c>
      <c r="E6301" s="0" t="s">
        <v>2045</v>
      </c>
      <c r="F6301" s="0" t="s">
        <v>2046</v>
      </c>
      <c r="G6301" s="0" t="s">
        <v>2143</v>
      </c>
      <c r="H6301" s="0" t="s">
        <v>2144</v>
      </c>
      <c r="I6301" s="0" t="s">
        <v>2322</v>
      </c>
      <c r="J6301" s="0" t="s">
        <v>2367</v>
      </c>
      <c r="K6301" s="272" t="n">
        <v>51700000</v>
      </c>
    </row>
    <row r="6302" customFormat="false" ht="15" hidden="false" customHeight="false" outlineLevel="0" collapsed="false">
      <c r="A6302" s="0" t="s">
        <v>2041</v>
      </c>
      <c r="B6302" s="0" t="s">
        <v>2042</v>
      </c>
      <c r="C6302" s="0" t="s">
        <v>2161</v>
      </c>
      <c r="D6302" s="0" t="s">
        <v>2105</v>
      </c>
      <c r="E6302" s="0" t="s">
        <v>2045</v>
      </c>
      <c r="F6302" s="0" t="s">
        <v>2046</v>
      </c>
      <c r="G6302" s="0" t="s">
        <v>2143</v>
      </c>
      <c r="H6302" s="0" t="s">
        <v>2144</v>
      </c>
      <c r="I6302" s="0" t="s">
        <v>2322</v>
      </c>
      <c r="J6302" s="0" t="s">
        <v>2367</v>
      </c>
      <c r="K6302" s="272" t="n">
        <v>8970490.5</v>
      </c>
    </row>
    <row r="6303" customFormat="false" ht="15" hidden="false" customHeight="false" outlineLevel="0" collapsed="false">
      <c r="A6303" s="0" t="s">
        <v>2041</v>
      </c>
      <c r="B6303" s="0" t="s">
        <v>2042</v>
      </c>
      <c r="C6303" s="0" t="s">
        <v>2156</v>
      </c>
      <c r="D6303" s="0" t="s">
        <v>2105</v>
      </c>
      <c r="E6303" s="0" t="s">
        <v>2045</v>
      </c>
      <c r="F6303" s="0" t="s">
        <v>2046</v>
      </c>
      <c r="G6303" s="0" t="s">
        <v>2143</v>
      </c>
      <c r="H6303" s="0" t="s">
        <v>2142</v>
      </c>
      <c r="I6303" s="0" t="s">
        <v>2322</v>
      </c>
      <c r="J6303" s="0" t="s">
        <v>2367</v>
      </c>
      <c r="K6303" s="272" t="n">
        <v>15000000</v>
      </c>
    </row>
    <row r="6304" customFormat="false" ht="15" hidden="false" customHeight="false" outlineLevel="0" collapsed="false">
      <c r="A6304" s="0" t="s">
        <v>2041</v>
      </c>
      <c r="B6304" s="0" t="s">
        <v>2042</v>
      </c>
      <c r="C6304" s="0" t="s">
        <v>2161</v>
      </c>
      <c r="D6304" s="0" t="s">
        <v>2105</v>
      </c>
      <c r="E6304" s="0" t="s">
        <v>2045</v>
      </c>
      <c r="F6304" s="0" t="s">
        <v>2046</v>
      </c>
      <c r="G6304" s="0" t="s">
        <v>2143</v>
      </c>
      <c r="H6304" s="0" t="s">
        <v>2142</v>
      </c>
      <c r="I6304" s="0" t="s">
        <v>2322</v>
      </c>
      <c r="J6304" s="0" t="s">
        <v>2367</v>
      </c>
      <c r="K6304" s="272" t="n">
        <v>2295000</v>
      </c>
    </row>
    <row r="6305" customFormat="false" ht="15" hidden="false" customHeight="false" outlineLevel="0" collapsed="false">
      <c r="A6305" s="0" t="s">
        <v>2041</v>
      </c>
      <c r="B6305" s="0" t="s">
        <v>2042</v>
      </c>
      <c r="C6305" s="0" t="s">
        <v>2156</v>
      </c>
      <c r="D6305" s="0" t="s">
        <v>2105</v>
      </c>
      <c r="E6305" s="0" t="s">
        <v>2045</v>
      </c>
      <c r="F6305" s="0" t="s">
        <v>2046</v>
      </c>
      <c r="G6305" s="0" t="s">
        <v>2145</v>
      </c>
      <c r="H6305" s="0" t="s">
        <v>2146</v>
      </c>
      <c r="I6305" s="0" t="s">
        <v>2124</v>
      </c>
      <c r="J6305" s="0" t="s">
        <v>2367</v>
      </c>
      <c r="K6305" s="272" t="n">
        <v>2500000</v>
      </c>
    </row>
    <row r="6306" customFormat="false" ht="15" hidden="false" customHeight="false" outlineLevel="0" collapsed="false">
      <c r="A6306" s="0" t="s">
        <v>2041</v>
      </c>
      <c r="B6306" s="0" t="s">
        <v>2042</v>
      </c>
      <c r="C6306" s="0" t="s">
        <v>2161</v>
      </c>
      <c r="D6306" s="0" t="s">
        <v>2105</v>
      </c>
      <c r="E6306" s="0" t="s">
        <v>2045</v>
      </c>
      <c r="F6306" s="0" t="s">
        <v>2046</v>
      </c>
      <c r="G6306" s="0" t="s">
        <v>2145</v>
      </c>
      <c r="H6306" s="0" t="s">
        <v>2146</v>
      </c>
      <c r="I6306" s="0" t="s">
        <v>2124</v>
      </c>
      <c r="J6306" s="0" t="s">
        <v>2367</v>
      </c>
      <c r="K6306" s="272" t="n">
        <v>575780.8</v>
      </c>
    </row>
    <row r="6307" customFormat="false" ht="15" hidden="false" customHeight="false" outlineLevel="0" collapsed="false">
      <c r="A6307" s="0" t="s">
        <v>2041</v>
      </c>
      <c r="B6307" s="0" t="s">
        <v>2042</v>
      </c>
      <c r="C6307" s="0" t="s">
        <v>2156</v>
      </c>
      <c r="D6307" s="0" t="s">
        <v>2105</v>
      </c>
      <c r="E6307" s="0" t="s">
        <v>2045</v>
      </c>
      <c r="F6307" s="0" t="s">
        <v>2046</v>
      </c>
      <c r="G6307" s="0" t="s">
        <v>2145</v>
      </c>
      <c r="H6307" s="0" t="s">
        <v>2146</v>
      </c>
      <c r="I6307" s="0" t="s">
        <v>2322</v>
      </c>
      <c r="J6307" s="0" t="s">
        <v>2367</v>
      </c>
      <c r="K6307" s="272" t="n">
        <v>61000000</v>
      </c>
    </row>
    <row r="6308" customFormat="false" ht="15" hidden="false" customHeight="false" outlineLevel="0" collapsed="false">
      <c r="A6308" s="0" t="s">
        <v>2041</v>
      </c>
      <c r="B6308" s="0" t="s">
        <v>2042</v>
      </c>
      <c r="C6308" s="0" t="s">
        <v>2161</v>
      </c>
      <c r="D6308" s="0" t="s">
        <v>2105</v>
      </c>
      <c r="E6308" s="0" t="s">
        <v>2045</v>
      </c>
      <c r="F6308" s="0" t="s">
        <v>2046</v>
      </c>
      <c r="G6308" s="0" t="s">
        <v>2145</v>
      </c>
      <c r="H6308" s="0" t="s">
        <v>2146</v>
      </c>
      <c r="I6308" s="0" t="s">
        <v>2322</v>
      </c>
      <c r="J6308" s="0" t="s">
        <v>2367</v>
      </c>
      <c r="K6308" s="272" t="n">
        <v>9720239.61</v>
      </c>
    </row>
    <row r="6309" customFormat="false" ht="15" hidden="false" customHeight="false" outlineLevel="0" collapsed="false">
      <c r="A6309" s="0" t="s">
        <v>2041</v>
      </c>
      <c r="B6309" s="0" t="s">
        <v>2042</v>
      </c>
      <c r="C6309" s="0" t="s">
        <v>2156</v>
      </c>
      <c r="D6309" s="0" t="s">
        <v>2105</v>
      </c>
      <c r="E6309" s="0" t="s">
        <v>2045</v>
      </c>
      <c r="F6309" s="0" t="s">
        <v>2046</v>
      </c>
      <c r="G6309" s="0" t="s">
        <v>2147</v>
      </c>
      <c r="H6309" s="0" t="s">
        <v>2126</v>
      </c>
      <c r="I6309" s="0" t="s">
        <v>2124</v>
      </c>
      <c r="J6309" s="0" t="s">
        <v>2367</v>
      </c>
      <c r="K6309" s="272" t="n">
        <v>2199999.4</v>
      </c>
    </row>
    <row r="6310" customFormat="false" ht="15" hidden="false" customHeight="false" outlineLevel="0" collapsed="false">
      <c r="A6310" s="0" t="s">
        <v>2041</v>
      </c>
      <c r="B6310" s="0" t="s">
        <v>2042</v>
      </c>
      <c r="C6310" s="0" t="s">
        <v>2161</v>
      </c>
      <c r="D6310" s="0" t="s">
        <v>2105</v>
      </c>
      <c r="E6310" s="0" t="s">
        <v>2045</v>
      </c>
      <c r="F6310" s="0" t="s">
        <v>2046</v>
      </c>
      <c r="G6310" s="0" t="s">
        <v>2147</v>
      </c>
      <c r="H6310" s="0" t="s">
        <v>2126</v>
      </c>
      <c r="I6310" s="0" t="s">
        <v>2124</v>
      </c>
      <c r="J6310" s="0" t="s">
        <v>2367</v>
      </c>
      <c r="K6310" s="272" t="n">
        <v>664399.82</v>
      </c>
    </row>
    <row r="6311" customFormat="false" ht="15" hidden="false" customHeight="false" outlineLevel="0" collapsed="false">
      <c r="A6311" s="0" t="s">
        <v>2041</v>
      </c>
      <c r="B6311" s="0" t="s">
        <v>2042</v>
      </c>
      <c r="C6311" s="0" t="s">
        <v>2156</v>
      </c>
      <c r="D6311" s="0" t="s">
        <v>2105</v>
      </c>
      <c r="E6311" s="0" t="s">
        <v>2045</v>
      </c>
      <c r="F6311" s="0" t="s">
        <v>2046</v>
      </c>
      <c r="G6311" s="0" t="s">
        <v>2147</v>
      </c>
      <c r="H6311" s="0" t="s">
        <v>2126</v>
      </c>
      <c r="I6311" s="0" t="s">
        <v>2322</v>
      </c>
      <c r="J6311" s="0" t="s">
        <v>2367</v>
      </c>
      <c r="K6311" s="272" t="n">
        <v>24650000</v>
      </c>
    </row>
    <row r="6312" customFormat="false" ht="15" hidden="false" customHeight="false" outlineLevel="0" collapsed="false">
      <c r="A6312" s="0" t="s">
        <v>2041</v>
      </c>
      <c r="B6312" s="0" t="s">
        <v>2042</v>
      </c>
      <c r="C6312" s="0" t="s">
        <v>2161</v>
      </c>
      <c r="D6312" s="0" t="s">
        <v>2105</v>
      </c>
      <c r="E6312" s="0" t="s">
        <v>2045</v>
      </c>
      <c r="F6312" s="0" t="s">
        <v>2046</v>
      </c>
      <c r="G6312" s="0" t="s">
        <v>2147</v>
      </c>
      <c r="H6312" s="0" t="s">
        <v>2126</v>
      </c>
      <c r="I6312" s="0" t="s">
        <v>2322</v>
      </c>
      <c r="J6312" s="0" t="s">
        <v>2367</v>
      </c>
      <c r="K6312" s="272" t="n">
        <v>6772916.41</v>
      </c>
    </row>
    <row r="6313" customFormat="false" ht="15" hidden="false" customHeight="false" outlineLevel="0" collapsed="false">
      <c r="A6313" s="0" t="s">
        <v>2041</v>
      </c>
      <c r="B6313" s="0" t="s">
        <v>2042</v>
      </c>
      <c r="C6313" s="0" t="s">
        <v>2156</v>
      </c>
      <c r="D6313" s="0" t="s">
        <v>2105</v>
      </c>
      <c r="E6313" s="0" t="s">
        <v>2045</v>
      </c>
      <c r="F6313" s="0" t="s">
        <v>2046</v>
      </c>
      <c r="G6313" s="0" t="s">
        <v>2148</v>
      </c>
      <c r="H6313" s="0" t="s">
        <v>2149</v>
      </c>
      <c r="I6313" s="0" t="s">
        <v>2322</v>
      </c>
      <c r="J6313" s="0" t="s">
        <v>2367</v>
      </c>
      <c r="K6313" s="272" t="n">
        <v>109800000</v>
      </c>
    </row>
    <row r="6314" customFormat="false" ht="15" hidden="false" customHeight="false" outlineLevel="0" collapsed="false">
      <c r="A6314" s="0" t="s">
        <v>2041</v>
      </c>
      <c r="B6314" s="0" t="s">
        <v>2042</v>
      </c>
      <c r="C6314" s="0" t="s">
        <v>2161</v>
      </c>
      <c r="D6314" s="0" t="s">
        <v>2105</v>
      </c>
      <c r="E6314" s="0" t="s">
        <v>2045</v>
      </c>
      <c r="F6314" s="0" t="s">
        <v>2046</v>
      </c>
      <c r="G6314" s="0" t="s">
        <v>2148</v>
      </c>
      <c r="H6314" s="0" t="s">
        <v>2149</v>
      </c>
      <c r="I6314" s="0" t="s">
        <v>2322</v>
      </c>
      <c r="J6314" s="0" t="s">
        <v>2367</v>
      </c>
      <c r="K6314" s="272" t="n">
        <v>17894350.67</v>
      </c>
    </row>
    <row r="6315" customFormat="false" ht="15" hidden="false" customHeight="false" outlineLevel="0" collapsed="false">
      <c r="A6315" s="0" t="s">
        <v>2041</v>
      </c>
      <c r="B6315" s="0" t="s">
        <v>2042</v>
      </c>
      <c r="C6315" s="0" t="s">
        <v>2156</v>
      </c>
      <c r="D6315" s="0" t="s">
        <v>2105</v>
      </c>
      <c r="E6315" s="0" t="s">
        <v>2045</v>
      </c>
      <c r="F6315" s="0" t="s">
        <v>2215</v>
      </c>
      <c r="G6315" s="0" t="s">
        <v>2216</v>
      </c>
      <c r="H6315" s="0" t="s">
        <v>2217</v>
      </c>
      <c r="I6315" s="0" t="s">
        <v>2124</v>
      </c>
      <c r="J6315" s="0" t="s">
        <v>2367</v>
      </c>
      <c r="K6315" s="272" t="n">
        <v>36860000</v>
      </c>
    </row>
    <row r="6316" customFormat="false" ht="15" hidden="false" customHeight="false" outlineLevel="0" collapsed="false">
      <c r="A6316" s="0" t="s">
        <v>2041</v>
      </c>
      <c r="B6316" s="0" t="s">
        <v>2042</v>
      </c>
      <c r="C6316" s="0" t="s">
        <v>2161</v>
      </c>
      <c r="D6316" s="0" t="s">
        <v>2105</v>
      </c>
      <c r="E6316" s="0" t="s">
        <v>2045</v>
      </c>
      <c r="F6316" s="0" t="s">
        <v>2215</v>
      </c>
      <c r="G6316" s="0" t="s">
        <v>2216</v>
      </c>
      <c r="H6316" s="0" t="s">
        <v>2217</v>
      </c>
      <c r="I6316" s="0" t="s">
        <v>2124</v>
      </c>
      <c r="J6316" s="0" t="s">
        <v>2367</v>
      </c>
      <c r="K6316" s="272" t="n">
        <v>7104129.11</v>
      </c>
    </row>
    <row r="6317" customFormat="false" ht="15" hidden="false" customHeight="false" outlineLevel="0" collapsed="false">
      <c r="A6317" s="0" t="s">
        <v>2041</v>
      </c>
      <c r="B6317" s="0" t="s">
        <v>2042</v>
      </c>
      <c r="C6317" s="0" t="s">
        <v>2156</v>
      </c>
      <c r="D6317" s="0" t="s">
        <v>2105</v>
      </c>
      <c r="E6317" s="0" t="s">
        <v>2045</v>
      </c>
      <c r="F6317" s="0" t="s">
        <v>2215</v>
      </c>
      <c r="G6317" s="0" t="s">
        <v>2216</v>
      </c>
      <c r="H6317" s="0" t="s">
        <v>2217</v>
      </c>
      <c r="I6317" s="0" t="s">
        <v>2322</v>
      </c>
      <c r="J6317" s="0" t="s">
        <v>2367</v>
      </c>
      <c r="K6317" s="272" t="n">
        <v>641206897</v>
      </c>
    </row>
    <row r="6318" customFormat="false" ht="15" hidden="false" customHeight="false" outlineLevel="0" collapsed="false">
      <c r="A6318" s="0" t="s">
        <v>2041</v>
      </c>
      <c r="B6318" s="0" t="s">
        <v>2042</v>
      </c>
      <c r="C6318" s="0" t="s">
        <v>2161</v>
      </c>
      <c r="D6318" s="0" t="s">
        <v>2105</v>
      </c>
      <c r="E6318" s="0" t="s">
        <v>2045</v>
      </c>
      <c r="F6318" s="0" t="s">
        <v>2215</v>
      </c>
      <c r="G6318" s="0" t="s">
        <v>2216</v>
      </c>
      <c r="H6318" s="0" t="s">
        <v>2217</v>
      </c>
      <c r="I6318" s="0" t="s">
        <v>2322</v>
      </c>
      <c r="J6318" s="0" t="s">
        <v>2367</v>
      </c>
      <c r="K6318" s="272" t="n">
        <v>101356727.51</v>
      </c>
    </row>
    <row r="6319" customFormat="false" ht="15" hidden="false" customHeight="false" outlineLevel="0" collapsed="false">
      <c r="A6319" s="0" t="s">
        <v>2041</v>
      </c>
      <c r="B6319" s="0" t="s">
        <v>2042</v>
      </c>
      <c r="C6319" s="0" t="s">
        <v>2156</v>
      </c>
      <c r="D6319" s="0" t="s">
        <v>2105</v>
      </c>
      <c r="E6319" s="0" t="s">
        <v>2045</v>
      </c>
      <c r="F6319" s="0" t="s">
        <v>2215</v>
      </c>
      <c r="G6319" s="0" t="s">
        <v>2218</v>
      </c>
      <c r="H6319" s="0" t="s">
        <v>2182</v>
      </c>
      <c r="I6319" s="0" t="s">
        <v>2124</v>
      </c>
      <c r="J6319" s="0" t="s">
        <v>2367</v>
      </c>
      <c r="K6319" s="272" t="n">
        <v>5000000</v>
      </c>
    </row>
    <row r="6320" customFormat="false" ht="15" hidden="false" customHeight="false" outlineLevel="0" collapsed="false">
      <c r="A6320" s="0" t="s">
        <v>2041</v>
      </c>
      <c r="B6320" s="0" t="s">
        <v>2042</v>
      </c>
      <c r="C6320" s="0" t="s">
        <v>2161</v>
      </c>
      <c r="D6320" s="0" t="s">
        <v>2105</v>
      </c>
      <c r="E6320" s="0" t="s">
        <v>2045</v>
      </c>
      <c r="F6320" s="0" t="s">
        <v>2215</v>
      </c>
      <c r="G6320" s="0" t="s">
        <v>2218</v>
      </c>
      <c r="H6320" s="0" t="s">
        <v>2182</v>
      </c>
      <c r="I6320" s="0" t="s">
        <v>2124</v>
      </c>
      <c r="J6320" s="0" t="s">
        <v>2367</v>
      </c>
      <c r="K6320" s="272" t="n">
        <v>1208871</v>
      </c>
    </row>
    <row r="6321" customFormat="false" ht="15" hidden="false" customHeight="false" outlineLevel="0" collapsed="false">
      <c r="A6321" s="0" t="s">
        <v>2041</v>
      </c>
      <c r="B6321" s="0" t="s">
        <v>2042</v>
      </c>
      <c r="C6321" s="0" t="s">
        <v>2156</v>
      </c>
      <c r="D6321" s="0" t="s">
        <v>2105</v>
      </c>
      <c r="E6321" s="0" t="s">
        <v>2045</v>
      </c>
      <c r="F6321" s="0" t="s">
        <v>2215</v>
      </c>
      <c r="G6321" s="0" t="s">
        <v>2218</v>
      </c>
      <c r="H6321" s="0" t="s">
        <v>2183</v>
      </c>
      <c r="I6321" s="0" t="s">
        <v>2124</v>
      </c>
      <c r="J6321" s="0" t="s">
        <v>2367</v>
      </c>
      <c r="K6321" s="272" t="n">
        <v>3000000</v>
      </c>
    </row>
    <row r="6322" customFormat="false" ht="15" hidden="false" customHeight="false" outlineLevel="0" collapsed="false">
      <c r="A6322" s="0" t="s">
        <v>2041</v>
      </c>
      <c r="B6322" s="0" t="s">
        <v>2042</v>
      </c>
      <c r="C6322" s="0" t="s">
        <v>2161</v>
      </c>
      <c r="D6322" s="0" t="s">
        <v>2105</v>
      </c>
      <c r="E6322" s="0" t="s">
        <v>2045</v>
      </c>
      <c r="F6322" s="0" t="s">
        <v>2215</v>
      </c>
      <c r="G6322" s="0" t="s">
        <v>2218</v>
      </c>
      <c r="H6322" s="0" t="s">
        <v>2183</v>
      </c>
      <c r="I6322" s="0" t="s">
        <v>2124</v>
      </c>
      <c r="J6322" s="0" t="s">
        <v>2367</v>
      </c>
      <c r="K6322" s="272" t="n">
        <v>728541</v>
      </c>
    </row>
    <row r="6323" customFormat="false" ht="15" hidden="false" customHeight="false" outlineLevel="0" collapsed="false">
      <c r="A6323" s="0" t="s">
        <v>2041</v>
      </c>
      <c r="B6323" s="0" t="s">
        <v>2042</v>
      </c>
      <c r="C6323" s="0" t="s">
        <v>2156</v>
      </c>
      <c r="D6323" s="0" t="s">
        <v>2105</v>
      </c>
      <c r="E6323" s="0" t="s">
        <v>2045</v>
      </c>
      <c r="F6323" s="0" t="s">
        <v>2215</v>
      </c>
      <c r="G6323" s="0" t="s">
        <v>2218</v>
      </c>
      <c r="H6323" s="0" t="s">
        <v>2183</v>
      </c>
      <c r="I6323" s="0" t="s">
        <v>2322</v>
      </c>
      <c r="J6323" s="0" t="s">
        <v>2367</v>
      </c>
      <c r="K6323" s="272" t="n">
        <v>19400000</v>
      </c>
    </row>
    <row r="6324" customFormat="false" ht="15" hidden="false" customHeight="false" outlineLevel="0" collapsed="false">
      <c r="A6324" s="0" t="s">
        <v>2041</v>
      </c>
      <c r="B6324" s="0" t="s">
        <v>2042</v>
      </c>
      <c r="C6324" s="0" t="s">
        <v>2161</v>
      </c>
      <c r="D6324" s="0" t="s">
        <v>2105</v>
      </c>
      <c r="E6324" s="0" t="s">
        <v>2045</v>
      </c>
      <c r="F6324" s="0" t="s">
        <v>2215</v>
      </c>
      <c r="G6324" s="0" t="s">
        <v>2218</v>
      </c>
      <c r="H6324" s="0" t="s">
        <v>2183</v>
      </c>
      <c r="I6324" s="0" t="s">
        <v>2322</v>
      </c>
      <c r="J6324" s="0" t="s">
        <v>2367</v>
      </c>
      <c r="K6324" s="272" t="n">
        <v>3698023.86</v>
      </c>
    </row>
    <row r="6325" customFormat="false" ht="15" hidden="false" customHeight="false" outlineLevel="0" collapsed="false">
      <c r="A6325" s="0" t="s">
        <v>2041</v>
      </c>
      <c r="B6325" s="0" t="s">
        <v>2042</v>
      </c>
      <c r="C6325" s="0" t="s">
        <v>2156</v>
      </c>
      <c r="D6325" s="0" t="s">
        <v>2105</v>
      </c>
      <c r="E6325" s="0" t="s">
        <v>2045</v>
      </c>
      <c r="F6325" s="0" t="s">
        <v>2215</v>
      </c>
      <c r="G6325" s="0" t="s">
        <v>2218</v>
      </c>
      <c r="H6325" s="0" t="s">
        <v>2185</v>
      </c>
      <c r="I6325" s="0" t="s">
        <v>2322</v>
      </c>
      <c r="J6325" s="0" t="s">
        <v>2367</v>
      </c>
      <c r="K6325" s="272" t="n">
        <v>2000000</v>
      </c>
    </row>
    <row r="6326" customFormat="false" ht="15" hidden="false" customHeight="false" outlineLevel="0" collapsed="false">
      <c r="A6326" s="0" t="s">
        <v>2041</v>
      </c>
      <c r="B6326" s="0" t="s">
        <v>2042</v>
      </c>
      <c r="C6326" s="0" t="s">
        <v>2161</v>
      </c>
      <c r="D6326" s="0" t="s">
        <v>2105</v>
      </c>
      <c r="E6326" s="0" t="s">
        <v>2045</v>
      </c>
      <c r="F6326" s="0" t="s">
        <v>2215</v>
      </c>
      <c r="G6326" s="0" t="s">
        <v>2218</v>
      </c>
      <c r="H6326" s="0" t="s">
        <v>2185</v>
      </c>
      <c r="I6326" s="0" t="s">
        <v>2322</v>
      </c>
      <c r="J6326" s="0" t="s">
        <v>2367</v>
      </c>
      <c r="K6326" s="272" t="n">
        <v>604000</v>
      </c>
    </row>
    <row r="6327" customFormat="false" ht="15" hidden="false" customHeight="false" outlineLevel="0" collapsed="false">
      <c r="A6327" s="0" t="s">
        <v>2041</v>
      </c>
      <c r="B6327" s="0" t="s">
        <v>2042</v>
      </c>
      <c r="C6327" s="0" t="s">
        <v>2156</v>
      </c>
      <c r="D6327" s="0" t="s">
        <v>2105</v>
      </c>
      <c r="E6327" s="0" t="s">
        <v>2045</v>
      </c>
      <c r="F6327" s="0" t="s">
        <v>2215</v>
      </c>
      <c r="G6327" s="0" t="s">
        <v>2218</v>
      </c>
      <c r="H6327" s="0" t="s">
        <v>2179</v>
      </c>
      <c r="I6327" s="0" t="s">
        <v>2322</v>
      </c>
      <c r="J6327" s="0" t="s">
        <v>2367</v>
      </c>
      <c r="K6327" s="272" t="n">
        <v>30000000</v>
      </c>
    </row>
    <row r="6328" customFormat="false" ht="15" hidden="false" customHeight="false" outlineLevel="0" collapsed="false">
      <c r="A6328" s="0" t="s">
        <v>2041</v>
      </c>
      <c r="B6328" s="0" t="s">
        <v>2042</v>
      </c>
      <c r="C6328" s="0" t="s">
        <v>2161</v>
      </c>
      <c r="D6328" s="0" t="s">
        <v>2105</v>
      </c>
      <c r="E6328" s="0" t="s">
        <v>2045</v>
      </c>
      <c r="F6328" s="0" t="s">
        <v>2215</v>
      </c>
      <c r="G6328" s="0" t="s">
        <v>2218</v>
      </c>
      <c r="H6328" s="0" t="s">
        <v>2179</v>
      </c>
      <c r="I6328" s="0" t="s">
        <v>2322</v>
      </c>
      <c r="J6328" s="0" t="s">
        <v>2367</v>
      </c>
      <c r="K6328" s="272" t="n">
        <v>4590000</v>
      </c>
    </row>
    <row r="6329" customFormat="false" ht="15" hidden="false" customHeight="false" outlineLevel="0" collapsed="false">
      <c r="A6329" s="0" t="s">
        <v>2041</v>
      </c>
      <c r="B6329" s="0" t="s">
        <v>2042</v>
      </c>
      <c r="C6329" s="0" t="s">
        <v>2156</v>
      </c>
      <c r="D6329" s="0" t="s">
        <v>2105</v>
      </c>
      <c r="E6329" s="0" t="s">
        <v>2045</v>
      </c>
      <c r="F6329" s="0" t="s">
        <v>2215</v>
      </c>
      <c r="G6329" s="0" t="s">
        <v>2218</v>
      </c>
      <c r="H6329" s="0" t="s">
        <v>2217</v>
      </c>
      <c r="I6329" s="0" t="s">
        <v>2322</v>
      </c>
      <c r="J6329" s="0" t="s">
        <v>2367</v>
      </c>
      <c r="K6329" s="272" t="n">
        <v>1780000</v>
      </c>
    </row>
    <row r="6330" customFormat="false" ht="15" hidden="false" customHeight="false" outlineLevel="0" collapsed="false">
      <c r="A6330" s="0" t="s">
        <v>2041</v>
      </c>
      <c r="B6330" s="0" t="s">
        <v>2042</v>
      </c>
      <c r="C6330" s="0" t="s">
        <v>2161</v>
      </c>
      <c r="D6330" s="0" t="s">
        <v>2105</v>
      </c>
      <c r="E6330" s="0" t="s">
        <v>2045</v>
      </c>
      <c r="F6330" s="0" t="s">
        <v>2215</v>
      </c>
      <c r="G6330" s="0" t="s">
        <v>2218</v>
      </c>
      <c r="H6330" s="0" t="s">
        <v>2217</v>
      </c>
      <c r="I6330" s="0" t="s">
        <v>2322</v>
      </c>
      <c r="J6330" s="0" t="s">
        <v>2367</v>
      </c>
      <c r="K6330" s="272" t="n">
        <v>537560</v>
      </c>
    </row>
    <row r="6331" customFormat="false" ht="15" hidden="false" customHeight="false" outlineLevel="0" collapsed="false">
      <c r="A6331" s="0" t="s">
        <v>2041</v>
      </c>
      <c r="B6331" s="0" t="s">
        <v>2042</v>
      </c>
      <c r="C6331" s="0" t="s">
        <v>2156</v>
      </c>
      <c r="D6331" s="0" t="s">
        <v>2105</v>
      </c>
      <c r="E6331" s="0" t="s">
        <v>2045</v>
      </c>
      <c r="F6331" s="0" t="s">
        <v>2215</v>
      </c>
      <c r="G6331" s="0" t="s">
        <v>2218</v>
      </c>
      <c r="H6331" s="0" t="s">
        <v>2219</v>
      </c>
      <c r="I6331" s="0" t="s">
        <v>2322</v>
      </c>
      <c r="J6331" s="0" t="s">
        <v>2367</v>
      </c>
      <c r="K6331" s="272" t="n">
        <v>93100000</v>
      </c>
    </row>
    <row r="6332" customFormat="false" ht="15" hidden="false" customHeight="false" outlineLevel="0" collapsed="false">
      <c r="A6332" s="0" t="s">
        <v>2041</v>
      </c>
      <c r="B6332" s="0" t="s">
        <v>2042</v>
      </c>
      <c r="C6332" s="0" t="s">
        <v>2161</v>
      </c>
      <c r="D6332" s="0" t="s">
        <v>2105</v>
      </c>
      <c r="E6332" s="0" t="s">
        <v>2045</v>
      </c>
      <c r="F6332" s="0" t="s">
        <v>2215</v>
      </c>
      <c r="G6332" s="0" t="s">
        <v>2218</v>
      </c>
      <c r="H6332" s="0" t="s">
        <v>2219</v>
      </c>
      <c r="I6332" s="0" t="s">
        <v>2322</v>
      </c>
      <c r="J6332" s="0" t="s">
        <v>2367</v>
      </c>
      <c r="K6332" s="272" t="n">
        <v>15762421.135</v>
      </c>
    </row>
    <row r="6333" customFormat="false" ht="15" hidden="false" customHeight="false" outlineLevel="0" collapsed="false">
      <c r="A6333" s="0" t="s">
        <v>2041</v>
      </c>
      <c r="B6333" s="0" t="s">
        <v>2042</v>
      </c>
      <c r="C6333" s="0" t="s">
        <v>2156</v>
      </c>
      <c r="D6333" s="0" t="s">
        <v>2105</v>
      </c>
      <c r="E6333" s="0" t="s">
        <v>2045</v>
      </c>
      <c r="F6333" s="0" t="s">
        <v>2215</v>
      </c>
      <c r="G6333" s="0" t="s">
        <v>2218</v>
      </c>
      <c r="H6333" s="0" t="s">
        <v>2220</v>
      </c>
      <c r="I6333" s="0" t="s">
        <v>2124</v>
      </c>
      <c r="J6333" s="0" t="s">
        <v>2367</v>
      </c>
      <c r="K6333" s="272" t="n">
        <v>22062881</v>
      </c>
    </row>
    <row r="6334" customFormat="false" ht="15" hidden="false" customHeight="false" outlineLevel="0" collapsed="false">
      <c r="A6334" s="0" t="s">
        <v>2041</v>
      </c>
      <c r="B6334" s="0" t="s">
        <v>2042</v>
      </c>
      <c r="C6334" s="0" t="s">
        <v>2161</v>
      </c>
      <c r="D6334" s="0" t="s">
        <v>2105</v>
      </c>
      <c r="E6334" s="0" t="s">
        <v>2045</v>
      </c>
      <c r="F6334" s="0" t="s">
        <v>2215</v>
      </c>
      <c r="G6334" s="0" t="s">
        <v>2218</v>
      </c>
      <c r="H6334" s="0" t="s">
        <v>2220</v>
      </c>
      <c r="I6334" s="0" t="s">
        <v>2124</v>
      </c>
      <c r="J6334" s="0" t="s">
        <v>2367</v>
      </c>
      <c r="K6334" s="272" t="n">
        <v>3703738.88</v>
      </c>
    </row>
    <row r="6335" customFormat="false" ht="15" hidden="false" customHeight="false" outlineLevel="0" collapsed="false">
      <c r="A6335" s="0" t="s">
        <v>2041</v>
      </c>
      <c r="B6335" s="0" t="s">
        <v>2042</v>
      </c>
      <c r="C6335" s="0" t="s">
        <v>2156</v>
      </c>
      <c r="D6335" s="0" t="s">
        <v>2105</v>
      </c>
      <c r="E6335" s="0" t="s">
        <v>2045</v>
      </c>
      <c r="F6335" s="0" t="s">
        <v>2215</v>
      </c>
      <c r="G6335" s="0" t="s">
        <v>2218</v>
      </c>
      <c r="H6335" s="0" t="s">
        <v>2220</v>
      </c>
      <c r="I6335" s="0" t="s">
        <v>2322</v>
      </c>
      <c r="J6335" s="0" t="s">
        <v>2367</v>
      </c>
      <c r="K6335" s="272" t="n">
        <v>46655887</v>
      </c>
    </row>
    <row r="6336" customFormat="false" ht="15" hidden="false" customHeight="false" outlineLevel="0" collapsed="false">
      <c r="A6336" s="0" t="s">
        <v>2041</v>
      </c>
      <c r="B6336" s="0" t="s">
        <v>2042</v>
      </c>
      <c r="C6336" s="0" t="s">
        <v>2161</v>
      </c>
      <c r="D6336" s="0" t="s">
        <v>2105</v>
      </c>
      <c r="E6336" s="0" t="s">
        <v>2045</v>
      </c>
      <c r="F6336" s="0" t="s">
        <v>2215</v>
      </c>
      <c r="G6336" s="0" t="s">
        <v>2218</v>
      </c>
      <c r="H6336" s="0" t="s">
        <v>2220</v>
      </c>
      <c r="I6336" s="0" t="s">
        <v>2322</v>
      </c>
      <c r="J6336" s="0" t="s">
        <v>2367</v>
      </c>
      <c r="K6336" s="272" t="n">
        <v>7838261.195</v>
      </c>
    </row>
    <row r="6337" customFormat="false" ht="15" hidden="false" customHeight="false" outlineLevel="0" collapsed="false">
      <c r="A6337" s="0" t="s">
        <v>2041</v>
      </c>
      <c r="B6337" s="0" t="s">
        <v>2042</v>
      </c>
      <c r="C6337" s="0" t="s">
        <v>2156</v>
      </c>
      <c r="D6337" s="0" t="s">
        <v>2105</v>
      </c>
      <c r="E6337" s="0" t="s">
        <v>2045</v>
      </c>
      <c r="F6337" s="0" t="s">
        <v>2215</v>
      </c>
      <c r="G6337" s="0" t="s">
        <v>2218</v>
      </c>
      <c r="H6337" s="0" t="s">
        <v>2221</v>
      </c>
      <c r="I6337" s="0" t="s">
        <v>2124</v>
      </c>
      <c r="J6337" s="0" t="s">
        <v>2367</v>
      </c>
      <c r="K6337" s="272" t="n">
        <v>8450000</v>
      </c>
    </row>
    <row r="6338" customFormat="false" ht="15" hidden="false" customHeight="false" outlineLevel="0" collapsed="false">
      <c r="A6338" s="0" t="s">
        <v>2041</v>
      </c>
      <c r="B6338" s="0" t="s">
        <v>2042</v>
      </c>
      <c r="C6338" s="0" t="s">
        <v>2161</v>
      </c>
      <c r="D6338" s="0" t="s">
        <v>2105</v>
      </c>
      <c r="E6338" s="0" t="s">
        <v>2045</v>
      </c>
      <c r="F6338" s="0" t="s">
        <v>2215</v>
      </c>
      <c r="G6338" s="0" t="s">
        <v>2218</v>
      </c>
      <c r="H6338" s="0" t="s">
        <v>2221</v>
      </c>
      <c r="I6338" s="0" t="s">
        <v>2124</v>
      </c>
      <c r="J6338" s="0" t="s">
        <v>2367</v>
      </c>
      <c r="K6338" s="272" t="n">
        <v>2122904.06</v>
      </c>
    </row>
    <row r="6339" customFormat="false" ht="15" hidden="false" customHeight="false" outlineLevel="0" collapsed="false">
      <c r="A6339" s="0" t="s">
        <v>2041</v>
      </c>
      <c r="B6339" s="0" t="s">
        <v>2042</v>
      </c>
      <c r="C6339" s="0" t="s">
        <v>2156</v>
      </c>
      <c r="D6339" s="0" t="s">
        <v>2105</v>
      </c>
      <c r="E6339" s="0" t="s">
        <v>2045</v>
      </c>
      <c r="F6339" s="0" t="s">
        <v>2215</v>
      </c>
      <c r="G6339" s="0" t="s">
        <v>2218</v>
      </c>
      <c r="H6339" s="0" t="s">
        <v>2221</v>
      </c>
      <c r="I6339" s="0" t="s">
        <v>2322</v>
      </c>
      <c r="J6339" s="0" t="s">
        <v>2367</v>
      </c>
      <c r="K6339" s="272" t="n">
        <v>68550000</v>
      </c>
    </row>
    <row r="6340" customFormat="false" ht="15" hidden="false" customHeight="false" outlineLevel="0" collapsed="false">
      <c r="A6340" s="0" t="s">
        <v>2041</v>
      </c>
      <c r="B6340" s="0" t="s">
        <v>2042</v>
      </c>
      <c r="C6340" s="0" t="s">
        <v>2161</v>
      </c>
      <c r="D6340" s="0" t="s">
        <v>2105</v>
      </c>
      <c r="E6340" s="0" t="s">
        <v>2045</v>
      </c>
      <c r="F6340" s="0" t="s">
        <v>2215</v>
      </c>
      <c r="G6340" s="0" t="s">
        <v>2218</v>
      </c>
      <c r="H6340" s="0" t="s">
        <v>2221</v>
      </c>
      <c r="I6340" s="0" t="s">
        <v>2322</v>
      </c>
      <c r="J6340" s="0" t="s">
        <v>2367</v>
      </c>
      <c r="K6340" s="272" t="n">
        <v>15458624.14</v>
      </c>
    </row>
    <row r="6341" customFormat="false" ht="15" hidden="false" customHeight="false" outlineLevel="0" collapsed="false">
      <c r="A6341" s="0" t="s">
        <v>2041</v>
      </c>
      <c r="B6341" s="0" t="s">
        <v>2042</v>
      </c>
      <c r="C6341" s="0" t="s">
        <v>2156</v>
      </c>
      <c r="D6341" s="0" t="s">
        <v>2105</v>
      </c>
      <c r="E6341" s="0" t="s">
        <v>2045</v>
      </c>
      <c r="F6341" s="0" t="s">
        <v>2215</v>
      </c>
      <c r="G6341" s="0" t="s">
        <v>2218</v>
      </c>
      <c r="H6341" s="0" t="s">
        <v>2222</v>
      </c>
      <c r="I6341" s="0" t="s">
        <v>2124</v>
      </c>
      <c r="J6341" s="0" t="s">
        <v>2367</v>
      </c>
      <c r="K6341" s="272" t="n">
        <v>6950000</v>
      </c>
    </row>
    <row r="6342" customFormat="false" ht="15" hidden="false" customHeight="false" outlineLevel="0" collapsed="false">
      <c r="A6342" s="0" t="s">
        <v>2041</v>
      </c>
      <c r="B6342" s="0" t="s">
        <v>2042</v>
      </c>
      <c r="C6342" s="0" t="s">
        <v>2161</v>
      </c>
      <c r="D6342" s="0" t="s">
        <v>2105</v>
      </c>
      <c r="E6342" s="0" t="s">
        <v>2045</v>
      </c>
      <c r="F6342" s="0" t="s">
        <v>2215</v>
      </c>
      <c r="G6342" s="0" t="s">
        <v>2218</v>
      </c>
      <c r="H6342" s="0" t="s">
        <v>2222</v>
      </c>
      <c r="I6342" s="0" t="s">
        <v>2124</v>
      </c>
      <c r="J6342" s="0" t="s">
        <v>2367</v>
      </c>
      <c r="K6342" s="272" t="n">
        <v>2078510.26</v>
      </c>
    </row>
    <row r="6343" customFormat="false" ht="15" hidden="false" customHeight="false" outlineLevel="0" collapsed="false">
      <c r="A6343" s="0" t="s">
        <v>2041</v>
      </c>
      <c r="B6343" s="0" t="s">
        <v>2042</v>
      </c>
      <c r="C6343" s="0" t="s">
        <v>2156</v>
      </c>
      <c r="D6343" s="0" t="s">
        <v>2105</v>
      </c>
      <c r="E6343" s="0" t="s">
        <v>2045</v>
      </c>
      <c r="F6343" s="0" t="s">
        <v>2225</v>
      </c>
      <c r="G6343" s="0" t="s">
        <v>2226</v>
      </c>
      <c r="H6343" s="0" t="s">
        <v>2227</v>
      </c>
      <c r="I6343" s="0" t="s">
        <v>2322</v>
      </c>
      <c r="J6343" s="0" t="s">
        <v>2367</v>
      </c>
      <c r="K6343" s="272" t="n">
        <v>30000000</v>
      </c>
    </row>
    <row r="6344" customFormat="false" ht="15" hidden="false" customHeight="false" outlineLevel="0" collapsed="false">
      <c r="A6344" s="0" t="s">
        <v>2041</v>
      </c>
      <c r="B6344" s="0" t="s">
        <v>2042</v>
      </c>
      <c r="C6344" s="0" t="s">
        <v>2161</v>
      </c>
      <c r="D6344" s="0" t="s">
        <v>2105</v>
      </c>
      <c r="E6344" s="0" t="s">
        <v>2045</v>
      </c>
      <c r="F6344" s="0" t="s">
        <v>2225</v>
      </c>
      <c r="G6344" s="0" t="s">
        <v>2226</v>
      </c>
      <c r="H6344" s="0" t="s">
        <v>2227</v>
      </c>
      <c r="I6344" s="0" t="s">
        <v>2322</v>
      </c>
      <c r="J6344" s="0" t="s">
        <v>2367</v>
      </c>
      <c r="K6344" s="272" t="n">
        <v>4590000</v>
      </c>
    </row>
    <row r="6345" customFormat="false" ht="15" hidden="false" customHeight="false" outlineLevel="0" collapsed="false">
      <c r="A6345" s="0" t="s">
        <v>2041</v>
      </c>
      <c r="B6345" s="0" t="s">
        <v>2042</v>
      </c>
      <c r="C6345" s="0" t="s">
        <v>2156</v>
      </c>
      <c r="D6345" s="0" t="s">
        <v>2105</v>
      </c>
      <c r="E6345" s="0" t="s">
        <v>2045</v>
      </c>
      <c r="F6345" s="0" t="s">
        <v>2225</v>
      </c>
      <c r="G6345" s="0" t="s">
        <v>2228</v>
      </c>
      <c r="H6345" s="0" t="s">
        <v>2227</v>
      </c>
      <c r="I6345" s="0" t="s">
        <v>2124</v>
      </c>
      <c r="J6345" s="0" t="s">
        <v>2367</v>
      </c>
      <c r="K6345" s="272" t="n">
        <v>3050000</v>
      </c>
    </row>
    <row r="6346" customFormat="false" ht="15" hidden="false" customHeight="false" outlineLevel="0" collapsed="false">
      <c r="A6346" s="0" t="s">
        <v>2041</v>
      </c>
      <c r="B6346" s="0" t="s">
        <v>2042</v>
      </c>
      <c r="C6346" s="0" t="s">
        <v>2161</v>
      </c>
      <c r="D6346" s="0" t="s">
        <v>2105</v>
      </c>
      <c r="E6346" s="0" t="s">
        <v>2045</v>
      </c>
      <c r="F6346" s="0" t="s">
        <v>2225</v>
      </c>
      <c r="G6346" s="0" t="s">
        <v>2228</v>
      </c>
      <c r="H6346" s="0" t="s">
        <v>2227</v>
      </c>
      <c r="I6346" s="0" t="s">
        <v>2124</v>
      </c>
      <c r="J6346" s="0" t="s">
        <v>2367</v>
      </c>
      <c r="K6346" s="272" t="n">
        <v>921100</v>
      </c>
    </row>
    <row r="6347" customFormat="false" ht="15" hidden="false" customHeight="false" outlineLevel="0" collapsed="false">
      <c r="A6347" s="0" t="s">
        <v>2041</v>
      </c>
      <c r="B6347" s="0" t="s">
        <v>2042</v>
      </c>
      <c r="C6347" s="0" t="s">
        <v>2156</v>
      </c>
      <c r="D6347" s="0" t="s">
        <v>2105</v>
      </c>
      <c r="E6347" s="0" t="s">
        <v>2045</v>
      </c>
      <c r="F6347" s="0" t="s">
        <v>2225</v>
      </c>
      <c r="G6347" s="0" t="s">
        <v>2228</v>
      </c>
      <c r="H6347" s="0" t="s">
        <v>2227</v>
      </c>
      <c r="I6347" s="0" t="s">
        <v>2322</v>
      </c>
      <c r="J6347" s="0" t="s">
        <v>2367</v>
      </c>
      <c r="K6347" s="272" t="n">
        <v>44600000</v>
      </c>
    </row>
    <row r="6348" customFormat="false" ht="15" hidden="false" customHeight="false" outlineLevel="0" collapsed="false">
      <c r="A6348" s="0" t="s">
        <v>2041</v>
      </c>
      <c r="B6348" s="0" t="s">
        <v>2042</v>
      </c>
      <c r="C6348" s="0" t="s">
        <v>2161</v>
      </c>
      <c r="D6348" s="0" t="s">
        <v>2105</v>
      </c>
      <c r="E6348" s="0" t="s">
        <v>2045</v>
      </c>
      <c r="F6348" s="0" t="s">
        <v>2225</v>
      </c>
      <c r="G6348" s="0" t="s">
        <v>2228</v>
      </c>
      <c r="H6348" s="0" t="s">
        <v>2227</v>
      </c>
      <c r="I6348" s="0" t="s">
        <v>2322</v>
      </c>
      <c r="J6348" s="0" t="s">
        <v>2367</v>
      </c>
      <c r="K6348" s="272" t="n">
        <v>8279120.72</v>
      </c>
    </row>
    <row r="6349" customFormat="false" ht="15" hidden="false" customHeight="false" outlineLevel="0" collapsed="false">
      <c r="A6349" s="0" t="s">
        <v>2041</v>
      </c>
      <c r="B6349" s="0" t="s">
        <v>2042</v>
      </c>
      <c r="C6349" s="0" t="s">
        <v>2156</v>
      </c>
      <c r="D6349" s="0" t="s">
        <v>2105</v>
      </c>
      <c r="E6349" s="0" t="s">
        <v>2045</v>
      </c>
      <c r="F6349" s="0" t="s">
        <v>2225</v>
      </c>
      <c r="G6349" s="0" t="s">
        <v>2229</v>
      </c>
      <c r="H6349" s="0" t="s">
        <v>2227</v>
      </c>
      <c r="I6349" s="0" t="s">
        <v>2322</v>
      </c>
      <c r="J6349" s="0" t="s">
        <v>2367</v>
      </c>
      <c r="K6349" s="272" t="n">
        <v>109245943</v>
      </c>
    </row>
    <row r="6350" customFormat="false" ht="15" hidden="false" customHeight="false" outlineLevel="0" collapsed="false">
      <c r="A6350" s="0" t="s">
        <v>2041</v>
      </c>
      <c r="B6350" s="0" t="s">
        <v>2042</v>
      </c>
      <c r="C6350" s="0" t="s">
        <v>2161</v>
      </c>
      <c r="D6350" s="0" t="s">
        <v>2105</v>
      </c>
      <c r="E6350" s="0" t="s">
        <v>2045</v>
      </c>
      <c r="F6350" s="0" t="s">
        <v>2225</v>
      </c>
      <c r="G6350" s="0" t="s">
        <v>2229</v>
      </c>
      <c r="H6350" s="0" t="s">
        <v>2227</v>
      </c>
      <c r="I6350" s="0" t="s">
        <v>2322</v>
      </c>
      <c r="J6350" s="0" t="s">
        <v>2367</v>
      </c>
      <c r="K6350" s="272" t="n">
        <v>17036455.6</v>
      </c>
    </row>
    <row r="6351" customFormat="false" ht="15" hidden="false" customHeight="false" outlineLevel="0" collapsed="false">
      <c r="A6351" s="0" t="s">
        <v>2041</v>
      </c>
      <c r="B6351" s="0" t="s">
        <v>2042</v>
      </c>
      <c r="C6351" s="0" t="s">
        <v>2156</v>
      </c>
      <c r="D6351" s="0" t="s">
        <v>2105</v>
      </c>
      <c r="E6351" s="0" t="s">
        <v>2045</v>
      </c>
      <c r="F6351" s="0" t="s">
        <v>2225</v>
      </c>
      <c r="G6351" s="0" t="s">
        <v>2230</v>
      </c>
      <c r="H6351" s="0" t="s">
        <v>2227</v>
      </c>
      <c r="I6351" s="0" t="s">
        <v>2322</v>
      </c>
      <c r="J6351" s="0" t="s">
        <v>2367</v>
      </c>
      <c r="K6351" s="272" t="n">
        <v>47000000</v>
      </c>
    </row>
    <row r="6352" customFormat="false" ht="15" hidden="false" customHeight="false" outlineLevel="0" collapsed="false">
      <c r="A6352" s="0" t="s">
        <v>2041</v>
      </c>
      <c r="B6352" s="0" t="s">
        <v>2042</v>
      </c>
      <c r="C6352" s="0" t="s">
        <v>2161</v>
      </c>
      <c r="D6352" s="0" t="s">
        <v>2105</v>
      </c>
      <c r="E6352" s="0" t="s">
        <v>2045</v>
      </c>
      <c r="F6352" s="0" t="s">
        <v>2225</v>
      </c>
      <c r="G6352" s="0" t="s">
        <v>2230</v>
      </c>
      <c r="H6352" s="0" t="s">
        <v>2227</v>
      </c>
      <c r="I6352" s="0" t="s">
        <v>2322</v>
      </c>
      <c r="J6352" s="0" t="s">
        <v>2367</v>
      </c>
      <c r="K6352" s="272" t="n">
        <v>7327581</v>
      </c>
    </row>
    <row r="6353" customFormat="false" ht="15" hidden="false" customHeight="false" outlineLevel="0" collapsed="false">
      <c r="A6353" s="0" t="s">
        <v>2041</v>
      </c>
      <c r="B6353" s="0" t="s">
        <v>2042</v>
      </c>
      <c r="C6353" s="0" t="s">
        <v>2156</v>
      </c>
      <c r="D6353" s="0" t="s">
        <v>2105</v>
      </c>
      <c r="E6353" s="0" t="s">
        <v>2045</v>
      </c>
      <c r="F6353" s="0" t="s">
        <v>2225</v>
      </c>
      <c r="G6353" s="0" t="s">
        <v>2231</v>
      </c>
      <c r="H6353" s="0" t="s">
        <v>2227</v>
      </c>
      <c r="I6353" s="0" t="s">
        <v>2124</v>
      </c>
      <c r="J6353" s="0" t="s">
        <v>2367</v>
      </c>
      <c r="K6353" s="272" t="n">
        <v>3000000</v>
      </c>
    </row>
    <row r="6354" customFormat="false" ht="15" hidden="false" customHeight="false" outlineLevel="0" collapsed="false">
      <c r="A6354" s="0" t="s">
        <v>2041</v>
      </c>
      <c r="B6354" s="0" t="s">
        <v>2042</v>
      </c>
      <c r="C6354" s="0" t="s">
        <v>2161</v>
      </c>
      <c r="D6354" s="0" t="s">
        <v>2105</v>
      </c>
      <c r="E6354" s="0" t="s">
        <v>2045</v>
      </c>
      <c r="F6354" s="0" t="s">
        <v>2225</v>
      </c>
      <c r="G6354" s="0" t="s">
        <v>2231</v>
      </c>
      <c r="H6354" s="0" t="s">
        <v>2227</v>
      </c>
      <c r="I6354" s="0" t="s">
        <v>2124</v>
      </c>
      <c r="J6354" s="0" t="s">
        <v>2367</v>
      </c>
      <c r="K6354" s="272" t="n">
        <v>763724.66</v>
      </c>
    </row>
    <row r="6355" customFormat="false" ht="15" hidden="false" customHeight="false" outlineLevel="0" collapsed="false">
      <c r="A6355" s="0" t="s">
        <v>2041</v>
      </c>
      <c r="B6355" s="0" t="s">
        <v>2042</v>
      </c>
      <c r="C6355" s="0" t="s">
        <v>2156</v>
      </c>
      <c r="D6355" s="0" t="s">
        <v>2105</v>
      </c>
      <c r="E6355" s="0" t="s">
        <v>2045</v>
      </c>
      <c r="F6355" s="0" t="s">
        <v>2225</v>
      </c>
      <c r="G6355" s="0" t="s">
        <v>2231</v>
      </c>
      <c r="H6355" s="0" t="s">
        <v>2227</v>
      </c>
      <c r="I6355" s="0" t="s">
        <v>2322</v>
      </c>
      <c r="J6355" s="0" t="s">
        <v>2367</v>
      </c>
      <c r="K6355" s="272" t="n">
        <v>157500000</v>
      </c>
    </row>
    <row r="6356" customFormat="false" ht="15" hidden="false" customHeight="false" outlineLevel="0" collapsed="false">
      <c r="A6356" s="0" t="s">
        <v>2041</v>
      </c>
      <c r="B6356" s="0" t="s">
        <v>2042</v>
      </c>
      <c r="C6356" s="0" t="s">
        <v>2161</v>
      </c>
      <c r="D6356" s="0" t="s">
        <v>2105</v>
      </c>
      <c r="E6356" s="0" t="s">
        <v>2045</v>
      </c>
      <c r="F6356" s="0" t="s">
        <v>2225</v>
      </c>
      <c r="G6356" s="0" t="s">
        <v>2231</v>
      </c>
      <c r="H6356" s="0" t="s">
        <v>2227</v>
      </c>
      <c r="I6356" s="0" t="s">
        <v>2322</v>
      </c>
      <c r="J6356" s="0" t="s">
        <v>2367</v>
      </c>
      <c r="K6356" s="272" t="n">
        <v>24782512.57</v>
      </c>
    </row>
    <row r="6357" customFormat="false" ht="15" hidden="false" customHeight="false" outlineLevel="0" collapsed="false">
      <c r="A6357" s="0" t="s">
        <v>2041</v>
      </c>
      <c r="B6357" s="0" t="s">
        <v>2042</v>
      </c>
      <c r="C6357" s="0" t="s">
        <v>2156</v>
      </c>
      <c r="D6357" s="0" t="s">
        <v>2105</v>
      </c>
      <c r="E6357" s="0" t="s">
        <v>2045</v>
      </c>
      <c r="F6357" s="0" t="s">
        <v>2099</v>
      </c>
      <c r="G6357" s="0" t="s">
        <v>2232</v>
      </c>
      <c r="H6357" s="0" t="s">
        <v>2100</v>
      </c>
      <c r="I6357" s="0" t="s">
        <v>2322</v>
      </c>
      <c r="J6357" s="0" t="s">
        <v>2367</v>
      </c>
      <c r="K6357" s="272" t="n">
        <v>11000000</v>
      </c>
    </row>
    <row r="6358" customFormat="false" ht="15" hidden="false" customHeight="false" outlineLevel="0" collapsed="false">
      <c r="A6358" s="0" t="s">
        <v>2041</v>
      </c>
      <c r="B6358" s="0" t="s">
        <v>2042</v>
      </c>
      <c r="C6358" s="0" t="s">
        <v>2161</v>
      </c>
      <c r="D6358" s="0" t="s">
        <v>2105</v>
      </c>
      <c r="E6358" s="0" t="s">
        <v>2045</v>
      </c>
      <c r="F6358" s="0" t="s">
        <v>2099</v>
      </c>
      <c r="G6358" s="0" t="s">
        <v>2232</v>
      </c>
      <c r="H6358" s="0" t="s">
        <v>2100</v>
      </c>
      <c r="I6358" s="0" t="s">
        <v>2322</v>
      </c>
      <c r="J6358" s="0" t="s">
        <v>2367</v>
      </c>
      <c r="K6358" s="272" t="n">
        <v>1683000</v>
      </c>
    </row>
    <row r="6359" customFormat="false" ht="15" hidden="false" customHeight="false" outlineLevel="0" collapsed="false">
      <c r="A6359" s="0" t="s">
        <v>2041</v>
      </c>
      <c r="B6359" s="0" t="s">
        <v>2042</v>
      </c>
      <c r="C6359" s="0" t="s">
        <v>2156</v>
      </c>
      <c r="D6359" s="0" t="s">
        <v>2105</v>
      </c>
      <c r="E6359" s="0" t="s">
        <v>2045</v>
      </c>
      <c r="F6359" s="0" t="s">
        <v>2099</v>
      </c>
      <c r="G6359" s="0" t="s">
        <v>2232</v>
      </c>
      <c r="H6359" s="0" t="s">
        <v>2233</v>
      </c>
      <c r="I6359" s="0" t="s">
        <v>2322</v>
      </c>
      <c r="J6359" s="0" t="s">
        <v>2367</v>
      </c>
      <c r="K6359" s="272" t="n">
        <v>780000</v>
      </c>
    </row>
    <row r="6360" customFormat="false" ht="15" hidden="false" customHeight="false" outlineLevel="0" collapsed="false">
      <c r="A6360" s="0" t="s">
        <v>2041</v>
      </c>
      <c r="B6360" s="0" t="s">
        <v>2042</v>
      </c>
      <c r="C6360" s="0" t="s">
        <v>2161</v>
      </c>
      <c r="D6360" s="0" t="s">
        <v>2105</v>
      </c>
      <c r="E6360" s="0" t="s">
        <v>2045</v>
      </c>
      <c r="F6360" s="0" t="s">
        <v>2099</v>
      </c>
      <c r="G6360" s="0" t="s">
        <v>2232</v>
      </c>
      <c r="H6360" s="0" t="s">
        <v>2233</v>
      </c>
      <c r="I6360" s="0" t="s">
        <v>2322</v>
      </c>
      <c r="J6360" s="0" t="s">
        <v>2367</v>
      </c>
      <c r="K6360" s="272" t="n">
        <v>235560</v>
      </c>
    </row>
    <row r="6361" customFormat="false" ht="15" hidden="false" customHeight="false" outlineLevel="0" collapsed="false">
      <c r="A6361" s="0" t="s">
        <v>2041</v>
      </c>
      <c r="B6361" s="0" t="s">
        <v>2042</v>
      </c>
      <c r="C6361" s="0" t="s">
        <v>2156</v>
      </c>
      <c r="D6361" s="0" t="s">
        <v>2105</v>
      </c>
      <c r="E6361" s="0" t="s">
        <v>2045</v>
      </c>
      <c r="F6361" s="0" t="s">
        <v>2099</v>
      </c>
      <c r="G6361" s="0" t="s">
        <v>2232</v>
      </c>
      <c r="H6361" s="0" t="s">
        <v>2234</v>
      </c>
      <c r="I6361" s="0" t="s">
        <v>2322</v>
      </c>
      <c r="J6361" s="0" t="s">
        <v>2367</v>
      </c>
      <c r="K6361" s="272" t="n">
        <v>52700000</v>
      </c>
    </row>
    <row r="6362" customFormat="false" ht="15" hidden="false" customHeight="false" outlineLevel="0" collapsed="false">
      <c r="A6362" s="0" t="s">
        <v>2041</v>
      </c>
      <c r="B6362" s="0" t="s">
        <v>2042</v>
      </c>
      <c r="C6362" s="0" t="s">
        <v>2161</v>
      </c>
      <c r="D6362" s="0" t="s">
        <v>2105</v>
      </c>
      <c r="E6362" s="0" t="s">
        <v>2045</v>
      </c>
      <c r="F6362" s="0" t="s">
        <v>2099</v>
      </c>
      <c r="G6362" s="0" t="s">
        <v>2232</v>
      </c>
      <c r="H6362" s="0" t="s">
        <v>2234</v>
      </c>
      <c r="I6362" s="0" t="s">
        <v>2322</v>
      </c>
      <c r="J6362" s="0" t="s">
        <v>2367</v>
      </c>
      <c r="K6362" s="272" t="n">
        <v>10654591.46</v>
      </c>
    </row>
    <row r="6363" customFormat="false" ht="15" hidden="false" customHeight="false" outlineLevel="0" collapsed="false">
      <c r="A6363" s="0" t="s">
        <v>2041</v>
      </c>
      <c r="B6363" s="0" t="s">
        <v>2042</v>
      </c>
      <c r="C6363" s="0" t="s">
        <v>2156</v>
      </c>
      <c r="D6363" s="0" t="s">
        <v>2105</v>
      </c>
      <c r="E6363" s="0" t="s">
        <v>2045</v>
      </c>
      <c r="F6363" s="0" t="s">
        <v>2099</v>
      </c>
      <c r="G6363" s="0" t="s">
        <v>2232</v>
      </c>
      <c r="H6363" s="0" t="s">
        <v>2235</v>
      </c>
      <c r="I6363" s="0" t="s">
        <v>2322</v>
      </c>
      <c r="J6363" s="0" t="s">
        <v>2367</v>
      </c>
      <c r="K6363" s="272" t="n">
        <v>59100000</v>
      </c>
    </row>
    <row r="6364" customFormat="false" ht="15" hidden="false" customHeight="false" outlineLevel="0" collapsed="false">
      <c r="A6364" s="0" t="s">
        <v>2041</v>
      </c>
      <c r="B6364" s="0" t="s">
        <v>2042</v>
      </c>
      <c r="C6364" s="0" t="s">
        <v>2161</v>
      </c>
      <c r="D6364" s="0" t="s">
        <v>2105</v>
      </c>
      <c r="E6364" s="0" t="s">
        <v>2045</v>
      </c>
      <c r="F6364" s="0" t="s">
        <v>2099</v>
      </c>
      <c r="G6364" s="0" t="s">
        <v>2232</v>
      </c>
      <c r="H6364" s="0" t="s">
        <v>2235</v>
      </c>
      <c r="I6364" s="0" t="s">
        <v>2322</v>
      </c>
      <c r="J6364" s="0" t="s">
        <v>2367</v>
      </c>
      <c r="K6364" s="272" t="n">
        <v>9468828.18</v>
      </c>
    </row>
    <row r="6365" customFormat="false" ht="15" hidden="false" customHeight="false" outlineLevel="0" collapsed="false">
      <c r="A6365" s="0" t="s">
        <v>2041</v>
      </c>
      <c r="B6365" s="0" t="s">
        <v>2042</v>
      </c>
      <c r="C6365" s="0" t="s">
        <v>2156</v>
      </c>
      <c r="D6365" s="0" t="s">
        <v>2105</v>
      </c>
      <c r="E6365" s="0" t="s">
        <v>2045</v>
      </c>
      <c r="F6365" s="0" t="s">
        <v>2099</v>
      </c>
      <c r="G6365" s="0" t="s">
        <v>2236</v>
      </c>
      <c r="H6365" s="0" t="s">
        <v>2233</v>
      </c>
      <c r="I6365" s="0" t="s">
        <v>2124</v>
      </c>
      <c r="J6365" s="0" t="s">
        <v>2367</v>
      </c>
      <c r="K6365" s="272" t="n">
        <v>2650000</v>
      </c>
    </row>
    <row r="6366" customFormat="false" ht="15" hidden="false" customHeight="false" outlineLevel="0" collapsed="false">
      <c r="A6366" s="0" t="s">
        <v>2041</v>
      </c>
      <c r="B6366" s="0" t="s">
        <v>2042</v>
      </c>
      <c r="C6366" s="0" t="s">
        <v>2161</v>
      </c>
      <c r="D6366" s="0" t="s">
        <v>2105</v>
      </c>
      <c r="E6366" s="0" t="s">
        <v>2045</v>
      </c>
      <c r="F6366" s="0" t="s">
        <v>2099</v>
      </c>
      <c r="G6366" s="0" t="s">
        <v>2236</v>
      </c>
      <c r="H6366" s="0" t="s">
        <v>2233</v>
      </c>
      <c r="I6366" s="0" t="s">
        <v>2124</v>
      </c>
      <c r="J6366" s="0" t="s">
        <v>2367</v>
      </c>
      <c r="K6366" s="272" t="n">
        <v>800300</v>
      </c>
    </row>
    <row r="6367" customFormat="false" ht="15" hidden="false" customHeight="false" outlineLevel="0" collapsed="false">
      <c r="A6367" s="0" t="s">
        <v>2041</v>
      </c>
      <c r="B6367" s="0" t="s">
        <v>2042</v>
      </c>
      <c r="C6367" s="0" t="s">
        <v>2156</v>
      </c>
      <c r="D6367" s="0" t="s">
        <v>2105</v>
      </c>
      <c r="E6367" s="0" t="s">
        <v>2045</v>
      </c>
      <c r="F6367" s="0" t="s">
        <v>2099</v>
      </c>
      <c r="G6367" s="0" t="s">
        <v>2236</v>
      </c>
      <c r="H6367" s="0" t="s">
        <v>2233</v>
      </c>
      <c r="I6367" s="0" t="s">
        <v>2322</v>
      </c>
      <c r="J6367" s="0" t="s">
        <v>2367</v>
      </c>
      <c r="K6367" s="272" t="n">
        <v>63200071</v>
      </c>
    </row>
    <row r="6368" customFormat="false" ht="15" hidden="false" customHeight="false" outlineLevel="0" collapsed="false">
      <c r="A6368" s="0" t="s">
        <v>2041</v>
      </c>
      <c r="B6368" s="0" t="s">
        <v>2042</v>
      </c>
      <c r="C6368" s="0" t="s">
        <v>2161</v>
      </c>
      <c r="D6368" s="0" t="s">
        <v>2105</v>
      </c>
      <c r="E6368" s="0" t="s">
        <v>2045</v>
      </c>
      <c r="F6368" s="0" t="s">
        <v>2099</v>
      </c>
      <c r="G6368" s="0" t="s">
        <v>2236</v>
      </c>
      <c r="H6368" s="0" t="s">
        <v>2233</v>
      </c>
      <c r="I6368" s="0" t="s">
        <v>2322</v>
      </c>
      <c r="J6368" s="0" t="s">
        <v>2367</v>
      </c>
      <c r="K6368" s="272" t="n">
        <v>12327355.67</v>
      </c>
    </row>
    <row r="6369" customFormat="false" ht="15" hidden="false" customHeight="false" outlineLevel="0" collapsed="false">
      <c r="A6369" s="0" t="s">
        <v>2041</v>
      </c>
      <c r="B6369" s="0" t="s">
        <v>2042</v>
      </c>
      <c r="C6369" s="0" t="s">
        <v>2156</v>
      </c>
      <c r="D6369" s="0" t="s">
        <v>2105</v>
      </c>
      <c r="E6369" s="0" t="s">
        <v>2045</v>
      </c>
      <c r="F6369" s="0" t="s">
        <v>2099</v>
      </c>
      <c r="G6369" s="0" t="s">
        <v>2236</v>
      </c>
      <c r="H6369" s="0" t="s">
        <v>2237</v>
      </c>
      <c r="I6369" s="0" t="s">
        <v>2322</v>
      </c>
      <c r="J6369" s="0" t="s">
        <v>2367</v>
      </c>
      <c r="K6369" s="272" t="n">
        <v>3500000</v>
      </c>
    </row>
    <row r="6370" customFormat="false" ht="15" hidden="false" customHeight="false" outlineLevel="0" collapsed="false">
      <c r="A6370" s="0" t="s">
        <v>2041</v>
      </c>
      <c r="B6370" s="0" t="s">
        <v>2042</v>
      </c>
      <c r="C6370" s="0" t="s">
        <v>2161</v>
      </c>
      <c r="D6370" s="0" t="s">
        <v>2105</v>
      </c>
      <c r="E6370" s="0" t="s">
        <v>2045</v>
      </c>
      <c r="F6370" s="0" t="s">
        <v>2099</v>
      </c>
      <c r="G6370" s="0" t="s">
        <v>2236</v>
      </c>
      <c r="H6370" s="0" t="s">
        <v>2237</v>
      </c>
      <c r="I6370" s="0" t="s">
        <v>2322</v>
      </c>
      <c r="J6370" s="0" t="s">
        <v>2367</v>
      </c>
      <c r="K6370" s="272" t="n">
        <v>729622.76</v>
      </c>
    </row>
    <row r="6371" customFormat="false" ht="15" hidden="false" customHeight="false" outlineLevel="0" collapsed="false">
      <c r="A6371" s="0" t="s">
        <v>2041</v>
      </c>
      <c r="B6371" s="0" t="s">
        <v>2042</v>
      </c>
      <c r="C6371" s="0" t="s">
        <v>2156</v>
      </c>
      <c r="D6371" s="0" t="s">
        <v>2105</v>
      </c>
      <c r="E6371" s="0" t="s">
        <v>2045</v>
      </c>
      <c r="F6371" s="0" t="s">
        <v>2099</v>
      </c>
      <c r="G6371" s="0" t="s">
        <v>2238</v>
      </c>
      <c r="H6371" s="0" t="s">
        <v>2239</v>
      </c>
      <c r="I6371" s="0" t="s">
        <v>2124</v>
      </c>
      <c r="J6371" s="0" t="s">
        <v>2367</v>
      </c>
      <c r="K6371" s="272" t="n">
        <v>5250000</v>
      </c>
    </row>
    <row r="6372" customFormat="false" ht="15" hidden="false" customHeight="false" outlineLevel="0" collapsed="false">
      <c r="A6372" s="0" t="s">
        <v>2041</v>
      </c>
      <c r="B6372" s="0" t="s">
        <v>2042</v>
      </c>
      <c r="C6372" s="0" t="s">
        <v>2161</v>
      </c>
      <c r="D6372" s="0" t="s">
        <v>2105</v>
      </c>
      <c r="E6372" s="0" t="s">
        <v>2045</v>
      </c>
      <c r="F6372" s="0" t="s">
        <v>2099</v>
      </c>
      <c r="G6372" s="0" t="s">
        <v>2238</v>
      </c>
      <c r="H6372" s="0" t="s">
        <v>2239</v>
      </c>
      <c r="I6372" s="0" t="s">
        <v>2124</v>
      </c>
      <c r="J6372" s="0" t="s">
        <v>2367</v>
      </c>
      <c r="K6372" s="272" t="n">
        <v>1197951</v>
      </c>
    </row>
    <row r="6373" customFormat="false" ht="15" hidden="false" customHeight="false" outlineLevel="0" collapsed="false">
      <c r="A6373" s="0" t="s">
        <v>2041</v>
      </c>
      <c r="B6373" s="0" t="s">
        <v>2042</v>
      </c>
      <c r="C6373" s="0" t="s">
        <v>2156</v>
      </c>
      <c r="D6373" s="0" t="s">
        <v>2105</v>
      </c>
      <c r="E6373" s="0" t="s">
        <v>2045</v>
      </c>
      <c r="F6373" s="0" t="s">
        <v>2099</v>
      </c>
      <c r="G6373" s="0" t="s">
        <v>2238</v>
      </c>
      <c r="H6373" s="0" t="s">
        <v>2239</v>
      </c>
      <c r="I6373" s="0" t="s">
        <v>2201</v>
      </c>
      <c r="J6373" s="0" t="s">
        <v>2367</v>
      </c>
      <c r="K6373" s="272" t="n">
        <v>450000</v>
      </c>
    </row>
    <row r="6374" customFormat="false" ht="15" hidden="false" customHeight="false" outlineLevel="0" collapsed="false">
      <c r="A6374" s="0" t="s">
        <v>2041</v>
      </c>
      <c r="B6374" s="0" t="s">
        <v>2042</v>
      </c>
      <c r="C6374" s="0" t="s">
        <v>2161</v>
      </c>
      <c r="D6374" s="0" t="s">
        <v>2105</v>
      </c>
      <c r="E6374" s="0" t="s">
        <v>2045</v>
      </c>
      <c r="F6374" s="0" t="s">
        <v>2099</v>
      </c>
      <c r="G6374" s="0" t="s">
        <v>2238</v>
      </c>
      <c r="H6374" s="0" t="s">
        <v>2239</v>
      </c>
      <c r="I6374" s="0" t="s">
        <v>2201</v>
      </c>
      <c r="J6374" s="0" t="s">
        <v>2367</v>
      </c>
      <c r="K6374" s="272" t="n">
        <v>135900</v>
      </c>
    </row>
    <row r="6375" customFormat="false" ht="15" hidden="false" customHeight="false" outlineLevel="0" collapsed="false">
      <c r="A6375" s="0" t="s">
        <v>2041</v>
      </c>
      <c r="B6375" s="0" t="s">
        <v>2042</v>
      </c>
      <c r="C6375" s="0" t="s">
        <v>2156</v>
      </c>
      <c r="D6375" s="0" t="s">
        <v>2105</v>
      </c>
      <c r="E6375" s="0" t="s">
        <v>2045</v>
      </c>
      <c r="F6375" s="0" t="s">
        <v>2099</v>
      </c>
      <c r="G6375" s="0" t="s">
        <v>2238</v>
      </c>
      <c r="H6375" s="0" t="s">
        <v>2239</v>
      </c>
      <c r="I6375" s="0" t="s">
        <v>2322</v>
      </c>
      <c r="J6375" s="0" t="s">
        <v>2367</v>
      </c>
      <c r="K6375" s="272" t="n">
        <v>80700000</v>
      </c>
    </row>
    <row r="6376" customFormat="false" ht="15" hidden="false" customHeight="false" outlineLevel="0" collapsed="false">
      <c r="A6376" s="0" t="s">
        <v>2041</v>
      </c>
      <c r="B6376" s="0" t="s">
        <v>2042</v>
      </c>
      <c r="C6376" s="0" t="s">
        <v>2161</v>
      </c>
      <c r="D6376" s="0" t="s">
        <v>2105</v>
      </c>
      <c r="E6376" s="0" t="s">
        <v>2045</v>
      </c>
      <c r="F6376" s="0" t="s">
        <v>2099</v>
      </c>
      <c r="G6376" s="0" t="s">
        <v>2238</v>
      </c>
      <c r="H6376" s="0" t="s">
        <v>2239</v>
      </c>
      <c r="I6376" s="0" t="s">
        <v>2322</v>
      </c>
      <c r="J6376" s="0" t="s">
        <v>2367</v>
      </c>
      <c r="K6376" s="272" t="n">
        <v>19130525.86</v>
      </c>
    </row>
    <row r="6377" customFormat="false" ht="15" hidden="false" customHeight="false" outlineLevel="0" collapsed="false">
      <c r="A6377" s="0" t="s">
        <v>2041</v>
      </c>
      <c r="B6377" s="0" t="s">
        <v>2042</v>
      </c>
      <c r="C6377" s="0" t="s">
        <v>2156</v>
      </c>
      <c r="D6377" s="0" t="s">
        <v>2105</v>
      </c>
      <c r="E6377" s="0" t="s">
        <v>2045</v>
      </c>
      <c r="F6377" s="0" t="s">
        <v>2099</v>
      </c>
      <c r="G6377" s="0" t="s">
        <v>2240</v>
      </c>
      <c r="H6377" s="0" t="s">
        <v>2100</v>
      </c>
      <c r="I6377" s="0" t="s">
        <v>2124</v>
      </c>
      <c r="J6377" s="0" t="s">
        <v>2367</v>
      </c>
      <c r="K6377" s="272" t="n">
        <v>800000</v>
      </c>
    </row>
    <row r="6378" customFormat="false" ht="15" hidden="false" customHeight="false" outlineLevel="0" collapsed="false">
      <c r="A6378" s="0" t="s">
        <v>2041</v>
      </c>
      <c r="B6378" s="0" t="s">
        <v>2042</v>
      </c>
      <c r="C6378" s="0" t="s">
        <v>2161</v>
      </c>
      <c r="D6378" s="0" t="s">
        <v>2105</v>
      </c>
      <c r="E6378" s="0" t="s">
        <v>2045</v>
      </c>
      <c r="F6378" s="0" t="s">
        <v>2099</v>
      </c>
      <c r="G6378" s="0" t="s">
        <v>2240</v>
      </c>
      <c r="H6378" s="0" t="s">
        <v>2100</v>
      </c>
      <c r="I6378" s="0" t="s">
        <v>2124</v>
      </c>
      <c r="J6378" s="0" t="s">
        <v>2367</v>
      </c>
      <c r="K6378" s="272" t="n">
        <v>241600</v>
      </c>
    </row>
    <row r="6379" customFormat="false" ht="15" hidden="false" customHeight="false" outlineLevel="0" collapsed="false">
      <c r="A6379" s="0" t="s">
        <v>2041</v>
      </c>
      <c r="B6379" s="0" t="s">
        <v>2042</v>
      </c>
      <c r="C6379" s="0" t="s">
        <v>2156</v>
      </c>
      <c r="D6379" s="0" t="s">
        <v>2105</v>
      </c>
      <c r="E6379" s="0" t="s">
        <v>2045</v>
      </c>
      <c r="F6379" s="0" t="s">
        <v>2099</v>
      </c>
      <c r="G6379" s="0" t="s">
        <v>2240</v>
      </c>
      <c r="H6379" s="0" t="s">
        <v>2100</v>
      </c>
      <c r="I6379" s="0" t="s">
        <v>2322</v>
      </c>
      <c r="J6379" s="0" t="s">
        <v>2367</v>
      </c>
      <c r="K6379" s="272" t="n">
        <v>72214500</v>
      </c>
    </row>
    <row r="6380" customFormat="false" ht="15" hidden="false" customHeight="false" outlineLevel="0" collapsed="false">
      <c r="A6380" s="0" t="s">
        <v>2041</v>
      </c>
      <c r="B6380" s="0" t="s">
        <v>2042</v>
      </c>
      <c r="C6380" s="0" t="s">
        <v>2161</v>
      </c>
      <c r="D6380" s="0" t="s">
        <v>2105</v>
      </c>
      <c r="E6380" s="0" t="s">
        <v>2045</v>
      </c>
      <c r="F6380" s="0" t="s">
        <v>2099</v>
      </c>
      <c r="G6380" s="0" t="s">
        <v>2240</v>
      </c>
      <c r="H6380" s="0" t="s">
        <v>2100</v>
      </c>
      <c r="I6380" s="0" t="s">
        <v>2322</v>
      </c>
      <c r="J6380" s="0" t="s">
        <v>2367</v>
      </c>
      <c r="K6380" s="272" t="n">
        <v>14978888.76</v>
      </c>
    </row>
    <row r="6381" customFormat="false" ht="15" hidden="false" customHeight="false" outlineLevel="0" collapsed="false">
      <c r="A6381" s="0" t="s">
        <v>2041</v>
      </c>
      <c r="B6381" s="0" t="s">
        <v>2042</v>
      </c>
      <c r="C6381" s="0" t="s">
        <v>2156</v>
      </c>
      <c r="D6381" s="0" t="s">
        <v>2105</v>
      </c>
      <c r="E6381" s="0" t="s">
        <v>2045</v>
      </c>
      <c r="F6381" s="0" t="s">
        <v>2099</v>
      </c>
      <c r="G6381" s="0" t="s">
        <v>2240</v>
      </c>
      <c r="H6381" s="0" t="s">
        <v>2235</v>
      </c>
      <c r="I6381" s="0" t="s">
        <v>2322</v>
      </c>
      <c r="J6381" s="0" t="s">
        <v>2367</v>
      </c>
      <c r="K6381" s="272" t="n">
        <v>730000</v>
      </c>
    </row>
    <row r="6382" customFormat="false" ht="15" hidden="false" customHeight="false" outlineLevel="0" collapsed="false">
      <c r="A6382" s="0" t="s">
        <v>2041</v>
      </c>
      <c r="B6382" s="0" t="s">
        <v>2042</v>
      </c>
      <c r="C6382" s="0" t="s">
        <v>2161</v>
      </c>
      <c r="D6382" s="0" t="s">
        <v>2105</v>
      </c>
      <c r="E6382" s="0" t="s">
        <v>2045</v>
      </c>
      <c r="F6382" s="0" t="s">
        <v>2099</v>
      </c>
      <c r="G6382" s="0" t="s">
        <v>2240</v>
      </c>
      <c r="H6382" s="0" t="s">
        <v>2235</v>
      </c>
      <c r="I6382" s="0" t="s">
        <v>2322</v>
      </c>
      <c r="J6382" s="0" t="s">
        <v>2367</v>
      </c>
      <c r="K6382" s="272" t="n">
        <v>220460</v>
      </c>
    </row>
    <row r="6383" customFormat="false" ht="15" hidden="false" customHeight="false" outlineLevel="0" collapsed="false">
      <c r="A6383" s="0" t="s">
        <v>2041</v>
      </c>
      <c r="B6383" s="0" t="s">
        <v>2042</v>
      </c>
      <c r="C6383" s="0" t="s">
        <v>2156</v>
      </c>
      <c r="D6383" s="0" t="s">
        <v>2105</v>
      </c>
      <c r="E6383" s="0" t="s">
        <v>2045</v>
      </c>
      <c r="F6383" s="0" t="s">
        <v>2099</v>
      </c>
      <c r="G6383" s="0" t="s">
        <v>2241</v>
      </c>
      <c r="H6383" s="0" t="s">
        <v>2242</v>
      </c>
      <c r="I6383" s="0" t="s">
        <v>2322</v>
      </c>
      <c r="J6383" s="0" t="s">
        <v>2367</v>
      </c>
      <c r="K6383" s="272" t="n">
        <v>34672511</v>
      </c>
    </row>
    <row r="6384" customFormat="false" ht="15" hidden="false" customHeight="false" outlineLevel="0" collapsed="false">
      <c r="A6384" s="0" t="s">
        <v>2041</v>
      </c>
      <c r="B6384" s="0" t="s">
        <v>2042</v>
      </c>
      <c r="C6384" s="0" t="s">
        <v>2161</v>
      </c>
      <c r="D6384" s="0" t="s">
        <v>2105</v>
      </c>
      <c r="E6384" s="0" t="s">
        <v>2045</v>
      </c>
      <c r="F6384" s="0" t="s">
        <v>2099</v>
      </c>
      <c r="G6384" s="0" t="s">
        <v>2241</v>
      </c>
      <c r="H6384" s="0" t="s">
        <v>2242</v>
      </c>
      <c r="I6384" s="0" t="s">
        <v>2322</v>
      </c>
      <c r="J6384" s="0" t="s">
        <v>2367</v>
      </c>
      <c r="K6384" s="272" t="n">
        <v>6218325.68</v>
      </c>
    </row>
    <row r="6385" customFormat="false" ht="15" hidden="false" customHeight="false" outlineLevel="0" collapsed="false">
      <c r="A6385" s="0" t="s">
        <v>2041</v>
      </c>
      <c r="B6385" s="0" t="s">
        <v>2042</v>
      </c>
      <c r="C6385" s="0" t="s">
        <v>2156</v>
      </c>
      <c r="D6385" s="0" t="s">
        <v>2105</v>
      </c>
      <c r="E6385" s="0" t="s">
        <v>2045</v>
      </c>
      <c r="F6385" s="0" t="s">
        <v>2099</v>
      </c>
      <c r="G6385" s="0" t="s">
        <v>2243</v>
      </c>
      <c r="H6385" s="0" t="s">
        <v>2244</v>
      </c>
      <c r="I6385" s="0" t="s">
        <v>2124</v>
      </c>
      <c r="J6385" s="0" t="s">
        <v>2367</v>
      </c>
      <c r="K6385" s="272" t="n">
        <v>10129999.8</v>
      </c>
    </row>
    <row r="6386" customFormat="false" ht="15" hidden="false" customHeight="false" outlineLevel="0" collapsed="false">
      <c r="A6386" s="0" t="s">
        <v>2041</v>
      </c>
      <c r="B6386" s="0" t="s">
        <v>2042</v>
      </c>
      <c r="C6386" s="0" t="s">
        <v>2161</v>
      </c>
      <c r="D6386" s="0" t="s">
        <v>2105</v>
      </c>
      <c r="E6386" s="0" t="s">
        <v>2045</v>
      </c>
      <c r="F6386" s="0" t="s">
        <v>2099</v>
      </c>
      <c r="G6386" s="0" t="s">
        <v>2243</v>
      </c>
      <c r="H6386" s="0" t="s">
        <v>2244</v>
      </c>
      <c r="I6386" s="0" t="s">
        <v>2124</v>
      </c>
      <c r="J6386" s="0" t="s">
        <v>2367</v>
      </c>
      <c r="K6386" s="272" t="n">
        <v>2366815.06</v>
      </c>
    </row>
    <row r="6387" customFormat="false" ht="15" hidden="false" customHeight="false" outlineLevel="0" collapsed="false">
      <c r="A6387" s="0" t="s">
        <v>2041</v>
      </c>
      <c r="B6387" s="0" t="s">
        <v>2042</v>
      </c>
      <c r="C6387" s="0" t="s">
        <v>2156</v>
      </c>
      <c r="D6387" s="0" t="s">
        <v>2105</v>
      </c>
      <c r="E6387" s="0" t="s">
        <v>2045</v>
      </c>
      <c r="F6387" s="0" t="s">
        <v>2099</v>
      </c>
      <c r="G6387" s="0" t="s">
        <v>2243</v>
      </c>
      <c r="H6387" s="0" t="s">
        <v>2244</v>
      </c>
      <c r="I6387" s="0" t="s">
        <v>2201</v>
      </c>
      <c r="J6387" s="0" t="s">
        <v>2367</v>
      </c>
      <c r="K6387" s="272" t="n">
        <v>1000000</v>
      </c>
    </row>
    <row r="6388" customFormat="false" ht="15" hidden="false" customHeight="false" outlineLevel="0" collapsed="false">
      <c r="A6388" s="0" t="s">
        <v>2041</v>
      </c>
      <c r="B6388" s="0" t="s">
        <v>2042</v>
      </c>
      <c r="C6388" s="0" t="s">
        <v>2161</v>
      </c>
      <c r="D6388" s="0" t="s">
        <v>2105</v>
      </c>
      <c r="E6388" s="0" t="s">
        <v>2045</v>
      </c>
      <c r="F6388" s="0" t="s">
        <v>2099</v>
      </c>
      <c r="G6388" s="0" t="s">
        <v>2243</v>
      </c>
      <c r="H6388" s="0" t="s">
        <v>2244</v>
      </c>
      <c r="I6388" s="0" t="s">
        <v>2201</v>
      </c>
      <c r="J6388" s="0" t="s">
        <v>2367</v>
      </c>
      <c r="K6388" s="272" t="n">
        <v>302000</v>
      </c>
    </row>
    <row r="6389" customFormat="false" ht="15" hidden="false" customHeight="false" outlineLevel="0" collapsed="false">
      <c r="A6389" s="0" t="s">
        <v>2041</v>
      </c>
      <c r="B6389" s="0" t="s">
        <v>2042</v>
      </c>
      <c r="C6389" s="0" t="s">
        <v>2156</v>
      </c>
      <c r="D6389" s="0" t="s">
        <v>2105</v>
      </c>
      <c r="E6389" s="0" t="s">
        <v>2045</v>
      </c>
      <c r="F6389" s="0" t="s">
        <v>2099</v>
      </c>
      <c r="G6389" s="0" t="s">
        <v>2243</v>
      </c>
      <c r="H6389" s="0" t="s">
        <v>2244</v>
      </c>
      <c r="I6389" s="0" t="s">
        <v>2322</v>
      </c>
      <c r="J6389" s="0" t="s">
        <v>2367</v>
      </c>
      <c r="K6389" s="272" t="n">
        <v>15689010</v>
      </c>
    </row>
    <row r="6390" customFormat="false" ht="15" hidden="false" customHeight="false" outlineLevel="0" collapsed="false">
      <c r="A6390" s="0" t="s">
        <v>2041</v>
      </c>
      <c r="B6390" s="0" t="s">
        <v>2042</v>
      </c>
      <c r="C6390" s="0" t="s">
        <v>2161</v>
      </c>
      <c r="D6390" s="0" t="s">
        <v>2105</v>
      </c>
      <c r="E6390" s="0" t="s">
        <v>2045</v>
      </c>
      <c r="F6390" s="0" t="s">
        <v>2099</v>
      </c>
      <c r="G6390" s="0" t="s">
        <v>2243</v>
      </c>
      <c r="H6390" s="0" t="s">
        <v>2244</v>
      </c>
      <c r="I6390" s="0" t="s">
        <v>2322</v>
      </c>
      <c r="J6390" s="0" t="s">
        <v>2367</v>
      </c>
      <c r="K6390" s="272" t="n">
        <v>4283284.19</v>
      </c>
    </row>
    <row r="6391" customFormat="false" ht="15" hidden="false" customHeight="false" outlineLevel="0" collapsed="false">
      <c r="A6391" s="0" t="s">
        <v>2041</v>
      </c>
      <c r="B6391" s="0" t="s">
        <v>2042</v>
      </c>
      <c r="C6391" s="0" t="s">
        <v>2156</v>
      </c>
      <c r="D6391" s="0" t="s">
        <v>2105</v>
      </c>
      <c r="E6391" s="0" t="s">
        <v>2045</v>
      </c>
      <c r="F6391" s="0" t="s">
        <v>2099</v>
      </c>
      <c r="G6391" s="0" t="s">
        <v>2243</v>
      </c>
      <c r="H6391" s="0" t="s">
        <v>2245</v>
      </c>
      <c r="I6391" s="0" t="s">
        <v>2246</v>
      </c>
      <c r="J6391" s="0" t="s">
        <v>2367</v>
      </c>
      <c r="K6391" s="272" t="n">
        <v>14300000</v>
      </c>
    </row>
    <row r="6392" customFormat="false" ht="15" hidden="false" customHeight="false" outlineLevel="0" collapsed="false">
      <c r="A6392" s="0" t="s">
        <v>2041</v>
      </c>
      <c r="B6392" s="0" t="s">
        <v>2042</v>
      </c>
      <c r="C6392" s="0" t="s">
        <v>2161</v>
      </c>
      <c r="D6392" s="0" t="s">
        <v>2105</v>
      </c>
      <c r="E6392" s="0" t="s">
        <v>2045</v>
      </c>
      <c r="F6392" s="0" t="s">
        <v>2099</v>
      </c>
      <c r="G6392" s="0" t="s">
        <v>2243</v>
      </c>
      <c r="H6392" s="0" t="s">
        <v>2245</v>
      </c>
      <c r="I6392" s="0" t="s">
        <v>2246</v>
      </c>
      <c r="J6392" s="0" t="s">
        <v>2367</v>
      </c>
      <c r="K6392" s="272" t="n">
        <v>3433198.51</v>
      </c>
    </row>
    <row r="6393" customFormat="false" ht="15" hidden="false" customHeight="false" outlineLevel="0" collapsed="false">
      <c r="A6393" s="0" t="s">
        <v>2041</v>
      </c>
      <c r="B6393" s="0" t="s">
        <v>2042</v>
      </c>
      <c r="C6393" s="0" t="s">
        <v>2156</v>
      </c>
      <c r="D6393" s="0" t="s">
        <v>2105</v>
      </c>
      <c r="E6393" s="0" t="s">
        <v>2045</v>
      </c>
      <c r="F6393" s="0" t="s">
        <v>2099</v>
      </c>
      <c r="G6393" s="0" t="s">
        <v>2243</v>
      </c>
      <c r="H6393" s="0" t="s">
        <v>2245</v>
      </c>
      <c r="I6393" s="0" t="s">
        <v>2322</v>
      </c>
      <c r="J6393" s="0" t="s">
        <v>2367</v>
      </c>
      <c r="K6393" s="272" t="n">
        <v>196425</v>
      </c>
    </row>
    <row r="6394" customFormat="false" ht="15" hidden="false" customHeight="false" outlineLevel="0" collapsed="false">
      <c r="A6394" s="0" t="s">
        <v>2041</v>
      </c>
      <c r="B6394" s="0" t="s">
        <v>2042</v>
      </c>
      <c r="C6394" s="0" t="s">
        <v>2161</v>
      </c>
      <c r="D6394" s="0" t="s">
        <v>2105</v>
      </c>
      <c r="E6394" s="0" t="s">
        <v>2045</v>
      </c>
      <c r="F6394" s="0" t="s">
        <v>2099</v>
      </c>
      <c r="G6394" s="0" t="s">
        <v>2243</v>
      </c>
      <c r="H6394" s="0" t="s">
        <v>2245</v>
      </c>
      <c r="I6394" s="0" t="s">
        <v>2322</v>
      </c>
      <c r="J6394" s="0" t="s">
        <v>2367</v>
      </c>
      <c r="K6394" s="272" t="n">
        <v>59320.35</v>
      </c>
    </row>
    <row r="6395" customFormat="false" ht="15" hidden="false" customHeight="false" outlineLevel="0" collapsed="false">
      <c r="A6395" s="0" t="s">
        <v>2041</v>
      </c>
      <c r="B6395" s="0" t="s">
        <v>2042</v>
      </c>
      <c r="C6395" s="0" t="s">
        <v>2156</v>
      </c>
      <c r="D6395" s="0" t="s">
        <v>2105</v>
      </c>
      <c r="E6395" s="0" t="s">
        <v>2045</v>
      </c>
      <c r="F6395" s="0" t="s">
        <v>2099</v>
      </c>
      <c r="G6395" s="0" t="s">
        <v>2243</v>
      </c>
      <c r="H6395" s="0" t="s">
        <v>2247</v>
      </c>
      <c r="I6395" s="0" t="s">
        <v>2124</v>
      </c>
      <c r="J6395" s="0" t="s">
        <v>2367</v>
      </c>
      <c r="K6395" s="272" t="n">
        <v>2260000</v>
      </c>
    </row>
    <row r="6396" customFormat="false" ht="15" hidden="false" customHeight="false" outlineLevel="0" collapsed="false">
      <c r="A6396" s="0" t="s">
        <v>2041</v>
      </c>
      <c r="B6396" s="0" t="s">
        <v>2042</v>
      </c>
      <c r="C6396" s="0" t="s">
        <v>2161</v>
      </c>
      <c r="D6396" s="0" t="s">
        <v>2105</v>
      </c>
      <c r="E6396" s="0" t="s">
        <v>2045</v>
      </c>
      <c r="F6396" s="0" t="s">
        <v>2099</v>
      </c>
      <c r="G6396" s="0" t="s">
        <v>2243</v>
      </c>
      <c r="H6396" s="0" t="s">
        <v>2247</v>
      </c>
      <c r="I6396" s="0" t="s">
        <v>2124</v>
      </c>
      <c r="J6396" s="0" t="s">
        <v>2367</v>
      </c>
      <c r="K6396" s="272" t="n">
        <v>682520</v>
      </c>
    </row>
    <row r="6397" customFormat="false" ht="15" hidden="false" customHeight="false" outlineLevel="0" collapsed="false">
      <c r="A6397" s="0" t="s">
        <v>2041</v>
      </c>
      <c r="B6397" s="0" t="s">
        <v>2042</v>
      </c>
      <c r="C6397" s="0" t="s">
        <v>2156</v>
      </c>
      <c r="D6397" s="0" t="s">
        <v>2105</v>
      </c>
      <c r="E6397" s="0" t="s">
        <v>2045</v>
      </c>
      <c r="F6397" s="0" t="s">
        <v>2099</v>
      </c>
      <c r="G6397" s="0" t="s">
        <v>2243</v>
      </c>
      <c r="H6397" s="0" t="s">
        <v>2247</v>
      </c>
      <c r="I6397" s="0" t="s">
        <v>2201</v>
      </c>
      <c r="J6397" s="0" t="s">
        <v>2367</v>
      </c>
      <c r="K6397" s="272" t="n">
        <v>22290000</v>
      </c>
    </row>
    <row r="6398" customFormat="false" ht="15" hidden="false" customHeight="false" outlineLevel="0" collapsed="false">
      <c r="A6398" s="0" t="s">
        <v>2041</v>
      </c>
      <c r="B6398" s="0" t="s">
        <v>2042</v>
      </c>
      <c r="C6398" s="0" t="s">
        <v>2161</v>
      </c>
      <c r="D6398" s="0" t="s">
        <v>2105</v>
      </c>
      <c r="E6398" s="0" t="s">
        <v>2045</v>
      </c>
      <c r="F6398" s="0" t="s">
        <v>2099</v>
      </c>
      <c r="G6398" s="0" t="s">
        <v>2243</v>
      </c>
      <c r="H6398" s="0" t="s">
        <v>2247</v>
      </c>
      <c r="I6398" s="0" t="s">
        <v>2201</v>
      </c>
      <c r="J6398" s="0" t="s">
        <v>2367</v>
      </c>
      <c r="K6398" s="272" t="n">
        <v>5667720.9</v>
      </c>
    </row>
    <row r="6399" customFormat="false" ht="15" hidden="false" customHeight="false" outlineLevel="0" collapsed="false">
      <c r="A6399" s="0" t="s">
        <v>2041</v>
      </c>
      <c r="B6399" s="0" t="s">
        <v>2042</v>
      </c>
      <c r="C6399" s="0" t="s">
        <v>2156</v>
      </c>
      <c r="D6399" s="0" t="s">
        <v>2105</v>
      </c>
      <c r="E6399" s="0" t="s">
        <v>2045</v>
      </c>
      <c r="F6399" s="0" t="s">
        <v>2099</v>
      </c>
      <c r="G6399" s="0" t="s">
        <v>2243</v>
      </c>
      <c r="H6399" s="0" t="s">
        <v>2247</v>
      </c>
      <c r="I6399" s="0" t="s">
        <v>2322</v>
      </c>
      <c r="J6399" s="0" t="s">
        <v>2367</v>
      </c>
      <c r="K6399" s="272" t="n">
        <v>2250000</v>
      </c>
    </row>
    <row r="6400" customFormat="false" ht="15" hidden="false" customHeight="false" outlineLevel="0" collapsed="false">
      <c r="A6400" s="0" t="s">
        <v>2041</v>
      </c>
      <c r="B6400" s="0" t="s">
        <v>2042</v>
      </c>
      <c r="C6400" s="0" t="s">
        <v>2161</v>
      </c>
      <c r="D6400" s="0" t="s">
        <v>2105</v>
      </c>
      <c r="E6400" s="0" t="s">
        <v>2045</v>
      </c>
      <c r="F6400" s="0" t="s">
        <v>2099</v>
      </c>
      <c r="G6400" s="0" t="s">
        <v>2243</v>
      </c>
      <c r="H6400" s="0" t="s">
        <v>2247</v>
      </c>
      <c r="I6400" s="0" t="s">
        <v>2322</v>
      </c>
      <c r="J6400" s="0" t="s">
        <v>2367</v>
      </c>
      <c r="K6400" s="272" t="n">
        <v>647339.48</v>
      </c>
    </row>
    <row r="6401" customFormat="false" ht="15" hidden="false" customHeight="false" outlineLevel="0" collapsed="false">
      <c r="A6401" s="0" t="s">
        <v>2041</v>
      </c>
      <c r="B6401" s="0" t="s">
        <v>2042</v>
      </c>
      <c r="C6401" s="0" t="s">
        <v>2156</v>
      </c>
      <c r="D6401" s="0" t="s">
        <v>2105</v>
      </c>
      <c r="E6401" s="0" t="s">
        <v>2045</v>
      </c>
      <c r="F6401" s="0" t="s">
        <v>2099</v>
      </c>
      <c r="G6401" s="0" t="s">
        <v>2248</v>
      </c>
      <c r="H6401" s="0" t="s">
        <v>2244</v>
      </c>
      <c r="I6401" s="0" t="s">
        <v>2246</v>
      </c>
      <c r="J6401" s="0" t="s">
        <v>2367</v>
      </c>
      <c r="K6401" s="272" t="n">
        <v>480000</v>
      </c>
    </row>
    <row r="6402" customFormat="false" ht="15" hidden="false" customHeight="false" outlineLevel="0" collapsed="false">
      <c r="A6402" s="0" t="s">
        <v>2041</v>
      </c>
      <c r="B6402" s="0" t="s">
        <v>2042</v>
      </c>
      <c r="C6402" s="0" t="s">
        <v>2161</v>
      </c>
      <c r="D6402" s="0" t="s">
        <v>2105</v>
      </c>
      <c r="E6402" s="0" t="s">
        <v>2045</v>
      </c>
      <c r="F6402" s="0" t="s">
        <v>2099</v>
      </c>
      <c r="G6402" s="0" t="s">
        <v>2248</v>
      </c>
      <c r="H6402" s="0" t="s">
        <v>2244</v>
      </c>
      <c r="I6402" s="0" t="s">
        <v>2246</v>
      </c>
      <c r="J6402" s="0" t="s">
        <v>2367</v>
      </c>
      <c r="K6402" s="272" t="n">
        <v>144960</v>
      </c>
    </row>
    <row r="6403" customFormat="false" ht="15" hidden="false" customHeight="false" outlineLevel="0" collapsed="false">
      <c r="A6403" s="0" t="s">
        <v>2041</v>
      </c>
      <c r="B6403" s="0" t="s">
        <v>2042</v>
      </c>
      <c r="C6403" s="0" t="s">
        <v>2156</v>
      </c>
      <c r="D6403" s="0" t="s">
        <v>2105</v>
      </c>
      <c r="E6403" s="0" t="s">
        <v>2045</v>
      </c>
      <c r="F6403" s="0" t="s">
        <v>2099</v>
      </c>
      <c r="G6403" s="0" t="s">
        <v>2248</v>
      </c>
      <c r="H6403" s="0" t="s">
        <v>2245</v>
      </c>
      <c r="I6403" s="0" t="s">
        <v>2246</v>
      </c>
      <c r="J6403" s="0" t="s">
        <v>2367</v>
      </c>
      <c r="K6403" s="272" t="n">
        <v>315000</v>
      </c>
    </row>
    <row r="6404" customFormat="false" ht="15" hidden="false" customHeight="false" outlineLevel="0" collapsed="false">
      <c r="A6404" s="0" t="s">
        <v>2041</v>
      </c>
      <c r="B6404" s="0" t="s">
        <v>2042</v>
      </c>
      <c r="C6404" s="0" t="s">
        <v>2161</v>
      </c>
      <c r="D6404" s="0" t="s">
        <v>2105</v>
      </c>
      <c r="E6404" s="0" t="s">
        <v>2045</v>
      </c>
      <c r="F6404" s="0" t="s">
        <v>2099</v>
      </c>
      <c r="G6404" s="0" t="s">
        <v>2248</v>
      </c>
      <c r="H6404" s="0" t="s">
        <v>2245</v>
      </c>
      <c r="I6404" s="0" t="s">
        <v>2246</v>
      </c>
      <c r="J6404" s="0" t="s">
        <v>2367</v>
      </c>
      <c r="K6404" s="272" t="n">
        <v>95130</v>
      </c>
    </row>
    <row r="6405" customFormat="false" ht="15" hidden="false" customHeight="false" outlineLevel="0" collapsed="false">
      <c r="A6405" s="0" t="s">
        <v>2041</v>
      </c>
      <c r="B6405" s="0" t="s">
        <v>2042</v>
      </c>
      <c r="C6405" s="0" t="s">
        <v>2156</v>
      </c>
      <c r="D6405" s="0" t="s">
        <v>2105</v>
      </c>
      <c r="E6405" s="0" t="s">
        <v>2045</v>
      </c>
      <c r="F6405" s="0" t="s">
        <v>2099</v>
      </c>
      <c r="G6405" s="0" t="s">
        <v>2249</v>
      </c>
      <c r="H6405" s="0" t="s">
        <v>2245</v>
      </c>
      <c r="I6405" s="0" t="s">
        <v>2246</v>
      </c>
      <c r="J6405" s="0" t="s">
        <v>2367</v>
      </c>
      <c r="K6405" s="272" t="n">
        <v>2587500</v>
      </c>
    </row>
    <row r="6406" customFormat="false" ht="15" hidden="false" customHeight="false" outlineLevel="0" collapsed="false">
      <c r="A6406" s="0" t="s">
        <v>2041</v>
      </c>
      <c r="B6406" s="0" t="s">
        <v>2042</v>
      </c>
      <c r="C6406" s="0" t="s">
        <v>2161</v>
      </c>
      <c r="D6406" s="0" t="s">
        <v>2105</v>
      </c>
      <c r="E6406" s="0" t="s">
        <v>2045</v>
      </c>
      <c r="F6406" s="0" t="s">
        <v>2099</v>
      </c>
      <c r="G6406" s="0" t="s">
        <v>2249</v>
      </c>
      <c r="H6406" s="0" t="s">
        <v>2245</v>
      </c>
      <c r="I6406" s="0" t="s">
        <v>2246</v>
      </c>
      <c r="J6406" s="0" t="s">
        <v>2367</v>
      </c>
      <c r="K6406" s="272" t="n">
        <v>781425</v>
      </c>
    </row>
    <row r="6407" customFormat="false" ht="15" hidden="false" customHeight="false" outlineLevel="0" collapsed="false">
      <c r="A6407" s="0" t="s">
        <v>2041</v>
      </c>
      <c r="B6407" s="0" t="s">
        <v>2042</v>
      </c>
      <c r="C6407" s="0" t="s">
        <v>2156</v>
      </c>
      <c r="D6407" s="0" t="s">
        <v>2105</v>
      </c>
      <c r="E6407" s="0" t="s">
        <v>2045</v>
      </c>
      <c r="F6407" s="0" t="s">
        <v>2250</v>
      </c>
      <c r="G6407" s="0" t="s">
        <v>2251</v>
      </c>
      <c r="H6407" s="0" t="s">
        <v>2252</v>
      </c>
      <c r="I6407" s="0" t="s">
        <v>2322</v>
      </c>
      <c r="J6407" s="0" t="s">
        <v>2367</v>
      </c>
      <c r="K6407" s="272" t="n">
        <v>16321000</v>
      </c>
    </row>
    <row r="6408" customFormat="false" ht="15" hidden="false" customHeight="false" outlineLevel="0" collapsed="false">
      <c r="A6408" s="0" t="s">
        <v>2041</v>
      </c>
      <c r="B6408" s="0" t="s">
        <v>2042</v>
      </c>
      <c r="C6408" s="0" t="s">
        <v>2161</v>
      </c>
      <c r="D6408" s="0" t="s">
        <v>2105</v>
      </c>
      <c r="E6408" s="0" t="s">
        <v>2045</v>
      </c>
      <c r="F6408" s="0" t="s">
        <v>2250</v>
      </c>
      <c r="G6408" s="0" t="s">
        <v>2251</v>
      </c>
      <c r="H6408" s="0" t="s">
        <v>2252</v>
      </c>
      <c r="I6408" s="0" t="s">
        <v>2322</v>
      </c>
      <c r="J6408" s="0" t="s">
        <v>2367</v>
      </c>
      <c r="K6408" s="272" t="n">
        <v>4193638.68</v>
      </c>
    </row>
    <row r="6409" customFormat="false" ht="15" hidden="false" customHeight="false" outlineLevel="0" collapsed="false">
      <c r="A6409" s="0" t="s">
        <v>2041</v>
      </c>
      <c r="B6409" s="0" t="s">
        <v>2042</v>
      </c>
      <c r="C6409" s="0" t="s">
        <v>2156</v>
      </c>
      <c r="D6409" s="0" t="s">
        <v>2105</v>
      </c>
      <c r="E6409" s="0" t="s">
        <v>2045</v>
      </c>
      <c r="F6409" s="0" t="s">
        <v>2250</v>
      </c>
      <c r="G6409" s="0" t="s">
        <v>2251</v>
      </c>
      <c r="H6409" s="0" t="s">
        <v>2253</v>
      </c>
      <c r="I6409" s="0" t="s">
        <v>2254</v>
      </c>
      <c r="J6409" s="0" t="s">
        <v>2367</v>
      </c>
      <c r="K6409" s="272" t="n">
        <v>1405000</v>
      </c>
    </row>
    <row r="6410" customFormat="false" ht="15" hidden="false" customHeight="false" outlineLevel="0" collapsed="false">
      <c r="A6410" s="0" t="s">
        <v>2041</v>
      </c>
      <c r="B6410" s="0" t="s">
        <v>2042</v>
      </c>
      <c r="C6410" s="0" t="s">
        <v>2161</v>
      </c>
      <c r="D6410" s="0" t="s">
        <v>2105</v>
      </c>
      <c r="E6410" s="0" t="s">
        <v>2045</v>
      </c>
      <c r="F6410" s="0" t="s">
        <v>2250</v>
      </c>
      <c r="G6410" s="0" t="s">
        <v>2251</v>
      </c>
      <c r="H6410" s="0" t="s">
        <v>2253</v>
      </c>
      <c r="I6410" s="0" t="s">
        <v>2254</v>
      </c>
      <c r="J6410" s="0" t="s">
        <v>2367</v>
      </c>
      <c r="K6410" s="272" t="n">
        <v>424310</v>
      </c>
    </row>
    <row r="6411" customFormat="false" ht="15" hidden="false" customHeight="false" outlineLevel="0" collapsed="false">
      <c r="A6411" s="0" t="s">
        <v>2041</v>
      </c>
      <c r="B6411" s="0" t="s">
        <v>2042</v>
      </c>
      <c r="C6411" s="0" t="s">
        <v>2156</v>
      </c>
      <c r="D6411" s="0" t="s">
        <v>2105</v>
      </c>
      <c r="E6411" s="0" t="s">
        <v>2045</v>
      </c>
      <c r="F6411" s="0" t="s">
        <v>2250</v>
      </c>
      <c r="G6411" s="0" t="s">
        <v>2251</v>
      </c>
      <c r="H6411" s="0" t="s">
        <v>2253</v>
      </c>
      <c r="I6411" s="0" t="s">
        <v>2322</v>
      </c>
      <c r="J6411" s="0" t="s">
        <v>2367</v>
      </c>
      <c r="K6411" s="272" t="n">
        <v>27870856</v>
      </c>
    </row>
    <row r="6412" customFormat="false" ht="15" hidden="false" customHeight="false" outlineLevel="0" collapsed="false">
      <c r="A6412" s="0" t="s">
        <v>2041</v>
      </c>
      <c r="B6412" s="0" t="s">
        <v>2042</v>
      </c>
      <c r="C6412" s="0" t="s">
        <v>2161</v>
      </c>
      <c r="D6412" s="0" t="s">
        <v>2105</v>
      </c>
      <c r="E6412" s="0" t="s">
        <v>2045</v>
      </c>
      <c r="F6412" s="0" t="s">
        <v>2250</v>
      </c>
      <c r="G6412" s="0" t="s">
        <v>2251</v>
      </c>
      <c r="H6412" s="0" t="s">
        <v>2253</v>
      </c>
      <c r="I6412" s="0" t="s">
        <v>2322</v>
      </c>
      <c r="J6412" s="0" t="s">
        <v>2367</v>
      </c>
      <c r="K6412" s="272" t="n">
        <v>7378365.03833333</v>
      </c>
    </row>
    <row r="6413" customFormat="false" ht="15" hidden="false" customHeight="false" outlineLevel="0" collapsed="false">
      <c r="A6413" s="0" t="s">
        <v>2041</v>
      </c>
      <c r="B6413" s="0" t="s">
        <v>2042</v>
      </c>
      <c r="C6413" s="0" t="s">
        <v>2156</v>
      </c>
      <c r="D6413" s="0" t="s">
        <v>2105</v>
      </c>
      <c r="E6413" s="0" t="s">
        <v>2045</v>
      </c>
      <c r="F6413" s="0" t="s">
        <v>2250</v>
      </c>
      <c r="G6413" s="0" t="s">
        <v>2251</v>
      </c>
      <c r="H6413" s="0" t="s">
        <v>2255</v>
      </c>
      <c r="I6413" s="0" t="s">
        <v>2101</v>
      </c>
      <c r="J6413" s="0" t="s">
        <v>2367</v>
      </c>
      <c r="K6413" s="272" t="n">
        <v>1063523</v>
      </c>
    </row>
    <row r="6414" customFormat="false" ht="15" hidden="false" customHeight="false" outlineLevel="0" collapsed="false">
      <c r="A6414" s="0" t="s">
        <v>2041</v>
      </c>
      <c r="B6414" s="0" t="s">
        <v>2042</v>
      </c>
      <c r="C6414" s="0" t="s">
        <v>2161</v>
      </c>
      <c r="D6414" s="0" t="s">
        <v>2105</v>
      </c>
      <c r="E6414" s="0" t="s">
        <v>2045</v>
      </c>
      <c r="F6414" s="0" t="s">
        <v>2250</v>
      </c>
      <c r="G6414" s="0" t="s">
        <v>2251</v>
      </c>
      <c r="H6414" s="0" t="s">
        <v>2255</v>
      </c>
      <c r="I6414" s="0" t="s">
        <v>2101</v>
      </c>
      <c r="J6414" s="0" t="s">
        <v>2367</v>
      </c>
      <c r="K6414" s="272" t="n">
        <v>321183.95</v>
      </c>
    </row>
    <row r="6415" customFormat="false" ht="15" hidden="false" customHeight="false" outlineLevel="0" collapsed="false">
      <c r="A6415" s="0" t="s">
        <v>2041</v>
      </c>
      <c r="B6415" s="0" t="s">
        <v>2042</v>
      </c>
      <c r="C6415" s="0" t="s">
        <v>2156</v>
      </c>
      <c r="D6415" s="0" t="s">
        <v>2105</v>
      </c>
      <c r="E6415" s="0" t="s">
        <v>2045</v>
      </c>
      <c r="F6415" s="0" t="s">
        <v>2250</v>
      </c>
      <c r="G6415" s="0" t="s">
        <v>2251</v>
      </c>
      <c r="H6415" s="0" t="s">
        <v>2255</v>
      </c>
      <c r="I6415" s="0" t="s">
        <v>2322</v>
      </c>
      <c r="J6415" s="0" t="s">
        <v>2367</v>
      </c>
      <c r="K6415" s="272" t="n">
        <v>10005000</v>
      </c>
    </row>
    <row r="6416" customFormat="false" ht="15" hidden="false" customHeight="false" outlineLevel="0" collapsed="false">
      <c r="A6416" s="0" t="s">
        <v>2041</v>
      </c>
      <c r="B6416" s="0" t="s">
        <v>2042</v>
      </c>
      <c r="C6416" s="0" t="s">
        <v>2161</v>
      </c>
      <c r="D6416" s="0" t="s">
        <v>2105</v>
      </c>
      <c r="E6416" s="0" t="s">
        <v>2045</v>
      </c>
      <c r="F6416" s="0" t="s">
        <v>2250</v>
      </c>
      <c r="G6416" s="0" t="s">
        <v>2251</v>
      </c>
      <c r="H6416" s="0" t="s">
        <v>2255</v>
      </c>
      <c r="I6416" s="0" t="s">
        <v>2322</v>
      </c>
      <c r="J6416" s="0" t="s">
        <v>2367</v>
      </c>
      <c r="K6416" s="272" t="n">
        <v>2438407.32</v>
      </c>
    </row>
    <row r="6417" customFormat="false" ht="15" hidden="false" customHeight="false" outlineLevel="0" collapsed="false">
      <c r="A6417" s="0" t="s">
        <v>2041</v>
      </c>
      <c r="B6417" s="0" t="s">
        <v>2042</v>
      </c>
      <c r="C6417" s="0" t="s">
        <v>2156</v>
      </c>
      <c r="D6417" s="0" t="s">
        <v>2105</v>
      </c>
      <c r="E6417" s="0" t="s">
        <v>2045</v>
      </c>
      <c r="F6417" s="0" t="s">
        <v>2256</v>
      </c>
      <c r="G6417" s="0" t="s">
        <v>2257</v>
      </c>
      <c r="H6417" s="0" t="s">
        <v>2179</v>
      </c>
      <c r="I6417" s="0" t="s">
        <v>2322</v>
      </c>
      <c r="J6417" s="0" t="s">
        <v>2367</v>
      </c>
      <c r="K6417" s="272" t="n">
        <v>30000000</v>
      </c>
    </row>
    <row r="6418" customFormat="false" ht="15" hidden="false" customHeight="false" outlineLevel="0" collapsed="false">
      <c r="A6418" s="0" t="s">
        <v>2041</v>
      </c>
      <c r="B6418" s="0" t="s">
        <v>2042</v>
      </c>
      <c r="C6418" s="0" t="s">
        <v>2161</v>
      </c>
      <c r="D6418" s="0" t="s">
        <v>2105</v>
      </c>
      <c r="E6418" s="0" t="s">
        <v>2045</v>
      </c>
      <c r="F6418" s="0" t="s">
        <v>2256</v>
      </c>
      <c r="G6418" s="0" t="s">
        <v>2257</v>
      </c>
      <c r="H6418" s="0" t="s">
        <v>2179</v>
      </c>
      <c r="I6418" s="0" t="s">
        <v>2322</v>
      </c>
      <c r="J6418" s="0" t="s">
        <v>2367</v>
      </c>
      <c r="K6418" s="272" t="n">
        <v>4590000</v>
      </c>
    </row>
    <row r="6419" customFormat="false" ht="15" hidden="false" customHeight="false" outlineLevel="0" collapsed="false">
      <c r="A6419" s="0" t="s">
        <v>2041</v>
      </c>
      <c r="B6419" s="0" t="s">
        <v>2042</v>
      </c>
      <c r="C6419" s="0" t="s">
        <v>2156</v>
      </c>
      <c r="D6419" s="0" t="s">
        <v>2105</v>
      </c>
      <c r="E6419" s="0" t="s">
        <v>2045</v>
      </c>
      <c r="F6419" s="0" t="s">
        <v>2256</v>
      </c>
      <c r="G6419" s="0" t="s">
        <v>2257</v>
      </c>
      <c r="H6419" s="0" t="s">
        <v>2258</v>
      </c>
      <c r="I6419" s="0" t="s">
        <v>2322</v>
      </c>
      <c r="J6419" s="0" t="s">
        <v>2367</v>
      </c>
      <c r="K6419" s="272" t="n">
        <v>82090000</v>
      </c>
    </row>
    <row r="6420" customFormat="false" ht="15" hidden="false" customHeight="false" outlineLevel="0" collapsed="false">
      <c r="A6420" s="0" t="s">
        <v>2041</v>
      </c>
      <c r="B6420" s="0" t="s">
        <v>2042</v>
      </c>
      <c r="C6420" s="0" t="s">
        <v>2161</v>
      </c>
      <c r="D6420" s="0" t="s">
        <v>2105</v>
      </c>
      <c r="E6420" s="0" t="s">
        <v>2045</v>
      </c>
      <c r="F6420" s="0" t="s">
        <v>2256</v>
      </c>
      <c r="G6420" s="0" t="s">
        <v>2257</v>
      </c>
      <c r="H6420" s="0" t="s">
        <v>2258</v>
      </c>
      <c r="I6420" s="0" t="s">
        <v>2322</v>
      </c>
      <c r="J6420" s="0" t="s">
        <v>2367</v>
      </c>
      <c r="K6420" s="272" t="n">
        <v>12871180</v>
      </c>
    </row>
    <row r="6421" customFormat="false" ht="15" hidden="false" customHeight="false" outlineLevel="0" collapsed="false">
      <c r="A6421" s="0" t="s">
        <v>2041</v>
      </c>
      <c r="B6421" s="0" t="s">
        <v>2042</v>
      </c>
      <c r="C6421" s="0" t="s">
        <v>2156</v>
      </c>
      <c r="D6421" s="0" t="s">
        <v>2105</v>
      </c>
      <c r="E6421" s="0" t="s">
        <v>2045</v>
      </c>
      <c r="F6421" s="0" t="s">
        <v>2256</v>
      </c>
      <c r="G6421" s="0" t="s">
        <v>2259</v>
      </c>
      <c r="H6421" s="0" t="s">
        <v>2258</v>
      </c>
      <c r="I6421" s="0" t="s">
        <v>2124</v>
      </c>
      <c r="J6421" s="0" t="s">
        <v>2367</v>
      </c>
      <c r="K6421" s="272" t="n">
        <v>48740000</v>
      </c>
    </row>
    <row r="6422" customFormat="false" ht="15" hidden="false" customHeight="false" outlineLevel="0" collapsed="false">
      <c r="A6422" s="0" t="s">
        <v>2041</v>
      </c>
      <c r="B6422" s="0" t="s">
        <v>2042</v>
      </c>
      <c r="C6422" s="0" t="s">
        <v>2161</v>
      </c>
      <c r="D6422" s="0" t="s">
        <v>2105</v>
      </c>
      <c r="E6422" s="0" t="s">
        <v>2045</v>
      </c>
      <c r="F6422" s="0" t="s">
        <v>2256</v>
      </c>
      <c r="G6422" s="0" t="s">
        <v>2259</v>
      </c>
      <c r="H6422" s="0" t="s">
        <v>2258</v>
      </c>
      <c r="I6422" s="0" t="s">
        <v>2124</v>
      </c>
      <c r="J6422" s="0" t="s">
        <v>2367</v>
      </c>
      <c r="K6422" s="272" t="n">
        <v>10072223.93</v>
      </c>
    </row>
    <row r="6423" customFormat="false" ht="15" hidden="false" customHeight="false" outlineLevel="0" collapsed="false">
      <c r="A6423" s="0" t="s">
        <v>2041</v>
      </c>
      <c r="B6423" s="0" t="s">
        <v>2042</v>
      </c>
      <c r="C6423" s="0" t="s">
        <v>2156</v>
      </c>
      <c r="D6423" s="0" t="s">
        <v>2105</v>
      </c>
      <c r="E6423" s="0" t="s">
        <v>2045</v>
      </c>
      <c r="F6423" s="0" t="s">
        <v>2256</v>
      </c>
      <c r="G6423" s="0" t="s">
        <v>2259</v>
      </c>
      <c r="H6423" s="0" t="s">
        <v>2258</v>
      </c>
      <c r="I6423" s="0" t="s">
        <v>2322</v>
      </c>
      <c r="J6423" s="0" t="s">
        <v>2367</v>
      </c>
      <c r="K6423" s="272" t="n">
        <v>723775000</v>
      </c>
    </row>
    <row r="6424" customFormat="false" ht="15" hidden="false" customHeight="false" outlineLevel="0" collapsed="false">
      <c r="A6424" s="0" t="s">
        <v>2041</v>
      </c>
      <c r="B6424" s="0" t="s">
        <v>2042</v>
      </c>
      <c r="C6424" s="0" t="s">
        <v>2161</v>
      </c>
      <c r="D6424" s="0" t="s">
        <v>2105</v>
      </c>
      <c r="E6424" s="0" t="s">
        <v>2045</v>
      </c>
      <c r="F6424" s="0" t="s">
        <v>2256</v>
      </c>
      <c r="G6424" s="0" t="s">
        <v>2259</v>
      </c>
      <c r="H6424" s="0" t="s">
        <v>2258</v>
      </c>
      <c r="I6424" s="0" t="s">
        <v>2322</v>
      </c>
      <c r="J6424" s="0" t="s">
        <v>2367</v>
      </c>
      <c r="K6424" s="272" t="n">
        <v>119483954.08</v>
      </c>
    </row>
    <row r="6425" customFormat="false" ht="15" hidden="false" customHeight="false" outlineLevel="0" collapsed="false">
      <c r="A6425" s="0" t="s">
        <v>2041</v>
      </c>
      <c r="B6425" s="0" t="s">
        <v>2042</v>
      </c>
      <c r="C6425" s="0" t="s">
        <v>2156</v>
      </c>
      <c r="D6425" s="0" t="s">
        <v>2105</v>
      </c>
      <c r="E6425" s="0" t="s">
        <v>2045</v>
      </c>
      <c r="F6425" s="0" t="s">
        <v>2256</v>
      </c>
      <c r="G6425" s="0" t="s">
        <v>2260</v>
      </c>
      <c r="H6425" s="0" t="s">
        <v>2261</v>
      </c>
      <c r="I6425" s="0" t="s">
        <v>2124</v>
      </c>
      <c r="J6425" s="0" t="s">
        <v>2367</v>
      </c>
      <c r="K6425" s="272" t="n">
        <v>1600000</v>
      </c>
    </row>
    <row r="6426" customFormat="false" ht="15" hidden="false" customHeight="false" outlineLevel="0" collapsed="false">
      <c r="A6426" s="0" t="s">
        <v>2041</v>
      </c>
      <c r="B6426" s="0" t="s">
        <v>2042</v>
      </c>
      <c r="C6426" s="0" t="s">
        <v>2161</v>
      </c>
      <c r="D6426" s="0" t="s">
        <v>2105</v>
      </c>
      <c r="E6426" s="0" t="s">
        <v>2045</v>
      </c>
      <c r="F6426" s="0" t="s">
        <v>2256</v>
      </c>
      <c r="G6426" s="0" t="s">
        <v>2260</v>
      </c>
      <c r="H6426" s="0" t="s">
        <v>2261</v>
      </c>
      <c r="I6426" s="0" t="s">
        <v>2124</v>
      </c>
      <c r="J6426" s="0" t="s">
        <v>2367</v>
      </c>
      <c r="K6426" s="272" t="n">
        <v>483200</v>
      </c>
    </row>
    <row r="6427" customFormat="false" ht="15" hidden="false" customHeight="false" outlineLevel="0" collapsed="false">
      <c r="A6427" s="0" t="s">
        <v>2041</v>
      </c>
      <c r="B6427" s="0" t="s">
        <v>2042</v>
      </c>
      <c r="C6427" s="0" t="s">
        <v>2156</v>
      </c>
      <c r="D6427" s="0" t="s">
        <v>2105</v>
      </c>
      <c r="E6427" s="0" t="s">
        <v>2045</v>
      </c>
      <c r="F6427" s="0" t="s">
        <v>2256</v>
      </c>
      <c r="G6427" s="0" t="s">
        <v>2260</v>
      </c>
      <c r="H6427" s="0" t="s">
        <v>2261</v>
      </c>
      <c r="I6427" s="0" t="s">
        <v>2322</v>
      </c>
      <c r="J6427" s="0" t="s">
        <v>2367</v>
      </c>
      <c r="K6427" s="272" t="n">
        <v>83800000</v>
      </c>
    </row>
    <row r="6428" customFormat="false" ht="15" hidden="false" customHeight="false" outlineLevel="0" collapsed="false">
      <c r="A6428" s="0" t="s">
        <v>2041</v>
      </c>
      <c r="B6428" s="0" t="s">
        <v>2042</v>
      </c>
      <c r="C6428" s="0" t="s">
        <v>2161</v>
      </c>
      <c r="D6428" s="0" t="s">
        <v>2105</v>
      </c>
      <c r="E6428" s="0" t="s">
        <v>2045</v>
      </c>
      <c r="F6428" s="0" t="s">
        <v>2256</v>
      </c>
      <c r="G6428" s="0" t="s">
        <v>2260</v>
      </c>
      <c r="H6428" s="0" t="s">
        <v>2261</v>
      </c>
      <c r="I6428" s="0" t="s">
        <v>2322</v>
      </c>
      <c r="J6428" s="0" t="s">
        <v>2367</v>
      </c>
      <c r="K6428" s="272" t="n">
        <v>16574942.23</v>
      </c>
    </row>
    <row r="6429" customFormat="false" ht="15" hidden="false" customHeight="false" outlineLevel="0" collapsed="false">
      <c r="A6429" s="0" t="s">
        <v>2041</v>
      </c>
      <c r="B6429" s="0" t="s">
        <v>2042</v>
      </c>
      <c r="C6429" s="0" t="s">
        <v>2156</v>
      </c>
      <c r="D6429" s="0" t="s">
        <v>2105</v>
      </c>
      <c r="E6429" s="0" t="s">
        <v>2045</v>
      </c>
      <c r="F6429" s="0" t="s">
        <v>2256</v>
      </c>
      <c r="G6429" s="0" t="s">
        <v>2262</v>
      </c>
      <c r="H6429" s="0" t="s">
        <v>2263</v>
      </c>
      <c r="I6429" s="0" t="s">
        <v>2322</v>
      </c>
      <c r="J6429" s="0" t="s">
        <v>2367</v>
      </c>
      <c r="K6429" s="272" t="n">
        <v>18625000</v>
      </c>
    </row>
    <row r="6430" customFormat="false" ht="15" hidden="false" customHeight="false" outlineLevel="0" collapsed="false">
      <c r="A6430" s="0" t="s">
        <v>2041</v>
      </c>
      <c r="B6430" s="0" t="s">
        <v>2042</v>
      </c>
      <c r="C6430" s="0" t="s">
        <v>2161</v>
      </c>
      <c r="D6430" s="0" t="s">
        <v>2105</v>
      </c>
      <c r="E6430" s="0" t="s">
        <v>2045</v>
      </c>
      <c r="F6430" s="0" t="s">
        <v>2256</v>
      </c>
      <c r="G6430" s="0" t="s">
        <v>2262</v>
      </c>
      <c r="H6430" s="0" t="s">
        <v>2263</v>
      </c>
      <c r="I6430" s="0" t="s">
        <v>2322</v>
      </c>
      <c r="J6430" s="0" t="s">
        <v>2367</v>
      </c>
      <c r="K6430" s="272" t="n">
        <v>2867840.25</v>
      </c>
    </row>
    <row r="6431" customFormat="false" ht="15" hidden="false" customHeight="false" outlineLevel="0" collapsed="false">
      <c r="A6431" s="0" t="s">
        <v>2041</v>
      </c>
      <c r="B6431" s="0" t="s">
        <v>2042</v>
      </c>
      <c r="C6431" s="0" t="s">
        <v>2156</v>
      </c>
      <c r="D6431" s="0" t="s">
        <v>2105</v>
      </c>
      <c r="E6431" s="0" t="s">
        <v>2045</v>
      </c>
      <c r="F6431" s="0" t="s">
        <v>2256</v>
      </c>
      <c r="G6431" s="0" t="s">
        <v>2262</v>
      </c>
      <c r="H6431" s="0" t="s">
        <v>2264</v>
      </c>
      <c r="I6431" s="0" t="s">
        <v>2124</v>
      </c>
      <c r="J6431" s="0" t="s">
        <v>2367</v>
      </c>
      <c r="K6431" s="272" t="n">
        <v>10500000</v>
      </c>
    </row>
    <row r="6432" customFormat="false" ht="15" hidden="false" customHeight="false" outlineLevel="0" collapsed="false">
      <c r="A6432" s="0" t="s">
        <v>2041</v>
      </c>
      <c r="B6432" s="0" t="s">
        <v>2042</v>
      </c>
      <c r="C6432" s="0" t="s">
        <v>2161</v>
      </c>
      <c r="D6432" s="0" t="s">
        <v>2105</v>
      </c>
      <c r="E6432" s="0" t="s">
        <v>2045</v>
      </c>
      <c r="F6432" s="0" t="s">
        <v>2256</v>
      </c>
      <c r="G6432" s="0" t="s">
        <v>2262</v>
      </c>
      <c r="H6432" s="0" t="s">
        <v>2264</v>
      </c>
      <c r="I6432" s="0" t="s">
        <v>2124</v>
      </c>
      <c r="J6432" s="0" t="s">
        <v>2367</v>
      </c>
      <c r="K6432" s="272" t="n">
        <v>2626337.01</v>
      </c>
    </row>
    <row r="6433" customFormat="false" ht="15" hidden="false" customHeight="false" outlineLevel="0" collapsed="false">
      <c r="A6433" s="0" t="s">
        <v>2041</v>
      </c>
      <c r="B6433" s="0" t="s">
        <v>2042</v>
      </c>
      <c r="C6433" s="0" t="s">
        <v>2156</v>
      </c>
      <c r="D6433" s="0" t="s">
        <v>2105</v>
      </c>
      <c r="E6433" s="0" t="s">
        <v>2045</v>
      </c>
      <c r="F6433" s="0" t="s">
        <v>2256</v>
      </c>
      <c r="G6433" s="0" t="s">
        <v>2262</v>
      </c>
      <c r="H6433" s="0" t="s">
        <v>2264</v>
      </c>
      <c r="I6433" s="0" t="s">
        <v>2322</v>
      </c>
      <c r="J6433" s="0" t="s">
        <v>2367</v>
      </c>
      <c r="K6433" s="272" t="n">
        <v>363448993.75</v>
      </c>
    </row>
    <row r="6434" customFormat="false" ht="15" hidden="false" customHeight="false" outlineLevel="0" collapsed="false">
      <c r="A6434" s="0" t="s">
        <v>2041</v>
      </c>
      <c r="B6434" s="0" t="s">
        <v>2042</v>
      </c>
      <c r="C6434" s="0" t="s">
        <v>2161</v>
      </c>
      <c r="D6434" s="0" t="s">
        <v>2105</v>
      </c>
      <c r="E6434" s="0" t="s">
        <v>2045</v>
      </c>
      <c r="F6434" s="0" t="s">
        <v>2256</v>
      </c>
      <c r="G6434" s="0" t="s">
        <v>2262</v>
      </c>
      <c r="H6434" s="0" t="s">
        <v>2264</v>
      </c>
      <c r="I6434" s="0" t="s">
        <v>2322</v>
      </c>
      <c r="J6434" s="0" t="s">
        <v>2367</v>
      </c>
      <c r="K6434" s="272" t="n">
        <v>58420128.79</v>
      </c>
    </row>
    <row r="6435" customFormat="false" ht="15" hidden="false" customHeight="false" outlineLevel="0" collapsed="false">
      <c r="A6435" s="0" t="s">
        <v>2041</v>
      </c>
      <c r="B6435" s="0" t="s">
        <v>2042</v>
      </c>
      <c r="C6435" s="0" t="s">
        <v>2156</v>
      </c>
      <c r="D6435" s="0" t="s">
        <v>2105</v>
      </c>
      <c r="E6435" s="0" t="s">
        <v>2045</v>
      </c>
      <c r="F6435" s="0" t="s">
        <v>2256</v>
      </c>
      <c r="G6435" s="0" t="s">
        <v>2262</v>
      </c>
      <c r="H6435" s="0" t="s">
        <v>2265</v>
      </c>
      <c r="I6435" s="0" t="s">
        <v>2322</v>
      </c>
      <c r="J6435" s="0" t="s">
        <v>2367</v>
      </c>
      <c r="K6435" s="272" t="n">
        <v>59261600.25</v>
      </c>
    </row>
    <row r="6436" customFormat="false" ht="15" hidden="false" customHeight="false" outlineLevel="0" collapsed="false">
      <c r="A6436" s="0" t="s">
        <v>2041</v>
      </c>
      <c r="B6436" s="0" t="s">
        <v>2042</v>
      </c>
      <c r="C6436" s="0" t="s">
        <v>2161</v>
      </c>
      <c r="D6436" s="0" t="s">
        <v>2105</v>
      </c>
      <c r="E6436" s="0" t="s">
        <v>2045</v>
      </c>
      <c r="F6436" s="0" t="s">
        <v>2256</v>
      </c>
      <c r="G6436" s="0" t="s">
        <v>2262</v>
      </c>
      <c r="H6436" s="0" t="s">
        <v>2265</v>
      </c>
      <c r="I6436" s="0" t="s">
        <v>2322</v>
      </c>
      <c r="J6436" s="0" t="s">
        <v>2367</v>
      </c>
      <c r="K6436" s="272" t="n">
        <v>9313151.41666667</v>
      </c>
    </row>
    <row r="6437" customFormat="false" ht="15" hidden="false" customHeight="false" outlineLevel="0" collapsed="false">
      <c r="A6437" s="0" t="s">
        <v>2041</v>
      </c>
      <c r="B6437" s="0" t="s">
        <v>2042</v>
      </c>
      <c r="C6437" s="0" t="s">
        <v>2156</v>
      </c>
      <c r="D6437" s="0" t="s">
        <v>2105</v>
      </c>
      <c r="E6437" s="0" t="s">
        <v>2045</v>
      </c>
      <c r="F6437" s="0" t="s">
        <v>2256</v>
      </c>
      <c r="G6437" s="0" t="s">
        <v>2266</v>
      </c>
      <c r="H6437" s="0" t="s">
        <v>2267</v>
      </c>
      <c r="I6437" s="0" t="s">
        <v>2124</v>
      </c>
      <c r="J6437" s="0" t="s">
        <v>2367</v>
      </c>
      <c r="K6437" s="272" t="n">
        <v>23258000</v>
      </c>
    </row>
    <row r="6438" customFormat="false" ht="15" hidden="false" customHeight="false" outlineLevel="0" collapsed="false">
      <c r="A6438" s="0" t="s">
        <v>2041</v>
      </c>
      <c r="B6438" s="0" t="s">
        <v>2042</v>
      </c>
      <c r="C6438" s="0" t="s">
        <v>2161</v>
      </c>
      <c r="D6438" s="0" t="s">
        <v>2105</v>
      </c>
      <c r="E6438" s="0" t="s">
        <v>2045</v>
      </c>
      <c r="F6438" s="0" t="s">
        <v>2256</v>
      </c>
      <c r="G6438" s="0" t="s">
        <v>2266</v>
      </c>
      <c r="H6438" s="0" t="s">
        <v>2267</v>
      </c>
      <c r="I6438" s="0" t="s">
        <v>2124</v>
      </c>
      <c r="J6438" s="0" t="s">
        <v>2367</v>
      </c>
      <c r="K6438" s="272" t="n">
        <v>5586009.16</v>
      </c>
    </row>
    <row r="6439" customFormat="false" ht="15" hidden="false" customHeight="false" outlineLevel="0" collapsed="false">
      <c r="A6439" s="0" t="s">
        <v>2041</v>
      </c>
      <c r="B6439" s="0" t="s">
        <v>2042</v>
      </c>
      <c r="C6439" s="0" t="s">
        <v>2156</v>
      </c>
      <c r="D6439" s="0" t="s">
        <v>2105</v>
      </c>
      <c r="E6439" s="0" t="s">
        <v>2045</v>
      </c>
      <c r="F6439" s="0" t="s">
        <v>2256</v>
      </c>
      <c r="G6439" s="0" t="s">
        <v>2266</v>
      </c>
      <c r="H6439" s="0" t="s">
        <v>2267</v>
      </c>
      <c r="I6439" s="0" t="s">
        <v>2322</v>
      </c>
      <c r="J6439" s="0" t="s">
        <v>2367</v>
      </c>
      <c r="K6439" s="272" t="n">
        <v>420760673</v>
      </c>
    </row>
    <row r="6440" customFormat="false" ht="15" hidden="false" customHeight="false" outlineLevel="0" collapsed="false">
      <c r="A6440" s="0" t="s">
        <v>2041</v>
      </c>
      <c r="B6440" s="0" t="s">
        <v>2042</v>
      </c>
      <c r="C6440" s="0" t="s">
        <v>2161</v>
      </c>
      <c r="D6440" s="0" t="s">
        <v>2105</v>
      </c>
      <c r="E6440" s="0" t="s">
        <v>2045</v>
      </c>
      <c r="F6440" s="0" t="s">
        <v>2256</v>
      </c>
      <c r="G6440" s="0" t="s">
        <v>2266</v>
      </c>
      <c r="H6440" s="0" t="s">
        <v>2267</v>
      </c>
      <c r="I6440" s="0" t="s">
        <v>2322</v>
      </c>
      <c r="J6440" s="0" t="s">
        <v>2367</v>
      </c>
      <c r="K6440" s="272" t="n">
        <v>69700136.3</v>
      </c>
    </row>
    <row r="6441" customFormat="false" ht="15" hidden="false" customHeight="false" outlineLevel="0" collapsed="false">
      <c r="A6441" s="0" t="s">
        <v>2041</v>
      </c>
      <c r="B6441" s="0" t="s">
        <v>2042</v>
      </c>
      <c r="C6441" s="0" t="s">
        <v>2156</v>
      </c>
      <c r="D6441" s="0" t="s">
        <v>2105</v>
      </c>
      <c r="E6441" s="0" t="s">
        <v>2045</v>
      </c>
      <c r="F6441" s="0" t="s">
        <v>2268</v>
      </c>
      <c r="G6441" s="0" t="s">
        <v>2269</v>
      </c>
      <c r="H6441" s="0" t="s">
        <v>2270</v>
      </c>
      <c r="I6441" s="0" t="s">
        <v>2124</v>
      </c>
      <c r="J6441" s="0" t="s">
        <v>2367</v>
      </c>
      <c r="K6441" s="272" t="n">
        <v>10490000</v>
      </c>
    </row>
    <row r="6442" customFormat="false" ht="15" hidden="false" customHeight="false" outlineLevel="0" collapsed="false">
      <c r="A6442" s="0" t="s">
        <v>2041</v>
      </c>
      <c r="B6442" s="0" t="s">
        <v>2042</v>
      </c>
      <c r="C6442" s="0" t="s">
        <v>2161</v>
      </c>
      <c r="D6442" s="0" t="s">
        <v>2105</v>
      </c>
      <c r="E6442" s="0" t="s">
        <v>2045</v>
      </c>
      <c r="F6442" s="0" t="s">
        <v>2268</v>
      </c>
      <c r="G6442" s="0" t="s">
        <v>2269</v>
      </c>
      <c r="H6442" s="0" t="s">
        <v>2270</v>
      </c>
      <c r="I6442" s="0" t="s">
        <v>2124</v>
      </c>
      <c r="J6442" s="0" t="s">
        <v>2367</v>
      </c>
      <c r="K6442" s="272" t="n">
        <v>2915376.04</v>
      </c>
    </row>
    <row r="6443" customFormat="false" ht="15" hidden="false" customHeight="false" outlineLevel="0" collapsed="false">
      <c r="A6443" s="0" t="s">
        <v>2041</v>
      </c>
      <c r="B6443" s="0" t="s">
        <v>2042</v>
      </c>
      <c r="C6443" s="0" t="s">
        <v>2156</v>
      </c>
      <c r="D6443" s="0" t="s">
        <v>2105</v>
      </c>
      <c r="E6443" s="0" t="s">
        <v>2045</v>
      </c>
      <c r="F6443" s="0" t="s">
        <v>2268</v>
      </c>
      <c r="G6443" s="0" t="s">
        <v>2269</v>
      </c>
      <c r="H6443" s="0" t="s">
        <v>2270</v>
      </c>
      <c r="I6443" s="0" t="s">
        <v>2322</v>
      </c>
      <c r="J6443" s="0" t="s">
        <v>2367</v>
      </c>
      <c r="K6443" s="272" t="n">
        <v>32405000</v>
      </c>
    </row>
    <row r="6444" customFormat="false" ht="15" hidden="false" customHeight="false" outlineLevel="0" collapsed="false">
      <c r="A6444" s="0" t="s">
        <v>2041</v>
      </c>
      <c r="B6444" s="0" t="s">
        <v>2042</v>
      </c>
      <c r="C6444" s="0" t="s">
        <v>2161</v>
      </c>
      <c r="D6444" s="0" t="s">
        <v>2105</v>
      </c>
      <c r="E6444" s="0" t="s">
        <v>2045</v>
      </c>
      <c r="F6444" s="0" t="s">
        <v>2268</v>
      </c>
      <c r="G6444" s="0" t="s">
        <v>2269</v>
      </c>
      <c r="H6444" s="0" t="s">
        <v>2270</v>
      </c>
      <c r="I6444" s="0" t="s">
        <v>2322</v>
      </c>
      <c r="J6444" s="0" t="s">
        <v>2367</v>
      </c>
      <c r="K6444" s="272" t="n">
        <v>7135433.83</v>
      </c>
    </row>
    <row r="6445" customFormat="false" ht="15" hidden="false" customHeight="false" outlineLevel="0" collapsed="false">
      <c r="A6445" s="0" t="s">
        <v>2041</v>
      </c>
      <c r="B6445" s="0" t="s">
        <v>2042</v>
      </c>
      <c r="C6445" s="0" t="s">
        <v>2156</v>
      </c>
      <c r="D6445" s="0" t="s">
        <v>2105</v>
      </c>
      <c r="E6445" s="0" t="s">
        <v>2045</v>
      </c>
      <c r="F6445" s="0" t="s">
        <v>2150</v>
      </c>
      <c r="G6445" s="0" t="s">
        <v>2151</v>
      </c>
      <c r="H6445" s="0" t="s">
        <v>2271</v>
      </c>
      <c r="I6445" s="0" t="s">
        <v>2272</v>
      </c>
      <c r="J6445" s="0" t="s">
        <v>2367</v>
      </c>
      <c r="K6445" s="272" t="n">
        <v>240000</v>
      </c>
    </row>
    <row r="6446" customFormat="false" ht="15" hidden="false" customHeight="false" outlineLevel="0" collapsed="false">
      <c r="A6446" s="0" t="s">
        <v>2041</v>
      </c>
      <c r="B6446" s="0" t="s">
        <v>2042</v>
      </c>
      <c r="C6446" s="0" t="s">
        <v>2161</v>
      </c>
      <c r="D6446" s="0" t="s">
        <v>2105</v>
      </c>
      <c r="E6446" s="0" t="s">
        <v>2045</v>
      </c>
      <c r="F6446" s="0" t="s">
        <v>2150</v>
      </c>
      <c r="G6446" s="0" t="s">
        <v>2151</v>
      </c>
      <c r="H6446" s="0" t="s">
        <v>2271</v>
      </c>
      <c r="I6446" s="0" t="s">
        <v>2272</v>
      </c>
      <c r="J6446" s="0" t="s">
        <v>2367</v>
      </c>
      <c r="K6446" s="272" t="n">
        <v>72480</v>
      </c>
    </row>
    <row r="6447" customFormat="false" ht="15" hidden="false" customHeight="false" outlineLevel="0" collapsed="false">
      <c r="A6447" s="0" t="s">
        <v>2041</v>
      </c>
      <c r="B6447" s="0" t="s">
        <v>2042</v>
      </c>
      <c r="C6447" s="0" t="s">
        <v>2156</v>
      </c>
      <c r="D6447" s="0" t="s">
        <v>2105</v>
      </c>
      <c r="E6447" s="0" t="s">
        <v>2045</v>
      </c>
      <c r="F6447" s="0" t="s">
        <v>2150</v>
      </c>
      <c r="G6447" s="0" t="s">
        <v>2151</v>
      </c>
      <c r="H6447" s="0" t="s">
        <v>2152</v>
      </c>
      <c r="I6447" s="0" t="s">
        <v>2322</v>
      </c>
      <c r="J6447" s="0" t="s">
        <v>2367</v>
      </c>
      <c r="K6447" s="272" t="n">
        <v>24768997</v>
      </c>
    </row>
    <row r="6448" customFormat="false" ht="15" hidden="false" customHeight="false" outlineLevel="0" collapsed="false">
      <c r="A6448" s="0" t="s">
        <v>2041</v>
      </c>
      <c r="B6448" s="0" t="s">
        <v>2042</v>
      </c>
      <c r="C6448" s="0" t="s">
        <v>2161</v>
      </c>
      <c r="D6448" s="0" t="s">
        <v>2105</v>
      </c>
      <c r="E6448" s="0" t="s">
        <v>2045</v>
      </c>
      <c r="F6448" s="0" t="s">
        <v>2150</v>
      </c>
      <c r="G6448" s="0" t="s">
        <v>2151</v>
      </c>
      <c r="H6448" s="0" t="s">
        <v>2152</v>
      </c>
      <c r="I6448" s="0" t="s">
        <v>2322</v>
      </c>
      <c r="J6448" s="0" t="s">
        <v>2367</v>
      </c>
      <c r="K6448" s="272" t="n">
        <v>7480237.09</v>
      </c>
    </row>
    <row r="6449" customFormat="false" ht="15" hidden="false" customHeight="false" outlineLevel="0" collapsed="false">
      <c r="A6449" s="0" t="s">
        <v>2041</v>
      </c>
      <c r="B6449" s="0" t="s">
        <v>2042</v>
      </c>
      <c r="C6449" s="0" t="s">
        <v>2156</v>
      </c>
      <c r="D6449" s="0" t="s">
        <v>2105</v>
      </c>
      <c r="E6449" s="0" t="s">
        <v>2045</v>
      </c>
      <c r="F6449" s="0" t="s">
        <v>2150</v>
      </c>
      <c r="G6449" s="0" t="s">
        <v>2151</v>
      </c>
      <c r="H6449" s="0" t="s">
        <v>2273</v>
      </c>
      <c r="I6449" s="0" t="s">
        <v>2272</v>
      </c>
      <c r="J6449" s="0" t="s">
        <v>2367</v>
      </c>
      <c r="K6449" s="272" t="n">
        <v>250000</v>
      </c>
    </row>
    <row r="6450" customFormat="false" ht="15" hidden="false" customHeight="false" outlineLevel="0" collapsed="false">
      <c r="A6450" s="0" t="s">
        <v>2041</v>
      </c>
      <c r="B6450" s="0" t="s">
        <v>2042</v>
      </c>
      <c r="C6450" s="0" t="s">
        <v>2161</v>
      </c>
      <c r="D6450" s="0" t="s">
        <v>2105</v>
      </c>
      <c r="E6450" s="0" t="s">
        <v>2045</v>
      </c>
      <c r="F6450" s="0" t="s">
        <v>2150</v>
      </c>
      <c r="G6450" s="0" t="s">
        <v>2151</v>
      </c>
      <c r="H6450" s="0" t="s">
        <v>2273</v>
      </c>
      <c r="I6450" s="0" t="s">
        <v>2272</v>
      </c>
      <c r="J6450" s="0" t="s">
        <v>2367</v>
      </c>
      <c r="K6450" s="272" t="n">
        <v>75500</v>
      </c>
    </row>
    <row r="6451" customFormat="false" ht="15" hidden="false" customHeight="false" outlineLevel="0" collapsed="false">
      <c r="A6451" s="0" t="s">
        <v>2041</v>
      </c>
      <c r="B6451" s="0" t="s">
        <v>2042</v>
      </c>
      <c r="C6451" s="0" t="s">
        <v>2156</v>
      </c>
      <c r="D6451" s="0" t="s">
        <v>2105</v>
      </c>
      <c r="E6451" s="0" t="s">
        <v>2045</v>
      </c>
      <c r="F6451" s="0" t="s">
        <v>2150</v>
      </c>
      <c r="G6451" s="0" t="s">
        <v>2151</v>
      </c>
      <c r="H6451" s="0" t="s">
        <v>2153</v>
      </c>
      <c r="I6451" s="0" t="s">
        <v>2322</v>
      </c>
      <c r="J6451" s="0" t="s">
        <v>2367</v>
      </c>
      <c r="K6451" s="272" t="n">
        <v>7426111</v>
      </c>
    </row>
    <row r="6452" customFormat="false" ht="15" hidden="false" customHeight="false" outlineLevel="0" collapsed="false">
      <c r="A6452" s="0" t="s">
        <v>2041</v>
      </c>
      <c r="B6452" s="0" t="s">
        <v>2042</v>
      </c>
      <c r="C6452" s="0" t="s">
        <v>2161</v>
      </c>
      <c r="D6452" s="0" t="s">
        <v>2105</v>
      </c>
      <c r="E6452" s="0" t="s">
        <v>2045</v>
      </c>
      <c r="F6452" s="0" t="s">
        <v>2150</v>
      </c>
      <c r="G6452" s="0" t="s">
        <v>2151</v>
      </c>
      <c r="H6452" s="0" t="s">
        <v>2153</v>
      </c>
      <c r="I6452" s="0" t="s">
        <v>2322</v>
      </c>
      <c r="J6452" s="0" t="s">
        <v>2367</v>
      </c>
      <c r="K6452" s="272" t="n">
        <v>2213017.98</v>
      </c>
    </row>
    <row r="6453" customFormat="false" ht="15" hidden="false" customHeight="false" outlineLevel="0" collapsed="false">
      <c r="A6453" s="0" t="s">
        <v>2041</v>
      </c>
      <c r="B6453" s="0" t="s">
        <v>2042</v>
      </c>
      <c r="C6453" s="0" t="s">
        <v>2156</v>
      </c>
      <c r="D6453" s="0" t="s">
        <v>2105</v>
      </c>
      <c r="E6453" s="0" t="s">
        <v>2045</v>
      </c>
      <c r="F6453" s="0" t="s">
        <v>2150</v>
      </c>
      <c r="G6453" s="0" t="s">
        <v>2151</v>
      </c>
      <c r="H6453" s="0" t="s">
        <v>2154</v>
      </c>
      <c r="I6453" s="0" t="s">
        <v>2322</v>
      </c>
      <c r="J6453" s="0" t="s">
        <v>2367</v>
      </c>
      <c r="K6453" s="272" t="n">
        <v>3700000</v>
      </c>
    </row>
    <row r="6454" customFormat="false" ht="15" hidden="false" customHeight="false" outlineLevel="0" collapsed="false">
      <c r="A6454" s="0" t="s">
        <v>2041</v>
      </c>
      <c r="B6454" s="0" t="s">
        <v>2042</v>
      </c>
      <c r="C6454" s="0" t="s">
        <v>2161</v>
      </c>
      <c r="D6454" s="0" t="s">
        <v>2105</v>
      </c>
      <c r="E6454" s="0" t="s">
        <v>2045</v>
      </c>
      <c r="F6454" s="0" t="s">
        <v>2150</v>
      </c>
      <c r="G6454" s="0" t="s">
        <v>2151</v>
      </c>
      <c r="H6454" s="0" t="s">
        <v>2154</v>
      </c>
      <c r="I6454" s="0" t="s">
        <v>2322</v>
      </c>
      <c r="J6454" s="0" t="s">
        <v>2367</v>
      </c>
      <c r="K6454" s="272" t="n">
        <v>598731.73</v>
      </c>
    </row>
    <row r="6455" customFormat="false" ht="15" hidden="false" customHeight="false" outlineLevel="0" collapsed="false">
      <c r="A6455" s="0" t="s">
        <v>2041</v>
      </c>
      <c r="B6455" s="0" t="s">
        <v>2042</v>
      </c>
      <c r="C6455" s="0" t="s">
        <v>2156</v>
      </c>
      <c r="D6455" s="0" t="s">
        <v>2105</v>
      </c>
      <c r="E6455" s="0" t="s">
        <v>2045</v>
      </c>
      <c r="F6455" s="0" t="s">
        <v>2150</v>
      </c>
      <c r="G6455" s="0" t="s">
        <v>2155</v>
      </c>
      <c r="H6455" s="0" t="s">
        <v>2154</v>
      </c>
      <c r="I6455" s="0" t="s">
        <v>2322</v>
      </c>
      <c r="J6455" s="0" t="s">
        <v>2367</v>
      </c>
      <c r="K6455" s="272" t="n">
        <v>15363000</v>
      </c>
    </row>
    <row r="6456" customFormat="false" ht="15" hidden="false" customHeight="false" outlineLevel="0" collapsed="false">
      <c r="A6456" s="0" t="s">
        <v>2041</v>
      </c>
      <c r="B6456" s="0" t="s">
        <v>2042</v>
      </c>
      <c r="C6456" s="0" t="s">
        <v>2161</v>
      </c>
      <c r="D6456" s="0" t="s">
        <v>2105</v>
      </c>
      <c r="E6456" s="0" t="s">
        <v>2045</v>
      </c>
      <c r="F6456" s="0" t="s">
        <v>2150</v>
      </c>
      <c r="G6456" s="0" t="s">
        <v>2155</v>
      </c>
      <c r="H6456" s="0" t="s">
        <v>2154</v>
      </c>
      <c r="I6456" s="0" t="s">
        <v>2322</v>
      </c>
      <c r="J6456" s="0" t="s">
        <v>2367</v>
      </c>
      <c r="K6456" s="272" t="n">
        <v>3782876</v>
      </c>
    </row>
    <row r="6457" customFormat="false" ht="15" hidden="false" customHeight="false" outlineLevel="0" collapsed="false">
      <c r="A6457" s="0" t="s">
        <v>2041</v>
      </c>
      <c r="B6457" s="0" t="s">
        <v>2042</v>
      </c>
      <c r="C6457" s="0" t="s">
        <v>2156</v>
      </c>
      <c r="D6457" s="0" t="s">
        <v>2105</v>
      </c>
      <c r="E6457" s="0" t="s">
        <v>2045</v>
      </c>
      <c r="F6457" s="0" t="s">
        <v>2150</v>
      </c>
      <c r="G6457" s="0" t="s">
        <v>2332</v>
      </c>
      <c r="H6457" s="0" t="s">
        <v>2152</v>
      </c>
      <c r="I6457" s="0" t="s">
        <v>2322</v>
      </c>
      <c r="J6457" s="0" t="s">
        <v>2367</v>
      </c>
      <c r="K6457" s="272" t="n">
        <v>2900000</v>
      </c>
    </row>
    <row r="6458" customFormat="false" ht="15" hidden="false" customHeight="false" outlineLevel="0" collapsed="false">
      <c r="A6458" s="0" t="s">
        <v>2041</v>
      </c>
      <c r="B6458" s="0" t="s">
        <v>2042</v>
      </c>
      <c r="C6458" s="0" t="s">
        <v>2161</v>
      </c>
      <c r="D6458" s="0" t="s">
        <v>2105</v>
      </c>
      <c r="E6458" s="0" t="s">
        <v>2045</v>
      </c>
      <c r="F6458" s="0" t="s">
        <v>2150</v>
      </c>
      <c r="G6458" s="0" t="s">
        <v>2332</v>
      </c>
      <c r="H6458" s="0" t="s">
        <v>2152</v>
      </c>
      <c r="I6458" s="0" t="s">
        <v>2322</v>
      </c>
      <c r="J6458" s="0" t="s">
        <v>2367</v>
      </c>
      <c r="K6458" s="272" t="n">
        <v>875800</v>
      </c>
    </row>
    <row r="6459" customFormat="false" ht="15" hidden="false" customHeight="false" outlineLevel="0" collapsed="false">
      <c r="A6459" s="0" t="s">
        <v>2041</v>
      </c>
      <c r="B6459" s="0" t="s">
        <v>2042</v>
      </c>
      <c r="C6459" s="0" t="s">
        <v>2156</v>
      </c>
      <c r="D6459" s="0" t="s">
        <v>2105</v>
      </c>
      <c r="E6459" s="0" t="s">
        <v>2274</v>
      </c>
      <c r="F6459" s="0" t="s">
        <v>2275</v>
      </c>
      <c r="G6459" s="0" t="s">
        <v>2276</v>
      </c>
      <c r="H6459" s="0" t="s">
        <v>2277</v>
      </c>
      <c r="I6459" s="0" t="s">
        <v>2278</v>
      </c>
      <c r="J6459" s="0" t="s">
        <v>2367</v>
      </c>
      <c r="K6459" s="272" t="n">
        <v>58586</v>
      </c>
    </row>
    <row r="6460" customFormat="false" ht="15" hidden="false" customHeight="false" outlineLevel="0" collapsed="false">
      <c r="A6460" s="0" t="s">
        <v>2041</v>
      </c>
      <c r="B6460" s="0" t="s">
        <v>2042</v>
      </c>
      <c r="C6460" s="0" t="s">
        <v>2161</v>
      </c>
      <c r="D6460" s="0" t="s">
        <v>2105</v>
      </c>
      <c r="E6460" s="0" t="s">
        <v>2274</v>
      </c>
      <c r="F6460" s="0" t="s">
        <v>2275</v>
      </c>
      <c r="G6460" s="0" t="s">
        <v>2276</v>
      </c>
      <c r="H6460" s="0" t="s">
        <v>2277</v>
      </c>
      <c r="I6460" s="0" t="s">
        <v>2278</v>
      </c>
      <c r="J6460" s="0" t="s">
        <v>2367</v>
      </c>
      <c r="K6460" s="272" t="n">
        <v>4569.7</v>
      </c>
    </row>
    <row r="6461" customFormat="false" ht="15" hidden="false" customHeight="false" outlineLevel="0" collapsed="false">
      <c r="A6461" s="0" t="s">
        <v>2041</v>
      </c>
      <c r="B6461" s="0" t="s">
        <v>2042</v>
      </c>
      <c r="C6461" s="0" t="s">
        <v>2156</v>
      </c>
      <c r="D6461" s="0" t="s">
        <v>2105</v>
      </c>
      <c r="E6461" s="0" t="s">
        <v>2274</v>
      </c>
      <c r="F6461" s="0" t="s">
        <v>2275</v>
      </c>
      <c r="G6461" s="0" t="s">
        <v>2276</v>
      </c>
      <c r="H6461" s="0" t="s">
        <v>2277</v>
      </c>
      <c r="I6461" s="0" t="s">
        <v>2322</v>
      </c>
      <c r="J6461" s="0" t="s">
        <v>2367</v>
      </c>
      <c r="K6461" s="272" t="n">
        <v>6531163</v>
      </c>
    </row>
    <row r="6462" customFormat="false" ht="15" hidden="false" customHeight="false" outlineLevel="0" collapsed="false">
      <c r="A6462" s="0" t="s">
        <v>2041</v>
      </c>
      <c r="B6462" s="0" t="s">
        <v>2042</v>
      </c>
      <c r="C6462" s="0" t="s">
        <v>2161</v>
      </c>
      <c r="D6462" s="0" t="s">
        <v>2105</v>
      </c>
      <c r="E6462" s="0" t="s">
        <v>2274</v>
      </c>
      <c r="F6462" s="0" t="s">
        <v>2275</v>
      </c>
      <c r="G6462" s="0" t="s">
        <v>2276</v>
      </c>
      <c r="H6462" s="0" t="s">
        <v>2277</v>
      </c>
      <c r="I6462" s="0" t="s">
        <v>2322</v>
      </c>
      <c r="J6462" s="0" t="s">
        <v>2367</v>
      </c>
      <c r="K6462" s="272" t="n">
        <v>1972411.23</v>
      </c>
    </row>
    <row r="6463" customFormat="false" ht="15" hidden="false" customHeight="false" outlineLevel="0" collapsed="false">
      <c r="A6463" s="0" t="s">
        <v>2041</v>
      </c>
      <c r="B6463" s="0" t="s">
        <v>2042</v>
      </c>
      <c r="C6463" s="0" t="s">
        <v>2156</v>
      </c>
      <c r="D6463" s="0" t="s">
        <v>2279</v>
      </c>
      <c r="E6463" s="0" t="s">
        <v>2279</v>
      </c>
      <c r="F6463" s="0" t="s">
        <v>2280</v>
      </c>
      <c r="G6463" s="0" t="s">
        <v>2281</v>
      </c>
      <c r="H6463" s="0" t="s">
        <v>2284</v>
      </c>
      <c r="I6463" s="0" t="s">
        <v>2322</v>
      </c>
      <c r="J6463" s="0" t="s">
        <v>2367</v>
      </c>
      <c r="K6463" s="272" t="n">
        <v>2467446.75</v>
      </c>
    </row>
    <row r="6464" customFormat="false" ht="15" hidden="false" customHeight="false" outlineLevel="0" collapsed="false">
      <c r="A6464" s="0" t="s">
        <v>2041</v>
      </c>
      <c r="B6464" s="0" t="s">
        <v>2042</v>
      </c>
      <c r="C6464" s="0" t="s">
        <v>2161</v>
      </c>
      <c r="D6464" s="0" t="s">
        <v>2279</v>
      </c>
      <c r="E6464" s="0" t="s">
        <v>2279</v>
      </c>
      <c r="F6464" s="0" t="s">
        <v>2280</v>
      </c>
      <c r="G6464" s="0" t="s">
        <v>2281</v>
      </c>
      <c r="H6464" s="0" t="s">
        <v>2284</v>
      </c>
      <c r="I6464" s="0" t="s">
        <v>2322</v>
      </c>
      <c r="J6464" s="0" t="s">
        <v>2367</v>
      </c>
      <c r="K6464" s="272" t="n">
        <v>377519.34</v>
      </c>
    </row>
    <row r="6465" customFormat="false" ht="15" hidden="false" customHeight="false" outlineLevel="0" collapsed="false">
      <c r="A6465" s="0" t="s">
        <v>2041</v>
      </c>
      <c r="B6465" s="0" t="s">
        <v>2042</v>
      </c>
      <c r="C6465" s="0" t="s">
        <v>2156</v>
      </c>
      <c r="D6465" s="0" t="s">
        <v>2279</v>
      </c>
      <c r="E6465" s="0" t="s">
        <v>2279</v>
      </c>
      <c r="F6465" s="0" t="s">
        <v>2280</v>
      </c>
      <c r="G6465" s="0" t="s">
        <v>2281</v>
      </c>
      <c r="H6465" s="0" t="s">
        <v>2286</v>
      </c>
      <c r="I6465" s="0" t="s">
        <v>2322</v>
      </c>
      <c r="J6465" s="0" t="s">
        <v>2367</v>
      </c>
      <c r="K6465" s="272" t="n">
        <v>2770302.15</v>
      </c>
    </row>
    <row r="6466" customFormat="false" ht="15" hidden="false" customHeight="false" outlineLevel="0" collapsed="false">
      <c r="A6466" s="0" t="s">
        <v>2041</v>
      </c>
      <c r="B6466" s="0" t="s">
        <v>2042</v>
      </c>
      <c r="C6466" s="0" t="s">
        <v>2161</v>
      </c>
      <c r="D6466" s="0" t="s">
        <v>2279</v>
      </c>
      <c r="E6466" s="0" t="s">
        <v>2279</v>
      </c>
      <c r="F6466" s="0" t="s">
        <v>2280</v>
      </c>
      <c r="G6466" s="0" t="s">
        <v>2281</v>
      </c>
      <c r="H6466" s="0" t="s">
        <v>2286</v>
      </c>
      <c r="I6466" s="0" t="s">
        <v>2322</v>
      </c>
      <c r="J6466" s="0" t="s">
        <v>2367</v>
      </c>
      <c r="K6466" s="272" t="n">
        <v>531788.68</v>
      </c>
    </row>
    <row r="6467" customFormat="false" ht="15" hidden="false" customHeight="false" outlineLevel="0" collapsed="false">
      <c r="A6467" s="0" t="s">
        <v>2041</v>
      </c>
      <c r="B6467" s="0" t="s">
        <v>2042</v>
      </c>
      <c r="C6467" s="0" t="s">
        <v>2156</v>
      </c>
      <c r="D6467" s="0" t="s">
        <v>2279</v>
      </c>
      <c r="E6467" s="0" t="s">
        <v>2279</v>
      </c>
      <c r="F6467" s="0" t="s">
        <v>2280</v>
      </c>
      <c r="G6467" s="0" t="s">
        <v>2281</v>
      </c>
      <c r="H6467" s="0" t="s">
        <v>2287</v>
      </c>
      <c r="I6467" s="0" t="s">
        <v>2322</v>
      </c>
      <c r="J6467" s="0" t="s">
        <v>2367</v>
      </c>
      <c r="K6467" s="272" t="n">
        <v>3158331.84</v>
      </c>
    </row>
    <row r="6468" customFormat="false" ht="15" hidden="false" customHeight="false" outlineLevel="0" collapsed="false">
      <c r="A6468" s="0" t="s">
        <v>2041</v>
      </c>
      <c r="B6468" s="0" t="s">
        <v>2042</v>
      </c>
      <c r="C6468" s="0" t="s">
        <v>2161</v>
      </c>
      <c r="D6468" s="0" t="s">
        <v>2279</v>
      </c>
      <c r="E6468" s="0" t="s">
        <v>2279</v>
      </c>
      <c r="F6468" s="0" t="s">
        <v>2280</v>
      </c>
      <c r="G6468" s="0" t="s">
        <v>2281</v>
      </c>
      <c r="H6468" s="0" t="s">
        <v>2287</v>
      </c>
      <c r="I6468" s="0" t="s">
        <v>2322</v>
      </c>
      <c r="J6468" s="0" t="s">
        <v>2367</v>
      </c>
      <c r="K6468" s="272" t="n">
        <v>680541.13</v>
      </c>
    </row>
    <row r="6469" customFormat="false" ht="15" hidden="false" customHeight="false" outlineLevel="0" collapsed="false">
      <c r="A6469" s="0" t="s">
        <v>2041</v>
      </c>
      <c r="B6469" s="0" t="s">
        <v>2042</v>
      </c>
      <c r="C6469" s="0" t="s">
        <v>2156</v>
      </c>
      <c r="D6469" s="0" t="s">
        <v>2279</v>
      </c>
      <c r="E6469" s="0" t="s">
        <v>2279</v>
      </c>
      <c r="F6469" s="0" t="s">
        <v>2280</v>
      </c>
      <c r="G6469" s="0" t="s">
        <v>2281</v>
      </c>
      <c r="H6469" s="0" t="s">
        <v>2153</v>
      </c>
      <c r="I6469" s="0" t="s">
        <v>2322</v>
      </c>
      <c r="J6469" s="0" t="s">
        <v>2367</v>
      </c>
      <c r="K6469" s="272" t="n">
        <v>22938017.64</v>
      </c>
    </row>
    <row r="6470" customFormat="false" ht="15" hidden="false" customHeight="false" outlineLevel="0" collapsed="false">
      <c r="A6470" s="0" t="s">
        <v>2041</v>
      </c>
      <c r="B6470" s="0" t="s">
        <v>2042</v>
      </c>
      <c r="C6470" s="0" t="s">
        <v>2161</v>
      </c>
      <c r="D6470" s="0" t="s">
        <v>2279</v>
      </c>
      <c r="E6470" s="0" t="s">
        <v>2279</v>
      </c>
      <c r="F6470" s="0" t="s">
        <v>2280</v>
      </c>
      <c r="G6470" s="0" t="s">
        <v>2281</v>
      </c>
      <c r="H6470" s="0" t="s">
        <v>2153</v>
      </c>
      <c r="I6470" s="0" t="s">
        <v>2322</v>
      </c>
      <c r="J6470" s="0" t="s">
        <v>2367</v>
      </c>
      <c r="K6470" s="272" t="n">
        <v>3509516.7</v>
      </c>
    </row>
    <row r="6471" customFormat="false" ht="15" hidden="false" customHeight="false" outlineLevel="0" collapsed="false">
      <c r="A6471" s="0" t="s">
        <v>2041</v>
      </c>
      <c r="B6471" s="0" t="s">
        <v>2042</v>
      </c>
      <c r="C6471" s="0" t="s">
        <v>2156</v>
      </c>
      <c r="D6471" s="0" t="s">
        <v>2279</v>
      </c>
      <c r="E6471" s="0" t="s">
        <v>2279</v>
      </c>
      <c r="F6471" s="0" t="s">
        <v>2292</v>
      </c>
      <c r="G6471" s="0" t="s">
        <v>2293</v>
      </c>
      <c r="H6471" s="0" t="s">
        <v>2284</v>
      </c>
      <c r="I6471" s="0" t="s">
        <v>2322</v>
      </c>
      <c r="J6471" s="0" t="s">
        <v>2367</v>
      </c>
      <c r="K6471" s="272" t="n">
        <v>5187275.27</v>
      </c>
    </row>
    <row r="6472" customFormat="false" ht="15" hidden="false" customHeight="false" outlineLevel="0" collapsed="false">
      <c r="A6472" s="0" t="s">
        <v>2041</v>
      </c>
      <c r="B6472" s="0" t="s">
        <v>2042</v>
      </c>
      <c r="C6472" s="0" t="s">
        <v>2161</v>
      </c>
      <c r="D6472" s="0" t="s">
        <v>2279</v>
      </c>
      <c r="E6472" s="0" t="s">
        <v>2279</v>
      </c>
      <c r="F6472" s="0" t="s">
        <v>2292</v>
      </c>
      <c r="G6472" s="0" t="s">
        <v>2293</v>
      </c>
      <c r="H6472" s="0" t="s">
        <v>2284</v>
      </c>
      <c r="I6472" s="0" t="s">
        <v>2322</v>
      </c>
      <c r="J6472" s="0" t="s">
        <v>2367</v>
      </c>
      <c r="K6472" s="272" t="n">
        <v>793653.12</v>
      </c>
    </row>
    <row r="6473" customFormat="false" ht="15" hidden="false" customHeight="false" outlineLevel="0" collapsed="false">
      <c r="A6473" s="0" t="s">
        <v>2041</v>
      </c>
      <c r="B6473" s="0" t="s">
        <v>2042</v>
      </c>
      <c r="C6473" s="0" t="s">
        <v>2156</v>
      </c>
      <c r="D6473" s="0" t="s">
        <v>2279</v>
      </c>
      <c r="E6473" s="0" t="s">
        <v>2279</v>
      </c>
      <c r="F6473" s="0" t="s">
        <v>2292</v>
      </c>
      <c r="G6473" s="0" t="s">
        <v>2293</v>
      </c>
      <c r="H6473" s="0" t="s">
        <v>2294</v>
      </c>
      <c r="I6473" s="0" t="s">
        <v>2322</v>
      </c>
      <c r="J6473" s="0" t="s">
        <v>2367</v>
      </c>
      <c r="K6473" s="272" t="n">
        <v>2352505.79</v>
      </c>
    </row>
    <row r="6474" customFormat="false" ht="15" hidden="false" customHeight="false" outlineLevel="0" collapsed="false">
      <c r="A6474" s="0" t="s">
        <v>2041</v>
      </c>
      <c r="B6474" s="0" t="s">
        <v>2042</v>
      </c>
      <c r="C6474" s="0" t="s">
        <v>2161</v>
      </c>
      <c r="D6474" s="0" t="s">
        <v>2279</v>
      </c>
      <c r="E6474" s="0" t="s">
        <v>2279</v>
      </c>
      <c r="F6474" s="0" t="s">
        <v>2292</v>
      </c>
      <c r="G6474" s="0" t="s">
        <v>2293</v>
      </c>
      <c r="H6474" s="0" t="s">
        <v>2294</v>
      </c>
      <c r="I6474" s="0" t="s">
        <v>2322</v>
      </c>
      <c r="J6474" s="0" t="s">
        <v>2367</v>
      </c>
      <c r="K6474" s="272" t="n">
        <v>551900.41</v>
      </c>
    </row>
    <row r="6475" customFormat="false" ht="15" hidden="false" customHeight="false" outlineLevel="0" collapsed="false">
      <c r="A6475" s="0" t="s">
        <v>2041</v>
      </c>
      <c r="B6475" s="0" t="s">
        <v>2042</v>
      </c>
      <c r="C6475" s="0" t="s">
        <v>2156</v>
      </c>
      <c r="D6475" s="0" t="s">
        <v>2279</v>
      </c>
      <c r="E6475" s="0" t="s">
        <v>2279</v>
      </c>
      <c r="F6475" s="0" t="s">
        <v>2292</v>
      </c>
      <c r="G6475" s="0" t="s">
        <v>2293</v>
      </c>
      <c r="H6475" s="0" t="s">
        <v>2295</v>
      </c>
      <c r="I6475" s="0" t="s">
        <v>2322</v>
      </c>
      <c r="J6475" s="0" t="s">
        <v>2367</v>
      </c>
      <c r="K6475" s="272" t="n">
        <v>4116885.14</v>
      </c>
    </row>
    <row r="6476" customFormat="false" ht="15" hidden="false" customHeight="false" outlineLevel="0" collapsed="false">
      <c r="A6476" s="0" t="s">
        <v>2041</v>
      </c>
      <c r="B6476" s="0" t="s">
        <v>2042</v>
      </c>
      <c r="C6476" s="0" t="s">
        <v>2161</v>
      </c>
      <c r="D6476" s="0" t="s">
        <v>2279</v>
      </c>
      <c r="E6476" s="0" t="s">
        <v>2279</v>
      </c>
      <c r="F6476" s="0" t="s">
        <v>2292</v>
      </c>
      <c r="G6476" s="0" t="s">
        <v>2293</v>
      </c>
      <c r="H6476" s="0" t="s">
        <v>2295</v>
      </c>
      <c r="I6476" s="0" t="s">
        <v>2322</v>
      </c>
      <c r="J6476" s="0" t="s">
        <v>2367</v>
      </c>
      <c r="K6476" s="272" t="n">
        <v>676599.77</v>
      </c>
    </row>
    <row r="6477" customFormat="false" ht="15" hidden="false" customHeight="false" outlineLevel="0" collapsed="false">
      <c r="A6477" s="0" t="s">
        <v>2041</v>
      </c>
      <c r="B6477" s="0" t="s">
        <v>2042</v>
      </c>
      <c r="C6477" s="0" t="s">
        <v>2156</v>
      </c>
      <c r="D6477" s="0" t="s">
        <v>2279</v>
      </c>
      <c r="E6477" s="0" t="s">
        <v>2279</v>
      </c>
      <c r="F6477" s="0" t="s">
        <v>2292</v>
      </c>
      <c r="G6477" s="0" t="s">
        <v>2293</v>
      </c>
      <c r="H6477" s="0" t="s">
        <v>2298</v>
      </c>
      <c r="I6477" s="0" t="s">
        <v>2322</v>
      </c>
      <c r="J6477" s="0" t="s">
        <v>2367</v>
      </c>
      <c r="K6477" s="272" t="n">
        <v>3528758.69</v>
      </c>
    </row>
    <row r="6478" customFormat="false" ht="15" hidden="false" customHeight="false" outlineLevel="0" collapsed="false">
      <c r="A6478" s="0" t="s">
        <v>2041</v>
      </c>
      <c r="B6478" s="0" t="s">
        <v>2042</v>
      </c>
      <c r="C6478" s="0" t="s">
        <v>2161</v>
      </c>
      <c r="D6478" s="0" t="s">
        <v>2279</v>
      </c>
      <c r="E6478" s="0" t="s">
        <v>2279</v>
      </c>
      <c r="F6478" s="0" t="s">
        <v>2292</v>
      </c>
      <c r="G6478" s="0" t="s">
        <v>2293</v>
      </c>
      <c r="H6478" s="0" t="s">
        <v>2298</v>
      </c>
      <c r="I6478" s="0" t="s">
        <v>2322</v>
      </c>
      <c r="J6478" s="0" t="s">
        <v>2367</v>
      </c>
      <c r="K6478" s="272" t="n">
        <v>625884.96</v>
      </c>
    </row>
    <row r="6479" customFormat="false" ht="15" hidden="false" customHeight="false" outlineLevel="0" collapsed="false">
      <c r="A6479" s="0" t="s">
        <v>2041</v>
      </c>
      <c r="B6479" s="0" t="s">
        <v>2042</v>
      </c>
      <c r="C6479" s="0" t="s">
        <v>2156</v>
      </c>
      <c r="D6479" s="0" t="s">
        <v>2279</v>
      </c>
      <c r="E6479" s="0" t="s">
        <v>2279</v>
      </c>
      <c r="F6479" s="0" t="s">
        <v>2292</v>
      </c>
      <c r="G6479" s="0" t="s">
        <v>2293</v>
      </c>
      <c r="H6479" s="0" t="s">
        <v>2287</v>
      </c>
      <c r="I6479" s="0" t="s">
        <v>2322</v>
      </c>
      <c r="J6479" s="0" t="s">
        <v>2367</v>
      </c>
      <c r="K6479" s="272" t="n">
        <v>4705011.58</v>
      </c>
    </row>
    <row r="6480" customFormat="false" ht="15" hidden="false" customHeight="false" outlineLevel="0" collapsed="false">
      <c r="A6480" s="0" t="s">
        <v>2041</v>
      </c>
      <c r="B6480" s="0" t="s">
        <v>2042</v>
      </c>
      <c r="C6480" s="0" t="s">
        <v>2161</v>
      </c>
      <c r="D6480" s="0" t="s">
        <v>2279</v>
      </c>
      <c r="E6480" s="0" t="s">
        <v>2279</v>
      </c>
      <c r="F6480" s="0" t="s">
        <v>2292</v>
      </c>
      <c r="G6480" s="0" t="s">
        <v>2293</v>
      </c>
      <c r="H6480" s="0" t="s">
        <v>2287</v>
      </c>
      <c r="I6480" s="0" t="s">
        <v>2322</v>
      </c>
      <c r="J6480" s="0" t="s">
        <v>2367</v>
      </c>
      <c r="K6480" s="272" t="n">
        <v>719866.77</v>
      </c>
    </row>
    <row r="6481" customFormat="false" ht="15" hidden="false" customHeight="false" outlineLevel="0" collapsed="false">
      <c r="A6481" s="0" t="s">
        <v>2041</v>
      </c>
      <c r="B6481" s="0" t="s">
        <v>2042</v>
      </c>
      <c r="C6481" s="0" t="s">
        <v>2156</v>
      </c>
      <c r="D6481" s="0" t="s">
        <v>2279</v>
      </c>
      <c r="E6481" s="0" t="s">
        <v>2279</v>
      </c>
      <c r="F6481" s="0" t="s">
        <v>2292</v>
      </c>
      <c r="G6481" s="0" t="s">
        <v>2293</v>
      </c>
      <c r="H6481" s="0" t="s">
        <v>2305</v>
      </c>
      <c r="I6481" s="0" t="s">
        <v>2322</v>
      </c>
      <c r="J6481" s="0" t="s">
        <v>2367</v>
      </c>
      <c r="K6481" s="272" t="n">
        <v>2470131.09</v>
      </c>
    </row>
    <row r="6482" customFormat="false" ht="15" hidden="false" customHeight="false" outlineLevel="0" collapsed="false">
      <c r="A6482" s="0" t="s">
        <v>2041</v>
      </c>
      <c r="B6482" s="0" t="s">
        <v>2042</v>
      </c>
      <c r="C6482" s="0" t="s">
        <v>2161</v>
      </c>
      <c r="D6482" s="0" t="s">
        <v>2279</v>
      </c>
      <c r="E6482" s="0" t="s">
        <v>2279</v>
      </c>
      <c r="F6482" s="0" t="s">
        <v>2292</v>
      </c>
      <c r="G6482" s="0" t="s">
        <v>2293</v>
      </c>
      <c r="H6482" s="0" t="s">
        <v>2305</v>
      </c>
      <c r="I6482" s="0" t="s">
        <v>2322</v>
      </c>
      <c r="J6482" s="0" t="s">
        <v>2367</v>
      </c>
      <c r="K6482" s="272" t="n">
        <v>727272.89</v>
      </c>
    </row>
    <row r="6483" customFormat="false" ht="15" hidden="false" customHeight="false" outlineLevel="0" collapsed="false">
      <c r="A6483" s="0" t="s">
        <v>2041</v>
      </c>
      <c r="B6483" s="0" t="s">
        <v>2042</v>
      </c>
      <c r="C6483" s="0" t="s">
        <v>2156</v>
      </c>
      <c r="D6483" s="0" t="s">
        <v>2279</v>
      </c>
      <c r="E6483" s="0" t="s">
        <v>2279</v>
      </c>
      <c r="F6483" s="0" t="s">
        <v>2292</v>
      </c>
      <c r="G6483" s="0" t="s">
        <v>2293</v>
      </c>
      <c r="H6483" s="0" t="s">
        <v>2200</v>
      </c>
      <c r="I6483" s="0" t="s">
        <v>2322</v>
      </c>
      <c r="J6483" s="0" t="s">
        <v>2367</v>
      </c>
      <c r="K6483" s="272" t="n">
        <v>2293693.1485</v>
      </c>
    </row>
    <row r="6484" customFormat="false" ht="15" hidden="false" customHeight="false" outlineLevel="0" collapsed="false">
      <c r="A6484" s="0" t="s">
        <v>2041</v>
      </c>
      <c r="B6484" s="0" t="s">
        <v>2042</v>
      </c>
      <c r="C6484" s="0" t="s">
        <v>2161</v>
      </c>
      <c r="D6484" s="0" t="s">
        <v>2279</v>
      </c>
      <c r="E6484" s="0" t="s">
        <v>2279</v>
      </c>
      <c r="F6484" s="0" t="s">
        <v>2292</v>
      </c>
      <c r="G6484" s="0" t="s">
        <v>2293</v>
      </c>
      <c r="H6484" s="0" t="s">
        <v>2200</v>
      </c>
      <c r="I6484" s="0" t="s">
        <v>2322</v>
      </c>
      <c r="J6484" s="0" t="s">
        <v>2367</v>
      </c>
      <c r="K6484" s="272" t="n">
        <v>442088.429710889</v>
      </c>
    </row>
    <row r="6485" customFormat="false" ht="15" hidden="false" customHeight="false" outlineLevel="0" collapsed="false">
      <c r="A6485" s="0" t="s">
        <v>2041</v>
      </c>
      <c r="B6485" s="0" t="s">
        <v>2042</v>
      </c>
      <c r="C6485" s="0" t="s">
        <v>2156</v>
      </c>
      <c r="D6485" s="0" t="s">
        <v>2279</v>
      </c>
      <c r="E6485" s="0" t="s">
        <v>2279</v>
      </c>
      <c r="F6485" s="0" t="s">
        <v>2292</v>
      </c>
      <c r="G6485" s="0" t="s">
        <v>2293</v>
      </c>
      <c r="H6485" s="0" t="s">
        <v>2202</v>
      </c>
      <c r="I6485" s="0" t="s">
        <v>2322</v>
      </c>
      <c r="J6485" s="0" t="s">
        <v>2367</v>
      </c>
      <c r="K6485" s="272" t="n">
        <v>1235065.5415</v>
      </c>
    </row>
    <row r="6486" customFormat="false" ht="15" hidden="false" customHeight="false" outlineLevel="0" collapsed="false">
      <c r="A6486" s="0" t="s">
        <v>2041</v>
      </c>
      <c r="B6486" s="0" t="s">
        <v>2042</v>
      </c>
      <c r="C6486" s="0" t="s">
        <v>2161</v>
      </c>
      <c r="D6486" s="0" t="s">
        <v>2279</v>
      </c>
      <c r="E6486" s="0" t="s">
        <v>2279</v>
      </c>
      <c r="F6486" s="0" t="s">
        <v>2292</v>
      </c>
      <c r="G6486" s="0" t="s">
        <v>2293</v>
      </c>
      <c r="H6486" s="0" t="s">
        <v>2202</v>
      </c>
      <c r="I6486" s="0" t="s">
        <v>2322</v>
      </c>
      <c r="J6486" s="0" t="s">
        <v>2367</v>
      </c>
      <c r="K6486" s="272" t="n">
        <v>238047.615998171</v>
      </c>
    </row>
    <row r="6487" customFormat="false" ht="15" hidden="false" customHeight="false" outlineLevel="0" collapsed="false">
      <c r="A6487" s="0" t="s">
        <v>2041</v>
      </c>
      <c r="B6487" s="0" t="s">
        <v>2042</v>
      </c>
      <c r="C6487" s="0" t="s">
        <v>2156</v>
      </c>
      <c r="D6487" s="0" t="s">
        <v>2279</v>
      </c>
      <c r="E6487" s="0" t="s">
        <v>2279</v>
      </c>
      <c r="F6487" s="0" t="s">
        <v>2292</v>
      </c>
      <c r="G6487" s="0" t="s">
        <v>2293</v>
      </c>
      <c r="H6487" s="0" t="s">
        <v>2289</v>
      </c>
      <c r="I6487" s="0" t="s">
        <v>2322</v>
      </c>
      <c r="J6487" s="0" t="s">
        <v>2367</v>
      </c>
      <c r="K6487" s="272" t="n">
        <v>5187275.27</v>
      </c>
    </row>
    <row r="6488" customFormat="false" ht="15" hidden="false" customHeight="false" outlineLevel="0" collapsed="false">
      <c r="A6488" s="0" t="s">
        <v>2041</v>
      </c>
      <c r="B6488" s="0" t="s">
        <v>2042</v>
      </c>
      <c r="C6488" s="0" t="s">
        <v>2161</v>
      </c>
      <c r="D6488" s="0" t="s">
        <v>2279</v>
      </c>
      <c r="E6488" s="0" t="s">
        <v>2279</v>
      </c>
      <c r="F6488" s="0" t="s">
        <v>2292</v>
      </c>
      <c r="G6488" s="0" t="s">
        <v>2293</v>
      </c>
      <c r="H6488" s="0" t="s">
        <v>2289</v>
      </c>
      <c r="I6488" s="0" t="s">
        <v>2322</v>
      </c>
      <c r="J6488" s="0" t="s">
        <v>2367</v>
      </c>
      <c r="K6488" s="272" t="n">
        <v>793653.12</v>
      </c>
    </row>
    <row r="6489" customFormat="false" ht="15" hidden="false" customHeight="false" outlineLevel="0" collapsed="false">
      <c r="A6489" s="0" t="s">
        <v>2041</v>
      </c>
      <c r="B6489" s="0" t="s">
        <v>2042</v>
      </c>
      <c r="C6489" s="0" t="s">
        <v>2156</v>
      </c>
      <c r="D6489" s="0" t="s">
        <v>2279</v>
      </c>
      <c r="E6489" s="0" t="s">
        <v>2279</v>
      </c>
      <c r="F6489" s="0" t="s">
        <v>2292</v>
      </c>
      <c r="G6489" s="0" t="s">
        <v>2293</v>
      </c>
      <c r="H6489" s="0" t="s">
        <v>2313</v>
      </c>
      <c r="I6489" s="0" t="s">
        <v>2322</v>
      </c>
      <c r="J6489" s="0" t="s">
        <v>2367</v>
      </c>
      <c r="K6489" s="272" t="n">
        <v>90435081.09</v>
      </c>
    </row>
    <row r="6490" customFormat="false" ht="15" hidden="false" customHeight="false" outlineLevel="0" collapsed="false">
      <c r="A6490" s="0" t="s">
        <v>2041</v>
      </c>
      <c r="B6490" s="0" t="s">
        <v>2042</v>
      </c>
      <c r="C6490" s="0" t="s">
        <v>2161</v>
      </c>
      <c r="D6490" s="0" t="s">
        <v>2279</v>
      </c>
      <c r="E6490" s="0" t="s">
        <v>2279</v>
      </c>
      <c r="F6490" s="0" t="s">
        <v>2292</v>
      </c>
      <c r="G6490" s="0" t="s">
        <v>2293</v>
      </c>
      <c r="H6490" s="0" t="s">
        <v>2313</v>
      </c>
      <c r="I6490" s="0" t="s">
        <v>2322</v>
      </c>
      <c r="J6490" s="0" t="s">
        <v>2367</v>
      </c>
      <c r="K6490" s="272" t="n">
        <v>13836567.41</v>
      </c>
    </row>
    <row r="6491" customFormat="false" ht="15" hidden="false" customHeight="false" outlineLevel="0" collapsed="false">
      <c r="A6491" s="0" t="s">
        <v>2041</v>
      </c>
      <c r="B6491" s="0" t="s">
        <v>2042</v>
      </c>
      <c r="C6491" s="0" t="s">
        <v>2156</v>
      </c>
      <c r="D6491" s="0" t="s">
        <v>2279</v>
      </c>
      <c r="E6491" s="0" t="s">
        <v>2279</v>
      </c>
      <c r="F6491" s="0" t="s">
        <v>2292</v>
      </c>
      <c r="G6491" s="0" t="s">
        <v>2293</v>
      </c>
      <c r="H6491" s="0" t="s">
        <v>2314</v>
      </c>
      <c r="I6491" s="0" t="s">
        <v>2322</v>
      </c>
      <c r="J6491" s="0" t="s">
        <v>2367</v>
      </c>
      <c r="K6491" s="272" t="n">
        <v>8704648.05</v>
      </c>
    </row>
    <row r="6492" customFormat="false" ht="15" hidden="false" customHeight="false" outlineLevel="0" collapsed="false">
      <c r="A6492" s="0" t="s">
        <v>2041</v>
      </c>
      <c r="B6492" s="0" t="s">
        <v>2042</v>
      </c>
      <c r="C6492" s="0" t="s">
        <v>2161</v>
      </c>
      <c r="D6492" s="0" t="s">
        <v>2279</v>
      </c>
      <c r="E6492" s="0" t="s">
        <v>2279</v>
      </c>
      <c r="F6492" s="0" t="s">
        <v>2292</v>
      </c>
      <c r="G6492" s="0" t="s">
        <v>2293</v>
      </c>
      <c r="H6492" s="0" t="s">
        <v>2314</v>
      </c>
      <c r="I6492" s="0" t="s">
        <v>2322</v>
      </c>
      <c r="J6492" s="0" t="s">
        <v>2367</v>
      </c>
      <c r="K6492" s="272" t="n">
        <v>1806214.66</v>
      </c>
    </row>
    <row r="6493" customFormat="false" ht="15" hidden="false" customHeight="false" outlineLevel="0" collapsed="false">
      <c r="A6493" s="0" t="s">
        <v>2041</v>
      </c>
      <c r="B6493" s="0" t="s">
        <v>2042</v>
      </c>
      <c r="C6493" s="0" t="s">
        <v>2156</v>
      </c>
      <c r="D6493" s="0" t="s">
        <v>2279</v>
      </c>
      <c r="E6493" s="0" t="s">
        <v>2279</v>
      </c>
      <c r="F6493" s="0" t="s">
        <v>2292</v>
      </c>
      <c r="G6493" s="0" t="s">
        <v>2293</v>
      </c>
      <c r="H6493" s="0" t="s">
        <v>2326</v>
      </c>
      <c r="I6493" s="0" t="s">
        <v>2322</v>
      </c>
      <c r="J6493" s="0" t="s">
        <v>2367</v>
      </c>
      <c r="K6493" s="272" t="n">
        <v>12233030.11</v>
      </c>
    </row>
    <row r="6494" customFormat="false" ht="15" hidden="false" customHeight="false" outlineLevel="0" collapsed="false">
      <c r="A6494" s="0" t="s">
        <v>2041</v>
      </c>
      <c r="B6494" s="0" t="s">
        <v>2042</v>
      </c>
      <c r="C6494" s="0" t="s">
        <v>2161</v>
      </c>
      <c r="D6494" s="0" t="s">
        <v>2279</v>
      </c>
      <c r="E6494" s="0" t="s">
        <v>2279</v>
      </c>
      <c r="F6494" s="0" t="s">
        <v>2292</v>
      </c>
      <c r="G6494" s="0" t="s">
        <v>2293</v>
      </c>
      <c r="H6494" s="0" t="s">
        <v>2326</v>
      </c>
      <c r="I6494" s="0" t="s">
        <v>2322</v>
      </c>
      <c r="J6494" s="0" t="s">
        <v>2367</v>
      </c>
      <c r="K6494" s="272" t="n">
        <v>2132105.6</v>
      </c>
    </row>
    <row r="6495" customFormat="false" ht="15" hidden="false" customHeight="false" outlineLevel="0" collapsed="false">
      <c r="A6495" s="0" t="s">
        <v>2041</v>
      </c>
      <c r="B6495" s="0" t="s">
        <v>2042</v>
      </c>
      <c r="C6495" s="0" t="s">
        <v>2156</v>
      </c>
      <c r="D6495" s="0" t="s">
        <v>2279</v>
      </c>
      <c r="E6495" s="0" t="s">
        <v>2279</v>
      </c>
      <c r="F6495" s="0" t="s">
        <v>2292</v>
      </c>
      <c r="G6495" s="0" t="s">
        <v>2293</v>
      </c>
      <c r="H6495" s="0" t="s">
        <v>2291</v>
      </c>
      <c r="I6495" s="0" t="s">
        <v>2322</v>
      </c>
      <c r="J6495" s="0" t="s">
        <v>2367</v>
      </c>
      <c r="K6495" s="272" t="n">
        <v>4206484.55</v>
      </c>
    </row>
    <row r="6496" customFormat="false" ht="15" hidden="false" customHeight="false" outlineLevel="0" collapsed="false">
      <c r="A6496" s="0" t="s">
        <v>2041</v>
      </c>
      <c r="B6496" s="0" t="s">
        <v>2042</v>
      </c>
      <c r="C6496" s="0" t="s">
        <v>2161</v>
      </c>
      <c r="D6496" s="0" t="s">
        <v>2279</v>
      </c>
      <c r="E6496" s="0" t="s">
        <v>2279</v>
      </c>
      <c r="F6496" s="0" t="s">
        <v>2292</v>
      </c>
      <c r="G6496" s="0" t="s">
        <v>2293</v>
      </c>
      <c r="H6496" s="0" t="s">
        <v>2291</v>
      </c>
      <c r="I6496" s="0" t="s">
        <v>2322</v>
      </c>
      <c r="J6496" s="0" t="s">
        <v>2367</v>
      </c>
      <c r="K6496" s="272" t="n">
        <v>749260.65</v>
      </c>
    </row>
    <row r="6497" customFormat="false" ht="15" hidden="false" customHeight="false" outlineLevel="0" collapsed="false">
      <c r="A6497" s="0" t="s">
        <v>2041</v>
      </c>
      <c r="B6497" s="0" t="s">
        <v>2042</v>
      </c>
      <c r="C6497" s="0" t="s">
        <v>2156</v>
      </c>
      <c r="D6497" s="0" t="s">
        <v>2044</v>
      </c>
      <c r="E6497" s="0" t="s">
        <v>2045</v>
      </c>
      <c r="F6497" s="0" t="s">
        <v>2046</v>
      </c>
      <c r="G6497" s="0" t="s">
        <v>2047</v>
      </c>
      <c r="H6497" s="0" t="s">
        <v>2048</v>
      </c>
      <c r="I6497" s="0" t="s">
        <v>2322</v>
      </c>
      <c r="J6497" s="0" t="s">
        <v>2367</v>
      </c>
      <c r="K6497" s="272" t="n">
        <v>167924.64</v>
      </c>
    </row>
    <row r="6498" customFormat="false" ht="15" hidden="false" customHeight="false" outlineLevel="0" collapsed="false">
      <c r="A6498" s="0" t="s">
        <v>2041</v>
      </c>
      <c r="B6498" s="0" t="s">
        <v>2042</v>
      </c>
      <c r="C6498" s="0" t="s">
        <v>2161</v>
      </c>
      <c r="D6498" s="0" t="s">
        <v>2044</v>
      </c>
      <c r="E6498" s="0" t="s">
        <v>2045</v>
      </c>
      <c r="F6498" s="0" t="s">
        <v>2046</v>
      </c>
      <c r="G6498" s="0" t="s">
        <v>2047</v>
      </c>
      <c r="H6498" s="0" t="s">
        <v>2048</v>
      </c>
      <c r="I6498" s="0" t="s">
        <v>2322</v>
      </c>
      <c r="J6498" s="0" t="s">
        <v>2367</v>
      </c>
      <c r="K6498" s="272" t="n">
        <v>50713.24</v>
      </c>
    </row>
    <row r="6499" customFormat="false" ht="15" hidden="false" customHeight="false" outlineLevel="0" collapsed="false">
      <c r="A6499" s="0" t="s">
        <v>2041</v>
      </c>
      <c r="B6499" s="0" t="s">
        <v>2042</v>
      </c>
      <c r="C6499" s="0" t="s">
        <v>2156</v>
      </c>
      <c r="D6499" s="0" t="s">
        <v>2044</v>
      </c>
      <c r="E6499" s="0" t="s">
        <v>2045</v>
      </c>
      <c r="F6499" s="0" t="s">
        <v>2051</v>
      </c>
      <c r="G6499" s="0" t="s">
        <v>2047</v>
      </c>
      <c r="H6499" s="0" t="s">
        <v>2052</v>
      </c>
      <c r="I6499" s="0" t="s">
        <v>2322</v>
      </c>
      <c r="J6499" s="0" t="s">
        <v>2367</v>
      </c>
      <c r="K6499" s="272" t="n">
        <v>41981.16</v>
      </c>
    </row>
    <row r="6500" customFormat="false" ht="15" hidden="false" customHeight="false" outlineLevel="0" collapsed="false">
      <c r="A6500" s="0" t="s">
        <v>2041</v>
      </c>
      <c r="B6500" s="0" t="s">
        <v>2042</v>
      </c>
      <c r="C6500" s="0" t="s">
        <v>2161</v>
      </c>
      <c r="D6500" s="0" t="s">
        <v>2044</v>
      </c>
      <c r="E6500" s="0" t="s">
        <v>2045</v>
      </c>
      <c r="F6500" s="0" t="s">
        <v>2051</v>
      </c>
      <c r="G6500" s="0" t="s">
        <v>2047</v>
      </c>
      <c r="H6500" s="0" t="s">
        <v>2052</v>
      </c>
      <c r="I6500" s="0" t="s">
        <v>2322</v>
      </c>
      <c r="J6500" s="0" t="s">
        <v>2367</v>
      </c>
      <c r="K6500" s="272" t="n">
        <v>12678.31</v>
      </c>
    </row>
    <row r="6501" customFormat="false" ht="15" hidden="false" customHeight="false" outlineLevel="0" collapsed="false">
      <c r="A6501" s="0" t="s">
        <v>2041</v>
      </c>
      <c r="B6501" s="0" t="s">
        <v>2042</v>
      </c>
      <c r="C6501" s="0" t="s">
        <v>2156</v>
      </c>
      <c r="D6501" s="0" t="s">
        <v>2044</v>
      </c>
      <c r="E6501" s="0" t="s">
        <v>2045</v>
      </c>
      <c r="F6501" s="0" t="s">
        <v>2046</v>
      </c>
      <c r="G6501" s="0" t="s">
        <v>2053</v>
      </c>
      <c r="H6501" s="0" t="s">
        <v>2048</v>
      </c>
      <c r="I6501" s="0" t="s">
        <v>2322</v>
      </c>
      <c r="J6501" s="0" t="s">
        <v>2367</v>
      </c>
      <c r="K6501" s="272" t="n">
        <v>1172034.825</v>
      </c>
    </row>
    <row r="6502" customFormat="false" ht="15" hidden="false" customHeight="false" outlineLevel="0" collapsed="false">
      <c r="A6502" s="0" t="s">
        <v>2041</v>
      </c>
      <c r="B6502" s="0" t="s">
        <v>2042</v>
      </c>
      <c r="C6502" s="0" t="s">
        <v>2161</v>
      </c>
      <c r="D6502" s="0" t="s">
        <v>2044</v>
      </c>
      <c r="E6502" s="0" t="s">
        <v>2045</v>
      </c>
      <c r="F6502" s="0" t="s">
        <v>2046</v>
      </c>
      <c r="G6502" s="0" t="s">
        <v>2053</v>
      </c>
      <c r="H6502" s="0" t="s">
        <v>2048</v>
      </c>
      <c r="I6502" s="0" t="s">
        <v>2322</v>
      </c>
      <c r="J6502" s="0" t="s">
        <v>2367</v>
      </c>
      <c r="K6502" s="272" t="n">
        <v>353954.50849</v>
      </c>
    </row>
    <row r="6503" customFormat="false" ht="15" hidden="false" customHeight="false" outlineLevel="0" collapsed="false">
      <c r="A6503" s="0" t="s">
        <v>2041</v>
      </c>
      <c r="B6503" s="0" t="s">
        <v>2042</v>
      </c>
      <c r="C6503" s="0" t="s">
        <v>2156</v>
      </c>
      <c r="D6503" s="0" t="s">
        <v>2044</v>
      </c>
      <c r="E6503" s="0" t="s">
        <v>2045</v>
      </c>
      <c r="F6503" s="0" t="s">
        <v>2051</v>
      </c>
      <c r="G6503" s="0" t="s">
        <v>2053</v>
      </c>
      <c r="H6503" s="0" t="s">
        <v>2052</v>
      </c>
      <c r="I6503" s="0" t="s">
        <v>2322</v>
      </c>
      <c r="J6503" s="0" t="s">
        <v>2367</v>
      </c>
      <c r="K6503" s="272" t="n">
        <v>16997.875</v>
      </c>
    </row>
    <row r="6504" customFormat="false" ht="15" hidden="false" customHeight="false" outlineLevel="0" collapsed="false">
      <c r="A6504" s="0" t="s">
        <v>2041</v>
      </c>
      <c r="B6504" s="0" t="s">
        <v>2042</v>
      </c>
      <c r="C6504" s="0" t="s">
        <v>2161</v>
      </c>
      <c r="D6504" s="0" t="s">
        <v>2044</v>
      </c>
      <c r="E6504" s="0" t="s">
        <v>2045</v>
      </c>
      <c r="F6504" s="0" t="s">
        <v>2051</v>
      </c>
      <c r="G6504" s="0" t="s">
        <v>2053</v>
      </c>
      <c r="H6504" s="0" t="s">
        <v>2052</v>
      </c>
      <c r="I6504" s="0" t="s">
        <v>2322</v>
      </c>
      <c r="J6504" s="0" t="s">
        <v>2367</v>
      </c>
      <c r="K6504" s="272" t="n">
        <v>5133.35781526316</v>
      </c>
    </row>
    <row r="6505" customFormat="false" ht="15" hidden="false" customHeight="false" outlineLevel="0" collapsed="false">
      <c r="A6505" s="0" t="s">
        <v>2041</v>
      </c>
      <c r="B6505" s="0" t="s">
        <v>2042</v>
      </c>
      <c r="C6505" s="0" t="s">
        <v>2156</v>
      </c>
      <c r="D6505" s="0" t="s">
        <v>2044</v>
      </c>
      <c r="E6505" s="0" t="s">
        <v>2045</v>
      </c>
      <c r="F6505" s="0" t="s">
        <v>2046</v>
      </c>
      <c r="G6505" s="0" t="s">
        <v>2054</v>
      </c>
      <c r="H6505" s="0" t="s">
        <v>2048</v>
      </c>
      <c r="I6505" s="0" t="s">
        <v>2322</v>
      </c>
      <c r="J6505" s="0" t="s">
        <v>2367</v>
      </c>
      <c r="K6505" s="272" t="n">
        <v>282644.55</v>
      </c>
    </row>
    <row r="6506" customFormat="false" ht="15" hidden="false" customHeight="false" outlineLevel="0" collapsed="false">
      <c r="A6506" s="0" t="s">
        <v>2041</v>
      </c>
      <c r="B6506" s="0" t="s">
        <v>2042</v>
      </c>
      <c r="C6506" s="0" t="s">
        <v>2161</v>
      </c>
      <c r="D6506" s="0" t="s">
        <v>2044</v>
      </c>
      <c r="E6506" s="0" t="s">
        <v>2045</v>
      </c>
      <c r="F6506" s="0" t="s">
        <v>2046</v>
      </c>
      <c r="G6506" s="0" t="s">
        <v>2054</v>
      </c>
      <c r="H6506" s="0" t="s">
        <v>2048</v>
      </c>
      <c r="I6506" s="0" t="s">
        <v>2322</v>
      </c>
      <c r="J6506" s="0" t="s">
        <v>2367</v>
      </c>
      <c r="K6506" s="272" t="n">
        <v>85358.65</v>
      </c>
    </row>
    <row r="6507" customFormat="false" ht="15" hidden="false" customHeight="false" outlineLevel="0" collapsed="false">
      <c r="A6507" s="0" t="s">
        <v>2041</v>
      </c>
      <c r="B6507" s="0" t="s">
        <v>2042</v>
      </c>
      <c r="C6507" s="0" t="s">
        <v>2156</v>
      </c>
      <c r="D6507" s="0" t="s">
        <v>2044</v>
      </c>
      <c r="E6507" s="0" t="s">
        <v>2045</v>
      </c>
      <c r="F6507" s="0" t="s">
        <v>2051</v>
      </c>
      <c r="G6507" s="0" t="s">
        <v>2054</v>
      </c>
      <c r="H6507" s="0" t="s">
        <v>2052</v>
      </c>
      <c r="I6507" s="0" t="s">
        <v>2322</v>
      </c>
      <c r="J6507" s="0" t="s">
        <v>2367</v>
      </c>
      <c r="K6507" s="272" t="n">
        <v>49878.45</v>
      </c>
    </row>
    <row r="6508" customFormat="false" ht="15" hidden="false" customHeight="false" outlineLevel="0" collapsed="false">
      <c r="A6508" s="0" t="s">
        <v>2041</v>
      </c>
      <c r="B6508" s="0" t="s">
        <v>2042</v>
      </c>
      <c r="C6508" s="0" t="s">
        <v>2161</v>
      </c>
      <c r="D6508" s="0" t="s">
        <v>2044</v>
      </c>
      <c r="E6508" s="0" t="s">
        <v>2045</v>
      </c>
      <c r="F6508" s="0" t="s">
        <v>2051</v>
      </c>
      <c r="G6508" s="0" t="s">
        <v>2054</v>
      </c>
      <c r="H6508" s="0" t="s">
        <v>2052</v>
      </c>
      <c r="I6508" s="0" t="s">
        <v>2322</v>
      </c>
      <c r="J6508" s="0" t="s">
        <v>2367</v>
      </c>
      <c r="K6508" s="272" t="n">
        <v>15063.2911764706</v>
      </c>
    </row>
    <row r="6509" customFormat="false" ht="15" hidden="false" customHeight="false" outlineLevel="0" collapsed="false">
      <c r="A6509" s="0" t="s">
        <v>2041</v>
      </c>
      <c r="B6509" s="0" t="s">
        <v>2042</v>
      </c>
      <c r="C6509" s="0" t="s">
        <v>2156</v>
      </c>
      <c r="D6509" s="0" t="s">
        <v>2044</v>
      </c>
      <c r="E6509" s="0" t="s">
        <v>2045</v>
      </c>
      <c r="F6509" s="0" t="s">
        <v>2046</v>
      </c>
      <c r="G6509" s="0" t="s">
        <v>2055</v>
      </c>
      <c r="H6509" s="0" t="s">
        <v>2048</v>
      </c>
      <c r="I6509" s="0" t="s">
        <v>2322</v>
      </c>
      <c r="J6509" s="0" t="s">
        <v>2367</v>
      </c>
      <c r="K6509" s="272" t="n">
        <v>107554.5</v>
      </c>
    </row>
    <row r="6510" customFormat="false" ht="15" hidden="false" customHeight="false" outlineLevel="0" collapsed="false">
      <c r="A6510" s="0" t="s">
        <v>2041</v>
      </c>
      <c r="B6510" s="0" t="s">
        <v>2042</v>
      </c>
      <c r="C6510" s="0" t="s">
        <v>2161</v>
      </c>
      <c r="D6510" s="0" t="s">
        <v>2044</v>
      </c>
      <c r="E6510" s="0" t="s">
        <v>2045</v>
      </c>
      <c r="F6510" s="0" t="s">
        <v>2046</v>
      </c>
      <c r="G6510" s="0" t="s">
        <v>2055</v>
      </c>
      <c r="H6510" s="0" t="s">
        <v>2048</v>
      </c>
      <c r="I6510" s="0" t="s">
        <v>2322</v>
      </c>
      <c r="J6510" s="0" t="s">
        <v>2367</v>
      </c>
      <c r="K6510" s="272" t="n">
        <v>32481.46</v>
      </c>
    </row>
    <row r="6511" customFormat="false" ht="15" hidden="false" customHeight="false" outlineLevel="0" collapsed="false">
      <c r="A6511" s="0" t="s">
        <v>2041</v>
      </c>
      <c r="B6511" s="0" t="s">
        <v>2042</v>
      </c>
      <c r="C6511" s="0" t="s">
        <v>2156</v>
      </c>
      <c r="D6511" s="0" t="s">
        <v>2044</v>
      </c>
      <c r="E6511" s="0" t="s">
        <v>2045</v>
      </c>
      <c r="F6511" s="0" t="s">
        <v>2051</v>
      </c>
      <c r="G6511" s="0" t="s">
        <v>2055</v>
      </c>
      <c r="H6511" s="0" t="s">
        <v>2052</v>
      </c>
      <c r="I6511" s="0" t="s">
        <v>2322</v>
      </c>
      <c r="J6511" s="0" t="s">
        <v>2367</v>
      </c>
      <c r="K6511" s="272" t="n">
        <v>322663.5</v>
      </c>
    </row>
    <row r="6512" customFormat="false" ht="15" hidden="false" customHeight="false" outlineLevel="0" collapsed="false">
      <c r="A6512" s="0" t="s">
        <v>2041</v>
      </c>
      <c r="B6512" s="0" t="s">
        <v>2042</v>
      </c>
      <c r="C6512" s="0" t="s">
        <v>2161</v>
      </c>
      <c r="D6512" s="0" t="s">
        <v>2044</v>
      </c>
      <c r="E6512" s="0" t="s">
        <v>2045</v>
      </c>
      <c r="F6512" s="0" t="s">
        <v>2051</v>
      </c>
      <c r="G6512" s="0" t="s">
        <v>2055</v>
      </c>
      <c r="H6512" s="0" t="s">
        <v>2052</v>
      </c>
      <c r="I6512" s="0" t="s">
        <v>2322</v>
      </c>
      <c r="J6512" s="0" t="s">
        <v>2367</v>
      </c>
      <c r="K6512" s="272" t="n">
        <v>97444.38</v>
      </c>
    </row>
    <row r="6513" customFormat="false" ht="15" hidden="false" customHeight="false" outlineLevel="0" collapsed="false">
      <c r="A6513" s="0" t="s">
        <v>2041</v>
      </c>
      <c r="B6513" s="0" t="s">
        <v>2042</v>
      </c>
      <c r="C6513" s="0" t="s">
        <v>2156</v>
      </c>
      <c r="D6513" s="0" t="s">
        <v>2044</v>
      </c>
      <c r="E6513" s="0" t="s">
        <v>2045</v>
      </c>
      <c r="F6513" s="0" t="s">
        <v>2046</v>
      </c>
      <c r="G6513" s="0" t="s">
        <v>2056</v>
      </c>
      <c r="H6513" s="0" t="s">
        <v>2048</v>
      </c>
      <c r="I6513" s="0" t="s">
        <v>2322</v>
      </c>
      <c r="J6513" s="0" t="s">
        <v>2367</v>
      </c>
      <c r="K6513" s="272" t="n">
        <v>29860.785</v>
      </c>
    </row>
    <row r="6514" customFormat="false" ht="15" hidden="false" customHeight="false" outlineLevel="0" collapsed="false">
      <c r="A6514" s="0" t="s">
        <v>2041</v>
      </c>
      <c r="B6514" s="0" t="s">
        <v>2042</v>
      </c>
      <c r="C6514" s="0" t="s">
        <v>2161</v>
      </c>
      <c r="D6514" s="0" t="s">
        <v>2044</v>
      </c>
      <c r="E6514" s="0" t="s">
        <v>2045</v>
      </c>
      <c r="F6514" s="0" t="s">
        <v>2046</v>
      </c>
      <c r="G6514" s="0" t="s">
        <v>2056</v>
      </c>
      <c r="H6514" s="0" t="s">
        <v>2048</v>
      </c>
      <c r="I6514" s="0" t="s">
        <v>2322</v>
      </c>
      <c r="J6514" s="0" t="s">
        <v>2367</v>
      </c>
      <c r="K6514" s="272" t="n">
        <v>9017.95848999976</v>
      </c>
    </row>
    <row r="6515" customFormat="false" ht="15" hidden="false" customHeight="false" outlineLevel="0" collapsed="false">
      <c r="A6515" s="0" t="s">
        <v>2041</v>
      </c>
      <c r="B6515" s="0" t="s">
        <v>2042</v>
      </c>
      <c r="C6515" s="0" t="s">
        <v>2156</v>
      </c>
      <c r="D6515" s="0" t="s">
        <v>2044</v>
      </c>
      <c r="E6515" s="0" t="s">
        <v>2045</v>
      </c>
      <c r="F6515" s="0" t="s">
        <v>2051</v>
      </c>
      <c r="G6515" s="0" t="s">
        <v>2056</v>
      </c>
      <c r="H6515" s="0" t="s">
        <v>2052</v>
      </c>
      <c r="I6515" s="0" t="s">
        <v>2322</v>
      </c>
      <c r="J6515" s="0" t="s">
        <v>2367</v>
      </c>
      <c r="K6515" s="272" t="n">
        <v>301925.715</v>
      </c>
    </row>
    <row r="6516" customFormat="false" ht="15" hidden="false" customHeight="false" outlineLevel="0" collapsed="false">
      <c r="A6516" s="0" t="s">
        <v>2041</v>
      </c>
      <c r="B6516" s="0" t="s">
        <v>2042</v>
      </c>
      <c r="C6516" s="0" t="s">
        <v>2161</v>
      </c>
      <c r="D6516" s="0" t="s">
        <v>2044</v>
      </c>
      <c r="E6516" s="0" t="s">
        <v>2045</v>
      </c>
      <c r="F6516" s="0" t="s">
        <v>2051</v>
      </c>
      <c r="G6516" s="0" t="s">
        <v>2056</v>
      </c>
      <c r="H6516" s="0" t="s">
        <v>2052</v>
      </c>
      <c r="I6516" s="0" t="s">
        <v>2322</v>
      </c>
      <c r="J6516" s="0" t="s">
        <v>2367</v>
      </c>
      <c r="K6516" s="272" t="n">
        <v>91181.5802877754</v>
      </c>
    </row>
    <row r="6517" customFormat="false" ht="15" hidden="false" customHeight="false" outlineLevel="0" collapsed="false">
      <c r="A6517" s="0" t="s">
        <v>2041</v>
      </c>
      <c r="B6517" s="0" t="s">
        <v>2042</v>
      </c>
      <c r="C6517" s="0" t="s">
        <v>2156</v>
      </c>
      <c r="D6517" s="0" t="s">
        <v>2044</v>
      </c>
      <c r="E6517" s="0" t="s">
        <v>2045</v>
      </c>
      <c r="F6517" s="0" t="s">
        <v>2046</v>
      </c>
      <c r="G6517" s="0" t="s">
        <v>2057</v>
      </c>
      <c r="H6517" s="0" t="s">
        <v>2048</v>
      </c>
      <c r="I6517" s="0" t="s">
        <v>2322</v>
      </c>
      <c r="J6517" s="0" t="s">
        <v>2367</v>
      </c>
      <c r="K6517" s="272" t="n">
        <v>224764.5</v>
      </c>
    </row>
    <row r="6518" customFormat="false" ht="15" hidden="false" customHeight="false" outlineLevel="0" collapsed="false">
      <c r="A6518" s="0" t="s">
        <v>2041</v>
      </c>
      <c r="B6518" s="0" t="s">
        <v>2042</v>
      </c>
      <c r="C6518" s="0" t="s">
        <v>2161</v>
      </c>
      <c r="D6518" s="0" t="s">
        <v>2044</v>
      </c>
      <c r="E6518" s="0" t="s">
        <v>2045</v>
      </c>
      <c r="F6518" s="0" t="s">
        <v>2046</v>
      </c>
      <c r="G6518" s="0" t="s">
        <v>2057</v>
      </c>
      <c r="H6518" s="0" t="s">
        <v>2048</v>
      </c>
      <c r="I6518" s="0" t="s">
        <v>2322</v>
      </c>
      <c r="J6518" s="0" t="s">
        <v>2367</v>
      </c>
      <c r="K6518" s="272" t="n">
        <v>67878.88</v>
      </c>
    </row>
    <row r="6519" customFormat="false" ht="15" hidden="false" customHeight="false" outlineLevel="0" collapsed="false">
      <c r="A6519" s="0" t="s">
        <v>2041</v>
      </c>
      <c r="B6519" s="0" t="s">
        <v>2042</v>
      </c>
      <c r="C6519" s="0" t="s">
        <v>2156</v>
      </c>
      <c r="D6519" s="0" t="s">
        <v>2044</v>
      </c>
      <c r="E6519" s="0" t="s">
        <v>2045</v>
      </c>
      <c r="F6519" s="0" t="s">
        <v>2051</v>
      </c>
      <c r="G6519" s="0" t="s">
        <v>2057</v>
      </c>
      <c r="H6519" s="0" t="s">
        <v>2052</v>
      </c>
      <c r="I6519" s="0" t="s">
        <v>2322</v>
      </c>
      <c r="J6519" s="0" t="s">
        <v>2367</v>
      </c>
      <c r="K6519" s="272" t="n">
        <v>224764.5</v>
      </c>
    </row>
    <row r="6520" customFormat="false" ht="15" hidden="false" customHeight="false" outlineLevel="0" collapsed="false">
      <c r="A6520" s="0" t="s">
        <v>2041</v>
      </c>
      <c r="B6520" s="0" t="s">
        <v>2042</v>
      </c>
      <c r="C6520" s="0" t="s">
        <v>2161</v>
      </c>
      <c r="D6520" s="0" t="s">
        <v>2044</v>
      </c>
      <c r="E6520" s="0" t="s">
        <v>2045</v>
      </c>
      <c r="F6520" s="0" t="s">
        <v>2051</v>
      </c>
      <c r="G6520" s="0" t="s">
        <v>2057</v>
      </c>
      <c r="H6520" s="0" t="s">
        <v>2052</v>
      </c>
      <c r="I6520" s="0" t="s">
        <v>2322</v>
      </c>
      <c r="J6520" s="0" t="s">
        <v>2367</v>
      </c>
      <c r="K6520" s="272" t="n">
        <v>67878.88</v>
      </c>
    </row>
    <row r="6521" customFormat="false" ht="15" hidden="false" customHeight="false" outlineLevel="0" collapsed="false">
      <c r="A6521" s="0" t="s">
        <v>2041</v>
      </c>
      <c r="B6521" s="0" t="s">
        <v>2042</v>
      </c>
      <c r="C6521" s="0" t="s">
        <v>2156</v>
      </c>
      <c r="D6521" s="0" t="s">
        <v>2044</v>
      </c>
      <c r="E6521" s="0" t="s">
        <v>2045</v>
      </c>
      <c r="F6521" s="0" t="s">
        <v>2046</v>
      </c>
      <c r="G6521" s="0" t="s">
        <v>2058</v>
      </c>
      <c r="H6521" s="0" t="s">
        <v>2048</v>
      </c>
      <c r="I6521" s="0" t="s">
        <v>2322</v>
      </c>
      <c r="J6521" s="0" t="s">
        <v>2367</v>
      </c>
      <c r="K6521" s="272" t="n">
        <v>223076.8</v>
      </c>
    </row>
    <row r="6522" customFormat="false" ht="15" hidden="false" customHeight="false" outlineLevel="0" collapsed="false">
      <c r="A6522" s="0" t="s">
        <v>2041</v>
      </c>
      <c r="B6522" s="0" t="s">
        <v>2042</v>
      </c>
      <c r="C6522" s="0" t="s">
        <v>2161</v>
      </c>
      <c r="D6522" s="0" t="s">
        <v>2044</v>
      </c>
      <c r="E6522" s="0" t="s">
        <v>2045</v>
      </c>
      <c r="F6522" s="0" t="s">
        <v>2046</v>
      </c>
      <c r="G6522" s="0" t="s">
        <v>2058</v>
      </c>
      <c r="H6522" s="0" t="s">
        <v>2048</v>
      </c>
      <c r="I6522" s="0" t="s">
        <v>2322</v>
      </c>
      <c r="J6522" s="0" t="s">
        <v>2367</v>
      </c>
      <c r="K6522" s="272" t="n">
        <v>67369.19</v>
      </c>
    </row>
    <row r="6523" customFormat="false" ht="15" hidden="false" customHeight="false" outlineLevel="0" collapsed="false">
      <c r="A6523" s="0" t="s">
        <v>2041</v>
      </c>
      <c r="B6523" s="0" t="s">
        <v>2042</v>
      </c>
      <c r="C6523" s="0" t="s">
        <v>2156</v>
      </c>
      <c r="D6523" s="0" t="s">
        <v>2044</v>
      </c>
      <c r="E6523" s="0" t="s">
        <v>2045</v>
      </c>
      <c r="F6523" s="0" t="s">
        <v>2051</v>
      </c>
      <c r="G6523" s="0" t="s">
        <v>2058</v>
      </c>
      <c r="H6523" s="0" t="s">
        <v>2052</v>
      </c>
      <c r="I6523" s="0" t="s">
        <v>2322</v>
      </c>
      <c r="J6523" s="0" t="s">
        <v>2367</v>
      </c>
      <c r="K6523" s="272" t="n">
        <v>55769.2</v>
      </c>
    </row>
    <row r="6524" customFormat="false" ht="15" hidden="false" customHeight="false" outlineLevel="0" collapsed="false">
      <c r="A6524" s="0" t="s">
        <v>2041</v>
      </c>
      <c r="B6524" s="0" t="s">
        <v>2042</v>
      </c>
      <c r="C6524" s="0" t="s">
        <v>2161</v>
      </c>
      <c r="D6524" s="0" t="s">
        <v>2044</v>
      </c>
      <c r="E6524" s="0" t="s">
        <v>2045</v>
      </c>
      <c r="F6524" s="0" t="s">
        <v>2051</v>
      </c>
      <c r="G6524" s="0" t="s">
        <v>2058</v>
      </c>
      <c r="H6524" s="0" t="s">
        <v>2052</v>
      </c>
      <c r="I6524" s="0" t="s">
        <v>2322</v>
      </c>
      <c r="J6524" s="0" t="s">
        <v>2367</v>
      </c>
      <c r="K6524" s="272" t="n">
        <v>16842.2975</v>
      </c>
    </row>
    <row r="6525" customFormat="false" ht="15" hidden="false" customHeight="false" outlineLevel="0" collapsed="false">
      <c r="A6525" s="0" t="s">
        <v>2041</v>
      </c>
      <c r="B6525" s="0" t="s">
        <v>2042</v>
      </c>
      <c r="C6525" s="0" t="s">
        <v>2156</v>
      </c>
      <c r="D6525" s="0" t="s">
        <v>2044</v>
      </c>
      <c r="E6525" s="0" t="s">
        <v>2045</v>
      </c>
      <c r="F6525" s="0" t="s">
        <v>2046</v>
      </c>
      <c r="G6525" s="0" t="s">
        <v>2059</v>
      </c>
      <c r="H6525" s="0" t="s">
        <v>2048</v>
      </c>
      <c r="I6525" s="0" t="s">
        <v>2322</v>
      </c>
      <c r="J6525" s="0" t="s">
        <v>2367</v>
      </c>
      <c r="K6525" s="272" t="n">
        <v>141417.57</v>
      </c>
    </row>
    <row r="6526" customFormat="false" ht="15" hidden="false" customHeight="false" outlineLevel="0" collapsed="false">
      <c r="A6526" s="0" t="s">
        <v>2041</v>
      </c>
      <c r="B6526" s="0" t="s">
        <v>2042</v>
      </c>
      <c r="C6526" s="0" t="s">
        <v>2161</v>
      </c>
      <c r="D6526" s="0" t="s">
        <v>2044</v>
      </c>
      <c r="E6526" s="0" t="s">
        <v>2045</v>
      </c>
      <c r="F6526" s="0" t="s">
        <v>2046</v>
      </c>
      <c r="G6526" s="0" t="s">
        <v>2059</v>
      </c>
      <c r="H6526" s="0" t="s">
        <v>2048</v>
      </c>
      <c r="I6526" s="0" t="s">
        <v>2322</v>
      </c>
      <c r="J6526" s="0" t="s">
        <v>2367</v>
      </c>
      <c r="K6526" s="272" t="n">
        <v>42708.106</v>
      </c>
    </row>
    <row r="6527" customFormat="false" ht="15" hidden="false" customHeight="false" outlineLevel="0" collapsed="false">
      <c r="A6527" s="0" t="s">
        <v>2041</v>
      </c>
      <c r="B6527" s="0" t="s">
        <v>2042</v>
      </c>
      <c r="C6527" s="0" t="s">
        <v>2156</v>
      </c>
      <c r="D6527" s="0" t="s">
        <v>2044</v>
      </c>
      <c r="E6527" s="0" t="s">
        <v>2045</v>
      </c>
      <c r="F6527" s="0" t="s">
        <v>2051</v>
      </c>
      <c r="G6527" s="0" t="s">
        <v>2059</v>
      </c>
      <c r="H6527" s="0" t="s">
        <v>2052</v>
      </c>
      <c r="I6527" s="0" t="s">
        <v>2322</v>
      </c>
      <c r="J6527" s="0" t="s">
        <v>2367</v>
      </c>
      <c r="K6527" s="272" t="n">
        <v>60607.53</v>
      </c>
    </row>
    <row r="6528" customFormat="false" ht="15" hidden="false" customHeight="false" outlineLevel="0" collapsed="false">
      <c r="A6528" s="0" t="s">
        <v>2041</v>
      </c>
      <c r="B6528" s="0" t="s">
        <v>2042</v>
      </c>
      <c r="C6528" s="0" t="s">
        <v>2161</v>
      </c>
      <c r="D6528" s="0" t="s">
        <v>2044</v>
      </c>
      <c r="E6528" s="0" t="s">
        <v>2045</v>
      </c>
      <c r="F6528" s="0" t="s">
        <v>2051</v>
      </c>
      <c r="G6528" s="0" t="s">
        <v>2059</v>
      </c>
      <c r="H6528" s="0" t="s">
        <v>2052</v>
      </c>
      <c r="I6528" s="0" t="s">
        <v>2322</v>
      </c>
      <c r="J6528" s="0" t="s">
        <v>2367</v>
      </c>
      <c r="K6528" s="272" t="n">
        <v>18303.474</v>
      </c>
    </row>
    <row r="6529" customFormat="false" ht="15" hidden="false" customHeight="false" outlineLevel="0" collapsed="false">
      <c r="A6529" s="0" t="s">
        <v>2041</v>
      </c>
      <c r="B6529" s="0" t="s">
        <v>2042</v>
      </c>
      <c r="C6529" s="0" t="s">
        <v>2156</v>
      </c>
      <c r="D6529" s="0" t="s">
        <v>2044</v>
      </c>
      <c r="E6529" s="0" t="s">
        <v>2045</v>
      </c>
      <c r="F6529" s="0" t="s">
        <v>2046</v>
      </c>
      <c r="G6529" s="0" t="s">
        <v>2060</v>
      </c>
      <c r="H6529" s="0" t="s">
        <v>2048</v>
      </c>
      <c r="I6529" s="0" t="s">
        <v>2322</v>
      </c>
      <c r="J6529" s="0" t="s">
        <v>2367</v>
      </c>
      <c r="K6529" s="272" t="n">
        <v>1971761.319</v>
      </c>
    </row>
    <row r="6530" customFormat="false" ht="15" hidden="false" customHeight="false" outlineLevel="0" collapsed="false">
      <c r="A6530" s="0" t="s">
        <v>2041</v>
      </c>
      <c r="B6530" s="0" t="s">
        <v>2042</v>
      </c>
      <c r="C6530" s="0" t="s">
        <v>2161</v>
      </c>
      <c r="D6530" s="0" t="s">
        <v>2044</v>
      </c>
      <c r="E6530" s="0" t="s">
        <v>2045</v>
      </c>
      <c r="F6530" s="0" t="s">
        <v>2046</v>
      </c>
      <c r="G6530" s="0" t="s">
        <v>2060</v>
      </c>
      <c r="H6530" s="0" t="s">
        <v>2048</v>
      </c>
      <c r="I6530" s="0" t="s">
        <v>2322</v>
      </c>
      <c r="J6530" s="0" t="s">
        <v>2367</v>
      </c>
      <c r="K6530" s="272" t="n">
        <v>595471.919698</v>
      </c>
    </row>
    <row r="6531" customFormat="false" ht="15" hidden="false" customHeight="false" outlineLevel="0" collapsed="false">
      <c r="A6531" s="0" t="s">
        <v>2041</v>
      </c>
      <c r="B6531" s="0" t="s">
        <v>2042</v>
      </c>
      <c r="C6531" s="0" t="s">
        <v>2156</v>
      </c>
      <c r="D6531" s="0" t="s">
        <v>2044</v>
      </c>
      <c r="E6531" s="0" t="s">
        <v>2045</v>
      </c>
      <c r="F6531" s="0" t="s">
        <v>2051</v>
      </c>
      <c r="G6531" s="0" t="s">
        <v>2060</v>
      </c>
      <c r="H6531" s="0" t="s">
        <v>2052</v>
      </c>
      <c r="I6531" s="0" t="s">
        <v>2322</v>
      </c>
      <c r="J6531" s="0" t="s">
        <v>2367</v>
      </c>
      <c r="K6531" s="272" t="n">
        <v>19916.781</v>
      </c>
    </row>
    <row r="6532" customFormat="false" ht="15" hidden="false" customHeight="false" outlineLevel="0" collapsed="false">
      <c r="A6532" s="0" t="s">
        <v>2041</v>
      </c>
      <c r="B6532" s="0" t="s">
        <v>2042</v>
      </c>
      <c r="C6532" s="0" t="s">
        <v>2161</v>
      </c>
      <c r="D6532" s="0" t="s">
        <v>2044</v>
      </c>
      <c r="E6532" s="0" t="s">
        <v>2045</v>
      </c>
      <c r="F6532" s="0" t="s">
        <v>2051</v>
      </c>
      <c r="G6532" s="0" t="s">
        <v>2060</v>
      </c>
      <c r="H6532" s="0" t="s">
        <v>2052</v>
      </c>
      <c r="I6532" s="0" t="s">
        <v>2322</v>
      </c>
      <c r="J6532" s="0" t="s">
        <v>2367</v>
      </c>
      <c r="K6532" s="272" t="n">
        <v>6014.86787573738</v>
      </c>
    </row>
    <row r="6533" customFormat="false" ht="15" hidden="false" customHeight="false" outlineLevel="0" collapsed="false">
      <c r="A6533" s="0" t="s">
        <v>2041</v>
      </c>
      <c r="B6533" s="0" t="s">
        <v>2042</v>
      </c>
      <c r="C6533" s="0" t="s">
        <v>2156</v>
      </c>
      <c r="D6533" s="0" t="s">
        <v>2044</v>
      </c>
      <c r="E6533" s="0" t="s">
        <v>2045</v>
      </c>
      <c r="F6533" s="0" t="s">
        <v>2046</v>
      </c>
      <c r="G6533" s="0" t="s">
        <v>2061</v>
      </c>
      <c r="H6533" s="0" t="s">
        <v>2048</v>
      </c>
      <c r="I6533" s="0" t="s">
        <v>2322</v>
      </c>
      <c r="J6533" s="0" t="s">
        <v>2367</v>
      </c>
      <c r="K6533" s="272" t="n">
        <v>959187.74</v>
      </c>
    </row>
    <row r="6534" customFormat="false" ht="15" hidden="false" customHeight="false" outlineLevel="0" collapsed="false">
      <c r="A6534" s="0" t="s">
        <v>2041</v>
      </c>
      <c r="B6534" s="0" t="s">
        <v>2042</v>
      </c>
      <c r="C6534" s="0" t="s">
        <v>2161</v>
      </c>
      <c r="D6534" s="0" t="s">
        <v>2044</v>
      </c>
      <c r="E6534" s="0" t="s">
        <v>2045</v>
      </c>
      <c r="F6534" s="0" t="s">
        <v>2046</v>
      </c>
      <c r="G6534" s="0" t="s">
        <v>2061</v>
      </c>
      <c r="H6534" s="0" t="s">
        <v>2048</v>
      </c>
      <c r="I6534" s="0" t="s">
        <v>2322</v>
      </c>
      <c r="J6534" s="0" t="s">
        <v>2367</v>
      </c>
      <c r="K6534" s="272" t="n">
        <v>289674.7</v>
      </c>
    </row>
    <row r="6535" customFormat="false" ht="15" hidden="false" customHeight="false" outlineLevel="0" collapsed="false">
      <c r="A6535" s="0" t="s">
        <v>2041</v>
      </c>
      <c r="B6535" s="0" t="s">
        <v>2042</v>
      </c>
      <c r="C6535" s="0" t="s">
        <v>2156</v>
      </c>
      <c r="D6535" s="0" t="s">
        <v>2044</v>
      </c>
      <c r="E6535" s="0" t="s">
        <v>2045</v>
      </c>
      <c r="F6535" s="0" t="s">
        <v>2051</v>
      </c>
      <c r="G6535" s="0" t="s">
        <v>2061</v>
      </c>
      <c r="H6535" s="0" t="s">
        <v>2052</v>
      </c>
      <c r="I6535" s="0" t="s">
        <v>2322</v>
      </c>
      <c r="J6535" s="0" t="s">
        <v>2367</v>
      </c>
      <c r="K6535" s="272" t="n">
        <v>19575.26</v>
      </c>
    </row>
    <row r="6536" customFormat="false" ht="15" hidden="false" customHeight="false" outlineLevel="0" collapsed="false">
      <c r="A6536" s="0" t="s">
        <v>2041</v>
      </c>
      <c r="B6536" s="0" t="s">
        <v>2042</v>
      </c>
      <c r="C6536" s="0" t="s">
        <v>2161</v>
      </c>
      <c r="D6536" s="0" t="s">
        <v>2044</v>
      </c>
      <c r="E6536" s="0" t="s">
        <v>2045</v>
      </c>
      <c r="F6536" s="0" t="s">
        <v>2051</v>
      </c>
      <c r="G6536" s="0" t="s">
        <v>2061</v>
      </c>
      <c r="H6536" s="0" t="s">
        <v>2052</v>
      </c>
      <c r="I6536" s="0" t="s">
        <v>2322</v>
      </c>
      <c r="J6536" s="0" t="s">
        <v>2367</v>
      </c>
      <c r="K6536" s="272" t="n">
        <v>5911.72857142857</v>
      </c>
    </row>
    <row r="6537" customFormat="false" ht="15" hidden="false" customHeight="false" outlineLevel="0" collapsed="false">
      <c r="A6537" s="0" t="s">
        <v>2041</v>
      </c>
      <c r="B6537" s="0" t="s">
        <v>2042</v>
      </c>
      <c r="C6537" s="0" t="s">
        <v>2156</v>
      </c>
      <c r="D6537" s="0" t="s">
        <v>2044</v>
      </c>
      <c r="E6537" s="0" t="s">
        <v>2045</v>
      </c>
      <c r="F6537" s="0" t="s">
        <v>2046</v>
      </c>
      <c r="G6537" s="0" t="s">
        <v>2062</v>
      </c>
      <c r="H6537" s="0" t="s">
        <v>2048</v>
      </c>
      <c r="I6537" s="0" t="s">
        <v>2322</v>
      </c>
      <c r="J6537" s="0" t="s">
        <v>2367</v>
      </c>
      <c r="K6537" s="272" t="n">
        <v>332638.65</v>
      </c>
    </row>
    <row r="6538" customFormat="false" ht="15" hidden="false" customHeight="false" outlineLevel="0" collapsed="false">
      <c r="A6538" s="0" t="s">
        <v>2041</v>
      </c>
      <c r="B6538" s="0" t="s">
        <v>2042</v>
      </c>
      <c r="C6538" s="0" t="s">
        <v>2161</v>
      </c>
      <c r="D6538" s="0" t="s">
        <v>2044</v>
      </c>
      <c r="E6538" s="0" t="s">
        <v>2045</v>
      </c>
      <c r="F6538" s="0" t="s">
        <v>2046</v>
      </c>
      <c r="G6538" s="0" t="s">
        <v>2062</v>
      </c>
      <c r="H6538" s="0" t="s">
        <v>2048</v>
      </c>
      <c r="I6538" s="0" t="s">
        <v>2322</v>
      </c>
      <c r="J6538" s="0" t="s">
        <v>2367</v>
      </c>
      <c r="K6538" s="272" t="n">
        <v>100456.87</v>
      </c>
    </row>
    <row r="6539" customFormat="false" ht="15" hidden="false" customHeight="false" outlineLevel="0" collapsed="false">
      <c r="A6539" s="0" t="s">
        <v>2041</v>
      </c>
      <c r="B6539" s="0" t="s">
        <v>2042</v>
      </c>
      <c r="C6539" s="0" t="s">
        <v>2156</v>
      </c>
      <c r="D6539" s="0" t="s">
        <v>2044</v>
      </c>
      <c r="E6539" s="0" t="s">
        <v>2045</v>
      </c>
      <c r="F6539" s="0" t="s">
        <v>2051</v>
      </c>
      <c r="G6539" s="0" t="s">
        <v>2062</v>
      </c>
      <c r="H6539" s="0" t="s">
        <v>2052</v>
      </c>
      <c r="I6539" s="0" t="s">
        <v>2322</v>
      </c>
      <c r="J6539" s="0" t="s">
        <v>2367</v>
      </c>
      <c r="K6539" s="272" t="n">
        <v>59227.35</v>
      </c>
    </row>
    <row r="6540" customFormat="false" ht="15" hidden="false" customHeight="false" outlineLevel="0" collapsed="false">
      <c r="A6540" s="0" t="s">
        <v>2041</v>
      </c>
      <c r="B6540" s="0" t="s">
        <v>2042</v>
      </c>
      <c r="C6540" s="0" t="s">
        <v>2161</v>
      </c>
      <c r="D6540" s="0" t="s">
        <v>2044</v>
      </c>
      <c r="E6540" s="0" t="s">
        <v>2045</v>
      </c>
      <c r="F6540" s="0" t="s">
        <v>2051</v>
      </c>
      <c r="G6540" s="0" t="s">
        <v>2062</v>
      </c>
      <c r="H6540" s="0" t="s">
        <v>2052</v>
      </c>
      <c r="I6540" s="0" t="s">
        <v>2322</v>
      </c>
      <c r="J6540" s="0" t="s">
        <v>2367</v>
      </c>
      <c r="K6540" s="272" t="n">
        <v>17886.6589473684</v>
      </c>
    </row>
    <row r="6541" customFormat="false" ht="15" hidden="false" customHeight="false" outlineLevel="0" collapsed="false">
      <c r="A6541" s="0" t="s">
        <v>2041</v>
      </c>
      <c r="B6541" s="0" t="s">
        <v>2042</v>
      </c>
      <c r="C6541" s="0" t="s">
        <v>2156</v>
      </c>
      <c r="D6541" s="0" t="s">
        <v>2044</v>
      </c>
      <c r="E6541" s="0" t="s">
        <v>2045</v>
      </c>
      <c r="F6541" s="0" t="s">
        <v>2046</v>
      </c>
      <c r="G6541" s="0" t="s">
        <v>2063</v>
      </c>
      <c r="H6541" s="0" t="s">
        <v>2048</v>
      </c>
      <c r="I6541" s="0" t="s">
        <v>2322</v>
      </c>
      <c r="J6541" s="0" t="s">
        <v>2367</v>
      </c>
      <c r="K6541" s="272" t="n">
        <v>392063.52</v>
      </c>
    </row>
    <row r="6542" customFormat="false" ht="15" hidden="false" customHeight="false" outlineLevel="0" collapsed="false">
      <c r="A6542" s="0" t="s">
        <v>2041</v>
      </c>
      <c r="B6542" s="0" t="s">
        <v>2042</v>
      </c>
      <c r="C6542" s="0" t="s">
        <v>2161</v>
      </c>
      <c r="D6542" s="0" t="s">
        <v>2044</v>
      </c>
      <c r="E6542" s="0" t="s">
        <v>2045</v>
      </c>
      <c r="F6542" s="0" t="s">
        <v>2046</v>
      </c>
      <c r="G6542" s="0" t="s">
        <v>2063</v>
      </c>
      <c r="H6542" s="0" t="s">
        <v>2048</v>
      </c>
      <c r="I6542" s="0" t="s">
        <v>2322</v>
      </c>
      <c r="J6542" s="0" t="s">
        <v>2367</v>
      </c>
      <c r="K6542" s="272" t="n">
        <v>118403.18</v>
      </c>
    </row>
    <row r="6543" customFormat="false" ht="15" hidden="false" customHeight="false" outlineLevel="0" collapsed="false">
      <c r="A6543" s="0" t="s">
        <v>2041</v>
      </c>
      <c r="B6543" s="0" t="s">
        <v>2042</v>
      </c>
      <c r="C6543" s="0" t="s">
        <v>2156</v>
      </c>
      <c r="D6543" s="0" t="s">
        <v>2044</v>
      </c>
      <c r="E6543" s="0" t="s">
        <v>2045</v>
      </c>
      <c r="F6543" s="0" t="s">
        <v>2051</v>
      </c>
      <c r="G6543" s="0" t="s">
        <v>2063</v>
      </c>
      <c r="H6543" s="0" t="s">
        <v>2052</v>
      </c>
      <c r="I6543" s="0" t="s">
        <v>2322</v>
      </c>
      <c r="J6543" s="0" t="s">
        <v>2367</v>
      </c>
      <c r="K6543" s="272" t="n">
        <v>98015.88</v>
      </c>
    </row>
    <row r="6544" customFormat="false" ht="15" hidden="false" customHeight="false" outlineLevel="0" collapsed="false">
      <c r="A6544" s="0" t="s">
        <v>2041</v>
      </c>
      <c r="B6544" s="0" t="s">
        <v>2042</v>
      </c>
      <c r="C6544" s="0" t="s">
        <v>2161</v>
      </c>
      <c r="D6544" s="0" t="s">
        <v>2044</v>
      </c>
      <c r="E6544" s="0" t="s">
        <v>2045</v>
      </c>
      <c r="F6544" s="0" t="s">
        <v>2051</v>
      </c>
      <c r="G6544" s="0" t="s">
        <v>2063</v>
      </c>
      <c r="H6544" s="0" t="s">
        <v>2052</v>
      </c>
      <c r="I6544" s="0" t="s">
        <v>2322</v>
      </c>
      <c r="J6544" s="0" t="s">
        <v>2367</v>
      </c>
      <c r="K6544" s="272" t="n">
        <v>29600.795</v>
      </c>
    </row>
    <row r="6545" customFormat="false" ht="15" hidden="false" customHeight="false" outlineLevel="0" collapsed="false">
      <c r="A6545" s="0" t="s">
        <v>2041</v>
      </c>
      <c r="B6545" s="0" t="s">
        <v>2042</v>
      </c>
      <c r="C6545" s="0" t="s">
        <v>2156</v>
      </c>
      <c r="D6545" s="0" t="s">
        <v>2044</v>
      </c>
      <c r="E6545" s="0" t="s">
        <v>2045</v>
      </c>
      <c r="F6545" s="0" t="s">
        <v>2046</v>
      </c>
      <c r="G6545" s="0" t="s">
        <v>2064</v>
      </c>
      <c r="H6545" s="0" t="s">
        <v>2048</v>
      </c>
      <c r="I6545" s="0" t="s">
        <v>2322</v>
      </c>
      <c r="J6545" s="0" t="s">
        <v>2367</v>
      </c>
      <c r="K6545" s="272" t="n">
        <v>2056562.2</v>
      </c>
    </row>
    <row r="6546" customFormat="false" ht="15" hidden="false" customHeight="false" outlineLevel="0" collapsed="false">
      <c r="A6546" s="0" t="s">
        <v>2041</v>
      </c>
      <c r="B6546" s="0" t="s">
        <v>2042</v>
      </c>
      <c r="C6546" s="0" t="s">
        <v>2161</v>
      </c>
      <c r="D6546" s="0" t="s">
        <v>2044</v>
      </c>
      <c r="E6546" s="0" t="s">
        <v>2045</v>
      </c>
      <c r="F6546" s="0" t="s">
        <v>2046</v>
      </c>
      <c r="G6546" s="0" t="s">
        <v>2064</v>
      </c>
      <c r="H6546" s="0" t="s">
        <v>2048</v>
      </c>
      <c r="I6546" s="0" t="s">
        <v>2322</v>
      </c>
      <c r="J6546" s="0" t="s">
        <v>2367</v>
      </c>
      <c r="K6546" s="272" t="n">
        <v>569663.89</v>
      </c>
    </row>
    <row r="6547" customFormat="false" ht="15" hidden="false" customHeight="false" outlineLevel="0" collapsed="false">
      <c r="A6547" s="0" t="s">
        <v>2041</v>
      </c>
      <c r="B6547" s="0" t="s">
        <v>2042</v>
      </c>
      <c r="C6547" s="0" t="s">
        <v>2156</v>
      </c>
      <c r="D6547" s="0" t="s">
        <v>2044</v>
      </c>
      <c r="E6547" s="0" t="s">
        <v>2045</v>
      </c>
      <c r="F6547" s="0" t="s">
        <v>2051</v>
      </c>
      <c r="G6547" s="0" t="s">
        <v>2064</v>
      </c>
      <c r="H6547" s="0" t="s">
        <v>2052</v>
      </c>
      <c r="I6547" s="0" t="s">
        <v>2322</v>
      </c>
      <c r="J6547" s="0" t="s">
        <v>2367</v>
      </c>
      <c r="K6547" s="272" t="n">
        <v>1727739.8</v>
      </c>
    </row>
    <row r="6548" customFormat="false" ht="15" hidden="false" customHeight="false" outlineLevel="0" collapsed="false">
      <c r="A6548" s="0" t="s">
        <v>2041</v>
      </c>
      <c r="B6548" s="0" t="s">
        <v>2042</v>
      </c>
      <c r="C6548" s="0" t="s">
        <v>2161</v>
      </c>
      <c r="D6548" s="0" t="s">
        <v>2044</v>
      </c>
      <c r="E6548" s="0" t="s">
        <v>2045</v>
      </c>
      <c r="F6548" s="0" t="s">
        <v>2051</v>
      </c>
      <c r="G6548" s="0" t="s">
        <v>2064</v>
      </c>
      <c r="H6548" s="0" t="s">
        <v>2052</v>
      </c>
      <c r="I6548" s="0" t="s">
        <v>2322</v>
      </c>
      <c r="J6548" s="0" t="s">
        <v>2367</v>
      </c>
      <c r="K6548" s="272" t="n">
        <v>470359.526666667</v>
      </c>
    </row>
    <row r="6549" customFormat="false" ht="15" hidden="false" customHeight="false" outlineLevel="0" collapsed="false">
      <c r="A6549" s="0" t="s">
        <v>2041</v>
      </c>
      <c r="B6549" s="0" t="s">
        <v>2042</v>
      </c>
      <c r="C6549" s="0" t="s">
        <v>2156</v>
      </c>
      <c r="D6549" s="0" t="s">
        <v>2044</v>
      </c>
      <c r="E6549" s="0" t="s">
        <v>2045</v>
      </c>
      <c r="F6549" s="0" t="s">
        <v>2046</v>
      </c>
      <c r="G6549" s="0" t="s">
        <v>2065</v>
      </c>
      <c r="H6549" s="0" t="s">
        <v>2048</v>
      </c>
      <c r="I6549" s="0" t="s">
        <v>2322</v>
      </c>
      <c r="J6549" s="0" t="s">
        <v>2367</v>
      </c>
      <c r="K6549" s="272" t="n">
        <v>244207.26</v>
      </c>
    </row>
    <row r="6550" customFormat="false" ht="15" hidden="false" customHeight="false" outlineLevel="0" collapsed="false">
      <c r="A6550" s="0" t="s">
        <v>2041</v>
      </c>
      <c r="B6550" s="0" t="s">
        <v>2042</v>
      </c>
      <c r="C6550" s="0" t="s">
        <v>2161</v>
      </c>
      <c r="D6550" s="0" t="s">
        <v>2044</v>
      </c>
      <c r="E6550" s="0" t="s">
        <v>2045</v>
      </c>
      <c r="F6550" s="0" t="s">
        <v>2046</v>
      </c>
      <c r="G6550" s="0" t="s">
        <v>2065</v>
      </c>
      <c r="H6550" s="0" t="s">
        <v>2048</v>
      </c>
      <c r="I6550" s="0" t="s">
        <v>2322</v>
      </c>
      <c r="J6550" s="0" t="s">
        <v>2367</v>
      </c>
      <c r="K6550" s="272" t="n">
        <v>73750.59</v>
      </c>
    </row>
    <row r="6551" customFormat="false" ht="15" hidden="false" customHeight="false" outlineLevel="0" collapsed="false">
      <c r="A6551" s="0" t="s">
        <v>2041</v>
      </c>
      <c r="B6551" s="0" t="s">
        <v>2042</v>
      </c>
      <c r="C6551" s="0" t="s">
        <v>2156</v>
      </c>
      <c r="D6551" s="0" t="s">
        <v>2044</v>
      </c>
      <c r="E6551" s="0" t="s">
        <v>2045</v>
      </c>
      <c r="F6551" s="0" t="s">
        <v>2051</v>
      </c>
      <c r="G6551" s="0" t="s">
        <v>2065</v>
      </c>
      <c r="H6551" s="0" t="s">
        <v>2052</v>
      </c>
      <c r="I6551" s="0" t="s">
        <v>2322</v>
      </c>
      <c r="J6551" s="0" t="s">
        <v>2367</v>
      </c>
      <c r="K6551" s="272" t="n">
        <v>2466.74</v>
      </c>
    </row>
    <row r="6552" customFormat="false" ht="15" hidden="false" customHeight="false" outlineLevel="0" collapsed="false">
      <c r="A6552" s="0" t="s">
        <v>2041</v>
      </c>
      <c r="B6552" s="0" t="s">
        <v>2042</v>
      </c>
      <c r="C6552" s="0" t="s">
        <v>2161</v>
      </c>
      <c r="D6552" s="0" t="s">
        <v>2044</v>
      </c>
      <c r="E6552" s="0" t="s">
        <v>2045</v>
      </c>
      <c r="F6552" s="0" t="s">
        <v>2051</v>
      </c>
      <c r="G6552" s="0" t="s">
        <v>2065</v>
      </c>
      <c r="H6552" s="0" t="s">
        <v>2052</v>
      </c>
      <c r="I6552" s="0" t="s">
        <v>2322</v>
      </c>
      <c r="J6552" s="0" t="s">
        <v>2367</v>
      </c>
      <c r="K6552" s="272" t="n">
        <v>744.955454545454</v>
      </c>
    </row>
    <row r="6553" customFormat="false" ht="15" hidden="false" customHeight="false" outlineLevel="0" collapsed="false">
      <c r="A6553" s="0" t="s">
        <v>2041</v>
      </c>
      <c r="B6553" s="0" t="s">
        <v>2042</v>
      </c>
      <c r="C6553" s="0" t="s">
        <v>2156</v>
      </c>
      <c r="D6553" s="0" t="s">
        <v>2044</v>
      </c>
      <c r="E6553" s="0" t="s">
        <v>2045</v>
      </c>
      <c r="F6553" s="0" t="s">
        <v>2046</v>
      </c>
      <c r="G6553" s="0" t="s">
        <v>2066</v>
      </c>
      <c r="H6553" s="0" t="s">
        <v>2048</v>
      </c>
      <c r="I6553" s="0" t="s">
        <v>2322</v>
      </c>
      <c r="J6553" s="0" t="s">
        <v>2367</v>
      </c>
      <c r="K6553" s="272" t="n">
        <v>866934.9</v>
      </c>
    </row>
    <row r="6554" customFormat="false" ht="15" hidden="false" customHeight="false" outlineLevel="0" collapsed="false">
      <c r="A6554" s="0" t="s">
        <v>2041</v>
      </c>
      <c r="B6554" s="0" t="s">
        <v>2042</v>
      </c>
      <c r="C6554" s="0" t="s">
        <v>2161</v>
      </c>
      <c r="D6554" s="0" t="s">
        <v>2044</v>
      </c>
      <c r="E6554" s="0" t="s">
        <v>2045</v>
      </c>
      <c r="F6554" s="0" t="s">
        <v>2046</v>
      </c>
      <c r="G6554" s="0" t="s">
        <v>2066</v>
      </c>
      <c r="H6554" s="0" t="s">
        <v>2048</v>
      </c>
      <c r="I6554" s="0" t="s">
        <v>2322</v>
      </c>
      <c r="J6554" s="0" t="s">
        <v>2367</v>
      </c>
      <c r="K6554" s="272" t="n">
        <v>261814.34</v>
      </c>
    </row>
    <row r="6555" customFormat="false" ht="15" hidden="false" customHeight="false" outlineLevel="0" collapsed="false">
      <c r="A6555" s="0" t="s">
        <v>2041</v>
      </c>
      <c r="B6555" s="0" t="s">
        <v>2042</v>
      </c>
      <c r="C6555" s="0" t="s">
        <v>2156</v>
      </c>
      <c r="D6555" s="0" t="s">
        <v>2044</v>
      </c>
      <c r="E6555" s="0" t="s">
        <v>2045</v>
      </c>
      <c r="F6555" s="0" t="s">
        <v>2051</v>
      </c>
      <c r="G6555" s="0" t="s">
        <v>2066</v>
      </c>
      <c r="H6555" s="0" t="s">
        <v>2052</v>
      </c>
      <c r="I6555" s="0" t="s">
        <v>2322</v>
      </c>
      <c r="J6555" s="0" t="s">
        <v>2367</v>
      </c>
      <c r="K6555" s="272" t="n">
        <v>14068.1</v>
      </c>
    </row>
    <row r="6556" customFormat="false" ht="15" hidden="false" customHeight="false" outlineLevel="0" collapsed="false">
      <c r="A6556" s="0" t="s">
        <v>2041</v>
      </c>
      <c r="B6556" s="0" t="s">
        <v>2042</v>
      </c>
      <c r="C6556" s="0" t="s">
        <v>2161</v>
      </c>
      <c r="D6556" s="0" t="s">
        <v>2044</v>
      </c>
      <c r="E6556" s="0" t="s">
        <v>2045</v>
      </c>
      <c r="F6556" s="0" t="s">
        <v>2051</v>
      </c>
      <c r="G6556" s="0" t="s">
        <v>2066</v>
      </c>
      <c r="H6556" s="0" t="s">
        <v>2052</v>
      </c>
      <c r="I6556" s="0" t="s">
        <v>2322</v>
      </c>
      <c r="J6556" s="0" t="s">
        <v>2367</v>
      </c>
      <c r="K6556" s="272" t="n">
        <v>4248.56631578947</v>
      </c>
    </row>
    <row r="6557" customFormat="false" ht="15" hidden="false" customHeight="false" outlineLevel="0" collapsed="false">
      <c r="A6557" s="0" t="s">
        <v>2041</v>
      </c>
      <c r="B6557" s="0" t="s">
        <v>2042</v>
      </c>
      <c r="C6557" s="0" t="s">
        <v>2156</v>
      </c>
      <c r="D6557" s="0" t="s">
        <v>2044</v>
      </c>
      <c r="E6557" s="0" t="s">
        <v>2045</v>
      </c>
      <c r="F6557" s="0" t="s">
        <v>2051</v>
      </c>
      <c r="G6557" s="0" t="s">
        <v>2067</v>
      </c>
      <c r="H6557" s="0" t="s">
        <v>2052</v>
      </c>
      <c r="I6557" s="0" t="s">
        <v>2322</v>
      </c>
      <c r="J6557" s="0" t="s">
        <v>2367</v>
      </c>
      <c r="K6557" s="272" t="n">
        <v>603915</v>
      </c>
    </row>
    <row r="6558" customFormat="false" ht="15" hidden="false" customHeight="false" outlineLevel="0" collapsed="false">
      <c r="A6558" s="0" t="s">
        <v>2041</v>
      </c>
      <c r="B6558" s="0" t="s">
        <v>2042</v>
      </c>
      <c r="C6558" s="0" t="s">
        <v>2161</v>
      </c>
      <c r="D6558" s="0" t="s">
        <v>2044</v>
      </c>
      <c r="E6558" s="0" t="s">
        <v>2045</v>
      </c>
      <c r="F6558" s="0" t="s">
        <v>2051</v>
      </c>
      <c r="G6558" s="0" t="s">
        <v>2067</v>
      </c>
      <c r="H6558" s="0" t="s">
        <v>2052</v>
      </c>
      <c r="I6558" s="0" t="s">
        <v>2322</v>
      </c>
      <c r="J6558" s="0" t="s">
        <v>2367</v>
      </c>
      <c r="K6558" s="272" t="n">
        <v>182382.32</v>
      </c>
    </row>
    <row r="6559" customFormat="false" ht="15" hidden="false" customHeight="false" outlineLevel="0" collapsed="false">
      <c r="A6559" s="0" t="s">
        <v>2041</v>
      </c>
      <c r="B6559" s="0" t="s">
        <v>2042</v>
      </c>
      <c r="C6559" s="0" t="s">
        <v>2156</v>
      </c>
      <c r="D6559" s="0" t="s">
        <v>2044</v>
      </c>
      <c r="E6559" s="0" t="s">
        <v>2045</v>
      </c>
      <c r="F6559" s="0" t="s">
        <v>2046</v>
      </c>
      <c r="G6559" s="0" t="s">
        <v>2068</v>
      </c>
      <c r="H6559" s="0" t="s">
        <v>2048</v>
      </c>
      <c r="I6559" s="0" t="s">
        <v>2322</v>
      </c>
      <c r="J6559" s="0" t="s">
        <v>2367</v>
      </c>
      <c r="K6559" s="272" t="n">
        <v>3783760.96</v>
      </c>
    </row>
    <row r="6560" customFormat="false" ht="15" hidden="false" customHeight="false" outlineLevel="0" collapsed="false">
      <c r="A6560" s="0" t="s">
        <v>2041</v>
      </c>
      <c r="B6560" s="0" t="s">
        <v>2042</v>
      </c>
      <c r="C6560" s="0" t="s">
        <v>2161</v>
      </c>
      <c r="D6560" s="0" t="s">
        <v>2044</v>
      </c>
      <c r="E6560" s="0" t="s">
        <v>2045</v>
      </c>
      <c r="F6560" s="0" t="s">
        <v>2046</v>
      </c>
      <c r="G6560" s="0" t="s">
        <v>2068</v>
      </c>
      <c r="H6560" s="0" t="s">
        <v>2048</v>
      </c>
      <c r="I6560" s="0" t="s">
        <v>2322</v>
      </c>
      <c r="J6560" s="0" t="s">
        <v>2367</v>
      </c>
      <c r="K6560" s="272" t="n">
        <v>843746.44</v>
      </c>
    </row>
    <row r="6561" customFormat="false" ht="15" hidden="false" customHeight="false" outlineLevel="0" collapsed="false">
      <c r="A6561" s="0" t="s">
        <v>2041</v>
      </c>
      <c r="B6561" s="0" t="s">
        <v>2042</v>
      </c>
      <c r="C6561" s="0" t="s">
        <v>2156</v>
      </c>
      <c r="D6561" s="0" t="s">
        <v>2044</v>
      </c>
      <c r="E6561" s="0" t="s">
        <v>2045</v>
      </c>
      <c r="F6561" s="0" t="s">
        <v>2051</v>
      </c>
      <c r="G6561" s="0" t="s">
        <v>2068</v>
      </c>
      <c r="H6561" s="0" t="s">
        <v>2052</v>
      </c>
      <c r="I6561" s="0" t="s">
        <v>2322</v>
      </c>
      <c r="J6561" s="0" t="s">
        <v>2367</v>
      </c>
      <c r="K6561" s="272" t="n">
        <v>232659.84</v>
      </c>
    </row>
    <row r="6562" customFormat="false" ht="15" hidden="false" customHeight="false" outlineLevel="0" collapsed="false">
      <c r="A6562" s="0" t="s">
        <v>2041</v>
      </c>
      <c r="B6562" s="0" t="s">
        <v>2042</v>
      </c>
      <c r="C6562" s="0" t="s">
        <v>2161</v>
      </c>
      <c r="D6562" s="0" t="s">
        <v>2044</v>
      </c>
      <c r="E6562" s="0" t="s">
        <v>2045</v>
      </c>
      <c r="F6562" s="0" t="s">
        <v>2051</v>
      </c>
      <c r="G6562" s="0" t="s">
        <v>2068</v>
      </c>
      <c r="H6562" s="0" t="s">
        <v>2052</v>
      </c>
      <c r="I6562" s="0" t="s">
        <v>2322</v>
      </c>
      <c r="J6562" s="0" t="s">
        <v>2367</v>
      </c>
      <c r="K6562" s="272" t="n">
        <v>70263.2744444445</v>
      </c>
    </row>
    <row r="6563" customFormat="false" ht="15" hidden="false" customHeight="false" outlineLevel="0" collapsed="false">
      <c r="A6563" s="0" t="s">
        <v>2041</v>
      </c>
      <c r="B6563" s="0" t="s">
        <v>2042</v>
      </c>
      <c r="C6563" s="0" t="s">
        <v>2156</v>
      </c>
      <c r="D6563" s="0" t="s">
        <v>2044</v>
      </c>
      <c r="E6563" s="0" t="s">
        <v>2045</v>
      </c>
      <c r="F6563" s="0" t="s">
        <v>2046</v>
      </c>
      <c r="G6563" s="0" t="s">
        <v>2069</v>
      </c>
      <c r="H6563" s="0" t="s">
        <v>2048</v>
      </c>
      <c r="I6563" s="0" t="s">
        <v>2322</v>
      </c>
      <c r="J6563" s="0" t="s">
        <v>2367</v>
      </c>
      <c r="K6563" s="272" t="n">
        <v>466115</v>
      </c>
    </row>
    <row r="6564" customFormat="false" ht="15" hidden="false" customHeight="false" outlineLevel="0" collapsed="false">
      <c r="A6564" s="0" t="s">
        <v>2041</v>
      </c>
      <c r="B6564" s="0" t="s">
        <v>2042</v>
      </c>
      <c r="C6564" s="0" t="s">
        <v>2161</v>
      </c>
      <c r="D6564" s="0" t="s">
        <v>2044</v>
      </c>
      <c r="E6564" s="0" t="s">
        <v>2045</v>
      </c>
      <c r="F6564" s="0" t="s">
        <v>2046</v>
      </c>
      <c r="G6564" s="0" t="s">
        <v>2069</v>
      </c>
      <c r="H6564" s="0" t="s">
        <v>2048</v>
      </c>
      <c r="I6564" s="0" t="s">
        <v>2322</v>
      </c>
      <c r="J6564" s="0" t="s">
        <v>2367</v>
      </c>
      <c r="K6564" s="272" t="n">
        <v>140766.73</v>
      </c>
    </row>
    <row r="6565" customFormat="false" ht="15" hidden="false" customHeight="false" outlineLevel="0" collapsed="false">
      <c r="A6565" s="0" t="s">
        <v>2041</v>
      </c>
      <c r="B6565" s="0" t="s">
        <v>2042</v>
      </c>
      <c r="C6565" s="0" t="s">
        <v>2156</v>
      </c>
      <c r="D6565" s="0" t="s">
        <v>2044</v>
      </c>
      <c r="E6565" s="0" t="s">
        <v>2045</v>
      </c>
      <c r="F6565" s="0" t="s">
        <v>2046</v>
      </c>
      <c r="G6565" s="0" t="s">
        <v>2070</v>
      </c>
      <c r="H6565" s="0" t="s">
        <v>2048</v>
      </c>
      <c r="I6565" s="0" t="s">
        <v>2322</v>
      </c>
      <c r="J6565" s="0" t="s">
        <v>2367</v>
      </c>
      <c r="K6565" s="272" t="n">
        <v>260830.35</v>
      </c>
    </row>
    <row r="6566" customFormat="false" ht="15" hidden="false" customHeight="false" outlineLevel="0" collapsed="false">
      <c r="A6566" s="0" t="s">
        <v>2041</v>
      </c>
      <c r="B6566" s="0" t="s">
        <v>2042</v>
      </c>
      <c r="C6566" s="0" t="s">
        <v>2161</v>
      </c>
      <c r="D6566" s="0" t="s">
        <v>2044</v>
      </c>
      <c r="E6566" s="0" t="s">
        <v>2045</v>
      </c>
      <c r="F6566" s="0" t="s">
        <v>2046</v>
      </c>
      <c r="G6566" s="0" t="s">
        <v>2070</v>
      </c>
      <c r="H6566" s="0" t="s">
        <v>2048</v>
      </c>
      <c r="I6566" s="0" t="s">
        <v>2322</v>
      </c>
      <c r="J6566" s="0" t="s">
        <v>2367</v>
      </c>
      <c r="K6566" s="272" t="n">
        <v>78770.77</v>
      </c>
    </row>
    <row r="6567" customFormat="false" ht="15" hidden="false" customHeight="false" outlineLevel="0" collapsed="false">
      <c r="A6567" s="0" t="s">
        <v>2041</v>
      </c>
      <c r="B6567" s="0" t="s">
        <v>2042</v>
      </c>
      <c r="C6567" s="0" t="s">
        <v>2156</v>
      </c>
      <c r="D6567" s="0" t="s">
        <v>2044</v>
      </c>
      <c r="E6567" s="0" t="s">
        <v>2045</v>
      </c>
      <c r="F6567" s="0" t="s">
        <v>2051</v>
      </c>
      <c r="G6567" s="0" t="s">
        <v>2070</v>
      </c>
      <c r="H6567" s="0" t="s">
        <v>2052</v>
      </c>
      <c r="I6567" s="0" t="s">
        <v>2322</v>
      </c>
      <c r="J6567" s="0" t="s">
        <v>2367</v>
      </c>
      <c r="K6567" s="272" t="n">
        <v>564138.25</v>
      </c>
    </row>
    <row r="6568" customFormat="false" ht="15" hidden="false" customHeight="false" outlineLevel="0" collapsed="false">
      <c r="A6568" s="0" t="s">
        <v>2041</v>
      </c>
      <c r="B6568" s="0" t="s">
        <v>2042</v>
      </c>
      <c r="C6568" s="0" t="s">
        <v>2161</v>
      </c>
      <c r="D6568" s="0" t="s">
        <v>2044</v>
      </c>
      <c r="E6568" s="0" t="s">
        <v>2045</v>
      </c>
      <c r="F6568" s="0" t="s">
        <v>2051</v>
      </c>
      <c r="G6568" s="0" t="s">
        <v>2070</v>
      </c>
      <c r="H6568" s="0" t="s">
        <v>2052</v>
      </c>
      <c r="I6568" s="0" t="s">
        <v>2322</v>
      </c>
      <c r="J6568" s="0" t="s">
        <v>2367</v>
      </c>
      <c r="K6568" s="272" t="n">
        <v>170369.77</v>
      </c>
    </row>
    <row r="6569" customFormat="false" ht="15" hidden="false" customHeight="false" outlineLevel="0" collapsed="false">
      <c r="A6569" s="0" t="s">
        <v>2041</v>
      </c>
      <c r="B6569" s="0" t="s">
        <v>2042</v>
      </c>
      <c r="C6569" s="0" t="s">
        <v>2156</v>
      </c>
      <c r="D6569" s="0" t="s">
        <v>2044</v>
      </c>
      <c r="E6569" s="0" t="s">
        <v>2045</v>
      </c>
      <c r="F6569" s="0" t="s">
        <v>2046</v>
      </c>
      <c r="G6569" s="0" t="s">
        <v>2072</v>
      </c>
      <c r="H6569" s="0" t="s">
        <v>2048</v>
      </c>
      <c r="I6569" s="0" t="s">
        <v>2322</v>
      </c>
      <c r="J6569" s="0" t="s">
        <v>2367</v>
      </c>
      <c r="K6569" s="272" t="n">
        <v>348029.008</v>
      </c>
    </row>
    <row r="6570" customFormat="false" ht="15" hidden="false" customHeight="false" outlineLevel="0" collapsed="false">
      <c r="A6570" s="0" t="s">
        <v>2041</v>
      </c>
      <c r="B6570" s="0" t="s">
        <v>2042</v>
      </c>
      <c r="C6570" s="0" t="s">
        <v>2161</v>
      </c>
      <c r="D6570" s="0" t="s">
        <v>2044</v>
      </c>
      <c r="E6570" s="0" t="s">
        <v>2045</v>
      </c>
      <c r="F6570" s="0" t="s">
        <v>2046</v>
      </c>
      <c r="G6570" s="0" t="s">
        <v>2072</v>
      </c>
      <c r="H6570" s="0" t="s">
        <v>2048</v>
      </c>
      <c r="I6570" s="0" t="s">
        <v>2322</v>
      </c>
      <c r="J6570" s="0" t="s">
        <v>2367</v>
      </c>
      <c r="K6570" s="272" t="n">
        <v>105104.749396</v>
      </c>
    </row>
    <row r="6571" customFormat="false" ht="15" hidden="false" customHeight="false" outlineLevel="0" collapsed="false">
      <c r="A6571" s="0" t="s">
        <v>2041</v>
      </c>
      <c r="B6571" s="0" t="s">
        <v>2042</v>
      </c>
      <c r="C6571" s="0" t="s">
        <v>2156</v>
      </c>
      <c r="D6571" s="0" t="s">
        <v>2044</v>
      </c>
      <c r="E6571" s="0" t="s">
        <v>2045</v>
      </c>
      <c r="F6571" s="0" t="s">
        <v>2051</v>
      </c>
      <c r="G6571" s="0" t="s">
        <v>2072</v>
      </c>
      <c r="H6571" s="0" t="s">
        <v>2052</v>
      </c>
      <c r="I6571" s="0" t="s">
        <v>2322</v>
      </c>
      <c r="J6571" s="0" t="s">
        <v>2367</v>
      </c>
      <c r="K6571" s="272" t="n">
        <v>502348.842</v>
      </c>
    </row>
    <row r="6572" customFormat="false" ht="15" hidden="false" customHeight="false" outlineLevel="0" collapsed="false">
      <c r="A6572" s="0" t="s">
        <v>2041</v>
      </c>
      <c r="B6572" s="0" t="s">
        <v>2042</v>
      </c>
      <c r="C6572" s="0" t="s">
        <v>2161</v>
      </c>
      <c r="D6572" s="0" t="s">
        <v>2044</v>
      </c>
      <c r="E6572" s="0" t="s">
        <v>2045</v>
      </c>
      <c r="F6572" s="0" t="s">
        <v>2051</v>
      </c>
      <c r="G6572" s="0" t="s">
        <v>2072</v>
      </c>
      <c r="H6572" s="0" t="s">
        <v>2052</v>
      </c>
      <c r="I6572" s="0" t="s">
        <v>2322</v>
      </c>
      <c r="J6572" s="0" t="s">
        <v>2367</v>
      </c>
      <c r="K6572" s="272" t="n">
        <v>151709.335174996</v>
      </c>
    </row>
    <row r="6573" customFormat="false" ht="15" hidden="false" customHeight="false" outlineLevel="0" collapsed="false">
      <c r="A6573" s="0" t="s">
        <v>2041</v>
      </c>
      <c r="B6573" s="0" t="s">
        <v>2042</v>
      </c>
      <c r="C6573" s="0" t="s">
        <v>2156</v>
      </c>
      <c r="D6573" s="0" t="s">
        <v>2044</v>
      </c>
      <c r="E6573" s="0" t="s">
        <v>2045</v>
      </c>
      <c r="F6573" s="0" t="s">
        <v>2046</v>
      </c>
      <c r="G6573" s="0" t="s">
        <v>2073</v>
      </c>
      <c r="H6573" s="0" t="s">
        <v>2048</v>
      </c>
      <c r="I6573" s="0" t="s">
        <v>2322</v>
      </c>
      <c r="J6573" s="0" t="s">
        <v>2367</v>
      </c>
      <c r="K6573" s="272" t="n">
        <v>610232.3</v>
      </c>
    </row>
    <row r="6574" customFormat="false" ht="15" hidden="false" customHeight="false" outlineLevel="0" collapsed="false">
      <c r="A6574" s="0" t="s">
        <v>2041</v>
      </c>
      <c r="B6574" s="0" t="s">
        <v>2042</v>
      </c>
      <c r="C6574" s="0" t="s">
        <v>2161</v>
      </c>
      <c r="D6574" s="0" t="s">
        <v>2044</v>
      </c>
      <c r="E6574" s="0" t="s">
        <v>2045</v>
      </c>
      <c r="F6574" s="0" t="s">
        <v>2046</v>
      </c>
      <c r="G6574" s="0" t="s">
        <v>2073</v>
      </c>
      <c r="H6574" s="0" t="s">
        <v>2048</v>
      </c>
      <c r="I6574" s="0" t="s">
        <v>2322</v>
      </c>
      <c r="J6574" s="0" t="s">
        <v>2367</v>
      </c>
      <c r="K6574" s="272" t="n">
        <v>184290.16</v>
      </c>
    </row>
    <row r="6575" customFormat="false" ht="15" hidden="false" customHeight="false" outlineLevel="0" collapsed="false">
      <c r="A6575" s="0" t="s">
        <v>2041</v>
      </c>
      <c r="B6575" s="0" t="s">
        <v>2042</v>
      </c>
      <c r="C6575" s="0" t="s">
        <v>2156</v>
      </c>
      <c r="D6575" s="0" t="s">
        <v>2044</v>
      </c>
      <c r="E6575" s="0" t="s">
        <v>2045</v>
      </c>
      <c r="F6575" s="0" t="s">
        <v>2051</v>
      </c>
      <c r="G6575" s="0" t="s">
        <v>2073</v>
      </c>
      <c r="H6575" s="0" t="s">
        <v>2052</v>
      </c>
      <c r="I6575" s="0" t="s">
        <v>2322</v>
      </c>
      <c r="J6575" s="0" t="s">
        <v>2367</v>
      </c>
      <c r="K6575" s="272" t="n">
        <v>990830.7</v>
      </c>
    </row>
    <row r="6576" customFormat="false" ht="15" hidden="false" customHeight="false" outlineLevel="0" collapsed="false">
      <c r="A6576" s="0" t="s">
        <v>2041</v>
      </c>
      <c r="B6576" s="0" t="s">
        <v>2042</v>
      </c>
      <c r="C6576" s="0" t="s">
        <v>2161</v>
      </c>
      <c r="D6576" s="0" t="s">
        <v>2044</v>
      </c>
      <c r="E6576" s="0" t="s">
        <v>2045</v>
      </c>
      <c r="F6576" s="0" t="s">
        <v>2051</v>
      </c>
      <c r="G6576" s="0" t="s">
        <v>2073</v>
      </c>
      <c r="H6576" s="0" t="s">
        <v>2052</v>
      </c>
      <c r="I6576" s="0" t="s">
        <v>2322</v>
      </c>
      <c r="J6576" s="0" t="s">
        <v>2367</v>
      </c>
      <c r="K6576" s="272" t="n">
        <v>299230.92</v>
      </c>
    </row>
    <row r="6577" customFormat="false" ht="15" hidden="false" customHeight="false" outlineLevel="0" collapsed="false">
      <c r="A6577" s="0" t="s">
        <v>2041</v>
      </c>
      <c r="B6577" s="0" t="s">
        <v>2042</v>
      </c>
      <c r="C6577" s="0" t="s">
        <v>2156</v>
      </c>
      <c r="D6577" s="0" t="s">
        <v>2044</v>
      </c>
      <c r="E6577" s="0" t="s">
        <v>2045</v>
      </c>
      <c r="F6577" s="0" t="s">
        <v>2046</v>
      </c>
      <c r="G6577" s="0" t="s">
        <v>2074</v>
      </c>
      <c r="H6577" s="0" t="s">
        <v>2048</v>
      </c>
      <c r="I6577" s="0" t="s">
        <v>2322</v>
      </c>
      <c r="J6577" s="0" t="s">
        <v>2367</v>
      </c>
      <c r="K6577" s="272" t="n">
        <v>209553</v>
      </c>
    </row>
    <row r="6578" customFormat="false" ht="15" hidden="false" customHeight="false" outlineLevel="0" collapsed="false">
      <c r="A6578" s="0" t="s">
        <v>2041</v>
      </c>
      <c r="B6578" s="0" t="s">
        <v>2042</v>
      </c>
      <c r="C6578" s="0" t="s">
        <v>2161</v>
      </c>
      <c r="D6578" s="0" t="s">
        <v>2044</v>
      </c>
      <c r="E6578" s="0" t="s">
        <v>2045</v>
      </c>
      <c r="F6578" s="0" t="s">
        <v>2046</v>
      </c>
      <c r="G6578" s="0" t="s">
        <v>2074</v>
      </c>
      <c r="H6578" s="0" t="s">
        <v>2048</v>
      </c>
      <c r="I6578" s="0" t="s">
        <v>2322</v>
      </c>
      <c r="J6578" s="0" t="s">
        <v>2367</v>
      </c>
      <c r="K6578" s="272" t="n">
        <v>63285.01</v>
      </c>
    </row>
    <row r="6579" customFormat="false" ht="15" hidden="false" customHeight="false" outlineLevel="0" collapsed="false">
      <c r="A6579" s="0" t="s">
        <v>2041</v>
      </c>
      <c r="B6579" s="0" t="s">
        <v>2042</v>
      </c>
      <c r="C6579" s="0" t="s">
        <v>2156</v>
      </c>
      <c r="D6579" s="0" t="s">
        <v>2044</v>
      </c>
      <c r="E6579" s="0" t="s">
        <v>2045</v>
      </c>
      <c r="F6579" s="0" t="s">
        <v>2051</v>
      </c>
      <c r="G6579" s="0" t="s">
        <v>2074</v>
      </c>
      <c r="H6579" s="0" t="s">
        <v>2052</v>
      </c>
      <c r="I6579" s="0" t="s">
        <v>2322</v>
      </c>
      <c r="J6579" s="0" t="s">
        <v>2367</v>
      </c>
      <c r="K6579" s="272" t="n">
        <v>209553</v>
      </c>
    </row>
    <row r="6580" customFormat="false" ht="15" hidden="false" customHeight="false" outlineLevel="0" collapsed="false">
      <c r="A6580" s="0" t="s">
        <v>2041</v>
      </c>
      <c r="B6580" s="0" t="s">
        <v>2042</v>
      </c>
      <c r="C6580" s="0" t="s">
        <v>2161</v>
      </c>
      <c r="D6580" s="0" t="s">
        <v>2044</v>
      </c>
      <c r="E6580" s="0" t="s">
        <v>2045</v>
      </c>
      <c r="F6580" s="0" t="s">
        <v>2051</v>
      </c>
      <c r="G6580" s="0" t="s">
        <v>2074</v>
      </c>
      <c r="H6580" s="0" t="s">
        <v>2052</v>
      </c>
      <c r="I6580" s="0" t="s">
        <v>2322</v>
      </c>
      <c r="J6580" s="0" t="s">
        <v>2367</v>
      </c>
      <c r="K6580" s="272" t="n">
        <v>63285.01</v>
      </c>
    </row>
    <row r="6581" customFormat="false" ht="15" hidden="false" customHeight="false" outlineLevel="0" collapsed="false">
      <c r="A6581" s="0" t="s">
        <v>2041</v>
      </c>
      <c r="B6581" s="0" t="s">
        <v>2042</v>
      </c>
      <c r="C6581" s="0" t="s">
        <v>2156</v>
      </c>
      <c r="D6581" s="0" t="s">
        <v>2044</v>
      </c>
      <c r="E6581" s="0" t="s">
        <v>2045</v>
      </c>
      <c r="F6581" s="0" t="s">
        <v>2046</v>
      </c>
      <c r="G6581" s="0" t="s">
        <v>2075</v>
      </c>
      <c r="H6581" s="0" t="s">
        <v>2048</v>
      </c>
      <c r="I6581" s="0" t="s">
        <v>2322</v>
      </c>
      <c r="J6581" s="0" t="s">
        <v>2367</v>
      </c>
      <c r="K6581" s="272" t="n">
        <v>20874.54</v>
      </c>
    </row>
    <row r="6582" customFormat="false" ht="15" hidden="false" customHeight="false" outlineLevel="0" collapsed="false">
      <c r="A6582" s="0" t="s">
        <v>2041</v>
      </c>
      <c r="B6582" s="0" t="s">
        <v>2042</v>
      </c>
      <c r="C6582" s="0" t="s">
        <v>2161</v>
      </c>
      <c r="D6582" s="0" t="s">
        <v>2044</v>
      </c>
      <c r="E6582" s="0" t="s">
        <v>2045</v>
      </c>
      <c r="F6582" s="0" t="s">
        <v>2046</v>
      </c>
      <c r="G6582" s="0" t="s">
        <v>2075</v>
      </c>
      <c r="H6582" s="0" t="s">
        <v>2048</v>
      </c>
      <c r="I6582" s="0" t="s">
        <v>2322</v>
      </c>
      <c r="J6582" s="0" t="s">
        <v>2367</v>
      </c>
      <c r="K6582" s="272" t="n">
        <v>6304.11</v>
      </c>
    </row>
    <row r="6583" customFormat="false" ht="15" hidden="false" customHeight="false" outlineLevel="0" collapsed="false">
      <c r="A6583" s="0" t="s">
        <v>2041</v>
      </c>
      <c r="B6583" s="0" t="s">
        <v>2042</v>
      </c>
      <c r="C6583" s="0" t="s">
        <v>2156</v>
      </c>
      <c r="D6583" s="0" t="s">
        <v>2044</v>
      </c>
      <c r="E6583" s="0" t="s">
        <v>2045</v>
      </c>
      <c r="F6583" s="0" t="s">
        <v>2051</v>
      </c>
      <c r="G6583" s="0" t="s">
        <v>2075</v>
      </c>
      <c r="H6583" s="0" t="s">
        <v>2052</v>
      </c>
      <c r="I6583" s="0" t="s">
        <v>2322</v>
      </c>
      <c r="J6583" s="0" t="s">
        <v>2367</v>
      </c>
      <c r="K6583" s="272" t="n">
        <v>674943.46</v>
      </c>
    </row>
    <row r="6584" customFormat="false" ht="15" hidden="false" customHeight="false" outlineLevel="0" collapsed="false">
      <c r="A6584" s="0" t="s">
        <v>2041</v>
      </c>
      <c r="B6584" s="0" t="s">
        <v>2042</v>
      </c>
      <c r="C6584" s="0" t="s">
        <v>2161</v>
      </c>
      <c r="D6584" s="0" t="s">
        <v>2044</v>
      </c>
      <c r="E6584" s="0" t="s">
        <v>2045</v>
      </c>
      <c r="F6584" s="0" t="s">
        <v>2051</v>
      </c>
      <c r="G6584" s="0" t="s">
        <v>2075</v>
      </c>
      <c r="H6584" s="0" t="s">
        <v>2052</v>
      </c>
      <c r="I6584" s="0" t="s">
        <v>2322</v>
      </c>
      <c r="J6584" s="0" t="s">
        <v>2367</v>
      </c>
      <c r="K6584" s="272" t="n">
        <v>203832.89</v>
      </c>
    </row>
    <row r="6585" customFormat="false" ht="15" hidden="false" customHeight="false" outlineLevel="0" collapsed="false">
      <c r="A6585" s="0" t="s">
        <v>2041</v>
      </c>
      <c r="B6585" s="0" t="s">
        <v>2042</v>
      </c>
      <c r="C6585" s="0" t="s">
        <v>2156</v>
      </c>
      <c r="D6585" s="0" t="s">
        <v>2044</v>
      </c>
      <c r="E6585" s="0" t="s">
        <v>2045</v>
      </c>
      <c r="F6585" s="0" t="s">
        <v>2046</v>
      </c>
      <c r="G6585" s="0" t="s">
        <v>2076</v>
      </c>
      <c r="H6585" s="0" t="s">
        <v>2048</v>
      </c>
      <c r="I6585" s="0" t="s">
        <v>2322</v>
      </c>
      <c r="J6585" s="0" t="s">
        <v>2367</v>
      </c>
      <c r="K6585" s="272" t="n">
        <v>1388987.85</v>
      </c>
    </row>
    <row r="6586" customFormat="false" ht="15" hidden="false" customHeight="false" outlineLevel="0" collapsed="false">
      <c r="A6586" s="0" t="s">
        <v>2041</v>
      </c>
      <c r="B6586" s="0" t="s">
        <v>2042</v>
      </c>
      <c r="C6586" s="0" t="s">
        <v>2161</v>
      </c>
      <c r="D6586" s="0" t="s">
        <v>2044</v>
      </c>
      <c r="E6586" s="0" t="s">
        <v>2045</v>
      </c>
      <c r="F6586" s="0" t="s">
        <v>2046</v>
      </c>
      <c r="G6586" s="0" t="s">
        <v>2076</v>
      </c>
      <c r="H6586" s="0" t="s">
        <v>2048</v>
      </c>
      <c r="I6586" s="0" t="s">
        <v>2322</v>
      </c>
      <c r="J6586" s="0" t="s">
        <v>2367</v>
      </c>
      <c r="K6586" s="272" t="n">
        <v>379635.286</v>
      </c>
    </row>
    <row r="6587" customFormat="false" ht="15" hidden="false" customHeight="false" outlineLevel="0" collapsed="false">
      <c r="A6587" s="0" t="s">
        <v>2041</v>
      </c>
      <c r="B6587" s="0" t="s">
        <v>2042</v>
      </c>
      <c r="C6587" s="0" t="s">
        <v>2156</v>
      </c>
      <c r="D6587" s="0" t="s">
        <v>2044</v>
      </c>
      <c r="E6587" s="0" t="s">
        <v>2045</v>
      </c>
      <c r="F6587" s="0" t="s">
        <v>2051</v>
      </c>
      <c r="G6587" s="0" t="s">
        <v>2076</v>
      </c>
      <c r="H6587" s="0" t="s">
        <v>2052</v>
      </c>
      <c r="I6587" s="0" t="s">
        <v>2322</v>
      </c>
      <c r="J6587" s="0" t="s">
        <v>2367</v>
      </c>
      <c r="K6587" s="272" t="n">
        <v>2137899.15</v>
      </c>
    </row>
    <row r="6588" customFormat="false" ht="15" hidden="false" customHeight="false" outlineLevel="0" collapsed="false">
      <c r="A6588" s="0" t="s">
        <v>2041</v>
      </c>
      <c r="B6588" s="0" t="s">
        <v>2042</v>
      </c>
      <c r="C6588" s="0" t="s">
        <v>2161</v>
      </c>
      <c r="D6588" s="0" t="s">
        <v>2044</v>
      </c>
      <c r="E6588" s="0" t="s">
        <v>2045</v>
      </c>
      <c r="F6588" s="0" t="s">
        <v>2051</v>
      </c>
      <c r="G6588" s="0" t="s">
        <v>2076</v>
      </c>
      <c r="H6588" s="0" t="s">
        <v>2052</v>
      </c>
      <c r="I6588" s="0" t="s">
        <v>2322</v>
      </c>
      <c r="J6588" s="0" t="s">
        <v>2367</v>
      </c>
      <c r="K6588" s="272" t="n">
        <v>526128.420666667</v>
      </c>
    </row>
    <row r="6589" customFormat="false" ht="15" hidden="false" customHeight="false" outlineLevel="0" collapsed="false">
      <c r="A6589" s="0" t="s">
        <v>2041</v>
      </c>
      <c r="B6589" s="0" t="s">
        <v>2042</v>
      </c>
      <c r="C6589" s="0" t="s">
        <v>2156</v>
      </c>
      <c r="D6589" s="0" t="s">
        <v>2044</v>
      </c>
      <c r="E6589" s="0" t="s">
        <v>2045</v>
      </c>
      <c r="F6589" s="0" t="s">
        <v>2046</v>
      </c>
      <c r="G6589" s="0" t="s">
        <v>2077</v>
      </c>
      <c r="H6589" s="0" t="s">
        <v>2048</v>
      </c>
      <c r="I6589" s="0" t="s">
        <v>2322</v>
      </c>
      <c r="J6589" s="0" t="s">
        <v>2367</v>
      </c>
      <c r="K6589" s="272" t="n">
        <v>276354</v>
      </c>
    </row>
    <row r="6590" customFormat="false" ht="15" hidden="false" customHeight="false" outlineLevel="0" collapsed="false">
      <c r="A6590" s="0" t="s">
        <v>2041</v>
      </c>
      <c r="B6590" s="0" t="s">
        <v>2042</v>
      </c>
      <c r="C6590" s="0" t="s">
        <v>2161</v>
      </c>
      <c r="D6590" s="0" t="s">
        <v>2044</v>
      </c>
      <c r="E6590" s="0" t="s">
        <v>2045</v>
      </c>
      <c r="F6590" s="0" t="s">
        <v>2046</v>
      </c>
      <c r="G6590" s="0" t="s">
        <v>2077</v>
      </c>
      <c r="H6590" s="0" t="s">
        <v>2048</v>
      </c>
      <c r="I6590" s="0" t="s">
        <v>2322</v>
      </c>
      <c r="J6590" s="0" t="s">
        <v>2367</v>
      </c>
      <c r="K6590" s="272" t="n">
        <v>83458.91</v>
      </c>
    </row>
    <row r="6591" customFormat="false" ht="15" hidden="false" customHeight="false" outlineLevel="0" collapsed="false">
      <c r="A6591" s="0" t="s">
        <v>2041</v>
      </c>
      <c r="B6591" s="0" t="s">
        <v>2042</v>
      </c>
      <c r="C6591" s="0" t="s">
        <v>2156</v>
      </c>
      <c r="D6591" s="0" t="s">
        <v>2044</v>
      </c>
      <c r="E6591" s="0" t="s">
        <v>2045</v>
      </c>
      <c r="F6591" s="0" t="s">
        <v>2051</v>
      </c>
      <c r="G6591" s="0" t="s">
        <v>2077</v>
      </c>
      <c r="H6591" s="0" t="s">
        <v>2052</v>
      </c>
      <c r="I6591" s="0" t="s">
        <v>2322</v>
      </c>
      <c r="J6591" s="0" t="s">
        <v>2367</v>
      </c>
      <c r="K6591" s="272" t="n">
        <v>30706</v>
      </c>
    </row>
    <row r="6592" customFormat="false" ht="15" hidden="false" customHeight="false" outlineLevel="0" collapsed="false">
      <c r="A6592" s="0" t="s">
        <v>2041</v>
      </c>
      <c r="B6592" s="0" t="s">
        <v>2042</v>
      </c>
      <c r="C6592" s="0" t="s">
        <v>2161</v>
      </c>
      <c r="D6592" s="0" t="s">
        <v>2044</v>
      </c>
      <c r="E6592" s="0" t="s">
        <v>2045</v>
      </c>
      <c r="F6592" s="0" t="s">
        <v>2051</v>
      </c>
      <c r="G6592" s="0" t="s">
        <v>2077</v>
      </c>
      <c r="H6592" s="0" t="s">
        <v>2052</v>
      </c>
      <c r="I6592" s="0" t="s">
        <v>2322</v>
      </c>
      <c r="J6592" s="0" t="s">
        <v>2367</v>
      </c>
      <c r="K6592" s="272" t="n">
        <v>9273.21222222222</v>
      </c>
    </row>
    <row r="6593" customFormat="false" ht="15" hidden="false" customHeight="false" outlineLevel="0" collapsed="false">
      <c r="A6593" s="0" t="s">
        <v>2041</v>
      </c>
      <c r="B6593" s="0" t="s">
        <v>2042</v>
      </c>
      <c r="C6593" s="0" t="s">
        <v>2156</v>
      </c>
      <c r="D6593" s="0" t="s">
        <v>2044</v>
      </c>
      <c r="E6593" s="0" t="s">
        <v>2045</v>
      </c>
      <c r="F6593" s="0" t="s">
        <v>2046</v>
      </c>
      <c r="G6593" s="0" t="s">
        <v>2078</v>
      </c>
      <c r="H6593" s="0" t="s">
        <v>2048</v>
      </c>
      <c r="I6593" s="0" t="s">
        <v>2322</v>
      </c>
      <c r="J6593" s="0" t="s">
        <v>2367</v>
      </c>
      <c r="K6593" s="272" t="n">
        <v>592872.93</v>
      </c>
    </row>
    <row r="6594" customFormat="false" ht="15" hidden="false" customHeight="false" outlineLevel="0" collapsed="false">
      <c r="A6594" s="0" t="s">
        <v>2041</v>
      </c>
      <c r="B6594" s="0" t="s">
        <v>2042</v>
      </c>
      <c r="C6594" s="0" t="s">
        <v>2161</v>
      </c>
      <c r="D6594" s="0" t="s">
        <v>2044</v>
      </c>
      <c r="E6594" s="0" t="s">
        <v>2045</v>
      </c>
      <c r="F6594" s="0" t="s">
        <v>2046</v>
      </c>
      <c r="G6594" s="0" t="s">
        <v>2078</v>
      </c>
      <c r="H6594" s="0" t="s">
        <v>2048</v>
      </c>
      <c r="I6594" s="0" t="s">
        <v>2322</v>
      </c>
      <c r="J6594" s="0" t="s">
        <v>2367</v>
      </c>
      <c r="K6594" s="272" t="n">
        <v>179047.62</v>
      </c>
    </row>
    <row r="6595" customFormat="false" ht="15" hidden="false" customHeight="false" outlineLevel="0" collapsed="false">
      <c r="A6595" s="0" t="s">
        <v>2041</v>
      </c>
      <c r="B6595" s="0" t="s">
        <v>2042</v>
      </c>
      <c r="C6595" s="0" t="s">
        <v>2156</v>
      </c>
      <c r="D6595" s="0" t="s">
        <v>2044</v>
      </c>
      <c r="E6595" s="0" t="s">
        <v>2045</v>
      </c>
      <c r="F6595" s="0" t="s">
        <v>2051</v>
      </c>
      <c r="G6595" s="0" t="s">
        <v>2078</v>
      </c>
      <c r="H6595" s="0" t="s">
        <v>2052</v>
      </c>
      <c r="I6595" s="0" t="s">
        <v>2322</v>
      </c>
      <c r="J6595" s="0" t="s">
        <v>2367</v>
      </c>
      <c r="K6595" s="272" t="n">
        <v>65874.77</v>
      </c>
    </row>
    <row r="6596" customFormat="false" ht="15" hidden="false" customHeight="false" outlineLevel="0" collapsed="false">
      <c r="A6596" s="0" t="s">
        <v>2041</v>
      </c>
      <c r="B6596" s="0" t="s">
        <v>2042</v>
      </c>
      <c r="C6596" s="0" t="s">
        <v>2161</v>
      </c>
      <c r="D6596" s="0" t="s">
        <v>2044</v>
      </c>
      <c r="E6596" s="0" t="s">
        <v>2045</v>
      </c>
      <c r="F6596" s="0" t="s">
        <v>2051</v>
      </c>
      <c r="G6596" s="0" t="s">
        <v>2078</v>
      </c>
      <c r="H6596" s="0" t="s">
        <v>2052</v>
      </c>
      <c r="I6596" s="0" t="s">
        <v>2322</v>
      </c>
      <c r="J6596" s="0" t="s">
        <v>2367</v>
      </c>
      <c r="K6596" s="272" t="n">
        <v>19894.18</v>
      </c>
    </row>
    <row r="6597" customFormat="false" ht="15" hidden="false" customHeight="false" outlineLevel="0" collapsed="false">
      <c r="A6597" s="0" t="s">
        <v>2041</v>
      </c>
      <c r="B6597" s="0" t="s">
        <v>2042</v>
      </c>
      <c r="C6597" s="0" t="s">
        <v>2156</v>
      </c>
      <c r="D6597" s="0" t="s">
        <v>2044</v>
      </c>
      <c r="E6597" s="0" t="s">
        <v>2045</v>
      </c>
      <c r="F6597" s="0" t="s">
        <v>2046</v>
      </c>
      <c r="G6597" s="0" t="s">
        <v>2079</v>
      </c>
      <c r="H6597" s="0" t="s">
        <v>2048</v>
      </c>
      <c r="I6597" s="0" t="s">
        <v>2322</v>
      </c>
      <c r="J6597" s="0" t="s">
        <v>2367</v>
      </c>
      <c r="K6597" s="272" t="n">
        <v>287880</v>
      </c>
    </row>
    <row r="6598" customFormat="false" ht="15" hidden="false" customHeight="false" outlineLevel="0" collapsed="false">
      <c r="A6598" s="0" t="s">
        <v>2041</v>
      </c>
      <c r="B6598" s="0" t="s">
        <v>2042</v>
      </c>
      <c r="C6598" s="0" t="s">
        <v>2161</v>
      </c>
      <c r="D6598" s="0" t="s">
        <v>2044</v>
      </c>
      <c r="E6598" s="0" t="s">
        <v>2045</v>
      </c>
      <c r="F6598" s="0" t="s">
        <v>2046</v>
      </c>
      <c r="G6598" s="0" t="s">
        <v>2079</v>
      </c>
      <c r="H6598" s="0" t="s">
        <v>2048</v>
      </c>
      <c r="I6598" s="0" t="s">
        <v>2322</v>
      </c>
      <c r="J6598" s="0" t="s">
        <v>2367</v>
      </c>
      <c r="K6598" s="272" t="n">
        <v>86939.76</v>
      </c>
    </row>
    <row r="6599" customFormat="false" ht="15" hidden="false" customHeight="false" outlineLevel="0" collapsed="false">
      <c r="A6599" s="0" t="s">
        <v>2041</v>
      </c>
      <c r="B6599" s="0" t="s">
        <v>2042</v>
      </c>
      <c r="C6599" s="0" t="s">
        <v>2156</v>
      </c>
      <c r="D6599" s="0" t="s">
        <v>2044</v>
      </c>
      <c r="E6599" s="0" t="s">
        <v>2045</v>
      </c>
      <c r="F6599" s="0" t="s">
        <v>2046</v>
      </c>
      <c r="G6599" s="0" t="s">
        <v>2080</v>
      </c>
      <c r="H6599" s="0" t="s">
        <v>2048</v>
      </c>
      <c r="I6599" s="0" t="s">
        <v>2322</v>
      </c>
      <c r="J6599" s="0" t="s">
        <v>2367</v>
      </c>
      <c r="K6599" s="272" t="n">
        <v>449405.75</v>
      </c>
    </row>
    <row r="6600" customFormat="false" ht="15" hidden="false" customHeight="false" outlineLevel="0" collapsed="false">
      <c r="A6600" s="0" t="s">
        <v>2041</v>
      </c>
      <c r="B6600" s="0" t="s">
        <v>2042</v>
      </c>
      <c r="C6600" s="0" t="s">
        <v>2161</v>
      </c>
      <c r="D6600" s="0" t="s">
        <v>2044</v>
      </c>
      <c r="E6600" s="0" t="s">
        <v>2045</v>
      </c>
      <c r="F6600" s="0" t="s">
        <v>2046</v>
      </c>
      <c r="G6600" s="0" t="s">
        <v>2080</v>
      </c>
      <c r="H6600" s="0" t="s">
        <v>2048</v>
      </c>
      <c r="I6600" s="0" t="s">
        <v>2322</v>
      </c>
      <c r="J6600" s="0" t="s">
        <v>2367</v>
      </c>
      <c r="K6600" s="272" t="n">
        <v>135720.53</v>
      </c>
    </row>
    <row r="6601" customFormat="false" ht="15" hidden="false" customHeight="false" outlineLevel="0" collapsed="false">
      <c r="A6601" s="0" t="s">
        <v>2041</v>
      </c>
      <c r="B6601" s="0" t="s">
        <v>2042</v>
      </c>
      <c r="C6601" s="0" t="s">
        <v>2156</v>
      </c>
      <c r="D6601" s="0" t="s">
        <v>2044</v>
      </c>
      <c r="E6601" s="0" t="s">
        <v>2045</v>
      </c>
      <c r="F6601" s="0" t="s">
        <v>2051</v>
      </c>
      <c r="G6601" s="0" t="s">
        <v>2080</v>
      </c>
      <c r="H6601" s="0" t="s">
        <v>2052</v>
      </c>
      <c r="I6601" s="0" t="s">
        <v>2322</v>
      </c>
      <c r="J6601" s="0" t="s">
        <v>2367</v>
      </c>
      <c r="K6601" s="272" t="n">
        <v>17876.25</v>
      </c>
    </row>
    <row r="6602" customFormat="false" ht="15" hidden="false" customHeight="false" outlineLevel="0" collapsed="false">
      <c r="A6602" s="0" t="s">
        <v>2041</v>
      </c>
      <c r="B6602" s="0" t="s">
        <v>2042</v>
      </c>
      <c r="C6602" s="0" t="s">
        <v>2161</v>
      </c>
      <c r="D6602" s="0" t="s">
        <v>2044</v>
      </c>
      <c r="E6602" s="0" t="s">
        <v>2045</v>
      </c>
      <c r="F6602" s="0" t="s">
        <v>2051</v>
      </c>
      <c r="G6602" s="0" t="s">
        <v>2080</v>
      </c>
      <c r="H6602" s="0" t="s">
        <v>2052</v>
      </c>
      <c r="I6602" s="0" t="s">
        <v>2322</v>
      </c>
      <c r="J6602" s="0" t="s">
        <v>2367</v>
      </c>
      <c r="K6602" s="272" t="n">
        <v>5398.62736842105</v>
      </c>
    </row>
    <row r="6603" customFormat="false" ht="15" hidden="false" customHeight="false" outlineLevel="0" collapsed="false">
      <c r="A6603" s="0" t="s">
        <v>2041</v>
      </c>
      <c r="B6603" s="0" t="s">
        <v>2042</v>
      </c>
      <c r="C6603" s="0" t="s">
        <v>2156</v>
      </c>
      <c r="D6603" s="0" t="s">
        <v>2044</v>
      </c>
      <c r="E6603" s="0" t="s">
        <v>2045</v>
      </c>
      <c r="F6603" s="0" t="s">
        <v>2046</v>
      </c>
      <c r="G6603" s="0" t="s">
        <v>2081</v>
      </c>
      <c r="H6603" s="0" t="s">
        <v>2048</v>
      </c>
      <c r="I6603" s="0" t="s">
        <v>2322</v>
      </c>
      <c r="J6603" s="0" t="s">
        <v>2367</v>
      </c>
      <c r="K6603" s="272" t="n">
        <v>3707546</v>
      </c>
    </row>
    <row r="6604" customFormat="false" ht="15" hidden="false" customHeight="false" outlineLevel="0" collapsed="false">
      <c r="A6604" s="0" t="s">
        <v>2041</v>
      </c>
      <c r="B6604" s="0" t="s">
        <v>2042</v>
      </c>
      <c r="C6604" s="0" t="s">
        <v>2161</v>
      </c>
      <c r="D6604" s="0" t="s">
        <v>2044</v>
      </c>
      <c r="E6604" s="0" t="s">
        <v>2045</v>
      </c>
      <c r="F6604" s="0" t="s">
        <v>2046</v>
      </c>
      <c r="G6604" s="0" t="s">
        <v>2081</v>
      </c>
      <c r="H6604" s="0" t="s">
        <v>2048</v>
      </c>
      <c r="I6604" s="0" t="s">
        <v>2322</v>
      </c>
      <c r="J6604" s="0" t="s">
        <v>2367</v>
      </c>
      <c r="K6604" s="272" t="n">
        <v>1119678.893</v>
      </c>
    </row>
    <row r="6605" customFormat="false" ht="15" hidden="false" customHeight="false" outlineLevel="0" collapsed="false">
      <c r="A6605" s="0" t="s">
        <v>2041</v>
      </c>
      <c r="B6605" s="0" t="s">
        <v>2042</v>
      </c>
      <c r="C6605" s="0" t="s">
        <v>2156</v>
      </c>
      <c r="D6605" s="0" t="s">
        <v>2044</v>
      </c>
      <c r="E6605" s="0" t="s">
        <v>2045</v>
      </c>
      <c r="F6605" s="0" t="s">
        <v>2051</v>
      </c>
      <c r="G6605" s="0" t="s">
        <v>2081</v>
      </c>
      <c r="H6605" s="0" t="s">
        <v>2052</v>
      </c>
      <c r="I6605" s="0" t="s">
        <v>2322</v>
      </c>
      <c r="J6605" s="0" t="s">
        <v>2367</v>
      </c>
      <c r="K6605" s="272" t="n">
        <v>263362</v>
      </c>
    </row>
    <row r="6606" customFormat="false" ht="15" hidden="false" customHeight="false" outlineLevel="0" collapsed="false">
      <c r="A6606" s="0" t="s">
        <v>2041</v>
      </c>
      <c r="B6606" s="0" t="s">
        <v>2042</v>
      </c>
      <c r="C6606" s="0" t="s">
        <v>2161</v>
      </c>
      <c r="D6606" s="0" t="s">
        <v>2044</v>
      </c>
      <c r="E6606" s="0" t="s">
        <v>2045</v>
      </c>
      <c r="F6606" s="0" t="s">
        <v>2051</v>
      </c>
      <c r="G6606" s="0" t="s">
        <v>2081</v>
      </c>
      <c r="H6606" s="0" t="s">
        <v>2052</v>
      </c>
      <c r="I6606" s="0" t="s">
        <v>2322</v>
      </c>
      <c r="J6606" s="0" t="s">
        <v>2367</v>
      </c>
      <c r="K6606" s="272" t="n">
        <v>79535.3264444445</v>
      </c>
    </row>
    <row r="6607" customFormat="false" ht="15" hidden="false" customHeight="false" outlineLevel="0" collapsed="false">
      <c r="A6607" s="0" t="s">
        <v>2041</v>
      </c>
      <c r="B6607" s="0" t="s">
        <v>2042</v>
      </c>
      <c r="C6607" s="0" t="s">
        <v>2156</v>
      </c>
      <c r="D6607" s="0" t="s">
        <v>2044</v>
      </c>
      <c r="E6607" s="0" t="s">
        <v>2045</v>
      </c>
      <c r="F6607" s="0" t="s">
        <v>2046</v>
      </c>
      <c r="G6607" s="0" t="s">
        <v>2082</v>
      </c>
      <c r="H6607" s="0" t="s">
        <v>2048</v>
      </c>
      <c r="I6607" s="0" t="s">
        <v>2322</v>
      </c>
      <c r="J6607" s="0" t="s">
        <v>2367</v>
      </c>
      <c r="K6607" s="272" t="n">
        <v>4906343</v>
      </c>
    </row>
    <row r="6608" customFormat="false" ht="15" hidden="false" customHeight="false" outlineLevel="0" collapsed="false">
      <c r="A6608" s="0" t="s">
        <v>2041</v>
      </c>
      <c r="B6608" s="0" t="s">
        <v>2042</v>
      </c>
      <c r="C6608" s="0" t="s">
        <v>2161</v>
      </c>
      <c r="D6608" s="0" t="s">
        <v>2044</v>
      </c>
      <c r="E6608" s="0" t="s">
        <v>2045</v>
      </c>
      <c r="F6608" s="0" t="s">
        <v>2046</v>
      </c>
      <c r="G6608" s="0" t="s">
        <v>2082</v>
      </c>
      <c r="H6608" s="0" t="s">
        <v>2048</v>
      </c>
      <c r="I6608" s="0" t="s">
        <v>2322</v>
      </c>
      <c r="J6608" s="0" t="s">
        <v>2367</v>
      </c>
      <c r="K6608" s="272" t="n">
        <v>1185895.09</v>
      </c>
    </row>
    <row r="6609" customFormat="false" ht="15" hidden="false" customHeight="false" outlineLevel="0" collapsed="false">
      <c r="A6609" s="0" t="s">
        <v>2041</v>
      </c>
      <c r="B6609" s="0" t="s">
        <v>2042</v>
      </c>
      <c r="C6609" s="0" t="s">
        <v>2156</v>
      </c>
      <c r="D6609" s="0" t="s">
        <v>2044</v>
      </c>
      <c r="E6609" s="0" t="s">
        <v>2045</v>
      </c>
      <c r="F6609" s="0" t="s">
        <v>2046</v>
      </c>
      <c r="G6609" s="0" t="s">
        <v>2083</v>
      </c>
      <c r="H6609" s="0" t="s">
        <v>2048</v>
      </c>
      <c r="I6609" s="0" t="s">
        <v>2322</v>
      </c>
      <c r="J6609" s="0" t="s">
        <v>2367</v>
      </c>
      <c r="K6609" s="272" t="n">
        <v>1275902.32</v>
      </c>
    </row>
    <row r="6610" customFormat="false" ht="15" hidden="false" customHeight="false" outlineLevel="0" collapsed="false">
      <c r="A6610" s="0" t="s">
        <v>2041</v>
      </c>
      <c r="B6610" s="0" t="s">
        <v>2042</v>
      </c>
      <c r="C6610" s="0" t="s">
        <v>2161</v>
      </c>
      <c r="D6610" s="0" t="s">
        <v>2044</v>
      </c>
      <c r="E6610" s="0" t="s">
        <v>2045</v>
      </c>
      <c r="F6610" s="0" t="s">
        <v>2046</v>
      </c>
      <c r="G6610" s="0" t="s">
        <v>2083</v>
      </c>
      <c r="H6610" s="0" t="s">
        <v>2048</v>
      </c>
      <c r="I6610" s="0" t="s">
        <v>2322</v>
      </c>
      <c r="J6610" s="0" t="s">
        <v>2367</v>
      </c>
      <c r="K6610" s="272" t="n">
        <v>385322.5</v>
      </c>
    </row>
    <row r="6611" customFormat="false" ht="15" hidden="false" customHeight="false" outlineLevel="0" collapsed="false">
      <c r="A6611" s="0" t="s">
        <v>2041</v>
      </c>
      <c r="B6611" s="0" t="s">
        <v>2042</v>
      </c>
      <c r="C6611" s="0" t="s">
        <v>2156</v>
      </c>
      <c r="D6611" s="0" t="s">
        <v>2044</v>
      </c>
      <c r="E6611" s="0" t="s">
        <v>2045</v>
      </c>
      <c r="F6611" s="0" t="s">
        <v>2051</v>
      </c>
      <c r="G6611" s="0" t="s">
        <v>2083</v>
      </c>
      <c r="H6611" s="0" t="s">
        <v>2052</v>
      </c>
      <c r="I6611" s="0" t="s">
        <v>2322</v>
      </c>
      <c r="J6611" s="0" t="s">
        <v>2367</v>
      </c>
      <c r="K6611" s="272" t="n">
        <v>28364.88</v>
      </c>
    </row>
    <row r="6612" customFormat="false" ht="15" hidden="false" customHeight="false" outlineLevel="0" collapsed="false">
      <c r="A6612" s="0" t="s">
        <v>2041</v>
      </c>
      <c r="B6612" s="0" t="s">
        <v>2042</v>
      </c>
      <c r="C6612" s="0" t="s">
        <v>2161</v>
      </c>
      <c r="D6612" s="0" t="s">
        <v>2044</v>
      </c>
      <c r="E6612" s="0" t="s">
        <v>2045</v>
      </c>
      <c r="F6612" s="0" t="s">
        <v>2051</v>
      </c>
      <c r="G6612" s="0" t="s">
        <v>2083</v>
      </c>
      <c r="H6612" s="0" t="s">
        <v>2052</v>
      </c>
      <c r="I6612" s="0" t="s">
        <v>2322</v>
      </c>
      <c r="J6612" s="0" t="s">
        <v>2367</v>
      </c>
      <c r="K6612" s="272" t="n">
        <v>8566.19368421053</v>
      </c>
    </row>
    <row r="6613" customFormat="false" ht="15" hidden="false" customHeight="false" outlineLevel="0" collapsed="false">
      <c r="A6613" s="0" t="s">
        <v>2041</v>
      </c>
      <c r="B6613" s="0" t="s">
        <v>2042</v>
      </c>
      <c r="C6613" s="0" t="s">
        <v>2156</v>
      </c>
      <c r="D6613" s="0" t="s">
        <v>2044</v>
      </c>
      <c r="E6613" s="0" t="s">
        <v>2045</v>
      </c>
      <c r="F6613" s="0" t="s">
        <v>2046</v>
      </c>
      <c r="G6613" s="0" t="s">
        <v>2084</v>
      </c>
      <c r="H6613" s="0" t="s">
        <v>2048</v>
      </c>
      <c r="I6613" s="0" t="s">
        <v>2322</v>
      </c>
      <c r="J6613" s="0" t="s">
        <v>2367</v>
      </c>
      <c r="K6613" s="272" t="n">
        <v>322607.545</v>
      </c>
    </row>
    <row r="6614" customFormat="false" ht="15" hidden="false" customHeight="false" outlineLevel="0" collapsed="false">
      <c r="A6614" s="0" t="s">
        <v>2041</v>
      </c>
      <c r="B6614" s="0" t="s">
        <v>2042</v>
      </c>
      <c r="C6614" s="0" t="s">
        <v>2161</v>
      </c>
      <c r="D6614" s="0" t="s">
        <v>2044</v>
      </c>
      <c r="E6614" s="0" t="s">
        <v>2045</v>
      </c>
      <c r="F6614" s="0" t="s">
        <v>2046</v>
      </c>
      <c r="G6614" s="0" t="s">
        <v>2084</v>
      </c>
      <c r="H6614" s="0" t="s">
        <v>2048</v>
      </c>
      <c r="I6614" s="0" t="s">
        <v>2322</v>
      </c>
      <c r="J6614" s="0" t="s">
        <v>2367</v>
      </c>
      <c r="K6614" s="272" t="n">
        <v>97427.4684900003</v>
      </c>
    </row>
    <row r="6615" customFormat="false" ht="15" hidden="false" customHeight="false" outlineLevel="0" collapsed="false">
      <c r="A6615" s="0" t="s">
        <v>2041</v>
      </c>
      <c r="B6615" s="0" t="s">
        <v>2042</v>
      </c>
      <c r="C6615" s="0" t="s">
        <v>2156</v>
      </c>
      <c r="D6615" s="0" t="s">
        <v>2044</v>
      </c>
      <c r="E6615" s="0" t="s">
        <v>2045</v>
      </c>
      <c r="F6615" s="0" t="s">
        <v>2051</v>
      </c>
      <c r="G6615" s="0" t="s">
        <v>2084</v>
      </c>
      <c r="H6615" s="0" t="s">
        <v>2052</v>
      </c>
      <c r="I6615" s="0" t="s">
        <v>2322</v>
      </c>
      <c r="J6615" s="0" t="s">
        <v>2367</v>
      </c>
      <c r="K6615" s="272" t="n">
        <v>604392.505</v>
      </c>
    </row>
    <row r="6616" customFormat="false" ht="15" hidden="false" customHeight="false" outlineLevel="0" collapsed="false">
      <c r="A6616" s="0" t="s">
        <v>2041</v>
      </c>
      <c r="B6616" s="0" t="s">
        <v>2042</v>
      </c>
      <c r="C6616" s="0" t="s">
        <v>2161</v>
      </c>
      <c r="D6616" s="0" t="s">
        <v>2044</v>
      </c>
      <c r="E6616" s="0" t="s">
        <v>2045</v>
      </c>
      <c r="F6616" s="0" t="s">
        <v>2051</v>
      </c>
      <c r="G6616" s="0" t="s">
        <v>2084</v>
      </c>
      <c r="H6616" s="0" t="s">
        <v>2052</v>
      </c>
      <c r="I6616" s="0" t="s">
        <v>2322</v>
      </c>
      <c r="J6616" s="0" t="s">
        <v>2367</v>
      </c>
      <c r="K6616" s="272" t="n">
        <v>182526.51849</v>
      </c>
    </row>
    <row r="6617" customFormat="false" ht="15" hidden="false" customHeight="false" outlineLevel="0" collapsed="false">
      <c r="A6617" s="0" t="s">
        <v>2041</v>
      </c>
      <c r="B6617" s="0" t="s">
        <v>2042</v>
      </c>
      <c r="C6617" s="0" t="s">
        <v>2156</v>
      </c>
      <c r="D6617" s="0" t="s">
        <v>2044</v>
      </c>
      <c r="E6617" s="0" t="s">
        <v>2045</v>
      </c>
      <c r="F6617" s="0" t="s">
        <v>2046</v>
      </c>
      <c r="G6617" s="0" t="s">
        <v>2085</v>
      </c>
      <c r="H6617" s="0" t="s">
        <v>2048</v>
      </c>
      <c r="I6617" s="0" t="s">
        <v>2322</v>
      </c>
      <c r="J6617" s="0" t="s">
        <v>2367</v>
      </c>
      <c r="K6617" s="272" t="n">
        <v>1431474.16</v>
      </c>
    </row>
    <row r="6618" customFormat="false" ht="15" hidden="false" customHeight="false" outlineLevel="0" collapsed="false">
      <c r="A6618" s="0" t="s">
        <v>2041</v>
      </c>
      <c r="B6618" s="0" t="s">
        <v>2042</v>
      </c>
      <c r="C6618" s="0" t="s">
        <v>2161</v>
      </c>
      <c r="D6618" s="0" t="s">
        <v>2044</v>
      </c>
      <c r="E6618" s="0" t="s">
        <v>2045</v>
      </c>
      <c r="F6618" s="0" t="s">
        <v>2046</v>
      </c>
      <c r="G6618" s="0" t="s">
        <v>2085</v>
      </c>
      <c r="H6618" s="0" t="s">
        <v>2048</v>
      </c>
      <c r="I6618" s="0" t="s">
        <v>2322</v>
      </c>
      <c r="J6618" s="0" t="s">
        <v>2367</v>
      </c>
      <c r="K6618" s="272" t="n">
        <v>432305.2</v>
      </c>
    </row>
    <row r="6619" customFormat="false" ht="15" hidden="false" customHeight="false" outlineLevel="0" collapsed="false">
      <c r="A6619" s="0" t="s">
        <v>2041</v>
      </c>
      <c r="B6619" s="0" t="s">
        <v>2042</v>
      </c>
      <c r="C6619" s="0" t="s">
        <v>2156</v>
      </c>
      <c r="D6619" s="0" t="s">
        <v>2044</v>
      </c>
      <c r="E6619" s="0" t="s">
        <v>2045</v>
      </c>
      <c r="F6619" s="0" t="s">
        <v>2051</v>
      </c>
      <c r="G6619" s="0" t="s">
        <v>2085</v>
      </c>
      <c r="H6619" s="0" t="s">
        <v>2052</v>
      </c>
      <c r="I6619" s="0" t="s">
        <v>2322</v>
      </c>
      <c r="J6619" s="0" t="s">
        <v>2367</v>
      </c>
      <c r="K6619" s="272" t="n">
        <v>547809.04</v>
      </c>
    </row>
    <row r="6620" customFormat="false" ht="15" hidden="false" customHeight="false" outlineLevel="0" collapsed="false">
      <c r="A6620" s="0" t="s">
        <v>2041</v>
      </c>
      <c r="B6620" s="0" t="s">
        <v>2042</v>
      </c>
      <c r="C6620" s="0" t="s">
        <v>2161</v>
      </c>
      <c r="D6620" s="0" t="s">
        <v>2044</v>
      </c>
      <c r="E6620" s="0" t="s">
        <v>2045</v>
      </c>
      <c r="F6620" s="0" t="s">
        <v>2051</v>
      </c>
      <c r="G6620" s="0" t="s">
        <v>2085</v>
      </c>
      <c r="H6620" s="0" t="s">
        <v>2052</v>
      </c>
      <c r="I6620" s="0" t="s">
        <v>2322</v>
      </c>
      <c r="J6620" s="0" t="s">
        <v>2367</v>
      </c>
      <c r="K6620" s="272" t="n">
        <v>165438.332820513</v>
      </c>
    </row>
    <row r="6621" customFormat="false" ht="15" hidden="false" customHeight="false" outlineLevel="0" collapsed="false">
      <c r="A6621" s="0" t="s">
        <v>2041</v>
      </c>
      <c r="B6621" s="0" t="s">
        <v>2042</v>
      </c>
      <c r="C6621" s="0" t="s">
        <v>2156</v>
      </c>
      <c r="D6621" s="0" t="s">
        <v>2044</v>
      </c>
      <c r="E6621" s="0" t="s">
        <v>2045</v>
      </c>
      <c r="F6621" s="0" t="s">
        <v>2046</v>
      </c>
      <c r="G6621" s="0" t="s">
        <v>2086</v>
      </c>
      <c r="H6621" s="0" t="s">
        <v>2048</v>
      </c>
      <c r="I6621" s="0" t="s">
        <v>2322</v>
      </c>
      <c r="J6621" s="0" t="s">
        <v>2367</v>
      </c>
      <c r="K6621" s="272" t="n">
        <v>1413034.785</v>
      </c>
    </row>
    <row r="6622" customFormat="false" ht="15" hidden="false" customHeight="false" outlineLevel="0" collapsed="false">
      <c r="A6622" s="0" t="s">
        <v>2041</v>
      </c>
      <c r="B6622" s="0" t="s">
        <v>2042</v>
      </c>
      <c r="C6622" s="0" t="s">
        <v>2161</v>
      </c>
      <c r="D6622" s="0" t="s">
        <v>2044</v>
      </c>
      <c r="E6622" s="0" t="s">
        <v>2045</v>
      </c>
      <c r="F6622" s="0" t="s">
        <v>2046</v>
      </c>
      <c r="G6622" s="0" t="s">
        <v>2086</v>
      </c>
      <c r="H6622" s="0" t="s">
        <v>2048</v>
      </c>
      <c r="I6622" s="0" t="s">
        <v>2322</v>
      </c>
      <c r="J6622" s="0" t="s">
        <v>2367</v>
      </c>
      <c r="K6622" s="272" t="n">
        <v>426736.507</v>
      </c>
    </row>
    <row r="6623" customFormat="false" ht="15" hidden="false" customHeight="false" outlineLevel="0" collapsed="false">
      <c r="A6623" s="0" t="s">
        <v>2041</v>
      </c>
      <c r="B6623" s="0" t="s">
        <v>2042</v>
      </c>
      <c r="C6623" s="0" t="s">
        <v>2156</v>
      </c>
      <c r="D6623" s="0" t="s">
        <v>2044</v>
      </c>
      <c r="E6623" s="0" t="s">
        <v>2045</v>
      </c>
      <c r="F6623" s="0" t="s">
        <v>2051</v>
      </c>
      <c r="G6623" s="0" t="s">
        <v>2086</v>
      </c>
      <c r="H6623" s="0" t="s">
        <v>2052</v>
      </c>
      <c r="I6623" s="0" t="s">
        <v>2322</v>
      </c>
      <c r="J6623" s="0" t="s">
        <v>2367</v>
      </c>
      <c r="K6623" s="272" t="n">
        <v>238312.315</v>
      </c>
    </row>
    <row r="6624" customFormat="false" ht="15" hidden="false" customHeight="false" outlineLevel="0" collapsed="false">
      <c r="A6624" s="0" t="s">
        <v>2041</v>
      </c>
      <c r="B6624" s="0" t="s">
        <v>2042</v>
      </c>
      <c r="C6624" s="0" t="s">
        <v>2161</v>
      </c>
      <c r="D6624" s="0" t="s">
        <v>2044</v>
      </c>
      <c r="E6624" s="0" t="s">
        <v>2045</v>
      </c>
      <c r="F6624" s="0" t="s">
        <v>2051</v>
      </c>
      <c r="G6624" s="0" t="s">
        <v>2086</v>
      </c>
      <c r="H6624" s="0" t="s">
        <v>2052</v>
      </c>
      <c r="I6624" s="0" t="s">
        <v>2322</v>
      </c>
      <c r="J6624" s="0" t="s">
        <v>2367</v>
      </c>
      <c r="K6624" s="272" t="n">
        <v>71970.318</v>
      </c>
    </row>
    <row r="6625" customFormat="false" ht="15" hidden="false" customHeight="false" outlineLevel="0" collapsed="false">
      <c r="A6625" s="0" t="s">
        <v>2041</v>
      </c>
      <c r="B6625" s="0" t="s">
        <v>2042</v>
      </c>
      <c r="C6625" s="0" t="s">
        <v>2156</v>
      </c>
      <c r="D6625" s="0" t="s">
        <v>2044</v>
      </c>
      <c r="E6625" s="0" t="s">
        <v>2045</v>
      </c>
      <c r="F6625" s="0" t="s">
        <v>2046</v>
      </c>
      <c r="G6625" s="0" t="s">
        <v>2087</v>
      </c>
      <c r="H6625" s="0" t="s">
        <v>2048</v>
      </c>
      <c r="I6625" s="0" t="s">
        <v>2322</v>
      </c>
      <c r="J6625" s="0" t="s">
        <v>2367</v>
      </c>
      <c r="K6625" s="272" t="n">
        <v>1713501.95</v>
      </c>
    </row>
    <row r="6626" customFormat="false" ht="15" hidden="false" customHeight="false" outlineLevel="0" collapsed="false">
      <c r="A6626" s="0" t="s">
        <v>2041</v>
      </c>
      <c r="B6626" s="0" t="s">
        <v>2042</v>
      </c>
      <c r="C6626" s="0" t="s">
        <v>2161</v>
      </c>
      <c r="D6626" s="0" t="s">
        <v>2044</v>
      </c>
      <c r="E6626" s="0" t="s">
        <v>2045</v>
      </c>
      <c r="F6626" s="0" t="s">
        <v>2046</v>
      </c>
      <c r="G6626" s="0" t="s">
        <v>2087</v>
      </c>
      <c r="H6626" s="0" t="s">
        <v>2048</v>
      </c>
      <c r="I6626" s="0" t="s">
        <v>2322</v>
      </c>
      <c r="J6626" s="0" t="s">
        <v>2367</v>
      </c>
      <c r="K6626" s="272" t="n">
        <v>406179.07</v>
      </c>
    </row>
    <row r="6627" customFormat="false" ht="15" hidden="false" customHeight="false" outlineLevel="0" collapsed="false">
      <c r="A6627" s="0" t="s">
        <v>2041</v>
      </c>
      <c r="B6627" s="0" t="s">
        <v>2042</v>
      </c>
      <c r="C6627" s="0" t="s">
        <v>2156</v>
      </c>
      <c r="D6627" s="0" t="s">
        <v>2044</v>
      </c>
      <c r="E6627" s="0" t="s">
        <v>2045</v>
      </c>
      <c r="F6627" s="0" t="s">
        <v>2051</v>
      </c>
      <c r="G6627" s="0" t="s">
        <v>2087</v>
      </c>
      <c r="H6627" s="0" t="s">
        <v>2052</v>
      </c>
      <c r="I6627" s="0" t="s">
        <v>2322</v>
      </c>
      <c r="J6627" s="0" t="s">
        <v>2367</v>
      </c>
      <c r="K6627" s="272" t="n">
        <v>2963628.05</v>
      </c>
    </row>
    <row r="6628" customFormat="false" ht="15" hidden="false" customHeight="false" outlineLevel="0" collapsed="false">
      <c r="A6628" s="0" t="s">
        <v>2041</v>
      </c>
      <c r="B6628" s="0" t="s">
        <v>2042</v>
      </c>
      <c r="C6628" s="0" t="s">
        <v>2161</v>
      </c>
      <c r="D6628" s="0" t="s">
        <v>2044</v>
      </c>
      <c r="E6628" s="0" t="s">
        <v>2045</v>
      </c>
      <c r="F6628" s="0" t="s">
        <v>2051</v>
      </c>
      <c r="G6628" s="0" t="s">
        <v>2087</v>
      </c>
      <c r="H6628" s="0" t="s">
        <v>2052</v>
      </c>
      <c r="I6628" s="0" t="s">
        <v>2322</v>
      </c>
      <c r="J6628" s="0" t="s">
        <v>2367</v>
      </c>
      <c r="K6628" s="272" t="n">
        <v>728067.894444444</v>
      </c>
    </row>
    <row r="6629" customFormat="false" ht="15" hidden="false" customHeight="false" outlineLevel="0" collapsed="false">
      <c r="A6629" s="0" t="s">
        <v>2041</v>
      </c>
      <c r="B6629" s="0" t="s">
        <v>2042</v>
      </c>
      <c r="C6629" s="0" t="s">
        <v>2156</v>
      </c>
      <c r="D6629" s="0" t="s">
        <v>2044</v>
      </c>
      <c r="E6629" s="0" t="s">
        <v>2045</v>
      </c>
      <c r="F6629" s="0" t="s">
        <v>2046</v>
      </c>
      <c r="G6629" s="0" t="s">
        <v>2088</v>
      </c>
      <c r="H6629" s="0" t="s">
        <v>2048</v>
      </c>
      <c r="I6629" s="0" t="s">
        <v>2322</v>
      </c>
      <c r="J6629" s="0" t="s">
        <v>2367</v>
      </c>
      <c r="K6629" s="272" t="n">
        <v>1092411</v>
      </c>
    </row>
    <row r="6630" customFormat="false" ht="15" hidden="false" customHeight="false" outlineLevel="0" collapsed="false">
      <c r="A6630" s="0" t="s">
        <v>2041</v>
      </c>
      <c r="B6630" s="0" t="s">
        <v>2042</v>
      </c>
      <c r="C6630" s="0" t="s">
        <v>2161</v>
      </c>
      <c r="D6630" s="0" t="s">
        <v>2044</v>
      </c>
      <c r="E6630" s="0" t="s">
        <v>2045</v>
      </c>
      <c r="F6630" s="0" t="s">
        <v>2046</v>
      </c>
      <c r="G6630" s="0" t="s">
        <v>2088</v>
      </c>
      <c r="H6630" s="0" t="s">
        <v>2048</v>
      </c>
      <c r="I6630" s="0" t="s">
        <v>2322</v>
      </c>
      <c r="J6630" s="0" t="s">
        <v>2367</v>
      </c>
      <c r="K6630" s="272" t="n">
        <v>329908.13</v>
      </c>
    </row>
    <row r="6631" customFormat="false" ht="15" hidden="false" customHeight="false" outlineLevel="0" collapsed="false">
      <c r="A6631" s="0" t="s">
        <v>2041</v>
      </c>
      <c r="B6631" s="0" t="s">
        <v>2042</v>
      </c>
      <c r="C6631" s="0" t="s">
        <v>2156</v>
      </c>
      <c r="D6631" s="0" t="s">
        <v>2044</v>
      </c>
      <c r="E6631" s="0" t="s">
        <v>2045</v>
      </c>
      <c r="F6631" s="0" t="s">
        <v>2051</v>
      </c>
      <c r="G6631" s="0" t="s">
        <v>2088</v>
      </c>
      <c r="H6631" s="0" t="s">
        <v>2052</v>
      </c>
      <c r="I6631" s="0" t="s">
        <v>2322</v>
      </c>
      <c r="J6631" s="0" t="s">
        <v>2367</v>
      </c>
      <c r="K6631" s="272" t="n">
        <v>165791.5</v>
      </c>
    </row>
    <row r="6632" customFormat="false" ht="15" hidden="false" customHeight="false" outlineLevel="0" collapsed="false">
      <c r="A6632" s="0" t="s">
        <v>2041</v>
      </c>
      <c r="B6632" s="0" t="s">
        <v>2042</v>
      </c>
      <c r="C6632" s="0" t="s">
        <v>2161</v>
      </c>
      <c r="D6632" s="0" t="s">
        <v>2044</v>
      </c>
      <c r="E6632" s="0" t="s">
        <v>2045</v>
      </c>
      <c r="F6632" s="0" t="s">
        <v>2051</v>
      </c>
      <c r="G6632" s="0" t="s">
        <v>2088</v>
      </c>
      <c r="H6632" s="0" t="s">
        <v>2052</v>
      </c>
      <c r="I6632" s="0" t="s">
        <v>2322</v>
      </c>
      <c r="J6632" s="0" t="s">
        <v>2367</v>
      </c>
      <c r="K6632" s="272" t="n">
        <v>50069.0346153846</v>
      </c>
    </row>
    <row r="6633" customFormat="false" ht="15" hidden="false" customHeight="false" outlineLevel="0" collapsed="false">
      <c r="A6633" s="0" t="s">
        <v>2041</v>
      </c>
      <c r="B6633" s="0" t="s">
        <v>2042</v>
      </c>
      <c r="C6633" s="0" t="s">
        <v>2156</v>
      </c>
      <c r="D6633" s="0" t="s">
        <v>2044</v>
      </c>
      <c r="E6633" s="0" t="s">
        <v>2045</v>
      </c>
      <c r="F6633" s="0" t="s">
        <v>2046</v>
      </c>
      <c r="G6633" s="0" t="s">
        <v>2089</v>
      </c>
      <c r="H6633" s="0" t="s">
        <v>2048</v>
      </c>
      <c r="I6633" s="0" t="s">
        <v>2322</v>
      </c>
      <c r="J6633" s="0" t="s">
        <v>2367</v>
      </c>
      <c r="K6633" s="272" t="n">
        <v>267785.1</v>
      </c>
    </row>
    <row r="6634" customFormat="false" ht="15" hidden="false" customHeight="false" outlineLevel="0" collapsed="false">
      <c r="A6634" s="0" t="s">
        <v>2041</v>
      </c>
      <c r="B6634" s="0" t="s">
        <v>2042</v>
      </c>
      <c r="C6634" s="0" t="s">
        <v>2161</v>
      </c>
      <c r="D6634" s="0" t="s">
        <v>2044</v>
      </c>
      <c r="E6634" s="0" t="s">
        <v>2045</v>
      </c>
      <c r="F6634" s="0" t="s">
        <v>2046</v>
      </c>
      <c r="G6634" s="0" t="s">
        <v>2089</v>
      </c>
      <c r="H6634" s="0" t="s">
        <v>2048</v>
      </c>
      <c r="I6634" s="0" t="s">
        <v>2322</v>
      </c>
      <c r="J6634" s="0" t="s">
        <v>2367</v>
      </c>
      <c r="K6634" s="272" t="n">
        <v>80871.1</v>
      </c>
    </row>
    <row r="6635" customFormat="false" ht="15" hidden="false" customHeight="false" outlineLevel="0" collapsed="false">
      <c r="A6635" s="0" t="s">
        <v>2041</v>
      </c>
      <c r="B6635" s="0" t="s">
        <v>2042</v>
      </c>
      <c r="C6635" s="0" t="s">
        <v>2156</v>
      </c>
      <c r="D6635" s="0" t="s">
        <v>2044</v>
      </c>
      <c r="E6635" s="0" t="s">
        <v>2045</v>
      </c>
      <c r="F6635" s="0" t="s">
        <v>2051</v>
      </c>
      <c r="G6635" s="0" t="s">
        <v>2089</v>
      </c>
      <c r="H6635" s="0" t="s">
        <v>2052</v>
      </c>
      <c r="I6635" s="0" t="s">
        <v>2322</v>
      </c>
      <c r="J6635" s="0" t="s">
        <v>2367</v>
      </c>
      <c r="K6635" s="272" t="n">
        <v>2704.9</v>
      </c>
    </row>
    <row r="6636" customFormat="false" ht="15" hidden="false" customHeight="false" outlineLevel="0" collapsed="false">
      <c r="A6636" s="0" t="s">
        <v>2041</v>
      </c>
      <c r="B6636" s="0" t="s">
        <v>2042</v>
      </c>
      <c r="C6636" s="0" t="s">
        <v>2161</v>
      </c>
      <c r="D6636" s="0" t="s">
        <v>2044</v>
      </c>
      <c r="E6636" s="0" t="s">
        <v>2045</v>
      </c>
      <c r="F6636" s="0" t="s">
        <v>2051</v>
      </c>
      <c r="G6636" s="0" t="s">
        <v>2089</v>
      </c>
      <c r="H6636" s="0" t="s">
        <v>2052</v>
      </c>
      <c r="I6636" s="0" t="s">
        <v>2322</v>
      </c>
      <c r="J6636" s="0" t="s">
        <v>2367</v>
      </c>
      <c r="K6636" s="272" t="n">
        <v>816.879797979798</v>
      </c>
    </row>
    <row r="6637" customFormat="false" ht="15" hidden="false" customHeight="false" outlineLevel="0" collapsed="false">
      <c r="A6637" s="0" t="s">
        <v>2041</v>
      </c>
      <c r="B6637" s="0" t="s">
        <v>2042</v>
      </c>
      <c r="C6637" s="0" t="s">
        <v>2156</v>
      </c>
      <c r="D6637" s="0" t="s">
        <v>2044</v>
      </c>
      <c r="E6637" s="0" t="s">
        <v>2045</v>
      </c>
      <c r="F6637" s="0" t="s">
        <v>2046</v>
      </c>
      <c r="G6637" s="0" t="s">
        <v>2090</v>
      </c>
      <c r="H6637" s="0" t="s">
        <v>2048</v>
      </c>
      <c r="I6637" s="0" t="s">
        <v>2322</v>
      </c>
      <c r="J6637" s="0" t="s">
        <v>2367</v>
      </c>
      <c r="K6637" s="272" t="n">
        <v>3845965.78</v>
      </c>
    </row>
    <row r="6638" customFormat="false" ht="15" hidden="false" customHeight="false" outlineLevel="0" collapsed="false">
      <c r="A6638" s="0" t="s">
        <v>2041</v>
      </c>
      <c r="B6638" s="0" t="s">
        <v>2042</v>
      </c>
      <c r="C6638" s="0" t="s">
        <v>2161</v>
      </c>
      <c r="D6638" s="0" t="s">
        <v>2044</v>
      </c>
      <c r="E6638" s="0" t="s">
        <v>2045</v>
      </c>
      <c r="F6638" s="0" t="s">
        <v>2046</v>
      </c>
      <c r="G6638" s="0" t="s">
        <v>2090</v>
      </c>
      <c r="H6638" s="0" t="s">
        <v>2048</v>
      </c>
      <c r="I6638" s="0" t="s">
        <v>2322</v>
      </c>
      <c r="J6638" s="0" t="s">
        <v>2367</v>
      </c>
      <c r="K6638" s="272" t="n">
        <v>1052484.02</v>
      </c>
    </row>
    <row r="6639" customFormat="false" ht="15" hidden="false" customHeight="false" outlineLevel="0" collapsed="false">
      <c r="A6639" s="0" t="s">
        <v>2041</v>
      </c>
      <c r="B6639" s="0" t="s">
        <v>2042</v>
      </c>
      <c r="C6639" s="0" t="s">
        <v>2156</v>
      </c>
      <c r="D6639" s="0" t="s">
        <v>2044</v>
      </c>
      <c r="E6639" s="0" t="s">
        <v>2045</v>
      </c>
      <c r="F6639" s="0" t="s">
        <v>2051</v>
      </c>
      <c r="G6639" s="0" t="s">
        <v>2090</v>
      </c>
      <c r="H6639" s="0" t="s">
        <v>2052</v>
      </c>
      <c r="I6639" s="0" t="s">
        <v>2322</v>
      </c>
      <c r="J6639" s="0" t="s">
        <v>2367</v>
      </c>
      <c r="K6639" s="272" t="n">
        <v>877441.92</v>
      </c>
    </row>
    <row r="6640" customFormat="false" ht="15" hidden="false" customHeight="false" outlineLevel="0" collapsed="false">
      <c r="A6640" s="0" t="s">
        <v>2041</v>
      </c>
      <c r="B6640" s="0" t="s">
        <v>2042</v>
      </c>
      <c r="C6640" s="0" t="s">
        <v>2161</v>
      </c>
      <c r="D6640" s="0" t="s">
        <v>2044</v>
      </c>
      <c r="E6640" s="0" t="s">
        <v>2045</v>
      </c>
      <c r="F6640" s="0" t="s">
        <v>2051</v>
      </c>
      <c r="G6640" s="0" t="s">
        <v>2090</v>
      </c>
      <c r="H6640" s="0" t="s">
        <v>2052</v>
      </c>
      <c r="I6640" s="0" t="s">
        <v>2322</v>
      </c>
      <c r="J6640" s="0" t="s">
        <v>2367</v>
      </c>
      <c r="K6640" s="272" t="n">
        <v>252876.611388889</v>
      </c>
    </row>
    <row r="6641" customFormat="false" ht="15" hidden="false" customHeight="false" outlineLevel="0" collapsed="false">
      <c r="A6641" s="0" t="s">
        <v>2041</v>
      </c>
      <c r="B6641" s="0" t="s">
        <v>2042</v>
      </c>
      <c r="C6641" s="0" t="s">
        <v>2156</v>
      </c>
      <c r="D6641" s="0" t="s">
        <v>2044</v>
      </c>
      <c r="E6641" s="0" t="s">
        <v>2045</v>
      </c>
      <c r="F6641" s="0" t="s">
        <v>2046</v>
      </c>
      <c r="G6641" s="0" t="s">
        <v>2091</v>
      </c>
      <c r="H6641" s="0" t="s">
        <v>2048</v>
      </c>
      <c r="I6641" s="0" t="s">
        <v>2322</v>
      </c>
      <c r="J6641" s="0" t="s">
        <v>2367</v>
      </c>
      <c r="K6641" s="272" t="n">
        <v>1261136.8</v>
      </c>
    </row>
    <row r="6642" customFormat="false" ht="15" hidden="false" customHeight="false" outlineLevel="0" collapsed="false">
      <c r="A6642" s="0" t="s">
        <v>2041</v>
      </c>
      <c r="B6642" s="0" t="s">
        <v>2042</v>
      </c>
      <c r="C6642" s="0" t="s">
        <v>2161</v>
      </c>
      <c r="D6642" s="0" t="s">
        <v>2044</v>
      </c>
      <c r="E6642" s="0" t="s">
        <v>2045</v>
      </c>
      <c r="F6642" s="0" t="s">
        <v>2046</v>
      </c>
      <c r="G6642" s="0" t="s">
        <v>2091</v>
      </c>
      <c r="H6642" s="0" t="s">
        <v>2048</v>
      </c>
      <c r="I6642" s="0" t="s">
        <v>2322</v>
      </c>
      <c r="J6642" s="0" t="s">
        <v>2367</v>
      </c>
      <c r="K6642" s="272" t="n">
        <v>312363.08</v>
      </c>
    </row>
    <row r="6643" customFormat="false" ht="15" hidden="false" customHeight="false" outlineLevel="0" collapsed="false">
      <c r="A6643" s="0" t="s">
        <v>2041</v>
      </c>
      <c r="B6643" s="0" t="s">
        <v>2042</v>
      </c>
      <c r="C6643" s="0" t="s">
        <v>2156</v>
      </c>
      <c r="D6643" s="0" t="s">
        <v>2044</v>
      </c>
      <c r="E6643" s="0" t="s">
        <v>2045</v>
      </c>
      <c r="F6643" s="0" t="s">
        <v>2051</v>
      </c>
      <c r="G6643" s="0" t="s">
        <v>2091</v>
      </c>
      <c r="H6643" s="0" t="s">
        <v>2052</v>
      </c>
      <c r="I6643" s="0" t="s">
        <v>2322</v>
      </c>
      <c r="J6643" s="0" t="s">
        <v>2367</v>
      </c>
      <c r="K6643" s="272" t="n">
        <v>2405781.2</v>
      </c>
    </row>
    <row r="6644" customFormat="false" ht="15" hidden="false" customHeight="false" outlineLevel="0" collapsed="false">
      <c r="A6644" s="0" t="s">
        <v>2041</v>
      </c>
      <c r="B6644" s="0" t="s">
        <v>2042</v>
      </c>
      <c r="C6644" s="0" t="s">
        <v>2161</v>
      </c>
      <c r="D6644" s="0" t="s">
        <v>2044</v>
      </c>
      <c r="E6644" s="0" t="s">
        <v>2045</v>
      </c>
      <c r="F6644" s="0" t="s">
        <v>2051</v>
      </c>
      <c r="G6644" s="0" t="s">
        <v>2091</v>
      </c>
      <c r="H6644" s="0" t="s">
        <v>2052</v>
      </c>
      <c r="I6644" s="0" t="s">
        <v>2322</v>
      </c>
      <c r="J6644" s="0" t="s">
        <v>2367</v>
      </c>
      <c r="K6644" s="272" t="n">
        <v>566712.021587302</v>
      </c>
    </row>
    <row r="6645" customFormat="false" ht="15" hidden="false" customHeight="false" outlineLevel="0" collapsed="false">
      <c r="A6645" s="0" t="s">
        <v>2041</v>
      </c>
      <c r="B6645" s="0" t="s">
        <v>2042</v>
      </c>
      <c r="C6645" s="0" t="s">
        <v>2156</v>
      </c>
      <c r="D6645" s="0" t="s">
        <v>2044</v>
      </c>
      <c r="E6645" s="0" t="s">
        <v>2045</v>
      </c>
      <c r="F6645" s="0" t="s">
        <v>2046</v>
      </c>
      <c r="G6645" s="0" t="s">
        <v>2092</v>
      </c>
      <c r="H6645" s="0" t="s">
        <v>2048</v>
      </c>
      <c r="I6645" s="0" t="s">
        <v>2322</v>
      </c>
      <c r="J6645" s="0" t="s">
        <v>2367</v>
      </c>
      <c r="K6645" s="272" t="n">
        <v>568947.4</v>
      </c>
    </row>
    <row r="6646" customFormat="false" ht="15" hidden="false" customHeight="false" outlineLevel="0" collapsed="false">
      <c r="A6646" s="0" t="s">
        <v>2041</v>
      </c>
      <c r="B6646" s="0" t="s">
        <v>2042</v>
      </c>
      <c r="C6646" s="0" t="s">
        <v>2161</v>
      </c>
      <c r="D6646" s="0" t="s">
        <v>2044</v>
      </c>
      <c r="E6646" s="0" t="s">
        <v>2045</v>
      </c>
      <c r="F6646" s="0" t="s">
        <v>2046</v>
      </c>
      <c r="G6646" s="0" t="s">
        <v>2092</v>
      </c>
      <c r="H6646" s="0" t="s">
        <v>2048</v>
      </c>
      <c r="I6646" s="0" t="s">
        <v>2322</v>
      </c>
      <c r="J6646" s="0" t="s">
        <v>2367</v>
      </c>
      <c r="K6646" s="272" t="n">
        <v>171822.11</v>
      </c>
    </row>
    <row r="6647" customFormat="false" ht="15" hidden="false" customHeight="false" outlineLevel="0" collapsed="false">
      <c r="A6647" s="0" t="s">
        <v>2041</v>
      </c>
      <c r="B6647" s="0" t="s">
        <v>2042</v>
      </c>
      <c r="C6647" s="0" t="s">
        <v>2156</v>
      </c>
      <c r="D6647" s="0" t="s">
        <v>2044</v>
      </c>
      <c r="E6647" s="0" t="s">
        <v>2045</v>
      </c>
      <c r="F6647" s="0" t="s">
        <v>2051</v>
      </c>
      <c r="G6647" s="0" t="s">
        <v>2092</v>
      </c>
      <c r="H6647" s="0" t="s">
        <v>2052</v>
      </c>
      <c r="I6647" s="0" t="s">
        <v>2322</v>
      </c>
      <c r="J6647" s="0" t="s">
        <v>2367</v>
      </c>
      <c r="K6647" s="272" t="n">
        <v>29944.6</v>
      </c>
    </row>
    <row r="6648" customFormat="false" ht="15" hidden="false" customHeight="false" outlineLevel="0" collapsed="false">
      <c r="A6648" s="0" t="s">
        <v>2041</v>
      </c>
      <c r="B6648" s="0" t="s">
        <v>2042</v>
      </c>
      <c r="C6648" s="0" t="s">
        <v>2161</v>
      </c>
      <c r="D6648" s="0" t="s">
        <v>2044</v>
      </c>
      <c r="E6648" s="0" t="s">
        <v>2045</v>
      </c>
      <c r="F6648" s="0" t="s">
        <v>2051</v>
      </c>
      <c r="G6648" s="0" t="s">
        <v>2092</v>
      </c>
      <c r="H6648" s="0" t="s">
        <v>2052</v>
      </c>
      <c r="I6648" s="0" t="s">
        <v>2322</v>
      </c>
      <c r="J6648" s="0" t="s">
        <v>2367</v>
      </c>
      <c r="K6648" s="272" t="n">
        <v>9043.26894736842</v>
      </c>
    </row>
    <row r="6649" customFormat="false" ht="15" hidden="false" customHeight="false" outlineLevel="0" collapsed="false">
      <c r="A6649" s="0" t="s">
        <v>2041</v>
      </c>
      <c r="B6649" s="0" t="s">
        <v>2042</v>
      </c>
      <c r="C6649" s="0" t="s">
        <v>2156</v>
      </c>
      <c r="D6649" s="0" t="s">
        <v>2044</v>
      </c>
      <c r="E6649" s="0" t="s">
        <v>2045</v>
      </c>
      <c r="F6649" s="0" t="s">
        <v>2046</v>
      </c>
      <c r="G6649" s="0" t="s">
        <v>2093</v>
      </c>
      <c r="H6649" s="0" t="s">
        <v>2048</v>
      </c>
      <c r="I6649" s="0" t="s">
        <v>2322</v>
      </c>
      <c r="J6649" s="0" t="s">
        <v>2367</v>
      </c>
      <c r="K6649" s="272" t="n">
        <v>2097105.95</v>
      </c>
    </row>
    <row r="6650" customFormat="false" ht="15" hidden="false" customHeight="false" outlineLevel="0" collapsed="false">
      <c r="A6650" s="0" t="s">
        <v>2041</v>
      </c>
      <c r="B6650" s="0" t="s">
        <v>2042</v>
      </c>
      <c r="C6650" s="0" t="s">
        <v>2161</v>
      </c>
      <c r="D6650" s="0" t="s">
        <v>2044</v>
      </c>
      <c r="E6650" s="0" t="s">
        <v>2045</v>
      </c>
      <c r="F6650" s="0" t="s">
        <v>2046</v>
      </c>
      <c r="G6650" s="0" t="s">
        <v>2093</v>
      </c>
      <c r="H6650" s="0" t="s">
        <v>2048</v>
      </c>
      <c r="I6650" s="0" t="s">
        <v>2322</v>
      </c>
      <c r="J6650" s="0" t="s">
        <v>2367</v>
      </c>
      <c r="K6650" s="272" t="n">
        <v>633326.01</v>
      </c>
    </row>
    <row r="6651" customFormat="false" ht="15" hidden="false" customHeight="false" outlineLevel="0" collapsed="false">
      <c r="A6651" s="0" t="s">
        <v>2041</v>
      </c>
      <c r="B6651" s="0" t="s">
        <v>2042</v>
      </c>
      <c r="C6651" s="0" t="s">
        <v>2156</v>
      </c>
      <c r="D6651" s="0" t="s">
        <v>2044</v>
      </c>
      <c r="E6651" s="0" t="s">
        <v>2045</v>
      </c>
      <c r="F6651" s="0" t="s">
        <v>2051</v>
      </c>
      <c r="G6651" s="0" t="s">
        <v>2093</v>
      </c>
      <c r="H6651" s="0" t="s">
        <v>2052</v>
      </c>
      <c r="I6651" s="0" t="s">
        <v>2322</v>
      </c>
      <c r="J6651" s="0" t="s">
        <v>2367</v>
      </c>
      <c r="K6651" s="272" t="n">
        <v>192657.05</v>
      </c>
    </row>
    <row r="6652" customFormat="false" ht="15" hidden="false" customHeight="false" outlineLevel="0" collapsed="false">
      <c r="A6652" s="0" t="s">
        <v>2041</v>
      </c>
      <c r="B6652" s="0" t="s">
        <v>2042</v>
      </c>
      <c r="C6652" s="0" t="s">
        <v>2161</v>
      </c>
      <c r="D6652" s="0" t="s">
        <v>2044</v>
      </c>
      <c r="E6652" s="0" t="s">
        <v>2045</v>
      </c>
      <c r="F6652" s="0" t="s">
        <v>2051</v>
      </c>
      <c r="G6652" s="0" t="s">
        <v>2093</v>
      </c>
      <c r="H6652" s="0" t="s">
        <v>2052</v>
      </c>
      <c r="I6652" s="0" t="s">
        <v>2322</v>
      </c>
      <c r="J6652" s="0" t="s">
        <v>2367</v>
      </c>
      <c r="K6652" s="272" t="n">
        <v>58182.4294427245</v>
      </c>
    </row>
    <row r="6653" customFormat="false" ht="15" hidden="false" customHeight="false" outlineLevel="0" collapsed="false">
      <c r="A6653" s="0" t="s">
        <v>2041</v>
      </c>
      <c r="B6653" s="0" t="s">
        <v>2042</v>
      </c>
      <c r="C6653" s="0" t="s">
        <v>2156</v>
      </c>
      <c r="D6653" s="0" t="s">
        <v>2044</v>
      </c>
      <c r="E6653" s="0" t="s">
        <v>2045</v>
      </c>
      <c r="F6653" s="0" t="s">
        <v>2046</v>
      </c>
      <c r="G6653" s="0" t="s">
        <v>2094</v>
      </c>
      <c r="H6653" s="0" t="s">
        <v>2048</v>
      </c>
      <c r="I6653" s="0" t="s">
        <v>2322</v>
      </c>
      <c r="J6653" s="0" t="s">
        <v>2367</v>
      </c>
      <c r="K6653" s="272" t="n">
        <v>1541738.08</v>
      </c>
    </row>
    <row r="6654" customFormat="false" ht="15" hidden="false" customHeight="false" outlineLevel="0" collapsed="false">
      <c r="A6654" s="0" t="s">
        <v>2041</v>
      </c>
      <c r="B6654" s="0" t="s">
        <v>2042</v>
      </c>
      <c r="C6654" s="0" t="s">
        <v>2161</v>
      </c>
      <c r="D6654" s="0" t="s">
        <v>2044</v>
      </c>
      <c r="E6654" s="0" t="s">
        <v>2045</v>
      </c>
      <c r="F6654" s="0" t="s">
        <v>2046</v>
      </c>
      <c r="G6654" s="0" t="s">
        <v>2094</v>
      </c>
      <c r="H6654" s="0" t="s">
        <v>2048</v>
      </c>
      <c r="I6654" s="0" t="s">
        <v>2322</v>
      </c>
      <c r="J6654" s="0" t="s">
        <v>2367</v>
      </c>
      <c r="K6654" s="272" t="n">
        <v>438124.6</v>
      </c>
    </row>
    <row r="6655" customFormat="false" ht="15" hidden="false" customHeight="false" outlineLevel="0" collapsed="false">
      <c r="A6655" s="0" t="s">
        <v>2041</v>
      </c>
      <c r="B6655" s="0" t="s">
        <v>2042</v>
      </c>
      <c r="C6655" s="0" t="s">
        <v>2156</v>
      </c>
      <c r="D6655" s="0" t="s">
        <v>2044</v>
      </c>
      <c r="E6655" s="0" t="s">
        <v>2045</v>
      </c>
      <c r="F6655" s="0" t="s">
        <v>2051</v>
      </c>
      <c r="G6655" s="0" t="s">
        <v>2094</v>
      </c>
      <c r="H6655" s="0" t="s">
        <v>2052</v>
      </c>
      <c r="I6655" s="0" t="s">
        <v>2322</v>
      </c>
      <c r="J6655" s="0" t="s">
        <v>2367</v>
      </c>
      <c r="K6655" s="272" t="n">
        <v>1596814.92</v>
      </c>
    </row>
    <row r="6656" customFormat="false" ht="15" hidden="false" customHeight="false" outlineLevel="0" collapsed="false">
      <c r="A6656" s="0" t="s">
        <v>2041</v>
      </c>
      <c r="B6656" s="0" t="s">
        <v>2042</v>
      </c>
      <c r="C6656" s="0" t="s">
        <v>2161</v>
      </c>
      <c r="D6656" s="0" t="s">
        <v>2044</v>
      </c>
      <c r="E6656" s="0" t="s">
        <v>2045</v>
      </c>
      <c r="F6656" s="0" t="s">
        <v>2051</v>
      </c>
      <c r="G6656" s="0" t="s">
        <v>2094</v>
      </c>
      <c r="H6656" s="0" t="s">
        <v>2052</v>
      </c>
      <c r="I6656" s="0" t="s">
        <v>2322</v>
      </c>
      <c r="J6656" s="0" t="s">
        <v>2367</v>
      </c>
      <c r="K6656" s="272" t="n">
        <v>444289.114761905</v>
      </c>
    </row>
    <row r="6657" customFormat="false" ht="15" hidden="false" customHeight="false" outlineLevel="0" collapsed="false">
      <c r="A6657" s="0" t="s">
        <v>2041</v>
      </c>
      <c r="B6657" s="0" t="s">
        <v>2042</v>
      </c>
      <c r="C6657" s="0" t="s">
        <v>2156</v>
      </c>
      <c r="D6657" s="0" t="s">
        <v>2044</v>
      </c>
      <c r="E6657" s="0" t="s">
        <v>2045</v>
      </c>
      <c r="F6657" s="0" t="s">
        <v>2046</v>
      </c>
      <c r="G6657" s="0" t="s">
        <v>2095</v>
      </c>
      <c r="H6657" s="0" t="s">
        <v>2048</v>
      </c>
      <c r="I6657" s="0" t="s">
        <v>2322</v>
      </c>
      <c r="J6657" s="0" t="s">
        <v>2367</v>
      </c>
      <c r="K6657" s="272" t="n">
        <v>1580385.775</v>
      </c>
    </row>
    <row r="6658" customFormat="false" ht="15" hidden="false" customHeight="false" outlineLevel="0" collapsed="false">
      <c r="A6658" s="0" t="s">
        <v>2041</v>
      </c>
      <c r="B6658" s="0" t="s">
        <v>2042</v>
      </c>
      <c r="C6658" s="0" t="s">
        <v>2161</v>
      </c>
      <c r="D6658" s="0" t="s">
        <v>2044</v>
      </c>
      <c r="E6658" s="0" t="s">
        <v>2045</v>
      </c>
      <c r="F6658" s="0" t="s">
        <v>2046</v>
      </c>
      <c r="G6658" s="0" t="s">
        <v>2095</v>
      </c>
      <c r="H6658" s="0" t="s">
        <v>2048</v>
      </c>
      <c r="I6658" s="0" t="s">
        <v>2322</v>
      </c>
      <c r="J6658" s="0" t="s">
        <v>2367</v>
      </c>
      <c r="K6658" s="272" t="n">
        <v>477276.51849</v>
      </c>
    </row>
    <row r="6659" customFormat="false" ht="15" hidden="false" customHeight="false" outlineLevel="0" collapsed="false">
      <c r="A6659" s="0" t="s">
        <v>2041</v>
      </c>
      <c r="B6659" s="0" t="s">
        <v>2042</v>
      </c>
      <c r="C6659" s="0" t="s">
        <v>2156</v>
      </c>
      <c r="D6659" s="0" t="s">
        <v>2044</v>
      </c>
      <c r="E6659" s="0" t="s">
        <v>2045</v>
      </c>
      <c r="F6659" s="0" t="s">
        <v>2051</v>
      </c>
      <c r="G6659" s="0" t="s">
        <v>2095</v>
      </c>
      <c r="H6659" s="0" t="s">
        <v>2052</v>
      </c>
      <c r="I6659" s="0" t="s">
        <v>2322</v>
      </c>
      <c r="J6659" s="0" t="s">
        <v>2367</v>
      </c>
      <c r="K6659" s="272" t="n">
        <v>1005128.175</v>
      </c>
    </row>
    <row r="6660" customFormat="false" ht="15" hidden="false" customHeight="false" outlineLevel="0" collapsed="false">
      <c r="A6660" s="0" t="s">
        <v>2041</v>
      </c>
      <c r="B6660" s="0" t="s">
        <v>2042</v>
      </c>
      <c r="C6660" s="0" t="s">
        <v>2161</v>
      </c>
      <c r="D6660" s="0" t="s">
        <v>2044</v>
      </c>
      <c r="E6660" s="0" t="s">
        <v>2045</v>
      </c>
      <c r="F6660" s="0" t="s">
        <v>2051</v>
      </c>
      <c r="G6660" s="0" t="s">
        <v>2095</v>
      </c>
      <c r="H6660" s="0" t="s">
        <v>2052</v>
      </c>
      <c r="I6660" s="0" t="s">
        <v>2322</v>
      </c>
      <c r="J6660" s="0" t="s">
        <v>2367</v>
      </c>
      <c r="K6660" s="272" t="n">
        <v>303548.71849</v>
      </c>
    </row>
    <row r="6661" customFormat="false" ht="15" hidden="false" customHeight="false" outlineLevel="0" collapsed="false">
      <c r="A6661" s="0" t="s">
        <v>2041</v>
      </c>
      <c r="B6661" s="0" t="s">
        <v>2042</v>
      </c>
      <c r="C6661" s="0" t="s">
        <v>2156</v>
      </c>
      <c r="D6661" s="0" t="s">
        <v>2044</v>
      </c>
      <c r="E6661" s="0" t="s">
        <v>2045</v>
      </c>
      <c r="F6661" s="0" t="s">
        <v>2046</v>
      </c>
      <c r="G6661" s="0" t="s">
        <v>2096</v>
      </c>
      <c r="H6661" s="0" t="s">
        <v>2048</v>
      </c>
      <c r="I6661" s="0" t="s">
        <v>2097</v>
      </c>
      <c r="J6661" s="0" t="s">
        <v>2367</v>
      </c>
      <c r="K6661" s="272" t="n">
        <v>405279</v>
      </c>
    </row>
    <row r="6662" customFormat="false" ht="15" hidden="false" customHeight="false" outlineLevel="0" collapsed="false">
      <c r="A6662" s="0" t="s">
        <v>2041</v>
      </c>
      <c r="B6662" s="0" t="s">
        <v>2042</v>
      </c>
      <c r="C6662" s="0" t="s">
        <v>2161</v>
      </c>
      <c r="D6662" s="0" t="s">
        <v>2044</v>
      </c>
      <c r="E6662" s="0" t="s">
        <v>2045</v>
      </c>
      <c r="F6662" s="0" t="s">
        <v>2046</v>
      </c>
      <c r="G6662" s="0" t="s">
        <v>2096</v>
      </c>
      <c r="H6662" s="0" t="s">
        <v>2048</v>
      </c>
      <c r="I6662" s="0" t="s">
        <v>2097</v>
      </c>
      <c r="J6662" s="0" t="s">
        <v>2367</v>
      </c>
      <c r="K6662" s="272" t="n">
        <v>31611.78</v>
      </c>
    </row>
    <row r="6663" customFormat="false" ht="15" hidden="false" customHeight="false" outlineLevel="0" collapsed="false">
      <c r="A6663" s="0" t="s">
        <v>2041</v>
      </c>
      <c r="B6663" s="0" t="s">
        <v>2042</v>
      </c>
      <c r="C6663" s="0" t="s">
        <v>2156</v>
      </c>
      <c r="D6663" s="0" t="s">
        <v>2044</v>
      </c>
      <c r="E6663" s="0" t="s">
        <v>2045</v>
      </c>
      <c r="F6663" s="0" t="s">
        <v>2051</v>
      </c>
      <c r="G6663" s="0" t="s">
        <v>2096</v>
      </c>
      <c r="H6663" s="0" t="s">
        <v>2052</v>
      </c>
      <c r="I6663" s="0" t="s">
        <v>2097</v>
      </c>
      <c r="J6663" s="0" t="s">
        <v>2367</v>
      </c>
      <c r="K6663" s="272" t="n">
        <v>405279</v>
      </c>
    </row>
    <row r="6664" customFormat="false" ht="15" hidden="false" customHeight="false" outlineLevel="0" collapsed="false">
      <c r="A6664" s="0" t="s">
        <v>2041</v>
      </c>
      <c r="B6664" s="0" t="s">
        <v>2042</v>
      </c>
      <c r="C6664" s="0" t="s">
        <v>2161</v>
      </c>
      <c r="D6664" s="0" t="s">
        <v>2044</v>
      </c>
      <c r="E6664" s="0" t="s">
        <v>2045</v>
      </c>
      <c r="F6664" s="0" t="s">
        <v>2051</v>
      </c>
      <c r="G6664" s="0" t="s">
        <v>2096</v>
      </c>
      <c r="H6664" s="0" t="s">
        <v>2052</v>
      </c>
      <c r="I6664" s="0" t="s">
        <v>2097</v>
      </c>
      <c r="J6664" s="0" t="s">
        <v>2367</v>
      </c>
      <c r="K6664" s="272" t="n">
        <v>31611.78</v>
      </c>
    </row>
    <row r="6665" customFormat="false" ht="15" hidden="false" customHeight="false" outlineLevel="0" collapsed="false">
      <c r="A6665" s="0" t="s">
        <v>2041</v>
      </c>
      <c r="B6665" s="0" t="s">
        <v>2042</v>
      </c>
      <c r="C6665" s="0" t="s">
        <v>2156</v>
      </c>
      <c r="D6665" s="0" t="s">
        <v>2044</v>
      </c>
      <c r="E6665" s="0" t="s">
        <v>2045</v>
      </c>
      <c r="F6665" s="0" t="s">
        <v>2046</v>
      </c>
      <c r="G6665" s="0" t="s">
        <v>2098</v>
      </c>
      <c r="H6665" s="0" t="s">
        <v>2048</v>
      </c>
      <c r="I6665" s="0" t="s">
        <v>2322</v>
      </c>
      <c r="J6665" s="0" t="s">
        <v>2367</v>
      </c>
      <c r="K6665" s="272" t="n">
        <v>407022.42</v>
      </c>
    </row>
    <row r="6666" customFormat="false" ht="15" hidden="false" customHeight="false" outlineLevel="0" collapsed="false">
      <c r="A6666" s="0" t="s">
        <v>2041</v>
      </c>
      <c r="B6666" s="0" t="s">
        <v>2042</v>
      </c>
      <c r="C6666" s="0" t="s">
        <v>2161</v>
      </c>
      <c r="D6666" s="0" t="s">
        <v>2044</v>
      </c>
      <c r="E6666" s="0" t="s">
        <v>2045</v>
      </c>
      <c r="F6666" s="0" t="s">
        <v>2046</v>
      </c>
      <c r="G6666" s="0" t="s">
        <v>2098</v>
      </c>
      <c r="H6666" s="0" t="s">
        <v>2048</v>
      </c>
      <c r="I6666" s="0" t="s">
        <v>2322</v>
      </c>
      <c r="J6666" s="0" t="s">
        <v>2367</v>
      </c>
      <c r="K6666" s="272" t="n">
        <v>122920.77</v>
      </c>
    </row>
    <row r="6667" customFormat="false" ht="15" hidden="false" customHeight="false" outlineLevel="0" collapsed="false">
      <c r="A6667" s="0" t="s">
        <v>2041</v>
      </c>
      <c r="B6667" s="0" t="s">
        <v>2042</v>
      </c>
      <c r="C6667" s="0" t="s">
        <v>2156</v>
      </c>
      <c r="D6667" s="0" t="s">
        <v>2044</v>
      </c>
      <c r="E6667" s="0" t="s">
        <v>2045</v>
      </c>
      <c r="F6667" s="0" t="s">
        <v>2051</v>
      </c>
      <c r="G6667" s="0" t="s">
        <v>2098</v>
      </c>
      <c r="H6667" s="0" t="s">
        <v>2052</v>
      </c>
      <c r="I6667" s="0" t="s">
        <v>2322</v>
      </c>
      <c r="J6667" s="0" t="s">
        <v>2367</v>
      </c>
      <c r="K6667" s="272" t="n">
        <v>8306.58</v>
      </c>
    </row>
    <row r="6668" customFormat="false" ht="15" hidden="false" customHeight="false" outlineLevel="0" collapsed="false">
      <c r="A6668" s="0" t="s">
        <v>2041</v>
      </c>
      <c r="B6668" s="0" t="s">
        <v>2042</v>
      </c>
      <c r="C6668" s="0" t="s">
        <v>2161</v>
      </c>
      <c r="D6668" s="0" t="s">
        <v>2044</v>
      </c>
      <c r="E6668" s="0" t="s">
        <v>2045</v>
      </c>
      <c r="F6668" s="0" t="s">
        <v>2051</v>
      </c>
      <c r="G6668" s="0" t="s">
        <v>2098</v>
      </c>
      <c r="H6668" s="0" t="s">
        <v>2052</v>
      </c>
      <c r="I6668" s="0" t="s">
        <v>2322</v>
      </c>
      <c r="J6668" s="0" t="s">
        <v>2367</v>
      </c>
      <c r="K6668" s="272" t="n">
        <v>2508.58714285714</v>
      </c>
    </row>
    <row r="6669" customFormat="false" ht="15" hidden="false" customHeight="false" outlineLevel="0" collapsed="false">
      <c r="A6669" s="0" t="s">
        <v>2041</v>
      </c>
      <c r="B6669" s="0" t="s">
        <v>2042</v>
      </c>
      <c r="C6669" s="0" t="s">
        <v>2156</v>
      </c>
      <c r="D6669" s="0" t="s">
        <v>2044</v>
      </c>
      <c r="E6669" s="0" t="s">
        <v>2045</v>
      </c>
      <c r="F6669" s="0" t="s">
        <v>2099</v>
      </c>
      <c r="G6669" s="0" t="s">
        <v>2064</v>
      </c>
      <c r="H6669" s="0" t="s">
        <v>2100</v>
      </c>
      <c r="I6669" s="0" t="s">
        <v>2322</v>
      </c>
      <c r="J6669" s="0" t="s">
        <v>2367</v>
      </c>
      <c r="K6669" s="272" t="n">
        <v>665275</v>
      </c>
    </row>
    <row r="6670" customFormat="false" ht="15" hidden="false" customHeight="false" outlineLevel="0" collapsed="false">
      <c r="A6670" s="0" t="s">
        <v>2041</v>
      </c>
      <c r="B6670" s="0" t="s">
        <v>2042</v>
      </c>
      <c r="C6670" s="0" t="s">
        <v>2161</v>
      </c>
      <c r="D6670" s="0" t="s">
        <v>2044</v>
      </c>
      <c r="E6670" s="0" t="s">
        <v>2045</v>
      </c>
      <c r="F6670" s="0" t="s">
        <v>2099</v>
      </c>
      <c r="G6670" s="0" t="s">
        <v>2064</v>
      </c>
      <c r="H6670" s="0" t="s">
        <v>2100</v>
      </c>
      <c r="I6670" s="0" t="s">
        <v>2322</v>
      </c>
      <c r="J6670" s="0" t="s">
        <v>2367</v>
      </c>
      <c r="K6670" s="272" t="n">
        <v>200913.06</v>
      </c>
    </row>
    <row r="6671" customFormat="false" ht="15" hidden="false" customHeight="false" outlineLevel="0" collapsed="false">
      <c r="A6671" s="0" t="s">
        <v>2041</v>
      </c>
      <c r="B6671" s="0" t="s">
        <v>2042</v>
      </c>
      <c r="C6671" s="0" t="s">
        <v>2156</v>
      </c>
      <c r="D6671" s="0" t="s">
        <v>2044</v>
      </c>
      <c r="E6671" s="0" t="s">
        <v>2045</v>
      </c>
      <c r="F6671" s="0" t="s">
        <v>2099</v>
      </c>
      <c r="G6671" s="0" t="s">
        <v>2076</v>
      </c>
      <c r="H6671" s="0" t="s">
        <v>2100</v>
      </c>
      <c r="I6671" s="0" t="s">
        <v>2322</v>
      </c>
      <c r="J6671" s="0" t="s">
        <v>2367</v>
      </c>
      <c r="K6671" s="272" t="n">
        <v>542839</v>
      </c>
    </row>
    <row r="6672" customFormat="false" ht="15" hidden="false" customHeight="false" outlineLevel="0" collapsed="false">
      <c r="A6672" s="0" t="s">
        <v>2041</v>
      </c>
      <c r="B6672" s="0" t="s">
        <v>2042</v>
      </c>
      <c r="C6672" s="0" t="s">
        <v>2161</v>
      </c>
      <c r="D6672" s="0" t="s">
        <v>2044</v>
      </c>
      <c r="E6672" s="0" t="s">
        <v>2045</v>
      </c>
      <c r="F6672" s="0" t="s">
        <v>2099</v>
      </c>
      <c r="G6672" s="0" t="s">
        <v>2076</v>
      </c>
      <c r="H6672" s="0" t="s">
        <v>2100</v>
      </c>
      <c r="I6672" s="0" t="s">
        <v>2322</v>
      </c>
      <c r="J6672" s="0" t="s">
        <v>2367</v>
      </c>
      <c r="K6672" s="272" t="n">
        <v>163937.38</v>
      </c>
    </row>
    <row r="6673" customFormat="false" ht="15" hidden="false" customHeight="false" outlineLevel="0" collapsed="false">
      <c r="A6673" s="0" t="s">
        <v>2041</v>
      </c>
      <c r="B6673" s="0" t="s">
        <v>2042</v>
      </c>
      <c r="C6673" s="0" t="s">
        <v>2156</v>
      </c>
      <c r="D6673" s="0" t="s">
        <v>2044</v>
      </c>
      <c r="E6673" s="0" t="s">
        <v>2045</v>
      </c>
      <c r="F6673" s="0" t="s">
        <v>2099</v>
      </c>
      <c r="G6673" s="0" t="s">
        <v>2081</v>
      </c>
      <c r="H6673" s="0" t="s">
        <v>2100</v>
      </c>
      <c r="I6673" s="0" t="s">
        <v>2322</v>
      </c>
      <c r="J6673" s="0" t="s">
        <v>2367</v>
      </c>
      <c r="K6673" s="272" t="n">
        <v>909158</v>
      </c>
    </row>
    <row r="6674" customFormat="false" ht="15" hidden="false" customHeight="false" outlineLevel="0" collapsed="false">
      <c r="A6674" s="0" t="s">
        <v>2041</v>
      </c>
      <c r="B6674" s="0" t="s">
        <v>2042</v>
      </c>
      <c r="C6674" s="0" t="s">
        <v>2161</v>
      </c>
      <c r="D6674" s="0" t="s">
        <v>2044</v>
      </c>
      <c r="E6674" s="0" t="s">
        <v>2045</v>
      </c>
      <c r="F6674" s="0" t="s">
        <v>2099</v>
      </c>
      <c r="G6674" s="0" t="s">
        <v>2081</v>
      </c>
      <c r="H6674" s="0" t="s">
        <v>2100</v>
      </c>
      <c r="I6674" s="0" t="s">
        <v>2322</v>
      </c>
      <c r="J6674" s="0" t="s">
        <v>2367</v>
      </c>
      <c r="K6674" s="272" t="n">
        <v>274565.73</v>
      </c>
    </row>
    <row r="6675" customFormat="false" ht="15" hidden="false" customHeight="false" outlineLevel="0" collapsed="false">
      <c r="A6675" s="0" t="s">
        <v>2041</v>
      </c>
      <c r="B6675" s="0" t="s">
        <v>2042</v>
      </c>
      <c r="C6675" s="0" t="s">
        <v>2156</v>
      </c>
      <c r="D6675" s="0" t="s">
        <v>2044</v>
      </c>
      <c r="E6675" s="0" t="s">
        <v>2045</v>
      </c>
      <c r="F6675" s="0" t="s">
        <v>2099</v>
      </c>
      <c r="G6675" s="0" t="s">
        <v>2085</v>
      </c>
      <c r="H6675" s="0" t="s">
        <v>2100</v>
      </c>
      <c r="I6675" s="0" t="s">
        <v>2322</v>
      </c>
      <c r="J6675" s="0" t="s">
        <v>2367</v>
      </c>
      <c r="K6675" s="272" t="n">
        <v>393172.8</v>
      </c>
    </row>
    <row r="6676" customFormat="false" ht="15" hidden="false" customHeight="false" outlineLevel="0" collapsed="false">
      <c r="A6676" s="0" t="s">
        <v>2041</v>
      </c>
      <c r="B6676" s="0" t="s">
        <v>2042</v>
      </c>
      <c r="C6676" s="0" t="s">
        <v>2161</v>
      </c>
      <c r="D6676" s="0" t="s">
        <v>2044</v>
      </c>
      <c r="E6676" s="0" t="s">
        <v>2045</v>
      </c>
      <c r="F6676" s="0" t="s">
        <v>2099</v>
      </c>
      <c r="G6676" s="0" t="s">
        <v>2085</v>
      </c>
      <c r="H6676" s="0" t="s">
        <v>2100</v>
      </c>
      <c r="I6676" s="0" t="s">
        <v>2322</v>
      </c>
      <c r="J6676" s="0" t="s">
        <v>2367</v>
      </c>
      <c r="K6676" s="272" t="n">
        <v>118738.19</v>
      </c>
    </row>
    <row r="6677" customFormat="false" ht="15" hidden="false" customHeight="false" outlineLevel="0" collapsed="false">
      <c r="A6677" s="0" t="s">
        <v>2041</v>
      </c>
      <c r="B6677" s="0" t="s">
        <v>2042</v>
      </c>
      <c r="C6677" s="0" t="s">
        <v>2156</v>
      </c>
      <c r="D6677" s="0" t="s">
        <v>2044</v>
      </c>
      <c r="E6677" s="0" t="s">
        <v>2045</v>
      </c>
      <c r="F6677" s="0" t="s">
        <v>2099</v>
      </c>
      <c r="G6677" s="0" t="s">
        <v>2086</v>
      </c>
      <c r="H6677" s="0" t="s">
        <v>2100</v>
      </c>
      <c r="I6677" s="0" t="s">
        <v>2322</v>
      </c>
      <c r="J6677" s="0" t="s">
        <v>2367</v>
      </c>
      <c r="K6677" s="272" t="n">
        <v>409784.1</v>
      </c>
    </row>
    <row r="6678" customFormat="false" ht="15" hidden="false" customHeight="false" outlineLevel="0" collapsed="false">
      <c r="A6678" s="0" t="s">
        <v>2041</v>
      </c>
      <c r="B6678" s="0" t="s">
        <v>2042</v>
      </c>
      <c r="C6678" s="0" t="s">
        <v>2161</v>
      </c>
      <c r="D6678" s="0" t="s">
        <v>2044</v>
      </c>
      <c r="E6678" s="0" t="s">
        <v>2045</v>
      </c>
      <c r="F6678" s="0" t="s">
        <v>2099</v>
      </c>
      <c r="G6678" s="0" t="s">
        <v>2086</v>
      </c>
      <c r="H6678" s="0" t="s">
        <v>2100</v>
      </c>
      <c r="I6678" s="0" t="s">
        <v>2322</v>
      </c>
      <c r="J6678" s="0" t="s">
        <v>2367</v>
      </c>
      <c r="K6678" s="272" t="n">
        <v>123754.79</v>
      </c>
    </row>
    <row r="6679" customFormat="false" ht="15" hidden="false" customHeight="false" outlineLevel="0" collapsed="false">
      <c r="A6679" s="0" t="s">
        <v>2041</v>
      </c>
      <c r="B6679" s="0" t="s">
        <v>2042</v>
      </c>
      <c r="C6679" s="0" t="s">
        <v>2156</v>
      </c>
      <c r="D6679" s="0" t="s">
        <v>2044</v>
      </c>
      <c r="E6679" s="0" t="s">
        <v>2045</v>
      </c>
      <c r="F6679" s="0" t="s">
        <v>2099</v>
      </c>
      <c r="G6679" s="0" t="s">
        <v>2095</v>
      </c>
      <c r="H6679" s="0" t="s">
        <v>2100</v>
      </c>
      <c r="I6679" s="0" t="s">
        <v>2322</v>
      </c>
      <c r="J6679" s="0" t="s">
        <v>2367</v>
      </c>
      <c r="K6679" s="272" t="n">
        <v>377579.5</v>
      </c>
    </row>
    <row r="6680" customFormat="false" ht="15" hidden="false" customHeight="false" outlineLevel="0" collapsed="false">
      <c r="A6680" s="0" t="s">
        <v>2041</v>
      </c>
      <c r="B6680" s="0" t="s">
        <v>2042</v>
      </c>
      <c r="C6680" s="0" t="s">
        <v>2161</v>
      </c>
      <c r="D6680" s="0" t="s">
        <v>2044</v>
      </c>
      <c r="E6680" s="0" t="s">
        <v>2045</v>
      </c>
      <c r="F6680" s="0" t="s">
        <v>2099</v>
      </c>
      <c r="G6680" s="0" t="s">
        <v>2095</v>
      </c>
      <c r="H6680" s="0" t="s">
        <v>2100</v>
      </c>
      <c r="I6680" s="0" t="s">
        <v>2322</v>
      </c>
      <c r="J6680" s="0" t="s">
        <v>2367</v>
      </c>
      <c r="K6680" s="272" t="n">
        <v>114029.01</v>
      </c>
    </row>
    <row r="6681" customFormat="false" ht="15" hidden="false" customHeight="false" outlineLevel="0" collapsed="false">
      <c r="A6681" s="0" t="s">
        <v>2041</v>
      </c>
      <c r="B6681" s="0" t="s">
        <v>2042</v>
      </c>
      <c r="C6681" s="0" t="s">
        <v>2156</v>
      </c>
      <c r="D6681" s="0" t="s">
        <v>2044</v>
      </c>
      <c r="E6681" s="0" t="s">
        <v>2045</v>
      </c>
      <c r="F6681" s="0" t="s">
        <v>2099</v>
      </c>
      <c r="G6681" s="0" t="s">
        <v>2096</v>
      </c>
      <c r="H6681" s="0" t="s">
        <v>2100</v>
      </c>
      <c r="I6681" s="0" t="s">
        <v>2101</v>
      </c>
      <c r="J6681" s="0" t="s">
        <v>2367</v>
      </c>
      <c r="K6681" s="272" t="n">
        <v>335161</v>
      </c>
    </row>
    <row r="6682" customFormat="false" ht="15" hidden="false" customHeight="false" outlineLevel="0" collapsed="false">
      <c r="A6682" s="0" t="s">
        <v>2041</v>
      </c>
      <c r="B6682" s="0" t="s">
        <v>2042</v>
      </c>
      <c r="C6682" s="0" t="s">
        <v>2161</v>
      </c>
      <c r="D6682" s="0" t="s">
        <v>2044</v>
      </c>
      <c r="E6682" s="0" t="s">
        <v>2045</v>
      </c>
      <c r="F6682" s="0" t="s">
        <v>2099</v>
      </c>
      <c r="G6682" s="0" t="s">
        <v>2096</v>
      </c>
      <c r="H6682" s="0" t="s">
        <v>2100</v>
      </c>
      <c r="I6682" s="0" t="s">
        <v>2101</v>
      </c>
      <c r="J6682" s="0" t="s">
        <v>2367</v>
      </c>
      <c r="K6682" s="272" t="n">
        <v>101218.62</v>
      </c>
    </row>
    <row r="6683" customFormat="false" ht="15" hidden="false" customHeight="false" outlineLevel="0" collapsed="false">
      <c r="A6683" s="0" t="s">
        <v>2041</v>
      </c>
      <c r="B6683" s="0" t="s">
        <v>2042</v>
      </c>
      <c r="C6683" s="0" t="s">
        <v>2156</v>
      </c>
      <c r="D6683" s="0" t="s">
        <v>2105</v>
      </c>
      <c r="E6683" s="0" t="s">
        <v>2045</v>
      </c>
      <c r="F6683" s="0" t="s">
        <v>2157</v>
      </c>
      <c r="G6683" s="0" t="s">
        <v>2158</v>
      </c>
      <c r="H6683" s="0" t="s">
        <v>2159</v>
      </c>
      <c r="I6683" s="0" t="s">
        <v>2124</v>
      </c>
      <c r="J6683" s="0" t="s">
        <v>2368</v>
      </c>
      <c r="K6683" s="272" t="n">
        <v>-3000000</v>
      </c>
    </row>
    <row r="6684" customFormat="false" ht="15" hidden="false" customHeight="false" outlineLevel="0" collapsed="false">
      <c r="A6684" s="0" t="s">
        <v>2041</v>
      </c>
      <c r="B6684" s="0" t="s">
        <v>2042</v>
      </c>
      <c r="C6684" s="0" t="s">
        <v>2161</v>
      </c>
      <c r="D6684" s="0" t="s">
        <v>2105</v>
      </c>
      <c r="E6684" s="0" t="s">
        <v>2045</v>
      </c>
      <c r="F6684" s="0" t="s">
        <v>2157</v>
      </c>
      <c r="G6684" s="0" t="s">
        <v>2158</v>
      </c>
      <c r="H6684" s="0" t="s">
        <v>2159</v>
      </c>
      <c r="I6684" s="0" t="s">
        <v>2124</v>
      </c>
      <c r="J6684" s="0" t="s">
        <v>2368</v>
      </c>
      <c r="K6684" s="272" t="n">
        <v>-782657.98</v>
      </c>
    </row>
    <row r="6685" customFormat="false" ht="15" hidden="false" customHeight="false" outlineLevel="0" collapsed="false">
      <c r="A6685" s="0" t="s">
        <v>2041</v>
      </c>
      <c r="B6685" s="0" t="s">
        <v>2042</v>
      </c>
      <c r="C6685" s="0" t="s">
        <v>2156</v>
      </c>
      <c r="D6685" s="0" t="s">
        <v>2105</v>
      </c>
      <c r="E6685" s="0" t="s">
        <v>2045</v>
      </c>
      <c r="F6685" s="0" t="s">
        <v>2157</v>
      </c>
      <c r="G6685" s="0" t="s">
        <v>2158</v>
      </c>
      <c r="H6685" s="0" t="s">
        <v>2159</v>
      </c>
      <c r="I6685" s="0" t="s">
        <v>2322</v>
      </c>
      <c r="J6685" s="0" t="s">
        <v>2368</v>
      </c>
      <c r="K6685" s="272" t="n">
        <v>-184270604</v>
      </c>
    </row>
    <row r="6686" customFormat="false" ht="15" hidden="false" customHeight="false" outlineLevel="0" collapsed="false">
      <c r="A6686" s="0" t="s">
        <v>2041</v>
      </c>
      <c r="B6686" s="0" t="s">
        <v>2042</v>
      </c>
      <c r="C6686" s="0" t="s">
        <v>2161</v>
      </c>
      <c r="D6686" s="0" t="s">
        <v>2105</v>
      </c>
      <c r="E6686" s="0" t="s">
        <v>2045</v>
      </c>
      <c r="F6686" s="0" t="s">
        <v>2157</v>
      </c>
      <c r="G6686" s="0" t="s">
        <v>2158</v>
      </c>
      <c r="H6686" s="0" t="s">
        <v>2159</v>
      </c>
      <c r="I6686" s="0" t="s">
        <v>2322</v>
      </c>
      <c r="J6686" s="0" t="s">
        <v>2368</v>
      </c>
      <c r="K6686" s="272" t="n">
        <v>-29289842.54</v>
      </c>
    </row>
    <row r="6687" customFormat="false" ht="15" hidden="false" customHeight="false" outlineLevel="0" collapsed="false">
      <c r="A6687" s="0" t="s">
        <v>2041</v>
      </c>
      <c r="B6687" s="0" t="s">
        <v>2042</v>
      </c>
      <c r="C6687" s="0" t="s">
        <v>2156</v>
      </c>
      <c r="D6687" s="0" t="s">
        <v>2105</v>
      </c>
      <c r="E6687" s="0" t="s">
        <v>2045</v>
      </c>
      <c r="F6687" s="0" t="s">
        <v>2157</v>
      </c>
      <c r="G6687" s="0" t="s">
        <v>2158</v>
      </c>
      <c r="H6687" s="0" t="s">
        <v>2162</v>
      </c>
      <c r="I6687" s="0" t="s">
        <v>2322</v>
      </c>
      <c r="J6687" s="0" t="s">
        <v>2368</v>
      </c>
      <c r="K6687" s="272" t="n">
        <v>-625000</v>
      </c>
    </row>
    <row r="6688" customFormat="false" ht="15" hidden="false" customHeight="false" outlineLevel="0" collapsed="false">
      <c r="A6688" s="0" t="s">
        <v>2041</v>
      </c>
      <c r="B6688" s="0" t="s">
        <v>2042</v>
      </c>
      <c r="C6688" s="0" t="s">
        <v>2161</v>
      </c>
      <c r="D6688" s="0" t="s">
        <v>2105</v>
      </c>
      <c r="E6688" s="0" t="s">
        <v>2045</v>
      </c>
      <c r="F6688" s="0" t="s">
        <v>2157</v>
      </c>
      <c r="G6688" s="0" t="s">
        <v>2158</v>
      </c>
      <c r="H6688" s="0" t="s">
        <v>2162</v>
      </c>
      <c r="I6688" s="0" t="s">
        <v>2322</v>
      </c>
      <c r="J6688" s="0" t="s">
        <v>2368</v>
      </c>
      <c r="K6688" s="272" t="n">
        <v>-188750</v>
      </c>
    </row>
    <row r="6689" customFormat="false" ht="15" hidden="false" customHeight="false" outlineLevel="0" collapsed="false">
      <c r="A6689" s="0" t="s">
        <v>2041</v>
      </c>
      <c r="B6689" s="0" t="s">
        <v>2042</v>
      </c>
      <c r="C6689" s="0" t="s">
        <v>2156</v>
      </c>
      <c r="D6689" s="0" t="s">
        <v>2105</v>
      </c>
      <c r="E6689" s="0" t="s">
        <v>2045</v>
      </c>
      <c r="F6689" s="0" t="s">
        <v>2157</v>
      </c>
      <c r="G6689" s="0" t="s">
        <v>2158</v>
      </c>
      <c r="H6689" s="0" t="s">
        <v>2126</v>
      </c>
      <c r="I6689" s="0" t="s">
        <v>2322</v>
      </c>
      <c r="J6689" s="0" t="s">
        <v>2368</v>
      </c>
      <c r="K6689" s="272" t="n">
        <v>-1325000</v>
      </c>
    </row>
    <row r="6690" customFormat="false" ht="15" hidden="false" customHeight="false" outlineLevel="0" collapsed="false">
      <c r="A6690" s="0" t="s">
        <v>2041</v>
      </c>
      <c r="B6690" s="0" t="s">
        <v>2042</v>
      </c>
      <c r="C6690" s="0" t="s">
        <v>2161</v>
      </c>
      <c r="D6690" s="0" t="s">
        <v>2105</v>
      </c>
      <c r="E6690" s="0" t="s">
        <v>2045</v>
      </c>
      <c r="F6690" s="0" t="s">
        <v>2157</v>
      </c>
      <c r="G6690" s="0" t="s">
        <v>2158</v>
      </c>
      <c r="H6690" s="0" t="s">
        <v>2126</v>
      </c>
      <c r="I6690" s="0" t="s">
        <v>2322</v>
      </c>
      <c r="J6690" s="0" t="s">
        <v>2368</v>
      </c>
      <c r="K6690" s="272" t="n">
        <v>-400150</v>
      </c>
    </row>
    <row r="6691" customFormat="false" ht="15" hidden="false" customHeight="false" outlineLevel="0" collapsed="false">
      <c r="A6691" s="0" t="s">
        <v>2041</v>
      </c>
      <c r="B6691" s="0" t="s">
        <v>2042</v>
      </c>
      <c r="C6691" s="0" t="s">
        <v>2156</v>
      </c>
      <c r="D6691" s="0" t="s">
        <v>2105</v>
      </c>
      <c r="E6691" s="0" t="s">
        <v>2045</v>
      </c>
      <c r="F6691" s="0" t="s">
        <v>2163</v>
      </c>
      <c r="G6691" s="0" t="s">
        <v>2164</v>
      </c>
      <c r="H6691" s="0" t="s">
        <v>2166</v>
      </c>
      <c r="I6691" s="0" t="s">
        <v>2124</v>
      </c>
      <c r="J6691" s="0" t="s">
        <v>2368</v>
      </c>
      <c r="K6691" s="272" t="n">
        <v>-22000000</v>
      </c>
    </row>
    <row r="6692" customFormat="false" ht="15" hidden="false" customHeight="false" outlineLevel="0" collapsed="false">
      <c r="A6692" s="0" t="s">
        <v>2041</v>
      </c>
      <c r="B6692" s="0" t="s">
        <v>2042</v>
      </c>
      <c r="C6692" s="0" t="s">
        <v>2161</v>
      </c>
      <c r="D6692" s="0" t="s">
        <v>2105</v>
      </c>
      <c r="E6692" s="0" t="s">
        <v>2045</v>
      </c>
      <c r="F6692" s="0" t="s">
        <v>2163</v>
      </c>
      <c r="G6692" s="0" t="s">
        <v>2164</v>
      </c>
      <c r="H6692" s="0" t="s">
        <v>2166</v>
      </c>
      <c r="I6692" s="0" t="s">
        <v>2124</v>
      </c>
      <c r="J6692" s="0" t="s">
        <v>2368</v>
      </c>
      <c r="K6692" s="272" t="n">
        <v>-3366000</v>
      </c>
    </row>
    <row r="6693" customFormat="false" ht="15" hidden="false" customHeight="false" outlineLevel="0" collapsed="false">
      <c r="A6693" s="0" t="s">
        <v>2041</v>
      </c>
      <c r="B6693" s="0" t="s">
        <v>2042</v>
      </c>
      <c r="C6693" s="0" t="s">
        <v>2156</v>
      </c>
      <c r="D6693" s="0" t="s">
        <v>2105</v>
      </c>
      <c r="E6693" s="0" t="s">
        <v>2045</v>
      </c>
      <c r="F6693" s="0" t="s">
        <v>2163</v>
      </c>
      <c r="G6693" s="0" t="s">
        <v>2164</v>
      </c>
      <c r="H6693" s="0" t="s">
        <v>2166</v>
      </c>
      <c r="I6693" s="0" t="s">
        <v>2167</v>
      </c>
      <c r="J6693" s="0" t="s">
        <v>2368</v>
      </c>
      <c r="K6693" s="272" t="n">
        <v>-4700000</v>
      </c>
    </row>
    <row r="6694" customFormat="false" ht="15" hidden="false" customHeight="false" outlineLevel="0" collapsed="false">
      <c r="A6694" s="0" t="s">
        <v>2041</v>
      </c>
      <c r="B6694" s="0" t="s">
        <v>2042</v>
      </c>
      <c r="C6694" s="0" t="s">
        <v>2161</v>
      </c>
      <c r="D6694" s="0" t="s">
        <v>2105</v>
      </c>
      <c r="E6694" s="0" t="s">
        <v>2045</v>
      </c>
      <c r="F6694" s="0" t="s">
        <v>2163</v>
      </c>
      <c r="G6694" s="0" t="s">
        <v>2164</v>
      </c>
      <c r="H6694" s="0" t="s">
        <v>2166</v>
      </c>
      <c r="I6694" s="0" t="s">
        <v>2167</v>
      </c>
      <c r="J6694" s="0" t="s">
        <v>2368</v>
      </c>
      <c r="K6694" s="272" t="n">
        <v>-1148780.52</v>
      </c>
    </row>
    <row r="6695" customFormat="false" ht="15" hidden="false" customHeight="false" outlineLevel="0" collapsed="false">
      <c r="A6695" s="0" t="s">
        <v>2041</v>
      </c>
      <c r="B6695" s="0" t="s">
        <v>2042</v>
      </c>
      <c r="C6695" s="0" t="s">
        <v>2156</v>
      </c>
      <c r="D6695" s="0" t="s">
        <v>2105</v>
      </c>
      <c r="E6695" s="0" t="s">
        <v>2045</v>
      </c>
      <c r="F6695" s="0" t="s">
        <v>2163</v>
      </c>
      <c r="G6695" s="0" t="s">
        <v>2164</v>
      </c>
      <c r="H6695" s="0" t="s">
        <v>2166</v>
      </c>
      <c r="I6695" s="0" t="s">
        <v>2322</v>
      </c>
      <c r="J6695" s="0" t="s">
        <v>2368</v>
      </c>
      <c r="K6695" s="272" t="n">
        <v>-220771002</v>
      </c>
    </row>
    <row r="6696" customFormat="false" ht="15" hidden="false" customHeight="false" outlineLevel="0" collapsed="false">
      <c r="A6696" s="0" t="s">
        <v>2041</v>
      </c>
      <c r="B6696" s="0" t="s">
        <v>2042</v>
      </c>
      <c r="C6696" s="0" t="s">
        <v>2161</v>
      </c>
      <c r="D6696" s="0" t="s">
        <v>2105</v>
      </c>
      <c r="E6696" s="0" t="s">
        <v>2045</v>
      </c>
      <c r="F6696" s="0" t="s">
        <v>2163</v>
      </c>
      <c r="G6696" s="0" t="s">
        <v>2164</v>
      </c>
      <c r="H6696" s="0" t="s">
        <v>2166</v>
      </c>
      <c r="I6696" s="0" t="s">
        <v>2322</v>
      </c>
      <c r="J6696" s="0" t="s">
        <v>2368</v>
      </c>
      <c r="K6696" s="272" t="n">
        <v>-35900875.45</v>
      </c>
    </row>
    <row r="6697" customFormat="false" ht="15" hidden="false" customHeight="false" outlineLevel="0" collapsed="false">
      <c r="A6697" s="0" t="s">
        <v>2041</v>
      </c>
      <c r="B6697" s="0" t="s">
        <v>2042</v>
      </c>
      <c r="C6697" s="0" t="s">
        <v>2156</v>
      </c>
      <c r="D6697" s="0" t="s">
        <v>2105</v>
      </c>
      <c r="E6697" s="0" t="s">
        <v>2045</v>
      </c>
      <c r="F6697" s="0" t="s">
        <v>2163</v>
      </c>
      <c r="G6697" s="0" t="s">
        <v>2168</v>
      </c>
      <c r="H6697" s="0" t="s">
        <v>2169</v>
      </c>
      <c r="I6697" s="0" t="s">
        <v>2167</v>
      </c>
      <c r="J6697" s="0" t="s">
        <v>2368</v>
      </c>
      <c r="K6697" s="272" t="n">
        <v>-230030836.1</v>
      </c>
    </row>
    <row r="6698" customFormat="false" ht="15" hidden="false" customHeight="false" outlineLevel="0" collapsed="false">
      <c r="A6698" s="0" t="s">
        <v>2041</v>
      </c>
      <c r="B6698" s="0" t="s">
        <v>2042</v>
      </c>
      <c r="C6698" s="0" t="s">
        <v>2161</v>
      </c>
      <c r="D6698" s="0" t="s">
        <v>2105</v>
      </c>
      <c r="E6698" s="0" t="s">
        <v>2045</v>
      </c>
      <c r="F6698" s="0" t="s">
        <v>2163</v>
      </c>
      <c r="G6698" s="0" t="s">
        <v>2168</v>
      </c>
      <c r="H6698" s="0" t="s">
        <v>2169</v>
      </c>
      <c r="I6698" s="0" t="s">
        <v>2167</v>
      </c>
      <c r="J6698" s="0" t="s">
        <v>2368</v>
      </c>
      <c r="K6698" s="272" t="n">
        <v>-40924394.26</v>
      </c>
    </row>
    <row r="6699" customFormat="false" ht="15" hidden="false" customHeight="false" outlineLevel="0" collapsed="false">
      <c r="A6699" s="0" t="s">
        <v>2041</v>
      </c>
      <c r="B6699" s="0" t="s">
        <v>2042</v>
      </c>
      <c r="C6699" s="0" t="s">
        <v>2156</v>
      </c>
      <c r="D6699" s="0" t="s">
        <v>2105</v>
      </c>
      <c r="E6699" s="0" t="s">
        <v>2045</v>
      </c>
      <c r="F6699" s="0" t="s">
        <v>2163</v>
      </c>
      <c r="G6699" s="0" t="s">
        <v>2168</v>
      </c>
      <c r="H6699" s="0" t="s">
        <v>2169</v>
      </c>
      <c r="I6699" s="0" t="s">
        <v>2322</v>
      </c>
      <c r="J6699" s="0" t="s">
        <v>2368</v>
      </c>
      <c r="K6699" s="272" t="n">
        <v>-209983566.4</v>
      </c>
    </row>
    <row r="6700" customFormat="false" ht="15" hidden="false" customHeight="false" outlineLevel="0" collapsed="false">
      <c r="A6700" s="0" t="s">
        <v>2041</v>
      </c>
      <c r="B6700" s="0" t="s">
        <v>2042</v>
      </c>
      <c r="C6700" s="0" t="s">
        <v>2161</v>
      </c>
      <c r="D6700" s="0" t="s">
        <v>2105</v>
      </c>
      <c r="E6700" s="0" t="s">
        <v>2045</v>
      </c>
      <c r="F6700" s="0" t="s">
        <v>2163</v>
      </c>
      <c r="G6700" s="0" t="s">
        <v>2168</v>
      </c>
      <c r="H6700" s="0" t="s">
        <v>2169</v>
      </c>
      <c r="I6700" s="0" t="s">
        <v>2322</v>
      </c>
      <c r="J6700" s="0" t="s">
        <v>2368</v>
      </c>
      <c r="K6700" s="272" t="n">
        <v>-41468573.05</v>
      </c>
    </row>
    <row r="6701" customFormat="false" ht="15" hidden="false" customHeight="false" outlineLevel="0" collapsed="false">
      <c r="A6701" s="0" t="s">
        <v>2041</v>
      </c>
      <c r="B6701" s="0" t="s">
        <v>2042</v>
      </c>
      <c r="C6701" s="0" t="s">
        <v>2156</v>
      </c>
      <c r="D6701" s="0" t="s">
        <v>2105</v>
      </c>
      <c r="E6701" s="0" t="s">
        <v>2045</v>
      </c>
      <c r="F6701" s="0" t="s">
        <v>2163</v>
      </c>
      <c r="G6701" s="0" t="s">
        <v>2168</v>
      </c>
      <c r="H6701" s="0" t="s">
        <v>2165</v>
      </c>
      <c r="I6701" s="0" t="s">
        <v>2322</v>
      </c>
      <c r="J6701" s="0" t="s">
        <v>2368</v>
      </c>
      <c r="K6701" s="272" t="n">
        <v>-2749999.6</v>
      </c>
    </row>
    <row r="6702" customFormat="false" ht="15" hidden="false" customHeight="false" outlineLevel="0" collapsed="false">
      <c r="A6702" s="0" t="s">
        <v>2041</v>
      </c>
      <c r="B6702" s="0" t="s">
        <v>2042</v>
      </c>
      <c r="C6702" s="0" t="s">
        <v>2161</v>
      </c>
      <c r="D6702" s="0" t="s">
        <v>2105</v>
      </c>
      <c r="E6702" s="0" t="s">
        <v>2045</v>
      </c>
      <c r="F6702" s="0" t="s">
        <v>2163</v>
      </c>
      <c r="G6702" s="0" t="s">
        <v>2168</v>
      </c>
      <c r="H6702" s="0" t="s">
        <v>2165</v>
      </c>
      <c r="I6702" s="0" t="s">
        <v>2322</v>
      </c>
      <c r="J6702" s="0" t="s">
        <v>2368</v>
      </c>
      <c r="K6702" s="272" t="n">
        <v>-737528.12</v>
      </c>
    </row>
    <row r="6703" customFormat="false" ht="15" hidden="false" customHeight="false" outlineLevel="0" collapsed="false">
      <c r="A6703" s="0" t="s">
        <v>2041</v>
      </c>
      <c r="B6703" s="0" t="s">
        <v>2042</v>
      </c>
      <c r="C6703" s="0" t="s">
        <v>2156</v>
      </c>
      <c r="D6703" s="0" t="s">
        <v>2105</v>
      </c>
      <c r="E6703" s="0" t="s">
        <v>2045</v>
      </c>
      <c r="F6703" s="0" t="s">
        <v>2163</v>
      </c>
      <c r="G6703" s="0" t="s">
        <v>2168</v>
      </c>
      <c r="H6703" s="0" t="s">
        <v>2166</v>
      </c>
      <c r="I6703" s="0" t="s">
        <v>2167</v>
      </c>
      <c r="J6703" s="0" t="s">
        <v>2368</v>
      </c>
      <c r="K6703" s="272" t="n">
        <v>-34581490</v>
      </c>
    </row>
    <row r="6704" customFormat="false" ht="15" hidden="false" customHeight="false" outlineLevel="0" collapsed="false">
      <c r="A6704" s="0" t="s">
        <v>2041</v>
      </c>
      <c r="B6704" s="0" t="s">
        <v>2042</v>
      </c>
      <c r="C6704" s="0" t="s">
        <v>2161</v>
      </c>
      <c r="D6704" s="0" t="s">
        <v>2105</v>
      </c>
      <c r="E6704" s="0" t="s">
        <v>2045</v>
      </c>
      <c r="F6704" s="0" t="s">
        <v>2163</v>
      </c>
      <c r="G6704" s="0" t="s">
        <v>2168</v>
      </c>
      <c r="H6704" s="0" t="s">
        <v>2166</v>
      </c>
      <c r="I6704" s="0" t="s">
        <v>2167</v>
      </c>
      <c r="J6704" s="0" t="s">
        <v>2368</v>
      </c>
      <c r="K6704" s="272" t="n">
        <v>-5326072.49</v>
      </c>
    </row>
    <row r="6705" customFormat="false" ht="15" hidden="false" customHeight="false" outlineLevel="0" collapsed="false">
      <c r="A6705" s="0" t="s">
        <v>2041</v>
      </c>
      <c r="B6705" s="0" t="s">
        <v>2042</v>
      </c>
      <c r="C6705" s="0" t="s">
        <v>2156</v>
      </c>
      <c r="D6705" s="0" t="s">
        <v>2105</v>
      </c>
      <c r="E6705" s="0" t="s">
        <v>2045</v>
      </c>
      <c r="F6705" s="0" t="s">
        <v>2163</v>
      </c>
      <c r="G6705" s="0" t="s">
        <v>2170</v>
      </c>
      <c r="H6705" s="0" t="s">
        <v>2165</v>
      </c>
      <c r="I6705" s="0" t="s">
        <v>2124</v>
      </c>
      <c r="J6705" s="0" t="s">
        <v>2368</v>
      </c>
      <c r="K6705" s="272" t="n">
        <v>-6555000</v>
      </c>
    </row>
    <row r="6706" customFormat="false" ht="15" hidden="false" customHeight="false" outlineLevel="0" collapsed="false">
      <c r="A6706" s="0" t="s">
        <v>2041</v>
      </c>
      <c r="B6706" s="0" t="s">
        <v>2042</v>
      </c>
      <c r="C6706" s="0" t="s">
        <v>2161</v>
      </c>
      <c r="D6706" s="0" t="s">
        <v>2105</v>
      </c>
      <c r="E6706" s="0" t="s">
        <v>2045</v>
      </c>
      <c r="F6706" s="0" t="s">
        <v>2163</v>
      </c>
      <c r="G6706" s="0" t="s">
        <v>2170</v>
      </c>
      <c r="H6706" s="0" t="s">
        <v>2165</v>
      </c>
      <c r="I6706" s="0" t="s">
        <v>2124</v>
      </c>
      <c r="J6706" s="0" t="s">
        <v>2368</v>
      </c>
      <c r="K6706" s="272" t="n">
        <v>-1692316.71</v>
      </c>
    </row>
    <row r="6707" customFormat="false" ht="15" hidden="false" customHeight="false" outlineLevel="0" collapsed="false">
      <c r="A6707" s="0" t="s">
        <v>2041</v>
      </c>
      <c r="B6707" s="0" t="s">
        <v>2042</v>
      </c>
      <c r="C6707" s="0" t="s">
        <v>2156</v>
      </c>
      <c r="D6707" s="0" t="s">
        <v>2105</v>
      </c>
      <c r="E6707" s="0" t="s">
        <v>2045</v>
      </c>
      <c r="F6707" s="0" t="s">
        <v>2163</v>
      </c>
      <c r="G6707" s="0" t="s">
        <v>2170</v>
      </c>
      <c r="H6707" s="0" t="s">
        <v>2165</v>
      </c>
      <c r="I6707" s="0" t="s">
        <v>2167</v>
      </c>
      <c r="J6707" s="0" t="s">
        <v>2368</v>
      </c>
      <c r="K6707" s="272" t="n">
        <v>-36310538</v>
      </c>
    </row>
    <row r="6708" customFormat="false" ht="15" hidden="false" customHeight="false" outlineLevel="0" collapsed="false">
      <c r="A6708" s="0" t="s">
        <v>2041</v>
      </c>
      <c r="B6708" s="0" t="s">
        <v>2042</v>
      </c>
      <c r="C6708" s="0" t="s">
        <v>2161</v>
      </c>
      <c r="D6708" s="0" t="s">
        <v>2105</v>
      </c>
      <c r="E6708" s="0" t="s">
        <v>2045</v>
      </c>
      <c r="F6708" s="0" t="s">
        <v>2163</v>
      </c>
      <c r="G6708" s="0" t="s">
        <v>2170</v>
      </c>
      <c r="H6708" s="0" t="s">
        <v>2165</v>
      </c>
      <c r="I6708" s="0" t="s">
        <v>2167</v>
      </c>
      <c r="J6708" s="0" t="s">
        <v>2368</v>
      </c>
      <c r="K6708" s="272" t="n">
        <v>-9760535.47</v>
      </c>
    </row>
    <row r="6709" customFormat="false" ht="15" hidden="false" customHeight="false" outlineLevel="0" collapsed="false">
      <c r="A6709" s="0" t="s">
        <v>2041</v>
      </c>
      <c r="B6709" s="0" t="s">
        <v>2042</v>
      </c>
      <c r="C6709" s="0" t="s">
        <v>2156</v>
      </c>
      <c r="D6709" s="0" t="s">
        <v>2105</v>
      </c>
      <c r="E6709" s="0" t="s">
        <v>2045</v>
      </c>
      <c r="F6709" s="0" t="s">
        <v>2163</v>
      </c>
      <c r="G6709" s="0" t="s">
        <v>2170</v>
      </c>
      <c r="H6709" s="0" t="s">
        <v>2165</v>
      </c>
      <c r="I6709" s="0" t="s">
        <v>2322</v>
      </c>
      <c r="J6709" s="0" t="s">
        <v>2368</v>
      </c>
      <c r="K6709" s="272" t="n">
        <v>-59038537</v>
      </c>
    </row>
    <row r="6710" customFormat="false" ht="15" hidden="false" customHeight="false" outlineLevel="0" collapsed="false">
      <c r="A6710" s="0" t="s">
        <v>2041</v>
      </c>
      <c r="B6710" s="0" t="s">
        <v>2042</v>
      </c>
      <c r="C6710" s="0" t="s">
        <v>2161</v>
      </c>
      <c r="D6710" s="0" t="s">
        <v>2105</v>
      </c>
      <c r="E6710" s="0" t="s">
        <v>2045</v>
      </c>
      <c r="F6710" s="0" t="s">
        <v>2163</v>
      </c>
      <c r="G6710" s="0" t="s">
        <v>2170</v>
      </c>
      <c r="H6710" s="0" t="s">
        <v>2165</v>
      </c>
      <c r="I6710" s="0" t="s">
        <v>2322</v>
      </c>
      <c r="J6710" s="0" t="s">
        <v>2368</v>
      </c>
      <c r="K6710" s="272" t="n">
        <v>-15919919.74</v>
      </c>
    </row>
    <row r="6711" customFormat="false" ht="15" hidden="false" customHeight="false" outlineLevel="0" collapsed="false">
      <c r="A6711" s="0" t="s">
        <v>2041</v>
      </c>
      <c r="B6711" s="0" t="s">
        <v>2042</v>
      </c>
      <c r="C6711" s="0" t="s">
        <v>2156</v>
      </c>
      <c r="D6711" s="0" t="s">
        <v>2105</v>
      </c>
      <c r="E6711" s="0" t="s">
        <v>2045</v>
      </c>
      <c r="F6711" s="0" t="s">
        <v>2163</v>
      </c>
      <c r="G6711" s="0" t="s">
        <v>2170</v>
      </c>
      <c r="H6711" s="0" t="s">
        <v>2171</v>
      </c>
      <c r="I6711" s="0" t="s">
        <v>2322</v>
      </c>
      <c r="J6711" s="0" t="s">
        <v>2368</v>
      </c>
      <c r="K6711" s="272" t="n">
        <v>-20100000</v>
      </c>
    </row>
    <row r="6712" customFormat="false" ht="15" hidden="false" customHeight="false" outlineLevel="0" collapsed="false">
      <c r="A6712" s="0" t="s">
        <v>2041</v>
      </c>
      <c r="B6712" s="0" t="s">
        <v>2042</v>
      </c>
      <c r="C6712" s="0" t="s">
        <v>2161</v>
      </c>
      <c r="D6712" s="0" t="s">
        <v>2105</v>
      </c>
      <c r="E6712" s="0" t="s">
        <v>2045</v>
      </c>
      <c r="F6712" s="0" t="s">
        <v>2163</v>
      </c>
      <c r="G6712" s="0" t="s">
        <v>2170</v>
      </c>
      <c r="H6712" s="0" t="s">
        <v>2171</v>
      </c>
      <c r="I6712" s="0" t="s">
        <v>2322</v>
      </c>
      <c r="J6712" s="0" t="s">
        <v>2368</v>
      </c>
      <c r="K6712" s="272" t="n">
        <v>-5774982.92</v>
      </c>
    </row>
    <row r="6713" customFormat="false" ht="15" hidden="false" customHeight="false" outlineLevel="0" collapsed="false">
      <c r="A6713" s="0" t="s">
        <v>2041</v>
      </c>
      <c r="B6713" s="0" t="s">
        <v>2042</v>
      </c>
      <c r="C6713" s="0" t="s">
        <v>2156</v>
      </c>
      <c r="D6713" s="0" t="s">
        <v>2105</v>
      </c>
      <c r="E6713" s="0" t="s">
        <v>2045</v>
      </c>
      <c r="F6713" s="0" t="s">
        <v>2163</v>
      </c>
      <c r="G6713" s="0" t="s">
        <v>2172</v>
      </c>
      <c r="H6713" s="0" t="s">
        <v>2173</v>
      </c>
      <c r="I6713" s="0" t="s">
        <v>2124</v>
      </c>
      <c r="J6713" s="0" t="s">
        <v>2368</v>
      </c>
      <c r="K6713" s="272" t="n">
        <v>-1000000</v>
      </c>
    </row>
    <row r="6714" customFormat="false" ht="15" hidden="false" customHeight="false" outlineLevel="0" collapsed="false">
      <c r="A6714" s="0" t="s">
        <v>2041</v>
      </c>
      <c r="B6714" s="0" t="s">
        <v>2042</v>
      </c>
      <c r="C6714" s="0" t="s">
        <v>2161</v>
      </c>
      <c r="D6714" s="0" t="s">
        <v>2105</v>
      </c>
      <c r="E6714" s="0" t="s">
        <v>2045</v>
      </c>
      <c r="F6714" s="0" t="s">
        <v>2163</v>
      </c>
      <c r="G6714" s="0" t="s">
        <v>2172</v>
      </c>
      <c r="H6714" s="0" t="s">
        <v>2173</v>
      </c>
      <c r="I6714" s="0" t="s">
        <v>2124</v>
      </c>
      <c r="J6714" s="0" t="s">
        <v>2368</v>
      </c>
      <c r="K6714" s="272" t="n">
        <v>-302000</v>
      </c>
    </row>
    <row r="6715" customFormat="false" ht="15" hidden="false" customHeight="false" outlineLevel="0" collapsed="false">
      <c r="A6715" s="0" t="s">
        <v>2041</v>
      </c>
      <c r="B6715" s="0" t="s">
        <v>2042</v>
      </c>
      <c r="C6715" s="0" t="s">
        <v>2156</v>
      </c>
      <c r="D6715" s="0" t="s">
        <v>2105</v>
      </c>
      <c r="E6715" s="0" t="s">
        <v>2045</v>
      </c>
      <c r="F6715" s="0" t="s">
        <v>2163</v>
      </c>
      <c r="G6715" s="0" t="s">
        <v>2172</v>
      </c>
      <c r="H6715" s="0" t="s">
        <v>2173</v>
      </c>
      <c r="I6715" s="0" t="s">
        <v>2167</v>
      </c>
      <c r="J6715" s="0" t="s">
        <v>2368</v>
      </c>
      <c r="K6715" s="272" t="n">
        <v>-2000000</v>
      </c>
    </row>
    <row r="6716" customFormat="false" ht="15" hidden="false" customHeight="false" outlineLevel="0" collapsed="false">
      <c r="A6716" s="0" t="s">
        <v>2041</v>
      </c>
      <c r="B6716" s="0" t="s">
        <v>2042</v>
      </c>
      <c r="C6716" s="0" t="s">
        <v>2161</v>
      </c>
      <c r="D6716" s="0" t="s">
        <v>2105</v>
      </c>
      <c r="E6716" s="0" t="s">
        <v>2045</v>
      </c>
      <c r="F6716" s="0" t="s">
        <v>2163</v>
      </c>
      <c r="G6716" s="0" t="s">
        <v>2172</v>
      </c>
      <c r="H6716" s="0" t="s">
        <v>2173</v>
      </c>
      <c r="I6716" s="0" t="s">
        <v>2167</v>
      </c>
      <c r="J6716" s="0" t="s">
        <v>2368</v>
      </c>
      <c r="K6716" s="272" t="n">
        <v>-604000</v>
      </c>
    </row>
    <row r="6717" customFormat="false" ht="15" hidden="false" customHeight="false" outlineLevel="0" collapsed="false">
      <c r="A6717" s="0" t="s">
        <v>2041</v>
      </c>
      <c r="B6717" s="0" t="s">
        <v>2042</v>
      </c>
      <c r="C6717" s="0" t="s">
        <v>2156</v>
      </c>
      <c r="D6717" s="0" t="s">
        <v>2105</v>
      </c>
      <c r="E6717" s="0" t="s">
        <v>2045</v>
      </c>
      <c r="F6717" s="0" t="s">
        <v>2163</v>
      </c>
      <c r="G6717" s="0" t="s">
        <v>2172</v>
      </c>
      <c r="H6717" s="0" t="s">
        <v>2173</v>
      </c>
      <c r="I6717" s="0" t="s">
        <v>2322</v>
      </c>
      <c r="J6717" s="0" t="s">
        <v>2368</v>
      </c>
      <c r="K6717" s="272" t="n">
        <v>-94750000</v>
      </c>
    </row>
    <row r="6718" customFormat="false" ht="15" hidden="false" customHeight="false" outlineLevel="0" collapsed="false">
      <c r="A6718" s="0" t="s">
        <v>2041</v>
      </c>
      <c r="B6718" s="0" t="s">
        <v>2042</v>
      </c>
      <c r="C6718" s="0" t="s">
        <v>2161</v>
      </c>
      <c r="D6718" s="0" t="s">
        <v>2105</v>
      </c>
      <c r="E6718" s="0" t="s">
        <v>2045</v>
      </c>
      <c r="F6718" s="0" t="s">
        <v>2163</v>
      </c>
      <c r="G6718" s="0" t="s">
        <v>2172</v>
      </c>
      <c r="H6718" s="0" t="s">
        <v>2173</v>
      </c>
      <c r="I6718" s="0" t="s">
        <v>2322</v>
      </c>
      <c r="J6718" s="0" t="s">
        <v>2368</v>
      </c>
      <c r="K6718" s="272" t="n">
        <v>-18168205.86</v>
      </c>
    </row>
    <row r="6719" customFormat="false" ht="15" hidden="false" customHeight="false" outlineLevel="0" collapsed="false">
      <c r="A6719" s="0" t="s">
        <v>2041</v>
      </c>
      <c r="B6719" s="0" t="s">
        <v>2042</v>
      </c>
      <c r="C6719" s="0" t="s">
        <v>2156</v>
      </c>
      <c r="D6719" s="0" t="s">
        <v>2105</v>
      </c>
      <c r="E6719" s="0" t="s">
        <v>2045</v>
      </c>
      <c r="F6719" s="0" t="s">
        <v>2163</v>
      </c>
      <c r="G6719" s="0" t="s">
        <v>2327</v>
      </c>
      <c r="H6719" s="0" t="s">
        <v>2328</v>
      </c>
      <c r="I6719" s="0" t="s">
        <v>2322</v>
      </c>
      <c r="J6719" s="0" t="s">
        <v>2368</v>
      </c>
      <c r="K6719" s="272" t="n">
        <v>-16024728</v>
      </c>
    </row>
    <row r="6720" customFormat="false" ht="15" hidden="false" customHeight="false" outlineLevel="0" collapsed="false">
      <c r="A6720" s="0" t="s">
        <v>2041</v>
      </c>
      <c r="B6720" s="0" t="s">
        <v>2042</v>
      </c>
      <c r="C6720" s="0" t="s">
        <v>2161</v>
      </c>
      <c r="D6720" s="0" t="s">
        <v>2105</v>
      </c>
      <c r="E6720" s="0" t="s">
        <v>2045</v>
      </c>
      <c r="F6720" s="0" t="s">
        <v>2163</v>
      </c>
      <c r="G6720" s="0" t="s">
        <v>2327</v>
      </c>
      <c r="H6720" s="0" t="s">
        <v>2328</v>
      </c>
      <c r="I6720" s="0" t="s">
        <v>2322</v>
      </c>
      <c r="J6720" s="0" t="s">
        <v>2368</v>
      </c>
      <c r="K6720" s="272" t="n">
        <v>-3413310.19</v>
      </c>
    </row>
    <row r="6721" customFormat="false" ht="15" hidden="false" customHeight="false" outlineLevel="0" collapsed="false">
      <c r="A6721" s="0" t="s">
        <v>2041</v>
      </c>
      <c r="B6721" s="0" t="s">
        <v>2042</v>
      </c>
      <c r="C6721" s="0" t="s">
        <v>2156</v>
      </c>
      <c r="D6721" s="0" t="s">
        <v>2105</v>
      </c>
      <c r="E6721" s="0" t="s">
        <v>2045</v>
      </c>
      <c r="F6721" s="0" t="s">
        <v>2163</v>
      </c>
      <c r="G6721" s="0" t="s">
        <v>2174</v>
      </c>
      <c r="H6721" s="0" t="s">
        <v>2175</v>
      </c>
      <c r="I6721" s="0" t="s">
        <v>2167</v>
      </c>
      <c r="J6721" s="0" t="s">
        <v>2368</v>
      </c>
      <c r="K6721" s="272" t="n">
        <v>-3150000</v>
      </c>
    </row>
    <row r="6722" customFormat="false" ht="15" hidden="false" customHeight="false" outlineLevel="0" collapsed="false">
      <c r="A6722" s="0" t="s">
        <v>2041</v>
      </c>
      <c r="B6722" s="0" t="s">
        <v>2042</v>
      </c>
      <c r="C6722" s="0" t="s">
        <v>2161</v>
      </c>
      <c r="D6722" s="0" t="s">
        <v>2105</v>
      </c>
      <c r="E6722" s="0" t="s">
        <v>2045</v>
      </c>
      <c r="F6722" s="0" t="s">
        <v>2163</v>
      </c>
      <c r="G6722" s="0" t="s">
        <v>2174</v>
      </c>
      <c r="H6722" s="0" t="s">
        <v>2175</v>
      </c>
      <c r="I6722" s="0" t="s">
        <v>2167</v>
      </c>
      <c r="J6722" s="0" t="s">
        <v>2368</v>
      </c>
      <c r="K6722" s="272" t="n">
        <v>-935386.8</v>
      </c>
    </row>
    <row r="6723" customFormat="false" ht="15" hidden="false" customHeight="false" outlineLevel="0" collapsed="false">
      <c r="A6723" s="0" t="s">
        <v>2041</v>
      </c>
      <c r="B6723" s="0" t="s">
        <v>2042</v>
      </c>
      <c r="C6723" s="0" t="s">
        <v>2156</v>
      </c>
      <c r="D6723" s="0" t="s">
        <v>2105</v>
      </c>
      <c r="E6723" s="0" t="s">
        <v>2045</v>
      </c>
      <c r="F6723" s="0" t="s">
        <v>2163</v>
      </c>
      <c r="G6723" s="0" t="s">
        <v>2174</v>
      </c>
      <c r="H6723" s="0" t="s">
        <v>2175</v>
      </c>
      <c r="I6723" s="0" t="s">
        <v>2322</v>
      </c>
      <c r="J6723" s="0" t="s">
        <v>2368</v>
      </c>
      <c r="K6723" s="272" t="n">
        <v>-57900000</v>
      </c>
    </row>
    <row r="6724" customFormat="false" ht="15" hidden="false" customHeight="false" outlineLevel="0" collapsed="false">
      <c r="A6724" s="0" t="s">
        <v>2041</v>
      </c>
      <c r="B6724" s="0" t="s">
        <v>2042</v>
      </c>
      <c r="C6724" s="0" t="s">
        <v>2161</v>
      </c>
      <c r="D6724" s="0" t="s">
        <v>2105</v>
      </c>
      <c r="E6724" s="0" t="s">
        <v>2045</v>
      </c>
      <c r="F6724" s="0" t="s">
        <v>2163</v>
      </c>
      <c r="G6724" s="0" t="s">
        <v>2174</v>
      </c>
      <c r="H6724" s="0" t="s">
        <v>2175</v>
      </c>
      <c r="I6724" s="0" t="s">
        <v>2322</v>
      </c>
      <c r="J6724" s="0" t="s">
        <v>2368</v>
      </c>
      <c r="K6724" s="272" t="n">
        <v>-13428502.49</v>
      </c>
    </row>
    <row r="6725" customFormat="false" ht="15" hidden="false" customHeight="false" outlineLevel="0" collapsed="false">
      <c r="A6725" s="0" t="s">
        <v>2041</v>
      </c>
      <c r="B6725" s="0" t="s">
        <v>2042</v>
      </c>
      <c r="C6725" s="0" t="s">
        <v>2156</v>
      </c>
      <c r="D6725" s="0" t="s">
        <v>2105</v>
      </c>
      <c r="E6725" s="0" t="s">
        <v>2045</v>
      </c>
      <c r="F6725" s="0" t="s">
        <v>2176</v>
      </c>
      <c r="G6725" s="0" t="s">
        <v>2177</v>
      </c>
      <c r="H6725" s="0" t="s">
        <v>2179</v>
      </c>
      <c r="I6725" s="0" t="s">
        <v>2322</v>
      </c>
      <c r="J6725" s="0" t="s">
        <v>2368</v>
      </c>
      <c r="K6725" s="272" t="n">
        <v>-20000000</v>
      </c>
    </row>
    <row r="6726" customFormat="false" ht="15" hidden="false" customHeight="false" outlineLevel="0" collapsed="false">
      <c r="A6726" s="0" t="s">
        <v>2041</v>
      </c>
      <c r="B6726" s="0" t="s">
        <v>2042</v>
      </c>
      <c r="C6726" s="0" t="s">
        <v>2161</v>
      </c>
      <c r="D6726" s="0" t="s">
        <v>2105</v>
      </c>
      <c r="E6726" s="0" t="s">
        <v>2045</v>
      </c>
      <c r="F6726" s="0" t="s">
        <v>2176</v>
      </c>
      <c r="G6726" s="0" t="s">
        <v>2177</v>
      </c>
      <c r="H6726" s="0" t="s">
        <v>2179</v>
      </c>
      <c r="I6726" s="0" t="s">
        <v>2322</v>
      </c>
      <c r="J6726" s="0" t="s">
        <v>2368</v>
      </c>
      <c r="K6726" s="272" t="n">
        <v>-3060000</v>
      </c>
    </row>
    <row r="6727" customFormat="false" ht="15" hidden="false" customHeight="false" outlineLevel="0" collapsed="false">
      <c r="A6727" s="0" t="s">
        <v>2041</v>
      </c>
      <c r="B6727" s="0" t="s">
        <v>2042</v>
      </c>
      <c r="C6727" s="0" t="s">
        <v>2156</v>
      </c>
      <c r="D6727" s="0" t="s">
        <v>2105</v>
      </c>
      <c r="E6727" s="0" t="s">
        <v>2045</v>
      </c>
      <c r="F6727" s="0" t="s">
        <v>2176</v>
      </c>
      <c r="G6727" s="0" t="s">
        <v>2181</v>
      </c>
      <c r="H6727" s="0" t="s">
        <v>2182</v>
      </c>
      <c r="I6727" s="0" t="s">
        <v>2124</v>
      </c>
      <c r="J6727" s="0" t="s">
        <v>2368</v>
      </c>
      <c r="K6727" s="272" t="n">
        <v>-850000</v>
      </c>
    </row>
    <row r="6728" customFormat="false" ht="15" hidden="false" customHeight="false" outlineLevel="0" collapsed="false">
      <c r="A6728" s="0" t="s">
        <v>2041</v>
      </c>
      <c r="B6728" s="0" t="s">
        <v>2042</v>
      </c>
      <c r="C6728" s="0" t="s">
        <v>2161</v>
      </c>
      <c r="D6728" s="0" t="s">
        <v>2105</v>
      </c>
      <c r="E6728" s="0" t="s">
        <v>2045</v>
      </c>
      <c r="F6728" s="0" t="s">
        <v>2176</v>
      </c>
      <c r="G6728" s="0" t="s">
        <v>2181</v>
      </c>
      <c r="H6728" s="0" t="s">
        <v>2182</v>
      </c>
      <c r="I6728" s="0" t="s">
        <v>2124</v>
      </c>
      <c r="J6728" s="0" t="s">
        <v>2368</v>
      </c>
      <c r="K6728" s="272" t="n">
        <v>-236828.609924316</v>
      </c>
    </row>
    <row r="6729" customFormat="false" ht="15" hidden="false" customHeight="false" outlineLevel="0" collapsed="false">
      <c r="A6729" s="0" t="s">
        <v>2041</v>
      </c>
      <c r="B6729" s="0" t="s">
        <v>2042</v>
      </c>
      <c r="C6729" s="0" t="s">
        <v>2156</v>
      </c>
      <c r="D6729" s="0" t="s">
        <v>2105</v>
      </c>
      <c r="E6729" s="0" t="s">
        <v>2045</v>
      </c>
      <c r="F6729" s="0" t="s">
        <v>2176</v>
      </c>
      <c r="G6729" s="0" t="s">
        <v>2181</v>
      </c>
      <c r="H6729" s="0" t="s">
        <v>2182</v>
      </c>
      <c r="I6729" s="0" t="s">
        <v>2322</v>
      </c>
      <c r="J6729" s="0" t="s">
        <v>2368</v>
      </c>
      <c r="K6729" s="272" t="n">
        <v>-24000000</v>
      </c>
    </row>
    <row r="6730" customFormat="false" ht="15" hidden="false" customHeight="false" outlineLevel="0" collapsed="false">
      <c r="A6730" s="0" t="s">
        <v>2041</v>
      </c>
      <c r="B6730" s="0" t="s">
        <v>2042</v>
      </c>
      <c r="C6730" s="0" t="s">
        <v>2161</v>
      </c>
      <c r="D6730" s="0" t="s">
        <v>2105</v>
      </c>
      <c r="E6730" s="0" t="s">
        <v>2045</v>
      </c>
      <c r="F6730" s="0" t="s">
        <v>2176</v>
      </c>
      <c r="G6730" s="0" t="s">
        <v>2181</v>
      </c>
      <c r="H6730" s="0" t="s">
        <v>2182</v>
      </c>
      <c r="I6730" s="0" t="s">
        <v>2322</v>
      </c>
      <c r="J6730" s="0" t="s">
        <v>2368</v>
      </c>
      <c r="K6730" s="272" t="n">
        <v>-3683195.46</v>
      </c>
    </row>
    <row r="6731" customFormat="false" ht="15" hidden="false" customHeight="false" outlineLevel="0" collapsed="false">
      <c r="A6731" s="0" t="s">
        <v>2041</v>
      </c>
      <c r="B6731" s="0" t="s">
        <v>2042</v>
      </c>
      <c r="C6731" s="0" t="s">
        <v>2156</v>
      </c>
      <c r="D6731" s="0" t="s">
        <v>2105</v>
      </c>
      <c r="E6731" s="0" t="s">
        <v>2045</v>
      </c>
      <c r="F6731" s="0" t="s">
        <v>2176</v>
      </c>
      <c r="G6731" s="0" t="s">
        <v>2181</v>
      </c>
      <c r="H6731" s="0" t="s">
        <v>2183</v>
      </c>
      <c r="I6731" s="0" t="s">
        <v>2124</v>
      </c>
      <c r="J6731" s="0" t="s">
        <v>2368</v>
      </c>
      <c r="K6731" s="272" t="n">
        <v>-825000</v>
      </c>
    </row>
    <row r="6732" customFormat="false" ht="15" hidden="false" customHeight="false" outlineLevel="0" collapsed="false">
      <c r="A6732" s="0" t="s">
        <v>2041</v>
      </c>
      <c r="B6732" s="0" t="s">
        <v>2042</v>
      </c>
      <c r="C6732" s="0" t="s">
        <v>2161</v>
      </c>
      <c r="D6732" s="0" t="s">
        <v>2105</v>
      </c>
      <c r="E6732" s="0" t="s">
        <v>2045</v>
      </c>
      <c r="F6732" s="0" t="s">
        <v>2176</v>
      </c>
      <c r="G6732" s="0" t="s">
        <v>2181</v>
      </c>
      <c r="H6732" s="0" t="s">
        <v>2183</v>
      </c>
      <c r="I6732" s="0" t="s">
        <v>2124</v>
      </c>
      <c r="J6732" s="0" t="s">
        <v>2368</v>
      </c>
      <c r="K6732" s="272" t="n">
        <v>-229863.062573601</v>
      </c>
    </row>
    <row r="6733" customFormat="false" ht="15" hidden="false" customHeight="false" outlineLevel="0" collapsed="false">
      <c r="A6733" s="0" t="s">
        <v>2041</v>
      </c>
      <c r="B6733" s="0" t="s">
        <v>2042</v>
      </c>
      <c r="C6733" s="0" t="s">
        <v>2156</v>
      </c>
      <c r="D6733" s="0" t="s">
        <v>2105</v>
      </c>
      <c r="E6733" s="0" t="s">
        <v>2045</v>
      </c>
      <c r="F6733" s="0" t="s">
        <v>2176</v>
      </c>
      <c r="G6733" s="0" t="s">
        <v>2181</v>
      </c>
      <c r="H6733" s="0" t="s">
        <v>2184</v>
      </c>
      <c r="I6733" s="0" t="s">
        <v>2322</v>
      </c>
      <c r="J6733" s="0" t="s">
        <v>2368</v>
      </c>
      <c r="K6733" s="272" t="n">
        <v>-24000000</v>
      </c>
    </row>
    <row r="6734" customFormat="false" ht="15" hidden="false" customHeight="false" outlineLevel="0" collapsed="false">
      <c r="A6734" s="0" t="s">
        <v>2041</v>
      </c>
      <c r="B6734" s="0" t="s">
        <v>2042</v>
      </c>
      <c r="C6734" s="0" t="s">
        <v>2161</v>
      </c>
      <c r="D6734" s="0" t="s">
        <v>2105</v>
      </c>
      <c r="E6734" s="0" t="s">
        <v>2045</v>
      </c>
      <c r="F6734" s="0" t="s">
        <v>2176</v>
      </c>
      <c r="G6734" s="0" t="s">
        <v>2181</v>
      </c>
      <c r="H6734" s="0" t="s">
        <v>2184</v>
      </c>
      <c r="I6734" s="0" t="s">
        <v>2322</v>
      </c>
      <c r="J6734" s="0" t="s">
        <v>2368</v>
      </c>
      <c r="K6734" s="272" t="n">
        <v>-3683195.46</v>
      </c>
    </row>
    <row r="6735" customFormat="false" ht="15" hidden="false" customHeight="false" outlineLevel="0" collapsed="false">
      <c r="A6735" s="0" t="s">
        <v>2041</v>
      </c>
      <c r="B6735" s="0" t="s">
        <v>2042</v>
      </c>
      <c r="C6735" s="0" t="s">
        <v>2156</v>
      </c>
      <c r="D6735" s="0" t="s">
        <v>2105</v>
      </c>
      <c r="E6735" s="0" t="s">
        <v>2045</v>
      </c>
      <c r="F6735" s="0" t="s">
        <v>2176</v>
      </c>
      <c r="G6735" s="0" t="s">
        <v>2181</v>
      </c>
      <c r="H6735" s="0" t="s">
        <v>2185</v>
      </c>
      <c r="I6735" s="0" t="s">
        <v>2124</v>
      </c>
      <c r="J6735" s="0" t="s">
        <v>2368</v>
      </c>
      <c r="K6735" s="272" t="n">
        <v>-825000</v>
      </c>
    </row>
    <row r="6736" customFormat="false" ht="15" hidden="false" customHeight="false" outlineLevel="0" collapsed="false">
      <c r="A6736" s="0" t="s">
        <v>2041</v>
      </c>
      <c r="B6736" s="0" t="s">
        <v>2042</v>
      </c>
      <c r="C6736" s="0" t="s">
        <v>2161</v>
      </c>
      <c r="D6736" s="0" t="s">
        <v>2105</v>
      </c>
      <c r="E6736" s="0" t="s">
        <v>2045</v>
      </c>
      <c r="F6736" s="0" t="s">
        <v>2176</v>
      </c>
      <c r="G6736" s="0" t="s">
        <v>2181</v>
      </c>
      <c r="H6736" s="0" t="s">
        <v>2185</v>
      </c>
      <c r="I6736" s="0" t="s">
        <v>2124</v>
      </c>
      <c r="J6736" s="0" t="s">
        <v>2368</v>
      </c>
      <c r="K6736" s="272" t="n">
        <v>-229863.062573601</v>
      </c>
    </row>
    <row r="6737" customFormat="false" ht="15" hidden="false" customHeight="false" outlineLevel="0" collapsed="false">
      <c r="A6737" s="0" t="s">
        <v>2041</v>
      </c>
      <c r="B6737" s="0" t="s">
        <v>2042</v>
      </c>
      <c r="C6737" s="0" t="s">
        <v>2156</v>
      </c>
      <c r="D6737" s="0" t="s">
        <v>2105</v>
      </c>
      <c r="E6737" s="0" t="s">
        <v>2045</v>
      </c>
      <c r="F6737" s="0" t="s">
        <v>2176</v>
      </c>
      <c r="G6737" s="0" t="s">
        <v>2181</v>
      </c>
      <c r="H6737" s="0" t="s">
        <v>2186</v>
      </c>
      <c r="I6737" s="0" t="s">
        <v>2322</v>
      </c>
      <c r="J6737" s="0" t="s">
        <v>2368</v>
      </c>
      <c r="K6737" s="272" t="n">
        <v>-102000000</v>
      </c>
    </row>
    <row r="6738" customFormat="false" ht="15" hidden="false" customHeight="false" outlineLevel="0" collapsed="false">
      <c r="A6738" s="0" t="s">
        <v>2041</v>
      </c>
      <c r="B6738" s="0" t="s">
        <v>2042</v>
      </c>
      <c r="C6738" s="0" t="s">
        <v>2161</v>
      </c>
      <c r="D6738" s="0" t="s">
        <v>2105</v>
      </c>
      <c r="E6738" s="0" t="s">
        <v>2045</v>
      </c>
      <c r="F6738" s="0" t="s">
        <v>2176</v>
      </c>
      <c r="G6738" s="0" t="s">
        <v>2181</v>
      </c>
      <c r="H6738" s="0" t="s">
        <v>2186</v>
      </c>
      <c r="I6738" s="0" t="s">
        <v>2322</v>
      </c>
      <c r="J6738" s="0" t="s">
        <v>2368</v>
      </c>
      <c r="K6738" s="272" t="n">
        <v>-15786031.79</v>
      </c>
    </row>
    <row r="6739" customFormat="false" ht="15" hidden="false" customHeight="false" outlineLevel="0" collapsed="false">
      <c r="A6739" s="0" t="s">
        <v>2041</v>
      </c>
      <c r="B6739" s="0" t="s">
        <v>2042</v>
      </c>
      <c r="C6739" s="0" t="s">
        <v>2156</v>
      </c>
      <c r="D6739" s="0" t="s">
        <v>2105</v>
      </c>
      <c r="E6739" s="0" t="s">
        <v>2045</v>
      </c>
      <c r="F6739" s="0" t="s">
        <v>2176</v>
      </c>
      <c r="G6739" s="0" t="s">
        <v>2181</v>
      </c>
      <c r="H6739" s="0" t="s">
        <v>2187</v>
      </c>
      <c r="I6739" s="0" t="s">
        <v>2322</v>
      </c>
      <c r="J6739" s="0" t="s">
        <v>2368</v>
      </c>
      <c r="K6739" s="272" t="n">
        <v>-1000000</v>
      </c>
    </row>
    <row r="6740" customFormat="false" ht="15" hidden="false" customHeight="false" outlineLevel="0" collapsed="false">
      <c r="A6740" s="0" t="s">
        <v>2041</v>
      </c>
      <c r="B6740" s="0" t="s">
        <v>2042</v>
      </c>
      <c r="C6740" s="0" t="s">
        <v>2161</v>
      </c>
      <c r="D6740" s="0" t="s">
        <v>2105</v>
      </c>
      <c r="E6740" s="0" t="s">
        <v>2045</v>
      </c>
      <c r="F6740" s="0" t="s">
        <v>2176</v>
      </c>
      <c r="G6740" s="0" t="s">
        <v>2181</v>
      </c>
      <c r="H6740" s="0" t="s">
        <v>2187</v>
      </c>
      <c r="I6740" s="0" t="s">
        <v>2322</v>
      </c>
      <c r="J6740" s="0" t="s">
        <v>2368</v>
      </c>
      <c r="K6740" s="272" t="n">
        <v>-302000</v>
      </c>
    </row>
    <row r="6741" customFormat="false" ht="15" hidden="false" customHeight="false" outlineLevel="0" collapsed="false">
      <c r="A6741" s="0" t="s">
        <v>2041</v>
      </c>
      <c r="B6741" s="0" t="s">
        <v>2042</v>
      </c>
      <c r="C6741" s="0" t="s">
        <v>2156</v>
      </c>
      <c r="D6741" s="0" t="s">
        <v>2105</v>
      </c>
      <c r="E6741" s="0" t="s">
        <v>2045</v>
      </c>
      <c r="F6741" s="0" t="s">
        <v>2176</v>
      </c>
      <c r="G6741" s="0" t="s">
        <v>2188</v>
      </c>
      <c r="H6741" s="0" t="s">
        <v>2189</v>
      </c>
      <c r="I6741" s="0" t="s">
        <v>2322</v>
      </c>
      <c r="J6741" s="0" t="s">
        <v>2368</v>
      </c>
      <c r="K6741" s="272" t="n">
        <v>-17800000</v>
      </c>
    </row>
    <row r="6742" customFormat="false" ht="15" hidden="false" customHeight="false" outlineLevel="0" collapsed="false">
      <c r="A6742" s="0" t="s">
        <v>2041</v>
      </c>
      <c r="B6742" s="0" t="s">
        <v>2042</v>
      </c>
      <c r="C6742" s="0" t="s">
        <v>2161</v>
      </c>
      <c r="D6742" s="0" t="s">
        <v>2105</v>
      </c>
      <c r="E6742" s="0" t="s">
        <v>2045</v>
      </c>
      <c r="F6742" s="0" t="s">
        <v>2176</v>
      </c>
      <c r="G6742" s="0" t="s">
        <v>2188</v>
      </c>
      <c r="H6742" s="0" t="s">
        <v>2189</v>
      </c>
      <c r="I6742" s="0" t="s">
        <v>2322</v>
      </c>
      <c r="J6742" s="0" t="s">
        <v>2368</v>
      </c>
      <c r="K6742" s="272" t="n">
        <v>-3397658.38</v>
      </c>
    </row>
    <row r="6743" customFormat="false" ht="15" hidden="false" customHeight="false" outlineLevel="0" collapsed="false">
      <c r="A6743" s="0" t="s">
        <v>2041</v>
      </c>
      <c r="B6743" s="0" t="s">
        <v>2042</v>
      </c>
      <c r="C6743" s="0" t="s">
        <v>2156</v>
      </c>
      <c r="D6743" s="0" t="s">
        <v>2105</v>
      </c>
      <c r="E6743" s="0" t="s">
        <v>2045</v>
      </c>
      <c r="F6743" s="0" t="s">
        <v>2176</v>
      </c>
      <c r="G6743" s="0" t="s">
        <v>2190</v>
      </c>
      <c r="H6743" s="0" t="s">
        <v>2191</v>
      </c>
      <c r="I6743" s="0" t="s">
        <v>2124</v>
      </c>
      <c r="J6743" s="0" t="s">
        <v>2368</v>
      </c>
      <c r="K6743" s="272" t="n">
        <v>-4000000</v>
      </c>
    </row>
    <row r="6744" customFormat="false" ht="15" hidden="false" customHeight="false" outlineLevel="0" collapsed="false">
      <c r="A6744" s="0" t="s">
        <v>2041</v>
      </c>
      <c r="B6744" s="0" t="s">
        <v>2042</v>
      </c>
      <c r="C6744" s="0" t="s">
        <v>2161</v>
      </c>
      <c r="D6744" s="0" t="s">
        <v>2105</v>
      </c>
      <c r="E6744" s="0" t="s">
        <v>2045</v>
      </c>
      <c r="F6744" s="0" t="s">
        <v>2176</v>
      </c>
      <c r="G6744" s="0" t="s">
        <v>2190</v>
      </c>
      <c r="H6744" s="0" t="s">
        <v>2191</v>
      </c>
      <c r="I6744" s="0" t="s">
        <v>2124</v>
      </c>
      <c r="J6744" s="0" t="s">
        <v>2368</v>
      </c>
      <c r="K6744" s="272" t="n">
        <v>-891119.57</v>
      </c>
    </row>
    <row r="6745" customFormat="false" ht="15" hidden="false" customHeight="false" outlineLevel="0" collapsed="false">
      <c r="A6745" s="0" t="s">
        <v>2041</v>
      </c>
      <c r="B6745" s="0" t="s">
        <v>2042</v>
      </c>
      <c r="C6745" s="0" t="s">
        <v>2156</v>
      </c>
      <c r="D6745" s="0" t="s">
        <v>2105</v>
      </c>
      <c r="E6745" s="0" t="s">
        <v>2045</v>
      </c>
      <c r="F6745" s="0" t="s">
        <v>2176</v>
      </c>
      <c r="G6745" s="0" t="s">
        <v>2190</v>
      </c>
      <c r="H6745" s="0" t="s">
        <v>2191</v>
      </c>
      <c r="I6745" s="0" t="s">
        <v>2322</v>
      </c>
      <c r="J6745" s="0" t="s">
        <v>2368</v>
      </c>
      <c r="K6745" s="272" t="n">
        <v>-42000000</v>
      </c>
    </row>
    <row r="6746" customFormat="false" ht="15" hidden="false" customHeight="false" outlineLevel="0" collapsed="false">
      <c r="A6746" s="0" t="s">
        <v>2041</v>
      </c>
      <c r="B6746" s="0" t="s">
        <v>2042</v>
      </c>
      <c r="C6746" s="0" t="s">
        <v>2161</v>
      </c>
      <c r="D6746" s="0" t="s">
        <v>2105</v>
      </c>
      <c r="E6746" s="0" t="s">
        <v>2045</v>
      </c>
      <c r="F6746" s="0" t="s">
        <v>2176</v>
      </c>
      <c r="G6746" s="0" t="s">
        <v>2190</v>
      </c>
      <c r="H6746" s="0" t="s">
        <v>2191</v>
      </c>
      <c r="I6746" s="0" t="s">
        <v>2322</v>
      </c>
      <c r="J6746" s="0" t="s">
        <v>2368</v>
      </c>
      <c r="K6746" s="272" t="n">
        <v>-8479234.84</v>
      </c>
    </row>
    <row r="6747" customFormat="false" ht="15" hidden="false" customHeight="false" outlineLevel="0" collapsed="false">
      <c r="A6747" s="0" t="s">
        <v>2041</v>
      </c>
      <c r="B6747" s="0" t="s">
        <v>2042</v>
      </c>
      <c r="C6747" s="0" t="s">
        <v>2156</v>
      </c>
      <c r="D6747" s="0" t="s">
        <v>2105</v>
      </c>
      <c r="E6747" s="0" t="s">
        <v>2045</v>
      </c>
      <c r="F6747" s="0" t="s">
        <v>2192</v>
      </c>
      <c r="G6747" s="0" t="s">
        <v>2193</v>
      </c>
      <c r="H6747" s="0" t="s">
        <v>2162</v>
      </c>
      <c r="I6747" s="0" t="s">
        <v>2124</v>
      </c>
      <c r="J6747" s="0" t="s">
        <v>2368</v>
      </c>
      <c r="K6747" s="272" t="n">
        <v>-3700000</v>
      </c>
    </row>
    <row r="6748" customFormat="false" ht="15" hidden="false" customHeight="false" outlineLevel="0" collapsed="false">
      <c r="A6748" s="0" t="s">
        <v>2041</v>
      </c>
      <c r="B6748" s="0" t="s">
        <v>2042</v>
      </c>
      <c r="C6748" s="0" t="s">
        <v>2161</v>
      </c>
      <c r="D6748" s="0" t="s">
        <v>2105</v>
      </c>
      <c r="E6748" s="0" t="s">
        <v>2045</v>
      </c>
      <c r="F6748" s="0" t="s">
        <v>2192</v>
      </c>
      <c r="G6748" s="0" t="s">
        <v>2193</v>
      </c>
      <c r="H6748" s="0" t="s">
        <v>2162</v>
      </c>
      <c r="I6748" s="0" t="s">
        <v>2124</v>
      </c>
      <c r="J6748" s="0" t="s">
        <v>2368</v>
      </c>
      <c r="K6748" s="272" t="n">
        <v>-1117400</v>
      </c>
    </row>
    <row r="6749" customFormat="false" ht="15" hidden="false" customHeight="false" outlineLevel="0" collapsed="false">
      <c r="A6749" s="0" t="s">
        <v>2041</v>
      </c>
      <c r="B6749" s="0" t="s">
        <v>2042</v>
      </c>
      <c r="C6749" s="0" t="s">
        <v>2156</v>
      </c>
      <c r="D6749" s="0" t="s">
        <v>2105</v>
      </c>
      <c r="E6749" s="0" t="s">
        <v>2045</v>
      </c>
      <c r="F6749" s="0" t="s">
        <v>2192</v>
      </c>
      <c r="G6749" s="0" t="s">
        <v>2193</v>
      </c>
      <c r="H6749" s="0" t="s">
        <v>2162</v>
      </c>
      <c r="I6749" s="0" t="s">
        <v>2322</v>
      </c>
      <c r="J6749" s="0" t="s">
        <v>2368</v>
      </c>
      <c r="K6749" s="272" t="n">
        <v>-144901839</v>
      </c>
    </row>
    <row r="6750" customFormat="false" ht="15" hidden="false" customHeight="false" outlineLevel="0" collapsed="false">
      <c r="A6750" s="0" t="s">
        <v>2041</v>
      </c>
      <c r="B6750" s="0" t="s">
        <v>2042</v>
      </c>
      <c r="C6750" s="0" t="s">
        <v>2161</v>
      </c>
      <c r="D6750" s="0" t="s">
        <v>2105</v>
      </c>
      <c r="E6750" s="0" t="s">
        <v>2045</v>
      </c>
      <c r="F6750" s="0" t="s">
        <v>2192</v>
      </c>
      <c r="G6750" s="0" t="s">
        <v>2193</v>
      </c>
      <c r="H6750" s="0" t="s">
        <v>2162</v>
      </c>
      <c r="I6750" s="0" t="s">
        <v>2322</v>
      </c>
      <c r="J6750" s="0" t="s">
        <v>2368</v>
      </c>
      <c r="K6750" s="272" t="n">
        <v>-28414769.48</v>
      </c>
    </row>
    <row r="6751" customFormat="false" ht="15" hidden="false" customHeight="false" outlineLevel="0" collapsed="false">
      <c r="A6751" s="0" t="s">
        <v>2041</v>
      </c>
      <c r="B6751" s="0" t="s">
        <v>2042</v>
      </c>
      <c r="C6751" s="0" t="s">
        <v>2156</v>
      </c>
      <c r="D6751" s="0" t="s">
        <v>2105</v>
      </c>
      <c r="E6751" s="0" t="s">
        <v>2045</v>
      </c>
      <c r="F6751" s="0" t="s">
        <v>2192</v>
      </c>
      <c r="G6751" s="0" t="s">
        <v>2194</v>
      </c>
      <c r="H6751" s="0" t="s">
        <v>2162</v>
      </c>
      <c r="I6751" s="0" t="s">
        <v>2124</v>
      </c>
      <c r="J6751" s="0" t="s">
        <v>2368</v>
      </c>
      <c r="K6751" s="272" t="n">
        <v>-2100000</v>
      </c>
    </row>
    <row r="6752" customFormat="false" ht="15" hidden="false" customHeight="false" outlineLevel="0" collapsed="false">
      <c r="A6752" s="0" t="s">
        <v>2041</v>
      </c>
      <c r="B6752" s="0" t="s">
        <v>2042</v>
      </c>
      <c r="C6752" s="0" t="s">
        <v>2161</v>
      </c>
      <c r="D6752" s="0" t="s">
        <v>2105</v>
      </c>
      <c r="E6752" s="0" t="s">
        <v>2045</v>
      </c>
      <c r="F6752" s="0" t="s">
        <v>2192</v>
      </c>
      <c r="G6752" s="0" t="s">
        <v>2194</v>
      </c>
      <c r="H6752" s="0" t="s">
        <v>2162</v>
      </c>
      <c r="I6752" s="0" t="s">
        <v>2124</v>
      </c>
      <c r="J6752" s="0" t="s">
        <v>2368</v>
      </c>
      <c r="K6752" s="272" t="n">
        <v>-634200</v>
      </c>
    </row>
    <row r="6753" customFormat="false" ht="15" hidden="false" customHeight="false" outlineLevel="0" collapsed="false">
      <c r="A6753" s="0" t="s">
        <v>2041</v>
      </c>
      <c r="B6753" s="0" t="s">
        <v>2042</v>
      </c>
      <c r="C6753" s="0" t="s">
        <v>2156</v>
      </c>
      <c r="D6753" s="0" t="s">
        <v>2105</v>
      </c>
      <c r="E6753" s="0" t="s">
        <v>2045</v>
      </c>
      <c r="F6753" s="0" t="s">
        <v>2192</v>
      </c>
      <c r="G6753" s="0" t="s">
        <v>2194</v>
      </c>
      <c r="H6753" s="0" t="s">
        <v>2162</v>
      </c>
      <c r="I6753" s="0" t="s">
        <v>2322</v>
      </c>
      <c r="J6753" s="0" t="s">
        <v>2368</v>
      </c>
      <c r="K6753" s="272" t="n">
        <v>-18125000</v>
      </c>
    </row>
    <row r="6754" customFormat="false" ht="15" hidden="false" customHeight="false" outlineLevel="0" collapsed="false">
      <c r="A6754" s="0" t="s">
        <v>2041</v>
      </c>
      <c r="B6754" s="0" t="s">
        <v>2042</v>
      </c>
      <c r="C6754" s="0" t="s">
        <v>2161</v>
      </c>
      <c r="D6754" s="0" t="s">
        <v>2105</v>
      </c>
      <c r="E6754" s="0" t="s">
        <v>2045</v>
      </c>
      <c r="F6754" s="0" t="s">
        <v>2192</v>
      </c>
      <c r="G6754" s="0" t="s">
        <v>2194</v>
      </c>
      <c r="H6754" s="0" t="s">
        <v>2162</v>
      </c>
      <c r="I6754" s="0" t="s">
        <v>2322</v>
      </c>
      <c r="J6754" s="0" t="s">
        <v>2368</v>
      </c>
      <c r="K6754" s="272" t="n">
        <v>-4213054.26</v>
      </c>
    </row>
    <row r="6755" customFormat="false" ht="15" hidden="false" customHeight="false" outlineLevel="0" collapsed="false">
      <c r="A6755" s="0" t="s">
        <v>2041</v>
      </c>
      <c r="B6755" s="0" t="s">
        <v>2042</v>
      </c>
      <c r="C6755" s="0" t="s">
        <v>2156</v>
      </c>
      <c r="D6755" s="0" t="s">
        <v>2105</v>
      </c>
      <c r="E6755" s="0" t="s">
        <v>2045</v>
      </c>
      <c r="F6755" s="0" t="s">
        <v>2192</v>
      </c>
      <c r="G6755" s="0" t="s">
        <v>2195</v>
      </c>
      <c r="H6755" s="0" t="s">
        <v>2171</v>
      </c>
      <c r="I6755" s="0" t="s">
        <v>2124</v>
      </c>
      <c r="J6755" s="0" t="s">
        <v>2368</v>
      </c>
      <c r="K6755" s="272" t="n">
        <v>-5700000</v>
      </c>
    </row>
    <row r="6756" customFormat="false" ht="15" hidden="false" customHeight="false" outlineLevel="0" collapsed="false">
      <c r="A6756" s="0" t="s">
        <v>2041</v>
      </c>
      <c r="B6756" s="0" t="s">
        <v>2042</v>
      </c>
      <c r="C6756" s="0" t="s">
        <v>2161</v>
      </c>
      <c r="D6756" s="0" t="s">
        <v>2105</v>
      </c>
      <c r="E6756" s="0" t="s">
        <v>2045</v>
      </c>
      <c r="F6756" s="0" t="s">
        <v>2192</v>
      </c>
      <c r="G6756" s="0" t="s">
        <v>2195</v>
      </c>
      <c r="H6756" s="0" t="s">
        <v>2171</v>
      </c>
      <c r="I6756" s="0" t="s">
        <v>2124</v>
      </c>
      <c r="J6756" s="0" t="s">
        <v>2368</v>
      </c>
      <c r="K6756" s="272" t="n">
        <v>-1277363.58</v>
      </c>
    </row>
    <row r="6757" customFormat="false" ht="15" hidden="false" customHeight="false" outlineLevel="0" collapsed="false">
      <c r="A6757" s="0" t="s">
        <v>2041</v>
      </c>
      <c r="B6757" s="0" t="s">
        <v>2042</v>
      </c>
      <c r="C6757" s="0" t="s">
        <v>2156</v>
      </c>
      <c r="D6757" s="0" t="s">
        <v>2105</v>
      </c>
      <c r="E6757" s="0" t="s">
        <v>2045</v>
      </c>
      <c r="F6757" s="0" t="s">
        <v>2192</v>
      </c>
      <c r="G6757" s="0" t="s">
        <v>2195</v>
      </c>
      <c r="H6757" s="0" t="s">
        <v>2171</v>
      </c>
      <c r="I6757" s="0" t="s">
        <v>2322</v>
      </c>
      <c r="J6757" s="0" t="s">
        <v>2368</v>
      </c>
      <c r="K6757" s="272" t="n">
        <v>-72020000</v>
      </c>
    </row>
    <row r="6758" customFormat="false" ht="15" hidden="false" customHeight="false" outlineLevel="0" collapsed="false">
      <c r="A6758" s="0" t="s">
        <v>2041</v>
      </c>
      <c r="B6758" s="0" t="s">
        <v>2042</v>
      </c>
      <c r="C6758" s="0" t="s">
        <v>2161</v>
      </c>
      <c r="D6758" s="0" t="s">
        <v>2105</v>
      </c>
      <c r="E6758" s="0" t="s">
        <v>2045</v>
      </c>
      <c r="F6758" s="0" t="s">
        <v>2192</v>
      </c>
      <c r="G6758" s="0" t="s">
        <v>2195</v>
      </c>
      <c r="H6758" s="0" t="s">
        <v>2171</v>
      </c>
      <c r="I6758" s="0" t="s">
        <v>2322</v>
      </c>
      <c r="J6758" s="0" t="s">
        <v>2368</v>
      </c>
      <c r="K6758" s="272" t="n">
        <v>-15246245</v>
      </c>
    </row>
    <row r="6759" customFormat="false" ht="15" hidden="false" customHeight="false" outlineLevel="0" collapsed="false">
      <c r="A6759" s="0" t="s">
        <v>2041</v>
      </c>
      <c r="B6759" s="0" t="s">
        <v>2042</v>
      </c>
      <c r="C6759" s="0" t="s">
        <v>2156</v>
      </c>
      <c r="D6759" s="0" t="s">
        <v>2105</v>
      </c>
      <c r="E6759" s="0" t="s">
        <v>2045</v>
      </c>
      <c r="F6759" s="0" t="s">
        <v>2192</v>
      </c>
      <c r="G6759" s="0" t="s">
        <v>2195</v>
      </c>
      <c r="H6759" s="0" t="s">
        <v>2162</v>
      </c>
      <c r="I6759" s="0" t="s">
        <v>2124</v>
      </c>
      <c r="J6759" s="0" t="s">
        <v>2368</v>
      </c>
      <c r="K6759" s="272" t="n">
        <v>-16600000</v>
      </c>
    </row>
    <row r="6760" customFormat="false" ht="15" hidden="false" customHeight="false" outlineLevel="0" collapsed="false">
      <c r="A6760" s="0" t="s">
        <v>2041</v>
      </c>
      <c r="B6760" s="0" t="s">
        <v>2042</v>
      </c>
      <c r="C6760" s="0" t="s">
        <v>2161</v>
      </c>
      <c r="D6760" s="0" t="s">
        <v>2105</v>
      </c>
      <c r="E6760" s="0" t="s">
        <v>2045</v>
      </c>
      <c r="F6760" s="0" t="s">
        <v>2192</v>
      </c>
      <c r="G6760" s="0" t="s">
        <v>2195</v>
      </c>
      <c r="H6760" s="0" t="s">
        <v>2162</v>
      </c>
      <c r="I6760" s="0" t="s">
        <v>2124</v>
      </c>
      <c r="J6760" s="0" t="s">
        <v>2368</v>
      </c>
      <c r="K6760" s="272" t="n">
        <v>-2990699.49</v>
      </c>
    </row>
    <row r="6761" customFormat="false" ht="15" hidden="false" customHeight="false" outlineLevel="0" collapsed="false">
      <c r="A6761" s="0" t="s">
        <v>2041</v>
      </c>
      <c r="B6761" s="0" t="s">
        <v>2042</v>
      </c>
      <c r="C6761" s="0" t="s">
        <v>2156</v>
      </c>
      <c r="D6761" s="0" t="s">
        <v>2105</v>
      </c>
      <c r="E6761" s="0" t="s">
        <v>2045</v>
      </c>
      <c r="F6761" s="0" t="s">
        <v>2192</v>
      </c>
      <c r="G6761" s="0" t="s">
        <v>2195</v>
      </c>
      <c r="H6761" s="0" t="s">
        <v>2162</v>
      </c>
      <c r="I6761" s="0" t="s">
        <v>2322</v>
      </c>
      <c r="J6761" s="0" t="s">
        <v>2368</v>
      </c>
      <c r="K6761" s="272" t="n">
        <v>-400000</v>
      </c>
    </row>
    <row r="6762" customFormat="false" ht="15" hidden="false" customHeight="false" outlineLevel="0" collapsed="false">
      <c r="A6762" s="0" t="s">
        <v>2041</v>
      </c>
      <c r="B6762" s="0" t="s">
        <v>2042</v>
      </c>
      <c r="C6762" s="0" t="s">
        <v>2161</v>
      </c>
      <c r="D6762" s="0" t="s">
        <v>2105</v>
      </c>
      <c r="E6762" s="0" t="s">
        <v>2045</v>
      </c>
      <c r="F6762" s="0" t="s">
        <v>2192</v>
      </c>
      <c r="G6762" s="0" t="s">
        <v>2195</v>
      </c>
      <c r="H6762" s="0" t="s">
        <v>2162</v>
      </c>
      <c r="I6762" s="0" t="s">
        <v>2322</v>
      </c>
      <c r="J6762" s="0" t="s">
        <v>2368</v>
      </c>
      <c r="K6762" s="272" t="n">
        <v>-120800</v>
      </c>
    </row>
    <row r="6763" customFormat="false" ht="15" hidden="false" customHeight="false" outlineLevel="0" collapsed="false">
      <c r="A6763" s="0" t="s">
        <v>2041</v>
      </c>
      <c r="B6763" s="0" t="s">
        <v>2042</v>
      </c>
      <c r="C6763" s="0" t="s">
        <v>2156</v>
      </c>
      <c r="D6763" s="0" t="s">
        <v>2105</v>
      </c>
      <c r="E6763" s="0" t="s">
        <v>2045</v>
      </c>
      <c r="F6763" s="0" t="s">
        <v>2192</v>
      </c>
      <c r="G6763" s="0" t="s">
        <v>2196</v>
      </c>
      <c r="H6763" s="0" t="s">
        <v>2162</v>
      </c>
      <c r="I6763" s="0" t="s">
        <v>2124</v>
      </c>
      <c r="J6763" s="0" t="s">
        <v>2368</v>
      </c>
      <c r="K6763" s="272" t="n">
        <v>-8500000</v>
      </c>
    </row>
    <row r="6764" customFormat="false" ht="15" hidden="false" customHeight="false" outlineLevel="0" collapsed="false">
      <c r="A6764" s="0" t="s">
        <v>2041</v>
      </c>
      <c r="B6764" s="0" t="s">
        <v>2042</v>
      </c>
      <c r="C6764" s="0" t="s">
        <v>2161</v>
      </c>
      <c r="D6764" s="0" t="s">
        <v>2105</v>
      </c>
      <c r="E6764" s="0" t="s">
        <v>2045</v>
      </c>
      <c r="F6764" s="0" t="s">
        <v>2192</v>
      </c>
      <c r="G6764" s="0" t="s">
        <v>2196</v>
      </c>
      <c r="H6764" s="0" t="s">
        <v>2162</v>
      </c>
      <c r="I6764" s="0" t="s">
        <v>2124</v>
      </c>
      <c r="J6764" s="0" t="s">
        <v>2368</v>
      </c>
      <c r="K6764" s="272" t="n">
        <v>-1735738.53</v>
      </c>
    </row>
    <row r="6765" customFormat="false" ht="15" hidden="false" customHeight="false" outlineLevel="0" collapsed="false">
      <c r="A6765" s="0" t="s">
        <v>2041</v>
      </c>
      <c r="B6765" s="0" t="s">
        <v>2042</v>
      </c>
      <c r="C6765" s="0" t="s">
        <v>2156</v>
      </c>
      <c r="D6765" s="0" t="s">
        <v>2105</v>
      </c>
      <c r="E6765" s="0" t="s">
        <v>2045</v>
      </c>
      <c r="F6765" s="0" t="s">
        <v>2192</v>
      </c>
      <c r="G6765" s="0" t="s">
        <v>2196</v>
      </c>
      <c r="H6765" s="0" t="s">
        <v>2162</v>
      </c>
      <c r="I6765" s="0" t="s">
        <v>2197</v>
      </c>
      <c r="J6765" s="0" t="s">
        <v>2368</v>
      </c>
      <c r="K6765" s="272" t="n">
        <v>-3300000</v>
      </c>
    </row>
    <row r="6766" customFormat="false" ht="15" hidden="false" customHeight="false" outlineLevel="0" collapsed="false">
      <c r="A6766" s="0" t="s">
        <v>2041</v>
      </c>
      <c r="B6766" s="0" t="s">
        <v>2042</v>
      </c>
      <c r="C6766" s="0" t="s">
        <v>2161</v>
      </c>
      <c r="D6766" s="0" t="s">
        <v>2105</v>
      </c>
      <c r="E6766" s="0" t="s">
        <v>2045</v>
      </c>
      <c r="F6766" s="0" t="s">
        <v>2192</v>
      </c>
      <c r="G6766" s="0" t="s">
        <v>2196</v>
      </c>
      <c r="H6766" s="0" t="s">
        <v>2162</v>
      </c>
      <c r="I6766" s="0" t="s">
        <v>2197</v>
      </c>
      <c r="J6766" s="0" t="s">
        <v>2368</v>
      </c>
      <c r="K6766" s="272" t="n">
        <v>-924240</v>
      </c>
    </row>
    <row r="6767" customFormat="false" ht="15" hidden="false" customHeight="false" outlineLevel="0" collapsed="false">
      <c r="A6767" s="0" t="s">
        <v>2041</v>
      </c>
      <c r="B6767" s="0" t="s">
        <v>2042</v>
      </c>
      <c r="C6767" s="0" t="s">
        <v>2156</v>
      </c>
      <c r="D6767" s="0" t="s">
        <v>2105</v>
      </c>
      <c r="E6767" s="0" t="s">
        <v>2045</v>
      </c>
      <c r="F6767" s="0" t="s">
        <v>2192</v>
      </c>
      <c r="G6767" s="0" t="s">
        <v>2196</v>
      </c>
      <c r="H6767" s="0" t="s">
        <v>2162</v>
      </c>
      <c r="I6767" s="0" t="s">
        <v>2322</v>
      </c>
      <c r="J6767" s="0" t="s">
        <v>2368</v>
      </c>
      <c r="K6767" s="272" t="n">
        <v>-42370000</v>
      </c>
    </row>
    <row r="6768" customFormat="false" ht="15" hidden="false" customHeight="false" outlineLevel="0" collapsed="false">
      <c r="A6768" s="0" t="s">
        <v>2041</v>
      </c>
      <c r="B6768" s="0" t="s">
        <v>2042</v>
      </c>
      <c r="C6768" s="0" t="s">
        <v>2161</v>
      </c>
      <c r="D6768" s="0" t="s">
        <v>2105</v>
      </c>
      <c r="E6768" s="0" t="s">
        <v>2045</v>
      </c>
      <c r="F6768" s="0" t="s">
        <v>2192</v>
      </c>
      <c r="G6768" s="0" t="s">
        <v>2196</v>
      </c>
      <c r="H6768" s="0" t="s">
        <v>2162</v>
      </c>
      <c r="I6768" s="0" t="s">
        <v>2322</v>
      </c>
      <c r="J6768" s="0" t="s">
        <v>2368</v>
      </c>
      <c r="K6768" s="272" t="n">
        <v>-9796206.08</v>
      </c>
    </row>
    <row r="6769" customFormat="false" ht="15" hidden="false" customHeight="false" outlineLevel="0" collapsed="false">
      <c r="A6769" s="0" t="s">
        <v>2041</v>
      </c>
      <c r="B6769" s="0" t="s">
        <v>2042</v>
      </c>
      <c r="C6769" s="0" t="s">
        <v>2156</v>
      </c>
      <c r="D6769" s="0" t="s">
        <v>2105</v>
      </c>
      <c r="E6769" s="0" t="s">
        <v>2045</v>
      </c>
      <c r="F6769" s="0" t="s">
        <v>2198</v>
      </c>
      <c r="G6769" s="0" t="s">
        <v>2199</v>
      </c>
      <c r="H6769" s="0" t="s">
        <v>2200</v>
      </c>
      <c r="I6769" s="0" t="s">
        <v>2124</v>
      </c>
      <c r="J6769" s="0" t="s">
        <v>2368</v>
      </c>
      <c r="K6769" s="272" t="n">
        <v>-77834554</v>
      </c>
    </row>
    <row r="6770" customFormat="false" ht="15" hidden="false" customHeight="false" outlineLevel="0" collapsed="false">
      <c r="A6770" s="0" t="s">
        <v>2041</v>
      </c>
      <c r="B6770" s="0" t="s">
        <v>2042</v>
      </c>
      <c r="C6770" s="0" t="s">
        <v>2161</v>
      </c>
      <c r="D6770" s="0" t="s">
        <v>2105</v>
      </c>
      <c r="E6770" s="0" t="s">
        <v>2045</v>
      </c>
      <c r="F6770" s="0" t="s">
        <v>2198</v>
      </c>
      <c r="G6770" s="0" t="s">
        <v>2199</v>
      </c>
      <c r="H6770" s="0" t="s">
        <v>2200</v>
      </c>
      <c r="I6770" s="0" t="s">
        <v>2124</v>
      </c>
      <c r="J6770" s="0" t="s">
        <v>2368</v>
      </c>
      <c r="K6770" s="272" t="n">
        <v>-12636913.79</v>
      </c>
    </row>
    <row r="6771" customFormat="false" ht="15" hidden="false" customHeight="false" outlineLevel="0" collapsed="false">
      <c r="A6771" s="0" t="s">
        <v>2041</v>
      </c>
      <c r="B6771" s="0" t="s">
        <v>2042</v>
      </c>
      <c r="C6771" s="0" t="s">
        <v>2156</v>
      </c>
      <c r="D6771" s="0" t="s">
        <v>2105</v>
      </c>
      <c r="E6771" s="0" t="s">
        <v>2045</v>
      </c>
      <c r="F6771" s="0" t="s">
        <v>2198</v>
      </c>
      <c r="G6771" s="0" t="s">
        <v>2199</v>
      </c>
      <c r="H6771" s="0" t="s">
        <v>2200</v>
      </c>
      <c r="I6771" s="0" t="s">
        <v>2201</v>
      </c>
      <c r="J6771" s="0" t="s">
        <v>2368</v>
      </c>
      <c r="K6771" s="272" t="n">
        <v>-2000000</v>
      </c>
    </row>
    <row r="6772" customFormat="false" ht="15" hidden="false" customHeight="false" outlineLevel="0" collapsed="false">
      <c r="A6772" s="0" t="s">
        <v>2041</v>
      </c>
      <c r="B6772" s="0" t="s">
        <v>2042</v>
      </c>
      <c r="C6772" s="0" t="s">
        <v>2161</v>
      </c>
      <c r="D6772" s="0" t="s">
        <v>2105</v>
      </c>
      <c r="E6772" s="0" t="s">
        <v>2045</v>
      </c>
      <c r="F6772" s="0" t="s">
        <v>2198</v>
      </c>
      <c r="G6772" s="0" t="s">
        <v>2199</v>
      </c>
      <c r="H6772" s="0" t="s">
        <v>2200</v>
      </c>
      <c r="I6772" s="0" t="s">
        <v>2201</v>
      </c>
      <c r="J6772" s="0" t="s">
        <v>2368</v>
      </c>
      <c r="K6772" s="272" t="n">
        <v>-573281.27</v>
      </c>
    </row>
    <row r="6773" customFormat="false" ht="15" hidden="false" customHeight="false" outlineLevel="0" collapsed="false">
      <c r="A6773" s="0" t="s">
        <v>2041</v>
      </c>
      <c r="B6773" s="0" t="s">
        <v>2042</v>
      </c>
      <c r="C6773" s="0" t="s">
        <v>2156</v>
      </c>
      <c r="D6773" s="0" t="s">
        <v>2105</v>
      </c>
      <c r="E6773" s="0" t="s">
        <v>2045</v>
      </c>
      <c r="F6773" s="0" t="s">
        <v>2198</v>
      </c>
      <c r="G6773" s="0" t="s">
        <v>2199</v>
      </c>
      <c r="H6773" s="0" t="s">
        <v>2200</v>
      </c>
      <c r="I6773" s="0" t="s">
        <v>2322</v>
      </c>
      <c r="J6773" s="0" t="s">
        <v>2368</v>
      </c>
      <c r="K6773" s="272" t="n">
        <v>-176690000</v>
      </c>
    </row>
    <row r="6774" customFormat="false" ht="15" hidden="false" customHeight="false" outlineLevel="0" collapsed="false">
      <c r="A6774" s="0" t="s">
        <v>2041</v>
      </c>
      <c r="B6774" s="0" t="s">
        <v>2042</v>
      </c>
      <c r="C6774" s="0" t="s">
        <v>2161</v>
      </c>
      <c r="D6774" s="0" t="s">
        <v>2105</v>
      </c>
      <c r="E6774" s="0" t="s">
        <v>2045</v>
      </c>
      <c r="F6774" s="0" t="s">
        <v>2198</v>
      </c>
      <c r="G6774" s="0" t="s">
        <v>2199</v>
      </c>
      <c r="H6774" s="0" t="s">
        <v>2200</v>
      </c>
      <c r="I6774" s="0" t="s">
        <v>2322</v>
      </c>
      <c r="J6774" s="0" t="s">
        <v>2368</v>
      </c>
      <c r="K6774" s="272" t="n">
        <v>-32820949.47</v>
      </c>
    </row>
    <row r="6775" customFormat="false" ht="15" hidden="false" customHeight="false" outlineLevel="0" collapsed="false">
      <c r="A6775" s="0" t="s">
        <v>2041</v>
      </c>
      <c r="B6775" s="0" t="s">
        <v>2042</v>
      </c>
      <c r="C6775" s="0" t="s">
        <v>2156</v>
      </c>
      <c r="D6775" s="0" t="s">
        <v>2105</v>
      </c>
      <c r="E6775" s="0" t="s">
        <v>2045</v>
      </c>
      <c r="F6775" s="0" t="s">
        <v>2198</v>
      </c>
      <c r="G6775" s="0" t="s">
        <v>2199</v>
      </c>
      <c r="H6775" s="0" t="s">
        <v>2202</v>
      </c>
      <c r="I6775" s="0" t="s">
        <v>2124</v>
      </c>
      <c r="J6775" s="0" t="s">
        <v>2368</v>
      </c>
      <c r="K6775" s="272" t="n">
        <v>-3000000</v>
      </c>
    </row>
    <row r="6776" customFormat="false" ht="15" hidden="false" customHeight="false" outlineLevel="0" collapsed="false">
      <c r="A6776" s="0" t="s">
        <v>2041</v>
      </c>
      <c r="B6776" s="0" t="s">
        <v>2042</v>
      </c>
      <c r="C6776" s="0" t="s">
        <v>2161</v>
      </c>
      <c r="D6776" s="0" t="s">
        <v>2105</v>
      </c>
      <c r="E6776" s="0" t="s">
        <v>2045</v>
      </c>
      <c r="F6776" s="0" t="s">
        <v>2198</v>
      </c>
      <c r="G6776" s="0" t="s">
        <v>2199</v>
      </c>
      <c r="H6776" s="0" t="s">
        <v>2202</v>
      </c>
      <c r="I6776" s="0" t="s">
        <v>2124</v>
      </c>
      <c r="J6776" s="0" t="s">
        <v>2368</v>
      </c>
      <c r="K6776" s="272" t="n">
        <v>-536866.03</v>
      </c>
    </row>
    <row r="6777" customFormat="false" ht="15" hidden="false" customHeight="false" outlineLevel="0" collapsed="false">
      <c r="A6777" s="0" t="s">
        <v>2041</v>
      </c>
      <c r="B6777" s="0" t="s">
        <v>2042</v>
      </c>
      <c r="C6777" s="0" t="s">
        <v>2156</v>
      </c>
      <c r="D6777" s="0" t="s">
        <v>2105</v>
      </c>
      <c r="E6777" s="0" t="s">
        <v>2045</v>
      </c>
      <c r="F6777" s="0" t="s">
        <v>2198</v>
      </c>
      <c r="G6777" s="0" t="s">
        <v>2199</v>
      </c>
      <c r="H6777" s="0" t="s">
        <v>2202</v>
      </c>
      <c r="I6777" s="0" t="s">
        <v>2322</v>
      </c>
      <c r="J6777" s="0" t="s">
        <v>2368</v>
      </c>
      <c r="K6777" s="272" t="n">
        <v>-19675000</v>
      </c>
    </row>
    <row r="6778" customFormat="false" ht="15" hidden="false" customHeight="false" outlineLevel="0" collapsed="false">
      <c r="A6778" s="0" t="s">
        <v>2041</v>
      </c>
      <c r="B6778" s="0" t="s">
        <v>2042</v>
      </c>
      <c r="C6778" s="0" t="s">
        <v>2161</v>
      </c>
      <c r="D6778" s="0" t="s">
        <v>2105</v>
      </c>
      <c r="E6778" s="0" t="s">
        <v>2045</v>
      </c>
      <c r="F6778" s="0" t="s">
        <v>2198</v>
      </c>
      <c r="G6778" s="0" t="s">
        <v>2199</v>
      </c>
      <c r="H6778" s="0" t="s">
        <v>2202</v>
      </c>
      <c r="I6778" s="0" t="s">
        <v>2322</v>
      </c>
      <c r="J6778" s="0" t="s">
        <v>2368</v>
      </c>
      <c r="K6778" s="272" t="n">
        <v>-3759215.17</v>
      </c>
    </row>
    <row r="6779" customFormat="false" ht="15" hidden="false" customHeight="false" outlineLevel="0" collapsed="false">
      <c r="A6779" s="0" t="s">
        <v>2041</v>
      </c>
      <c r="B6779" s="0" t="s">
        <v>2042</v>
      </c>
      <c r="C6779" s="0" t="s">
        <v>2156</v>
      </c>
      <c r="D6779" s="0" t="s">
        <v>2105</v>
      </c>
      <c r="E6779" s="0" t="s">
        <v>2045</v>
      </c>
      <c r="F6779" s="0" t="s">
        <v>2198</v>
      </c>
      <c r="G6779" s="0" t="s">
        <v>2199</v>
      </c>
      <c r="H6779" s="0" t="s">
        <v>2203</v>
      </c>
      <c r="I6779" s="0" t="s">
        <v>2124</v>
      </c>
      <c r="J6779" s="0" t="s">
        <v>2368</v>
      </c>
      <c r="K6779" s="272" t="n">
        <v>-20800000</v>
      </c>
    </row>
    <row r="6780" customFormat="false" ht="15" hidden="false" customHeight="false" outlineLevel="0" collapsed="false">
      <c r="A6780" s="0" t="s">
        <v>2041</v>
      </c>
      <c r="B6780" s="0" t="s">
        <v>2042</v>
      </c>
      <c r="C6780" s="0" t="s">
        <v>2161</v>
      </c>
      <c r="D6780" s="0" t="s">
        <v>2105</v>
      </c>
      <c r="E6780" s="0" t="s">
        <v>2045</v>
      </c>
      <c r="F6780" s="0" t="s">
        <v>2198</v>
      </c>
      <c r="G6780" s="0" t="s">
        <v>2199</v>
      </c>
      <c r="H6780" s="0" t="s">
        <v>2203</v>
      </c>
      <c r="I6780" s="0" t="s">
        <v>2124</v>
      </c>
      <c r="J6780" s="0" t="s">
        <v>2368</v>
      </c>
      <c r="K6780" s="272" t="n">
        <v>-4245329.41</v>
      </c>
    </row>
    <row r="6781" customFormat="false" ht="15" hidden="false" customHeight="false" outlineLevel="0" collapsed="false">
      <c r="A6781" s="0" t="s">
        <v>2041</v>
      </c>
      <c r="B6781" s="0" t="s">
        <v>2042</v>
      </c>
      <c r="C6781" s="0" t="s">
        <v>2156</v>
      </c>
      <c r="D6781" s="0" t="s">
        <v>2105</v>
      </c>
      <c r="E6781" s="0" t="s">
        <v>2045</v>
      </c>
      <c r="F6781" s="0" t="s">
        <v>2198</v>
      </c>
      <c r="G6781" s="0" t="s">
        <v>2199</v>
      </c>
      <c r="H6781" s="0" t="s">
        <v>2203</v>
      </c>
      <c r="I6781" s="0" t="s">
        <v>2322</v>
      </c>
      <c r="J6781" s="0" t="s">
        <v>2368</v>
      </c>
      <c r="K6781" s="272" t="n">
        <v>-179325313</v>
      </c>
    </row>
    <row r="6782" customFormat="false" ht="15" hidden="false" customHeight="false" outlineLevel="0" collapsed="false">
      <c r="A6782" s="0" t="s">
        <v>2041</v>
      </c>
      <c r="B6782" s="0" t="s">
        <v>2042</v>
      </c>
      <c r="C6782" s="0" t="s">
        <v>2161</v>
      </c>
      <c r="D6782" s="0" t="s">
        <v>2105</v>
      </c>
      <c r="E6782" s="0" t="s">
        <v>2045</v>
      </c>
      <c r="F6782" s="0" t="s">
        <v>2198</v>
      </c>
      <c r="G6782" s="0" t="s">
        <v>2199</v>
      </c>
      <c r="H6782" s="0" t="s">
        <v>2203</v>
      </c>
      <c r="I6782" s="0" t="s">
        <v>2322</v>
      </c>
      <c r="J6782" s="0" t="s">
        <v>2368</v>
      </c>
      <c r="K6782" s="272" t="n">
        <v>-31773903.19</v>
      </c>
    </row>
    <row r="6783" customFormat="false" ht="15" hidden="false" customHeight="false" outlineLevel="0" collapsed="false">
      <c r="A6783" s="0" t="s">
        <v>2041</v>
      </c>
      <c r="B6783" s="0" t="s">
        <v>2042</v>
      </c>
      <c r="C6783" s="0" t="s">
        <v>2156</v>
      </c>
      <c r="D6783" s="0" t="s">
        <v>2105</v>
      </c>
      <c r="E6783" s="0" t="s">
        <v>2045</v>
      </c>
      <c r="F6783" s="0" t="s">
        <v>2204</v>
      </c>
      <c r="G6783" s="0" t="s">
        <v>2205</v>
      </c>
      <c r="H6783" s="0" t="s">
        <v>2206</v>
      </c>
      <c r="I6783" s="0" t="s">
        <v>2322</v>
      </c>
      <c r="J6783" s="0" t="s">
        <v>2368</v>
      </c>
      <c r="K6783" s="272" t="n">
        <v>-6250000</v>
      </c>
    </row>
    <row r="6784" customFormat="false" ht="15" hidden="false" customHeight="false" outlineLevel="0" collapsed="false">
      <c r="A6784" s="0" t="s">
        <v>2041</v>
      </c>
      <c r="B6784" s="0" t="s">
        <v>2042</v>
      </c>
      <c r="C6784" s="0" t="s">
        <v>2161</v>
      </c>
      <c r="D6784" s="0" t="s">
        <v>2105</v>
      </c>
      <c r="E6784" s="0" t="s">
        <v>2045</v>
      </c>
      <c r="F6784" s="0" t="s">
        <v>2204</v>
      </c>
      <c r="G6784" s="0" t="s">
        <v>2205</v>
      </c>
      <c r="H6784" s="0" t="s">
        <v>2206</v>
      </c>
      <c r="I6784" s="0" t="s">
        <v>2322</v>
      </c>
      <c r="J6784" s="0" t="s">
        <v>2368</v>
      </c>
      <c r="K6784" s="272" t="n">
        <v>-956250</v>
      </c>
    </row>
    <row r="6785" customFormat="false" ht="15" hidden="false" customHeight="false" outlineLevel="0" collapsed="false">
      <c r="A6785" s="0" t="s">
        <v>2041</v>
      </c>
      <c r="B6785" s="0" t="s">
        <v>2042</v>
      </c>
      <c r="C6785" s="0" t="s">
        <v>2156</v>
      </c>
      <c r="D6785" s="0" t="s">
        <v>2105</v>
      </c>
      <c r="E6785" s="0" t="s">
        <v>2045</v>
      </c>
      <c r="F6785" s="0" t="s">
        <v>2204</v>
      </c>
      <c r="G6785" s="0" t="s">
        <v>2205</v>
      </c>
      <c r="H6785" s="0" t="s">
        <v>2207</v>
      </c>
      <c r="I6785" s="0" t="s">
        <v>2322</v>
      </c>
      <c r="J6785" s="0" t="s">
        <v>2368</v>
      </c>
      <c r="K6785" s="272" t="n">
        <v>-6250000</v>
      </c>
    </row>
    <row r="6786" customFormat="false" ht="15" hidden="false" customHeight="false" outlineLevel="0" collapsed="false">
      <c r="A6786" s="0" t="s">
        <v>2041</v>
      </c>
      <c r="B6786" s="0" t="s">
        <v>2042</v>
      </c>
      <c r="C6786" s="0" t="s">
        <v>2161</v>
      </c>
      <c r="D6786" s="0" t="s">
        <v>2105</v>
      </c>
      <c r="E6786" s="0" t="s">
        <v>2045</v>
      </c>
      <c r="F6786" s="0" t="s">
        <v>2204</v>
      </c>
      <c r="G6786" s="0" t="s">
        <v>2205</v>
      </c>
      <c r="H6786" s="0" t="s">
        <v>2207</v>
      </c>
      <c r="I6786" s="0" t="s">
        <v>2322</v>
      </c>
      <c r="J6786" s="0" t="s">
        <v>2368</v>
      </c>
      <c r="K6786" s="272" t="n">
        <v>-956250</v>
      </c>
    </row>
    <row r="6787" customFormat="false" ht="15" hidden="false" customHeight="false" outlineLevel="0" collapsed="false">
      <c r="A6787" s="0" t="s">
        <v>2041</v>
      </c>
      <c r="B6787" s="0" t="s">
        <v>2042</v>
      </c>
      <c r="C6787" s="0" t="s">
        <v>2156</v>
      </c>
      <c r="D6787" s="0" t="s">
        <v>2105</v>
      </c>
      <c r="E6787" s="0" t="s">
        <v>2045</v>
      </c>
      <c r="F6787" s="0" t="s">
        <v>2204</v>
      </c>
      <c r="G6787" s="0" t="s">
        <v>2205</v>
      </c>
      <c r="H6787" s="0" t="s">
        <v>2208</v>
      </c>
      <c r="I6787" s="0" t="s">
        <v>2322</v>
      </c>
      <c r="J6787" s="0" t="s">
        <v>2368</v>
      </c>
      <c r="K6787" s="272" t="n">
        <v>-12500000</v>
      </c>
    </row>
    <row r="6788" customFormat="false" ht="15" hidden="false" customHeight="false" outlineLevel="0" collapsed="false">
      <c r="A6788" s="0" t="s">
        <v>2041</v>
      </c>
      <c r="B6788" s="0" t="s">
        <v>2042</v>
      </c>
      <c r="C6788" s="0" t="s">
        <v>2161</v>
      </c>
      <c r="D6788" s="0" t="s">
        <v>2105</v>
      </c>
      <c r="E6788" s="0" t="s">
        <v>2045</v>
      </c>
      <c r="F6788" s="0" t="s">
        <v>2204</v>
      </c>
      <c r="G6788" s="0" t="s">
        <v>2205</v>
      </c>
      <c r="H6788" s="0" t="s">
        <v>2208</v>
      </c>
      <c r="I6788" s="0" t="s">
        <v>2322</v>
      </c>
      <c r="J6788" s="0" t="s">
        <v>2368</v>
      </c>
      <c r="K6788" s="272" t="n">
        <v>-1912500</v>
      </c>
    </row>
    <row r="6789" customFormat="false" ht="15" hidden="false" customHeight="false" outlineLevel="0" collapsed="false">
      <c r="A6789" s="0" t="s">
        <v>2041</v>
      </c>
      <c r="B6789" s="0" t="s">
        <v>2042</v>
      </c>
      <c r="C6789" s="0" t="s">
        <v>2156</v>
      </c>
      <c r="D6789" s="0" t="s">
        <v>2105</v>
      </c>
      <c r="E6789" s="0" t="s">
        <v>2045</v>
      </c>
      <c r="F6789" s="0" t="s">
        <v>2204</v>
      </c>
      <c r="G6789" s="0" t="s">
        <v>2212</v>
      </c>
      <c r="H6789" s="0" t="s">
        <v>2208</v>
      </c>
      <c r="I6789" s="0" t="s">
        <v>2124</v>
      </c>
      <c r="J6789" s="0" t="s">
        <v>2368</v>
      </c>
      <c r="K6789" s="272" t="n">
        <v>-11000000</v>
      </c>
    </row>
    <row r="6790" customFormat="false" ht="15" hidden="false" customHeight="false" outlineLevel="0" collapsed="false">
      <c r="A6790" s="0" t="s">
        <v>2041</v>
      </c>
      <c r="B6790" s="0" t="s">
        <v>2042</v>
      </c>
      <c r="C6790" s="0" t="s">
        <v>2161</v>
      </c>
      <c r="D6790" s="0" t="s">
        <v>2105</v>
      </c>
      <c r="E6790" s="0" t="s">
        <v>2045</v>
      </c>
      <c r="F6790" s="0" t="s">
        <v>2204</v>
      </c>
      <c r="G6790" s="0" t="s">
        <v>2212</v>
      </c>
      <c r="H6790" s="0" t="s">
        <v>2208</v>
      </c>
      <c r="I6790" s="0" t="s">
        <v>2124</v>
      </c>
      <c r="J6790" s="0" t="s">
        <v>2368</v>
      </c>
      <c r="K6790" s="272" t="n">
        <v>-1716443.35</v>
      </c>
    </row>
    <row r="6791" customFormat="false" ht="15" hidden="false" customHeight="false" outlineLevel="0" collapsed="false">
      <c r="A6791" s="0" t="s">
        <v>2041</v>
      </c>
      <c r="B6791" s="0" t="s">
        <v>2042</v>
      </c>
      <c r="C6791" s="0" t="s">
        <v>2156</v>
      </c>
      <c r="D6791" s="0" t="s">
        <v>2105</v>
      </c>
      <c r="E6791" s="0" t="s">
        <v>2045</v>
      </c>
      <c r="F6791" s="0" t="s">
        <v>2204</v>
      </c>
      <c r="G6791" s="0" t="s">
        <v>2214</v>
      </c>
      <c r="H6791" s="0" t="s">
        <v>2206</v>
      </c>
      <c r="I6791" s="0" t="s">
        <v>2322</v>
      </c>
      <c r="J6791" s="0" t="s">
        <v>2368</v>
      </c>
      <c r="K6791" s="272" t="n">
        <v>-1300000</v>
      </c>
    </row>
    <row r="6792" customFormat="false" ht="15" hidden="false" customHeight="false" outlineLevel="0" collapsed="false">
      <c r="A6792" s="0" t="s">
        <v>2041</v>
      </c>
      <c r="B6792" s="0" t="s">
        <v>2042</v>
      </c>
      <c r="C6792" s="0" t="s">
        <v>2161</v>
      </c>
      <c r="D6792" s="0" t="s">
        <v>2105</v>
      </c>
      <c r="E6792" s="0" t="s">
        <v>2045</v>
      </c>
      <c r="F6792" s="0" t="s">
        <v>2204</v>
      </c>
      <c r="G6792" s="0" t="s">
        <v>2214</v>
      </c>
      <c r="H6792" s="0" t="s">
        <v>2206</v>
      </c>
      <c r="I6792" s="0" t="s">
        <v>2322</v>
      </c>
      <c r="J6792" s="0" t="s">
        <v>2368</v>
      </c>
      <c r="K6792" s="272" t="n">
        <v>-361445.31</v>
      </c>
    </row>
    <row r="6793" customFormat="false" ht="15" hidden="false" customHeight="false" outlineLevel="0" collapsed="false">
      <c r="A6793" s="0" t="s">
        <v>2041</v>
      </c>
      <c r="B6793" s="0" t="s">
        <v>2042</v>
      </c>
      <c r="C6793" s="0" t="s">
        <v>2156</v>
      </c>
      <c r="D6793" s="0" t="s">
        <v>2105</v>
      </c>
      <c r="E6793" s="0" t="s">
        <v>2045</v>
      </c>
      <c r="F6793" s="0" t="s">
        <v>2204</v>
      </c>
      <c r="G6793" s="0" t="s">
        <v>2214</v>
      </c>
      <c r="H6793" s="0" t="s">
        <v>2208</v>
      </c>
      <c r="I6793" s="0" t="s">
        <v>2322</v>
      </c>
      <c r="J6793" s="0" t="s">
        <v>2368</v>
      </c>
      <c r="K6793" s="272" t="n">
        <v>-1300000</v>
      </c>
    </row>
    <row r="6794" customFormat="false" ht="15" hidden="false" customHeight="false" outlineLevel="0" collapsed="false">
      <c r="A6794" s="0" t="s">
        <v>2041</v>
      </c>
      <c r="B6794" s="0" t="s">
        <v>2042</v>
      </c>
      <c r="C6794" s="0" t="s">
        <v>2161</v>
      </c>
      <c r="D6794" s="0" t="s">
        <v>2105</v>
      </c>
      <c r="E6794" s="0" t="s">
        <v>2045</v>
      </c>
      <c r="F6794" s="0" t="s">
        <v>2204</v>
      </c>
      <c r="G6794" s="0" t="s">
        <v>2214</v>
      </c>
      <c r="H6794" s="0" t="s">
        <v>2208</v>
      </c>
      <c r="I6794" s="0" t="s">
        <v>2322</v>
      </c>
      <c r="J6794" s="0" t="s">
        <v>2368</v>
      </c>
      <c r="K6794" s="272" t="n">
        <v>-361445.31</v>
      </c>
    </row>
    <row r="6795" customFormat="false" ht="15" hidden="false" customHeight="false" outlineLevel="0" collapsed="false">
      <c r="A6795" s="0" t="s">
        <v>2041</v>
      </c>
      <c r="B6795" s="0" t="s">
        <v>2042</v>
      </c>
      <c r="C6795" s="0" t="s">
        <v>2156</v>
      </c>
      <c r="D6795" s="0" t="s">
        <v>2105</v>
      </c>
      <c r="E6795" s="0" t="s">
        <v>2045</v>
      </c>
      <c r="F6795" s="0" t="s">
        <v>2051</v>
      </c>
      <c r="G6795" s="0" t="s">
        <v>2106</v>
      </c>
      <c r="H6795" s="0" t="s">
        <v>2107</v>
      </c>
      <c r="I6795" s="0" t="s">
        <v>2124</v>
      </c>
      <c r="J6795" s="0" t="s">
        <v>2368</v>
      </c>
      <c r="K6795" s="272" t="n">
        <v>-10000000</v>
      </c>
    </row>
    <row r="6796" customFormat="false" ht="15" hidden="false" customHeight="false" outlineLevel="0" collapsed="false">
      <c r="A6796" s="0" t="s">
        <v>2041</v>
      </c>
      <c r="B6796" s="0" t="s">
        <v>2042</v>
      </c>
      <c r="C6796" s="0" t="s">
        <v>2161</v>
      </c>
      <c r="D6796" s="0" t="s">
        <v>2105</v>
      </c>
      <c r="E6796" s="0" t="s">
        <v>2045</v>
      </c>
      <c r="F6796" s="0" t="s">
        <v>2051</v>
      </c>
      <c r="G6796" s="0" t="s">
        <v>2106</v>
      </c>
      <c r="H6796" s="0" t="s">
        <v>2107</v>
      </c>
      <c r="I6796" s="0" t="s">
        <v>2124</v>
      </c>
      <c r="J6796" s="0" t="s">
        <v>2368</v>
      </c>
      <c r="K6796" s="272" t="n">
        <v>-1660971</v>
      </c>
    </row>
    <row r="6797" customFormat="false" ht="15" hidden="false" customHeight="false" outlineLevel="0" collapsed="false">
      <c r="A6797" s="0" t="s">
        <v>2041</v>
      </c>
      <c r="B6797" s="0" t="s">
        <v>2042</v>
      </c>
      <c r="C6797" s="0" t="s">
        <v>2156</v>
      </c>
      <c r="D6797" s="0" t="s">
        <v>2105</v>
      </c>
      <c r="E6797" s="0" t="s">
        <v>2045</v>
      </c>
      <c r="F6797" s="0" t="s">
        <v>2051</v>
      </c>
      <c r="G6797" s="0" t="s">
        <v>2106</v>
      </c>
      <c r="H6797" s="0" t="s">
        <v>2107</v>
      </c>
      <c r="I6797" s="0" t="s">
        <v>2322</v>
      </c>
      <c r="J6797" s="0" t="s">
        <v>2368</v>
      </c>
      <c r="K6797" s="272" t="n">
        <v>-99822815</v>
      </c>
    </row>
    <row r="6798" customFormat="false" ht="15" hidden="false" customHeight="false" outlineLevel="0" collapsed="false">
      <c r="A6798" s="0" t="s">
        <v>2041</v>
      </c>
      <c r="B6798" s="0" t="s">
        <v>2042</v>
      </c>
      <c r="C6798" s="0" t="s">
        <v>2161</v>
      </c>
      <c r="D6798" s="0" t="s">
        <v>2105</v>
      </c>
      <c r="E6798" s="0" t="s">
        <v>2045</v>
      </c>
      <c r="F6798" s="0" t="s">
        <v>2051</v>
      </c>
      <c r="G6798" s="0" t="s">
        <v>2106</v>
      </c>
      <c r="H6798" s="0" t="s">
        <v>2107</v>
      </c>
      <c r="I6798" s="0" t="s">
        <v>2322</v>
      </c>
      <c r="J6798" s="0" t="s">
        <v>2368</v>
      </c>
      <c r="K6798" s="272" t="n">
        <v>-15272890.7</v>
      </c>
    </row>
    <row r="6799" customFormat="false" ht="15" hidden="false" customHeight="false" outlineLevel="0" collapsed="false">
      <c r="A6799" s="0" t="s">
        <v>2041</v>
      </c>
      <c r="B6799" s="0" t="s">
        <v>2042</v>
      </c>
      <c r="C6799" s="0" t="s">
        <v>2156</v>
      </c>
      <c r="D6799" s="0" t="s">
        <v>2105</v>
      </c>
      <c r="E6799" s="0" t="s">
        <v>2045</v>
      </c>
      <c r="F6799" s="0" t="s">
        <v>2051</v>
      </c>
      <c r="G6799" s="0" t="s">
        <v>2110</v>
      </c>
      <c r="H6799" s="0" t="s">
        <v>2115</v>
      </c>
      <c r="I6799" s="0" t="s">
        <v>2322</v>
      </c>
      <c r="J6799" s="0" t="s">
        <v>2368</v>
      </c>
      <c r="K6799" s="272" t="n">
        <v>-1013332.76</v>
      </c>
    </row>
    <row r="6800" customFormat="false" ht="15" hidden="false" customHeight="false" outlineLevel="0" collapsed="false">
      <c r="A6800" s="0" t="s">
        <v>2041</v>
      </c>
      <c r="B6800" s="0" t="s">
        <v>2042</v>
      </c>
      <c r="C6800" s="0" t="s">
        <v>2161</v>
      </c>
      <c r="D6800" s="0" t="s">
        <v>2105</v>
      </c>
      <c r="E6800" s="0" t="s">
        <v>2045</v>
      </c>
      <c r="F6800" s="0" t="s">
        <v>2051</v>
      </c>
      <c r="G6800" s="0" t="s">
        <v>2110</v>
      </c>
      <c r="H6800" s="0" t="s">
        <v>2115</v>
      </c>
      <c r="I6800" s="0" t="s">
        <v>2322</v>
      </c>
      <c r="J6800" s="0" t="s">
        <v>2368</v>
      </c>
      <c r="K6800" s="272" t="n">
        <v>-264051.83</v>
      </c>
    </row>
    <row r="6801" customFormat="false" ht="15" hidden="false" customHeight="false" outlineLevel="0" collapsed="false">
      <c r="A6801" s="0" t="s">
        <v>2041</v>
      </c>
      <c r="B6801" s="0" t="s">
        <v>2042</v>
      </c>
      <c r="C6801" s="0" t="s">
        <v>2156</v>
      </c>
      <c r="D6801" s="0" t="s">
        <v>2105</v>
      </c>
      <c r="E6801" s="0" t="s">
        <v>2045</v>
      </c>
      <c r="F6801" s="0" t="s">
        <v>2051</v>
      </c>
      <c r="G6801" s="0" t="s">
        <v>2110</v>
      </c>
      <c r="H6801" s="0" t="s">
        <v>2111</v>
      </c>
      <c r="I6801" s="0" t="s">
        <v>2322</v>
      </c>
      <c r="J6801" s="0" t="s">
        <v>2368</v>
      </c>
      <c r="K6801" s="272" t="n">
        <v>-11221510.4</v>
      </c>
    </row>
    <row r="6802" customFormat="false" ht="15" hidden="false" customHeight="false" outlineLevel="0" collapsed="false">
      <c r="A6802" s="0" t="s">
        <v>2041</v>
      </c>
      <c r="B6802" s="0" t="s">
        <v>2042</v>
      </c>
      <c r="C6802" s="0" t="s">
        <v>2161</v>
      </c>
      <c r="D6802" s="0" t="s">
        <v>2105</v>
      </c>
      <c r="E6802" s="0" t="s">
        <v>2045</v>
      </c>
      <c r="F6802" s="0" t="s">
        <v>2051</v>
      </c>
      <c r="G6802" s="0" t="s">
        <v>2110</v>
      </c>
      <c r="H6802" s="0" t="s">
        <v>2111</v>
      </c>
      <c r="I6802" s="0" t="s">
        <v>2322</v>
      </c>
      <c r="J6802" s="0" t="s">
        <v>2368</v>
      </c>
      <c r="K6802" s="272" t="n">
        <v>-2347279.78</v>
      </c>
    </row>
    <row r="6803" customFormat="false" ht="15" hidden="false" customHeight="false" outlineLevel="0" collapsed="false">
      <c r="A6803" s="0" t="s">
        <v>2041</v>
      </c>
      <c r="B6803" s="0" t="s">
        <v>2042</v>
      </c>
      <c r="C6803" s="0" t="s">
        <v>2156</v>
      </c>
      <c r="D6803" s="0" t="s">
        <v>2105</v>
      </c>
      <c r="E6803" s="0" t="s">
        <v>2045</v>
      </c>
      <c r="F6803" s="0" t="s">
        <v>2051</v>
      </c>
      <c r="G6803" s="0" t="s">
        <v>2110</v>
      </c>
      <c r="H6803" s="0" t="s">
        <v>2119</v>
      </c>
      <c r="I6803" s="0" t="s">
        <v>2322</v>
      </c>
      <c r="J6803" s="0" t="s">
        <v>2368</v>
      </c>
      <c r="K6803" s="272" t="n">
        <v>-391514.93</v>
      </c>
    </row>
    <row r="6804" customFormat="false" ht="15" hidden="false" customHeight="false" outlineLevel="0" collapsed="false">
      <c r="A6804" s="0" t="s">
        <v>2041</v>
      </c>
      <c r="B6804" s="0" t="s">
        <v>2042</v>
      </c>
      <c r="C6804" s="0" t="s">
        <v>2161</v>
      </c>
      <c r="D6804" s="0" t="s">
        <v>2105</v>
      </c>
      <c r="E6804" s="0" t="s">
        <v>2045</v>
      </c>
      <c r="F6804" s="0" t="s">
        <v>2051</v>
      </c>
      <c r="G6804" s="0" t="s">
        <v>2110</v>
      </c>
      <c r="H6804" s="0" t="s">
        <v>2119</v>
      </c>
      <c r="I6804" s="0" t="s">
        <v>2322</v>
      </c>
      <c r="J6804" s="0" t="s">
        <v>2368</v>
      </c>
      <c r="K6804" s="272" t="n">
        <v>-102020.025227273</v>
      </c>
    </row>
    <row r="6805" customFormat="false" ht="15" hidden="false" customHeight="false" outlineLevel="0" collapsed="false">
      <c r="A6805" s="0" t="s">
        <v>2041</v>
      </c>
      <c r="B6805" s="0" t="s">
        <v>2042</v>
      </c>
      <c r="C6805" s="0" t="s">
        <v>2156</v>
      </c>
      <c r="D6805" s="0" t="s">
        <v>2105</v>
      </c>
      <c r="E6805" s="0" t="s">
        <v>2045</v>
      </c>
      <c r="F6805" s="0" t="s">
        <v>2051</v>
      </c>
      <c r="G6805" s="0" t="s">
        <v>2110</v>
      </c>
      <c r="H6805" s="0" t="s">
        <v>2120</v>
      </c>
      <c r="I6805" s="0" t="s">
        <v>2322</v>
      </c>
      <c r="J6805" s="0" t="s">
        <v>2368</v>
      </c>
      <c r="K6805" s="272" t="n">
        <v>-594468.39</v>
      </c>
    </row>
    <row r="6806" customFormat="false" ht="15" hidden="false" customHeight="false" outlineLevel="0" collapsed="false">
      <c r="A6806" s="0" t="s">
        <v>2041</v>
      </c>
      <c r="B6806" s="0" t="s">
        <v>2042</v>
      </c>
      <c r="C6806" s="0" t="s">
        <v>2161</v>
      </c>
      <c r="D6806" s="0" t="s">
        <v>2105</v>
      </c>
      <c r="E6806" s="0" t="s">
        <v>2045</v>
      </c>
      <c r="F6806" s="0" t="s">
        <v>2051</v>
      </c>
      <c r="G6806" s="0" t="s">
        <v>2110</v>
      </c>
      <c r="H6806" s="0" t="s">
        <v>2120</v>
      </c>
      <c r="I6806" s="0" t="s">
        <v>2322</v>
      </c>
      <c r="J6806" s="0" t="s">
        <v>2368</v>
      </c>
      <c r="K6806" s="272" t="n">
        <v>-175077.72</v>
      </c>
    </row>
    <row r="6807" customFormat="false" ht="15" hidden="false" customHeight="false" outlineLevel="0" collapsed="false">
      <c r="A6807" s="0" t="s">
        <v>2041</v>
      </c>
      <c r="B6807" s="0" t="s">
        <v>2042</v>
      </c>
      <c r="C6807" s="0" t="s">
        <v>2156</v>
      </c>
      <c r="D6807" s="0" t="s">
        <v>2105</v>
      </c>
      <c r="E6807" s="0" t="s">
        <v>2045</v>
      </c>
      <c r="F6807" s="0" t="s">
        <v>2051</v>
      </c>
      <c r="G6807" s="0" t="s">
        <v>2110</v>
      </c>
      <c r="H6807" s="0" t="s">
        <v>2121</v>
      </c>
      <c r="I6807" s="0" t="s">
        <v>2322</v>
      </c>
      <c r="J6807" s="0" t="s">
        <v>2368</v>
      </c>
      <c r="K6807" s="272" t="n">
        <v>-851115.8</v>
      </c>
    </row>
    <row r="6808" customFormat="false" ht="15" hidden="false" customHeight="false" outlineLevel="0" collapsed="false">
      <c r="A6808" s="0" t="s">
        <v>2041</v>
      </c>
      <c r="B6808" s="0" t="s">
        <v>2042</v>
      </c>
      <c r="C6808" s="0" t="s">
        <v>2161</v>
      </c>
      <c r="D6808" s="0" t="s">
        <v>2105</v>
      </c>
      <c r="E6808" s="0" t="s">
        <v>2045</v>
      </c>
      <c r="F6808" s="0" t="s">
        <v>2051</v>
      </c>
      <c r="G6808" s="0" t="s">
        <v>2110</v>
      </c>
      <c r="H6808" s="0" t="s">
        <v>2121</v>
      </c>
      <c r="I6808" s="0" t="s">
        <v>2322</v>
      </c>
      <c r="J6808" s="0" t="s">
        <v>2368</v>
      </c>
      <c r="K6808" s="272" t="n">
        <v>-165052.57</v>
      </c>
    </row>
    <row r="6809" customFormat="false" ht="15" hidden="false" customHeight="false" outlineLevel="0" collapsed="false">
      <c r="A6809" s="0" t="s">
        <v>2041</v>
      </c>
      <c r="B6809" s="0" t="s">
        <v>2042</v>
      </c>
      <c r="C6809" s="0" t="s">
        <v>2156</v>
      </c>
      <c r="D6809" s="0" t="s">
        <v>2105</v>
      </c>
      <c r="E6809" s="0" t="s">
        <v>2045</v>
      </c>
      <c r="F6809" s="0" t="s">
        <v>2051</v>
      </c>
      <c r="G6809" s="0" t="s">
        <v>2110</v>
      </c>
      <c r="H6809" s="0" t="s">
        <v>2122</v>
      </c>
      <c r="I6809" s="0" t="s">
        <v>2322</v>
      </c>
      <c r="J6809" s="0" t="s">
        <v>2368</v>
      </c>
      <c r="K6809" s="272" t="n">
        <v>-594468.39</v>
      </c>
    </row>
    <row r="6810" customFormat="false" ht="15" hidden="false" customHeight="false" outlineLevel="0" collapsed="false">
      <c r="A6810" s="0" t="s">
        <v>2041</v>
      </c>
      <c r="B6810" s="0" t="s">
        <v>2042</v>
      </c>
      <c r="C6810" s="0" t="s">
        <v>2161</v>
      </c>
      <c r="D6810" s="0" t="s">
        <v>2105</v>
      </c>
      <c r="E6810" s="0" t="s">
        <v>2045</v>
      </c>
      <c r="F6810" s="0" t="s">
        <v>2051</v>
      </c>
      <c r="G6810" s="0" t="s">
        <v>2110</v>
      </c>
      <c r="H6810" s="0" t="s">
        <v>2122</v>
      </c>
      <c r="I6810" s="0" t="s">
        <v>2322</v>
      </c>
      <c r="J6810" s="0" t="s">
        <v>2368</v>
      </c>
      <c r="K6810" s="272" t="n">
        <v>-175077.72</v>
      </c>
    </row>
    <row r="6811" customFormat="false" ht="15" hidden="false" customHeight="false" outlineLevel="0" collapsed="false">
      <c r="A6811" s="0" t="s">
        <v>2041</v>
      </c>
      <c r="B6811" s="0" t="s">
        <v>2042</v>
      </c>
      <c r="C6811" s="0" t="s">
        <v>2156</v>
      </c>
      <c r="D6811" s="0" t="s">
        <v>2105</v>
      </c>
      <c r="E6811" s="0" t="s">
        <v>2045</v>
      </c>
      <c r="F6811" s="0" t="s">
        <v>2051</v>
      </c>
      <c r="G6811" s="0" t="s">
        <v>2110</v>
      </c>
      <c r="H6811" s="0" t="s">
        <v>2112</v>
      </c>
      <c r="I6811" s="0" t="s">
        <v>2322</v>
      </c>
      <c r="J6811" s="0" t="s">
        <v>2368</v>
      </c>
      <c r="K6811" s="272" t="n">
        <v>-33008228.71</v>
      </c>
    </row>
    <row r="6812" customFormat="false" ht="15" hidden="false" customHeight="false" outlineLevel="0" collapsed="false">
      <c r="A6812" s="0" t="s">
        <v>2041</v>
      </c>
      <c r="B6812" s="0" t="s">
        <v>2042</v>
      </c>
      <c r="C6812" s="0" t="s">
        <v>2161</v>
      </c>
      <c r="D6812" s="0" t="s">
        <v>2105</v>
      </c>
      <c r="E6812" s="0" t="s">
        <v>2045</v>
      </c>
      <c r="F6812" s="0" t="s">
        <v>2051</v>
      </c>
      <c r="G6812" s="0" t="s">
        <v>2110</v>
      </c>
      <c r="H6812" s="0" t="s">
        <v>2112</v>
      </c>
      <c r="I6812" s="0" t="s">
        <v>2322</v>
      </c>
      <c r="J6812" s="0" t="s">
        <v>2368</v>
      </c>
      <c r="K6812" s="272" t="n">
        <v>-6481622.32022727</v>
      </c>
    </row>
    <row r="6813" customFormat="false" ht="15" hidden="false" customHeight="false" outlineLevel="0" collapsed="false">
      <c r="A6813" s="0" t="s">
        <v>2041</v>
      </c>
      <c r="B6813" s="0" t="s">
        <v>2042</v>
      </c>
      <c r="C6813" s="0" t="s">
        <v>2156</v>
      </c>
      <c r="D6813" s="0" t="s">
        <v>2105</v>
      </c>
      <c r="E6813" s="0" t="s">
        <v>2045</v>
      </c>
      <c r="F6813" s="0" t="s">
        <v>2051</v>
      </c>
      <c r="G6813" s="0" t="s">
        <v>2110</v>
      </c>
      <c r="H6813" s="0" t="s">
        <v>2113</v>
      </c>
      <c r="I6813" s="0" t="s">
        <v>2322</v>
      </c>
      <c r="J6813" s="0" t="s">
        <v>2368</v>
      </c>
      <c r="K6813" s="272" t="n">
        <v>-90007813.62</v>
      </c>
    </row>
    <row r="6814" customFormat="false" ht="15" hidden="false" customHeight="false" outlineLevel="0" collapsed="false">
      <c r="A6814" s="0" t="s">
        <v>2041</v>
      </c>
      <c r="B6814" s="0" t="s">
        <v>2042</v>
      </c>
      <c r="C6814" s="0" t="s">
        <v>2161</v>
      </c>
      <c r="D6814" s="0" t="s">
        <v>2105</v>
      </c>
      <c r="E6814" s="0" t="s">
        <v>2045</v>
      </c>
      <c r="F6814" s="0" t="s">
        <v>2051</v>
      </c>
      <c r="G6814" s="0" t="s">
        <v>2110</v>
      </c>
      <c r="H6814" s="0" t="s">
        <v>2113</v>
      </c>
      <c r="I6814" s="0" t="s">
        <v>2322</v>
      </c>
      <c r="J6814" s="0" t="s">
        <v>2368</v>
      </c>
      <c r="K6814" s="272" t="n">
        <v>-17550362.3558621</v>
      </c>
    </row>
    <row r="6815" customFormat="false" ht="15" hidden="false" customHeight="false" outlineLevel="0" collapsed="false">
      <c r="A6815" s="0" t="s">
        <v>2041</v>
      </c>
      <c r="B6815" s="0" t="s">
        <v>2042</v>
      </c>
      <c r="C6815" s="0" t="s">
        <v>2156</v>
      </c>
      <c r="D6815" s="0" t="s">
        <v>2105</v>
      </c>
      <c r="E6815" s="0" t="s">
        <v>2045</v>
      </c>
      <c r="F6815" s="0" t="s">
        <v>2051</v>
      </c>
      <c r="G6815" s="0" t="s">
        <v>2110</v>
      </c>
      <c r="H6815" s="0" t="s">
        <v>2107</v>
      </c>
      <c r="I6815" s="0" t="s">
        <v>2322</v>
      </c>
      <c r="J6815" s="0" t="s">
        <v>2368</v>
      </c>
      <c r="K6815" s="272" t="n">
        <v>-56763475</v>
      </c>
    </row>
    <row r="6816" customFormat="false" ht="15" hidden="false" customHeight="false" outlineLevel="0" collapsed="false">
      <c r="A6816" s="0" t="s">
        <v>2041</v>
      </c>
      <c r="B6816" s="0" t="s">
        <v>2042</v>
      </c>
      <c r="C6816" s="0" t="s">
        <v>2161</v>
      </c>
      <c r="D6816" s="0" t="s">
        <v>2105</v>
      </c>
      <c r="E6816" s="0" t="s">
        <v>2045</v>
      </c>
      <c r="F6816" s="0" t="s">
        <v>2051</v>
      </c>
      <c r="G6816" s="0" t="s">
        <v>2110</v>
      </c>
      <c r="H6816" s="0" t="s">
        <v>2107</v>
      </c>
      <c r="I6816" s="0" t="s">
        <v>2322</v>
      </c>
      <c r="J6816" s="0" t="s">
        <v>2368</v>
      </c>
      <c r="K6816" s="272" t="n">
        <v>-9321578.65</v>
      </c>
    </row>
    <row r="6817" customFormat="false" ht="15" hidden="false" customHeight="false" outlineLevel="0" collapsed="false">
      <c r="A6817" s="0" t="s">
        <v>2041</v>
      </c>
      <c r="B6817" s="0" t="s">
        <v>2042</v>
      </c>
      <c r="C6817" s="0" t="s">
        <v>2156</v>
      </c>
      <c r="D6817" s="0" t="s">
        <v>2105</v>
      </c>
      <c r="E6817" s="0" t="s">
        <v>2045</v>
      </c>
      <c r="F6817" s="0" t="s">
        <v>2051</v>
      </c>
      <c r="G6817" s="0" t="s">
        <v>2114</v>
      </c>
      <c r="H6817" s="0" t="s">
        <v>2115</v>
      </c>
      <c r="I6817" s="0" t="s">
        <v>2322</v>
      </c>
      <c r="J6817" s="0" t="s">
        <v>2368</v>
      </c>
      <c r="K6817" s="272" t="n">
        <v>-42486580.5</v>
      </c>
    </row>
    <row r="6818" customFormat="false" ht="15" hidden="false" customHeight="false" outlineLevel="0" collapsed="false">
      <c r="A6818" s="0" t="s">
        <v>2041</v>
      </c>
      <c r="B6818" s="0" t="s">
        <v>2042</v>
      </c>
      <c r="C6818" s="0" t="s">
        <v>2161</v>
      </c>
      <c r="D6818" s="0" t="s">
        <v>2105</v>
      </c>
      <c r="E6818" s="0" t="s">
        <v>2045</v>
      </c>
      <c r="F6818" s="0" t="s">
        <v>2051</v>
      </c>
      <c r="G6818" s="0" t="s">
        <v>2114</v>
      </c>
      <c r="H6818" s="0" t="s">
        <v>2115</v>
      </c>
      <c r="I6818" s="0" t="s">
        <v>2322</v>
      </c>
      <c r="J6818" s="0" t="s">
        <v>2368</v>
      </c>
      <c r="K6818" s="272" t="n">
        <v>-8069656.14</v>
      </c>
    </row>
    <row r="6819" customFormat="false" ht="15" hidden="false" customHeight="false" outlineLevel="0" collapsed="false">
      <c r="A6819" s="0" t="s">
        <v>2041</v>
      </c>
      <c r="B6819" s="0" t="s">
        <v>2042</v>
      </c>
      <c r="C6819" s="0" t="s">
        <v>2156</v>
      </c>
      <c r="D6819" s="0" t="s">
        <v>2105</v>
      </c>
      <c r="E6819" s="0" t="s">
        <v>2045</v>
      </c>
      <c r="F6819" s="0" t="s">
        <v>2051</v>
      </c>
      <c r="G6819" s="0" t="s">
        <v>2114</v>
      </c>
      <c r="H6819" s="0" t="s">
        <v>2116</v>
      </c>
      <c r="I6819" s="0" t="s">
        <v>2322</v>
      </c>
      <c r="J6819" s="0" t="s">
        <v>2368</v>
      </c>
      <c r="K6819" s="272" t="n">
        <v>-4307436.7</v>
      </c>
    </row>
    <row r="6820" customFormat="false" ht="15" hidden="false" customHeight="false" outlineLevel="0" collapsed="false">
      <c r="A6820" s="0" t="s">
        <v>2041</v>
      </c>
      <c r="B6820" s="0" t="s">
        <v>2042</v>
      </c>
      <c r="C6820" s="0" t="s">
        <v>2161</v>
      </c>
      <c r="D6820" s="0" t="s">
        <v>2105</v>
      </c>
      <c r="E6820" s="0" t="s">
        <v>2045</v>
      </c>
      <c r="F6820" s="0" t="s">
        <v>2051</v>
      </c>
      <c r="G6820" s="0" t="s">
        <v>2114</v>
      </c>
      <c r="H6820" s="0" t="s">
        <v>2116</v>
      </c>
      <c r="I6820" s="0" t="s">
        <v>2322</v>
      </c>
      <c r="J6820" s="0" t="s">
        <v>2368</v>
      </c>
      <c r="K6820" s="272" t="n">
        <v>-817734.76</v>
      </c>
    </row>
    <row r="6821" customFormat="false" ht="15" hidden="false" customHeight="false" outlineLevel="0" collapsed="false">
      <c r="A6821" s="0" t="s">
        <v>2041</v>
      </c>
      <c r="B6821" s="0" t="s">
        <v>2042</v>
      </c>
      <c r="C6821" s="0" t="s">
        <v>2156</v>
      </c>
      <c r="D6821" s="0" t="s">
        <v>2105</v>
      </c>
      <c r="E6821" s="0" t="s">
        <v>2045</v>
      </c>
      <c r="F6821" s="0" t="s">
        <v>2051</v>
      </c>
      <c r="G6821" s="0" t="s">
        <v>2114</v>
      </c>
      <c r="H6821" s="0" t="s">
        <v>2117</v>
      </c>
      <c r="I6821" s="0" t="s">
        <v>2322</v>
      </c>
      <c r="J6821" s="0" t="s">
        <v>2368</v>
      </c>
      <c r="K6821" s="272" t="n">
        <v>-2687229.9</v>
      </c>
    </row>
    <row r="6822" customFormat="false" ht="15" hidden="false" customHeight="false" outlineLevel="0" collapsed="false">
      <c r="A6822" s="0" t="s">
        <v>2041</v>
      </c>
      <c r="B6822" s="0" t="s">
        <v>2042</v>
      </c>
      <c r="C6822" s="0" t="s">
        <v>2161</v>
      </c>
      <c r="D6822" s="0" t="s">
        <v>2105</v>
      </c>
      <c r="E6822" s="0" t="s">
        <v>2045</v>
      </c>
      <c r="F6822" s="0" t="s">
        <v>2051</v>
      </c>
      <c r="G6822" s="0" t="s">
        <v>2114</v>
      </c>
      <c r="H6822" s="0" t="s">
        <v>2117</v>
      </c>
      <c r="I6822" s="0" t="s">
        <v>2322</v>
      </c>
      <c r="J6822" s="0" t="s">
        <v>2368</v>
      </c>
      <c r="K6822" s="272" t="n">
        <v>-461106.66</v>
      </c>
    </row>
    <row r="6823" customFormat="false" ht="15" hidden="false" customHeight="false" outlineLevel="0" collapsed="false">
      <c r="A6823" s="0" t="s">
        <v>2041</v>
      </c>
      <c r="B6823" s="0" t="s">
        <v>2042</v>
      </c>
      <c r="C6823" s="0" t="s">
        <v>2156</v>
      </c>
      <c r="D6823" s="0" t="s">
        <v>2105</v>
      </c>
      <c r="E6823" s="0" t="s">
        <v>2045</v>
      </c>
      <c r="F6823" s="0" t="s">
        <v>2051</v>
      </c>
      <c r="G6823" s="0" t="s">
        <v>2114</v>
      </c>
      <c r="H6823" s="0" t="s">
        <v>2118</v>
      </c>
      <c r="I6823" s="0" t="s">
        <v>2322</v>
      </c>
      <c r="J6823" s="0" t="s">
        <v>2368</v>
      </c>
      <c r="K6823" s="272" t="n">
        <v>-2272550</v>
      </c>
    </row>
    <row r="6824" customFormat="false" ht="15" hidden="false" customHeight="false" outlineLevel="0" collapsed="false">
      <c r="A6824" s="0" t="s">
        <v>2041</v>
      </c>
      <c r="B6824" s="0" t="s">
        <v>2042</v>
      </c>
      <c r="C6824" s="0" t="s">
        <v>2161</v>
      </c>
      <c r="D6824" s="0" t="s">
        <v>2105</v>
      </c>
      <c r="E6824" s="0" t="s">
        <v>2045</v>
      </c>
      <c r="F6824" s="0" t="s">
        <v>2051</v>
      </c>
      <c r="G6824" s="0" t="s">
        <v>2114</v>
      </c>
      <c r="H6824" s="0" t="s">
        <v>2118</v>
      </c>
      <c r="I6824" s="0" t="s">
        <v>2322</v>
      </c>
      <c r="J6824" s="0" t="s">
        <v>2368</v>
      </c>
      <c r="K6824" s="272" t="n">
        <v>-660319.85</v>
      </c>
    </row>
    <row r="6825" customFormat="false" ht="15" hidden="false" customHeight="false" outlineLevel="0" collapsed="false">
      <c r="A6825" s="0" t="s">
        <v>2041</v>
      </c>
      <c r="B6825" s="0" t="s">
        <v>2042</v>
      </c>
      <c r="C6825" s="0" t="s">
        <v>2156</v>
      </c>
      <c r="D6825" s="0" t="s">
        <v>2105</v>
      </c>
      <c r="E6825" s="0" t="s">
        <v>2045</v>
      </c>
      <c r="F6825" s="0" t="s">
        <v>2051</v>
      </c>
      <c r="G6825" s="0" t="s">
        <v>2114</v>
      </c>
      <c r="H6825" s="0" t="s">
        <v>2119</v>
      </c>
      <c r="I6825" s="0" t="s">
        <v>2322</v>
      </c>
      <c r="J6825" s="0" t="s">
        <v>2368</v>
      </c>
      <c r="K6825" s="272" t="n">
        <v>-11367538.8</v>
      </c>
    </row>
    <row r="6826" customFormat="false" ht="15" hidden="false" customHeight="false" outlineLevel="0" collapsed="false">
      <c r="A6826" s="0" t="s">
        <v>2041</v>
      </c>
      <c r="B6826" s="0" t="s">
        <v>2042</v>
      </c>
      <c r="C6826" s="0" t="s">
        <v>2161</v>
      </c>
      <c r="D6826" s="0" t="s">
        <v>2105</v>
      </c>
      <c r="E6826" s="0" t="s">
        <v>2045</v>
      </c>
      <c r="F6826" s="0" t="s">
        <v>2051</v>
      </c>
      <c r="G6826" s="0" t="s">
        <v>2114</v>
      </c>
      <c r="H6826" s="0" t="s">
        <v>2119</v>
      </c>
      <c r="I6826" s="0" t="s">
        <v>2322</v>
      </c>
      <c r="J6826" s="0" t="s">
        <v>2368</v>
      </c>
      <c r="K6826" s="272" t="n">
        <v>-2191841.596</v>
      </c>
    </row>
    <row r="6827" customFormat="false" ht="15" hidden="false" customHeight="false" outlineLevel="0" collapsed="false">
      <c r="A6827" s="0" t="s">
        <v>2041</v>
      </c>
      <c r="B6827" s="0" t="s">
        <v>2042</v>
      </c>
      <c r="C6827" s="0" t="s">
        <v>2156</v>
      </c>
      <c r="D6827" s="0" t="s">
        <v>2105</v>
      </c>
      <c r="E6827" s="0" t="s">
        <v>2045</v>
      </c>
      <c r="F6827" s="0" t="s">
        <v>2051</v>
      </c>
      <c r="G6827" s="0" t="s">
        <v>2114</v>
      </c>
      <c r="H6827" s="0" t="s">
        <v>2120</v>
      </c>
      <c r="I6827" s="0" t="s">
        <v>2322</v>
      </c>
      <c r="J6827" s="0" t="s">
        <v>2368</v>
      </c>
      <c r="K6827" s="272" t="n">
        <v>-12860181</v>
      </c>
    </row>
    <row r="6828" customFormat="false" ht="15" hidden="false" customHeight="false" outlineLevel="0" collapsed="false">
      <c r="A6828" s="0" t="s">
        <v>2041</v>
      </c>
      <c r="B6828" s="0" t="s">
        <v>2042</v>
      </c>
      <c r="C6828" s="0" t="s">
        <v>2161</v>
      </c>
      <c r="D6828" s="0" t="s">
        <v>2105</v>
      </c>
      <c r="E6828" s="0" t="s">
        <v>2045</v>
      </c>
      <c r="F6828" s="0" t="s">
        <v>2051</v>
      </c>
      <c r="G6828" s="0" t="s">
        <v>2114</v>
      </c>
      <c r="H6828" s="0" t="s">
        <v>2120</v>
      </c>
      <c r="I6828" s="0" t="s">
        <v>2322</v>
      </c>
      <c r="J6828" s="0" t="s">
        <v>2368</v>
      </c>
      <c r="K6828" s="272" t="n">
        <v>-2726042.32</v>
      </c>
    </row>
    <row r="6829" customFormat="false" ht="15" hidden="false" customHeight="false" outlineLevel="0" collapsed="false">
      <c r="A6829" s="0" t="s">
        <v>2041</v>
      </c>
      <c r="B6829" s="0" t="s">
        <v>2042</v>
      </c>
      <c r="C6829" s="0" t="s">
        <v>2156</v>
      </c>
      <c r="D6829" s="0" t="s">
        <v>2105</v>
      </c>
      <c r="E6829" s="0" t="s">
        <v>2045</v>
      </c>
      <c r="F6829" s="0" t="s">
        <v>2051</v>
      </c>
      <c r="G6829" s="0" t="s">
        <v>2114</v>
      </c>
      <c r="H6829" s="0" t="s">
        <v>2121</v>
      </c>
      <c r="I6829" s="0" t="s">
        <v>2322</v>
      </c>
      <c r="J6829" s="0" t="s">
        <v>2368</v>
      </c>
      <c r="K6829" s="272" t="n">
        <v>-6046901</v>
      </c>
    </row>
    <row r="6830" customFormat="false" ht="15" hidden="false" customHeight="false" outlineLevel="0" collapsed="false">
      <c r="A6830" s="0" t="s">
        <v>2041</v>
      </c>
      <c r="B6830" s="0" t="s">
        <v>2042</v>
      </c>
      <c r="C6830" s="0" t="s">
        <v>2161</v>
      </c>
      <c r="D6830" s="0" t="s">
        <v>2105</v>
      </c>
      <c r="E6830" s="0" t="s">
        <v>2045</v>
      </c>
      <c r="F6830" s="0" t="s">
        <v>2051</v>
      </c>
      <c r="G6830" s="0" t="s">
        <v>2114</v>
      </c>
      <c r="H6830" s="0" t="s">
        <v>2121</v>
      </c>
      <c r="I6830" s="0" t="s">
        <v>2322</v>
      </c>
      <c r="J6830" s="0" t="s">
        <v>2368</v>
      </c>
      <c r="K6830" s="272" t="n">
        <v>-1128816.54</v>
      </c>
    </row>
    <row r="6831" customFormat="false" ht="15" hidden="false" customHeight="false" outlineLevel="0" collapsed="false">
      <c r="A6831" s="0" t="s">
        <v>2041</v>
      </c>
      <c r="B6831" s="0" t="s">
        <v>2042</v>
      </c>
      <c r="C6831" s="0" t="s">
        <v>2156</v>
      </c>
      <c r="D6831" s="0" t="s">
        <v>2105</v>
      </c>
      <c r="E6831" s="0" t="s">
        <v>2045</v>
      </c>
      <c r="F6831" s="0" t="s">
        <v>2051</v>
      </c>
      <c r="G6831" s="0" t="s">
        <v>2114</v>
      </c>
      <c r="H6831" s="0" t="s">
        <v>2122</v>
      </c>
      <c r="I6831" s="0" t="s">
        <v>2322</v>
      </c>
      <c r="J6831" s="0" t="s">
        <v>2368</v>
      </c>
      <c r="K6831" s="272" t="n">
        <v>-19257687.1</v>
      </c>
    </row>
    <row r="6832" customFormat="false" ht="15" hidden="false" customHeight="false" outlineLevel="0" collapsed="false">
      <c r="A6832" s="0" t="s">
        <v>2041</v>
      </c>
      <c r="B6832" s="0" t="s">
        <v>2042</v>
      </c>
      <c r="C6832" s="0" t="s">
        <v>2161</v>
      </c>
      <c r="D6832" s="0" t="s">
        <v>2105</v>
      </c>
      <c r="E6832" s="0" t="s">
        <v>2045</v>
      </c>
      <c r="F6832" s="0" t="s">
        <v>2051</v>
      </c>
      <c r="G6832" s="0" t="s">
        <v>2114</v>
      </c>
      <c r="H6832" s="0" t="s">
        <v>2122</v>
      </c>
      <c r="I6832" s="0" t="s">
        <v>2322</v>
      </c>
      <c r="J6832" s="0" t="s">
        <v>2368</v>
      </c>
      <c r="K6832" s="272" t="n">
        <v>-3956824.18685714</v>
      </c>
    </row>
    <row r="6833" customFormat="false" ht="15" hidden="false" customHeight="false" outlineLevel="0" collapsed="false">
      <c r="A6833" s="0" t="s">
        <v>2041</v>
      </c>
      <c r="B6833" s="0" t="s">
        <v>2042</v>
      </c>
      <c r="C6833" s="0" t="s">
        <v>2156</v>
      </c>
      <c r="D6833" s="0" t="s">
        <v>2105</v>
      </c>
      <c r="E6833" s="0" t="s">
        <v>2045</v>
      </c>
      <c r="F6833" s="0" t="s">
        <v>2051</v>
      </c>
      <c r="G6833" s="0" t="s">
        <v>2114</v>
      </c>
      <c r="H6833" s="0" t="s">
        <v>2112</v>
      </c>
      <c r="I6833" s="0" t="s">
        <v>2322</v>
      </c>
      <c r="J6833" s="0" t="s">
        <v>2368</v>
      </c>
      <c r="K6833" s="272" t="n">
        <v>-3360920</v>
      </c>
    </row>
    <row r="6834" customFormat="false" ht="15" hidden="false" customHeight="false" outlineLevel="0" collapsed="false">
      <c r="A6834" s="0" t="s">
        <v>2041</v>
      </c>
      <c r="B6834" s="0" t="s">
        <v>2042</v>
      </c>
      <c r="C6834" s="0" t="s">
        <v>2161</v>
      </c>
      <c r="D6834" s="0" t="s">
        <v>2105</v>
      </c>
      <c r="E6834" s="0" t="s">
        <v>2045</v>
      </c>
      <c r="F6834" s="0" t="s">
        <v>2051</v>
      </c>
      <c r="G6834" s="0" t="s">
        <v>2114</v>
      </c>
      <c r="H6834" s="0" t="s">
        <v>2112</v>
      </c>
      <c r="I6834" s="0" t="s">
        <v>2322</v>
      </c>
      <c r="J6834" s="0" t="s">
        <v>2368</v>
      </c>
      <c r="K6834" s="272" t="n">
        <v>-818224.29</v>
      </c>
    </row>
    <row r="6835" customFormat="false" ht="15" hidden="false" customHeight="false" outlineLevel="0" collapsed="false">
      <c r="A6835" s="0" t="s">
        <v>2041</v>
      </c>
      <c r="B6835" s="0" t="s">
        <v>2042</v>
      </c>
      <c r="C6835" s="0" t="s">
        <v>2156</v>
      </c>
      <c r="D6835" s="0" t="s">
        <v>2105</v>
      </c>
      <c r="E6835" s="0" t="s">
        <v>2045</v>
      </c>
      <c r="F6835" s="0" t="s">
        <v>2051</v>
      </c>
      <c r="G6835" s="0" t="s">
        <v>2114</v>
      </c>
      <c r="H6835" s="0" t="s">
        <v>2113</v>
      </c>
      <c r="I6835" s="0" t="s">
        <v>2322</v>
      </c>
      <c r="J6835" s="0" t="s">
        <v>2368</v>
      </c>
      <c r="K6835" s="272" t="n">
        <v>-2973211</v>
      </c>
    </row>
    <row r="6836" customFormat="false" ht="15" hidden="false" customHeight="false" outlineLevel="0" collapsed="false">
      <c r="A6836" s="0" t="s">
        <v>2041</v>
      </c>
      <c r="B6836" s="0" t="s">
        <v>2042</v>
      </c>
      <c r="C6836" s="0" t="s">
        <v>2161</v>
      </c>
      <c r="D6836" s="0" t="s">
        <v>2105</v>
      </c>
      <c r="E6836" s="0" t="s">
        <v>2045</v>
      </c>
      <c r="F6836" s="0" t="s">
        <v>2051</v>
      </c>
      <c r="G6836" s="0" t="s">
        <v>2114</v>
      </c>
      <c r="H6836" s="0" t="s">
        <v>2113</v>
      </c>
      <c r="I6836" s="0" t="s">
        <v>2322</v>
      </c>
      <c r="J6836" s="0" t="s">
        <v>2368</v>
      </c>
      <c r="K6836" s="272" t="n">
        <v>-871982.462857143</v>
      </c>
    </row>
    <row r="6837" customFormat="false" ht="15" hidden="false" customHeight="false" outlineLevel="0" collapsed="false">
      <c r="A6837" s="0" t="s">
        <v>2041</v>
      </c>
      <c r="B6837" s="0" t="s">
        <v>2042</v>
      </c>
      <c r="C6837" s="0" t="s">
        <v>2156</v>
      </c>
      <c r="D6837" s="0" t="s">
        <v>2105</v>
      </c>
      <c r="E6837" s="0" t="s">
        <v>2045</v>
      </c>
      <c r="F6837" s="0" t="s">
        <v>2051</v>
      </c>
      <c r="G6837" s="0" t="s">
        <v>2114</v>
      </c>
      <c r="H6837" s="0" t="s">
        <v>2107</v>
      </c>
      <c r="I6837" s="0" t="s">
        <v>2322</v>
      </c>
      <c r="J6837" s="0" t="s">
        <v>2368</v>
      </c>
      <c r="K6837" s="272" t="n">
        <v>-49474138</v>
      </c>
    </row>
    <row r="6838" customFormat="false" ht="15" hidden="false" customHeight="false" outlineLevel="0" collapsed="false">
      <c r="A6838" s="0" t="s">
        <v>2041</v>
      </c>
      <c r="B6838" s="0" t="s">
        <v>2042</v>
      </c>
      <c r="C6838" s="0" t="s">
        <v>2161</v>
      </c>
      <c r="D6838" s="0" t="s">
        <v>2105</v>
      </c>
      <c r="E6838" s="0" t="s">
        <v>2045</v>
      </c>
      <c r="F6838" s="0" t="s">
        <v>2051</v>
      </c>
      <c r="G6838" s="0" t="s">
        <v>2114</v>
      </c>
      <c r="H6838" s="0" t="s">
        <v>2107</v>
      </c>
      <c r="I6838" s="0" t="s">
        <v>2322</v>
      </c>
      <c r="J6838" s="0" t="s">
        <v>2368</v>
      </c>
      <c r="K6838" s="272" t="n">
        <v>-8231488.13</v>
      </c>
    </row>
    <row r="6839" customFormat="false" ht="15" hidden="false" customHeight="false" outlineLevel="0" collapsed="false">
      <c r="A6839" s="0" t="s">
        <v>2041</v>
      </c>
      <c r="B6839" s="0" t="s">
        <v>2042</v>
      </c>
      <c r="C6839" s="0" t="s">
        <v>2156</v>
      </c>
      <c r="D6839" s="0" t="s">
        <v>2105</v>
      </c>
      <c r="E6839" s="0" t="s">
        <v>2045</v>
      </c>
      <c r="F6839" s="0" t="s">
        <v>2051</v>
      </c>
      <c r="G6839" s="0" t="s">
        <v>2123</v>
      </c>
      <c r="H6839" s="0" t="s">
        <v>2115</v>
      </c>
      <c r="I6839" s="0" t="s">
        <v>2322</v>
      </c>
      <c r="J6839" s="0" t="s">
        <v>2368</v>
      </c>
      <c r="K6839" s="272" t="n">
        <v>-6833816.4</v>
      </c>
    </row>
    <row r="6840" customFormat="false" ht="15" hidden="false" customHeight="false" outlineLevel="0" collapsed="false">
      <c r="A6840" s="0" t="s">
        <v>2041</v>
      </c>
      <c r="B6840" s="0" t="s">
        <v>2042</v>
      </c>
      <c r="C6840" s="0" t="s">
        <v>2161</v>
      </c>
      <c r="D6840" s="0" t="s">
        <v>2105</v>
      </c>
      <c r="E6840" s="0" t="s">
        <v>2045</v>
      </c>
      <c r="F6840" s="0" t="s">
        <v>2051</v>
      </c>
      <c r="G6840" s="0" t="s">
        <v>2123</v>
      </c>
      <c r="H6840" s="0" t="s">
        <v>2115</v>
      </c>
      <c r="I6840" s="0" t="s">
        <v>2322</v>
      </c>
      <c r="J6840" s="0" t="s">
        <v>2368</v>
      </c>
      <c r="K6840" s="272" t="n">
        <v>-1417784.79</v>
      </c>
    </row>
    <row r="6841" customFormat="false" ht="15" hidden="false" customHeight="false" outlineLevel="0" collapsed="false">
      <c r="A6841" s="0" t="s">
        <v>2041</v>
      </c>
      <c r="B6841" s="0" t="s">
        <v>2042</v>
      </c>
      <c r="C6841" s="0" t="s">
        <v>2156</v>
      </c>
      <c r="D6841" s="0" t="s">
        <v>2105</v>
      </c>
      <c r="E6841" s="0" t="s">
        <v>2045</v>
      </c>
      <c r="F6841" s="0" t="s">
        <v>2051</v>
      </c>
      <c r="G6841" s="0" t="s">
        <v>2123</v>
      </c>
      <c r="H6841" s="0" t="s">
        <v>2116</v>
      </c>
      <c r="I6841" s="0" t="s">
        <v>2322</v>
      </c>
      <c r="J6841" s="0" t="s">
        <v>2368</v>
      </c>
      <c r="K6841" s="272" t="n">
        <v>-7884225.6</v>
      </c>
    </row>
    <row r="6842" customFormat="false" ht="15" hidden="false" customHeight="false" outlineLevel="0" collapsed="false">
      <c r="A6842" s="0" t="s">
        <v>2041</v>
      </c>
      <c r="B6842" s="0" t="s">
        <v>2042</v>
      </c>
      <c r="C6842" s="0" t="s">
        <v>2161</v>
      </c>
      <c r="D6842" s="0" t="s">
        <v>2105</v>
      </c>
      <c r="E6842" s="0" t="s">
        <v>2045</v>
      </c>
      <c r="F6842" s="0" t="s">
        <v>2051</v>
      </c>
      <c r="G6842" s="0" t="s">
        <v>2123</v>
      </c>
      <c r="H6842" s="0" t="s">
        <v>2116</v>
      </c>
      <c r="I6842" s="0" t="s">
        <v>2322</v>
      </c>
      <c r="J6842" s="0" t="s">
        <v>2368</v>
      </c>
      <c r="K6842" s="272" t="n">
        <v>-1988497.89</v>
      </c>
    </row>
    <row r="6843" customFormat="false" ht="15" hidden="false" customHeight="false" outlineLevel="0" collapsed="false">
      <c r="A6843" s="0" t="s">
        <v>2041</v>
      </c>
      <c r="B6843" s="0" t="s">
        <v>2042</v>
      </c>
      <c r="C6843" s="0" t="s">
        <v>2156</v>
      </c>
      <c r="D6843" s="0" t="s">
        <v>2105</v>
      </c>
      <c r="E6843" s="0" t="s">
        <v>2045</v>
      </c>
      <c r="F6843" s="0" t="s">
        <v>2051</v>
      </c>
      <c r="G6843" s="0" t="s">
        <v>2123</v>
      </c>
      <c r="H6843" s="0" t="s">
        <v>2111</v>
      </c>
      <c r="I6843" s="0" t="s">
        <v>2322</v>
      </c>
      <c r="J6843" s="0" t="s">
        <v>2368</v>
      </c>
      <c r="K6843" s="272" t="n">
        <v>-15605166.4</v>
      </c>
    </row>
    <row r="6844" customFormat="false" ht="15" hidden="false" customHeight="false" outlineLevel="0" collapsed="false">
      <c r="A6844" s="0" t="s">
        <v>2041</v>
      </c>
      <c r="B6844" s="0" t="s">
        <v>2042</v>
      </c>
      <c r="C6844" s="0" t="s">
        <v>2161</v>
      </c>
      <c r="D6844" s="0" t="s">
        <v>2105</v>
      </c>
      <c r="E6844" s="0" t="s">
        <v>2045</v>
      </c>
      <c r="F6844" s="0" t="s">
        <v>2051</v>
      </c>
      <c r="G6844" s="0" t="s">
        <v>2123</v>
      </c>
      <c r="H6844" s="0" t="s">
        <v>2111</v>
      </c>
      <c r="I6844" s="0" t="s">
        <v>2322</v>
      </c>
      <c r="J6844" s="0" t="s">
        <v>2368</v>
      </c>
      <c r="K6844" s="272" t="n">
        <v>-3200348.86777778</v>
      </c>
    </row>
    <row r="6845" customFormat="false" ht="15" hidden="false" customHeight="false" outlineLevel="0" collapsed="false">
      <c r="A6845" s="0" t="s">
        <v>2041</v>
      </c>
      <c r="B6845" s="0" t="s">
        <v>2042</v>
      </c>
      <c r="C6845" s="0" t="s">
        <v>2156</v>
      </c>
      <c r="D6845" s="0" t="s">
        <v>2105</v>
      </c>
      <c r="E6845" s="0" t="s">
        <v>2045</v>
      </c>
      <c r="F6845" s="0" t="s">
        <v>2051</v>
      </c>
      <c r="G6845" s="0" t="s">
        <v>2123</v>
      </c>
      <c r="H6845" s="0" t="s">
        <v>2117</v>
      </c>
      <c r="I6845" s="0" t="s">
        <v>2322</v>
      </c>
      <c r="J6845" s="0" t="s">
        <v>2368</v>
      </c>
      <c r="K6845" s="272" t="n">
        <v>-3931001</v>
      </c>
    </row>
    <row r="6846" customFormat="false" ht="15" hidden="false" customHeight="false" outlineLevel="0" collapsed="false">
      <c r="A6846" s="0" t="s">
        <v>2041</v>
      </c>
      <c r="B6846" s="0" t="s">
        <v>2042</v>
      </c>
      <c r="C6846" s="0" t="s">
        <v>2161</v>
      </c>
      <c r="D6846" s="0" t="s">
        <v>2105</v>
      </c>
      <c r="E6846" s="0" t="s">
        <v>2045</v>
      </c>
      <c r="F6846" s="0" t="s">
        <v>2051</v>
      </c>
      <c r="G6846" s="0" t="s">
        <v>2123</v>
      </c>
      <c r="H6846" s="0" t="s">
        <v>2117</v>
      </c>
      <c r="I6846" s="0" t="s">
        <v>2322</v>
      </c>
      <c r="J6846" s="0" t="s">
        <v>2368</v>
      </c>
      <c r="K6846" s="272" t="n">
        <v>-857174.82</v>
      </c>
    </row>
    <row r="6847" customFormat="false" ht="15" hidden="false" customHeight="false" outlineLevel="0" collapsed="false">
      <c r="A6847" s="0" t="s">
        <v>2041</v>
      </c>
      <c r="B6847" s="0" t="s">
        <v>2042</v>
      </c>
      <c r="C6847" s="0" t="s">
        <v>2156</v>
      </c>
      <c r="D6847" s="0" t="s">
        <v>2105</v>
      </c>
      <c r="E6847" s="0" t="s">
        <v>2045</v>
      </c>
      <c r="F6847" s="0" t="s">
        <v>2051</v>
      </c>
      <c r="G6847" s="0" t="s">
        <v>2123</v>
      </c>
      <c r="H6847" s="0" t="s">
        <v>2119</v>
      </c>
      <c r="I6847" s="0" t="s">
        <v>2322</v>
      </c>
      <c r="J6847" s="0" t="s">
        <v>2368</v>
      </c>
      <c r="K6847" s="272" t="n">
        <v>-486595</v>
      </c>
    </row>
    <row r="6848" customFormat="false" ht="15" hidden="false" customHeight="false" outlineLevel="0" collapsed="false">
      <c r="A6848" s="0" t="s">
        <v>2041</v>
      </c>
      <c r="B6848" s="0" t="s">
        <v>2042</v>
      </c>
      <c r="C6848" s="0" t="s">
        <v>2161</v>
      </c>
      <c r="D6848" s="0" t="s">
        <v>2105</v>
      </c>
      <c r="E6848" s="0" t="s">
        <v>2045</v>
      </c>
      <c r="F6848" s="0" t="s">
        <v>2051</v>
      </c>
      <c r="G6848" s="0" t="s">
        <v>2123</v>
      </c>
      <c r="H6848" s="0" t="s">
        <v>2119</v>
      </c>
      <c r="I6848" s="0" t="s">
        <v>2322</v>
      </c>
      <c r="J6848" s="0" t="s">
        <v>2368</v>
      </c>
      <c r="K6848" s="272" t="n">
        <v>-144697.923333333</v>
      </c>
    </row>
    <row r="6849" customFormat="false" ht="15" hidden="false" customHeight="false" outlineLevel="0" collapsed="false">
      <c r="A6849" s="0" t="s">
        <v>2041</v>
      </c>
      <c r="B6849" s="0" t="s">
        <v>2042</v>
      </c>
      <c r="C6849" s="0" t="s">
        <v>2156</v>
      </c>
      <c r="D6849" s="0" t="s">
        <v>2105</v>
      </c>
      <c r="E6849" s="0" t="s">
        <v>2045</v>
      </c>
      <c r="F6849" s="0" t="s">
        <v>2051</v>
      </c>
      <c r="G6849" s="0" t="s">
        <v>2123</v>
      </c>
      <c r="H6849" s="0" t="s">
        <v>2120</v>
      </c>
      <c r="I6849" s="0" t="s">
        <v>2322</v>
      </c>
      <c r="J6849" s="0" t="s">
        <v>2368</v>
      </c>
      <c r="K6849" s="272" t="n">
        <v>-2738353.4</v>
      </c>
    </row>
    <row r="6850" customFormat="false" ht="15" hidden="false" customHeight="false" outlineLevel="0" collapsed="false">
      <c r="A6850" s="0" t="s">
        <v>2041</v>
      </c>
      <c r="B6850" s="0" t="s">
        <v>2042</v>
      </c>
      <c r="C6850" s="0" t="s">
        <v>2161</v>
      </c>
      <c r="D6850" s="0" t="s">
        <v>2105</v>
      </c>
      <c r="E6850" s="0" t="s">
        <v>2045</v>
      </c>
      <c r="F6850" s="0" t="s">
        <v>2051</v>
      </c>
      <c r="G6850" s="0" t="s">
        <v>2123</v>
      </c>
      <c r="H6850" s="0" t="s">
        <v>2120</v>
      </c>
      <c r="I6850" s="0" t="s">
        <v>2322</v>
      </c>
      <c r="J6850" s="0" t="s">
        <v>2368</v>
      </c>
      <c r="K6850" s="272" t="n">
        <v>-514820.31</v>
      </c>
    </row>
    <row r="6851" customFormat="false" ht="15" hidden="false" customHeight="false" outlineLevel="0" collapsed="false">
      <c r="A6851" s="0" t="s">
        <v>2041</v>
      </c>
      <c r="B6851" s="0" t="s">
        <v>2042</v>
      </c>
      <c r="C6851" s="0" t="s">
        <v>2156</v>
      </c>
      <c r="D6851" s="0" t="s">
        <v>2105</v>
      </c>
      <c r="E6851" s="0" t="s">
        <v>2045</v>
      </c>
      <c r="F6851" s="0" t="s">
        <v>2051</v>
      </c>
      <c r="G6851" s="0" t="s">
        <v>2123</v>
      </c>
      <c r="H6851" s="0" t="s">
        <v>2121</v>
      </c>
      <c r="I6851" s="0" t="s">
        <v>2124</v>
      </c>
      <c r="J6851" s="0" t="s">
        <v>2368</v>
      </c>
      <c r="K6851" s="272" t="n">
        <v>-1052262</v>
      </c>
    </row>
    <row r="6852" customFormat="false" ht="15" hidden="false" customHeight="false" outlineLevel="0" collapsed="false">
      <c r="A6852" s="0" t="s">
        <v>2041</v>
      </c>
      <c r="B6852" s="0" t="s">
        <v>2042</v>
      </c>
      <c r="C6852" s="0" t="s">
        <v>2161</v>
      </c>
      <c r="D6852" s="0" t="s">
        <v>2105</v>
      </c>
      <c r="E6852" s="0" t="s">
        <v>2045</v>
      </c>
      <c r="F6852" s="0" t="s">
        <v>2051</v>
      </c>
      <c r="G6852" s="0" t="s">
        <v>2123</v>
      </c>
      <c r="H6852" s="0" t="s">
        <v>2121</v>
      </c>
      <c r="I6852" s="0" t="s">
        <v>2124</v>
      </c>
      <c r="J6852" s="0" t="s">
        <v>2368</v>
      </c>
      <c r="K6852" s="272" t="n">
        <v>-251755.91</v>
      </c>
    </row>
    <row r="6853" customFormat="false" ht="15" hidden="false" customHeight="false" outlineLevel="0" collapsed="false">
      <c r="A6853" s="0" t="s">
        <v>2041</v>
      </c>
      <c r="B6853" s="0" t="s">
        <v>2042</v>
      </c>
      <c r="C6853" s="0" t="s">
        <v>2156</v>
      </c>
      <c r="D6853" s="0" t="s">
        <v>2105</v>
      </c>
      <c r="E6853" s="0" t="s">
        <v>2045</v>
      </c>
      <c r="F6853" s="0" t="s">
        <v>2051</v>
      </c>
      <c r="G6853" s="0" t="s">
        <v>2123</v>
      </c>
      <c r="H6853" s="0" t="s">
        <v>2121</v>
      </c>
      <c r="I6853" s="0" t="s">
        <v>2322</v>
      </c>
      <c r="J6853" s="0" t="s">
        <v>2368</v>
      </c>
      <c r="K6853" s="272" t="n">
        <v>-587285.4</v>
      </c>
    </row>
    <row r="6854" customFormat="false" ht="15" hidden="false" customHeight="false" outlineLevel="0" collapsed="false">
      <c r="A6854" s="0" t="s">
        <v>2041</v>
      </c>
      <c r="B6854" s="0" t="s">
        <v>2042</v>
      </c>
      <c r="C6854" s="0" t="s">
        <v>2161</v>
      </c>
      <c r="D6854" s="0" t="s">
        <v>2105</v>
      </c>
      <c r="E6854" s="0" t="s">
        <v>2045</v>
      </c>
      <c r="F6854" s="0" t="s">
        <v>2051</v>
      </c>
      <c r="G6854" s="0" t="s">
        <v>2123</v>
      </c>
      <c r="H6854" s="0" t="s">
        <v>2121</v>
      </c>
      <c r="I6854" s="0" t="s">
        <v>2322</v>
      </c>
      <c r="J6854" s="0" t="s">
        <v>2368</v>
      </c>
      <c r="K6854" s="272" t="n">
        <v>-151776.9</v>
      </c>
    </row>
    <row r="6855" customFormat="false" ht="15" hidden="false" customHeight="false" outlineLevel="0" collapsed="false">
      <c r="A6855" s="0" t="s">
        <v>2041</v>
      </c>
      <c r="B6855" s="0" t="s">
        <v>2042</v>
      </c>
      <c r="C6855" s="0" t="s">
        <v>2156</v>
      </c>
      <c r="D6855" s="0" t="s">
        <v>2105</v>
      </c>
      <c r="E6855" s="0" t="s">
        <v>2045</v>
      </c>
      <c r="F6855" s="0" t="s">
        <v>2051</v>
      </c>
      <c r="G6855" s="0" t="s">
        <v>2123</v>
      </c>
      <c r="H6855" s="0" t="s">
        <v>2122</v>
      </c>
      <c r="I6855" s="0" t="s">
        <v>2124</v>
      </c>
      <c r="J6855" s="0" t="s">
        <v>2368</v>
      </c>
      <c r="K6855" s="272" t="n">
        <v>-1753770</v>
      </c>
    </row>
    <row r="6856" customFormat="false" ht="15" hidden="false" customHeight="false" outlineLevel="0" collapsed="false">
      <c r="A6856" s="0" t="s">
        <v>2041</v>
      </c>
      <c r="B6856" s="0" t="s">
        <v>2042</v>
      </c>
      <c r="C6856" s="0" t="s">
        <v>2161</v>
      </c>
      <c r="D6856" s="0" t="s">
        <v>2105</v>
      </c>
      <c r="E6856" s="0" t="s">
        <v>2045</v>
      </c>
      <c r="F6856" s="0" t="s">
        <v>2051</v>
      </c>
      <c r="G6856" s="0" t="s">
        <v>2123</v>
      </c>
      <c r="H6856" s="0" t="s">
        <v>2122</v>
      </c>
      <c r="I6856" s="0" t="s">
        <v>2124</v>
      </c>
      <c r="J6856" s="0" t="s">
        <v>2368</v>
      </c>
      <c r="K6856" s="272" t="n">
        <v>-419593.183333333</v>
      </c>
    </row>
    <row r="6857" customFormat="false" ht="15" hidden="false" customHeight="false" outlineLevel="0" collapsed="false">
      <c r="A6857" s="0" t="s">
        <v>2041</v>
      </c>
      <c r="B6857" s="0" t="s">
        <v>2042</v>
      </c>
      <c r="C6857" s="0" t="s">
        <v>2156</v>
      </c>
      <c r="D6857" s="0" t="s">
        <v>2105</v>
      </c>
      <c r="E6857" s="0" t="s">
        <v>2045</v>
      </c>
      <c r="F6857" s="0" t="s">
        <v>2051</v>
      </c>
      <c r="G6857" s="0" t="s">
        <v>2123</v>
      </c>
      <c r="H6857" s="0" t="s">
        <v>2122</v>
      </c>
      <c r="I6857" s="0" t="s">
        <v>2322</v>
      </c>
      <c r="J6857" s="0" t="s">
        <v>2368</v>
      </c>
      <c r="K6857" s="272" t="n">
        <v>-2600000</v>
      </c>
    </row>
    <row r="6858" customFormat="false" ht="15" hidden="false" customHeight="false" outlineLevel="0" collapsed="false">
      <c r="A6858" s="0" t="s">
        <v>2041</v>
      </c>
      <c r="B6858" s="0" t="s">
        <v>2042</v>
      </c>
      <c r="C6858" s="0" t="s">
        <v>2161</v>
      </c>
      <c r="D6858" s="0" t="s">
        <v>2105</v>
      </c>
      <c r="E6858" s="0" t="s">
        <v>2045</v>
      </c>
      <c r="F6858" s="0" t="s">
        <v>2051</v>
      </c>
      <c r="G6858" s="0" t="s">
        <v>2123</v>
      </c>
      <c r="H6858" s="0" t="s">
        <v>2122</v>
      </c>
      <c r="I6858" s="0" t="s">
        <v>2322</v>
      </c>
      <c r="J6858" s="0" t="s">
        <v>2368</v>
      </c>
      <c r="K6858" s="272" t="n">
        <v>-457423.786666667</v>
      </c>
    </row>
    <row r="6859" customFormat="false" ht="15" hidden="false" customHeight="false" outlineLevel="0" collapsed="false">
      <c r="A6859" s="0" t="s">
        <v>2041</v>
      </c>
      <c r="B6859" s="0" t="s">
        <v>2042</v>
      </c>
      <c r="C6859" s="0" t="s">
        <v>2156</v>
      </c>
      <c r="D6859" s="0" t="s">
        <v>2105</v>
      </c>
      <c r="E6859" s="0" t="s">
        <v>2045</v>
      </c>
      <c r="F6859" s="0" t="s">
        <v>2051</v>
      </c>
      <c r="G6859" s="0" t="s">
        <v>2123</v>
      </c>
      <c r="H6859" s="0" t="s">
        <v>2112</v>
      </c>
      <c r="I6859" s="0" t="s">
        <v>2124</v>
      </c>
      <c r="J6859" s="0" t="s">
        <v>2368</v>
      </c>
      <c r="K6859" s="272" t="n">
        <v>-701508</v>
      </c>
    </row>
    <row r="6860" customFormat="false" ht="15" hidden="false" customHeight="false" outlineLevel="0" collapsed="false">
      <c r="A6860" s="0" t="s">
        <v>2041</v>
      </c>
      <c r="B6860" s="0" t="s">
        <v>2042</v>
      </c>
      <c r="C6860" s="0" t="s">
        <v>2161</v>
      </c>
      <c r="D6860" s="0" t="s">
        <v>2105</v>
      </c>
      <c r="E6860" s="0" t="s">
        <v>2045</v>
      </c>
      <c r="F6860" s="0" t="s">
        <v>2051</v>
      </c>
      <c r="G6860" s="0" t="s">
        <v>2123</v>
      </c>
      <c r="H6860" s="0" t="s">
        <v>2112</v>
      </c>
      <c r="I6860" s="0" t="s">
        <v>2124</v>
      </c>
      <c r="J6860" s="0" t="s">
        <v>2368</v>
      </c>
      <c r="K6860" s="272" t="n">
        <v>-167837.273333333</v>
      </c>
    </row>
    <row r="6861" customFormat="false" ht="15" hidden="false" customHeight="false" outlineLevel="0" collapsed="false">
      <c r="A6861" s="0" t="s">
        <v>2041</v>
      </c>
      <c r="B6861" s="0" t="s">
        <v>2042</v>
      </c>
      <c r="C6861" s="0" t="s">
        <v>2156</v>
      </c>
      <c r="D6861" s="0" t="s">
        <v>2105</v>
      </c>
      <c r="E6861" s="0" t="s">
        <v>2045</v>
      </c>
      <c r="F6861" s="0" t="s">
        <v>2051</v>
      </c>
      <c r="G6861" s="0" t="s">
        <v>2123</v>
      </c>
      <c r="H6861" s="0" t="s">
        <v>2112</v>
      </c>
      <c r="I6861" s="0" t="s">
        <v>2322</v>
      </c>
      <c r="J6861" s="0" t="s">
        <v>2368</v>
      </c>
      <c r="K6861" s="272" t="n">
        <v>-4260895.4</v>
      </c>
    </row>
    <row r="6862" customFormat="false" ht="15" hidden="false" customHeight="false" outlineLevel="0" collapsed="false">
      <c r="A6862" s="0" t="s">
        <v>2041</v>
      </c>
      <c r="B6862" s="0" t="s">
        <v>2042</v>
      </c>
      <c r="C6862" s="0" t="s">
        <v>2161</v>
      </c>
      <c r="D6862" s="0" t="s">
        <v>2105</v>
      </c>
      <c r="E6862" s="0" t="s">
        <v>2045</v>
      </c>
      <c r="F6862" s="0" t="s">
        <v>2051</v>
      </c>
      <c r="G6862" s="0" t="s">
        <v>2123</v>
      </c>
      <c r="H6862" s="0" t="s">
        <v>2112</v>
      </c>
      <c r="I6862" s="0" t="s">
        <v>2322</v>
      </c>
      <c r="J6862" s="0" t="s">
        <v>2368</v>
      </c>
      <c r="K6862" s="272" t="n">
        <v>-851632.59</v>
      </c>
    </row>
    <row r="6863" customFormat="false" ht="15" hidden="false" customHeight="false" outlineLevel="0" collapsed="false">
      <c r="A6863" s="0" t="s">
        <v>2041</v>
      </c>
      <c r="B6863" s="0" t="s">
        <v>2042</v>
      </c>
      <c r="C6863" s="0" t="s">
        <v>2156</v>
      </c>
      <c r="D6863" s="0" t="s">
        <v>2105</v>
      </c>
      <c r="E6863" s="0" t="s">
        <v>2045</v>
      </c>
      <c r="F6863" s="0" t="s">
        <v>2051</v>
      </c>
      <c r="G6863" s="0" t="s">
        <v>2123</v>
      </c>
      <c r="H6863" s="0" t="s">
        <v>2113</v>
      </c>
      <c r="I6863" s="0" t="s">
        <v>2322</v>
      </c>
      <c r="J6863" s="0" t="s">
        <v>2368</v>
      </c>
      <c r="K6863" s="272" t="n">
        <v>-16474618.4</v>
      </c>
    </row>
    <row r="6864" customFormat="false" ht="15" hidden="false" customHeight="false" outlineLevel="0" collapsed="false">
      <c r="A6864" s="0" t="s">
        <v>2041</v>
      </c>
      <c r="B6864" s="0" t="s">
        <v>2042</v>
      </c>
      <c r="C6864" s="0" t="s">
        <v>2161</v>
      </c>
      <c r="D6864" s="0" t="s">
        <v>2105</v>
      </c>
      <c r="E6864" s="0" t="s">
        <v>2045</v>
      </c>
      <c r="F6864" s="0" t="s">
        <v>2051</v>
      </c>
      <c r="G6864" s="0" t="s">
        <v>2123</v>
      </c>
      <c r="H6864" s="0" t="s">
        <v>2113</v>
      </c>
      <c r="I6864" s="0" t="s">
        <v>2322</v>
      </c>
      <c r="J6864" s="0" t="s">
        <v>2368</v>
      </c>
      <c r="K6864" s="272" t="n">
        <v>-3763111.9</v>
      </c>
    </row>
    <row r="6865" customFormat="false" ht="15" hidden="false" customHeight="false" outlineLevel="0" collapsed="false">
      <c r="A6865" s="0" t="s">
        <v>2041</v>
      </c>
      <c r="B6865" s="0" t="s">
        <v>2042</v>
      </c>
      <c r="C6865" s="0" t="s">
        <v>2156</v>
      </c>
      <c r="D6865" s="0" t="s">
        <v>2105</v>
      </c>
      <c r="E6865" s="0" t="s">
        <v>2045</v>
      </c>
      <c r="F6865" s="0" t="s">
        <v>2051</v>
      </c>
      <c r="G6865" s="0" t="s">
        <v>2123</v>
      </c>
      <c r="H6865" s="0" t="s">
        <v>2107</v>
      </c>
      <c r="I6865" s="0" t="s">
        <v>2322</v>
      </c>
      <c r="J6865" s="0" t="s">
        <v>2368</v>
      </c>
      <c r="K6865" s="272" t="n">
        <v>-20841693</v>
      </c>
    </row>
    <row r="6866" customFormat="false" ht="15" hidden="false" customHeight="false" outlineLevel="0" collapsed="false">
      <c r="A6866" s="0" t="s">
        <v>2041</v>
      </c>
      <c r="B6866" s="0" t="s">
        <v>2042</v>
      </c>
      <c r="C6866" s="0" t="s">
        <v>2161</v>
      </c>
      <c r="D6866" s="0" t="s">
        <v>2105</v>
      </c>
      <c r="E6866" s="0" t="s">
        <v>2045</v>
      </c>
      <c r="F6866" s="0" t="s">
        <v>2051</v>
      </c>
      <c r="G6866" s="0" t="s">
        <v>2123</v>
      </c>
      <c r="H6866" s="0" t="s">
        <v>2107</v>
      </c>
      <c r="I6866" s="0" t="s">
        <v>2322</v>
      </c>
      <c r="J6866" s="0" t="s">
        <v>2368</v>
      </c>
      <c r="K6866" s="272" t="n">
        <v>-3455240.1</v>
      </c>
    </row>
    <row r="6867" customFormat="false" ht="15" hidden="false" customHeight="false" outlineLevel="0" collapsed="false">
      <c r="A6867" s="0" t="s">
        <v>2041</v>
      </c>
      <c r="B6867" s="0" t="s">
        <v>2042</v>
      </c>
      <c r="C6867" s="0" t="s">
        <v>2156</v>
      </c>
      <c r="D6867" s="0" t="s">
        <v>2105</v>
      </c>
      <c r="E6867" s="0" t="s">
        <v>2045</v>
      </c>
      <c r="F6867" s="0" t="s">
        <v>2046</v>
      </c>
      <c r="G6867" s="0" t="s">
        <v>2125</v>
      </c>
      <c r="H6867" s="0" t="s">
        <v>2126</v>
      </c>
      <c r="I6867" s="0" t="s">
        <v>2124</v>
      </c>
      <c r="J6867" s="0" t="s">
        <v>2368</v>
      </c>
      <c r="K6867" s="272" t="n">
        <v>-25000000</v>
      </c>
    </row>
    <row r="6868" customFormat="false" ht="15" hidden="false" customHeight="false" outlineLevel="0" collapsed="false">
      <c r="A6868" s="0" t="s">
        <v>2041</v>
      </c>
      <c r="B6868" s="0" t="s">
        <v>2042</v>
      </c>
      <c r="C6868" s="0" t="s">
        <v>2161</v>
      </c>
      <c r="D6868" s="0" t="s">
        <v>2105</v>
      </c>
      <c r="E6868" s="0" t="s">
        <v>2045</v>
      </c>
      <c r="F6868" s="0" t="s">
        <v>2046</v>
      </c>
      <c r="G6868" s="0" t="s">
        <v>2125</v>
      </c>
      <c r="H6868" s="0" t="s">
        <v>2126</v>
      </c>
      <c r="I6868" s="0" t="s">
        <v>2124</v>
      </c>
      <c r="J6868" s="0" t="s">
        <v>2368</v>
      </c>
      <c r="K6868" s="272" t="n">
        <v>-3825000</v>
      </c>
    </row>
    <row r="6869" customFormat="false" ht="15" hidden="false" customHeight="false" outlineLevel="0" collapsed="false">
      <c r="A6869" s="0" t="s">
        <v>2041</v>
      </c>
      <c r="B6869" s="0" t="s">
        <v>2042</v>
      </c>
      <c r="C6869" s="0" t="s">
        <v>2156</v>
      </c>
      <c r="D6869" s="0" t="s">
        <v>2105</v>
      </c>
      <c r="E6869" s="0" t="s">
        <v>2045</v>
      </c>
      <c r="F6869" s="0" t="s">
        <v>2046</v>
      </c>
      <c r="G6869" s="0" t="s">
        <v>2125</v>
      </c>
      <c r="H6869" s="0" t="s">
        <v>2126</v>
      </c>
      <c r="I6869" s="0" t="s">
        <v>2322</v>
      </c>
      <c r="J6869" s="0" t="s">
        <v>2368</v>
      </c>
      <c r="K6869" s="272" t="n">
        <v>-155031655</v>
      </c>
    </row>
    <row r="6870" customFormat="false" ht="15" hidden="false" customHeight="false" outlineLevel="0" collapsed="false">
      <c r="A6870" s="0" t="s">
        <v>2041</v>
      </c>
      <c r="B6870" s="0" t="s">
        <v>2042</v>
      </c>
      <c r="C6870" s="0" t="s">
        <v>2161</v>
      </c>
      <c r="D6870" s="0" t="s">
        <v>2105</v>
      </c>
      <c r="E6870" s="0" t="s">
        <v>2045</v>
      </c>
      <c r="F6870" s="0" t="s">
        <v>2046</v>
      </c>
      <c r="G6870" s="0" t="s">
        <v>2125</v>
      </c>
      <c r="H6870" s="0" t="s">
        <v>2126</v>
      </c>
      <c r="I6870" s="0" t="s">
        <v>2322</v>
      </c>
      <c r="J6870" s="0" t="s">
        <v>2368</v>
      </c>
      <c r="K6870" s="272" t="n">
        <v>-24308917.48</v>
      </c>
    </row>
    <row r="6871" customFormat="false" ht="15" hidden="false" customHeight="false" outlineLevel="0" collapsed="false">
      <c r="A6871" s="0" t="s">
        <v>2041</v>
      </c>
      <c r="B6871" s="0" t="s">
        <v>2042</v>
      </c>
      <c r="C6871" s="0" t="s">
        <v>2156</v>
      </c>
      <c r="D6871" s="0" t="s">
        <v>2105</v>
      </c>
      <c r="E6871" s="0" t="s">
        <v>2045</v>
      </c>
      <c r="F6871" s="0" t="s">
        <v>2046</v>
      </c>
      <c r="G6871" s="0" t="s">
        <v>2127</v>
      </c>
      <c r="H6871" s="0" t="s">
        <v>2128</v>
      </c>
      <c r="I6871" s="0" t="s">
        <v>2124</v>
      </c>
      <c r="J6871" s="0" t="s">
        <v>2368</v>
      </c>
      <c r="K6871" s="272" t="n">
        <v>-25000000</v>
      </c>
    </row>
    <row r="6872" customFormat="false" ht="15" hidden="false" customHeight="false" outlineLevel="0" collapsed="false">
      <c r="A6872" s="0" t="s">
        <v>2041</v>
      </c>
      <c r="B6872" s="0" t="s">
        <v>2042</v>
      </c>
      <c r="C6872" s="0" t="s">
        <v>2161</v>
      </c>
      <c r="D6872" s="0" t="s">
        <v>2105</v>
      </c>
      <c r="E6872" s="0" t="s">
        <v>2045</v>
      </c>
      <c r="F6872" s="0" t="s">
        <v>2046</v>
      </c>
      <c r="G6872" s="0" t="s">
        <v>2127</v>
      </c>
      <c r="H6872" s="0" t="s">
        <v>2128</v>
      </c>
      <c r="I6872" s="0" t="s">
        <v>2124</v>
      </c>
      <c r="J6872" s="0" t="s">
        <v>2368</v>
      </c>
      <c r="K6872" s="272" t="n">
        <v>-3825000</v>
      </c>
    </row>
    <row r="6873" customFormat="false" ht="15" hidden="false" customHeight="false" outlineLevel="0" collapsed="false">
      <c r="A6873" s="0" t="s">
        <v>2041</v>
      </c>
      <c r="B6873" s="0" t="s">
        <v>2042</v>
      </c>
      <c r="C6873" s="0" t="s">
        <v>2156</v>
      </c>
      <c r="D6873" s="0" t="s">
        <v>2105</v>
      </c>
      <c r="E6873" s="0" t="s">
        <v>2045</v>
      </c>
      <c r="F6873" s="0" t="s">
        <v>2046</v>
      </c>
      <c r="G6873" s="0" t="s">
        <v>2127</v>
      </c>
      <c r="H6873" s="0" t="s">
        <v>2128</v>
      </c>
      <c r="I6873" s="0" t="s">
        <v>2322</v>
      </c>
      <c r="J6873" s="0" t="s">
        <v>2368</v>
      </c>
      <c r="K6873" s="272" t="n">
        <v>-197364025</v>
      </c>
    </row>
    <row r="6874" customFormat="false" ht="15" hidden="false" customHeight="false" outlineLevel="0" collapsed="false">
      <c r="A6874" s="0" t="s">
        <v>2041</v>
      </c>
      <c r="B6874" s="0" t="s">
        <v>2042</v>
      </c>
      <c r="C6874" s="0" t="s">
        <v>2161</v>
      </c>
      <c r="D6874" s="0" t="s">
        <v>2105</v>
      </c>
      <c r="E6874" s="0" t="s">
        <v>2045</v>
      </c>
      <c r="F6874" s="0" t="s">
        <v>2046</v>
      </c>
      <c r="G6874" s="0" t="s">
        <v>2127</v>
      </c>
      <c r="H6874" s="0" t="s">
        <v>2128</v>
      </c>
      <c r="I6874" s="0" t="s">
        <v>2322</v>
      </c>
      <c r="J6874" s="0" t="s">
        <v>2368</v>
      </c>
      <c r="K6874" s="272" t="n">
        <v>-30902188.4</v>
      </c>
    </row>
    <row r="6875" customFormat="false" ht="15" hidden="false" customHeight="false" outlineLevel="0" collapsed="false">
      <c r="A6875" s="0" t="s">
        <v>2041</v>
      </c>
      <c r="B6875" s="0" t="s">
        <v>2042</v>
      </c>
      <c r="C6875" s="0" t="s">
        <v>2156</v>
      </c>
      <c r="D6875" s="0" t="s">
        <v>2105</v>
      </c>
      <c r="E6875" s="0" t="s">
        <v>2045</v>
      </c>
      <c r="F6875" s="0" t="s">
        <v>2046</v>
      </c>
      <c r="G6875" s="0" t="s">
        <v>2127</v>
      </c>
      <c r="H6875" s="0" t="s">
        <v>2132</v>
      </c>
      <c r="I6875" s="0" t="s">
        <v>2322</v>
      </c>
      <c r="J6875" s="0" t="s">
        <v>2368</v>
      </c>
      <c r="K6875" s="272" t="n">
        <v>-500000</v>
      </c>
    </row>
    <row r="6876" customFormat="false" ht="15" hidden="false" customHeight="false" outlineLevel="0" collapsed="false">
      <c r="A6876" s="0" t="s">
        <v>2041</v>
      </c>
      <c r="B6876" s="0" t="s">
        <v>2042</v>
      </c>
      <c r="C6876" s="0" t="s">
        <v>2161</v>
      </c>
      <c r="D6876" s="0" t="s">
        <v>2105</v>
      </c>
      <c r="E6876" s="0" t="s">
        <v>2045</v>
      </c>
      <c r="F6876" s="0" t="s">
        <v>2046</v>
      </c>
      <c r="G6876" s="0" t="s">
        <v>2127</v>
      </c>
      <c r="H6876" s="0" t="s">
        <v>2132</v>
      </c>
      <c r="I6876" s="0" t="s">
        <v>2322</v>
      </c>
      <c r="J6876" s="0" t="s">
        <v>2368</v>
      </c>
      <c r="K6876" s="272" t="n">
        <v>-151000</v>
      </c>
    </row>
    <row r="6877" customFormat="false" ht="15" hidden="false" customHeight="false" outlineLevel="0" collapsed="false">
      <c r="A6877" s="0" t="s">
        <v>2041</v>
      </c>
      <c r="B6877" s="0" t="s">
        <v>2042</v>
      </c>
      <c r="C6877" s="0" t="s">
        <v>2156</v>
      </c>
      <c r="D6877" s="0" t="s">
        <v>2105</v>
      </c>
      <c r="E6877" s="0" t="s">
        <v>2045</v>
      </c>
      <c r="F6877" s="0" t="s">
        <v>2046</v>
      </c>
      <c r="G6877" s="0" t="s">
        <v>2129</v>
      </c>
      <c r="H6877" s="0" t="s">
        <v>2130</v>
      </c>
      <c r="I6877" s="0" t="s">
        <v>2124</v>
      </c>
      <c r="J6877" s="0" t="s">
        <v>2368</v>
      </c>
      <c r="K6877" s="272" t="n">
        <v>-12700000</v>
      </c>
    </row>
    <row r="6878" customFormat="false" ht="15" hidden="false" customHeight="false" outlineLevel="0" collapsed="false">
      <c r="A6878" s="0" t="s">
        <v>2041</v>
      </c>
      <c r="B6878" s="0" t="s">
        <v>2042</v>
      </c>
      <c r="C6878" s="0" t="s">
        <v>2161</v>
      </c>
      <c r="D6878" s="0" t="s">
        <v>2105</v>
      </c>
      <c r="E6878" s="0" t="s">
        <v>2045</v>
      </c>
      <c r="F6878" s="0" t="s">
        <v>2046</v>
      </c>
      <c r="G6878" s="0" t="s">
        <v>2129</v>
      </c>
      <c r="H6878" s="0" t="s">
        <v>2130</v>
      </c>
      <c r="I6878" s="0" t="s">
        <v>2124</v>
      </c>
      <c r="J6878" s="0" t="s">
        <v>2368</v>
      </c>
      <c r="K6878" s="272" t="n">
        <v>-2317313.89</v>
      </c>
    </row>
    <row r="6879" customFormat="false" ht="15" hidden="false" customHeight="false" outlineLevel="0" collapsed="false">
      <c r="A6879" s="0" t="s">
        <v>2041</v>
      </c>
      <c r="B6879" s="0" t="s">
        <v>2042</v>
      </c>
      <c r="C6879" s="0" t="s">
        <v>2156</v>
      </c>
      <c r="D6879" s="0" t="s">
        <v>2105</v>
      </c>
      <c r="E6879" s="0" t="s">
        <v>2045</v>
      </c>
      <c r="F6879" s="0" t="s">
        <v>2046</v>
      </c>
      <c r="G6879" s="0" t="s">
        <v>2129</v>
      </c>
      <c r="H6879" s="0" t="s">
        <v>2130</v>
      </c>
      <c r="I6879" s="0" t="s">
        <v>2322</v>
      </c>
      <c r="J6879" s="0" t="s">
        <v>2368</v>
      </c>
      <c r="K6879" s="272" t="n">
        <v>-99143725</v>
      </c>
    </row>
    <row r="6880" customFormat="false" ht="15" hidden="false" customHeight="false" outlineLevel="0" collapsed="false">
      <c r="A6880" s="0" t="s">
        <v>2041</v>
      </c>
      <c r="B6880" s="0" t="s">
        <v>2042</v>
      </c>
      <c r="C6880" s="0" t="s">
        <v>2161</v>
      </c>
      <c r="D6880" s="0" t="s">
        <v>2105</v>
      </c>
      <c r="E6880" s="0" t="s">
        <v>2045</v>
      </c>
      <c r="F6880" s="0" t="s">
        <v>2046</v>
      </c>
      <c r="G6880" s="0" t="s">
        <v>2129</v>
      </c>
      <c r="H6880" s="0" t="s">
        <v>2130</v>
      </c>
      <c r="I6880" s="0" t="s">
        <v>2322</v>
      </c>
      <c r="J6880" s="0" t="s">
        <v>2368</v>
      </c>
      <c r="K6880" s="272" t="n">
        <v>-15660477.97</v>
      </c>
    </row>
    <row r="6881" customFormat="false" ht="15" hidden="false" customHeight="false" outlineLevel="0" collapsed="false">
      <c r="A6881" s="0" t="s">
        <v>2041</v>
      </c>
      <c r="B6881" s="0" t="s">
        <v>2042</v>
      </c>
      <c r="C6881" s="0" t="s">
        <v>2156</v>
      </c>
      <c r="D6881" s="0" t="s">
        <v>2105</v>
      </c>
      <c r="E6881" s="0" t="s">
        <v>2045</v>
      </c>
      <c r="F6881" s="0" t="s">
        <v>2046</v>
      </c>
      <c r="G6881" s="0" t="s">
        <v>2131</v>
      </c>
      <c r="H6881" s="0" t="s">
        <v>2132</v>
      </c>
      <c r="I6881" s="0" t="s">
        <v>2124</v>
      </c>
      <c r="J6881" s="0" t="s">
        <v>2368</v>
      </c>
      <c r="K6881" s="272" t="n">
        <v>-7500000</v>
      </c>
    </row>
    <row r="6882" customFormat="false" ht="15" hidden="false" customHeight="false" outlineLevel="0" collapsed="false">
      <c r="A6882" s="0" t="s">
        <v>2041</v>
      </c>
      <c r="B6882" s="0" t="s">
        <v>2042</v>
      </c>
      <c r="C6882" s="0" t="s">
        <v>2161</v>
      </c>
      <c r="D6882" s="0" t="s">
        <v>2105</v>
      </c>
      <c r="E6882" s="0" t="s">
        <v>2045</v>
      </c>
      <c r="F6882" s="0" t="s">
        <v>2046</v>
      </c>
      <c r="G6882" s="0" t="s">
        <v>2131</v>
      </c>
      <c r="H6882" s="0" t="s">
        <v>2132</v>
      </c>
      <c r="I6882" s="0" t="s">
        <v>2124</v>
      </c>
      <c r="J6882" s="0" t="s">
        <v>2368</v>
      </c>
      <c r="K6882" s="272" t="n">
        <v>-1306911.98</v>
      </c>
    </row>
    <row r="6883" customFormat="false" ht="15" hidden="false" customHeight="false" outlineLevel="0" collapsed="false">
      <c r="A6883" s="0" t="s">
        <v>2041</v>
      </c>
      <c r="B6883" s="0" t="s">
        <v>2042</v>
      </c>
      <c r="C6883" s="0" t="s">
        <v>2156</v>
      </c>
      <c r="D6883" s="0" t="s">
        <v>2105</v>
      </c>
      <c r="E6883" s="0" t="s">
        <v>2045</v>
      </c>
      <c r="F6883" s="0" t="s">
        <v>2046</v>
      </c>
      <c r="G6883" s="0" t="s">
        <v>2131</v>
      </c>
      <c r="H6883" s="0" t="s">
        <v>2132</v>
      </c>
      <c r="I6883" s="0" t="s">
        <v>2322</v>
      </c>
      <c r="J6883" s="0" t="s">
        <v>2368</v>
      </c>
      <c r="K6883" s="272" t="n">
        <v>-88243817</v>
      </c>
    </row>
    <row r="6884" customFormat="false" ht="15" hidden="false" customHeight="false" outlineLevel="0" collapsed="false">
      <c r="A6884" s="0" t="s">
        <v>2041</v>
      </c>
      <c r="B6884" s="0" t="s">
        <v>2042</v>
      </c>
      <c r="C6884" s="0" t="s">
        <v>2161</v>
      </c>
      <c r="D6884" s="0" t="s">
        <v>2105</v>
      </c>
      <c r="E6884" s="0" t="s">
        <v>2045</v>
      </c>
      <c r="F6884" s="0" t="s">
        <v>2046</v>
      </c>
      <c r="G6884" s="0" t="s">
        <v>2131</v>
      </c>
      <c r="H6884" s="0" t="s">
        <v>2132</v>
      </c>
      <c r="I6884" s="0" t="s">
        <v>2322</v>
      </c>
      <c r="J6884" s="0" t="s">
        <v>2368</v>
      </c>
      <c r="K6884" s="272" t="n">
        <v>-14140150.76</v>
      </c>
    </row>
    <row r="6885" customFormat="false" ht="15" hidden="false" customHeight="false" outlineLevel="0" collapsed="false">
      <c r="A6885" s="0" t="s">
        <v>2041</v>
      </c>
      <c r="B6885" s="0" t="s">
        <v>2042</v>
      </c>
      <c r="C6885" s="0" t="s">
        <v>2156</v>
      </c>
      <c r="D6885" s="0" t="s">
        <v>2105</v>
      </c>
      <c r="E6885" s="0" t="s">
        <v>2045</v>
      </c>
      <c r="F6885" s="0" t="s">
        <v>2046</v>
      </c>
      <c r="G6885" s="0" t="s">
        <v>2131</v>
      </c>
      <c r="H6885" s="0" t="s">
        <v>2126</v>
      </c>
      <c r="I6885" s="0" t="s">
        <v>2322</v>
      </c>
      <c r="J6885" s="0" t="s">
        <v>2368</v>
      </c>
      <c r="K6885" s="272" t="n">
        <v>-900000</v>
      </c>
    </row>
    <row r="6886" customFormat="false" ht="15" hidden="false" customHeight="false" outlineLevel="0" collapsed="false">
      <c r="A6886" s="0" t="s">
        <v>2041</v>
      </c>
      <c r="B6886" s="0" t="s">
        <v>2042</v>
      </c>
      <c r="C6886" s="0" t="s">
        <v>2161</v>
      </c>
      <c r="D6886" s="0" t="s">
        <v>2105</v>
      </c>
      <c r="E6886" s="0" t="s">
        <v>2045</v>
      </c>
      <c r="F6886" s="0" t="s">
        <v>2046</v>
      </c>
      <c r="G6886" s="0" t="s">
        <v>2131</v>
      </c>
      <c r="H6886" s="0" t="s">
        <v>2126</v>
      </c>
      <c r="I6886" s="0" t="s">
        <v>2322</v>
      </c>
      <c r="J6886" s="0" t="s">
        <v>2368</v>
      </c>
      <c r="K6886" s="272" t="n">
        <v>-271800</v>
      </c>
    </row>
    <row r="6887" customFormat="false" ht="15" hidden="false" customHeight="false" outlineLevel="0" collapsed="false">
      <c r="A6887" s="0" t="s">
        <v>2041</v>
      </c>
      <c r="B6887" s="0" t="s">
        <v>2042</v>
      </c>
      <c r="C6887" s="0" t="s">
        <v>2156</v>
      </c>
      <c r="D6887" s="0" t="s">
        <v>2105</v>
      </c>
      <c r="E6887" s="0" t="s">
        <v>2045</v>
      </c>
      <c r="F6887" s="0" t="s">
        <v>2046</v>
      </c>
      <c r="G6887" s="0" t="s">
        <v>2133</v>
      </c>
      <c r="H6887" s="0" t="s">
        <v>2134</v>
      </c>
      <c r="I6887" s="0" t="s">
        <v>2322</v>
      </c>
      <c r="J6887" s="0" t="s">
        <v>2368</v>
      </c>
      <c r="K6887" s="272" t="n">
        <v>-184548957</v>
      </c>
    </row>
    <row r="6888" customFormat="false" ht="15" hidden="false" customHeight="false" outlineLevel="0" collapsed="false">
      <c r="A6888" s="0" t="s">
        <v>2041</v>
      </c>
      <c r="B6888" s="0" t="s">
        <v>2042</v>
      </c>
      <c r="C6888" s="0" t="s">
        <v>2161</v>
      </c>
      <c r="D6888" s="0" t="s">
        <v>2105</v>
      </c>
      <c r="E6888" s="0" t="s">
        <v>2045</v>
      </c>
      <c r="F6888" s="0" t="s">
        <v>2046</v>
      </c>
      <c r="G6888" s="0" t="s">
        <v>2133</v>
      </c>
      <c r="H6888" s="0" t="s">
        <v>2134</v>
      </c>
      <c r="I6888" s="0" t="s">
        <v>2322</v>
      </c>
      <c r="J6888" s="0" t="s">
        <v>2368</v>
      </c>
      <c r="K6888" s="272" t="n">
        <v>-28657695.14</v>
      </c>
    </row>
    <row r="6889" customFormat="false" ht="15" hidden="false" customHeight="false" outlineLevel="0" collapsed="false">
      <c r="A6889" s="0" t="s">
        <v>2041</v>
      </c>
      <c r="B6889" s="0" t="s">
        <v>2042</v>
      </c>
      <c r="C6889" s="0" t="s">
        <v>2156</v>
      </c>
      <c r="D6889" s="0" t="s">
        <v>2105</v>
      </c>
      <c r="E6889" s="0" t="s">
        <v>2045</v>
      </c>
      <c r="F6889" s="0" t="s">
        <v>2046</v>
      </c>
      <c r="G6889" s="0" t="s">
        <v>2135</v>
      </c>
      <c r="H6889" s="0" t="s">
        <v>2136</v>
      </c>
      <c r="I6889" s="0" t="s">
        <v>2124</v>
      </c>
      <c r="J6889" s="0" t="s">
        <v>2368</v>
      </c>
      <c r="K6889" s="272" t="n">
        <v>-4000000</v>
      </c>
    </row>
    <row r="6890" customFormat="false" ht="15" hidden="false" customHeight="false" outlineLevel="0" collapsed="false">
      <c r="A6890" s="0" t="s">
        <v>2041</v>
      </c>
      <c r="B6890" s="0" t="s">
        <v>2042</v>
      </c>
      <c r="C6890" s="0" t="s">
        <v>2161</v>
      </c>
      <c r="D6890" s="0" t="s">
        <v>2105</v>
      </c>
      <c r="E6890" s="0" t="s">
        <v>2045</v>
      </c>
      <c r="F6890" s="0" t="s">
        <v>2046</v>
      </c>
      <c r="G6890" s="0" t="s">
        <v>2135</v>
      </c>
      <c r="H6890" s="0" t="s">
        <v>2136</v>
      </c>
      <c r="I6890" s="0" t="s">
        <v>2124</v>
      </c>
      <c r="J6890" s="0" t="s">
        <v>2368</v>
      </c>
      <c r="K6890" s="272" t="n">
        <v>-814491</v>
      </c>
    </row>
    <row r="6891" customFormat="false" ht="15" hidden="false" customHeight="false" outlineLevel="0" collapsed="false">
      <c r="A6891" s="0" t="s">
        <v>2041</v>
      </c>
      <c r="B6891" s="0" t="s">
        <v>2042</v>
      </c>
      <c r="C6891" s="0" t="s">
        <v>2156</v>
      </c>
      <c r="D6891" s="0" t="s">
        <v>2105</v>
      </c>
      <c r="E6891" s="0" t="s">
        <v>2045</v>
      </c>
      <c r="F6891" s="0" t="s">
        <v>2046</v>
      </c>
      <c r="G6891" s="0" t="s">
        <v>2135</v>
      </c>
      <c r="H6891" s="0" t="s">
        <v>2136</v>
      </c>
      <c r="I6891" s="0" t="s">
        <v>2322</v>
      </c>
      <c r="J6891" s="0" t="s">
        <v>2368</v>
      </c>
      <c r="K6891" s="272" t="n">
        <v>-72949385</v>
      </c>
    </row>
    <row r="6892" customFormat="false" ht="15" hidden="false" customHeight="false" outlineLevel="0" collapsed="false">
      <c r="A6892" s="0" t="s">
        <v>2041</v>
      </c>
      <c r="B6892" s="0" t="s">
        <v>2042</v>
      </c>
      <c r="C6892" s="0" t="s">
        <v>2161</v>
      </c>
      <c r="D6892" s="0" t="s">
        <v>2105</v>
      </c>
      <c r="E6892" s="0" t="s">
        <v>2045</v>
      </c>
      <c r="F6892" s="0" t="s">
        <v>2046</v>
      </c>
      <c r="G6892" s="0" t="s">
        <v>2135</v>
      </c>
      <c r="H6892" s="0" t="s">
        <v>2136</v>
      </c>
      <c r="I6892" s="0" t="s">
        <v>2322</v>
      </c>
      <c r="J6892" s="0" t="s">
        <v>2368</v>
      </c>
      <c r="K6892" s="272" t="n">
        <v>-11763861.58</v>
      </c>
    </row>
    <row r="6893" customFormat="false" ht="15" hidden="false" customHeight="false" outlineLevel="0" collapsed="false">
      <c r="A6893" s="0" t="s">
        <v>2041</v>
      </c>
      <c r="B6893" s="0" t="s">
        <v>2042</v>
      </c>
      <c r="C6893" s="0" t="s">
        <v>2156</v>
      </c>
      <c r="D6893" s="0" t="s">
        <v>2105</v>
      </c>
      <c r="E6893" s="0" t="s">
        <v>2045</v>
      </c>
      <c r="F6893" s="0" t="s">
        <v>2046</v>
      </c>
      <c r="G6893" s="0" t="s">
        <v>2137</v>
      </c>
      <c r="H6893" s="0" t="s">
        <v>2138</v>
      </c>
      <c r="I6893" s="0" t="s">
        <v>2322</v>
      </c>
      <c r="J6893" s="0" t="s">
        <v>2368</v>
      </c>
      <c r="K6893" s="272" t="n">
        <v>-158690922</v>
      </c>
    </row>
    <row r="6894" customFormat="false" ht="15" hidden="false" customHeight="false" outlineLevel="0" collapsed="false">
      <c r="A6894" s="0" t="s">
        <v>2041</v>
      </c>
      <c r="B6894" s="0" t="s">
        <v>2042</v>
      </c>
      <c r="C6894" s="0" t="s">
        <v>2161</v>
      </c>
      <c r="D6894" s="0" t="s">
        <v>2105</v>
      </c>
      <c r="E6894" s="0" t="s">
        <v>2045</v>
      </c>
      <c r="F6894" s="0" t="s">
        <v>2046</v>
      </c>
      <c r="G6894" s="0" t="s">
        <v>2137</v>
      </c>
      <c r="H6894" s="0" t="s">
        <v>2138</v>
      </c>
      <c r="I6894" s="0" t="s">
        <v>2322</v>
      </c>
      <c r="J6894" s="0" t="s">
        <v>2368</v>
      </c>
      <c r="K6894" s="272" t="n">
        <v>-25789608.48</v>
      </c>
    </row>
    <row r="6895" customFormat="false" ht="15" hidden="false" customHeight="false" outlineLevel="0" collapsed="false">
      <c r="A6895" s="0" t="s">
        <v>2041</v>
      </c>
      <c r="B6895" s="0" t="s">
        <v>2042</v>
      </c>
      <c r="C6895" s="0" t="s">
        <v>2156</v>
      </c>
      <c r="D6895" s="0" t="s">
        <v>2105</v>
      </c>
      <c r="E6895" s="0" t="s">
        <v>2045</v>
      </c>
      <c r="F6895" s="0" t="s">
        <v>2046</v>
      </c>
      <c r="G6895" s="0" t="s">
        <v>2139</v>
      </c>
      <c r="H6895" s="0" t="s">
        <v>2136</v>
      </c>
      <c r="I6895" s="0" t="s">
        <v>2322</v>
      </c>
      <c r="J6895" s="0" t="s">
        <v>2368</v>
      </c>
      <c r="K6895" s="272" t="n">
        <v>-500000</v>
      </c>
    </row>
    <row r="6896" customFormat="false" ht="15" hidden="false" customHeight="false" outlineLevel="0" collapsed="false">
      <c r="A6896" s="0" t="s">
        <v>2041</v>
      </c>
      <c r="B6896" s="0" t="s">
        <v>2042</v>
      </c>
      <c r="C6896" s="0" t="s">
        <v>2161</v>
      </c>
      <c r="D6896" s="0" t="s">
        <v>2105</v>
      </c>
      <c r="E6896" s="0" t="s">
        <v>2045</v>
      </c>
      <c r="F6896" s="0" t="s">
        <v>2046</v>
      </c>
      <c r="G6896" s="0" t="s">
        <v>2139</v>
      </c>
      <c r="H6896" s="0" t="s">
        <v>2136</v>
      </c>
      <c r="I6896" s="0" t="s">
        <v>2322</v>
      </c>
      <c r="J6896" s="0" t="s">
        <v>2368</v>
      </c>
      <c r="K6896" s="272" t="n">
        <v>-151000</v>
      </c>
    </row>
    <row r="6897" customFormat="false" ht="15" hidden="false" customHeight="false" outlineLevel="0" collapsed="false">
      <c r="A6897" s="0" t="s">
        <v>2041</v>
      </c>
      <c r="B6897" s="0" t="s">
        <v>2042</v>
      </c>
      <c r="C6897" s="0" t="s">
        <v>2156</v>
      </c>
      <c r="D6897" s="0" t="s">
        <v>2105</v>
      </c>
      <c r="E6897" s="0" t="s">
        <v>2045</v>
      </c>
      <c r="F6897" s="0" t="s">
        <v>2046</v>
      </c>
      <c r="G6897" s="0" t="s">
        <v>2139</v>
      </c>
      <c r="H6897" s="0" t="s">
        <v>2140</v>
      </c>
      <c r="I6897" s="0" t="s">
        <v>2322</v>
      </c>
      <c r="J6897" s="0" t="s">
        <v>2368</v>
      </c>
      <c r="K6897" s="272" t="n">
        <v>-61783401</v>
      </c>
    </row>
    <row r="6898" customFormat="false" ht="15" hidden="false" customHeight="false" outlineLevel="0" collapsed="false">
      <c r="A6898" s="0" t="s">
        <v>2041</v>
      </c>
      <c r="B6898" s="0" t="s">
        <v>2042</v>
      </c>
      <c r="C6898" s="0" t="s">
        <v>2161</v>
      </c>
      <c r="D6898" s="0" t="s">
        <v>2105</v>
      </c>
      <c r="E6898" s="0" t="s">
        <v>2045</v>
      </c>
      <c r="F6898" s="0" t="s">
        <v>2046</v>
      </c>
      <c r="G6898" s="0" t="s">
        <v>2139</v>
      </c>
      <c r="H6898" s="0" t="s">
        <v>2140</v>
      </c>
      <c r="I6898" s="0" t="s">
        <v>2322</v>
      </c>
      <c r="J6898" s="0" t="s">
        <v>2368</v>
      </c>
      <c r="K6898" s="272" t="n">
        <v>-10842353.12</v>
      </c>
    </row>
    <row r="6899" customFormat="false" ht="15" hidden="false" customHeight="false" outlineLevel="0" collapsed="false">
      <c r="A6899" s="0" t="s">
        <v>2041</v>
      </c>
      <c r="B6899" s="0" t="s">
        <v>2042</v>
      </c>
      <c r="C6899" s="0" t="s">
        <v>2156</v>
      </c>
      <c r="D6899" s="0" t="s">
        <v>2105</v>
      </c>
      <c r="E6899" s="0" t="s">
        <v>2045</v>
      </c>
      <c r="F6899" s="0" t="s">
        <v>2046</v>
      </c>
      <c r="G6899" s="0" t="s">
        <v>2141</v>
      </c>
      <c r="H6899" s="0" t="s">
        <v>2144</v>
      </c>
      <c r="I6899" s="0" t="s">
        <v>2322</v>
      </c>
      <c r="J6899" s="0" t="s">
        <v>2368</v>
      </c>
      <c r="K6899" s="272" t="n">
        <v>-11081187.5</v>
      </c>
    </row>
    <row r="6900" customFormat="false" ht="15" hidden="false" customHeight="false" outlineLevel="0" collapsed="false">
      <c r="A6900" s="0" t="s">
        <v>2041</v>
      </c>
      <c r="B6900" s="0" t="s">
        <v>2042</v>
      </c>
      <c r="C6900" s="0" t="s">
        <v>2161</v>
      </c>
      <c r="D6900" s="0" t="s">
        <v>2105</v>
      </c>
      <c r="E6900" s="0" t="s">
        <v>2045</v>
      </c>
      <c r="F6900" s="0" t="s">
        <v>2046</v>
      </c>
      <c r="G6900" s="0" t="s">
        <v>2141</v>
      </c>
      <c r="H6900" s="0" t="s">
        <v>2144</v>
      </c>
      <c r="I6900" s="0" t="s">
        <v>2322</v>
      </c>
      <c r="J6900" s="0" t="s">
        <v>2368</v>
      </c>
      <c r="K6900" s="272" t="n">
        <v>-1695421.69</v>
      </c>
    </row>
    <row r="6901" customFormat="false" ht="15" hidden="false" customHeight="false" outlineLevel="0" collapsed="false">
      <c r="A6901" s="0" t="s">
        <v>2041</v>
      </c>
      <c r="B6901" s="0" t="s">
        <v>2042</v>
      </c>
      <c r="C6901" s="0" t="s">
        <v>2156</v>
      </c>
      <c r="D6901" s="0" t="s">
        <v>2105</v>
      </c>
      <c r="E6901" s="0" t="s">
        <v>2045</v>
      </c>
      <c r="F6901" s="0" t="s">
        <v>2046</v>
      </c>
      <c r="G6901" s="0" t="s">
        <v>2141</v>
      </c>
      <c r="H6901" s="0" t="s">
        <v>2142</v>
      </c>
      <c r="I6901" s="0" t="s">
        <v>2322</v>
      </c>
      <c r="J6901" s="0" t="s">
        <v>2368</v>
      </c>
      <c r="K6901" s="272" t="n">
        <v>-42306187.5</v>
      </c>
    </row>
    <row r="6902" customFormat="false" ht="15" hidden="false" customHeight="false" outlineLevel="0" collapsed="false">
      <c r="A6902" s="0" t="s">
        <v>2041</v>
      </c>
      <c r="B6902" s="0" t="s">
        <v>2042</v>
      </c>
      <c r="C6902" s="0" t="s">
        <v>2161</v>
      </c>
      <c r="D6902" s="0" t="s">
        <v>2105</v>
      </c>
      <c r="E6902" s="0" t="s">
        <v>2045</v>
      </c>
      <c r="F6902" s="0" t="s">
        <v>2046</v>
      </c>
      <c r="G6902" s="0" t="s">
        <v>2141</v>
      </c>
      <c r="H6902" s="0" t="s">
        <v>2142</v>
      </c>
      <c r="I6902" s="0" t="s">
        <v>2322</v>
      </c>
      <c r="J6902" s="0" t="s">
        <v>2368</v>
      </c>
      <c r="K6902" s="272" t="n">
        <v>-7468163.03</v>
      </c>
    </row>
    <row r="6903" customFormat="false" ht="15" hidden="false" customHeight="false" outlineLevel="0" collapsed="false">
      <c r="A6903" s="0" t="s">
        <v>2041</v>
      </c>
      <c r="B6903" s="0" t="s">
        <v>2042</v>
      </c>
      <c r="C6903" s="0" t="s">
        <v>2156</v>
      </c>
      <c r="D6903" s="0" t="s">
        <v>2105</v>
      </c>
      <c r="E6903" s="0" t="s">
        <v>2045</v>
      </c>
      <c r="F6903" s="0" t="s">
        <v>2046</v>
      </c>
      <c r="G6903" s="0" t="s">
        <v>2143</v>
      </c>
      <c r="H6903" s="0" t="s">
        <v>2144</v>
      </c>
      <c r="I6903" s="0" t="s">
        <v>2322</v>
      </c>
      <c r="J6903" s="0" t="s">
        <v>2368</v>
      </c>
      <c r="K6903" s="272" t="n">
        <v>-51700000</v>
      </c>
    </row>
    <row r="6904" customFormat="false" ht="15" hidden="false" customHeight="false" outlineLevel="0" collapsed="false">
      <c r="A6904" s="0" t="s">
        <v>2041</v>
      </c>
      <c r="B6904" s="0" t="s">
        <v>2042</v>
      </c>
      <c r="C6904" s="0" t="s">
        <v>2161</v>
      </c>
      <c r="D6904" s="0" t="s">
        <v>2105</v>
      </c>
      <c r="E6904" s="0" t="s">
        <v>2045</v>
      </c>
      <c r="F6904" s="0" t="s">
        <v>2046</v>
      </c>
      <c r="G6904" s="0" t="s">
        <v>2143</v>
      </c>
      <c r="H6904" s="0" t="s">
        <v>2144</v>
      </c>
      <c r="I6904" s="0" t="s">
        <v>2322</v>
      </c>
      <c r="J6904" s="0" t="s">
        <v>2368</v>
      </c>
      <c r="K6904" s="272" t="n">
        <v>-8970490.5</v>
      </c>
    </row>
    <row r="6905" customFormat="false" ht="15" hidden="false" customHeight="false" outlineLevel="0" collapsed="false">
      <c r="A6905" s="0" t="s">
        <v>2041</v>
      </c>
      <c r="B6905" s="0" t="s">
        <v>2042</v>
      </c>
      <c r="C6905" s="0" t="s">
        <v>2156</v>
      </c>
      <c r="D6905" s="0" t="s">
        <v>2105</v>
      </c>
      <c r="E6905" s="0" t="s">
        <v>2045</v>
      </c>
      <c r="F6905" s="0" t="s">
        <v>2046</v>
      </c>
      <c r="G6905" s="0" t="s">
        <v>2143</v>
      </c>
      <c r="H6905" s="0" t="s">
        <v>2142</v>
      </c>
      <c r="I6905" s="0" t="s">
        <v>2322</v>
      </c>
      <c r="J6905" s="0" t="s">
        <v>2368</v>
      </c>
      <c r="K6905" s="272" t="n">
        <v>-15000000</v>
      </c>
    </row>
    <row r="6906" customFormat="false" ht="15" hidden="false" customHeight="false" outlineLevel="0" collapsed="false">
      <c r="A6906" s="0" t="s">
        <v>2041</v>
      </c>
      <c r="B6906" s="0" t="s">
        <v>2042</v>
      </c>
      <c r="C6906" s="0" t="s">
        <v>2161</v>
      </c>
      <c r="D6906" s="0" t="s">
        <v>2105</v>
      </c>
      <c r="E6906" s="0" t="s">
        <v>2045</v>
      </c>
      <c r="F6906" s="0" t="s">
        <v>2046</v>
      </c>
      <c r="G6906" s="0" t="s">
        <v>2143</v>
      </c>
      <c r="H6906" s="0" t="s">
        <v>2142</v>
      </c>
      <c r="I6906" s="0" t="s">
        <v>2322</v>
      </c>
      <c r="J6906" s="0" t="s">
        <v>2368</v>
      </c>
      <c r="K6906" s="272" t="n">
        <v>-2295000</v>
      </c>
    </row>
    <row r="6907" customFormat="false" ht="15" hidden="false" customHeight="false" outlineLevel="0" collapsed="false">
      <c r="A6907" s="0" t="s">
        <v>2041</v>
      </c>
      <c r="B6907" s="0" t="s">
        <v>2042</v>
      </c>
      <c r="C6907" s="0" t="s">
        <v>2156</v>
      </c>
      <c r="D6907" s="0" t="s">
        <v>2105</v>
      </c>
      <c r="E6907" s="0" t="s">
        <v>2045</v>
      </c>
      <c r="F6907" s="0" t="s">
        <v>2046</v>
      </c>
      <c r="G6907" s="0" t="s">
        <v>2145</v>
      </c>
      <c r="H6907" s="0" t="s">
        <v>2146</v>
      </c>
      <c r="I6907" s="0" t="s">
        <v>2124</v>
      </c>
      <c r="J6907" s="0" t="s">
        <v>2368</v>
      </c>
      <c r="K6907" s="272" t="n">
        <v>-2500000</v>
      </c>
    </row>
    <row r="6908" customFormat="false" ht="15" hidden="false" customHeight="false" outlineLevel="0" collapsed="false">
      <c r="A6908" s="0" t="s">
        <v>2041</v>
      </c>
      <c r="B6908" s="0" t="s">
        <v>2042</v>
      </c>
      <c r="C6908" s="0" t="s">
        <v>2161</v>
      </c>
      <c r="D6908" s="0" t="s">
        <v>2105</v>
      </c>
      <c r="E6908" s="0" t="s">
        <v>2045</v>
      </c>
      <c r="F6908" s="0" t="s">
        <v>2046</v>
      </c>
      <c r="G6908" s="0" t="s">
        <v>2145</v>
      </c>
      <c r="H6908" s="0" t="s">
        <v>2146</v>
      </c>
      <c r="I6908" s="0" t="s">
        <v>2124</v>
      </c>
      <c r="J6908" s="0" t="s">
        <v>2368</v>
      </c>
      <c r="K6908" s="272" t="n">
        <v>-575780.8</v>
      </c>
    </row>
    <row r="6909" customFormat="false" ht="15" hidden="false" customHeight="false" outlineLevel="0" collapsed="false">
      <c r="A6909" s="0" t="s">
        <v>2041</v>
      </c>
      <c r="B6909" s="0" t="s">
        <v>2042</v>
      </c>
      <c r="C6909" s="0" t="s">
        <v>2156</v>
      </c>
      <c r="D6909" s="0" t="s">
        <v>2105</v>
      </c>
      <c r="E6909" s="0" t="s">
        <v>2045</v>
      </c>
      <c r="F6909" s="0" t="s">
        <v>2046</v>
      </c>
      <c r="G6909" s="0" t="s">
        <v>2145</v>
      </c>
      <c r="H6909" s="0" t="s">
        <v>2146</v>
      </c>
      <c r="I6909" s="0" t="s">
        <v>2322</v>
      </c>
      <c r="J6909" s="0" t="s">
        <v>2368</v>
      </c>
      <c r="K6909" s="272" t="n">
        <v>-61000000</v>
      </c>
    </row>
    <row r="6910" customFormat="false" ht="15" hidden="false" customHeight="false" outlineLevel="0" collapsed="false">
      <c r="A6910" s="0" t="s">
        <v>2041</v>
      </c>
      <c r="B6910" s="0" t="s">
        <v>2042</v>
      </c>
      <c r="C6910" s="0" t="s">
        <v>2161</v>
      </c>
      <c r="D6910" s="0" t="s">
        <v>2105</v>
      </c>
      <c r="E6910" s="0" t="s">
        <v>2045</v>
      </c>
      <c r="F6910" s="0" t="s">
        <v>2046</v>
      </c>
      <c r="G6910" s="0" t="s">
        <v>2145</v>
      </c>
      <c r="H6910" s="0" t="s">
        <v>2146</v>
      </c>
      <c r="I6910" s="0" t="s">
        <v>2322</v>
      </c>
      <c r="J6910" s="0" t="s">
        <v>2368</v>
      </c>
      <c r="K6910" s="272" t="n">
        <v>-9720239.61</v>
      </c>
    </row>
    <row r="6911" customFormat="false" ht="15" hidden="false" customHeight="false" outlineLevel="0" collapsed="false">
      <c r="A6911" s="0" t="s">
        <v>2041</v>
      </c>
      <c r="B6911" s="0" t="s">
        <v>2042</v>
      </c>
      <c r="C6911" s="0" t="s">
        <v>2156</v>
      </c>
      <c r="D6911" s="0" t="s">
        <v>2105</v>
      </c>
      <c r="E6911" s="0" t="s">
        <v>2045</v>
      </c>
      <c r="F6911" s="0" t="s">
        <v>2046</v>
      </c>
      <c r="G6911" s="0" t="s">
        <v>2147</v>
      </c>
      <c r="H6911" s="0" t="s">
        <v>2126</v>
      </c>
      <c r="I6911" s="0" t="s">
        <v>2124</v>
      </c>
      <c r="J6911" s="0" t="s">
        <v>2368</v>
      </c>
      <c r="K6911" s="272" t="n">
        <v>-2199999.4</v>
      </c>
    </row>
    <row r="6912" customFormat="false" ht="15" hidden="false" customHeight="false" outlineLevel="0" collapsed="false">
      <c r="A6912" s="0" t="s">
        <v>2041</v>
      </c>
      <c r="B6912" s="0" t="s">
        <v>2042</v>
      </c>
      <c r="C6912" s="0" t="s">
        <v>2161</v>
      </c>
      <c r="D6912" s="0" t="s">
        <v>2105</v>
      </c>
      <c r="E6912" s="0" t="s">
        <v>2045</v>
      </c>
      <c r="F6912" s="0" t="s">
        <v>2046</v>
      </c>
      <c r="G6912" s="0" t="s">
        <v>2147</v>
      </c>
      <c r="H6912" s="0" t="s">
        <v>2126</v>
      </c>
      <c r="I6912" s="0" t="s">
        <v>2124</v>
      </c>
      <c r="J6912" s="0" t="s">
        <v>2368</v>
      </c>
      <c r="K6912" s="272" t="n">
        <v>-664399.82</v>
      </c>
    </row>
    <row r="6913" customFormat="false" ht="15" hidden="false" customHeight="false" outlineLevel="0" collapsed="false">
      <c r="A6913" s="0" t="s">
        <v>2041</v>
      </c>
      <c r="B6913" s="0" t="s">
        <v>2042</v>
      </c>
      <c r="C6913" s="0" t="s">
        <v>2156</v>
      </c>
      <c r="D6913" s="0" t="s">
        <v>2105</v>
      </c>
      <c r="E6913" s="0" t="s">
        <v>2045</v>
      </c>
      <c r="F6913" s="0" t="s">
        <v>2046</v>
      </c>
      <c r="G6913" s="0" t="s">
        <v>2147</v>
      </c>
      <c r="H6913" s="0" t="s">
        <v>2126</v>
      </c>
      <c r="I6913" s="0" t="s">
        <v>2322</v>
      </c>
      <c r="J6913" s="0" t="s">
        <v>2368</v>
      </c>
      <c r="K6913" s="272" t="n">
        <v>-24650000</v>
      </c>
    </row>
    <row r="6914" customFormat="false" ht="15" hidden="false" customHeight="false" outlineLevel="0" collapsed="false">
      <c r="A6914" s="0" t="s">
        <v>2041</v>
      </c>
      <c r="B6914" s="0" t="s">
        <v>2042</v>
      </c>
      <c r="C6914" s="0" t="s">
        <v>2161</v>
      </c>
      <c r="D6914" s="0" t="s">
        <v>2105</v>
      </c>
      <c r="E6914" s="0" t="s">
        <v>2045</v>
      </c>
      <c r="F6914" s="0" t="s">
        <v>2046</v>
      </c>
      <c r="G6914" s="0" t="s">
        <v>2147</v>
      </c>
      <c r="H6914" s="0" t="s">
        <v>2126</v>
      </c>
      <c r="I6914" s="0" t="s">
        <v>2322</v>
      </c>
      <c r="J6914" s="0" t="s">
        <v>2368</v>
      </c>
      <c r="K6914" s="272" t="n">
        <v>-6772916.41</v>
      </c>
    </row>
    <row r="6915" customFormat="false" ht="15" hidden="false" customHeight="false" outlineLevel="0" collapsed="false">
      <c r="A6915" s="0" t="s">
        <v>2041</v>
      </c>
      <c r="B6915" s="0" t="s">
        <v>2042</v>
      </c>
      <c r="C6915" s="0" t="s">
        <v>2156</v>
      </c>
      <c r="D6915" s="0" t="s">
        <v>2105</v>
      </c>
      <c r="E6915" s="0" t="s">
        <v>2045</v>
      </c>
      <c r="F6915" s="0" t="s">
        <v>2046</v>
      </c>
      <c r="G6915" s="0" t="s">
        <v>2148</v>
      </c>
      <c r="H6915" s="0" t="s">
        <v>2149</v>
      </c>
      <c r="I6915" s="0" t="s">
        <v>2322</v>
      </c>
      <c r="J6915" s="0" t="s">
        <v>2368</v>
      </c>
      <c r="K6915" s="272" t="n">
        <v>-109800000</v>
      </c>
    </row>
    <row r="6916" customFormat="false" ht="15" hidden="false" customHeight="false" outlineLevel="0" collapsed="false">
      <c r="A6916" s="0" t="s">
        <v>2041</v>
      </c>
      <c r="B6916" s="0" t="s">
        <v>2042</v>
      </c>
      <c r="C6916" s="0" t="s">
        <v>2161</v>
      </c>
      <c r="D6916" s="0" t="s">
        <v>2105</v>
      </c>
      <c r="E6916" s="0" t="s">
        <v>2045</v>
      </c>
      <c r="F6916" s="0" t="s">
        <v>2046</v>
      </c>
      <c r="G6916" s="0" t="s">
        <v>2148</v>
      </c>
      <c r="H6916" s="0" t="s">
        <v>2149</v>
      </c>
      <c r="I6916" s="0" t="s">
        <v>2322</v>
      </c>
      <c r="J6916" s="0" t="s">
        <v>2368</v>
      </c>
      <c r="K6916" s="272" t="n">
        <v>-17894350.67</v>
      </c>
    </row>
    <row r="6917" customFormat="false" ht="15" hidden="false" customHeight="false" outlineLevel="0" collapsed="false">
      <c r="A6917" s="0" t="s">
        <v>2041</v>
      </c>
      <c r="B6917" s="0" t="s">
        <v>2042</v>
      </c>
      <c r="C6917" s="0" t="s">
        <v>2156</v>
      </c>
      <c r="D6917" s="0" t="s">
        <v>2105</v>
      </c>
      <c r="E6917" s="0" t="s">
        <v>2045</v>
      </c>
      <c r="F6917" s="0" t="s">
        <v>2215</v>
      </c>
      <c r="G6917" s="0" t="s">
        <v>2216</v>
      </c>
      <c r="H6917" s="0" t="s">
        <v>2217</v>
      </c>
      <c r="I6917" s="0" t="s">
        <v>2124</v>
      </c>
      <c r="J6917" s="0" t="s">
        <v>2368</v>
      </c>
      <c r="K6917" s="272" t="n">
        <v>-36860000</v>
      </c>
    </row>
    <row r="6918" customFormat="false" ht="15" hidden="false" customHeight="false" outlineLevel="0" collapsed="false">
      <c r="A6918" s="0" t="s">
        <v>2041</v>
      </c>
      <c r="B6918" s="0" t="s">
        <v>2042</v>
      </c>
      <c r="C6918" s="0" t="s">
        <v>2161</v>
      </c>
      <c r="D6918" s="0" t="s">
        <v>2105</v>
      </c>
      <c r="E6918" s="0" t="s">
        <v>2045</v>
      </c>
      <c r="F6918" s="0" t="s">
        <v>2215</v>
      </c>
      <c r="G6918" s="0" t="s">
        <v>2216</v>
      </c>
      <c r="H6918" s="0" t="s">
        <v>2217</v>
      </c>
      <c r="I6918" s="0" t="s">
        <v>2124</v>
      </c>
      <c r="J6918" s="0" t="s">
        <v>2368</v>
      </c>
      <c r="K6918" s="272" t="n">
        <v>-7104129.11</v>
      </c>
    </row>
    <row r="6919" customFormat="false" ht="15" hidden="false" customHeight="false" outlineLevel="0" collapsed="false">
      <c r="A6919" s="0" t="s">
        <v>2041</v>
      </c>
      <c r="B6919" s="0" t="s">
        <v>2042</v>
      </c>
      <c r="C6919" s="0" t="s">
        <v>2156</v>
      </c>
      <c r="D6919" s="0" t="s">
        <v>2105</v>
      </c>
      <c r="E6919" s="0" t="s">
        <v>2045</v>
      </c>
      <c r="F6919" s="0" t="s">
        <v>2215</v>
      </c>
      <c r="G6919" s="0" t="s">
        <v>2216</v>
      </c>
      <c r="H6919" s="0" t="s">
        <v>2217</v>
      </c>
      <c r="I6919" s="0" t="s">
        <v>2322</v>
      </c>
      <c r="J6919" s="0" t="s">
        <v>2368</v>
      </c>
      <c r="K6919" s="272" t="n">
        <v>-641206897</v>
      </c>
    </row>
    <row r="6920" customFormat="false" ht="15" hidden="false" customHeight="false" outlineLevel="0" collapsed="false">
      <c r="A6920" s="0" t="s">
        <v>2041</v>
      </c>
      <c r="B6920" s="0" t="s">
        <v>2042</v>
      </c>
      <c r="C6920" s="0" t="s">
        <v>2161</v>
      </c>
      <c r="D6920" s="0" t="s">
        <v>2105</v>
      </c>
      <c r="E6920" s="0" t="s">
        <v>2045</v>
      </c>
      <c r="F6920" s="0" t="s">
        <v>2215</v>
      </c>
      <c r="G6920" s="0" t="s">
        <v>2216</v>
      </c>
      <c r="H6920" s="0" t="s">
        <v>2217</v>
      </c>
      <c r="I6920" s="0" t="s">
        <v>2322</v>
      </c>
      <c r="J6920" s="0" t="s">
        <v>2368</v>
      </c>
      <c r="K6920" s="272" t="n">
        <v>-101356727.51</v>
      </c>
    </row>
    <row r="6921" customFormat="false" ht="15" hidden="false" customHeight="false" outlineLevel="0" collapsed="false">
      <c r="A6921" s="0" t="s">
        <v>2041</v>
      </c>
      <c r="B6921" s="0" t="s">
        <v>2042</v>
      </c>
      <c r="C6921" s="0" t="s">
        <v>2156</v>
      </c>
      <c r="D6921" s="0" t="s">
        <v>2105</v>
      </c>
      <c r="E6921" s="0" t="s">
        <v>2045</v>
      </c>
      <c r="F6921" s="0" t="s">
        <v>2215</v>
      </c>
      <c r="G6921" s="0" t="s">
        <v>2218</v>
      </c>
      <c r="H6921" s="0" t="s">
        <v>2182</v>
      </c>
      <c r="I6921" s="0" t="s">
        <v>2124</v>
      </c>
      <c r="J6921" s="0" t="s">
        <v>2368</v>
      </c>
      <c r="K6921" s="272" t="n">
        <v>-5000000</v>
      </c>
    </row>
    <row r="6922" customFormat="false" ht="15" hidden="false" customHeight="false" outlineLevel="0" collapsed="false">
      <c r="A6922" s="0" t="s">
        <v>2041</v>
      </c>
      <c r="B6922" s="0" t="s">
        <v>2042</v>
      </c>
      <c r="C6922" s="0" t="s">
        <v>2161</v>
      </c>
      <c r="D6922" s="0" t="s">
        <v>2105</v>
      </c>
      <c r="E6922" s="0" t="s">
        <v>2045</v>
      </c>
      <c r="F6922" s="0" t="s">
        <v>2215</v>
      </c>
      <c r="G6922" s="0" t="s">
        <v>2218</v>
      </c>
      <c r="H6922" s="0" t="s">
        <v>2182</v>
      </c>
      <c r="I6922" s="0" t="s">
        <v>2124</v>
      </c>
      <c r="J6922" s="0" t="s">
        <v>2368</v>
      </c>
      <c r="K6922" s="272" t="n">
        <v>-1208871</v>
      </c>
    </row>
    <row r="6923" customFormat="false" ht="15" hidden="false" customHeight="false" outlineLevel="0" collapsed="false">
      <c r="A6923" s="0" t="s">
        <v>2041</v>
      </c>
      <c r="B6923" s="0" t="s">
        <v>2042</v>
      </c>
      <c r="C6923" s="0" t="s">
        <v>2156</v>
      </c>
      <c r="D6923" s="0" t="s">
        <v>2105</v>
      </c>
      <c r="E6923" s="0" t="s">
        <v>2045</v>
      </c>
      <c r="F6923" s="0" t="s">
        <v>2215</v>
      </c>
      <c r="G6923" s="0" t="s">
        <v>2218</v>
      </c>
      <c r="H6923" s="0" t="s">
        <v>2183</v>
      </c>
      <c r="I6923" s="0" t="s">
        <v>2124</v>
      </c>
      <c r="J6923" s="0" t="s">
        <v>2368</v>
      </c>
      <c r="K6923" s="272" t="n">
        <v>-3000000</v>
      </c>
    </row>
    <row r="6924" customFormat="false" ht="15" hidden="false" customHeight="false" outlineLevel="0" collapsed="false">
      <c r="A6924" s="0" t="s">
        <v>2041</v>
      </c>
      <c r="B6924" s="0" t="s">
        <v>2042</v>
      </c>
      <c r="C6924" s="0" t="s">
        <v>2161</v>
      </c>
      <c r="D6924" s="0" t="s">
        <v>2105</v>
      </c>
      <c r="E6924" s="0" t="s">
        <v>2045</v>
      </c>
      <c r="F6924" s="0" t="s">
        <v>2215</v>
      </c>
      <c r="G6924" s="0" t="s">
        <v>2218</v>
      </c>
      <c r="H6924" s="0" t="s">
        <v>2183</v>
      </c>
      <c r="I6924" s="0" t="s">
        <v>2124</v>
      </c>
      <c r="J6924" s="0" t="s">
        <v>2368</v>
      </c>
      <c r="K6924" s="272" t="n">
        <v>-728541</v>
      </c>
    </row>
    <row r="6925" customFormat="false" ht="15" hidden="false" customHeight="false" outlineLevel="0" collapsed="false">
      <c r="A6925" s="0" t="s">
        <v>2041</v>
      </c>
      <c r="B6925" s="0" t="s">
        <v>2042</v>
      </c>
      <c r="C6925" s="0" t="s">
        <v>2156</v>
      </c>
      <c r="D6925" s="0" t="s">
        <v>2105</v>
      </c>
      <c r="E6925" s="0" t="s">
        <v>2045</v>
      </c>
      <c r="F6925" s="0" t="s">
        <v>2215</v>
      </c>
      <c r="G6925" s="0" t="s">
        <v>2218</v>
      </c>
      <c r="H6925" s="0" t="s">
        <v>2183</v>
      </c>
      <c r="I6925" s="0" t="s">
        <v>2322</v>
      </c>
      <c r="J6925" s="0" t="s">
        <v>2368</v>
      </c>
      <c r="K6925" s="272" t="n">
        <v>-19400000</v>
      </c>
    </row>
    <row r="6926" customFormat="false" ht="15" hidden="false" customHeight="false" outlineLevel="0" collapsed="false">
      <c r="A6926" s="0" t="s">
        <v>2041</v>
      </c>
      <c r="B6926" s="0" t="s">
        <v>2042</v>
      </c>
      <c r="C6926" s="0" t="s">
        <v>2161</v>
      </c>
      <c r="D6926" s="0" t="s">
        <v>2105</v>
      </c>
      <c r="E6926" s="0" t="s">
        <v>2045</v>
      </c>
      <c r="F6926" s="0" t="s">
        <v>2215</v>
      </c>
      <c r="G6926" s="0" t="s">
        <v>2218</v>
      </c>
      <c r="H6926" s="0" t="s">
        <v>2183</v>
      </c>
      <c r="I6926" s="0" t="s">
        <v>2322</v>
      </c>
      <c r="J6926" s="0" t="s">
        <v>2368</v>
      </c>
      <c r="K6926" s="272" t="n">
        <v>-3698023.86</v>
      </c>
    </row>
    <row r="6927" customFormat="false" ht="15" hidden="false" customHeight="false" outlineLevel="0" collapsed="false">
      <c r="A6927" s="0" t="s">
        <v>2041</v>
      </c>
      <c r="B6927" s="0" t="s">
        <v>2042</v>
      </c>
      <c r="C6927" s="0" t="s">
        <v>2156</v>
      </c>
      <c r="D6927" s="0" t="s">
        <v>2105</v>
      </c>
      <c r="E6927" s="0" t="s">
        <v>2045</v>
      </c>
      <c r="F6927" s="0" t="s">
        <v>2215</v>
      </c>
      <c r="G6927" s="0" t="s">
        <v>2218</v>
      </c>
      <c r="H6927" s="0" t="s">
        <v>2185</v>
      </c>
      <c r="I6927" s="0" t="s">
        <v>2322</v>
      </c>
      <c r="J6927" s="0" t="s">
        <v>2368</v>
      </c>
      <c r="K6927" s="272" t="n">
        <v>-2000000</v>
      </c>
    </row>
    <row r="6928" customFormat="false" ht="15" hidden="false" customHeight="false" outlineLevel="0" collapsed="false">
      <c r="A6928" s="0" t="s">
        <v>2041</v>
      </c>
      <c r="B6928" s="0" t="s">
        <v>2042</v>
      </c>
      <c r="C6928" s="0" t="s">
        <v>2161</v>
      </c>
      <c r="D6928" s="0" t="s">
        <v>2105</v>
      </c>
      <c r="E6928" s="0" t="s">
        <v>2045</v>
      </c>
      <c r="F6928" s="0" t="s">
        <v>2215</v>
      </c>
      <c r="G6928" s="0" t="s">
        <v>2218</v>
      </c>
      <c r="H6928" s="0" t="s">
        <v>2185</v>
      </c>
      <c r="I6928" s="0" t="s">
        <v>2322</v>
      </c>
      <c r="J6928" s="0" t="s">
        <v>2368</v>
      </c>
      <c r="K6928" s="272" t="n">
        <v>-604000</v>
      </c>
    </row>
    <row r="6929" customFormat="false" ht="15" hidden="false" customHeight="false" outlineLevel="0" collapsed="false">
      <c r="A6929" s="0" t="s">
        <v>2041</v>
      </c>
      <c r="B6929" s="0" t="s">
        <v>2042</v>
      </c>
      <c r="C6929" s="0" t="s">
        <v>2156</v>
      </c>
      <c r="D6929" s="0" t="s">
        <v>2105</v>
      </c>
      <c r="E6929" s="0" t="s">
        <v>2045</v>
      </c>
      <c r="F6929" s="0" t="s">
        <v>2215</v>
      </c>
      <c r="G6929" s="0" t="s">
        <v>2218</v>
      </c>
      <c r="H6929" s="0" t="s">
        <v>2179</v>
      </c>
      <c r="I6929" s="0" t="s">
        <v>2322</v>
      </c>
      <c r="J6929" s="0" t="s">
        <v>2368</v>
      </c>
      <c r="K6929" s="272" t="n">
        <v>-30000000</v>
      </c>
    </row>
    <row r="6930" customFormat="false" ht="15" hidden="false" customHeight="false" outlineLevel="0" collapsed="false">
      <c r="A6930" s="0" t="s">
        <v>2041</v>
      </c>
      <c r="B6930" s="0" t="s">
        <v>2042</v>
      </c>
      <c r="C6930" s="0" t="s">
        <v>2161</v>
      </c>
      <c r="D6930" s="0" t="s">
        <v>2105</v>
      </c>
      <c r="E6930" s="0" t="s">
        <v>2045</v>
      </c>
      <c r="F6930" s="0" t="s">
        <v>2215</v>
      </c>
      <c r="G6930" s="0" t="s">
        <v>2218</v>
      </c>
      <c r="H6930" s="0" t="s">
        <v>2179</v>
      </c>
      <c r="I6930" s="0" t="s">
        <v>2322</v>
      </c>
      <c r="J6930" s="0" t="s">
        <v>2368</v>
      </c>
      <c r="K6930" s="272" t="n">
        <v>-4590000</v>
      </c>
    </row>
    <row r="6931" customFormat="false" ht="15" hidden="false" customHeight="false" outlineLevel="0" collapsed="false">
      <c r="A6931" s="0" t="s">
        <v>2041</v>
      </c>
      <c r="B6931" s="0" t="s">
        <v>2042</v>
      </c>
      <c r="C6931" s="0" t="s">
        <v>2156</v>
      </c>
      <c r="D6931" s="0" t="s">
        <v>2105</v>
      </c>
      <c r="E6931" s="0" t="s">
        <v>2045</v>
      </c>
      <c r="F6931" s="0" t="s">
        <v>2215</v>
      </c>
      <c r="G6931" s="0" t="s">
        <v>2218</v>
      </c>
      <c r="H6931" s="0" t="s">
        <v>2217</v>
      </c>
      <c r="I6931" s="0" t="s">
        <v>2322</v>
      </c>
      <c r="J6931" s="0" t="s">
        <v>2368</v>
      </c>
      <c r="K6931" s="272" t="n">
        <v>-1780000</v>
      </c>
    </row>
    <row r="6932" customFormat="false" ht="15" hidden="false" customHeight="false" outlineLevel="0" collapsed="false">
      <c r="A6932" s="0" t="s">
        <v>2041</v>
      </c>
      <c r="B6932" s="0" t="s">
        <v>2042</v>
      </c>
      <c r="C6932" s="0" t="s">
        <v>2161</v>
      </c>
      <c r="D6932" s="0" t="s">
        <v>2105</v>
      </c>
      <c r="E6932" s="0" t="s">
        <v>2045</v>
      </c>
      <c r="F6932" s="0" t="s">
        <v>2215</v>
      </c>
      <c r="G6932" s="0" t="s">
        <v>2218</v>
      </c>
      <c r="H6932" s="0" t="s">
        <v>2217</v>
      </c>
      <c r="I6932" s="0" t="s">
        <v>2322</v>
      </c>
      <c r="J6932" s="0" t="s">
        <v>2368</v>
      </c>
      <c r="K6932" s="272" t="n">
        <v>-537560</v>
      </c>
    </row>
    <row r="6933" customFormat="false" ht="15" hidden="false" customHeight="false" outlineLevel="0" collapsed="false">
      <c r="A6933" s="0" t="s">
        <v>2041</v>
      </c>
      <c r="B6933" s="0" t="s">
        <v>2042</v>
      </c>
      <c r="C6933" s="0" t="s">
        <v>2156</v>
      </c>
      <c r="D6933" s="0" t="s">
        <v>2105</v>
      </c>
      <c r="E6933" s="0" t="s">
        <v>2045</v>
      </c>
      <c r="F6933" s="0" t="s">
        <v>2215</v>
      </c>
      <c r="G6933" s="0" t="s">
        <v>2218</v>
      </c>
      <c r="H6933" s="0" t="s">
        <v>2219</v>
      </c>
      <c r="I6933" s="0" t="s">
        <v>2322</v>
      </c>
      <c r="J6933" s="0" t="s">
        <v>2368</v>
      </c>
      <c r="K6933" s="272" t="n">
        <v>-93100000</v>
      </c>
    </row>
    <row r="6934" customFormat="false" ht="15" hidden="false" customHeight="false" outlineLevel="0" collapsed="false">
      <c r="A6934" s="0" t="s">
        <v>2041</v>
      </c>
      <c r="B6934" s="0" t="s">
        <v>2042</v>
      </c>
      <c r="C6934" s="0" t="s">
        <v>2161</v>
      </c>
      <c r="D6934" s="0" t="s">
        <v>2105</v>
      </c>
      <c r="E6934" s="0" t="s">
        <v>2045</v>
      </c>
      <c r="F6934" s="0" t="s">
        <v>2215</v>
      </c>
      <c r="G6934" s="0" t="s">
        <v>2218</v>
      </c>
      <c r="H6934" s="0" t="s">
        <v>2219</v>
      </c>
      <c r="I6934" s="0" t="s">
        <v>2322</v>
      </c>
      <c r="J6934" s="0" t="s">
        <v>2368</v>
      </c>
      <c r="K6934" s="272" t="n">
        <v>-15762421.135</v>
      </c>
    </row>
    <row r="6935" customFormat="false" ht="15" hidden="false" customHeight="false" outlineLevel="0" collapsed="false">
      <c r="A6935" s="0" t="s">
        <v>2041</v>
      </c>
      <c r="B6935" s="0" t="s">
        <v>2042</v>
      </c>
      <c r="C6935" s="0" t="s">
        <v>2156</v>
      </c>
      <c r="D6935" s="0" t="s">
        <v>2105</v>
      </c>
      <c r="E6935" s="0" t="s">
        <v>2045</v>
      </c>
      <c r="F6935" s="0" t="s">
        <v>2215</v>
      </c>
      <c r="G6935" s="0" t="s">
        <v>2218</v>
      </c>
      <c r="H6935" s="0" t="s">
        <v>2220</v>
      </c>
      <c r="I6935" s="0" t="s">
        <v>2124</v>
      </c>
      <c r="J6935" s="0" t="s">
        <v>2368</v>
      </c>
      <c r="K6935" s="272" t="n">
        <v>-22062881</v>
      </c>
    </row>
    <row r="6936" customFormat="false" ht="15" hidden="false" customHeight="false" outlineLevel="0" collapsed="false">
      <c r="A6936" s="0" t="s">
        <v>2041</v>
      </c>
      <c r="B6936" s="0" t="s">
        <v>2042</v>
      </c>
      <c r="C6936" s="0" t="s">
        <v>2161</v>
      </c>
      <c r="D6936" s="0" t="s">
        <v>2105</v>
      </c>
      <c r="E6936" s="0" t="s">
        <v>2045</v>
      </c>
      <c r="F6936" s="0" t="s">
        <v>2215</v>
      </c>
      <c r="G6936" s="0" t="s">
        <v>2218</v>
      </c>
      <c r="H6936" s="0" t="s">
        <v>2220</v>
      </c>
      <c r="I6936" s="0" t="s">
        <v>2124</v>
      </c>
      <c r="J6936" s="0" t="s">
        <v>2368</v>
      </c>
      <c r="K6936" s="272" t="n">
        <v>-3703738.88</v>
      </c>
    </row>
    <row r="6937" customFormat="false" ht="15" hidden="false" customHeight="false" outlineLevel="0" collapsed="false">
      <c r="A6937" s="0" t="s">
        <v>2041</v>
      </c>
      <c r="B6937" s="0" t="s">
        <v>2042</v>
      </c>
      <c r="C6937" s="0" t="s">
        <v>2156</v>
      </c>
      <c r="D6937" s="0" t="s">
        <v>2105</v>
      </c>
      <c r="E6937" s="0" t="s">
        <v>2045</v>
      </c>
      <c r="F6937" s="0" t="s">
        <v>2215</v>
      </c>
      <c r="G6937" s="0" t="s">
        <v>2218</v>
      </c>
      <c r="H6937" s="0" t="s">
        <v>2220</v>
      </c>
      <c r="I6937" s="0" t="s">
        <v>2322</v>
      </c>
      <c r="J6937" s="0" t="s">
        <v>2368</v>
      </c>
      <c r="K6937" s="272" t="n">
        <v>-46655887</v>
      </c>
    </row>
    <row r="6938" customFormat="false" ht="15" hidden="false" customHeight="false" outlineLevel="0" collapsed="false">
      <c r="A6938" s="0" t="s">
        <v>2041</v>
      </c>
      <c r="B6938" s="0" t="s">
        <v>2042</v>
      </c>
      <c r="C6938" s="0" t="s">
        <v>2161</v>
      </c>
      <c r="D6938" s="0" t="s">
        <v>2105</v>
      </c>
      <c r="E6938" s="0" t="s">
        <v>2045</v>
      </c>
      <c r="F6938" s="0" t="s">
        <v>2215</v>
      </c>
      <c r="G6938" s="0" t="s">
        <v>2218</v>
      </c>
      <c r="H6938" s="0" t="s">
        <v>2220</v>
      </c>
      <c r="I6938" s="0" t="s">
        <v>2322</v>
      </c>
      <c r="J6938" s="0" t="s">
        <v>2368</v>
      </c>
      <c r="K6938" s="272" t="n">
        <v>-7838261.195</v>
      </c>
    </row>
    <row r="6939" customFormat="false" ht="15" hidden="false" customHeight="false" outlineLevel="0" collapsed="false">
      <c r="A6939" s="0" t="s">
        <v>2041</v>
      </c>
      <c r="B6939" s="0" t="s">
        <v>2042</v>
      </c>
      <c r="C6939" s="0" t="s">
        <v>2156</v>
      </c>
      <c r="D6939" s="0" t="s">
        <v>2105</v>
      </c>
      <c r="E6939" s="0" t="s">
        <v>2045</v>
      </c>
      <c r="F6939" s="0" t="s">
        <v>2215</v>
      </c>
      <c r="G6939" s="0" t="s">
        <v>2218</v>
      </c>
      <c r="H6939" s="0" t="s">
        <v>2221</v>
      </c>
      <c r="I6939" s="0" t="s">
        <v>2124</v>
      </c>
      <c r="J6939" s="0" t="s">
        <v>2368</v>
      </c>
      <c r="K6939" s="272" t="n">
        <v>-8450000</v>
      </c>
    </row>
    <row r="6940" customFormat="false" ht="15" hidden="false" customHeight="false" outlineLevel="0" collapsed="false">
      <c r="A6940" s="0" t="s">
        <v>2041</v>
      </c>
      <c r="B6940" s="0" t="s">
        <v>2042</v>
      </c>
      <c r="C6940" s="0" t="s">
        <v>2161</v>
      </c>
      <c r="D6940" s="0" t="s">
        <v>2105</v>
      </c>
      <c r="E6940" s="0" t="s">
        <v>2045</v>
      </c>
      <c r="F6940" s="0" t="s">
        <v>2215</v>
      </c>
      <c r="G6940" s="0" t="s">
        <v>2218</v>
      </c>
      <c r="H6940" s="0" t="s">
        <v>2221</v>
      </c>
      <c r="I6940" s="0" t="s">
        <v>2124</v>
      </c>
      <c r="J6940" s="0" t="s">
        <v>2368</v>
      </c>
      <c r="K6940" s="272" t="n">
        <v>-2122904.06</v>
      </c>
    </row>
    <row r="6941" customFormat="false" ht="15" hidden="false" customHeight="false" outlineLevel="0" collapsed="false">
      <c r="A6941" s="0" t="s">
        <v>2041</v>
      </c>
      <c r="B6941" s="0" t="s">
        <v>2042</v>
      </c>
      <c r="C6941" s="0" t="s">
        <v>2156</v>
      </c>
      <c r="D6941" s="0" t="s">
        <v>2105</v>
      </c>
      <c r="E6941" s="0" t="s">
        <v>2045</v>
      </c>
      <c r="F6941" s="0" t="s">
        <v>2215</v>
      </c>
      <c r="G6941" s="0" t="s">
        <v>2218</v>
      </c>
      <c r="H6941" s="0" t="s">
        <v>2221</v>
      </c>
      <c r="I6941" s="0" t="s">
        <v>2322</v>
      </c>
      <c r="J6941" s="0" t="s">
        <v>2368</v>
      </c>
      <c r="K6941" s="272" t="n">
        <v>-68550000</v>
      </c>
    </row>
    <row r="6942" customFormat="false" ht="15" hidden="false" customHeight="false" outlineLevel="0" collapsed="false">
      <c r="A6942" s="0" t="s">
        <v>2041</v>
      </c>
      <c r="B6942" s="0" t="s">
        <v>2042</v>
      </c>
      <c r="C6942" s="0" t="s">
        <v>2161</v>
      </c>
      <c r="D6942" s="0" t="s">
        <v>2105</v>
      </c>
      <c r="E6942" s="0" t="s">
        <v>2045</v>
      </c>
      <c r="F6942" s="0" t="s">
        <v>2215</v>
      </c>
      <c r="G6942" s="0" t="s">
        <v>2218</v>
      </c>
      <c r="H6942" s="0" t="s">
        <v>2221</v>
      </c>
      <c r="I6942" s="0" t="s">
        <v>2322</v>
      </c>
      <c r="J6942" s="0" t="s">
        <v>2368</v>
      </c>
      <c r="K6942" s="272" t="n">
        <v>-15458624.14</v>
      </c>
    </row>
    <row r="6943" customFormat="false" ht="15" hidden="false" customHeight="false" outlineLevel="0" collapsed="false">
      <c r="A6943" s="0" t="s">
        <v>2041</v>
      </c>
      <c r="B6943" s="0" t="s">
        <v>2042</v>
      </c>
      <c r="C6943" s="0" t="s">
        <v>2156</v>
      </c>
      <c r="D6943" s="0" t="s">
        <v>2105</v>
      </c>
      <c r="E6943" s="0" t="s">
        <v>2045</v>
      </c>
      <c r="F6943" s="0" t="s">
        <v>2215</v>
      </c>
      <c r="G6943" s="0" t="s">
        <v>2218</v>
      </c>
      <c r="H6943" s="0" t="s">
        <v>2222</v>
      </c>
      <c r="I6943" s="0" t="s">
        <v>2124</v>
      </c>
      <c r="J6943" s="0" t="s">
        <v>2368</v>
      </c>
      <c r="K6943" s="272" t="n">
        <v>-6950000</v>
      </c>
    </row>
    <row r="6944" customFormat="false" ht="15" hidden="false" customHeight="false" outlineLevel="0" collapsed="false">
      <c r="A6944" s="0" t="s">
        <v>2041</v>
      </c>
      <c r="B6944" s="0" t="s">
        <v>2042</v>
      </c>
      <c r="C6944" s="0" t="s">
        <v>2161</v>
      </c>
      <c r="D6944" s="0" t="s">
        <v>2105</v>
      </c>
      <c r="E6944" s="0" t="s">
        <v>2045</v>
      </c>
      <c r="F6944" s="0" t="s">
        <v>2215</v>
      </c>
      <c r="G6944" s="0" t="s">
        <v>2218</v>
      </c>
      <c r="H6944" s="0" t="s">
        <v>2222</v>
      </c>
      <c r="I6944" s="0" t="s">
        <v>2124</v>
      </c>
      <c r="J6944" s="0" t="s">
        <v>2368</v>
      </c>
      <c r="K6944" s="272" t="n">
        <v>-2078510.26</v>
      </c>
    </row>
    <row r="6945" customFormat="false" ht="15" hidden="false" customHeight="false" outlineLevel="0" collapsed="false">
      <c r="A6945" s="0" t="s">
        <v>2041</v>
      </c>
      <c r="B6945" s="0" t="s">
        <v>2042</v>
      </c>
      <c r="C6945" s="0" t="s">
        <v>2156</v>
      </c>
      <c r="D6945" s="0" t="s">
        <v>2105</v>
      </c>
      <c r="E6945" s="0" t="s">
        <v>2045</v>
      </c>
      <c r="F6945" s="0" t="s">
        <v>2225</v>
      </c>
      <c r="G6945" s="0" t="s">
        <v>2226</v>
      </c>
      <c r="H6945" s="0" t="s">
        <v>2227</v>
      </c>
      <c r="I6945" s="0" t="s">
        <v>2322</v>
      </c>
      <c r="J6945" s="0" t="s">
        <v>2368</v>
      </c>
      <c r="K6945" s="272" t="n">
        <v>-30000000</v>
      </c>
    </row>
    <row r="6946" customFormat="false" ht="15" hidden="false" customHeight="false" outlineLevel="0" collapsed="false">
      <c r="A6946" s="0" t="s">
        <v>2041</v>
      </c>
      <c r="B6946" s="0" t="s">
        <v>2042</v>
      </c>
      <c r="C6946" s="0" t="s">
        <v>2161</v>
      </c>
      <c r="D6946" s="0" t="s">
        <v>2105</v>
      </c>
      <c r="E6946" s="0" t="s">
        <v>2045</v>
      </c>
      <c r="F6946" s="0" t="s">
        <v>2225</v>
      </c>
      <c r="G6946" s="0" t="s">
        <v>2226</v>
      </c>
      <c r="H6946" s="0" t="s">
        <v>2227</v>
      </c>
      <c r="I6946" s="0" t="s">
        <v>2322</v>
      </c>
      <c r="J6946" s="0" t="s">
        <v>2368</v>
      </c>
      <c r="K6946" s="272" t="n">
        <v>-4590000</v>
      </c>
    </row>
    <row r="6947" customFormat="false" ht="15" hidden="false" customHeight="false" outlineLevel="0" collapsed="false">
      <c r="A6947" s="0" t="s">
        <v>2041</v>
      </c>
      <c r="B6947" s="0" t="s">
        <v>2042</v>
      </c>
      <c r="C6947" s="0" t="s">
        <v>2156</v>
      </c>
      <c r="D6947" s="0" t="s">
        <v>2105</v>
      </c>
      <c r="E6947" s="0" t="s">
        <v>2045</v>
      </c>
      <c r="F6947" s="0" t="s">
        <v>2225</v>
      </c>
      <c r="G6947" s="0" t="s">
        <v>2228</v>
      </c>
      <c r="H6947" s="0" t="s">
        <v>2227</v>
      </c>
      <c r="I6947" s="0" t="s">
        <v>2124</v>
      </c>
      <c r="J6947" s="0" t="s">
        <v>2368</v>
      </c>
      <c r="K6947" s="272" t="n">
        <v>-3050000</v>
      </c>
    </row>
    <row r="6948" customFormat="false" ht="15" hidden="false" customHeight="false" outlineLevel="0" collapsed="false">
      <c r="A6948" s="0" t="s">
        <v>2041</v>
      </c>
      <c r="B6948" s="0" t="s">
        <v>2042</v>
      </c>
      <c r="C6948" s="0" t="s">
        <v>2161</v>
      </c>
      <c r="D6948" s="0" t="s">
        <v>2105</v>
      </c>
      <c r="E6948" s="0" t="s">
        <v>2045</v>
      </c>
      <c r="F6948" s="0" t="s">
        <v>2225</v>
      </c>
      <c r="G6948" s="0" t="s">
        <v>2228</v>
      </c>
      <c r="H6948" s="0" t="s">
        <v>2227</v>
      </c>
      <c r="I6948" s="0" t="s">
        <v>2124</v>
      </c>
      <c r="J6948" s="0" t="s">
        <v>2368</v>
      </c>
      <c r="K6948" s="272" t="n">
        <v>-921100</v>
      </c>
    </row>
    <row r="6949" customFormat="false" ht="15" hidden="false" customHeight="false" outlineLevel="0" collapsed="false">
      <c r="A6949" s="0" t="s">
        <v>2041</v>
      </c>
      <c r="B6949" s="0" t="s">
        <v>2042</v>
      </c>
      <c r="C6949" s="0" t="s">
        <v>2156</v>
      </c>
      <c r="D6949" s="0" t="s">
        <v>2105</v>
      </c>
      <c r="E6949" s="0" t="s">
        <v>2045</v>
      </c>
      <c r="F6949" s="0" t="s">
        <v>2225</v>
      </c>
      <c r="G6949" s="0" t="s">
        <v>2228</v>
      </c>
      <c r="H6949" s="0" t="s">
        <v>2227</v>
      </c>
      <c r="I6949" s="0" t="s">
        <v>2322</v>
      </c>
      <c r="J6949" s="0" t="s">
        <v>2368</v>
      </c>
      <c r="K6949" s="272" t="n">
        <v>-44600000</v>
      </c>
    </row>
    <row r="6950" customFormat="false" ht="15" hidden="false" customHeight="false" outlineLevel="0" collapsed="false">
      <c r="A6950" s="0" t="s">
        <v>2041</v>
      </c>
      <c r="B6950" s="0" t="s">
        <v>2042</v>
      </c>
      <c r="C6950" s="0" t="s">
        <v>2161</v>
      </c>
      <c r="D6950" s="0" t="s">
        <v>2105</v>
      </c>
      <c r="E6950" s="0" t="s">
        <v>2045</v>
      </c>
      <c r="F6950" s="0" t="s">
        <v>2225</v>
      </c>
      <c r="G6950" s="0" t="s">
        <v>2228</v>
      </c>
      <c r="H6950" s="0" t="s">
        <v>2227</v>
      </c>
      <c r="I6950" s="0" t="s">
        <v>2322</v>
      </c>
      <c r="J6950" s="0" t="s">
        <v>2368</v>
      </c>
      <c r="K6950" s="272" t="n">
        <v>-8279120.72</v>
      </c>
    </row>
    <row r="6951" customFormat="false" ht="15" hidden="false" customHeight="false" outlineLevel="0" collapsed="false">
      <c r="A6951" s="0" t="s">
        <v>2041</v>
      </c>
      <c r="B6951" s="0" t="s">
        <v>2042</v>
      </c>
      <c r="C6951" s="0" t="s">
        <v>2156</v>
      </c>
      <c r="D6951" s="0" t="s">
        <v>2105</v>
      </c>
      <c r="E6951" s="0" t="s">
        <v>2045</v>
      </c>
      <c r="F6951" s="0" t="s">
        <v>2225</v>
      </c>
      <c r="G6951" s="0" t="s">
        <v>2229</v>
      </c>
      <c r="H6951" s="0" t="s">
        <v>2227</v>
      </c>
      <c r="I6951" s="0" t="s">
        <v>2322</v>
      </c>
      <c r="J6951" s="0" t="s">
        <v>2368</v>
      </c>
      <c r="K6951" s="272" t="n">
        <v>-109245943</v>
      </c>
    </row>
    <row r="6952" customFormat="false" ht="15" hidden="false" customHeight="false" outlineLevel="0" collapsed="false">
      <c r="A6952" s="0" t="s">
        <v>2041</v>
      </c>
      <c r="B6952" s="0" t="s">
        <v>2042</v>
      </c>
      <c r="C6952" s="0" t="s">
        <v>2161</v>
      </c>
      <c r="D6952" s="0" t="s">
        <v>2105</v>
      </c>
      <c r="E6952" s="0" t="s">
        <v>2045</v>
      </c>
      <c r="F6952" s="0" t="s">
        <v>2225</v>
      </c>
      <c r="G6952" s="0" t="s">
        <v>2229</v>
      </c>
      <c r="H6952" s="0" t="s">
        <v>2227</v>
      </c>
      <c r="I6952" s="0" t="s">
        <v>2322</v>
      </c>
      <c r="J6952" s="0" t="s">
        <v>2368</v>
      </c>
      <c r="K6952" s="272" t="n">
        <v>-17036455.6</v>
      </c>
    </row>
    <row r="6953" customFormat="false" ht="15" hidden="false" customHeight="false" outlineLevel="0" collapsed="false">
      <c r="A6953" s="0" t="s">
        <v>2041</v>
      </c>
      <c r="B6953" s="0" t="s">
        <v>2042</v>
      </c>
      <c r="C6953" s="0" t="s">
        <v>2156</v>
      </c>
      <c r="D6953" s="0" t="s">
        <v>2105</v>
      </c>
      <c r="E6953" s="0" t="s">
        <v>2045</v>
      </c>
      <c r="F6953" s="0" t="s">
        <v>2225</v>
      </c>
      <c r="G6953" s="0" t="s">
        <v>2230</v>
      </c>
      <c r="H6953" s="0" t="s">
        <v>2227</v>
      </c>
      <c r="I6953" s="0" t="s">
        <v>2322</v>
      </c>
      <c r="J6953" s="0" t="s">
        <v>2368</v>
      </c>
      <c r="K6953" s="272" t="n">
        <v>-47000000</v>
      </c>
    </row>
    <row r="6954" customFormat="false" ht="15" hidden="false" customHeight="false" outlineLevel="0" collapsed="false">
      <c r="A6954" s="0" t="s">
        <v>2041</v>
      </c>
      <c r="B6954" s="0" t="s">
        <v>2042</v>
      </c>
      <c r="C6954" s="0" t="s">
        <v>2161</v>
      </c>
      <c r="D6954" s="0" t="s">
        <v>2105</v>
      </c>
      <c r="E6954" s="0" t="s">
        <v>2045</v>
      </c>
      <c r="F6954" s="0" t="s">
        <v>2225</v>
      </c>
      <c r="G6954" s="0" t="s">
        <v>2230</v>
      </c>
      <c r="H6954" s="0" t="s">
        <v>2227</v>
      </c>
      <c r="I6954" s="0" t="s">
        <v>2322</v>
      </c>
      <c r="J6954" s="0" t="s">
        <v>2368</v>
      </c>
      <c r="K6954" s="272" t="n">
        <v>-7327581</v>
      </c>
    </row>
    <row r="6955" customFormat="false" ht="15" hidden="false" customHeight="false" outlineLevel="0" collapsed="false">
      <c r="A6955" s="0" t="s">
        <v>2041</v>
      </c>
      <c r="B6955" s="0" t="s">
        <v>2042</v>
      </c>
      <c r="C6955" s="0" t="s">
        <v>2156</v>
      </c>
      <c r="D6955" s="0" t="s">
        <v>2105</v>
      </c>
      <c r="E6955" s="0" t="s">
        <v>2045</v>
      </c>
      <c r="F6955" s="0" t="s">
        <v>2225</v>
      </c>
      <c r="G6955" s="0" t="s">
        <v>2231</v>
      </c>
      <c r="H6955" s="0" t="s">
        <v>2227</v>
      </c>
      <c r="I6955" s="0" t="s">
        <v>2124</v>
      </c>
      <c r="J6955" s="0" t="s">
        <v>2368</v>
      </c>
      <c r="K6955" s="272" t="n">
        <v>-3000000</v>
      </c>
    </row>
    <row r="6956" customFormat="false" ht="15" hidden="false" customHeight="false" outlineLevel="0" collapsed="false">
      <c r="A6956" s="0" t="s">
        <v>2041</v>
      </c>
      <c r="B6956" s="0" t="s">
        <v>2042</v>
      </c>
      <c r="C6956" s="0" t="s">
        <v>2161</v>
      </c>
      <c r="D6956" s="0" t="s">
        <v>2105</v>
      </c>
      <c r="E6956" s="0" t="s">
        <v>2045</v>
      </c>
      <c r="F6956" s="0" t="s">
        <v>2225</v>
      </c>
      <c r="G6956" s="0" t="s">
        <v>2231</v>
      </c>
      <c r="H6956" s="0" t="s">
        <v>2227</v>
      </c>
      <c r="I6956" s="0" t="s">
        <v>2124</v>
      </c>
      <c r="J6956" s="0" t="s">
        <v>2368</v>
      </c>
      <c r="K6956" s="272" t="n">
        <v>-763724.66</v>
      </c>
    </row>
    <row r="6957" customFormat="false" ht="15" hidden="false" customHeight="false" outlineLevel="0" collapsed="false">
      <c r="A6957" s="0" t="s">
        <v>2041</v>
      </c>
      <c r="B6957" s="0" t="s">
        <v>2042</v>
      </c>
      <c r="C6957" s="0" t="s">
        <v>2156</v>
      </c>
      <c r="D6957" s="0" t="s">
        <v>2105</v>
      </c>
      <c r="E6957" s="0" t="s">
        <v>2045</v>
      </c>
      <c r="F6957" s="0" t="s">
        <v>2225</v>
      </c>
      <c r="G6957" s="0" t="s">
        <v>2231</v>
      </c>
      <c r="H6957" s="0" t="s">
        <v>2227</v>
      </c>
      <c r="I6957" s="0" t="s">
        <v>2322</v>
      </c>
      <c r="J6957" s="0" t="s">
        <v>2368</v>
      </c>
      <c r="K6957" s="272" t="n">
        <v>-157500000</v>
      </c>
    </row>
    <row r="6958" customFormat="false" ht="15" hidden="false" customHeight="false" outlineLevel="0" collapsed="false">
      <c r="A6958" s="0" t="s">
        <v>2041</v>
      </c>
      <c r="B6958" s="0" t="s">
        <v>2042</v>
      </c>
      <c r="C6958" s="0" t="s">
        <v>2161</v>
      </c>
      <c r="D6958" s="0" t="s">
        <v>2105</v>
      </c>
      <c r="E6958" s="0" t="s">
        <v>2045</v>
      </c>
      <c r="F6958" s="0" t="s">
        <v>2225</v>
      </c>
      <c r="G6958" s="0" t="s">
        <v>2231</v>
      </c>
      <c r="H6958" s="0" t="s">
        <v>2227</v>
      </c>
      <c r="I6958" s="0" t="s">
        <v>2322</v>
      </c>
      <c r="J6958" s="0" t="s">
        <v>2368</v>
      </c>
      <c r="K6958" s="272" t="n">
        <v>-24782512.57</v>
      </c>
    </row>
    <row r="6959" customFormat="false" ht="15" hidden="false" customHeight="false" outlineLevel="0" collapsed="false">
      <c r="A6959" s="0" t="s">
        <v>2041</v>
      </c>
      <c r="B6959" s="0" t="s">
        <v>2042</v>
      </c>
      <c r="C6959" s="0" t="s">
        <v>2156</v>
      </c>
      <c r="D6959" s="0" t="s">
        <v>2105</v>
      </c>
      <c r="E6959" s="0" t="s">
        <v>2045</v>
      </c>
      <c r="F6959" s="0" t="s">
        <v>2099</v>
      </c>
      <c r="G6959" s="0" t="s">
        <v>2232</v>
      </c>
      <c r="H6959" s="0" t="s">
        <v>2100</v>
      </c>
      <c r="I6959" s="0" t="s">
        <v>2322</v>
      </c>
      <c r="J6959" s="0" t="s">
        <v>2368</v>
      </c>
      <c r="K6959" s="272" t="n">
        <v>-11000000</v>
      </c>
    </row>
    <row r="6960" customFormat="false" ht="15" hidden="false" customHeight="false" outlineLevel="0" collapsed="false">
      <c r="A6960" s="0" t="s">
        <v>2041</v>
      </c>
      <c r="B6960" s="0" t="s">
        <v>2042</v>
      </c>
      <c r="C6960" s="0" t="s">
        <v>2161</v>
      </c>
      <c r="D6960" s="0" t="s">
        <v>2105</v>
      </c>
      <c r="E6960" s="0" t="s">
        <v>2045</v>
      </c>
      <c r="F6960" s="0" t="s">
        <v>2099</v>
      </c>
      <c r="G6960" s="0" t="s">
        <v>2232</v>
      </c>
      <c r="H6960" s="0" t="s">
        <v>2100</v>
      </c>
      <c r="I6960" s="0" t="s">
        <v>2322</v>
      </c>
      <c r="J6960" s="0" t="s">
        <v>2368</v>
      </c>
      <c r="K6960" s="272" t="n">
        <v>-1683000</v>
      </c>
    </row>
    <row r="6961" customFormat="false" ht="15" hidden="false" customHeight="false" outlineLevel="0" collapsed="false">
      <c r="A6961" s="0" t="s">
        <v>2041</v>
      </c>
      <c r="B6961" s="0" t="s">
        <v>2042</v>
      </c>
      <c r="C6961" s="0" t="s">
        <v>2156</v>
      </c>
      <c r="D6961" s="0" t="s">
        <v>2105</v>
      </c>
      <c r="E6961" s="0" t="s">
        <v>2045</v>
      </c>
      <c r="F6961" s="0" t="s">
        <v>2099</v>
      </c>
      <c r="G6961" s="0" t="s">
        <v>2232</v>
      </c>
      <c r="H6961" s="0" t="s">
        <v>2233</v>
      </c>
      <c r="I6961" s="0" t="s">
        <v>2322</v>
      </c>
      <c r="J6961" s="0" t="s">
        <v>2368</v>
      </c>
      <c r="K6961" s="272" t="n">
        <v>-780000</v>
      </c>
    </row>
    <row r="6962" customFormat="false" ht="15" hidden="false" customHeight="false" outlineLevel="0" collapsed="false">
      <c r="A6962" s="0" t="s">
        <v>2041</v>
      </c>
      <c r="B6962" s="0" t="s">
        <v>2042</v>
      </c>
      <c r="C6962" s="0" t="s">
        <v>2161</v>
      </c>
      <c r="D6962" s="0" t="s">
        <v>2105</v>
      </c>
      <c r="E6962" s="0" t="s">
        <v>2045</v>
      </c>
      <c r="F6962" s="0" t="s">
        <v>2099</v>
      </c>
      <c r="G6962" s="0" t="s">
        <v>2232</v>
      </c>
      <c r="H6962" s="0" t="s">
        <v>2233</v>
      </c>
      <c r="I6962" s="0" t="s">
        <v>2322</v>
      </c>
      <c r="J6962" s="0" t="s">
        <v>2368</v>
      </c>
      <c r="K6962" s="272" t="n">
        <v>-235560</v>
      </c>
    </row>
    <row r="6963" customFormat="false" ht="15" hidden="false" customHeight="false" outlineLevel="0" collapsed="false">
      <c r="A6963" s="0" t="s">
        <v>2041</v>
      </c>
      <c r="B6963" s="0" t="s">
        <v>2042</v>
      </c>
      <c r="C6963" s="0" t="s">
        <v>2156</v>
      </c>
      <c r="D6963" s="0" t="s">
        <v>2105</v>
      </c>
      <c r="E6963" s="0" t="s">
        <v>2045</v>
      </c>
      <c r="F6963" s="0" t="s">
        <v>2099</v>
      </c>
      <c r="G6963" s="0" t="s">
        <v>2232</v>
      </c>
      <c r="H6963" s="0" t="s">
        <v>2234</v>
      </c>
      <c r="I6963" s="0" t="s">
        <v>2322</v>
      </c>
      <c r="J6963" s="0" t="s">
        <v>2368</v>
      </c>
      <c r="K6963" s="272" t="n">
        <v>-52700000</v>
      </c>
    </row>
    <row r="6964" customFormat="false" ht="15" hidden="false" customHeight="false" outlineLevel="0" collapsed="false">
      <c r="A6964" s="0" t="s">
        <v>2041</v>
      </c>
      <c r="B6964" s="0" t="s">
        <v>2042</v>
      </c>
      <c r="C6964" s="0" t="s">
        <v>2161</v>
      </c>
      <c r="D6964" s="0" t="s">
        <v>2105</v>
      </c>
      <c r="E6964" s="0" t="s">
        <v>2045</v>
      </c>
      <c r="F6964" s="0" t="s">
        <v>2099</v>
      </c>
      <c r="G6964" s="0" t="s">
        <v>2232</v>
      </c>
      <c r="H6964" s="0" t="s">
        <v>2234</v>
      </c>
      <c r="I6964" s="0" t="s">
        <v>2322</v>
      </c>
      <c r="J6964" s="0" t="s">
        <v>2368</v>
      </c>
      <c r="K6964" s="272" t="n">
        <v>-10654591.46</v>
      </c>
    </row>
    <row r="6965" customFormat="false" ht="15" hidden="false" customHeight="false" outlineLevel="0" collapsed="false">
      <c r="A6965" s="0" t="s">
        <v>2041</v>
      </c>
      <c r="B6965" s="0" t="s">
        <v>2042</v>
      </c>
      <c r="C6965" s="0" t="s">
        <v>2156</v>
      </c>
      <c r="D6965" s="0" t="s">
        <v>2105</v>
      </c>
      <c r="E6965" s="0" t="s">
        <v>2045</v>
      </c>
      <c r="F6965" s="0" t="s">
        <v>2099</v>
      </c>
      <c r="G6965" s="0" t="s">
        <v>2232</v>
      </c>
      <c r="H6965" s="0" t="s">
        <v>2235</v>
      </c>
      <c r="I6965" s="0" t="s">
        <v>2322</v>
      </c>
      <c r="J6965" s="0" t="s">
        <v>2368</v>
      </c>
      <c r="K6965" s="272" t="n">
        <v>-59100000</v>
      </c>
    </row>
    <row r="6966" customFormat="false" ht="15" hidden="false" customHeight="false" outlineLevel="0" collapsed="false">
      <c r="A6966" s="0" t="s">
        <v>2041</v>
      </c>
      <c r="B6966" s="0" t="s">
        <v>2042</v>
      </c>
      <c r="C6966" s="0" t="s">
        <v>2161</v>
      </c>
      <c r="D6966" s="0" t="s">
        <v>2105</v>
      </c>
      <c r="E6966" s="0" t="s">
        <v>2045</v>
      </c>
      <c r="F6966" s="0" t="s">
        <v>2099</v>
      </c>
      <c r="G6966" s="0" t="s">
        <v>2232</v>
      </c>
      <c r="H6966" s="0" t="s">
        <v>2235</v>
      </c>
      <c r="I6966" s="0" t="s">
        <v>2322</v>
      </c>
      <c r="J6966" s="0" t="s">
        <v>2368</v>
      </c>
      <c r="K6966" s="272" t="n">
        <v>-9468828.18</v>
      </c>
    </row>
    <row r="6967" customFormat="false" ht="15" hidden="false" customHeight="false" outlineLevel="0" collapsed="false">
      <c r="A6967" s="0" t="s">
        <v>2041</v>
      </c>
      <c r="B6967" s="0" t="s">
        <v>2042</v>
      </c>
      <c r="C6967" s="0" t="s">
        <v>2156</v>
      </c>
      <c r="D6967" s="0" t="s">
        <v>2105</v>
      </c>
      <c r="E6967" s="0" t="s">
        <v>2045</v>
      </c>
      <c r="F6967" s="0" t="s">
        <v>2099</v>
      </c>
      <c r="G6967" s="0" t="s">
        <v>2236</v>
      </c>
      <c r="H6967" s="0" t="s">
        <v>2233</v>
      </c>
      <c r="I6967" s="0" t="s">
        <v>2124</v>
      </c>
      <c r="J6967" s="0" t="s">
        <v>2368</v>
      </c>
      <c r="K6967" s="272" t="n">
        <v>-2650000</v>
      </c>
    </row>
    <row r="6968" customFormat="false" ht="15" hidden="false" customHeight="false" outlineLevel="0" collapsed="false">
      <c r="A6968" s="0" t="s">
        <v>2041</v>
      </c>
      <c r="B6968" s="0" t="s">
        <v>2042</v>
      </c>
      <c r="C6968" s="0" t="s">
        <v>2161</v>
      </c>
      <c r="D6968" s="0" t="s">
        <v>2105</v>
      </c>
      <c r="E6968" s="0" t="s">
        <v>2045</v>
      </c>
      <c r="F6968" s="0" t="s">
        <v>2099</v>
      </c>
      <c r="G6968" s="0" t="s">
        <v>2236</v>
      </c>
      <c r="H6968" s="0" t="s">
        <v>2233</v>
      </c>
      <c r="I6968" s="0" t="s">
        <v>2124</v>
      </c>
      <c r="J6968" s="0" t="s">
        <v>2368</v>
      </c>
      <c r="K6968" s="272" t="n">
        <v>-800300</v>
      </c>
    </row>
    <row r="6969" customFormat="false" ht="15" hidden="false" customHeight="false" outlineLevel="0" collapsed="false">
      <c r="A6969" s="0" t="s">
        <v>2041</v>
      </c>
      <c r="B6969" s="0" t="s">
        <v>2042</v>
      </c>
      <c r="C6969" s="0" t="s">
        <v>2156</v>
      </c>
      <c r="D6969" s="0" t="s">
        <v>2105</v>
      </c>
      <c r="E6969" s="0" t="s">
        <v>2045</v>
      </c>
      <c r="F6969" s="0" t="s">
        <v>2099</v>
      </c>
      <c r="G6969" s="0" t="s">
        <v>2236</v>
      </c>
      <c r="H6969" s="0" t="s">
        <v>2233</v>
      </c>
      <c r="I6969" s="0" t="s">
        <v>2322</v>
      </c>
      <c r="J6969" s="0" t="s">
        <v>2368</v>
      </c>
      <c r="K6969" s="272" t="n">
        <v>-63200071</v>
      </c>
    </row>
    <row r="6970" customFormat="false" ht="15" hidden="false" customHeight="false" outlineLevel="0" collapsed="false">
      <c r="A6970" s="0" t="s">
        <v>2041</v>
      </c>
      <c r="B6970" s="0" t="s">
        <v>2042</v>
      </c>
      <c r="C6970" s="0" t="s">
        <v>2161</v>
      </c>
      <c r="D6970" s="0" t="s">
        <v>2105</v>
      </c>
      <c r="E6970" s="0" t="s">
        <v>2045</v>
      </c>
      <c r="F6970" s="0" t="s">
        <v>2099</v>
      </c>
      <c r="G6970" s="0" t="s">
        <v>2236</v>
      </c>
      <c r="H6970" s="0" t="s">
        <v>2233</v>
      </c>
      <c r="I6970" s="0" t="s">
        <v>2322</v>
      </c>
      <c r="J6970" s="0" t="s">
        <v>2368</v>
      </c>
      <c r="K6970" s="272" t="n">
        <v>-12327355.67</v>
      </c>
    </row>
    <row r="6971" customFormat="false" ht="15" hidden="false" customHeight="false" outlineLevel="0" collapsed="false">
      <c r="A6971" s="0" t="s">
        <v>2041</v>
      </c>
      <c r="B6971" s="0" t="s">
        <v>2042</v>
      </c>
      <c r="C6971" s="0" t="s">
        <v>2156</v>
      </c>
      <c r="D6971" s="0" t="s">
        <v>2105</v>
      </c>
      <c r="E6971" s="0" t="s">
        <v>2045</v>
      </c>
      <c r="F6971" s="0" t="s">
        <v>2099</v>
      </c>
      <c r="G6971" s="0" t="s">
        <v>2236</v>
      </c>
      <c r="H6971" s="0" t="s">
        <v>2237</v>
      </c>
      <c r="I6971" s="0" t="s">
        <v>2322</v>
      </c>
      <c r="J6971" s="0" t="s">
        <v>2368</v>
      </c>
      <c r="K6971" s="272" t="n">
        <v>-3500000</v>
      </c>
    </row>
    <row r="6972" customFormat="false" ht="15" hidden="false" customHeight="false" outlineLevel="0" collapsed="false">
      <c r="A6972" s="0" t="s">
        <v>2041</v>
      </c>
      <c r="B6972" s="0" t="s">
        <v>2042</v>
      </c>
      <c r="C6972" s="0" t="s">
        <v>2161</v>
      </c>
      <c r="D6972" s="0" t="s">
        <v>2105</v>
      </c>
      <c r="E6972" s="0" t="s">
        <v>2045</v>
      </c>
      <c r="F6972" s="0" t="s">
        <v>2099</v>
      </c>
      <c r="G6972" s="0" t="s">
        <v>2236</v>
      </c>
      <c r="H6972" s="0" t="s">
        <v>2237</v>
      </c>
      <c r="I6972" s="0" t="s">
        <v>2322</v>
      </c>
      <c r="J6972" s="0" t="s">
        <v>2368</v>
      </c>
      <c r="K6972" s="272" t="n">
        <v>-729622.76</v>
      </c>
    </row>
    <row r="6973" customFormat="false" ht="15" hidden="false" customHeight="false" outlineLevel="0" collapsed="false">
      <c r="A6973" s="0" t="s">
        <v>2041</v>
      </c>
      <c r="B6973" s="0" t="s">
        <v>2042</v>
      </c>
      <c r="C6973" s="0" t="s">
        <v>2156</v>
      </c>
      <c r="D6973" s="0" t="s">
        <v>2105</v>
      </c>
      <c r="E6973" s="0" t="s">
        <v>2045</v>
      </c>
      <c r="F6973" s="0" t="s">
        <v>2099</v>
      </c>
      <c r="G6973" s="0" t="s">
        <v>2238</v>
      </c>
      <c r="H6973" s="0" t="s">
        <v>2239</v>
      </c>
      <c r="I6973" s="0" t="s">
        <v>2124</v>
      </c>
      <c r="J6973" s="0" t="s">
        <v>2368</v>
      </c>
      <c r="K6973" s="272" t="n">
        <v>-5250000</v>
      </c>
    </row>
    <row r="6974" customFormat="false" ht="15" hidden="false" customHeight="false" outlineLevel="0" collapsed="false">
      <c r="A6974" s="0" t="s">
        <v>2041</v>
      </c>
      <c r="B6974" s="0" t="s">
        <v>2042</v>
      </c>
      <c r="C6974" s="0" t="s">
        <v>2161</v>
      </c>
      <c r="D6974" s="0" t="s">
        <v>2105</v>
      </c>
      <c r="E6974" s="0" t="s">
        <v>2045</v>
      </c>
      <c r="F6974" s="0" t="s">
        <v>2099</v>
      </c>
      <c r="G6974" s="0" t="s">
        <v>2238</v>
      </c>
      <c r="H6974" s="0" t="s">
        <v>2239</v>
      </c>
      <c r="I6974" s="0" t="s">
        <v>2124</v>
      </c>
      <c r="J6974" s="0" t="s">
        <v>2368</v>
      </c>
      <c r="K6974" s="272" t="n">
        <v>-1197951</v>
      </c>
    </row>
    <row r="6975" customFormat="false" ht="15" hidden="false" customHeight="false" outlineLevel="0" collapsed="false">
      <c r="A6975" s="0" t="s">
        <v>2041</v>
      </c>
      <c r="B6975" s="0" t="s">
        <v>2042</v>
      </c>
      <c r="C6975" s="0" t="s">
        <v>2156</v>
      </c>
      <c r="D6975" s="0" t="s">
        <v>2105</v>
      </c>
      <c r="E6975" s="0" t="s">
        <v>2045</v>
      </c>
      <c r="F6975" s="0" t="s">
        <v>2099</v>
      </c>
      <c r="G6975" s="0" t="s">
        <v>2238</v>
      </c>
      <c r="H6975" s="0" t="s">
        <v>2239</v>
      </c>
      <c r="I6975" s="0" t="s">
        <v>2201</v>
      </c>
      <c r="J6975" s="0" t="s">
        <v>2368</v>
      </c>
      <c r="K6975" s="272" t="n">
        <v>-450000</v>
      </c>
    </row>
    <row r="6976" customFormat="false" ht="15" hidden="false" customHeight="false" outlineLevel="0" collapsed="false">
      <c r="A6976" s="0" t="s">
        <v>2041</v>
      </c>
      <c r="B6976" s="0" t="s">
        <v>2042</v>
      </c>
      <c r="C6976" s="0" t="s">
        <v>2161</v>
      </c>
      <c r="D6976" s="0" t="s">
        <v>2105</v>
      </c>
      <c r="E6976" s="0" t="s">
        <v>2045</v>
      </c>
      <c r="F6976" s="0" t="s">
        <v>2099</v>
      </c>
      <c r="G6976" s="0" t="s">
        <v>2238</v>
      </c>
      <c r="H6976" s="0" t="s">
        <v>2239</v>
      </c>
      <c r="I6976" s="0" t="s">
        <v>2201</v>
      </c>
      <c r="J6976" s="0" t="s">
        <v>2368</v>
      </c>
      <c r="K6976" s="272" t="n">
        <v>-135900</v>
      </c>
    </row>
    <row r="6977" customFormat="false" ht="15" hidden="false" customHeight="false" outlineLevel="0" collapsed="false">
      <c r="A6977" s="0" t="s">
        <v>2041</v>
      </c>
      <c r="B6977" s="0" t="s">
        <v>2042</v>
      </c>
      <c r="C6977" s="0" t="s">
        <v>2156</v>
      </c>
      <c r="D6977" s="0" t="s">
        <v>2105</v>
      </c>
      <c r="E6977" s="0" t="s">
        <v>2045</v>
      </c>
      <c r="F6977" s="0" t="s">
        <v>2099</v>
      </c>
      <c r="G6977" s="0" t="s">
        <v>2238</v>
      </c>
      <c r="H6977" s="0" t="s">
        <v>2239</v>
      </c>
      <c r="I6977" s="0" t="s">
        <v>2322</v>
      </c>
      <c r="J6977" s="0" t="s">
        <v>2368</v>
      </c>
      <c r="K6977" s="272" t="n">
        <v>-80700000</v>
      </c>
    </row>
    <row r="6978" customFormat="false" ht="15" hidden="false" customHeight="false" outlineLevel="0" collapsed="false">
      <c r="A6978" s="0" t="s">
        <v>2041</v>
      </c>
      <c r="B6978" s="0" t="s">
        <v>2042</v>
      </c>
      <c r="C6978" s="0" t="s">
        <v>2161</v>
      </c>
      <c r="D6978" s="0" t="s">
        <v>2105</v>
      </c>
      <c r="E6978" s="0" t="s">
        <v>2045</v>
      </c>
      <c r="F6978" s="0" t="s">
        <v>2099</v>
      </c>
      <c r="G6978" s="0" t="s">
        <v>2238</v>
      </c>
      <c r="H6978" s="0" t="s">
        <v>2239</v>
      </c>
      <c r="I6978" s="0" t="s">
        <v>2322</v>
      </c>
      <c r="J6978" s="0" t="s">
        <v>2368</v>
      </c>
      <c r="K6978" s="272" t="n">
        <v>-19130525.86</v>
      </c>
    </row>
    <row r="6979" customFormat="false" ht="15" hidden="false" customHeight="false" outlineLevel="0" collapsed="false">
      <c r="A6979" s="0" t="s">
        <v>2041</v>
      </c>
      <c r="B6979" s="0" t="s">
        <v>2042</v>
      </c>
      <c r="C6979" s="0" t="s">
        <v>2156</v>
      </c>
      <c r="D6979" s="0" t="s">
        <v>2105</v>
      </c>
      <c r="E6979" s="0" t="s">
        <v>2045</v>
      </c>
      <c r="F6979" s="0" t="s">
        <v>2099</v>
      </c>
      <c r="G6979" s="0" t="s">
        <v>2240</v>
      </c>
      <c r="H6979" s="0" t="s">
        <v>2100</v>
      </c>
      <c r="I6979" s="0" t="s">
        <v>2124</v>
      </c>
      <c r="J6979" s="0" t="s">
        <v>2368</v>
      </c>
      <c r="K6979" s="272" t="n">
        <v>-800000</v>
      </c>
    </row>
    <row r="6980" customFormat="false" ht="15" hidden="false" customHeight="false" outlineLevel="0" collapsed="false">
      <c r="A6980" s="0" t="s">
        <v>2041</v>
      </c>
      <c r="B6980" s="0" t="s">
        <v>2042</v>
      </c>
      <c r="C6980" s="0" t="s">
        <v>2161</v>
      </c>
      <c r="D6980" s="0" t="s">
        <v>2105</v>
      </c>
      <c r="E6980" s="0" t="s">
        <v>2045</v>
      </c>
      <c r="F6980" s="0" t="s">
        <v>2099</v>
      </c>
      <c r="G6980" s="0" t="s">
        <v>2240</v>
      </c>
      <c r="H6980" s="0" t="s">
        <v>2100</v>
      </c>
      <c r="I6980" s="0" t="s">
        <v>2124</v>
      </c>
      <c r="J6980" s="0" t="s">
        <v>2368</v>
      </c>
      <c r="K6980" s="272" t="n">
        <v>-241600</v>
      </c>
    </row>
    <row r="6981" customFormat="false" ht="15" hidden="false" customHeight="false" outlineLevel="0" collapsed="false">
      <c r="A6981" s="0" t="s">
        <v>2041</v>
      </c>
      <c r="B6981" s="0" t="s">
        <v>2042</v>
      </c>
      <c r="C6981" s="0" t="s">
        <v>2156</v>
      </c>
      <c r="D6981" s="0" t="s">
        <v>2105</v>
      </c>
      <c r="E6981" s="0" t="s">
        <v>2045</v>
      </c>
      <c r="F6981" s="0" t="s">
        <v>2099</v>
      </c>
      <c r="G6981" s="0" t="s">
        <v>2240</v>
      </c>
      <c r="H6981" s="0" t="s">
        <v>2100</v>
      </c>
      <c r="I6981" s="0" t="s">
        <v>2322</v>
      </c>
      <c r="J6981" s="0" t="s">
        <v>2368</v>
      </c>
      <c r="K6981" s="272" t="n">
        <v>-72214500</v>
      </c>
    </row>
    <row r="6982" customFormat="false" ht="15" hidden="false" customHeight="false" outlineLevel="0" collapsed="false">
      <c r="A6982" s="0" t="s">
        <v>2041</v>
      </c>
      <c r="B6982" s="0" t="s">
        <v>2042</v>
      </c>
      <c r="C6982" s="0" t="s">
        <v>2161</v>
      </c>
      <c r="D6982" s="0" t="s">
        <v>2105</v>
      </c>
      <c r="E6982" s="0" t="s">
        <v>2045</v>
      </c>
      <c r="F6982" s="0" t="s">
        <v>2099</v>
      </c>
      <c r="G6982" s="0" t="s">
        <v>2240</v>
      </c>
      <c r="H6982" s="0" t="s">
        <v>2100</v>
      </c>
      <c r="I6982" s="0" t="s">
        <v>2322</v>
      </c>
      <c r="J6982" s="0" t="s">
        <v>2368</v>
      </c>
      <c r="K6982" s="272" t="n">
        <v>-14978888.76</v>
      </c>
    </row>
    <row r="6983" customFormat="false" ht="15" hidden="false" customHeight="false" outlineLevel="0" collapsed="false">
      <c r="A6983" s="0" t="s">
        <v>2041</v>
      </c>
      <c r="B6983" s="0" t="s">
        <v>2042</v>
      </c>
      <c r="C6983" s="0" t="s">
        <v>2156</v>
      </c>
      <c r="D6983" s="0" t="s">
        <v>2105</v>
      </c>
      <c r="E6983" s="0" t="s">
        <v>2045</v>
      </c>
      <c r="F6983" s="0" t="s">
        <v>2099</v>
      </c>
      <c r="G6983" s="0" t="s">
        <v>2240</v>
      </c>
      <c r="H6983" s="0" t="s">
        <v>2235</v>
      </c>
      <c r="I6983" s="0" t="s">
        <v>2322</v>
      </c>
      <c r="J6983" s="0" t="s">
        <v>2368</v>
      </c>
      <c r="K6983" s="272" t="n">
        <v>-730000</v>
      </c>
    </row>
    <row r="6984" customFormat="false" ht="15" hidden="false" customHeight="false" outlineLevel="0" collapsed="false">
      <c r="A6984" s="0" t="s">
        <v>2041</v>
      </c>
      <c r="B6984" s="0" t="s">
        <v>2042</v>
      </c>
      <c r="C6984" s="0" t="s">
        <v>2161</v>
      </c>
      <c r="D6984" s="0" t="s">
        <v>2105</v>
      </c>
      <c r="E6984" s="0" t="s">
        <v>2045</v>
      </c>
      <c r="F6984" s="0" t="s">
        <v>2099</v>
      </c>
      <c r="G6984" s="0" t="s">
        <v>2240</v>
      </c>
      <c r="H6984" s="0" t="s">
        <v>2235</v>
      </c>
      <c r="I6984" s="0" t="s">
        <v>2322</v>
      </c>
      <c r="J6984" s="0" t="s">
        <v>2368</v>
      </c>
      <c r="K6984" s="272" t="n">
        <v>-220460</v>
      </c>
    </row>
    <row r="6985" customFormat="false" ht="15" hidden="false" customHeight="false" outlineLevel="0" collapsed="false">
      <c r="A6985" s="0" t="s">
        <v>2041</v>
      </c>
      <c r="B6985" s="0" t="s">
        <v>2042</v>
      </c>
      <c r="C6985" s="0" t="s">
        <v>2156</v>
      </c>
      <c r="D6985" s="0" t="s">
        <v>2105</v>
      </c>
      <c r="E6985" s="0" t="s">
        <v>2045</v>
      </c>
      <c r="F6985" s="0" t="s">
        <v>2099</v>
      </c>
      <c r="G6985" s="0" t="s">
        <v>2241</v>
      </c>
      <c r="H6985" s="0" t="s">
        <v>2242</v>
      </c>
      <c r="I6985" s="0" t="s">
        <v>2322</v>
      </c>
      <c r="J6985" s="0" t="s">
        <v>2368</v>
      </c>
      <c r="K6985" s="272" t="n">
        <v>-34672511</v>
      </c>
    </row>
    <row r="6986" customFormat="false" ht="15" hidden="false" customHeight="false" outlineLevel="0" collapsed="false">
      <c r="A6986" s="0" t="s">
        <v>2041</v>
      </c>
      <c r="B6986" s="0" t="s">
        <v>2042</v>
      </c>
      <c r="C6986" s="0" t="s">
        <v>2161</v>
      </c>
      <c r="D6986" s="0" t="s">
        <v>2105</v>
      </c>
      <c r="E6986" s="0" t="s">
        <v>2045</v>
      </c>
      <c r="F6986" s="0" t="s">
        <v>2099</v>
      </c>
      <c r="G6986" s="0" t="s">
        <v>2241</v>
      </c>
      <c r="H6986" s="0" t="s">
        <v>2242</v>
      </c>
      <c r="I6986" s="0" t="s">
        <v>2322</v>
      </c>
      <c r="J6986" s="0" t="s">
        <v>2368</v>
      </c>
      <c r="K6986" s="272" t="n">
        <v>-6218325.68</v>
      </c>
    </row>
    <row r="6987" customFormat="false" ht="15" hidden="false" customHeight="false" outlineLevel="0" collapsed="false">
      <c r="A6987" s="0" t="s">
        <v>2041</v>
      </c>
      <c r="B6987" s="0" t="s">
        <v>2042</v>
      </c>
      <c r="C6987" s="0" t="s">
        <v>2156</v>
      </c>
      <c r="D6987" s="0" t="s">
        <v>2105</v>
      </c>
      <c r="E6987" s="0" t="s">
        <v>2045</v>
      </c>
      <c r="F6987" s="0" t="s">
        <v>2099</v>
      </c>
      <c r="G6987" s="0" t="s">
        <v>2243</v>
      </c>
      <c r="H6987" s="0" t="s">
        <v>2244</v>
      </c>
      <c r="I6987" s="0" t="s">
        <v>2124</v>
      </c>
      <c r="J6987" s="0" t="s">
        <v>2368</v>
      </c>
      <c r="K6987" s="272" t="n">
        <v>-10129999.8</v>
      </c>
    </row>
    <row r="6988" customFormat="false" ht="15" hidden="false" customHeight="false" outlineLevel="0" collapsed="false">
      <c r="A6988" s="0" t="s">
        <v>2041</v>
      </c>
      <c r="B6988" s="0" t="s">
        <v>2042</v>
      </c>
      <c r="C6988" s="0" t="s">
        <v>2161</v>
      </c>
      <c r="D6988" s="0" t="s">
        <v>2105</v>
      </c>
      <c r="E6988" s="0" t="s">
        <v>2045</v>
      </c>
      <c r="F6988" s="0" t="s">
        <v>2099</v>
      </c>
      <c r="G6988" s="0" t="s">
        <v>2243</v>
      </c>
      <c r="H6988" s="0" t="s">
        <v>2244</v>
      </c>
      <c r="I6988" s="0" t="s">
        <v>2124</v>
      </c>
      <c r="J6988" s="0" t="s">
        <v>2368</v>
      </c>
      <c r="K6988" s="272" t="n">
        <v>-2366815.06</v>
      </c>
    </row>
    <row r="6989" customFormat="false" ht="15" hidden="false" customHeight="false" outlineLevel="0" collapsed="false">
      <c r="A6989" s="0" t="s">
        <v>2041</v>
      </c>
      <c r="B6989" s="0" t="s">
        <v>2042</v>
      </c>
      <c r="C6989" s="0" t="s">
        <v>2156</v>
      </c>
      <c r="D6989" s="0" t="s">
        <v>2105</v>
      </c>
      <c r="E6989" s="0" t="s">
        <v>2045</v>
      </c>
      <c r="F6989" s="0" t="s">
        <v>2099</v>
      </c>
      <c r="G6989" s="0" t="s">
        <v>2243</v>
      </c>
      <c r="H6989" s="0" t="s">
        <v>2244</v>
      </c>
      <c r="I6989" s="0" t="s">
        <v>2201</v>
      </c>
      <c r="J6989" s="0" t="s">
        <v>2368</v>
      </c>
      <c r="K6989" s="272" t="n">
        <v>-1000000</v>
      </c>
    </row>
    <row r="6990" customFormat="false" ht="15" hidden="false" customHeight="false" outlineLevel="0" collapsed="false">
      <c r="A6990" s="0" t="s">
        <v>2041</v>
      </c>
      <c r="B6990" s="0" t="s">
        <v>2042</v>
      </c>
      <c r="C6990" s="0" t="s">
        <v>2161</v>
      </c>
      <c r="D6990" s="0" t="s">
        <v>2105</v>
      </c>
      <c r="E6990" s="0" t="s">
        <v>2045</v>
      </c>
      <c r="F6990" s="0" t="s">
        <v>2099</v>
      </c>
      <c r="G6990" s="0" t="s">
        <v>2243</v>
      </c>
      <c r="H6990" s="0" t="s">
        <v>2244</v>
      </c>
      <c r="I6990" s="0" t="s">
        <v>2201</v>
      </c>
      <c r="J6990" s="0" t="s">
        <v>2368</v>
      </c>
      <c r="K6990" s="272" t="n">
        <v>-302000</v>
      </c>
    </row>
    <row r="6991" customFormat="false" ht="15" hidden="false" customHeight="false" outlineLevel="0" collapsed="false">
      <c r="A6991" s="0" t="s">
        <v>2041</v>
      </c>
      <c r="B6991" s="0" t="s">
        <v>2042</v>
      </c>
      <c r="C6991" s="0" t="s">
        <v>2156</v>
      </c>
      <c r="D6991" s="0" t="s">
        <v>2105</v>
      </c>
      <c r="E6991" s="0" t="s">
        <v>2045</v>
      </c>
      <c r="F6991" s="0" t="s">
        <v>2099</v>
      </c>
      <c r="G6991" s="0" t="s">
        <v>2243</v>
      </c>
      <c r="H6991" s="0" t="s">
        <v>2244</v>
      </c>
      <c r="I6991" s="0" t="s">
        <v>2322</v>
      </c>
      <c r="J6991" s="0" t="s">
        <v>2368</v>
      </c>
      <c r="K6991" s="272" t="n">
        <v>-15689010</v>
      </c>
    </row>
    <row r="6992" customFormat="false" ht="15" hidden="false" customHeight="false" outlineLevel="0" collapsed="false">
      <c r="A6992" s="0" t="s">
        <v>2041</v>
      </c>
      <c r="B6992" s="0" t="s">
        <v>2042</v>
      </c>
      <c r="C6992" s="0" t="s">
        <v>2161</v>
      </c>
      <c r="D6992" s="0" t="s">
        <v>2105</v>
      </c>
      <c r="E6992" s="0" t="s">
        <v>2045</v>
      </c>
      <c r="F6992" s="0" t="s">
        <v>2099</v>
      </c>
      <c r="G6992" s="0" t="s">
        <v>2243</v>
      </c>
      <c r="H6992" s="0" t="s">
        <v>2244</v>
      </c>
      <c r="I6992" s="0" t="s">
        <v>2322</v>
      </c>
      <c r="J6992" s="0" t="s">
        <v>2368</v>
      </c>
      <c r="K6992" s="272" t="n">
        <v>-4283284.19</v>
      </c>
    </row>
    <row r="6993" customFormat="false" ht="15" hidden="false" customHeight="false" outlineLevel="0" collapsed="false">
      <c r="A6993" s="0" t="s">
        <v>2041</v>
      </c>
      <c r="B6993" s="0" t="s">
        <v>2042</v>
      </c>
      <c r="C6993" s="0" t="s">
        <v>2156</v>
      </c>
      <c r="D6993" s="0" t="s">
        <v>2105</v>
      </c>
      <c r="E6993" s="0" t="s">
        <v>2045</v>
      </c>
      <c r="F6993" s="0" t="s">
        <v>2099</v>
      </c>
      <c r="G6993" s="0" t="s">
        <v>2243</v>
      </c>
      <c r="H6993" s="0" t="s">
        <v>2245</v>
      </c>
      <c r="I6993" s="0" t="s">
        <v>2246</v>
      </c>
      <c r="J6993" s="0" t="s">
        <v>2368</v>
      </c>
      <c r="K6993" s="272" t="n">
        <v>-14300000</v>
      </c>
    </row>
    <row r="6994" customFormat="false" ht="15" hidden="false" customHeight="false" outlineLevel="0" collapsed="false">
      <c r="A6994" s="0" t="s">
        <v>2041</v>
      </c>
      <c r="B6994" s="0" t="s">
        <v>2042</v>
      </c>
      <c r="C6994" s="0" t="s">
        <v>2161</v>
      </c>
      <c r="D6994" s="0" t="s">
        <v>2105</v>
      </c>
      <c r="E6994" s="0" t="s">
        <v>2045</v>
      </c>
      <c r="F6994" s="0" t="s">
        <v>2099</v>
      </c>
      <c r="G6994" s="0" t="s">
        <v>2243</v>
      </c>
      <c r="H6994" s="0" t="s">
        <v>2245</v>
      </c>
      <c r="I6994" s="0" t="s">
        <v>2246</v>
      </c>
      <c r="J6994" s="0" t="s">
        <v>2368</v>
      </c>
      <c r="K6994" s="272" t="n">
        <v>-3433198.51</v>
      </c>
    </row>
    <row r="6995" customFormat="false" ht="15" hidden="false" customHeight="false" outlineLevel="0" collapsed="false">
      <c r="A6995" s="0" t="s">
        <v>2041</v>
      </c>
      <c r="B6995" s="0" t="s">
        <v>2042</v>
      </c>
      <c r="C6995" s="0" t="s">
        <v>2156</v>
      </c>
      <c r="D6995" s="0" t="s">
        <v>2105</v>
      </c>
      <c r="E6995" s="0" t="s">
        <v>2045</v>
      </c>
      <c r="F6995" s="0" t="s">
        <v>2099</v>
      </c>
      <c r="G6995" s="0" t="s">
        <v>2243</v>
      </c>
      <c r="H6995" s="0" t="s">
        <v>2245</v>
      </c>
      <c r="I6995" s="0" t="s">
        <v>2322</v>
      </c>
      <c r="J6995" s="0" t="s">
        <v>2368</v>
      </c>
      <c r="K6995" s="272" t="n">
        <v>-196425</v>
      </c>
    </row>
    <row r="6996" customFormat="false" ht="15" hidden="false" customHeight="false" outlineLevel="0" collapsed="false">
      <c r="A6996" s="0" t="s">
        <v>2041</v>
      </c>
      <c r="B6996" s="0" t="s">
        <v>2042</v>
      </c>
      <c r="C6996" s="0" t="s">
        <v>2161</v>
      </c>
      <c r="D6996" s="0" t="s">
        <v>2105</v>
      </c>
      <c r="E6996" s="0" t="s">
        <v>2045</v>
      </c>
      <c r="F6996" s="0" t="s">
        <v>2099</v>
      </c>
      <c r="G6996" s="0" t="s">
        <v>2243</v>
      </c>
      <c r="H6996" s="0" t="s">
        <v>2245</v>
      </c>
      <c r="I6996" s="0" t="s">
        <v>2322</v>
      </c>
      <c r="J6996" s="0" t="s">
        <v>2368</v>
      </c>
      <c r="K6996" s="272" t="n">
        <v>-59320.35</v>
      </c>
    </row>
    <row r="6997" customFormat="false" ht="15" hidden="false" customHeight="false" outlineLevel="0" collapsed="false">
      <c r="A6997" s="0" t="s">
        <v>2041</v>
      </c>
      <c r="B6997" s="0" t="s">
        <v>2042</v>
      </c>
      <c r="C6997" s="0" t="s">
        <v>2156</v>
      </c>
      <c r="D6997" s="0" t="s">
        <v>2105</v>
      </c>
      <c r="E6997" s="0" t="s">
        <v>2045</v>
      </c>
      <c r="F6997" s="0" t="s">
        <v>2099</v>
      </c>
      <c r="G6997" s="0" t="s">
        <v>2243</v>
      </c>
      <c r="H6997" s="0" t="s">
        <v>2247</v>
      </c>
      <c r="I6997" s="0" t="s">
        <v>2124</v>
      </c>
      <c r="J6997" s="0" t="s">
        <v>2368</v>
      </c>
      <c r="K6997" s="272" t="n">
        <v>-2260000</v>
      </c>
    </row>
    <row r="6998" customFormat="false" ht="15" hidden="false" customHeight="false" outlineLevel="0" collapsed="false">
      <c r="A6998" s="0" t="s">
        <v>2041</v>
      </c>
      <c r="B6998" s="0" t="s">
        <v>2042</v>
      </c>
      <c r="C6998" s="0" t="s">
        <v>2161</v>
      </c>
      <c r="D6998" s="0" t="s">
        <v>2105</v>
      </c>
      <c r="E6998" s="0" t="s">
        <v>2045</v>
      </c>
      <c r="F6998" s="0" t="s">
        <v>2099</v>
      </c>
      <c r="G6998" s="0" t="s">
        <v>2243</v>
      </c>
      <c r="H6998" s="0" t="s">
        <v>2247</v>
      </c>
      <c r="I6998" s="0" t="s">
        <v>2124</v>
      </c>
      <c r="J6998" s="0" t="s">
        <v>2368</v>
      </c>
      <c r="K6998" s="272" t="n">
        <v>-682520</v>
      </c>
    </row>
    <row r="6999" customFormat="false" ht="15" hidden="false" customHeight="false" outlineLevel="0" collapsed="false">
      <c r="A6999" s="0" t="s">
        <v>2041</v>
      </c>
      <c r="B6999" s="0" t="s">
        <v>2042</v>
      </c>
      <c r="C6999" s="0" t="s">
        <v>2156</v>
      </c>
      <c r="D6999" s="0" t="s">
        <v>2105</v>
      </c>
      <c r="E6999" s="0" t="s">
        <v>2045</v>
      </c>
      <c r="F6999" s="0" t="s">
        <v>2099</v>
      </c>
      <c r="G6999" s="0" t="s">
        <v>2243</v>
      </c>
      <c r="H6999" s="0" t="s">
        <v>2247</v>
      </c>
      <c r="I6999" s="0" t="s">
        <v>2201</v>
      </c>
      <c r="J6999" s="0" t="s">
        <v>2368</v>
      </c>
      <c r="K6999" s="272" t="n">
        <v>-22290000</v>
      </c>
    </row>
    <row r="7000" customFormat="false" ht="15" hidden="false" customHeight="false" outlineLevel="0" collapsed="false">
      <c r="A7000" s="0" t="s">
        <v>2041</v>
      </c>
      <c r="B7000" s="0" t="s">
        <v>2042</v>
      </c>
      <c r="C7000" s="0" t="s">
        <v>2161</v>
      </c>
      <c r="D7000" s="0" t="s">
        <v>2105</v>
      </c>
      <c r="E7000" s="0" t="s">
        <v>2045</v>
      </c>
      <c r="F7000" s="0" t="s">
        <v>2099</v>
      </c>
      <c r="G7000" s="0" t="s">
        <v>2243</v>
      </c>
      <c r="H7000" s="0" t="s">
        <v>2247</v>
      </c>
      <c r="I7000" s="0" t="s">
        <v>2201</v>
      </c>
      <c r="J7000" s="0" t="s">
        <v>2368</v>
      </c>
      <c r="K7000" s="272" t="n">
        <v>-5667720.9</v>
      </c>
    </row>
    <row r="7001" customFormat="false" ht="15" hidden="false" customHeight="false" outlineLevel="0" collapsed="false">
      <c r="A7001" s="0" t="s">
        <v>2041</v>
      </c>
      <c r="B7001" s="0" t="s">
        <v>2042</v>
      </c>
      <c r="C7001" s="0" t="s">
        <v>2156</v>
      </c>
      <c r="D7001" s="0" t="s">
        <v>2105</v>
      </c>
      <c r="E7001" s="0" t="s">
        <v>2045</v>
      </c>
      <c r="F7001" s="0" t="s">
        <v>2099</v>
      </c>
      <c r="G7001" s="0" t="s">
        <v>2243</v>
      </c>
      <c r="H7001" s="0" t="s">
        <v>2247</v>
      </c>
      <c r="I7001" s="0" t="s">
        <v>2322</v>
      </c>
      <c r="J7001" s="0" t="s">
        <v>2368</v>
      </c>
      <c r="K7001" s="272" t="n">
        <v>-2250000</v>
      </c>
    </row>
    <row r="7002" customFormat="false" ht="15" hidden="false" customHeight="false" outlineLevel="0" collapsed="false">
      <c r="A7002" s="0" t="s">
        <v>2041</v>
      </c>
      <c r="B7002" s="0" t="s">
        <v>2042</v>
      </c>
      <c r="C7002" s="0" t="s">
        <v>2161</v>
      </c>
      <c r="D7002" s="0" t="s">
        <v>2105</v>
      </c>
      <c r="E7002" s="0" t="s">
        <v>2045</v>
      </c>
      <c r="F7002" s="0" t="s">
        <v>2099</v>
      </c>
      <c r="G7002" s="0" t="s">
        <v>2243</v>
      </c>
      <c r="H7002" s="0" t="s">
        <v>2247</v>
      </c>
      <c r="I7002" s="0" t="s">
        <v>2322</v>
      </c>
      <c r="J7002" s="0" t="s">
        <v>2368</v>
      </c>
      <c r="K7002" s="272" t="n">
        <v>-647339.48</v>
      </c>
    </row>
    <row r="7003" customFormat="false" ht="15" hidden="false" customHeight="false" outlineLevel="0" collapsed="false">
      <c r="A7003" s="0" t="s">
        <v>2041</v>
      </c>
      <c r="B7003" s="0" t="s">
        <v>2042</v>
      </c>
      <c r="C7003" s="0" t="s">
        <v>2156</v>
      </c>
      <c r="D7003" s="0" t="s">
        <v>2105</v>
      </c>
      <c r="E7003" s="0" t="s">
        <v>2045</v>
      </c>
      <c r="F7003" s="0" t="s">
        <v>2099</v>
      </c>
      <c r="G7003" s="0" t="s">
        <v>2248</v>
      </c>
      <c r="H7003" s="0" t="s">
        <v>2244</v>
      </c>
      <c r="I7003" s="0" t="s">
        <v>2246</v>
      </c>
      <c r="J7003" s="0" t="s">
        <v>2368</v>
      </c>
      <c r="K7003" s="272" t="n">
        <v>-480000</v>
      </c>
    </row>
    <row r="7004" customFormat="false" ht="15" hidden="false" customHeight="false" outlineLevel="0" collapsed="false">
      <c r="A7004" s="0" t="s">
        <v>2041</v>
      </c>
      <c r="B7004" s="0" t="s">
        <v>2042</v>
      </c>
      <c r="C7004" s="0" t="s">
        <v>2161</v>
      </c>
      <c r="D7004" s="0" t="s">
        <v>2105</v>
      </c>
      <c r="E7004" s="0" t="s">
        <v>2045</v>
      </c>
      <c r="F7004" s="0" t="s">
        <v>2099</v>
      </c>
      <c r="G7004" s="0" t="s">
        <v>2248</v>
      </c>
      <c r="H7004" s="0" t="s">
        <v>2244</v>
      </c>
      <c r="I7004" s="0" t="s">
        <v>2246</v>
      </c>
      <c r="J7004" s="0" t="s">
        <v>2368</v>
      </c>
      <c r="K7004" s="272" t="n">
        <v>-144960</v>
      </c>
    </row>
    <row r="7005" customFormat="false" ht="15" hidden="false" customHeight="false" outlineLevel="0" collapsed="false">
      <c r="A7005" s="0" t="s">
        <v>2041</v>
      </c>
      <c r="B7005" s="0" t="s">
        <v>2042</v>
      </c>
      <c r="C7005" s="0" t="s">
        <v>2156</v>
      </c>
      <c r="D7005" s="0" t="s">
        <v>2105</v>
      </c>
      <c r="E7005" s="0" t="s">
        <v>2045</v>
      </c>
      <c r="F7005" s="0" t="s">
        <v>2099</v>
      </c>
      <c r="G7005" s="0" t="s">
        <v>2248</v>
      </c>
      <c r="H7005" s="0" t="s">
        <v>2245</v>
      </c>
      <c r="I7005" s="0" t="s">
        <v>2246</v>
      </c>
      <c r="J7005" s="0" t="s">
        <v>2368</v>
      </c>
      <c r="K7005" s="272" t="n">
        <v>-315000</v>
      </c>
    </row>
    <row r="7006" customFormat="false" ht="15" hidden="false" customHeight="false" outlineLevel="0" collapsed="false">
      <c r="A7006" s="0" t="s">
        <v>2041</v>
      </c>
      <c r="B7006" s="0" t="s">
        <v>2042</v>
      </c>
      <c r="C7006" s="0" t="s">
        <v>2161</v>
      </c>
      <c r="D7006" s="0" t="s">
        <v>2105</v>
      </c>
      <c r="E7006" s="0" t="s">
        <v>2045</v>
      </c>
      <c r="F7006" s="0" t="s">
        <v>2099</v>
      </c>
      <c r="G7006" s="0" t="s">
        <v>2248</v>
      </c>
      <c r="H7006" s="0" t="s">
        <v>2245</v>
      </c>
      <c r="I7006" s="0" t="s">
        <v>2246</v>
      </c>
      <c r="J7006" s="0" t="s">
        <v>2368</v>
      </c>
      <c r="K7006" s="272" t="n">
        <v>-95130</v>
      </c>
    </row>
    <row r="7007" customFormat="false" ht="15" hidden="false" customHeight="false" outlineLevel="0" collapsed="false">
      <c r="A7007" s="0" t="s">
        <v>2041</v>
      </c>
      <c r="B7007" s="0" t="s">
        <v>2042</v>
      </c>
      <c r="C7007" s="0" t="s">
        <v>2156</v>
      </c>
      <c r="D7007" s="0" t="s">
        <v>2105</v>
      </c>
      <c r="E7007" s="0" t="s">
        <v>2045</v>
      </c>
      <c r="F7007" s="0" t="s">
        <v>2099</v>
      </c>
      <c r="G7007" s="0" t="s">
        <v>2249</v>
      </c>
      <c r="H7007" s="0" t="s">
        <v>2245</v>
      </c>
      <c r="I7007" s="0" t="s">
        <v>2246</v>
      </c>
      <c r="J7007" s="0" t="s">
        <v>2368</v>
      </c>
      <c r="K7007" s="272" t="n">
        <v>-2587500</v>
      </c>
    </row>
    <row r="7008" customFormat="false" ht="15" hidden="false" customHeight="false" outlineLevel="0" collapsed="false">
      <c r="A7008" s="0" t="s">
        <v>2041</v>
      </c>
      <c r="B7008" s="0" t="s">
        <v>2042</v>
      </c>
      <c r="C7008" s="0" t="s">
        <v>2161</v>
      </c>
      <c r="D7008" s="0" t="s">
        <v>2105</v>
      </c>
      <c r="E7008" s="0" t="s">
        <v>2045</v>
      </c>
      <c r="F7008" s="0" t="s">
        <v>2099</v>
      </c>
      <c r="G7008" s="0" t="s">
        <v>2249</v>
      </c>
      <c r="H7008" s="0" t="s">
        <v>2245</v>
      </c>
      <c r="I7008" s="0" t="s">
        <v>2246</v>
      </c>
      <c r="J7008" s="0" t="s">
        <v>2368</v>
      </c>
      <c r="K7008" s="272" t="n">
        <v>-781425</v>
      </c>
    </row>
    <row r="7009" customFormat="false" ht="15" hidden="false" customHeight="false" outlineLevel="0" collapsed="false">
      <c r="A7009" s="0" t="s">
        <v>2041</v>
      </c>
      <c r="B7009" s="0" t="s">
        <v>2042</v>
      </c>
      <c r="C7009" s="0" t="s">
        <v>2156</v>
      </c>
      <c r="D7009" s="0" t="s">
        <v>2105</v>
      </c>
      <c r="E7009" s="0" t="s">
        <v>2045</v>
      </c>
      <c r="F7009" s="0" t="s">
        <v>2250</v>
      </c>
      <c r="G7009" s="0" t="s">
        <v>2251</v>
      </c>
      <c r="H7009" s="0" t="s">
        <v>2252</v>
      </c>
      <c r="I7009" s="0" t="s">
        <v>2322</v>
      </c>
      <c r="J7009" s="0" t="s">
        <v>2368</v>
      </c>
      <c r="K7009" s="272" t="n">
        <v>-16321000</v>
      </c>
    </row>
    <row r="7010" customFormat="false" ht="15" hidden="false" customHeight="false" outlineLevel="0" collapsed="false">
      <c r="A7010" s="0" t="s">
        <v>2041</v>
      </c>
      <c r="B7010" s="0" t="s">
        <v>2042</v>
      </c>
      <c r="C7010" s="0" t="s">
        <v>2161</v>
      </c>
      <c r="D7010" s="0" t="s">
        <v>2105</v>
      </c>
      <c r="E7010" s="0" t="s">
        <v>2045</v>
      </c>
      <c r="F7010" s="0" t="s">
        <v>2250</v>
      </c>
      <c r="G7010" s="0" t="s">
        <v>2251</v>
      </c>
      <c r="H7010" s="0" t="s">
        <v>2252</v>
      </c>
      <c r="I7010" s="0" t="s">
        <v>2322</v>
      </c>
      <c r="J7010" s="0" t="s">
        <v>2368</v>
      </c>
      <c r="K7010" s="272" t="n">
        <v>-4193638.68</v>
      </c>
    </row>
    <row r="7011" customFormat="false" ht="15" hidden="false" customHeight="false" outlineLevel="0" collapsed="false">
      <c r="A7011" s="0" t="s">
        <v>2041</v>
      </c>
      <c r="B7011" s="0" t="s">
        <v>2042</v>
      </c>
      <c r="C7011" s="0" t="s">
        <v>2156</v>
      </c>
      <c r="D7011" s="0" t="s">
        <v>2105</v>
      </c>
      <c r="E7011" s="0" t="s">
        <v>2045</v>
      </c>
      <c r="F7011" s="0" t="s">
        <v>2250</v>
      </c>
      <c r="G7011" s="0" t="s">
        <v>2251</v>
      </c>
      <c r="H7011" s="0" t="s">
        <v>2253</v>
      </c>
      <c r="I7011" s="0" t="s">
        <v>2254</v>
      </c>
      <c r="J7011" s="0" t="s">
        <v>2368</v>
      </c>
      <c r="K7011" s="272" t="n">
        <v>-1405000</v>
      </c>
    </row>
    <row r="7012" customFormat="false" ht="15" hidden="false" customHeight="false" outlineLevel="0" collapsed="false">
      <c r="A7012" s="0" t="s">
        <v>2041</v>
      </c>
      <c r="B7012" s="0" t="s">
        <v>2042</v>
      </c>
      <c r="C7012" s="0" t="s">
        <v>2161</v>
      </c>
      <c r="D7012" s="0" t="s">
        <v>2105</v>
      </c>
      <c r="E7012" s="0" t="s">
        <v>2045</v>
      </c>
      <c r="F7012" s="0" t="s">
        <v>2250</v>
      </c>
      <c r="G7012" s="0" t="s">
        <v>2251</v>
      </c>
      <c r="H7012" s="0" t="s">
        <v>2253</v>
      </c>
      <c r="I7012" s="0" t="s">
        <v>2254</v>
      </c>
      <c r="J7012" s="0" t="s">
        <v>2368</v>
      </c>
      <c r="K7012" s="272" t="n">
        <v>-424310</v>
      </c>
    </row>
    <row r="7013" customFormat="false" ht="15" hidden="false" customHeight="false" outlineLevel="0" collapsed="false">
      <c r="A7013" s="0" t="s">
        <v>2041</v>
      </c>
      <c r="B7013" s="0" t="s">
        <v>2042</v>
      </c>
      <c r="C7013" s="0" t="s">
        <v>2156</v>
      </c>
      <c r="D7013" s="0" t="s">
        <v>2105</v>
      </c>
      <c r="E7013" s="0" t="s">
        <v>2045</v>
      </c>
      <c r="F7013" s="0" t="s">
        <v>2250</v>
      </c>
      <c r="G7013" s="0" t="s">
        <v>2251</v>
      </c>
      <c r="H7013" s="0" t="s">
        <v>2253</v>
      </c>
      <c r="I7013" s="0" t="s">
        <v>2322</v>
      </c>
      <c r="J7013" s="0" t="s">
        <v>2368</v>
      </c>
      <c r="K7013" s="272" t="n">
        <v>-27870856</v>
      </c>
    </row>
    <row r="7014" customFormat="false" ht="15" hidden="false" customHeight="false" outlineLevel="0" collapsed="false">
      <c r="A7014" s="0" t="s">
        <v>2041</v>
      </c>
      <c r="B7014" s="0" t="s">
        <v>2042</v>
      </c>
      <c r="C7014" s="0" t="s">
        <v>2161</v>
      </c>
      <c r="D7014" s="0" t="s">
        <v>2105</v>
      </c>
      <c r="E7014" s="0" t="s">
        <v>2045</v>
      </c>
      <c r="F7014" s="0" t="s">
        <v>2250</v>
      </c>
      <c r="G7014" s="0" t="s">
        <v>2251</v>
      </c>
      <c r="H7014" s="0" t="s">
        <v>2253</v>
      </c>
      <c r="I7014" s="0" t="s">
        <v>2322</v>
      </c>
      <c r="J7014" s="0" t="s">
        <v>2368</v>
      </c>
      <c r="K7014" s="272" t="n">
        <v>-7378365.03833333</v>
      </c>
    </row>
    <row r="7015" customFormat="false" ht="15" hidden="false" customHeight="false" outlineLevel="0" collapsed="false">
      <c r="A7015" s="0" t="s">
        <v>2041</v>
      </c>
      <c r="B7015" s="0" t="s">
        <v>2042</v>
      </c>
      <c r="C7015" s="0" t="s">
        <v>2156</v>
      </c>
      <c r="D7015" s="0" t="s">
        <v>2105</v>
      </c>
      <c r="E7015" s="0" t="s">
        <v>2045</v>
      </c>
      <c r="F7015" s="0" t="s">
        <v>2250</v>
      </c>
      <c r="G7015" s="0" t="s">
        <v>2251</v>
      </c>
      <c r="H7015" s="0" t="s">
        <v>2255</v>
      </c>
      <c r="I7015" s="0" t="s">
        <v>2101</v>
      </c>
      <c r="J7015" s="0" t="s">
        <v>2368</v>
      </c>
      <c r="K7015" s="272" t="n">
        <v>-1063523</v>
      </c>
    </row>
    <row r="7016" customFormat="false" ht="15" hidden="false" customHeight="false" outlineLevel="0" collapsed="false">
      <c r="A7016" s="0" t="s">
        <v>2041</v>
      </c>
      <c r="B7016" s="0" t="s">
        <v>2042</v>
      </c>
      <c r="C7016" s="0" t="s">
        <v>2161</v>
      </c>
      <c r="D7016" s="0" t="s">
        <v>2105</v>
      </c>
      <c r="E7016" s="0" t="s">
        <v>2045</v>
      </c>
      <c r="F7016" s="0" t="s">
        <v>2250</v>
      </c>
      <c r="G7016" s="0" t="s">
        <v>2251</v>
      </c>
      <c r="H7016" s="0" t="s">
        <v>2255</v>
      </c>
      <c r="I7016" s="0" t="s">
        <v>2101</v>
      </c>
      <c r="J7016" s="0" t="s">
        <v>2368</v>
      </c>
      <c r="K7016" s="272" t="n">
        <v>-321183.95</v>
      </c>
    </row>
    <row r="7017" customFormat="false" ht="15" hidden="false" customHeight="false" outlineLevel="0" collapsed="false">
      <c r="A7017" s="0" t="s">
        <v>2041</v>
      </c>
      <c r="B7017" s="0" t="s">
        <v>2042</v>
      </c>
      <c r="C7017" s="0" t="s">
        <v>2156</v>
      </c>
      <c r="D7017" s="0" t="s">
        <v>2105</v>
      </c>
      <c r="E7017" s="0" t="s">
        <v>2045</v>
      </c>
      <c r="F7017" s="0" t="s">
        <v>2250</v>
      </c>
      <c r="G7017" s="0" t="s">
        <v>2251</v>
      </c>
      <c r="H7017" s="0" t="s">
        <v>2255</v>
      </c>
      <c r="I7017" s="0" t="s">
        <v>2322</v>
      </c>
      <c r="J7017" s="0" t="s">
        <v>2368</v>
      </c>
      <c r="K7017" s="272" t="n">
        <v>-10005000</v>
      </c>
    </row>
    <row r="7018" customFormat="false" ht="15" hidden="false" customHeight="false" outlineLevel="0" collapsed="false">
      <c r="A7018" s="0" t="s">
        <v>2041</v>
      </c>
      <c r="B7018" s="0" t="s">
        <v>2042</v>
      </c>
      <c r="C7018" s="0" t="s">
        <v>2161</v>
      </c>
      <c r="D7018" s="0" t="s">
        <v>2105</v>
      </c>
      <c r="E7018" s="0" t="s">
        <v>2045</v>
      </c>
      <c r="F7018" s="0" t="s">
        <v>2250</v>
      </c>
      <c r="G7018" s="0" t="s">
        <v>2251</v>
      </c>
      <c r="H7018" s="0" t="s">
        <v>2255</v>
      </c>
      <c r="I7018" s="0" t="s">
        <v>2322</v>
      </c>
      <c r="J7018" s="0" t="s">
        <v>2368</v>
      </c>
      <c r="K7018" s="272" t="n">
        <v>-2438407.32</v>
      </c>
    </row>
    <row r="7019" customFormat="false" ht="15" hidden="false" customHeight="false" outlineLevel="0" collapsed="false">
      <c r="A7019" s="0" t="s">
        <v>2041</v>
      </c>
      <c r="B7019" s="0" t="s">
        <v>2042</v>
      </c>
      <c r="C7019" s="0" t="s">
        <v>2156</v>
      </c>
      <c r="D7019" s="0" t="s">
        <v>2105</v>
      </c>
      <c r="E7019" s="0" t="s">
        <v>2045</v>
      </c>
      <c r="F7019" s="0" t="s">
        <v>2256</v>
      </c>
      <c r="G7019" s="0" t="s">
        <v>2257</v>
      </c>
      <c r="H7019" s="0" t="s">
        <v>2179</v>
      </c>
      <c r="I7019" s="0" t="s">
        <v>2322</v>
      </c>
      <c r="J7019" s="0" t="s">
        <v>2368</v>
      </c>
      <c r="K7019" s="272" t="n">
        <v>-30000000</v>
      </c>
    </row>
    <row r="7020" customFormat="false" ht="15" hidden="false" customHeight="false" outlineLevel="0" collapsed="false">
      <c r="A7020" s="0" t="s">
        <v>2041</v>
      </c>
      <c r="B7020" s="0" t="s">
        <v>2042</v>
      </c>
      <c r="C7020" s="0" t="s">
        <v>2161</v>
      </c>
      <c r="D7020" s="0" t="s">
        <v>2105</v>
      </c>
      <c r="E7020" s="0" t="s">
        <v>2045</v>
      </c>
      <c r="F7020" s="0" t="s">
        <v>2256</v>
      </c>
      <c r="G7020" s="0" t="s">
        <v>2257</v>
      </c>
      <c r="H7020" s="0" t="s">
        <v>2179</v>
      </c>
      <c r="I7020" s="0" t="s">
        <v>2322</v>
      </c>
      <c r="J7020" s="0" t="s">
        <v>2368</v>
      </c>
      <c r="K7020" s="272" t="n">
        <v>-4590000</v>
      </c>
    </row>
    <row r="7021" customFormat="false" ht="15" hidden="false" customHeight="false" outlineLevel="0" collapsed="false">
      <c r="A7021" s="0" t="s">
        <v>2041</v>
      </c>
      <c r="B7021" s="0" t="s">
        <v>2042</v>
      </c>
      <c r="C7021" s="0" t="s">
        <v>2156</v>
      </c>
      <c r="D7021" s="0" t="s">
        <v>2105</v>
      </c>
      <c r="E7021" s="0" t="s">
        <v>2045</v>
      </c>
      <c r="F7021" s="0" t="s">
        <v>2256</v>
      </c>
      <c r="G7021" s="0" t="s">
        <v>2257</v>
      </c>
      <c r="H7021" s="0" t="s">
        <v>2258</v>
      </c>
      <c r="I7021" s="0" t="s">
        <v>2322</v>
      </c>
      <c r="J7021" s="0" t="s">
        <v>2368</v>
      </c>
      <c r="K7021" s="272" t="n">
        <v>-82090000</v>
      </c>
    </row>
    <row r="7022" customFormat="false" ht="15" hidden="false" customHeight="false" outlineLevel="0" collapsed="false">
      <c r="A7022" s="0" t="s">
        <v>2041</v>
      </c>
      <c r="B7022" s="0" t="s">
        <v>2042</v>
      </c>
      <c r="C7022" s="0" t="s">
        <v>2161</v>
      </c>
      <c r="D7022" s="0" t="s">
        <v>2105</v>
      </c>
      <c r="E7022" s="0" t="s">
        <v>2045</v>
      </c>
      <c r="F7022" s="0" t="s">
        <v>2256</v>
      </c>
      <c r="G7022" s="0" t="s">
        <v>2257</v>
      </c>
      <c r="H7022" s="0" t="s">
        <v>2258</v>
      </c>
      <c r="I7022" s="0" t="s">
        <v>2322</v>
      </c>
      <c r="J7022" s="0" t="s">
        <v>2368</v>
      </c>
      <c r="K7022" s="272" t="n">
        <v>-12871180</v>
      </c>
    </row>
    <row r="7023" customFormat="false" ht="15" hidden="false" customHeight="false" outlineLevel="0" collapsed="false">
      <c r="A7023" s="0" t="s">
        <v>2041</v>
      </c>
      <c r="B7023" s="0" t="s">
        <v>2042</v>
      </c>
      <c r="C7023" s="0" t="s">
        <v>2156</v>
      </c>
      <c r="D7023" s="0" t="s">
        <v>2105</v>
      </c>
      <c r="E7023" s="0" t="s">
        <v>2045</v>
      </c>
      <c r="F7023" s="0" t="s">
        <v>2256</v>
      </c>
      <c r="G7023" s="0" t="s">
        <v>2259</v>
      </c>
      <c r="H7023" s="0" t="s">
        <v>2258</v>
      </c>
      <c r="I7023" s="0" t="s">
        <v>2124</v>
      </c>
      <c r="J7023" s="0" t="s">
        <v>2368</v>
      </c>
      <c r="K7023" s="272" t="n">
        <v>-48740000</v>
      </c>
    </row>
    <row r="7024" customFormat="false" ht="15" hidden="false" customHeight="false" outlineLevel="0" collapsed="false">
      <c r="A7024" s="0" t="s">
        <v>2041</v>
      </c>
      <c r="B7024" s="0" t="s">
        <v>2042</v>
      </c>
      <c r="C7024" s="0" t="s">
        <v>2161</v>
      </c>
      <c r="D7024" s="0" t="s">
        <v>2105</v>
      </c>
      <c r="E7024" s="0" t="s">
        <v>2045</v>
      </c>
      <c r="F7024" s="0" t="s">
        <v>2256</v>
      </c>
      <c r="G7024" s="0" t="s">
        <v>2259</v>
      </c>
      <c r="H7024" s="0" t="s">
        <v>2258</v>
      </c>
      <c r="I7024" s="0" t="s">
        <v>2124</v>
      </c>
      <c r="J7024" s="0" t="s">
        <v>2368</v>
      </c>
      <c r="K7024" s="272" t="n">
        <v>-10072223.93</v>
      </c>
    </row>
    <row r="7025" customFormat="false" ht="15" hidden="false" customHeight="false" outlineLevel="0" collapsed="false">
      <c r="A7025" s="0" t="s">
        <v>2041</v>
      </c>
      <c r="B7025" s="0" t="s">
        <v>2042</v>
      </c>
      <c r="C7025" s="0" t="s">
        <v>2156</v>
      </c>
      <c r="D7025" s="0" t="s">
        <v>2105</v>
      </c>
      <c r="E7025" s="0" t="s">
        <v>2045</v>
      </c>
      <c r="F7025" s="0" t="s">
        <v>2256</v>
      </c>
      <c r="G7025" s="0" t="s">
        <v>2259</v>
      </c>
      <c r="H7025" s="0" t="s">
        <v>2258</v>
      </c>
      <c r="I7025" s="0" t="s">
        <v>2322</v>
      </c>
      <c r="J7025" s="0" t="s">
        <v>2368</v>
      </c>
      <c r="K7025" s="272" t="n">
        <v>-723775000</v>
      </c>
    </row>
    <row r="7026" customFormat="false" ht="15" hidden="false" customHeight="false" outlineLevel="0" collapsed="false">
      <c r="A7026" s="0" t="s">
        <v>2041</v>
      </c>
      <c r="B7026" s="0" t="s">
        <v>2042</v>
      </c>
      <c r="C7026" s="0" t="s">
        <v>2161</v>
      </c>
      <c r="D7026" s="0" t="s">
        <v>2105</v>
      </c>
      <c r="E7026" s="0" t="s">
        <v>2045</v>
      </c>
      <c r="F7026" s="0" t="s">
        <v>2256</v>
      </c>
      <c r="G7026" s="0" t="s">
        <v>2259</v>
      </c>
      <c r="H7026" s="0" t="s">
        <v>2258</v>
      </c>
      <c r="I7026" s="0" t="s">
        <v>2322</v>
      </c>
      <c r="J7026" s="0" t="s">
        <v>2368</v>
      </c>
      <c r="K7026" s="272" t="n">
        <v>-119483954.08</v>
      </c>
    </row>
    <row r="7027" customFormat="false" ht="15" hidden="false" customHeight="false" outlineLevel="0" collapsed="false">
      <c r="A7027" s="0" t="s">
        <v>2041</v>
      </c>
      <c r="B7027" s="0" t="s">
        <v>2042</v>
      </c>
      <c r="C7027" s="0" t="s">
        <v>2156</v>
      </c>
      <c r="D7027" s="0" t="s">
        <v>2105</v>
      </c>
      <c r="E7027" s="0" t="s">
        <v>2045</v>
      </c>
      <c r="F7027" s="0" t="s">
        <v>2256</v>
      </c>
      <c r="G7027" s="0" t="s">
        <v>2260</v>
      </c>
      <c r="H7027" s="0" t="s">
        <v>2261</v>
      </c>
      <c r="I7027" s="0" t="s">
        <v>2124</v>
      </c>
      <c r="J7027" s="0" t="s">
        <v>2368</v>
      </c>
      <c r="K7027" s="272" t="n">
        <v>-1600000</v>
      </c>
    </row>
    <row r="7028" customFormat="false" ht="15" hidden="false" customHeight="false" outlineLevel="0" collapsed="false">
      <c r="A7028" s="0" t="s">
        <v>2041</v>
      </c>
      <c r="B7028" s="0" t="s">
        <v>2042</v>
      </c>
      <c r="C7028" s="0" t="s">
        <v>2161</v>
      </c>
      <c r="D7028" s="0" t="s">
        <v>2105</v>
      </c>
      <c r="E7028" s="0" t="s">
        <v>2045</v>
      </c>
      <c r="F7028" s="0" t="s">
        <v>2256</v>
      </c>
      <c r="G7028" s="0" t="s">
        <v>2260</v>
      </c>
      <c r="H7028" s="0" t="s">
        <v>2261</v>
      </c>
      <c r="I7028" s="0" t="s">
        <v>2124</v>
      </c>
      <c r="J7028" s="0" t="s">
        <v>2368</v>
      </c>
      <c r="K7028" s="272" t="n">
        <v>-483200</v>
      </c>
    </row>
    <row r="7029" customFormat="false" ht="15" hidden="false" customHeight="false" outlineLevel="0" collapsed="false">
      <c r="A7029" s="0" t="s">
        <v>2041</v>
      </c>
      <c r="B7029" s="0" t="s">
        <v>2042</v>
      </c>
      <c r="C7029" s="0" t="s">
        <v>2156</v>
      </c>
      <c r="D7029" s="0" t="s">
        <v>2105</v>
      </c>
      <c r="E7029" s="0" t="s">
        <v>2045</v>
      </c>
      <c r="F7029" s="0" t="s">
        <v>2256</v>
      </c>
      <c r="G7029" s="0" t="s">
        <v>2260</v>
      </c>
      <c r="H7029" s="0" t="s">
        <v>2261</v>
      </c>
      <c r="I7029" s="0" t="s">
        <v>2322</v>
      </c>
      <c r="J7029" s="0" t="s">
        <v>2368</v>
      </c>
      <c r="K7029" s="272" t="n">
        <v>-83800000</v>
      </c>
    </row>
    <row r="7030" customFormat="false" ht="15" hidden="false" customHeight="false" outlineLevel="0" collapsed="false">
      <c r="A7030" s="0" t="s">
        <v>2041</v>
      </c>
      <c r="B7030" s="0" t="s">
        <v>2042</v>
      </c>
      <c r="C7030" s="0" t="s">
        <v>2161</v>
      </c>
      <c r="D7030" s="0" t="s">
        <v>2105</v>
      </c>
      <c r="E7030" s="0" t="s">
        <v>2045</v>
      </c>
      <c r="F7030" s="0" t="s">
        <v>2256</v>
      </c>
      <c r="G7030" s="0" t="s">
        <v>2260</v>
      </c>
      <c r="H7030" s="0" t="s">
        <v>2261</v>
      </c>
      <c r="I7030" s="0" t="s">
        <v>2322</v>
      </c>
      <c r="J7030" s="0" t="s">
        <v>2368</v>
      </c>
      <c r="K7030" s="272" t="n">
        <v>-16574942.23</v>
      </c>
    </row>
    <row r="7031" customFormat="false" ht="15" hidden="false" customHeight="false" outlineLevel="0" collapsed="false">
      <c r="A7031" s="0" t="s">
        <v>2041</v>
      </c>
      <c r="B7031" s="0" t="s">
        <v>2042</v>
      </c>
      <c r="C7031" s="0" t="s">
        <v>2156</v>
      </c>
      <c r="D7031" s="0" t="s">
        <v>2105</v>
      </c>
      <c r="E7031" s="0" t="s">
        <v>2045</v>
      </c>
      <c r="F7031" s="0" t="s">
        <v>2256</v>
      </c>
      <c r="G7031" s="0" t="s">
        <v>2262</v>
      </c>
      <c r="H7031" s="0" t="s">
        <v>2263</v>
      </c>
      <c r="I7031" s="0" t="s">
        <v>2322</v>
      </c>
      <c r="J7031" s="0" t="s">
        <v>2368</v>
      </c>
      <c r="K7031" s="272" t="n">
        <v>-18625000</v>
      </c>
    </row>
    <row r="7032" customFormat="false" ht="15" hidden="false" customHeight="false" outlineLevel="0" collapsed="false">
      <c r="A7032" s="0" t="s">
        <v>2041</v>
      </c>
      <c r="B7032" s="0" t="s">
        <v>2042</v>
      </c>
      <c r="C7032" s="0" t="s">
        <v>2161</v>
      </c>
      <c r="D7032" s="0" t="s">
        <v>2105</v>
      </c>
      <c r="E7032" s="0" t="s">
        <v>2045</v>
      </c>
      <c r="F7032" s="0" t="s">
        <v>2256</v>
      </c>
      <c r="G7032" s="0" t="s">
        <v>2262</v>
      </c>
      <c r="H7032" s="0" t="s">
        <v>2263</v>
      </c>
      <c r="I7032" s="0" t="s">
        <v>2322</v>
      </c>
      <c r="J7032" s="0" t="s">
        <v>2368</v>
      </c>
      <c r="K7032" s="272" t="n">
        <v>-2867840.25</v>
      </c>
    </row>
    <row r="7033" customFormat="false" ht="15" hidden="false" customHeight="false" outlineLevel="0" collapsed="false">
      <c r="A7033" s="0" t="s">
        <v>2041</v>
      </c>
      <c r="B7033" s="0" t="s">
        <v>2042</v>
      </c>
      <c r="C7033" s="0" t="s">
        <v>2156</v>
      </c>
      <c r="D7033" s="0" t="s">
        <v>2105</v>
      </c>
      <c r="E7033" s="0" t="s">
        <v>2045</v>
      </c>
      <c r="F7033" s="0" t="s">
        <v>2256</v>
      </c>
      <c r="G7033" s="0" t="s">
        <v>2262</v>
      </c>
      <c r="H7033" s="0" t="s">
        <v>2264</v>
      </c>
      <c r="I7033" s="0" t="s">
        <v>2124</v>
      </c>
      <c r="J7033" s="0" t="s">
        <v>2368</v>
      </c>
      <c r="K7033" s="272" t="n">
        <v>-10500000</v>
      </c>
    </row>
    <row r="7034" customFormat="false" ht="15" hidden="false" customHeight="false" outlineLevel="0" collapsed="false">
      <c r="A7034" s="0" t="s">
        <v>2041</v>
      </c>
      <c r="B7034" s="0" t="s">
        <v>2042</v>
      </c>
      <c r="C7034" s="0" t="s">
        <v>2161</v>
      </c>
      <c r="D7034" s="0" t="s">
        <v>2105</v>
      </c>
      <c r="E7034" s="0" t="s">
        <v>2045</v>
      </c>
      <c r="F7034" s="0" t="s">
        <v>2256</v>
      </c>
      <c r="G7034" s="0" t="s">
        <v>2262</v>
      </c>
      <c r="H7034" s="0" t="s">
        <v>2264</v>
      </c>
      <c r="I7034" s="0" t="s">
        <v>2124</v>
      </c>
      <c r="J7034" s="0" t="s">
        <v>2368</v>
      </c>
      <c r="K7034" s="272" t="n">
        <v>-2626337.01</v>
      </c>
    </row>
    <row r="7035" customFormat="false" ht="15" hidden="false" customHeight="false" outlineLevel="0" collapsed="false">
      <c r="A7035" s="0" t="s">
        <v>2041</v>
      </c>
      <c r="B7035" s="0" t="s">
        <v>2042</v>
      </c>
      <c r="C7035" s="0" t="s">
        <v>2156</v>
      </c>
      <c r="D7035" s="0" t="s">
        <v>2105</v>
      </c>
      <c r="E7035" s="0" t="s">
        <v>2045</v>
      </c>
      <c r="F7035" s="0" t="s">
        <v>2256</v>
      </c>
      <c r="G7035" s="0" t="s">
        <v>2262</v>
      </c>
      <c r="H7035" s="0" t="s">
        <v>2264</v>
      </c>
      <c r="I7035" s="0" t="s">
        <v>2322</v>
      </c>
      <c r="J7035" s="0" t="s">
        <v>2368</v>
      </c>
      <c r="K7035" s="272" t="n">
        <v>-363448993.75</v>
      </c>
    </row>
    <row r="7036" customFormat="false" ht="15" hidden="false" customHeight="false" outlineLevel="0" collapsed="false">
      <c r="A7036" s="0" t="s">
        <v>2041</v>
      </c>
      <c r="B7036" s="0" t="s">
        <v>2042</v>
      </c>
      <c r="C7036" s="0" t="s">
        <v>2161</v>
      </c>
      <c r="D7036" s="0" t="s">
        <v>2105</v>
      </c>
      <c r="E7036" s="0" t="s">
        <v>2045</v>
      </c>
      <c r="F7036" s="0" t="s">
        <v>2256</v>
      </c>
      <c r="G7036" s="0" t="s">
        <v>2262</v>
      </c>
      <c r="H7036" s="0" t="s">
        <v>2264</v>
      </c>
      <c r="I7036" s="0" t="s">
        <v>2322</v>
      </c>
      <c r="J7036" s="0" t="s">
        <v>2368</v>
      </c>
      <c r="K7036" s="272" t="n">
        <v>-58420128.79</v>
      </c>
    </row>
    <row r="7037" customFormat="false" ht="15" hidden="false" customHeight="false" outlineLevel="0" collapsed="false">
      <c r="A7037" s="0" t="s">
        <v>2041</v>
      </c>
      <c r="B7037" s="0" t="s">
        <v>2042</v>
      </c>
      <c r="C7037" s="0" t="s">
        <v>2156</v>
      </c>
      <c r="D7037" s="0" t="s">
        <v>2105</v>
      </c>
      <c r="E7037" s="0" t="s">
        <v>2045</v>
      </c>
      <c r="F7037" s="0" t="s">
        <v>2256</v>
      </c>
      <c r="G7037" s="0" t="s">
        <v>2262</v>
      </c>
      <c r="H7037" s="0" t="s">
        <v>2265</v>
      </c>
      <c r="I7037" s="0" t="s">
        <v>2322</v>
      </c>
      <c r="J7037" s="0" t="s">
        <v>2368</v>
      </c>
      <c r="K7037" s="272" t="n">
        <v>-59261600.25</v>
      </c>
    </row>
    <row r="7038" customFormat="false" ht="15" hidden="false" customHeight="false" outlineLevel="0" collapsed="false">
      <c r="A7038" s="0" t="s">
        <v>2041</v>
      </c>
      <c r="B7038" s="0" t="s">
        <v>2042</v>
      </c>
      <c r="C7038" s="0" t="s">
        <v>2161</v>
      </c>
      <c r="D7038" s="0" t="s">
        <v>2105</v>
      </c>
      <c r="E7038" s="0" t="s">
        <v>2045</v>
      </c>
      <c r="F7038" s="0" t="s">
        <v>2256</v>
      </c>
      <c r="G7038" s="0" t="s">
        <v>2262</v>
      </c>
      <c r="H7038" s="0" t="s">
        <v>2265</v>
      </c>
      <c r="I7038" s="0" t="s">
        <v>2322</v>
      </c>
      <c r="J7038" s="0" t="s">
        <v>2368</v>
      </c>
      <c r="K7038" s="272" t="n">
        <v>-9313151.41666667</v>
      </c>
    </row>
    <row r="7039" customFormat="false" ht="15" hidden="false" customHeight="false" outlineLevel="0" collapsed="false">
      <c r="A7039" s="0" t="s">
        <v>2041</v>
      </c>
      <c r="B7039" s="0" t="s">
        <v>2042</v>
      </c>
      <c r="C7039" s="0" t="s">
        <v>2156</v>
      </c>
      <c r="D7039" s="0" t="s">
        <v>2105</v>
      </c>
      <c r="E7039" s="0" t="s">
        <v>2045</v>
      </c>
      <c r="F7039" s="0" t="s">
        <v>2256</v>
      </c>
      <c r="G7039" s="0" t="s">
        <v>2266</v>
      </c>
      <c r="H7039" s="0" t="s">
        <v>2267</v>
      </c>
      <c r="I7039" s="0" t="s">
        <v>2124</v>
      </c>
      <c r="J7039" s="0" t="s">
        <v>2368</v>
      </c>
      <c r="K7039" s="272" t="n">
        <v>-23258000</v>
      </c>
    </row>
    <row r="7040" customFormat="false" ht="15" hidden="false" customHeight="false" outlineLevel="0" collapsed="false">
      <c r="A7040" s="0" t="s">
        <v>2041</v>
      </c>
      <c r="B7040" s="0" t="s">
        <v>2042</v>
      </c>
      <c r="C7040" s="0" t="s">
        <v>2161</v>
      </c>
      <c r="D7040" s="0" t="s">
        <v>2105</v>
      </c>
      <c r="E7040" s="0" t="s">
        <v>2045</v>
      </c>
      <c r="F7040" s="0" t="s">
        <v>2256</v>
      </c>
      <c r="G7040" s="0" t="s">
        <v>2266</v>
      </c>
      <c r="H7040" s="0" t="s">
        <v>2267</v>
      </c>
      <c r="I7040" s="0" t="s">
        <v>2124</v>
      </c>
      <c r="J7040" s="0" t="s">
        <v>2368</v>
      </c>
      <c r="K7040" s="272" t="n">
        <v>-5586009.16</v>
      </c>
    </row>
    <row r="7041" customFormat="false" ht="15" hidden="false" customHeight="false" outlineLevel="0" collapsed="false">
      <c r="A7041" s="0" t="s">
        <v>2041</v>
      </c>
      <c r="B7041" s="0" t="s">
        <v>2042</v>
      </c>
      <c r="C7041" s="0" t="s">
        <v>2156</v>
      </c>
      <c r="D7041" s="0" t="s">
        <v>2105</v>
      </c>
      <c r="E7041" s="0" t="s">
        <v>2045</v>
      </c>
      <c r="F7041" s="0" t="s">
        <v>2256</v>
      </c>
      <c r="G7041" s="0" t="s">
        <v>2266</v>
      </c>
      <c r="H7041" s="0" t="s">
        <v>2267</v>
      </c>
      <c r="I7041" s="0" t="s">
        <v>2322</v>
      </c>
      <c r="J7041" s="0" t="s">
        <v>2368</v>
      </c>
      <c r="K7041" s="272" t="n">
        <v>-420760673</v>
      </c>
    </row>
    <row r="7042" customFormat="false" ht="15" hidden="false" customHeight="false" outlineLevel="0" collapsed="false">
      <c r="A7042" s="0" t="s">
        <v>2041</v>
      </c>
      <c r="B7042" s="0" t="s">
        <v>2042</v>
      </c>
      <c r="C7042" s="0" t="s">
        <v>2161</v>
      </c>
      <c r="D7042" s="0" t="s">
        <v>2105</v>
      </c>
      <c r="E7042" s="0" t="s">
        <v>2045</v>
      </c>
      <c r="F7042" s="0" t="s">
        <v>2256</v>
      </c>
      <c r="G7042" s="0" t="s">
        <v>2266</v>
      </c>
      <c r="H7042" s="0" t="s">
        <v>2267</v>
      </c>
      <c r="I7042" s="0" t="s">
        <v>2322</v>
      </c>
      <c r="J7042" s="0" t="s">
        <v>2368</v>
      </c>
      <c r="K7042" s="272" t="n">
        <v>-69700136.3</v>
      </c>
    </row>
    <row r="7043" customFormat="false" ht="15" hidden="false" customHeight="false" outlineLevel="0" collapsed="false">
      <c r="A7043" s="0" t="s">
        <v>2041</v>
      </c>
      <c r="B7043" s="0" t="s">
        <v>2042</v>
      </c>
      <c r="C7043" s="0" t="s">
        <v>2156</v>
      </c>
      <c r="D7043" s="0" t="s">
        <v>2105</v>
      </c>
      <c r="E7043" s="0" t="s">
        <v>2045</v>
      </c>
      <c r="F7043" s="0" t="s">
        <v>2268</v>
      </c>
      <c r="G7043" s="0" t="s">
        <v>2269</v>
      </c>
      <c r="H7043" s="0" t="s">
        <v>2270</v>
      </c>
      <c r="I7043" s="0" t="s">
        <v>2124</v>
      </c>
      <c r="J7043" s="0" t="s">
        <v>2368</v>
      </c>
      <c r="K7043" s="272" t="n">
        <v>-10490000</v>
      </c>
    </row>
    <row r="7044" customFormat="false" ht="15" hidden="false" customHeight="false" outlineLevel="0" collapsed="false">
      <c r="A7044" s="0" t="s">
        <v>2041</v>
      </c>
      <c r="B7044" s="0" t="s">
        <v>2042</v>
      </c>
      <c r="C7044" s="0" t="s">
        <v>2161</v>
      </c>
      <c r="D7044" s="0" t="s">
        <v>2105</v>
      </c>
      <c r="E7044" s="0" t="s">
        <v>2045</v>
      </c>
      <c r="F7044" s="0" t="s">
        <v>2268</v>
      </c>
      <c r="G7044" s="0" t="s">
        <v>2269</v>
      </c>
      <c r="H7044" s="0" t="s">
        <v>2270</v>
      </c>
      <c r="I7044" s="0" t="s">
        <v>2124</v>
      </c>
      <c r="J7044" s="0" t="s">
        <v>2368</v>
      </c>
      <c r="K7044" s="272" t="n">
        <v>-2915376.04</v>
      </c>
    </row>
    <row r="7045" customFormat="false" ht="15" hidden="false" customHeight="false" outlineLevel="0" collapsed="false">
      <c r="A7045" s="0" t="s">
        <v>2041</v>
      </c>
      <c r="B7045" s="0" t="s">
        <v>2042</v>
      </c>
      <c r="C7045" s="0" t="s">
        <v>2156</v>
      </c>
      <c r="D7045" s="0" t="s">
        <v>2105</v>
      </c>
      <c r="E7045" s="0" t="s">
        <v>2045</v>
      </c>
      <c r="F7045" s="0" t="s">
        <v>2268</v>
      </c>
      <c r="G7045" s="0" t="s">
        <v>2269</v>
      </c>
      <c r="H7045" s="0" t="s">
        <v>2270</v>
      </c>
      <c r="I7045" s="0" t="s">
        <v>2322</v>
      </c>
      <c r="J7045" s="0" t="s">
        <v>2368</v>
      </c>
      <c r="K7045" s="272" t="n">
        <v>-32405000</v>
      </c>
    </row>
    <row r="7046" customFormat="false" ht="15" hidden="false" customHeight="false" outlineLevel="0" collapsed="false">
      <c r="A7046" s="0" t="s">
        <v>2041</v>
      </c>
      <c r="B7046" s="0" t="s">
        <v>2042</v>
      </c>
      <c r="C7046" s="0" t="s">
        <v>2161</v>
      </c>
      <c r="D7046" s="0" t="s">
        <v>2105</v>
      </c>
      <c r="E7046" s="0" t="s">
        <v>2045</v>
      </c>
      <c r="F7046" s="0" t="s">
        <v>2268</v>
      </c>
      <c r="G7046" s="0" t="s">
        <v>2269</v>
      </c>
      <c r="H7046" s="0" t="s">
        <v>2270</v>
      </c>
      <c r="I7046" s="0" t="s">
        <v>2322</v>
      </c>
      <c r="J7046" s="0" t="s">
        <v>2368</v>
      </c>
      <c r="K7046" s="272" t="n">
        <v>-7135433.83</v>
      </c>
    </row>
    <row r="7047" customFormat="false" ht="15" hidden="false" customHeight="false" outlineLevel="0" collapsed="false">
      <c r="A7047" s="0" t="s">
        <v>2041</v>
      </c>
      <c r="B7047" s="0" t="s">
        <v>2042</v>
      </c>
      <c r="C7047" s="0" t="s">
        <v>2156</v>
      </c>
      <c r="D7047" s="0" t="s">
        <v>2105</v>
      </c>
      <c r="E7047" s="0" t="s">
        <v>2045</v>
      </c>
      <c r="F7047" s="0" t="s">
        <v>2150</v>
      </c>
      <c r="G7047" s="0" t="s">
        <v>2151</v>
      </c>
      <c r="H7047" s="0" t="s">
        <v>2271</v>
      </c>
      <c r="I7047" s="0" t="s">
        <v>2272</v>
      </c>
      <c r="J7047" s="0" t="s">
        <v>2368</v>
      </c>
      <c r="K7047" s="272" t="n">
        <v>-240000</v>
      </c>
    </row>
    <row r="7048" customFormat="false" ht="15" hidden="false" customHeight="false" outlineLevel="0" collapsed="false">
      <c r="A7048" s="0" t="s">
        <v>2041</v>
      </c>
      <c r="B7048" s="0" t="s">
        <v>2042</v>
      </c>
      <c r="C7048" s="0" t="s">
        <v>2161</v>
      </c>
      <c r="D7048" s="0" t="s">
        <v>2105</v>
      </c>
      <c r="E7048" s="0" t="s">
        <v>2045</v>
      </c>
      <c r="F7048" s="0" t="s">
        <v>2150</v>
      </c>
      <c r="G7048" s="0" t="s">
        <v>2151</v>
      </c>
      <c r="H7048" s="0" t="s">
        <v>2271</v>
      </c>
      <c r="I7048" s="0" t="s">
        <v>2272</v>
      </c>
      <c r="J7048" s="0" t="s">
        <v>2368</v>
      </c>
      <c r="K7048" s="272" t="n">
        <v>-72480</v>
      </c>
    </row>
    <row r="7049" customFormat="false" ht="15" hidden="false" customHeight="false" outlineLevel="0" collapsed="false">
      <c r="A7049" s="0" t="s">
        <v>2041</v>
      </c>
      <c r="B7049" s="0" t="s">
        <v>2042</v>
      </c>
      <c r="C7049" s="0" t="s">
        <v>2156</v>
      </c>
      <c r="D7049" s="0" t="s">
        <v>2105</v>
      </c>
      <c r="E7049" s="0" t="s">
        <v>2045</v>
      </c>
      <c r="F7049" s="0" t="s">
        <v>2150</v>
      </c>
      <c r="G7049" s="0" t="s">
        <v>2151</v>
      </c>
      <c r="H7049" s="0" t="s">
        <v>2152</v>
      </c>
      <c r="I7049" s="0" t="s">
        <v>2322</v>
      </c>
      <c r="J7049" s="0" t="s">
        <v>2368</v>
      </c>
      <c r="K7049" s="272" t="n">
        <v>-24768997</v>
      </c>
    </row>
    <row r="7050" customFormat="false" ht="15" hidden="false" customHeight="false" outlineLevel="0" collapsed="false">
      <c r="A7050" s="0" t="s">
        <v>2041</v>
      </c>
      <c r="B7050" s="0" t="s">
        <v>2042</v>
      </c>
      <c r="C7050" s="0" t="s">
        <v>2161</v>
      </c>
      <c r="D7050" s="0" t="s">
        <v>2105</v>
      </c>
      <c r="E7050" s="0" t="s">
        <v>2045</v>
      </c>
      <c r="F7050" s="0" t="s">
        <v>2150</v>
      </c>
      <c r="G7050" s="0" t="s">
        <v>2151</v>
      </c>
      <c r="H7050" s="0" t="s">
        <v>2152</v>
      </c>
      <c r="I7050" s="0" t="s">
        <v>2322</v>
      </c>
      <c r="J7050" s="0" t="s">
        <v>2368</v>
      </c>
      <c r="K7050" s="272" t="n">
        <v>-7480237.09</v>
      </c>
    </row>
    <row r="7051" customFormat="false" ht="15" hidden="false" customHeight="false" outlineLevel="0" collapsed="false">
      <c r="A7051" s="0" t="s">
        <v>2041</v>
      </c>
      <c r="B7051" s="0" t="s">
        <v>2042</v>
      </c>
      <c r="C7051" s="0" t="s">
        <v>2156</v>
      </c>
      <c r="D7051" s="0" t="s">
        <v>2105</v>
      </c>
      <c r="E7051" s="0" t="s">
        <v>2045</v>
      </c>
      <c r="F7051" s="0" t="s">
        <v>2150</v>
      </c>
      <c r="G7051" s="0" t="s">
        <v>2151</v>
      </c>
      <c r="H7051" s="0" t="s">
        <v>2273</v>
      </c>
      <c r="I7051" s="0" t="s">
        <v>2272</v>
      </c>
      <c r="J7051" s="0" t="s">
        <v>2368</v>
      </c>
      <c r="K7051" s="272" t="n">
        <v>-250000</v>
      </c>
    </row>
    <row r="7052" customFormat="false" ht="15" hidden="false" customHeight="false" outlineLevel="0" collapsed="false">
      <c r="A7052" s="0" t="s">
        <v>2041</v>
      </c>
      <c r="B7052" s="0" t="s">
        <v>2042</v>
      </c>
      <c r="C7052" s="0" t="s">
        <v>2161</v>
      </c>
      <c r="D7052" s="0" t="s">
        <v>2105</v>
      </c>
      <c r="E7052" s="0" t="s">
        <v>2045</v>
      </c>
      <c r="F7052" s="0" t="s">
        <v>2150</v>
      </c>
      <c r="G7052" s="0" t="s">
        <v>2151</v>
      </c>
      <c r="H7052" s="0" t="s">
        <v>2273</v>
      </c>
      <c r="I7052" s="0" t="s">
        <v>2272</v>
      </c>
      <c r="J7052" s="0" t="s">
        <v>2368</v>
      </c>
      <c r="K7052" s="272" t="n">
        <v>-75500</v>
      </c>
    </row>
    <row r="7053" customFormat="false" ht="15" hidden="false" customHeight="false" outlineLevel="0" collapsed="false">
      <c r="A7053" s="0" t="s">
        <v>2041</v>
      </c>
      <c r="B7053" s="0" t="s">
        <v>2042</v>
      </c>
      <c r="C7053" s="0" t="s">
        <v>2156</v>
      </c>
      <c r="D7053" s="0" t="s">
        <v>2105</v>
      </c>
      <c r="E7053" s="0" t="s">
        <v>2045</v>
      </c>
      <c r="F7053" s="0" t="s">
        <v>2150</v>
      </c>
      <c r="G7053" s="0" t="s">
        <v>2151</v>
      </c>
      <c r="H7053" s="0" t="s">
        <v>2153</v>
      </c>
      <c r="I7053" s="0" t="s">
        <v>2322</v>
      </c>
      <c r="J7053" s="0" t="s">
        <v>2368</v>
      </c>
      <c r="K7053" s="272" t="n">
        <v>-7426111</v>
      </c>
    </row>
    <row r="7054" customFormat="false" ht="15" hidden="false" customHeight="false" outlineLevel="0" collapsed="false">
      <c r="A7054" s="0" t="s">
        <v>2041</v>
      </c>
      <c r="B7054" s="0" t="s">
        <v>2042</v>
      </c>
      <c r="C7054" s="0" t="s">
        <v>2161</v>
      </c>
      <c r="D7054" s="0" t="s">
        <v>2105</v>
      </c>
      <c r="E7054" s="0" t="s">
        <v>2045</v>
      </c>
      <c r="F7054" s="0" t="s">
        <v>2150</v>
      </c>
      <c r="G7054" s="0" t="s">
        <v>2151</v>
      </c>
      <c r="H7054" s="0" t="s">
        <v>2153</v>
      </c>
      <c r="I7054" s="0" t="s">
        <v>2322</v>
      </c>
      <c r="J7054" s="0" t="s">
        <v>2368</v>
      </c>
      <c r="K7054" s="272" t="n">
        <v>-2213017.98</v>
      </c>
    </row>
    <row r="7055" customFormat="false" ht="15" hidden="false" customHeight="false" outlineLevel="0" collapsed="false">
      <c r="A7055" s="0" t="s">
        <v>2041</v>
      </c>
      <c r="B7055" s="0" t="s">
        <v>2042</v>
      </c>
      <c r="C7055" s="0" t="s">
        <v>2156</v>
      </c>
      <c r="D7055" s="0" t="s">
        <v>2105</v>
      </c>
      <c r="E7055" s="0" t="s">
        <v>2045</v>
      </c>
      <c r="F7055" s="0" t="s">
        <v>2150</v>
      </c>
      <c r="G7055" s="0" t="s">
        <v>2151</v>
      </c>
      <c r="H7055" s="0" t="s">
        <v>2154</v>
      </c>
      <c r="I7055" s="0" t="s">
        <v>2322</v>
      </c>
      <c r="J7055" s="0" t="s">
        <v>2368</v>
      </c>
      <c r="K7055" s="272" t="n">
        <v>-3700000</v>
      </c>
    </row>
    <row r="7056" customFormat="false" ht="15" hidden="false" customHeight="false" outlineLevel="0" collapsed="false">
      <c r="A7056" s="0" t="s">
        <v>2041</v>
      </c>
      <c r="B7056" s="0" t="s">
        <v>2042</v>
      </c>
      <c r="C7056" s="0" t="s">
        <v>2161</v>
      </c>
      <c r="D7056" s="0" t="s">
        <v>2105</v>
      </c>
      <c r="E7056" s="0" t="s">
        <v>2045</v>
      </c>
      <c r="F7056" s="0" t="s">
        <v>2150</v>
      </c>
      <c r="G7056" s="0" t="s">
        <v>2151</v>
      </c>
      <c r="H7056" s="0" t="s">
        <v>2154</v>
      </c>
      <c r="I7056" s="0" t="s">
        <v>2322</v>
      </c>
      <c r="J7056" s="0" t="s">
        <v>2368</v>
      </c>
      <c r="K7056" s="272" t="n">
        <v>-598731.73</v>
      </c>
    </row>
    <row r="7057" customFormat="false" ht="15" hidden="false" customHeight="false" outlineLevel="0" collapsed="false">
      <c r="A7057" s="0" t="s">
        <v>2041</v>
      </c>
      <c r="B7057" s="0" t="s">
        <v>2042</v>
      </c>
      <c r="C7057" s="0" t="s">
        <v>2156</v>
      </c>
      <c r="D7057" s="0" t="s">
        <v>2105</v>
      </c>
      <c r="E7057" s="0" t="s">
        <v>2045</v>
      </c>
      <c r="F7057" s="0" t="s">
        <v>2150</v>
      </c>
      <c r="G7057" s="0" t="s">
        <v>2155</v>
      </c>
      <c r="H7057" s="0" t="s">
        <v>2154</v>
      </c>
      <c r="I7057" s="0" t="s">
        <v>2322</v>
      </c>
      <c r="J7057" s="0" t="s">
        <v>2368</v>
      </c>
      <c r="K7057" s="272" t="n">
        <v>-15363000</v>
      </c>
    </row>
    <row r="7058" customFormat="false" ht="15" hidden="false" customHeight="false" outlineLevel="0" collapsed="false">
      <c r="A7058" s="0" t="s">
        <v>2041</v>
      </c>
      <c r="B7058" s="0" t="s">
        <v>2042</v>
      </c>
      <c r="C7058" s="0" t="s">
        <v>2161</v>
      </c>
      <c r="D7058" s="0" t="s">
        <v>2105</v>
      </c>
      <c r="E7058" s="0" t="s">
        <v>2045</v>
      </c>
      <c r="F7058" s="0" t="s">
        <v>2150</v>
      </c>
      <c r="G7058" s="0" t="s">
        <v>2155</v>
      </c>
      <c r="H7058" s="0" t="s">
        <v>2154</v>
      </c>
      <c r="I7058" s="0" t="s">
        <v>2322</v>
      </c>
      <c r="J7058" s="0" t="s">
        <v>2368</v>
      </c>
      <c r="K7058" s="272" t="n">
        <v>-3782876</v>
      </c>
    </row>
    <row r="7059" customFormat="false" ht="15" hidden="false" customHeight="false" outlineLevel="0" collapsed="false">
      <c r="A7059" s="0" t="s">
        <v>2041</v>
      </c>
      <c r="B7059" s="0" t="s">
        <v>2042</v>
      </c>
      <c r="C7059" s="0" t="s">
        <v>2156</v>
      </c>
      <c r="D7059" s="0" t="s">
        <v>2105</v>
      </c>
      <c r="E7059" s="0" t="s">
        <v>2045</v>
      </c>
      <c r="F7059" s="0" t="s">
        <v>2150</v>
      </c>
      <c r="G7059" s="0" t="s">
        <v>2332</v>
      </c>
      <c r="H7059" s="0" t="s">
        <v>2152</v>
      </c>
      <c r="I7059" s="0" t="s">
        <v>2322</v>
      </c>
      <c r="J7059" s="0" t="s">
        <v>2368</v>
      </c>
      <c r="K7059" s="272" t="n">
        <v>-2900000</v>
      </c>
    </row>
    <row r="7060" customFormat="false" ht="15" hidden="false" customHeight="false" outlineLevel="0" collapsed="false">
      <c r="A7060" s="0" t="s">
        <v>2041</v>
      </c>
      <c r="B7060" s="0" t="s">
        <v>2042</v>
      </c>
      <c r="C7060" s="0" t="s">
        <v>2161</v>
      </c>
      <c r="D7060" s="0" t="s">
        <v>2105</v>
      </c>
      <c r="E7060" s="0" t="s">
        <v>2045</v>
      </c>
      <c r="F7060" s="0" t="s">
        <v>2150</v>
      </c>
      <c r="G7060" s="0" t="s">
        <v>2332</v>
      </c>
      <c r="H7060" s="0" t="s">
        <v>2152</v>
      </c>
      <c r="I7060" s="0" t="s">
        <v>2322</v>
      </c>
      <c r="J7060" s="0" t="s">
        <v>2368</v>
      </c>
      <c r="K7060" s="272" t="n">
        <v>-875800</v>
      </c>
    </row>
    <row r="7061" customFormat="false" ht="15" hidden="false" customHeight="false" outlineLevel="0" collapsed="false">
      <c r="A7061" s="0" t="s">
        <v>2041</v>
      </c>
      <c r="B7061" s="0" t="s">
        <v>2042</v>
      </c>
      <c r="C7061" s="0" t="s">
        <v>2156</v>
      </c>
      <c r="D7061" s="0" t="s">
        <v>2105</v>
      </c>
      <c r="E7061" s="0" t="s">
        <v>2274</v>
      </c>
      <c r="F7061" s="0" t="s">
        <v>2275</v>
      </c>
      <c r="G7061" s="0" t="s">
        <v>2276</v>
      </c>
      <c r="H7061" s="0" t="s">
        <v>2277</v>
      </c>
      <c r="I7061" s="0" t="s">
        <v>2278</v>
      </c>
      <c r="J7061" s="0" t="s">
        <v>2368</v>
      </c>
      <c r="K7061" s="272" t="n">
        <v>-58586</v>
      </c>
    </row>
    <row r="7062" customFormat="false" ht="15" hidden="false" customHeight="false" outlineLevel="0" collapsed="false">
      <c r="A7062" s="0" t="s">
        <v>2041</v>
      </c>
      <c r="B7062" s="0" t="s">
        <v>2042</v>
      </c>
      <c r="C7062" s="0" t="s">
        <v>2161</v>
      </c>
      <c r="D7062" s="0" t="s">
        <v>2105</v>
      </c>
      <c r="E7062" s="0" t="s">
        <v>2274</v>
      </c>
      <c r="F7062" s="0" t="s">
        <v>2275</v>
      </c>
      <c r="G7062" s="0" t="s">
        <v>2276</v>
      </c>
      <c r="H7062" s="0" t="s">
        <v>2277</v>
      </c>
      <c r="I7062" s="0" t="s">
        <v>2278</v>
      </c>
      <c r="J7062" s="0" t="s">
        <v>2368</v>
      </c>
      <c r="K7062" s="272" t="n">
        <v>-4569.7</v>
      </c>
    </row>
    <row r="7063" customFormat="false" ht="15" hidden="false" customHeight="false" outlineLevel="0" collapsed="false">
      <c r="A7063" s="0" t="s">
        <v>2041</v>
      </c>
      <c r="B7063" s="0" t="s">
        <v>2042</v>
      </c>
      <c r="C7063" s="0" t="s">
        <v>2156</v>
      </c>
      <c r="D7063" s="0" t="s">
        <v>2105</v>
      </c>
      <c r="E7063" s="0" t="s">
        <v>2274</v>
      </c>
      <c r="F7063" s="0" t="s">
        <v>2275</v>
      </c>
      <c r="G7063" s="0" t="s">
        <v>2276</v>
      </c>
      <c r="H7063" s="0" t="s">
        <v>2277</v>
      </c>
      <c r="I7063" s="0" t="s">
        <v>2322</v>
      </c>
      <c r="J7063" s="0" t="s">
        <v>2368</v>
      </c>
      <c r="K7063" s="272" t="n">
        <v>-6531163</v>
      </c>
    </row>
    <row r="7064" customFormat="false" ht="15" hidden="false" customHeight="false" outlineLevel="0" collapsed="false">
      <c r="A7064" s="0" t="s">
        <v>2041</v>
      </c>
      <c r="B7064" s="0" t="s">
        <v>2042</v>
      </c>
      <c r="C7064" s="0" t="s">
        <v>2161</v>
      </c>
      <c r="D7064" s="0" t="s">
        <v>2105</v>
      </c>
      <c r="E7064" s="0" t="s">
        <v>2274</v>
      </c>
      <c r="F7064" s="0" t="s">
        <v>2275</v>
      </c>
      <c r="G7064" s="0" t="s">
        <v>2276</v>
      </c>
      <c r="H7064" s="0" t="s">
        <v>2277</v>
      </c>
      <c r="I7064" s="0" t="s">
        <v>2322</v>
      </c>
      <c r="J7064" s="0" t="s">
        <v>2368</v>
      </c>
      <c r="K7064" s="272" t="n">
        <v>-1972411.23</v>
      </c>
    </row>
    <row r="7065" customFormat="false" ht="15" hidden="false" customHeight="false" outlineLevel="0" collapsed="false">
      <c r="A7065" s="0" t="s">
        <v>2041</v>
      </c>
      <c r="B7065" s="0" t="s">
        <v>2042</v>
      </c>
      <c r="C7065" s="0" t="s">
        <v>2156</v>
      </c>
      <c r="D7065" s="0" t="s">
        <v>2279</v>
      </c>
      <c r="E7065" s="0" t="s">
        <v>2279</v>
      </c>
      <c r="F7065" s="0" t="s">
        <v>2280</v>
      </c>
      <c r="G7065" s="0" t="s">
        <v>2281</v>
      </c>
      <c r="H7065" s="0" t="s">
        <v>2284</v>
      </c>
      <c r="I7065" s="0" t="s">
        <v>2322</v>
      </c>
      <c r="J7065" s="0" t="s">
        <v>2368</v>
      </c>
      <c r="K7065" s="272" t="n">
        <v>-2467446.75</v>
      </c>
    </row>
    <row r="7066" customFormat="false" ht="15" hidden="false" customHeight="false" outlineLevel="0" collapsed="false">
      <c r="A7066" s="0" t="s">
        <v>2041</v>
      </c>
      <c r="B7066" s="0" t="s">
        <v>2042</v>
      </c>
      <c r="C7066" s="0" t="s">
        <v>2161</v>
      </c>
      <c r="D7066" s="0" t="s">
        <v>2279</v>
      </c>
      <c r="E7066" s="0" t="s">
        <v>2279</v>
      </c>
      <c r="F7066" s="0" t="s">
        <v>2280</v>
      </c>
      <c r="G7066" s="0" t="s">
        <v>2281</v>
      </c>
      <c r="H7066" s="0" t="s">
        <v>2284</v>
      </c>
      <c r="I7066" s="0" t="s">
        <v>2322</v>
      </c>
      <c r="J7066" s="0" t="s">
        <v>2368</v>
      </c>
      <c r="K7066" s="272" t="n">
        <v>-377519.34</v>
      </c>
    </row>
    <row r="7067" customFormat="false" ht="15" hidden="false" customHeight="false" outlineLevel="0" collapsed="false">
      <c r="A7067" s="0" t="s">
        <v>2041</v>
      </c>
      <c r="B7067" s="0" t="s">
        <v>2042</v>
      </c>
      <c r="C7067" s="0" t="s">
        <v>2156</v>
      </c>
      <c r="D7067" s="0" t="s">
        <v>2279</v>
      </c>
      <c r="E7067" s="0" t="s">
        <v>2279</v>
      </c>
      <c r="F7067" s="0" t="s">
        <v>2280</v>
      </c>
      <c r="G7067" s="0" t="s">
        <v>2281</v>
      </c>
      <c r="H7067" s="0" t="s">
        <v>2286</v>
      </c>
      <c r="I7067" s="0" t="s">
        <v>2322</v>
      </c>
      <c r="J7067" s="0" t="s">
        <v>2368</v>
      </c>
      <c r="K7067" s="272" t="n">
        <v>-2770302.15</v>
      </c>
    </row>
    <row r="7068" customFormat="false" ht="15" hidden="false" customHeight="false" outlineLevel="0" collapsed="false">
      <c r="A7068" s="0" t="s">
        <v>2041</v>
      </c>
      <c r="B7068" s="0" t="s">
        <v>2042</v>
      </c>
      <c r="C7068" s="0" t="s">
        <v>2161</v>
      </c>
      <c r="D7068" s="0" t="s">
        <v>2279</v>
      </c>
      <c r="E7068" s="0" t="s">
        <v>2279</v>
      </c>
      <c r="F7068" s="0" t="s">
        <v>2280</v>
      </c>
      <c r="G7068" s="0" t="s">
        <v>2281</v>
      </c>
      <c r="H7068" s="0" t="s">
        <v>2286</v>
      </c>
      <c r="I7068" s="0" t="s">
        <v>2322</v>
      </c>
      <c r="J7068" s="0" t="s">
        <v>2368</v>
      </c>
      <c r="K7068" s="272" t="n">
        <v>-531788.68</v>
      </c>
    </row>
    <row r="7069" customFormat="false" ht="15" hidden="false" customHeight="false" outlineLevel="0" collapsed="false">
      <c r="A7069" s="0" t="s">
        <v>2041</v>
      </c>
      <c r="B7069" s="0" t="s">
        <v>2042</v>
      </c>
      <c r="C7069" s="0" t="s">
        <v>2156</v>
      </c>
      <c r="D7069" s="0" t="s">
        <v>2279</v>
      </c>
      <c r="E7069" s="0" t="s">
        <v>2279</v>
      </c>
      <c r="F7069" s="0" t="s">
        <v>2280</v>
      </c>
      <c r="G7069" s="0" t="s">
        <v>2281</v>
      </c>
      <c r="H7069" s="0" t="s">
        <v>2287</v>
      </c>
      <c r="I7069" s="0" t="s">
        <v>2322</v>
      </c>
      <c r="J7069" s="0" t="s">
        <v>2368</v>
      </c>
      <c r="K7069" s="272" t="n">
        <v>-3158331.84</v>
      </c>
    </row>
    <row r="7070" customFormat="false" ht="15" hidden="false" customHeight="false" outlineLevel="0" collapsed="false">
      <c r="A7070" s="0" t="s">
        <v>2041</v>
      </c>
      <c r="B7070" s="0" t="s">
        <v>2042</v>
      </c>
      <c r="C7070" s="0" t="s">
        <v>2161</v>
      </c>
      <c r="D7070" s="0" t="s">
        <v>2279</v>
      </c>
      <c r="E7070" s="0" t="s">
        <v>2279</v>
      </c>
      <c r="F7070" s="0" t="s">
        <v>2280</v>
      </c>
      <c r="G7070" s="0" t="s">
        <v>2281</v>
      </c>
      <c r="H7070" s="0" t="s">
        <v>2287</v>
      </c>
      <c r="I7070" s="0" t="s">
        <v>2322</v>
      </c>
      <c r="J7070" s="0" t="s">
        <v>2368</v>
      </c>
      <c r="K7070" s="272" t="n">
        <v>-680541.13</v>
      </c>
    </row>
    <row r="7071" customFormat="false" ht="15" hidden="false" customHeight="false" outlineLevel="0" collapsed="false">
      <c r="A7071" s="0" t="s">
        <v>2041</v>
      </c>
      <c r="B7071" s="0" t="s">
        <v>2042</v>
      </c>
      <c r="C7071" s="0" t="s">
        <v>2156</v>
      </c>
      <c r="D7071" s="0" t="s">
        <v>2279</v>
      </c>
      <c r="E7071" s="0" t="s">
        <v>2279</v>
      </c>
      <c r="F7071" s="0" t="s">
        <v>2280</v>
      </c>
      <c r="G7071" s="0" t="s">
        <v>2281</v>
      </c>
      <c r="H7071" s="0" t="s">
        <v>2153</v>
      </c>
      <c r="I7071" s="0" t="s">
        <v>2322</v>
      </c>
      <c r="J7071" s="0" t="s">
        <v>2368</v>
      </c>
      <c r="K7071" s="272" t="n">
        <v>-22938017.64</v>
      </c>
    </row>
    <row r="7072" customFormat="false" ht="15" hidden="false" customHeight="false" outlineLevel="0" collapsed="false">
      <c r="A7072" s="0" t="s">
        <v>2041</v>
      </c>
      <c r="B7072" s="0" t="s">
        <v>2042</v>
      </c>
      <c r="C7072" s="0" t="s">
        <v>2161</v>
      </c>
      <c r="D7072" s="0" t="s">
        <v>2279</v>
      </c>
      <c r="E7072" s="0" t="s">
        <v>2279</v>
      </c>
      <c r="F7072" s="0" t="s">
        <v>2280</v>
      </c>
      <c r="G7072" s="0" t="s">
        <v>2281</v>
      </c>
      <c r="H7072" s="0" t="s">
        <v>2153</v>
      </c>
      <c r="I7072" s="0" t="s">
        <v>2322</v>
      </c>
      <c r="J7072" s="0" t="s">
        <v>2368</v>
      </c>
      <c r="K7072" s="272" t="n">
        <v>-3509516.7</v>
      </c>
    </row>
    <row r="7073" customFormat="false" ht="15" hidden="false" customHeight="false" outlineLevel="0" collapsed="false">
      <c r="A7073" s="0" t="s">
        <v>2041</v>
      </c>
      <c r="B7073" s="0" t="s">
        <v>2042</v>
      </c>
      <c r="C7073" s="0" t="s">
        <v>2156</v>
      </c>
      <c r="D7073" s="0" t="s">
        <v>2279</v>
      </c>
      <c r="E7073" s="0" t="s">
        <v>2279</v>
      </c>
      <c r="F7073" s="0" t="s">
        <v>2292</v>
      </c>
      <c r="G7073" s="0" t="s">
        <v>2293</v>
      </c>
      <c r="H7073" s="0" t="s">
        <v>2284</v>
      </c>
      <c r="I7073" s="0" t="s">
        <v>2322</v>
      </c>
      <c r="J7073" s="0" t="s">
        <v>2368</v>
      </c>
      <c r="K7073" s="272" t="n">
        <v>-5187275.27</v>
      </c>
    </row>
    <row r="7074" customFormat="false" ht="15" hidden="false" customHeight="false" outlineLevel="0" collapsed="false">
      <c r="A7074" s="0" t="s">
        <v>2041</v>
      </c>
      <c r="B7074" s="0" t="s">
        <v>2042</v>
      </c>
      <c r="C7074" s="0" t="s">
        <v>2161</v>
      </c>
      <c r="D7074" s="0" t="s">
        <v>2279</v>
      </c>
      <c r="E7074" s="0" t="s">
        <v>2279</v>
      </c>
      <c r="F7074" s="0" t="s">
        <v>2292</v>
      </c>
      <c r="G7074" s="0" t="s">
        <v>2293</v>
      </c>
      <c r="H7074" s="0" t="s">
        <v>2284</v>
      </c>
      <c r="I7074" s="0" t="s">
        <v>2322</v>
      </c>
      <c r="J7074" s="0" t="s">
        <v>2368</v>
      </c>
      <c r="K7074" s="272" t="n">
        <v>-793653.12</v>
      </c>
    </row>
    <row r="7075" customFormat="false" ht="15" hidden="false" customHeight="false" outlineLevel="0" collapsed="false">
      <c r="A7075" s="0" t="s">
        <v>2041</v>
      </c>
      <c r="B7075" s="0" t="s">
        <v>2042</v>
      </c>
      <c r="C7075" s="0" t="s">
        <v>2156</v>
      </c>
      <c r="D7075" s="0" t="s">
        <v>2279</v>
      </c>
      <c r="E7075" s="0" t="s">
        <v>2279</v>
      </c>
      <c r="F7075" s="0" t="s">
        <v>2292</v>
      </c>
      <c r="G7075" s="0" t="s">
        <v>2293</v>
      </c>
      <c r="H7075" s="0" t="s">
        <v>2294</v>
      </c>
      <c r="I7075" s="0" t="s">
        <v>2322</v>
      </c>
      <c r="J7075" s="0" t="s">
        <v>2368</v>
      </c>
      <c r="K7075" s="272" t="n">
        <v>-2352505.79</v>
      </c>
    </row>
    <row r="7076" customFormat="false" ht="15" hidden="false" customHeight="false" outlineLevel="0" collapsed="false">
      <c r="A7076" s="0" t="s">
        <v>2041</v>
      </c>
      <c r="B7076" s="0" t="s">
        <v>2042</v>
      </c>
      <c r="C7076" s="0" t="s">
        <v>2161</v>
      </c>
      <c r="D7076" s="0" t="s">
        <v>2279</v>
      </c>
      <c r="E7076" s="0" t="s">
        <v>2279</v>
      </c>
      <c r="F7076" s="0" t="s">
        <v>2292</v>
      </c>
      <c r="G7076" s="0" t="s">
        <v>2293</v>
      </c>
      <c r="H7076" s="0" t="s">
        <v>2294</v>
      </c>
      <c r="I7076" s="0" t="s">
        <v>2322</v>
      </c>
      <c r="J7076" s="0" t="s">
        <v>2368</v>
      </c>
      <c r="K7076" s="272" t="n">
        <v>-551900.41</v>
      </c>
    </row>
    <row r="7077" customFormat="false" ht="15" hidden="false" customHeight="false" outlineLevel="0" collapsed="false">
      <c r="A7077" s="0" t="s">
        <v>2041</v>
      </c>
      <c r="B7077" s="0" t="s">
        <v>2042</v>
      </c>
      <c r="C7077" s="0" t="s">
        <v>2156</v>
      </c>
      <c r="D7077" s="0" t="s">
        <v>2279</v>
      </c>
      <c r="E7077" s="0" t="s">
        <v>2279</v>
      </c>
      <c r="F7077" s="0" t="s">
        <v>2292</v>
      </c>
      <c r="G7077" s="0" t="s">
        <v>2293</v>
      </c>
      <c r="H7077" s="0" t="s">
        <v>2295</v>
      </c>
      <c r="I7077" s="0" t="s">
        <v>2322</v>
      </c>
      <c r="J7077" s="0" t="s">
        <v>2368</v>
      </c>
      <c r="K7077" s="272" t="n">
        <v>-4116885.14</v>
      </c>
    </row>
    <row r="7078" customFormat="false" ht="15" hidden="false" customHeight="false" outlineLevel="0" collapsed="false">
      <c r="A7078" s="0" t="s">
        <v>2041</v>
      </c>
      <c r="B7078" s="0" t="s">
        <v>2042</v>
      </c>
      <c r="C7078" s="0" t="s">
        <v>2161</v>
      </c>
      <c r="D7078" s="0" t="s">
        <v>2279</v>
      </c>
      <c r="E7078" s="0" t="s">
        <v>2279</v>
      </c>
      <c r="F7078" s="0" t="s">
        <v>2292</v>
      </c>
      <c r="G7078" s="0" t="s">
        <v>2293</v>
      </c>
      <c r="H7078" s="0" t="s">
        <v>2295</v>
      </c>
      <c r="I7078" s="0" t="s">
        <v>2322</v>
      </c>
      <c r="J7078" s="0" t="s">
        <v>2368</v>
      </c>
      <c r="K7078" s="272" t="n">
        <v>-676599.77</v>
      </c>
    </row>
    <row r="7079" customFormat="false" ht="15" hidden="false" customHeight="false" outlineLevel="0" collapsed="false">
      <c r="A7079" s="0" t="s">
        <v>2041</v>
      </c>
      <c r="B7079" s="0" t="s">
        <v>2042</v>
      </c>
      <c r="C7079" s="0" t="s">
        <v>2156</v>
      </c>
      <c r="D7079" s="0" t="s">
        <v>2279</v>
      </c>
      <c r="E7079" s="0" t="s">
        <v>2279</v>
      </c>
      <c r="F7079" s="0" t="s">
        <v>2292</v>
      </c>
      <c r="G7079" s="0" t="s">
        <v>2293</v>
      </c>
      <c r="H7079" s="0" t="s">
        <v>2298</v>
      </c>
      <c r="I7079" s="0" t="s">
        <v>2322</v>
      </c>
      <c r="J7079" s="0" t="s">
        <v>2368</v>
      </c>
      <c r="K7079" s="272" t="n">
        <v>-3528758.69</v>
      </c>
    </row>
    <row r="7080" customFormat="false" ht="15" hidden="false" customHeight="false" outlineLevel="0" collapsed="false">
      <c r="A7080" s="0" t="s">
        <v>2041</v>
      </c>
      <c r="B7080" s="0" t="s">
        <v>2042</v>
      </c>
      <c r="C7080" s="0" t="s">
        <v>2161</v>
      </c>
      <c r="D7080" s="0" t="s">
        <v>2279</v>
      </c>
      <c r="E7080" s="0" t="s">
        <v>2279</v>
      </c>
      <c r="F7080" s="0" t="s">
        <v>2292</v>
      </c>
      <c r="G7080" s="0" t="s">
        <v>2293</v>
      </c>
      <c r="H7080" s="0" t="s">
        <v>2298</v>
      </c>
      <c r="I7080" s="0" t="s">
        <v>2322</v>
      </c>
      <c r="J7080" s="0" t="s">
        <v>2368</v>
      </c>
      <c r="K7080" s="272" t="n">
        <v>-625884.96</v>
      </c>
    </row>
    <row r="7081" customFormat="false" ht="15" hidden="false" customHeight="false" outlineLevel="0" collapsed="false">
      <c r="A7081" s="0" t="s">
        <v>2041</v>
      </c>
      <c r="B7081" s="0" t="s">
        <v>2042</v>
      </c>
      <c r="C7081" s="0" t="s">
        <v>2156</v>
      </c>
      <c r="D7081" s="0" t="s">
        <v>2279</v>
      </c>
      <c r="E7081" s="0" t="s">
        <v>2279</v>
      </c>
      <c r="F7081" s="0" t="s">
        <v>2292</v>
      </c>
      <c r="G7081" s="0" t="s">
        <v>2293</v>
      </c>
      <c r="H7081" s="0" t="s">
        <v>2287</v>
      </c>
      <c r="I7081" s="0" t="s">
        <v>2322</v>
      </c>
      <c r="J7081" s="0" t="s">
        <v>2368</v>
      </c>
      <c r="K7081" s="272" t="n">
        <v>-4705011.58</v>
      </c>
    </row>
    <row r="7082" customFormat="false" ht="15" hidden="false" customHeight="false" outlineLevel="0" collapsed="false">
      <c r="A7082" s="0" t="s">
        <v>2041</v>
      </c>
      <c r="B7082" s="0" t="s">
        <v>2042</v>
      </c>
      <c r="C7082" s="0" t="s">
        <v>2161</v>
      </c>
      <c r="D7082" s="0" t="s">
        <v>2279</v>
      </c>
      <c r="E7082" s="0" t="s">
        <v>2279</v>
      </c>
      <c r="F7082" s="0" t="s">
        <v>2292</v>
      </c>
      <c r="G7082" s="0" t="s">
        <v>2293</v>
      </c>
      <c r="H7082" s="0" t="s">
        <v>2287</v>
      </c>
      <c r="I7082" s="0" t="s">
        <v>2322</v>
      </c>
      <c r="J7082" s="0" t="s">
        <v>2368</v>
      </c>
      <c r="K7082" s="272" t="n">
        <v>-719866.77</v>
      </c>
    </row>
    <row r="7083" customFormat="false" ht="15" hidden="false" customHeight="false" outlineLevel="0" collapsed="false">
      <c r="A7083" s="0" t="s">
        <v>2041</v>
      </c>
      <c r="B7083" s="0" t="s">
        <v>2042</v>
      </c>
      <c r="C7083" s="0" t="s">
        <v>2156</v>
      </c>
      <c r="D7083" s="0" t="s">
        <v>2279</v>
      </c>
      <c r="E7083" s="0" t="s">
        <v>2279</v>
      </c>
      <c r="F7083" s="0" t="s">
        <v>2292</v>
      </c>
      <c r="G7083" s="0" t="s">
        <v>2293</v>
      </c>
      <c r="H7083" s="0" t="s">
        <v>2305</v>
      </c>
      <c r="I7083" s="0" t="s">
        <v>2322</v>
      </c>
      <c r="J7083" s="0" t="s">
        <v>2368</v>
      </c>
      <c r="K7083" s="272" t="n">
        <v>-2470131.09</v>
      </c>
    </row>
    <row r="7084" customFormat="false" ht="15" hidden="false" customHeight="false" outlineLevel="0" collapsed="false">
      <c r="A7084" s="0" t="s">
        <v>2041</v>
      </c>
      <c r="B7084" s="0" t="s">
        <v>2042</v>
      </c>
      <c r="C7084" s="0" t="s">
        <v>2161</v>
      </c>
      <c r="D7084" s="0" t="s">
        <v>2279</v>
      </c>
      <c r="E7084" s="0" t="s">
        <v>2279</v>
      </c>
      <c r="F7084" s="0" t="s">
        <v>2292</v>
      </c>
      <c r="G7084" s="0" t="s">
        <v>2293</v>
      </c>
      <c r="H7084" s="0" t="s">
        <v>2305</v>
      </c>
      <c r="I7084" s="0" t="s">
        <v>2322</v>
      </c>
      <c r="J7084" s="0" t="s">
        <v>2368</v>
      </c>
      <c r="K7084" s="272" t="n">
        <v>-727272.89</v>
      </c>
    </row>
    <row r="7085" customFormat="false" ht="15" hidden="false" customHeight="false" outlineLevel="0" collapsed="false">
      <c r="A7085" s="0" t="s">
        <v>2041</v>
      </c>
      <c r="B7085" s="0" t="s">
        <v>2042</v>
      </c>
      <c r="C7085" s="0" t="s">
        <v>2156</v>
      </c>
      <c r="D7085" s="0" t="s">
        <v>2279</v>
      </c>
      <c r="E7085" s="0" t="s">
        <v>2279</v>
      </c>
      <c r="F7085" s="0" t="s">
        <v>2292</v>
      </c>
      <c r="G7085" s="0" t="s">
        <v>2293</v>
      </c>
      <c r="H7085" s="0" t="s">
        <v>2200</v>
      </c>
      <c r="I7085" s="0" t="s">
        <v>2322</v>
      </c>
      <c r="J7085" s="0" t="s">
        <v>2368</v>
      </c>
      <c r="K7085" s="272" t="n">
        <v>-2293693.1485</v>
      </c>
    </row>
    <row r="7086" customFormat="false" ht="15" hidden="false" customHeight="false" outlineLevel="0" collapsed="false">
      <c r="A7086" s="0" t="s">
        <v>2041</v>
      </c>
      <c r="B7086" s="0" t="s">
        <v>2042</v>
      </c>
      <c r="C7086" s="0" t="s">
        <v>2161</v>
      </c>
      <c r="D7086" s="0" t="s">
        <v>2279</v>
      </c>
      <c r="E7086" s="0" t="s">
        <v>2279</v>
      </c>
      <c r="F7086" s="0" t="s">
        <v>2292</v>
      </c>
      <c r="G7086" s="0" t="s">
        <v>2293</v>
      </c>
      <c r="H7086" s="0" t="s">
        <v>2200</v>
      </c>
      <c r="I7086" s="0" t="s">
        <v>2322</v>
      </c>
      <c r="J7086" s="0" t="s">
        <v>2368</v>
      </c>
      <c r="K7086" s="272" t="n">
        <v>-442088.429710889</v>
      </c>
    </row>
    <row r="7087" customFormat="false" ht="15" hidden="false" customHeight="false" outlineLevel="0" collapsed="false">
      <c r="A7087" s="0" t="s">
        <v>2041</v>
      </c>
      <c r="B7087" s="0" t="s">
        <v>2042</v>
      </c>
      <c r="C7087" s="0" t="s">
        <v>2156</v>
      </c>
      <c r="D7087" s="0" t="s">
        <v>2279</v>
      </c>
      <c r="E7087" s="0" t="s">
        <v>2279</v>
      </c>
      <c r="F7087" s="0" t="s">
        <v>2292</v>
      </c>
      <c r="G7087" s="0" t="s">
        <v>2293</v>
      </c>
      <c r="H7087" s="0" t="s">
        <v>2202</v>
      </c>
      <c r="I7087" s="0" t="s">
        <v>2322</v>
      </c>
      <c r="J7087" s="0" t="s">
        <v>2368</v>
      </c>
      <c r="K7087" s="272" t="n">
        <v>-1235065.5415</v>
      </c>
    </row>
    <row r="7088" customFormat="false" ht="15" hidden="false" customHeight="false" outlineLevel="0" collapsed="false">
      <c r="A7088" s="0" t="s">
        <v>2041</v>
      </c>
      <c r="B7088" s="0" t="s">
        <v>2042</v>
      </c>
      <c r="C7088" s="0" t="s">
        <v>2161</v>
      </c>
      <c r="D7088" s="0" t="s">
        <v>2279</v>
      </c>
      <c r="E7088" s="0" t="s">
        <v>2279</v>
      </c>
      <c r="F7088" s="0" t="s">
        <v>2292</v>
      </c>
      <c r="G7088" s="0" t="s">
        <v>2293</v>
      </c>
      <c r="H7088" s="0" t="s">
        <v>2202</v>
      </c>
      <c r="I7088" s="0" t="s">
        <v>2322</v>
      </c>
      <c r="J7088" s="0" t="s">
        <v>2368</v>
      </c>
      <c r="K7088" s="272" t="n">
        <v>-238047.615998171</v>
      </c>
    </row>
    <row r="7089" customFormat="false" ht="15" hidden="false" customHeight="false" outlineLevel="0" collapsed="false">
      <c r="A7089" s="0" t="s">
        <v>2041</v>
      </c>
      <c r="B7089" s="0" t="s">
        <v>2042</v>
      </c>
      <c r="C7089" s="0" t="s">
        <v>2156</v>
      </c>
      <c r="D7089" s="0" t="s">
        <v>2279</v>
      </c>
      <c r="E7089" s="0" t="s">
        <v>2279</v>
      </c>
      <c r="F7089" s="0" t="s">
        <v>2292</v>
      </c>
      <c r="G7089" s="0" t="s">
        <v>2293</v>
      </c>
      <c r="H7089" s="0" t="s">
        <v>2289</v>
      </c>
      <c r="I7089" s="0" t="s">
        <v>2322</v>
      </c>
      <c r="J7089" s="0" t="s">
        <v>2368</v>
      </c>
      <c r="K7089" s="272" t="n">
        <v>-5187275.27</v>
      </c>
    </row>
    <row r="7090" customFormat="false" ht="15" hidden="false" customHeight="false" outlineLevel="0" collapsed="false">
      <c r="A7090" s="0" t="s">
        <v>2041</v>
      </c>
      <c r="B7090" s="0" t="s">
        <v>2042</v>
      </c>
      <c r="C7090" s="0" t="s">
        <v>2161</v>
      </c>
      <c r="D7090" s="0" t="s">
        <v>2279</v>
      </c>
      <c r="E7090" s="0" t="s">
        <v>2279</v>
      </c>
      <c r="F7090" s="0" t="s">
        <v>2292</v>
      </c>
      <c r="G7090" s="0" t="s">
        <v>2293</v>
      </c>
      <c r="H7090" s="0" t="s">
        <v>2289</v>
      </c>
      <c r="I7090" s="0" t="s">
        <v>2322</v>
      </c>
      <c r="J7090" s="0" t="s">
        <v>2368</v>
      </c>
      <c r="K7090" s="272" t="n">
        <v>-793653.12</v>
      </c>
    </row>
    <row r="7091" customFormat="false" ht="15" hidden="false" customHeight="false" outlineLevel="0" collapsed="false">
      <c r="A7091" s="0" t="s">
        <v>2041</v>
      </c>
      <c r="B7091" s="0" t="s">
        <v>2042</v>
      </c>
      <c r="C7091" s="0" t="s">
        <v>2156</v>
      </c>
      <c r="D7091" s="0" t="s">
        <v>2279</v>
      </c>
      <c r="E7091" s="0" t="s">
        <v>2279</v>
      </c>
      <c r="F7091" s="0" t="s">
        <v>2292</v>
      </c>
      <c r="G7091" s="0" t="s">
        <v>2293</v>
      </c>
      <c r="H7091" s="0" t="s">
        <v>2313</v>
      </c>
      <c r="I7091" s="0" t="s">
        <v>2322</v>
      </c>
      <c r="J7091" s="0" t="s">
        <v>2368</v>
      </c>
      <c r="K7091" s="272" t="n">
        <v>-90435081.09</v>
      </c>
    </row>
    <row r="7092" customFormat="false" ht="15" hidden="false" customHeight="false" outlineLevel="0" collapsed="false">
      <c r="A7092" s="0" t="s">
        <v>2041</v>
      </c>
      <c r="B7092" s="0" t="s">
        <v>2042</v>
      </c>
      <c r="C7092" s="0" t="s">
        <v>2161</v>
      </c>
      <c r="D7092" s="0" t="s">
        <v>2279</v>
      </c>
      <c r="E7092" s="0" t="s">
        <v>2279</v>
      </c>
      <c r="F7092" s="0" t="s">
        <v>2292</v>
      </c>
      <c r="G7092" s="0" t="s">
        <v>2293</v>
      </c>
      <c r="H7092" s="0" t="s">
        <v>2313</v>
      </c>
      <c r="I7092" s="0" t="s">
        <v>2322</v>
      </c>
      <c r="J7092" s="0" t="s">
        <v>2368</v>
      </c>
      <c r="K7092" s="272" t="n">
        <v>-13836567.41</v>
      </c>
    </row>
    <row r="7093" customFormat="false" ht="15" hidden="false" customHeight="false" outlineLevel="0" collapsed="false">
      <c r="A7093" s="0" t="s">
        <v>2041</v>
      </c>
      <c r="B7093" s="0" t="s">
        <v>2042</v>
      </c>
      <c r="C7093" s="0" t="s">
        <v>2156</v>
      </c>
      <c r="D7093" s="0" t="s">
        <v>2279</v>
      </c>
      <c r="E7093" s="0" t="s">
        <v>2279</v>
      </c>
      <c r="F7093" s="0" t="s">
        <v>2292</v>
      </c>
      <c r="G7093" s="0" t="s">
        <v>2293</v>
      </c>
      <c r="H7093" s="0" t="s">
        <v>2314</v>
      </c>
      <c r="I7093" s="0" t="s">
        <v>2322</v>
      </c>
      <c r="J7093" s="0" t="s">
        <v>2368</v>
      </c>
      <c r="K7093" s="272" t="n">
        <v>-8704648.05</v>
      </c>
    </row>
    <row r="7094" customFormat="false" ht="15" hidden="false" customHeight="false" outlineLevel="0" collapsed="false">
      <c r="A7094" s="0" t="s">
        <v>2041</v>
      </c>
      <c r="B7094" s="0" t="s">
        <v>2042</v>
      </c>
      <c r="C7094" s="0" t="s">
        <v>2161</v>
      </c>
      <c r="D7094" s="0" t="s">
        <v>2279</v>
      </c>
      <c r="E7094" s="0" t="s">
        <v>2279</v>
      </c>
      <c r="F7094" s="0" t="s">
        <v>2292</v>
      </c>
      <c r="G7094" s="0" t="s">
        <v>2293</v>
      </c>
      <c r="H7094" s="0" t="s">
        <v>2314</v>
      </c>
      <c r="I7094" s="0" t="s">
        <v>2322</v>
      </c>
      <c r="J7094" s="0" t="s">
        <v>2368</v>
      </c>
      <c r="K7094" s="272" t="n">
        <v>-1806214.66</v>
      </c>
    </row>
    <row r="7095" customFormat="false" ht="15" hidden="false" customHeight="false" outlineLevel="0" collapsed="false">
      <c r="A7095" s="0" t="s">
        <v>2041</v>
      </c>
      <c r="B7095" s="0" t="s">
        <v>2042</v>
      </c>
      <c r="C7095" s="0" t="s">
        <v>2156</v>
      </c>
      <c r="D7095" s="0" t="s">
        <v>2279</v>
      </c>
      <c r="E7095" s="0" t="s">
        <v>2279</v>
      </c>
      <c r="F7095" s="0" t="s">
        <v>2292</v>
      </c>
      <c r="G7095" s="0" t="s">
        <v>2293</v>
      </c>
      <c r="H7095" s="0" t="s">
        <v>2326</v>
      </c>
      <c r="I7095" s="0" t="s">
        <v>2322</v>
      </c>
      <c r="J7095" s="0" t="s">
        <v>2368</v>
      </c>
      <c r="K7095" s="272" t="n">
        <v>-12233030.11</v>
      </c>
    </row>
    <row r="7096" customFormat="false" ht="15" hidden="false" customHeight="false" outlineLevel="0" collapsed="false">
      <c r="A7096" s="0" t="s">
        <v>2041</v>
      </c>
      <c r="B7096" s="0" t="s">
        <v>2042</v>
      </c>
      <c r="C7096" s="0" t="s">
        <v>2161</v>
      </c>
      <c r="D7096" s="0" t="s">
        <v>2279</v>
      </c>
      <c r="E7096" s="0" t="s">
        <v>2279</v>
      </c>
      <c r="F7096" s="0" t="s">
        <v>2292</v>
      </c>
      <c r="G7096" s="0" t="s">
        <v>2293</v>
      </c>
      <c r="H7096" s="0" t="s">
        <v>2326</v>
      </c>
      <c r="I7096" s="0" t="s">
        <v>2322</v>
      </c>
      <c r="J7096" s="0" t="s">
        <v>2368</v>
      </c>
      <c r="K7096" s="272" t="n">
        <v>-2132105.6</v>
      </c>
    </row>
    <row r="7097" customFormat="false" ht="15" hidden="false" customHeight="false" outlineLevel="0" collapsed="false">
      <c r="A7097" s="0" t="s">
        <v>2041</v>
      </c>
      <c r="B7097" s="0" t="s">
        <v>2042</v>
      </c>
      <c r="C7097" s="0" t="s">
        <v>2156</v>
      </c>
      <c r="D7097" s="0" t="s">
        <v>2279</v>
      </c>
      <c r="E7097" s="0" t="s">
        <v>2279</v>
      </c>
      <c r="F7097" s="0" t="s">
        <v>2292</v>
      </c>
      <c r="G7097" s="0" t="s">
        <v>2293</v>
      </c>
      <c r="H7097" s="0" t="s">
        <v>2291</v>
      </c>
      <c r="I7097" s="0" t="s">
        <v>2322</v>
      </c>
      <c r="J7097" s="0" t="s">
        <v>2368</v>
      </c>
      <c r="K7097" s="272" t="n">
        <v>-4206484.55</v>
      </c>
    </row>
    <row r="7098" customFormat="false" ht="15" hidden="false" customHeight="false" outlineLevel="0" collapsed="false">
      <c r="A7098" s="0" t="s">
        <v>2041</v>
      </c>
      <c r="B7098" s="0" t="s">
        <v>2042</v>
      </c>
      <c r="C7098" s="0" t="s">
        <v>2161</v>
      </c>
      <c r="D7098" s="0" t="s">
        <v>2279</v>
      </c>
      <c r="E7098" s="0" t="s">
        <v>2279</v>
      </c>
      <c r="F7098" s="0" t="s">
        <v>2292</v>
      </c>
      <c r="G7098" s="0" t="s">
        <v>2293</v>
      </c>
      <c r="H7098" s="0" t="s">
        <v>2291</v>
      </c>
      <c r="I7098" s="0" t="s">
        <v>2322</v>
      </c>
      <c r="J7098" s="0" t="s">
        <v>2368</v>
      </c>
      <c r="K7098" s="272" t="n">
        <v>-749260.65</v>
      </c>
    </row>
    <row r="7099" customFormat="false" ht="15" hidden="false" customHeight="false" outlineLevel="0" collapsed="false">
      <c r="A7099" s="0" t="s">
        <v>2041</v>
      </c>
      <c r="B7099" s="0" t="s">
        <v>2042</v>
      </c>
      <c r="C7099" s="0" t="s">
        <v>2156</v>
      </c>
      <c r="D7099" s="0" t="s">
        <v>2044</v>
      </c>
      <c r="E7099" s="0" t="s">
        <v>2045</v>
      </c>
      <c r="F7099" s="0" t="s">
        <v>2046</v>
      </c>
      <c r="G7099" s="0" t="s">
        <v>2047</v>
      </c>
      <c r="H7099" s="0" t="s">
        <v>2048</v>
      </c>
      <c r="I7099" s="0" t="s">
        <v>2322</v>
      </c>
      <c r="J7099" s="0" t="s">
        <v>2368</v>
      </c>
      <c r="K7099" s="272" t="n">
        <v>-167924.64</v>
      </c>
    </row>
    <row r="7100" customFormat="false" ht="15" hidden="false" customHeight="false" outlineLevel="0" collapsed="false">
      <c r="A7100" s="0" t="s">
        <v>2041</v>
      </c>
      <c r="B7100" s="0" t="s">
        <v>2042</v>
      </c>
      <c r="C7100" s="0" t="s">
        <v>2161</v>
      </c>
      <c r="D7100" s="0" t="s">
        <v>2044</v>
      </c>
      <c r="E7100" s="0" t="s">
        <v>2045</v>
      </c>
      <c r="F7100" s="0" t="s">
        <v>2046</v>
      </c>
      <c r="G7100" s="0" t="s">
        <v>2047</v>
      </c>
      <c r="H7100" s="0" t="s">
        <v>2048</v>
      </c>
      <c r="I7100" s="0" t="s">
        <v>2322</v>
      </c>
      <c r="J7100" s="0" t="s">
        <v>2368</v>
      </c>
      <c r="K7100" s="272" t="n">
        <v>-50713.24</v>
      </c>
    </row>
    <row r="7101" customFormat="false" ht="15" hidden="false" customHeight="false" outlineLevel="0" collapsed="false">
      <c r="A7101" s="0" t="s">
        <v>2041</v>
      </c>
      <c r="B7101" s="0" t="s">
        <v>2042</v>
      </c>
      <c r="C7101" s="0" t="s">
        <v>2156</v>
      </c>
      <c r="D7101" s="0" t="s">
        <v>2044</v>
      </c>
      <c r="E7101" s="0" t="s">
        <v>2045</v>
      </c>
      <c r="F7101" s="0" t="s">
        <v>2051</v>
      </c>
      <c r="G7101" s="0" t="s">
        <v>2047</v>
      </c>
      <c r="H7101" s="0" t="s">
        <v>2052</v>
      </c>
      <c r="I7101" s="0" t="s">
        <v>2322</v>
      </c>
      <c r="J7101" s="0" t="s">
        <v>2368</v>
      </c>
      <c r="K7101" s="272" t="n">
        <v>-41981.16</v>
      </c>
    </row>
    <row r="7102" customFormat="false" ht="15" hidden="false" customHeight="false" outlineLevel="0" collapsed="false">
      <c r="A7102" s="0" t="s">
        <v>2041</v>
      </c>
      <c r="B7102" s="0" t="s">
        <v>2042</v>
      </c>
      <c r="C7102" s="0" t="s">
        <v>2161</v>
      </c>
      <c r="D7102" s="0" t="s">
        <v>2044</v>
      </c>
      <c r="E7102" s="0" t="s">
        <v>2045</v>
      </c>
      <c r="F7102" s="0" t="s">
        <v>2051</v>
      </c>
      <c r="G7102" s="0" t="s">
        <v>2047</v>
      </c>
      <c r="H7102" s="0" t="s">
        <v>2052</v>
      </c>
      <c r="I7102" s="0" t="s">
        <v>2322</v>
      </c>
      <c r="J7102" s="0" t="s">
        <v>2368</v>
      </c>
      <c r="K7102" s="272" t="n">
        <v>-12678.31</v>
      </c>
    </row>
    <row r="7103" customFormat="false" ht="15" hidden="false" customHeight="false" outlineLevel="0" collapsed="false">
      <c r="A7103" s="0" t="s">
        <v>2041</v>
      </c>
      <c r="B7103" s="0" t="s">
        <v>2042</v>
      </c>
      <c r="C7103" s="0" t="s">
        <v>2156</v>
      </c>
      <c r="D7103" s="0" t="s">
        <v>2044</v>
      </c>
      <c r="E7103" s="0" t="s">
        <v>2045</v>
      </c>
      <c r="F7103" s="0" t="s">
        <v>2046</v>
      </c>
      <c r="G7103" s="0" t="s">
        <v>2053</v>
      </c>
      <c r="H7103" s="0" t="s">
        <v>2048</v>
      </c>
      <c r="I7103" s="0" t="s">
        <v>2322</v>
      </c>
      <c r="J7103" s="0" t="s">
        <v>2368</v>
      </c>
      <c r="K7103" s="272" t="n">
        <v>-1172034.825</v>
      </c>
    </row>
    <row r="7104" customFormat="false" ht="15" hidden="false" customHeight="false" outlineLevel="0" collapsed="false">
      <c r="A7104" s="0" t="s">
        <v>2041</v>
      </c>
      <c r="B7104" s="0" t="s">
        <v>2042</v>
      </c>
      <c r="C7104" s="0" t="s">
        <v>2161</v>
      </c>
      <c r="D7104" s="0" t="s">
        <v>2044</v>
      </c>
      <c r="E7104" s="0" t="s">
        <v>2045</v>
      </c>
      <c r="F7104" s="0" t="s">
        <v>2046</v>
      </c>
      <c r="G7104" s="0" t="s">
        <v>2053</v>
      </c>
      <c r="H7104" s="0" t="s">
        <v>2048</v>
      </c>
      <c r="I7104" s="0" t="s">
        <v>2322</v>
      </c>
      <c r="J7104" s="0" t="s">
        <v>2368</v>
      </c>
      <c r="K7104" s="272" t="n">
        <v>-353954.50849</v>
      </c>
    </row>
    <row r="7105" customFormat="false" ht="15" hidden="false" customHeight="false" outlineLevel="0" collapsed="false">
      <c r="A7105" s="0" t="s">
        <v>2041</v>
      </c>
      <c r="B7105" s="0" t="s">
        <v>2042</v>
      </c>
      <c r="C7105" s="0" t="s">
        <v>2156</v>
      </c>
      <c r="D7105" s="0" t="s">
        <v>2044</v>
      </c>
      <c r="E7105" s="0" t="s">
        <v>2045</v>
      </c>
      <c r="F7105" s="0" t="s">
        <v>2051</v>
      </c>
      <c r="G7105" s="0" t="s">
        <v>2053</v>
      </c>
      <c r="H7105" s="0" t="s">
        <v>2052</v>
      </c>
      <c r="I7105" s="0" t="s">
        <v>2322</v>
      </c>
      <c r="J7105" s="0" t="s">
        <v>2368</v>
      </c>
      <c r="K7105" s="272" t="n">
        <v>-16997.875</v>
      </c>
    </row>
    <row r="7106" customFormat="false" ht="15" hidden="false" customHeight="false" outlineLevel="0" collapsed="false">
      <c r="A7106" s="0" t="s">
        <v>2041</v>
      </c>
      <c r="B7106" s="0" t="s">
        <v>2042</v>
      </c>
      <c r="C7106" s="0" t="s">
        <v>2161</v>
      </c>
      <c r="D7106" s="0" t="s">
        <v>2044</v>
      </c>
      <c r="E7106" s="0" t="s">
        <v>2045</v>
      </c>
      <c r="F7106" s="0" t="s">
        <v>2051</v>
      </c>
      <c r="G7106" s="0" t="s">
        <v>2053</v>
      </c>
      <c r="H7106" s="0" t="s">
        <v>2052</v>
      </c>
      <c r="I7106" s="0" t="s">
        <v>2322</v>
      </c>
      <c r="J7106" s="0" t="s">
        <v>2368</v>
      </c>
      <c r="K7106" s="272" t="n">
        <v>-5133.35781526316</v>
      </c>
    </row>
    <row r="7107" customFormat="false" ht="15" hidden="false" customHeight="false" outlineLevel="0" collapsed="false">
      <c r="A7107" s="0" t="s">
        <v>2041</v>
      </c>
      <c r="B7107" s="0" t="s">
        <v>2042</v>
      </c>
      <c r="C7107" s="0" t="s">
        <v>2156</v>
      </c>
      <c r="D7107" s="0" t="s">
        <v>2044</v>
      </c>
      <c r="E7107" s="0" t="s">
        <v>2045</v>
      </c>
      <c r="F7107" s="0" t="s">
        <v>2046</v>
      </c>
      <c r="G7107" s="0" t="s">
        <v>2054</v>
      </c>
      <c r="H7107" s="0" t="s">
        <v>2048</v>
      </c>
      <c r="I7107" s="0" t="s">
        <v>2322</v>
      </c>
      <c r="J7107" s="0" t="s">
        <v>2368</v>
      </c>
      <c r="K7107" s="272" t="n">
        <v>-282644.55</v>
      </c>
    </row>
    <row r="7108" customFormat="false" ht="15" hidden="false" customHeight="false" outlineLevel="0" collapsed="false">
      <c r="A7108" s="0" t="s">
        <v>2041</v>
      </c>
      <c r="B7108" s="0" t="s">
        <v>2042</v>
      </c>
      <c r="C7108" s="0" t="s">
        <v>2161</v>
      </c>
      <c r="D7108" s="0" t="s">
        <v>2044</v>
      </c>
      <c r="E7108" s="0" t="s">
        <v>2045</v>
      </c>
      <c r="F7108" s="0" t="s">
        <v>2046</v>
      </c>
      <c r="G7108" s="0" t="s">
        <v>2054</v>
      </c>
      <c r="H7108" s="0" t="s">
        <v>2048</v>
      </c>
      <c r="I7108" s="0" t="s">
        <v>2322</v>
      </c>
      <c r="J7108" s="0" t="s">
        <v>2368</v>
      </c>
      <c r="K7108" s="272" t="n">
        <v>-85358.65</v>
      </c>
    </row>
    <row r="7109" customFormat="false" ht="15" hidden="false" customHeight="false" outlineLevel="0" collapsed="false">
      <c r="A7109" s="0" t="s">
        <v>2041</v>
      </c>
      <c r="B7109" s="0" t="s">
        <v>2042</v>
      </c>
      <c r="C7109" s="0" t="s">
        <v>2156</v>
      </c>
      <c r="D7109" s="0" t="s">
        <v>2044</v>
      </c>
      <c r="E7109" s="0" t="s">
        <v>2045</v>
      </c>
      <c r="F7109" s="0" t="s">
        <v>2051</v>
      </c>
      <c r="G7109" s="0" t="s">
        <v>2054</v>
      </c>
      <c r="H7109" s="0" t="s">
        <v>2052</v>
      </c>
      <c r="I7109" s="0" t="s">
        <v>2322</v>
      </c>
      <c r="J7109" s="0" t="s">
        <v>2368</v>
      </c>
      <c r="K7109" s="272" t="n">
        <v>-49878.45</v>
      </c>
    </row>
    <row r="7110" customFormat="false" ht="15" hidden="false" customHeight="false" outlineLevel="0" collapsed="false">
      <c r="A7110" s="0" t="s">
        <v>2041</v>
      </c>
      <c r="B7110" s="0" t="s">
        <v>2042</v>
      </c>
      <c r="C7110" s="0" t="s">
        <v>2161</v>
      </c>
      <c r="D7110" s="0" t="s">
        <v>2044</v>
      </c>
      <c r="E7110" s="0" t="s">
        <v>2045</v>
      </c>
      <c r="F7110" s="0" t="s">
        <v>2051</v>
      </c>
      <c r="G7110" s="0" t="s">
        <v>2054</v>
      </c>
      <c r="H7110" s="0" t="s">
        <v>2052</v>
      </c>
      <c r="I7110" s="0" t="s">
        <v>2322</v>
      </c>
      <c r="J7110" s="0" t="s">
        <v>2368</v>
      </c>
      <c r="K7110" s="272" t="n">
        <v>-15063.2911764706</v>
      </c>
    </row>
    <row r="7111" customFormat="false" ht="15" hidden="false" customHeight="false" outlineLevel="0" collapsed="false">
      <c r="A7111" s="0" t="s">
        <v>2041</v>
      </c>
      <c r="B7111" s="0" t="s">
        <v>2042</v>
      </c>
      <c r="C7111" s="0" t="s">
        <v>2156</v>
      </c>
      <c r="D7111" s="0" t="s">
        <v>2044</v>
      </c>
      <c r="E7111" s="0" t="s">
        <v>2045</v>
      </c>
      <c r="F7111" s="0" t="s">
        <v>2046</v>
      </c>
      <c r="G7111" s="0" t="s">
        <v>2055</v>
      </c>
      <c r="H7111" s="0" t="s">
        <v>2048</v>
      </c>
      <c r="I7111" s="0" t="s">
        <v>2322</v>
      </c>
      <c r="J7111" s="0" t="s">
        <v>2368</v>
      </c>
      <c r="K7111" s="272" t="n">
        <v>-107554.5</v>
      </c>
    </row>
    <row r="7112" customFormat="false" ht="15" hidden="false" customHeight="false" outlineLevel="0" collapsed="false">
      <c r="A7112" s="0" t="s">
        <v>2041</v>
      </c>
      <c r="B7112" s="0" t="s">
        <v>2042</v>
      </c>
      <c r="C7112" s="0" t="s">
        <v>2161</v>
      </c>
      <c r="D7112" s="0" t="s">
        <v>2044</v>
      </c>
      <c r="E7112" s="0" t="s">
        <v>2045</v>
      </c>
      <c r="F7112" s="0" t="s">
        <v>2046</v>
      </c>
      <c r="G7112" s="0" t="s">
        <v>2055</v>
      </c>
      <c r="H7112" s="0" t="s">
        <v>2048</v>
      </c>
      <c r="I7112" s="0" t="s">
        <v>2322</v>
      </c>
      <c r="J7112" s="0" t="s">
        <v>2368</v>
      </c>
      <c r="K7112" s="272" t="n">
        <v>-32481.46</v>
      </c>
    </row>
    <row r="7113" customFormat="false" ht="15" hidden="false" customHeight="false" outlineLevel="0" collapsed="false">
      <c r="A7113" s="0" t="s">
        <v>2041</v>
      </c>
      <c r="B7113" s="0" t="s">
        <v>2042</v>
      </c>
      <c r="C7113" s="0" t="s">
        <v>2156</v>
      </c>
      <c r="D7113" s="0" t="s">
        <v>2044</v>
      </c>
      <c r="E7113" s="0" t="s">
        <v>2045</v>
      </c>
      <c r="F7113" s="0" t="s">
        <v>2051</v>
      </c>
      <c r="G7113" s="0" t="s">
        <v>2055</v>
      </c>
      <c r="H7113" s="0" t="s">
        <v>2052</v>
      </c>
      <c r="I7113" s="0" t="s">
        <v>2322</v>
      </c>
      <c r="J7113" s="0" t="s">
        <v>2368</v>
      </c>
      <c r="K7113" s="272" t="n">
        <v>-322663.5</v>
      </c>
    </row>
    <row r="7114" customFormat="false" ht="15" hidden="false" customHeight="false" outlineLevel="0" collapsed="false">
      <c r="A7114" s="0" t="s">
        <v>2041</v>
      </c>
      <c r="B7114" s="0" t="s">
        <v>2042</v>
      </c>
      <c r="C7114" s="0" t="s">
        <v>2161</v>
      </c>
      <c r="D7114" s="0" t="s">
        <v>2044</v>
      </c>
      <c r="E7114" s="0" t="s">
        <v>2045</v>
      </c>
      <c r="F7114" s="0" t="s">
        <v>2051</v>
      </c>
      <c r="G7114" s="0" t="s">
        <v>2055</v>
      </c>
      <c r="H7114" s="0" t="s">
        <v>2052</v>
      </c>
      <c r="I7114" s="0" t="s">
        <v>2322</v>
      </c>
      <c r="J7114" s="0" t="s">
        <v>2368</v>
      </c>
      <c r="K7114" s="272" t="n">
        <v>-97444.38</v>
      </c>
    </row>
    <row r="7115" customFormat="false" ht="15" hidden="false" customHeight="false" outlineLevel="0" collapsed="false">
      <c r="A7115" s="0" t="s">
        <v>2041</v>
      </c>
      <c r="B7115" s="0" t="s">
        <v>2042</v>
      </c>
      <c r="C7115" s="0" t="s">
        <v>2156</v>
      </c>
      <c r="D7115" s="0" t="s">
        <v>2044</v>
      </c>
      <c r="E7115" s="0" t="s">
        <v>2045</v>
      </c>
      <c r="F7115" s="0" t="s">
        <v>2046</v>
      </c>
      <c r="G7115" s="0" t="s">
        <v>2056</v>
      </c>
      <c r="H7115" s="0" t="s">
        <v>2048</v>
      </c>
      <c r="I7115" s="0" t="s">
        <v>2322</v>
      </c>
      <c r="J7115" s="0" t="s">
        <v>2368</v>
      </c>
      <c r="K7115" s="272" t="n">
        <v>-29860.785</v>
      </c>
    </row>
    <row r="7116" customFormat="false" ht="15" hidden="false" customHeight="false" outlineLevel="0" collapsed="false">
      <c r="A7116" s="0" t="s">
        <v>2041</v>
      </c>
      <c r="B7116" s="0" t="s">
        <v>2042</v>
      </c>
      <c r="C7116" s="0" t="s">
        <v>2161</v>
      </c>
      <c r="D7116" s="0" t="s">
        <v>2044</v>
      </c>
      <c r="E7116" s="0" t="s">
        <v>2045</v>
      </c>
      <c r="F7116" s="0" t="s">
        <v>2046</v>
      </c>
      <c r="G7116" s="0" t="s">
        <v>2056</v>
      </c>
      <c r="H7116" s="0" t="s">
        <v>2048</v>
      </c>
      <c r="I7116" s="0" t="s">
        <v>2322</v>
      </c>
      <c r="J7116" s="0" t="s">
        <v>2368</v>
      </c>
      <c r="K7116" s="272" t="n">
        <v>-9017.95848999976</v>
      </c>
    </row>
    <row r="7117" customFormat="false" ht="15" hidden="false" customHeight="false" outlineLevel="0" collapsed="false">
      <c r="A7117" s="0" t="s">
        <v>2041</v>
      </c>
      <c r="B7117" s="0" t="s">
        <v>2042</v>
      </c>
      <c r="C7117" s="0" t="s">
        <v>2156</v>
      </c>
      <c r="D7117" s="0" t="s">
        <v>2044</v>
      </c>
      <c r="E7117" s="0" t="s">
        <v>2045</v>
      </c>
      <c r="F7117" s="0" t="s">
        <v>2051</v>
      </c>
      <c r="G7117" s="0" t="s">
        <v>2056</v>
      </c>
      <c r="H7117" s="0" t="s">
        <v>2052</v>
      </c>
      <c r="I7117" s="0" t="s">
        <v>2322</v>
      </c>
      <c r="J7117" s="0" t="s">
        <v>2368</v>
      </c>
      <c r="K7117" s="272" t="n">
        <v>-301925.715</v>
      </c>
    </row>
    <row r="7118" customFormat="false" ht="15" hidden="false" customHeight="false" outlineLevel="0" collapsed="false">
      <c r="A7118" s="0" t="s">
        <v>2041</v>
      </c>
      <c r="B7118" s="0" t="s">
        <v>2042</v>
      </c>
      <c r="C7118" s="0" t="s">
        <v>2161</v>
      </c>
      <c r="D7118" s="0" t="s">
        <v>2044</v>
      </c>
      <c r="E7118" s="0" t="s">
        <v>2045</v>
      </c>
      <c r="F7118" s="0" t="s">
        <v>2051</v>
      </c>
      <c r="G7118" s="0" t="s">
        <v>2056</v>
      </c>
      <c r="H7118" s="0" t="s">
        <v>2052</v>
      </c>
      <c r="I7118" s="0" t="s">
        <v>2322</v>
      </c>
      <c r="J7118" s="0" t="s">
        <v>2368</v>
      </c>
      <c r="K7118" s="272" t="n">
        <v>-91181.5802877754</v>
      </c>
    </row>
    <row r="7119" customFormat="false" ht="15" hidden="false" customHeight="false" outlineLevel="0" collapsed="false">
      <c r="A7119" s="0" t="s">
        <v>2041</v>
      </c>
      <c r="B7119" s="0" t="s">
        <v>2042</v>
      </c>
      <c r="C7119" s="0" t="s">
        <v>2156</v>
      </c>
      <c r="D7119" s="0" t="s">
        <v>2044</v>
      </c>
      <c r="E7119" s="0" t="s">
        <v>2045</v>
      </c>
      <c r="F7119" s="0" t="s">
        <v>2046</v>
      </c>
      <c r="G7119" s="0" t="s">
        <v>2057</v>
      </c>
      <c r="H7119" s="0" t="s">
        <v>2048</v>
      </c>
      <c r="I7119" s="0" t="s">
        <v>2322</v>
      </c>
      <c r="J7119" s="0" t="s">
        <v>2368</v>
      </c>
      <c r="K7119" s="272" t="n">
        <v>-224764.5</v>
      </c>
    </row>
    <row r="7120" customFormat="false" ht="15" hidden="false" customHeight="false" outlineLevel="0" collapsed="false">
      <c r="A7120" s="0" t="s">
        <v>2041</v>
      </c>
      <c r="B7120" s="0" t="s">
        <v>2042</v>
      </c>
      <c r="C7120" s="0" t="s">
        <v>2161</v>
      </c>
      <c r="D7120" s="0" t="s">
        <v>2044</v>
      </c>
      <c r="E7120" s="0" t="s">
        <v>2045</v>
      </c>
      <c r="F7120" s="0" t="s">
        <v>2046</v>
      </c>
      <c r="G7120" s="0" t="s">
        <v>2057</v>
      </c>
      <c r="H7120" s="0" t="s">
        <v>2048</v>
      </c>
      <c r="I7120" s="0" t="s">
        <v>2322</v>
      </c>
      <c r="J7120" s="0" t="s">
        <v>2368</v>
      </c>
      <c r="K7120" s="272" t="n">
        <v>-67878.88</v>
      </c>
    </row>
    <row r="7121" customFormat="false" ht="15" hidden="false" customHeight="false" outlineLevel="0" collapsed="false">
      <c r="A7121" s="0" t="s">
        <v>2041</v>
      </c>
      <c r="B7121" s="0" t="s">
        <v>2042</v>
      </c>
      <c r="C7121" s="0" t="s">
        <v>2156</v>
      </c>
      <c r="D7121" s="0" t="s">
        <v>2044</v>
      </c>
      <c r="E7121" s="0" t="s">
        <v>2045</v>
      </c>
      <c r="F7121" s="0" t="s">
        <v>2051</v>
      </c>
      <c r="G7121" s="0" t="s">
        <v>2057</v>
      </c>
      <c r="H7121" s="0" t="s">
        <v>2052</v>
      </c>
      <c r="I7121" s="0" t="s">
        <v>2322</v>
      </c>
      <c r="J7121" s="0" t="s">
        <v>2368</v>
      </c>
      <c r="K7121" s="272" t="n">
        <v>-224764.5</v>
      </c>
    </row>
    <row r="7122" customFormat="false" ht="15" hidden="false" customHeight="false" outlineLevel="0" collapsed="false">
      <c r="A7122" s="0" t="s">
        <v>2041</v>
      </c>
      <c r="B7122" s="0" t="s">
        <v>2042</v>
      </c>
      <c r="C7122" s="0" t="s">
        <v>2161</v>
      </c>
      <c r="D7122" s="0" t="s">
        <v>2044</v>
      </c>
      <c r="E7122" s="0" t="s">
        <v>2045</v>
      </c>
      <c r="F7122" s="0" t="s">
        <v>2051</v>
      </c>
      <c r="G7122" s="0" t="s">
        <v>2057</v>
      </c>
      <c r="H7122" s="0" t="s">
        <v>2052</v>
      </c>
      <c r="I7122" s="0" t="s">
        <v>2322</v>
      </c>
      <c r="J7122" s="0" t="s">
        <v>2368</v>
      </c>
      <c r="K7122" s="272" t="n">
        <v>-67878.88</v>
      </c>
    </row>
    <row r="7123" customFormat="false" ht="15" hidden="false" customHeight="false" outlineLevel="0" collapsed="false">
      <c r="A7123" s="0" t="s">
        <v>2041</v>
      </c>
      <c r="B7123" s="0" t="s">
        <v>2042</v>
      </c>
      <c r="C7123" s="0" t="s">
        <v>2156</v>
      </c>
      <c r="D7123" s="0" t="s">
        <v>2044</v>
      </c>
      <c r="E7123" s="0" t="s">
        <v>2045</v>
      </c>
      <c r="F7123" s="0" t="s">
        <v>2046</v>
      </c>
      <c r="G7123" s="0" t="s">
        <v>2058</v>
      </c>
      <c r="H7123" s="0" t="s">
        <v>2048</v>
      </c>
      <c r="I7123" s="0" t="s">
        <v>2322</v>
      </c>
      <c r="J7123" s="0" t="s">
        <v>2368</v>
      </c>
      <c r="K7123" s="272" t="n">
        <v>-223076.8</v>
      </c>
    </row>
    <row r="7124" customFormat="false" ht="15" hidden="false" customHeight="false" outlineLevel="0" collapsed="false">
      <c r="A7124" s="0" t="s">
        <v>2041</v>
      </c>
      <c r="B7124" s="0" t="s">
        <v>2042</v>
      </c>
      <c r="C7124" s="0" t="s">
        <v>2161</v>
      </c>
      <c r="D7124" s="0" t="s">
        <v>2044</v>
      </c>
      <c r="E7124" s="0" t="s">
        <v>2045</v>
      </c>
      <c r="F7124" s="0" t="s">
        <v>2046</v>
      </c>
      <c r="G7124" s="0" t="s">
        <v>2058</v>
      </c>
      <c r="H7124" s="0" t="s">
        <v>2048</v>
      </c>
      <c r="I7124" s="0" t="s">
        <v>2322</v>
      </c>
      <c r="J7124" s="0" t="s">
        <v>2368</v>
      </c>
      <c r="K7124" s="272" t="n">
        <v>-67369.19</v>
      </c>
    </row>
    <row r="7125" customFormat="false" ht="15" hidden="false" customHeight="false" outlineLevel="0" collapsed="false">
      <c r="A7125" s="0" t="s">
        <v>2041</v>
      </c>
      <c r="B7125" s="0" t="s">
        <v>2042</v>
      </c>
      <c r="C7125" s="0" t="s">
        <v>2156</v>
      </c>
      <c r="D7125" s="0" t="s">
        <v>2044</v>
      </c>
      <c r="E7125" s="0" t="s">
        <v>2045</v>
      </c>
      <c r="F7125" s="0" t="s">
        <v>2051</v>
      </c>
      <c r="G7125" s="0" t="s">
        <v>2058</v>
      </c>
      <c r="H7125" s="0" t="s">
        <v>2052</v>
      </c>
      <c r="I7125" s="0" t="s">
        <v>2322</v>
      </c>
      <c r="J7125" s="0" t="s">
        <v>2368</v>
      </c>
      <c r="K7125" s="272" t="n">
        <v>-55769.2</v>
      </c>
    </row>
    <row r="7126" customFormat="false" ht="15" hidden="false" customHeight="false" outlineLevel="0" collapsed="false">
      <c r="A7126" s="0" t="s">
        <v>2041</v>
      </c>
      <c r="B7126" s="0" t="s">
        <v>2042</v>
      </c>
      <c r="C7126" s="0" t="s">
        <v>2161</v>
      </c>
      <c r="D7126" s="0" t="s">
        <v>2044</v>
      </c>
      <c r="E7126" s="0" t="s">
        <v>2045</v>
      </c>
      <c r="F7126" s="0" t="s">
        <v>2051</v>
      </c>
      <c r="G7126" s="0" t="s">
        <v>2058</v>
      </c>
      <c r="H7126" s="0" t="s">
        <v>2052</v>
      </c>
      <c r="I7126" s="0" t="s">
        <v>2322</v>
      </c>
      <c r="J7126" s="0" t="s">
        <v>2368</v>
      </c>
      <c r="K7126" s="272" t="n">
        <v>-16842.2975</v>
      </c>
    </row>
    <row r="7127" customFormat="false" ht="15" hidden="false" customHeight="false" outlineLevel="0" collapsed="false">
      <c r="A7127" s="0" t="s">
        <v>2041</v>
      </c>
      <c r="B7127" s="0" t="s">
        <v>2042</v>
      </c>
      <c r="C7127" s="0" t="s">
        <v>2156</v>
      </c>
      <c r="D7127" s="0" t="s">
        <v>2044</v>
      </c>
      <c r="E7127" s="0" t="s">
        <v>2045</v>
      </c>
      <c r="F7127" s="0" t="s">
        <v>2046</v>
      </c>
      <c r="G7127" s="0" t="s">
        <v>2059</v>
      </c>
      <c r="H7127" s="0" t="s">
        <v>2048</v>
      </c>
      <c r="I7127" s="0" t="s">
        <v>2322</v>
      </c>
      <c r="J7127" s="0" t="s">
        <v>2368</v>
      </c>
      <c r="K7127" s="272" t="n">
        <v>-141417.57</v>
      </c>
    </row>
    <row r="7128" customFormat="false" ht="15" hidden="false" customHeight="false" outlineLevel="0" collapsed="false">
      <c r="A7128" s="0" t="s">
        <v>2041</v>
      </c>
      <c r="B7128" s="0" t="s">
        <v>2042</v>
      </c>
      <c r="C7128" s="0" t="s">
        <v>2161</v>
      </c>
      <c r="D7128" s="0" t="s">
        <v>2044</v>
      </c>
      <c r="E7128" s="0" t="s">
        <v>2045</v>
      </c>
      <c r="F7128" s="0" t="s">
        <v>2046</v>
      </c>
      <c r="G7128" s="0" t="s">
        <v>2059</v>
      </c>
      <c r="H7128" s="0" t="s">
        <v>2048</v>
      </c>
      <c r="I7128" s="0" t="s">
        <v>2322</v>
      </c>
      <c r="J7128" s="0" t="s">
        <v>2368</v>
      </c>
      <c r="K7128" s="272" t="n">
        <v>-42708.106</v>
      </c>
    </row>
    <row r="7129" customFormat="false" ht="15" hidden="false" customHeight="false" outlineLevel="0" collapsed="false">
      <c r="A7129" s="0" t="s">
        <v>2041</v>
      </c>
      <c r="B7129" s="0" t="s">
        <v>2042</v>
      </c>
      <c r="C7129" s="0" t="s">
        <v>2156</v>
      </c>
      <c r="D7129" s="0" t="s">
        <v>2044</v>
      </c>
      <c r="E7129" s="0" t="s">
        <v>2045</v>
      </c>
      <c r="F7129" s="0" t="s">
        <v>2051</v>
      </c>
      <c r="G7129" s="0" t="s">
        <v>2059</v>
      </c>
      <c r="H7129" s="0" t="s">
        <v>2052</v>
      </c>
      <c r="I7129" s="0" t="s">
        <v>2322</v>
      </c>
      <c r="J7129" s="0" t="s">
        <v>2368</v>
      </c>
      <c r="K7129" s="272" t="n">
        <v>-60607.53</v>
      </c>
    </row>
    <row r="7130" customFormat="false" ht="15" hidden="false" customHeight="false" outlineLevel="0" collapsed="false">
      <c r="A7130" s="0" t="s">
        <v>2041</v>
      </c>
      <c r="B7130" s="0" t="s">
        <v>2042</v>
      </c>
      <c r="C7130" s="0" t="s">
        <v>2161</v>
      </c>
      <c r="D7130" s="0" t="s">
        <v>2044</v>
      </c>
      <c r="E7130" s="0" t="s">
        <v>2045</v>
      </c>
      <c r="F7130" s="0" t="s">
        <v>2051</v>
      </c>
      <c r="G7130" s="0" t="s">
        <v>2059</v>
      </c>
      <c r="H7130" s="0" t="s">
        <v>2052</v>
      </c>
      <c r="I7130" s="0" t="s">
        <v>2322</v>
      </c>
      <c r="J7130" s="0" t="s">
        <v>2368</v>
      </c>
      <c r="K7130" s="272" t="n">
        <v>-18303.474</v>
      </c>
    </row>
    <row r="7131" customFormat="false" ht="15" hidden="false" customHeight="false" outlineLevel="0" collapsed="false">
      <c r="A7131" s="0" t="s">
        <v>2041</v>
      </c>
      <c r="B7131" s="0" t="s">
        <v>2042</v>
      </c>
      <c r="C7131" s="0" t="s">
        <v>2156</v>
      </c>
      <c r="D7131" s="0" t="s">
        <v>2044</v>
      </c>
      <c r="E7131" s="0" t="s">
        <v>2045</v>
      </c>
      <c r="F7131" s="0" t="s">
        <v>2046</v>
      </c>
      <c r="G7131" s="0" t="s">
        <v>2060</v>
      </c>
      <c r="H7131" s="0" t="s">
        <v>2048</v>
      </c>
      <c r="I7131" s="0" t="s">
        <v>2322</v>
      </c>
      <c r="J7131" s="0" t="s">
        <v>2368</v>
      </c>
      <c r="K7131" s="272" t="n">
        <v>-1971761.319</v>
      </c>
    </row>
    <row r="7132" customFormat="false" ht="15" hidden="false" customHeight="false" outlineLevel="0" collapsed="false">
      <c r="A7132" s="0" t="s">
        <v>2041</v>
      </c>
      <c r="B7132" s="0" t="s">
        <v>2042</v>
      </c>
      <c r="C7132" s="0" t="s">
        <v>2161</v>
      </c>
      <c r="D7132" s="0" t="s">
        <v>2044</v>
      </c>
      <c r="E7132" s="0" t="s">
        <v>2045</v>
      </c>
      <c r="F7132" s="0" t="s">
        <v>2046</v>
      </c>
      <c r="G7132" s="0" t="s">
        <v>2060</v>
      </c>
      <c r="H7132" s="0" t="s">
        <v>2048</v>
      </c>
      <c r="I7132" s="0" t="s">
        <v>2322</v>
      </c>
      <c r="J7132" s="0" t="s">
        <v>2368</v>
      </c>
      <c r="K7132" s="272" t="n">
        <v>-595471.919698</v>
      </c>
    </row>
    <row r="7133" customFormat="false" ht="15" hidden="false" customHeight="false" outlineLevel="0" collapsed="false">
      <c r="A7133" s="0" t="s">
        <v>2041</v>
      </c>
      <c r="B7133" s="0" t="s">
        <v>2042</v>
      </c>
      <c r="C7133" s="0" t="s">
        <v>2156</v>
      </c>
      <c r="D7133" s="0" t="s">
        <v>2044</v>
      </c>
      <c r="E7133" s="0" t="s">
        <v>2045</v>
      </c>
      <c r="F7133" s="0" t="s">
        <v>2051</v>
      </c>
      <c r="G7133" s="0" t="s">
        <v>2060</v>
      </c>
      <c r="H7133" s="0" t="s">
        <v>2052</v>
      </c>
      <c r="I7133" s="0" t="s">
        <v>2322</v>
      </c>
      <c r="J7133" s="0" t="s">
        <v>2368</v>
      </c>
      <c r="K7133" s="272" t="n">
        <v>-19916.781</v>
      </c>
    </row>
    <row r="7134" customFormat="false" ht="15" hidden="false" customHeight="false" outlineLevel="0" collapsed="false">
      <c r="A7134" s="0" t="s">
        <v>2041</v>
      </c>
      <c r="B7134" s="0" t="s">
        <v>2042</v>
      </c>
      <c r="C7134" s="0" t="s">
        <v>2161</v>
      </c>
      <c r="D7134" s="0" t="s">
        <v>2044</v>
      </c>
      <c r="E7134" s="0" t="s">
        <v>2045</v>
      </c>
      <c r="F7134" s="0" t="s">
        <v>2051</v>
      </c>
      <c r="G7134" s="0" t="s">
        <v>2060</v>
      </c>
      <c r="H7134" s="0" t="s">
        <v>2052</v>
      </c>
      <c r="I7134" s="0" t="s">
        <v>2322</v>
      </c>
      <c r="J7134" s="0" t="s">
        <v>2368</v>
      </c>
      <c r="K7134" s="272" t="n">
        <v>-6014.86787573738</v>
      </c>
    </row>
    <row r="7135" customFormat="false" ht="15" hidden="false" customHeight="false" outlineLevel="0" collapsed="false">
      <c r="A7135" s="0" t="s">
        <v>2041</v>
      </c>
      <c r="B7135" s="0" t="s">
        <v>2042</v>
      </c>
      <c r="C7135" s="0" t="s">
        <v>2156</v>
      </c>
      <c r="D7135" s="0" t="s">
        <v>2044</v>
      </c>
      <c r="E7135" s="0" t="s">
        <v>2045</v>
      </c>
      <c r="F7135" s="0" t="s">
        <v>2046</v>
      </c>
      <c r="G7135" s="0" t="s">
        <v>2061</v>
      </c>
      <c r="H7135" s="0" t="s">
        <v>2048</v>
      </c>
      <c r="I7135" s="0" t="s">
        <v>2322</v>
      </c>
      <c r="J7135" s="0" t="s">
        <v>2368</v>
      </c>
      <c r="K7135" s="272" t="n">
        <v>-959187.74</v>
      </c>
    </row>
    <row r="7136" customFormat="false" ht="15" hidden="false" customHeight="false" outlineLevel="0" collapsed="false">
      <c r="A7136" s="0" t="s">
        <v>2041</v>
      </c>
      <c r="B7136" s="0" t="s">
        <v>2042</v>
      </c>
      <c r="C7136" s="0" t="s">
        <v>2161</v>
      </c>
      <c r="D7136" s="0" t="s">
        <v>2044</v>
      </c>
      <c r="E7136" s="0" t="s">
        <v>2045</v>
      </c>
      <c r="F7136" s="0" t="s">
        <v>2046</v>
      </c>
      <c r="G7136" s="0" t="s">
        <v>2061</v>
      </c>
      <c r="H7136" s="0" t="s">
        <v>2048</v>
      </c>
      <c r="I7136" s="0" t="s">
        <v>2322</v>
      </c>
      <c r="J7136" s="0" t="s">
        <v>2368</v>
      </c>
      <c r="K7136" s="272" t="n">
        <v>-289674.7</v>
      </c>
    </row>
    <row r="7137" customFormat="false" ht="15" hidden="false" customHeight="false" outlineLevel="0" collapsed="false">
      <c r="A7137" s="0" t="s">
        <v>2041</v>
      </c>
      <c r="B7137" s="0" t="s">
        <v>2042</v>
      </c>
      <c r="C7137" s="0" t="s">
        <v>2156</v>
      </c>
      <c r="D7137" s="0" t="s">
        <v>2044</v>
      </c>
      <c r="E7137" s="0" t="s">
        <v>2045</v>
      </c>
      <c r="F7137" s="0" t="s">
        <v>2051</v>
      </c>
      <c r="G7137" s="0" t="s">
        <v>2061</v>
      </c>
      <c r="H7137" s="0" t="s">
        <v>2052</v>
      </c>
      <c r="I7137" s="0" t="s">
        <v>2322</v>
      </c>
      <c r="J7137" s="0" t="s">
        <v>2368</v>
      </c>
      <c r="K7137" s="272" t="n">
        <v>-19575.26</v>
      </c>
    </row>
    <row r="7138" customFormat="false" ht="15" hidden="false" customHeight="false" outlineLevel="0" collapsed="false">
      <c r="A7138" s="0" t="s">
        <v>2041</v>
      </c>
      <c r="B7138" s="0" t="s">
        <v>2042</v>
      </c>
      <c r="C7138" s="0" t="s">
        <v>2161</v>
      </c>
      <c r="D7138" s="0" t="s">
        <v>2044</v>
      </c>
      <c r="E7138" s="0" t="s">
        <v>2045</v>
      </c>
      <c r="F7138" s="0" t="s">
        <v>2051</v>
      </c>
      <c r="G7138" s="0" t="s">
        <v>2061</v>
      </c>
      <c r="H7138" s="0" t="s">
        <v>2052</v>
      </c>
      <c r="I7138" s="0" t="s">
        <v>2322</v>
      </c>
      <c r="J7138" s="0" t="s">
        <v>2368</v>
      </c>
      <c r="K7138" s="272" t="n">
        <v>-5911.72857142857</v>
      </c>
    </row>
    <row r="7139" customFormat="false" ht="15" hidden="false" customHeight="false" outlineLevel="0" collapsed="false">
      <c r="A7139" s="0" t="s">
        <v>2041</v>
      </c>
      <c r="B7139" s="0" t="s">
        <v>2042</v>
      </c>
      <c r="C7139" s="0" t="s">
        <v>2156</v>
      </c>
      <c r="D7139" s="0" t="s">
        <v>2044</v>
      </c>
      <c r="E7139" s="0" t="s">
        <v>2045</v>
      </c>
      <c r="F7139" s="0" t="s">
        <v>2046</v>
      </c>
      <c r="G7139" s="0" t="s">
        <v>2062</v>
      </c>
      <c r="H7139" s="0" t="s">
        <v>2048</v>
      </c>
      <c r="I7139" s="0" t="s">
        <v>2322</v>
      </c>
      <c r="J7139" s="0" t="s">
        <v>2368</v>
      </c>
      <c r="K7139" s="272" t="n">
        <v>-332638.65</v>
      </c>
    </row>
    <row r="7140" customFormat="false" ht="15" hidden="false" customHeight="false" outlineLevel="0" collapsed="false">
      <c r="A7140" s="0" t="s">
        <v>2041</v>
      </c>
      <c r="B7140" s="0" t="s">
        <v>2042</v>
      </c>
      <c r="C7140" s="0" t="s">
        <v>2161</v>
      </c>
      <c r="D7140" s="0" t="s">
        <v>2044</v>
      </c>
      <c r="E7140" s="0" t="s">
        <v>2045</v>
      </c>
      <c r="F7140" s="0" t="s">
        <v>2046</v>
      </c>
      <c r="G7140" s="0" t="s">
        <v>2062</v>
      </c>
      <c r="H7140" s="0" t="s">
        <v>2048</v>
      </c>
      <c r="I7140" s="0" t="s">
        <v>2322</v>
      </c>
      <c r="J7140" s="0" t="s">
        <v>2368</v>
      </c>
      <c r="K7140" s="272" t="n">
        <v>-100456.87</v>
      </c>
    </row>
    <row r="7141" customFormat="false" ht="15" hidden="false" customHeight="false" outlineLevel="0" collapsed="false">
      <c r="A7141" s="0" t="s">
        <v>2041</v>
      </c>
      <c r="B7141" s="0" t="s">
        <v>2042</v>
      </c>
      <c r="C7141" s="0" t="s">
        <v>2156</v>
      </c>
      <c r="D7141" s="0" t="s">
        <v>2044</v>
      </c>
      <c r="E7141" s="0" t="s">
        <v>2045</v>
      </c>
      <c r="F7141" s="0" t="s">
        <v>2051</v>
      </c>
      <c r="G7141" s="0" t="s">
        <v>2062</v>
      </c>
      <c r="H7141" s="0" t="s">
        <v>2052</v>
      </c>
      <c r="I7141" s="0" t="s">
        <v>2322</v>
      </c>
      <c r="J7141" s="0" t="s">
        <v>2368</v>
      </c>
      <c r="K7141" s="272" t="n">
        <v>-59227.35</v>
      </c>
    </row>
    <row r="7142" customFormat="false" ht="15" hidden="false" customHeight="false" outlineLevel="0" collapsed="false">
      <c r="A7142" s="0" t="s">
        <v>2041</v>
      </c>
      <c r="B7142" s="0" t="s">
        <v>2042</v>
      </c>
      <c r="C7142" s="0" t="s">
        <v>2161</v>
      </c>
      <c r="D7142" s="0" t="s">
        <v>2044</v>
      </c>
      <c r="E7142" s="0" t="s">
        <v>2045</v>
      </c>
      <c r="F7142" s="0" t="s">
        <v>2051</v>
      </c>
      <c r="G7142" s="0" t="s">
        <v>2062</v>
      </c>
      <c r="H7142" s="0" t="s">
        <v>2052</v>
      </c>
      <c r="I7142" s="0" t="s">
        <v>2322</v>
      </c>
      <c r="J7142" s="0" t="s">
        <v>2368</v>
      </c>
      <c r="K7142" s="272" t="n">
        <v>-17886.6589473684</v>
      </c>
    </row>
    <row r="7143" customFormat="false" ht="15" hidden="false" customHeight="false" outlineLevel="0" collapsed="false">
      <c r="A7143" s="0" t="s">
        <v>2041</v>
      </c>
      <c r="B7143" s="0" t="s">
        <v>2042</v>
      </c>
      <c r="C7143" s="0" t="s">
        <v>2156</v>
      </c>
      <c r="D7143" s="0" t="s">
        <v>2044</v>
      </c>
      <c r="E7143" s="0" t="s">
        <v>2045</v>
      </c>
      <c r="F7143" s="0" t="s">
        <v>2046</v>
      </c>
      <c r="G7143" s="0" t="s">
        <v>2063</v>
      </c>
      <c r="H7143" s="0" t="s">
        <v>2048</v>
      </c>
      <c r="I7143" s="0" t="s">
        <v>2322</v>
      </c>
      <c r="J7143" s="0" t="s">
        <v>2368</v>
      </c>
      <c r="K7143" s="272" t="n">
        <v>-392063.52</v>
      </c>
    </row>
    <row r="7144" customFormat="false" ht="15" hidden="false" customHeight="false" outlineLevel="0" collapsed="false">
      <c r="A7144" s="0" t="s">
        <v>2041</v>
      </c>
      <c r="B7144" s="0" t="s">
        <v>2042</v>
      </c>
      <c r="C7144" s="0" t="s">
        <v>2161</v>
      </c>
      <c r="D7144" s="0" t="s">
        <v>2044</v>
      </c>
      <c r="E7144" s="0" t="s">
        <v>2045</v>
      </c>
      <c r="F7144" s="0" t="s">
        <v>2046</v>
      </c>
      <c r="G7144" s="0" t="s">
        <v>2063</v>
      </c>
      <c r="H7144" s="0" t="s">
        <v>2048</v>
      </c>
      <c r="I7144" s="0" t="s">
        <v>2322</v>
      </c>
      <c r="J7144" s="0" t="s">
        <v>2368</v>
      </c>
      <c r="K7144" s="272" t="n">
        <v>-118403.18</v>
      </c>
    </row>
    <row r="7145" customFormat="false" ht="15" hidden="false" customHeight="false" outlineLevel="0" collapsed="false">
      <c r="A7145" s="0" t="s">
        <v>2041</v>
      </c>
      <c r="B7145" s="0" t="s">
        <v>2042</v>
      </c>
      <c r="C7145" s="0" t="s">
        <v>2156</v>
      </c>
      <c r="D7145" s="0" t="s">
        <v>2044</v>
      </c>
      <c r="E7145" s="0" t="s">
        <v>2045</v>
      </c>
      <c r="F7145" s="0" t="s">
        <v>2051</v>
      </c>
      <c r="G7145" s="0" t="s">
        <v>2063</v>
      </c>
      <c r="H7145" s="0" t="s">
        <v>2052</v>
      </c>
      <c r="I7145" s="0" t="s">
        <v>2322</v>
      </c>
      <c r="J7145" s="0" t="s">
        <v>2368</v>
      </c>
      <c r="K7145" s="272" t="n">
        <v>-98015.88</v>
      </c>
    </row>
    <row r="7146" customFormat="false" ht="15" hidden="false" customHeight="false" outlineLevel="0" collapsed="false">
      <c r="A7146" s="0" t="s">
        <v>2041</v>
      </c>
      <c r="B7146" s="0" t="s">
        <v>2042</v>
      </c>
      <c r="C7146" s="0" t="s">
        <v>2161</v>
      </c>
      <c r="D7146" s="0" t="s">
        <v>2044</v>
      </c>
      <c r="E7146" s="0" t="s">
        <v>2045</v>
      </c>
      <c r="F7146" s="0" t="s">
        <v>2051</v>
      </c>
      <c r="G7146" s="0" t="s">
        <v>2063</v>
      </c>
      <c r="H7146" s="0" t="s">
        <v>2052</v>
      </c>
      <c r="I7146" s="0" t="s">
        <v>2322</v>
      </c>
      <c r="J7146" s="0" t="s">
        <v>2368</v>
      </c>
      <c r="K7146" s="272" t="n">
        <v>-29600.795</v>
      </c>
    </row>
    <row r="7147" customFormat="false" ht="15" hidden="false" customHeight="false" outlineLevel="0" collapsed="false">
      <c r="A7147" s="0" t="s">
        <v>2041</v>
      </c>
      <c r="B7147" s="0" t="s">
        <v>2042</v>
      </c>
      <c r="C7147" s="0" t="s">
        <v>2156</v>
      </c>
      <c r="D7147" s="0" t="s">
        <v>2044</v>
      </c>
      <c r="E7147" s="0" t="s">
        <v>2045</v>
      </c>
      <c r="F7147" s="0" t="s">
        <v>2046</v>
      </c>
      <c r="G7147" s="0" t="s">
        <v>2064</v>
      </c>
      <c r="H7147" s="0" t="s">
        <v>2048</v>
      </c>
      <c r="I7147" s="0" t="s">
        <v>2322</v>
      </c>
      <c r="J7147" s="0" t="s">
        <v>2368</v>
      </c>
      <c r="K7147" s="272" t="n">
        <v>-2056562.2</v>
      </c>
    </row>
    <row r="7148" customFormat="false" ht="15" hidden="false" customHeight="false" outlineLevel="0" collapsed="false">
      <c r="A7148" s="0" t="s">
        <v>2041</v>
      </c>
      <c r="B7148" s="0" t="s">
        <v>2042</v>
      </c>
      <c r="C7148" s="0" t="s">
        <v>2161</v>
      </c>
      <c r="D7148" s="0" t="s">
        <v>2044</v>
      </c>
      <c r="E7148" s="0" t="s">
        <v>2045</v>
      </c>
      <c r="F7148" s="0" t="s">
        <v>2046</v>
      </c>
      <c r="G7148" s="0" t="s">
        <v>2064</v>
      </c>
      <c r="H7148" s="0" t="s">
        <v>2048</v>
      </c>
      <c r="I7148" s="0" t="s">
        <v>2322</v>
      </c>
      <c r="J7148" s="0" t="s">
        <v>2368</v>
      </c>
      <c r="K7148" s="272" t="n">
        <v>-569663.89</v>
      </c>
    </row>
    <row r="7149" customFormat="false" ht="15" hidden="false" customHeight="false" outlineLevel="0" collapsed="false">
      <c r="A7149" s="0" t="s">
        <v>2041</v>
      </c>
      <c r="B7149" s="0" t="s">
        <v>2042</v>
      </c>
      <c r="C7149" s="0" t="s">
        <v>2156</v>
      </c>
      <c r="D7149" s="0" t="s">
        <v>2044</v>
      </c>
      <c r="E7149" s="0" t="s">
        <v>2045</v>
      </c>
      <c r="F7149" s="0" t="s">
        <v>2051</v>
      </c>
      <c r="G7149" s="0" t="s">
        <v>2064</v>
      </c>
      <c r="H7149" s="0" t="s">
        <v>2052</v>
      </c>
      <c r="I7149" s="0" t="s">
        <v>2322</v>
      </c>
      <c r="J7149" s="0" t="s">
        <v>2368</v>
      </c>
      <c r="K7149" s="272" t="n">
        <v>-1727739.8</v>
      </c>
    </row>
    <row r="7150" customFormat="false" ht="15" hidden="false" customHeight="false" outlineLevel="0" collapsed="false">
      <c r="A7150" s="0" t="s">
        <v>2041</v>
      </c>
      <c r="B7150" s="0" t="s">
        <v>2042</v>
      </c>
      <c r="C7150" s="0" t="s">
        <v>2161</v>
      </c>
      <c r="D7150" s="0" t="s">
        <v>2044</v>
      </c>
      <c r="E7150" s="0" t="s">
        <v>2045</v>
      </c>
      <c r="F7150" s="0" t="s">
        <v>2051</v>
      </c>
      <c r="G7150" s="0" t="s">
        <v>2064</v>
      </c>
      <c r="H7150" s="0" t="s">
        <v>2052</v>
      </c>
      <c r="I7150" s="0" t="s">
        <v>2322</v>
      </c>
      <c r="J7150" s="0" t="s">
        <v>2368</v>
      </c>
      <c r="K7150" s="272" t="n">
        <v>-470359.526666667</v>
      </c>
    </row>
    <row r="7151" customFormat="false" ht="15" hidden="false" customHeight="false" outlineLevel="0" collapsed="false">
      <c r="A7151" s="0" t="s">
        <v>2041</v>
      </c>
      <c r="B7151" s="0" t="s">
        <v>2042</v>
      </c>
      <c r="C7151" s="0" t="s">
        <v>2156</v>
      </c>
      <c r="D7151" s="0" t="s">
        <v>2044</v>
      </c>
      <c r="E7151" s="0" t="s">
        <v>2045</v>
      </c>
      <c r="F7151" s="0" t="s">
        <v>2046</v>
      </c>
      <c r="G7151" s="0" t="s">
        <v>2065</v>
      </c>
      <c r="H7151" s="0" t="s">
        <v>2048</v>
      </c>
      <c r="I7151" s="0" t="s">
        <v>2322</v>
      </c>
      <c r="J7151" s="0" t="s">
        <v>2368</v>
      </c>
      <c r="K7151" s="272" t="n">
        <v>-244207.26</v>
      </c>
    </row>
    <row r="7152" customFormat="false" ht="15" hidden="false" customHeight="false" outlineLevel="0" collapsed="false">
      <c r="A7152" s="0" t="s">
        <v>2041</v>
      </c>
      <c r="B7152" s="0" t="s">
        <v>2042</v>
      </c>
      <c r="C7152" s="0" t="s">
        <v>2161</v>
      </c>
      <c r="D7152" s="0" t="s">
        <v>2044</v>
      </c>
      <c r="E7152" s="0" t="s">
        <v>2045</v>
      </c>
      <c r="F7152" s="0" t="s">
        <v>2046</v>
      </c>
      <c r="G7152" s="0" t="s">
        <v>2065</v>
      </c>
      <c r="H7152" s="0" t="s">
        <v>2048</v>
      </c>
      <c r="I7152" s="0" t="s">
        <v>2322</v>
      </c>
      <c r="J7152" s="0" t="s">
        <v>2368</v>
      </c>
      <c r="K7152" s="272" t="n">
        <v>-73750.59</v>
      </c>
    </row>
    <row r="7153" customFormat="false" ht="15" hidden="false" customHeight="false" outlineLevel="0" collapsed="false">
      <c r="A7153" s="0" t="s">
        <v>2041</v>
      </c>
      <c r="B7153" s="0" t="s">
        <v>2042</v>
      </c>
      <c r="C7153" s="0" t="s">
        <v>2156</v>
      </c>
      <c r="D7153" s="0" t="s">
        <v>2044</v>
      </c>
      <c r="E7153" s="0" t="s">
        <v>2045</v>
      </c>
      <c r="F7153" s="0" t="s">
        <v>2051</v>
      </c>
      <c r="G7153" s="0" t="s">
        <v>2065</v>
      </c>
      <c r="H7153" s="0" t="s">
        <v>2052</v>
      </c>
      <c r="I7153" s="0" t="s">
        <v>2322</v>
      </c>
      <c r="J7153" s="0" t="s">
        <v>2368</v>
      </c>
      <c r="K7153" s="272" t="n">
        <v>-2466.74</v>
      </c>
    </row>
    <row r="7154" customFormat="false" ht="15" hidden="false" customHeight="false" outlineLevel="0" collapsed="false">
      <c r="A7154" s="0" t="s">
        <v>2041</v>
      </c>
      <c r="B7154" s="0" t="s">
        <v>2042</v>
      </c>
      <c r="C7154" s="0" t="s">
        <v>2161</v>
      </c>
      <c r="D7154" s="0" t="s">
        <v>2044</v>
      </c>
      <c r="E7154" s="0" t="s">
        <v>2045</v>
      </c>
      <c r="F7154" s="0" t="s">
        <v>2051</v>
      </c>
      <c r="G7154" s="0" t="s">
        <v>2065</v>
      </c>
      <c r="H7154" s="0" t="s">
        <v>2052</v>
      </c>
      <c r="I7154" s="0" t="s">
        <v>2322</v>
      </c>
      <c r="J7154" s="0" t="s">
        <v>2368</v>
      </c>
      <c r="K7154" s="272" t="n">
        <v>-744.955454545454</v>
      </c>
    </row>
    <row r="7155" customFormat="false" ht="15" hidden="false" customHeight="false" outlineLevel="0" collapsed="false">
      <c r="A7155" s="0" t="s">
        <v>2041</v>
      </c>
      <c r="B7155" s="0" t="s">
        <v>2042</v>
      </c>
      <c r="C7155" s="0" t="s">
        <v>2156</v>
      </c>
      <c r="D7155" s="0" t="s">
        <v>2044</v>
      </c>
      <c r="E7155" s="0" t="s">
        <v>2045</v>
      </c>
      <c r="F7155" s="0" t="s">
        <v>2046</v>
      </c>
      <c r="G7155" s="0" t="s">
        <v>2066</v>
      </c>
      <c r="H7155" s="0" t="s">
        <v>2048</v>
      </c>
      <c r="I7155" s="0" t="s">
        <v>2322</v>
      </c>
      <c r="J7155" s="0" t="s">
        <v>2368</v>
      </c>
      <c r="K7155" s="272" t="n">
        <v>-866934.9</v>
      </c>
    </row>
    <row r="7156" customFormat="false" ht="15" hidden="false" customHeight="false" outlineLevel="0" collapsed="false">
      <c r="A7156" s="0" t="s">
        <v>2041</v>
      </c>
      <c r="B7156" s="0" t="s">
        <v>2042</v>
      </c>
      <c r="C7156" s="0" t="s">
        <v>2161</v>
      </c>
      <c r="D7156" s="0" t="s">
        <v>2044</v>
      </c>
      <c r="E7156" s="0" t="s">
        <v>2045</v>
      </c>
      <c r="F7156" s="0" t="s">
        <v>2046</v>
      </c>
      <c r="G7156" s="0" t="s">
        <v>2066</v>
      </c>
      <c r="H7156" s="0" t="s">
        <v>2048</v>
      </c>
      <c r="I7156" s="0" t="s">
        <v>2322</v>
      </c>
      <c r="J7156" s="0" t="s">
        <v>2368</v>
      </c>
      <c r="K7156" s="272" t="n">
        <v>-261814.34</v>
      </c>
    </row>
    <row r="7157" customFormat="false" ht="15" hidden="false" customHeight="false" outlineLevel="0" collapsed="false">
      <c r="A7157" s="0" t="s">
        <v>2041</v>
      </c>
      <c r="B7157" s="0" t="s">
        <v>2042</v>
      </c>
      <c r="C7157" s="0" t="s">
        <v>2156</v>
      </c>
      <c r="D7157" s="0" t="s">
        <v>2044</v>
      </c>
      <c r="E7157" s="0" t="s">
        <v>2045</v>
      </c>
      <c r="F7157" s="0" t="s">
        <v>2051</v>
      </c>
      <c r="G7157" s="0" t="s">
        <v>2066</v>
      </c>
      <c r="H7157" s="0" t="s">
        <v>2052</v>
      </c>
      <c r="I7157" s="0" t="s">
        <v>2322</v>
      </c>
      <c r="J7157" s="0" t="s">
        <v>2368</v>
      </c>
      <c r="K7157" s="272" t="n">
        <v>-14068.1</v>
      </c>
    </row>
    <row r="7158" customFormat="false" ht="15" hidden="false" customHeight="false" outlineLevel="0" collapsed="false">
      <c r="A7158" s="0" t="s">
        <v>2041</v>
      </c>
      <c r="B7158" s="0" t="s">
        <v>2042</v>
      </c>
      <c r="C7158" s="0" t="s">
        <v>2161</v>
      </c>
      <c r="D7158" s="0" t="s">
        <v>2044</v>
      </c>
      <c r="E7158" s="0" t="s">
        <v>2045</v>
      </c>
      <c r="F7158" s="0" t="s">
        <v>2051</v>
      </c>
      <c r="G7158" s="0" t="s">
        <v>2066</v>
      </c>
      <c r="H7158" s="0" t="s">
        <v>2052</v>
      </c>
      <c r="I7158" s="0" t="s">
        <v>2322</v>
      </c>
      <c r="J7158" s="0" t="s">
        <v>2368</v>
      </c>
      <c r="K7158" s="272" t="n">
        <v>-4248.56631578947</v>
      </c>
    </row>
    <row r="7159" customFormat="false" ht="15" hidden="false" customHeight="false" outlineLevel="0" collapsed="false">
      <c r="A7159" s="0" t="s">
        <v>2041</v>
      </c>
      <c r="B7159" s="0" t="s">
        <v>2042</v>
      </c>
      <c r="C7159" s="0" t="s">
        <v>2156</v>
      </c>
      <c r="D7159" s="0" t="s">
        <v>2044</v>
      </c>
      <c r="E7159" s="0" t="s">
        <v>2045</v>
      </c>
      <c r="F7159" s="0" t="s">
        <v>2051</v>
      </c>
      <c r="G7159" s="0" t="s">
        <v>2067</v>
      </c>
      <c r="H7159" s="0" t="s">
        <v>2052</v>
      </c>
      <c r="I7159" s="0" t="s">
        <v>2322</v>
      </c>
      <c r="J7159" s="0" t="s">
        <v>2368</v>
      </c>
      <c r="K7159" s="272" t="n">
        <v>-603915</v>
      </c>
    </row>
    <row r="7160" customFormat="false" ht="15" hidden="false" customHeight="false" outlineLevel="0" collapsed="false">
      <c r="A7160" s="0" t="s">
        <v>2041</v>
      </c>
      <c r="B7160" s="0" t="s">
        <v>2042</v>
      </c>
      <c r="C7160" s="0" t="s">
        <v>2161</v>
      </c>
      <c r="D7160" s="0" t="s">
        <v>2044</v>
      </c>
      <c r="E7160" s="0" t="s">
        <v>2045</v>
      </c>
      <c r="F7160" s="0" t="s">
        <v>2051</v>
      </c>
      <c r="G7160" s="0" t="s">
        <v>2067</v>
      </c>
      <c r="H7160" s="0" t="s">
        <v>2052</v>
      </c>
      <c r="I7160" s="0" t="s">
        <v>2322</v>
      </c>
      <c r="J7160" s="0" t="s">
        <v>2368</v>
      </c>
      <c r="K7160" s="272" t="n">
        <v>-182382.32</v>
      </c>
    </row>
    <row r="7161" customFormat="false" ht="15" hidden="false" customHeight="false" outlineLevel="0" collapsed="false">
      <c r="A7161" s="0" t="s">
        <v>2041</v>
      </c>
      <c r="B7161" s="0" t="s">
        <v>2042</v>
      </c>
      <c r="C7161" s="0" t="s">
        <v>2156</v>
      </c>
      <c r="D7161" s="0" t="s">
        <v>2044</v>
      </c>
      <c r="E7161" s="0" t="s">
        <v>2045</v>
      </c>
      <c r="F7161" s="0" t="s">
        <v>2046</v>
      </c>
      <c r="G7161" s="0" t="s">
        <v>2068</v>
      </c>
      <c r="H7161" s="0" t="s">
        <v>2048</v>
      </c>
      <c r="I7161" s="0" t="s">
        <v>2322</v>
      </c>
      <c r="J7161" s="0" t="s">
        <v>2368</v>
      </c>
      <c r="K7161" s="272" t="n">
        <v>-3783760.96</v>
      </c>
    </row>
    <row r="7162" customFormat="false" ht="15" hidden="false" customHeight="false" outlineLevel="0" collapsed="false">
      <c r="A7162" s="0" t="s">
        <v>2041</v>
      </c>
      <c r="B7162" s="0" t="s">
        <v>2042</v>
      </c>
      <c r="C7162" s="0" t="s">
        <v>2161</v>
      </c>
      <c r="D7162" s="0" t="s">
        <v>2044</v>
      </c>
      <c r="E7162" s="0" t="s">
        <v>2045</v>
      </c>
      <c r="F7162" s="0" t="s">
        <v>2046</v>
      </c>
      <c r="G7162" s="0" t="s">
        <v>2068</v>
      </c>
      <c r="H7162" s="0" t="s">
        <v>2048</v>
      </c>
      <c r="I7162" s="0" t="s">
        <v>2322</v>
      </c>
      <c r="J7162" s="0" t="s">
        <v>2368</v>
      </c>
      <c r="K7162" s="272" t="n">
        <v>-843746.44</v>
      </c>
    </row>
    <row r="7163" customFormat="false" ht="15" hidden="false" customHeight="false" outlineLevel="0" collapsed="false">
      <c r="A7163" s="0" t="s">
        <v>2041</v>
      </c>
      <c r="B7163" s="0" t="s">
        <v>2042</v>
      </c>
      <c r="C7163" s="0" t="s">
        <v>2156</v>
      </c>
      <c r="D7163" s="0" t="s">
        <v>2044</v>
      </c>
      <c r="E7163" s="0" t="s">
        <v>2045</v>
      </c>
      <c r="F7163" s="0" t="s">
        <v>2051</v>
      </c>
      <c r="G7163" s="0" t="s">
        <v>2068</v>
      </c>
      <c r="H7163" s="0" t="s">
        <v>2052</v>
      </c>
      <c r="I7163" s="0" t="s">
        <v>2322</v>
      </c>
      <c r="J7163" s="0" t="s">
        <v>2368</v>
      </c>
      <c r="K7163" s="272" t="n">
        <v>-232659.84</v>
      </c>
    </row>
    <row r="7164" customFormat="false" ht="15" hidden="false" customHeight="false" outlineLevel="0" collapsed="false">
      <c r="A7164" s="0" t="s">
        <v>2041</v>
      </c>
      <c r="B7164" s="0" t="s">
        <v>2042</v>
      </c>
      <c r="C7164" s="0" t="s">
        <v>2161</v>
      </c>
      <c r="D7164" s="0" t="s">
        <v>2044</v>
      </c>
      <c r="E7164" s="0" t="s">
        <v>2045</v>
      </c>
      <c r="F7164" s="0" t="s">
        <v>2051</v>
      </c>
      <c r="G7164" s="0" t="s">
        <v>2068</v>
      </c>
      <c r="H7164" s="0" t="s">
        <v>2052</v>
      </c>
      <c r="I7164" s="0" t="s">
        <v>2322</v>
      </c>
      <c r="J7164" s="0" t="s">
        <v>2368</v>
      </c>
      <c r="K7164" s="272" t="n">
        <v>-70263.2744444445</v>
      </c>
    </row>
    <row r="7165" customFormat="false" ht="15" hidden="false" customHeight="false" outlineLevel="0" collapsed="false">
      <c r="A7165" s="0" t="s">
        <v>2041</v>
      </c>
      <c r="B7165" s="0" t="s">
        <v>2042</v>
      </c>
      <c r="C7165" s="0" t="s">
        <v>2156</v>
      </c>
      <c r="D7165" s="0" t="s">
        <v>2044</v>
      </c>
      <c r="E7165" s="0" t="s">
        <v>2045</v>
      </c>
      <c r="F7165" s="0" t="s">
        <v>2046</v>
      </c>
      <c r="G7165" s="0" t="s">
        <v>2069</v>
      </c>
      <c r="H7165" s="0" t="s">
        <v>2048</v>
      </c>
      <c r="I7165" s="0" t="s">
        <v>2322</v>
      </c>
      <c r="J7165" s="0" t="s">
        <v>2368</v>
      </c>
      <c r="K7165" s="272" t="n">
        <v>-466115</v>
      </c>
    </row>
    <row r="7166" customFormat="false" ht="15" hidden="false" customHeight="false" outlineLevel="0" collapsed="false">
      <c r="A7166" s="0" t="s">
        <v>2041</v>
      </c>
      <c r="B7166" s="0" t="s">
        <v>2042</v>
      </c>
      <c r="C7166" s="0" t="s">
        <v>2161</v>
      </c>
      <c r="D7166" s="0" t="s">
        <v>2044</v>
      </c>
      <c r="E7166" s="0" t="s">
        <v>2045</v>
      </c>
      <c r="F7166" s="0" t="s">
        <v>2046</v>
      </c>
      <c r="G7166" s="0" t="s">
        <v>2069</v>
      </c>
      <c r="H7166" s="0" t="s">
        <v>2048</v>
      </c>
      <c r="I7166" s="0" t="s">
        <v>2322</v>
      </c>
      <c r="J7166" s="0" t="s">
        <v>2368</v>
      </c>
      <c r="K7166" s="272" t="n">
        <v>-140766.73</v>
      </c>
    </row>
    <row r="7167" customFormat="false" ht="15" hidden="false" customHeight="false" outlineLevel="0" collapsed="false">
      <c r="A7167" s="0" t="s">
        <v>2041</v>
      </c>
      <c r="B7167" s="0" t="s">
        <v>2042</v>
      </c>
      <c r="C7167" s="0" t="s">
        <v>2156</v>
      </c>
      <c r="D7167" s="0" t="s">
        <v>2044</v>
      </c>
      <c r="E7167" s="0" t="s">
        <v>2045</v>
      </c>
      <c r="F7167" s="0" t="s">
        <v>2046</v>
      </c>
      <c r="G7167" s="0" t="s">
        <v>2070</v>
      </c>
      <c r="H7167" s="0" t="s">
        <v>2048</v>
      </c>
      <c r="I7167" s="0" t="s">
        <v>2322</v>
      </c>
      <c r="J7167" s="0" t="s">
        <v>2368</v>
      </c>
      <c r="K7167" s="272" t="n">
        <v>-260830.35</v>
      </c>
    </row>
    <row r="7168" customFormat="false" ht="15" hidden="false" customHeight="false" outlineLevel="0" collapsed="false">
      <c r="A7168" s="0" t="s">
        <v>2041</v>
      </c>
      <c r="B7168" s="0" t="s">
        <v>2042</v>
      </c>
      <c r="C7168" s="0" t="s">
        <v>2161</v>
      </c>
      <c r="D7168" s="0" t="s">
        <v>2044</v>
      </c>
      <c r="E7168" s="0" t="s">
        <v>2045</v>
      </c>
      <c r="F7168" s="0" t="s">
        <v>2046</v>
      </c>
      <c r="G7168" s="0" t="s">
        <v>2070</v>
      </c>
      <c r="H7168" s="0" t="s">
        <v>2048</v>
      </c>
      <c r="I7168" s="0" t="s">
        <v>2322</v>
      </c>
      <c r="J7168" s="0" t="s">
        <v>2368</v>
      </c>
      <c r="K7168" s="272" t="n">
        <v>-78770.77</v>
      </c>
    </row>
    <row r="7169" customFormat="false" ht="15" hidden="false" customHeight="false" outlineLevel="0" collapsed="false">
      <c r="A7169" s="0" t="s">
        <v>2041</v>
      </c>
      <c r="B7169" s="0" t="s">
        <v>2042</v>
      </c>
      <c r="C7169" s="0" t="s">
        <v>2156</v>
      </c>
      <c r="D7169" s="0" t="s">
        <v>2044</v>
      </c>
      <c r="E7169" s="0" t="s">
        <v>2045</v>
      </c>
      <c r="F7169" s="0" t="s">
        <v>2051</v>
      </c>
      <c r="G7169" s="0" t="s">
        <v>2070</v>
      </c>
      <c r="H7169" s="0" t="s">
        <v>2052</v>
      </c>
      <c r="I7169" s="0" t="s">
        <v>2322</v>
      </c>
      <c r="J7169" s="0" t="s">
        <v>2368</v>
      </c>
      <c r="K7169" s="272" t="n">
        <v>-564138.25</v>
      </c>
    </row>
    <row r="7170" customFormat="false" ht="15" hidden="false" customHeight="false" outlineLevel="0" collapsed="false">
      <c r="A7170" s="0" t="s">
        <v>2041</v>
      </c>
      <c r="B7170" s="0" t="s">
        <v>2042</v>
      </c>
      <c r="C7170" s="0" t="s">
        <v>2161</v>
      </c>
      <c r="D7170" s="0" t="s">
        <v>2044</v>
      </c>
      <c r="E7170" s="0" t="s">
        <v>2045</v>
      </c>
      <c r="F7170" s="0" t="s">
        <v>2051</v>
      </c>
      <c r="G7170" s="0" t="s">
        <v>2070</v>
      </c>
      <c r="H7170" s="0" t="s">
        <v>2052</v>
      </c>
      <c r="I7170" s="0" t="s">
        <v>2322</v>
      </c>
      <c r="J7170" s="0" t="s">
        <v>2368</v>
      </c>
      <c r="K7170" s="272" t="n">
        <v>-170369.77</v>
      </c>
    </row>
    <row r="7171" customFormat="false" ht="15" hidden="false" customHeight="false" outlineLevel="0" collapsed="false">
      <c r="A7171" s="0" t="s">
        <v>2041</v>
      </c>
      <c r="B7171" s="0" t="s">
        <v>2042</v>
      </c>
      <c r="C7171" s="0" t="s">
        <v>2156</v>
      </c>
      <c r="D7171" s="0" t="s">
        <v>2044</v>
      </c>
      <c r="E7171" s="0" t="s">
        <v>2045</v>
      </c>
      <c r="F7171" s="0" t="s">
        <v>2046</v>
      </c>
      <c r="G7171" s="0" t="s">
        <v>2072</v>
      </c>
      <c r="H7171" s="0" t="s">
        <v>2048</v>
      </c>
      <c r="I7171" s="0" t="s">
        <v>2322</v>
      </c>
      <c r="J7171" s="0" t="s">
        <v>2368</v>
      </c>
      <c r="K7171" s="272" t="n">
        <v>-348029.008</v>
      </c>
    </row>
    <row r="7172" customFormat="false" ht="15" hidden="false" customHeight="false" outlineLevel="0" collapsed="false">
      <c r="A7172" s="0" t="s">
        <v>2041</v>
      </c>
      <c r="B7172" s="0" t="s">
        <v>2042</v>
      </c>
      <c r="C7172" s="0" t="s">
        <v>2161</v>
      </c>
      <c r="D7172" s="0" t="s">
        <v>2044</v>
      </c>
      <c r="E7172" s="0" t="s">
        <v>2045</v>
      </c>
      <c r="F7172" s="0" t="s">
        <v>2046</v>
      </c>
      <c r="G7172" s="0" t="s">
        <v>2072</v>
      </c>
      <c r="H7172" s="0" t="s">
        <v>2048</v>
      </c>
      <c r="I7172" s="0" t="s">
        <v>2322</v>
      </c>
      <c r="J7172" s="0" t="s">
        <v>2368</v>
      </c>
      <c r="K7172" s="272" t="n">
        <v>-105104.749396</v>
      </c>
    </row>
    <row r="7173" customFormat="false" ht="15" hidden="false" customHeight="false" outlineLevel="0" collapsed="false">
      <c r="A7173" s="0" t="s">
        <v>2041</v>
      </c>
      <c r="B7173" s="0" t="s">
        <v>2042</v>
      </c>
      <c r="C7173" s="0" t="s">
        <v>2156</v>
      </c>
      <c r="D7173" s="0" t="s">
        <v>2044</v>
      </c>
      <c r="E7173" s="0" t="s">
        <v>2045</v>
      </c>
      <c r="F7173" s="0" t="s">
        <v>2051</v>
      </c>
      <c r="G7173" s="0" t="s">
        <v>2072</v>
      </c>
      <c r="H7173" s="0" t="s">
        <v>2052</v>
      </c>
      <c r="I7173" s="0" t="s">
        <v>2322</v>
      </c>
      <c r="J7173" s="0" t="s">
        <v>2368</v>
      </c>
      <c r="K7173" s="272" t="n">
        <v>-502348.842</v>
      </c>
    </row>
    <row r="7174" customFormat="false" ht="15" hidden="false" customHeight="false" outlineLevel="0" collapsed="false">
      <c r="A7174" s="0" t="s">
        <v>2041</v>
      </c>
      <c r="B7174" s="0" t="s">
        <v>2042</v>
      </c>
      <c r="C7174" s="0" t="s">
        <v>2161</v>
      </c>
      <c r="D7174" s="0" t="s">
        <v>2044</v>
      </c>
      <c r="E7174" s="0" t="s">
        <v>2045</v>
      </c>
      <c r="F7174" s="0" t="s">
        <v>2051</v>
      </c>
      <c r="G7174" s="0" t="s">
        <v>2072</v>
      </c>
      <c r="H7174" s="0" t="s">
        <v>2052</v>
      </c>
      <c r="I7174" s="0" t="s">
        <v>2322</v>
      </c>
      <c r="J7174" s="0" t="s">
        <v>2368</v>
      </c>
      <c r="K7174" s="272" t="n">
        <v>-151709.335174996</v>
      </c>
    </row>
    <row r="7175" customFormat="false" ht="15" hidden="false" customHeight="false" outlineLevel="0" collapsed="false">
      <c r="A7175" s="0" t="s">
        <v>2041</v>
      </c>
      <c r="B7175" s="0" t="s">
        <v>2042</v>
      </c>
      <c r="C7175" s="0" t="s">
        <v>2156</v>
      </c>
      <c r="D7175" s="0" t="s">
        <v>2044</v>
      </c>
      <c r="E7175" s="0" t="s">
        <v>2045</v>
      </c>
      <c r="F7175" s="0" t="s">
        <v>2046</v>
      </c>
      <c r="G7175" s="0" t="s">
        <v>2073</v>
      </c>
      <c r="H7175" s="0" t="s">
        <v>2048</v>
      </c>
      <c r="I7175" s="0" t="s">
        <v>2322</v>
      </c>
      <c r="J7175" s="0" t="s">
        <v>2368</v>
      </c>
      <c r="K7175" s="272" t="n">
        <v>-610232.3</v>
      </c>
    </row>
    <row r="7176" customFormat="false" ht="15" hidden="false" customHeight="false" outlineLevel="0" collapsed="false">
      <c r="A7176" s="0" t="s">
        <v>2041</v>
      </c>
      <c r="B7176" s="0" t="s">
        <v>2042</v>
      </c>
      <c r="C7176" s="0" t="s">
        <v>2161</v>
      </c>
      <c r="D7176" s="0" t="s">
        <v>2044</v>
      </c>
      <c r="E7176" s="0" t="s">
        <v>2045</v>
      </c>
      <c r="F7176" s="0" t="s">
        <v>2046</v>
      </c>
      <c r="G7176" s="0" t="s">
        <v>2073</v>
      </c>
      <c r="H7176" s="0" t="s">
        <v>2048</v>
      </c>
      <c r="I7176" s="0" t="s">
        <v>2322</v>
      </c>
      <c r="J7176" s="0" t="s">
        <v>2368</v>
      </c>
      <c r="K7176" s="272" t="n">
        <v>-184290.16</v>
      </c>
    </row>
    <row r="7177" customFormat="false" ht="15" hidden="false" customHeight="false" outlineLevel="0" collapsed="false">
      <c r="A7177" s="0" t="s">
        <v>2041</v>
      </c>
      <c r="B7177" s="0" t="s">
        <v>2042</v>
      </c>
      <c r="C7177" s="0" t="s">
        <v>2156</v>
      </c>
      <c r="D7177" s="0" t="s">
        <v>2044</v>
      </c>
      <c r="E7177" s="0" t="s">
        <v>2045</v>
      </c>
      <c r="F7177" s="0" t="s">
        <v>2051</v>
      </c>
      <c r="G7177" s="0" t="s">
        <v>2073</v>
      </c>
      <c r="H7177" s="0" t="s">
        <v>2052</v>
      </c>
      <c r="I7177" s="0" t="s">
        <v>2322</v>
      </c>
      <c r="J7177" s="0" t="s">
        <v>2368</v>
      </c>
      <c r="K7177" s="272" t="n">
        <v>-990830.7</v>
      </c>
    </row>
    <row r="7178" customFormat="false" ht="15" hidden="false" customHeight="false" outlineLevel="0" collapsed="false">
      <c r="A7178" s="0" t="s">
        <v>2041</v>
      </c>
      <c r="B7178" s="0" t="s">
        <v>2042</v>
      </c>
      <c r="C7178" s="0" t="s">
        <v>2161</v>
      </c>
      <c r="D7178" s="0" t="s">
        <v>2044</v>
      </c>
      <c r="E7178" s="0" t="s">
        <v>2045</v>
      </c>
      <c r="F7178" s="0" t="s">
        <v>2051</v>
      </c>
      <c r="G7178" s="0" t="s">
        <v>2073</v>
      </c>
      <c r="H7178" s="0" t="s">
        <v>2052</v>
      </c>
      <c r="I7178" s="0" t="s">
        <v>2322</v>
      </c>
      <c r="J7178" s="0" t="s">
        <v>2368</v>
      </c>
      <c r="K7178" s="272" t="n">
        <v>-299230.92</v>
      </c>
    </row>
    <row r="7179" customFormat="false" ht="15" hidden="false" customHeight="false" outlineLevel="0" collapsed="false">
      <c r="A7179" s="0" t="s">
        <v>2041</v>
      </c>
      <c r="B7179" s="0" t="s">
        <v>2042</v>
      </c>
      <c r="C7179" s="0" t="s">
        <v>2156</v>
      </c>
      <c r="D7179" s="0" t="s">
        <v>2044</v>
      </c>
      <c r="E7179" s="0" t="s">
        <v>2045</v>
      </c>
      <c r="F7179" s="0" t="s">
        <v>2046</v>
      </c>
      <c r="G7179" s="0" t="s">
        <v>2074</v>
      </c>
      <c r="H7179" s="0" t="s">
        <v>2048</v>
      </c>
      <c r="I7179" s="0" t="s">
        <v>2322</v>
      </c>
      <c r="J7179" s="0" t="s">
        <v>2368</v>
      </c>
      <c r="K7179" s="272" t="n">
        <v>-209553</v>
      </c>
    </row>
    <row r="7180" customFormat="false" ht="15" hidden="false" customHeight="false" outlineLevel="0" collapsed="false">
      <c r="A7180" s="0" t="s">
        <v>2041</v>
      </c>
      <c r="B7180" s="0" t="s">
        <v>2042</v>
      </c>
      <c r="C7180" s="0" t="s">
        <v>2161</v>
      </c>
      <c r="D7180" s="0" t="s">
        <v>2044</v>
      </c>
      <c r="E7180" s="0" t="s">
        <v>2045</v>
      </c>
      <c r="F7180" s="0" t="s">
        <v>2046</v>
      </c>
      <c r="G7180" s="0" t="s">
        <v>2074</v>
      </c>
      <c r="H7180" s="0" t="s">
        <v>2048</v>
      </c>
      <c r="I7180" s="0" t="s">
        <v>2322</v>
      </c>
      <c r="J7180" s="0" t="s">
        <v>2368</v>
      </c>
      <c r="K7180" s="272" t="n">
        <v>-63285.01</v>
      </c>
    </row>
    <row r="7181" customFormat="false" ht="15" hidden="false" customHeight="false" outlineLevel="0" collapsed="false">
      <c r="A7181" s="0" t="s">
        <v>2041</v>
      </c>
      <c r="B7181" s="0" t="s">
        <v>2042</v>
      </c>
      <c r="C7181" s="0" t="s">
        <v>2156</v>
      </c>
      <c r="D7181" s="0" t="s">
        <v>2044</v>
      </c>
      <c r="E7181" s="0" t="s">
        <v>2045</v>
      </c>
      <c r="F7181" s="0" t="s">
        <v>2051</v>
      </c>
      <c r="G7181" s="0" t="s">
        <v>2074</v>
      </c>
      <c r="H7181" s="0" t="s">
        <v>2052</v>
      </c>
      <c r="I7181" s="0" t="s">
        <v>2322</v>
      </c>
      <c r="J7181" s="0" t="s">
        <v>2368</v>
      </c>
      <c r="K7181" s="272" t="n">
        <v>-209553</v>
      </c>
    </row>
    <row r="7182" customFormat="false" ht="15" hidden="false" customHeight="false" outlineLevel="0" collapsed="false">
      <c r="A7182" s="0" t="s">
        <v>2041</v>
      </c>
      <c r="B7182" s="0" t="s">
        <v>2042</v>
      </c>
      <c r="C7182" s="0" t="s">
        <v>2161</v>
      </c>
      <c r="D7182" s="0" t="s">
        <v>2044</v>
      </c>
      <c r="E7182" s="0" t="s">
        <v>2045</v>
      </c>
      <c r="F7182" s="0" t="s">
        <v>2051</v>
      </c>
      <c r="G7182" s="0" t="s">
        <v>2074</v>
      </c>
      <c r="H7182" s="0" t="s">
        <v>2052</v>
      </c>
      <c r="I7182" s="0" t="s">
        <v>2322</v>
      </c>
      <c r="J7182" s="0" t="s">
        <v>2368</v>
      </c>
      <c r="K7182" s="272" t="n">
        <v>-63285.01</v>
      </c>
    </row>
    <row r="7183" customFormat="false" ht="15" hidden="false" customHeight="false" outlineLevel="0" collapsed="false">
      <c r="A7183" s="0" t="s">
        <v>2041</v>
      </c>
      <c r="B7183" s="0" t="s">
        <v>2042</v>
      </c>
      <c r="C7183" s="0" t="s">
        <v>2156</v>
      </c>
      <c r="D7183" s="0" t="s">
        <v>2044</v>
      </c>
      <c r="E7183" s="0" t="s">
        <v>2045</v>
      </c>
      <c r="F7183" s="0" t="s">
        <v>2046</v>
      </c>
      <c r="G7183" s="0" t="s">
        <v>2075</v>
      </c>
      <c r="H7183" s="0" t="s">
        <v>2048</v>
      </c>
      <c r="I7183" s="0" t="s">
        <v>2322</v>
      </c>
      <c r="J7183" s="0" t="s">
        <v>2368</v>
      </c>
      <c r="K7183" s="272" t="n">
        <v>-20874.54</v>
      </c>
    </row>
    <row r="7184" customFormat="false" ht="15" hidden="false" customHeight="false" outlineLevel="0" collapsed="false">
      <c r="A7184" s="0" t="s">
        <v>2041</v>
      </c>
      <c r="B7184" s="0" t="s">
        <v>2042</v>
      </c>
      <c r="C7184" s="0" t="s">
        <v>2161</v>
      </c>
      <c r="D7184" s="0" t="s">
        <v>2044</v>
      </c>
      <c r="E7184" s="0" t="s">
        <v>2045</v>
      </c>
      <c r="F7184" s="0" t="s">
        <v>2046</v>
      </c>
      <c r="G7184" s="0" t="s">
        <v>2075</v>
      </c>
      <c r="H7184" s="0" t="s">
        <v>2048</v>
      </c>
      <c r="I7184" s="0" t="s">
        <v>2322</v>
      </c>
      <c r="J7184" s="0" t="s">
        <v>2368</v>
      </c>
      <c r="K7184" s="272" t="n">
        <v>-6304.11</v>
      </c>
    </row>
    <row r="7185" customFormat="false" ht="15" hidden="false" customHeight="false" outlineLevel="0" collapsed="false">
      <c r="A7185" s="0" t="s">
        <v>2041</v>
      </c>
      <c r="B7185" s="0" t="s">
        <v>2042</v>
      </c>
      <c r="C7185" s="0" t="s">
        <v>2156</v>
      </c>
      <c r="D7185" s="0" t="s">
        <v>2044</v>
      </c>
      <c r="E7185" s="0" t="s">
        <v>2045</v>
      </c>
      <c r="F7185" s="0" t="s">
        <v>2051</v>
      </c>
      <c r="G7185" s="0" t="s">
        <v>2075</v>
      </c>
      <c r="H7185" s="0" t="s">
        <v>2052</v>
      </c>
      <c r="I7185" s="0" t="s">
        <v>2322</v>
      </c>
      <c r="J7185" s="0" t="s">
        <v>2368</v>
      </c>
      <c r="K7185" s="272" t="n">
        <v>-674943.46</v>
      </c>
    </row>
    <row r="7186" customFormat="false" ht="15" hidden="false" customHeight="false" outlineLevel="0" collapsed="false">
      <c r="A7186" s="0" t="s">
        <v>2041</v>
      </c>
      <c r="B7186" s="0" t="s">
        <v>2042</v>
      </c>
      <c r="C7186" s="0" t="s">
        <v>2161</v>
      </c>
      <c r="D7186" s="0" t="s">
        <v>2044</v>
      </c>
      <c r="E7186" s="0" t="s">
        <v>2045</v>
      </c>
      <c r="F7186" s="0" t="s">
        <v>2051</v>
      </c>
      <c r="G7186" s="0" t="s">
        <v>2075</v>
      </c>
      <c r="H7186" s="0" t="s">
        <v>2052</v>
      </c>
      <c r="I7186" s="0" t="s">
        <v>2322</v>
      </c>
      <c r="J7186" s="0" t="s">
        <v>2368</v>
      </c>
      <c r="K7186" s="272" t="n">
        <v>-203832.89</v>
      </c>
    </row>
    <row r="7187" customFormat="false" ht="15" hidden="false" customHeight="false" outlineLevel="0" collapsed="false">
      <c r="A7187" s="0" t="s">
        <v>2041</v>
      </c>
      <c r="B7187" s="0" t="s">
        <v>2042</v>
      </c>
      <c r="C7187" s="0" t="s">
        <v>2156</v>
      </c>
      <c r="D7187" s="0" t="s">
        <v>2044</v>
      </c>
      <c r="E7187" s="0" t="s">
        <v>2045</v>
      </c>
      <c r="F7187" s="0" t="s">
        <v>2046</v>
      </c>
      <c r="G7187" s="0" t="s">
        <v>2076</v>
      </c>
      <c r="H7187" s="0" t="s">
        <v>2048</v>
      </c>
      <c r="I7187" s="0" t="s">
        <v>2322</v>
      </c>
      <c r="J7187" s="0" t="s">
        <v>2368</v>
      </c>
      <c r="K7187" s="272" t="n">
        <v>-1388987.85</v>
      </c>
    </row>
    <row r="7188" customFormat="false" ht="15" hidden="false" customHeight="false" outlineLevel="0" collapsed="false">
      <c r="A7188" s="0" t="s">
        <v>2041</v>
      </c>
      <c r="B7188" s="0" t="s">
        <v>2042</v>
      </c>
      <c r="C7188" s="0" t="s">
        <v>2161</v>
      </c>
      <c r="D7188" s="0" t="s">
        <v>2044</v>
      </c>
      <c r="E7188" s="0" t="s">
        <v>2045</v>
      </c>
      <c r="F7188" s="0" t="s">
        <v>2046</v>
      </c>
      <c r="G7188" s="0" t="s">
        <v>2076</v>
      </c>
      <c r="H7188" s="0" t="s">
        <v>2048</v>
      </c>
      <c r="I7188" s="0" t="s">
        <v>2322</v>
      </c>
      <c r="J7188" s="0" t="s">
        <v>2368</v>
      </c>
      <c r="K7188" s="272" t="n">
        <v>-379635.286</v>
      </c>
    </row>
    <row r="7189" customFormat="false" ht="15" hidden="false" customHeight="false" outlineLevel="0" collapsed="false">
      <c r="A7189" s="0" t="s">
        <v>2041</v>
      </c>
      <c r="B7189" s="0" t="s">
        <v>2042</v>
      </c>
      <c r="C7189" s="0" t="s">
        <v>2156</v>
      </c>
      <c r="D7189" s="0" t="s">
        <v>2044</v>
      </c>
      <c r="E7189" s="0" t="s">
        <v>2045</v>
      </c>
      <c r="F7189" s="0" t="s">
        <v>2051</v>
      </c>
      <c r="G7189" s="0" t="s">
        <v>2076</v>
      </c>
      <c r="H7189" s="0" t="s">
        <v>2052</v>
      </c>
      <c r="I7189" s="0" t="s">
        <v>2322</v>
      </c>
      <c r="J7189" s="0" t="s">
        <v>2368</v>
      </c>
      <c r="K7189" s="272" t="n">
        <v>-2137899.15</v>
      </c>
    </row>
    <row r="7190" customFormat="false" ht="15" hidden="false" customHeight="false" outlineLevel="0" collapsed="false">
      <c r="A7190" s="0" t="s">
        <v>2041</v>
      </c>
      <c r="B7190" s="0" t="s">
        <v>2042</v>
      </c>
      <c r="C7190" s="0" t="s">
        <v>2161</v>
      </c>
      <c r="D7190" s="0" t="s">
        <v>2044</v>
      </c>
      <c r="E7190" s="0" t="s">
        <v>2045</v>
      </c>
      <c r="F7190" s="0" t="s">
        <v>2051</v>
      </c>
      <c r="G7190" s="0" t="s">
        <v>2076</v>
      </c>
      <c r="H7190" s="0" t="s">
        <v>2052</v>
      </c>
      <c r="I7190" s="0" t="s">
        <v>2322</v>
      </c>
      <c r="J7190" s="0" t="s">
        <v>2368</v>
      </c>
      <c r="K7190" s="272" t="n">
        <v>-526128.420666667</v>
      </c>
    </row>
    <row r="7191" customFormat="false" ht="15" hidden="false" customHeight="false" outlineLevel="0" collapsed="false">
      <c r="A7191" s="0" t="s">
        <v>2041</v>
      </c>
      <c r="B7191" s="0" t="s">
        <v>2042</v>
      </c>
      <c r="C7191" s="0" t="s">
        <v>2156</v>
      </c>
      <c r="D7191" s="0" t="s">
        <v>2044</v>
      </c>
      <c r="E7191" s="0" t="s">
        <v>2045</v>
      </c>
      <c r="F7191" s="0" t="s">
        <v>2046</v>
      </c>
      <c r="G7191" s="0" t="s">
        <v>2077</v>
      </c>
      <c r="H7191" s="0" t="s">
        <v>2048</v>
      </c>
      <c r="I7191" s="0" t="s">
        <v>2322</v>
      </c>
      <c r="J7191" s="0" t="s">
        <v>2368</v>
      </c>
      <c r="K7191" s="272" t="n">
        <v>-276354</v>
      </c>
    </row>
    <row r="7192" customFormat="false" ht="15" hidden="false" customHeight="false" outlineLevel="0" collapsed="false">
      <c r="A7192" s="0" t="s">
        <v>2041</v>
      </c>
      <c r="B7192" s="0" t="s">
        <v>2042</v>
      </c>
      <c r="C7192" s="0" t="s">
        <v>2161</v>
      </c>
      <c r="D7192" s="0" t="s">
        <v>2044</v>
      </c>
      <c r="E7192" s="0" t="s">
        <v>2045</v>
      </c>
      <c r="F7192" s="0" t="s">
        <v>2046</v>
      </c>
      <c r="G7192" s="0" t="s">
        <v>2077</v>
      </c>
      <c r="H7192" s="0" t="s">
        <v>2048</v>
      </c>
      <c r="I7192" s="0" t="s">
        <v>2322</v>
      </c>
      <c r="J7192" s="0" t="s">
        <v>2368</v>
      </c>
      <c r="K7192" s="272" t="n">
        <v>-83458.91</v>
      </c>
    </row>
    <row r="7193" customFormat="false" ht="15" hidden="false" customHeight="false" outlineLevel="0" collapsed="false">
      <c r="A7193" s="0" t="s">
        <v>2041</v>
      </c>
      <c r="B7193" s="0" t="s">
        <v>2042</v>
      </c>
      <c r="C7193" s="0" t="s">
        <v>2156</v>
      </c>
      <c r="D7193" s="0" t="s">
        <v>2044</v>
      </c>
      <c r="E7193" s="0" t="s">
        <v>2045</v>
      </c>
      <c r="F7193" s="0" t="s">
        <v>2051</v>
      </c>
      <c r="G7193" s="0" t="s">
        <v>2077</v>
      </c>
      <c r="H7193" s="0" t="s">
        <v>2052</v>
      </c>
      <c r="I7193" s="0" t="s">
        <v>2322</v>
      </c>
      <c r="J7193" s="0" t="s">
        <v>2368</v>
      </c>
      <c r="K7193" s="272" t="n">
        <v>-30706</v>
      </c>
    </row>
    <row r="7194" customFormat="false" ht="15" hidden="false" customHeight="false" outlineLevel="0" collapsed="false">
      <c r="A7194" s="0" t="s">
        <v>2041</v>
      </c>
      <c r="B7194" s="0" t="s">
        <v>2042</v>
      </c>
      <c r="C7194" s="0" t="s">
        <v>2161</v>
      </c>
      <c r="D7194" s="0" t="s">
        <v>2044</v>
      </c>
      <c r="E7194" s="0" t="s">
        <v>2045</v>
      </c>
      <c r="F7194" s="0" t="s">
        <v>2051</v>
      </c>
      <c r="G7194" s="0" t="s">
        <v>2077</v>
      </c>
      <c r="H7194" s="0" t="s">
        <v>2052</v>
      </c>
      <c r="I7194" s="0" t="s">
        <v>2322</v>
      </c>
      <c r="J7194" s="0" t="s">
        <v>2368</v>
      </c>
      <c r="K7194" s="272" t="n">
        <v>-9273.21222222222</v>
      </c>
    </row>
    <row r="7195" customFormat="false" ht="15" hidden="false" customHeight="false" outlineLevel="0" collapsed="false">
      <c r="A7195" s="0" t="s">
        <v>2041</v>
      </c>
      <c r="B7195" s="0" t="s">
        <v>2042</v>
      </c>
      <c r="C7195" s="0" t="s">
        <v>2156</v>
      </c>
      <c r="D7195" s="0" t="s">
        <v>2044</v>
      </c>
      <c r="E7195" s="0" t="s">
        <v>2045</v>
      </c>
      <c r="F7195" s="0" t="s">
        <v>2046</v>
      </c>
      <c r="G7195" s="0" t="s">
        <v>2078</v>
      </c>
      <c r="H7195" s="0" t="s">
        <v>2048</v>
      </c>
      <c r="I7195" s="0" t="s">
        <v>2322</v>
      </c>
      <c r="J7195" s="0" t="s">
        <v>2368</v>
      </c>
      <c r="K7195" s="272" t="n">
        <v>-592872.93</v>
      </c>
    </row>
    <row r="7196" customFormat="false" ht="15" hidden="false" customHeight="false" outlineLevel="0" collapsed="false">
      <c r="A7196" s="0" t="s">
        <v>2041</v>
      </c>
      <c r="B7196" s="0" t="s">
        <v>2042</v>
      </c>
      <c r="C7196" s="0" t="s">
        <v>2161</v>
      </c>
      <c r="D7196" s="0" t="s">
        <v>2044</v>
      </c>
      <c r="E7196" s="0" t="s">
        <v>2045</v>
      </c>
      <c r="F7196" s="0" t="s">
        <v>2046</v>
      </c>
      <c r="G7196" s="0" t="s">
        <v>2078</v>
      </c>
      <c r="H7196" s="0" t="s">
        <v>2048</v>
      </c>
      <c r="I7196" s="0" t="s">
        <v>2322</v>
      </c>
      <c r="J7196" s="0" t="s">
        <v>2368</v>
      </c>
      <c r="K7196" s="272" t="n">
        <v>-179047.62</v>
      </c>
    </row>
    <row r="7197" customFormat="false" ht="15" hidden="false" customHeight="false" outlineLevel="0" collapsed="false">
      <c r="A7197" s="0" t="s">
        <v>2041</v>
      </c>
      <c r="B7197" s="0" t="s">
        <v>2042</v>
      </c>
      <c r="C7197" s="0" t="s">
        <v>2156</v>
      </c>
      <c r="D7197" s="0" t="s">
        <v>2044</v>
      </c>
      <c r="E7197" s="0" t="s">
        <v>2045</v>
      </c>
      <c r="F7197" s="0" t="s">
        <v>2051</v>
      </c>
      <c r="G7197" s="0" t="s">
        <v>2078</v>
      </c>
      <c r="H7197" s="0" t="s">
        <v>2052</v>
      </c>
      <c r="I7197" s="0" t="s">
        <v>2322</v>
      </c>
      <c r="J7197" s="0" t="s">
        <v>2368</v>
      </c>
      <c r="K7197" s="272" t="n">
        <v>-65874.77</v>
      </c>
    </row>
    <row r="7198" customFormat="false" ht="15" hidden="false" customHeight="false" outlineLevel="0" collapsed="false">
      <c r="A7198" s="0" t="s">
        <v>2041</v>
      </c>
      <c r="B7198" s="0" t="s">
        <v>2042</v>
      </c>
      <c r="C7198" s="0" t="s">
        <v>2161</v>
      </c>
      <c r="D7198" s="0" t="s">
        <v>2044</v>
      </c>
      <c r="E7198" s="0" t="s">
        <v>2045</v>
      </c>
      <c r="F7198" s="0" t="s">
        <v>2051</v>
      </c>
      <c r="G7198" s="0" t="s">
        <v>2078</v>
      </c>
      <c r="H7198" s="0" t="s">
        <v>2052</v>
      </c>
      <c r="I7198" s="0" t="s">
        <v>2322</v>
      </c>
      <c r="J7198" s="0" t="s">
        <v>2368</v>
      </c>
      <c r="K7198" s="272" t="n">
        <v>-19894.18</v>
      </c>
    </row>
    <row r="7199" customFormat="false" ht="15" hidden="false" customHeight="false" outlineLevel="0" collapsed="false">
      <c r="A7199" s="0" t="s">
        <v>2041</v>
      </c>
      <c r="B7199" s="0" t="s">
        <v>2042</v>
      </c>
      <c r="C7199" s="0" t="s">
        <v>2156</v>
      </c>
      <c r="D7199" s="0" t="s">
        <v>2044</v>
      </c>
      <c r="E7199" s="0" t="s">
        <v>2045</v>
      </c>
      <c r="F7199" s="0" t="s">
        <v>2046</v>
      </c>
      <c r="G7199" s="0" t="s">
        <v>2079</v>
      </c>
      <c r="H7199" s="0" t="s">
        <v>2048</v>
      </c>
      <c r="I7199" s="0" t="s">
        <v>2322</v>
      </c>
      <c r="J7199" s="0" t="s">
        <v>2368</v>
      </c>
      <c r="K7199" s="272" t="n">
        <v>-287880</v>
      </c>
    </row>
    <row r="7200" customFormat="false" ht="15" hidden="false" customHeight="false" outlineLevel="0" collapsed="false">
      <c r="A7200" s="0" t="s">
        <v>2041</v>
      </c>
      <c r="B7200" s="0" t="s">
        <v>2042</v>
      </c>
      <c r="C7200" s="0" t="s">
        <v>2161</v>
      </c>
      <c r="D7200" s="0" t="s">
        <v>2044</v>
      </c>
      <c r="E7200" s="0" t="s">
        <v>2045</v>
      </c>
      <c r="F7200" s="0" t="s">
        <v>2046</v>
      </c>
      <c r="G7200" s="0" t="s">
        <v>2079</v>
      </c>
      <c r="H7200" s="0" t="s">
        <v>2048</v>
      </c>
      <c r="I7200" s="0" t="s">
        <v>2322</v>
      </c>
      <c r="J7200" s="0" t="s">
        <v>2368</v>
      </c>
      <c r="K7200" s="272" t="n">
        <v>-86939.76</v>
      </c>
    </row>
    <row r="7201" customFormat="false" ht="15" hidden="false" customHeight="false" outlineLevel="0" collapsed="false">
      <c r="A7201" s="0" t="s">
        <v>2041</v>
      </c>
      <c r="B7201" s="0" t="s">
        <v>2042</v>
      </c>
      <c r="C7201" s="0" t="s">
        <v>2156</v>
      </c>
      <c r="D7201" s="0" t="s">
        <v>2044</v>
      </c>
      <c r="E7201" s="0" t="s">
        <v>2045</v>
      </c>
      <c r="F7201" s="0" t="s">
        <v>2046</v>
      </c>
      <c r="G7201" s="0" t="s">
        <v>2080</v>
      </c>
      <c r="H7201" s="0" t="s">
        <v>2048</v>
      </c>
      <c r="I7201" s="0" t="s">
        <v>2322</v>
      </c>
      <c r="J7201" s="0" t="s">
        <v>2368</v>
      </c>
      <c r="K7201" s="272" t="n">
        <v>-449405.75</v>
      </c>
    </row>
    <row r="7202" customFormat="false" ht="15" hidden="false" customHeight="false" outlineLevel="0" collapsed="false">
      <c r="A7202" s="0" t="s">
        <v>2041</v>
      </c>
      <c r="B7202" s="0" t="s">
        <v>2042</v>
      </c>
      <c r="C7202" s="0" t="s">
        <v>2161</v>
      </c>
      <c r="D7202" s="0" t="s">
        <v>2044</v>
      </c>
      <c r="E7202" s="0" t="s">
        <v>2045</v>
      </c>
      <c r="F7202" s="0" t="s">
        <v>2046</v>
      </c>
      <c r="G7202" s="0" t="s">
        <v>2080</v>
      </c>
      <c r="H7202" s="0" t="s">
        <v>2048</v>
      </c>
      <c r="I7202" s="0" t="s">
        <v>2322</v>
      </c>
      <c r="J7202" s="0" t="s">
        <v>2368</v>
      </c>
      <c r="K7202" s="272" t="n">
        <v>-135720.53</v>
      </c>
    </row>
    <row r="7203" customFormat="false" ht="15" hidden="false" customHeight="false" outlineLevel="0" collapsed="false">
      <c r="A7203" s="0" t="s">
        <v>2041</v>
      </c>
      <c r="B7203" s="0" t="s">
        <v>2042</v>
      </c>
      <c r="C7203" s="0" t="s">
        <v>2156</v>
      </c>
      <c r="D7203" s="0" t="s">
        <v>2044</v>
      </c>
      <c r="E7203" s="0" t="s">
        <v>2045</v>
      </c>
      <c r="F7203" s="0" t="s">
        <v>2051</v>
      </c>
      <c r="G7203" s="0" t="s">
        <v>2080</v>
      </c>
      <c r="H7203" s="0" t="s">
        <v>2052</v>
      </c>
      <c r="I7203" s="0" t="s">
        <v>2322</v>
      </c>
      <c r="J7203" s="0" t="s">
        <v>2368</v>
      </c>
      <c r="K7203" s="272" t="n">
        <v>-17876.25</v>
      </c>
    </row>
    <row r="7204" customFormat="false" ht="15" hidden="false" customHeight="false" outlineLevel="0" collapsed="false">
      <c r="A7204" s="0" t="s">
        <v>2041</v>
      </c>
      <c r="B7204" s="0" t="s">
        <v>2042</v>
      </c>
      <c r="C7204" s="0" t="s">
        <v>2161</v>
      </c>
      <c r="D7204" s="0" t="s">
        <v>2044</v>
      </c>
      <c r="E7204" s="0" t="s">
        <v>2045</v>
      </c>
      <c r="F7204" s="0" t="s">
        <v>2051</v>
      </c>
      <c r="G7204" s="0" t="s">
        <v>2080</v>
      </c>
      <c r="H7204" s="0" t="s">
        <v>2052</v>
      </c>
      <c r="I7204" s="0" t="s">
        <v>2322</v>
      </c>
      <c r="J7204" s="0" t="s">
        <v>2368</v>
      </c>
      <c r="K7204" s="272" t="n">
        <v>-5398.62736842105</v>
      </c>
    </row>
    <row r="7205" customFormat="false" ht="15" hidden="false" customHeight="false" outlineLevel="0" collapsed="false">
      <c r="A7205" s="0" t="s">
        <v>2041</v>
      </c>
      <c r="B7205" s="0" t="s">
        <v>2042</v>
      </c>
      <c r="C7205" s="0" t="s">
        <v>2156</v>
      </c>
      <c r="D7205" s="0" t="s">
        <v>2044</v>
      </c>
      <c r="E7205" s="0" t="s">
        <v>2045</v>
      </c>
      <c r="F7205" s="0" t="s">
        <v>2046</v>
      </c>
      <c r="G7205" s="0" t="s">
        <v>2081</v>
      </c>
      <c r="H7205" s="0" t="s">
        <v>2048</v>
      </c>
      <c r="I7205" s="0" t="s">
        <v>2322</v>
      </c>
      <c r="J7205" s="0" t="s">
        <v>2368</v>
      </c>
      <c r="K7205" s="272" t="n">
        <v>-3707546</v>
      </c>
    </row>
    <row r="7206" customFormat="false" ht="15" hidden="false" customHeight="false" outlineLevel="0" collapsed="false">
      <c r="A7206" s="0" t="s">
        <v>2041</v>
      </c>
      <c r="B7206" s="0" t="s">
        <v>2042</v>
      </c>
      <c r="C7206" s="0" t="s">
        <v>2161</v>
      </c>
      <c r="D7206" s="0" t="s">
        <v>2044</v>
      </c>
      <c r="E7206" s="0" t="s">
        <v>2045</v>
      </c>
      <c r="F7206" s="0" t="s">
        <v>2046</v>
      </c>
      <c r="G7206" s="0" t="s">
        <v>2081</v>
      </c>
      <c r="H7206" s="0" t="s">
        <v>2048</v>
      </c>
      <c r="I7206" s="0" t="s">
        <v>2322</v>
      </c>
      <c r="J7206" s="0" t="s">
        <v>2368</v>
      </c>
      <c r="K7206" s="272" t="n">
        <v>-1119678.893</v>
      </c>
    </row>
    <row r="7207" customFormat="false" ht="15" hidden="false" customHeight="false" outlineLevel="0" collapsed="false">
      <c r="A7207" s="0" t="s">
        <v>2041</v>
      </c>
      <c r="B7207" s="0" t="s">
        <v>2042</v>
      </c>
      <c r="C7207" s="0" t="s">
        <v>2156</v>
      </c>
      <c r="D7207" s="0" t="s">
        <v>2044</v>
      </c>
      <c r="E7207" s="0" t="s">
        <v>2045</v>
      </c>
      <c r="F7207" s="0" t="s">
        <v>2051</v>
      </c>
      <c r="G7207" s="0" t="s">
        <v>2081</v>
      </c>
      <c r="H7207" s="0" t="s">
        <v>2052</v>
      </c>
      <c r="I7207" s="0" t="s">
        <v>2322</v>
      </c>
      <c r="J7207" s="0" t="s">
        <v>2368</v>
      </c>
      <c r="K7207" s="272" t="n">
        <v>-263362</v>
      </c>
    </row>
    <row r="7208" customFormat="false" ht="15" hidden="false" customHeight="false" outlineLevel="0" collapsed="false">
      <c r="A7208" s="0" t="s">
        <v>2041</v>
      </c>
      <c r="B7208" s="0" t="s">
        <v>2042</v>
      </c>
      <c r="C7208" s="0" t="s">
        <v>2161</v>
      </c>
      <c r="D7208" s="0" t="s">
        <v>2044</v>
      </c>
      <c r="E7208" s="0" t="s">
        <v>2045</v>
      </c>
      <c r="F7208" s="0" t="s">
        <v>2051</v>
      </c>
      <c r="G7208" s="0" t="s">
        <v>2081</v>
      </c>
      <c r="H7208" s="0" t="s">
        <v>2052</v>
      </c>
      <c r="I7208" s="0" t="s">
        <v>2322</v>
      </c>
      <c r="J7208" s="0" t="s">
        <v>2368</v>
      </c>
      <c r="K7208" s="272" t="n">
        <v>-79535.3264444445</v>
      </c>
    </row>
    <row r="7209" customFormat="false" ht="15" hidden="false" customHeight="false" outlineLevel="0" collapsed="false">
      <c r="A7209" s="0" t="s">
        <v>2041</v>
      </c>
      <c r="B7209" s="0" t="s">
        <v>2042</v>
      </c>
      <c r="C7209" s="0" t="s">
        <v>2156</v>
      </c>
      <c r="D7209" s="0" t="s">
        <v>2044</v>
      </c>
      <c r="E7209" s="0" t="s">
        <v>2045</v>
      </c>
      <c r="F7209" s="0" t="s">
        <v>2046</v>
      </c>
      <c r="G7209" s="0" t="s">
        <v>2082</v>
      </c>
      <c r="H7209" s="0" t="s">
        <v>2048</v>
      </c>
      <c r="I7209" s="0" t="s">
        <v>2322</v>
      </c>
      <c r="J7209" s="0" t="s">
        <v>2368</v>
      </c>
      <c r="K7209" s="272" t="n">
        <v>-4906343</v>
      </c>
    </row>
    <row r="7210" customFormat="false" ht="15" hidden="false" customHeight="false" outlineLevel="0" collapsed="false">
      <c r="A7210" s="0" t="s">
        <v>2041</v>
      </c>
      <c r="B7210" s="0" t="s">
        <v>2042</v>
      </c>
      <c r="C7210" s="0" t="s">
        <v>2161</v>
      </c>
      <c r="D7210" s="0" t="s">
        <v>2044</v>
      </c>
      <c r="E7210" s="0" t="s">
        <v>2045</v>
      </c>
      <c r="F7210" s="0" t="s">
        <v>2046</v>
      </c>
      <c r="G7210" s="0" t="s">
        <v>2082</v>
      </c>
      <c r="H7210" s="0" t="s">
        <v>2048</v>
      </c>
      <c r="I7210" s="0" t="s">
        <v>2322</v>
      </c>
      <c r="J7210" s="0" t="s">
        <v>2368</v>
      </c>
      <c r="K7210" s="272" t="n">
        <v>-1185895.09</v>
      </c>
    </row>
    <row r="7211" customFormat="false" ht="15" hidden="false" customHeight="false" outlineLevel="0" collapsed="false">
      <c r="A7211" s="0" t="s">
        <v>2041</v>
      </c>
      <c r="B7211" s="0" t="s">
        <v>2042</v>
      </c>
      <c r="C7211" s="0" t="s">
        <v>2156</v>
      </c>
      <c r="D7211" s="0" t="s">
        <v>2044</v>
      </c>
      <c r="E7211" s="0" t="s">
        <v>2045</v>
      </c>
      <c r="F7211" s="0" t="s">
        <v>2046</v>
      </c>
      <c r="G7211" s="0" t="s">
        <v>2083</v>
      </c>
      <c r="H7211" s="0" t="s">
        <v>2048</v>
      </c>
      <c r="I7211" s="0" t="s">
        <v>2322</v>
      </c>
      <c r="J7211" s="0" t="s">
        <v>2368</v>
      </c>
      <c r="K7211" s="272" t="n">
        <v>-1275902.32</v>
      </c>
    </row>
    <row r="7212" customFormat="false" ht="15" hidden="false" customHeight="false" outlineLevel="0" collapsed="false">
      <c r="A7212" s="0" t="s">
        <v>2041</v>
      </c>
      <c r="B7212" s="0" t="s">
        <v>2042</v>
      </c>
      <c r="C7212" s="0" t="s">
        <v>2161</v>
      </c>
      <c r="D7212" s="0" t="s">
        <v>2044</v>
      </c>
      <c r="E7212" s="0" t="s">
        <v>2045</v>
      </c>
      <c r="F7212" s="0" t="s">
        <v>2046</v>
      </c>
      <c r="G7212" s="0" t="s">
        <v>2083</v>
      </c>
      <c r="H7212" s="0" t="s">
        <v>2048</v>
      </c>
      <c r="I7212" s="0" t="s">
        <v>2322</v>
      </c>
      <c r="J7212" s="0" t="s">
        <v>2368</v>
      </c>
      <c r="K7212" s="272" t="n">
        <v>-385322.5</v>
      </c>
    </row>
    <row r="7213" customFormat="false" ht="15" hidden="false" customHeight="false" outlineLevel="0" collapsed="false">
      <c r="A7213" s="0" t="s">
        <v>2041</v>
      </c>
      <c r="B7213" s="0" t="s">
        <v>2042</v>
      </c>
      <c r="C7213" s="0" t="s">
        <v>2156</v>
      </c>
      <c r="D7213" s="0" t="s">
        <v>2044</v>
      </c>
      <c r="E7213" s="0" t="s">
        <v>2045</v>
      </c>
      <c r="F7213" s="0" t="s">
        <v>2051</v>
      </c>
      <c r="G7213" s="0" t="s">
        <v>2083</v>
      </c>
      <c r="H7213" s="0" t="s">
        <v>2052</v>
      </c>
      <c r="I7213" s="0" t="s">
        <v>2322</v>
      </c>
      <c r="J7213" s="0" t="s">
        <v>2368</v>
      </c>
      <c r="K7213" s="272" t="n">
        <v>-28364.88</v>
      </c>
    </row>
    <row r="7214" customFormat="false" ht="15" hidden="false" customHeight="false" outlineLevel="0" collapsed="false">
      <c r="A7214" s="0" t="s">
        <v>2041</v>
      </c>
      <c r="B7214" s="0" t="s">
        <v>2042</v>
      </c>
      <c r="C7214" s="0" t="s">
        <v>2161</v>
      </c>
      <c r="D7214" s="0" t="s">
        <v>2044</v>
      </c>
      <c r="E7214" s="0" t="s">
        <v>2045</v>
      </c>
      <c r="F7214" s="0" t="s">
        <v>2051</v>
      </c>
      <c r="G7214" s="0" t="s">
        <v>2083</v>
      </c>
      <c r="H7214" s="0" t="s">
        <v>2052</v>
      </c>
      <c r="I7214" s="0" t="s">
        <v>2322</v>
      </c>
      <c r="J7214" s="0" t="s">
        <v>2368</v>
      </c>
      <c r="K7214" s="272" t="n">
        <v>-8566.19368421053</v>
      </c>
    </row>
    <row r="7215" customFormat="false" ht="15" hidden="false" customHeight="false" outlineLevel="0" collapsed="false">
      <c r="A7215" s="0" t="s">
        <v>2041</v>
      </c>
      <c r="B7215" s="0" t="s">
        <v>2042</v>
      </c>
      <c r="C7215" s="0" t="s">
        <v>2156</v>
      </c>
      <c r="D7215" s="0" t="s">
        <v>2044</v>
      </c>
      <c r="E7215" s="0" t="s">
        <v>2045</v>
      </c>
      <c r="F7215" s="0" t="s">
        <v>2046</v>
      </c>
      <c r="G7215" s="0" t="s">
        <v>2084</v>
      </c>
      <c r="H7215" s="0" t="s">
        <v>2048</v>
      </c>
      <c r="I7215" s="0" t="s">
        <v>2322</v>
      </c>
      <c r="J7215" s="0" t="s">
        <v>2368</v>
      </c>
      <c r="K7215" s="272" t="n">
        <v>-322607.545</v>
      </c>
    </row>
    <row r="7216" customFormat="false" ht="15" hidden="false" customHeight="false" outlineLevel="0" collapsed="false">
      <c r="A7216" s="0" t="s">
        <v>2041</v>
      </c>
      <c r="B7216" s="0" t="s">
        <v>2042</v>
      </c>
      <c r="C7216" s="0" t="s">
        <v>2161</v>
      </c>
      <c r="D7216" s="0" t="s">
        <v>2044</v>
      </c>
      <c r="E7216" s="0" t="s">
        <v>2045</v>
      </c>
      <c r="F7216" s="0" t="s">
        <v>2046</v>
      </c>
      <c r="G7216" s="0" t="s">
        <v>2084</v>
      </c>
      <c r="H7216" s="0" t="s">
        <v>2048</v>
      </c>
      <c r="I7216" s="0" t="s">
        <v>2322</v>
      </c>
      <c r="J7216" s="0" t="s">
        <v>2368</v>
      </c>
      <c r="K7216" s="272" t="n">
        <v>-97427.4684900003</v>
      </c>
    </row>
    <row r="7217" customFormat="false" ht="15" hidden="false" customHeight="false" outlineLevel="0" collapsed="false">
      <c r="A7217" s="0" t="s">
        <v>2041</v>
      </c>
      <c r="B7217" s="0" t="s">
        <v>2042</v>
      </c>
      <c r="C7217" s="0" t="s">
        <v>2156</v>
      </c>
      <c r="D7217" s="0" t="s">
        <v>2044</v>
      </c>
      <c r="E7217" s="0" t="s">
        <v>2045</v>
      </c>
      <c r="F7217" s="0" t="s">
        <v>2051</v>
      </c>
      <c r="G7217" s="0" t="s">
        <v>2084</v>
      </c>
      <c r="H7217" s="0" t="s">
        <v>2052</v>
      </c>
      <c r="I7217" s="0" t="s">
        <v>2322</v>
      </c>
      <c r="J7217" s="0" t="s">
        <v>2368</v>
      </c>
      <c r="K7217" s="272" t="n">
        <v>-604392.505</v>
      </c>
    </row>
    <row r="7218" customFormat="false" ht="15" hidden="false" customHeight="false" outlineLevel="0" collapsed="false">
      <c r="A7218" s="0" t="s">
        <v>2041</v>
      </c>
      <c r="B7218" s="0" t="s">
        <v>2042</v>
      </c>
      <c r="C7218" s="0" t="s">
        <v>2161</v>
      </c>
      <c r="D7218" s="0" t="s">
        <v>2044</v>
      </c>
      <c r="E7218" s="0" t="s">
        <v>2045</v>
      </c>
      <c r="F7218" s="0" t="s">
        <v>2051</v>
      </c>
      <c r="G7218" s="0" t="s">
        <v>2084</v>
      </c>
      <c r="H7218" s="0" t="s">
        <v>2052</v>
      </c>
      <c r="I7218" s="0" t="s">
        <v>2322</v>
      </c>
      <c r="J7218" s="0" t="s">
        <v>2368</v>
      </c>
      <c r="K7218" s="272" t="n">
        <v>-182526.51849</v>
      </c>
    </row>
    <row r="7219" customFormat="false" ht="15" hidden="false" customHeight="false" outlineLevel="0" collapsed="false">
      <c r="A7219" s="0" t="s">
        <v>2041</v>
      </c>
      <c r="B7219" s="0" t="s">
        <v>2042</v>
      </c>
      <c r="C7219" s="0" t="s">
        <v>2156</v>
      </c>
      <c r="D7219" s="0" t="s">
        <v>2044</v>
      </c>
      <c r="E7219" s="0" t="s">
        <v>2045</v>
      </c>
      <c r="F7219" s="0" t="s">
        <v>2046</v>
      </c>
      <c r="G7219" s="0" t="s">
        <v>2085</v>
      </c>
      <c r="H7219" s="0" t="s">
        <v>2048</v>
      </c>
      <c r="I7219" s="0" t="s">
        <v>2322</v>
      </c>
      <c r="J7219" s="0" t="s">
        <v>2368</v>
      </c>
      <c r="K7219" s="272" t="n">
        <v>-1431474.16</v>
      </c>
    </row>
    <row r="7220" customFormat="false" ht="15" hidden="false" customHeight="false" outlineLevel="0" collapsed="false">
      <c r="A7220" s="0" t="s">
        <v>2041</v>
      </c>
      <c r="B7220" s="0" t="s">
        <v>2042</v>
      </c>
      <c r="C7220" s="0" t="s">
        <v>2161</v>
      </c>
      <c r="D7220" s="0" t="s">
        <v>2044</v>
      </c>
      <c r="E7220" s="0" t="s">
        <v>2045</v>
      </c>
      <c r="F7220" s="0" t="s">
        <v>2046</v>
      </c>
      <c r="G7220" s="0" t="s">
        <v>2085</v>
      </c>
      <c r="H7220" s="0" t="s">
        <v>2048</v>
      </c>
      <c r="I7220" s="0" t="s">
        <v>2322</v>
      </c>
      <c r="J7220" s="0" t="s">
        <v>2368</v>
      </c>
      <c r="K7220" s="272" t="n">
        <v>-432305.2</v>
      </c>
    </row>
    <row r="7221" customFormat="false" ht="15" hidden="false" customHeight="false" outlineLevel="0" collapsed="false">
      <c r="A7221" s="0" t="s">
        <v>2041</v>
      </c>
      <c r="B7221" s="0" t="s">
        <v>2042</v>
      </c>
      <c r="C7221" s="0" t="s">
        <v>2156</v>
      </c>
      <c r="D7221" s="0" t="s">
        <v>2044</v>
      </c>
      <c r="E7221" s="0" t="s">
        <v>2045</v>
      </c>
      <c r="F7221" s="0" t="s">
        <v>2051</v>
      </c>
      <c r="G7221" s="0" t="s">
        <v>2085</v>
      </c>
      <c r="H7221" s="0" t="s">
        <v>2052</v>
      </c>
      <c r="I7221" s="0" t="s">
        <v>2322</v>
      </c>
      <c r="J7221" s="0" t="s">
        <v>2368</v>
      </c>
      <c r="K7221" s="272" t="n">
        <v>-547809.04</v>
      </c>
    </row>
    <row r="7222" customFormat="false" ht="15" hidden="false" customHeight="false" outlineLevel="0" collapsed="false">
      <c r="A7222" s="0" t="s">
        <v>2041</v>
      </c>
      <c r="B7222" s="0" t="s">
        <v>2042</v>
      </c>
      <c r="C7222" s="0" t="s">
        <v>2161</v>
      </c>
      <c r="D7222" s="0" t="s">
        <v>2044</v>
      </c>
      <c r="E7222" s="0" t="s">
        <v>2045</v>
      </c>
      <c r="F7222" s="0" t="s">
        <v>2051</v>
      </c>
      <c r="G7222" s="0" t="s">
        <v>2085</v>
      </c>
      <c r="H7222" s="0" t="s">
        <v>2052</v>
      </c>
      <c r="I7222" s="0" t="s">
        <v>2322</v>
      </c>
      <c r="J7222" s="0" t="s">
        <v>2368</v>
      </c>
      <c r="K7222" s="272" t="n">
        <v>-165438.332820513</v>
      </c>
    </row>
    <row r="7223" customFormat="false" ht="15" hidden="false" customHeight="false" outlineLevel="0" collapsed="false">
      <c r="A7223" s="0" t="s">
        <v>2041</v>
      </c>
      <c r="B7223" s="0" t="s">
        <v>2042</v>
      </c>
      <c r="C7223" s="0" t="s">
        <v>2156</v>
      </c>
      <c r="D7223" s="0" t="s">
        <v>2044</v>
      </c>
      <c r="E7223" s="0" t="s">
        <v>2045</v>
      </c>
      <c r="F7223" s="0" t="s">
        <v>2046</v>
      </c>
      <c r="G7223" s="0" t="s">
        <v>2086</v>
      </c>
      <c r="H7223" s="0" t="s">
        <v>2048</v>
      </c>
      <c r="I7223" s="0" t="s">
        <v>2322</v>
      </c>
      <c r="J7223" s="0" t="s">
        <v>2368</v>
      </c>
      <c r="K7223" s="272" t="n">
        <v>-1413034.785</v>
      </c>
    </row>
    <row r="7224" customFormat="false" ht="15" hidden="false" customHeight="false" outlineLevel="0" collapsed="false">
      <c r="A7224" s="0" t="s">
        <v>2041</v>
      </c>
      <c r="B7224" s="0" t="s">
        <v>2042</v>
      </c>
      <c r="C7224" s="0" t="s">
        <v>2161</v>
      </c>
      <c r="D7224" s="0" t="s">
        <v>2044</v>
      </c>
      <c r="E7224" s="0" t="s">
        <v>2045</v>
      </c>
      <c r="F7224" s="0" t="s">
        <v>2046</v>
      </c>
      <c r="G7224" s="0" t="s">
        <v>2086</v>
      </c>
      <c r="H7224" s="0" t="s">
        <v>2048</v>
      </c>
      <c r="I7224" s="0" t="s">
        <v>2322</v>
      </c>
      <c r="J7224" s="0" t="s">
        <v>2368</v>
      </c>
      <c r="K7224" s="272" t="n">
        <v>-426736.507</v>
      </c>
    </row>
    <row r="7225" customFormat="false" ht="15" hidden="false" customHeight="false" outlineLevel="0" collapsed="false">
      <c r="A7225" s="0" t="s">
        <v>2041</v>
      </c>
      <c r="B7225" s="0" t="s">
        <v>2042</v>
      </c>
      <c r="C7225" s="0" t="s">
        <v>2156</v>
      </c>
      <c r="D7225" s="0" t="s">
        <v>2044</v>
      </c>
      <c r="E7225" s="0" t="s">
        <v>2045</v>
      </c>
      <c r="F7225" s="0" t="s">
        <v>2051</v>
      </c>
      <c r="G7225" s="0" t="s">
        <v>2086</v>
      </c>
      <c r="H7225" s="0" t="s">
        <v>2052</v>
      </c>
      <c r="I7225" s="0" t="s">
        <v>2322</v>
      </c>
      <c r="J7225" s="0" t="s">
        <v>2368</v>
      </c>
      <c r="K7225" s="272" t="n">
        <v>-238312.315</v>
      </c>
    </row>
    <row r="7226" customFormat="false" ht="15" hidden="false" customHeight="false" outlineLevel="0" collapsed="false">
      <c r="A7226" s="0" t="s">
        <v>2041</v>
      </c>
      <c r="B7226" s="0" t="s">
        <v>2042</v>
      </c>
      <c r="C7226" s="0" t="s">
        <v>2161</v>
      </c>
      <c r="D7226" s="0" t="s">
        <v>2044</v>
      </c>
      <c r="E7226" s="0" t="s">
        <v>2045</v>
      </c>
      <c r="F7226" s="0" t="s">
        <v>2051</v>
      </c>
      <c r="G7226" s="0" t="s">
        <v>2086</v>
      </c>
      <c r="H7226" s="0" t="s">
        <v>2052</v>
      </c>
      <c r="I7226" s="0" t="s">
        <v>2322</v>
      </c>
      <c r="J7226" s="0" t="s">
        <v>2368</v>
      </c>
      <c r="K7226" s="272" t="n">
        <v>-71970.318</v>
      </c>
    </row>
    <row r="7227" customFormat="false" ht="15" hidden="false" customHeight="false" outlineLevel="0" collapsed="false">
      <c r="A7227" s="0" t="s">
        <v>2041</v>
      </c>
      <c r="B7227" s="0" t="s">
        <v>2042</v>
      </c>
      <c r="C7227" s="0" t="s">
        <v>2156</v>
      </c>
      <c r="D7227" s="0" t="s">
        <v>2044</v>
      </c>
      <c r="E7227" s="0" t="s">
        <v>2045</v>
      </c>
      <c r="F7227" s="0" t="s">
        <v>2046</v>
      </c>
      <c r="G7227" s="0" t="s">
        <v>2087</v>
      </c>
      <c r="H7227" s="0" t="s">
        <v>2048</v>
      </c>
      <c r="I7227" s="0" t="s">
        <v>2322</v>
      </c>
      <c r="J7227" s="0" t="s">
        <v>2368</v>
      </c>
      <c r="K7227" s="272" t="n">
        <v>-1713501.95</v>
      </c>
    </row>
    <row r="7228" customFormat="false" ht="15" hidden="false" customHeight="false" outlineLevel="0" collapsed="false">
      <c r="A7228" s="0" t="s">
        <v>2041</v>
      </c>
      <c r="B7228" s="0" t="s">
        <v>2042</v>
      </c>
      <c r="C7228" s="0" t="s">
        <v>2161</v>
      </c>
      <c r="D7228" s="0" t="s">
        <v>2044</v>
      </c>
      <c r="E7228" s="0" t="s">
        <v>2045</v>
      </c>
      <c r="F7228" s="0" t="s">
        <v>2046</v>
      </c>
      <c r="G7228" s="0" t="s">
        <v>2087</v>
      </c>
      <c r="H7228" s="0" t="s">
        <v>2048</v>
      </c>
      <c r="I7228" s="0" t="s">
        <v>2322</v>
      </c>
      <c r="J7228" s="0" t="s">
        <v>2368</v>
      </c>
      <c r="K7228" s="272" t="n">
        <v>-406179.07</v>
      </c>
    </row>
    <row r="7229" customFormat="false" ht="15" hidden="false" customHeight="false" outlineLevel="0" collapsed="false">
      <c r="A7229" s="0" t="s">
        <v>2041</v>
      </c>
      <c r="B7229" s="0" t="s">
        <v>2042</v>
      </c>
      <c r="C7229" s="0" t="s">
        <v>2156</v>
      </c>
      <c r="D7229" s="0" t="s">
        <v>2044</v>
      </c>
      <c r="E7229" s="0" t="s">
        <v>2045</v>
      </c>
      <c r="F7229" s="0" t="s">
        <v>2051</v>
      </c>
      <c r="G7229" s="0" t="s">
        <v>2087</v>
      </c>
      <c r="H7229" s="0" t="s">
        <v>2052</v>
      </c>
      <c r="I7229" s="0" t="s">
        <v>2322</v>
      </c>
      <c r="J7229" s="0" t="s">
        <v>2368</v>
      </c>
      <c r="K7229" s="272" t="n">
        <v>-2963628.05</v>
      </c>
    </row>
    <row r="7230" customFormat="false" ht="15" hidden="false" customHeight="false" outlineLevel="0" collapsed="false">
      <c r="A7230" s="0" t="s">
        <v>2041</v>
      </c>
      <c r="B7230" s="0" t="s">
        <v>2042</v>
      </c>
      <c r="C7230" s="0" t="s">
        <v>2161</v>
      </c>
      <c r="D7230" s="0" t="s">
        <v>2044</v>
      </c>
      <c r="E7230" s="0" t="s">
        <v>2045</v>
      </c>
      <c r="F7230" s="0" t="s">
        <v>2051</v>
      </c>
      <c r="G7230" s="0" t="s">
        <v>2087</v>
      </c>
      <c r="H7230" s="0" t="s">
        <v>2052</v>
      </c>
      <c r="I7230" s="0" t="s">
        <v>2322</v>
      </c>
      <c r="J7230" s="0" t="s">
        <v>2368</v>
      </c>
      <c r="K7230" s="272" t="n">
        <v>-728067.894444444</v>
      </c>
    </row>
    <row r="7231" customFormat="false" ht="15" hidden="false" customHeight="false" outlineLevel="0" collapsed="false">
      <c r="A7231" s="0" t="s">
        <v>2041</v>
      </c>
      <c r="B7231" s="0" t="s">
        <v>2042</v>
      </c>
      <c r="C7231" s="0" t="s">
        <v>2156</v>
      </c>
      <c r="D7231" s="0" t="s">
        <v>2044</v>
      </c>
      <c r="E7231" s="0" t="s">
        <v>2045</v>
      </c>
      <c r="F7231" s="0" t="s">
        <v>2046</v>
      </c>
      <c r="G7231" s="0" t="s">
        <v>2088</v>
      </c>
      <c r="H7231" s="0" t="s">
        <v>2048</v>
      </c>
      <c r="I7231" s="0" t="s">
        <v>2322</v>
      </c>
      <c r="J7231" s="0" t="s">
        <v>2368</v>
      </c>
      <c r="K7231" s="272" t="n">
        <v>-1092411</v>
      </c>
    </row>
    <row r="7232" customFormat="false" ht="15" hidden="false" customHeight="false" outlineLevel="0" collapsed="false">
      <c r="A7232" s="0" t="s">
        <v>2041</v>
      </c>
      <c r="B7232" s="0" t="s">
        <v>2042</v>
      </c>
      <c r="C7232" s="0" t="s">
        <v>2161</v>
      </c>
      <c r="D7232" s="0" t="s">
        <v>2044</v>
      </c>
      <c r="E7232" s="0" t="s">
        <v>2045</v>
      </c>
      <c r="F7232" s="0" t="s">
        <v>2046</v>
      </c>
      <c r="G7232" s="0" t="s">
        <v>2088</v>
      </c>
      <c r="H7232" s="0" t="s">
        <v>2048</v>
      </c>
      <c r="I7232" s="0" t="s">
        <v>2322</v>
      </c>
      <c r="J7232" s="0" t="s">
        <v>2368</v>
      </c>
      <c r="K7232" s="272" t="n">
        <v>-329908.13</v>
      </c>
    </row>
    <row r="7233" customFormat="false" ht="15" hidden="false" customHeight="false" outlineLevel="0" collapsed="false">
      <c r="A7233" s="0" t="s">
        <v>2041</v>
      </c>
      <c r="B7233" s="0" t="s">
        <v>2042</v>
      </c>
      <c r="C7233" s="0" t="s">
        <v>2156</v>
      </c>
      <c r="D7233" s="0" t="s">
        <v>2044</v>
      </c>
      <c r="E7233" s="0" t="s">
        <v>2045</v>
      </c>
      <c r="F7233" s="0" t="s">
        <v>2051</v>
      </c>
      <c r="G7233" s="0" t="s">
        <v>2088</v>
      </c>
      <c r="H7233" s="0" t="s">
        <v>2052</v>
      </c>
      <c r="I7233" s="0" t="s">
        <v>2322</v>
      </c>
      <c r="J7233" s="0" t="s">
        <v>2368</v>
      </c>
      <c r="K7233" s="272" t="n">
        <v>-165791.5</v>
      </c>
    </row>
    <row r="7234" customFormat="false" ht="15" hidden="false" customHeight="false" outlineLevel="0" collapsed="false">
      <c r="A7234" s="0" t="s">
        <v>2041</v>
      </c>
      <c r="B7234" s="0" t="s">
        <v>2042</v>
      </c>
      <c r="C7234" s="0" t="s">
        <v>2161</v>
      </c>
      <c r="D7234" s="0" t="s">
        <v>2044</v>
      </c>
      <c r="E7234" s="0" t="s">
        <v>2045</v>
      </c>
      <c r="F7234" s="0" t="s">
        <v>2051</v>
      </c>
      <c r="G7234" s="0" t="s">
        <v>2088</v>
      </c>
      <c r="H7234" s="0" t="s">
        <v>2052</v>
      </c>
      <c r="I7234" s="0" t="s">
        <v>2322</v>
      </c>
      <c r="J7234" s="0" t="s">
        <v>2368</v>
      </c>
      <c r="K7234" s="272" t="n">
        <v>-50069.0346153846</v>
      </c>
    </row>
    <row r="7235" customFormat="false" ht="15" hidden="false" customHeight="false" outlineLevel="0" collapsed="false">
      <c r="A7235" s="0" t="s">
        <v>2041</v>
      </c>
      <c r="B7235" s="0" t="s">
        <v>2042</v>
      </c>
      <c r="C7235" s="0" t="s">
        <v>2156</v>
      </c>
      <c r="D7235" s="0" t="s">
        <v>2044</v>
      </c>
      <c r="E7235" s="0" t="s">
        <v>2045</v>
      </c>
      <c r="F7235" s="0" t="s">
        <v>2046</v>
      </c>
      <c r="G7235" s="0" t="s">
        <v>2089</v>
      </c>
      <c r="H7235" s="0" t="s">
        <v>2048</v>
      </c>
      <c r="I7235" s="0" t="s">
        <v>2322</v>
      </c>
      <c r="J7235" s="0" t="s">
        <v>2368</v>
      </c>
      <c r="K7235" s="272" t="n">
        <v>-267785.1</v>
      </c>
    </row>
    <row r="7236" customFormat="false" ht="15" hidden="false" customHeight="false" outlineLevel="0" collapsed="false">
      <c r="A7236" s="0" t="s">
        <v>2041</v>
      </c>
      <c r="B7236" s="0" t="s">
        <v>2042</v>
      </c>
      <c r="C7236" s="0" t="s">
        <v>2161</v>
      </c>
      <c r="D7236" s="0" t="s">
        <v>2044</v>
      </c>
      <c r="E7236" s="0" t="s">
        <v>2045</v>
      </c>
      <c r="F7236" s="0" t="s">
        <v>2046</v>
      </c>
      <c r="G7236" s="0" t="s">
        <v>2089</v>
      </c>
      <c r="H7236" s="0" t="s">
        <v>2048</v>
      </c>
      <c r="I7236" s="0" t="s">
        <v>2322</v>
      </c>
      <c r="J7236" s="0" t="s">
        <v>2368</v>
      </c>
      <c r="K7236" s="272" t="n">
        <v>-80871.1</v>
      </c>
    </row>
    <row r="7237" customFormat="false" ht="15" hidden="false" customHeight="false" outlineLevel="0" collapsed="false">
      <c r="A7237" s="0" t="s">
        <v>2041</v>
      </c>
      <c r="B7237" s="0" t="s">
        <v>2042</v>
      </c>
      <c r="C7237" s="0" t="s">
        <v>2156</v>
      </c>
      <c r="D7237" s="0" t="s">
        <v>2044</v>
      </c>
      <c r="E7237" s="0" t="s">
        <v>2045</v>
      </c>
      <c r="F7237" s="0" t="s">
        <v>2051</v>
      </c>
      <c r="G7237" s="0" t="s">
        <v>2089</v>
      </c>
      <c r="H7237" s="0" t="s">
        <v>2052</v>
      </c>
      <c r="I7237" s="0" t="s">
        <v>2322</v>
      </c>
      <c r="J7237" s="0" t="s">
        <v>2368</v>
      </c>
      <c r="K7237" s="272" t="n">
        <v>-2704.9</v>
      </c>
    </row>
    <row r="7238" customFormat="false" ht="15" hidden="false" customHeight="false" outlineLevel="0" collapsed="false">
      <c r="A7238" s="0" t="s">
        <v>2041</v>
      </c>
      <c r="B7238" s="0" t="s">
        <v>2042</v>
      </c>
      <c r="C7238" s="0" t="s">
        <v>2161</v>
      </c>
      <c r="D7238" s="0" t="s">
        <v>2044</v>
      </c>
      <c r="E7238" s="0" t="s">
        <v>2045</v>
      </c>
      <c r="F7238" s="0" t="s">
        <v>2051</v>
      </c>
      <c r="G7238" s="0" t="s">
        <v>2089</v>
      </c>
      <c r="H7238" s="0" t="s">
        <v>2052</v>
      </c>
      <c r="I7238" s="0" t="s">
        <v>2322</v>
      </c>
      <c r="J7238" s="0" t="s">
        <v>2368</v>
      </c>
      <c r="K7238" s="272" t="n">
        <v>-816.879797979798</v>
      </c>
    </row>
    <row r="7239" customFormat="false" ht="15" hidden="false" customHeight="false" outlineLevel="0" collapsed="false">
      <c r="A7239" s="0" t="s">
        <v>2041</v>
      </c>
      <c r="B7239" s="0" t="s">
        <v>2042</v>
      </c>
      <c r="C7239" s="0" t="s">
        <v>2156</v>
      </c>
      <c r="D7239" s="0" t="s">
        <v>2044</v>
      </c>
      <c r="E7239" s="0" t="s">
        <v>2045</v>
      </c>
      <c r="F7239" s="0" t="s">
        <v>2046</v>
      </c>
      <c r="G7239" s="0" t="s">
        <v>2090</v>
      </c>
      <c r="H7239" s="0" t="s">
        <v>2048</v>
      </c>
      <c r="I7239" s="0" t="s">
        <v>2322</v>
      </c>
      <c r="J7239" s="0" t="s">
        <v>2368</v>
      </c>
      <c r="K7239" s="272" t="n">
        <v>-3845965.78</v>
      </c>
    </row>
    <row r="7240" customFormat="false" ht="15" hidden="false" customHeight="false" outlineLevel="0" collapsed="false">
      <c r="A7240" s="0" t="s">
        <v>2041</v>
      </c>
      <c r="B7240" s="0" t="s">
        <v>2042</v>
      </c>
      <c r="C7240" s="0" t="s">
        <v>2161</v>
      </c>
      <c r="D7240" s="0" t="s">
        <v>2044</v>
      </c>
      <c r="E7240" s="0" t="s">
        <v>2045</v>
      </c>
      <c r="F7240" s="0" t="s">
        <v>2046</v>
      </c>
      <c r="G7240" s="0" t="s">
        <v>2090</v>
      </c>
      <c r="H7240" s="0" t="s">
        <v>2048</v>
      </c>
      <c r="I7240" s="0" t="s">
        <v>2322</v>
      </c>
      <c r="J7240" s="0" t="s">
        <v>2368</v>
      </c>
      <c r="K7240" s="272" t="n">
        <v>-1052484.02</v>
      </c>
    </row>
    <row r="7241" customFormat="false" ht="15" hidden="false" customHeight="false" outlineLevel="0" collapsed="false">
      <c r="A7241" s="0" t="s">
        <v>2041</v>
      </c>
      <c r="B7241" s="0" t="s">
        <v>2042</v>
      </c>
      <c r="C7241" s="0" t="s">
        <v>2156</v>
      </c>
      <c r="D7241" s="0" t="s">
        <v>2044</v>
      </c>
      <c r="E7241" s="0" t="s">
        <v>2045</v>
      </c>
      <c r="F7241" s="0" t="s">
        <v>2051</v>
      </c>
      <c r="G7241" s="0" t="s">
        <v>2090</v>
      </c>
      <c r="H7241" s="0" t="s">
        <v>2052</v>
      </c>
      <c r="I7241" s="0" t="s">
        <v>2322</v>
      </c>
      <c r="J7241" s="0" t="s">
        <v>2368</v>
      </c>
      <c r="K7241" s="272" t="n">
        <v>-877441.92</v>
      </c>
    </row>
    <row r="7242" customFormat="false" ht="15" hidden="false" customHeight="false" outlineLevel="0" collapsed="false">
      <c r="A7242" s="0" t="s">
        <v>2041</v>
      </c>
      <c r="B7242" s="0" t="s">
        <v>2042</v>
      </c>
      <c r="C7242" s="0" t="s">
        <v>2161</v>
      </c>
      <c r="D7242" s="0" t="s">
        <v>2044</v>
      </c>
      <c r="E7242" s="0" t="s">
        <v>2045</v>
      </c>
      <c r="F7242" s="0" t="s">
        <v>2051</v>
      </c>
      <c r="G7242" s="0" t="s">
        <v>2090</v>
      </c>
      <c r="H7242" s="0" t="s">
        <v>2052</v>
      </c>
      <c r="I7242" s="0" t="s">
        <v>2322</v>
      </c>
      <c r="J7242" s="0" t="s">
        <v>2368</v>
      </c>
      <c r="K7242" s="272" t="n">
        <v>-252876.611388889</v>
      </c>
    </row>
    <row r="7243" customFormat="false" ht="15" hidden="false" customHeight="false" outlineLevel="0" collapsed="false">
      <c r="A7243" s="0" t="s">
        <v>2041</v>
      </c>
      <c r="B7243" s="0" t="s">
        <v>2042</v>
      </c>
      <c r="C7243" s="0" t="s">
        <v>2156</v>
      </c>
      <c r="D7243" s="0" t="s">
        <v>2044</v>
      </c>
      <c r="E7243" s="0" t="s">
        <v>2045</v>
      </c>
      <c r="F7243" s="0" t="s">
        <v>2046</v>
      </c>
      <c r="G7243" s="0" t="s">
        <v>2091</v>
      </c>
      <c r="H7243" s="0" t="s">
        <v>2048</v>
      </c>
      <c r="I7243" s="0" t="s">
        <v>2322</v>
      </c>
      <c r="J7243" s="0" t="s">
        <v>2368</v>
      </c>
      <c r="K7243" s="272" t="n">
        <v>-1261136.8</v>
      </c>
    </row>
    <row r="7244" customFormat="false" ht="15" hidden="false" customHeight="false" outlineLevel="0" collapsed="false">
      <c r="A7244" s="0" t="s">
        <v>2041</v>
      </c>
      <c r="B7244" s="0" t="s">
        <v>2042</v>
      </c>
      <c r="C7244" s="0" t="s">
        <v>2161</v>
      </c>
      <c r="D7244" s="0" t="s">
        <v>2044</v>
      </c>
      <c r="E7244" s="0" t="s">
        <v>2045</v>
      </c>
      <c r="F7244" s="0" t="s">
        <v>2046</v>
      </c>
      <c r="G7244" s="0" t="s">
        <v>2091</v>
      </c>
      <c r="H7244" s="0" t="s">
        <v>2048</v>
      </c>
      <c r="I7244" s="0" t="s">
        <v>2322</v>
      </c>
      <c r="J7244" s="0" t="s">
        <v>2368</v>
      </c>
      <c r="K7244" s="272" t="n">
        <v>-312363.08</v>
      </c>
    </row>
    <row r="7245" customFormat="false" ht="15" hidden="false" customHeight="false" outlineLevel="0" collapsed="false">
      <c r="A7245" s="0" t="s">
        <v>2041</v>
      </c>
      <c r="B7245" s="0" t="s">
        <v>2042</v>
      </c>
      <c r="C7245" s="0" t="s">
        <v>2156</v>
      </c>
      <c r="D7245" s="0" t="s">
        <v>2044</v>
      </c>
      <c r="E7245" s="0" t="s">
        <v>2045</v>
      </c>
      <c r="F7245" s="0" t="s">
        <v>2051</v>
      </c>
      <c r="G7245" s="0" t="s">
        <v>2091</v>
      </c>
      <c r="H7245" s="0" t="s">
        <v>2052</v>
      </c>
      <c r="I7245" s="0" t="s">
        <v>2322</v>
      </c>
      <c r="J7245" s="0" t="s">
        <v>2368</v>
      </c>
      <c r="K7245" s="272" t="n">
        <v>-2405781.2</v>
      </c>
    </row>
    <row r="7246" customFormat="false" ht="15" hidden="false" customHeight="false" outlineLevel="0" collapsed="false">
      <c r="A7246" s="0" t="s">
        <v>2041</v>
      </c>
      <c r="B7246" s="0" t="s">
        <v>2042</v>
      </c>
      <c r="C7246" s="0" t="s">
        <v>2161</v>
      </c>
      <c r="D7246" s="0" t="s">
        <v>2044</v>
      </c>
      <c r="E7246" s="0" t="s">
        <v>2045</v>
      </c>
      <c r="F7246" s="0" t="s">
        <v>2051</v>
      </c>
      <c r="G7246" s="0" t="s">
        <v>2091</v>
      </c>
      <c r="H7246" s="0" t="s">
        <v>2052</v>
      </c>
      <c r="I7246" s="0" t="s">
        <v>2322</v>
      </c>
      <c r="J7246" s="0" t="s">
        <v>2368</v>
      </c>
      <c r="K7246" s="272" t="n">
        <v>-566712.021587302</v>
      </c>
    </row>
    <row r="7247" customFormat="false" ht="15" hidden="false" customHeight="false" outlineLevel="0" collapsed="false">
      <c r="A7247" s="0" t="s">
        <v>2041</v>
      </c>
      <c r="B7247" s="0" t="s">
        <v>2042</v>
      </c>
      <c r="C7247" s="0" t="s">
        <v>2156</v>
      </c>
      <c r="D7247" s="0" t="s">
        <v>2044</v>
      </c>
      <c r="E7247" s="0" t="s">
        <v>2045</v>
      </c>
      <c r="F7247" s="0" t="s">
        <v>2046</v>
      </c>
      <c r="G7247" s="0" t="s">
        <v>2092</v>
      </c>
      <c r="H7247" s="0" t="s">
        <v>2048</v>
      </c>
      <c r="I7247" s="0" t="s">
        <v>2322</v>
      </c>
      <c r="J7247" s="0" t="s">
        <v>2368</v>
      </c>
      <c r="K7247" s="272" t="n">
        <v>-568947.4</v>
      </c>
    </row>
    <row r="7248" customFormat="false" ht="15" hidden="false" customHeight="false" outlineLevel="0" collapsed="false">
      <c r="A7248" s="0" t="s">
        <v>2041</v>
      </c>
      <c r="B7248" s="0" t="s">
        <v>2042</v>
      </c>
      <c r="C7248" s="0" t="s">
        <v>2161</v>
      </c>
      <c r="D7248" s="0" t="s">
        <v>2044</v>
      </c>
      <c r="E7248" s="0" t="s">
        <v>2045</v>
      </c>
      <c r="F7248" s="0" t="s">
        <v>2046</v>
      </c>
      <c r="G7248" s="0" t="s">
        <v>2092</v>
      </c>
      <c r="H7248" s="0" t="s">
        <v>2048</v>
      </c>
      <c r="I7248" s="0" t="s">
        <v>2322</v>
      </c>
      <c r="J7248" s="0" t="s">
        <v>2368</v>
      </c>
      <c r="K7248" s="272" t="n">
        <v>-171822.11</v>
      </c>
    </row>
    <row r="7249" customFormat="false" ht="15" hidden="false" customHeight="false" outlineLevel="0" collapsed="false">
      <c r="A7249" s="0" t="s">
        <v>2041</v>
      </c>
      <c r="B7249" s="0" t="s">
        <v>2042</v>
      </c>
      <c r="C7249" s="0" t="s">
        <v>2156</v>
      </c>
      <c r="D7249" s="0" t="s">
        <v>2044</v>
      </c>
      <c r="E7249" s="0" t="s">
        <v>2045</v>
      </c>
      <c r="F7249" s="0" t="s">
        <v>2051</v>
      </c>
      <c r="G7249" s="0" t="s">
        <v>2092</v>
      </c>
      <c r="H7249" s="0" t="s">
        <v>2052</v>
      </c>
      <c r="I7249" s="0" t="s">
        <v>2322</v>
      </c>
      <c r="J7249" s="0" t="s">
        <v>2368</v>
      </c>
      <c r="K7249" s="272" t="n">
        <v>-29944.6</v>
      </c>
    </row>
    <row r="7250" customFormat="false" ht="15" hidden="false" customHeight="false" outlineLevel="0" collapsed="false">
      <c r="A7250" s="0" t="s">
        <v>2041</v>
      </c>
      <c r="B7250" s="0" t="s">
        <v>2042</v>
      </c>
      <c r="C7250" s="0" t="s">
        <v>2161</v>
      </c>
      <c r="D7250" s="0" t="s">
        <v>2044</v>
      </c>
      <c r="E7250" s="0" t="s">
        <v>2045</v>
      </c>
      <c r="F7250" s="0" t="s">
        <v>2051</v>
      </c>
      <c r="G7250" s="0" t="s">
        <v>2092</v>
      </c>
      <c r="H7250" s="0" t="s">
        <v>2052</v>
      </c>
      <c r="I7250" s="0" t="s">
        <v>2322</v>
      </c>
      <c r="J7250" s="0" t="s">
        <v>2368</v>
      </c>
      <c r="K7250" s="272" t="n">
        <v>-9043.26894736842</v>
      </c>
    </row>
    <row r="7251" customFormat="false" ht="15" hidden="false" customHeight="false" outlineLevel="0" collapsed="false">
      <c r="A7251" s="0" t="s">
        <v>2041</v>
      </c>
      <c r="B7251" s="0" t="s">
        <v>2042</v>
      </c>
      <c r="C7251" s="0" t="s">
        <v>2156</v>
      </c>
      <c r="D7251" s="0" t="s">
        <v>2044</v>
      </c>
      <c r="E7251" s="0" t="s">
        <v>2045</v>
      </c>
      <c r="F7251" s="0" t="s">
        <v>2046</v>
      </c>
      <c r="G7251" s="0" t="s">
        <v>2093</v>
      </c>
      <c r="H7251" s="0" t="s">
        <v>2048</v>
      </c>
      <c r="I7251" s="0" t="s">
        <v>2322</v>
      </c>
      <c r="J7251" s="0" t="s">
        <v>2368</v>
      </c>
      <c r="K7251" s="272" t="n">
        <v>-2097105.95</v>
      </c>
    </row>
    <row r="7252" customFormat="false" ht="15" hidden="false" customHeight="false" outlineLevel="0" collapsed="false">
      <c r="A7252" s="0" t="s">
        <v>2041</v>
      </c>
      <c r="B7252" s="0" t="s">
        <v>2042</v>
      </c>
      <c r="C7252" s="0" t="s">
        <v>2161</v>
      </c>
      <c r="D7252" s="0" t="s">
        <v>2044</v>
      </c>
      <c r="E7252" s="0" t="s">
        <v>2045</v>
      </c>
      <c r="F7252" s="0" t="s">
        <v>2046</v>
      </c>
      <c r="G7252" s="0" t="s">
        <v>2093</v>
      </c>
      <c r="H7252" s="0" t="s">
        <v>2048</v>
      </c>
      <c r="I7252" s="0" t="s">
        <v>2322</v>
      </c>
      <c r="J7252" s="0" t="s">
        <v>2368</v>
      </c>
      <c r="K7252" s="272" t="n">
        <v>-633326.01</v>
      </c>
    </row>
    <row r="7253" customFormat="false" ht="15" hidden="false" customHeight="false" outlineLevel="0" collapsed="false">
      <c r="A7253" s="0" t="s">
        <v>2041</v>
      </c>
      <c r="B7253" s="0" t="s">
        <v>2042</v>
      </c>
      <c r="C7253" s="0" t="s">
        <v>2156</v>
      </c>
      <c r="D7253" s="0" t="s">
        <v>2044</v>
      </c>
      <c r="E7253" s="0" t="s">
        <v>2045</v>
      </c>
      <c r="F7253" s="0" t="s">
        <v>2051</v>
      </c>
      <c r="G7253" s="0" t="s">
        <v>2093</v>
      </c>
      <c r="H7253" s="0" t="s">
        <v>2052</v>
      </c>
      <c r="I7253" s="0" t="s">
        <v>2322</v>
      </c>
      <c r="J7253" s="0" t="s">
        <v>2368</v>
      </c>
      <c r="K7253" s="272" t="n">
        <v>-192657.05</v>
      </c>
    </row>
    <row r="7254" customFormat="false" ht="15" hidden="false" customHeight="false" outlineLevel="0" collapsed="false">
      <c r="A7254" s="0" t="s">
        <v>2041</v>
      </c>
      <c r="B7254" s="0" t="s">
        <v>2042</v>
      </c>
      <c r="C7254" s="0" t="s">
        <v>2161</v>
      </c>
      <c r="D7254" s="0" t="s">
        <v>2044</v>
      </c>
      <c r="E7254" s="0" t="s">
        <v>2045</v>
      </c>
      <c r="F7254" s="0" t="s">
        <v>2051</v>
      </c>
      <c r="G7254" s="0" t="s">
        <v>2093</v>
      </c>
      <c r="H7254" s="0" t="s">
        <v>2052</v>
      </c>
      <c r="I7254" s="0" t="s">
        <v>2322</v>
      </c>
      <c r="J7254" s="0" t="s">
        <v>2368</v>
      </c>
      <c r="K7254" s="272" t="n">
        <v>-58182.4294427245</v>
      </c>
    </row>
    <row r="7255" customFormat="false" ht="15" hidden="false" customHeight="false" outlineLevel="0" collapsed="false">
      <c r="A7255" s="0" t="s">
        <v>2041</v>
      </c>
      <c r="B7255" s="0" t="s">
        <v>2042</v>
      </c>
      <c r="C7255" s="0" t="s">
        <v>2156</v>
      </c>
      <c r="D7255" s="0" t="s">
        <v>2044</v>
      </c>
      <c r="E7255" s="0" t="s">
        <v>2045</v>
      </c>
      <c r="F7255" s="0" t="s">
        <v>2046</v>
      </c>
      <c r="G7255" s="0" t="s">
        <v>2094</v>
      </c>
      <c r="H7255" s="0" t="s">
        <v>2048</v>
      </c>
      <c r="I7255" s="0" t="s">
        <v>2322</v>
      </c>
      <c r="J7255" s="0" t="s">
        <v>2368</v>
      </c>
      <c r="K7255" s="272" t="n">
        <v>-1541738.08</v>
      </c>
    </row>
    <row r="7256" customFormat="false" ht="15" hidden="false" customHeight="false" outlineLevel="0" collapsed="false">
      <c r="A7256" s="0" t="s">
        <v>2041</v>
      </c>
      <c r="B7256" s="0" t="s">
        <v>2042</v>
      </c>
      <c r="C7256" s="0" t="s">
        <v>2161</v>
      </c>
      <c r="D7256" s="0" t="s">
        <v>2044</v>
      </c>
      <c r="E7256" s="0" t="s">
        <v>2045</v>
      </c>
      <c r="F7256" s="0" t="s">
        <v>2046</v>
      </c>
      <c r="G7256" s="0" t="s">
        <v>2094</v>
      </c>
      <c r="H7256" s="0" t="s">
        <v>2048</v>
      </c>
      <c r="I7256" s="0" t="s">
        <v>2322</v>
      </c>
      <c r="J7256" s="0" t="s">
        <v>2368</v>
      </c>
      <c r="K7256" s="272" t="n">
        <v>-438124.6</v>
      </c>
    </row>
    <row r="7257" customFormat="false" ht="15" hidden="false" customHeight="false" outlineLevel="0" collapsed="false">
      <c r="A7257" s="0" t="s">
        <v>2041</v>
      </c>
      <c r="B7257" s="0" t="s">
        <v>2042</v>
      </c>
      <c r="C7257" s="0" t="s">
        <v>2156</v>
      </c>
      <c r="D7257" s="0" t="s">
        <v>2044</v>
      </c>
      <c r="E7257" s="0" t="s">
        <v>2045</v>
      </c>
      <c r="F7257" s="0" t="s">
        <v>2051</v>
      </c>
      <c r="G7257" s="0" t="s">
        <v>2094</v>
      </c>
      <c r="H7257" s="0" t="s">
        <v>2052</v>
      </c>
      <c r="I7257" s="0" t="s">
        <v>2322</v>
      </c>
      <c r="J7257" s="0" t="s">
        <v>2368</v>
      </c>
      <c r="K7257" s="272" t="n">
        <v>-1596814.92</v>
      </c>
    </row>
    <row r="7258" customFormat="false" ht="15" hidden="false" customHeight="false" outlineLevel="0" collapsed="false">
      <c r="A7258" s="0" t="s">
        <v>2041</v>
      </c>
      <c r="B7258" s="0" t="s">
        <v>2042</v>
      </c>
      <c r="C7258" s="0" t="s">
        <v>2161</v>
      </c>
      <c r="D7258" s="0" t="s">
        <v>2044</v>
      </c>
      <c r="E7258" s="0" t="s">
        <v>2045</v>
      </c>
      <c r="F7258" s="0" t="s">
        <v>2051</v>
      </c>
      <c r="G7258" s="0" t="s">
        <v>2094</v>
      </c>
      <c r="H7258" s="0" t="s">
        <v>2052</v>
      </c>
      <c r="I7258" s="0" t="s">
        <v>2322</v>
      </c>
      <c r="J7258" s="0" t="s">
        <v>2368</v>
      </c>
      <c r="K7258" s="272" t="n">
        <v>-444289.114761905</v>
      </c>
    </row>
    <row r="7259" customFormat="false" ht="15" hidden="false" customHeight="false" outlineLevel="0" collapsed="false">
      <c r="A7259" s="0" t="s">
        <v>2041</v>
      </c>
      <c r="B7259" s="0" t="s">
        <v>2042</v>
      </c>
      <c r="C7259" s="0" t="s">
        <v>2156</v>
      </c>
      <c r="D7259" s="0" t="s">
        <v>2044</v>
      </c>
      <c r="E7259" s="0" t="s">
        <v>2045</v>
      </c>
      <c r="F7259" s="0" t="s">
        <v>2046</v>
      </c>
      <c r="G7259" s="0" t="s">
        <v>2095</v>
      </c>
      <c r="H7259" s="0" t="s">
        <v>2048</v>
      </c>
      <c r="I7259" s="0" t="s">
        <v>2322</v>
      </c>
      <c r="J7259" s="0" t="s">
        <v>2368</v>
      </c>
      <c r="K7259" s="272" t="n">
        <v>-1580385.775</v>
      </c>
    </row>
    <row r="7260" customFormat="false" ht="15" hidden="false" customHeight="false" outlineLevel="0" collapsed="false">
      <c r="A7260" s="0" t="s">
        <v>2041</v>
      </c>
      <c r="B7260" s="0" t="s">
        <v>2042</v>
      </c>
      <c r="C7260" s="0" t="s">
        <v>2161</v>
      </c>
      <c r="D7260" s="0" t="s">
        <v>2044</v>
      </c>
      <c r="E7260" s="0" t="s">
        <v>2045</v>
      </c>
      <c r="F7260" s="0" t="s">
        <v>2046</v>
      </c>
      <c r="G7260" s="0" t="s">
        <v>2095</v>
      </c>
      <c r="H7260" s="0" t="s">
        <v>2048</v>
      </c>
      <c r="I7260" s="0" t="s">
        <v>2322</v>
      </c>
      <c r="J7260" s="0" t="s">
        <v>2368</v>
      </c>
      <c r="K7260" s="272" t="n">
        <v>-477276.51849</v>
      </c>
    </row>
    <row r="7261" customFormat="false" ht="15" hidden="false" customHeight="false" outlineLevel="0" collapsed="false">
      <c r="A7261" s="0" t="s">
        <v>2041</v>
      </c>
      <c r="B7261" s="0" t="s">
        <v>2042</v>
      </c>
      <c r="C7261" s="0" t="s">
        <v>2156</v>
      </c>
      <c r="D7261" s="0" t="s">
        <v>2044</v>
      </c>
      <c r="E7261" s="0" t="s">
        <v>2045</v>
      </c>
      <c r="F7261" s="0" t="s">
        <v>2051</v>
      </c>
      <c r="G7261" s="0" t="s">
        <v>2095</v>
      </c>
      <c r="H7261" s="0" t="s">
        <v>2052</v>
      </c>
      <c r="I7261" s="0" t="s">
        <v>2322</v>
      </c>
      <c r="J7261" s="0" t="s">
        <v>2368</v>
      </c>
      <c r="K7261" s="272" t="n">
        <v>-1005128.175</v>
      </c>
    </row>
    <row r="7262" customFormat="false" ht="15" hidden="false" customHeight="false" outlineLevel="0" collapsed="false">
      <c r="A7262" s="0" t="s">
        <v>2041</v>
      </c>
      <c r="B7262" s="0" t="s">
        <v>2042</v>
      </c>
      <c r="C7262" s="0" t="s">
        <v>2161</v>
      </c>
      <c r="D7262" s="0" t="s">
        <v>2044</v>
      </c>
      <c r="E7262" s="0" t="s">
        <v>2045</v>
      </c>
      <c r="F7262" s="0" t="s">
        <v>2051</v>
      </c>
      <c r="G7262" s="0" t="s">
        <v>2095</v>
      </c>
      <c r="H7262" s="0" t="s">
        <v>2052</v>
      </c>
      <c r="I7262" s="0" t="s">
        <v>2322</v>
      </c>
      <c r="J7262" s="0" t="s">
        <v>2368</v>
      </c>
      <c r="K7262" s="272" t="n">
        <v>-303548.71849</v>
      </c>
    </row>
    <row r="7263" customFormat="false" ht="15" hidden="false" customHeight="false" outlineLevel="0" collapsed="false">
      <c r="A7263" s="0" t="s">
        <v>2041</v>
      </c>
      <c r="B7263" s="0" t="s">
        <v>2042</v>
      </c>
      <c r="C7263" s="0" t="s">
        <v>2156</v>
      </c>
      <c r="D7263" s="0" t="s">
        <v>2044</v>
      </c>
      <c r="E7263" s="0" t="s">
        <v>2045</v>
      </c>
      <c r="F7263" s="0" t="s">
        <v>2046</v>
      </c>
      <c r="G7263" s="0" t="s">
        <v>2096</v>
      </c>
      <c r="H7263" s="0" t="s">
        <v>2048</v>
      </c>
      <c r="I7263" s="0" t="s">
        <v>2097</v>
      </c>
      <c r="J7263" s="0" t="s">
        <v>2368</v>
      </c>
      <c r="K7263" s="272" t="n">
        <v>-405279</v>
      </c>
    </row>
    <row r="7264" customFormat="false" ht="15" hidden="false" customHeight="false" outlineLevel="0" collapsed="false">
      <c r="A7264" s="0" t="s">
        <v>2041</v>
      </c>
      <c r="B7264" s="0" t="s">
        <v>2042</v>
      </c>
      <c r="C7264" s="0" t="s">
        <v>2161</v>
      </c>
      <c r="D7264" s="0" t="s">
        <v>2044</v>
      </c>
      <c r="E7264" s="0" t="s">
        <v>2045</v>
      </c>
      <c r="F7264" s="0" t="s">
        <v>2046</v>
      </c>
      <c r="G7264" s="0" t="s">
        <v>2096</v>
      </c>
      <c r="H7264" s="0" t="s">
        <v>2048</v>
      </c>
      <c r="I7264" s="0" t="s">
        <v>2097</v>
      </c>
      <c r="J7264" s="0" t="s">
        <v>2368</v>
      </c>
      <c r="K7264" s="272" t="n">
        <v>-31611.78</v>
      </c>
    </row>
    <row r="7265" customFormat="false" ht="15" hidden="false" customHeight="false" outlineLevel="0" collapsed="false">
      <c r="A7265" s="0" t="s">
        <v>2041</v>
      </c>
      <c r="B7265" s="0" t="s">
        <v>2042</v>
      </c>
      <c r="C7265" s="0" t="s">
        <v>2156</v>
      </c>
      <c r="D7265" s="0" t="s">
        <v>2044</v>
      </c>
      <c r="E7265" s="0" t="s">
        <v>2045</v>
      </c>
      <c r="F7265" s="0" t="s">
        <v>2051</v>
      </c>
      <c r="G7265" s="0" t="s">
        <v>2096</v>
      </c>
      <c r="H7265" s="0" t="s">
        <v>2052</v>
      </c>
      <c r="I7265" s="0" t="s">
        <v>2097</v>
      </c>
      <c r="J7265" s="0" t="s">
        <v>2368</v>
      </c>
      <c r="K7265" s="272" t="n">
        <v>-405279</v>
      </c>
    </row>
    <row r="7266" customFormat="false" ht="15" hidden="false" customHeight="false" outlineLevel="0" collapsed="false">
      <c r="A7266" s="0" t="s">
        <v>2041</v>
      </c>
      <c r="B7266" s="0" t="s">
        <v>2042</v>
      </c>
      <c r="C7266" s="0" t="s">
        <v>2161</v>
      </c>
      <c r="D7266" s="0" t="s">
        <v>2044</v>
      </c>
      <c r="E7266" s="0" t="s">
        <v>2045</v>
      </c>
      <c r="F7266" s="0" t="s">
        <v>2051</v>
      </c>
      <c r="G7266" s="0" t="s">
        <v>2096</v>
      </c>
      <c r="H7266" s="0" t="s">
        <v>2052</v>
      </c>
      <c r="I7266" s="0" t="s">
        <v>2097</v>
      </c>
      <c r="J7266" s="0" t="s">
        <v>2368</v>
      </c>
      <c r="K7266" s="272" t="n">
        <v>-31611.78</v>
      </c>
    </row>
    <row r="7267" customFormat="false" ht="15" hidden="false" customHeight="false" outlineLevel="0" collapsed="false">
      <c r="A7267" s="0" t="s">
        <v>2041</v>
      </c>
      <c r="B7267" s="0" t="s">
        <v>2042</v>
      </c>
      <c r="C7267" s="0" t="s">
        <v>2156</v>
      </c>
      <c r="D7267" s="0" t="s">
        <v>2044</v>
      </c>
      <c r="E7267" s="0" t="s">
        <v>2045</v>
      </c>
      <c r="F7267" s="0" t="s">
        <v>2046</v>
      </c>
      <c r="G7267" s="0" t="s">
        <v>2098</v>
      </c>
      <c r="H7267" s="0" t="s">
        <v>2048</v>
      </c>
      <c r="I7267" s="0" t="s">
        <v>2322</v>
      </c>
      <c r="J7267" s="0" t="s">
        <v>2368</v>
      </c>
      <c r="K7267" s="272" t="n">
        <v>-407022.42</v>
      </c>
    </row>
    <row r="7268" customFormat="false" ht="15" hidden="false" customHeight="false" outlineLevel="0" collapsed="false">
      <c r="A7268" s="0" t="s">
        <v>2041</v>
      </c>
      <c r="B7268" s="0" t="s">
        <v>2042</v>
      </c>
      <c r="C7268" s="0" t="s">
        <v>2161</v>
      </c>
      <c r="D7268" s="0" t="s">
        <v>2044</v>
      </c>
      <c r="E7268" s="0" t="s">
        <v>2045</v>
      </c>
      <c r="F7268" s="0" t="s">
        <v>2046</v>
      </c>
      <c r="G7268" s="0" t="s">
        <v>2098</v>
      </c>
      <c r="H7268" s="0" t="s">
        <v>2048</v>
      </c>
      <c r="I7268" s="0" t="s">
        <v>2322</v>
      </c>
      <c r="J7268" s="0" t="s">
        <v>2368</v>
      </c>
      <c r="K7268" s="272" t="n">
        <v>-122920.77</v>
      </c>
    </row>
    <row r="7269" customFormat="false" ht="15" hidden="false" customHeight="false" outlineLevel="0" collapsed="false">
      <c r="A7269" s="0" t="s">
        <v>2041</v>
      </c>
      <c r="B7269" s="0" t="s">
        <v>2042</v>
      </c>
      <c r="C7269" s="0" t="s">
        <v>2156</v>
      </c>
      <c r="D7269" s="0" t="s">
        <v>2044</v>
      </c>
      <c r="E7269" s="0" t="s">
        <v>2045</v>
      </c>
      <c r="F7269" s="0" t="s">
        <v>2051</v>
      </c>
      <c r="G7269" s="0" t="s">
        <v>2098</v>
      </c>
      <c r="H7269" s="0" t="s">
        <v>2052</v>
      </c>
      <c r="I7269" s="0" t="s">
        <v>2322</v>
      </c>
      <c r="J7269" s="0" t="s">
        <v>2368</v>
      </c>
      <c r="K7269" s="272" t="n">
        <v>-8306.58</v>
      </c>
    </row>
    <row r="7270" customFormat="false" ht="15" hidden="false" customHeight="false" outlineLevel="0" collapsed="false">
      <c r="A7270" s="0" t="s">
        <v>2041</v>
      </c>
      <c r="B7270" s="0" t="s">
        <v>2042</v>
      </c>
      <c r="C7270" s="0" t="s">
        <v>2161</v>
      </c>
      <c r="D7270" s="0" t="s">
        <v>2044</v>
      </c>
      <c r="E7270" s="0" t="s">
        <v>2045</v>
      </c>
      <c r="F7270" s="0" t="s">
        <v>2051</v>
      </c>
      <c r="G7270" s="0" t="s">
        <v>2098</v>
      </c>
      <c r="H7270" s="0" t="s">
        <v>2052</v>
      </c>
      <c r="I7270" s="0" t="s">
        <v>2322</v>
      </c>
      <c r="J7270" s="0" t="s">
        <v>2368</v>
      </c>
      <c r="K7270" s="272" t="n">
        <v>-2508.58714285714</v>
      </c>
    </row>
    <row r="7271" customFormat="false" ht="15" hidden="false" customHeight="false" outlineLevel="0" collapsed="false">
      <c r="A7271" s="0" t="s">
        <v>2041</v>
      </c>
      <c r="B7271" s="0" t="s">
        <v>2042</v>
      </c>
      <c r="C7271" s="0" t="s">
        <v>2156</v>
      </c>
      <c r="D7271" s="0" t="s">
        <v>2044</v>
      </c>
      <c r="E7271" s="0" t="s">
        <v>2045</v>
      </c>
      <c r="F7271" s="0" t="s">
        <v>2099</v>
      </c>
      <c r="G7271" s="0" t="s">
        <v>2064</v>
      </c>
      <c r="H7271" s="0" t="s">
        <v>2100</v>
      </c>
      <c r="I7271" s="0" t="s">
        <v>2322</v>
      </c>
      <c r="J7271" s="0" t="s">
        <v>2368</v>
      </c>
      <c r="K7271" s="272" t="n">
        <v>-665275</v>
      </c>
    </row>
    <row r="7272" customFormat="false" ht="15" hidden="false" customHeight="false" outlineLevel="0" collapsed="false">
      <c r="A7272" s="0" t="s">
        <v>2041</v>
      </c>
      <c r="B7272" s="0" t="s">
        <v>2042</v>
      </c>
      <c r="C7272" s="0" t="s">
        <v>2161</v>
      </c>
      <c r="D7272" s="0" t="s">
        <v>2044</v>
      </c>
      <c r="E7272" s="0" t="s">
        <v>2045</v>
      </c>
      <c r="F7272" s="0" t="s">
        <v>2099</v>
      </c>
      <c r="G7272" s="0" t="s">
        <v>2064</v>
      </c>
      <c r="H7272" s="0" t="s">
        <v>2100</v>
      </c>
      <c r="I7272" s="0" t="s">
        <v>2322</v>
      </c>
      <c r="J7272" s="0" t="s">
        <v>2368</v>
      </c>
      <c r="K7272" s="272" t="n">
        <v>-200913.06</v>
      </c>
    </row>
    <row r="7273" customFormat="false" ht="15" hidden="false" customHeight="false" outlineLevel="0" collapsed="false">
      <c r="A7273" s="0" t="s">
        <v>2041</v>
      </c>
      <c r="B7273" s="0" t="s">
        <v>2042</v>
      </c>
      <c r="C7273" s="0" t="s">
        <v>2156</v>
      </c>
      <c r="D7273" s="0" t="s">
        <v>2044</v>
      </c>
      <c r="E7273" s="0" t="s">
        <v>2045</v>
      </c>
      <c r="F7273" s="0" t="s">
        <v>2099</v>
      </c>
      <c r="G7273" s="0" t="s">
        <v>2076</v>
      </c>
      <c r="H7273" s="0" t="s">
        <v>2100</v>
      </c>
      <c r="I7273" s="0" t="s">
        <v>2322</v>
      </c>
      <c r="J7273" s="0" t="s">
        <v>2368</v>
      </c>
      <c r="K7273" s="272" t="n">
        <v>-542839</v>
      </c>
    </row>
    <row r="7274" customFormat="false" ht="15" hidden="false" customHeight="false" outlineLevel="0" collapsed="false">
      <c r="A7274" s="0" t="s">
        <v>2041</v>
      </c>
      <c r="B7274" s="0" t="s">
        <v>2042</v>
      </c>
      <c r="C7274" s="0" t="s">
        <v>2161</v>
      </c>
      <c r="D7274" s="0" t="s">
        <v>2044</v>
      </c>
      <c r="E7274" s="0" t="s">
        <v>2045</v>
      </c>
      <c r="F7274" s="0" t="s">
        <v>2099</v>
      </c>
      <c r="G7274" s="0" t="s">
        <v>2076</v>
      </c>
      <c r="H7274" s="0" t="s">
        <v>2100</v>
      </c>
      <c r="I7274" s="0" t="s">
        <v>2322</v>
      </c>
      <c r="J7274" s="0" t="s">
        <v>2368</v>
      </c>
      <c r="K7274" s="272" t="n">
        <v>-163937.38</v>
      </c>
    </row>
    <row r="7275" customFormat="false" ht="15" hidden="false" customHeight="false" outlineLevel="0" collapsed="false">
      <c r="A7275" s="0" t="s">
        <v>2041</v>
      </c>
      <c r="B7275" s="0" t="s">
        <v>2042</v>
      </c>
      <c r="C7275" s="0" t="s">
        <v>2156</v>
      </c>
      <c r="D7275" s="0" t="s">
        <v>2044</v>
      </c>
      <c r="E7275" s="0" t="s">
        <v>2045</v>
      </c>
      <c r="F7275" s="0" t="s">
        <v>2099</v>
      </c>
      <c r="G7275" s="0" t="s">
        <v>2081</v>
      </c>
      <c r="H7275" s="0" t="s">
        <v>2100</v>
      </c>
      <c r="I7275" s="0" t="s">
        <v>2322</v>
      </c>
      <c r="J7275" s="0" t="s">
        <v>2368</v>
      </c>
      <c r="K7275" s="272" t="n">
        <v>-909158</v>
      </c>
    </row>
    <row r="7276" customFormat="false" ht="15" hidden="false" customHeight="false" outlineLevel="0" collapsed="false">
      <c r="A7276" s="0" t="s">
        <v>2041</v>
      </c>
      <c r="B7276" s="0" t="s">
        <v>2042</v>
      </c>
      <c r="C7276" s="0" t="s">
        <v>2161</v>
      </c>
      <c r="D7276" s="0" t="s">
        <v>2044</v>
      </c>
      <c r="E7276" s="0" t="s">
        <v>2045</v>
      </c>
      <c r="F7276" s="0" t="s">
        <v>2099</v>
      </c>
      <c r="G7276" s="0" t="s">
        <v>2081</v>
      </c>
      <c r="H7276" s="0" t="s">
        <v>2100</v>
      </c>
      <c r="I7276" s="0" t="s">
        <v>2322</v>
      </c>
      <c r="J7276" s="0" t="s">
        <v>2368</v>
      </c>
      <c r="K7276" s="272" t="n">
        <v>-274565.73</v>
      </c>
    </row>
    <row r="7277" customFormat="false" ht="15" hidden="false" customHeight="false" outlineLevel="0" collapsed="false">
      <c r="A7277" s="0" t="s">
        <v>2041</v>
      </c>
      <c r="B7277" s="0" t="s">
        <v>2042</v>
      </c>
      <c r="C7277" s="0" t="s">
        <v>2156</v>
      </c>
      <c r="D7277" s="0" t="s">
        <v>2044</v>
      </c>
      <c r="E7277" s="0" t="s">
        <v>2045</v>
      </c>
      <c r="F7277" s="0" t="s">
        <v>2099</v>
      </c>
      <c r="G7277" s="0" t="s">
        <v>2085</v>
      </c>
      <c r="H7277" s="0" t="s">
        <v>2100</v>
      </c>
      <c r="I7277" s="0" t="s">
        <v>2322</v>
      </c>
      <c r="J7277" s="0" t="s">
        <v>2368</v>
      </c>
      <c r="K7277" s="272" t="n">
        <v>-393172.8</v>
      </c>
    </row>
    <row r="7278" customFormat="false" ht="15" hidden="false" customHeight="false" outlineLevel="0" collapsed="false">
      <c r="A7278" s="0" t="s">
        <v>2041</v>
      </c>
      <c r="B7278" s="0" t="s">
        <v>2042</v>
      </c>
      <c r="C7278" s="0" t="s">
        <v>2161</v>
      </c>
      <c r="D7278" s="0" t="s">
        <v>2044</v>
      </c>
      <c r="E7278" s="0" t="s">
        <v>2045</v>
      </c>
      <c r="F7278" s="0" t="s">
        <v>2099</v>
      </c>
      <c r="G7278" s="0" t="s">
        <v>2085</v>
      </c>
      <c r="H7278" s="0" t="s">
        <v>2100</v>
      </c>
      <c r="I7278" s="0" t="s">
        <v>2322</v>
      </c>
      <c r="J7278" s="0" t="s">
        <v>2368</v>
      </c>
      <c r="K7278" s="272" t="n">
        <v>-118738.19</v>
      </c>
    </row>
    <row r="7279" customFormat="false" ht="15" hidden="false" customHeight="false" outlineLevel="0" collapsed="false">
      <c r="A7279" s="0" t="s">
        <v>2041</v>
      </c>
      <c r="B7279" s="0" t="s">
        <v>2042</v>
      </c>
      <c r="C7279" s="0" t="s">
        <v>2156</v>
      </c>
      <c r="D7279" s="0" t="s">
        <v>2044</v>
      </c>
      <c r="E7279" s="0" t="s">
        <v>2045</v>
      </c>
      <c r="F7279" s="0" t="s">
        <v>2099</v>
      </c>
      <c r="G7279" s="0" t="s">
        <v>2086</v>
      </c>
      <c r="H7279" s="0" t="s">
        <v>2100</v>
      </c>
      <c r="I7279" s="0" t="s">
        <v>2322</v>
      </c>
      <c r="J7279" s="0" t="s">
        <v>2368</v>
      </c>
      <c r="K7279" s="272" t="n">
        <v>-409784.1</v>
      </c>
    </row>
    <row r="7280" customFormat="false" ht="15" hidden="false" customHeight="false" outlineLevel="0" collapsed="false">
      <c r="A7280" s="0" t="s">
        <v>2041</v>
      </c>
      <c r="B7280" s="0" t="s">
        <v>2042</v>
      </c>
      <c r="C7280" s="0" t="s">
        <v>2161</v>
      </c>
      <c r="D7280" s="0" t="s">
        <v>2044</v>
      </c>
      <c r="E7280" s="0" t="s">
        <v>2045</v>
      </c>
      <c r="F7280" s="0" t="s">
        <v>2099</v>
      </c>
      <c r="G7280" s="0" t="s">
        <v>2086</v>
      </c>
      <c r="H7280" s="0" t="s">
        <v>2100</v>
      </c>
      <c r="I7280" s="0" t="s">
        <v>2322</v>
      </c>
      <c r="J7280" s="0" t="s">
        <v>2368</v>
      </c>
      <c r="K7280" s="272" t="n">
        <v>-123754.79</v>
      </c>
    </row>
    <row r="7281" customFormat="false" ht="15" hidden="false" customHeight="false" outlineLevel="0" collapsed="false">
      <c r="A7281" s="0" t="s">
        <v>2041</v>
      </c>
      <c r="B7281" s="0" t="s">
        <v>2042</v>
      </c>
      <c r="C7281" s="0" t="s">
        <v>2156</v>
      </c>
      <c r="D7281" s="0" t="s">
        <v>2044</v>
      </c>
      <c r="E7281" s="0" t="s">
        <v>2045</v>
      </c>
      <c r="F7281" s="0" t="s">
        <v>2099</v>
      </c>
      <c r="G7281" s="0" t="s">
        <v>2095</v>
      </c>
      <c r="H7281" s="0" t="s">
        <v>2100</v>
      </c>
      <c r="I7281" s="0" t="s">
        <v>2322</v>
      </c>
      <c r="J7281" s="0" t="s">
        <v>2368</v>
      </c>
      <c r="K7281" s="272" t="n">
        <v>-377579.5</v>
      </c>
    </row>
    <row r="7282" customFormat="false" ht="15" hidden="false" customHeight="false" outlineLevel="0" collapsed="false">
      <c r="A7282" s="0" t="s">
        <v>2041</v>
      </c>
      <c r="B7282" s="0" t="s">
        <v>2042</v>
      </c>
      <c r="C7282" s="0" t="s">
        <v>2161</v>
      </c>
      <c r="D7282" s="0" t="s">
        <v>2044</v>
      </c>
      <c r="E7282" s="0" t="s">
        <v>2045</v>
      </c>
      <c r="F7282" s="0" t="s">
        <v>2099</v>
      </c>
      <c r="G7282" s="0" t="s">
        <v>2095</v>
      </c>
      <c r="H7282" s="0" t="s">
        <v>2100</v>
      </c>
      <c r="I7282" s="0" t="s">
        <v>2322</v>
      </c>
      <c r="J7282" s="0" t="s">
        <v>2368</v>
      </c>
      <c r="K7282" s="272" t="n">
        <v>-114029.01</v>
      </c>
    </row>
    <row r="7283" customFormat="false" ht="15" hidden="false" customHeight="false" outlineLevel="0" collapsed="false">
      <c r="A7283" s="0" t="s">
        <v>2041</v>
      </c>
      <c r="B7283" s="0" t="s">
        <v>2042</v>
      </c>
      <c r="C7283" s="0" t="s">
        <v>2156</v>
      </c>
      <c r="D7283" s="0" t="s">
        <v>2044</v>
      </c>
      <c r="E7283" s="0" t="s">
        <v>2045</v>
      </c>
      <c r="F7283" s="0" t="s">
        <v>2099</v>
      </c>
      <c r="G7283" s="0" t="s">
        <v>2096</v>
      </c>
      <c r="H7283" s="0" t="s">
        <v>2100</v>
      </c>
      <c r="I7283" s="0" t="s">
        <v>2101</v>
      </c>
      <c r="J7283" s="0" t="s">
        <v>2368</v>
      </c>
      <c r="K7283" s="272" t="n">
        <v>-335161</v>
      </c>
    </row>
    <row r="7284" customFormat="false" ht="15" hidden="false" customHeight="false" outlineLevel="0" collapsed="false">
      <c r="A7284" s="0" t="s">
        <v>2041</v>
      </c>
      <c r="B7284" s="0" t="s">
        <v>2042</v>
      </c>
      <c r="C7284" s="0" t="s">
        <v>2161</v>
      </c>
      <c r="D7284" s="0" t="s">
        <v>2044</v>
      </c>
      <c r="E7284" s="0" t="s">
        <v>2045</v>
      </c>
      <c r="F7284" s="0" t="s">
        <v>2099</v>
      </c>
      <c r="G7284" s="0" t="s">
        <v>2096</v>
      </c>
      <c r="H7284" s="0" t="s">
        <v>2100</v>
      </c>
      <c r="I7284" s="0" t="s">
        <v>2101</v>
      </c>
      <c r="J7284" s="0" t="s">
        <v>2368</v>
      </c>
      <c r="K7284" s="272" t="n">
        <v>-101218.62</v>
      </c>
    </row>
    <row r="7285" customFormat="false" ht="15" hidden="false" customHeight="false" outlineLevel="0" collapsed="false">
      <c r="A7285" s="0" t="s">
        <v>2041</v>
      </c>
      <c r="B7285" s="0" t="s">
        <v>2042</v>
      </c>
      <c r="C7285" s="0" t="s">
        <v>2349</v>
      </c>
      <c r="D7285" s="0" t="s">
        <v>2105</v>
      </c>
      <c r="E7285" s="0" t="s">
        <v>2045</v>
      </c>
      <c r="F7285" s="0" t="s">
        <v>2157</v>
      </c>
      <c r="G7285" s="0" t="s">
        <v>2158</v>
      </c>
      <c r="H7285" s="0" t="s">
        <v>2179</v>
      </c>
      <c r="I7285" s="0" t="s">
        <v>2322</v>
      </c>
      <c r="J7285" s="0" t="s">
        <v>2369</v>
      </c>
      <c r="K7285" s="272" t="n">
        <v>1467.4527781594</v>
      </c>
    </row>
    <row r="7286" customFormat="false" ht="15" hidden="false" customHeight="false" outlineLevel="0" collapsed="false">
      <c r="A7286" s="0" t="s">
        <v>2041</v>
      </c>
      <c r="B7286" s="0" t="s">
        <v>2042</v>
      </c>
      <c r="C7286" s="0" t="s">
        <v>2349</v>
      </c>
      <c r="D7286" s="0" t="s">
        <v>2105</v>
      </c>
      <c r="E7286" s="0" t="s">
        <v>2045</v>
      </c>
      <c r="F7286" s="0" t="s">
        <v>2157</v>
      </c>
      <c r="G7286" s="0" t="s">
        <v>2158</v>
      </c>
      <c r="H7286" s="0" t="s">
        <v>2159</v>
      </c>
      <c r="I7286" s="0" t="s">
        <v>2322</v>
      </c>
      <c r="J7286" s="0" t="s">
        <v>2369</v>
      </c>
      <c r="K7286" s="272" t="n">
        <v>38746.8483269971</v>
      </c>
    </row>
    <row r="7287" customFormat="false" ht="15" hidden="false" customHeight="false" outlineLevel="0" collapsed="false">
      <c r="A7287" s="0" t="s">
        <v>2041</v>
      </c>
      <c r="B7287" s="0" t="s">
        <v>2042</v>
      </c>
      <c r="C7287" s="0" t="s">
        <v>2349</v>
      </c>
      <c r="D7287" s="0" t="s">
        <v>2105</v>
      </c>
      <c r="E7287" s="0" t="s">
        <v>2045</v>
      </c>
      <c r="F7287" s="0" t="s">
        <v>2157</v>
      </c>
      <c r="G7287" s="0" t="s">
        <v>2158</v>
      </c>
      <c r="H7287" s="0" t="s">
        <v>2162</v>
      </c>
      <c r="I7287" s="0" t="s">
        <v>2322</v>
      </c>
      <c r="J7287" s="0" t="s">
        <v>2369</v>
      </c>
      <c r="K7287" s="272" t="n">
        <v>1752.79081835706</v>
      </c>
    </row>
    <row r="7288" customFormat="false" ht="15" hidden="false" customHeight="false" outlineLevel="0" collapsed="false">
      <c r="A7288" s="0" t="s">
        <v>2041</v>
      </c>
      <c r="B7288" s="0" t="s">
        <v>2042</v>
      </c>
      <c r="C7288" s="0" t="s">
        <v>2349</v>
      </c>
      <c r="D7288" s="0" t="s">
        <v>2105</v>
      </c>
      <c r="E7288" s="0" t="s">
        <v>2045</v>
      </c>
      <c r="F7288" s="0" t="s">
        <v>2157</v>
      </c>
      <c r="G7288" s="0" t="s">
        <v>2158</v>
      </c>
      <c r="H7288" s="0" t="s">
        <v>2126</v>
      </c>
      <c r="I7288" s="0" t="s">
        <v>2322</v>
      </c>
      <c r="J7288" s="0" t="s">
        <v>2369</v>
      </c>
      <c r="K7288" s="272" t="n">
        <v>2140.03530148246</v>
      </c>
    </row>
    <row r="7289" customFormat="false" ht="15" hidden="false" customHeight="false" outlineLevel="0" collapsed="false">
      <c r="A7289" s="0" t="s">
        <v>2041</v>
      </c>
      <c r="B7289" s="0" t="s">
        <v>2042</v>
      </c>
      <c r="C7289" s="0" t="s">
        <v>2349</v>
      </c>
      <c r="D7289" s="0" t="s">
        <v>2105</v>
      </c>
      <c r="E7289" s="0" t="s">
        <v>2045</v>
      </c>
      <c r="F7289" s="0" t="s">
        <v>2163</v>
      </c>
      <c r="G7289" s="0" t="s">
        <v>2164</v>
      </c>
      <c r="H7289" s="0" t="s">
        <v>2165</v>
      </c>
      <c r="I7289" s="0" t="s">
        <v>2322</v>
      </c>
      <c r="J7289" s="0" t="s">
        <v>2369</v>
      </c>
      <c r="K7289" s="272" t="n">
        <v>3493.93519774026</v>
      </c>
    </row>
    <row r="7290" customFormat="false" ht="15" hidden="false" customHeight="false" outlineLevel="0" collapsed="false">
      <c r="A7290" s="0" t="s">
        <v>2041</v>
      </c>
      <c r="B7290" s="0" t="s">
        <v>2042</v>
      </c>
      <c r="C7290" s="0" t="s">
        <v>2349</v>
      </c>
      <c r="D7290" s="0" t="s">
        <v>2105</v>
      </c>
      <c r="E7290" s="0" t="s">
        <v>2045</v>
      </c>
      <c r="F7290" s="0" t="s">
        <v>2163</v>
      </c>
      <c r="G7290" s="0" t="s">
        <v>2164</v>
      </c>
      <c r="H7290" s="0" t="s">
        <v>2166</v>
      </c>
      <c r="I7290" s="0" t="s">
        <v>2322</v>
      </c>
      <c r="J7290" s="0" t="s">
        <v>2369</v>
      </c>
      <c r="K7290" s="272" t="n">
        <v>55163.7290168622</v>
      </c>
    </row>
    <row r="7291" customFormat="false" ht="15" hidden="false" customHeight="false" outlineLevel="0" collapsed="false">
      <c r="A7291" s="0" t="s">
        <v>2041</v>
      </c>
      <c r="B7291" s="0" t="s">
        <v>2042</v>
      </c>
      <c r="C7291" s="0" t="s">
        <v>2349</v>
      </c>
      <c r="D7291" s="0" t="s">
        <v>2105</v>
      </c>
      <c r="E7291" s="0" t="s">
        <v>2045</v>
      </c>
      <c r="F7291" s="0" t="s">
        <v>2163</v>
      </c>
      <c r="G7291" s="0" t="s">
        <v>2168</v>
      </c>
      <c r="H7291" s="0" t="s">
        <v>2169</v>
      </c>
      <c r="I7291" s="0" t="s">
        <v>2322</v>
      </c>
      <c r="J7291" s="0" t="s">
        <v>2369</v>
      </c>
      <c r="K7291" s="272" t="n">
        <v>78824.3978746201</v>
      </c>
    </row>
    <row r="7292" customFormat="false" ht="15" hidden="false" customHeight="false" outlineLevel="0" collapsed="false">
      <c r="A7292" s="0" t="s">
        <v>2041</v>
      </c>
      <c r="B7292" s="0" t="s">
        <v>2042</v>
      </c>
      <c r="C7292" s="0" t="s">
        <v>2349</v>
      </c>
      <c r="D7292" s="0" t="s">
        <v>2105</v>
      </c>
      <c r="E7292" s="0" t="s">
        <v>2045</v>
      </c>
      <c r="F7292" s="0" t="s">
        <v>2163</v>
      </c>
      <c r="G7292" s="0" t="s">
        <v>2168</v>
      </c>
      <c r="H7292" s="0" t="s">
        <v>2165</v>
      </c>
      <c r="I7292" s="0" t="s">
        <v>2322</v>
      </c>
      <c r="J7292" s="0" t="s">
        <v>2369</v>
      </c>
      <c r="K7292" s="272" t="n">
        <v>993.151006768461</v>
      </c>
    </row>
    <row r="7293" customFormat="false" ht="15" hidden="false" customHeight="false" outlineLevel="0" collapsed="false">
      <c r="A7293" s="0" t="s">
        <v>2041</v>
      </c>
      <c r="B7293" s="0" t="s">
        <v>2042</v>
      </c>
      <c r="C7293" s="0" t="s">
        <v>2349</v>
      </c>
      <c r="D7293" s="0" t="s">
        <v>2105</v>
      </c>
      <c r="E7293" s="0" t="s">
        <v>2045</v>
      </c>
      <c r="F7293" s="0" t="s">
        <v>2163</v>
      </c>
      <c r="G7293" s="0" t="s">
        <v>2170</v>
      </c>
      <c r="H7293" s="0" t="s">
        <v>2169</v>
      </c>
      <c r="I7293" s="0" t="s">
        <v>2322</v>
      </c>
      <c r="J7293" s="0" t="s">
        <v>2369</v>
      </c>
      <c r="K7293" s="272" t="n">
        <v>1048.18056747459</v>
      </c>
    </row>
    <row r="7294" customFormat="false" ht="15" hidden="false" customHeight="false" outlineLevel="0" collapsed="false">
      <c r="A7294" s="0" t="s">
        <v>2041</v>
      </c>
      <c r="B7294" s="0" t="s">
        <v>2042</v>
      </c>
      <c r="C7294" s="0" t="s">
        <v>2349</v>
      </c>
      <c r="D7294" s="0" t="s">
        <v>2105</v>
      </c>
      <c r="E7294" s="0" t="s">
        <v>2045</v>
      </c>
      <c r="F7294" s="0" t="s">
        <v>2163</v>
      </c>
      <c r="G7294" s="0" t="s">
        <v>2170</v>
      </c>
      <c r="H7294" s="0" t="s">
        <v>2165</v>
      </c>
      <c r="I7294" s="0" t="s">
        <v>2322</v>
      </c>
      <c r="J7294" s="0" t="s">
        <v>2369</v>
      </c>
      <c r="K7294" s="272" t="n">
        <v>52762.2566900186</v>
      </c>
    </row>
    <row r="7295" customFormat="false" ht="15" hidden="false" customHeight="false" outlineLevel="0" collapsed="false">
      <c r="A7295" s="0" t="s">
        <v>2041</v>
      </c>
      <c r="B7295" s="0" t="s">
        <v>2042</v>
      </c>
      <c r="C7295" s="0" t="s">
        <v>2349</v>
      </c>
      <c r="D7295" s="0" t="s">
        <v>2105</v>
      </c>
      <c r="E7295" s="0" t="s">
        <v>2045</v>
      </c>
      <c r="F7295" s="0" t="s">
        <v>2163</v>
      </c>
      <c r="G7295" s="0" t="s">
        <v>2170</v>
      </c>
      <c r="H7295" s="0" t="s">
        <v>2171</v>
      </c>
      <c r="I7295" s="0" t="s">
        <v>2322</v>
      </c>
      <c r="J7295" s="0" t="s">
        <v>2369</v>
      </c>
      <c r="K7295" s="272" t="n">
        <v>10772.2241179867</v>
      </c>
    </row>
    <row r="7296" customFormat="false" ht="15" hidden="false" customHeight="false" outlineLevel="0" collapsed="false">
      <c r="A7296" s="0" t="s">
        <v>2041</v>
      </c>
      <c r="B7296" s="0" t="s">
        <v>2042</v>
      </c>
      <c r="C7296" s="0" t="s">
        <v>2349</v>
      </c>
      <c r="D7296" s="0" t="s">
        <v>2105</v>
      </c>
      <c r="E7296" s="0" t="s">
        <v>2045</v>
      </c>
      <c r="F7296" s="0" t="s">
        <v>2163</v>
      </c>
      <c r="G7296" s="0" t="s">
        <v>2172</v>
      </c>
      <c r="H7296" s="0" t="s">
        <v>2173</v>
      </c>
      <c r="I7296" s="0" t="s">
        <v>2322</v>
      </c>
      <c r="J7296" s="0" t="s">
        <v>2369</v>
      </c>
      <c r="K7296" s="272" t="n">
        <v>37608.3874965678</v>
      </c>
    </row>
    <row r="7297" customFormat="false" ht="15" hidden="false" customHeight="false" outlineLevel="0" collapsed="false">
      <c r="A7297" s="0" t="s">
        <v>2041</v>
      </c>
      <c r="B7297" s="0" t="s">
        <v>2042</v>
      </c>
      <c r="C7297" s="0" t="s">
        <v>2349</v>
      </c>
      <c r="D7297" s="0" t="s">
        <v>2105</v>
      </c>
      <c r="E7297" s="0" t="s">
        <v>2045</v>
      </c>
      <c r="F7297" s="0" t="s">
        <v>2163</v>
      </c>
      <c r="G7297" s="0" t="s">
        <v>2327</v>
      </c>
      <c r="H7297" s="0" t="s">
        <v>2328</v>
      </c>
      <c r="I7297" s="0" t="s">
        <v>2322</v>
      </c>
      <c r="J7297" s="0" t="s">
        <v>2369</v>
      </c>
      <c r="K7297" s="272" t="n">
        <v>43.6547635465379</v>
      </c>
    </row>
    <row r="7298" customFormat="false" ht="15" hidden="false" customHeight="false" outlineLevel="0" collapsed="false">
      <c r="A7298" s="0" t="s">
        <v>2041</v>
      </c>
      <c r="B7298" s="0" t="s">
        <v>2042</v>
      </c>
      <c r="C7298" s="0" t="s">
        <v>2349</v>
      </c>
      <c r="D7298" s="0" t="s">
        <v>2105</v>
      </c>
      <c r="E7298" s="0" t="s">
        <v>2045</v>
      </c>
      <c r="F7298" s="0" t="s">
        <v>2163</v>
      </c>
      <c r="G7298" s="0" t="s">
        <v>2174</v>
      </c>
      <c r="H7298" s="0" t="s">
        <v>2175</v>
      </c>
      <c r="I7298" s="0" t="s">
        <v>2322</v>
      </c>
      <c r="J7298" s="0" t="s">
        <v>2369</v>
      </c>
      <c r="K7298" s="272" t="n">
        <v>41140.2348259827</v>
      </c>
    </row>
    <row r="7299" customFormat="false" ht="15" hidden="false" customHeight="false" outlineLevel="0" collapsed="false">
      <c r="A7299" s="0" t="s">
        <v>2041</v>
      </c>
      <c r="B7299" s="0" t="s">
        <v>2042</v>
      </c>
      <c r="C7299" s="0" t="s">
        <v>2349</v>
      </c>
      <c r="D7299" s="0" t="s">
        <v>2105</v>
      </c>
      <c r="E7299" s="0" t="s">
        <v>2045</v>
      </c>
      <c r="F7299" s="0" t="s">
        <v>2176</v>
      </c>
      <c r="G7299" s="0" t="s">
        <v>2177</v>
      </c>
      <c r="H7299" s="0" t="s">
        <v>2178</v>
      </c>
      <c r="I7299" s="0" t="s">
        <v>2322</v>
      </c>
      <c r="J7299" s="0" t="s">
        <v>2369</v>
      </c>
      <c r="K7299" s="272" t="n">
        <v>6004.32761730221</v>
      </c>
    </row>
    <row r="7300" customFormat="false" ht="15" hidden="false" customHeight="false" outlineLevel="0" collapsed="false">
      <c r="A7300" s="0" t="s">
        <v>2041</v>
      </c>
      <c r="B7300" s="0" t="s">
        <v>2042</v>
      </c>
      <c r="C7300" s="0" t="s">
        <v>2349</v>
      </c>
      <c r="D7300" s="0" t="s">
        <v>2105</v>
      </c>
      <c r="E7300" s="0" t="s">
        <v>2045</v>
      </c>
      <c r="F7300" s="0" t="s">
        <v>2176</v>
      </c>
      <c r="G7300" s="0" t="s">
        <v>2177</v>
      </c>
      <c r="H7300" s="0" t="s">
        <v>2187</v>
      </c>
      <c r="I7300" s="0" t="s">
        <v>2322</v>
      </c>
      <c r="J7300" s="0" t="s">
        <v>2369</v>
      </c>
      <c r="K7300" s="272" t="n">
        <v>56.2911624695772</v>
      </c>
    </row>
    <row r="7301" customFormat="false" ht="15" hidden="false" customHeight="false" outlineLevel="0" collapsed="false">
      <c r="A7301" s="0" t="s">
        <v>2041</v>
      </c>
      <c r="B7301" s="0" t="s">
        <v>2042</v>
      </c>
      <c r="C7301" s="0" t="s">
        <v>2349</v>
      </c>
      <c r="D7301" s="0" t="s">
        <v>2105</v>
      </c>
      <c r="E7301" s="0" t="s">
        <v>2045</v>
      </c>
      <c r="F7301" s="0" t="s">
        <v>2176</v>
      </c>
      <c r="G7301" s="0" t="s">
        <v>2177</v>
      </c>
      <c r="H7301" s="0" t="s">
        <v>2179</v>
      </c>
      <c r="I7301" s="0" t="s">
        <v>2322</v>
      </c>
      <c r="J7301" s="0" t="s">
        <v>2369</v>
      </c>
      <c r="K7301" s="272" t="n">
        <v>3761.80353871455</v>
      </c>
    </row>
    <row r="7302" customFormat="false" ht="15" hidden="false" customHeight="false" outlineLevel="0" collapsed="false">
      <c r="A7302" s="0" t="s">
        <v>2041</v>
      </c>
      <c r="B7302" s="0" t="s">
        <v>2042</v>
      </c>
      <c r="C7302" s="0" t="s">
        <v>2349</v>
      </c>
      <c r="D7302" s="0" t="s">
        <v>2105</v>
      </c>
      <c r="E7302" s="0" t="s">
        <v>2045</v>
      </c>
      <c r="F7302" s="0" t="s">
        <v>2176</v>
      </c>
      <c r="G7302" s="0" t="s">
        <v>2177</v>
      </c>
      <c r="H7302" s="0" t="s">
        <v>2180</v>
      </c>
      <c r="I7302" s="0" t="s">
        <v>2322</v>
      </c>
      <c r="J7302" s="0" t="s">
        <v>2369</v>
      </c>
      <c r="K7302" s="272" t="n">
        <v>6611.30179436654</v>
      </c>
    </row>
    <row r="7303" customFormat="false" ht="15" hidden="false" customHeight="false" outlineLevel="0" collapsed="false">
      <c r="A7303" s="0" t="s">
        <v>2041</v>
      </c>
      <c r="B7303" s="0" t="s">
        <v>2042</v>
      </c>
      <c r="C7303" s="0" t="s">
        <v>2349</v>
      </c>
      <c r="D7303" s="0" t="s">
        <v>2105</v>
      </c>
      <c r="E7303" s="0" t="s">
        <v>2045</v>
      </c>
      <c r="F7303" s="0" t="s">
        <v>2176</v>
      </c>
      <c r="G7303" s="0" t="s">
        <v>2181</v>
      </c>
      <c r="H7303" s="0" t="s">
        <v>2182</v>
      </c>
      <c r="I7303" s="0" t="s">
        <v>2322</v>
      </c>
      <c r="J7303" s="0" t="s">
        <v>2369</v>
      </c>
      <c r="K7303" s="272" t="n">
        <v>3441.04310429325</v>
      </c>
    </row>
    <row r="7304" customFormat="false" ht="15" hidden="false" customHeight="false" outlineLevel="0" collapsed="false">
      <c r="A7304" s="0" t="s">
        <v>2041</v>
      </c>
      <c r="B7304" s="0" t="s">
        <v>2042</v>
      </c>
      <c r="C7304" s="0" t="s">
        <v>2349</v>
      </c>
      <c r="D7304" s="0" t="s">
        <v>2105</v>
      </c>
      <c r="E7304" s="0" t="s">
        <v>2045</v>
      </c>
      <c r="F7304" s="0" t="s">
        <v>2176</v>
      </c>
      <c r="G7304" s="0" t="s">
        <v>2181</v>
      </c>
      <c r="H7304" s="0" t="s">
        <v>2184</v>
      </c>
      <c r="I7304" s="0" t="s">
        <v>2322</v>
      </c>
      <c r="J7304" s="0" t="s">
        <v>2369</v>
      </c>
      <c r="K7304" s="272" t="n">
        <v>3465.90053147795</v>
      </c>
    </row>
    <row r="7305" customFormat="false" ht="15" hidden="false" customHeight="false" outlineLevel="0" collapsed="false">
      <c r="A7305" s="0" t="s">
        <v>2041</v>
      </c>
      <c r="B7305" s="0" t="s">
        <v>2042</v>
      </c>
      <c r="C7305" s="0" t="s">
        <v>2349</v>
      </c>
      <c r="D7305" s="0" t="s">
        <v>2105</v>
      </c>
      <c r="E7305" s="0" t="s">
        <v>2045</v>
      </c>
      <c r="F7305" s="0" t="s">
        <v>2176</v>
      </c>
      <c r="G7305" s="0" t="s">
        <v>2181</v>
      </c>
      <c r="H7305" s="0" t="s">
        <v>2185</v>
      </c>
      <c r="I7305" s="0" t="s">
        <v>2322</v>
      </c>
      <c r="J7305" s="0" t="s">
        <v>2369</v>
      </c>
      <c r="K7305" s="272" t="n">
        <v>6743.86267362879</v>
      </c>
    </row>
    <row r="7306" customFormat="false" ht="15" hidden="false" customHeight="false" outlineLevel="0" collapsed="false">
      <c r="A7306" s="0" t="s">
        <v>2041</v>
      </c>
      <c r="B7306" s="0" t="s">
        <v>2042</v>
      </c>
      <c r="C7306" s="0" t="s">
        <v>2349</v>
      </c>
      <c r="D7306" s="0" t="s">
        <v>2105</v>
      </c>
      <c r="E7306" s="0" t="s">
        <v>2045</v>
      </c>
      <c r="F7306" s="0" t="s">
        <v>2176</v>
      </c>
      <c r="G7306" s="0" t="s">
        <v>2181</v>
      </c>
      <c r="H7306" s="0" t="s">
        <v>2186</v>
      </c>
      <c r="I7306" s="0" t="s">
        <v>2322</v>
      </c>
      <c r="J7306" s="0" t="s">
        <v>2369</v>
      </c>
      <c r="K7306" s="272" t="n">
        <v>7312.90340019059</v>
      </c>
    </row>
    <row r="7307" customFormat="false" ht="15" hidden="false" customHeight="false" outlineLevel="0" collapsed="false">
      <c r="A7307" s="0" t="s">
        <v>2041</v>
      </c>
      <c r="B7307" s="0" t="s">
        <v>2042</v>
      </c>
      <c r="C7307" s="0" t="s">
        <v>2349</v>
      </c>
      <c r="D7307" s="0" t="s">
        <v>2105</v>
      </c>
      <c r="E7307" s="0" t="s">
        <v>2045</v>
      </c>
      <c r="F7307" s="0" t="s">
        <v>2176</v>
      </c>
      <c r="G7307" s="0" t="s">
        <v>2181</v>
      </c>
      <c r="H7307" s="0" t="s">
        <v>2187</v>
      </c>
      <c r="I7307" s="0" t="s">
        <v>2322</v>
      </c>
      <c r="J7307" s="0" t="s">
        <v>2369</v>
      </c>
      <c r="K7307" s="272" t="n">
        <v>9750.40752178651</v>
      </c>
    </row>
    <row r="7308" customFormat="false" ht="15" hidden="false" customHeight="false" outlineLevel="0" collapsed="false">
      <c r="A7308" s="0" t="s">
        <v>2041</v>
      </c>
      <c r="B7308" s="0" t="s">
        <v>2042</v>
      </c>
      <c r="C7308" s="0" t="s">
        <v>2349</v>
      </c>
      <c r="D7308" s="0" t="s">
        <v>2105</v>
      </c>
      <c r="E7308" s="0" t="s">
        <v>2045</v>
      </c>
      <c r="F7308" s="0" t="s">
        <v>2176</v>
      </c>
      <c r="G7308" s="0" t="s">
        <v>2181</v>
      </c>
      <c r="H7308" s="0" t="s">
        <v>2179</v>
      </c>
      <c r="I7308" s="0" t="s">
        <v>2322</v>
      </c>
      <c r="J7308" s="0" t="s">
        <v>2369</v>
      </c>
      <c r="K7308" s="272" t="n">
        <v>5978.51267717976</v>
      </c>
    </row>
    <row r="7309" customFormat="false" ht="15" hidden="false" customHeight="false" outlineLevel="0" collapsed="false">
      <c r="A7309" s="0" t="s">
        <v>2041</v>
      </c>
      <c r="B7309" s="0" t="s">
        <v>2042</v>
      </c>
      <c r="C7309" s="0" t="s">
        <v>2349</v>
      </c>
      <c r="D7309" s="0" t="s">
        <v>2105</v>
      </c>
      <c r="E7309" s="0" t="s">
        <v>2045</v>
      </c>
      <c r="F7309" s="0" t="s">
        <v>2176</v>
      </c>
      <c r="G7309" s="0" t="s">
        <v>2188</v>
      </c>
      <c r="H7309" s="0" t="s">
        <v>2189</v>
      </c>
      <c r="I7309" s="0" t="s">
        <v>2322</v>
      </c>
      <c r="J7309" s="0" t="s">
        <v>2369</v>
      </c>
      <c r="K7309" s="272" t="n">
        <v>41679.9280867218</v>
      </c>
    </row>
    <row r="7310" customFormat="false" ht="15" hidden="false" customHeight="false" outlineLevel="0" collapsed="false">
      <c r="A7310" s="0" t="s">
        <v>2041</v>
      </c>
      <c r="B7310" s="0" t="s">
        <v>2042</v>
      </c>
      <c r="C7310" s="0" t="s">
        <v>2349</v>
      </c>
      <c r="D7310" s="0" t="s">
        <v>2105</v>
      </c>
      <c r="E7310" s="0" t="s">
        <v>2045</v>
      </c>
      <c r="F7310" s="0" t="s">
        <v>2176</v>
      </c>
      <c r="G7310" s="0" t="s">
        <v>2190</v>
      </c>
      <c r="H7310" s="0" t="s">
        <v>2191</v>
      </c>
      <c r="I7310" s="0" t="s">
        <v>2322</v>
      </c>
      <c r="J7310" s="0" t="s">
        <v>2369</v>
      </c>
      <c r="K7310" s="272" t="n">
        <v>47793.9607209284</v>
      </c>
    </row>
    <row r="7311" customFormat="false" ht="15" hidden="false" customHeight="false" outlineLevel="0" collapsed="false">
      <c r="A7311" s="0" t="s">
        <v>2041</v>
      </c>
      <c r="B7311" s="0" t="s">
        <v>2042</v>
      </c>
      <c r="C7311" s="0" t="s">
        <v>2349</v>
      </c>
      <c r="D7311" s="0" t="s">
        <v>2105</v>
      </c>
      <c r="E7311" s="0" t="s">
        <v>2045</v>
      </c>
      <c r="F7311" s="0" t="s">
        <v>2192</v>
      </c>
      <c r="G7311" s="0" t="s">
        <v>2193</v>
      </c>
      <c r="H7311" s="0" t="s">
        <v>2162</v>
      </c>
      <c r="I7311" s="0" t="s">
        <v>2322</v>
      </c>
      <c r="J7311" s="0" t="s">
        <v>2369</v>
      </c>
      <c r="K7311" s="272" t="n">
        <v>96698.3721043327</v>
      </c>
    </row>
    <row r="7312" customFormat="false" ht="15" hidden="false" customHeight="false" outlineLevel="0" collapsed="false">
      <c r="A7312" s="0" t="s">
        <v>2041</v>
      </c>
      <c r="B7312" s="0" t="s">
        <v>2042</v>
      </c>
      <c r="C7312" s="0" t="s">
        <v>2349</v>
      </c>
      <c r="D7312" s="0" t="s">
        <v>2105</v>
      </c>
      <c r="E7312" s="0" t="s">
        <v>2045</v>
      </c>
      <c r="F7312" s="0" t="s">
        <v>2192</v>
      </c>
      <c r="G7312" s="0" t="s">
        <v>2194</v>
      </c>
      <c r="H7312" s="0" t="s">
        <v>2162</v>
      </c>
      <c r="I7312" s="0" t="s">
        <v>2322</v>
      </c>
      <c r="J7312" s="0" t="s">
        <v>2369</v>
      </c>
      <c r="K7312" s="272" t="n">
        <v>33611.7535226258</v>
      </c>
    </row>
    <row r="7313" customFormat="false" ht="15" hidden="false" customHeight="false" outlineLevel="0" collapsed="false">
      <c r="A7313" s="0" t="s">
        <v>2041</v>
      </c>
      <c r="B7313" s="0" t="s">
        <v>2042</v>
      </c>
      <c r="C7313" s="0" t="s">
        <v>2349</v>
      </c>
      <c r="D7313" s="0" t="s">
        <v>2105</v>
      </c>
      <c r="E7313" s="0" t="s">
        <v>2045</v>
      </c>
      <c r="F7313" s="0" t="s">
        <v>2192</v>
      </c>
      <c r="G7313" s="0" t="s">
        <v>2195</v>
      </c>
      <c r="H7313" s="0" t="s">
        <v>2171</v>
      </c>
      <c r="I7313" s="0" t="s">
        <v>2322</v>
      </c>
      <c r="J7313" s="0" t="s">
        <v>2369</v>
      </c>
      <c r="K7313" s="272" t="n">
        <v>43634.8830669755</v>
      </c>
    </row>
    <row r="7314" customFormat="false" ht="15" hidden="false" customHeight="false" outlineLevel="0" collapsed="false">
      <c r="A7314" s="0" t="s">
        <v>2041</v>
      </c>
      <c r="B7314" s="0" t="s">
        <v>2042</v>
      </c>
      <c r="C7314" s="0" t="s">
        <v>2349</v>
      </c>
      <c r="D7314" s="0" t="s">
        <v>2105</v>
      </c>
      <c r="E7314" s="0" t="s">
        <v>2045</v>
      </c>
      <c r="F7314" s="0" t="s">
        <v>2192</v>
      </c>
      <c r="G7314" s="0" t="s">
        <v>2195</v>
      </c>
      <c r="H7314" s="0" t="s">
        <v>2162</v>
      </c>
      <c r="I7314" s="0" t="s">
        <v>2322</v>
      </c>
      <c r="J7314" s="0" t="s">
        <v>2369</v>
      </c>
      <c r="K7314" s="272" t="n">
        <v>1080.208295034</v>
      </c>
    </row>
    <row r="7315" customFormat="false" ht="15" hidden="false" customHeight="false" outlineLevel="0" collapsed="false">
      <c r="A7315" s="0" t="s">
        <v>2041</v>
      </c>
      <c r="B7315" s="0" t="s">
        <v>2042</v>
      </c>
      <c r="C7315" s="0" t="s">
        <v>2349</v>
      </c>
      <c r="D7315" s="0" t="s">
        <v>2105</v>
      </c>
      <c r="E7315" s="0" t="s">
        <v>2045</v>
      </c>
      <c r="F7315" s="0" t="s">
        <v>2192</v>
      </c>
      <c r="G7315" s="0" t="s">
        <v>2196</v>
      </c>
      <c r="H7315" s="0" t="s">
        <v>2162</v>
      </c>
      <c r="I7315" s="0" t="s">
        <v>2322</v>
      </c>
      <c r="J7315" s="0" t="s">
        <v>2369</v>
      </c>
      <c r="K7315" s="272" t="n">
        <v>55121.8137147713</v>
      </c>
    </row>
    <row r="7316" customFormat="false" ht="15" hidden="false" customHeight="false" outlineLevel="0" collapsed="false">
      <c r="A7316" s="0" t="s">
        <v>2041</v>
      </c>
      <c r="B7316" s="0" t="s">
        <v>2042</v>
      </c>
      <c r="C7316" s="0" t="s">
        <v>2349</v>
      </c>
      <c r="D7316" s="0" t="s">
        <v>2105</v>
      </c>
      <c r="E7316" s="0" t="s">
        <v>2045</v>
      </c>
      <c r="F7316" s="0" t="s">
        <v>2198</v>
      </c>
      <c r="G7316" s="0" t="s">
        <v>2199</v>
      </c>
      <c r="H7316" s="0" t="s">
        <v>2200</v>
      </c>
      <c r="I7316" s="0" t="s">
        <v>2201</v>
      </c>
      <c r="J7316" s="0" t="s">
        <v>2369</v>
      </c>
      <c r="K7316" s="272" t="n">
        <v>4545.02735457703</v>
      </c>
    </row>
    <row r="7317" customFormat="false" ht="15" hidden="false" customHeight="false" outlineLevel="0" collapsed="false">
      <c r="A7317" s="0" t="s">
        <v>2041</v>
      </c>
      <c r="B7317" s="0" t="s">
        <v>2042</v>
      </c>
      <c r="C7317" s="0" t="s">
        <v>2349</v>
      </c>
      <c r="D7317" s="0" t="s">
        <v>2105</v>
      </c>
      <c r="E7317" s="0" t="s">
        <v>2045</v>
      </c>
      <c r="F7317" s="0" t="s">
        <v>2198</v>
      </c>
      <c r="G7317" s="0" t="s">
        <v>2199</v>
      </c>
      <c r="H7317" s="0" t="s">
        <v>2200</v>
      </c>
      <c r="I7317" s="0" t="s">
        <v>2322</v>
      </c>
      <c r="J7317" s="0" t="s">
        <v>2369</v>
      </c>
      <c r="K7317" s="272" t="n">
        <v>61005.5939486019</v>
      </c>
    </row>
    <row r="7318" customFormat="false" ht="15" hidden="false" customHeight="false" outlineLevel="0" collapsed="false">
      <c r="A7318" s="0" t="s">
        <v>2041</v>
      </c>
      <c r="B7318" s="0" t="s">
        <v>2042</v>
      </c>
      <c r="C7318" s="0" t="s">
        <v>2349</v>
      </c>
      <c r="D7318" s="0" t="s">
        <v>2105</v>
      </c>
      <c r="E7318" s="0" t="s">
        <v>2045</v>
      </c>
      <c r="F7318" s="0" t="s">
        <v>2198</v>
      </c>
      <c r="G7318" s="0" t="s">
        <v>2199</v>
      </c>
      <c r="H7318" s="0" t="s">
        <v>2202</v>
      </c>
      <c r="I7318" s="0" t="s">
        <v>2322</v>
      </c>
      <c r="J7318" s="0" t="s">
        <v>2369</v>
      </c>
      <c r="K7318" s="272" t="n">
        <v>9385.06584139279</v>
      </c>
    </row>
    <row r="7319" customFormat="false" ht="15" hidden="false" customHeight="false" outlineLevel="0" collapsed="false">
      <c r="A7319" s="0" t="s">
        <v>2041</v>
      </c>
      <c r="B7319" s="0" t="s">
        <v>2042</v>
      </c>
      <c r="C7319" s="0" t="s">
        <v>2349</v>
      </c>
      <c r="D7319" s="0" t="s">
        <v>2105</v>
      </c>
      <c r="E7319" s="0" t="s">
        <v>2045</v>
      </c>
      <c r="F7319" s="0" t="s">
        <v>2198</v>
      </c>
      <c r="G7319" s="0" t="s">
        <v>2199</v>
      </c>
      <c r="H7319" s="0" t="s">
        <v>2203</v>
      </c>
      <c r="I7319" s="0" t="s">
        <v>2322</v>
      </c>
      <c r="J7319" s="0" t="s">
        <v>2369</v>
      </c>
      <c r="K7319" s="272" t="n">
        <v>47125.0978642974</v>
      </c>
    </row>
    <row r="7320" customFormat="false" ht="15" hidden="false" customHeight="false" outlineLevel="0" collapsed="false">
      <c r="A7320" s="0" t="s">
        <v>2041</v>
      </c>
      <c r="B7320" s="0" t="s">
        <v>2042</v>
      </c>
      <c r="C7320" s="0" t="s">
        <v>2349</v>
      </c>
      <c r="D7320" s="0" t="s">
        <v>2105</v>
      </c>
      <c r="E7320" s="0" t="s">
        <v>2045</v>
      </c>
      <c r="F7320" s="0" t="s">
        <v>2204</v>
      </c>
      <c r="G7320" s="0" t="s">
        <v>2205</v>
      </c>
      <c r="H7320" s="0" t="s">
        <v>2206</v>
      </c>
      <c r="I7320" s="0" t="s">
        <v>2322</v>
      </c>
      <c r="J7320" s="0" t="s">
        <v>2369</v>
      </c>
      <c r="K7320" s="272" t="n">
        <v>1814.90522069486</v>
      </c>
    </row>
    <row r="7321" customFormat="false" ht="15" hidden="false" customHeight="false" outlineLevel="0" collapsed="false">
      <c r="A7321" s="0" t="s">
        <v>2041</v>
      </c>
      <c r="B7321" s="0" t="s">
        <v>2042</v>
      </c>
      <c r="C7321" s="0" t="s">
        <v>2349</v>
      </c>
      <c r="D7321" s="0" t="s">
        <v>2105</v>
      </c>
      <c r="E7321" s="0" t="s">
        <v>2045</v>
      </c>
      <c r="F7321" s="0" t="s">
        <v>2204</v>
      </c>
      <c r="G7321" s="0" t="s">
        <v>2205</v>
      </c>
      <c r="H7321" s="0" t="s">
        <v>2207</v>
      </c>
      <c r="I7321" s="0" t="s">
        <v>2322</v>
      </c>
      <c r="J7321" s="0" t="s">
        <v>2369</v>
      </c>
      <c r="K7321" s="272" t="n">
        <v>1814.90522069486</v>
      </c>
    </row>
    <row r="7322" customFormat="false" ht="15" hidden="false" customHeight="false" outlineLevel="0" collapsed="false">
      <c r="A7322" s="0" t="s">
        <v>2041</v>
      </c>
      <c r="B7322" s="0" t="s">
        <v>2042</v>
      </c>
      <c r="C7322" s="0" t="s">
        <v>2349</v>
      </c>
      <c r="D7322" s="0" t="s">
        <v>2105</v>
      </c>
      <c r="E7322" s="0" t="s">
        <v>2045</v>
      </c>
      <c r="F7322" s="0" t="s">
        <v>2204</v>
      </c>
      <c r="G7322" s="0" t="s">
        <v>2205</v>
      </c>
      <c r="H7322" s="0" t="s">
        <v>2208</v>
      </c>
      <c r="I7322" s="0" t="s">
        <v>2322</v>
      </c>
      <c r="J7322" s="0" t="s">
        <v>2369</v>
      </c>
      <c r="K7322" s="272" t="n">
        <v>3629.81044138971</v>
      </c>
    </row>
    <row r="7323" customFormat="false" ht="15" hidden="false" customHeight="false" outlineLevel="0" collapsed="false">
      <c r="A7323" s="0" t="s">
        <v>2041</v>
      </c>
      <c r="B7323" s="0" t="s">
        <v>2042</v>
      </c>
      <c r="C7323" s="0" t="s">
        <v>2349</v>
      </c>
      <c r="D7323" s="0" t="s">
        <v>2105</v>
      </c>
      <c r="E7323" s="0" t="s">
        <v>2045</v>
      </c>
      <c r="F7323" s="0" t="s">
        <v>2204</v>
      </c>
      <c r="G7323" s="0" t="s">
        <v>2209</v>
      </c>
      <c r="H7323" s="0" t="s">
        <v>2207</v>
      </c>
      <c r="I7323" s="0" t="s">
        <v>2322</v>
      </c>
      <c r="J7323" s="0" t="s">
        <v>2369</v>
      </c>
      <c r="K7323" s="272" t="n">
        <v>4827.45376464994</v>
      </c>
    </row>
    <row r="7324" customFormat="false" ht="15" hidden="false" customHeight="false" outlineLevel="0" collapsed="false">
      <c r="A7324" s="0" t="s">
        <v>2041</v>
      </c>
      <c r="B7324" s="0" t="s">
        <v>2042</v>
      </c>
      <c r="C7324" s="0" t="s">
        <v>2349</v>
      </c>
      <c r="D7324" s="0" t="s">
        <v>2105</v>
      </c>
      <c r="E7324" s="0" t="s">
        <v>2045</v>
      </c>
      <c r="F7324" s="0" t="s">
        <v>2204</v>
      </c>
      <c r="G7324" s="0" t="s">
        <v>2210</v>
      </c>
      <c r="H7324" s="0" t="s">
        <v>2211</v>
      </c>
      <c r="I7324" s="0" t="s">
        <v>2322</v>
      </c>
      <c r="J7324" s="0" t="s">
        <v>2369</v>
      </c>
      <c r="K7324" s="272" t="n">
        <v>7080.69591451639</v>
      </c>
    </row>
    <row r="7325" customFormat="false" ht="15" hidden="false" customHeight="false" outlineLevel="0" collapsed="false">
      <c r="A7325" s="0" t="s">
        <v>2041</v>
      </c>
      <c r="B7325" s="0" t="s">
        <v>2042</v>
      </c>
      <c r="C7325" s="0" t="s">
        <v>2349</v>
      </c>
      <c r="D7325" s="0" t="s">
        <v>2105</v>
      </c>
      <c r="E7325" s="0" t="s">
        <v>2045</v>
      </c>
      <c r="F7325" s="0" t="s">
        <v>2204</v>
      </c>
      <c r="G7325" s="0" t="s">
        <v>2212</v>
      </c>
      <c r="H7325" s="0" t="s">
        <v>2213</v>
      </c>
      <c r="I7325" s="0" t="s">
        <v>2322</v>
      </c>
      <c r="J7325" s="0" t="s">
        <v>2369</v>
      </c>
      <c r="K7325" s="272" t="n">
        <v>3449.9547819647</v>
      </c>
    </row>
    <row r="7326" customFormat="false" ht="15" hidden="false" customHeight="false" outlineLevel="0" collapsed="false">
      <c r="A7326" s="0" t="s">
        <v>2041</v>
      </c>
      <c r="B7326" s="0" t="s">
        <v>2042</v>
      </c>
      <c r="C7326" s="0" t="s">
        <v>2349</v>
      </c>
      <c r="D7326" s="0" t="s">
        <v>2105</v>
      </c>
      <c r="E7326" s="0" t="s">
        <v>2045</v>
      </c>
      <c r="F7326" s="0" t="s">
        <v>2204</v>
      </c>
      <c r="G7326" s="0" t="s">
        <v>2212</v>
      </c>
      <c r="H7326" s="0" t="s">
        <v>2206</v>
      </c>
      <c r="I7326" s="0" t="s">
        <v>2322</v>
      </c>
      <c r="J7326" s="0" t="s">
        <v>2369</v>
      </c>
      <c r="K7326" s="272" t="n">
        <v>3449.9547819647</v>
      </c>
    </row>
    <row r="7327" customFormat="false" ht="15" hidden="false" customHeight="false" outlineLevel="0" collapsed="false">
      <c r="A7327" s="0" t="s">
        <v>2041</v>
      </c>
      <c r="B7327" s="0" t="s">
        <v>2042</v>
      </c>
      <c r="C7327" s="0" t="s">
        <v>2349</v>
      </c>
      <c r="D7327" s="0" t="s">
        <v>2105</v>
      </c>
      <c r="E7327" s="0" t="s">
        <v>2045</v>
      </c>
      <c r="F7327" s="0" t="s">
        <v>2204</v>
      </c>
      <c r="G7327" s="0" t="s">
        <v>2212</v>
      </c>
      <c r="H7327" s="0" t="s">
        <v>2208</v>
      </c>
      <c r="I7327" s="0" t="s">
        <v>2322</v>
      </c>
      <c r="J7327" s="0" t="s">
        <v>2369</v>
      </c>
      <c r="K7327" s="272" t="n">
        <v>1455.80633918554</v>
      </c>
    </row>
    <row r="7328" customFormat="false" ht="15" hidden="false" customHeight="false" outlineLevel="0" collapsed="false">
      <c r="A7328" s="0" t="s">
        <v>2041</v>
      </c>
      <c r="B7328" s="0" t="s">
        <v>2042</v>
      </c>
      <c r="C7328" s="0" t="s">
        <v>2349</v>
      </c>
      <c r="D7328" s="0" t="s">
        <v>2105</v>
      </c>
      <c r="E7328" s="0" t="s">
        <v>2045</v>
      </c>
      <c r="F7328" s="0" t="s">
        <v>2204</v>
      </c>
      <c r="G7328" s="0" t="s">
        <v>2214</v>
      </c>
      <c r="H7328" s="0" t="s">
        <v>2206</v>
      </c>
      <c r="I7328" s="0" t="s">
        <v>2322</v>
      </c>
      <c r="J7328" s="0" t="s">
        <v>2369</v>
      </c>
      <c r="K7328" s="272" t="n">
        <v>1287.9033272141</v>
      </c>
    </row>
    <row r="7329" customFormat="false" ht="15" hidden="false" customHeight="false" outlineLevel="0" collapsed="false">
      <c r="A7329" s="0" t="s">
        <v>2041</v>
      </c>
      <c r="B7329" s="0" t="s">
        <v>2042</v>
      </c>
      <c r="C7329" s="0" t="s">
        <v>2349</v>
      </c>
      <c r="D7329" s="0" t="s">
        <v>2105</v>
      </c>
      <c r="E7329" s="0" t="s">
        <v>2045</v>
      </c>
      <c r="F7329" s="0" t="s">
        <v>2204</v>
      </c>
      <c r="G7329" s="0" t="s">
        <v>2214</v>
      </c>
      <c r="H7329" s="0" t="s">
        <v>2208</v>
      </c>
      <c r="I7329" s="0" t="s">
        <v>2322</v>
      </c>
      <c r="J7329" s="0" t="s">
        <v>2369</v>
      </c>
      <c r="K7329" s="272" t="n">
        <v>1287.9033272141</v>
      </c>
    </row>
    <row r="7330" customFormat="false" ht="15" hidden="false" customHeight="false" outlineLevel="0" collapsed="false">
      <c r="A7330" s="0" t="s">
        <v>2041</v>
      </c>
      <c r="B7330" s="0" t="s">
        <v>2042</v>
      </c>
      <c r="C7330" s="0" t="s">
        <v>2349</v>
      </c>
      <c r="D7330" s="0" t="s">
        <v>2105</v>
      </c>
      <c r="E7330" s="0" t="s">
        <v>2045</v>
      </c>
      <c r="F7330" s="0" t="s">
        <v>2051</v>
      </c>
      <c r="G7330" s="0" t="s">
        <v>2106</v>
      </c>
      <c r="H7330" s="0" t="s">
        <v>2107</v>
      </c>
      <c r="I7330" s="0" t="s">
        <v>2322</v>
      </c>
      <c r="J7330" s="0" t="s">
        <v>2369</v>
      </c>
      <c r="K7330" s="272" t="n">
        <v>18219.5330671069</v>
      </c>
    </row>
    <row r="7331" customFormat="false" ht="15" hidden="false" customHeight="false" outlineLevel="0" collapsed="false">
      <c r="A7331" s="0" t="s">
        <v>2041</v>
      </c>
      <c r="B7331" s="0" t="s">
        <v>2042</v>
      </c>
      <c r="C7331" s="0" t="s">
        <v>2349</v>
      </c>
      <c r="D7331" s="0" t="s">
        <v>2105</v>
      </c>
      <c r="E7331" s="0" t="s">
        <v>2045</v>
      </c>
      <c r="F7331" s="0" t="s">
        <v>2051</v>
      </c>
      <c r="G7331" s="0" t="s">
        <v>2110</v>
      </c>
      <c r="H7331" s="0" t="s">
        <v>2115</v>
      </c>
      <c r="I7331" s="0" t="s">
        <v>2322</v>
      </c>
      <c r="J7331" s="0" t="s">
        <v>2369</v>
      </c>
      <c r="K7331" s="272" t="n">
        <v>604.657750677906</v>
      </c>
    </row>
    <row r="7332" customFormat="false" ht="15" hidden="false" customHeight="false" outlineLevel="0" collapsed="false">
      <c r="A7332" s="0" t="s">
        <v>2041</v>
      </c>
      <c r="B7332" s="0" t="s">
        <v>2042</v>
      </c>
      <c r="C7332" s="0" t="s">
        <v>2349</v>
      </c>
      <c r="D7332" s="0" t="s">
        <v>2105</v>
      </c>
      <c r="E7332" s="0" t="s">
        <v>2045</v>
      </c>
      <c r="F7332" s="0" t="s">
        <v>2051</v>
      </c>
      <c r="G7332" s="0" t="s">
        <v>2110</v>
      </c>
      <c r="H7332" s="0" t="s">
        <v>2111</v>
      </c>
      <c r="I7332" s="0" t="s">
        <v>2322</v>
      </c>
      <c r="J7332" s="0" t="s">
        <v>2369</v>
      </c>
      <c r="K7332" s="272" t="n">
        <v>5173.20842546493</v>
      </c>
    </row>
    <row r="7333" customFormat="false" ht="15" hidden="false" customHeight="false" outlineLevel="0" collapsed="false">
      <c r="A7333" s="0" t="s">
        <v>2041</v>
      </c>
      <c r="B7333" s="0" t="s">
        <v>2042</v>
      </c>
      <c r="C7333" s="0" t="s">
        <v>2349</v>
      </c>
      <c r="D7333" s="0" t="s">
        <v>2105</v>
      </c>
      <c r="E7333" s="0" t="s">
        <v>2045</v>
      </c>
      <c r="F7333" s="0" t="s">
        <v>2051</v>
      </c>
      <c r="G7333" s="0" t="s">
        <v>2110</v>
      </c>
      <c r="H7333" s="0" t="s">
        <v>2119</v>
      </c>
      <c r="I7333" s="0" t="s">
        <v>2322</v>
      </c>
      <c r="J7333" s="0" t="s">
        <v>2369</v>
      </c>
      <c r="K7333" s="272" t="n">
        <v>233.617767307373</v>
      </c>
    </row>
    <row r="7334" customFormat="false" ht="15" hidden="false" customHeight="false" outlineLevel="0" collapsed="false">
      <c r="A7334" s="0" t="s">
        <v>2041</v>
      </c>
      <c r="B7334" s="0" t="s">
        <v>2042</v>
      </c>
      <c r="C7334" s="0" t="s">
        <v>2349</v>
      </c>
      <c r="D7334" s="0" t="s">
        <v>2105</v>
      </c>
      <c r="E7334" s="0" t="s">
        <v>2045</v>
      </c>
      <c r="F7334" s="0" t="s">
        <v>2051</v>
      </c>
      <c r="G7334" s="0" t="s">
        <v>2110</v>
      </c>
      <c r="H7334" s="0" t="s">
        <v>2120</v>
      </c>
      <c r="I7334" s="0" t="s">
        <v>2322</v>
      </c>
      <c r="J7334" s="0" t="s">
        <v>2369</v>
      </c>
      <c r="K7334" s="272" t="n">
        <v>380.031589118555</v>
      </c>
    </row>
    <row r="7335" customFormat="false" ht="15" hidden="false" customHeight="false" outlineLevel="0" collapsed="false">
      <c r="A7335" s="0" t="s">
        <v>2041</v>
      </c>
      <c r="B7335" s="0" t="s">
        <v>2042</v>
      </c>
      <c r="C7335" s="0" t="s">
        <v>2349</v>
      </c>
      <c r="D7335" s="0" t="s">
        <v>2105</v>
      </c>
      <c r="E7335" s="0" t="s">
        <v>2045</v>
      </c>
      <c r="F7335" s="0" t="s">
        <v>2051</v>
      </c>
      <c r="G7335" s="0" t="s">
        <v>2110</v>
      </c>
      <c r="H7335" s="0" t="s">
        <v>2121</v>
      </c>
      <c r="I7335" s="0" t="s">
        <v>2322</v>
      </c>
      <c r="J7335" s="0" t="s">
        <v>2369</v>
      </c>
      <c r="K7335" s="272" t="n">
        <v>491.908106772986</v>
      </c>
    </row>
    <row r="7336" customFormat="false" ht="15" hidden="false" customHeight="false" outlineLevel="0" collapsed="false">
      <c r="A7336" s="0" t="s">
        <v>2041</v>
      </c>
      <c r="B7336" s="0" t="s">
        <v>2042</v>
      </c>
      <c r="C7336" s="0" t="s">
        <v>2349</v>
      </c>
      <c r="D7336" s="0" t="s">
        <v>2105</v>
      </c>
      <c r="E7336" s="0" t="s">
        <v>2045</v>
      </c>
      <c r="F7336" s="0" t="s">
        <v>2051</v>
      </c>
      <c r="G7336" s="0" t="s">
        <v>2110</v>
      </c>
      <c r="H7336" s="0" t="s">
        <v>2122</v>
      </c>
      <c r="I7336" s="0" t="s">
        <v>2322</v>
      </c>
      <c r="J7336" s="0" t="s">
        <v>2369</v>
      </c>
      <c r="K7336" s="272" t="n">
        <v>380.031589118555</v>
      </c>
    </row>
    <row r="7337" customFormat="false" ht="15" hidden="false" customHeight="false" outlineLevel="0" collapsed="false">
      <c r="A7337" s="0" t="s">
        <v>2041</v>
      </c>
      <c r="B7337" s="0" t="s">
        <v>2042</v>
      </c>
      <c r="C7337" s="0" t="s">
        <v>2349</v>
      </c>
      <c r="D7337" s="0" t="s">
        <v>2105</v>
      </c>
      <c r="E7337" s="0" t="s">
        <v>2045</v>
      </c>
      <c r="F7337" s="0" t="s">
        <v>2051</v>
      </c>
      <c r="G7337" s="0" t="s">
        <v>2110</v>
      </c>
      <c r="H7337" s="0" t="s">
        <v>2112</v>
      </c>
      <c r="I7337" s="0" t="s">
        <v>2322</v>
      </c>
      <c r="J7337" s="0" t="s">
        <v>2369</v>
      </c>
      <c r="K7337" s="272" t="n">
        <v>9292.3751474343</v>
      </c>
    </row>
    <row r="7338" customFormat="false" ht="15" hidden="false" customHeight="false" outlineLevel="0" collapsed="false">
      <c r="A7338" s="0" t="s">
        <v>2041</v>
      </c>
      <c r="B7338" s="0" t="s">
        <v>2042</v>
      </c>
      <c r="C7338" s="0" t="s">
        <v>2349</v>
      </c>
      <c r="D7338" s="0" t="s">
        <v>2105</v>
      </c>
      <c r="E7338" s="0" t="s">
        <v>2045</v>
      </c>
      <c r="F7338" s="0" t="s">
        <v>2051</v>
      </c>
      <c r="G7338" s="0" t="s">
        <v>2110</v>
      </c>
      <c r="H7338" s="0" t="s">
        <v>2113</v>
      </c>
      <c r="I7338" s="0" t="s">
        <v>2322</v>
      </c>
      <c r="J7338" s="0" t="s">
        <v>2369</v>
      </c>
      <c r="K7338" s="272" t="n">
        <v>26546.4187749814</v>
      </c>
    </row>
    <row r="7339" customFormat="false" ht="15" hidden="false" customHeight="false" outlineLevel="0" collapsed="false">
      <c r="A7339" s="0" t="s">
        <v>2041</v>
      </c>
      <c r="B7339" s="0" t="s">
        <v>2042</v>
      </c>
      <c r="C7339" s="0" t="s">
        <v>2349</v>
      </c>
      <c r="D7339" s="0" t="s">
        <v>2105</v>
      </c>
      <c r="E7339" s="0" t="s">
        <v>2045</v>
      </c>
      <c r="F7339" s="0" t="s">
        <v>2051</v>
      </c>
      <c r="G7339" s="0" t="s">
        <v>2110</v>
      </c>
      <c r="H7339" s="0" t="s">
        <v>2107</v>
      </c>
      <c r="I7339" s="0" t="s">
        <v>2322</v>
      </c>
      <c r="J7339" s="0" t="s">
        <v>2369</v>
      </c>
      <c r="K7339" s="272" t="n">
        <v>9235.40378717673</v>
      </c>
    </row>
    <row r="7340" customFormat="false" ht="15" hidden="false" customHeight="false" outlineLevel="0" collapsed="false">
      <c r="A7340" s="0" t="s">
        <v>2041</v>
      </c>
      <c r="B7340" s="0" t="s">
        <v>2042</v>
      </c>
      <c r="C7340" s="0" t="s">
        <v>2349</v>
      </c>
      <c r="D7340" s="0" t="s">
        <v>2105</v>
      </c>
      <c r="E7340" s="0" t="s">
        <v>2045</v>
      </c>
      <c r="F7340" s="0" t="s">
        <v>2051</v>
      </c>
      <c r="G7340" s="0" t="s">
        <v>2114</v>
      </c>
      <c r="H7340" s="0" t="s">
        <v>2115</v>
      </c>
      <c r="I7340" s="0" t="s">
        <v>2322</v>
      </c>
      <c r="J7340" s="0" t="s">
        <v>2369</v>
      </c>
      <c r="K7340" s="272" t="n">
        <v>13943.5498092801</v>
      </c>
    </row>
    <row r="7341" customFormat="false" ht="15" hidden="false" customHeight="false" outlineLevel="0" collapsed="false">
      <c r="A7341" s="0" t="s">
        <v>2041</v>
      </c>
      <c r="B7341" s="0" t="s">
        <v>2042</v>
      </c>
      <c r="C7341" s="0" t="s">
        <v>2349</v>
      </c>
      <c r="D7341" s="0" t="s">
        <v>2105</v>
      </c>
      <c r="E7341" s="0" t="s">
        <v>2045</v>
      </c>
      <c r="F7341" s="0" t="s">
        <v>2051</v>
      </c>
      <c r="G7341" s="0" t="s">
        <v>2114</v>
      </c>
      <c r="H7341" s="0" t="s">
        <v>2116</v>
      </c>
      <c r="I7341" s="0" t="s">
        <v>2322</v>
      </c>
      <c r="J7341" s="0" t="s">
        <v>2369</v>
      </c>
      <c r="K7341" s="272" t="n">
        <v>1386.22641350788</v>
      </c>
    </row>
    <row r="7342" customFormat="false" ht="15" hidden="false" customHeight="false" outlineLevel="0" collapsed="false">
      <c r="A7342" s="0" t="s">
        <v>2041</v>
      </c>
      <c r="B7342" s="0" t="s">
        <v>2042</v>
      </c>
      <c r="C7342" s="0" t="s">
        <v>2349</v>
      </c>
      <c r="D7342" s="0" t="s">
        <v>2105</v>
      </c>
      <c r="E7342" s="0" t="s">
        <v>2045</v>
      </c>
      <c r="F7342" s="0" t="s">
        <v>2051</v>
      </c>
      <c r="G7342" s="0" t="s">
        <v>2114</v>
      </c>
      <c r="H7342" s="0" t="s">
        <v>2117</v>
      </c>
      <c r="I7342" s="0" t="s">
        <v>2322</v>
      </c>
      <c r="J7342" s="0" t="s">
        <v>2369</v>
      </c>
      <c r="K7342" s="272" t="n">
        <v>719.860122059543</v>
      </c>
    </row>
    <row r="7343" customFormat="false" ht="15" hidden="false" customHeight="false" outlineLevel="0" collapsed="false">
      <c r="A7343" s="0" t="s">
        <v>2041</v>
      </c>
      <c r="B7343" s="0" t="s">
        <v>2042</v>
      </c>
      <c r="C7343" s="0" t="s">
        <v>2349</v>
      </c>
      <c r="D7343" s="0" t="s">
        <v>2105</v>
      </c>
      <c r="E7343" s="0" t="s">
        <v>2045</v>
      </c>
      <c r="F7343" s="0" t="s">
        <v>2051</v>
      </c>
      <c r="G7343" s="0" t="s">
        <v>2114</v>
      </c>
      <c r="H7343" s="0" t="s">
        <v>2118</v>
      </c>
      <c r="I7343" s="0" t="s">
        <v>2322</v>
      </c>
      <c r="J7343" s="0" t="s">
        <v>2369</v>
      </c>
      <c r="K7343" s="272" t="n">
        <v>1034.60817825455</v>
      </c>
    </row>
    <row r="7344" customFormat="false" ht="15" hidden="false" customHeight="false" outlineLevel="0" collapsed="false">
      <c r="A7344" s="0" t="s">
        <v>2041</v>
      </c>
      <c r="B7344" s="0" t="s">
        <v>2042</v>
      </c>
      <c r="C7344" s="0" t="s">
        <v>2349</v>
      </c>
      <c r="D7344" s="0" t="s">
        <v>2105</v>
      </c>
      <c r="E7344" s="0" t="s">
        <v>2045</v>
      </c>
      <c r="F7344" s="0" t="s">
        <v>2051</v>
      </c>
      <c r="G7344" s="0" t="s">
        <v>2114</v>
      </c>
      <c r="H7344" s="0" t="s">
        <v>2119</v>
      </c>
      <c r="I7344" s="0" t="s">
        <v>2322</v>
      </c>
      <c r="J7344" s="0" t="s">
        <v>2369</v>
      </c>
      <c r="K7344" s="272" t="n">
        <v>4186.21536008584</v>
      </c>
    </row>
    <row r="7345" customFormat="false" ht="15" hidden="false" customHeight="false" outlineLevel="0" collapsed="false">
      <c r="A7345" s="0" t="s">
        <v>2041</v>
      </c>
      <c r="B7345" s="0" t="s">
        <v>2042</v>
      </c>
      <c r="C7345" s="0" t="s">
        <v>2349</v>
      </c>
      <c r="D7345" s="0" t="s">
        <v>2105</v>
      </c>
      <c r="E7345" s="0" t="s">
        <v>2045</v>
      </c>
      <c r="F7345" s="0" t="s">
        <v>2051</v>
      </c>
      <c r="G7345" s="0" t="s">
        <v>2114</v>
      </c>
      <c r="H7345" s="0" t="s">
        <v>2120</v>
      </c>
      <c r="I7345" s="0" t="s">
        <v>2322</v>
      </c>
      <c r="J7345" s="0" t="s">
        <v>2369</v>
      </c>
      <c r="K7345" s="272" t="n">
        <v>4984.14511129562</v>
      </c>
    </row>
    <row r="7346" customFormat="false" ht="15" hidden="false" customHeight="false" outlineLevel="0" collapsed="false">
      <c r="A7346" s="0" t="s">
        <v>2041</v>
      </c>
      <c r="B7346" s="0" t="s">
        <v>2042</v>
      </c>
      <c r="C7346" s="0" t="s">
        <v>2349</v>
      </c>
      <c r="D7346" s="0" t="s">
        <v>2105</v>
      </c>
      <c r="E7346" s="0" t="s">
        <v>2045</v>
      </c>
      <c r="F7346" s="0" t="s">
        <v>2051</v>
      </c>
      <c r="G7346" s="0" t="s">
        <v>2114</v>
      </c>
      <c r="H7346" s="0" t="s">
        <v>2121</v>
      </c>
      <c r="I7346" s="0" t="s">
        <v>2322</v>
      </c>
      <c r="J7346" s="0" t="s">
        <v>2369</v>
      </c>
      <c r="K7346" s="272" t="n">
        <v>2190.69503239069</v>
      </c>
    </row>
    <row r="7347" customFormat="false" ht="15" hidden="false" customHeight="false" outlineLevel="0" collapsed="false">
      <c r="A7347" s="0" t="s">
        <v>2041</v>
      </c>
      <c r="B7347" s="0" t="s">
        <v>2042</v>
      </c>
      <c r="C7347" s="0" t="s">
        <v>2349</v>
      </c>
      <c r="D7347" s="0" t="s">
        <v>2105</v>
      </c>
      <c r="E7347" s="0" t="s">
        <v>2045</v>
      </c>
      <c r="F7347" s="0" t="s">
        <v>2051</v>
      </c>
      <c r="G7347" s="0" t="s">
        <v>2114</v>
      </c>
      <c r="H7347" s="0" t="s">
        <v>2122</v>
      </c>
      <c r="I7347" s="0" t="s">
        <v>2322</v>
      </c>
      <c r="J7347" s="0" t="s">
        <v>2369</v>
      </c>
      <c r="K7347" s="272" t="n">
        <v>6430.42850943122</v>
      </c>
    </row>
    <row r="7348" customFormat="false" ht="15" hidden="false" customHeight="false" outlineLevel="0" collapsed="false">
      <c r="A7348" s="0" t="s">
        <v>2041</v>
      </c>
      <c r="B7348" s="0" t="s">
        <v>2042</v>
      </c>
      <c r="C7348" s="0" t="s">
        <v>2349</v>
      </c>
      <c r="D7348" s="0" t="s">
        <v>2105</v>
      </c>
      <c r="E7348" s="0" t="s">
        <v>2045</v>
      </c>
      <c r="F7348" s="0" t="s">
        <v>2051</v>
      </c>
      <c r="G7348" s="0" t="s">
        <v>2114</v>
      </c>
      <c r="H7348" s="0" t="s">
        <v>2112</v>
      </c>
      <c r="I7348" s="0" t="s">
        <v>2322</v>
      </c>
      <c r="J7348" s="0" t="s">
        <v>2369</v>
      </c>
      <c r="K7348" s="272" t="n">
        <v>1189.42481321356</v>
      </c>
    </row>
    <row r="7349" customFormat="false" ht="15" hidden="false" customHeight="false" outlineLevel="0" collapsed="false">
      <c r="A7349" s="0" t="s">
        <v>2041</v>
      </c>
      <c r="B7349" s="0" t="s">
        <v>2042</v>
      </c>
      <c r="C7349" s="0" t="s">
        <v>2349</v>
      </c>
      <c r="D7349" s="0" t="s">
        <v>2105</v>
      </c>
      <c r="E7349" s="0" t="s">
        <v>2045</v>
      </c>
      <c r="F7349" s="0" t="s">
        <v>2051</v>
      </c>
      <c r="G7349" s="0" t="s">
        <v>2114</v>
      </c>
      <c r="H7349" s="0" t="s">
        <v>2113</v>
      </c>
      <c r="I7349" s="0" t="s">
        <v>2322</v>
      </c>
      <c r="J7349" s="0" t="s">
        <v>2369</v>
      </c>
      <c r="K7349" s="272" t="n">
        <v>1230.15868130156</v>
      </c>
    </row>
    <row r="7350" customFormat="false" ht="15" hidden="false" customHeight="false" outlineLevel="0" collapsed="false">
      <c r="A7350" s="0" t="s">
        <v>2041</v>
      </c>
      <c r="B7350" s="0" t="s">
        <v>2042</v>
      </c>
      <c r="C7350" s="0" t="s">
        <v>2349</v>
      </c>
      <c r="D7350" s="0" t="s">
        <v>2105</v>
      </c>
      <c r="E7350" s="0" t="s">
        <v>2045</v>
      </c>
      <c r="F7350" s="0" t="s">
        <v>2051</v>
      </c>
      <c r="G7350" s="0" t="s">
        <v>2114</v>
      </c>
      <c r="H7350" s="0" t="s">
        <v>2107</v>
      </c>
      <c r="I7350" s="0" t="s">
        <v>2322</v>
      </c>
      <c r="J7350" s="0" t="s">
        <v>2369</v>
      </c>
      <c r="K7350" s="272" t="n">
        <v>8312.95926143121</v>
      </c>
    </row>
    <row r="7351" customFormat="false" ht="15" hidden="false" customHeight="false" outlineLevel="0" collapsed="false">
      <c r="A7351" s="0" t="s">
        <v>2041</v>
      </c>
      <c r="B7351" s="0" t="s">
        <v>2042</v>
      </c>
      <c r="C7351" s="0" t="s">
        <v>2349</v>
      </c>
      <c r="D7351" s="0" t="s">
        <v>2105</v>
      </c>
      <c r="E7351" s="0" t="s">
        <v>2045</v>
      </c>
      <c r="F7351" s="0" t="s">
        <v>2051</v>
      </c>
      <c r="G7351" s="0" t="s">
        <v>2123</v>
      </c>
      <c r="H7351" s="0" t="s">
        <v>2115</v>
      </c>
      <c r="I7351" s="0" t="s">
        <v>2322</v>
      </c>
      <c r="J7351" s="0" t="s">
        <v>2369</v>
      </c>
      <c r="K7351" s="272" t="n">
        <v>2614.88471809769</v>
      </c>
    </row>
    <row r="7352" customFormat="false" ht="15" hidden="false" customHeight="false" outlineLevel="0" collapsed="false">
      <c r="A7352" s="0" t="s">
        <v>2041</v>
      </c>
      <c r="B7352" s="0" t="s">
        <v>2042</v>
      </c>
      <c r="C7352" s="0" t="s">
        <v>2349</v>
      </c>
      <c r="D7352" s="0" t="s">
        <v>2105</v>
      </c>
      <c r="E7352" s="0" t="s">
        <v>2045</v>
      </c>
      <c r="F7352" s="0" t="s">
        <v>2051</v>
      </c>
      <c r="G7352" s="0" t="s">
        <v>2123</v>
      </c>
      <c r="H7352" s="0" t="s">
        <v>2116</v>
      </c>
      <c r="I7352" s="0" t="s">
        <v>2322</v>
      </c>
      <c r="J7352" s="0" t="s">
        <v>2369</v>
      </c>
      <c r="K7352" s="272" t="n">
        <v>3792.88528914555</v>
      </c>
    </row>
    <row r="7353" customFormat="false" ht="15" hidden="false" customHeight="false" outlineLevel="0" collapsed="false">
      <c r="A7353" s="0" t="s">
        <v>2041</v>
      </c>
      <c r="B7353" s="0" t="s">
        <v>2042</v>
      </c>
      <c r="C7353" s="0" t="s">
        <v>2349</v>
      </c>
      <c r="D7353" s="0" t="s">
        <v>2105</v>
      </c>
      <c r="E7353" s="0" t="s">
        <v>2045</v>
      </c>
      <c r="F7353" s="0" t="s">
        <v>2051</v>
      </c>
      <c r="G7353" s="0" t="s">
        <v>2123</v>
      </c>
      <c r="H7353" s="0" t="s">
        <v>2111</v>
      </c>
      <c r="I7353" s="0" t="s">
        <v>2322</v>
      </c>
      <c r="J7353" s="0" t="s">
        <v>2369</v>
      </c>
      <c r="K7353" s="272" t="n">
        <v>4379.56397469676</v>
      </c>
    </row>
    <row r="7354" customFormat="false" ht="15" hidden="false" customHeight="false" outlineLevel="0" collapsed="false">
      <c r="A7354" s="0" t="s">
        <v>2041</v>
      </c>
      <c r="B7354" s="0" t="s">
        <v>2042</v>
      </c>
      <c r="C7354" s="0" t="s">
        <v>2349</v>
      </c>
      <c r="D7354" s="0" t="s">
        <v>2105</v>
      </c>
      <c r="E7354" s="0" t="s">
        <v>2045</v>
      </c>
      <c r="F7354" s="0" t="s">
        <v>2051</v>
      </c>
      <c r="G7354" s="0" t="s">
        <v>2123</v>
      </c>
      <c r="H7354" s="0" t="s">
        <v>2117</v>
      </c>
      <c r="I7354" s="0" t="s">
        <v>2322</v>
      </c>
      <c r="J7354" s="0" t="s">
        <v>2369</v>
      </c>
      <c r="K7354" s="272" t="n">
        <v>1426.00410159439</v>
      </c>
    </row>
    <row r="7355" customFormat="false" ht="15" hidden="false" customHeight="false" outlineLevel="0" collapsed="false">
      <c r="A7355" s="0" t="s">
        <v>2041</v>
      </c>
      <c r="B7355" s="0" t="s">
        <v>2042</v>
      </c>
      <c r="C7355" s="0" t="s">
        <v>2349</v>
      </c>
      <c r="D7355" s="0" t="s">
        <v>2105</v>
      </c>
      <c r="E7355" s="0" t="s">
        <v>2045</v>
      </c>
      <c r="F7355" s="0" t="s">
        <v>2051</v>
      </c>
      <c r="G7355" s="0" t="s">
        <v>2123</v>
      </c>
      <c r="H7355" s="0" t="s">
        <v>2119</v>
      </c>
      <c r="I7355" s="0" t="s">
        <v>2322</v>
      </c>
      <c r="J7355" s="0" t="s">
        <v>2369</v>
      </c>
      <c r="K7355" s="272" t="n">
        <v>194.925013529087</v>
      </c>
    </row>
    <row r="7356" customFormat="false" ht="15" hidden="false" customHeight="false" outlineLevel="0" collapsed="false">
      <c r="A7356" s="0" t="s">
        <v>2041</v>
      </c>
      <c r="B7356" s="0" t="s">
        <v>2042</v>
      </c>
      <c r="C7356" s="0" t="s">
        <v>2349</v>
      </c>
      <c r="D7356" s="0" t="s">
        <v>2105</v>
      </c>
      <c r="E7356" s="0" t="s">
        <v>2045</v>
      </c>
      <c r="F7356" s="0" t="s">
        <v>2051</v>
      </c>
      <c r="G7356" s="0" t="s">
        <v>2123</v>
      </c>
      <c r="H7356" s="0" t="s">
        <v>2120</v>
      </c>
      <c r="I7356" s="0" t="s">
        <v>2322</v>
      </c>
      <c r="J7356" s="0" t="s">
        <v>2369</v>
      </c>
      <c r="K7356" s="272" t="n">
        <v>1137.36133328277</v>
      </c>
    </row>
    <row r="7357" customFormat="false" ht="15" hidden="false" customHeight="false" outlineLevel="0" collapsed="false">
      <c r="A7357" s="0" t="s">
        <v>2041</v>
      </c>
      <c r="B7357" s="0" t="s">
        <v>2042</v>
      </c>
      <c r="C7357" s="0" t="s">
        <v>2349</v>
      </c>
      <c r="D7357" s="0" t="s">
        <v>2105</v>
      </c>
      <c r="E7357" s="0" t="s">
        <v>2045</v>
      </c>
      <c r="F7357" s="0" t="s">
        <v>2051</v>
      </c>
      <c r="G7357" s="0" t="s">
        <v>2123</v>
      </c>
      <c r="H7357" s="0" t="s">
        <v>2121</v>
      </c>
      <c r="I7357" s="0" t="s">
        <v>2322</v>
      </c>
      <c r="J7357" s="0" t="s">
        <v>2369</v>
      </c>
      <c r="K7357" s="272" t="n">
        <v>233.343269666948</v>
      </c>
    </row>
    <row r="7358" customFormat="false" ht="15" hidden="false" customHeight="false" outlineLevel="0" collapsed="false">
      <c r="A7358" s="0" t="s">
        <v>2041</v>
      </c>
      <c r="B7358" s="0" t="s">
        <v>2042</v>
      </c>
      <c r="C7358" s="0" t="s">
        <v>2349</v>
      </c>
      <c r="D7358" s="0" t="s">
        <v>2105</v>
      </c>
      <c r="E7358" s="0" t="s">
        <v>2045</v>
      </c>
      <c r="F7358" s="0" t="s">
        <v>2051</v>
      </c>
      <c r="G7358" s="0" t="s">
        <v>2123</v>
      </c>
      <c r="H7358" s="0" t="s">
        <v>2122</v>
      </c>
      <c r="I7358" s="0" t="s">
        <v>2322</v>
      </c>
      <c r="J7358" s="0" t="s">
        <v>2369</v>
      </c>
      <c r="K7358" s="272" t="n">
        <v>1099.81183364713</v>
      </c>
    </row>
    <row r="7359" customFormat="false" ht="15" hidden="false" customHeight="false" outlineLevel="0" collapsed="false">
      <c r="A7359" s="0" t="s">
        <v>2041</v>
      </c>
      <c r="B7359" s="0" t="s">
        <v>2042</v>
      </c>
      <c r="C7359" s="0" t="s">
        <v>2349</v>
      </c>
      <c r="D7359" s="0" t="s">
        <v>2105</v>
      </c>
      <c r="E7359" s="0" t="s">
        <v>2045</v>
      </c>
      <c r="F7359" s="0" t="s">
        <v>2051</v>
      </c>
      <c r="G7359" s="0" t="s">
        <v>2123</v>
      </c>
      <c r="H7359" s="0" t="s">
        <v>2112</v>
      </c>
      <c r="I7359" s="0" t="s">
        <v>2322</v>
      </c>
      <c r="J7359" s="0" t="s">
        <v>2369</v>
      </c>
      <c r="K7359" s="272" t="n">
        <v>1148.69615050667</v>
      </c>
    </row>
    <row r="7360" customFormat="false" ht="15" hidden="false" customHeight="false" outlineLevel="0" collapsed="false">
      <c r="A7360" s="0" t="s">
        <v>2041</v>
      </c>
      <c r="B7360" s="0" t="s">
        <v>2042</v>
      </c>
      <c r="C7360" s="0" t="s">
        <v>2349</v>
      </c>
      <c r="D7360" s="0" t="s">
        <v>2105</v>
      </c>
      <c r="E7360" s="0" t="s">
        <v>2045</v>
      </c>
      <c r="F7360" s="0" t="s">
        <v>2051</v>
      </c>
      <c r="G7360" s="0" t="s">
        <v>2123</v>
      </c>
      <c r="H7360" s="0" t="s">
        <v>2113</v>
      </c>
      <c r="I7360" s="0" t="s">
        <v>2322</v>
      </c>
      <c r="J7360" s="0" t="s">
        <v>2369</v>
      </c>
      <c r="K7360" s="272" t="n">
        <v>6131.69907808493</v>
      </c>
    </row>
    <row r="7361" customFormat="false" ht="15" hidden="false" customHeight="false" outlineLevel="0" collapsed="false">
      <c r="A7361" s="0" t="s">
        <v>2041</v>
      </c>
      <c r="B7361" s="0" t="s">
        <v>2042</v>
      </c>
      <c r="C7361" s="0" t="s">
        <v>2349</v>
      </c>
      <c r="D7361" s="0" t="s">
        <v>2105</v>
      </c>
      <c r="E7361" s="0" t="s">
        <v>2045</v>
      </c>
      <c r="F7361" s="0" t="s">
        <v>2051</v>
      </c>
      <c r="G7361" s="0" t="s">
        <v>2123</v>
      </c>
      <c r="H7361" s="0" t="s">
        <v>2107</v>
      </c>
      <c r="I7361" s="0" t="s">
        <v>2322</v>
      </c>
      <c r="J7361" s="0" t="s">
        <v>2369</v>
      </c>
      <c r="K7361" s="272" t="n">
        <v>5492.85799813316</v>
      </c>
    </row>
    <row r="7362" customFormat="false" ht="15" hidden="false" customHeight="false" outlineLevel="0" collapsed="false">
      <c r="A7362" s="0" t="s">
        <v>2041</v>
      </c>
      <c r="B7362" s="0" t="s">
        <v>2042</v>
      </c>
      <c r="C7362" s="0" t="s">
        <v>2349</v>
      </c>
      <c r="D7362" s="0" t="s">
        <v>2105</v>
      </c>
      <c r="E7362" s="0" t="s">
        <v>2045</v>
      </c>
      <c r="F7362" s="0" t="s">
        <v>2046</v>
      </c>
      <c r="G7362" s="0" t="s">
        <v>2125</v>
      </c>
      <c r="H7362" s="0" t="s">
        <v>2126</v>
      </c>
      <c r="I7362" s="0" t="s">
        <v>2322</v>
      </c>
      <c r="J7362" s="0" t="s">
        <v>2369</v>
      </c>
      <c r="K7362" s="272" t="n">
        <v>29071.4624126528</v>
      </c>
    </row>
    <row r="7363" customFormat="false" ht="15" hidden="false" customHeight="false" outlineLevel="0" collapsed="false">
      <c r="A7363" s="0" t="s">
        <v>2041</v>
      </c>
      <c r="B7363" s="0" t="s">
        <v>2042</v>
      </c>
      <c r="C7363" s="0" t="s">
        <v>2349</v>
      </c>
      <c r="D7363" s="0" t="s">
        <v>2105</v>
      </c>
      <c r="E7363" s="0" t="s">
        <v>2045</v>
      </c>
      <c r="F7363" s="0" t="s">
        <v>2046</v>
      </c>
      <c r="G7363" s="0" t="s">
        <v>2127</v>
      </c>
      <c r="H7363" s="0" t="s">
        <v>2128</v>
      </c>
      <c r="I7363" s="0" t="s">
        <v>2322</v>
      </c>
      <c r="J7363" s="0" t="s">
        <v>2369</v>
      </c>
      <c r="K7363" s="272" t="n">
        <v>17529.1908799677</v>
      </c>
    </row>
    <row r="7364" customFormat="false" ht="15" hidden="false" customHeight="false" outlineLevel="0" collapsed="false">
      <c r="A7364" s="0" t="s">
        <v>2041</v>
      </c>
      <c r="B7364" s="0" t="s">
        <v>2042</v>
      </c>
      <c r="C7364" s="0" t="s">
        <v>2349</v>
      </c>
      <c r="D7364" s="0" t="s">
        <v>2105</v>
      </c>
      <c r="E7364" s="0" t="s">
        <v>2045</v>
      </c>
      <c r="F7364" s="0" t="s">
        <v>2046</v>
      </c>
      <c r="G7364" s="0" t="s">
        <v>2127</v>
      </c>
      <c r="H7364" s="0" t="s">
        <v>2132</v>
      </c>
      <c r="I7364" s="0" t="s">
        <v>2322</v>
      </c>
      <c r="J7364" s="0" t="s">
        <v>2369</v>
      </c>
      <c r="K7364" s="272" t="n">
        <v>341.629223048527</v>
      </c>
    </row>
    <row r="7365" customFormat="false" ht="15" hidden="false" customHeight="false" outlineLevel="0" collapsed="false">
      <c r="A7365" s="0" t="s">
        <v>2041</v>
      </c>
      <c r="B7365" s="0" t="s">
        <v>2042</v>
      </c>
      <c r="C7365" s="0" t="s">
        <v>2349</v>
      </c>
      <c r="D7365" s="0" t="s">
        <v>2105</v>
      </c>
      <c r="E7365" s="0" t="s">
        <v>2045</v>
      </c>
      <c r="F7365" s="0" t="s">
        <v>2046</v>
      </c>
      <c r="G7365" s="0" t="s">
        <v>2129</v>
      </c>
      <c r="H7365" s="0" t="s">
        <v>2130</v>
      </c>
      <c r="I7365" s="0" t="s">
        <v>2322</v>
      </c>
      <c r="J7365" s="0" t="s">
        <v>2369</v>
      </c>
      <c r="K7365" s="272" t="n">
        <v>9346.27661115449</v>
      </c>
    </row>
    <row r="7366" customFormat="false" ht="15" hidden="false" customHeight="false" outlineLevel="0" collapsed="false">
      <c r="A7366" s="0" t="s">
        <v>2041</v>
      </c>
      <c r="B7366" s="0" t="s">
        <v>2042</v>
      </c>
      <c r="C7366" s="0" t="s">
        <v>2349</v>
      </c>
      <c r="D7366" s="0" t="s">
        <v>2105</v>
      </c>
      <c r="E7366" s="0" t="s">
        <v>2045</v>
      </c>
      <c r="F7366" s="0" t="s">
        <v>2046</v>
      </c>
      <c r="G7366" s="0" t="s">
        <v>2131</v>
      </c>
      <c r="H7366" s="0" t="s">
        <v>2132</v>
      </c>
      <c r="I7366" s="0" t="s">
        <v>2322</v>
      </c>
      <c r="J7366" s="0" t="s">
        <v>2369</v>
      </c>
      <c r="K7366" s="272" t="n">
        <v>14550.2989769184</v>
      </c>
    </row>
    <row r="7367" customFormat="false" ht="15" hidden="false" customHeight="false" outlineLevel="0" collapsed="false">
      <c r="A7367" s="0" t="s">
        <v>2041</v>
      </c>
      <c r="B7367" s="0" t="s">
        <v>2042</v>
      </c>
      <c r="C7367" s="0" t="s">
        <v>2349</v>
      </c>
      <c r="D7367" s="0" t="s">
        <v>2105</v>
      </c>
      <c r="E7367" s="0" t="s">
        <v>2045</v>
      </c>
      <c r="F7367" s="0" t="s">
        <v>2046</v>
      </c>
      <c r="G7367" s="0" t="s">
        <v>2131</v>
      </c>
      <c r="H7367" s="0" t="s">
        <v>2126</v>
      </c>
      <c r="I7367" s="0" t="s">
        <v>2322</v>
      </c>
      <c r="J7367" s="0" t="s">
        <v>2369</v>
      </c>
      <c r="K7367" s="272" t="n">
        <v>192.16644688161</v>
      </c>
    </row>
    <row r="7368" customFormat="false" ht="15" hidden="false" customHeight="false" outlineLevel="0" collapsed="false">
      <c r="A7368" s="0" t="s">
        <v>2041</v>
      </c>
      <c r="B7368" s="0" t="s">
        <v>2042</v>
      </c>
      <c r="C7368" s="0" t="s">
        <v>2349</v>
      </c>
      <c r="D7368" s="0" t="s">
        <v>2105</v>
      </c>
      <c r="E7368" s="0" t="s">
        <v>2045</v>
      </c>
      <c r="F7368" s="0" t="s">
        <v>2046</v>
      </c>
      <c r="G7368" s="0" t="s">
        <v>2133</v>
      </c>
      <c r="H7368" s="0" t="s">
        <v>2134</v>
      </c>
      <c r="I7368" s="0" t="s">
        <v>2322</v>
      </c>
      <c r="J7368" s="0" t="s">
        <v>2369</v>
      </c>
      <c r="K7368" s="272" t="n">
        <v>16753.4192173198</v>
      </c>
    </row>
    <row r="7369" customFormat="false" ht="15" hidden="false" customHeight="false" outlineLevel="0" collapsed="false">
      <c r="A7369" s="0" t="s">
        <v>2041</v>
      </c>
      <c r="B7369" s="0" t="s">
        <v>2042</v>
      </c>
      <c r="C7369" s="0" t="s">
        <v>2349</v>
      </c>
      <c r="D7369" s="0" t="s">
        <v>2105</v>
      </c>
      <c r="E7369" s="0" t="s">
        <v>2045</v>
      </c>
      <c r="F7369" s="0" t="s">
        <v>2046</v>
      </c>
      <c r="G7369" s="0" t="s">
        <v>2135</v>
      </c>
      <c r="H7369" s="0" t="s">
        <v>2136</v>
      </c>
      <c r="I7369" s="0" t="s">
        <v>2322</v>
      </c>
      <c r="J7369" s="0" t="s">
        <v>2369</v>
      </c>
      <c r="K7369" s="272" t="n">
        <v>19051.6521241996</v>
      </c>
    </row>
    <row r="7370" customFormat="false" ht="15" hidden="false" customHeight="false" outlineLevel="0" collapsed="false">
      <c r="A7370" s="0" t="s">
        <v>2041</v>
      </c>
      <c r="B7370" s="0" t="s">
        <v>2042</v>
      </c>
      <c r="C7370" s="0" t="s">
        <v>2349</v>
      </c>
      <c r="D7370" s="0" t="s">
        <v>2105</v>
      </c>
      <c r="E7370" s="0" t="s">
        <v>2045</v>
      </c>
      <c r="F7370" s="0" t="s">
        <v>2046</v>
      </c>
      <c r="G7370" s="0" t="s">
        <v>2137</v>
      </c>
      <c r="H7370" s="0" t="s">
        <v>2138</v>
      </c>
      <c r="I7370" s="0" t="s">
        <v>2322</v>
      </c>
      <c r="J7370" s="0" t="s">
        <v>2369</v>
      </c>
      <c r="K7370" s="272" t="n">
        <v>25012.7182960624</v>
      </c>
    </row>
    <row r="7371" customFormat="false" ht="15" hidden="false" customHeight="false" outlineLevel="0" collapsed="false">
      <c r="A7371" s="0" t="s">
        <v>2041</v>
      </c>
      <c r="B7371" s="0" t="s">
        <v>2042</v>
      </c>
      <c r="C7371" s="0" t="s">
        <v>2349</v>
      </c>
      <c r="D7371" s="0" t="s">
        <v>2105</v>
      </c>
      <c r="E7371" s="0" t="s">
        <v>2045</v>
      </c>
      <c r="F7371" s="0" t="s">
        <v>2046</v>
      </c>
      <c r="G7371" s="0" t="s">
        <v>2139</v>
      </c>
      <c r="H7371" s="0" t="s">
        <v>2136</v>
      </c>
      <c r="I7371" s="0" t="s">
        <v>2322</v>
      </c>
      <c r="J7371" s="0" t="s">
        <v>2369</v>
      </c>
      <c r="K7371" s="272" t="n">
        <v>397.435127418171</v>
      </c>
    </row>
    <row r="7372" customFormat="false" ht="15" hidden="false" customHeight="false" outlineLevel="0" collapsed="false">
      <c r="A7372" s="0" t="s">
        <v>2041</v>
      </c>
      <c r="B7372" s="0" t="s">
        <v>2042</v>
      </c>
      <c r="C7372" s="0" t="s">
        <v>2349</v>
      </c>
      <c r="D7372" s="0" t="s">
        <v>2105</v>
      </c>
      <c r="E7372" s="0" t="s">
        <v>2045</v>
      </c>
      <c r="F7372" s="0" t="s">
        <v>2046</v>
      </c>
      <c r="G7372" s="0" t="s">
        <v>2139</v>
      </c>
      <c r="H7372" s="0" t="s">
        <v>2140</v>
      </c>
      <c r="I7372" s="0" t="s">
        <v>2322</v>
      </c>
      <c r="J7372" s="0" t="s">
        <v>2369</v>
      </c>
      <c r="K7372" s="272" t="n">
        <v>11634.3189145041</v>
      </c>
    </row>
    <row r="7373" customFormat="false" ht="15" hidden="false" customHeight="false" outlineLevel="0" collapsed="false">
      <c r="A7373" s="0" t="s">
        <v>2041</v>
      </c>
      <c r="B7373" s="0" t="s">
        <v>2042</v>
      </c>
      <c r="C7373" s="0" t="s">
        <v>2349</v>
      </c>
      <c r="D7373" s="0" t="s">
        <v>2105</v>
      </c>
      <c r="E7373" s="0" t="s">
        <v>2045</v>
      </c>
      <c r="F7373" s="0" t="s">
        <v>2046</v>
      </c>
      <c r="G7373" s="0" t="s">
        <v>2141</v>
      </c>
      <c r="H7373" s="0" t="s">
        <v>2144</v>
      </c>
      <c r="I7373" s="0" t="s">
        <v>2322</v>
      </c>
      <c r="J7373" s="0" t="s">
        <v>2369</v>
      </c>
      <c r="K7373" s="272" t="n">
        <v>2212.82562659425</v>
      </c>
    </row>
    <row r="7374" customFormat="false" ht="15" hidden="false" customHeight="false" outlineLevel="0" collapsed="false">
      <c r="A7374" s="0" t="s">
        <v>2041</v>
      </c>
      <c r="B7374" s="0" t="s">
        <v>2042</v>
      </c>
      <c r="C7374" s="0" t="s">
        <v>2349</v>
      </c>
      <c r="D7374" s="0" t="s">
        <v>2105</v>
      </c>
      <c r="E7374" s="0" t="s">
        <v>2045</v>
      </c>
      <c r="F7374" s="0" t="s">
        <v>2046</v>
      </c>
      <c r="G7374" s="0" t="s">
        <v>2141</v>
      </c>
      <c r="H7374" s="0" t="s">
        <v>2142</v>
      </c>
      <c r="I7374" s="0" t="s">
        <v>2322</v>
      </c>
      <c r="J7374" s="0" t="s">
        <v>2369</v>
      </c>
      <c r="K7374" s="272" t="n">
        <v>14507.2071241813</v>
      </c>
    </row>
    <row r="7375" customFormat="false" ht="15" hidden="false" customHeight="false" outlineLevel="0" collapsed="false">
      <c r="A7375" s="0" t="s">
        <v>2041</v>
      </c>
      <c r="B7375" s="0" t="s">
        <v>2042</v>
      </c>
      <c r="C7375" s="0" t="s">
        <v>2349</v>
      </c>
      <c r="D7375" s="0" t="s">
        <v>2105</v>
      </c>
      <c r="E7375" s="0" t="s">
        <v>2045</v>
      </c>
      <c r="F7375" s="0" t="s">
        <v>2046</v>
      </c>
      <c r="G7375" s="0" t="s">
        <v>2143</v>
      </c>
      <c r="H7375" s="0" t="s">
        <v>2144</v>
      </c>
      <c r="I7375" s="0" t="s">
        <v>2322</v>
      </c>
      <c r="J7375" s="0" t="s">
        <v>2369</v>
      </c>
      <c r="K7375" s="272" t="n">
        <v>11974.8805248939</v>
      </c>
    </row>
    <row r="7376" customFormat="false" ht="15" hidden="false" customHeight="false" outlineLevel="0" collapsed="false">
      <c r="A7376" s="0" t="s">
        <v>2041</v>
      </c>
      <c r="B7376" s="0" t="s">
        <v>2042</v>
      </c>
      <c r="C7376" s="0" t="s">
        <v>2349</v>
      </c>
      <c r="D7376" s="0" t="s">
        <v>2105</v>
      </c>
      <c r="E7376" s="0" t="s">
        <v>2045</v>
      </c>
      <c r="F7376" s="0" t="s">
        <v>2046</v>
      </c>
      <c r="G7376" s="0" t="s">
        <v>2143</v>
      </c>
      <c r="H7376" s="0" t="s">
        <v>2142</v>
      </c>
      <c r="I7376" s="0" t="s">
        <v>2322</v>
      </c>
      <c r="J7376" s="0" t="s">
        <v>2369</v>
      </c>
      <c r="K7376" s="272" t="n">
        <v>1829.46328979347</v>
      </c>
    </row>
    <row r="7377" customFormat="false" ht="15" hidden="false" customHeight="false" outlineLevel="0" collapsed="false">
      <c r="A7377" s="0" t="s">
        <v>2041</v>
      </c>
      <c r="B7377" s="0" t="s">
        <v>2042</v>
      </c>
      <c r="C7377" s="0" t="s">
        <v>2349</v>
      </c>
      <c r="D7377" s="0" t="s">
        <v>2105</v>
      </c>
      <c r="E7377" s="0" t="s">
        <v>2045</v>
      </c>
      <c r="F7377" s="0" t="s">
        <v>2046</v>
      </c>
      <c r="G7377" s="0" t="s">
        <v>2145</v>
      </c>
      <c r="H7377" s="0" t="s">
        <v>2146</v>
      </c>
      <c r="I7377" s="0" t="s">
        <v>2322</v>
      </c>
      <c r="J7377" s="0" t="s">
        <v>2369</v>
      </c>
      <c r="K7377" s="272" t="n">
        <v>14283.401152144</v>
      </c>
    </row>
    <row r="7378" customFormat="false" ht="15" hidden="false" customHeight="false" outlineLevel="0" collapsed="false">
      <c r="A7378" s="0" t="s">
        <v>2041</v>
      </c>
      <c r="B7378" s="0" t="s">
        <v>2042</v>
      </c>
      <c r="C7378" s="0" t="s">
        <v>2349</v>
      </c>
      <c r="D7378" s="0" t="s">
        <v>2105</v>
      </c>
      <c r="E7378" s="0" t="s">
        <v>2045</v>
      </c>
      <c r="F7378" s="0" t="s">
        <v>2046</v>
      </c>
      <c r="G7378" s="0" t="s">
        <v>2147</v>
      </c>
      <c r="H7378" s="0" t="s">
        <v>2126</v>
      </c>
      <c r="I7378" s="0" t="s">
        <v>2322</v>
      </c>
      <c r="J7378" s="0" t="s">
        <v>2369</v>
      </c>
      <c r="K7378" s="272" t="n">
        <v>24568.8516991034</v>
      </c>
    </row>
    <row r="7379" customFormat="false" ht="15" hidden="false" customHeight="false" outlineLevel="0" collapsed="false">
      <c r="A7379" s="0" t="s">
        <v>2041</v>
      </c>
      <c r="B7379" s="0" t="s">
        <v>2042</v>
      </c>
      <c r="C7379" s="0" t="s">
        <v>2349</v>
      </c>
      <c r="D7379" s="0" t="s">
        <v>2105</v>
      </c>
      <c r="E7379" s="0" t="s">
        <v>2045</v>
      </c>
      <c r="F7379" s="0" t="s">
        <v>2046</v>
      </c>
      <c r="G7379" s="0" t="s">
        <v>2148</v>
      </c>
      <c r="H7379" s="0" t="s">
        <v>2149</v>
      </c>
      <c r="I7379" s="0" t="s">
        <v>2322</v>
      </c>
      <c r="J7379" s="0" t="s">
        <v>2369</v>
      </c>
      <c r="K7379" s="272" t="n">
        <v>26836.5136514067</v>
      </c>
    </row>
    <row r="7380" customFormat="false" ht="15" hidden="false" customHeight="false" outlineLevel="0" collapsed="false">
      <c r="A7380" s="0" t="s">
        <v>2041</v>
      </c>
      <c r="B7380" s="0" t="s">
        <v>2042</v>
      </c>
      <c r="C7380" s="0" t="s">
        <v>2349</v>
      </c>
      <c r="D7380" s="0" t="s">
        <v>2105</v>
      </c>
      <c r="E7380" s="0" t="s">
        <v>2045</v>
      </c>
      <c r="F7380" s="0" t="s">
        <v>2215</v>
      </c>
      <c r="G7380" s="0" t="s">
        <v>2216</v>
      </c>
      <c r="H7380" s="0" t="s">
        <v>2217</v>
      </c>
      <c r="I7380" s="0" t="s">
        <v>2322</v>
      </c>
      <c r="J7380" s="0" t="s">
        <v>2369</v>
      </c>
      <c r="K7380" s="272" t="n">
        <v>118960.597270478</v>
      </c>
    </row>
    <row r="7381" customFormat="false" ht="15" hidden="false" customHeight="false" outlineLevel="0" collapsed="false">
      <c r="A7381" s="0" t="s">
        <v>2041</v>
      </c>
      <c r="B7381" s="0" t="s">
        <v>2042</v>
      </c>
      <c r="C7381" s="0" t="s">
        <v>2349</v>
      </c>
      <c r="D7381" s="0" t="s">
        <v>2105</v>
      </c>
      <c r="E7381" s="0" t="s">
        <v>2045</v>
      </c>
      <c r="F7381" s="0" t="s">
        <v>2215</v>
      </c>
      <c r="G7381" s="0" t="s">
        <v>2218</v>
      </c>
      <c r="H7381" s="0" t="s">
        <v>2183</v>
      </c>
      <c r="I7381" s="0" t="s">
        <v>2322</v>
      </c>
      <c r="J7381" s="0" t="s">
        <v>2369</v>
      </c>
      <c r="K7381" s="272" t="n">
        <v>8971.87139455382</v>
      </c>
    </row>
    <row r="7382" customFormat="false" ht="15" hidden="false" customHeight="false" outlineLevel="0" collapsed="false">
      <c r="A7382" s="0" t="s">
        <v>2041</v>
      </c>
      <c r="B7382" s="0" t="s">
        <v>2042</v>
      </c>
      <c r="C7382" s="0" t="s">
        <v>2349</v>
      </c>
      <c r="D7382" s="0" t="s">
        <v>2105</v>
      </c>
      <c r="E7382" s="0" t="s">
        <v>2045</v>
      </c>
      <c r="F7382" s="0" t="s">
        <v>2215</v>
      </c>
      <c r="G7382" s="0" t="s">
        <v>2218</v>
      </c>
      <c r="H7382" s="0" t="s">
        <v>2185</v>
      </c>
      <c r="I7382" s="0" t="s">
        <v>2322</v>
      </c>
      <c r="J7382" s="0" t="s">
        <v>2369</v>
      </c>
      <c r="K7382" s="272" t="n">
        <v>12766.5246867039</v>
      </c>
    </row>
    <row r="7383" customFormat="false" ht="15" hidden="false" customHeight="false" outlineLevel="0" collapsed="false">
      <c r="A7383" s="0" t="s">
        <v>2041</v>
      </c>
      <c r="B7383" s="0" t="s">
        <v>2042</v>
      </c>
      <c r="C7383" s="0" t="s">
        <v>2349</v>
      </c>
      <c r="D7383" s="0" t="s">
        <v>2105</v>
      </c>
      <c r="E7383" s="0" t="s">
        <v>2045</v>
      </c>
      <c r="F7383" s="0" t="s">
        <v>2215</v>
      </c>
      <c r="G7383" s="0" t="s">
        <v>2218</v>
      </c>
      <c r="H7383" s="0" t="s">
        <v>2186</v>
      </c>
      <c r="I7383" s="0" t="s">
        <v>2322</v>
      </c>
      <c r="J7383" s="0" t="s">
        <v>2369</v>
      </c>
      <c r="K7383" s="272" t="n">
        <v>285.174989888977</v>
      </c>
    </row>
    <row r="7384" customFormat="false" ht="15" hidden="false" customHeight="false" outlineLevel="0" collapsed="false">
      <c r="A7384" s="0" t="s">
        <v>2041</v>
      </c>
      <c r="B7384" s="0" t="s">
        <v>2042</v>
      </c>
      <c r="C7384" s="0" t="s">
        <v>2349</v>
      </c>
      <c r="D7384" s="0" t="s">
        <v>2105</v>
      </c>
      <c r="E7384" s="0" t="s">
        <v>2045</v>
      </c>
      <c r="F7384" s="0" t="s">
        <v>2215</v>
      </c>
      <c r="G7384" s="0" t="s">
        <v>2218</v>
      </c>
      <c r="H7384" s="0" t="s">
        <v>2179</v>
      </c>
      <c r="I7384" s="0" t="s">
        <v>2322</v>
      </c>
      <c r="J7384" s="0" t="s">
        <v>2369</v>
      </c>
      <c r="K7384" s="272" t="n">
        <v>8547.9124327785</v>
      </c>
    </row>
    <row r="7385" customFormat="false" ht="15" hidden="false" customHeight="false" outlineLevel="0" collapsed="false">
      <c r="A7385" s="0" t="s">
        <v>2041</v>
      </c>
      <c r="B7385" s="0" t="s">
        <v>2042</v>
      </c>
      <c r="C7385" s="0" t="s">
        <v>2349</v>
      </c>
      <c r="D7385" s="0" t="s">
        <v>2105</v>
      </c>
      <c r="E7385" s="0" t="s">
        <v>2045</v>
      </c>
      <c r="F7385" s="0" t="s">
        <v>2215</v>
      </c>
      <c r="G7385" s="0" t="s">
        <v>2218</v>
      </c>
      <c r="H7385" s="0" t="s">
        <v>2217</v>
      </c>
      <c r="I7385" s="0" t="s">
        <v>2322</v>
      </c>
      <c r="J7385" s="0" t="s">
        <v>2369</v>
      </c>
      <c r="K7385" s="272" t="n">
        <v>1030.71086825122</v>
      </c>
    </row>
    <row r="7386" customFormat="false" ht="15" hidden="false" customHeight="false" outlineLevel="0" collapsed="false">
      <c r="A7386" s="0" t="s">
        <v>2041</v>
      </c>
      <c r="B7386" s="0" t="s">
        <v>2042</v>
      </c>
      <c r="C7386" s="0" t="s">
        <v>2349</v>
      </c>
      <c r="D7386" s="0" t="s">
        <v>2105</v>
      </c>
      <c r="E7386" s="0" t="s">
        <v>2045</v>
      </c>
      <c r="F7386" s="0" t="s">
        <v>2215</v>
      </c>
      <c r="G7386" s="0" t="s">
        <v>2218</v>
      </c>
      <c r="H7386" s="0" t="s">
        <v>2219</v>
      </c>
      <c r="I7386" s="0" t="s">
        <v>2322</v>
      </c>
      <c r="J7386" s="0" t="s">
        <v>2369</v>
      </c>
      <c r="K7386" s="272" t="n">
        <v>27685.650529282</v>
      </c>
    </row>
    <row r="7387" customFormat="false" ht="15" hidden="false" customHeight="false" outlineLevel="0" collapsed="false">
      <c r="A7387" s="0" t="s">
        <v>2041</v>
      </c>
      <c r="B7387" s="0" t="s">
        <v>2042</v>
      </c>
      <c r="C7387" s="0" t="s">
        <v>2349</v>
      </c>
      <c r="D7387" s="0" t="s">
        <v>2105</v>
      </c>
      <c r="E7387" s="0" t="s">
        <v>2045</v>
      </c>
      <c r="F7387" s="0" t="s">
        <v>2215</v>
      </c>
      <c r="G7387" s="0" t="s">
        <v>2218</v>
      </c>
      <c r="H7387" s="0" t="s">
        <v>2220</v>
      </c>
      <c r="I7387" s="0" t="s">
        <v>2322</v>
      </c>
      <c r="J7387" s="0" t="s">
        <v>2369</v>
      </c>
      <c r="K7387" s="272" t="n">
        <v>18648.6455599888</v>
      </c>
    </row>
    <row r="7388" customFormat="false" ht="15" hidden="false" customHeight="false" outlineLevel="0" collapsed="false">
      <c r="A7388" s="0" t="s">
        <v>2041</v>
      </c>
      <c r="B7388" s="0" t="s">
        <v>2042</v>
      </c>
      <c r="C7388" s="0" t="s">
        <v>2349</v>
      </c>
      <c r="D7388" s="0" t="s">
        <v>2105</v>
      </c>
      <c r="E7388" s="0" t="s">
        <v>2045</v>
      </c>
      <c r="F7388" s="0" t="s">
        <v>2215</v>
      </c>
      <c r="G7388" s="0" t="s">
        <v>2218</v>
      </c>
      <c r="H7388" s="0" t="s">
        <v>2221</v>
      </c>
      <c r="I7388" s="0" t="s">
        <v>2322</v>
      </c>
      <c r="J7388" s="0" t="s">
        <v>2369</v>
      </c>
      <c r="K7388" s="272" t="n">
        <v>24498.7248619278</v>
      </c>
    </row>
    <row r="7389" customFormat="false" ht="15" hidden="false" customHeight="false" outlineLevel="0" collapsed="false">
      <c r="A7389" s="0" t="s">
        <v>2041</v>
      </c>
      <c r="B7389" s="0" t="s">
        <v>2042</v>
      </c>
      <c r="C7389" s="0" t="s">
        <v>2349</v>
      </c>
      <c r="D7389" s="0" t="s">
        <v>2105</v>
      </c>
      <c r="E7389" s="0" t="s">
        <v>2045</v>
      </c>
      <c r="F7389" s="0" t="s">
        <v>2215</v>
      </c>
      <c r="G7389" s="0" t="s">
        <v>2223</v>
      </c>
      <c r="H7389" s="0" t="s">
        <v>2189</v>
      </c>
      <c r="I7389" s="0" t="s">
        <v>2322</v>
      </c>
      <c r="J7389" s="0" t="s">
        <v>2369</v>
      </c>
      <c r="K7389" s="272" t="n">
        <v>497.303441487352</v>
      </c>
    </row>
    <row r="7390" customFormat="false" ht="15" hidden="false" customHeight="false" outlineLevel="0" collapsed="false">
      <c r="A7390" s="0" t="s">
        <v>2041</v>
      </c>
      <c r="B7390" s="0" t="s">
        <v>2042</v>
      </c>
      <c r="C7390" s="0" t="s">
        <v>2349</v>
      </c>
      <c r="D7390" s="0" t="s">
        <v>2105</v>
      </c>
      <c r="E7390" s="0" t="s">
        <v>2045</v>
      </c>
      <c r="F7390" s="0" t="s">
        <v>2215</v>
      </c>
      <c r="G7390" s="0" t="s">
        <v>2223</v>
      </c>
      <c r="H7390" s="0" t="s">
        <v>2222</v>
      </c>
      <c r="I7390" s="0" t="s">
        <v>2322</v>
      </c>
      <c r="J7390" s="0" t="s">
        <v>2369</v>
      </c>
      <c r="K7390" s="272" t="n">
        <v>9700.79453309745</v>
      </c>
    </row>
    <row r="7391" customFormat="false" ht="15" hidden="false" customHeight="false" outlineLevel="0" collapsed="false">
      <c r="A7391" s="0" t="s">
        <v>2041</v>
      </c>
      <c r="B7391" s="0" t="s">
        <v>2042</v>
      </c>
      <c r="C7391" s="0" t="s">
        <v>2349</v>
      </c>
      <c r="D7391" s="0" t="s">
        <v>2105</v>
      </c>
      <c r="E7391" s="0" t="s">
        <v>2045</v>
      </c>
      <c r="F7391" s="0" t="s">
        <v>2215</v>
      </c>
      <c r="G7391" s="0" t="s">
        <v>2223</v>
      </c>
      <c r="H7391" s="0" t="s">
        <v>2224</v>
      </c>
      <c r="I7391" s="0" t="s">
        <v>2322</v>
      </c>
      <c r="J7391" s="0" t="s">
        <v>2369</v>
      </c>
      <c r="K7391" s="272" t="n">
        <v>8531.41333128015</v>
      </c>
    </row>
    <row r="7392" customFormat="false" ht="15" hidden="false" customHeight="false" outlineLevel="0" collapsed="false">
      <c r="A7392" s="0" t="s">
        <v>2041</v>
      </c>
      <c r="B7392" s="0" t="s">
        <v>2042</v>
      </c>
      <c r="C7392" s="0" t="s">
        <v>2349</v>
      </c>
      <c r="D7392" s="0" t="s">
        <v>2105</v>
      </c>
      <c r="E7392" s="0" t="s">
        <v>2045</v>
      </c>
      <c r="F7392" s="0" t="s">
        <v>2225</v>
      </c>
      <c r="G7392" s="0" t="s">
        <v>2226</v>
      </c>
      <c r="H7392" s="0" t="s">
        <v>2227</v>
      </c>
      <c r="I7392" s="0" t="s">
        <v>2322</v>
      </c>
      <c r="J7392" s="0" t="s">
        <v>2369</v>
      </c>
      <c r="K7392" s="272" t="n">
        <v>8859.69764067054</v>
      </c>
    </row>
    <row r="7393" customFormat="false" ht="15" hidden="false" customHeight="false" outlineLevel="0" collapsed="false">
      <c r="A7393" s="0" t="s">
        <v>2041</v>
      </c>
      <c r="B7393" s="0" t="s">
        <v>2042</v>
      </c>
      <c r="C7393" s="0" t="s">
        <v>2349</v>
      </c>
      <c r="D7393" s="0" t="s">
        <v>2105</v>
      </c>
      <c r="E7393" s="0" t="s">
        <v>2045</v>
      </c>
      <c r="F7393" s="0" t="s">
        <v>2225</v>
      </c>
      <c r="G7393" s="0" t="s">
        <v>2228</v>
      </c>
      <c r="H7393" s="0" t="s">
        <v>2227</v>
      </c>
      <c r="I7393" s="0" t="s">
        <v>2322</v>
      </c>
      <c r="J7393" s="0" t="s">
        <v>2369</v>
      </c>
      <c r="K7393" s="272" t="n">
        <v>37845.6266332428</v>
      </c>
    </row>
    <row r="7394" customFormat="false" ht="15" hidden="false" customHeight="false" outlineLevel="0" collapsed="false">
      <c r="A7394" s="0" t="s">
        <v>2041</v>
      </c>
      <c r="B7394" s="0" t="s">
        <v>2042</v>
      </c>
      <c r="C7394" s="0" t="s">
        <v>2349</v>
      </c>
      <c r="D7394" s="0" t="s">
        <v>2105</v>
      </c>
      <c r="E7394" s="0" t="s">
        <v>2045</v>
      </c>
      <c r="F7394" s="0" t="s">
        <v>2225</v>
      </c>
      <c r="G7394" s="0" t="s">
        <v>2229</v>
      </c>
      <c r="H7394" s="0" t="s">
        <v>2227</v>
      </c>
      <c r="I7394" s="0" t="s">
        <v>2322</v>
      </c>
      <c r="J7394" s="0" t="s">
        <v>2369</v>
      </c>
      <c r="K7394" s="272" t="n">
        <v>51333.952331737</v>
      </c>
    </row>
    <row r="7395" customFormat="false" ht="15" hidden="false" customHeight="false" outlineLevel="0" collapsed="false">
      <c r="A7395" s="0" t="s">
        <v>2041</v>
      </c>
      <c r="B7395" s="0" t="s">
        <v>2042</v>
      </c>
      <c r="C7395" s="0" t="s">
        <v>2349</v>
      </c>
      <c r="D7395" s="0" t="s">
        <v>2105</v>
      </c>
      <c r="E7395" s="0" t="s">
        <v>2045</v>
      </c>
      <c r="F7395" s="0" t="s">
        <v>2225</v>
      </c>
      <c r="G7395" s="0" t="s">
        <v>2230</v>
      </c>
      <c r="H7395" s="0" t="s">
        <v>2227</v>
      </c>
      <c r="I7395" s="0" t="s">
        <v>2322</v>
      </c>
      <c r="J7395" s="0" t="s">
        <v>2369</v>
      </c>
      <c r="K7395" s="272" t="n">
        <v>20637.443351583</v>
      </c>
    </row>
    <row r="7396" customFormat="false" ht="15" hidden="false" customHeight="false" outlineLevel="0" collapsed="false">
      <c r="A7396" s="0" t="s">
        <v>2041</v>
      </c>
      <c r="B7396" s="0" t="s">
        <v>2042</v>
      </c>
      <c r="C7396" s="0" t="s">
        <v>2349</v>
      </c>
      <c r="D7396" s="0" t="s">
        <v>2105</v>
      </c>
      <c r="E7396" s="0" t="s">
        <v>2045</v>
      </c>
      <c r="F7396" s="0" t="s">
        <v>2225</v>
      </c>
      <c r="G7396" s="0" t="s">
        <v>2231</v>
      </c>
      <c r="H7396" s="0" t="s">
        <v>2227</v>
      </c>
      <c r="I7396" s="0" t="s">
        <v>2322</v>
      </c>
      <c r="J7396" s="0" t="s">
        <v>2369</v>
      </c>
      <c r="K7396" s="272" t="n">
        <v>35273.216846658</v>
      </c>
    </row>
    <row r="7397" customFormat="false" ht="15" hidden="false" customHeight="false" outlineLevel="0" collapsed="false">
      <c r="A7397" s="0" t="s">
        <v>2041</v>
      </c>
      <c r="B7397" s="0" t="s">
        <v>2042</v>
      </c>
      <c r="C7397" s="0" t="s">
        <v>2349</v>
      </c>
      <c r="D7397" s="0" t="s">
        <v>2105</v>
      </c>
      <c r="E7397" s="0" t="s">
        <v>2045</v>
      </c>
      <c r="F7397" s="0" t="s">
        <v>2099</v>
      </c>
      <c r="G7397" s="0" t="s">
        <v>2232</v>
      </c>
      <c r="H7397" s="0" t="s">
        <v>2100</v>
      </c>
      <c r="I7397" s="0" t="s">
        <v>2322</v>
      </c>
      <c r="J7397" s="0" t="s">
        <v>2369</v>
      </c>
      <c r="K7397" s="272" t="n">
        <v>5095.3221463868</v>
      </c>
    </row>
    <row r="7398" customFormat="false" ht="15" hidden="false" customHeight="false" outlineLevel="0" collapsed="false">
      <c r="A7398" s="0" t="s">
        <v>2041</v>
      </c>
      <c r="B7398" s="0" t="s">
        <v>2042</v>
      </c>
      <c r="C7398" s="0" t="s">
        <v>2349</v>
      </c>
      <c r="D7398" s="0" t="s">
        <v>2105</v>
      </c>
      <c r="E7398" s="0" t="s">
        <v>2045</v>
      </c>
      <c r="F7398" s="0" t="s">
        <v>2099</v>
      </c>
      <c r="G7398" s="0" t="s">
        <v>2232</v>
      </c>
      <c r="H7398" s="0" t="s">
        <v>2233</v>
      </c>
      <c r="I7398" s="0" t="s">
        <v>2322</v>
      </c>
      <c r="J7398" s="0" t="s">
        <v>2369</v>
      </c>
      <c r="K7398" s="272" t="n">
        <v>603.043523272875</v>
      </c>
    </row>
    <row r="7399" customFormat="false" ht="15" hidden="false" customHeight="false" outlineLevel="0" collapsed="false">
      <c r="A7399" s="0" t="s">
        <v>2041</v>
      </c>
      <c r="B7399" s="0" t="s">
        <v>2042</v>
      </c>
      <c r="C7399" s="0" t="s">
        <v>2349</v>
      </c>
      <c r="D7399" s="0" t="s">
        <v>2105</v>
      </c>
      <c r="E7399" s="0" t="s">
        <v>2045</v>
      </c>
      <c r="F7399" s="0" t="s">
        <v>2099</v>
      </c>
      <c r="G7399" s="0" t="s">
        <v>2232</v>
      </c>
      <c r="H7399" s="0" t="s">
        <v>2234</v>
      </c>
      <c r="I7399" s="0" t="s">
        <v>2322</v>
      </c>
      <c r="J7399" s="0" t="s">
        <v>2369</v>
      </c>
      <c r="K7399" s="272" t="n">
        <v>25790.3770826017</v>
      </c>
    </row>
    <row r="7400" customFormat="false" ht="15" hidden="false" customHeight="false" outlineLevel="0" collapsed="false">
      <c r="A7400" s="0" t="s">
        <v>2041</v>
      </c>
      <c r="B7400" s="0" t="s">
        <v>2042</v>
      </c>
      <c r="C7400" s="0" t="s">
        <v>2349</v>
      </c>
      <c r="D7400" s="0" t="s">
        <v>2105</v>
      </c>
      <c r="E7400" s="0" t="s">
        <v>2045</v>
      </c>
      <c r="F7400" s="0" t="s">
        <v>2099</v>
      </c>
      <c r="G7400" s="0" t="s">
        <v>2232</v>
      </c>
      <c r="H7400" s="0" t="s">
        <v>2235</v>
      </c>
      <c r="I7400" s="0" t="s">
        <v>2322</v>
      </c>
      <c r="J7400" s="0" t="s">
        <v>2369</v>
      </c>
      <c r="K7400" s="272" t="n">
        <v>11924.9948957074</v>
      </c>
    </row>
    <row r="7401" customFormat="false" ht="15" hidden="false" customHeight="false" outlineLevel="0" collapsed="false">
      <c r="A7401" s="0" t="s">
        <v>2041</v>
      </c>
      <c r="B7401" s="0" t="s">
        <v>2042</v>
      </c>
      <c r="C7401" s="0" t="s">
        <v>2349</v>
      </c>
      <c r="D7401" s="0" t="s">
        <v>2105</v>
      </c>
      <c r="E7401" s="0" t="s">
        <v>2045</v>
      </c>
      <c r="F7401" s="0" t="s">
        <v>2099</v>
      </c>
      <c r="G7401" s="0" t="s">
        <v>2236</v>
      </c>
      <c r="H7401" s="0" t="s">
        <v>2233</v>
      </c>
      <c r="I7401" s="0" t="s">
        <v>2322</v>
      </c>
      <c r="J7401" s="0" t="s">
        <v>2369</v>
      </c>
      <c r="K7401" s="272" t="n">
        <v>25594.5892476017</v>
      </c>
    </row>
    <row r="7402" customFormat="false" ht="15" hidden="false" customHeight="false" outlineLevel="0" collapsed="false">
      <c r="A7402" s="0" t="s">
        <v>2041</v>
      </c>
      <c r="B7402" s="0" t="s">
        <v>2042</v>
      </c>
      <c r="C7402" s="0" t="s">
        <v>2349</v>
      </c>
      <c r="D7402" s="0" t="s">
        <v>2105</v>
      </c>
      <c r="E7402" s="0" t="s">
        <v>2045</v>
      </c>
      <c r="F7402" s="0" t="s">
        <v>2099</v>
      </c>
      <c r="G7402" s="0" t="s">
        <v>2236</v>
      </c>
      <c r="H7402" s="0" t="s">
        <v>2237</v>
      </c>
      <c r="I7402" s="0" t="s">
        <v>2322</v>
      </c>
      <c r="J7402" s="0" t="s">
        <v>2369</v>
      </c>
      <c r="K7402" s="272" t="n">
        <v>2119.65401289691</v>
      </c>
    </row>
    <row r="7403" customFormat="false" ht="15" hidden="false" customHeight="false" outlineLevel="0" collapsed="false">
      <c r="A7403" s="0" t="s">
        <v>2041</v>
      </c>
      <c r="B7403" s="0" t="s">
        <v>2042</v>
      </c>
      <c r="C7403" s="0" t="s">
        <v>2349</v>
      </c>
      <c r="D7403" s="0" t="s">
        <v>2105</v>
      </c>
      <c r="E7403" s="0" t="s">
        <v>2045</v>
      </c>
      <c r="F7403" s="0" t="s">
        <v>2099</v>
      </c>
      <c r="G7403" s="0" t="s">
        <v>2238</v>
      </c>
      <c r="H7403" s="0" t="s">
        <v>2239</v>
      </c>
      <c r="I7403" s="0" t="s">
        <v>2201</v>
      </c>
      <c r="J7403" s="0" t="s">
        <v>2369</v>
      </c>
      <c r="K7403" s="272" t="n">
        <v>605.615438079485</v>
      </c>
    </row>
    <row r="7404" customFormat="false" ht="15" hidden="false" customHeight="false" outlineLevel="0" collapsed="false">
      <c r="A7404" s="0" t="s">
        <v>2041</v>
      </c>
      <c r="B7404" s="0" t="s">
        <v>2042</v>
      </c>
      <c r="C7404" s="0" t="s">
        <v>2349</v>
      </c>
      <c r="D7404" s="0" t="s">
        <v>2105</v>
      </c>
      <c r="E7404" s="0" t="s">
        <v>2045</v>
      </c>
      <c r="F7404" s="0" t="s">
        <v>2099</v>
      </c>
      <c r="G7404" s="0" t="s">
        <v>2238</v>
      </c>
      <c r="H7404" s="0" t="s">
        <v>2239</v>
      </c>
      <c r="I7404" s="0" t="s">
        <v>2322</v>
      </c>
      <c r="J7404" s="0" t="s">
        <v>2369</v>
      </c>
      <c r="K7404" s="272" t="n">
        <v>75989.3056436539</v>
      </c>
    </row>
    <row r="7405" customFormat="false" ht="15" hidden="false" customHeight="false" outlineLevel="0" collapsed="false">
      <c r="A7405" s="0" t="s">
        <v>2041</v>
      </c>
      <c r="B7405" s="0" t="s">
        <v>2042</v>
      </c>
      <c r="C7405" s="0" t="s">
        <v>2349</v>
      </c>
      <c r="D7405" s="0" t="s">
        <v>2105</v>
      </c>
      <c r="E7405" s="0" t="s">
        <v>2045</v>
      </c>
      <c r="F7405" s="0" t="s">
        <v>2099</v>
      </c>
      <c r="G7405" s="0" t="s">
        <v>2240</v>
      </c>
      <c r="H7405" s="0" t="s">
        <v>2100</v>
      </c>
      <c r="I7405" s="0" t="s">
        <v>2322</v>
      </c>
      <c r="J7405" s="0" t="s">
        <v>2369</v>
      </c>
      <c r="K7405" s="272" t="n">
        <v>44865.5918107222</v>
      </c>
    </row>
    <row r="7406" customFormat="false" ht="15" hidden="false" customHeight="false" outlineLevel="0" collapsed="false">
      <c r="A7406" s="0" t="s">
        <v>2041</v>
      </c>
      <c r="B7406" s="0" t="s">
        <v>2042</v>
      </c>
      <c r="C7406" s="0" t="s">
        <v>2349</v>
      </c>
      <c r="D7406" s="0" t="s">
        <v>2105</v>
      </c>
      <c r="E7406" s="0" t="s">
        <v>2045</v>
      </c>
      <c r="F7406" s="0" t="s">
        <v>2099</v>
      </c>
      <c r="G7406" s="0" t="s">
        <v>2240</v>
      </c>
      <c r="H7406" s="0" t="s">
        <v>2235</v>
      </c>
      <c r="I7406" s="0" t="s">
        <v>2322</v>
      </c>
      <c r="J7406" s="0" t="s">
        <v>2369</v>
      </c>
      <c r="K7406" s="272" t="n">
        <v>1958.56030791675</v>
      </c>
    </row>
    <row r="7407" customFormat="false" ht="15" hidden="false" customHeight="false" outlineLevel="0" collapsed="false">
      <c r="A7407" s="0" t="s">
        <v>2041</v>
      </c>
      <c r="B7407" s="0" t="s">
        <v>2042</v>
      </c>
      <c r="C7407" s="0" t="s">
        <v>2349</v>
      </c>
      <c r="D7407" s="0" t="s">
        <v>2105</v>
      </c>
      <c r="E7407" s="0" t="s">
        <v>2045</v>
      </c>
      <c r="F7407" s="0" t="s">
        <v>2099</v>
      </c>
      <c r="G7407" s="0" t="s">
        <v>2241</v>
      </c>
      <c r="H7407" s="0" t="s">
        <v>2242</v>
      </c>
      <c r="I7407" s="0" t="s">
        <v>2322</v>
      </c>
      <c r="J7407" s="0" t="s">
        <v>2369</v>
      </c>
      <c r="K7407" s="272" t="n">
        <v>15843.2933054457</v>
      </c>
    </row>
    <row r="7408" customFormat="false" ht="15" hidden="false" customHeight="false" outlineLevel="0" collapsed="false">
      <c r="A7408" s="0" t="s">
        <v>2041</v>
      </c>
      <c r="B7408" s="0" t="s">
        <v>2042</v>
      </c>
      <c r="C7408" s="0" t="s">
        <v>2349</v>
      </c>
      <c r="D7408" s="0" t="s">
        <v>2105</v>
      </c>
      <c r="E7408" s="0" t="s">
        <v>2045</v>
      </c>
      <c r="F7408" s="0" t="s">
        <v>2099</v>
      </c>
      <c r="G7408" s="0" t="s">
        <v>2243</v>
      </c>
      <c r="H7408" s="0" t="s">
        <v>2244</v>
      </c>
      <c r="I7408" s="0" t="s">
        <v>2197</v>
      </c>
      <c r="J7408" s="0" t="s">
        <v>2369</v>
      </c>
      <c r="K7408" s="272" t="n">
        <v>1726.24838851983</v>
      </c>
    </row>
    <row r="7409" customFormat="false" ht="15" hidden="false" customHeight="false" outlineLevel="0" collapsed="false">
      <c r="A7409" s="0" t="s">
        <v>2041</v>
      </c>
      <c r="B7409" s="0" t="s">
        <v>2042</v>
      </c>
      <c r="C7409" s="0" t="s">
        <v>2349</v>
      </c>
      <c r="D7409" s="0" t="s">
        <v>2105</v>
      </c>
      <c r="E7409" s="0" t="s">
        <v>2045</v>
      </c>
      <c r="F7409" s="0" t="s">
        <v>2099</v>
      </c>
      <c r="G7409" s="0" t="s">
        <v>2243</v>
      </c>
      <c r="H7409" s="0" t="s">
        <v>2244</v>
      </c>
      <c r="I7409" s="0" t="s">
        <v>2201</v>
      </c>
      <c r="J7409" s="0" t="s">
        <v>2369</v>
      </c>
      <c r="K7409" s="272" t="n">
        <v>2203.14473871029</v>
      </c>
    </row>
    <row r="7410" customFormat="false" ht="15" hidden="false" customHeight="false" outlineLevel="0" collapsed="false">
      <c r="A7410" s="0" t="s">
        <v>2041</v>
      </c>
      <c r="B7410" s="0" t="s">
        <v>2042</v>
      </c>
      <c r="C7410" s="0" t="s">
        <v>2349</v>
      </c>
      <c r="D7410" s="0" t="s">
        <v>2105</v>
      </c>
      <c r="E7410" s="0" t="s">
        <v>2045</v>
      </c>
      <c r="F7410" s="0" t="s">
        <v>2099</v>
      </c>
      <c r="G7410" s="0" t="s">
        <v>2243</v>
      </c>
      <c r="H7410" s="0" t="s">
        <v>2244</v>
      </c>
      <c r="I7410" s="0" t="s">
        <v>2322</v>
      </c>
      <c r="J7410" s="0" t="s">
        <v>2369</v>
      </c>
      <c r="K7410" s="272" t="n">
        <v>16604.9514352804</v>
      </c>
    </row>
    <row r="7411" customFormat="false" ht="15" hidden="false" customHeight="false" outlineLevel="0" collapsed="false">
      <c r="A7411" s="0" t="s">
        <v>2041</v>
      </c>
      <c r="B7411" s="0" t="s">
        <v>2042</v>
      </c>
      <c r="C7411" s="0" t="s">
        <v>2349</v>
      </c>
      <c r="D7411" s="0" t="s">
        <v>2105</v>
      </c>
      <c r="E7411" s="0" t="s">
        <v>2045</v>
      </c>
      <c r="F7411" s="0" t="s">
        <v>2099</v>
      </c>
      <c r="G7411" s="0" t="s">
        <v>2243</v>
      </c>
      <c r="H7411" s="0" t="s">
        <v>2245</v>
      </c>
      <c r="I7411" s="0" t="s">
        <v>2246</v>
      </c>
      <c r="J7411" s="0" t="s">
        <v>2369</v>
      </c>
      <c r="K7411" s="272" t="n">
        <v>15035.5035963505</v>
      </c>
    </row>
    <row r="7412" customFormat="false" ht="15" hidden="false" customHeight="false" outlineLevel="0" collapsed="false">
      <c r="A7412" s="0" t="s">
        <v>2041</v>
      </c>
      <c r="B7412" s="0" t="s">
        <v>2042</v>
      </c>
      <c r="C7412" s="0" t="s">
        <v>2349</v>
      </c>
      <c r="D7412" s="0" t="s">
        <v>2105</v>
      </c>
      <c r="E7412" s="0" t="s">
        <v>2045</v>
      </c>
      <c r="F7412" s="0" t="s">
        <v>2099</v>
      </c>
      <c r="G7412" s="0" t="s">
        <v>2243</v>
      </c>
      <c r="H7412" s="0" t="s">
        <v>2245</v>
      </c>
      <c r="I7412" s="0" t="s">
        <v>2322</v>
      </c>
      <c r="J7412" s="0" t="s">
        <v>2369</v>
      </c>
      <c r="K7412" s="272" t="n">
        <v>114.212501925381</v>
      </c>
    </row>
    <row r="7413" customFormat="false" ht="15" hidden="false" customHeight="false" outlineLevel="0" collapsed="false">
      <c r="A7413" s="0" t="s">
        <v>2041</v>
      </c>
      <c r="B7413" s="0" t="s">
        <v>2042</v>
      </c>
      <c r="C7413" s="0" t="s">
        <v>2349</v>
      </c>
      <c r="D7413" s="0" t="s">
        <v>2105</v>
      </c>
      <c r="E7413" s="0" t="s">
        <v>2045</v>
      </c>
      <c r="F7413" s="0" t="s">
        <v>2099</v>
      </c>
      <c r="G7413" s="0" t="s">
        <v>2243</v>
      </c>
      <c r="H7413" s="0" t="s">
        <v>2247</v>
      </c>
      <c r="I7413" s="0" t="s">
        <v>2197</v>
      </c>
      <c r="J7413" s="0" t="s">
        <v>2369</v>
      </c>
      <c r="K7413" s="272" t="n">
        <v>73.6104477831861</v>
      </c>
    </row>
    <row r="7414" customFormat="false" ht="15" hidden="false" customHeight="false" outlineLevel="0" collapsed="false">
      <c r="A7414" s="0" t="s">
        <v>2041</v>
      </c>
      <c r="B7414" s="0" t="s">
        <v>2042</v>
      </c>
      <c r="C7414" s="0" t="s">
        <v>2349</v>
      </c>
      <c r="D7414" s="0" t="s">
        <v>2105</v>
      </c>
      <c r="E7414" s="0" t="s">
        <v>2045</v>
      </c>
      <c r="F7414" s="0" t="s">
        <v>2099</v>
      </c>
      <c r="G7414" s="0" t="s">
        <v>2243</v>
      </c>
      <c r="H7414" s="0" t="s">
        <v>2247</v>
      </c>
      <c r="I7414" s="0" t="s">
        <v>2201</v>
      </c>
      <c r="J7414" s="0" t="s">
        <v>2369</v>
      </c>
      <c r="K7414" s="272" t="n">
        <v>25210.7079216683</v>
      </c>
    </row>
    <row r="7415" customFormat="false" ht="15" hidden="false" customHeight="false" outlineLevel="0" collapsed="false">
      <c r="A7415" s="0" t="s">
        <v>2041</v>
      </c>
      <c r="B7415" s="0" t="s">
        <v>2042</v>
      </c>
      <c r="C7415" s="0" t="s">
        <v>2349</v>
      </c>
      <c r="D7415" s="0" t="s">
        <v>2105</v>
      </c>
      <c r="E7415" s="0" t="s">
        <v>2045</v>
      </c>
      <c r="F7415" s="0" t="s">
        <v>2099</v>
      </c>
      <c r="G7415" s="0" t="s">
        <v>2243</v>
      </c>
      <c r="H7415" s="0" t="s">
        <v>2247</v>
      </c>
      <c r="I7415" s="0" t="s">
        <v>2322</v>
      </c>
      <c r="J7415" s="0" t="s">
        <v>2369</v>
      </c>
      <c r="K7415" s="272" t="n">
        <v>2886.37868649846</v>
      </c>
    </row>
    <row r="7416" customFormat="false" ht="15" hidden="false" customHeight="false" outlineLevel="0" collapsed="false">
      <c r="A7416" s="0" t="s">
        <v>2041</v>
      </c>
      <c r="B7416" s="0" t="s">
        <v>2042</v>
      </c>
      <c r="C7416" s="0" t="s">
        <v>2349</v>
      </c>
      <c r="D7416" s="0" t="s">
        <v>2105</v>
      </c>
      <c r="E7416" s="0" t="s">
        <v>2045</v>
      </c>
      <c r="F7416" s="0" t="s">
        <v>2099</v>
      </c>
      <c r="G7416" s="0" t="s">
        <v>2248</v>
      </c>
      <c r="H7416" s="0" t="s">
        <v>2244</v>
      </c>
      <c r="I7416" s="0" t="s">
        <v>2246</v>
      </c>
      <c r="J7416" s="0" t="s">
        <v>2369</v>
      </c>
      <c r="K7416" s="272" t="n">
        <v>1433.67808883017</v>
      </c>
    </row>
    <row r="7417" customFormat="false" ht="15" hidden="false" customHeight="false" outlineLevel="0" collapsed="false">
      <c r="A7417" s="0" t="s">
        <v>2041</v>
      </c>
      <c r="B7417" s="0" t="s">
        <v>2042</v>
      </c>
      <c r="C7417" s="0" t="s">
        <v>2349</v>
      </c>
      <c r="D7417" s="0" t="s">
        <v>2105</v>
      </c>
      <c r="E7417" s="0" t="s">
        <v>2045</v>
      </c>
      <c r="F7417" s="0" t="s">
        <v>2099</v>
      </c>
      <c r="G7417" s="0" t="s">
        <v>2248</v>
      </c>
      <c r="H7417" s="0" t="s">
        <v>2245</v>
      </c>
      <c r="I7417" s="0" t="s">
        <v>2246</v>
      </c>
      <c r="J7417" s="0" t="s">
        <v>2369</v>
      </c>
      <c r="K7417" s="272" t="n">
        <v>663.84771447395</v>
      </c>
    </row>
    <row r="7418" customFormat="false" ht="15" hidden="false" customHeight="false" outlineLevel="0" collapsed="false">
      <c r="A7418" s="0" t="s">
        <v>2041</v>
      </c>
      <c r="B7418" s="0" t="s">
        <v>2042</v>
      </c>
      <c r="C7418" s="0" t="s">
        <v>2349</v>
      </c>
      <c r="D7418" s="0" t="s">
        <v>2105</v>
      </c>
      <c r="E7418" s="0" t="s">
        <v>2045</v>
      </c>
      <c r="F7418" s="0" t="s">
        <v>2099</v>
      </c>
      <c r="G7418" s="0" t="s">
        <v>2249</v>
      </c>
      <c r="H7418" s="0" t="s">
        <v>2245</v>
      </c>
      <c r="I7418" s="0" t="s">
        <v>2246</v>
      </c>
      <c r="J7418" s="0" t="s">
        <v>2369</v>
      </c>
      <c r="K7418" s="272" t="n">
        <v>7361.91554849214</v>
      </c>
    </row>
    <row r="7419" customFormat="false" ht="15" hidden="false" customHeight="false" outlineLevel="0" collapsed="false">
      <c r="A7419" s="0" t="s">
        <v>2041</v>
      </c>
      <c r="B7419" s="0" t="s">
        <v>2042</v>
      </c>
      <c r="C7419" s="0" t="s">
        <v>2349</v>
      </c>
      <c r="D7419" s="0" t="s">
        <v>2105</v>
      </c>
      <c r="E7419" s="0" t="s">
        <v>2045</v>
      </c>
      <c r="F7419" s="0" t="s">
        <v>2250</v>
      </c>
      <c r="G7419" s="0" t="s">
        <v>2251</v>
      </c>
      <c r="H7419" s="0" t="s">
        <v>2252</v>
      </c>
      <c r="I7419" s="0" t="s">
        <v>2322</v>
      </c>
      <c r="J7419" s="0" t="s">
        <v>2369</v>
      </c>
      <c r="K7419" s="272" t="n">
        <v>24210.7631588318</v>
      </c>
    </row>
    <row r="7420" customFormat="false" ht="15" hidden="false" customHeight="false" outlineLevel="0" collapsed="false">
      <c r="A7420" s="0" t="s">
        <v>2041</v>
      </c>
      <c r="B7420" s="0" t="s">
        <v>2042</v>
      </c>
      <c r="C7420" s="0" t="s">
        <v>2349</v>
      </c>
      <c r="D7420" s="0" t="s">
        <v>2105</v>
      </c>
      <c r="E7420" s="0" t="s">
        <v>2045</v>
      </c>
      <c r="F7420" s="0" t="s">
        <v>2250</v>
      </c>
      <c r="G7420" s="0" t="s">
        <v>2251</v>
      </c>
      <c r="H7420" s="0" t="s">
        <v>2253</v>
      </c>
      <c r="I7420" s="0" t="s">
        <v>2254</v>
      </c>
      <c r="J7420" s="0" t="s">
        <v>2369</v>
      </c>
      <c r="K7420" s="272" t="n">
        <v>3478.4065716792</v>
      </c>
    </row>
    <row r="7421" customFormat="false" ht="15" hidden="false" customHeight="false" outlineLevel="0" collapsed="false">
      <c r="A7421" s="0" t="s">
        <v>2041</v>
      </c>
      <c r="B7421" s="0" t="s">
        <v>2042</v>
      </c>
      <c r="C7421" s="0" t="s">
        <v>2349</v>
      </c>
      <c r="D7421" s="0" t="s">
        <v>2105</v>
      </c>
      <c r="E7421" s="0" t="s">
        <v>2045</v>
      </c>
      <c r="F7421" s="0" t="s">
        <v>2250</v>
      </c>
      <c r="G7421" s="0" t="s">
        <v>2251</v>
      </c>
      <c r="H7421" s="0" t="s">
        <v>2253</v>
      </c>
      <c r="I7421" s="0" t="s">
        <v>2322</v>
      </c>
      <c r="J7421" s="0" t="s">
        <v>2369</v>
      </c>
      <c r="K7421" s="272" t="n">
        <v>50052.5669609938</v>
      </c>
    </row>
    <row r="7422" customFormat="false" ht="15" hidden="false" customHeight="false" outlineLevel="0" collapsed="false">
      <c r="A7422" s="0" t="s">
        <v>2041</v>
      </c>
      <c r="B7422" s="0" t="s">
        <v>2042</v>
      </c>
      <c r="C7422" s="0" t="s">
        <v>2349</v>
      </c>
      <c r="D7422" s="0" t="s">
        <v>2105</v>
      </c>
      <c r="E7422" s="0" t="s">
        <v>2045</v>
      </c>
      <c r="F7422" s="0" t="s">
        <v>2250</v>
      </c>
      <c r="G7422" s="0" t="s">
        <v>2251</v>
      </c>
      <c r="H7422" s="0" t="s">
        <v>2255</v>
      </c>
      <c r="I7422" s="0" t="s">
        <v>2322</v>
      </c>
      <c r="J7422" s="0" t="s">
        <v>2369</v>
      </c>
      <c r="K7422" s="272" t="n">
        <v>11882.0787092967</v>
      </c>
    </row>
    <row r="7423" customFormat="false" ht="15" hidden="false" customHeight="false" outlineLevel="0" collapsed="false">
      <c r="A7423" s="0" t="s">
        <v>2041</v>
      </c>
      <c r="B7423" s="0" t="s">
        <v>2042</v>
      </c>
      <c r="C7423" s="0" t="s">
        <v>2349</v>
      </c>
      <c r="D7423" s="0" t="s">
        <v>2105</v>
      </c>
      <c r="E7423" s="0" t="s">
        <v>2045</v>
      </c>
      <c r="F7423" s="0" t="s">
        <v>2256</v>
      </c>
      <c r="G7423" s="0" t="s">
        <v>2257</v>
      </c>
      <c r="H7423" s="0" t="s">
        <v>2179</v>
      </c>
      <c r="I7423" s="0" t="s">
        <v>2322</v>
      </c>
      <c r="J7423" s="0" t="s">
        <v>2369</v>
      </c>
      <c r="K7423" s="272" t="n">
        <v>8811.23868130377</v>
      </c>
    </row>
    <row r="7424" customFormat="false" ht="15" hidden="false" customHeight="false" outlineLevel="0" collapsed="false">
      <c r="A7424" s="0" t="s">
        <v>2041</v>
      </c>
      <c r="B7424" s="0" t="s">
        <v>2042</v>
      </c>
      <c r="C7424" s="0" t="s">
        <v>2349</v>
      </c>
      <c r="D7424" s="0" t="s">
        <v>2105</v>
      </c>
      <c r="E7424" s="0" t="s">
        <v>2045</v>
      </c>
      <c r="F7424" s="0" t="s">
        <v>2256</v>
      </c>
      <c r="G7424" s="0" t="s">
        <v>2257</v>
      </c>
      <c r="H7424" s="0" t="s">
        <v>2258</v>
      </c>
      <c r="I7424" s="0" t="s">
        <v>2322</v>
      </c>
      <c r="J7424" s="0" t="s">
        <v>2369</v>
      </c>
      <c r="K7424" s="272" t="n">
        <v>6564.13366353105</v>
      </c>
    </row>
    <row r="7425" customFormat="false" ht="15" hidden="false" customHeight="false" outlineLevel="0" collapsed="false">
      <c r="A7425" s="0" t="s">
        <v>2041</v>
      </c>
      <c r="B7425" s="0" t="s">
        <v>2042</v>
      </c>
      <c r="C7425" s="0" t="s">
        <v>2349</v>
      </c>
      <c r="D7425" s="0" t="s">
        <v>2105</v>
      </c>
      <c r="E7425" s="0" t="s">
        <v>2045</v>
      </c>
      <c r="F7425" s="0" t="s">
        <v>2256</v>
      </c>
      <c r="G7425" s="0" t="s">
        <v>2259</v>
      </c>
      <c r="H7425" s="0" t="s">
        <v>2258</v>
      </c>
      <c r="I7425" s="0" t="s">
        <v>2322</v>
      </c>
      <c r="J7425" s="0" t="s">
        <v>2369</v>
      </c>
      <c r="K7425" s="272" t="n">
        <v>117945.352416969</v>
      </c>
    </row>
    <row r="7426" customFormat="false" ht="15" hidden="false" customHeight="false" outlineLevel="0" collapsed="false">
      <c r="A7426" s="0" t="s">
        <v>2041</v>
      </c>
      <c r="B7426" s="0" t="s">
        <v>2042</v>
      </c>
      <c r="C7426" s="0" t="s">
        <v>2349</v>
      </c>
      <c r="D7426" s="0" t="s">
        <v>2105</v>
      </c>
      <c r="E7426" s="0" t="s">
        <v>2045</v>
      </c>
      <c r="F7426" s="0" t="s">
        <v>2256</v>
      </c>
      <c r="G7426" s="0" t="s">
        <v>2260</v>
      </c>
      <c r="H7426" s="0" t="s">
        <v>2261</v>
      </c>
      <c r="I7426" s="0" t="s">
        <v>2322</v>
      </c>
      <c r="J7426" s="0" t="s">
        <v>2369</v>
      </c>
      <c r="K7426" s="272" t="n">
        <v>37570.5567677597</v>
      </c>
    </row>
    <row r="7427" customFormat="false" ht="15" hidden="false" customHeight="false" outlineLevel="0" collapsed="false">
      <c r="A7427" s="0" t="s">
        <v>2041</v>
      </c>
      <c r="B7427" s="0" t="s">
        <v>2042</v>
      </c>
      <c r="C7427" s="0" t="s">
        <v>2349</v>
      </c>
      <c r="D7427" s="0" t="s">
        <v>2105</v>
      </c>
      <c r="E7427" s="0" t="s">
        <v>2045</v>
      </c>
      <c r="F7427" s="0" t="s">
        <v>2256</v>
      </c>
      <c r="G7427" s="0" t="s">
        <v>2262</v>
      </c>
      <c r="H7427" s="0" t="s">
        <v>2263</v>
      </c>
      <c r="I7427" s="0" t="s">
        <v>2322</v>
      </c>
      <c r="J7427" s="0" t="s">
        <v>2369</v>
      </c>
      <c r="K7427" s="272" t="n">
        <v>1602.84276370892</v>
      </c>
    </row>
    <row r="7428" customFormat="false" ht="15" hidden="false" customHeight="false" outlineLevel="0" collapsed="false">
      <c r="A7428" s="0" t="s">
        <v>2041</v>
      </c>
      <c r="B7428" s="0" t="s">
        <v>2042</v>
      </c>
      <c r="C7428" s="0" t="s">
        <v>2349</v>
      </c>
      <c r="D7428" s="0" t="s">
        <v>2105</v>
      </c>
      <c r="E7428" s="0" t="s">
        <v>2045</v>
      </c>
      <c r="F7428" s="0" t="s">
        <v>2256</v>
      </c>
      <c r="G7428" s="0" t="s">
        <v>2262</v>
      </c>
      <c r="H7428" s="0" t="s">
        <v>2264</v>
      </c>
      <c r="I7428" s="0" t="s">
        <v>2322</v>
      </c>
      <c r="J7428" s="0" t="s">
        <v>2369</v>
      </c>
      <c r="K7428" s="272" t="n">
        <v>30545.4372846848</v>
      </c>
    </row>
    <row r="7429" customFormat="false" ht="15" hidden="false" customHeight="false" outlineLevel="0" collapsed="false">
      <c r="A7429" s="0" t="s">
        <v>2041</v>
      </c>
      <c r="B7429" s="0" t="s">
        <v>2042</v>
      </c>
      <c r="C7429" s="0" t="s">
        <v>2349</v>
      </c>
      <c r="D7429" s="0" t="s">
        <v>2105</v>
      </c>
      <c r="E7429" s="0" t="s">
        <v>2045</v>
      </c>
      <c r="F7429" s="0" t="s">
        <v>2256</v>
      </c>
      <c r="G7429" s="0" t="s">
        <v>2262</v>
      </c>
      <c r="H7429" s="0" t="s">
        <v>2265</v>
      </c>
      <c r="I7429" s="0" t="s">
        <v>2322</v>
      </c>
      <c r="J7429" s="0" t="s">
        <v>2369</v>
      </c>
      <c r="K7429" s="272" t="n">
        <v>4303.36350129393</v>
      </c>
    </row>
    <row r="7430" customFormat="false" ht="15" hidden="false" customHeight="false" outlineLevel="0" collapsed="false">
      <c r="A7430" s="0" t="s">
        <v>2041</v>
      </c>
      <c r="B7430" s="0" t="s">
        <v>2042</v>
      </c>
      <c r="C7430" s="0" t="s">
        <v>2349</v>
      </c>
      <c r="D7430" s="0" t="s">
        <v>2105</v>
      </c>
      <c r="E7430" s="0" t="s">
        <v>2045</v>
      </c>
      <c r="F7430" s="0" t="s">
        <v>2256</v>
      </c>
      <c r="G7430" s="0" t="s">
        <v>2266</v>
      </c>
      <c r="H7430" s="0" t="s">
        <v>2267</v>
      </c>
      <c r="I7430" s="0" t="s">
        <v>2322</v>
      </c>
      <c r="J7430" s="0" t="s">
        <v>2369</v>
      </c>
      <c r="K7430" s="272" t="n">
        <v>78611.8145126605</v>
      </c>
    </row>
    <row r="7431" customFormat="false" ht="15" hidden="false" customHeight="false" outlineLevel="0" collapsed="false">
      <c r="A7431" s="0" t="s">
        <v>2041</v>
      </c>
      <c r="B7431" s="0" t="s">
        <v>2042</v>
      </c>
      <c r="C7431" s="0" t="s">
        <v>2349</v>
      </c>
      <c r="D7431" s="0" t="s">
        <v>2105</v>
      </c>
      <c r="E7431" s="0" t="s">
        <v>2045</v>
      </c>
      <c r="F7431" s="0" t="s">
        <v>2268</v>
      </c>
      <c r="G7431" s="0" t="s">
        <v>2269</v>
      </c>
      <c r="H7431" s="0" t="s">
        <v>2270</v>
      </c>
      <c r="I7431" s="0" t="s">
        <v>2322</v>
      </c>
      <c r="J7431" s="0" t="s">
        <v>2369</v>
      </c>
      <c r="K7431" s="272" t="n">
        <v>32822.766000639</v>
      </c>
    </row>
    <row r="7432" customFormat="false" ht="15" hidden="false" customHeight="false" outlineLevel="0" collapsed="false">
      <c r="A7432" s="0" t="s">
        <v>2041</v>
      </c>
      <c r="B7432" s="0" t="s">
        <v>2042</v>
      </c>
      <c r="C7432" s="0" t="s">
        <v>2349</v>
      </c>
      <c r="D7432" s="0" t="s">
        <v>2105</v>
      </c>
      <c r="E7432" s="0" t="s">
        <v>2045</v>
      </c>
      <c r="F7432" s="0" t="s">
        <v>2150</v>
      </c>
      <c r="G7432" s="0" t="s">
        <v>2151</v>
      </c>
      <c r="H7432" s="0" t="s">
        <v>2271</v>
      </c>
      <c r="I7432" s="0" t="s">
        <v>2272</v>
      </c>
      <c r="J7432" s="0" t="s">
        <v>2369</v>
      </c>
      <c r="K7432" s="272" t="n">
        <v>695.00194076716</v>
      </c>
    </row>
    <row r="7433" customFormat="false" ht="15" hidden="false" customHeight="false" outlineLevel="0" collapsed="false">
      <c r="A7433" s="0" t="s">
        <v>2041</v>
      </c>
      <c r="B7433" s="0" t="s">
        <v>2042</v>
      </c>
      <c r="C7433" s="0" t="s">
        <v>2349</v>
      </c>
      <c r="D7433" s="0" t="s">
        <v>2105</v>
      </c>
      <c r="E7433" s="0" t="s">
        <v>2045</v>
      </c>
      <c r="F7433" s="0" t="s">
        <v>2150</v>
      </c>
      <c r="G7433" s="0" t="s">
        <v>2151</v>
      </c>
      <c r="H7433" s="0" t="s">
        <v>2152</v>
      </c>
      <c r="I7433" s="0" t="s">
        <v>2322</v>
      </c>
      <c r="J7433" s="0" t="s">
        <v>2369</v>
      </c>
      <c r="K7433" s="272" t="n">
        <v>63340.0180421014</v>
      </c>
    </row>
    <row r="7434" customFormat="false" ht="15" hidden="false" customHeight="false" outlineLevel="0" collapsed="false">
      <c r="A7434" s="0" t="s">
        <v>2041</v>
      </c>
      <c r="B7434" s="0" t="s">
        <v>2042</v>
      </c>
      <c r="C7434" s="0" t="s">
        <v>2349</v>
      </c>
      <c r="D7434" s="0" t="s">
        <v>2105</v>
      </c>
      <c r="E7434" s="0" t="s">
        <v>2045</v>
      </c>
      <c r="F7434" s="0" t="s">
        <v>2150</v>
      </c>
      <c r="G7434" s="0" t="s">
        <v>2151</v>
      </c>
      <c r="H7434" s="0" t="s">
        <v>2273</v>
      </c>
      <c r="I7434" s="0" t="s">
        <v>2272</v>
      </c>
      <c r="J7434" s="0" t="s">
        <v>2369</v>
      </c>
      <c r="K7434" s="272" t="n">
        <v>628.811260330965</v>
      </c>
    </row>
    <row r="7435" customFormat="false" ht="15" hidden="false" customHeight="false" outlineLevel="0" collapsed="false">
      <c r="A7435" s="0" t="s">
        <v>2041</v>
      </c>
      <c r="B7435" s="0" t="s">
        <v>2042</v>
      </c>
      <c r="C7435" s="0" t="s">
        <v>2349</v>
      </c>
      <c r="D7435" s="0" t="s">
        <v>2105</v>
      </c>
      <c r="E7435" s="0" t="s">
        <v>2045</v>
      </c>
      <c r="F7435" s="0" t="s">
        <v>2150</v>
      </c>
      <c r="G7435" s="0" t="s">
        <v>2151</v>
      </c>
      <c r="H7435" s="0" t="s">
        <v>2153</v>
      </c>
      <c r="I7435" s="0" t="s">
        <v>2322</v>
      </c>
      <c r="J7435" s="0" t="s">
        <v>2369</v>
      </c>
      <c r="K7435" s="272" t="n">
        <v>22209.4598035508</v>
      </c>
    </row>
    <row r="7436" customFormat="false" ht="15" hidden="false" customHeight="false" outlineLevel="0" collapsed="false">
      <c r="A7436" s="0" t="s">
        <v>2041</v>
      </c>
      <c r="B7436" s="0" t="s">
        <v>2042</v>
      </c>
      <c r="C7436" s="0" t="s">
        <v>2349</v>
      </c>
      <c r="D7436" s="0" t="s">
        <v>2105</v>
      </c>
      <c r="E7436" s="0" t="s">
        <v>2045</v>
      </c>
      <c r="F7436" s="0" t="s">
        <v>2150</v>
      </c>
      <c r="G7436" s="0" t="s">
        <v>2151</v>
      </c>
      <c r="H7436" s="0" t="s">
        <v>2154</v>
      </c>
      <c r="I7436" s="0" t="s">
        <v>2322</v>
      </c>
      <c r="J7436" s="0" t="s">
        <v>2369</v>
      </c>
      <c r="K7436" s="272" t="n">
        <v>3974.35127418171</v>
      </c>
    </row>
    <row r="7437" customFormat="false" ht="15" hidden="false" customHeight="false" outlineLevel="0" collapsed="false">
      <c r="A7437" s="0" t="s">
        <v>2041</v>
      </c>
      <c r="B7437" s="0" t="s">
        <v>2042</v>
      </c>
      <c r="C7437" s="0" t="s">
        <v>2349</v>
      </c>
      <c r="D7437" s="0" t="s">
        <v>2105</v>
      </c>
      <c r="E7437" s="0" t="s">
        <v>2045</v>
      </c>
      <c r="F7437" s="0" t="s">
        <v>2150</v>
      </c>
      <c r="G7437" s="0" t="s">
        <v>2155</v>
      </c>
      <c r="H7437" s="0" t="s">
        <v>2154</v>
      </c>
      <c r="I7437" s="0" t="s">
        <v>2322</v>
      </c>
      <c r="J7437" s="0" t="s">
        <v>2369</v>
      </c>
      <c r="K7437" s="272" t="n">
        <v>28226.9445209368</v>
      </c>
    </row>
    <row r="7438" customFormat="false" ht="15" hidden="false" customHeight="false" outlineLevel="0" collapsed="false">
      <c r="A7438" s="0" t="s">
        <v>2041</v>
      </c>
      <c r="B7438" s="0" t="s">
        <v>2042</v>
      </c>
      <c r="C7438" s="0" t="s">
        <v>2349</v>
      </c>
      <c r="D7438" s="0" t="s">
        <v>2105</v>
      </c>
      <c r="E7438" s="0" t="s">
        <v>2045</v>
      </c>
      <c r="F7438" s="0" t="s">
        <v>2150</v>
      </c>
      <c r="G7438" s="0" t="s">
        <v>2332</v>
      </c>
      <c r="H7438" s="0" t="s">
        <v>2152</v>
      </c>
      <c r="I7438" s="0" t="s">
        <v>2322</v>
      </c>
      <c r="J7438" s="0" t="s">
        <v>2369</v>
      </c>
      <c r="K7438" s="272" t="n">
        <v>7882.57696576296</v>
      </c>
    </row>
    <row r="7439" customFormat="false" ht="15" hidden="false" customHeight="false" outlineLevel="0" collapsed="false">
      <c r="A7439" s="0" t="s">
        <v>2041</v>
      </c>
      <c r="B7439" s="0" t="s">
        <v>2042</v>
      </c>
      <c r="C7439" s="0" t="s">
        <v>2349</v>
      </c>
      <c r="D7439" s="0" t="s">
        <v>2105</v>
      </c>
      <c r="E7439" s="0" t="s">
        <v>2274</v>
      </c>
      <c r="F7439" s="0" t="s">
        <v>2275</v>
      </c>
      <c r="G7439" s="0" t="s">
        <v>2276</v>
      </c>
      <c r="H7439" s="0" t="s">
        <v>2277</v>
      </c>
      <c r="I7439" s="0" t="s">
        <v>2322</v>
      </c>
      <c r="J7439" s="0" t="s">
        <v>2369</v>
      </c>
      <c r="K7439" s="272" t="n">
        <v>18395.4173509258</v>
      </c>
    </row>
    <row r="7440" customFormat="false" ht="15" hidden="false" customHeight="false" outlineLevel="0" collapsed="false">
      <c r="A7440" s="0" t="s">
        <v>2041</v>
      </c>
      <c r="B7440" s="0" t="s">
        <v>2042</v>
      </c>
      <c r="C7440" s="0" t="s">
        <v>2349</v>
      </c>
      <c r="D7440" s="0" t="s">
        <v>2044</v>
      </c>
      <c r="E7440" s="0" t="s">
        <v>2045</v>
      </c>
      <c r="F7440" s="0" t="s">
        <v>2046</v>
      </c>
      <c r="G7440" s="0" t="s">
        <v>2047</v>
      </c>
      <c r="H7440" s="0" t="s">
        <v>2048</v>
      </c>
      <c r="I7440" s="0" t="s">
        <v>2322</v>
      </c>
      <c r="J7440" s="0" t="s">
        <v>2369</v>
      </c>
      <c r="K7440" s="272" t="n">
        <v>419.104513442324</v>
      </c>
    </row>
    <row r="7441" customFormat="false" ht="15" hidden="false" customHeight="false" outlineLevel="0" collapsed="false">
      <c r="A7441" s="0" t="s">
        <v>2041</v>
      </c>
      <c r="B7441" s="0" t="s">
        <v>2042</v>
      </c>
      <c r="C7441" s="0" t="s">
        <v>2349</v>
      </c>
      <c r="D7441" s="0" t="s">
        <v>2044</v>
      </c>
      <c r="E7441" s="0" t="s">
        <v>2045</v>
      </c>
      <c r="F7441" s="0" t="s">
        <v>2051</v>
      </c>
      <c r="G7441" s="0" t="s">
        <v>2047</v>
      </c>
      <c r="H7441" s="0" t="s">
        <v>2052</v>
      </c>
      <c r="I7441" s="0" t="s">
        <v>2322</v>
      </c>
      <c r="J7441" s="0" t="s">
        <v>2369</v>
      </c>
      <c r="K7441" s="272" t="n">
        <v>104.776128360581</v>
      </c>
    </row>
    <row r="7442" customFormat="false" ht="15" hidden="false" customHeight="false" outlineLevel="0" collapsed="false">
      <c r="A7442" s="0" t="s">
        <v>2041</v>
      </c>
      <c r="B7442" s="0" t="s">
        <v>2042</v>
      </c>
      <c r="C7442" s="0" t="s">
        <v>2349</v>
      </c>
      <c r="D7442" s="0" t="s">
        <v>2044</v>
      </c>
      <c r="E7442" s="0" t="s">
        <v>2045</v>
      </c>
      <c r="F7442" s="0" t="s">
        <v>2046</v>
      </c>
      <c r="G7442" s="0" t="s">
        <v>2053</v>
      </c>
      <c r="H7442" s="0" t="s">
        <v>2048</v>
      </c>
      <c r="I7442" s="0" t="s">
        <v>2322</v>
      </c>
      <c r="J7442" s="0" t="s">
        <v>2369</v>
      </c>
      <c r="K7442" s="272" t="n">
        <v>1183.43850265537</v>
      </c>
    </row>
    <row r="7443" customFormat="false" ht="15" hidden="false" customHeight="false" outlineLevel="0" collapsed="false">
      <c r="A7443" s="0" t="s">
        <v>2041</v>
      </c>
      <c r="B7443" s="0" t="s">
        <v>2042</v>
      </c>
      <c r="C7443" s="0" t="s">
        <v>2349</v>
      </c>
      <c r="D7443" s="0" t="s">
        <v>2044</v>
      </c>
      <c r="E7443" s="0" t="s">
        <v>2045</v>
      </c>
      <c r="F7443" s="0" t="s">
        <v>2051</v>
      </c>
      <c r="G7443" s="0" t="s">
        <v>2053</v>
      </c>
      <c r="H7443" s="0" t="s">
        <v>2052</v>
      </c>
      <c r="I7443" s="0" t="s">
        <v>2322</v>
      </c>
      <c r="J7443" s="0" t="s">
        <v>2369</v>
      </c>
      <c r="K7443" s="272" t="n">
        <v>31.8930887670132</v>
      </c>
    </row>
    <row r="7444" customFormat="false" ht="15" hidden="false" customHeight="false" outlineLevel="0" collapsed="false">
      <c r="A7444" s="0" t="s">
        <v>2041</v>
      </c>
      <c r="B7444" s="0" t="s">
        <v>2042</v>
      </c>
      <c r="C7444" s="0" t="s">
        <v>2349</v>
      </c>
      <c r="D7444" s="0" t="s">
        <v>2044</v>
      </c>
      <c r="E7444" s="0" t="s">
        <v>2045</v>
      </c>
      <c r="F7444" s="0" t="s">
        <v>2046</v>
      </c>
      <c r="G7444" s="0" t="s">
        <v>2054</v>
      </c>
      <c r="H7444" s="0" t="s">
        <v>2048</v>
      </c>
      <c r="I7444" s="0" t="s">
        <v>2322</v>
      </c>
      <c r="J7444" s="0" t="s">
        <v>2369</v>
      </c>
      <c r="K7444" s="272" t="n">
        <v>636.3717788188</v>
      </c>
    </row>
    <row r="7445" customFormat="false" ht="15" hidden="false" customHeight="false" outlineLevel="0" collapsed="false">
      <c r="A7445" s="0" t="s">
        <v>2041</v>
      </c>
      <c r="B7445" s="0" t="s">
        <v>2042</v>
      </c>
      <c r="C7445" s="0" t="s">
        <v>2349</v>
      </c>
      <c r="D7445" s="0" t="s">
        <v>2044</v>
      </c>
      <c r="E7445" s="0" t="s">
        <v>2045</v>
      </c>
      <c r="F7445" s="0" t="s">
        <v>2051</v>
      </c>
      <c r="G7445" s="0" t="s">
        <v>2054</v>
      </c>
      <c r="H7445" s="0" t="s">
        <v>2052</v>
      </c>
      <c r="I7445" s="0" t="s">
        <v>2322</v>
      </c>
      <c r="J7445" s="0" t="s">
        <v>2369</v>
      </c>
      <c r="K7445" s="272" t="n">
        <v>112.300902144494</v>
      </c>
    </row>
    <row r="7446" customFormat="false" ht="15" hidden="false" customHeight="false" outlineLevel="0" collapsed="false">
      <c r="A7446" s="0" t="s">
        <v>2041</v>
      </c>
      <c r="B7446" s="0" t="s">
        <v>2042</v>
      </c>
      <c r="C7446" s="0" t="s">
        <v>2349</v>
      </c>
      <c r="D7446" s="0" t="s">
        <v>2044</v>
      </c>
      <c r="E7446" s="0" t="s">
        <v>2045</v>
      </c>
      <c r="F7446" s="0" t="s">
        <v>2046</v>
      </c>
      <c r="G7446" s="0" t="s">
        <v>2055</v>
      </c>
      <c r="H7446" s="0" t="s">
        <v>2048</v>
      </c>
      <c r="I7446" s="0" t="s">
        <v>2322</v>
      </c>
      <c r="J7446" s="0" t="s">
        <v>2369</v>
      </c>
      <c r="K7446" s="272" t="n">
        <v>261.899558324282</v>
      </c>
    </row>
    <row r="7447" customFormat="false" ht="15" hidden="false" customHeight="false" outlineLevel="0" collapsed="false">
      <c r="A7447" s="0" t="s">
        <v>2041</v>
      </c>
      <c r="B7447" s="0" t="s">
        <v>2042</v>
      </c>
      <c r="C7447" s="0" t="s">
        <v>2349</v>
      </c>
      <c r="D7447" s="0" t="s">
        <v>2044</v>
      </c>
      <c r="E7447" s="0" t="s">
        <v>2045</v>
      </c>
      <c r="F7447" s="0" t="s">
        <v>2051</v>
      </c>
      <c r="G7447" s="0" t="s">
        <v>2055</v>
      </c>
      <c r="H7447" s="0" t="s">
        <v>2052</v>
      </c>
      <c r="I7447" s="0" t="s">
        <v>2322</v>
      </c>
      <c r="J7447" s="0" t="s">
        <v>2369</v>
      </c>
      <c r="K7447" s="272" t="n">
        <v>785.698674972845</v>
      </c>
    </row>
    <row r="7448" customFormat="false" ht="15" hidden="false" customHeight="false" outlineLevel="0" collapsed="false">
      <c r="A7448" s="0" t="s">
        <v>2041</v>
      </c>
      <c r="B7448" s="0" t="s">
        <v>2042</v>
      </c>
      <c r="C7448" s="0" t="s">
        <v>2349</v>
      </c>
      <c r="D7448" s="0" t="s">
        <v>2044</v>
      </c>
      <c r="E7448" s="0" t="s">
        <v>2045</v>
      </c>
      <c r="F7448" s="0" t="s">
        <v>2046</v>
      </c>
      <c r="G7448" s="0" t="s">
        <v>2056</v>
      </c>
      <c r="H7448" s="0" t="s">
        <v>2048</v>
      </c>
      <c r="I7448" s="0" t="s">
        <v>2322</v>
      </c>
      <c r="J7448" s="0" t="s">
        <v>2369</v>
      </c>
      <c r="K7448" s="272" t="n">
        <v>78.0881149789879</v>
      </c>
    </row>
    <row r="7449" customFormat="false" ht="15" hidden="false" customHeight="false" outlineLevel="0" collapsed="false">
      <c r="A7449" s="0" t="s">
        <v>2041</v>
      </c>
      <c r="B7449" s="0" t="s">
        <v>2042</v>
      </c>
      <c r="C7449" s="0" t="s">
        <v>2349</v>
      </c>
      <c r="D7449" s="0" t="s">
        <v>2044</v>
      </c>
      <c r="E7449" s="0" t="s">
        <v>2045</v>
      </c>
      <c r="F7449" s="0" t="s">
        <v>2051</v>
      </c>
      <c r="G7449" s="0" t="s">
        <v>2056</v>
      </c>
      <c r="H7449" s="0" t="s">
        <v>2052</v>
      </c>
      <c r="I7449" s="0" t="s">
        <v>2322</v>
      </c>
      <c r="J7449" s="0" t="s">
        <v>2369</v>
      </c>
      <c r="K7449" s="272" t="n">
        <v>789.557607009767</v>
      </c>
    </row>
    <row r="7450" customFormat="false" ht="15" hidden="false" customHeight="false" outlineLevel="0" collapsed="false">
      <c r="A7450" s="0" t="s">
        <v>2041</v>
      </c>
      <c r="B7450" s="0" t="s">
        <v>2042</v>
      </c>
      <c r="C7450" s="0" t="s">
        <v>2349</v>
      </c>
      <c r="D7450" s="0" t="s">
        <v>2044</v>
      </c>
      <c r="E7450" s="0" t="s">
        <v>2045</v>
      </c>
      <c r="F7450" s="0" t="s">
        <v>2046</v>
      </c>
      <c r="G7450" s="0" t="s">
        <v>2057</v>
      </c>
      <c r="H7450" s="0" t="s">
        <v>2048</v>
      </c>
      <c r="I7450" s="0" t="s">
        <v>2322</v>
      </c>
      <c r="J7450" s="0" t="s">
        <v>2369</v>
      </c>
      <c r="K7450" s="272" t="n">
        <v>505.833296098444</v>
      </c>
    </row>
    <row r="7451" customFormat="false" ht="15" hidden="false" customHeight="false" outlineLevel="0" collapsed="false">
      <c r="A7451" s="0" t="s">
        <v>2041</v>
      </c>
      <c r="B7451" s="0" t="s">
        <v>2042</v>
      </c>
      <c r="C7451" s="0" t="s">
        <v>2349</v>
      </c>
      <c r="D7451" s="0" t="s">
        <v>2044</v>
      </c>
      <c r="E7451" s="0" t="s">
        <v>2045</v>
      </c>
      <c r="F7451" s="0" t="s">
        <v>2051</v>
      </c>
      <c r="G7451" s="0" t="s">
        <v>2057</v>
      </c>
      <c r="H7451" s="0" t="s">
        <v>2052</v>
      </c>
      <c r="I7451" s="0" t="s">
        <v>2322</v>
      </c>
      <c r="J7451" s="0" t="s">
        <v>2369</v>
      </c>
      <c r="K7451" s="272" t="n">
        <v>505.833296098444</v>
      </c>
    </row>
    <row r="7452" customFormat="false" ht="15" hidden="false" customHeight="false" outlineLevel="0" collapsed="false">
      <c r="A7452" s="0" t="s">
        <v>2041</v>
      </c>
      <c r="B7452" s="0" t="s">
        <v>2042</v>
      </c>
      <c r="C7452" s="0" t="s">
        <v>2349</v>
      </c>
      <c r="D7452" s="0" t="s">
        <v>2044</v>
      </c>
      <c r="E7452" s="0" t="s">
        <v>2045</v>
      </c>
      <c r="F7452" s="0" t="s">
        <v>2046</v>
      </c>
      <c r="G7452" s="0" t="s">
        <v>2058</v>
      </c>
      <c r="H7452" s="0" t="s">
        <v>2048</v>
      </c>
      <c r="I7452" s="0" t="s">
        <v>2322</v>
      </c>
      <c r="J7452" s="0" t="s">
        <v>2369</v>
      </c>
      <c r="K7452" s="272" t="n">
        <v>521.760987790009</v>
      </c>
    </row>
    <row r="7453" customFormat="false" ht="15" hidden="false" customHeight="false" outlineLevel="0" collapsed="false">
      <c r="A7453" s="0" t="s">
        <v>2041</v>
      </c>
      <c r="B7453" s="0" t="s">
        <v>2042</v>
      </c>
      <c r="C7453" s="0" t="s">
        <v>2349</v>
      </c>
      <c r="D7453" s="0" t="s">
        <v>2044</v>
      </c>
      <c r="E7453" s="0" t="s">
        <v>2045</v>
      </c>
      <c r="F7453" s="0" t="s">
        <v>2051</v>
      </c>
      <c r="G7453" s="0" t="s">
        <v>2058</v>
      </c>
      <c r="H7453" s="0" t="s">
        <v>2052</v>
      </c>
      <c r="I7453" s="0" t="s">
        <v>2322</v>
      </c>
      <c r="J7453" s="0" t="s">
        <v>2369</v>
      </c>
      <c r="K7453" s="272" t="n">
        <v>130.440246947502</v>
      </c>
    </row>
    <row r="7454" customFormat="false" ht="15" hidden="false" customHeight="false" outlineLevel="0" collapsed="false">
      <c r="A7454" s="0" t="s">
        <v>2041</v>
      </c>
      <c r="B7454" s="0" t="s">
        <v>2042</v>
      </c>
      <c r="C7454" s="0" t="s">
        <v>2349</v>
      </c>
      <c r="D7454" s="0" t="s">
        <v>2044</v>
      </c>
      <c r="E7454" s="0" t="s">
        <v>2045</v>
      </c>
      <c r="F7454" s="0" t="s">
        <v>2046</v>
      </c>
      <c r="G7454" s="0" t="s">
        <v>2060</v>
      </c>
      <c r="H7454" s="0" t="s">
        <v>2048</v>
      </c>
      <c r="I7454" s="0" t="s">
        <v>2322</v>
      </c>
      <c r="J7454" s="0" t="s">
        <v>2369</v>
      </c>
      <c r="K7454" s="272" t="n">
        <v>2545.82096282036</v>
      </c>
    </row>
    <row r="7455" customFormat="false" ht="15" hidden="false" customHeight="false" outlineLevel="0" collapsed="false">
      <c r="A7455" s="0" t="s">
        <v>2041</v>
      </c>
      <c r="B7455" s="0" t="s">
        <v>2042</v>
      </c>
      <c r="C7455" s="0" t="s">
        <v>2349</v>
      </c>
      <c r="D7455" s="0" t="s">
        <v>2044</v>
      </c>
      <c r="E7455" s="0" t="s">
        <v>2045</v>
      </c>
      <c r="F7455" s="0" t="s">
        <v>2051</v>
      </c>
      <c r="G7455" s="0" t="s">
        <v>2060</v>
      </c>
      <c r="H7455" s="0" t="s">
        <v>2052</v>
      </c>
      <c r="I7455" s="0" t="s">
        <v>2322</v>
      </c>
      <c r="J7455" s="0" t="s">
        <v>2369</v>
      </c>
      <c r="K7455" s="272" t="n">
        <v>25.7153632608117</v>
      </c>
    </row>
    <row r="7456" customFormat="false" ht="15" hidden="false" customHeight="false" outlineLevel="0" collapsed="false">
      <c r="A7456" s="0" t="s">
        <v>2041</v>
      </c>
      <c r="B7456" s="0" t="s">
        <v>2042</v>
      </c>
      <c r="C7456" s="0" t="s">
        <v>2349</v>
      </c>
      <c r="D7456" s="0" t="s">
        <v>2044</v>
      </c>
      <c r="E7456" s="0" t="s">
        <v>2045</v>
      </c>
      <c r="F7456" s="0" t="s">
        <v>2046</v>
      </c>
      <c r="G7456" s="0" t="s">
        <v>2061</v>
      </c>
      <c r="H7456" s="0" t="s">
        <v>2048</v>
      </c>
      <c r="I7456" s="0" t="s">
        <v>2322</v>
      </c>
      <c r="J7456" s="0" t="s">
        <v>2369</v>
      </c>
      <c r="K7456" s="272" t="n">
        <v>2677.89749584153</v>
      </c>
    </row>
    <row r="7457" customFormat="false" ht="15" hidden="false" customHeight="false" outlineLevel="0" collapsed="false">
      <c r="A7457" s="0" t="s">
        <v>2041</v>
      </c>
      <c r="B7457" s="0" t="s">
        <v>2042</v>
      </c>
      <c r="C7457" s="0" t="s">
        <v>2349</v>
      </c>
      <c r="D7457" s="0" t="s">
        <v>2044</v>
      </c>
      <c r="E7457" s="0" t="s">
        <v>2045</v>
      </c>
      <c r="F7457" s="0" t="s">
        <v>2051</v>
      </c>
      <c r="G7457" s="0" t="s">
        <v>2061</v>
      </c>
      <c r="H7457" s="0" t="s">
        <v>2052</v>
      </c>
      <c r="I7457" s="0" t="s">
        <v>2322</v>
      </c>
      <c r="J7457" s="0" t="s">
        <v>2369</v>
      </c>
      <c r="K7457" s="272" t="n">
        <v>54.6509693028883</v>
      </c>
    </row>
    <row r="7458" customFormat="false" ht="15" hidden="false" customHeight="false" outlineLevel="0" collapsed="false">
      <c r="A7458" s="0" t="s">
        <v>2041</v>
      </c>
      <c r="B7458" s="0" t="s">
        <v>2042</v>
      </c>
      <c r="C7458" s="0" t="s">
        <v>2349</v>
      </c>
      <c r="D7458" s="0" t="s">
        <v>2044</v>
      </c>
      <c r="E7458" s="0" t="s">
        <v>2045</v>
      </c>
      <c r="F7458" s="0" t="s">
        <v>2046</v>
      </c>
      <c r="G7458" s="0" t="s">
        <v>2062</v>
      </c>
      <c r="H7458" s="0" t="s">
        <v>2048</v>
      </c>
      <c r="I7458" s="0" t="s">
        <v>2322</v>
      </c>
      <c r="J7458" s="0" t="s">
        <v>2369</v>
      </c>
      <c r="K7458" s="272" t="n">
        <v>828.091755230783</v>
      </c>
    </row>
    <row r="7459" customFormat="false" ht="15" hidden="false" customHeight="false" outlineLevel="0" collapsed="false">
      <c r="A7459" s="0" t="s">
        <v>2041</v>
      </c>
      <c r="B7459" s="0" t="s">
        <v>2042</v>
      </c>
      <c r="C7459" s="0" t="s">
        <v>2349</v>
      </c>
      <c r="D7459" s="0" t="s">
        <v>2044</v>
      </c>
      <c r="E7459" s="0" t="s">
        <v>2045</v>
      </c>
      <c r="F7459" s="0" t="s">
        <v>2051</v>
      </c>
      <c r="G7459" s="0" t="s">
        <v>2062</v>
      </c>
      <c r="H7459" s="0" t="s">
        <v>2052</v>
      </c>
      <c r="I7459" s="0" t="s">
        <v>2322</v>
      </c>
      <c r="J7459" s="0" t="s">
        <v>2369</v>
      </c>
      <c r="K7459" s="272" t="n">
        <v>142.057581441264</v>
      </c>
    </row>
    <row r="7460" customFormat="false" ht="15" hidden="false" customHeight="false" outlineLevel="0" collapsed="false">
      <c r="A7460" s="0" t="s">
        <v>2041</v>
      </c>
      <c r="B7460" s="0" t="s">
        <v>2042</v>
      </c>
      <c r="C7460" s="0" t="s">
        <v>2349</v>
      </c>
      <c r="D7460" s="0" t="s">
        <v>2044</v>
      </c>
      <c r="E7460" s="0" t="s">
        <v>2045</v>
      </c>
      <c r="F7460" s="0" t="s">
        <v>2046</v>
      </c>
      <c r="G7460" s="0" t="s">
        <v>2063</v>
      </c>
      <c r="H7460" s="0" t="s">
        <v>2048</v>
      </c>
      <c r="I7460" s="0" t="s">
        <v>2322</v>
      </c>
      <c r="J7460" s="0" t="s">
        <v>2369</v>
      </c>
      <c r="K7460" s="272" t="n">
        <v>844.67821093201</v>
      </c>
    </row>
    <row r="7461" customFormat="false" ht="15" hidden="false" customHeight="false" outlineLevel="0" collapsed="false">
      <c r="A7461" s="0" t="s">
        <v>2041</v>
      </c>
      <c r="B7461" s="0" t="s">
        <v>2042</v>
      </c>
      <c r="C7461" s="0" t="s">
        <v>2349</v>
      </c>
      <c r="D7461" s="0" t="s">
        <v>2044</v>
      </c>
      <c r="E7461" s="0" t="s">
        <v>2045</v>
      </c>
      <c r="F7461" s="0" t="s">
        <v>2051</v>
      </c>
      <c r="G7461" s="0" t="s">
        <v>2063</v>
      </c>
      <c r="H7461" s="0" t="s">
        <v>2052</v>
      </c>
      <c r="I7461" s="0" t="s">
        <v>2322</v>
      </c>
      <c r="J7461" s="0" t="s">
        <v>2369</v>
      </c>
      <c r="K7461" s="272" t="n">
        <v>211.169552733003</v>
      </c>
    </row>
    <row r="7462" customFormat="false" ht="15" hidden="false" customHeight="false" outlineLevel="0" collapsed="false">
      <c r="A7462" s="0" t="s">
        <v>2041</v>
      </c>
      <c r="B7462" s="0" t="s">
        <v>2042</v>
      </c>
      <c r="C7462" s="0" t="s">
        <v>2349</v>
      </c>
      <c r="D7462" s="0" t="s">
        <v>2044</v>
      </c>
      <c r="E7462" s="0" t="s">
        <v>2045</v>
      </c>
      <c r="F7462" s="0" t="s">
        <v>2046</v>
      </c>
      <c r="G7462" s="0" t="s">
        <v>2064</v>
      </c>
      <c r="H7462" s="0" t="s">
        <v>2048</v>
      </c>
      <c r="I7462" s="0" t="s">
        <v>2322</v>
      </c>
      <c r="J7462" s="0" t="s">
        <v>2369</v>
      </c>
      <c r="K7462" s="272" t="n">
        <v>2714.78763959489</v>
      </c>
    </row>
    <row r="7463" customFormat="false" ht="15" hidden="false" customHeight="false" outlineLevel="0" collapsed="false">
      <c r="A7463" s="0" t="s">
        <v>2041</v>
      </c>
      <c r="B7463" s="0" t="s">
        <v>2042</v>
      </c>
      <c r="C7463" s="0" t="s">
        <v>2349</v>
      </c>
      <c r="D7463" s="0" t="s">
        <v>2044</v>
      </c>
      <c r="E7463" s="0" t="s">
        <v>2045</v>
      </c>
      <c r="F7463" s="0" t="s">
        <v>2051</v>
      </c>
      <c r="G7463" s="0" t="s">
        <v>2064</v>
      </c>
      <c r="H7463" s="0" t="s">
        <v>2052</v>
      </c>
      <c r="I7463" s="0" t="s">
        <v>2322</v>
      </c>
      <c r="J7463" s="0" t="s">
        <v>2369</v>
      </c>
      <c r="K7463" s="272" t="n">
        <v>2299.00935244973</v>
      </c>
    </row>
    <row r="7464" customFormat="false" ht="15" hidden="false" customHeight="false" outlineLevel="0" collapsed="false">
      <c r="A7464" s="0" t="s">
        <v>2041</v>
      </c>
      <c r="B7464" s="0" t="s">
        <v>2042</v>
      </c>
      <c r="C7464" s="0" t="s">
        <v>2349</v>
      </c>
      <c r="D7464" s="0" t="s">
        <v>2044</v>
      </c>
      <c r="E7464" s="0" t="s">
        <v>2045</v>
      </c>
      <c r="F7464" s="0" t="s">
        <v>2046</v>
      </c>
      <c r="G7464" s="0" t="s">
        <v>2065</v>
      </c>
      <c r="H7464" s="0" t="s">
        <v>2048</v>
      </c>
      <c r="I7464" s="0" t="s">
        <v>2322</v>
      </c>
      <c r="J7464" s="0" t="s">
        <v>2369</v>
      </c>
      <c r="K7464" s="272" t="n">
        <v>538.066005206796</v>
      </c>
    </row>
    <row r="7465" customFormat="false" ht="15" hidden="false" customHeight="false" outlineLevel="0" collapsed="false">
      <c r="A7465" s="0" t="s">
        <v>2041</v>
      </c>
      <c r="B7465" s="0" t="s">
        <v>2042</v>
      </c>
      <c r="C7465" s="0" t="s">
        <v>2349</v>
      </c>
      <c r="D7465" s="0" t="s">
        <v>2044</v>
      </c>
      <c r="E7465" s="0" t="s">
        <v>2045</v>
      </c>
      <c r="F7465" s="0" t="s">
        <v>2051</v>
      </c>
      <c r="G7465" s="0" t="s">
        <v>2065</v>
      </c>
      <c r="H7465" s="0" t="s">
        <v>2052</v>
      </c>
      <c r="I7465" s="0" t="s">
        <v>2322</v>
      </c>
      <c r="J7465" s="0" t="s">
        <v>2369</v>
      </c>
      <c r="K7465" s="272" t="n">
        <v>5.435010153604</v>
      </c>
    </row>
    <row r="7466" customFormat="false" ht="15" hidden="false" customHeight="false" outlineLevel="0" collapsed="false">
      <c r="A7466" s="0" t="s">
        <v>2041</v>
      </c>
      <c r="B7466" s="0" t="s">
        <v>2042</v>
      </c>
      <c r="C7466" s="0" t="s">
        <v>2349</v>
      </c>
      <c r="D7466" s="0" t="s">
        <v>2044</v>
      </c>
      <c r="E7466" s="0" t="s">
        <v>2045</v>
      </c>
      <c r="F7466" s="0" t="s">
        <v>2046</v>
      </c>
      <c r="G7466" s="0" t="s">
        <v>2066</v>
      </c>
      <c r="H7466" s="0" t="s">
        <v>2048</v>
      </c>
      <c r="I7466" s="0" t="s">
        <v>2322</v>
      </c>
      <c r="J7466" s="0" t="s">
        <v>2369</v>
      </c>
      <c r="K7466" s="272" t="n">
        <v>1261.8637975202</v>
      </c>
    </row>
    <row r="7467" customFormat="false" ht="15" hidden="false" customHeight="false" outlineLevel="0" collapsed="false">
      <c r="A7467" s="0" t="s">
        <v>2041</v>
      </c>
      <c r="B7467" s="0" t="s">
        <v>2042</v>
      </c>
      <c r="C7467" s="0" t="s">
        <v>2349</v>
      </c>
      <c r="D7467" s="0" t="s">
        <v>2044</v>
      </c>
      <c r="E7467" s="0" t="s">
        <v>2045</v>
      </c>
      <c r="F7467" s="0" t="s">
        <v>2051</v>
      </c>
      <c r="G7467" s="0" t="s">
        <v>2066</v>
      </c>
      <c r="H7467" s="0" t="s">
        <v>2052</v>
      </c>
      <c r="I7467" s="0" t="s">
        <v>2322</v>
      </c>
      <c r="J7467" s="0" t="s">
        <v>2369</v>
      </c>
      <c r="K7467" s="272" t="n">
        <v>24.0208038220724</v>
      </c>
    </row>
    <row r="7468" customFormat="false" ht="15" hidden="false" customHeight="false" outlineLevel="0" collapsed="false">
      <c r="A7468" s="0" t="s">
        <v>2041</v>
      </c>
      <c r="B7468" s="0" t="s">
        <v>2042</v>
      </c>
      <c r="C7468" s="0" t="s">
        <v>2349</v>
      </c>
      <c r="D7468" s="0" t="s">
        <v>2044</v>
      </c>
      <c r="E7468" s="0" t="s">
        <v>2045</v>
      </c>
      <c r="F7468" s="0" t="s">
        <v>2051</v>
      </c>
      <c r="G7468" s="0" t="s">
        <v>2067</v>
      </c>
      <c r="H7468" s="0" t="s">
        <v>2052</v>
      </c>
      <c r="I7468" s="0" t="s">
        <v>2322</v>
      </c>
      <c r="J7468" s="0" t="s">
        <v>2369</v>
      </c>
      <c r="K7468" s="272" t="n">
        <v>1288.97383401576</v>
      </c>
    </row>
    <row r="7469" customFormat="false" ht="15" hidden="false" customHeight="false" outlineLevel="0" collapsed="false">
      <c r="A7469" s="0" t="s">
        <v>2041</v>
      </c>
      <c r="B7469" s="0" t="s">
        <v>2042</v>
      </c>
      <c r="C7469" s="0" t="s">
        <v>2349</v>
      </c>
      <c r="D7469" s="0" t="s">
        <v>2044</v>
      </c>
      <c r="E7469" s="0" t="s">
        <v>2045</v>
      </c>
      <c r="F7469" s="0" t="s">
        <v>2046</v>
      </c>
      <c r="G7469" s="0" t="s">
        <v>2068</v>
      </c>
      <c r="H7469" s="0" t="s">
        <v>2048</v>
      </c>
      <c r="I7469" s="0" t="s">
        <v>2322</v>
      </c>
      <c r="J7469" s="0" t="s">
        <v>2369</v>
      </c>
      <c r="K7469" s="272" t="n">
        <v>3426.57208775444</v>
      </c>
    </row>
    <row r="7470" customFormat="false" ht="15" hidden="false" customHeight="false" outlineLevel="0" collapsed="false">
      <c r="A7470" s="0" t="s">
        <v>2041</v>
      </c>
      <c r="B7470" s="0" t="s">
        <v>2042</v>
      </c>
      <c r="C7470" s="0" t="s">
        <v>2349</v>
      </c>
      <c r="D7470" s="0" t="s">
        <v>2044</v>
      </c>
      <c r="E7470" s="0" t="s">
        <v>2045</v>
      </c>
      <c r="F7470" s="0" t="s">
        <v>2051</v>
      </c>
      <c r="G7470" s="0" t="s">
        <v>2068</v>
      </c>
      <c r="H7470" s="0" t="s">
        <v>2052</v>
      </c>
      <c r="I7470" s="0" t="s">
        <v>2322</v>
      </c>
      <c r="J7470" s="0" t="s">
        <v>2369</v>
      </c>
      <c r="K7470" s="272" t="n">
        <v>485.082429530717</v>
      </c>
    </row>
    <row r="7471" customFormat="false" ht="15" hidden="false" customHeight="false" outlineLevel="0" collapsed="false">
      <c r="A7471" s="0" t="s">
        <v>2041</v>
      </c>
      <c r="B7471" s="0" t="s">
        <v>2042</v>
      </c>
      <c r="C7471" s="0" t="s">
        <v>2349</v>
      </c>
      <c r="D7471" s="0" t="s">
        <v>2044</v>
      </c>
      <c r="E7471" s="0" t="s">
        <v>2045</v>
      </c>
      <c r="F7471" s="0" t="s">
        <v>2046</v>
      </c>
      <c r="G7471" s="0" t="s">
        <v>2069</v>
      </c>
      <c r="H7471" s="0" t="s">
        <v>2048</v>
      </c>
      <c r="I7471" s="0" t="s">
        <v>2322</v>
      </c>
      <c r="J7471" s="0" t="s">
        <v>2369</v>
      </c>
      <c r="K7471" s="272" t="n">
        <v>1014.21176675287</v>
      </c>
    </row>
    <row r="7472" customFormat="false" ht="15" hidden="false" customHeight="false" outlineLevel="0" collapsed="false">
      <c r="A7472" s="0" t="s">
        <v>2041</v>
      </c>
      <c r="B7472" s="0" t="s">
        <v>2042</v>
      </c>
      <c r="C7472" s="0" t="s">
        <v>2349</v>
      </c>
      <c r="D7472" s="0" t="s">
        <v>2044</v>
      </c>
      <c r="E7472" s="0" t="s">
        <v>2045</v>
      </c>
      <c r="F7472" s="0" t="s">
        <v>2046</v>
      </c>
      <c r="G7472" s="0" t="s">
        <v>2070</v>
      </c>
      <c r="H7472" s="0" t="s">
        <v>2048</v>
      </c>
      <c r="I7472" s="0" t="s">
        <v>2322</v>
      </c>
      <c r="J7472" s="0" t="s">
        <v>2369</v>
      </c>
      <c r="K7472" s="272" t="n">
        <v>553.65165118368</v>
      </c>
    </row>
    <row r="7473" customFormat="false" ht="15" hidden="false" customHeight="false" outlineLevel="0" collapsed="false">
      <c r="A7473" s="0" t="s">
        <v>2041</v>
      </c>
      <c r="B7473" s="0" t="s">
        <v>2042</v>
      </c>
      <c r="C7473" s="0" t="s">
        <v>2349</v>
      </c>
      <c r="D7473" s="0" t="s">
        <v>2044</v>
      </c>
      <c r="E7473" s="0" t="s">
        <v>2045</v>
      </c>
      <c r="F7473" s="0" t="s">
        <v>2051</v>
      </c>
      <c r="G7473" s="0" t="s">
        <v>2070</v>
      </c>
      <c r="H7473" s="0" t="s">
        <v>2052</v>
      </c>
      <c r="I7473" s="0" t="s">
        <v>2322</v>
      </c>
      <c r="J7473" s="0" t="s">
        <v>2369</v>
      </c>
      <c r="K7473" s="272" t="n">
        <v>1147.54059258774</v>
      </c>
    </row>
    <row r="7474" customFormat="false" ht="15" hidden="false" customHeight="false" outlineLevel="0" collapsed="false">
      <c r="A7474" s="0" t="s">
        <v>2041</v>
      </c>
      <c r="B7474" s="0" t="s">
        <v>2042</v>
      </c>
      <c r="C7474" s="0" t="s">
        <v>2349</v>
      </c>
      <c r="D7474" s="0" t="s">
        <v>2044</v>
      </c>
      <c r="E7474" s="0" t="s">
        <v>2045</v>
      </c>
      <c r="F7474" s="0" t="s">
        <v>2046</v>
      </c>
      <c r="G7474" s="0" t="s">
        <v>2071</v>
      </c>
      <c r="H7474" s="0" t="s">
        <v>2048</v>
      </c>
      <c r="I7474" s="0" t="s">
        <v>2322</v>
      </c>
      <c r="J7474" s="0" t="s">
        <v>2369</v>
      </c>
      <c r="K7474" s="272" t="n">
        <v>52.3682800634606</v>
      </c>
    </row>
    <row r="7475" customFormat="false" ht="15" hidden="false" customHeight="false" outlineLevel="0" collapsed="false">
      <c r="A7475" s="0" t="s">
        <v>2041</v>
      </c>
      <c r="B7475" s="0" t="s">
        <v>2042</v>
      </c>
      <c r="C7475" s="0" t="s">
        <v>2349</v>
      </c>
      <c r="D7475" s="0" t="s">
        <v>2044</v>
      </c>
      <c r="E7475" s="0" t="s">
        <v>2045</v>
      </c>
      <c r="F7475" s="0" t="s">
        <v>2051</v>
      </c>
      <c r="G7475" s="0" t="s">
        <v>2071</v>
      </c>
      <c r="H7475" s="0" t="s">
        <v>2052</v>
      </c>
      <c r="I7475" s="0" t="s">
        <v>2322</v>
      </c>
      <c r="J7475" s="0" t="s">
        <v>2369</v>
      </c>
      <c r="K7475" s="272" t="n">
        <v>9.24146118766951</v>
      </c>
    </row>
    <row r="7476" customFormat="false" ht="15" hidden="false" customHeight="false" outlineLevel="0" collapsed="false">
      <c r="A7476" s="0" t="s">
        <v>2041</v>
      </c>
      <c r="B7476" s="0" t="s">
        <v>2042</v>
      </c>
      <c r="C7476" s="0" t="s">
        <v>2349</v>
      </c>
      <c r="D7476" s="0" t="s">
        <v>2044</v>
      </c>
      <c r="E7476" s="0" t="s">
        <v>2045</v>
      </c>
      <c r="F7476" s="0" t="s">
        <v>2046</v>
      </c>
      <c r="G7476" s="0" t="s">
        <v>2072</v>
      </c>
      <c r="H7476" s="0" t="s">
        <v>2048</v>
      </c>
      <c r="I7476" s="0" t="s">
        <v>2322</v>
      </c>
      <c r="J7476" s="0" t="s">
        <v>2369</v>
      </c>
      <c r="K7476" s="272" t="n">
        <v>657.131060005331</v>
      </c>
    </row>
    <row r="7477" customFormat="false" ht="15" hidden="false" customHeight="false" outlineLevel="0" collapsed="false">
      <c r="A7477" s="0" t="s">
        <v>2041</v>
      </c>
      <c r="B7477" s="0" t="s">
        <v>2042</v>
      </c>
      <c r="C7477" s="0" t="s">
        <v>2349</v>
      </c>
      <c r="D7477" s="0" t="s">
        <v>2044</v>
      </c>
      <c r="E7477" s="0" t="s">
        <v>2045</v>
      </c>
      <c r="F7477" s="0" t="s">
        <v>2051</v>
      </c>
      <c r="G7477" s="0" t="s">
        <v>2072</v>
      </c>
      <c r="H7477" s="0" t="s">
        <v>2052</v>
      </c>
      <c r="I7477" s="0" t="s">
        <v>2322</v>
      </c>
      <c r="J7477" s="0" t="s">
        <v>2369</v>
      </c>
      <c r="K7477" s="272" t="n">
        <v>871.052088327886</v>
      </c>
    </row>
    <row r="7478" customFormat="false" ht="15" hidden="false" customHeight="false" outlineLevel="0" collapsed="false">
      <c r="A7478" s="0" t="s">
        <v>2041</v>
      </c>
      <c r="B7478" s="0" t="s">
        <v>2042</v>
      </c>
      <c r="C7478" s="0" t="s">
        <v>2349</v>
      </c>
      <c r="D7478" s="0" t="s">
        <v>2044</v>
      </c>
      <c r="E7478" s="0" t="s">
        <v>2045</v>
      </c>
      <c r="F7478" s="0" t="s">
        <v>2046</v>
      </c>
      <c r="G7478" s="0" t="s">
        <v>2073</v>
      </c>
      <c r="H7478" s="0" t="s">
        <v>2048</v>
      </c>
      <c r="I7478" s="0" t="s">
        <v>2322</v>
      </c>
      <c r="J7478" s="0" t="s">
        <v>2369</v>
      </c>
      <c r="K7478" s="272" t="n">
        <v>922.345933300117</v>
      </c>
    </row>
    <row r="7479" customFormat="false" ht="15" hidden="false" customHeight="false" outlineLevel="0" collapsed="false">
      <c r="A7479" s="0" t="s">
        <v>2041</v>
      </c>
      <c r="B7479" s="0" t="s">
        <v>2042</v>
      </c>
      <c r="C7479" s="0" t="s">
        <v>2349</v>
      </c>
      <c r="D7479" s="0" t="s">
        <v>2044</v>
      </c>
      <c r="E7479" s="0" t="s">
        <v>2045</v>
      </c>
      <c r="F7479" s="0" t="s">
        <v>2051</v>
      </c>
      <c r="G7479" s="0" t="s">
        <v>2073</v>
      </c>
      <c r="H7479" s="0" t="s">
        <v>2052</v>
      </c>
      <c r="I7479" s="0" t="s">
        <v>2322</v>
      </c>
      <c r="J7479" s="0" t="s">
        <v>2369</v>
      </c>
      <c r="K7479" s="272" t="n">
        <v>1991.06645361564</v>
      </c>
    </row>
    <row r="7480" customFormat="false" ht="15" hidden="false" customHeight="false" outlineLevel="0" collapsed="false">
      <c r="A7480" s="0" t="s">
        <v>2041</v>
      </c>
      <c r="B7480" s="0" t="s">
        <v>2042</v>
      </c>
      <c r="C7480" s="0" t="s">
        <v>2349</v>
      </c>
      <c r="D7480" s="0" t="s">
        <v>2044</v>
      </c>
      <c r="E7480" s="0" t="s">
        <v>2045</v>
      </c>
      <c r="F7480" s="0" t="s">
        <v>2046</v>
      </c>
      <c r="G7480" s="0" t="s">
        <v>2074</v>
      </c>
      <c r="H7480" s="0" t="s">
        <v>2048</v>
      </c>
      <c r="I7480" s="0" t="s">
        <v>2322</v>
      </c>
      <c r="J7480" s="0" t="s">
        <v>2369</v>
      </c>
      <c r="K7480" s="272" t="n">
        <v>499.341570345907</v>
      </c>
    </row>
    <row r="7481" customFormat="false" ht="15" hidden="false" customHeight="false" outlineLevel="0" collapsed="false">
      <c r="A7481" s="0" t="s">
        <v>2041</v>
      </c>
      <c r="B7481" s="0" t="s">
        <v>2042</v>
      </c>
      <c r="C7481" s="0" t="s">
        <v>2349</v>
      </c>
      <c r="D7481" s="0" t="s">
        <v>2044</v>
      </c>
      <c r="E7481" s="0" t="s">
        <v>2045</v>
      </c>
      <c r="F7481" s="0" t="s">
        <v>2051</v>
      </c>
      <c r="G7481" s="0" t="s">
        <v>2074</v>
      </c>
      <c r="H7481" s="0" t="s">
        <v>2052</v>
      </c>
      <c r="I7481" s="0" t="s">
        <v>2322</v>
      </c>
      <c r="J7481" s="0" t="s">
        <v>2369</v>
      </c>
      <c r="K7481" s="272" t="n">
        <v>499.341570345907</v>
      </c>
    </row>
    <row r="7482" customFormat="false" ht="15" hidden="false" customHeight="false" outlineLevel="0" collapsed="false">
      <c r="A7482" s="0" t="s">
        <v>2041</v>
      </c>
      <c r="B7482" s="0" t="s">
        <v>2042</v>
      </c>
      <c r="C7482" s="0" t="s">
        <v>2349</v>
      </c>
      <c r="D7482" s="0" t="s">
        <v>2044</v>
      </c>
      <c r="E7482" s="0" t="s">
        <v>2045</v>
      </c>
      <c r="F7482" s="0" t="s">
        <v>2046</v>
      </c>
      <c r="G7482" s="0" t="s">
        <v>2075</v>
      </c>
      <c r="H7482" s="0" t="s">
        <v>2048</v>
      </c>
      <c r="I7482" s="0" t="s">
        <v>2322</v>
      </c>
      <c r="J7482" s="0" t="s">
        <v>2369</v>
      </c>
      <c r="K7482" s="272" t="n">
        <v>34.6452552822482</v>
      </c>
    </row>
    <row r="7483" customFormat="false" ht="15" hidden="false" customHeight="false" outlineLevel="0" collapsed="false">
      <c r="A7483" s="0" t="s">
        <v>2041</v>
      </c>
      <c r="B7483" s="0" t="s">
        <v>2042</v>
      </c>
      <c r="C7483" s="0" t="s">
        <v>2349</v>
      </c>
      <c r="D7483" s="0" t="s">
        <v>2044</v>
      </c>
      <c r="E7483" s="0" t="s">
        <v>2045</v>
      </c>
      <c r="F7483" s="0" t="s">
        <v>2051</v>
      </c>
      <c r="G7483" s="0" t="s">
        <v>2075</v>
      </c>
      <c r="H7483" s="0" t="s">
        <v>2052</v>
      </c>
      <c r="I7483" s="0" t="s">
        <v>2322</v>
      </c>
      <c r="J7483" s="0" t="s">
        <v>2369</v>
      </c>
      <c r="K7483" s="272" t="n">
        <v>1120.19658745936</v>
      </c>
    </row>
    <row r="7484" customFormat="false" ht="15" hidden="false" customHeight="false" outlineLevel="0" collapsed="false">
      <c r="A7484" s="0" t="s">
        <v>2041</v>
      </c>
      <c r="B7484" s="0" t="s">
        <v>2042</v>
      </c>
      <c r="C7484" s="0" t="s">
        <v>2349</v>
      </c>
      <c r="D7484" s="0" t="s">
        <v>2044</v>
      </c>
      <c r="E7484" s="0" t="s">
        <v>2045</v>
      </c>
      <c r="F7484" s="0" t="s">
        <v>2046</v>
      </c>
      <c r="G7484" s="0" t="s">
        <v>2076</v>
      </c>
      <c r="H7484" s="0" t="s">
        <v>2048</v>
      </c>
      <c r="I7484" s="0" t="s">
        <v>2322</v>
      </c>
      <c r="J7484" s="0" t="s">
        <v>2369</v>
      </c>
      <c r="K7484" s="272" t="n">
        <v>1534.80808618795</v>
      </c>
    </row>
    <row r="7485" customFormat="false" ht="15" hidden="false" customHeight="false" outlineLevel="0" collapsed="false">
      <c r="A7485" s="0" t="s">
        <v>2041</v>
      </c>
      <c r="B7485" s="0" t="s">
        <v>2042</v>
      </c>
      <c r="C7485" s="0" t="s">
        <v>2349</v>
      </c>
      <c r="D7485" s="0" t="s">
        <v>2044</v>
      </c>
      <c r="E7485" s="0" t="s">
        <v>2045</v>
      </c>
      <c r="F7485" s="0" t="s">
        <v>2051</v>
      </c>
      <c r="G7485" s="0" t="s">
        <v>2076</v>
      </c>
      <c r="H7485" s="0" t="s">
        <v>2052</v>
      </c>
      <c r="I7485" s="0" t="s">
        <v>2322</v>
      </c>
      <c r="J7485" s="0" t="s">
        <v>2369</v>
      </c>
      <c r="K7485" s="272" t="n">
        <v>2029.9763431205</v>
      </c>
    </row>
    <row r="7486" customFormat="false" ht="15" hidden="false" customHeight="false" outlineLevel="0" collapsed="false">
      <c r="A7486" s="0" t="s">
        <v>2041</v>
      </c>
      <c r="B7486" s="0" t="s">
        <v>2042</v>
      </c>
      <c r="C7486" s="0" t="s">
        <v>2349</v>
      </c>
      <c r="D7486" s="0" t="s">
        <v>2044</v>
      </c>
      <c r="E7486" s="0" t="s">
        <v>2045</v>
      </c>
      <c r="F7486" s="0" t="s">
        <v>2046</v>
      </c>
      <c r="G7486" s="0" t="s">
        <v>2077</v>
      </c>
      <c r="H7486" s="0" t="s">
        <v>2048</v>
      </c>
      <c r="I7486" s="0" t="s">
        <v>2322</v>
      </c>
      <c r="J7486" s="0" t="s">
        <v>2369</v>
      </c>
      <c r="K7486" s="272" t="n">
        <v>653.016486280933</v>
      </c>
    </row>
    <row r="7487" customFormat="false" ht="15" hidden="false" customHeight="false" outlineLevel="0" collapsed="false">
      <c r="A7487" s="0" t="s">
        <v>2041</v>
      </c>
      <c r="B7487" s="0" t="s">
        <v>2042</v>
      </c>
      <c r="C7487" s="0" t="s">
        <v>2349</v>
      </c>
      <c r="D7487" s="0" t="s">
        <v>2044</v>
      </c>
      <c r="E7487" s="0" t="s">
        <v>2045</v>
      </c>
      <c r="F7487" s="0" t="s">
        <v>2051</v>
      </c>
      <c r="G7487" s="0" t="s">
        <v>2077</v>
      </c>
      <c r="H7487" s="0" t="s">
        <v>2052</v>
      </c>
      <c r="I7487" s="0" t="s">
        <v>2322</v>
      </c>
      <c r="J7487" s="0" t="s">
        <v>2369</v>
      </c>
      <c r="K7487" s="272" t="n">
        <v>72.5573873645481</v>
      </c>
    </row>
    <row r="7488" customFormat="false" ht="15" hidden="false" customHeight="false" outlineLevel="0" collapsed="false">
      <c r="A7488" s="0" t="s">
        <v>2041</v>
      </c>
      <c r="B7488" s="0" t="s">
        <v>2042</v>
      </c>
      <c r="C7488" s="0" t="s">
        <v>2349</v>
      </c>
      <c r="D7488" s="0" t="s">
        <v>2044</v>
      </c>
      <c r="E7488" s="0" t="s">
        <v>2045</v>
      </c>
      <c r="F7488" s="0" t="s">
        <v>2046</v>
      </c>
      <c r="G7488" s="0" t="s">
        <v>2078</v>
      </c>
      <c r="H7488" s="0" t="s">
        <v>2048</v>
      </c>
      <c r="I7488" s="0" t="s">
        <v>2322</v>
      </c>
      <c r="J7488" s="0" t="s">
        <v>2369</v>
      </c>
      <c r="K7488" s="272" t="n">
        <v>1098.05650332021</v>
      </c>
    </row>
    <row r="7489" customFormat="false" ht="15" hidden="false" customHeight="false" outlineLevel="0" collapsed="false">
      <c r="A7489" s="0" t="s">
        <v>2041</v>
      </c>
      <c r="B7489" s="0" t="s">
        <v>2042</v>
      </c>
      <c r="C7489" s="0" t="s">
        <v>2349</v>
      </c>
      <c r="D7489" s="0" t="s">
        <v>2044</v>
      </c>
      <c r="E7489" s="0" t="s">
        <v>2045</v>
      </c>
      <c r="F7489" s="0" t="s">
        <v>2051</v>
      </c>
      <c r="G7489" s="0" t="s">
        <v>2078</v>
      </c>
      <c r="H7489" s="0" t="s">
        <v>2052</v>
      </c>
      <c r="I7489" s="0" t="s">
        <v>2322</v>
      </c>
      <c r="J7489" s="0" t="s">
        <v>2369</v>
      </c>
      <c r="K7489" s="272" t="n">
        <v>122.00627814669</v>
      </c>
    </row>
    <row r="7490" customFormat="false" ht="15" hidden="false" customHeight="false" outlineLevel="0" collapsed="false">
      <c r="A7490" s="0" t="s">
        <v>2041</v>
      </c>
      <c r="B7490" s="0" t="s">
        <v>2042</v>
      </c>
      <c r="C7490" s="0" t="s">
        <v>2349</v>
      </c>
      <c r="D7490" s="0" t="s">
        <v>2044</v>
      </c>
      <c r="E7490" s="0" t="s">
        <v>2045</v>
      </c>
      <c r="F7490" s="0" t="s">
        <v>2046</v>
      </c>
      <c r="G7490" s="0" t="s">
        <v>2079</v>
      </c>
      <c r="H7490" s="0" t="s">
        <v>2048</v>
      </c>
      <c r="I7490" s="0" t="s">
        <v>2322</v>
      </c>
      <c r="J7490" s="0" t="s">
        <v>2369</v>
      </c>
      <c r="K7490" s="272" t="n">
        <v>454.502735457703</v>
      </c>
    </row>
    <row r="7491" customFormat="false" ht="15" hidden="false" customHeight="false" outlineLevel="0" collapsed="false">
      <c r="A7491" s="0" t="s">
        <v>2041</v>
      </c>
      <c r="B7491" s="0" t="s">
        <v>2042</v>
      </c>
      <c r="C7491" s="0" t="s">
        <v>2349</v>
      </c>
      <c r="D7491" s="0" t="s">
        <v>2044</v>
      </c>
      <c r="E7491" s="0" t="s">
        <v>2045</v>
      </c>
      <c r="F7491" s="0" t="s">
        <v>2046</v>
      </c>
      <c r="G7491" s="0" t="s">
        <v>2080</v>
      </c>
      <c r="H7491" s="0" t="s">
        <v>2048</v>
      </c>
      <c r="I7491" s="0" t="s">
        <v>2322</v>
      </c>
      <c r="J7491" s="0" t="s">
        <v>2369</v>
      </c>
      <c r="K7491" s="272" t="n">
        <v>1383.45272394427</v>
      </c>
    </row>
    <row r="7492" customFormat="false" ht="15" hidden="false" customHeight="false" outlineLevel="0" collapsed="false">
      <c r="A7492" s="0" t="s">
        <v>2041</v>
      </c>
      <c r="B7492" s="0" t="s">
        <v>2042</v>
      </c>
      <c r="C7492" s="0" t="s">
        <v>2349</v>
      </c>
      <c r="D7492" s="0" t="s">
        <v>2044</v>
      </c>
      <c r="E7492" s="0" t="s">
        <v>2045</v>
      </c>
      <c r="F7492" s="0" t="s">
        <v>2051</v>
      </c>
      <c r="G7492" s="0" t="s">
        <v>2080</v>
      </c>
      <c r="H7492" s="0" t="s">
        <v>2052</v>
      </c>
      <c r="I7492" s="0" t="s">
        <v>2322</v>
      </c>
      <c r="J7492" s="0" t="s">
        <v>2369</v>
      </c>
      <c r="K7492" s="272" t="n">
        <v>51.9722858931454</v>
      </c>
    </row>
    <row r="7493" customFormat="false" ht="15" hidden="false" customHeight="false" outlineLevel="0" collapsed="false">
      <c r="A7493" s="0" t="s">
        <v>2041</v>
      </c>
      <c r="B7493" s="0" t="s">
        <v>2042</v>
      </c>
      <c r="C7493" s="0" t="s">
        <v>2349</v>
      </c>
      <c r="D7493" s="0" t="s">
        <v>2044</v>
      </c>
      <c r="E7493" s="0" t="s">
        <v>2045</v>
      </c>
      <c r="F7493" s="0" t="s">
        <v>2046</v>
      </c>
      <c r="G7493" s="0" t="s">
        <v>2081</v>
      </c>
      <c r="H7493" s="0" t="s">
        <v>2048</v>
      </c>
      <c r="I7493" s="0" t="s">
        <v>2322</v>
      </c>
      <c r="J7493" s="0" t="s">
        <v>2369</v>
      </c>
      <c r="K7493" s="272" t="n">
        <v>3883.99422676036</v>
      </c>
    </row>
    <row r="7494" customFormat="false" ht="15" hidden="false" customHeight="false" outlineLevel="0" collapsed="false">
      <c r="A7494" s="0" t="s">
        <v>2041</v>
      </c>
      <c r="B7494" s="0" t="s">
        <v>2042</v>
      </c>
      <c r="C7494" s="0" t="s">
        <v>2349</v>
      </c>
      <c r="D7494" s="0" t="s">
        <v>2044</v>
      </c>
      <c r="E7494" s="0" t="s">
        <v>2045</v>
      </c>
      <c r="F7494" s="0" t="s">
        <v>2051</v>
      </c>
      <c r="G7494" s="0" t="s">
        <v>2081</v>
      </c>
      <c r="H7494" s="0" t="s">
        <v>2052</v>
      </c>
      <c r="I7494" s="0" t="s">
        <v>2322</v>
      </c>
      <c r="J7494" s="0" t="s">
        <v>2369</v>
      </c>
      <c r="K7494" s="272" t="n">
        <v>294.169933276817</v>
      </c>
    </row>
    <row r="7495" customFormat="false" ht="15" hidden="false" customHeight="false" outlineLevel="0" collapsed="false">
      <c r="A7495" s="0" t="s">
        <v>2041</v>
      </c>
      <c r="B7495" s="0" t="s">
        <v>2042</v>
      </c>
      <c r="C7495" s="0" t="s">
        <v>2349</v>
      </c>
      <c r="D7495" s="0" t="s">
        <v>2044</v>
      </c>
      <c r="E7495" s="0" t="s">
        <v>2045</v>
      </c>
      <c r="F7495" s="0" t="s">
        <v>2046</v>
      </c>
      <c r="G7495" s="0" t="s">
        <v>2082</v>
      </c>
      <c r="H7495" s="0" t="s">
        <v>2048</v>
      </c>
      <c r="I7495" s="0" t="s">
        <v>2322</v>
      </c>
      <c r="J7495" s="0" t="s">
        <v>2369</v>
      </c>
      <c r="K7495" s="272" t="n">
        <v>4303.65468876395</v>
      </c>
    </row>
    <row r="7496" customFormat="false" ht="15" hidden="false" customHeight="false" outlineLevel="0" collapsed="false">
      <c r="A7496" s="0" t="s">
        <v>2041</v>
      </c>
      <c r="B7496" s="0" t="s">
        <v>2042</v>
      </c>
      <c r="C7496" s="0" t="s">
        <v>2349</v>
      </c>
      <c r="D7496" s="0" t="s">
        <v>2044</v>
      </c>
      <c r="E7496" s="0" t="s">
        <v>2045</v>
      </c>
      <c r="F7496" s="0" t="s">
        <v>2046</v>
      </c>
      <c r="G7496" s="0" t="s">
        <v>2083</v>
      </c>
      <c r="H7496" s="0" t="s">
        <v>2048</v>
      </c>
      <c r="I7496" s="0" t="s">
        <v>2322</v>
      </c>
      <c r="J7496" s="0" t="s">
        <v>2369</v>
      </c>
      <c r="K7496" s="272" t="n">
        <v>2056.10986520297</v>
      </c>
    </row>
    <row r="7497" customFormat="false" ht="15" hidden="false" customHeight="false" outlineLevel="0" collapsed="false">
      <c r="A7497" s="0" t="s">
        <v>2041</v>
      </c>
      <c r="B7497" s="0" t="s">
        <v>2042</v>
      </c>
      <c r="C7497" s="0" t="s">
        <v>2349</v>
      </c>
      <c r="D7497" s="0" t="s">
        <v>2044</v>
      </c>
      <c r="E7497" s="0" t="s">
        <v>2045</v>
      </c>
      <c r="F7497" s="0" t="s">
        <v>2051</v>
      </c>
      <c r="G7497" s="0" t="s">
        <v>2083</v>
      </c>
      <c r="H7497" s="0" t="s">
        <v>2052</v>
      </c>
      <c r="I7497" s="0" t="s">
        <v>2322</v>
      </c>
      <c r="J7497" s="0" t="s">
        <v>2369</v>
      </c>
      <c r="K7497" s="272" t="n">
        <v>55.9071158106309</v>
      </c>
    </row>
    <row r="7498" customFormat="false" ht="15" hidden="false" customHeight="false" outlineLevel="0" collapsed="false">
      <c r="A7498" s="0" t="s">
        <v>2041</v>
      </c>
      <c r="B7498" s="0" t="s">
        <v>2042</v>
      </c>
      <c r="C7498" s="0" t="s">
        <v>2349</v>
      </c>
      <c r="D7498" s="0" t="s">
        <v>2044</v>
      </c>
      <c r="E7498" s="0" t="s">
        <v>2045</v>
      </c>
      <c r="F7498" s="0" t="s">
        <v>2046</v>
      </c>
      <c r="G7498" s="0" t="s">
        <v>2084</v>
      </c>
      <c r="H7498" s="0" t="s">
        <v>2048</v>
      </c>
      <c r="I7498" s="0" t="s">
        <v>2322</v>
      </c>
      <c r="J7498" s="0" t="s">
        <v>2369</v>
      </c>
      <c r="K7498" s="272" t="n">
        <v>699.067237427268</v>
      </c>
    </row>
    <row r="7499" customFormat="false" ht="15" hidden="false" customHeight="false" outlineLevel="0" collapsed="false">
      <c r="A7499" s="0" t="s">
        <v>2041</v>
      </c>
      <c r="B7499" s="0" t="s">
        <v>2042</v>
      </c>
      <c r="C7499" s="0" t="s">
        <v>2349</v>
      </c>
      <c r="D7499" s="0" t="s">
        <v>2044</v>
      </c>
      <c r="E7499" s="0" t="s">
        <v>2045</v>
      </c>
      <c r="F7499" s="0" t="s">
        <v>2051</v>
      </c>
      <c r="G7499" s="0" t="s">
        <v>2084</v>
      </c>
      <c r="H7499" s="0" t="s">
        <v>2052</v>
      </c>
      <c r="I7499" s="0" t="s">
        <v>2322</v>
      </c>
      <c r="J7499" s="0" t="s">
        <v>2369</v>
      </c>
      <c r="K7499" s="272" t="n">
        <v>1108.90583825001</v>
      </c>
    </row>
    <row r="7500" customFormat="false" ht="15" hidden="false" customHeight="false" outlineLevel="0" collapsed="false">
      <c r="A7500" s="0" t="s">
        <v>2041</v>
      </c>
      <c r="B7500" s="0" t="s">
        <v>2042</v>
      </c>
      <c r="C7500" s="0" t="s">
        <v>2349</v>
      </c>
      <c r="D7500" s="0" t="s">
        <v>2044</v>
      </c>
      <c r="E7500" s="0" t="s">
        <v>2045</v>
      </c>
      <c r="F7500" s="0" t="s">
        <v>2046</v>
      </c>
      <c r="G7500" s="0" t="s">
        <v>2085</v>
      </c>
      <c r="H7500" s="0" t="s">
        <v>2048</v>
      </c>
      <c r="I7500" s="0" t="s">
        <v>2322</v>
      </c>
      <c r="J7500" s="0" t="s">
        <v>2369</v>
      </c>
      <c r="K7500" s="272" t="n">
        <v>2486.12898668991</v>
      </c>
    </row>
    <row r="7501" customFormat="false" ht="15" hidden="false" customHeight="false" outlineLevel="0" collapsed="false">
      <c r="A7501" s="0" t="s">
        <v>2041</v>
      </c>
      <c r="B7501" s="0" t="s">
        <v>2042</v>
      </c>
      <c r="C7501" s="0" t="s">
        <v>2349</v>
      </c>
      <c r="D7501" s="0" t="s">
        <v>2044</v>
      </c>
      <c r="E7501" s="0" t="s">
        <v>2045</v>
      </c>
      <c r="F7501" s="0" t="s">
        <v>2051</v>
      </c>
      <c r="G7501" s="0" t="s">
        <v>2085</v>
      </c>
      <c r="H7501" s="0" t="s">
        <v>2052</v>
      </c>
      <c r="I7501" s="0" t="s">
        <v>2322</v>
      </c>
      <c r="J7501" s="0" t="s">
        <v>2369</v>
      </c>
      <c r="K7501" s="272" t="n">
        <v>918.87523016256</v>
      </c>
    </row>
    <row r="7502" customFormat="false" ht="15" hidden="false" customHeight="false" outlineLevel="0" collapsed="false">
      <c r="A7502" s="0" t="s">
        <v>2041</v>
      </c>
      <c r="B7502" s="0" t="s">
        <v>2042</v>
      </c>
      <c r="C7502" s="0" t="s">
        <v>2349</v>
      </c>
      <c r="D7502" s="0" t="s">
        <v>2044</v>
      </c>
      <c r="E7502" s="0" t="s">
        <v>2045</v>
      </c>
      <c r="F7502" s="0" t="s">
        <v>2046</v>
      </c>
      <c r="G7502" s="0" t="s">
        <v>2086</v>
      </c>
      <c r="H7502" s="0" t="s">
        <v>2048</v>
      </c>
      <c r="I7502" s="0" t="s">
        <v>2322</v>
      </c>
      <c r="J7502" s="0" t="s">
        <v>2369</v>
      </c>
      <c r="K7502" s="272" t="n">
        <v>2359.69705847215</v>
      </c>
    </row>
    <row r="7503" customFormat="false" ht="15" hidden="false" customHeight="false" outlineLevel="0" collapsed="false">
      <c r="A7503" s="0" t="s">
        <v>2041</v>
      </c>
      <c r="B7503" s="0" t="s">
        <v>2042</v>
      </c>
      <c r="C7503" s="0" t="s">
        <v>2349</v>
      </c>
      <c r="D7503" s="0" t="s">
        <v>2044</v>
      </c>
      <c r="E7503" s="0" t="s">
        <v>2045</v>
      </c>
      <c r="F7503" s="0" t="s">
        <v>2051</v>
      </c>
      <c r="G7503" s="0" t="s">
        <v>2086</v>
      </c>
      <c r="H7503" s="0" t="s">
        <v>2052</v>
      </c>
      <c r="I7503" s="0" t="s">
        <v>2322</v>
      </c>
      <c r="J7503" s="0" t="s">
        <v>2369</v>
      </c>
      <c r="K7503" s="272" t="n">
        <v>293.762305466978</v>
      </c>
    </row>
    <row r="7504" customFormat="false" ht="15" hidden="false" customHeight="false" outlineLevel="0" collapsed="false">
      <c r="A7504" s="0" t="s">
        <v>2041</v>
      </c>
      <c r="B7504" s="0" t="s">
        <v>2042</v>
      </c>
      <c r="C7504" s="0" t="s">
        <v>2349</v>
      </c>
      <c r="D7504" s="0" t="s">
        <v>2044</v>
      </c>
      <c r="E7504" s="0" t="s">
        <v>2045</v>
      </c>
      <c r="F7504" s="0" t="s">
        <v>2046</v>
      </c>
      <c r="G7504" s="0" t="s">
        <v>2087</v>
      </c>
      <c r="H7504" s="0" t="s">
        <v>2048</v>
      </c>
      <c r="I7504" s="0" t="s">
        <v>2322</v>
      </c>
      <c r="J7504" s="0" t="s">
        <v>2369</v>
      </c>
      <c r="K7504" s="272" t="n">
        <v>2529.11410058055</v>
      </c>
    </row>
    <row r="7505" customFormat="false" ht="15" hidden="false" customHeight="false" outlineLevel="0" collapsed="false">
      <c r="A7505" s="0" t="s">
        <v>2041</v>
      </c>
      <c r="B7505" s="0" t="s">
        <v>2042</v>
      </c>
      <c r="C7505" s="0" t="s">
        <v>2349</v>
      </c>
      <c r="D7505" s="0" t="s">
        <v>2044</v>
      </c>
      <c r="E7505" s="0" t="s">
        <v>2045</v>
      </c>
      <c r="F7505" s="0" t="s">
        <v>2051</v>
      </c>
      <c r="G7505" s="0" t="s">
        <v>2087</v>
      </c>
      <c r="H7505" s="0" t="s">
        <v>2052</v>
      </c>
      <c r="I7505" s="0" t="s">
        <v>2322</v>
      </c>
      <c r="J7505" s="0" t="s">
        <v>2369</v>
      </c>
      <c r="K7505" s="272" t="n">
        <v>2938.16656249249</v>
      </c>
    </row>
    <row r="7506" customFormat="false" ht="15" hidden="false" customHeight="false" outlineLevel="0" collapsed="false">
      <c r="A7506" s="0" t="s">
        <v>2041</v>
      </c>
      <c r="B7506" s="0" t="s">
        <v>2042</v>
      </c>
      <c r="C7506" s="0" t="s">
        <v>2349</v>
      </c>
      <c r="D7506" s="0" t="s">
        <v>2044</v>
      </c>
      <c r="E7506" s="0" t="s">
        <v>2045</v>
      </c>
      <c r="F7506" s="0" t="s">
        <v>2046</v>
      </c>
      <c r="G7506" s="0" t="s">
        <v>2088</v>
      </c>
      <c r="H7506" s="0" t="s">
        <v>2048</v>
      </c>
      <c r="I7506" s="0" t="s">
        <v>2322</v>
      </c>
      <c r="J7506" s="0" t="s">
        <v>2369</v>
      </c>
      <c r="K7506" s="272" t="n">
        <v>1789.3679348668</v>
      </c>
    </row>
    <row r="7507" customFormat="false" ht="15" hidden="false" customHeight="false" outlineLevel="0" collapsed="false">
      <c r="A7507" s="0" t="s">
        <v>2041</v>
      </c>
      <c r="B7507" s="0" t="s">
        <v>2042</v>
      </c>
      <c r="C7507" s="0" t="s">
        <v>2349</v>
      </c>
      <c r="D7507" s="0" t="s">
        <v>2044</v>
      </c>
      <c r="E7507" s="0" t="s">
        <v>2045</v>
      </c>
      <c r="F7507" s="0" t="s">
        <v>2051</v>
      </c>
      <c r="G7507" s="0" t="s">
        <v>2088</v>
      </c>
      <c r="H7507" s="0" t="s">
        <v>2052</v>
      </c>
      <c r="I7507" s="0" t="s">
        <v>2322</v>
      </c>
      <c r="J7507" s="0" t="s">
        <v>2369</v>
      </c>
      <c r="K7507" s="272" t="n">
        <v>383.422991515607</v>
      </c>
    </row>
    <row r="7508" customFormat="false" ht="15" hidden="false" customHeight="false" outlineLevel="0" collapsed="false">
      <c r="A7508" s="0" t="s">
        <v>2041</v>
      </c>
      <c r="B7508" s="0" t="s">
        <v>2042</v>
      </c>
      <c r="C7508" s="0" t="s">
        <v>2349</v>
      </c>
      <c r="D7508" s="0" t="s">
        <v>2044</v>
      </c>
      <c r="E7508" s="0" t="s">
        <v>2045</v>
      </c>
      <c r="F7508" s="0" t="s">
        <v>2046</v>
      </c>
      <c r="G7508" s="0" t="s">
        <v>2089</v>
      </c>
      <c r="H7508" s="0" t="s">
        <v>2048</v>
      </c>
      <c r="I7508" s="0" t="s">
        <v>2322</v>
      </c>
      <c r="J7508" s="0" t="s">
        <v>2369</v>
      </c>
      <c r="K7508" s="272" t="n">
        <v>507.3194063158</v>
      </c>
    </row>
    <row r="7509" customFormat="false" ht="15" hidden="false" customHeight="false" outlineLevel="0" collapsed="false">
      <c r="A7509" s="0" t="s">
        <v>2041</v>
      </c>
      <c r="B7509" s="0" t="s">
        <v>2042</v>
      </c>
      <c r="C7509" s="0" t="s">
        <v>2349</v>
      </c>
      <c r="D7509" s="0" t="s">
        <v>2044</v>
      </c>
      <c r="E7509" s="0" t="s">
        <v>2045</v>
      </c>
      <c r="F7509" s="0" t="s">
        <v>2051</v>
      </c>
      <c r="G7509" s="0" t="s">
        <v>2089</v>
      </c>
      <c r="H7509" s="0" t="s">
        <v>2052</v>
      </c>
      <c r="I7509" s="0" t="s">
        <v>2322</v>
      </c>
      <c r="J7509" s="0" t="s">
        <v>2369</v>
      </c>
      <c r="K7509" s="272" t="n">
        <v>5.12443844763434</v>
      </c>
    </row>
    <row r="7510" customFormat="false" ht="15" hidden="false" customHeight="false" outlineLevel="0" collapsed="false">
      <c r="A7510" s="0" t="s">
        <v>2041</v>
      </c>
      <c r="B7510" s="0" t="s">
        <v>2042</v>
      </c>
      <c r="C7510" s="0" t="s">
        <v>2349</v>
      </c>
      <c r="D7510" s="0" t="s">
        <v>2044</v>
      </c>
      <c r="E7510" s="0" t="s">
        <v>2045</v>
      </c>
      <c r="F7510" s="0" t="s">
        <v>2046</v>
      </c>
      <c r="G7510" s="0" t="s">
        <v>2090</v>
      </c>
      <c r="H7510" s="0" t="s">
        <v>2048</v>
      </c>
      <c r="I7510" s="0" t="s">
        <v>2322</v>
      </c>
      <c r="J7510" s="0" t="s">
        <v>2369</v>
      </c>
      <c r="K7510" s="272" t="n">
        <v>3312.93766031721</v>
      </c>
    </row>
    <row r="7511" customFormat="false" ht="15" hidden="false" customHeight="false" outlineLevel="0" collapsed="false">
      <c r="A7511" s="0" t="s">
        <v>2041</v>
      </c>
      <c r="B7511" s="0" t="s">
        <v>2042</v>
      </c>
      <c r="C7511" s="0" t="s">
        <v>2349</v>
      </c>
      <c r="D7511" s="0" t="s">
        <v>2044</v>
      </c>
      <c r="E7511" s="0" t="s">
        <v>2045</v>
      </c>
      <c r="F7511" s="0" t="s">
        <v>2051</v>
      </c>
      <c r="G7511" s="0" t="s">
        <v>2090</v>
      </c>
      <c r="H7511" s="0" t="s">
        <v>2052</v>
      </c>
      <c r="I7511" s="0" t="s">
        <v>2322</v>
      </c>
      <c r="J7511" s="0" t="s">
        <v>2369</v>
      </c>
      <c r="K7511" s="272" t="n">
        <v>1094.71976843065</v>
      </c>
    </row>
    <row r="7512" customFormat="false" ht="15" hidden="false" customHeight="false" outlineLevel="0" collapsed="false">
      <c r="A7512" s="0" t="s">
        <v>2041</v>
      </c>
      <c r="B7512" s="0" t="s">
        <v>2042</v>
      </c>
      <c r="C7512" s="0" t="s">
        <v>2349</v>
      </c>
      <c r="D7512" s="0" t="s">
        <v>2044</v>
      </c>
      <c r="E7512" s="0" t="s">
        <v>2045</v>
      </c>
      <c r="F7512" s="0" t="s">
        <v>2046</v>
      </c>
      <c r="G7512" s="0" t="s">
        <v>2091</v>
      </c>
      <c r="H7512" s="0" t="s">
        <v>2048</v>
      </c>
      <c r="I7512" s="0" t="s">
        <v>2322</v>
      </c>
      <c r="J7512" s="0" t="s">
        <v>2369</v>
      </c>
      <c r="K7512" s="272" t="n">
        <v>1484.27607666276</v>
      </c>
    </row>
    <row r="7513" customFormat="false" ht="15" hidden="false" customHeight="false" outlineLevel="0" collapsed="false">
      <c r="A7513" s="0" t="s">
        <v>2041</v>
      </c>
      <c r="B7513" s="0" t="s">
        <v>2042</v>
      </c>
      <c r="C7513" s="0" t="s">
        <v>2349</v>
      </c>
      <c r="D7513" s="0" t="s">
        <v>2044</v>
      </c>
      <c r="E7513" s="0" t="s">
        <v>2045</v>
      </c>
      <c r="F7513" s="0" t="s">
        <v>2051</v>
      </c>
      <c r="G7513" s="0" t="s">
        <v>2091</v>
      </c>
      <c r="H7513" s="0" t="s">
        <v>2052</v>
      </c>
      <c r="I7513" s="0" t="s">
        <v>2322</v>
      </c>
      <c r="J7513" s="0" t="s">
        <v>2369</v>
      </c>
      <c r="K7513" s="272" t="n">
        <v>2464.89945536911</v>
      </c>
    </row>
    <row r="7514" customFormat="false" ht="15" hidden="false" customHeight="false" outlineLevel="0" collapsed="false">
      <c r="A7514" s="0" t="s">
        <v>2041</v>
      </c>
      <c r="B7514" s="0" t="s">
        <v>2042</v>
      </c>
      <c r="C7514" s="0" t="s">
        <v>2349</v>
      </c>
      <c r="D7514" s="0" t="s">
        <v>2044</v>
      </c>
      <c r="E7514" s="0" t="s">
        <v>2045</v>
      </c>
      <c r="F7514" s="0" t="s">
        <v>2046</v>
      </c>
      <c r="G7514" s="0" t="s">
        <v>2092</v>
      </c>
      <c r="H7514" s="0" t="s">
        <v>2048</v>
      </c>
      <c r="I7514" s="0" t="s">
        <v>2322</v>
      </c>
      <c r="J7514" s="0" t="s">
        <v>2369</v>
      </c>
      <c r="K7514" s="272" t="n">
        <v>940.450876526122</v>
      </c>
    </row>
    <row r="7515" customFormat="false" ht="15" hidden="false" customHeight="false" outlineLevel="0" collapsed="false">
      <c r="A7515" s="0" t="s">
        <v>2041</v>
      </c>
      <c r="B7515" s="0" t="s">
        <v>2042</v>
      </c>
      <c r="C7515" s="0" t="s">
        <v>2349</v>
      </c>
      <c r="D7515" s="0" t="s">
        <v>2044</v>
      </c>
      <c r="E7515" s="0" t="s">
        <v>2045</v>
      </c>
      <c r="F7515" s="0" t="s">
        <v>2051</v>
      </c>
      <c r="G7515" s="0" t="s">
        <v>2092</v>
      </c>
      <c r="H7515" s="0" t="s">
        <v>2052</v>
      </c>
      <c r="I7515" s="0" t="s">
        <v>2322</v>
      </c>
      <c r="J7515" s="0" t="s">
        <v>2369</v>
      </c>
      <c r="K7515" s="272" t="n">
        <v>49.4974145540064</v>
      </c>
    </row>
    <row r="7516" customFormat="false" ht="15" hidden="false" customHeight="false" outlineLevel="0" collapsed="false">
      <c r="A7516" s="0" t="s">
        <v>2041</v>
      </c>
      <c r="B7516" s="0" t="s">
        <v>2042</v>
      </c>
      <c r="C7516" s="0" t="s">
        <v>2349</v>
      </c>
      <c r="D7516" s="0" t="s">
        <v>2044</v>
      </c>
      <c r="E7516" s="0" t="s">
        <v>2045</v>
      </c>
      <c r="F7516" s="0" t="s">
        <v>2046</v>
      </c>
      <c r="G7516" s="0" t="s">
        <v>2093</v>
      </c>
      <c r="H7516" s="0" t="s">
        <v>2048</v>
      </c>
      <c r="I7516" s="0" t="s">
        <v>2322</v>
      </c>
      <c r="J7516" s="0" t="s">
        <v>2369</v>
      </c>
      <c r="K7516" s="272" t="n">
        <v>3011.42178275879</v>
      </c>
    </row>
    <row r="7517" customFormat="false" ht="15" hidden="false" customHeight="false" outlineLevel="0" collapsed="false">
      <c r="A7517" s="0" t="s">
        <v>2041</v>
      </c>
      <c r="B7517" s="0" t="s">
        <v>2042</v>
      </c>
      <c r="C7517" s="0" t="s">
        <v>2349</v>
      </c>
      <c r="D7517" s="0" t="s">
        <v>2044</v>
      </c>
      <c r="E7517" s="0" t="s">
        <v>2045</v>
      </c>
      <c r="F7517" s="0" t="s">
        <v>2051</v>
      </c>
      <c r="G7517" s="0" t="s">
        <v>2093</v>
      </c>
      <c r="H7517" s="0" t="s">
        <v>2052</v>
      </c>
      <c r="I7517" s="0" t="s">
        <v>2322</v>
      </c>
      <c r="J7517" s="0" t="s">
        <v>2369</v>
      </c>
      <c r="K7517" s="272" t="n">
        <v>288.270033267841</v>
      </c>
    </row>
    <row r="7518" customFormat="false" ht="15" hidden="false" customHeight="false" outlineLevel="0" collapsed="false">
      <c r="A7518" s="0" t="s">
        <v>2041</v>
      </c>
      <c r="B7518" s="0" t="s">
        <v>2042</v>
      </c>
      <c r="C7518" s="0" t="s">
        <v>2349</v>
      </c>
      <c r="D7518" s="0" t="s">
        <v>2044</v>
      </c>
      <c r="E7518" s="0" t="s">
        <v>2045</v>
      </c>
      <c r="F7518" s="0" t="s">
        <v>2046</v>
      </c>
      <c r="G7518" s="0" t="s">
        <v>2094</v>
      </c>
      <c r="H7518" s="0" t="s">
        <v>2048</v>
      </c>
      <c r="I7518" s="0" t="s">
        <v>2322</v>
      </c>
      <c r="J7518" s="0" t="s">
        <v>2369</v>
      </c>
      <c r="K7518" s="272" t="n">
        <v>2100.95048182342</v>
      </c>
    </row>
    <row r="7519" customFormat="false" ht="15" hidden="false" customHeight="false" outlineLevel="0" collapsed="false">
      <c r="A7519" s="0" t="s">
        <v>2041</v>
      </c>
      <c r="B7519" s="0" t="s">
        <v>2042</v>
      </c>
      <c r="C7519" s="0" t="s">
        <v>2349</v>
      </c>
      <c r="D7519" s="0" t="s">
        <v>2044</v>
      </c>
      <c r="E7519" s="0" t="s">
        <v>2045</v>
      </c>
      <c r="F7519" s="0" t="s">
        <v>2051</v>
      </c>
      <c r="G7519" s="0" t="s">
        <v>2094</v>
      </c>
      <c r="H7519" s="0" t="s">
        <v>2052</v>
      </c>
      <c r="I7519" s="0" t="s">
        <v>2322</v>
      </c>
      <c r="J7519" s="0" t="s">
        <v>2369</v>
      </c>
      <c r="K7519" s="272" t="n">
        <v>1831.00375813037</v>
      </c>
    </row>
    <row r="7520" customFormat="false" ht="15" hidden="false" customHeight="false" outlineLevel="0" collapsed="false">
      <c r="A7520" s="0" t="s">
        <v>2041</v>
      </c>
      <c r="B7520" s="0" t="s">
        <v>2042</v>
      </c>
      <c r="C7520" s="0" t="s">
        <v>2349</v>
      </c>
      <c r="D7520" s="0" t="s">
        <v>2044</v>
      </c>
      <c r="E7520" s="0" t="s">
        <v>2045</v>
      </c>
      <c r="F7520" s="0" t="s">
        <v>2046</v>
      </c>
      <c r="G7520" s="0" t="s">
        <v>2095</v>
      </c>
      <c r="H7520" s="0" t="s">
        <v>2048</v>
      </c>
      <c r="I7520" s="0" t="s">
        <v>2322</v>
      </c>
      <c r="J7520" s="0" t="s">
        <v>2369</v>
      </c>
      <c r="K7520" s="272" t="n">
        <v>2761.92373104472</v>
      </c>
    </row>
    <row r="7521" customFormat="false" ht="15" hidden="false" customHeight="false" outlineLevel="0" collapsed="false">
      <c r="A7521" s="0" t="s">
        <v>2041</v>
      </c>
      <c r="B7521" s="0" t="s">
        <v>2042</v>
      </c>
      <c r="C7521" s="0" t="s">
        <v>2349</v>
      </c>
      <c r="D7521" s="0" t="s">
        <v>2044</v>
      </c>
      <c r="E7521" s="0" t="s">
        <v>2045</v>
      </c>
      <c r="F7521" s="0" t="s">
        <v>2051</v>
      </c>
      <c r="G7521" s="0" t="s">
        <v>2095</v>
      </c>
      <c r="H7521" s="0" t="s">
        <v>2052</v>
      </c>
      <c r="I7521" s="0" t="s">
        <v>2322</v>
      </c>
      <c r="J7521" s="0" t="s">
        <v>2369</v>
      </c>
      <c r="K7521" s="272" t="n">
        <v>2040.91139359758</v>
      </c>
    </row>
    <row r="7522" customFormat="false" ht="15" hidden="false" customHeight="false" outlineLevel="0" collapsed="false">
      <c r="A7522" s="0" t="s">
        <v>2041</v>
      </c>
      <c r="B7522" s="0" t="s">
        <v>2042</v>
      </c>
      <c r="C7522" s="0" t="s">
        <v>2349</v>
      </c>
      <c r="D7522" s="0" t="s">
        <v>2044</v>
      </c>
      <c r="E7522" s="0" t="s">
        <v>2045</v>
      </c>
      <c r="F7522" s="0" t="s">
        <v>2046</v>
      </c>
      <c r="G7522" s="0" t="s">
        <v>2098</v>
      </c>
      <c r="H7522" s="0" t="s">
        <v>2048</v>
      </c>
      <c r="I7522" s="0" t="s">
        <v>2322</v>
      </c>
      <c r="J7522" s="0" t="s">
        <v>2369</v>
      </c>
      <c r="K7522" s="272" t="n">
        <v>955.540029013927</v>
      </c>
    </row>
    <row r="7523" customFormat="false" ht="15" hidden="false" customHeight="false" outlineLevel="0" collapsed="false">
      <c r="A7523" s="0" t="s">
        <v>2041</v>
      </c>
      <c r="B7523" s="0" t="s">
        <v>2042</v>
      </c>
      <c r="C7523" s="0" t="s">
        <v>2349</v>
      </c>
      <c r="D7523" s="0" t="s">
        <v>2044</v>
      </c>
      <c r="E7523" s="0" t="s">
        <v>2045</v>
      </c>
      <c r="F7523" s="0" t="s">
        <v>2051</v>
      </c>
      <c r="G7523" s="0" t="s">
        <v>2098</v>
      </c>
      <c r="H7523" s="0" t="s">
        <v>2052</v>
      </c>
      <c r="I7523" s="0" t="s">
        <v>2322</v>
      </c>
      <c r="J7523" s="0" t="s">
        <v>2369</v>
      </c>
      <c r="K7523" s="272" t="n">
        <v>19.5008169186516</v>
      </c>
    </row>
    <row r="7524" customFormat="false" ht="15" hidden="false" customHeight="false" outlineLevel="0" collapsed="false">
      <c r="A7524" s="0" t="s">
        <v>2041</v>
      </c>
      <c r="B7524" s="0" t="s">
        <v>2042</v>
      </c>
      <c r="C7524" s="0" t="s">
        <v>2349</v>
      </c>
      <c r="D7524" s="0" t="s">
        <v>2044</v>
      </c>
      <c r="E7524" s="0" t="s">
        <v>2045</v>
      </c>
      <c r="F7524" s="0" t="s">
        <v>2099</v>
      </c>
      <c r="G7524" s="0" t="s">
        <v>2064</v>
      </c>
      <c r="H7524" s="0" t="s">
        <v>2100</v>
      </c>
      <c r="I7524" s="0" t="s">
        <v>2322</v>
      </c>
      <c r="J7524" s="0" t="s">
        <v>2369</v>
      </c>
      <c r="K7524" s="272" t="n">
        <v>1457.66975963834</v>
      </c>
    </row>
    <row r="7525" customFormat="false" ht="15" hidden="false" customHeight="false" outlineLevel="0" collapsed="false">
      <c r="A7525" s="0" t="s">
        <v>2041</v>
      </c>
      <c r="B7525" s="0" t="s">
        <v>2042</v>
      </c>
      <c r="C7525" s="0" t="s">
        <v>2349</v>
      </c>
      <c r="D7525" s="0" t="s">
        <v>2044</v>
      </c>
      <c r="E7525" s="0" t="s">
        <v>2045</v>
      </c>
      <c r="F7525" s="0" t="s">
        <v>2099</v>
      </c>
      <c r="G7525" s="0" t="s">
        <v>2076</v>
      </c>
      <c r="H7525" s="0" t="s">
        <v>2100</v>
      </c>
      <c r="I7525" s="0" t="s">
        <v>2322</v>
      </c>
      <c r="J7525" s="0" t="s">
        <v>2369</v>
      </c>
      <c r="K7525" s="272" t="n">
        <v>1049.06800954219</v>
      </c>
    </row>
    <row r="7526" customFormat="false" ht="15" hidden="false" customHeight="false" outlineLevel="0" collapsed="false">
      <c r="A7526" s="0" t="s">
        <v>2041</v>
      </c>
      <c r="B7526" s="0" t="s">
        <v>2042</v>
      </c>
      <c r="C7526" s="0" t="s">
        <v>2349</v>
      </c>
      <c r="D7526" s="0" t="s">
        <v>2044</v>
      </c>
      <c r="E7526" s="0" t="s">
        <v>2045</v>
      </c>
      <c r="F7526" s="0" t="s">
        <v>2099</v>
      </c>
      <c r="G7526" s="0" t="s">
        <v>2081</v>
      </c>
      <c r="H7526" s="0" t="s">
        <v>2100</v>
      </c>
      <c r="I7526" s="0" t="s">
        <v>2322</v>
      </c>
      <c r="J7526" s="0" t="s">
        <v>2369</v>
      </c>
      <c r="K7526" s="272" t="n">
        <v>909.975987115272</v>
      </c>
    </row>
    <row r="7527" customFormat="false" ht="15" hidden="false" customHeight="false" outlineLevel="0" collapsed="false">
      <c r="A7527" s="0" t="s">
        <v>2041</v>
      </c>
      <c r="B7527" s="0" t="s">
        <v>2042</v>
      </c>
      <c r="C7527" s="0" t="s">
        <v>2349</v>
      </c>
      <c r="D7527" s="0" t="s">
        <v>2044</v>
      </c>
      <c r="E7527" s="0" t="s">
        <v>2045</v>
      </c>
      <c r="F7527" s="0" t="s">
        <v>2099</v>
      </c>
      <c r="G7527" s="0" t="s">
        <v>2085</v>
      </c>
      <c r="H7527" s="0" t="s">
        <v>2100</v>
      </c>
      <c r="I7527" s="0" t="s">
        <v>2322</v>
      </c>
      <c r="J7527" s="0" t="s">
        <v>2369</v>
      </c>
      <c r="K7527" s="272" t="n">
        <v>1179.08660839143</v>
      </c>
    </row>
    <row r="7528" customFormat="false" ht="15" hidden="false" customHeight="false" outlineLevel="0" collapsed="false">
      <c r="A7528" s="0" t="s">
        <v>2041</v>
      </c>
      <c r="B7528" s="0" t="s">
        <v>2042</v>
      </c>
      <c r="C7528" s="0" t="s">
        <v>2349</v>
      </c>
      <c r="D7528" s="0" t="s">
        <v>2044</v>
      </c>
      <c r="E7528" s="0" t="s">
        <v>2045</v>
      </c>
      <c r="F7528" s="0" t="s">
        <v>2099</v>
      </c>
      <c r="G7528" s="0" t="s">
        <v>2086</v>
      </c>
      <c r="H7528" s="0" t="s">
        <v>2100</v>
      </c>
      <c r="I7528" s="0" t="s">
        <v>2322</v>
      </c>
      <c r="J7528" s="0" t="s">
        <v>2369</v>
      </c>
      <c r="K7528" s="272" t="n">
        <v>460.733580716345</v>
      </c>
    </row>
    <row r="7529" customFormat="false" ht="15" hidden="false" customHeight="false" outlineLevel="0" collapsed="false">
      <c r="A7529" s="0" t="s">
        <v>2041</v>
      </c>
      <c r="B7529" s="0" t="s">
        <v>2042</v>
      </c>
      <c r="C7529" s="0" t="s">
        <v>2349</v>
      </c>
      <c r="D7529" s="0" t="s">
        <v>2044</v>
      </c>
      <c r="E7529" s="0" t="s">
        <v>2045</v>
      </c>
      <c r="F7529" s="0" t="s">
        <v>2099</v>
      </c>
      <c r="G7529" s="0" t="s">
        <v>2095</v>
      </c>
      <c r="H7529" s="0" t="s">
        <v>2100</v>
      </c>
      <c r="I7529" s="0" t="s">
        <v>2322</v>
      </c>
      <c r="J7529" s="0" t="s">
        <v>2369</v>
      </c>
      <c r="K7529" s="272" t="n">
        <v>399.123880227792</v>
      </c>
    </row>
    <row r="7530" customFormat="false" ht="15" hidden="false" customHeight="false" outlineLevel="0" collapsed="false">
      <c r="A7530" s="273" t="s">
        <v>2041</v>
      </c>
      <c r="B7530" s="273" t="s">
        <v>2042</v>
      </c>
      <c r="C7530" s="273" t="s">
        <v>2156</v>
      </c>
      <c r="D7530" s="273" t="s">
        <v>2279</v>
      </c>
      <c r="E7530" s="273" t="s">
        <v>2279</v>
      </c>
      <c r="F7530" s="273" t="s">
        <v>2280</v>
      </c>
      <c r="G7530" s="273" t="s">
        <v>2281</v>
      </c>
      <c r="H7530" s="273" t="s">
        <v>2284</v>
      </c>
      <c r="I7530" s="273"/>
      <c r="J7530" s="273" t="s">
        <v>2368</v>
      </c>
      <c r="K7530" s="274" t="n">
        <v>-2034718.28</v>
      </c>
    </row>
    <row r="7531" customFormat="false" ht="15" hidden="false" customHeight="false" outlineLevel="0" collapsed="false">
      <c r="A7531" s="273" t="s">
        <v>2041</v>
      </c>
      <c r="B7531" s="273" t="s">
        <v>2042</v>
      </c>
      <c r="C7531" s="273" t="s">
        <v>2156</v>
      </c>
      <c r="D7531" s="273" t="s">
        <v>2279</v>
      </c>
      <c r="E7531" s="273" t="s">
        <v>2279</v>
      </c>
      <c r="F7531" s="273" t="s">
        <v>2280</v>
      </c>
      <c r="G7531" s="273" t="s">
        <v>2281</v>
      </c>
      <c r="H7531" s="273" t="s">
        <v>2153</v>
      </c>
      <c r="I7531" s="273"/>
      <c r="J7531" s="273" t="s">
        <v>2368</v>
      </c>
      <c r="K7531" s="274" t="n">
        <v>-3750184.97</v>
      </c>
    </row>
    <row r="7532" customFormat="false" ht="15" hidden="false" customHeight="false" outlineLevel="0" collapsed="false">
      <c r="A7532" s="273" t="s">
        <v>2041</v>
      </c>
      <c r="B7532" s="273" t="s">
        <v>2042</v>
      </c>
      <c r="C7532" s="273" t="s">
        <v>2156</v>
      </c>
      <c r="D7532" s="273" t="s">
        <v>2279</v>
      </c>
      <c r="E7532" s="273" t="s">
        <v>2279</v>
      </c>
      <c r="F7532" s="273" t="s">
        <v>2280</v>
      </c>
      <c r="G7532" s="273" t="s">
        <v>2281</v>
      </c>
      <c r="H7532" s="273" t="s">
        <v>2287</v>
      </c>
      <c r="I7532" s="273"/>
      <c r="J7532" s="273" t="s">
        <v>2368</v>
      </c>
      <c r="K7532" s="274" t="n">
        <v>-444140.42</v>
      </c>
    </row>
    <row r="7533" customFormat="false" ht="15" hidden="false" customHeight="false" outlineLevel="0" collapsed="false">
      <c r="A7533" s="273" t="s">
        <v>2041</v>
      </c>
      <c r="B7533" s="273" t="s">
        <v>2042</v>
      </c>
      <c r="C7533" s="273" t="s">
        <v>2156</v>
      </c>
      <c r="D7533" s="273" t="s">
        <v>2279</v>
      </c>
      <c r="E7533" s="273" t="s">
        <v>2279</v>
      </c>
      <c r="F7533" s="273" t="s">
        <v>2280</v>
      </c>
      <c r="G7533" s="273" t="s">
        <v>2281</v>
      </c>
      <c r="H7533" s="273" t="s">
        <v>2304</v>
      </c>
      <c r="I7533" s="273"/>
      <c r="J7533" s="273" t="s">
        <v>2368</v>
      </c>
      <c r="K7533" s="274" t="n">
        <v>-429335.73</v>
      </c>
    </row>
    <row r="7534" customFormat="false" ht="15" hidden="false" customHeight="false" outlineLevel="0" collapsed="false">
      <c r="A7534" s="273" t="s">
        <v>2041</v>
      </c>
      <c r="B7534" s="273" t="s">
        <v>2042</v>
      </c>
      <c r="C7534" s="273" t="s">
        <v>2156</v>
      </c>
      <c r="D7534" s="273" t="s">
        <v>2279</v>
      </c>
      <c r="E7534" s="273" t="s">
        <v>2279</v>
      </c>
      <c r="F7534" s="273" t="s">
        <v>2280</v>
      </c>
      <c r="G7534" s="273" t="s">
        <v>2281</v>
      </c>
      <c r="H7534" s="273" t="s">
        <v>2291</v>
      </c>
      <c r="I7534" s="273"/>
      <c r="J7534" s="273" t="s">
        <v>2368</v>
      </c>
      <c r="K7534" s="274" t="n">
        <v>-463879.99</v>
      </c>
    </row>
    <row r="7535" customFormat="false" ht="15" hidden="false" customHeight="false" outlineLevel="0" collapsed="false">
      <c r="A7535" s="273" t="s">
        <v>2041</v>
      </c>
      <c r="B7535" s="273" t="s">
        <v>2042</v>
      </c>
      <c r="C7535" s="273" t="s">
        <v>2156</v>
      </c>
      <c r="D7535" s="273" t="s">
        <v>2279</v>
      </c>
      <c r="E7535" s="273" t="s">
        <v>2279</v>
      </c>
      <c r="F7535" s="273" t="s">
        <v>2280</v>
      </c>
      <c r="G7535" s="273" t="s">
        <v>2281</v>
      </c>
      <c r="H7535" s="273" t="s">
        <v>2289</v>
      </c>
      <c r="I7535" s="273"/>
      <c r="J7535" s="273" t="s">
        <v>2368</v>
      </c>
      <c r="K7535" s="274" t="n">
        <v>-493489.35</v>
      </c>
    </row>
    <row r="7536" customFormat="false" ht="15" hidden="false" customHeight="false" outlineLevel="0" collapsed="false">
      <c r="A7536" s="273" t="s">
        <v>2041</v>
      </c>
      <c r="B7536" s="273" t="s">
        <v>2042</v>
      </c>
      <c r="C7536" s="273" t="s">
        <v>2156</v>
      </c>
      <c r="D7536" s="273" t="s">
        <v>2279</v>
      </c>
      <c r="E7536" s="273" t="s">
        <v>2279</v>
      </c>
      <c r="F7536" s="273" t="s">
        <v>2280</v>
      </c>
      <c r="G7536" s="273" t="s">
        <v>2281</v>
      </c>
      <c r="H7536" s="273" t="s">
        <v>2288</v>
      </c>
      <c r="I7536" s="273"/>
      <c r="J7536" s="273" t="s">
        <v>2368</v>
      </c>
      <c r="K7536" s="274" t="n">
        <v>-1381770.18</v>
      </c>
    </row>
    <row r="7537" customFormat="false" ht="15" hidden="false" customHeight="false" outlineLevel="0" collapsed="false">
      <c r="A7537" s="273" t="s">
        <v>2041</v>
      </c>
      <c r="B7537" s="273" t="s">
        <v>2042</v>
      </c>
      <c r="C7537" s="273" t="s">
        <v>2156</v>
      </c>
      <c r="D7537" s="273" t="s">
        <v>2279</v>
      </c>
      <c r="E7537" s="273" t="s">
        <v>2279</v>
      </c>
      <c r="F7537" s="273" t="s">
        <v>2280</v>
      </c>
      <c r="G7537" s="273" t="s">
        <v>2281</v>
      </c>
      <c r="H7537" s="273" t="s">
        <v>2107</v>
      </c>
      <c r="I7537" s="273"/>
      <c r="J7537" s="273" t="s">
        <v>2368</v>
      </c>
      <c r="K7537" s="274" t="n">
        <v>-1427006.7</v>
      </c>
    </row>
    <row r="7538" customFormat="false" ht="15" hidden="false" customHeight="false" outlineLevel="0" collapsed="false">
      <c r="A7538" s="273" t="s">
        <v>2041</v>
      </c>
      <c r="B7538" s="273" t="s">
        <v>2042</v>
      </c>
      <c r="C7538" s="273" t="s">
        <v>2156</v>
      </c>
      <c r="D7538" s="273" t="s">
        <v>2279</v>
      </c>
      <c r="E7538" s="273" t="s">
        <v>2279</v>
      </c>
      <c r="F7538" s="273" t="s">
        <v>2280</v>
      </c>
      <c r="G7538" s="273" t="s">
        <v>2281</v>
      </c>
      <c r="H7538" s="273" t="s">
        <v>2351</v>
      </c>
      <c r="I7538" s="273"/>
      <c r="J7538" s="273" t="s">
        <v>2368</v>
      </c>
      <c r="K7538" s="274" t="n">
        <v>0</v>
      </c>
    </row>
    <row r="7539" customFormat="false" ht="15" hidden="false" customHeight="false" outlineLevel="0" collapsed="false">
      <c r="A7539" s="273" t="s">
        <v>2041</v>
      </c>
      <c r="B7539" s="273" t="s">
        <v>2042</v>
      </c>
      <c r="C7539" s="273" t="s">
        <v>2156</v>
      </c>
      <c r="D7539" s="273" t="s">
        <v>2279</v>
      </c>
      <c r="E7539" s="273" t="s">
        <v>2279</v>
      </c>
      <c r="F7539" s="273" t="s">
        <v>2280</v>
      </c>
      <c r="G7539" s="273" t="s">
        <v>2281</v>
      </c>
      <c r="H7539" s="273" t="s">
        <v>2290</v>
      </c>
      <c r="I7539" s="273"/>
      <c r="J7539" s="273" t="s">
        <v>2368</v>
      </c>
      <c r="K7539" s="274" t="n">
        <v>-789582.96</v>
      </c>
    </row>
    <row r="7540" customFormat="false" ht="15" hidden="false" customHeight="false" outlineLevel="0" collapsed="false">
      <c r="A7540" s="273" t="s">
        <v>2041</v>
      </c>
      <c r="B7540" s="273" t="s">
        <v>2042</v>
      </c>
      <c r="C7540" s="273" t="s">
        <v>2156</v>
      </c>
      <c r="D7540" s="273" t="s">
        <v>2279</v>
      </c>
      <c r="E7540" s="273" t="s">
        <v>2279</v>
      </c>
      <c r="F7540" s="273" t="s">
        <v>2280</v>
      </c>
      <c r="G7540" s="273" t="s">
        <v>2281</v>
      </c>
      <c r="H7540" s="273" t="s">
        <v>2286</v>
      </c>
      <c r="I7540" s="273"/>
      <c r="J7540" s="273" t="s">
        <v>2368</v>
      </c>
      <c r="K7540" s="274" t="n">
        <v>0</v>
      </c>
    </row>
    <row r="7541" customFormat="false" ht="15" hidden="false" customHeight="false" outlineLevel="0" collapsed="false">
      <c r="A7541" s="273" t="s">
        <v>2041</v>
      </c>
      <c r="B7541" s="273" t="s">
        <v>2042</v>
      </c>
      <c r="C7541" s="273" t="s">
        <v>2156</v>
      </c>
      <c r="D7541" s="273" t="s">
        <v>2279</v>
      </c>
      <c r="E7541" s="273" t="s">
        <v>2279</v>
      </c>
      <c r="F7541" s="273" t="s">
        <v>2280</v>
      </c>
      <c r="G7541" s="273" t="s">
        <v>2281</v>
      </c>
      <c r="H7541" s="273" t="s">
        <v>2285</v>
      </c>
      <c r="I7541" s="273"/>
      <c r="J7541" s="273" t="s">
        <v>2368</v>
      </c>
      <c r="K7541" s="274" t="n">
        <v>0</v>
      </c>
    </row>
    <row r="7542" customFormat="false" ht="15" hidden="false" customHeight="false" outlineLevel="0" collapsed="false">
      <c r="A7542" s="273" t="s">
        <v>2041</v>
      </c>
      <c r="B7542" s="273" t="s">
        <v>2042</v>
      </c>
      <c r="C7542" s="273" t="s">
        <v>2156</v>
      </c>
      <c r="D7542" s="273" t="s">
        <v>2279</v>
      </c>
      <c r="E7542" s="273" t="s">
        <v>2279</v>
      </c>
      <c r="F7542" s="273" t="s">
        <v>2292</v>
      </c>
      <c r="G7542" s="273" t="s">
        <v>2293</v>
      </c>
      <c r="H7542" s="273" t="s">
        <v>2284</v>
      </c>
      <c r="I7542" s="273"/>
      <c r="J7542" s="273" t="s">
        <v>2368</v>
      </c>
      <c r="K7542" s="274" t="n">
        <v>-3164120.29</v>
      </c>
    </row>
    <row r="7543" customFormat="false" ht="15" hidden="false" customHeight="false" outlineLevel="0" collapsed="false">
      <c r="A7543" s="273" t="s">
        <v>2041</v>
      </c>
      <c r="B7543" s="273" t="s">
        <v>2042</v>
      </c>
      <c r="C7543" s="273" t="s">
        <v>2156</v>
      </c>
      <c r="D7543" s="273" t="s">
        <v>2279</v>
      </c>
      <c r="E7543" s="273" t="s">
        <v>2279</v>
      </c>
      <c r="F7543" s="273" t="s">
        <v>2292</v>
      </c>
      <c r="G7543" s="273" t="s">
        <v>2293</v>
      </c>
      <c r="H7543" s="273" t="s">
        <v>2294</v>
      </c>
      <c r="I7543" s="273"/>
      <c r="J7543" s="273" t="s">
        <v>2368</v>
      </c>
      <c r="K7543" s="274" t="n">
        <v>-24511757.65</v>
      </c>
    </row>
    <row r="7544" customFormat="false" ht="15" hidden="false" customHeight="false" outlineLevel="0" collapsed="false">
      <c r="A7544" s="273" t="s">
        <v>2041</v>
      </c>
      <c r="B7544" s="273" t="s">
        <v>2042</v>
      </c>
      <c r="C7544" s="273" t="s">
        <v>2156</v>
      </c>
      <c r="D7544" s="273" t="s">
        <v>2279</v>
      </c>
      <c r="E7544" s="273" t="s">
        <v>2279</v>
      </c>
      <c r="F7544" s="273" t="s">
        <v>2292</v>
      </c>
      <c r="G7544" s="273" t="s">
        <v>2293</v>
      </c>
      <c r="H7544" s="273" t="s">
        <v>2296</v>
      </c>
      <c r="I7544" s="273"/>
      <c r="J7544" s="273" t="s">
        <v>2368</v>
      </c>
      <c r="K7544" s="274" t="n">
        <v>-15955988.15</v>
      </c>
    </row>
    <row r="7545" customFormat="false" ht="15" hidden="false" customHeight="false" outlineLevel="0" collapsed="false">
      <c r="A7545" s="273" t="s">
        <v>2041</v>
      </c>
      <c r="B7545" s="273" t="s">
        <v>2042</v>
      </c>
      <c r="C7545" s="273" t="s">
        <v>2156</v>
      </c>
      <c r="D7545" s="273" t="s">
        <v>2279</v>
      </c>
      <c r="E7545" s="273" t="s">
        <v>2279</v>
      </c>
      <c r="F7545" s="273" t="s">
        <v>2292</v>
      </c>
      <c r="G7545" s="273" t="s">
        <v>2293</v>
      </c>
      <c r="H7545" s="273" t="s">
        <v>2297</v>
      </c>
      <c r="I7545" s="273"/>
      <c r="J7545" s="273" t="s">
        <v>2368</v>
      </c>
      <c r="K7545" s="274" t="n">
        <v>-2311336.94</v>
      </c>
    </row>
    <row r="7546" customFormat="false" ht="15" hidden="false" customHeight="false" outlineLevel="0" collapsed="false">
      <c r="A7546" s="273" t="s">
        <v>2041</v>
      </c>
      <c r="B7546" s="273" t="s">
        <v>2042</v>
      </c>
      <c r="C7546" s="273" t="s">
        <v>2156</v>
      </c>
      <c r="D7546" s="273" t="s">
        <v>2279</v>
      </c>
      <c r="E7546" s="273" t="s">
        <v>2279</v>
      </c>
      <c r="F7546" s="273" t="s">
        <v>2292</v>
      </c>
      <c r="G7546" s="273" t="s">
        <v>2293</v>
      </c>
      <c r="H7546" s="273" t="s">
        <v>2353</v>
      </c>
      <c r="I7546" s="273"/>
      <c r="J7546" s="273" t="s">
        <v>2368</v>
      </c>
      <c r="K7546" s="274" t="n">
        <v>-1407974.72</v>
      </c>
    </row>
    <row r="7547" customFormat="false" ht="15" hidden="false" customHeight="false" outlineLevel="0" collapsed="false">
      <c r="A7547" s="273" t="s">
        <v>2041</v>
      </c>
      <c r="B7547" s="273" t="s">
        <v>2042</v>
      </c>
      <c r="C7547" s="273" t="s">
        <v>2156</v>
      </c>
      <c r="D7547" s="273" t="s">
        <v>2279</v>
      </c>
      <c r="E7547" s="273" t="s">
        <v>2279</v>
      </c>
      <c r="F7547" s="273" t="s">
        <v>2292</v>
      </c>
      <c r="G7547" s="273" t="s">
        <v>2293</v>
      </c>
      <c r="H7547" s="273" t="s">
        <v>2299</v>
      </c>
      <c r="I7547" s="273"/>
      <c r="J7547" s="273" t="s">
        <v>2368</v>
      </c>
      <c r="K7547" s="274" t="n">
        <v>-1889944.34</v>
      </c>
    </row>
    <row r="7548" customFormat="false" ht="15" hidden="false" customHeight="false" outlineLevel="0" collapsed="false">
      <c r="A7548" s="273" t="s">
        <v>2041</v>
      </c>
      <c r="B7548" s="273" t="s">
        <v>2042</v>
      </c>
      <c r="C7548" s="273" t="s">
        <v>2156</v>
      </c>
      <c r="D7548" s="273" t="s">
        <v>2279</v>
      </c>
      <c r="E7548" s="273" t="s">
        <v>2279</v>
      </c>
      <c r="F7548" s="273" t="s">
        <v>2292</v>
      </c>
      <c r="G7548" s="273" t="s">
        <v>2293</v>
      </c>
      <c r="H7548" s="273" t="s">
        <v>2300</v>
      </c>
      <c r="I7548" s="273"/>
      <c r="J7548" s="273" t="s">
        <v>2368</v>
      </c>
      <c r="K7548" s="274" t="n">
        <v>-933885.99</v>
      </c>
    </row>
    <row r="7549" customFormat="false" ht="15" hidden="false" customHeight="false" outlineLevel="0" collapsed="false">
      <c r="A7549" s="273" t="s">
        <v>2041</v>
      </c>
      <c r="B7549" s="273" t="s">
        <v>2042</v>
      </c>
      <c r="C7549" s="273" t="s">
        <v>2156</v>
      </c>
      <c r="D7549" s="273" t="s">
        <v>2279</v>
      </c>
      <c r="E7549" s="273" t="s">
        <v>2279</v>
      </c>
      <c r="F7549" s="273" t="s">
        <v>2292</v>
      </c>
      <c r="G7549" s="273" t="s">
        <v>2293</v>
      </c>
      <c r="H7549" s="273" t="s">
        <v>2301</v>
      </c>
      <c r="I7549" s="273"/>
      <c r="J7549" s="273" t="s">
        <v>2368</v>
      </c>
      <c r="K7549" s="274" t="n">
        <v>-2276990.36</v>
      </c>
    </row>
    <row r="7550" customFormat="false" ht="15" hidden="false" customHeight="false" outlineLevel="0" collapsed="false">
      <c r="A7550" s="273" t="s">
        <v>2041</v>
      </c>
      <c r="B7550" s="273" t="s">
        <v>2042</v>
      </c>
      <c r="C7550" s="273" t="s">
        <v>2156</v>
      </c>
      <c r="D7550" s="273" t="s">
        <v>2279</v>
      </c>
      <c r="E7550" s="273" t="s">
        <v>2279</v>
      </c>
      <c r="F7550" s="273" t="s">
        <v>2292</v>
      </c>
      <c r="G7550" s="273" t="s">
        <v>2293</v>
      </c>
      <c r="H7550" s="273" t="s">
        <v>2302</v>
      </c>
      <c r="I7550" s="273"/>
      <c r="J7550" s="273" t="s">
        <v>2368</v>
      </c>
      <c r="K7550" s="274" t="n">
        <v>-1630286.51</v>
      </c>
    </row>
    <row r="7551" customFormat="false" ht="15" hidden="false" customHeight="false" outlineLevel="0" collapsed="false">
      <c r="A7551" s="273" t="s">
        <v>2041</v>
      </c>
      <c r="B7551" s="273" t="s">
        <v>2042</v>
      </c>
      <c r="C7551" s="273" t="s">
        <v>2156</v>
      </c>
      <c r="D7551" s="273" t="s">
        <v>2279</v>
      </c>
      <c r="E7551" s="273" t="s">
        <v>2279</v>
      </c>
      <c r="F7551" s="273" t="s">
        <v>2292</v>
      </c>
      <c r="G7551" s="273" t="s">
        <v>2293</v>
      </c>
      <c r="H7551" s="273" t="s">
        <v>2303</v>
      </c>
      <c r="I7551" s="273"/>
      <c r="J7551" s="273" t="s">
        <v>2368</v>
      </c>
      <c r="K7551" s="274" t="n">
        <v>-3999259.84</v>
      </c>
    </row>
    <row r="7552" customFormat="false" ht="15" hidden="false" customHeight="false" outlineLevel="0" collapsed="false">
      <c r="A7552" s="273" t="s">
        <v>2041</v>
      </c>
      <c r="B7552" s="273" t="s">
        <v>2042</v>
      </c>
      <c r="C7552" s="273" t="s">
        <v>2156</v>
      </c>
      <c r="D7552" s="273" t="s">
        <v>2279</v>
      </c>
      <c r="E7552" s="273" t="s">
        <v>2279</v>
      </c>
      <c r="F7552" s="273" t="s">
        <v>2292</v>
      </c>
      <c r="G7552" s="273" t="s">
        <v>2293</v>
      </c>
      <c r="H7552" s="273" t="s">
        <v>2285</v>
      </c>
      <c r="I7552" s="273"/>
      <c r="J7552" s="273" t="s">
        <v>2368</v>
      </c>
      <c r="K7552" s="274" t="n">
        <v>-2800658.14</v>
      </c>
    </row>
    <row r="7553" customFormat="false" ht="15" hidden="false" customHeight="false" outlineLevel="0" collapsed="false">
      <c r="A7553" s="273" t="s">
        <v>2041</v>
      </c>
      <c r="B7553" s="273" t="s">
        <v>2042</v>
      </c>
      <c r="C7553" s="273" t="s">
        <v>2156</v>
      </c>
      <c r="D7553" s="273" t="s">
        <v>2279</v>
      </c>
      <c r="E7553" s="273" t="s">
        <v>2279</v>
      </c>
      <c r="F7553" s="273" t="s">
        <v>2292</v>
      </c>
      <c r="G7553" s="273" t="s">
        <v>2293</v>
      </c>
      <c r="H7553" s="273" t="s">
        <v>2286</v>
      </c>
      <c r="I7553" s="273"/>
      <c r="J7553" s="273" t="s">
        <v>2368</v>
      </c>
      <c r="K7553" s="274" t="n">
        <v>-1646754.05</v>
      </c>
    </row>
    <row r="7554" customFormat="false" ht="15" hidden="false" customHeight="false" outlineLevel="0" collapsed="false">
      <c r="A7554" s="273" t="s">
        <v>2041</v>
      </c>
      <c r="B7554" s="273" t="s">
        <v>2042</v>
      </c>
      <c r="C7554" s="273" t="s">
        <v>2156</v>
      </c>
      <c r="D7554" s="273" t="s">
        <v>2279</v>
      </c>
      <c r="E7554" s="273" t="s">
        <v>2279</v>
      </c>
      <c r="F7554" s="273" t="s">
        <v>2292</v>
      </c>
      <c r="G7554" s="273" t="s">
        <v>2293</v>
      </c>
      <c r="H7554" s="273" t="s">
        <v>2304</v>
      </c>
      <c r="I7554" s="273"/>
      <c r="J7554" s="273" t="s">
        <v>2368</v>
      </c>
      <c r="K7554" s="274" t="n">
        <v>-2999444.88</v>
      </c>
    </row>
    <row r="7555" customFormat="false" ht="15" hidden="false" customHeight="false" outlineLevel="0" collapsed="false">
      <c r="A7555" s="273" t="s">
        <v>2041</v>
      </c>
      <c r="B7555" s="273" t="s">
        <v>2042</v>
      </c>
      <c r="C7555" s="273" t="s">
        <v>2156</v>
      </c>
      <c r="D7555" s="273" t="s">
        <v>2279</v>
      </c>
      <c r="E7555" s="273" t="s">
        <v>2279</v>
      </c>
      <c r="F7555" s="273" t="s">
        <v>2292</v>
      </c>
      <c r="G7555" s="273" t="s">
        <v>2293</v>
      </c>
      <c r="H7555" s="273" t="s">
        <v>2287</v>
      </c>
      <c r="I7555" s="273"/>
      <c r="J7555" s="273" t="s">
        <v>2368</v>
      </c>
      <c r="K7555" s="274" t="n">
        <v>-7727981.52</v>
      </c>
    </row>
    <row r="7556" customFormat="false" ht="15" hidden="false" customHeight="false" outlineLevel="0" collapsed="false">
      <c r="A7556" s="273" t="s">
        <v>2041</v>
      </c>
      <c r="B7556" s="273" t="s">
        <v>2042</v>
      </c>
      <c r="C7556" s="273" t="s">
        <v>2156</v>
      </c>
      <c r="D7556" s="273" t="s">
        <v>2279</v>
      </c>
      <c r="E7556" s="273" t="s">
        <v>2279</v>
      </c>
      <c r="F7556" s="273" t="s">
        <v>2292</v>
      </c>
      <c r="G7556" s="273" t="s">
        <v>2293</v>
      </c>
      <c r="H7556" s="273" t="s">
        <v>2288</v>
      </c>
      <c r="I7556" s="273"/>
      <c r="J7556" s="273" t="s">
        <v>2368</v>
      </c>
      <c r="K7556" s="274" t="n">
        <v>-2058442.57</v>
      </c>
    </row>
    <row r="7557" customFormat="false" ht="15" hidden="false" customHeight="false" outlineLevel="0" collapsed="false">
      <c r="A7557" s="273" t="s">
        <v>2041</v>
      </c>
      <c r="B7557" s="273" t="s">
        <v>2042</v>
      </c>
      <c r="C7557" s="273" t="s">
        <v>2156</v>
      </c>
      <c r="D7557" s="273" t="s">
        <v>2279</v>
      </c>
      <c r="E7557" s="273" t="s">
        <v>2279</v>
      </c>
      <c r="F7557" s="273" t="s">
        <v>2292</v>
      </c>
      <c r="G7557" s="273" t="s">
        <v>2293</v>
      </c>
      <c r="H7557" s="273" t="s">
        <v>2305</v>
      </c>
      <c r="I7557" s="273"/>
      <c r="J7557" s="273" t="s">
        <v>2368</v>
      </c>
      <c r="K7557" s="274" t="n">
        <v>-352875.87</v>
      </c>
    </row>
    <row r="7558" customFormat="false" ht="15" hidden="false" customHeight="false" outlineLevel="0" collapsed="false">
      <c r="A7558" s="273" t="s">
        <v>2041</v>
      </c>
      <c r="B7558" s="273" t="s">
        <v>2042</v>
      </c>
      <c r="C7558" s="273" t="s">
        <v>2156</v>
      </c>
      <c r="D7558" s="273" t="s">
        <v>2279</v>
      </c>
      <c r="E7558" s="273" t="s">
        <v>2279</v>
      </c>
      <c r="F7558" s="273" t="s">
        <v>2292</v>
      </c>
      <c r="G7558" s="273" t="s">
        <v>2293</v>
      </c>
      <c r="H7558" s="273" t="s">
        <v>2200</v>
      </c>
      <c r="I7558" s="273"/>
      <c r="J7558" s="273" t="s">
        <v>2368</v>
      </c>
      <c r="K7558" s="274" t="n">
        <v>-16715671.09</v>
      </c>
    </row>
    <row r="7559" customFormat="false" ht="15" hidden="false" customHeight="false" outlineLevel="0" collapsed="false">
      <c r="A7559" s="273" t="s">
        <v>2041</v>
      </c>
      <c r="B7559" s="273" t="s">
        <v>2042</v>
      </c>
      <c r="C7559" s="273" t="s">
        <v>2156</v>
      </c>
      <c r="D7559" s="273" t="s">
        <v>2279</v>
      </c>
      <c r="E7559" s="273" t="s">
        <v>2279</v>
      </c>
      <c r="F7559" s="273" t="s">
        <v>2292</v>
      </c>
      <c r="G7559" s="273" t="s">
        <v>2293</v>
      </c>
      <c r="H7559" s="273" t="s">
        <v>2202</v>
      </c>
      <c r="I7559" s="273"/>
      <c r="J7559" s="273" t="s">
        <v>2368</v>
      </c>
      <c r="K7559" s="274" t="n">
        <v>-9000745.97</v>
      </c>
    </row>
    <row r="7560" customFormat="false" ht="15" hidden="false" customHeight="false" outlineLevel="0" collapsed="false">
      <c r="A7560" s="273" t="s">
        <v>2041</v>
      </c>
      <c r="B7560" s="273" t="s">
        <v>2042</v>
      </c>
      <c r="C7560" s="273" t="s">
        <v>2156</v>
      </c>
      <c r="D7560" s="273" t="s">
        <v>2279</v>
      </c>
      <c r="E7560" s="273" t="s">
        <v>2279</v>
      </c>
      <c r="F7560" s="273" t="s">
        <v>2292</v>
      </c>
      <c r="G7560" s="273" t="s">
        <v>2293</v>
      </c>
      <c r="H7560" s="273" t="s">
        <v>2306</v>
      </c>
      <c r="I7560" s="273"/>
      <c r="J7560" s="273" t="s">
        <v>2368</v>
      </c>
      <c r="K7560" s="274" t="n">
        <v>-3893397.08</v>
      </c>
    </row>
    <row r="7561" customFormat="false" ht="15" hidden="false" customHeight="false" outlineLevel="0" collapsed="false">
      <c r="A7561" s="273" t="s">
        <v>2041</v>
      </c>
      <c r="B7561" s="273" t="s">
        <v>2042</v>
      </c>
      <c r="C7561" s="273" t="s">
        <v>2156</v>
      </c>
      <c r="D7561" s="273" t="s">
        <v>2279</v>
      </c>
      <c r="E7561" s="273" t="s">
        <v>2279</v>
      </c>
      <c r="F7561" s="273" t="s">
        <v>2292</v>
      </c>
      <c r="G7561" s="273" t="s">
        <v>2293</v>
      </c>
      <c r="H7561" s="273" t="s">
        <v>2182</v>
      </c>
      <c r="I7561" s="273"/>
      <c r="J7561" s="273" t="s">
        <v>2368</v>
      </c>
      <c r="K7561" s="274" t="n">
        <v>-7727981.52</v>
      </c>
    </row>
    <row r="7562" customFormat="false" ht="15" hidden="false" customHeight="false" outlineLevel="0" collapsed="false">
      <c r="A7562" s="273" t="s">
        <v>2041</v>
      </c>
      <c r="B7562" s="273" t="s">
        <v>2042</v>
      </c>
      <c r="C7562" s="273" t="s">
        <v>2156</v>
      </c>
      <c r="D7562" s="273" t="s">
        <v>2279</v>
      </c>
      <c r="E7562" s="273" t="s">
        <v>2279</v>
      </c>
      <c r="F7562" s="273" t="s">
        <v>2292</v>
      </c>
      <c r="G7562" s="273" t="s">
        <v>2293</v>
      </c>
      <c r="H7562" s="273" t="s">
        <v>2289</v>
      </c>
      <c r="I7562" s="273"/>
      <c r="J7562" s="273" t="s">
        <v>2368</v>
      </c>
      <c r="K7562" s="274" t="n">
        <v>-4705011.58</v>
      </c>
    </row>
    <row r="7563" customFormat="false" ht="15" hidden="false" customHeight="false" outlineLevel="0" collapsed="false">
      <c r="A7563" s="273" t="s">
        <v>2041</v>
      </c>
      <c r="B7563" s="273" t="s">
        <v>2042</v>
      </c>
      <c r="C7563" s="273" t="s">
        <v>2156</v>
      </c>
      <c r="D7563" s="273" t="s">
        <v>2279</v>
      </c>
      <c r="E7563" s="273" t="s">
        <v>2279</v>
      </c>
      <c r="F7563" s="273" t="s">
        <v>2292</v>
      </c>
      <c r="G7563" s="273" t="s">
        <v>2293</v>
      </c>
      <c r="H7563" s="273" t="s">
        <v>2307</v>
      </c>
      <c r="I7563" s="273"/>
      <c r="J7563" s="273" t="s">
        <v>2368</v>
      </c>
      <c r="K7563" s="274" t="n">
        <v>-4383600.48</v>
      </c>
    </row>
    <row r="7564" customFormat="false" ht="15" hidden="false" customHeight="false" outlineLevel="0" collapsed="false">
      <c r="A7564" s="273" t="s">
        <v>2041</v>
      </c>
      <c r="B7564" s="273" t="s">
        <v>2042</v>
      </c>
      <c r="C7564" s="273" t="s">
        <v>2156</v>
      </c>
      <c r="D7564" s="273" t="s">
        <v>2279</v>
      </c>
      <c r="E7564" s="273" t="s">
        <v>2279</v>
      </c>
      <c r="F7564" s="273" t="s">
        <v>2292</v>
      </c>
      <c r="G7564" s="273" t="s">
        <v>2293</v>
      </c>
      <c r="H7564" s="273" t="s">
        <v>2308</v>
      </c>
      <c r="I7564" s="273"/>
      <c r="J7564" s="273" t="s">
        <v>2368</v>
      </c>
      <c r="K7564" s="274" t="n">
        <v>-3970500.46</v>
      </c>
    </row>
    <row r="7565" customFormat="false" ht="15" hidden="false" customHeight="false" outlineLevel="0" collapsed="false">
      <c r="A7565" s="273" t="s">
        <v>2041</v>
      </c>
      <c r="B7565" s="273" t="s">
        <v>2042</v>
      </c>
      <c r="C7565" s="273" t="s">
        <v>2156</v>
      </c>
      <c r="D7565" s="273" t="s">
        <v>2279</v>
      </c>
      <c r="E7565" s="273" t="s">
        <v>2279</v>
      </c>
      <c r="F7565" s="273" t="s">
        <v>2292</v>
      </c>
      <c r="G7565" s="273" t="s">
        <v>2293</v>
      </c>
      <c r="H7565" s="273" t="s">
        <v>2309</v>
      </c>
      <c r="I7565" s="273"/>
      <c r="J7565" s="273" t="s">
        <v>2368</v>
      </c>
      <c r="K7565" s="274" t="n">
        <v>-9322509.95</v>
      </c>
    </row>
    <row r="7566" customFormat="false" ht="15" hidden="false" customHeight="false" outlineLevel="0" collapsed="false">
      <c r="A7566" s="273" t="s">
        <v>2041</v>
      </c>
      <c r="B7566" s="273" t="s">
        <v>2042</v>
      </c>
      <c r="C7566" s="273" t="s">
        <v>2156</v>
      </c>
      <c r="D7566" s="273" t="s">
        <v>2279</v>
      </c>
      <c r="E7566" s="273" t="s">
        <v>2279</v>
      </c>
      <c r="F7566" s="273" t="s">
        <v>2292</v>
      </c>
      <c r="G7566" s="273" t="s">
        <v>2293</v>
      </c>
      <c r="H7566" s="273" t="s">
        <v>2310</v>
      </c>
      <c r="I7566" s="273"/>
      <c r="J7566" s="273" t="s">
        <v>2368</v>
      </c>
      <c r="K7566" s="274" t="n">
        <v>-5130662.22</v>
      </c>
    </row>
    <row r="7567" customFormat="false" ht="15" hidden="false" customHeight="false" outlineLevel="0" collapsed="false">
      <c r="A7567" s="273" t="s">
        <v>2041</v>
      </c>
      <c r="B7567" s="273" t="s">
        <v>2042</v>
      </c>
      <c r="C7567" s="273" t="s">
        <v>2156</v>
      </c>
      <c r="D7567" s="273" t="s">
        <v>2279</v>
      </c>
      <c r="E7567" s="273" t="s">
        <v>2279</v>
      </c>
      <c r="F7567" s="273" t="s">
        <v>2292</v>
      </c>
      <c r="G7567" s="273" t="s">
        <v>2293</v>
      </c>
      <c r="H7567" s="273" t="s">
        <v>2311</v>
      </c>
      <c r="I7567" s="273"/>
      <c r="J7567" s="273" t="s">
        <v>2368</v>
      </c>
      <c r="K7567" s="274" t="n">
        <v>-4266269.25</v>
      </c>
    </row>
    <row r="7568" customFormat="false" ht="15" hidden="false" customHeight="false" outlineLevel="0" collapsed="false">
      <c r="A7568" s="273" t="s">
        <v>2041</v>
      </c>
      <c r="B7568" s="273" t="s">
        <v>2042</v>
      </c>
      <c r="C7568" s="273" t="s">
        <v>2156</v>
      </c>
      <c r="D7568" s="273" t="s">
        <v>2279</v>
      </c>
      <c r="E7568" s="273" t="s">
        <v>2279</v>
      </c>
      <c r="F7568" s="273" t="s">
        <v>2292</v>
      </c>
      <c r="G7568" s="273" t="s">
        <v>2293</v>
      </c>
      <c r="H7568" s="273" t="s">
        <v>2312</v>
      </c>
      <c r="I7568" s="273"/>
      <c r="J7568" s="273" t="s">
        <v>2368</v>
      </c>
      <c r="K7568" s="274" t="n">
        <v>-3504057.38</v>
      </c>
    </row>
    <row r="7569" customFormat="false" ht="15" hidden="false" customHeight="false" outlineLevel="0" collapsed="false">
      <c r="A7569" s="273" t="s">
        <v>2041</v>
      </c>
      <c r="B7569" s="273" t="s">
        <v>2042</v>
      </c>
      <c r="C7569" s="273" t="s">
        <v>2156</v>
      </c>
      <c r="D7569" s="273" t="s">
        <v>2279</v>
      </c>
      <c r="E7569" s="273" t="s">
        <v>2279</v>
      </c>
      <c r="F7569" s="273" t="s">
        <v>2292</v>
      </c>
      <c r="G7569" s="273" t="s">
        <v>2293</v>
      </c>
      <c r="H7569" s="273" t="s">
        <v>2315</v>
      </c>
      <c r="I7569" s="273"/>
      <c r="J7569" s="273" t="s">
        <v>2368</v>
      </c>
      <c r="K7569" s="274" t="n">
        <v>-12792926.49</v>
      </c>
    </row>
    <row r="7570" customFormat="false" ht="15" hidden="false" customHeight="false" outlineLevel="0" collapsed="false">
      <c r="A7570" s="273" t="s">
        <v>2041</v>
      </c>
      <c r="B7570" s="273" t="s">
        <v>2042</v>
      </c>
      <c r="C7570" s="273" t="s">
        <v>2156</v>
      </c>
      <c r="D7570" s="273" t="s">
        <v>2279</v>
      </c>
      <c r="E7570" s="273" t="s">
        <v>2279</v>
      </c>
      <c r="F7570" s="273" t="s">
        <v>2292</v>
      </c>
      <c r="G7570" s="273" t="s">
        <v>2293</v>
      </c>
      <c r="H7570" s="273" t="s">
        <v>2316</v>
      </c>
      <c r="I7570" s="273"/>
      <c r="J7570" s="273" t="s">
        <v>2368</v>
      </c>
      <c r="K7570" s="274" t="n">
        <v>-37373212.64</v>
      </c>
    </row>
    <row r="7571" customFormat="false" ht="15" hidden="false" customHeight="false" outlineLevel="0" collapsed="false">
      <c r="A7571" s="273" t="s">
        <v>2041</v>
      </c>
      <c r="B7571" s="273" t="s">
        <v>2042</v>
      </c>
      <c r="C7571" s="273" t="s">
        <v>2156</v>
      </c>
      <c r="D7571" s="273" t="s">
        <v>2279</v>
      </c>
      <c r="E7571" s="273" t="s">
        <v>2279</v>
      </c>
      <c r="F7571" s="273" t="s">
        <v>2292</v>
      </c>
      <c r="G7571" s="273" t="s">
        <v>2293</v>
      </c>
      <c r="H7571" s="273" t="s">
        <v>2326</v>
      </c>
      <c r="I7571" s="273"/>
      <c r="J7571" s="273" t="s">
        <v>2368</v>
      </c>
      <c r="K7571" s="274" t="n">
        <v>-7998519.69</v>
      </c>
    </row>
    <row r="7572" customFormat="false" ht="15" hidden="false" customHeight="false" outlineLevel="0" collapsed="false">
      <c r="A7572" s="273" t="s">
        <v>2041</v>
      </c>
      <c r="B7572" s="273" t="s">
        <v>2042</v>
      </c>
      <c r="C7572" s="273" t="s">
        <v>2156</v>
      </c>
      <c r="D7572" s="273" t="s">
        <v>2279</v>
      </c>
      <c r="E7572" s="273" t="s">
        <v>2279</v>
      </c>
      <c r="F7572" s="273" t="s">
        <v>2292</v>
      </c>
      <c r="G7572" s="273" t="s">
        <v>2293</v>
      </c>
      <c r="H7572" s="273" t="s">
        <v>2317</v>
      </c>
      <c r="I7572" s="273"/>
      <c r="J7572" s="273" t="s">
        <v>2368</v>
      </c>
      <c r="K7572" s="274" t="n">
        <v>-4001612.35</v>
      </c>
    </row>
    <row r="7573" customFormat="false" ht="15" hidden="false" customHeight="false" outlineLevel="0" collapsed="false">
      <c r="A7573" s="273" t="s">
        <v>2041</v>
      </c>
      <c r="B7573" s="273" t="s">
        <v>2042</v>
      </c>
      <c r="C7573" s="273" t="s">
        <v>2156</v>
      </c>
      <c r="D7573" s="273" t="s">
        <v>2279</v>
      </c>
      <c r="E7573" s="273" t="s">
        <v>2279</v>
      </c>
      <c r="F7573" s="273" t="s">
        <v>2292</v>
      </c>
      <c r="G7573" s="273" t="s">
        <v>2293</v>
      </c>
      <c r="H7573" s="273" t="s">
        <v>2318</v>
      </c>
      <c r="I7573" s="273"/>
      <c r="J7573" s="273" t="s">
        <v>2368</v>
      </c>
      <c r="K7573" s="274" t="n">
        <v>-8319839.05</v>
      </c>
    </row>
    <row r="7574" customFormat="false" ht="15" hidden="false" customHeight="false" outlineLevel="0" collapsed="false">
      <c r="A7574" s="273" t="s">
        <v>2041</v>
      </c>
      <c r="B7574" s="273" t="s">
        <v>2042</v>
      </c>
      <c r="C7574" s="273" t="s">
        <v>2156</v>
      </c>
      <c r="D7574" s="273" t="s">
        <v>2279</v>
      </c>
      <c r="E7574" s="273" t="s">
        <v>2279</v>
      </c>
      <c r="F7574" s="273" t="s">
        <v>2292</v>
      </c>
      <c r="G7574" s="273" t="s">
        <v>2293</v>
      </c>
      <c r="H7574" s="273" t="s">
        <v>2319</v>
      </c>
      <c r="I7574" s="273"/>
      <c r="J7574" s="273" t="s">
        <v>2368</v>
      </c>
      <c r="K7574" s="274" t="n">
        <v>-2447194.15</v>
      </c>
    </row>
    <row r="7575" customFormat="false" ht="15" hidden="false" customHeight="false" outlineLevel="0" collapsed="false">
      <c r="A7575" s="273" t="s">
        <v>2041</v>
      </c>
      <c r="B7575" s="273" t="s">
        <v>2042</v>
      </c>
      <c r="C7575" s="273" t="s">
        <v>2156</v>
      </c>
      <c r="D7575" s="273" t="s">
        <v>2279</v>
      </c>
      <c r="E7575" s="273" t="s">
        <v>2279</v>
      </c>
      <c r="F7575" s="273" t="s">
        <v>2292</v>
      </c>
      <c r="G7575" s="273" t="s">
        <v>2293</v>
      </c>
      <c r="H7575" s="273" t="s">
        <v>2320</v>
      </c>
      <c r="I7575" s="273"/>
      <c r="J7575" s="273" t="s">
        <v>2368</v>
      </c>
      <c r="K7575" s="274" t="n">
        <v>-2098199.92</v>
      </c>
    </row>
    <row r="7576" customFormat="false" ht="15" hidden="false" customHeight="false" outlineLevel="0" collapsed="false">
      <c r="A7576" s="273" t="s">
        <v>2041</v>
      </c>
      <c r="B7576" s="273" t="s">
        <v>2042</v>
      </c>
      <c r="C7576" s="273" t="s">
        <v>2156</v>
      </c>
      <c r="D7576" s="273" t="s">
        <v>2279</v>
      </c>
      <c r="E7576" s="273" t="s">
        <v>2279</v>
      </c>
      <c r="F7576" s="273" t="s">
        <v>2292</v>
      </c>
      <c r="G7576" s="273" t="s">
        <v>2293</v>
      </c>
      <c r="H7576" s="273" t="s">
        <v>2290</v>
      </c>
      <c r="I7576" s="273"/>
      <c r="J7576" s="273" t="s">
        <v>2368</v>
      </c>
      <c r="K7576" s="274" t="n">
        <v>-2783367.23</v>
      </c>
    </row>
    <row r="7577" customFormat="false" ht="15" hidden="false" customHeight="false" outlineLevel="0" collapsed="false">
      <c r="A7577" s="273" t="s">
        <v>2041</v>
      </c>
      <c r="B7577" s="273" t="s">
        <v>2042</v>
      </c>
      <c r="C7577" s="273" t="s">
        <v>2156</v>
      </c>
      <c r="D7577" s="273" t="s">
        <v>2279</v>
      </c>
      <c r="E7577" s="273" t="s">
        <v>2279</v>
      </c>
      <c r="F7577" s="273" t="s">
        <v>2292</v>
      </c>
      <c r="G7577" s="273" t="s">
        <v>2293</v>
      </c>
      <c r="H7577" s="273" t="s">
        <v>2291</v>
      </c>
      <c r="I7577" s="273"/>
      <c r="J7577" s="273" t="s">
        <v>2368</v>
      </c>
      <c r="K7577" s="274" t="n">
        <v>-882189.67</v>
      </c>
    </row>
    <row r="7578" customFormat="false" ht="15" hidden="false" customHeight="false" outlineLevel="0" collapsed="false">
      <c r="A7578" s="273" t="s">
        <v>2041</v>
      </c>
      <c r="B7578" s="273" t="s">
        <v>2042</v>
      </c>
      <c r="C7578" s="273" t="s">
        <v>2156</v>
      </c>
      <c r="D7578" s="273" t="s">
        <v>2279</v>
      </c>
      <c r="E7578" s="273" t="s">
        <v>2279</v>
      </c>
      <c r="F7578" s="273" t="s">
        <v>2292</v>
      </c>
      <c r="G7578" s="273" t="s">
        <v>2293</v>
      </c>
      <c r="H7578" s="273" t="s">
        <v>2203</v>
      </c>
      <c r="I7578" s="273"/>
      <c r="J7578" s="273" t="s">
        <v>2368</v>
      </c>
      <c r="K7578" s="274" t="n">
        <v>-4822636.87</v>
      </c>
    </row>
    <row r="7579" customFormat="false" ht="15" hidden="false" customHeight="false" outlineLevel="0" collapsed="false">
      <c r="A7579" s="273" t="s">
        <v>2041</v>
      </c>
      <c r="B7579" s="273" t="s">
        <v>2042</v>
      </c>
      <c r="C7579" s="273" t="s">
        <v>2156</v>
      </c>
      <c r="D7579" s="273" t="s">
        <v>2279</v>
      </c>
      <c r="E7579" s="273" t="s">
        <v>2279</v>
      </c>
      <c r="F7579" s="273" t="s">
        <v>2292</v>
      </c>
      <c r="G7579" s="273" t="s">
        <v>2293</v>
      </c>
      <c r="H7579" s="273" t="s">
        <v>2200</v>
      </c>
      <c r="I7579" s="273"/>
      <c r="J7579" s="273" t="s">
        <v>2368</v>
      </c>
      <c r="K7579" s="274" t="n">
        <v>-229369.32</v>
      </c>
    </row>
    <row r="7580" customFormat="false" ht="15" hidden="false" customHeight="false" outlineLevel="0" collapsed="false">
      <c r="A7580" s="273" t="s">
        <v>2041</v>
      </c>
      <c r="B7580" s="273" t="s">
        <v>2042</v>
      </c>
      <c r="C7580" s="273" t="s">
        <v>2156</v>
      </c>
      <c r="D7580" s="273" t="s">
        <v>2279</v>
      </c>
      <c r="E7580" s="273" t="s">
        <v>2279</v>
      </c>
      <c r="F7580" s="273" t="s">
        <v>2292</v>
      </c>
      <c r="G7580" s="273" t="s">
        <v>2293</v>
      </c>
      <c r="H7580" s="273" t="s">
        <v>2202</v>
      </c>
      <c r="I7580" s="273"/>
      <c r="J7580" s="273" t="s">
        <v>2368</v>
      </c>
      <c r="K7580" s="274" t="n">
        <v>-123506.55</v>
      </c>
    </row>
    <row r="7581" customFormat="false" ht="15" hidden="false" customHeight="false" outlineLevel="0" collapsed="false">
      <c r="A7581" s="273" t="s">
        <v>2041</v>
      </c>
      <c r="B7581" s="273" t="s">
        <v>2042</v>
      </c>
      <c r="C7581" s="273" t="s">
        <v>2156</v>
      </c>
      <c r="D7581" s="273" t="s">
        <v>2279</v>
      </c>
      <c r="E7581" s="273" t="s">
        <v>2279</v>
      </c>
      <c r="F7581" s="273" t="s">
        <v>2292</v>
      </c>
      <c r="G7581" s="273" t="s">
        <v>2293</v>
      </c>
      <c r="H7581" s="273" t="s">
        <v>2182</v>
      </c>
      <c r="I7581" s="273"/>
      <c r="J7581" s="273" t="s">
        <v>2368</v>
      </c>
      <c r="K7581" s="274" t="n">
        <v>-7175142.66</v>
      </c>
    </row>
    <row r="7582" customFormat="false" ht="15" hidden="false" customHeight="false" outlineLevel="0" collapsed="false">
      <c r="A7582" s="273" t="s">
        <v>2041</v>
      </c>
      <c r="B7582" s="273" t="s">
        <v>2042</v>
      </c>
      <c r="C7582" s="273" t="s">
        <v>2156</v>
      </c>
      <c r="D7582" s="273" t="s">
        <v>2279</v>
      </c>
      <c r="E7582" s="273" t="s">
        <v>2279</v>
      </c>
      <c r="F7582" s="273" t="s">
        <v>2280</v>
      </c>
      <c r="G7582" s="273" t="s">
        <v>2281</v>
      </c>
      <c r="H7582" s="273" t="s">
        <v>2284</v>
      </c>
      <c r="I7582" s="273"/>
      <c r="J7582" s="273" t="s">
        <v>2367</v>
      </c>
      <c r="K7582" s="274" t="n">
        <v>2034718.28</v>
      </c>
    </row>
    <row r="7583" customFormat="false" ht="15" hidden="false" customHeight="false" outlineLevel="0" collapsed="false">
      <c r="A7583" s="273" t="s">
        <v>2041</v>
      </c>
      <c r="B7583" s="273" t="s">
        <v>2042</v>
      </c>
      <c r="C7583" s="273" t="s">
        <v>2156</v>
      </c>
      <c r="D7583" s="273" t="s">
        <v>2279</v>
      </c>
      <c r="E7583" s="273" t="s">
        <v>2279</v>
      </c>
      <c r="F7583" s="273" t="s">
        <v>2280</v>
      </c>
      <c r="G7583" s="273" t="s">
        <v>2281</v>
      </c>
      <c r="H7583" s="273" t="s">
        <v>2153</v>
      </c>
      <c r="I7583" s="273"/>
      <c r="J7583" s="273" t="s">
        <v>2367</v>
      </c>
      <c r="K7583" s="274" t="n">
        <v>3750184.97</v>
      </c>
    </row>
    <row r="7584" customFormat="false" ht="15" hidden="false" customHeight="false" outlineLevel="0" collapsed="false">
      <c r="A7584" s="273" t="s">
        <v>2041</v>
      </c>
      <c r="B7584" s="273" t="s">
        <v>2042</v>
      </c>
      <c r="C7584" s="273" t="s">
        <v>2156</v>
      </c>
      <c r="D7584" s="273" t="s">
        <v>2279</v>
      </c>
      <c r="E7584" s="273" t="s">
        <v>2279</v>
      </c>
      <c r="F7584" s="273" t="s">
        <v>2280</v>
      </c>
      <c r="G7584" s="273" t="s">
        <v>2281</v>
      </c>
      <c r="H7584" s="273" t="s">
        <v>2287</v>
      </c>
      <c r="I7584" s="273"/>
      <c r="J7584" s="273" t="s">
        <v>2367</v>
      </c>
      <c r="K7584" s="274" t="n">
        <v>444140.42</v>
      </c>
    </row>
    <row r="7585" customFormat="false" ht="15" hidden="false" customHeight="false" outlineLevel="0" collapsed="false">
      <c r="A7585" s="273" t="s">
        <v>2041</v>
      </c>
      <c r="B7585" s="273" t="s">
        <v>2042</v>
      </c>
      <c r="C7585" s="273" t="s">
        <v>2156</v>
      </c>
      <c r="D7585" s="273" t="s">
        <v>2279</v>
      </c>
      <c r="E7585" s="273" t="s">
        <v>2279</v>
      </c>
      <c r="F7585" s="273" t="s">
        <v>2280</v>
      </c>
      <c r="G7585" s="273" t="s">
        <v>2281</v>
      </c>
      <c r="H7585" s="273" t="s">
        <v>2304</v>
      </c>
      <c r="I7585" s="273"/>
      <c r="J7585" s="273" t="s">
        <v>2367</v>
      </c>
      <c r="K7585" s="274" t="n">
        <v>429335.73</v>
      </c>
    </row>
    <row r="7586" customFormat="false" ht="15" hidden="false" customHeight="false" outlineLevel="0" collapsed="false">
      <c r="A7586" s="273" t="s">
        <v>2041</v>
      </c>
      <c r="B7586" s="273" t="s">
        <v>2042</v>
      </c>
      <c r="C7586" s="273" t="s">
        <v>2156</v>
      </c>
      <c r="D7586" s="273" t="s">
        <v>2279</v>
      </c>
      <c r="E7586" s="273" t="s">
        <v>2279</v>
      </c>
      <c r="F7586" s="273" t="s">
        <v>2280</v>
      </c>
      <c r="G7586" s="273" t="s">
        <v>2281</v>
      </c>
      <c r="H7586" s="273" t="s">
        <v>2291</v>
      </c>
      <c r="I7586" s="273"/>
      <c r="J7586" s="273" t="s">
        <v>2367</v>
      </c>
      <c r="K7586" s="274" t="n">
        <v>463879.99</v>
      </c>
    </row>
    <row r="7587" customFormat="false" ht="15" hidden="false" customHeight="false" outlineLevel="0" collapsed="false">
      <c r="A7587" s="273" t="s">
        <v>2041</v>
      </c>
      <c r="B7587" s="273" t="s">
        <v>2042</v>
      </c>
      <c r="C7587" s="273" t="s">
        <v>2156</v>
      </c>
      <c r="D7587" s="273" t="s">
        <v>2279</v>
      </c>
      <c r="E7587" s="273" t="s">
        <v>2279</v>
      </c>
      <c r="F7587" s="273" t="s">
        <v>2280</v>
      </c>
      <c r="G7587" s="273" t="s">
        <v>2281</v>
      </c>
      <c r="H7587" s="273" t="s">
        <v>2289</v>
      </c>
      <c r="I7587" s="273"/>
      <c r="J7587" s="273" t="s">
        <v>2367</v>
      </c>
      <c r="K7587" s="274" t="n">
        <v>493489.35</v>
      </c>
    </row>
    <row r="7588" customFormat="false" ht="15" hidden="false" customHeight="false" outlineLevel="0" collapsed="false">
      <c r="A7588" s="273" t="s">
        <v>2041</v>
      </c>
      <c r="B7588" s="273" t="s">
        <v>2042</v>
      </c>
      <c r="C7588" s="273" t="s">
        <v>2156</v>
      </c>
      <c r="D7588" s="273" t="s">
        <v>2279</v>
      </c>
      <c r="E7588" s="273" t="s">
        <v>2279</v>
      </c>
      <c r="F7588" s="273" t="s">
        <v>2280</v>
      </c>
      <c r="G7588" s="273" t="s">
        <v>2281</v>
      </c>
      <c r="H7588" s="273" t="s">
        <v>2288</v>
      </c>
      <c r="I7588" s="273"/>
      <c r="J7588" s="273" t="s">
        <v>2367</v>
      </c>
      <c r="K7588" s="274" t="n">
        <v>1381770.18</v>
      </c>
    </row>
    <row r="7589" customFormat="false" ht="15" hidden="false" customHeight="false" outlineLevel="0" collapsed="false">
      <c r="A7589" s="273" t="s">
        <v>2041</v>
      </c>
      <c r="B7589" s="273" t="s">
        <v>2042</v>
      </c>
      <c r="C7589" s="273" t="s">
        <v>2156</v>
      </c>
      <c r="D7589" s="273" t="s">
        <v>2279</v>
      </c>
      <c r="E7589" s="273" t="s">
        <v>2279</v>
      </c>
      <c r="F7589" s="273" t="s">
        <v>2280</v>
      </c>
      <c r="G7589" s="273" t="s">
        <v>2281</v>
      </c>
      <c r="H7589" s="273" t="s">
        <v>2107</v>
      </c>
      <c r="I7589" s="273"/>
      <c r="J7589" s="273" t="s">
        <v>2367</v>
      </c>
      <c r="K7589" s="274" t="n">
        <v>1427006.7</v>
      </c>
    </row>
    <row r="7590" customFormat="false" ht="15" hidden="false" customHeight="false" outlineLevel="0" collapsed="false">
      <c r="A7590" s="273" t="s">
        <v>2041</v>
      </c>
      <c r="B7590" s="273" t="s">
        <v>2042</v>
      </c>
      <c r="C7590" s="273" t="s">
        <v>2156</v>
      </c>
      <c r="D7590" s="273" t="s">
        <v>2279</v>
      </c>
      <c r="E7590" s="273" t="s">
        <v>2279</v>
      </c>
      <c r="F7590" s="273" t="s">
        <v>2280</v>
      </c>
      <c r="G7590" s="273" t="s">
        <v>2281</v>
      </c>
      <c r="H7590" s="273" t="s">
        <v>2351</v>
      </c>
      <c r="I7590" s="273"/>
      <c r="J7590" s="273" t="s">
        <v>2367</v>
      </c>
      <c r="K7590" s="274" t="n">
        <v>0</v>
      </c>
    </row>
    <row r="7591" customFormat="false" ht="15" hidden="false" customHeight="false" outlineLevel="0" collapsed="false">
      <c r="A7591" s="273" t="s">
        <v>2041</v>
      </c>
      <c r="B7591" s="273" t="s">
        <v>2042</v>
      </c>
      <c r="C7591" s="273" t="s">
        <v>2156</v>
      </c>
      <c r="D7591" s="273" t="s">
        <v>2279</v>
      </c>
      <c r="E7591" s="273" t="s">
        <v>2279</v>
      </c>
      <c r="F7591" s="273" t="s">
        <v>2280</v>
      </c>
      <c r="G7591" s="273" t="s">
        <v>2281</v>
      </c>
      <c r="H7591" s="273" t="s">
        <v>2290</v>
      </c>
      <c r="I7591" s="273"/>
      <c r="J7591" s="273" t="s">
        <v>2367</v>
      </c>
      <c r="K7591" s="274" t="n">
        <v>789582.96</v>
      </c>
    </row>
    <row r="7592" customFormat="false" ht="15" hidden="false" customHeight="false" outlineLevel="0" collapsed="false">
      <c r="A7592" s="273" t="s">
        <v>2041</v>
      </c>
      <c r="B7592" s="273" t="s">
        <v>2042</v>
      </c>
      <c r="C7592" s="273" t="s">
        <v>2156</v>
      </c>
      <c r="D7592" s="273" t="s">
        <v>2279</v>
      </c>
      <c r="E7592" s="273" t="s">
        <v>2279</v>
      </c>
      <c r="F7592" s="273" t="s">
        <v>2280</v>
      </c>
      <c r="G7592" s="273" t="s">
        <v>2281</v>
      </c>
      <c r="H7592" s="273" t="s">
        <v>2286</v>
      </c>
      <c r="I7592" s="273"/>
      <c r="J7592" s="273" t="s">
        <v>2367</v>
      </c>
      <c r="K7592" s="274" t="n">
        <v>0</v>
      </c>
    </row>
    <row r="7593" customFormat="false" ht="15" hidden="false" customHeight="false" outlineLevel="0" collapsed="false">
      <c r="A7593" s="273" t="s">
        <v>2041</v>
      </c>
      <c r="B7593" s="273" t="s">
        <v>2042</v>
      </c>
      <c r="C7593" s="273" t="s">
        <v>2156</v>
      </c>
      <c r="D7593" s="273" t="s">
        <v>2279</v>
      </c>
      <c r="E7593" s="273" t="s">
        <v>2279</v>
      </c>
      <c r="F7593" s="273" t="s">
        <v>2280</v>
      </c>
      <c r="G7593" s="273" t="s">
        <v>2281</v>
      </c>
      <c r="H7593" s="273" t="s">
        <v>2285</v>
      </c>
      <c r="I7593" s="273"/>
      <c r="J7593" s="273" t="s">
        <v>2367</v>
      </c>
      <c r="K7593" s="274" t="n">
        <v>0</v>
      </c>
    </row>
    <row r="7594" customFormat="false" ht="15" hidden="false" customHeight="false" outlineLevel="0" collapsed="false">
      <c r="A7594" s="273" t="s">
        <v>2041</v>
      </c>
      <c r="B7594" s="273" t="s">
        <v>2042</v>
      </c>
      <c r="C7594" s="273" t="s">
        <v>2156</v>
      </c>
      <c r="D7594" s="273" t="s">
        <v>2279</v>
      </c>
      <c r="E7594" s="273" t="s">
        <v>2279</v>
      </c>
      <c r="F7594" s="273" t="s">
        <v>2292</v>
      </c>
      <c r="G7594" s="273" t="s">
        <v>2293</v>
      </c>
      <c r="H7594" s="273" t="s">
        <v>2284</v>
      </c>
      <c r="I7594" s="273"/>
      <c r="J7594" s="273" t="s">
        <v>2367</v>
      </c>
      <c r="K7594" s="274" t="n">
        <v>3164120.29</v>
      </c>
    </row>
    <row r="7595" customFormat="false" ht="15" hidden="false" customHeight="false" outlineLevel="0" collapsed="false">
      <c r="A7595" s="273" t="s">
        <v>2041</v>
      </c>
      <c r="B7595" s="273" t="s">
        <v>2042</v>
      </c>
      <c r="C7595" s="273" t="s">
        <v>2156</v>
      </c>
      <c r="D7595" s="273" t="s">
        <v>2279</v>
      </c>
      <c r="E7595" s="273" t="s">
        <v>2279</v>
      </c>
      <c r="F7595" s="273" t="s">
        <v>2292</v>
      </c>
      <c r="G7595" s="273" t="s">
        <v>2293</v>
      </c>
      <c r="H7595" s="273" t="s">
        <v>2294</v>
      </c>
      <c r="I7595" s="273"/>
      <c r="J7595" s="273" t="s">
        <v>2367</v>
      </c>
      <c r="K7595" s="274" t="n">
        <v>24511757.65</v>
      </c>
    </row>
    <row r="7596" customFormat="false" ht="15" hidden="false" customHeight="false" outlineLevel="0" collapsed="false">
      <c r="A7596" s="273" t="s">
        <v>2041</v>
      </c>
      <c r="B7596" s="273" t="s">
        <v>2042</v>
      </c>
      <c r="C7596" s="273" t="s">
        <v>2156</v>
      </c>
      <c r="D7596" s="273" t="s">
        <v>2279</v>
      </c>
      <c r="E7596" s="273" t="s">
        <v>2279</v>
      </c>
      <c r="F7596" s="273" t="s">
        <v>2292</v>
      </c>
      <c r="G7596" s="273" t="s">
        <v>2293</v>
      </c>
      <c r="H7596" s="273" t="s">
        <v>2296</v>
      </c>
      <c r="I7596" s="273"/>
      <c r="J7596" s="273" t="s">
        <v>2367</v>
      </c>
      <c r="K7596" s="274" t="n">
        <v>15955988.15</v>
      </c>
    </row>
    <row r="7597" customFormat="false" ht="15" hidden="false" customHeight="false" outlineLevel="0" collapsed="false">
      <c r="A7597" s="273" t="s">
        <v>2041</v>
      </c>
      <c r="B7597" s="273" t="s">
        <v>2042</v>
      </c>
      <c r="C7597" s="273" t="s">
        <v>2156</v>
      </c>
      <c r="D7597" s="273" t="s">
        <v>2279</v>
      </c>
      <c r="E7597" s="273" t="s">
        <v>2279</v>
      </c>
      <c r="F7597" s="273" t="s">
        <v>2292</v>
      </c>
      <c r="G7597" s="273" t="s">
        <v>2293</v>
      </c>
      <c r="H7597" s="273" t="s">
        <v>2297</v>
      </c>
      <c r="I7597" s="273"/>
      <c r="J7597" s="273" t="s">
        <v>2367</v>
      </c>
      <c r="K7597" s="274" t="n">
        <v>2311336.94</v>
      </c>
    </row>
    <row r="7598" customFormat="false" ht="15" hidden="false" customHeight="false" outlineLevel="0" collapsed="false">
      <c r="A7598" s="273" t="s">
        <v>2041</v>
      </c>
      <c r="B7598" s="273" t="s">
        <v>2042</v>
      </c>
      <c r="C7598" s="273" t="s">
        <v>2156</v>
      </c>
      <c r="D7598" s="273" t="s">
        <v>2279</v>
      </c>
      <c r="E7598" s="273" t="s">
        <v>2279</v>
      </c>
      <c r="F7598" s="273" t="s">
        <v>2292</v>
      </c>
      <c r="G7598" s="273" t="s">
        <v>2293</v>
      </c>
      <c r="H7598" s="273" t="s">
        <v>2353</v>
      </c>
      <c r="I7598" s="273"/>
      <c r="J7598" s="273" t="s">
        <v>2367</v>
      </c>
      <c r="K7598" s="274" t="n">
        <v>1407974.72</v>
      </c>
    </row>
    <row r="7599" customFormat="false" ht="15" hidden="false" customHeight="false" outlineLevel="0" collapsed="false">
      <c r="A7599" s="273" t="s">
        <v>2041</v>
      </c>
      <c r="B7599" s="273" t="s">
        <v>2042</v>
      </c>
      <c r="C7599" s="273" t="s">
        <v>2156</v>
      </c>
      <c r="D7599" s="273" t="s">
        <v>2279</v>
      </c>
      <c r="E7599" s="273" t="s">
        <v>2279</v>
      </c>
      <c r="F7599" s="273" t="s">
        <v>2292</v>
      </c>
      <c r="G7599" s="273" t="s">
        <v>2293</v>
      </c>
      <c r="H7599" s="273" t="s">
        <v>2299</v>
      </c>
      <c r="I7599" s="273"/>
      <c r="J7599" s="273" t="s">
        <v>2367</v>
      </c>
      <c r="K7599" s="274" t="n">
        <v>1889944.34</v>
      </c>
    </row>
    <row r="7600" customFormat="false" ht="15" hidden="false" customHeight="false" outlineLevel="0" collapsed="false">
      <c r="A7600" s="273" t="s">
        <v>2041</v>
      </c>
      <c r="B7600" s="273" t="s">
        <v>2042</v>
      </c>
      <c r="C7600" s="273" t="s">
        <v>2156</v>
      </c>
      <c r="D7600" s="273" t="s">
        <v>2279</v>
      </c>
      <c r="E7600" s="273" t="s">
        <v>2279</v>
      </c>
      <c r="F7600" s="273" t="s">
        <v>2292</v>
      </c>
      <c r="G7600" s="273" t="s">
        <v>2293</v>
      </c>
      <c r="H7600" s="273" t="s">
        <v>2300</v>
      </c>
      <c r="I7600" s="273"/>
      <c r="J7600" s="273" t="s">
        <v>2367</v>
      </c>
      <c r="K7600" s="274" t="n">
        <v>933885.99</v>
      </c>
    </row>
    <row r="7601" customFormat="false" ht="15" hidden="false" customHeight="false" outlineLevel="0" collapsed="false">
      <c r="A7601" s="273" t="s">
        <v>2041</v>
      </c>
      <c r="B7601" s="273" t="s">
        <v>2042</v>
      </c>
      <c r="C7601" s="273" t="s">
        <v>2156</v>
      </c>
      <c r="D7601" s="273" t="s">
        <v>2279</v>
      </c>
      <c r="E7601" s="273" t="s">
        <v>2279</v>
      </c>
      <c r="F7601" s="273" t="s">
        <v>2292</v>
      </c>
      <c r="G7601" s="273" t="s">
        <v>2293</v>
      </c>
      <c r="H7601" s="273" t="s">
        <v>2301</v>
      </c>
      <c r="I7601" s="273"/>
      <c r="J7601" s="273" t="s">
        <v>2367</v>
      </c>
      <c r="K7601" s="274" t="n">
        <v>2276990.36</v>
      </c>
    </row>
    <row r="7602" customFormat="false" ht="15" hidden="false" customHeight="false" outlineLevel="0" collapsed="false">
      <c r="A7602" s="273" t="s">
        <v>2041</v>
      </c>
      <c r="B7602" s="273" t="s">
        <v>2042</v>
      </c>
      <c r="C7602" s="273" t="s">
        <v>2156</v>
      </c>
      <c r="D7602" s="273" t="s">
        <v>2279</v>
      </c>
      <c r="E7602" s="273" t="s">
        <v>2279</v>
      </c>
      <c r="F7602" s="273" t="s">
        <v>2292</v>
      </c>
      <c r="G7602" s="273" t="s">
        <v>2293</v>
      </c>
      <c r="H7602" s="273" t="s">
        <v>2302</v>
      </c>
      <c r="I7602" s="273"/>
      <c r="J7602" s="273" t="s">
        <v>2367</v>
      </c>
      <c r="K7602" s="274" t="n">
        <v>1630286.51</v>
      </c>
    </row>
    <row r="7603" customFormat="false" ht="15" hidden="false" customHeight="false" outlineLevel="0" collapsed="false">
      <c r="A7603" s="273" t="s">
        <v>2041</v>
      </c>
      <c r="B7603" s="273" t="s">
        <v>2042</v>
      </c>
      <c r="C7603" s="273" t="s">
        <v>2156</v>
      </c>
      <c r="D7603" s="273" t="s">
        <v>2279</v>
      </c>
      <c r="E7603" s="273" t="s">
        <v>2279</v>
      </c>
      <c r="F7603" s="273" t="s">
        <v>2292</v>
      </c>
      <c r="G7603" s="273" t="s">
        <v>2293</v>
      </c>
      <c r="H7603" s="273" t="s">
        <v>2303</v>
      </c>
      <c r="I7603" s="273"/>
      <c r="J7603" s="273" t="s">
        <v>2367</v>
      </c>
      <c r="K7603" s="274" t="n">
        <v>3999259.84</v>
      </c>
    </row>
    <row r="7604" customFormat="false" ht="15" hidden="false" customHeight="false" outlineLevel="0" collapsed="false">
      <c r="A7604" s="273" t="s">
        <v>2041</v>
      </c>
      <c r="B7604" s="273" t="s">
        <v>2042</v>
      </c>
      <c r="C7604" s="273" t="s">
        <v>2156</v>
      </c>
      <c r="D7604" s="273" t="s">
        <v>2279</v>
      </c>
      <c r="E7604" s="273" t="s">
        <v>2279</v>
      </c>
      <c r="F7604" s="273" t="s">
        <v>2292</v>
      </c>
      <c r="G7604" s="273" t="s">
        <v>2293</v>
      </c>
      <c r="H7604" s="273" t="s">
        <v>2285</v>
      </c>
      <c r="I7604" s="273"/>
      <c r="J7604" s="273" t="s">
        <v>2367</v>
      </c>
      <c r="K7604" s="274" t="n">
        <v>2800658.14</v>
      </c>
    </row>
    <row r="7605" customFormat="false" ht="15" hidden="false" customHeight="false" outlineLevel="0" collapsed="false">
      <c r="A7605" s="273" t="s">
        <v>2041</v>
      </c>
      <c r="B7605" s="273" t="s">
        <v>2042</v>
      </c>
      <c r="C7605" s="273" t="s">
        <v>2156</v>
      </c>
      <c r="D7605" s="273" t="s">
        <v>2279</v>
      </c>
      <c r="E7605" s="273" t="s">
        <v>2279</v>
      </c>
      <c r="F7605" s="273" t="s">
        <v>2292</v>
      </c>
      <c r="G7605" s="273" t="s">
        <v>2293</v>
      </c>
      <c r="H7605" s="273" t="s">
        <v>2286</v>
      </c>
      <c r="I7605" s="273"/>
      <c r="J7605" s="273" t="s">
        <v>2367</v>
      </c>
      <c r="K7605" s="274" t="n">
        <v>1646754.05</v>
      </c>
    </row>
    <row r="7606" customFormat="false" ht="15" hidden="false" customHeight="false" outlineLevel="0" collapsed="false">
      <c r="A7606" s="273" t="s">
        <v>2041</v>
      </c>
      <c r="B7606" s="273" t="s">
        <v>2042</v>
      </c>
      <c r="C7606" s="273" t="s">
        <v>2156</v>
      </c>
      <c r="D7606" s="273" t="s">
        <v>2279</v>
      </c>
      <c r="E7606" s="273" t="s">
        <v>2279</v>
      </c>
      <c r="F7606" s="273" t="s">
        <v>2292</v>
      </c>
      <c r="G7606" s="273" t="s">
        <v>2293</v>
      </c>
      <c r="H7606" s="273" t="s">
        <v>2304</v>
      </c>
      <c r="I7606" s="273"/>
      <c r="J7606" s="273" t="s">
        <v>2367</v>
      </c>
      <c r="K7606" s="274" t="n">
        <v>2999444.88</v>
      </c>
    </row>
    <row r="7607" customFormat="false" ht="15" hidden="false" customHeight="false" outlineLevel="0" collapsed="false">
      <c r="A7607" s="273" t="s">
        <v>2041</v>
      </c>
      <c r="B7607" s="273" t="s">
        <v>2042</v>
      </c>
      <c r="C7607" s="273" t="s">
        <v>2156</v>
      </c>
      <c r="D7607" s="273" t="s">
        <v>2279</v>
      </c>
      <c r="E7607" s="273" t="s">
        <v>2279</v>
      </c>
      <c r="F7607" s="273" t="s">
        <v>2292</v>
      </c>
      <c r="G7607" s="273" t="s">
        <v>2293</v>
      </c>
      <c r="H7607" s="273" t="s">
        <v>2287</v>
      </c>
      <c r="I7607" s="273"/>
      <c r="J7607" s="273" t="s">
        <v>2367</v>
      </c>
      <c r="K7607" s="274" t="n">
        <v>7727981.52</v>
      </c>
    </row>
    <row r="7608" customFormat="false" ht="15" hidden="false" customHeight="false" outlineLevel="0" collapsed="false">
      <c r="A7608" s="273" t="s">
        <v>2041</v>
      </c>
      <c r="B7608" s="273" t="s">
        <v>2042</v>
      </c>
      <c r="C7608" s="273" t="s">
        <v>2156</v>
      </c>
      <c r="D7608" s="273" t="s">
        <v>2279</v>
      </c>
      <c r="E7608" s="273" t="s">
        <v>2279</v>
      </c>
      <c r="F7608" s="273" t="s">
        <v>2292</v>
      </c>
      <c r="G7608" s="273" t="s">
        <v>2293</v>
      </c>
      <c r="H7608" s="273" t="s">
        <v>2288</v>
      </c>
      <c r="I7608" s="273"/>
      <c r="J7608" s="273" t="s">
        <v>2367</v>
      </c>
      <c r="K7608" s="274" t="n">
        <v>2058442.57</v>
      </c>
    </row>
    <row r="7609" customFormat="false" ht="15" hidden="false" customHeight="false" outlineLevel="0" collapsed="false">
      <c r="A7609" s="273" t="s">
        <v>2041</v>
      </c>
      <c r="B7609" s="273" t="s">
        <v>2042</v>
      </c>
      <c r="C7609" s="273" t="s">
        <v>2156</v>
      </c>
      <c r="D7609" s="273" t="s">
        <v>2279</v>
      </c>
      <c r="E7609" s="273" t="s">
        <v>2279</v>
      </c>
      <c r="F7609" s="273" t="s">
        <v>2292</v>
      </c>
      <c r="G7609" s="273" t="s">
        <v>2293</v>
      </c>
      <c r="H7609" s="273" t="s">
        <v>2305</v>
      </c>
      <c r="I7609" s="273"/>
      <c r="J7609" s="273" t="s">
        <v>2367</v>
      </c>
      <c r="K7609" s="274" t="n">
        <v>352875.87</v>
      </c>
    </row>
    <row r="7610" customFormat="false" ht="15" hidden="false" customHeight="false" outlineLevel="0" collapsed="false">
      <c r="A7610" s="273" t="s">
        <v>2041</v>
      </c>
      <c r="B7610" s="273" t="s">
        <v>2042</v>
      </c>
      <c r="C7610" s="273" t="s">
        <v>2156</v>
      </c>
      <c r="D7610" s="273" t="s">
        <v>2279</v>
      </c>
      <c r="E7610" s="273" t="s">
        <v>2279</v>
      </c>
      <c r="F7610" s="273" t="s">
        <v>2292</v>
      </c>
      <c r="G7610" s="273" t="s">
        <v>2293</v>
      </c>
      <c r="H7610" s="273" t="s">
        <v>2200</v>
      </c>
      <c r="I7610" s="273"/>
      <c r="J7610" s="273" t="s">
        <v>2367</v>
      </c>
      <c r="K7610" s="274" t="n">
        <v>16715671.09</v>
      </c>
    </row>
    <row r="7611" customFormat="false" ht="15" hidden="false" customHeight="false" outlineLevel="0" collapsed="false">
      <c r="A7611" s="273" t="s">
        <v>2041</v>
      </c>
      <c r="B7611" s="273" t="s">
        <v>2042</v>
      </c>
      <c r="C7611" s="273" t="s">
        <v>2156</v>
      </c>
      <c r="D7611" s="273" t="s">
        <v>2279</v>
      </c>
      <c r="E7611" s="273" t="s">
        <v>2279</v>
      </c>
      <c r="F7611" s="273" t="s">
        <v>2292</v>
      </c>
      <c r="G7611" s="273" t="s">
        <v>2293</v>
      </c>
      <c r="H7611" s="273" t="s">
        <v>2202</v>
      </c>
      <c r="I7611" s="273"/>
      <c r="J7611" s="273" t="s">
        <v>2367</v>
      </c>
      <c r="K7611" s="274" t="n">
        <v>9000745.97</v>
      </c>
    </row>
    <row r="7612" customFormat="false" ht="15" hidden="false" customHeight="false" outlineLevel="0" collapsed="false">
      <c r="A7612" s="273" t="s">
        <v>2041</v>
      </c>
      <c r="B7612" s="273" t="s">
        <v>2042</v>
      </c>
      <c r="C7612" s="273" t="s">
        <v>2156</v>
      </c>
      <c r="D7612" s="273" t="s">
        <v>2279</v>
      </c>
      <c r="E7612" s="273" t="s">
        <v>2279</v>
      </c>
      <c r="F7612" s="273" t="s">
        <v>2292</v>
      </c>
      <c r="G7612" s="273" t="s">
        <v>2293</v>
      </c>
      <c r="H7612" s="273" t="s">
        <v>2306</v>
      </c>
      <c r="I7612" s="273"/>
      <c r="J7612" s="273" t="s">
        <v>2367</v>
      </c>
      <c r="K7612" s="274" t="n">
        <v>3893397.08</v>
      </c>
    </row>
    <row r="7613" customFormat="false" ht="15" hidden="false" customHeight="false" outlineLevel="0" collapsed="false">
      <c r="A7613" s="273" t="s">
        <v>2041</v>
      </c>
      <c r="B7613" s="273" t="s">
        <v>2042</v>
      </c>
      <c r="C7613" s="273" t="s">
        <v>2156</v>
      </c>
      <c r="D7613" s="273" t="s">
        <v>2279</v>
      </c>
      <c r="E7613" s="273" t="s">
        <v>2279</v>
      </c>
      <c r="F7613" s="273" t="s">
        <v>2292</v>
      </c>
      <c r="G7613" s="273" t="s">
        <v>2293</v>
      </c>
      <c r="H7613" s="273" t="s">
        <v>2182</v>
      </c>
      <c r="I7613" s="273"/>
      <c r="J7613" s="273" t="s">
        <v>2367</v>
      </c>
      <c r="K7613" s="274" t="n">
        <v>7727981.52</v>
      </c>
    </row>
    <row r="7614" customFormat="false" ht="15" hidden="false" customHeight="false" outlineLevel="0" collapsed="false">
      <c r="A7614" s="273" t="s">
        <v>2041</v>
      </c>
      <c r="B7614" s="273" t="s">
        <v>2042</v>
      </c>
      <c r="C7614" s="273" t="s">
        <v>2156</v>
      </c>
      <c r="D7614" s="273" t="s">
        <v>2279</v>
      </c>
      <c r="E7614" s="273" t="s">
        <v>2279</v>
      </c>
      <c r="F7614" s="273" t="s">
        <v>2292</v>
      </c>
      <c r="G7614" s="273" t="s">
        <v>2293</v>
      </c>
      <c r="H7614" s="273" t="s">
        <v>2289</v>
      </c>
      <c r="I7614" s="273"/>
      <c r="J7614" s="273" t="s">
        <v>2367</v>
      </c>
      <c r="K7614" s="274" t="n">
        <v>4705011.58</v>
      </c>
    </row>
    <row r="7615" customFormat="false" ht="15" hidden="false" customHeight="false" outlineLevel="0" collapsed="false">
      <c r="A7615" s="273" t="s">
        <v>2041</v>
      </c>
      <c r="B7615" s="273" t="s">
        <v>2042</v>
      </c>
      <c r="C7615" s="273" t="s">
        <v>2156</v>
      </c>
      <c r="D7615" s="273" t="s">
        <v>2279</v>
      </c>
      <c r="E7615" s="273" t="s">
        <v>2279</v>
      </c>
      <c r="F7615" s="273" t="s">
        <v>2292</v>
      </c>
      <c r="G7615" s="273" t="s">
        <v>2293</v>
      </c>
      <c r="H7615" s="273" t="s">
        <v>2307</v>
      </c>
      <c r="I7615" s="273"/>
      <c r="J7615" s="273" t="s">
        <v>2367</v>
      </c>
      <c r="K7615" s="274" t="n">
        <v>4383600.48</v>
      </c>
    </row>
    <row r="7616" customFormat="false" ht="15" hidden="false" customHeight="false" outlineLevel="0" collapsed="false">
      <c r="A7616" s="273" t="s">
        <v>2041</v>
      </c>
      <c r="B7616" s="273" t="s">
        <v>2042</v>
      </c>
      <c r="C7616" s="273" t="s">
        <v>2156</v>
      </c>
      <c r="D7616" s="273" t="s">
        <v>2279</v>
      </c>
      <c r="E7616" s="273" t="s">
        <v>2279</v>
      </c>
      <c r="F7616" s="273" t="s">
        <v>2292</v>
      </c>
      <c r="G7616" s="273" t="s">
        <v>2293</v>
      </c>
      <c r="H7616" s="273" t="s">
        <v>2308</v>
      </c>
      <c r="I7616" s="273"/>
      <c r="J7616" s="273" t="s">
        <v>2367</v>
      </c>
      <c r="K7616" s="274" t="n">
        <v>3970500.46</v>
      </c>
    </row>
    <row r="7617" customFormat="false" ht="15" hidden="false" customHeight="false" outlineLevel="0" collapsed="false">
      <c r="A7617" s="273" t="s">
        <v>2041</v>
      </c>
      <c r="B7617" s="273" t="s">
        <v>2042</v>
      </c>
      <c r="C7617" s="273" t="s">
        <v>2156</v>
      </c>
      <c r="D7617" s="273" t="s">
        <v>2279</v>
      </c>
      <c r="E7617" s="273" t="s">
        <v>2279</v>
      </c>
      <c r="F7617" s="273" t="s">
        <v>2292</v>
      </c>
      <c r="G7617" s="273" t="s">
        <v>2293</v>
      </c>
      <c r="H7617" s="273" t="s">
        <v>2309</v>
      </c>
      <c r="I7617" s="273"/>
      <c r="J7617" s="273" t="s">
        <v>2367</v>
      </c>
      <c r="K7617" s="274" t="n">
        <v>9322509.95</v>
      </c>
    </row>
    <row r="7618" customFormat="false" ht="15" hidden="false" customHeight="false" outlineLevel="0" collapsed="false">
      <c r="A7618" s="273" t="s">
        <v>2041</v>
      </c>
      <c r="B7618" s="273" t="s">
        <v>2042</v>
      </c>
      <c r="C7618" s="273" t="s">
        <v>2156</v>
      </c>
      <c r="D7618" s="273" t="s">
        <v>2279</v>
      </c>
      <c r="E7618" s="273" t="s">
        <v>2279</v>
      </c>
      <c r="F7618" s="273" t="s">
        <v>2292</v>
      </c>
      <c r="G7618" s="273" t="s">
        <v>2293</v>
      </c>
      <c r="H7618" s="273" t="s">
        <v>2310</v>
      </c>
      <c r="I7618" s="273"/>
      <c r="J7618" s="273" t="s">
        <v>2367</v>
      </c>
      <c r="K7618" s="274" t="n">
        <v>5130662.22</v>
      </c>
    </row>
    <row r="7619" customFormat="false" ht="15" hidden="false" customHeight="false" outlineLevel="0" collapsed="false">
      <c r="A7619" s="273" t="s">
        <v>2041</v>
      </c>
      <c r="B7619" s="273" t="s">
        <v>2042</v>
      </c>
      <c r="C7619" s="273" t="s">
        <v>2156</v>
      </c>
      <c r="D7619" s="273" t="s">
        <v>2279</v>
      </c>
      <c r="E7619" s="273" t="s">
        <v>2279</v>
      </c>
      <c r="F7619" s="273" t="s">
        <v>2292</v>
      </c>
      <c r="G7619" s="273" t="s">
        <v>2293</v>
      </c>
      <c r="H7619" s="273" t="s">
        <v>2311</v>
      </c>
      <c r="I7619" s="273"/>
      <c r="J7619" s="273" t="s">
        <v>2367</v>
      </c>
      <c r="K7619" s="274" t="n">
        <v>4266269.25</v>
      </c>
    </row>
    <row r="7620" customFormat="false" ht="15" hidden="false" customHeight="false" outlineLevel="0" collapsed="false">
      <c r="A7620" s="273" t="s">
        <v>2041</v>
      </c>
      <c r="B7620" s="273" t="s">
        <v>2042</v>
      </c>
      <c r="C7620" s="273" t="s">
        <v>2156</v>
      </c>
      <c r="D7620" s="273" t="s">
        <v>2279</v>
      </c>
      <c r="E7620" s="273" t="s">
        <v>2279</v>
      </c>
      <c r="F7620" s="273" t="s">
        <v>2292</v>
      </c>
      <c r="G7620" s="273" t="s">
        <v>2293</v>
      </c>
      <c r="H7620" s="273" t="s">
        <v>2312</v>
      </c>
      <c r="I7620" s="273"/>
      <c r="J7620" s="273" t="s">
        <v>2367</v>
      </c>
      <c r="K7620" s="274" t="n">
        <v>3504057.38</v>
      </c>
    </row>
    <row r="7621" customFormat="false" ht="15" hidden="false" customHeight="false" outlineLevel="0" collapsed="false">
      <c r="A7621" s="273" t="s">
        <v>2041</v>
      </c>
      <c r="B7621" s="273" t="s">
        <v>2042</v>
      </c>
      <c r="C7621" s="273" t="s">
        <v>2156</v>
      </c>
      <c r="D7621" s="273" t="s">
        <v>2279</v>
      </c>
      <c r="E7621" s="273" t="s">
        <v>2279</v>
      </c>
      <c r="F7621" s="273" t="s">
        <v>2292</v>
      </c>
      <c r="G7621" s="273" t="s">
        <v>2293</v>
      </c>
      <c r="H7621" s="273" t="s">
        <v>2315</v>
      </c>
      <c r="I7621" s="273"/>
      <c r="J7621" s="273" t="s">
        <v>2367</v>
      </c>
      <c r="K7621" s="274" t="n">
        <v>12792926.49</v>
      </c>
    </row>
    <row r="7622" customFormat="false" ht="15" hidden="false" customHeight="false" outlineLevel="0" collapsed="false">
      <c r="A7622" s="273" t="s">
        <v>2041</v>
      </c>
      <c r="B7622" s="273" t="s">
        <v>2042</v>
      </c>
      <c r="C7622" s="273" t="s">
        <v>2156</v>
      </c>
      <c r="D7622" s="273" t="s">
        <v>2279</v>
      </c>
      <c r="E7622" s="273" t="s">
        <v>2279</v>
      </c>
      <c r="F7622" s="273" t="s">
        <v>2292</v>
      </c>
      <c r="G7622" s="273" t="s">
        <v>2293</v>
      </c>
      <c r="H7622" s="273" t="s">
        <v>2316</v>
      </c>
      <c r="I7622" s="273"/>
      <c r="J7622" s="273" t="s">
        <v>2367</v>
      </c>
      <c r="K7622" s="274" t="n">
        <v>37373212.64</v>
      </c>
    </row>
    <row r="7623" customFormat="false" ht="15" hidden="false" customHeight="false" outlineLevel="0" collapsed="false">
      <c r="A7623" s="273" t="s">
        <v>2041</v>
      </c>
      <c r="B7623" s="273" t="s">
        <v>2042</v>
      </c>
      <c r="C7623" s="273" t="s">
        <v>2156</v>
      </c>
      <c r="D7623" s="273" t="s">
        <v>2279</v>
      </c>
      <c r="E7623" s="273" t="s">
        <v>2279</v>
      </c>
      <c r="F7623" s="273" t="s">
        <v>2292</v>
      </c>
      <c r="G7623" s="273" t="s">
        <v>2293</v>
      </c>
      <c r="H7623" s="273" t="s">
        <v>2326</v>
      </c>
      <c r="I7623" s="273"/>
      <c r="J7623" s="273" t="s">
        <v>2367</v>
      </c>
      <c r="K7623" s="274" t="n">
        <v>7998519.69</v>
      </c>
    </row>
    <row r="7624" customFormat="false" ht="15" hidden="false" customHeight="false" outlineLevel="0" collapsed="false">
      <c r="A7624" s="273" t="s">
        <v>2041</v>
      </c>
      <c r="B7624" s="273" t="s">
        <v>2042</v>
      </c>
      <c r="C7624" s="273" t="s">
        <v>2156</v>
      </c>
      <c r="D7624" s="273" t="s">
        <v>2279</v>
      </c>
      <c r="E7624" s="273" t="s">
        <v>2279</v>
      </c>
      <c r="F7624" s="273" t="s">
        <v>2292</v>
      </c>
      <c r="G7624" s="273" t="s">
        <v>2293</v>
      </c>
      <c r="H7624" s="273" t="s">
        <v>2317</v>
      </c>
      <c r="I7624" s="273"/>
      <c r="J7624" s="273" t="s">
        <v>2367</v>
      </c>
      <c r="K7624" s="274" t="n">
        <v>4001612.35</v>
      </c>
    </row>
    <row r="7625" customFormat="false" ht="15" hidden="false" customHeight="false" outlineLevel="0" collapsed="false">
      <c r="A7625" s="273" t="s">
        <v>2041</v>
      </c>
      <c r="B7625" s="273" t="s">
        <v>2042</v>
      </c>
      <c r="C7625" s="273" t="s">
        <v>2156</v>
      </c>
      <c r="D7625" s="273" t="s">
        <v>2279</v>
      </c>
      <c r="E7625" s="273" t="s">
        <v>2279</v>
      </c>
      <c r="F7625" s="273" t="s">
        <v>2292</v>
      </c>
      <c r="G7625" s="273" t="s">
        <v>2293</v>
      </c>
      <c r="H7625" s="273" t="s">
        <v>2318</v>
      </c>
      <c r="I7625" s="273"/>
      <c r="J7625" s="273" t="s">
        <v>2367</v>
      </c>
      <c r="K7625" s="274" t="n">
        <v>8319839.05</v>
      </c>
    </row>
    <row r="7626" customFormat="false" ht="15" hidden="false" customHeight="false" outlineLevel="0" collapsed="false">
      <c r="A7626" s="273" t="s">
        <v>2041</v>
      </c>
      <c r="B7626" s="273" t="s">
        <v>2042</v>
      </c>
      <c r="C7626" s="273" t="s">
        <v>2156</v>
      </c>
      <c r="D7626" s="273" t="s">
        <v>2279</v>
      </c>
      <c r="E7626" s="273" t="s">
        <v>2279</v>
      </c>
      <c r="F7626" s="273" t="s">
        <v>2292</v>
      </c>
      <c r="G7626" s="273" t="s">
        <v>2293</v>
      </c>
      <c r="H7626" s="273" t="s">
        <v>2319</v>
      </c>
      <c r="I7626" s="273"/>
      <c r="J7626" s="273" t="s">
        <v>2367</v>
      </c>
      <c r="K7626" s="274" t="n">
        <v>2447194.15</v>
      </c>
    </row>
    <row r="7627" customFormat="false" ht="15" hidden="false" customHeight="false" outlineLevel="0" collapsed="false">
      <c r="A7627" s="273" t="s">
        <v>2041</v>
      </c>
      <c r="B7627" s="273" t="s">
        <v>2042</v>
      </c>
      <c r="C7627" s="273" t="s">
        <v>2156</v>
      </c>
      <c r="D7627" s="273" t="s">
        <v>2279</v>
      </c>
      <c r="E7627" s="273" t="s">
        <v>2279</v>
      </c>
      <c r="F7627" s="273" t="s">
        <v>2292</v>
      </c>
      <c r="G7627" s="273" t="s">
        <v>2293</v>
      </c>
      <c r="H7627" s="273" t="s">
        <v>2320</v>
      </c>
      <c r="I7627" s="273"/>
      <c r="J7627" s="273" t="s">
        <v>2367</v>
      </c>
      <c r="K7627" s="274" t="n">
        <v>2098199.92</v>
      </c>
    </row>
    <row r="7628" customFormat="false" ht="15" hidden="false" customHeight="false" outlineLevel="0" collapsed="false">
      <c r="A7628" s="273" t="s">
        <v>2041</v>
      </c>
      <c r="B7628" s="273" t="s">
        <v>2042</v>
      </c>
      <c r="C7628" s="273" t="s">
        <v>2156</v>
      </c>
      <c r="D7628" s="273" t="s">
        <v>2279</v>
      </c>
      <c r="E7628" s="273" t="s">
        <v>2279</v>
      </c>
      <c r="F7628" s="273" t="s">
        <v>2292</v>
      </c>
      <c r="G7628" s="273" t="s">
        <v>2293</v>
      </c>
      <c r="H7628" s="273" t="s">
        <v>2290</v>
      </c>
      <c r="I7628" s="273"/>
      <c r="J7628" s="273" t="s">
        <v>2367</v>
      </c>
      <c r="K7628" s="274" t="n">
        <v>2783367.23</v>
      </c>
    </row>
    <row r="7629" customFormat="false" ht="15" hidden="false" customHeight="false" outlineLevel="0" collapsed="false">
      <c r="A7629" s="273" t="s">
        <v>2041</v>
      </c>
      <c r="B7629" s="273" t="s">
        <v>2042</v>
      </c>
      <c r="C7629" s="273" t="s">
        <v>2156</v>
      </c>
      <c r="D7629" s="273" t="s">
        <v>2279</v>
      </c>
      <c r="E7629" s="273" t="s">
        <v>2279</v>
      </c>
      <c r="F7629" s="273" t="s">
        <v>2292</v>
      </c>
      <c r="G7629" s="273" t="s">
        <v>2293</v>
      </c>
      <c r="H7629" s="273" t="s">
        <v>2291</v>
      </c>
      <c r="I7629" s="273"/>
      <c r="J7629" s="273" t="s">
        <v>2367</v>
      </c>
      <c r="K7629" s="274" t="n">
        <v>882189.67</v>
      </c>
    </row>
    <row r="7630" customFormat="false" ht="15" hidden="false" customHeight="false" outlineLevel="0" collapsed="false">
      <c r="A7630" s="273" t="s">
        <v>2041</v>
      </c>
      <c r="B7630" s="273" t="s">
        <v>2042</v>
      </c>
      <c r="C7630" s="273" t="s">
        <v>2156</v>
      </c>
      <c r="D7630" s="273" t="s">
        <v>2279</v>
      </c>
      <c r="E7630" s="273" t="s">
        <v>2279</v>
      </c>
      <c r="F7630" s="273" t="s">
        <v>2292</v>
      </c>
      <c r="G7630" s="273" t="s">
        <v>2293</v>
      </c>
      <c r="H7630" s="273" t="s">
        <v>2203</v>
      </c>
      <c r="I7630" s="273"/>
      <c r="J7630" s="273" t="s">
        <v>2367</v>
      </c>
      <c r="K7630" s="274" t="n">
        <v>4822636.87</v>
      </c>
    </row>
    <row r="7631" customFormat="false" ht="15" hidden="false" customHeight="false" outlineLevel="0" collapsed="false">
      <c r="A7631" s="273" t="s">
        <v>2041</v>
      </c>
      <c r="B7631" s="273" t="s">
        <v>2042</v>
      </c>
      <c r="C7631" s="273" t="s">
        <v>2156</v>
      </c>
      <c r="D7631" s="273" t="s">
        <v>2279</v>
      </c>
      <c r="E7631" s="273" t="s">
        <v>2279</v>
      </c>
      <c r="F7631" s="273" t="s">
        <v>2292</v>
      </c>
      <c r="G7631" s="273" t="s">
        <v>2293</v>
      </c>
      <c r="H7631" s="273" t="s">
        <v>2200</v>
      </c>
      <c r="I7631" s="273"/>
      <c r="J7631" s="273" t="s">
        <v>2367</v>
      </c>
      <c r="K7631" s="274" t="n">
        <v>229369.32</v>
      </c>
    </row>
    <row r="7632" customFormat="false" ht="15" hidden="false" customHeight="false" outlineLevel="0" collapsed="false">
      <c r="A7632" s="273" t="s">
        <v>2041</v>
      </c>
      <c r="B7632" s="273" t="s">
        <v>2042</v>
      </c>
      <c r="C7632" s="273" t="s">
        <v>2156</v>
      </c>
      <c r="D7632" s="273" t="s">
        <v>2279</v>
      </c>
      <c r="E7632" s="273" t="s">
        <v>2279</v>
      </c>
      <c r="F7632" s="273" t="s">
        <v>2292</v>
      </c>
      <c r="G7632" s="273" t="s">
        <v>2293</v>
      </c>
      <c r="H7632" s="273" t="s">
        <v>2202</v>
      </c>
      <c r="I7632" s="273"/>
      <c r="J7632" s="273" t="s">
        <v>2367</v>
      </c>
      <c r="K7632" s="274" t="n">
        <v>123506.55</v>
      </c>
    </row>
    <row r="7633" customFormat="false" ht="15" hidden="false" customHeight="false" outlineLevel="0" collapsed="false">
      <c r="A7633" s="273" t="s">
        <v>2041</v>
      </c>
      <c r="B7633" s="273" t="s">
        <v>2042</v>
      </c>
      <c r="C7633" s="273" t="s">
        <v>2156</v>
      </c>
      <c r="D7633" s="273" t="s">
        <v>2279</v>
      </c>
      <c r="E7633" s="273" t="s">
        <v>2279</v>
      </c>
      <c r="F7633" s="273" t="s">
        <v>2292</v>
      </c>
      <c r="G7633" s="273" t="s">
        <v>2293</v>
      </c>
      <c r="H7633" s="273" t="s">
        <v>2182</v>
      </c>
      <c r="I7633" s="273"/>
      <c r="J7633" s="273" t="s">
        <v>2367</v>
      </c>
      <c r="K7633" s="274" t="n">
        <v>7175142.66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A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14"/>
    <col collapsed="false" customWidth="true" hidden="false" outlineLevel="0" max="2" min="2" style="0" width="31.57"/>
    <col collapsed="false" customWidth="true" hidden="false" outlineLevel="0" max="3" min="3" style="0" width="24.57"/>
    <col collapsed="false" customWidth="true" hidden="false" outlineLevel="0" max="4" min="4" style="0" width="35"/>
    <col collapsed="false" customWidth="true" hidden="false" outlineLevel="0" max="5" min="5" style="0" width="9.14"/>
    <col collapsed="false" customWidth="true" hidden="false" outlineLevel="0" max="6" min="6" style="0" width="28.57"/>
    <col collapsed="false" customWidth="true" hidden="false" outlineLevel="0" max="7" min="7" style="0" width="24.29"/>
    <col collapsed="false" customWidth="true" hidden="false" outlineLevel="0" max="8" min="8" style="0" width="31.71"/>
    <col collapsed="false" customWidth="true" hidden="false" outlineLevel="0" max="9" min="9" style="0" width="11.43"/>
    <col collapsed="false" customWidth="true" hidden="false" outlineLevel="0" max="16" min="16" style="0" width="9.14"/>
    <col collapsed="false" customWidth="true" hidden="false" outlineLevel="0" max="20" min="20" style="0" width="31.86"/>
    <col collapsed="false" customWidth="true" hidden="false" outlineLevel="0" max="21" min="21" style="0" width="11.85"/>
    <col collapsed="false" customWidth="true" hidden="false" outlineLevel="0" max="22" min="22" style="0" width="9.14"/>
    <col collapsed="false" customWidth="true" hidden="false" outlineLevel="0" max="27" min="27" style="0" width="24.14"/>
    <col collapsed="false" customWidth="true" hidden="false" outlineLevel="0" max="28" min="28" style="0" width="9.14"/>
  </cols>
  <sheetData>
    <row r="1" customFormat="false" ht="26.25" hidden="false" customHeight="true" outlineLevel="0" collapsed="false">
      <c r="A1" s="275" t="s">
        <v>2370</v>
      </c>
      <c r="B1" s="185" t="s">
        <v>1</v>
      </c>
      <c r="G1" s="263" t="s">
        <v>1705</v>
      </c>
    </row>
    <row r="2" customFormat="false" ht="33.75" hidden="false" customHeight="true" outlineLevel="0" collapsed="false">
      <c r="A2" s="276" t="s">
        <v>2371</v>
      </c>
      <c r="B2" s="276" t="s">
        <v>2372</v>
      </c>
      <c r="C2" s="276" t="s">
        <v>2373</v>
      </c>
      <c r="D2" s="276" t="s">
        <v>2374</v>
      </c>
      <c r="E2" s="276" t="s">
        <v>2375</v>
      </c>
      <c r="F2" s="276" t="s">
        <v>2376</v>
      </c>
      <c r="G2" s="276" t="s">
        <v>2377</v>
      </c>
      <c r="H2" s="276" t="s">
        <v>2378</v>
      </c>
      <c r="I2" s="276" t="s">
        <v>2379</v>
      </c>
      <c r="J2" s="276" t="s">
        <v>2380</v>
      </c>
      <c r="K2" s="276" t="s">
        <v>2381</v>
      </c>
      <c r="L2" s="276" t="s">
        <v>2382</v>
      </c>
      <c r="M2" s="276" t="s">
        <v>2383</v>
      </c>
      <c r="N2" s="276" t="s">
        <v>2384</v>
      </c>
      <c r="O2" s="276" t="s">
        <v>2385</v>
      </c>
      <c r="P2" s="276" t="s">
        <v>2386</v>
      </c>
      <c r="Q2" s="276" t="s">
        <v>2036</v>
      </c>
      <c r="R2" s="276" t="s">
        <v>2387</v>
      </c>
      <c r="S2" s="276" t="s">
        <v>2388</v>
      </c>
      <c r="T2" s="276" t="s">
        <v>2389</v>
      </c>
      <c r="U2" s="276" t="s">
        <v>2390</v>
      </c>
      <c r="V2" s="276" t="s">
        <v>2391</v>
      </c>
      <c r="W2" s="276" t="s">
        <v>2392</v>
      </c>
      <c r="X2" s="276" t="s">
        <v>2393</v>
      </c>
      <c r="Y2" s="276" t="s">
        <v>2038</v>
      </c>
      <c r="Z2" s="276" t="s">
        <v>345</v>
      </c>
      <c r="AA2" s="277" t="s">
        <v>2032</v>
      </c>
      <c r="AB2" s="277" t="s">
        <v>2040</v>
      </c>
    </row>
    <row r="3" customFormat="false" ht="105" hidden="false" customHeight="true" outlineLevel="0" collapsed="false">
      <c r="A3" s="228" t="n">
        <v>70175496</v>
      </c>
      <c r="C3" s="228" t="s">
        <v>2394</v>
      </c>
      <c r="D3" s="228" t="s">
        <v>2395</v>
      </c>
      <c r="E3" s="228" t="s">
        <v>2396</v>
      </c>
      <c r="F3" s="228" t="s">
        <v>2225</v>
      </c>
      <c r="G3" s="228" t="s">
        <v>2397</v>
      </c>
      <c r="H3" s="228" t="s">
        <v>2398</v>
      </c>
      <c r="P3" s="228" t="s">
        <v>2227</v>
      </c>
      <c r="Q3" s="228" t="s">
        <v>2228</v>
      </c>
      <c r="R3" s="228" t="s">
        <v>2228</v>
      </c>
      <c r="S3" s="228" t="s">
        <v>2399</v>
      </c>
      <c r="T3" s="228" t="s">
        <v>2225</v>
      </c>
      <c r="W3" s="228" t="s">
        <v>2400</v>
      </c>
      <c r="Z3" s="228" t="n">
        <v>3.2025</v>
      </c>
      <c r="AA3" s="228" t="s">
        <v>2401</v>
      </c>
      <c r="AB3" s="228" t="n">
        <v>827051.43</v>
      </c>
    </row>
    <row r="4" customFormat="false" ht="105" hidden="false" customHeight="true" outlineLevel="0" collapsed="false">
      <c r="A4" s="228" t="n">
        <v>70175496</v>
      </c>
      <c r="C4" s="228" t="s">
        <v>2394</v>
      </c>
      <c r="D4" s="228" t="s">
        <v>2395</v>
      </c>
      <c r="E4" s="228" t="s">
        <v>2396</v>
      </c>
      <c r="F4" s="228" t="s">
        <v>2225</v>
      </c>
      <c r="G4" s="228" t="s">
        <v>2397</v>
      </c>
      <c r="H4" s="228" t="s">
        <v>2398</v>
      </c>
      <c r="P4" s="228" t="s">
        <v>2227</v>
      </c>
      <c r="Q4" s="228" t="s">
        <v>2228</v>
      </c>
      <c r="R4" s="228" t="s">
        <v>2228</v>
      </c>
      <c r="S4" s="228" t="s">
        <v>2399</v>
      </c>
      <c r="T4" s="228" t="s">
        <v>2225</v>
      </c>
      <c r="W4" s="228" t="s">
        <v>2400</v>
      </c>
      <c r="Z4" s="228" t="n">
        <v>3.2025</v>
      </c>
      <c r="AA4" s="228" t="s">
        <v>2402</v>
      </c>
      <c r="AB4" s="228" t="n">
        <v>7083.14</v>
      </c>
    </row>
    <row r="5" customFormat="false" ht="105" hidden="false" customHeight="true" outlineLevel="0" collapsed="false">
      <c r="A5" s="228" t="n">
        <v>70175496</v>
      </c>
      <c r="C5" s="228" t="s">
        <v>2394</v>
      </c>
      <c r="D5" s="228" t="s">
        <v>2395</v>
      </c>
      <c r="E5" s="228" t="s">
        <v>2396</v>
      </c>
      <c r="F5" s="228" t="s">
        <v>2225</v>
      </c>
      <c r="G5" s="228" t="s">
        <v>2397</v>
      </c>
      <c r="H5" s="228" t="s">
        <v>2398</v>
      </c>
      <c r="P5" s="228" t="s">
        <v>2227</v>
      </c>
      <c r="Q5" s="228" t="s">
        <v>2228</v>
      </c>
      <c r="R5" s="228" t="s">
        <v>2228</v>
      </c>
      <c r="S5" s="228" t="s">
        <v>2399</v>
      </c>
      <c r="T5" s="228" t="s">
        <v>2225</v>
      </c>
      <c r="W5" s="228" t="s">
        <v>2400</v>
      </c>
      <c r="Z5" s="228" t="n">
        <v>3.2025</v>
      </c>
      <c r="AA5" s="228" t="s">
        <v>2403</v>
      </c>
      <c r="AB5" s="228" t="n">
        <v>41571.43</v>
      </c>
    </row>
    <row r="6" customFormat="false" ht="105" hidden="false" customHeight="true" outlineLevel="0" collapsed="false">
      <c r="A6" s="228" t="n">
        <v>70175496</v>
      </c>
      <c r="C6" s="228" t="s">
        <v>2394</v>
      </c>
      <c r="D6" s="228" t="s">
        <v>2395</v>
      </c>
      <c r="E6" s="228" t="s">
        <v>2396</v>
      </c>
      <c r="F6" s="228" t="s">
        <v>2225</v>
      </c>
      <c r="G6" s="228" t="s">
        <v>2397</v>
      </c>
      <c r="H6" s="228" t="s">
        <v>2398</v>
      </c>
      <c r="P6" s="228" t="s">
        <v>2227</v>
      </c>
      <c r="Q6" s="228" t="s">
        <v>2228</v>
      </c>
      <c r="R6" s="228" t="s">
        <v>2228</v>
      </c>
      <c r="S6" s="228" t="s">
        <v>2399</v>
      </c>
      <c r="T6" s="228" t="s">
        <v>2225</v>
      </c>
      <c r="W6" s="228" t="s">
        <v>2400</v>
      </c>
      <c r="Z6" s="228" t="n">
        <v>3.2025</v>
      </c>
      <c r="AA6" s="228" t="s">
        <v>2404</v>
      </c>
      <c r="AB6" s="228" t="n">
        <v>0</v>
      </c>
    </row>
    <row r="7" customFormat="false" ht="105" hidden="false" customHeight="true" outlineLevel="0" collapsed="false">
      <c r="A7" s="228" t="n">
        <v>70175496</v>
      </c>
      <c r="C7" s="228" t="s">
        <v>2394</v>
      </c>
      <c r="D7" s="228" t="s">
        <v>2395</v>
      </c>
      <c r="E7" s="228" t="s">
        <v>2396</v>
      </c>
      <c r="F7" s="228" t="s">
        <v>2225</v>
      </c>
      <c r="G7" s="228" t="s">
        <v>2397</v>
      </c>
      <c r="H7" s="228" t="s">
        <v>2398</v>
      </c>
      <c r="P7" s="228" t="s">
        <v>2227</v>
      </c>
      <c r="Q7" s="228" t="s">
        <v>2228</v>
      </c>
      <c r="R7" s="228" t="s">
        <v>2228</v>
      </c>
      <c r="S7" s="228" t="s">
        <v>2399</v>
      </c>
      <c r="T7" s="228" t="s">
        <v>2225</v>
      </c>
      <c r="W7" s="228" t="s">
        <v>2400</v>
      </c>
      <c r="Z7" s="228" t="n">
        <v>3.2025</v>
      </c>
      <c r="AA7" s="228" t="s">
        <v>2405</v>
      </c>
      <c r="AB7" s="228" t="n">
        <v>0</v>
      </c>
    </row>
    <row r="8" customFormat="false" ht="105" hidden="false" customHeight="true" outlineLevel="0" collapsed="false">
      <c r="A8" s="228" t="n">
        <v>70175496</v>
      </c>
      <c r="C8" s="228" t="s">
        <v>2394</v>
      </c>
      <c r="D8" s="228" t="s">
        <v>2395</v>
      </c>
      <c r="E8" s="228" t="s">
        <v>2396</v>
      </c>
      <c r="F8" s="228" t="s">
        <v>2225</v>
      </c>
      <c r="G8" s="228" t="s">
        <v>2397</v>
      </c>
      <c r="H8" s="228" t="s">
        <v>2398</v>
      </c>
      <c r="P8" s="228" t="s">
        <v>2227</v>
      </c>
      <c r="Q8" s="228" t="s">
        <v>2228</v>
      </c>
      <c r="R8" s="228" t="s">
        <v>2228</v>
      </c>
      <c r="S8" s="228" t="s">
        <v>2399</v>
      </c>
      <c r="T8" s="228" t="s">
        <v>2225</v>
      </c>
      <c r="W8" s="228" t="s">
        <v>2400</v>
      </c>
      <c r="Z8" s="228" t="n">
        <v>3.2025</v>
      </c>
      <c r="AA8" s="228" t="s">
        <v>2406</v>
      </c>
      <c r="AB8" s="228" t="n">
        <v>0</v>
      </c>
    </row>
    <row r="9" customFormat="false" ht="105" hidden="false" customHeight="true" outlineLevel="0" collapsed="false">
      <c r="A9" s="228" t="n">
        <v>70175496</v>
      </c>
      <c r="C9" s="228" t="s">
        <v>2394</v>
      </c>
      <c r="D9" s="228" t="s">
        <v>2395</v>
      </c>
      <c r="E9" s="228" t="s">
        <v>2396</v>
      </c>
      <c r="F9" s="228" t="s">
        <v>2225</v>
      </c>
      <c r="G9" s="228" t="s">
        <v>2397</v>
      </c>
      <c r="H9" s="228" t="s">
        <v>2398</v>
      </c>
      <c r="P9" s="228" t="s">
        <v>2227</v>
      </c>
      <c r="Q9" s="228" t="s">
        <v>2228</v>
      </c>
      <c r="R9" s="228" t="s">
        <v>2228</v>
      </c>
      <c r="S9" s="228" t="s">
        <v>2399</v>
      </c>
      <c r="T9" s="228" t="s">
        <v>2225</v>
      </c>
      <c r="W9" s="228" t="s">
        <v>2400</v>
      </c>
      <c r="Z9" s="228" t="n">
        <v>3.2025</v>
      </c>
      <c r="AA9" s="228" t="s">
        <v>2407</v>
      </c>
      <c r="AB9" s="228" t="n">
        <v>0</v>
      </c>
    </row>
    <row r="10" customFormat="false" ht="105" hidden="false" customHeight="true" outlineLevel="0" collapsed="false">
      <c r="A10" s="228" t="n">
        <v>70175496</v>
      </c>
      <c r="C10" s="228" t="s">
        <v>2394</v>
      </c>
      <c r="D10" s="228" t="s">
        <v>2395</v>
      </c>
      <c r="E10" s="228" t="s">
        <v>2396</v>
      </c>
      <c r="F10" s="228" t="s">
        <v>2225</v>
      </c>
      <c r="G10" s="228" t="s">
        <v>2397</v>
      </c>
      <c r="H10" s="228" t="s">
        <v>2398</v>
      </c>
      <c r="P10" s="228" t="s">
        <v>2227</v>
      </c>
      <c r="Q10" s="228" t="s">
        <v>2228</v>
      </c>
      <c r="R10" s="228" t="s">
        <v>2228</v>
      </c>
      <c r="S10" s="228" t="s">
        <v>2399</v>
      </c>
      <c r="T10" s="228" t="s">
        <v>2225</v>
      </c>
      <c r="W10" s="228" t="s">
        <v>2400</v>
      </c>
      <c r="Z10" s="228" t="n">
        <v>3.2025</v>
      </c>
      <c r="AA10" s="228" t="s">
        <v>2408</v>
      </c>
      <c r="AB10" s="228" t="n">
        <v>0</v>
      </c>
    </row>
  </sheetData>
  <hyperlinks>
    <hyperlink ref="B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V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.57"/>
    <col collapsed="false" customWidth="true" hidden="false" outlineLevel="0" max="3" min="3" style="0" width="35.71"/>
    <col collapsed="false" customWidth="true" hidden="false" outlineLevel="0" max="4" min="4" style="0" width="12.57"/>
    <col collapsed="false" customWidth="true" hidden="false" outlineLevel="0" max="6" min="6" style="0" width="38.14"/>
    <col collapsed="false" customWidth="true" hidden="false" outlineLevel="0" max="7" min="7" style="0" width="10.14"/>
    <col collapsed="false" customWidth="true" hidden="false" outlineLevel="0" max="8" min="8" style="0" width="9.57"/>
    <col collapsed="false" customWidth="true" hidden="false" outlineLevel="0" max="9" min="9" style="0" width="12.57"/>
    <col collapsed="false" customWidth="true" hidden="false" outlineLevel="0" max="15" min="15" style="0" width="14"/>
    <col collapsed="false" customWidth="true" hidden="false" outlineLevel="0" max="16" min="16" style="0" width="12.57"/>
  </cols>
  <sheetData>
    <row r="1" customFormat="false" ht="27.75" hidden="false" customHeight="true" outlineLevel="0" collapsed="false">
      <c r="A1" s="185" t="s">
        <v>1</v>
      </c>
      <c r="O1" s="263" t="s">
        <v>1705</v>
      </c>
    </row>
    <row r="2" customFormat="false" ht="38.25" hidden="false" customHeight="true" outlineLevel="0" collapsed="false">
      <c r="A2" s="278" t="s">
        <v>2409</v>
      </c>
      <c r="B2" s="279" t="s">
        <v>2410</v>
      </c>
      <c r="C2" s="280" t="s">
        <v>2411</v>
      </c>
      <c r="D2" s="281" t="s">
        <v>633</v>
      </c>
      <c r="E2" s="281" t="s">
        <v>2412</v>
      </c>
      <c r="F2" s="282" t="s">
        <v>765</v>
      </c>
      <c r="G2" s="280" t="s">
        <v>1426</v>
      </c>
      <c r="H2" s="282" t="s">
        <v>2413</v>
      </c>
      <c r="I2" s="282" t="s">
        <v>2414</v>
      </c>
      <c r="J2" s="280" t="s">
        <v>2415</v>
      </c>
      <c r="K2" s="283" t="s">
        <v>2416</v>
      </c>
      <c r="L2" s="283" t="s">
        <v>2417</v>
      </c>
      <c r="M2" s="283" t="s">
        <v>2418</v>
      </c>
      <c r="N2" s="283" t="s">
        <v>2419</v>
      </c>
      <c r="O2" s="283" t="s">
        <v>2420</v>
      </c>
      <c r="P2" s="283" t="s">
        <v>2421</v>
      </c>
      <c r="Q2" s="283" t="s">
        <v>2422</v>
      </c>
      <c r="R2" s="283" t="s">
        <v>2423</v>
      </c>
      <c r="S2" s="283" t="s">
        <v>2424</v>
      </c>
      <c r="T2" s="283" t="s">
        <v>2425</v>
      </c>
      <c r="U2" s="283" t="s">
        <v>2426</v>
      </c>
      <c r="V2" s="283" t="s">
        <v>2427</v>
      </c>
    </row>
    <row r="3" customFormat="false" ht="15" hidden="false" customHeight="false" outlineLevel="0" collapsed="false">
      <c r="A3" s="284"/>
      <c r="B3" s="285" t="n">
        <v>45992</v>
      </c>
      <c r="C3" s="286"/>
      <c r="D3" s="287" t="s">
        <v>2428</v>
      </c>
      <c r="E3" s="230" t="s">
        <v>2429</v>
      </c>
      <c r="F3" s="286"/>
      <c r="G3" s="286"/>
      <c r="H3" s="286"/>
      <c r="I3" s="286" t="s">
        <v>2430</v>
      </c>
      <c r="J3" s="272" t="s">
        <v>2431</v>
      </c>
      <c r="K3" s="288" t="n">
        <v>9335.98411111111</v>
      </c>
      <c r="L3" s="288" t="n">
        <v>9335.98411111111</v>
      </c>
      <c r="M3" s="288" t="n">
        <v>8432.50177777778</v>
      </c>
      <c r="N3" s="288" t="n">
        <v>9335.98695652174</v>
      </c>
      <c r="O3" s="288" t="n">
        <v>9034.82608695652</v>
      </c>
      <c r="P3" s="288" t="n">
        <v>9335.98695652174</v>
      </c>
      <c r="Q3" s="288" t="n">
        <v>9034.82608695652</v>
      </c>
      <c r="R3" s="288" t="n">
        <v>9335.98695652174</v>
      </c>
      <c r="S3" s="288" t="n">
        <v>9335.98695652174</v>
      </c>
      <c r="T3" s="288" t="n">
        <v>9034.82307692308</v>
      </c>
      <c r="U3" s="288" t="n">
        <v>9335.98384615385</v>
      </c>
      <c r="V3" s="288" t="n">
        <v>9034.82307692308</v>
      </c>
    </row>
    <row r="4" customFormat="false" ht="15" hidden="false" customHeight="false" outlineLevel="0" collapsed="false">
      <c r="A4" s="284"/>
      <c r="B4" s="285" t="n">
        <v>45992</v>
      </c>
      <c r="C4" s="286"/>
      <c r="D4" s="287" t="s">
        <v>2432</v>
      </c>
      <c r="E4" s="230" t="s">
        <v>2433</v>
      </c>
      <c r="F4" s="286"/>
      <c r="G4" s="286"/>
      <c r="H4" s="286"/>
      <c r="I4" s="286" t="s">
        <v>2430</v>
      </c>
      <c r="J4" s="272" t="s">
        <v>2431</v>
      </c>
      <c r="K4" s="288" t="n">
        <v>9335.98411111111</v>
      </c>
      <c r="L4" s="288" t="n">
        <v>9335.98411111111</v>
      </c>
      <c r="M4" s="288" t="n">
        <v>8432.50177777778</v>
      </c>
      <c r="N4" s="288" t="n">
        <v>9335.98695652174</v>
      </c>
      <c r="O4" s="288" t="n">
        <v>9034.82608695652</v>
      </c>
      <c r="P4" s="288" t="n">
        <v>9335.98695652174</v>
      </c>
      <c r="Q4" s="288" t="n">
        <v>9034.82608695652</v>
      </c>
      <c r="R4" s="288" t="n">
        <v>9335.98695652174</v>
      </c>
      <c r="S4" s="288" t="n">
        <v>9335.98695652174</v>
      </c>
      <c r="T4" s="288" t="n">
        <v>9034.82307692308</v>
      </c>
      <c r="U4" s="288" t="n">
        <v>9335.98384615385</v>
      </c>
      <c r="V4" s="288" t="n">
        <v>9034.82307692308</v>
      </c>
    </row>
    <row r="5" customFormat="false" ht="15" hidden="false" customHeight="false" outlineLevel="0" collapsed="false">
      <c r="A5" s="284"/>
      <c r="B5" s="285" t="n">
        <v>45992</v>
      </c>
      <c r="C5" s="286"/>
      <c r="D5" s="287" t="s">
        <v>2434</v>
      </c>
      <c r="E5" s="230" t="s">
        <v>2433</v>
      </c>
      <c r="F5" s="286"/>
      <c r="G5" s="286"/>
      <c r="H5" s="286"/>
      <c r="I5" s="286" t="s">
        <v>2430</v>
      </c>
      <c r="J5" s="272" t="s">
        <v>2431</v>
      </c>
      <c r="K5" s="288" t="n">
        <v>13471.1395555556</v>
      </c>
      <c r="L5" s="288" t="n">
        <v>13471.1395555556</v>
      </c>
      <c r="M5" s="288" t="n">
        <v>12167.4808888889</v>
      </c>
      <c r="N5" s="288" t="n">
        <v>13471.1376086957</v>
      </c>
      <c r="O5" s="288" t="n">
        <v>13036.5847826087</v>
      </c>
      <c r="P5" s="288" t="n">
        <v>13471.1376086957</v>
      </c>
      <c r="Q5" s="288" t="n">
        <v>13036.5847826087</v>
      </c>
      <c r="R5" s="288" t="n">
        <v>13471.1376086957</v>
      </c>
      <c r="S5" s="288" t="n">
        <v>13471.1376086957</v>
      </c>
      <c r="T5" s="288" t="n">
        <v>13036.589010989</v>
      </c>
      <c r="U5" s="288" t="n">
        <v>13471.141978022</v>
      </c>
      <c r="V5" s="288" t="n">
        <v>13036.589010989</v>
      </c>
    </row>
    <row r="6" customFormat="false" ht="15" hidden="false" customHeight="false" outlineLevel="0" collapsed="false">
      <c r="A6" s="284"/>
      <c r="B6" s="285" t="n">
        <v>45992</v>
      </c>
      <c r="C6" s="286"/>
      <c r="D6" s="287" t="s">
        <v>2434</v>
      </c>
      <c r="E6" s="230" t="s">
        <v>2433</v>
      </c>
      <c r="F6" s="286"/>
      <c r="G6" s="286"/>
      <c r="H6" s="286"/>
      <c r="I6" s="286" t="s">
        <v>2430</v>
      </c>
      <c r="J6" s="272" t="s">
        <v>2431</v>
      </c>
      <c r="K6" s="288" t="n">
        <v>13471.1395555556</v>
      </c>
      <c r="L6" s="288" t="n">
        <v>13471.1395555556</v>
      </c>
      <c r="M6" s="288" t="n">
        <v>12167.4808888889</v>
      </c>
      <c r="N6" s="288" t="n">
        <v>13471.1376086957</v>
      </c>
      <c r="O6" s="288" t="n">
        <v>13036.5847826087</v>
      </c>
      <c r="P6" s="288" t="n">
        <v>13471.1376086957</v>
      </c>
      <c r="Q6" s="288" t="n">
        <v>13036.5847826087</v>
      </c>
      <c r="R6" s="288" t="n">
        <v>13471.1376086957</v>
      </c>
      <c r="S6" s="288" t="n">
        <v>13471.1376086957</v>
      </c>
      <c r="T6" s="288" t="n">
        <v>13036.589010989</v>
      </c>
      <c r="U6" s="288" t="n">
        <v>13471.141978022</v>
      </c>
      <c r="V6" s="288" t="n">
        <v>13036.589010989</v>
      </c>
    </row>
    <row r="7" customFormat="false" ht="15" hidden="false" customHeight="false" outlineLevel="0" collapsed="false">
      <c r="A7" s="284"/>
      <c r="B7" s="285" t="n">
        <v>45992</v>
      </c>
      <c r="C7" s="286"/>
      <c r="D7" s="287" t="s">
        <v>2428</v>
      </c>
      <c r="E7" s="230" t="s">
        <v>2429</v>
      </c>
      <c r="F7" s="286"/>
      <c r="G7" s="286"/>
      <c r="H7" s="286"/>
      <c r="I7" s="286" t="s">
        <v>473</v>
      </c>
      <c r="J7" s="272" t="s">
        <v>2431</v>
      </c>
      <c r="K7" s="288" t="n">
        <v>8765.55311111111</v>
      </c>
      <c r="L7" s="288" t="n">
        <v>8765.55311111111</v>
      </c>
      <c r="M7" s="288" t="n">
        <v>7917.27377777778</v>
      </c>
      <c r="N7" s="288" t="n">
        <v>8765.54989130435</v>
      </c>
      <c r="O7" s="288" t="n">
        <v>8482.7902173913</v>
      </c>
      <c r="P7" s="288" t="n">
        <v>8765.54989130435</v>
      </c>
      <c r="Q7" s="288" t="n">
        <v>8482.7902173913</v>
      </c>
      <c r="R7" s="288" t="n">
        <v>8765.54989130435</v>
      </c>
      <c r="S7" s="288" t="n">
        <v>8765.54989130435</v>
      </c>
      <c r="T7" s="288" t="n">
        <v>8482.79340659341</v>
      </c>
      <c r="U7" s="288" t="n">
        <v>8765.55318681319</v>
      </c>
      <c r="V7" s="288" t="n">
        <v>8482.79340659341</v>
      </c>
    </row>
    <row r="8" customFormat="false" ht="15" hidden="false" customHeight="false" outlineLevel="0" collapsed="false">
      <c r="A8" s="284"/>
      <c r="B8" s="285" t="n">
        <v>45992</v>
      </c>
      <c r="C8" s="286"/>
      <c r="D8" s="287" t="s">
        <v>2432</v>
      </c>
      <c r="E8" s="230" t="s">
        <v>2433</v>
      </c>
      <c r="F8" s="286"/>
      <c r="G8" s="286"/>
      <c r="H8" s="286"/>
      <c r="I8" s="286" t="s">
        <v>473</v>
      </c>
      <c r="J8" s="272" t="s">
        <v>2431</v>
      </c>
      <c r="K8" s="288" t="n">
        <v>8217.74177777778</v>
      </c>
      <c r="L8" s="288" t="n">
        <v>8217.74177777778</v>
      </c>
      <c r="M8" s="288" t="n">
        <v>7422.47644444444</v>
      </c>
      <c r="N8" s="288" t="n">
        <v>8217.74282608696</v>
      </c>
      <c r="O8" s="288" t="n">
        <v>7952.65434782609</v>
      </c>
      <c r="P8" s="288" t="n">
        <v>8217.74282608696</v>
      </c>
      <c r="Q8" s="288" t="n">
        <v>7952.65434782609</v>
      </c>
      <c r="R8" s="288" t="n">
        <v>8217.74282608696</v>
      </c>
      <c r="S8" s="288" t="n">
        <v>8217.74282608696</v>
      </c>
      <c r="T8" s="288" t="n">
        <v>7952.65714285714</v>
      </c>
      <c r="U8" s="288" t="n">
        <v>8217.74571428571</v>
      </c>
      <c r="V8" s="288" t="n">
        <v>7952.65714285714</v>
      </c>
    </row>
    <row r="9" customFormat="false" ht="15" hidden="false" customHeight="false" outlineLevel="0" collapsed="false">
      <c r="A9" s="284"/>
      <c r="B9" s="285" t="n">
        <v>45992</v>
      </c>
      <c r="C9" s="286"/>
      <c r="D9" s="287" t="s">
        <v>2428</v>
      </c>
      <c r="E9" s="230" t="s">
        <v>2429</v>
      </c>
      <c r="F9" s="286"/>
      <c r="G9" s="286"/>
      <c r="H9" s="286"/>
      <c r="I9" s="286" t="s">
        <v>2435</v>
      </c>
      <c r="J9" s="272" t="s">
        <v>2431</v>
      </c>
      <c r="K9" s="288" t="n">
        <v>8765.55311111111</v>
      </c>
      <c r="L9" s="288" t="n">
        <v>8765.55311111111</v>
      </c>
      <c r="M9" s="288" t="n">
        <v>7917.27377777778</v>
      </c>
      <c r="N9" s="288" t="n">
        <v>8765.54989130435</v>
      </c>
      <c r="O9" s="288" t="n">
        <v>8482.7902173913</v>
      </c>
      <c r="P9" s="288" t="n">
        <v>8765.54989130435</v>
      </c>
      <c r="Q9" s="288" t="n">
        <v>8482.7902173913</v>
      </c>
      <c r="R9" s="288" t="n">
        <v>8765.54989130435</v>
      </c>
      <c r="S9" s="288" t="n">
        <v>8765.54989130435</v>
      </c>
      <c r="T9" s="288" t="n">
        <v>8482.79340659341</v>
      </c>
      <c r="U9" s="288" t="n">
        <v>8765.55318681319</v>
      </c>
      <c r="V9" s="288" t="n">
        <v>8482.79340659341</v>
      </c>
    </row>
    <row r="10" customFormat="false" ht="15" hidden="false" customHeight="false" outlineLevel="0" collapsed="false">
      <c r="A10" s="284"/>
      <c r="B10" s="285" t="n">
        <v>45992</v>
      </c>
      <c r="C10" s="286"/>
      <c r="D10" s="287" t="s">
        <v>2428</v>
      </c>
      <c r="E10" s="230" t="s">
        <v>2429</v>
      </c>
      <c r="F10" s="286"/>
      <c r="G10" s="286"/>
      <c r="H10" s="286"/>
      <c r="I10" s="286" t="s">
        <v>480</v>
      </c>
      <c r="J10" s="272" t="s">
        <v>2431</v>
      </c>
      <c r="K10" s="288" t="n">
        <v>9335.98411111111</v>
      </c>
      <c r="L10" s="288" t="n">
        <v>9335.98411111111</v>
      </c>
      <c r="M10" s="288" t="n">
        <v>8432.50177777778</v>
      </c>
      <c r="N10" s="288" t="n">
        <v>9335.98695652174</v>
      </c>
      <c r="O10" s="288" t="n">
        <v>9034.82608695652</v>
      </c>
      <c r="P10" s="288" t="n">
        <v>9335.98695652174</v>
      </c>
      <c r="Q10" s="288" t="n">
        <v>9034.82608695652</v>
      </c>
      <c r="R10" s="288" t="n">
        <v>9335.98695652174</v>
      </c>
      <c r="S10" s="288" t="n">
        <v>9335.98695652174</v>
      </c>
      <c r="T10" s="288" t="n">
        <v>9034.82307692308</v>
      </c>
      <c r="U10" s="288" t="n">
        <v>9335.98384615385</v>
      </c>
      <c r="V10" s="288" t="n">
        <v>9034.82307692308</v>
      </c>
    </row>
    <row r="11" customFormat="false" ht="15" hidden="false" customHeight="false" outlineLevel="0" collapsed="false">
      <c r="A11" s="284"/>
      <c r="B11" s="285" t="n">
        <v>45992</v>
      </c>
      <c r="C11" s="286"/>
      <c r="D11" s="287" t="s">
        <v>2434</v>
      </c>
      <c r="E11" s="230" t="s">
        <v>2433</v>
      </c>
      <c r="F11" s="286"/>
      <c r="G11" s="286"/>
      <c r="H11" s="286"/>
      <c r="I11" s="286" t="s">
        <v>1812</v>
      </c>
      <c r="J11" s="272" t="s">
        <v>2431</v>
      </c>
      <c r="K11" s="288" t="n">
        <v>11356.261</v>
      </c>
      <c r="L11" s="288" t="n">
        <v>11356.261</v>
      </c>
      <c r="M11" s="288" t="n">
        <v>10257.268</v>
      </c>
      <c r="N11" s="288" t="n">
        <v>11356.260326087</v>
      </c>
      <c r="O11" s="288" t="n">
        <v>10989.9293478261</v>
      </c>
      <c r="P11" s="288" t="n">
        <v>11356.260326087</v>
      </c>
      <c r="Q11" s="288" t="n">
        <v>10989.9293478261</v>
      </c>
      <c r="R11" s="288" t="n">
        <v>11356.260326087</v>
      </c>
      <c r="S11" s="288" t="n">
        <v>11356.260326087</v>
      </c>
      <c r="T11" s="288" t="n">
        <v>10989.9263736264</v>
      </c>
      <c r="U11" s="288" t="n">
        <v>11356.2572527473</v>
      </c>
      <c r="V11" s="288" t="n">
        <v>10989.9263736264</v>
      </c>
    </row>
    <row r="12" customFormat="false" ht="15" hidden="false" customHeight="false" outlineLevel="0" collapsed="false">
      <c r="A12" s="284"/>
      <c r="B12" s="285" t="n">
        <v>45992</v>
      </c>
      <c r="C12" s="286"/>
      <c r="D12" s="287" t="s">
        <v>2428</v>
      </c>
      <c r="E12" s="230" t="s">
        <v>2429</v>
      </c>
      <c r="F12" s="286"/>
      <c r="G12" s="286"/>
      <c r="H12" s="286"/>
      <c r="I12" s="286" t="s">
        <v>476</v>
      </c>
      <c r="J12" s="272" t="s">
        <v>2431</v>
      </c>
      <c r="K12" s="288" t="n">
        <v>8765.55311111111</v>
      </c>
      <c r="L12" s="288" t="n">
        <v>8765.55311111111</v>
      </c>
      <c r="M12" s="288" t="n">
        <v>7917.27377777778</v>
      </c>
      <c r="N12" s="288" t="n">
        <v>8765.54989130435</v>
      </c>
      <c r="O12" s="288" t="n">
        <v>8482.7902173913</v>
      </c>
      <c r="P12" s="288" t="n">
        <v>8765.54989130435</v>
      </c>
      <c r="Q12" s="288" t="n">
        <v>8482.7902173913</v>
      </c>
      <c r="R12" s="288" t="n">
        <v>8765.54989130435</v>
      </c>
      <c r="S12" s="288" t="n">
        <v>8765.54989130435</v>
      </c>
      <c r="T12" s="288" t="n">
        <v>8482.79340659341</v>
      </c>
      <c r="U12" s="288" t="n">
        <v>8765.55318681319</v>
      </c>
      <c r="V12" s="288" t="n">
        <v>8482.79340659341</v>
      </c>
    </row>
    <row r="13" customFormat="false" ht="15" hidden="false" customHeight="false" outlineLevel="0" collapsed="false">
      <c r="A13" s="284"/>
      <c r="B13" s="285" t="n">
        <v>45992</v>
      </c>
      <c r="C13" s="286"/>
      <c r="D13" s="287" t="s">
        <v>2428</v>
      </c>
      <c r="E13" s="230" t="s">
        <v>2429</v>
      </c>
      <c r="F13" s="286"/>
      <c r="G13" s="286"/>
      <c r="H13" s="286"/>
      <c r="I13" s="286" t="s">
        <v>2430</v>
      </c>
      <c r="J13" s="272" t="s">
        <v>2431</v>
      </c>
      <c r="K13" s="288" t="n">
        <v>8765.55311111111</v>
      </c>
      <c r="L13" s="288" t="n">
        <v>8765.55311111111</v>
      </c>
      <c r="M13" s="288" t="n">
        <v>7917.27377777778</v>
      </c>
      <c r="N13" s="288" t="n">
        <v>8765.54989130435</v>
      </c>
      <c r="O13" s="288" t="n">
        <v>8482.7902173913</v>
      </c>
      <c r="P13" s="288" t="n">
        <v>8765.54989130435</v>
      </c>
      <c r="Q13" s="288" t="n">
        <v>8482.7902173913</v>
      </c>
      <c r="R13" s="288" t="n">
        <v>8765.54989130435</v>
      </c>
      <c r="S13" s="288" t="n">
        <v>8765.54989130435</v>
      </c>
      <c r="T13" s="288" t="n">
        <v>8482.79340659341</v>
      </c>
      <c r="U13" s="288" t="n">
        <v>8765.55318681319</v>
      </c>
      <c r="V13" s="288" t="n">
        <v>8482.79340659341</v>
      </c>
    </row>
    <row r="14" customFormat="false" ht="15" hidden="false" customHeight="false" outlineLevel="0" collapsed="false">
      <c r="A14" s="284"/>
      <c r="B14" s="285" t="n">
        <v>45992</v>
      </c>
      <c r="C14" s="286"/>
      <c r="D14" s="287" t="s">
        <v>2428</v>
      </c>
      <c r="E14" s="230" t="s">
        <v>2429</v>
      </c>
      <c r="F14" s="286"/>
      <c r="G14" s="286"/>
      <c r="H14" s="286"/>
      <c r="I14" s="286" t="s">
        <v>2430</v>
      </c>
      <c r="J14" s="272" t="s">
        <v>2431</v>
      </c>
      <c r="K14" s="288" t="n">
        <v>8765.55311111111</v>
      </c>
      <c r="L14" s="288" t="n">
        <v>8765.55311111111</v>
      </c>
      <c r="M14" s="288" t="n">
        <v>7917.27377777778</v>
      </c>
      <c r="N14" s="288" t="n">
        <v>8765.54989130435</v>
      </c>
      <c r="O14" s="288" t="n">
        <v>8482.7902173913</v>
      </c>
      <c r="P14" s="288" t="n">
        <v>8765.54989130435</v>
      </c>
      <c r="Q14" s="288" t="n">
        <v>8482.7902173913</v>
      </c>
      <c r="R14" s="288" t="n">
        <v>8765.54989130435</v>
      </c>
      <c r="S14" s="288" t="n">
        <v>8765.54989130435</v>
      </c>
      <c r="T14" s="288" t="n">
        <v>8482.79340659341</v>
      </c>
      <c r="U14" s="288" t="n">
        <v>8765.55318681319</v>
      </c>
      <c r="V14" s="288" t="n">
        <v>8482.79340659341</v>
      </c>
    </row>
    <row r="15" customFormat="false" ht="15" hidden="false" customHeight="false" outlineLevel="0" collapsed="false">
      <c r="A15" s="284"/>
      <c r="B15" s="285" t="n">
        <v>45992</v>
      </c>
      <c r="C15" s="286"/>
      <c r="D15" s="287" t="s">
        <v>2428</v>
      </c>
      <c r="E15" s="230" t="s">
        <v>2429</v>
      </c>
      <c r="F15" s="286"/>
      <c r="G15" s="286"/>
      <c r="H15" s="286"/>
      <c r="I15" s="286" t="s">
        <v>2436</v>
      </c>
      <c r="J15" s="272" t="s">
        <v>2431</v>
      </c>
      <c r="K15" s="288" t="n">
        <v>9335.98411111111</v>
      </c>
      <c r="L15" s="288" t="n">
        <v>9335.98411111111</v>
      </c>
      <c r="M15" s="288" t="n">
        <v>8432.50177777778</v>
      </c>
      <c r="N15" s="288" t="n">
        <v>9335.98695652174</v>
      </c>
      <c r="O15" s="288" t="n">
        <v>9034.82608695652</v>
      </c>
      <c r="P15" s="288" t="n">
        <v>9335.98695652174</v>
      </c>
      <c r="Q15" s="288" t="n">
        <v>9034.82608695652</v>
      </c>
      <c r="R15" s="288" t="n">
        <v>9335.98695652174</v>
      </c>
      <c r="S15" s="288" t="n">
        <v>9335.98695652174</v>
      </c>
      <c r="T15" s="288" t="n">
        <v>9034.82307692308</v>
      </c>
      <c r="U15" s="288" t="n">
        <v>9335.98384615385</v>
      </c>
      <c r="V15" s="288" t="n">
        <v>9034.82307692308</v>
      </c>
    </row>
    <row r="21" customFormat="false" ht="15" hidden="false" customHeight="false" outlineLevel="0" collapsed="false">
      <c r="B21" s="0" t="s">
        <v>2437</v>
      </c>
    </row>
    <row r="22" customFormat="false" ht="15" hidden="false" customHeight="false" outlineLevel="0" collapsed="false">
      <c r="B22" s="0" t="s">
        <v>2438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72.14"/>
    <col collapsed="false" customWidth="true" hidden="false" outlineLevel="0" max="3" min="3" style="0" width="18.86"/>
    <col collapsed="false" customWidth="true" hidden="false" outlineLevel="0" max="11" min="11" style="0" width="9.57"/>
    <col collapsed="false" customWidth="true" hidden="false" outlineLevel="0" max="12" min="12" style="0" width="23.71"/>
    <col collapsed="false" customWidth="true" hidden="false" outlineLevel="0" max="13" min="13" style="0" width="17"/>
    <col collapsed="false" customWidth="true" hidden="false" outlineLevel="0" max="14" min="14" style="0" width="23.42"/>
    <col collapsed="false" customWidth="true" hidden="false" outlineLevel="0" max="15" min="15" style="0" width="15"/>
    <col collapsed="false" customWidth="true" hidden="false" outlineLevel="0" max="16" min="16" style="0" width="26.57"/>
    <col collapsed="false" customWidth="true" hidden="false" outlineLevel="0" max="17" min="17" style="0" width="7.42"/>
    <col collapsed="false" customWidth="true" hidden="false" outlineLevel="0" max="18" min="18" style="0" width="12"/>
    <col collapsed="false" customWidth="true" hidden="false" outlineLevel="0" max="19" min="19" style="0" width="23.71"/>
    <col collapsed="false" customWidth="true" hidden="false" outlineLevel="0" max="20" min="20" style="0" width="17"/>
    <col collapsed="false" customWidth="true" hidden="false" outlineLevel="0" max="21" min="21" style="0" width="23.42"/>
    <col collapsed="false" customWidth="true" hidden="false" outlineLevel="0" max="22" min="22" style="0" width="15"/>
    <col collapsed="false" customWidth="true" hidden="false" outlineLevel="0" max="23" min="23" style="0" width="26.57"/>
    <col collapsed="false" customWidth="true" hidden="false" outlineLevel="0" max="24" min="24" style="0" width="7.42"/>
    <col collapsed="false" customWidth="true" hidden="false" outlineLevel="0" max="25" min="25" style="0" width="9.57"/>
    <col collapsed="false" customWidth="true" hidden="false" outlineLevel="0" max="26" min="26" style="0" width="4.57"/>
    <col collapsed="false" customWidth="true" hidden="false" outlineLevel="0" max="27" min="27" style="0" width="12.42"/>
  </cols>
  <sheetData>
    <row r="1" customFormat="false" ht="15" hidden="false" customHeight="false" outlineLevel="0" collapsed="false">
      <c r="A1" s="185" t="s">
        <v>1</v>
      </c>
    </row>
    <row r="2" customFormat="false" ht="18.75" hidden="false" customHeight="true" outlineLevel="0" collapsed="false">
      <c r="B2" s="128" t="s">
        <v>2439</v>
      </c>
      <c r="L2" s="126" t="s">
        <v>1705</v>
      </c>
    </row>
    <row r="3" customFormat="false" ht="19.5" hidden="false" customHeight="true" outlineLevel="0" collapsed="false">
      <c r="B3" s="289" t="n">
        <v>46141</v>
      </c>
    </row>
    <row r="4" customFormat="false" ht="20.25" hidden="false" customHeight="true" outlineLevel="0" collapsed="false">
      <c r="C4" s="290" t="n">
        <v>2025</v>
      </c>
      <c r="D4" s="290"/>
      <c r="E4" s="290"/>
      <c r="F4" s="290" t="n">
        <v>2026</v>
      </c>
      <c r="G4" s="290"/>
      <c r="H4" s="290"/>
      <c r="I4" s="290"/>
      <c r="J4" s="290"/>
    </row>
    <row r="5" customFormat="false" ht="31.5" hidden="false" customHeight="true" outlineLevel="0" collapsed="false">
      <c r="B5" s="291"/>
      <c r="C5" s="292" t="s">
        <v>2440</v>
      </c>
      <c r="D5" s="292" t="s">
        <v>2441</v>
      </c>
      <c r="E5" s="292" t="s">
        <v>2442</v>
      </c>
      <c r="F5" s="293" t="s">
        <v>2443</v>
      </c>
      <c r="G5" s="293" t="s">
        <v>2444</v>
      </c>
      <c r="H5" s="293" t="s">
        <v>2445</v>
      </c>
      <c r="I5" s="294" t="s">
        <v>2440</v>
      </c>
      <c r="J5" s="294" t="s">
        <v>2446</v>
      </c>
    </row>
    <row r="6" customFormat="false" ht="15.75" hidden="true" customHeight="true" outlineLevel="0" collapsed="false"/>
    <row r="7" customFormat="false" ht="45.75" hidden="true" customHeight="true" outlineLevel="0" collapsed="false">
      <c r="B7" s="295" t="s">
        <v>2447</v>
      </c>
      <c r="C7" s="296" t="s">
        <v>2448</v>
      </c>
      <c r="D7" s="296" t="s">
        <v>2449</v>
      </c>
      <c r="E7" s="297" t="s">
        <v>2450</v>
      </c>
      <c r="F7" s="298" t="s">
        <v>2451</v>
      </c>
      <c r="G7" s="298" t="s">
        <v>2452</v>
      </c>
      <c r="H7" s="299" t="s">
        <v>2453</v>
      </c>
      <c r="I7" s="300" t="s">
        <v>2454</v>
      </c>
      <c r="J7" s="299" t="s">
        <v>2455</v>
      </c>
    </row>
    <row r="8" customFormat="false" ht="15.75" hidden="false" customHeight="true" outlineLevel="0" collapsed="false">
      <c r="B8" s="301" t="s">
        <v>2456</v>
      </c>
      <c r="C8" s="302" t="n">
        <v>945</v>
      </c>
      <c r="D8" s="302" t="n">
        <v>909</v>
      </c>
      <c r="E8" s="302" t="n">
        <v>36</v>
      </c>
      <c r="F8" s="302" t="n">
        <v>1011</v>
      </c>
      <c r="G8" s="302" t="n">
        <v>924</v>
      </c>
      <c r="H8" s="302" t="n">
        <v>87</v>
      </c>
      <c r="I8" s="302" t="n">
        <v>1005</v>
      </c>
      <c r="J8" s="302" t="n">
        <v>81</v>
      </c>
    </row>
    <row r="9" customFormat="false" ht="15" hidden="false" customHeight="false" outlineLevel="0" collapsed="false">
      <c r="B9" s="303" t="s">
        <v>1961</v>
      </c>
      <c r="C9" s="304" t="n">
        <v>337</v>
      </c>
      <c r="D9" s="304" t="n">
        <v>314</v>
      </c>
      <c r="E9" s="304" t="n">
        <v>23</v>
      </c>
      <c r="F9" s="304" t="n">
        <v>362</v>
      </c>
      <c r="G9" s="304" t="n">
        <v>319</v>
      </c>
      <c r="H9" s="304" t="n">
        <v>43</v>
      </c>
      <c r="I9" s="304" t="n">
        <v>362</v>
      </c>
      <c r="J9" s="304" t="n">
        <v>43</v>
      </c>
    </row>
    <row r="10" customFormat="false" ht="15" hidden="false" customHeight="false" outlineLevel="0" collapsed="false">
      <c r="B10" s="305" t="s">
        <v>1961</v>
      </c>
      <c r="C10" s="306"/>
      <c r="D10" s="306"/>
      <c r="E10" s="307"/>
      <c r="F10" s="308"/>
      <c r="G10" s="308"/>
      <c r="H10" s="307"/>
      <c r="I10" s="308"/>
      <c r="J10" s="307"/>
    </row>
    <row r="11" customFormat="false" ht="15" hidden="false" customHeight="false" outlineLevel="0" collapsed="false">
      <c r="B11" s="309" t="s">
        <v>2457</v>
      </c>
      <c r="C11" s="306" t="n">
        <v>149</v>
      </c>
      <c r="D11" s="306" t="n">
        <v>131</v>
      </c>
      <c r="E11" s="307" t="n">
        <v>18</v>
      </c>
      <c r="F11" s="308" t="n">
        <v>162</v>
      </c>
      <c r="G11" s="308" t="n">
        <v>141</v>
      </c>
      <c r="H11" s="307" t="n">
        <v>21</v>
      </c>
      <c r="I11" s="308" t="n">
        <v>162</v>
      </c>
      <c r="J11" s="307" t="n">
        <v>21</v>
      </c>
    </row>
    <row r="12" customFormat="false" ht="15" hidden="false" customHeight="false" outlineLevel="0" collapsed="false">
      <c r="B12" s="310" t="s">
        <v>2458</v>
      </c>
      <c r="C12" s="306" t="n">
        <v>9</v>
      </c>
      <c r="D12" s="306" t="n">
        <v>7</v>
      </c>
      <c r="E12" s="307" t="n">
        <v>2</v>
      </c>
      <c r="F12" s="308" t="n">
        <v>8</v>
      </c>
      <c r="G12" s="308" t="n">
        <v>8</v>
      </c>
      <c r="H12" s="307" t="n">
        <v>0</v>
      </c>
      <c r="I12" s="308" t="n">
        <v>8</v>
      </c>
      <c r="J12" s="307" t="n">
        <v>0</v>
      </c>
    </row>
    <row r="13" customFormat="false" ht="15" hidden="false" customHeight="false" outlineLevel="0" collapsed="false">
      <c r="B13" s="310" t="s">
        <v>2459</v>
      </c>
      <c r="C13" s="306" t="n">
        <v>32</v>
      </c>
      <c r="D13" s="306" t="n">
        <v>29</v>
      </c>
      <c r="E13" s="307" t="n">
        <v>3</v>
      </c>
      <c r="F13" s="308" t="n">
        <v>26</v>
      </c>
      <c r="G13" s="308" t="n">
        <v>24</v>
      </c>
      <c r="H13" s="307" t="n">
        <v>2</v>
      </c>
      <c r="I13" s="308" t="n">
        <v>26</v>
      </c>
      <c r="J13" s="307" t="n">
        <v>2</v>
      </c>
    </row>
    <row r="14" customFormat="false" ht="15" hidden="false" customHeight="false" outlineLevel="0" collapsed="false">
      <c r="B14" s="310" t="s">
        <v>1411</v>
      </c>
      <c r="C14" s="306" t="n">
        <v>47</v>
      </c>
      <c r="D14" s="306" t="n">
        <v>39</v>
      </c>
      <c r="E14" s="307" t="n">
        <v>8</v>
      </c>
      <c r="F14" s="308" t="n">
        <v>46</v>
      </c>
      <c r="G14" s="308" t="n">
        <v>41</v>
      </c>
      <c r="H14" s="307" t="n">
        <v>5</v>
      </c>
      <c r="I14" s="308" t="n">
        <v>46</v>
      </c>
      <c r="J14" s="307" t="n">
        <v>5</v>
      </c>
    </row>
    <row r="15" customFormat="false" ht="15" hidden="false" customHeight="false" outlineLevel="0" collapsed="false">
      <c r="B15" s="310" t="s">
        <v>1808</v>
      </c>
      <c r="C15" s="306" t="n">
        <v>49</v>
      </c>
      <c r="D15" s="306" t="n">
        <v>45</v>
      </c>
      <c r="E15" s="307" t="n">
        <v>4</v>
      </c>
      <c r="F15" s="308" t="n">
        <v>45</v>
      </c>
      <c r="G15" s="308" t="n">
        <v>38</v>
      </c>
      <c r="H15" s="307" t="n">
        <v>7</v>
      </c>
      <c r="I15" s="308" t="n">
        <v>45</v>
      </c>
      <c r="J15" s="307" t="n">
        <v>7</v>
      </c>
    </row>
    <row r="16" customFormat="false" ht="15" hidden="false" customHeight="false" outlineLevel="0" collapsed="false">
      <c r="B16" s="310" t="s">
        <v>1814</v>
      </c>
      <c r="C16" s="306" t="n">
        <v>12</v>
      </c>
      <c r="D16" s="306" t="n">
        <v>11</v>
      </c>
      <c r="E16" s="307" t="n">
        <v>1</v>
      </c>
      <c r="F16" s="308" t="n">
        <v>13</v>
      </c>
      <c r="G16" s="308" t="n">
        <v>13</v>
      </c>
      <c r="H16" s="307" t="n">
        <v>0</v>
      </c>
      <c r="I16" s="308" t="n">
        <v>13</v>
      </c>
      <c r="J16" s="307" t="n">
        <v>0</v>
      </c>
    </row>
    <row r="17" customFormat="false" ht="15" hidden="false" customHeight="false" outlineLevel="0" collapsed="false">
      <c r="B17" s="310" t="s">
        <v>2460</v>
      </c>
      <c r="C17" s="306"/>
      <c r="D17" s="306"/>
      <c r="E17" s="307" t="n">
        <v>0</v>
      </c>
      <c r="F17" s="308" t="n">
        <v>24</v>
      </c>
      <c r="G17" s="308" t="n">
        <v>17</v>
      </c>
      <c r="H17" s="307" t="n">
        <v>7</v>
      </c>
      <c r="I17" s="308" t="n">
        <v>24</v>
      </c>
      <c r="J17" s="307" t="n">
        <v>7</v>
      </c>
    </row>
    <row r="18" customFormat="false" ht="15" hidden="false" customHeight="false" outlineLevel="0" collapsed="false">
      <c r="B18" s="309" t="s">
        <v>2461</v>
      </c>
      <c r="C18" s="306" t="n">
        <v>28</v>
      </c>
      <c r="D18" s="306" t="n">
        <v>28</v>
      </c>
      <c r="E18" s="307" t="n">
        <v>0</v>
      </c>
      <c r="F18" s="308" t="n">
        <v>26</v>
      </c>
      <c r="G18" s="308" t="n">
        <v>26</v>
      </c>
      <c r="H18" s="307" t="n">
        <v>0</v>
      </c>
      <c r="I18" s="308" t="n">
        <v>26</v>
      </c>
      <c r="J18" s="307" t="n">
        <v>0</v>
      </c>
    </row>
    <row r="19" customFormat="false" ht="15" hidden="false" customHeight="false" outlineLevel="0" collapsed="false">
      <c r="B19" s="309" t="s">
        <v>2462</v>
      </c>
      <c r="C19" s="306" t="n">
        <v>4</v>
      </c>
      <c r="D19" s="306" t="n">
        <v>3</v>
      </c>
      <c r="E19" s="307" t="n">
        <v>1</v>
      </c>
      <c r="F19" s="308" t="n">
        <v>3</v>
      </c>
      <c r="G19" s="308" t="n">
        <v>3</v>
      </c>
      <c r="H19" s="307" t="n">
        <v>0</v>
      </c>
      <c r="I19" s="308" t="n">
        <v>3</v>
      </c>
      <c r="J19" s="307" t="n">
        <v>0</v>
      </c>
    </row>
    <row r="20" customFormat="false" ht="15" hidden="false" customHeight="false" outlineLevel="0" collapsed="false">
      <c r="B20" s="309" t="s">
        <v>2463</v>
      </c>
      <c r="C20" s="306" t="n">
        <v>9</v>
      </c>
      <c r="D20" s="306" t="n">
        <v>9</v>
      </c>
      <c r="E20" s="307" t="n">
        <v>0</v>
      </c>
      <c r="F20" s="308" t="n">
        <v>9</v>
      </c>
      <c r="G20" s="308" t="n">
        <v>9</v>
      </c>
      <c r="H20" s="307" t="n">
        <v>0</v>
      </c>
      <c r="I20" s="308" t="n">
        <v>9</v>
      </c>
      <c r="J20" s="307" t="n">
        <v>0</v>
      </c>
    </row>
    <row r="21" customFormat="false" ht="15" hidden="false" customHeight="false" outlineLevel="0" collapsed="false">
      <c r="B21" s="309" t="s">
        <v>2464</v>
      </c>
      <c r="C21" s="306" t="n">
        <v>147</v>
      </c>
      <c r="D21" s="306" t="n">
        <v>143</v>
      </c>
      <c r="E21" s="307" t="n">
        <v>4</v>
      </c>
      <c r="F21" s="308" t="n">
        <v>162</v>
      </c>
      <c r="G21" s="308" t="n">
        <v>140</v>
      </c>
      <c r="H21" s="307" t="n">
        <v>22</v>
      </c>
      <c r="I21" s="308" t="n">
        <v>162</v>
      </c>
      <c r="J21" s="307" t="n">
        <v>22</v>
      </c>
    </row>
    <row r="22" customFormat="false" ht="15" hidden="false" customHeight="false" outlineLevel="0" collapsed="false">
      <c r="B22" s="311" t="s">
        <v>2465</v>
      </c>
      <c r="C22" s="312" t="n">
        <v>608</v>
      </c>
      <c r="D22" s="312" t="n">
        <v>595</v>
      </c>
      <c r="E22" s="312" t="n">
        <v>13</v>
      </c>
      <c r="F22" s="312" t="n">
        <v>649</v>
      </c>
      <c r="G22" s="312" t="n">
        <v>605</v>
      </c>
      <c r="H22" s="312" t="n">
        <v>44</v>
      </c>
      <c r="I22" s="312" t="n">
        <v>643</v>
      </c>
      <c r="J22" s="312" t="n">
        <v>38</v>
      </c>
    </row>
    <row r="23" customFormat="false" ht="15" hidden="false" customHeight="false" outlineLevel="0" collapsed="false">
      <c r="B23" s="305" t="s">
        <v>2465</v>
      </c>
      <c r="C23" s="306"/>
      <c r="D23" s="306"/>
      <c r="E23" s="307"/>
      <c r="F23" s="308"/>
      <c r="G23" s="308"/>
      <c r="H23" s="307"/>
      <c r="I23" s="308"/>
      <c r="J23" s="307"/>
    </row>
    <row r="24" customFormat="false" ht="15" hidden="false" customHeight="false" outlineLevel="0" collapsed="false">
      <c r="B24" s="309" t="s">
        <v>2466</v>
      </c>
      <c r="C24" s="306" t="n">
        <v>473</v>
      </c>
      <c r="D24" s="306" t="n">
        <v>460</v>
      </c>
      <c r="E24" s="307" t="n">
        <v>13</v>
      </c>
      <c r="F24" s="308" t="n">
        <v>508</v>
      </c>
      <c r="G24" s="308" t="n">
        <v>471</v>
      </c>
      <c r="H24" s="307" t="n">
        <v>37</v>
      </c>
      <c r="I24" s="308" t="n">
        <v>506</v>
      </c>
      <c r="J24" s="307" t="n">
        <v>35</v>
      </c>
    </row>
    <row r="25" customFormat="false" ht="15" hidden="false" customHeight="false" outlineLevel="0" collapsed="false">
      <c r="B25" s="313" t="s">
        <v>2466</v>
      </c>
      <c r="C25" s="314" t="n">
        <v>0</v>
      </c>
      <c r="D25" s="314"/>
      <c r="E25" s="315" t="n">
        <v>0</v>
      </c>
      <c r="F25" s="316" t="n">
        <v>5</v>
      </c>
      <c r="G25" s="316" t="n">
        <v>3</v>
      </c>
      <c r="H25" s="315" t="n">
        <v>2</v>
      </c>
      <c r="I25" s="316" t="n">
        <v>5</v>
      </c>
      <c r="J25" s="315" t="n">
        <v>2</v>
      </c>
    </row>
    <row r="26" customFormat="false" ht="15" hidden="false" customHeight="false" outlineLevel="0" collapsed="false">
      <c r="B26" s="313" t="s">
        <v>2467</v>
      </c>
      <c r="C26" s="314" t="n">
        <v>126</v>
      </c>
      <c r="D26" s="314" t="n">
        <v>125</v>
      </c>
      <c r="E26" s="315" t="n">
        <v>1</v>
      </c>
      <c r="F26" s="316" t="n">
        <v>129</v>
      </c>
      <c r="G26" s="316" t="n">
        <v>124</v>
      </c>
      <c r="H26" s="315" t="n">
        <v>5</v>
      </c>
      <c r="I26" s="316" t="n">
        <v>128</v>
      </c>
      <c r="J26" s="315" t="n">
        <v>4</v>
      </c>
    </row>
    <row r="27" customFormat="false" ht="15" hidden="false" customHeight="false" outlineLevel="0" collapsed="false">
      <c r="B27" s="317" t="s">
        <v>2467</v>
      </c>
      <c r="C27" s="318" t="n">
        <v>66</v>
      </c>
      <c r="D27" s="318" t="n">
        <v>65</v>
      </c>
      <c r="E27" s="319" t="n">
        <v>1</v>
      </c>
      <c r="F27" s="320" t="n">
        <v>67</v>
      </c>
      <c r="G27" s="320" t="n">
        <v>64</v>
      </c>
      <c r="H27" s="319" t="n">
        <v>3</v>
      </c>
      <c r="I27" s="320" t="n">
        <v>66</v>
      </c>
      <c r="J27" s="319" t="n">
        <v>2</v>
      </c>
    </row>
    <row r="28" customFormat="false" ht="15" hidden="false" customHeight="false" outlineLevel="0" collapsed="false">
      <c r="B28" s="317" t="s">
        <v>2468</v>
      </c>
      <c r="C28" s="318" t="n">
        <v>60</v>
      </c>
      <c r="D28" s="318" t="n">
        <v>60</v>
      </c>
      <c r="E28" s="319" t="n">
        <v>0</v>
      </c>
      <c r="F28" s="320" t="n">
        <v>62</v>
      </c>
      <c r="G28" s="320" t="n">
        <v>60</v>
      </c>
      <c r="H28" s="319" t="n">
        <v>2</v>
      </c>
      <c r="I28" s="320" t="n">
        <v>62</v>
      </c>
      <c r="J28" s="319" t="n">
        <v>2</v>
      </c>
    </row>
    <row r="29" customFormat="false" ht="15" hidden="false" customHeight="false" outlineLevel="0" collapsed="false">
      <c r="B29" s="313" t="s">
        <v>2469</v>
      </c>
      <c r="C29" s="314" t="n">
        <v>8</v>
      </c>
      <c r="D29" s="314" t="n">
        <v>7</v>
      </c>
      <c r="E29" s="315" t="n">
        <v>1</v>
      </c>
      <c r="F29" s="316" t="n">
        <v>8</v>
      </c>
      <c r="G29" s="316" t="n">
        <v>5</v>
      </c>
      <c r="H29" s="315" t="n">
        <v>3</v>
      </c>
      <c r="I29" s="316" t="n">
        <v>8</v>
      </c>
      <c r="J29" s="315" t="n">
        <v>3</v>
      </c>
    </row>
    <row r="30" customFormat="false" ht="15" hidden="false" customHeight="false" outlineLevel="0" collapsed="false">
      <c r="B30" s="313" t="s">
        <v>2470</v>
      </c>
      <c r="C30" s="314" t="n">
        <v>36</v>
      </c>
      <c r="D30" s="314" t="n">
        <v>36</v>
      </c>
      <c r="E30" s="315" t="n">
        <v>0</v>
      </c>
      <c r="F30" s="316" t="n">
        <v>38</v>
      </c>
      <c r="G30" s="316" t="n">
        <v>36</v>
      </c>
      <c r="H30" s="315" t="n">
        <v>2</v>
      </c>
      <c r="I30" s="316" t="n">
        <v>38</v>
      </c>
      <c r="J30" s="315" t="n">
        <v>2</v>
      </c>
    </row>
    <row r="31" customFormat="false" ht="15" hidden="false" customHeight="false" outlineLevel="0" collapsed="false">
      <c r="B31" s="317" t="s">
        <v>2470</v>
      </c>
      <c r="C31" s="318" t="n">
        <v>23</v>
      </c>
      <c r="D31" s="318" t="n">
        <v>23</v>
      </c>
      <c r="E31" s="319" t="n">
        <v>0</v>
      </c>
      <c r="F31" s="320" t="n">
        <v>23</v>
      </c>
      <c r="G31" s="320" t="n">
        <v>23</v>
      </c>
      <c r="H31" s="319" t="n">
        <v>0</v>
      </c>
      <c r="I31" s="320" t="n">
        <v>23</v>
      </c>
      <c r="J31" s="319" t="n">
        <v>0</v>
      </c>
    </row>
    <row r="32" customFormat="false" ht="15" hidden="false" customHeight="false" outlineLevel="0" collapsed="false">
      <c r="B32" s="317" t="s">
        <v>2468</v>
      </c>
      <c r="C32" s="318" t="n">
        <v>13</v>
      </c>
      <c r="D32" s="318" t="n">
        <v>13</v>
      </c>
      <c r="E32" s="319" t="n">
        <v>0</v>
      </c>
      <c r="F32" s="320" t="n">
        <v>15</v>
      </c>
      <c r="G32" s="320" t="n">
        <v>13</v>
      </c>
      <c r="H32" s="319" t="n">
        <v>2</v>
      </c>
      <c r="I32" s="320" t="n">
        <v>15</v>
      </c>
      <c r="J32" s="319" t="n">
        <v>2</v>
      </c>
    </row>
    <row r="33" customFormat="false" ht="15" hidden="false" customHeight="false" outlineLevel="0" collapsed="false">
      <c r="B33" s="313" t="s">
        <v>2471</v>
      </c>
      <c r="C33" s="314" t="n">
        <v>16</v>
      </c>
      <c r="D33" s="314" t="n">
        <v>16</v>
      </c>
      <c r="E33" s="315" t="n">
        <v>0</v>
      </c>
      <c r="F33" s="316" t="n">
        <v>16</v>
      </c>
      <c r="G33" s="316" t="n">
        <v>16</v>
      </c>
      <c r="H33" s="315" t="n">
        <v>0</v>
      </c>
      <c r="I33" s="316" t="n">
        <v>16</v>
      </c>
      <c r="J33" s="315" t="n">
        <v>0</v>
      </c>
    </row>
    <row r="34" customFormat="false" ht="15" hidden="false" customHeight="false" outlineLevel="0" collapsed="false">
      <c r="B34" s="313" t="s">
        <v>1859</v>
      </c>
      <c r="C34" s="314" t="n">
        <v>237</v>
      </c>
      <c r="D34" s="314" t="n">
        <v>228</v>
      </c>
      <c r="E34" s="315" t="n">
        <v>9</v>
      </c>
      <c r="F34" s="316" t="n">
        <v>262</v>
      </c>
      <c r="G34" s="316" t="n">
        <v>237</v>
      </c>
      <c r="H34" s="315" t="n">
        <v>25</v>
      </c>
      <c r="I34" s="316" t="n">
        <v>262</v>
      </c>
      <c r="J34" s="315" t="n">
        <v>25</v>
      </c>
    </row>
    <row r="35" customFormat="false" ht="15" hidden="false" customHeight="false" outlineLevel="0" collapsed="false">
      <c r="B35" s="317" t="s">
        <v>1859</v>
      </c>
      <c r="C35" s="318" t="n">
        <v>205</v>
      </c>
      <c r="D35" s="318" t="n">
        <v>196</v>
      </c>
      <c r="E35" s="319" t="n">
        <v>9</v>
      </c>
      <c r="F35" s="320" t="n">
        <v>215</v>
      </c>
      <c r="G35" s="320" t="n">
        <v>203</v>
      </c>
      <c r="H35" s="319" t="n">
        <v>12</v>
      </c>
      <c r="I35" s="320" t="n">
        <v>215</v>
      </c>
      <c r="J35" s="319" t="n">
        <v>12</v>
      </c>
    </row>
    <row r="36" customFormat="false" ht="15" hidden="false" customHeight="false" outlineLevel="0" collapsed="false">
      <c r="B36" s="317" t="s">
        <v>2468</v>
      </c>
      <c r="C36" s="318" t="n">
        <v>32</v>
      </c>
      <c r="D36" s="318" t="n">
        <v>32</v>
      </c>
      <c r="E36" s="319" t="n">
        <v>0</v>
      </c>
      <c r="F36" s="320" t="n">
        <v>47</v>
      </c>
      <c r="G36" s="320" t="n">
        <v>34</v>
      </c>
      <c r="H36" s="319" t="n">
        <v>13</v>
      </c>
      <c r="I36" s="320" t="n">
        <v>47</v>
      </c>
      <c r="J36" s="319" t="n">
        <v>13</v>
      </c>
    </row>
    <row r="37" customFormat="false" ht="15" hidden="false" customHeight="false" outlineLevel="0" collapsed="false">
      <c r="B37" s="313" t="s">
        <v>2472</v>
      </c>
      <c r="C37" s="314" t="n">
        <v>28</v>
      </c>
      <c r="D37" s="314" t="n">
        <v>27</v>
      </c>
      <c r="E37" s="315" t="n">
        <v>1</v>
      </c>
      <c r="F37" s="316" t="n">
        <v>28</v>
      </c>
      <c r="G37" s="316" t="n">
        <v>28</v>
      </c>
      <c r="H37" s="315" t="n">
        <v>0</v>
      </c>
      <c r="I37" s="316" t="n">
        <v>27</v>
      </c>
      <c r="J37" s="315" t="n">
        <v>-1</v>
      </c>
    </row>
    <row r="38" customFormat="false" ht="15" hidden="false" customHeight="false" outlineLevel="0" collapsed="false">
      <c r="B38" s="317" t="s">
        <v>2472</v>
      </c>
      <c r="C38" s="318" t="n">
        <v>17</v>
      </c>
      <c r="D38" s="318" t="n">
        <v>17</v>
      </c>
      <c r="E38" s="319" t="n">
        <v>0</v>
      </c>
      <c r="F38" s="320" t="n">
        <v>17</v>
      </c>
      <c r="G38" s="320" t="n">
        <v>17</v>
      </c>
      <c r="H38" s="319" t="n">
        <v>0</v>
      </c>
      <c r="I38" s="320" t="n">
        <v>16</v>
      </c>
      <c r="J38" s="319" t="n">
        <v>-1</v>
      </c>
    </row>
    <row r="39" customFormat="false" ht="15" hidden="false" customHeight="false" outlineLevel="0" collapsed="false">
      <c r="B39" s="317" t="s">
        <v>2468</v>
      </c>
      <c r="C39" s="318" t="n">
        <v>11</v>
      </c>
      <c r="D39" s="318" t="n">
        <v>10</v>
      </c>
      <c r="E39" s="319" t="n">
        <v>1</v>
      </c>
      <c r="F39" s="320" t="n">
        <v>11</v>
      </c>
      <c r="G39" s="320" t="n">
        <v>11</v>
      </c>
      <c r="H39" s="319" t="n">
        <v>0</v>
      </c>
      <c r="I39" s="320" t="n">
        <v>11</v>
      </c>
      <c r="J39" s="319" t="n">
        <v>0</v>
      </c>
    </row>
    <row r="40" customFormat="false" ht="15" hidden="false" customHeight="false" outlineLevel="0" collapsed="false">
      <c r="B40" s="313" t="s">
        <v>2473</v>
      </c>
      <c r="C40" s="314" t="n">
        <v>22</v>
      </c>
      <c r="D40" s="314" t="n">
        <v>21</v>
      </c>
      <c r="E40" s="315" t="n">
        <v>1</v>
      </c>
      <c r="F40" s="316" t="n">
        <v>22</v>
      </c>
      <c r="G40" s="316" t="n">
        <v>22</v>
      </c>
      <c r="H40" s="315" t="n">
        <v>0</v>
      </c>
      <c r="I40" s="316" t="n">
        <v>22</v>
      </c>
      <c r="J40" s="315" t="n">
        <v>0</v>
      </c>
    </row>
    <row r="41" customFormat="false" ht="15" hidden="false" customHeight="false" outlineLevel="0" collapsed="false">
      <c r="B41" s="309" t="s">
        <v>615</v>
      </c>
      <c r="C41" s="306" t="n">
        <v>73</v>
      </c>
      <c r="D41" s="306" t="n">
        <v>73</v>
      </c>
      <c r="E41" s="307" t="n">
        <v>0</v>
      </c>
      <c r="F41" s="308" t="n">
        <v>73</v>
      </c>
      <c r="G41" s="308" t="n">
        <v>73</v>
      </c>
      <c r="H41" s="307" t="n">
        <v>0</v>
      </c>
      <c r="I41" s="308" t="n">
        <v>70</v>
      </c>
      <c r="J41" s="307" t="n">
        <v>-3</v>
      </c>
    </row>
    <row r="42" customFormat="false" ht="15" hidden="false" customHeight="false" outlineLevel="0" collapsed="false">
      <c r="B42" s="309" t="s">
        <v>2474</v>
      </c>
      <c r="C42" s="306" t="n">
        <v>25</v>
      </c>
      <c r="D42" s="306" t="n">
        <v>25</v>
      </c>
      <c r="E42" s="307" t="n">
        <v>0</v>
      </c>
      <c r="F42" s="308" t="n">
        <v>26</v>
      </c>
      <c r="G42" s="308" t="n">
        <v>26</v>
      </c>
      <c r="H42" s="307" t="n">
        <v>0</v>
      </c>
      <c r="I42" s="308" t="n">
        <v>26</v>
      </c>
      <c r="J42" s="307" t="n">
        <v>0</v>
      </c>
    </row>
    <row r="43" customFormat="false" ht="15" hidden="false" customHeight="false" outlineLevel="0" collapsed="false">
      <c r="B43" s="309" t="s">
        <v>2475</v>
      </c>
      <c r="C43" s="306" t="n">
        <v>6</v>
      </c>
      <c r="D43" s="306" t="n">
        <v>6</v>
      </c>
      <c r="E43" s="307" t="n">
        <v>0</v>
      </c>
      <c r="F43" s="308" t="n">
        <v>6</v>
      </c>
      <c r="G43" s="308" t="n">
        <v>6</v>
      </c>
      <c r="H43" s="307" t="n">
        <v>0</v>
      </c>
      <c r="I43" s="308" t="n">
        <v>6</v>
      </c>
      <c r="J43" s="307" t="n">
        <v>0</v>
      </c>
    </row>
    <row r="44" customFormat="false" ht="15" hidden="false" customHeight="false" outlineLevel="0" collapsed="false">
      <c r="B44" s="309" t="s">
        <v>2476</v>
      </c>
      <c r="C44" s="306" t="n">
        <v>28</v>
      </c>
      <c r="D44" s="306" t="n">
        <v>28</v>
      </c>
      <c r="E44" s="307" t="n">
        <v>0</v>
      </c>
      <c r="F44" s="308" t="n">
        <v>33</v>
      </c>
      <c r="G44" s="308" t="n">
        <v>27</v>
      </c>
      <c r="H44" s="307" t="n">
        <v>6</v>
      </c>
      <c r="I44" s="308" t="n">
        <v>32</v>
      </c>
      <c r="J44" s="307" t="n">
        <v>5</v>
      </c>
    </row>
    <row r="45" customFormat="false" ht="15" hidden="false" customHeight="false" outlineLevel="0" collapsed="false">
      <c r="B45" s="310" t="s">
        <v>2476</v>
      </c>
      <c r="C45" s="306" t="n">
        <v>28</v>
      </c>
      <c r="D45" s="306" t="n">
        <v>28</v>
      </c>
      <c r="E45" s="307" t="n">
        <v>0</v>
      </c>
      <c r="F45" s="308" t="n">
        <v>33</v>
      </c>
      <c r="G45" s="308" t="n">
        <v>27</v>
      </c>
      <c r="H45" s="307" t="n">
        <v>6</v>
      </c>
      <c r="I45" s="308" t="n">
        <v>32</v>
      </c>
      <c r="J45" s="307" t="n">
        <v>5</v>
      </c>
    </row>
    <row r="46" customFormat="false" ht="15" hidden="false" customHeight="false" outlineLevel="0" collapsed="false">
      <c r="B46" s="317" t="s">
        <v>2476</v>
      </c>
      <c r="C46" s="318" t="n">
        <v>18</v>
      </c>
      <c r="D46" s="318" t="n">
        <v>18</v>
      </c>
      <c r="E46" s="319" t="n">
        <v>0</v>
      </c>
      <c r="F46" s="320" t="n">
        <v>25</v>
      </c>
      <c r="G46" s="320" t="n">
        <v>21</v>
      </c>
      <c r="H46" s="319" t="n">
        <v>4</v>
      </c>
      <c r="I46" s="320" t="n">
        <v>24</v>
      </c>
      <c r="J46" s="319" t="n">
        <v>3</v>
      </c>
    </row>
    <row r="47" customFormat="false" ht="15" hidden="false" customHeight="false" outlineLevel="0" collapsed="false">
      <c r="B47" s="317" t="s">
        <v>2468</v>
      </c>
      <c r="C47" s="318" t="n">
        <v>10</v>
      </c>
      <c r="D47" s="318" t="n">
        <v>10</v>
      </c>
      <c r="E47" s="319" t="n">
        <v>0</v>
      </c>
      <c r="F47" s="320" t="n">
        <v>8</v>
      </c>
      <c r="G47" s="320" t="n">
        <v>6</v>
      </c>
      <c r="H47" s="319" t="n">
        <v>2</v>
      </c>
      <c r="I47" s="320" t="n">
        <v>8</v>
      </c>
      <c r="J47" s="319" t="n">
        <v>2</v>
      </c>
    </row>
    <row r="48" customFormat="false" ht="15" hidden="false" customHeight="false" outlineLevel="0" collapsed="false">
      <c r="B48" s="309" t="s">
        <v>2477</v>
      </c>
      <c r="C48" s="306" t="n">
        <v>3</v>
      </c>
      <c r="D48" s="306" t="n">
        <v>3</v>
      </c>
      <c r="E48" s="307" t="n">
        <v>0</v>
      </c>
      <c r="F48" s="308" t="n">
        <v>3</v>
      </c>
      <c r="G48" s="308" t="n">
        <v>2</v>
      </c>
      <c r="H48" s="307" t="n">
        <v>1</v>
      </c>
      <c r="I48" s="308" t="n">
        <v>3</v>
      </c>
      <c r="J48" s="307" t="n">
        <v>1</v>
      </c>
    </row>
    <row r="49" customFormat="false" ht="15" hidden="false" customHeight="false" outlineLevel="0" collapsed="false">
      <c r="B49" s="301" t="s">
        <v>2478</v>
      </c>
      <c r="C49" s="302" t="n">
        <v>6</v>
      </c>
      <c r="D49" s="302" t="n">
        <v>5</v>
      </c>
      <c r="E49" s="302" t="n">
        <v>1</v>
      </c>
      <c r="F49" s="302" t="n">
        <v>6</v>
      </c>
      <c r="G49" s="302" t="n">
        <v>5</v>
      </c>
      <c r="H49" s="302" t="n">
        <v>1</v>
      </c>
      <c r="I49" s="302" t="n">
        <v>6</v>
      </c>
      <c r="J49" s="302" t="n">
        <v>1</v>
      </c>
    </row>
    <row r="50" customFormat="false" ht="15" hidden="false" customHeight="false" outlineLevel="0" collapsed="false">
      <c r="B50" s="301" t="s">
        <v>2479</v>
      </c>
      <c r="C50" s="302" t="n">
        <v>1</v>
      </c>
      <c r="D50" s="302" t="n">
        <v>1</v>
      </c>
      <c r="E50" s="302" t="n">
        <v>0</v>
      </c>
      <c r="F50" s="302" t="n">
        <v>1</v>
      </c>
      <c r="G50" s="302" t="n">
        <v>1</v>
      </c>
      <c r="H50" s="302" t="n">
        <v>0</v>
      </c>
      <c r="I50" s="302" t="n">
        <v>1</v>
      </c>
      <c r="J50" s="302" t="n">
        <v>0</v>
      </c>
    </row>
    <row r="51" customFormat="false" ht="15" hidden="false" customHeight="false" outlineLevel="0" collapsed="false">
      <c r="B51" s="301" t="s">
        <v>2480</v>
      </c>
      <c r="C51" s="302" t="n">
        <v>79</v>
      </c>
      <c r="D51" s="302" t="n">
        <v>68</v>
      </c>
      <c r="E51" s="302" t="n">
        <v>11</v>
      </c>
      <c r="F51" s="302" t="n">
        <v>79</v>
      </c>
      <c r="G51" s="302" t="n">
        <v>58</v>
      </c>
      <c r="H51" s="302" t="n">
        <v>21</v>
      </c>
      <c r="I51" s="302" t="n">
        <v>79</v>
      </c>
      <c r="J51" s="302" t="n">
        <v>21</v>
      </c>
    </row>
    <row r="52" customFormat="false" ht="15" hidden="false" customHeight="false" outlineLevel="0" collapsed="false">
      <c r="B52" s="301" t="s">
        <v>2481</v>
      </c>
      <c r="C52" s="302" t="n">
        <v>1031</v>
      </c>
      <c r="D52" s="302" t="n">
        <v>983</v>
      </c>
      <c r="E52" s="302" t="n">
        <v>48</v>
      </c>
      <c r="F52" s="302" t="n">
        <v>1097</v>
      </c>
      <c r="G52" s="302" t="n">
        <v>988</v>
      </c>
      <c r="H52" s="302" t="n">
        <v>109</v>
      </c>
      <c r="I52" s="302" t="n">
        <v>1091</v>
      </c>
      <c r="J52" s="302" t="n">
        <v>103</v>
      </c>
    </row>
  </sheetData>
  <mergeCells count="2">
    <mergeCell ref="C4:E4"/>
    <mergeCell ref="F4:J4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L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72.14"/>
    <col collapsed="false" customWidth="true" hidden="false" outlineLevel="0" max="3" min="3" style="0" width="19.14"/>
    <col collapsed="false" customWidth="true" hidden="false" outlineLevel="0" max="11" min="11" style="0" width="9.57"/>
    <col collapsed="false" customWidth="true" hidden="false" outlineLevel="0" max="12" min="12" style="0" width="23.71"/>
    <col collapsed="false" customWidth="true" hidden="false" outlineLevel="0" max="13" min="13" style="0" width="17"/>
    <col collapsed="false" customWidth="true" hidden="false" outlineLevel="0" max="14" min="14" style="0" width="23.42"/>
    <col collapsed="false" customWidth="true" hidden="false" outlineLevel="0" max="15" min="15" style="0" width="15"/>
    <col collapsed="false" customWidth="true" hidden="false" outlineLevel="0" max="16" min="16" style="0" width="26.57"/>
    <col collapsed="false" customWidth="true" hidden="false" outlineLevel="0" max="17" min="17" style="0" width="7.42"/>
    <col collapsed="false" customWidth="true" hidden="false" outlineLevel="0" max="18" min="18" style="0" width="12"/>
    <col collapsed="false" customWidth="true" hidden="false" outlineLevel="0" max="19" min="19" style="0" width="23.71"/>
    <col collapsed="false" customWidth="true" hidden="false" outlineLevel="0" max="20" min="20" style="0" width="17"/>
    <col collapsed="false" customWidth="true" hidden="false" outlineLevel="0" max="21" min="21" style="0" width="23.42"/>
    <col collapsed="false" customWidth="true" hidden="false" outlineLevel="0" max="22" min="22" style="0" width="15"/>
    <col collapsed="false" customWidth="true" hidden="false" outlineLevel="0" max="23" min="23" style="0" width="26.57"/>
    <col collapsed="false" customWidth="true" hidden="false" outlineLevel="0" max="24" min="24" style="0" width="7.42"/>
    <col collapsed="false" customWidth="true" hidden="false" outlineLevel="0" max="25" min="25" style="0" width="9.57"/>
    <col collapsed="false" customWidth="true" hidden="false" outlineLevel="0" max="26" min="26" style="0" width="4.57"/>
    <col collapsed="false" customWidth="true" hidden="false" outlineLevel="0" max="27" min="27" style="0" width="12.42"/>
  </cols>
  <sheetData>
    <row r="1" customFormat="false" ht="15" hidden="false" customHeight="false" outlineLevel="0" collapsed="false">
      <c r="A1" s="185" t="s">
        <v>1</v>
      </c>
    </row>
    <row r="2" customFormat="false" ht="18.75" hidden="false" customHeight="true" outlineLevel="0" collapsed="false">
      <c r="B2" s="128" t="s">
        <v>2482</v>
      </c>
    </row>
    <row r="3" customFormat="false" ht="19.5" hidden="false" customHeight="true" outlineLevel="0" collapsed="false">
      <c r="B3" s="289" t="n">
        <v>46141</v>
      </c>
      <c r="L3" s="126" t="s">
        <v>1705</v>
      </c>
    </row>
    <row r="4" customFormat="false" ht="20.25" hidden="false" customHeight="true" outlineLevel="0" collapsed="false">
      <c r="C4" s="290" t="n">
        <v>2025</v>
      </c>
      <c r="D4" s="290"/>
      <c r="E4" s="290"/>
      <c r="F4" s="290" t="n">
        <v>2026</v>
      </c>
      <c r="G4" s="290"/>
      <c r="H4" s="290"/>
      <c r="I4" s="290"/>
      <c r="J4" s="290"/>
    </row>
    <row r="5" customFormat="false" ht="31.5" hidden="false" customHeight="true" outlineLevel="0" collapsed="false">
      <c r="B5" s="291"/>
      <c r="C5" s="292" t="s">
        <v>2440</v>
      </c>
      <c r="D5" s="292" t="s">
        <v>2441</v>
      </c>
      <c r="E5" s="292" t="s">
        <v>2442</v>
      </c>
      <c r="F5" s="293" t="s">
        <v>2443</v>
      </c>
      <c r="G5" s="293" t="s">
        <v>2444</v>
      </c>
      <c r="H5" s="293" t="s">
        <v>2445</v>
      </c>
      <c r="I5" s="294" t="s">
        <v>2440</v>
      </c>
      <c r="J5" s="294" t="s">
        <v>2446</v>
      </c>
    </row>
    <row r="6" customFormat="false" ht="30.75" hidden="true" customHeight="true" outlineLevel="0" collapsed="false">
      <c r="B6" s="321" t="s">
        <v>2447</v>
      </c>
      <c r="C6" s="296" t="s">
        <v>2448</v>
      </c>
      <c r="D6" s="296" t="s">
        <v>2449</v>
      </c>
      <c r="E6" s="297" t="s">
        <v>2450</v>
      </c>
      <c r="F6" s="298" t="s">
        <v>2451</v>
      </c>
      <c r="G6" s="298" t="s">
        <v>2452</v>
      </c>
      <c r="H6" s="299" t="s">
        <v>2453</v>
      </c>
      <c r="I6" s="300" t="s">
        <v>2454</v>
      </c>
      <c r="J6" s="299" t="s">
        <v>2455</v>
      </c>
    </row>
    <row r="7" customFormat="false" ht="15.75" hidden="false" customHeight="true" outlineLevel="0" collapsed="false">
      <c r="B7" s="301" t="s">
        <v>2456</v>
      </c>
      <c r="C7" s="302" t="n">
        <v>951</v>
      </c>
      <c r="D7" s="302" t="n">
        <v>914</v>
      </c>
      <c r="E7" s="302" t="n">
        <v>37</v>
      </c>
      <c r="F7" s="302" t="n">
        <v>1017</v>
      </c>
      <c r="G7" s="302" t="n">
        <v>929</v>
      </c>
      <c r="H7" s="302" t="n">
        <v>88</v>
      </c>
      <c r="I7" s="302" t="n">
        <v>1011</v>
      </c>
      <c r="J7" s="302" t="n">
        <v>82</v>
      </c>
    </row>
    <row r="8" customFormat="false" ht="15" hidden="false" customHeight="false" outlineLevel="0" collapsed="false">
      <c r="B8" s="311" t="s">
        <v>1961</v>
      </c>
      <c r="C8" s="312" t="n">
        <v>337</v>
      </c>
      <c r="D8" s="312" t="n">
        <v>313</v>
      </c>
      <c r="E8" s="312" t="n">
        <v>24</v>
      </c>
      <c r="F8" s="312" t="n">
        <v>362</v>
      </c>
      <c r="G8" s="312" t="n">
        <v>319</v>
      </c>
      <c r="H8" s="312" t="n">
        <v>43</v>
      </c>
      <c r="I8" s="312" t="n">
        <v>362</v>
      </c>
      <c r="J8" s="312" t="n">
        <v>43</v>
      </c>
    </row>
    <row r="9" customFormat="false" ht="15" hidden="false" customHeight="false" outlineLevel="0" collapsed="false">
      <c r="B9" s="305" t="s">
        <v>2483</v>
      </c>
      <c r="C9" s="306" t="n">
        <v>27</v>
      </c>
      <c r="D9" s="306" t="n">
        <v>26</v>
      </c>
      <c r="E9" s="307" t="n">
        <v>1</v>
      </c>
      <c r="F9" s="308" t="n">
        <v>28</v>
      </c>
      <c r="G9" s="308" t="n">
        <v>28</v>
      </c>
      <c r="H9" s="307" t="n">
        <v>0</v>
      </c>
      <c r="I9" s="308" t="n">
        <v>28</v>
      </c>
      <c r="J9" s="307" t="n">
        <v>0</v>
      </c>
    </row>
    <row r="10" customFormat="false" ht="15" hidden="false" customHeight="false" outlineLevel="0" collapsed="false">
      <c r="B10" s="305" t="s">
        <v>2457</v>
      </c>
      <c r="C10" s="306" t="n">
        <v>134</v>
      </c>
      <c r="D10" s="306" t="n">
        <v>116</v>
      </c>
      <c r="E10" s="307" t="n">
        <v>18</v>
      </c>
      <c r="F10" s="308" t="n">
        <v>145</v>
      </c>
      <c r="G10" s="308" t="n">
        <v>124</v>
      </c>
      <c r="H10" s="307" t="n">
        <v>21</v>
      </c>
      <c r="I10" s="308" t="n">
        <v>145</v>
      </c>
      <c r="J10" s="307" t="n">
        <v>21</v>
      </c>
    </row>
    <row r="11" customFormat="false" ht="15" hidden="false" customHeight="false" outlineLevel="0" collapsed="false">
      <c r="B11" s="309" t="s">
        <v>2459</v>
      </c>
      <c r="C11" s="306" t="n">
        <v>30</v>
      </c>
      <c r="D11" s="306" t="n">
        <v>27</v>
      </c>
      <c r="E11" s="307" t="n">
        <v>3</v>
      </c>
      <c r="F11" s="308" t="n">
        <v>24</v>
      </c>
      <c r="G11" s="308" t="n">
        <v>22</v>
      </c>
      <c r="H11" s="307" t="n">
        <v>2</v>
      </c>
      <c r="I11" s="308" t="n">
        <v>24</v>
      </c>
      <c r="J11" s="307" t="n">
        <v>2</v>
      </c>
    </row>
    <row r="12" customFormat="false" ht="15" hidden="false" customHeight="false" outlineLevel="0" collapsed="false">
      <c r="B12" s="309" t="s">
        <v>1411</v>
      </c>
      <c r="C12" s="306" t="n">
        <v>46</v>
      </c>
      <c r="D12" s="306" t="n">
        <v>38</v>
      </c>
      <c r="E12" s="307" t="n">
        <v>8</v>
      </c>
      <c r="F12" s="308" t="n">
        <v>45</v>
      </c>
      <c r="G12" s="308" t="n">
        <v>40</v>
      </c>
      <c r="H12" s="307" t="n">
        <v>5</v>
      </c>
      <c r="I12" s="308" t="n">
        <v>45</v>
      </c>
      <c r="J12" s="307" t="n">
        <v>5</v>
      </c>
    </row>
    <row r="13" customFormat="false" ht="15" hidden="false" customHeight="false" outlineLevel="0" collapsed="false">
      <c r="B13" s="309" t="s">
        <v>1808</v>
      </c>
      <c r="C13" s="306" t="n">
        <v>47</v>
      </c>
      <c r="D13" s="306" t="n">
        <v>41</v>
      </c>
      <c r="E13" s="307" t="n">
        <v>6</v>
      </c>
      <c r="F13" s="308" t="n">
        <v>41</v>
      </c>
      <c r="G13" s="308" t="n">
        <v>34</v>
      </c>
      <c r="H13" s="307" t="n">
        <v>7</v>
      </c>
      <c r="I13" s="308" t="n">
        <v>41</v>
      </c>
      <c r="J13" s="307" t="n">
        <v>7</v>
      </c>
    </row>
    <row r="14" customFormat="false" ht="15" hidden="false" customHeight="false" outlineLevel="0" collapsed="false">
      <c r="B14" s="309" t="s">
        <v>1814</v>
      </c>
      <c r="C14" s="306" t="n">
        <v>11</v>
      </c>
      <c r="D14" s="306" t="n">
        <v>10</v>
      </c>
      <c r="E14" s="307" t="n">
        <v>1</v>
      </c>
      <c r="F14" s="308" t="n">
        <v>12</v>
      </c>
      <c r="G14" s="308" t="n">
        <v>12</v>
      </c>
      <c r="H14" s="307" t="n">
        <v>0</v>
      </c>
      <c r="I14" s="308" t="n">
        <v>12</v>
      </c>
      <c r="J14" s="307" t="n">
        <v>0</v>
      </c>
    </row>
    <row r="15" customFormat="false" ht="15" hidden="false" customHeight="false" outlineLevel="0" collapsed="false">
      <c r="B15" s="309" t="s">
        <v>2460</v>
      </c>
      <c r="C15" s="306"/>
      <c r="D15" s="306"/>
      <c r="E15" s="307" t="n">
        <v>0</v>
      </c>
      <c r="F15" s="308" t="n">
        <v>23</v>
      </c>
      <c r="G15" s="308" t="n">
        <v>16</v>
      </c>
      <c r="H15" s="307" t="n">
        <v>7</v>
      </c>
      <c r="I15" s="308" t="n">
        <v>23</v>
      </c>
      <c r="J15" s="307" t="n">
        <v>7</v>
      </c>
    </row>
    <row r="16" customFormat="false" ht="15" hidden="false" customHeight="false" outlineLevel="0" collapsed="false">
      <c r="B16" s="305" t="s">
        <v>2461</v>
      </c>
      <c r="C16" s="306" t="n">
        <v>32</v>
      </c>
      <c r="D16" s="306" t="n">
        <v>31</v>
      </c>
      <c r="E16" s="307" t="n">
        <v>1</v>
      </c>
      <c r="F16" s="308" t="n">
        <v>30</v>
      </c>
      <c r="G16" s="308" t="n">
        <v>30</v>
      </c>
      <c r="H16" s="307" t="n">
        <v>0</v>
      </c>
      <c r="I16" s="308" t="n">
        <v>30</v>
      </c>
      <c r="J16" s="307" t="n">
        <v>0</v>
      </c>
    </row>
    <row r="17" customFormat="false" ht="15" hidden="false" customHeight="false" outlineLevel="0" collapsed="false">
      <c r="B17" s="305" t="s">
        <v>2463</v>
      </c>
      <c r="C17" s="306" t="n">
        <v>9</v>
      </c>
      <c r="D17" s="306" t="n">
        <v>9</v>
      </c>
      <c r="E17" s="307" t="n">
        <v>0</v>
      </c>
      <c r="F17" s="308" t="n">
        <v>9</v>
      </c>
      <c r="G17" s="308" t="n">
        <v>9</v>
      </c>
      <c r="H17" s="307" t="n">
        <v>0</v>
      </c>
      <c r="I17" s="308" t="n">
        <v>9</v>
      </c>
      <c r="J17" s="307" t="n">
        <v>0</v>
      </c>
    </row>
    <row r="18" customFormat="false" ht="15" hidden="false" customHeight="false" outlineLevel="0" collapsed="false">
      <c r="B18" s="305" t="s">
        <v>2464</v>
      </c>
      <c r="C18" s="306" t="n">
        <v>135</v>
      </c>
      <c r="D18" s="306" t="n">
        <v>131</v>
      </c>
      <c r="E18" s="307" t="n">
        <v>4</v>
      </c>
      <c r="F18" s="308" t="n">
        <v>150</v>
      </c>
      <c r="G18" s="308" t="n">
        <v>128</v>
      </c>
      <c r="H18" s="307" t="n">
        <v>22</v>
      </c>
      <c r="I18" s="308" t="n">
        <v>150</v>
      </c>
      <c r="J18" s="307" t="n">
        <v>22</v>
      </c>
    </row>
    <row r="19" customFormat="false" ht="15" hidden="false" customHeight="false" outlineLevel="0" collapsed="false">
      <c r="B19" s="311" t="s">
        <v>2465</v>
      </c>
      <c r="C19" s="312" t="n">
        <v>614</v>
      </c>
      <c r="D19" s="312" t="n">
        <v>601</v>
      </c>
      <c r="E19" s="312" t="n">
        <v>13</v>
      </c>
      <c r="F19" s="312" t="n">
        <v>655</v>
      </c>
      <c r="G19" s="312" t="n">
        <v>610</v>
      </c>
      <c r="H19" s="312" t="n">
        <v>45</v>
      </c>
      <c r="I19" s="312" t="n">
        <v>649</v>
      </c>
      <c r="J19" s="312" t="n">
        <v>39</v>
      </c>
    </row>
    <row r="20" customFormat="false" ht="15" hidden="false" customHeight="false" outlineLevel="0" collapsed="false">
      <c r="B20" s="322" t="s">
        <v>2466</v>
      </c>
      <c r="C20" s="314" t="n">
        <v>478</v>
      </c>
      <c r="D20" s="314" t="n">
        <v>465</v>
      </c>
      <c r="E20" s="315" t="n">
        <v>13</v>
      </c>
      <c r="F20" s="316" t="n">
        <v>513</v>
      </c>
      <c r="G20" s="316" t="n">
        <v>476</v>
      </c>
      <c r="H20" s="315" t="n">
        <v>37</v>
      </c>
      <c r="I20" s="316" t="n">
        <v>511</v>
      </c>
      <c r="J20" s="315" t="n">
        <v>35</v>
      </c>
    </row>
    <row r="21" customFormat="false" ht="15" hidden="false" customHeight="false" outlineLevel="0" collapsed="false">
      <c r="B21" s="309" t="s">
        <v>2466</v>
      </c>
      <c r="C21" s="306" t="n">
        <v>0</v>
      </c>
      <c r="D21" s="306"/>
      <c r="E21" s="307" t="n">
        <v>0</v>
      </c>
      <c r="F21" s="308" t="n">
        <v>5</v>
      </c>
      <c r="G21" s="308" t="n">
        <v>3</v>
      </c>
      <c r="H21" s="307" t="n">
        <v>2</v>
      </c>
      <c r="I21" s="308" t="n">
        <v>5</v>
      </c>
      <c r="J21" s="307" t="n">
        <v>2</v>
      </c>
    </row>
    <row r="22" customFormat="false" ht="15" hidden="false" customHeight="false" outlineLevel="0" collapsed="false">
      <c r="B22" s="309" t="s">
        <v>2467</v>
      </c>
      <c r="C22" s="306" t="n">
        <v>127</v>
      </c>
      <c r="D22" s="306" t="n">
        <v>126</v>
      </c>
      <c r="E22" s="307" t="n">
        <v>1</v>
      </c>
      <c r="F22" s="308" t="n">
        <v>130</v>
      </c>
      <c r="G22" s="308" t="n">
        <v>125</v>
      </c>
      <c r="H22" s="307" t="n">
        <v>5</v>
      </c>
      <c r="I22" s="308" t="n">
        <v>129</v>
      </c>
      <c r="J22" s="307" t="n">
        <v>4</v>
      </c>
    </row>
    <row r="23" customFormat="false" ht="15" hidden="false" customHeight="false" outlineLevel="0" collapsed="false">
      <c r="B23" s="323" t="s">
        <v>2467</v>
      </c>
      <c r="C23" s="318" t="n">
        <v>67</v>
      </c>
      <c r="D23" s="318" t="n">
        <v>66</v>
      </c>
      <c r="E23" s="319" t="n">
        <v>1</v>
      </c>
      <c r="F23" s="320" t="n">
        <v>68</v>
      </c>
      <c r="G23" s="320" t="n">
        <v>65</v>
      </c>
      <c r="H23" s="319" t="n">
        <v>3</v>
      </c>
      <c r="I23" s="320" t="n">
        <v>67</v>
      </c>
      <c r="J23" s="319" t="n">
        <v>2</v>
      </c>
    </row>
    <row r="24" customFormat="false" ht="15" hidden="false" customHeight="false" outlineLevel="0" collapsed="false">
      <c r="B24" s="323" t="s">
        <v>2468</v>
      </c>
      <c r="C24" s="318" t="n">
        <v>60</v>
      </c>
      <c r="D24" s="318" t="n">
        <v>60</v>
      </c>
      <c r="E24" s="319" t="n">
        <v>0</v>
      </c>
      <c r="F24" s="320" t="n">
        <v>62</v>
      </c>
      <c r="G24" s="320" t="n">
        <v>60</v>
      </c>
      <c r="H24" s="319" t="n">
        <v>2</v>
      </c>
      <c r="I24" s="320" t="n">
        <v>62</v>
      </c>
      <c r="J24" s="319" t="n">
        <v>2</v>
      </c>
    </row>
    <row r="25" customFormat="false" ht="15" hidden="false" customHeight="false" outlineLevel="0" collapsed="false">
      <c r="B25" s="309" t="s">
        <v>2469</v>
      </c>
      <c r="C25" s="306" t="n">
        <v>8</v>
      </c>
      <c r="D25" s="306" t="n">
        <v>7</v>
      </c>
      <c r="E25" s="307" t="n">
        <v>1</v>
      </c>
      <c r="F25" s="308" t="n">
        <v>8</v>
      </c>
      <c r="G25" s="308" t="n">
        <v>5</v>
      </c>
      <c r="H25" s="307" t="n">
        <v>3</v>
      </c>
      <c r="I25" s="308" t="n">
        <v>8</v>
      </c>
      <c r="J25" s="307" t="n">
        <v>3</v>
      </c>
    </row>
    <row r="26" customFormat="false" ht="15" hidden="false" customHeight="false" outlineLevel="0" collapsed="false">
      <c r="B26" s="309" t="s">
        <v>2470</v>
      </c>
      <c r="C26" s="306" t="n">
        <v>37</v>
      </c>
      <c r="D26" s="306" t="n">
        <v>37</v>
      </c>
      <c r="E26" s="307" t="n">
        <v>0</v>
      </c>
      <c r="F26" s="308" t="n">
        <v>39</v>
      </c>
      <c r="G26" s="308" t="n">
        <v>37</v>
      </c>
      <c r="H26" s="307" t="n">
        <v>2</v>
      </c>
      <c r="I26" s="308" t="n">
        <v>39</v>
      </c>
      <c r="J26" s="307" t="n">
        <v>2</v>
      </c>
    </row>
    <row r="27" customFormat="false" ht="15" hidden="false" customHeight="false" outlineLevel="0" collapsed="false">
      <c r="B27" s="323" t="s">
        <v>2470</v>
      </c>
      <c r="C27" s="318" t="n">
        <v>24</v>
      </c>
      <c r="D27" s="318" t="n">
        <v>24</v>
      </c>
      <c r="E27" s="319" t="n">
        <v>0</v>
      </c>
      <c r="F27" s="320" t="n">
        <v>24</v>
      </c>
      <c r="G27" s="320" t="n">
        <v>24</v>
      </c>
      <c r="H27" s="319" t="n">
        <v>0</v>
      </c>
      <c r="I27" s="320" t="n">
        <v>24</v>
      </c>
      <c r="J27" s="319" t="n">
        <v>0</v>
      </c>
    </row>
    <row r="28" customFormat="false" ht="15" hidden="false" customHeight="false" outlineLevel="0" collapsed="false">
      <c r="B28" s="323" t="s">
        <v>2468</v>
      </c>
      <c r="C28" s="318" t="n">
        <v>13</v>
      </c>
      <c r="D28" s="318" t="n">
        <v>13</v>
      </c>
      <c r="E28" s="319" t="n">
        <v>0</v>
      </c>
      <c r="F28" s="320" t="n">
        <v>15</v>
      </c>
      <c r="G28" s="320" t="n">
        <v>13</v>
      </c>
      <c r="H28" s="319" t="n">
        <v>2</v>
      </c>
      <c r="I28" s="320" t="n">
        <v>15</v>
      </c>
      <c r="J28" s="319" t="n">
        <v>2</v>
      </c>
    </row>
    <row r="29" customFormat="false" ht="15" hidden="false" customHeight="false" outlineLevel="0" collapsed="false">
      <c r="B29" s="309" t="s">
        <v>2471</v>
      </c>
      <c r="C29" s="306" t="n">
        <v>16</v>
      </c>
      <c r="D29" s="306" t="n">
        <v>16</v>
      </c>
      <c r="E29" s="307" t="n">
        <v>0</v>
      </c>
      <c r="F29" s="308" t="n">
        <v>16</v>
      </c>
      <c r="G29" s="308" t="n">
        <v>16</v>
      </c>
      <c r="H29" s="307" t="n">
        <v>0</v>
      </c>
      <c r="I29" s="308" t="n">
        <v>16</v>
      </c>
      <c r="J29" s="307" t="n">
        <v>0</v>
      </c>
    </row>
    <row r="30" customFormat="false" ht="15" hidden="false" customHeight="false" outlineLevel="0" collapsed="false">
      <c r="B30" s="309" t="s">
        <v>1859</v>
      </c>
      <c r="C30" s="306" t="n">
        <v>240</v>
      </c>
      <c r="D30" s="306" t="n">
        <v>231</v>
      </c>
      <c r="E30" s="307" t="n">
        <v>9</v>
      </c>
      <c r="F30" s="308" t="n">
        <v>265</v>
      </c>
      <c r="G30" s="308" t="n">
        <v>240</v>
      </c>
      <c r="H30" s="307" t="n">
        <v>25</v>
      </c>
      <c r="I30" s="308" t="n">
        <v>265</v>
      </c>
      <c r="J30" s="307" t="n">
        <v>25</v>
      </c>
    </row>
    <row r="31" customFormat="false" ht="15" hidden="false" customHeight="false" outlineLevel="0" collapsed="false">
      <c r="B31" s="323" t="s">
        <v>1859</v>
      </c>
      <c r="C31" s="318" t="n">
        <v>208</v>
      </c>
      <c r="D31" s="318" t="n">
        <v>199</v>
      </c>
      <c r="E31" s="319" t="n">
        <v>9</v>
      </c>
      <c r="F31" s="320" t="n">
        <v>218</v>
      </c>
      <c r="G31" s="320" t="n">
        <v>206</v>
      </c>
      <c r="H31" s="319" t="n">
        <v>12</v>
      </c>
      <c r="I31" s="320" t="n">
        <v>218</v>
      </c>
      <c r="J31" s="319" t="n">
        <v>12</v>
      </c>
    </row>
    <row r="32" customFormat="false" ht="15" hidden="false" customHeight="false" outlineLevel="0" collapsed="false">
      <c r="B32" s="323" t="s">
        <v>2468</v>
      </c>
      <c r="C32" s="318" t="n">
        <v>32</v>
      </c>
      <c r="D32" s="318" t="n">
        <v>32</v>
      </c>
      <c r="E32" s="319" t="n">
        <v>0</v>
      </c>
      <c r="F32" s="320" t="n">
        <v>47</v>
      </c>
      <c r="G32" s="320" t="n">
        <v>34</v>
      </c>
      <c r="H32" s="319" t="n">
        <v>13</v>
      </c>
      <c r="I32" s="320" t="n">
        <v>47</v>
      </c>
      <c r="J32" s="319" t="n">
        <v>13</v>
      </c>
    </row>
    <row r="33" customFormat="false" ht="15" hidden="false" customHeight="false" outlineLevel="0" collapsed="false">
      <c r="B33" s="309" t="s">
        <v>2472</v>
      </c>
      <c r="C33" s="306" t="n">
        <v>28</v>
      </c>
      <c r="D33" s="306" t="n">
        <v>27</v>
      </c>
      <c r="E33" s="307" t="n">
        <v>1</v>
      </c>
      <c r="F33" s="308" t="n">
        <v>28</v>
      </c>
      <c r="G33" s="308" t="n">
        <v>28</v>
      </c>
      <c r="H33" s="307" t="n">
        <v>0</v>
      </c>
      <c r="I33" s="308" t="n">
        <v>27</v>
      </c>
      <c r="J33" s="307" t="n">
        <v>-1</v>
      </c>
    </row>
    <row r="34" customFormat="false" ht="15" hidden="false" customHeight="false" outlineLevel="0" collapsed="false">
      <c r="B34" s="323" t="s">
        <v>2472</v>
      </c>
      <c r="C34" s="318" t="n">
        <v>17</v>
      </c>
      <c r="D34" s="318" t="n">
        <v>17</v>
      </c>
      <c r="E34" s="319" t="n">
        <v>0</v>
      </c>
      <c r="F34" s="320" t="n">
        <v>17</v>
      </c>
      <c r="G34" s="320" t="n">
        <v>17</v>
      </c>
      <c r="H34" s="319" t="n">
        <v>0</v>
      </c>
      <c r="I34" s="320" t="n">
        <v>16</v>
      </c>
      <c r="J34" s="319" t="n">
        <v>-1</v>
      </c>
    </row>
    <row r="35" customFormat="false" ht="15" hidden="false" customHeight="false" outlineLevel="0" collapsed="false">
      <c r="B35" s="323" t="s">
        <v>2468</v>
      </c>
      <c r="C35" s="318" t="n">
        <v>11</v>
      </c>
      <c r="D35" s="318" t="n">
        <v>10</v>
      </c>
      <c r="E35" s="319" t="n">
        <v>1</v>
      </c>
      <c r="F35" s="320" t="n">
        <v>11</v>
      </c>
      <c r="G35" s="320" t="n">
        <v>11</v>
      </c>
      <c r="H35" s="319" t="n">
        <v>0</v>
      </c>
      <c r="I35" s="320" t="n">
        <v>11</v>
      </c>
      <c r="J35" s="319" t="n">
        <v>0</v>
      </c>
    </row>
    <row r="36" customFormat="false" ht="15" hidden="false" customHeight="false" outlineLevel="0" collapsed="false">
      <c r="B36" s="309" t="s">
        <v>2473</v>
      </c>
      <c r="C36" s="306" t="n">
        <v>22</v>
      </c>
      <c r="D36" s="306" t="n">
        <v>21</v>
      </c>
      <c r="E36" s="307" t="n">
        <v>1</v>
      </c>
      <c r="F36" s="308" t="n">
        <v>22</v>
      </c>
      <c r="G36" s="308" t="n">
        <v>22</v>
      </c>
      <c r="H36" s="307" t="n">
        <v>0</v>
      </c>
      <c r="I36" s="308" t="n">
        <v>22</v>
      </c>
      <c r="J36" s="307" t="n">
        <v>0</v>
      </c>
    </row>
    <row r="37" customFormat="false" ht="15" hidden="false" customHeight="false" outlineLevel="0" collapsed="false">
      <c r="B37" s="322" t="s">
        <v>615</v>
      </c>
      <c r="C37" s="314" t="n">
        <v>73</v>
      </c>
      <c r="D37" s="314" t="n">
        <v>73</v>
      </c>
      <c r="E37" s="315" t="n">
        <v>0</v>
      </c>
      <c r="F37" s="316" t="n">
        <v>73</v>
      </c>
      <c r="G37" s="316" t="n">
        <v>73</v>
      </c>
      <c r="H37" s="315" t="n">
        <v>0</v>
      </c>
      <c r="I37" s="316" t="n">
        <v>70</v>
      </c>
      <c r="J37" s="315" t="n">
        <v>-3</v>
      </c>
    </row>
    <row r="38" customFormat="false" ht="15" hidden="false" customHeight="false" outlineLevel="0" collapsed="false">
      <c r="B38" s="322" t="s">
        <v>2474</v>
      </c>
      <c r="C38" s="314" t="n">
        <v>26</v>
      </c>
      <c r="D38" s="314" t="n">
        <v>26</v>
      </c>
      <c r="E38" s="315" t="n">
        <v>0</v>
      </c>
      <c r="F38" s="316" t="n">
        <v>27</v>
      </c>
      <c r="G38" s="316" t="n">
        <v>26</v>
      </c>
      <c r="H38" s="315" t="n">
        <v>1</v>
      </c>
      <c r="I38" s="316" t="n">
        <v>27</v>
      </c>
      <c r="J38" s="315" t="n">
        <v>1</v>
      </c>
    </row>
    <row r="39" customFormat="false" ht="15" hidden="false" customHeight="false" outlineLevel="0" collapsed="false">
      <c r="B39" s="322" t="s">
        <v>2475</v>
      </c>
      <c r="C39" s="314" t="n">
        <v>6</v>
      </c>
      <c r="D39" s="314" t="n">
        <v>6</v>
      </c>
      <c r="E39" s="315" t="n">
        <v>0</v>
      </c>
      <c r="F39" s="316" t="n">
        <v>6</v>
      </c>
      <c r="G39" s="316" t="n">
        <v>6</v>
      </c>
      <c r="H39" s="315" t="n">
        <v>0</v>
      </c>
      <c r="I39" s="316" t="n">
        <v>6</v>
      </c>
      <c r="J39" s="315" t="n">
        <v>0</v>
      </c>
    </row>
    <row r="40" customFormat="false" ht="15" hidden="false" customHeight="false" outlineLevel="0" collapsed="false">
      <c r="B40" s="322" t="s">
        <v>2476</v>
      </c>
      <c r="C40" s="314" t="n">
        <v>28</v>
      </c>
      <c r="D40" s="314" t="n">
        <v>28</v>
      </c>
      <c r="E40" s="315" t="n">
        <v>0</v>
      </c>
      <c r="F40" s="316" t="n">
        <v>33</v>
      </c>
      <c r="G40" s="316" t="n">
        <v>27</v>
      </c>
      <c r="H40" s="315" t="n">
        <v>6</v>
      </c>
      <c r="I40" s="316" t="n">
        <v>32</v>
      </c>
      <c r="J40" s="315" t="n">
        <v>5</v>
      </c>
    </row>
    <row r="41" customFormat="false" ht="15" hidden="false" customHeight="false" outlineLevel="0" collapsed="false">
      <c r="B41" s="309" t="s">
        <v>2476</v>
      </c>
      <c r="C41" s="306" t="n">
        <v>28</v>
      </c>
      <c r="D41" s="306" t="n">
        <v>28</v>
      </c>
      <c r="E41" s="307" t="n">
        <v>0</v>
      </c>
      <c r="F41" s="308" t="n">
        <v>33</v>
      </c>
      <c r="G41" s="308" t="n">
        <v>27</v>
      </c>
      <c r="H41" s="307" t="n">
        <v>6</v>
      </c>
      <c r="I41" s="308" t="n">
        <v>32</v>
      </c>
      <c r="J41" s="307" t="n">
        <v>5</v>
      </c>
    </row>
    <row r="42" customFormat="false" ht="15" hidden="false" customHeight="false" outlineLevel="0" collapsed="false">
      <c r="B42" s="323" t="s">
        <v>2476</v>
      </c>
      <c r="C42" s="324" t="n">
        <v>18</v>
      </c>
      <c r="D42" s="324" t="n">
        <v>18</v>
      </c>
      <c r="E42" s="325" t="n">
        <v>0</v>
      </c>
      <c r="F42" s="326" t="n">
        <v>25</v>
      </c>
      <c r="G42" s="326" t="n">
        <v>21</v>
      </c>
      <c r="H42" s="325" t="n">
        <v>4</v>
      </c>
      <c r="I42" s="326" t="n">
        <v>24</v>
      </c>
      <c r="J42" s="325" t="n">
        <v>3</v>
      </c>
    </row>
    <row r="43" customFormat="false" ht="15" hidden="false" customHeight="false" outlineLevel="0" collapsed="false">
      <c r="B43" s="323" t="s">
        <v>2468</v>
      </c>
      <c r="C43" s="318" t="n">
        <v>10</v>
      </c>
      <c r="D43" s="318" t="n">
        <v>10</v>
      </c>
      <c r="E43" s="319" t="n">
        <v>0</v>
      </c>
      <c r="F43" s="320" t="n">
        <v>8</v>
      </c>
      <c r="G43" s="320" t="n">
        <v>6</v>
      </c>
      <c r="H43" s="319" t="n">
        <v>2</v>
      </c>
      <c r="I43" s="320" t="n">
        <v>8</v>
      </c>
      <c r="J43" s="319" t="n">
        <v>2</v>
      </c>
    </row>
    <row r="44" customFormat="false" ht="15" hidden="false" customHeight="false" outlineLevel="0" collapsed="false">
      <c r="B44" s="305" t="s">
        <v>2477</v>
      </c>
      <c r="C44" s="306" t="n">
        <v>3</v>
      </c>
      <c r="D44" s="306" t="n">
        <v>3</v>
      </c>
      <c r="E44" s="307" t="n">
        <v>0</v>
      </c>
      <c r="F44" s="308" t="n">
        <v>3</v>
      </c>
      <c r="G44" s="308" t="n">
        <v>2</v>
      </c>
      <c r="H44" s="307" t="n">
        <v>1</v>
      </c>
      <c r="I44" s="308" t="n">
        <v>3</v>
      </c>
      <c r="J44" s="307" t="n">
        <v>1</v>
      </c>
    </row>
    <row r="45" customFormat="false" ht="15" hidden="false" customHeight="false" outlineLevel="0" collapsed="false">
      <c r="B45" s="301" t="s">
        <v>2480</v>
      </c>
      <c r="C45" s="302" t="n">
        <v>79</v>
      </c>
      <c r="D45" s="302" t="n">
        <v>68</v>
      </c>
      <c r="E45" s="302" t="n">
        <v>11</v>
      </c>
      <c r="F45" s="302" t="n">
        <v>79</v>
      </c>
      <c r="G45" s="302" t="n">
        <v>58</v>
      </c>
      <c r="H45" s="302" t="n">
        <v>21</v>
      </c>
      <c r="I45" s="302" t="n">
        <v>79</v>
      </c>
      <c r="J45" s="302" t="n">
        <v>21</v>
      </c>
    </row>
    <row r="46" customFormat="false" ht="15" hidden="false" customHeight="false" outlineLevel="0" collapsed="false">
      <c r="B46" s="301" t="s">
        <v>2479</v>
      </c>
      <c r="C46" s="302" t="n">
        <v>1</v>
      </c>
      <c r="D46" s="302" t="n">
        <v>1</v>
      </c>
      <c r="E46" s="302" t="n">
        <v>0</v>
      </c>
      <c r="F46" s="302" t="n">
        <v>1</v>
      </c>
      <c r="G46" s="302" t="n">
        <v>1</v>
      </c>
      <c r="H46" s="302" t="n">
        <v>0</v>
      </c>
      <c r="I46" s="302" t="n">
        <v>1</v>
      </c>
      <c r="J46" s="302" t="n">
        <v>0</v>
      </c>
    </row>
    <row r="47" customFormat="false" ht="15" hidden="false" customHeight="false" outlineLevel="0" collapsed="false">
      <c r="B47" s="301" t="s">
        <v>2481</v>
      </c>
      <c r="C47" s="302" t="n">
        <v>1031</v>
      </c>
      <c r="D47" s="302" t="n">
        <v>983</v>
      </c>
      <c r="E47" s="302" t="n">
        <v>48</v>
      </c>
      <c r="F47" s="302" t="n">
        <v>1097</v>
      </c>
      <c r="G47" s="302" t="n">
        <v>988</v>
      </c>
      <c r="H47" s="302" t="n">
        <v>109</v>
      </c>
      <c r="I47" s="302" t="n">
        <v>1091</v>
      </c>
      <c r="J47" s="302" t="n">
        <v>103</v>
      </c>
    </row>
  </sheetData>
  <mergeCells count="2">
    <mergeCell ref="C4:E4"/>
    <mergeCell ref="F4:J4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AA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0" topLeftCell="C11" activePane="bottomRight" state="frozen"/>
      <selection pane="topLeft" activeCell="A1" activeCellId="0" sqref="A1"/>
      <selection pane="topRight" activeCell="C1" activeCellId="0" sqref="C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86"/>
    <col collapsed="false" customWidth="true" hidden="false" outlineLevel="0" max="2" min="2" style="0" width="49"/>
    <col collapsed="false" customWidth="true" hidden="false" outlineLevel="0" max="3" min="3" style="0" width="13.15"/>
    <col collapsed="false" customWidth="true" hidden="false" outlineLevel="0" max="28" min="28" style="0" width="11.29"/>
  </cols>
  <sheetData>
    <row r="1" customFormat="false" ht="15" hidden="false" customHeight="false" outlineLevel="0" collapsed="false">
      <c r="A1" s="185" t="s">
        <v>1</v>
      </c>
    </row>
    <row r="2" customFormat="false" ht="18.75" hidden="false" customHeight="true" outlineLevel="0" collapsed="false">
      <c r="B2" s="128" t="s">
        <v>2439</v>
      </c>
      <c r="Q2" s="126" t="s">
        <v>1705</v>
      </c>
    </row>
    <row r="3" customFormat="false" ht="18.75" hidden="false" customHeight="true" outlineLevel="0" collapsed="false">
      <c r="B3" s="289" t="n">
        <v>46141</v>
      </c>
    </row>
    <row r="4" customFormat="false" ht="19.5" hidden="false" customHeight="true" outlineLevel="0" collapsed="false">
      <c r="C4" s="327" t="n">
        <v>2026</v>
      </c>
      <c r="D4" s="327"/>
      <c r="E4" s="327"/>
      <c r="F4" s="327"/>
      <c r="G4" s="327"/>
      <c r="H4" s="327"/>
      <c r="I4" s="327"/>
      <c r="J4" s="327"/>
      <c r="K4" s="327"/>
      <c r="L4" s="327"/>
      <c r="M4" s="327"/>
      <c r="N4" s="327"/>
      <c r="O4" s="327"/>
      <c r="P4" s="327"/>
      <c r="Q4" s="327"/>
      <c r="R4" s="327"/>
      <c r="S4" s="327"/>
      <c r="T4" s="327"/>
      <c r="U4" s="327"/>
      <c r="V4" s="327"/>
      <c r="W4" s="327"/>
      <c r="X4" s="327"/>
      <c r="Y4" s="327"/>
      <c r="Z4" s="328"/>
      <c r="AA4" s="328"/>
    </row>
    <row r="5" customFormat="false" ht="33" hidden="false" customHeight="true" outlineLevel="0" collapsed="false">
      <c r="B5" s="329"/>
      <c r="C5" s="330" t="s">
        <v>2484</v>
      </c>
      <c r="D5" s="330"/>
      <c r="E5" s="330"/>
      <c r="F5" s="330"/>
      <c r="G5" s="330"/>
      <c r="H5" s="330" t="s">
        <v>2485</v>
      </c>
      <c r="I5" s="330"/>
      <c r="J5" s="330"/>
      <c r="K5" s="330"/>
      <c r="L5" s="330"/>
      <c r="M5" s="330" t="s">
        <v>2486</v>
      </c>
      <c r="N5" s="330"/>
      <c r="O5" s="330"/>
      <c r="P5" s="330"/>
      <c r="Q5" s="330"/>
      <c r="R5" s="331" t="s">
        <v>2487</v>
      </c>
      <c r="S5" s="331"/>
      <c r="T5" s="331"/>
      <c r="U5" s="331"/>
      <c r="V5" s="331"/>
      <c r="W5" s="331" t="s">
        <v>2488</v>
      </c>
      <c r="X5" s="331"/>
      <c r="Y5" s="331"/>
      <c r="Z5" s="331"/>
      <c r="AA5" s="331"/>
    </row>
    <row r="6" customFormat="false" ht="35.25" hidden="false" customHeight="true" outlineLevel="0" collapsed="false">
      <c r="B6" s="332"/>
      <c r="C6" s="333" t="s">
        <v>2489</v>
      </c>
      <c r="D6" s="333" t="s">
        <v>2490</v>
      </c>
      <c r="E6" s="333" t="s">
        <v>2491</v>
      </c>
      <c r="F6" s="333" t="s">
        <v>2440</v>
      </c>
      <c r="G6" s="333" t="s">
        <v>2492</v>
      </c>
      <c r="H6" s="333" t="s">
        <v>2443</v>
      </c>
      <c r="I6" s="333" t="s">
        <v>2444</v>
      </c>
      <c r="J6" s="333" t="s">
        <v>2445</v>
      </c>
      <c r="K6" s="333" t="s">
        <v>2440</v>
      </c>
      <c r="L6" s="333" t="s">
        <v>2446</v>
      </c>
      <c r="M6" s="333" t="s">
        <v>2443</v>
      </c>
      <c r="N6" s="333" t="s">
        <v>2444</v>
      </c>
      <c r="O6" s="333" t="s">
        <v>2445</v>
      </c>
      <c r="P6" s="333" t="s">
        <v>2440</v>
      </c>
      <c r="Q6" s="333" t="s">
        <v>2446</v>
      </c>
      <c r="R6" s="333" t="s">
        <v>2443</v>
      </c>
      <c r="S6" s="333" t="s">
        <v>2444</v>
      </c>
      <c r="T6" s="333" t="s">
        <v>2445</v>
      </c>
      <c r="U6" s="333" t="s">
        <v>2440</v>
      </c>
      <c r="V6" s="333" t="s">
        <v>2446</v>
      </c>
      <c r="W6" s="333" t="s">
        <v>2443</v>
      </c>
      <c r="X6" s="333" t="s">
        <v>2444</v>
      </c>
      <c r="Y6" s="333" t="s">
        <v>2445</v>
      </c>
      <c r="Z6" s="333" t="s">
        <v>2440</v>
      </c>
      <c r="AA6" s="333" t="s">
        <v>2446</v>
      </c>
    </row>
    <row r="7" customFormat="false" ht="15.75" hidden="true" customHeight="true" outlineLevel="0" collapsed="false"/>
    <row r="8" customFormat="false" ht="15.75" hidden="true" customHeight="true" outlineLevel="0" collapsed="false">
      <c r="C8" s="0" t="s">
        <v>2493</v>
      </c>
    </row>
    <row r="9" customFormat="false" ht="15.75" hidden="true" customHeight="true" outlineLevel="0" collapsed="false">
      <c r="C9" s="0" t="s">
        <v>2494</v>
      </c>
      <c r="H9" s="0" t="s">
        <v>2485</v>
      </c>
      <c r="M9" s="0" t="s">
        <v>2495</v>
      </c>
      <c r="R9" s="0" t="s">
        <v>2496</v>
      </c>
      <c r="W9" s="0" t="s">
        <v>2488</v>
      </c>
    </row>
    <row r="10" customFormat="false" ht="54" hidden="true" customHeight="true" outlineLevel="0" collapsed="false">
      <c r="B10" s="295" t="s">
        <v>2447</v>
      </c>
      <c r="C10" s="334" t="s">
        <v>2451</v>
      </c>
      <c r="D10" s="334" t="s">
        <v>2452</v>
      </c>
      <c r="E10" s="299" t="s">
        <v>2453</v>
      </c>
      <c r="F10" s="334" t="s">
        <v>2454</v>
      </c>
      <c r="G10" s="299" t="s">
        <v>2455</v>
      </c>
      <c r="H10" s="334" t="s">
        <v>2451</v>
      </c>
      <c r="I10" s="334" t="s">
        <v>2452</v>
      </c>
      <c r="J10" s="299" t="s">
        <v>2453</v>
      </c>
      <c r="K10" s="334" t="s">
        <v>2454</v>
      </c>
      <c r="L10" s="299" t="s">
        <v>2455</v>
      </c>
      <c r="M10" s="334" t="s">
        <v>2451</v>
      </c>
      <c r="N10" s="334" t="s">
        <v>2452</v>
      </c>
      <c r="O10" s="299" t="s">
        <v>2453</v>
      </c>
      <c r="P10" s="334" t="s">
        <v>2454</v>
      </c>
      <c r="Q10" s="299" t="s">
        <v>2455</v>
      </c>
      <c r="R10" s="334" t="s">
        <v>2451</v>
      </c>
      <c r="S10" s="334" t="s">
        <v>2452</v>
      </c>
      <c r="T10" s="299" t="s">
        <v>2453</v>
      </c>
      <c r="U10" s="334" t="s">
        <v>2454</v>
      </c>
      <c r="V10" s="299" t="s">
        <v>2455</v>
      </c>
      <c r="W10" s="334" t="s">
        <v>2451</v>
      </c>
      <c r="X10" s="334" t="s">
        <v>2452</v>
      </c>
      <c r="Y10" s="299" t="s">
        <v>2453</v>
      </c>
      <c r="Z10" s="334" t="s">
        <v>2454</v>
      </c>
      <c r="AA10" s="299" t="s">
        <v>2455</v>
      </c>
    </row>
    <row r="11" customFormat="false" ht="15.75" hidden="false" customHeight="true" outlineLevel="0" collapsed="false">
      <c r="B11" s="335" t="s">
        <v>2456</v>
      </c>
      <c r="C11" s="302" t="n">
        <v>12</v>
      </c>
      <c r="D11" s="302" t="n">
        <v>11</v>
      </c>
      <c r="E11" s="302" t="n">
        <v>1</v>
      </c>
      <c r="F11" s="302" t="n">
        <v>12</v>
      </c>
      <c r="G11" s="302" t="n">
        <v>1</v>
      </c>
      <c r="H11" s="302" t="n">
        <v>13</v>
      </c>
      <c r="I11" s="302" t="n">
        <v>7</v>
      </c>
      <c r="J11" s="302" t="n">
        <v>6</v>
      </c>
      <c r="K11" s="302" t="n">
        <v>13</v>
      </c>
      <c r="L11" s="302" t="n">
        <v>6</v>
      </c>
      <c r="M11" s="302" t="n">
        <v>32</v>
      </c>
      <c r="N11" s="302" t="n">
        <v>6</v>
      </c>
      <c r="O11" s="302" t="n">
        <v>26</v>
      </c>
      <c r="P11" s="302" t="n">
        <v>32</v>
      </c>
      <c r="Q11" s="302" t="n">
        <v>26</v>
      </c>
      <c r="R11" s="302" t="n">
        <v>7</v>
      </c>
      <c r="S11" s="302" t="n">
        <v>1</v>
      </c>
      <c r="T11" s="302" t="n">
        <v>6</v>
      </c>
      <c r="U11" s="302" t="n">
        <v>7</v>
      </c>
      <c r="V11" s="302" t="n">
        <v>6</v>
      </c>
      <c r="W11" s="302" t="n">
        <v>22</v>
      </c>
      <c r="X11" s="302" t="n">
        <v>6</v>
      </c>
      <c r="Y11" s="302" t="n">
        <v>16</v>
      </c>
      <c r="Z11" s="302" t="n">
        <v>22</v>
      </c>
      <c r="AA11" s="302" t="n">
        <v>16</v>
      </c>
    </row>
    <row r="12" customFormat="false" ht="15" hidden="false" customHeight="false" outlineLevel="0" collapsed="false">
      <c r="B12" s="336" t="s">
        <v>1961</v>
      </c>
      <c r="C12" s="304" t="n">
        <v>7</v>
      </c>
      <c r="D12" s="304" t="n">
        <v>7</v>
      </c>
      <c r="E12" s="304" t="n">
        <v>0</v>
      </c>
      <c r="F12" s="304" t="n">
        <v>7</v>
      </c>
      <c r="G12" s="304" t="n">
        <v>0</v>
      </c>
      <c r="H12" s="304" t="n">
        <v>4</v>
      </c>
      <c r="I12" s="304" t="n">
        <v>3</v>
      </c>
      <c r="J12" s="304" t="n">
        <v>1</v>
      </c>
      <c r="K12" s="304" t="n">
        <v>4</v>
      </c>
      <c r="L12" s="304" t="n">
        <v>1</v>
      </c>
      <c r="M12" s="304" t="n">
        <v>11</v>
      </c>
      <c r="N12" s="304" t="n">
        <v>3</v>
      </c>
      <c r="O12" s="304" t="n">
        <v>8</v>
      </c>
      <c r="P12" s="304" t="n">
        <v>11</v>
      </c>
      <c r="Q12" s="304" t="n">
        <v>8</v>
      </c>
      <c r="R12" s="304"/>
      <c r="S12" s="304"/>
      <c r="T12" s="304" t="n">
        <v>0</v>
      </c>
      <c r="U12" s="304"/>
      <c r="V12" s="304" t="n">
        <v>0</v>
      </c>
      <c r="W12" s="304" t="n">
        <v>13</v>
      </c>
      <c r="X12" s="304" t="n">
        <v>3</v>
      </c>
      <c r="Y12" s="304" t="n">
        <v>10</v>
      </c>
      <c r="Z12" s="304" t="n">
        <v>13</v>
      </c>
      <c r="AA12" s="304" t="n">
        <v>10</v>
      </c>
    </row>
    <row r="13" customFormat="false" ht="15" hidden="false" customHeight="false" outlineLevel="0" collapsed="false">
      <c r="B13" s="337" t="s">
        <v>1961</v>
      </c>
      <c r="C13" s="338"/>
      <c r="D13" s="338"/>
      <c r="E13" s="307"/>
      <c r="F13" s="338"/>
      <c r="G13" s="307"/>
      <c r="H13" s="338"/>
      <c r="I13" s="338"/>
      <c r="J13" s="307"/>
      <c r="K13" s="338"/>
      <c r="L13" s="307"/>
      <c r="M13" s="338"/>
      <c r="N13" s="338"/>
      <c r="O13" s="307"/>
      <c r="P13" s="338"/>
      <c r="Q13" s="307"/>
      <c r="R13" s="338"/>
      <c r="S13" s="338"/>
      <c r="T13" s="307"/>
      <c r="U13" s="338"/>
      <c r="V13" s="307"/>
      <c r="W13" s="338"/>
      <c r="X13" s="338"/>
      <c r="Y13" s="307"/>
      <c r="Z13" s="338"/>
      <c r="AA13" s="307"/>
    </row>
    <row r="14" customFormat="false" ht="15" hidden="false" customHeight="false" outlineLevel="0" collapsed="false">
      <c r="B14" s="339" t="s">
        <v>2457</v>
      </c>
      <c r="C14" s="338" t="n">
        <v>7</v>
      </c>
      <c r="D14" s="338" t="n">
        <v>7</v>
      </c>
      <c r="E14" s="307" t="n">
        <v>0</v>
      </c>
      <c r="F14" s="338" t="n">
        <v>7</v>
      </c>
      <c r="G14" s="307" t="n">
        <v>0</v>
      </c>
      <c r="H14" s="338" t="n">
        <v>4</v>
      </c>
      <c r="I14" s="338" t="n">
        <v>3</v>
      </c>
      <c r="J14" s="307" t="n">
        <v>1</v>
      </c>
      <c r="K14" s="338" t="n">
        <v>4</v>
      </c>
      <c r="L14" s="307" t="n">
        <v>1</v>
      </c>
      <c r="M14" s="338"/>
      <c r="N14" s="338"/>
      <c r="O14" s="307" t="n">
        <v>0</v>
      </c>
      <c r="P14" s="338"/>
      <c r="Q14" s="307" t="n">
        <v>0</v>
      </c>
      <c r="R14" s="338"/>
      <c r="S14" s="338"/>
      <c r="T14" s="307" t="n">
        <v>0</v>
      </c>
      <c r="U14" s="338"/>
      <c r="V14" s="307" t="n">
        <v>0</v>
      </c>
      <c r="W14" s="338" t="n">
        <v>13</v>
      </c>
      <c r="X14" s="338" t="n">
        <v>3</v>
      </c>
      <c r="Y14" s="307" t="n">
        <v>10</v>
      </c>
      <c r="Z14" s="338" t="n">
        <v>13</v>
      </c>
      <c r="AA14" s="307" t="n">
        <v>10</v>
      </c>
    </row>
    <row r="15" customFormat="false" ht="15" hidden="false" customHeight="false" outlineLevel="0" collapsed="false">
      <c r="B15" s="340" t="s">
        <v>2459</v>
      </c>
      <c r="C15" s="338" t="n">
        <v>5</v>
      </c>
      <c r="D15" s="338" t="n">
        <v>5</v>
      </c>
      <c r="E15" s="307" t="n">
        <v>0</v>
      </c>
      <c r="F15" s="338" t="n">
        <v>5</v>
      </c>
      <c r="G15" s="307" t="n">
        <v>0</v>
      </c>
      <c r="H15" s="338"/>
      <c r="I15" s="338"/>
      <c r="J15" s="307" t="n">
        <v>0</v>
      </c>
      <c r="K15" s="338"/>
      <c r="L15" s="307" t="n">
        <v>0</v>
      </c>
      <c r="M15" s="338"/>
      <c r="N15" s="338"/>
      <c r="O15" s="307" t="n">
        <v>0</v>
      </c>
      <c r="P15" s="338"/>
      <c r="Q15" s="307" t="n">
        <v>0</v>
      </c>
      <c r="R15" s="338"/>
      <c r="S15" s="338"/>
      <c r="T15" s="307" t="n">
        <v>0</v>
      </c>
      <c r="U15" s="338"/>
      <c r="V15" s="307" t="n">
        <v>0</v>
      </c>
      <c r="W15" s="338"/>
      <c r="X15" s="338"/>
      <c r="Y15" s="307" t="n">
        <v>0</v>
      </c>
      <c r="Z15" s="338"/>
      <c r="AA15" s="307" t="n">
        <v>0</v>
      </c>
    </row>
    <row r="16" customFormat="false" ht="15" hidden="false" customHeight="false" outlineLevel="0" collapsed="false">
      <c r="B16" s="340" t="s">
        <v>1808</v>
      </c>
      <c r="C16" s="338"/>
      <c r="D16" s="338"/>
      <c r="E16" s="307" t="n">
        <v>0</v>
      </c>
      <c r="F16" s="338"/>
      <c r="G16" s="307" t="n">
        <v>0</v>
      </c>
      <c r="H16" s="338" t="n">
        <v>4</v>
      </c>
      <c r="I16" s="338" t="n">
        <v>3</v>
      </c>
      <c r="J16" s="307" t="n">
        <v>1</v>
      </c>
      <c r="K16" s="338" t="n">
        <v>4</v>
      </c>
      <c r="L16" s="307" t="n">
        <v>1</v>
      </c>
      <c r="M16" s="338"/>
      <c r="N16" s="338"/>
      <c r="O16" s="307" t="n">
        <v>0</v>
      </c>
      <c r="P16" s="338"/>
      <c r="Q16" s="307" t="n">
        <v>0</v>
      </c>
      <c r="R16" s="338"/>
      <c r="S16" s="338"/>
      <c r="T16" s="307" t="n">
        <v>0</v>
      </c>
      <c r="U16" s="338"/>
      <c r="V16" s="307" t="n">
        <v>0</v>
      </c>
      <c r="W16" s="338" t="n">
        <v>5</v>
      </c>
      <c r="X16" s="338"/>
      <c r="Y16" s="307" t="n">
        <v>5</v>
      </c>
      <c r="Z16" s="338" t="n">
        <v>5</v>
      </c>
      <c r="AA16" s="307" t="n">
        <v>5</v>
      </c>
    </row>
    <row r="17" customFormat="false" ht="15" hidden="false" customHeight="false" outlineLevel="0" collapsed="false">
      <c r="B17" s="340" t="s">
        <v>1814</v>
      </c>
      <c r="C17" s="338"/>
      <c r="D17" s="338"/>
      <c r="E17" s="307" t="n">
        <v>0</v>
      </c>
      <c r="F17" s="338"/>
      <c r="G17" s="307" t="n">
        <v>0</v>
      </c>
      <c r="H17" s="338"/>
      <c r="I17" s="338"/>
      <c r="J17" s="307" t="n">
        <v>0</v>
      </c>
      <c r="K17" s="338"/>
      <c r="L17" s="307" t="n">
        <v>0</v>
      </c>
      <c r="M17" s="338"/>
      <c r="N17" s="338"/>
      <c r="O17" s="307" t="n">
        <v>0</v>
      </c>
      <c r="P17" s="338"/>
      <c r="Q17" s="307" t="n">
        <v>0</v>
      </c>
      <c r="R17" s="338"/>
      <c r="S17" s="338"/>
      <c r="T17" s="307" t="n">
        <v>0</v>
      </c>
      <c r="U17" s="338"/>
      <c r="V17" s="307" t="n">
        <v>0</v>
      </c>
      <c r="W17" s="338" t="n">
        <v>3</v>
      </c>
      <c r="X17" s="338" t="n">
        <v>3</v>
      </c>
      <c r="Y17" s="307" t="n">
        <v>0</v>
      </c>
      <c r="Z17" s="338" t="n">
        <v>3</v>
      </c>
      <c r="AA17" s="307" t="n">
        <v>0</v>
      </c>
    </row>
    <row r="18" customFormat="false" ht="15" hidden="false" customHeight="false" outlineLevel="0" collapsed="false">
      <c r="B18" s="340" t="s">
        <v>2460</v>
      </c>
      <c r="C18" s="338" t="n">
        <v>2</v>
      </c>
      <c r="D18" s="338" t="n">
        <v>2</v>
      </c>
      <c r="E18" s="307" t="n">
        <v>0</v>
      </c>
      <c r="F18" s="338" t="n">
        <v>2</v>
      </c>
      <c r="G18" s="307" t="n">
        <v>0</v>
      </c>
      <c r="H18" s="338" t="n">
        <v>0</v>
      </c>
      <c r="I18" s="338"/>
      <c r="J18" s="307" t="n">
        <v>0</v>
      </c>
      <c r="K18" s="338" t="n">
        <v>0</v>
      </c>
      <c r="L18" s="307" t="n">
        <v>0</v>
      </c>
      <c r="M18" s="338"/>
      <c r="N18" s="338"/>
      <c r="O18" s="307" t="n">
        <v>0</v>
      </c>
      <c r="P18" s="338"/>
      <c r="Q18" s="307" t="n">
        <v>0</v>
      </c>
      <c r="R18" s="338"/>
      <c r="S18" s="338"/>
      <c r="T18" s="307" t="n">
        <v>0</v>
      </c>
      <c r="U18" s="338"/>
      <c r="V18" s="307" t="n">
        <v>0</v>
      </c>
      <c r="W18" s="338" t="n">
        <v>5</v>
      </c>
      <c r="X18" s="338"/>
      <c r="Y18" s="307" t="n">
        <v>5</v>
      </c>
      <c r="Z18" s="338" t="n">
        <v>5</v>
      </c>
      <c r="AA18" s="307" t="n">
        <v>5</v>
      </c>
    </row>
    <row r="19" customFormat="false" ht="15" hidden="false" customHeight="false" outlineLevel="0" collapsed="false">
      <c r="B19" s="339" t="s">
        <v>2464</v>
      </c>
      <c r="C19" s="338"/>
      <c r="D19" s="338"/>
      <c r="E19" s="307" t="n">
        <v>0</v>
      </c>
      <c r="F19" s="338"/>
      <c r="G19" s="307" t="n">
        <v>0</v>
      </c>
      <c r="H19" s="338"/>
      <c r="I19" s="338"/>
      <c r="J19" s="307" t="n">
        <v>0</v>
      </c>
      <c r="K19" s="338"/>
      <c r="L19" s="307" t="n">
        <v>0</v>
      </c>
      <c r="M19" s="338" t="n">
        <v>11</v>
      </c>
      <c r="N19" s="338" t="n">
        <v>3</v>
      </c>
      <c r="O19" s="307" t="n">
        <v>8</v>
      </c>
      <c r="P19" s="338" t="n">
        <v>11</v>
      </c>
      <c r="Q19" s="307" t="n">
        <v>8</v>
      </c>
      <c r="R19" s="338"/>
      <c r="S19" s="338"/>
      <c r="T19" s="307" t="n">
        <v>0</v>
      </c>
      <c r="U19" s="338"/>
      <c r="V19" s="307" t="n">
        <v>0</v>
      </c>
      <c r="W19" s="338"/>
      <c r="X19" s="338"/>
      <c r="Y19" s="307" t="n">
        <v>0</v>
      </c>
      <c r="Z19" s="338"/>
      <c r="AA19" s="307" t="n">
        <v>0</v>
      </c>
    </row>
    <row r="20" customFormat="false" ht="15" hidden="false" customHeight="false" outlineLevel="0" collapsed="false">
      <c r="B20" s="341" t="s">
        <v>2465</v>
      </c>
      <c r="C20" s="312" t="n">
        <v>5</v>
      </c>
      <c r="D20" s="312" t="n">
        <v>4</v>
      </c>
      <c r="E20" s="312" t="n">
        <v>1</v>
      </c>
      <c r="F20" s="312" t="n">
        <v>5</v>
      </c>
      <c r="G20" s="312" t="n">
        <v>1</v>
      </c>
      <c r="H20" s="312" t="n">
        <v>9</v>
      </c>
      <c r="I20" s="312" t="n">
        <v>4</v>
      </c>
      <c r="J20" s="312" t="n">
        <v>5</v>
      </c>
      <c r="K20" s="312" t="n">
        <v>9</v>
      </c>
      <c r="L20" s="312" t="n">
        <v>5</v>
      </c>
      <c r="M20" s="312" t="n">
        <v>21</v>
      </c>
      <c r="N20" s="312" t="n">
        <v>3</v>
      </c>
      <c r="O20" s="312" t="n">
        <v>18</v>
      </c>
      <c r="P20" s="312" t="n">
        <v>21</v>
      </c>
      <c r="Q20" s="312" t="n">
        <v>18</v>
      </c>
      <c r="R20" s="312" t="n">
        <v>7</v>
      </c>
      <c r="S20" s="312" t="n">
        <v>1</v>
      </c>
      <c r="T20" s="312" t="n">
        <v>6</v>
      </c>
      <c r="U20" s="312" t="n">
        <v>7</v>
      </c>
      <c r="V20" s="312" t="n">
        <v>6</v>
      </c>
      <c r="W20" s="312" t="n">
        <v>9</v>
      </c>
      <c r="X20" s="312" t="n">
        <v>3</v>
      </c>
      <c r="Y20" s="312" t="n">
        <v>6</v>
      </c>
      <c r="Z20" s="312" t="n">
        <v>9</v>
      </c>
      <c r="AA20" s="312" t="n">
        <v>6</v>
      </c>
    </row>
    <row r="21" customFormat="false" ht="15" hidden="false" customHeight="false" outlineLevel="0" collapsed="false">
      <c r="B21" s="337" t="s">
        <v>2465</v>
      </c>
      <c r="C21" s="338"/>
      <c r="D21" s="338"/>
      <c r="E21" s="307"/>
      <c r="F21" s="338"/>
      <c r="G21" s="307"/>
      <c r="H21" s="338"/>
      <c r="I21" s="338"/>
      <c r="J21" s="307"/>
      <c r="K21" s="338"/>
      <c r="L21" s="307"/>
      <c r="M21" s="338"/>
      <c r="N21" s="338"/>
      <c r="O21" s="307"/>
      <c r="P21" s="338"/>
      <c r="Q21" s="307"/>
      <c r="R21" s="338"/>
      <c r="S21" s="338"/>
      <c r="T21" s="307"/>
      <c r="U21" s="338"/>
      <c r="V21" s="307"/>
      <c r="W21" s="338"/>
      <c r="X21" s="338"/>
      <c r="Y21" s="307"/>
      <c r="Z21" s="338"/>
      <c r="AA21" s="307"/>
    </row>
    <row r="22" customFormat="false" ht="15" hidden="false" customHeight="false" outlineLevel="0" collapsed="false">
      <c r="B22" s="339" t="s">
        <v>2466</v>
      </c>
      <c r="C22" s="338" t="n">
        <v>4</v>
      </c>
      <c r="D22" s="338" t="n">
        <v>3</v>
      </c>
      <c r="E22" s="307" t="n">
        <v>1</v>
      </c>
      <c r="F22" s="338" t="n">
        <v>4</v>
      </c>
      <c r="G22" s="307" t="n">
        <v>1</v>
      </c>
      <c r="H22" s="338" t="n">
        <v>8</v>
      </c>
      <c r="I22" s="338" t="n">
        <v>3</v>
      </c>
      <c r="J22" s="307" t="n">
        <v>5</v>
      </c>
      <c r="K22" s="338" t="n">
        <v>8</v>
      </c>
      <c r="L22" s="307" t="n">
        <v>5</v>
      </c>
      <c r="M22" s="338" t="n">
        <v>19</v>
      </c>
      <c r="N22" s="338" t="n">
        <v>3</v>
      </c>
      <c r="O22" s="307" t="n">
        <v>16</v>
      </c>
      <c r="P22" s="338" t="n">
        <v>19</v>
      </c>
      <c r="Q22" s="307" t="n">
        <v>16</v>
      </c>
      <c r="R22" s="338" t="n">
        <v>7</v>
      </c>
      <c r="S22" s="338" t="n">
        <v>1</v>
      </c>
      <c r="T22" s="307" t="n">
        <v>6</v>
      </c>
      <c r="U22" s="338" t="n">
        <v>7</v>
      </c>
      <c r="V22" s="307" t="n">
        <v>6</v>
      </c>
      <c r="W22" s="338" t="n">
        <v>5</v>
      </c>
      <c r="X22" s="338" t="n">
        <v>2</v>
      </c>
      <c r="Y22" s="307" t="n">
        <v>3</v>
      </c>
      <c r="Z22" s="338" t="n">
        <v>5</v>
      </c>
      <c r="AA22" s="307" t="n">
        <v>3</v>
      </c>
    </row>
    <row r="23" customFormat="false" ht="15" hidden="false" customHeight="false" outlineLevel="0" collapsed="false">
      <c r="B23" s="342" t="s">
        <v>2466</v>
      </c>
      <c r="C23" s="343"/>
      <c r="D23" s="343"/>
      <c r="E23" s="315" t="n">
        <v>0</v>
      </c>
      <c r="F23" s="343"/>
      <c r="G23" s="315" t="n">
        <v>0</v>
      </c>
      <c r="H23" s="343"/>
      <c r="I23" s="343"/>
      <c r="J23" s="315" t="n">
        <v>0</v>
      </c>
      <c r="K23" s="343"/>
      <c r="L23" s="315" t="n">
        <v>0</v>
      </c>
      <c r="M23" s="343" t="n">
        <v>1</v>
      </c>
      <c r="N23" s="343"/>
      <c r="O23" s="315" t="n">
        <v>1</v>
      </c>
      <c r="P23" s="343" t="n">
        <v>1</v>
      </c>
      <c r="Q23" s="315" t="n">
        <v>1</v>
      </c>
      <c r="R23" s="343"/>
      <c r="S23" s="343"/>
      <c r="T23" s="315" t="n">
        <v>0</v>
      </c>
      <c r="U23" s="343"/>
      <c r="V23" s="315" t="n">
        <v>0</v>
      </c>
      <c r="W23" s="343" t="n">
        <v>1</v>
      </c>
      <c r="X23" s="343"/>
      <c r="Y23" s="315" t="n">
        <v>1</v>
      </c>
      <c r="Z23" s="343" t="n">
        <v>1</v>
      </c>
      <c r="AA23" s="315" t="n">
        <v>1</v>
      </c>
    </row>
    <row r="24" customFormat="false" ht="15" hidden="false" customHeight="false" outlineLevel="0" collapsed="false">
      <c r="B24" s="342" t="s">
        <v>2467</v>
      </c>
      <c r="C24" s="343" t="n">
        <v>2</v>
      </c>
      <c r="D24" s="343" t="n">
        <v>1</v>
      </c>
      <c r="E24" s="315" t="n">
        <v>1</v>
      </c>
      <c r="F24" s="343" t="n">
        <v>2</v>
      </c>
      <c r="G24" s="315" t="n">
        <v>1</v>
      </c>
      <c r="H24" s="343" t="n">
        <v>2</v>
      </c>
      <c r="I24" s="343" t="n">
        <v>0</v>
      </c>
      <c r="J24" s="315" t="n">
        <v>2</v>
      </c>
      <c r="K24" s="343" t="n">
        <v>2</v>
      </c>
      <c r="L24" s="315" t="n">
        <v>2</v>
      </c>
      <c r="M24" s="343" t="n">
        <v>3</v>
      </c>
      <c r="N24" s="343" t="n">
        <v>1</v>
      </c>
      <c r="O24" s="315" t="n">
        <v>2</v>
      </c>
      <c r="P24" s="343" t="n">
        <v>3</v>
      </c>
      <c r="Q24" s="315" t="n">
        <v>2</v>
      </c>
      <c r="R24" s="343"/>
      <c r="S24" s="343"/>
      <c r="T24" s="315" t="n">
        <v>0</v>
      </c>
      <c r="U24" s="343"/>
      <c r="V24" s="315" t="n">
        <v>0</v>
      </c>
      <c r="W24" s="343"/>
      <c r="X24" s="343"/>
      <c r="Y24" s="315" t="n">
        <v>0</v>
      </c>
      <c r="Z24" s="343"/>
      <c r="AA24" s="315" t="n">
        <v>0</v>
      </c>
    </row>
    <row r="25" customFormat="false" ht="15" hidden="false" customHeight="false" outlineLevel="0" collapsed="false">
      <c r="B25" s="344" t="s">
        <v>2467</v>
      </c>
      <c r="C25" s="345" t="n">
        <v>2</v>
      </c>
      <c r="D25" s="345" t="n">
        <v>1</v>
      </c>
      <c r="E25" s="319" t="n">
        <v>1</v>
      </c>
      <c r="F25" s="345" t="n">
        <v>2</v>
      </c>
      <c r="G25" s="319" t="n">
        <v>1</v>
      </c>
      <c r="H25" s="345" t="n">
        <v>2</v>
      </c>
      <c r="I25" s="345"/>
      <c r="J25" s="319" t="n">
        <v>2</v>
      </c>
      <c r="K25" s="345" t="n">
        <v>2</v>
      </c>
      <c r="L25" s="319" t="n">
        <v>2</v>
      </c>
      <c r="M25" s="345"/>
      <c r="N25" s="345"/>
      <c r="O25" s="319" t="n">
        <v>0</v>
      </c>
      <c r="P25" s="345"/>
      <c r="Q25" s="319" t="n">
        <v>0</v>
      </c>
      <c r="R25" s="345"/>
      <c r="S25" s="345"/>
      <c r="T25" s="319" t="n">
        <v>0</v>
      </c>
      <c r="U25" s="345"/>
      <c r="V25" s="319" t="n">
        <v>0</v>
      </c>
      <c r="W25" s="345"/>
      <c r="X25" s="345"/>
      <c r="Y25" s="319" t="n">
        <v>0</v>
      </c>
      <c r="Z25" s="345"/>
      <c r="AA25" s="319" t="n">
        <v>0</v>
      </c>
    </row>
    <row r="26" customFormat="false" ht="15" hidden="false" customHeight="false" outlineLevel="0" collapsed="false">
      <c r="B26" s="346" t="s">
        <v>2468</v>
      </c>
      <c r="C26" s="345"/>
      <c r="D26" s="345"/>
      <c r="E26" s="319" t="n">
        <v>0</v>
      </c>
      <c r="F26" s="345"/>
      <c r="G26" s="319" t="n">
        <v>0</v>
      </c>
      <c r="H26" s="345" t="n">
        <v>0</v>
      </c>
      <c r="I26" s="345" t="n">
        <v>0</v>
      </c>
      <c r="J26" s="319" t="n">
        <v>0</v>
      </c>
      <c r="K26" s="345" t="n">
        <v>0</v>
      </c>
      <c r="L26" s="319" t="n">
        <v>0</v>
      </c>
      <c r="M26" s="345" t="n">
        <v>3</v>
      </c>
      <c r="N26" s="345" t="n">
        <v>1</v>
      </c>
      <c r="O26" s="319" t="n">
        <v>2</v>
      </c>
      <c r="P26" s="345" t="n">
        <v>3</v>
      </c>
      <c r="Q26" s="319" t="n">
        <v>2</v>
      </c>
      <c r="R26" s="345"/>
      <c r="S26" s="345"/>
      <c r="T26" s="319" t="n">
        <v>0</v>
      </c>
      <c r="U26" s="345"/>
      <c r="V26" s="319" t="n">
        <v>0</v>
      </c>
      <c r="W26" s="345"/>
      <c r="X26" s="345"/>
      <c r="Y26" s="319" t="n">
        <v>0</v>
      </c>
      <c r="Z26" s="345"/>
      <c r="AA26" s="319" t="n">
        <v>0</v>
      </c>
    </row>
    <row r="27" customFormat="false" ht="15" hidden="false" customHeight="false" outlineLevel="0" collapsed="false">
      <c r="B27" s="342" t="s">
        <v>2470</v>
      </c>
      <c r="C27" s="343"/>
      <c r="D27" s="343"/>
      <c r="E27" s="315" t="n">
        <v>0</v>
      </c>
      <c r="F27" s="343"/>
      <c r="G27" s="315" t="n">
        <v>0</v>
      </c>
      <c r="H27" s="343" t="n">
        <v>1</v>
      </c>
      <c r="I27" s="343"/>
      <c r="J27" s="315" t="n">
        <v>1</v>
      </c>
      <c r="K27" s="343" t="n">
        <v>1</v>
      </c>
      <c r="L27" s="315" t="n">
        <v>1</v>
      </c>
      <c r="M27" s="343" t="n">
        <v>2</v>
      </c>
      <c r="N27" s="343"/>
      <c r="O27" s="315" t="n">
        <v>2</v>
      </c>
      <c r="P27" s="343" t="n">
        <v>2</v>
      </c>
      <c r="Q27" s="315" t="n">
        <v>2</v>
      </c>
      <c r="R27" s="343"/>
      <c r="S27" s="343"/>
      <c r="T27" s="315" t="n">
        <v>0</v>
      </c>
      <c r="U27" s="343"/>
      <c r="V27" s="315" t="n">
        <v>0</v>
      </c>
      <c r="W27" s="343"/>
      <c r="X27" s="343"/>
      <c r="Y27" s="315" t="n">
        <v>0</v>
      </c>
      <c r="Z27" s="343"/>
      <c r="AA27" s="315" t="n">
        <v>0</v>
      </c>
    </row>
    <row r="28" customFormat="false" ht="15" hidden="false" customHeight="false" outlineLevel="0" collapsed="false">
      <c r="B28" s="342" t="s">
        <v>1859</v>
      </c>
      <c r="C28" s="343"/>
      <c r="D28" s="343"/>
      <c r="E28" s="315" t="n">
        <v>0</v>
      </c>
      <c r="F28" s="343"/>
      <c r="G28" s="315" t="n">
        <v>0</v>
      </c>
      <c r="H28" s="343" t="n">
        <v>5</v>
      </c>
      <c r="I28" s="343" t="n">
        <v>3</v>
      </c>
      <c r="J28" s="315" t="n">
        <v>2</v>
      </c>
      <c r="K28" s="343" t="n">
        <v>5</v>
      </c>
      <c r="L28" s="315" t="n">
        <v>2</v>
      </c>
      <c r="M28" s="343" t="n">
        <v>13</v>
      </c>
      <c r="N28" s="343" t="n">
        <v>2</v>
      </c>
      <c r="O28" s="315" t="n">
        <v>11</v>
      </c>
      <c r="P28" s="343" t="n">
        <v>13</v>
      </c>
      <c r="Q28" s="315" t="n">
        <v>11</v>
      </c>
      <c r="R28" s="343" t="n">
        <v>7</v>
      </c>
      <c r="S28" s="343" t="n">
        <v>1</v>
      </c>
      <c r="T28" s="315" t="n">
        <v>6</v>
      </c>
      <c r="U28" s="343" t="n">
        <v>7</v>
      </c>
      <c r="V28" s="315" t="n">
        <v>6</v>
      </c>
      <c r="W28" s="343" t="n">
        <v>4</v>
      </c>
      <c r="X28" s="343" t="n">
        <v>2</v>
      </c>
      <c r="Y28" s="315" t="n">
        <v>2</v>
      </c>
      <c r="Z28" s="343" t="n">
        <v>4</v>
      </c>
      <c r="AA28" s="315" t="n">
        <v>2</v>
      </c>
    </row>
    <row r="29" customFormat="false" ht="15" hidden="false" customHeight="false" outlineLevel="0" collapsed="false">
      <c r="B29" s="344" t="s">
        <v>1859</v>
      </c>
      <c r="C29" s="345"/>
      <c r="D29" s="345"/>
      <c r="E29" s="319" t="n">
        <v>0</v>
      </c>
      <c r="F29" s="345"/>
      <c r="G29" s="319" t="n">
        <v>0</v>
      </c>
      <c r="H29" s="345" t="n">
        <v>5</v>
      </c>
      <c r="I29" s="345" t="n">
        <v>3</v>
      </c>
      <c r="J29" s="319" t="n">
        <v>2</v>
      </c>
      <c r="K29" s="345" t="n">
        <v>5</v>
      </c>
      <c r="L29" s="319" t="n">
        <v>2</v>
      </c>
      <c r="M29" s="345"/>
      <c r="N29" s="345"/>
      <c r="O29" s="319" t="n">
        <v>0</v>
      </c>
      <c r="P29" s="345"/>
      <c r="Q29" s="319" t="n">
        <v>0</v>
      </c>
      <c r="R29" s="345" t="n">
        <v>7</v>
      </c>
      <c r="S29" s="345" t="n">
        <v>1</v>
      </c>
      <c r="T29" s="319" t="n">
        <v>6</v>
      </c>
      <c r="U29" s="345" t="n">
        <v>7</v>
      </c>
      <c r="V29" s="319" t="n">
        <v>6</v>
      </c>
      <c r="W29" s="345" t="n">
        <v>4</v>
      </c>
      <c r="X29" s="345" t="n">
        <v>2</v>
      </c>
      <c r="Y29" s="319" t="n">
        <v>2</v>
      </c>
      <c r="Z29" s="345" t="n">
        <v>4</v>
      </c>
      <c r="AA29" s="319" t="n">
        <v>2</v>
      </c>
    </row>
    <row r="30" customFormat="false" ht="15" hidden="false" customHeight="false" outlineLevel="0" collapsed="false">
      <c r="B30" s="346" t="s">
        <v>2468</v>
      </c>
      <c r="C30" s="345"/>
      <c r="D30" s="345"/>
      <c r="E30" s="319" t="n">
        <v>0</v>
      </c>
      <c r="F30" s="345"/>
      <c r="G30" s="319" t="n">
        <v>0</v>
      </c>
      <c r="H30" s="345"/>
      <c r="I30" s="345"/>
      <c r="J30" s="319" t="n">
        <v>0</v>
      </c>
      <c r="K30" s="345"/>
      <c r="L30" s="319" t="n">
        <v>0</v>
      </c>
      <c r="M30" s="345" t="n">
        <v>13</v>
      </c>
      <c r="N30" s="345" t="n">
        <v>2</v>
      </c>
      <c r="O30" s="319" t="n">
        <v>11</v>
      </c>
      <c r="P30" s="345" t="n">
        <v>13</v>
      </c>
      <c r="Q30" s="319" t="n">
        <v>11</v>
      </c>
      <c r="R30" s="345"/>
      <c r="S30" s="345"/>
      <c r="T30" s="319" t="n">
        <v>0</v>
      </c>
      <c r="U30" s="345"/>
      <c r="V30" s="319" t="n">
        <v>0</v>
      </c>
      <c r="W30" s="345"/>
      <c r="X30" s="345"/>
      <c r="Y30" s="319" t="n">
        <v>0</v>
      </c>
      <c r="Z30" s="345"/>
      <c r="AA30" s="319" t="n">
        <v>0</v>
      </c>
    </row>
    <row r="31" customFormat="false" ht="15" hidden="false" customHeight="false" outlineLevel="0" collapsed="false">
      <c r="B31" s="342" t="s">
        <v>2472</v>
      </c>
      <c r="C31" s="343" t="n">
        <v>2</v>
      </c>
      <c r="D31" s="343" t="n">
        <v>2</v>
      </c>
      <c r="E31" s="315" t="n">
        <v>0</v>
      </c>
      <c r="F31" s="343" t="n">
        <v>2</v>
      </c>
      <c r="G31" s="315" t="n">
        <v>0</v>
      </c>
      <c r="H31" s="343"/>
      <c r="I31" s="343"/>
      <c r="J31" s="315" t="n">
        <v>0</v>
      </c>
      <c r="K31" s="343"/>
      <c r="L31" s="315" t="n">
        <v>0</v>
      </c>
      <c r="M31" s="343"/>
      <c r="N31" s="343"/>
      <c r="O31" s="315" t="n">
        <v>0</v>
      </c>
      <c r="P31" s="343"/>
      <c r="Q31" s="315" t="n">
        <v>0</v>
      </c>
      <c r="R31" s="343"/>
      <c r="S31" s="343"/>
      <c r="T31" s="315" t="n">
        <v>0</v>
      </c>
      <c r="U31" s="343"/>
      <c r="V31" s="315" t="n">
        <v>0</v>
      </c>
      <c r="W31" s="343"/>
      <c r="X31" s="343"/>
      <c r="Y31" s="315" t="n">
        <v>0</v>
      </c>
      <c r="Z31" s="343"/>
      <c r="AA31" s="315" t="n">
        <v>0</v>
      </c>
    </row>
    <row r="32" customFormat="false" ht="15" hidden="false" customHeight="false" outlineLevel="0" collapsed="false">
      <c r="B32" s="339" t="s">
        <v>615</v>
      </c>
      <c r="C32" s="338"/>
      <c r="D32" s="338"/>
      <c r="E32" s="307" t="n">
        <v>0</v>
      </c>
      <c r="F32" s="338"/>
      <c r="G32" s="307" t="n">
        <v>0</v>
      </c>
      <c r="H32" s="338" t="n">
        <v>1</v>
      </c>
      <c r="I32" s="338" t="n">
        <v>1</v>
      </c>
      <c r="J32" s="307" t="n">
        <v>0</v>
      </c>
      <c r="K32" s="338" t="n">
        <v>1</v>
      </c>
      <c r="L32" s="307" t="n">
        <v>0</v>
      </c>
      <c r="M32" s="338" t="n">
        <v>1</v>
      </c>
      <c r="N32" s="338"/>
      <c r="O32" s="307" t="n">
        <v>1</v>
      </c>
      <c r="P32" s="338" t="n">
        <v>1</v>
      </c>
      <c r="Q32" s="307" t="n">
        <v>1</v>
      </c>
      <c r="R32" s="338"/>
      <c r="S32" s="338"/>
      <c r="T32" s="307" t="n">
        <v>0</v>
      </c>
      <c r="U32" s="338"/>
      <c r="V32" s="307" t="n">
        <v>0</v>
      </c>
      <c r="W32" s="338"/>
      <c r="X32" s="338"/>
      <c r="Y32" s="307" t="n">
        <v>0</v>
      </c>
      <c r="Z32" s="338"/>
      <c r="AA32" s="307" t="n">
        <v>0</v>
      </c>
    </row>
    <row r="33" customFormat="false" ht="15" hidden="false" customHeight="false" outlineLevel="0" collapsed="false">
      <c r="B33" s="339" t="s">
        <v>2474</v>
      </c>
      <c r="C33" s="338"/>
      <c r="D33" s="338"/>
      <c r="E33" s="307" t="n">
        <v>0</v>
      </c>
      <c r="F33" s="338"/>
      <c r="G33" s="307" t="n">
        <v>0</v>
      </c>
      <c r="H33" s="338"/>
      <c r="I33" s="338"/>
      <c r="J33" s="307" t="n">
        <v>0</v>
      </c>
      <c r="K33" s="338"/>
      <c r="L33" s="307" t="n">
        <v>0</v>
      </c>
      <c r="M33" s="338"/>
      <c r="N33" s="338"/>
      <c r="O33" s="307" t="n">
        <v>0</v>
      </c>
      <c r="P33" s="338"/>
      <c r="Q33" s="307" t="n">
        <v>0</v>
      </c>
      <c r="R33" s="338"/>
      <c r="S33" s="338"/>
      <c r="T33" s="307" t="n">
        <v>0</v>
      </c>
      <c r="U33" s="338"/>
      <c r="V33" s="307" t="n">
        <v>0</v>
      </c>
      <c r="W33" s="338" t="n">
        <v>1</v>
      </c>
      <c r="X33" s="338" t="n">
        <v>1</v>
      </c>
      <c r="Y33" s="307" t="n">
        <v>0</v>
      </c>
      <c r="Z33" s="338" t="n">
        <v>1</v>
      </c>
      <c r="AA33" s="307" t="n">
        <v>0</v>
      </c>
    </row>
    <row r="34" customFormat="false" ht="15" hidden="false" customHeight="false" outlineLevel="0" collapsed="false">
      <c r="B34" s="339" t="s">
        <v>2476</v>
      </c>
      <c r="C34" s="338" t="n">
        <v>1</v>
      </c>
      <c r="D34" s="338" t="n">
        <v>1</v>
      </c>
      <c r="E34" s="307" t="n">
        <v>0</v>
      </c>
      <c r="F34" s="338" t="n">
        <v>1</v>
      </c>
      <c r="G34" s="307" t="n">
        <v>0</v>
      </c>
      <c r="H34" s="338"/>
      <c r="I34" s="338"/>
      <c r="J34" s="307" t="n">
        <v>0</v>
      </c>
      <c r="K34" s="338"/>
      <c r="L34" s="307" t="n">
        <v>0</v>
      </c>
      <c r="M34" s="338" t="n">
        <v>1</v>
      </c>
      <c r="N34" s="338"/>
      <c r="O34" s="307" t="n">
        <v>1</v>
      </c>
      <c r="P34" s="338" t="n">
        <v>1</v>
      </c>
      <c r="Q34" s="307" t="n">
        <v>1</v>
      </c>
      <c r="R34" s="338"/>
      <c r="S34" s="338"/>
      <c r="T34" s="307" t="n">
        <v>0</v>
      </c>
      <c r="U34" s="338"/>
      <c r="V34" s="307" t="n">
        <v>0</v>
      </c>
      <c r="W34" s="338" t="n">
        <v>3</v>
      </c>
      <c r="X34" s="338"/>
      <c r="Y34" s="307" t="n">
        <v>3</v>
      </c>
      <c r="Z34" s="338" t="n">
        <v>3</v>
      </c>
      <c r="AA34" s="307" t="n">
        <v>3</v>
      </c>
    </row>
    <row r="35" customFormat="false" ht="15" hidden="false" customHeight="false" outlineLevel="0" collapsed="false">
      <c r="B35" s="335" t="s">
        <v>2481</v>
      </c>
      <c r="C35" s="302" t="n">
        <v>12</v>
      </c>
      <c r="D35" s="302" t="n">
        <v>11</v>
      </c>
      <c r="E35" s="302" t="n">
        <v>1</v>
      </c>
      <c r="F35" s="302" t="n">
        <v>12</v>
      </c>
      <c r="G35" s="302" t="n">
        <v>1</v>
      </c>
      <c r="H35" s="302" t="n">
        <v>13</v>
      </c>
      <c r="I35" s="302" t="n">
        <v>7</v>
      </c>
      <c r="J35" s="302" t="n">
        <v>6</v>
      </c>
      <c r="K35" s="302" t="n">
        <v>13</v>
      </c>
      <c r="L35" s="302" t="n">
        <v>6</v>
      </c>
      <c r="M35" s="302" t="n">
        <v>32</v>
      </c>
      <c r="N35" s="302" t="n">
        <v>6</v>
      </c>
      <c r="O35" s="302" t="n">
        <v>26</v>
      </c>
      <c r="P35" s="302" t="n">
        <v>32</v>
      </c>
      <c r="Q35" s="302" t="n">
        <v>26</v>
      </c>
      <c r="R35" s="302" t="n">
        <v>7</v>
      </c>
      <c r="S35" s="302" t="n">
        <v>1</v>
      </c>
      <c r="T35" s="302" t="n">
        <v>6</v>
      </c>
      <c r="U35" s="302" t="n">
        <v>7</v>
      </c>
      <c r="V35" s="302" t="n">
        <v>6</v>
      </c>
      <c r="W35" s="302" t="n">
        <v>22</v>
      </c>
      <c r="X35" s="302" t="n">
        <v>6</v>
      </c>
      <c r="Y35" s="302" t="n">
        <v>16</v>
      </c>
      <c r="Z35" s="302" t="n">
        <v>22</v>
      </c>
      <c r="AA35" s="302" t="n">
        <v>16</v>
      </c>
    </row>
  </sheetData>
  <mergeCells count="6">
    <mergeCell ref="C4:Y4"/>
    <mergeCell ref="C5:G5"/>
    <mergeCell ref="H5:L5"/>
    <mergeCell ref="M5:Q5"/>
    <mergeCell ref="R5:V5"/>
    <mergeCell ref="W5:AA5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J10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77.86"/>
    <col collapsed="false" customWidth="true" hidden="false" outlineLevel="0" max="3" min="3" style="0" width="21.57"/>
    <col collapsed="false" customWidth="true" hidden="false" outlineLevel="0" max="4" min="4" style="0" width="16.43"/>
    <col collapsed="false" customWidth="true" hidden="false" outlineLevel="0" max="8" min="8" style="0" width="21.57"/>
  </cols>
  <sheetData>
    <row r="1" customFormat="false" ht="15" hidden="false" customHeight="false" outlineLevel="0" collapsed="false">
      <c r="A1" s="185" t="s">
        <v>1</v>
      </c>
    </row>
    <row r="2" customFormat="false" ht="18.75" hidden="false" customHeight="true" outlineLevel="0" collapsed="false">
      <c r="B2" s="128" t="s">
        <v>2497</v>
      </c>
      <c r="J2" s="126" t="s">
        <v>1705</v>
      </c>
    </row>
    <row r="3" customFormat="false" ht="18.75" hidden="false" customHeight="true" outlineLevel="0" collapsed="false">
      <c r="B3" s="289" t="s">
        <v>2498</v>
      </c>
    </row>
    <row r="4" customFormat="false" ht="19.5" hidden="false" customHeight="true" outlineLevel="0" collapsed="false">
      <c r="B4" s="289"/>
    </row>
    <row r="5" customFormat="false" ht="20.25" hidden="false" customHeight="true" outlineLevel="0" collapsed="false">
      <c r="B5" s="347"/>
      <c r="C5" s="348" t="s">
        <v>2499</v>
      </c>
      <c r="D5" s="349" t="s">
        <v>2500</v>
      </c>
      <c r="E5" s="349"/>
      <c r="F5" s="349"/>
      <c r="G5" s="349"/>
      <c r="H5" s="348" t="s">
        <v>2501</v>
      </c>
    </row>
    <row r="6" customFormat="false" ht="56.25" hidden="false" customHeight="true" outlineLevel="0" collapsed="false">
      <c r="B6" s="347"/>
      <c r="C6" s="347"/>
      <c r="D6" s="350" t="s">
        <v>2502</v>
      </c>
      <c r="E6" s="349" t="s">
        <v>2503</v>
      </c>
      <c r="F6" s="349" t="s">
        <v>2504</v>
      </c>
      <c r="G6" s="349" t="s">
        <v>2505</v>
      </c>
      <c r="H6" s="348"/>
    </row>
    <row r="7" customFormat="false" ht="15.75" hidden="false" customHeight="true" outlineLevel="0" collapsed="false">
      <c r="B7" s="351" t="s">
        <v>2506</v>
      </c>
      <c r="C7" s="352" t="n">
        <v>918</v>
      </c>
      <c r="D7" s="352" t="n">
        <v>7</v>
      </c>
      <c r="E7" s="352" t="n">
        <v>-1</v>
      </c>
      <c r="F7" s="352" t="n">
        <v>0</v>
      </c>
      <c r="G7" s="352" t="n">
        <v>0</v>
      </c>
      <c r="H7" s="352" t="n">
        <v>924</v>
      </c>
    </row>
    <row r="8" customFormat="false" ht="15" hidden="false" customHeight="false" outlineLevel="0" collapsed="false">
      <c r="B8" s="353" t="s">
        <v>1961</v>
      </c>
      <c r="C8" s="354" t="n">
        <v>317</v>
      </c>
      <c r="D8" s="355" t="n">
        <v>2</v>
      </c>
      <c r="E8" s="354" t="n">
        <v>0</v>
      </c>
      <c r="F8" s="354" t="n">
        <v>0</v>
      </c>
      <c r="G8" s="354" t="n">
        <v>0</v>
      </c>
      <c r="H8" s="354" t="n">
        <v>319</v>
      </c>
    </row>
    <row r="9" customFormat="false" ht="15" hidden="false" customHeight="false" outlineLevel="0" collapsed="false">
      <c r="B9" s="356" t="s">
        <v>2457</v>
      </c>
      <c r="C9" s="357" t="n">
        <v>139</v>
      </c>
      <c r="D9" s="358" t="n">
        <v>2</v>
      </c>
      <c r="E9" s="358" t="n">
        <v>0</v>
      </c>
      <c r="F9" s="358" t="n">
        <v>0</v>
      </c>
      <c r="G9" s="358" t="n">
        <v>0</v>
      </c>
      <c r="H9" s="357" t="n">
        <v>141</v>
      </c>
    </row>
    <row r="10" customFormat="false" ht="15" hidden="false" customHeight="false" outlineLevel="0" collapsed="false">
      <c r="B10" s="310" t="s">
        <v>2458</v>
      </c>
      <c r="C10" s="359" t="n">
        <v>8</v>
      </c>
      <c r="D10" s="358" t="n">
        <v>0</v>
      </c>
      <c r="E10" s="358" t="n">
        <v>0</v>
      </c>
      <c r="F10" s="358" t="n">
        <v>0</v>
      </c>
      <c r="G10" s="358" t="n">
        <v>0</v>
      </c>
      <c r="H10" s="359" t="n">
        <v>8</v>
      </c>
    </row>
    <row r="11" customFormat="false" ht="15" hidden="true" customHeight="false" outlineLevel="0" collapsed="false">
      <c r="B11" s="360" t="s">
        <v>2507</v>
      </c>
      <c r="C11" s="359" t="n">
        <v>1</v>
      </c>
      <c r="D11" s="358" t="n">
        <v>0</v>
      </c>
      <c r="E11" s="358" t="n">
        <v>0</v>
      </c>
      <c r="F11" s="358" t="n">
        <v>0</v>
      </c>
      <c r="G11" s="358" t="n">
        <v>0</v>
      </c>
      <c r="H11" s="359" t="n">
        <v>1</v>
      </c>
    </row>
    <row r="12" customFormat="false" ht="15" hidden="true" customHeight="false" outlineLevel="0" collapsed="false">
      <c r="B12" s="360" t="s">
        <v>2508</v>
      </c>
      <c r="C12" s="359" t="n">
        <v>1</v>
      </c>
      <c r="D12" s="358" t="n">
        <v>0</v>
      </c>
      <c r="E12" s="358" t="n">
        <v>0</v>
      </c>
      <c r="F12" s="358" t="n">
        <v>0</v>
      </c>
      <c r="G12" s="358" t="n">
        <v>0</v>
      </c>
      <c r="H12" s="359" t="n">
        <v>1</v>
      </c>
    </row>
    <row r="13" customFormat="false" ht="15" hidden="true" customHeight="false" outlineLevel="0" collapsed="false">
      <c r="B13" s="360" t="s">
        <v>2509</v>
      </c>
      <c r="C13" s="359" t="n">
        <v>1</v>
      </c>
      <c r="D13" s="358" t="n">
        <v>0</v>
      </c>
      <c r="E13" s="358" t="n">
        <v>0</v>
      </c>
      <c r="F13" s="358" t="n">
        <v>0</v>
      </c>
      <c r="G13" s="358" t="n">
        <v>0</v>
      </c>
      <c r="H13" s="359" t="n">
        <v>1</v>
      </c>
    </row>
    <row r="14" customFormat="false" ht="15" hidden="true" customHeight="false" outlineLevel="0" collapsed="false">
      <c r="B14" s="360" t="s">
        <v>2510</v>
      </c>
      <c r="C14" s="359" t="n">
        <v>1</v>
      </c>
      <c r="D14" s="358" t="n">
        <v>0</v>
      </c>
      <c r="E14" s="358" t="n">
        <v>0</v>
      </c>
      <c r="F14" s="358" t="n">
        <v>0</v>
      </c>
      <c r="G14" s="358" t="n">
        <v>0</v>
      </c>
      <c r="H14" s="359" t="n">
        <v>1</v>
      </c>
    </row>
    <row r="15" customFormat="false" ht="15" hidden="true" customHeight="false" outlineLevel="0" collapsed="false">
      <c r="B15" s="360" t="s">
        <v>2511</v>
      </c>
      <c r="C15" s="359" t="n">
        <v>1</v>
      </c>
      <c r="D15" s="358" t="n">
        <v>0</v>
      </c>
      <c r="E15" s="358" t="n">
        <v>0</v>
      </c>
      <c r="F15" s="358" t="n">
        <v>0</v>
      </c>
      <c r="G15" s="358" t="n">
        <v>0</v>
      </c>
      <c r="H15" s="359" t="n">
        <v>1</v>
      </c>
    </row>
    <row r="16" customFormat="false" ht="15" hidden="true" customHeight="false" outlineLevel="0" collapsed="false">
      <c r="B16" s="360" t="s">
        <v>2512</v>
      </c>
      <c r="C16" s="359" t="n">
        <v>1</v>
      </c>
      <c r="D16" s="358" t="n">
        <v>0</v>
      </c>
      <c r="E16" s="358" t="n">
        <v>0</v>
      </c>
      <c r="F16" s="358" t="n">
        <v>0</v>
      </c>
      <c r="G16" s="358" t="n">
        <v>0</v>
      </c>
      <c r="H16" s="359" t="n">
        <v>1</v>
      </c>
    </row>
    <row r="17" customFormat="false" ht="15" hidden="true" customHeight="false" outlineLevel="0" collapsed="false">
      <c r="B17" s="360" t="s">
        <v>2513</v>
      </c>
      <c r="C17" s="359" t="n">
        <v>1</v>
      </c>
      <c r="D17" s="358" t="n">
        <v>0</v>
      </c>
      <c r="E17" s="358" t="n">
        <v>0</v>
      </c>
      <c r="F17" s="358" t="n">
        <v>0</v>
      </c>
      <c r="G17" s="358" t="n">
        <v>0</v>
      </c>
      <c r="H17" s="359" t="n">
        <v>1</v>
      </c>
    </row>
    <row r="18" customFormat="false" ht="15" hidden="true" customHeight="false" outlineLevel="0" collapsed="false">
      <c r="B18" s="360" t="s">
        <v>2514</v>
      </c>
      <c r="C18" s="359" t="n">
        <v>1</v>
      </c>
      <c r="D18" s="358" t="n">
        <v>0</v>
      </c>
      <c r="E18" s="358" t="n">
        <v>0</v>
      </c>
      <c r="F18" s="358" t="n">
        <v>0</v>
      </c>
      <c r="G18" s="358" t="n">
        <v>0</v>
      </c>
      <c r="H18" s="359" t="n">
        <v>1</v>
      </c>
    </row>
    <row r="19" customFormat="false" ht="15" hidden="false" customHeight="false" outlineLevel="0" collapsed="false">
      <c r="B19" s="310" t="s">
        <v>2459</v>
      </c>
      <c r="C19" s="359" t="n">
        <v>24</v>
      </c>
      <c r="D19" s="358" t="n">
        <v>0</v>
      </c>
      <c r="E19" s="358" t="n">
        <v>0</v>
      </c>
      <c r="F19" s="358" t="n">
        <v>0</v>
      </c>
      <c r="G19" s="358" t="n">
        <v>0</v>
      </c>
      <c r="H19" s="359" t="n">
        <v>24</v>
      </c>
    </row>
    <row r="20" customFormat="false" ht="15" hidden="true" customHeight="false" outlineLevel="0" collapsed="false">
      <c r="B20" s="360" t="s">
        <v>2515</v>
      </c>
      <c r="C20" s="359" t="n">
        <v>1</v>
      </c>
      <c r="D20" s="358" t="n">
        <v>0</v>
      </c>
      <c r="E20" s="358" t="n">
        <v>0</v>
      </c>
      <c r="F20" s="358" t="n">
        <v>0</v>
      </c>
      <c r="G20" s="358" t="n">
        <v>0</v>
      </c>
      <c r="H20" s="359" t="n">
        <v>1</v>
      </c>
    </row>
    <row r="21" customFormat="false" ht="15" hidden="true" customHeight="false" outlineLevel="0" collapsed="false">
      <c r="B21" s="360" t="s">
        <v>2516</v>
      </c>
      <c r="C21" s="359" t="n">
        <v>1</v>
      </c>
      <c r="D21" s="358" t="n">
        <v>0</v>
      </c>
      <c r="E21" s="358" t="n">
        <v>0</v>
      </c>
      <c r="F21" s="358" t="n">
        <v>0</v>
      </c>
      <c r="G21" s="358" t="n">
        <v>0</v>
      </c>
      <c r="H21" s="359" t="n">
        <v>1</v>
      </c>
    </row>
    <row r="22" customFormat="false" ht="15" hidden="true" customHeight="false" outlineLevel="0" collapsed="false">
      <c r="B22" s="360" t="s">
        <v>2517</v>
      </c>
      <c r="C22" s="359" t="n">
        <v>1</v>
      </c>
      <c r="D22" s="358" t="n">
        <v>0</v>
      </c>
      <c r="E22" s="358" t="n">
        <v>0</v>
      </c>
      <c r="F22" s="358" t="n">
        <v>0</v>
      </c>
      <c r="G22" s="358" t="n">
        <v>0</v>
      </c>
      <c r="H22" s="359" t="n">
        <v>1</v>
      </c>
    </row>
    <row r="23" customFormat="false" ht="15" hidden="true" customHeight="false" outlineLevel="0" collapsed="false">
      <c r="B23" s="360" t="s">
        <v>2518</v>
      </c>
      <c r="C23" s="359" t="n">
        <v>1</v>
      </c>
      <c r="D23" s="358" t="n">
        <v>0</v>
      </c>
      <c r="E23" s="358" t="n">
        <v>0</v>
      </c>
      <c r="F23" s="358" t="n">
        <v>0</v>
      </c>
      <c r="G23" s="358" t="n">
        <v>0</v>
      </c>
      <c r="H23" s="359" t="n">
        <v>1</v>
      </c>
    </row>
    <row r="24" customFormat="false" ht="15" hidden="true" customHeight="false" outlineLevel="0" collapsed="false">
      <c r="B24" s="360" t="s">
        <v>2519</v>
      </c>
      <c r="C24" s="359" t="n">
        <v>1</v>
      </c>
      <c r="D24" s="358" t="n">
        <v>0</v>
      </c>
      <c r="E24" s="358" t="n">
        <v>0</v>
      </c>
      <c r="F24" s="358" t="n">
        <v>0</v>
      </c>
      <c r="G24" s="358" t="n">
        <v>0</v>
      </c>
      <c r="H24" s="359" t="n">
        <v>1</v>
      </c>
    </row>
    <row r="25" customFormat="false" ht="15" hidden="true" customHeight="false" outlineLevel="0" collapsed="false">
      <c r="B25" s="360" t="s">
        <v>2520</v>
      </c>
      <c r="C25" s="359" t="n">
        <v>1</v>
      </c>
      <c r="D25" s="358" t="n">
        <v>0</v>
      </c>
      <c r="E25" s="358" t="n">
        <v>0</v>
      </c>
      <c r="F25" s="358" t="n">
        <v>0</v>
      </c>
      <c r="G25" s="358" t="n">
        <v>0</v>
      </c>
      <c r="H25" s="359" t="n">
        <v>1</v>
      </c>
    </row>
    <row r="26" customFormat="false" ht="15" hidden="true" customHeight="false" outlineLevel="0" collapsed="false">
      <c r="B26" s="360" t="s">
        <v>2521</v>
      </c>
      <c r="C26" s="359" t="n">
        <v>1</v>
      </c>
      <c r="D26" s="358" t="n">
        <v>0</v>
      </c>
      <c r="E26" s="358" t="n">
        <v>0</v>
      </c>
      <c r="F26" s="358" t="n">
        <v>0</v>
      </c>
      <c r="G26" s="358" t="n">
        <v>0</v>
      </c>
      <c r="H26" s="359" t="n">
        <v>1</v>
      </c>
    </row>
    <row r="27" customFormat="false" ht="15" hidden="true" customHeight="false" outlineLevel="0" collapsed="false">
      <c r="B27" s="360" t="s">
        <v>2522</v>
      </c>
      <c r="C27" s="359" t="n">
        <v>1</v>
      </c>
      <c r="D27" s="358" t="n">
        <v>0</v>
      </c>
      <c r="E27" s="358" t="n">
        <v>0</v>
      </c>
      <c r="F27" s="358" t="n">
        <v>0</v>
      </c>
      <c r="G27" s="358" t="n">
        <v>0</v>
      </c>
      <c r="H27" s="359" t="n">
        <v>1</v>
      </c>
    </row>
    <row r="28" customFormat="false" ht="15" hidden="true" customHeight="false" outlineLevel="0" collapsed="false">
      <c r="B28" s="360" t="s">
        <v>2523</v>
      </c>
      <c r="C28" s="359" t="n">
        <v>1</v>
      </c>
      <c r="D28" s="358" t="n">
        <v>0</v>
      </c>
      <c r="E28" s="358" t="n">
        <v>0</v>
      </c>
      <c r="F28" s="358" t="n">
        <v>0</v>
      </c>
      <c r="G28" s="358" t="n">
        <v>0</v>
      </c>
      <c r="H28" s="359" t="n">
        <v>1</v>
      </c>
    </row>
    <row r="29" customFormat="false" ht="15" hidden="true" customHeight="false" outlineLevel="0" collapsed="false">
      <c r="B29" s="360" t="s">
        <v>2524</v>
      </c>
      <c r="C29" s="359" t="n">
        <v>1</v>
      </c>
      <c r="D29" s="358" t="n">
        <v>0</v>
      </c>
      <c r="E29" s="358" t="n">
        <v>0</v>
      </c>
      <c r="F29" s="358" t="n">
        <v>0</v>
      </c>
      <c r="G29" s="358" t="n">
        <v>0</v>
      </c>
      <c r="H29" s="359" t="n">
        <v>1</v>
      </c>
    </row>
    <row r="30" customFormat="false" ht="15" hidden="true" customHeight="false" outlineLevel="0" collapsed="false">
      <c r="B30" s="360" t="s">
        <v>2525</v>
      </c>
      <c r="C30" s="359" t="n">
        <v>1</v>
      </c>
      <c r="D30" s="358" t="n">
        <v>0</v>
      </c>
      <c r="E30" s="358" t="n">
        <v>0</v>
      </c>
      <c r="F30" s="358" t="n">
        <v>0</v>
      </c>
      <c r="G30" s="358" t="n">
        <v>0</v>
      </c>
      <c r="H30" s="359" t="n">
        <v>1</v>
      </c>
    </row>
    <row r="31" customFormat="false" ht="15" hidden="true" customHeight="false" outlineLevel="0" collapsed="false">
      <c r="B31" s="360" t="s">
        <v>2526</v>
      </c>
      <c r="C31" s="359" t="n">
        <v>1</v>
      </c>
      <c r="D31" s="358" t="n">
        <v>0</v>
      </c>
      <c r="E31" s="358" t="n">
        <v>0</v>
      </c>
      <c r="F31" s="358" t="n">
        <v>0</v>
      </c>
      <c r="G31" s="358" t="n">
        <v>0</v>
      </c>
      <c r="H31" s="359" t="n">
        <v>1</v>
      </c>
    </row>
    <row r="32" customFormat="false" ht="15" hidden="true" customHeight="false" outlineLevel="0" collapsed="false">
      <c r="B32" s="360" t="s">
        <v>2527</v>
      </c>
      <c r="C32" s="359" t="n">
        <v>1</v>
      </c>
      <c r="D32" s="358" t="n">
        <v>0</v>
      </c>
      <c r="E32" s="358" t="n">
        <v>0</v>
      </c>
      <c r="F32" s="358" t="n">
        <v>0</v>
      </c>
      <c r="G32" s="358" t="n">
        <v>0</v>
      </c>
      <c r="H32" s="359" t="n">
        <v>1</v>
      </c>
    </row>
    <row r="33" customFormat="false" ht="15" hidden="true" customHeight="false" outlineLevel="0" collapsed="false">
      <c r="B33" s="360" t="s">
        <v>2528</v>
      </c>
      <c r="C33" s="359" t="n">
        <v>1</v>
      </c>
      <c r="D33" s="358" t="n">
        <v>0</v>
      </c>
      <c r="E33" s="358" t="n">
        <v>0</v>
      </c>
      <c r="F33" s="358" t="n">
        <v>0</v>
      </c>
      <c r="G33" s="358" t="n">
        <v>0</v>
      </c>
      <c r="H33" s="359" t="n">
        <v>1</v>
      </c>
    </row>
    <row r="34" customFormat="false" ht="15" hidden="true" customHeight="false" outlineLevel="0" collapsed="false">
      <c r="B34" s="360" t="s">
        <v>2529</v>
      </c>
      <c r="C34" s="359" t="n">
        <v>1</v>
      </c>
      <c r="D34" s="358" t="n">
        <v>0</v>
      </c>
      <c r="E34" s="358" t="n">
        <v>0</v>
      </c>
      <c r="F34" s="358" t="n">
        <v>0</v>
      </c>
      <c r="G34" s="358" t="n">
        <v>0</v>
      </c>
      <c r="H34" s="359" t="n">
        <v>1</v>
      </c>
    </row>
    <row r="35" customFormat="false" ht="15" hidden="true" customHeight="false" outlineLevel="0" collapsed="false">
      <c r="B35" s="360" t="s">
        <v>2530</v>
      </c>
      <c r="C35" s="359" t="n">
        <v>1</v>
      </c>
      <c r="D35" s="358" t="n">
        <v>0</v>
      </c>
      <c r="E35" s="358" t="n">
        <v>0</v>
      </c>
      <c r="F35" s="358" t="n">
        <v>0</v>
      </c>
      <c r="G35" s="358" t="n">
        <v>0</v>
      </c>
      <c r="H35" s="359" t="n">
        <v>1</v>
      </c>
    </row>
    <row r="36" customFormat="false" ht="15" hidden="true" customHeight="false" outlineLevel="0" collapsed="false">
      <c r="B36" s="360" t="s">
        <v>2531</v>
      </c>
      <c r="C36" s="359" t="n">
        <v>1</v>
      </c>
      <c r="D36" s="358" t="n">
        <v>0</v>
      </c>
      <c r="E36" s="358" t="n">
        <v>0</v>
      </c>
      <c r="F36" s="358" t="n">
        <v>0</v>
      </c>
      <c r="G36" s="358" t="n">
        <v>0</v>
      </c>
      <c r="H36" s="359" t="n">
        <v>1</v>
      </c>
    </row>
    <row r="37" customFormat="false" ht="15" hidden="true" customHeight="false" outlineLevel="0" collapsed="false">
      <c r="B37" s="360" t="s">
        <v>2532</v>
      </c>
      <c r="C37" s="359" t="n">
        <v>1</v>
      </c>
      <c r="D37" s="358" t="n">
        <v>0</v>
      </c>
      <c r="E37" s="358" t="n">
        <v>0</v>
      </c>
      <c r="F37" s="358" t="n">
        <v>0</v>
      </c>
      <c r="G37" s="358" t="n">
        <v>0</v>
      </c>
      <c r="H37" s="359" t="n">
        <v>1</v>
      </c>
    </row>
    <row r="38" customFormat="false" ht="15" hidden="true" customHeight="false" outlineLevel="0" collapsed="false">
      <c r="B38" s="360" t="s">
        <v>2533</v>
      </c>
      <c r="C38" s="359" t="n">
        <v>1</v>
      </c>
      <c r="D38" s="358" t="n">
        <v>0</v>
      </c>
      <c r="E38" s="358" t="n">
        <v>0</v>
      </c>
      <c r="F38" s="358" t="n">
        <v>0</v>
      </c>
      <c r="G38" s="358" t="n">
        <v>0</v>
      </c>
      <c r="H38" s="359" t="n">
        <v>1</v>
      </c>
    </row>
    <row r="39" customFormat="false" ht="15" hidden="true" customHeight="false" outlineLevel="0" collapsed="false">
      <c r="B39" s="360" t="s">
        <v>2534</v>
      </c>
      <c r="C39" s="359" t="n">
        <v>1</v>
      </c>
      <c r="D39" s="358" t="n">
        <v>0</v>
      </c>
      <c r="E39" s="358" t="n">
        <v>0</v>
      </c>
      <c r="F39" s="358" t="n">
        <v>0</v>
      </c>
      <c r="G39" s="358" t="n">
        <v>0</v>
      </c>
      <c r="H39" s="359" t="n">
        <v>1</v>
      </c>
    </row>
    <row r="40" customFormat="false" ht="15" hidden="true" customHeight="false" outlineLevel="0" collapsed="false">
      <c r="B40" s="360" t="s">
        <v>2535</v>
      </c>
      <c r="C40" s="359" t="n">
        <v>1</v>
      </c>
      <c r="D40" s="358" t="n">
        <v>0</v>
      </c>
      <c r="E40" s="358" t="n">
        <v>0</v>
      </c>
      <c r="F40" s="358" t="n">
        <v>0</v>
      </c>
      <c r="G40" s="358" t="n">
        <v>0</v>
      </c>
      <c r="H40" s="359" t="n">
        <v>1</v>
      </c>
    </row>
    <row r="41" customFormat="false" ht="15" hidden="true" customHeight="false" outlineLevel="0" collapsed="false">
      <c r="B41" s="360" t="s">
        <v>2536</v>
      </c>
      <c r="C41" s="359" t="n">
        <v>1</v>
      </c>
      <c r="D41" s="358" t="n">
        <v>0</v>
      </c>
      <c r="E41" s="358" t="n">
        <v>0</v>
      </c>
      <c r="F41" s="358" t="n">
        <v>0</v>
      </c>
      <c r="G41" s="358" t="n">
        <v>0</v>
      </c>
      <c r="H41" s="359" t="n">
        <v>1</v>
      </c>
    </row>
    <row r="42" customFormat="false" ht="15" hidden="true" customHeight="false" outlineLevel="0" collapsed="false">
      <c r="B42" s="360" t="s">
        <v>2537</v>
      </c>
      <c r="C42" s="359" t="n">
        <v>1</v>
      </c>
      <c r="D42" s="358" t="n">
        <v>0</v>
      </c>
      <c r="E42" s="358" t="n">
        <v>0</v>
      </c>
      <c r="F42" s="358" t="n">
        <v>0</v>
      </c>
      <c r="G42" s="358" t="n">
        <v>0</v>
      </c>
      <c r="H42" s="359" t="n">
        <v>1</v>
      </c>
    </row>
    <row r="43" customFormat="false" ht="15" hidden="true" customHeight="false" outlineLevel="0" collapsed="false">
      <c r="B43" s="360" t="s">
        <v>2538</v>
      </c>
      <c r="C43" s="359" t="n">
        <v>1</v>
      </c>
      <c r="D43" s="358" t="n">
        <v>0</v>
      </c>
      <c r="E43" s="358" t="n">
        <v>0</v>
      </c>
      <c r="F43" s="358" t="n">
        <v>0</v>
      </c>
      <c r="G43" s="358" t="n">
        <v>0</v>
      </c>
      <c r="H43" s="359" t="n">
        <v>1</v>
      </c>
    </row>
    <row r="44" customFormat="false" ht="15" hidden="false" customHeight="false" outlineLevel="0" collapsed="false">
      <c r="B44" s="310" t="s">
        <v>1411</v>
      </c>
      <c r="C44" s="359" t="n">
        <v>41</v>
      </c>
      <c r="D44" s="358" t="n">
        <v>0</v>
      </c>
      <c r="E44" s="358" t="n">
        <v>0</v>
      </c>
      <c r="F44" s="358" t="n">
        <v>0</v>
      </c>
      <c r="G44" s="358" t="n">
        <v>0</v>
      </c>
      <c r="H44" s="359" t="n">
        <v>41</v>
      </c>
    </row>
    <row r="45" customFormat="false" ht="15" hidden="true" customHeight="false" outlineLevel="0" collapsed="false">
      <c r="B45" s="360" t="s">
        <v>2539</v>
      </c>
      <c r="C45" s="359" t="n">
        <v>1</v>
      </c>
      <c r="D45" s="358" t="n">
        <v>0</v>
      </c>
      <c r="E45" s="358" t="n">
        <v>0</v>
      </c>
      <c r="F45" s="358" t="n">
        <v>0</v>
      </c>
      <c r="G45" s="358" t="n">
        <v>0</v>
      </c>
      <c r="H45" s="359" t="n">
        <v>1</v>
      </c>
    </row>
    <row r="46" customFormat="false" ht="15" hidden="true" customHeight="false" outlineLevel="0" collapsed="false">
      <c r="B46" s="360" t="s">
        <v>2540</v>
      </c>
      <c r="C46" s="359" t="n">
        <v>1</v>
      </c>
      <c r="D46" s="358" t="n">
        <v>0</v>
      </c>
      <c r="E46" s="358" t="n">
        <v>0</v>
      </c>
      <c r="F46" s="358" t="n">
        <v>0</v>
      </c>
      <c r="G46" s="358" t="n">
        <v>0</v>
      </c>
      <c r="H46" s="359" t="n">
        <v>1</v>
      </c>
    </row>
    <row r="47" customFormat="false" ht="15" hidden="true" customHeight="false" outlineLevel="0" collapsed="false">
      <c r="B47" s="360" t="s">
        <v>2541</v>
      </c>
      <c r="C47" s="359" t="n">
        <v>1</v>
      </c>
      <c r="D47" s="358" t="n">
        <v>0</v>
      </c>
      <c r="E47" s="358" t="n">
        <v>0</v>
      </c>
      <c r="F47" s="358" t="n">
        <v>0</v>
      </c>
      <c r="G47" s="358" t="n">
        <v>0</v>
      </c>
      <c r="H47" s="359" t="n">
        <v>1</v>
      </c>
    </row>
    <row r="48" customFormat="false" ht="15" hidden="true" customHeight="false" outlineLevel="0" collapsed="false">
      <c r="B48" s="360" t="s">
        <v>2542</v>
      </c>
      <c r="C48" s="359" t="n">
        <v>1</v>
      </c>
      <c r="D48" s="358" t="n">
        <v>0</v>
      </c>
      <c r="E48" s="358" t="n">
        <v>0</v>
      </c>
      <c r="F48" s="358" t="n">
        <v>0</v>
      </c>
      <c r="G48" s="358" t="n">
        <v>0</v>
      </c>
      <c r="H48" s="359" t="n">
        <v>1</v>
      </c>
    </row>
    <row r="49" customFormat="false" ht="15" hidden="true" customHeight="false" outlineLevel="0" collapsed="false">
      <c r="B49" s="360" t="s">
        <v>2543</v>
      </c>
      <c r="C49" s="359" t="n">
        <v>1</v>
      </c>
      <c r="D49" s="358" t="n">
        <v>0</v>
      </c>
      <c r="E49" s="358" t="n">
        <v>0</v>
      </c>
      <c r="F49" s="358" t="n">
        <v>0</v>
      </c>
      <c r="G49" s="358" t="n">
        <v>0</v>
      </c>
      <c r="H49" s="359" t="n">
        <v>1</v>
      </c>
    </row>
    <row r="50" customFormat="false" ht="15" hidden="true" customHeight="false" outlineLevel="0" collapsed="false">
      <c r="B50" s="360" t="s">
        <v>2544</v>
      </c>
      <c r="C50" s="359" t="n">
        <v>1</v>
      </c>
      <c r="D50" s="358" t="n">
        <v>0</v>
      </c>
      <c r="E50" s="358" t="n">
        <v>0</v>
      </c>
      <c r="F50" s="358" t="n">
        <v>0</v>
      </c>
      <c r="G50" s="358" t="n">
        <v>0</v>
      </c>
      <c r="H50" s="359" t="n">
        <v>1</v>
      </c>
    </row>
    <row r="51" customFormat="false" ht="15" hidden="true" customHeight="false" outlineLevel="0" collapsed="false">
      <c r="B51" s="360" t="s">
        <v>2545</v>
      </c>
      <c r="C51" s="359" t="n">
        <v>1</v>
      </c>
      <c r="D51" s="358" t="n">
        <v>0</v>
      </c>
      <c r="E51" s="358" t="n">
        <v>0</v>
      </c>
      <c r="F51" s="358" t="n">
        <v>0</v>
      </c>
      <c r="G51" s="358" t="n">
        <v>0</v>
      </c>
      <c r="H51" s="359" t="n">
        <v>1</v>
      </c>
    </row>
    <row r="52" customFormat="false" ht="15" hidden="true" customHeight="false" outlineLevel="0" collapsed="false">
      <c r="B52" s="360" t="s">
        <v>2546</v>
      </c>
      <c r="C52" s="359" t="n">
        <v>1</v>
      </c>
      <c r="D52" s="358" t="n">
        <v>0</v>
      </c>
      <c r="E52" s="358" t="n">
        <v>0</v>
      </c>
      <c r="F52" s="358" t="n">
        <v>0</v>
      </c>
      <c r="G52" s="358" t="n">
        <v>0</v>
      </c>
      <c r="H52" s="359" t="n">
        <v>1</v>
      </c>
    </row>
    <row r="53" customFormat="false" ht="15" hidden="true" customHeight="false" outlineLevel="0" collapsed="false">
      <c r="B53" s="360" t="s">
        <v>2547</v>
      </c>
      <c r="C53" s="359" t="n">
        <v>1</v>
      </c>
      <c r="D53" s="358" t="n">
        <v>0</v>
      </c>
      <c r="E53" s="358" t="n">
        <v>0</v>
      </c>
      <c r="F53" s="358" t="n">
        <v>0</v>
      </c>
      <c r="G53" s="358" t="n">
        <v>0</v>
      </c>
      <c r="H53" s="359" t="n">
        <v>1</v>
      </c>
    </row>
    <row r="54" customFormat="false" ht="15" hidden="true" customHeight="false" outlineLevel="0" collapsed="false">
      <c r="B54" s="360" t="s">
        <v>2548</v>
      </c>
      <c r="C54" s="359" t="n">
        <v>1</v>
      </c>
      <c r="D54" s="358" t="n">
        <v>0</v>
      </c>
      <c r="E54" s="358" t="n">
        <v>0</v>
      </c>
      <c r="F54" s="358" t="n">
        <v>0</v>
      </c>
      <c r="G54" s="358" t="n">
        <v>0</v>
      </c>
      <c r="H54" s="359" t="n">
        <v>1</v>
      </c>
    </row>
    <row r="55" customFormat="false" ht="15" hidden="true" customHeight="false" outlineLevel="0" collapsed="false">
      <c r="B55" s="360" t="s">
        <v>2549</v>
      </c>
      <c r="C55" s="359" t="n">
        <v>1</v>
      </c>
      <c r="D55" s="358" t="n">
        <v>0</v>
      </c>
      <c r="E55" s="358" t="n">
        <v>0</v>
      </c>
      <c r="F55" s="358" t="n">
        <v>0</v>
      </c>
      <c r="G55" s="358" t="n">
        <v>0</v>
      </c>
      <c r="H55" s="359" t="n">
        <v>1</v>
      </c>
    </row>
    <row r="56" customFormat="false" ht="15" hidden="true" customHeight="false" outlineLevel="0" collapsed="false">
      <c r="B56" s="360" t="s">
        <v>2550</v>
      </c>
      <c r="C56" s="359" t="n">
        <v>1</v>
      </c>
      <c r="D56" s="358" t="n">
        <v>0</v>
      </c>
      <c r="E56" s="358" t="n">
        <v>0</v>
      </c>
      <c r="F56" s="358" t="n">
        <v>0</v>
      </c>
      <c r="G56" s="358" t="n">
        <v>0</v>
      </c>
      <c r="H56" s="359" t="n">
        <v>1</v>
      </c>
    </row>
    <row r="57" customFormat="false" ht="15" hidden="true" customHeight="false" outlineLevel="0" collapsed="false">
      <c r="B57" s="360" t="s">
        <v>2551</v>
      </c>
      <c r="C57" s="359" t="n">
        <v>1</v>
      </c>
      <c r="D57" s="358" t="n">
        <v>0</v>
      </c>
      <c r="E57" s="358" t="n">
        <v>0</v>
      </c>
      <c r="F57" s="358" t="n">
        <v>0</v>
      </c>
      <c r="G57" s="358" t="n">
        <v>0</v>
      </c>
      <c r="H57" s="359" t="n">
        <v>1</v>
      </c>
    </row>
    <row r="58" customFormat="false" ht="15" hidden="true" customHeight="false" outlineLevel="0" collapsed="false">
      <c r="B58" s="360" t="s">
        <v>2552</v>
      </c>
      <c r="C58" s="359" t="n">
        <v>1</v>
      </c>
      <c r="D58" s="358" t="n">
        <v>0</v>
      </c>
      <c r="E58" s="358" t="n">
        <v>0</v>
      </c>
      <c r="F58" s="358" t="n">
        <v>0</v>
      </c>
      <c r="G58" s="358" t="n">
        <v>0</v>
      </c>
      <c r="H58" s="359" t="n">
        <v>1</v>
      </c>
    </row>
    <row r="59" customFormat="false" ht="15" hidden="true" customHeight="false" outlineLevel="0" collapsed="false">
      <c r="B59" s="360" t="s">
        <v>2553</v>
      </c>
      <c r="C59" s="359" t="n">
        <v>1</v>
      </c>
      <c r="D59" s="358" t="n">
        <v>0</v>
      </c>
      <c r="E59" s="358" t="n">
        <v>0</v>
      </c>
      <c r="F59" s="358" t="n">
        <v>0</v>
      </c>
      <c r="G59" s="358" t="n">
        <v>0</v>
      </c>
      <c r="H59" s="359" t="n">
        <v>1</v>
      </c>
    </row>
    <row r="60" customFormat="false" ht="15" hidden="true" customHeight="false" outlineLevel="0" collapsed="false">
      <c r="B60" s="360" t="s">
        <v>2554</v>
      </c>
      <c r="C60" s="359" t="n">
        <v>1</v>
      </c>
      <c r="D60" s="358" t="n">
        <v>0</v>
      </c>
      <c r="E60" s="358" t="n">
        <v>0</v>
      </c>
      <c r="F60" s="358" t="n">
        <v>0</v>
      </c>
      <c r="G60" s="358" t="n">
        <v>0</v>
      </c>
      <c r="H60" s="359" t="n">
        <v>1</v>
      </c>
    </row>
    <row r="61" customFormat="false" ht="15" hidden="true" customHeight="false" outlineLevel="0" collapsed="false">
      <c r="B61" s="360" t="s">
        <v>2555</v>
      </c>
      <c r="C61" s="359" t="n">
        <v>1</v>
      </c>
      <c r="D61" s="358" t="n">
        <v>0</v>
      </c>
      <c r="E61" s="358" t="n">
        <v>0</v>
      </c>
      <c r="F61" s="358" t="n">
        <v>0</v>
      </c>
      <c r="G61" s="358" t="n">
        <v>0</v>
      </c>
      <c r="H61" s="359" t="n">
        <v>1</v>
      </c>
    </row>
    <row r="62" customFormat="false" ht="15" hidden="true" customHeight="false" outlineLevel="0" collapsed="false">
      <c r="B62" s="360" t="s">
        <v>2556</v>
      </c>
      <c r="C62" s="359" t="n">
        <v>1</v>
      </c>
      <c r="D62" s="358" t="n">
        <v>0</v>
      </c>
      <c r="E62" s="358" t="n">
        <v>0</v>
      </c>
      <c r="F62" s="358" t="n">
        <v>0</v>
      </c>
      <c r="G62" s="358" t="n">
        <v>0</v>
      </c>
      <c r="H62" s="359" t="n">
        <v>1</v>
      </c>
    </row>
    <row r="63" customFormat="false" ht="15" hidden="true" customHeight="false" outlineLevel="0" collapsed="false">
      <c r="B63" s="360" t="s">
        <v>2557</v>
      </c>
      <c r="C63" s="359" t="n">
        <v>1</v>
      </c>
      <c r="D63" s="358" t="n">
        <v>0</v>
      </c>
      <c r="E63" s="358" t="n">
        <v>0</v>
      </c>
      <c r="F63" s="358" t="n">
        <v>0</v>
      </c>
      <c r="G63" s="358" t="n">
        <v>0</v>
      </c>
      <c r="H63" s="359" t="n">
        <v>1</v>
      </c>
    </row>
    <row r="64" customFormat="false" ht="15" hidden="true" customHeight="false" outlineLevel="0" collapsed="false">
      <c r="B64" s="361" t="s">
        <v>2558</v>
      </c>
      <c r="C64" s="359" t="n">
        <v>1</v>
      </c>
      <c r="D64" s="358" t="n">
        <v>0</v>
      </c>
      <c r="E64" s="358" t="n">
        <v>0</v>
      </c>
      <c r="F64" s="358" t="n">
        <v>0</v>
      </c>
      <c r="G64" s="358" t="n">
        <v>0</v>
      </c>
      <c r="H64" s="359" t="n">
        <v>1</v>
      </c>
    </row>
    <row r="65" customFormat="false" ht="15" hidden="true" customHeight="false" outlineLevel="0" collapsed="false">
      <c r="B65" s="360" t="s">
        <v>2559</v>
      </c>
      <c r="C65" s="359" t="n">
        <v>1</v>
      </c>
      <c r="D65" s="358" t="n">
        <v>0</v>
      </c>
      <c r="E65" s="358" t="n">
        <v>0</v>
      </c>
      <c r="F65" s="358" t="n">
        <v>0</v>
      </c>
      <c r="G65" s="358" t="n">
        <v>0</v>
      </c>
      <c r="H65" s="359" t="n">
        <v>1</v>
      </c>
    </row>
    <row r="66" customFormat="false" ht="15" hidden="true" customHeight="false" outlineLevel="0" collapsed="false">
      <c r="B66" s="360" t="s">
        <v>2560</v>
      </c>
      <c r="C66" s="359" t="n">
        <v>1</v>
      </c>
      <c r="D66" s="358" t="n">
        <v>0</v>
      </c>
      <c r="E66" s="358" t="n">
        <v>0</v>
      </c>
      <c r="F66" s="358" t="n">
        <v>0</v>
      </c>
      <c r="G66" s="358" t="n">
        <v>0</v>
      </c>
      <c r="H66" s="359" t="n">
        <v>1</v>
      </c>
    </row>
    <row r="67" customFormat="false" ht="15" hidden="true" customHeight="false" outlineLevel="0" collapsed="false">
      <c r="B67" s="360" t="s">
        <v>2561</v>
      </c>
      <c r="C67" s="359" t="n">
        <v>1</v>
      </c>
      <c r="D67" s="358" t="n">
        <v>0</v>
      </c>
      <c r="E67" s="358" t="n">
        <v>0</v>
      </c>
      <c r="F67" s="358" t="n">
        <v>0</v>
      </c>
      <c r="G67" s="358" t="n">
        <v>0</v>
      </c>
      <c r="H67" s="359" t="n">
        <v>1</v>
      </c>
    </row>
    <row r="68" customFormat="false" ht="15" hidden="true" customHeight="false" outlineLevel="0" collapsed="false">
      <c r="B68" s="360" t="s">
        <v>2562</v>
      </c>
      <c r="C68" s="359" t="n">
        <v>1</v>
      </c>
      <c r="D68" s="358" t="n">
        <v>0</v>
      </c>
      <c r="E68" s="358" t="n">
        <v>0</v>
      </c>
      <c r="F68" s="358" t="n">
        <v>0</v>
      </c>
      <c r="G68" s="358" t="n">
        <v>0</v>
      </c>
      <c r="H68" s="359" t="n">
        <v>1</v>
      </c>
    </row>
    <row r="69" customFormat="false" ht="15" hidden="true" customHeight="false" outlineLevel="0" collapsed="false">
      <c r="B69" s="360" t="s">
        <v>2563</v>
      </c>
      <c r="C69" s="359" t="n">
        <v>1</v>
      </c>
      <c r="D69" s="358" t="n">
        <v>0</v>
      </c>
      <c r="E69" s="358" t="n">
        <v>0</v>
      </c>
      <c r="F69" s="358" t="n">
        <v>0</v>
      </c>
      <c r="G69" s="358" t="n">
        <v>0</v>
      </c>
      <c r="H69" s="359" t="n">
        <v>1</v>
      </c>
    </row>
    <row r="70" customFormat="false" ht="15" hidden="true" customHeight="false" outlineLevel="0" collapsed="false">
      <c r="B70" s="360" t="s">
        <v>2564</v>
      </c>
      <c r="C70" s="359" t="n">
        <v>1</v>
      </c>
      <c r="D70" s="358" t="n">
        <v>0</v>
      </c>
      <c r="E70" s="358" t="n">
        <v>0</v>
      </c>
      <c r="F70" s="358" t="n">
        <v>0</v>
      </c>
      <c r="G70" s="358" t="n">
        <v>0</v>
      </c>
      <c r="H70" s="359" t="n">
        <v>1</v>
      </c>
    </row>
    <row r="71" customFormat="false" ht="15" hidden="true" customHeight="false" outlineLevel="0" collapsed="false">
      <c r="B71" s="360" t="s">
        <v>2565</v>
      </c>
      <c r="C71" s="359" t="n">
        <v>1</v>
      </c>
      <c r="D71" s="358" t="n">
        <v>0</v>
      </c>
      <c r="E71" s="358" t="n">
        <v>0</v>
      </c>
      <c r="F71" s="358" t="n">
        <v>0</v>
      </c>
      <c r="G71" s="358" t="n">
        <v>0</v>
      </c>
      <c r="H71" s="359" t="n">
        <v>1</v>
      </c>
    </row>
    <row r="72" customFormat="false" ht="15" hidden="true" customHeight="false" outlineLevel="0" collapsed="false">
      <c r="B72" s="360" t="s">
        <v>2566</v>
      </c>
      <c r="C72" s="359" t="n">
        <v>1</v>
      </c>
      <c r="D72" s="358" t="n">
        <v>0</v>
      </c>
      <c r="E72" s="358" t="n">
        <v>0</v>
      </c>
      <c r="F72" s="358" t="n">
        <v>0</v>
      </c>
      <c r="G72" s="358" t="n">
        <v>0</v>
      </c>
      <c r="H72" s="359" t="n">
        <v>1</v>
      </c>
    </row>
    <row r="73" customFormat="false" ht="15" hidden="true" customHeight="false" outlineLevel="0" collapsed="false">
      <c r="B73" s="360" t="s">
        <v>2567</v>
      </c>
      <c r="C73" s="359" t="n">
        <v>1</v>
      </c>
      <c r="D73" s="358" t="n">
        <v>0</v>
      </c>
      <c r="E73" s="358" t="n">
        <v>0</v>
      </c>
      <c r="F73" s="358" t="n">
        <v>0</v>
      </c>
      <c r="G73" s="358" t="n">
        <v>0</v>
      </c>
      <c r="H73" s="359" t="n">
        <v>1</v>
      </c>
    </row>
    <row r="74" customFormat="false" ht="15" hidden="true" customHeight="false" outlineLevel="0" collapsed="false">
      <c r="B74" s="360" t="s">
        <v>2568</v>
      </c>
      <c r="C74" s="359" t="n">
        <v>1</v>
      </c>
      <c r="D74" s="358" t="n">
        <v>0</v>
      </c>
      <c r="E74" s="358" t="n">
        <v>0</v>
      </c>
      <c r="F74" s="358" t="n">
        <v>0</v>
      </c>
      <c r="G74" s="358" t="n">
        <v>0</v>
      </c>
      <c r="H74" s="359" t="n">
        <v>1</v>
      </c>
    </row>
    <row r="75" customFormat="false" ht="15" hidden="true" customHeight="false" outlineLevel="0" collapsed="false">
      <c r="B75" s="360" t="s">
        <v>2569</v>
      </c>
      <c r="C75" s="359" t="n">
        <v>1</v>
      </c>
      <c r="D75" s="358" t="n">
        <v>0</v>
      </c>
      <c r="E75" s="358" t="n">
        <v>0</v>
      </c>
      <c r="F75" s="358" t="n">
        <v>0</v>
      </c>
      <c r="G75" s="358" t="n">
        <v>0</v>
      </c>
      <c r="H75" s="359" t="n">
        <v>1</v>
      </c>
    </row>
    <row r="76" customFormat="false" ht="15" hidden="true" customHeight="false" outlineLevel="0" collapsed="false">
      <c r="B76" s="360" t="s">
        <v>2570</v>
      </c>
      <c r="C76" s="359" t="n">
        <v>1</v>
      </c>
      <c r="D76" s="358" t="n">
        <v>0</v>
      </c>
      <c r="E76" s="358" t="n">
        <v>0</v>
      </c>
      <c r="F76" s="358" t="n">
        <v>0</v>
      </c>
      <c r="G76" s="358" t="n">
        <v>0</v>
      </c>
      <c r="H76" s="359" t="n">
        <v>1</v>
      </c>
    </row>
    <row r="77" customFormat="false" ht="15" hidden="true" customHeight="false" outlineLevel="0" collapsed="false">
      <c r="B77" s="360" t="s">
        <v>2571</v>
      </c>
      <c r="C77" s="359" t="n">
        <v>1</v>
      </c>
      <c r="D77" s="358" t="n">
        <v>0</v>
      </c>
      <c r="E77" s="358" t="n">
        <v>0</v>
      </c>
      <c r="F77" s="358" t="n">
        <v>0</v>
      </c>
      <c r="G77" s="358" t="n">
        <v>0</v>
      </c>
      <c r="H77" s="359" t="n">
        <v>1</v>
      </c>
    </row>
    <row r="78" customFormat="false" ht="15" hidden="true" customHeight="false" outlineLevel="0" collapsed="false">
      <c r="B78" s="360" t="s">
        <v>2572</v>
      </c>
      <c r="C78" s="359" t="n">
        <v>1</v>
      </c>
      <c r="D78" s="358" t="n">
        <v>0</v>
      </c>
      <c r="E78" s="358" t="n">
        <v>0</v>
      </c>
      <c r="F78" s="358" t="n">
        <v>0</v>
      </c>
      <c r="G78" s="358" t="n">
        <v>0</v>
      </c>
      <c r="H78" s="359" t="n">
        <v>1</v>
      </c>
    </row>
    <row r="79" customFormat="false" ht="15" hidden="true" customHeight="false" outlineLevel="0" collapsed="false">
      <c r="B79" s="360" t="s">
        <v>2573</v>
      </c>
      <c r="C79" s="359" t="n">
        <v>1</v>
      </c>
      <c r="D79" s="358" t="n">
        <v>0</v>
      </c>
      <c r="E79" s="358" t="n">
        <v>0</v>
      </c>
      <c r="F79" s="358" t="n">
        <v>0</v>
      </c>
      <c r="G79" s="358" t="n">
        <v>0</v>
      </c>
      <c r="H79" s="359" t="n">
        <v>1</v>
      </c>
    </row>
    <row r="80" customFormat="false" ht="15" hidden="true" customHeight="false" outlineLevel="0" collapsed="false">
      <c r="B80" s="360" t="s">
        <v>2574</v>
      </c>
      <c r="C80" s="359" t="n">
        <v>1</v>
      </c>
      <c r="D80" s="358" t="n">
        <v>0</v>
      </c>
      <c r="E80" s="358" t="n">
        <v>0</v>
      </c>
      <c r="F80" s="358" t="n">
        <v>0</v>
      </c>
      <c r="G80" s="358" t="n">
        <v>0</v>
      </c>
      <c r="H80" s="359" t="n">
        <v>1</v>
      </c>
    </row>
    <row r="81" customFormat="false" ht="15" hidden="true" customHeight="false" outlineLevel="0" collapsed="false">
      <c r="B81" s="360" t="s">
        <v>2575</v>
      </c>
      <c r="C81" s="359" t="n">
        <v>1</v>
      </c>
      <c r="D81" s="358" t="n">
        <v>0</v>
      </c>
      <c r="E81" s="358" t="n">
        <v>0</v>
      </c>
      <c r="F81" s="358" t="n">
        <v>0</v>
      </c>
      <c r="G81" s="358" t="n">
        <v>0</v>
      </c>
      <c r="H81" s="359" t="n">
        <v>1</v>
      </c>
    </row>
    <row r="82" customFormat="false" ht="15" hidden="true" customHeight="false" outlineLevel="0" collapsed="false">
      <c r="B82" s="360" t="s">
        <v>2576</v>
      </c>
      <c r="C82" s="359" t="n">
        <v>1</v>
      </c>
      <c r="D82" s="358" t="n">
        <v>0</v>
      </c>
      <c r="E82" s="358" t="n">
        <v>0</v>
      </c>
      <c r="F82" s="358" t="n">
        <v>0</v>
      </c>
      <c r="G82" s="358" t="n">
        <v>0</v>
      </c>
      <c r="H82" s="359" t="n">
        <v>1</v>
      </c>
    </row>
    <row r="83" customFormat="false" ht="15" hidden="true" customHeight="false" outlineLevel="0" collapsed="false">
      <c r="B83" s="360" t="s">
        <v>2577</v>
      </c>
      <c r="C83" s="359" t="n">
        <v>1</v>
      </c>
      <c r="D83" s="358" t="n">
        <v>0</v>
      </c>
      <c r="E83" s="358" t="n">
        <v>0</v>
      </c>
      <c r="F83" s="358" t="n">
        <v>0</v>
      </c>
      <c r="G83" s="358" t="n">
        <v>0</v>
      </c>
      <c r="H83" s="359" t="n">
        <v>1</v>
      </c>
    </row>
    <row r="84" customFormat="false" ht="15" hidden="true" customHeight="false" outlineLevel="0" collapsed="false">
      <c r="B84" s="360" t="s">
        <v>2578</v>
      </c>
      <c r="C84" s="359" t="n">
        <v>1</v>
      </c>
      <c r="D84" s="358" t="n">
        <v>0</v>
      </c>
      <c r="E84" s="358" t="n">
        <v>0</v>
      </c>
      <c r="F84" s="358" t="n">
        <v>0</v>
      </c>
      <c r="G84" s="358" t="n">
        <v>0</v>
      </c>
      <c r="H84" s="359" t="n">
        <v>1</v>
      </c>
    </row>
    <row r="85" customFormat="false" ht="15" hidden="true" customHeight="false" outlineLevel="0" collapsed="false">
      <c r="B85" s="360" t="s">
        <v>2579</v>
      </c>
      <c r="C85" s="359" t="n">
        <v>1</v>
      </c>
      <c r="D85" s="358" t="n">
        <v>0</v>
      </c>
      <c r="E85" s="358" t="n">
        <v>0</v>
      </c>
      <c r="F85" s="358" t="n">
        <v>0</v>
      </c>
      <c r="G85" s="358" t="n">
        <v>0</v>
      </c>
      <c r="H85" s="359" t="n">
        <v>1</v>
      </c>
    </row>
    <row r="86" customFormat="false" ht="15" hidden="false" customHeight="false" outlineLevel="0" collapsed="false">
      <c r="B86" s="310" t="s">
        <v>1808</v>
      </c>
      <c r="C86" s="359" t="n">
        <v>38</v>
      </c>
      <c r="D86" s="358" t="n">
        <v>0</v>
      </c>
      <c r="E86" s="358" t="n">
        <v>0</v>
      </c>
      <c r="F86" s="358" t="n">
        <v>0</v>
      </c>
      <c r="G86" s="358" t="n">
        <v>0</v>
      </c>
      <c r="H86" s="359" t="n">
        <v>38</v>
      </c>
    </row>
    <row r="87" customFormat="false" ht="15" hidden="true" customHeight="false" outlineLevel="0" collapsed="false">
      <c r="B87" s="360" t="s">
        <v>2580</v>
      </c>
      <c r="C87" s="359" t="n">
        <v>1</v>
      </c>
      <c r="D87" s="358" t="n">
        <v>0</v>
      </c>
      <c r="E87" s="358" t="n">
        <v>0</v>
      </c>
      <c r="F87" s="358" t="n">
        <v>0</v>
      </c>
      <c r="G87" s="358" t="n">
        <v>0</v>
      </c>
      <c r="H87" s="359" t="n">
        <v>1</v>
      </c>
    </row>
    <row r="88" customFormat="false" ht="15" hidden="true" customHeight="false" outlineLevel="0" collapsed="false">
      <c r="B88" s="360" t="s">
        <v>2581</v>
      </c>
      <c r="C88" s="359" t="n">
        <v>1</v>
      </c>
      <c r="D88" s="358" t="n">
        <v>0</v>
      </c>
      <c r="E88" s="358" t="n">
        <v>0</v>
      </c>
      <c r="F88" s="358" t="n">
        <v>0</v>
      </c>
      <c r="G88" s="358" t="n">
        <v>0</v>
      </c>
      <c r="H88" s="359" t="n">
        <v>1</v>
      </c>
    </row>
    <row r="89" customFormat="false" ht="15" hidden="true" customHeight="false" outlineLevel="0" collapsed="false">
      <c r="B89" s="360" t="s">
        <v>2582</v>
      </c>
      <c r="C89" s="359" t="n">
        <v>1</v>
      </c>
      <c r="D89" s="358" t="n">
        <v>0</v>
      </c>
      <c r="E89" s="358" t="n">
        <v>0</v>
      </c>
      <c r="F89" s="358" t="n">
        <v>0</v>
      </c>
      <c r="G89" s="358" t="n">
        <v>0</v>
      </c>
      <c r="H89" s="359" t="n">
        <v>1</v>
      </c>
    </row>
    <row r="90" customFormat="false" ht="15" hidden="true" customHeight="false" outlineLevel="0" collapsed="false">
      <c r="B90" s="360" t="s">
        <v>2583</v>
      </c>
      <c r="C90" s="359" t="n">
        <v>1</v>
      </c>
      <c r="D90" s="358" t="n">
        <v>0</v>
      </c>
      <c r="E90" s="358" t="n">
        <v>0</v>
      </c>
      <c r="F90" s="358" t="n">
        <v>0</v>
      </c>
      <c r="G90" s="358" t="n">
        <v>0</v>
      </c>
      <c r="H90" s="359" t="n">
        <v>1</v>
      </c>
    </row>
    <row r="91" customFormat="false" ht="15" hidden="true" customHeight="false" outlineLevel="0" collapsed="false">
      <c r="B91" s="360" t="s">
        <v>2584</v>
      </c>
      <c r="C91" s="359" t="n">
        <v>1</v>
      </c>
      <c r="D91" s="358" t="n">
        <v>0</v>
      </c>
      <c r="E91" s="358" t="n">
        <v>0</v>
      </c>
      <c r="F91" s="358" t="n">
        <v>0</v>
      </c>
      <c r="G91" s="358" t="n">
        <v>0</v>
      </c>
      <c r="H91" s="359" t="n">
        <v>1</v>
      </c>
    </row>
    <row r="92" customFormat="false" ht="15" hidden="true" customHeight="false" outlineLevel="0" collapsed="false">
      <c r="B92" s="360" t="s">
        <v>2585</v>
      </c>
      <c r="C92" s="359" t="n">
        <v>1</v>
      </c>
      <c r="D92" s="358" t="n">
        <v>0</v>
      </c>
      <c r="E92" s="358" t="n">
        <v>0</v>
      </c>
      <c r="F92" s="358" t="n">
        <v>0</v>
      </c>
      <c r="G92" s="358" t="n">
        <v>0</v>
      </c>
      <c r="H92" s="359" t="n">
        <v>1</v>
      </c>
    </row>
    <row r="93" customFormat="false" ht="15" hidden="true" customHeight="false" outlineLevel="0" collapsed="false">
      <c r="B93" s="360" t="s">
        <v>2586</v>
      </c>
      <c r="C93" s="359" t="n">
        <v>1</v>
      </c>
      <c r="D93" s="358" t="n">
        <v>0</v>
      </c>
      <c r="E93" s="358" t="n">
        <v>0</v>
      </c>
      <c r="F93" s="358" t="n">
        <v>0</v>
      </c>
      <c r="G93" s="358" t="n">
        <v>0</v>
      </c>
      <c r="H93" s="359" t="n">
        <v>1</v>
      </c>
    </row>
    <row r="94" customFormat="false" ht="15" hidden="true" customHeight="false" outlineLevel="0" collapsed="false">
      <c r="B94" s="360" t="s">
        <v>2587</v>
      </c>
      <c r="C94" s="359" t="n">
        <v>1</v>
      </c>
      <c r="D94" s="358" t="n">
        <v>0</v>
      </c>
      <c r="E94" s="358" t="n">
        <v>0</v>
      </c>
      <c r="F94" s="358" t="n">
        <v>0</v>
      </c>
      <c r="G94" s="358" t="n">
        <v>0</v>
      </c>
      <c r="H94" s="359" t="n">
        <v>1</v>
      </c>
    </row>
    <row r="95" customFormat="false" ht="15" hidden="true" customHeight="false" outlineLevel="0" collapsed="false">
      <c r="B95" s="360" t="s">
        <v>2588</v>
      </c>
      <c r="C95" s="359" t="n">
        <v>1</v>
      </c>
      <c r="D95" s="358" t="n">
        <v>0</v>
      </c>
      <c r="E95" s="358" t="n">
        <v>0</v>
      </c>
      <c r="F95" s="358" t="n">
        <v>0</v>
      </c>
      <c r="G95" s="358" t="n">
        <v>0</v>
      </c>
      <c r="H95" s="359" t="n">
        <v>1</v>
      </c>
    </row>
    <row r="96" customFormat="false" ht="15" hidden="true" customHeight="false" outlineLevel="0" collapsed="false">
      <c r="B96" s="360" t="s">
        <v>2589</v>
      </c>
      <c r="C96" s="359" t="n">
        <v>1</v>
      </c>
      <c r="D96" s="358" t="n">
        <v>0</v>
      </c>
      <c r="E96" s="358" t="n">
        <v>0</v>
      </c>
      <c r="F96" s="358" t="n">
        <v>0</v>
      </c>
      <c r="G96" s="358" t="n">
        <v>0</v>
      </c>
      <c r="H96" s="359" t="n">
        <v>1</v>
      </c>
    </row>
    <row r="97" customFormat="false" ht="15" hidden="true" customHeight="false" outlineLevel="0" collapsed="false">
      <c r="B97" s="360" t="s">
        <v>2590</v>
      </c>
      <c r="C97" s="359" t="n">
        <v>1</v>
      </c>
      <c r="D97" s="358" t="n">
        <v>0</v>
      </c>
      <c r="E97" s="358" t="n">
        <v>0</v>
      </c>
      <c r="F97" s="358" t="n">
        <v>0</v>
      </c>
      <c r="G97" s="358" t="n">
        <v>0</v>
      </c>
      <c r="H97" s="359" t="n">
        <v>1</v>
      </c>
    </row>
    <row r="98" customFormat="false" ht="15" hidden="true" customHeight="false" outlineLevel="0" collapsed="false">
      <c r="B98" s="360" t="s">
        <v>2591</v>
      </c>
      <c r="C98" s="359" t="n">
        <v>1</v>
      </c>
      <c r="D98" s="358" t="n">
        <v>0</v>
      </c>
      <c r="E98" s="358" t="n">
        <v>0</v>
      </c>
      <c r="F98" s="358" t="n">
        <v>0</v>
      </c>
      <c r="G98" s="358" t="n">
        <v>0</v>
      </c>
      <c r="H98" s="359" t="n">
        <v>1</v>
      </c>
    </row>
    <row r="99" customFormat="false" ht="15" hidden="true" customHeight="false" outlineLevel="0" collapsed="false">
      <c r="B99" s="360" t="s">
        <v>2592</v>
      </c>
      <c r="C99" s="359" t="n">
        <v>1</v>
      </c>
      <c r="D99" s="358" t="n">
        <v>0</v>
      </c>
      <c r="E99" s="358" t="n">
        <v>0</v>
      </c>
      <c r="F99" s="358" t="n">
        <v>0</v>
      </c>
      <c r="G99" s="358" t="n">
        <v>0</v>
      </c>
      <c r="H99" s="359" t="n">
        <v>1</v>
      </c>
    </row>
    <row r="100" customFormat="false" ht="15" hidden="true" customHeight="false" outlineLevel="0" collapsed="false">
      <c r="B100" s="360" t="s">
        <v>2593</v>
      </c>
      <c r="C100" s="359" t="n">
        <v>1</v>
      </c>
      <c r="D100" s="358" t="n">
        <v>0</v>
      </c>
      <c r="E100" s="358" t="n">
        <v>0</v>
      </c>
      <c r="F100" s="358" t="n">
        <v>0</v>
      </c>
      <c r="G100" s="358" t="n">
        <v>0</v>
      </c>
      <c r="H100" s="359" t="n">
        <v>1</v>
      </c>
    </row>
    <row r="101" customFormat="false" ht="15" hidden="true" customHeight="false" outlineLevel="0" collapsed="false">
      <c r="B101" s="360" t="s">
        <v>2594</v>
      </c>
      <c r="C101" s="359" t="n">
        <v>1</v>
      </c>
      <c r="D101" s="358" t="n">
        <v>0</v>
      </c>
      <c r="E101" s="358" t="n">
        <v>0</v>
      </c>
      <c r="F101" s="358" t="n">
        <v>0</v>
      </c>
      <c r="G101" s="358" t="n">
        <v>0</v>
      </c>
      <c r="H101" s="359" t="n">
        <v>1</v>
      </c>
    </row>
    <row r="102" customFormat="false" ht="15" hidden="true" customHeight="false" outlineLevel="0" collapsed="false">
      <c r="B102" s="360" t="s">
        <v>2595</v>
      </c>
      <c r="C102" s="359" t="n">
        <v>1</v>
      </c>
      <c r="D102" s="358" t="n">
        <v>0</v>
      </c>
      <c r="E102" s="358" t="n">
        <v>0</v>
      </c>
      <c r="F102" s="358" t="n">
        <v>0</v>
      </c>
      <c r="G102" s="358" t="n">
        <v>0</v>
      </c>
      <c r="H102" s="359" t="n">
        <v>1</v>
      </c>
    </row>
    <row r="103" customFormat="false" ht="15" hidden="true" customHeight="false" outlineLevel="0" collapsed="false">
      <c r="B103" s="360" t="s">
        <v>2596</v>
      </c>
      <c r="C103" s="359" t="n">
        <v>1</v>
      </c>
      <c r="D103" s="358" t="n">
        <v>0</v>
      </c>
      <c r="E103" s="358" t="n">
        <v>0</v>
      </c>
      <c r="F103" s="358" t="n">
        <v>0</v>
      </c>
      <c r="G103" s="358" t="n">
        <v>0</v>
      </c>
      <c r="H103" s="359" t="n">
        <v>1</v>
      </c>
    </row>
    <row r="104" customFormat="false" ht="15" hidden="true" customHeight="false" outlineLevel="0" collapsed="false">
      <c r="B104" s="360" t="s">
        <v>2597</v>
      </c>
      <c r="C104" s="359" t="n">
        <v>1</v>
      </c>
      <c r="D104" s="358" t="n">
        <v>0</v>
      </c>
      <c r="E104" s="358" t="n">
        <v>0</v>
      </c>
      <c r="F104" s="358" t="n">
        <v>0</v>
      </c>
      <c r="G104" s="358" t="n">
        <v>0</v>
      </c>
      <c r="H104" s="359" t="n">
        <v>1</v>
      </c>
    </row>
    <row r="105" customFormat="false" ht="15" hidden="true" customHeight="false" outlineLevel="0" collapsed="false">
      <c r="B105" s="360" t="s">
        <v>2598</v>
      </c>
      <c r="C105" s="359" t="n">
        <v>1</v>
      </c>
      <c r="D105" s="358" t="n">
        <v>0</v>
      </c>
      <c r="E105" s="358" t="n">
        <v>0</v>
      </c>
      <c r="F105" s="358" t="n">
        <v>0</v>
      </c>
      <c r="G105" s="358" t="n">
        <v>0</v>
      </c>
      <c r="H105" s="359" t="n">
        <v>1</v>
      </c>
    </row>
    <row r="106" customFormat="false" ht="15" hidden="true" customHeight="false" outlineLevel="0" collapsed="false">
      <c r="B106" s="360" t="s">
        <v>2599</v>
      </c>
      <c r="C106" s="359" t="n">
        <v>1</v>
      </c>
      <c r="D106" s="358" t="n">
        <v>0</v>
      </c>
      <c r="E106" s="358" t="n">
        <v>0</v>
      </c>
      <c r="F106" s="358" t="n">
        <v>0</v>
      </c>
      <c r="G106" s="358" t="n">
        <v>0</v>
      </c>
      <c r="H106" s="359" t="n">
        <v>1</v>
      </c>
    </row>
    <row r="107" customFormat="false" ht="15" hidden="true" customHeight="false" outlineLevel="0" collapsed="false">
      <c r="B107" s="360" t="s">
        <v>2600</v>
      </c>
      <c r="C107" s="359" t="n">
        <v>1</v>
      </c>
      <c r="D107" s="358" t="n">
        <v>0</v>
      </c>
      <c r="E107" s="358" t="n">
        <v>0</v>
      </c>
      <c r="F107" s="358" t="n">
        <v>0</v>
      </c>
      <c r="G107" s="358" t="n">
        <v>0</v>
      </c>
      <c r="H107" s="359" t="n">
        <v>1</v>
      </c>
    </row>
    <row r="108" customFormat="false" ht="15" hidden="true" customHeight="false" outlineLevel="0" collapsed="false">
      <c r="B108" s="360" t="s">
        <v>2601</v>
      </c>
      <c r="C108" s="359" t="n">
        <v>1</v>
      </c>
      <c r="D108" s="358" t="n">
        <v>0</v>
      </c>
      <c r="E108" s="358" t="n">
        <v>0</v>
      </c>
      <c r="F108" s="358" t="n">
        <v>0</v>
      </c>
      <c r="G108" s="358" t="n">
        <v>0</v>
      </c>
      <c r="H108" s="359" t="n">
        <v>1</v>
      </c>
    </row>
    <row r="109" customFormat="false" ht="15" hidden="true" customHeight="false" outlineLevel="0" collapsed="false">
      <c r="B109" s="360" t="s">
        <v>2602</v>
      </c>
      <c r="C109" s="359" t="n">
        <v>1</v>
      </c>
      <c r="D109" s="358" t="n">
        <v>0</v>
      </c>
      <c r="E109" s="358" t="n">
        <v>0</v>
      </c>
      <c r="F109" s="358" t="n">
        <v>0</v>
      </c>
      <c r="G109" s="358" t="n">
        <v>0</v>
      </c>
      <c r="H109" s="359" t="n">
        <v>1</v>
      </c>
    </row>
    <row r="110" customFormat="false" ht="15" hidden="true" customHeight="false" outlineLevel="0" collapsed="false">
      <c r="B110" s="360" t="s">
        <v>2603</v>
      </c>
      <c r="C110" s="359" t="n">
        <v>1</v>
      </c>
      <c r="D110" s="358" t="n">
        <v>0</v>
      </c>
      <c r="E110" s="358" t="n">
        <v>0</v>
      </c>
      <c r="F110" s="358" t="n">
        <v>0</v>
      </c>
      <c r="G110" s="358" t="n">
        <v>0</v>
      </c>
      <c r="H110" s="359" t="n">
        <v>1</v>
      </c>
    </row>
    <row r="111" customFormat="false" ht="15" hidden="true" customHeight="false" outlineLevel="0" collapsed="false">
      <c r="B111" s="360" t="s">
        <v>2604</v>
      </c>
      <c r="C111" s="359" t="n">
        <v>1</v>
      </c>
      <c r="D111" s="358" t="n">
        <v>0</v>
      </c>
      <c r="E111" s="358" t="n">
        <v>0</v>
      </c>
      <c r="F111" s="358" t="n">
        <v>0</v>
      </c>
      <c r="G111" s="358" t="n">
        <v>0</v>
      </c>
      <c r="H111" s="359" t="n">
        <v>1</v>
      </c>
    </row>
    <row r="112" customFormat="false" ht="15" hidden="true" customHeight="false" outlineLevel="0" collapsed="false">
      <c r="B112" s="360" t="s">
        <v>2605</v>
      </c>
      <c r="C112" s="359" t="n">
        <v>1</v>
      </c>
      <c r="D112" s="358" t="n">
        <v>0</v>
      </c>
      <c r="E112" s="358" t="n">
        <v>0</v>
      </c>
      <c r="F112" s="358" t="n">
        <v>0</v>
      </c>
      <c r="G112" s="358" t="n">
        <v>0</v>
      </c>
      <c r="H112" s="359" t="n">
        <v>1</v>
      </c>
    </row>
    <row r="113" customFormat="false" ht="15" hidden="true" customHeight="false" outlineLevel="0" collapsed="false">
      <c r="B113" s="360" t="s">
        <v>2606</v>
      </c>
      <c r="C113" s="359" t="n">
        <v>1</v>
      </c>
      <c r="D113" s="358" t="n">
        <v>0</v>
      </c>
      <c r="E113" s="358" t="n">
        <v>0</v>
      </c>
      <c r="F113" s="358" t="n">
        <v>0</v>
      </c>
      <c r="G113" s="358" t="n">
        <v>0</v>
      </c>
      <c r="H113" s="359" t="n">
        <v>1</v>
      </c>
    </row>
    <row r="114" customFormat="false" ht="15" hidden="true" customHeight="false" outlineLevel="0" collapsed="false">
      <c r="B114" s="360" t="s">
        <v>2607</v>
      </c>
      <c r="C114" s="359" t="n">
        <v>1</v>
      </c>
      <c r="D114" s="358" t="n">
        <v>0</v>
      </c>
      <c r="E114" s="358" t="n">
        <v>0</v>
      </c>
      <c r="F114" s="358" t="n">
        <v>0</v>
      </c>
      <c r="G114" s="358" t="n">
        <v>0</v>
      </c>
      <c r="H114" s="359" t="n">
        <v>1</v>
      </c>
    </row>
    <row r="115" customFormat="false" ht="15" hidden="true" customHeight="false" outlineLevel="0" collapsed="false">
      <c r="B115" s="360" t="s">
        <v>2608</v>
      </c>
      <c r="C115" s="359" t="n">
        <v>1</v>
      </c>
      <c r="D115" s="358" t="n">
        <v>0</v>
      </c>
      <c r="E115" s="358" t="n">
        <v>0</v>
      </c>
      <c r="F115" s="358" t="n">
        <v>0</v>
      </c>
      <c r="G115" s="358" t="n">
        <v>0</v>
      </c>
      <c r="H115" s="359" t="n">
        <v>1</v>
      </c>
    </row>
    <row r="116" customFormat="false" ht="15" hidden="true" customHeight="false" outlineLevel="0" collapsed="false">
      <c r="B116" s="360" t="s">
        <v>2609</v>
      </c>
      <c r="C116" s="359" t="n">
        <v>1</v>
      </c>
      <c r="D116" s="358" t="n">
        <v>0</v>
      </c>
      <c r="E116" s="358" t="n">
        <v>0</v>
      </c>
      <c r="F116" s="358" t="n">
        <v>0</v>
      </c>
      <c r="G116" s="358" t="n">
        <v>0</v>
      </c>
      <c r="H116" s="359" t="n">
        <v>1</v>
      </c>
    </row>
    <row r="117" customFormat="false" ht="15" hidden="true" customHeight="false" outlineLevel="0" collapsed="false">
      <c r="B117" s="360" t="s">
        <v>2610</v>
      </c>
      <c r="C117" s="359" t="n">
        <v>1</v>
      </c>
      <c r="D117" s="358" t="n">
        <v>0</v>
      </c>
      <c r="E117" s="358" t="n">
        <v>0</v>
      </c>
      <c r="F117" s="358" t="n">
        <v>0</v>
      </c>
      <c r="G117" s="358" t="n">
        <v>0</v>
      </c>
      <c r="H117" s="359" t="n">
        <v>1</v>
      </c>
    </row>
    <row r="118" customFormat="false" ht="15" hidden="true" customHeight="false" outlineLevel="0" collapsed="false">
      <c r="B118" s="360" t="s">
        <v>2611</v>
      </c>
      <c r="C118" s="359" t="n">
        <v>1</v>
      </c>
      <c r="D118" s="358" t="n">
        <v>0</v>
      </c>
      <c r="E118" s="358" t="n">
        <v>0</v>
      </c>
      <c r="F118" s="358" t="n">
        <v>0</v>
      </c>
      <c r="G118" s="358" t="n">
        <v>0</v>
      </c>
      <c r="H118" s="359" t="n">
        <v>1</v>
      </c>
    </row>
    <row r="119" customFormat="false" ht="15" hidden="true" customHeight="false" outlineLevel="0" collapsed="false">
      <c r="B119" s="360" t="s">
        <v>2612</v>
      </c>
      <c r="C119" s="359" t="n">
        <v>1</v>
      </c>
      <c r="D119" s="358" t="n">
        <v>0</v>
      </c>
      <c r="E119" s="358" t="n">
        <v>0</v>
      </c>
      <c r="F119" s="358" t="n">
        <v>0</v>
      </c>
      <c r="G119" s="358" t="n">
        <v>0</v>
      </c>
      <c r="H119" s="359" t="n">
        <v>1</v>
      </c>
    </row>
    <row r="120" customFormat="false" ht="15" hidden="true" customHeight="false" outlineLevel="0" collapsed="false">
      <c r="B120" s="360" t="s">
        <v>2613</v>
      </c>
      <c r="C120" s="359" t="n">
        <v>1</v>
      </c>
      <c r="D120" s="358" t="n">
        <v>0</v>
      </c>
      <c r="E120" s="358" t="n">
        <v>0</v>
      </c>
      <c r="F120" s="358" t="n">
        <v>0</v>
      </c>
      <c r="G120" s="358" t="n">
        <v>0</v>
      </c>
      <c r="H120" s="359" t="n">
        <v>1</v>
      </c>
    </row>
    <row r="121" customFormat="false" ht="15" hidden="true" customHeight="false" outlineLevel="0" collapsed="false">
      <c r="B121" s="360" t="s">
        <v>2614</v>
      </c>
      <c r="C121" s="359" t="n">
        <v>1</v>
      </c>
      <c r="D121" s="358" t="n">
        <v>0</v>
      </c>
      <c r="E121" s="358" t="n">
        <v>0</v>
      </c>
      <c r="F121" s="358" t="n">
        <v>0</v>
      </c>
      <c r="G121" s="358" t="n">
        <v>0</v>
      </c>
      <c r="H121" s="359" t="n">
        <v>1</v>
      </c>
    </row>
    <row r="122" customFormat="false" ht="15" hidden="true" customHeight="false" outlineLevel="0" collapsed="false">
      <c r="B122" s="360" t="s">
        <v>2615</v>
      </c>
      <c r="C122" s="359" t="n">
        <v>1</v>
      </c>
      <c r="D122" s="358" t="n">
        <v>0</v>
      </c>
      <c r="E122" s="358" t="n">
        <v>0</v>
      </c>
      <c r="F122" s="358" t="n">
        <v>0</v>
      </c>
      <c r="G122" s="358" t="n">
        <v>0</v>
      </c>
      <c r="H122" s="359" t="n">
        <v>1</v>
      </c>
    </row>
    <row r="123" customFormat="false" ht="15" hidden="true" customHeight="false" outlineLevel="0" collapsed="false">
      <c r="B123" s="360" t="s">
        <v>2616</v>
      </c>
      <c r="C123" s="359" t="n">
        <v>1</v>
      </c>
      <c r="D123" s="358" t="n">
        <v>0</v>
      </c>
      <c r="E123" s="358" t="n">
        <v>0</v>
      </c>
      <c r="F123" s="358" t="n">
        <v>0</v>
      </c>
      <c r="G123" s="358" t="n">
        <v>0</v>
      </c>
      <c r="H123" s="359" t="n">
        <v>1</v>
      </c>
    </row>
    <row r="124" customFormat="false" ht="15" hidden="true" customHeight="false" outlineLevel="0" collapsed="false">
      <c r="B124" s="360" t="s">
        <v>2617</v>
      </c>
      <c r="C124" s="359" t="n">
        <v>1</v>
      </c>
      <c r="D124" s="358" t="n">
        <v>0</v>
      </c>
      <c r="E124" s="358" t="n">
        <v>0</v>
      </c>
      <c r="F124" s="358" t="n">
        <v>0</v>
      </c>
      <c r="G124" s="358" t="n">
        <v>0</v>
      </c>
      <c r="H124" s="359" t="n">
        <v>1</v>
      </c>
    </row>
    <row r="125" customFormat="false" ht="15" hidden="false" customHeight="false" outlineLevel="0" collapsed="false">
      <c r="B125" s="310" t="s">
        <v>1814</v>
      </c>
      <c r="C125" s="359" t="n">
        <v>11</v>
      </c>
      <c r="D125" s="358" t="n">
        <v>2</v>
      </c>
      <c r="E125" s="358" t="n">
        <v>0</v>
      </c>
      <c r="F125" s="358" t="n">
        <v>0</v>
      </c>
      <c r="G125" s="358" t="n">
        <v>0</v>
      </c>
      <c r="H125" s="359" t="n">
        <v>13</v>
      </c>
    </row>
    <row r="126" customFormat="false" ht="15" hidden="true" customHeight="false" outlineLevel="0" collapsed="false">
      <c r="B126" s="360" t="s">
        <v>2618</v>
      </c>
      <c r="C126" s="359" t="n">
        <v>1</v>
      </c>
      <c r="D126" s="358" t="n">
        <v>0</v>
      </c>
      <c r="E126" s="358" t="n">
        <v>0</v>
      </c>
      <c r="F126" s="358" t="n">
        <v>0</v>
      </c>
      <c r="G126" s="358" t="n">
        <v>0</v>
      </c>
      <c r="H126" s="359" t="n">
        <v>1</v>
      </c>
    </row>
    <row r="127" customFormat="false" ht="15" hidden="true" customHeight="false" outlineLevel="0" collapsed="false">
      <c r="B127" s="360" t="s">
        <v>2619</v>
      </c>
      <c r="C127" s="359" t="n">
        <v>1</v>
      </c>
      <c r="D127" s="358" t="n">
        <v>0</v>
      </c>
      <c r="E127" s="358" t="n">
        <v>0</v>
      </c>
      <c r="F127" s="358" t="n">
        <v>0</v>
      </c>
      <c r="G127" s="358" t="n">
        <v>0</v>
      </c>
      <c r="H127" s="359" t="n">
        <v>1</v>
      </c>
    </row>
    <row r="128" customFormat="false" ht="15" hidden="true" customHeight="false" outlineLevel="0" collapsed="false">
      <c r="B128" s="360" t="s">
        <v>2620</v>
      </c>
      <c r="C128" s="359" t="n">
        <v>1</v>
      </c>
      <c r="D128" s="358" t="n">
        <v>0</v>
      </c>
      <c r="E128" s="358" t="n">
        <v>0</v>
      </c>
      <c r="F128" s="358" t="n">
        <v>0</v>
      </c>
      <c r="G128" s="358" t="n">
        <v>0</v>
      </c>
      <c r="H128" s="359" t="n">
        <v>1</v>
      </c>
    </row>
    <row r="129" customFormat="false" ht="15" hidden="true" customHeight="false" outlineLevel="0" collapsed="false">
      <c r="B129" s="360" t="s">
        <v>2621</v>
      </c>
      <c r="C129" s="359" t="n">
        <v>1</v>
      </c>
      <c r="D129" s="358" t="n">
        <v>0</v>
      </c>
      <c r="E129" s="358" t="n">
        <v>0</v>
      </c>
      <c r="F129" s="358" t="n">
        <v>0</v>
      </c>
      <c r="G129" s="358" t="n">
        <v>0</v>
      </c>
      <c r="H129" s="359" t="n">
        <v>1</v>
      </c>
    </row>
    <row r="130" customFormat="false" ht="15" hidden="true" customHeight="false" outlineLevel="0" collapsed="false">
      <c r="B130" s="360" t="s">
        <v>2622</v>
      </c>
      <c r="C130" s="359" t="n">
        <v>1</v>
      </c>
      <c r="D130" s="358" t="n">
        <v>0</v>
      </c>
      <c r="E130" s="358" t="n">
        <v>0</v>
      </c>
      <c r="F130" s="358" t="n">
        <v>0</v>
      </c>
      <c r="G130" s="358" t="n">
        <v>0</v>
      </c>
      <c r="H130" s="359" t="n">
        <v>1</v>
      </c>
    </row>
    <row r="131" customFormat="false" ht="15" hidden="true" customHeight="false" outlineLevel="0" collapsed="false">
      <c r="B131" s="360" t="s">
        <v>2623</v>
      </c>
      <c r="C131" s="359" t="n">
        <v>1</v>
      </c>
      <c r="D131" s="358" t="n">
        <v>0</v>
      </c>
      <c r="E131" s="358" t="n">
        <v>0</v>
      </c>
      <c r="F131" s="358" t="n">
        <v>0</v>
      </c>
      <c r="G131" s="358" t="n">
        <v>0</v>
      </c>
      <c r="H131" s="359" t="n">
        <v>1</v>
      </c>
    </row>
    <row r="132" customFormat="false" ht="15" hidden="true" customHeight="false" outlineLevel="0" collapsed="false">
      <c r="B132" s="360" t="s">
        <v>2624</v>
      </c>
      <c r="C132" s="359" t="n">
        <v>1</v>
      </c>
      <c r="D132" s="358" t="n">
        <v>0</v>
      </c>
      <c r="E132" s="358" t="n">
        <v>0</v>
      </c>
      <c r="F132" s="358" t="n">
        <v>0</v>
      </c>
      <c r="G132" s="358" t="n">
        <v>0</v>
      </c>
      <c r="H132" s="359" t="n">
        <v>1</v>
      </c>
    </row>
    <row r="133" customFormat="false" ht="15" hidden="true" customHeight="false" outlineLevel="0" collapsed="false">
      <c r="B133" s="360" t="s">
        <v>2625</v>
      </c>
      <c r="C133" s="359" t="n">
        <v>1</v>
      </c>
      <c r="D133" s="358" t="n">
        <v>0</v>
      </c>
      <c r="E133" s="358" t="n">
        <v>0</v>
      </c>
      <c r="F133" s="358" t="n">
        <v>0</v>
      </c>
      <c r="G133" s="358" t="n">
        <v>0</v>
      </c>
      <c r="H133" s="359" t="n">
        <v>1</v>
      </c>
    </row>
    <row r="134" customFormat="false" ht="15" hidden="true" customHeight="false" outlineLevel="0" collapsed="false">
      <c r="B134" s="360" t="s">
        <v>2626</v>
      </c>
      <c r="C134" s="359" t="n">
        <v>1</v>
      </c>
      <c r="D134" s="358" t="n">
        <v>0</v>
      </c>
      <c r="E134" s="358" t="n">
        <v>0</v>
      </c>
      <c r="F134" s="358" t="n">
        <v>0</v>
      </c>
      <c r="G134" s="358" t="n">
        <v>0</v>
      </c>
      <c r="H134" s="359" t="n">
        <v>1</v>
      </c>
    </row>
    <row r="135" customFormat="false" ht="15" hidden="true" customHeight="false" outlineLevel="0" collapsed="false">
      <c r="B135" s="360" t="s">
        <v>2627</v>
      </c>
      <c r="C135" s="359" t="n">
        <v>1</v>
      </c>
      <c r="D135" s="358" t="n">
        <v>0</v>
      </c>
      <c r="E135" s="358" t="n">
        <v>0</v>
      </c>
      <c r="F135" s="358" t="n">
        <v>0</v>
      </c>
      <c r="G135" s="358" t="n">
        <v>0</v>
      </c>
      <c r="H135" s="359" t="n">
        <v>1</v>
      </c>
    </row>
    <row r="136" customFormat="false" ht="15" hidden="true" customHeight="false" outlineLevel="0" collapsed="false">
      <c r="B136" s="360" t="s">
        <v>2628</v>
      </c>
      <c r="C136" s="359"/>
      <c r="D136" s="358" t="n">
        <v>1</v>
      </c>
      <c r="E136" s="358"/>
      <c r="F136" s="358"/>
      <c r="G136" s="358"/>
      <c r="H136" s="359" t="n">
        <v>1</v>
      </c>
    </row>
    <row r="137" customFormat="false" ht="15" hidden="true" customHeight="false" outlineLevel="0" collapsed="false">
      <c r="B137" s="360" t="s">
        <v>2629</v>
      </c>
      <c r="C137" s="359"/>
      <c r="D137" s="358" t="n">
        <v>1</v>
      </c>
      <c r="E137" s="358"/>
      <c r="F137" s="358"/>
      <c r="G137" s="358"/>
      <c r="H137" s="359" t="n">
        <v>1</v>
      </c>
    </row>
    <row r="138" customFormat="false" ht="15" hidden="true" customHeight="false" outlineLevel="0" collapsed="false">
      <c r="B138" s="360" t="s">
        <v>2630</v>
      </c>
      <c r="C138" s="359" t="n">
        <v>1</v>
      </c>
      <c r="D138" s="358" t="n">
        <v>0</v>
      </c>
      <c r="E138" s="358" t="n">
        <v>0</v>
      </c>
      <c r="F138" s="358" t="n">
        <v>0</v>
      </c>
      <c r="G138" s="358" t="n">
        <v>0</v>
      </c>
      <c r="H138" s="359" t="n">
        <v>1</v>
      </c>
    </row>
    <row r="139" customFormat="false" ht="15" hidden="false" customHeight="false" outlineLevel="0" collapsed="false">
      <c r="B139" s="310" t="s">
        <v>2460</v>
      </c>
      <c r="C139" s="359" t="n">
        <v>17</v>
      </c>
      <c r="D139" s="358" t="n">
        <v>0</v>
      </c>
      <c r="E139" s="358" t="n">
        <v>0</v>
      </c>
      <c r="F139" s="358" t="n">
        <v>0</v>
      </c>
      <c r="G139" s="358" t="n">
        <v>0</v>
      </c>
      <c r="H139" s="359" t="n">
        <v>17</v>
      </c>
    </row>
    <row r="140" customFormat="false" ht="15" hidden="true" customHeight="false" outlineLevel="0" collapsed="false">
      <c r="B140" s="360" t="s">
        <v>2631</v>
      </c>
      <c r="C140" s="359" t="n">
        <v>1</v>
      </c>
      <c r="D140" s="358" t="n">
        <v>0</v>
      </c>
      <c r="E140" s="358" t="n">
        <v>0</v>
      </c>
      <c r="F140" s="358" t="n">
        <v>0</v>
      </c>
      <c r="G140" s="358" t="n">
        <v>0</v>
      </c>
      <c r="H140" s="359" t="n">
        <v>1</v>
      </c>
    </row>
    <row r="141" customFormat="false" ht="15" hidden="true" customHeight="false" outlineLevel="0" collapsed="false">
      <c r="B141" s="360" t="s">
        <v>2632</v>
      </c>
      <c r="C141" s="359" t="n">
        <v>1</v>
      </c>
      <c r="D141" s="358" t="n">
        <v>0</v>
      </c>
      <c r="E141" s="358" t="n">
        <v>0</v>
      </c>
      <c r="F141" s="358" t="n">
        <v>0</v>
      </c>
      <c r="G141" s="358" t="n">
        <v>0</v>
      </c>
      <c r="H141" s="359" t="n">
        <v>1</v>
      </c>
    </row>
    <row r="142" customFormat="false" ht="15" hidden="true" customHeight="false" outlineLevel="0" collapsed="false">
      <c r="B142" s="360" t="s">
        <v>2633</v>
      </c>
      <c r="C142" s="359" t="n">
        <v>1</v>
      </c>
      <c r="D142" s="358" t="n">
        <v>0</v>
      </c>
      <c r="E142" s="358" t="n">
        <v>0</v>
      </c>
      <c r="F142" s="358" t="n">
        <v>0</v>
      </c>
      <c r="G142" s="358" t="n">
        <v>0</v>
      </c>
      <c r="H142" s="359" t="n">
        <v>1</v>
      </c>
    </row>
    <row r="143" customFormat="false" ht="15" hidden="true" customHeight="false" outlineLevel="0" collapsed="false">
      <c r="B143" s="360" t="s">
        <v>2634</v>
      </c>
      <c r="C143" s="359" t="n">
        <v>1</v>
      </c>
      <c r="D143" s="358" t="n">
        <v>0</v>
      </c>
      <c r="E143" s="358" t="n">
        <v>0</v>
      </c>
      <c r="F143" s="358" t="n">
        <v>0</v>
      </c>
      <c r="G143" s="358" t="n">
        <v>0</v>
      </c>
      <c r="H143" s="359" t="n">
        <v>1</v>
      </c>
    </row>
    <row r="144" customFormat="false" ht="15" hidden="true" customHeight="false" outlineLevel="0" collapsed="false">
      <c r="B144" s="360" t="s">
        <v>2635</v>
      </c>
      <c r="C144" s="359" t="n">
        <v>1</v>
      </c>
      <c r="D144" s="358" t="n">
        <v>0</v>
      </c>
      <c r="E144" s="358" t="n">
        <v>0</v>
      </c>
      <c r="F144" s="358" t="n">
        <v>0</v>
      </c>
      <c r="G144" s="358" t="n">
        <v>0</v>
      </c>
      <c r="H144" s="359" t="n">
        <v>1</v>
      </c>
    </row>
    <row r="145" customFormat="false" ht="15" hidden="true" customHeight="false" outlineLevel="0" collapsed="false">
      <c r="B145" s="360" t="s">
        <v>2636</v>
      </c>
      <c r="C145" s="359" t="n">
        <v>1</v>
      </c>
      <c r="D145" s="358" t="n">
        <v>0</v>
      </c>
      <c r="E145" s="358" t="n">
        <v>0</v>
      </c>
      <c r="F145" s="358" t="n">
        <v>0</v>
      </c>
      <c r="G145" s="358" t="n">
        <v>0</v>
      </c>
      <c r="H145" s="359" t="n">
        <v>1</v>
      </c>
    </row>
    <row r="146" customFormat="false" ht="15" hidden="true" customHeight="false" outlineLevel="0" collapsed="false">
      <c r="B146" s="360" t="s">
        <v>2637</v>
      </c>
      <c r="C146" s="359" t="n">
        <v>1</v>
      </c>
      <c r="D146" s="358" t="n">
        <v>0</v>
      </c>
      <c r="E146" s="358" t="n">
        <v>0</v>
      </c>
      <c r="F146" s="358" t="n">
        <v>0</v>
      </c>
      <c r="G146" s="358" t="n">
        <v>0</v>
      </c>
      <c r="H146" s="359" t="n">
        <v>1</v>
      </c>
    </row>
    <row r="147" customFormat="false" ht="15" hidden="true" customHeight="false" outlineLevel="0" collapsed="false">
      <c r="B147" s="360" t="s">
        <v>2638</v>
      </c>
      <c r="C147" s="359" t="n">
        <v>1</v>
      </c>
      <c r="D147" s="358" t="n">
        <v>0</v>
      </c>
      <c r="E147" s="358" t="n">
        <v>0</v>
      </c>
      <c r="F147" s="358" t="n">
        <v>0</v>
      </c>
      <c r="G147" s="358" t="n">
        <v>0</v>
      </c>
      <c r="H147" s="359" t="n">
        <v>1</v>
      </c>
    </row>
    <row r="148" customFormat="false" ht="15" hidden="true" customHeight="false" outlineLevel="0" collapsed="false">
      <c r="B148" s="360" t="s">
        <v>2639</v>
      </c>
      <c r="C148" s="359" t="n">
        <v>1</v>
      </c>
      <c r="D148" s="358" t="n">
        <v>0</v>
      </c>
      <c r="E148" s="358" t="n">
        <v>0</v>
      </c>
      <c r="F148" s="358" t="n">
        <v>0</v>
      </c>
      <c r="G148" s="358" t="n">
        <v>0</v>
      </c>
      <c r="H148" s="359" t="n">
        <v>1</v>
      </c>
    </row>
    <row r="149" customFormat="false" ht="15" hidden="true" customHeight="false" outlineLevel="0" collapsed="false">
      <c r="B149" s="360" t="s">
        <v>2640</v>
      </c>
      <c r="C149" s="359" t="n">
        <v>1</v>
      </c>
      <c r="D149" s="358" t="n">
        <v>0</v>
      </c>
      <c r="E149" s="358" t="n">
        <v>0</v>
      </c>
      <c r="F149" s="358" t="n">
        <v>0</v>
      </c>
      <c r="G149" s="358" t="n">
        <v>0</v>
      </c>
      <c r="H149" s="359" t="n">
        <v>1</v>
      </c>
    </row>
    <row r="150" customFormat="false" ht="15" hidden="true" customHeight="false" outlineLevel="0" collapsed="false">
      <c r="B150" s="360" t="s">
        <v>2641</v>
      </c>
      <c r="C150" s="359" t="n">
        <v>1</v>
      </c>
      <c r="D150" s="358" t="n">
        <v>0</v>
      </c>
      <c r="E150" s="358" t="n">
        <v>0</v>
      </c>
      <c r="F150" s="358" t="n">
        <v>0</v>
      </c>
      <c r="G150" s="358" t="n">
        <v>0</v>
      </c>
      <c r="H150" s="359" t="n">
        <v>1</v>
      </c>
    </row>
    <row r="151" customFormat="false" ht="15" hidden="true" customHeight="false" outlineLevel="0" collapsed="false">
      <c r="B151" s="360" t="s">
        <v>2642</v>
      </c>
      <c r="C151" s="359" t="n">
        <v>1</v>
      </c>
      <c r="D151" s="358" t="n">
        <v>0</v>
      </c>
      <c r="E151" s="358" t="n">
        <v>0</v>
      </c>
      <c r="F151" s="358" t="n">
        <v>0</v>
      </c>
      <c r="G151" s="358" t="n">
        <v>0</v>
      </c>
      <c r="H151" s="359" t="n">
        <v>1</v>
      </c>
    </row>
    <row r="152" customFormat="false" ht="15" hidden="true" customHeight="false" outlineLevel="0" collapsed="false">
      <c r="B152" s="360" t="s">
        <v>2643</v>
      </c>
      <c r="C152" s="359" t="n">
        <v>1</v>
      </c>
      <c r="D152" s="358" t="n">
        <v>0</v>
      </c>
      <c r="E152" s="358" t="n">
        <v>0</v>
      </c>
      <c r="F152" s="358" t="n">
        <v>0</v>
      </c>
      <c r="G152" s="358" t="n">
        <v>0</v>
      </c>
      <c r="H152" s="359" t="n">
        <v>1</v>
      </c>
    </row>
    <row r="153" customFormat="false" ht="15" hidden="true" customHeight="false" outlineLevel="0" collapsed="false">
      <c r="B153" s="360" t="s">
        <v>2644</v>
      </c>
      <c r="C153" s="359" t="n">
        <v>1</v>
      </c>
      <c r="D153" s="358" t="n">
        <v>0</v>
      </c>
      <c r="E153" s="358" t="n">
        <v>0</v>
      </c>
      <c r="F153" s="358" t="n">
        <v>0</v>
      </c>
      <c r="G153" s="358" t="n">
        <v>0</v>
      </c>
      <c r="H153" s="359" t="n">
        <v>1</v>
      </c>
    </row>
    <row r="154" customFormat="false" ht="15" hidden="true" customHeight="false" outlineLevel="0" collapsed="false">
      <c r="B154" s="360" t="s">
        <v>2645</v>
      </c>
      <c r="C154" s="359" t="n">
        <v>1</v>
      </c>
      <c r="D154" s="358" t="n">
        <v>0</v>
      </c>
      <c r="E154" s="358" t="n">
        <v>0</v>
      </c>
      <c r="F154" s="358" t="n">
        <v>0</v>
      </c>
      <c r="G154" s="358" t="n">
        <v>0</v>
      </c>
      <c r="H154" s="359" t="n">
        <v>1</v>
      </c>
    </row>
    <row r="155" customFormat="false" ht="15" hidden="true" customHeight="false" outlineLevel="0" collapsed="false">
      <c r="B155" s="361" t="s">
        <v>2646</v>
      </c>
      <c r="C155" s="359" t="n">
        <v>1</v>
      </c>
      <c r="D155" s="358" t="n">
        <v>0</v>
      </c>
      <c r="E155" s="358" t="n">
        <v>0</v>
      </c>
      <c r="F155" s="358" t="n">
        <v>0</v>
      </c>
      <c r="G155" s="358" t="n">
        <v>0</v>
      </c>
      <c r="H155" s="359" t="n">
        <v>1</v>
      </c>
    </row>
    <row r="156" customFormat="false" ht="15" hidden="true" customHeight="false" outlineLevel="0" collapsed="false">
      <c r="B156" s="361" t="s">
        <v>2647</v>
      </c>
      <c r="C156" s="359" t="n">
        <v>1</v>
      </c>
      <c r="D156" s="358" t="n">
        <v>0</v>
      </c>
      <c r="E156" s="358" t="n">
        <v>0</v>
      </c>
      <c r="F156" s="358" t="n">
        <v>0</v>
      </c>
      <c r="G156" s="358" t="n">
        <v>0</v>
      </c>
      <c r="H156" s="359" t="n">
        <v>1</v>
      </c>
    </row>
    <row r="157" customFormat="false" ht="15" hidden="false" customHeight="false" outlineLevel="0" collapsed="false">
      <c r="B157" s="356" t="s">
        <v>2461</v>
      </c>
      <c r="C157" s="357" t="n">
        <v>26</v>
      </c>
      <c r="D157" s="358" t="n">
        <v>0</v>
      </c>
      <c r="E157" s="358" t="n">
        <v>0</v>
      </c>
      <c r="F157" s="358" t="n">
        <v>0</v>
      </c>
      <c r="G157" s="358" t="n">
        <v>0</v>
      </c>
      <c r="H157" s="357" t="n">
        <v>26</v>
      </c>
    </row>
    <row r="158" customFormat="false" ht="15" hidden="true" customHeight="false" outlineLevel="0" collapsed="false">
      <c r="B158" s="360" t="s">
        <v>2648</v>
      </c>
      <c r="C158" s="359" t="n">
        <v>1</v>
      </c>
      <c r="D158" s="358" t="n">
        <v>0</v>
      </c>
      <c r="E158" s="358" t="n">
        <v>0</v>
      </c>
      <c r="F158" s="358" t="n">
        <v>0</v>
      </c>
      <c r="G158" s="358" t="n">
        <v>0</v>
      </c>
      <c r="H158" s="359" t="n">
        <v>1</v>
      </c>
    </row>
    <row r="159" customFormat="false" ht="15" hidden="true" customHeight="false" outlineLevel="0" collapsed="false">
      <c r="B159" s="360" t="s">
        <v>2649</v>
      </c>
      <c r="C159" s="359" t="n">
        <v>1</v>
      </c>
      <c r="D159" s="358" t="n">
        <v>0</v>
      </c>
      <c r="E159" s="358" t="n">
        <v>0</v>
      </c>
      <c r="F159" s="358" t="n">
        <v>0</v>
      </c>
      <c r="G159" s="358" t="n">
        <v>0</v>
      </c>
      <c r="H159" s="359" t="n">
        <v>1</v>
      </c>
    </row>
    <row r="160" customFormat="false" ht="15" hidden="true" customHeight="false" outlineLevel="0" collapsed="false">
      <c r="B160" s="360" t="s">
        <v>2650</v>
      </c>
      <c r="C160" s="359" t="n">
        <v>1</v>
      </c>
      <c r="D160" s="358" t="n">
        <v>0</v>
      </c>
      <c r="E160" s="358" t="n">
        <v>0</v>
      </c>
      <c r="F160" s="358" t="n">
        <v>0</v>
      </c>
      <c r="G160" s="358" t="n">
        <v>0</v>
      </c>
      <c r="H160" s="359" t="n">
        <v>1</v>
      </c>
    </row>
    <row r="161" customFormat="false" ht="15" hidden="true" customHeight="false" outlineLevel="0" collapsed="false">
      <c r="B161" s="360" t="s">
        <v>2651</v>
      </c>
      <c r="C161" s="359" t="n">
        <v>1</v>
      </c>
      <c r="D161" s="358" t="n">
        <v>0</v>
      </c>
      <c r="E161" s="358" t="n">
        <v>0</v>
      </c>
      <c r="F161" s="358" t="n">
        <v>0</v>
      </c>
      <c r="G161" s="358" t="n">
        <v>0</v>
      </c>
      <c r="H161" s="359" t="n">
        <v>1</v>
      </c>
    </row>
    <row r="162" customFormat="false" ht="15" hidden="true" customHeight="false" outlineLevel="0" collapsed="false">
      <c r="B162" s="360" t="s">
        <v>2652</v>
      </c>
      <c r="C162" s="359" t="n">
        <v>1</v>
      </c>
      <c r="D162" s="358" t="n">
        <v>0</v>
      </c>
      <c r="E162" s="358" t="n">
        <v>0</v>
      </c>
      <c r="F162" s="358" t="n">
        <v>0</v>
      </c>
      <c r="G162" s="358" t="n">
        <v>0</v>
      </c>
      <c r="H162" s="359" t="n">
        <v>1</v>
      </c>
    </row>
    <row r="163" customFormat="false" ht="15" hidden="true" customHeight="false" outlineLevel="0" collapsed="false">
      <c r="B163" s="360" t="s">
        <v>2653</v>
      </c>
      <c r="C163" s="359" t="n">
        <v>1</v>
      </c>
      <c r="D163" s="358" t="n">
        <v>0</v>
      </c>
      <c r="E163" s="358" t="n">
        <v>0</v>
      </c>
      <c r="F163" s="358" t="n">
        <v>0</v>
      </c>
      <c r="G163" s="358" t="n">
        <v>0</v>
      </c>
      <c r="H163" s="359" t="n">
        <v>1</v>
      </c>
    </row>
    <row r="164" customFormat="false" ht="15" hidden="true" customHeight="false" outlineLevel="0" collapsed="false">
      <c r="B164" s="360" t="s">
        <v>2654</v>
      </c>
      <c r="C164" s="359" t="n">
        <v>1</v>
      </c>
      <c r="D164" s="358" t="n">
        <v>0</v>
      </c>
      <c r="E164" s="358" t="n">
        <v>0</v>
      </c>
      <c r="F164" s="358" t="n">
        <v>0</v>
      </c>
      <c r="G164" s="358" t="n">
        <v>0</v>
      </c>
      <c r="H164" s="359" t="n">
        <v>1</v>
      </c>
    </row>
    <row r="165" customFormat="false" ht="15" hidden="true" customHeight="false" outlineLevel="0" collapsed="false">
      <c r="B165" s="360" t="s">
        <v>2655</v>
      </c>
      <c r="C165" s="359" t="n">
        <v>1</v>
      </c>
      <c r="D165" s="358" t="n">
        <v>0</v>
      </c>
      <c r="E165" s="358" t="n">
        <v>0</v>
      </c>
      <c r="F165" s="358" t="n">
        <v>0</v>
      </c>
      <c r="G165" s="358" t="n">
        <v>0</v>
      </c>
      <c r="H165" s="359" t="n">
        <v>1</v>
      </c>
    </row>
    <row r="166" customFormat="false" ht="15" hidden="true" customHeight="false" outlineLevel="0" collapsed="false">
      <c r="B166" s="360" t="s">
        <v>2656</v>
      </c>
      <c r="C166" s="359" t="n">
        <v>1</v>
      </c>
      <c r="D166" s="358" t="n">
        <v>0</v>
      </c>
      <c r="E166" s="358" t="n">
        <v>0</v>
      </c>
      <c r="F166" s="358" t="n">
        <v>0</v>
      </c>
      <c r="G166" s="358" t="n">
        <v>0</v>
      </c>
      <c r="H166" s="359" t="n">
        <v>1</v>
      </c>
    </row>
    <row r="167" customFormat="false" ht="15" hidden="true" customHeight="false" outlineLevel="0" collapsed="false">
      <c r="B167" s="360" t="s">
        <v>2657</v>
      </c>
      <c r="C167" s="359" t="n">
        <v>1</v>
      </c>
      <c r="D167" s="358" t="n">
        <v>0</v>
      </c>
      <c r="E167" s="358" t="n">
        <v>0</v>
      </c>
      <c r="F167" s="358" t="n">
        <v>0</v>
      </c>
      <c r="G167" s="358" t="n">
        <v>0</v>
      </c>
      <c r="H167" s="359" t="n">
        <v>1</v>
      </c>
    </row>
    <row r="168" customFormat="false" ht="15" hidden="true" customHeight="false" outlineLevel="0" collapsed="false">
      <c r="B168" s="360" t="s">
        <v>2658</v>
      </c>
      <c r="C168" s="359" t="n">
        <v>1</v>
      </c>
      <c r="D168" s="358" t="n">
        <v>0</v>
      </c>
      <c r="E168" s="358" t="n">
        <v>0</v>
      </c>
      <c r="F168" s="358" t="n">
        <v>0</v>
      </c>
      <c r="G168" s="358" t="n">
        <v>0</v>
      </c>
      <c r="H168" s="359" t="n">
        <v>1</v>
      </c>
    </row>
    <row r="169" customFormat="false" ht="15" hidden="true" customHeight="false" outlineLevel="0" collapsed="false">
      <c r="B169" s="360" t="s">
        <v>2659</v>
      </c>
      <c r="C169" s="359" t="n">
        <v>1</v>
      </c>
      <c r="D169" s="358" t="n">
        <v>0</v>
      </c>
      <c r="E169" s="358" t="n">
        <v>0</v>
      </c>
      <c r="F169" s="358" t="n">
        <v>0</v>
      </c>
      <c r="G169" s="358" t="n">
        <v>0</v>
      </c>
      <c r="H169" s="359" t="n">
        <v>1</v>
      </c>
    </row>
    <row r="170" customFormat="false" ht="15" hidden="true" customHeight="false" outlineLevel="0" collapsed="false">
      <c r="B170" s="360" t="s">
        <v>2660</v>
      </c>
      <c r="C170" s="359" t="n">
        <v>1</v>
      </c>
      <c r="D170" s="358" t="n">
        <v>0</v>
      </c>
      <c r="E170" s="358" t="n">
        <v>0</v>
      </c>
      <c r="F170" s="358" t="n">
        <v>0</v>
      </c>
      <c r="G170" s="358" t="n">
        <v>0</v>
      </c>
      <c r="H170" s="359" t="n">
        <v>1</v>
      </c>
    </row>
    <row r="171" customFormat="false" ht="15" hidden="true" customHeight="false" outlineLevel="0" collapsed="false">
      <c r="B171" s="360" t="s">
        <v>2661</v>
      </c>
      <c r="C171" s="359" t="n">
        <v>1</v>
      </c>
      <c r="D171" s="358" t="n">
        <v>0</v>
      </c>
      <c r="E171" s="358" t="n">
        <v>0</v>
      </c>
      <c r="F171" s="358" t="n">
        <v>0</v>
      </c>
      <c r="G171" s="358" t="n">
        <v>0</v>
      </c>
      <c r="H171" s="359" t="n">
        <v>1</v>
      </c>
    </row>
    <row r="172" customFormat="false" ht="15" hidden="true" customHeight="false" outlineLevel="0" collapsed="false">
      <c r="B172" s="360" t="s">
        <v>2662</v>
      </c>
      <c r="C172" s="359" t="n">
        <v>1</v>
      </c>
      <c r="D172" s="358" t="n">
        <v>0</v>
      </c>
      <c r="E172" s="358" t="n">
        <v>0</v>
      </c>
      <c r="F172" s="358" t="n">
        <v>0</v>
      </c>
      <c r="G172" s="358" t="n">
        <v>0</v>
      </c>
      <c r="H172" s="359" t="n">
        <v>1</v>
      </c>
    </row>
    <row r="173" customFormat="false" ht="15" hidden="true" customHeight="false" outlineLevel="0" collapsed="false">
      <c r="B173" s="360" t="s">
        <v>2663</v>
      </c>
      <c r="C173" s="359" t="n">
        <v>1</v>
      </c>
      <c r="D173" s="358" t="n">
        <v>0</v>
      </c>
      <c r="E173" s="358" t="n">
        <v>0</v>
      </c>
      <c r="F173" s="358" t="n">
        <v>0</v>
      </c>
      <c r="G173" s="358" t="n">
        <v>0</v>
      </c>
      <c r="H173" s="359" t="n">
        <v>1</v>
      </c>
    </row>
    <row r="174" customFormat="false" ht="15" hidden="true" customHeight="false" outlineLevel="0" collapsed="false">
      <c r="B174" s="360" t="s">
        <v>2664</v>
      </c>
      <c r="C174" s="359" t="n">
        <v>1</v>
      </c>
      <c r="D174" s="358" t="n">
        <v>0</v>
      </c>
      <c r="E174" s="358" t="n">
        <v>0</v>
      </c>
      <c r="F174" s="358" t="n">
        <v>0</v>
      </c>
      <c r="G174" s="358" t="n">
        <v>0</v>
      </c>
      <c r="H174" s="359" t="n">
        <v>1</v>
      </c>
    </row>
    <row r="175" customFormat="false" ht="15" hidden="true" customHeight="false" outlineLevel="0" collapsed="false">
      <c r="B175" s="360" t="s">
        <v>2665</v>
      </c>
      <c r="C175" s="359" t="n">
        <v>1</v>
      </c>
      <c r="D175" s="358" t="n">
        <v>0</v>
      </c>
      <c r="E175" s="358" t="n">
        <v>0</v>
      </c>
      <c r="F175" s="358" t="n">
        <v>0</v>
      </c>
      <c r="G175" s="358" t="n">
        <v>0</v>
      </c>
      <c r="H175" s="359" t="n">
        <v>1</v>
      </c>
    </row>
    <row r="176" customFormat="false" ht="15" hidden="true" customHeight="false" outlineLevel="0" collapsed="false">
      <c r="B176" s="360" t="s">
        <v>2666</v>
      </c>
      <c r="C176" s="359" t="n">
        <v>1</v>
      </c>
      <c r="D176" s="358" t="n">
        <v>0</v>
      </c>
      <c r="E176" s="358" t="n">
        <v>0</v>
      </c>
      <c r="F176" s="358" t="n">
        <v>0</v>
      </c>
      <c r="G176" s="358" t="n">
        <v>0</v>
      </c>
      <c r="H176" s="359" t="n">
        <v>1</v>
      </c>
    </row>
    <row r="177" customFormat="false" ht="15" hidden="true" customHeight="false" outlineLevel="0" collapsed="false">
      <c r="B177" s="360" t="s">
        <v>2667</v>
      </c>
      <c r="C177" s="359" t="n">
        <v>1</v>
      </c>
      <c r="D177" s="358" t="n">
        <v>0</v>
      </c>
      <c r="E177" s="358" t="n">
        <v>0</v>
      </c>
      <c r="F177" s="358" t="n">
        <v>0</v>
      </c>
      <c r="G177" s="358" t="n">
        <v>0</v>
      </c>
      <c r="H177" s="359" t="n">
        <v>1</v>
      </c>
    </row>
    <row r="178" customFormat="false" ht="15" hidden="true" customHeight="false" outlineLevel="0" collapsed="false">
      <c r="B178" s="360" t="s">
        <v>2668</v>
      </c>
      <c r="C178" s="359" t="n">
        <v>1</v>
      </c>
      <c r="D178" s="358" t="n">
        <v>0</v>
      </c>
      <c r="E178" s="358" t="n">
        <v>0</v>
      </c>
      <c r="F178" s="358" t="n">
        <v>0</v>
      </c>
      <c r="G178" s="358" t="n">
        <v>0</v>
      </c>
      <c r="H178" s="359" t="n">
        <v>1</v>
      </c>
    </row>
    <row r="179" customFormat="false" ht="15" hidden="true" customHeight="false" outlineLevel="0" collapsed="false">
      <c r="B179" s="360" t="s">
        <v>2669</v>
      </c>
      <c r="C179" s="359" t="n">
        <v>1</v>
      </c>
      <c r="D179" s="358" t="n">
        <v>0</v>
      </c>
      <c r="E179" s="358" t="n">
        <v>0</v>
      </c>
      <c r="F179" s="358" t="n">
        <v>0</v>
      </c>
      <c r="G179" s="358" t="n">
        <v>0</v>
      </c>
      <c r="H179" s="359" t="n">
        <v>1</v>
      </c>
    </row>
    <row r="180" customFormat="false" ht="15" hidden="true" customHeight="false" outlineLevel="0" collapsed="false">
      <c r="B180" s="360" t="s">
        <v>2670</v>
      </c>
      <c r="C180" s="359" t="n">
        <v>1</v>
      </c>
      <c r="D180" s="358" t="n">
        <v>0</v>
      </c>
      <c r="E180" s="358" t="n">
        <v>0</v>
      </c>
      <c r="F180" s="358" t="n">
        <v>0</v>
      </c>
      <c r="G180" s="358" t="n">
        <v>0</v>
      </c>
      <c r="H180" s="359" t="n">
        <v>1</v>
      </c>
    </row>
    <row r="181" customFormat="false" ht="15" hidden="true" customHeight="false" outlineLevel="0" collapsed="false">
      <c r="B181" s="360" t="s">
        <v>2671</v>
      </c>
      <c r="C181" s="359" t="n">
        <v>1</v>
      </c>
      <c r="D181" s="358" t="n">
        <v>0</v>
      </c>
      <c r="E181" s="358" t="n">
        <v>0</v>
      </c>
      <c r="F181" s="358" t="n">
        <v>0</v>
      </c>
      <c r="G181" s="358" t="n">
        <v>0</v>
      </c>
      <c r="H181" s="359" t="n">
        <v>1</v>
      </c>
    </row>
    <row r="182" customFormat="false" ht="15" hidden="true" customHeight="false" outlineLevel="0" collapsed="false">
      <c r="B182" s="360" t="s">
        <v>2672</v>
      </c>
      <c r="C182" s="359" t="n">
        <v>1</v>
      </c>
      <c r="D182" s="358" t="n">
        <v>0</v>
      </c>
      <c r="E182" s="358" t="n">
        <v>0</v>
      </c>
      <c r="F182" s="358" t="n">
        <v>0</v>
      </c>
      <c r="G182" s="358" t="n">
        <v>0</v>
      </c>
      <c r="H182" s="359" t="n">
        <v>1</v>
      </c>
    </row>
    <row r="183" customFormat="false" ht="15" hidden="true" customHeight="false" outlineLevel="0" collapsed="false">
      <c r="B183" s="360" t="s">
        <v>2673</v>
      </c>
      <c r="C183" s="359" t="n">
        <v>1</v>
      </c>
      <c r="D183" s="358" t="n">
        <v>0</v>
      </c>
      <c r="E183" s="358" t="n">
        <v>0</v>
      </c>
      <c r="F183" s="358" t="n">
        <v>0</v>
      </c>
      <c r="G183" s="358" t="n">
        <v>0</v>
      </c>
      <c r="H183" s="359" t="n">
        <v>1</v>
      </c>
    </row>
    <row r="184" customFormat="false" ht="15" hidden="false" customHeight="false" outlineLevel="0" collapsed="false">
      <c r="B184" s="356" t="s">
        <v>2462</v>
      </c>
      <c r="C184" s="357" t="n">
        <v>3</v>
      </c>
      <c r="D184" s="358" t="n">
        <v>0</v>
      </c>
      <c r="E184" s="358" t="n">
        <v>0</v>
      </c>
      <c r="F184" s="358" t="n">
        <v>0</v>
      </c>
      <c r="G184" s="358" t="n">
        <v>0</v>
      </c>
      <c r="H184" s="357" t="n">
        <v>3</v>
      </c>
    </row>
    <row r="185" customFormat="false" ht="15" hidden="true" customHeight="false" outlineLevel="0" collapsed="false">
      <c r="B185" s="360" t="s">
        <v>2674</v>
      </c>
      <c r="C185" s="359" t="n">
        <v>1</v>
      </c>
      <c r="D185" s="358" t="n">
        <v>0</v>
      </c>
      <c r="E185" s="358" t="n">
        <v>0</v>
      </c>
      <c r="F185" s="358" t="n">
        <v>0</v>
      </c>
      <c r="G185" s="358" t="n">
        <v>0</v>
      </c>
      <c r="H185" s="359" t="n">
        <v>1</v>
      </c>
    </row>
    <row r="186" customFormat="false" ht="15" hidden="true" customHeight="false" outlineLevel="0" collapsed="false">
      <c r="B186" s="360" t="s">
        <v>2675</v>
      </c>
      <c r="C186" s="359" t="n">
        <v>1</v>
      </c>
      <c r="D186" s="358" t="n">
        <v>0</v>
      </c>
      <c r="E186" s="358" t="n">
        <v>0</v>
      </c>
      <c r="F186" s="358" t="n">
        <v>0</v>
      </c>
      <c r="G186" s="358" t="n">
        <v>0</v>
      </c>
      <c r="H186" s="359" t="n">
        <v>1</v>
      </c>
    </row>
    <row r="187" customFormat="false" ht="15" hidden="true" customHeight="false" outlineLevel="0" collapsed="false">
      <c r="B187" s="360" t="s">
        <v>2676</v>
      </c>
      <c r="C187" s="359" t="n">
        <v>1</v>
      </c>
      <c r="D187" s="358" t="n">
        <v>0</v>
      </c>
      <c r="E187" s="358" t="n">
        <v>0</v>
      </c>
      <c r="F187" s="358" t="n">
        <v>0</v>
      </c>
      <c r="G187" s="358" t="n">
        <v>0</v>
      </c>
      <c r="H187" s="359" t="n">
        <v>1</v>
      </c>
    </row>
    <row r="188" customFormat="false" ht="15" hidden="false" customHeight="false" outlineLevel="0" collapsed="false">
      <c r="B188" s="356" t="s">
        <v>2463</v>
      </c>
      <c r="C188" s="357" t="n">
        <v>9</v>
      </c>
      <c r="D188" s="358" t="n">
        <v>0</v>
      </c>
      <c r="E188" s="358" t="n">
        <v>0</v>
      </c>
      <c r="F188" s="358" t="n">
        <v>0</v>
      </c>
      <c r="G188" s="358" t="n">
        <v>0</v>
      </c>
      <c r="H188" s="357" t="n">
        <v>9</v>
      </c>
    </row>
    <row r="189" customFormat="false" ht="15" hidden="true" customHeight="false" outlineLevel="0" collapsed="false">
      <c r="B189" s="360" t="s">
        <v>2677</v>
      </c>
      <c r="C189" s="359" t="n">
        <v>1</v>
      </c>
      <c r="D189" s="358" t="n">
        <v>0</v>
      </c>
      <c r="E189" s="358" t="n">
        <v>0</v>
      </c>
      <c r="F189" s="358" t="n">
        <v>0</v>
      </c>
      <c r="G189" s="358" t="n">
        <v>0</v>
      </c>
      <c r="H189" s="359" t="n">
        <v>1</v>
      </c>
    </row>
    <row r="190" customFormat="false" ht="15" hidden="true" customHeight="false" outlineLevel="0" collapsed="false">
      <c r="B190" s="360" t="s">
        <v>2678</v>
      </c>
      <c r="C190" s="359" t="n">
        <v>1</v>
      </c>
      <c r="D190" s="358" t="n">
        <v>0</v>
      </c>
      <c r="E190" s="358" t="n">
        <v>0</v>
      </c>
      <c r="F190" s="358" t="n">
        <v>0</v>
      </c>
      <c r="G190" s="358" t="n">
        <v>0</v>
      </c>
      <c r="H190" s="359" t="n">
        <v>1</v>
      </c>
    </row>
    <row r="191" customFormat="false" ht="15" hidden="true" customHeight="false" outlineLevel="0" collapsed="false">
      <c r="B191" s="360" t="s">
        <v>2679</v>
      </c>
      <c r="C191" s="359" t="n">
        <v>1</v>
      </c>
      <c r="D191" s="358" t="n">
        <v>0</v>
      </c>
      <c r="E191" s="358" t="n">
        <v>0</v>
      </c>
      <c r="F191" s="358" t="n">
        <v>0</v>
      </c>
      <c r="G191" s="358" t="n">
        <v>0</v>
      </c>
      <c r="H191" s="359" t="n">
        <v>1</v>
      </c>
    </row>
    <row r="192" customFormat="false" ht="15" hidden="true" customHeight="false" outlineLevel="0" collapsed="false">
      <c r="B192" s="360" t="s">
        <v>2680</v>
      </c>
      <c r="C192" s="359" t="n">
        <v>1</v>
      </c>
      <c r="D192" s="358" t="n">
        <v>0</v>
      </c>
      <c r="E192" s="358" t="n">
        <v>0</v>
      </c>
      <c r="F192" s="358" t="n">
        <v>0</v>
      </c>
      <c r="G192" s="358" t="n">
        <v>0</v>
      </c>
      <c r="H192" s="359" t="n">
        <v>1</v>
      </c>
    </row>
    <row r="193" customFormat="false" ht="15" hidden="true" customHeight="false" outlineLevel="0" collapsed="false">
      <c r="B193" s="360" t="s">
        <v>2681</v>
      </c>
      <c r="C193" s="359" t="n">
        <v>1</v>
      </c>
      <c r="D193" s="358" t="n">
        <v>0</v>
      </c>
      <c r="E193" s="358" t="n">
        <v>0</v>
      </c>
      <c r="F193" s="358" t="n">
        <v>0</v>
      </c>
      <c r="G193" s="358" t="n">
        <v>0</v>
      </c>
      <c r="H193" s="359" t="n">
        <v>1</v>
      </c>
    </row>
    <row r="194" customFormat="false" ht="15" hidden="true" customHeight="false" outlineLevel="0" collapsed="false">
      <c r="B194" s="360" t="s">
        <v>2682</v>
      </c>
      <c r="C194" s="359" t="n">
        <v>1</v>
      </c>
      <c r="D194" s="358" t="n">
        <v>0</v>
      </c>
      <c r="E194" s="358" t="n">
        <v>0</v>
      </c>
      <c r="F194" s="358" t="n">
        <v>0</v>
      </c>
      <c r="G194" s="358" t="n">
        <v>0</v>
      </c>
      <c r="H194" s="359" t="n">
        <v>1</v>
      </c>
    </row>
    <row r="195" customFormat="false" ht="15" hidden="true" customHeight="false" outlineLevel="0" collapsed="false">
      <c r="B195" s="360" t="s">
        <v>2683</v>
      </c>
      <c r="C195" s="359" t="n">
        <v>1</v>
      </c>
      <c r="D195" s="358" t="n">
        <v>0</v>
      </c>
      <c r="E195" s="358" t="n">
        <v>0</v>
      </c>
      <c r="F195" s="358" t="n">
        <v>0</v>
      </c>
      <c r="G195" s="358" t="n">
        <v>0</v>
      </c>
      <c r="H195" s="359" t="n">
        <v>1</v>
      </c>
    </row>
    <row r="196" customFormat="false" ht="15" hidden="true" customHeight="false" outlineLevel="0" collapsed="false">
      <c r="B196" s="360" t="s">
        <v>2684</v>
      </c>
      <c r="C196" s="359" t="n">
        <v>1</v>
      </c>
      <c r="D196" s="358" t="n">
        <v>0</v>
      </c>
      <c r="E196" s="358" t="n">
        <v>0</v>
      </c>
      <c r="F196" s="358" t="n">
        <v>0</v>
      </c>
      <c r="G196" s="358" t="n">
        <v>0</v>
      </c>
      <c r="H196" s="359" t="n">
        <v>1</v>
      </c>
    </row>
    <row r="197" customFormat="false" ht="15" hidden="true" customHeight="false" outlineLevel="0" collapsed="false">
      <c r="B197" s="360" t="s">
        <v>2685</v>
      </c>
      <c r="C197" s="359" t="n">
        <v>1</v>
      </c>
      <c r="D197" s="358" t="n">
        <v>0</v>
      </c>
      <c r="E197" s="358" t="n">
        <v>0</v>
      </c>
      <c r="F197" s="358" t="n">
        <v>0</v>
      </c>
      <c r="G197" s="358" t="n">
        <v>0</v>
      </c>
      <c r="H197" s="359" t="n">
        <v>1</v>
      </c>
    </row>
    <row r="198" customFormat="false" ht="15" hidden="false" customHeight="false" outlineLevel="0" collapsed="false">
      <c r="B198" s="356" t="s">
        <v>2464</v>
      </c>
      <c r="C198" s="357" t="n">
        <v>140</v>
      </c>
      <c r="D198" s="358" t="n">
        <v>0</v>
      </c>
      <c r="E198" s="358" t="n">
        <v>0</v>
      </c>
      <c r="F198" s="358" t="n">
        <v>0</v>
      </c>
      <c r="G198" s="358" t="n">
        <v>0</v>
      </c>
      <c r="H198" s="357" t="n">
        <v>140</v>
      </c>
    </row>
    <row r="199" customFormat="false" ht="15" hidden="true" customHeight="false" outlineLevel="0" collapsed="false">
      <c r="B199" s="360" t="s">
        <v>2686</v>
      </c>
      <c r="C199" s="359" t="n">
        <v>1</v>
      </c>
      <c r="D199" s="358" t="n">
        <v>0</v>
      </c>
      <c r="E199" s="358" t="n">
        <v>0</v>
      </c>
      <c r="F199" s="358" t="n">
        <v>0</v>
      </c>
      <c r="G199" s="358" t="n">
        <v>0</v>
      </c>
      <c r="H199" s="359" t="n">
        <v>1</v>
      </c>
    </row>
    <row r="200" customFormat="false" ht="15" hidden="true" customHeight="false" outlineLevel="0" collapsed="false">
      <c r="B200" s="360" t="s">
        <v>2687</v>
      </c>
      <c r="C200" s="359" t="n">
        <v>1</v>
      </c>
      <c r="D200" s="358" t="n">
        <v>0</v>
      </c>
      <c r="E200" s="358" t="n">
        <v>0</v>
      </c>
      <c r="F200" s="358" t="n">
        <v>0</v>
      </c>
      <c r="G200" s="358" t="n">
        <v>0</v>
      </c>
      <c r="H200" s="359" t="n">
        <v>1</v>
      </c>
    </row>
    <row r="201" customFormat="false" ht="15" hidden="true" customHeight="false" outlineLevel="0" collapsed="false">
      <c r="B201" s="360" t="s">
        <v>2688</v>
      </c>
      <c r="C201" s="359" t="n">
        <v>1</v>
      </c>
      <c r="D201" s="358" t="n">
        <v>0</v>
      </c>
      <c r="E201" s="358" t="n">
        <v>0</v>
      </c>
      <c r="F201" s="358" t="n">
        <v>0</v>
      </c>
      <c r="G201" s="358" t="n">
        <v>0</v>
      </c>
      <c r="H201" s="359" t="n">
        <v>1</v>
      </c>
    </row>
    <row r="202" customFormat="false" ht="15" hidden="true" customHeight="false" outlineLevel="0" collapsed="false">
      <c r="B202" s="360" t="s">
        <v>2689</v>
      </c>
      <c r="C202" s="359" t="n">
        <v>1</v>
      </c>
      <c r="D202" s="358" t="n">
        <v>0</v>
      </c>
      <c r="E202" s="358" t="n">
        <v>0</v>
      </c>
      <c r="F202" s="358" t="n">
        <v>0</v>
      </c>
      <c r="G202" s="358" t="n">
        <v>0</v>
      </c>
      <c r="H202" s="359" t="n">
        <v>1</v>
      </c>
    </row>
    <row r="203" customFormat="false" ht="15" hidden="true" customHeight="false" outlineLevel="0" collapsed="false">
      <c r="B203" s="360" t="s">
        <v>2690</v>
      </c>
      <c r="C203" s="359" t="n">
        <v>1</v>
      </c>
      <c r="D203" s="358" t="n">
        <v>0</v>
      </c>
      <c r="E203" s="358" t="n">
        <v>0</v>
      </c>
      <c r="F203" s="358" t="n">
        <v>0</v>
      </c>
      <c r="G203" s="358" t="n">
        <v>0</v>
      </c>
      <c r="H203" s="359" t="n">
        <v>1</v>
      </c>
    </row>
    <row r="204" customFormat="false" ht="15" hidden="true" customHeight="false" outlineLevel="0" collapsed="false">
      <c r="B204" s="360" t="s">
        <v>2691</v>
      </c>
      <c r="C204" s="359" t="n">
        <v>1</v>
      </c>
      <c r="D204" s="358" t="n">
        <v>0</v>
      </c>
      <c r="E204" s="358" t="n">
        <v>0</v>
      </c>
      <c r="F204" s="358" t="n">
        <v>0</v>
      </c>
      <c r="G204" s="358" t="n">
        <v>0</v>
      </c>
      <c r="H204" s="359" t="n">
        <v>1</v>
      </c>
    </row>
    <row r="205" customFormat="false" ht="15" hidden="true" customHeight="false" outlineLevel="0" collapsed="false">
      <c r="B205" s="360" t="s">
        <v>2692</v>
      </c>
      <c r="C205" s="359" t="n">
        <v>1</v>
      </c>
      <c r="D205" s="358" t="n">
        <v>0</v>
      </c>
      <c r="E205" s="358" t="n">
        <v>0</v>
      </c>
      <c r="F205" s="358" t="n">
        <v>0</v>
      </c>
      <c r="G205" s="358" t="n">
        <v>0</v>
      </c>
      <c r="H205" s="359" t="n">
        <v>1</v>
      </c>
    </row>
    <row r="206" customFormat="false" ht="15" hidden="true" customHeight="false" outlineLevel="0" collapsed="false">
      <c r="B206" s="360" t="s">
        <v>2693</v>
      </c>
      <c r="C206" s="359" t="n">
        <v>1</v>
      </c>
      <c r="D206" s="358" t="n">
        <v>0</v>
      </c>
      <c r="E206" s="358" t="n">
        <v>0</v>
      </c>
      <c r="F206" s="358" t="n">
        <v>0</v>
      </c>
      <c r="G206" s="358" t="n">
        <v>0</v>
      </c>
      <c r="H206" s="359" t="n">
        <v>1</v>
      </c>
    </row>
    <row r="207" customFormat="false" ht="15" hidden="true" customHeight="false" outlineLevel="0" collapsed="false">
      <c r="B207" s="360" t="s">
        <v>2694</v>
      </c>
      <c r="C207" s="359" t="n">
        <v>1</v>
      </c>
      <c r="D207" s="358" t="n">
        <v>0</v>
      </c>
      <c r="E207" s="358" t="n">
        <v>0</v>
      </c>
      <c r="F207" s="358" t="n">
        <v>0</v>
      </c>
      <c r="G207" s="358" t="n">
        <v>0</v>
      </c>
      <c r="H207" s="359" t="n">
        <v>1</v>
      </c>
    </row>
    <row r="208" customFormat="false" ht="15" hidden="true" customHeight="false" outlineLevel="0" collapsed="false">
      <c r="B208" s="360" t="s">
        <v>2695</v>
      </c>
      <c r="C208" s="359" t="n">
        <v>1</v>
      </c>
      <c r="D208" s="358" t="n">
        <v>0</v>
      </c>
      <c r="E208" s="358" t="n">
        <v>0</v>
      </c>
      <c r="F208" s="358" t="n">
        <v>0</v>
      </c>
      <c r="G208" s="358" t="n">
        <v>0</v>
      </c>
      <c r="H208" s="359" t="n">
        <v>1</v>
      </c>
    </row>
    <row r="209" customFormat="false" ht="15" hidden="true" customHeight="false" outlineLevel="0" collapsed="false">
      <c r="B209" s="360" t="s">
        <v>2696</v>
      </c>
      <c r="C209" s="359" t="n">
        <v>1</v>
      </c>
      <c r="D209" s="358" t="n">
        <v>0</v>
      </c>
      <c r="E209" s="358" t="n">
        <v>0</v>
      </c>
      <c r="F209" s="358" t="n">
        <v>0</v>
      </c>
      <c r="G209" s="358" t="n">
        <v>0</v>
      </c>
      <c r="H209" s="359" t="n">
        <v>1</v>
      </c>
    </row>
    <row r="210" customFormat="false" ht="15" hidden="true" customHeight="false" outlineLevel="0" collapsed="false">
      <c r="B210" s="360" t="s">
        <v>2697</v>
      </c>
      <c r="C210" s="359" t="n">
        <v>1</v>
      </c>
      <c r="D210" s="358" t="n">
        <v>0</v>
      </c>
      <c r="E210" s="358" t="n">
        <v>0</v>
      </c>
      <c r="F210" s="358" t="n">
        <v>0</v>
      </c>
      <c r="G210" s="358" t="n">
        <v>0</v>
      </c>
      <c r="H210" s="359" t="n">
        <v>1</v>
      </c>
    </row>
    <row r="211" customFormat="false" ht="15" hidden="true" customHeight="false" outlineLevel="0" collapsed="false">
      <c r="B211" s="360" t="s">
        <v>2698</v>
      </c>
      <c r="C211" s="359" t="n">
        <v>1</v>
      </c>
      <c r="D211" s="358" t="n">
        <v>0</v>
      </c>
      <c r="E211" s="358" t="n">
        <v>0</v>
      </c>
      <c r="F211" s="358" t="n">
        <v>0</v>
      </c>
      <c r="G211" s="358" t="n">
        <v>0</v>
      </c>
      <c r="H211" s="359" t="n">
        <v>1</v>
      </c>
    </row>
    <row r="212" customFormat="false" ht="15" hidden="true" customHeight="false" outlineLevel="0" collapsed="false">
      <c r="B212" s="360" t="s">
        <v>2699</v>
      </c>
      <c r="C212" s="359" t="n">
        <v>1</v>
      </c>
      <c r="D212" s="358" t="n">
        <v>0</v>
      </c>
      <c r="E212" s="358" t="n">
        <v>0</v>
      </c>
      <c r="F212" s="358" t="n">
        <v>0</v>
      </c>
      <c r="G212" s="358" t="n">
        <v>0</v>
      </c>
      <c r="H212" s="359" t="n">
        <v>1</v>
      </c>
    </row>
    <row r="213" customFormat="false" ht="15" hidden="true" customHeight="false" outlineLevel="0" collapsed="false">
      <c r="B213" s="360" t="s">
        <v>2700</v>
      </c>
      <c r="C213" s="359" t="n">
        <v>1</v>
      </c>
      <c r="D213" s="358" t="n">
        <v>0</v>
      </c>
      <c r="E213" s="358" t="n">
        <v>0</v>
      </c>
      <c r="F213" s="358" t="n">
        <v>0</v>
      </c>
      <c r="G213" s="358" t="n">
        <v>0</v>
      </c>
      <c r="H213" s="359" t="n">
        <v>1</v>
      </c>
    </row>
    <row r="214" customFormat="false" ht="15" hidden="true" customHeight="false" outlineLevel="0" collapsed="false">
      <c r="B214" s="360" t="s">
        <v>2701</v>
      </c>
      <c r="C214" s="359" t="n">
        <v>1</v>
      </c>
      <c r="D214" s="358" t="n">
        <v>0</v>
      </c>
      <c r="E214" s="358" t="n">
        <v>0</v>
      </c>
      <c r="F214" s="358" t="n">
        <v>0</v>
      </c>
      <c r="G214" s="358" t="n">
        <v>0</v>
      </c>
      <c r="H214" s="359" t="n">
        <v>1</v>
      </c>
    </row>
    <row r="215" customFormat="false" ht="15" hidden="true" customHeight="false" outlineLevel="0" collapsed="false">
      <c r="B215" s="360" t="s">
        <v>2702</v>
      </c>
      <c r="C215" s="359" t="n">
        <v>1</v>
      </c>
      <c r="D215" s="358" t="n">
        <v>0</v>
      </c>
      <c r="E215" s="358" t="n">
        <v>0</v>
      </c>
      <c r="F215" s="358" t="n">
        <v>0</v>
      </c>
      <c r="G215" s="358" t="n">
        <v>0</v>
      </c>
      <c r="H215" s="359" t="n">
        <v>1</v>
      </c>
    </row>
    <row r="216" customFormat="false" ht="15" hidden="true" customHeight="false" outlineLevel="0" collapsed="false">
      <c r="B216" s="360" t="s">
        <v>2703</v>
      </c>
      <c r="C216" s="359" t="n">
        <v>1</v>
      </c>
      <c r="D216" s="358" t="n">
        <v>0</v>
      </c>
      <c r="E216" s="358" t="n">
        <v>0</v>
      </c>
      <c r="F216" s="358" t="n">
        <v>0</v>
      </c>
      <c r="G216" s="358" t="n">
        <v>0</v>
      </c>
      <c r="H216" s="359" t="n">
        <v>1</v>
      </c>
    </row>
    <row r="217" customFormat="false" ht="15" hidden="true" customHeight="false" outlineLevel="0" collapsed="false">
      <c r="B217" s="360" t="s">
        <v>2704</v>
      </c>
      <c r="C217" s="359" t="n">
        <v>1</v>
      </c>
      <c r="D217" s="358" t="n">
        <v>0</v>
      </c>
      <c r="E217" s="358" t="n">
        <v>0</v>
      </c>
      <c r="F217" s="358" t="n">
        <v>0</v>
      </c>
      <c r="G217" s="358" t="n">
        <v>0</v>
      </c>
      <c r="H217" s="359" t="n">
        <v>1</v>
      </c>
    </row>
    <row r="218" customFormat="false" ht="15" hidden="true" customHeight="false" outlineLevel="0" collapsed="false">
      <c r="B218" s="360" t="s">
        <v>2705</v>
      </c>
      <c r="C218" s="359" t="n">
        <v>1</v>
      </c>
      <c r="D218" s="358" t="n">
        <v>0</v>
      </c>
      <c r="E218" s="358" t="n">
        <v>0</v>
      </c>
      <c r="F218" s="358" t="n">
        <v>0</v>
      </c>
      <c r="G218" s="358" t="n">
        <v>0</v>
      </c>
      <c r="H218" s="359" t="n">
        <v>1</v>
      </c>
    </row>
    <row r="219" customFormat="false" ht="15" hidden="true" customHeight="false" outlineLevel="0" collapsed="false">
      <c r="B219" s="360" t="s">
        <v>2706</v>
      </c>
      <c r="C219" s="359" t="n">
        <v>1</v>
      </c>
      <c r="D219" s="358" t="n">
        <v>0</v>
      </c>
      <c r="E219" s="358" t="n">
        <v>0</v>
      </c>
      <c r="F219" s="358" t="n">
        <v>0</v>
      </c>
      <c r="G219" s="358" t="n">
        <v>0</v>
      </c>
      <c r="H219" s="359" t="n">
        <v>1</v>
      </c>
    </row>
    <row r="220" customFormat="false" ht="15" hidden="true" customHeight="false" outlineLevel="0" collapsed="false">
      <c r="B220" s="360" t="s">
        <v>2707</v>
      </c>
      <c r="C220" s="359" t="n">
        <v>1</v>
      </c>
      <c r="D220" s="358" t="n">
        <v>0</v>
      </c>
      <c r="E220" s="358" t="n">
        <v>0</v>
      </c>
      <c r="F220" s="358" t="n">
        <v>0</v>
      </c>
      <c r="G220" s="358" t="n">
        <v>0</v>
      </c>
      <c r="H220" s="359" t="n">
        <v>1</v>
      </c>
    </row>
    <row r="221" customFormat="false" ht="15" hidden="true" customHeight="false" outlineLevel="0" collapsed="false">
      <c r="B221" s="360" t="s">
        <v>2708</v>
      </c>
      <c r="C221" s="359" t="n">
        <v>1</v>
      </c>
      <c r="D221" s="358" t="n">
        <v>0</v>
      </c>
      <c r="E221" s="358" t="n">
        <v>0</v>
      </c>
      <c r="F221" s="358" t="n">
        <v>0</v>
      </c>
      <c r="G221" s="358" t="n">
        <v>0</v>
      </c>
      <c r="H221" s="359" t="n">
        <v>1</v>
      </c>
    </row>
    <row r="222" customFormat="false" ht="15" hidden="true" customHeight="false" outlineLevel="0" collapsed="false">
      <c r="B222" s="361" t="s">
        <v>2709</v>
      </c>
      <c r="C222" s="359" t="n">
        <v>1</v>
      </c>
      <c r="D222" s="358" t="n">
        <v>0</v>
      </c>
      <c r="E222" s="358" t="n">
        <v>0</v>
      </c>
      <c r="F222" s="358" t="n">
        <v>0</v>
      </c>
      <c r="G222" s="358" t="n">
        <v>0</v>
      </c>
      <c r="H222" s="359" t="n">
        <v>1</v>
      </c>
    </row>
    <row r="223" customFormat="false" ht="15" hidden="true" customHeight="false" outlineLevel="0" collapsed="false">
      <c r="B223" s="360" t="s">
        <v>2710</v>
      </c>
      <c r="C223" s="359" t="n">
        <v>1</v>
      </c>
      <c r="D223" s="358" t="n">
        <v>0</v>
      </c>
      <c r="E223" s="358" t="n">
        <v>0</v>
      </c>
      <c r="F223" s="358" t="n">
        <v>0</v>
      </c>
      <c r="G223" s="358" t="n">
        <v>0</v>
      </c>
      <c r="H223" s="359" t="n">
        <v>1</v>
      </c>
    </row>
    <row r="224" customFormat="false" ht="15" hidden="true" customHeight="false" outlineLevel="0" collapsed="false">
      <c r="B224" s="360" t="s">
        <v>2711</v>
      </c>
      <c r="C224" s="359" t="n">
        <v>1</v>
      </c>
      <c r="D224" s="358" t="n">
        <v>0</v>
      </c>
      <c r="E224" s="358" t="n">
        <v>0</v>
      </c>
      <c r="F224" s="358" t="n">
        <v>0</v>
      </c>
      <c r="G224" s="358" t="n">
        <v>0</v>
      </c>
      <c r="H224" s="359" t="n">
        <v>1</v>
      </c>
    </row>
    <row r="225" customFormat="false" ht="15" hidden="true" customHeight="false" outlineLevel="0" collapsed="false">
      <c r="B225" s="360" t="s">
        <v>2712</v>
      </c>
      <c r="C225" s="359" t="n">
        <v>1</v>
      </c>
      <c r="D225" s="358" t="n">
        <v>0</v>
      </c>
      <c r="E225" s="358" t="n">
        <v>0</v>
      </c>
      <c r="F225" s="358" t="n">
        <v>0</v>
      </c>
      <c r="G225" s="358" t="n">
        <v>0</v>
      </c>
      <c r="H225" s="359" t="n">
        <v>1</v>
      </c>
    </row>
    <row r="226" customFormat="false" ht="15" hidden="true" customHeight="false" outlineLevel="0" collapsed="false">
      <c r="B226" s="360" t="s">
        <v>2713</v>
      </c>
      <c r="C226" s="359" t="n">
        <v>1</v>
      </c>
      <c r="D226" s="358" t="n">
        <v>0</v>
      </c>
      <c r="E226" s="358" t="n">
        <v>0</v>
      </c>
      <c r="F226" s="358" t="n">
        <v>0</v>
      </c>
      <c r="G226" s="358" t="n">
        <v>0</v>
      </c>
      <c r="H226" s="359" t="n">
        <v>1</v>
      </c>
    </row>
    <row r="227" customFormat="false" ht="15" hidden="true" customHeight="false" outlineLevel="0" collapsed="false">
      <c r="B227" s="360" t="s">
        <v>2714</v>
      </c>
      <c r="C227" s="359" t="n">
        <v>1</v>
      </c>
      <c r="D227" s="358" t="n">
        <v>0</v>
      </c>
      <c r="E227" s="358" t="n">
        <v>0</v>
      </c>
      <c r="F227" s="358" t="n">
        <v>0</v>
      </c>
      <c r="G227" s="358" t="n">
        <v>0</v>
      </c>
      <c r="H227" s="359" t="n">
        <v>1</v>
      </c>
    </row>
    <row r="228" customFormat="false" ht="15" hidden="true" customHeight="false" outlineLevel="0" collapsed="false">
      <c r="B228" s="360" t="s">
        <v>2715</v>
      </c>
      <c r="C228" s="359" t="n">
        <v>1</v>
      </c>
      <c r="D228" s="358" t="n">
        <v>0</v>
      </c>
      <c r="E228" s="358" t="n">
        <v>0</v>
      </c>
      <c r="F228" s="358" t="n">
        <v>0</v>
      </c>
      <c r="G228" s="358" t="n">
        <v>0</v>
      </c>
      <c r="H228" s="359" t="n">
        <v>1</v>
      </c>
    </row>
    <row r="229" customFormat="false" ht="15" hidden="true" customHeight="false" outlineLevel="0" collapsed="false">
      <c r="B229" s="360" t="s">
        <v>2716</v>
      </c>
      <c r="C229" s="359" t="n">
        <v>1</v>
      </c>
      <c r="D229" s="358" t="n">
        <v>0</v>
      </c>
      <c r="E229" s="358" t="n">
        <v>0</v>
      </c>
      <c r="F229" s="358" t="n">
        <v>0</v>
      </c>
      <c r="G229" s="358" t="n">
        <v>0</v>
      </c>
      <c r="H229" s="359" t="n">
        <v>1</v>
      </c>
    </row>
    <row r="230" customFormat="false" ht="15" hidden="true" customHeight="false" outlineLevel="0" collapsed="false">
      <c r="B230" s="360" t="s">
        <v>2717</v>
      </c>
      <c r="C230" s="359" t="n">
        <v>1</v>
      </c>
      <c r="D230" s="358" t="n">
        <v>0</v>
      </c>
      <c r="E230" s="358" t="n">
        <v>0</v>
      </c>
      <c r="F230" s="358" t="n">
        <v>0</v>
      </c>
      <c r="G230" s="358" t="n">
        <v>0</v>
      </c>
      <c r="H230" s="359" t="n">
        <v>1</v>
      </c>
    </row>
    <row r="231" customFormat="false" ht="15" hidden="true" customHeight="false" outlineLevel="0" collapsed="false">
      <c r="B231" s="360" t="s">
        <v>2718</v>
      </c>
      <c r="C231" s="359" t="n">
        <v>1</v>
      </c>
      <c r="D231" s="358" t="n">
        <v>0</v>
      </c>
      <c r="E231" s="358" t="n">
        <v>0</v>
      </c>
      <c r="F231" s="358" t="n">
        <v>0</v>
      </c>
      <c r="G231" s="358" t="n">
        <v>0</v>
      </c>
      <c r="H231" s="359" t="n">
        <v>1</v>
      </c>
    </row>
    <row r="232" customFormat="false" ht="15" hidden="true" customHeight="false" outlineLevel="0" collapsed="false">
      <c r="B232" s="360" t="s">
        <v>2719</v>
      </c>
      <c r="C232" s="359" t="n">
        <v>1</v>
      </c>
      <c r="D232" s="358" t="n">
        <v>0</v>
      </c>
      <c r="E232" s="358" t="n">
        <v>0</v>
      </c>
      <c r="F232" s="358" t="n">
        <v>0</v>
      </c>
      <c r="G232" s="358" t="n">
        <v>0</v>
      </c>
      <c r="H232" s="359" t="n">
        <v>1</v>
      </c>
    </row>
    <row r="233" customFormat="false" ht="15" hidden="true" customHeight="false" outlineLevel="0" collapsed="false">
      <c r="B233" s="360" t="s">
        <v>2720</v>
      </c>
      <c r="C233" s="359" t="n">
        <v>1</v>
      </c>
      <c r="D233" s="358" t="n">
        <v>0</v>
      </c>
      <c r="E233" s="358" t="n">
        <v>0</v>
      </c>
      <c r="F233" s="358" t="n">
        <v>0</v>
      </c>
      <c r="G233" s="358" t="n">
        <v>0</v>
      </c>
      <c r="H233" s="359" t="n">
        <v>1</v>
      </c>
    </row>
    <row r="234" customFormat="false" ht="15" hidden="true" customHeight="false" outlineLevel="0" collapsed="false">
      <c r="B234" s="360" t="s">
        <v>2721</v>
      </c>
      <c r="C234" s="359" t="n">
        <v>1</v>
      </c>
      <c r="D234" s="358" t="n">
        <v>0</v>
      </c>
      <c r="E234" s="358" t="n">
        <v>0</v>
      </c>
      <c r="F234" s="358" t="n">
        <v>0</v>
      </c>
      <c r="G234" s="358" t="n">
        <v>0</v>
      </c>
      <c r="H234" s="359" t="n">
        <v>1</v>
      </c>
    </row>
    <row r="235" customFormat="false" ht="15" hidden="true" customHeight="false" outlineLevel="0" collapsed="false">
      <c r="B235" s="360" t="s">
        <v>2722</v>
      </c>
      <c r="C235" s="359" t="n">
        <v>1</v>
      </c>
      <c r="D235" s="358" t="n">
        <v>0</v>
      </c>
      <c r="E235" s="358" t="n">
        <v>0</v>
      </c>
      <c r="F235" s="358" t="n">
        <v>0</v>
      </c>
      <c r="G235" s="358" t="n">
        <v>0</v>
      </c>
      <c r="H235" s="359" t="n">
        <v>1</v>
      </c>
    </row>
    <row r="236" customFormat="false" ht="15" hidden="true" customHeight="false" outlineLevel="0" collapsed="false">
      <c r="B236" s="360" t="s">
        <v>2723</v>
      </c>
      <c r="C236" s="359" t="n">
        <v>1</v>
      </c>
      <c r="D236" s="358" t="n">
        <v>0</v>
      </c>
      <c r="E236" s="358" t="n">
        <v>0</v>
      </c>
      <c r="F236" s="358" t="n">
        <v>0</v>
      </c>
      <c r="G236" s="358" t="n">
        <v>0</v>
      </c>
      <c r="H236" s="359" t="n">
        <v>1</v>
      </c>
    </row>
    <row r="237" customFormat="false" ht="15" hidden="true" customHeight="false" outlineLevel="0" collapsed="false">
      <c r="B237" s="360" t="s">
        <v>2724</v>
      </c>
      <c r="C237" s="359" t="n">
        <v>1</v>
      </c>
      <c r="D237" s="358" t="n">
        <v>0</v>
      </c>
      <c r="E237" s="358" t="n">
        <v>0</v>
      </c>
      <c r="F237" s="358" t="n">
        <v>0</v>
      </c>
      <c r="G237" s="358" t="n">
        <v>0</v>
      </c>
      <c r="H237" s="359" t="n">
        <v>1</v>
      </c>
    </row>
    <row r="238" customFormat="false" ht="15" hidden="true" customHeight="false" outlineLevel="0" collapsed="false">
      <c r="B238" s="360" t="s">
        <v>2725</v>
      </c>
      <c r="C238" s="359" t="n">
        <v>1</v>
      </c>
      <c r="D238" s="358" t="n">
        <v>0</v>
      </c>
      <c r="E238" s="358" t="n">
        <v>0</v>
      </c>
      <c r="F238" s="358" t="n">
        <v>0</v>
      </c>
      <c r="G238" s="358" t="n">
        <v>0</v>
      </c>
      <c r="H238" s="359" t="n">
        <v>1</v>
      </c>
    </row>
    <row r="239" customFormat="false" ht="15" hidden="true" customHeight="false" outlineLevel="0" collapsed="false">
      <c r="B239" s="360" t="s">
        <v>2726</v>
      </c>
      <c r="C239" s="359" t="n">
        <v>1</v>
      </c>
      <c r="D239" s="358" t="n">
        <v>0</v>
      </c>
      <c r="E239" s="358" t="n">
        <v>0</v>
      </c>
      <c r="F239" s="358" t="n">
        <v>0</v>
      </c>
      <c r="G239" s="358" t="n">
        <v>0</v>
      </c>
      <c r="H239" s="359" t="n">
        <v>1</v>
      </c>
    </row>
    <row r="240" customFormat="false" ht="15" hidden="true" customHeight="false" outlineLevel="0" collapsed="false">
      <c r="B240" s="360" t="s">
        <v>2727</v>
      </c>
      <c r="C240" s="359" t="n">
        <v>1</v>
      </c>
      <c r="D240" s="358" t="n">
        <v>0</v>
      </c>
      <c r="E240" s="358" t="n">
        <v>0</v>
      </c>
      <c r="F240" s="358" t="n">
        <v>0</v>
      </c>
      <c r="G240" s="358" t="n">
        <v>0</v>
      </c>
      <c r="H240" s="359" t="n">
        <v>1</v>
      </c>
    </row>
    <row r="241" customFormat="false" ht="15" hidden="true" customHeight="false" outlineLevel="0" collapsed="false">
      <c r="B241" s="360" t="s">
        <v>2728</v>
      </c>
      <c r="C241" s="359" t="n">
        <v>1</v>
      </c>
      <c r="D241" s="358" t="n">
        <v>0</v>
      </c>
      <c r="E241" s="358" t="n">
        <v>0</v>
      </c>
      <c r="F241" s="358" t="n">
        <v>0</v>
      </c>
      <c r="G241" s="358" t="n">
        <v>0</v>
      </c>
      <c r="H241" s="359" t="n">
        <v>1</v>
      </c>
    </row>
    <row r="242" customFormat="false" ht="15" hidden="true" customHeight="false" outlineLevel="0" collapsed="false">
      <c r="B242" s="360" t="s">
        <v>2729</v>
      </c>
      <c r="C242" s="359" t="n">
        <v>1</v>
      </c>
      <c r="D242" s="358" t="n">
        <v>0</v>
      </c>
      <c r="E242" s="358" t="n">
        <v>0</v>
      </c>
      <c r="F242" s="358" t="n">
        <v>0</v>
      </c>
      <c r="G242" s="358" t="n">
        <v>0</v>
      </c>
      <c r="H242" s="359" t="n">
        <v>1</v>
      </c>
    </row>
    <row r="243" customFormat="false" ht="15" hidden="true" customHeight="false" outlineLevel="0" collapsed="false">
      <c r="B243" s="360" t="s">
        <v>2730</v>
      </c>
      <c r="C243" s="359" t="n">
        <v>1</v>
      </c>
      <c r="D243" s="358" t="n">
        <v>0</v>
      </c>
      <c r="E243" s="358" t="n">
        <v>0</v>
      </c>
      <c r="F243" s="358" t="n">
        <v>0</v>
      </c>
      <c r="G243" s="358" t="n">
        <v>0</v>
      </c>
      <c r="H243" s="359" t="n">
        <v>1</v>
      </c>
    </row>
    <row r="244" customFormat="false" ht="15" hidden="true" customHeight="false" outlineLevel="0" collapsed="false">
      <c r="B244" s="360" t="s">
        <v>2731</v>
      </c>
      <c r="C244" s="359" t="n">
        <v>1</v>
      </c>
      <c r="D244" s="358" t="n">
        <v>0</v>
      </c>
      <c r="E244" s="358" t="n">
        <v>0</v>
      </c>
      <c r="F244" s="358" t="n">
        <v>0</v>
      </c>
      <c r="G244" s="358" t="n">
        <v>0</v>
      </c>
      <c r="H244" s="359" t="n">
        <v>1</v>
      </c>
    </row>
    <row r="245" customFormat="false" ht="15" hidden="true" customHeight="false" outlineLevel="0" collapsed="false">
      <c r="B245" s="360" t="s">
        <v>2732</v>
      </c>
      <c r="C245" s="359" t="n">
        <v>1</v>
      </c>
      <c r="D245" s="358" t="n">
        <v>0</v>
      </c>
      <c r="E245" s="358" t="n">
        <v>0</v>
      </c>
      <c r="F245" s="358" t="n">
        <v>0</v>
      </c>
      <c r="G245" s="358" t="n">
        <v>0</v>
      </c>
      <c r="H245" s="359" t="n">
        <v>1</v>
      </c>
    </row>
    <row r="246" customFormat="false" ht="15" hidden="true" customHeight="false" outlineLevel="0" collapsed="false">
      <c r="B246" s="360" t="s">
        <v>2733</v>
      </c>
      <c r="C246" s="359" t="n">
        <v>1</v>
      </c>
      <c r="D246" s="358" t="n">
        <v>0</v>
      </c>
      <c r="E246" s="358" t="n">
        <v>0</v>
      </c>
      <c r="F246" s="358" t="n">
        <v>0</v>
      </c>
      <c r="G246" s="358" t="n">
        <v>0</v>
      </c>
      <c r="H246" s="359" t="n">
        <v>1</v>
      </c>
    </row>
    <row r="247" customFormat="false" ht="15" hidden="true" customHeight="false" outlineLevel="0" collapsed="false">
      <c r="B247" s="360" t="s">
        <v>2734</v>
      </c>
      <c r="C247" s="359" t="n">
        <v>1</v>
      </c>
      <c r="D247" s="358" t="n">
        <v>0</v>
      </c>
      <c r="E247" s="358" t="n">
        <v>0</v>
      </c>
      <c r="F247" s="358" t="n">
        <v>0</v>
      </c>
      <c r="G247" s="358" t="n">
        <v>0</v>
      </c>
      <c r="H247" s="359" t="n">
        <v>1</v>
      </c>
    </row>
    <row r="248" customFormat="false" ht="15" hidden="true" customHeight="false" outlineLevel="0" collapsed="false">
      <c r="B248" s="360" t="s">
        <v>2735</v>
      </c>
      <c r="C248" s="359" t="n">
        <v>1</v>
      </c>
      <c r="D248" s="358" t="n">
        <v>0</v>
      </c>
      <c r="E248" s="358" t="n">
        <v>0</v>
      </c>
      <c r="F248" s="358" t="n">
        <v>0</v>
      </c>
      <c r="G248" s="358" t="n">
        <v>0</v>
      </c>
      <c r="H248" s="359" t="n">
        <v>1</v>
      </c>
    </row>
    <row r="249" customFormat="false" ht="15" hidden="true" customHeight="false" outlineLevel="0" collapsed="false">
      <c r="B249" s="360" t="s">
        <v>2736</v>
      </c>
      <c r="C249" s="359" t="n">
        <v>1</v>
      </c>
      <c r="D249" s="358" t="n">
        <v>0</v>
      </c>
      <c r="E249" s="358" t="n">
        <v>0</v>
      </c>
      <c r="F249" s="358" t="n">
        <v>0</v>
      </c>
      <c r="G249" s="358" t="n">
        <v>0</v>
      </c>
      <c r="H249" s="359" t="n">
        <v>1</v>
      </c>
    </row>
    <row r="250" customFormat="false" ht="15" hidden="true" customHeight="false" outlineLevel="0" collapsed="false">
      <c r="B250" s="360" t="s">
        <v>2737</v>
      </c>
      <c r="C250" s="359" t="n">
        <v>1</v>
      </c>
      <c r="D250" s="358" t="n">
        <v>0</v>
      </c>
      <c r="E250" s="358" t="n">
        <v>0</v>
      </c>
      <c r="F250" s="358" t="n">
        <v>0</v>
      </c>
      <c r="G250" s="358" t="n">
        <v>0</v>
      </c>
      <c r="H250" s="359" t="n">
        <v>1</v>
      </c>
    </row>
    <row r="251" customFormat="false" ht="15" hidden="true" customHeight="false" outlineLevel="0" collapsed="false">
      <c r="B251" s="360" t="s">
        <v>2738</v>
      </c>
      <c r="C251" s="359" t="n">
        <v>1</v>
      </c>
      <c r="D251" s="358" t="n">
        <v>0</v>
      </c>
      <c r="E251" s="358" t="n">
        <v>0</v>
      </c>
      <c r="F251" s="358" t="n">
        <v>0</v>
      </c>
      <c r="G251" s="358" t="n">
        <v>0</v>
      </c>
      <c r="H251" s="359" t="n">
        <v>1</v>
      </c>
    </row>
    <row r="252" customFormat="false" ht="15" hidden="true" customHeight="false" outlineLevel="0" collapsed="false">
      <c r="B252" s="360" t="s">
        <v>2739</v>
      </c>
      <c r="C252" s="359" t="n">
        <v>1</v>
      </c>
      <c r="D252" s="358" t="n">
        <v>0</v>
      </c>
      <c r="E252" s="358" t="n">
        <v>0</v>
      </c>
      <c r="F252" s="358" t="n">
        <v>0</v>
      </c>
      <c r="G252" s="358" t="n">
        <v>0</v>
      </c>
      <c r="H252" s="359" t="n">
        <v>1</v>
      </c>
    </row>
    <row r="253" customFormat="false" ht="15" hidden="true" customHeight="false" outlineLevel="0" collapsed="false">
      <c r="B253" s="360" t="s">
        <v>2740</v>
      </c>
      <c r="C253" s="359" t="n">
        <v>1</v>
      </c>
      <c r="D253" s="358" t="n">
        <v>0</v>
      </c>
      <c r="E253" s="358" t="n">
        <v>0</v>
      </c>
      <c r="F253" s="358" t="n">
        <v>0</v>
      </c>
      <c r="G253" s="358" t="n">
        <v>0</v>
      </c>
      <c r="H253" s="359" t="n">
        <v>1</v>
      </c>
    </row>
    <row r="254" customFormat="false" ht="15" hidden="true" customHeight="false" outlineLevel="0" collapsed="false">
      <c r="B254" s="360" t="s">
        <v>2741</v>
      </c>
      <c r="C254" s="359" t="n">
        <v>1</v>
      </c>
      <c r="D254" s="358" t="n">
        <v>0</v>
      </c>
      <c r="E254" s="358" t="n">
        <v>0</v>
      </c>
      <c r="F254" s="358" t="n">
        <v>0</v>
      </c>
      <c r="G254" s="358" t="n">
        <v>0</v>
      </c>
      <c r="H254" s="359" t="n">
        <v>1</v>
      </c>
    </row>
    <row r="255" customFormat="false" ht="15" hidden="true" customHeight="false" outlineLevel="0" collapsed="false">
      <c r="B255" s="360" t="s">
        <v>2742</v>
      </c>
      <c r="C255" s="359" t="n">
        <v>1</v>
      </c>
      <c r="D255" s="358" t="n">
        <v>0</v>
      </c>
      <c r="E255" s="358" t="n">
        <v>0</v>
      </c>
      <c r="F255" s="358" t="n">
        <v>0</v>
      </c>
      <c r="G255" s="358" t="n">
        <v>0</v>
      </c>
      <c r="H255" s="359" t="n">
        <v>1</v>
      </c>
    </row>
    <row r="256" customFormat="false" ht="15" hidden="true" customHeight="false" outlineLevel="0" collapsed="false">
      <c r="B256" s="360" t="s">
        <v>2743</v>
      </c>
      <c r="C256" s="359" t="n">
        <v>1</v>
      </c>
      <c r="D256" s="358" t="n">
        <v>0</v>
      </c>
      <c r="E256" s="358" t="n">
        <v>0</v>
      </c>
      <c r="F256" s="358" t="n">
        <v>0</v>
      </c>
      <c r="G256" s="358" t="n">
        <v>0</v>
      </c>
      <c r="H256" s="359" t="n">
        <v>1</v>
      </c>
    </row>
    <row r="257" customFormat="false" ht="15" hidden="true" customHeight="false" outlineLevel="0" collapsed="false">
      <c r="B257" s="360" t="s">
        <v>2744</v>
      </c>
      <c r="C257" s="359" t="n">
        <v>1</v>
      </c>
      <c r="D257" s="358" t="n">
        <v>0</v>
      </c>
      <c r="E257" s="358" t="n">
        <v>0</v>
      </c>
      <c r="F257" s="358" t="n">
        <v>0</v>
      </c>
      <c r="G257" s="358" t="n">
        <v>0</v>
      </c>
      <c r="H257" s="359" t="n">
        <v>1</v>
      </c>
    </row>
    <row r="258" customFormat="false" ht="15" hidden="true" customHeight="false" outlineLevel="0" collapsed="false">
      <c r="B258" s="360" t="s">
        <v>2745</v>
      </c>
      <c r="C258" s="359" t="n">
        <v>1</v>
      </c>
      <c r="D258" s="358" t="n">
        <v>0</v>
      </c>
      <c r="E258" s="358" t="n">
        <v>0</v>
      </c>
      <c r="F258" s="358" t="n">
        <v>0</v>
      </c>
      <c r="G258" s="358" t="n">
        <v>0</v>
      </c>
      <c r="H258" s="359" t="n">
        <v>1</v>
      </c>
    </row>
    <row r="259" customFormat="false" ht="15" hidden="true" customHeight="false" outlineLevel="0" collapsed="false">
      <c r="B259" s="360" t="s">
        <v>2746</v>
      </c>
      <c r="C259" s="359" t="n">
        <v>1</v>
      </c>
      <c r="D259" s="358" t="n">
        <v>0</v>
      </c>
      <c r="E259" s="358" t="n">
        <v>0</v>
      </c>
      <c r="F259" s="358" t="n">
        <v>0</v>
      </c>
      <c r="G259" s="358" t="n">
        <v>0</v>
      </c>
      <c r="H259" s="359" t="n">
        <v>1</v>
      </c>
    </row>
    <row r="260" customFormat="false" ht="15" hidden="true" customHeight="false" outlineLevel="0" collapsed="false">
      <c r="B260" s="360" t="s">
        <v>2747</v>
      </c>
      <c r="C260" s="359" t="n">
        <v>1</v>
      </c>
      <c r="D260" s="358" t="n">
        <v>0</v>
      </c>
      <c r="E260" s="358" t="n">
        <v>0</v>
      </c>
      <c r="F260" s="358" t="n">
        <v>0</v>
      </c>
      <c r="G260" s="358" t="n">
        <v>0</v>
      </c>
      <c r="H260" s="359" t="n">
        <v>1</v>
      </c>
    </row>
    <row r="261" customFormat="false" ht="15" hidden="true" customHeight="false" outlineLevel="0" collapsed="false">
      <c r="B261" s="360" t="s">
        <v>2748</v>
      </c>
      <c r="C261" s="359" t="n">
        <v>1</v>
      </c>
      <c r="D261" s="358" t="n">
        <v>0</v>
      </c>
      <c r="E261" s="358" t="n">
        <v>0</v>
      </c>
      <c r="F261" s="358" t="n">
        <v>0</v>
      </c>
      <c r="G261" s="358" t="n">
        <v>0</v>
      </c>
      <c r="H261" s="359" t="n">
        <v>1</v>
      </c>
    </row>
    <row r="262" customFormat="false" ht="15" hidden="true" customHeight="false" outlineLevel="0" collapsed="false">
      <c r="B262" s="360" t="s">
        <v>2749</v>
      </c>
      <c r="C262" s="359" t="n">
        <v>1</v>
      </c>
      <c r="D262" s="358" t="n">
        <v>0</v>
      </c>
      <c r="E262" s="358" t="n">
        <v>0</v>
      </c>
      <c r="F262" s="358" t="n">
        <v>0</v>
      </c>
      <c r="G262" s="358" t="n">
        <v>0</v>
      </c>
      <c r="H262" s="359" t="n">
        <v>1</v>
      </c>
    </row>
    <row r="263" customFormat="false" ht="15" hidden="true" customHeight="false" outlineLevel="0" collapsed="false">
      <c r="B263" s="360" t="s">
        <v>2750</v>
      </c>
      <c r="C263" s="359" t="n">
        <v>1</v>
      </c>
      <c r="D263" s="358" t="n">
        <v>0</v>
      </c>
      <c r="E263" s="358" t="n">
        <v>0</v>
      </c>
      <c r="F263" s="358" t="n">
        <v>0</v>
      </c>
      <c r="G263" s="358" t="n">
        <v>0</v>
      </c>
      <c r="H263" s="359" t="n">
        <v>1</v>
      </c>
    </row>
    <row r="264" customFormat="false" ht="15" hidden="true" customHeight="false" outlineLevel="0" collapsed="false">
      <c r="B264" s="360" t="s">
        <v>2751</v>
      </c>
      <c r="C264" s="359" t="n">
        <v>1</v>
      </c>
      <c r="D264" s="358" t="n">
        <v>0</v>
      </c>
      <c r="E264" s="358" t="n">
        <v>0</v>
      </c>
      <c r="F264" s="358" t="n">
        <v>0</v>
      </c>
      <c r="G264" s="358" t="n">
        <v>0</v>
      </c>
      <c r="H264" s="359" t="n">
        <v>1</v>
      </c>
    </row>
    <row r="265" customFormat="false" ht="15" hidden="true" customHeight="false" outlineLevel="0" collapsed="false">
      <c r="B265" s="360" t="s">
        <v>2752</v>
      </c>
      <c r="C265" s="359" t="n">
        <v>1</v>
      </c>
      <c r="D265" s="358" t="n">
        <v>0</v>
      </c>
      <c r="E265" s="358" t="n">
        <v>0</v>
      </c>
      <c r="F265" s="358" t="n">
        <v>0</v>
      </c>
      <c r="G265" s="358" t="n">
        <v>0</v>
      </c>
      <c r="H265" s="359" t="n">
        <v>1</v>
      </c>
    </row>
    <row r="266" customFormat="false" ht="15" hidden="true" customHeight="false" outlineLevel="0" collapsed="false">
      <c r="B266" s="360" t="s">
        <v>2753</v>
      </c>
      <c r="C266" s="359" t="n">
        <v>1</v>
      </c>
      <c r="D266" s="358" t="n">
        <v>0</v>
      </c>
      <c r="E266" s="358" t="n">
        <v>0</v>
      </c>
      <c r="F266" s="358" t="n">
        <v>0</v>
      </c>
      <c r="G266" s="358" t="n">
        <v>0</v>
      </c>
      <c r="H266" s="359" t="n">
        <v>1</v>
      </c>
    </row>
    <row r="267" customFormat="false" ht="15" hidden="true" customHeight="false" outlineLevel="0" collapsed="false">
      <c r="B267" s="360" t="s">
        <v>2754</v>
      </c>
      <c r="C267" s="359" t="n">
        <v>1</v>
      </c>
      <c r="D267" s="358" t="n">
        <v>0</v>
      </c>
      <c r="E267" s="358" t="n">
        <v>0</v>
      </c>
      <c r="F267" s="358" t="n">
        <v>0</v>
      </c>
      <c r="G267" s="358" t="n">
        <v>0</v>
      </c>
      <c r="H267" s="359" t="n">
        <v>1</v>
      </c>
    </row>
    <row r="268" customFormat="false" ht="15" hidden="true" customHeight="false" outlineLevel="0" collapsed="false">
      <c r="B268" s="360" t="s">
        <v>2755</v>
      </c>
      <c r="C268" s="359" t="n">
        <v>1</v>
      </c>
      <c r="D268" s="358" t="n">
        <v>0</v>
      </c>
      <c r="E268" s="358" t="n">
        <v>0</v>
      </c>
      <c r="F268" s="358" t="n">
        <v>0</v>
      </c>
      <c r="G268" s="358" t="n">
        <v>0</v>
      </c>
      <c r="H268" s="359" t="n">
        <v>1</v>
      </c>
    </row>
    <row r="269" customFormat="false" ht="15" hidden="true" customHeight="false" outlineLevel="0" collapsed="false">
      <c r="B269" s="360" t="s">
        <v>2756</v>
      </c>
      <c r="C269" s="359" t="n">
        <v>1</v>
      </c>
      <c r="D269" s="358" t="n">
        <v>0</v>
      </c>
      <c r="E269" s="358" t="n">
        <v>0</v>
      </c>
      <c r="F269" s="358" t="n">
        <v>0</v>
      </c>
      <c r="G269" s="358" t="n">
        <v>0</v>
      </c>
      <c r="H269" s="359" t="n">
        <v>1</v>
      </c>
    </row>
    <row r="270" customFormat="false" ht="15" hidden="true" customHeight="false" outlineLevel="0" collapsed="false">
      <c r="B270" s="360" t="s">
        <v>2757</v>
      </c>
      <c r="C270" s="359" t="n">
        <v>1</v>
      </c>
      <c r="D270" s="358" t="n">
        <v>0</v>
      </c>
      <c r="E270" s="358" t="n">
        <v>0</v>
      </c>
      <c r="F270" s="358" t="n">
        <v>0</v>
      </c>
      <c r="G270" s="358" t="n">
        <v>0</v>
      </c>
      <c r="H270" s="359" t="n">
        <v>1</v>
      </c>
    </row>
    <row r="271" customFormat="false" ht="15" hidden="true" customHeight="false" outlineLevel="0" collapsed="false">
      <c r="B271" s="360" t="s">
        <v>2758</v>
      </c>
      <c r="C271" s="359" t="n">
        <v>1</v>
      </c>
      <c r="D271" s="358" t="n">
        <v>0</v>
      </c>
      <c r="E271" s="358" t="n">
        <v>0</v>
      </c>
      <c r="F271" s="358" t="n">
        <v>0</v>
      </c>
      <c r="G271" s="358" t="n">
        <v>0</v>
      </c>
      <c r="H271" s="359" t="n">
        <v>1</v>
      </c>
    </row>
    <row r="272" customFormat="false" ht="15" hidden="true" customHeight="false" outlineLevel="0" collapsed="false">
      <c r="B272" s="360" t="s">
        <v>2759</v>
      </c>
      <c r="C272" s="359" t="n">
        <v>1</v>
      </c>
      <c r="D272" s="358" t="n">
        <v>0</v>
      </c>
      <c r="E272" s="358" t="n">
        <v>0</v>
      </c>
      <c r="F272" s="358" t="n">
        <v>0</v>
      </c>
      <c r="G272" s="358" t="n">
        <v>0</v>
      </c>
      <c r="H272" s="359" t="n">
        <v>1</v>
      </c>
    </row>
    <row r="273" customFormat="false" ht="15" hidden="true" customHeight="false" outlineLevel="0" collapsed="false">
      <c r="B273" s="360" t="s">
        <v>2760</v>
      </c>
      <c r="C273" s="359" t="n">
        <v>1</v>
      </c>
      <c r="D273" s="358" t="n">
        <v>0</v>
      </c>
      <c r="E273" s="358" t="n">
        <v>0</v>
      </c>
      <c r="F273" s="358" t="n">
        <v>0</v>
      </c>
      <c r="G273" s="358" t="n">
        <v>0</v>
      </c>
      <c r="H273" s="359" t="n">
        <v>1</v>
      </c>
    </row>
    <row r="274" customFormat="false" ht="15" hidden="true" customHeight="false" outlineLevel="0" collapsed="false">
      <c r="B274" s="360" t="s">
        <v>2761</v>
      </c>
      <c r="C274" s="359" t="n">
        <v>1</v>
      </c>
      <c r="D274" s="358" t="n">
        <v>0</v>
      </c>
      <c r="E274" s="358" t="n">
        <v>0</v>
      </c>
      <c r="F274" s="358" t="n">
        <v>0</v>
      </c>
      <c r="G274" s="358" t="n">
        <v>0</v>
      </c>
      <c r="H274" s="359" t="n">
        <v>1</v>
      </c>
    </row>
    <row r="275" customFormat="false" ht="15" hidden="true" customHeight="false" outlineLevel="0" collapsed="false">
      <c r="B275" s="360" t="s">
        <v>2762</v>
      </c>
      <c r="C275" s="359" t="n">
        <v>1</v>
      </c>
      <c r="D275" s="358" t="n">
        <v>0</v>
      </c>
      <c r="E275" s="358" t="n">
        <v>0</v>
      </c>
      <c r="F275" s="358" t="n">
        <v>0</v>
      </c>
      <c r="G275" s="358" t="n">
        <v>0</v>
      </c>
      <c r="H275" s="359" t="n">
        <v>1</v>
      </c>
    </row>
    <row r="276" customFormat="false" ht="15" hidden="true" customHeight="false" outlineLevel="0" collapsed="false">
      <c r="B276" s="360" t="s">
        <v>2763</v>
      </c>
      <c r="C276" s="359" t="n">
        <v>1</v>
      </c>
      <c r="D276" s="358" t="n">
        <v>0</v>
      </c>
      <c r="E276" s="358" t="n">
        <v>0</v>
      </c>
      <c r="F276" s="358" t="n">
        <v>0</v>
      </c>
      <c r="G276" s="358" t="n">
        <v>0</v>
      </c>
      <c r="H276" s="359" t="n">
        <v>1</v>
      </c>
    </row>
    <row r="277" customFormat="false" ht="15" hidden="true" customHeight="false" outlineLevel="0" collapsed="false">
      <c r="B277" s="360" t="s">
        <v>2764</v>
      </c>
      <c r="C277" s="359" t="n">
        <v>1</v>
      </c>
      <c r="D277" s="358" t="n">
        <v>0</v>
      </c>
      <c r="E277" s="358" t="n">
        <v>0</v>
      </c>
      <c r="F277" s="358" t="n">
        <v>0</v>
      </c>
      <c r="G277" s="358" t="n">
        <v>0</v>
      </c>
      <c r="H277" s="359" t="n">
        <v>1</v>
      </c>
    </row>
    <row r="278" customFormat="false" ht="15" hidden="true" customHeight="false" outlineLevel="0" collapsed="false">
      <c r="B278" s="360" t="s">
        <v>2765</v>
      </c>
      <c r="C278" s="359" t="n">
        <v>1</v>
      </c>
      <c r="D278" s="358" t="n">
        <v>0</v>
      </c>
      <c r="E278" s="358" t="n">
        <v>0</v>
      </c>
      <c r="F278" s="358" t="n">
        <v>0</v>
      </c>
      <c r="G278" s="358" t="n">
        <v>0</v>
      </c>
      <c r="H278" s="359" t="n">
        <v>1</v>
      </c>
    </row>
    <row r="279" customFormat="false" ht="15" hidden="true" customHeight="false" outlineLevel="0" collapsed="false">
      <c r="B279" s="360" t="s">
        <v>2766</v>
      </c>
      <c r="C279" s="359" t="n">
        <v>1</v>
      </c>
      <c r="D279" s="358" t="n">
        <v>0</v>
      </c>
      <c r="E279" s="358" t="n">
        <v>0</v>
      </c>
      <c r="F279" s="358" t="n">
        <v>0</v>
      </c>
      <c r="G279" s="358" t="n">
        <v>0</v>
      </c>
      <c r="H279" s="359" t="n">
        <v>1</v>
      </c>
    </row>
    <row r="280" customFormat="false" ht="15" hidden="true" customHeight="false" outlineLevel="0" collapsed="false">
      <c r="B280" s="360" t="s">
        <v>2767</v>
      </c>
      <c r="C280" s="359" t="n">
        <v>1</v>
      </c>
      <c r="D280" s="358" t="n">
        <v>0</v>
      </c>
      <c r="E280" s="358" t="n">
        <v>0</v>
      </c>
      <c r="F280" s="358" t="n">
        <v>0</v>
      </c>
      <c r="G280" s="358" t="n">
        <v>0</v>
      </c>
      <c r="H280" s="359" t="n">
        <v>1</v>
      </c>
    </row>
    <row r="281" customFormat="false" ht="15" hidden="true" customHeight="false" outlineLevel="0" collapsed="false">
      <c r="B281" s="360" t="s">
        <v>2768</v>
      </c>
      <c r="C281" s="359" t="n">
        <v>1</v>
      </c>
      <c r="D281" s="358" t="n">
        <v>0</v>
      </c>
      <c r="E281" s="358" t="n">
        <v>0</v>
      </c>
      <c r="F281" s="358" t="n">
        <v>0</v>
      </c>
      <c r="G281" s="358" t="n">
        <v>0</v>
      </c>
      <c r="H281" s="359" t="n">
        <v>1</v>
      </c>
    </row>
    <row r="282" customFormat="false" ht="15" hidden="true" customHeight="false" outlineLevel="0" collapsed="false">
      <c r="B282" s="360" t="s">
        <v>2769</v>
      </c>
      <c r="C282" s="359" t="n">
        <v>1</v>
      </c>
      <c r="D282" s="358" t="n">
        <v>0</v>
      </c>
      <c r="E282" s="358" t="n">
        <v>0</v>
      </c>
      <c r="F282" s="358" t="n">
        <v>0</v>
      </c>
      <c r="G282" s="358" t="n">
        <v>0</v>
      </c>
      <c r="H282" s="359" t="n">
        <v>1</v>
      </c>
    </row>
    <row r="283" customFormat="false" ht="15" hidden="true" customHeight="false" outlineLevel="0" collapsed="false">
      <c r="B283" s="360" t="s">
        <v>2770</v>
      </c>
      <c r="C283" s="359" t="n">
        <v>1</v>
      </c>
      <c r="D283" s="358" t="n">
        <v>0</v>
      </c>
      <c r="E283" s="358" t="n">
        <v>0</v>
      </c>
      <c r="F283" s="358" t="n">
        <v>0</v>
      </c>
      <c r="G283" s="358" t="n">
        <v>0</v>
      </c>
      <c r="H283" s="359" t="n">
        <v>1</v>
      </c>
    </row>
    <row r="284" customFormat="false" ht="15" hidden="true" customHeight="false" outlineLevel="0" collapsed="false">
      <c r="B284" s="360" t="s">
        <v>2771</v>
      </c>
      <c r="C284" s="359" t="n">
        <v>1</v>
      </c>
      <c r="D284" s="358" t="n">
        <v>0</v>
      </c>
      <c r="E284" s="358" t="n">
        <v>0</v>
      </c>
      <c r="F284" s="358" t="n">
        <v>0</v>
      </c>
      <c r="G284" s="358" t="n">
        <v>0</v>
      </c>
      <c r="H284" s="359" t="n">
        <v>1</v>
      </c>
    </row>
    <row r="285" customFormat="false" ht="15" hidden="true" customHeight="false" outlineLevel="0" collapsed="false">
      <c r="B285" s="360" t="s">
        <v>2772</v>
      </c>
      <c r="C285" s="359" t="n">
        <v>1</v>
      </c>
      <c r="D285" s="358" t="n">
        <v>0</v>
      </c>
      <c r="E285" s="358" t="n">
        <v>0</v>
      </c>
      <c r="F285" s="358" t="n">
        <v>0</v>
      </c>
      <c r="G285" s="358" t="n">
        <v>0</v>
      </c>
      <c r="H285" s="359" t="n">
        <v>1</v>
      </c>
    </row>
    <row r="286" customFormat="false" ht="15" hidden="true" customHeight="false" outlineLevel="0" collapsed="false">
      <c r="B286" s="360" t="s">
        <v>2773</v>
      </c>
      <c r="C286" s="359" t="n">
        <v>1</v>
      </c>
      <c r="D286" s="358" t="n">
        <v>0</v>
      </c>
      <c r="E286" s="358" t="n">
        <v>0</v>
      </c>
      <c r="F286" s="358" t="n">
        <v>0</v>
      </c>
      <c r="G286" s="358" t="n">
        <v>0</v>
      </c>
      <c r="H286" s="359" t="n">
        <v>1</v>
      </c>
    </row>
    <row r="287" customFormat="false" ht="15" hidden="true" customHeight="false" outlineLevel="0" collapsed="false">
      <c r="B287" s="360" t="s">
        <v>2774</v>
      </c>
      <c r="C287" s="359" t="n">
        <v>1</v>
      </c>
      <c r="D287" s="358" t="n">
        <v>0</v>
      </c>
      <c r="E287" s="358" t="n">
        <v>0</v>
      </c>
      <c r="F287" s="358" t="n">
        <v>0</v>
      </c>
      <c r="G287" s="358" t="n">
        <v>0</v>
      </c>
      <c r="H287" s="359" t="n">
        <v>1</v>
      </c>
    </row>
    <row r="288" customFormat="false" ht="15" hidden="true" customHeight="false" outlineLevel="0" collapsed="false">
      <c r="B288" s="360" t="s">
        <v>2775</v>
      </c>
      <c r="C288" s="359" t="n">
        <v>1</v>
      </c>
      <c r="D288" s="358" t="n">
        <v>0</v>
      </c>
      <c r="E288" s="358" t="n">
        <v>0</v>
      </c>
      <c r="F288" s="358" t="n">
        <v>0</v>
      </c>
      <c r="G288" s="358" t="n">
        <v>0</v>
      </c>
      <c r="H288" s="359" t="n">
        <v>1</v>
      </c>
    </row>
    <row r="289" customFormat="false" ht="15" hidden="true" customHeight="false" outlineLevel="0" collapsed="false">
      <c r="B289" s="360" t="s">
        <v>2776</v>
      </c>
      <c r="C289" s="359" t="n">
        <v>1</v>
      </c>
      <c r="D289" s="358" t="n">
        <v>0</v>
      </c>
      <c r="E289" s="358" t="n">
        <v>0</v>
      </c>
      <c r="F289" s="358" t="n">
        <v>0</v>
      </c>
      <c r="G289" s="358" t="n">
        <v>0</v>
      </c>
      <c r="H289" s="359" t="n">
        <v>1</v>
      </c>
    </row>
    <row r="290" customFormat="false" ht="15" hidden="true" customHeight="false" outlineLevel="0" collapsed="false">
      <c r="B290" s="360" t="s">
        <v>2777</v>
      </c>
      <c r="C290" s="359" t="n">
        <v>1</v>
      </c>
      <c r="D290" s="358" t="n">
        <v>0</v>
      </c>
      <c r="E290" s="358" t="n">
        <v>0</v>
      </c>
      <c r="F290" s="358" t="n">
        <v>0</v>
      </c>
      <c r="G290" s="358" t="n">
        <v>0</v>
      </c>
      <c r="H290" s="359" t="n">
        <v>1</v>
      </c>
    </row>
    <row r="291" customFormat="false" ht="15" hidden="true" customHeight="false" outlineLevel="0" collapsed="false">
      <c r="B291" s="360" t="s">
        <v>2778</v>
      </c>
      <c r="C291" s="359" t="n">
        <v>1</v>
      </c>
      <c r="D291" s="358" t="n">
        <v>0</v>
      </c>
      <c r="E291" s="358" t="n">
        <v>0</v>
      </c>
      <c r="F291" s="358" t="n">
        <v>0</v>
      </c>
      <c r="G291" s="358" t="n">
        <v>0</v>
      </c>
      <c r="H291" s="359" t="n">
        <v>1</v>
      </c>
    </row>
    <row r="292" customFormat="false" ht="15" hidden="true" customHeight="false" outlineLevel="0" collapsed="false">
      <c r="B292" s="360" t="s">
        <v>2779</v>
      </c>
      <c r="C292" s="359" t="n">
        <v>1</v>
      </c>
      <c r="D292" s="358" t="n">
        <v>0</v>
      </c>
      <c r="E292" s="358" t="n">
        <v>0</v>
      </c>
      <c r="F292" s="358" t="n">
        <v>0</v>
      </c>
      <c r="G292" s="358" t="n">
        <v>0</v>
      </c>
      <c r="H292" s="359" t="n">
        <v>1</v>
      </c>
    </row>
    <row r="293" customFormat="false" ht="15" hidden="true" customHeight="false" outlineLevel="0" collapsed="false">
      <c r="B293" s="360" t="s">
        <v>2780</v>
      </c>
      <c r="C293" s="359" t="n">
        <v>1</v>
      </c>
      <c r="D293" s="358" t="n">
        <v>0</v>
      </c>
      <c r="E293" s="358" t="n">
        <v>0</v>
      </c>
      <c r="F293" s="358" t="n">
        <v>0</v>
      </c>
      <c r="G293" s="358" t="n">
        <v>0</v>
      </c>
      <c r="H293" s="359" t="n">
        <v>1</v>
      </c>
    </row>
    <row r="294" customFormat="false" ht="15" hidden="true" customHeight="false" outlineLevel="0" collapsed="false">
      <c r="B294" s="360" t="s">
        <v>2781</v>
      </c>
      <c r="C294" s="359" t="n">
        <v>1</v>
      </c>
      <c r="D294" s="358" t="n">
        <v>0</v>
      </c>
      <c r="E294" s="358" t="n">
        <v>0</v>
      </c>
      <c r="F294" s="358" t="n">
        <v>0</v>
      </c>
      <c r="G294" s="358" t="n">
        <v>0</v>
      </c>
      <c r="H294" s="359" t="n">
        <v>1</v>
      </c>
    </row>
    <row r="295" customFormat="false" ht="15" hidden="true" customHeight="false" outlineLevel="0" collapsed="false">
      <c r="B295" s="360" t="s">
        <v>2782</v>
      </c>
      <c r="C295" s="359" t="n">
        <v>1</v>
      </c>
      <c r="D295" s="358" t="n">
        <v>0</v>
      </c>
      <c r="E295" s="358" t="n">
        <v>0</v>
      </c>
      <c r="F295" s="358" t="n">
        <v>0</v>
      </c>
      <c r="G295" s="358" t="n">
        <v>0</v>
      </c>
      <c r="H295" s="359" t="n">
        <v>1</v>
      </c>
    </row>
    <row r="296" customFormat="false" ht="15" hidden="true" customHeight="false" outlineLevel="0" collapsed="false">
      <c r="B296" s="360" t="s">
        <v>2783</v>
      </c>
      <c r="C296" s="359" t="n">
        <v>1</v>
      </c>
      <c r="D296" s="358" t="n">
        <v>0</v>
      </c>
      <c r="E296" s="358" t="n">
        <v>0</v>
      </c>
      <c r="F296" s="358" t="n">
        <v>0</v>
      </c>
      <c r="G296" s="358" t="n">
        <v>0</v>
      </c>
      <c r="H296" s="359" t="n">
        <v>1</v>
      </c>
    </row>
    <row r="297" customFormat="false" ht="15" hidden="true" customHeight="false" outlineLevel="0" collapsed="false">
      <c r="B297" s="360" t="s">
        <v>2784</v>
      </c>
      <c r="C297" s="359" t="n">
        <v>1</v>
      </c>
      <c r="D297" s="358" t="n">
        <v>0</v>
      </c>
      <c r="E297" s="358" t="n">
        <v>0</v>
      </c>
      <c r="F297" s="358" t="n">
        <v>0</v>
      </c>
      <c r="G297" s="358" t="n">
        <v>0</v>
      </c>
      <c r="H297" s="359" t="n">
        <v>1</v>
      </c>
    </row>
    <row r="298" customFormat="false" ht="15" hidden="true" customHeight="false" outlineLevel="0" collapsed="false">
      <c r="B298" s="360" t="s">
        <v>2785</v>
      </c>
      <c r="C298" s="359" t="n">
        <v>1</v>
      </c>
      <c r="D298" s="358" t="n">
        <v>0</v>
      </c>
      <c r="E298" s="358" t="n">
        <v>0</v>
      </c>
      <c r="F298" s="358" t="n">
        <v>0</v>
      </c>
      <c r="G298" s="358" t="n">
        <v>0</v>
      </c>
      <c r="H298" s="359" t="n">
        <v>1</v>
      </c>
    </row>
    <row r="299" customFormat="false" ht="15" hidden="true" customHeight="false" outlineLevel="0" collapsed="false">
      <c r="B299" s="360" t="s">
        <v>2786</v>
      </c>
      <c r="C299" s="359" t="n">
        <v>1</v>
      </c>
      <c r="D299" s="358" t="n">
        <v>0</v>
      </c>
      <c r="E299" s="358" t="n">
        <v>0</v>
      </c>
      <c r="F299" s="358" t="n">
        <v>0</v>
      </c>
      <c r="G299" s="358" t="n">
        <v>0</v>
      </c>
      <c r="H299" s="359" t="n">
        <v>1</v>
      </c>
    </row>
    <row r="300" customFormat="false" ht="15" hidden="true" customHeight="false" outlineLevel="0" collapsed="false">
      <c r="B300" s="360" t="s">
        <v>2787</v>
      </c>
      <c r="C300" s="359" t="n">
        <v>1</v>
      </c>
      <c r="D300" s="358" t="n">
        <v>0</v>
      </c>
      <c r="E300" s="358" t="n">
        <v>0</v>
      </c>
      <c r="F300" s="358" t="n">
        <v>0</v>
      </c>
      <c r="G300" s="358" t="n">
        <v>0</v>
      </c>
      <c r="H300" s="359" t="n">
        <v>1</v>
      </c>
    </row>
    <row r="301" customFormat="false" ht="15" hidden="true" customHeight="false" outlineLevel="0" collapsed="false">
      <c r="B301" s="360" t="s">
        <v>2788</v>
      </c>
      <c r="C301" s="359" t="n">
        <v>1</v>
      </c>
      <c r="D301" s="358" t="n">
        <v>0</v>
      </c>
      <c r="E301" s="358" t="n">
        <v>0</v>
      </c>
      <c r="F301" s="358" t="n">
        <v>0</v>
      </c>
      <c r="G301" s="358" t="n">
        <v>0</v>
      </c>
      <c r="H301" s="359" t="n">
        <v>1</v>
      </c>
    </row>
    <row r="302" customFormat="false" ht="15" hidden="true" customHeight="false" outlineLevel="0" collapsed="false">
      <c r="B302" s="360" t="s">
        <v>2789</v>
      </c>
      <c r="C302" s="359" t="n">
        <v>1</v>
      </c>
      <c r="D302" s="358" t="n">
        <v>0</v>
      </c>
      <c r="E302" s="358" t="n">
        <v>0</v>
      </c>
      <c r="F302" s="358" t="n">
        <v>0</v>
      </c>
      <c r="G302" s="358" t="n">
        <v>0</v>
      </c>
      <c r="H302" s="359" t="n">
        <v>1</v>
      </c>
    </row>
    <row r="303" customFormat="false" ht="15" hidden="true" customHeight="false" outlineLevel="0" collapsed="false">
      <c r="B303" s="360" t="s">
        <v>2790</v>
      </c>
      <c r="C303" s="359" t="n">
        <v>1</v>
      </c>
      <c r="D303" s="358" t="n">
        <v>0</v>
      </c>
      <c r="E303" s="358" t="n">
        <v>0</v>
      </c>
      <c r="F303" s="358" t="n">
        <v>0</v>
      </c>
      <c r="G303" s="358" t="n">
        <v>0</v>
      </c>
      <c r="H303" s="359" t="n">
        <v>1</v>
      </c>
    </row>
    <row r="304" customFormat="false" ht="15" hidden="true" customHeight="false" outlineLevel="0" collapsed="false">
      <c r="B304" s="360" t="s">
        <v>2791</v>
      </c>
      <c r="C304" s="359" t="n">
        <v>1</v>
      </c>
      <c r="D304" s="358" t="n">
        <v>0</v>
      </c>
      <c r="E304" s="358" t="n">
        <v>0</v>
      </c>
      <c r="F304" s="358" t="n">
        <v>0</v>
      </c>
      <c r="G304" s="358" t="n">
        <v>0</v>
      </c>
      <c r="H304" s="359" t="n">
        <v>1</v>
      </c>
    </row>
    <row r="305" customFormat="false" ht="15" hidden="true" customHeight="false" outlineLevel="0" collapsed="false">
      <c r="B305" s="360" t="s">
        <v>2792</v>
      </c>
      <c r="C305" s="359" t="n">
        <v>1</v>
      </c>
      <c r="D305" s="358" t="n">
        <v>0</v>
      </c>
      <c r="E305" s="358" t="n">
        <v>0</v>
      </c>
      <c r="F305" s="358" t="n">
        <v>0</v>
      </c>
      <c r="G305" s="358" t="n">
        <v>0</v>
      </c>
      <c r="H305" s="359" t="n">
        <v>1</v>
      </c>
    </row>
    <row r="306" customFormat="false" ht="15" hidden="true" customHeight="false" outlineLevel="0" collapsed="false">
      <c r="B306" s="360" t="s">
        <v>2793</v>
      </c>
      <c r="C306" s="359" t="n">
        <v>1</v>
      </c>
      <c r="D306" s="358" t="n">
        <v>0</v>
      </c>
      <c r="E306" s="358" t="n">
        <v>0</v>
      </c>
      <c r="F306" s="358" t="n">
        <v>0</v>
      </c>
      <c r="G306" s="358" t="n">
        <v>0</v>
      </c>
      <c r="H306" s="359" t="n">
        <v>1</v>
      </c>
    </row>
    <row r="307" customFormat="false" ht="15" hidden="true" customHeight="false" outlineLevel="0" collapsed="false">
      <c r="B307" s="360" t="s">
        <v>2794</v>
      </c>
      <c r="C307" s="359" t="n">
        <v>1</v>
      </c>
      <c r="D307" s="358" t="n">
        <v>0</v>
      </c>
      <c r="E307" s="358" t="n">
        <v>0</v>
      </c>
      <c r="F307" s="358" t="n">
        <v>0</v>
      </c>
      <c r="G307" s="358" t="n">
        <v>0</v>
      </c>
      <c r="H307" s="359" t="n">
        <v>1</v>
      </c>
    </row>
    <row r="308" customFormat="false" ht="15" hidden="true" customHeight="false" outlineLevel="0" collapsed="false">
      <c r="B308" s="360" t="s">
        <v>2795</v>
      </c>
      <c r="C308" s="359" t="n">
        <v>1</v>
      </c>
      <c r="D308" s="358" t="n">
        <v>0</v>
      </c>
      <c r="E308" s="358" t="n">
        <v>0</v>
      </c>
      <c r="F308" s="358" t="n">
        <v>0</v>
      </c>
      <c r="G308" s="358" t="n">
        <v>0</v>
      </c>
      <c r="H308" s="359" t="n">
        <v>1</v>
      </c>
    </row>
    <row r="309" customFormat="false" ht="15" hidden="true" customHeight="false" outlineLevel="0" collapsed="false">
      <c r="B309" s="360" t="s">
        <v>2796</v>
      </c>
      <c r="C309" s="359" t="n">
        <v>1</v>
      </c>
      <c r="D309" s="358" t="n">
        <v>0</v>
      </c>
      <c r="E309" s="358" t="n">
        <v>0</v>
      </c>
      <c r="F309" s="358" t="n">
        <v>0</v>
      </c>
      <c r="G309" s="358" t="n">
        <v>0</v>
      </c>
      <c r="H309" s="359" t="n">
        <v>1</v>
      </c>
    </row>
    <row r="310" customFormat="false" ht="15" hidden="true" customHeight="false" outlineLevel="0" collapsed="false">
      <c r="B310" s="360" t="s">
        <v>2797</v>
      </c>
      <c r="C310" s="359" t="n">
        <v>1</v>
      </c>
      <c r="D310" s="358" t="n">
        <v>0</v>
      </c>
      <c r="E310" s="358" t="n">
        <v>0</v>
      </c>
      <c r="F310" s="358" t="n">
        <v>0</v>
      </c>
      <c r="G310" s="358" t="n">
        <v>0</v>
      </c>
      <c r="H310" s="359" t="n">
        <v>1</v>
      </c>
    </row>
    <row r="311" customFormat="false" ht="15" hidden="true" customHeight="false" outlineLevel="0" collapsed="false">
      <c r="B311" s="360" t="s">
        <v>2798</v>
      </c>
      <c r="C311" s="359" t="n">
        <v>1</v>
      </c>
      <c r="D311" s="358" t="n">
        <v>0</v>
      </c>
      <c r="E311" s="358" t="n">
        <v>0</v>
      </c>
      <c r="F311" s="358" t="n">
        <v>0</v>
      </c>
      <c r="G311" s="358" t="n">
        <v>0</v>
      </c>
      <c r="H311" s="359" t="n">
        <v>1</v>
      </c>
    </row>
    <row r="312" customFormat="false" ht="15" hidden="true" customHeight="false" outlineLevel="0" collapsed="false">
      <c r="B312" s="360" t="s">
        <v>2799</v>
      </c>
      <c r="C312" s="359" t="n">
        <v>1</v>
      </c>
      <c r="D312" s="358" t="n">
        <v>0</v>
      </c>
      <c r="E312" s="358" t="n">
        <v>0</v>
      </c>
      <c r="F312" s="358" t="n">
        <v>0</v>
      </c>
      <c r="G312" s="358" t="n">
        <v>0</v>
      </c>
      <c r="H312" s="359" t="n">
        <v>1</v>
      </c>
    </row>
    <row r="313" customFormat="false" ht="15" hidden="true" customHeight="false" outlineLevel="0" collapsed="false">
      <c r="B313" s="360" t="s">
        <v>2800</v>
      </c>
      <c r="C313" s="359" t="n">
        <v>1</v>
      </c>
      <c r="D313" s="358" t="n">
        <v>0</v>
      </c>
      <c r="E313" s="358" t="n">
        <v>0</v>
      </c>
      <c r="F313" s="358" t="n">
        <v>0</v>
      </c>
      <c r="G313" s="358" t="n">
        <v>0</v>
      </c>
      <c r="H313" s="359" t="n">
        <v>1</v>
      </c>
    </row>
    <row r="314" customFormat="false" ht="15" hidden="true" customHeight="false" outlineLevel="0" collapsed="false">
      <c r="B314" s="360" t="s">
        <v>2801</v>
      </c>
      <c r="C314" s="359" t="n">
        <v>1</v>
      </c>
      <c r="D314" s="358" t="n">
        <v>0</v>
      </c>
      <c r="E314" s="358" t="n">
        <v>0</v>
      </c>
      <c r="F314" s="358" t="n">
        <v>0</v>
      </c>
      <c r="G314" s="358" t="n">
        <v>0</v>
      </c>
      <c r="H314" s="359" t="n">
        <v>1</v>
      </c>
    </row>
    <row r="315" customFormat="false" ht="15" hidden="true" customHeight="false" outlineLevel="0" collapsed="false">
      <c r="B315" s="360" t="s">
        <v>2802</v>
      </c>
      <c r="C315" s="359" t="n">
        <v>1</v>
      </c>
      <c r="D315" s="358" t="n">
        <v>0</v>
      </c>
      <c r="E315" s="358" t="n">
        <v>0</v>
      </c>
      <c r="F315" s="358" t="n">
        <v>0</v>
      </c>
      <c r="G315" s="358" t="n">
        <v>0</v>
      </c>
      <c r="H315" s="359" t="n">
        <v>1</v>
      </c>
    </row>
    <row r="316" customFormat="false" ht="15" hidden="true" customHeight="false" outlineLevel="0" collapsed="false">
      <c r="B316" s="360" t="s">
        <v>2803</v>
      </c>
      <c r="C316" s="359" t="n">
        <v>1</v>
      </c>
      <c r="D316" s="358" t="n">
        <v>0</v>
      </c>
      <c r="E316" s="358" t="n">
        <v>0</v>
      </c>
      <c r="F316" s="358" t="n">
        <v>0</v>
      </c>
      <c r="G316" s="358" t="n">
        <v>0</v>
      </c>
      <c r="H316" s="359" t="n">
        <v>1</v>
      </c>
    </row>
    <row r="317" customFormat="false" ht="15" hidden="true" customHeight="false" outlineLevel="0" collapsed="false">
      <c r="B317" s="361" t="s">
        <v>2804</v>
      </c>
      <c r="C317" s="359" t="n">
        <v>1</v>
      </c>
      <c r="D317" s="358" t="n">
        <v>0</v>
      </c>
      <c r="E317" s="358" t="n">
        <v>0</v>
      </c>
      <c r="F317" s="358" t="n">
        <v>0</v>
      </c>
      <c r="G317" s="358" t="n">
        <v>0</v>
      </c>
      <c r="H317" s="359" t="n">
        <v>1</v>
      </c>
    </row>
    <row r="318" customFormat="false" ht="15" hidden="true" customHeight="false" outlineLevel="0" collapsed="false">
      <c r="B318" s="360" t="s">
        <v>2805</v>
      </c>
      <c r="C318" s="359" t="n">
        <v>1</v>
      </c>
      <c r="D318" s="358" t="n">
        <v>0</v>
      </c>
      <c r="E318" s="358" t="n">
        <v>0</v>
      </c>
      <c r="F318" s="358" t="n">
        <v>0</v>
      </c>
      <c r="G318" s="358" t="n">
        <v>0</v>
      </c>
      <c r="H318" s="359" t="n">
        <v>1</v>
      </c>
    </row>
    <row r="319" customFormat="false" ht="15" hidden="true" customHeight="false" outlineLevel="0" collapsed="false">
      <c r="B319" s="360" t="s">
        <v>2806</v>
      </c>
      <c r="C319" s="359" t="n">
        <v>1</v>
      </c>
      <c r="D319" s="358" t="n">
        <v>0</v>
      </c>
      <c r="E319" s="358" t="n">
        <v>0</v>
      </c>
      <c r="F319" s="358" t="n">
        <v>0</v>
      </c>
      <c r="G319" s="358" t="n">
        <v>0</v>
      </c>
      <c r="H319" s="359" t="n">
        <v>1</v>
      </c>
    </row>
    <row r="320" customFormat="false" ht="15" hidden="true" customHeight="false" outlineLevel="0" collapsed="false">
      <c r="B320" s="360" t="s">
        <v>2807</v>
      </c>
      <c r="C320" s="359" t="n">
        <v>1</v>
      </c>
      <c r="D320" s="358" t="n">
        <v>0</v>
      </c>
      <c r="E320" s="358" t="n">
        <v>0</v>
      </c>
      <c r="F320" s="358" t="n">
        <v>0</v>
      </c>
      <c r="G320" s="358" t="n">
        <v>0</v>
      </c>
      <c r="H320" s="359" t="n">
        <v>1</v>
      </c>
    </row>
    <row r="321" customFormat="false" ht="15" hidden="true" customHeight="false" outlineLevel="0" collapsed="false">
      <c r="B321" s="360" t="s">
        <v>2808</v>
      </c>
      <c r="C321" s="359" t="n">
        <v>1</v>
      </c>
      <c r="D321" s="358" t="n">
        <v>0</v>
      </c>
      <c r="E321" s="358" t="n">
        <v>0</v>
      </c>
      <c r="F321" s="358" t="n">
        <v>0</v>
      </c>
      <c r="G321" s="358" t="n">
        <v>0</v>
      </c>
      <c r="H321" s="359" t="n">
        <v>1</v>
      </c>
    </row>
    <row r="322" customFormat="false" ht="15" hidden="true" customHeight="false" outlineLevel="0" collapsed="false">
      <c r="B322" s="360" t="s">
        <v>2809</v>
      </c>
      <c r="C322" s="359" t="n">
        <v>1</v>
      </c>
      <c r="D322" s="358" t="n">
        <v>0</v>
      </c>
      <c r="E322" s="358" t="n">
        <v>0</v>
      </c>
      <c r="F322" s="358" t="n">
        <v>0</v>
      </c>
      <c r="G322" s="358" t="n">
        <v>0</v>
      </c>
      <c r="H322" s="359" t="n">
        <v>1</v>
      </c>
    </row>
    <row r="323" customFormat="false" ht="15" hidden="true" customHeight="false" outlineLevel="0" collapsed="false">
      <c r="B323" s="360" t="s">
        <v>2810</v>
      </c>
      <c r="C323" s="359" t="n">
        <v>1</v>
      </c>
      <c r="D323" s="358" t="n">
        <v>0</v>
      </c>
      <c r="E323" s="358" t="n">
        <v>0</v>
      </c>
      <c r="F323" s="358" t="n">
        <v>0</v>
      </c>
      <c r="G323" s="358" t="n">
        <v>0</v>
      </c>
      <c r="H323" s="359" t="n">
        <v>1</v>
      </c>
    </row>
    <row r="324" customFormat="false" ht="15" hidden="true" customHeight="false" outlineLevel="0" collapsed="false">
      <c r="B324" s="360" t="s">
        <v>2811</v>
      </c>
      <c r="C324" s="359" t="n">
        <v>1</v>
      </c>
      <c r="D324" s="358" t="n">
        <v>0</v>
      </c>
      <c r="E324" s="358" t="n">
        <v>0</v>
      </c>
      <c r="F324" s="358" t="n">
        <v>0</v>
      </c>
      <c r="G324" s="358" t="n">
        <v>0</v>
      </c>
      <c r="H324" s="359" t="n">
        <v>1</v>
      </c>
    </row>
    <row r="325" customFormat="false" ht="15" hidden="true" customHeight="false" outlineLevel="0" collapsed="false">
      <c r="B325" s="360" t="s">
        <v>2812</v>
      </c>
      <c r="C325" s="359" t="n">
        <v>1</v>
      </c>
      <c r="D325" s="358" t="n">
        <v>0</v>
      </c>
      <c r="E325" s="358" t="n">
        <v>0</v>
      </c>
      <c r="F325" s="358" t="n">
        <v>0</v>
      </c>
      <c r="G325" s="358" t="n">
        <v>0</v>
      </c>
      <c r="H325" s="359" t="n">
        <v>1</v>
      </c>
    </row>
    <row r="326" customFormat="false" ht="15" hidden="true" customHeight="false" outlineLevel="0" collapsed="false">
      <c r="B326" s="360" t="s">
        <v>2813</v>
      </c>
      <c r="C326" s="359" t="n">
        <v>1</v>
      </c>
      <c r="D326" s="358" t="n">
        <v>0</v>
      </c>
      <c r="E326" s="358" t="n">
        <v>0</v>
      </c>
      <c r="F326" s="358" t="n">
        <v>0</v>
      </c>
      <c r="G326" s="358" t="n">
        <v>0</v>
      </c>
      <c r="H326" s="359" t="n">
        <v>1</v>
      </c>
    </row>
    <row r="327" customFormat="false" ht="15" hidden="true" customHeight="false" outlineLevel="0" collapsed="false">
      <c r="B327" s="360" t="s">
        <v>2814</v>
      </c>
      <c r="C327" s="359" t="n">
        <v>1</v>
      </c>
      <c r="D327" s="358" t="n">
        <v>0</v>
      </c>
      <c r="E327" s="358" t="n">
        <v>0</v>
      </c>
      <c r="F327" s="358" t="n">
        <v>0</v>
      </c>
      <c r="G327" s="358" t="n">
        <v>0</v>
      </c>
      <c r="H327" s="359" t="n">
        <v>1</v>
      </c>
    </row>
    <row r="328" customFormat="false" ht="15" hidden="true" customHeight="false" outlineLevel="0" collapsed="false">
      <c r="B328" s="360" t="s">
        <v>2815</v>
      </c>
      <c r="C328" s="359" t="n">
        <v>1</v>
      </c>
      <c r="D328" s="358" t="n">
        <v>0</v>
      </c>
      <c r="E328" s="358" t="n">
        <v>0</v>
      </c>
      <c r="F328" s="358" t="n">
        <v>0</v>
      </c>
      <c r="G328" s="358" t="n">
        <v>0</v>
      </c>
      <c r="H328" s="359" t="n">
        <v>1</v>
      </c>
    </row>
    <row r="329" customFormat="false" ht="15" hidden="true" customHeight="false" outlineLevel="0" collapsed="false">
      <c r="B329" s="360" t="s">
        <v>2816</v>
      </c>
      <c r="C329" s="359" t="n">
        <v>1</v>
      </c>
      <c r="D329" s="358" t="n">
        <v>0</v>
      </c>
      <c r="E329" s="358" t="n">
        <v>0</v>
      </c>
      <c r="F329" s="358" t="n">
        <v>0</v>
      </c>
      <c r="G329" s="358" t="n">
        <v>0</v>
      </c>
      <c r="H329" s="359" t="n">
        <v>1</v>
      </c>
    </row>
    <row r="330" customFormat="false" ht="15" hidden="true" customHeight="false" outlineLevel="0" collapsed="false">
      <c r="B330" s="360" t="s">
        <v>2817</v>
      </c>
      <c r="C330" s="359" t="n">
        <v>1</v>
      </c>
      <c r="D330" s="358" t="n">
        <v>0</v>
      </c>
      <c r="E330" s="358" t="n">
        <v>0</v>
      </c>
      <c r="F330" s="358" t="n">
        <v>0</v>
      </c>
      <c r="G330" s="358" t="n">
        <v>0</v>
      </c>
      <c r="H330" s="359" t="n">
        <v>1</v>
      </c>
    </row>
    <row r="331" customFormat="false" ht="15" hidden="true" customHeight="false" outlineLevel="0" collapsed="false">
      <c r="B331" s="360" t="s">
        <v>2818</v>
      </c>
      <c r="C331" s="359" t="n">
        <v>1</v>
      </c>
      <c r="D331" s="358" t="n">
        <v>0</v>
      </c>
      <c r="E331" s="358" t="n">
        <v>0</v>
      </c>
      <c r="F331" s="358" t="n">
        <v>0</v>
      </c>
      <c r="G331" s="358" t="n">
        <v>0</v>
      </c>
      <c r="H331" s="359" t="n">
        <v>1</v>
      </c>
    </row>
    <row r="332" customFormat="false" ht="15" hidden="true" customHeight="false" outlineLevel="0" collapsed="false">
      <c r="B332" s="360" t="s">
        <v>2819</v>
      </c>
      <c r="C332" s="359" t="n">
        <v>1</v>
      </c>
      <c r="D332" s="358" t="n">
        <v>0</v>
      </c>
      <c r="E332" s="358" t="n">
        <v>0</v>
      </c>
      <c r="F332" s="358" t="n">
        <v>0</v>
      </c>
      <c r="G332" s="358" t="n">
        <v>0</v>
      </c>
      <c r="H332" s="359" t="n">
        <v>1</v>
      </c>
    </row>
    <row r="333" customFormat="false" ht="15" hidden="true" customHeight="false" outlineLevel="0" collapsed="false">
      <c r="B333" s="360" t="s">
        <v>2820</v>
      </c>
      <c r="C333" s="359" t="n">
        <v>1</v>
      </c>
      <c r="D333" s="358" t="n">
        <v>0</v>
      </c>
      <c r="E333" s="358" t="n">
        <v>0</v>
      </c>
      <c r="F333" s="358" t="n">
        <v>0</v>
      </c>
      <c r="G333" s="358" t="n">
        <v>0</v>
      </c>
      <c r="H333" s="359" t="n">
        <v>1</v>
      </c>
    </row>
    <row r="334" customFormat="false" ht="15" hidden="true" customHeight="false" outlineLevel="0" collapsed="false">
      <c r="B334" s="360" t="s">
        <v>2821</v>
      </c>
      <c r="C334" s="359" t="n">
        <v>1</v>
      </c>
      <c r="D334" s="358" t="n">
        <v>0</v>
      </c>
      <c r="E334" s="358" t="n">
        <v>0</v>
      </c>
      <c r="F334" s="358" t="n">
        <v>0</v>
      </c>
      <c r="G334" s="358" t="n">
        <v>0</v>
      </c>
      <c r="H334" s="359" t="n">
        <v>1</v>
      </c>
    </row>
    <row r="335" customFormat="false" ht="15" hidden="true" customHeight="false" outlineLevel="0" collapsed="false">
      <c r="B335" s="361" t="s">
        <v>2822</v>
      </c>
      <c r="C335" s="359" t="n">
        <v>1</v>
      </c>
      <c r="D335" s="358" t="n">
        <v>0</v>
      </c>
      <c r="E335" s="358" t="n">
        <v>0</v>
      </c>
      <c r="F335" s="358" t="n">
        <v>0</v>
      </c>
      <c r="G335" s="358" t="n">
        <v>0</v>
      </c>
      <c r="H335" s="359" t="n">
        <v>1</v>
      </c>
    </row>
    <row r="336" customFormat="false" ht="15" hidden="true" customHeight="false" outlineLevel="0" collapsed="false">
      <c r="B336" s="361" t="s">
        <v>2823</v>
      </c>
      <c r="C336" s="359" t="n">
        <v>1</v>
      </c>
      <c r="D336" s="358" t="n">
        <v>0</v>
      </c>
      <c r="E336" s="358" t="n">
        <v>0</v>
      </c>
      <c r="F336" s="358" t="n">
        <v>0</v>
      </c>
      <c r="G336" s="358" t="n">
        <v>0</v>
      </c>
      <c r="H336" s="359" t="n">
        <v>1</v>
      </c>
    </row>
    <row r="337" customFormat="false" ht="15" hidden="true" customHeight="false" outlineLevel="0" collapsed="false">
      <c r="B337" s="361" t="s">
        <v>2824</v>
      </c>
      <c r="C337" s="359" t="n">
        <v>1</v>
      </c>
      <c r="D337" s="358" t="n">
        <v>0</v>
      </c>
      <c r="E337" s="358" t="n">
        <v>0</v>
      </c>
      <c r="F337" s="358" t="n">
        <v>0</v>
      </c>
      <c r="G337" s="358" t="n">
        <v>0</v>
      </c>
      <c r="H337" s="359" t="n">
        <v>1</v>
      </c>
    </row>
    <row r="338" customFormat="false" ht="15" hidden="true" customHeight="false" outlineLevel="0" collapsed="false">
      <c r="B338" s="361" t="s">
        <v>2825</v>
      </c>
      <c r="C338" s="359" t="n">
        <v>1</v>
      </c>
      <c r="D338" s="358" t="n">
        <v>0</v>
      </c>
      <c r="E338" s="358" t="n">
        <v>0</v>
      </c>
      <c r="F338" s="358" t="n">
        <v>0</v>
      </c>
      <c r="G338" s="358" t="n">
        <v>0</v>
      </c>
      <c r="H338" s="359" t="n">
        <v>1</v>
      </c>
    </row>
    <row r="339" customFormat="false" ht="15" hidden="false" customHeight="false" outlineLevel="0" collapsed="false">
      <c r="B339" s="362" t="s">
        <v>2465</v>
      </c>
      <c r="C339" s="363" t="n">
        <v>601</v>
      </c>
      <c r="D339" s="363" t="n">
        <v>5</v>
      </c>
      <c r="E339" s="363" t="n">
        <v>-1</v>
      </c>
      <c r="F339" s="363" t="n">
        <v>0</v>
      </c>
      <c r="G339" s="363" t="n">
        <v>0</v>
      </c>
      <c r="H339" s="363" t="n">
        <v>605</v>
      </c>
    </row>
    <row r="340" customFormat="false" ht="15" hidden="false" customHeight="false" outlineLevel="0" collapsed="false">
      <c r="B340" s="356" t="s">
        <v>2466</v>
      </c>
      <c r="C340" s="357" t="n">
        <v>467</v>
      </c>
      <c r="D340" s="358" t="n">
        <v>5</v>
      </c>
      <c r="E340" s="358" t="n">
        <v>-1</v>
      </c>
      <c r="F340" s="358" t="n">
        <v>0</v>
      </c>
      <c r="G340" s="358" t="n">
        <v>0</v>
      </c>
      <c r="H340" s="357" t="n">
        <v>471</v>
      </c>
    </row>
    <row r="341" customFormat="false" ht="15" hidden="false" customHeight="false" outlineLevel="0" collapsed="false">
      <c r="B341" s="313" t="s">
        <v>2466</v>
      </c>
      <c r="C341" s="357" t="n">
        <v>3</v>
      </c>
      <c r="D341" s="358" t="n">
        <v>0</v>
      </c>
      <c r="E341" s="358" t="n">
        <v>0</v>
      </c>
      <c r="F341" s="358" t="n">
        <v>0</v>
      </c>
      <c r="G341" s="358" t="n">
        <v>0</v>
      </c>
      <c r="H341" s="357" t="n">
        <v>3</v>
      </c>
    </row>
    <row r="342" customFormat="false" ht="15" hidden="true" customHeight="false" outlineLevel="0" collapsed="false">
      <c r="B342" s="360" t="s">
        <v>2826</v>
      </c>
      <c r="C342" s="359" t="n">
        <v>1</v>
      </c>
      <c r="D342" s="358" t="n">
        <v>0</v>
      </c>
      <c r="E342" s="358" t="n">
        <v>0</v>
      </c>
      <c r="F342" s="358" t="n">
        <v>0</v>
      </c>
      <c r="G342" s="358" t="n">
        <v>0</v>
      </c>
      <c r="H342" s="359" t="n">
        <v>1</v>
      </c>
    </row>
    <row r="343" customFormat="false" ht="15" hidden="true" customHeight="false" outlineLevel="0" collapsed="false">
      <c r="B343" s="360" t="s">
        <v>2827</v>
      </c>
      <c r="C343" s="359" t="n">
        <v>1</v>
      </c>
      <c r="D343" s="358" t="n">
        <v>0</v>
      </c>
      <c r="E343" s="358" t="n">
        <v>0</v>
      </c>
      <c r="F343" s="358" t="n">
        <v>0</v>
      </c>
      <c r="G343" s="358" t="n">
        <v>0</v>
      </c>
      <c r="H343" s="359" t="n">
        <v>1</v>
      </c>
    </row>
    <row r="344" customFormat="false" ht="15" hidden="true" customHeight="false" outlineLevel="0" collapsed="false">
      <c r="B344" s="360" t="s">
        <v>2828</v>
      </c>
      <c r="C344" s="359" t="n">
        <v>1</v>
      </c>
      <c r="D344" s="358" t="n">
        <v>0</v>
      </c>
      <c r="E344" s="358" t="n">
        <v>0</v>
      </c>
      <c r="F344" s="358" t="n">
        <v>0</v>
      </c>
      <c r="G344" s="358" t="n">
        <v>0</v>
      </c>
      <c r="H344" s="359" t="n">
        <v>1</v>
      </c>
    </row>
    <row r="345" customFormat="false" ht="15" hidden="false" customHeight="false" outlineLevel="0" collapsed="false">
      <c r="B345" s="313" t="s">
        <v>2467</v>
      </c>
      <c r="C345" s="357" t="n">
        <v>123</v>
      </c>
      <c r="D345" s="358" t="n">
        <v>0</v>
      </c>
      <c r="E345" s="358" t="n">
        <v>0</v>
      </c>
      <c r="F345" s="358" t="n">
        <v>0</v>
      </c>
      <c r="G345" s="358" t="n">
        <v>0</v>
      </c>
      <c r="H345" s="357" t="n">
        <v>123</v>
      </c>
    </row>
    <row r="346" customFormat="false" ht="15" hidden="false" customHeight="false" outlineLevel="0" collapsed="false">
      <c r="B346" s="364" t="s">
        <v>2467</v>
      </c>
      <c r="C346" s="365" t="n">
        <v>64</v>
      </c>
      <c r="D346" s="358" t="n">
        <v>0</v>
      </c>
      <c r="E346" s="358" t="n">
        <v>0</v>
      </c>
      <c r="F346" s="358" t="n">
        <v>0</v>
      </c>
      <c r="G346" s="358" t="n">
        <v>0</v>
      </c>
      <c r="H346" s="365" t="n">
        <v>64</v>
      </c>
    </row>
    <row r="347" customFormat="false" ht="15" hidden="true" customHeight="false" outlineLevel="0" collapsed="false">
      <c r="B347" s="360" t="s">
        <v>2829</v>
      </c>
      <c r="C347" s="359" t="n">
        <v>1</v>
      </c>
      <c r="D347" s="358" t="n">
        <v>0</v>
      </c>
      <c r="E347" s="358" t="n">
        <v>0</v>
      </c>
      <c r="F347" s="358" t="n">
        <v>0</v>
      </c>
      <c r="G347" s="358" t="n">
        <v>0</v>
      </c>
      <c r="H347" s="359" t="n">
        <v>1</v>
      </c>
    </row>
    <row r="348" customFormat="false" ht="15" hidden="true" customHeight="false" outlineLevel="0" collapsed="false">
      <c r="B348" s="360" t="s">
        <v>2830</v>
      </c>
      <c r="C348" s="359" t="n">
        <v>1</v>
      </c>
      <c r="D348" s="358" t="n">
        <v>0</v>
      </c>
      <c r="E348" s="358" t="n">
        <v>0</v>
      </c>
      <c r="F348" s="358" t="n">
        <v>0</v>
      </c>
      <c r="G348" s="358" t="n">
        <v>0</v>
      </c>
      <c r="H348" s="359" t="n">
        <v>1</v>
      </c>
    </row>
    <row r="349" customFormat="false" ht="15" hidden="true" customHeight="false" outlineLevel="0" collapsed="false">
      <c r="B349" s="360" t="s">
        <v>2831</v>
      </c>
      <c r="C349" s="359" t="n">
        <v>1</v>
      </c>
      <c r="D349" s="358" t="n">
        <v>0</v>
      </c>
      <c r="E349" s="358" t="n">
        <v>0</v>
      </c>
      <c r="F349" s="358" t="n">
        <v>0</v>
      </c>
      <c r="G349" s="358" t="n">
        <v>0</v>
      </c>
      <c r="H349" s="359" t="n">
        <v>1</v>
      </c>
    </row>
    <row r="350" customFormat="false" ht="15" hidden="true" customHeight="false" outlineLevel="0" collapsed="false">
      <c r="B350" s="360" t="s">
        <v>2832</v>
      </c>
      <c r="C350" s="359" t="n">
        <v>1</v>
      </c>
      <c r="D350" s="358" t="n">
        <v>0</v>
      </c>
      <c r="E350" s="358" t="n">
        <v>0</v>
      </c>
      <c r="F350" s="358" t="n">
        <v>0</v>
      </c>
      <c r="G350" s="358" t="n">
        <v>0</v>
      </c>
      <c r="H350" s="359" t="n">
        <v>1</v>
      </c>
    </row>
    <row r="351" customFormat="false" ht="15" hidden="true" customHeight="false" outlineLevel="0" collapsed="false">
      <c r="B351" s="360" t="s">
        <v>2833</v>
      </c>
      <c r="C351" s="359" t="n">
        <v>1</v>
      </c>
      <c r="D351" s="358" t="n">
        <v>0</v>
      </c>
      <c r="E351" s="358" t="n">
        <v>0</v>
      </c>
      <c r="F351" s="358" t="n">
        <v>0</v>
      </c>
      <c r="G351" s="358" t="n">
        <v>0</v>
      </c>
      <c r="H351" s="359" t="n">
        <v>1</v>
      </c>
    </row>
    <row r="352" customFormat="false" ht="15" hidden="true" customHeight="false" outlineLevel="0" collapsed="false">
      <c r="B352" s="360" t="s">
        <v>2834</v>
      </c>
      <c r="C352" s="359" t="n">
        <v>1</v>
      </c>
      <c r="D352" s="358" t="n">
        <v>0</v>
      </c>
      <c r="E352" s="358" t="n">
        <v>0</v>
      </c>
      <c r="F352" s="358" t="n">
        <v>0</v>
      </c>
      <c r="G352" s="358" t="n">
        <v>0</v>
      </c>
      <c r="H352" s="359" t="n">
        <v>1</v>
      </c>
    </row>
    <row r="353" customFormat="false" ht="15" hidden="true" customHeight="false" outlineLevel="0" collapsed="false">
      <c r="B353" s="360" t="s">
        <v>2835</v>
      </c>
      <c r="C353" s="359" t="n">
        <v>1</v>
      </c>
      <c r="D353" s="358" t="n">
        <v>0</v>
      </c>
      <c r="E353" s="358" t="n">
        <v>0</v>
      </c>
      <c r="F353" s="358" t="n">
        <v>0</v>
      </c>
      <c r="G353" s="358" t="n">
        <v>0</v>
      </c>
      <c r="H353" s="359" t="n">
        <v>1</v>
      </c>
    </row>
    <row r="354" customFormat="false" ht="15" hidden="true" customHeight="false" outlineLevel="0" collapsed="false">
      <c r="B354" s="360" t="s">
        <v>2836</v>
      </c>
      <c r="C354" s="359" t="n">
        <v>1</v>
      </c>
      <c r="D354" s="358" t="n">
        <v>0</v>
      </c>
      <c r="E354" s="358" t="n">
        <v>0</v>
      </c>
      <c r="F354" s="358" t="n">
        <v>0</v>
      </c>
      <c r="G354" s="358" t="n">
        <v>0</v>
      </c>
      <c r="H354" s="359" t="n">
        <v>1</v>
      </c>
    </row>
    <row r="355" customFormat="false" ht="15" hidden="true" customHeight="false" outlineLevel="0" collapsed="false">
      <c r="B355" s="360" t="s">
        <v>2837</v>
      </c>
      <c r="C355" s="359" t="n">
        <v>1</v>
      </c>
      <c r="D355" s="358" t="n">
        <v>0</v>
      </c>
      <c r="E355" s="358" t="n">
        <v>0</v>
      </c>
      <c r="F355" s="358" t="n">
        <v>0</v>
      </c>
      <c r="G355" s="358" t="n">
        <v>0</v>
      </c>
      <c r="H355" s="359" t="n">
        <v>1</v>
      </c>
    </row>
    <row r="356" customFormat="false" ht="15" hidden="true" customHeight="false" outlineLevel="0" collapsed="false">
      <c r="B356" s="360" t="s">
        <v>2838</v>
      </c>
      <c r="C356" s="359" t="n">
        <v>1</v>
      </c>
      <c r="D356" s="358" t="n">
        <v>0</v>
      </c>
      <c r="E356" s="358" t="n">
        <v>0</v>
      </c>
      <c r="F356" s="358" t="n">
        <v>0</v>
      </c>
      <c r="G356" s="358" t="n">
        <v>0</v>
      </c>
      <c r="H356" s="359" t="n">
        <v>1</v>
      </c>
    </row>
    <row r="357" customFormat="false" ht="15" hidden="true" customHeight="false" outlineLevel="0" collapsed="false">
      <c r="B357" s="360" t="s">
        <v>2839</v>
      </c>
      <c r="C357" s="359" t="n">
        <v>1</v>
      </c>
      <c r="D357" s="358" t="n">
        <v>0</v>
      </c>
      <c r="E357" s="358" t="n">
        <v>0</v>
      </c>
      <c r="F357" s="358" t="n">
        <v>0</v>
      </c>
      <c r="G357" s="358" t="n">
        <v>0</v>
      </c>
      <c r="H357" s="359" t="n">
        <v>1</v>
      </c>
    </row>
    <row r="358" customFormat="false" ht="15" hidden="true" customHeight="false" outlineLevel="0" collapsed="false">
      <c r="B358" s="360" t="s">
        <v>2840</v>
      </c>
      <c r="C358" s="359" t="n">
        <v>1</v>
      </c>
      <c r="D358" s="358" t="n">
        <v>0</v>
      </c>
      <c r="E358" s="358" t="n">
        <v>0</v>
      </c>
      <c r="F358" s="358" t="n">
        <v>0</v>
      </c>
      <c r="G358" s="358" t="n">
        <v>0</v>
      </c>
      <c r="H358" s="359" t="n">
        <v>1</v>
      </c>
    </row>
    <row r="359" customFormat="false" ht="15" hidden="true" customHeight="false" outlineLevel="0" collapsed="false">
      <c r="B359" s="360" t="s">
        <v>2841</v>
      </c>
      <c r="C359" s="359" t="n">
        <v>1</v>
      </c>
      <c r="D359" s="358" t="n">
        <v>0</v>
      </c>
      <c r="E359" s="358" t="n">
        <v>0</v>
      </c>
      <c r="F359" s="358" t="n">
        <v>0</v>
      </c>
      <c r="G359" s="358" t="n">
        <v>0</v>
      </c>
      <c r="H359" s="359" t="n">
        <v>1</v>
      </c>
    </row>
    <row r="360" customFormat="false" ht="15" hidden="true" customHeight="false" outlineLevel="0" collapsed="false">
      <c r="B360" s="360" t="s">
        <v>2842</v>
      </c>
      <c r="C360" s="359" t="n">
        <v>1</v>
      </c>
      <c r="D360" s="358" t="n">
        <v>0</v>
      </c>
      <c r="E360" s="358" t="n">
        <v>0</v>
      </c>
      <c r="F360" s="358" t="n">
        <v>0</v>
      </c>
      <c r="G360" s="358" t="n">
        <v>0</v>
      </c>
      <c r="H360" s="359" t="n">
        <v>1</v>
      </c>
    </row>
    <row r="361" customFormat="false" ht="15" hidden="true" customHeight="false" outlineLevel="0" collapsed="false">
      <c r="B361" s="360" t="s">
        <v>2843</v>
      </c>
      <c r="C361" s="359" t="n">
        <v>1</v>
      </c>
      <c r="D361" s="358" t="n">
        <v>0</v>
      </c>
      <c r="E361" s="358" t="n">
        <v>0</v>
      </c>
      <c r="F361" s="358" t="n">
        <v>0</v>
      </c>
      <c r="G361" s="358" t="n">
        <v>0</v>
      </c>
      <c r="H361" s="359" t="n">
        <v>1</v>
      </c>
    </row>
    <row r="362" customFormat="false" ht="15" hidden="true" customHeight="false" outlineLevel="0" collapsed="false">
      <c r="B362" s="360" t="s">
        <v>2844</v>
      </c>
      <c r="C362" s="359" t="n">
        <v>1</v>
      </c>
      <c r="D362" s="358" t="n">
        <v>0</v>
      </c>
      <c r="E362" s="358" t="n">
        <v>0</v>
      </c>
      <c r="F362" s="358" t="n">
        <v>0</v>
      </c>
      <c r="G362" s="358" t="n">
        <v>0</v>
      </c>
      <c r="H362" s="359" t="n">
        <v>1</v>
      </c>
    </row>
    <row r="363" customFormat="false" ht="15" hidden="true" customHeight="false" outlineLevel="0" collapsed="false">
      <c r="B363" s="360" t="s">
        <v>2845</v>
      </c>
      <c r="C363" s="359" t="n">
        <v>1</v>
      </c>
      <c r="D363" s="358" t="n">
        <v>0</v>
      </c>
      <c r="E363" s="358" t="n">
        <v>0</v>
      </c>
      <c r="F363" s="358" t="n">
        <v>0</v>
      </c>
      <c r="G363" s="358" t="n">
        <v>0</v>
      </c>
      <c r="H363" s="359" t="n">
        <v>1</v>
      </c>
    </row>
    <row r="364" customFormat="false" ht="15" hidden="true" customHeight="false" outlineLevel="0" collapsed="false">
      <c r="B364" s="360" t="s">
        <v>2846</v>
      </c>
      <c r="C364" s="359" t="n">
        <v>1</v>
      </c>
      <c r="D364" s="358" t="n">
        <v>0</v>
      </c>
      <c r="E364" s="358" t="n">
        <v>0</v>
      </c>
      <c r="F364" s="358" t="n">
        <v>0</v>
      </c>
      <c r="G364" s="358" t="n">
        <v>0</v>
      </c>
      <c r="H364" s="359" t="n">
        <v>1</v>
      </c>
    </row>
    <row r="365" customFormat="false" ht="15" hidden="true" customHeight="false" outlineLevel="0" collapsed="false">
      <c r="B365" s="360" t="s">
        <v>2847</v>
      </c>
      <c r="C365" s="359" t="n">
        <v>1</v>
      </c>
      <c r="D365" s="358" t="n">
        <v>0</v>
      </c>
      <c r="E365" s="358" t="n">
        <v>0</v>
      </c>
      <c r="F365" s="358" t="n">
        <v>0</v>
      </c>
      <c r="G365" s="358" t="n">
        <v>0</v>
      </c>
      <c r="H365" s="359" t="n">
        <v>1</v>
      </c>
    </row>
    <row r="366" customFormat="false" ht="15" hidden="true" customHeight="false" outlineLevel="0" collapsed="false">
      <c r="B366" s="360" t="s">
        <v>2848</v>
      </c>
      <c r="C366" s="359" t="n">
        <v>1</v>
      </c>
      <c r="D366" s="358" t="n">
        <v>0</v>
      </c>
      <c r="E366" s="358" t="n">
        <v>0</v>
      </c>
      <c r="F366" s="358" t="n">
        <v>0</v>
      </c>
      <c r="G366" s="358" t="n">
        <v>0</v>
      </c>
      <c r="H366" s="359" t="n">
        <v>1</v>
      </c>
    </row>
    <row r="367" customFormat="false" ht="15" hidden="true" customHeight="false" outlineLevel="0" collapsed="false">
      <c r="B367" s="360" t="s">
        <v>2849</v>
      </c>
      <c r="C367" s="359" t="n">
        <v>1</v>
      </c>
      <c r="D367" s="358" t="n">
        <v>0</v>
      </c>
      <c r="E367" s="358" t="n">
        <v>0</v>
      </c>
      <c r="F367" s="358" t="n">
        <v>0</v>
      </c>
      <c r="G367" s="358" t="n">
        <v>0</v>
      </c>
      <c r="H367" s="359" t="n">
        <v>1</v>
      </c>
    </row>
    <row r="368" customFormat="false" ht="15" hidden="true" customHeight="false" outlineLevel="0" collapsed="false">
      <c r="B368" s="360" t="s">
        <v>2850</v>
      </c>
      <c r="C368" s="359" t="n">
        <v>1</v>
      </c>
      <c r="D368" s="358" t="n">
        <v>0</v>
      </c>
      <c r="E368" s="358" t="n">
        <v>0</v>
      </c>
      <c r="F368" s="358" t="n">
        <v>0</v>
      </c>
      <c r="G368" s="358" t="n">
        <v>0</v>
      </c>
      <c r="H368" s="359" t="n">
        <v>1</v>
      </c>
    </row>
    <row r="369" customFormat="false" ht="15" hidden="true" customHeight="false" outlineLevel="0" collapsed="false">
      <c r="B369" s="360" t="s">
        <v>2851</v>
      </c>
      <c r="C369" s="359" t="n">
        <v>1</v>
      </c>
      <c r="D369" s="358" t="n">
        <v>0</v>
      </c>
      <c r="E369" s="358" t="n">
        <v>0</v>
      </c>
      <c r="F369" s="358" t="n">
        <v>0</v>
      </c>
      <c r="G369" s="358" t="n">
        <v>0</v>
      </c>
      <c r="H369" s="359" t="n">
        <v>1</v>
      </c>
    </row>
    <row r="370" customFormat="false" ht="15" hidden="true" customHeight="false" outlineLevel="0" collapsed="false">
      <c r="B370" s="360" t="s">
        <v>2852</v>
      </c>
      <c r="C370" s="359" t="n">
        <v>1</v>
      </c>
      <c r="D370" s="358" t="n">
        <v>0</v>
      </c>
      <c r="E370" s="358" t="n">
        <v>0</v>
      </c>
      <c r="F370" s="358" t="n">
        <v>0</v>
      </c>
      <c r="G370" s="358" t="n">
        <v>0</v>
      </c>
      <c r="H370" s="359" t="n">
        <v>1</v>
      </c>
    </row>
    <row r="371" customFormat="false" ht="15" hidden="true" customHeight="false" outlineLevel="0" collapsed="false">
      <c r="B371" s="360" t="s">
        <v>2853</v>
      </c>
      <c r="C371" s="359" t="n">
        <v>1</v>
      </c>
      <c r="D371" s="358" t="n">
        <v>0</v>
      </c>
      <c r="E371" s="358" t="n">
        <v>0</v>
      </c>
      <c r="F371" s="358" t="n">
        <v>0</v>
      </c>
      <c r="G371" s="358" t="n">
        <v>0</v>
      </c>
      <c r="H371" s="359" t="n">
        <v>1</v>
      </c>
    </row>
    <row r="372" customFormat="false" ht="15" hidden="true" customHeight="false" outlineLevel="0" collapsed="false">
      <c r="B372" s="360" t="s">
        <v>2854</v>
      </c>
      <c r="C372" s="359" t="n">
        <v>1</v>
      </c>
      <c r="D372" s="358" t="n">
        <v>0</v>
      </c>
      <c r="E372" s="358" t="n">
        <v>0</v>
      </c>
      <c r="F372" s="358" t="n">
        <v>0</v>
      </c>
      <c r="G372" s="358" t="n">
        <v>0</v>
      </c>
      <c r="H372" s="359" t="n">
        <v>1</v>
      </c>
    </row>
    <row r="373" customFormat="false" ht="15" hidden="true" customHeight="false" outlineLevel="0" collapsed="false">
      <c r="B373" s="360" t="s">
        <v>2855</v>
      </c>
      <c r="C373" s="359" t="n">
        <v>1</v>
      </c>
      <c r="D373" s="358" t="n">
        <v>0</v>
      </c>
      <c r="E373" s="358" t="n">
        <v>0</v>
      </c>
      <c r="F373" s="358" t="n">
        <v>0</v>
      </c>
      <c r="G373" s="358" t="n">
        <v>0</v>
      </c>
      <c r="H373" s="359" t="n">
        <v>1</v>
      </c>
    </row>
    <row r="374" customFormat="false" ht="15" hidden="true" customHeight="false" outlineLevel="0" collapsed="false">
      <c r="B374" s="360" t="s">
        <v>2856</v>
      </c>
      <c r="C374" s="359" t="n">
        <v>1</v>
      </c>
      <c r="D374" s="358" t="n">
        <v>0</v>
      </c>
      <c r="E374" s="358" t="n">
        <v>0</v>
      </c>
      <c r="F374" s="358" t="n">
        <v>0</v>
      </c>
      <c r="G374" s="358" t="n">
        <v>0</v>
      </c>
      <c r="H374" s="359" t="n">
        <v>1</v>
      </c>
    </row>
    <row r="375" customFormat="false" ht="15" hidden="true" customHeight="false" outlineLevel="0" collapsed="false">
      <c r="B375" s="360" t="s">
        <v>2857</v>
      </c>
      <c r="C375" s="359" t="n">
        <v>1</v>
      </c>
      <c r="D375" s="358" t="n">
        <v>0</v>
      </c>
      <c r="E375" s="358" t="n">
        <v>0</v>
      </c>
      <c r="F375" s="358" t="n">
        <v>0</v>
      </c>
      <c r="G375" s="358" t="n">
        <v>0</v>
      </c>
      <c r="H375" s="359" t="n">
        <v>1</v>
      </c>
    </row>
    <row r="376" customFormat="false" ht="15" hidden="true" customHeight="false" outlineLevel="0" collapsed="false">
      <c r="B376" s="360" t="s">
        <v>2858</v>
      </c>
      <c r="C376" s="359" t="n">
        <v>1</v>
      </c>
      <c r="D376" s="358" t="n">
        <v>0</v>
      </c>
      <c r="E376" s="358" t="n">
        <v>0</v>
      </c>
      <c r="F376" s="358" t="n">
        <v>0</v>
      </c>
      <c r="G376" s="358" t="n">
        <v>0</v>
      </c>
      <c r="H376" s="359" t="n">
        <v>1</v>
      </c>
    </row>
    <row r="377" customFormat="false" ht="15" hidden="true" customHeight="false" outlineLevel="0" collapsed="false">
      <c r="B377" s="360" t="s">
        <v>2859</v>
      </c>
      <c r="C377" s="359" t="n">
        <v>1</v>
      </c>
      <c r="D377" s="358" t="n">
        <v>0</v>
      </c>
      <c r="E377" s="358" t="n">
        <v>0</v>
      </c>
      <c r="F377" s="358" t="n">
        <v>0</v>
      </c>
      <c r="G377" s="358" t="n">
        <v>0</v>
      </c>
      <c r="H377" s="359" t="n">
        <v>1</v>
      </c>
    </row>
    <row r="378" customFormat="false" ht="15" hidden="true" customHeight="false" outlineLevel="0" collapsed="false">
      <c r="B378" s="360" t="s">
        <v>2860</v>
      </c>
      <c r="C378" s="359" t="n">
        <v>1</v>
      </c>
      <c r="D378" s="358" t="n">
        <v>0</v>
      </c>
      <c r="E378" s="358" t="n">
        <v>0</v>
      </c>
      <c r="F378" s="358" t="n">
        <v>0</v>
      </c>
      <c r="G378" s="358" t="n">
        <v>0</v>
      </c>
      <c r="H378" s="359" t="n">
        <v>1</v>
      </c>
    </row>
    <row r="379" customFormat="false" ht="15" hidden="true" customHeight="false" outlineLevel="0" collapsed="false">
      <c r="B379" s="360" t="s">
        <v>2861</v>
      </c>
      <c r="C379" s="359" t="n">
        <v>1</v>
      </c>
      <c r="D379" s="358" t="n">
        <v>0</v>
      </c>
      <c r="E379" s="358" t="n">
        <v>0</v>
      </c>
      <c r="F379" s="358" t="n">
        <v>0</v>
      </c>
      <c r="G379" s="358" t="n">
        <v>0</v>
      </c>
      <c r="H379" s="359" t="n">
        <v>1</v>
      </c>
    </row>
    <row r="380" customFormat="false" ht="15" hidden="true" customHeight="false" outlineLevel="0" collapsed="false">
      <c r="B380" s="360" t="s">
        <v>2862</v>
      </c>
      <c r="C380" s="359" t="n">
        <v>1</v>
      </c>
      <c r="D380" s="358" t="n">
        <v>0</v>
      </c>
      <c r="E380" s="358" t="n">
        <v>0</v>
      </c>
      <c r="F380" s="358" t="n">
        <v>0</v>
      </c>
      <c r="G380" s="358" t="n">
        <v>0</v>
      </c>
      <c r="H380" s="359" t="n">
        <v>1</v>
      </c>
    </row>
    <row r="381" customFormat="false" ht="15" hidden="true" customHeight="false" outlineLevel="0" collapsed="false">
      <c r="B381" s="360" t="s">
        <v>2863</v>
      </c>
      <c r="C381" s="359" t="n">
        <v>1</v>
      </c>
      <c r="D381" s="358" t="n">
        <v>0</v>
      </c>
      <c r="E381" s="358" t="n">
        <v>0</v>
      </c>
      <c r="F381" s="358" t="n">
        <v>0</v>
      </c>
      <c r="G381" s="358" t="n">
        <v>0</v>
      </c>
      <c r="H381" s="359" t="n">
        <v>1</v>
      </c>
    </row>
    <row r="382" customFormat="false" ht="15" hidden="true" customHeight="false" outlineLevel="0" collapsed="false">
      <c r="B382" s="360" t="s">
        <v>2864</v>
      </c>
      <c r="C382" s="359" t="n">
        <v>1</v>
      </c>
      <c r="D382" s="358" t="n">
        <v>0</v>
      </c>
      <c r="E382" s="358" t="n">
        <v>0</v>
      </c>
      <c r="F382" s="358" t="n">
        <v>0</v>
      </c>
      <c r="G382" s="358" t="n">
        <v>0</v>
      </c>
      <c r="H382" s="359" t="n">
        <v>1</v>
      </c>
    </row>
    <row r="383" customFormat="false" ht="15" hidden="true" customHeight="false" outlineLevel="0" collapsed="false">
      <c r="B383" s="360" t="s">
        <v>2865</v>
      </c>
      <c r="C383" s="359" t="n">
        <v>1</v>
      </c>
      <c r="D383" s="358" t="n">
        <v>0</v>
      </c>
      <c r="E383" s="358" t="n">
        <v>0</v>
      </c>
      <c r="F383" s="358" t="n">
        <v>0</v>
      </c>
      <c r="G383" s="358" t="n">
        <v>0</v>
      </c>
      <c r="H383" s="359" t="n">
        <v>1</v>
      </c>
    </row>
    <row r="384" customFormat="false" ht="15" hidden="true" customHeight="false" outlineLevel="0" collapsed="false">
      <c r="B384" s="360" t="s">
        <v>2866</v>
      </c>
      <c r="C384" s="359" t="n">
        <v>1</v>
      </c>
      <c r="D384" s="358" t="n">
        <v>0</v>
      </c>
      <c r="E384" s="358" t="n">
        <v>0</v>
      </c>
      <c r="F384" s="358" t="n">
        <v>0</v>
      </c>
      <c r="G384" s="358" t="n">
        <v>0</v>
      </c>
      <c r="H384" s="359" t="n">
        <v>1</v>
      </c>
    </row>
    <row r="385" customFormat="false" ht="15" hidden="true" customHeight="false" outlineLevel="0" collapsed="false">
      <c r="B385" s="360" t="s">
        <v>2867</v>
      </c>
      <c r="C385" s="359" t="n">
        <v>1</v>
      </c>
      <c r="D385" s="358" t="n">
        <v>0</v>
      </c>
      <c r="E385" s="358" t="n">
        <v>0</v>
      </c>
      <c r="F385" s="358" t="n">
        <v>0</v>
      </c>
      <c r="G385" s="358" t="n">
        <v>0</v>
      </c>
      <c r="H385" s="359" t="n">
        <v>1</v>
      </c>
    </row>
    <row r="386" customFormat="false" ht="15" hidden="true" customHeight="false" outlineLevel="0" collapsed="false">
      <c r="B386" s="360" t="s">
        <v>2868</v>
      </c>
      <c r="C386" s="359" t="n">
        <v>1</v>
      </c>
      <c r="D386" s="358" t="n">
        <v>0</v>
      </c>
      <c r="E386" s="358" t="n">
        <v>0</v>
      </c>
      <c r="F386" s="358" t="n">
        <v>0</v>
      </c>
      <c r="G386" s="358" t="n">
        <v>0</v>
      </c>
      <c r="H386" s="359" t="n">
        <v>1</v>
      </c>
    </row>
    <row r="387" customFormat="false" ht="15" hidden="true" customHeight="false" outlineLevel="0" collapsed="false">
      <c r="B387" s="360" t="s">
        <v>2869</v>
      </c>
      <c r="C387" s="359" t="n">
        <v>1</v>
      </c>
      <c r="D387" s="358" t="n">
        <v>0</v>
      </c>
      <c r="E387" s="358" t="n">
        <v>0</v>
      </c>
      <c r="F387" s="358" t="n">
        <v>0</v>
      </c>
      <c r="G387" s="358" t="n">
        <v>0</v>
      </c>
      <c r="H387" s="359" t="n">
        <v>1</v>
      </c>
    </row>
    <row r="388" customFormat="false" ht="15" hidden="true" customHeight="false" outlineLevel="0" collapsed="false">
      <c r="B388" s="360" t="s">
        <v>2870</v>
      </c>
      <c r="C388" s="359" t="n">
        <v>1</v>
      </c>
      <c r="D388" s="358" t="n">
        <v>0</v>
      </c>
      <c r="E388" s="358" t="n">
        <v>0</v>
      </c>
      <c r="F388" s="358" t="n">
        <v>0</v>
      </c>
      <c r="G388" s="358" t="n">
        <v>0</v>
      </c>
      <c r="H388" s="359" t="n">
        <v>1</v>
      </c>
    </row>
    <row r="389" customFormat="false" ht="15" hidden="true" customHeight="false" outlineLevel="0" collapsed="false">
      <c r="B389" s="360" t="s">
        <v>2871</v>
      </c>
      <c r="C389" s="359" t="n">
        <v>1</v>
      </c>
      <c r="D389" s="358" t="n">
        <v>0</v>
      </c>
      <c r="E389" s="358" t="n">
        <v>0</v>
      </c>
      <c r="F389" s="358" t="n">
        <v>0</v>
      </c>
      <c r="G389" s="358" t="n">
        <v>0</v>
      </c>
      <c r="H389" s="359" t="n">
        <v>1</v>
      </c>
    </row>
    <row r="390" customFormat="false" ht="15" hidden="true" customHeight="false" outlineLevel="0" collapsed="false">
      <c r="B390" s="360" t="s">
        <v>2872</v>
      </c>
      <c r="C390" s="359" t="n">
        <v>1</v>
      </c>
      <c r="D390" s="358" t="n">
        <v>0</v>
      </c>
      <c r="E390" s="358" t="n">
        <v>0</v>
      </c>
      <c r="F390" s="358" t="n">
        <v>0</v>
      </c>
      <c r="G390" s="358" t="n">
        <v>0</v>
      </c>
      <c r="H390" s="359" t="n">
        <v>1</v>
      </c>
    </row>
    <row r="391" customFormat="false" ht="15" hidden="true" customHeight="false" outlineLevel="0" collapsed="false">
      <c r="B391" s="360" t="s">
        <v>2873</v>
      </c>
      <c r="C391" s="359" t="n">
        <v>1</v>
      </c>
      <c r="D391" s="358" t="n">
        <v>0</v>
      </c>
      <c r="E391" s="358" t="n">
        <v>0</v>
      </c>
      <c r="F391" s="358" t="n">
        <v>0</v>
      </c>
      <c r="G391" s="358" t="n">
        <v>0</v>
      </c>
      <c r="H391" s="359" t="n">
        <v>1</v>
      </c>
    </row>
    <row r="392" customFormat="false" ht="15" hidden="true" customHeight="false" outlineLevel="0" collapsed="false">
      <c r="B392" s="360" t="s">
        <v>2874</v>
      </c>
      <c r="C392" s="359" t="n">
        <v>1</v>
      </c>
      <c r="D392" s="358" t="n">
        <v>0</v>
      </c>
      <c r="E392" s="358" t="n">
        <v>0</v>
      </c>
      <c r="F392" s="358" t="n">
        <v>0</v>
      </c>
      <c r="G392" s="358" t="n">
        <v>0</v>
      </c>
      <c r="H392" s="359" t="n">
        <v>1</v>
      </c>
    </row>
    <row r="393" customFormat="false" ht="15" hidden="true" customHeight="false" outlineLevel="0" collapsed="false">
      <c r="B393" s="360" t="s">
        <v>2875</v>
      </c>
      <c r="C393" s="359" t="n">
        <v>1</v>
      </c>
      <c r="D393" s="358" t="n">
        <v>0</v>
      </c>
      <c r="E393" s="358" t="n">
        <v>0</v>
      </c>
      <c r="F393" s="358" t="n">
        <v>0</v>
      </c>
      <c r="G393" s="358" t="n">
        <v>0</v>
      </c>
      <c r="H393" s="359" t="n">
        <v>1</v>
      </c>
    </row>
    <row r="394" customFormat="false" ht="15" hidden="true" customHeight="false" outlineLevel="0" collapsed="false">
      <c r="B394" s="360" t="s">
        <v>2876</v>
      </c>
      <c r="C394" s="359" t="n">
        <v>1</v>
      </c>
      <c r="D394" s="358" t="n">
        <v>0</v>
      </c>
      <c r="E394" s="358" t="n">
        <v>0</v>
      </c>
      <c r="F394" s="358" t="n">
        <v>0</v>
      </c>
      <c r="G394" s="358" t="n">
        <v>0</v>
      </c>
      <c r="H394" s="359" t="n">
        <v>1</v>
      </c>
    </row>
    <row r="395" customFormat="false" ht="15" hidden="true" customHeight="false" outlineLevel="0" collapsed="false">
      <c r="B395" s="360" t="s">
        <v>2877</v>
      </c>
      <c r="C395" s="359" t="n">
        <v>1</v>
      </c>
      <c r="D395" s="358" t="n">
        <v>0</v>
      </c>
      <c r="E395" s="358" t="n">
        <v>0</v>
      </c>
      <c r="F395" s="358" t="n">
        <v>0</v>
      </c>
      <c r="G395" s="358" t="n">
        <v>0</v>
      </c>
      <c r="H395" s="359" t="n">
        <v>1</v>
      </c>
    </row>
    <row r="396" customFormat="false" ht="15" hidden="true" customHeight="false" outlineLevel="0" collapsed="false">
      <c r="B396" s="360" t="s">
        <v>2878</v>
      </c>
      <c r="C396" s="359" t="n">
        <v>1</v>
      </c>
      <c r="D396" s="358" t="n">
        <v>0</v>
      </c>
      <c r="E396" s="358" t="n">
        <v>0</v>
      </c>
      <c r="F396" s="358" t="n">
        <v>0</v>
      </c>
      <c r="G396" s="358" t="n">
        <v>0</v>
      </c>
      <c r="H396" s="359" t="n">
        <v>1</v>
      </c>
    </row>
    <row r="397" customFormat="false" ht="15" hidden="true" customHeight="false" outlineLevel="0" collapsed="false">
      <c r="B397" s="360" t="s">
        <v>2879</v>
      </c>
      <c r="C397" s="359" t="n">
        <v>1</v>
      </c>
      <c r="D397" s="358" t="n">
        <v>0</v>
      </c>
      <c r="E397" s="358" t="n">
        <v>0</v>
      </c>
      <c r="F397" s="358" t="n">
        <v>0</v>
      </c>
      <c r="G397" s="358" t="n">
        <v>0</v>
      </c>
      <c r="H397" s="359" t="n">
        <v>1</v>
      </c>
    </row>
    <row r="398" customFormat="false" ht="15" hidden="true" customHeight="false" outlineLevel="0" collapsed="false">
      <c r="B398" s="360" t="s">
        <v>2880</v>
      </c>
      <c r="C398" s="359" t="n">
        <v>1</v>
      </c>
      <c r="D398" s="358" t="n">
        <v>0</v>
      </c>
      <c r="E398" s="358" t="n">
        <v>0</v>
      </c>
      <c r="F398" s="358" t="n">
        <v>0</v>
      </c>
      <c r="G398" s="358" t="n">
        <v>0</v>
      </c>
      <c r="H398" s="359" t="n">
        <v>1</v>
      </c>
    </row>
    <row r="399" customFormat="false" ht="15" hidden="true" customHeight="false" outlineLevel="0" collapsed="false">
      <c r="B399" s="360" t="s">
        <v>2881</v>
      </c>
      <c r="C399" s="359" t="n">
        <v>1</v>
      </c>
      <c r="D399" s="358" t="n">
        <v>0</v>
      </c>
      <c r="E399" s="358" t="n">
        <v>0</v>
      </c>
      <c r="F399" s="358" t="n">
        <v>0</v>
      </c>
      <c r="G399" s="358" t="n">
        <v>0</v>
      </c>
      <c r="H399" s="359" t="n">
        <v>1</v>
      </c>
    </row>
    <row r="400" customFormat="false" ht="15" hidden="true" customHeight="false" outlineLevel="0" collapsed="false">
      <c r="B400" s="360" t="s">
        <v>2882</v>
      </c>
      <c r="C400" s="359" t="n">
        <v>1</v>
      </c>
      <c r="D400" s="358" t="n">
        <v>0</v>
      </c>
      <c r="E400" s="358" t="n">
        <v>0</v>
      </c>
      <c r="F400" s="358" t="n">
        <v>0</v>
      </c>
      <c r="G400" s="358" t="n">
        <v>0</v>
      </c>
      <c r="H400" s="359" t="n">
        <v>1</v>
      </c>
    </row>
    <row r="401" customFormat="false" ht="15" hidden="true" customHeight="false" outlineLevel="0" collapsed="false">
      <c r="B401" s="360" t="s">
        <v>2883</v>
      </c>
      <c r="C401" s="359" t="n">
        <v>1</v>
      </c>
      <c r="D401" s="358" t="n">
        <v>0</v>
      </c>
      <c r="E401" s="358" t="n">
        <v>0</v>
      </c>
      <c r="F401" s="358" t="n">
        <v>0</v>
      </c>
      <c r="G401" s="358" t="n">
        <v>0</v>
      </c>
      <c r="H401" s="359" t="n">
        <v>1</v>
      </c>
    </row>
    <row r="402" customFormat="false" ht="15" hidden="true" customHeight="false" outlineLevel="0" collapsed="false">
      <c r="B402" s="360" t="s">
        <v>2884</v>
      </c>
      <c r="C402" s="359" t="n">
        <v>1</v>
      </c>
      <c r="D402" s="358" t="n">
        <v>0</v>
      </c>
      <c r="E402" s="358" t="n">
        <v>0</v>
      </c>
      <c r="F402" s="358" t="n">
        <v>0</v>
      </c>
      <c r="G402" s="358" t="n">
        <v>0</v>
      </c>
      <c r="H402" s="359" t="n">
        <v>1</v>
      </c>
    </row>
    <row r="403" customFormat="false" ht="15" hidden="true" customHeight="false" outlineLevel="0" collapsed="false">
      <c r="B403" s="360" t="s">
        <v>2885</v>
      </c>
      <c r="C403" s="359" t="n">
        <v>1</v>
      </c>
      <c r="D403" s="358" t="n">
        <v>0</v>
      </c>
      <c r="E403" s="358" t="n">
        <v>0</v>
      </c>
      <c r="F403" s="358" t="n">
        <v>0</v>
      </c>
      <c r="G403" s="358" t="n">
        <v>0</v>
      </c>
      <c r="H403" s="359" t="n">
        <v>1</v>
      </c>
    </row>
    <row r="404" customFormat="false" ht="15" hidden="true" customHeight="false" outlineLevel="0" collapsed="false">
      <c r="B404" s="360" t="s">
        <v>2886</v>
      </c>
      <c r="C404" s="359" t="n">
        <v>1</v>
      </c>
      <c r="D404" s="358" t="n">
        <v>0</v>
      </c>
      <c r="E404" s="358" t="n">
        <v>0</v>
      </c>
      <c r="F404" s="358" t="n">
        <v>0</v>
      </c>
      <c r="G404" s="358" t="n">
        <v>0</v>
      </c>
      <c r="H404" s="359" t="n">
        <v>1</v>
      </c>
    </row>
    <row r="405" customFormat="false" ht="15" hidden="true" customHeight="false" outlineLevel="0" collapsed="false">
      <c r="B405" s="360" t="s">
        <v>2887</v>
      </c>
      <c r="C405" s="359" t="n">
        <v>1</v>
      </c>
      <c r="D405" s="358" t="n">
        <v>0</v>
      </c>
      <c r="E405" s="358" t="n">
        <v>0</v>
      </c>
      <c r="F405" s="358" t="n">
        <v>0</v>
      </c>
      <c r="G405" s="358" t="n">
        <v>0</v>
      </c>
      <c r="H405" s="359" t="n">
        <v>1</v>
      </c>
    </row>
    <row r="406" customFormat="false" ht="15" hidden="true" customHeight="false" outlineLevel="0" collapsed="false">
      <c r="B406" s="360" t="s">
        <v>2888</v>
      </c>
      <c r="C406" s="359" t="n">
        <v>1</v>
      </c>
      <c r="D406" s="358" t="n">
        <v>0</v>
      </c>
      <c r="E406" s="358" t="n">
        <v>0</v>
      </c>
      <c r="F406" s="358" t="n">
        <v>0</v>
      </c>
      <c r="G406" s="358" t="n">
        <v>0</v>
      </c>
      <c r="H406" s="359" t="n">
        <v>1</v>
      </c>
    </row>
    <row r="407" customFormat="false" ht="15" hidden="true" customHeight="false" outlineLevel="0" collapsed="false">
      <c r="B407" s="360" t="s">
        <v>2889</v>
      </c>
      <c r="C407" s="359" t="n">
        <v>1</v>
      </c>
      <c r="D407" s="358" t="n">
        <v>0</v>
      </c>
      <c r="E407" s="358" t="n">
        <v>0</v>
      </c>
      <c r="F407" s="358" t="n">
        <v>0</v>
      </c>
      <c r="G407" s="358" t="n">
        <v>0</v>
      </c>
      <c r="H407" s="359" t="n">
        <v>1</v>
      </c>
    </row>
    <row r="408" customFormat="false" ht="15" hidden="true" customHeight="false" outlineLevel="0" collapsed="false">
      <c r="B408" s="360" t="s">
        <v>2890</v>
      </c>
      <c r="C408" s="359" t="n">
        <v>1</v>
      </c>
      <c r="D408" s="358" t="n">
        <v>0</v>
      </c>
      <c r="E408" s="358" t="n">
        <v>0</v>
      </c>
      <c r="F408" s="358" t="n">
        <v>0</v>
      </c>
      <c r="G408" s="358" t="n">
        <v>0</v>
      </c>
      <c r="H408" s="359" t="n">
        <v>1</v>
      </c>
    </row>
    <row r="409" customFormat="false" ht="15" hidden="true" customHeight="false" outlineLevel="0" collapsed="false">
      <c r="B409" s="360" t="s">
        <v>2891</v>
      </c>
      <c r="C409" s="359" t="n">
        <v>1</v>
      </c>
      <c r="D409" s="358" t="n">
        <v>0</v>
      </c>
      <c r="E409" s="358" t="n">
        <v>0</v>
      </c>
      <c r="F409" s="358" t="n">
        <v>0</v>
      </c>
      <c r="G409" s="358" t="n">
        <v>0</v>
      </c>
      <c r="H409" s="359" t="n">
        <v>1</v>
      </c>
    </row>
    <row r="410" customFormat="false" ht="15" hidden="true" customHeight="false" outlineLevel="0" collapsed="false">
      <c r="B410" s="360" t="s">
        <v>2892</v>
      </c>
      <c r="C410" s="359" t="n">
        <v>1</v>
      </c>
      <c r="D410" s="358" t="n">
        <v>0</v>
      </c>
      <c r="E410" s="358" t="n">
        <v>0</v>
      </c>
      <c r="F410" s="358" t="n">
        <v>0</v>
      </c>
      <c r="G410" s="358" t="n">
        <v>0</v>
      </c>
      <c r="H410" s="359" t="n">
        <v>1</v>
      </c>
    </row>
    <row r="411" customFormat="false" ht="15" hidden="false" customHeight="false" outlineLevel="0" collapsed="false">
      <c r="B411" s="364" t="s">
        <v>2468</v>
      </c>
      <c r="C411" s="365" t="n">
        <v>59</v>
      </c>
      <c r="D411" s="358" t="n">
        <v>0</v>
      </c>
      <c r="E411" s="358" t="n">
        <v>0</v>
      </c>
      <c r="F411" s="358" t="n">
        <v>0</v>
      </c>
      <c r="G411" s="358" t="n">
        <v>0</v>
      </c>
      <c r="H411" s="365" t="n">
        <v>59</v>
      </c>
    </row>
    <row r="412" customFormat="false" ht="15" hidden="true" customHeight="false" outlineLevel="0" collapsed="false">
      <c r="B412" s="360" t="s">
        <v>2893</v>
      </c>
      <c r="C412" s="359" t="n">
        <v>1</v>
      </c>
      <c r="D412" s="358" t="n">
        <v>0</v>
      </c>
      <c r="E412" s="358" t="n">
        <v>0</v>
      </c>
      <c r="F412" s="358" t="n">
        <v>0</v>
      </c>
      <c r="G412" s="358" t="n">
        <v>0</v>
      </c>
      <c r="H412" s="359" t="n">
        <v>1</v>
      </c>
    </row>
    <row r="413" customFormat="false" ht="15" hidden="true" customHeight="false" outlineLevel="0" collapsed="false">
      <c r="B413" s="360" t="s">
        <v>2894</v>
      </c>
      <c r="C413" s="359" t="n">
        <v>1</v>
      </c>
      <c r="D413" s="358" t="n">
        <v>0</v>
      </c>
      <c r="E413" s="358" t="n">
        <v>0</v>
      </c>
      <c r="F413" s="358" t="n">
        <v>0</v>
      </c>
      <c r="G413" s="358" t="n">
        <v>0</v>
      </c>
      <c r="H413" s="359" t="n">
        <v>1</v>
      </c>
    </row>
    <row r="414" customFormat="false" ht="15" hidden="true" customHeight="false" outlineLevel="0" collapsed="false">
      <c r="B414" s="360" t="s">
        <v>2895</v>
      </c>
      <c r="C414" s="359" t="n">
        <v>1</v>
      </c>
      <c r="D414" s="358" t="n">
        <v>0</v>
      </c>
      <c r="E414" s="358" t="n">
        <v>0</v>
      </c>
      <c r="F414" s="358" t="n">
        <v>0</v>
      </c>
      <c r="G414" s="358" t="n">
        <v>0</v>
      </c>
      <c r="H414" s="359" t="n">
        <v>1</v>
      </c>
    </row>
    <row r="415" customFormat="false" ht="15" hidden="true" customHeight="false" outlineLevel="0" collapsed="false">
      <c r="B415" s="360" t="s">
        <v>2896</v>
      </c>
      <c r="C415" s="359" t="n">
        <v>1</v>
      </c>
      <c r="D415" s="358" t="n">
        <v>0</v>
      </c>
      <c r="E415" s="358" t="n">
        <v>0</v>
      </c>
      <c r="F415" s="358" t="n">
        <v>0</v>
      </c>
      <c r="G415" s="358" t="n">
        <v>0</v>
      </c>
      <c r="H415" s="359" t="n">
        <v>1</v>
      </c>
    </row>
    <row r="416" customFormat="false" ht="15" hidden="true" customHeight="false" outlineLevel="0" collapsed="false">
      <c r="B416" s="360" t="s">
        <v>2897</v>
      </c>
      <c r="C416" s="359" t="n">
        <v>1</v>
      </c>
      <c r="D416" s="358" t="n">
        <v>0</v>
      </c>
      <c r="E416" s="358" t="n">
        <v>0</v>
      </c>
      <c r="F416" s="358" t="n">
        <v>0</v>
      </c>
      <c r="G416" s="358" t="n">
        <v>0</v>
      </c>
      <c r="H416" s="359" t="n">
        <v>1</v>
      </c>
    </row>
    <row r="417" customFormat="false" ht="15" hidden="true" customHeight="false" outlineLevel="0" collapsed="false">
      <c r="B417" s="360" t="s">
        <v>2898</v>
      </c>
      <c r="C417" s="359" t="n">
        <v>1</v>
      </c>
      <c r="D417" s="358" t="n">
        <v>0</v>
      </c>
      <c r="E417" s="358" t="n">
        <v>0</v>
      </c>
      <c r="F417" s="358" t="n">
        <v>0</v>
      </c>
      <c r="G417" s="358" t="n">
        <v>0</v>
      </c>
      <c r="H417" s="359" t="n">
        <v>1</v>
      </c>
    </row>
    <row r="418" customFormat="false" ht="15" hidden="true" customHeight="false" outlineLevel="0" collapsed="false">
      <c r="B418" s="360" t="s">
        <v>2899</v>
      </c>
      <c r="C418" s="359" t="n">
        <v>1</v>
      </c>
      <c r="D418" s="358" t="n">
        <v>0</v>
      </c>
      <c r="E418" s="358" t="n">
        <v>0</v>
      </c>
      <c r="F418" s="358" t="n">
        <v>0</v>
      </c>
      <c r="G418" s="358" t="n">
        <v>0</v>
      </c>
      <c r="H418" s="359" t="n">
        <v>1</v>
      </c>
    </row>
    <row r="419" customFormat="false" ht="15" hidden="true" customHeight="false" outlineLevel="0" collapsed="false">
      <c r="B419" s="360" t="s">
        <v>2900</v>
      </c>
      <c r="C419" s="359" t="n">
        <v>1</v>
      </c>
      <c r="D419" s="358" t="n">
        <v>0</v>
      </c>
      <c r="E419" s="358" t="n">
        <v>0</v>
      </c>
      <c r="F419" s="358" t="n">
        <v>0</v>
      </c>
      <c r="G419" s="358" t="n">
        <v>0</v>
      </c>
      <c r="H419" s="359" t="n">
        <v>1</v>
      </c>
    </row>
    <row r="420" customFormat="false" ht="15" hidden="true" customHeight="false" outlineLevel="0" collapsed="false">
      <c r="B420" s="360" t="s">
        <v>2901</v>
      </c>
      <c r="C420" s="359" t="n">
        <v>1</v>
      </c>
      <c r="D420" s="358" t="n">
        <v>0</v>
      </c>
      <c r="E420" s="358" t="n">
        <v>0</v>
      </c>
      <c r="F420" s="358" t="n">
        <v>0</v>
      </c>
      <c r="G420" s="358" t="n">
        <v>0</v>
      </c>
      <c r="H420" s="359" t="n">
        <v>1</v>
      </c>
    </row>
    <row r="421" customFormat="false" ht="15" hidden="true" customHeight="false" outlineLevel="0" collapsed="false">
      <c r="B421" s="360" t="s">
        <v>2902</v>
      </c>
      <c r="C421" s="359" t="n">
        <v>1</v>
      </c>
      <c r="D421" s="358" t="n">
        <v>0</v>
      </c>
      <c r="E421" s="358" t="n">
        <v>0</v>
      </c>
      <c r="F421" s="358" t="n">
        <v>0</v>
      </c>
      <c r="G421" s="358" t="n">
        <v>0</v>
      </c>
      <c r="H421" s="359" t="n">
        <v>1</v>
      </c>
    </row>
    <row r="422" customFormat="false" ht="15" hidden="true" customHeight="false" outlineLevel="0" collapsed="false">
      <c r="B422" s="360" t="s">
        <v>2903</v>
      </c>
      <c r="C422" s="359" t="n">
        <v>1</v>
      </c>
      <c r="D422" s="358" t="n">
        <v>0</v>
      </c>
      <c r="E422" s="358" t="n">
        <v>0</v>
      </c>
      <c r="F422" s="358" t="n">
        <v>0</v>
      </c>
      <c r="G422" s="358" t="n">
        <v>0</v>
      </c>
      <c r="H422" s="359" t="n">
        <v>1</v>
      </c>
    </row>
    <row r="423" customFormat="false" ht="15" hidden="true" customHeight="false" outlineLevel="0" collapsed="false">
      <c r="B423" s="360" t="s">
        <v>2904</v>
      </c>
      <c r="C423" s="359" t="n">
        <v>1</v>
      </c>
      <c r="D423" s="358" t="n">
        <v>0</v>
      </c>
      <c r="E423" s="358" t="n">
        <v>0</v>
      </c>
      <c r="F423" s="358" t="n">
        <v>0</v>
      </c>
      <c r="G423" s="358" t="n">
        <v>0</v>
      </c>
      <c r="H423" s="359" t="n">
        <v>1</v>
      </c>
    </row>
    <row r="424" customFormat="false" ht="15" hidden="true" customHeight="false" outlineLevel="0" collapsed="false">
      <c r="B424" s="360" t="s">
        <v>2905</v>
      </c>
      <c r="C424" s="359" t="n">
        <v>1</v>
      </c>
      <c r="D424" s="358" t="n">
        <v>0</v>
      </c>
      <c r="E424" s="358" t="n">
        <v>0</v>
      </c>
      <c r="F424" s="358" t="n">
        <v>0</v>
      </c>
      <c r="G424" s="358" t="n">
        <v>0</v>
      </c>
      <c r="H424" s="359" t="n">
        <v>1</v>
      </c>
    </row>
    <row r="425" customFormat="false" ht="15" hidden="true" customHeight="false" outlineLevel="0" collapsed="false">
      <c r="B425" s="360" t="s">
        <v>2906</v>
      </c>
      <c r="C425" s="359" t="n">
        <v>1</v>
      </c>
      <c r="D425" s="358" t="n">
        <v>0</v>
      </c>
      <c r="E425" s="358" t="n">
        <v>0</v>
      </c>
      <c r="F425" s="358" t="n">
        <v>0</v>
      </c>
      <c r="G425" s="358" t="n">
        <v>0</v>
      </c>
      <c r="H425" s="359" t="n">
        <v>1</v>
      </c>
    </row>
    <row r="426" customFormat="false" ht="15" hidden="true" customHeight="false" outlineLevel="0" collapsed="false">
      <c r="B426" s="360" t="s">
        <v>2907</v>
      </c>
      <c r="C426" s="359" t="n">
        <v>1</v>
      </c>
      <c r="D426" s="358" t="n">
        <v>0</v>
      </c>
      <c r="E426" s="358" t="n">
        <v>0</v>
      </c>
      <c r="F426" s="358" t="n">
        <v>0</v>
      </c>
      <c r="G426" s="358" t="n">
        <v>0</v>
      </c>
      <c r="H426" s="359" t="n">
        <v>1</v>
      </c>
    </row>
    <row r="427" customFormat="false" ht="15" hidden="true" customHeight="false" outlineLevel="0" collapsed="false">
      <c r="B427" s="360" t="s">
        <v>2908</v>
      </c>
      <c r="C427" s="359" t="n">
        <v>1</v>
      </c>
      <c r="D427" s="358" t="n">
        <v>0</v>
      </c>
      <c r="E427" s="358" t="n">
        <v>0</v>
      </c>
      <c r="F427" s="358" t="n">
        <v>0</v>
      </c>
      <c r="G427" s="358" t="n">
        <v>0</v>
      </c>
      <c r="H427" s="359" t="n">
        <v>1</v>
      </c>
    </row>
    <row r="428" customFormat="false" ht="15" hidden="true" customHeight="false" outlineLevel="0" collapsed="false">
      <c r="B428" s="360" t="s">
        <v>2909</v>
      </c>
      <c r="C428" s="359" t="n">
        <v>1</v>
      </c>
      <c r="D428" s="358" t="n">
        <v>0</v>
      </c>
      <c r="E428" s="358" t="n">
        <v>0</v>
      </c>
      <c r="F428" s="358" t="n">
        <v>0</v>
      </c>
      <c r="G428" s="358" t="n">
        <v>0</v>
      </c>
      <c r="H428" s="359" t="n">
        <v>1</v>
      </c>
    </row>
    <row r="429" customFormat="false" ht="15" hidden="true" customHeight="false" outlineLevel="0" collapsed="false">
      <c r="B429" s="360" t="s">
        <v>2910</v>
      </c>
      <c r="C429" s="359" t="n">
        <v>1</v>
      </c>
      <c r="D429" s="358" t="n">
        <v>0</v>
      </c>
      <c r="E429" s="358" t="n">
        <v>0</v>
      </c>
      <c r="F429" s="358" t="n">
        <v>0</v>
      </c>
      <c r="G429" s="358" t="n">
        <v>0</v>
      </c>
      <c r="H429" s="359" t="n">
        <v>1</v>
      </c>
    </row>
    <row r="430" customFormat="false" ht="15" hidden="true" customHeight="false" outlineLevel="0" collapsed="false">
      <c r="B430" s="360" t="s">
        <v>2911</v>
      </c>
      <c r="C430" s="359" t="n">
        <v>1</v>
      </c>
      <c r="D430" s="358" t="n">
        <v>0</v>
      </c>
      <c r="E430" s="358" t="n">
        <v>0</v>
      </c>
      <c r="F430" s="358" t="n">
        <v>0</v>
      </c>
      <c r="G430" s="358" t="n">
        <v>0</v>
      </c>
      <c r="H430" s="359" t="n">
        <v>1</v>
      </c>
    </row>
    <row r="431" customFormat="false" ht="15" hidden="true" customHeight="false" outlineLevel="0" collapsed="false">
      <c r="B431" s="360" t="s">
        <v>2912</v>
      </c>
      <c r="C431" s="359" t="n">
        <v>1</v>
      </c>
      <c r="D431" s="358" t="n">
        <v>0</v>
      </c>
      <c r="E431" s="358" t="n">
        <v>0</v>
      </c>
      <c r="F431" s="358" t="n">
        <v>0</v>
      </c>
      <c r="G431" s="358" t="n">
        <v>0</v>
      </c>
      <c r="H431" s="359" t="n">
        <v>1</v>
      </c>
    </row>
    <row r="432" customFormat="false" ht="15" hidden="true" customHeight="false" outlineLevel="0" collapsed="false">
      <c r="B432" s="360" t="s">
        <v>2913</v>
      </c>
      <c r="C432" s="359" t="n">
        <v>1</v>
      </c>
      <c r="D432" s="358" t="n">
        <v>0</v>
      </c>
      <c r="E432" s="358" t="n">
        <v>0</v>
      </c>
      <c r="F432" s="358" t="n">
        <v>0</v>
      </c>
      <c r="G432" s="358" t="n">
        <v>0</v>
      </c>
      <c r="H432" s="359" t="n">
        <v>1</v>
      </c>
    </row>
    <row r="433" customFormat="false" ht="15" hidden="true" customHeight="false" outlineLevel="0" collapsed="false">
      <c r="B433" s="360" t="s">
        <v>2914</v>
      </c>
      <c r="C433" s="359" t="n">
        <v>1</v>
      </c>
      <c r="D433" s="358" t="n">
        <v>0</v>
      </c>
      <c r="E433" s="358" t="n">
        <v>0</v>
      </c>
      <c r="F433" s="358" t="n">
        <v>0</v>
      </c>
      <c r="G433" s="358" t="n">
        <v>0</v>
      </c>
      <c r="H433" s="359" t="n">
        <v>1</v>
      </c>
    </row>
    <row r="434" customFormat="false" ht="15" hidden="true" customHeight="false" outlineLevel="0" collapsed="false">
      <c r="B434" s="360" t="s">
        <v>2915</v>
      </c>
      <c r="C434" s="359" t="n">
        <v>1</v>
      </c>
      <c r="D434" s="358" t="n">
        <v>0</v>
      </c>
      <c r="E434" s="358" t="n">
        <v>0</v>
      </c>
      <c r="F434" s="358" t="n">
        <v>0</v>
      </c>
      <c r="G434" s="358" t="n">
        <v>0</v>
      </c>
      <c r="H434" s="359" t="n">
        <v>1</v>
      </c>
    </row>
    <row r="435" customFormat="false" ht="15" hidden="true" customHeight="false" outlineLevel="0" collapsed="false">
      <c r="B435" s="360" t="s">
        <v>2916</v>
      </c>
      <c r="C435" s="359" t="n">
        <v>1</v>
      </c>
      <c r="D435" s="358" t="n">
        <v>0</v>
      </c>
      <c r="E435" s="358" t="n">
        <v>0</v>
      </c>
      <c r="F435" s="358" t="n">
        <v>0</v>
      </c>
      <c r="G435" s="358" t="n">
        <v>0</v>
      </c>
      <c r="H435" s="359" t="n">
        <v>1</v>
      </c>
    </row>
    <row r="436" customFormat="false" ht="15" hidden="true" customHeight="false" outlineLevel="0" collapsed="false">
      <c r="B436" s="360" t="s">
        <v>2917</v>
      </c>
      <c r="C436" s="359" t="n">
        <v>1</v>
      </c>
      <c r="D436" s="358" t="n">
        <v>0</v>
      </c>
      <c r="E436" s="358" t="n">
        <v>0</v>
      </c>
      <c r="F436" s="358" t="n">
        <v>0</v>
      </c>
      <c r="G436" s="358" t="n">
        <v>0</v>
      </c>
      <c r="H436" s="359" t="n">
        <v>1</v>
      </c>
    </row>
    <row r="437" customFormat="false" ht="15" hidden="true" customHeight="false" outlineLevel="0" collapsed="false">
      <c r="B437" s="360" t="s">
        <v>2918</v>
      </c>
      <c r="C437" s="359" t="n">
        <v>1</v>
      </c>
      <c r="D437" s="358" t="n">
        <v>0</v>
      </c>
      <c r="E437" s="358" t="n">
        <v>0</v>
      </c>
      <c r="F437" s="358" t="n">
        <v>0</v>
      </c>
      <c r="G437" s="358" t="n">
        <v>0</v>
      </c>
      <c r="H437" s="359" t="n">
        <v>1</v>
      </c>
    </row>
    <row r="438" customFormat="false" ht="15" hidden="true" customHeight="false" outlineLevel="0" collapsed="false">
      <c r="B438" s="360" t="s">
        <v>2919</v>
      </c>
      <c r="C438" s="359" t="n">
        <v>1</v>
      </c>
      <c r="D438" s="358" t="n">
        <v>0</v>
      </c>
      <c r="E438" s="358" t="n">
        <v>0</v>
      </c>
      <c r="F438" s="358" t="n">
        <v>0</v>
      </c>
      <c r="G438" s="358" t="n">
        <v>0</v>
      </c>
      <c r="H438" s="359" t="n">
        <v>1</v>
      </c>
    </row>
    <row r="439" customFormat="false" ht="15" hidden="true" customHeight="false" outlineLevel="0" collapsed="false">
      <c r="B439" s="360" t="s">
        <v>2920</v>
      </c>
      <c r="C439" s="359" t="n">
        <v>1</v>
      </c>
      <c r="D439" s="358" t="n">
        <v>0</v>
      </c>
      <c r="E439" s="358" t="n">
        <v>0</v>
      </c>
      <c r="F439" s="358" t="n">
        <v>0</v>
      </c>
      <c r="G439" s="358" t="n">
        <v>0</v>
      </c>
      <c r="H439" s="359" t="n">
        <v>1</v>
      </c>
    </row>
    <row r="440" customFormat="false" ht="15" hidden="true" customHeight="false" outlineLevel="0" collapsed="false">
      <c r="B440" s="360" t="s">
        <v>2921</v>
      </c>
      <c r="C440" s="359" t="n">
        <v>1</v>
      </c>
      <c r="D440" s="358" t="n">
        <v>0</v>
      </c>
      <c r="E440" s="358" t="n">
        <v>0</v>
      </c>
      <c r="F440" s="358" t="n">
        <v>0</v>
      </c>
      <c r="G440" s="358" t="n">
        <v>0</v>
      </c>
      <c r="H440" s="359" t="n">
        <v>1</v>
      </c>
    </row>
    <row r="441" customFormat="false" ht="15" hidden="true" customHeight="false" outlineLevel="0" collapsed="false">
      <c r="B441" s="360" t="s">
        <v>2922</v>
      </c>
      <c r="C441" s="359" t="n">
        <v>1</v>
      </c>
      <c r="D441" s="358" t="n">
        <v>0</v>
      </c>
      <c r="E441" s="358" t="n">
        <v>0</v>
      </c>
      <c r="F441" s="358" t="n">
        <v>0</v>
      </c>
      <c r="G441" s="358" t="n">
        <v>0</v>
      </c>
      <c r="H441" s="359" t="n">
        <v>1</v>
      </c>
    </row>
    <row r="442" customFormat="false" ht="15" hidden="true" customHeight="false" outlineLevel="0" collapsed="false">
      <c r="B442" s="360" t="s">
        <v>2923</v>
      </c>
      <c r="C442" s="359" t="n">
        <v>1</v>
      </c>
      <c r="D442" s="358" t="n">
        <v>0</v>
      </c>
      <c r="E442" s="358" t="n">
        <v>0</v>
      </c>
      <c r="F442" s="358" t="n">
        <v>0</v>
      </c>
      <c r="G442" s="358" t="n">
        <v>0</v>
      </c>
      <c r="H442" s="359" t="n">
        <v>1</v>
      </c>
    </row>
    <row r="443" customFormat="false" ht="15" hidden="true" customHeight="false" outlineLevel="0" collapsed="false">
      <c r="B443" s="360" t="s">
        <v>2924</v>
      </c>
      <c r="C443" s="359" t="n">
        <v>1</v>
      </c>
      <c r="D443" s="358" t="n">
        <v>0</v>
      </c>
      <c r="E443" s="358" t="n">
        <v>0</v>
      </c>
      <c r="F443" s="358" t="n">
        <v>0</v>
      </c>
      <c r="G443" s="358" t="n">
        <v>0</v>
      </c>
      <c r="H443" s="359" t="n">
        <v>1</v>
      </c>
    </row>
    <row r="444" customFormat="false" ht="15" hidden="true" customHeight="false" outlineLevel="0" collapsed="false">
      <c r="B444" s="360" t="s">
        <v>2925</v>
      </c>
      <c r="C444" s="359" t="n">
        <v>1</v>
      </c>
      <c r="D444" s="358" t="n">
        <v>0</v>
      </c>
      <c r="E444" s="358" t="n">
        <v>0</v>
      </c>
      <c r="F444" s="358" t="n">
        <v>0</v>
      </c>
      <c r="G444" s="358" t="n">
        <v>0</v>
      </c>
      <c r="H444" s="359" t="n">
        <v>1</v>
      </c>
    </row>
    <row r="445" customFormat="false" ht="15" hidden="true" customHeight="false" outlineLevel="0" collapsed="false">
      <c r="B445" s="360" t="s">
        <v>2926</v>
      </c>
      <c r="C445" s="359" t="n">
        <v>1</v>
      </c>
      <c r="D445" s="358" t="n">
        <v>0</v>
      </c>
      <c r="E445" s="358" t="n">
        <v>0</v>
      </c>
      <c r="F445" s="358" t="n">
        <v>0</v>
      </c>
      <c r="G445" s="358" t="n">
        <v>0</v>
      </c>
      <c r="H445" s="359" t="n">
        <v>1</v>
      </c>
    </row>
    <row r="446" customFormat="false" ht="15" hidden="true" customHeight="false" outlineLevel="0" collapsed="false">
      <c r="B446" s="360" t="s">
        <v>2927</v>
      </c>
      <c r="C446" s="359" t="n">
        <v>1</v>
      </c>
      <c r="D446" s="358" t="n">
        <v>0</v>
      </c>
      <c r="E446" s="358" t="n">
        <v>0</v>
      </c>
      <c r="F446" s="358" t="n">
        <v>0</v>
      </c>
      <c r="G446" s="358" t="n">
        <v>0</v>
      </c>
      <c r="H446" s="359" t="n">
        <v>1</v>
      </c>
    </row>
    <row r="447" customFormat="false" ht="15" hidden="true" customHeight="false" outlineLevel="0" collapsed="false">
      <c r="B447" s="360" t="s">
        <v>2928</v>
      </c>
      <c r="C447" s="359" t="n">
        <v>1</v>
      </c>
      <c r="D447" s="358" t="n">
        <v>0</v>
      </c>
      <c r="E447" s="358" t="n">
        <v>0</v>
      </c>
      <c r="F447" s="358" t="n">
        <v>0</v>
      </c>
      <c r="G447" s="358" t="n">
        <v>0</v>
      </c>
      <c r="H447" s="359" t="n">
        <v>1</v>
      </c>
    </row>
    <row r="448" customFormat="false" ht="15" hidden="true" customHeight="false" outlineLevel="0" collapsed="false">
      <c r="B448" s="360" t="s">
        <v>2929</v>
      </c>
      <c r="C448" s="359" t="n">
        <v>1</v>
      </c>
      <c r="D448" s="358" t="n">
        <v>0</v>
      </c>
      <c r="E448" s="358" t="n">
        <v>0</v>
      </c>
      <c r="F448" s="358" t="n">
        <v>0</v>
      </c>
      <c r="G448" s="358" t="n">
        <v>0</v>
      </c>
      <c r="H448" s="359" t="n">
        <v>1</v>
      </c>
    </row>
    <row r="449" customFormat="false" ht="15" hidden="true" customHeight="false" outlineLevel="0" collapsed="false">
      <c r="B449" s="360" t="s">
        <v>2930</v>
      </c>
      <c r="C449" s="359" t="n">
        <v>1</v>
      </c>
      <c r="D449" s="358" t="n">
        <v>0</v>
      </c>
      <c r="E449" s="358" t="n">
        <v>0</v>
      </c>
      <c r="F449" s="358" t="n">
        <v>0</v>
      </c>
      <c r="G449" s="358" t="n">
        <v>0</v>
      </c>
      <c r="H449" s="359" t="n">
        <v>1</v>
      </c>
    </row>
    <row r="450" customFormat="false" ht="15" hidden="true" customHeight="false" outlineLevel="0" collapsed="false">
      <c r="B450" s="360" t="s">
        <v>2931</v>
      </c>
      <c r="C450" s="359" t="n">
        <v>1</v>
      </c>
      <c r="D450" s="358" t="n">
        <v>0</v>
      </c>
      <c r="E450" s="358" t="n">
        <v>0</v>
      </c>
      <c r="F450" s="358" t="n">
        <v>0</v>
      </c>
      <c r="G450" s="358" t="n">
        <v>0</v>
      </c>
      <c r="H450" s="359" t="n">
        <v>1</v>
      </c>
    </row>
    <row r="451" customFormat="false" ht="15" hidden="true" customHeight="false" outlineLevel="0" collapsed="false">
      <c r="B451" s="360" t="s">
        <v>2932</v>
      </c>
      <c r="C451" s="359" t="n">
        <v>1</v>
      </c>
      <c r="D451" s="358" t="n">
        <v>0</v>
      </c>
      <c r="E451" s="358" t="n">
        <v>0</v>
      </c>
      <c r="F451" s="358" t="n">
        <v>0</v>
      </c>
      <c r="G451" s="358" t="n">
        <v>0</v>
      </c>
      <c r="H451" s="359" t="n">
        <v>1</v>
      </c>
    </row>
    <row r="452" customFormat="false" ht="15" hidden="true" customHeight="false" outlineLevel="0" collapsed="false">
      <c r="B452" s="360" t="s">
        <v>2933</v>
      </c>
      <c r="C452" s="359" t="n">
        <v>1</v>
      </c>
      <c r="D452" s="358" t="n">
        <v>0</v>
      </c>
      <c r="E452" s="358" t="n">
        <v>0</v>
      </c>
      <c r="F452" s="358" t="n">
        <v>0</v>
      </c>
      <c r="G452" s="358" t="n">
        <v>0</v>
      </c>
      <c r="H452" s="359" t="n">
        <v>1</v>
      </c>
    </row>
    <row r="453" customFormat="false" ht="15" hidden="true" customHeight="false" outlineLevel="0" collapsed="false">
      <c r="B453" s="360" t="s">
        <v>2934</v>
      </c>
      <c r="C453" s="359" t="n">
        <v>1</v>
      </c>
      <c r="D453" s="358" t="n">
        <v>0</v>
      </c>
      <c r="E453" s="358" t="n">
        <v>0</v>
      </c>
      <c r="F453" s="358" t="n">
        <v>0</v>
      </c>
      <c r="G453" s="358" t="n">
        <v>0</v>
      </c>
      <c r="H453" s="359" t="n">
        <v>1</v>
      </c>
    </row>
    <row r="454" customFormat="false" ht="15" hidden="true" customHeight="false" outlineLevel="0" collapsed="false">
      <c r="B454" s="360" t="s">
        <v>2935</v>
      </c>
      <c r="C454" s="359" t="n">
        <v>1</v>
      </c>
      <c r="D454" s="358" t="n">
        <v>0</v>
      </c>
      <c r="E454" s="358" t="n">
        <v>0</v>
      </c>
      <c r="F454" s="358" t="n">
        <v>0</v>
      </c>
      <c r="G454" s="358" t="n">
        <v>0</v>
      </c>
      <c r="H454" s="359" t="n">
        <v>1</v>
      </c>
    </row>
    <row r="455" customFormat="false" ht="15" hidden="true" customHeight="false" outlineLevel="0" collapsed="false">
      <c r="B455" s="360" t="s">
        <v>2936</v>
      </c>
      <c r="C455" s="359" t="n">
        <v>1</v>
      </c>
      <c r="D455" s="358" t="n">
        <v>0</v>
      </c>
      <c r="E455" s="358" t="n">
        <v>0</v>
      </c>
      <c r="F455" s="358" t="n">
        <v>0</v>
      </c>
      <c r="G455" s="358" t="n">
        <v>0</v>
      </c>
      <c r="H455" s="359" t="n">
        <v>1</v>
      </c>
    </row>
    <row r="456" customFormat="false" ht="15" hidden="true" customHeight="false" outlineLevel="0" collapsed="false">
      <c r="B456" s="360" t="s">
        <v>2937</v>
      </c>
      <c r="C456" s="359" t="n">
        <v>1</v>
      </c>
      <c r="D456" s="358" t="n">
        <v>0</v>
      </c>
      <c r="E456" s="358" t="n">
        <v>0</v>
      </c>
      <c r="F456" s="358" t="n">
        <v>0</v>
      </c>
      <c r="G456" s="358" t="n">
        <v>0</v>
      </c>
      <c r="H456" s="359" t="n">
        <v>1</v>
      </c>
    </row>
    <row r="457" customFormat="false" ht="15" hidden="true" customHeight="false" outlineLevel="0" collapsed="false">
      <c r="B457" s="360" t="s">
        <v>2938</v>
      </c>
      <c r="C457" s="359" t="n">
        <v>1</v>
      </c>
      <c r="D457" s="358" t="n">
        <v>0</v>
      </c>
      <c r="E457" s="358" t="n">
        <v>0</v>
      </c>
      <c r="F457" s="358" t="n">
        <v>0</v>
      </c>
      <c r="G457" s="358" t="n">
        <v>0</v>
      </c>
      <c r="H457" s="359" t="n">
        <v>1</v>
      </c>
    </row>
    <row r="458" customFormat="false" ht="15" hidden="true" customHeight="false" outlineLevel="0" collapsed="false">
      <c r="B458" s="360" t="s">
        <v>2939</v>
      </c>
      <c r="C458" s="359" t="n">
        <v>1</v>
      </c>
      <c r="D458" s="358" t="n">
        <v>0</v>
      </c>
      <c r="E458" s="358" t="n">
        <v>0</v>
      </c>
      <c r="F458" s="358" t="n">
        <v>0</v>
      </c>
      <c r="G458" s="358" t="n">
        <v>0</v>
      </c>
      <c r="H458" s="359" t="n">
        <v>1</v>
      </c>
    </row>
    <row r="459" customFormat="false" ht="15" hidden="true" customHeight="false" outlineLevel="0" collapsed="false">
      <c r="B459" s="360" t="s">
        <v>2940</v>
      </c>
      <c r="C459" s="359" t="n">
        <v>1</v>
      </c>
      <c r="D459" s="358" t="n">
        <v>0</v>
      </c>
      <c r="E459" s="358" t="n">
        <v>0</v>
      </c>
      <c r="F459" s="358" t="n">
        <v>0</v>
      </c>
      <c r="G459" s="358" t="n">
        <v>0</v>
      </c>
      <c r="H459" s="359" t="n">
        <v>1</v>
      </c>
    </row>
    <row r="460" customFormat="false" ht="15" hidden="true" customHeight="false" outlineLevel="0" collapsed="false">
      <c r="B460" s="360" t="s">
        <v>2941</v>
      </c>
      <c r="C460" s="359" t="n">
        <v>1</v>
      </c>
      <c r="D460" s="358" t="n">
        <v>0</v>
      </c>
      <c r="E460" s="358" t="n">
        <v>0</v>
      </c>
      <c r="F460" s="358" t="n">
        <v>0</v>
      </c>
      <c r="G460" s="358" t="n">
        <v>0</v>
      </c>
      <c r="H460" s="359" t="n">
        <v>1</v>
      </c>
    </row>
    <row r="461" customFormat="false" ht="15" hidden="true" customHeight="false" outlineLevel="0" collapsed="false">
      <c r="B461" s="360" t="s">
        <v>2942</v>
      </c>
      <c r="C461" s="359" t="n">
        <v>1</v>
      </c>
      <c r="D461" s="358" t="n">
        <v>0</v>
      </c>
      <c r="E461" s="358" t="n">
        <v>0</v>
      </c>
      <c r="F461" s="358" t="n">
        <v>0</v>
      </c>
      <c r="G461" s="358" t="n">
        <v>0</v>
      </c>
      <c r="H461" s="359" t="n">
        <v>1</v>
      </c>
    </row>
    <row r="462" customFormat="false" ht="15" hidden="true" customHeight="false" outlineLevel="0" collapsed="false">
      <c r="B462" s="360" t="s">
        <v>2943</v>
      </c>
      <c r="C462" s="359" t="n">
        <v>1</v>
      </c>
      <c r="D462" s="358" t="n">
        <v>0</v>
      </c>
      <c r="E462" s="358" t="n">
        <v>0</v>
      </c>
      <c r="F462" s="358" t="n">
        <v>0</v>
      </c>
      <c r="G462" s="358" t="n">
        <v>0</v>
      </c>
      <c r="H462" s="359" t="n">
        <v>1</v>
      </c>
    </row>
    <row r="463" customFormat="false" ht="15" hidden="true" customHeight="false" outlineLevel="0" collapsed="false">
      <c r="B463" s="360" t="s">
        <v>2944</v>
      </c>
      <c r="C463" s="359" t="n">
        <v>1</v>
      </c>
      <c r="D463" s="358" t="n">
        <v>0</v>
      </c>
      <c r="E463" s="358" t="n">
        <v>0</v>
      </c>
      <c r="F463" s="358" t="n">
        <v>0</v>
      </c>
      <c r="G463" s="358" t="n">
        <v>0</v>
      </c>
      <c r="H463" s="359" t="n">
        <v>1</v>
      </c>
    </row>
    <row r="464" customFormat="false" ht="15" hidden="true" customHeight="false" outlineLevel="0" collapsed="false">
      <c r="B464" s="360" t="s">
        <v>2945</v>
      </c>
      <c r="C464" s="359" t="n">
        <v>1</v>
      </c>
      <c r="D464" s="358" t="n">
        <v>0</v>
      </c>
      <c r="E464" s="358" t="n">
        <v>0</v>
      </c>
      <c r="F464" s="358" t="n">
        <v>0</v>
      </c>
      <c r="G464" s="358" t="n">
        <v>0</v>
      </c>
      <c r="H464" s="359" t="n">
        <v>1</v>
      </c>
    </row>
    <row r="465" customFormat="false" ht="15" hidden="true" customHeight="false" outlineLevel="0" collapsed="false">
      <c r="B465" s="360" t="s">
        <v>2946</v>
      </c>
      <c r="C465" s="359" t="n">
        <v>1</v>
      </c>
      <c r="D465" s="358" t="n">
        <v>0</v>
      </c>
      <c r="E465" s="358" t="n">
        <v>0</v>
      </c>
      <c r="F465" s="358" t="n">
        <v>0</v>
      </c>
      <c r="G465" s="358" t="n">
        <v>0</v>
      </c>
      <c r="H465" s="359" t="n">
        <v>1</v>
      </c>
    </row>
    <row r="466" customFormat="false" ht="15" hidden="true" customHeight="false" outlineLevel="0" collapsed="false">
      <c r="B466" s="360" t="s">
        <v>2947</v>
      </c>
      <c r="C466" s="359" t="n">
        <v>1</v>
      </c>
      <c r="D466" s="358" t="n">
        <v>0</v>
      </c>
      <c r="E466" s="358" t="n">
        <v>0</v>
      </c>
      <c r="F466" s="358" t="n">
        <v>0</v>
      </c>
      <c r="G466" s="358" t="n">
        <v>0</v>
      </c>
      <c r="H466" s="359" t="n">
        <v>1</v>
      </c>
    </row>
    <row r="467" customFormat="false" ht="15" hidden="true" customHeight="false" outlineLevel="0" collapsed="false">
      <c r="B467" s="360" t="s">
        <v>2948</v>
      </c>
      <c r="C467" s="359" t="n">
        <v>1</v>
      </c>
      <c r="D467" s="358" t="n">
        <v>0</v>
      </c>
      <c r="E467" s="358" t="n">
        <v>0</v>
      </c>
      <c r="F467" s="358" t="n">
        <v>0</v>
      </c>
      <c r="G467" s="358" t="n">
        <v>0</v>
      </c>
      <c r="H467" s="359" t="n">
        <v>1</v>
      </c>
    </row>
    <row r="468" customFormat="false" ht="15" hidden="true" customHeight="false" outlineLevel="0" collapsed="false">
      <c r="B468" s="360" t="s">
        <v>2949</v>
      </c>
      <c r="C468" s="359" t="n">
        <v>1</v>
      </c>
      <c r="D468" s="358" t="n">
        <v>0</v>
      </c>
      <c r="E468" s="358" t="n">
        <v>0</v>
      </c>
      <c r="F468" s="358" t="n">
        <v>0</v>
      </c>
      <c r="G468" s="358" t="n">
        <v>0</v>
      </c>
      <c r="H468" s="359" t="n">
        <v>1</v>
      </c>
    </row>
    <row r="469" customFormat="false" ht="15" hidden="true" customHeight="false" outlineLevel="0" collapsed="false">
      <c r="B469" s="360" t="s">
        <v>2950</v>
      </c>
      <c r="C469" s="359" t="n">
        <v>1</v>
      </c>
      <c r="D469" s="358" t="n">
        <v>0</v>
      </c>
      <c r="E469" s="358" t="n">
        <v>0</v>
      </c>
      <c r="F469" s="358" t="n">
        <v>0</v>
      </c>
      <c r="G469" s="358" t="n">
        <v>0</v>
      </c>
      <c r="H469" s="359" t="n">
        <v>1</v>
      </c>
    </row>
    <row r="470" customFormat="false" ht="15" hidden="true" customHeight="false" outlineLevel="0" collapsed="false">
      <c r="B470" s="360" t="s">
        <v>2951</v>
      </c>
      <c r="C470" s="359" t="n">
        <v>1</v>
      </c>
      <c r="D470" s="358" t="n">
        <v>0</v>
      </c>
      <c r="E470" s="358" t="n">
        <v>0</v>
      </c>
      <c r="F470" s="358" t="n">
        <v>0</v>
      </c>
      <c r="G470" s="358" t="n">
        <v>0</v>
      </c>
      <c r="H470" s="359" t="n">
        <v>1</v>
      </c>
    </row>
    <row r="471" customFormat="false" ht="15" hidden="false" customHeight="false" outlineLevel="0" collapsed="false">
      <c r="B471" s="313" t="s">
        <v>2469</v>
      </c>
      <c r="C471" s="357" t="n">
        <v>6</v>
      </c>
      <c r="D471" s="358" t="n">
        <v>0</v>
      </c>
      <c r="E471" s="358" t="n">
        <v>-1</v>
      </c>
      <c r="F471" s="358" t="n">
        <v>0</v>
      </c>
      <c r="G471" s="358" t="n">
        <v>0</v>
      </c>
      <c r="H471" s="357" t="n">
        <v>5</v>
      </c>
    </row>
    <row r="472" customFormat="false" ht="15" hidden="true" customHeight="false" outlineLevel="0" collapsed="false">
      <c r="B472" s="360" t="s">
        <v>2952</v>
      </c>
      <c r="C472" s="359" t="n">
        <v>1</v>
      </c>
      <c r="D472" s="358" t="n">
        <v>0</v>
      </c>
      <c r="E472" s="358" t="n">
        <v>-1</v>
      </c>
      <c r="F472" s="358" t="n">
        <v>0</v>
      </c>
      <c r="G472" s="358" t="n">
        <v>0</v>
      </c>
      <c r="H472" s="359" t="n">
        <v>0</v>
      </c>
    </row>
    <row r="473" customFormat="false" ht="15" hidden="true" customHeight="false" outlineLevel="0" collapsed="false">
      <c r="B473" s="360" t="s">
        <v>2953</v>
      </c>
      <c r="C473" s="359" t="n">
        <v>1</v>
      </c>
      <c r="D473" s="358" t="n">
        <v>0</v>
      </c>
      <c r="E473" s="358" t="n">
        <v>0</v>
      </c>
      <c r="F473" s="358" t="n">
        <v>0</v>
      </c>
      <c r="G473" s="358" t="n">
        <v>0</v>
      </c>
      <c r="H473" s="359" t="n">
        <v>1</v>
      </c>
    </row>
    <row r="474" customFormat="false" ht="15" hidden="true" customHeight="false" outlineLevel="0" collapsed="false">
      <c r="B474" s="360" t="s">
        <v>2954</v>
      </c>
      <c r="C474" s="359" t="n">
        <v>1</v>
      </c>
      <c r="D474" s="358" t="n">
        <v>0</v>
      </c>
      <c r="E474" s="358" t="n">
        <v>0</v>
      </c>
      <c r="F474" s="358" t="n">
        <v>0</v>
      </c>
      <c r="G474" s="358" t="n">
        <v>0</v>
      </c>
      <c r="H474" s="359" t="n">
        <v>1</v>
      </c>
    </row>
    <row r="475" customFormat="false" ht="15" hidden="true" customHeight="false" outlineLevel="0" collapsed="false">
      <c r="B475" s="360" t="s">
        <v>2955</v>
      </c>
      <c r="C475" s="359" t="n">
        <v>1</v>
      </c>
      <c r="D475" s="358" t="n">
        <v>0</v>
      </c>
      <c r="E475" s="358" t="n">
        <v>0</v>
      </c>
      <c r="F475" s="358" t="n">
        <v>0</v>
      </c>
      <c r="G475" s="358" t="n">
        <v>0</v>
      </c>
      <c r="H475" s="359" t="n">
        <v>1</v>
      </c>
    </row>
    <row r="476" customFormat="false" ht="15" hidden="true" customHeight="false" outlineLevel="0" collapsed="false">
      <c r="B476" s="360" t="s">
        <v>2956</v>
      </c>
      <c r="C476" s="359" t="n">
        <v>1</v>
      </c>
      <c r="D476" s="358" t="n">
        <v>0</v>
      </c>
      <c r="E476" s="358" t="n">
        <v>0</v>
      </c>
      <c r="F476" s="358" t="n">
        <v>0</v>
      </c>
      <c r="G476" s="358" t="n">
        <v>0</v>
      </c>
      <c r="H476" s="359" t="n">
        <v>1</v>
      </c>
    </row>
    <row r="477" customFormat="false" ht="15" hidden="true" customHeight="false" outlineLevel="0" collapsed="false">
      <c r="B477" s="360" t="s">
        <v>2957</v>
      </c>
      <c r="C477" s="359" t="n">
        <v>1</v>
      </c>
      <c r="D477" s="358" t="n">
        <v>0</v>
      </c>
      <c r="E477" s="358" t="n">
        <v>0</v>
      </c>
      <c r="F477" s="358" t="n">
        <v>0</v>
      </c>
      <c r="G477" s="358" t="n">
        <v>0</v>
      </c>
      <c r="H477" s="359" t="n">
        <v>1</v>
      </c>
    </row>
    <row r="478" customFormat="false" ht="15" hidden="false" customHeight="false" outlineLevel="0" collapsed="false">
      <c r="B478" s="313" t="s">
        <v>2470</v>
      </c>
      <c r="C478" s="357" t="n">
        <v>36</v>
      </c>
      <c r="D478" s="358" t="n">
        <v>0</v>
      </c>
      <c r="E478" s="358" t="n">
        <v>0</v>
      </c>
      <c r="F478" s="358" t="n">
        <v>0</v>
      </c>
      <c r="G478" s="358" t="n">
        <v>0</v>
      </c>
      <c r="H478" s="357" t="n">
        <v>36</v>
      </c>
    </row>
    <row r="479" customFormat="false" ht="15" hidden="false" customHeight="false" outlineLevel="0" collapsed="false">
      <c r="B479" s="364" t="s">
        <v>2470</v>
      </c>
      <c r="C479" s="365" t="n">
        <v>23</v>
      </c>
      <c r="D479" s="358" t="n">
        <v>0</v>
      </c>
      <c r="E479" s="358" t="n">
        <v>0</v>
      </c>
      <c r="F479" s="358" t="n">
        <v>0</v>
      </c>
      <c r="G479" s="358" t="n">
        <v>0</v>
      </c>
      <c r="H479" s="365" t="n">
        <v>23</v>
      </c>
    </row>
    <row r="480" customFormat="false" ht="15" hidden="true" customHeight="false" outlineLevel="0" collapsed="false">
      <c r="B480" s="360" t="s">
        <v>2958</v>
      </c>
      <c r="C480" s="359" t="n">
        <v>1</v>
      </c>
      <c r="D480" s="358" t="n">
        <v>0</v>
      </c>
      <c r="E480" s="358" t="n">
        <v>0</v>
      </c>
      <c r="F480" s="358" t="n">
        <v>0</v>
      </c>
      <c r="G480" s="358" t="n">
        <v>0</v>
      </c>
      <c r="H480" s="359" t="n">
        <v>1</v>
      </c>
    </row>
    <row r="481" customFormat="false" ht="15" hidden="true" customHeight="false" outlineLevel="0" collapsed="false">
      <c r="B481" s="360" t="s">
        <v>2959</v>
      </c>
      <c r="C481" s="359" t="n">
        <v>1</v>
      </c>
      <c r="D481" s="358" t="n">
        <v>0</v>
      </c>
      <c r="E481" s="358" t="n">
        <v>0</v>
      </c>
      <c r="F481" s="358" t="n">
        <v>0</v>
      </c>
      <c r="G481" s="358" t="n">
        <v>0</v>
      </c>
      <c r="H481" s="359" t="n">
        <v>1</v>
      </c>
    </row>
    <row r="482" customFormat="false" ht="15" hidden="true" customHeight="false" outlineLevel="0" collapsed="false">
      <c r="B482" s="360" t="s">
        <v>2960</v>
      </c>
      <c r="C482" s="359" t="n">
        <v>1</v>
      </c>
      <c r="D482" s="358" t="n">
        <v>0</v>
      </c>
      <c r="E482" s="358" t="n">
        <v>0</v>
      </c>
      <c r="F482" s="358" t="n">
        <v>0</v>
      </c>
      <c r="G482" s="358" t="n">
        <v>0</v>
      </c>
      <c r="H482" s="359" t="n">
        <v>1</v>
      </c>
    </row>
    <row r="483" customFormat="false" ht="15" hidden="true" customHeight="false" outlineLevel="0" collapsed="false">
      <c r="B483" s="360" t="s">
        <v>2961</v>
      </c>
      <c r="C483" s="359" t="n">
        <v>1</v>
      </c>
      <c r="D483" s="358" t="n">
        <v>0</v>
      </c>
      <c r="E483" s="358" t="n">
        <v>0</v>
      </c>
      <c r="F483" s="358" t="n">
        <v>0</v>
      </c>
      <c r="G483" s="358" t="n">
        <v>0</v>
      </c>
      <c r="H483" s="359" t="n">
        <v>1</v>
      </c>
    </row>
    <row r="484" customFormat="false" ht="15" hidden="true" customHeight="false" outlineLevel="0" collapsed="false">
      <c r="B484" s="360" t="s">
        <v>2962</v>
      </c>
      <c r="C484" s="359" t="n">
        <v>1</v>
      </c>
      <c r="D484" s="358" t="n">
        <v>0</v>
      </c>
      <c r="E484" s="358" t="n">
        <v>0</v>
      </c>
      <c r="F484" s="358" t="n">
        <v>0</v>
      </c>
      <c r="G484" s="358" t="n">
        <v>0</v>
      </c>
      <c r="H484" s="359" t="n">
        <v>1</v>
      </c>
    </row>
    <row r="485" customFormat="false" ht="15" hidden="true" customHeight="false" outlineLevel="0" collapsed="false">
      <c r="B485" s="360" t="s">
        <v>2963</v>
      </c>
      <c r="C485" s="359" t="n">
        <v>1</v>
      </c>
      <c r="D485" s="358" t="n">
        <v>0</v>
      </c>
      <c r="E485" s="358" t="n">
        <v>0</v>
      </c>
      <c r="F485" s="358" t="n">
        <v>0</v>
      </c>
      <c r="G485" s="358" t="n">
        <v>0</v>
      </c>
      <c r="H485" s="359" t="n">
        <v>1</v>
      </c>
    </row>
    <row r="486" customFormat="false" ht="15" hidden="true" customHeight="false" outlineLevel="0" collapsed="false">
      <c r="B486" s="360" t="s">
        <v>2964</v>
      </c>
      <c r="C486" s="359" t="n">
        <v>1</v>
      </c>
      <c r="D486" s="358" t="n">
        <v>0</v>
      </c>
      <c r="E486" s="358" t="n">
        <v>0</v>
      </c>
      <c r="F486" s="358" t="n">
        <v>0</v>
      </c>
      <c r="G486" s="358" t="n">
        <v>0</v>
      </c>
      <c r="H486" s="359" t="n">
        <v>1</v>
      </c>
    </row>
    <row r="487" customFormat="false" ht="15" hidden="true" customHeight="false" outlineLevel="0" collapsed="false">
      <c r="B487" s="360" t="s">
        <v>2965</v>
      </c>
      <c r="C487" s="359" t="n">
        <v>1</v>
      </c>
      <c r="D487" s="358" t="n">
        <v>0</v>
      </c>
      <c r="E487" s="358" t="n">
        <v>0</v>
      </c>
      <c r="F487" s="358" t="n">
        <v>0</v>
      </c>
      <c r="G487" s="358" t="n">
        <v>0</v>
      </c>
      <c r="H487" s="359" t="n">
        <v>1</v>
      </c>
    </row>
    <row r="488" customFormat="false" ht="15" hidden="true" customHeight="false" outlineLevel="0" collapsed="false">
      <c r="B488" s="360" t="s">
        <v>2966</v>
      </c>
      <c r="C488" s="359" t="n">
        <v>1</v>
      </c>
      <c r="D488" s="358" t="n">
        <v>0</v>
      </c>
      <c r="E488" s="358" t="n">
        <v>0</v>
      </c>
      <c r="F488" s="358" t="n">
        <v>0</v>
      </c>
      <c r="G488" s="358" t="n">
        <v>0</v>
      </c>
      <c r="H488" s="359" t="n">
        <v>1</v>
      </c>
    </row>
    <row r="489" customFormat="false" ht="15" hidden="true" customHeight="false" outlineLevel="0" collapsed="false">
      <c r="B489" s="360" t="s">
        <v>2967</v>
      </c>
      <c r="C489" s="359" t="n">
        <v>1</v>
      </c>
      <c r="D489" s="358" t="n">
        <v>0</v>
      </c>
      <c r="E489" s="358" t="n">
        <v>0</v>
      </c>
      <c r="F489" s="358" t="n">
        <v>0</v>
      </c>
      <c r="G489" s="358" t="n">
        <v>0</v>
      </c>
      <c r="H489" s="359" t="n">
        <v>1</v>
      </c>
    </row>
    <row r="490" customFormat="false" ht="15" hidden="true" customHeight="false" outlineLevel="0" collapsed="false">
      <c r="B490" s="360" t="s">
        <v>2968</v>
      </c>
      <c r="C490" s="359" t="n">
        <v>1</v>
      </c>
      <c r="D490" s="358" t="n">
        <v>0</v>
      </c>
      <c r="E490" s="358" t="n">
        <v>0</v>
      </c>
      <c r="F490" s="358" t="n">
        <v>0</v>
      </c>
      <c r="G490" s="358" t="n">
        <v>0</v>
      </c>
      <c r="H490" s="359" t="n">
        <v>1</v>
      </c>
    </row>
    <row r="491" customFormat="false" ht="15" hidden="true" customHeight="false" outlineLevel="0" collapsed="false">
      <c r="B491" s="360" t="s">
        <v>2969</v>
      </c>
      <c r="C491" s="359" t="n">
        <v>1</v>
      </c>
      <c r="D491" s="358" t="n">
        <v>0</v>
      </c>
      <c r="E491" s="358" t="n">
        <v>0</v>
      </c>
      <c r="F491" s="358" t="n">
        <v>0</v>
      </c>
      <c r="G491" s="358" t="n">
        <v>0</v>
      </c>
      <c r="H491" s="359" t="n">
        <v>1</v>
      </c>
    </row>
    <row r="492" customFormat="false" ht="15" hidden="true" customHeight="false" outlineLevel="0" collapsed="false">
      <c r="B492" s="360" t="s">
        <v>2970</v>
      </c>
      <c r="C492" s="359" t="n">
        <v>1</v>
      </c>
      <c r="D492" s="358" t="n">
        <v>0</v>
      </c>
      <c r="E492" s="358" t="n">
        <v>0</v>
      </c>
      <c r="F492" s="358" t="n">
        <v>0</v>
      </c>
      <c r="G492" s="358" t="n">
        <v>0</v>
      </c>
      <c r="H492" s="359" t="n">
        <v>1</v>
      </c>
    </row>
    <row r="493" customFormat="false" ht="15" hidden="true" customHeight="false" outlineLevel="0" collapsed="false">
      <c r="B493" s="360" t="s">
        <v>2971</v>
      </c>
      <c r="C493" s="359" t="n">
        <v>1</v>
      </c>
      <c r="D493" s="358" t="n">
        <v>0</v>
      </c>
      <c r="E493" s="358" t="n">
        <v>0</v>
      </c>
      <c r="F493" s="358" t="n">
        <v>0</v>
      </c>
      <c r="G493" s="358" t="n">
        <v>0</v>
      </c>
      <c r="H493" s="359" t="n">
        <v>1</v>
      </c>
    </row>
    <row r="494" customFormat="false" ht="15" hidden="true" customHeight="false" outlineLevel="0" collapsed="false">
      <c r="B494" s="360" t="s">
        <v>2972</v>
      </c>
      <c r="C494" s="359" t="n">
        <v>1</v>
      </c>
      <c r="D494" s="358" t="n">
        <v>0</v>
      </c>
      <c r="E494" s="358" t="n">
        <v>0</v>
      </c>
      <c r="F494" s="358" t="n">
        <v>0</v>
      </c>
      <c r="G494" s="358" t="n">
        <v>0</v>
      </c>
      <c r="H494" s="359" t="n">
        <v>1</v>
      </c>
    </row>
    <row r="495" customFormat="false" ht="15" hidden="true" customHeight="false" outlineLevel="0" collapsed="false">
      <c r="B495" s="360" t="s">
        <v>2973</v>
      </c>
      <c r="C495" s="359" t="n">
        <v>1</v>
      </c>
      <c r="D495" s="358" t="n">
        <v>0</v>
      </c>
      <c r="E495" s="358" t="n">
        <v>0</v>
      </c>
      <c r="F495" s="358" t="n">
        <v>0</v>
      </c>
      <c r="G495" s="358" t="n">
        <v>0</v>
      </c>
      <c r="H495" s="359" t="n">
        <v>1</v>
      </c>
    </row>
    <row r="496" customFormat="false" ht="15" hidden="true" customHeight="false" outlineLevel="0" collapsed="false">
      <c r="B496" s="360" t="s">
        <v>2974</v>
      </c>
      <c r="C496" s="359" t="n">
        <v>1</v>
      </c>
      <c r="D496" s="358" t="n">
        <v>0</v>
      </c>
      <c r="E496" s="358" t="n">
        <v>0</v>
      </c>
      <c r="F496" s="358" t="n">
        <v>0</v>
      </c>
      <c r="G496" s="358" t="n">
        <v>0</v>
      </c>
      <c r="H496" s="359" t="n">
        <v>1</v>
      </c>
    </row>
    <row r="497" customFormat="false" ht="15" hidden="true" customHeight="false" outlineLevel="0" collapsed="false">
      <c r="B497" s="360" t="s">
        <v>2975</v>
      </c>
      <c r="C497" s="359" t="n">
        <v>1</v>
      </c>
      <c r="D497" s="358" t="n">
        <v>0</v>
      </c>
      <c r="E497" s="358" t="n">
        <v>0</v>
      </c>
      <c r="F497" s="358" t="n">
        <v>0</v>
      </c>
      <c r="G497" s="358" t="n">
        <v>0</v>
      </c>
      <c r="H497" s="359" t="n">
        <v>1</v>
      </c>
    </row>
    <row r="498" customFormat="false" ht="15" hidden="true" customHeight="false" outlineLevel="0" collapsed="false">
      <c r="B498" s="360" t="s">
        <v>2976</v>
      </c>
      <c r="C498" s="359" t="n">
        <v>1</v>
      </c>
      <c r="D498" s="358" t="n">
        <v>0</v>
      </c>
      <c r="E498" s="358" t="n">
        <v>0</v>
      </c>
      <c r="F498" s="358" t="n">
        <v>0</v>
      </c>
      <c r="G498" s="358" t="n">
        <v>0</v>
      </c>
      <c r="H498" s="359" t="n">
        <v>1</v>
      </c>
    </row>
    <row r="499" customFormat="false" ht="15" hidden="true" customHeight="false" outlineLevel="0" collapsed="false">
      <c r="B499" s="360" t="s">
        <v>2977</v>
      </c>
      <c r="C499" s="359" t="n">
        <v>1</v>
      </c>
      <c r="D499" s="358" t="n">
        <v>0</v>
      </c>
      <c r="E499" s="358" t="n">
        <v>0</v>
      </c>
      <c r="F499" s="358" t="n">
        <v>0</v>
      </c>
      <c r="G499" s="358" t="n">
        <v>0</v>
      </c>
      <c r="H499" s="359" t="n">
        <v>1</v>
      </c>
    </row>
    <row r="500" customFormat="false" ht="15" hidden="true" customHeight="false" outlineLevel="0" collapsed="false">
      <c r="B500" s="360" t="s">
        <v>2978</v>
      </c>
      <c r="C500" s="359" t="n">
        <v>1</v>
      </c>
      <c r="D500" s="358" t="n">
        <v>0</v>
      </c>
      <c r="E500" s="358" t="n">
        <v>0</v>
      </c>
      <c r="F500" s="358" t="n">
        <v>0</v>
      </c>
      <c r="G500" s="358" t="n">
        <v>0</v>
      </c>
      <c r="H500" s="359" t="n">
        <v>1</v>
      </c>
    </row>
    <row r="501" customFormat="false" ht="15" hidden="true" customHeight="false" outlineLevel="0" collapsed="false">
      <c r="B501" s="360" t="s">
        <v>2979</v>
      </c>
      <c r="C501" s="359" t="n">
        <v>1</v>
      </c>
      <c r="D501" s="358" t="n">
        <v>0</v>
      </c>
      <c r="E501" s="358" t="n">
        <v>0</v>
      </c>
      <c r="F501" s="358" t="n">
        <v>0</v>
      </c>
      <c r="G501" s="358" t="n">
        <v>0</v>
      </c>
      <c r="H501" s="359" t="n">
        <v>1</v>
      </c>
    </row>
    <row r="502" customFormat="false" ht="15" hidden="true" customHeight="false" outlineLevel="0" collapsed="false">
      <c r="B502" s="360" t="s">
        <v>2980</v>
      </c>
      <c r="C502" s="359" t="n">
        <v>1</v>
      </c>
      <c r="D502" s="358" t="n">
        <v>0</v>
      </c>
      <c r="E502" s="358" t="n">
        <v>0</v>
      </c>
      <c r="F502" s="358" t="n">
        <v>0</v>
      </c>
      <c r="G502" s="358" t="n">
        <v>0</v>
      </c>
      <c r="H502" s="359" t="n">
        <v>1</v>
      </c>
    </row>
    <row r="503" customFormat="false" ht="15" hidden="false" customHeight="false" outlineLevel="0" collapsed="false">
      <c r="B503" s="364" t="s">
        <v>2468</v>
      </c>
      <c r="C503" s="365" t="n">
        <v>13</v>
      </c>
      <c r="D503" s="358" t="n">
        <v>0</v>
      </c>
      <c r="E503" s="358" t="n">
        <v>0</v>
      </c>
      <c r="F503" s="358" t="n">
        <v>0</v>
      </c>
      <c r="G503" s="358" t="n">
        <v>0</v>
      </c>
      <c r="H503" s="365" t="n">
        <v>13</v>
      </c>
    </row>
    <row r="504" customFormat="false" ht="15" hidden="true" customHeight="false" outlineLevel="0" collapsed="false">
      <c r="B504" s="360" t="s">
        <v>2981</v>
      </c>
      <c r="C504" s="359" t="n">
        <v>1</v>
      </c>
      <c r="D504" s="358" t="n">
        <v>0</v>
      </c>
      <c r="E504" s="358" t="n">
        <v>0</v>
      </c>
      <c r="F504" s="358" t="n">
        <v>0</v>
      </c>
      <c r="G504" s="358" t="n">
        <v>0</v>
      </c>
      <c r="H504" s="359" t="n">
        <v>1</v>
      </c>
    </row>
    <row r="505" customFormat="false" ht="15" hidden="true" customHeight="false" outlineLevel="0" collapsed="false">
      <c r="B505" s="360" t="s">
        <v>2982</v>
      </c>
      <c r="C505" s="359" t="n">
        <v>1</v>
      </c>
      <c r="D505" s="358" t="n">
        <v>0</v>
      </c>
      <c r="E505" s="358" t="n">
        <v>0</v>
      </c>
      <c r="F505" s="358" t="n">
        <v>0</v>
      </c>
      <c r="G505" s="358" t="n">
        <v>0</v>
      </c>
      <c r="H505" s="359" t="n">
        <v>1</v>
      </c>
    </row>
    <row r="506" customFormat="false" ht="15" hidden="true" customHeight="false" outlineLevel="0" collapsed="false">
      <c r="B506" s="360" t="s">
        <v>2983</v>
      </c>
      <c r="C506" s="359" t="n">
        <v>1</v>
      </c>
      <c r="D506" s="358" t="n">
        <v>0</v>
      </c>
      <c r="E506" s="358" t="n">
        <v>0</v>
      </c>
      <c r="F506" s="358" t="n">
        <v>0</v>
      </c>
      <c r="G506" s="358" t="n">
        <v>0</v>
      </c>
      <c r="H506" s="359" t="n">
        <v>1</v>
      </c>
    </row>
    <row r="507" customFormat="false" ht="15" hidden="true" customHeight="false" outlineLevel="0" collapsed="false">
      <c r="B507" s="360" t="s">
        <v>2984</v>
      </c>
      <c r="C507" s="359" t="n">
        <v>1</v>
      </c>
      <c r="D507" s="358" t="n">
        <v>0</v>
      </c>
      <c r="E507" s="358" t="n">
        <v>0</v>
      </c>
      <c r="F507" s="358" t="n">
        <v>0</v>
      </c>
      <c r="G507" s="358" t="n">
        <v>0</v>
      </c>
      <c r="H507" s="359" t="n">
        <v>1</v>
      </c>
    </row>
    <row r="508" customFormat="false" ht="15" hidden="true" customHeight="false" outlineLevel="0" collapsed="false">
      <c r="B508" s="360" t="s">
        <v>2985</v>
      </c>
      <c r="C508" s="359" t="n">
        <v>1</v>
      </c>
      <c r="D508" s="358" t="n">
        <v>0</v>
      </c>
      <c r="E508" s="358" t="n">
        <v>0</v>
      </c>
      <c r="F508" s="358" t="n">
        <v>0</v>
      </c>
      <c r="G508" s="358" t="n">
        <v>0</v>
      </c>
      <c r="H508" s="359" t="n">
        <v>1</v>
      </c>
    </row>
    <row r="509" customFormat="false" ht="15" hidden="true" customHeight="false" outlineLevel="0" collapsed="false">
      <c r="B509" s="360" t="s">
        <v>2986</v>
      </c>
      <c r="C509" s="359" t="n">
        <v>1</v>
      </c>
      <c r="D509" s="358" t="n">
        <v>0</v>
      </c>
      <c r="E509" s="358" t="n">
        <v>0</v>
      </c>
      <c r="F509" s="358" t="n">
        <v>0</v>
      </c>
      <c r="G509" s="358" t="n">
        <v>0</v>
      </c>
      <c r="H509" s="359" t="n">
        <v>1</v>
      </c>
    </row>
    <row r="510" customFormat="false" ht="15" hidden="true" customHeight="false" outlineLevel="0" collapsed="false">
      <c r="B510" s="360" t="s">
        <v>2987</v>
      </c>
      <c r="C510" s="359" t="n">
        <v>1</v>
      </c>
      <c r="D510" s="358" t="n">
        <v>0</v>
      </c>
      <c r="E510" s="358" t="n">
        <v>0</v>
      </c>
      <c r="F510" s="358" t="n">
        <v>0</v>
      </c>
      <c r="G510" s="358" t="n">
        <v>0</v>
      </c>
      <c r="H510" s="359" t="n">
        <v>1</v>
      </c>
    </row>
    <row r="511" customFormat="false" ht="15" hidden="true" customHeight="false" outlineLevel="0" collapsed="false">
      <c r="B511" s="360" t="s">
        <v>2988</v>
      </c>
      <c r="C511" s="359" t="n">
        <v>1</v>
      </c>
      <c r="D511" s="358" t="n">
        <v>0</v>
      </c>
      <c r="E511" s="358" t="n">
        <v>0</v>
      </c>
      <c r="F511" s="358" t="n">
        <v>0</v>
      </c>
      <c r="G511" s="358" t="n">
        <v>0</v>
      </c>
      <c r="H511" s="359" t="n">
        <v>1</v>
      </c>
    </row>
    <row r="512" customFormat="false" ht="15" hidden="true" customHeight="false" outlineLevel="0" collapsed="false">
      <c r="B512" s="360" t="s">
        <v>2989</v>
      </c>
      <c r="C512" s="359" t="n">
        <v>1</v>
      </c>
      <c r="D512" s="358" t="n">
        <v>0</v>
      </c>
      <c r="E512" s="358" t="n">
        <v>0</v>
      </c>
      <c r="F512" s="358" t="n">
        <v>0</v>
      </c>
      <c r="G512" s="358" t="n">
        <v>0</v>
      </c>
      <c r="H512" s="359" t="n">
        <v>1</v>
      </c>
    </row>
    <row r="513" customFormat="false" ht="15" hidden="true" customHeight="false" outlineLevel="0" collapsed="false">
      <c r="B513" s="360" t="s">
        <v>2990</v>
      </c>
      <c r="C513" s="359" t="n">
        <v>1</v>
      </c>
      <c r="D513" s="358" t="n">
        <v>0</v>
      </c>
      <c r="E513" s="358" t="n">
        <v>0</v>
      </c>
      <c r="F513" s="358" t="n">
        <v>0</v>
      </c>
      <c r="G513" s="358" t="n">
        <v>0</v>
      </c>
      <c r="H513" s="359" t="n">
        <v>1</v>
      </c>
    </row>
    <row r="514" customFormat="false" ht="15" hidden="true" customHeight="false" outlineLevel="0" collapsed="false">
      <c r="B514" s="360" t="s">
        <v>2991</v>
      </c>
      <c r="C514" s="359" t="n">
        <v>1</v>
      </c>
      <c r="D514" s="358" t="n">
        <v>0</v>
      </c>
      <c r="E514" s="358" t="n">
        <v>0</v>
      </c>
      <c r="F514" s="358" t="n">
        <v>0</v>
      </c>
      <c r="G514" s="358" t="n">
        <v>0</v>
      </c>
      <c r="H514" s="359" t="n">
        <v>1</v>
      </c>
    </row>
    <row r="515" customFormat="false" ht="15" hidden="true" customHeight="false" outlineLevel="0" collapsed="false">
      <c r="B515" s="360" t="s">
        <v>2992</v>
      </c>
      <c r="C515" s="359" t="n">
        <v>1</v>
      </c>
      <c r="D515" s="358" t="n">
        <v>0</v>
      </c>
      <c r="E515" s="358" t="n">
        <v>0</v>
      </c>
      <c r="F515" s="358" t="n">
        <v>0</v>
      </c>
      <c r="G515" s="358" t="n">
        <v>0</v>
      </c>
      <c r="H515" s="359" t="n">
        <v>1</v>
      </c>
    </row>
    <row r="516" customFormat="false" ht="15" hidden="true" customHeight="false" outlineLevel="0" collapsed="false">
      <c r="B516" s="360" t="s">
        <v>2993</v>
      </c>
      <c r="C516" s="359" t="n">
        <v>1</v>
      </c>
      <c r="D516" s="358" t="n">
        <v>0</v>
      </c>
      <c r="E516" s="358" t="n">
        <v>0</v>
      </c>
      <c r="F516" s="358" t="n">
        <v>0</v>
      </c>
      <c r="G516" s="358" t="n">
        <v>0</v>
      </c>
      <c r="H516" s="359" t="n">
        <v>1</v>
      </c>
    </row>
    <row r="517" customFormat="false" ht="15" hidden="false" customHeight="false" outlineLevel="0" collapsed="false">
      <c r="B517" s="313" t="s">
        <v>2471</v>
      </c>
      <c r="C517" s="357" t="n">
        <v>16</v>
      </c>
      <c r="D517" s="358" t="n">
        <v>0</v>
      </c>
      <c r="E517" s="358" t="n">
        <v>0</v>
      </c>
      <c r="F517" s="358" t="n">
        <v>0</v>
      </c>
      <c r="G517" s="358" t="n">
        <v>0</v>
      </c>
      <c r="H517" s="357" t="n">
        <v>16</v>
      </c>
    </row>
    <row r="518" customFormat="false" ht="15" hidden="true" customHeight="false" outlineLevel="0" collapsed="false">
      <c r="B518" s="360" t="s">
        <v>2994</v>
      </c>
      <c r="C518" s="359" t="n">
        <v>1</v>
      </c>
      <c r="D518" s="358" t="n">
        <v>0</v>
      </c>
      <c r="E518" s="358" t="n">
        <v>0</v>
      </c>
      <c r="F518" s="358" t="n">
        <v>0</v>
      </c>
      <c r="G518" s="358" t="n">
        <v>0</v>
      </c>
      <c r="H518" s="359" t="n">
        <v>1</v>
      </c>
    </row>
    <row r="519" customFormat="false" ht="15" hidden="true" customHeight="false" outlineLevel="0" collapsed="false">
      <c r="B519" s="360" t="s">
        <v>2995</v>
      </c>
      <c r="C519" s="359" t="n">
        <v>1</v>
      </c>
      <c r="D519" s="358" t="n">
        <v>0</v>
      </c>
      <c r="E519" s="358" t="n">
        <v>0</v>
      </c>
      <c r="F519" s="358" t="n">
        <v>0</v>
      </c>
      <c r="G519" s="358" t="n">
        <v>0</v>
      </c>
      <c r="H519" s="359" t="n">
        <v>1</v>
      </c>
    </row>
    <row r="520" customFormat="false" ht="15" hidden="true" customHeight="false" outlineLevel="0" collapsed="false">
      <c r="B520" s="360" t="s">
        <v>2996</v>
      </c>
      <c r="C520" s="359" t="n">
        <v>1</v>
      </c>
      <c r="D520" s="358" t="n">
        <v>0</v>
      </c>
      <c r="E520" s="358" t="n">
        <v>0</v>
      </c>
      <c r="F520" s="358" t="n">
        <v>0</v>
      </c>
      <c r="G520" s="358" t="n">
        <v>0</v>
      </c>
      <c r="H520" s="359" t="n">
        <v>1</v>
      </c>
    </row>
    <row r="521" customFormat="false" ht="15" hidden="true" customHeight="false" outlineLevel="0" collapsed="false">
      <c r="B521" s="360" t="s">
        <v>2997</v>
      </c>
      <c r="C521" s="359" t="n">
        <v>1</v>
      </c>
      <c r="D521" s="358" t="n">
        <v>0</v>
      </c>
      <c r="E521" s="358" t="n">
        <v>0</v>
      </c>
      <c r="F521" s="358" t="n">
        <v>0</v>
      </c>
      <c r="G521" s="358" t="n">
        <v>0</v>
      </c>
      <c r="H521" s="359" t="n">
        <v>1</v>
      </c>
    </row>
    <row r="522" customFormat="false" ht="15" hidden="true" customHeight="false" outlineLevel="0" collapsed="false">
      <c r="B522" s="360" t="s">
        <v>2998</v>
      </c>
      <c r="C522" s="359" t="n">
        <v>1</v>
      </c>
      <c r="D522" s="358" t="n">
        <v>0</v>
      </c>
      <c r="E522" s="358" t="n">
        <v>0</v>
      </c>
      <c r="F522" s="358" t="n">
        <v>0</v>
      </c>
      <c r="G522" s="358" t="n">
        <v>0</v>
      </c>
      <c r="H522" s="359" t="n">
        <v>1</v>
      </c>
    </row>
    <row r="523" customFormat="false" ht="15" hidden="true" customHeight="false" outlineLevel="0" collapsed="false">
      <c r="B523" s="360" t="s">
        <v>2999</v>
      </c>
      <c r="C523" s="359" t="n">
        <v>1</v>
      </c>
      <c r="D523" s="358" t="n">
        <v>0</v>
      </c>
      <c r="E523" s="358" t="n">
        <v>0</v>
      </c>
      <c r="F523" s="358" t="n">
        <v>0</v>
      </c>
      <c r="G523" s="358" t="n">
        <v>0</v>
      </c>
      <c r="H523" s="359" t="n">
        <v>1</v>
      </c>
    </row>
    <row r="524" customFormat="false" ht="15" hidden="true" customHeight="false" outlineLevel="0" collapsed="false">
      <c r="B524" s="360" t="s">
        <v>3000</v>
      </c>
      <c r="C524" s="359" t="n">
        <v>1</v>
      </c>
      <c r="D524" s="358" t="n">
        <v>0</v>
      </c>
      <c r="E524" s="358" t="n">
        <v>0</v>
      </c>
      <c r="F524" s="358" t="n">
        <v>0</v>
      </c>
      <c r="G524" s="358" t="n">
        <v>0</v>
      </c>
      <c r="H524" s="359" t="n">
        <v>1</v>
      </c>
    </row>
    <row r="525" customFormat="false" ht="15" hidden="true" customHeight="false" outlineLevel="0" collapsed="false">
      <c r="B525" s="360" t="s">
        <v>3001</v>
      </c>
      <c r="C525" s="359" t="n">
        <v>1</v>
      </c>
      <c r="D525" s="358" t="n">
        <v>0</v>
      </c>
      <c r="E525" s="358" t="n">
        <v>0</v>
      </c>
      <c r="F525" s="358" t="n">
        <v>0</v>
      </c>
      <c r="G525" s="358" t="n">
        <v>0</v>
      </c>
      <c r="H525" s="359" t="n">
        <v>1</v>
      </c>
    </row>
    <row r="526" customFormat="false" ht="15" hidden="true" customHeight="false" outlineLevel="0" collapsed="false">
      <c r="B526" s="360" t="s">
        <v>3002</v>
      </c>
      <c r="C526" s="359" t="n">
        <v>1</v>
      </c>
      <c r="D526" s="358" t="n">
        <v>0</v>
      </c>
      <c r="E526" s="358" t="n">
        <v>0</v>
      </c>
      <c r="F526" s="358" t="n">
        <v>0</v>
      </c>
      <c r="G526" s="358" t="n">
        <v>0</v>
      </c>
      <c r="H526" s="359" t="n">
        <v>1</v>
      </c>
    </row>
    <row r="527" customFormat="false" ht="15" hidden="true" customHeight="false" outlineLevel="0" collapsed="false">
      <c r="B527" s="360" t="s">
        <v>3003</v>
      </c>
      <c r="C527" s="359" t="n">
        <v>1</v>
      </c>
      <c r="D527" s="358" t="n">
        <v>0</v>
      </c>
      <c r="E527" s="358" t="n">
        <v>0</v>
      </c>
      <c r="F527" s="358" t="n">
        <v>0</v>
      </c>
      <c r="G527" s="358" t="n">
        <v>0</v>
      </c>
      <c r="H527" s="359" t="n">
        <v>1</v>
      </c>
    </row>
    <row r="528" customFormat="false" ht="15" hidden="true" customHeight="false" outlineLevel="0" collapsed="false">
      <c r="B528" s="360" t="s">
        <v>3004</v>
      </c>
      <c r="C528" s="359" t="n">
        <v>1</v>
      </c>
      <c r="D528" s="358" t="n">
        <v>0</v>
      </c>
      <c r="E528" s="358" t="n">
        <v>0</v>
      </c>
      <c r="F528" s="358" t="n">
        <v>0</v>
      </c>
      <c r="G528" s="358" t="n">
        <v>0</v>
      </c>
      <c r="H528" s="359" t="n">
        <v>1</v>
      </c>
    </row>
    <row r="529" customFormat="false" ht="15" hidden="true" customHeight="false" outlineLevel="0" collapsed="false">
      <c r="B529" s="360" t="s">
        <v>3005</v>
      </c>
      <c r="C529" s="359" t="n">
        <v>1</v>
      </c>
      <c r="D529" s="358" t="n">
        <v>0</v>
      </c>
      <c r="E529" s="358" t="n">
        <v>0</v>
      </c>
      <c r="F529" s="358" t="n">
        <v>0</v>
      </c>
      <c r="G529" s="358" t="n">
        <v>0</v>
      </c>
      <c r="H529" s="359" t="n">
        <v>1</v>
      </c>
    </row>
    <row r="530" customFormat="false" ht="15" hidden="true" customHeight="false" outlineLevel="0" collapsed="false">
      <c r="B530" s="360" t="s">
        <v>3006</v>
      </c>
      <c r="C530" s="359" t="n">
        <v>1</v>
      </c>
      <c r="D530" s="358" t="n">
        <v>0</v>
      </c>
      <c r="E530" s="358" t="n">
        <v>0</v>
      </c>
      <c r="F530" s="358" t="n">
        <v>0</v>
      </c>
      <c r="G530" s="358" t="n">
        <v>0</v>
      </c>
      <c r="H530" s="359" t="n">
        <v>1</v>
      </c>
    </row>
    <row r="531" customFormat="false" ht="15" hidden="true" customHeight="false" outlineLevel="0" collapsed="false">
      <c r="B531" s="360" t="s">
        <v>3007</v>
      </c>
      <c r="C531" s="359" t="n">
        <v>1</v>
      </c>
      <c r="D531" s="358" t="n">
        <v>0</v>
      </c>
      <c r="E531" s="358" t="n">
        <v>0</v>
      </c>
      <c r="F531" s="358" t="n">
        <v>0</v>
      </c>
      <c r="G531" s="358" t="n">
        <v>0</v>
      </c>
      <c r="H531" s="359" t="n">
        <v>1</v>
      </c>
    </row>
    <row r="532" customFormat="false" ht="15" hidden="true" customHeight="false" outlineLevel="0" collapsed="false">
      <c r="B532" s="360" t="s">
        <v>3008</v>
      </c>
      <c r="C532" s="359" t="n">
        <v>1</v>
      </c>
      <c r="D532" s="358" t="n">
        <v>0</v>
      </c>
      <c r="E532" s="358" t="n">
        <v>0</v>
      </c>
      <c r="F532" s="358" t="n">
        <v>0</v>
      </c>
      <c r="G532" s="358" t="n">
        <v>0</v>
      </c>
      <c r="H532" s="359" t="n">
        <v>1</v>
      </c>
    </row>
    <row r="533" customFormat="false" ht="15" hidden="true" customHeight="false" outlineLevel="0" collapsed="false">
      <c r="B533" s="360" t="s">
        <v>3009</v>
      </c>
      <c r="C533" s="359" t="n">
        <v>1</v>
      </c>
      <c r="D533" s="358" t="n">
        <v>0</v>
      </c>
      <c r="E533" s="358" t="n">
        <v>0</v>
      </c>
      <c r="F533" s="358" t="n">
        <v>0</v>
      </c>
      <c r="G533" s="358" t="n">
        <v>0</v>
      </c>
      <c r="H533" s="359" t="n">
        <v>1</v>
      </c>
    </row>
    <row r="534" customFormat="false" ht="15" hidden="false" customHeight="false" outlineLevel="0" collapsed="false">
      <c r="B534" s="313" t="s">
        <v>1859</v>
      </c>
      <c r="C534" s="357" t="n">
        <v>234</v>
      </c>
      <c r="D534" s="358" t="n">
        <v>4</v>
      </c>
      <c r="E534" s="358" t="n">
        <v>0</v>
      </c>
      <c r="F534" s="358" t="n">
        <v>0</v>
      </c>
      <c r="G534" s="358" t="n">
        <v>0</v>
      </c>
      <c r="H534" s="357" t="n">
        <v>238</v>
      </c>
    </row>
    <row r="535" customFormat="false" ht="15" hidden="false" customHeight="false" outlineLevel="0" collapsed="false">
      <c r="B535" s="364" t="s">
        <v>1859</v>
      </c>
      <c r="C535" s="365" t="n">
        <v>200</v>
      </c>
      <c r="D535" s="358" t="n">
        <v>3</v>
      </c>
      <c r="E535" s="358" t="n">
        <v>0</v>
      </c>
      <c r="F535" s="358" t="n">
        <v>0</v>
      </c>
      <c r="G535" s="358" t="n">
        <v>0</v>
      </c>
      <c r="H535" s="365" t="n">
        <v>203</v>
      </c>
    </row>
    <row r="536" customFormat="false" ht="15" hidden="true" customHeight="false" outlineLevel="0" collapsed="false">
      <c r="B536" s="360" t="s">
        <v>3010</v>
      </c>
      <c r="C536" s="365" t="n">
        <v>1</v>
      </c>
      <c r="D536" s="358" t="n">
        <v>0</v>
      </c>
      <c r="E536" s="358" t="n">
        <v>0</v>
      </c>
      <c r="F536" s="358" t="n">
        <v>0</v>
      </c>
      <c r="G536" s="358" t="n">
        <v>0</v>
      </c>
      <c r="H536" s="365" t="n">
        <v>1</v>
      </c>
    </row>
    <row r="537" customFormat="false" ht="15" hidden="true" customHeight="false" outlineLevel="0" collapsed="false">
      <c r="B537" s="360" t="s">
        <v>3011</v>
      </c>
      <c r="C537" s="365" t="n">
        <v>1</v>
      </c>
      <c r="D537" s="358" t="n">
        <v>0</v>
      </c>
      <c r="E537" s="358" t="n">
        <v>0</v>
      </c>
      <c r="F537" s="358" t="n">
        <v>0</v>
      </c>
      <c r="G537" s="358" t="n">
        <v>0</v>
      </c>
      <c r="H537" s="365" t="n">
        <v>1</v>
      </c>
    </row>
    <row r="538" customFormat="false" ht="15" hidden="true" customHeight="false" outlineLevel="0" collapsed="false">
      <c r="B538" s="360" t="s">
        <v>3012</v>
      </c>
      <c r="C538" s="365" t="n">
        <v>1</v>
      </c>
      <c r="D538" s="358" t="n">
        <v>0</v>
      </c>
      <c r="E538" s="358" t="n">
        <v>0</v>
      </c>
      <c r="F538" s="358" t="n">
        <v>0</v>
      </c>
      <c r="G538" s="358" t="n">
        <v>0</v>
      </c>
      <c r="H538" s="365" t="n">
        <v>1</v>
      </c>
    </row>
    <row r="539" customFormat="false" ht="15" hidden="true" customHeight="false" outlineLevel="0" collapsed="false">
      <c r="B539" s="360" t="s">
        <v>3013</v>
      </c>
      <c r="C539" s="365" t="n">
        <v>1</v>
      </c>
      <c r="D539" s="358" t="n">
        <v>0</v>
      </c>
      <c r="E539" s="358" t="n">
        <v>0</v>
      </c>
      <c r="F539" s="358" t="n">
        <v>0</v>
      </c>
      <c r="G539" s="358" t="n">
        <v>0</v>
      </c>
      <c r="H539" s="365" t="n">
        <v>1</v>
      </c>
    </row>
    <row r="540" customFormat="false" ht="15" hidden="true" customHeight="false" outlineLevel="0" collapsed="false">
      <c r="B540" s="360" t="s">
        <v>3014</v>
      </c>
      <c r="C540" s="365" t="n">
        <v>1</v>
      </c>
      <c r="D540" s="358" t="n">
        <v>0</v>
      </c>
      <c r="E540" s="358" t="n">
        <v>0</v>
      </c>
      <c r="F540" s="358" t="n">
        <v>0</v>
      </c>
      <c r="G540" s="358" t="n">
        <v>0</v>
      </c>
      <c r="H540" s="365" t="n">
        <v>1</v>
      </c>
    </row>
    <row r="541" customFormat="false" ht="15" hidden="true" customHeight="false" outlineLevel="0" collapsed="false">
      <c r="B541" s="360" t="s">
        <v>3015</v>
      </c>
      <c r="C541" s="365" t="n">
        <v>1</v>
      </c>
      <c r="D541" s="358" t="n">
        <v>0</v>
      </c>
      <c r="E541" s="358" t="n">
        <v>0</v>
      </c>
      <c r="F541" s="358" t="n">
        <v>0</v>
      </c>
      <c r="G541" s="358" t="n">
        <v>0</v>
      </c>
      <c r="H541" s="365" t="n">
        <v>1</v>
      </c>
    </row>
    <row r="542" customFormat="false" ht="15" hidden="true" customHeight="false" outlineLevel="0" collapsed="false">
      <c r="B542" s="360" t="s">
        <v>3016</v>
      </c>
      <c r="C542" s="365" t="n">
        <v>1</v>
      </c>
      <c r="D542" s="358" t="n">
        <v>0</v>
      </c>
      <c r="E542" s="358" t="n">
        <v>0</v>
      </c>
      <c r="F542" s="358" t="n">
        <v>0</v>
      </c>
      <c r="G542" s="358" t="n">
        <v>0</v>
      </c>
      <c r="H542" s="365" t="n">
        <v>1</v>
      </c>
    </row>
    <row r="543" customFormat="false" ht="15" hidden="true" customHeight="false" outlineLevel="0" collapsed="false">
      <c r="B543" s="360" t="s">
        <v>3017</v>
      </c>
      <c r="C543" s="365" t="n">
        <v>1</v>
      </c>
      <c r="D543" s="358" t="n">
        <v>0</v>
      </c>
      <c r="E543" s="358" t="n">
        <v>0</v>
      </c>
      <c r="F543" s="358" t="n">
        <v>0</v>
      </c>
      <c r="G543" s="358" t="n">
        <v>0</v>
      </c>
      <c r="H543" s="365" t="n">
        <v>1</v>
      </c>
    </row>
    <row r="544" customFormat="false" ht="15" hidden="true" customHeight="false" outlineLevel="0" collapsed="false">
      <c r="B544" s="360" t="s">
        <v>3018</v>
      </c>
      <c r="C544" s="365" t="n">
        <v>1</v>
      </c>
      <c r="D544" s="358" t="n">
        <v>0</v>
      </c>
      <c r="E544" s="358" t="n">
        <v>0</v>
      </c>
      <c r="F544" s="358" t="n">
        <v>0</v>
      </c>
      <c r="G544" s="358" t="n">
        <v>0</v>
      </c>
      <c r="H544" s="365" t="n">
        <v>1</v>
      </c>
    </row>
    <row r="545" customFormat="false" ht="15" hidden="true" customHeight="false" outlineLevel="0" collapsed="false">
      <c r="B545" s="360" t="s">
        <v>3019</v>
      </c>
      <c r="C545" s="365" t="n">
        <v>1</v>
      </c>
      <c r="D545" s="358" t="n">
        <v>0</v>
      </c>
      <c r="E545" s="358" t="n">
        <v>0</v>
      </c>
      <c r="F545" s="358" t="n">
        <v>0</v>
      </c>
      <c r="G545" s="358" t="n">
        <v>0</v>
      </c>
      <c r="H545" s="365" t="n">
        <v>1</v>
      </c>
    </row>
    <row r="546" customFormat="false" ht="15" hidden="true" customHeight="false" outlineLevel="0" collapsed="false">
      <c r="B546" s="360" t="s">
        <v>3020</v>
      </c>
      <c r="C546" s="365" t="n">
        <v>1</v>
      </c>
      <c r="D546" s="358" t="n">
        <v>0</v>
      </c>
      <c r="E546" s="358" t="n">
        <v>0</v>
      </c>
      <c r="F546" s="358" t="n">
        <v>0</v>
      </c>
      <c r="G546" s="358" t="n">
        <v>0</v>
      </c>
      <c r="H546" s="365" t="n">
        <v>1</v>
      </c>
    </row>
    <row r="547" customFormat="false" ht="15" hidden="true" customHeight="false" outlineLevel="0" collapsed="false">
      <c r="B547" s="360" t="s">
        <v>3021</v>
      </c>
      <c r="C547" s="365" t="n">
        <v>1</v>
      </c>
      <c r="D547" s="358" t="n">
        <v>0</v>
      </c>
      <c r="E547" s="358" t="n">
        <v>0</v>
      </c>
      <c r="F547" s="358" t="n">
        <v>0</v>
      </c>
      <c r="G547" s="358" t="n">
        <v>0</v>
      </c>
      <c r="H547" s="365" t="n">
        <v>1</v>
      </c>
    </row>
    <row r="548" customFormat="false" ht="15" hidden="true" customHeight="false" outlineLevel="0" collapsed="false">
      <c r="B548" s="360" t="s">
        <v>3022</v>
      </c>
      <c r="C548" s="365" t="n">
        <v>1</v>
      </c>
      <c r="D548" s="358" t="n">
        <v>0</v>
      </c>
      <c r="E548" s="358" t="n">
        <v>0</v>
      </c>
      <c r="F548" s="358" t="n">
        <v>0</v>
      </c>
      <c r="G548" s="358" t="n">
        <v>0</v>
      </c>
      <c r="H548" s="365" t="n">
        <v>1</v>
      </c>
    </row>
    <row r="549" customFormat="false" ht="15" hidden="true" customHeight="false" outlineLevel="0" collapsed="false">
      <c r="B549" s="360" t="s">
        <v>3023</v>
      </c>
      <c r="C549" s="365" t="n">
        <v>1</v>
      </c>
      <c r="D549" s="358" t="n">
        <v>0</v>
      </c>
      <c r="E549" s="358" t="n">
        <v>0</v>
      </c>
      <c r="F549" s="358" t="n">
        <v>0</v>
      </c>
      <c r="G549" s="358" t="n">
        <v>0</v>
      </c>
      <c r="H549" s="365" t="n">
        <v>1</v>
      </c>
    </row>
    <row r="550" customFormat="false" ht="15" hidden="true" customHeight="false" outlineLevel="0" collapsed="false">
      <c r="B550" s="360" t="s">
        <v>3024</v>
      </c>
      <c r="C550" s="365" t="n">
        <v>1</v>
      </c>
      <c r="D550" s="358" t="n">
        <v>0</v>
      </c>
      <c r="E550" s="358" t="n">
        <v>0</v>
      </c>
      <c r="F550" s="358" t="n">
        <v>0</v>
      </c>
      <c r="G550" s="358" t="n">
        <v>0</v>
      </c>
      <c r="H550" s="365" t="n">
        <v>1</v>
      </c>
    </row>
    <row r="551" customFormat="false" ht="15" hidden="true" customHeight="false" outlineLevel="0" collapsed="false">
      <c r="B551" s="360" t="s">
        <v>3025</v>
      </c>
      <c r="C551" s="365" t="n">
        <v>1</v>
      </c>
      <c r="D551" s="358" t="n">
        <v>0</v>
      </c>
      <c r="E551" s="358" t="n">
        <v>0</v>
      </c>
      <c r="F551" s="358" t="n">
        <v>0</v>
      </c>
      <c r="G551" s="358" t="n">
        <v>0</v>
      </c>
      <c r="H551" s="365" t="n">
        <v>1</v>
      </c>
    </row>
    <row r="552" customFormat="false" ht="15" hidden="true" customHeight="false" outlineLevel="0" collapsed="false">
      <c r="B552" s="360" t="s">
        <v>3026</v>
      </c>
      <c r="C552" s="365" t="n">
        <v>1</v>
      </c>
      <c r="D552" s="358" t="n">
        <v>0</v>
      </c>
      <c r="E552" s="358" t="n">
        <v>0</v>
      </c>
      <c r="F552" s="358" t="n">
        <v>0</v>
      </c>
      <c r="G552" s="358" t="n">
        <v>0</v>
      </c>
      <c r="H552" s="365" t="n">
        <v>1</v>
      </c>
    </row>
    <row r="553" customFormat="false" ht="15" hidden="true" customHeight="false" outlineLevel="0" collapsed="false">
      <c r="B553" s="360" t="s">
        <v>3027</v>
      </c>
      <c r="C553" s="365" t="n">
        <v>1</v>
      </c>
      <c r="D553" s="358" t="n">
        <v>0</v>
      </c>
      <c r="E553" s="358" t="n">
        <v>0</v>
      </c>
      <c r="F553" s="358" t="n">
        <v>0</v>
      </c>
      <c r="G553" s="358" t="n">
        <v>0</v>
      </c>
      <c r="H553" s="365" t="n">
        <v>1</v>
      </c>
    </row>
    <row r="554" customFormat="false" ht="15" hidden="true" customHeight="false" outlineLevel="0" collapsed="false">
      <c r="B554" s="360" t="s">
        <v>3028</v>
      </c>
      <c r="C554" s="365" t="n">
        <v>1</v>
      </c>
      <c r="D554" s="358" t="n">
        <v>0</v>
      </c>
      <c r="E554" s="358" t="n">
        <v>0</v>
      </c>
      <c r="F554" s="358" t="n">
        <v>0</v>
      </c>
      <c r="G554" s="358" t="n">
        <v>0</v>
      </c>
      <c r="H554" s="365" t="n">
        <v>1</v>
      </c>
    </row>
    <row r="555" customFormat="false" ht="15" hidden="true" customHeight="false" outlineLevel="0" collapsed="false">
      <c r="B555" s="360" t="s">
        <v>3029</v>
      </c>
      <c r="C555" s="365" t="n">
        <v>1</v>
      </c>
      <c r="D555" s="358" t="n">
        <v>0</v>
      </c>
      <c r="E555" s="358" t="n">
        <v>0</v>
      </c>
      <c r="F555" s="358" t="n">
        <v>0</v>
      </c>
      <c r="G555" s="358" t="n">
        <v>0</v>
      </c>
      <c r="H555" s="365" t="n">
        <v>1</v>
      </c>
    </row>
    <row r="556" customFormat="false" ht="15" hidden="true" customHeight="false" outlineLevel="0" collapsed="false">
      <c r="B556" s="360" t="s">
        <v>3030</v>
      </c>
      <c r="C556" s="365" t="n">
        <v>1</v>
      </c>
      <c r="D556" s="358" t="n">
        <v>0</v>
      </c>
      <c r="E556" s="358" t="n">
        <v>0</v>
      </c>
      <c r="F556" s="358" t="n">
        <v>0</v>
      </c>
      <c r="G556" s="358" t="n">
        <v>0</v>
      </c>
      <c r="H556" s="365" t="n">
        <v>1</v>
      </c>
    </row>
    <row r="557" customFormat="false" ht="15" hidden="true" customHeight="false" outlineLevel="0" collapsed="false">
      <c r="B557" s="360" t="s">
        <v>3031</v>
      </c>
      <c r="C557" s="365" t="n">
        <v>1</v>
      </c>
      <c r="D557" s="358" t="n">
        <v>0</v>
      </c>
      <c r="E557" s="358" t="n">
        <v>0</v>
      </c>
      <c r="F557" s="358" t="n">
        <v>0</v>
      </c>
      <c r="G557" s="358" t="n">
        <v>0</v>
      </c>
      <c r="H557" s="365" t="n">
        <v>1</v>
      </c>
    </row>
    <row r="558" customFormat="false" ht="15" hidden="true" customHeight="false" outlineLevel="0" collapsed="false">
      <c r="B558" s="360" t="s">
        <v>3032</v>
      </c>
      <c r="C558" s="365" t="n">
        <v>1</v>
      </c>
      <c r="D558" s="358" t="n">
        <v>0</v>
      </c>
      <c r="E558" s="358" t="n">
        <v>0</v>
      </c>
      <c r="F558" s="358" t="n">
        <v>0</v>
      </c>
      <c r="G558" s="358" t="n">
        <v>0</v>
      </c>
      <c r="H558" s="365" t="n">
        <v>1</v>
      </c>
    </row>
    <row r="559" customFormat="false" ht="15" hidden="true" customHeight="false" outlineLevel="0" collapsed="false">
      <c r="B559" s="360" t="s">
        <v>3033</v>
      </c>
      <c r="C559" s="365" t="n">
        <v>1</v>
      </c>
      <c r="D559" s="358" t="n">
        <v>0</v>
      </c>
      <c r="E559" s="358" t="n">
        <v>0</v>
      </c>
      <c r="F559" s="358" t="n">
        <v>0</v>
      </c>
      <c r="G559" s="358" t="n">
        <v>0</v>
      </c>
      <c r="H559" s="365" t="n">
        <v>1</v>
      </c>
    </row>
    <row r="560" customFormat="false" ht="15" hidden="true" customHeight="false" outlineLevel="0" collapsed="false">
      <c r="B560" s="360" t="s">
        <v>3034</v>
      </c>
      <c r="C560" s="365" t="n">
        <v>1</v>
      </c>
      <c r="D560" s="358" t="n">
        <v>0</v>
      </c>
      <c r="E560" s="358" t="n">
        <v>0</v>
      </c>
      <c r="F560" s="358" t="n">
        <v>0</v>
      </c>
      <c r="G560" s="358" t="n">
        <v>0</v>
      </c>
      <c r="H560" s="365" t="n">
        <v>1</v>
      </c>
    </row>
    <row r="561" customFormat="false" ht="15" hidden="true" customHeight="false" outlineLevel="0" collapsed="false">
      <c r="B561" s="360" t="s">
        <v>3035</v>
      </c>
      <c r="C561" s="365" t="n">
        <v>1</v>
      </c>
      <c r="D561" s="358" t="n">
        <v>0</v>
      </c>
      <c r="E561" s="358" t="n">
        <v>0</v>
      </c>
      <c r="F561" s="358" t="n">
        <v>0</v>
      </c>
      <c r="G561" s="358" t="n">
        <v>0</v>
      </c>
      <c r="H561" s="365" t="n">
        <v>1</v>
      </c>
    </row>
    <row r="562" customFormat="false" ht="15" hidden="true" customHeight="false" outlineLevel="0" collapsed="false">
      <c r="B562" s="360" t="s">
        <v>3036</v>
      </c>
      <c r="C562" s="365" t="n">
        <v>1</v>
      </c>
      <c r="D562" s="358" t="n">
        <v>0</v>
      </c>
      <c r="E562" s="358" t="n">
        <v>0</v>
      </c>
      <c r="F562" s="358" t="n">
        <v>0</v>
      </c>
      <c r="G562" s="358" t="n">
        <v>0</v>
      </c>
      <c r="H562" s="365" t="n">
        <v>1</v>
      </c>
    </row>
    <row r="563" customFormat="false" ht="15" hidden="true" customHeight="false" outlineLevel="0" collapsed="false">
      <c r="B563" s="360" t="s">
        <v>3037</v>
      </c>
      <c r="C563" s="365" t="n">
        <v>1</v>
      </c>
      <c r="D563" s="358" t="n">
        <v>0</v>
      </c>
      <c r="E563" s="358" t="n">
        <v>0</v>
      </c>
      <c r="F563" s="358" t="n">
        <v>0</v>
      </c>
      <c r="G563" s="358" t="n">
        <v>0</v>
      </c>
      <c r="H563" s="365" t="n">
        <v>1</v>
      </c>
    </row>
    <row r="564" customFormat="false" ht="15" hidden="true" customHeight="false" outlineLevel="0" collapsed="false">
      <c r="B564" s="360" t="s">
        <v>3038</v>
      </c>
      <c r="C564" s="365" t="n">
        <v>1</v>
      </c>
      <c r="D564" s="358" t="n">
        <v>0</v>
      </c>
      <c r="E564" s="358" t="n">
        <v>0</v>
      </c>
      <c r="F564" s="358" t="n">
        <v>0</v>
      </c>
      <c r="G564" s="358" t="n">
        <v>0</v>
      </c>
      <c r="H564" s="365" t="n">
        <v>1</v>
      </c>
    </row>
    <row r="565" customFormat="false" ht="15" hidden="true" customHeight="false" outlineLevel="0" collapsed="false">
      <c r="B565" s="360" t="s">
        <v>3039</v>
      </c>
      <c r="C565" s="365" t="n">
        <v>1</v>
      </c>
      <c r="D565" s="358" t="n">
        <v>0</v>
      </c>
      <c r="E565" s="358" t="n">
        <v>0</v>
      </c>
      <c r="F565" s="358" t="n">
        <v>0</v>
      </c>
      <c r="G565" s="358" t="n">
        <v>0</v>
      </c>
      <c r="H565" s="365" t="n">
        <v>1</v>
      </c>
    </row>
    <row r="566" customFormat="false" ht="15" hidden="true" customHeight="false" outlineLevel="0" collapsed="false">
      <c r="B566" s="360" t="s">
        <v>3040</v>
      </c>
      <c r="C566" s="365" t="n">
        <v>1</v>
      </c>
      <c r="D566" s="358" t="n">
        <v>0</v>
      </c>
      <c r="E566" s="358" t="n">
        <v>0</v>
      </c>
      <c r="F566" s="358" t="n">
        <v>0</v>
      </c>
      <c r="G566" s="358" t="n">
        <v>0</v>
      </c>
      <c r="H566" s="365" t="n">
        <v>1</v>
      </c>
    </row>
    <row r="567" customFormat="false" ht="15" hidden="true" customHeight="false" outlineLevel="0" collapsed="false">
      <c r="B567" s="360" t="s">
        <v>3041</v>
      </c>
      <c r="C567" s="365" t="n">
        <v>1</v>
      </c>
      <c r="D567" s="358" t="n">
        <v>0</v>
      </c>
      <c r="E567" s="358" t="n">
        <v>0</v>
      </c>
      <c r="F567" s="358" t="n">
        <v>0</v>
      </c>
      <c r="G567" s="358" t="n">
        <v>0</v>
      </c>
      <c r="H567" s="365" t="n">
        <v>1</v>
      </c>
    </row>
    <row r="568" customFormat="false" ht="15" hidden="true" customHeight="false" outlineLevel="0" collapsed="false">
      <c r="B568" s="360" t="s">
        <v>3042</v>
      </c>
      <c r="C568" s="365" t="n">
        <v>1</v>
      </c>
      <c r="D568" s="358" t="n">
        <v>0</v>
      </c>
      <c r="E568" s="358" t="n">
        <v>0</v>
      </c>
      <c r="F568" s="358" t="n">
        <v>0</v>
      </c>
      <c r="G568" s="358" t="n">
        <v>0</v>
      </c>
      <c r="H568" s="365" t="n">
        <v>1</v>
      </c>
    </row>
    <row r="569" customFormat="false" ht="15" hidden="true" customHeight="false" outlineLevel="0" collapsed="false">
      <c r="B569" s="360" t="s">
        <v>3043</v>
      </c>
      <c r="C569" s="365" t="n">
        <v>1</v>
      </c>
      <c r="D569" s="358" t="n">
        <v>0</v>
      </c>
      <c r="E569" s="358" t="n">
        <v>0</v>
      </c>
      <c r="F569" s="358" t="n">
        <v>0</v>
      </c>
      <c r="G569" s="358" t="n">
        <v>0</v>
      </c>
      <c r="H569" s="365" t="n">
        <v>1</v>
      </c>
    </row>
    <row r="570" customFormat="false" ht="15" hidden="true" customHeight="false" outlineLevel="0" collapsed="false">
      <c r="B570" s="360" t="s">
        <v>3044</v>
      </c>
      <c r="C570" s="365" t="n">
        <v>1</v>
      </c>
      <c r="D570" s="358" t="n">
        <v>0</v>
      </c>
      <c r="E570" s="358" t="n">
        <v>0</v>
      </c>
      <c r="F570" s="358" t="n">
        <v>0</v>
      </c>
      <c r="G570" s="358" t="n">
        <v>0</v>
      </c>
      <c r="H570" s="365" t="n">
        <v>1</v>
      </c>
    </row>
    <row r="571" customFormat="false" ht="15" hidden="true" customHeight="false" outlineLevel="0" collapsed="false">
      <c r="B571" s="360" t="s">
        <v>3045</v>
      </c>
      <c r="C571" s="365" t="n">
        <v>1</v>
      </c>
      <c r="D571" s="358" t="n">
        <v>0</v>
      </c>
      <c r="E571" s="358" t="n">
        <v>0</v>
      </c>
      <c r="F571" s="358" t="n">
        <v>0</v>
      </c>
      <c r="G571" s="358" t="n">
        <v>0</v>
      </c>
      <c r="H571" s="365" t="n">
        <v>1</v>
      </c>
    </row>
    <row r="572" customFormat="false" ht="15" hidden="true" customHeight="false" outlineLevel="0" collapsed="false">
      <c r="B572" s="360" t="s">
        <v>3046</v>
      </c>
      <c r="C572" s="365" t="n">
        <v>1</v>
      </c>
      <c r="D572" s="358" t="n">
        <v>0</v>
      </c>
      <c r="E572" s="358" t="n">
        <v>0</v>
      </c>
      <c r="F572" s="358" t="n">
        <v>0</v>
      </c>
      <c r="G572" s="358" t="n">
        <v>0</v>
      </c>
      <c r="H572" s="365" t="n">
        <v>1</v>
      </c>
    </row>
    <row r="573" customFormat="false" ht="15" hidden="true" customHeight="false" outlineLevel="0" collapsed="false">
      <c r="B573" s="360" t="s">
        <v>3047</v>
      </c>
      <c r="C573" s="365" t="n">
        <v>1</v>
      </c>
      <c r="D573" s="358" t="n">
        <v>0</v>
      </c>
      <c r="E573" s="358" t="n">
        <v>0</v>
      </c>
      <c r="F573" s="358" t="n">
        <v>0</v>
      </c>
      <c r="G573" s="358" t="n">
        <v>0</v>
      </c>
      <c r="H573" s="365" t="n">
        <v>1</v>
      </c>
    </row>
    <row r="574" customFormat="false" ht="15" hidden="true" customHeight="false" outlineLevel="0" collapsed="false">
      <c r="B574" s="360" t="s">
        <v>3048</v>
      </c>
      <c r="C574" s="365" t="n">
        <v>1</v>
      </c>
      <c r="D574" s="358" t="n">
        <v>0</v>
      </c>
      <c r="E574" s="358" t="n">
        <v>0</v>
      </c>
      <c r="F574" s="358" t="n">
        <v>0</v>
      </c>
      <c r="G574" s="358" t="n">
        <v>0</v>
      </c>
      <c r="H574" s="365" t="n">
        <v>1</v>
      </c>
    </row>
    <row r="575" customFormat="false" ht="15" hidden="true" customHeight="false" outlineLevel="0" collapsed="false">
      <c r="B575" s="360" t="s">
        <v>3049</v>
      </c>
      <c r="C575" s="365" t="n">
        <v>1</v>
      </c>
      <c r="D575" s="358" t="n">
        <v>0</v>
      </c>
      <c r="E575" s="358" t="n">
        <v>0</v>
      </c>
      <c r="F575" s="358" t="n">
        <v>0</v>
      </c>
      <c r="G575" s="358" t="n">
        <v>0</v>
      </c>
      <c r="H575" s="365" t="n">
        <v>1</v>
      </c>
    </row>
    <row r="576" customFormat="false" ht="15" hidden="true" customHeight="false" outlineLevel="0" collapsed="false">
      <c r="B576" s="360" t="s">
        <v>3050</v>
      </c>
      <c r="C576" s="365" t="n">
        <v>1</v>
      </c>
      <c r="D576" s="358" t="n">
        <v>0</v>
      </c>
      <c r="E576" s="358" t="n">
        <v>0</v>
      </c>
      <c r="F576" s="358" t="n">
        <v>0</v>
      </c>
      <c r="G576" s="358" t="n">
        <v>0</v>
      </c>
      <c r="H576" s="365" t="n">
        <v>1</v>
      </c>
    </row>
    <row r="577" customFormat="false" ht="15" hidden="true" customHeight="false" outlineLevel="0" collapsed="false">
      <c r="B577" s="360" t="s">
        <v>3051</v>
      </c>
      <c r="C577" s="365" t="n">
        <v>1</v>
      </c>
      <c r="D577" s="358" t="n">
        <v>0</v>
      </c>
      <c r="E577" s="358" t="n">
        <v>0</v>
      </c>
      <c r="F577" s="358" t="n">
        <v>0</v>
      </c>
      <c r="G577" s="358" t="n">
        <v>0</v>
      </c>
      <c r="H577" s="365" t="n">
        <v>1</v>
      </c>
    </row>
    <row r="578" customFormat="false" ht="15" hidden="true" customHeight="false" outlineLevel="0" collapsed="false">
      <c r="B578" s="360" t="s">
        <v>3052</v>
      </c>
      <c r="C578" s="365" t="n">
        <v>1</v>
      </c>
      <c r="D578" s="358" t="n">
        <v>0</v>
      </c>
      <c r="E578" s="358" t="n">
        <v>0</v>
      </c>
      <c r="F578" s="358" t="n">
        <v>0</v>
      </c>
      <c r="G578" s="358" t="n">
        <v>0</v>
      </c>
      <c r="H578" s="365" t="n">
        <v>1</v>
      </c>
    </row>
    <row r="579" customFormat="false" ht="15" hidden="true" customHeight="false" outlineLevel="0" collapsed="false">
      <c r="B579" s="360" t="s">
        <v>3053</v>
      </c>
      <c r="C579" s="365" t="n">
        <v>1</v>
      </c>
      <c r="D579" s="358" t="n">
        <v>0</v>
      </c>
      <c r="E579" s="358" t="n">
        <v>0</v>
      </c>
      <c r="F579" s="358" t="n">
        <v>0</v>
      </c>
      <c r="G579" s="358" t="n">
        <v>0</v>
      </c>
      <c r="H579" s="365" t="n">
        <v>1</v>
      </c>
    </row>
    <row r="580" customFormat="false" ht="15" hidden="true" customHeight="false" outlineLevel="0" collapsed="false">
      <c r="B580" s="360" t="s">
        <v>3054</v>
      </c>
      <c r="C580" s="365" t="n">
        <v>1</v>
      </c>
      <c r="D580" s="358" t="n">
        <v>0</v>
      </c>
      <c r="E580" s="358" t="n">
        <v>0</v>
      </c>
      <c r="F580" s="358" t="n">
        <v>0</v>
      </c>
      <c r="G580" s="358" t="n">
        <v>0</v>
      </c>
      <c r="H580" s="365" t="n">
        <v>1</v>
      </c>
    </row>
    <row r="581" customFormat="false" ht="15" hidden="true" customHeight="false" outlineLevel="0" collapsed="false">
      <c r="B581" s="360" t="s">
        <v>3055</v>
      </c>
      <c r="C581" s="365" t="n">
        <v>1</v>
      </c>
      <c r="D581" s="358" t="n">
        <v>0</v>
      </c>
      <c r="E581" s="358" t="n">
        <v>0</v>
      </c>
      <c r="F581" s="358" t="n">
        <v>0</v>
      </c>
      <c r="G581" s="358" t="n">
        <v>0</v>
      </c>
      <c r="H581" s="365" t="n">
        <v>1</v>
      </c>
    </row>
    <row r="582" customFormat="false" ht="15" hidden="true" customHeight="false" outlineLevel="0" collapsed="false">
      <c r="B582" s="360" t="s">
        <v>3056</v>
      </c>
      <c r="C582" s="365" t="n">
        <v>1</v>
      </c>
      <c r="D582" s="358" t="n">
        <v>0</v>
      </c>
      <c r="E582" s="358" t="n">
        <v>0</v>
      </c>
      <c r="F582" s="358" t="n">
        <v>0</v>
      </c>
      <c r="G582" s="358" t="n">
        <v>0</v>
      </c>
      <c r="H582" s="365" t="n">
        <v>1</v>
      </c>
    </row>
    <row r="583" customFormat="false" ht="15" hidden="true" customHeight="false" outlineLevel="0" collapsed="false">
      <c r="B583" s="360" t="s">
        <v>3057</v>
      </c>
      <c r="C583" s="365" t="n">
        <v>1</v>
      </c>
      <c r="D583" s="358" t="n">
        <v>0</v>
      </c>
      <c r="E583" s="358" t="n">
        <v>0</v>
      </c>
      <c r="F583" s="358" t="n">
        <v>0</v>
      </c>
      <c r="G583" s="358" t="n">
        <v>0</v>
      </c>
      <c r="H583" s="365" t="n">
        <v>1</v>
      </c>
    </row>
    <row r="584" customFormat="false" ht="15" hidden="true" customHeight="false" outlineLevel="0" collapsed="false">
      <c r="B584" s="360" t="s">
        <v>3058</v>
      </c>
      <c r="C584" s="365" t="n">
        <v>1</v>
      </c>
      <c r="D584" s="358" t="n">
        <v>0</v>
      </c>
      <c r="E584" s="358" t="n">
        <v>0</v>
      </c>
      <c r="F584" s="358" t="n">
        <v>0</v>
      </c>
      <c r="G584" s="358" t="n">
        <v>0</v>
      </c>
      <c r="H584" s="365" t="n">
        <v>1</v>
      </c>
    </row>
    <row r="585" customFormat="false" ht="15" hidden="true" customHeight="false" outlineLevel="0" collapsed="false">
      <c r="B585" s="360" t="s">
        <v>3059</v>
      </c>
      <c r="C585" s="365" t="n">
        <v>1</v>
      </c>
      <c r="D585" s="358" t="n">
        <v>0</v>
      </c>
      <c r="E585" s="358" t="n">
        <v>0</v>
      </c>
      <c r="F585" s="358" t="n">
        <v>0</v>
      </c>
      <c r="G585" s="358" t="n">
        <v>0</v>
      </c>
      <c r="H585" s="365" t="n">
        <v>1</v>
      </c>
    </row>
    <row r="586" customFormat="false" ht="15" hidden="true" customHeight="false" outlineLevel="0" collapsed="false">
      <c r="B586" s="360" t="s">
        <v>3060</v>
      </c>
      <c r="C586" s="365" t="n">
        <v>1</v>
      </c>
      <c r="D586" s="358" t="n">
        <v>0</v>
      </c>
      <c r="E586" s="358" t="n">
        <v>0</v>
      </c>
      <c r="F586" s="358" t="n">
        <v>0</v>
      </c>
      <c r="G586" s="358" t="n">
        <v>0</v>
      </c>
      <c r="H586" s="365" t="n">
        <v>1</v>
      </c>
    </row>
    <row r="587" customFormat="false" ht="15" hidden="true" customHeight="false" outlineLevel="0" collapsed="false">
      <c r="B587" s="360" t="s">
        <v>3061</v>
      </c>
      <c r="C587" s="365" t="n">
        <v>1</v>
      </c>
      <c r="D587" s="358" t="n">
        <v>0</v>
      </c>
      <c r="E587" s="358" t="n">
        <v>0</v>
      </c>
      <c r="F587" s="358" t="n">
        <v>0</v>
      </c>
      <c r="G587" s="358" t="n">
        <v>0</v>
      </c>
      <c r="H587" s="365" t="n">
        <v>1</v>
      </c>
    </row>
    <row r="588" customFormat="false" ht="15" hidden="true" customHeight="false" outlineLevel="0" collapsed="false">
      <c r="B588" s="360" t="s">
        <v>3062</v>
      </c>
      <c r="C588" s="365" t="n">
        <v>1</v>
      </c>
      <c r="D588" s="358" t="n">
        <v>0</v>
      </c>
      <c r="E588" s="358" t="n">
        <v>0</v>
      </c>
      <c r="F588" s="358" t="n">
        <v>0</v>
      </c>
      <c r="G588" s="358" t="n">
        <v>0</v>
      </c>
      <c r="H588" s="365" t="n">
        <v>1</v>
      </c>
    </row>
    <row r="589" customFormat="false" ht="15" hidden="true" customHeight="false" outlineLevel="0" collapsed="false">
      <c r="B589" s="360" t="s">
        <v>3063</v>
      </c>
      <c r="C589" s="365" t="n">
        <v>1</v>
      </c>
      <c r="D589" s="358" t="n">
        <v>0</v>
      </c>
      <c r="E589" s="358" t="n">
        <v>0</v>
      </c>
      <c r="F589" s="358" t="n">
        <v>0</v>
      </c>
      <c r="G589" s="358" t="n">
        <v>0</v>
      </c>
      <c r="H589" s="365" t="n">
        <v>1</v>
      </c>
    </row>
    <row r="590" customFormat="false" ht="15" hidden="true" customHeight="false" outlineLevel="0" collapsed="false">
      <c r="B590" s="360" t="s">
        <v>3064</v>
      </c>
      <c r="C590" s="365" t="n">
        <v>1</v>
      </c>
      <c r="D590" s="358" t="n">
        <v>0</v>
      </c>
      <c r="E590" s="358" t="n">
        <v>0</v>
      </c>
      <c r="F590" s="358" t="n">
        <v>0</v>
      </c>
      <c r="G590" s="358" t="n">
        <v>0</v>
      </c>
      <c r="H590" s="365" t="n">
        <v>1</v>
      </c>
    </row>
    <row r="591" customFormat="false" ht="15" hidden="true" customHeight="false" outlineLevel="0" collapsed="false">
      <c r="B591" s="360" t="s">
        <v>3065</v>
      </c>
      <c r="C591" s="365" t="n">
        <v>1</v>
      </c>
      <c r="D591" s="358" t="n">
        <v>0</v>
      </c>
      <c r="E591" s="358" t="n">
        <v>0</v>
      </c>
      <c r="F591" s="358" t="n">
        <v>0</v>
      </c>
      <c r="G591" s="358" t="n">
        <v>0</v>
      </c>
      <c r="H591" s="365" t="n">
        <v>1</v>
      </c>
    </row>
    <row r="592" customFormat="false" ht="15" hidden="true" customHeight="false" outlineLevel="0" collapsed="false">
      <c r="B592" s="360" t="s">
        <v>3066</v>
      </c>
      <c r="C592" s="365" t="n">
        <v>1</v>
      </c>
      <c r="D592" s="358" t="n">
        <v>0</v>
      </c>
      <c r="E592" s="358" t="n">
        <v>0</v>
      </c>
      <c r="F592" s="358" t="n">
        <v>0</v>
      </c>
      <c r="G592" s="358" t="n">
        <v>0</v>
      </c>
      <c r="H592" s="365" t="n">
        <v>1</v>
      </c>
    </row>
    <row r="593" customFormat="false" ht="15" hidden="true" customHeight="false" outlineLevel="0" collapsed="false">
      <c r="B593" s="360" t="s">
        <v>3067</v>
      </c>
      <c r="C593" s="365" t="n">
        <v>1</v>
      </c>
      <c r="D593" s="358" t="n">
        <v>0</v>
      </c>
      <c r="E593" s="358" t="n">
        <v>0</v>
      </c>
      <c r="F593" s="358" t="n">
        <v>0</v>
      </c>
      <c r="G593" s="358" t="n">
        <v>0</v>
      </c>
      <c r="H593" s="365" t="n">
        <v>1</v>
      </c>
    </row>
    <row r="594" customFormat="false" ht="15" hidden="true" customHeight="false" outlineLevel="0" collapsed="false">
      <c r="B594" s="360" t="s">
        <v>3068</v>
      </c>
      <c r="C594" s="365" t="n">
        <v>1</v>
      </c>
      <c r="D594" s="358" t="n">
        <v>0</v>
      </c>
      <c r="E594" s="358" t="n">
        <v>0</v>
      </c>
      <c r="F594" s="358" t="n">
        <v>0</v>
      </c>
      <c r="G594" s="358" t="n">
        <v>0</v>
      </c>
      <c r="H594" s="365" t="n">
        <v>1</v>
      </c>
    </row>
    <row r="595" customFormat="false" ht="15" hidden="true" customHeight="false" outlineLevel="0" collapsed="false">
      <c r="B595" s="360" t="s">
        <v>3069</v>
      </c>
      <c r="C595" s="365" t="n">
        <v>1</v>
      </c>
      <c r="D595" s="358" t="n">
        <v>0</v>
      </c>
      <c r="E595" s="358" t="n">
        <v>0</v>
      </c>
      <c r="F595" s="358" t="n">
        <v>0</v>
      </c>
      <c r="G595" s="358" t="n">
        <v>0</v>
      </c>
      <c r="H595" s="365" t="n">
        <v>1</v>
      </c>
    </row>
    <row r="596" customFormat="false" ht="15" hidden="true" customHeight="false" outlineLevel="0" collapsed="false">
      <c r="B596" s="360" t="s">
        <v>3070</v>
      </c>
      <c r="C596" s="365" t="n">
        <v>1</v>
      </c>
      <c r="D596" s="358" t="n">
        <v>0</v>
      </c>
      <c r="E596" s="358" t="n">
        <v>0</v>
      </c>
      <c r="F596" s="358" t="n">
        <v>0</v>
      </c>
      <c r="G596" s="358" t="n">
        <v>0</v>
      </c>
      <c r="H596" s="365" t="n">
        <v>1</v>
      </c>
    </row>
    <row r="597" customFormat="false" ht="15" hidden="true" customHeight="false" outlineLevel="0" collapsed="false">
      <c r="B597" s="360" t="s">
        <v>3071</v>
      </c>
      <c r="C597" s="365" t="n">
        <v>1</v>
      </c>
      <c r="D597" s="358" t="n">
        <v>0</v>
      </c>
      <c r="E597" s="358" t="n">
        <v>0</v>
      </c>
      <c r="F597" s="358" t="n">
        <v>0</v>
      </c>
      <c r="G597" s="358" t="n">
        <v>0</v>
      </c>
      <c r="H597" s="365" t="n">
        <v>1</v>
      </c>
    </row>
    <row r="598" customFormat="false" ht="15" hidden="true" customHeight="false" outlineLevel="0" collapsed="false">
      <c r="B598" s="360" t="s">
        <v>3072</v>
      </c>
      <c r="C598" s="365" t="n">
        <v>1</v>
      </c>
      <c r="D598" s="358" t="n">
        <v>0</v>
      </c>
      <c r="E598" s="358" t="n">
        <v>0</v>
      </c>
      <c r="F598" s="358" t="n">
        <v>0</v>
      </c>
      <c r="G598" s="358" t="n">
        <v>0</v>
      </c>
      <c r="H598" s="365" t="n">
        <v>1</v>
      </c>
    </row>
    <row r="599" customFormat="false" ht="15" hidden="true" customHeight="false" outlineLevel="0" collapsed="false">
      <c r="B599" s="360" t="s">
        <v>3073</v>
      </c>
      <c r="C599" s="365" t="n">
        <v>1</v>
      </c>
      <c r="D599" s="358" t="n">
        <v>0</v>
      </c>
      <c r="E599" s="358" t="n">
        <v>0</v>
      </c>
      <c r="F599" s="358" t="n">
        <v>0</v>
      </c>
      <c r="G599" s="358" t="n">
        <v>0</v>
      </c>
      <c r="H599" s="365" t="n">
        <v>1</v>
      </c>
    </row>
    <row r="600" customFormat="false" ht="15" hidden="true" customHeight="false" outlineLevel="0" collapsed="false">
      <c r="B600" s="360" t="s">
        <v>3074</v>
      </c>
      <c r="C600" s="365" t="n">
        <v>1</v>
      </c>
      <c r="D600" s="358" t="n">
        <v>0</v>
      </c>
      <c r="E600" s="358" t="n">
        <v>0</v>
      </c>
      <c r="F600" s="358" t="n">
        <v>0</v>
      </c>
      <c r="G600" s="358" t="n">
        <v>0</v>
      </c>
      <c r="H600" s="365" t="n">
        <v>1</v>
      </c>
    </row>
    <row r="601" customFormat="false" ht="15" hidden="true" customHeight="false" outlineLevel="0" collapsed="false">
      <c r="B601" s="360" t="s">
        <v>3075</v>
      </c>
      <c r="C601" s="365" t="n">
        <v>1</v>
      </c>
      <c r="D601" s="358" t="n">
        <v>0</v>
      </c>
      <c r="E601" s="358" t="n">
        <v>0</v>
      </c>
      <c r="F601" s="358" t="n">
        <v>0</v>
      </c>
      <c r="G601" s="358" t="n">
        <v>0</v>
      </c>
      <c r="H601" s="365" t="n">
        <v>1</v>
      </c>
    </row>
    <row r="602" customFormat="false" ht="15" hidden="true" customHeight="false" outlineLevel="0" collapsed="false">
      <c r="B602" s="360" t="s">
        <v>3076</v>
      </c>
      <c r="C602" s="365" t="n">
        <v>1</v>
      </c>
      <c r="D602" s="358" t="n">
        <v>0</v>
      </c>
      <c r="E602" s="358" t="n">
        <v>0</v>
      </c>
      <c r="F602" s="358" t="n">
        <v>0</v>
      </c>
      <c r="G602" s="358" t="n">
        <v>0</v>
      </c>
      <c r="H602" s="365" t="n">
        <v>1</v>
      </c>
    </row>
    <row r="603" customFormat="false" ht="15" hidden="true" customHeight="false" outlineLevel="0" collapsed="false">
      <c r="B603" s="360" t="s">
        <v>3077</v>
      </c>
      <c r="C603" s="365" t="n">
        <v>1</v>
      </c>
      <c r="D603" s="358" t="n">
        <v>0</v>
      </c>
      <c r="E603" s="358" t="n">
        <v>0</v>
      </c>
      <c r="F603" s="358" t="n">
        <v>0</v>
      </c>
      <c r="G603" s="358" t="n">
        <v>0</v>
      </c>
      <c r="H603" s="365" t="n">
        <v>1</v>
      </c>
    </row>
    <row r="604" customFormat="false" ht="15" hidden="true" customHeight="false" outlineLevel="0" collapsed="false">
      <c r="B604" s="360" t="s">
        <v>3078</v>
      </c>
      <c r="C604" s="365" t="n">
        <v>1</v>
      </c>
      <c r="D604" s="358" t="n">
        <v>0</v>
      </c>
      <c r="E604" s="358" t="n">
        <v>0</v>
      </c>
      <c r="F604" s="358" t="n">
        <v>0</v>
      </c>
      <c r="G604" s="358" t="n">
        <v>0</v>
      </c>
      <c r="H604" s="365" t="n">
        <v>1</v>
      </c>
    </row>
    <row r="605" customFormat="false" ht="15" hidden="true" customHeight="false" outlineLevel="0" collapsed="false">
      <c r="B605" s="360" t="s">
        <v>3079</v>
      </c>
      <c r="C605" s="365" t="n">
        <v>1</v>
      </c>
      <c r="D605" s="358" t="n">
        <v>0</v>
      </c>
      <c r="E605" s="358" t="n">
        <v>0</v>
      </c>
      <c r="F605" s="358" t="n">
        <v>0</v>
      </c>
      <c r="G605" s="358" t="n">
        <v>0</v>
      </c>
      <c r="H605" s="365" t="n">
        <v>1</v>
      </c>
    </row>
    <row r="606" customFormat="false" ht="15" hidden="true" customHeight="false" outlineLevel="0" collapsed="false">
      <c r="B606" s="360" t="s">
        <v>3080</v>
      </c>
      <c r="C606" s="365" t="n">
        <v>1</v>
      </c>
      <c r="D606" s="358" t="n">
        <v>0</v>
      </c>
      <c r="E606" s="358" t="n">
        <v>0</v>
      </c>
      <c r="F606" s="358" t="n">
        <v>0</v>
      </c>
      <c r="G606" s="358" t="n">
        <v>0</v>
      </c>
      <c r="H606" s="365" t="n">
        <v>1</v>
      </c>
    </row>
    <row r="607" customFormat="false" ht="15" hidden="true" customHeight="false" outlineLevel="0" collapsed="false">
      <c r="B607" s="360" t="s">
        <v>3081</v>
      </c>
      <c r="C607" s="365" t="n">
        <v>1</v>
      </c>
      <c r="D607" s="358" t="n">
        <v>0</v>
      </c>
      <c r="E607" s="358" t="n">
        <v>0</v>
      </c>
      <c r="F607" s="358" t="n">
        <v>0</v>
      </c>
      <c r="G607" s="358" t="n">
        <v>0</v>
      </c>
      <c r="H607" s="365" t="n">
        <v>1</v>
      </c>
    </row>
    <row r="608" customFormat="false" ht="15" hidden="true" customHeight="false" outlineLevel="0" collapsed="false">
      <c r="B608" s="360" t="s">
        <v>3082</v>
      </c>
      <c r="C608" s="365" t="n">
        <v>1</v>
      </c>
      <c r="D608" s="358" t="n">
        <v>0</v>
      </c>
      <c r="E608" s="358" t="n">
        <v>0</v>
      </c>
      <c r="F608" s="358" t="n">
        <v>0</v>
      </c>
      <c r="G608" s="358" t="n">
        <v>0</v>
      </c>
      <c r="H608" s="365" t="n">
        <v>1</v>
      </c>
    </row>
    <row r="609" customFormat="false" ht="15" hidden="true" customHeight="false" outlineLevel="0" collapsed="false">
      <c r="B609" s="360" t="s">
        <v>3083</v>
      </c>
      <c r="C609" s="365" t="n">
        <v>1</v>
      </c>
      <c r="D609" s="358" t="n">
        <v>0</v>
      </c>
      <c r="E609" s="358" t="n">
        <v>0</v>
      </c>
      <c r="F609" s="358" t="n">
        <v>0</v>
      </c>
      <c r="G609" s="358" t="n">
        <v>0</v>
      </c>
      <c r="H609" s="365" t="n">
        <v>1</v>
      </c>
    </row>
    <row r="610" customFormat="false" ht="15" hidden="true" customHeight="false" outlineLevel="0" collapsed="false">
      <c r="B610" s="360" t="s">
        <v>3084</v>
      </c>
      <c r="C610" s="365" t="n">
        <v>1</v>
      </c>
      <c r="D610" s="358" t="n">
        <v>0</v>
      </c>
      <c r="E610" s="358" t="n">
        <v>0</v>
      </c>
      <c r="F610" s="358" t="n">
        <v>0</v>
      </c>
      <c r="G610" s="358" t="n">
        <v>0</v>
      </c>
      <c r="H610" s="365" t="n">
        <v>1</v>
      </c>
    </row>
    <row r="611" customFormat="false" ht="15" hidden="true" customHeight="false" outlineLevel="0" collapsed="false">
      <c r="B611" s="360" t="s">
        <v>3085</v>
      </c>
      <c r="C611" s="365" t="n">
        <v>1</v>
      </c>
      <c r="D611" s="358" t="n">
        <v>0</v>
      </c>
      <c r="E611" s="358" t="n">
        <v>0</v>
      </c>
      <c r="F611" s="358" t="n">
        <v>0</v>
      </c>
      <c r="G611" s="358" t="n">
        <v>0</v>
      </c>
      <c r="H611" s="365" t="n">
        <v>1</v>
      </c>
    </row>
    <row r="612" customFormat="false" ht="15" hidden="true" customHeight="false" outlineLevel="0" collapsed="false">
      <c r="B612" s="360" t="s">
        <v>3086</v>
      </c>
      <c r="C612" s="365" t="n">
        <v>1</v>
      </c>
      <c r="D612" s="358" t="n">
        <v>0</v>
      </c>
      <c r="E612" s="358" t="n">
        <v>0</v>
      </c>
      <c r="F612" s="358" t="n">
        <v>0</v>
      </c>
      <c r="G612" s="358" t="n">
        <v>0</v>
      </c>
      <c r="H612" s="365" t="n">
        <v>1</v>
      </c>
    </row>
    <row r="613" customFormat="false" ht="15" hidden="true" customHeight="false" outlineLevel="0" collapsed="false">
      <c r="B613" s="360" t="s">
        <v>3087</v>
      </c>
      <c r="C613" s="365" t="n">
        <v>1</v>
      </c>
      <c r="D613" s="358" t="n">
        <v>0</v>
      </c>
      <c r="E613" s="358" t="n">
        <v>0</v>
      </c>
      <c r="F613" s="358" t="n">
        <v>0</v>
      </c>
      <c r="G613" s="358" t="n">
        <v>0</v>
      </c>
      <c r="H613" s="365" t="n">
        <v>1</v>
      </c>
    </row>
    <row r="614" customFormat="false" ht="15" hidden="true" customHeight="false" outlineLevel="0" collapsed="false">
      <c r="B614" s="360" t="s">
        <v>3088</v>
      </c>
      <c r="C614" s="365" t="n">
        <v>1</v>
      </c>
      <c r="D614" s="358" t="n">
        <v>0</v>
      </c>
      <c r="E614" s="358" t="n">
        <v>0</v>
      </c>
      <c r="F614" s="358" t="n">
        <v>0</v>
      </c>
      <c r="G614" s="358" t="n">
        <v>0</v>
      </c>
      <c r="H614" s="365" t="n">
        <v>1</v>
      </c>
    </row>
    <row r="615" customFormat="false" ht="15" hidden="true" customHeight="false" outlineLevel="0" collapsed="false">
      <c r="B615" s="360" t="s">
        <v>3089</v>
      </c>
      <c r="C615" s="365" t="n">
        <v>1</v>
      </c>
      <c r="D615" s="358" t="n">
        <v>0</v>
      </c>
      <c r="E615" s="358" t="n">
        <v>0</v>
      </c>
      <c r="F615" s="358" t="n">
        <v>0</v>
      </c>
      <c r="G615" s="358" t="n">
        <v>0</v>
      </c>
      <c r="H615" s="365" t="n">
        <v>1</v>
      </c>
    </row>
    <row r="616" customFormat="false" ht="15" hidden="true" customHeight="false" outlineLevel="0" collapsed="false">
      <c r="B616" s="361" t="s">
        <v>3090</v>
      </c>
      <c r="C616" s="365" t="n">
        <v>0</v>
      </c>
      <c r="D616" s="358" t="n">
        <v>1</v>
      </c>
      <c r="E616" s="358" t="n">
        <v>0</v>
      </c>
      <c r="F616" s="358" t="n">
        <v>0</v>
      </c>
      <c r="G616" s="358" t="n">
        <v>0</v>
      </c>
      <c r="H616" s="365" t="n">
        <v>1</v>
      </c>
    </row>
    <row r="617" customFormat="false" ht="15" hidden="true" customHeight="false" outlineLevel="0" collapsed="false">
      <c r="B617" s="360" t="s">
        <v>3091</v>
      </c>
      <c r="C617" s="365" t="n">
        <v>1</v>
      </c>
      <c r="D617" s="358" t="n">
        <v>0</v>
      </c>
      <c r="E617" s="358" t="n">
        <v>0</v>
      </c>
      <c r="F617" s="358" t="n">
        <v>0</v>
      </c>
      <c r="G617" s="358" t="n">
        <v>0</v>
      </c>
      <c r="H617" s="365" t="n">
        <v>1</v>
      </c>
    </row>
    <row r="618" customFormat="false" ht="15" hidden="true" customHeight="false" outlineLevel="0" collapsed="false">
      <c r="B618" s="360" t="s">
        <v>3092</v>
      </c>
      <c r="C618" s="365" t="n">
        <v>1</v>
      </c>
      <c r="D618" s="358" t="n">
        <v>0</v>
      </c>
      <c r="E618" s="358" t="n">
        <v>0</v>
      </c>
      <c r="F618" s="358" t="n">
        <v>0</v>
      </c>
      <c r="G618" s="358" t="n">
        <v>0</v>
      </c>
      <c r="H618" s="365" t="n">
        <v>1</v>
      </c>
    </row>
    <row r="619" customFormat="false" ht="15" hidden="true" customHeight="false" outlineLevel="0" collapsed="false">
      <c r="B619" s="360" t="s">
        <v>3093</v>
      </c>
      <c r="C619" s="365" t="n">
        <v>1</v>
      </c>
      <c r="D619" s="358" t="n">
        <v>0</v>
      </c>
      <c r="E619" s="358" t="n">
        <v>0</v>
      </c>
      <c r="F619" s="358" t="n">
        <v>0</v>
      </c>
      <c r="G619" s="358" t="n">
        <v>0</v>
      </c>
      <c r="H619" s="365" t="n">
        <v>1</v>
      </c>
    </row>
    <row r="620" customFormat="false" ht="15" hidden="true" customHeight="false" outlineLevel="0" collapsed="false">
      <c r="B620" s="360" t="s">
        <v>3094</v>
      </c>
      <c r="C620" s="365" t="n">
        <v>1</v>
      </c>
      <c r="D620" s="358" t="n">
        <v>0</v>
      </c>
      <c r="E620" s="358" t="n">
        <v>0</v>
      </c>
      <c r="F620" s="358" t="n">
        <v>0</v>
      </c>
      <c r="G620" s="358" t="n">
        <v>0</v>
      </c>
      <c r="H620" s="365" t="n">
        <v>1</v>
      </c>
    </row>
    <row r="621" customFormat="false" ht="15" hidden="true" customHeight="false" outlineLevel="0" collapsed="false">
      <c r="B621" s="360" t="s">
        <v>3095</v>
      </c>
      <c r="C621" s="365" t="n">
        <v>1</v>
      </c>
      <c r="D621" s="358" t="n">
        <v>0</v>
      </c>
      <c r="E621" s="358" t="n">
        <v>0</v>
      </c>
      <c r="F621" s="358" t="n">
        <v>0</v>
      </c>
      <c r="G621" s="358" t="n">
        <v>0</v>
      </c>
      <c r="H621" s="365" t="n">
        <v>1</v>
      </c>
    </row>
    <row r="622" customFormat="false" ht="15" hidden="true" customHeight="false" outlineLevel="0" collapsed="false">
      <c r="B622" s="360" t="s">
        <v>3096</v>
      </c>
      <c r="C622" s="365" t="n">
        <v>1</v>
      </c>
      <c r="D622" s="358" t="n">
        <v>0</v>
      </c>
      <c r="E622" s="358" t="n">
        <v>0</v>
      </c>
      <c r="F622" s="358" t="n">
        <v>0</v>
      </c>
      <c r="G622" s="358" t="n">
        <v>0</v>
      </c>
      <c r="H622" s="365" t="n">
        <v>1</v>
      </c>
    </row>
    <row r="623" customFormat="false" ht="15" hidden="true" customHeight="false" outlineLevel="0" collapsed="false">
      <c r="B623" s="360" t="s">
        <v>3097</v>
      </c>
      <c r="C623" s="365" t="n">
        <v>1</v>
      </c>
      <c r="D623" s="358" t="n">
        <v>0</v>
      </c>
      <c r="E623" s="358" t="n">
        <v>0</v>
      </c>
      <c r="F623" s="358" t="n">
        <v>0</v>
      </c>
      <c r="G623" s="358" t="n">
        <v>0</v>
      </c>
      <c r="H623" s="365" t="n">
        <v>1</v>
      </c>
    </row>
    <row r="624" customFormat="false" ht="15" hidden="true" customHeight="false" outlineLevel="0" collapsed="false">
      <c r="B624" s="360" t="s">
        <v>3098</v>
      </c>
      <c r="C624" s="365" t="n">
        <v>1</v>
      </c>
      <c r="D624" s="358" t="n">
        <v>0</v>
      </c>
      <c r="E624" s="358" t="n">
        <v>0</v>
      </c>
      <c r="F624" s="358" t="n">
        <v>0</v>
      </c>
      <c r="G624" s="358" t="n">
        <v>0</v>
      </c>
      <c r="H624" s="365" t="n">
        <v>1</v>
      </c>
    </row>
    <row r="625" customFormat="false" ht="15" hidden="true" customHeight="false" outlineLevel="0" collapsed="false">
      <c r="B625" s="360" t="s">
        <v>3099</v>
      </c>
      <c r="C625" s="365" t="n">
        <v>1</v>
      </c>
      <c r="D625" s="358" t="n">
        <v>0</v>
      </c>
      <c r="E625" s="358" t="n">
        <v>0</v>
      </c>
      <c r="F625" s="358" t="n">
        <v>0</v>
      </c>
      <c r="G625" s="358" t="n">
        <v>0</v>
      </c>
      <c r="H625" s="365" t="n">
        <v>1</v>
      </c>
    </row>
    <row r="626" customFormat="false" ht="15" hidden="true" customHeight="false" outlineLevel="0" collapsed="false">
      <c r="B626" s="360" t="s">
        <v>3100</v>
      </c>
      <c r="C626" s="365" t="n">
        <v>1</v>
      </c>
      <c r="D626" s="358" t="n">
        <v>0</v>
      </c>
      <c r="E626" s="358" t="n">
        <v>0</v>
      </c>
      <c r="F626" s="358" t="n">
        <v>0</v>
      </c>
      <c r="G626" s="358" t="n">
        <v>0</v>
      </c>
      <c r="H626" s="365" t="n">
        <v>1</v>
      </c>
    </row>
    <row r="627" customFormat="false" ht="15" hidden="true" customHeight="false" outlineLevel="0" collapsed="false">
      <c r="B627" s="360" t="s">
        <v>3101</v>
      </c>
      <c r="C627" s="365" t="n">
        <v>1</v>
      </c>
      <c r="D627" s="358" t="n">
        <v>0</v>
      </c>
      <c r="E627" s="358" t="n">
        <v>0</v>
      </c>
      <c r="F627" s="358" t="n">
        <v>0</v>
      </c>
      <c r="G627" s="358" t="n">
        <v>0</v>
      </c>
      <c r="H627" s="365" t="n">
        <v>1</v>
      </c>
    </row>
    <row r="628" customFormat="false" ht="15" hidden="true" customHeight="false" outlineLevel="0" collapsed="false">
      <c r="B628" s="360" t="s">
        <v>3102</v>
      </c>
      <c r="C628" s="365" t="n">
        <v>1</v>
      </c>
      <c r="D628" s="358" t="n">
        <v>0</v>
      </c>
      <c r="E628" s="358" t="n">
        <v>0</v>
      </c>
      <c r="F628" s="358" t="n">
        <v>0</v>
      </c>
      <c r="G628" s="358" t="n">
        <v>0</v>
      </c>
      <c r="H628" s="365" t="n">
        <v>1</v>
      </c>
    </row>
    <row r="629" customFormat="false" ht="15" hidden="true" customHeight="false" outlineLevel="0" collapsed="false">
      <c r="B629" s="360" t="s">
        <v>3103</v>
      </c>
      <c r="C629" s="365" t="n">
        <v>1</v>
      </c>
      <c r="D629" s="358" t="n">
        <v>0</v>
      </c>
      <c r="E629" s="358" t="n">
        <v>0</v>
      </c>
      <c r="F629" s="358" t="n">
        <v>0</v>
      </c>
      <c r="G629" s="358" t="n">
        <v>0</v>
      </c>
      <c r="H629" s="365" t="n">
        <v>1</v>
      </c>
    </row>
    <row r="630" customFormat="false" ht="15" hidden="true" customHeight="false" outlineLevel="0" collapsed="false">
      <c r="B630" s="360" t="s">
        <v>3104</v>
      </c>
      <c r="C630" s="365" t="n">
        <v>1</v>
      </c>
      <c r="D630" s="358" t="n">
        <v>0</v>
      </c>
      <c r="E630" s="358" t="n">
        <v>0</v>
      </c>
      <c r="F630" s="358" t="n">
        <v>0</v>
      </c>
      <c r="G630" s="358" t="n">
        <v>0</v>
      </c>
      <c r="H630" s="365" t="n">
        <v>1</v>
      </c>
    </row>
    <row r="631" customFormat="false" ht="15" hidden="true" customHeight="false" outlineLevel="0" collapsed="false">
      <c r="B631" s="360" t="s">
        <v>3105</v>
      </c>
      <c r="C631" s="365" t="n">
        <v>1</v>
      </c>
      <c r="D631" s="358" t="n">
        <v>0</v>
      </c>
      <c r="E631" s="358" t="n">
        <v>0</v>
      </c>
      <c r="F631" s="358" t="n">
        <v>0</v>
      </c>
      <c r="G631" s="358" t="n">
        <v>0</v>
      </c>
      <c r="H631" s="365" t="n">
        <v>1</v>
      </c>
    </row>
    <row r="632" customFormat="false" ht="15" hidden="true" customHeight="false" outlineLevel="0" collapsed="false">
      <c r="B632" s="360" t="s">
        <v>3106</v>
      </c>
      <c r="C632" s="365" t="n">
        <v>1</v>
      </c>
      <c r="D632" s="358" t="n">
        <v>0</v>
      </c>
      <c r="E632" s="358" t="n">
        <v>0</v>
      </c>
      <c r="F632" s="358" t="n">
        <v>0</v>
      </c>
      <c r="G632" s="358" t="n">
        <v>0</v>
      </c>
      <c r="H632" s="365" t="n">
        <v>1</v>
      </c>
    </row>
    <row r="633" customFormat="false" ht="15" hidden="true" customHeight="false" outlineLevel="0" collapsed="false">
      <c r="B633" s="360" t="s">
        <v>3107</v>
      </c>
      <c r="C633" s="365" t="n">
        <v>1</v>
      </c>
      <c r="D633" s="358" t="n">
        <v>0</v>
      </c>
      <c r="E633" s="358" t="n">
        <v>0</v>
      </c>
      <c r="F633" s="358" t="n">
        <v>0</v>
      </c>
      <c r="G633" s="358" t="n">
        <v>0</v>
      </c>
      <c r="H633" s="365" t="n">
        <v>1</v>
      </c>
    </row>
    <row r="634" customFormat="false" ht="15" hidden="true" customHeight="false" outlineLevel="0" collapsed="false">
      <c r="B634" s="360" t="s">
        <v>3108</v>
      </c>
      <c r="C634" s="365" t="n">
        <v>1</v>
      </c>
      <c r="D634" s="358" t="n">
        <v>0</v>
      </c>
      <c r="E634" s="358" t="n">
        <v>0</v>
      </c>
      <c r="F634" s="358" t="n">
        <v>0</v>
      </c>
      <c r="G634" s="358" t="n">
        <v>0</v>
      </c>
      <c r="H634" s="365" t="n">
        <v>1</v>
      </c>
    </row>
    <row r="635" customFormat="false" ht="15" hidden="true" customHeight="false" outlineLevel="0" collapsed="false">
      <c r="B635" s="360" t="s">
        <v>3109</v>
      </c>
      <c r="C635" s="365" t="n">
        <v>1</v>
      </c>
      <c r="D635" s="358" t="n">
        <v>0</v>
      </c>
      <c r="E635" s="358" t="n">
        <v>0</v>
      </c>
      <c r="F635" s="358" t="n">
        <v>0</v>
      </c>
      <c r="G635" s="358" t="n">
        <v>0</v>
      </c>
      <c r="H635" s="365" t="n">
        <v>1</v>
      </c>
    </row>
    <row r="636" customFormat="false" ht="15" hidden="true" customHeight="false" outlineLevel="0" collapsed="false">
      <c r="B636" s="360" t="s">
        <v>3110</v>
      </c>
      <c r="C636" s="365" t="n">
        <v>1</v>
      </c>
      <c r="D636" s="358" t="n">
        <v>0</v>
      </c>
      <c r="E636" s="358" t="n">
        <v>0</v>
      </c>
      <c r="F636" s="358" t="n">
        <v>0</v>
      </c>
      <c r="G636" s="358" t="n">
        <v>0</v>
      </c>
      <c r="H636" s="365" t="n">
        <v>1</v>
      </c>
    </row>
    <row r="637" customFormat="false" ht="15" hidden="true" customHeight="false" outlineLevel="0" collapsed="false">
      <c r="B637" s="360" t="s">
        <v>3111</v>
      </c>
      <c r="C637" s="365" t="n">
        <v>1</v>
      </c>
      <c r="D637" s="358" t="n">
        <v>0</v>
      </c>
      <c r="E637" s="358" t="n">
        <v>0</v>
      </c>
      <c r="F637" s="358" t="n">
        <v>0</v>
      </c>
      <c r="G637" s="358" t="n">
        <v>0</v>
      </c>
      <c r="H637" s="365" t="n">
        <v>1</v>
      </c>
    </row>
    <row r="638" customFormat="false" ht="15" hidden="true" customHeight="false" outlineLevel="0" collapsed="false">
      <c r="B638" s="360" t="s">
        <v>3112</v>
      </c>
      <c r="C638" s="365" t="n">
        <v>1</v>
      </c>
      <c r="D638" s="358" t="n">
        <v>0</v>
      </c>
      <c r="E638" s="358" t="n">
        <v>0</v>
      </c>
      <c r="F638" s="358" t="n">
        <v>0</v>
      </c>
      <c r="G638" s="358" t="n">
        <v>0</v>
      </c>
      <c r="H638" s="365" t="n">
        <v>1</v>
      </c>
    </row>
    <row r="639" customFormat="false" ht="15" hidden="true" customHeight="false" outlineLevel="0" collapsed="false">
      <c r="B639" s="360" t="s">
        <v>3113</v>
      </c>
      <c r="C639" s="365" t="n">
        <v>1</v>
      </c>
      <c r="D639" s="358" t="n">
        <v>0</v>
      </c>
      <c r="E639" s="358" t="n">
        <v>0</v>
      </c>
      <c r="F639" s="358" t="n">
        <v>0</v>
      </c>
      <c r="G639" s="358" t="n">
        <v>0</v>
      </c>
      <c r="H639" s="365" t="n">
        <v>1</v>
      </c>
    </row>
    <row r="640" customFormat="false" ht="15" hidden="true" customHeight="false" outlineLevel="0" collapsed="false">
      <c r="B640" s="360" t="s">
        <v>3114</v>
      </c>
      <c r="C640" s="365" t="n">
        <v>1</v>
      </c>
      <c r="D640" s="358" t="n">
        <v>0</v>
      </c>
      <c r="E640" s="358" t="n">
        <v>0</v>
      </c>
      <c r="F640" s="358" t="n">
        <v>0</v>
      </c>
      <c r="G640" s="358" t="n">
        <v>0</v>
      </c>
      <c r="H640" s="365" t="n">
        <v>1</v>
      </c>
    </row>
    <row r="641" customFormat="false" ht="15" hidden="true" customHeight="false" outlineLevel="0" collapsed="false">
      <c r="B641" s="360" t="s">
        <v>3115</v>
      </c>
      <c r="C641" s="365" t="n">
        <v>1</v>
      </c>
      <c r="D641" s="358" t="n">
        <v>0</v>
      </c>
      <c r="E641" s="358" t="n">
        <v>0</v>
      </c>
      <c r="F641" s="358" t="n">
        <v>0</v>
      </c>
      <c r="G641" s="358" t="n">
        <v>0</v>
      </c>
      <c r="H641" s="365" t="n">
        <v>1</v>
      </c>
    </row>
    <row r="642" customFormat="false" ht="15" hidden="true" customHeight="false" outlineLevel="0" collapsed="false">
      <c r="B642" s="360" t="s">
        <v>3116</v>
      </c>
      <c r="C642" s="365" t="n">
        <v>1</v>
      </c>
      <c r="D642" s="358" t="n">
        <v>0</v>
      </c>
      <c r="E642" s="358" t="n">
        <v>0</v>
      </c>
      <c r="F642" s="358" t="n">
        <v>0</v>
      </c>
      <c r="G642" s="358" t="n">
        <v>0</v>
      </c>
      <c r="H642" s="365" t="n">
        <v>1</v>
      </c>
    </row>
    <row r="643" customFormat="false" ht="15" hidden="true" customHeight="false" outlineLevel="0" collapsed="false">
      <c r="B643" s="360" t="s">
        <v>3117</v>
      </c>
      <c r="C643" s="365" t="n">
        <v>1</v>
      </c>
      <c r="D643" s="358" t="n">
        <v>0</v>
      </c>
      <c r="E643" s="358" t="n">
        <v>0</v>
      </c>
      <c r="F643" s="358" t="n">
        <v>0</v>
      </c>
      <c r="G643" s="358" t="n">
        <v>0</v>
      </c>
      <c r="H643" s="365" t="n">
        <v>1</v>
      </c>
    </row>
    <row r="644" customFormat="false" ht="15" hidden="true" customHeight="false" outlineLevel="0" collapsed="false">
      <c r="B644" s="360" t="s">
        <v>3118</v>
      </c>
      <c r="C644" s="365" t="n">
        <v>1</v>
      </c>
      <c r="D644" s="358" t="n">
        <v>0</v>
      </c>
      <c r="E644" s="358" t="n">
        <v>0</v>
      </c>
      <c r="F644" s="358" t="n">
        <v>0</v>
      </c>
      <c r="G644" s="358" t="n">
        <v>0</v>
      </c>
      <c r="H644" s="365" t="n">
        <v>1</v>
      </c>
    </row>
    <row r="645" customFormat="false" ht="15" hidden="true" customHeight="false" outlineLevel="0" collapsed="false">
      <c r="B645" s="360" t="s">
        <v>3119</v>
      </c>
      <c r="C645" s="365" t="n">
        <v>1</v>
      </c>
      <c r="D645" s="358" t="n">
        <v>0</v>
      </c>
      <c r="E645" s="358" t="n">
        <v>0</v>
      </c>
      <c r="F645" s="358" t="n">
        <v>0</v>
      </c>
      <c r="G645" s="358" t="n">
        <v>0</v>
      </c>
      <c r="H645" s="365" t="n">
        <v>1</v>
      </c>
    </row>
    <row r="646" customFormat="false" ht="15" hidden="true" customHeight="false" outlineLevel="0" collapsed="false">
      <c r="B646" s="360" t="s">
        <v>3120</v>
      </c>
      <c r="C646" s="365" t="n">
        <v>1</v>
      </c>
      <c r="D646" s="358" t="n">
        <v>0</v>
      </c>
      <c r="E646" s="358" t="n">
        <v>0</v>
      </c>
      <c r="F646" s="358" t="n">
        <v>0</v>
      </c>
      <c r="G646" s="358" t="n">
        <v>0</v>
      </c>
      <c r="H646" s="365" t="n">
        <v>1</v>
      </c>
    </row>
    <row r="647" customFormat="false" ht="15" hidden="true" customHeight="false" outlineLevel="0" collapsed="false">
      <c r="B647" s="360" t="s">
        <v>3121</v>
      </c>
      <c r="C647" s="365" t="n">
        <v>1</v>
      </c>
      <c r="D647" s="358" t="n">
        <v>0</v>
      </c>
      <c r="E647" s="358" t="n">
        <v>0</v>
      </c>
      <c r="F647" s="358" t="n">
        <v>0</v>
      </c>
      <c r="G647" s="358" t="n">
        <v>0</v>
      </c>
      <c r="H647" s="365" t="n">
        <v>1</v>
      </c>
    </row>
    <row r="648" customFormat="false" ht="15" hidden="true" customHeight="false" outlineLevel="0" collapsed="false">
      <c r="B648" s="360" t="s">
        <v>3122</v>
      </c>
      <c r="C648" s="365" t="n">
        <v>1</v>
      </c>
      <c r="D648" s="358" t="n">
        <v>0</v>
      </c>
      <c r="E648" s="358" t="n">
        <v>0</v>
      </c>
      <c r="F648" s="358" t="n">
        <v>0</v>
      </c>
      <c r="G648" s="358" t="n">
        <v>0</v>
      </c>
      <c r="H648" s="365" t="n">
        <v>1</v>
      </c>
    </row>
    <row r="649" customFormat="false" ht="15" hidden="true" customHeight="false" outlineLevel="0" collapsed="false">
      <c r="B649" s="360" t="s">
        <v>3123</v>
      </c>
      <c r="C649" s="365" t="n">
        <v>1</v>
      </c>
      <c r="D649" s="358" t="n">
        <v>0</v>
      </c>
      <c r="E649" s="358" t="n">
        <v>0</v>
      </c>
      <c r="F649" s="358" t="n">
        <v>0</v>
      </c>
      <c r="G649" s="358" t="n">
        <v>0</v>
      </c>
      <c r="H649" s="365" t="n">
        <v>1</v>
      </c>
    </row>
    <row r="650" customFormat="false" ht="15" hidden="true" customHeight="false" outlineLevel="0" collapsed="false">
      <c r="B650" s="360" t="s">
        <v>3124</v>
      </c>
      <c r="C650" s="365" t="n">
        <v>1</v>
      </c>
      <c r="D650" s="358" t="n">
        <v>0</v>
      </c>
      <c r="E650" s="358" t="n">
        <v>0</v>
      </c>
      <c r="F650" s="358" t="n">
        <v>0</v>
      </c>
      <c r="G650" s="358" t="n">
        <v>0</v>
      </c>
      <c r="H650" s="365" t="n">
        <v>1</v>
      </c>
    </row>
    <row r="651" customFormat="false" ht="15" hidden="true" customHeight="false" outlineLevel="0" collapsed="false">
      <c r="B651" s="360" t="s">
        <v>3125</v>
      </c>
      <c r="C651" s="365" t="n">
        <v>1</v>
      </c>
      <c r="D651" s="358" t="n">
        <v>0</v>
      </c>
      <c r="E651" s="358" t="n">
        <v>0</v>
      </c>
      <c r="F651" s="358" t="n">
        <v>0</v>
      </c>
      <c r="G651" s="358" t="n">
        <v>0</v>
      </c>
      <c r="H651" s="365" t="n">
        <v>1</v>
      </c>
    </row>
    <row r="652" customFormat="false" ht="15" hidden="true" customHeight="false" outlineLevel="0" collapsed="false">
      <c r="B652" s="360" t="s">
        <v>3126</v>
      </c>
      <c r="C652" s="365" t="n">
        <v>1</v>
      </c>
      <c r="D652" s="358" t="n">
        <v>0</v>
      </c>
      <c r="E652" s="358" t="n">
        <v>0</v>
      </c>
      <c r="F652" s="358" t="n">
        <v>0</v>
      </c>
      <c r="G652" s="358" t="n">
        <v>0</v>
      </c>
      <c r="H652" s="365" t="n">
        <v>1</v>
      </c>
    </row>
    <row r="653" customFormat="false" ht="15" hidden="true" customHeight="false" outlineLevel="0" collapsed="false">
      <c r="B653" s="360" t="s">
        <v>3127</v>
      </c>
      <c r="C653" s="365" t="n">
        <v>1</v>
      </c>
      <c r="D653" s="358" t="n">
        <v>0</v>
      </c>
      <c r="E653" s="358" t="n">
        <v>0</v>
      </c>
      <c r="F653" s="358" t="n">
        <v>0</v>
      </c>
      <c r="G653" s="358" t="n">
        <v>0</v>
      </c>
      <c r="H653" s="365" t="n">
        <v>1</v>
      </c>
    </row>
    <row r="654" customFormat="false" ht="15" hidden="true" customHeight="false" outlineLevel="0" collapsed="false">
      <c r="B654" s="360" t="s">
        <v>3128</v>
      </c>
      <c r="C654" s="365" t="n">
        <v>1</v>
      </c>
      <c r="D654" s="358" t="n">
        <v>0</v>
      </c>
      <c r="E654" s="358" t="n">
        <v>0</v>
      </c>
      <c r="F654" s="358" t="n">
        <v>0</v>
      </c>
      <c r="G654" s="358" t="n">
        <v>0</v>
      </c>
      <c r="H654" s="365" t="n">
        <v>1</v>
      </c>
    </row>
    <row r="655" customFormat="false" ht="15" hidden="true" customHeight="false" outlineLevel="0" collapsed="false">
      <c r="B655" s="360" t="s">
        <v>3129</v>
      </c>
      <c r="C655" s="365" t="n">
        <v>1</v>
      </c>
      <c r="D655" s="358" t="n">
        <v>0</v>
      </c>
      <c r="E655" s="358" t="n">
        <v>0</v>
      </c>
      <c r="F655" s="358" t="n">
        <v>0</v>
      </c>
      <c r="G655" s="358" t="n">
        <v>0</v>
      </c>
      <c r="H655" s="365" t="n">
        <v>1</v>
      </c>
    </row>
    <row r="656" customFormat="false" ht="15" hidden="true" customHeight="false" outlineLevel="0" collapsed="false">
      <c r="B656" s="360" t="s">
        <v>3130</v>
      </c>
      <c r="C656" s="365" t="n">
        <v>1</v>
      </c>
      <c r="D656" s="358" t="n">
        <v>0</v>
      </c>
      <c r="E656" s="358" t="n">
        <v>0</v>
      </c>
      <c r="F656" s="358" t="n">
        <v>0</v>
      </c>
      <c r="G656" s="358" t="n">
        <v>0</v>
      </c>
      <c r="H656" s="365" t="n">
        <v>1</v>
      </c>
    </row>
    <row r="657" customFormat="false" ht="15" hidden="true" customHeight="false" outlineLevel="0" collapsed="false">
      <c r="B657" s="360" t="s">
        <v>3131</v>
      </c>
      <c r="C657" s="365" t="n">
        <v>1</v>
      </c>
      <c r="D657" s="358" t="n">
        <v>0</v>
      </c>
      <c r="E657" s="358" t="n">
        <v>0</v>
      </c>
      <c r="F657" s="358" t="n">
        <v>0</v>
      </c>
      <c r="G657" s="358" t="n">
        <v>0</v>
      </c>
      <c r="H657" s="365" t="n">
        <v>1</v>
      </c>
    </row>
    <row r="658" customFormat="false" ht="15" hidden="true" customHeight="false" outlineLevel="0" collapsed="false">
      <c r="B658" s="360" t="s">
        <v>3132</v>
      </c>
      <c r="C658" s="365" t="n">
        <v>1</v>
      </c>
      <c r="D658" s="358" t="n">
        <v>0</v>
      </c>
      <c r="E658" s="358" t="n">
        <v>0</v>
      </c>
      <c r="F658" s="358" t="n">
        <v>0</v>
      </c>
      <c r="G658" s="358" t="n">
        <v>0</v>
      </c>
      <c r="H658" s="365" t="n">
        <v>1</v>
      </c>
    </row>
    <row r="659" customFormat="false" ht="15" hidden="true" customHeight="false" outlineLevel="0" collapsed="false">
      <c r="B659" s="360" t="s">
        <v>3133</v>
      </c>
      <c r="C659" s="365" t="n">
        <v>1</v>
      </c>
      <c r="D659" s="358" t="n">
        <v>0</v>
      </c>
      <c r="E659" s="358" t="n">
        <v>0</v>
      </c>
      <c r="F659" s="358" t="n">
        <v>0</v>
      </c>
      <c r="G659" s="358" t="n">
        <v>0</v>
      </c>
      <c r="H659" s="365" t="n">
        <v>1</v>
      </c>
    </row>
    <row r="660" customFormat="false" ht="15" hidden="true" customHeight="false" outlineLevel="0" collapsed="false">
      <c r="B660" s="360" t="s">
        <v>3134</v>
      </c>
      <c r="C660" s="365" t="n">
        <v>1</v>
      </c>
      <c r="D660" s="358" t="n">
        <v>0</v>
      </c>
      <c r="E660" s="358" t="n">
        <v>0</v>
      </c>
      <c r="F660" s="358" t="n">
        <v>0</v>
      </c>
      <c r="G660" s="358" t="n">
        <v>0</v>
      </c>
      <c r="H660" s="365" t="n">
        <v>1</v>
      </c>
    </row>
    <row r="661" customFormat="false" ht="15" hidden="true" customHeight="false" outlineLevel="0" collapsed="false">
      <c r="B661" s="360" t="s">
        <v>3135</v>
      </c>
      <c r="C661" s="365" t="n">
        <v>1</v>
      </c>
      <c r="D661" s="358" t="n">
        <v>0</v>
      </c>
      <c r="E661" s="358" t="n">
        <v>0</v>
      </c>
      <c r="F661" s="358" t="n">
        <v>0</v>
      </c>
      <c r="G661" s="358" t="n">
        <v>0</v>
      </c>
      <c r="H661" s="365" t="n">
        <v>1</v>
      </c>
    </row>
    <row r="662" customFormat="false" ht="15" hidden="true" customHeight="false" outlineLevel="0" collapsed="false">
      <c r="B662" s="360" t="s">
        <v>3136</v>
      </c>
      <c r="C662" s="365" t="n">
        <v>1</v>
      </c>
      <c r="D662" s="358" t="n">
        <v>0</v>
      </c>
      <c r="E662" s="358" t="n">
        <v>0</v>
      </c>
      <c r="F662" s="358" t="n">
        <v>0</v>
      </c>
      <c r="G662" s="358" t="n">
        <v>0</v>
      </c>
      <c r="H662" s="365" t="n">
        <v>1</v>
      </c>
    </row>
    <row r="663" customFormat="false" ht="15" hidden="true" customHeight="false" outlineLevel="0" collapsed="false">
      <c r="B663" s="360" t="s">
        <v>3137</v>
      </c>
      <c r="C663" s="365" t="n">
        <v>1</v>
      </c>
      <c r="D663" s="358" t="n">
        <v>0</v>
      </c>
      <c r="E663" s="358" t="n">
        <v>0</v>
      </c>
      <c r="F663" s="358" t="n">
        <v>0</v>
      </c>
      <c r="G663" s="358" t="n">
        <v>0</v>
      </c>
      <c r="H663" s="365" t="n">
        <v>1</v>
      </c>
    </row>
    <row r="664" customFormat="false" ht="15" hidden="true" customHeight="false" outlineLevel="0" collapsed="false">
      <c r="B664" s="360" t="s">
        <v>3138</v>
      </c>
      <c r="C664" s="365" t="n">
        <v>1</v>
      </c>
      <c r="D664" s="358" t="n">
        <v>0</v>
      </c>
      <c r="E664" s="358" t="n">
        <v>0</v>
      </c>
      <c r="F664" s="358" t="n">
        <v>0</v>
      </c>
      <c r="G664" s="358" t="n">
        <v>0</v>
      </c>
      <c r="H664" s="365" t="n">
        <v>1</v>
      </c>
    </row>
    <row r="665" customFormat="false" ht="15" hidden="true" customHeight="false" outlineLevel="0" collapsed="false">
      <c r="B665" s="360" t="s">
        <v>3139</v>
      </c>
      <c r="C665" s="365" t="n">
        <v>1</v>
      </c>
      <c r="D665" s="358" t="n">
        <v>0</v>
      </c>
      <c r="E665" s="358" t="n">
        <v>0</v>
      </c>
      <c r="F665" s="358" t="n">
        <v>0</v>
      </c>
      <c r="G665" s="358" t="n">
        <v>0</v>
      </c>
      <c r="H665" s="365" t="n">
        <v>1</v>
      </c>
    </row>
    <row r="666" customFormat="false" ht="15" hidden="true" customHeight="false" outlineLevel="0" collapsed="false">
      <c r="B666" s="360" t="s">
        <v>3140</v>
      </c>
      <c r="C666" s="365" t="n">
        <v>1</v>
      </c>
      <c r="D666" s="358" t="n">
        <v>0</v>
      </c>
      <c r="E666" s="358" t="n">
        <v>0</v>
      </c>
      <c r="F666" s="358" t="n">
        <v>0</v>
      </c>
      <c r="G666" s="358" t="n">
        <v>0</v>
      </c>
      <c r="H666" s="365" t="n">
        <v>1</v>
      </c>
    </row>
    <row r="667" customFormat="false" ht="15" hidden="true" customHeight="false" outlineLevel="0" collapsed="false">
      <c r="B667" s="360" t="s">
        <v>3141</v>
      </c>
      <c r="C667" s="365" t="n">
        <v>1</v>
      </c>
      <c r="D667" s="358" t="n">
        <v>0</v>
      </c>
      <c r="E667" s="358" t="n">
        <v>0</v>
      </c>
      <c r="F667" s="358" t="n">
        <v>0</v>
      </c>
      <c r="G667" s="358" t="n">
        <v>0</v>
      </c>
      <c r="H667" s="365" t="n">
        <v>1</v>
      </c>
    </row>
    <row r="668" customFormat="false" ht="15" hidden="true" customHeight="false" outlineLevel="0" collapsed="false">
      <c r="B668" s="360" t="s">
        <v>3142</v>
      </c>
      <c r="C668" s="365" t="n">
        <v>1</v>
      </c>
      <c r="D668" s="358" t="n">
        <v>0</v>
      </c>
      <c r="E668" s="358" t="n">
        <v>0</v>
      </c>
      <c r="F668" s="358" t="n">
        <v>0</v>
      </c>
      <c r="G668" s="358" t="n">
        <v>0</v>
      </c>
      <c r="H668" s="365" t="n">
        <v>1</v>
      </c>
    </row>
    <row r="669" customFormat="false" ht="15" hidden="true" customHeight="false" outlineLevel="0" collapsed="false">
      <c r="B669" s="360" t="s">
        <v>3143</v>
      </c>
      <c r="C669" s="365" t="n">
        <v>1</v>
      </c>
      <c r="D669" s="358" t="n">
        <v>0</v>
      </c>
      <c r="E669" s="358" t="n">
        <v>0</v>
      </c>
      <c r="F669" s="358" t="n">
        <v>0</v>
      </c>
      <c r="G669" s="358" t="n">
        <v>0</v>
      </c>
      <c r="H669" s="365" t="n">
        <v>1</v>
      </c>
    </row>
    <row r="670" customFormat="false" ht="15" hidden="true" customHeight="false" outlineLevel="0" collapsed="false">
      <c r="B670" s="360" t="s">
        <v>3144</v>
      </c>
      <c r="C670" s="365" t="n">
        <v>1</v>
      </c>
      <c r="D670" s="358" t="n">
        <v>0</v>
      </c>
      <c r="E670" s="358" t="n">
        <v>0</v>
      </c>
      <c r="F670" s="358" t="n">
        <v>0</v>
      </c>
      <c r="G670" s="358" t="n">
        <v>0</v>
      </c>
      <c r="H670" s="365" t="n">
        <v>1</v>
      </c>
    </row>
    <row r="671" customFormat="false" ht="15" hidden="true" customHeight="false" outlineLevel="0" collapsed="false">
      <c r="B671" s="360" t="s">
        <v>3145</v>
      </c>
      <c r="C671" s="365" t="n">
        <v>1</v>
      </c>
      <c r="D671" s="358" t="n">
        <v>0</v>
      </c>
      <c r="E671" s="358" t="n">
        <v>0</v>
      </c>
      <c r="F671" s="358" t="n">
        <v>0</v>
      </c>
      <c r="G671" s="358" t="n">
        <v>0</v>
      </c>
      <c r="H671" s="365" t="n">
        <v>1</v>
      </c>
    </row>
    <row r="672" customFormat="false" ht="15" hidden="true" customHeight="false" outlineLevel="0" collapsed="false">
      <c r="B672" s="360" t="s">
        <v>3146</v>
      </c>
      <c r="C672" s="365" t="n">
        <v>1</v>
      </c>
      <c r="D672" s="358" t="n">
        <v>0</v>
      </c>
      <c r="E672" s="358" t="n">
        <v>0</v>
      </c>
      <c r="F672" s="358" t="n">
        <v>0</v>
      </c>
      <c r="G672" s="358" t="n">
        <v>0</v>
      </c>
      <c r="H672" s="365" t="n">
        <v>1</v>
      </c>
    </row>
    <row r="673" customFormat="false" ht="15" hidden="true" customHeight="false" outlineLevel="0" collapsed="false">
      <c r="B673" s="360" t="s">
        <v>3147</v>
      </c>
      <c r="C673" s="365" t="n">
        <v>1</v>
      </c>
      <c r="D673" s="358" t="n">
        <v>0</v>
      </c>
      <c r="E673" s="358" t="n">
        <v>0</v>
      </c>
      <c r="F673" s="358" t="n">
        <v>0</v>
      </c>
      <c r="G673" s="358" t="n">
        <v>0</v>
      </c>
      <c r="H673" s="365" t="n">
        <v>1</v>
      </c>
    </row>
    <row r="674" customFormat="false" ht="15" hidden="true" customHeight="false" outlineLevel="0" collapsed="false">
      <c r="B674" s="360" t="s">
        <v>3148</v>
      </c>
      <c r="C674" s="365" t="n">
        <v>1</v>
      </c>
      <c r="D674" s="358" t="n">
        <v>0</v>
      </c>
      <c r="E674" s="358" t="n">
        <v>0</v>
      </c>
      <c r="F674" s="358" t="n">
        <v>0</v>
      </c>
      <c r="G674" s="358" t="n">
        <v>0</v>
      </c>
      <c r="H674" s="365" t="n">
        <v>1</v>
      </c>
    </row>
    <row r="675" customFormat="false" ht="15" hidden="true" customHeight="false" outlineLevel="0" collapsed="false">
      <c r="B675" s="360" t="s">
        <v>3149</v>
      </c>
      <c r="C675" s="365" t="n">
        <v>1</v>
      </c>
      <c r="D675" s="358" t="n">
        <v>0</v>
      </c>
      <c r="E675" s="358" t="n">
        <v>0</v>
      </c>
      <c r="F675" s="358" t="n">
        <v>0</v>
      </c>
      <c r="G675" s="358" t="n">
        <v>0</v>
      </c>
      <c r="H675" s="365" t="n">
        <v>1</v>
      </c>
    </row>
    <row r="676" customFormat="false" ht="15" hidden="true" customHeight="false" outlineLevel="0" collapsed="false">
      <c r="B676" s="360" t="s">
        <v>3150</v>
      </c>
      <c r="C676" s="365" t="n">
        <v>0</v>
      </c>
      <c r="D676" s="358" t="n">
        <v>1</v>
      </c>
      <c r="E676" s="358" t="n">
        <v>0</v>
      </c>
      <c r="F676" s="358" t="n">
        <v>0</v>
      </c>
      <c r="G676" s="358" t="n">
        <v>0</v>
      </c>
      <c r="H676" s="365" t="n">
        <v>1</v>
      </c>
    </row>
    <row r="677" customFormat="false" ht="15" hidden="true" customHeight="false" outlineLevel="0" collapsed="false">
      <c r="B677" s="360" t="s">
        <v>3151</v>
      </c>
      <c r="C677" s="365" t="n">
        <v>1</v>
      </c>
      <c r="D677" s="358" t="n">
        <v>0</v>
      </c>
      <c r="E677" s="358" t="n">
        <v>0</v>
      </c>
      <c r="F677" s="358" t="n">
        <v>0</v>
      </c>
      <c r="G677" s="358" t="n">
        <v>0</v>
      </c>
      <c r="H677" s="365" t="n">
        <v>1</v>
      </c>
    </row>
    <row r="678" customFormat="false" ht="15" hidden="true" customHeight="false" outlineLevel="0" collapsed="false">
      <c r="B678" s="360" t="s">
        <v>3152</v>
      </c>
      <c r="C678" s="365" t="n">
        <v>1</v>
      </c>
      <c r="D678" s="358" t="n">
        <v>0</v>
      </c>
      <c r="E678" s="358" t="n">
        <v>0</v>
      </c>
      <c r="F678" s="358" t="n">
        <v>0</v>
      </c>
      <c r="G678" s="358" t="n">
        <v>0</v>
      </c>
      <c r="H678" s="365" t="n">
        <v>1</v>
      </c>
    </row>
    <row r="679" customFormat="false" ht="15" hidden="true" customHeight="false" outlineLevel="0" collapsed="false">
      <c r="B679" s="360" t="s">
        <v>3153</v>
      </c>
      <c r="C679" s="365" t="n">
        <v>1</v>
      </c>
      <c r="D679" s="358" t="n">
        <v>0</v>
      </c>
      <c r="E679" s="358" t="n">
        <v>0</v>
      </c>
      <c r="F679" s="358" t="n">
        <v>0</v>
      </c>
      <c r="G679" s="358" t="n">
        <v>0</v>
      </c>
      <c r="H679" s="365" t="n">
        <v>1</v>
      </c>
    </row>
    <row r="680" customFormat="false" ht="15" hidden="true" customHeight="false" outlineLevel="0" collapsed="false">
      <c r="B680" s="360" t="s">
        <v>3154</v>
      </c>
      <c r="C680" s="365" t="n">
        <v>1</v>
      </c>
      <c r="D680" s="358" t="n">
        <v>0</v>
      </c>
      <c r="E680" s="358" t="n">
        <v>0</v>
      </c>
      <c r="F680" s="358" t="n">
        <v>0</v>
      </c>
      <c r="G680" s="358" t="n">
        <v>0</v>
      </c>
      <c r="H680" s="365" t="n">
        <v>1</v>
      </c>
    </row>
    <row r="681" customFormat="false" ht="15" hidden="true" customHeight="false" outlineLevel="0" collapsed="false">
      <c r="B681" s="360" t="s">
        <v>3155</v>
      </c>
      <c r="C681" s="365" t="n">
        <v>1</v>
      </c>
      <c r="D681" s="358" t="n">
        <v>0</v>
      </c>
      <c r="E681" s="358" t="n">
        <v>0</v>
      </c>
      <c r="F681" s="358" t="n">
        <v>0</v>
      </c>
      <c r="G681" s="358" t="n">
        <v>0</v>
      </c>
      <c r="H681" s="365" t="n">
        <v>1</v>
      </c>
    </row>
    <row r="682" customFormat="false" ht="15" hidden="true" customHeight="false" outlineLevel="0" collapsed="false">
      <c r="B682" s="360" t="s">
        <v>3156</v>
      </c>
      <c r="C682" s="365" t="n">
        <v>1</v>
      </c>
      <c r="D682" s="358" t="n">
        <v>0</v>
      </c>
      <c r="E682" s="358" t="n">
        <v>0</v>
      </c>
      <c r="F682" s="358" t="n">
        <v>0</v>
      </c>
      <c r="G682" s="358" t="n">
        <v>0</v>
      </c>
      <c r="H682" s="365" t="n">
        <v>1</v>
      </c>
    </row>
    <row r="683" customFormat="false" ht="15" hidden="true" customHeight="false" outlineLevel="0" collapsed="false">
      <c r="B683" s="360" t="s">
        <v>3157</v>
      </c>
      <c r="C683" s="365" t="n">
        <v>1</v>
      </c>
      <c r="D683" s="358" t="n">
        <v>0</v>
      </c>
      <c r="E683" s="358" t="n">
        <v>0</v>
      </c>
      <c r="F683" s="358" t="n">
        <v>0</v>
      </c>
      <c r="G683" s="358" t="n">
        <v>0</v>
      </c>
      <c r="H683" s="365" t="n">
        <v>1</v>
      </c>
    </row>
    <row r="684" customFormat="false" ht="15" hidden="true" customHeight="false" outlineLevel="0" collapsed="false">
      <c r="B684" s="360" t="s">
        <v>3158</v>
      </c>
      <c r="C684" s="365" t="n">
        <v>1</v>
      </c>
      <c r="D684" s="358" t="n">
        <v>0</v>
      </c>
      <c r="E684" s="358" t="n">
        <v>0</v>
      </c>
      <c r="F684" s="358" t="n">
        <v>0</v>
      </c>
      <c r="G684" s="358" t="n">
        <v>0</v>
      </c>
      <c r="H684" s="365" t="n">
        <v>1</v>
      </c>
    </row>
    <row r="685" customFormat="false" ht="15" hidden="true" customHeight="false" outlineLevel="0" collapsed="false">
      <c r="B685" s="360" t="s">
        <v>3159</v>
      </c>
      <c r="C685" s="365" t="n">
        <v>1</v>
      </c>
      <c r="D685" s="358" t="n">
        <v>0</v>
      </c>
      <c r="E685" s="358" t="n">
        <v>0</v>
      </c>
      <c r="F685" s="358" t="n">
        <v>0</v>
      </c>
      <c r="G685" s="358" t="n">
        <v>0</v>
      </c>
      <c r="H685" s="365" t="n">
        <v>1</v>
      </c>
    </row>
    <row r="686" customFormat="false" ht="15" hidden="true" customHeight="false" outlineLevel="0" collapsed="false">
      <c r="B686" s="360" t="s">
        <v>3160</v>
      </c>
      <c r="C686" s="365" t="n">
        <v>1</v>
      </c>
      <c r="D686" s="358" t="n">
        <v>0</v>
      </c>
      <c r="E686" s="358" t="n">
        <v>0</v>
      </c>
      <c r="F686" s="358" t="n">
        <v>0</v>
      </c>
      <c r="G686" s="358" t="n">
        <v>0</v>
      </c>
      <c r="H686" s="365" t="n">
        <v>1</v>
      </c>
    </row>
    <row r="687" customFormat="false" ht="15" hidden="true" customHeight="false" outlineLevel="0" collapsed="false">
      <c r="B687" s="360" t="s">
        <v>3161</v>
      </c>
      <c r="C687" s="365" t="n">
        <v>1</v>
      </c>
      <c r="D687" s="358" t="n">
        <v>0</v>
      </c>
      <c r="E687" s="358" t="n">
        <v>0</v>
      </c>
      <c r="F687" s="358" t="n">
        <v>0</v>
      </c>
      <c r="G687" s="358" t="n">
        <v>0</v>
      </c>
      <c r="H687" s="365" t="n">
        <v>1</v>
      </c>
    </row>
    <row r="688" customFormat="false" ht="15" hidden="true" customHeight="false" outlineLevel="0" collapsed="false">
      <c r="B688" s="360" t="s">
        <v>3162</v>
      </c>
      <c r="C688" s="365" t="n">
        <v>1</v>
      </c>
      <c r="D688" s="358" t="n">
        <v>0</v>
      </c>
      <c r="E688" s="358" t="n">
        <v>0</v>
      </c>
      <c r="F688" s="358" t="n">
        <v>0</v>
      </c>
      <c r="G688" s="358" t="n">
        <v>0</v>
      </c>
      <c r="H688" s="365" t="n">
        <v>1</v>
      </c>
    </row>
    <row r="689" customFormat="false" ht="15" hidden="true" customHeight="false" outlineLevel="0" collapsed="false">
      <c r="B689" s="360" t="s">
        <v>3163</v>
      </c>
      <c r="C689" s="365" t="n">
        <v>1</v>
      </c>
      <c r="D689" s="358" t="n">
        <v>0</v>
      </c>
      <c r="E689" s="358" t="n">
        <v>0</v>
      </c>
      <c r="F689" s="358" t="n">
        <v>0</v>
      </c>
      <c r="G689" s="358" t="n">
        <v>0</v>
      </c>
      <c r="H689" s="365" t="n">
        <v>1</v>
      </c>
    </row>
    <row r="690" customFormat="false" ht="15" hidden="true" customHeight="false" outlineLevel="0" collapsed="false">
      <c r="B690" s="360" t="s">
        <v>3164</v>
      </c>
      <c r="C690" s="365" t="n">
        <v>1</v>
      </c>
      <c r="D690" s="358" t="n">
        <v>0</v>
      </c>
      <c r="E690" s="358" t="n">
        <v>0</v>
      </c>
      <c r="F690" s="358" t="n">
        <v>0</v>
      </c>
      <c r="G690" s="358" t="n">
        <v>0</v>
      </c>
      <c r="H690" s="365" t="n">
        <v>1</v>
      </c>
    </row>
    <row r="691" customFormat="false" ht="15" hidden="true" customHeight="false" outlineLevel="0" collapsed="false">
      <c r="B691" s="360" t="s">
        <v>3165</v>
      </c>
      <c r="C691" s="365" t="n">
        <v>1</v>
      </c>
      <c r="D691" s="358" t="n">
        <v>0</v>
      </c>
      <c r="E691" s="358" t="n">
        <v>0</v>
      </c>
      <c r="F691" s="358" t="n">
        <v>0</v>
      </c>
      <c r="G691" s="358" t="n">
        <v>0</v>
      </c>
      <c r="H691" s="365" t="n">
        <v>1</v>
      </c>
    </row>
    <row r="692" customFormat="false" ht="15" hidden="true" customHeight="false" outlineLevel="0" collapsed="false">
      <c r="B692" s="360" t="s">
        <v>3166</v>
      </c>
      <c r="C692" s="365" t="n">
        <v>1</v>
      </c>
      <c r="D692" s="358" t="n">
        <v>0</v>
      </c>
      <c r="E692" s="358" t="n">
        <v>0</v>
      </c>
      <c r="F692" s="358" t="n">
        <v>0</v>
      </c>
      <c r="G692" s="358" t="n">
        <v>0</v>
      </c>
      <c r="H692" s="365" t="n">
        <v>1</v>
      </c>
    </row>
    <row r="693" customFormat="false" ht="15" hidden="true" customHeight="false" outlineLevel="0" collapsed="false">
      <c r="B693" s="360" t="s">
        <v>3167</v>
      </c>
      <c r="C693" s="365" t="n">
        <v>1</v>
      </c>
      <c r="D693" s="358" t="n">
        <v>0</v>
      </c>
      <c r="E693" s="358" t="n">
        <v>0</v>
      </c>
      <c r="F693" s="358" t="n">
        <v>0</v>
      </c>
      <c r="G693" s="358" t="n">
        <v>0</v>
      </c>
      <c r="H693" s="365" t="n">
        <v>1</v>
      </c>
    </row>
    <row r="694" customFormat="false" ht="15" hidden="true" customHeight="false" outlineLevel="0" collapsed="false">
      <c r="B694" s="360" t="s">
        <v>3168</v>
      </c>
      <c r="C694" s="365" t="n">
        <v>1</v>
      </c>
      <c r="D694" s="358" t="n">
        <v>0</v>
      </c>
      <c r="E694" s="358" t="n">
        <v>0</v>
      </c>
      <c r="F694" s="358" t="n">
        <v>0</v>
      </c>
      <c r="G694" s="358" t="n">
        <v>0</v>
      </c>
      <c r="H694" s="365" t="n">
        <v>1</v>
      </c>
    </row>
    <row r="695" customFormat="false" ht="15" hidden="true" customHeight="false" outlineLevel="0" collapsed="false">
      <c r="B695" s="360" t="s">
        <v>3169</v>
      </c>
      <c r="C695" s="365" t="n">
        <v>1</v>
      </c>
      <c r="D695" s="358" t="n">
        <v>0</v>
      </c>
      <c r="E695" s="358" t="n">
        <v>0</v>
      </c>
      <c r="F695" s="358" t="n">
        <v>0</v>
      </c>
      <c r="G695" s="358" t="n">
        <v>0</v>
      </c>
      <c r="H695" s="365" t="n">
        <v>1</v>
      </c>
    </row>
    <row r="696" customFormat="false" ht="15" hidden="true" customHeight="false" outlineLevel="0" collapsed="false">
      <c r="B696" s="360" t="s">
        <v>3170</v>
      </c>
      <c r="C696" s="365" t="n">
        <v>1</v>
      </c>
      <c r="D696" s="358" t="n">
        <v>0</v>
      </c>
      <c r="E696" s="358" t="n">
        <v>0</v>
      </c>
      <c r="F696" s="358" t="n">
        <v>0</v>
      </c>
      <c r="G696" s="358" t="n">
        <v>0</v>
      </c>
      <c r="H696" s="365" t="n">
        <v>1</v>
      </c>
    </row>
    <row r="697" customFormat="false" ht="15" hidden="true" customHeight="false" outlineLevel="0" collapsed="false">
      <c r="B697" s="360" t="s">
        <v>3171</v>
      </c>
      <c r="C697" s="365" t="n">
        <v>0</v>
      </c>
      <c r="D697" s="358" t="n">
        <v>1</v>
      </c>
      <c r="E697" s="358" t="n">
        <v>0</v>
      </c>
      <c r="F697" s="358" t="n">
        <v>0</v>
      </c>
      <c r="G697" s="358" t="n">
        <v>0</v>
      </c>
      <c r="H697" s="365" t="n">
        <v>1</v>
      </c>
    </row>
    <row r="698" customFormat="false" ht="15" hidden="true" customHeight="false" outlineLevel="0" collapsed="false">
      <c r="B698" s="360" t="s">
        <v>3172</v>
      </c>
      <c r="C698" s="365" t="n">
        <v>1</v>
      </c>
      <c r="D698" s="358" t="n">
        <v>0</v>
      </c>
      <c r="E698" s="358" t="n">
        <v>0</v>
      </c>
      <c r="F698" s="358" t="n">
        <v>0</v>
      </c>
      <c r="G698" s="358" t="n">
        <v>0</v>
      </c>
      <c r="H698" s="365" t="n">
        <v>1</v>
      </c>
    </row>
    <row r="699" customFormat="false" ht="15" hidden="true" customHeight="false" outlineLevel="0" collapsed="false">
      <c r="B699" s="360" t="s">
        <v>3173</v>
      </c>
      <c r="C699" s="365" t="n">
        <v>1</v>
      </c>
      <c r="D699" s="358" t="n">
        <v>0</v>
      </c>
      <c r="E699" s="358" t="n">
        <v>0</v>
      </c>
      <c r="F699" s="358" t="n">
        <v>0</v>
      </c>
      <c r="G699" s="358" t="n">
        <v>0</v>
      </c>
      <c r="H699" s="365" t="n">
        <v>1</v>
      </c>
    </row>
    <row r="700" customFormat="false" ht="15" hidden="true" customHeight="false" outlineLevel="0" collapsed="false">
      <c r="B700" s="360" t="s">
        <v>3174</v>
      </c>
      <c r="C700" s="365" t="n">
        <v>1</v>
      </c>
      <c r="D700" s="358" t="n">
        <v>0</v>
      </c>
      <c r="E700" s="358" t="n">
        <v>0</v>
      </c>
      <c r="F700" s="358" t="n">
        <v>0</v>
      </c>
      <c r="G700" s="358" t="n">
        <v>0</v>
      </c>
      <c r="H700" s="365" t="n">
        <v>1</v>
      </c>
    </row>
    <row r="701" customFormat="false" ht="15" hidden="true" customHeight="false" outlineLevel="0" collapsed="false">
      <c r="B701" s="360" t="s">
        <v>3175</v>
      </c>
      <c r="C701" s="365" t="n">
        <v>1</v>
      </c>
      <c r="D701" s="358" t="n">
        <v>0</v>
      </c>
      <c r="E701" s="358" t="n">
        <v>0</v>
      </c>
      <c r="F701" s="358" t="n">
        <v>0</v>
      </c>
      <c r="G701" s="358" t="n">
        <v>0</v>
      </c>
      <c r="H701" s="365" t="n">
        <v>1</v>
      </c>
    </row>
    <row r="702" customFormat="false" ht="15" hidden="true" customHeight="false" outlineLevel="0" collapsed="false">
      <c r="B702" s="360" t="s">
        <v>3176</v>
      </c>
      <c r="C702" s="365" t="n">
        <v>1</v>
      </c>
      <c r="D702" s="358" t="n">
        <v>0</v>
      </c>
      <c r="E702" s="358" t="n">
        <v>0</v>
      </c>
      <c r="F702" s="358" t="n">
        <v>0</v>
      </c>
      <c r="G702" s="358" t="n">
        <v>0</v>
      </c>
      <c r="H702" s="365" t="n">
        <v>1</v>
      </c>
    </row>
    <row r="703" customFormat="false" ht="15" hidden="true" customHeight="false" outlineLevel="0" collapsed="false">
      <c r="B703" s="360" t="s">
        <v>3177</v>
      </c>
      <c r="C703" s="365" t="n">
        <v>1</v>
      </c>
      <c r="D703" s="358" t="n">
        <v>0</v>
      </c>
      <c r="E703" s="358" t="n">
        <v>0</v>
      </c>
      <c r="F703" s="358" t="n">
        <v>0</v>
      </c>
      <c r="G703" s="358" t="n">
        <v>0</v>
      </c>
      <c r="H703" s="365" t="n">
        <v>1</v>
      </c>
    </row>
    <row r="704" customFormat="false" ht="15" hidden="true" customHeight="false" outlineLevel="0" collapsed="false">
      <c r="B704" s="360" t="s">
        <v>3178</v>
      </c>
      <c r="C704" s="365" t="n">
        <v>1</v>
      </c>
      <c r="D704" s="358" t="n">
        <v>0</v>
      </c>
      <c r="E704" s="358" t="n">
        <v>0</v>
      </c>
      <c r="F704" s="358" t="n">
        <v>0</v>
      </c>
      <c r="G704" s="358" t="n">
        <v>0</v>
      </c>
      <c r="H704" s="365" t="n">
        <v>1</v>
      </c>
    </row>
    <row r="705" customFormat="false" ht="15" hidden="true" customHeight="false" outlineLevel="0" collapsed="false">
      <c r="B705" s="360" t="s">
        <v>3179</v>
      </c>
      <c r="C705" s="365" t="n">
        <v>1</v>
      </c>
      <c r="D705" s="358" t="n">
        <v>0</v>
      </c>
      <c r="E705" s="358" t="n">
        <v>0</v>
      </c>
      <c r="F705" s="358" t="n">
        <v>0</v>
      </c>
      <c r="G705" s="358" t="n">
        <v>0</v>
      </c>
      <c r="H705" s="365" t="n">
        <v>1</v>
      </c>
    </row>
    <row r="706" customFormat="false" ht="15" hidden="true" customHeight="false" outlineLevel="0" collapsed="false">
      <c r="B706" s="360" t="s">
        <v>3180</v>
      </c>
      <c r="C706" s="365" t="n">
        <v>1</v>
      </c>
      <c r="D706" s="358" t="n">
        <v>0</v>
      </c>
      <c r="E706" s="358" t="n">
        <v>0</v>
      </c>
      <c r="F706" s="358" t="n">
        <v>0</v>
      </c>
      <c r="G706" s="358" t="n">
        <v>0</v>
      </c>
      <c r="H706" s="365" t="n">
        <v>1</v>
      </c>
    </row>
    <row r="707" customFormat="false" ht="15" hidden="true" customHeight="false" outlineLevel="0" collapsed="false">
      <c r="B707" s="360" t="s">
        <v>3181</v>
      </c>
      <c r="C707" s="365" t="n">
        <v>1</v>
      </c>
      <c r="D707" s="358" t="n">
        <v>0</v>
      </c>
      <c r="E707" s="358" t="n">
        <v>0</v>
      </c>
      <c r="F707" s="358" t="n">
        <v>0</v>
      </c>
      <c r="G707" s="358" t="n">
        <v>0</v>
      </c>
      <c r="H707" s="365" t="n">
        <v>1</v>
      </c>
    </row>
    <row r="708" customFormat="false" ht="15" hidden="true" customHeight="false" outlineLevel="0" collapsed="false">
      <c r="B708" s="360" t="s">
        <v>3182</v>
      </c>
      <c r="C708" s="365" t="n">
        <v>1</v>
      </c>
      <c r="D708" s="358" t="n">
        <v>0</v>
      </c>
      <c r="E708" s="358" t="n">
        <v>0</v>
      </c>
      <c r="F708" s="358" t="n">
        <v>0</v>
      </c>
      <c r="G708" s="358" t="n">
        <v>0</v>
      </c>
      <c r="H708" s="365" t="n">
        <v>1</v>
      </c>
    </row>
    <row r="709" customFormat="false" ht="15" hidden="true" customHeight="false" outlineLevel="0" collapsed="false">
      <c r="B709" s="360" t="s">
        <v>3183</v>
      </c>
      <c r="C709" s="365" t="n">
        <v>1</v>
      </c>
      <c r="D709" s="358" t="n">
        <v>0</v>
      </c>
      <c r="E709" s="358" t="n">
        <v>0</v>
      </c>
      <c r="F709" s="358" t="n">
        <v>0</v>
      </c>
      <c r="G709" s="358" t="n">
        <v>0</v>
      </c>
      <c r="H709" s="365" t="n">
        <v>1</v>
      </c>
    </row>
    <row r="710" customFormat="false" ht="15" hidden="true" customHeight="false" outlineLevel="0" collapsed="false">
      <c r="B710" s="360" t="s">
        <v>3184</v>
      </c>
      <c r="C710" s="365" t="n">
        <v>1</v>
      </c>
      <c r="D710" s="358" t="n">
        <v>0</v>
      </c>
      <c r="E710" s="358" t="n">
        <v>0</v>
      </c>
      <c r="F710" s="358" t="n">
        <v>0</v>
      </c>
      <c r="G710" s="358" t="n">
        <v>0</v>
      </c>
      <c r="H710" s="365" t="n">
        <v>1</v>
      </c>
    </row>
    <row r="711" customFormat="false" ht="15" hidden="true" customHeight="false" outlineLevel="0" collapsed="false">
      <c r="B711" s="360" t="s">
        <v>3185</v>
      </c>
      <c r="C711" s="365" t="n">
        <v>1</v>
      </c>
      <c r="D711" s="358" t="n">
        <v>0</v>
      </c>
      <c r="E711" s="358" t="n">
        <v>0</v>
      </c>
      <c r="F711" s="358" t="n">
        <v>0</v>
      </c>
      <c r="G711" s="358" t="n">
        <v>0</v>
      </c>
      <c r="H711" s="365" t="n">
        <v>1</v>
      </c>
    </row>
    <row r="712" customFormat="false" ht="15" hidden="true" customHeight="false" outlineLevel="0" collapsed="false">
      <c r="B712" s="360" t="s">
        <v>3186</v>
      </c>
      <c r="C712" s="365" t="n">
        <v>1</v>
      </c>
      <c r="D712" s="358" t="n">
        <v>0</v>
      </c>
      <c r="E712" s="358" t="n">
        <v>0</v>
      </c>
      <c r="F712" s="358" t="n">
        <v>0</v>
      </c>
      <c r="G712" s="358" t="n">
        <v>0</v>
      </c>
      <c r="H712" s="365" t="n">
        <v>1</v>
      </c>
    </row>
    <row r="713" customFormat="false" ht="15" hidden="true" customHeight="false" outlineLevel="0" collapsed="false">
      <c r="B713" s="360" t="s">
        <v>3187</v>
      </c>
      <c r="C713" s="365" t="n">
        <v>1</v>
      </c>
      <c r="D713" s="358" t="n">
        <v>0</v>
      </c>
      <c r="E713" s="358" t="n">
        <v>0</v>
      </c>
      <c r="F713" s="358" t="n">
        <v>0</v>
      </c>
      <c r="G713" s="358" t="n">
        <v>0</v>
      </c>
      <c r="H713" s="365" t="n">
        <v>1</v>
      </c>
    </row>
    <row r="714" customFormat="false" ht="15" hidden="true" customHeight="false" outlineLevel="0" collapsed="false">
      <c r="B714" s="360" t="s">
        <v>3188</v>
      </c>
      <c r="C714" s="365" t="n">
        <v>1</v>
      </c>
      <c r="D714" s="358" t="n">
        <v>0</v>
      </c>
      <c r="E714" s="358" t="n">
        <v>0</v>
      </c>
      <c r="F714" s="358" t="n">
        <v>0</v>
      </c>
      <c r="G714" s="358" t="n">
        <v>0</v>
      </c>
      <c r="H714" s="365" t="n">
        <v>1</v>
      </c>
    </row>
    <row r="715" customFormat="false" ht="15" hidden="true" customHeight="false" outlineLevel="0" collapsed="false">
      <c r="B715" s="360" t="s">
        <v>3189</v>
      </c>
      <c r="C715" s="365" t="n">
        <v>1</v>
      </c>
      <c r="D715" s="358" t="n">
        <v>0</v>
      </c>
      <c r="E715" s="358" t="n">
        <v>0</v>
      </c>
      <c r="F715" s="358" t="n">
        <v>0</v>
      </c>
      <c r="G715" s="358" t="n">
        <v>0</v>
      </c>
      <c r="H715" s="365" t="n">
        <v>1</v>
      </c>
    </row>
    <row r="716" customFormat="false" ht="15" hidden="true" customHeight="false" outlineLevel="0" collapsed="false">
      <c r="B716" s="360" t="s">
        <v>3190</v>
      </c>
      <c r="C716" s="365" t="n">
        <v>1</v>
      </c>
      <c r="D716" s="358" t="n">
        <v>0</v>
      </c>
      <c r="E716" s="358" t="n">
        <v>0</v>
      </c>
      <c r="F716" s="358" t="n">
        <v>0</v>
      </c>
      <c r="G716" s="358" t="n">
        <v>0</v>
      </c>
      <c r="H716" s="365" t="n">
        <v>1</v>
      </c>
    </row>
    <row r="717" customFormat="false" ht="15" hidden="true" customHeight="false" outlineLevel="0" collapsed="false">
      <c r="B717" s="360" t="s">
        <v>3191</v>
      </c>
      <c r="C717" s="365" t="n">
        <v>1</v>
      </c>
      <c r="D717" s="358" t="n">
        <v>0</v>
      </c>
      <c r="E717" s="358" t="n">
        <v>0</v>
      </c>
      <c r="F717" s="358" t="n">
        <v>0</v>
      </c>
      <c r="G717" s="358" t="n">
        <v>0</v>
      </c>
      <c r="H717" s="365" t="n">
        <v>1</v>
      </c>
    </row>
    <row r="718" customFormat="false" ht="15" hidden="true" customHeight="false" outlineLevel="0" collapsed="false">
      <c r="B718" s="360" t="s">
        <v>3192</v>
      </c>
      <c r="C718" s="365" t="n">
        <v>1</v>
      </c>
      <c r="D718" s="358" t="n">
        <v>0</v>
      </c>
      <c r="E718" s="358" t="n">
        <v>0</v>
      </c>
      <c r="F718" s="358" t="n">
        <v>0</v>
      </c>
      <c r="G718" s="358" t="n">
        <v>0</v>
      </c>
      <c r="H718" s="365" t="n">
        <v>1</v>
      </c>
    </row>
    <row r="719" customFormat="false" ht="15" hidden="true" customHeight="false" outlineLevel="0" collapsed="false">
      <c r="B719" s="360" t="s">
        <v>3193</v>
      </c>
      <c r="C719" s="365" t="n">
        <v>1</v>
      </c>
      <c r="D719" s="358" t="n">
        <v>0</v>
      </c>
      <c r="E719" s="358" t="n">
        <v>0</v>
      </c>
      <c r="F719" s="358" t="n">
        <v>0</v>
      </c>
      <c r="G719" s="358" t="n">
        <v>0</v>
      </c>
      <c r="H719" s="365" t="n">
        <v>1</v>
      </c>
    </row>
    <row r="720" customFormat="false" ht="15" hidden="true" customHeight="false" outlineLevel="0" collapsed="false">
      <c r="B720" s="360" t="s">
        <v>3194</v>
      </c>
      <c r="C720" s="365" t="n">
        <v>1</v>
      </c>
      <c r="D720" s="358" t="n">
        <v>0</v>
      </c>
      <c r="E720" s="358" t="n">
        <v>0</v>
      </c>
      <c r="F720" s="358" t="n">
        <v>0</v>
      </c>
      <c r="G720" s="358" t="n">
        <v>0</v>
      </c>
      <c r="H720" s="365" t="n">
        <v>1</v>
      </c>
    </row>
    <row r="721" customFormat="false" ht="15" hidden="true" customHeight="false" outlineLevel="0" collapsed="false">
      <c r="B721" s="360" t="s">
        <v>3195</v>
      </c>
      <c r="C721" s="365" t="n">
        <v>1</v>
      </c>
      <c r="D721" s="358" t="n">
        <v>0</v>
      </c>
      <c r="E721" s="358" t="n">
        <v>0</v>
      </c>
      <c r="F721" s="358" t="n">
        <v>0</v>
      </c>
      <c r="G721" s="358" t="n">
        <v>0</v>
      </c>
      <c r="H721" s="365" t="n">
        <v>1</v>
      </c>
    </row>
    <row r="722" customFormat="false" ht="15" hidden="true" customHeight="false" outlineLevel="0" collapsed="false">
      <c r="B722" s="360" t="s">
        <v>3196</v>
      </c>
      <c r="C722" s="365" t="n">
        <v>1</v>
      </c>
      <c r="D722" s="358" t="n">
        <v>0</v>
      </c>
      <c r="E722" s="358" t="n">
        <v>0</v>
      </c>
      <c r="F722" s="358" t="n">
        <v>0</v>
      </c>
      <c r="G722" s="358" t="n">
        <v>0</v>
      </c>
      <c r="H722" s="365" t="n">
        <v>1</v>
      </c>
    </row>
    <row r="723" customFormat="false" ht="15" hidden="true" customHeight="false" outlineLevel="0" collapsed="false">
      <c r="B723" s="360" t="s">
        <v>3197</v>
      </c>
      <c r="C723" s="365" t="n">
        <v>1</v>
      </c>
      <c r="D723" s="358" t="n">
        <v>0</v>
      </c>
      <c r="E723" s="358" t="n">
        <v>0</v>
      </c>
      <c r="F723" s="358" t="n">
        <v>0</v>
      </c>
      <c r="G723" s="358" t="n">
        <v>0</v>
      </c>
      <c r="H723" s="365" t="n">
        <v>1</v>
      </c>
    </row>
    <row r="724" customFormat="false" ht="15" hidden="true" customHeight="false" outlineLevel="0" collapsed="false">
      <c r="B724" s="360" t="s">
        <v>3198</v>
      </c>
      <c r="C724" s="365" t="n">
        <v>1</v>
      </c>
      <c r="D724" s="358" t="n">
        <v>0</v>
      </c>
      <c r="E724" s="358" t="n">
        <v>0</v>
      </c>
      <c r="F724" s="358" t="n">
        <v>0</v>
      </c>
      <c r="G724" s="358" t="n">
        <v>0</v>
      </c>
      <c r="H724" s="365" t="n">
        <v>1</v>
      </c>
    </row>
    <row r="725" customFormat="false" ht="15" hidden="true" customHeight="false" outlineLevel="0" collapsed="false">
      <c r="B725" s="360" t="s">
        <v>3199</v>
      </c>
      <c r="C725" s="365" t="n">
        <v>1</v>
      </c>
      <c r="D725" s="358" t="n">
        <v>0</v>
      </c>
      <c r="E725" s="358" t="n">
        <v>0</v>
      </c>
      <c r="F725" s="358" t="n">
        <v>0</v>
      </c>
      <c r="G725" s="358" t="n">
        <v>0</v>
      </c>
      <c r="H725" s="365" t="n">
        <v>1</v>
      </c>
    </row>
    <row r="726" customFormat="false" ht="15" hidden="true" customHeight="false" outlineLevel="0" collapsed="false">
      <c r="B726" s="360" t="s">
        <v>3200</v>
      </c>
      <c r="C726" s="365" t="n">
        <v>1</v>
      </c>
      <c r="D726" s="358" t="n">
        <v>0</v>
      </c>
      <c r="E726" s="358" t="n">
        <v>0</v>
      </c>
      <c r="F726" s="358" t="n">
        <v>0</v>
      </c>
      <c r="G726" s="358" t="n">
        <v>0</v>
      </c>
      <c r="H726" s="365" t="n">
        <v>1</v>
      </c>
    </row>
    <row r="727" customFormat="false" ht="15" hidden="true" customHeight="false" outlineLevel="0" collapsed="false">
      <c r="B727" s="360" t="s">
        <v>3201</v>
      </c>
      <c r="C727" s="365" t="n">
        <v>1</v>
      </c>
      <c r="D727" s="358" t="n">
        <v>0</v>
      </c>
      <c r="E727" s="358" t="n">
        <v>0</v>
      </c>
      <c r="F727" s="358" t="n">
        <v>0</v>
      </c>
      <c r="G727" s="358" t="n">
        <v>0</v>
      </c>
      <c r="H727" s="365" t="n">
        <v>1</v>
      </c>
    </row>
    <row r="728" customFormat="false" ht="15" hidden="true" customHeight="false" outlineLevel="0" collapsed="false">
      <c r="B728" s="360" t="s">
        <v>3202</v>
      </c>
      <c r="C728" s="365" t="n">
        <v>1</v>
      </c>
      <c r="D728" s="358" t="n">
        <v>0</v>
      </c>
      <c r="E728" s="358" t="n">
        <v>0</v>
      </c>
      <c r="F728" s="358" t="n">
        <v>0</v>
      </c>
      <c r="G728" s="358" t="n">
        <v>0</v>
      </c>
      <c r="H728" s="365" t="n">
        <v>1</v>
      </c>
    </row>
    <row r="729" customFormat="false" ht="15" hidden="true" customHeight="false" outlineLevel="0" collapsed="false">
      <c r="B729" s="360" t="s">
        <v>3203</v>
      </c>
      <c r="C729" s="365" t="n">
        <v>1</v>
      </c>
      <c r="D729" s="358" t="n">
        <v>0</v>
      </c>
      <c r="E729" s="358" t="n">
        <v>0</v>
      </c>
      <c r="F729" s="358" t="n">
        <v>0</v>
      </c>
      <c r="G729" s="358" t="n">
        <v>0</v>
      </c>
      <c r="H729" s="365" t="n">
        <v>1</v>
      </c>
    </row>
    <row r="730" customFormat="false" ht="15" hidden="true" customHeight="false" outlineLevel="0" collapsed="false">
      <c r="B730" s="360" t="s">
        <v>3204</v>
      </c>
      <c r="C730" s="365" t="n">
        <v>1</v>
      </c>
      <c r="D730" s="358" t="n">
        <v>0</v>
      </c>
      <c r="E730" s="358" t="n">
        <v>0</v>
      </c>
      <c r="F730" s="358" t="n">
        <v>0</v>
      </c>
      <c r="G730" s="358" t="n">
        <v>0</v>
      </c>
      <c r="H730" s="365" t="n">
        <v>1</v>
      </c>
    </row>
    <row r="731" customFormat="false" ht="15" hidden="true" customHeight="false" outlineLevel="0" collapsed="false">
      <c r="B731" s="360" t="s">
        <v>3205</v>
      </c>
      <c r="C731" s="365" t="n">
        <v>1</v>
      </c>
      <c r="D731" s="358" t="n">
        <v>0</v>
      </c>
      <c r="E731" s="358" t="n">
        <v>0</v>
      </c>
      <c r="F731" s="358" t="n">
        <v>0</v>
      </c>
      <c r="G731" s="358" t="n">
        <v>0</v>
      </c>
      <c r="H731" s="365" t="n">
        <v>1</v>
      </c>
    </row>
    <row r="732" customFormat="false" ht="15" hidden="true" customHeight="false" outlineLevel="0" collapsed="false">
      <c r="B732" s="360" t="s">
        <v>3206</v>
      </c>
      <c r="C732" s="365" t="n">
        <v>1</v>
      </c>
      <c r="D732" s="358" t="n">
        <v>0</v>
      </c>
      <c r="E732" s="358" t="n">
        <v>0</v>
      </c>
      <c r="F732" s="358" t="n">
        <v>0</v>
      </c>
      <c r="G732" s="358" t="n">
        <v>0</v>
      </c>
      <c r="H732" s="365" t="n">
        <v>1</v>
      </c>
    </row>
    <row r="733" customFormat="false" ht="15" hidden="true" customHeight="false" outlineLevel="0" collapsed="false">
      <c r="B733" s="360" t="s">
        <v>3207</v>
      </c>
      <c r="C733" s="365" t="n">
        <v>1</v>
      </c>
      <c r="D733" s="358" t="n">
        <v>0</v>
      </c>
      <c r="E733" s="358" t="n">
        <v>0</v>
      </c>
      <c r="F733" s="358" t="n">
        <v>0</v>
      </c>
      <c r="G733" s="358" t="n">
        <v>0</v>
      </c>
      <c r="H733" s="365" t="n">
        <v>1</v>
      </c>
    </row>
    <row r="734" customFormat="false" ht="15" hidden="true" customHeight="false" outlineLevel="0" collapsed="false">
      <c r="B734" s="360" t="s">
        <v>3208</v>
      </c>
      <c r="C734" s="365" t="n">
        <v>1</v>
      </c>
      <c r="D734" s="358" t="n">
        <v>0</v>
      </c>
      <c r="E734" s="358" t="n">
        <v>0</v>
      </c>
      <c r="F734" s="358" t="n">
        <v>0</v>
      </c>
      <c r="G734" s="358" t="n">
        <v>0</v>
      </c>
      <c r="H734" s="365" t="n">
        <v>1</v>
      </c>
    </row>
    <row r="735" customFormat="false" ht="15" hidden="true" customHeight="false" outlineLevel="0" collapsed="false">
      <c r="B735" s="360" t="s">
        <v>3209</v>
      </c>
      <c r="C735" s="365" t="n">
        <v>1</v>
      </c>
      <c r="D735" s="358" t="n">
        <v>0</v>
      </c>
      <c r="E735" s="358" t="n">
        <v>0</v>
      </c>
      <c r="F735" s="358" t="n">
        <v>0</v>
      </c>
      <c r="G735" s="358" t="n">
        <v>0</v>
      </c>
      <c r="H735" s="365" t="n">
        <v>1</v>
      </c>
    </row>
    <row r="736" customFormat="false" ht="15" hidden="true" customHeight="false" outlineLevel="0" collapsed="false">
      <c r="B736" s="360" t="s">
        <v>3210</v>
      </c>
      <c r="C736" s="365" t="n">
        <v>1</v>
      </c>
      <c r="D736" s="358" t="n">
        <v>0</v>
      </c>
      <c r="E736" s="358" t="n">
        <v>0</v>
      </c>
      <c r="F736" s="358" t="n">
        <v>0</v>
      </c>
      <c r="G736" s="358" t="n">
        <v>0</v>
      </c>
      <c r="H736" s="365" t="n">
        <v>1</v>
      </c>
    </row>
    <row r="737" customFormat="false" ht="15" hidden="true" customHeight="false" outlineLevel="0" collapsed="false">
      <c r="B737" s="360" t="s">
        <v>3211</v>
      </c>
      <c r="C737" s="365" t="n">
        <v>1</v>
      </c>
      <c r="D737" s="358" t="n">
        <v>0</v>
      </c>
      <c r="E737" s="358" t="n">
        <v>0</v>
      </c>
      <c r="F737" s="358" t="n">
        <v>0</v>
      </c>
      <c r="G737" s="358" t="n">
        <v>0</v>
      </c>
      <c r="H737" s="365" t="n">
        <v>1</v>
      </c>
    </row>
    <row r="738" customFormat="false" ht="15" hidden="true" customHeight="false" outlineLevel="0" collapsed="false">
      <c r="B738" s="361" t="s">
        <v>3212</v>
      </c>
      <c r="C738" s="365" t="n">
        <v>1</v>
      </c>
      <c r="D738" s="358" t="n">
        <v>0</v>
      </c>
      <c r="E738" s="358" t="n">
        <v>0</v>
      </c>
      <c r="F738" s="358" t="n">
        <v>0</v>
      </c>
      <c r="G738" s="358" t="n">
        <v>0</v>
      </c>
      <c r="H738" s="365" t="n">
        <v>1</v>
      </c>
    </row>
    <row r="739" customFormat="false" ht="15" hidden="false" customHeight="false" outlineLevel="0" collapsed="false">
      <c r="B739" s="364" t="s">
        <v>2468</v>
      </c>
      <c r="C739" s="365" t="n">
        <v>34</v>
      </c>
      <c r="D739" s="358" t="n">
        <v>1</v>
      </c>
      <c r="E739" s="358" t="n">
        <v>0</v>
      </c>
      <c r="F739" s="358" t="n">
        <v>0</v>
      </c>
      <c r="G739" s="358" t="n">
        <v>0</v>
      </c>
      <c r="H739" s="365" t="n">
        <v>35</v>
      </c>
    </row>
    <row r="740" customFormat="false" ht="15" hidden="true" customHeight="false" outlineLevel="0" collapsed="false">
      <c r="B740" s="360" t="s">
        <v>3213</v>
      </c>
      <c r="C740" s="359" t="n">
        <v>1</v>
      </c>
      <c r="D740" s="358" t="n">
        <v>0</v>
      </c>
      <c r="E740" s="358" t="n">
        <v>0</v>
      </c>
      <c r="F740" s="358" t="n">
        <v>0</v>
      </c>
      <c r="G740" s="358" t="n">
        <v>0</v>
      </c>
      <c r="H740" s="359" t="n">
        <v>1</v>
      </c>
    </row>
    <row r="741" customFormat="false" ht="15" hidden="true" customHeight="false" outlineLevel="0" collapsed="false">
      <c r="B741" s="360" t="s">
        <v>3214</v>
      </c>
      <c r="C741" s="359" t="n">
        <v>1</v>
      </c>
      <c r="D741" s="358" t="n">
        <v>0</v>
      </c>
      <c r="E741" s="358" t="n">
        <v>0</v>
      </c>
      <c r="F741" s="358" t="n">
        <v>0</v>
      </c>
      <c r="G741" s="358" t="n">
        <v>0</v>
      </c>
      <c r="H741" s="359" t="n">
        <v>1</v>
      </c>
    </row>
    <row r="742" customFormat="false" ht="15" hidden="true" customHeight="false" outlineLevel="0" collapsed="false">
      <c r="B742" s="360" t="s">
        <v>3215</v>
      </c>
      <c r="C742" s="359" t="n">
        <v>1</v>
      </c>
      <c r="D742" s="358" t="n">
        <v>0</v>
      </c>
      <c r="E742" s="358" t="n">
        <v>0</v>
      </c>
      <c r="F742" s="358" t="n">
        <v>0</v>
      </c>
      <c r="G742" s="358" t="n">
        <v>0</v>
      </c>
      <c r="H742" s="359" t="n">
        <v>1</v>
      </c>
    </row>
    <row r="743" customFormat="false" ht="15" hidden="true" customHeight="false" outlineLevel="0" collapsed="false">
      <c r="B743" s="360" t="s">
        <v>3216</v>
      </c>
      <c r="C743" s="359" t="n">
        <v>1</v>
      </c>
      <c r="D743" s="358" t="n">
        <v>0</v>
      </c>
      <c r="E743" s="358" t="n">
        <v>0</v>
      </c>
      <c r="F743" s="358" t="n">
        <v>0</v>
      </c>
      <c r="G743" s="358" t="n">
        <v>0</v>
      </c>
      <c r="H743" s="359" t="n">
        <v>1</v>
      </c>
    </row>
    <row r="744" customFormat="false" ht="15" hidden="true" customHeight="false" outlineLevel="0" collapsed="false">
      <c r="B744" s="360" t="s">
        <v>3217</v>
      </c>
      <c r="C744" s="359" t="n">
        <v>1</v>
      </c>
      <c r="D744" s="358" t="n">
        <v>0</v>
      </c>
      <c r="E744" s="358" t="n">
        <v>0</v>
      </c>
      <c r="F744" s="358" t="n">
        <v>0</v>
      </c>
      <c r="G744" s="358" t="n">
        <v>0</v>
      </c>
      <c r="H744" s="359" t="n">
        <v>1</v>
      </c>
    </row>
    <row r="745" customFormat="false" ht="15" hidden="true" customHeight="false" outlineLevel="0" collapsed="false">
      <c r="B745" s="360" t="s">
        <v>3218</v>
      </c>
      <c r="C745" s="359" t="n">
        <v>1</v>
      </c>
      <c r="D745" s="358" t="n">
        <v>0</v>
      </c>
      <c r="E745" s="358" t="n">
        <v>0</v>
      </c>
      <c r="F745" s="358" t="n">
        <v>0</v>
      </c>
      <c r="G745" s="358" t="n">
        <v>0</v>
      </c>
      <c r="H745" s="359" t="n">
        <v>1</v>
      </c>
    </row>
    <row r="746" customFormat="false" ht="15" hidden="true" customHeight="false" outlineLevel="0" collapsed="false">
      <c r="B746" s="360" t="s">
        <v>3219</v>
      </c>
      <c r="C746" s="359" t="n">
        <v>1</v>
      </c>
      <c r="D746" s="358" t="n">
        <v>0</v>
      </c>
      <c r="E746" s="358" t="n">
        <v>0</v>
      </c>
      <c r="F746" s="358" t="n">
        <v>0</v>
      </c>
      <c r="G746" s="358" t="n">
        <v>0</v>
      </c>
      <c r="H746" s="359" t="n">
        <v>1</v>
      </c>
    </row>
    <row r="747" customFormat="false" ht="15" hidden="true" customHeight="false" outlineLevel="0" collapsed="false">
      <c r="B747" s="360" t="s">
        <v>3220</v>
      </c>
      <c r="C747" s="359" t="n">
        <v>1</v>
      </c>
      <c r="D747" s="358" t="n">
        <v>0</v>
      </c>
      <c r="E747" s="358" t="n">
        <v>0</v>
      </c>
      <c r="F747" s="358" t="n">
        <v>0</v>
      </c>
      <c r="G747" s="358" t="n">
        <v>0</v>
      </c>
      <c r="H747" s="359" t="n">
        <v>1</v>
      </c>
    </row>
    <row r="748" customFormat="false" ht="15" hidden="true" customHeight="false" outlineLevel="0" collapsed="false">
      <c r="B748" s="360" t="s">
        <v>3221</v>
      </c>
      <c r="C748" s="359" t="n">
        <v>1</v>
      </c>
      <c r="D748" s="358" t="n">
        <v>0</v>
      </c>
      <c r="E748" s="358" t="n">
        <v>0</v>
      </c>
      <c r="F748" s="358" t="n">
        <v>0</v>
      </c>
      <c r="G748" s="358" t="n">
        <v>0</v>
      </c>
      <c r="H748" s="359" t="n">
        <v>1</v>
      </c>
    </row>
    <row r="749" customFormat="false" ht="15" hidden="true" customHeight="false" outlineLevel="0" collapsed="false">
      <c r="B749" s="360" t="s">
        <v>3222</v>
      </c>
      <c r="C749" s="359" t="n">
        <v>1</v>
      </c>
      <c r="D749" s="358" t="n">
        <v>0</v>
      </c>
      <c r="E749" s="358" t="n">
        <v>0</v>
      </c>
      <c r="F749" s="358" t="n">
        <v>0</v>
      </c>
      <c r="G749" s="358" t="n">
        <v>0</v>
      </c>
      <c r="H749" s="359" t="n">
        <v>1</v>
      </c>
    </row>
    <row r="750" customFormat="false" ht="15" hidden="true" customHeight="false" outlineLevel="0" collapsed="false">
      <c r="B750" s="360" t="s">
        <v>3223</v>
      </c>
      <c r="C750" s="359" t="n">
        <v>1</v>
      </c>
      <c r="D750" s="358" t="n">
        <v>0</v>
      </c>
      <c r="E750" s="358" t="n">
        <v>0</v>
      </c>
      <c r="F750" s="358" t="n">
        <v>0</v>
      </c>
      <c r="G750" s="358" t="n">
        <v>0</v>
      </c>
      <c r="H750" s="359" t="n">
        <v>1</v>
      </c>
    </row>
    <row r="751" customFormat="false" ht="15" hidden="true" customHeight="false" outlineLevel="0" collapsed="false">
      <c r="B751" s="360" t="s">
        <v>3224</v>
      </c>
      <c r="C751" s="359" t="n">
        <v>1</v>
      </c>
      <c r="D751" s="358" t="n">
        <v>0</v>
      </c>
      <c r="E751" s="358" t="n">
        <v>0</v>
      </c>
      <c r="F751" s="358" t="n">
        <v>0</v>
      </c>
      <c r="G751" s="358" t="n">
        <v>0</v>
      </c>
      <c r="H751" s="359" t="n">
        <v>1</v>
      </c>
    </row>
    <row r="752" customFormat="false" ht="15" hidden="true" customHeight="false" outlineLevel="0" collapsed="false">
      <c r="B752" s="360" t="s">
        <v>3225</v>
      </c>
      <c r="C752" s="359" t="n">
        <v>1</v>
      </c>
      <c r="D752" s="358" t="n">
        <v>0</v>
      </c>
      <c r="E752" s="358" t="n">
        <v>0</v>
      </c>
      <c r="F752" s="358" t="n">
        <v>0</v>
      </c>
      <c r="G752" s="358" t="n">
        <v>0</v>
      </c>
      <c r="H752" s="359" t="n">
        <v>1</v>
      </c>
    </row>
    <row r="753" customFormat="false" ht="15" hidden="true" customHeight="false" outlineLevel="0" collapsed="false">
      <c r="B753" s="360" t="s">
        <v>3226</v>
      </c>
      <c r="C753" s="359" t="n">
        <v>1</v>
      </c>
      <c r="D753" s="358" t="n">
        <v>0</v>
      </c>
      <c r="E753" s="358" t="n">
        <v>0</v>
      </c>
      <c r="F753" s="358" t="n">
        <v>0</v>
      </c>
      <c r="G753" s="358" t="n">
        <v>0</v>
      </c>
      <c r="H753" s="359" t="n">
        <v>1</v>
      </c>
    </row>
    <row r="754" customFormat="false" ht="15" hidden="true" customHeight="false" outlineLevel="0" collapsed="false">
      <c r="B754" s="360" t="s">
        <v>3227</v>
      </c>
      <c r="C754" s="359" t="n">
        <v>1</v>
      </c>
      <c r="D754" s="358" t="n">
        <v>0</v>
      </c>
      <c r="E754" s="358" t="n">
        <v>0</v>
      </c>
      <c r="F754" s="358" t="n">
        <v>0</v>
      </c>
      <c r="G754" s="358" t="n">
        <v>0</v>
      </c>
      <c r="H754" s="359" t="n">
        <v>1</v>
      </c>
    </row>
    <row r="755" customFormat="false" ht="15" hidden="true" customHeight="false" outlineLevel="0" collapsed="false">
      <c r="B755" s="360" t="s">
        <v>3228</v>
      </c>
      <c r="C755" s="359" t="n">
        <v>1</v>
      </c>
      <c r="D755" s="358" t="n">
        <v>0</v>
      </c>
      <c r="E755" s="358" t="n">
        <v>0</v>
      </c>
      <c r="F755" s="358" t="n">
        <v>0</v>
      </c>
      <c r="G755" s="358" t="n">
        <v>0</v>
      </c>
      <c r="H755" s="359" t="n">
        <v>1</v>
      </c>
    </row>
    <row r="756" customFormat="false" ht="15" hidden="true" customHeight="false" outlineLevel="0" collapsed="false">
      <c r="B756" s="360" t="s">
        <v>3229</v>
      </c>
      <c r="C756" s="359" t="n">
        <v>1</v>
      </c>
      <c r="D756" s="358" t="n">
        <v>0</v>
      </c>
      <c r="E756" s="358" t="n">
        <v>0</v>
      </c>
      <c r="F756" s="358" t="n">
        <v>0</v>
      </c>
      <c r="G756" s="358" t="n">
        <v>0</v>
      </c>
      <c r="H756" s="359" t="n">
        <v>1</v>
      </c>
    </row>
    <row r="757" customFormat="false" ht="15" hidden="true" customHeight="false" outlineLevel="0" collapsed="false">
      <c r="B757" s="360" t="s">
        <v>3230</v>
      </c>
      <c r="C757" s="359" t="n">
        <v>1</v>
      </c>
      <c r="D757" s="358" t="n">
        <v>0</v>
      </c>
      <c r="E757" s="358" t="n">
        <v>0</v>
      </c>
      <c r="F757" s="358" t="n">
        <v>0</v>
      </c>
      <c r="G757" s="358" t="n">
        <v>0</v>
      </c>
      <c r="H757" s="359" t="n">
        <v>1</v>
      </c>
    </row>
    <row r="758" customFormat="false" ht="15" hidden="true" customHeight="false" outlineLevel="0" collapsed="false">
      <c r="B758" s="360" t="s">
        <v>3231</v>
      </c>
      <c r="C758" s="359" t="n">
        <v>1</v>
      </c>
      <c r="D758" s="358" t="n">
        <v>0</v>
      </c>
      <c r="E758" s="358" t="n">
        <v>0</v>
      </c>
      <c r="F758" s="358" t="n">
        <v>0</v>
      </c>
      <c r="G758" s="358" t="n">
        <v>0</v>
      </c>
      <c r="H758" s="359" t="n">
        <v>1</v>
      </c>
    </row>
    <row r="759" customFormat="false" ht="15" hidden="true" customHeight="false" outlineLevel="0" collapsed="false">
      <c r="B759" s="360" t="s">
        <v>3232</v>
      </c>
      <c r="C759" s="359" t="n">
        <v>1</v>
      </c>
      <c r="D759" s="358" t="n">
        <v>0</v>
      </c>
      <c r="E759" s="358" t="n">
        <v>0</v>
      </c>
      <c r="F759" s="358" t="n">
        <v>0</v>
      </c>
      <c r="G759" s="358" t="n">
        <v>0</v>
      </c>
      <c r="H759" s="359" t="n">
        <v>1</v>
      </c>
    </row>
    <row r="760" customFormat="false" ht="15" hidden="true" customHeight="false" outlineLevel="0" collapsed="false">
      <c r="B760" s="360" t="s">
        <v>3233</v>
      </c>
      <c r="C760" s="359" t="n">
        <v>1</v>
      </c>
      <c r="D760" s="358" t="n">
        <v>0</v>
      </c>
      <c r="E760" s="358" t="n">
        <v>0</v>
      </c>
      <c r="F760" s="358" t="n">
        <v>0</v>
      </c>
      <c r="G760" s="358" t="n">
        <v>0</v>
      </c>
      <c r="H760" s="359" t="n">
        <v>1</v>
      </c>
    </row>
    <row r="761" customFormat="false" ht="15" hidden="true" customHeight="false" outlineLevel="0" collapsed="false">
      <c r="B761" s="360" t="s">
        <v>3234</v>
      </c>
      <c r="C761" s="359" t="n">
        <v>1</v>
      </c>
      <c r="D761" s="358" t="n">
        <v>0</v>
      </c>
      <c r="E761" s="358" t="n">
        <v>0</v>
      </c>
      <c r="F761" s="358" t="n">
        <v>0</v>
      </c>
      <c r="G761" s="358" t="n">
        <v>0</v>
      </c>
      <c r="H761" s="359" t="n">
        <v>1</v>
      </c>
    </row>
    <row r="762" customFormat="false" ht="15" hidden="true" customHeight="false" outlineLevel="0" collapsed="false">
      <c r="B762" s="360" t="s">
        <v>3235</v>
      </c>
      <c r="C762" s="359" t="n">
        <v>1</v>
      </c>
      <c r="D762" s="358" t="n">
        <v>0</v>
      </c>
      <c r="E762" s="358" t="n">
        <v>0</v>
      </c>
      <c r="F762" s="358" t="n">
        <v>0</v>
      </c>
      <c r="G762" s="358" t="n">
        <v>0</v>
      </c>
      <c r="H762" s="359" t="n">
        <v>1</v>
      </c>
    </row>
    <row r="763" customFormat="false" ht="15" hidden="true" customHeight="false" outlineLevel="0" collapsed="false">
      <c r="B763" s="360" t="s">
        <v>3236</v>
      </c>
      <c r="C763" s="359" t="n">
        <v>1</v>
      </c>
      <c r="D763" s="358" t="n">
        <v>0</v>
      </c>
      <c r="E763" s="358" t="n">
        <v>0</v>
      </c>
      <c r="F763" s="358" t="n">
        <v>0</v>
      </c>
      <c r="G763" s="358" t="n">
        <v>0</v>
      </c>
      <c r="H763" s="359" t="n">
        <v>1</v>
      </c>
    </row>
    <row r="764" customFormat="false" ht="15" hidden="true" customHeight="false" outlineLevel="0" collapsed="false">
      <c r="B764" s="360" t="s">
        <v>3237</v>
      </c>
      <c r="C764" s="359" t="n">
        <v>1</v>
      </c>
      <c r="D764" s="358" t="n">
        <v>0</v>
      </c>
      <c r="E764" s="358" t="n">
        <v>0</v>
      </c>
      <c r="F764" s="358" t="n">
        <v>0</v>
      </c>
      <c r="G764" s="358" t="n">
        <v>0</v>
      </c>
      <c r="H764" s="359" t="n">
        <v>1</v>
      </c>
    </row>
    <row r="765" customFormat="false" ht="15" hidden="true" customHeight="false" outlineLevel="0" collapsed="false">
      <c r="B765" s="360" t="s">
        <v>3238</v>
      </c>
      <c r="C765" s="359" t="n">
        <v>1</v>
      </c>
      <c r="D765" s="358" t="n">
        <v>0</v>
      </c>
      <c r="E765" s="358" t="n">
        <v>0</v>
      </c>
      <c r="F765" s="358" t="n">
        <v>0</v>
      </c>
      <c r="G765" s="358" t="n">
        <v>0</v>
      </c>
      <c r="H765" s="359" t="n">
        <v>1</v>
      </c>
    </row>
    <row r="766" customFormat="false" ht="15" hidden="true" customHeight="false" outlineLevel="0" collapsed="false">
      <c r="B766" s="360" t="s">
        <v>3239</v>
      </c>
      <c r="C766" s="359" t="n">
        <v>1</v>
      </c>
      <c r="D766" s="358" t="n">
        <v>0</v>
      </c>
      <c r="E766" s="358" t="n">
        <v>0</v>
      </c>
      <c r="F766" s="358" t="n">
        <v>0</v>
      </c>
      <c r="G766" s="358" t="n">
        <v>0</v>
      </c>
      <c r="H766" s="359" t="n">
        <v>1</v>
      </c>
    </row>
    <row r="767" customFormat="false" ht="15" hidden="true" customHeight="false" outlineLevel="0" collapsed="false">
      <c r="B767" s="360" t="s">
        <v>3240</v>
      </c>
      <c r="C767" s="359" t="n">
        <v>1</v>
      </c>
      <c r="D767" s="358" t="n">
        <v>0</v>
      </c>
      <c r="E767" s="358" t="n">
        <v>0</v>
      </c>
      <c r="F767" s="358" t="n">
        <v>0</v>
      </c>
      <c r="G767" s="358" t="n">
        <v>0</v>
      </c>
      <c r="H767" s="359" t="n">
        <v>1</v>
      </c>
    </row>
    <row r="768" customFormat="false" ht="15" hidden="true" customHeight="false" outlineLevel="0" collapsed="false">
      <c r="B768" s="360" t="s">
        <v>3241</v>
      </c>
      <c r="C768" s="359" t="n">
        <v>0</v>
      </c>
      <c r="D768" s="358" t="n">
        <v>1</v>
      </c>
      <c r="E768" s="358" t="n">
        <v>0</v>
      </c>
      <c r="F768" s="358" t="n">
        <v>0</v>
      </c>
      <c r="G768" s="358" t="n">
        <v>0</v>
      </c>
      <c r="H768" s="359" t="n">
        <v>1</v>
      </c>
    </row>
    <row r="769" customFormat="false" ht="15" hidden="true" customHeight="false" outlineLevel="0" collapsed="false">
      <c r="B769" s="360" t="s">
        <v>3242</v>
      </c>
      <c r="C769" s="359" t="n">
        <v>1</v>
      </c>
      <c r="D769" s="358" t="n">
        <v>0</v>
      </c>
      <c r="E769" s="358" t="n">
        <v>0</v>
      </c>
      <c r="F769" s="358" t="n">
        <v>0</v>
      </c>
      <c r="G769" s="358" t="n">
        <v>0</v>
      </c>
      <c r="H769" s="359" t="n">
        <v>1</v>
      </c>
    </row>
    <row r="770" customFormat="false" ht="15" hidden="true" customHeight="false" outlineLevel="0" collapsed="false">
      <c r="B770" s="360" t="s">
        <v>3243</v>
      </c>
      <c r="C770" s="359" t="n">
        <v>1</v>
      </c>
      <c r="D770" s="358" t="n">
        <v>0</v>
      </c>
      <c r="E770" s="358" t="n">
        <v>0</v>
      </c>
      <c r="F770" s="358" t="n">
        <v>0</v>
      </c>
      <c r="G770" s="358" t="n">
        <v>0</v>
      </c>
      <c r="H770" s="359" t="n">
        <v>1</v>
      </c>
    </row>
    <row r="771" customFormat="false" ht="15" hidden="true" customHeight="false" outlineLevel="0" collapsed="false">
      <c r="B771" s="360" t="s">
        <v>3244</v>
      </c>
      <c r="C771" s="359" t="n">
        <v>1</v>
      </c>
      <c r="D771" s="358" t="n">
        <v>0</v>
      </c>
      <c r="E771" s="358" t="n">
        <v>0</v>
      </c>
      <c r="F771" s="358" t="n">
        <v>0</v>
      </c>
      <c r="G771" s="358" t="n">
        <v>0</v>
      </c>
      <c r="H771" s="359" t="n">
        <v>1</v>
      </c>
    </row>
    <row r="772" customFormat="false" ht="15" hidden="true" customHeight="false" outlineLevel="0" collapsed="false">
      <c r="B772" s="360" t="s">
        <v>3245</v>
      </c>
      <c r="C772" s="359" t="n">
        <v>1</v>
      </c>
      <c r="D772" s="358" t="n">
        <v>0</v>
      </c>
      <c r="E772" s="358" t="n">
        <v>0</v>
      </c>
      <c r="F772" s="358" t="n">
        <v>0</v>
      </c>
      <c r="G772" s="358" t="n">
        <v>0</v>
      </c>
      <c r="H772" s="359" t="n">
        <v>1</v>
      </c>
    </row>
    <row r="773" customFormat="false" ht="15" hidden="true" customHeight="false" outlineLevel="0" collapsed="false">
      <c r="B773" s="360" t="s">
        <v>3246</v>
      </c>
      <c r="C773" s="359" t="n">
        <v>1</v>
      </c>
      <c r="D773" s="358" t="n">
        <v>0</v>
      </c>
      <c r="E773" s="358" t="n">
        <v>0</v>
      </c>
      <c r="F773" s="358" t="n">
        <v>0</v>
      </c>
      <c r="G773" s="358" t="n">
        <v>0</v>
      </c>
      <c r="H773" s="359" t="n">
        <v>1</v>
      </c>
    </row>
    <row r="774" customFormat="false" ht="15" hidden="true" customHeight="false" outlineLevel="0" collapsed="false">
      <c r="B774" s="361" t="s">
        <v>3247</v>
      </c>
      <c r="C774" s="359" t="n">
        <v>1</v>
      </c>
      <c r="D774" s="358" t="n">
        <v>0</v>
      </c>
      <c r="E774" s="358" t="n">
        <v>0</v>
      </c>
      <c r="F774" s="358" t="n">
        <v>0</v>
      </c>
      <c r="G774" s="358" t="n">
        <v>0</v>
      </c>
      <c r="H774" s="359" t="n">
        <v>1</v>
      </c>
    </row>
    <row r="775" customFormat="false" ht="15" hidden="false" customHeight="false" outlineLevel="0" collapsed="false">
      <c r="B775" s="313" t="s">
        <v>2472</v>
      </c>
      <c r="C775" s="357" t="n">
        <v>28</v>
      </c>
      <c r="D775" s="358" t="n">
        <v>0</v>
      </c>
      <c r="E775" s="358" t="n">
        <v>0</v>
      </c>
      <c r="F775" s="358" t="n">
        <v>0</v>
      </c>
      <c r="G775" s="358" t="n">
        <v>0</v>
      </c>
      <c r="H775" s="357" t="n">
        <v>28</v>
      </c>
    </row>
    <row r="776" customFormat="false" ht="15" hidden="false" customHeight="false" outlineLevel="0" collapsed="false">
      <c r="B776" s="364" t="s">
        <v>2472</v>
      </c>
      <c r="C776" s="365" t="n">
        <v>17</v>
      </c>
      <c r="D776" s="358" t="n">
        <v>0</v>
      </c>
      <c r="E776" s="358" t="n">
        <v>0</v>
      </c>
      <c r="F776" s="358" t="n">
        <v>0</v>
      </c>
      <c r="G776" s="358" t="n">
        <v>0</v>
      </c>
      <c r="H776" s="365" t="n">
        <v>17</v>
      </c>
    </row>
    <row r="777" customFormat="false" ht="15" hidden="true" customHeight="false" outlineLevel="0" collapsed="false">
      <c r="B777" s="360" t="s">
        <v>3248</v>
      </c>
      <c r="C777" s="359" t="n">
        <v>1</v>
      </c>
      <c r="D777" s="358" t="n">
        <v>0</v>
      </c>
      <c r="E777" s="358" t="n">
        <v>0</v>
      </c>
      <c r="F777" s="358" t="n">
        <v>0</v>
      </c>
      <c r="G777" s="358" t="n">
        <v>0</v>
      </c>
      <c r="H777" s="359" t="n">
        <v>1</v>
      </c>
    </row>
    <row r="778" customFormat="false" ht="15" hidden="true" customHeight="false" outlineLevel="0" collapsed="false">
      <c r="B778" s="360" t="s">
        <v>3249</v>
      </c>
      <c r="C778" s="359" t="n">
        <v>1</v>
      </c>
      <c r="D778" s="358" t="n">
        <v>0</v>
      </c>
      <c r="E778" s="358" t="n">
        <v>0</v>
      </c>
      <c r="F778" s="358" t="n">
        <v>0</v>
      </c>
      <c r="G778" s="358" t="n">
        <v>0</v>
      </c>
      <c r="H778" s="359" t="n">
        <v>1</v>
      </c>
    </row>
    <row r="779" customFormat="false" ht="15" hidden="true" customHeight="false" outlineLevel="0" collapsed="false">
      <c r="B779" s="360" t="s">
        <v>3250</v>
      </c>
      <c r="C779" s="359" t="n">
        <v>1</v>
      </c>
      <c r="D779" s="358" t="n">
        <v>0</v>
      </c>
      <c r="E779" s="358" t="n">
        <v>0</v>
      </c>
      <c r="F779" s="358" t="n">
        <v>0</v>
      </c>
      <c r="G779" s="358" t="n">
        <v>0</v>
      </c>
      <c r="H779" s="359" t="n">
        <v>1</v>
      </c>
    </row>
    <row r="780" customFormat="false" ht="15" hidden="true" customHeight="false" outlineLevel="0" collapsed="false">
      <c r="B780" s="360" t="s">
        <v>3251</v>
      </c>
      <c r="C780" s="359" t="n">
        <v>1</v>
      </c>
      <c r="D780" s="358" t="n">
        <v>0</v>
      </c>
      <c r="E780" s="358" t="n">
        <v>0</v>
      </c>
      <c r="F780" s="358" t="n">
        <v>0</v>
      </c>
      <c r="G780" s="358" t="n">
        <v>0</v>
      </c>
      <c r="H780" s="359" t="n">
        <v>1</v>
      </c>
    </row>
    <row r="781" customFormat="false" ht="15" hidden="true" customHeight="false" outlineLevel="0" collapsed="false">
      <c r="B781" s="360" t="s">
        <v>3252</v>
      </c>
      <c r="C781" s="359" t="n">
        <v>1</v>
      </c>
      <c r="D781" s="358" t="n">
        <v>0</v>
      </c>
      <c r="E781" s="358" t="n">
        <v>0</v>
      </c>
      <c r="F781" s="358" t="n">
        <v>0</v>
      </c>
      <c r="G781" s="358" t="n">
        <v>0</v>
      </c>
      <c r="H781" s="359" t="n">
        <v>1</v>
      </c>
    </row>
    <row r="782" customFormat="false" ht="15" hidden="true" customHeight="false" outlineLevel="0" collapsed="false">
      <c r="B782" s="360" t="s">
        <v>3253</v>
      </c>
      <c r="C782" s="359" t="n">
        <v>1</v>
      </c>
      <c r="D782" s="358" t="n">
        <v>0</v>
      </c>
      <c r="E782" s="358" t="n">
        <v>0</v>
      </c>
      <c r="F782" s="358" t="n">
        <v>0</v>
      </c>
      <c r="G782" s="358" t="n">
        <v>0</v>
      </c>
      <c r="H782" s="359" t="n">
        <v>1</v>
      </c>
    </row>
    <row r="783" customFormat="false" ht="15" hidden="true" customHeight="false" outlineLevel="0" collapsed="false">
      <c r="B783" s="360" t="s">
        <v>3254</v>
      </c>
      <c r="C783" s="359" t="n">
        <v>1</v>
      </c>
      <c r="D783" s="358" t="n">
        <v>0</v>
      </c>
      <c r="E783" s="358" t="n">
        <v>0</v>
      </c>
      <c r="F783" s="358" t="n">
        <v>0</v>
      </c>
      <c r="G783" s="358" t="n">
        <v>0</v>
      </c>
      <c r="H783" s="359" t="n">
        <v>1</v>
      </c>
    </row>
    <row r="784" customFormat="false" ht="15" hidden="true" customHeight="false" outlineLevel="0" collapsed="false">
      <c r="B784" s="360" t="s">
        <v>3255</v>
      </c>
      <c r="C784" s="359" t="n">
        <v>1</v>
      </c>
      <c r="D784" s="358" t="n">
        <v>0</v>
      </c>
      <c r="E784" s="358" t="n">
        <v>0</v>
      </c>
      <c r="F784" s="358" t="n">
        <v>0</v>
      </c>
      <c r="G784" s="358" t="n">
        <v>0</v>
      </c>
      <c r="H784" s="359" t="n">
        <v>1</v>
      </c>
    </row>
    <row r="785" customFormat="false" ht="15" hidden="true" customHeight="false" outlineLevel="0" collapsed="false">
      <c r="B785" s="360" t="s">
        <v>3256</v>
      </c>
      <c r="C785" s="359" t="n">
        <v>1</v>
      </c>
      <c r="D785" s="358" t="n">
        <v>0</v>
      </c>
      <c r="E785" s="358" t="n">
        <v>0</v>
      </c>
      <c r="F785" s="358" t="n">
        <v>0</v>
      </c>
      <c r="G785" s="358" t="n">
        <v>0</v>
      </c>
      <c r="H785" s="359" t="n">
        <v>1</v>
      </c>
    </row>
    <row r="786" customFormat="false" ht="15" hidden="true" customHeight="false" outlineLevel="0" collapsed="false">
      <c r="B786" s="360" t="s">
        <v>3257</v>
      </c>
      <c r="C786" s="359" t="n">
        <v>1</v>
      </c>
      <c r="D786" s="358" t="n">
        <v>0</v>
      </c>
      <c r="E786" s="358" t="n">
        <v>0</v>
      </c>
      <c r="F786" s="358" t="n">
        <v>0</v>
      </c>
      <c r="G786" s="358" t="n">
        <v>0</v>
      </c>
      <c r="H786" s="359" t="n">
        <v>1</v>
      </c>
    </row>
    <row r="787" customFormat="false" ht="15" hidden="true" customHeight="false" outlineLevel="0" collapsed="false">
      <c r="B787" s="360" t="s">
        <v>3258</v>
      </c>
      <c r="C787" s="359" t="n">
        <v>1</v>
      </c>
      <c r="D787" s="358" t="n">
        <v>0</v>
      </c>
      <c r="E787" s="358" t="n">
        <v>0</v>
      </c>
      <c r="F787" s="358" t="n">
        <v>0</v>
      </c>
      <c r="G787" s="358" t="n">
        <v>0</v>
      </c>
      <c r="H787" s="359" t="n">
        <v>1</v>
      </c>
    </row>
    <row r="788" customFormat="false" ht="15" hidden="true" customHeight="false" outlineLevel="0" collapsed="false">
      <c r="B788" s="360" t="s">
        <v>3259</v>
      </c>
      <c r="C788" s="359" t="n">
        <v>1</v>
      </c>
      <c r="D788" s="358" t="n">
        <v>0</v>
      </c>
      <c r="E788" s="358" t="n">
        <v>0</v>
      </c>
      <c r="F788" s="358" t="n">
        <v>0</v>
      </c>
      <c r="G788" s="358" t="n">
        <v>0</v>
      </c>
      <c r="H788" s="359" t="n">
        <v>1</v>
      </c>
    </row>
    <row r="789" customFormat="false" ht="15" hidden="true" customHeight="false" outlineLevel="0" collapsed="false">
      <c r="B789" s="360" t="s">
        <v>3260</v>
      </c>
      <c r="C789" s="359" t="n">
        <v>1</v>
      </c>
      <c r="D789" s="358" t="n">
        <v>0</v>
      </c>
      <c r="E789" s="358" t="n">
        <v>0</v>
      </c>
      <c r="F789" s="358" t="n">
        <v>0</v>
      </c>
      <c r="G789" s="358" t="n">
        <v>0</v>
      </c>
      <c r="H789" s="359" t="n">
        <v>1</v>
      </c>
    </row>
    <row r="790" customFormat="false" ht="15" hidden="true" customHeight="false" outlineLevel="0" collapsed="false">
      <c r="B790" s="360" t="s">
        <v>3261</v>
      </c>
      <c r="C790" s="359" t="n">
        <v>1</v>
      </c>
      <c r="D790" s="358" t="n">
        <v>0</v>
      </c>
      <c r="E790" s="358" t="n">
        <v>0</v>
      </c>
      <c r="F790" s="358" t="n">
        <v>0</v>
      </c>
      <c r="G790" s="358" t="n">
        <v>0</v>
      </c>
      <c r="H790" s="359" t="n">
        <v>1</v>
      </c>
    </row>
    <row r="791" customFormat="false" ht="15" hidden="true" customHeight="false" outlineLevel="0" collapsed="false">
      <c r="B791" s="360" t="s">
        <v>3262</v>
      </c>
      <c r="C791" s="359" t="n">
        <v>1</v>
      </c>
      <c r="D791" s="358" t="n">
        <v>0</v>
      </c>
      <c r="E791" s="358" t="n">
        <v>0</v>
      </c>
      <c r="F791" s="358" t="n">
        <v>0</v>
      </c>
      <c r="G791" s="358" t="n">
        <v>0</v>
      </c>
      <c r="H791" s="359" t="n">
        <v>1</v>
      </c>
    </row>
    <row r="792" customFormat="false" ht="15" hidden="true" customHeight="false" outlineLevel="0" collapsed="false">
      <c r="B792" s="360" t="s">
        <v>3263</v>
      </c>
      <c r="C792" s="359" t="n">
        <v>1</v>
      </c>
      <c r="D792" s="358" t="n">
        <v>0</v>
      </c>
      <c r="E792" s="358" t="n">
        <v>0</v>
      </c>
      <c r="F792" s="358" t="n">
        <v>0</v>
      </c>
      <c r="G792" s="358" t="n">
        <v>0</v>
      </c>
      <c r="H792" s="359" t="n">
        <v>1</v>
      </c>
    </row>
    <row r="793" customFormat="false" ht="15" hidden="true" customHeight="false" outlineLevel="0" collapsed="false">
      <c r="B793" s="360" t="s">
        <v>3264</v>
      </c>
      <c r="C793" s="359" t="n">
        <v>1</v>
      </c>
      <c r="D793" s="358" t="n">
        <v>0</v>
      </c>
      <c r="E793" s="358" t="n">
        <v>0</v>
      </c>
      <c r="F793" s="358" t="n">
        <v>0</v>
      </c>
      <c r="G793" s="358" t="n">
        <v>0</v>
      </c>
      <c r="H793" s="359" t="n">
        <v>1</v>
      </c>
    </row>
    <row r="794" customFormat="false" ht="15" hidden="false" customHeight="false" outlineLevel="0" collapsed="false">
      <c r="B794" s="364" t="s">
        <v>2468</v>
      </c>
      <c r="C794" s="365" t="n">
        <v>11</v>
      </c>
      <c r="D794" s="358" t="n">
        <v>0</v>
      </c>
      <c r="E794" s="358" t="n">
        <v>0</v>
      </c>
      <c r="F794" s="358" t="n">
        <v>0</v>
      </c>
      <c r="G794" s="358" t="n">
        <v>0</v>
      </c>
      <c r="H794" s="365" t="n">
        <v>11</v>
      </c>
    </row>
    <row r="795" customFormat="false" ht="15" hidden="true" customHeight="false" outlineLevel="0" collapsed="false">
      <c r="B795" s="360" t="s">
        <v>3265</v>
      </c>
      <c r="C795" s="359" t="n">
        <v>1</v>
      </c>
      <c r="D795" s="358" t="n">
        <v>0</v>
      </c>
      <c r="E795" s="358" t="n">
        <v>0</v>
      </c>
      <c r="F795" s="358" t="n">
        <v>0</v>
      </c>
      <c r="G795" s="358" t="n">
        <v>0</v>
      </c>
      <c r="H795" s="359" t="n">
        <v>1</v>
      </c>
    </row>
    <row r="796" customFormat="false" ht="15" hidden="true" customHeight="false" outlineLevel="0" collapsed="false">
      <c r="B796" s="360" t="s">
        <v>3266</v>
      </c>
      <c r="C796" s="359" t="n">
        <v>1</v>
      </c>
      <c r="D796" s="358" t="n">
        <v>0</v>
      </c>
      <c r="E796" s="358" t="n">
        <v>0</v>
      </c>
      <c r="F796" s="358" t="n">
        <v>0</v>
      </c>
      <c r="G796" s="358" t="n">
        <v>0</v>
      </c>
      <c r="H796" s="359" t="n">
        <v>1</v>
      </c>
    </row>
    <row r="797" customFormat="false" ht="15" hidden="true" customHeight="false" outlineLevel="0" collapsed="false">
      <c r="B797" s="360" t="s">
        <v>3267</v>
      </c>
      <c r="C797" s="359" t="n">
        <v>1</v>
      </c>
      <c r="D797" s="358" t="n">
        <v>0</v>
      </c>
      <c r="E797" s="358" t="n">
        <v>0</v>
      </c>
      <c r="F797" s="358" t="n">
        <v>0</v>
      </c>
      <c r="G797" s="358" t="n">
        <v>0</v>
      </c>
      <c r="H797" s="359" t="n">
        <v>1</v>
      </c>
    </row>
    <row r="798" customFormat="false" ht="15" hidden="true" customHeight="false" outlineLevel="0" collapsed="false">
      <c r="B798" s="360" t="s">
        <v>3268</v>
      </c>
      <c r="C798" s="359" t="n">
        <v>1</v>
      </c>
      <c r="D798" s="358" t="n">
        <v>0</v>
      </c>
      <c r="E798" s="358" t="n">
        <v>0</v>
      </c>
      <c r="F798" s="358" t="n">
        <v>0</v>
      </c>
      <c r="G798" s="358" t="n">
        <v>0</v>
      </c>
      <c r="H798" s="359" t="n">
        <v>1</v>
      </c>
    </row>
    <row r="799" customFormat="false" ht="15" hidden="true" customHeight="false" outlineLevel="0" collapsed="false">
      <c r="B799" s="360" t="s">
        <v>3269</v>
      </c>
      <c r="C799" s="359" t="n">
        <v>1</v>
      </c>
      <c r="D799" s="358" t="n">
        <v>0</v>
      </c>
      <c r="E799" s="358" t="n">
        <v>0</v>
      </c>
      <c r="F799" s="358" t="n">
        <v>0</v>
      </c>
      <c r="G799" s="358" t="n">
        <v>0</v>
      </c>
      <c r="H799" s="359" t="n">
        <v>1</v>
      </c>
    </row>
    <row r="800" customFormat="false" ht="15" hidden="true" customHeight="false" outlineLevel="0" collapsed="false">
      <c r="B800" s="360" t="s">
        <v>3270</v>
      </c>
      <c r="C800" s="359" t="n">
        <v>1</v>
      </c>
      <c r="D800" s="358" t="n">
        <v>0</v>
      </c>
      <c r="E800" s="358" t="n">
        <v>0</v>
      </c>
      <c r="F800" s="358" t="n">
        <v>0</v>
      </c>
      <c r="G800" s="358" t="n">
        <v>0</v>
      </c>
      <c r="H800" s="359" t="n">
        <v>1</v>
      </c>
    </row>
    <row r="801" customFormat="false" ht="15" hidden="true" customHeight="false" outlineLevel="0" collapsed="false">
      <c r="B801" s="360" t="s">
        <v>3271</v>
      </c>
      <c r="C801" s="359" t="n">
        <v>1</v>
      </c>
      <c r="D801" s="358" t="n">
        <v>0</v>
      </c>
      <c r="E801" s="358" t="n">
        <v>0</v>
      </c>
      <c r="F801" s="358" t="n">
        <v>0</v>
      </c>
      <c r="G801" s="358" t="n">
        <v>0</v>
      </c>
      <c r="H801" s="359" t="n">
        <v>1</v>
      </c>
    </row>
    <row r="802" customFormat="false" ht="15" hidden="true" customHeight="false" outlineLevel="0" collapsed="false">
      <c r="B802" s="360" t="s">
        <v>3272</v>
      </c>
      <c r="C802" s="359" t="n">
        <v>1</v>
      </c>
      <c r="D802" s="358" t="n">
        <v>0</v>
      </c>
      <c r="E802" s="358" t="n">
        <v>0</v>
      </c>
      <c r="F802" s="358" t="n">
        <v>0</v>
      </c>
      <c r="G802" s="358" t="n">
        <v>0</v>
      </c>
      <c r="H802" s="359" t="n">
        <v>1</v>
      </c>
    </row>
    <row r="803" customFormat="false" ht="15" hidden="true" customHeight="false" outlineLevel="0" collapsed="false">
      <c r="B803" s="360" t="s">
        <v>3273</v>
      </c>
      <c r="C803" s="359" t="n">
        <v>1</v>
      </c>
      <c r="D803" s="358" t="n">
        <v>0</v>
      </c>
      <c r="E803" s="358" t="n">
        <v>0</v>
      </c>
      <c r="F803" s="358" t="n">
        <v>0</v>
      </c>
      <c r="G803" s="358" t="n">
        <v>0</v>
      </c>
      <c r="H803" s="359" t="n">
        <v>1</v>
      </c>
    </row>
    <row r="804" customFormat="false" ht="15" hidden="true" customHeight="false" outlineLevel="0" collapsed="false">
      <c r="B804" s="360" t="s">
        <v>3274</v>
      </c>
      <c r="C804" s="359" t="n">
        <v>1</v>
      </c>
      <c r="D804" s="358" t="n">
        <v>0</v>
      </c>
      <c r="E804" s="358" t="n">
        <v>0</v>
      </c>
      <c r="F804" s="358" t="n">
        <v>0</v>
      </c>
      <c r="G804" s="358" t="n">
        <v>0</v>
      </c>
      <c r="H804" s="359" t="n">
        <v>1</v>
      </c>
    </row>
    <row r="805" customFormat="false" ht="15" hidden="true" customHeight="false" outlineLevel="0" collapsed="false">
      <c r="B805" s="360" t="s">
        <v>3275</v>
      </c>
      <c r="C805" s="359" t="n">
        <v>1</v>
      </c>
      <c r="D805" s="358" t="n">
        <v>0</v>
      </c>
      <c r="E805" s="358" t="n">
        <v>0</v>
      </c>
      <c r="F805" s="358" t="n">
        <v>0</v>
      </c>
      <c r="G805" s="358" t="n">
        <v>0</v>
      </c>
      <c r="H805" s="359" t="n">
        <v>1</v>
      </c>
    </row>
    <row r="806" customFormat="false" ht="15" hidden="false" customHeight="false" outlineLevel="0" collapsed="false">
      <c r="B806" s="313" t="s">
        <v>2473</v>
      </c>
      <c r="C806" s="357" t="n">
        <v>21</v>
      </c>
      <c r="D806" s="358" t="n">
        <v>1</v>
      </c>
      <c r="E806" s="358" t="n">
        <v>0</v>
      </c>
      <c r="F806" s="358" t="n">
        <v>0</v>
      </c>
      <c r="G806" s="358" t="n">
        <v>0</v>
      </c>
      <c r="H806" s="357" t="n">
        <v>22</v>
      </c>
    </row>
    <row r="807" customFormat="false" ht="15" hidden="true" customHeight="false" outlineLevel="0" collapsed="false">
      <c r="B807" s="360" t="s">
        <v>3276</v>
      </c>
      <c r="C807" s="359" t="n">
        <v>1</v>
      </c>
      <c r="D807" s="358" t="n">
        <v>0</v>
      </c>
      <c r="E807" s="358" t="n">
        <v>0</v>
      </c>
      <c r="F807" s="358" t="n">
        <v>0</v>
      </c>
      <c r="G807" s="358" t="n">
        <v>0</v>
      </c>
      <c r="H807" s="359" t="n">
        <v>1</v>
      </c>
    </row>
    <row r="808" customFormat="false" ht="15" hidden="true" customHeight="false" outlineLevel="0" collapsed="false">
      <c r="B808" s="360" t="s">
        <v>3277</v>
      </c>
      <c r="C808" s="359" t="n">
        <v>1</v>
      </c>
      <c r="D808" s="358" t="n">
        <v>0</v>
      </c>
      <c r="E808" s="358" t="n">
        <v>0</v>
      </c>
      <c r="F808" s="358" t="n">
        <v>0</v>
      </c>
      <c r="G808" s="358" t="n">
        <v>0</v>
      </c>
      <c r="H808" s="359" t="n">
        <v>1</v>
      </c>
    </row>
    <row r="809" customFormat="false" ht="15" hidden="true" customHeight="false" outlineLevel="0" collapsed="false">
      <c r="B809" s="360" t="s">
        <v>3278</v>
      </c>
      <c r="C809" s="359" t="n">
        <v>1</v>
      </c>
      <c r="D809" s="358" t="n">
        <v>0</v>
      </c>
      <c r="E809" s="358" t="n">
        <v>0</v>
      </c>
      <c r="F809" s="358" t="n">
        <v>0</v>
      </c>
      <c r="G809" s="358" t="n">
        <v>0</v>
      </c>
      <c r="H809" s="359" t="n">
        <v>1</v>
      </c>
    </row>
    <row r="810" customFormat="false" ht="15" hidden="true" customHeight="false" outlineLevel="0" collapsed="false">
      <c r="B810" s="360" t="s">
        <v>3279</v>
      </c>
      <c r="C810" s="359" t="n">
        <v>1</v>
      </c>
      <c r="D810" s="358" t="n">
        <v>0</v>
      </c>
      <c r="E810" s="358" t="n">
        <v>0</v>
      </c>
      <c r="F810" s="358" t="n">
        <v>0</v>
      </c>
      <c r="G810" s="358" t="n">
        <v>0</v>
      </c>
      <c r="H810" s="359" t="n">
        <v>1</v>
      </c>
    </row>
    <row r="811" customFormat="false" ht="15" hidden="true" customHeight="false" outlineLevel="0" collapsed="false">
      <c r="B811" s="360" t="s">
        <v>3280</v>
      </c>
      <c r="C811" s="359" t="n">
        <v>1</v>
      </c>
      <c r="D811" s="358" t="n">
        <v>0</v>
      </c>
      <c r="E811" s="358" t="n">
        <v>0</v>
      </c>
      <c r="F811" s="358" t="n">
        <v>0</v>
      </c>
      <c r="G811" s="358" t="n">
        <v>0</v>
      </c>
      <c r="H811" s="359" t="n">
        <v>1</v>
      </c>
    </row>
    <row r="812" customFormat="false" ht="15" hidden="true" customHeight="false" outlineLevel="0" collapsed="false">
      <c r="B812" s="360" t="s">
        <v>3281</v>
      </c>
      <c r="C812" s="359" t="n">
        <v>1</v>
      </c>
      <c r="D812" s="358" t="n">
        <v>0</v>
      </c>
      <c r="E812" s="358" t="n">
        <v>0</v>
      </c>
      <c r="F812" s="358" t="n">
        <v>0</v>
      </c>
      <c r="G812" s="358" t="n">
        <v>0</v>
      </c>
      <c r="H812" s="359" t="n">
        <v>1</v>
      </c>
    </row>
    <row r="813" customFormat="false" ht="15" hidden="true" customHeight="false" outlineLevel="0" collapsed="false">
      <c r="B813" s="360" t="s">
        <v>3282</v>
      </c>
      <c r="C813" s="359" t="n">
        <v>1</v>
      </c>
      <c r="D813" s="358" t="n">
        <v>0</v>
      </c>
      <c r="E813" s="358" t="n">
        <v>0</v>
      </c>
      <c r="F813" s="358" t="n">
        <v>0</v>
      </c>
      <c r="G813" s="358" t="n">
        <v>0</v>
      </c>
      <c r="H813" s="359" t="n">
        <v>1</v>
      </c>
    </row>
    <row r="814" customFormat="false" ht="15" hidden="true" customHeight="false" outlineLevel="0" collapsed="false">
      <c r="B814" s="360" t="s">
        <v>3283</v>
      </c>
      <c r="C814" s="359" t="n">
        <v>1</v>
      </c>
      <c r="D814" s="358" t="n">
        <v>0</v>
      </c>
      <c r="E814" s="358" t="n">
        <v>0</v>
      </c>
      <c r="F814" s="358" t="n">
        <v>0</v>
      </c>
      <c r="G814" s="358" t="n">
        <v>0</v>
      </c>
      <c r="H814" s="359" t="n">
        <v>1</v>
      </c>
    </row>
    <row r="815" customFormat="false" ht="15" hidden="true" customHeight="false" outlineLevel="0" collapsed="false">
      <c r="B815" s="360" t="s">
        <v>3284</v>
      </c>
      <c r="C815" s="359" t="n">
        <v>1</v>
      </c>
      <c r="D815" s="358" t="n">
        <v>0</v>
      </c>
      <c r="E815" s="358" t="n">
        <v>0</v>
      </c>
      <c r="F815" s="358" t="n">
        <v>0</v>
      </c>
      <c r="G815" s="358" t="n">
        <v>0</v>
      </c>
      <c r="H815" s="359" t="n">
        <v>1</v>
      </c>
    </row>
    <row r="816" customFormat="false" ht="15" hidden="true" customHeight="false" outlineLevel="0" collapsed="false">
      <c r="B816" s="360" t="s">
        <v>3285</v>
      </c>
      <c r="C816" s="359" t="n">
        <v>1</v>
      </c>
      <c r="D816" s="358" t="n">
        <v>0</v>
      </c>
      <c r="E816" s="358" t="n">
        <v>0</v>
      </c>
      <c r="F816" s="358" t="n">
        <v>0</v>
      </c>
      <c r="G816" s="358" t="n">
        <v>0</v>
      </c>
      <c r="H816" s="359" t="n">
        <v>1</v>
      </c>
    </row>
    <row r="817" customFormat="false" ht="15" hidden="true" customHeight="false" outlineLevel="0" collapsed="false">
      <c r="B817" s="360" t="s">
        <v>3286</v>
      </c>
      <c r="C817" s="359" t="n">
        <v>1</v>
      </c>
      <c r="D817" s="358" t="n">
        <v>0</v>
      </c>
      <c r="E817" s="358" t="n">
        <v>0</v>
      </c>
      <c r="F817" s="358" t="n">
        <v>0</v>
      </c>
      <c r="G817" s="358" t="n">
        <v>0</v>
      </c>
      <c r="H817" s="359" t="n">
        <v>1</v>
      </c>
    </row>
    <row r="818" customFormat="false" ht="15" hidden="true" customHeight="false" outlineLevel="0" collapsed="false">
      <c r="B818" s="360" t="s">
        <v>3287</v>
      </c>
      <c r="C818" s="359" t="n">
        <v>1</v>
      </c>
      <c r="D818" s="358" t="n">
        <v>0</v>
      </c>
      <c r="E818" s="358" t="n">
        <v>0</v>
      </c>
      <c r="F818" s="358" t="n">
        <v>0</v>
      </c>
      <c r="G818" s="358" t="n">
        <v>0</v>
      </c>
      <c r="H818" s="359" t="n">
        <v>1</v>
      </c>
    </row>
    <row r="819" customFormat="false" ht="15" hidden="true" customHeight="false" outlineLevel="0" collapsed="false">
      <c r="B819" s="360" t="s">
        <v>3288</v>
      </c>
      <c r="C819" s="359" t="n">
        <v>1</v>
      </c>
      <c r="D819" s="358" t="n">
        <v>0</v>
      </c>
      <c r="E819" s="358" t="n">
        <v>0</v>
      </c>
      <c r="F819" s="358" t="n">
        <v>0</v>
      </c>
      <c r="G819" s="358" t="n">
        <v>0</v>
      </c>
      <c r="H819" s="359" t="n">
        <v>1</v>
      </c>
    </row>
    <row r="820" customFormat="false" ht="15" hidden="true" customHeight="false" outlineLevel="0" collapsed="false">
      <c r="B820" s="360" t="s">
        <v>3289</v>
      </c>
      <c r="C820" s="359" t="n">
        <v>1</v>
      </c>
      <c r="D820" s="358" t="n">
        <v>0</v>
      </c>
      <c r="E820" s="358" t="n">
        <v>0</v>
      </c>
      <c r="F820" s="358" t="n">
        <v>0</v>
      </c>
      <c r="G820" s="358" t="n">
        <v>0</v>
      </c>
      <c r="H820" s="359" t="n">
        <v>1</v>
      </c>
    </row>
    <row r="821" customFormat="false" ht="15" hidden="true" customHeight="false" outlineLevel="0" collapsed="false">
      <c r="B821" s="360" t="s">
        <v>3290</v>
      </c>
      <c r="C821" s="359" t="n">
        <v>1</v>
      </c>
      <c r="D821" s="358" t="n">
        <v>0</v>
      </c>
      <c r="E821" s="358" t="n">
        <v>0</v>
      </c>
      <c r="F821" s="358" t="n">
        <v>0</v>
      </c>
      <c r="G821" s="358" t="n">
        <v>0</v>
      </c>
      <c r="H821" s="359" t="n">
        <v>1</v>
      </c>
    </row>
    <row r="822" customFormat="false" ht="15" hidden="true" customHeight="false" outlineLevel="0" collapsed="false">
      <c r="B822" s="360" t="s">
        <v>3291</v>
      </c>
      <c r="C822" s="359" t="n">
        <v>1</v>
      </c>
      <c r="D822" s="358" t="n">
        <v>0</v>
      </c>
      <c r="E822" s="358" t="n">
        <v>0</v>
      </c>
      <c r="F822" s="358" t="n">
        <v>0</v>
      </c>
      <c r="G822" s="358" t="n">
        <v>0</v>
      </c>
      <c r="H822" s="359" t="n">
        <v>1</v>
      </c>
    </row>
    <row r="823" customFormat="false" ht="15" hidden="true" customHeight="false" outlineLevel="0" collapsed="false">
      <c r="B823" s="361" t="s">
        <v>3292</v>
      </c>
      <c r="C823" s="359" t="n">
        <v>0</v>
      </c>
      <c r="D823" s="358" t="n">
        <v>1</v>
      </c>
      <c r="E823" s="358" t="n">
        <v>0</v>
      </c>
      <c r="F823" s="358" t="n">
        <v>0</v>
      </c>
      <c r="G823" s="358" t="n">
        <v>0</v>
      </c>
      <c r="H823" s="359" t="n">
        <v>1</v>
      </c>
    </row>
    <row r="824" customFormat="false" ht="15" hidden="true" customHeight="false" outlineLevel="0" collapsed="false">
      <c r="B824" s="360" t="s">
        <v>3293</v>
      </c>
      <c r="C824" s="359" t="n">
        <v>1</v>
      </c>
      <c r="D824" s="358" t="n">
        <v>0</v>
      </c>
      <c r="E824" s="358" t="n">
        <v>0</v>
      </c>
      <c r="F824" s="358" t="n">
        <v>0</v>
      </c>
      <c r="G824" s="358" t="n">
        <v>0</v>
      </c>
      <c r="H824" s="359" t="n">
        <v>1</v>
      </c>
    </row>
    <row r="825" customFormat="false" ht="15" hidden="true" customHeight="false" outlineLevel="0" collapsed="false">
      <c r="B825" s="360" t="s">
        <v>3294</v>
      </c>
      <c r="C825" s="359" t="n">
        <v>1</v>
      </c>
      <c r="D825" s="358" t="n">
        <v>0</v>
      </c>
      <c r="E825" s="358" t="n">
        <v>0</v>
      </c>
      <c r="F825" s="358" t="n">
        <v>0</v>
      </c>
      <c r="G825" s="358" t="n">
        <v>0</v>
      </c>
      <c r="H825" s="359" t="n">
        <v>1</v>
      </c>
    </row>
    <row r="826" customFormat="false" ht="15" hidden="true" customHeight="false" outlineLevel="0" collapsed="false">
      <c r="B826" s="360" t="s">
        <v>3295</v>
      </c>
      <c r="C826" s="359" t="n">
        <v>1</v>
      </c>
      <c r="D826" s="358" t="n">
        <v>0</v>
      </c>
      <c r="E826" s="358" t="n">
        <v>0</v>
      </c>
      <c r="F826" s="358" t="n">
        <v>0</v>
      </c>
      <c r="G826" s="358" t="n">
        <v>0</v>
      </c>
      <c r="H826" s="359" t="n">
        <v>1</v>
      </c>
    </row>
    <row r="827" customFormat="false" ht="15" hidden="true" customHeight="false" outlineLevel="0" collapsed="false">
      <c r="B827" s="360" t="s">
        <v>3296</v>
      </c>
      <c r="C827" s="359" t="n">
        <v>1</v>
      </c>
      <c r="D827" s="358" t="n">
        <v>0</v>
      </c>
      <c r="E827" s="358" t="n">
        <v>0</v>
      </c>
      <c r="F827" s="358" t="n">
        <v>0</v>
      </c>
      <c r="G827" s="358" t="n">
        <v>0</v>
      </c>
      <c r="H827" s="359" t="n">
        <v>1</v>
      </c>
    </row>
    <row r="828" customFormat="false" ht="15" hidden="true" customHeight="false" outlineLevel="0" collapsed="false">
      <c r="B828" s="360" t="s">
        <v>3297</v>
      </c>
      <c r="C828" s="359" t="n">
        <v>1</v>
      </c>
      <c r="D828" s="358" t="n">
        <v>0</v>
      </c>
      <c r="E828" s="358" t="n">
        <v>0</v>
      </c>
      <c r="F828" s="358" t="n">
        <v>0</v>
      </c>
      <c r="G828" s="358" t="n">
        <v>0</v>
      </c>
      <c r="H828" s="359" t="n">
        <v>1</v>
      </c>
    </row>
    <row r="829" customFormat="false" ht="15" hidden="false" customHeight="false" outlineLevel="0" collapsed="false">
      <c r="B829" s="356" t="s">
        <v>615</v>
      </c>
      <c r="C829" s="357" t="n">
        <v>73</v>
      </c>
      <c r="D829" s="358" t="n">
        <v>0</v>
      </c>
      <c r="E829" s="358" t="n">
        <v>0</v>
      </c>
      <c r="F829" s="358" t="n">
        <v>0</v>
      </c>
      <c r="G829" s="358" t="n">
        <v>0</v>
      </c>
      <c r="H829" s="357" t="n">
        <v>73</v>
      </c>
    </row>
    <row r="830" customFormat="false" ht="15" hidden="true" customHeight="false" outlineLevel="0" collapsed="false">
      <c r="B830" s="360" t="s">
        <v>3298</v>
      </c>
      <c r="C830" s="359" t="n">
        <v>1</v>
      </c>
      <c r="D830" s="358" t="n">
        <v>0</v>
      </c>
      <c r="E830" s="358" t="n">
        <v>0</v>
      </c>
      <c r="F830" s="358" t="n">
        <v>0</v>
      </c>
      <c r="G830" s="358" t="n">
        <v>0</v>
      </c>
      <c r="H830" s="359" t="n">
        <v>1</v>
      </c>
    </row>
    <row r="831" customFormat="false" ht="15" hidden="true" customHeight="false" outlineLevel="0" collapsed="false">
      <c r="B831" s="360" t="s">
        <v>3299</v>
      </c>
      <c r="C831" s="359" t="n">
        <v>1</v>
      </c>
      <c r="D831" s="358" t="n">
        <v>0</v>
      </c>
      <c r="E831" s="358" t="n">
        <v>0</v>
      </c>
      <c r="F831" s="358" t="n">
        <v>0</v>
      </c>
      <c r="G831" s="358" t="n">
        <v>0</v>
      </c>
      <c r="H831" s="359" t="n">
        <v>1</v>
      </c>
    </row>
    <row r="832" customFormat="false" ht="15" hidden="true" customHeight="false" outlineLevel="0" collapsed="false">
      <c r="B832" s="360" t="s">
        <v>3300</v>
      </c>
      <c r="C832" s="359" t="n">
        <v>1</v>
      </c>
      <c r="D832" s="358" t="n">
        <v>0</v>
      </c>
      <c r="E832" s="358" t="n">
        <v>0</v>
      </c>
      <c r="F832" s="358" t="n">
        <v>0</v>
      </c>
      <c r="G832" s="358" t="n">
        <v>0</v>
      </c>
      <c r="H832" s="359" t="n">
        <v>1</v>
      </c>
    </row>
    <row r="833" customFormat="false" ht="15" hidden="true" customHeight="false" outlineLevel="0" collapsed="false">
      <c r="B833" s="360" t="s">
        <v>3301</v>
      </c>
      <c r="C833" s="359" t="n">
        <v>1</v>
      </c>
      <c r="D833" s="358" t="n">
        <v>0</v>
      </c>
      <c r="E833" s="358" t="n">
        <v>0</v>
      </c>
      <c r="F833" s="358" t="n">
        <v>0</v>
      </c>
      <c r="G833" s="358" t="n">
        <v>0</v>
      </c>
      <c r="H833" s="359" t="n">
        <v>1</v>
      </c>
    </row>
    <row r="834" customFormat="false" ht="15" hidden="true" customHeight="false" outlineLevel="0" collapsed="false">
      <c r="B834" s="360" t="s">
        <v>3302</v>
      </c>
      <c r="C834" s="359" t="n">
        <v>1</v>
      </c>
      <c r="D834" s="358" t="n">
        <v>0</v>
      </c>
      <c r="E834" s="358" t="n">
        <v>0</v>
      </c>
      <c r="F834" s="358" t="n">
        <v>0</v>
      </c>
      <c r="G834" s="358" t="n">
        <v>0</v>
      </c>
      <c r="H834" s="359" t="n">
        <v>1</v>
      </c>
    </row>
    <row r="835" customFormat="false" ht="15" hidden="true" customHeight="false" outlineLevel="0" collapsed="false">
      <c r="B835" s="360" t="s">
        <v>3303</v>
      </c>
      <c r="C835" s="359" t="n">
        <v>1</v>
      </c>
      <c r="D835" s="358" t="n">
        <v>0</v>
      </c>
      <c r="E835" s="358" t="n">
        <v>0</v>
      </c>
      <c r="F835" s="358" t="n">
        <v>0</v>
      </c>
      <c r="G835" s="358" t="n">
        <v>0</v>
      </c>
      <c r="H835" s="359" t="n">
        <v>1</v>
      </c>
    </row>
    <row r="836" customFormat="false" ht="15" hidden="true" customHeight="false" outlineLevel="0" collapsed="false">
      <c r="B836" s="360" t="s">
        <v>3304</v>
      </c>
      <c r="C836" s="359" t="n">
        <v>1</v>
      </c>
      <c r="D836" s="358" t="n">
        <v>0</v>
      </c>
      <c r="E836" s="358" t="n">
        <v>0</v>
      </c>
      <c r="F836" s="358" t="n">
        <v>0</v>
      </c>
      <c r="G836" s="358" t="n">
        <v>0</v>
      </c>
      <c r="H836" s="359" t="n">
        <v>1</v>
      </c>
    </row>
    <row r="837" customFormat="false" ht="15" hidden="true" customHeight="false" outlineLevel="0" collapsed="false">
      <c r="B837" s="360" t="s">
        <v>3305</v>
      </c>
      <c r="C837" s="359" t="n">
        <v>1</v>
      </c>
      <c r="D837" s="358" t="n">
        <v>0</v>
      </c>
      <c r="E837" s="358" t="n">
        <v>0</v>
      </c>
      <c r="F837" s="358" t="n">
        <v>0</v>
      </c>
      <c r="G837" s="358" t="n">
        <v>0</v>
      </c>
      <c r="H837" s="359" t="n">
        <v>1</v>
      </c>
    </row>
    <row r="838" customFormat="false" ht="15" hidden="true" customHeight="false" outlineLevel="0" collapsed="false">
      <c r="B838" s="360" t="s">
        <v>3306</v>
      </c>
      <c r="C838" s="359" t="n">
        <v>1</v>
      </c>
      <c r="D838" s="358" t="n">
        <v>0</v>
      </c>
      <c r="E838" s="358" t="n">
        <v>0</v>
      </c>
      <c r="F838" s="358" t="n">
        <v>0</v>
      </c>
      <c r="G838" s="358" t="n">
        <v>0</v>
      </c>
      <c r="H838" s="359" t="n">
        <v>1</v>
      </c>
    </row>
    <row r="839" customFormat="false" ht="15" hidden="true" customHeight="false" outlineLevel="0" collapsed="false">
      <c r="B839" s="360" t="s">
        <v>3307</v>
      </c>
      <c r="C839" s="359" t="n">
        <v>1</v>
      </c>
      <c r="D839" s="358" t="n">
        <v>0</v>
      </c>
      <c r="E839" s="358" t="n">
        <v>0</v>
      </c>
      <c r="F839" s="358" t="n">
        <v>0</v>
      </c>
      <c r="G839" s="358" t="n">
        <v>0</v>
      </c>
      <c r="H839" s="359" t="n">
        <v>1</v>
      </c>
    </row>
    <row r="840" customFormat="false" ht="15" hidden="true" customHeight="false" outlineLevel="0" collapsed="false">
      <c r="B840" s="360" t="s">
        <v>3308</v>
      </c>
      <c r="C840" s="359" t="n">
        <v>1</v>
      </c>
      <c r="D840" s="358" t="n">
        <v>0</v>
      </c>
      <c r="E840" s="358" t="n">
        <v>0</v>
      </c>
      <c r="F840" s="358" t="n">
        <v>0</v>
      </c>
      <c r="G840" s="358" t="n">
        <v>0</v>
      </c>
      <c r="H840" s="359" t="n">
        <v>1</v>
      </c>
    </row>
    <row r="841" customFormat="false" ht="15" hidden="true" customHeight="false" outlineLevel="0" collapsed="false">
      <c r="B841" s="360" t="s">
        <v>3309</v>
      </c>
      <c r="C841" s="359" t="n">
        <v>1</v>
      </c>
      <c r="D841" s="358" t="n">
        <v>0</v>
      </c>
      <c r="E841" s="358" t="n">
        <v>0</v>
      </c>
      <c r="F841" s="358" t="n">
        <v>0</v>
      </c>
      <c r="G841" s="358" t="n">
        <v>0</v>
      </c>
      <c r="H841" s="359" t="n">
        <v>1</v>
      </c>
    </row>
    <row r="842" customFormat="false" ht="15" hidden="true" customHeight="false" outlineLevel="0" collapsed="false">
      <c r="B842" s="360" t="s">
        <v>3310</v>
      </c>
      <c r="C842" s="359" t="n">
        <v>1</v>
      </c>
      <c r="D842" s="358" t="n">
        <v>0</v>
      </c>
      <c r="E842" s="358" t="n">
        <v>0</v>
      </c>
      <c r="F842" s="358" t="n">
        <v>0</v>
      </c>
      <c r="G842" s="358" t="n">
        <v>0</v>
      </c>
      <c r="H842" s="359" t="n">
        <v>1</v>
      </c>
    </row>
    <row r="843" customFormat="false" ht="15" hidden="true" customHeight="false" outlineLevel="0" collapsed="false">
      <c r="B843" s="360" t="s">
        <v>3311</v>
      </c>
      <c r="C843" s="359" t="n">
        <v>1</v>
      </c>
      <c r="D843" s="358" t="n">
        <v>0</v>
      </c>
      <c r="E843" s="358" t="n">
        <v>0</v>
      </c>
      <c r="F843" s="358" t="n">
        <v>0</v>
      </c>
      <c r="G843" s="358" t="n">
        <v>0</v>
      </c>
      <c r="H843" s="359" t="n">
        <v>1</v>
      </c>
    </row>
    <row r="844" customFormat="false" ht="15" hidden="true" customHeight="false" outlineLevel="0" collapsed="false">
      <c r="B844" s="360" t="s">
        <v>3312</v>
      </c>
      <c r="C844" s="359" t="n">
        <v>1</v>
      </c>
      <c r="D844" s="358" t="n">
        <v>0</v>
      </c>
      <c r="E844" s="358" t="n">
        <v>0</v>
      </c>
      <c r="F844" s="358" t="n">
        <v>0</v>
      </c>
      <c r="G844" s="358" t="n">
        <v>0</v>
      </c>
      <c r="H844" s="359" t="n">
        <v>1</v>
      </c>
    </row>
    <row r="845" customFormat="false" ht="15" hidden="true" customHeight="false" outlineLevel="0" collapsed="false">
      <c r="B845" s="360" t="s">
        <v>3313</v>
      </c>
      <c r="C845" s="359" t="n">
        <v>1</v>
      </c>
      <c r="D845" s="358" t="n">
        <v>0</v>
      </c>
      <c r="E845" s="358" t="n">
        <v>0</v>
      </c>
      <c r="F845" s="358" t="n">
        <v>0</v>
      </c>
      <c r="G845" s="358" t="n">
        <v>0</v>
      </c>
      <c r="H845" s="359" t="n">
        <v>1</v>
      </c>
    </row>
    <row r="846" customFormat="false" ht="15" hidden="true" customHeight="false" outlineLevel="0" collapsed="false">
      <c r="B846" s="360" t="s">
        <v>3314</v>
      </c>
      <c r="C846" s="359" t="n">
        <v>1</v>
      </c>
      <c r="D846" s="358" t="n">
        <v>0</v>
      </c>
      <c r="E846" s="358" t="n">
        <v>0</v>
      </c>
      <c r="F846" s="358" t="n">
        <v>0</v>
      </c>
      <c r="G846" s="358" t="n">
        <v>0</v>
      </c>
      <c r="H846" s="359" t="n">
        <v>1</v>
      </c>
    </row>
    <row r="847" customFormat="false" ht="15" hidden="true" customHeight="false" outlineLevel="0" collapsed="false">
      <c r="B847" s="360" t="s">
        <v>3315</v>
      </c>
      <c r="C847" s="359" t="n">
        <v>1</v>
      </c>
      <c r="D847" s="358" t="n">
        <v>0</v>
      </c>
      <c r="E847" s="358" t="n">
        <v>0</v>
      </c>
      <c r="F847" s="358" t="n">
        <v>0</v>
      </c>
      <c r="G847" s="358" t="n">
        <v>0</v>
      </c>
      <c r="H847" s="359" t="n">
        <v>1</v>
      </c>
    </row>
    <row r="848" customFormat="false" ht="15" hidden="true" customHeight="false" outlineLevel="0" collapsed="false">
      <c r="B848" s="360" t="s">
        <v>3316</v>
      </c>
      <c r="C848" s="359" t="n">
        <v>1</v>
      </c>
      <c r="D848" s="358" t="n">
        <v>0</v>
      </c>
      <c r="E848" s="358" t="n">
        <v>0</v>
      </c>
      <c r="F848" s="358" t="n">
        <v>0</v>
      </c>
      <c r="G848" s="358" t="n">
        <v>0</v>
      </c>
      <c r="H848" s="359" t="n">
        <v>1</v>
      </c>
    </row>
    <row r="849" customFormat="false" ht="15" hidden="true" customHeight="false" outlineLevel="0" collapsed="false">
      <c r="B849" s="360" t="s">
        <v>3317</v>
      </c>
      <c r="C849" s="359" t="n">
        <v>1</v>
      </c>
      <c r="D849" s="358" t="n">
        <v>0</v>
      </c>
      <c r="E849" s="358" t="n">
        <v>0</v>
      </c>
      <c r="F849" s="358" t="n">
        <v>0</v>
      </c>
      <c r="G849" s="358" t="n">
        <v>0</v>
      </c>
      <c r="H849" s="359" t="n">
        <v>1</v>
      </c>
    </row>
    <row r="850" customFormat="false" ht="15" hidden="true" customHeight="false" outlineLevel="0" collapsed="false">
      <c r="B850" s="360" t="s">
        <v>3318</v>
      </c>
      <c r="C850" s="359" t="n">
        <v>1</v>
      </c>
      <c r="D850" s="358" t="n">
        <v>0</v>
      </c>
      <c r="E850" s="358" t="n">
        <v>0</v>
      </c>
      <c r="F850" s="358" t="n">
        <v>0</v>
      </c>
      <c r="G850" s="358" t="n">
        <v>0</v>
      </c>
      <c r="H850" s="359" t="n">
        <v>1</v>
      </c>
    </row>
    <row r="851" customFormat="false" ht="15" hidden="true" customHeight="false" outlineLevel="0" collapsed="false">
      <c r="B851" s="360" t="s">
        <v>3319</v>
      </c>
      <c r="C851" s="359" t="n">
        <v>1</v>
      </c>
      <c r="D851" s="358" t="n">
        <v>0</v>
      </c>
      <c r="E851" s="358" t="n">
        <v>0</v>
      </c>
      <c r="F851" s="358" t="n">
        <v>0</v>
      </c>
      <c r="G851" s="358" t="n">
        <v>0</v>
      </c>
      <c r="H851" s="359" t="n">
        <v>1</v>
      </c>
    </row>
    <row r="852" customFormat="false" ht="15" hidden="true" customHeight="false" outlineLevel="0" collapsed="false">
      <c r="B852" s="360" t="s">
        <v>3320</v>
      </c>
      <c r="C852" s="359" t="n">
        <v>1</v>
      </c>
      <c r="D852" s="358" t="n">
        <v>0</v>
      </c>
      <c r="E852" s="358" t="n">
        <v>0</v>
      </c>
      <c r="F852" s="358" t="n">
        <v>0</v>
      </c>
      <c r="G852" s="358" t="n">
        <v>0</v>
      </c>
      <c r="H852" s="359" t="n">
        <v>1</v>
      </c>
    </row>
    <row r="853" customFormat="false" ht="15" hidden="true" customHeight="false" outlineLevel="0" collapsed="false">
      <c r="B853" s="360" t="s">
        <v>3321</v>
      </c>
      <c r="C853" s="359" t="n">
        <v>1</v>
      </c>
      <c r="D853" s="358" t="n">
        <v>0</v>
      </c>
      <c r="E853" s="358" t="n">
        <v>0</v>
      </c>
      <c r="F853" s="358" t="n">
        <v>0</v>
      </c>
      <c r="G853" s="358" t="n">
        <v>0</v>
      </c>
      <c r="H853" s="359" t="n">
        <v>1</v>
      </c>
    </row>
    <row r="854" customFormat="false" ht="15" hidden="true" customHeight="false" outlineLevel="0" collapsed="false">
      <c r="B854" s="360" t="s">
        <v>3322</v>
      </c>
      <c r="C854" s="359" t="n">
        <v>1</v>
      </c>
      <c r="D854" s="358" t="n">
        <v>0</v>
      </c>
      <c r="E854" s="358" t="n">
        <v>0</v>
      </c>
      <c r="F854" s="358" t="n">
        <v>0</v>
      </c>
      <c r="G854" s="358" t="n">
        <v>0</v>
      </c>
      <c r="H854" s="359" t="n">
        <v>1</v>
      </c>
    </row>
    <row r="855" customFormat="false" ht="15" hidden="true" customHeight="false" outlineLevel="0" collapsed="false">
      <c r="B855" s="360" t="s">
        <v>3323</v>
      </c>
      <c r="C855" s="359" t="n">
        <v>1</v>
      </c>
      <c r="D855" s="358" t="n">
        <v>0</v>
      </c>
      <c r="E855" s="358" t="n">
        <v>0</v>
      </c>
      <c r="F855" s="358" t="n">
        <v>0</v>
      </c>
      <c r="G855" s="358" t="n">
        <v>0</v>
      </c>
      <c r="H855" s="359" t="n">
        <v>1</v>
      </c>
    </row>
    <row r="856" customFormat="false" ht="15" hidden="true" customHeight="false" outlineLevel="0" collapsed="false">
      <c r="B856" s="360" t="s">
        <v>3324</v>
      </c>
      <c r="C856" s="359" t="n">
        <v>1</v>
      </c>
      <c r="D856" s="358" t="n">
        <v>0</v>
      </c>
      <c r="E856" s="358" t="n">
        <v>0</v>
      </c>
      <c r="F856" s="358" t="n">
        <v>0</v>
      </c>
      <c r="G856" s="358" t="n">
        <v>0</v>
      </c>
      <c r="H856" s="359" t="n">
        <v>1</v>
      </c>
    </row>
    <row r="857" customFormat="false" ht="15" hidden="true" customHeight="false" outlineLevel="0" collapsed="false">
      <c r="B857" s="360" t="s">
        <v>3325</v>
      </c>
      <c r="C857" s="359" t="n">
        <v>1</v>
      </c>
      <c r="D857" s="358" t="n">
        <v>0</v>
      </c>
      <c r="E857" s="358" t="n">
        <v>0</v>
      </c>
      <c r="F857" s="358" t="n">
        <v>0</v>
      </c>
      <c r="G857" s="358" t="n">
        <v>0</v>
      </c>
      <c r="H857" s="359" t="n">
        <v>1</v>
      </c>
    </row>
    <row r="858" customFormat="false" ht="15" hidden="true" customHeight="false" outlineLevel="0" collapsed="false">
      <c r="B858" s="360" t="s">
        <v>3326</v>
      </c>
      <c r="C858" s="359" t="n">
        <v>1</v>
      </c>
      <c r="D858" s="358" t="n">
        <v>0</v>
      </c>
      <c r="E858" s="358" t="n">
        <v>0</v>
      </c>
      <c r="F858" s="358" t="n">
        <v>0</v>
      </c>
      <c r="G858" s="358" t="n">
        <v>0</v>
      </c>
      <c r="H858" s="359" t="n">
        <v>1</v>
      </c>
    </row>
    <row r="859" customFormat="false" ht="15" hidden="true" customHeight="false" outlineLevel="0" collapsed="false">
      <c r="B859" s="360" t="s">
        <v>3327</v>
      </c>
      <c r="C859" s="359" t="n">
        <v>1</v>
      </c>
      <c r="D859" s="358" t="n">
        <v>0</v>
      </c>
      <c r="E859" s="358" t="n">
        <v>0</v>
      </c>
      <c r="F859" s="358" t="n">
        <v>0</v>
      </c>
      <c r="G859" s="358" t="n">
        <v>0</v>
      </c>
      <c r="H859" s="359" t="n">
        <v>1</v>
      </c>
    </row>
    <row r="860" customFormat="false" ht="15" hidden="true" customHeight="false" outlineLevel="0" collapsed="false">
      <c r="B860" s="360" t="s">
        <v>3328</v>
      </c>
      <c r="C860" s="359" t="n">
        <v>1</v>
      </c>
      <c r="D860" s="358" t="n">
        <v>0</v>
      </c>
      <c r="E860" s="358" t="n">
        <v>0</v>
      </c>
      <c r="F860" s="358" t="n">
        <v>0</v>
      </c>
      <c r="G860" s="358" t="n">
        <v>0</v>
      </c>
      <c r="H860" s="359" t="n">
        <v>1</v>
      </c>
    </row>
    <row r="861" customFormat="false" ht="15" hidden="true" customHeight="false" outlineLevel="0" collapsed="false">
      <c r="B861" s="360" t="s">
        <v>3329</v>
      </c>
      <c r="C861" s="359" t="n">
        <v>1</v>
      </c>
      <c r="D861" s="358" t="n">
        <v>0</v>
      </c>
      <c r="E861" s="358" t="n">
        <v>0</v>
      </c>
      <c r="F861" s="358" t="n">
        <v>0</v>
      </c>
      <c r="G861" s="358" t="n">
        <v>0</v>
      </c>
      <c r="H861" s="359" t="n">
        <v>1</v>
      </c>
    </row>
    <row r="862" customFormat="false" ht="15" hidden="true" customHeight="false" outlineLevel="0" collapsed="false">
      <c r="B862" s="360" t="s">
        <v>3330</v>
      </c>
      <c r="C862" s="359" t="n">
        <v>1</v>
      </c>
      <c r="D862" s="358" t="n">
        <v>0</v>
      </c>
      <c r="E862" s="358" t="n">
        <v>0</v>
      </c>
      <c r="F862" s="358" t="n">
        <v>0</v>
      </c>
      <c r="G862" s="358" t="n">
        <v>0</v>
      </c>
      <c r="H862" s="359" t="n">
        <v>1</v>
      </c>
    </row>
    <row r="863" customFormat="false" ht="15" hidden="true" customHeight="false" outlineLevel="0" collapsed="false">
      <c r="B863" s="360" t="s">
        <v>3331</v>
      </c>
      <c r="C863" s="359" t="n">
        <v>1</v>
      </c>
      <c r="D863" s="358" t="n">
        <v>0</v>
      </c>
      <c r="E863" s="358" t="n">
        <v>0</v>
      </c>
      <c r="F863" s="358" t="n">
        <v>0</v>
      </c>
      <c r="G863" s="358" t="n">
        <v>0</v>
      </c>
      <c r="H863" s="359" t="n">
        <v>1</v>
      </c>
    </row>
    <row r="864" customFormat="false" ht="15" hidden="true" customHeight="false" outlineLevel="0" collapsed="false">
      <c r="B864" s="360" t="s">
        <v>3332</v>
      </c>
      <c r="C864" s="359" t="n">
        <v>1</v>
      </c>
      <c r="D864" s="358" t="n">
        <v>0</v>
      </c>
      <c r="E864" s="358" t="n">
        <v>0</v>
      </c>
      <c r="F864" s="358" t="n">
        <v>0</v>
      </c>
      <c r="G864" s="358" t="n">
        <v>0</v>
      </c>
      <c r="H864" s="359" t="n">
        <v>1</v>
      </c>
    </row>
    <row r="865" customFormat="false" ht="15" hidden="true" customHeight="false" outlineLevel="0" collapsed="false">
      <c r="B865" s="360" t="s">
        <v>3333</v>
      </c>
      <c r="C865" s="359" t="n">
        <v>1</v>
      </c>
      <c r="D865" s="358" t="n">
        <v>0</v>
      </c>
      <c r="E865" s="358" t="n">
        <v>0</v>
      </c>
      <c r="F865" s="358" t="n">
        <v>0</v>
      </c>
      <c r="G865" s="358" t="n">
        <v>0</v>
      </c>
      <c r="H865" s="359" t="n">
        <v>1</v>
      </c>
    </row>
    <row r="866" customFormat="false" ht="15" hidden="true" customHeight="false" outlineLevel="0" collapsed="false">
      <c r="B866" s="360" t="s">
        <v>3334</v>
      </c>
      <c r="C866" s="359" t="n">
        <v>1</v>
      </c>
      <c r="D866" s="358" t="n">
        <v>0</v>
      </c>
      <c r="E866" s="358" t="n">
        <v>0</v>
      </c>
      <c r="F866" s="358" t="n">
        <v>0</v>
      </c>
      <c r="G866" s="358" t="n">
        <v>0</v>
      </c>
      <c r="H866" s="359" t="n">
        <v>1</v>
      </c>
    </row>
    <row r="867" customFormat="false" ht="15" hidden="true" customHeight="false" outlineLevel="0" collapsed="false">
      <c r="B867" s="360" t="s">
        <v>3335</v>
      </c>
      <c r="C867" s="359" t="n">
        <v>1</v>
      </c>
      <c r="D867" s="358" t="n">
        <v>0</v>
      </c>
      <c r="E867" s="358" t="n">
        <v>0</v>
      </c>
      <c r="F867" s="358" t="n">
        <v>0</v>
      </c>
      <c r="G867" s="358" t="n">
        <v>0</v>
      </c>
      <c r="H867" s="359" t="n">
        <v>1</v>
      </c>
    </row>
    <row r="868" customFormat="false" ht="15" hidden="true" customHeight="false" outlineLevel="0" collapsed="false">
      <c r="B868" s="360" t="s">
        <v>3336</v>
      </c>
      <c r="C868" s="359" t="n">
        <v>1</v>
      </c>
      <c r="D868" s="358" t="n">
        <v>0</v>
      </c>
      <c r="E868" s="358" t="n">
        <v>0</v>
      </c>
      <c r="F868" s="358" t="n">
        <v>0</v>
      </c>
      <c r="G868" s="358" t="n">
        <v>0</v>
      </c>
      <c r="H868" s="359" t="n">
        <v>1</v>
      </c>
    </row>
    <row r="869" customFormat="false" ht="15" hidden="true" customHeight="false" outlineLevel="0" collapsed="false">
      <c r="B869" s="360" t="s">
        <v>3337</v>
      </c>
      <c r="C869" s="359" t="n">
        <v>1</v>
      </c>
      <c r="D869" s="358" t="n">
        <v>0</v>
      </c>
      <c r="E869" s="358" t="n">
        <v>0</v>
      </c>
      <c r="F869" s="358" t="n">
        <v>0</v>
      </c>
      <c r="G869" s="358" t="n">
        <v>0</v>
      </c>
      <c r="H869" s="359" t="n">
        <v>1</v>
      </c>
    </row>
    <row r="870" customFormat="false" ht="15" hidden="true" customHeight="false" outlineLevel="0" collapsed="false">
      <c r="B870" s="360" t="s">
        <v>3338</v>
      </c>
      <c r="C870" s="359" t="n">
        <v>1</v>
      </c>
      <c r="D870" s="358" t="n">
        <v>0</v>
      </c>
      <c r="E870" s="358" t="n">
        <v>0</v>
      </c>
      <c r="F870" s="358" t="n">
        <v>0</v>
      </c>
      <c r="G870" s="358" t="n">
        <v>0</v>
      </c>
      <c r="H870" s="359" t="n">
        <v>1</v>
      </c>
    </row>
    <row r="871" customFormat="false" ht="15" hidden="true" customHeight="false" outlineLevel="0" collapsed="false">
      <c r="B871" s="360" t="s">
        <v>3339</v>
      </c>
      <c r="C871" s="359" t="n">
        <v>1</v>
      </c>
      <c r="D871" s="358" t="n">
        <v>0</v>
      </c>
      <c r="E871" s="358" t="n">
        <v>0</v>
      </c>
      <c r="F871" s="358" t="n">
        <v>0</v>
      </c>
      <c r="G871" s="358" t="n">
        <v>0</v>
      </c>
      <c r="H871" s="359" t="n">
        <v>1</v>
      </c>
    </row>
    <row r="872" customFormat="false" ht="15" hidden="true" customHeight="false" outlineLevel="0" collapsed="false">
      <c r="B872" s="360" t="s">
        <v>3340</v>
      </c>
      <c r="C872" s="359" t="n">
        <v>1</v>
      </c>
      <c r="D872" s="358" t="n">
        <v>0</v>
      </c>
      <c r="E872" s="358" t="n">
        <v>0</v>
      </c>
      <c r="F872" s="358" t="n">
        <v>0</v>
      </c>
      <c r="G872" s="358" t="n">
        <v>0</v>
      </c>
      <c r="H872" s="359" t="n">
        <v>1</v>
      </c>
    </row>
    <row r="873" customFormat="false" ht="15" hidden="true" customHeight="false" outlineLevel="0" collapsed="false">
      <c r="B873" s="360" t="s">
        <v>3341</v>
      </c>
      <c r="C873" s="359" t="n">
        <v>1</v>
      </c>
      <c r="D873" s="358" t="n">
        <v>0</v>
      </c>
      <c r="E873" s="358" t="n">
        <v>0</v>
      </c>
      <c r="F873" s="358" t="n">
        <v>0</v>
      </c>
      <c r="G873" s="358" t="n">
        <v>0</v>
      </c>
      <c r="H873" s="359" t="n">
        <v>1</v>
      </c>
    </row>
    <row r="874" customFormat="false" ht="15" hidden="true" customHeight="false" outlineLevel="0" collapsed="false">
      <c r="B874" s="360" t="s">
        <v>3342</v>
      </c>
      <c r="C874" s="359" t="n">
        <v>1</v>
      </c>
      <c r="D874" s="358" t="n">
        <v>0</v>
      </c>
      <c r="E874" s="358" t="n">
        <v>0</v>
      </c>
      <c r="F874" s="358" t="n">
        <v>0</v>
      </c>
      <c r="G874" s="358" t="n">
        <v>0</v>
      </c>
      <c r="H874" s="359" t="n">
        <v>1</v>
      </c>
    </row>
    <row r="875" customFormat="false" ht="15" hidden="true" customHeight="false" outlineLevel="0" collapsed="false">
      <c r="B875" s="360" t="s">
        <v>3343</v>
      </c>
      <c r="C875" s="359" t="n">
        <v>1</v>
      </c>
      <c r="D875" s="358" t="n">
        <v>0</v>
      </c>
      <c r="E875" s="358" t="n">
        <v>0</v>
      </c>
      <c r="F875" s="358" t="n">
        <v>0</v>
      </c>
      <c r="G875" s="358" t="n">
        <v>0</v>
      </c>
      <c r="H875" s="359" t="n">
        <v>1</v>
      </c>
    </row>
    <row r="876" customFormat="false" ht="15" hidden="true" customHeight="false" outlineLevel="0" collapsed="false">
      <c r="B876" s="360" t="s">
        <v>3344</v>
      </c>
      <c r="C876" s="359" t="n">
        <v>1</v>
      </c>
      <c r="D876" s="358" t="n">
        <v>0</v>
      </c>
      <c r="E876" s="358" t="n">
        <v>0</v>
      </c>
      <c r="F876" s="358" t="n">
        <v>0</v>
      </c>
      <c r="G876" s="358" t="n">
        <v>0</v>
      </c>
      <c r="H876" s="359" t="n">
        <v>1</v>
      </c>
    </row>
    <row r="877" customFormat="false" ht="15" hidden="true" customHeight="false" outlineLevel="0" collapsed="false">
      <c r="B877" s="360" t="s">
        <v>3345</v>
      </c>
      <c r="C877" s="359" t="n">
        <v>1</v>
      </c>
      <c r="D877" s="358" t="n">
        <v>0</v>
      </c>
      <c r="E877" s="358" t="n">
        <v>0</v>
      </c>
      <c r="F877" s="358" t="n">
        <v>0</v>
      </c>
      <c r="G877" s="358" t="n">
        <v>0</v>
      </c>
      <c r="H877" s="359" t="n">
        <v>1</v>
      </c>
    </row>
    <row r="878" customFormat="false" ht="15" hidden="true" customHeight="false" outlineLevel="0" collapsed="false">
      <c r="B878" s="360" t="s">
        <v>3346</v>
      </c>
      <c r="C878" s="359" t="n">
        <v>1</v>
      </c>
      <c r="D878" s="358" t="n">
        <v>0</v>
      </c>
      <c r="E878" s="358" t="n">
        <v>0</v>
      </c>
      <c r="F878" s="358" t="n">
        <v>0</v>
      </c>
      <c r="G878" s="358" t="n">
        <v>0</v>
      </c>
      <c r="H878" s="359" t="n">
        <v>1</v>
      </c>
    </row>
    <row r="879" customFormat="false" ht="15" hidden="true" customHeight="false" outlineLevel="0" collapsed="false">
      <c r="B879" s="360" t="s">
        <v>3347</v>
      </c>
      <c r="C879" s="359" t="n">
        <v>1</v>
      </c>
      <c r="D879" s="358" t="n">
        <v>0</v>
      </c>
      <c r="E879" s="358" t="n">
        <v>0</v>
      </c>
      <c r="F879" s="358" t="n">
        <v>0</v>
      </c>
      <c r="G879" s="358" t="n">
        <v>0</v>
      </c>
      <c r="H879" s="359" t="n">
        <v>1</v>
      </c>
    </row>
    <row r="880" customFormat="false" ht="15" hidden="true" customHeight="false" outlineLevel="0" collapsed="false">
      <c r="B880" s="360" t="s">
        <v>3348</v>
      </c>
      <c r="C880" s="359" t="n">
        <v>1</v>
      </c>
      <c r="D880" s="358" t="n">
        <v>0</v>
      </c>
      <c r="E880" s="358" t="n">
        <v>0</v>
      </c>
      <c r="F880" s="358" t="n">
        <v>0</v>
      </c>
      <c r="G880" s="358" t="n">
        <v>0</v>
      </c>
      <c r="H880" s="359" t="n">
        <v>1</v>
      </c>
    </row>
    <row r="881" customFormat="false" ht="15" hidden="true" customHeight="false" outlineLevel="0" collapsed="false">
      <c r="B881" s="360" t="s">
        <v>3349</v>
      </c>
      <c r="C881" s="359" t="n">
        <v>1</v>
      </c>
      <c r="D881" s="358" t="n">
        <v>0</v>
      </c>
      <c r="E881" s="358" t="n">
        <v>0</v>
      </c>
      <c r="F881" s="358" t="n">
        <v>0</v>
      </c>
      <c r="G881" s="358" t="n">
        <v>0</v>
      </c>
      <c r="H881" s="359" t="n">
        <v>1</v>
      </c>
    </row>
    <row r="882" customFormat="false" ht="15" hidden="true" customHeight="false" outlineLevel="0" collapsed="false">
      <c r="B882" s="360" t="s">
        <v>3350</v>
      </c>
      <c r="C882" s="359" t="n">
        <v>1</v>
      </c>
      <c r="D882" s="358" t="n">
        <v>0</v>
      </c>
      <c r="E882" s="358" t="n">
        <v>0</v>
      </c>
      <c r="F882" s="358" t="n">
        <v>0</v>
      </c>
      <c r="G882" s="358" t="n">
        <v>0</v>
      </c>
      <c r="H882" s="359" t="n">
        <v>1</v>
      </c>
    </row>
    <row r="883" customFormat="false" ht="15" hidden="true" customHeight="false" outlineLevel="0" collapsed="false">
      <c r="B883" s="360" t="s">
        <v>3351</v>
      </c>
      <c r="C883" s="359" t="n">
        <v>1</v>
      </c>
      <c r="D883" s="358" t="n">
        <v>0</v>
      </c>
      <c r="E883" s="358" t="n">
        <v>0</v>
      </c>
      <c r="F883" s="358" t="n">
        <v>0</v>
      </c>
      <c r="G883" s="358" t="n">
        <v>0</v>
      </c>
      <c r="H883" s="359" t="n">
        <v>1</v>
      </c>
    </row>
    <row r="884" customFormat="false" ht="15" hidden="true" customHeight="false" outlineLevel="0" collapsed="false">
      <c r="B884" s="360" t="s">
        <v>3352</v>
      </c>
      <c r="C884" s="359" t="n">
        <v>1</v>
      </c>
      <c r="D884" s="358" t="n">
        <v>0</v>
      </c>
      <c r="E884" s="358" t="n">
        <v>0</v>
      </c>
      <c r="F884" s="358" t="n">
        <v>0</v>
      </c>
      <c r="G884" s="358" t="n">
        <v>0</v>
      </c>
      <c r="H884" s="359" t="n">
        <v>1</v>
      </c>
    </row>
    <row r="885" customFormat="false" ht="15" hidden="true" customHeight="false" outlineLevel="0" collapsed="false">
      <c r="B885" s="360" t="s">
        <v>3353</v>
      </c>
      <c r="C885" s="359" t="n">
        <v>1</v>
      </c>
      <c r="D885" s="358" t="n">
        <v>0</v>
      </c>
      <c r="E885" s="358" t="n">
        <v>0</v>
      </c>
      <c r="F885" s="358" t="n">
        <v>0</v>
      </c>
      <c r="G885" s="358" t="n">
        <v>0</v>
      </c>
      <c r="H885" s="359" t="n">
        <v>1</v>
      </c>
    </row>
    <row r="886" customFormat="false" ht="15" hidden="true" customHeight="false" outlineLevel="0" collapsed="false">
      <c r="B886" s="360" t="s">
        <v>3354</v>
      </c>
      <c r="C886" s="359" t="n">
        <v>1</v>
      </c>
      <c r="D886" s="358" t="n">
        <v>0</v>
      </c>
      <c r="E886" s="358" t="n">
        <v>0</v>
      </c>
      <c r="F886" s="358" t="n">
        <v>0</v>
      </c>
      <c r="G886" s="358" t="n">
        <v>0</v>
      </c>
      <c r="H886" s="359" t="n">
        <v>1</v>
      </c>
    </row>
    <row r="887" customFormat="false" ht="15" hidden="true" customHeight="false" outlineLevel="0" collapsed="false">
      <c r="B887" s="360" t="s">
        <v>3355</v>
      </c>
      <c r="C887" s="359" t="n">
        <v>1</v>
      </c>
      <c r="D887" s="358" t="n">
        <v>0</v>
      </c>
      <c r="E887" s="358" t="n">
        <v>0</v>
      </c>
      <c r="F887" s="358" t="n">
        <v>0</v>
      </c>
      <c r="G887" s="358" t="n">
        <v>0</v>
      </c>
      <c r="H887" s="359" t="n">
        <v>1</v>
      </c>
    </row>
    <row r="888" customFormat="false" ht="15" hidden="true" customHeight="false" outlineLevel="0" collapsed="false">
      <c r="B888" s="360" t="s">
        <v>3356</v>
      </c>
      <c r="C888" s="359" t="n">
        <v>1</v>
      </c>
      <c r="D888" s="358" t="n">
        <v>0</v>
      </c>
      <c r="E888" s="358" t="n">
        <v>0</v>
      </c>
      <c r="F888" s="358" t="n">
        <v>0</v>
      </c>
      <c r="G888" s="358" t="n">
        <v>0</v>
      </c>
      <c r="H888" s="359" t="n">
        <v>1</v>
      </c>
    </row>
    <row r="889" customFormat="false" ht="15" hidden="true" customHeight="false" outlineLevel="0" collapsed="false">
      <c r="B889" s="360" t="s">
        <v>3357</v>
      </c>
      <c r="C889" s="359" t="n">
        <v>1</v>
      </c>
      <c r="D889" s="358" t="n">
        <v>0</v>
      </c>
      <c r="E889" s="358" t="n">
        <v>0</v>
      </c>
      <c r="F889" s="358" t="n">
        <v>0</v>
      </c>
      <c r="G889" s="358" t="n">
        <v>0</v>
      </c>
      <c r="H889" s="359" t="n">
        <v>1</v>
      </c>
    </row>
    <row r="890" customFormat="false" ht="15" hidden="true" customHeight="false" outlineLevel="0" collapsed="false">
      <c r="B890" s="360" t="s">
        <v>3358</v>
      </c>
      <c r="C890" s="359" t="n">
        <v>1</v>
      </c>
      <c r="D890" s="358" t="n">
        <v>0</v>
      </c>
      <c r="E890" s="358" t="n">
        <v>0</v>
      </c>
      <c r="F890" s="358" t="n">
        <v>0</v>
      </c>
      <c r="G890" s="358" t="n">
        <v>0</v>
      </c>
      <c r="H890" s="359" t="n">
        <v>1</v>
      </c>
    </row>
    <row r="891" customFormat="false" ht="15" hidden="true" customHeight="false" outlineLevel="0" collapsed="false">
      <c r="B891" s="360" t="s">
        <v>3359</v>
      </c>
      <c r="C891" s="359" t="n">
        <v>1</v>
      </c>
      <c r="D891" s="358" t="n">
        <v>0</v>
      </c>
      <c r="E891" s="358" t="n">
        <v>0</v>
      </c>
      <c r="F891" s="358" t="n">
        <v>0</v>
      </c>
      <c r="G891" s="358" t="n">
        <v>0</v>
      </c>
      <c r="H891" s="359" t="n">
        <v>1</v>
      </c>
    </row>
    <row r="892" customFormat="false" ht="15" hidden="true" customHeight="false" outlineLevel="0" collapsed="false">
      <c r="B892" s="360" t="s">
        <v>3360</v>
      </c>
      <c r="C892" s="359" t="n">
        <v>1</v>
      </c>
      <c r="D892" s="358" t="n">
        <v>0</v>
      </c>
      <c r="E892" s="358" t="n">
        <v>0</v>
      </c>
      <c r="F892" s="358" t="n">
        <v>0</v>
      </c>
      <c r="G892" s="358" t="n">
        <v>0</v>
      </c>
      <c r="H892" s="359" t="n">
        <v>1</v>
      </c>
    </row>
    <row r="893" customFormat="false" ht="15" hidden="true" customHeight="false" outlineLevel="0" collapsed="false">
      <c r="B893" s="360" t="s">
        <v>3361</v>
      </c>
      <c r="C893" s="359" t="n">
        <v>1</v>
      </c>
      <c r="D893" s="358" t="n">
        <v>0</v>
      </c>
      <c r="E893" s="358" t="n">
        <v>0</v>
      </c>
      <c r="F893" s="358" t="n">
        <v>0</v>
      </c>
      <c r="G893" s="358" t="n">
        <v>0</v>
      </c>
      <c r="H893" s="359" t="n">
        <v>1</v>
      </c>
    </row>
    <row r="894" customFormat="false" ht="15" hidden="true" customHeight="false" outlineLevel="0" collapsed="false">
      <c r="B894" s="360" t="s">
        <v>3362</v>
      </c>
      <c r="C894" s="359" t="n">
        <v>1</v>
      </c>
      <c r="D894" s="358" t="n">
        <v>0</v>
      </c>
      <c r="E894" s="358" t="n">
        <v>0</v>
      </c>
      <c r="F894" s="358" t="n">
        <v>0</v>
      </c>
      <c r="G894" s="358" t="n">
        <v>0</v>
      </c>
      <c r="H894" s="359" t="n">
        <v>1</v>
      </c>
    </row>
    <row r="895" customFormat="false" ht="15" hidden="true" customHeight="false" outlineLevel="0" collapsed="false">
      <c r="B895" s="360" t="s">
        <v>3363</v>
      </c>
      <c r="C895" s="359" t="n">
        <v>1</v>
      </c>
      <c r="D895" s="358" t="n">
        <v>0</v>
      </c>
      <c r="E895" s="358" t="n">
        <v>0</v>
      </c>
      <c r="F895" s="358" t="n">
        <v>0</v>
      </c>
      <c r="G895" s="358" t="n">
        <v>0</v>
      </c>
      <c r="H895" s="359" t="n">
        <v>1</v>
      </c>
    </row>
    <row r="896" customFormat="false" ht="15" hidden="true" customHeight="false" outlineLevel="0" collapsed="false">
      <c r="B896" s="360" t="s">
        <v>3364</v>
      </c>
      <c r="C896" s="359" t="n">
        <v>1</v>
      </c>
      <c r="D896" s="358" t="n">
        <v>0</v>
      </c>
      <c r="E896" s="358" t="n">
        <v>0</v>
      </c>
      <c r="F896" s="358" t="n">
        <v>0</v>
      </c>
      <c r="G896" s="358" t="n">
        <v>0</v>
      </c>
      <c r="H896" s="359" t="n">
        <v>1</v>
      </c>
    </row>
    <row r="897" customFormat="false" ht="15" hidden="true" customHeight="false" outlineLevel="0" collapsed="false">
      <c r="B897" s="360" t="s">
        <v>3365</v>
      </c>
      <c r="C897" s="359" t="n">
        <v>1</v>
      </c>
      <c r="D897" s="358" t="n">
        <v>0</v>
      </c>
      <c r="E897" s="358" t="n">
        <v>0</v>
      </c>
      <c r="F897" s="358" t="n">
        <v>0</v>
      </c>
      <c r="G897" s="358" t="n">
        <v>0</v>
      </c>
      <c r="H897" s="359" t="n">
        <v>1</v>
      </c>
    </row>
    <row r="898" customFormat="false" ht="15" hidden="true" customHeight="false" outlineLevel="0" collapsed="false">
      <c r="B898" s="360" t="s">
        <v>3366</v>
      </c>
      <c r="C898" s="359" t="n">
        <v>1</v>
      </c>
      <c r="D898" s="358" t="n">
        <v>0</v>
      </c>
      <c r="E898" s="358" t="n">
        <v>0</v>
      </c>
      <c r="F898" s="358" t="n">
        <v>0</v>
      </c>
      <c r="G898" s="358" t="n">
        <v>0</v>
      </c>
      <c r="H898" s="359" t="n">
        <v>1</v>
      </c>
    </row>
    <row r="899" customFormat="false" ht="15" hidden="true" customHeight="false" outlineLevel="0" collapsed="false">
      <c r="B899" s="360" t="s">
        <v>3367</v>
      </c>
      <c r="C899" s="359" t="n">
        <v>1</v>
      </c>
      <c r="D899" s="358" t="n">
        <v>0</v>
      </c>
      <c r="E899" s="358" t="n">
        <v>0</v>
      </c>
      <c r="F899" s="358" t="n">
        <v>0</v>
      </c>
      <c r="G899" s="358" t="n">
        <v>0</v>
      </c>
      <c r="H899" s="359" t="n">
        <v>1</v>
      </c>
    </row>
    <row r="900" customFormat="false" ht="15" hidden="true" customHeight="false" outlineLevel="0" collapsed="false">
      <c r="B900" s="360" t="s">
        <v>3368</v>
      </c>
      <c r="C900" s="359" t="n">
        <v>1</v>
      </c>
      <c r="D900" s="358" t="n">
        <v>0</v>
      </c>
      <c r="E900" s="358" t="n">
        <v>0</v>
      </c>
      <c r="F900" s="358" t="n">
        <v>0</v>
      </c>
      <c r="G900" s="358" t="n">
        <v>0</v>
      </c>
      <c r="H900" s="359" t="n">
        <v>1</v>
      </c>
    </row>
    <row r="901" customFormat="false" ht="15" hidden="true" customHeight="false" outlineLevel="0" collapsed="false">
      <c r="B901" s="360" t="s">
        <v>3369</v>
      </c>
      <c r="C901" s="359" t="n">
        <v>1</v>
      </c>
      <c r="D901" s="358" t="n">
        <v>0</v>
      </c>
      <c r="E901" s="358" t="n">
        <v>0</v>
      </c>
      <c r="F901" s="358" t="n">
        <v>0</v>
      </c>
      <c r="G901" s="358" t="n">
        <v>0</v>
      </c>
      <c r="H901" s="359" t="n">
        <v>1</v>
      </c>
    </row>
    <row r="902" customFormat="false" ht="15" hidden="true" customHeight="false" outlineLevel="0" collapsed="false">
      <c r="B902" s="360" t="s">
        <v>3370</v>
      </c>
      <c r="C902" s="359" t="n">
        <v>1</v>
      </c>
      <c r="D902" s="358" t="n">
        <v>0</v>
      </c>
      <c r="E902" s="358" t="n">
        <v>0</v>
      </c>
      <c r="F902" s="358" t="n">
        <v>0</v>
      </c>
      <c r="G902" s="358" t="n">
        <v>0</v>
      </c>
      <c r="H902" s="359" t="n">
        <v>1</v>
      </c>
    </row>
    <row r="903" customFormat="false" ht="15" hidden="false" customHeight="false" outlineLevel="0" collapsed="false">
      <c r="B903" s="356" t="s">
        <v>2474</v>
      </c>
      <c r="C903" s="357" t="n">
        <v>26</v>
      </c>
      <c r="D903" s="358" t="n">
        <v>0</v>
      </c>
      <c r="E903" s="358" t="n">
        <v>0</v>
      </c>
      <c r="F903" s="358" t="n">
        <v>0</v>
      </c>
      <c r="G903" s="358" t="n">
        <v>0</v>
      </c>
      <c r="H903" s="357" t="n">
        <v>26</v>
      </c>
    </row>
    <row r="904" customFormat="false" ht="15" hidden="true" customHeight="false" outlineLevel="0" collapsed="false">
      <c r="B904" s="360" t="s">
        <v>3371</v>
      </c>
      <c r="C904" s="359" t="n">
        <v>1</v>
      </c>
      <c r="D904" s="358" t="n">
        <v>0</v>
      </c>
      <c r="E904" s="358" t="n">
        <v>0</v>
      </c>
      <c r="F904" s="358" t="n">
        <v>0</v>
      </c>
      <c r="G904" s="358" t="n">
        <v>0</v>
      </c>
      <c r="H904" s="359" t="n">
        <v>1</v>
      </c>
    </row>
    <row r="905" customFormat="false" ht="15" hidden="true" customHeight="false" outlineLevel="0" collapsed="false">
      <c r="B905" s="360" t="s">
        <v>3372</v>
      </c>
      <c r="C905" s="359" t="n">
        <v>1</v>
      </c>
      <c r="D905" s="358" t="n">
        <v>0</v>
      </c>
      <c r="E905" s="358" t="n">
        <v>0</v>
      </c>
      <c r="F905" s="358" t="n">
        <v>0</v>
      </c>
      <c r="G905" s="358" t="n">
        <v>0</v>
      </c>
      <c r="H905" s="359" t="n">
        <v>1</v>
      </c>
    </row>
    <row r="906" customFormat="false" ht="15" hidden="true" customHeight="false" outlineLevel="0" collapsed="false">
      <c r="B906" s="360" t="s">
        <v>3373</v>
      </c>
      <c r="C906" s="359" t="n">
        <v>1</v>
      </c>
      <c r="D906" s="358" t="n">
        <v>0</v>
      </c>
      <c r="E906" s="358" t="n">
        <v>0</v>
      </c>
      <c r="F906" s="358" t="n">
        <v>0</v>
      </c>
      <c r="G906" s="358" t="n">
        <v>0</v>
      </c>
      <c r="H906" s="359" t="n">
        <v>1</v>
      </c>
    </row>
    <row r="907" customFormat="false" ht="15" hidden="true" customHeight="false" outlineLevel="0" collapsed="false">
      <c r="B907" s="360" t="s">
        <v>3374</v>
      </c>
      <c r="C907" s="359" t="n">
        <v>1</v>
      </c>
      <c r="D907" s="358" t="n">
        <v>0</v>
      </c>
      <c r="E907" s="358" t="n">
        <v>0</v>
      </c>
      <c r="F907" s="358" t="n">
        <v>0</v>
      </c>
      <c r="G907" s="358" t="n">
        <v>0</v>
      </c>
      <c r="H907" s="359" t="n">
        <v>1</v>
      </c>
    </row>
    <row r="908" customFormat="false" ht="15" hidden="true" customHeight="false" outlineLevel="0" collapsed="false">
      <c r="B908" s="360" t="s">
        <v>3375</v>
      </c>
      <c r="C908" s="359" t="n">
        <v>1</v>
      </c>
      <c r="D908" s="358" t="n">
        <v>0</v>
      </c>
      <c r="E908" s="358" t="n">
        <v>0</v>
      </c>
      <c r="F908" s="358" t="n">
        <v>0</v>
      </c>
      <c r="G908" s="358" t="n">
        <v>0</v>
      </c>
      <c r="H908" s="359" t="n">
        <v>1</v>
      </c>
    </row>
    <row r="909" customFormat="false" ht="15" hidden="true" customHeight="false" outlineLevel="0" collapsed="false">
      <c r="B909" s="360" t="s">
        <v>3376</v>
      </c>
      <c r="C909" s="359" t="n">
        <v>1</v>
      </c>
      <c r="D909" s="358" t="n">
        <v>0</v>
      </c>
      <c r="E909" s="358" t="n">
        <v>0</v>
      </c>
      <c r="F909" s="358" t="n">
        <v>0</v>
      </c>
      <c r="G909" s="358" t="n">
        <v>0</v>
      </c>
      <c r="H909" s="359" t="n">
        <v>1</v>
      </c>
    </row>
    <row r="910" customFormat="false" ht="15" hidden="true" customHeight="false" outlineLevel="0" collapsed="false">
      <c r="B910" s="360" t="s">
        <v>3377</v>
      </c>
      <c r="C910" s="359" t="n">
        <v>1</v>
      </c>
      <c r="D910" s="358" t="n">
        <v>0</v>
      </c>
      <c r="E910" s="358" t="n">
        <v>0</v>
      </c>
      <c r="F910" s="358" t="n">
        <v>0</v>
      </c>
      <c r="G910" s="358" t="n">
        <v>0</v>
      </c>
      <c r="H910" s="359" t="n">
        <v>1</v>
      </c>
    </row>
    <row r="911" customFormat="false" ht="15" hidden="true" customHeight="false" outlineLevel="0" collapsed="false">
      <c r="B911" s="360" t="s">
        <v>3378</v>
      </c>
      <c r="C911" s="359" t="n">
        <v>1</v>
      </c>
      <c r="D911" s="358" t="n">
        <v>0</v>
      </c>
      <c r="E911" s="358" t="n">
        <v>0</v>
      </c>
      <c r="F911" s="358" t="n">
        <v>0</v>
      </c>
      <c r="G911" s="358" t="n">
        <v>0</v>
      </c>
      <c r="H911" s="359" t="n">
        <v>1</v>
      </c>
    </row>
    <row r="912" customFormat="false" ht="15" hidden="true" customHeight="false" outlineLevel="0" collapsed="false">
      <c r="B912" s="360" t="s">
        <v>3379</v>
      </c>
      <c r="C912" s="359" t="n">
        <v>1</v>
      </c>
      <c r="D912" s="358" t="n">
        <v>0</v>
      </c>
      <c r="E912" s="358" t="n">
        <v>0</v>
      </c>
      <c r="F912" s="358" t="n">
        <v>0</v>
      </c>
      <c r="G912" s="358" t="n">
        <v>0</v>
      </c>
      <c r="H912" s="359" t="n">
        <v>1</v>
      </c>
    </row>
    <row r="913" customFormat="false" ht="15" hidden="true" customHeight="false" outlineLevel="0" collapsed="false">
      <c r="B913" s="360" t="s">
        <v>3380</v>
      </c>
      <c r="C913" s="359" t="n">
        <v>1</v>
      </c>
      <c r="D913" s="358" t="n">
        <v>0</v>
      </c>
      <c r="E913" s="358" t="n">
        <v>0</v>
      </c>
      <c r="F913" s="358" t="n">
        <v>0</v>
      </c>
      <c r="G913" s="358" t="n">
        <v>0</v>
      </c>
      <c r="H913" s="359" t="n">
        <v>1</v>
      </c>
    </row>
    <row r="914" customFormat="false" ht="15" hidden="true" customHeight="false" outlineLevel="0" collapsed="false">
      <c r="B914" s="360" t="s">
        <v>3381</v>
      </c>
      <c r="C914" s="359" t="n">
        <v>1</v>
      </c>
      <c r="D914" s="358" t="n">
        <v>0</v>
      </c>
      <c r="E914" s="358" t="n">
        <v>0</v>
      </c>
      <c r="F914" s="358" t="n">
        <v>0</v>
      </c>
      <c r="G914" s="358" t="n">
        <v>0</v>
      </c>
      <c r="H914" s="359" t="n">
        <v>1</v>
      </c>
    </row>
    <row r="915" customFormat="false" ht="15" hidden="true" customHeight="false" outlineLevel="0" collapsed="false">
      <c r="B915" s="360" t="s">
        <v>3382</v>
      </c>
      <c r="C915" s="359" t="n">
        <v>1</v>
      </c>
      <c r="D915" s="358" t="n">
        <v>0</v>
      </c>
      <c r="E915" s="358" t="n">
        <v>0</v>
      </c>
      <c r="F915" s="358" t="n">
        <v>0</v>
      </c>
      <c r="G915" s="358" t="n">
        <v>0</v>
      </c>
      <c r="H915" s="359" t="n">
        <v>1</v>
      </c>
    </row>
    <row r="916" customFormat="false" ht="15" hidden="true" customHeight="false" outlineLevel="0" collapsed="false">
      <c r="B916" s="360" t="s">
        <v>3383</v>
      </c>
      <c r="C916" s="359" t="n">
        <v>1</v>
      </c>
      <c r="D916" s="358" t="n">
        <v>0</v>
      </c>
      <c r="E916" s="358" t="n">
        <v>0</v>
      </c>
      <c r="F916" s="358" t="n">
        <v>0</v>
      </c>
      <c r="G916" s="358" t="n">
        <v>0</v>
      </c>
      <c r="H916" s="359" t="n">
        <v>1</v>
      </c>
    </row>
    <row r="917" customFormat="false" ht="15" hidden="true" customHeight="false" outlineLevel="0" collapsed="false">
      <c r="B917" s="360" t="s">
        <v>3384</v>
      </c>
      <c r="C917" s="359" t="n">
        <v>1</v>
      </c>
      <c r="D917" s="358" t="n">
        <v>0</v>
      </c>
      <c r="E917" s="358" t="n">
        <v>0</v>
      </c>
      <c r="F917" s="358" t="n">
        <v>0</v>
      </c>
      <c r="G917" s="358" t="n">
        <v>0</v>
      </c>
      <c r="H917" s="359" t="n">
        <v>1</v>
      </c>
    </row>
    <row r="918" customFormat="false" ht="15" hidden="true" customHeight="false" outlineLevel="0" collapsed="false">
      <c r="B918" s="360" t="s">
        <v>3385</v>
      </c>
      <c r="C918" s="359" t="n">
        <v>1</v>
      </c>
      <c r="D918" s="358" t="n">
        <v>0</v>
      </c>
      <c r="E918" s="358" t="n">
        <v>0</v>
      </c>
      <c r="F918" s="358" t="n">
        <v>0</v>
      </c>
      <c r="G918" s="358" t="n">
        <v>0</v>
      </c>
      <c r="H918" s="359" t="n">
        <v>1</v>
      </c>
    </row>
    <row r="919" customFormat="false" ht="15" hidden="true" customHeight="false" outlineLevel="0" collapsed="false">
      <c r="B919" s="360" t="s">
        <v>3386</v>
      </c>
      <c r="C919" s="359" t="n">
        <v>1</v>
      </c>
      <c r="D919" s="358" t="n">
        <v>0</v>
      </c>
      <c r="E919" s="358" t="n">
        <v>0</v>
      </c>
      <c r="F919" s="358" t="n">
        <v>0</v>
      </c>
      <c r="G919" s="358" t="n">
        <v>0</v>
      </c>
      <c r="H919" s="359" t="n">
        <v>1</v>
      </c>
    </row>
    <row r="920" customFormat="false" ht="15" hidden="true" customHeight="false" outlineLevel="0" collapsed="false">
      <c r="B920" s="360" t="s">
        <v>3387</v>
      </c>
      <c r="C920" s="359" t="n">
        <v>1</v>
      </c>
      <c r="D920" s="358" t="n">
        <v>0</v>
      </c>
      <c r="E920" s="358" t="n">
        <v>0</v>
      </c>
      <c r="F920" s="358" t="n">
        <v>0</v>
      </c>
      <c r="G920" s="358" t="n">
        <v>0</v>
      </c>
      <c r="H920" s="359" t="n">
        <v>1</v>
      </c>
    </row>
    <row r="921" customFormat="false" ht="15" hidden="true" customHeight="false" outlineLevel="0" collapsed="false">
      <c r="B921" s="360" t="s">
        <v>3388</v>
      </c>
      <c r="C921" s="359" t="n">
        <v>1</v>
      </c>
      <c r="D921" s="358" t="n">
        <v>0</v>
      </c>
      <c r="E921" s="358" t="n">
        <v>0</v>
      </c>
      <c r="F921" s="358" t="n">
        <v>0</v>
      </c>
      <c r="G921" s="358" t="n">
        <v>0</v>
      </c>
      <c r="H921" s="359" t="n">
        <v>1</v>
      </c>
    </row>
    <row r="922" customFormat="false" ht="15" hidden="true" customHeight="false" outlineLevel="0" collapsed="false">
      <c r="B922" s="360" t="s">
        <v>3389</v>
      </c>
      <c r="C922" s="359" t="n">
        <v>1</v>
      </c>
      <c r="D922" s="358" t="n">
        <v>0</v>
      </c>
      <c r="E922" s="358" t="n">
        <v>0</v>
      </c>
      <c r="F922" s="358" t="n">
        <v>0</v>
      </c>
      <c r="G922" s="358" t="n">
        <v>0</v>
      </c>
      <c r="H922" s="359" t="n">
        <v>1</v>
      </c>
    </row>
    <row r="923" customFormat="false" ht="15" hidden="true" customHeight="false" outlineLevel="0" collapsed="false">
      <c r="B923" s="360" t="s">
        <v>3390</v>
      </c>
      <c r="C923" s="359" t="n">
        <v>1</v>
      </c>
      <c r="D923" s="358" t="n">
        <v>0</v>
      </c>
      <c r="E923" s="358" t="n">
        <v>0</v>
      </c>
      <c r="F923" s="358" t="n">
        <v>0</v>
      </c>
      <c r="G923" s="358" t="n">
        <v>0</v>
      </c>
      <c r="H923" s="359" t="n">
        <v>1</v>
      </c>
    </row>
    <row r="924" customFormat="false" ht="15" hidden="true" customHeight="false" outlineLevel="0" collapsed="false">
      <c r="B924" s="360" t="s">
        <v>3391</v>
      </c>
      <c r="C924" s="359" t="n">
        <v>1</v>
      </c>
      <c r="D924" s="358" t="n">
        <v>0</v>
      </c>
      <c r="E924" s="358" t="n">
        <v>0</v>
      </c>
      <c r="F924" s="358" t="n">
        <v>0</v>
      </c>
      <c r="G924" s="358" t="n">
        <v>0</v>
      </c>
      <c r="H924" s="359" t="n">
        <v>1</v>
      </c>
    </row>
    <row r="925" customFormat="false" ht="15" hidden="true" customHeight="false" outlineLevel="0" collapsed="false">
      <c r="B925" s="360" t="s">
        <v>3392</v>
      </c>
      <c r="C925" s="359" t="n">
        <v>1</v>
      </c>
      <c r="D925" s="358" t="n">
        <v>0</v>
      </c>
      <c r="E925" s="358" t="n">
        <v>0</v>
      </c>
      <c r="F925" s="358" t="n">
        <v>0</v>
      </c>
      <c r="G925" s="358" t="n">
        <v>0</v>
      </c>
      <c r="H925" s="359" t="n">
        <v>1</v>
      </c>
    </row>
    <row r="926" customFormat="false" ht="15" hidden="true" customHeight="false" outlineLevel="0" collapsed="false">
      <c r="B926" s="360" t="s">
        <v>3393</v>
      </c>
      <c r="C926" s="359" t="n">
        <v>1</v>
      </c>
      <c r="D926" s="358" t="n">
        <v>0</v>
      </c>
      <c r="E926" s="358" t="n">
        <v>0</v>
      </c>
      <c r="F926" s="358" t="n">
        <v>0</v>
      </c>
      <c r="G926" s="358" t="n">
        <v>0</v>
      </c>
      <c r="H926" s="359" t="n">
        <v>1</v>
      </c>
    </row>
    <row r="927" customFormat="false" ht="15" hidden="true" customHeight="false" outlineLevel="0" collapsed="false">
      <c r="B927" s="360" t="s">
        <v>3394</v>
      </c>
      <c r="C927" s="359" t="n">
        <v>1</v>
      </c>
      <c r="D927" s="358" t="n">
        <v>0</v>
      </c>
      <c r="E927" s="358" t="n">
        <v>0</v>
      </c>
      <c r="F927" s="358" t="n">
        <v>0</v>
      </c>
      <c r="G927" s="358" t="n">
        <v>0</v>
      </c>
      <c r="H927" s="359" t="n">
        <v>1</v>
      </c>
    </row>
    <row r="928" customFormat="false" ht="15" hidden="true" customHeight="false" outlineLevel="0" collapsed="false">
      <c r="B928" s="360" t="s">
        <v>3395</v>
      </c>
      <c r="C928" s="359" t="n">
        <v>1</v>
      </c>
      <c r="D928" s="358" t="n">
        <v>0</v>
      </c>
      <c r="E928" s="358" t="n">
        <v>0</v>
      </c>
      <c r="F928" s="358" t="n">
        <v>0</v>
      </c>
      <c r="G928" s="358" t="n">
        <v>0</v>
      </c>
      <c r="H928" s="359" t="n">
        <v>1</v>
      </c>
    </row>
    <row r="929" customFormat="false" ht="15" hidden="true" customHeight="false" outlineLevel="0" collapsed="false">
      <c r="B929" s="360" t="s">
        <v>3396</v>
      </c>
      <c r="C929" s="359" t="n">
        <v>1</v>
      </c>
      <c r="D929" s="358" t="n">
        <v>0</v>
      </c>
      <c r="E929" s="358" t="n">
        <v>0</v>
      </c>
      <c r="F929" s="358" t="n">
        <v>0</v>
      </c>
      <c r="G929" s="358" t="n">
        <v>0</v>
      </c>
      <c r="H929" s="359" t="n">
        <v>1</v>
      </c>
    </row>
    <row r="930" customFormat="false" ht="15" hidden="false" customHeight="false" outlineLevel="0" collapsed="false">
      <c r="B930" s="356" t="s">
        <v>2475</v>
      </c>
      <c r="C930" s="357" t="n">
        <v>6</v>
      </c>
      <c r="D930" s="358" t="n">
        <v>0</v>
      </c>
      <c r="E930" s="358" t="n">
        <v>0</v>
      </c>
      <c r="F930" s="358" t="n">
        <v>0</v>
      </c>
      <c r="G930" s="358" t="n">
        <v>0</v>
      </c>
      <c r="H930" s="357" t="n">
        <v>6</v>
      </c>
    </row>
    <row r="931" customFormat="false" ht="15" hidden="true" customHeight="false" outlineLevel="0" collapsed="false">
      <c r="B931" s="360" t="s">
        <v>3397</v>
      </c>
      <c r="C931" s="359" t="n">
        <v>1</v>
      </c>
      <c r="D931" s="358" t="n">
        <v>0</v>
      </c>
      <c r="E931" s="358" t="n">
        <v>0</v>
      </c>
      <c r="F931" s="358" t="n">
        <v>0</v>
      </c>
      <c r="G931" s="358" t="n">
        <v>0</v>
      </c>
      <c r="H931" s="359" t="n">
        <v>1</v>
      </c>
    </row>
    <row r="932" customFormat="false" ht="15" hidden="true" customHeight="false" outlineLevel="0" collapsed="false">
      <c r="B932" s="360" t="s">
        <v>3398</v>
      </c>
      <c r="C932" s="359" t="n">
        <v>1</v>
      </c>
      <c r="D932" s="358" t="n">
        <v>0</v>
      </c>
      <c r="E932" s="358" t="n">
        <v>0</v>
      </c>
      <c r="F932" s="358" t="n">
        <v>0</v>
      </c>
      <c r="G932" s="358" t="n">
        <v>0</v>
      </c>
      <c r="H932" s="359" t="n">
        <v>1</v>
      </c>
    </row>
    <row r="933" customFormat="false" ht="15" hidden="true" customHeight="false" outlineLevel="0" collapsed="false">
      <c r="B933" s="360" t="s">
        <v>3399</v>
      </c>
      <c r="C933" s="359" t="n">
        <v>1</v>
      </c>
      <c r="D933" s="358" t="n">
        <v>0</v>
      </c>
      <c r="E933" s="358" t="n">
        <v>0</v>
      </c>
      <c r="F933" s="358" t="n">
        <v>0</v>
      </c>
      <c r="G933" s="358" t="n">
        <v>0</v>
      </c>
      <c r="H933" s="359" t="n">
        <v>1</v>
      </c>
    </row>
    <row r="934" customFormat="false" ht="15" hidden="true" customHeight="false" outlineLevel="0" collapsed="false">
      <c r="B934" s="360" t="s">
        <v>3400</v>
      </c>
      <c r="C934" s="359" t="n">
        <v>1</v>
      </c>
      <c r="D934" s="358" t="n">
        <v>0</v>
      </c>
      <c r="E934" s="358" t="n">
        <v>0</v>
      </c>
      <c r="F934" s="358" t="n">
        <v>0</v>
      </c>
      <c r="G934" s="358" t="n">
        <v>0</v>
      </c>
      <c r="H934" s="359" t="n">
        <v>1</v>
      </c>
    </row>
    <row r="935" customFormat="false" ht="15" hidden="true" customHeight="false" outlineLevel="0" collapsed="false">
      <c r="B935" s="360" t="s">
        <v>3401</v>
      </c>
      <c r="C935" s="359" t="n">
        <v>1</v>
      </c>
      <c r="D935" s="358" t="n">
        <v>0</v>
      </c>
      <c r="E935" s="358" t="n">
        <v>0</v>
      </c>
      <c r="F935" s="358" t="n">
        <v>0</v>
      </c>
      <c r="G935" s="358" t="n">
        <v>0</v>
      </c>
      <c r="H935" s="359" t="n">
        <v>1</v>
      </c>
    </row>
    <row r="936" customFormat="false" ht="15" hidden="true" customHeight="false" outlineLevel="0" collapsed="false">
      <c r="B936" s="360" t="s">
        <v>3402</v>
      </c>
      <c r="C936" s="359" t="n">
        <v>1</v>
      </c>
      <c r="D936" s="358" t="n">
        <v>0</v>
      </c>
      <c r="E936" s="358" t="n">
        <v>0</v>
      </c>
      <c r="F936" s="358" t="n">
        <v>0</v>
      </c>
      <c r="G936" s="358" t="n">
        <v>0</v>
      </c>
      <c r="H936" s="359" t="n">
        <v>1</v>
      </c>
    </row>
    <row r="937" customFormat="false" ht="15" hidden="false" customHeight="false" outlineLevel="0" collapsed="false">
      <c r="B937" s="356" t="s">
        <v>2476</v>
      </c>
      <c r="C937" s="357" t="n">
        <v>27</v>
      </c>
      <c r="D937" s="358" t="n">
        <v>0</v>
      </c>
      <c r="E937" s="358" t="n">
        <v>0</v>
      </c>
      <c r="F937" s="358" t="n">
        <v>0</v>
      </c>
      <c r="G937" s="358" t="n">
        <v>0</v>
      </c>
      <c r="H937" s="357" t="n">
        <v>27</v>
      </c>
    </row>
    <row r="938" customFormat="false" ht="15" hidden="false" customHeight="false" outlineLevel="0" collapsed="false">
      <c r="B938" s="364" t="s">
        <v>2476</v>
      </c>
      <c r="C938" s="365" t="n">
        <v>21</v>
      </c>
      <c r="D938" s="358" t="n">
        <v>0</v>
      </c>
      <c r="E938" s="358" t="n">
        <v>0</v>
      </c>
      <c r="F938" s="358" t="n">
        <v>0</v>
      </c>
      <c r="G938" s="358" t="n">
        <v>0</v>
      </c>
      <c r="H938" s="365" t="n">
        <v>21</v>
      </c>
    </row>
    <row r="939" customFormat="false" ht="15" hidden="true" customHeight="false" outlineLevel="0" collapsed="false">
      <c r="B939" s="361" t="s">
        <v>3403</v>
      </c>
      <c r="C939" s="365" t="n">
        <v>1</v>
      </c>
      <c r="D939" s="358" t="n">
        <v>0</v>
      </c>
      <c r="E939" s="358" t="n">
        <v>0</v>
      </c>
      <c r="F939" s="358" t="n">
        <v>0</v>
      </c>
      <c r="G939" s="358" t="n">
        <v>0</v>
      </c>
      <c r="H939" s="365" t="n">
        <v>1</v>
      </c>
    </row>
    <row r="940" customFormat="false" ht="15" hidden="true" customHeight="false" outlineLevel="0" collapsed="false">
      <c r="B940" s="360" t="s">
        <v>3404</v>
      </c>
      <c r="C940" s="365" t="n">
        <v>1</v>
      </c>
      <c r="D940" s="358" t="n">
        <v>0</v>
      </c>
      <c r="E940" s="358" t="n">
        <v>0</v>
      </c>
      <c r="F940" s="358" t="n">
        <v>0</v>
      </c>
      <c r="G940" s="358" t="n">
        <v>0</v>
      </c>
      <c r="H940" s="365" t="n">
        <v>1</v>
      </c>
    </row>
    <row r="941" customFormat="false" ht="15" hidden="true" customHeight="false" outlineLevel="0" collapsed="false">
      <c r="B941" s="360" t="s">
        <v>3405</v>
      </c>
      <c r="C941" s="365" t="n">
        <v>1</v>
      </c>
      <c r="D941" s="358" t="n">
        <v>0</v>
      </c>
      <c r="E941" s="358" t="n">
        <v>0</v>
      </c>
      <c r="F941" s="358" t="n">
        <v>0</v>
      </c>
      <c r="G941" s="358" t="n">
        <v>0</v>
      </c>
      <c r="H941" s="365" t="n">
        <v>1</v>
      </c>
    </row>
    <row r="942" customFormat="false" ht="15" hidden="true" customHeight="false" outlineLevel="0" collapsed="false">
      <c r="B942" s="360" t="s">
        <v>3406</v>
      </c>
      <c r="C942" s="365" t="n">
        <v>1</v>
      </c>
      <c r="D942" s="358" t="n">
        <v>0</v>
      </c>
      <c r="E942" s="358" t="n">
        <v>0</v>
      </c>
      <c r="F942" s="358" t="n">
        <v>0</v>
      </c>
      <c r="G942" s="358" t="n">
        <v>0</v>
      </c>
      <c r="H942" s="365" t="n">
        <v>1</v>
      </c>
    </row>
    <row r="943" customFormat="false" ht="15" hidden="true" customHeight="false" outlineLevel="0" collapsed="false">
      <c r="B943" s="360" t="s">
        <v>3407</v>
      </c>
      <c r="C943" s="365" t="n">
        <v>1</v>
      </c>
      <c r="D943" s="358" t="n">
        <v>0</v>
      </c>
      <c r="E943" s="358" t="n">
        <v>0</v>
      </c>
      <c r="F943" s="358" t="n">
        <v>0</v>
      </c>
      <c r="G943" s="358" t="n">
        <v>0</v>
      </c>
      <c r="H943" s="365" t="n">
        <v>1</v>
      </c>
    </row>
    <row r="944" customFormat="false" ht="15" hidden="true" customHeight="false" outlineLevel="0" collapsed="false">
      <c r="B944" s="360" t="s">
        <v>3408</v>
      </c>
      <c r="C944" s="365" t="n">
        <v>1</v>
      </c>
      <c r="D944" s="358" t="n">
        <v>0</v>
      </c>
      <c r="E944" s="358" t="n">
        <v>0</v>
      </c>
      <c r="F944" s="358" t="n">
        <v>0</v>
      </c>
      <c r="G944" s="358" t="n">
        <v>0</v>
      </c>
      <c r="H944" s="365" t="n">
        <v>1</v>
      </c>
    </row>
    <row r="945" customFormat="false" ht="15" hidden="true" customHeight="false" outlineLevel="0" collapsed="false">
      <c r="B945" s="360" t="s">
        <v>3409</v>
      </c>
      <c r="C945" s="365" t="n">
        <v>1</v>
      </c>
      <c r="D945" s="358" t="n">
        <v>0</v>
      </c>
      <c r="E945" s="358" t="n">
        <v>0</v>
      </c>
      <c r="F945" s="358" t="n">
        <v>0</v>
      </c>
      <c r="G945" s="358" t="n">
        <v>0</v>
      </c>
      <c r="H945" s="365" t="n">
        <v>1</v>
      </c>
    </row>
    <row r="946" customFormat="false" ht="15" hidden="true" customHeight="false" outlineLevel="0" collapsed="false">
      <c r="B946" s="361" t="s">
        <v>3410</v>
      </c>
      <c r="C946" s="365" t="n">
        <v>1</v>
      </c>
      <c r="D946" s="358" t="n">
        <v>0</v>
      </c>
      <c r="E946" s="358" t="n">
        <v>0</v>
      </c>
      <c r="F946" s="358" t="n">
        <v>0</v>
      </c>
      <c r="G946" s="358" t="n">
        <v>0</v>
      </c>
      <c r="H946" s="365" t="n">
        <v>1</v>
      </c>
    </row>
    <row r="947" customFormat="false" ht="15" hidden="true" customHeight="false" outlineLevel="0" collapsed="false">
      <c r="B947" s="360" t="s">
        <v>3411</v>
      </c>
      <c r="C947" s="365" t="n">
        <v>1</v>
      </c>
      <c r="D947" s="358" t="n">
        <v>0</v>
      </c>
      <c r="E947" s="358" t="n">
        <v>0</v>
      </c>
      <c r="F947" s="358" t="n">
        <v>0</v>
      </c>
      <c r="G947" s="358" t="n">
        <v>0</v>
      </c>
      <c r="H947" s="365" t="n">
        <v>1</v>
      </c>
    </row>
    <row r="948" customFormat="false" ht="15" hidden="true" customHeight="false" outlineLevel="0" collapsed="false">
      <c r="B948" s="361" t="s">
        <v>3412</v>
      </c>
      <c r="C948" s="365" t="n">
        <v>1</v>
      </c>
      <c r="D948" s="358" t="n">
        <v>0</v>
      </c>
      <c r="E948" s="358" t="n">
        <v>0</v>
      </c>
      <c r="F948" s="358" t="n">
        <v>0</v>
      </c>
      <c r="G948" s="358" t="n">
        <v>0</v>
      </c>
      <c r="H948" s="365" t="n">
        <v>1</v>
      </c>
    </row>
    <row r="949" customFormat="false" ht="15" hidden="true" customHeight="false" outlineLevel="0" collapsed="false">
      <c r="B949" s="361" t="s">
        <v>3413</v>
      </c>
      <c r="C949" s="365" t="n">
        <v>1</v>
      </c>
      <c r="D949" s="358" t="n">
        <v>0</v>
      </c>
      <c r="E949" s="358" t="n">
        <v>0</v>
      </c>
      <c r="F949" s="358" t="n">
        <v>0</v>
      </c>
      <c r="G949" s="358" t="n">
        <v>0</v>
      </c>
      <c r="H949" s="365" t="n">
        <v>1</v>
      </c>
    </row>
    <row r="950" customFormat="false" ht="15" hidden="true" customHeight="false" outlineLevel="0" collapsed="false">
      <c r="B950" s="360" t="s">
        <v>3414</v>
      </c>
      <c r="C950" s="365" t="n">
        <v>1</v>
      </c>
      <c r="D950" s="358" t="n">
        <v>0</v>
      </c>
      <c r="E950" s="358" t="n">
        <v>0</v>
      </c>
      <c r="F950" s="358" t="n">
        <v>0</v>
      </c>
      <c r="G950" s="358" t="n">
        <v>0</v>
      </c>
      <c r="H950" s="365" t="n">
        <v>1</v>
      </c>
    </row>
    <row r="951" customFormat="false" ht="15" hidden="true" customHeight="false" outlineLevel="0" collapsed="false">
      <c r="B951" s="360" t="s">
        <v>3415</v>
      </c>
      <c r="C951" s="365" t="n">
        <v>1</v>
      </c>
      <c r="D951" s="358" t="n">
        <v>0</v>
      </c>
      <c r="E951" s="358" t="n">
        <v>0</v>
      </c>
      <c r="F951" s="358" t="n">
        <v>0</v>
      </c>
      <c r="G951" s="358" t="n">
        <v>0</v>
      </c>
      <c r="H951" s="365" t="n">
        <v>1</v>
      </c>
    </row>
    <row r="952" customFormat="false" ht="15" hidden="true" customHeight="false" outlineLevel="0" collapsed="false">
      <c r="B952" s="360" t="s">
        <v>3416</v>
      </c>
      <c r="C952" s="365" t="n">
        <v>1</v>
      </c>
      <c r="D952" s="358" t="n">
        <v>0</v>
      </c>
      <c r="E952" s="358" t="n">
        <v>0</v>
      </c>
      <c r="F952" s="358" t="n">
        <v>0</v>
      </c>
      <c r="G952" s="358" t="n">
        <v>0</v>
      </c>
      <c r="H952" s="365" t="n">
        <v>1</v>
      </c>
    </row>
    <row r="953" customFormat="false" ht="15" hidden="true" customHeight="false" outlineLevel="0" collapsed="false">
      <c r="B953" s="360" t="s">
        <v>3417</v>
      </c>
      <c r="C953" s="365" t="n">
        <v>1</v>
      </c>
      <c r="D953" s="358" t="n">
        <v>0</v>
      </c>
      <c r="E953" s="358" t="n">
        <v>0</v>
      </c>
      <c r="F953" s="358" t="n">
        <v>0</v>
      </c>
      <c r="G953" s="358" t="n">
        <v>0</v>
      </c>
      <c r="H953" s="365" t="n">
        <v>1</v>
      </c>
    </row>
    <row r="954" customFormat="false" ht="15" hidden="true" customHeight="false" outlineLevel="0" collapsed="false">
      <c r="B954" s="360" t="s">
        <v>3418</v>
      </c>
      <c r="C954" s="365" t="n">
        <v>1</v>
      </c>
      <c r="D954" s="358" t="n">
        <v>0</v>
      </c>
      <c r="E954" s="358" t="n">
        <v>0</v>
      </c>
      <c r="F954" s="358" t="n">
        <v>0</v>
      </c>
      <c r="G954" s="358" t="n">
        <v>0</v>
      </c>
      <c r="H954" s="365" t="n">
        <v>1</v>
      </c>
    </row>
    <row r="955" customFormat="false" ht="15" hidden="true" customHeight="false" outlineLevel="0" collapsed="false">
      <c r="B955" s="360" t="s">
        <v>3419</v>
      </c>
      <c r="C955" s="365" t="n">
        <v>1</v>
      </c>
      <c r="D955" s="358" t="n">
        <v>0</v>
      </c>
      <c r="E955" s="358" t="n">
        <v>0</v>
      </c>
      <c r="F955" s="358" t="n">
        <v>0</v>
      </c>
      <c r="G955" s="358" t="n">
        <v>0</v>
      </c>
      <c r="H955" s="365" t="n">
        <v>1</v>
      </c>
    </row>
    <row r="956" customFormat="false" ht="15" hidden="true" customHeight="false" outlineLevel="0" collapsed="false">
      <c r="B956" s="360" t="s">
        <v>3420</v>
      </c>
      <c r="C956" s="365" t="n">
        <v>1</v>
      </c>
      <c r="D956" s="358" t="n">
        <v>0</v>
      </c>
      <c r="E956" s="358" t="n">
        <v>0</v>
      </c>
      <c r="F956" s="358" t="n">
        <v>0</v>
      </c>
      <c r="G956" s="358" t="n">
        <v>0</v>
      </c>
      <c r="H956" s="365" t="n">
        <v>1</v>
      </c>
    </row>
    <row r="957" customFormat="false" ht="15" hidden="true" customHeight="false" outlineLevel="0" collapsed="false">
      <c r="B957" s="360" t="s">
        <v>3421</v>
      </c>
      <c r="C957" s="365" t="n">
        <v>1</v>
      </c>
      <c r="D957" s="358" t="n">
        <v>0</v>
      </c>
      <c r="E957" s="358" t="n">
        <v>0</v>
      </c>
      <c r="F957" s="358" t="n">
        <v>0</v>
      </c>
      <c r="G957" s="358" t="n">
        <v>0</v>
      </c>
      <c r="H957" s="365" t="n">
        <v>1</v>
      </c>
    </row>
    <row r="958" customFormat="false" ht="15" hidden="true" customHeight="false" outlineLevel="0" collapsed="false">
      <c r="B958" s="360" t="s">
        <v>3422</v>
      </c>
      <c r="C958" s="365" t="n">
        <v>1</v>
      </c>
      <c r="D958" s="358" t="n">
        <v>0</v>
      </c>
      <c r="E958" s="358" t="n">
        <v>0</v>
      </c>
      <c r="F958" s="358" t="n">
        <v>0</v>
      </c>
      <c r="G958" s="358" t="n">
        <v>0</v>
      </c>
      <c r="H958" s="365" t="n">
        <v>1</v>
      </c>
    </row>
    <row r="959" customFormat="false" ht="15" hidden="true" customHeight="false" outlineLevel="0" collapsed="false">
      <c r="B959" s="360" t="s">
        <v>3423</v>
      </c>
      <c r="C959" s="365" t="n">
        <v>1</v>
      </c>
      <c r="D959" s="358" t="n">
        <v>0</v>
      </c>
      <c r="E959" s="358" t="n">
        <v>0</v>
      </c>
      <c r="F959" s="358" t="n">
        <v>0</v>
      </c>
      <c r="G959" s="358" t="n">
        <v>0</v>
      </c>
      <c r="H959" s="365" t="n">
        <v>1</v>
      </c>
    </row>
    <row r="960" customFormat="false" ht="15" hidden="false" customHeight="false" outlineLevel="0" collapsed="false">
      <c r="B960" s="364" t="s">
        <v>2468</v>
      </c>
      <c r="C960" s="365" t="n">
        <v>6</v>
      </c>
      <c r="D960" s="358" t="n">
        <v>0</v>
      </c>
      <c r="E960" s="358" t="n">
        <v>0</v>
      </c>
      <c r="F960" s="358" t="n">
        <v>0</v>
      </c>
      <c r="G960" s="358" t="n">
        <v>0</v>
      </c>
      <c r="H960" s="365" t="n">
        <v>6</v>
      </c>
    </row>
    <row r="961" customFormat="false" ht="15" hidden="true" customHeight="false" outlineLevel="0" collapsed="false">
      <c r="B961" s="360" t="s">
        <v>3424</v>
      </c>
      <c r="C961" s="359" t="n">
        <v>1</v>
      </c>
      <c r="D961" s="358" t="n">
        <v>0</v>
      </c>
      <c r="E961" s="358" t="n">
        <v>0</v>
      </c>
      <c r="F961" s="358" t="n">
        <v>0</v>
      </c>
      <c r="G961" s="358" t="n">
        <v>0</v>
      </c>
      <c r="H961" s="359" t="n">
        <v>1</v>
      </c>
    </row>
    <row r="962" customFormat="false" ht="15" hidden="true" customHeight="false" outlineLevel="0" collapsed="false">
      <c r="B962" s="360" t="s">
        <v>3425</v>
      </c>
      <c r="C962" s="359" t="n">
        <v>1</v>
      </c>
      <c r="D962" s="358" t="n">
        <v>0</v>
      </c>
      <c r="E962" s="358" t="n">
        <v>0</v>
      </c>
      <c r="F962" s="358" t="n">
        <v>0</v>
      </c>
      <c r="G962" s="358" t="n">
        <v>0</v>
      </c>
      <c r="H962" s="359" t="n">
        <v>1</v>
      </c>
    </row>
    <row r="963" customFormat="false" ht="15" hidden="true" customHeight="false" outlineLevel="0" collapsed="false">
      <c r="B963" s="360" t="s">
        <v>3426</v>
      </c>
      <c r="C963" s="359" t="n">
        <v>1</v>
      </c>
      <c r="D963" s="358" t="n">
        <v>0</v>
      </c>
      <c r="E963" s="358" t="n">
        <v>0</v>
      </c>
      <c r="F963" s="358" t="n">
        <v>0</v>
      </c>
      <c r="G963" s="358" t="n">
        <v>0</v>
      </c>
      <c r="H963" s="359" t="n">
        <v>1</v>
      </c>
    </row>
    <row r="964" customFormat="false" ht="15" hidden="true" customHeight="false" outlineLevel="0" collapsed="false">
      <c r="B964" s="360" t="s">
        <v>3427</v>
      </c>
      <c r="C964" s="359" t="n">
        <v>1</v>
      </c>
      <c r="D964" s="358" t="n">
        <v>0</v>
      </c>
      <c r="E964" s="358" t="n">
        <v>0</v>
      </c>
      <c r="F964" s="358" t="n">
        <v>0</v>
      </c>
      <c r="G964" s="358" t="n">
        <v>0</v>
      </c>
      <c r="H964" s="359" t="n">
        <v>1</v>
      </c>
    </row>
    <row r="965" customFormat="false" ht="15" hidden="true" customHeight="false" outlineLevel="0" collapsed="false">
      <c r="B965" s="360" t="s">
        <v>3428</v>
      </c>
      <c r="C965" s="359" t="n">
        <v>1</v>
      </c>
      <c r="D965" s="358" t="n">
        <v>0</v>
      </c>
      <c r="E965" s="358" t="n">
        <v>0</v>
      </c>
      <c r="F965" s="358" t="n">
        <v>0</v>
      </c>
      <c r="G965" s="358" t="n">
        <v>0</v>
      </c>
      <c r="H965" s="359" t="n">
        <v>1</v>
      </c>
    </row>
    <row r="966" customFormat="false" ht="15" hidden="true" customHeight="false" outlineLevel="0" collapsed="false">
      <c r="B966" s="360" t="s">
        <v>3429</v>
      </c>
      <c r="C966" s="359" t="n">
        <v>1</v>
      </c>
      <c r="D966" s="358" t="n">
        <v>0</v>
      </c>
      <c r="E966" s="358" t="n">
        <v>0</v>
      </c>
      <c r="F966" s="358" t="n">
        <v>0</v>
      </c>
      <c r="G966" s="358" t="n">
        <v>0</v>
      </c>
      <c r="H966" s="359" t="n">
        <v>1</v>
      </c>
    </row>
    <row r="967" customFormat="false" ht="15" hidden="false" customHeight="false" outlineLevel="0" collapsed="false">
      <c r="B967" s="356" t="s">
        <v>2477</v>
      </c>
      <c r="C967" s="357" t="n">
        <v>2</v>
      </c>
      <c r="D967" s="358" t="n">
        <v>0</v>
      </c>
      <c r="E967" s="358" t="n">
        <v>0</v>
      </c>
      <c r="F967" s="358" t="n">
        <v>0</v>
      </c>
      <c r="G967" s="358" t="n">
        <v>0</v>
      </c>
      <c r="H967" s="357" t="n">
        <v>2</v>
      </c>
    </row>
    <row r="968" customFormat="false" ht="15" hidden="true" customHeight="false" outlineLevel="0" collapsed="false">
      <c r="B968" s="360" t="s">
        <v>3430</v>
      </c>
      <c r="C968" s="359" t="n">
        <v>1</v>
      </c>
      <c r="D968" s="358" t="n">
        <v>0</v>
      </c>
      <c r="E968" s="358" t="n">
        <v>0</v>
      </c>
      <c r="F968" s="358" t="n">
        <v>0</v>
      </c>
      <c r="G968" s="358" t="n">
        <v>0</v>
      </c>
      <c r="H968" s="359" t="n">
        <v>1</v>
      </c>
    </row>
    <row r="969" customFormat="false" ht="15" hidden="true" customHeight="false" outlineLevel="0" collapsed="false">
      <c r="B969" s="360" t="s">
        <v>3431</v>
      </c>
      <c r="C969" s="359" t="n">
        <v>1</v>
      </c>
      <c r="D969" s="358" t="n">
        <v>0</v>
      </c>
      <c r="E969" s="358" t="n">
        <v>0</v>
      </c>
      <c r="F969" s="358" t="n">
        <v>0</v>
      </c>
      <c r="G969" s="358" t="n">
        <v>0</v>
      </c>
      <c r="H969" s="359" t="n">
        <v>1</v>
      </c>
    </row>
    <row r="970" customFormat="false" ht="15" hidden="false" customHeight="false" outlineLevel="0" collapsed="false">
      <c r="B970" s="362" t="s">
        <v>2478</v>
      </c>
      <c r="C970" s="363" t="n">
        <v>5</v>
      </c>
      <c r="D970" s="363" t="n">
        <v>0</v>
      </c>
      <c r="E970" s="363" t="n">
        <v>0</v>
      </c>
      <c r="F970" s="363" t="n">
        <v>0</v>
      </c>
      <c r="G970" s="363" t="n">
        <v>0</v>
      </c>
      <c r="H970" s="363" t="n">
        <v>5</v>
      </c>
    </row>
    <row r="971" customFormat="false" ht="15" hidden="true" customHeight="false" outlineLevel="0" collapsed="false">
      <c r="B971" s="360" t="s">
        <v>3432</v>
      </c>
      <c r="C971" s="359" t="n">
        <v>1</v>
      </c>
      <c r="D971" s="358" t="n">
        <v>0</v>
      </c>
      <c r="E971" s="358" t="n">
        <v>0</v>
      </c>
      <c r="F971" s="358" t="n">
        <v>0</v>
      </c>
      <c r="G971" s="358" t="n">
        <v>0</v>
      </c>
      <c r="H971" s="359" t="n">
        <v>1</v>
      </c>
    </row>
    <row r="972" customFormat="false" ht="15" hidden="true" customHeight="false" outlineLevel="0" collapsed="false">
      <c r="B972" s="360" t="s">
        <v>3433</v>
      </c>
      <c r="C972" s="359" t="n">
        <v>1</v>
      </c>
      <c r="D972" s="358" t="n">
        <v>0</v>
      </c>
      <c r="E972" s="358" t="n">
        <v>0</v>
      </c>
      <c r="F972" s="358" t="n">
        <v>0</v>
      </c>
      <c r="G972" s="358" t="n">
        <v>0</v>
      </c>
      <c r="H972" s="359" t="n">
        <v>1</v>
      </c>
    </row>
    <row r="973" customFormat="false" ht="15" hidden="true" customHeight="false" outlineLevel="0" collapsed="false">
      <c r="B973" s="360" t="s">
        <v>3434</v>
      </c>
      <c r="C973" s="359" t="n">
        <v>1</v>
      </c>
      <c r="D973" s="358" t="n">
        <v>0</v>
      </c>
      <c r="E973" s="358" t="n">
        <v>0</v>
      </c>
      <c r="F973" s="358" t="n">
        <v>0</v>
      </c>
      <c r="G973" s="358" t="n">
        <v>0</v>
      </c>
      <c r="H973" s="359" t="n">
        <v>1</v>
      </c>
    </row>
    <row r="974" customFormat="false" ht="15" hidden="true" customHeight="false" outlineLevel="0" collapsed="false">
      <c r="B974" s="360" t="s">
        <v>3435</v>
      </c>
      <c r="C974" s="359" t="n">
        <v>1</v>
      </c>
      <c r="D974" s="358" t="n">
        <v>0</v>
      </c>
      <c r="E974" s="358" t="n">
        <v>0</v>
      </c>
      <c r="F974" s="358" t="n">
        <v>0</v>
      </c>
      <c r="G974" s="358" t="n">
        <v>0</v>
      </c>
      <c r="H974" s="359" t="n">
        <v>1</v>
      </c>
    </row>
    <row r="975" customFormat="false" ht="15" hidden="true" customHeight="false" outlineLevel="0" collapsed="false">
      <c r="B975" s="360" t="s">
        <v>3436</v>
      </c>
      <c r="C975" s="359" t="n">
        <v>1</v>
      </c>
      <c r="D975" s="358" t="n">
        <v>0</v>
      </c>
      <c r="E975" s="358" t="n">
        <v>0</v>
      </c>
      <c r="F975" s="358" t="n">
        <v>0</v>
      </c>
      <c r="G975" s="358" t="n">
        <v>0</v>
      </c>
      <c r="H975" s="359" t="n">
        <v>1</v>
      </c>
    </row>
    <row r="976" customFormat="false" ht="15" hidden="false" customHeight="false" outlineLevel="0" collapsed="false">
      <c r="B976" s="362" t="s">
        <v>2479</v>
      </c>
      <c r="C976" s="363" t="n">
        <v>1</v>
      </c>
      <c r="D976" s="363" t="n">
        <v>0</v>
      </c>
      <c r="E976" s="363" t="n">
        <v>0</v>
      </c>
      <c r="F976" s="363" t="n">
        <v>0</v>
      </c>
      <c r="G976" s="363" t="n">
        <v>0</v>
      </c>
      <c r="H976" s="363" t="n">
        <v>1</v>
      </c>
    </row>
    <row r="977" customFormat="false" ht="15" hidden="true" customHeight="false" outlineLevel="0" collapsed="false">
      <c r="B977" s="360" t="s">
        <v>3437</v>
      </c>
      <c r="C977" s="359" t="n">
        <v>1</v>
      </c>
      <c r="D977" s="358" t="n">
        <v>0</v>
      </c>
      <c r="E977" s="358" t="n">
        <v>0</v>
      </c>
      <c r="F977" s="358" t="n">
        <v>0</v>
      </c>
      <c r="G977" s="358" t="n">
        <v>0</v>
      </c>
      <c r="H977" s="359" t="n">
        <v>1</v>
      </c>
    </row>
    <row r="978" customFormat="false" ht="15" hidden="false" customHeight="false" outlineLevel="0" collapsed="false">
      <c r="B978" s="351" t="s">
        <v>3438</v>
      </c>
      <c r="C978" s="352" t="n">
        <v>924</v>
      </c>
      <c r="D978" s="352" t="n">
        <v>7</v>
      </c>
      <c r="E978" s="352" t="n">
        <v>-1</v>
      </c>
      <c r="F978" s="352" t="n">
        <v>0</v>
      </c>
      <c r="G978" s="352" t="n">
        <v>0</v>
      </c>
      <c r="H978" s="352" t="n">
        <v>930</v>
      </c>
    </row>
    <row r="979" customFormat="false" ht="15" hidden="false" customHeight="false" outlineLevel="0" collapsed="false">
      <c r="B979" s="362" t="s">
        <v>2480</v>
      </c>
      <c r="C979" s="363" t="n">
        <v>59</v>
      </c>
      <c r="D979" s="363" t="n">
        <v>0</v>
      </c>
      <c r="E979" s="363" t="n">
        <v>-1</v>
      </c>
      <c r="F979" s="363" t="n">
        <v>0</v>
      </c>
      <c r="G979" s="363" t="n">
        <v>0</v>
      </c>
      <c r="H979" s="363" t="n">
        <v>58</v>
      </c>
    </row>
    <row r="980" customFormat="false" ht="15" hidden="true" customHeight="false" outlineLevel="0" collapsed="false">
      <c r="B980" s="360" t="s">
        <v>3439</v>
      </c>
      <c r="C980" s="359" t="n">
        <v>1</v>
      </c>
      <c r="D980" s="358" t="n">
        <v>0</v>
      </c>
      <c r="E980" s="358" t="n">
        <v>0</v>
      </c>
      <c r="F980" s="358" t="n">
        <v>0</v>
      </c>
      <c r="G980" s="358" t="n">
        <v>0</v>
      </c>
      <c r="H980" s="359" t="n">
        <v>1</v>
      </c>
    </row>
    <row r="981" customFormat="false" ht="15" hidden="true" customHeight="false" outlineLevel="0" collapsed="false">
      <c r="B981" s="360" t="s">
        <v>3440</v>
      </c>
      <c r="C981" s="359" t="n">
        <v>1</v>
      </c>
      <c r="D981" s="358" t="n">
        <v>0</v>
      </c>
      <c r="E981" s="358" t="n">
        <v>0</v>
      </c>
      <c r="F981" s="358" t="n">
        <v>0</v>
      </c>
      <c r="G981" s="358" t="n">
        <v>0</v>
      </c>
      <c r="H981" s="359" t="n">
        <v>1</v>
      </c>
    </row>
    <row r="982" customFormat="false" ht="15" hidden="true" customHeight="false" outlineLevel="0" collapsed="false">
      <c r="B982" s="360" t="s">
        <v>3441</v>
      </c>
      <c r="C982" s="359" t="n">
        <v>1</v>
      </c>
      <c r="D982" s="358" t="n">
        <v>0</v>
      </c>
      <c r="E982" s="358" t="n">
        <v>0</v>
      </c>
      <c r="F982" s="358" t="n">
        <v>0</v>
      </c>
      <c r="G982" s="358" t="n">
        <v>0</v>
      </c>
      <c r="H982" s="359" t="n">
        <v>1</v>
      </c>
    </row>
    <row r="983" customFormat="false" ht="15" hidden="true" customHeight="false" outlineLevel="0" collapsed="false">
      <c r="B983" s="360" t="s">
        <v>3442</v>
      </c>
      <c r="C983" s="359" t="n">
        <v>1</v>
      </c>
      <c r="D983" s="358" t="n">
        <v>0</v>
      </c>
      <c r="E983" s="358" t="n">
        <v>0</v>
      </c>
      <c r="F983" s="358" t="n">
        <v>0</v>
      </c>
      <c r="G983" s="358" t="n">
        <v>0</v>
      </c>
      <c r="H983" s="359" t="n">
        <v>1</v>
      </c>
    </row>
    <row r="984" customFormat="false" ht="15" hidden="true" customHeight="false" outlineLevel="0" collapsed="false">
      <c r="B984" s="360" t="s">
        <v>3443</v>
      </c>
      <c r="C984" s="359" t="n">
        <v>1</v>
      </c>
      <c r="D984" s="358" t="n">
        <v>0</v>
      </c>
      <c r="E984" s="358" t="n">
        <v>0</v>
      </c>
      <c r="F984" s="358" t="n">
        <v>0</v>
      </c>
      <c r="G984" s="358" t="n">
        <v>0</v>
      </c>
      <c r="H984" s="359" t="n">
        <v>1</v>
      </c>
    </row>
    <row r="985" customFormat="false" ht="15" hidden="true" customHeight="false" outlineLevel="0" collapsed="false">
      <c r="B985" s="360" t="s">
        <v>3444</v>
      </c>
      <c r="C985" s="359" t="n">
        <v>1</v>
      </c>
      <c r="D985" s="358" t="n">
        <v>0</v>
      </c>
      <c r="E985" s="358" t="n">
        <v>0</v>
      </c>
      <c r="F985" s="358" t="n">
        <v>0</v>
      </c>
      <c r="G985" s="358" t="n">
        <v>0</v>
      </c>
      <c r="H985" s="359" t="n">
        <v>1</v>
      </c>
    </row>
    <row r="986" customFormat="false" ht="15" hidden="true" customHeight="false" outlineLevel="0" collapsed="false">
      <c r="B986" s="360" t="s">
        <v>3445</v>
      </c>
      <c r="C986" s="359" t="n">
        <v>1</v>
      </c>
      <c r="D986" s="358" t="n">
        <v>0</v>
      </c>
      <c r="E986" s="358" t="n">
        <v>0</v>
      </c>
      <c r="F986" s="358" t="n">
        <v>0</v>
      </c>
      <c r="G986" s="358" t="n">
        <v>0</v>
      </c>
      <c r="H986" s="359" t="n">
        <v>1</v>
      </c>
    </row>
    <row r="987" customFormat="false" ht="15" hidden="true" customHeight="false" outlineLevel="0" collapsed="false">
      <c r="B987" s="360" t="s">
        <v>3446</v>
      </c>
      <c r="C987" s="359" t="n">
        <v>1</v>
      </c>
      <c r="D987" s="358" t="n">
        <v>0</v>
      </c>
      <c r="E987" s="358" t="n">
        <v>0</v>
      </c>
      <c r="F987" s="358" t="n">
        <v>0</v>
      </c>
      <c r="G987" s="358" t="n">
        <v>0</v>
      </c>
      <c r="H987" s="359" t="n">
        <v>1</v>
      </c>
    </row>
    <row r="988" customFormat="false" ht="15" hidden="true" customHeight="false" outlineLevel="0" collapsed="false">
      <c r="B988" s="360" t="s">
        <v>3447</v>
      </c>
      <c r="C988" s="359" t="n">
        <v>1</v>
      </c>
      <c r="D988" s="358" t="n">
        <v>0</v>
      </c>
      <c r="E988" s="358" t="n">
        <v>0</v>
      </c>
      <c r="F988" s="358" t="n">
        <v>0</v>
      </c>
      <c r="G988" s="358" t="n">
        <v>0</v>
      </c>
      <c r="H988" s="359" t="n">
        <v>1</v>
      </c>
    </row>
    <row r="989" customFormat="false" ht="15" hidden="true" customHeight="false" outlineLevel="0" collapsed="false">
      <c r="B989" s="360" t="s">
        <v>3448</v>
      </c>
      <c r="C989" s="359" t="n">
        <v>1</v>
      </c>
      <c r="D989" s="358" t="n">
        <v>0</v>
      </c>
      <c r="E989" s="358" t="n">
        <v>0</v>
      </c>
      <c r="F989" s="358" t="n">
        <v>0</v>
      </c>
      <c r="G989" s="358" t="n">
        <v>0</v>
      </c>
      <c r="H989" s="359" t="n">
        <v>1</v>
      </c>
    </row>
    <row r="990" customFormat="false" ht="15" hidden="true" customHeight="false" outlineLevel="0" collapsed="false">
      <c r="B990" s="360" t="s">
        <v>3449</v>
      </c>
      <c r="C990" s="359" t="n">
        <v>1</v>
      </c>
      <c r="D990" s="358" t="n">
        <v>0</v>
      </c>
      <c r="E990" s="358" t="n">
        <v>0</v>
      </c>
      <c r="F990" s="358" t="n">
        <v>0</v>
      </c>
      <c r="G990" s="358" t="n">
        <v>0</v>
      </c>
      <c r="H990" s="359" t="n">
        <v>1</v>
      </c>
    </row>
    <row r="991" customFormat="false" ht="15" hidden="true" customHeight="false" outlineLevel="0" collapsed="false">
      <c r="B991" s="360" t="s">
        <v>3450</v>
      </c>
      <c r="C991" s="359" t="n">
        <v>1</v>
      </c>
      <c r="D991" s="358" t="n">
        <v>0</v>
      </c>
      <c r="E991" s="358" t="n">
        <v>0</v>
      </c>
      <c r="F991" s="358" t="n">
        <v>0</v>
      </c>
      <c r="G991" s="358" t="n">
        <v>0</v>
      </c>
      <c r="H991" s="359" t="n">
        <v>1</v>
      </c>
    </row>
    <row r="992" customFormat="false" ht="15" hidden="true" customHeight="false" outlineLevel="0" collapsed="false">
      <c r="B992" s="360" t="s">
        <v>3451</v>
      </c>
      <c r="C992" s="359" t="n">
        <v>1</v>
      </c>
      <c r="D992" s="358" t="n">
        <v>0</v>
      </c>
      <c r="E992" s="358" t="n">
        <v>0</v>
      </c>
      <c r="F992" s="358" t="n">
        <v>0</v>
      </c>
      <c r="G992" s="358" t="n">
        <v>0</v>
      </c>
      <c r="H992" s="359" t="n">
        <v>1</v>
      </c>
    </row>
    <row r="993" customFormat="false" ht="15" hidden="true" customHeight="false" outlineLevel="0" collapsed="false">
      <c r="B993" s="360" t="s">
        <v>3452</v>
      </c>
      <c r="C993" s="359" t="n">
        <v>1</v>
      </c>
      <c r="D993" s="358" t="n">
        <v>0</v>
      </c>
      <c r="E993" s="358" t="n">
        <v>0</v>
      </c>
      <c r="F993" s="358" t="n">
        <v>0</v>
      </c>
      <c r="G993" s="358" t="n">
        <v>0</v>
      </c>
      <c r="H993" s="359" t="n">
        <v>1</v>
      </c>
    </row>
    <row r="994" customFormat="false" ht="15" hidden="true" customHeight="false" outlineLevel="0" collapsed="false">
      <c r="B994" s="360" t="s">
        <v>3453</v>
      </c>
      <c r="C994" s="359" t="n">
        <v>1</v>
      </c>
      <c r="D994" s="358" t="n">
        <v>0</v>
      </c>
      <c r="E994" s="358" t="n">
        <v>0</v>
      </c>
      <c r="F994" s="358" t="n">
        <v>0</v>
      </c>
      <c r="G994" s="358" t="n">
        <v>0</v>
      </c>
      <c r="H994" s="359" t="n">
        <v>1</v>
      </c>
    </row>
    <row r="995" customFormat="false" ht="15" hidden="true" customHeight="false" outlineLevel="0" collapsed="false">
      <c r="B995" s="360" t="s">
        <v>3454</v>
      </c>
      <c r="C995" s="359" t="n">
        <v>1</v>
      </c>
      <c r="D995" s="358" t="n">
        <v>0</v>
      </c>
      <c r="E995" s="358" t="n">
        <v>0</v>
      </c>
      <c r="F995" s="358" t="n">
        <v>0</v>
      </c>
      <c r="G995" s="358" t="n">
        <v>0</v>
      </c>
      <c r="H995" s="359" t="n">
        <v>1</v>
      </c>
    </row>
    <row r="996" customFormat="false" ht="15" hidden="true" customHeight="false" outlineLevel="0" collapsed="false">
      <c r="B996" s="360" t="s">
        <v>3455</v>
      </c>
      <c r="C996" s="359" t="n">
        <v>1</v>
      </c>
      <c r="D996" s="358" t="n">
        <v>0</v>
      </c>
      <c r="E996" s="358" t="n">
        <v>0</v>
      </c>
      <c r="F996" s="358" t="n">
        <v>0</v>
      </c>
      <c r="G996" s="358" t="n">
        <v>0</v>
      </c>
      <c r="H996" s="359" t="n">
        <v>1</v>
      </c>
    </row>
    <row r="997" customFormat="false" ht="15" hidden="true" customHeight="false" outlineLevel="0" collapsed="false">
      <c r="B997" s="360" t="s">
        <v>3456</v>
      </c>
      <c r="C997" s="359" t="n">
        <v>1</v>
      </c>
      <c r="D997" s="358" t="n">
        <v>0</v>
      </c>
      <c r="E997" s="358" t="n">
        <v>0</v>
      </c>
      <c r="F997" s="358" t="n">
        <v>0</v>
      </c>
      <c r="G997" s="358" t="n">
        <v>0</v>
      </c>
      <c r="H997" s="359" t="n">
        <v>1</v>
      </c>
    </row>
    <row r="998" customFormat="false" ht="15" hidden="true" customHeight="false" outlineLevel="0" collapsed="false">
      <c r="B998" s="360" t="s">
        <v>3457</v>
      </c>
      <c r="C998" s="359" t="n">
        <v>1</v>
      </c>
      <c r="D998" s="358" t="n">
        <v>0</v>
      </c>
      <c r="E998" s="358" t="n">
        <v>0</v>
      </c>
      <c r="F998" s="358" t="n">
        <v>0</v>
      </c>
      <c r="G998" s="358" t="n">
        <v>0</v>
      </c>
      <c r="H998" s="359" t="n">
        <v>1</v>
      </c>
    </row>
    <row r="999" customFormat="false" ht="15" hidden="true" customHeight="false" outlineLevel="0" collapsed="false">
      <c r="B999" s="360" t="s">
        <v>3458</v>
      </c>
      <c r="C999" s="359" t="n">
        <v>1</v>
      </c>
      <c r="D999" s="358" t="n">
        <v>0</v>
      </c>
      <c r="E999" s="358" t="n">
        <v>0</v>
      </c>
      <c r="F999" s="358" t="n">
        <v>0</v>
      </c>
      <c r="G999" s="358" t="n">
        <v>0</v>
      </c>
      <c r="H999" s="359" t="n">
        <v>1</v>
      </c>
    </row>
    <row r="1000" customFormat="false" ht="15" hidden="true" customHeight="false" outlineLevel="0" collapsed="false">
      <c r="B1000" s="360" t="s">
        <v>3459</v>
      </c>
      <c r="C1000" s="359" t="n">
        <v>1</v>
      </c>
      <c r="D1000" s="358" t="n">
        <v>0</v>
      </c>
      <c r="E1000" s="358" t="n">
        <v>0</v>
      </c>
      <c r="F1000" s="358" t="n">
        <v>0</v>
      </c>
      <c r="G1000" s="358" t="n">
        <v>0</v>
      </c>
      <c r="H1000" s="359" t="n">
        <v>1</v>
      </c>
    </row>
    <row r="1001" customFormat="false" ht="15" hidden="true" customHeight="false" outlineLevel="0" collapsed="false">
      <c r="B1001" s="360" t="s">
        <v>3460</v>
      </c>
      <c r="C1001" s="359" t="n">
        <v>1</v>
      </c>
      <c r="D1001" s="358" t="n">
        <v>0</v>
      </c>
      <c r="E1001" s="358" t="n">
        <v>0</v>
      </c>
      <c r="F1001" s="358" t="n">
        <v>0</v>
      </c>
      <c r="G1001" s="358" t="n">
        <v>0</v>
      </c>
      <c r="H1001" s="359" t="n">
        <v>1</v>
      </c>
    </row>
    <row r="1002" customFormat="false" ht="15" hidden="true" customHeight="false" outlineLevel="0" collapsed="false">
      <c r="B1002" s="360" t="s">
        <v>3461</v>
      </c>
      <c r="C1002" s="359" t="n">
        <v>1</v>
      </c>
      <c r="D1002" s="358" t="n">
        <v>0</v>
      </c>
      <c r="E1002" s="358" t="n">
        <v>0</v>
      </c>
      <c r="F1002" s="358" t="n">
        <v>0</v>
      </c>
      <c r="G1002" s="358" t="n">
        <v>0</v>
      </c>
      <c r="H1002" s="359" t="n">
        <v>1</v>
      </c>
    </row>
    <row r="1003" customFormat="false" ht="15" hidden="true" customHeight="false" outlineLevel="0" collapsed="false">
      <c r="B1003" s="360" t="s">
        <v>3462</v>
      </c>
      <c r="C1003" s="359" t="n">
        <v>1</v>
      </c>
      <c r="D1003" s="358" t="n">
        <v>0</v>
      </c>
      <c r="E1003" s="358" t="n">
        <v>0</v>
      </c>
      <c r="F1003" s="358" t="n">
        <v>0</v>
      </c>
      <c r="G1003" s="358" t="n">
        <v>0</v>
      </c>
      <c r="H1003" s="359" t="n">
        <v>1</v>
      </c>
    </row>
    <row r="1004" customFormat="false" ht="15" hidden="true" customHeight="false" outlineLevel="0" collapsed="false">
      <c r="B1004" s="360" t="s">
        <v>3463</v>
      </c>
      <c r="C1004" s="359" t="n">
        <v>1</v>
      </c>
      <c r="D1004" s="358" t="n">
        <v>0</v>
      </c>
      <c r="E1004" s="358" t="n">
        <v>0</v>
      </c>
      <c r="F1004" s="358" t="n">
        <v>0</v>
      </c>
      <c r="G1004" s="358" t="n">
        <v>0</v>
      </c>
      <c r="H1004" s="359" t="n">
        <v>1</v>
      </c>
    </row>
    <row r="1005" customFormat="false" ht="15" hidden="true" customHeight="false" outlineLevel="0" collapsed="false">
      <c r="B1005" s="360" t="s">
        <v>3464</v>
      </c>
      <c r="C1005" s="359" t="n">
        <v>1</v>
      </c>
      <c r="D1005" s="358" t="n">
        <v>0</v>
      </c>
      <c r="E1005" s="358" t="n">
        <v>0</v>
      </c>
      <c r="F1005" s="358" t="n">
        <v>0</v>
      </c>
      <c r="G1005" s="358" t="n">
        <v>0</v>
      </c>
      <c r="H1005" s="359" t="n">
        <v>1</v>
      </c>
    </row>
    <row r="1006" customFormat="false" ht="15" hidden="true" customHeight="false" outlineLevel="0" collapsed="false">
      <c r="B1006" s="360" t="s">
        <v>3465</v>
      </c>
      <c r="C1006" s="359" t="n">
        <v>1</v>
      </c>
      <c r="D1006" s="358" t="n">
        <v>0</v>
      </c>
      <c r="E1006" s="358" t="n">
        <v>0</v>
      </c>
      <c r="F1006" s="358" t="n">
        <v>0</v>
      </c>
      <c r="G1006" s="358" t="n">
        <v>0</v>
      </c>
      <c r="H1006" s="359" t="n">
        <v>1</v>
      </c>
    </row>
    <row r="1007" customFormat="false" ht="15" hidden="true" customHeight="false" outlineLevel="0" collapsed="false">
      <c r="B1007" s="360" t="s">
        <v>3466</v>
      </c>
      <c r="C1007" s="359" t="n">
        <v>1</v>
      </c>
      <c r="D1007" s="358" t="n">
        <v>0</v>
      </c>
      <c r="E1007" s="358" t="n">
        <v>0</v>
      </c>
      <c r="F1007" s="358" t="n">
        <v>0</v>
      </c>
      <c r="G1007" s="358" t="n">
        <v>0</v>
      </c>
      <c r="H1007" s="359" t="n">
        <v>1</v>
      </c>
    </row>
    <row r="1008" customFormat="false" ht="15" hidden="true" customHeight="false" outlineLevel="0" collapsed="false">
      <c r="B1008" s="360" t="s">
        <v>3467</v>
      </c>
      <c r="C1008" s="359" t="n">
        <v>1</v>
      </c>
      <c r="D1008" s="358" t="n">
        <v>0</v>
      </c>
      <c r="E1008" s="358" t="n">
        <v>0</v>
      </c>
      <c r="F1008" s="358" t="n">
        <v>0</v>
      </c>
      <c r="G1008" s="358" t="n">
        <v>0</v>
      </c>
      <c r="H1008" s="359" t="n">
        <v>1</v>
      </c>
    </row>
    <row r="1009" customFormat="false" ht="15" hidden="true" customHeight="false" outlineLevel="0" collapsed="false">
      <c r="B1009" s="360" t="s">
        <v>3468</v>
      </c>
      <c r="C1009" s="359" t="n">
        <v>1</v>
      </c>
      <c r="D1009" s="358" t="n">
        <v>0</v>
      </c>
      <c r="E1009" s="358" t="n">
        <v>0</v>
      </c>
      <c r="F1009" s="358" t="n">
        <v>0</v>
      </c>
      <c r="G1009" s="358" t="n">
        <v>0</v>
      </c>
      <c r="H1009" s="359" t="n">
        <v>1</v>
      </c>
    </row>
    <row r="1010" customFormat="false" ht="15" hidden="true" customHeight="false" outlineLevel="0" collapsed="false">
      <c r="B1010" s="360" t="s">
        <v>3469</v>
      </c>
      <c r="C1010" s="359" t="n">
        <v>1</v>
      </c>
      <c r="D1010" s="358" t="n">
        <v>0</v>
      </c>
      <c r="E1010" s="358" t="n">
        <v>0</v>
      </c>
      <c r="F1010" s="358" t="n">
        <v>0</v>
      </c>
      <c r="G1010" s="358" t="n">
        <v>0</v>
      </c>
      <c r="H1010" s="359" t="n">
        <v>1</v>
      </c>
    </row>
    <row r="1011" customFormat="false" ht="15" hidden="true" customHeight="false" outlineLevel="0" collapsed="false">
      <c r="B1011" s="360" t="s">
        <v>3470</v>
      </c>
      <c r="C1011" s="359" t="n">
        <v>1</v>
      </c>
      <c r="D1011" s="358" t="n">
        <v>0</v>
      </c>
      <c r="E1011" s="358" t="n">
        <v>0</v>
      </c>
      <c r="F1011" s="358" t="n">
        <v>0</v>
      </c>
      <c r="G1011" s="358" t="n">
        <v>0</v>
      </c>
      <c r="H1011" s="359" t="n">
        <v>1</v>
      </c>
    </row>
    <row r="1012" customFormat="false" ht="15" hidden="true" customHeight="false" outlineLevel="0" collapsed="false">
      <c r="B1012" s="360" t="s">
        <v>3471</v>
      </c>
      <c r="C1012" s="359" t="n">
        <v>1</v>
      </c>
      <c r="D1012" s="358" t="n">
        <v>0</v>
      </c>
      <c r="E1012" s="358" t="n">
        <v>0</v>
      </c>
      <c r="F1012" s="358" t="n">
        <v>0</v>
      </c>
      <c r="G1012" s="358" t="n">
        <v>0</v>
      </c>
      <c r="H1012" s="359" t="n">
        <v>1</v>
      </c>
    </row>
    <row r="1013" customFormat="false" ht="15" hidden="true" customHeight="false" outlineLevel="0" collapsed="false">
      <c r="B1013" s="360" t="s">
        <v>3472</v>
      </c>
      <c r="C1013" s="359" t="n">
        <v>1</v>
      </c>
      <c r="D1013" s="358" t="n">
        <v>0</v>
      </c>
      <c r="E1013" s="358" t="n">
        <v>0</v>
      </c>
      <c r="F1013" s="358" t="n">
        <v>0</v>
      </c>
      <c r="G1013" s="358" t="n">
        <v>0</v>
      </c>
      <c r="H1013" s="359" t="n">
        <v>1</v>
      </c>
    </row>
    <row r="1014" customFormat="false" ht="15" hidden="true" customHeight="false" outlineLevel="0" collapsed="false">
      <c r="B1014" s="360" t="s">
        <v>3473</v>
      </c>
      <c r="C1014" s="359" t="n">
        <v>1</v>
      </c>
      <c r="D1014" s="358" t="n">
        <v>0</v>
      </c>
      <c r="E1014" s="358" t="n">
        <v>0</v>
      </c>
      <c r="F1014" s="358" t="n">
        <v>0</v>
      </c>
      <c r="G1014" s="358" t="n">
        <v>0</v>
      </c>
      <c r="H1014" s="359" t="n">
        <v>1</v>
      </c>
    </row>
    <row r="1015" customFormat="false" ht="15" hidden="true" customHeight="false" outlineLevel="0" collapsed="false">
      <c r="B1015" s="360" t="s">
        <v>3474</v>
      </c>
      <c r="C1015" s="359" t="n">
        <v>1</v>
      </c>
      <c r="D1015" s="358" t="n">
        <v>0</v>
      </c>
      <c r="E1015" s="358" t="n">
        <v>0</v>
      </c>
      <c r="F1015" s="358" t="n">
        <v>0</v>
      </c>
      <c r="G1015" s="358" t="n">
        <v>0</v>
      </c>
      <c r="H1015" s="359" t="n">
        <v>1</v>
      </c>
    </row>
    <row r="1016" customFormat="false" ht="15" hidden="true" customHeight="false" outlineLevel="0" collapsed="false">
      <c r="B1016" s="360" t="s">
        <v>3475</v>
      </c>
      <c r="C1016" s="359" t="n">
        <v>1</v>
      </c>
      <c r="D1016" s="358" t="n">
        <v>0</v>
      </c>
      <c r="E1016" s="358" t="n">
        <v>0</v>
      </c>
      <c r="F1016" s="358" t="n">
        <v>0</v>
      </c>
      <c r="G1016" s="358" t="n">
        <v>0</v>
      </c>
      <c r="H1016" s="359" t="n">
        <v>1</v>
      </c>
    </row>
    <row r="1017" customFormat="false" ht="15" hidden="true" customHeight="false" outlineLevel="0" collapsed="false">
      <c r="B1017" s="360" t="s">
        <v>3476</v>
      </c>
      <c r="C1017" s="359" t="n">
        <v>1</v>
      </c>
      <c r="D1017" s="358" t="n">
        <v>0</v>
      </c>
      <c r="E1017" s="358" t="n">
        <v>0</v>
      </c>
      <c r="F1017" s="358" t="n">
        <v>0</v>
      </c>
      <c r="G1017" s="358" t="n">
        <v>0</v>
      </c>
      <c r="H1017" s="359" t="n">
        <v>1</v>
      </c>
    </row>
    <row r="1018" customFormat="false" ht="15" hidden="true" customHeight="false" outlineLevel="0" collapsed="false">
      <c r="B1018" s="360" t="s">
        <v>3477</v>
      </c>
      <c r="C1018" s="359" t="n">
        <v>1</v>
      </c>
      <c r="D1018" s="358" t="n">
        <v>0</v>
      </c>
      <c r="E1018" s="358" t="n">
        <v>0</v>
      </c>
      <c r="F1018" s="358" t="n">
        <v>0</v>
      </c>
      <c r="G1018" s="358" t="n">
        <v>0</v>
      </c>
      <c r="H1018" s="359" t="n">
        <v>1</v>
      </c>
    </row>
    <row r="1019" customFormat="false" ht="15" hidden="true" customHeight="false" outlineLevel="0" collapsed="false">
      <c r="B1019" s="360" t="s">
        <v>3478</v>
      </c>
      <c r="C1019" s="359" t="n">
        <v>1</v>
      </c>
      <c r="D1019" s="358" t="n">
        <v>0</v>
      </c>
      <c r="E1019" s="358" t="n">
        <v>0</v>
      </c>
      <c r="F1019" s="358" t="n">
        <v>0</v>
      </c>
      <c r="G1019" s="358" t="n">
        <v>0</v>
      </c>
      <c r="H1019" s="359" t="n">
        <v>1</v>
      </c>
    </row>
    <row r="1020" customFormat="false" ht="15" hidden="true" customHeight="false" outlineLevel="0" collapsed="false">
      <c r="B1020" s="360" t="s">
        <v>3479</v>
      </c>
      <c r="C1020" s="359" t="n">
        <v>1</v>
      </c>
      <c r="D1020" s="358" t="n">
        <v>0</v>
      </c>
      <c r="E1020" s="358" t="n">
        <v>0</v>
      </c>
      <c r="F1020" s="358" t="n">
        <v>0</v>
      </c>
      <c r="G1020" s="358" t="n">
        <v>0</v>
      </c>
      <c r="H1020" s="359" t="n">
        <v>1</v>
      </c>
    </row>
    <row r="1021" customFormat="false" ht="15" hidden="true" customHeight="false" outlineLevel="0" collapsed="false">
      <c r="B1021" s="360" t="s">
        <v>3480</v>
      </c>
      <c r="C1021" s="359" t="n">
        <v>1</v>
      </c>
      <c r="D1021" s="358" t="n">
        <v>0</v>
      </c>
      <c r="E1021" s="358" t="n">
        <v>0</v>
      </c>
      <c r="F1021" s="358" t="n">
        <v>0</v>
      </c>
      <c r="G1021" s="358" t="n">
        <v>0</v>
      </c>
      <c r="H1021" s="359" t="n">
        <v>1</v>
      </c>
    </row>
    <row r="1022" customFormat="false" ht="15" hidden="true" customHeight="false" outlineLevel="0" collapsed="false">
      <c r="B1022" s="360" t="s">
        <v>3481</v>
      </c>
      <c r="C1022" s="359" t="n">
        <v>1</v>
      </c>
      <c r="D1022" s="358" t="n">
        <v>0</v>
      </c>
      <c r="E1022" s="358" t="n">
        <v>0</v>
      </c>
      <c r="F1022" s="358" t="n">
        <v>0</v>
      </c>
      <c r="G1022" s="358" t="n">
        <v>0</v>
      </c>
      <c r="H1022" s="359" t="n">
        <v>1</v>
      </c>
    </row>
    <row r="1023" customFormat="false" ht="15" hidden="true" customHeight="false" outlineLevel="0" collapsed="false">
      <c r="B1023" s="360" t="s">
        <v>3482</v>
      </c>
      <c r="C1023" s="359" t="n">
        <v>1</v>
      </c>
      <c r="D1023" s="358" t="n">
        <v>0</v>
      </c>
      <c r="E1023" s="358" t="n">
        <v>0</v>
      </c>
      <c r="F1023" s="358" t="n">
        <v>0</v>
      </c>
      <c r="G1023" s="358" t="n">
        <v>0</v>
      </c>
      <c r="H1023" s="359" t="n">
        <v>1</v>
      </c>
    </row>
    <row r="1024" customFormat="false" ht="15" hidden="true" customHeight="false" outlineLevel="0" collapsed="false">
      <c r="B1024" s="360" t="s">
        <v>3483</v>
      </c>
      <c r="C1024" s="359" t="n">
        <v>1</v>
      </c>
      <c r="D1024" s="358" t="n">
        <v>0</v>
      </c>
      <c r="E1024" s="358" t="n">
        <v>0</v>
      </c>
      <c r="F1024" s="358" t="n">
        <v>0</v>
      </c>
      <c r="G1024" s="358" t="n">
        <v>0</v>
      </c>
      <c r="H1024" s="359" t="n">
        <v>1</v>
      </c>
    </row>
    <row r="1025" customFormat="false" ht="15" hidden="true" customHeight="false" outlineLevel="0" collapsed="false">
      <c r="B1025" s="360" t="s">
        <v>3484</v>
      </c>
      <c r="C1025" s="359" t="n">
        <v>1</v>
      </c>
      <c r="D1025" s="358" t="n">
        <v>0</v>
      </c>
      <c r="E1025" s="358" t="n">
        <v>0</v>
      </c>
      <c r="F1025" s="358" t="n">
        <v>0</v>
      </c>
      <c r="G1025" s="358" t="n">
        <v>0</v>
      </c>
      <c r="H1025" s="359" t="n">
        <v>1</v>
      </c>
    </row>
    <row r="1026" customFormat="false" ht="15" hidden="true" customHeight="false" outlineLevel="0" collapsed="false">
      <c r="B1026" s="360" t="s">
        <v>3485</v>
      </c>
      <c r="C1026" s="359" t="n">
        <v>1</v>
      </c>
      <c r="D1026" s="358" t="n">
        <v>0</v>
      </c>
      <c r="E1026" s="358" t="n">
        <v>0</v>
      </c>
      <c r="F1026" s="358" t="n">
        <v>0</v>
      </c>
      <c r="G1026" s="358" t="n">
        <v>0</v>
      </c>
      <c r="H1026" s="359" t="n">
        <v>1</v>
      </c>
    </row>
    <row r="1027" customFormat="false" ht="15" hidden="true" customHeight="false" outlineLevel="0" collapsed="false">
      <c r="B1027" s="360" t="s">
        <v>3486</v>
      </c>
      <c r="C1027" s="359" t="n">
        <v>1</v>
      </c>
      <c r="D1027" s="358" t="n">
        <v>0</v>
      </c>
      <c r="E1027" s="358" t="n">
        <v>0</v>
      </c>
      <c r="F1027" s="358" t="n">
        <v>0</v>
      </c>
      <c r="G1027" s="358" t="n">
        <v>0</v>
      </c>
      <c r="H1027" s="359" t="n">
        <v>1</v>
      </c>
    </row>
    <row r="1028" customFormat="false" ht="15" hidden="true" customHeight="false" outlineLevel="0" collapsed="false">
      <c r="B1028" s="360" t="s">
        <v>3487</v>
      </c>
      <c r="C1028" s="359" t="n">
        <v>1</v>
      </c>
      <c r="D1028" s="358" t="n">
        <v>0</v>
      </c>
      <c r="E1028" s="358" t="n">
        <v>0</v>
      </c>
      <c r="F1028" s="358" t="n">
        <v>0</v>
      </c>
      <c r="G1028" s="358" t="n">
        <v>0</v>
      </c>
      <c r="H1028" s="359" t="n">
        <v>1</v>
      </c>
    </row>
    <row r="1029" customFormat="false" ht="15" hidden="true" customHeight="false" outlineLevel="0" collapsed="false">
      <c r="B1029" s="360" t="s">
        <v>3488</v>
      </c>
      <c r="C1029" s="359" t="n">
        <v>1</v>
      </c>
      <c r="D1029" s="358" t="n">
        <v>0</v>
      </c>
      <c r="E1029" s="358" t="n">
        <v>-1</v>
      </c>
      <c r="F1029" s="358" t="n">
        <v>0</v>
      </c>
      <c r="G1029" s="358" t="n">
        <v>0</v>
      </c>
      <c r="H1029" s="359" t="n">
        <v>0</v>
      </c>
    </row>
    <row r="1030" customFormat="false" ht="15" hidden="true" customHeight="false" outlineLevel="0" collapsed="false">
      <c r="B1030" s="360" t="s">
        <v>3489</v>
      </c>
      <c r="C1030" s="359" t="n">
        <v>1</v>
      </c>
      <c r="D1030" s="358" t="n">
        <v>0</v>
      </c>
      <c r="E1030" s="358" t="n">
        <v>0</v>
      </c>
      <c r="F1030" s="358" t="n">
        <v>0</v>
      </c>
      <c r="G1030" s="358" t="n">
        <v>0</v>
      </c>
      <c r="H1030" s="359" t="n">
        <v>1</v>
      </c>
    </row>
    <row r="1031" customFormat="false" ht="15" hidden="true" customHeight="false" outlineLevel="0" collapsed="false">
      <c r="B1031" s="360" t="s">
        <v>3490</v>
      </c>
      <c r="C1031" s="359" t="n">
        <v>1</v>
      </c>
      <c r="D1031" s="358" t="n">
        <v>0</v>
      </c>
      <c r="E1031" s="358" t="n">
        <v>0</v>
      </c>
      <c r="F1031" s="358" t="n">
        <v>0</v>
      </c>
      <c r="G1031" s="358" t="n">
        <v>0</v>
      </c>
      <c r="H1031" s="359" t="n">
        <v>1</v>
      </c>
    </row>
    <row r="1032" customFormat="false" ht="15" hidden="true" customHeight="false" outlineLevel="0" collapsed="false">
      <c r="B1032" s="360" t="s">
        <v>3491</v>
      </c>
      <c r="C1032" s="359" t="n">
        <v>1</v>
      </c>
      <c r="D1032" s="358" t="n">
        <v>0</v>
      </c>
      <c r="E1032" s="358" t="n">
        <v>0</v>
      </c>
      <c r="F1032" s="358" t="n">
        <v>0</v>
      </c>
      <c r="G1032" s="358" t="n">
        <v>0</v>
      </c>
      <c r="H1032" s="359" t="n">
        <v>1</v>
      </c>
    </row>
    <row r="1033" customFormat="false" ht="15" hidden="true" customHeight="false" outlineLevel="0" collapsed="false">
      <c r="B1033" s="360" t="s">
        <v>3492</v>
      </c>
      <c r="C1033" s="359" t="n">
        <v>1</v>
      </c>
      <c r="D1033" s="358" t="n">
        <v>0</v>
      </c>
      <c r="E1033" s="358" t="n">
        <v>0</v>
      </c>
      <c r="F1033" s="358" t="n">
        <v>0</v>
      </c>
      <c r="G1033" s="358" t="n">
        <v>0</v>
      </c>
      <c r="H1033" s="359" t="n">
        <v>1</v>
      </c>
    </row>
    <row r="1034" customFormat="false" ht="15" hidden="true" customHeight="false" outlineLevel="0" collapsed="false">
      <c r="B1034" s="360" t="s">
        <v>3493</v>
      </c>
      <c r="C1034" s="359" t="n">
        <v>1</v>
      </c>
      <c r="D1034" s="358" t="n">
        <v>0</v>
      </c>
      <c r="E1034" s="358" t="n">
        <v>0</v>
      </c>
      <c r="F1034" s="358" t="n">
        <v>0</v>
      </c>
      <c r="G1034" s="358" t="n">
        <v>0</v>
      </c>
      <c r="H1034" s="359" t="n">
        <v>1</v>
      </c>
    </row>
    <row r="1035" customFormat="false" ht="15" hidden="true" customHeight="false" outlineLevel="0" collapsed="false">
      <c r="B1035" s="360" t="s">
        <v>3494</v>
      </c>
      <c r="C1035" s="359" t="n">
        <v>1</v>
      </c>
      <c r="D1035" s="358" t="n">
        <v>0</v>
      </c>
      <c r="E1035" s="358" t="n">
        <v>0</v>
      </c>
      <c r="F1035" s="358" t="n">
        <v>0</v>
      </c>
      <c r="G1035" s="358" t="n">
        <v>0</v>
      </c>
      <c r="H1035" s="359" t="n">
        <v>1</v>
      </c>
    </row>
    <row r="1036" customFormat="false" ht="15" hidden="true" customHeight="false" outlineLevel="0" collapsed="false">
      <c r="B1036" s="360" t="s">
        <v>3495</v>
      </c>
      <c r="C1036" s="359" t="n">
        <v>1</v>
      </c>
      <c r="D1036" s="358" t="n">
        <v>0</v>
      </c>
      <c r="E1036" s="358" t="n">
        <v>0</v>
      </c>
      <c r="F1036" s="358" t="n">
        <v>0</v>
      </c>
      <c r="G1036" s="358" t="n">
        <v>0</v>
      </c>
      <c r="H1036" s="359" t="n">
        <v>1</v>
      </c>
    </row>
    <row r="1037" customFormat="false" ht="15" hidden="true" customHeight="false" outlineLevel="0" collapsed="false">
      <c r="B1037" s="360" t="s">
        <v>3496</v>
      </c>
      <c r="C1037" s="359" t="n">
        <v>1</v>
      </c>
      <c r="D1037" s="358" t="n">
        <v>0</v>
      </c>
      <c r="E1037" s="358" t="n">
        <v>0</v>
      </c>
      <c r="F1037" s="358" t="n">
        <v>0</v>
      </c>
      <c r="G1037" s="358" t="n">
        <v>0</v>
      </c>
      <c r="H1037" s="359" t="n">
        <v>1</v>
      </c>
    </row>
    <row r="1038" customFormat="false" ht="15" hidden="true" customHeight="false" outlineLevel="0" collapsed="false">
      <c r="B1038" s="360" t="s">
        <v>3497</v>
      </c>
      <c r="C1038" s="359" t="n">
        <v>1</v>
      </c>
      <c r="D1038" s="358" t="n">
        <v>0</v>
      </c>
      <c r="E1038" s="358" t="n">
        <v>0</v>
      </c>
      <c r="F1038" s="358" t="n">
        <v>0</v>
      </c>
      <c r="G1038" s="358" t="n">
        <v>0</v>
      </c>
      <c r="H1038" s="359" t="n">
        <v>1</v>
      </c>
    </row>
    <row r="1039" customFormat="false" ht="15" hidden="false" customHeight="false" outlineLevel="0" collapsed="false">
      <c r="B1039" s="351" t="s">
        <v>2481</v>
      </c>
      <c r="C1039" s="352" t="n">
        <v>983</v>
      </c>
      <c r="D1039" s="352" t="n">
        <v>7</v>
      </c>
      <c r="E1039" s="352" t="n">
        <v>-2</v>
      </c>
      <c r="F1039" s="352" t="n">
        <v>0</v>
      </c>
      <c r="G1039" s="352" t="n">
        <v>0</v>
      </c>
      <c r="H1039" s="352" t="n">
        <v>988</v>
      </c>
    </row>
  </sheetData>
  <autoFilter ref="B6:H1039"/>
  <mergeCells count="4">
    <mergeCell ref="B5:B6"/>
    <mergeCell ref="C5:C6"/>
    <mergeCell ref="D5:G5"/>
    <mergeCell ref="H5:H6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AF10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77.86"/>
    <col collapsed="false" customWidth="true" hidden="false" outlineLevel="0" max="3" min="3" style="0" width="21.57"/>
    <col collapsed="false" customWidth="true" hidden="false" outlineLevel="0" max="4" min="4" style="0" width="16.43"/>
    <col collapsed="false" customWidth="true" hidden="false" outlineLevel="0" max="28" min="28" style="0" width="16.43"/>
    <col collapsed="false" customWidth="true" hidden="false" outlineLevel="0" max="32" min="32" style="0" width="21.57"/>
  </cols>
  <sheetData>
    <row r="1" customFormat="false" ht="15" hidden="false" customHeight="false" outlineLevel="0" collapsed="false">
      <c r="A1" s="185" t="s">
        <v>1</v>
      </c>
      <c r="L1" s="126" t="s">
        <v>1705</v>
      </c>
    </row>
    <row r="2" customFormat="false" ht="18.75" hidden="false" customHeight="true" outlineLevel="0" collapsed="false">
      <c r="B2" s="128" t="s">
        <v>3498</v>
      </c>
    </row>
    <row r="3" customFormat="false" ht="18.75" hidden="false" customHeight="true" outlineLevel="0" collapsed="false">
      <c r="B3" s="289" t="s">
        <v>3499</v>
      </c>
    </row>
    <row r="4" customFormat="false" ht="19.5" hidden="false" customHeight="true" outlineLevel="0" collapsed="false">
      <c r="B4" s="289"/>
    </row>
    <row r="5" customFormat="false" ht="20.25" hidden="false" customHeight="true" outlineLevel="0" collapsed="false">
      <c r="B5" s="347"/>
      <c r="C5" s="348" t="s">
        <v>3500</v>
      </c>
      <c r="D5" s="349" t="s">
        <v>2500</v>
      </c>
      <c r="E5" s="349"/>
      <c r="F5" s="349"/>
      <c r="G5" s="349"/>
      <c r="H5" s="349"/>
      <c r="I5" s="349"/>
      <c r="J5" s="349"/>
      <c r="K5" s="349"/>
      <c r="L5" s="349"/>
      <c r="M5" s="349"/>
      <c r="N5" s="349"/>
      <c r="O5" s="349"/>
      <c r="P5" s="349"/>
      <c r="Q5" s="349"/>
      <c r="R5" s="349"/>
      <c r="S5" s="349"/>
      <c r="T5" s="349"/>
      <c r="U5" s="349"/>
      <c r="V5" s="349"/>
      <c r="W5" s="349"/>
      <c r="X5" s="349"/>
      <c r="Y5" s="349"/>
      <c r="Z5" s="349"/>
      <c r="AA5" s="349"/>
      <c r="AB5" s="349"/>
      <c r="AC5" s="349"/>
      <c r="AD5" s="349"/>
      <c r="AE5" s="349"/>
      <c r="AF5" s="348" t="s">
        <v>3501</v>
      </c>
    </row>
    <row r="6" customFormat="false" ht="20.25" hidden="false" customHeight="true" outlineLevel="0" collapsed="false">
      <c r="B6" s="347"/>
      <c r="C6" s="347"/>
      <c r="D6" s="366" t="s">
        <v>3502</v>
      </c>
      <c r="E6" s="366"/>
      <c r="F6" s="366"/>
      <c r="G6" s="366"/>
      <c r="H6" s="367" t="s">
        <v>3503</v>
      </c>
      <c r="I6" s="367"/>
      <c r="J6" s="367"/>
      <c r="K6" s="367"/>
      <c r="L6" s="367" t="s">
        <v>3504</v>
      </c>
      <c r="M6" s="367"/>
      <c r="N6" s="367"/>
      <c r="O6" s="367"/>
      <c r="P6" s="367" t="s">
        <v>3505</v>
      </c>
      <c r="Q6" s="367"/>
      <c r="R6" s="367"/>
      <c r="S6" s="367"/>
      <c r="T6" s="367" t="s">
        <v>3506</v>
      </c>
      <c r="U6" s="367"/>
      <c r="V6" s="367"/>
      <c r="W6" s="367"/>
      <c r="X6" s="368" t="s">
        <v>3507</v>
      </c>
      <c r="Y6" s="368"/>
      <c r="Z6" s="368"/>
      <c r="AA6" s="368"/>
      <c r="AB6" s="368" t="s">
        <v>3508</v>
      </c>
      <c r="AC6" s="368"/>
      <c r="AD6" s="368"/>
      <c r="AE6" s="368"/>
      <c r="AF6" s="348"/>
    </row>
    <row r="7" customFormat="false" ht="56.25" hidden="false" customHeight="true" outlineLevel="0" collapsed="false">
      <c r="B7" s="347"/>
      <c r="C7" s="347"/>
      <c r="D7" s="350" t="s">
        <v>2502</v>
      </c>
      <c r="E7" s="349" t="s">
        <v>2503</v>
      </c>
      <c r="F7" s="349" t="s">
        <v>2504</v>
      </c>
      <c r="G7" s="366" t="s">
        <v>2505</v>
      </c>
      <c r="H7" s="369" t="s">
        <v>2502</v>
      </c>
      <c r="I7" s="349" t="s">
        <v>2503</v>
      </c>
      <c r="J7" s="349" t="s">
        <v>2504</v>
      </c>
      <c r="K7" s="366" t="s">
        <v>2505</v>
      </c>
      <c r="L7" s="369" t="s">
        <v>2502</v>
      </c>
      <c r="M7" s="349" t="s">
        <v>2503</v>
      </c>
      <c r="N7" s="349" t="s">
        <v>2504</v>
      </c>
      <c r="O7" s="366" t="s">
        <v>2505</v>
      </c>
      <c r="P7" s="369" t="s">
        <v>2502</v>
      </c>
      <c r="Q7" s="349" t="s">
        <v>2503</v>
      </c>
      <c r="R7" s="349" t="s">
        <v>2504</v>
      </c>
      <c r="S7" s="366" t="s">
        <v>2505</v>
      </c>
      <c r="T7" s="369" t="s">
        <v>2502</v>
      </c>
      <c r="U7" s="349" t="s">
        <v>2503</v>
      </c>
      <c r="V7" s="349" t="s">
        <v>2504</v>
      </c>
      <c r="W7" s="366" t="s">
        <v>2505</v>
      </c>
      <c r="X7" s="369" t="s">
        <v>2502</v>
      </c>
      <c r="Y7" s="349" t="s">
        <v>2503</v>
      </c>
      <c r="Z7" s="349" t="s">
        <v>2504</v>
      </c>
      <c r="AA7" s="349" t="s">
        <v>2505</v>
      </c>
      <c r="AB7" s="369" t="s">
        <v>2502</v>
      </c>
      <c r="AC7" s="349" t="s">
        <v>2503</v>
      </c>
      <c r="AD7" s="349" t="s">
        <v>2504</v>
      </c>
      <c r="AE7" s="349" t="s">
        <v>2505</v>
      </c>
      <c r="AF7" s="348"/>
    </row>
    <row r="8" customFormat="false" ht="15.75" hidden="false" customHeight="true" outlineLevel="0" collapsed="false">
      <c r="B8" s="351" t="s">
        <v>2506</v>
      </c>
      <c r="C8" s="352" t="n">
        <v>918</v>
      </c>
      <c r="D8" s="352" t="n">
        <v>7</v>
      </c>
      <c r="E8" s="352" t="n">
        <v>-1</v>
      </c>
      <c r="F8" s="352" t="n">
        <v>0</v>
      </c>
      <c r="G8" s="352" t="n">
        <v>0</v>
      </c>
      <c r="H8" s="370" t="n">
        <v>0</v>
      </c>
      <c r="I8" s="352" t="n">
        <v>-2</v>
      </c>
      <c r="J8" s="352" t="n">
        <v>0</v>
      </c>
      <c r="K8" s="352" t="n">
        <v>0</v>
      </c>
      <c r="L8" s="370" t="n">
        <v>0</v>
      </c>
      <c r="M8" s="352" t="n">
        <v>0</v>
      </c>
      <c r="N8" s="352" t="n">
        <v>0</v>
      </c>
      <c r="O8" s="352" t="n">
        <v>0</v>
      </c>
      <c r="P8" s="370" t="n">
        <v>0</v>
      </c>
      <c r="Q8" s="352" t="n">
        <v>0</v>
      </c>
      <c r="R8" s="352" t="n">
        <v>0</v>
      </c>
      <c r="S8" s="352" t="n">
        <v>0</v>
      </c>
      <c r="T8" s="370" t="n">
        <v>0</v>
      </c>
      <c r="U8" s="352" t="n">
        <v>0</v>
      </c>
      <c r="V8" s="352" t="n">
        <v>0</v>
      </c>
      <c r="W8" s="352" t="n">
        <v>0</v>
      </c>
      <c r="X8" s="370" t="n">
        <v>0</v>
      </c>
      <c r="Y8" s="352" t="n">
        <v>0</v>
      </c>
      <c r="Z8" s="352" t="n">
        <v>0</v>
      </c>
      <c r="AA8" s="352" t="n">
        <v>0</v>
      </c>
      <c r="AB8" s="370" t="n">
        <v>7</v>
      </c>
      <c r="AC8" s="352" t="n">
        <v>-3</v>
      </c>
      <c r="AD8" s="352" t="n">
        <v>0</v>
      </c>
      <c r="AE8" s="352" t="n">
        <v>0</v>
      </c>
      <c r="AF8" s="352" t="n">
        <v>922</v>
      </c>
    </row>
    <row r="9" customFormat="false" ht="15" hidden="false" customHeight="false" outlineLevel="0" collapsed="false">
      <c r="B9" s="353" t="s">
        <v>1961</v>
      </c>
      <c r="C9" s="354" t="n">
        <v>317</v>
      </c>
      <c r="D9" s="355" t="n">
        <v>2</v>
      </c>
      <c r="E9" s="354" t="n">
        <v>0</v>
      </c>
      <c r="F9" s="354" t="n">
        <v>0</v>
      </c>
      <c r="G9" s="354" t="n">
        <v>0</v>
      </c>
      <c r="H9" s="371" t="n">
        <v>0</v>
      </c>
      <c r="I9" s="354" t="n">
        <v>-2</v>
      </c>
      <c r="J9" s="354" t="n">
        <v>0</v>
      </c>
      <c r="K9" s="354" t="n">
        <v>0</v>
      </c>
      <c r="L9" s="371" t="n">
        <v>0</v>
      </c>
      <c r="M9" s="354" t="n">
        <v>0</v>
      </c>
      <c r="N9" s="354" t="n">
        <v>0</v>
      </c>
      <c r="O9" s="354" t="n">
        <v>0</v>
      </c>
      <c r="P9" s="371" t="n">
        <v>0</v>
      </c>
      <c r="Q9" s="354" t="n">
        <v>0</v>
      </c>
      <c r="R9" s="354" t="n">
        <v>0</v>
      </c>
      <c r="S9" s="354" t="n">
        <v>0</v>
      </c>
      <c r="T9" s="371" t="n">
        <v>0</v>
      </c>
      <c r="U9" s="354" t="n">
        <v>0</v>
      </c>
      <c r="V9" s="354" t="n">
        <v>0</v>
      </c>
      <c r="W9" s="354" t="n">
        <v>0</v>
      </c>
      <c r="X9" s="371" t="n">
        <v>0</v>
      </c>
      <c r="Y9" s="354" t="n">
        <v>0</v>
      </c>
      <c r="Z9" s="354" t="n">
        <v>0</v>
      </c>
      <c r="AA9" s="354" t="n">
        <v>0</v>
      </c>
      <c r="AB9" s="371" t="n">
        <v>2</v>
      </c>
      <c r="AC9" s="354" t="n">
        <v>-2</v>
      </c>
      <c r="AD9" s="354" t="n">
        <v>0</v>
      </c>
      <c r="AE9" s="354" t="n">
        <v>0</v>
      </c>
      <c r="AF9" s="354" t="n">
        <v>317</v>
      </c>
    </row>
    <row r="10" customFormat="false" ht="15" hidden="false" customHeight="false" outlineLevel="0" collapsed="false">
      <c r="B10" s="356" t="s">
        <v>2457</v>
      </c>
      <c r="C10" s="357" t="n">
        <v>139</v>
      </c>
      <c r="D10" s="358" t="n">
        <v>2</v>
      </c>
      <c r="E10" s="358" t="n">
        <v>0</v>
      </c>
      <c r="F10" s="358" t="n">
        <v>0</v>
      </c>
      <c r="G10" s="372" t="n">
        <v>0</v>
      </c>
      <c r="H10" s="373" t="n">
        <v>0</v>
      </c>
      <c r="I10" s="358" t="n">
        <v>-2</v>
      </c>
      <c r="J10" s="358" t="n">
        <v>0</v>
      </c>
      <c r="K10" s="372" t="n">
        <v>0</v>
      </c>
      <c r="L10" s="373" t="n">
        <v>0</v>
      </c>
      <c r="M10" s="358" t="n">
        <v>0</v>
      </c>
      <c r="N10" s="358" t="n">
        <v>0</v>
      </c>
      <c r="O10" s="372" t="n">
        <v>0</v>
      </c>
      <c r="P10" s="373" t="n">
        <v>0</v>
      </c>
      <c r="Q10" s="358" t="n">
        <v>0</v>
      </c>
      <c r="R10" s="358" t="n">
        <v>0</v>
      </c>
      <c r="S10" s="372" t="n">
        <v>0</v>
      </c>
      <c r="T10" s="373" t="n">
        <v>0</v>
      </c>
      <c r="U10" s="358" t="n">
        <v>0</v>
      </c>
      <c r="V10" s="358" t="n">
        <v>0</v>
      </c>
      <c r="W10" s="372" t="n">
        <v>0</v>
      </c>
      <c r="X10" s="373" t="n">
        <v>0</v>
      </c>
      <c r="Y10" s="358" t="n">
        <v>0</v>
      </c>
      <c r="Z10" s="358" t="n">
        <v>0</v>
      </c>
      <c r="AA10" s="358" t="n">
        <v>0</v>
      </c>
      <c r="AB10" s="373" t="n">
        <v>2</v>
      </c>
      <c r="AC10" s="358" t="n">
        <v>-2</v>
      </c>
      <c r="AD10" s="358" t="n">
        <v>0</v>
      </c>
      <c r="AE10" s="358" t="n">
        <v>0</v>
      </c>
      <c r="AF10" s="357" t="n">
        <v>139</v>
      </c>
    </row>
    <row r="11" customFormat="false" ht="15" hidden="false" customHeight="false" outlineLevel="0" collapsed="false">
      <c r="B11" s="310" t="s">
        <v>2458</v>
      </c>
      <c r="C11" s="359" t="n">
        <v>8</v>
      </c>
      <c r="D11" s="358" t="n">
        <v>0</v>
      </c>
      <c r="E11" s="358" t="n">
        <v>0</v>
      </c>
      <c r="F11" s="358" t="n">
        <v>0</v>
      </c>
      <c r="G11" s="372" t="n">
        <v>0</v>
      </c>
      <c r="H11" s="373" t="n">
        <v>0</v>
      </c>
      <c r="I11" s="358" t="n">
        <v>0</v>
      </c>
      <c r="J11" s="358" t="n">
        <v>0</v>
      </c>
      <c r="K11" s="372" t="n">
        <v>0</v>
      </c>
      <c r="L11" s="373" t="n">
        <v>0</v>
      </c>
      <c r="M11" s="358" t="n">
        <v>0</v>
      </c>
      <c r="N11" s="358" t="n">
        <v>0</v>
      </c>
      <c r="O11" s="372" t="n">
        <v>0</v>
      </c>
      <c r="P11" s="373" t="n">
        <v>0</v>
      </c>
      <c r="Q11" s="358" t="n">
        <v>0</v>
      </c>
      <c r="R11" s="358" t="n">
        <v>0</v>
      </c>
      <c r="S11" s="372" t="n">
        <v>0</v>
      </c>
      <c r="T11" s="373" t="n">
        <v>0</v>
      </c>
      <c r="U11" s="358" t="n">
        <v>0</v>
      </c>
      <c r="V11" s="358" t="n">
        <v>0</v>
      </c>
      <c r="W11" s="372" t="n">
        <v>0</v>
      </c>
      <c r="X11" s="373" t="n">
        <v>0</v>
      </c>
      <c r="Y11" s="358" t="n">
        <v>0</v>
      </c>
      <c r="Z11" s="358" t="n">
        <v>0</v>
      </c>
      <c r="AA11" s="358" t="n">
        <v>0</v>
      </c>
      <c r="AB11" s="373" t="n">
        <v>0</v>
      </c>
      <c r="AC11" s="358" t="n">
        <v>0</v>
      </c>
      <c r="AD11" s="358" t="n">
        <v>0</v>
      </c>
      <c r="AE11" s="358" t="n">
        <v>0</v>
      </c>
      <c r="AF11" s="359" t="n">
        <v>8</v>
      </c>
    </row>
    <row r="12" customFormat="false" ht="15" hidden="true" customHeight="false" outlineLevel="0" collapsed="false">
      <c r="B12" s="360" t="s">
        <v>2507</v>
      </c>
      <c r="C12" s="359" t="n">
        <v>1</v>
      </c>
      <c r="D12" s="358" t="n">
        <v>0</v>
      </c>
      <c r="E12" s="358" t="n">
        <v>0</v>
      </c>
      <c r="F12" s="358" t="n">
        <v>0</v>
      </c>
      <c r="G12" s="372" t="n">
        <v>0</v>
      </c>
      <c r="H12" s="373" t="n">
        <v>0</v>
      </c>
      <c r="I12" s="358" t="n">
        <v>0</v>
      </c>
      <c r="J12" s="358" t="n">
        <v>0</v>
      </c>
      <c r="K12" s="372" t="n">
        <v>0</v>
      </c>
      <c r="L12" s="373" t="n">
        <v>0</v>
      </c>
      <c r="M12" s="358" t="n">
        <v>0</v>
      </c>
      <c r="N12" s="358" t="n">
        <v>0</v>
      </c>
      <c r="O12" s="372" t="n">
        <v>0</v>
      </c>
      <c r="P12" s="373" t="n">
        <v>0</v>
      </c>
      <c r="Q12" s="358" t="n">
        <v>0</v>
      </c>
      <c r="R12" s="358" t="n">
        <v>0</v>
      </c>
      <c r="S12" s="372" t="n">
        <v>0</v>
      </c>
      <c r="T12" s="373" t="n">
        <v>0</v>
      </c>
      <c r="U12" s="358" t="n">
        <v>0</v>
      </c>
      <c r="V12" s="358" t="n">
        <v>0</v>
      </c>
      <c r="W12" s="372" t="n">
        <v>0</v>
      </c>
      <c r="X12" s="373" t="n">
        <v>0</v>
      </c>
      <c r="Y12" s="358" t="n">
        <v>0</v>
      </c>
      <c r="Z12" s="358" t="n">
        <v>0</v>
      </c>
      <c r="AA12" s="358" t="n">
        <v>0</v>
      </c>
      <c r="AB12" s="373" t="n">
        <v>0</v>
      </c>
      <c r="AC12" s="358" t="n">
        <v>0</v>
      </c>
      <c r="AD12" s="358" t="n">
        <v>0</v>
      </c>
      <c r="AE12" s="358" t="n">
        <v>0</v>
      </c>
      <c r="AF12" s="359" t="n">
        <v>1</v>
      </c>
    </row>
    <row r="13" customFormat="false" ht="15" hidden="true" customHeight="false" outlineLevel="0" collapsed="false">
      <c r="B13" s="360" t="s">
        <v>2508</v>
      </c>
      <c r="C13" s="359" t="n">
        <v>1</v>
      </c>
      <c r="D13" s="358" t="n">
        <v>0</v>
      </c>
      <c r="E13" s="358" t="n">
        <v>0</v>
      </c>
      <c r="F13" s="358" t="n">
        <v>0</v>
      </c>
      <c r="G13" s="372" t="n">
        <v>0</v>
      </c>
      <c r="H13" s="373" t="n">
        <v>0</v>
      </c>
      <c r="I13" s="358" t="n">
        <v>0</v>
      </c>
      <c r="J13" s="358" t="n">
        <v>0</v>
      </c>
      <c r="K13" s="372" t="n">
        <v>0</v>
      </c>
      <c r="L13" s="373" t="n">
        <v>0</v>
      </c>
      <c r="M13" s="358" t="n">
        <v>0</v>
      </c>
      <c r="N13" s="358" t="n">
        <v>0</v>
      </c>
      <c r="O13" s="372" t="n">
        <v>0</v>
      </c>
      <c r="P13" s="373" t="n">
        <v>0</v>
      </c>
      <c r="Q13" s="358" t="n">
        <v>0</v>
      </c>
      <c r="R13" s="358" t="n">
        <v>0</v>
      </c>
      <c r="S13" s="372" t="n">
        <v>0</v>
      </c>
      <c r="T13" s="373" t="n">
        <v>0</v>
      </c>
      <c r="U13" s="358" t="n">
        <v>0</v>
      </c>
      <c r="V13" s="358" t="n">
        <v>0</v>
      </c>
      <c r="W13" s="372" t="n">
        <v>0</v>
      </c>
      <c r="X13" s="373" t="n">
        <v>0</v>
      </c>
      <c r="Y13" s="358" t="n">
        <v>0</v>
      </c>
      <c r="Z13" s="358" t="n">
        <v>0</v>
      </c>
      <c r="AA13" s="358" t="n">
        <v>0</v>
      </c>
      <c r="AB13" s="373" t="n">
        <v>0</v>
      </c>
      <c r="AC13" s="358" t="n">
        <v>0</v>
      </c>
      <c r="AD13" s="358" t="n">
        <v>0</v>
      </c>
      <c r="AE13" s="358" t="n">
        <v>0</v>
      </c>
      <c r="AF13" s="359" t="n">
        <v>1</v>
      </c>
    </row>
    <row r="14" customFormat="false" ht="15" hidden="true" customHeight="false" outlineLevel="0" collapsed="false">
      <c r="B14" s="360" t="s">
        <v>2509</v>
      </c>
      <c r="C14" s="359" t="n">
        <v>1</v>
      </c>
      <c r="D14" s="358" t="n">
        <v>0</v>
      </c>
      <c r="E14" s="358" t="n">
        <v>0</v>
      </c>
      <c r="F14" s="358" t="n">
        <v>0</v>
      </c>
      <c r="G14" s="372" t="n">
        <v>0</v>
      </c>
      <c r="H14" s="373" t="n">
        <v>0</v>
      </c>
      <c r="I14" s="358" t="n">
        <v>0</v>
      </c>
      <c r="J14" s="358" t="n">
        <v>0</v>
      </c>
      <c r="K14" s="372" t="n">
        <v>0</v>
      </c>
      <c r="L14" s="373" t="n">
        <v>0</v>
      </c>
      <c r="M14" s="358" t="n">
        <v>0</v>
      </c>
      <c r="N14" s="358" t="n">
        <v>0</v>
      </c>
      <c r="O14" s="372" t="n">
        <v>0</v>
      </c>
      <c r="P14" s="373" t="n">
        <v>0</v>
      </c>
      <c r="Q14" s="358" t="n">
        <v>0</v>
      </c>
      <c r="R14" s="358" t="n">
        <v>0</v>
      </c>
      <c r="S14" s="372" t="n">
        <v>0</v>
      </c>
      <c r="T14" s="373" t="n">
        <v>0</v>
      </c>
      <c r="U14" s="358" t="n">
        <v>0</v>
      </c>
      <c r="V14" s="358" t="n">
        <v>0</v>
      </c>
      <c r="W14" s="372" t="n">
        <v>0</v>
      </c>
      <c r="X14" s="373" t="n">
        <v>0</v>
      </c>
      <c r="Y14" s="358" t="n">
        <v>0</v>
      </c>
      <c r="Z14" s="358" t="n">
        <v>0</v>
      </c>
      <c r="AA14" s="358" t="n">
        <v>0</v>
      </c>
      <c r="AB14" s="373" t="n">
        <v>0</v>
      </c>
      <c r="AC14" s="358" t="n">
        <v>0</v>
      </c>
      <c r="AD14" s="358" t="n">
        <v>0</v>
      </c>
      <c r="AE14" s="358" t="n">
        <v>0</v>
      </c>
      <c r="AF14" s="359" t="n">
        <v>1</v>
      </c>
    </row>
    <row r="15" customFormat="false" ht="15" hidden="true" customHeight="false" outlineLevel="0" collapsed="false">
      <c r="B15" s="360" t="s">
        <v>2510</v>
      </c>
      <c r="C15" s="359" t="n">
        <v>1</v>
      </c>
      <c r="D15" s="358" t="n">
        <v>0</v>
      </c>
      <c r="E15" s="358" t="n">
        <v>0</v>
      </c>
      <c r="F15" s="358" t="n">
        <v>0</v>
      </c>
      <c r="G15" s="372" t="n">
        <v>0</v>
      </c>
      <c r="H15" s="373" t="n">
        <v>0</v>
      </c>
      <c r="I15" s="358" t="n">
        <v>0</v>
      </c>
      <c r="J15" s="358" t="n">
        <v>0</v>
      </c>
      <c r="K15" s="372" t="n">
        <v>0</v>
      </c>
      <c r="L15" s="373" t="n">
        <v>0</v>
      </c>
      <c r="M15" s="358" t="n">
        <v>0</v>
      </c>
      <c r="N15" s="358" t="n">
        <v>0</v>
      </c>
      <c r="O15" s="372" t="n">
        <v>0</v>
      </c>
      <c r="P15" s="373" t="n">
        <v>0</v>
      </c>
      <c r="Q15" s="358" t="n">
        <v>0</v>
      </c>
      <c r="R15" s="358" t="n">
        <v>0</v>
      </c>
      <c r="S15" s="372" t="n">
        <v>0</v>
      </c>
      <c r="T15" s="373" t="n">
        <v>0</v>
      </c>
      <c r="U15" s="358" t="n">
        <v>0</v>
      </c>
      <c r="V15" s="358" t="n">
        <v>0</v>
      </c>
      <c r="W15" s="372" t="n">
        <v>0</v>
      </c>
      <c r="X15" s="373" t="n">
        <v>0</v>
      </c>
      <c r="Y15" s="358" t="n">
        <v>0</v>
      </c>
      <c r="Z15" s="358" t="n">
        <v>0</v>
      </c>
      <c r="AA15" s="358" t="n">
        <v>0</v>
      </c>
      <c r="AB15" s="373" t="n">
        <v>0</v>
      </c>
      <c r="AC15" s="358" t="n">
        <v>0</v>
      </c>
      <c r="AD15" s="358" t="n">
        <v>0</v>
      </c>
      <c r="AE15" s="358" t="n">
        <v>0</v>
      </c>
      <c r="AF15" s="359" t="n">
        <v>1</v>
      </c>
    </row>
    <row r="16" customFormat="false" ht="15" hidden="true" customHeight="false" outlineLevel="0" collapsed="false">
      <c r="B16" s="360" t="s">
        <v>2511</v>
      </c>
      <c r="C16" s="359" t="n">
        <v>1</v>
      </c>
      <c r="D16" s="358" t="n">
        <v>0</v>
      </c>
      <c r="E16" s="358" t="n">
        <v>0</v>
      </c>
      <c r="F16" s="358" t="n">
        <v>0</v>
      </c>
      <c r="G16" s="372" t="n">
        <v>0</v>
      </c>
      <c r="H16" s="373" t="n">
        <v>0</v>
      </c>
      <c r="I16" s="358" t="n">
        <v>0</v>
      </c>
      <c r="J16" s="358" t="n">
        <v>0</v>
      </c>
      <c r="K16" s="372" t="n">
        <v>0</v>
      </c>
      <c r="L16" s="373" t="n">
        <v>0</v>
      </c>
      <c r="M16" s="358" t="n">
        <v>0</v>
      </c>
      <c r="N16" s="358" t="n">
        <v>0</v>
      </c>
      <c r="O16" s="372" t="n">
        <v>0</v>
      </c>
      <c r="P16" s="373" t="n">
        <v>0</v>
      </c>
      <c r="Q16" s="358" t="n">
        <v>0</v>
      </c>
      <c r="R16" s="358" t="n">
        <v>0</v>
      </c>
      <c r="S16" s="372" t="n">
        <v>0</v>
      </c>
      <c r="T16" s="373" t="n">
        <v>0</v>
      </c>
      <c r="U16" s="358" t="n">
        <v>0</v>
      </c>
      <c r="V16" s="358" t="n">
        <v>0</v>
      </c>
      <c r="W16" s="372" t="n">
        <v>0</v>
      </c>
      <c r="X16" s="373" t="n">
        <v>0</v>
      </c>
      <c r="Y16" s="358" t="n">
        <v>0</v>
      </c>
      <c r="Z16" s="358" t="n">
        <v>0</v>
      </c>
      <c r="AA16" s="358" t="n">
        <v>0</v>
      </c>
      <c r="AB16" s="373" t="n">
        <v>0</v>
      </c>
      <c r="AC16" s="358" t="n">
        <v>0</v>
      </c>
      <c r="AD16" s="358" t="n">
        <v>0</v>
      </c>
      <c r="AE16" s="358" t="n">
        <v>0</v>
      </c>
      <c r="AF16" s="359" t="n">
        <v>1</v>
      </c>
    </row>
    <row r="17" customFormat="false" ht="15" hidden="true" customHeight="false" outlineLevel="0" collapsed="false">
      <c r="B17" s="360" t="s">
        <v>2512</v>
      </c>
      <c r="C17" s="359" t="n">
        <v>1</v>
      </c>
      <c r="D17" s="358" t="n">
        <v>0</v>
      </c>
      <c r="E17" s="358" t="n">
        <v>0</v>
      </c>
      <c r="F17" s="358" t="n">
        <v>0</v>
      </c>
      <c r="G17" s="372" t="n">
        <v>0</v>
      </c>
      <c r="H17" s="373" t="n">
        <v>0</v>
      </c>
      <c r="I17" s="358" t="n">
        <v>0</v>
      </c>
      <c r="J17" s="358" t="n">
        <v>0</v>
      </c>
      <c r="K17" s="372" t="n">
        <v>0</v>
      </c>
      <c r="L17" s="373" t="n">
        <v>0</v>
      </c>
      <c r="M17" s="358" t="n">
        <v>0</v>
      </c>
      <c r="N17" s="358" t="n">
        <v>0</v>
      </c>
      <c r="O17" s="372" t="n">
        <v>0</v>
      </c>
      <c r="P17" s="373" t="n">
        <v>0</v>
      </c>
      <c r="Q17" s="358" t="n">
        <v>0</v>
      </c>
      <c r="R17" s="358" t="n">
        <v>0</v>
      </c>
      <c r="S17" s="372" t="n">
        <v>0</v>
      </c>
      <c r="T17" s="373" t="n">
        <v>0</v>
      </c>
      <c r="U17" s="358" t="n">
        <v>0</v>
      </c>
      <c r="V17" s="358" t="n">
        <v>0</v>
      </c>
      <c r="W17" s="372" t="n">
        <v>0</v>
      </c>
      <c r="X17" s="373" t="n">
        <v>0</v>
      </c>
      <c r="Y17" s="358" t="n">
        <v>0</v>
      </c>
      <c r="Z17" s="358" t="n">
        <v>0</v>
      </c>
      <c r="AA17" s="358" t="n">
        <v>0</v>
      </c>
      <c r="AB17" s="373" t="n">
        <v>0</v>
      </c>
      <c r="AC17" s="358" t="n">
        <v>0</v>
      </c>
      <c r="AD17" s="358" t="n">
        <v>0</v>
      </c>
      <c r="AE17" s="358" t="n">
        <v>0</v>
      </c>
      <c r="AF17" s="359" t="n">
        <v>1</v>
      </c>
    </row>
    <row r="18" customFormat="false" ht="15" hidden="true" customHeight="false" outlineLevel="0" collapsed="false">
      <c r="B18" s="360" t="s">
        <v>2513</v>
      </c>
      <c r="C18" s="359" t="n">
        <v>1</v>
      </c>
      <c r="D18" s="358" t="n">
        <v>0</v>
      </c>
      <c r="E18" s="358" t="n">
        <v>0</v>
      </c>
      <c r="F18" s="358" t="n">
        <v>0</v>
      </c>
      <c r="G18" s="372" t="n">
        <v>0</v>
      </c>
      <c r="H18" s="373" t="n">
        <v>0</v>
      </c>
      <c r="I18" s="358" t="n">
        <v>0</v>
      </c>
      <c r="J18" s="358" t="n">
        <v>0</v>
      </c>
      <c r="K18" s="372" t="n">
        <v>0</v>
      </c>
      <c r="L18" s="373" t="n">
        <v>0</v>
      </c>
      <c r="M18" s="358" t="n">
        <v>0</v>
      </c>
      <c r="N18" s="358" t="n">
        <v>0</v>
      </c>
      <c r="O18" s="372" t="n">
        <v>0</v>
      </c>
      <c r="P18" s="373" t="n">
        <v>0</v>
      </c>
      <c r="Q18" s="358" t="n">
        <v>0</v>
      </c>
      <c r="R18" s="358" t="n">
        <v>0</v>
      </c>
      <c r="S18" s="372" t="n">
        <v>0</v>
      </c>
      <c r="T18" s="373" t="n">
        <v>0</v>
      </c>
      <c r="U18" s="358" t="n">
        <v>0</v>
      </c>
      <c r="V18" s="358" t="n">
        <v>0</v>
      </c>
      <c r="W18" s="372" t="n">
        <v>0</v>
      </c>
      <c r="X18" s="373" t="n">
        <v>0</v>
      </c>
      <c r="Y18" s="358" t="n">
        <v>0</v>
      </c>
      <c r="Z18" s="358" t="n">
        <v>0</v>
      </c>
      <c r="AA18" s="358" t="n">
        <v>0</v>
      </c>
      <c r="AB18" s="373" t="n">
        <v>0</v>
      </c>
      <c r="AC18" s="358" t="n">
        <v>0</v>
      </c>
      <c r="AD18" s="358" t="n">
        <v>0</v>
      </c>
      <c r="AE18" s="358" t="n">
        <v>0</v>
      </c>
      <c r="AF18" s="359" t="n">
        <v>1</v>
      </c>
    </row>
    <row r="19" customFormat="false" ht="15" hidden="true" customHeight="false" outlineLevel="0" collapsed="false">
      <c r="B19" s="360" t="s">
        <v>2514</v>
      </c>
      <c r="C19" s="359" t="n">
        <v>1</v>
      </c>
      <c r="D19" s="358" t="n">
        <v>0</v>
      </c>
      <c r="E19" s="358" t="n">
        <v>0</v>
      </c>
      <c r="F19" s="358" t="n">
        <v>0</v>
      </c>
      <c r="G19" s="372" t="n">
        <v>0</v>
      </c>
      <c r="H19" s="373" t="n">
        <v>0</v>
      </c>
      <c r="I19" s="358" t="n">
        <v>0</v>
      </c>
      <c r="J19" s="358" t="n">
        <v>0</v>
      </c>
      <c r="K19" s="372" t="n">
        <v>0</v>
      </c>
      <c r="L19" s="373" t="n">
        <v>0</v>
      </c>
      <c r="M19" s="358" t="n">
        <v>0</v>
      </c>
      <c r="N19" s="358" t="n">
        <v>0</v>
      </c>
      <c r="O19" s="372" t="n">
        <v>0</v>
      </c>
      <c r="P19" s="373" t="n">
        <v>0</v>
      </c>
      <c r="Q19" s="358" t="n">
        <v>0</v>
      </c>
      <c r="R19" s="358" t="n">
        <v>0</v>
      </c>
      <c r="S19" s="372" t="n">
        <v>0</v>
      </c>
      <c r="T19" s="373" t="n">
        <v>0</v>
      </c>
      <c r="U19" s="358" t="n">
        <v>0</v>
      </c>
      <c r="V19" s="358" t="n">
        <v>0</v>
      </c>
      <c r="W19" s="372" t="n">
        <v>0</v>
      </c>
      <c r="X19" s="373" t="n">
        <v>0</v>
      </c>
      <c r="Y19" s="358" t="n">
        <v>0</v>
      </c>
      <c r="Z19" s="358" t="n">
        <v>0</v>
      </c>
      <c r="AA19" s="358" t="n">
        <v>0</v>
      </c>
      <c r="AB19" s="373" t="n">
        <v>0</v>
      </c>
      <c r="AC19" s="358" t="n">
        <v>0</v>
      </c>
      <c r="AD19" s="358" t="n">
        <v>0</v>
      </c>
      <c r="AE19" s="358" t="n">
        <v>0</v>
      </c>
      <c r="AF19" s="359" t="n">
        <v>1</v>
      </c>
    </row>
    <row r="20" customFormat="false" ht="15" hidden="false" customHeight="false" outlineLevel="0" collapsed="false">
      <c r="B20" s="310" t="s">
        <v>2459</v>
      </c>
      <c r="C20" s="359" t="n">
        <v>24</v>
      </c>
      <c r="D20" s="358" t="n">
        <v>0</v>
      </c>
      <c r="E20" s="358" t="n">
        <v>0</v>
      </c>
      <c r="F20" s="358" t="n">
        <v>0</v>
      </c>
      <c r="G20" s="372" t="n">
        <v>0</v>
      </c>
      <c r="H20" s="373" t="n">
        <v>0</v>
      </c>
      <c r="I20" s="358" t="n">
        <v>0</v>
      </c>
      <c r="J20" s="358" t="n">
        <v>0</v>
      </c>
      <c r="K20" s="372" t="n">
        <v>0</v>
      </c>
      <c r="L20" s="373" t="n">
        <v>0</v>
      </c>
      <c r="M20" s="358" t="n">
        <v>0</v>
      </c>
      <c r="N20" s="358" t="n">
        <v>0</v>
      </c>
      <c r="O20" s="372" t="n">
        <v>0</v>
      </c>
      <c r="P20" s="373" t="n">
        <v>0</v>
      </c>
      <c r="Q20" s="358" t="n">
        <v>0</v>
      </c>
      <c r="R20" s="358" t="n">
        <v>0</v>
      </c>
      <c r="S20" s="372" t="n">
        <v>0</v>
      </c>
      <c r="T20" s="373" t="n">
        <v>0</v>
      </c>
      <c r="U20" s="358" t="n">
        <v>0</v>
      </c>
      <c r="V20" s="358" t="n">
        <v>0</v>
      </c>
      <c r="W20" s="372" t="n">
        <v>0</v>
      </c>
      <c r="X20" s="373" t="n">
        <v>0</v>
      </c>
      <c r="Y20" s="358" t="n">
        <v>0</v>
      </c>
      <c r="Z20" s="358" t="n">
        <v>0</v>
      </c>
      <c r="AA20" s="358" t="n">
        <v>0</v>
      </c>
      <c r="AB20" s="373" t="n">
        <v>0</v>
      </c>
      <c r="AC20" s="358" t="n">
        <v>0</v>
      </c>
      <c r="AD20" s="358" t="n">
        <v>0</v>
      </c>
      <c r="AE20" s="358" t="n">
        <v>0</v>
      </c>
      <c r="AF20" s="359" t="n">
        <v>24</v>
      </c>
    </row>
    <row r="21" customFormat="false" ht="15" hidden="true" customHeight="false" outlineLevel="0" collapsed="false">
      <c r="B21" s="360" t="s">
        <v>2515</v>
      </c>
      <c r="C21" s="359" t="n">
        <v>1</v>
      </c>
      <c r="D21" s="358" t="n">
        <v>0</v>
      </c>
      <c r="E21" s="358" t="n">
        <v>0</v>
      </c>
      <c r="F21" s="358" t="n">
        <v>0</v>
      </c>
      <c r="G21" s="372" t="n">
        <v>0</v>
      </c>
      <c r="H21" s="373" t="n">
        <v>0</v>
      </c>
      <c r="I21" s="358" t="n">
        <v>0</v>
      </c>
      <c r="J21" s="358" t="n">
        <v>0</v>
      </c>
      <c r="K21" s="372" t="n">
        <v>0</v>
      </c>
      <c r="L21" s="373" t="n">
        <v>0</v>
      </c>
      <c r="M21" s="358" t="n">
        <v>0</v>
      </c>
      <c r="N21" s="358" t="n">
        <v>0</v>
      </c>
      <c r="O21" s="372" t="n">
        <v>0</v>
      </c>
      <c r="P21" s="373" t="n">
        <v>0</v>
      </c>
      <c r="Q21" s="358" t="n">
        <v>0</v>
      </c>
      <c r="R21" s="358" t="n">
        <v>0</v>
      </c>
      <c r="S21" s="372" t="n">
        <v>0</v>
      </c>
      <c r="T21" s="373" t="n">
        <v>0</v>
      </c>
      <c r="U21" s="358" t="n">
        <v>0</v>
      </c>
      <c r="V21" s="358" t="n">
        <v>0</v>
      </c>
      <c r="W21" s="372" t="n">
        <v>0</v>
      </c>
      <c r="X21" s="373" t="n">
        <v>0</v>
      </c>
      <c r="Y21" s="358" t="n">
        <v>0</v>
      </c>
      <c r="Z21" s="358" t="n">
        <v>0</v>
      </c>
      <c r="AA21" s="358" t="n">
        <v>0</v>
      </c>
      <c r="AB21" s="373" t="n">
        <v>0</v>
      </c>
      <c r="AC21" s="358" t="n">
        <v>0</v>
      </c>
      <c r="AD21" s="358" t="n">
        <v>0</v>
      </c>
      <c r="AE21" s="358" t="n">
        <v>0</v>
      </c>
      <c r="AF21" s="359" t="n">
        <v>1</v>
      </c>
    </row>
    <row r="22" customFormat="false" ht="15" hidden="true" customHeight="false" outlineLevel="0" collapsed="false">
      <c r="B22" s="360" t="s">
        <v>2516</v>
      </c>
      <c r="C22" s="359" t="n">
        <v>1</v>
      </c>
      <c r="D22" s="358" t="n">
        <v>0</v>
      </c>
      <c r="E22" s="358" t="n">
        <v>0</v>
      </c>
      <c r="F22" s="358" t="n">
        <v>0</v>
      </c>
      <c r="G22" s="372" t="n">
        <v>0</v>
      </c>
      <c r="H22" s="373" t="n">
        <v>0</v>
      </c>
      <c r="I22" s="358" t="n">
        <v>0</v>
      </c>
      <c r="J22" s="358" t="n">
        <v>0</v>
      </c>
      <c r="K22" s="372" t="n">
        <v>0</v>
      </c>
      <c r="L22" s="373" t="n">
        <v>0</v>
      </c>
      <c r="M22" s="358" t="n">
        <v>0</v>
      </c>
      <c r="N22" s="358" t="n">
        <v>0</v>
      </c>
      <c r="O22" s="372" t="n">
        <v>0</v>
      </c>
      <c r="P22" s="373" t="n">
        <v>0</v>
      </c>
      <c r="Q22" s="358" t="n">
        <v>0</v>
      </c>
      <c r="R22" s="358" t="n">
        <v>0</v>
      </c>
      <c r="S22" s="372" t="n">
        <v>0</v>
      </c>
      <c r="T22" s="373" t="n">
        <v>0</v>
      </c>
      <c r="U22" s="358" t="n">
        <v>0</v>
      </c>
      <c r="V22" s="358" t="n">
        <v>0</v>
      </c>
      <c r="W22" s="372" t="n">
        <v>0</v>
      </c>
      <c r="X22" s="373" t="n">
        <v>0</v>
      </c>
      <c r="Y22" s="358" t="n">
        <v>0</v>
      </c>
      <c r="Z22" s="358" t="n">
        <v>0</v>
      </c>
      <c r="AA22" s="358" t="n">
        <v>0</v>
      </c>
      <c r="AB22" s="373" t="n">
        <v>0</v>
      </c>
      <c r="AC22" s="358" t="n">
        <v>0</v>
      </c>
      <c r="AD22" s="358" t="n">
        <v>0</v>
      </c>
      <c r="AE22" s="358" t="n">
        <v>0</v>
      </c>
      <c r="AF22" s="359" t="n">
        <v>1</v>
      </c>
    </row>
    <row r="23" customFormat="false" ht="15" hidden="true" customHeight="false" outlineLevel="0" collapsed="false">
      <c r="B23" s="360" t="s">
        <v>2517</v>
      </c>
      <c r="C23" s="359" t="n">
        <v>1</v>
      </c>
      <c r="D23" s="358" t="n">
        <v>0</v>
      </c>
      <c r="E23" s="358" t="n">
        <v>0</v>
      </c>
      <c r="F23" s="358" t="n">
        <v>0</v>
      </c>
      <c r="G23" s="372" t="n">
        <v>0</v>
      </c>
      <c r="H23" s="373" t="n">
        <v>0</v>
      </c>
      <c r="I23" s="358" t="n">
        <v>0</v>
      </c>
      <c r="J23" s="358" t="n">
        <v>0</v>
      </c>
      <c r="K23" s="372" t="n">
        <v>0</v>
      </c>
      <c r="L23" s="373" t="n">
        <v>0</v>
      </c>
      <c r="M23" s="358" t="n">
        <v>0</v>
      </c>
      <c r="N23" s="358" t="n">
        <v>0</v>
      </c>
      <c r="O23" s="372" t="n">
        <v>0</v>
      </c>
      <c r="P23" s="373" t="n">
        <v>0</v>
      </c>
      <c r="Q23" s="358" t="n">
        <v>0</v>
      </c>
      <c r="R23" s="358" t="n">
        <v>0</v>
      </c>
      <c r="S23" s="372" t="n">
        <v>0</v>
      </c>
      <c r="T23" s="373" t="n">
        <v>0</v>
      </c>
      <c r="U23" s="358" t="n">
        <v>0</v>
      </c>
      <c r="V23" s="358" t="n">
        <v>0</v>
      </c>
      <c r="W23" s="372" t="n">
        <v>0</v>
      </c>
      <c r="X23" s="373" t="n">
        <v>0</v>
      </c>
      <c r="Y23" s="358" t="n">
        <v>0</v>
      </c>
      <c r="Z23" s="358" t="n">
        <v>0</v>
      </c>
      <c r="AA23" s="358" t="n">
        <v>0</v>
      </c>
      <c r="AB23" s="373" t="n">
        <v>0</v>
      </c>
      <c r="AC23" s="358" t="n">
        <v>0</v>
      </c>
      <c r="AD23" s="358" t="n">
        <v>0</v>
      </c>
      <c r="AE23" s="358" t="n">
        <v>0</v>
      </c>
      <c r="AF23" s="359" t="n">
        <v>1</v>
      </c>
    </row>
    <row r="24" customFormat="false" ht="15" hidden="true" customHeight="false" outlineLevel="0" collapsed="false">
      <c r="B24" s="360" t="s">
        <v>2518</v>
      </c>
      <c r="C24" s="359" t="n">
        <v>1</v>
      </c>
      <c r="D24" s="358" t="n">
        <v>0</v>
      </c>
      <c r="E24" s="358" t="n">
        <v>0</v>
      </c>
      <c r="F24" s="358" t="n">
        <v>0</v>
      </c>
      <c r="G24" s="372" t="n">
        <v>0</v>
      </c>
      <c r="H24" s="373" t="n">
        <v>0</v>
      </c>
      <c r="I24" s="358" t="n">
        <v>0</v>
      </c>
      <c r="J24" s="358" t="n">
        <v>0</v>
      </c>
      <c r="K24" s="372" t="n">
        <v>0</v>
      </c>
      <c r="L24" s="373" t="n">
        <v>0</v>
      </c>
      <c r="M24" s="358" t="n">
        <v>0</v>
      </c>
      <c r="N24" s="358" t="n">
        <v>0</v>
      </c>
      <c r="O24" s="372" t="n">
        <v>0</v>
      </c>
      <c r="P24" s="373" t="n">
        <v>0</v>
      </c>
      <c r="Q24" s="358" t="n">
        <v>0</v>
      </c>
      <c r="R24" s="358" t="n">
        <v>0</v>
      </c>
      <c r="S24" s="372" t="n">
        <v>0</v>
      </c>
      <c r="T24" s="373" t="n">
        <v>0</v>
      </c>
      <c r="U24" s="358" t="n">
        <v>0</v>
      </c>
      <c r="V24" s="358" t="n">
        <v>0</v>
      </c>
      <c r="W24" s="372" t="n">
        <v>0</v>
      </c>
      <c r="X24" s="373" t="n">
        <v>0</v>
      </c>
      <c r="Y24" s="358" t="n">
        <v>0</v>
      </c>
      <c r="Z24" s="358" t="n">
        <v>0</v>
      </c>
      <c r="AA24" s="358" t="n">
        <v>0</v>
      </c>
      <c r="AB24" s="373" t="n">
        <v>0</v>
      </c>
      <c r="AC24" s="358" t="n">
        <v>0</v>
      </c>
      <c r="AD24" s="358" t="n">
        <v>0</v>
      </c>
      <c r="AE24" s="358" t="n">
        <v>0</v>
      </c>
      <c r="AF24" s="359" t="n">
        <v>1</v>
      </c>
    </row>
    <row r="25" customFormat="false" ht="15" hidden="true" customHeight="false" outlineLevel="0" collapsed="false">
      <c r="B25" s="360" t="s">
        <v>2519</v>
      </c>
      <c r="C25" s="359" t="n">
        <v>1</v>
      </c>
      <c r="D25" s="358" t="n">
        <v>0</v>
      </c>
      <c r="E25" s="358" t="n">
        <v>0</v>
      </c>
      <c r="F25" s="358" t="n">
        <v>0</v>
      </c>
      <c r="G25" s="372" t="n">
        <v>0</v>
      </c>
      <c r="H25" s="373" t="n">
        <v>0</v>
      </c>
      <c r="I25" s="358" t="n">
        <v>0</v>
      </c>
      <c r="J25" s="358" t="n">
        <v>0</v>
      </c>
      <c r="K25" s="372" t="n">
        <v>0</v>
      </c>
      <c r="L25" s="373" t="n">
        <v>0</v>
      </c>
      <c r="M25" s="358" t="n">
        <v>0</v>
      </c>
      <c r="N25" s="358" t="n">
        <v>0</v>
      </c>
      <c r="O25" s="372" t="n">
        <v>0</v>
      </c>
      <c r="P25" s="373" t="n">
        <v>0</v>
      </c>
      <c r="Q25" s="358" t="n">
        <v>0</v>
      </c>
      <c r="R25" s="358" t="n">
        <v>0</v>
      </c>
      <c r="S25" s="372" t="n">
        <v>0</v>
      </c>
      <c r="T25" s="373" t="n">
        <v>0</v>
      </c>
      <c r="U25" s="358" t="n">
        <v>0</v>
      </c>
      <c r="V25" s="358" t="n">
        <v>0</v>
      </c>
      <c r="W25" s="372" t="n">
        <v>0</v>
      </c>
      <c r="X25" s="373" t="n">
        <v>0</v>
      </c>
      <c r="Y25" s="358" t="n">
        <v>0</v>
      </c>
      <c r="Z25" s="358" t="n">
        <v>0</v>
      </c>
      <c r="AA25" s="358" t="n">
        <v>0</v>
      </c>
      <c r="AB25" s="373" t="n">
        <v>0</v>
      </c>
      <c r="AC25" s="358" t="n">
        <v>0</v>
      </c>
      <c r="AD25" s="358" t="n">
        <v>0</v>
      </c>
      <c r="AE25" s="358" t="n">
        <v>0</v>
      </c>
      <c r="AF25" s="359" t="n">
        <v>1</v>
      </c>
    </row>
    <row r="26" customFormat="false" ht="15" hidden="true" customHeight="false" outlineLevel="0" collapsed="false">
      <c r="B26" s="360" t="s">
        <v>2520</v>
      </c>
      <c r="C26" s="359" t="n">
        <v>1</v>
      </c>
      <c r="D26" s="358" t="n">
        <v>0</v>
      </c>
      <c r="E26" s="358" t="n">
        <v>0</v>
      </c>
      <c r="F26" s="358" t="n">
        <v>0</v>
      </c>
      <c r="G26" s="372" t="n">
        <v>0</v>
      </c>
      <c r="H26" s="373" t="n">
        <v>0</v>
      </c>
      <c r="I26" s="358" t="n">
        <v>0</v>
      </c>
      <c r="J26" s="358" t="n">
        <v>0</v>
      </c>
      <c r="K26" s="372" t="n">
        <v>0</v>
      </c>
      <c r="L26" s="373" t="n">
        <v>0</v>
      </c>
      <c r="M26" s="358" t="n">
        <v>0</v>
      </c>
      <c r="N26" s="358" t="n">
        <v>0</v>
      </c>
      <c r="O26" s="372" t="n">
        <v>0</v>
      </c>
      <c r="P26" s="373" t="n">
        <v>0</v>
      </c>
      <c r="Q26" s="358" t="n">
        <v>0</v>
      </c>
      <c r="R26" s="358" t="n">
        <v>0</v>
      </c>
      <c r="S26" s="372" t="n">
        <v>0</v>
      </c>
      <c r="T26" s="373" t="n">
        <v>0</v>
      </c>
      <c r="U26" s="358" t="n">
        <v>0</v>
      </c>
      <c r="V26" s="358" t="n">
        <v>0</v>
      </c>
      <c r="W26" s="372" t="n">
        <v>0</v>
      </c>
      <c r="X26" s="373" t="n">
        <v>0</v>
      </c>
      <c r="Y26" s="358" t="n">
        <v>0</v>
      </c>
      <c r="Z26" s="358" t="n">
        <v>0</v>
      </c>
      <c r="AA26" s="358" t="n">
        <v>0</v>
      </c>
      <c r="AB26" s="373" t="n">
        <v>0</v>
      </c>
      <c r="AC26" s="358" t="n">
        <v>0</v>
      </c>
      <c r="AD26" s="358" t="n">
        <v>0</v>
      </c>
      <c r="AE26" s="358" t="n">
        <v>0</v>
      </c>
      <c r="AF26" s="359" t="n">
        <v>1</v>
      </c>
    </row>
    <row r="27" customFormat="false" ht="15" hidden="true" customHeight="false" outlineLevel="0" collapsed="false">
      <c r="B27" s="360" t="s">
        <v>2521</v>
      </c>
      <c r="C27" s="359" t="n">
        <v>1</v>
      </c>
      <c r="D27" s="358" t="n">
        <v>0</v>
      </c>
      <c r="E27" s="358" t="n">
        <v>0</v>
      </c>
      <c r="F27" s="358" t="n">
        <v>0</v>
      </c>
      <c r="G27" s="372" t="n">
        <v>0</v>
      </c>
      <c r="H27" s="373" t="n">
        <v>0</v>
      </c>
      <c r="I27" s="358" t="n">
        <v>0</v>
      </c>
      <c r="J27" s="358" t="n">
        <v>0</v>
      </c>
      <c r="K27" s="372" t="n">
        <v>0</v>
      </c>
      <c r="L27" s="373" t="n">
        <v>0</v>
      </c>
      <c r="M27" s="358" t="n">
        <v>0</v>
      </c>
      <c r="N27" s="358" t="n">
        <v>0</v>
      </c>
      <c r="O27" s="372" t="n">
        <v>0</v>
      </c>
      <c r="P27" s="373" t="n">
        <v>0</v>
      </c>
      <c r="Q27" s="358" t="n">
        <v>0</v>
      </c>
      <c r="R27" s="358" t="n">
        <v>0</v>
      </c>
      <c r="S27" s="372" t="n">
        <v>0</v>
      </c>
      <c r="T27" s="373" t="n">
        <v>0</v>
      </c>
      <c r="U27" s="358" t="n">
        <v>0</v>
      </c>
      <c r="V27" s="358" t="n">
        <v>0</v>
      </c>
      <c r="W27" s="372" t="n">
        <v>0</v>
      </c>
      <c r="X27" s="373" t="n">
        <v>0</v>
      </c>
      <c r="Y27" s="358" t="n">
        <v>0</v>
      </c>
      <c r="Z27" s="358" t="n">
        <v>0</v>
      </c>
      <c r="AA27" s="358" t="n">
        <v>0</v>
      </c>
      <c r="AB27" s="373" t="n">
        <v>0</v>
      </c>
      <c r="AC27" s="358" t="n">
        <v>0</v>
      </c>
      <c r="AD27" s="358" t="n">
        <v>0</v>
      </c>
      <c r="AE27" s="358" t="n">
        <v>0</v>
      </c>
      <c r="AF27" s="359" t="n">
        <v>1</v>
      </c>
    </row>
    <row r="28" customFormat="false" ht="15" hidden="true" customHeight="false" outlineLevel="0" collapsed="false">
      <c r="B28" s="360" t="s">
        <v>2522</v>
      </c>
      <c r="C28" s="359" t="n">
        <v>1</v>
      </c>
      <c r="D28" s="358" t="n">
        <v>0</v>
      </c>
      <c r="E28" s="358" t="n">
        <v>0</v>
      </c>
      <c r="F28" s="358" t="n">
        <v>0</v>
      </c>
      <c r="G28" s="372" t="n">
        <v>0</v>
      </c>
      <c r="H28" s="373" t="n">
        <v>0</v>
      </c>
      <c r="I28" s="358" t="n">
        <v>0</v>
      </c>
      <c r="J28" s="358" t="n">
        <v>0</v>
      </c>
      <c r="K28" s="372" t="n">
        <v>0</v>
      </c>
      <c r="L28" s="373" t="n">
        <v>0</v>
      </c>
      <c r="M28" s="358" t="n">
        <v>0</v>
      </c>
      <c r="N28" s="358" t="n">
        <v>0</v>
      </c>
      <c r="O28" s="372" t="n">
        <v>0</v>
      </c>
      <c r="P28" s="373" t="n">
        <v>0</v>
      </c>
      <c r="Q28" s="358" t="n">
        <v>0</v>
      </c>
      <c r="R28" s="358" t="n">
        <v>0</v>
      </c>
      <c r="S28" s="372" t="n">
        <v>0</v>
      </c>
      <c r="T28" s="373" t="n">
        <v>0</v>
      </c>
      <c r="U28" s="358" t="n">
        <v>0</v>
      </c>
      <c r="V28" s="358" t="n">
        <v>0</v>
      </c>
      <c r="W28" s="372" t="n">
        <v>0</v>
      </c>
      <c r="X28" s="373" t="n">
        <v>0</v>
      </c>
      <c r="Y28" s="358" t="n">
        <v>0</v>
      </c>
      <c r="Z28" s="358" t="n">
        <v>0</v>
      </c>
      <c r="AA28" s="358" t="n">
        <v>0</v>
      </c>
      <c r="AB28" s="373" t="n">
        <v>0</v>
      </c>
      <c r="AC28" s="358" t="n">
        <v>0</v>
      </c>
      <c r="AD28" s="358" t="n">
        <v>0</v>
      </c>
      <c r="AE28" s="358" t="n">
        <v>0</v>
      </c>
      <c r="AF28" s="359" t="n">
        <v>1</v>
      </c>
    </row>
    <row r="29" customFormat="false" ht="15" hidden="true" customHeight="false" outlineLevel="0" collapsed="false">
      <c r="B29" s="360" t="s">
        <v>2523</v>
      </c>
      <c r="C29" s="359" t="n">
        <v>1</v>
      </c>
      <c r="D29" s="358" t="n">
        <v>0</v>
      </c>
      <c r="E29" s="358" t="n">
        <v>0</v>
      </c>
      <c r="F29" s="358" t="n">
        <v>0</v>
      </c>
      <c r="G29" s="372" t="n">
        <v>0</v>
      </c>
      <c r="H29" s="373" t="n">
        <v>0</v>
      </c>
      <c r="I29" s="358" t="n">
        <v>0</v>
      </c>
      <c r="J29" s="358" t="n">
        <v>0</v>
      </c>
      <c r="K29" s="372" t="n">
        <v>0</v>
      </c>
      <c r="L29" s="373" t="n">
        <v>0</v>
      </c>
      <c r="M29" s="358" t="n">
        <v>0</v>
      </c>
      <c r="N29" s="358" t="n">
        <v>0</v>
      </c>
      <c r="O29" s="372" t="n">
        <v>0</v>
      </c>
      <c r="P29" s="373" t="n">
        <v>0</v>
      </c>
      <c r="Q29" s="358" t="n">
        <v>0</v>
      </c>
      <c r="R29" s="358" t="n">
        <v>0</v>
      </c>
      <c r="S29" s="372" t="n">
        <v>0</v>
      </c>
      <c r="T29" s="373" t="n">
        <v>0</v>
      </c>
      <c r="U29" s="358" t="n">
        <v>0</v>
      </c>
      <c r="V29" s="358" t="n">
        <v>0</v>
      </c>
      <c r="W29" s="372" t="n">
        <v>0</v>
      </c>
      <c r="X29" s="373" t="n">
        <v>0</v>
      </c>
      <c r="Y29" s="358" t="n">
        <v>0</v>
      </c>
      <c r="Z29" s="358" t="n">
        <v>0</v>
      </c>
      <c r="AA29" s="358" t="n">
        <v>0</v>
      </c>
      <c r="AB29" s="373" t="n">
        <v>0</v>
      </c>
      <c r="AC29" s="358" t="n">
        <v>0</v>
      </c>
      <c r="AD29" s="358" t="n">
        <v>0</v>
      </c>
      <c r="AE29" s="358" t="n">
        <v>0</v>
      </c>
      <c r="AF29" s="359" t="n">
        <v>1</v>
      </c>
    </row>
    <row r="30" customFormat="false" ht="15" hidden="true" customHeight="false" outlineLevel="0" collapsed="false">
      <c r="B30" s="360" t="s">
        <v>2524</v>
      </c>
      <c r="C30" s="359" t="n">
        <v>1</v>
      </c>
      <c r="D30" s="358" t="n">
        <v>0</v>
      </c>
      <c r="E30" s="358" t="n">
        <v>0</v>
      </c>
      <c r="F30" s="358" t="n">
        <v>0</v>
      </c>
      <c r="G30" s="372" t="n">
        <v>0</v>
      </c>
      <c r="H30" s="373" t="n">
        <v>0</v>
      </c>
      <c r="I30" s="358" t="n">
        <v>0</v>
      </c>
      <c r="J30" s="358" t="n">
        <v>0</v>
      </c>
      <c r="K30" s="372" t="n">
        <v>0</v>
      </c>
      <c r="L30" s="373" t="n">
        <v>0</v>
      </c>
      <c r="M30" s="358" t="n">
        <v>0</v>
      </c>
      <c r="N30" s="358" t="n">
        <v>0</v>
      </c>
      <c r="O30" s="372" t="n">
        <v>0</v>
      </c>
      <c r="P30" s="373" t="n">
        <v>0</v>
      </c>
      <c r="Q30" s="358" t="n">
        <v>0</v>
      </c>
      <c r="R30" s="358" t="n">
        <v>0</v>
      </c>
      <c r="S30" s="372" t="n">
        <v>0</v>
      </c>
      <c r="T30" s="373" t="n">
        <v>0</v>
      </c>
      <c r="U30" s="358" t="n">
        <v>0</v>
      </c>
      <c r="V30" s="358" t="n">
        <v>0</v>
      </c>
      <c r="W30" s="372" t="n">
        <v>0</v>
      </c>
      <c r="X30" s="373" t="n">
        <v>0</v>
      </c>
      <c r="Y30" s="358" t="n">
        <v>0</v>
      </c>
      <c r="Z30" s="358" t="n">
        <v>0</v>
      </c>
      <c r="AA30" s="358" t="n">
        <v>0</v>
      </c>
      <c r="AB30" s="373" t="n">
        <v>0</v>
      </c>
      <c r="AC30" s="358" t="n">
        <v>0</v>
      </c>
      <c r="AD30" s="358" t="n">
        <v>0</v>
      </c>
      <c r="AE30" s="358" t="n">
        <v>0</v>
      </c>
      <c r="AF30" s="359" t="n">
        <v>1</v>
      </c>
    </row>
    <row r="31" customFormat="false" ht="15" hidden="true" customHeight="false" outlineLevel="0" collapsed="false">
      <c r="B31" s="360" t="s">
        <v>2525</v>
      </c>
      <c r="C31" s="359" t="n">
        <v>1</v>
      </c>
      <c r="D31" s="358" t="n">
        <v>0</v>
      </c>
      <c r="E31" s="358" t="n">
        <v>0</v>
      </c>
      <c r="F31" s="358" t="n">
        <v>0</v>
      </c>
      <c r="G31" s="372" t="n">
        <v>0</v>
      </c>
      <c r="H31" s="373" t="n">
        <v>0</v>
      </c>
      <c r="I31" s="358" t="n">
        <v>0</v>
      </c>
      <c r="J31" s="358" t="n">
        <v>0</v>
      </c>
      <c r="K31" s="372" t="n">
        <v>0</v>
      </c>
      <c r="L31" s="373" t="n">
        <v>0</v>
      </c>
      <c r="M31" s="358" t="n">
        <v>0</v>
      </c>
      <c r="N31" s="358" t="n">
        <v>0</v>
      </c>
      <c r="O31" s="372" t="n">
        <v>0</v>
      </c>
      <c r="P31" s="373" t="n">
        <v>0</v>
      </c>
      <c r="Q31" s="358" t="n">
        <v>0</v>
      </c>
      <c r="R31" s="358" t="n">
        <v>0</v>
      </c>
      <c r="S31" s="372" t="n">
        <v>0</v>
      </c>
      <c r="T31" s="373" t="n">
        <v>0</v>
      </c>
      <c r="U31" s="358" t="n">
        <v>0</v>
      </c>
      <c r="V31" s="358" t="n">
        <v>0</v>
      </c>
      <c r="W31" s="372" t="n">
        <v>0</v>
      </c>
      <c r="X31" s="373" t="n">
        <v>0</v>
      </c>
      <c r="Y31" s="358" t="n">
        <v>0</v>
      </c>
      <c r="Z31" s="358" t="n">
        <v>0</v>
      </c>
      <c r="AA31" s="358" t="n">
        <v>0</v>
      </c>
      <c r="AB31" s="373" t="n">
        <v>0</v>
      </c>
      <c r="AC31" s="358" t="n">
        <v>0</v>
      </c>
      <c r="AD31" s="358" t="n">
        <v>0</v>
      </c>
      <c r="AE31" s="358" t="n">
        <v>0</v>
      </c>
      <c r="AF31" s="359" t="n">
        <v>1</v>
      </c>
    </row>
    <row r="32" customFormat="false" ht="15" hidden="true" customHeight="false" outlineLevel="0" collapsed="false">
      <c r="B32" s="360" t="s">
        <v>2526</v>
      </c>
      <c r="C32" s="359" t="n">
        <v>1</v>
      </c>
      <c r="D32" s="358" t="n">
        <v>0</v>
      </c>
      <c r="E32" s="358" t="n">
        <v>0</v>
      </c>
      <c r="F32" s="358" t="n">
        <v>0</v>
      </c>
      <c r="G32" s="372" t="n">
        <v>0</v>
      </c>
      <c r="H32" s="373" t="n">
        <v>0</v>
      </c>
      <c r="I32" s="358" t="n">
        <v>0</v>
      </c>
      <c r="J32" s="358" t="n">
        <v>0</v>
      </c>
      <c r="K32" s="372" t="n">
        <v>0</v>
      </c>
      <c r="L32" s="373" t="n">
        <v>0</v>
      </c>
      <c r="M32" s="358" t="n">
        <v>0</v>
      </c>
      <c r="N32" s="358" t="n">
        <v>0</v>
      </c>
      <c r="O32" s="372" t="n">
        <v>0</v>
      </c>
      <c r="P32" s="373" t="n">
        <v>0</v>
      </c>
      <c r="Q32" s="358" t="n">
        <v>0</v>
      </c>
      <c r="R32" s="358" t="n">
        <v>0</v>
      </c>
      <c r="S32" s="372" t="n">
        <v>0</v>
      </c>
      <c r="T32" s="373" t="n">
        <v>0</v>
      </c>
      <c r="U32" s="358" t="n">
        <v>0</v>
      </c>
      <c r="V32" s="358" t="n">
        <v>0</v>
      </c>
      <c r="W32" s="372" t="n">
        <v>0</v>
      </c>
      <c r="X32" s="373" t="n">
        <v>0</v>
      </c>
      <c r="Y32" s="358" t="n">
        <v>0</v>
      </c>
      <c r="Z32" s="358" t="n">
        <v>0</v>
      </c>
      <c r="AA32" s="358" t="n">
        <v>0</v>
      </c>
      <c r="AB32" s="373" t="n">
        <v>0</v>
      </c>
      <c r="AC32" s="358" t="n">
        <v>0</v>
      </c>
      <c r="AD32" s="358" t="n">
        <v>0</v>
      </c>
      <c r="AE32" s="358" t="n">
        <v>0</v>
      </c>
      <c r="AF32" s="359" t="n">
        <v>1</v>
      </c>
    </row>
    <row r="33" customFormat="false" ht="15" hidden="true" customHeight="false" outlineLevel="0" collapsed="false">
      <c r="B33" s="360" t="s">
        <v>2527</v>
      </c>
      <c r="C33" s="359" t="n">
        <v>1</v>
      </c>
      <c r="D33" s="358" t="n">
        <v>0</v>
      </c>
      <c r="E33" s="358" t="n">
        <v>0</v>
      </c>
      <c r="F33" s="358" t="n">
        <v>0</v>
      </c>
      <c r="G33" s="372" t="n">
        <v>0</v>
      </c>
      <c r="H33" s="373" t="n">
        <v>0</v>
      </c>
      <c r="I33" s="358" t="n">
        <v>0</v>
      </c>
      <c r="J33" s="358" t="n">
        <v>0</v>
      </c>
      <c r="K33" s="372" t="n">
        <v>0</v>
      </c>
      <c r="L33" s="373" t="n">
        <v>0</v>
      </c>
      <c r="M33" s="358" t="n">
        <v>0</v>
      </c>
      <c r="N33" s="358" t="n">
        <v>0</v>
      </c>
      <c r="O33" s="372" t="n">
        <v>0</v>
      </c>
      <c r="P33" s="373" t="n">
        <v>0</v>
      </c>
      <c r="Q33" s="358" t="n">
        <v>0</v>
      </c>
      <c r="R33" s="358" t="n">
        <v>0</v>
      </c>
      <c r="S33" s="372" t="n">
        <v>0</v>
      </c>
      <c r="T33" s="373" t="n">
        <v>0</v>
      </c>
      <c r="U33" s="358" t="n">
        <v>0</v>
      </c>
      <c r="V33" s="358" t="n">
        <v>0</v>
      </c>
      <c r="W33" s="372" t="n">
        <v>0</v>
      </c>
      <c r="X33" s="373" t="n">
        <v>0</v>
      </c>
      <c r="Y33" s="358" t="n">
        <v>0</v>
      </c>
      <c r="Z33" s="358" t="n">
        <v>0</v>
      </c>
      <c r="AA33" s="358" t="n">
        <v>0</v>
      </c>
      <c r="AB33" s="373" t="n">
        <v>0</v>
      </c>
      <c r="AC33" s="358" t="n">
        <v>0</v>
      </c>
      <c r="AD33" s="358" t="n">
        <v>0</v>
      </c>
      <c r="AE33" s="358" t="n">
        <v>0</v>
      </c>
      <c r="AF33" s="359" t="n">
        <v>1</v>
      </c>
    </row>
    <row r="34" customFormat="false" ht="15" hidden="true" customHeight="false" outlineLevel="0" collapsed="false">
      <c r="B34" s="360" t="s">
        <v>2528</v>
      </c>
      <c r="C34" s="359" t="n">
        <v>1</v>
      </c>
      <c r="D34" s="358" t="n">
        <v>0</v>
      </c>
      <c r="E34" s="358" t="n">
        <v>0</v>
      </c>
      <c r="F34" s="358" t="n">
        <v>0</v>
      </c>
      <c r="G34" s="372" t="n">
        <v>0</v>
      </c>
      <c r="H34" s="373" t="n">
        <v>0</v>
      </c>
      <c r="I34" s="358" t="n">
        <v>0</v>
      </c>
      <c r="J34" s="358" t="n">
        <v>0</v>
      </c>
      <c r="K34" s="372" t="n">
        <v>0</v>
      </c>
      <c r="L34" s="373" t="n">
        <v>0</v>
      </c>
      <c r="M34" s="358" t="n">
        <v>0</v>
      </c>
      <c r="N34" s="358" t="n">
        <v>0</v>
      </c>
      <c r="O34" s="372" t="n">
        <v>0</v>
      </c>
      <c r="P34" s="373" t="n">
        <v>0</v>
      </c>
      <c r="Q34" s="358" t="n">
        <v>0</v>
      </c>
      <c r="R34" s="358" t="n">
        <v>0</v>
      </c>
      <c r="S34" s="372" t="n">
        <v>0</v>
      </c>
      <c r="T34" s="373" t="n">
        <v>0</v>
      </c>
      <c r="U34" s="358" t="n">
        <v>0</v>
      </c>
      <c r="V34" s="358" t="n">
        <v>0</v>
      </c>
      <c r="W34" s="372" t="n">
        <v>0</v>
      </c>
      <c r="X34" s="373" t="n">
        <v>0</v>
      </c>
      <c r="Y34" s="358" t="n">
        <v>0</v>
      </c>
      <c r="Z34" s="358" t="n">
        <v>0</v>
      </c>
      <c r="AA34" s="358" t="n">
        <v>0</v>
      </c>
      <c r="AB34" s="373" t="n">
        <v>0</v>
      </c>
      <c r="AC34" s="358" t="n">
        <v>0</v>
      </c>
      <c r="AD34" s="358" t="n">
        <v>0</v>
      </c>
      <c r="AE34" s="358" t="n">
        <v>0</v>
      </c>
      <c r="AF34" s="359" t="n">
        <v>1</v>
      </c>
    </row>
    <row r="35" customFormat="false" ht="15" hidden="true" customHeight="false" outlineLevel="0" collapsed="false">
      <c r="B35" s="360" t="s">
        <v>2529</v>
      </c>
      <c r="C35" s="359" t="n">
        <v>1</v>
      </c>
      <c r="D35" s="358" t="n">
        <v>0</v>
      </c>
      <c r="E35" s="358" t="n">
        <v>0</v>
      </c>
      <c r="F35" s="358" t="n">
        <v>0</v>
      </c>
      <c r="G35" s="372" t="n">
        <v>0</v>
      </c>
      <c r="H35" s="373" t="n">
        <v>0</v>
      </c>
      <c r="I35" s="358" t="n">
        <v>0</v>
      </c>
      <c r="J35" s="358" t="n">
        <v>0</v>
      </c>
      <c r="K35" s="372" t="n">
        <v>0</v>
      </c>
      <c r="L35" s="373" t="n">
        <v>0</v>
      </c>
      <c r="M35" s="358" t="n">
        <v>0</v>
      </c>
      <c r="N35" s="358" t="n">
        <v>0</v>
      </c>
      <c r="O35" s="372" t="n">
        <v>0</v>
      </c>
      <c r="P35" s="373" t="n">
        <v>0</v>
      </c>
      <c r="Q35" s="358" t="n">
        <v>0</v>
      </c>
      <c r="R35" s="358" t="n">
        <v>0</v>
      </c>
      <c r="S35" s="372" t="n">
        <v>0</v>
      </c>
      <c r="T35" s="373" t="n">
        <v>0</v>
      </c>
      <c r="U35" s="358" t="n">
        <v>0</v>
      </c>
      <c r="V35" s="358" t="n">
        <v>0</v>
      </c>
      <c r="W35" s="372" t="n">
        <v>0</v>
      </c>
      <c r="X35" s="373" t="n">
        <v>0</v>
      </c>
      <c r="Y35" s="358" t="n">
        <v>0</v>
      </c>
      <c r="Z35" s="358" t="n">
        <v>0</v>
      </c>
      <c r="AA35" s="358" t="n">
        <v>0</v>
      </c>
      <c r="AB35" s="373" t="n">
        <v>0</v>
      </c>
      <c r="AC35" s="358" t="n">
        <v>0</v>
      </c>
      <c r="AD35" s="358" t="n">
        <v>0</v>
      </c>
      <c r="AE35" s="358" t="n">
        <v>0</v>
      </c>
      <c r="AF35" s="359" t="n">
        <v>1</v>
      </c>
    </row>
    <row r="36" customFormat="false" ht="15" hidden="true" customHeight="false" outlineLevel="0" collapsed="false">
      <c r="B36" s="360" t="s">
        <v>2530</v>
      </c>
      <c r="C36" s="359" t="n">
        <v>1</v>
      </c>
      <c r="D36" s="358" t="n">
        <v>0</v>
      </c>
      <c r="E36" s="358" t="n">
        <v>0</v>
      </c>
      <c r="F36" s="358" t="n">
        <v>0</v>
      </c>
      <c r="G36" s="372" t="n">
        <v>0</v>
      </c>
      <c r="H36" s="373" t="n">
        <v>0</v>
      </c>
      <c r="I36" s="358" t="n">
        <v>0</v>
      </c>
      <c r="J36" s="358" t="n">
        <v>0</v>
      </c>
      <c r="K36" s="372" t="n">
        <v>0</v>
      </c>
      <c r="L36" s="373" t="n">
        <v>0</v>
      </c>
      <c r="M36" s="358" t="n">
        <v>0</v>
      </c>
      <c r="N36" s="358" t="n">
        <v>0</v>
      </c>
      <c r="O36" s="372" t="n">
        <v>0</v>
      </c>
      <c r="P36" s="373" t="n">
        <v>0</v>
      </c>
      <c r="Q36" s="358" t="n">
        <v>0</v>
      </c>
      <c r="R36" s="358" t="n">
        <v>0</v>
      </c>
      <c r="S36" s="372" t="n">
        <v>0</v>
      </c>
      <c r="T36" s="373" t="n">
        <v>0</v>
      </c>
      <c r="U36" s="358" t="n">
        <v>0</v>
      </c>
      <c r="V36" s="358" t="n">
        <v>0</v>
      </c>
      <c r="W36" s="372" t="n">
        <v>0</v>
      </c>
      <c r="X36" s="373" t="n">
        <v>0</v>
      </c>
      <c r="Y36" s="358" t="n">
        <v>0</v>
      </c>
      <c r="Z36" s="358" t="n">
        <v>0</v>
      </c>
      <c r="AA36" s="358" t="n">
        <v>0</v>
      </c>
      <c r="AB36" s="373" t="n">
        <v>0</v>
      </c>
      <c r="AC36" s="358" t="n">
        <v>0</v>
      </c>
      <c r="AD36" s="358" t="n">
        <v>0</v>
      </c>
      <c r="AE36" s="358" t="n">
        <v>0</v>
      </c>
      <c r="AF36" s="359" t="n">
        <v>1</v>
      </c>
    </row>
    <row r="37" customFormat="false" ht="15" hidden="true" customHeight="false" outlineLevel="0" collapsed="false">
      <c r="B37" s="360" t="s">
        <v>2531</v>
      </c>
      <c r="C37" s="359" t="n">
        <v>1</v>
      </c>
      <c r="D37" s="358" t="n">
        <v>0</v>
      </c>
      <c r="E37" s="358" t="n">
        <v>0</v>
      </c>
      <c r="F37" s="358" t="n">
        <v>0</v>
      </c>
      <c r="G37" s="372" t="n">
        <v>0</v>
      </c>
      <c r="H37" s="373" t="n">
        <v>0</v>
      </c>
      <c r="I37" s="358" t="n">
        <v>0</v>
      </c>
      <c r="J37" s="358" t="n">
        <v>0</v>
      </c>
      <c r="K37" s="372" t="n">
        <v>0</v>
      </c>
      <c r="L37" s="373" t="n">
        <v>0</v>
      </c>
      <c r="M37" s="358" t="n">
        <v>0</v>
      </c>
      <c r="N37" s="358" t="n">
        <v>0</v>
      </c>
      <c r="O37" s="372" t="n">
        <v>0</v>
      </c>
      <c r="P37" s="373" t="n">
        <v>0</v>
      </c>
      <c r="Q37" s="358" t="n">
        <v>0</v>
      </c>
      <c r="R37" s="358" t="n">
        <v>0</v>
      </c>
      <c r="S37" s="372" t="n">
        <v>0</v>
      </c>
      <c r="T37" s="373" t="n">
        <v>0</v>
      </c>
      <c r="U37" s="358" t="n">
        <v>0</v>
      </c>
      <c r="V37" s="358" t="n">
        <v>0</v>
      </c>
      <c r="W37" s="372" t="n">
        <v>0</v>
      </c>
      <c r="X37" s="373" t="n">
        <v>0</v>
      </c>
      <c r="Y37" s="358" t="n">
        <v>0</v>
      </c>
      <c r="Z37" s="358" t="n">
        <v>0</v>
      </c>
      <c r="AA37" s="358" t="n">
        <v>0</v>
      </c>
      <c r="AB37" s="373" t="n">
        <v>0</v>
      </c>
      <c r="AC37" s="358" t="n">
        <v>0</v>
      </c>
      <c r="AD37" s="358" t="n">
        <v>0</v>
      </c>
      <c r="AE37" s="358" t="n">
        <v>0</v>
      </c>
      <c r="AF37" s="359" t="n">
        <v>1</v>
      </c>
    </row>
    <row r="38" customFormat="false" ht="15" hidden="true" customHeight="false" outlineLevel="0" collapsed="false">
      <c r="B38" s="360" t="s">
        <v>2532</v>
      </c>
      <c r="C38" s="359" t="n">
        <v>1</v>
      </c>
      <c r="D38" s="358" t="n">
        <v>0</v>
      </c>
      <c r="E38" s="358" t="n">
        <v>0</v>
      </c>
      <c r="F38" s="358" t="n">
        <v>0</v>
      </c>
      <c r="G38" s="372" t="n">
        <v>0</v>
      </c>
      <c r="H38" s="373" t="n">
        <v>0</v>
      </c>
      <c r="I38" s="358" t="n">
        <v>0</v>
      </c>
      <c r="J38" s="358" t="n">
        <v>0</v>
      </c>
      <c r="K38" s="372" t="n">
        <v>0</v>
      </c>
      <c r="L38" s="373" t="n">
        <v>0</v>
      </c>
      <c r="M38" s="358" t="n">
        <v>0</v>
      </c>
      <c r="N38" s="358" t="n">
        <v>0</v>
      </c>
      <c r="O38" s="372" t="n">
        <v>0</v>
      </c>
      <c r="P38" s="373" t="n">
        <v>0</v>
      </c>
      <c r="Q38" s="358" t="n">
        <v>0</v>
      </c>
      <c r="R38" s="358" t="n">
        <v>0</v>
      </c>
      <c r="S38" s="372" t="n">
        <v>0</v>
      </c>
      <c r="T38" s="373" t="n">
        <v>0</v>
      </c>
      <c r="U38" s="358" t="n">
        <v>0</v>
      </c>
      <c r="V38" s="358" t="n">
        <v>0</v>
      </c>
      <c r="W38" s="372" t="n">
        <v>0</v>
      </c>
      <c r="X38" s="373" t="n">
        <v>0</v>
      </c>
      <c r="Y38" s="358" t="n">
        <v>0</v>
      </c>
      <c r="Z38" s="358" t="n">
        <v>0</v>
      </c>
      <c r="AA38" s="358" t="n">
        <v>0</v>
      </c>
      <c r="AB38" s="373" t="n">
        <v>0</v>
      </c>
      <c r="AC38" s="358" t="n">
        <v>0</v>
      </c>
      <c r="AD38" s="358" t="n">
        <v>0</v>
      </c>
      <c r="AE38" s="358" t="n">
        <v>0</v>
      </c>
      <c r="AF38" s="359" t="n">
        <v>1</v>
      </c>
    </row>
    <row r="39" customFormat="false" ht="15" hidden="true" customHeight="false" outlineLevel="0" collapsed="false">
      <c r="B39" s="360" t="s">
        <v>2533</v>
      </c>
      <c r="C39" s="359" t="n">
        <v>1</v>
      </c>
      <c r="D39" s="358" t="n">
        <v>0</v>
      </c>
      <c r="E39" s="358" t="n">
        <v>0</v>
      </c>
      <c r="F39" s="358" t="n">
        <v>0</v>
      </c>
      <c r="G39" s="372" t="n">
        <v>0</v>
      </c>
      <c r="H39" s="373" t="n">
        <v>0</v>
      </c>
      <c r="I39" s="358" t="n">
        <v>0</v>
      </c>
      <c r="J39" s="358" t="n">
        <v>0</v>
      </c>
      <c r="K39" s="372" t="n">
        <v>0</v>
      </c>
      <c r="L39" s="373" t="n">
        <v>0</v>
      </c>
      <c r="M39" s="358" t="n">
        <v>0</v>
      </c>
      <c r="N39" s="358" t="n">
        <v>0</v>
      </c>
      <c r="O39" s="372" t="n">
        <v>0</v>
      </c>
      <c r="P39" s="373" t="n">
        <v>0</v>
      </c>
      <c r="Q39" s="358" t="n">
        <v>0</v>
      </c>
      <c r="R39" s="358" t="n">
        <v>0</v>
      </c>
      <c r="S39" s="372" t="n">
        <v>0</v>
      </c>
      <c r="T39" s="373" t="n">
        <v>0</v>
      </c>
      <c r="U39" s="358" t="n">
        <v>0</v>
      </c>
      <c r="V39" s="358" t="n">
        <v>0</v>
      </c>
      <c r="W39" s="372" t="n">
        <v>0</v>
      </c>
      <c r="X39" s="373" t="n">
        <v>0</v>
      </c>
      <c r="Y39" s="358" t="n">
        <v>0</v>
      </c>
      <c r="Z39" s="358" t="n">
        <v>0</v>
      </c>
      <c r="AA39" s="358" t="n">
        <v>0</v>
      </c>
      <c r="AB39" s="373" t="n">
        <v>0</v>
      </c>
      <c r="AC39" s="358" t="n">
        <v>0</v>
      </c>
      <c r="AD39" s="358" t="n">
        <v>0</v>
      </c>
      <c r="AE39" s="358" t="n">
        <v>0</v>
      </c>
      <c r="AF39" s="359" t="n">
        <v>1</v>
      </c>
    </row>
    <row r="40" customFormat="false" ht="15" hidden="true" customHeight="false" outlineLevel="0" collapsed="false">
      <c r="B40" s="360" t="s">
        <v>2534</v>
      </c>
      <c r="C40" s="359" t="n">
        <v>1</v>
      </c>
      <c r="D40" s="358" t="n">
        <v>0</v>
      </c>
      <c r="E40" s="358" t="n">
        <v>0</v>
      </c>
      <c r="F40" s="358" t="n">
        <v>0</v>
      </c>
      <c r="G40" s="372" t="n">
        <v>0</v>
      </c>
      <c r="H40" s="373" t="n">
        <v>0</v>
      </c>
      <c r="I40" s="358" t="n">
        <v>0</v>
      </c>
      <c r="J40" s="358" t="n">
        <v>0</v>
      </c>
      <c r="K40" s="372" t="n">
        <v>0</v>
      </c>
      <c r="L40" s="373" t="n">
        <v>0</v>
      </c>
      <c r="M40" s="358" t="n">
        <v>0</v>
      </c>
      <c r="N40" s="358" t="n">
        <v>0</v>
      </c>
      <c r="O40" s="372" t="n">
        <v>0</v>
      </c>
      <c r="P40" s="373" t="n">
        <v>0</v>
      </c>
      <c r="Q40" s="358" t="n">
        <v>0</v>
      </c>
      <c r="R40" s="358" t="n">
        <v>0</v>
      </c>
      <c r="S40" s="372" t="n">
        <v>0</v>
      </c>
      <c r="T40" s="373" t="n">
        <v>0</v>
      </c>
      <c r="U40" s="358" t="n">
        <v>0</v>
      </c>
      <c r="V40" s="358" t="n">
        <v>0</v>
      </c>
      <c r="W40" s="372" t="n">
        <v>0</v>
      </c>
      <c r="X40" s="373" t="n">
        <v>0</v>
      </c>
      <c r="Y40" s="358" t="n">
        <v>0</v>
      </c>
      <c r="Z40" s="358" t="n">
        <v>0</v>
      </c>
      <c r="AA40" s="358" t="n">
        <v>0</v>
      </c>
      <c r="AB40" s="373" t="n">
        <v>0</v>
      </c>
      <c r="AC40" s="358" t="n">
        <v>0</v>
      </c>
      <c r="AD40" s="358" t="n">
        <v>0</v>
      </c>
      <c r="AE40" s="358" t="n">
        <v>0</v>
      </c>
      <c r="AF40" s="359" t="n">
        <v>1</v>
      </c>
    </row>
    <row r="41" customFormat="false" ht="15" hidden="true" customHeight="false" outlineLevel="0" collapsed="false">
      <c r="B41" s="360" t="s">
        <v>2535</v>
      </c>
      <c r="C41" s="359" t="n">
        <v>1</v>
      </c>
      <c r="D41" s="358" t="n">
        <v>0</v>
      </c>
      <c r="E41" s="358" t="n">
        <v>0</v>
      </c>
      <c r="F41" s="358" t="n">
        <v>0</v>
      </c>
      <c r="G41" s="372" t="n">
        <v>0</v>
      </c>
      <c r="H41" s="373" t="n">
        <v>0</v>
      </c>
      <c r="I41" s="358" t="n">
        <v>0</v>
      </c>
      <c r="J41" s="358" t="n">
        <v>0</v>
      </c>
      <c r="K41" s="372" t="n">
        <v>0</v>
      </c>
      <c r="L41" s="373" t="n">
        <v>0</v>
      </c>
      <c r="M41" s="358" t="n">
        <v>0</v>
      </c>
      <c r="N41" s="358" t="n">
        <v>0</v>
      </c>
      <c r="O41" s="372" t="n">
        <v>0</v>
      </c>
      <c r="P41" s="373" t="n">
        <v>0</v>
      </c>
      <c r="Q41" s="358" t="n">
        <v>0</v>
      </c>
      <c r="R41" s="358" t="n">
        <v>0</v>
      </c>
      <c r="S41" s="372" t="n">
        <v>0</v>
      </c>
      <c r="T41" s="373" t="n">
        <v>0</v>
      </c>
      <c r="U41" s="358" t="n">
        <v>0</v>
      </c>
      <c r="V41" s="358" t="n">
        <v>0</v>
      </c>
      <c r="W41" s="372" t="n">
        <v>0</v>
      </c>
      <c r="X41" s="373" t="n">
        <v>0</v>
      </c>
      <c r="Y41" s="358" t="n">
        <v>0</v>
      </c>
      <c r="Z41" s="358" t="n">
        <v>0</v>
      </c>
      <c r="AA41" s="358" t="n">
        <v>0</v>
      </c>
      <c r="AB41" s="373" t="n">
        <v>0</v>
      </c>
      <c r="AC41" s="358" t="n">
        <v>0</v>
      </c>
      <c r="AD41" s="358" t="n">
        <v>0</v>
      </c>
      <c r="AE41" s="358" t="n">
        <v>0</v>
      </c>
      <c r="AF41" s="359" t="n">
        <v>1</v>
      </c>
    </row>
    <row r="42" customFormat="false" ht="15" hidden="true" customHeight="false" outlineLevel="0" collapsed="false">
      <c r="B42" s="360" t="s">
        <v>2536</v>
      </c>
      <c r="C42" s="359" t="n">
        <v>1</v>
      </c>
      <c r="D42" s="358" t="n">
        <v>0</v>
      </c>
      <c r="E42" s="358" t="n">
        <v>0</v>
      </c>
      <c r="F42" s="358" t="n">
        <v>0</v>
      </c>
      <c r="G42" s="372" t="n">
        <v>0</v>
      </c>
      <c r="H42" s="373" t="n">
        <v>0</v>
      </c>
      <c r="I42" s="358" t="n">
        <v>0</v>
      </c>
      <c r="J42" s="358" t="n">
        <v>0</v>
      </c>
      <c r="K42" s="372" t="n">
        <v>0</v>
      </c>
      <c r="L42" s="373" t="n">
        <v>0</v>
      </c>
      <c r="M42" s="358" t="n">
        <v>0</v>
      </c>
      <c r="N42" s="358" t="n">
        <v>0</v>
      </c>
      <c r="O42" s="372" t="n">
        <v>0</v>
      </c>
      <c r="P42" s="373" t="n">
        <v>0</v>
      </c>
      <c r="Q42" s="358" t="n">
        <v>0</v>
      </c>
      <c r="R42" s="358" t="n">
        <v>0</v>
      </c>
      <c r="S42" s="372" t="n">
        <v>0</v>
      </c>
      <c r="T42" s="373" t="n">
        <v>0</v>
      </c>
      <c r="U42" s="358" t="n">
        <v>0</v>
      </c>
      <c r="V42" s="358" t="n">
        <v>0</v>
      </c>
      <c r="W42" s="372" t="n">
        <v>0</v>
      </c>
      <c r="X42" s="373" t="n">
        <v>0</v>
      </c>
      <c r="Y42" s="358" t="n">
        <v>0</v>
      </c>
      <c r="Z42" s="358" t="n">
        <v>0</v>
      </c>
      <c r="AA42" s="358" t="n">
        <v>0</v>
      </c>
      <c r="AB42" s="373" t="n">
        <v>0</v>
      </c>
      <c r="AC42" s="358" t="n">
        <v>0</v>
      </c>
      <c r="AD42" s="358" t="n">
        <v>0</v>
      </c>
      <c r="AE42" s="358" t="n">
        <v>0</v>
      </c>
      <c r="AF42" s="359" t="n">
        <v>1</v>
      </c>
    </row>
    <row r="43" customFormat="false" ht="15" hidden="true" customHeight="false" outlineLevel="0" collapsed="false">
      <c r="B43" s="360" t="s">
        <v>2537</v>
      </c>
      <c r="C43" s="359" t="n">
        <v>1</v>
      </c>
      <c r="D43" s="358" t="n">
        <v>0</v>
      </c>
      <c r="E43" s="358" t="n">
        <v>0</v>
      </c>
      <c r="F43" s="358" t="n">
        <v>0</v>
      </c>
      <c r="G43" s="372" t="n">
        <v>0</v>
      </c>
      <c r="H43" s="373" t="n">
        <v>0</v>
      </c>
      <c r="I43" s="358" t="n">
        <v>0</v>
      </c>
      <c r="J43" s="358" t="n">
        <v>0</v>
      </c>
      <c r="K43" s="372" t="n">
        <v>0</v>
      </c>
      <c r="L43" s="373" t="n">
        <v>0</v>
      </c>
      <c r="M43" s="358" t="n">
        <v>0</v>
      </c>
      <c r="N43" s="358" t="n">
        <v>0</v>
      </c>
      <c r="O43" s="372" t="n">
        <v>0</v>
      </c>
      <c r="P43" s="373" t="n">
        <v>0</v>
      </c>
      <c r="Q43" s="358" t="n">
        <v>0</v>
      </c>
      <c r="R43" s="358" t="n">
        <v>0</v>
      </c>
      <c r="S43" s="372" t="n">
        <v>0</v>
      </c>
      <c r="T43" s="373" t="n">
        <v>0</v>
      </c>
      <c r="U43" s="358" t="n">
        <v>0</v>
      </c>
      <c r="V43" s="358" t="n">
        <v>0</v>
      </c>
      <c r="W43" s="372" t="n">
        <v>0</v>
      </c>
      <c r="X43" s="373" t="n">
        <v>0</v>
      </c>
      <c r="Y43" s="358" t="n">
        <v>0</v>
      </c>
      <c r="Z43" s="358" t="n">
        <v>0</v>
      </c>
      <c r="AA43" s="358" t="n">
        <v>0</v>
      </c>
      <c r="AB43" s="373" t="n">
        <v>0</v>
      </c>
      <c r="AC43" s="358" t="n">
        <v>0</v>
      </c>
      <c r="AD43" s="358" t="n">
        <v>0</v>
      </c>
      <c r="AE43" s="358" t="n">
        <v>0</v>
      </c>
      <c r="AF43" s="359" t="n">
        <v>1</v>
      </c>
    </row>
    <row r="44" customFormat="false" ht="15" hidden="true" customHeight="false" outlineLevel="0" collapsed="false">
      <c r="B44" s="360" t="s">
        <v>2538</v>
      </c>
      <c r="C44" s="359" t="n">
        <v>1</v>
      </c>
      <c r="D44" s="358" t="n">
        <v>0</v>
      </c>
      <c r="E44" s="358" t="n">
        <v>0</v>
      </c>
      <c r="F44" s="358" t="n">
        <v>0</v>
      </c>
      <c r="G44" s="372" t="n">
        <v>0</v>
      </c>
      <c r="H44" s="373" t="n">
        <v>0</v>
      </c>
      <c r="I44" s="358" t="n">
        <v>0</v>
      </c>
      <c r="J44" s="358" t="n">
        <v>0</v>
      </c>
      <c r="K44" s="372" t="n">
        <v>0</v>
      </c>
      <c r="L44" s="373" t="n">
        <v>0</v>
      </c>
      <c r="M44" s="358" t="n">
        <v>0</v>
      </c>
      <c r="N44" s="358" t="n">
        <v>0</v>
      </c>
      <c r="O44" s="372" t="n">
        <v>0</v>
      </c>
      <c r="P44" s="373" t="n">
        <v>0</v>
      </c>
      <c r="Q44" s="358" t="n">
        <v>0</v>
      </c>
      <c r="R44" s="358" t="n">
        <v>0</v>
      </c>
      <c r="S44" s="372" t="n">
        <v>0</v>
      </c>
      <c r="T44" s="373" t="n">
        <v>0</v>
      </c>
      <c r="U44" s="358" t="n">
        <v>0</v>
      </c>
      <c r="V44" s="358" t="n">
        <v>0</v>
      </c>
      <c r="W44" s="372" t="n">
        <v>0</v>
      </c>
      <c r="X44" s="373" t="n">
        <v>0</v>
      </c>
      <c r="Y44" s="358" t="n">
        <v>0</v>
      </c>
      <c r="Z44" s="358" t="n">
        <v>0</v>
      </c>
      <c r="AA44" s="358" t="n">
        <v>0</v>
      </c>
      <c r="AB44" s="373" t="n">
        <v>0</v>
      </c>
      <c r="AC44" s="358" t="n">
        <v>0</v>
      </c>
      <c r="AD44" s="358" t="n">
        <v>0</v>
      </c>
      <c r="AE44" s="358" t="n">
        <v>0</v>
      </c>
      <c r="AF44" s="359" t="n">
        <v>1</v>
      </c>
    </row>
    <row r="45" customFormat="false" ht="15" hidden="false" customHeight="false" outlineLevel="0" collapsed="false">
      <c r="B45" s="310" t="s">
        <v>1411</v>
      </c>
      <c r="C45" s="359" t="n">
        <v>41</v>
      </c>
      <c r="D45" s="358" t="n">
        <v>0</v>
      </c>
      <c r="E45" s="358" t="n">
        <v>0</v>
      </c>
      <c r="F45" s="358" t="n">
        <v>0</v>
      </c>
      <c r="G45" s="372" t="n">
        <v>0</v>
      </c>
      <c r="H45" s="373" t="n">
        <v>0</v>
      </c>
      <c r="I45" s="358" t="n">
        <v>-1</v>
      </c>
      <c r="J45" s="358" t="n">
        <v>0</v>
      </c>
      <c r="K45" s="372" t="n">
        <v>0</v>
      </c>
      <c r="L45" s="373" t="n">
        <v>0</v>
      </c>
      <c r="M45" s="358" t="n">
        <v>0</v>
      </c>
      <c r="N45" s="358" t="n">
        <v>0</v>
      </c>
      <c r="O45" s="372" t="n">
        <v>0</v>
      </c>
      <c r="P45" s="373" t="n">
        <v>0</v>
      </c>
      <c r="Q45" s="358" t="n">
        <v>0</v>
      </c>
      <c r="R45" s="358" t="n">
        <v>0</v>
      </c>
      <c r="S45" s="372" t="n">
        <v>0</v>
      </c>
      <c r="T45" s="373" t="n">
        <v>0</v>
      </c>
      <c r="U45" s="358" t="n">
        <v>0</v>
      </c>
      <c r="V45" s="358" t="n">
        <v>0</v>
      </c>
      <c r="W45" s="372" t="n">
        <v>0</v>
      </c>
      <c r="X45" s="373" t="n">
        <v>0</v>
      </c>
      <c r="Y45" s="358" t="n">
        <v>0</v>
      </c>
      <c r="Z45" s="358" t="n">
        <v>0</v>
      </c>
      <c r="AA45" s="358" t="n">
        <v>0</v>
      </c>
      <c r="AB45" s="373" t="n">
        <v>0</v>
      </c>
      <c r="AC45" s="358" t="n">
        <v>-1</v>
      </c>
      <c r="AD45" s="358" t="n">
        <v>0</v>
      </c>
      <c r="AE45" s="358" t="n">
        <v>0</v>
      </c>
      <c r="AF45" s="359" t="n">
        <v>40</v>
      </c>
    </row>
    <row r="46" customFormat="false" ht="15" hidden="true" customHeight="false" outlineLevel="0" collapsed="false">
      <c r="B46" s="360" t="s">
        <v>2539</v>
      </c>
      <c r="C46" s="359" t="n">
        <v>1</v>
      </c>
      <c r="D46" s="358" t="n">
        <v>0</v>
      </c>
      <c r="E46" s="358" t="n">
        <v>0</v>
      </c>
      <c r="F46" s="358" t="n">
        <v>0</v>
      </c>
      <c r="G46" s="372" t="n">
        <v>0</v>
      </c>
      <c r="H46" s="373" t="n">
        <v>0</v>
      </c>
      <c r="I46" s="358" t="n">
        <v>0</v>
      </c>
      <c r="J46" s="358" t="n">
        <v>0</v>
      </c>
      <c r="K46" s="372" t="n">
        <v>0</v>
      </c>
      <c r="L46" s="373" t="n">
        <v>0</v>
      </c>
      <c r="M46" s="358" t="n">
        <v>0</v>
      </c>
      <c r="N46" s="358" t="n">
        <v>0</v>
      </c>
      <c r="O46" s="372" t="n">
        <v>0</v>
      </c>
      <c r="P46" s="373" t="n">
        <v>0</v>
      </c>
      <c r="Q46" s="358" t="n">
        <v>0</v>
      </c>
      <c r="R46" s="358" t="n">
        <v>0</v>
      </c>
      <c r="S46" s="372" t="n">
        <v>0</v>
      </c>
      <c r="T46" s="373" t="n">
        <v>0</v>
      </c>
      <c r="U46" s="358" t="n">
        <v>0</v>
      </c>
      <c r="V46" s="358" t="n">
        <v>0</v>
      </c>
      <c r="W46" s="372" t="n">
        <v>0</v>
      </c>
      <c r="X46" s="373" t="n">
        <v>0</v>
      </c>
      <c r="Y46" s="358" t="n">
        <v>0</v>
      </c>
      <c r="Z46" s="358" t="n">
        <v>0</v>
      </c>
      <c r="AA46" s="358" t="n">
        <v>0</v>
      </c>
      <c r="AB46" s="373" t="n">
        <v>0</v>
      </c>
      <c r="AC46" s="358" t="n">
        <v>0</v>
      </c>
      <c r="AD46" s="358" t="n">
        <v>0</v>
      </c>
      <c r="AE46" s="358" t="n">
        <v>0</v>
      </c>
      <c r="AF46" s="359" t="n">
        <v>1</v>
      </c>
    </row>
    <row r="47" customFormat="false" ht="15" hidden="true" customHeight="false" outlineLevel="0" collapsed="false">
      <c r="B47" s="360" t="s">
        <v>2540</v>
      </c>
      <c r="C47" s="359" t="n">
        <v>1</v>
      </c>
      <c r="D47" s="358" t="n">
        <v>0</v>
      </c>
      <c r="E47" s="358" t="n">
        <v>0</v>
      </c>
      <c r="F47" s="358" t="n">
        <v>0</v>
      </c>
      <c r="G47" s="372" t="n">
        <v>0</v>
      </c>
      <c r="H47" s="373" t="n">
        <v>0</v>
      </c>
      <c r="I47" s="358" t="n">
        <v>0</v>
      </c>
      <c r="J47" s="358" t="n">
        <v>0</v>
      </c>
      <c r="K47" s="372" t="n">
        <v>0</v>
      </c>
      <c r="L47" s="373" t="n">
        <v>0</v>
      </c>
      <c r="M47" s="358" t="n">
        <v>0</v>
      </c>
      <c r="N47" s="358" t="n">
        <v>0</v>
      </c>
      <c r="O47" s="372" t="n">
        <v>0</v>
      </c>
      <c r="P47" s="373" t="n">
        <v>0</v>
      </c>
      <c r="Q47" s="358" t="n">
        <v>0</v>
      </c>
      <c r="R47" s="358" t="n">
        <v>0</v>
      </c>
      <c r="S47" s="372" t="n">
        <v>0</v>
      </c>
      <c r="T47" s="373" t="n">
        <v>0</v>
      </c>
      <c r="U47" s="358" t="n">
        <v>0</v>
      </c>
      <c r="V47" s="358" t="n">
        <v>0</v>
      </c>
      <c r="W47" s="372" t="n">
        <v>0</v>
      </c>
      <c r="X47" s="373" t="n">
        <v>0</v>
      </c>
      <c r="Y47" s="358" t="n">
        <v>0</v>
      </c>
      <c r="Z47" s="358" t="n">
        <v>0</v>
      </c>
      <c r="AA47" s="358" t="n">
        <v>0</v>
      </c>
      <c r="AB47" s="373" t="n">
        <v>0</v>
      </c>
      <c r="AC47" s="358" t="n">
        <v>0</v>
      </c>
      <c r="AD47" s="358" t="n">
        <v>0</v>
      </c>
      <c r="AE47" s="358" t="n">
        <v>0</v>
      </c>
      <c r="AF47" s="359" t="n">
        <v>1</v>
      </c>
    </row>
    <row r="48" customFormat="false" ht="15" hidden="true" customHeight="false" outlineLevel="0" collapsed="false">
      <c r="B48" s="360" t="s">
        <v>2541</v>
      </c>
      <c r="C48" s="359" t="n">
        <v>1</v>
      </c>
      <c r="D48" s="358" t="n">
        <v>0</v>
      </c>
      <c r="E48" s="358" t="n">
        <v>0</v>
      </c>
      <c r="F48" s="358" t="n">
        <v>0</v>
      </c>
      <c r="G48" s="372" t="n">
        <v>0</v>
      </c>
      <c r="H48" s="373" t="n">
        <v>0</v>
      </c>
      <c r="I48" s="358" t="n">
        <v>0</v>
      </c>
      <c r="J48" s="358" t="n">
        <v>0</v>
      </c>
      <c r="K48" s="372" t="n">
        <v>0</v>
      </c>
      <c r="L48" s="373" t="n">
        <v>0</v>
      </c>
      <c r="M48" s="358" t="n">
        <v>0</v>
      </c>
      <c r="N48" s="358" t="n">
        <v>0</v>
      </c>
      <c r="O48" s="372" t="n">
        <v>0</v>
      </c>
      <c r="P48" s="373" t="n">
        <v>0</v>
      </c>
      <c r="Q48" s="358" t="n">
        <v>0</v>
      </c>
      <c r="R48" s="358" t="n">
        <v>0</v>
      </c>
      <c r="S48" s="372" t="n">
        <v>0</v>
      </c>
      <c r="T48" s="373" t="n">
        <v>0</v>
      </c>
      <c r="U48" s="358" t="n">
        <v>0</v>
      </c>
      <c r="V48" s="358" t="n">
        <v>0</v>
      </c>
      <c r="W48" s="372" t="n">
        <v>0</v>
      </c>
      <c r="X48" s="373" t="n">
        <v>0</v>
      </c>
      <c r="Y48" s="358" t="n">
        <v>0</v>
      </c>
      <c r="Z48" s="358" t="n">
        <v>0</v>
      </c>
      <c r="AA48" s="358" t="n">
        <v>0</v>
      </c>
      <c r="AB48" s="373" t="n">
        <v>0</v>
      </c>
      <c r="AC48" s="358" t="n">
        <v>0</v>
      </c>
      <c r="AD48" s="358" t="n">
        <v>0</v>
      </c>
      <c r="AE48" s="358" t="n">
        <v>0</v>
      </c>
      <c r="AF48" s="359" t="n">
        <v>1</v>
      </c>
    </row>
    <row r="49" customFormat="false" ht="15" hidden="true" customHeight="false" outlineLevel="0" collapsed="false">
      <c r="B49" s="360" t="s">
        <v>2542</v>
      </c>
      <c r="C49" s="359" t="n">
        <v>1</v>
      </c>
      <c r="D49" s="358" t="n">
        <v>0</v>
      </c>
      <c r="E49" s="358" t="n">
        <v>0</v>
      </c>
      <c r="F49" s="358" t="n">
        <v>0</v>
      </c>
      <c r="G49" s="372" t="n">
        <v>0</v>
      </c>
      <c r="H49" s="373" t="n">
        <v>0</v>
      </c>
      <c r="I49" s="358" t="n">
        <v>0</v>
      </c>
      <c r="J49" s="358" t="n">
        <v>0</v>
      </c>
      <c r="K49" s="372" t="n">
        <v>0</v>
      </c>
      <c r="L49" s="373" t="n">
        <v>0</v>
      </c>
      <c r="M49" s="358" t="n">
        <v>0</v>
      </c>
      <c r="N49" s="358" t="n">
        <v>0</v>
      </c>
      <c r="O49" s="372" t="n">
        <v>0</v>
      </c>
      <c r="P49" s="373" t="n">
        <v>0</v>
      </c>
      <c r="Q49" s="358" t="n">
        <v>0</v>
      </c>
      <c r="R49" s="358" t="n">
        <v>0</v>
      </c>
      <c r="S49" s="372" t="n">
        <v>0</v>
      </c>
      <c r="T49" s="373" t="n">
        <v>0</v>
      </c>
      <c r="U49" s="358" t="n">
        <v>0</v>
      </c>
      <c r="V49" s="358" t="n">
        <v>0</v>
      </c>
      <c r="W49" s="372" t="n">
        <v>0</v>
      </c>
      <c r="X49" s="373" t="n">
        <v>0</v>
      </c>
      <c r="Y49" s="358" t="n">
        <v>0</v>
      </c>
      <c r="Z49" s="358" t="n">
        <v>0</v>
      </c>
      <c r="AA49" s="358" t="n">
        <v>0</v>
      </c>
      <c r="AB49" s="373" t="n">
        <v>0</v>
      </c>
      <c r="AC49" s="358" t="n">
        <v>0</v>
      </c>
      <c r="AD49" s="358" t="n">
        <v>0</v>
      </c>
      <c r="AE49" s="358" t="n">
        <v>0</v>
      </c>
      <c r="AF49" s="359" t="n">
        <v>1</v>
      </c>
    </row>
    <row r="50" customFormat="false" ht="15" hidden="true" customHeight="false" outlineLevel="0" collapsed="false">
      <c r="B50" s="360" t="s">
        <v>2543</v>
      </c>
      <c r="C50" s="359" t="n">
        <v>1</v>
      </c>
      <c r="D50" s="358" t="n">
        <v>0</v>
      </c>
      <c r="E50" s="358" t="n">
        <v>0</v>
      </c>
      <c r="F50" s="358" t="n">
        <v>0</v>
      </c>
      <c r="G50" s="372" t="n">
        <v>0</v>
      </c>
      <c r="H50" s="373" t="n">
        <v>0</v>
      </c>
      <c r="I50" s="358" t="n">
        <v>0</v>
      </c>
      <c r="J50" s="358" t="n">
        <v>0</v>
      </c>
      <c r="K50" s="372" t="n">
        <v>0</v>
      </c>
      <c r="L50" s="373" t="n">
        <v>0</v>
      </c>
      <c r="M50" s="358" t="n">
        <v>0</v>
      </c>
      <c r="N50" s="358" t="n">
        <v>0</v>
      </c>
      <c r="O50" s="372" t="n">
        <v>0</v>
      </c>
      <c r="P50" s="373" t="n">
        <v>0</v>
      </c>
      <c r="Q50" s="358" t="n">
        <v>0</v>
      </c>
      <c r="R50" s="358" t="n">
        <v>0</v>
      </c>
      <c r="S50" s="372" t="n">
        <v>0</v>
      </c>
      <c r="T50" s="373" t="n">
        <v>0</v>
      </c>
      <c r="U50" s="358" t="n">
        <v>0</v>
      </c>
      <c r="V50" s="358" t="n">
        <v>0</v>
      </c>
      <c r="W50" s="372" t="n">
        <v>0</v>
      </c>
      <c r="X50" s="373" t="n">
        <v>0</v>
      </c>
      <c r="Y50" s="358" t="n">
        <v>0</v>
      </c>
      <c r="Z50" s="358" t="n">
        <v>0</v>
      </c>
      <c r="AA50" s="358" t="n">
        <v>0</v>
      </c>
      <c r="AB50" s="373" t="n">
        <v>0</v>
      </c>
      <c r="AC50" s="358" t="n">
        <v>0</v>
      </c>
      <c r="AD50" s="358" t="n">
        <v>0</v>
      </c>
      <c r="AE50" s="358" t="n">
        <v>0</v>
      </c>
      <c r="AF50" s="359" t="n">
        <v>1</v>
      </c>
    </row>
    <row r="51" customFormat="false" ht="15" hidden="true" customHeight="false" outlineLevel="0" collapsed="false">
      <c r="B51" s="360" t="s">
        <v>2544</v>
      </c>
      <c r="C51" s="359" t="n">
        <v>1</v>
      </c>
      <c r="D51" s="358" t="n">
        <v>0</v>
      </c>
      <c r="E51" s="358" t="n">
        <v>0</v>
      </c>
      <c r="F51" s="358" t="n">
        <v>0</v>
      </c>
      <c r="G51" s="372" t="n">
        <v>0</v>
      </c>
      <c r="H51" s="373" t="n">
        <v>0</v>
      </c>
      <c r="I51" s="358" t="n">
        <v>0</v>
      </c>
      <c r="J51" s="358" t="n">
        <v>0</v>
      </c>
      <c r="K51" s="372" t="n">
        <v>0</v>
      </c>
      <c r="L51" s="373" t="n">
        <v>0</v>
      </c>
      <c r="M51" s="358" t="n">
        <v>0</v>
      </c>
      <c r="N51" s="358" t="n">
        <v>0</v>
      </c>
      <c r="O51" s="372" t="n">
        <v>0</v>
      </c>
      <c r="P51" s="373" t="n">
        <v>0</v>
      </c>
      <c r="Q51" s="358" t="n">
        <v>0</v>
      </c>
      <c r="R51" s="358" t="n">
        <v>0</v>
      </c>
      <c r="S51" s="372" t="n">
        <v>0</v>
      </c>
      <c r="T51" s="373" t="n">
        <v>0</v>
      </c>
      <c r="U51" s="358" t="n">
        <v>0</v>
      </c>
      <c r="V51" s="358" t="n">
        <v>0</v>
      </c>
      <c r="W51" s="372" t="n">
        <v>0</v>
      </c>
      <c r="X51" s="373" t="n">
        <v>0</v>
      </c>
      <c r="Y51" s="358" t="n">
        <v>0</v>
      </c>
      <c r="Z51" s="358" t="n">
        <v>0</v>
      </c>
      <c r="AA51" s="358" t="n">
        <v>0</v>
      </c>
      <c r="AB51" s="373" t="n">
        <v>0</v>
      </c>
      <c r="AC51" s="358" t="n">
        <v>0</v>
      </c>
      <c r="AD51" s="358" t="n">
        <v>0</v>
      </c>
      <c r="AE51" s="358" t="n">
        <v>0</v>
      </c>
      <c r="AF51" s="359" t="n">
        <v>1</v>
      </c>
    </row>
    <row r="52" customFormat="false" ht="15" hidden="true" customHeight="false" outlineLevel="0" collapsed="false">
      <c r="B52" s="360" t="s">
        <v>2545</v>
      </c>
      <c r="C52" s="359" t="n">
        <v>1</v>
      </c>
      <c r="D52" s="358" t="n">
        <v>0</v>
      </c>
      <c r="E52" s="358" t="n">
        <v>0</v>
      </c>
      <c r="F52" s="358" t="n">
        <v>0</v>
      </c>
      <c r="G52" s="372" t="n">
        <v>0</v>
      </c>
      <c r="H52" s="373" t="n">
        <v>0</v>
      </c>
      <c r="I52" s="358" t="n">
        <v>0</v>
      </c>
      <c r="J52" s="358" t="n">
        <v>0</v>
      </c>
      <c r="K52" s="372" t="n">
        <v>0</v>
      </c>
      <c r="L52" s="373" t="n">
        <v>0</v>
      </c>
      <c r="M52" s="358" t="n">
        <v>0</v>
      </c>
      <c r="N52" s="358" t="n">
        <v>0</v>
      </c>
      <c r="O52" s="372" t="n">
        <v>0</v>
      </c>
      <c r="P52" s="373" t="n">
        <v>0</v>
      </c>
      <c r="Q52" s="358" t="n">
        <v>0</v>
      </c>
      <c r="R52" s="358" t="n">
        <v>0</v>
      </c>
      <c r="S52" s="372" t="n">
        <v>0</v>
      </c>
      <c r="T52" s="373" t="n">
        <v>0</v>
      </c>
      <c r="U52" s="358" t="n">
        <v>0</v>
      </c>
      <c r="V52" s="358" t="n">
        <v>0</v>
      </c>
      <c r="W52" s="372" t="n">
        <v>0</v>
      </c>
      <c r="X52" s="373" t="n">
        <v>0</v>
      </c>
      <c r="Y52" s="358" t="n">
        <v>0</v>
      </c>
      <c r="Z52" s="358" t="n">
        <v>0</v>
      </c>
      <c r="AA52" s="358" t="n">
        <v>0</v>
      </c>
      <c r="AB52" s="373" t="n">
        <v>0</v>
      </c>
      <c r="AC52" s="358" t="n">
        <v>0</v>
      </c>
      <c r="AD52" s="358" t="n">
        <v>0</v>
      </c>
      <c r="AE52" s="358" t="n">
        <v>0</v>
      </c>
      <c r="AF52" s="359" t="n">
        <v>1</v>
      </c>
    </row>
    <row r="53" customFormat="false" ht="15" hidden="true" customHeight="false" outlineLevel="0" collapsed="false">
      <c r="B53" s="360" t="s">
        <v>2546</v>
      </c>
      <c r="C53" s="359" t="n">
        <v>1</v>
      </c>
      <c r="D53" s="358" t="n">
        <v>0</v>
      </c>
      <c r="E53" s="358" t="n">
        <v>0</v>
      </c>
      <c r="F53" s="358" t="n">
        <v>0</v>
      </c>
      <c r="G53" s="372" t="n">
        <v>0</v>
      </c>
      <c r="H53" s="373" t="n">
        <v>0</v>
      </c>
      <c r="I53" s="358" t="n">
        <v>0</v>
      </c>
      <c r="J53" s="358" t="n">
        <v>0</v>
      </c>
      <c r="K53" s="372" t="n">
        <v>0</v>
      </c>
      <c r="L53" s="373" t="n">
        <v>0</v>
      </c>
      <c r="M53" s="358" t="n">
        <v>0</v>
      </c>
      <c r="N53" s="358" t="n">
        <v>0</v>
      </c>
      <c r="O53" s="372" t="n">
        <v>0</v>
      </c>
      <c r="P53" s="373" t="n">
        <v>0</v>
      </c>
      <c r="Q53" s="358" t="n">
        <v>0</v>
      </c>
      <c r="R53" s="358" t="n">
        <v>0</v>
      </c>
      <c r="S53" s="372" t="n">
        <v>0</v>
      </c>
      <c r="T53" s="373" t="n">
        <v>0</v>
      </c>
      <c r="U53" s="358" t="n">
        <v>0</v>
      </c>
      <c r="V53" s="358" t="n">
        <v>0</v>
      </c>
      <c r="W53" s="372" t="n">
        <v>0</v>
      </c>
      <c r="X53" s="373" t="n">
        <v>0</v>
      </c>
      <c r="Y53" s="358" t="n">
        <v>0</v>
      </c>
      <c r="Z53" s="358" t="n">
        <v>0</v>
      </c>
      <c r="AA53" s="358" t="n">
        <v>0</v>
      </c>
      <c r="AB53" s="373" t="n">
        <v>0</v>
      </c>
      <c r="AC53" s="358" t="n">
        <v>0</v>
      </c>
      <c r="AD53" s="358" t="n">
        <v>0</v>
      </c>
      <c r="AE53" s="358" t="n">
        <v>0</v>
      </c>
      <c r="AF53" s="359" t="n">
        <v>1</v>
      </c>
    </row>
    <row r="54" customFormat="false" ht="15" hidden="true" customHeight="false" outlineLevel="0" collapsed="false">
      <c r="B54" s="360" t="s">
        <v>2547</v>
      </c>
      <c r="C54" s="359" t="n">
        <v>1</v>
      </c>
      <c r="D54" s="358" t="n">
        <v>0</v>
      </c>
      <c r="E54" s="358" t="n">
        <v>0</v>
      </c>
      <c r="F54" s="358" t="n">
        <v>0</v>
      </c>
      <c r="G54" s="372" t="n">
        <v>0</v>
      </c>
      <c r="H54" s="373" t="n">
        <v>0</v>
      </c>
      <c r="I54" s="358" t="n">
        <v>0</v>
      </c>
      <c r="J54" s="358" t="n">
        <v>0</v>
      </c>
      <c r="K54" s="372" t="n">
        <v>0</v>
      </c>
      <c r="L54" s="373" t="n">
        <v>0</v>
      </c>
      <c r="M54" s="358" t="n">
        <v>0</v>
      </c>
      <c r="N54" s="358" t="n">
        <v>0</v>
      </c>
      <c r="O54" s="372" t="n">
        <v>0</v>
      </c>
      <c r="P54" s="373" t="n">
        <v>0</v>
      </c>
      <c r="Q54" s="358" t="n">
        <v>0</v>
      </c>
      <c r="R54" s="358" t="n">
        <v>0</v>
      </c>
      <c r="S54" s="372" t="n">
        <v>0</v>
      </c>
      <c r="T54" s="373" t="n">
        <v>0</v>
      </c>
      <c r="U54" s="358" t="n">
        <v>0</v>
      </c>
      <c r="V54" s="358" t="n">
        <v>0</v>
      </c>
      <c r="W54" s="372" t="n">
        <v>0</v>
      </c>
      <c r="X54" s="373" t="n">
        <v>0</v>
      </c>
      <c r="Y54" s="358" t="n">
        <v>0</v>
      </c>
      <c r="Z54" s="358" t="n">
        <v>0</v>
      </c>
      <c r="AA54" s="358" t="n">
        <v>0</v>
      </c>
      <c r="AB54" s="373" t="n">
        <v>0</v>
      </c>
      <c r="AC54" s="358" t="n">
        <v>0</v>
      </c>
      <c r="AD54" s="358" t="n">
        <v>0</v>
      </c>
      <c r="AE54" s="358" t="n">
        <v>0</v>
      </c>
      <c r="AF54" s="359" t="n">
        <v>1</v>
      </c>
    </row>
    <row r="55" customFormat="false" ht="15" hidden="true" customHeight="false" outlineLevel="0" collapsed="false">
      <c r="B55" s="360" t="s">
        <v>2548</v>
      </c>
      <c r="C55" s="359" t="n">
        <v>1</v>
      </c>
      <c r="D55" s="358" t="n">
        <v>0</v>
      </c>
      <c r="E55" s="358" t="n">
        <v>0</v>
      </c>
      <c r="F55" s="358" t="n">
        <v>0</v>
      </c>
      <c r="G55" s="372" t="n">
        <v>0</v>
      </c>
      <c r="H55" s="373" t="n">
        <v>0</v>
      </c>
      <c r="I55" s="358" t="n">
        <v>-1</v>
      </c>
      <c r="J55" s="358" t="n">
        <v>0</v>
      </c>
      <c r="K55" s="372" t="n">
        <v>0</v>
      </c>
      <c r="L55" s="373" t="n">
        <v>0</v>
      </c>
      <c r="M55" s="358" t="n">
        <v>0</v>
      </c>
      <c r="N55" s="358" t="n">
        <v>0</v>
      </c>
      <c r="O55" s="372" t="n">
        <v>0</v>
      </c>
      <c r="P55" s="373" t="n">
        <v>0</v>
      </c>
      <c r="Q55" s="358" t="n">
        <v>0</v>
      </c>
      <c r="R55" s="358" t="n">
        <v>0</v>
      </c>
      <c r="S55" s="372" t="n">
        <v>0</v>
      </c>
      <c r="T55" s="373" t="n">
        <v>0</v>
      </c>
      <c r="U55" s="358" t="n">
        <v>0</v>
      </c>
      <c r="V55" s="358" t="n">
        <v>0</v>
      </c>
      <c r="W55" s="372" t="n">
        <v>0</v>
      </c>
      <c r="X55" s="373" t="n">
        <v>0</v>
      </c>
      <c r="Y55" s="358" t="n">
        <v>0</v>
      </c>
      <c r="Z55" s="358" t="n">
        <v>0</v>
      </c>
      <c r="AA55" s="358" t="n">
        <v>0</v>
      </c>
      <c r="AB55" s="373" t="n">
        <v>0</v>
      </c>
      <c r="AC55" s="358" t="n">
        <v>-1</v>
      </c>
      <c r="AD55" s="358" t="n">
        <v>0</v>
      </c>
      <c r="AE55" s="358" t="n">
        <v>0</v>
      </c>
      <c r="AF55" s="359" t="n">
        <v>0</v>
      </c>
    </row>
    <row r="56" customFormat="false" ht="15" hidden="true" customHeight="false" outlineLevel="0" collapsed="false">
      <c r="B56" s="360" t="s">
        <v>2549</v>
      </c>
      <c r="C56" s="359" t="n">
        <v>1</v>
      </c>
      <c r="D56" s="358" t="n">
        <v>0</v>
      </c>
      <c r="E56" s="358" t="n">
        <v>0</v>
      </c>
      <c r="F56" s="358" t="n">
        <v>0</v>
      </c>
      <c r="G56" s="372" t="n">
        <v>0</v>
      </c>
      <c r="H56" s="373" t="n">
        <v>0</v>
      </c>
      <c r="I56" s="358" t="n">
        <v>0</v>
      </c>
      <c r="J56" s="358" t="n">
        <v>0</v>
      </c>
      <c r="K56" s="372" t="n">
        <v>0</v>
      </c>
      <c r="L56" s="373" t="n">
        <v>0</v>
      </c>
      <c r="M56" s="358" t="n">
        <v>0</v>
      </c>
      <c r="N56" s="358" t="n">
        <v>0</v>
      </c>
      <c r="O56" s="372" t="n">
        <v>0</v>
      </c>
      <c r="P56" s="373" t="n">
        <v>0</v>
      </c>
      <c r="Q56" s="358" t="n">
        <v>0</v>
      </c>
      <c r="R56" s="358" t="n">
        <v>0</v>
      </c>
      <c r="S56" s="372" t="n">
        <v>0</v>
      </c>
      <c r="T56" s="373" t="n">
        <v>0</v>
      </c>
      <c r="U56" s="358" t="n">
        <v>0</v>
      </c>
      <c r="V56" s="358" t="n">
        <v>0</v>
      </c>
      <c r="W56" s="372" t="n">
        <v>0</v>
      </c>
      <c r="X56" s="373" t="n">
        <v>0</v>
      </c>
      <c r="Y56" s="358" t="n">
        <v>0</v>
      </c>
      <c r="Z56" s="358" t="n">
        <v>0</v>
      </c>
      <c r="AA56" s="358" t="n">
        <v>0</v>
      </c>
      <c r="AB56" s="373" t="n">
        <v>0</v>
      </c>
      <c r="AC56" s="358" t="n">
        <v>0</v>
      </c>
      <c r="AD56" s="358" t="n">
        <v>0</v>
      </c>
      <c r="AE56" s="358" t="n">
        <v>0</v>
      </c>
      <c r="AF56" s="359" t="n">
        <v>1</v>
      </c>
    </row>
    <row r="57" customFormat="false" ht="15" hidden="true" customHeight="false" outlineLevel="0" collapsed="false">
      <c r="B57" s="360" t="s">
        <v>2550</v>
      </c>
      <c r="C57" s="359" t="n">
        <v>1</v>
      </c>
      <c r="D57" s="358" t="n">
        <v>0</v>
      </c>
      <c r="E57" s="358" t="n">
        <v>0</v>
      </c>
      <c r="F57" s="358" t="n">
        <v>0</v>
      </c>
      <c r="G57" s="372" t="n">
        <v>0</v>
      </c>
      <c r="H57" s="373" t="n">
        <v>0</v>
      </c>
      <c r="I57" s="358" t="n">
        <v>0</v>
      </c>
      <c r="J57" s="358" t="n">
        <v>0</v>
      </c>
      <c r="K57" s="372" t="n">
        <v>0</v>
      </c>
      <c r="L57" s="373" t="n">
        <v>0</v>
      </c>
      <c r="M57" s="358" t="n">
        <v>0</v>
      </c>
      <c r="N57" s="358" t="n">
        <v>0</v>
      </c>
      <c r="O57" s="372" t="n">
        <v>0</v>
      </c>
      <c r="P57" s="373" t="n">
        <v>0</v>
      </c>
      <c r="Q57" s="358" t="n">
        <v>0</v>
      </c>
      <c r="R57" s="358" t="n">
        <v>0</v>
      </c>
      <c r="S57" s="372" t="n">
        <v>0</v>
      </c>
      <c r="T57" s="373" t="n">
        <v>0</v>
      </c>
      <c r="U57" s="358" t="n">
        <v>0</v>
      </c>
      <c r="V57" s="358" t="n">
        <v>0</v>
      </c>
      <c r="W57" s="372" t="n">
        <v>0</v>
      </c>
      <c r="X57" s="373" t="n">
        <v>0</v>
      </c>
      <c r="Y57" s="358" t="n">
        <v>0</v>
      </c>
      <c r="Z57" s="358" t="n">
        <v>0</v>
      </c>
      <c r="AA57" s="358" t="n">
        <v>0</v>
      </c>
      <c r="AB57" s="373" t="n">
        <v>0</v>
      </c>
      <c r="AC57" s="358" t="n">
        <v>0</v>
      </c>
      <c r="AD57" s="358" t="n">
        <v>0</v>
      </c>
      <c r="AE57" s="358" t="n">
        <v>0</v>
      </c>
      <c r="AF57" s="359" t="n">
        <v>1</v>
      </c>
    </row>
    <row r="58" customFormat="false" ht="15" hidden="true" customHeight="false" outlineLevel="0" collapsed="false">
      <c r="B58" s="360" t="s">
        <v>2551</v>
      </c>
      <c r="C58" s="359" t="n">
        <v>1</v>
      </c>
      <c r="D58" s="358" t="n">
        <v>0</v>
      </c>
      <c r="E58" s="358" t="n">
        <v>0</v>
      </c>
      <c r="F58" s="358" t="n">
        <v>0</v>
      </c>
      <c r="G58" s="372" t="n">
        <v>0</v>
      </c>
      <c r="H58" s="373" t="n">
        <v>0</v>
      </c>
      <c r="I58" s="358" t="n">
        <v>0</v>
      </c>
      <c r="J58" s="358" t="n">
        <v>0</v>
      </c>
      <c r="K58" s="372" t="n">
        <v>0</v>
      </c>
      <c r="L58" s="373" t="n">
        <v>0</v>
      </c>
      <c r="M58" s="358" t="n">
        <v>0</v>
      </c>
      <c r="N58" s="358" t="n">
        <v>0</v>
      </c>
      <c r="O58" s="372" t="n">
        <v>0</v>
      </c>
      <c r="P58" s="373" t="n">
        <v>0</v>
      </c>
      <c r="Q58" s="358" t="n">
        <v>0</v>
      </c>
      <c r="R58" s="358" t="n">
        <v>0</v>
      </c>
      <c r="S58" s="372" t="n">
        <v>0</v>
      </c>
      <c r="T58" s="373" t="n">
        <v>0</v>
      </c>
      <c r="U58" s="358" t="n">
        <v>0</v>
      </c>
      <c r="V58" s="358" t="n">
        <v>0</v>
      </c>
      <c r="W58" s="372" t="n">
        <v>0</v>
      </c>
      <c r="X58" s="373" t="n">
        <v>0</v>
      </c>
      <c r="Y58" s="358" t="n">
        <v>0</v>
      </c>
      <c r="Z58" s="358" t="n">
        <v>0</v>
      </c>
      <c r="AA58" s="358" t="n">
        <v>0</v>
      </c>
      <c r="AB58" s="373" t="n">
        <v>0</v>
      </c>
      <c r="AC58" s="358" t="n">
        <v>0</v>
      </c>
      <c r="AD58" s="358" t="n">
        <v>0</v>
      </c>
      <c r="AE58" s="358" t="n">
        <v>0</v>
      </c>
      <c r="AF58" s="359" t="n">
        <v>1</v>
      </c>
    </row>
    <row r="59" customFormat="false" ht="15" hidden="true" customHeight="false" outlineLevel="0" collapsed="false">
      <c r="B59" s="360" t="s">
        <v>2552</v>
      </c>
      <c r="C59" s="359" t="n">
        <v>1</v>
      </c>
      <c r="D59" s="358" t="n">
        <v>0</v>
      </c>
      <c r="E59" s="358" t="n">
        <v>0</v>
      </c>
      <c r="F59" s="358" t="n">
        <v>0</v>
      </c>
      <c r="G59" s="372" t="n">
        <v>0</v>
      </c>
      <c r="H59" s="373" t="n">
        <v>0</v>
      </c>
      <c r="I59" s="358" t="n">
        <v>0</v>
      </c>
      <c r="J59" s="358" t="n">
        <v>0</v>
      </c>
      <c r="K59" s="372" t="n">
        <v>0</v>
      </c>
      <c r="L59" s="373" t="n">
        <v>0</v>
      </c>
      <c r="M59" s="358" t="n">
        <v>0</v>
      </c>
      <c r="N59" s="358" t="n">
        <v>0</v>
      </c>
      <c r="O59" s="372" t="n">
        <v>0</v>
      </c>
      <c r="P59" s="373" t="n">
        <v>0</v>
      </c>
      <c r="Q59" s="358" t="n">
        <v>0</v>
      </c>
      <c r="R59" s="358" t="n">
        <v>0</v>
      </c>
      <c r="S59" s="372" t="n">
        <v>0</v>
      </c>
      <c r="T59" s="373" t="n">
        <v>0</v>
      </c>
      <c r="U59" s="358" t="n">
        <v>0</v>
      </c>
      <c r="V59" s="358" t="n">
        <v>0</v>
      </c>
      <c r="W59" s="372" t="n">
        <v>0</v>
      </c>
      <c r="X59" s="373" t="n">
        <v>0</v>
      </c>
      <c r="Y59" s="358" t="n">
        <v>0</v>
      </c>
      <c r="Z59" s="358" t="n">
        <v>0</v>
      </c>
      <c r="AA59" s="358" t="n">
        <v>0</v>
      </c>
      <c r="AB59" s="373" t="n">
        <v>0</v>
      </c>
      <c r="AC59" s="358" t="n">
        <v>0</v>
      </c>
      <c r="AD59" s="358" t="n">
        <v>0</v>
      </c>
      <c r="AE59" s="358" t="n">
        <v>0</v>
      </c>
      <c r="AF59" s="359" t="n">
        <v>1</v>
      </c>
    </row>
    <row r="60" customFormat="false" ht="15" hidden="true" customHeight="false" outlineLevel="0" collapsed="false">
      <c r="B60" s="360" t="s">
        <v>2553</v>
      </c>
      <c r="C60" s="359" t="n">
        <v>1</v>
      </c>
      <c r="D60" s="358" t="n">
        <v>0</v>
      </c>
      <c r="E60" s="358" t="n">
        <v>0</v>
      </c>
      <c r="F60" s="358" t="n">
        <v>0</v>
      </c>
      <c r="G60" s="372" t="n">
        <v>0</v>
      </c>
      <c r="H60" s="373" t="n">
        <v>0</v>
      </c>
      <c r="I60" s="358" t="n">
        <v>0</v>
      </c>
      <c r="J60" s="358" t="n">
        <v>0</v>
      </c>
      <c r="K60" s="372" t="n">
        <v>0</v>
      </c>
      <c r="L60" s="373" t="n">
        <v>0</v>
      </c>
      <c r="M60" s="358" t="n">
        <v>0</v>
      </c>
      <c r="N60" s="358" t="n">
        <v>0</v>
      </c>
      <c r="O60" s="372" t="n">
        <v>0</v>
      </c>
      <c r="P60" s="373" t="n">
        <v>0</v>
      </c>
      <c r="Q60" s="358" t="n">
        <v>0</v>
      </c>
      <c r="R60" s="358" t="n">
        <v>0</v>
      </c>
      <c r="S60" s="372" t="n">
        <v>0</v>
      </c>
      <c r="T60" s="373" t="n">
        <v>0</v>
      </c>
      <c r="U60" s="358" t="n">
        <v>0</v>
      </c>
      <c r="V60" s="358" t="n">
        <v>0</v>
      </c>
      <c r="W60" s="372" t="n">
        <v>0</v>
      </c>
      <c r="X60" s="373" t="n">
        <v>0</v>
      </c>
      <c r="Y60" s="358" t="n">
        <v>0</v>
      </c>
      <c r="Z60" s="358" t="n">
        <v>0</v>
      </c>
      <c r="AA60" s="358" t="n">
        <v>0</v>
      </c>
      <c r="AB60" s="373" t="n">
        <v>0</v>
      </c>
      <c r="AC60" s="358" t="n">
        <v>0</v>
      </c>
      <c r="AD60" s="358" t="n">
        <v>0</v>
      </c>
      <c r="AE60" s="358" t="n">
        <v>0</v>
      </c>
      <c r="AF60" s="359" t="n">
        <v>1</v>
      </c>
    </row>
    <row r="61" customFormat="false" ht="15" hidden="true" customHeight="false" outlineLevel="0" collapsed="false">
      <c r="B61" s="360" t="s">
        <v>2554</v>
      </c>
      <c r="C61" s="359" t="n">
        <v>1</v>
      </c>
      <c r="D61" s="358" t="n">
        <v>0</v>
      </c>
      <c r="E61" s="358" t="n">
        <v>0</v>
      </c>
      <c r="F61" s="358" t="n">
        <v>0</v>
      </c>
      <c r="G61" s="372" t="n">
        <v>0</v>
      </c>
      <c r="H61" s="373" t="n">
        <v>0</v>
      </c>
      <c r="I61" s="358" t="n">
        <v>0</v>
      </c>
      <c r="J61" s="358" t="n">
        <v>0</v>
      </c>
      <c r="K61" s="372" t="n">
        <v>0</v>
      </c>
      <c r="L61" s="373" t="n">
        <v>0</v>
      </c>
      <c r="M61" s="358" t="n">
        <v>0</v>
      </c>
      <c r="N61" s="358" t="n">
        <v>0</v>
      </c>
      <c r="O61" s="372" t="n">
        <v>0</v>
      </c>
      <c r="P61" s="373" t="n">
        <v>0</v>
      </c>
      <c r="Q61" s="358" t="n">
        <v>0</v>
      </c>
      <c r="R61" s="358" t="n">
        <v>0</v>
      </c>
      <c r="S61" s="372" t="n">
        <v>0</v>
      </c>
      <c r="T61" s="373" t="n">
        <v>0</v>
      </c>
      <c r="U61" s="358" t="n">
        <v>0</v>
      </c>
      <c r="V61" s="358" t="n">
        <v>0</v>
      </c>
      <c r="W61" s="372" t="n">
        <v>0</v>
      </c>
      <c r="X61" s="373" t="n">
        <v>0</v>
      </c>
      <c r="Y61" s="358" t="n">
        <v>0</v>
      </c>
      <c r="Z61" s="358" t="n">
        <v>0</v>
      </c>
      <c r="AA61" s="358" t="n">
        <v>0</v>
      </c>
      <c r="AB61" s="373" t="n">
        <v>0</v>
      </c>
      <c r="AC61" s="358" t="n">
        <v>0</v>
      </c>
      <c r="AD61" s="358" t="n">
        <v>0</v>
      </c>
      <c r="AE61" s="358" t="n">
        <v>0</v>
      </c>
      <c r="AF61" s="359" t="n">
        <v>1</v>
      </c>
    </row>
    <row r="62" customFormat="false" ht="15" hidden="true" customHeight="false" outlineLevel="0" collapsed="false">
      <c r="B62" s="360" t="s">
        <v>2555</v>
      </c>
      <c r="C62" s="359" t="n">
        <v>1</v>
      </c>
      <c r="D62" s="358" t="n">
        <v>0</v>
      </c>
      <c r="E62" s="358" t="n">
        <v>0</v>
      </c>
      <c r="F62" s="358" t="n">
        <v>0</v>
      </c>
      <c r="G62" s="372" t="n">
        <v>0</v>
      </c>
      <c r="H62" s="373" t="n">
        <v>0</v>
      </c>
      <c r="I62" s="358" t="n">
        <v>0</v>
      </c>
      <c r="J62" s="358" t="n">
        <v>0</v>
      </c>
      <c r="K62" s="372" t="n">
        <v>0</v>
      </c>
      <c r="L62" s="373" t="n">
        <v>0</v>
      </c>
      <c r="M62" s="358" t="n">
        <v>0</v>
      </c>
      <c r="N62" s="358" t="n">
        <v>0</v>
      </c>
      <c r="O62" s="372" t="n">
        <v>0</v>
      </c>
      <c r="P62" s="373" t="n">
        <v>0</v>
      </c>
      <c r="Q62" s="358" t="n">
        <v>0</v>
      </c>
      <c r="R62" s="358" t="n">
        <v>0</v>
      </c>
      <c r="S62" s="372" t="n">
        <v>0</v>
      </c>
      <c r="T62" s="373" t="n">
        <v>0</v>
      </c>
      <c r="U62" s="358" t="n">
        <v>0</v>
      </c>
      <c r="V62" s="358" t="n">
        <v>0</v>
      </c>
      <c r="W62" s="372" t="n">
        <v>0</v>
      </c>
      <c r="X62" s="373" t="n">
        <v>0</v>
      </c>
      <c r="Y62" s="358" t="n">
        <v>0</v>
      </c>
      <c r="Z62" s="358" t="n">
        <v>0</v>
      </c>
      <c r="AA62" s="358" t="n">
        <v>0</v>
      </c>
      <c r="AB62" s="373" t="n">
        <v>0</v>
      </c>
      <c r="AC62" s="358" t="n">
        <v>0</v>
      </c>
      <c r="AD62" s="358" t="n">
        <v>0</v>
      </c>
      <c r="AE62" s="358" t="n">
        <v>0</v>
      </c>
      <c r="AF62" s="359" t="n">
        <v>1</v>
      </c>
    </row>
    <row r="63" customFormat="false" ht="15" hidden="true" customHeight="false" outlineLevel="0" collapsed="false">
      <c r="B63" s="360" t="s">
        <v>2556</v>
      </c>
      <c r="C63" s="359" t="n">
        <v>1</v>
      </c>
      <c r="D63" s="358" t="n">
        <v>0</v>
      </c>
      <c r="E63" s="358" t="n">
        <v>0</v>
      </c>
      <c r="F63" s="358" t="n">
        <v>0</v>
      </c>
      <c r="G63" s="372" t="n">
        <v>0</v>
      </c>
      <c r="H63" s="373" t="n">
        <v>0</v>
      </c>
      <c r="I63" s="358" t="n">
        <v>0</v>
      </c>
      <c r="J63" s="358" t="n">
        <v>0</v>
      </c>
      <c r="K63" s="372" t="n">
        <v>0</v>
      </c>
      <c r="L63" s="373" t="n">
        <v>0</v>
      </c>
      <c r="M63" s="358" t="n">
        <v>0</v>
      </c>
      <c r="N63" s="358" t="n">
        <v>0</v>
      </c>
      <c r="O63" s="372" t="n">
        <v>0</v>
      </c>
      <c r="P63" s="373" t="n">
        <v>0</v>
      </c>
      <c r="Q63" s="358" t="n">
        <v>0</v>
      </c>
      <c r="R63" s="358" t="n">
        <v>0</v>
      </c>
      <c r="S63" s="372" t="n">
        <v>0</v>
      </c>
      <c r="T63" s="373" t="n">
        <v>0</v>
      </c>
      <c r="U63" s="358" t="n">
        <v>0</v>
      </c>
      <c r="V63" s="358" t="n">
        <v>0</v>
      </c>
      <c r="W63" s="372" t="n">
        <v>0</v>
      </c>
      <c r="X63" s="373" t="n">
        <v>0</v>
      </c>
      <c r="Y63" s="358" t="n">
        <v>0</v>
      </c>
      <c r="Z63" s="358" t="n">
        <v>0</v>
      </c>
      <c r="AA63" s="358" t="n">
        <v>0</v>
      </c>
      <c r="AB63" s="373" t="n">
        <v>0</v>
      </c>
      <c r="AC63" s="358" t="n">
        <v>0</v>
      </c>
      <c r="AD63" s="358" t="n">
        <v>0</v>
      </c>
      <c r="AE63" s="358" t="n">
        <v>0</v>
      </c>
      <c r="AF63" s="359" t="n">
        <v>1</v>
      </c>
    </row>
    <row r="64" customFormat="false" ht="15" hidden="true" customHeight="false" outlineLevel="0" collapsed="false">
      <c r="B64" s="360" t="s">
        <v>2557</v>
      </c>
      <c r="C64" s="359" t="n">
        <v>1</v>
      </c>
      <c r="D64" s="358" t="n">
        <v>0</v>
      </c>
      <c r="E64" s="358" t="n">
        <v>0</v>
      </c>
      <c r="F64" s="358" t="n">
        <v>0</v>
      </c>
      <c r="G64" s="372" t="n">
        <v>0</v>
      </c>
      <c r="H64" s="373" t="n">
        <v>0</v>
      </c>
      <c r="I64" s="358" t="n">
        <v>0</v>
      </c>
      <c r="J64" s="358" t="n">
        <v>0</v>
      </c>
      <c r="K64" s="372" t="n">
        <v>0</v>
      </c>
      <c r="L64" s="373" t="n">
        <v>0</v>
      </c>
      <c r="M64" s="358" t="n">
        <v>0</v>
      </c>
      <c r="N64" s="358" t="n">
        <v>0</v>
      </c>
      <c r="O64" s="372" t="n">
        <v>0</v>
      </c>
      <c r="P64" s="373" t="n">
        <v>0</v>
      </c>
      <c r="Q64" s="358" t="n">
        <v>0</v>
      </c>
      <c r="R64" s="358" t="n">
        <v>0</v>
      </c>
      <c r="S64" s="372" t="n">
        <v>0</v>
      </c>
      <c r="T64" s="373" t="n">
        <v>0</v>
      </c>
      <c r="U64" s="358" t="n">
        <v>0</v>
      </c>
      <c r="V64" s="358" t="n">
        <v>0</v>
      </c>
      <c r="W64" s="372" t="n">
        <v>0</v>
      </c>
      <c r="X64" s="373" t="n">
        <v>0</v>
      </c>
      <c r="Y64" s="358" t="n">
        <v>0</v>
      </c>
      <c r="Z64" s="358" t="n">
        <v>0</v>
      </c>
      <c r="AA64" s="358" t="n">
        <v>0</v>
      </c>
      <c r="AB64" s="373" t="n">
        <v>0</v>
      </c>
      <c r="AC64" s="358" t="n">
        <v>0</v>
      </c>
      <c r="AD64" s="358" t="n">
        <v>0</v>
      </c>
      <c r="AE64" s="358" t="n">
        <v>0</v>
      </c>
      <c r="AF64" s="359" t="n">
        <v>1</v>
      </c>
    </row>
    <row r="65" customFormat="false" ht="15" hidden="true" customHeight="false" outlineLevel="0" collapsed="false">
      <c r="B65" s="361" t="s">
        <v>2558</v>
      </c>
      <c r="C65" s="359" t="n">
        <v>1</v>
      </c>
      <c r="D65" s="358" t="n">
        <v>0</v>
      </c>
      <c r="E65" s="358" t="n">
        <v>0</v>
      </c>
      <c r="F65" s="358" t="n">
        <v>0</v>
      </c>
      <c r="G65" s="372" t="n">
        <v>0</v>
      </c>
      <c r="H65" s="373" t="n">
        <v>0</v>
      </c>
      <c r="I65" s="358" t="n">
        <v>0</v>
      </c>
      <c r="J65" s="358" t="n">
        <v>0</v>
      </c>
      <c r="K65" s="372" t="n">
        <v>0</v>
      </c>
      <c r="L65" s="373" t="n">
        <v>0</v>
      </c>
      <c r="M65" s="358" t="n">
        <v>0</v>
      </c>
      <c r="N65" s="358" t="n">
        <v>0</v>
      </c>
      <c r="O65" s="372" t="n">
        <v>0</v>
      </c>
      <c r="P65" s="373" t="n">
        <v>0</v>
      </c>
      <c r="Q65" s="358" t="n">
        <v>0</v>
      </c>
      <c r="R65" s="358" t="n">
        <v>0</v>
      </c>
      <c r="S65" s="372" t="n">
        <v>0</v>
      </c>
      <c r="T65" s="373" t="n">
        <v>0</v>
      </c>
      <c r="U65" s="358" t="n">
        <v>0</v>
      </c>
      <c r="V65" s="358" t="n">
        <v>0</v>
      </c>
      <c r="W65" s="372" t="n">
        <v>0</v>
      </c>
      <c r="X65" s="373" t="n">
        <v>0</v>
      </c>
      <c r="Y65" s="358" t="n">
        <v>0</v>
      </c>
      <c r="Z65" s="358" t="n">
        <v>0</v>
      </c>
      <c r="AA65" s="358" t="n">
        <v>0</v>
      </c>
      <c r="AB65" s="373" t="n">
        <v>0</v>
      </c>
      <c r="AC65" s="358" t="n">
        <v>0</v>
      </c>
      <c r="AD65" s="358" t="n">
        <v>0</v>
      </c>
      <c r="AE65" s="358" t="n">
        <v>0</v>
      </c>
      <c r="AF65" s="359" t="n">
        <v>1</v>
      </c>
    </row>
    <row r="66" customFormat="false" ht="15" hidden="true" customHeight="false" outlineLevel="0" collapsed="false">
      <c r="B66" s="360" t="s">
        <v>2559</v>
      </c>
      <c r="C66" s="359" t="n">
        <v>1</v>
      </c>
      <c r="D66" s="358" t="n">
        <v>0</v>
      </c>
      <c r="E66" s="358" t="n">
        <v>0</v>
      </c>
      <c r="F66" s="358" t="n">
        <v>0</v>
      </c>
      <c r="G66" s="372" t="n">
        <v>0</v>
      </c>
      <c r="H66" s="373" t="n">
        <v>0</v>
      </c>
      <c r="I66" s="358" t="n">
        <v>0</v>
      </c>
      <c r="J66" s="358" t="n">
        <v>0</v>
      </c>
      <c r="K66" s="372" t="n">
        <v>0</v>
      </c>
      <c r="L66" s="373" t="n">
        <v>0</v>
      </c>
      <c r="M66" s="358" t="n">
        <v>0</v>
      </c>
      <c r="N66" s="358" t="n">
        <v>0</v>
      </c>
      <c r="O66" s="372" t="n">
        <v>0</v>
      </c>
      <c r="P66" s="373" t="n">
        <v>0</v>
      </c>
      <c r="Q66" s="358" t="n">
        <v>0</v>
      </c>
      <c r="R66" s="358" t="n">
        <v>0</v>
      </c>
      <c r="S66" s="372" t="n">
        <v>0</v>
      </c>
      <c r="T66" s="373" t="n">
        <v>0</v>
      </c>
      <c r="U66" s="358" t="n">
        <v>0</v>
      </c>
      <c r="V66" s="358" t="n">
        <v>0</v>
      </c>
      <c r="W66" s="372" t="n">
        <v>0</v>
      </c>
      <c r="X66" s="373" t="n">
        <v>0</v>
      </c>
      <c r="Y66" s="358" t="n">
        <v>0</v>
      </c>
      <c r="Z66" s="358" t="n">
        <v>0</v>
      </c>
      <c r="AA66" s="358" t="n">
        <v>0</v>
      </c>
      <c r="AB66" s="373" t="n">
        <v>0</v>
      </c>
      <c r="AC66" s="358" t="n">
        <v>0</v>
      </c>
      <c r="AD66" s="358" t="n">
        <v>0</v>
      </c>
      <c r="AE66" s="358" t="n">
        <v>0</v>
      </c>
      <c r="AF66" s="359" t="n">
        <v>1</v>
      </c>
    </row>
    <row r="67" customFormat="false" ht="15" hidden="true" customHeight="false" outlineLevel="0" collapsed="false">
      <c r="B67" s="360" t="s">
        <v>2560</v>
      </c>
      <c r="C67" s="359" t="n">
        <v>1</v>
      </c>
      <c r="D67" s="358" t="n">
        <v>0</v>
      </c>
      <c r="E67" s="358" t="n">
        <v>0</v>
      </c>
      <c r="F67" s="358" t="n">
        <v>0</v>
      </c>
      <c r="G67" s="372" t="n">
        <v>0</v>
      </c>
      <c r="H67" s="373" t="n">
        <v>0</v>
      </c>
      <c r="I67" s="358" t="n">
        <v>0</v>
      </c>
      <c r="J67" s="358" t="n">
        <v>0</v>
      </c>
      <c r="K67" s="372" t="n">
        <v>0</v>
      </c>
      <c r="L67" s="373" t="n">
        <v>0</v>
      </c>
      <c r="M67" s="358" t="n">
        <v>0</v>
      </c>
      <c r="N67" s="358" t="n">
        <v>0</v>
      </c>
      <c r="O67" s="372" t="n">
        <v>0</v>
      </c>
      <c r="P67" s="373" t="n">
        <v>0</v>
      </c>
      <c r="Q67" s="358" t="n">
        <v>0</v>
      </c>
      <c r="R67" s="358" t="n">
        <v>0</v>
      </c>
      <c r="S67" s="372" t="n">
        <v>0</v>
      </c>
      <c r="T67" s="373" t="n">
        <v>0</v>
      </c>
      <c r="U67" s="358" t="n">
        <v>0</v>
      </c>
      <c r="V67" s="358" t="n">
        <v>0</v>
      </c>
      <c r="W67" s="372" t="n">
        <v>0</v>
      </c>
      <c r="X67" s="373" t="n">
        <v>0</v>
      </c>
      <c r="Y67" s="358" t="n">
        <v>0</v>
      </c>
      <c r="Z67" s="358" t="n">
        <v>0</v>
      </c>
      <c r="AA67" s="358" t="n">
        <v>0</v>
      </c>
      <c r="AB67" s="373" t="n">
        <v>0</v>
      </c>
      <c r="AC67" s="358" t="n">
        <v>0</v>
      </c>
      <c r="AD67" s="358" t="n">
        <v>0</v>
      </c>
      <c r="AE67" s="358" t="n">
        <v>0</v>
      </c>
      <c r="AF67" s="359" t="n">
        <v>1</v>
      </c>
    </row>
    <row r="68" customFormat="false" ht="15" hidden="true" customHeight="false" outlineLevel="0" collapsed="false">
      <c r="B68" s="360" t="s">
        <v>2561</v>
      </c>
      <c r="C68" s="359" t="n">
        <v>1</v>
      </c>
      <c r="D68" s="358" t="n">
        <v>0</v>
      </c>
      <c r="E68" s="358" t="n">
        <v>0</v>
      </c>
      <c r="F68" s="358" t="n">
        <v>0</v>
      </c>
      <c r="G68" s="372" t="n">
        <v>0</v>
      </c>
      <c r="H68" s="373" t="n">
        <v>0</v>
      </c>
      <c r="I68" s="358" t="n">
        <v>0</v>
      </c>
      <c r="J68" s="358" t="n">
        <v>0</v>
      </c>
      <c r="K68" s="372" t="n">
        <v>0</v>
      </c>
      <c r="L68" s="373" t="n">
        <v>0</v>
      </c>
      <c r="M68" s="358" t="n">
        <v>0</v>
      </c>
      <c r="N68" s="358" t="n">
        <v>0</v>
      </c>
      <c r="O68" s="372" t="n">
        <v>0</v>
      </c>
      <c r="P68" s="373" t="n">
        <v>0</v>
      </c>
      <c r="Q68" s="358" t="n">
        <v>0</v>
      </c>
      <c r="R68" s="358" t="n">
        <v>0</v>
      </c>
      <c r="S68" s="372" t="n">
        <v>0</v>
      </c>
      <c r="T68" s="373" t="n">
        <v>0</v>
      </c>
      <c r="U68" s="358" t="n">
        <v>0</v>
      </c>
      <c r="V68" s="358" t="n">
        <v>0</v>
      </c>
      <c r="W68" s="372" t="n">
        <v>0</v>
      </c>
      <c r="X68" s="373" t="n">
        <v>0</v>
      </c>
      <c r="Y68" s="358" t="n">
        <v>0</v>
      </c>
      <c r="Z68" s="358" t="n">
        <v>0</v>
      </c>
      <c r="AA68" s="358" t="n">
        <v>0</v>
      </c>
      <c r="AB68" s="373" t="n">
        <v>0</v>
      </c>
      <c r="AC68" s="358" t="n">
        <v>0</v>
      </c>
      <c r="AD68" s="358" t="n">
        <v>0</v>
      </c>
      <c r="AE68" s="358" t="n">
        <v>0</v>
      </c>
      <c r="AF68" s="359" t="n">
        <v>1</v>
      </c>
    </row>
    <row r="69" customFormat="false" ht="15" hidden="true" customHeight="false" outlineLevel="0" collapsed="false">
      <c r="B69" s="360" t="s">
        <v>2562</v>
      </c>
      <c r="C69" s="359" t="n">
        <v>1</v>
      </c>
      <c r="D69" s="358" t="n">
        <v>0</v>
      </c>
      <c r="E69" s="358" t="n">
        <v>0</v>
      </c>
      <c r="F69" s="358" t="n">
        <v>0</v>
      </c>
      <c r="G69" s="372" t="n">
        <v>0</v>
      </c>
      <c r="H69" s="373" t="n">
        <v>0</v>
      </c>
      <c r="I69" s="358" t="n">
        <v>0</v>
      </c>
      <c r="J69" s="358" t="n">
        <v>0</v>
      </c>
      <c r="K69" s="372" t="n">
        <v>0</v>
      </c>
      <c r="L69" s="373" t="n">
        <v>0</v>
      </c>
      <c r="M69" s="358" t="n">
        <v>0</v>
      </c>
      <c r="N69" s="358" t="n">
        <v>0</v>
      </c>
      <c r="O69" s="372" t="n">
        <v>0</v>
      </c>
      <c r="P69" s="373" t="n">
        <v>0</v>
      </c>
      <c r="Q69" s="358" t="n">
        <v>0</v>
      </c>
      <c r="R69" s="358" t="n">
        <v>0</v>
      </c>
      <c r="S69" s="372" t="n">
        <v>0</v>
      </c>
      <c r="T69" s="373" t="n">
        <v>0</v>
      </c>
      <c r="U69" s="358" t="n">
        <v>0</v>
      </c>
      <c r="V69" s="358" t="n">
        <v>0</v>
      </c>
      <c r="W69" s="372" t="n">
        <v>0</v>
      </c>
      <c r="X69" s="373" t="n">
        <v>0</v>
      </c>
      <c r="Y69" s="358" t="n">
        <v>0</v>
      </c>
      <c r="Z69" s="358" t="n">
        <v>0</v>
      </c>
      <c r="AA69" s="358" t="n">
        <v>0</v>
      </c>
      <c r="AB69" s="373" t="n">
        <v>0</v>
      </c>
      <c r="AC69" s="358" t="n">
        <v>0</v>
      </c>
      <c r="AD69" s="358" t="n">
        <v>0</v>
      </c>
      <c r="AE69" s="358" t="n">
        <v>0</v>
      </c>
      <c r="AF69" s="359" t="n">
        <v>1</v>
      </c>
    </row>
    <row r="70" customFormat="false" ht="15" hidden="true" customHeight="false" outlineLevel="0" collapsed="false">
      <c r="B70" s="360" t="s">
        <v>2563</v>
      </c>
      <c r="C70" s="359" t="n">
        <v>1</v>
      </c>
      <c r="D70" s="358" t="n">
        <v>0</v>
      </c>
      <c r="E70" s="358" t="n">
        <v>0</v>
      </c>
      <c r="F70" s="358" t="n">
        <v>0</v>
      </c>
      <c r="G70" s="372" t="n">
        <v>0</v>
      </c>
      <c r="H70" s="373" t="n">
        <v>0</v>
      </c>
      <c r="I70" s="358" t="n">
        <v>0</v>
      </c>
      <c r="J70" s="358" t="n">
        <v>0</v>
      </c>
      <c r="K70" s="372" t="n">
        <v>0</v>
      </c>
      <c r="L70" s="373" t="n">
        <v>0</v>
      </c>
      <c r="M70" s="358" t="n">
        <v>0</v>
      </c>
      <c r="N70" s="358" t="n">
        <v>0</v>
      </c>
      <c r="O70" s="372" t="n">
        <v>0</v>
      </c>
      <c r="P70" s="373" t="n">
        <v>0</v>
      </c>
      <c r="Q70" s="358" t="n">
        <v>0</v>
      </c>
      <c r="R70" s="358" t="n">
        <v>0</v>
      </c>
      <c r="S70" s="372" t="n">
        <v>0</v>
      </c>
      <c r="T70" s="373" t="n">
        <v>0</v>
      </c>
      <c r="U70" s="358" t="n">
        <v>0</v>
      </c>
      <c r="V70" s="358" t="n">
        <v>0</v>
      </c>
      <c r="W70" s="372" t="n">
        <v>0</v>
      </c>
      <c r="X70" s="373" t="n">
        <v>0</v>
      </c>
      <c r="Y70" s="358" t="n">
        <v>0</v>
      </c>
      <c r="Z70" s="358" t="n">
        <v>0</v>
      </c>
      <c r="AA70" s="358" t="n">
        <v>0</v>
      </c>
      <c r="AB70" s="373" t="n">
        <v>0</v>
      </c>
      <c r="AC70" s="358" t="n">
        <v>0</v>
      </c>
      <c r="AD70" s="358" t="n">
        <v>0</v>
      </c>
      <c r="AE70" s="358" t="n">
        <v>0</v>
      </c>
      <c r="AF70" s="359" t="n">
        <v>1</v>
      </c>
    </row>
    <row r="71" customFormat="false" ht="15" hidden="true" customHeight="false" outlineLevel="0" collapsed="false">
      <c r="B71" s="360" t="s">
        <v>2564</v>
      </c>
      <c r="C71" s="359" t="n">
        <v>1</v>
      </c>
      <c r="D71" s="358" t="n">
        <v>0</v>
      </c>
      <c r="E71" s="358" t="n">
        <v>0</v>
      </c>
      <c r="F71" s="358" t="n">
        <v>0</v>
      </c>
      <c r="G71" s="372" t="n">
        <v>0</v>
      </c>
      <c r="H71" s="373" t="n">
        <v>0</v>
      </c>
      <c r="I71" s="358" t="n">
        <v>0</v>
      </c>
      <c r="J71" s="358" t="n">
        <v>0</v>
      </c>
      <c r="K71" s="372" t="n">
        <v>0</v>
      </c>
      <c r="L71" s="373" t="n">
        <v>0</v>
      </c>
      <c r="M71" s="358" t="n">
        <v>0</v>
      </c>
      <c r="N71" s="358" t="n">
        <v>0</v>
      </c>
      <c r="O71" s="372" t="n">
        <v>0</v>
      </c>
      <c r="P71" s="373" t="n">
        <v>0</v>
      </c>
      <c r="Q71" s="358" t="n">
        <v>0</v>
      </c>
      <c r="R71" s="358" t="n">
        <v>0</v>
      </c>
      <c r="S71" s="372" t="n">
        <v>0</v>
      </c>
      <c r="T71" s="373" t="n">
        <v>0</v>
      </c>
      <c r="U71" s="358" t="n">
        <v>0</v>
      </c>
      <c r="V71" s="358" t="n">
        <v>0</v>
      </c>
      <c r="W71" s="372" t="n">
        <v>0</v>
      </c>
      <c r="X71" s="373" t="n">
        <v>0</v>
      </c>
      <c r="Y71" s="358" t="n">
        <v>0</v>
      </c>
      <c r="Z71" s="358" t="n">
        <v>0</v>
      </c>
      <c r="AA71" s="358" t="n">
        <v>0</v>
      </c>
      <c r="AB71" s="373" t="n">
        <v>0</v>
      </c>
      <c r="AC71" s="358" t="n">
        <v>0</v>
      </c>
      <c r="AD71" s="358" t="n">
        <v>0</v>
      </c>
      <c r="AE71" s="358" t="n">
        <v>0</v>
      </c>
      <c r="AF71" s="359" t="n">
        <v>1</v>
      </c>
    </row>
    <row r="72" customFormat="false" ht="15" hidden="true" customHeight="false" outlineLevel="0" collapsed="false">
      <c r="B72" s="360" t="s">
        <v>2565</v>
      </c>
      <c r="C72" s="359" t="n">
        <v>1</v>
      </c>
      <c r="D72" s="358" t="n">
        <v>0</v>
      </c>
      <c r="E72" s="358" t="n">
        <v>0</v>
      </c>
      <c r="F72" s="358" t="n">
        <v>0</v>
      </c>
      <c r="G72" s="372" t="n">
        <v>0</v>
      </c>
      <c r="H72" s="373" t="n">
        <v>0</v>
      </c>
      <c r="I72" s="358" t="n">
        <v>0</v>
      </c>
      <c r="J72" s="358" t="n">
        <v>0</v>
      </c>
      <c r="K72" s="372" t="n">
        <v>0</v>
      </c>
      <c r="L72" s="373" t="n">
        <v>0</v>
      </c>
      <c r="M72" s="358" t="n">
        <v>0</v>
      </c>
      <c r="N72" s="358" t="n">
        <v>0</v>
      </c>
      <c r="O72" s="372" t="n">
        <v>0</v>
      </c>
      <c r="P72" s="373" t="n">
        <v>0</v>
      </c>
      <c r="Q72" s="358" t="n">
        <v>0</v>
      </c>
      <c r="R72" s="358" t="n">
        <v>0</v>
      </c>
      <c r="S72" s="372" t="n">
        <v>0</v>
      </c>
      <c r="T72" s="373" t="n">
        <v>0</v>
      </c>
      <c r="U72" s="358" t="n">
        <v>0</v>
      </c>
      <c r="V72" s="358" t="n">
        <v>0</v>
      </c>
      <c r="W72" s="372" t="n">
        <v>0</v>
      </c>
      <c r="X72" s="373" t="n">
        <v>0</v>
      </c>
      <c r="Y72" s="358" t="n">
        <v>0</v>
      </c>
      <c r="Z72" s="358" t="n">
        <v>0</v>
      </c>
      <c r="AA72" s="358" t="n">
        <v>0</v>
      </c>
      <c r="AB72" s="373" t="n">
        <v>0</v>
      </c>
      <c r="AC72" s="358" t="n">
        <v>0</v>
      </c>
      <c r="AD72" s="358" t="n">
        <v>0</v>
      </c>
      <c r="AE72" s="358" t="n">
        <v>0</v>
      </c>
      <c r="AF72" s="359" t="n">
        <v>1</v>
      </c>
    </row>
    <row r="73" customFormat="false" ht="15" hidden="true" customHeight="false" outlineLevel="0" collapsed="false">
      <c r="B73" s="360" t="s">
        <v>2566</v>
      </c>
      <c r="C73" s="359" t="n">
        <v>1</v>
      </c>
      <c r="D73" s="358" t="n">
        <v>0</v>
      </c>
      <c r="E73" s="358" t="n">
        <v>0</v>
      </c>
      <c r="F73" s="358" t="n">
        <v>0</v>
      </c>
      <c r="G73" s="372" t="n">
        <v>0</v>
      </c>
      <c r="H73" s="373" t="n">
        <v>0</v>
      </c>
      <c r="I73" s="358" t="n">
        <v>0</v>
      </c>
      <c r="J73" s="358" t="n">
        <v>0</v>
      </c>
      <c r="K73" s="372" t="n">
        <v>0</v>
      </c>
      <c r="L73" s="373" t="n">
        <v>0</v>
      </c>
      <c r="M73" s="358" t="n">
        <v>0</v>
      </c>
      <c r="N73" s="358" t="n">
        <v>0</v>
      </c>
      <c r="O73" s="372" t="n">
        <v>0</v>
      </c>
      <c r="P73" s="373" t="n">
        <v>0</v>
      </c>
      <c r="Q73" s="358" t="n">
        <v>0</v>
      </c>
      <c r="R73" s="358" t="n">
        <v>0</v>
      </c>
      <c r="S73" s="372" t="n">
        <v>0</v>
      </c>
      <c r="T73" s="373" t="n">
        <v>0</v>
      </c>
      <c r="U73" s="358" t="n">
        <v>0</v>
      </c>
      <c r="V73" s="358" t="n">
        <v>0</v>
      </c>
      <c r="W73" s="372" t="n">
        <v>0</v>
      </c>
      <c r="X73" s="373" t="n">
        <v>0</v>
      </c>
      <c r="Y73" s="358" t="n">
        <v>0</v>
      </c>
      <c r="Z73" s="358" t="n">
        <v>0</v>
      </c>
      <c r="AA73" s="358" t="n">
        <v>0</v>
      </c>
      <c r="AB73" s="373" t="n">
        <v>0</v>
      </c>
      <c r="AC73" s="358" t="n">
        <v>0</v>
      </c>
      <c r="AD73" s="358" t="n">
        <v>0</v>
      </c>
      <c r="AE73" s="358" t="n">
        <v>0</v>
      </c>
      <c r="AF73" s="359" t="n">
        <v>1</v>
      </c>
    </row>
    <row r="74" customFormat="false" ht="15" hidden="true" customHeight="false" outlineLevel="0" collapsed="false">
      <c r="B74" s="360" t="s">
        <v>2567</v>
      </c>
      <c r="C74" s="359" t="n">
        <v>1</v>
      </c>
      <c r="D74" s="358" t="n">
        <v>0</v>
      </c>
      <c r="E74" s="358" t="n">
        <v>0</v>
      </c>
      <c r="F74" s="358" t="n">
        <v>0</v>
      </c>
      <c r="G74" s="372" t="n">
        <v>0</v>
      </c>
      <c r="H74" s="373" t="n">
        <v>0</v>
      </c>
      <c r="I74" s="358" t="n">
        <v>0</v>
      </c>
      <c r="J74" s="358" t="n">
        <v>0</v>
      </c>
      <c r="K74" s="372" t="n">
        <v>0</v>
      </c>
      <c r="L74" s="373" t="n">
        <v>0</v>
      </c>
      <c r="M74" s="358" t="n">
        <v>0</v>
      </c>
      <c r="N74" s="358" t="n">
        <v>0</v>
      </c>
      <c r="O74" s="372" t="n">
        <v>0</v>
      </c>
      <c r="P74" s="373" t="n">
        <v>0</v>
      </c>
      <c r="Q74" s="358" t="n">
        <v>0</v>
      </c>
      <c r="R74" s="358" t="n">
        <v>0</v>
      </c>
      <c r="S74" s="372" t="n">
        <v>0</v>
      </c>
      <c r="T74" s="373" t="n">
        <v>0</v>
      </c>
      <c r="U74" s="358" t="n">
        <v>0</v>
      </c>
      <c r="V74" s="358" t="n">
        <v>0</v>
      </c>
      <c r="W74" s="372" t="n">
        <v>0</v>
      </c>
      <c r="X74" s="373" t="n">
        <v>0</v>
      </c>
      <c r="Y74" s="358" t="n">
        <v>0</v>
      </c>
      <c r="Z74" s="358" t="n">
        <v>0</v>
      </c>
      <c r="AA74" s="358" t="n">
        <v>0</v>
      </c>
      <c r="AB74" s="373" t="n">
        <v>0</v>
      </c>
      <c r="AC74" s="358" t="n">
        <v>0</v>
      </c>
      <c r="AD74" s="358" t="n">
        <v>0</v>
      </c>
      <c r="AE74" s="358" t="n">
        <v>0</v>
      </c>
      <c r="AF74" s="359" t="n">
        <v>1</v>
      </c>
    </row>
    <row r="75" customFormat="false" ht="15" hidden="true" customHeight="false" outlineLevel="0" collapsed="false">
      <c r="B75" s="360" t="s">
        <v>2568</v>
      </c>
      <c r="C75" s="359" t="n">
        <v>1</v>
      </c>
      <c r="D75" s="358" t="n">
        <v>0</v>
      </c>
      <c r="E75" s="358" t="n">
        <v>0</v>
      </c>
      <c r="F75" s="358" t="n">
        <v>0</v>
      </c>
      <c r="G75" s="372" t="n">
        <v>0</v>
      </c>
      <c r="H75" s="373" t="n">
        <v>0</v>
      </c>
      <c r="I75" s="358" t="n">
        <v>0</v>
      </c>
      <c r="J75" s="358" t="n">
        <v>0</v>
      </c>
      <c r="K75" s="372" t="n">
        <v>0</v>
      </c>
      <c r="L75" s="373" t="n">
        <v>0</v>
      </c>
      <c r="M75" s="358" t="n">
        <v>0</v>
      </c>
      <c r="N75" s="358" t="n">
        <v>0</v>
      </c>
      <c r="O75" s="372" t="n">
        <v>0</v>
      </c>
      <c r="P75" s="373" t="n">
        <v>0</v>
      </c>
      <c r="Q75" s="358" t="n">
        <v>0</v>
      </c>
      <c r="R75" s="358" t="n">
        <v>0</v>
      </c>
      <c r="S75" s="372" t="n">
        <v>0</v>
      </c>
      <c r="T75" s="373" t="n">
        <v>0</v>
      </c>
      <c r="U75" s="358" t="n">
        <v>0</v>
      </c>
      <c r="V75" s="358" t="n">
        <v>0</v>
      </c>
      <c r="W75" s="372" t="n">
        <v>0</v>
      </c>
      <c r="X75" s="373" t="n">
        <v>0</v>
      </c>
      <c r="Y75" s="358" t="n">
        <v>0</v>
      </c>
      <c r="Z75" s="358" t="n">
        <v>0</v>
      </c>
      <c r="AA75" s="358" t="n">
        <v>0</v>
      </c>
      <c r="AB75" s="373" t="n">
        <v>0</v>
      </c>
      <c r="AC75" s="358" t="n">
        <v>0</v>
      </c>
      <c r="AD75" s="358" t="n">
        <v>0</v>
      </c>
      <c r="AE75" s="358" t="n">
        <v>0</v>
      </c>
      <c r="AF75" s="359" t="n">
        <v>1</v>
      </c>
    </row>
    <row r="76" customFormat="false" ht="15" hidden="true" customHeight="false" outlineLevel="0" collapsed="false">
      <c r="B76" s="360" t="s">
        <v>2569</v>
      </c>
      <c r="C76" s="359" t="n">
        <v>1</v>
      </c>
      <c r="D76" s="358" t="n">
        <v>0</v>
      </c>
      <c r="E76" s="358" t="n">
        <v>0</v>
      </c>
      <c r="F76" s="358" t="n">
        <v>0</v>
      </c>
      <c r="G76" s="372" t="n">
        <v>0</v>
      </c>
      <c r="H76" s="373" t="n">
        <v>0</v>
      </c>
      <c r="I76" s="358" t="n">
        <v>0</v>
      </c>
      <c r="J76" s="358" t="n">
        <v>0</v>
      </c>
      <c r="K76" s="372" t="n">
        <v>0</v>
      </c>
      <c r="L76" s="373" t="n">
        <v>0</v>
      </c>
      <c r="M76" s="358" t="n">
        <v>0</v>
      </c>
      <c r="N76" s="358" t="n">
        <v>0</v>
      </c>
      <c r="O76" s="372" t="n">
        <v>0</v>
      </c>
      <c r="P76" s="373" t="n">
        <v>0</v>
      </c>
      <c r="Q76" s="358" t="n">
        <v>0</v>
      </c>
      <c r="R76" s="358" t="n">
        <v>0</v>
      </c>
      <c r="S76" s="372" t="n">
        <v>0</v>
      </c>
      <c r="T76" s="373" t="n">
        <v>0</v>
      </c>
      <c r="U76" s="358" t="n">
        <v>0</v>
      </c>
      <c r="V76" s="358" t="n">
        <v>0</v>
      </c>
      <c r="W76" s="372" t="n">
        <v>0</v>
      </c>
      <c r="X76" s="373" t="n">
        <v>0</v>
      </c>
      <c r="Y76" s="358" t="n">
        <v>0</v>
      </c>
      <c r="Z76" s="358" t="n">
        <v>0</v>
      </c>
      <c r="AA76" s="358" t="n">
        <v>0</v>
      </c>
      <c r="AB76" s="373" t="n">
        <v>0</v>
      </c>
      <c r="AC76" s="358" t="n">
        <v>0</v>
      </c>
      <c r="AD76" s="358" t="n">
        <v>0</v>
      </c>
      <c r="AE76" s="358" t="n">
        <v>0</v>
      </c>
      <c r="AF76" s="359" t="n">
        <v>1</v>
      </c>
    </row>
    <row r="77" customFormat="false" ht="15" hidden="true" customHeight="false" outlineLevel="0" collapsed="false">
      <c r="B77" s="360" t="s">
        <v>2570</v>
      </c>
      <c r="C77" s="359" t="n">
        <v>1</v>
      </c>
      <c r="D77" s="358" t="n">
        <v>0</v>
      </c>
      <c r="E77" s="358" t="n">
        <v>0</v>
      </c>
      <c r="F77" s="358" t="n">
        <v>0</v>
      </c>
      <c r="G77" s="372" t="n">
        <v>0</v>
      </c>
      <c r="H77" s="373" t="n">
        <v>0</v>
      </c>
      <c r="I77" s="358" t="n">
        <v>0</v>
      </c>
      <c r="J77" s="358" t="n">
        <v>0</v>
      </c>
      <c r="K77" s="372" t="n">
        <v>0</v>
      </c>
      <c r="L77" s="373" t="n">
        <v>0</v>
      </c>
      <c r="M77" s="358" t="n">
        <v>0</v>
      </c>
      <c r="N77" s="358" t="n">
        <v>0</v>
      </c>
      <c r="O77" s="372" t="n">
        <v>0</v>
      </c>
      <c r="P77" s="373" t="n">
        <v>0</v>
      </c>
      <c r="Q77" s="358" t="n">
        <v>0</v>
      </c>
      <c r="R77" s="358" t="n">
        <v>0</v>
      </c>
      <c r="S77" s="372" t="n">
        <v>0</v>
      </c>
      <c r="T77" s="373" t="n">
        <v>0</v>
      </c>
      <c r="U77" s="358" t="n">
        <v>0</v>
      </c>
      <c r="V77" s="358" t="n">
        <v>0</v>
      </c>
      <c r="W77" s="372" t="n">
        <v>0</v>
      </c>
      <c r="X77" s="373" t="n">
        <v>0</v>
      </c>
      <c r="Y77" s="358" t="n">
        <v>0</v>
      </c>
      <c r="Z77" s="358" t="n">
        <v>0</v>
      </c>
      <c r="AA77" s="358" t="n">
        <v>0</v>
      </c>
      <c r="AB77" s="373" t="n">
        <v>0</v>
      </c>
      <c r="AC77" s="358" t="n">
        <v>0</v>
      </c>
      <c r="AD77" s="358" t="n">
        <v>0</v>
      </c>
      <c r="AE77" s="358" t="n">
        <v>0</v>
      </c>
      <c r="AF77" s="359" t="n">
        <v>1</v>
      </c>
    </row>
    <row r="78" customFormat="false" ht="15" hidden="true" customHeight="false" outlineLevel="0" collapsed="false">
      <c r="B78" s="360" t="s">
        <v>2571</v>
      </c>
      <c r="C78" s="359" t="n">
        <v>1</v>
      </c>
      <c r="D78" s="358" t="n">
        <v>0</v>
      </c>
      <c r="E78" s="358" t="n">
        <v>0</v>
      </c>
      <c r="F78" s="358" t="n">
        <v>0</v>
      </c>
      <c r="G78" s="372" t="n">
        <v>0</v>
      </c>
      <c r="H78" s="373" t="n">
        <v>0</v>
      </c>
      <c r="I78" s="358" t="n">
        <v>0</v>
      </c>
      <c r="J78" s="358" t="n">
        <v>0</v>
      </c>
      <c r="K78" s="372" t="n">
        <v>0</v>
      </c>
      <c r="L78" s="373" t="n">
        <v>0</v>
      </c>
      <c r="M78" s="358" t="n">
        <v>0</v>
      </c>
      <c r="N78" s="358" t="n">
        <v>0</v>
      </c>
      <c r="O78" s="372" t="n">
        <v>0</v>
      </c>
      <c r="P78" s="373" t="n">
        <v>0</v>
      </c>
      <c r="Q78" s="358" t="n">
        <v>0</v>
      </c>
      <c r="R78" s="358" t="n">
        <v>0</v>
      </c>
      <c r="S78" s="372" t="n">
        <v>0</v>
      </c>
      <c r="T78" s="373" t="n">
        <v>0</v>
      </c>
      <c r="U78" s="358" t="n">
        <v>0</v>
      </c>
      <c r="V78" s="358" t="n">
        <v>0</v>
      </c>
      <c r="W78" s="372" t="n">
        <v>0</v>
      </c>
      <c r="X78" s="373" t="n">
        <v>0</v>
      </c>
      <c r="Y78" s="358" t="n">
        <v>0</v>
      </c>
      <c r="Z78" s="358" t="n">
        <v>0</v>
      </c>
      <c r="AA78" s="358" t="n">
        <v>0</v>
      </c>
      <c r="AB78" s="373" t="n">
        <v>0</v>
      </c>
      <c r="AC78" s="358" t="n">
        <v>0</v>
      </c>
      <c r="AD78" s="358" t="n">
        <v>0</v>
      </c>
      <c r="AE78" s="358" t="n">
        <v>0</v>
      </c>
      <c r="AF78" s="359" t="n">
        <v>1</v>
      </c>
    </row>
    <row r="79" customFormat="false" ht="15" hidden="true" customHeight="false" outlineLevel="0" collapsed="false">
      <c r="B79" s="360" t="s">
        <v>2572</v>
      </c>
      <c r="C79" s="359" t="n">
        <v>1</v>
      </c>
      <c r="D79" s="358" t="n">
        <v>0</v>
      </c>
      <c r="E79" s="358" t="n">
        <v>0</v>
      </c>
      <c r="F79" s="358" t="n">
        <v>0</v>
      </c>
      <c r="G79" s="372" t="n">
        <v>0</v>
      </c>
      <c r="H79" s="373" t="n">
        <v>0</v>
      </c>
      <c r="I79" s="358" t="n">
        <v>0</v>
      </c>
      <c r="J79" s="358" t="n">
        <v>0</v>
      </c>
      <c r="K79" s="372" t="n">
        <v>0</v>
      </c>
      <c r="L79" s="373" t="n">
        <v>0</v>
      </c>
      <c r="M79" s="358" t="n">
        <v>0</v>
      </c>
      <c r="N79" s="358" t="n">
        <v>0</v>
      </c>
      <c r="O79" s="372" t="n">
        <v>0</v>
      </c>
      <c r="P79" s="373" t="n">
        <v>0</v>
      </c>
      <c r="Q79" s="358" t="n">
        <v>0</v>
      </c>
      <c r="R79" s="358" t="n">
        <v>0</v>
      </c>
      <c r="S79" s="372" t="n">
        <v>0</v>
      </c>
      <c r="T79" s="373" t="n">
        <v>0</v>
      </c>
      <c r="U79" s="358" t="n">
        <v>0</v>
      </c>
      <c r="V79" s="358" t="n">
        <v>0</v>
      </c>
      <c r="W79" s="372" t="n">
        <v>0</v>
      </c>
      <c r="X79" s="373" t="n">
        <v>0</v>
      </c>
      <c r="Y79" s="358" t="n">
        <v>0</v>
      </c>
      <c r="Z79" s="358" t="n">
        <v>0</v>
      </c>
      <c r="AA79" s="358" t="n">
        <v>0</v>
      </c>
      <c r="AB79" s="373" t="n">
        <v>0</v>
      </c>
      <c r="AC79" s="358" t="n">
        <v>0</v>
      </c>
      <c r="AD79" s="358" t="n">
        <v>0</v>
      </c>
      <c r="AE79" s="358" t="n">
        <v>0</v>
      </c>
      <c r="AF79" s="359" t="n">
        <v>1</v>
      </c>
    </row>
    <row r="80" customFormat="false" ht="15" hidden="true" customHeight="false" outlineLevel="0" collapsed="false">
      <c r="B80" s="360" t="s">
        <v>2573</v>
      </c>
      <c r="C80" s="359" t="n">
        <v>1</v>
      </c>
      <c r="D80" s="358" t="n">
        <v>0</v>
      </c>
      <c r="E80" s="358" t="n">
        <v>0</v>
      </c>
      <c r="F80" s="358" t="n">
        <v>0</v>
      </c>
      <c r="G80" s="372" t="n">
        <v>0</v>
      </c>
      <c r="H80" s="373" t="n">
        <v>0</v>
      </c>
      <c r="I80" s="358" t="n">
        <v>0</v>
      </c>
      <c r="J80" s="358" t="n">
        <v>0</v>
      </c>
      <c r="K80" s="372" t="n">
        <v>0</v>
      </c>
      <c r="L80" s="373" t="n">
        <v>0</v>
      </c>
      <c r="M80" s="358" t="n">
        <v>0</v>
      </c>
      <c r="N80" s="358" t="n">
        <v>0</v>
      </c>
      <c r="O80" s="372" t="n">
        <v>0</v>
      </c>
      <c r="P80" s="373" t="n">
        <v>0</v>
      </c>
      <c r="Q80" s="358" t="n">
        <v>0</v>
      </c>
      <c r="R80" s="358" t="n">
        <v>0</v>
      </c>
      <c r="S80" s="372" t="n">
        <v>0</v>
      </c>
      <c r="T80" s="373" t="n">
        <v>0</v>
      </c>
      <c r="U80" s="358" t="n">
        <v>0</v>
      </c>
      <c r="V80" s="358" t="n">
        <v>0</v>
      </c>
      <c r="W80" s="372" t="n">
        <v>0</v>
      </c>
      <c r="X80" s="373" t="n">
        <v>0</v>
      </c>
      <c r="Y80" s="358" t="n">
        <v>0</v>
      </c>
      <c r="Z80" s="358" t="n">
        <v>0</v>
      </c>
      <c r="AA80" s="358" t="n">
        <v>0</v>
      </c>
      <c r="AB80" s="373" t="n">
        <v>0</v>
      </c>
      <c r="AC80" s="358" t="n">
        <v>0</v>
      </c>
      <c r="AD80" s="358" t="n">
        <v>0</v>
      </c>
      <c r="AE80" s="358" t="n">
        <v>0</v>
      </c>
      <c r="AF80" s="359" t="n">
        <v>1</v>
      </c>
    </row>
    <row r="81" customFormat="false" ht="15" hidden="true" customHeight="false" outlineLevel="0" collapsed="false">
      <c r="B81" s="360" t="s">
        <v>2574</v>
      </c>
      <c r="C81" s="359" t="n">
        <v>1</v>
      </c>
      <c r="D81" s="358" t="n">
        <v>0</v>
      </c>
      <c r="E81" s="358" t="n">
        <v>0</v>
      </c>
      <c r="F81" s="358" t="n">
        <v>0</v>
      </c>
      <c r="G81" s="372" t="n">
        <v>0</v>
      </c>
      <c r="H81" s="373" t="n">
        <v>0</v>
      </c>
      <c r="I81" s="358" t="n">
        <v>0</v>
      </c>
      <c r="J81" s="358" t="n">
        <v>0</v>
      </c>
      <c r="K81" s="372" t="n">
        <v>0</v>
      </c>
      <c r="L81" s="373" t="n">
        <v>0</v>
      </c>
      <c r="M81" s="358" t="n">
        <v>0</v>
      </c>
      <c r="N81" s="358" t="n">
        <v>0</v>
      </c>
      <c r="O81" s="372" t="n">
        <v>0</v>
      </c>
      <c r="P81" s="373" t="n">
        <v>0</v>
      </c>
      <c r="Q81" s="358" t="n">
        <v>0</v>
      </c>
      <c r="R81" s="358" t="n">
        <v>0</v>
      </c>
      <c r="S81" s="372" t="n">
        <v>0</v>
      </c>
      <c r="T81" s="373" t="n">
        <v>0</v>
      </c>
      <c r="U81" s="358" t="n">
        <v>0</v>
      </c>
      <c r="V81" s="358" t="n">
        <v>0</v>
      </c>
      <c r="W81" s="372" t="n">
        <v>0</v>
      </c>
      <c r="X81" s="373" t="n">
        <v>0</v>
      </c>
      <c r="Y81" s="358" t="n">
        <v>0</v>
      </c>
      <c r="Z81" s="358" t="n">
        <v>0</v>
      </c>
      <c r="AA81" s="358" t="n">
        <v>0</v>
      </c>
      <c r="AB81" s="373" t="n">
        <v>0</v>
      </c>
      <c r="AC81" s="358" t="n">
        <v>0</v>
      </c>
      <c r="AD81" s="358" t="n">
        <v>0</v>
      </c>
      <c r="AE81" s="358" t="n">
        <v>0</v>
      </c>
      <c r="AF81" s="359" t="n">
        <v>1</v>
      </c>
    </row>
    <row r="82" customFormat="false" ht="15" hidden="true" customHeight="false" outlineLevel="0" collapsed="false">
      <c r="B82" s="360" t="s">
        <v>2575</v>
      </c>
      <c r="C82" s="359" t="n">
        <v>1</v>
      </c>
      <c r="D82" s="358" t="n">
        <v>0</v>
      </c>
      <c r="E82" s="358" t="n">
        <v>0</v>
      </c>
      <c r="F82" s="358" t="n">
        <v>0</v>
      </c>
      <c r="G82" s="372" t="n">
        <v>0</v>
      </c>
      <c r="H82" s="373" t="n">
        <v>0</v>
      </c>
      <c r="I82" s="358" t="n">
        <v>0</v>
      </c>
      <c r="J82" s="358" t="n">
        <v>0</v>
      </c>
      <c r="K82" s="372" t="n">
        <v>0</v>
      </c>
      <c r="L82" s="373" t="n">
        <v>0</v>
      </c>
      <c r="M82" s="358" t="n">
        <v>0</v>
      </c>
      <c r="N82" s="358" t="n">
        <v>0</v>
      </c>
      <c r="O82" s="372" t="n">
        <v>0</v>
      </c>
      <c r="P82" s="373" t="n">
        <v>0</v>
      </c>
      <c r="Q82" s="358" t="n">
        <v>0</v>
      </c>
      <c r="R82" s="358" t="n">
        <v>0</v>
      </c>
      <c r="S82" s="372" t="n">
        <v>0</v>
      </c>
      <c r="T82" s="373" t="n">
        <v>0</v>
      </c>
      <c r="U82" s="358" t="n">
        <v>0</v>
      </c>
      <c r="V82" s="358" t="n">
        <v>0</v>
      </c>
      <c r="W82" s="372" t="n">
        <v>0</v>
      </c>
      <c r="X82" s="373" t="n">
        <v>0</v>
      </c>
      <c r="Y82" s="358" t="n">
        <v>0</v>
      </c>
      <c r="Z82" s="358" t="n">
        <v>0</v>
      </c>
      <c r="AA82" s="358" t="n">
        <v>0</v>
      </c>
      <c r="AB82" s="373" t="n">
        <v>0</v>
      </c>
      <c r="AC82" s="358" t="n">
        <v>0</v>
      </c>
      <c r="AD82" s="358" t="n">
        <v>0</v>
      </c>
      <c r="AE82" s="358" t="n">
        <v>0</v>
      </c>
      <c r="AF82" s="359" t="n">
        <v>1</v>
      </c>
    </row>
    <row r="83" customFormat="false" ht="15" hidden="true" customHeight="false" outlineLevel="0" collapsed="false">
      <c r="B83" s="360" t="s">
        <v>2576</v>
      </c>
      <c r="C83" s="359" t="n">
        <v>1</v>
      </c>
      <c r="D83" s="358" t="n">
        <v>0</v>
      </c>
      <c r="E83" s="358" t="n">
        <v>0</v>
      </c>
      <c r="F83" s="358" t="n">
        <v>0</v>
      </c>
      <c r="G83" s="372" t="n">
        <v>0</v>
      </c>
      <c r="H83" s="373" t="n">
        <v>0</v>
      </c>
      <c r="I83" s="358" t="n">
        <v>0</v>
      </c>
      <c r="J83" s="358" t="n">
        <v>0</v>
      </c>
      <c r="K83" s="372" t="n">
        <v>0</v>
      </c>
      <c r="L83" s="373" t="n">
        <v>0</v>
      </c>
      <c r="M83" s="358" t="n">
        <v>0</v>
      </c>
      <c r="N83" s="358" t="n">
        <v>0</v>
      </c>
      <c r="O83" s="372" t="n">
        <v>0</v>
      </c>
      <c r="P83" s="373" t="n">
        <v>0</v>
      </c>
      <c r="Q83" s="358" t="n">
        <v>0</v>
      </c>
      <c r="R83" s="358" t="n">
        <v>0</v>
      </c>
      <c r="S83" s="372" t="n">
        <v>0</v>
      </c>
      <c r="T83" s="373" t="n">
        <v>0</v>
      </c>
      <c r="U83" s="358" t="n">
        <v>0</v>
      </c>
      <c r="V83" s="358" t="n">
        <v>0</v>
      </c>
      <c r="W83" s="372" t="n">
        <v>0</v>
      </c>
      <c r="X83" s="373" t="n">
        <v>0</v>
      </c>
      <c r="Y83" s="358" t="n">
        <v>0</v>
      </c>
      <c r="Z83" s="358" t="n">
        <v>0</v>
      </c>
      <c r="AA83" s="358" t="n">
        <v>0</v>
      </c>
      <c r="AB83" s="373" t="n">
        <v>0</v>
      </c>
      <c r="AC83" s="358" t="n">
        <v>0</v>
      </c>
      <c r="AD83" s="358" t="n">
        <v>0</v>
      </c>
      <c r="AE83" s="358" t="n">
        <v>0</v>
      </c>
      <c r="AF83" s="359" t="n">
        <v>1</v>
      </c>
    </row>
    <row r="84" customFormat="false" ht="15" hidden="true" customHeight="false" outlineLevel="0" collapsed="false">
      <c r="B84" s="360" t="s">
        <v>2577</v>
      </c>
      <c r="C84" s="359" t="n">
        <v>1</v>
      </c>
      <c r="D84" s="358" t="n">
        <v>0</v>
      </c>
      <c r="E84" s="358" t="n">
        <v>0</v>
      </c>
      <c r="F84" s="358" t="n">
        <v>0</v>
      </c>
      <c r="G84" s="372" t="n">
        <v>0</v>
      </c>
      <c r="H84" s="373" t="n">
        <v>0</v>
      </c>
      <c r="I84" s="358" t="n">
        <v>0</v>
      </c>
      <c r="J84" s="358" t="n">
        <v>0</v>
      </c>
      <c r="K84" s="372" t="n">
        <v>0</v>
      </c>
      <c r="L84" s="373" t="n">
        <v>0</v>
      </c>
      <c r="M84" s="358" t="n">
        <v>0</v>
      </c>
      <c r="N84" s="358" t="n">
        <v>0</v>
      </c>
      <c r="O84" s="372" t="n">
        <v>0</v>
      </c>
      <c r="P84" s="373" t="n">
        <v>0</v>
      </c>
      <c r="Q84" s="358" t="n">
        <v>0</v>
      </c>
      <c r="R84" s="358" t="n">
        <v>0</v>
      </c>
      <c r="S84" s="372" t="n">
        <v>0</v>
      </c>
      <c r="T84" s="373" t="n">
        <v>0</v>
      </c>
      <c r="U84" s="358" t="n">
        <v>0</v>
      </c>
      <c r="V84" s="358" t="n">
        <v>0</v>
      </c>
      <c r="W84" s="372" t="n">
        <v>0</v>
      </c>
      <c r="X84" s="373" t="n">
        <v>0</v>
      </c>
      <c r="Y84" s="358" t="n">
        <v>0</v>
      </c>
      <c r="Z84" s="358" t="n">
        <v>0</v>
      </c>
      <c r="AA84" s="358" t="n">
        <v>0</v>
      </c>
      <c r="AB84" s="373" t="n">
        <v>0</v>
      </c>
      <c r="AC84" s="358" t="n">
        <v>0</v>
      </c>
      <c r="AD84" s="358" t="n">
        <v>0</v>
      </c>
      <c r="AE84" s="358" t="n">
        <v>0</v>
      </c>
      <c r="AF84" s="359" t="n">
        <v>1</v>
      </c>
    </row>
    <row r="85" customFormat="false" ht="15" hidden="true" customHeight="false" outlineLevel="0" collapsed="false">
      <c r="B85" s="360" t="s">
        <v>2578</v>
      </c>
      <c r="C85" s="359" t="n">
        <v>1</v>
      </c>
      <c r="D85" s="358" t="n">
        <v>0</v>
      </c>
      <c r="E85" s="358" t="n">
        <v>0</v>
      </c>
      <c r="F85" s="358" t="n">
        <v>0</v>
      </c>
      <c r="G85" s="372" t="n">
        <v>0</v>
      </c>
      <c r="H85" s="373" t="n">
        <v>0</v>
      </c>
      <c r="I85" s="358" t="n">
        <v>0</v>
      </c>
      <c r="J85" s="358" t="n">
        <v>0</v>
      </c>
      <c r="K85" s="372" t="n">
        <v>0</v>
      </c>
      <c r="L85" s="373" t="n">
        <v>0</v>
      </c>
      <c r="M85" s="358" t="n">
        <v>0</v>
      </c>
      <c r="N85" s="358" t="n">
        <v>0</v>
      </c>
      <c r="O85" s="372" t="n">
        <v>0</v>
      </c>
      <c r="P85" s="373" t="n">
        <v>0</v>
      </c>
      <c r="Q85" s="358" t="n">
        <v>0</v>
      </c>
      <c r="R85" s="358" t="n">
        <v>0</v>
      </c>
      <c r="S85" s="372" t="n">
        <v>0</v>
      </c>
      <c r="T85" s="373" t="n">
        <v>0</v>
      </c>
      <c r="U85" s="358" t="n">
        <v>0</v>
      </c>
      <c r="V85" s="358" t="n">
        <v>0</v>
      </c>
      <c r="W85" s="372" t="n">
        <v>0</v>
      </c>
      <c r="X85" s="373" t="n">
        <v>0</v>
      </c>
      <c r="Y85" s="358" t="n">
        <v>0</v>
      </c>
      <c r="Z85" s="358" t="n">
        <v>0</v>
      </c>
      <c r="AA85" s="358" t="n">
        <v>0</v>
      </c>
      <c r="AB85" s="373" t="n">
        <v>0</v>
      </c>
      <c r="AC85" s="358" t="n">
        <v>0</v>
      </c>
      <c r="AD85" s="358" t="n">
        <v>0</v>
      </c>
      <c r="AE85" s="358" t="n">
        <v>0</v>
      </c>
      <c r="AF85" s="359" t="n">
        <v>1</v>
      </c>
    </row>
    <row r="86" customFormat="false" ht="15" hidden="true" customHeight="false" outlineLevel="0" collapsed="false">
      <c r="B86" s="360" t="s">
        <v>2579</v>
      </c>
      <c r="C86" s="359" t="n">
        <v>1</v>
      </c>
      <c r="D86" s="358" t="n">
        <v>0</v>
      </c>
      <c r="E86" s="358" t="n">
        <v>0</v>
      </c>
      <c r="F86" s="358" t="n">
        <v>0</v>
      </c>
      <c r="G86" s="372" t="n">
        <v>0</v>
      </c>
      <c r="H86" s="373" t="n">
        <v>0</v>
      </c>
      <c r="I86" s="358" t="n">
        <v>0</v>
      </c>
      <c r="J86" s="358" t="n">
        <v>0</v>
      </c>
      <c r="K86" s="372" t="n">
        <v>0</v>
      </c>
      <c r="L86" s="373" t="n">
        <v>0</v>
      </c>
      <c r="M86" s="358" t="n">
        <v>0</v>
      </c>
      <c r="N86" s="358" t="n">
        <v>0</v>
      </c>
      <c r="O86" s="372" t="n">
        <v>0</v>
      </c>
      <c r="P86" s="373" t="n">
        <v>0</v>
      </c>
      <c r="Q86" s="358" t="n">
        <v>0</v>
      </c>
      <c r="R86" s="358" t="n">
        <v>0</v>
      </c>
      <c r="S86" s="372" t="n">
        <v>0</v>
      </c>
      <c r="T86" s="373" t="n">
        <v>0</v>
      </c>
      <c r="U86" s="358" t="n">
        <v>0</v>
      </c>
      <c r="V86" s="358" t="n">
        <v>0</v>
      </c>
      <c r="W86" s="372" t="n">
        <v>0</v>
      </c>
      <c r="X86" s="373" t="n">
        <v>0</v>
      </c>
      <c r="Y86" s="358" t="n">
        <v>0</v>
      </c>
      <c r="Z86" s="358" t="n">
        <v>0</v>
      </c>
      <c r="AA86" s="358" t="n">
        <v>0</v>
      </c>
      <c r="AB86" s="373" t="n">
        <v>0</v>
      </c>
      <c r="AC86" s="358" t="n">
        <v>0</v>
      </c>
      <c r="AD86" s="358" t="n">
        <v>0</v>
      </c>
      <c r="AE86" s="358" t="n">
        <v>0</v>
      </c>
      <c r="AF86" s="359" t="n">
        <v>1</v>
      </c>
    </row>
    <row r="87" customFormat="false" ht="15" hidden="false" customHeight="false" outlineLevel="0" collapsed="false">
      <c r="B87" s="310" t="s">
        <v>1808</v>
      </c>
      <c r="C87" s="359" t="n">
        <v>38</v>
      </c>
      <c r="D87" s="358" t="n">
        <v>0</v>
      </c>
      <c r="E87" s="358" t="n">
        <v>0</v>
      </c>
      <c r="F87" s="358" t="n">
        <v>0</v>
      </c>
      <c r="G87" s="372" t="n">
        <v>0</v>
      </c>
      <c r="H87" s="373" t="n">
        <v>0</v>
      </c>
      <c r="I87" s="358" t="n">
        <v>0</v>
      </c>
      <c r="J87" s="358" t="n">
        <v>0</v>
      </c>
      <c r="K87" s="372" t="n">
        <v>0</v>
      </c>
      <c r="L87" s="373" t="n">
        <v>0</v>
      </c>
      <c r="M87" s="358" t="n">
        <v>0</v>
      </c>
      <c r="N87" s="358" t="n">
        <v>0</v>
      </c>
      <c r="O87" s="372" t="n">
        <v>0</v>
      </c>
      <c r="P87" s="373" t="n">
        <v>0</v>
      </c>
      <c r="Q87" s="358" t="n">
        <v>0</v>
      </c>
      <c r="R87" s="358" t="n">
        <v>0</v>
      </c>
      <c r="S87" s="372" t="n">
        <v>0</v>
      </c>
      <c r="T87" s="373" t="n">
        <v>0</v>
      </c>
      <c r="U87" s="358" t="n">
        <v>0</v>
      </c>
      <c r="V87" s="358" t="n">
        <v>0</v>
      </c>
      <c r="W87" s="372" t="n">
        <v>0</v>
      </c>
      <c r="X87" s="373" t="n">
        <v>0</v>
      </c>
      <c r="Y87" s="358" t="n">
        <v>0</v>
      </c>
      <c r="Z87" s="358" t="n">
        <v>0</v>
      </c>
      <c r="AA87" s="358" t="n">
        <v>0</v>
      </c>
      <c r="AB87" s="373" t="n">
        <v>0</v>
      </c>
      <c r="AC87" s="358" t="n">
        <v>0</v>
      </c>
      <c r="AD87" s="358" t="n">
        <v>0</v>
      </c>
      <c r="AE87" s="358" t="n">
        <v>0</v>
      </c>
      <c r="AF87" s="359" t="n">
        <v>38</v>
      </c>
    </row>
    <row r="88" customFormat="false" ht="15" hidden="true" customHeight="false" outlineLevel="0" collapsed="false">
      <c r="B88" s="360" t="s">
        <v>2580</v>
      </c>
      <c r="C88" s="359" t="n">
        <v>1</v>
      </c>
      <c r="D88" s="358" t="n">
        <v>0</v>
      </c>
      <c r="E88" s="358" t="n">
        <v>0</v>
      </c>
      <c r="F88" s="358" t="n">
        <v>0</v>
      </c>
      <c r="G88" s="372" t="n">
        <v>0</v>
      </c>
      <c r="H88" s="373" t="n">
        <v>0</v>
      </c>
      <c r="I88" s="358" t="n">
        <v>0</v>
      </c>
      <c r="J88" s="358" t="n">
        <v>0</v>
      </c>
      <c r="K88" s="372" t="n">
        <v>0</v>
      </c>
      <c r="L88" s="373" t="n">
        <v>0</v>
      </c>
      <c r="M88" s="358" t="n">
        <v>0</v>
      </c>
      <c r="N88" s="358" t="n">
        <v>0</v>
      </c>
      <c r="O88" s="372" t="n">
        <v>0</v>
      </c>
      <c r="P88" s="373" t="n">
        <v>0</v>
      </c>
      <c r="Q88" s="358" t="n">
        <v>0</v>
      </c>
      <c r="R88" s="358" t="n">
        <v>0</v>
      </c>
      <c r="S88" s="372" t="n">
        <v>0</v>
      </c>
      <c r="T88" s="373" t="n">
        <v>0</v>
      </c>
      <c r="U88" s="358" t="n">
        <v>0</v>
      </c>
      <c r="V88" s="358" t="n">
        <v>0</v>
      </c>
      <c r="W88" s="372" t="n">
        <v>0</v>
      </c>
      <c r="X88" s="373" t="n">
        <v>0</v>
      </c>
      <c r="Y88" s="358" t="n">
        <v>0</v>
      </c>
      <c r="Z88" s="358" t="n">
        <v>0</v>
      </c>
      <c r="AA88" s="358" t="n">
        <v>0</v>
      </c>
      <c r="AB88" s="373" t="n">
        <v>0</v>
      </c>
      <c r="AC88" s="358" t="n">
        <v>0</v>
      </c>
      <c r="AD88" s="358" t="n">
        <v>0</v>
      </c>
      <c r="AE88" s="358" t="n">
        <v>0</v>
      </c>
      <c r="AF88" s="359" t="n">
        <v>1</v>
      </c>
    </row>
    <row r="89" customFormat="false" ht="15" hidden="true" customHeight="false" outlineLevel="0" collapsed="false">
      <c r="B89" s="360" t="s">
        <v>2581</v>
      </c>
      <c r="C89" s="359" t="n">
        <v>1</v>
      </c>
      <c r="D89" s="358" t="n">
        <v>0</v>
      </c>
      <c r="E89" s="358" t="n">
        <v>0</v>
      </c>
      <c r="F89" s="358" t="n">
        <v>0</v>
      </c>
      <c r="G89" s="372" t="n">
        <v>0</v>
      </c>
      <c r="H89" s="373" t="n">
        <v>0</v>
      </c>
      <c r="I89" s="358" t="n">
        <v>0</v>
      </c>
      <c r="J89" s="358" t="n">
        <v>0</v>
      </c>
      <c r="K89" s="372" t="n">
        <v>0</v>
      </c>
      <c r="L89" s="373" t="n">
        <v>0</v>
      </c>
      <c r="M89" s="358" t="n">
        <v>0</v>
      </c>
      <c r="N89" s="358" t="n">
        <v>0</v>
      </c>
      <c r="O89" s="372" t="n">
        <v>0</v>
      </c>
      <c r="P89" s="373" t="n">
        <v>0</v>
      </c>
      <c r="Q89" s="358" t="n">
        <v>0</v>
      </c>
      <c r="R89" s="358" t="n">
        <v>0</v>
      </c>
      <c r="S89" s="372" t="n">
        <v>0</v>
      </c>
      <c r="T89" s="373" t="n">
        <v>0</v>
      </c>
      <c r="U89" s="358" t="n">
        <v>0</v>
      </c>
      <c r="V89" s="358" t="n">
        <v>0</v>
      </c>
      <c r="W89" s="372" t="n">
        <v>0</v>
      </c>
      <c r="X89" s="373" t="n">
        <v>0</v>
      </c>
      <c r="Y89" s="358" t="n">
        <v>0</v>
      </c>
      <c r="Z89" s="358" t="n">
        <v>0</v>
      </c>
      <c r="AA89" s="358" t="n">
        <v>0</v>
      </c>
      <c r="AB89" s="373" t="n">
        <v>0</v>
      </c>
      <c r="AC89" s="358" t="n">
        <v>0</v>
      </c>
      <c r="AD89" s="358" t="n">
        <v>0</v>
      </c>
      <c r="AE89" s="358" t="n">
        <v>0</v>
      </c>
      <c r="AF89" s="359" t="n">
        <v>1</v>
      </c>
    </row>
    <row r="90" customFormat="false" ht="15" hidden="true" customHeight="false" outlineLevel="0" collapsed="false">
      <c r="B90" s="360" t="s">
        <v>2582</v>
      </c>
      <c r="C90" s="359" t="n">
        <v>1</v>
      </c>
      <c r="D90" s="358" t="n">
        <v>0</v>
      </c>
      <c r="E90" s="358" t="n">
        <v>0</v>
      </c>
      <c r="F90" s="358" t="n">
        <v>0</v>
      </c>
      <c r="G90" s="372" t="n">
        <v>0</v>
      </c>
      <c r="H90" s="373" t="n">
        <v>0</v>
      </c>
      <c r="I90" s="358" t="n">
        <v>0</v>
      </c>
      <c r="J90" s="358" t="n">
        <v>0</v>
      </c>
      <c r="K90" s="372" t="n">
        <v>0</v>
      </c>
      <c r="L90" s="373" t="n">
        <v>0</v>
      </c>
      <c r="M90" s="358" t="n">
        <v>0</v>
      </c>
      <c r="N90" s="358" t="n">
        <v>0</v>
      </c>
      <c r="O90" s="372" t="n">
        <v>0</v>
      </c>
      <c r="P90" s="373" t="n">
        <v>0</v>
      </c>
      <c r="Q90" s="358" t="n">
        <v>0</v>
      </c>
      <c r="R90" s="358" t="n">
        <v>0</v>
      </c>
      <c r="S90" s="372" t="n">
        <v>0</v>
      </c>
      <c r="T90" s="373" t="n">
        <v>0</v>
      </c>
      <c r="U90" s="358" t="n">
        <v>0</v>
      </c>
      <c r="V90" s="358" t="n">
        <v>0</v>
      </c>
      <c r="W90" s="372" t="n">
        <v>0</v>
      </c>
      <c r="X90" s="373" t="n">
        <v>0</v>
      </c>
      <c r="Y90" s="358" t="n">
        <v>0</v>
      </c>
      <c r="Z90" s="358" t="n">
        <v>0</v>
      </c>
      <c r="AA90" s="358" t="n">
        <v>0</v>
      </c>
      <c r="AB90" s="373" t="n">
        <v>0</v>
      </c>
      <c r="AC90" s="358" t="n">
        <v>0</v>
      </c>
      <c r="AD90" s="358" t="n">
        <v>0</v>
      </c>
      <c r="AE90" s="358" t="n">
        <v>0</v>
      </c>
      <c r="AF90" s="359" t="n">
        <v>1</v>
      </c>
    </row>
    <row r="91" customFormat="false" ht="15" hidden="true" customHeight="false" outlineLevel="0" collapsed="false">
      <c r="B91" s="360" t="s">
        <v>2583</v>
      </c>
      <c r="C91" s="359" t="n">
        <v>1</v>
      </c>
      <c r="D91" s="358" t="n">
        <v>0</v>
      </c>
      <c r="E91" s="358" t="n">
        <v>0</v>
      </c>
      <c r="F91" s="358" t="n">
        <v>0</v>
      </c>
      <c r="G91" s="372" t="n">
        <v>0</v>
      </c>
      <c r="H91" s="373" t="n">
        <v>0</v>
      </c>
      <c r="I91" s="358" t="n">
        <v>0</v>
      </c>
      <c r="J91" s="358" t="n">
        <v>0</v>
      </c>
      <c r="K91" s="372" t="n">
        <v>0</v>
      </c>
      <c r="L91" s="373" t="n">
        <v>0</v>
      </c>
      <c r="M91" s="358" t="n">
        <v>0</v>
      </c>
      <c r="N91" s="358" t="n">
        <v>0</v>
      </c>
      <c r="O91" s="372" t="n">
        <v>0</v>
      </c>
      <c r="P91" s="373" t="n">
        <v>0</v>
      </c>
      <c r="Q91" s="358" t="n">
        <v>0</v>
      </c>
      <c r="R91" s="358" t="n">
        <v>0</v>
      </c>
      <c r="S91" s="372" t="n">
        <v>0</v>
      </c>
      <c r="T91" s="373" t="n">
        <v>0</v>
      </c>
      <c r="U91" s="358" t="n">
        <v>0</v>
      </c>
      <c r="V91" s="358" t="n">
        <v>0</v>
      </c>
      <c r="W91" s="372" t="n">
        <v>0</v>
      </c>
      <c r="X91" s="373" t="n">
        <v>0</v>
      </c>
      <c r="Y91" s="358" t="n">
        <v>0</v>
      </c>
      <c r="Z91" s="358" t="n">
        <v>0</v>
      </c>
      <c r="AA91" s="358" t="n">
        <v>0</v>
      </c>
      <c r="AB91" s="373" t="n">
        <v>0</v>
      </c>
      <c r="AC91" s="358" t="n">
        <v>0</v>
      </c>
      <c r="AD91" s="358" t="n">
        <v>0</v>
      </c>
      <c r="AE91" s="358" t="n">
        <v>0</v>
      </c>
      <c r="AF91" s="359" t="n">
        <v>1</v>
      </c>
    </row>
    <row r="92" customFormat="false" ht="15" hidden="true" customHeight="false" outlineLevel="0" collapsed="false">
      <c r="B92" s="360" t="s">
        <v>2584</v>
      </c>
      <c r="C92" s="359" t="n">
        <v>1</v>
      </c>
      <c r="D92" s="358" t="n">
        <v>0</v>
      </c>
      <c r="E92" s="358" t="n">
        <v>0</v>
      </c>
      <c r="F92" s="358" t="n">
        <v>0</v>
      </c>
      <c r="G92" s="372" t="n">
        <v>0</v>
      </c>
      <c r="H92" s="373" t="n">
        <v>0</v>
      </c>
      <c r="I92" s="358" t="n">
        <v>0</v>
      </c>
      <c r="J92" s="358" t="n">
        <v>0</v>
      </c>
      <c r="K92" s="372" t="n">
        <v>0</v>
      </c>
      <c r="L92" s="373" t="n">
        <v>0</v>
      </c>
      <c r="M92" s="358" t="n">
        <v>0</v>
      </c>
      <c r="N92" s="358" t="n">
        <v>0</v>
      </c>
      <c r="O92" s="372" t="n">
        <v>0</v>
      </c>
      <c r="P92" s="373" t="n">
        <v>0</v>
      </c>
      <c r="Q92" s="358" t="n">
        <v>0</v>
      </c>
      <c r="R92" s="358" t="n">
        <v>0</v>
      </c>
      <c r="S92" s="372" t="n">
        <v>0</v>
      </c>
      <c r="T92" s="373" t="n">
        <v>0</v>
      </c>
      <c r="U92" s="358" t="n">
        <v>0</v>
      </c>
      <c r="V92" s="358" t="n">
        <v>0</v>
      </c>
      <c r="W92" s="372" t="n">
        <v>0</v>
      </c>
      <c r="X92" s="373" t="n">
        <v>0</v>
      </c>
      <c r="Y92" s="358" t="n">
        <v>0</v>
      </c>
      <c r="Z92" s="358" t="n">
        <v>0</v>
      </c>
      <c r="AA92" s="358" t="n">
        <v>0</v>
      </c>
      <c r="AB92" s="373" t="n">
        <v>0</v>
      </c>
      <c r="AC92" s="358" t="n">
        <v>0</v>
      </c>
      <c r="AD92" s="358" t="n">
        <v>0</v>
      </c>
      <c r="AE92" s="358" t="n">
        <v>0</v>
      </c>
      <c r="AF92" s="359" t="n">
        <v>1</v>
      </c>
    </row>
    <row r="93" customFormat="false" ht="15" hidden="true" customHeight="false" outlineLevel="0" collapsed="false">
      <c r="B93" s="360" t="s">
        <v>2585</v>
      </c>
      <c r="C93" s="359" t="n">
        <v>1</v>
      </c>
      <c r="D93" s="358" t="n">
        <v>0</v>
      </c>
      <c r="E93" s="358" t="n">
        <v>0</v>
      </c>
      <c r="F93" s="358" t="n">
        <v>0</v>
      </c>
      <c r="G93" s="372" t="n">
        <v>0</v>
      </c>
      <c r="H93" s="373" t="n">
        <v>0</v>
      </c>
      <c r="I93" s="358" t="n">
        <v>0</v>
      </c>
      <c r="J93" s="358" t="n">
        <v>0</v>
      </c>
      <c r="K93" s="372" t="n">
        <v>0</v>
      </c>
      <c r="L93" s="373" t="n">
        <v>0</v>
      </c>
      <c r="M93" s="358" t="n">
        <v>0</v>
      </c>
      <c r="N93" s="358" t="n">
        <v>0</v>
      </c>
      <c r="O93" s="372" t="n">
        <v>0</v>
      </c>
      <c r="P93" s="373" t="n">
        <v>0</v>
      </c>
      <c r="Q93" s="358" t="n">
        <v>0</v>
      </c>
      <c r="R93" s="358" t="n">
        <v>0</v>
      </c>
      <c r="S93" s="372" t="n">
        <v>0</v>
      </c>
      <c r="T93" s="373" t="n">
        <v>0</v>
      </c>
      <c r="U93" s="358" t="n">
        <v>0</v>
      </c>
      <c r="V93" s="358" t="n">
        <v>0</v>
      </c>
      <c r="W93" s="372" t="n">
        <v>0</v>
      </c>
      <c r="X93" s="373" t="n">
        <v>0</v>
      </c>
      <c r="Y93" s="358" t="n">
        <v>0</v>
      </c>
      <c r="Z93" s="358" t="n">
        <v>0</v>
      </c>
      <c r="AA93" s="358" t="n">
        <v>0</v>
      </c>
      <c r="AB93" s="373" t="n">
        <v>0</v>
      </c>
      <c r="AC93" s="358" t="n">
        <v>0</v>
      </c>
      <c r="AD93" s="358" t="n">
        <v>0</v>
      </c>
      <c r="AE93" s="358" t="n">
        <v>0</v>
      </c>
      <c r="AF93" s="359" t="n">
        <v>1</v>
      </c>
    </row>
    <row r="94" customFormat="false" ht="15" hidden="true" customHeight="false" outlineLevel="0" collapsed="false">
      <c r="B94" s="360" t="s">
        <v>2586</v>
      </c>
      <c r="C94" s="359" t="n">
        <v>1</v>
      </c>
      <c r="D94" s="358" t="n">
        <v>0</v>
      </c>
      <c r="E94" s="358" t="n">
        <v>0</v>
      </c>
      <c r="F94" s="358" t="n">
        <v>0</v>
      </c>
      <c r="G94" s="372" t="n">
        <v>0</v>
      </c>
      <c r="H94" s="373" t="n">
        <v>0</v>
      </c>
      <c r="I94" s="358" t="n">
        <v>0</v>
      </c>
      <c r="J94" s="358" t="n">
        <v>0</v>
      </c>
      <c r="K94" s="372" t="n">
        <v>0</v>
      </c>
      <c r="L94" s="373" t="n">
        <v>0</v>
      </c>
      <c r="M94" s="358" t="n">
        <v>0</v>
      </c>
      <c r="N94" s="358" t="n">
        <v>0</v>
      </c>
      <c r="O94" s="372" t="n">
        <v>0</v>
      </c>
      <c r="P94" s="373" t="n">
        <v>0</v>
      </c>
      <c r="Q94" s="358" t="n">
        <v>0</v>
      </c>
      <c r="R94" s="358" t="n">
        <v>0</v>
      </c>
      <c r="S94" s="372" t="n">
        <v>0</v>
      </c>
      <c r="T94" s="373" t="n">
        <v>0</v>
      </c>
      <c r="U94" s="358" t="n">
        <v>0</v>
      </c>
      <c r="V94" s="358" t="n">
        <v>0</v>
      </c>
      <c r="W94" s="372" t="n">
        <v>0</v>
      </c>
      <c r="X94" s="373" t="n">
        <v>0</v>
      </c>
      <c r="Y94" s="358" t="n">
        <v>0</v>
      </c>
      <c r="Z94" s="358" t="n">
        <v>0</v>
      </c>
      <c r="AA94" s="358" t="n">
        <v>0</v>
      </c>
      <c r="AB94" s="373" t="n">
        <v>0</v>
      </c>
      <c r="AC94" s="358" t="n">
        <v>0</v>
      </c>
      <c r="AD94" s="358" t="n">
        <v>0</v>
      </c>
      <c r="AE94" s="358" t="n">
        <v>0</v>
      </c>
      <c r="AF94" s="359" t="n">
        <v>1</v>
      </c>
    </row>
    <row r="95" customFormat="false" ht="15" hidden="true" customHeight="false" outlineLevel="0" collapsed="false">
      <c r="B95" s="360" t="s">
        <v>2587</v>
      </c>
      <c r="C95" s="359" t="n">
        <v>1</v>
      </c>
      <c r="D95" s="358" t="n">
        <v>0</v>
      </c>
      <c r="E95" s="358" t="n">
        <v>0</v>
      </c>
      <c r="F95" s="358" t="n">
        <v>0</v>
      </c>
      <c r="G95" s="372" t="n">
        <v>0</v>
      </c>
      <c r="H95" s="373" t="n">
        <v>0</v>
      </c>
      <c r="I95" s="358" t="n">
        <v>0</v>
      </c>
      <c r="J95" s="358" t="n">
        <v>0</v>
      </c>
      <c r="K95" s="372" t="n">
        <v>0</v>
      </c>
      <c r="L95" s="373" t="n">
        <v>0</v>
      </c>
      <c r="M95" s="358" t="n">
        <v>0</v>
      </c>
      <c r="N95" s="358" t="n">
        <v>0</v>
      </c>
      <c r="O95" s="372" t="n">
        <v>0</v>
      </c>
      <c r="P95" s="373" t="n">
        <v>0</v>
      </c>
      <c r="Q95" s="358" t="n">
        <v>0</v>
      </c>
      <c r="R95" s="358" t="n">
        <v>0</v>
      </c>
      <c r="S95" s="372" t="n">
        <v>0</v>
      </c>
      <c r="T95" s="373" t="n">
        <v>0</v>
      </c>
      <c r="U95" s="358" t="n">
        <v>0</v>
      </c>
      <c r="V95" s="358" t="n">
        <v>0</v>
      </c>
      <c r="W95" s="372" t="n">
        <v>0</v>
      </c>
      <c r="X95" s="373" t="n">
        <v>0</v>
      </c>
      <c r="Y95" s="358" t="n">
        <v>0</v>
      </c>
      <c r="Z95" s="358" t="n">
        <v>0</v>
      </c>
      <c r="AA95" s="358" t="n">
        <v>0</v>
      </c>
      <c r="AB95" s="373" t="n">
        <v>0</v>
      </c>
      <c r="AC95" s="358" t="n">
        <v>0</v>
      </c>
      <c r="AD95" s="358" t="n">
        <v>0</v>
      </c>
      <c r="AE95" s="358" t="n">
        <v>0</v>
      </c>
      <c r="AF95" s="359" t="n">
        <v>1</v>
      </c>
    </row>
    <row r="96" customFormat="false" ht="15" hidden="true" customHeight="false" outlineLevel="0" collapsed="false">
      <c r="B96" s="360" t="s">
        <v>2588</v>
      </c>
      <c r="C96" s="359" t="n">
        <v>1</v>
      </c>
      <c r="D96" s="358" t="n">
        <v>0</v>
      </c>
      <c r="E96" s="358" t="n">
        <v>0</v>
      </c>
      <c r="F96" s="358" t="n">
        <v>0</v>
      </c>
      <c r="G96" s="372" t="n">
        <v>0</v>
      </c>
      <c r="H96" s="373" t="n">
        <v>0</v>
      </c>
      <c r="I96" s="358" t="n">
        <v>0</v>
      </c>
      <c r="J96" s="358" t="n">
        <v>0</v>
      </c>
      <c r="K96" s="372" t="n">
        <v>0</v>
      </c>
      <c r="L96" s="373" t="n">
        <v>0</v>
      </c>
      <c r="M96" s="358" t="n">
        <v>0</v>
      </c>
      <c r="N96" s="358" t="n">
        <v>0</v>
      </c>
      <c r="O96" s="372" t="n">
        <v>0</v>
      </c>
      <c r="P96" s="373" t="n">
        <v>0</v>
      </c>
      <c r="Q96" s="358" t="n">
        <v>0</v>
      </c>
      <c r="R96" s="358" t="n">
        <v>0</v>
      </c>
      <c r="S96" s="372" t="n">
        <v>0</v>
      </c>
      <c r="T96" s="373" t="n">
        <v>0</v>
      </c>
      <c r="U96" s="358" t="n">
        <v>0</v>
      </c>
      <c r="V96" s="358" t="n">
        <v>0</v>
      </c>
      <c r="W96" s="372" t="n">
        <v>0</v>
      </c>
      <c r="X96" s="373" t="n">
        <v>0</v>
      </c>
      <c r="Y96" s="358" t="n">
        <v>0</v>
      </c>
      <c r="Z96" s="358" t="n">
        <v>0</v>
      </c>
      <c r="AA96" s="358" t="n">
        <v>0</v>
      </c>
      <c r="AB96" s="373" t="n">
        <v>0</v>
      </c>
      <c r="AC96" s="358" t="n">
        <v>0</v>
      </c>
      <c r="AD96" s="358" t="n">
        <v>0</v>
      </c>
      <c r="AE96" s="358" t="n">
        <v>0</v>
      </c>
      <c r="AF96" s="359" t="n">
        <v>1</v>
      </c>
    </row>
    <row r="97" customFormat="false" ht="15" hidden="true" customHeight="false" outlineLevel="0" collapsed="false">
      <c r="B97" s="360" t="s">
        <v>2589</v>
      </c>
      <c r="C97" s="359" t="n">
        <v>1</v>
      </c>
      <c r="D97" s="358" t="n">
        <v>0</v>
      </c>
      <c r="E97" s="358" t="n">
        <v>0</v>
      </c>
      <c r="F97" s="358" t="n">
        <v>0</v>
      </c>
      <c r="G97" s="372" t="n">
        <v>0</v>
      </c>
      <c r="H97" s="373" t="n">
        <v>0</v>
      </c>
      <c r="I97" s="358" t="n">
        <v>0</v>
      </c>
      <c r="J97" s="358" t="n">
        <v>0</v>
      </c>
      <c r="K97" s="372" t="n">
        <v>0</v>
      </c>
      <c r="L97" s="373" t="n">
        <v>0</v>
      </c>
      <c r="M97" s="358" t="n">
        <v>0</v>
      </c>
      <c r="N97" s="358" t="n">
        <v>0</v>
      </c>
      <c r="O97" s="372" t="n">
        <v>0</v>
      </c>
      <c r="P97" s="373" t="n">
        <v>0</v>
      </c>
      <c r="Q97" s="358" t="n">
        <v>0</v>
      </c>
      <c r="R97" s="358" t="n">
        <v>0</v>
      </c>
      <c r="S97" s="372" t="n">
        <v>0</v>
      </c>
      <c r="T97" s="373" t="n">
        <v>0</v>
      </c>
      <c r="U97" s="358" t="n">
        <v>0</v>
      </c>
      <c r="V97" s="358" t="n">
        <v>0</v>
      </c>
      <c r="W97" s="372" t="n">
        <v>0</v>
      </c>
      <c r="X97" s="373" t="n">
        <v>0</v>
      </c>
      <c r="Y97" s="358" t="n">
        <v>0</v>
      </c>
      <c r="Z97" s="358" t="n">
        <v>0</v>
      </c>
      <c r="AA97" s="358" t="n">
        <v>0</v>
      </c>
      <c r="AB97" s="373" t="n">
        <v>0</v>
      </c>
      <c r="AC97" s="358" t="n">
        <v>0</v>
      </c>
      <c r="AD97" s="358" t="n">
        <v>0</v>
      </c>
      <c r="AE97" s="358" t="n">
        <v>0</v>
      </c>
      <c r="AF97" s="359" t="n">
        <v>1</v>
      </c>
    </row>
    <row r="98" customFormat="false" ht="15" hidden="true" customHeight="false" outlineLevel="0" collapsed="false">
      <c r="B98" s="360" t="s">
        <v>2590</v>
      </c>
      <c r="C98" s="359" t="n">
        <v>1</v>
      </c>
      <c r="D98" s="358" t="n">
        <v>0</v>
      </c>
      <c r="E98" s="358" t="n">
        <v>0</v>
      </c>
      <c r="F98" s="358" t="n">
        <v>0</v>
      </c>
      <c r="G98" s="372" t="n">
        <v>0</v>
      </c>
      <c r="H98" s="373" t="n">
        <v>0</v>
      </c>
      <c r="I98" s="358" t="n">
        <v>0</v>
      </c>
      <c r="J98" s="358" t="n">
        <v>0</v>
      </c>
      <c r="K98" s="372" t="n">
        <v>0</v>
      </c>
      <c r="L98" s="373" t="n">
        <v>0</v>
      </c>
      <c r="M98" s="358" t="n">
        <v>0</v>
      </c>
      <c r="N98" s="358" t="n">
        <v>0</v>
      </c>
      <c r="O98" s="372" t="n">
        <v>0</v>
      </c>
      <c r="P98" s="373" t="n">
        <v>0</v>
      </c>
      <c r="Q98" s="358" t="n">
        <v>0</v>
      </c>
      <c r="R98" s="358" t="n">
        <v>0</v>
      </c>
      <c r="S98" s="372" t="n">
        <v>0</v>
      </c>
      <c r="T98" s="373" t="n">
        <v>0</v>
      </c>
      <c r="U98" s="358" t="n">
        <v>0</v>
      </c>
      <c r="V98" s="358" t="n">
        <v>0</v>
      </c>
      <c r="W98" s="372" t="n">
        <v>0</v>
      </c>
      <c r="X98" s="373" t="n">
        <v>0</v>
      </c>
      <c r="Y98" s="358" t="n">
        <v>0</v>
      </c>
      <c r="Z98" s="358" t="n">
        <v>0</v>
      </c>
      <c r="AA98" s="358" t="n">
        <v>0</v>
      </c>
      <c r="AB98" s="373" t="n">
        <v>0</v>
      </c>
      <c r="AC98" s="358" t="n">
        <v>0</v>
      </c>
      <c r="AD98" s="358" t="n">
        <v>0</v>
      </c>
      <c r="AE98" s="358" t="n">
        <v>0</v>
      </c>
      <c r="AF98" s="359" t="n">
        <v>1</v>
      </c>
    </row>
    <row r="99" customFormat="false" ht="15" hidden="true" customHeight="false" outlineLevel="0" collapsed="false">
      <c r="B99" s="360" t="s">
        <v>2591</v>
      </c>
      <c r="C99" s="359" t="n">
        <v>1</v>
      </c>
      <c r="D99" s="358" t="n">
        <v>0</v>
      </c>
      <c r="E99" s="358" t="n">
        <v>0</v>
      </c>
      <c r="F99" s="358" t="n">
        <v>0</v>
      </c>
      <c r="G99" s="372" t="n">
        <v>0</v>
      </c>
      <c r="H99" s="373" t="n">
        <v>0</v>
      </c>
      <c r="I99" s="358" t="n">
        <v>0</v>
      </c>
      <c r="J99" s="358" t="n">
        <v>0</v>
      </c>
      <c r="K99" s="372" t="n">
        <v>0</v>
      </c>
      <c r="L99" s="373" t="n">
        <v>0</v>
      </c>
      <c r="M99" s="358" t="n">
        <v>0</v>
      </c>
      <c r="N99" s="358" t="n">
        <v>0</v>
      </c>
      <c r="O99" s="372" t="n">
        <v>0</v>
      </c>
      <c r="P99" s="373" t="n">
        <v>0</v>
      </c>
      <c r="Q99" s="358" t="n">
        <v>0</v>
      </c>
      <c r="R99" s="358" t="n">
        <v>0</v>
      </c>
      <c r="S99" s="372" t="n">
        <v>0</v>
      </c>
      <c r="T99" s="373" t="n">
        <v>0</v>
      </c>
      <c r="U99" s="358" t="n">
        <v>0</v>
      </c>
      <c r="V99" s="358" t="n">
        <v>0</v>
      </c>
      <c r="W99" s="372" t="n">
        <v>0</v>
      </c>
      <c r="X99" s="373" t="n">
        <v>0</v>
      </c>
      <c r="Y99" s="358" t="n">
        <v>0</v>
      </c>
      <c r="Z99" s="358" t="n">
        <v>0</v>
      </c>
      <c r="AA99" s="358" t="n">
        <v>0</v>
      </c>
      <c r="AB99" s="373" t="n">
        <v>0</v>
      </c>
      <c r="AC99" s="358" t="n">
        <v>0</v>
      </c>
      <c r="AD99" s="358" t="n">
        <v>0</v>
      </c>
      <c r="AE99" s="358" t="n">
        <v>0</v>
      </c>
      <c r="AF99" s="359" t="n">
        <v>1</v>
      </c>
    </row>
    <row r="100" customFormat="false" ht="15" hidden="true" customHeight="false" outlineLevel="0" collapsed="false">
      <c r="B100" s="360" t="s">
        <v>2592</v>
      </c>
      <c r="C100" s="359" t="n">
        <v>1</v>
      </c>
      <c r="D100" s="358" t="n">
        <v>0</v>
      </c>
      <c r="E100" s="358" t="n">
        <v>0</v>
      </c>
      <c r="F100" s="358" t="n">
        <v>0</v>
      </c>
      <c r="G100" s="372" t="n">
        <v>0</v>
      </c>
      <c r="H100" s="373" t="n">
        <v>0</v>
      </c>
      <c r="I100" s="358" t="n">
        <v>0</v>
      </c>
      <c r="J100" s="358" t="n">
        <v>0</v>
      </c>
      <c r="K100" s="372" t="n">
        <v>0</v>
      </c>
      <c r="L100" s="373" t="n">
        <v>0</v>
      </c>
      <c r="M100" s="358" t="n">
        <v>0</v>
      </c>
      <c r="N100" s="358" t="n">
        <v>0</v>
      </c>
      <c r="O100" s="372" t="n">
        <v>0</v>
      </c>
      <c r="P100" s="373" t="n">
        <v>0</v>
      </c>
      <c r="Q100" s="358" t="n">
        <v>0</v>
      </c>
      <c r="R100" s="358" t="n">
        <v>0</v>
      </c>
      <c r="S100" s="372" t="n">
        <v>0</v>
      </c>
      <c r="T100" s="373" t="n">
        <v>0</v>
      </c>
      <c r="U100" s="358" t="n">
        <v>0</v>
      </c>
      <c r="V100" s="358" t="n">
        <v>0</v>
      </c>
      <c r="W100" s="372" t="n">
        <v>0</v>
      </c>
      <c r="X100" s="373" t="n">
        <v>0</v>
      </c>
      <c r="Y100" s="358" t="n">
        <v>0</v>
      </c>
      <c r="Z100" s="358" t="n">
        <v>0</v>
      </c>
      <c r="AA100" s="358" t="n">
        <v>0</v>
      </c>
      <c r="AB100" s="373" t="n">
        <v>0</v>
      </c>
      <c r="AC100" s="358" t="n">
        <v>0</v>
      </c>
      <c r="AD100" s="358" t="n">
        <v>0</v>
      </c>
      <c r="AE100" s="358" t="n">
        <v>0</v>
      </c>
      <c r="AF100" s="359" t="n">
        <v>1</v>
      </c>
    </row>
    <row r="101" customFormat="false" ht="15" hidden="true" customHeight="false" outlineLevel="0" collapsed="false">
      <c r="B101" s="360" t="s">
        <v>2593</v>
      </c>
      <c r="C101" s="359" t="n">
        <v>1</v>
      </c>
      <c r="D101" s="358" t="n">
        <v>0</v>
      </c>
      <c r="E101" s="358" t="n">
        <v>0</v>
      </c>
      <c r="F101" s="358" t="n">
        <v>0</v>
      </c>
      <c r="G101" s="372" t="n">
        <v>0</v>
      </c>
      <c r="H101" s="373" t="n">
        <v>0</v>
      </c>
      <c r="I101" s="358" t="n">
        <v>0</v>
      </c>
      <c r="J101" s="358" t="n">
        <v>0</v>
      </c>
      <c r="K101" s="372" t="n">
        <v>0</v>
      </c>
      <c r="L101" s="373" t="n">
        <v>0</v>
      </c>
      <c r="M101" s="358" t="n">
        <v>0</v>
      </c>
      <c r="N101" s="358" t="n">
        <v>0</v>
      </c>
      <c r="O101" s="372" t="n">
        <v>0</v>
      </c>
      <c r="P101" s="373" t="n">
        <v>0</v>
      </c>
      <c r="Q101" s="358" t="n">
        <v>0</v>
      </c>
      <c r="R101" s="358" t="n">
        <v>0</v>
      </c>
      <c r="S101" s="372" t="n">
        <v>0</v>
      </c>
      <c r="T101" s="373" t="n">
        <v>0</v>
      </c>
      <c r="U101" s="358" t="n">
        <v>0</v>
      </c>
      <c r="V101" s="358" t="n">
        <v>0</v>
      </c>
      <c r="W101" s="372" t="n">
        <v>0</v>
      </c>
      <c r="X101" s="373" t="n">
        <v>0</v>
      </c>
      <c r="Y101" s="358" t="n">
        <v>0</v>
      </c>
      <c r="Z101" s="358" t="n">
        <v>0</v>
      </c>
      <c r="AA101" s="358" t="n">
        <v>0</v>
      </c>
      <c r="AB101" s="373" t="n">
        <v>0</v>
      </c>
      <c r="AC101" s="358" t="n">
        <v>0</v>
      </c>
      <c r="AD101" s="358" t="n">
        <v>0</v>
      </c>
      <c r="AE101" s="358" t="n">
        <v>0</v>
      </c>
      <c r="AF101" s="359" t="n">
        <v>1</v>
      </c>
    </row>
    <row r="102" customFormat="false" ht="15" hidden="true" customHeight="false" outlineLevel="0" collapsed="false">
      <c r="B102" s="360" t="s">
        <v>2594</v>
      </c>
      <c r="C102" s="359" t="n">
        <v>1</v>
      </c>
      <c r="D102" s="358" t="n">
        <v>0</v>
      </c>
      <c r="E102" s="358" t="n">
        <v>0</v>
      </c>
      <c r="F102" s="358" t="n">
        <v>0</v>
      </c>
      <c r="G102" s="372" t="n">
        <v>0</v>
      </c>
      <c r="H102" s="373" t="n">
        <v>0</v>
      </c>
      <c r="I102" s="358" t="n">
        <v>0</v>
      </c>
      <c r="J102" s="358" t="n">
        <v>0</v>
      </c>
      <c r="K102" s="372" t="n">
        <v>0</v>
      </c>
      <c r="L102" s="373" t="n">
        <v>0</v>
      </c>
      <c r="M102" s="358" t="n">
        <v>0</v>
      </c>
      <c r="N102" s="358" t="n">
        <v>0</v>
      </c>
      <c r="O102" s="372" t="n">
        <v>0</v>
      </c>
      <c r="P102" s="373" t="n">
        <v>0</v>
      </c>
      <c r="Q102" s="358" t="n">
        <v>0</v>
      </c>
      <c r="R102" s="358" t="n">
        <v>0</v>
      </c>
      <c r="S102" s="372" t="n">
        <v>0</v>
      </c>
      <c r="T102" s="373" t="n">
        <v>0</v>
      </c>
      <c r="U102" s="358" t="n">
        <v>0</v>
      </c>
      <c r="V102" s="358" t="n">
        <v>0</v>
      </c>
      <c r="W102" s="372" t="n">
        <v>0</v>
      </c>
      <c r="X102" s="373" t="n">
        <v>0</v>
      </c>
      <c r="Y102" s="358" t="n">
        <v>0</v>
      </c>
      <c r="Z102" s="358" t="n">
        <v>0</v>
      </c>
      <c r="AA102" s="358" t="n">
        <v>0</v>
      </c>
      <c r="AB102" s="373" t="n">
        <v>0</v>
      </c>
      <c r="AC102" s="358" t="n">
        <v>0</v>
      </c>
      <c r="AD102" s="358" t="n">
        <v>0</v>
      </c>
      <c r="AE102" s="358" t="n">
        <v>0</v>
      </c>
      <c r="AF102" s="359" t="n">
        <v>1</v>
      </c>
    </row>
    <row r="103" customFormat="false" ht="15" hidden="true" customHeight="false" outlineLevel="0" collapsed="false">
      <c r="B103" s="360" t="s">
        <v>2595</v>
      </c>
      <c r="C103" s="359" t="n">
        <v>1</v>
      </c>
      <c r="D103" s="358" t="n">
        <v>0</v>
      </c>
      <c r="E103" s="358" t="n">
        <v>0</v>
      </c>
      <c r="F103" s="358" t="n">
        <v>0</v>
      </c>
      <c r="G103" s="372" t="n">
        <v>0</v>
      </c>
      <c r="H103" s="373" t="n">
        <v>0</v>
      </c>
      <c r="I103" s="358" t="n">
        <v>0</v>
      </c>
      <c r="J103" s="358" t="n">
        <v>0</v>
      </c>
      <c r="K103" s="372" t="n">
        <v>0</v>
      </c>
      <c r="L103" s="373" t="n">
        <v>0</v>
      </c>
      <c r="M103" s="358" t="n">
        <v>0</v>
      </c>
      <c r="N103" s="358" t="n">
        <v>0</v>
      </c>
      <c r="O103" s="372" t="n">
        <v>0</v>
      </c>
      <c r="P103" s="373" t="n">
        <v>0</v>
      </c>
      <c r="Q103" s="358" t="n">
        <v>0</v>
      </c>
      <c r="R103" s="358" t="n">
        <v>0</v>
      </c>
      <c r="S103" s="372" t="n">
        <v>0</v>
      </c>
      <c r="T103" s="373" t="n">
        <v>0</v>
      </c>
      <c r="U103" s="358" t="n">
        <v>0</v>
      </c>
      <c r="V103" s="358" t="n">
        <v>0</v>
      </c>
      <c r="W103" s="372" t="n">
        <v>0</v>
      </c>
      <c r="X103" s="373" t="n">
        <v>0</v>
      </c>
      <c r="Y103" s="358" t="n">
        <v>0</v>
      </c>
      <c r="Z103" s="358" t="n">
        <v>0</v>
      </c>
      <c r="AA103" s="358" t="n">
        <v>0</v>
      </c>
      <c r="AB103" s="373" t="n">
        <v>0</v>
      </c>
      <c r="AC103" s="358" t="n">
        <v>0</v>
      </c>
      <c r="AD103" s="358" t="n">
        <v>0</v>
      </c>
      <c r="AE103" s="358" t="n">
        <v>0</v>
      </c>
      <c r="AF103" s="359" t="n">
        <v>1</v>
      </c>
    </row>
    <row r="104" customFormat="false" ht="15" hidden="true" customHeight="false" outlineLevel="0" collapsed="false">
      <c r="B104" s="360" t="s">
        <v>2596</v>
      </c>
      <c r="C104" s="359" t="n">
        <v>1</v>
      </c>
      <c r="D104" s="358" t="n">
        <v>0</v>
      </c>
      <c r="E104" s="358" t="n">
        <v>0</v>
      </c>
      <c r="F104" s="358" t="n">
        <v>0</v>
      </c>
      <c r="G104" s="372" t="n">
        <v>0</v>
      </c>
      <c r="H104" s="373" t="n">
        <v>0</v>
      </c>
      <c r="I104" s="358" t="n">
        <v>0</v>
      </c>
      <c r="J104" s="358" t="n">
        <v>0</v>
      </c>
      <c r="K104" s="372" t="n">
        <v>0</v>
      </c>
      <c r="L104" s="373" t="n">
        <v>0</v>
      </c>
      <c r="M104" s="358" t="n">
        <v>0</v>
      </c>
      <c r="N104" s="358" t="n">
        <v>0</v>
      </c>
      <c r="O104" s="372" t="n">
        <v>0</v>
      </c>
      <c r="P104" s="373" t="n">
        <v>0</v>
      </c>
      <c r="Q104" s="358" t="n">
        <v>0</v>
      </c>
      <c r="R104" s="358" t="n">
        <v>0</v>
      </c>
      <c r="S104" s="372" t="n">
        <v>0</v>
      </c>
      <c r="T104" s="373" t="n">
        <v>0</v>
      </c>
      <c r="U104" s="358" t="n">
        <v>0</v>
      </c>
      <c r="V104" s="358" t="n">
        <v>0</v>
      </c>
      <c r="W104" s="372" t="n">
        <v>0</v>
      </c>
      <c r="X104" s="373" t="n">
        <v>0</v>
      </c>
      <c r="Y104" s="358" t="n">
        <v>0</v>
      </c>
      <c r="Z104" s="358" t="n">
        <v>0</v>
      </c>
      <c r="AA104" s="358" t="n">
        <v>0</v>
      </c>
      <c r="AB104" s="373" t="n">
        <v>0</v>
      </c>
      <c r="AC104" s="358" t="n">
        <v>0</v>
      </c>
      <c r="AD104" s="358" t="n">
        <v>0</v>
      </c>
      <c r="AE104" s="358" t="n">
        <v>0</v>
      </c>
      <c r="AF104" s="359" t="n">
        <v>1</v>
      </c>
    </row>
    <row r="105" customFormat="false" ht="15" hidden="true" customHeight="false" outlineLevel="0" collapsed="false">
      <c r="B105" s="360" t="s">
        <v>2597</v>
      </c>
      <c r="C105" s="359" t="n">
        <v>1</v>
      </c>
      <c r="D105" s="358" t="n">
        <v>0</v>
      </c>
      <c r="E105" s="358" t="n">
        <v>0</v>
      </c>
      <c r="F105" s="358" t="n">
        <v>0</v>
      </c>
      <c r="G105" s="372" t="n">
        <v>0</v>
      </c>
      <c r="H105" s="373" t="n">
        <v>0</v>
      </c>
      <c r="I105" s="358" t="n">
        <v>0</v>
      </c>
      <c r="J105" s="358" t="n">
        <v>0</v>
      </c>
      <c r="K105" s="372" t="n">
        <v>0</v>
      </c>
      <c r="L105" s="373" t="n">
        <v>0</v>
      </c>
      <c r="M105" s="358" t="n">
        <v>0</v>
      </c>
      <c r="N105" s="358" t="n">
        <v>0</v>
      </c>
      <c r="O105" s="372" t="n">
        <v>0</v>
      </c>
      <c r="P105" s="373" t="n">
        <v>0</v>
      </c>
      <c r="Q105" s="358" t="n">
        <v>0</v>
      </c>
      <c r="R105" s="358" t="n">
        <v>0</v>
      </c>
      <c r="S105" s="372" t="n">
        <v>0</v>
      </c>
      <c r="T105" s="373" t="n">
        <v>0</v>
      </c>
      <c r="U105" s="358" t="n">
        <v>0</v>
      </c>
      <c r="V105" s="358" t="n">
        <v>0</v>
      </c>
      <c r="W105" s="372" t="n">
        <v>0</v>
      </c>
      <c r="X105" s="373" t="n">
        <v>0</v>
      </c>
      <c r="Y105" s="358" t="n">
        <v>0</v>
      </c>
      <c r="Z105" s="358" t="n">
        <v>0</v>
      </c>
      <c r="AA105" s="358" t="n">
        <v>0</v>
      </c>
      <c r="AB105" s="373" t="n">
        <v>0</v>
      </c>
      <c r="AC105" s="358" t="n">
        <v>0</v>
      </c>
      <c r="AD105" s="358" t="n">
        <v>0</v>
      </c>
      <c r="AE105" s="358" t="n">
        <v>0</v>
      </c>
      <c r="AF105" s="359" t="n">
        <v>1</v>
      </c>
    </row>
    <row r="106" customFormat="false" ht="15" hidden="true" customHeight="false" outlineLevel="0" collapsed="false">
      <c r="B106" s="360" t="s">
        <v>2598</v>
      </c>
      <c r="C106" s="359" t="n">
        <v>1</v>
      </c>
      <c r="D106" s="358" t="n">
        <v>0</v>
      </c>
      <c r="E106" s="358" t="n">
        <v>0</v>
      </c>
      <c r="F106" s="358" t="n">
        <v>0</v>
      </c>
      <c r="G106" s="372" t="n">
        <v>0</v>
      </c>
      <c r="H106" s="373" t="n">
        <v>0</v>
      </c>
      <c r="I106" s="358" t="n">
        <v>0</v>
      </c>
      <c r="J106" s="358" t="n">
        <v>0</v>
      </c>
      <c r="K106" s="372" t="n">
        <v>0</v>
      </c>
      <c r="L106" s="373" t="n">
        <v>0</v>
      </c>
      <c r="M106" s="358" t="n">
        <v>0</v>
      </c>
      <c r="N106" s="358" t="n">
        <v>0</v>
      </c>
      <c r="O106" s="372" t="n">
        <v>0</v>
      </c>
      <c r="P106" s="373" t="n">
        <v>0</v>
      </c>
      <c r="Q106" s="358" t="n">
        <v>0</v>
      </c>
      <c r="R106" s="358" t="n">
        <v>0</v>
      </c>
      <c r="S106" s="372" t="n">
        <v>0</v>
      </c>
      <c r="T106" s="373" t="n">
        <v>0</v>
      </c>
      <c r="U106" s="358" t="n">
        <v>0</v>
      </c>
      <c r="V106" s="358" t="n">
        <v>0</v>
      </c>
      <c r="W106" s="372" t="n">
        <v>0</v>
      </c>
      <c r="X106" s="373" t="n">
        <v>0</v>
      </c>
      <c r="Y106" s="358" t="n">
        <v>0</v>
      </c>
      <c r="Z106" s="358" t="n">
        <v>0</v>
      </c>
      <c r="AA106" s="358" t="n">
        <v>0</v>
      </c>
      <c r="AB106" s="373" t="n">
        <v>0</v>
      </c>
      <c r="AC106" s="358" t="n">
        <v>0</v>
      </c>
      <c r="AD106" s="358" t="n">
        <v>0</v>
      </c>
      <c r="AE106" s="358" t="n">
        <v>0</v>
      </c>
      <c r="AF106" s="359" t="n">
        <v>1</v>
      </c>
    </row>
    <row r="107" customFormat="false" ht="15" hidden="true" customHeight="false" outlineLevel="0" collapsed="false">
      <c r="B107" s="360" t="s">
        <v>2599</v>
      </c>
      <c r="C107" s="359" t="n">
        <v>1</v>
      </c>
      <c r="D107" s="358" t="n">
        <v>0</v>
      </c>
      <c r="E107" s="358" t="n">
        <v>0</v>
      </c>
      <c r="F107" s="358" t="n">
        <v>0</v>
      </c>
      <c r="G107" s="372" t="n">
        <v>0</v>
      </c>
      <c r="H107" s="373" t="n">
        <v>0</v>
      </c>
      <c r="I107" s="358" t="n">
        <v>0</v>
      </c>
      <c r="J107" s="358" t="n">
        <v>0</v>
      </c>
      <c r="K107" s="372" t="n">
        <v>0</v>
      </c>
      <c r="L107" s="373" t="n">
        <v>0</v>
      </c>
      <c r="M107" s="358" t="n">
        <v>0</v>
      </c>
      <c r="N107" s="358" t="n">
        <v>0</v>
      </c>
      <c r="O107" s="372" t="n">
        <v>0</v>
      </c>
      <c r="P107" s="373" t="n">
        <v>0</v>
      </c>
      <c r="Q107" s="358" t="n">
        <v>0</v>
      </c>
      <c r="R107" s="358" t="n">
        <v>0</v>
      </c>
      <c r="S107" s="372" t="n">
        <v>0</v>
      </c>
      <c r="T107" s="373" t="n">
        <v>0</v>
      </c>
      <c r="U107" s="358" t="n">
        <v>0</v>
      </c>
      <c r="V107" s="358" t="n">
        <v>0</v>
      </c>
      <c r="W107" s="372" t="n">
        <v>0</v>
      </c>
      <c r="X107" s="373" t="n">
        <v>0</v>
      </c>
      <c r="Y107" s="358" t="n">
        <v>0</v>
      </c>
      <c r="Z107" s="358" t="n">
        <v>0</v>
      </c>
      <c r="AA107" s="358" t="n">
        <v>0</v>
      </c>
      <c r="AB107" s="373" t="n">
        <v>0</v>
      </c>
      <c r="AC107" s="358" t="n">
        <v>0</v>
      </c>
      <c r="AD107" s="358" t="n">
        <v>0</v>
      </c>
      <c r="AE107" s="358" t="n">
        <v>0</v>
      </c>
      <c r="AF107" s="359" t="n">
        <v>1</v>
      </c>
    </row>
    <row r="108" customFormat="false" ht="15" hidden="true" customHeight="false" outlineLevel="0" collapsed="false">
      <c r="B108" s="360" t="s">
        <v>2600</v>
      </c>
      <c r="C108" s="359" t="n">
        <v>1</v>
      </c>
      <c r="D108" s="358" t="n">
        <v>0</v>
      </c>
      <c r="E108" s="358" t="n">
        <v>0</v>
      </c>
      <c r="F108" s="358" t="n">
        <v>0</v>
      </c>
      <c r="G108" s="372" t="n">
        <v>0</v>
      </c>
      <c r="H108" s="373" t="n">
        <v>0</v>
      </c>
      <c r="I108" s="358" t="n">
        <v>0</v>
      </c>
      <c r="J108" s="358" t="n">
        <v>0</v>
      </c>
      <c r="K108" s="372" t="n">
        <v>0</v>
      </c>
      <c r="L108" s="373" t="n">
        <v>0</v>
      </c>
      <c r="M108" s="358" t="n">
        <v>0</v>
      </c>
      <c r="N108" s="358" t="n">
        <v>0</v>
      </c>
      <c r="O108" s="372" t="n">
        <v>0</v>
      </c>
      <c r="P108" s="373" t="n">
        <v>0</v>
      </c>
      <c r="Q108" s="358" t="n">
        <v>0</v>
      </c>
      <c r="R108" s="358" t="n">
        <v>0</v>
      </c>
      <c r="S108" s="372" t="n">
        <v>0</v>
      </c>
      <c r="T108" s="373" t="n">
        <v>0</v>
      </c>
      <c r="U108" s="358" t="n">
        <v>0</v>
      </c>
      <c r="V108" s="358" t="n">
        <v>0</v>
      </c>
      <c r="W108" s="372" t="n">
        <v>0</v>
      </c>
      <c r="X108" s="373" t="n">
        <v>0</v>
      </c>
      <c r="Y108" s="358" t="n">
        <v>0</v>
      </c>
      <c r="Z108" s="358" t="n">
        <v>0</v>
      </c>
      <c r="AA108" s="358" t="n">
        <v>0</v>
      </c>
      <c r="AB108" s="373" t="n">
        <v>0</v>
      </c>
      <c r="AC108" s="358" t="n">
        <v>0</v>
      </c>
      <c r="AD108" s="358" t="n">
        <v>0</v>
      </c>
      <c r="AE108" s="358" t="n">
        <v>0</v>
      </c>
      <c r="AF108" s="359" t="n">
        <v>1</v>
      </c>
    </row>
    <row r="109" customFormat="false" ht="15" hidden="true" customHeight="false" outlineLevel="0" collapsed="false">
      <c r="B109" s="360" t="s">
        <v>2601</v>
      </c>
      <c r="C109" s="359" t="n">
        <v>1</v>
      </c>
      <c r="D109" s="358" t="n">
        <v>0</v>
      </c>
      <c r="E109" s="358" t="n">
        <v>0</v>
      </c>
      <c r="F109" s="358" t="n">
        <v>0</v>
      </c>
      <c r="G109" s="372" t="n">
        <v>0</v>
      </c>
      <c r="H109" s="373" t="n">
        <v>0</v>
      </c>
      <c r="I109" s="358" t="n">
        <v>0</v>
      </c>
      <c r="J109" s="358" t="n">
        <v>0</v>
      </c>
      <c r="K109" s="372" t="n">
        <v>0</v>
      </c>
      <c r="L109" s="373" t="n">
        <v>0</v>
      </c>
      <c r="M109" s="358" t="n">
        <v>0</v>
      </c>
      <c r="N109" s="358" t="n">
        <v>0</v>
      </c>
      <c r="O109" s="372" t="n">
        <v>0</v>
      </c>
      <c r="P109" s="373" t="n">
        <v>0</v>
      </c>
      <c r="Q109" s="358" t="n">
        <v>0</v>
      </c>
      <c r="R109" s="358" t="n">
        <v>0</v>
      </c>
      <c r="S109" s="372" t="n">
        <v>0</v>
      </c>
      <c r="T109" s="373" t="n">
        <v>0</v>
      </c>
      <c r="U109" s="358" t="n">
        <v>0</v>
      </c>
      <c r="V109" s="358" t="n">
        <v>0</v>
      </c>
      <c r="W109" s="372" t="n">
        <v>0</v>
      </c>
      <c r="X109" s="373" t="n">
        <v>0</v>
      </c>
      <c r="Y109" s="358" t="n">
        <v>0</v>
      </c>
      <c r="Z109" s="358" t="n">
        <v>0</v>
      </c>
      <c r="AA109" s="358" t="n">
        <v>0</v>
      </c>
      <c r="AB109" s="373" t="n">
        <v>0</v>
      </c>
      <c r="AC109" s="358" t="n">
        <v>0</v>
      </c>
      <c r="AD109" s="358" t="n">
        <v>0</v>
      </c>
      <c r="AE109" s="358" t="n">
        <v>0</v>
      </c>
      <c r="AF109" s="359" t="n">
        <v>1</v>
      </c>
    </row>
    <row r="110" customFormat="false" ht="15" hidden="true" customHeight="false" outlineLevel="0" collapsed="false">
      <c r="B110" s="360" t="s">
        <v>2602</v>
      </c>
      <c r="C110" s="359" t="n">
        <v>1</v>
      </c>
      <c r="D110" s="358" t="n">
        <v>0</v>
      </c>
      <c r="E110" s="358" t="n">
        <v>0</v>
      </c>
      <c r="F110" s="358" t="n">
        <v>0</v>
      </c>
      <c r="G110" s="372" t="n">
        <v>0</v>
      </c>
      <c r="H110" s="373" t="n">
        <v>0</v>
      </c>
      <c r="I110" s="358" t="n">
        <v>0</v>
      </c>
      <c r="J110" s="358" t="n">
        <v>0</v>
      </c>
      <c r="K110" s="372" t="n">
        <v>0</v>
      </c>
      <c r="L110" s="373" t="n">
        <v>0</v>
      </c>
      <c r="M110" s="358" t="n">
        <v>0</v>
      </c>
      <c r="N110" s="358" t="n">
        <v>0</v>
      </c>
      <c r="O110" s="372" t="n">
        <v>0</v>
      </c>
      <c r="P110" s="373" t="n">
        <v>0</v>
      </c>
      <c r="Q110" s="358" t="n">
        <v>0</v>
      </c>
      <c r="R110" s="358" t="n">
        <v>0</v>
      </c>
      <c r="S110" s="372" t="n">
        <v>0</v>
      </c>
      <c r="T110" s="373" t="n">
        <v>0</v>
      </c>
      <c r="U110" s="358" t="n">
        <v>0</v>
      </c>
      <c r="V110" s="358" t="n">
        <v>0</v>
      </c>
      <c r="W110" s="372" t="n">
        <v>0</v>
      </c>
      <c r="X110" s="373" t="n">
        <v>0</v>
      </c>
      <c r="Y110" s="358" t="n">
        <v>0</v>
      </c>
      <c r="Z110" s="358" t="n">
        <v>0</v>
      </c>
      <c r="AA110" s="358" t="n">
        <v>0</v>
      </c>
      <c r="AB110" s="373" t="n">
        <v>0</v>
      </c>
      <c r="AC110" s="358" t="n">
        <v>0</v>
      </c>
      <c r="AD110" s="358" t="n">
        <v>0</v>
      </c>
      <c r="AE110" s="358" t="n">
        <v>0</v>
      </c>
      <c r="AF110" s="359" t="n">
        <v>1</v>
      </c>
    </row>
    <row r="111" customFormat="false" ht="15" hidden="true" customHeight="false" outlineLevel="0" collapsed="false">
      <c r="B111" s="360" t="s">
        <v>2603</v>
      </c>
      <c r="C111" s="359" t="n">
        <v>1</v>
      </c>
      <c r="D111" s="358" t="n">
        <v>0</v>
      </c>
      <c r="E111" s="358" t="n">
        <v>0</v>
      </c>
      <c r="F111" s="358" t="n">
        <v>0</v>
      </c>
      <c r="G111" s="372" t="n">
        <v>0</v>
      </c>
      <c r="H111" s="373" t="n">
        <v>0</v>
      </c>
      <c r="I111" s="358" t="n">
        <v>0</v>
      </c>
      <c r="J111" s="358" t="n">
        <v>0</v>
      </c>
      <c r="K111" s="372" t="n">
        <v>0</v>
      </c>
      <c r="L111" s="373" t="n">
        <v>0</v>
      </c>
      <c r="M111" s="358" t="n">
        <v>0</v>
      </c>
      <c r="N111" s="358" t="n">
        <v>0</v>
      </c>
      <c r="O111" s="372" t="n">
        <v>0</v>
      </c>
      <c r="P111" s="373" t="n">
        <v>0</v>
      </c>
      <c r="Q111" s="358" t="n">
        <v>0</v>
      </c>
      <c r="R111" s="358" t="n">
        <v>0</v>
      </c>
      <c r="S111" s="372" t="n">
        <v>0</v>
      </c>
      <c r="T111" s="373" t="n">
        <v>0</v>
      </c>
      <c r="U111" s="358" t="n">
        <v>0</v>
      </c>
      <c r="V111" s="358" t="n">
        <v>0</v>
      </c>
      <c r="W111" s="372" t="n">
        <v>0</v>
      </c>
      <c r="X111" s="373" t="n">
        <v>0</v>
      </c>
      <c r="Y111" s="358" t="n">
        <v>0</v>
      </c>
      <c r="Z111" s="358" t="n">
        <v>0</v>
      </c>
      <c r="AA111" s="358" t="n">
        <v>0</v>
      </c>
      <c r="AB111" s="373" t="n">
        <v>0</v>
      </c>
      <c r="AC111" s="358" t="n">
        <v>0</v>
      </c>
      <c r="AD111" s="358" t="n">
        <v>0</v>
      </c>
      <c r="AE111" s="358" t="n">
        <v>0</v>
      </c>
      <c r="AF111" s="359" t="n">
        <v>1</v>
      </c>
    </row>
    <row r="112" customFormat="false" ht="15" hidden="true" customHeight="false" outlineLevel="0" collapsed="false">
      <c r="B112" s="360" t="s">
        <v>2604</v>
      </c>
      <c r="C112" s="359" t="n">
        <v>1</v>
      </c>
      <c r="D112" s="358" t="n">
        <v>0</v>
      </c>
      <c r="E112" s="358" t="n">
        <v>0</v>
      </c>
      <c r="F112" s="358" t="n">
        <v>0</v>
      </c>
      <c r="G112" s="372" t="n">
        <v>0</v>
      </c>
      <c r="H112" s="373" t="n">
        <v>0</v>
      </c>
      <c r="I112" s="358" t="n">
        <v>0</v>
      </c>
      <c r="J112" s="358" t="n">
        <v>0</v>
      </c>
      <c r="K112" s="372" t="n">
        <v>0</v>
      </c>
      <c r="L112" s="373" t="n">
        <v>0</v>
      </c>
      <c r="M112" s="358" t="n">
        <v>0</v>
      </c>
      <c r="N112" s="358" t="n">
        <v>0</v>
      </c>
      <c r="O112" s="372" t="n">
        <v>0</v>
      </c>
      <c r="P112" s="373" t="n">
        <v>0</v>
      </c>
      <c r="Q112" s="358" t="n">
        <v>0</v>
      </c>
      <c r="R112" s="358" t="n">
        <v>0</v>
      </c>
      <c r="S112" s="372" t="n">
        <v>0</v>
      </c>
      <c r="T112" s="373" t="n">
        <v>0</v>
      </c>
      <c r="U112" s="358" t="n">
        <v>0</v>
      </c>
      <c r="V112" s="358" t="n">
        <v>0</v>
      </c>
      <c r="W112" s="372" t="n">
        <v>0</v>
      </c>
      <c r="X112" s="373" t="n">
        <v>0</v>
      </c>
      <c r="Y112" s="358" t="n">
        <v>0</v>
      </c>
      <c r="Z112" s="358" t="n">
        <v>0</v>
      </c>
      <c r="AA112" s="358" t="n">
        <v>0</v>
      </c>
      <c r="AB112" s="373" t="n">
        <v>0</v>
      </c>
      <c r="AC112" s="358" t="n">
        <v>0</v>
      </c>
      <c r="AD112" s="358" t="n">
        <v>0</v>
      </c>
      <c r="AE112" s="358" t="n">
        <v>0</v>
      </c>
      <c r="AF112" s="359" t="n">
        <v>1</v>
      </c>
    </row>
    <row r="113" customFormat="false" ht="15" hidden="true" customHeight="false" outlineLevel="0" collapsed="false">
      <c r="B113" s="360" t="s">
        <v>2605</v>
      </c>
      <c r="C113" s="359" t="n">
        <v>1</v>
      </c>
      <c r="D113" s="358" t="n">
        <v>0</v>
      </c>
      <c r="E113" s="358" t="n">
        <v>0</v>
      </c>
      <c r="F113" s="358" t="n">
        <v>0</v>
      </c>
      <c r="G113" s="372" t="n">
        <v>0</v>
      </c>
      <c r="H113" s="373" t="n">
        <v>0</v>
      </c>
      <c r="I113" s="358" t="n">
        <v>0</v>
      </c>
      <c r="J113" s="358" t="n">
        <v>0</v>
      </c>
      <c r="K113" s="372" t="n">
        <v>0</v>
      </c>
      <c r="L113" s="373" t="n">
        <v>0</v>
      </c>
      <c r="M113" s="358" t="n">
        <v>0</v>
      </c>
      <c r="N113" s="358" t="n">
        <v>0</v>
      </c>
      <c r="O113" s="372" t="n">
        <v>0</v>
      </c>
      <c r="P113" s="373" t="n">
        <v>0</v>
      </c>
      <c r="Q113" s="358" t="n">
        <v>0</v>
      </c>
      <c r="R113" s="358" t="n">
        <v>0</v>
      </c>
      <c r="S113" s="372" t="n">
        <v>0</v>
      </c>
      <c r="T113" s="373" t="n">
        <v>0</v>
      </c>
      <c r="U113" s="358" t="n">
        <v>0</v>
      </c>
      <c r="V113" s="358" t="n">
        <v>0</v>
      </c>
      <c r="W113" s="372" t="n">
        <v>0</v>
      </c>
      <c r="X113" s="373" t="n">
        <v>0</v>
      </c>
      <c r="Y113" s="358" t="n">
        <v>0</v>
      </c>
      <c r="Z113" s="358" t="n">
        <v>0</v>
      </c>
      <c r="AA113" s="358" t="n">
        <v>0</v>
      </c>
      <c r="AB113" s="373" t="n">
        <v>0</v>
      </c>
      <c r="AC113" s="358" t="n">
        <v>0</v>
      </c>
      <c r="AD113" s="358" t="n">
        <v>0</v>
      </c>
      <c r="AE113" s="358" t="n">
        <v>0</v>
      </c>
      <c r="AF113" s="359" t="n">
        <v>1</v>
      </c>
    </row>
    <row r="114" customFormat="false" ht="15" hidden="true" customHeight="false" outlineLevel="0" collapsed="false">
      <c r="B114" s="360" t="s">
        <v>2606</v>
      </c>
      <c r="C114" s="359" t="n">
        <v>1</v>
      </c>
      <c r="D114" s="358" t="n">
        <v>0</v>
      </c>
      <c r="E114" s="358" t="n">
        <v>0</v>
      </c>
      <c r="F114" s="358" t="n">
        <v>0</v>
      </c>
      <c r="G114" s="372" t="n">
        <v>0</v>
      </c>
      <c r="H114" s="373" t="n">
        <v>0</v>
      </c>
      <c r="I114" s="358" t="n">
        <v>0</v>
      </c>
      <c r="J114" s="358" t="n">
        <v>0</v>
      </c>
      <c r="K114" s="372" t="n">
        <v>0</v>
      </c>
      <c r="L114" s="373" t="n">
        <v>0</v>
      </c>
      <c r="M114" s="358" t="n">
        <v>0</v>
      </c>
      <c r="N114" s="358" t="n">
        <v>0</v>
      </c>
      <c r="O114" s="372" t="n">
        <v>0</v>
      </c>
      <c r="P114" s="373" t="n">
        <v>0</v>
      </c>
      <c r="Q114" s="358" t="n">
        <v>0</v>
      </c>
      <c r="R114" s="358" t="n">
        <v>0</v>
      </c>
      <c r="S114" s="372" t="n">
        <v>0</v>
      </c>
      <c r="T114" s="373" t="n">
        <v>0</v>
      </c>
      <c r="U114" s="358" t="n">
        <v>0</v>
      </c>
      <c r="V114" s="358" t="n">
        <v>0</v>
      </c>
      <c r="W114" s="372" t="n">
        <v>0</v>
      </c>
      <c r="X114" s="373" t="n">
        <v>0</v>
      </c>
      <c r="Y114" s="358" t="n">
        <v>0</v>
      </c>
      <c r="Z114" s="358" t="n">
        <v>0</v>
      </c>
      <c r="AA114" s="358" t="n">
        <v>0</v>
      </c>
      <c r="AB114" s="373" t="n">
        <v>0</v>
      </c>
      <c r="AC114" s="358" t="n">
        <v>0</v>
      </c>
      <c r="AD114" s="358" t="n">
        <v>0</v>
      </c>
      <c r="AE114" s="358" t="n">
        <v>0</v>
      </c>
      <c r="AF114" s="359" t="n">
        <v>1</v>
      </c>
    </row>
    <row r="115" customFormat="false" ht="15" hidden="true" customHeight="false" outlineLevel="0" collapsed="false">
      <c r="B115" s="360" t="s">
        <v>2607</v>
      </c>
      <c r="C115" s="359" t="n">
        <v>1</v>
      </c>
      <c r="D115" s="358" t="n">
        <v>0</v>
      </c>
      <c r="E115" s="358" t="n">
        <v>0</v>
      </c>
      <c r="F115" s="358" t="n">
        <v>0</v>
      </c>
      <c r="G115" s="372" t="n">
        <v>0</v>
      </c>
      <c r="H115" s="373" t="n">
        <v>0</v>
      </c>
      <c r="I115" s="358" t="n">
        <v>0</v>
      </c>
      <c r="J115" s="358" t="n">
        <v>0</v>
      </c>
      <c r="K115" s="372" t="n">
        <v>0</v>
      </c>
      <c r="L115" s="373" t="n">
        <v>0</v>
      </c>
      <c r="M115" s="358" t="n">
        <v>0</v>
      </c>
      <c r="N115" s="358" t="n">
        <v>0</v>
      </c>
      <c r="O115" s="372" t="n">
        <v>0</v>
      </c>
      <c r="P115" s="373" t="n">
        <v>0</v>
      </c>
      <c r="Q115" s="358" t="n">
        <v>0</v>
      </c>
      <c r="R115" s="358" t="n">
        <v>0</v>
      </c>
      <c r="S115" s="372" t="n">
        <v>0</v>
      </c>
      <c r="T115" s="373" t="n">
        <v>0</v>
      </c>
      <c r="U115" s="358" t="n">
        <v>0</v>
      </c>
      <c r="V115" s="358" t="n">
        <v>0</v>
      </c>
      <c r="W115" s="372" t="n">
        <v>0</v>
      </c>
      <c r="X115" s="373" t="n">
        <v>0</v>
      </c>
      <c r="Y115" s="358" t="n">
        <v>0</v>
      </c>
      <c r="Z115" s="358" t="n">
        <v>0</v>
      </c>
      <c r="AA115" s="358" t="n">
        <v>0</v>
      </c>
      <c r="AB115" s="373" t="n">
        <v>0</v>
      </c>
      <c r="AC115" s="358" t="n">
        <v>0</v>
      </c>
      <c r="AD115" s="358" t="n">
        <v>0</v>
      </c>
      <c r="AE115" s="358" t="n">
        <v>0</v>
      </c>
      <c r="AF115" s="359" t="n">
        <v>1</v>
      </c>
    </row>
    <row r="116" customFormat="false" ht="15" hidden="true" customHeight="false" outlineLevel="0" collapsed="false">
      <c r="B116" s="360" t="s">
        <v>2608</v>
      </c>
      <c r="C116" s="359" t="n">
        <v>1</v>
      </c>
      <c r="D116" s="358" t="n">
        <v>0</v>
      </c>
      <c r="E116" s="358" t="n">
        <v>0</v>
      </c>
      <c r="F116" s="358" t="n">
        <v>0</v>
      </c>
      <c r="G116" s="372" t="n">
        <v>0</v>
      </c>
      <c r="H116" s="373" t="n">
        <v>0</v>
      </c>
      <c r="I116" s="358" t="n">
        <v>0</v>
      </c>
      <c r="J116" s="358" t="n">
        <v>0</v>
      </c>
      <c r="K116" s="372" t="n">
        <v>0</v>
      </c>
      <c r="L116" s="373" t="n">
        <v>0</v>
      </c>
      <c r="M116" s="358" t="n">
        <v>0</v>
      </c>
      <c r="N116" s="358" t="n">
        <v>0</v>
      </c>
      <c r="O116" s="372" t="n">
        <v>0</v>
      </c>
      <c r="P116" s="373" t="n">
        <v>0</v>
      </c>
      <c r="Q116" s="358" t="n">
        <v>0</v>
      </c>
      <c r="R116" s="358" t="n">
        <v>0</v>
      </c>
      <c r="S116" s="372" t="n">
        <v>0</v>
      </c>
      <c r="T116" s="373" t="n">
        <v>0</v>
      </c>
      <c r="U116" s="358" t="n">
        <v>0</v>
      </c>
      <c r="V116" s="358" t="n">
        <v>0</v>
      </c>
      <c r="W116" s="372" t="n">
        <v>0</v>
      </c>
      <c r="X116" s="373" t="n">
        <v>0</v>
      </c>
      <c r="Y116" s="358" t="n">
        <v>0</v>
      </c>
      <c r="Z116" s="358" t="n">
        <v>0</v>
      </c>
      <c r="AA116" s="358" t="n">
        <v>0</v>
      </c>
      <c r="AB116" s="373" t="n">
        <v>0</v>
      </c>
      <c r="AC116" s="358" t="n">
        <v>0</v>
      </c>
      <c r="AD116" s="358" t="n">
        <v>0</v>
      </c>
      <c r="AE116" s="358" t="n">
        <v>0</v>
      </c>
      <c r="AF116" s="359" t="n">
        <v>1</v>
      </c>
    </row>
    <row r="117" customFormat="false" ht="15" hidden="true" customHeight="false" outlineLevel="0" collapsed="false">
      <c r="B117" s="360" t="s">
        <v>2609</v>
      </c>
      <c r="C117" s="359" t="n">
        <v>1</v>
      </c>
      <c r="D117" s="358" t="n">
        <v>0</v>
      </c>
      <c r="E117" s="358" t="n">
        <v>0</v>
      </c>
      <c r="F117" s="358" t="n">
        <v>0</v>
      </c>
      <c r="G117" s="372" t="n">
        <v>0</v>
      </c>
      <c r="H117" s="373" t="n">
        <v>0</v>
      </c>
      <c r="I117" s="358" t="n">
        <v>0</v>
      </c>
      <c r="J117" s="358" t="n">
        <v>0</v>
      </c>
      <c r="K117" s="372" t="n">
        <v>0</v>
      </c>
      <c r="L117" s="373" t="n">
        <v>0</v>
      </c>
      <c r="M117" s="358" t="n">
        <v>0</v>
      </c>
      <c r="N117" s="358" t="n">
        <v>0</v>
      </c>
      <c r="O117" s="372" t="n">
        <v>0</v>
      </c>
      <c r="P117" s="373" t="n">
        <v>0</v>
      </c>
      <c r="Q117" s="358" t="n">
        <v>0</v>
      </c>
      <c r="R117" s="358" t="n">
        <v>0</v>
      </c>
      <c r="S117" s="372" t="n">
        <v>0</v>
      </c>
      <c r="T117" s="373" t="n">
        <v>0</v>
      </c>
      <c r="U117" s="358" t="n">
        <v>0</v>
      </c>
      <c r="V117" s="358" t="n">
        <v>0</v>
      </c>
      <c r="W117" s="372" t="n">
        <v>0</v>
      </c>
      <c r="X117" s="373" t="n">
        <v>0</v>
      </c>
      <c r="Y117" s="358" t="n">
        <v>0</v>
      </c>
      <c r="Z117" s="358" t="n">
        <v>0</v>
      </c>
      <c r="AA117" s="358" t="n">
        <v>0</v>
      </c>
      <c r="AB117" s="373" t="n">
        <v>0</v>
      </c>
      <c r="AC117" s="358" t="n">
        <v>0</v>
      </c>
      <c r="AD117" s="358" t="n">
        <v>0</v>
      </c>
      <c r="AE117" s="358" t="n">
        <v>0</v>
      </c>
      <c r="AF117" s="359" t="n">
        <v>1</v>
      </c>
    </row>
    <row r="118" customFormat="false" ht="15" hidden="true" customHeight="false" outlineLevel="0" collapsed="false">
      <c r="B118" s="360" t="s">
        <v>2610</v>
      </c>
      <c r="C118" s="359" t="n">
        <v>1</v>
      </c>
      <c r="D118" s="358" t="n">
        <v>0</v>
      </c>
      <c r="E118" s="358" t="n">
        <v>0</v>
      </c>
      <c r="F118" s="358" t="n">
        <v>0</v>
      </c>
      <c r="G118" s="372" t="n">
        <v>0</v>
      </c>
      <c r="H118" s="373" t="n">
        <v>0</v>
      </c>
      <c r="I118" s="358" t="n">
        <v>0</v>
      </c>
      <c r="J118" s="358" t="n">
        <v>0</v>
      </c>
      <c r="K118" s="372" t="n">
        <v>0</v>
      </c>
      <c r="L118" s="373" t="n">
        <v>0</v>
      </c>
      <c r="M118" s="358" t="n">
        <v>0</v>
      </c>
      <c r="N118" s="358" t="n">
        <v>0</v>
      </c>
      <c r="O118" s="372" t="n">
        <v>0</v>
      </c>
      <c r="P118" s="373" t="n">
        <v>0</v>
      </c>
      <c r="Q118" s="358" t="n">
        <v>0</v>
      </c>
      <c r="R118" s="358" t="n">
        <v>0</v>
      </c>
      <c r="S118" s="372" t="n">
        <v>0</v>
      </c>
      <c r="T118" s="373" t="n">
        <v>0</v>
      </c>
      <c r="U118" s="358" t="n">
        <v>0</v>
      </c>
      <c r="V118" s="358" t="n">
        <v>0</v>
      </c>
      <c r="W118" s="372" t="n">
        <v>0</v>
      </c>
      <c r="X118" s="373" t="n">
        <v>0</v>
      </c>
      <c r="Y118" s="358" t="n">
        <v>0</v>
      </c>
      <c r="Z118" s="358" t="n">
        <v>0</v>
      </c>
      <c r="AA118" s="358" t="n">
        <v>0</v>
      </c>
      <c r="AB118" s="373" t="n">
        <v>0</v>
      </c>
      <c r="AC118" s="358" t="n">
        <v>0</v>
      </c>
      <c r="AD118" s="358" t="n">
        <v>0</v>
      </c>
      <c r="AE118" s="358" t="n">
        <v>0</v>
      </c>
      <c r="AF118" s="359" t="n">
        <v>1</v>
      </c>
    </row>
    <row r="119" customFormat="false" ht="15" hidden="true" customHeight="false" outlineLevel="0" collapsed="false">
      <c r="B119" s="360" t="s">
        <v>2611</v>
      </c>
      <c r="C119" s="359" t="n">
        <v>1</v>
      </c>
      <c r="D119" s="358" t="n">
        <v>0</v>
      </c>
      <c r="E119" s="358" t="n">
        <v>0</v>
      </c>
      <c r="F119" s="358" t="n">
        <v>0</v>
      </c>
      <c r="G119" s="372" t="n">
        <v>0</v>
      </c>
      <c r="H119" s="373" t="n">
        <v>0</v>
      </c>
      <c r="I119" s="358" t="n">
        <v>0</v>
      </c>
      <c r="J119" s="358" t="n">
        <v>0</v>
      </c>
      <c r="K119" s="372" t="n">
        <v>0</v>
      </c>
      <c r="L119" s="373" t="n">
        <v>0</v>
      </c>
      <c r="M119" s="358" t="n">
        <v>0</v>
      </c>
      <c r="N119" s="358" t="n">
        <v>0</v>
      </c>
      <c r="O119" s="372" t="n">
        <v>0</v>
      </c>
      <c r="P119" s="373" t="n">
        <v>0</v>
      </c>
      <c r="Q119" s="358" t="n">
        <v>0</v>
      </c>
      <c r="R119" s="358" t="n">
        <v>0</v>
      </c>
      <c r="S119" s="372" t="n">
        <v>0</v>
      </c>
      <c r="T119" s="373" t="n">
        <v>0</v>
      </c>
      <c r="U119" s="358" t="n">
        <v>0</v>
      </c>
      <c r="V119" s="358" t="n">
        <v>0</v>
      </c>
      <c r="W119" s="372" t="n">
        <v>0</v>
      </c>
      <c r="X119" s="373" t="n">
        <v>0</v>
      </c>
      <c r="Y119" s="358" t="n">
        <v>0</v>
      </c>
      <c r="Z119" s="358" t="n">
        <v>0</v>
      </c>
      <c r="AA119" s="358" t="n">
        <v>0</v>
      </c>
      <c r="AB119" s="373" t="n">
        <v>0</v>
      </c>
      <c r="AC119" s="358" t="n">
        <v>0</v>
      </c>
      <c r="AD119" s="358" t="n">
        <v>0</v>
      </c>
      <c r="AE119" s="358" t="n">
        <v>0</v>
      </c>
      <c r="AF119" s="359" t="n">
        <v>1</v>
      </c>
    </row>
    <row r="120" customFormat="false" ht="15" hidden="true" customHeight="false" outlineLevel="0" collapsed="false">
      <c r="B120" s="360" t="s">
        <v>2612</v>
      </c>
      <c r="C120" s="359" t="n">
        <v>1</v>
      </c>
      <c r="D120" s="358" t="n">
        <v>0</v>
      </c>
      <c r="E120" s="358" t="n">
        <v>0</v>
      </c>
      <c r="F120" s="358" t="n">
        <v>0</v>
      </c>
      <c r="G120" s="372" t="n">
        <v>0</v>
      </c>
      <c r="H120" s="373" t="n">
        <v>0</v>
      </c>
      <c r="I120" s="358" t="n">
        <v>0</v>
      </c>
      <c r="J120" s="358" t="n">
        <v>0</v>
      </c>
      <c r="K120" s="372" t="n">
        <v>0</v>
      </c>
      <c r="L120" s="373" t="n">
        <v>0</v>
      </c>
      <c r="M120" s="358" t="n">
        <v>0</v>
      </c>
      <c r="N120" s="358" t="n">
        <v>0</v>
      </c>
      <c r="O120" s="372" t="n">
        <v>0</v>
      </c>
      <c r="P120" s="373" t="n">
        <v>0</v>
      </c>
      <c r="Q120" s="358" t="n">
        <v>0</v>
      </c>
      <c r="R120" s="358" t="n">
        <v>0</v>
      </c>
      <c r="S120" s="372" t="n">
        <v>0</v>
      </c>
      <c r="T120" s="373" t="n">
        <v>0</v>
      </c>
      <c r="U120" s="358" t="n">
        <v>0</v>
      </c>
      <c r="V120" s="358" t="n">
        <v>0</v>
      </c>
      <c r="W120" s="372" t="n">
        <v>0</v>
      </c>
      <c r="X120" s="373" t="n">
        <v>0</v>
      </c>
      <c r="Y120" s="358" t="n">
        <v>0</v>
      </c>
      <c r="Z120" s="358" t="n">
        <v>0</v>
      </c>
      <c r="AA120" s="358" t="n">
        <v>0</v>
      </c>
      <c r="AB120" s="373" t="n">
        <v>0</v>
      </c>
      <c r="AC120" s="358" t="n">
        <v>0</v>
      </c>
      <c r="AD120" s="358" t="n">
        <v>0</v>
      </c>
      <c r="AE120" s="358" t="n">
        <v>0</v>
      </c>
      <c r="AF120" s="359" t="n">
        <v>1</v>
      </c>
    </row>
    <row r="121" customFormat="false" ht="15" hidden="true" customHeight="false" outlineLevel="0" collapsed="false">
      <c r="B121" s="360" t="s">
        <v>2613</v>
      </c>
      <c r="C121" s="359" t="n">
        <v>1</v>
      </c>
      <c r="D121" s="358" t="n">
        <v>0</v>
      </c>
      <c r="E121" s="358" t="n">
        <v>0</v>
      </c>
      <c r="F121" s="358" t="n">
        <v>0</v>
      </c>
      <c r="G121" s="372" t="n">
        <v>0</v>
      </c>
      <c r="H121" s="373" t="n">
        <v>0</v>
      </c>
      <c r="I121" s="358" t="n">
        <v>0</v>
      </c>
      <c r="J121" s="358" t="n">
        <v>0</v>
      </c>
      <c r="K121" s="372" t="n">
        <v>0</v>
      </c>
      <c r="L121" s="373" t="n">
        <v>0</v>
      </c>
      <c r="M121" s="358" t="n">
        <v>0</v>
      </c>
      <c r="N121" s="358" t="n">
        <v>0</v>
      </c>
      <c r="O121" s="372" t="n">
        <v>0</v>
      </c>
      <c r="P121" s="373" t="n">
        <v>0</v>
      </c>
      <c r="Q121" s="358" t="n">
        <v>0</v>
      </c>
      <c r="R121" s="358" t="n">
        <v>0</v>
      </c>
      <c r="S121" s="372" t="n">
        <v>0</v>
      </c>
      <c r="T121" s="373" t="n">
        <v>0</v>
      </c>
      <c r="U121" s="358" t="n">
        <v>0</v>
      </c>
      <c r="V121" s="358" t="n">
        <v>0</v>
      </c>
      <c r="W121" s="372" t="n">
        <v>0</v>
      </c>
      <c r="X121" s="373" t="n">
        <v>0</v>
      </c>
      <c r="Y121" s="358" t="n">
        <v>0</v>
      </c>
      <c r="Z121" s="358" t="n">
        <v>0</v>
      </c>
      <c r="AA121" s="358" t="n">
        <v>0</v>
      </c>
      <c r="AB121" s="373" t="n">
        <v>0</v>
      </c>
      <c r="AC121" s="358" t="n">
        <v>0</v>
      </c>
      <c r="AD121" s="358" t="n">
        <v>0</v>
      </c>
      <c r="AE121" s="358" t="n">
        <v>0</v>
      </c>
      <c r="AF121" s="359" t="n">
        <v>1</v>
      </c>
    </row>
    <row r="122" customFormat="false" ht="15" hidden="true" customHeight="false" outlineLevel="0" collapsed="false">
      <c r="B122" s="360" t="s">
        <v>2614</v>
      </c>
      <c r="C122" s="359" t="n">
        <v>1</v>
      </c>
      <c r="D122" s="358" t="n">
        <v>0</v>
      </c>
      <c r="E122" s="358" t="n">
        <v>0</v>
      </c>
      <c r="F122" s="358" t="n">
        <v>0</v>
      </c>
      <c r="G122" s="372" t="n">
        <v>0</v>
      </c>
      <c r="H122" s="373" t="n">
        <v>0</v>
      </c>
      <c r="I122" s="358" t="n">
        <v>0</v>
      </c>
      <c r="J122" s="358" t="n">
        <v>0</v>
      </c>
      <c r="K122" s="372" t="n">
        <v>0</v>
      </c>
      <c r="L122" s="373" t="n">
        <v>0</v>
      </c>
      <c r="M122" s="358" t="n">
        <v>0</v>
      </c>
      <c r="N122" s="358" t="n">
        <v>0</v>
      </c>
      <c r="O122" s="372" t="n">
        <v>0</v>
      </c>
      <c r="P122" s="373" t="n">
        <v>0</v>
      </c>
      <c r="Q122" s="358" t="n">
        <v>0</v>
      </c>
      <c r="R122" s="358" t="n">
        <v>0</v>
      </c>
      <c r="S122" s="372" t="n">
        <v>0</v>
      </c>
      <c r="T122" s="373" t="n">
        <v>0</v>
      </c>
      <c r="U122" s="358" t="n">
        <v>0</v>
      </c>
      <c r="V122" s="358" t="n">
        <v>0</v>
      </c>
      <c r="W122" s="372" t="n">
        <v>0</v>
      </c>
      <c r="X122" s="373" t="n">
        <v>0</v>
      </c>
      <c r="Y122" s="358" t="n">
        <v>0</v>
      </c>
      <c r="Z122" s="358" t="n">
        <v>0</v>
      </c>
      <c r="AA122" s="358" t="n">
        <v>0</v>
      </c>
      <c r="AB122" s="373" t="n">
        <v>0</v>
      </c>
      <c r="AC122" s="358" t="n">
        <v>0</v>
      </c>
      <c r="AD122" s="358" t="n">
        <v>0</v>
      </c>
      <c r="AE122" s="358" t="n">
        <v>0</v>
      </c>
      <c r="AF122" s="359" t="n">
        <v>1</v>
      </c>
    </row>
    <row r="123" customFormat="false" ht="15" hidden="true" customHeight="false" outlineLevel="0" collapsed="false">
      <c r="B123" s="360" t="s">
        <v>2615</v>
      </c>
      <c r="C123" s="359" t="n">
        <v>1</v>
      </c>
      <c r="D123" s="358" t="n">
        <v>0</v>
      </c>
      <c r="E123" s="358" t="n">
        <v>0</v>
      </c>
      <c r="F123" s="358" t="n">
        <v>0</v>
      </c>
      <c r="G123" s="372" t="n">
        <v>0</v>
      </c>
      <c r="H123" s="373" t="n">
        <v>0</v>
      </c>
      <c r="I123" s="358" t="n">
        <v>0</v>
      </c>
      <c r="J123" s="358" t="n">
        <v>0</v>
      </c>
      <c r="K123" s="372" t="n">
        <v>0</v>
      </c>
      <c r="L123" s="373" t="n">
        <v>0</v>
      </c>
      <c r="M123" s="358" t="n">
        <v>0</v>
      </c>
      <c r="N123" s="358" t="n">
        <v>0</v>
      </c>
      <c r="O123" s="372" t="n">
        <v>0</v>
      </c>
      <c r="P123" s="373" t="n">
        <v>0</v>
      </c>
      <c r="Q123" s="358" t="n">
        <v>0</v>
      </c>
      <c r="R123" s="358" t="n">
        <v>0</v>
      </c>
      <c r="S123" s="372" t="n">
        <v>0</v>
      </c>
      <c r="T123" s="373" t="n">
        <v>0</v>
      </c>
      <c r="U123" s="358" t="n">
        <v>0</v>
      </c>
      <c r="V123" s="358" t="n">
        <v>0</v>
      </c>
      <c r="W123" s="372" t="n">
        <v>0</v>
      </c>
      <c r="X123" s="373" t="n">
        <v>0</v>
      </c>
      <c r="Y123" s="358" t="n">
        <v>0</v>
      </c>
      <c r="Z123" s="358" t="n">
        <v>0</v>
      </c>
      <c r="AA123" s="358" t="n">
        <v>0</v>
      </c>
      <c r="AB123" s="373" t="n">
        <v>0</v>
      </c>
      <c r="AC123" s="358" t="n">
        <v>0</v>
      </c>
      <c r="AD123" s="358" t="n">
        <v>0</v>
      </c>
      <c r="AE123" s="358" t="n">
        <v>0</v>
      </c>
      <c r="AF123" s="359" t="n">
        <v>1</v>
      </c>
    </row>
    <row r="124" customFormat="false" ht="15" hidden="true" customHeight="false" outlineLevel="0" collapsed="false">
      <c r="B124" s="360" t="s">
        <v>2616</v>
      </c>
      <c r="C124" s="359" t="n">
        <v>1</v>
      </c>
      <c r="D124" s="358" t="n">
        <v>0</v>
      </c>
      <c r="E124" s="358" t="n">
        <v>0</v>
      </c>
      <c r="F124" s="358" t="n">
        <v>0</v>
      </c>
      <c r="G124" s="372" t="n">
        <v>0</v>
      </c>
      <c r="H124" s="373" t="n">
        <v>0</v>
      </c>
      <c r="I124" s="358" t="n">
        <v>0</v>
      </c>
      <c r="J124" s="358" t="n">
        <v>0</v>
      </c>
      <c r="K124" s="372" t="n">
        <v>0</v>
      </c>
      <c r="L124" s="373" t="n">
        <v>0</v>
      </c>
      <c r="M124" s="358" t="n">
        <v>0</v>
      </c>
      <c r="N124" s="358" t="n">
        <v>0</v>
      </c>
      <c r="O124" s="372" t="n">
        <v>0</v>
      </c>
      <c r="P124" s="373" t="n">
        <v>0</v>
      </c>
      <c r="Q124" s="358" t="n">
        <v>0</v>
      </c>
      <c r="R124" s="358" t="n">
        <v>0</v>
      </c>
      <c r="S124" s="372" t="n">
        <v>0</v>
      </c>
      <c r="T124" s="373" t="n">
        <v>0</v>
      </c>
      <c r="U124" s="358" t="n">
        <v>0</v>
      </c>
      <c r="V124" s="358" t="n">
        <v>0</v>
      </c>
      <c r="W124" s="372" t="n">
        <v>0</v>
      </c>
      <c r="X124" s="373" t="n">
        <v>0</v>
      </c>
      <c r="Y124" s="358" t="n">
        <v>0</v>
      </c>
      <c r="Z124" s="358" t="n">
        <v>0</v>
      </c>
      <c r="AA124" s="358" t="n">
        <v>0</v>
      </c>
      <c r="AB124" s="373" t="n">
        <v>0</v>
      </c>
      <c r="AC124" s="358" t="n">
        <v>0</v>
      </c>
      <c r="AD124" s="358" t="n">
        <v>0</v>
      </c>
      <c r="AE124" s="358" t="n">
        <v>0</v>
      </c>
      <c r="AF124" s="359" t="n">
        <v>1</v>
      </c>
    </row>
    <row r="125" customFormat="false" ht="15" hidden="true" customHeight="false" outlineLevel="0" collapsed="false">
      <c r="B125" s="360" t="s">
        <v>2617</v>
      </c>
      <c r="C125" s="359" t="n">
        <v>1</v>
      </c>
      <c r="D125" s="358" t="n">
        <v>0</v>
      </c>
      <c r="E125" s="358" t="n">
        <v>0</v>
      </c>
      <c r="F125" s="358" t="n">
        <v>0</v>
      </c>
      <c r="G125" s="372" t="n">
        <v>0</v>
      </c>
      <c r="H125" s="373" t="n">
        <v>0</v>
      </c>
      <c r="I125" s="358" t="n">
        <v>0</v>
      </c>
      <c r="J125" s="358" t="n">
        <v>0</v>
      </c>
      <c r="K125" s="372" t="n">
        <v>0</v>
      </c>
      <c r="L125" s="373" t="n">
        <v>0</v>
      </c>
      <c r="M125" s="358" t="n">
        <v>0</v>
      </c>
      <c r="N125" s="358" t="n">
        <v>0</v>
      </c>
      <c r="O125" s="372" t="n">
        <v>0</v>
      </c>
      <c r="P125" s="373" t="n">
        <v>0</v>
      </c>
      <c r="Q125" s="358" t="n">
        <v>0</v>
      </c>
      <c r="R125" s="358" t="n">
        <v>0</v>
      </c>
      <c r="S125" s="372" t="n">
        <v>0</v>
      </c>
      <c r="T125" s="373" t="n">
        <v>0</v>
      </c>
      <c r="U125" s="358" t="n">
        <v>0</v>
      </c>
      <c r="V125" s="358" t="n">
        <v>0</v>
      </c>
      <c r="W125" s="372" t="n">
        <v>0</v>
      </c>
      <c r="X125" s="373" t="n">
        <v>0</v>
      </c>
      <c r="Y125" s="358" t="n">
        <v>0</v>
      </c>
      <c r="Z125" s="358" t="n">
        <v>0</v>
      </c>
      <c r="AA125" s="358" t="n">
        <v>0</v>
      </c>
      <c r="AB125" s="373" t="n">
        <v>0</v>
      </c>
      <c r="AC125" s="358" t="n">
        <v>0</v>
      </c>
      <c r="AD125" s="358" t="n">
        <v>0</v>
      </c>
      <c r="AE125" s="358" t="n">
        <v>0</v>
      </c>
      <c r="AF125" s="359" t="n">
        <v>1</v>
      </c>
    </row>
    <row r="126" customFormat="false" ht="15" hidden="false" customHeight="false" outlineLevel="0" collapsed="false">
      <c r="B126" s="310" t="s">
        <v>1814</v>
      </c>
      <c r="C126" s="359" t="n">
        <v>11</v>
      </c>
      <c r="D126" s="358" t="n">
        <v>2</v>
      </c>
      <c r="E126" s="358" t="n">
        <v>0</v>
      </c>
      <c r="F126" s="358" t="n">
        <v>0</v>
      </c>
      <c r="G126" s="372" t="n">
        <v>0</v>
      </c>
      <c r="H126" s="373" t="n">
        <v>0</v>
      </c>
      <c r="I126" s="358" t="n">
        <v>0</v>
      </c>
      <c r="J126" s="358" t="n">
        <v>0</v>
      </c>
      <c r="K126" s="372" t="n">
        <v>0</v>
      </c>
      <c r="L126" s="373" t="n">
        <v>0</v>
      </c>
      <c r="M126" s="358" t="n">
        <v>0</v>
      </c>
      <c r="N126" s="358" t="n">
        <v>0</v>
      </c>
      <c r="O126" s="372" t="n">
        <v>0</v>
      </c>
      <c r="P126" s="373" t="n">
        <v>0</v>
      </c>
      <c r="Q126" s="358" t="n">
        <v>0</v>
      </c>
      <c r="R126" s="358" t="n">
        <v>0</v>
      </c>
      <c r="S126" s="372" t="n">
        <v>0</v>
      </c>
      <c r="T126" s="373" t="n">
        <v>0</v>
      </c>
      <c r="U126" s="358" t="n">
        <v>0</v>
      </c>
      <c r="V126" s="358" t="n">
        <v>0</v>
      </c>
      <c r="W126" s="372" t="n">
        <v>0</v>
      </c>
      <c r="X126" s="373" t="n">
        <v>0</v>
      </c>
      <c r="Y126" s="358" t="n">
        <v>0</v>
      </c>
      <c r="Z126" s="358" t="n">
        <v>0</v>
      </c>
      <c r="AA126" s="358" t="n">
        <v>0</v>
      </c>
      <c r="AB126" s="373" t="n">
        <v>2</v>
      </c>
      <c r="AC126" s="358" t="n">
        <v>0</v>
      </c>
      <c r="AD126" s="358" t="n">
        <v>0</v>
      </c>
      <c r="AE126" s="358" t="n">
        <v>0</v>
      </c>
      <c r="AF126" s="359" t="n">
        <v>13</v>
      </c>
    </row>
    <row r="127" customFormat="false" ht="15" hidden="true" customHeight="false" outlineLevel="0" collapsed="false">
      <c r="B127" s="360" t="s">
        <v>2618</v>
      </c>
      <c r="C127" s="359" t="n">
        <v>1</v>
      </c>
      <c r="D127" s="358" t="n">
        <v>0</v>
      </c>
      <c r="E127" s="358" t="n">
        <v>0</v>
      </c>
      <c r="F127" s="358" t="n">
        <v>0</v>
      </c>
      <c r="G127" s="372" t="n">
        <v>0</v>
      </c>
      <c r="H127" s="373" t="n">
        <v>0</v>
      </c>
      <c r="I127" s="358" t="n">
        <v>0</v>
      </c>
      <c r="J127" s="358" t="n">
        <v>0</v>
      </c>
      <c r="K127" s="372" t="n">
        <v>0</v>
      </c>
      <c r="L127" s="373" t="n">
        <v>0</v>
      </c>
      <c r="M127" s="358" t="n">
        <v>0</v>
      </c>
      <c r="N127" s="358" t="n">
        <v>0</v>
      </c>
      <c r="O127" s="372" t="n">
        <v>0</v>
      </c>
      <c r="P127" s="373" t="n">
        <v>0</v>
      </c>
      <c r="Q127" s="358" t="n">
        <v>0</v>
      </c>
      <c r="R127" s="358" t="n">
        <v>0</v>
      </c>
      <c r="S127" s="372" t="n">
        <v>0</v>
      </c>
      <c r="T127" s="373" t="n">
        <v>0</v>
      </c>
      <c r="U127" s="358" t="n">
        <v>0</v>
      </c>
      <c r="V127" s="358" t="n">
        <v>0</v>
      </c>
      <c r="W127" s="372" t="n">
        <v>0</v>
      </c>
      <c r="X127" s="373" t="n">
        <v>0</v>
      </c>
      <c r="Y127" s="358" t="n">
        <v>0</v>
      </c>
      <c r="Z127" s="358" t="n">
        <v>0</v>
      </c>
      <c r="AA127" s="358" t="n">
        <v>0</v>
      </c>
      <c r="AB127" s="373" t="n">
        <v>0</v>
      </c>
      <c r="AC127" s="358" t="n">
        <v>0</v>
      </c>
      <c r="AD127" s="358" t="n">
        <v>0</v>
      </c>
      <c r="AE127" s="358" t="n">
        <v>0</v>
      </c>
      <c r="AF127" s="359" t="n">
        <v>1</v>
      </c>
    </row>
    <row r="128" customFormat="false" ht="15" hidden="true" customHeight="false" outlineLevel="0" collapsed="false">
      <c r="B128" s="360" t="s">
        <v>2619</v>
      </c>
      <c r="C128" s="359" t="n">
        <v>1</v>
      </c>
      <c r="D128" s="358" t="n">
        <v>0</v>
      </c>
      <c r="E128" s="358" t="n">
        <v>0</v>
      </c>
      <c r="F128" s="358" t="n">
        <v>0</v>
      </c>
      <c r="G128" s="372" t="n">
        <v>0</v>
      </c>
      <c r="H128" s="373" t="n">
        <v>0</v>
      </c>
      <c r="I128" s="358" t="n">
        <v>0</v>
      </c>
      <c r="J128" s="358" t="n">
        <v>0</v>
      </c>
      <c r="K128" s="372" t="n">
        <v>0</v>
      </c>
      <c r="L128" s="373" t="n">
        <v>0</v>
      </c>
      <c r="M128" s="358" t="n">
        <v>0</v>
      </c>
      <c r="N128" s="358" t="n">
        <v>0</v>
      </c>
      <c r="O128" s="372" t="n">
        <v>0</v>
      </c>
      <c r="P128" s="373" t="n">
        <v>0</v>
      </c>
      <c r="Q128" s="358" t="n">
        <v>0</v>
      </c>
      <c r="R128" s="358" t="n">
        <v>0</v>
      </c>
      <c r="S128" s="372" t="n">
        <v>0</v>
      </c>
      <c r="T128" s="373" t="n">
        <v>0</v>
      </c>
      <c r="U128" s="358" t="n">
        <v>0</v>
      </c>
      <c r="V128" s="358" t="n">
        <v>0</v>
      </c>
      <c r="W128" s="372" t="n">
        <v>0</v>
      </c>
      <c r="X128" s="373" t="n">
        <v>0</v>
      </c>
      <c r="Y128" s="358" t="n">
        <v>0</v>
      </c>
      <c r="Z128" s="358" t="n">
        <v>0</v>
      </c>
      <c r="AA128" s="358" t="n">
        <v>0</v>
      </c>
      <c r="AB128" s="373" t="n">
        <v>0</v>
      </c>
      <c r="AC128" s="358" t="n">
        <v>0</v>
      </c>
      <c r="AD128" s="358" t="n">
        <v>0</v>
      </c>
      <c r="AE128" s="358" t="n">
        <v>0</v>
      </c>
      <c r="AF128" s="359" t="n">
        <v>1</v>
      </c>
    </row>
    <row r="129" customFormat="false" ht="15" hidden="true" customHeight="false" outlineLevel="0" collapsed="false">
      <c r="B129" s="360" t="s">
        <v>2620</v>
      </c>
      <c r="C129" s="359" t="n">
        <v>1</v>
      </c>
      <c r="D129" s="358" t="n">
        <v>0</v>
      </c>
      <c r="E129" s="358" t="n">
        <v>0</v>
      </c>
      <c r="F129" s="358" t="n">
        <v>0</v>
      </c>
      <c r="G129" s="372" t="n">
        <v>0</v>
      </c>
      <c r="H129" s="373" t="n">
        <v>0</v>
      </c>
      <c r="I129" s="358" t="n">
        <v>0</v>
      </c>
      <c r="J129" s="358" t="n">
        <v>0</v>
      </c>
      <c r="K129" s="372" t="n">
        <v>0</v>
      </c>
      <c r="L129" s="373" t="n">
        <v>0</v>
      </c>
      <c r="M129" s="358" t="n">
        <v>0</v>
      </c>
      <c r="N129" s="358" t="n">
        <v>0</v>
      </c>
      <c r="O129" s="372" t="n">
        <v>0</v>
      </c>
      <c r="P129" s="373" t="n">
        <v>0</v>
      </c>
      <c r="Q129" s="358" t="n">
        <v>0</v>
      </c>
      <c r="R129" s="358" t="n">
        <v>0</v>
      </c>
      <c r="S129" s="372" t="n">
        <v>0</v>
      </c>
      <c r="T129" s="373" t="n">
        <v>0</v>
      </c>
      <c r="U129" s="358" t="n">
        <v>0</v>
      </c>
      <c r="V129" s="358" t="n">
        <v>0</v>
      </c>
      <c r="W129" s="372" t="n">
        <v>0</v>
      </c>
      <c r="X129" s="373" t="n">
        <v>0</v>
      </c>
      <c r="Y129" s="358" t="n">
        <v>0</v>
      </c>
      <c r="Z129" s="358" t="n">
        <v>0</v>
      </c>
      <c r="AA129" s="358" t="n">
        <v>0</v>
      </c>
      <c r="AB129" s="373" t="n">
        <v>0</v>
      </c>
      <c r="AC129" s="358" t="n">
        <v>0</v>
      </c>
      <c r="AD129" s="358" t="n">
        <v>0</v>
      </c>
      <c r="AE129" s="358" t="n">
        <v>0</v>
      </c>
      <c r="AF129" s="359" t="n">
        <v>1</v>
      </c>
    </row>
    <row r="130" customFormat="false" ht="15" hidden="true" customHeight="false" outlineLevel="0" collapsed="false">
      <c r="B130" s="360" t="s">
        <v>2621</v>
      </c>
      <c r="C130" s="359" t="n">
        <v>1</v>
      </c>
      <c r="D130" s="358" t="n">
        <v>0</v>
      </c>
      <c r="E130" s="358" t="n">
        <v>0</v>
      </c>
      <c r="F130" s="358" t="n">
        <v>0</v>
      </c>
      <c r="G130" s="372" t="n">
        <v>0</v>
      </c>
      <c r="H130" s="373" t="n">
        <v>0</v>
      </c>
      <c r="I130" s="358" t="n">
        <v>0</v>
      </c>
      <c r="J130" s="358" t="n">
        <v>0</v>
      </c>
      <c r="K130" s="372" t="n">
        <v>0</v>
      </c>
      <c r="L130" s="373" t="n">
        <v>0</v>
      </c>
      <c r="M130" s="358" t="n">
        <v>0</v>
      </c>
      <c r="N130" s="358" t="n">
        <v>0</v>
      </c>
      <c r="O130" s="372" t="n">
        <v>0</v>
      </c>
      <c r="P130" s="373" t="n">
        <v>0</v>
      </c>
      <c r="Q130" s="358" t="n">
        <v>0</v>
      </c>
      <c r="R130" s="358" t="n">
        <v>0</v>
      </c>
      <c r="S130" s="372" t="n">
        <v>0</v>
      </c>
      <c r="T130" s="373" t="n">
        <v>0</v>
      </c>
      <c r="U130" s="358" t="n">
        <v>0</v>
      </c>
      <c r="V130" s="358" t="n">
        <v>0</v>
      </c>
      <c r="W130" s="372" t="n">
        <v>0</v>
      </c>
      <c r="X130" s="373" t="n">
        <v>0</v>
      </c>
      <c r="Y130" s="358" t="n">
        <v>0</v>
      </c>
      <c r="Z130" s="358" t="n">
        <v>0</v>
      </c>
      <c r="AA130" s="358" t="n">
        <v>0</v>
      </c>
      <c r="AB130" s="373" t="n">
        <v>0</v>
      </c>
      <c r="AC130" s="358" t="n">
        <v>0</v>
      </c>
      <c r="AD130" s="358" t="n">
        <v>0</v>
      </c>
      <c r="AE130" s="358" t="n">
        <v>0</v>
      </c>
      <c r="AF130" s="359" t="n">
        <v>1</v>
      </c>
    </row>
    <row r="131" customFormat="false" ht="15" hidden="true" customHeight="false" outlineLevel="0" collapsed="false">
      <c r="B131" s="360" t="s">
        <v>2622</v>
      </c>
      <c r="C131" s="359" t="n">
        <v>1</v>
      </c>
      <c r="D131" s="358" t="n">
        <v>0</v>
      </c>
      <c r="E131" s="358" t="n">
        <v>0</v>
      </c>
      <c r="F131" s="358" t="n">
        <v>0</v>
      </c>
      <c r="G131" s="372" t="n">
        <v>0</v>
      </c>
      <c r="H131" s="373" t="n">
        <v>0</v>
      </c>
      <c r="I131" s="358" t="n">
        <v>0</v>
      </c>
      <c r="J131" s="358" t="n">
        <v>0</v>
      </c>
      <c r="K131" s="372" t="n">
        <v>0</v>
      </c>
      <c r="L131" s="373" t="n">
        <v>0</v>
      </c>
      <c r="M131" s="358" t="n">
        <v>0</v>
      </c>
      <c r="N131" s="358" t="n">
        <v>0</v>
      </c>
      <c r="O131" s="372" t="n">
        <v>0</v>
      </c>
      <c r="P131" s="373" t="n">
        <v>0</v>
      </c>
      <c r="Q131" s="358" t="n">
        <v>0</v>
      </c>
      <c r="R131" s="358" t="n">
        <v>0</v>
      </c>
      <c r="S131" s="372" t="n">
        <v>0</v>
      </c>
      <c r="T131" s="373" t="n">
        <v>0</v>
      </c>
      <c r="U131" s="358" t="n">
        <v>0</v>
      </c>
      <c r="V131" s="358" t="n">
        <v>0</v>
      </c>
      <c r="W131" s="372" t="n">
        <v>0</v>
      </c>
      <c r="X131" s="373" t="n">
        <v>0</v>
      </c>
      <c r="Y131" s="358" t="n">
        <v>0</v>
      </c>
      <c r="Z131" s="358" t="n">
        <v>0</v>
      </c>
      <c r="AA131" s="358" t="n">
        <v>0</v>
      </c>
      <c r="AB131" s="373" t="n">
        <v>0</v>
      </c>
      <c r="AC131" s="358" t="n">
        <v>0</v>
      </c>
      <c r="AD131" s="358" t="n">
        <v>0</v>
      </c>
      <c r="AE131" s="358" t="n">
        <v>0</v>
      </c>
      <c r="AF131" s="359" t="n">
        <v>1</v>
      </c>
    </row>
    <row r="132" customFormat="false" ht="15" hidden="true" customHeight="false" outlineLevel="0" collapsed="false">
      <c r="B132" s="360" t="s">
        <v>2623</v>
      </c>
      <c r="C132" s="359" t="n">
        <v>1</v>
      </c>
      <c r="D132" s="358" t="n">
        <v>0</v>
      </c>
      <c r="E132" s="358" t="n">
        <v>0</v>
      </c>
      <c r="F132" s="358" t="n">
        <v>0</v>
      </c>
      <c r="G132" s="372" t="n">
        <v>0</v>
      </c>
      <c r="H132" s="373" t="n">
        <v>0</v>
      </c>
      <c r="I132" s="358" t="n">
        <v>0</v>
      </c>
      <c r="J132" s="358" t="n">
        <v>0</v>
      </c>
      <c r="K132" s="372" t="n">
        <v>0</v>
      </c>
      <c r="L132" s="373" t="n">
        <v>0</v>
      </c>
      <c r="M132" s="358" t="n">
        <v>0</v>
      </c>
      <c r="N132" s="358" t="n">
        <v>0</v>
      </c>
      <c r="O132" s="372" t="n">
        <v>0</v>
      </c>
      <c r="P132" s="373" t="n">
        <v>0</v>
      </c>
      <c r="Q132" s="358" t="n">
        <v>0</v>
      </c>
      <c r="R132" s="358" t="n">
        <v>0</v>
      </c>
      <c r="S132" s="372" t="n">
        <v>0</v>
      </c>
      <c r="T132" s="373" t="n">
        <v>0</v>
      </c>
      <c r="U132" s="358" t="n">
        <v>0</v>
      </c>
      <c r="V132" s="358" t="n">
        <v>0</v>
      </c>
      <c r="W132" s="372" t="n">
        <v>0</v>
      </c>
      <c r="X132" s="373" t="n">
        <v>0</v>
      </c>
      <c r="Y132" s="358" t="n">
        <v>0</v>
      </c>
      <c r="Z132" s="358" t="n">
        <v>0</v>
      </c>
      <c r="AA132" s="358" t="n">
        <v>0</v>
      </c>
      <c r="AB132" s="373" t="n">
        <v>0</v>
      </c>
      <c r="AC132" s="358" t="n">
        <v>0</v>
      </c>
      <c r="AD132" s="358" t="n">
        <v>0</v>
      </c>
      <c r="AE132" s="358" t="n">
        <v>0</v>
      </c>
      <c r="AF132" s="359" t="n">
        <v>1</v>
      </c>
    </row>
    <row r="133" customFormat="false" ht="15" hidden="true" customHeight="false" outlineLevel="0" collapsed="false">
      <c r="B133" s="360" t="s">
        <v>2624</v>
      </c>
      <c r="C133" s="359" t="n">
        <v>1</v>
      </c>
      <c r="D133" s="358" t="n">
        <v>0</v>
      </c>
      <c r="E133" s="358" t="n">
        <v>0</v>
      </c>
      <c r="F133" s="358" t="n">
        <v>0</v>
      </c>
      <c r="G133" s="372" t="n">
        <v>0</v>
      </c>
      <c r="H133" s="373" t="n">
        <v>0</v>
      </c>
      <c r="I133" s="358" t="n">
        <v>0</v>
      </c>
      <c r="J133" s="358" t="n">
        <v>0</v>
      </c>
      <c r="K133" s="372" t="n">
        <v>0</v>
      </c>
      <c r="L133" s="373" t="n">
        <v>0</v>
      </c>
      <c r="M133" s="358" t="n">
        <v>0</v>
      </c>
      <c r="N133" s="358" t="n">
        <v>0</v>
      </c>
      <c r="O133" s="372" t="n">
        <v>0</v>
      </c>
      <c r="P133" s="373" t="n">
        <v>0</v>
      </c>
      <c r="Q133" s="358" t="n">
        <v>0</v>
      </c>
      <c r="R133" s="358" t="n">
        <v>0</v>
      </c>
      <c r="S133" s="372" t="n">
        <v>0</v>
      </c>
      <c r="T133" s="373" t="n">
        <v>0</v>
      </c>
      <c r="U133" s="358" t="n">
        <v>0</v>
      </c>
      <c r="V133" s="358" t="n">
        <v>0</v>
      </c>
      <c r="W133" s="372" t="n">
        <v>0</v>
      </c>
      <c r="X133" s="373" t="n">
        <v>0</v>
      </c>
      <c r="Y133" s="358" t="n">
        <v>0</v>
      </c>
      <c r="Z133" s="358" t="n">
        <v>0</v>
      </c>
      <c r="AA133" s="358" t="n">
        <v>0</v>
      </c>
      <c r="AB133" s="373" t="n">
        <v>0</v>
      </c>
      <c r="AC133" s="358" t="n">
        <v>0</v>
      </c>
      <c r="AD133" s="358" t="n">
        <v>0</v>
      </c>
      <c r="AE133" s="358" t="n">
        <v>0</v>
      </c>
      <c r="AF133" s="359" t="n">
        <v>1</v>
      </c>
    </row>
    <row r="134" customFormat="false" ht="15" hidden="true" customHeight="false" outlineLevel="0" collapsed="false">
      <c r="B134" s="360" t="s">
        <v>2625</v>
      </c>
      <c r="C134" s="359" t="n">
        <v>1</v>
      </c>
      <c r="D134" s="358" t="n">
        <v>0</v>
      </c>
      <c r="E134" s="358" t="n">
        <v>0</v>
      </c>
      <c r="F134" s="358" t="n">
        <v>0</v>
      </c>
      <c r="G134" s="372" t="n">
        <v>0</v>
      </c>
      <c r="H134" s="373" t="n">
        <v>0</v>
      </c>
      <c r="I134" s="358" t="n">
        <v>0</v>
      </c>
      <c r="J134" s="358" t="n">
        <v>0</v>
      </c>
      <c r="K134" s="372" t="n">
        <v>0</v>
      </c>
      <c r="L134" s="373" t="n">
        <v>0</v>
      </c>
      <c r="M134" s="358" t="n">
        <v>0</v>
      </c>
      <c r="N134" s="358" t="n">
        <v>0</v>
      </c>
      <c r="O134" s="372" t="n">
        <v>0</v>
      </c>
      <c r="P134" s="373" t="n">
        <v>0</v>
      </c>
      <c r="Q134" s="358" t="n">
        <v>0</v>
      </c>
      <c r="R134" s="358" t="n">
        <v>0</v>
      </c>
      <c r="S134" s="372" t="n">
        <v>0</v>
      </c>
      <c r="T134" s="373" t="n">
        <v>0</v>
      </c>
      <c r="U134" s="358" t="n">
        <v>0</v>
      </c>
      <c r="V134" s="358" t="n">
        <v>0</v>
      </c>
      <c r="W134" s="372" t="n">
        <v>0</v>
      </c>
      <c r="X134" s="373" t="n">
        <v>0</v>
      </c>
      <c r="Y134" s="358" t="n">
        <v>0</v>
      </c>
      <c r="Z134" s="358" t="n">
        <v>0</v>
      </c>
      <c r="AA134" s="358" t="n">
        <v>0</v>
      </c>
      <c r="AB134" s="373" t="n">
        <v>0</v>
      </c>
      <c r="AC134" s="358" t="n">
        <v>0</v>
      </c>
      <c r="AD134" s="358" t="n">
        <v>0</v>
      </c>
      <c r="AE134" s="358" t="n">
        <v>0</v>
      </c>
      <c r="AF134" s="359" t="n">
        <v>1</v>
      </c>
    </row>
    <row r="135" customFormat="false" ht="15" hidden="true" customHeight="false" outlineLevel="0" collapsed="false">
      <c r="B135" s="360" t="s">
        <v>2626</v>
      </c>
      <c r="C135" s="359" t="n">
        <v>1</v>
      </c>
      <c r="D135" s="358" t="n">
        <v>0</v>
      </c>
      <c r="E135" s="358" t="n">
        <v>0</v>
      </c>
      <c r="F135" s="358" t="n">
        <v>0</v>
      </c>
      <c r="G135" s="372" t="n">
        <v>0</v>
      </c>
      <c r="H135" s="373" t="n">
        <v>0</v>
      </c>
      <c r="I135" s="358" t="n">
        <v>0</v>
      </c>
      <c r="J135" s="358" t="n">
        <v>0</v>
      </c>
      <c r="K135" s="372" t="n">
        <v>0</v>
      </c>
      <c r="L135" s="373" t="n">
        <v>0</v>
      </c>
      <c r="M135" s="358" t="n">
        <v>0</v>
      </c>
      <c r="N135" s="358" t="n">
        <v>0</v>
      </c>
      <c r="O135" s="372" t="n">
        <v>0</v>
      </c>
      <c r="P135" s="373" t="n">
        <v>0</v>
      </c>
      <c r="Q135" s="358" t="n">
        <v>0</v>
      </c>
      <c r="R135" s="358" t="n">
        <v>0</v>
      </c>
      <c r="S135" s="372" t="n">
        <v>0</v>
      </c>
      <c r="T135" s="373" t="n">
        <v>0</v>
      </c>
      <c r="U135" s="358" t="n">
        <v>0</v>
      </c>
      <c r="V135" s="358" t="n">
        <v>0</v>
      </c>
      <c r="W135" s="372" t="n">
        <v>0</v>
      </c>
      <c r="X135" s="373" t="n">
        <v>0</v>
      </c>
      <c r="Y135" s="358" t="n">
        <v>0</v>
      </c>
      <c r="Z135" s="358" t="n">
        <v>0</v>
      </c>
      <c r="AA135" s="358" t="n">
        <v>0</v>
      </c>
      <c r="AB135" s="373" t="n">
        <v>0</v>
      </c>
      <c r="AC135" s="358" t="n">
        <v>0</v>
      </c>
      <c r="AD135" s="358" t="n">
        <v>0</v>
      </c>
      <c r="AE135" s="358" t="n">
        <v>0</v>
      </c>
      <c r="AF135" s="359" t="n">
        <v>1</v>
      </c>
    </row>
    <row r="136" customFormat="false" ht="15" hidden="true" customHeight="false" outlineLevel="0" collapsed="false">
      <c r="B136" s="360" t="s">
        <v>2627</v>
      </c>
      <c r="C136" s="359" t="n">
        <v>1</v>
      </c>
      <c r="D136" s="358" t="n">
        <v>0</v>
      </c>
      <c r="E136" s="358" t="n">
        <v>0</v>
      </c>
      <c r="F136" s="358" t="n">
        <v>0</v>
      </c>
      <c r="G136" s="372" t="n">
        <v>0</v>
      </c>
      <c r="H136" s="373" t="n">
        <v>0</v>
      </c>
      <c r="I136" s="358" t="n">
        <v>0</v>
      </c>
      <c r="J136" s="358" t="n">
        <v>0</v>
      </c>
      <c r="K136" s="372" t="n">
        <v>0</v>
      </c>
      <c r="L136" s="373" t="n">
        <v>0</v>
      </c>
      <c r="M136" s="358" t="n">
        <v>0</v>
      </c>
      <c r="N136" s="358" t="n">
        <v>0</v>
      </c>
      <c r="O136" s="372" t="n">
        <v>0</v>
      </c>
      <c r="P136" s="373" t="n">
        <v>0</v>
      </c>
      <c r="Q136" s="358" t="n">
        <v>0</v>
      </c>
      <c r="R136" s="358" t="n">
        <v>0</v>
      </c>
      <c r="S136" s="372" t="n">
        <v>0</v>
      </c>
      <c r="T136" s="373" t="n">
        <v>0</v>
      </c>
      <c r="U136" s="358" t="n">
        <v>0</v>
      </c>
      <c r="V136" s="358" t="n">
        <v>0</v>
      </c>
      <c r="W136" s="372" t="n">
        <v>0</v>
      </c>
      <c r="X136" s="373" t="n">
        <v>0</v>
      </c>
      <c r="Y136" s="358" t="n">
        <v>0</v>
      </c>
      <c r="Z136" s="358" t="n">
        <v>0</v>
      </c>
      <c r="AA136" s="358" t="n">
        <v>0</v>
      </c>
      <c r="AB136" s="373" t="n">
        <v>0</v>
      </c>
      <c r="AC136" s="358" t="n">
        <v>0</v>
      </c>
      <c r="AD136" s="358" t="n">
        <v>0</v>
      </c>
      <c r="AE136" s="358" t="n">
        <v>0</v>
      </c>
      <c r="AF136" s="359" t="n">
        <v>1</v>
      </c>
    </row>
    <row r="137" customFormat="false" ht="15" hidden="true" customHeight="false" outlineLevel="0" collapsed="false">
      <c r="B137" s="360" t="s">
        <v>2628</v>
      </c>
      <c r="C137" s="359"/>
      <c r="D137" s="358" t="n">
        <v>1</v>
      </c>
      <c r="E137" s="358" t="n">
        <v>0</v>
      </c>
      <c r="F137" s="358" t="n">
        <v>0</v>
      </c>
      <c r="G137" s="372" t="n">
        <v>0</v>
      </c>
      <c r="H137" s="373" t="n">
        <v>0</v>
      </c>
      <c r="I137" s="358"/>
      <c r="J137" s="358"/>
      <c r="K137" s="372"/>
      <c r="L137" s="373" t="n">
        <v>0</v>
      </c>
      <c r="M137" s="358" t="n">
        <v>0</v>
      </c>
      <c r="N137" s="358" t="n">
        <v>0</v>
      </c>
      <c r="O137" s="372" t="n">
        <v>0</v>
      </c>
      <c r="P137" s="373" t="n">
        <v>0</v>
      </c>
      <c r="Q137" s="358" t="n">
        <v>0</v>
      </c>
      <c r="R137" s="358" t="n">
        <v>0</v>
      </c>
      <c r="S137" s="372" t="n">
        <v>0</v>
      </c>
      <c r="T137" s="373" t="n">
        <v>0</v>
      </c>
      <c r="U137" s="358" t="n">
        <v>0</v>
      </c>
      <c r="V137" s="358" t="n">
        <v>0</v>
      </c>
      <c r="W137" s="372" t="n">
        <v>0</v>
      </c>
      <c r="X137" s="373" t="n">
        <v>0</v>
      </c>
      <c r="Y137" s="358" t="n">
        <v>0</v>
      </c>
      <c r="Z137" s="358" t="n">
        <v>0</v>
      </c>
      <c r="AA137" s="358" t="n">
        <v>0</v>
      </c>
      <c r="AB137" s="373" t="n">
        <v>1</v>
      </c>
      <c r="AC137" s="358" t="n">
        <v>0</v>
      </c>
      <c r="AD137" s="358" t="n">
        <v>0</v>
      </c>
      <c r="AE137" s="358" t="n">
        <v>0</v>
      </c>
      <c r="AF137" s="359" t="n">
        <v>1</v>
      </c>
    </row>
    <row r="138" customFormat="false" ht="15" hidden="true" customHeight="false" outlineLevel="0" collapsed="false">
      <c r="B138" s="360" t="s">
        <v>2629</v>
      </c>
      <c r="C138" s="359"/>
      <c r="D138" s="358" t="n">
        <v>1</v>
      </c>
      <c r="E138" s="358" t="n">
        <v>0</v>
      </c>
      <c r="F138" s="358" t="n">
        <v>0</v>
      </c>
      <c r="G138" s="372" t="n">
        <v>0</v>
      </c>
      <c r="H138" s="373" t="n">
        <v>0</v>
      </c>
      <c r="I138" s="358"/>
      <c r="J138" s="358"/>
      <c r="K138" s="372"/>
      <c r="L138" s="373" t="n">
        <v>0</v>
      </c>
      <c r="M138" s="358" t="n">
        <v>0</v>
      </c>
      <c r="N138" s="358" t="n">
        <v>0</v>
      </c>
      <c r="O138" s="372" t="n">
        <v>0</v>
      </c>
      <c r="P138" s="373" t="n">
        <v>0</v>
      </c>
      <c r="Q138" s="358" t="n">
        <v>0</v>
      </c>
      <c r="R138" s="358" t="n">
        <v>0</v>
      </c>
      <c r="S138" s="372" t="n">
        <v>0</v>
      </c>
      <c r="T138" s="373" t="n">
        <v>0</v>
      </c>
      <c r="U138" s="358" t="n">
        <v>0</v>
      </c>
      <c r="V138" s="358" t="n">
        <v>0</v>
      </c>
      <c r="W138" s="372" t="n">
        <v>0</v>
      </c>
      <c r="X138" s="373" t="n">
        <v>0</v>
      </c>
      <c r="Y138" s="358" t="n">
        <v>0</v>
      </c>
      <c r="Z138" s="358" t="n">
        <v>0</v>
      </c>
      <c r="AA138" s="358" t="n">
        <v>0</v>
      </c>
      <c r="AB138" s="373" t="n">
        <v>1</v>
      </c>
      <c r="AC138" s="358" t="n">
        <v>0</v>
      </c>
      <c r="AD138" s="358" t="n">
        <v>0</v>
      </c>
      <c r="AE138" s="358" t="n">
        <v>0</v>
      </c>
      <c r="AF138" s="359" t="n">
        <v>1</v>
      </c>
    </row>
    <row r="139" customFormat="false" ht="15" hidden="true" customHeight="false" outlineLevel="0" collapsed="false">
      <c r="B139" s="360" t="s">
        <v>2630</v>
      </c>
      <c r="C139" s="359" t="n">
        <v>1</v>
      </c>
      <c r="D139" s="358" t="n">
        <v>0</v>
      </c>
      <c r="E139" s="358" t="n">
        <v>0</v>
      </c>
      <c r="F139" s="358" t="n">
        <v>0</v>
      </c>
      <c r="G139" s="372" t="n">
        <v>0</v>
      </c>
      <c r="H139" s="373" t="n">
        <v>0</v>
      </c>
      <c r="I139" s="358" t="n">
        <v>0</v>
      </c>
      <c r="J139" s="358" t="n">
        <v>0</v>
      </c>
      <c r="K139" s="372" t="n">
        <v>0</v>
      </c>
      <c r="L139" s="373" t="n">
        <v>0</v>
      </c>
      <c r="M139" s="358" t="n">
        <v>0</v>
      </c>
      <c r="N139" s="358" t="n">
        <v>0</v>
      </c>
      <c r="O139" s="372" t="n">
        <v>0</v>
      </c>
      <c r="P139" s="373" t="n">
        <v>0</v>
      </c>
      <c r="Q139" s="358" t="n">
        <v>0</v>
      </c>
      <c r="R139" s="358" t="n">
        <v>0</v>
      </c>
      <c r="S139" s="372" t="n">
        <v>0</v>
      </c>
      <c r="T139" s="373" t="n">
        <v>0</v>
      </c>
      <c r="U139" s="358" t="n">
        <v>0</v>
      </c>
      <c r="V139" s="358" t="n">
        <v>0</v>
      </c>
      <c r="W139" s="372" t="n">
        <v>0</v>
      </c>
      <c r="X139" s="373" t="n">
        <v>0</v>
      </c>
      <c r="Y139" s="358" t="n">
        <v>0</v>
      </c>
      <c r="Z139" s="358" t="n">
        <v>0</v>
      </c>
      <c r="AA139" s="358" t="n">
        <v>0</v>
      </c>
      <c r="AB139" s="373" t="n">
        <v>0</v>
      </c>
      <c r="AC139" s="358" t="n">
        <v>0</v>
      </c>
      <c r="AD139" s="358" t="n">
        <v>0</v>
      </c>
      <c r="AE139" s="358" t="n">
        <v>0</v>
      </c>
      <c r="AF139" s="359" t="n">
        <v>1</v>
      </c>
    </row>
    <row r="140" customFormat="false" ht="15" hidden="false" customHeight="false" outlineLevel="0" collapsed="false">
      <c r="B140" s="310" t="s">
        <v>2460</v>
      </c>
      <c r="C140" s="359" t="n">
        <v>17</v>
      </c>
      <c r="D140" s="358" t="n">
        <v>0</v>
      </c>
      <c r="E140" s="358" t="n">
        <v>0</v>
      </c>
      <c r="F140" s="358" t="n">
        <v>0</v>
      </c>
      <c r="G140" s="372" t="n">
        <v>0</v>
      </c>
      <c r="H140" s="373" t="n">
        <v>0</v>
      </c>
      <c r="I140" s="358" t="n">
        <v>-1</v>
      </c>
      <c r="J140" s="358" t="n">
        <v>0</v>
      </c>
      <c r="K140" s="372" t="n">
        <v>0</v>
      </c>
      <c r="L140" s="373" t="n">
        <v>0</v>
      </c>
      <c r="M140" s="358" t="n">
        <v>0</v>
      </c>
      <c r="N140" s="358" t="n">
        <v>0</v>
      </c>
      <c r="O140" s="372" t="n">
        <v>0</v>
      </c>
      <c r="P140" s="373" t="n">
        <v>0</v>
      </c>
      <c r="Q140" s="358" t="n">
        <v>0</v>
      </c>
      <c r="R140" s="358" t="n">
        <v>0</v>
      </c>
      <c r="S140" s="372" t="n">
        <v>0</v>
      </c>
      <c r="T140" s="373" t="n">
        <v>0</v>
      </c>
      <c r="U140" s="358" t="n">
        <v>0</v>
      </c>
      <c r="V140" s="358" t="n">
        <v>0</v>
      </c>
      <c r="W140" s="372" t="n">
        <v>0</v>
      </c>
      <c r="X140" s="373" t="n">
        <v>0</v>
      </c>
      <c r="Y140" s="358" t="n">
        <v>0</v>
      </c>
      <c r="Z140" s="358" t="n">
        <v>0</v>
      </c>
      <c r="AA140" s="358" t="n">
        <v>0</v>
      </c>
      <c r="AB140" s="373" t="n">
        <v>0</v>
      </c>
      <c r="AC140" s="358" t="n">
        <v>-1</v>
      </c>
      <c r="AD140" s="358" t="n">
        <v>0</v>
      </c>
      <c r="AE140" s="358" t="n">
        <v>0</v>
      </c>
      <c r="AF140" s="359" t="n">
        <v>16</v>
      </c>
    </row>
    <row r="141" customFormat="false" ht="15" hidden="true" customHeight="false" outlineLevel="0" collapsed="false">
      <c r="B141" s="360" t="s">
        <v>2631</v>
      </c>
      <c r="C141" s="359" t="n">
        <v>1</v>
      </c>
      <c r="D141" s="358" t="n">
        <v>0</v>
      </c>
      <c r="E141" s="358" t="n">
        <v>0</v>
      </c>
      <c r="F141" s="358" t="n">
        <v>0</v>
      </c>
      <c r="G141" s="372" t="n">
        <v>0</v>
      </c>
      <c r="H141" s="373" t="n">
        <v>0</v>
      </c>
      <c r="I141" s="358" t="n">
        <v>0</v>
      </c>
      <c r="J141" s="358" t="n">
        <v>0</v>
      </c>
      <c r="K141" s="372" t="n">
        <v>0</v>
      </c>
      <c r="L141" s="373" t="n">
        <v>0</v>
      </c>
      <c r="M141" s="358" t="n">
        <v>0</v>
      </c>
      <c r="N141" s="358" t="n">
        <v>0</v>
      </c>
      <c r="O141" s="372" t="n">
        <v>0</v>
      </c>
      <c r="P141" s="373" t="n">
        <v>0</v>
      </c>
      <c r="Q141" s="358" t="n">
        <v>0</v>
      </c>
      <c r="R141" s="358" t="n">
        <v>0</v>
      </c>
      <c r="S141" s="372" t="n">
        <v>0</v>
      </c>
      <c r="T141" s="373" t="n">
        <v>0</v>
      </c>
      <c r="U141" s="358" t="n">
        <v>0</v>
      </c>
      <c r="V141" s="358" t="n">
        <v>0</v>
      </c>
      <c r="W141" s="372" t="n">
        <v>0</v>
      </c>
      <c r="X141" s="373" t="n">
        <v>0</v>
      </c>
      <c r="Y141" s="358" t="n">
        <v>0</v>
      </c>
      <c r="Z141" s="358" t="n">
        <v>0</v>
      </c>
      <c r="AA141" s="358" t="n">
        <v>0</v>
      </c>
      <c r="AB141" s="373" t="n">
        <v>0</v>
      </c>
      <c r="AC141" s="358" t="n">
        <v>0</v>
      </c>
      <c r="AD141" s="358" t="n">
        <v>0</v>
      </c>
      <c r="AE141" s="358" t="n">
        <v>0</v>
      </c>
      <c r="AF141" s="359" t="n">
        <v>1</v>
      </c>
    </row>
    <row r="142" customFormat="false" ht="15" hidden="true" customHeight="false" outlineLevel="0" collapsed="false">
      <c r="B142" s="360" t="s">
        <v>2632</v>
      </c>
      <c r="C142" s="359" t="n">
        <v>1</v>
      </c>
      <c r="D142" s="358" t="n">
        <v>0</v>
      </c>
      <c r="E142" s="358" t="n">
        <v>0</v>
      </c>
      <c r="F142" s="358" t="n">
        <v>0</v>
      </c>
      <c r="G142" s="372" t="n">
        <v>0</v>
      </c>
      <c r="H142" s="373" t="n">
        <v>0</v>
      </c>
      <c r="I142" s="358" t="n">
        <v>0</v>
      </c>
      <c r="J142" s="358" t="n">
        <v>0</v>
      </c>
      <c r="K142" s="372" t="n">
        <v>0</v>
      </c>
      <c r="L142" s="373" t="n">
        <v>0</v>
      </c>
      <c r="M142" s="358" t="n">
        <v>0</v>
      </c>
      <c r="N142" s="358" t="n">
        <v>0</v>
      </c>
      <c r="O142" s="372" t="n">
        <v>0</v>
      </c>
      <c r="P142" s="373" t="n">
        <v>0</v>
      </c>
      <c r="Q142" s="358" t="n">
        <v>0</v>
      </c>
      <c r="R142" s="358" t="n">
        <v>0</v>
      </c>
      <c r="S142" s="372" t="n">
        <v>0</v>
      </c>
      <c r="T142" s="373" t="n">
        <v>0</v>
      </c>
      <c r="U142" s="358" t="n">
        <v>0</v>
      </c>
      <c r="V142" s="358" t="n">
        <v>0</v>
      </c>
      <c r="W142" s="372" t="n">
        <v>0</v>
      </c>
      <c r="X142" s="373" t="n">
        <v>0</v>
      </c>
      <c r="Y142" s="358" t="n">
        <v>0</v>
      </c>
      <c r="Z142" s="358" t="n">
        <v>0</v>
      </c>
      <c r="AA142" s="358" t="n">
        <v>0</v>
      </c>
      <c r="AB142" s="373" t="n">
        <v>0</v>
      </c>
      <c r="AC142" s="358" t="n">
        <v>0</v>
      </c>
      <c r="AD142" s="358" t="n">
        <v>0</v>
      </c>
      <c r="AE142" s="358" t="n">
        <v>0</v>
      </c>
      <c r="AF142" s="359" t="n">
        <v>1</v>
      </c>
    </row>
    <row r="143" customFormat="false" ht="15" hidden="true" customHeight="false" outlineLevel="0" collapsed="false">
      <c r="B143" s="360" t="s">
        <v>2633</v>
      </c>
      <c r="C143" s="359" t="n">
        <v>1</v>
      </c>
      <c r="D143" s="358" t="n">
        <v>0</v>
      </c>
      <c r="E143" s="358" t="n">
        <v>0</v>
      </c>
      <c r="F143" s="358" t="n">
        <v>0</v>
      </c>
      <c r="G143" s="372" t="n">
        <v>0</v>
      </c>
      <c r="H143" s="373" t="n">
        <v>0</v>
      </c>
      <c r="I143" s="358" t="n">
        <v>0</v>
      </c>
      <c r="J143" s="358" t="n">
        <v>0</v>
      </c>
      <c r="K143" s="372" t="n">
        <v>0</v>
      </c>
      <c r="L143" s="373" t="n">
        <v>0</v>
      </c>
      <c r="M143" s="358" t="n">
        <v>0</v>
      </c>
      <c r="N143" s="358" t="n">
        <v>0</v>
      </c>
      <c r="O143" s="372" t="n">
        <v>0</v>
      </c>
      <c r="P143" s="373" t="n">
        <v>0</v>
      </c>
      <c r="Q143" s="358" t="n">
        <v>0</v>
      </c>
      <c r="R143" s="358" t="n">
        <v>0</v>
      </c>
      <c r="S143" s="372" t="n">
        <v>0</v>
      </c>
      <c r="T143" s="373" t="n">
        <v>0</v>
      </c>
      <c r="U143" s="358" t="n">
        <v>0</v>
      </c>
      <c r="V143" s="358" t="n">
        <v>0</v>
      </c>
      <c r="W143" s="372" t="n">
        <v>0</v>
      </c>
      <c r="X143" s="373" t="n">
        <v>0</v>
      </c>
      <c r="Y143" s="358" t="n">
        <v>0</v>
      </c>
      <c r="Z143" s="358" t="n">
        <v>0</v>
      </c>
      <c r="AA143" s="358" t="n">
        <v>0</v>
      </c>
      <c r="AB143" s="373" t="n">
        <v>0</v>
      </c>
      <c r="AC143" s="358" t="n">
        <v>0</v>
      </c>
      <c r="AD143" s="358" t="n">
        <v>0</v>
      </c>
      <c r="AE143" s="358" t="n">
        <v>0</v>
      </c>
      <c r="AF143" s="359" t="n">
        <v>1</v>
      </c>
    </row>
    <row r="144" customFormat="false" ht="15" hidden="true" customHeight="false" outlineLevel="0" collapsed="false">
      <c r="B144" s="360" t="s">
        <v>2634</v>
      </c>
      <c r="C144" s="359" t="n">
        <v>1</v>
      </c>
      <c r="D144" s="358" t="n">
        <v>0</v>
      </c>
      <c r="E144" s="358" t="n">
        <v>0</v>
      </c>
      <c r="F144" s="358" t="n">
        <v>0</v>
      </c>
      <c r="G144" s="372" t="n">
        <v>0</v>
      </c>
      <c r="H144" s="373" t="n">
        <v>0</v>
      </c>
      <c r="I144" s="358" t="n">
        <v>0</v>
      </c>
      <c r="J144" s="358" t="n">
        <v>0</v>
      </c>
      <c r="K144" s="372" t="n">
        <v>0</v>
      </c>
      <c r="L144" s="373" t="n">
        <v>0</v>
      </c>
      <c r="M144" s="358" t="n">
        <v>0</v>
      </c>
      <c r="N144" s="358" t="n">
        <v>0</v>
      </c>
      <c r="O144" s="372" t="n">
        <v>0</v>
      </c>
      <c r="P144" s="373" t="n">
        <v>0</v>
      </c>
      <c r="Q144" s="358" t="n">
        <v>0</v>
      </c>
      <c r="R144" s="358" t="n">
        <v>0</v>
      </c>
      <c r="S144" s="372" t="n">
        <v>0</v>
      </c>
      <c r="T144" s="373" t="n">
        <v>0</v>
      </c>
      <c r="U144" s="358" t="n">
        <v>0</v>
      </c>
      <c r="V144" s="358" t="n">
        <v>0</v>
      </c>
      <c r="W144" s="372" t="n">
        <v>0</v>
      </c>
      <c r="X144" s="373" t="n">
        <v>0</v>
      </c>
      <c r="Y144" s="358" t="n">
        <v>0</v>
      </c>
      <c r="Z144" s="358" t="n">
        <v>0</v>
      </c>
      <c r="AA144" s="358" t="n">
        <v>0</v>
      </c>
      <c r="AB144" s="373" t="n">
        <v>0</v>
      </c>
      <c r="AC144" s="358" t="n">
        <v>0</v>
      </c>
      <c r="AD144" s="358" t="n">
        <v>0</v>
      </c>
      <c r="AE144" s="358" t="n">
        <v>0</v>
      </c>
      <c r="AF144" s="359" t="n">
        <v>1</v>
      </c>
    </row>
    <row r="145" customFormat="false" ht="15" hidden="true" customHeight="false" outlineLevel="0" collapsed="false">
      <c r="B145" s="360" t="s">
        <v>2635</v>
      </c>
      <c r="C145" s="359" t="n">
        <v>1</v>
      </c>
      <c r="D145" s="358" t="n">
        <v>0</v>
      </c>
      <c r="E145" s="358" t="n">
        <v>0</v>
      </c>
      <c r="F145" s="358" t="n">
        <v>0</v>
      </c>
      <c r="G145" s="372" t="n">
        <v>0</v>
      </c>
      <c r="H145" s="373" t="n">
        <v>0</v>
      </c>
      <c r="I145" s="358" t="n">
        <v>0</v>
      </c>
      <c r="J145" s="358" t="n">
        <v>0</v>
      </c>
      <c r="K145" s="372" t="n">
        <v>0</v>
      </c>
      <c r="L145" s="373" t="n">
        <v>0</v>
      </c>
      <c r="M145" s="358" t="n">
        <v>0</v>
      </c>
      <c r="N145" s="358" t="n">
        <v>0</v>
      </c>
      <c r="O145" s="372" t="n">
        <v>0</v>
      </c>
      <c r="P145" s="373" t="n">
        <v>0</v>
      </c>
      <c r="Q145" s="358" t="n">
        <v>0</v>
      </c>
      <c r="R145" s="358" t="n">
        <v>0</v>
      </c>
      <c r="S145" s="372" t="n">
        <v>0</v>
      </c>
      <c r="T145" s="373" t="n">
        <v>0</v>
      </c>
      <c r="U145" s="358" t="n">
        <v>0</v>
      </c>
      <c r="V145" s="358" t="n">
        <v>0</v>
      </c>
      <c r="W145" s="372" t="n">
        <v>0</v>
      </c>
      <c r="X145" s="373" t="n">
        <v>0</v>
      </c>
      <c r="Y145" s="358" t="n">
        <v>0</v>
      </c>
      <c r="Z145" s="358" t="n">
        <v>0</v>
      </c>
      <c r="AA145" s="358" t="n">
        <v>0</v>
      </c>
      <c r="AB145" s="373" t="n">
        <v>0</v>
      </c>
      <c r="AC145" s="358" t="n">
        <v>0</v>
      </c>
      <c r="AD145" s="358" t="n">
        <v>0</v>
      </c>
      <c r="AE145" s="358" t="n">
        <v>0</v>
      </c>
      <c r="AF145" s="359" t="n">
        <v>1</v>
      </c>
    </row>
    <row r="146" customFormat="false" ht="15" hidden="true" customHeight="false" outlineLevel="0" collapsed="false">
      <c r="B146" s="360" t="s">
        <v>2636</v>
      </c>
      <c r="C146" s="359" t="n">
        <v>1</v>
      </c>
      <c r="D146" s="358" t="n">
        <v>0</v>
      </c>
      <c r="E146" s="358" t="n">
        <v>0</v>
      </c>
      <c r="F146" s="358" t="n">
        <v>0</v>
      </c>
      <c r="G146" s="372" t="n">
        <v>0</v>
      </c>
      <c r="H146" s="373" t="n">
        <v>0</v>
      </c>
      <c r="I146" s="358" t="n">
        <v>0</v>
      </c>
      <c r="J146" s="358" t="n">
        <v>0</v>
      </c>
      <c r="K146" s="372" t="n">
        <v>0</v>
      </c>
      <c r="L146" s="373" t="n">
        <v>0</v>
      </c>
      <c r="M146" s="358" t="n">
        <v>0</v>
      </c>
      <c r="N146" s="358" t="n">
        <v>0</v>
      </c>
      <c r="O146" s="372" t="n">
        <v>0</v>
      </c>
      <c r="P146" s="373" t="n">
        <v>0</v>
      </c>
      <c r="Q146" s="358" t="n">
        <v>0</v>
      </c>
      <c r="R146" s="358" t="n">
        <v>0</v>
      </c>
      <c r="S146" s="372" t="n">
        <v>0</v>
      </c>
      <c r="T146" s="373" t="n">
        <v>0</v>
      </c>
      <c r="U146" s="358" t="n">
        <v>0</v>
      </c>
      <c r="V146" s="358" t="n">
        <v>0</v>
      </c>
      <c r="W146" s="372" t="n">
        <v>0</v>
      </c>
      <c r="X146" s="373" t="n">
        <v>0</v>
      </c>
      <c r="Y146" s="358" t="n">
        <v>0</v>
      </c>
      <c r="Z146" s="358" t="n">
        <v>0</v>
      </c>
      <c r="AA146" s="358" t="n">
        <v>0</v>
      </c>
      <c r="AB146" s="373" t="n">
        <v>0</v>
      </c>
      <c r="AC146" s="358" t="n">
        <v>0</v>
      </c>
      <c r="AD146" s="358" t="n">
        <v>0</v>
      </c>
      <c r="AE146" s="358" t="n">
        <v>0</v>
      </c>
      <c r="AF146" s="359" t="n">
        <v>1</v>
      </c>
    </row>
    <row r="147" customFormat="false" ht="15" hidden="true" customHeight="false" outlineLevel="0" collapsed="false">
      <c r="B147" s="360" t="s">
        <v>2637</v>
      </c>
      <c r="C147" s="359" t="n">
        <v>1</v>
      </c>
      <c r="D147" s="358" t="n">
        <v>0</v>
      </c>
      <c r="E147" s="358" t="n">
        <v>0</v>
      </c>
      <c r="F147" s="358" t="n">
        <v>0</v>
      </c>
      <c r="G147" s="372" t="n">
        <v>0</v>
      </c>
      <c r="H147" s="373" t="n">
        <v>0</v>
      </c>
      <c r="I147" s="358" t="n">
        <v>0</v>
      </c>
      <c r="J147" s="358" t="n">
        <v>0</v>
      </c>
      <c r="K147" s="372" t="n">
        <v>0</v>
      </c>
      <c r="L147" s="373" t="n">
        <v>0</v>
      </c>
      <c r="M147" s="358" t="n">
        <v>0</v>
      </c>
      <c r="N147" s="358" t="n">
        <v>0</v>
      </c>
      <c r="O147" s="372" t="n">
        <v>0</v>
      </c>
      <c r="P147" s="373" t="n">
        <v>0</v>
      </c>
      <c r="Q147" s="358" t="n">
        <v>0</v>
      </c>
      <c r="R147" s="358" t="n">
        <v>0</v>
      </c>
      <c r="S147" s="372" t="n">
        <v>0</v>
      </c>
      <c r="T147" s="373" t="n">
        <v>0</v>
      </c>
      <c r="U147" s="358" t="n">
        <v>0</v>
      </c>
      <c r="V147" s="358" t="n">
        <v>0</v>
      </c>
      <c r="W147" s="372" t="n">
        <v>0</v>
      </c>
      <c r="X147" s="373" t="n">
        <v>0</v>
      </c>
      <c r="Y147" s="358" t="n">
        <v>0</v>
      </c>
      <c r="Z147" s="358" t="n">
        <v>0</v>
      </c>
      <c r="AA147" s="358" t="n">
        <v>0</v>
      </c>
      <c r="AB147" s="373" t="n">
        <v>0</v>
      </c>
      <c r="AC147" s="358" t="n">
        <v>0</v>
      </c>
      <c r="AD147" s="358" t="n">
        <v>0</v>
      </c>
      <c r="AE147" s="358" t="n">
        <v>0</v>
      </c>
      <c r="AF147" s="359" t="n">
        <v>1</v>
      </c>
    </row>
    <row r="148" customFormat="false" ht="15" hidden="true" customHeight="false" outlineLevel="0" collapsed="false">
      <c r="B148" s="360" t="s">
        <v>2638</v>
      </c>
      <c r="C148" s="359" t="n">
        <v>1</v>
      </c>
      <c r="D148" s="358" t="n">
        <v>0</v>
      </c>
      <c r="E148" s="358" t="n">
        <v>0</v>
      </c>
      <c r="F148" s="358" t="n">
        <v>0</v>
      </c>
      <c r="G148" s="372" t="n">
        <v>0</v>
      </c>
      <c r="H148" s="373" t="n">
        <v>0</v>
      </c>
      <c r="I148" s="358" t="n">
        <v>-1</v>
      </c>
      <c r="J148" s="358" t="n">
        <v>0</v>
      </c>
      <c r="K148" s="372" t="n">
        <v>0</v>
      </c>
      <c r="L148" s="373" t="n">
        <v>0</v>
      </c>
      <c r="M148" s="358" t="n">
        <v>0</v>
      </c>
      <c r="N148" s="358" t="n">
        <v>0</v>
      </c>
      <c r="O148" s="372" t="n">
        <v>0</v>
      </c>
      <c r="P148" s="373" t="n">
        <v>0</v>
      </c>
      <c r="Q148" s="358" t="n">
        <v>0</v>
      </c>
      <c r="R148" s="358" t="n">
        <v>0</v>
      </c>
      <c r="S148" s="372" t="n">
        <v>0</v>
      </c>
      <c r="T148" s="373" t="n">
        <v>0</v>
      </c>
      <c r="U148" s="358" t="n">
        <v>0</v>
      </c>
      <c r="V148" s="358" t="n">
        <v>0</v>
      </c>
      <c r="W148" s="372" t="n">
        <v>0</v>
      </c>
      <c r="X148" s="373" t="n">
        <v>0</v>
      </c>
      <c r="Y148" s="358" t="n">
        <v>0</v>
      </c>
      <c r="Z148" s="358" t="n">
        <v>0</v>
      </c>
      <c r="AA148" s="358" t="n">
        <v>0</v>
      </c>
      <c r="AB148" s="373" t="n">
        <v>0</v>
      </c>
      <c r="AC148" s="358" t="n">
        <v>-1</v>
      </c>
      <c r="AD148" s="358" t="n">
        <v>0</v>
      </c>
      <c r="AE148" s="358" t="n">
        <v>0</v>
      </c>
      <c r="AF148" s="359" t="n">
        <v>0</v>
      </c>
    </row>
    <row r="149" customFormat="false" ht="15" hidden="true" customHeight="false" outlineLevel="0" collapsed="false">
      <c r="B149" s="360" t="s">
        <v>2639</v>
      </c>
      <c r="C149" s="359" t="n">
        <v>1</v>
      </c>
      <c r="D149" s="358" t="n">
        <v>0</v>
      </c>
      <c r="E149" s="358" t="n">
        <v>0</v>
      </c>
      <c r="F149" s="358" t="n">
        <v>0</v>
      </c>
      <c r="G149" s="372" t="n">
        <v>0</v>
      </c>
      <c r="H149" s="373" t="n">
        <v>0</v>
      </c>
      <c r="I149" s="358" t="n">
        <v>0</v>
      </c>
      <c r="J149" s="358" t="n">
        <v>0</v>
      </c>
      <c r="K149" s="372" t="n">
        <v>0</v>
      </c>
      <c r="L149" s="373" t="n">
        <v>0</v>
      </c>
      <c r="M149" s="358" t="n">
        <v>0</v>
      </c>
      <c r="N149" s="358" t="n">
        <v>0</v>
      </c>
      <c r="O149" s="372" t="n">
        <v>0</v>
      </c>
      <c r="P149" s="373" t="n">
        <v>0</v>
      </c>
      <c r="Q149" s="358" t="n">
        <v>0</v>
      </c>
      <c r="R149" s="358" t="n">
        <v>0</v>
      </c>
      <c r="S149" s="372" t="n">
        <v>0</v>
      </c>
      <c r="T149" s="373" t="n">
        <v>0</v>
      </c>
      <c r="U149" s="358" t="n">
        <v>0</v>
      </c>
      <c r="V149" s="358" t="n">
        <v>0</v>
      </c>
      <c r="W149" s="372" t="n">
        <v>0</v>
      </c>
      <c r="X149" s="373" t="n">
        <v>0</v>
      </c>
      <c r="Y149" s="358" t="n">
        <v>0</v>
      </c>
      <c r="Z149" s="358" t="n">
        <v>0</v>
      </c>
      <c r="AA149" s="358" t="n">
        <v>0</v>
      </c>
      <c r="AB149" s="373" t="n">
        <v>0</v>
      </c>
      <c r="AC149" s="358" t="n">
        <v>0</v>
      </c>
      <c r="AD149" s="358" t="n">
        <v>0</v>
      </c>
      <c r="AE149" s="358" t="n">
        <v>0</v>
      </c>
      <c r="AF149" s="359" t="n">
        <v>1</v>
      </c>
    </row>
    <row r="150" customFormat="false" ht="15" hidden="true" customHeight="false" outlineLevel="0" collapsed="false">
      <c r="B150" s="360" t="s">
        <v>2640</v>
      </c>
      <c r="C150" s="359" t="n">
        <v>1</v>
      </c>
      <c r="D150" s="358" t="n">
        <v>0</v>
      </c>
      <c r="E150" s="358" t="n">
        <v>0</v>
      </c>
      <c r="F150" s="358" t="n">
        <v>0</v>
      </c>
      <c r="G150" s="372" t="n">
        <v>0</v>
      </c>
      <c r="H150" s="373" t="n">
        <v>0</v>
      </c>
      <c r="I150" s="358" t="n">
        <v>0</v>
      </c>
      <c r="J150" s="358" t="n">
        <v>0</v>
      </c>
      <c r="K150" s="372" t="n">
        <v>0</v>
      </c>
      <c r="L150" s="373" t="n">
        <v>0</v>
      </c>
      <c r="M150" s="358" t="n">
        <v>0</v>
      </c>
      <c r="N150" s="358" t="n">
        <v>0</v>
      </c>
      <c r="O150" s="372" t="n">
        <v>0</v>
      </c>
      <c r="P150" s="373" t="n">
        <v>0</v>
      </c>
      <c r="Q150" s="358" t="n">
        <v>0</v>
      </c>
      <c r="R150" s="358" t="n">
        <v>0</v>
      </c>
      <c r="S150" s="372" t="n">
        <v>0</v>
      </c>
      <c r="T150" s="373" t="n">
        <v>0</v>
      </c>
      <c r="U150" s="358" t="n">
        <v>0</v>
      </c>
      <c r="V150" s="358" t="n">
        <v>0</v>
      </c>
      <c r="W150" s="372" t="n">
        <v>0</v>
      </c>
      <c r="X150" s="373" t="n">
        <v>0</v>
      </c>
      <c r="Y150" s="358" t="n">
        <v>0</v>
      </c>
      <c r="Z150" s="358" t="n">
        <v>0</v>
      </c>
      <c r="AA150" s="358" t="n">
        <v>0</v>
      </c>
      <c r="AB150" s="373" t="n">
        <v>0</v>
      </c>
      <c r="AC150" s="358" t="n">
        <v>0</v>
      </c>
      <c r="AD150" s="358" t="n">
        <v>0</v>
      </c>
      <c r="AE150" s="358" t="n">
        <v>0</v>
      </c>
      <c r="AF150" s="359" t="n">
        <v>1</v>
      </c>
    </row>
    <row r="151" customFormat="false" ht="15" hidden="true" customHeight="false" outlineLevel="0" collapsed="false">
      <c r="B151" s="360" t="s">
        <v>2641</v>
      </c>
      <c r="C151" s="359" t="n">
        <v>1</v>
      </c>
      <c r="D151" s="358" t="n">
        <v>0</v>
      </c>
      <c r="E151" s="358" t="n">
        <v>0</v>
      </c>
      <c r="F151" s="358" t="n">
        <v>0</v>
      </c>
      <c r="G151" s="372" t="n">
        <v>0</v>
      </c>
      <c r="H151" s="373" t="n">
        <v>0</v>
      </c>
      <c r="I151" s="358" t="n">
        <v>0</v>
      </c>
      <c r="J151" s="358" t="n">
        <v>0</v>
      </c>
      <c r="K151" s="372" t="n">
        <v>0</v>
      </c>
      <c r="L151" s="373" t="n">
        <v>0</v>
      </c>
      <c r="M151" s="358" t="n">
        <v>0</v>
      </c>
      <c r="N151" s="358" t="n">
        <v>0</v>
      </c>
      <c r="O151" s="372" t="n">
        <v>0</v>
      </c>
      <c r="P151" s="373" t="n">
        <v>0</v>
      </c>
      <c r="Q151" s="358" t="n">
        <v>0</v>
      </c>
      <c r="R151" s="358" t="n">
        <v>0</v>
      </c>
      <c r="S151" s="372" t="n">
        <v>0</v>
      </c>
      <c r="T151" s="373" t="n">
        <v>0</v>
      </c>
      <c r="U151" s="358" t="n">
        <v>0</v>
      </c>
      <c r="V151" s="358" t="n">
        <v>0</v>
      </c>
      <c r="W151" s="372" t="n">
        <v>0</v>
      </c>
      <c r="X151" s="373" t="n">
        <v>0</v>
      </c>
      <c r="Y151" s="358" t="n">
        <v>0</v>
      </c>
      <c r="Z151" s="358" t="n">
        <v>0</v>
      </c>
      <c r="AA151" s="358" t="n">
        <v>0</v>
      </c>
      <c r="AB151" s="373" t="n">
        <v>0</v>
      </c>
      <c r="AC151" s="358" t="n">
        <v>0</v>
      </c>
      <c r="AD151" s="358" t="n">
        <v>0</v>
      </c>
      <c r="AE151" s="358" t="n">
        <v>0</v>
      </c>
      <c r="AF151" s="359" t="n">
        <v>1</v>
      </c>
    </row>
    <row r="152" customFormat="false" ht="15" hidden="true" customHeight="false" outlineLevel="0" collapsed="false">
      <c r="B152" s="360" t="s">
        <v>2642</v>
      </c>
      <c r="C152" s="359" t="n">
        <v>1</v>
      </c>
      <c r="D152" s="358" t="n">
        <v>0</v>
      </c>
      <c r="E152" s="358" t="n">
        <v>0</v>
      </c>
      <c r="F152" s="358" t="n">
        <v>0</v>
      </c>
      <c r="G152" s="372" t="n">
        <v>0</v>
      </c>
      <c r="H152" s="373" t="n">
        <v>0</v>
      </c>
      <c r="I152" s="358" t="n">
        <v>0</v>
      </c>
      <c r="J152" s="358" t="n">
        <v>0</v>
      </c>
      <c r="K152" s="372" t="n">
        <v>0</v>
      </c>
      <c r="L152" s="373" t="n">
        <v>0</v>
      </c>
      <c r="M152" s="358" t="n">
        <v>0</v>
      </c>
      <c r="N152" s="358" t="n">
        <v>0</v>
      </c>
      <c r="O152" s="372" t="n">
        <v>0</v>
      </c>
      <c r="P152" s="373" t="n">
        <v>0</v>
      </c>
      <c r="Q152" s="358" t="n">
        <v>0</v>
      </c>
      <c r="R152" s="358" t="n">
        <v>0</v>
      </c>
      <c r="S152" s="372" t="n">
        <v>0</v>
      </c>
      <c r="T152" s="373" t="n">
        <v>0</v>
      </c>
      <c r="U152" s="358" t="n">
        <v>0</v>
      </c>
      <c r="V152" s="358" t="n">
        <v>0</v>
      </c>
      <c r="W152" s="372" t="n">
        <v>0</v>
      </c>
      <c r="X152" s="373" t="n">
        <v>0</v>
      </c>
      <c r="Y152" s="358" t="n">
        <v>0</v>
      </c>
      <c r="Z152" s="358" t="n">
        <v>0</v>
      </c>
      <c r="AA152" s="358" t="n">
        <v>0</v>
      </c>
      <c r="AB152" s="373" t="n">
        <v>0</v>
      </c>
      <c r="AC152" s="358" t="n">
        <v>0</v>
      </c>
      <c r="AD152" s="358" t="n">
        <v>0</v>
      </c>
      <c r="AE152" s="358" t="n">
        <v>0</v>
      </c>
      <c r="AF152" s="359" t="n">
        <v>1</v>
      </c>
    </row>
    <row r="153" customFormat="false" ht="15" hidden="true" customHeight="false" outlineLevel="0" collapsed="false">
      <c r="B153" s="360" t="s">
        <v>2643</v>
      </c>
      <c r="C153" s="359" t="n">
        <v>1</v>
      </c>
      <c r="D153" s="358" t="n">
        <v>0</v>
      </c>
      <c r="E153" s="358" t="n">
        <v>0</v>
      </c>
      <c r="F153" s="358" t="n">
        <v>0</v>
      </c>
      <c r="G153" s="372" t="n">
        <v>0</v>
      </c>
      <c r="H153" s="373" t="n">
        <v>0</v>
      </c>
      <c r="I153" s="358" t="n">
        <v>0</v>
      </c>
      <c r="J153" s="358" t="n">
        <v>0</v>
      </c>
      <c r="K153" s="372" t="n">
        <v>0</v>
      </c>
      <c r="L153" s="373" t="n">
        <v>0</v>
      </c>
      <c r="M153" s="358" t="n">
        <v>0</v>
      </c>
      <c r="N153" s="358" t="n">
        <v>0</v>
      </c>
      <c r="O153" s="372" t="n">
        <v>0</v>
      </c>
      <c r="P153" s="373" t="n">
        <v>0</v>
      </c>
      <c r="Q153" s="358" t="n">
        <v>0</v>
      </c>
      <c r="R153" s="358" t="n">
        <v>0</v>
      </c>
      <c r="S153" s="372" t="n">
        <v>0</v>
      </c>
      <c r="T153" s="373" t="n">
        <v>0</v>
      </c>
      <c r="U153" s="358" t="n">
        <v>0</v>
      </c>
      <c r="V153" s="358" t="n">
        <v>0</v>
      </c>
      <c r="W153" s="372" t="n">
        <v>0</v>
      </c>
      <c r="X153" s="373" t="n">
        <v>0</v>
      </c>
      <c r="Y153" s="358" t="n">
        <v>0</v>
      </c>
      <c r="Z153" s="358" t="n">
        <v>0</v>
      </c>
      <c r="AA153" s="358" t="n">
        <v>0</v>
      </c>
      <c r="AB153" s="373" t="n">
        <v>0</v>
      </c>
      <c r="AC153" s="358" t="n">
        <v>0</v>
      </c>
      <c r="AD153" s="358" t="n">
        <v>0</v>
      </c>
      <c r="AE153" s="358" t="n">
        <v>0</v>
      </c>
      <c r="AF153" s="359" t="n">
        <v>1</v>
      </c>
    </row>
    <row r="154" customFormat="false" ht="15" hidden="true" customHeight="false" outlineLevel="0" collapsed="false">
      <c r="B154" s="360" t="s">
        <v>2644</v>
      </c>
      <c r="C154" s="359" t="n">
        <v>1</v>
      </c>
      <c r="D154" s="358" t="n">
        <v>0</v>
      </c>
      <c r="E154" s="358" t="n">
        <v>0</v>
      </c>
      <c r="F154" s="358" t="n">
        <v>0</v>
      </c>
      <c r="G154" s="372" t="n">
        <v>0</v>
      </c>
      <c r="H154" s="373" t="n">
        <v>0</v>
      </c>
      <c r="I154" s="358" t="n">
        <v>0</v>
      </c>
      <c r="J154" s="358" t="n">
        <v>0</v>
      </c>
      <c r="K154" s="372" t="n">
        <v>0</v>
      </c>
      <c r="L154" s="373" t="n">
        <v>0</v>
      </c>
      <c r="M154" s="358" t="n">
        <v>0</v>
      </c>
      <c r="N154" s="358" t="n">
        <v>0</v>
      </c>
      <c r="O154" s="372" t="n">
        <v>0</v>
      </c>
      <c r="P154" s="373" t="n">
        <v>0</v>
      </c>
      <c r="Q154" s="358" t="n">
        <v>0</v>
      </c>
      <c r="R154" s="358" t="n">
        <v>0</v>
      </c>
      <c r="S154" s="372" t="n">
        <v>0</v>
      </c>
      <c r="T154" s="373" t="n">
        <v>0</v>
      </c>
      <c r="U154" s="358" t="n">
        <v>0</v>
      </c>
      <c r="V154" s="358" t="n">
        <v>0</v>
      </c>
      <c r="W154" s="372" t="n">
        <v>0</v>
      </c>
      <c r="X154" s="373" t="n">
        <v>0</v>
      </c>
      <c r="Y154" s="358" t="n">
        <v>0</v>
      </c>
      <c r="Z154" s="358" t="n">
        <v>0</v>
      </c>
      <c r="AA154" s="358" t="n">
        <v>0</v>
      </c>
      <c r="AB154" s="373" t="n">
        <v>0</v>
      </c>
      <c r="AC154" s="358" t="n">
        <v>0</v>
      </c>
      <c r="AD154" s="358" t="n">
        <v>0</v>
      </c>
      <c r="AE154" s="358" t="n">
        <v>0</v>
      </c>
      <c r="AF154" s="359" t="n">
        <v>1</v>
      </c>
    </row>
    <row r="155" customFormat="false" ht="15" hidden="true" customHeight="false" outlineLevel="0" collapsed="false">
      <c r="B155" s="360" t="s">
        <v>2645</v>
      </c>
      <c r="C155" s="359" t="n">
        <v>1</v>
      </c>
      <c r="D155" s="358" t="n">
        <v>0</v>
      </c>
      <c r="E155" s="358" t="n">
        <v>0</v>
      </c>
      <c r="F155" s="358" t="n">
        <v>0</v>
      </c>
      <c r="G155" s="372" t="n">
        <v>0</v>
      </c>
      <c r="H155" s="373" t="n">
        <v>0</v>
      </c>
      <c r="I155" s="358" t="n">
        <v>0</v>
      </c>
      <c r="J155" s="358" t="n">
        <v>0</v>
      </c>
      <c r="K155" s="372" t="n">
        <v>0</v>
      </c>
      <c r="L155" s="373" t="n">
        <v>0</v>
      </c>
      <c r="M155" s="358" t="n">
        <v>0</v>
      </c>
      <c r="N155" s="358" t="n">
        <v>0</v>
      </c>
      <c r="O155" s="372" t="n">
        <v>0</v>
      </c>
      <c r="P155" s="373" t="n">
        <v>0</v>
      </c>
      <c r="Q155" s="358" t="n">
        <v>0</v>
      </c>
      <c r="R155" s="358" t="n">
        <v>0</v>
      </c>
      <c r="S155" s="372" t="n">
        <v>0</v>
      </c>
      <c r="T155" s="373" t="n">
        <v>0</v>
      </c>
      <c r="U155" s="358" t="n">
        <v>0</v>
      </c>
      <c r="V155" s="358" t="n">
        <v>0</v>
      </c>
      <c r="W155" s="372" t="n">
        <v>0</v>
      </c>
      <c r="X155" s="373" t="n">
        <v>0</v>
      </c>
      <c r="Y155" s="358" t="n">
        <v>0</v>
      </c>
      <c r="Z155" s="358" t="n">
        <v>0</v>
      </c>
      <c r="AA155" s="358" t="n">
        <v>0</v>
      </c>
      <c r="AB155" s="373" t="n">
        <v>0</v>
      </c>
      <c r="AC155" s="358" t="n">
        <v>0</v>
      </c>
      <c r="AD155" s="358" t="n">
        <v>0</v>
      </c>
      <c r="AE155" s="358" t="n">
        <v>0</v>
      </c>
      <c r="AF155" s="359" t="n">
        <v>1</v>
      </c>
    </row>
    <row r="156" customFormat="false" ht="15" hidden="true" customHeight="false" outlineLevel="0" collapsed="false">
      <c r="B156" s="361" t="s">
        <v>2646</v>
      </c>
      <c r="C156" s="359" t="n">
        <v>1</v>
      </c>
      <c r="D156" s="358" t="n">
        <v>0</v>
      </c>
      <c r="E156" s="358" t="n">
        <v>0</v>
      </c>
      <c r="F156" s="358" t="n">
        <v>0</v>
      </c>
      <c r="G156" s="372" t="n">
        <v>0</v>
      </c>
      <c r="H156" s="373" t="n">
        <v>0</v>
      </c>
      <c r="I156" s="358" t="n">
        <v>0</v>
      </c>
      <c r="J156" s="358" t="n">
        <v>0</v>
      </c>
      <c r="K156" s="372" t="n">
        <v>0</v>
      </c>
      <c r="L156" s="373" t="n">
        <v>0</v>
      </c>
      <c r="M156" s="358" t="n">
        <v>0</v>
      </c>
      <c r="N156" s="358" t="n">
        <v>0</v>
      </c>
      <c r="O156" s="372" t="n">
        <v>0</v>
      </c>
      <c r="P156" s="373" t="n">
        <v>0</v>
      </c>
      <c r="Q156" s="358" t="n">
        <v>0</v>
      </c>
      <c r="R156" s="358" t="n">
        <v>0</v>
      </c>
      <c r="S156" s="372" t="n">
        <v>0</v>
      </c>
      <c r="T156" s="373" t="n">
        <v>0</v>
      </c>
      <c r="U156" s="358" t="n">
        <v>0</v>
      </c>
      <c r="V156" s="358" t="n">
        <v>0</v>
      </c>
      <c r="W156" s="372" t="n">
        <v>0</v>
      </c>
      <c r="X156" s="373" t="n">
        <v>0</v>
      </c>
      <c r="Y156" s="358" t="n">
        <v>0</v>
      </c>
      <c r="Z156" s="358" t="n">
        <v>0</v>
      </c>
      <c r="AA156" s="358" t="n">
        <v>0</v>
      </c>
      <c r="AB156" s="373" t="n">
        <v>0</v>
      </c>
      <c r="AC156" s="358" t="n">
        <v>0</v>
      </c>
      <c r="AD156" s="358" t="n">
        <v>0</v>
      </c>
      <c r="AE156" s="358" t="n">
        <v>0</v>
      </c>
      <c r="AF156" s="359" t="n">
        <v>1</v>
      </c>
    </row>
    <row r="157" customFormat="false" ht="15" hidden="true" customHeight="false" outlineLevel="0" collapsed="false">
      <c r="B157" s="361" t="s">
        <v>2647</v>
      </c>
      <c r="C157" s="359" t="n">
        <v>1</v>
      </c>
      <c r="D157" s="358" t="n">
        <v>0</v>
      </c>
      <c r="E157" s="358" t="n">
        <v>0</v>
      </c>
      <c r="F157" s="358" t="n">
        <v>0</v>
      </c>
      <c r="G157" s="372" t="n">
        <v>0</v>
      </c>
      <c r="H157" s="373" t="n">
        <v>0</v>
      </c>
      <c r="I157" s="358" t="n">
        <v>0</v>
      </c>
      <c r="J157" s="358" t="n">
        <v>0</v>
      </c>
      <c r="K157" s="372" t="n">
        <v>0</v>
      </c>
      <c r="L157" s="373" t="n">
        <v>0</v>
      </c>
      <c r="M157" s="358" t="n">
        <v>0</v>
      </c>
      <c r="N157" s="358" t="n">
        <v>0</v>
      </c>
      <c r="O157" s="372" t="n">
        <v>0</v>
      </c>
      <c r="P157" s="373" t="n">
        <v>0</v>
      </c>
      <c r="Q157" s="358" t="n">
        <v>0</v>
      </c>
      <c r="R157" s="358" t="n">
        <v>0</v>
      </c>
      <c r="S157" s="372" t="n">
        <v>0</v>
      </c>
      <c r="T157" s="373" t="n">
        <v>0</v>
      </c>
      <c r="U157" s="358" t="n">
        <v>0</v>
      </c>
      <c r="V157" s="358" t="n">
        <v>0</v>
      </c>
      <c r="W157" s="372" t="n">
        <v>0</v>
      </c>
      <c r="X157" s="373" t="n">
        <v>0</v>
      </c>
      <c r="Y157" s="358" t="n">
        <v>0</v>
      </c>
      <c r="Z157" s="358" t="n">
        <v>0</v>
      </c>
      <c r="AA157" s="358" t="n">
        <v>0</v>
      </c>
      <c r="AB157" s="373" t="n">
        <v>0</v>
      </c>
      <c r="AC157" s="358" t="n">
        <v>0</v>
      </c>
      <c r="AD157" s="358" t="n">
        <v>0</v>
      </c>
      <c r="AE157" s="358" t="n">
        <v>0</v>
      </c>
      <c r="AF157" s="359" t="n">
        <v>1</v>
      </c>
    </row>
    <row r="158" customFormat="false" ht="15" hidden="false" customHeight="false" outlineLevel="0" collapsed="false">
      <c r="B158" s="356" t="s">
        <v>2461</v>
      </c>
      <c r="C158" s="357" t="n">
        <v>26</v>
      </c>
      <c r="D158" s="358" t="n">
        <v>0</v>
      </c>
      <c r="E158" s="358" t="n">
        <v>0</v>
      </c>
      <c r="F158" s="358" t="n">
        <v>0</v>
      </c>
      <c r="G158" s="372" t="n">
        <v>0</v>
      </c>
      <c r="H158" s="373" t="n">
        <v>0</v>
      </c>
      <c r="I158" s="358" t="n">
        <v>0</v>
      </c>
      <c r="J158" s="358" t="n">
        <v>0</v>
      </c>
      <c r="K158" s="372" t="n">
        <v>0</v>
      </c>
      <c r="L158" s="373" t="n">
        <v>0</v>
      </c>
      <c r="M158" s="358" t="n">
        <v>0</v>
      </c>
      <c r="N158" s="358" t="n">
        <v>0</v>
      </c>
      <c r="O158" s="372" t="n">
        <v>0</v>
      </c>
      <c r="P158" s="373" t="n">
        <v>0</v>
      </c>
      <c r="Q158" s="358" t="n">
        <v>0</v>
      </c>
      <c r="R158" s="358" t="n">
        <v>0</v>
      </c>
      <c r="S158" s="372" t="n">
        <v>0</v>
      </c>
      <c r="T158" s="373" t="n">
        <v>0</v>
      </c>
      <c r="U158" s="358" t="n">
        <v>0</v>
      </c>
      <c r="V158" s="358" t="n">
        <v>0</v>
      </c>
      <c r="W158" s="372" t="n">
        <v>0</v>
      </c>
      <c r="X158" s="373" t="n">
        <v>0</v>
      </c>
      <c r="Y158" s="358" t="n">
        <v>0</v>
      </c>
      <c r="Z158" s="358" t="n">
        <v>0</v>
      </c>
      <c r="AA158" s="358" t="n">
        <v>0</v>
      </c>
      <c r="AB158" s="373" t="n">
        <v>0</v>
      </c>
      <c r="AC158" s="358" t="n">
        <v>0</v>
      </c>
      <c r="AD158" s="358" t="n">
        <v>0</v>
      </c>
      <c r="AE158" s="358" t="n">
        <v>0</v>
      </c>
      <c r="AF158" s="357" t="n">
        <v>26</v>
      </c>
    </row>
    <row r="159" customFormat="false" ht="15" hidden="true" customHeight="false" outlineLevel="0" collapsed="false">
      <c r="B159" s="360" t="s">
        <v>2648</v>
      </c>
      <c r="C159" s="359" t="n">
        <v>1</v>
      </c>
      <c r="D159" s="358" t="n">
        <v>0</v>
      </c>
      <c r="E159" s="358" t="n">
        <v>0</v>
      </c>
      <c r="F159" s="358" t="n">
        <v>0</v>
      </c>
      <c r="G159" s="372" t="n">
        <v>0</v>
      </c>
      <c r="H159" s="373" t="n">
        <v>0</v>
      </c>
      <c r="I159" s="358" t="n">
        <v>0</v>
      </c>
      <c r="J159" s="358" t="n">
        <v>0</v>
      </c>
      <c r="K159" s="372" t="n">
        <v>0</v>
      </c>
      <c r="L159" s="373" t="n">
        <v>0</v>
      </c>
      <c r="M159" s="358" t="n">
        <v>0</v>
      </c>
      <c r="N159" s="358" t="n">
        <v>0</v>
      </c>
      <c r="O159" s="372" t="n">
        <v>0</v>
      </c>
      <c r="P159" s="373" t="n">
        <v>0</v>
      </c>
      <c r="Q159" s="358" t="n">
        <v>0</v>
      </c>
      <c r="R159" s="358" t="n">
        <v>0</v>
      </c>
      <c r="S159" s="372" t="n">
        <v>0</v>
      </c>
      <c r="T159" s="373" t="n">
        <v>0</v>
      </c>
      <c r="U159" s="358" t="n">
        <v>0</v>
      </c>
      <c r="V159" s="358" t="n">
        <v>0</v>
      </c>
      <c r="W159" s="372" t="n">
        <v>0</v>
      </c>
      <c r="X159" s="373" t="n">
        <v>0</v>
      </c>
      <c r="Y159" s="358" t="n">
        <v>0</v>
      </c>
      <c r="Z159" s="358" t="n">
        <v>0</v>
      </c>
      <c r="AA159" s="358" t="n">
        <v>0</v>
      </c>
      <c r="AB159" s="373" t="n">
        <v>0</v>
      </c>
      <c r="AC159" s="358" t="n">
        <v>0</v>
      </c>
      <c r="AD159" s="358" t="n">
        <v>0</v>
      </c>
      <c r="AE159" s="358" t="n">
        <v>0</v>
      </c>
      <c r="AF159" s="359" t="n">
        <v>1</v>
      </c>
    </row>
    <row r="160" customFormat="false" ht="15" hidden="true" customHeight="false" outlineLevel="0" collapsed="false">
      <c r="B160" s="360" t="s">
        <v>2649</v>
      </c>
      <c r="C160" s="359" t="n">
        <v>1</v>
      </c>
      <c r="D160" s="358" t="n">
        <v>0</v>
      </c>
      <c r="E160" s="358" t="n">
        <v>0</v>
      </c>
      <c r="F160" s="358" t="n">
        <v>0</v>
      </c>
      <c r="G160" s="372" t="n">
        <v>0</v>
      </c>
      <c r="H160" s="373" t="n">
        <v>0</v>
      </c>
      <c r="I160" s="358" t="n">
        <v>0</v>
      </c>
      <c r="J160" s="358" t="n">
        <v>0</v>
      </c>
      <c r="K160" s="372" t="n">
        <v>0</v>
      </c>
      <c r="L160" s="373" t="n">
        <v>0</v>
      </c>
      <c r="M160" s="358" t="n">
        <v>0</v>
      </c>
      <c r="N160" s="358" t="n">
        <v>0</v>
      </c>
      <c r="O160" s="372" t="n">
        <v>0</v>
      </c>
      <c r="P160" s="373" t="n">
        <v>0</v>
      </c>
      <c r="Q160" s="358" t="n">
        <v>0</v>
      </c>
      <c r="R160" s="358" t="n">
        <v>0</v>
      </c>
      <c r="S160" s="372" t="n">
        <v>0</v>
      </c>
      <c r="T160" s="373" t="n">
        <v>0</v>
      </c>
      <c r="U160" s="358" t="n">
        <v>0</v>
      </c>
      <c r="V160" s="358" t="n">
        <v>0</v>
      </c>
      <c r="W160" s="372" t="n">
        <v>0</v>
      </c>
      <c r="X160" s="373" t="n">
        <v>0</v>
      </c>
      <c r="Y160" s="358" t="n">
        <v>0</v>
      </c>
      <c r="Z160" s="358" t="n">
        <v>0</v>
      </c>
      <c r="AA160" s="358" t="n">
        <v>0</v>
      </c>
      <c r="AB160" s="373" t="n">
        <v>0</v>
      </c>
      <c r="AC160" s="358" t="n">
        <v>0</v>
      </c>
      <c r="AD160" s="358" t="n">
        <v>0</v>
      </c>
      <c r="AE160" s="358" t="n">
        <v>0</v>
      </c>
      <c r="AF160" s="359" t="n">
        <v>1</v>
      </c>
    </row>
    <row r="161" customFormat="false" ht="15" hidden="true" customHeight="false" outlineLevel="0" collapsed="false">
      <c r="B161" s="360" t="s">
        <v>2650</v>
      </c>
      <c r="C161" s="359" t="n">
        <v>1</v>
      </c>
      <c r="D161" s="358" t="n">
        <v>0</v>
      </c>
      <c r="E161" s="358" t="n">
        <v>0</v>
      </c>
      <c r="F161" s="358" t="n">
        <v>0</v>
      </c>
      <c r="G161" s="372" t="n">
        <v>0</v>
      </c>
      <c r="H161" s="373" t="n">
        <v>0</v>
      </c>
      <c r="I161" s="358" t="n">
        <v>0</v>
      </c>
      <c r="J161" s="358" t="n">
        <v>0</v>
      </c>
      <c r="K161" s="372" t="n">
        <v>0</v>
      </c>
      <c r="L161" s="373" t="n">
        <v>0</v>
      </c>
      <c r="M161" s="358" t="n">
        <v>0</v>
      </c>
      <c r="N161" s="358" t="n">
        <v>0</v>
      </c>
      <c r="O161" s="372" t="n">
        <v>0</v>
      </c>
      <c r="P161" s="373" t="n">
        <v>0</v>
      </c>
      <c r="Q161" s="358" t="n">
        <v>0</v>
      </c>
      <c r="R161" s="358" t="n">
        <v>0</v>
      </c>
      <c r="S161" s="372" t="n">
        <v>0</v>
      </c>
      <c r="T161" s="373" t="n">
        <v>0</v>
      </c>
      <c r="U161" s="358" t="n">
        <v>0</v>
      </c>
      <c r="V161" s="358" t="n">
        <v>0</v>
      </c>
      <c r="W161" s="372" t="n">
        <v>0</v>
      </c>
      <c r="X161" s="373" t="n">
        <v>0</v>
      </c>
      <c r="Y161" s="358" t="n">
        <v>0</v>
      </c>
      <c r="Z161" s="358" t="n">
        <v>0</v>
      </c>
      <c r="AA161" s="358" t="n">
        <v>0</v>
      </c>
      <c r="AB161" s="373" t="n">
        <v>0</v>
      </c>
      <c r="AC161" s="358" t="n">
        <v>0</v>
      </c>
      <c r="AD161" s="358" t="n">
        <v>0</v>
      </c>
      <c r="AE161" s="358" t="n">
        <v>0</v>
      </c>
      <c r="AF161" s="359" t="n">
        <v>1</v>
      </c>
    </row>
    <row r="162" customFormat="false" ht="15" hidden="true" customHeight="false" outlineLevel="0" collapsed="false">
      <c r="B162" s="360" t="s">
        <v>2651</v>
      </c>
      <c r="C162" s="359" t="n">
        <v>1</v>
      </c>
      <c r="D162" s="358" t="n">
        <v>0</v>
      </c>
      <c r="E162" s="358" t="n">
        <v>0</v>
      </c>
      <c r="F162" s="358" t="n">
        <v>0</v>
      </c>
      <c r="G162" s="372" t="n">
        <v>0</v>
      </c>
      <c r="H162" s="373" t="n">
        <v>0</v>
      </c>
      <c r="I162" s="358" t="n">
        <v>0</v>
      </c>
      <c r="J162" s="358" t="n">
        <v>0</v>
      </c>
      <c r="K162" s="372" t="n">
        <v>0</v>
      </c>
      <c r="L162" s="373" t="n">
        <v>0</v>
      </c>
      <c r="M162" s="358" t="n">
        <v>0</v>
      </c>
      <c r="N162" s="358" t="n">
        <v>0</v>
      </c>
      <c r="O162" s="372" t="n">
        <v>0</v>
      </c>
      <c r="P162" s="373" t="n">
        <v>0</v>
      </c>
      <c r="Q162" s="358" t="n">
        <v>0</v>
      </c>
      <c r="R162" s="358" t="n">
        <v>0</v>
      </c>
      <c r="S162" s="372" t="n">
        <v>0</v>
      </c>
      <c r="T162" s="373" t="n">
        <v>0</v>
      </c>
      <c r="U162" s="358" t="n">
        <v>0</v>
      </c>
      <c r="V162" s="358" t="n">
        <v>0</v>
      </c>
      <c r="W162" s="372" t="n">
        <v>0</v>
      </c>
      <c r="X162" s="373" t="n">
        <v>0</v>
      </c>
      <c r="Y162" s="358" t="n">
        <v>0</v>
      </c>
      <c r="Z162" s="358" t="n">
        <v>0</v>
      </c>
      <c r="AA162" s="358" t="n">
        <v>0</v>
      </c>
      <c r="AB162" s="373" t="n">
        <v>0</v>
      </c>
      <c r="AC162" s="358" t="n">
        <v>0</v>
      </c>
      <c r="AD162" s="358" t="n">
        <v>0</v>
      </c>
      <c r="AE162" s="358" t="n">
        <v>0</v>
      </c>
      <c r="AF162" s="359" t="n">
        <v>1</v>
      </c>
    </row>
    <row r="163" customFormat="false" ht="15" hidden="true" customHeight="false" outlineLevel="0" collapsed="false">
      <c r="B163" s="360" t="s">
        <v>2652</v>
      </c>
      <c r="C163" s="359" t="n">
        <v>1</v>
      </c>
      <c r="D163" s="358" t="n">
        <v>0</v>
      </c>
      <c r="E163" s="358" t="n">
        <v>0</v>
      </c>
      <c r="F163" s="358" t="n">
        <v>0</v>
      </c>
      <c r="G163" s="372" t="n">
        <v>0</v>
      </c>
      <c r="H163" s="373" t="n">
        <v>0</v>
      </c>
      <c r="I163" s="358" t="n">
        <v>0</v>
      </c>
      <c r="J163" s="358" t="n">
        <v>0</v>
      </c>
      <c r="K163" s="372" t="n">
        <v>0</v>
      </c>
      <c r="L163" s="373" t="n">
        <v>0</v>
      </c>
      <c r="M163" s="358" t="n">
        <v>0</v>
      </c>
      <c r="N163" s="358" t="n">
        <v>0</v>
      </c>
      <c r="O163" s="372" t="n">
        <v>0</v>
      </c>
      <c r="P163" s="373" t="n">
        <v>0</v>
      </c>
      <c r="Q163" s="358" t="n">
        <v>0</v>
      </c>
      <c r="R163" s="358" t="n">
        <v>0</v>
      </c>
      <c r="S163" s="372" t="n">
        <v>0</v>
      </c>
      <c r="T163" s="373" t="n">
        <v>0</v>
      </c>
      <c r="U163" s="358" t="n">
        <v>0</v>
      </c>
      <c r="V163" s="358" t="n">
        <v>0</v>
      </c>
      <c r="W163" s="372" t="n">
        <v>0</v>
      </c>
      <c r="X163" s="373" t="n">
        <v>0</v>
      </c>
      <c r="Y163" s="358" t="n">
        <v>0</v>
      </c>
      <c r="Z163" s="358" t="n">
        <v>0</v>
      </c>
      <c r="AA163" s="358" t="n">
        <v>0</v>
      </c>
      <c r="AB163" s="373" t="n">
        <v>0</v>
      </c>
      <c r="AC163" s="358" t="n">
        <v>0</v>
      </c>
      <c r="AD163" s="358" t="n">
        <v>0</v>
      </c>
      <c r="AE163" s="358" t="n">
        <v>0</v>
      </c>
      <c r="AF163" s="359" t="n">
        <v>1</v>
      </c>
    </row>
    <row r="164" customFormat="false" ht="15" hidden="true" customHeight="false" outlineLevel="0" collapsed="false">
      <c r="B164" s="360" t="s">
        <v>2653</v>
      </c>
      <c r="C164" s="359" t="n">
        <v>1</v>
      </c>
      <c r="D164" s="358" t="n">
        <v>0</v>
      </c>
      <c r="E164" s="358" t="n">
        <v>0</v>
      </c>
      <c r="F164" s="358" t="n">
        <v>0</v>
      </c>
      <c r="G164" s="372" t="n">
        <v>0</v>
      </c>
      <c r="H164" s="373" t="n">
        <v>0</v>
      </c>
      <c r="I164" s="358" t="n">
        <v>0</v>
      </c>
      <c r="J164" s="358" t="n">
        <v>0</v>
      </c>
      <c r="K164" s="372" t="n">
        <v>0</v>
      </c>
      <c r="L164" s="373" t="n">
        <v>0</v>
      </c>
      <c r="M164" s="358" t="n">
        <v>0</v>
      </c>
      <c r="N164" s="358" t="n">
        <v>0</v>
      </c>
      <c r="O164" s="372" t="n">
        <v>0</v>
      </c>
      <c r="P164" s="373" t="n">
        <v>0</v>
      </c>
      <c r="Q164" s="358" t="n">
        <v>0</v>
      </c>
      <c r="R164" s="358" t="n">
        <v>0</v>
      </c>
      <c r="S164" s="372" t="n">
        <v>0</v>
      </c>
      <c r="T164" s="373" t="n">
        <v>0</v>
      </c>
      <c r="U164" s="358" t="n">
        <v>0</v>
      </c>
      <c r="V164" s="358" t="n">
        <v>0</v>
      </c>
      <c r="W164" s="372" t="n">
        <v>0</v>
      </c>
      <c r="X164" s="373" t="n">
        <v>0</v>
      </c>
      <c r="Y164" s="358" t="n">
        <v>0</v>
      </c>
      <c r="Z164" s="358" t="n">
        <v>0</v>
      </c>
      <c r="AA164" s="358" t="n">
        <v>0</v>
      </c>
      <c r="AB164" s="373" t="n">
        <v>0</v>
      </c>
      <c r="AC164" s="358" t="n">
        <v>0</v>
      </c>
      <c r="AD164" s="358" t="n">
        <v>0</v>
      </c>
      <c r="AE164" s="358" t="n">
        <v>0</v>
      </c>
      <c r="AF164" s="359" t="n">
        <v>1</v>
      </c>
    </row>
    <row r="165" customFormat="false" ht="15" hidden="true" customHeight="false" outlineLevel="0" collapsed="false">
      <c r="B165" s="360" t="s">
        <v>2654</v>
      </c>
      <c r="C165" s="359" t="n">
        <v>1</v>
      </c>
      <c r="D165" s="358" t="n">
        <v>0</v>
      </c>
      <c r="E165" s="358" t="n">
        <v>0</v>
      </c>
      <c r="F165" s="358" t="n">
        <v>0</v>
      </c>
      <c r="G165" s="372" t="n">
        <v>0</v>
      </c>
      <c r="H165" s="373" t="n">
        <v>0</v>
      </c>
      <c r="I165" s="358" t="n">
        <v>0</v>
      </c>
      <c r="J165" s="358" t="n">
        <v>0</v>
      </c>
      <c r="K165" s="372" t="n">
        <v>0</v>
      </c>
      <c r="L165" s="373" t="n">
        <v>0</v>
      </c>
      <c r="M165" s="358" t="n">
        <v>0</v>
      </c>
      <c r="N165" s="358" t="n">
        <v>0</v>
      </c>
      <c r="O165" s="372" t="n">
        <v>0</v>
      </c>
      <c r="P165" s="373" t="n">
        <v>0</v>
      </c>
      <c r="Q165" s="358" t="n">
        <v>0</v>
      </c>
      <c r="R165" s="358" t="n">
        <v>0</v>
      </c>
      <c r="S165" s="372" t="n">
        <v>0</v>
      </c>
      <c r="T165" s="373" t="n">
        <v>0</v>
      </c>
      <c r="U165" s="358" t="n">
        <v>0</v>
      </c>
      <c r="V165" s="358" t="n">
        <v>0</v>
      </c>
      <c r="W165" s="372" t="n">
        <v>0</v>
      </c>
      <c r="X165" s="373" t="n">
        <v>0</v>
      </c>
      <c r="Y165" s="358" t="n">
        <v>0</v>
      </c>
      <c r="Z165" s="358" t="n">
        <v>0</v>
      </c>
      <c r="AA165" s="358" t="n">
        <v>0</v>
      </c>
      <c r="AB165" s="373" t="n">
        <v>0</v>
      </c>
      <c r="AC165" s="358" t="n">
        <v>0</v>
      </c>
      <c r="AD165" s="358" t="n">
        <v>0</v>
      </c>
      <c r="AE165" s="358" t="n">
        <v>0</v>
      </c>
      <c r="AF165" s="359" t="n">
        <v>1</v>
      </c>
    </row>
    <row r="166" customFormat="false" ht="15" hidden="true" customHeight="false" outlineLevel="0" collapsed="false">
      <c r="B166" s="360" t="s">
        <v>2655</v>
      </c>
      <c r="C166" s="359" t="n">
        <v>1</v>
      </c>
      <c r="D166" s="358" t="n">
        <v>0</v>
      </c>
      <c r="E166" s="358" t="n">
        <v>0</v>
      </c>
      <c r="F166" s="358" t="n">
        <v>0</v>
      </c>
      <c r="G166" s="372" t="n">
        <v>0</v>
      </c>
      <c r="H166" s="373" t="n">
        <v>0</v>
      </c>
      <c r="I166" s="358" t="n">
        <v>0</v>
      </c>
      <c r="J166" s="358" t="n">
        <v>0</v>
      </c>
      <c r="K166" s="372" t="n">
        <v>0</v>
      </c>
      <c r="L166" s="373" t="n">
        <v>0</v>
      </c>
      <c r="M166" s="358" t="n">
        <v>0</v>
      </c>
      <c r="N166" s="358" t="n">
        <v>0</v>
      </c>
      <c r="O166" s="372" t="n">
        <v>0</v>
      </c>
      <c r="P166" s="373" t="n">
        <v>0</v>
      </c>
      <c r="Q166" s="358" t="n">
        <v>0</v>
      </c>
      <c r="R166" s="358" t="n">
        <v>0</v>
      </c>
      <c r="S166" s="372" t="n">
        <v>0</v>
      </c>
      <c r="T166" s="373" t="n">
        <v>0</v>
      </c>
      <c r="U166" s="358" t="n">
        <v>0</v>
      </c>
      <c r="V166" s="358" t="n">
        <v>0</v>
      </c>
      <c r="W166" s="372" t="n">
        <v>0</v>
      </c>
      <c r="X166" s="373" t="n">
        <v>0</v>
      </c>
      <c r="Y166" s="358" t="n">
        <v>0</v>
      </c>
      <c r="Z166" s="358" t="n">
        <v>0</v>
      </c>
      <c r="AA166" s="358" t="n">
        <v>0</v>
      </c>
      <c r="AB166" s="373" t="n">
        <v>0</v>
      </c>
      <c r="AC166" s="358" t="n">
        <v>0</v>
      </c>
      <c r="AD166" s="358" t="n">
        <v>0</v>
      </c>
      <c r="AE166" s="358" t="n">
        <v>0</v>
      </c>
      <c r="AF166" s="359" t="n">
        <v>1</v>
      </c>
    </row>
    <row r="167" customFormat="false" ht="15" hidden="true" customHeight="false" outlineLevel="0" collapsed="false">
      <c r="B167" s="360" t="s">
        <v>2656</v>
      </c>
      <c r="C167" s="359" t="n">
        <v>1</v>
      </c>
      <c r="D167" s="358" t="n">
        <v>0</v>
      </c>
      <c r="E167" s="358" t="n">
        <v>0</v>
      </c>
      <c r="F167" s="358" t="n">
        <v>0</v>
      </c>
      <c r="G167" s="372" t="n">
        <v>0</v>
      </c>
      <c r="H167" s="373" t="n">
        <v>0</v>
      </c>
      <c r="I167" s="358" t="n">
        <v>0</v>
      </c>
      <c r="J167" s="358" t="n">
        <v>0</v>
      </c>
      <c r="K167" s="372" t="n">
        <v>0</v>
      </c>
      <c r="L167" s="373" t="n">
        <v>0</v>
      </c>
      <c r="M167" s="358" t="n">
        <v>0</v>
      </c>
      <c r="N167" s="358" t="n">
        <v>0</v>
      </c>
      <c r="O167" s="372" t="n">
        <v>0</v>
      </c>
      <c r="P167" s="373" t="n">
        <v>0</v>
      </c>
      <c r="Q167" s="358" t="n">
        <v>0</v>
      </c>
      <c r="R167" s="358" t="n">
        <v>0</v>
      </c>
      <c r="S167" s="372" t="n">
        <v>0</v>
      </c>
      <c r="T167" s="373" t="n">
        <v>0</v>
      </c>
      <c r="U167" s="358" t="n">
        <v>0</v>
      </c>
      <c r="V167" s="358" t="n">
        <v>0</v>
      </c>
      <c r="W167" s="372" t="n">
        <v>0</v>
      </c>
      <c r="X167" s="373" t="n">
        <v>0</v>
      </c>
      <c r="Y167" s="358" t="n">
        <v>0</v>
      </c>
      <c r="Z167" s="358" t="n">
        <v>0</v>
      </c>
      <c r="AA167" s="358" t="n">
        <v>0</v>
      </c>
      <c r="AB167" s="373" t="n">
        <v>0</v>
      </c>
      <c r="AC167" s="358" t="n">
        <v>0</v>
      </c>
      <c r="AD167" s="358" t="n">
        <v>0</v>
      </c>
      <c r="AE167" s="358" t="n">
        <v>0</v>
      </c>
      <c r="AF167" s="359" t="n">
        <v>1</v>
      </c>
    </row>
    <row r="168" customFormat="false" ht="15" hidden="true" customHeight="false" outlineLevel="0" collapsed="false">
      <c r="B168" s="360" t="s">
        <v>2657</v>
      </c>
      <c r="C168" s="359" t="n">
        <v>1</v>
      </c>
      <c r="D168" s="358" t="n">
        <v>0</v>
      </c>
      <c r="E168" s="358" t="n">
        <v>0</v>
      </c>
      <c r="F168" s="358" t="n">
        <v>0</v>
      </c>
      <c r="G168" s="372" t="n">
        <v>0</v>
      </c>
      <c r="H168" s="373" t="n">
        <v>0</v>
      </c>
      <c r="I168" s="358" t="n">
        <v>0</v>
      </c>
      <c r="J168" s="358" t="n">
        <v>0</v>
      </c>
      <c r="K168" s="372" t="n">
        <v>0</v>
      </c>
      <c r="L168" s="373" t="n">
        <v>0</v>
      </c>
      <c r="M168" s="358" t="n">
        <v>0</v>
      </c>
      <c r="N168" s="358" t="n">
        <v>0</v>
      </c>
      <c r="O168" s="372" t="n">
        <v>0</v>
      </c>
      <c r="P168" s="373" t="n">
        <v>0</v>
      </c>
      <c r="Q168" s="358" t="n">
        <v>0</v>
      </c>
      <c r="R168" s="358" t="n">
        <v>0</v>
      </c>
      <c r="S168" s="372" t="n">
        <v>0</v>
      </c>
      <c r="T168" s="373" t="n">
        <v>0</v>
      </c>
      <c r="U168" s="358" t="n">
        <v>0</v>
      </c>
      <c r="V168" s="358" t="n">
        <v>0</v>
      </c>
      <c r="W168" s="372" t="n">
        <v>0</v>
      </c>
      <c r="X168" s="373" t="n">
        <v>0</v>
      </c>
      <c r="Y168" s="358" t="n">
        <v>0</v>
      </c>
      <c r="Z168" s="358" t="n">
        <v>0</v>
      </c>
      <c r="AA168" s="358" t="n">
        <v>0</v>
      </c>
      <c r="AB168" s="373" t="n">
        <v>0</v>
      </c>
      <c r="AC168" s="358" t="n">
        <v>0</v>
      </c>
      <c r="AD168" s="358" t="n">
        <v>0</v>
      </c>
      <c r="AE168" s="358" t="n">
        <v>0</v>
      </c>
      <c r="AF168" s="359" t="n">
        <v>1</v>
      </c>
    </row>
    <row r="169" customFormat="false" ht="15" hidden="true" customHeight="false" outlineLevel="0" collapsed="false">
      <c r="B169" s="360" t="s">
        <v>2658</v>
      </c>
      <c r="C169" s="359" t="n">
        <v>1</v>
      </c>
      <c r="D169" s="358" t="n">
        <v>0</v>
      </c>
      <c r="E169" s="358" t="n">
        <v>0</v>
      </c>
      <c r="F169" s="358" t="n">
        <v>0</v>
      </c>
      <c r="G169" s="372" t="n">
        <v>0</v>
      </c>
      <c r="H169" s="373" t="n">
        <v>0</v>
      </c>
      <c r="I169" s="358" t="n">
        <v>0</v>
      </c>
      <c r="J169" s="358" t="n">
        <v>0</v>
      </c>
      <c r="K169" s="372" t="n">
        <v>0</v>
      </c>
      <c r="L169" s="373" t="n">
        <v>0</v>
      </c>
      <c r="M169" s="358" t="n">
        <v>0</v>
      </c>
      <c r="N169" s="358" t="n">
        <v>0</v>
      </c>
      <c r="O169" s="372" t="n">
        <v>0</v>
      </c>
      <c r="P169" s="373" t="n">
        <v>0</v>
      </c>
      <c r="Q169" s="358" t="n">
        <v>0</v>
      </c>
      <c r="R169" s="358" t="n">
        <v>0</v>
      </c>
      <c r="S169" s="372" t="n">
        <v>0</v>
      </c>
      <c r="T169" s="373" t="n">
        <v>0</v>
      </c>
      <c r="U169" s="358" t="n">
        <v>0</v>
      </c>
      <c r="V169" s="358" t="n">
        <v>0</v>
      </c>
      <c r="W169" s="372" t="n">
        <v>0</v>
      </c>
      <c r="X169" s="373" t="n">
        <v>0</v>
      </c>
      <c r="Y169" s="358" t="n">
        <v>0</v>
      </c>
      <c r="Z169" s="358" t="n">
        <v>0</v>
      </c>
      <c r="AA169" s="358" t="n">
        <v>0</v>
      </c>
      <c r="AB169" s="373" t="n">
        <v>0</v>
      </c>
      <c r="AC169" s="358" t="n">
        <v>0</v>
      </c>
      <c r="AD169" s="358" t="n">
        <v>0</v>
      </c>
      <c r="AE169" s="358" t="n">
        <v>0</v>
      </c>
      <c r="AF169" s="359" t="n">
        <v>1</v>
      </c>
    </row>
    <row r="170" customFormat="false" ht="15" hidden="true" customHeight="false" outlineLevel="0" collapsed="false">
      <c r="B170" s="360" t="s">
        <v>2659</v>
      </c>
      <c r="C170" s="359" t="n">
        <v>1</v>
      </c>
      <c r="D170" s="358" t="n">
        <v>0</v>
      </c>
      <c r="E170" s="358" t="n">
        <v>0</v>
      </c>
      <c r="F170" s="358" t="n">
        <v>0</v>
      </c>
      <c r="G170" s="372" t="n">
        <v>0</v>
      </c>
      <c r="H170" s="373" t="n">
        <v>0</v>
      </c>
      <c r="I170" s="358" t="n">
        <v>0</v>
      </c>
      <c r="J170" s="358" t="n">
        <v>0</v>
      </c>
      <c r="K170" s="372" t="n">
        <v>0</v>
      </c>
      <c r="L170" s="373" t="n">
        <v>0</v>
      </c>
      <c r="M170" s="358" t="n">
        <v>0</v>
      </c>
      <c r="N170" s="358" t="n">
        <v>0</v>
      </c>
      <c r="O170" s="372" t="n">
        <v>0</v>
      </c>
      <c r="P170" s="373" t="n">
        <v>0</v>
      </c>
      <c r="Q170" s="358" t="n">
        <v>0</v>
      </c>
      <c r="R170" s="358" t="n">
        <v>0</v>
      </c>
      <c r="S170" s="372" t="n">
        <v>0</v>
      </c>
      <c r="T170" s="373" t="n">
        <v>0</v>
      </c>
      <c r="U170" s="358" t="n">
        <v>0</v>
      </c>
      <c r="V170" s="358" t="n">
        <v>0</v>
      </c>
      <c r="W170" s="372" t="n">
        <v>0</v>
      </c>
      <c r="X170" s="373" t="n">
        <v>0</v>
      </c>
      <c r="Y170" s="358" t="n">
        <v>0</v>
      </c>
      <c r="Z170" s="358" t="n">
        <v>0</v>
      </c>
      <c r="AA170" s="358" t="n">
        <v>0</v>
      </c>
      <c r="AB170" s="373" t="n">
        <v>0</v>
      </c>
      <c r="AC170" s="358" t="n">
        <v>0</v>
      </c>
      <c r="AD170" s="358" t="n">
        <v>0</v>
      </c>
      <c r="AE170" s="358" t="n">
        <v>0</v>
      </c>
      <c r="AF170" s="359" t="n">
        <v>1</v>
      </c>
    </row>
    <row r="171" customFormat="false" ht="15" hidden="true" customHeight="false" outlineLevel="0" collapsed="false">
      <c r="B171" s="360" t="s">
        <v>2660</v>
      </c>
      <c r="C171" s="359" t="n">
        <v>1</v>
      </c>
      <c r="D171" s="358" t="n">
        <v>0</v>
      </c>
      <c r="E171" s="358" t="n">
        <v>0</v>
      </c>
      <c r="F171" s="358" t="n">
        <v>0</v>
      </c>
      <c r="G171" s="372" t="n">
        <v>0</v>
      </c>
      <c r="H171" s="373" t="n">
        <v>0</v>
      </c>
      <c r="I171" s="358" t="n">
        <v>0</v>
      </c>
      <c r="J171" s="358" t="n">
        <v>0</v>
      </c>
      <c r="K171" s="372" t="n">
        <v>0</v>
      </c>
      <c r="L171" s="373" t="n">
        <v>0</v>
      </c>
      <c r="M171" s="358" t="n">
        <v>0</v>
      </c>
      <c r="N171" s="358" t="n">
        <v>0</v>
      </c>
      <c r="O171" s="372" t="n">
        <v>0</v>
      </c>
      <c r="P171" s="373" t="n">
        <v>0</v>
      </c>
      <c r="Q171" s="358" t="n">
        <v>0</v>
      </c>
      <c r="R171" s="358" t="n">
        <v>0</v>
      </c>
      <c r="S171" s="372" t="n">
        <v>0</v>
      </c>
      <c r="T171" s="373" t="n">
        <v>0</v>
      </c>
      <c r="U171" s="358" t="n">
        <v>0</v>
      </c>
      <c r="V171" s="358" t="n">
        <v>0</v>
      </c>
      <c r="W171" s="372" t="n">
        <v>0</v>
      </c>
      <c r="X171" s="373" t="n">
        <v>0</v>
      </c>
      <c r="Y171" s="358" t="n">
        <v>0</v>
      </c>
      <c r="Z171" s="358" t="n">
        <v>0</v>
      </c>
      <c r="AA171" s="358" t="n">
        <v>0</v>
      </c>
      <c r="AB171" s="373" t="n">
        <v>0</v>
      </c>
      <c r="AC171" s="358" t="n">
        <v>0</v>
      </c>
      <c r="AD171" s="358" t="n">
        <v>0</v>
      </c>
      <c r="AE171" s="358" t="n">
        <v>0</v>
      </c>
      <c r="AF171" s="359" t="n">
        <v>1</v>
      </c>
    </row>
    <row r="172" customFormat="false" ht="15" hidden="true" customHeight="false" outlineLevel="0" collapsed="false">
      <c r="B172" s="360" t="s">
        <v>2661</v>
      </c>
      <c r="C172" s="359" t="n">
        <v>1</v>
      </c>
      <c r="D172" s="358" t="n">
        <v>0</v>
      </c>
      <c r="E172" s="358" t="n">
        <v>0</v>
      </c>
      <c r="F172" s="358" t="n">
        <v>0</v>
      </c>
      <c r="G172" s="372" t="n">
        <v>0</v>
      </c>
      <c r="H172" s="373" t="n">
        <v>0</v>
      </c>
      <c r="I172" s="358" t="n">
        <v>0</v>
      </c>
      <c r="J172" s="358" t="n">
        <v>0</v>
      </c>
      <c r="K172" s="372" t="n">
        <v>0</v>
      </c>
      <c r="L172" s="373" t="n">
        <v>0</v>
      </c>
      <c r="M172" s="358" t="n">
        <v>0</v>
      </c>
      <c r="N172" s="358" t="n">
        <v>0</v>
      </c>
      <c r="O172" s="372" t="n">
        <v>0</v>
      </c>
      <c r="P172" s="373" t="n">
        <v>0</v>
      </c>
      <c r="Q172" s="358" t="n">
        <v>0</v>
      </c>
      <c r="R172" s="358" t="n">
        <v>0</v>
      </c>
      <c r="S172" s="372" t="n">
        <v>0</v>
      </c>
      <c r="T172" s="373" t="n">
        <v>0</v>
      </c>
      <c r="U172" s="358" t="n">
        <v>0</v>
      </c>
      <c r="V172" s="358" t="n">
        <v>0</v>
      </c>
      <c r="W172" s="372" t="n">
        <v>0</v>
      </c>
      <c r="X172" s="373" t="n">
        <v>0</v>
      </c>
      <c r="Y172" s="358" t="n">
        <v>0</v>
      </c>
      <c r="Z172" s="358" t="n">
        <v>0</v>
      </c>
      <c r="AA172" s="358" t="n">
        <v>0</v>
      </c>
      <c r="AB172" s="373" t="n">
        <v>0</v>
      </c>
      <c r="AC172" s="358" t="n">
        <v>0</v>
      </c>
      <c r="AD172" s="358" t="n">
        <v>0</v>
      </c>
      <c r="AE172" s="358" t="n">
        <v>0</v>
      </c>
      <c r="AF172" s="359" t="n">
        <v>1</v>
      </c>
    </row>
    <row r="173" customFormat="false" ht="15" hidden="true" customHeight="false" outlineLevel="0" collapsed="false">
      <c r="B173" s="360" t="s">
        <v>2662</v>
      </c>
      <c r="C173" s="359" t="n">
        <v>1</v>
      </c>
      <c r="D173" s="358" t="n">
        <v>0</v>
      </c>
      <c r="E173" s="358" t="n">
        <v>0</v>
      </c>
      <c r="F173" s="358" t="n">
        <v>0</v>
      </c>
      <c r="G173" s="372" t="n">
        <v>0</v>
      </c>
      <c r="H173" s="373" t="n">
        <v>0</v>
      </c>
      <c r="I173" s="358" t="n">
        <v>0</v>
      </c>
      <c r="J173" s="358" t="n">
        <v>0</v>
      </c>
      <c r="K173" s="372" t="n">
        <v>0</v>
      </c>
      <c r="L173" s="373" t="n">
        <v>0</v>
      </c>
      <c r="M173" s="358" t="n">
        <v>0</v>
      </c>
      <c r="N173" s="358" t="n">
        <v>0</v>
      </c>
      <c r="O173" s="372" t="n">
        <v>0</v>
      </c>
      <c r="P173" s="373" t="n">
        <v>0</v>
      </c>
      <c r="Q173" s="358" t="n">
        <v>0</v>
      </c>
      <c r="R173" s="358" t="n">
        <v>0</v>
      </c>
      <c r="S173" s="372" t="n">
        <v>0</v>
      </c>
      <c r="T173" s="373" t="n">
        <v>0</v>
      </c>
      <c r="U173" s="358" t="n">
        <v>0</v>
      </c>
      <c r="V173" s="358" t="n">
        <v>0</v>
      </c>
      <c r="W173" s="372" t="n">
        <v>0</v>
      </c>
      <c r="X173" s="373" t="n">
        <v>0</v>
      </c>
      <c r="Y173" s="358" t="n">
        <v>0</v>
      </c>
      <c r="Z173" s="358" t="n">
        <v>0</v>
      </c>
      <c r="AA173" s="358" t="n">
        <v>0</v>
      </c>
      <c r="AB173" s="373" t="n">
        <v>0</v>
      </c>
      <c r="AC173" s="358" t="n">
        <v>0</v>
      </c>
      <c r="AD173" s="358" t="n">
        <v>0</v>
      </c>
      <c r="AE173" s="358" t="n">
        <v>0</v>
      </c>
      <c r="AF173" s="359" t="n">
        <v>1</v>
      </c>
    </row>
    <row r="174" customFormat="false" ht="15" hidden="true" customHeight="false" outlineLevel="0" collapsed="false">
      <c r="B174" s="360" t="s">
        <v>2663</v>
      </c>
      <c r="C174" s="359" t="n">
        <v>1</v>
      </c>
      <c r="D174" s="358" t="n">
        <v>0</v>
      </c>
      <c r="E174" s="358" t="n">
        <v>0</v>
      </c>
      <c r="F174" s="358" t="n">
        <v>0</v>
      </c>
      <c r="G174" s="372" t="n">
        <v>0</v>
      </c>
      <c r="H174" s="373" t="n">
        <v>0</v>
      </c>
      <c r="I174" s="358" t="n">
        <v>0</v>
      </c>
      <c r="J174" s="358" t="n">
        <v>0</v>
      </c>
      <c r="K174" s="372" t="n">
        <v>0</v>
      </c>
      <c r="L174" s="373" t="n">
        <v>0</v>
      </c>
      <c r="M174" s="358" t="n">
        <v>0</v>
      </c>
      <c r="N174" s="358" t="n">
        <v>0</v>
      </c>
      <c r="O174" s="372" t="n">
        <v>0</v>
      </c>
      <c r="P174" s="373" t="n">
        <v>0</v>
      </c>
      <c r="Q174" s="358" t="n">
        <v>0</v>
      </c>
      <c r="R174" s="358" t="n">
        <v>0</v>
      </c>
      <c r="S174" s="372" t="n">
        <v>0</v>
      </c>
      <c r="T174" s="373" t="n">
        <v>0</v>
      </c>
      <c r="U174" s="358" t="n">
        <v>0</v>
      </c>
      <c r="V174" s="358" t="n">
        <v>0</v>
      </c>
      <c r="W174" s="372" t="n">
        <v>0</v>
      </c>
      <c r="X174" s="373" t="n">
        <v>0</v>
      </c>
      <c r="Y174" s="358" t="n">
        <v>0</v>
      </c>
      <c r="Z174" s="358" t="n">
        <v>0</v>
      </c>
      <c r="AA174" s="358" t="n">
        <v>0</v>
      </c>
      <c r="AB174" s="373" t="n">
        <v>0</v>
      </c>
      <c r="AC174" s="358" t="n">
        <v>0</v>
      </c>
      <c r="AD174" s="358" t="n">
        <v>0</v>
      </c>
      <c r="AE174" s="358" t="n">
        <v>0</v>
      </c>
      <c r="AF174" s="359" t="n">
        <v>1</v>
      </c>
    </row>
    <row r="175" customFormat="false" ht="15" hidden="true" customHeight="false" outlineLevel="0" collapsed="false">
      <c r="B175" s="360" t="s">
        <v>2664</v>
      </c>
      <c r="C175" s="359" t="n">
        <v>1</v>
      </c>
      <c r="D175" s="358" t="n">
        <v>0</v>
      </c>
      <c r="E175" s="358" t="n">
        <v>0</v>
      </c>
      <c r="F175" s="358" t="n">
        <v>0</v>
      </c>
      <c r="G175" s="372" t="n">
        <v>0</v>
      </c>
      <c r="H175" s="373" t="n">
        <v>0</v>
      </c>
      <c r="I175" s="358" t="n">
        <v>0</v>
      </c>
      <c r="J175" s="358" t="n">
        <v>0</v>
      </c>
      <c r="K175" s="372" t="n">
        <v>0</v>
      </c>
      <c r="L175" s="373" t="n">
        <v>0</v>
      </c>
      <c r="M175" s="358" t="n">
        <v>0</v>
      </c>
      <c r="N175" s="358" t="n">
        <v>0</v>
      </c>
      <c r="O175" s="372" t="n">
        <v>0</v>
      </c>
      <c r="P175" s="373" t="n">
        <v>0</v>
      </c>
      <c r="Q175" s="358" t="n">
        <v>0</v>
      </c>
      <c r="R175" s="358" t="n">
        <v>0</v>
      </c>
      <c r="S175" s="372" t="n">
        <v>0</v>
      </c>
      <c r="T175" s="373" t="n">
        <v>0</v>
      </c>
      <c r="U175" s="358" t="n">
        <v>0</v>
      </c>
      <c r="V175" s="358" t="n">
        <v>0</v>
      </c>
      <c r="W175" s="372" t="n">
        <v>0</v>
      </c>
      <c r="X175" s="373" t="n">
        <v>0</v>
      </c>
      <c r="Y175" s="358" t="n">
        <v>0</v>
      </c>
      <c r="Z175" s="358" t="n">
        <v>0</v>
      </c>
      <c r="AA175" s="358" t="n">
        <v>0</v>
      </c>
      <c r="AB175" s="373" t="n">
        <v>0</v>
      </c>
      <c r="AC175" s="358" t="n">
        <v>0</v>
      </c>
      <c r="AD175" s="358" t="n">
        <v>0</v>
      </c>
      <c r="AE175" s="358" t="n">
        <v>0</v>
      </c>
      <c r="AF175" s="359" t="n">
        <v>1</v>
      </c>
    </row>
    <row r="176" customFormat="false" ht="15" hidden="true" customHeight="false" outlineLevel="0" collapsed="false">
      <c r="B176" s="360" t="s">
        <v>2665</v>
      </c>
      <c r="C176" s="359" t="n">
        <v>1</v>
      </c>
      <c r="D176" s="358" t="n">
        <v>0</v>
      </c>
      <c r="E176" s="358" t="n">
        <v>0</v>
      </c>
      <c r="F176" s="358" t="n">
        <v>0</v>
      </c>
      <c r="G176" s="372" t="n">
        <v>0</v>
      </c>
      <c r="H176" s="373" t="n">
        <v>0</v>
      </c>
      <c r="I176" s="358" t="n">
        <v>0</v>
      </c>
      <c r="J176" s="358" t="n">
        <v>0</v>
      </c>
      <c r="K176" s="372" t="n">
        <v>0</v>
      </c>
      <c r="L176" s="373" t="n">
        <v>0</v>
      </c>
      <c r="M176" s="358" t="n">
        <v>0</v>
      </c>
      <c r="N176" s="358" t="n">
        <v>0</v>
      </c>
      <c r="O176" s="372" t="n">
        <v>0</v>
      </c>
      <c r="P176" s="373" t="n">
        <v>0</v>
      </c>
      <c r="Q176" s="358" t="n">
        <v>0</v>
      </c>
      <c r="R176" s="358" t="n">
        <v>0</v>
      </c>
      <c r="S176" s="372" t="n">
        <v>0</v>
      </c>
      <c r="T176" s="373" t="n">
        <v>0</v>
      </c>
      <c r="U176" s="358" t="n">
        <v>0</v>
      </c>
      <c r="V176" s="358" t="n">
        <v>0</v>
      </c>
      <c r="W176" s="372" t="n">
        <v>0</v>
      </c>
      <c r="X176" s="373" t="n">
        <v>0</v>
      </c>
      <c r="Y176" s="358" t="n">
        <v>0</v>
      </c>
      <c r="Z176" s="358" t="n">
        <v>0</v>
      </c>
      <c r="AA176" s="358" t="n">
        <v>0</v>
      </c>
      <c r="AB176" s="373" t="n">
        <v>0</v>
      </c>
      <c r="AC176" s="358" t="n">
        <v>0</v>
      </c>
      <c r="AD176" s="358" t="n">
        <v>0</v>
      </c>
      <c r="AE176" s="358" t="n">
        <v>0</v>
      </c>
      <c r="AF176" s="359" t="n">
        <v>1</v>
      </c>
    </row>
    <row r="177" customFormat="false" ht="15" hidden="true" customHeight="false" outlineLevel="0" collapsed="false">
      <c r="B177" s="360" t="s">
        <v>2666</v>
      </c>
      <c r="C177" s="359" t="n">
        <v>1</v>
      </c>
      <c r="D177" s="358" t="n">
        <v>0</v>
      </c>
      <c r="E177" s="358" t="n">
        <v>0</v>
      </c>
      <c r="F177" s="358" t="n">
        <v>0</v>
      </c>
      <c r="G177" s="372" t="n">
        <v>0</v>
      </c>
      <c r="H177" s="373" t="n">
        <v>0</v>
      </c>
      <c r="I177" s="358" t="n">
        <v>0</v>
      </c>
      <c r="J177" s="358" t="n">
        <v>0</v>
      </c>
      <c r="K177" s="372" t="n">
        <v>0</v>
      </c>
      <c r="L177" s="373" t="n">
        <v>0</v>
      </c>
      <c r="M177" s="358" t="n">
        <v>0</v>
      </c>
      <c r="N177" s="358" t="n">
        <v>0</v>
      </c>
      <c r="O177" s="372" t="n">
        <v>0</v>
      </c>
      <c r="P177" s="373" t="n">
        <v>0</v>
      </c>
      <c r="Q177" s="358" t="n">
        <v>0</v>
      </c>
      <c r="R177" s="358" t="n">
        <v>0</v>
      </c>
      <c r="S177" s="372" t="n">
        <v>0</v>
      </c>
      <c r="T177" s="373" t="n">
        <v>0</v>
      </c>
      <c r="U177" s="358" t="n">
        <v>0</v>
      </c>
      <c r="V177" s="358" t="n">
        <v>0</v>
      </c>
      <c r="W177" s="372" t="n">
        <v>0</v>
      </c>
      <c r="X177" s="373" t="n">
        <v>0</v>
      </c>
      <c r="Y177" s="358" t="n">
        <v>0</v>
      </c>
      <c r="Z177" s="358" t="n">
        <v>0</v>
      </c>
      <c r="AA177" s="358" t="n">
        <v>0</v>
      </c>
      <c r="AB177" s="373" t="n">
        <v>0</v>
      </c>
      <c r="AC177" s="358" t="n">
        <v>0</v>
      </c>
      <c r="AD177" s="358" t="n">
        <v>0</v>
      </c>
      <c r="AE177" s="358" t="n">
        <v>0</v>
      </c>
      <c r="AF177" s="359" t="n">
        <v>1</v>
      </c>
    </row>
    <row r="178" customFormat="false" ht="15" hidden="true" customHeight="false" outlineLevel="0" collapsed="false">
      <c r="B178" s="360" t="s">
        <v>2667</v>
      </c>
      <c r="C178" s="359" t="n">
        <v>1</v>
      </c>
      <c r="D178" s="358" t="n">
        <v>0</v>
      </c>
      <c r="E178" s="358" t="n">
        <v>0</v>
      </c>
      <c r="F178" s="358" t="n">
        <v>0</v>
      </c>
      <c r="G178" s="372" t="n">
        <v>0</v>
      </c>
      <c r="H178" s="373" t="n">
        <v>0</v>
      </c>
      <c r="I178" s="358" t="n">
        <v>0</v>
      </c>
      <c r="J178" s="358" t="n">
        <v>0</v>
      </c>
      <c r="K178" s="372" t="n">
        <v>0</v>
      </c>
      <c r="L178" s="373" t="n">
        <v>0</v>
      </c>
      <c r="M178" s="358" t="n">
        <v>0</v>
      </c>
      <c r="N178" s="358" t="n">
        <v>0</v>
      </c>
      <c r="O178" s="372" t="n">
        <v>0</v>
      </c>
      <c r="P178" s="373" t="n">
        <v>0</v>
      </c>
      <c r="Q178" s="358" t="n">
        <v>0</v>
      </c>
      <c r="R178" s="358" t="n">
        <v>0</v>
      </c>
      <c r="S178" s="372" t="n">
        <v>0</v>
      </c>
      <c r="T178" s="373" t="n">
        <v>0</v>
      </c>
      <c r="U178" s="358" t="n">
        <v>0</v>
      </c>
      <c r="V178" s="358" t="n">
        <v>0</v>
      </c>
      <c r="W178" s="372" t="n">
        <v>0</v>
      </c>
      <c r="X178" s="373" t="n">
        <v>0</v>
      </c>
      <c r="Y178" s="358" t="n">
        <v>0</v>
      </c>
      <c r="Z178" s="358" t="n">
        <v>0</v>
      </c>
      <c r="AA178" s="358" t="n">
        <v>0</v>
      </c>
      <c r="AB178" s="373" t="n">
        <v>0</v>
      </c>
      <c r="AC178" s="358" t="n">
        <v>0</v>
      </c>
      <c r="AD178" s="358" t="n">
        <v>0</v>
      </c>
      <c r="AE178" s="358" t="n">
        <v>0</v>
      </c>
      <c r="AF178" s="359" t="n">
        <v>1</v>
      </c>
    </row>
    <row r="179" customFormat="false" ht="15" hidden="true" customHeight="false" outlineLevel="0" collapsed="false">
      <c r="B179" s="360" t="s">
        <v>2668</v>
      </c>
      <c r="C179" s="359" t="n">
        <v>1</v>
      </c>
      <c r="D179" s="358" t="n">
        <v>0</v>
      </c>
      <c r="E179" s="358" t="n">
        <v>0</v>
      </c>
      <c r="F179" s="358" t="n">
        <v>0</v>
      </c>
      <c r="G179" s="372" t="n">
        <v>0</v>
      </c>
      <c r="H179" s="373" t="n">
        <v>0</v>
      </c>
      <c r="I179" s="358" t="n">
        <v>0</v>
      </c>
      <c r="J179" s="358" t="n">
        <v>0</v>
      </c>
      <c r="K179" s="372" t="n">
        <v>0</v>
      </c>
      <c r="L179" s="373" t="n">
        <v>0</v>
      </c>
      <c r="M179" s="358" t="n">
        <v>0</v>
      </c>
      <c r="N179" s="358" t="n">
        <v>0</v>
      </c>
      <c r="O179" s="372" t="n">
        <v>0</v>
      </c>
      <c r="P179" s="373" t="n">
        <v>0</v>
      </c>
      <c r="Q179" s="358" t="n">
        <v>0</v>
      </c>
      <c r="R179" s="358" t="n">
        <v>0</v>
      </c>
      <c r="S179" s="372" t="n">
        <v>0</v>
      </c>
      <c r="T179" s="373" t="n">
        <v>0</v>
      </c>
      <c r="U179" s="358" t="n">
        <v>0</v>
      </c>
      <c r="V179" s="358" t="n">
        <v>0</v>
      </c>
      <c r="W179" s="372" t="n">
        <v>0</v>
      </c>
      <c r="X179" s="373" t="n">
        <v>0</v>
      </c>
      <c r="Y179" s="358" t="n">
        <v>0</v>
      </c>
      <c r="Z179" s="358" t="n">
        <v>0</v>
      </c>
      <c r="AA179" s="358" t="n">
        <v>0</v>
      </c>
      <c r="AB179" s="373" t="n">
        <v>0</v>
      </c>
      <c r="AC179" s="358" t="n">
        <v>0</v>
      </c>
      <c r="AD179" s="358" t="n">
        <v>0</v>
      </c>
      <c r="AE179" s="358" t="n">
        <v>0</v>
      </c>
      <c r="AF179" s="359" t="n">
        <v>1</v>
      </c>
    </row>
    <row r="180" customFormat="false" ht="15" hidden="true" customHeight="false" outlineLevel="0" collapsed="false">
      <c r="B180" s="360" t="s">
        <v>2669</v>
      </c>
      <c r="C180" s="359" t="n">
        <v>1</v>
      </c>
      <c r="D180" s="358" t="n">
        <v>0</v>
      </c>
      <c r="E180" s="358" t="n">
        <v>0</v>
      </c>
      <c r="F180" s="358" t="n">
        <v>0</v>
      </c>
      <c r="G180" s="372" t="n">
        <v>0</v>
      </c>
      <c r="H180" s="373" t="n">
        <v>0</v>
      </c>
      <c r="I180" s="358" t="n">
        <v>0</v>
      </c>
      <c r="J180" s="358" t="n">
        <v>0</v>
      </c>
      <c r="K180" s="372" t="n">
        <v>0</v>
      </c>
      <c r="L180" s="373" t="n">
        <v>0</v>
      </c>
      <c r="M180" s="358" t="n">
        <v>0</v>
      </c>
      <c r="N180" s="358" t="n">
        <v>0</v>
      </c>
      <c r="O180" s="372" t="n">
        <v>0</v>
      </c>
      <c r="P180" s="373" t="n">
        <v>0</v>
      </c>
      <c r="Q180" s="358" t="n">
        <v>0</v>
      </c>
      <c r="R180" s="358" t="n">
        <v>0</v>
      </c>
      <c r="S180" s="372" t="n">
        <v>0</v>
      </c>
      <c r="T180" s="373" t="n">
        <v>0</v>
      </c>
      <c r="U180" s="358" t="n">
        <v>0</v>
      </c>
      <c r="V180" s="358" t="n">
        <v>0</v>
      </c>
      <c r="W180" s="372" t="n">
        <v>0</v>
      </c>
      <c r="X180" s="373" t="n">
        <v>0</v>
      </c>
      <c r="Y180" s="358" t="n">
        <v>0</v>
      </c>
      <c r="Z180" s="358" t="n">
        <v>0</v>
      </c>
      <c r="AA180" s="358" t="n">
        <v>0</v>
      </c>
      <c r="AB180" s="373" t="n">
        <v>0</v>
      </c>
      <c r="AC180" s="358" t="n">
        <v>0</v>
      </c>
      <c r="AD180" s="358" t="n">
        <v>0</v>
      </c>
      <c r="AE180" s="358" t="n">
        <v>0</v>
      </c>
      <c r="AF180" s="359" t="n">
        <v>1</v>
      </c>
    </row>
    <row r="181" customFormat="false" ht="15" hidden="true" customHeight="false" outlineLevel="0" collapsed="false">
      <c r="B181" s="360" t="s">
        <v>2670</v>
      </c>
      <c r="C181" s="359" t="n">
        <v>1</v>
      </c>
      <c r="D181" s="358" t="n">
        <v>0</v>
      </c>
      <c r="E181" s="358" t="n">
        <v>0</v>
      </c>
      <c r="F181" s="358" t="n">
        <v>0</v>
      </c>
      <c r="G181" s="372" t="n">
        <v>0</v>
      </c>
      <c r="H181" s="373" t="n">
        <v>0</v>
      </c>
      <c r="I181" s="358" t="n">
        <v>0</v>
      </c>
      <c r="J181" s="358" t="n">
        <v>0</v>
      </c>
      <c r="K181" s="372" t="n">
        <v>0</v>
      </c>
      <c r="L181" s="373" t="n">
        <v>0</v>
      </c>
      <c r="M181" s="358" t="n">
        <v>0</v>
      </c>
      <c r="N181" s="358" t="n">
        <v>0</v>
      </c>
      <c r="O181" s="372" t="n">
        <v>0</v>
      </c>
      <c r="P181" s="373" t="n">
        <v>0</v>
      </c>
      <c r="Q181" s="358" t="n">
        <v>0</v>
      </c>
      <c r="R181" s="358" t="n">
        <v>0</v>
      </c>
      <c r="S181" s="372" t="n">
        <v>0</v>
      </c>
      <c r="T181" s="373" t="n">
        <v>0</v>
      </c>
      <c r="U181" s="358" t="n">
        <v>0</v>
      </c>
      <c r="V181" s="358" t="n">
        <v>0</v>
      </c>
      <c r="W181" s="372" t="n">
        <v>0</v>
      </c>
      <c r="X181" s="373" t="n">
        <v>0</v>
      </c>
      <c r="Y181" s="358" t="n">
        <v>0</v>
      </c>
      <c r="Z181" s="358" t="n">
        <v>0</v>
      </c>
      <c r="AA181" s="358" t="n">
        <v>0</v>
      </c>
      <c r="AB181" s="373" t="n">
        <v>0</v>
      </c>
      <c r="AC181" s="358" t="n">
        <v>0</v>
      </c>
      <c r="AD181" s="358" t="n">
        <v>0</v>
      </c>
      <c r="AE181" s="358" t="n">
        <v>0</v>
      </c>
      <c r="AF181" s="359" t="n">
        <v>1</v>
      </c>
    </row>
    <row r="182" customFormat="false" ht="15" hidden="true" customHeight="false" outlineLevel="0" collapsed="false">
      <c r="B182" s="360" t="s">
        <v>2671</v>
      </c>
      <c r="C182" s="359" t="n">
        <v>1</v>
      </c>
      <c r="D182" s="358" t="n">
        <v>0</v>
      </c>
      <c r="E182" s="358" t="n">
        <v>0</v>
      </c>
      <c r="F182" s="358" t="n">
        <v>0</v>
      </c>
      <c r="G182" s="372" t="n">
        <v>0</v>
      </c>
      <c r="H182" s="373" t="n">
        <v>0</v>
      </c>
      <c r="I182" s="358" t="n">
        <v>0</v>
      </c>
      <c r="J182" s="358" t="n">
        <v>0</v>
      </c>
      <c r="K182" s="372" t="n">
        <v>0</v>
      </c>
      <c r="L182" s="373" t="n">
        <v>0</v>
      </c>
      <c r="M182" s="358" t="n">
        <v>0</v>
      </c>
      <c r="N182" s="358" t="n">
        <v>0</v>
      </c>
      <c r="O182" s="372" t="n">
        <v>0</v>
      </c>
      <c r="P182" s="373" t="n">
        <v>0</v>
      </c>
      <c r="Q182" s="358" t="n">
        <v>0</v>
      </c>
      <c r="R182" s="358" t="n">
        <v>0</v>
      </c>
      <c r="S182" s="372" t="n">
        <v>0</v>
      </c>
      <c r="T182" s="373" t="n">
        <v>0</v>
      </c>
      <c r="U182" s="358" t="n">
        <v>0</v>
      </c>
      <c r="V182" s="358" t="n">
        <v>0</v>
      </c>
      <c r="W182" s="372" t="n">
        <v>0</v>
      </c>
      <c r="X182" s="373" t="n">
        <v>0</v>
      </c>
      <c r="Y182" s="358" t="n">
        <v>0</v>
      </c>
      <c r="Z182" s="358" t="n">
        <v>0</v>
      </c>
      <c r="AA182" s="358" t="n">
        <v>0</v>
      </c>
      <c r="AB182" s="373" t="n">
        <v>0</v>
      </c>
      <c r="AC182" s="358" t="n">
        <v>0</v>
      </c>
      <c r="AD182" s="358" t="n">
        <v>0</v>
      </c>
      <c r="AE182" s="358" t="n">
        <v>0</v>
      </c>
      <c r="AF182" s="359" t="n">
        <v>1</v>
      </c>
    </row>
    <row r="183" customFormat="false" ht="15" hidden="true" customHeight="false" outlineLevel="0" collapsed="false">
      <c r="B183" s="360" t="s">
        <v>2672</v>
      </c>
      <c r="C183" s="359" t="n">
        <v>1</v>
      </c>
      <c r="D183" s="358" t="n">
        <v>0</v>
      </c>
      <c r="E183" s="358" t="n">
        <v>0</v>
      </c>
      <c r="F183" s="358" t="n">
        <v>0</v>
      </c>
      <c r="G183" s="372" t="n">
        <v>0</v>
      </c>
      <c r="H183" s="373" t="n">
        <v>0</v>
      </c>
      <c r="I183" s="358" t="n">
        <v>0</v>
      </c>
      <c r="J183" s="358" t="n">
        <v>0</v>
      </c>
      <c r="K183" s="372" t="n">
        <v>0</v>
      </c>
      <c r="L183" s="373" t="n">
        <v>0</v>
      </c>
      <c r="M183" s="358" t="n">
        <v>0</v>
      </c>
      <c r="N183" s="358" t="n">
        <v>0</v>
      </c>
      <c r="O183" s="372" t="n">
        <v>0</v>
      </c>
      <c r="P183" s="373" t="n">
        <v>0</v>
      </c>
      <c r="Q183" s="358" t="n">
        <v>0</v>
      </c>
      <c r="R183" s="358" t="n">
        <v>0</v>
      </c>
      <c r="S183" s="372" t="n">
        <v>0</v>
      </c>
      <c r="T183" s="373" t="n">
        <v>0</v>
      </c>
      <c r="U183" s="358" t="n">
        <v>0</v>
      </c>
      <c r="V183" s="358" t="n">
        <v>0</v>
      </c>
      <c r="W183" s="372" t="n">
        <v>0</v>
      </c>
      <c r="X183" s="373" t="n">
        <v>0</v>
      </c>
      <c r="Y183" s="358" t="n">
        <v>0</v>
      </c>
      <c r="Z183" s="358" t="n">
        <v>0</v>
      </c>
      <c r="AA183" s="358" t="n">
        <v>0</v>
      </c>
      <c r="AB183" s="373" t="n">
        <v>0</v>
      </c>
      <c r="AC183" s="358" t="n">
        <v>0</v>
      </c>
      <c r="AD183" s="358" t="n">
        <v>0</v>
      </c>
      <c r="AE183" s="358" t="n">
        <v>0</v>
      </c>
      <c r="AF183" s="359" t="n">
        <v>1</v>
      </c>
    </row>
    <row r="184" customFormat="false" ht="15" hidden="true" customHeight="false" outlineLevel="0" collapsed="false">
      <c r="B184" s="360" t="s">
        <v>2673</v>
      </c>
      <c r="C184" s="359" t="n">
        <v>1</v>
      </c>
      <c r="D184" s="358" t="n">
        <v>0</v>
      </c>
      <c r="E184" s="358" t="n">
        <v>0</v>
      </c>
      <c r="F184" s="358" t="n">
        <v>0</v>
      </c>
      <c r="G184" s="372" t="n">
        <v>0</v>
      </c>
      <c r="H184" s="373" t="n">
        <v>0</v>
      </c>
      <c r="I184" s="358" t="n">
        <v>0</v>
      </c>
      <c r="J184" s="358" t="n">
        <v>0</v>
      </c>
      <c r="K184" s="372" t="n">
        <v>0</v>
      </c>
      <c r="L184" s="373" t="n">
        <v>0</v>
      </c>
      <c r="M184" s="358" t="n">
        <v>0</v>
      </c>
      <c r="N184" s="358" t="n">
        <v>0</v>
      </c>
      <c r="O184" s="372" t="n">
        <v>0</v>
      </c>
      <c r="P184" s="373" t="n">
        <v>0</v>
      </c>
      <c r="Q184" s="358" t="n">
        <v>0</v>
      </c>
      <c r="R184" s="358" t="n">
        <v>0</v>
      </c>
      <c r="S184" s="372" t="n">
        <v>0</v>
      </c>
      <c r="T184" s="373" t="n">
        <v>0</v>
      </c>
      <c r="U184" s="358" t="n">
        <v>0</v>
      </c>
      <c r="V184" s="358" t="n">
        <v>0</v>
      </c>
      <c r="W184" s="372" t="n">
        <v>0</v>
      </c>
      <c r="X184" s="373" t="n">
        <v>0</v>
      </c>
      <c r="Y184" s="358" t="n">
        <v>0</v>
      </c>
      <c r="Z184" s="358" t="n">
        <v>0</v>
      </c>
      <c r="AA184" s="358" t="n">
        <v>0</v>
      </c>
      <c r="AB184" s="373" t="n">
        <v>0</v>
      </c>
      <c r="AC184" s="358" t="n">
        <v>0</v>
      </c>
      <c r="AD184" s="358" t="n">
        <v>0</v>
      </c>
      <c r="AE184" s="358" t="n">
        <v>0</v>
      </c>
      <c r="AF184" s="359" t="n">
        <v>1</v>
      </c>
    </row>
    <row r="185" customFormat="false" ht="15" hidden="false" customHeight="false" outlineLevel="0" collapsed="false">
      <c r="B185" s="356" t="s">
        <v>2462</v>
      </c>
      <c r="C185" s="357" t="n">
        <v>3</v>
      </c>
      <c r="D185" s="358" t="n">
        <v>0</v>
      </c>
      <c r="E185" s="358" t="n">
        <v>0</v>
      </c>
      <c r="F185" s="358" t="n">
        <v>0</v>
      </c>
      <c r="G185" s="372" t="n">
        <v>0</v>
      </c>
      <c r="H185" s="373" t="n">
        <v>0</v>
      </c>
      <c r="I185" s="358" t="n">
        <v>0</v>
      </c>
      <c r="J185" s="358" t="n">
        <v>0</v>
      </c>
      <c r="K185" s="372" t="n">
        <v>0</v>
      </c>
      <c r="L185" s="373" t="n">
        <v>0</v>
      </c>
      <c r="M185" s="358" t="n">
        <v>0</v>
      </c>
      <c r="N185" s="358" t="n">
        <v>0</v>
      </c>
      <c r="O185" s="372" t="n">
        <v>0</v>
      </c>
      <c r="P185" s="373" t="n">
        <v>0</v>
      </c>
      <c r="Q185" s="358" t="n">
        <v>0</v>
      </c>
      <c r="R185" s="358" t="n">
        <v>0</v>
      </c>
      <c r="S185" s="372" t="n">
        <v>0</v>
      </c>
      <c r="T185" s="373" t="n">
        <v>0</v>
      </c>
      <c r="U185" s="358" t="n">
        <v>0</v>
      </c>
      <c r="V185" s="358" t="n">
        <v>0</v>
      </c>
      <c r="W185" s="372" t="n">
        <v>0</v>
      </c>
      <c r="X185" s="373" t="n">
        <v>0</v>
      </c>
      <c r="Y185" s="358" t="n">
        <v>0</v>
      </c>
      <c r="Z185" s="358" t="n">
        <v>0</v>
      </c>
      <c r="AA185" s="358" t="n">
        <v>0</v>
      </c>
      <c r="AB185" s="373" t="n">
        <v>0</v>
      </c>
      <c r="AC185" s="358" t="n">
        <v>0</v>
      </c>
      <c r="AD185" s="358" t="n">
        <v>0</v>
      </c>
      <c r="AE185" s="358" t="n">
        <v>0</v>
      </c>
      <c r="AF185" s="357" t="n">
        <v>3</v>
      </c>
    </row>
    <row r="186" customFormat="false" ht="15" hidden="true" customHeight="false" outlineLevel="0" collapsed="false">
      <c r="B186" s="360" t="s">
        <v>2674</v>
      </c>
      <c r="C186" s="359" t="n">
        <v>1</v>
      </c>
      <c r="D186" s="358" t="n">
        <v>0</v>
      </c>
      <c r="E186" s="358" t="n">
        <v>0</v>
      </c>
      <c r="F186" s="358" t="n">
        <v>0</v>
      </c>
      <c r="G186" s="372" t="n">
        <v>0</v>
      </c>
      <c r="H186" s="373" t="n">
        <v>0</v>
      </c>
      <c r="I186" s="358" t="n">
        <v>0</v>
      </c>
      <c r="J186" s="358" t="n">
        <v>0</v>
      </c>
      <c r="K186" s="372" t="n">
        <v>0</v>
      </c>
      <c r="L186" s="373" t="n">
        <v>0</v>
      </c>
      <c r="M186" s="358" t="n">
        <v>0</v>
      </c>
      <c r="N186" s="358" t="n">
        <v>0</v>
      </c>
      <c r="O186" s="372" t="n">
        <v>0</v>
      </c>
      <c r="P186" s="373" t="n">
        <v>0</v>
      </c>
      <c r="Q186" s="358" t="n">
        <v>0</v>
      </c>
      <c r="R186" s="358" t="n">
        <v>0</v>
      </c>
      <c r="S186" s="372" t="n">
        <v>0</v>
      </c>
      <c r="T186" s="373" t="n">
        <v>0</v>
      </c>
      <c r="U186" s="358" t="n">
        <v>0</v>
      </c>
      <c r="V186" s="358" t="n">
        <v>0</v>
      </c>
      <c r="W186" s="372" t="n">
        <v>0</v>
      </c>
      <c r="X186" s="373" t="n">
        <v>0</v>
      </c>
      <c r="Y186" s="358" t="n">
        <v>0</v>
      </c>
      <c r="Z186" s="358" t="n">
        <v>0</v>
      </c>
      <c r="AA186" s="358" t="n">
        <v>0</v>
      </c>
      <c r="AB186" s="373" t="n">
        <v>0</v>
      </c>
      <c r="AC186" s="358" t="n">
        <v>0</v>
      </c>
      <c r="AD186" s="358" t="n">
        <v>0</v>
      </c>
      <c r="AE186" s="358" t="n">
        <v>0</v>
      </c>
      <c r="AF186" s="359" t="n">
        <v>1</v>
      </c>
    </row>
    <row r="187" customFormat="false" ht="15" hidden="true" customHeight="false" outlineLevel="0" collapsed="false">
      <c r="B187" s="360" t="s">
        <v>2675</v>
      </c>
      <c r="C187" s="359" t="n">
        <v>1</v>
      </c>
      <c r="D187" s="358" t="n">
        <v>0</v>
      </c>
      <c r="E187" s="358" t="n">
        <v>0</v>
      </c>
      <c r="F187" s="358" t="n">
        <v>0</v>
      </c>
      <c r="G187" s="372" t="n">
        <v>0</v>
      </c>
      <c r="H187" s="373" t="n">
        <v>0</v>
      </c>
      <c r="I187" s="358" t="n">
        <v>0</v>
      </c>
      <c r="J187" s="358" t="n">
        <v>0</v>
      </c>
      <c r="K187" s="372" t="n">
        <v>0</v>
      </c>
      <c r="L187" s="373" t="n">
        <v>0</v>
      </c>
      <c r="M187" s="358" t="n">
        <v>0</v>
      </c>
      <c r="N187" s="358" t="n">
        <v>0</v>
      </c>
      <c r="O187" s="372" t="n">
        <v>0</v>
      </c>
      <c r="P187" s="373" t="n">
        <v>0</v>
      </c>
      <c r="Q187" s="358" t="n">
        <v>0</v>
      </c>
      <c r="R187" s="358" t="n">
        <v>0</v>
      </c>
      <c r="S187" s="372" t="n">
        <v>0</v>
      </c>
      <c r="T187" s="373" t="n">
        <v>0</v>
      </c>
      <c r="U187" s="358" t="n">
        <v>0</v>
      </c>
      <c r="V187" s="358" t="n">
        <v>0</v>
      </c>
      <c r="W187" s="372" t="n">
        <v>0</v>
      </c>
      <c r="X187" s="373" t="n">
        <v>0</v>
      </c>
      <c r="Y187" s="358" t="n">
        <v>0</v>
      </c>
      <c r="Z187" s="358" t="n">
        <v>0</v>
      </c>
      <c r="AA187" s="358" t="n">
        <v>0</v>
      </c>
      <c r="AB187" s="373" t="n">
        <v>0</v>
      </c>
      <c r="AC187" s="358" t="n">
        <v>0</v>
      </c>
      <c r="AD187" s="358" t="n">
        <v>0</v>
      </c>
      <c r="AE187" s="358" t="n">
        <v>0</v>
      </c>
      <c r="AF187" s="359" t="n">
        <v>1</v>
      </c>
    </row>
    <row r="188" customFormat="false" ht="15" hidden="true" customHeight="false" outlineLevel="0" collapsed="false">
      <c r="B188" s="360" t="s">
        <v>2676</v>
      </c>
      <c r="C188" s="359" t="n">
        <v>1</v>
      </c>
      <c r="D188" s="358" t="n">
        <v>0</v>
      </c>
      <c r="E188" s="358" t="n">
        <v>0</v>
      </c>
      <c r="F188" s="358" t="n">
        <v>0</v>
      </c>
      <c r="G188" s="372" t="n">
        <v>0</v>
      </c>
      <c r="H188" s="373" t="n">
        <v>0</v>
      </c>
      <c r="I188" s="358" t="n">
        <v>0</v>
      </c>
      <c r="J188" s="358" t="n">
        <v>0</v>
      </c>
      <c r="K188" s="372" t="n">
        <v>0</v>
      </c>
      <c r="L188" s="373" t="n">
        <v>0</v>
      </c>
      <c r="M188" s="358" t="n">
        <v>0</v>
      </c>
      <c r="N188" s="358" t="n">
        <v>0</v>
      </c>
      <c r="O188" s="372" t="n">
        <v>0</v>
      </c>
      <c r="P188" s="373" t="n">
        <v>0</v>
      </c>
      <c r="Q188" s="358" t="n">
        <v>0</v>
      </c>
      <c r="R188" s="358" t="n">
        <v>0</v>
      </c>
      <c r="S188" s="372" t="n">
        <v>0</v>
      </c>
      <c r="T188" s="373" t="n">
        <v>0</v>
      </c>
      <c r="U188" s="358" t="n">
        <v>0</v>
      </c>
      <c r="V188" s="358" t="n">
        <v>0</v>
      </c>
      <c r="W188" s="372" t="n">
        <v>0</v>
      </c>
      <c r="X188" s="373" t="n">
        <v>0</v>
      </c>
      <c r="Y188" s="358" t="n">
        <v>0</v>
      </c>
      <c r="Z188" s="358" t="n">
        <v>0</v>
      </c>
      <c r="AA188" s="358" t="n">
        <v>0</v>
      </c>
      <c r="AB188" s="373" t="n">
        <v>0</v>
      </c>
      <c r="AC188" s="358" t="n">
        <v>0</v>
      </c>
      <c r="AD188" s="358" t="n">
        <v>0</v>
      </c>
      <c r="AE188" s="358" t="n">
        <v>0</v>
      </c>
      <c r="AF188" s="359" t="n">
        <v>1</v>
      </c>
    </row>
    <row r="189" customFormat="false" ht="15" hidden="false" customHeight="false" outlineLevel="0" collapsed="false">
      <c r="B189" s="356" t="s">
        <v>2463</v>
      </c>
      <c r="C189" s="357" t="n">
        <v>9</v>
      </c>
      <c r="D189" s="358" t="n">
        <v>0</v>
      </c>
      <c r="E189" s="358" t="n">
        <v>0</v>
      </c>
      <c r="F189" s="358" t="n">
        <v>0</v>
      </c>
      <c r="G189" s="372" t="n">
        <v>0</v>
      </c>
      <c r="H189" s="373" t="n">
        <v>0</v>
      </c>
      <c r="I189" s="358" t="n">
        <v>0</v>
      </c>
      <c r="J189" s="358" t="n">
        <v>0</v>
      </c>
      <c r="K189" s="372" t="n">
        <v>0</v>
      </c>
      <c r="L189" s="373" t="n">
        <v>0</v>
      </c>
      <c r="M189" s="358" t="n">
        <v>0</v>
      </c>
      <c r="N189" s="358" t="n">
        <v>0</v>
      </c>
      <c r="O189" s="372" t="n">
        <v>0</v>
      </c>
      <c r="P189" s="373" t="n">
        <v>0</v>
      </c>
      <c r="Q189" s="358" t="n">
        <v>0</v>
      </c>
      <c r="R189" s="358" t="n">
        <v>0</v>
      </c>
      <c r="S189" s="372" t="n">
        <v>0</v>
      </c>
      <c r="T189" s="373" t="n">
        <v>0</v>
      </c>
      <c r="U189" s="358" t="n">
        <v>0</v>
      </c>
      <c r="V189" s="358" t="n">
        <v>0</v>
      </c>
      <c r="W189" s="372" t="n">
        <v>0</v>
      </c>
      <c r="X189" s="373" t="n">
        <v>0</v>
      </c>
      <c r="Y189" s="358" t="n">
        <v>0</v>
      </c>
      <c r="Z189" s="358" t="n">
        <v>0</v>
      </c>
      <c r="AA189" s="358" t="n">
        <v>0</v>
      </c>
      <c r="AB189" s="373" t="n">
        <v>0</v>
      </c>
      <c r="AC189" s="358" t="n">
        <v>0</v>
      </c>
      <c r="AD189" s="358" t="n">
        <v>0</v>
      </c>
      <c r="AE189" s="358" t="n">
        <v>0</v>
      </c>
      <c r="AF189" s="357" t="n">
        <v>9</v>
      </c>
    </row>
    <row r="190" customFormat="false" ht="15" hidden="true" customHeight="false" outlineLevel="0" collapsed="false">
      <c r="B190" s="360" t="s">
        <v>2677</v>
      </c>
      <c r="C190" s="359" t="n">
        <v>1</v>
      </c>
      <c r="D190" s="358" t="n">
        <v>0</v>
      </c>
      <c r="E190" s="358" t="n">
        <v>0</v>
      </c>
      <c r="F190" s="358" t="n">
        <v>0</v>
      </c>
      <c r="G190" s="372" t="n">
        <v>0</v>
      </c>
      <c r="H190" s="373" t="n">
        <v>0</v>
      </c>
      <c r="I190" s="358" t="n">
        <v>0</v>
      </c>
      <c r="J190" s="358" t="n">
        <v>0</v>
      </c>
      <c r="K190" s="372" t="n">
        <v>0</v>
      </c>
      <c r="L190" s="373" t="n">
        <v>0</v>
      </c>
      <c r="M190" s="358" t="n">
        <v>0</v>
      </c>
      <c r="N190" s="358" t="n">
        <v>0</v>
      </c>
      <c r="O190" s="372" t="n">
        <v>0</v>
      </c>
      <c r="P190" s="373" t="n">
        <v>0</v>
      </c>
      <c r="Q190" s="358" t="n">
        <v>0</v>
      </c>
      <c r="R190" s="358" t="n">
        <v>0</v>
      </c>
      <c r="S190" s="372" t="n">
        <v>0</v>
      </c>
      <c r="T190" s="373" t="n">
        <v>0</v>
      </c>
      <c r="U190" s="358" t="n">
        <v>0</v>
      </c>
      <c r="V190" s="358" t="n">
        <v>0</v>
      </c>
      <c r="W190" s="372" t="n">
        <v>0</v>
      </c>
      <c r="X190" s="373" t="n">
        <v>0</v>
      </c>
      <c r="Y190" s="358" t="n">
        <v>0</v>
      </c>
      <c r="Z190" s="358" t="n">
        <v>0</v>
      </c>
      <c r="AA190" s="358" t="n">
        <v>0</v>
      </c>
      <c r="AB190" s="373" t="n">
        <v>0</v>
      </c>
      <c r="AC190" s="358" t="n">
        <v>0</v>
      </c>
      <c r="AD190" s="358" t="n">
        <v>0</v>
      </c>
      <c r="AE190" s="358" t="n">
        <v>0</v>
      </c>
      <c r="AF190" s="359" t="n">
        <v>1</v>
      </c>
    </row>
    <row r="191" customFormat="false" ht="15" hidden="true" customHeight="false" outlineLevel="0" collapsed="false">
      <c r="B191" s="360" t="s">
        <v>2678</v>
      </c>
      <c r="C191" s="359" t="n">
        <v>1</v>
      </c>
      <c r="D191" s="358" t="n">
        <v>0</v>
      </c>
      <c r="E191" s="358" t="n">
        <v>0</v>
      </c>
      <c r="F191" s="358" t="n">
        <v>0</v>
      </c>
      <c r="G191" s="372" t="n">
        <v>0</v>
      </c>
      <c r="H191" s="373" t="n">
        <v>0</v>
      </c>
      <c r="I191" s="358" t="n">
        <v>0</v>
      </c>
      <c r="J191" s="358" t="n">
        <v>0</v>
      </c>
      <c r="K191" s="372" t="n">
        <v>0</v>
      </c>
      <c r="L191" s="373" t="n">
        <v>0</v>
      </c>
      <c r="M191" s="358" t="n">
        <v>0</v>
      </c>
      <c r="N191" s="358" t="n">
        <v>0</v>
      </c>
      <c r="O191" s="372" t="n">
        <v>0</v>
      </c>
      <c r="P191" s="373" t="n">
        <v>0</v>
      </c>
      <c r="Q191" s="358" t="n">
        <v>0</v>
      </c>
      <c r="R191" s="358" t="n">
        <v>0</v>
      </c>
      <c r="S191" s="372" t="n">
        <v>0</v>
      </c>
      <c r="T191" s="373" t="n">
        <v>0</v>
      </c>
      <c r="U191" s="358" t="n">
        <v>0</v>
      </c>
      <c r="V191" s="358" t="n">
        <v>0</v>
      </c>
      <c r="W191" s="372" t="n">
        <v>0</v>
      </c>
      <c r="X191" s="373" t="n">
        <v>0</v>
      </c>
      <c r="Y191" s="358" t="n">
        <v>0</v>
      </c>
      <c r="Z191" s="358" t="n">
        <v>0</v>
      </c>
      <c r="AA191" s="358" t="n">
        <v>0</v>
      </c>
      <c r="AB191" s="373" t="n">
        <v>0</v>
      </c>
      <c r="AC191" s="358" t="n">
        <v>0</v>
      </c>
      <c r="AD191" s="358" t="n">
        <v>0</v>
      </c>
      <c r="AE191" s="358" t="n">
        <v>0</v>
      </c>
      <c r="AF191" s="359" t="n">
        <v>1</v>
      </c>
    </row>
    <row r="192" customFormat="false" ht="15" hidden="true" customHeight="false" outlineLevel="0" collapsed="false">
      <c r="B192" s="360" t="s">
        <v>2679</v>
      </c>
      <c r="C192" s="359" t="n">
        <v>1</v>
      </c>
      <c r="D192" s="358" t="n">
        <v>0</v>
      </c>
      <c r="E192" s="358" t="n">
        <v>0</v>
      </c>
      <c r="F192" s="358" t="n">
        <v>0</v>
      </c>
      <c r="G192" s="372" t="n">
        <v>0</v>
      </c>
      <c r="H192" s="373" t="n">
        <v>0</v>
      </c>
      <c r="I192" s="358" t="n">
        <v>0</v>
      </c>
      <c r="J192" s="358" t="n">
        <v>0</v>
      </c>
      <c r="K192" s="372" t="n">
        <v>0</v>
      </c>
      <c r="L192" s="373" t="n">
        <v>0</v>
      </c>
      <c r="M192" s="358" t="n">
        <v>0</v>
      </c>
      <c r="N192" s="358" t="n">
        <v>0</v>
      </c>
      <c r="O192" s="372" t="n">
        <v>0</v>
      </c>
      <c r="P192" s="373" t="n">
        <v>0</v>
      </c>
      <c r="Q192" s="358" t="n">
        <v>0</v>
      </c>
      <c r="R192" s="358" t="n">
        <v>0</v>
      </c>
      <c r="S192" s="372" t="n">
        <v>0</v>
      </c>
      <c r="T192" s="373" t="n">
        <v>0</v>
      </c>
      <c r="U192" s="358" t="n">
        <v>0</v>
      </c>
      <c r="V192" s="358" t="n">
        <v>0</v>
      </c>
      <c r="W192" s="372" t="n">
        <v>0</v>
      </c>
      <c r="X192" s="373" t="n">
        <v>0</v>
      </c>
      <c r="Y192" s="358" t="n">
        <v>0</v>
      </c>
      <c r="Z192" s="358" t="n">
        <v>0</v>
      </c>
      <c r="AA192" s="358" t="n">
        <v>0</v>
      </c>
      <c r="AB192" s="373" t="n">
        <v>0</v>
      </c>
      <c r="AC192" s="358" t="n">
        <v>0</v>
      </c>
      <c r="AD192" s="358" t="n">
        <v>0</v>
      </c>
      <c r="AE192" s="358" t="n">
        <v>0</v>
      </c>
      <c r="AF192" s="359" t="n">
        <v>1</v>
      </c>
    </row>
    <row r="193" customFormat="false" ht="15" hidden="true" customHeight="false" outlineLevel="0" collapsed="false">
      <c r="B193" s="360" t="s">
        <v>2680</v>
      </c>
      <c r="C193" s="359" t="n">
        <v>1</v>
      </c>
      <c r="D193" s="358" t="n">
        <v>0</v>
      </c>
      <c r="E193" s="358" t="n">
        <v>0</v>
      </c>
      <c r="F193" s="358" t="n">
        <v>0</v>
      </c>
      <c r="G193" s="372" t="n">
        <v>0</v>
      </c>
      <c r="H193" s="373" t="n">
        <v>0</v>
      </c>
      <c r="I193" s="358" t="n">
        <v>0</v>
      </c>
      <c r="J193" s="358" t="n">
        <v>0</v>
      </c>
      <c r="K193" s="372" t="n">
        <v>0</v>
      </c>
      <c r="L193" s="373" t="n">
        <v>0</v>
      </c>
      <c r="M193" s="358" t="n">
        <v>0</v>
      </c>
      <c r="N193" s="358" t="n">
        <v>0</v>
      </c>
      <c r="O193" s="372" t="n">
        <v>0</v>
      </c>
      <c r="P193" s="373" t="n">
        <v>0</v>
      </c>
      <c r="Q193" s="358" t="n">
        <v>0</v>
      </c>
      <c r="R193" s="358" t="n">
        <v>0</v>
      </c>
      <c r="S193" s="372" t="n">
        <v>0</v>
      </c>
      <c r="T193" s="373" t="n">
        <v>0</v>
      </c>
      <c r="U193" s="358" t="n">
        <v>0</v>
      </c>
      <c r="V193" s="358" t="n">
        <v>0</v>
      </c>
      <c r="W193" s="372" t="n">
        <v>0</v>
      </c>
      <c r="X193" s="373" t="n">
        <v>0</v>
      </c>
      <c r="Y193" s="358" t="n">
        <v>0</v>
      </c>
      <c r="Z193" s="358" t="n">
        <v>0</v>
      </c>
      <c r="AA193" s="358" t="n">
        <v>0</v>
      </c>
      <c r="AB193" s="373" t="n">
        <v>0</v>
      </c>
      <c r="AC193" s="358" t="n">
        <v>0</v>
      </c>
      <c r="AD193" s="358" t="n">
        <v>0</v>
      </c>
      <c r="AE193" s="358" t="n">
        <v>0</v>
      </c>
      <c r="AF193" s="359" t="n">
        <v>1</v>
      </c>
    </row>
    <row r="194" customFormat="false" ht="15" hidden="true" customHeight="false" outlineLevel="0" collapsed="false">
      <c r="B194" s="360" t="s">
        <v>2681</v>
      </c>
      <c r="C194" s="359" t="n">
        <v>1</v>
      </c>
      <c r="D194" s="358" t="n">
        <v>0</v>
      </c>
      <c r="E194" s="358" t="n">
        <v>0</v>
      </c>
      <c r="F194" s="358" t="n">
        <v>0</v>
      </c>
      <c r="G194" s="372" t="n">
        <v>0</v>
      </c>
      <c r="H194" s="373" t="n">
        <v>0</v>
      </c>
      <c r="I194" s="358" t="n">
        <v>0</v>
      </c>
      <c r="J194" s="358" t="n">
        <v>0</v>
      </c>
      <c r="K194" s="372" t="n">
        <v>0</v>
      </c>
      <c r="L194" s="373" t="n">
        <v>0</v>
      </c>
      <c r="M194" s="358" t="n">
        <v>0</v>
      </c>
      <c r="N194" s="358" t="n">
        <v>0</v>
      </c>
      <c r="O194" s="372" t="n">
        <v>0</v>
      </c>
      <c r="P194" s="373" t="n">
        <v>0</v>
      </c>
      <c r="Q194" s="358" t="n">
        <v>0</v>
      </c>
      <c r="R194" s="358" t="n">
        <v>0</v>
      </c>
      <c r="S194" s="372" t="n">
        <v>0</v>
      </c>
      <c r="T194" s="373" t="n">
        <v>0</v>
      </c>
      <c r="U194" s="358" t="n">
        <v>0</v>
      </c>
      <c r="V194" s="358" t="n">
        <v>0</v>
      </c>
      <c r="W194" s="372" t="n">
        <v>0</v>
      </c>
      <c r="X194" s="373" t="n">
        <v>0</v>
      </c>
      <c r="Y194" s="358" t="n">
        <v>0</v>
      </c>
      <c r="Z194" s="358" t="n">
        <v>0</v>
      </c>
      <c r="AA194" s="358" t="n">
        <v>0</v>
      </c>
      <c r="AB194" s="373" t="n">
        <v>0</v>
      </c>
      <c r="AC194" s="358" t="n">
        <v>0</v>
      </c>
      <c r="AD194" s="358" t="n">
        <v>0</v>
      </c>
      <c r="AE194" s="358" t="n">
        <v>0</v>
      </c>
      <c r="AF194" s="359" t="n">
        <v>1</v>
      </c>
    </row>
    <row r="195" customFormat="false" ht="15" hidden="true" customHeight="false" outlineLevel="0" collapsed="false">
      <c r="B195" s="360" t="s">
        <v>2682</v>
      </c>
      <c r="C195" s="359" t="n">
        <v>1</v>
      </c>
      <c r="D195" s="358" t="n">
        <v>0</v>
      </c>
      <c r="E195" s="358" t="n">
        <v>0</v>
      </c>
      <c r="F195" s="358" t="n">
        <v>0</v>
      </c>
      <c r="G195" s="372" t="n">
        <v>0</v>
      </c>
      <c r="H195" s="373" t="n">
        <v>0</v>
      </c>
      <c r="I195" s="358" t="n">
        <v>0</v>
      </c>
      <c r="J195" s="358" t="n">
        <v>0</v>
      </c>
      <c r="K195" s="372" t="n">
        <v>0</v>
      </c>
      <c r="L195" s="373" t="n">
        <v>0</v>
      </c>
      <c r="M195" s="358" t="n">
        <v>0</v>
      </c>
      <c r="N195" s="358" t="n">
        <v>0</v>
      </c>
      <c r="O195" s="372" t="n">
        <v>0</v>
      </c>
      <c r="P195" s="373" t="n">
        <v>0</v>
      </c>
      <c r="Q195" s="358" t="n">
        <v>0</v>
      </c>
      <c r="R195" s="358" t="n">
        <v>0</v>
      </c>
      <c r="S195" s="372" t="n">
        <v>0</v>
      </c>
      <c r="T195" s="373" t="n">
        <v>0</v>
      </c>
      <c r="U195" s="358" t="n">
        <v>0</v>
      </c>
      <c r="V195" s="358" t="n">
        <v>0</v>
      </c>
      <c r="W195" s="372" t="n">
        <v>0</v>
      </c>
      <c r="X195" s="373" t="n">
        <v>0</v>
      </c>
      <c r="Y195" s="358" t="n">
        <v>0</v>
      </c>
      <c r="Z195" s="358" t="n">
        <v>0</v>
      </c>
      <c r="AA195" s="358" t="n">
        <v>0</v>
      </c>
      <c r="AB195" s="373" t="n">
        <v>0</v>
      </c>
      <c r="AC195" s="358" t="n">
        <v>0</v>
      </c>
      <c r="AD195" s="358" t="n">
        <v>0</v>
      </c>
      <c r="AE195" s="358" t="n">
        <v>0</v>
      </c>
      <c r="AF195" s="359" t="n">
        <v>1</v>
      </c>
    </row>
    <row r="196" customFormat="false" ht="15" hidden="true" customHeight="false" outlineLevel="0" collapsed="false">
      <c r="B196" s="360" t="s">
        <v>2683</v>
      </c>
      <c r="C196" s="359" t="n">
        <v>1</v>
      </c>
      <c r="D196" s="358" t="n">
        <v>0</v>
      </c>
      <c r="E196" s="358" t="n">
        <v>0</v>
      </c>
      <c r="F196" s="358" t="n">
        <v>0</v>
      </c>
      <c r="G196" s="372" t="n">
        <v>0</v>
      </c>
      <c r="H196" s="373" t="n">
        <v>0</v>
      </c>
      <c r="I196" s="358" t="n">
        <v>0</v>
      </c>
      <c r="J196" s="358" t="n">
        <v>0</v>
      </c>
      <c r="K196" s="372" t="n">
        <v>0</v>
      </c>
      <c r="L196" s="373" t="n">
        <v>0</v>
      </c>
      <c r="M196" s="358" t="n">
        <v>0</v>
      </c>
      <c r="N196" s="358" t="n">
        <v>0</v>
      </c>
      <c r="O196" s="372" t="n">
        <v>0</v>
      </c>
      <c r="P196" s="373" t="n">
        <v>0</v>
      </c>
      <c r="Q196" s="358" t="n">
        <v>0</v>
      </c>
      <c r="R196" s="358" t="n">
        <v>0</v>
      </c>
      <c r="S196" s="372" t="n">
        <v>0</v>
      </c>
      <c r="T196" s="373" t="n">
        <v>0</v>
      </c>
      <c r="U196" s="358" t="n">
        <v>0</v>
      </c>
      <c r="V196" s="358" t="n">
        <v>0</v>
      </c>
      <c r="W196" s="372" t="n">
        <v>0</v>
      </c>
      <c r="X196" s="373" t="n">
        <v>0</v>
      </c>
      <c r="Y196" s="358" t="n">
        <v>0</v>
      </c>
      <c r="Z196" s="358" t="n">
        <v>0</v>
      </c>
      <c r="AA196" s="358" t="n">
        <v>0</v>
      </c>
      <c r="AB196" s="373" t="n">
        <v>0</v>
      </c>
      <c r="AC196" s="358" t="n">
        <v>0</v>
      </c>
      <c r="AD196" s="358" t="n">
        <v>0</v>
      </c>
      <c r="AE196" s="358" t="n">
        <v>0</v>
      </c>
      <c r="AF196" s="359" t="n">
        <v>1</v>
      </c>
    </row>
    <row r="197" customFormat="false" ht="15" hidden="true" customHeight="false" outlineLevel="0" collapsed="false">
      <c r="B197" s="360" t="s">
        <v>2684</v>
      </c>
      <c r="C197" s="359" t="n">
        <v>1</v>
      </c>
      <c r="D197" s="358" t="n">
        <v>0</v>
      </c>
      <c r="E197" s="358" t="n">
        <v>0</v>
      </c>
      <c r="F197" s="358" t="n">
        <v>0</v>
      </c>
      <c r="G197" s="372" t="n">
        <v>0</v>
      </c>
      <c r="H197" s="373" t="n">
        <v>0</v>
      </c>
      <c r="I197" s="358" t="n">
        <v>0</v>
      </c>
      <c r="J197" s="358" t="n">
        <v>0</v>
      </c>
      <c r="K197" s="372" t="n">
        <v>0</v>
      </c>
      <c r="L197" s="373" t="n">
        <v>0</v>
      </c>
      <c r="M197" s="358" t="n">
        <v>0</v>
      </c>
      <c r="N197" s="358" t="n">
        <v>0</v>
      </c>
      <c r="O197" s="372" t="n">
        <v>0</v>
      </c>
      <c r="P197" s="373" t="n">
        <v>0</v>
      </c>
      <c r="Q197" s="358" t="n">
        <v>0</v>
      </c>
      <c r="R197" s="358" t="n">
        <v>0</v>
      </c>
      <c r="S197" s="372" t="n">
        <v>0</v>
      </c>
      <c r="T197" s="373" t="n">
        <v>0</v>
      </c>
      <c r="U197" s="358" t="n">
        <v>0</v>
      </c>
      <c r="V197" s="358" t="n">
        <v>0</v>
      </c>
      <c r="W197" s="372" t="n">
        <v>0</v>
      </c>
      <c r="X197" s="373" t="n">
        <v>0</v>
      </c>
      <c r="Y197" s="358" t="n">
        <v>0</v>
      </c>
      <c r="Z197" s="358" t="n">
        <v>0</v>
      </c>
      <c r="AA197" s="358" t="n">
        <v>0</v>
      </c>
      <c r="AB197" s="373" t="n">
        <v>0</v>
      </c>
      <c r="AC197" s="358" t="n">
        <v>0</v>
      </c>
      <c r="AD197" s="358" t="n">
        <v>0</v>
      </c>
      <c r="AE197" s="358" t="n">
        <v>0</v>
      </c>
      <c r="AF197" s="359" t="n">
        <v>1</v>
      </c>
    </row>
    <row r="198" customFormat="false" ht="15" hidden="true" customHeight="false" outlineLevel="0" collapsed="false">
      <c r="B198" s="360" t="s">
        <v>2685</v>
      </c>
      <c r="C198" s="359" t="n">
        <v>1</v>
      </c>
      <c r="D198" s="358" t="n">
        <v>0</v>
      </c>
      <c r="E198" s="358" t="n">
        <v>0</v>
      </c>
      <c r="F198" s="358" t="n">
        <v>0</v>
      </c>
      <c r="G198" s="372" t="n">
        <v>0</v>
      </c>
      <c r="H198" s="373" t="n">
        <v>0</v>
      </c>
      <c r="I198" s="358" t="n">
        <v>0</v>
      </c>
      <c r="J198" s="358" t="n">
        <v>0</v>
      </c>
      <c r="K198" s="372" t="n">
        <v>0</v>
      </c>
      <c r="L198" s="373" t="n">
        <v>0</v>
      </c>
      <c r="M198" s="358" t="n">
        <v>0</v>
      </c>
      <c r="N198" s="358" t="n">
        <v>0</v>
      </c>
      <c r="O198" s="372" t="n">
        <v>0</v>
      </c>
      <c r="P198" s="373" t="n">
        <v>0</v>
      </c>
      <c r="Q198" s="358" t="n">
        <v>0</v>
      </c>
      <c r="R198" s="358" t="n">
        <v>0</v>
      </c>
      <c r="S198" s="372" t="n">
        <v>0</v>
      </c>
      <c r="T198" s="373" t="n">
        <v>0</v>
      </c>
      <c r="U198" s="358" t="n">
        <v>0</v>
      </c>
      <c r="V198" s="358" t="n">
        <v>0</v>
      </c>
      <c r="W198" s="372" t="n">
        <v>0</v>
      </c>
      <c r="X198" s="373" t="n">
        <v>0</v>
      </c>
      <c r="Y198" s="358" t="n">
        <v>0</v>
      </c>
      <c r="Z198" s="358" t="n">
        <v>0</v>
      </c>
      <c r="AA198" s="358" t="n">
        <v>0</v>
      </c>
      <c r="AB198" s="373" t="n">
        <v>0</v>
      </c>
      <c r="AC198" s="358" t="n">
        <v>0</v>
      </c>
      <c r="AD198" s="358" t="n">
        <v>0</v>
      </c>
      <c r="AE198" s="358" t="n">
        <v>0</v>
      </c>
      <c r="AF198" s="359" t="n">
        <v>1</v>
      </c>
    </row>
    <row r="199" customFormat="false" ht="15" hidden="false" customHeight="false" outlineLevel="0" collapsed="false">
      <c r="B199" s="356" t="s">
        <v>2464</v>
      </c>
      <c r="C199" s="357" t="n">
        <v>140</v>
      </c>
      <c r="D199" s="358" t="n">
        <v>0</v>
      </c>
      <c r="E199" s="358" t="n">
        <v>0</v>
      </c>
      <c r="F199" s="358" t="n">
        <v>0</v>
      </c>
      <c r="G199" s="372" t="n">
        <v>0</v>
      </c>
      <c r="H199" s="373" t="n">
        <v>0</v>
      </c>
      <c r="I199" s="358" t="n">
        <v>0</v>
      </c>
      <c r="J199" s="358" t="n">
        <v>0</v>
      </c>
      <c r="K199" s="372" t="n">
        <v>0</v>
      </c>
      <c r="L199" s="373" t="n">
        <v>0</v>
      </c>
      <c r="M199" s="358" t="n">
        <v>0</v>
      </c>
      <c r="N199" s="358" t="n">
        <v>0</v>
      </c>
      <c r="O199" s="372" t="n">
        <v>0</v>
      </c>
      <c r="P199" s="373" t="n">
        <v>0</v>
      </c>
      <c r="Q199" s="358" t="n">
        <v>0</v>
      </c>
      <c r="R199" s="358" t="n">
        <v>0</v>
      </c>
      <c r="S199" s="372" t="n">
        <v>0</v>
      </c>
      <c r="T199" s="373" t="n">
        <v>0</v>
      </c>
      <c r="U199" s="358" t="n">
        <v>0</v>
      </c>
      <c r="V199" s="358" t="n">
        <v>0</v>
      </c>
      <c r="W199" s="372" t="n">
        <v>0</v>
      </c>
      <c r="X199" s="373" t="n">
        <v>0</v>
      </c>
      <c r="Y199" s="358" t="n">
        <v>0</v>
      </c>
      <c r="Z199" s="358" t="n">
        <v>0</v>
      </c>
      <c r="AA199" s="358" t="n">
        <v>0</v>
      </c>
      <c r="AB199" s="373" t="n">
        <v>0</v>
      </c>
      <c r="AC199" s="358" t="n">
        <v>0</v>
      </c>
      <c r="AD199" s="358" t="n">
        <v>0</v>
      </c>
      <c r="AE199" s="358" t="n">
        <v>0</v>
      </c>
      <c r="AF199" s="357" t="n">
        <v>140</v>
      </c>
    </row>
    <row r="200" customFormat="false" ht="15" hidden="true" customHeight="false" outlineLevel="0" collapsed="false">
      <c r="B200" s="360" t="s">
        <v>2686</v>
      </c>
      <c r="C200" s="359" t="n">
        <v>1</v>
      </c>
      <c r="D200" s="358" t="n">
        <v>0</v>
      </c>
      <c r="E200" s="358" t="n">
        <v>0</v>
      </c>
      <c r="F200" s="358" t="n">
        <v>0</v>
      </c>
      <c r="G200" s="372" t="n">
        <v>0</v>
      </c>
      <c r="H200" s="373" t="n">
        <v>0</v>
      </c>
      <c r="I200" s="358" t="n">
        <v>0</v>
      </c>
      <c r="J200" s="358" t="n">
        <v>0</v>
      </c>
      <c r="K200" s="372" t="n">
        <v>0</v>
      </c>
      <c r="L200" s="373" t="n">
        <v>0</v>
      </c>
      <c r="M200" s="358" t="n">
        <v>0</v>
      </c>
      <c r="N200" s="358" t="n">
        <v>0</v>
      </c>
      <c r="O200" s="372" t="n">
        <v>0</v>
      </c>
      <c r="P200" s="373" t="n">
        <v>0</v>
      </c>
      <c r="Q200" s="358" t="n">
        <v>0</v>
      </c>
      <c r="R200" s="358" t="n">
        <v>0</v>
      </c>
      <c r="S200" s="372" t="n">
        <v>0</v>
      </c>
      <c r="T200" s="373" t="n">
        <v>0</v>
      </c>
      <c r="U200" s="358" t="n">
        <v>0</v>
      </c>
      <c r="V200" s="358" t="n">
        <v>0</v>
      </c>
      <c r="W200" s="372" t="n">
        <v>0</v>
      </c>
      <c r="X200" s="373" t="n">
        <v>0</v>
      </c>
      <c r="Y200" s="358" t="n">
        <v>0</v>
      </c>
      <c r="Z200" s="358" t="n">
        <v>0</v>
      </c>
      <c r="AA200" s="358" t="n">
        <v>0</v>
      </c>
      <c r="AB200" s="373" t="n">
        <v>0</v>
      </c>
      <c r="AC200" s="358" t="n">
        <v>0</v>
      </c>
      <c r="AD200" s="358" t="n">
        <v>0</v>
      </c>
      <c r="AE200" s="358" t="n">
        <v>0</v>
      </c>
      <c r="AF200" s="359" t="n">
        <v>1</v>
      </c>
    </row>
    <row r="201" customFormat="false" ht="15" hidden="true" customHeight="false" outlineLevel="0" collapsed="false">
      <c r="B201" s="360" t="s">
        <v>2687</v>
      </c>
      <c r="C201" s="359" t="n">
        <v>1</v>
      </c>
      <c r="D201" s="358" t="n">
        <v>0</v>
      </c>
      <c r="E201" s="358" t="n">
        <v>0</v>
      </c>
      <c r="F201" s="358" t="n">
        <v>0</v>
      </c>
      <c r="G201" s="372" t="n">
        <v>0</v>
      </c>
      <c r="H201" s="373" t="n">
        <v>0</v>
      </c>
      <c r="I201" s="358" t="n">
        <v>0</v>
      </c>
      <c r="J201" s="358" t="n">
        <v>0</v>
      </c>
      <c r="K201" s="372" t="n">
        <v>0</v>
      </c>
      <c r="L201" s="373" t="n">
        <v>0</v>
      </c>
      <c r="M201" s="358" t="n">
        <v>0</v>
      </c>
      <c r="N201" s="358" t="n">
        <v>0</v>
      </c>
      <c r="O201" s="372" t="n">
        <v>0</v>
      </c>
      <c r="P201" s="373" t="n">
        <v>0</v>
      </c>
      <c r="Q201" s="358" t="n">
        <v>0</v>
      </c>
      <c r="R201" s="358" t="n">
        <v>0</v>
      </c>
      <c r="S201" s="372" t="n">
        <v>0</v>
      </c>
      <c r="T201" s="373" t="n">
        <v>0</v>
      </c>
      <c r="U201" s="358" t="n">
        <v>0</v>
      </c>
      <c r="V201" s="358" t="n">
        <v>0</v>
      </c>
      <c r="W201" s="372" t="n">
        <v>0</v>
      </c>
      <c r="X201" s="373" t="n">
        <v>0</v>
      </c>
      <c r="Y201" s="358" t="n">
        <v>0</v>
      </c>
      <c r="Z201" s="358" t="n">
        <v>0</v>
      </c>
      <c r="AA201" s="358" t="n">
        <v>0</v>
      </c>
      <c r="AB201" s="373" t="n">
        <v>0</v>
      </c>
      <c r="AC201" s="358" t="n">
        <v>0</v>
      </c>
      <c r="AD201" s="358" t="n">
        <v>0</v>
      </c>
      <c r="AE201" s="358" t="n">
        <v>0</v>
      </c>
      <c r="AF201" s="359" t="n">
        <v>1</v>
      </c>
    </row>
    <row r="202" customFormat="false" ht="15" hidden="true" customHeight="false" outlineLevel="0" collapsed="false">
      <c r="B202" s="360" t="s">
        <v>2688</v>
      </c>
      <c r="C202" s="359" t="n">
        <v>1</v>
      </c>
      <c r="D202" s="358" t="n">
        <v>0</v>
      </c>
      <c r="E202" s="358" t="n">
        <v>0</v>
      </c>
      <c r="F202" s="358" t="n">
        <v>0</v>
      </c>
      <c r="G202" s="372" t="n">
        <v>0</v>
      </c>
      <c r="H202" s="373" t="n">
        <v>0</v>
      </c>
      <c r="I202" s="358" t="n">
        <v>0</v>
      </c>
      <c r="J202" s="358" t="n">
        <v>0</v>
      </c>
      <c r="K202" s="372" t="n">
        <v>0</v>
      </c>
      <c r="L202" s="373" t="n">
        <v>0</v>
      </c>
      <c r="M202" s="358" t="n">
        <v>0</v>
      </c>
      <c r="N202" s="358" t="n">
        <v>0</v>
      </c>
      <c r="O202" s="372" t="n">
        <v>0</v>
      </c>
      <c r="P202" s="373" t="n">
        <v>0</v>
      </c>
      <c r="Q202" s="358" t="n">
        <v>0</v>
      </c>
      <c r="R202" s="358" t="n">
        <v>0</v>
      </c>
      <c r="S202" s="372" t="n">
        <v>0</v>
      </c>
      <c r="T202" s="373" t="n">
        <v>0</v>
      </c>
      <c r="U202" s="358" t="n">
        <v>0</v>
      </c>
      <c r="V202" s="358" t="n">
        <v>0</v>
      </c>
      <c r="W202" s="372" t="n">
        <v>0</v>
      </c>
      <c r="X202" s="373" t="n">
        <v>0</v>
      </c>
      <c r="Y202" s="358" t="n">
        <v>0</v>
      </c>
      <c r="Z202" s="358" t="n">
        <v>0</v>
      </c>
      <c r="AA202" s="358" t="n">
        <v>0</v>
      </c>
      <c r="AB202" s="373" t="n">
        <v>0</v>
      </c>
      <c r="AC202" s="358" t="n">
        <v>0</v>
      </c>
      <c r="AD202" s="358" t="n">
        <v>0</v>
      </c>
      <c r="AE202" s="358" t="n">
        <v>0</v>
      </c>
      <c r="AF202" s="359" t="n">
        <v>1</v>
      </c>
    </row>
    <row r="203" customFormat="false" ht="15" hidden="true" customHeight="false" outlineLevel="0" collapsed="false">
      <c r="B203" s="360" t="s">
        <v>2689</v>
      </c>
      <c r="C203" s="359" t="n">
        <v>1</v>
      </c>
      <c r="D203" s="358" t="n">
        <v>0</v>
      </c>
      <c r="E203" s="358" t="n">
        <v>0</v>
      </c>
      <c r="F203" s="358" t="n">
        <v>0</v>
      </c>
      <c r="G203" s="372" t="n">
        <v>0</v>
      </c>
      <c r="H203" s="373" t="n">
        <v>0</v>
      </c>
      <c r="I203" s="358" t="n">
        <v>0</v>
      </c>
      <c r="J203" s="358" t="n">
        <v>0</v>
      </c>
      <c r="K203" s="372" t="n">
        <v>0</v>
      </c>
      <c r="L203" s="373" t="n">
        <v>0</v>
      </c>
      <c r="M203" s="358" t="n">
        <v>0</v>
      </c>
      <c r="N203" s="358" t="n">
        <v>0</v>
      </c>
      <c r="O203" s="372" t="n">
        <v>0</v>
      </c>
      <c r="P203" s="373" t="n">
        <v>0</v>
      </c>
      <c r="Q203" s="358" t="n">
        <v>0</v>
      </c>
      <c r="R203" s="358" t="n">
        <v>0</v>
      </c>
      <c r="S203" s="372" t="n">
        <v>0</v>
      </c>
      <c r="T203" s="373" t="n">
        <v>0</v>
      </c>
      <c r="U203" s="358" t="n">
        <v>0</v>
      </c>
      <c r="V203" s="358" t="n">
        <v>0</v>
      </c>
      <c r="W203" s="372" t="n">
        <v>0</v>
      </c>
      <c r="X203" s="373" t="n">
        <v>0</v>
      </c>
      <c r="Y203" s="358" t="n">
        <v>0</v>
      </c>
      <c r="Z203" s="358" t="n">
        <v>0</v>
      </c>
      <c r="AA203" s="358" t="n">
        <v>0</v>
      </c>
      <c r="AB203" s="373" t="n">
        <v>0</v>
      </c>
      <c r="AC203" s="358" t="n">
        <v>0</v>
      </c>
      <c r="AD203" s="358" t="n">
        <v>0</v>
      </c>
      <c r="AE203" s="358" t="n">
        <v>0</v>
      </c>
      <c r="AF203" s="359" t="n">
        <v>1</v>
      </c>
    </row>
    <row r="204" customFormat="false" ht="15" hidden="true" customHeight="false" outlineLevel="0" collapsed="false">
      <c r="B204" s="360" t="s">
        <v>2690</v>
      </c>
      <c r="C204" s="359" t="n">
        <v>1</v>
      </c>
      <c r="D204" s="358" t="n">
        <v>0</v>
      </c>
      <c r="E204" s="358" t="n">
        <v>0</v>
      </c>
      <c r="F204" s="358" t="n">
        <v>0</v>
      </c>
      <c r="G204" s="372" t="n">
        <v>0</v>
      </c>
      <c r="H204" s="373" t="n">
        <v>0</v>
      </c>
      <c r="I204" s="358" t="n">
        <v>0</v>
      </c>
      <c r="J204" s="358" t="n">
        <v>0</v>
      </c>
      <c r="K204" s="372" t="n">
        <v>0</v>
      </c>
      <c r="L204" s="373" t="n">
        <v>0</v>
      </c>
      <c r="M204" s="358" t="n">
        <v>0</v>
      </c>
      <c r="N204" s="358" t="n">
        <v>0</v>
      </c>
      <c r="O204" s="372" t="n">
        <v>0</v>
      </c>
      <c r="P204" s="373" t="n">
        <v>0</v>
      </c>
      <c r="Q204" s="358" t="n">
        <v>0</v>
      </c>
      <c r="R204" s="358" t="n">
        <v>0</v>
      </c>
      <c r="S204" s="372" t="n">
        <v>0</v>
      </c>
      <c r="T204" s="373" t="n">
        <v>0</v>
      </c>
      <c r="U204" s="358" t="n">
        <v>0</v>
      </c>
      <c r="V204" s="358" t="n">
        <v>0</v>
      </c>
      <c r="W204" s="372" t="n">
        <v>0</v>
      </c>
      <c r="X204" s="373" t="n">
        <v>0</v>
      </c>
      <c r="Y204" s="358" t="n">
        <v>0</v>
      </c>
      <c r="Z204" s="358" t="n">
        <v>0</v>
      </c>
      <c r="AA204" s="358" t="n">
        <v>0</v>
      </c>
      <c r="AB204" s="373" t="n">
        <v>0</v>
      </c>
      <c r="AC204" s="358" t="n">
        <v>0</v>
      </c>
      <c r="AD204" s="358" t="n">
        <v>0</v>
      </c>
      <c r="AE204" s="358" t="n">
        <v>0</v>
      </c>
      <c r="AF204" s="359" t="n">
        <v>1</v>
      </c>
    </row>
    <row r="205" customFormat="false" ht="15" hidden="true" customHeight="false" outlineLevel="0" collapsed="false">
      <c r="B205" s="360" t="s">
        <v>2691</v>
      </c>
      <c r="C205" s="359" t="n">
        <v>1</v>
      </c>
      <c r="D205" s="358" t="n">
        <v>0</v>
      </c>
      <c r="E205" s="358" t="n">
        <v>0</v>
      </c>
      <c r="F205" s="358" t="n">
        <v>0</v>
      </c>
      <c r="G205" s="372" t="n">
        <v>0</v>
      </c>
      <c r="H205" s="373" t="n">
        <v>0</v>
      </c>
      <c r="I205" s="358" t="n">
        <v>0</v>
      </c>
      <c r="J205" s="358" t="n">
        <v>0</v>
      </c>
      <c r="K205" s="372" t="n">
        <v>0</v>
      </c>
      <c r="L205" s="373" t="n">
        <v>0</v>
      </c>
      <c r="M205" s="358" t="n">
        <v>0</v>
      </c>
      <c r="N205" s="358" t="n">
        <v>0</v>
      </c>
      <c r="O205" s="372" t="n">
        <v>0</v>
      </c>
      <c r="P205" s="373" t="n">
        <v>0</v>
      </c>
      <c r="Q205" s="358" t="n">
        <v>0</v>
      </c>
      <c r="R205" s="358" t="n">
        <v>0</v>
      </c>
      <c r="S205" s="372" t="n">
        <v>0</v>
      </c>
      <c r="T205" s="373" t="n">
        <v>0</v>
      </c>
      <c r="U205" s="358" t="n">
        <v>0</v>
      </c>
      <c r="V205" s="358" t="n">
        <v>0</v>
      </c>
      <c r="W205" s="372" t="n">
        <v>0</v>
      </c>
      <c r="X205" s="373" t="n">
        <v>0</v>
      </c>
      <c r="Y205" s="358" t="n">
        <v>0</v>
      </c>
      <c r="Z205" s="358" t="n">
        <v>0</v>
      </c>
      <c r="AA205" s="358" t="n">
        <v>0</v>
      </c>
      <c r="AB205" s="373" t="n">
        <v>0</v>
      </c>
      <c r="AC205" s="358" t="n">
        <v>0</v>
      </c>
      <c r="AD205" s="358" t="n">
        <v>0</v>
      </c>
      <c r="AE205" s="358" t="n">
        <v>0</v>
      </c>
      <c r="AF205" s="359" t="n">
        <v>1</v>
      </c>
    </row>
    <row r="206" customFormat="false" ht="15" hidden="true" customHeight="false" outlineLevel="0" collapsed="false">
      <c r="B206" s="360" t="s">
        <v>2692</v>
      </c>
      <c r="C206" s="359" t="n">
        <v>1</v>
      </c>
      <c r="D206" s="358" t="n">
        <v>0</v>
      </c>
      <c r="E206" s="358" t="n">
        <v>0</v>
      </c>
      <c r="F206" s="358" t="n">
        <v>0</v>
      </c>
      <c r="G206" s="372" t="n">
        <v>0</v>
      </c>
      <c r="H206" s="373" t="n">
        <v>0</v>
      </c>
      <c r="I206" s="358" t="n">
        <v>0</v>
      </c>
      <c r="J206" s="358" t="n">
        <v>0</v>
      </c>
      <c r="K206" s="372" t="n">
        <v>0</v>
      </c>
      <c r="L206" s="373" t="n">
        <v>0</v>
      </c>
      <c r="M206" s="358" t="n">
        <v>0</v>
      </c>
      <c r="N206" s="358" t="n">
        <v>0</v>
      </c>
      <c r="O206" s="372" t="n">
        <v>0</v>
      </c>
      <c r="P206" s="373" t="n">
        <v>0</v>
      </c>
      <c r="Q206" s="358" t="n">
        <v>0</v>
      </c>
      <c r="R206" s="358" t="n">
        <v>0</v>
      </c>
      <c r="S206" s="372" t="n">
        <v>0</v>
      </c>
      <c r="T206" s="373" t="n">
        <v>0</v>
      </c>
      <c r="U206" s="358" t="n">
        <v>0</v>
      </c>
      <c r="V206" s="358" t="n">
        <v>0</v>
      </c>
      <c r="W206" s="372" t="n">
        <v>0</v>
      </c>
      <c r="X206" s="373" t="n">
        <v>0</v>
      </c>
      <c r="Y206" s="358" t="n">
        <v>0</v>
      </c>
      <c r="Z206" s="358" t="n">
        <v>0</v>
      </c>
      <c r="AA206" s="358" t="n">
        <v>0</v>
      </c>
      <c r="AB206" s="373" t="n">
        <v>0</v>
      </c>
      <c r="AC206" s="358" t="n">
        <v>0</v>
      </c>
      <c r="AD206" s="358" t="n">
        <v>0</v>
      </c>
      <c r="AE206" s="358" t="n">
        <v>0</v>
      </c>
      <c r="AF206" s="359" t="n">
        <v>1</v>
      </c>
    </row>
    <row r="207" customFormat="false" ht="15" hidden="true" customHeight="false" outlineLevel="0" collapsed="false">
      <c r="B207" s="360" t="s">
        <v>2693</v>
      </c>
      <c r="C207" s="359" t="n">
        <v>1</v>
      </c>
      <c r="D207" s="358" t="n">
        <v>0</v>
      </c>
      <c r="E207" s="358" t="n">
        <v>0</v>
      </c>
      <c r="F207" s="358" t="n">
        <v>0</v>
      </c>
      <c r="G207" s="372" t="n">
        <v>0</v>
      </c>
      <c r="H207" s="373" t="n">
        <v>0</v>
      </c>
      <c r="I207" s="358" t="n">
        <v>0</v>
      </c>
      <c r="J207" s="358" t="n">
        <v>0</v>
      </c>
      <c r="K207" s="372" t="n">
        <v>0</v>
      </c>
      <c r="L207" s="373" t="n">
        <v>0</v>
      </c>
      <c r="M207" s="358" t="n">
        <v>0</v>
      </c>
      <c r="N207" s="358" t="n">
        <v>0</v>
      </c>
      <c r="O207" s="372" t="n">
        <v>0</v>
      </c>
      <c r="P207" s="373" t="n">
        <v>0</v>
      </c>
      <c r="Q207" s="358" t="n">
        <v>0</v>
      </c>
      <c r="R207" s="358" t="n">
        <v>0</v>
      </c>
      <c r="S207" s="372" t="n">
        <v>0</v>
      </c>
      <c r="T207" s="373" t="n">
        <v>0</v>
      </c>
      <c r="U207" s="358" t="n">
        <v>0</v>
      </c>
      <c r="V207" s="358" t="n">
        <v>0</v>
      </c>
      <c r="W207" s="372" t="n">
        <v>0</v>
      </c>
      <c r="X207" s="373" t="n">
        <v>0</v>
      </c>
      <c r="Y207" s="358" t="n">
        <v>0</v>
      </c>
      <c r="Z207" s="358" t="n">
        <v>0</v>
      </c>
      <c r="AA207" s="358" t="n">
        <v>0</v>
      </c>
      <c r="AB207" s="373" t="n">
        <v>0</v>
      </c>
      <c r="AC207" s="358" t="n">
        <v>0</v>
      </c>
      <c r="AD207" s="358" t="n">
        <v>0</v>
      </c>
      <c r="AE207" s="358" t="n">
        <v>0</v>
      </c>
      <c r="AF207" s="359" t="n">
        <v>1</v>
      </c>
    </row>
    <row r="208" customFormat="false" ht="15" hidden="true" customHeight="false" outlineLevel="0" collapsed="false">
      <c r="B208" s="360" t="s">
        <v>2694</v>
      </c>
      <c r="C208" s="359" t="n">
        <v>1</v>
      </c>
      <c r="D208" s="358" t="n">
        <v>0</v>
      </c>
      <c r="E208" s="358" t="n">
        <v>0</v>
      </c>
      <c r="F208" s="358" t="n">
        <v>0</v>
      </c>
      <c r="G208" s="372" t="n">
        <v>0</v>
      </c>
      <c r="H208" s="373" t="n">
        <v>0</v>
      </c>
      <c r="I208" s="358" t="n">
        <v>0</v>
      </c>
      <c r="J208" s="358" t="n">
        <v>0</v>
      </c>
      <c r="K208" s="372" t="n">
        <v>0</v>
      </c>
      <c r="L208" s="373" t="n">
        <v>0</v>
      </c>
      <c r="M208" s="358" t="n">
        <v>0</v>
      </c>
      <c r="N208" s="358" t="n">
        <v>0</v>
      </c>
      <c r="O208" s="372" t="n">
        <v>0</v>
      </c>
      <c r="P208" s="373" t="n">
        <v>0</v>
      </c>
      <c r="Q208" s="358" t="n">
        <v>0</v>
      </c>
      <c r="R208" s="358" t="n">
        <v>0</v>
      </c>
      <c r="S208" s="372" t="n">
        <v>0</v>
      </c>
      <c r="T208" s="373" t="n">
        <v>0</v>
      </c>
      <c r="U208" s="358" t="n">
        <v>0</v>
      </c>
      <c r="V208" s="358" t="n">
        <v>0</v>
      </c>
      <c r="W208" s="372" t="n">
        <v>0</v>
      </c>
      <c r="X208" s="373" t="n">
        <v>0</v>
      </c>
      <c r="Y208" s="358" t="n">
        <v>0</v>
      </c>
      <c r="Z208" s="358" t="n">
        <v>0</v>
      </c>
      <c r="AA208" s="358" t="n">
        <v>0</v>
      </c>
      <c r="AB208" s="373" t="n">
        <v>0</v>
      </c>
      <c r="AC208" s="358" t="n">
        <v>0</v>
      </c>
      <c r="AD208" s="358" t="n">
        <v>0</v>
      </c>
      <c r="AE208" s="358" t="n">
        <v>0</v>
      </c>
      <c r="AF208" s="359" t="n">
        <v>1</v>
      </c>
    </row>
    <row r="209" customFormat="false" ht="15" hidden="true" customHeight="false" outlineLevel="0" collapsed="false">
      <c r="B209" s="360" t="s">
        <v>2695</v>
      </c>
      <c r="C209" s="359" t="n">
        <v>1</v>
      </c>
      <c r="D209" s="358" t="n">
        <v>0</v>
      </c>
      <c r="E209" s="358" t="n">
        <v>0</v>
      </c>
      <c r="F209" s="358" t="n">
        <v>0</v>
      </c>
      <c r="G209" s="372" t="n">
        <v>0</v>
      </c>
      <c r="H209" s="373" t="n">
        <v>0</v>
      </c>
      <c r="I209" s="358" t="n">
        <v>0</v>
      </c>
      <c r="J209" s="358" t="n">
        <v>0</v>
      </c>
      <c r="K209" s="372" t="n">
        <v>0</v>
      </c>
      <c r="L209" s="373" t="n">
        <v>0</v>
      </c>
      <c r="M209" s="358" t="n">
        <v>0</v>
      </c>
      <c r="N209" s="358" t="n">
        <v>0</v>
      </c>
      <c r="O209" s="372" t="n">
        <v>0</v>
      </c>
      <c r="P209" s="373" t="n">
        <v>0</v>
      </c>
      <c r="Q209" s="358" t="n">
        <v>0</v>
      </c>
      <c r="R209" s="358" t="n">
        <v>0</v>
      </c>
      <c r="S209" s="372" t="n">
        <v>0</v>
      </c>
      <c r="T209" s="373" t="n">
        <v>0</v>
      </c>
      <c r="U209" s="358" t="n">
        <v>0</v>
      </c>
      <c r="V209" s="358" t="n">
        <v>0</v>
      </c>
      <c r="W209" s="372" t="n">
        <v>0</v>
      </c>
      <c r="X209" s="373" t="n">
        <v>0</v>
      </c>
      <c r="Y209" s="358" t="n">
        <v>0</v>
      </c>
      <c r="Z209" s="358" t="n">
        <v>0</v>
      </c>
      <c r="AA209" s="358" t="n">
        <v>0</v>
      </c>
      <c r="AB209" s="373" t="n">
        <v>0</v>
      </c>
      <c r="AC209" s="358" t="n">
        <v>0</v>
      </c>
      <c r="AD209" s="358" t="n">
        <v>0</v>
      </c>
      <c r="AE209" s="358" t="n">
        <v>0</v>
      </c>
      <c r="AF209" s="359" t="n">
        <v>1</v>
      </c>
    </row>
    <row r="210" customFormat="false" ht="15" hidden="true" customHeight="false" outlineLevel="0" collapsed="false">
      <c r="B210" s="360" t="s">
        <v>2696</v>
      </c>
      <c r="C210" s="359" t="n">
        <v>1</v>
      </c>
      <c r="D210" s="358" t="n">
        <v>0</v>
      </c>
      <c r="E210" s="358" t="n">
        <v>0</v>
      </c>
      <c r="F210" s="358" t="n">
        <v>0</v>
      </c>
      <c r="G210" s="372" t="n">
        <v>0</v>
      </c>
      <c r="H210" s="373" t="n">
        <v>0</v>
      </c>
      <c r="I210" s="358" t="n">
        <v>0</v>
      </c>
      <c r="J210" s="358" t="n">
        <v>0</v>
      </c>
      <c r="K210" s="372" t="n">
        <v>0</v>
      </c>
      <c r="L210" s="373" t="n">
        <v>0</v>
      </c>
      <c r="M210" s="358" t="n">
        <v>0</v>
      </c>
      <c r="N210" s="358" t="n">
        <v>0</v>
      </c>
      <c r="O210" s="372" t="n">
        <v>0</v>
      </c>
      <c r="P210" s="373" t="n">
        <v>0</v>
      </c>
      <c r="Q210" s="358" t="n">
        <v>0</v>
      </c>
      <c r="R210" s="358" t="n">
        <v>0</v>
      </c>
      <c r="S210" s="372" t="n">
        <v>0</v>
      </c>
      <c r="T210" s="373" t="n">
        <v>0</v>
      </c>
      <c r="U210" s="358" t="n">
        <v>0</v>
      </c>
      <c r="V210" s="358" t="n">
        <v>0</v>
      </c>
      <c r="W210" s="372" t="n">
        <v>0</v>
      </c>
      <c r="X210" s="373" t="n">
        <v>0</v>
      </c>
      <c r="Y210" s="358" t="n">
        <v>0</v>
      </c>
      <c r="Z210" s="358" t="n">
        <v>0</v>
      </c>
      <c r="AA210" s="358" t="n">
        <v>0</v>
      </c>
      <c r="AB210" s="373" t="n">
        <v>0</v>
      </c>
      <c r="AC210" s="358" t="n">
        <v>0</v>
      </c>
      <c r="AD210" s="358" t="n">
        <v>0</v>
      </c>
      <c r="AE210" s="358" t="n">
        <v>0</v>
      </c>
      <c r="AF210" s="359" t="n">
        <v>1</v>
      </c>
    </row>
    <row r="211" customFormat="false" ht="15" hidden="true" customHeight="false" outlineLevel="0" collapsed="false">
      <c r="B211" s="360" t="s">
        <v>2697</v>
      </c>
      <c r="C211" s="359" t="n">
        <v>1</v>
      </c>
      <c r="D211" s="358" t="n">
        <v>0</v>
      </c>
      <c r="E211" s="358" t="n">
        <v>0</v>
      </c>
      <c r="F211" s="358" t="n">
        <v>0</v>
      </c>
      <c r="G211" s="372" t="n">
        <v>0</v>
      </c>
      <c r="H211" s="373" t="n">
        <v>0</v>
      </c>
      <c r="I211" s="358" t="n">
        <v>0</v>
      </c>
      <c r="J211" s="358" t="n">
        <v>0</v>
      </c>
      <c r="K211" s="372" t="n">
        <v>0</v>
      </c>
      <c r="L211" s="373" t="n">
        <v>0</v>
      </c>
      <c r="M211" s="358" t="n">
        <v>0</v>
      </c>
      <c r="N211" s="358" t="n">
        <v>0</v>
      </c>
      <c r="O211" s="372" t="n">
        <v>0</v>
      </c>
      <c r="P211" s="373" t="n">
        <v>0</v>
      </c>
      <c r="Q211" s="358" t="n">
        <v>0</v>
      </c>
      <c r="R211" s="358" t="n">
        <v>0</v>
      </c>
      <c r="S211" s="372" t="n">
        <v>0</v>
      </c>
      <c r="T211" s="373" t="n">
        <v>0</v>
      </c>
      <c r="U211" s="358" t="n">
        <v>0</v>
      </c>
      <c r="V211" s="358" t="n">
        <v>0</v>
      </c>
      <c r="W211" s="372" t="n">
        <v>0</v>
      </c>
      <c r="X211" s="373" t="n">
        <v>0</v>
      </c>
      <c r="Y211" s="358" t="n">
        <v>0</v>
      </c>
      <c r="Z211" s="358" t="n">
        <v>0</v>
      </c>
      <c r="AA211" s="358" t="n">
        <v>0</v>
      </c>
      <c r="AB211" s="373" t="n">
        <v>0</v>
      </c>
      <c r="AC211" s="358" t="n">
        <v>0</v>
      </c>
      <c r="AD211" s="358" t="n">
        <v>0</v>
      </c>
      <c r="AE211" s="358" t="n">
        <v>0</v>
      </c>
      <c r="AF211" s="359" t="n">
        <v>1</v>
      </c>
    </row>
    <row r="212" customFormat="false" ht="15" hidden="true" customHeight="false" outlineLevel="0" collapsed="false">
      <c r="B212" s="360" t="s">
        <v>2698</v>
      </c>
      <c r="C212" s="359" t="n">
        <v>1</v>
      </c>
      <c r="D212" s="358" t="n">
        <v>0</v>
      </c>
      <c r="E212" s="358" t="n">
        <v>0</v>
      </c>
      <c r="F212" s="358" t="n">
        <v>0</v>
      </c>
      <c r="G212" s="372" t="n">
        <v>0</v>
      </c>
      <c r="H212" s="373" t="n">
        <v>0</v>
      </c>
      <c r="I212" s="358" t="n">
        <v>0</v>
      </c>
      <c r="J212" s="358" t="n">
        <v>0</v>
      </c>
      <c r="K212" s="372" t="n">
        <v>0</v>
      </c>
      <c r="L212" s="373" t="n">
        <v>0</v>
      </c>
      <c r="M212" s="358" t="n">
        <v>0</v>
      </c>
      <c r="N212" s="358" t="n">
        <v>0</v>
      </c>
      <c r="O212" s="372" t="n">
        <v>0</v>
      </c>
      <c r="P212" s="373" t="n">
        <v>0</v>
      </c>
      <c r="Q212" s="358" t="n">
        <v>0</v>
      </c>
      <c r="R212" s="358" t="n">
        <v>0</v>
      </c>
      <c r="S212" s="372" t="n">
        <v>0</v>
      </c>
      <c r="T212" s="373" t="n">
        <v>0</v>
      </c>
      <c r="U212" s="358" t="n">
        <v>0</v>
      </c>
      <c r="V212" s="358" t="n">
        <v>0</v>
      </c>
      <c r="W212" s="372" t="n">
        <v>0</v>
      </c>
      <c r="X212" s="373" t="n">
        <v>0</v>
      </c>
      <c r="Y212" s="358" t="n">
        <v>0</v>
      </c>
      <c r="Z212" s="358" t="n">
        <v>0</v>
      </c>
      <c r="AA212" s="358" t="n">
        <v>0</v>
      </c>
      <c r="AB212" s="373" t="n">
        <v>0</v>
      </c>
      <c r="AC212" s="358" t="n">
        <v>0</v>
      </c>
      <c r="AD212" s="358" t="n">
        <v>0</v>
      </c>
      <c r="AE212" s="358" t="n">
        <v>0</v>
      </c>
      <c r="AF212" s="359" t="n">
        <v>1</v>
      </c>
    </row>
    <row r="213" customFormat="false" ht="15" hidden="true" customHeight="false" outlineLevel="0" collapsed="false">
      <c r="B213" s="360" t="s">
        <v>2699</v>
      </c>
      <c r="C213" s="359" t="n">
        <v>1</v>
      </c>
      <c r="D213" s="358" t="n">
        <v>0</v>
      </c>
      <c r="E213" s="358" t="n">
        <v>0</v>
      </c>
      <c r="F213" s="358" t="n">
        <v>0</v>
      </c>
      <c r="G213" s="372" t="n">
        <v>0</v>
      </c>
      <c r="H213" s="373" t="n">
        <v>0</v>
      </c>
      <c r="I213" s="358" t="n">
        <v>0</v>
      </c>
      <c r="J213" s="358" t="n">
        <v>0</v>
      </c>
      <c r="K213" s="372" t="n">
        <v>0</v>
      </c>
      <c r="L213" s="373" t="n">
        <v>0</v>
      </c>
      <c r="M213" s="358" t="n">
        <v>0</v>
      </c>
      <c r="N213" s="358" t="n">
        <v>0</v>
      </c>
      <c r="O213" s="372" t="n">
        <v>0</v>
      </c>
      <c r="P213" s="373" t="n">
        <v>0</v>
      </c>
      <c r="Q213" s="358" t="n">
        <v>0</v>
      </c>
      <c r="R213" s="358" t="n">
        <v>0</v>
      </c>
      <c r="S213" s="372" t="n">
        <v>0</v>
      </c>
      <c r="T213" s="373" t="n">
        <v>0</v>
      </c>
      <c r="U213" s="358" t="n">
        <v>0</v>
      </c>
      <c r="V213" s="358" t="n">
        <v>0</v>
      </c>
      <c r="W213" s="372" t="n">
        <v>0</v>
      </c>
      <c r="X213" s="373" t="n">
        <v>0</v>
      </c>
      <c r="Y213" s="358" t="n">
        <v>0</v>
      </c>
      <c r="Z213" s="358" t="n">
        <v>0</v>
      </c>
      <c r="AA213" s="358" t="n">
        <v>0</v>
      </c>
      <c r="AB213" s="373" t="n">
        <v>0</v>
      </c>
      <c r="AC213" s="358" t="n">
        <v>0</v>
      </c>
      <c r="AD213" s="358" t="n">
        <v>0</v>
      </c>
      <c r="AE213" s="358" t="n">
        <v>0</v>
      </c>
      <c r="AF213" s="359" t="n">
        <v>1</v>
      </c>
    </row>
    <row r="214" customFormat="false" ht="15" hidden="true" customHeight="false" outlineLevel="0" collapsed="false">
      <c r="B214" s="360" t="s">
        <v>2700</v>
      </c>
      <c r="C214" s="359" t="n">
        <v>1</v>
      </c>
      <c r="D214" s="358" t="n">
        <v>0</v>
      </c>
      <c r="E214" s="358" t="n">
        <v>0</v>
      </c>
      <c r="F214" s="358" t="n">
        <v>0</v>
      </c>
      <c r="G214" s="372" t="n">
        <v>0</v>
      </c>
      <c r="H214" s="373" t="n">
        <v>0</v>
      </c>
      <c r="I214" s="358" t="n">
        <v>0</v>
      </c>
      <c r="J214" s="358" t="n">
        <v>0</v>
      </c>
      <c r="K214" s="372" t="n">
        <v>0</v>
      </c>
      <c r="L214" s="373" t="n">
        <v>0</v>
      </c>
      <c r="M214" s="358" t="n">
        <v>0</v>
      </c>
      <c r="N214" s="358" t="n">
        <v>0</v>
      </c>
      <c r="O214" s="372" t="n">
        <v>0</v>
      </c>
      <c r="P214" s="373" t="n">
        <v>0</v>
      </c>
      <c r="Q214" s="358" t="n">
        <v>0</v>
      </c>
      <c r="R214" s="358" t="n">
        <v>0</v>
      </c>
      <c r="S214" s="372" t="n">
        <v>0</v>
      </c>
      <c r="T214" s="373" t="n">
        <v>0</v>
      </c>
      <c r="U214" s="358" t="n">
        <v>0</v>
      </c>
      <c r="V214" s="358" t="n">
        <v>0</v>
      </c>
      <c r="W214" s="372" t="n">
        <v>0</v>
      </c>
      <c r="X214" s="373" t="n">
        <v>0</v>
      </c>
      <c r="Y214" s="358" t="n">
        <v>0</v>
      </c>
      <c r="Z214" s="358" t="n">
        <v>0</v>
      </c>
      <c r="AA214" s="358" t="n">
        <v>0</v>
      </c>
      <c r="AB214" s="373" t="n">
        <v>0</v>
      </c>
      <c r="AC214" s="358" t="n">
        <v>0</v>
      </c>
      <c r="AD214" s="358" t="n">
        <v>0</v>
      </c>
      <c r="AE214" s="358" t="n">
        <v>0</v>
      </c>
      <c r="AF214" s="359" t="n">
        <v>1</v>
      </c>
    </row>
    <row r="215" customFormat="false" ht="15" hidden="true" customHeight="false" outlineLevel="0" collapsed="false">
      <c r="B215" s="360" t="s">
        <v>2701</v>
      </c>
      <c r="C215" s="359" t="n">
        <v>1</v>
      </c>
      <c r="D215" s="358" t="n">
        <v>0</v>
      </c>
      <c r="E215" s="358" t="n">
        <v>0</v>
      </c>
      <c r="F215" s="358" t="n">
        <v>0</v>
      </c>
      <c r="G215" s="372" t="n">
        <v>0</v>
      </c>
      <c r="H215" s="373" t="n">
        <v>0</v>
      </c>
      <c r="I215" s="358" t="n">
        <v>0</v>
      </c>
      <c r="J215" s="358" t="n">
        <v>0</v>
      </c>
      <c r="K215" s="372" t="n">
        <v>0</v>
      </c>
      <c r="L215" s="373" t="n">
        <v>0</v>
      </c>
      <c r="M215" s="358" t="n">
        <v>0</v>
      </c>
      <c r="N215" s="358" t="n">
        <v>0</v>
      </c>
      <c r="O215" s="372" t="n">
        <v>0</v>
      </c>
      <c r="P215" s="373" t="n">
        <v>0</v>
      </c>
      <c r="Q215" s="358" t="n">
        <v>0</v>
      </c>
      <c r="R215" s="358" t="n">
        <v>0</v>
      </c>
      <c r="S215" s="372" t="n">
        <v>0</v>
      </c>
      <c r="T215" s="373" t="n">
        <v>0</v>
      </c>
      <c r="U215" s="358" t="n">
        <v>0</v>
      </c>
      <c r="V215" s="358" t="n">
        <v>0</v>
      </c>
      <c r="W215" s="372" t="n">
        <v>0</v>
      </c>
      <c r="X215" s="373" t="n">
        <v>0</v>
      </c>
      <c r="Y215" s="358" t="n">
        <v>0</v>
      </c>
      <c r="Z215" s="358" t="n">
        <v>0</v>
      </c>
      <c r="AA215" s="358" t="n">
        <v>0</v>
      </c>
      <c r="AB215" s="373" t="n">
        <v>0</v>
      </c>
      <c r="AC215" s="358" t="n">
        <v>0</v>
      </c>
      <c r="AD215" s="358" t="n">
        <v>0</v>
      </c>
      <c r="AE215" s="358" t="n">
        <v>0</v>
      </c>
      <c r="AF215" s="359" t="n">
        <v>1</v>
      </c>
    </row>
    <row r="216" customFormat="false" ht="15" hidden="true" customHeight="false" outlineLevel="0" collapsed="false">
      <c r="B216" s="360" t="s">
        <v>2702</v>
      </c>
      <c r="C216" s="359" t="n">
        <v>1</v>
      </c>
      <c r="D216" s="358" t="n">
        <v>0</v>
      </c>
      <c r="E216" s="358" t="n">
        <v>0</v>
      </c>
      <c r="F216" s="358" t="n">
        <v>0</v>
      </c>
      <c r="G216" s="372" t="n">
        <v>0</v>
      </c>
      <c r="H216" s="373" t="n">
        <v>0</v>
      </c>
      <c r="I216" s="358" t="n">
        <v>0</v>
      </c>
      <c r="J216" s="358" t="n">
        <v>0</v>
      </c>
      <c r="K216" s="372" t="n">
        <v>0</v>
      </c>
      <c r="L216" s="373" t="n">
        <v>0</v>
      </c>
      <c r="M216" s="358" t="n">
        <v>0</v>
      </c>
      <c r="N216" s="358" t="n">
        <v>0</v>
      </c>
      <c r="O216" s="372" t="n">
        <v>0</v>
      </c>
      <c r="P216" s="373" t="n">
        <v>0</v>
      </c>
      <c r="Q216" s="358" t="n">
        <v>0</v>
      </c>
      <c r="R216" s="358" t="n">
        <v>0</v>
      </c>
      <c r="S216" s="372" t="n">
        <v>0</v>
      </c>
      <c r="T216" s="373" t="n">
        <v>0</v>
      </c>
      <c r="U216" s="358" t="n">
        <v>0</v>
      </c>
      <c r="V216" s="358" t="n">
        <v>0</v>
      </c>
      <c r="W216" s="372" t="n">
        <v>0</v>
      </c>
      <c r="X216" s="373" t="n">
        <v>0</v>
      </c>
      <c r="Y216" s="358" t="n">
        <v>0</v>
      </c>
      <c r="Z216" s="358" t="n">
        <v>0</v>
      </c>
      <c r="AA216" s="358" t="n">
        <v>0</v>
      </c>
      <c r="AB216" s="373" t="n">
        <v>0</v>
      </c>
      <c r="AC216" s="358" t="n">
        <v>0</v>
      </c>
      <c r="AD216" s="358" t="n">
        <v>0</v>
      </c>
      <c r="AE216" s="358" t="n">
        <v>0</v>
      </c>
      <c r="AF216" s="359" t="n">
        <v>1</v>
      </c>
    </row>
    <row r="217" customFormat="false" ht="15" hidden="true" customHeight="false" outlineLevel="0" collapsed="false">
      <c r="B217" s="360" t="s">
        <v>2703</v>
      </c>
      <c r="C217" s="359" t="n">
        <v>1</v>
      </c>
      <c r="D217" s="358" t="n">
        <v>0</v>
      </c>
      <c r="E217" s="358" t="n">
        <v>0</v>
      </c>
      <c r="F217" s="358" t="n">
        <v>0</v>
      </c>
      <c r="G217" s="372" t="n">
        <v>0</v>
      </c>
      <c r="H217" s="373" t="n">
        <v>0</v>
      </c>
      <c r="I217" s="358" t="n">
        <v>0</v>
      </c>
      <c r="J217" s="358" t="n">
        <v>0</v>
      </c>
      <c r="K217" s="372" t="n">
        <v>0</v>
      </c>
      <c r="L217" s="373" t="n">
        <v>0</v>
      </c>
      <c r="M217" s="358" t="n">
        <v>0</v>
      </c>
      <c r="N217" s="358" t="n">
        <v>0</v>
      </c>
      <c r="O217" s="372" t="n">
        <v>0</v>
      </c>
      <c r="P217" s="373" t="n">
        <v>0</v>
      </c>
      <c r="Q217" s="358" t="n">
        <v>0</v>
      </c>
      <c r="R217" s="358" t="n">
        <v>0</v>
      </c>
      <c r="S217" s="372" t="n">
        <v>0</v>
      </c>
      <c r="T217" s="373" t="n">
        <v>0</v>
      </c>
      <c r="U217" s="358" t="n">
        <v>0</v>
      </c>
      <c r="V217" s="358" t="n">
        <v>0</v>
      </c>
      <c r="W217" s="372" t="n">
        <v>0</v>
      </c>
      <c r="X217" s="373" t="n">
        <v>0</v>
      </c>
      <c r="Y217" s="358" t="n">
        <v>0</v>
      </c>
      <c r="Z217" s="358" t="n">
        <v>0</v>
      </c>
      <c r="AA217" s="358" t="n">
        <v>0</v>
      </c>
      <c r="AB217" s="373" t="n">
        <v>0</v>
      </c>
      <c r="AC217" s="358" t="n">
        <v>0</v>
      </c>
      <c r="AD217" s="358" t="n">
        <v>0</v>
      </c>
      <c r="AE217" s="358" t="n">
        <v>0</v>
      </c>
      <c r="AF217" s="359" t="n">
        <v>1</v>
      </c>
    </row>
    <row r="218" customFormat="false" ht="15" hidden="true" customHeight="false" outlineLevel="0" collapsed="false">
      <c r="B218" s="360" t="s">
        <v>2704</v>
      </c>
      <c r="C218" s="359" t="n">
        <v>1</v>
      </c>
      <c r="D218" s="358" t="n">
        <v>0</v>
      </c>
      <c r="E218" s="358" t="n">
        <v>0</v>
      </c>
      <c r="F218" s="358" t="n">
        <v>0</v>
      </c>
      <c r="G218" s="372" t="n">
        <v>0</v>
      </c>
      <c r="H218" s="373" t="n">
        <v>0</v>
      </c>
      <c r="I218" s="358" t="n">
        <v>0</v>
      </c>
      <c r="J218" s="358" t="n">
        <v>0</v>
      </c>
      <c r="K218" s="372" t="n">
        <v>0</v>
      </c>
      <c r="L218" s="373" t="n">
        <v>0</v>
      </c>
      <c r="M218" s="358" t="n">
        <v>0</v>
      </c>
      <c r="N218" s="358" t="n">
        <v>0</v>
      </c>
      <c r="O218" s="372" t="n">
        <v>0</v>
      </c>
      <c r="P218" s="373" t="n">
        <v>0</v>
      </c>
      <c r="Q218" s="358" t="n">
        <v>0</v>
      </c>
      <c r="R218" s="358" t="n">
        <v>0</v>
      </c>
      <c r="S218" s="372" t="n">
        <v>0</v>
      </c>
      <c r="T218" s="373" t="n">
        <v>0</v>
      </c>
      <c r="U218" s="358" t="n">
        <v>0</v>
      </c>
      <c r="V218" s="358" t="n">
        <v>0</v>
      </c>
      <c r="W218" s="372" t="n">
        <v>0</v>
      </c>
      <c r="X218" s="373" t="n">
        <v>0</v>
      </c>
      <c r="Y218" s="358" t="n">
        <v>0</v>
      </c>
      <c r="Z218" s="358" t="n">
        <v>0</v>
      </c>
      <c r="AA218" s="358" t="n">
        <v>0</v>
      </c>
      <c r="AB218" s="373" t="n">
        <v>0</v>
      </c>
      <c r="AC218" s="358" t="n">
        <v>0</v>
      </c>
      <c r="AD218" s="358" t="n">
        <v>0</v>
      </c>
      <c r="AE218" s="358" t="n">
        <v>0</v>
      </c>
      <c r="AF218" s="359" t="n">
        <v>1</v>
      </c>
    </row>
    <row r="219" customFormat="false" ht="15" hidden="true" customHeight="false" outlineLevel="0" collapsed="false">
      <c r="B219" s="360" t="s">
        <v>2705</v>
      </c>
      <c r="C219" s="359" t="n">
        <v>1</v>
      </c>
      <c r="D219" s="358" t="n">
        <v>0</v>
      </c>
      <c r="E219" s="358" t="n">
        <v>0</v>
      </c>
      <c r="F219" s="358" t="n">
        <v>0</v>
      </c>
      <c r="G219" s="372" t="n">
        <v>0</v>
      </c>
      <c r="H219" s="373" t="n">
        <v>0</v>
      </c>
      <c r="I219" s="358" t="n">
        <v>0</v>
      </c>
      <c r="J219" s="358" t="n">
        <v>0</v>
      </c>
      <c r="K219" s="372" t="n">
        <v>0</v>
      </c>
      <c r="L219" s="373" t="n">
        <v>0</v>
      </c>
      <c r="M219" s="358" t="n">
        <v>0</v>
      </c>
      <c r="N219" s="358" t="n">
        <v>0</v>
      </c>
      <c r="O219" s="372" t="n">
        <v>0</v>
      </c>
      <c r="P219" s="373" t="n">
        <v>0</v>
      </c>
      <c r="Q219" s="358" t="n">
        <v>0</v>
      </c>
      <c r="R219" s="358" t="n">
        <v>0</v>
      </c>
      <c r="S219" s="372" t="n">
        <v>0</v>
      </c>
      <c r="T219" s="373" t="n">
        <v>0</v>
      </c>
      <c r="U219" s="358" t="n">
        <v>0</v>
      </c>
      <c r="V219" s="358" t="n">
        <v>0</v>
      </c>
      <c r="W219" s="372" t="n">
        <v>0</v>
      </c>
      <c r="X219" s="373" t="n">
        <v>0</v>
      </c>
      <c r="Y219" s="358" t="n">
        <v>0</v>
      </c>
      <c r="Z219" s="358" t="n">
        <v>0</v>
      </c>
      <c r="AA219" s="358" t="n">
        <v>0</v>
      </c>
      <c r="AB219" s="373" t="n">
        <v>0</v>
      </c>
      <c r="AC219" s="358" t="n">
        <v>0</v>
      </c>
      <c r="AD219" s="358" t="n">
        <v>0</v>
      </c>
      <c r="AE219" s="358" t="n">
        <v>0</v>
      </c>
      <c r="AF219" s="359" t="n">
        <v>1</v>
      </c>
    </row>
    <row r="220" customFormat="false" ht="15" hidden="true" customHeight="false" outlineLevel="0" collapsed="false">
      <c r="B220" s="360" t="s">
        <v>2706</v>
      </c>
      <c r="C220" s="359" t="n">
        <v>1</v>
      </c>
      <c r="D220" s="358" t="n">
        <v>0</v>
      </c>
      <c r="E220" s="358" t="n">
        <v>0</v>
      </c>
      <c r="F220" s="358" t="n">
        <v>0</v>
      </c>
      <c r="G220" s="372" t="n">
        <v>0</v>
      </c>
      <c r="H220" s="373" t="n">
        <v>0</v>
      </c>
      <c r="I220" s="358" t="n">
        <v>0</v>
      </c>
      <c r="J220" s="358" t="n">
        <v>0</v>
      </c>
      <c r="K220" s="372" t="n">
        <v>0</v>
      </c>
      <c r="L220" s="373" t="n">
        <v>0</v>
      </c>
      <c r="M220" s="358" t="n">
        <v>0</v>
      </c>
      <c r="N220" s="358" t="n">
        <v>0</v>
      </c>
      <c r="O220" s="372" t="n">
        <v>0</v>
      </c>
      <c r="P220" s="373" t="n">
        <v>0</v>
      </c>
      <c r="Q220" s="358" t="n">
        <v>0</v>
      </c>
      <c r="R220" s="358" t="n">
        <v>0</v>
      </c>
      <c r="S220" s="372" t="n">
        <v>0</v>
      </c>
      <c r="T220" s="373" t="n">
        <v>0</v>
      </c>
      <c r="U220" s="358" t="n">
        <v>0</v>
      </c>
      <c r="V220" s="358" t="n">
        <v>0</v>
      </c>
      <c r="W220" s="372" t="n">
        <v>0</v>
      </c>
      <c r="X220" s="373" t="n">
        <v>0</v>
      </c>
      <c r="Y220" s="358" t="n">
        <v>0</v>
      </c>
      <c r="Z220" s="358" t="n">
        <v>0</v>
      </c>
      <c r="AA220" s="358" t="n">
        <v>0</v>
      </c>
      <c r="AB220" s="373" t="n">
        <v>0</v>
      </c>
      <c r="AC220" s="358" t="n">
        <v>0</v>
      </c>
      <c r="AD220" s="358" t="n">
        <v>0</v>
      </c>
      <c r="AE220" s="358" t="n">
        <v>0</v>
      </c>
      <c r="AF220" s="359" t="n">
        <v>1</v>
      </c>
    </row>
    <row r="221" customFormat="false" ht="15" hidden="true" customHeight="false" outlineLevel="0" collapsed="false">
      <c r="B221" s="360" t="s">
        <v>2707</v>
      </c>
      <c r="C221" s="359" t="n">
        <v>1</v>
      </c>
      <c r="D221" s="358" t="n">
        <v>0</v>
      </c>
      <c r="E221" s="358" t="n">
        <v>0</v>
      </c>
      <c r="F221" s="358" t="n">
        <v>0</v>
      </c>
      <c r="G221" s="372" t="n">
        <v>0</v>
      </c>
      <c r="H221" s="373" t="n">
        <v>0</v>
      </c>
      <c r="I221" s="358" t="n">
        <v>0</v>
      </c>
      <c r="J221" s="358" t="n">
        <v>0</v>
      </c>
      <c r="K221" s="372" t="n">
        <v>0</v>
      </c>
      <c r="L221" s="373" t="n">
        <v>0</v>
      </c>
      <c r="M221" s="358" t="n">
        <v>0</v>
      </c>
      <c r="N221" s="358" t="n">
        <v>0</v>
      </c>
      <c r="O221" s="372" t="n">
        <v>0</v>
      </c>
      <c r="P221" s="373" t="n">
        <v>0</v>
      </c>
      <c r="Q221" s="358" t="n">
        <v>0</v>
      </c>
      <c r="R221" s="358" t="n">
        <v>0</v>
      </c>
      <c r="S221" s="372" t="n">
        <v>0</v>
      </c>
      <c r="T221" s="373" t="n">
        <v>0</v>
      </c>
      <c r="U221" s="358" t="n">
        <v>0</v>
      </c>
      <c r="V221" s="358" t="n">
        <v>0</v>
      </c>
      <c r="W221" s="372" t="n">
        <v>0</v>
      </c>
      <c r="X221" s="373" t="n">
        <v>0</v>
      </c>
      <c r="Y221" s="358" t="n">
        <v>0</v>
      </c>
      <c r="Z221" s="358" t="n">
        <v>0</v>
      </c>
      <c r="AA221" s="358" t="n">
        <v>0</v>
      </c>
      <c r="AB221" s="373" t="n">
        <v>0</v>
      </c>
      <c r="AC221" s="358" t="n">
        <v>0</v>
      </c>
      <c r="AD221" s="358" t="n">
        <v>0</v>
      </c>
      <c r="AE221" s="358" t="n">
        <v>0</v>
      </c>
      <c r="AF221" s="359" t="n">
        <v>1</v>
      </c>
    </row>
    <row r="222" customFormat="false" ht="15" hidden="true" customHeight="false" outlineLevel="0" collapsed="false">
      <c r="B222" s="360" t="s">
        <v>2708</v>
      </c>
      <c r="C222" s="359" t="n">
        <v>1</v>
      </c>
      <c r="D222" s="358" t="n">
        <v>0</v>
      </c>
      <c r="E222" s="358" t="n">
        <v>0</v>
      </c>
      <c r="F222" s="358" t="n">
        <v>0</v>
      </c>
      <c r="G222" s="372" t="n">
        <v>0</v>
      </c>
      <c r="H222" s="373" t="n">
        <v>0</v>
      </c>
      <c r="I222" s="358" t="n">
        <v>0</v>
      </c>
      <c r="J222" s="358" t="n">
        <v>0</v>
      </c>
      <c r="K222" s="372" t="n">
        <v>0</v>
      </c>
      <c r="L222" s="373" t="n">
        <v>0</v>
      </c>
      <c r="M222" s="358" t="n">
        <v>0</v>
      </c>
      <c r="N222" s="358" t="n">
        <v>0</v>
      </c>
      <c r="O222" s="372" t="n">
        <v>0</v>
      </c>
      <c r="P222" s="373" t="n">
        <v>0</v>
      </c>
      <c r="Q222" s="358" t="n">
        <v>0</v>
      </c>
      <c r="R222" s="358" t="n">
        <v>0</v>
      </c>
      <c r="S222" s="372" t="n">
        <v>0</v>
      </c>
      <c r="T222" s="373" t="n">
        <v>0</v>
      </c>
      <c r="U222" s="358" t="n">
        <v>0</v>
      </c>
      <c r="V222" s="358" t="n">
        <v>0</v>
      </c>
      <c r="W222" s="372" t="n">
        <v>0</v>
      </c>
      <c r="X222" s="373" t="n">
        <v>0</v>
      </c>
      <c r="Y222" s="358" t="n">
        <v>0</v>
      </c>
      <c r="Z222" s="358" t="n">
        <v>0</v>
      </c>
      <c r="AA222" s="358" t="n">
        <v>0</v>
      </c>
      <c r="AB222" s="373" t="n">
        <v>0</v>
      </c>
      <c r="AC222" s="358" t="n">
        <v>0</v>
      </c>
      <c r="AD222" s="358" t="n">
        <v>0</v>
      </c>
      <c r="AE222" s="358" t="n">
        <v>0</v>
      </c>
      <c r="AF222" s="359" t="n">
        <v>1</v>
      </c>
    </row>
    <row r="223" customFormat="false" ht="15" hidden="true" customHeight="false" outlineLevel="0" collapsed="false">
      <c r="B223" s="361" t="s">
        <v>2709</v>
      </c>
      <c r="C223" s="359" t="n">
        <v>1</v>
      </c>
      <c r="D223" s="358" t="n">
        <v>0</v>
      </c>
      <c r="E223" s="358" t="n">
        <v>0</v>
      </c>
      <c r="F223" s="358" t="n">
        <v>0</v>
      </c>
      <c r="G223" s="372" t="n">
        <v>0</v>
      </c>
      <c r="H223" s="373" t="n">
        <v>0</v>
      </c>
      <c r="I223" s="358" t="n">
        <v>0</v>
      </c>
      <c r="J223" s="358" t="n">
        <v>0</v>
      </c>
      <c r="K223" s="372" t="n">
        <v>0</v>
      </c>
      <c r="L223" s="373" t="n">
        <v>0</v>
      </c>
      <c r="M223" s="358" t="n">
        <v>0</v>
      </c>
      <c r="N223" s="358" t="n">
        <v>0</v>
      </c>
      <c r="O223" s="372" t="n">
        <v>0</v>
      </c>
      <c r="P223" s="373" t="n">
        <v>0</v>
      </c>
      <c r="Q223" s="358" t="n">
        <v>0</v>
      </c>
      <c r="R223" s="358" t="n">
        <v>0</v>
      </c>
      <c r="S223" s="372" t="n">
        <v>0</v>
      </c>
      <c r="T223" s="373" t="n">
        <v>0</v>
      </c>
      <c r="U223" s="358" t="n">
        <v>0</v>
      </c>
      <c r="V223" s="358" t="n">
        <v>0</v>
      </c>
      <c r="W223" s="372" t="n">
        <v>0</v>
      </c>
      <c r="X223" s="373" t="n">
        <v>0</v>
      </c>
      <c r="Y223" s="358" t="n">
        <v>0</v>
      </c>
      <c r="Z223" s="358" t="n">
        <v>0</v>
      </c>
      <c r="AA223" s="358" t="n">
        <v>0</v>
      </c>
      <c r="AB223" s="373" t="n">
        <v>0</v>
      </c>
      <c r="AC223" s="358" t="n">
        <v>0</v>
      </c>
      <c r="AD223" s="358" t="n">
        <v>0</v>
      </c>
      <c r="AE223" s="358" t="n">
        <v>0</v>
      </c>
      <c r="AF223" s="359" t="n">
        <v>1</v>
      </c>
    </row>
    <row r="224" customFormat="false" ht="15" hidden="true" customHeight="false" outlineLevel="0" collapsed="false">
      <c r="B224" s="360" t="s">
        <v>2710</v>
      </c>
      <c r="C224" s="359" t="n">
        <v>1</v>
      </c>
      <c r="D224" s="358" t="n">
        <v>0</v>
      </c>
      <c r="E224" s="358" t="n">
        <v>0</v>
      </c>
      <c r="F224" s="358" t="n">
        <v>0</v>
      </c>
      <c r="G224" s="372" t="n">
        <v>0</v>
      </c>
      <c r="H224" s="373" t="n">
        <v>0</v>
      </c>
      <c r="I224" s="358" t="n">
        <v>0</v>
      </c>
      <c r="J224" s="358" t="n">
        <v>0</v>
      </c>
      <c r="K224" s="372" t="n">
        <v>0</v>
      </c>
      <c r="L224" s="373" t="n">
        <v>0</v>
      </c>
      <c r="M224" s="358" t="n">
        <v>0</v>
      </c>
      <c r="N224" s="358" t="n">
        <v>0</v>
      </c>
      <c r="O224" s="372" t="n">
        <v>0</v>
      </c>
      <c r="P224" s="373" t="n">
        <v>0</v>
      </c>
      <c r="Q224" s="358" t="n">
        <v>0</v>
      </c>
      <c r="R224" s="358" t="n">
        <v>0</v>
      </c>
      <c r="S224" s="372" t="n">
        <v>0</v>
      </c>
      <c r="T224" s="373" t="n">
        <v>0</v>
      </c>
      <c r="U224" s="358" t="n">
        <v>0</v>
      </c>
      <c r="V224" s="358" t="n">
        <v>0</v>
      </c>
      <c r="W224" s="372" t="n">
        <v>0</v>
      </c>
      <c r="X224" s="373" t="n">
        <v>0</v>
      </c>
      <c r="Y224" s="358" t="n">
        <v>0</v>
      </c>
      <c r="Z224" s="358" t="n">
        <v>0</v>
      </c>
      <c r="AA224" s="358" t="n">
        <v>0</v>
      </c>
      <c r="AB224" s="373" t="n">
        <v>0</v>
      </c>
      <c r="AC224" s="358" t="n">
        <v>0</v>
      </c>
      <c r="AD224" s="358" t="n">
        <v>0</v>
      </c>
      <c r="AE224" s="358" t="n">
        <v>0</v>
      </c>
      <c r="AF224" s="359" t="n">
        <v>1</v>
      </c>
    </row>
    <row r="225" customFormat="false" ht="15" hidden="true" customHeight="false" outlineLevel="0" collapsed="false">
      <c r="B225" s="360" t="s">
        <v>2711</v>
      </c>
      <c r="C225" s="359" t="n">
        <v>1</v>
      </c>
      <c r="D225" s="358" t="n">
        <v>0</v>
      </c>
      <c r="E225" s="358" t="n">
        <v>0</v>
      </c>
      <c r="F225" s="358" t="n">
        <v>0</v>
      </c>
      <c r="G225" s="372" t="n">
        <v>0</v>
      </c>
      <c r="H225" s="373" t="n">
        <v>0</v>
      </c>
      <c r="I225" s="358" t="n">
        <v>0</v>
      </c>
      <c r="J225" s="358" t="n">
        <v>0</v>
      </c>
      <c r="K225" s="372" t="n">
        <v>0</v>
      </c>
      <c r="L225" s="373" t="n">
        <v>0</v>
      </c>
      <c r="M225" s="358" t="n">
        <v>0</v>
      </c>
      <c r="N225" s="358" t="n">
        <v>0</v>
      </c>
      <c r="O225" s="372" t="n">
        <v>0</v>
      </c>
      <c r="P225" s="373" t="n">
        <v>0</v>
      </c>
      <c r="Q225" s="358" t="n">
        <v>0</v>
      </c>
      <c r="R225" s="358" t="n">
        <v>0</v>
      </c>
      <c r="S225" s="372" t="n">
        <v>0</v>
      </c>
      <c r="T225" s="373" t="n">
        <v>0</v>
      </c>
      <c r="U225" s="358" t="n">
        <v>0</v>
      </c>
      <c r="V225" s="358" t="n">
        <v>0</v>
      </c>
      <c r="W225" s="372" t="n">
        <v>0</v>
      </c>
      <c r="X225" s="373" t="n">
        <v>0</v>
      </c>
      <c r="Y225" s="358" t="n">
        <v>0</v>
      </c>
      <c r="Z225" s="358" t="n">
        <v>0</v>
      </c>
      <c r="AA225" s="358" t="n">
        <v>0</v>
      </c>
      <c r="AB225" s="373" t="n">
        <v>0</v>
      </c>
      <c r="AC225" s="358" t="n">
        <v>0</v>
      </c>
      <c r="AD225" s="358" t="n">
        <v>0</v>
      </c>
      <c r="AE225" s="358" t="n">
        <v>0</v>
      </c>
      <c r="AF225" s="359" t="n">
        <v>1</v>
      </c>
    </row>
    <row r="226" customFormat="false" ht="15" hidden="true" customHeight="false" outlineLevel="0" collapsed="false">
      <c r="B226" s="360" t="s">
        <v>2712</v>
      </c>
      <c r="C226" s="359" t="n">
        <v>1</v>
      </c>
      <c r="D226" s="358" t="n">
        <v>0</v>
      </c>
      <c r="E226" s="358" t="n">
        <v>0</v>
      </c>
      <c r="F226" s="358" t="n">
        <v>0</v>
      </c>
      <c r="G226" s="372" t="n">
        <v>0</v>
      </c>
      <c r="H226" s="373" t="n">
        <v>0</v>
      </c>
      <c r="I226" s="358" t="n">
        <v>0</v>
      </c>
      <c r="J226" s="358" t="n">
        <v>0</v>
      </c>
      <c r="K226" s="372" t="n">
        <v>0</v>
      </c>
      <c r="L226" s="373" t="n">
        <v>0</v>
      </c>
      <c r="M226" s="358" t="n">
        <v>0</v>
      </c>
      <c r="N226" s="358" t="n">
        <v>0</v>
      </c>
      <c r="O226" s="372" t="n">
        <v>0</v>
      </c>
      <c r="P226" s="373" t="n">
        <v>0</v>
      </c>
      <c r="Q226" s="358" t="n">
        <v>0</v>
      </c>
      <c r="R226" s="358" t="n">
        <v>0</v>
      </c>
      <c r="S226" s="372" t="n">
        <v>0</v>
      </c>
      <c r="T226" s="373" t="n">
        <v>0</v>
      </c>
      <c r="U226" s="358" t="n">
        <v>0</v>
      </c>
      <c r="V226" s="358" t="n">
        <v>0</v>
      </c>
      <c r="W226" s="372" t="n">
        <v>0</v>
      </c>
      <c r="X226" s="373" t="n">
        <v>0</v>
      </c>
      <c r="Y226" s="358" t="n">
        <v>0</v>
      </c>
      <c r="Z226" s="358" t="n">
        <v>0</v>
      </c>
      <c r="AA226" s="358" t="n">
        <v>0</v>
      </c>
      <c r="AB226" s="373" t="n">
        <v>0</v>
      </c>
      <c r="AC226" s="358" t="n">
        <v>0</v>
      </c>
      <c r="AD226" s="358" t="n">
        <v>0</v>
      </c>
      <c r="AE226" s="358" t="n">
        <v>0</v>
      </c>
      <c r="AF226" s="359" t="n">
        <v>1</v>
      </c>
    </row>
    <row r="227" customFormat="false" ht="15" hidden="true" customHeight="false" outlineLevel="0" collapsed="false">
      <c r="B227" s="360" t="s">
        <v>2713</v>
      </c>
      <c r="C227" s="359" t="n">
        <v>1</v>
      </c>
      <c r="D227" s="358" t="n">
        <v>0</v>
      </c>
      <c r="E227" s="358" t="n">
        <v>0</v>
      </c>
      <c r="F227" s="358" t="n">
        <v>0</v>
      </c>
      <c r="G227" s="372" t="n">
        <v>0</v>
      </c>
      <c r="H227" s="373" t="n">
        <v>0</v>
      </c>
      <c r="I227" s="358" t="n">
        <v>0</v>
      </c>
      <c r="J227" s="358" t="n">
        <v>0</v>
      </c>
      <c r="K227" s="372" t="n">
        <v>0</v>
      </c>
      <c r="L227" s="373" t="n">
        <v>0</v>
      </c>
      <c r="M227" s="358" t="n">
        <v>0</v>
      </c>
      <c r="N227" s="358" t="n">
        <v>0</v>
      </c>
      <c r="O227" s="372" t="n">
        <v>0</v>
      </c>
      <c r="P227" s="373" t="n">
        <v>0</v>
      </c>
      <c r="Q227" s="358" t="n">
        <v>0</v>
      </c>
      <c r="R227" s="358" t="n">
        <v>0</v>
      </c>
      <c r="S227" s="372" t="n">
        <v>0</v>
      </c>
      <c r="T227" s="373" t="n">
        <v>0</v>
      </c>
      <c r="U227" s="358" t="n">
        <v>0</v>
      </c>
      <c r="V227" s="358" t="n">
        <v>0</v>
      </c>
      <c r="W227" s="372" t="n">
        <v>0</v>
      </c>
      <c r="X227" s="373" t="n">
        <v>0</v>
      </c>
      <c r="Y227" s="358" t="n">
        <v>0</v>
      </c>
      <c r="Z227" s="358" t="n">
        <v>0</v>
      </c>
      <c r="AA227" s="358" t="n">
        <v>0</v>
      </c>
      <c r="AB227" s="373" t="n">
        <v>0</v>
      </c>
      <c r="AC227" s="358" t="n">
        <v>0</v>
      </c>
      <c r="AD227" s="358" t="n">
        <v>0</v>
      </c>
      <c r="AE227" s="358" t="n">
        <v>0</v>
      </c>
      <c r="AF227" s="359" t="n">
        <v>1</v>
      </c>
    </row>
    <row r="228" customFormat="false" ht="15" hidden="true" customHeight="false" outlineLevel="0" collapsed="false">
      <c r="B228" s="360" t="s">
        <v>2714</v>
      </c>
      <c r="C228" s="359" t="n">
        <v>1</v>
      </c>
      <c r="D228" s="358" t="n">
        <v>0</v>
      </c>
      <c r="E228" s="358" t="n">
        <v>0</v>
      </c>
      <c r="F228" s="358" t="n">
        <v>0</v>
      </c>
      <c r="G228" s="372" t="n">
        <v>0</v>
      </c>
      <c r="H228" s="373" t="n">
        <v>0</v>
      </c>
      <c r="I228" s="358" t="n">
        <v>0</v>
      </c>
      <c r="J228" s="358" t="n">
        <v>0</v>
      </c>
      <c r="K228" s="372" t="n">
        <v>0</v>
      </c>
      <c r="L228" s="373" t="n">
        <v>0</v>
      </c>
      <c r="M228" s="358" t="n">
        <v>0</v>
      </c>
      <c r="N228" s="358" t="n">
        <v>0</v>
      </c>
      <c r="O228" s="372" t="n">
        <v>0</v>
      </c>
      <c r="P228" s="373" t="n">
        <v>0</v>
      </c>
      <c r="Q228" s="358" t="n">
        <v>0</v>
      </c>
      <c r="R228" s="358" t="n">
        <v>0</v>
      </c>
      <c r="S228" s="372" t="n">
        <v>0</v>
      </c>
      <c r="T228" s="373" t="n">
        <v>0</v>
      </c>
      <c r="U228" s="358" t="n">
        <v>0</v>
      </c>
      <c r="V228" s="358" t="n">
        <v>0</v>
      </c>
      <c r="W228" s="372" t="n">
        <v>0</v>
      </c>
      <c r="X228" s="373" t="n">
        <v>0</v>
      </c>
      <c r="Y228" s="358" t="n">
        <v>0</v>
      </c>
      <c r="Z228" s="358" t="n">
        <v>0</v>
      </c>
      <c r="AA228" s="358" t="n">
        <v>0</v>
      </c>
      <c r="AB228" s="373" t="n">
        <v>0</v>
      </c>
      <c r="AC228" s="358" t="n">
        <v>0</v>
      </c>
      <c r="AD228" s="358" t="n">
        <v>0</v>
      </c>
      <c r="AE228" s="358" t="n">
        <v>0</v>
      </c>
      <c r="AF228" s="359" t="n">
        <v>1</v>
      </c>
    </row>
    <row r="229" customFormat="false" ht="15" hidden="true" customHeight="false" outlineLevel="0" collapsed="false">
      <c r="B229" s="360" t="s">
        <v>2715</v>
      </c>
      <c r="C229" s="359" t="n">
        <v>1</v>
      </c>
      <c r="D229" s="358" t="n">
        <v>0</v>
      </c>
      <c r="E229" s="358" t="n">
        <v>0</v>
      </c>
      <c r="F229" s="358" t="n">
        <v>0</v>
      </c>
      <c r="G229" s="372" t="n">
        <v>0</v>
      </c>
      <c r="H229" s="373" t="n">
        <v>0</v>
      </c>
      <c r="I229" s="358" t="n">
        <v>0</v>
      </c>
      <c r="J229" s="358" t="n">
        <v>0</v>
      </c>
      <c r="K229" s="372" t="n">
        <v>0</v>
      </c>
      <c r="L229" s="373" t="n">
        <v>0</v>
      </c>
      <c r="M229" s="358" t="n">
        <v>0</v>
      </c>
      <c r="N229" s="358" t="n">
        <v>0</v>
      </c>
      <c r="O229" s="372" t="n">
        <v>0</v>
      </c>
      <c r="P229" s="373" t="n">
        <v>0</v>
      </c>
      <c r="Q229" s="358" t="n">
        <v>0</v>
      </c>
      <c r="R229" s="358" t="n">
        <v>0</v>
      </c>
      <c r="S229" s="372" t="n">
        <v>0</v>
      </c>
      <c r="T229" s="373" t="n">
        <v>0</v>
      </c>
      <c r="U229" s="358" t="n">
        <v>0</v>
      </c>
      <c r="V229" s="358" t="n">
        <v>0</v>
      </c>
      <c r="W229" s="372" t="n">
        <v>0</v>
      </c>
      <c r="X229" s="373" t="n">
        <v>0</v>
      </c>
      <c r="Y229" s="358" t="n">
        <v>0</v>
      </c>
      <c r="Z229" s="358" t="n">
        <v>0</v>
      </c>
      <c r="AA229" s="358" t="n">
        <v>0</v>
      </c>
      <c r="AB229" s="373" t="n">
        <v>0</v>
      </c>
      <c r="AC229" s="358" t="n">
        <v>0</v>
      </c>
      <c r="AD229" s="358" t="n">
        <v>0</v>
      </c>
      <c r="AE229" s="358" t="n">
        <v>0</v>
      </c>
      <c r="AF229" s="359" t="n">
        <v>1</v>
      </c>
    </row>
    <row r="230" customFormat="false" ht="15" hidden="true" customHeight="false" outlineLevel="0" collapsed="false">
      <c r="B230" s="360" t="s">
        <v>2716</v>
      </c>
      <c r="C230" s="359" t="n">
        <v>1</v>
      </c>
      <c r="D230" s="358" t="n">
        <v>0</v>
      </c>
      <c r="E230" s="358" t="n">
        <v>0</v>
      </c>
      <c r="F230" s="358" t="n">
        <v>0</v>
      </c>
      <c r="G230" s="372" t="n">
        <v>0</v>
      </c>
      <c r="H230" s="373" t="n">
        <v>0</v>
      </c>
      <c r="I230" s="358" t="n">
        <v>0</v>
      </c>
      <c r="J230" s="358" t="n">
        <v>0</v>
      </c>
      <c r="K230" s="372" t="n">
        <v>0</v>
      </c>
      <c r="L230" s="373" t="n">
        <v>0</v>
      </c>
      <c r="M230" s="358" t="n">
        <v>0</v>
      </c>
      <c r="N230" s="358" t="n">
        <v>0</v>
      </c>
      <c r="O230" s="372" t="n">
        <v>0</v>
      </c>
      <c r="P230" s="373" t="n">
        <v>0</v>
      </c>
      <c r="Q230" s="358" t="n">
        <v>0</v>
      </c>
      <c r="R230" s="358" t="n">
        <v>0</v>
      </c>
      <c r="S230" s="372" t="n">
        <v>0</v>
      </c>
      <c r="T230" s="373" t="n">
        <v>0</v>
      </c>
      <c r="U230" s="358" t="n">
        <v>0</v>
      </c>
      <c r="V230" s="358" t="n">
        <v>0</v>
      </c>
      <c r="W230" s="372" t="n">
        <v>0</v>
      </c>
      <c r="X230" s="373" t="n">
        <v>0</v>
      </c>
      <c r="Y230" s="358" t="n">
        <v>0</v>
      </c>
      <c r="Z230" s="358" t="n">
        <v>0</v>
      </c>
      <c r="AA230" s="358" t="n">
        <v>0</v>
      </c>
      <c r="AB230" s="373" t="n">
        <v>0</v>
      </c>
      <c r="AC230" s="358" t="n">
        <v>0</v>
      </c>
      <c r="AD230" s="358" t="n">
        <v>0</v>
      </c>
      <c r="AE230" s="358" t="n">
        <v>0</v>
      </c>
      <c r="AF230" s="359" t="n">
        <v>1</v>
      </c>
    </row>
    <row r="231" customFormat="false" ht="15" hidden="true" customHeight="false" outlineLevel="0" collapsed="false">
      <c r="B231" s="360" t="s">
        <v>2717</v>
      </c>
      <c r="C231" s="359" t="n">
        <v>1</v>
      </c>
      <c r="D231" s="358" t="n">
        <v>0</v>
      </c>
      <c r="E231" s="358" t="n">
        <v>0</v>
      </c>
      <c r="F231" s="358" t="n">
        <v>0</v>
      </c>
      <c r="G231" s="372" t="n">
        <v>0</v>
      </c>
      <c r="H231" s="373" t="n">
        <v>0</v>
      </c>
      <c r="I231" s="358" t="n">
        <v>0</v>
      </c>
      <c r="J231" s="358" t="n">
        <v>0</v>
      </c>
      <c r="K231" s="372" t="n">
        <v>0</v>
      </c>
      <c r="L231" s="373" t="n">
        <v>0</v>
      </c>
      <c r="M231" s="358" t="n">
        <v>0</v>
      </c>
      <c r="N231" s="358" t="n">
        <v>0</v>
      </c>
      <c r="O231" s="372" t="n">
        <v>0</v>
      </c>
      <c r="P231" s="373" t="n">
        <v>0</v>
      </c>
      <c r="Q231" s="358" t="n">
        <v>0</v>
      </c>
      <c r="R231" s="358" t="n">
        <v>0</v>
      </c>
      <c r="S231" s="372" t="n">
        <v>0</v>
      </c>
      <c r="T231" s="373" t="n">
        <v>0</v>
      </c>
      <c r="U231" s="358" t="n">
        <v>0</v>
      </c>
      <c r="V231" s="358" t="n">
        <v>0</v>
      </c>
      <c r="W231" s="372" t="n">
        <v>0</v>
      </c>
      <c r="X231" s="373" t="n">
        <v>0</v>
      </c>
      <c r="Y231" s="358" t="n">
        <v>0</v>
      </c>
      <c r="Z231" s="358" t="n">
        <v>0</v>
      </c>
      <c r="AA231" s="358" t="n">
        <v>0</v>
      </c>
      <c r="AB231" s="373" t="n">
        <v>0</v>
      </c>
      <c r="AC231" s="358" t="n">
        <v>0</v>
      </c>
      <c r="AD231" s="358" t="n">
        <v>0</v>
      </c>
      <c r="AE231" s="358" t="n">
        <v>0</v>
      </c>
      <c r="AF231" s="359" t="n">
        <v>1</v>
      </c>
    </row>
    <row r="232" customFormat="false" ht="15" hidden="true" customHeight="false" outlineLevel="0" collapsed="false">
      <c r="B232" s="360" t="s">
        <v>2718</v>
      </c>
      <c r="C232" s="359" t="n">
        <v>1</v>
      </c>
      <c r="D232" s="358" t="n">
        <v>0</v>
      </c>
      <c r="E232" s="358" t="n">
        <v>0</v>
      </c>
      <c r="F232" s="358" t="n">
        <v>0</v>
      </c>
      <c r="G232" s="372" t="n">
        <v>0</v>
      </c>
      <c r="H232" s="373" t="n">
        <v>0</v>
      </c>
      <c r="I232" s="358" t="n">
        <v>0</v>
      </c>
      <c r="J232" s="358" t="n">
        <v>0</v>
      </c>
      <c r="K232" s="372" t="n">
        <v>0</v>
      </c>
      <c r="L232" s="373" t="n">
        <v>0</v>
      </c>
      <c r="M232" s="358" t="n">
        <v>0</v>
      </c>
      <c r="N232" s="358" t="n">
        <v>0</v>
      </c>
      <c r="O232" s="372" t="n">
        <v>0</v>
      </c>
      <c r="P232" s="373" t="n">
        <v>0</v>
      </c>
      <c r="Q232" s="358" t="n">
        <v>0</v>
      </c>
      <c r="R232" s="358" t="n">
        <v>0</v>
      </c>
      <c r="S232" s="372" t="n">
        <v>0</v>
      </c>
      <c r="T232" s="373" t="n">
        <v>0</v>
      </c>
      <c r="U232" s="358" t="n">
        <v>0</v>
      </c>
      <c r="V232" s="358" t="n">
        <v>0</v>
      </c>
      <c r="W232" s="372" t="n">
        <v>0</v>
      </c>
      <c r="X232" s="373" t="n">
        <v>0</v>
      </c>
      <c r="Y232" s="358" t="n">
        <v>0</v>
      </c>
      <c r="Z232" s="358" t="n">
        <v>0</v>
      </c>
      <c r="AA232" s="358" t="n">
        <v>0</v>
      </c>
      <c r="AB232" s="373" t="n">
        <v>0</v>
      </c>
      <c r="AC232" s="358" t="n">
        <v>0</v>
      </c>
      <c r="AD232" s="358" t="n">
        <v>0</v>
      </c>
      <c r="AE232" s="358" t="n">
        <v>0</v>
      </c>
      <c r="AF232" s="359" t="n">
        <v>1</v>
      </c>
    </row>
    <row r="233" customFormat="false" ht="15" hidden="true" customHeight="false" outlineLevel="0" collapsed="false">
      <c r="B233" s="360" t="s">
        <v>2719</v>
      </c>
      <c r="C233" s="359" t="n">
        <v>1</v>
      </c>
      <c r="D233" s="358" t="n">
        <v>0</v>
      </c>
      <c r="E233" s="358" t="n">
        <v>0</v>
      </c>
      <c r="F233" s="358" t="n">
        <v>0</v>
      </c>
      <c r="G233" s="372" t="n">
        <v>0</v>
      </c>
      <c r="H233" s="373" t="n">
        <v>0</v>
      </c>
      <c r="I233" s="358" t="n">
        <v>0</v>
      </c>
      <c r="J233" s="358" t="n">
        <v>0</v>
      </c>
      <c r="K233" s="372" t="n">
        <v>0</v>
      </c>
      <c r="L233" s="373" t="n">
        <v>0</v>
      </c>
      <c r="M233" s="358" t="n">
        <v>0</v>
      </c>
      <c r="N233" s="358" t="n">
        <v>0</v>
      </c>
      <c r="O233" s="372" t="n">
        <v>0</v>
      </c>
      <c r="P233" s="373" t="n">
        <v>0</v>
      </c>
      <c r="Q233" s="358" t="n">
        <v>0</v>
      </c>
      <c r="R233" s="358" t="n">
        <v>0</v>
      </c>
      <c r="S233" s="372" t="n">
        <v>0</v>
      </c>
      <c r="T233" s="373" t="n">
        <v>0</v>
      </c>
      <c r="U233" s="358" t="n">
        <v>0</v>
      </c>
      <c r="V233" s="358" t="n">
        <v>0</v>
      </c>
      <c r="W233" s="372" t="n">
        <v>0</v>
      </c>
      <c r="X233" s="373" t="n">
        <v>0</v>
      </c>
      <c r="Y233" s="358" t="n">
        <v>0</v>
      </c>
      <c r="Z233" s="358" t="n">
        <v>0</v>
      </c>
      <c r="AA233" s="358" t="n">
        <v>0</v>
      </c>
      <c r="AB233" s="373" t="n">
        <v>0</v>
      </c>
      <c r="AC233" s="358" t="n">
        <v>0</v>
      </c>
      <c r="AD233" s="358" t="n">
        <v>0</v>
      </c>
      <c r="AE233" s="358" t="n">
        <v>0</v>
      </c>
      <c r="AF233" s="359" t="n">
        <v>1</v>
      </c>
    </row>
    <row r="234" customFormat="false" ht="15" hidden="true" customHeight="false" outlineLevel="0" collapsed="false">
      <c r="B234" s="360" t="s">
        <v>2720</v>
      </c>
      <c r="C234" s="359" t="n">
        <v>1</v>
      </c>
      <c r="D234" s="358" t="n">
        <v>0</v>
      </c>
      <c r="E234" s="358" t="n">
        <v>0</v>
      </c>
      <c r="F234" s="358" t="n">
        <v>0</v>
      </c>
      <c r="G234" s="372" t="n">
        <v>0</v>
      </c>
      <c r="H234" s="373" t="n">
        <v>0</v>
      </c>
      <c r="I234" s="358" t="n">
        <v>0</v>
      </c>
      <c r="J234" s="358" t="n">
        <v>0</v>
      </c>
      <c r="K234" s="372" t="n">
        <v>0</v>
      </c>
      <c r="L234" s="373" t="n">
        <v>0</v>
      </c>
      <c r="M234" s="358" t="n">
        <v>0</v>
      </c>
      <c r="N234" s="358" t="n">
        <v>0</v>
      </c>
      <c r="O234" s="372" t="n">
        <v>0</v>
      </c>
      <c r="P234" s="373" t="n">
        <v>0</v>
      </c>
      <c r="Q234" s="358" t="n">
        <v>0</v>
      </c>
      <c r="R234" s="358" t="n">
        <v>0</v>
      </c>
      <c r="S234" s="372" t="n">
        <v>0</v>
      </c>
      <c r="T234" s="373" t="n">
        <v>0</v>
      </c>
      <c r="U234" s="358" t="n">
        <v>0</v>
      </c>
      <c r="V234" s="358" t="n">
        <v>0</v>
      </c>
      <c r="W234" s="372" t="n">
        <v>0</v>
      </c>
      <c r="X234" s="373" t="n">
        <v>0</v>
      </c>
      <c r="Y234" s="358" t="n">
        <v>0</v>
      </c>
      <c r="Z234" s="358" t="n">
        <v>0</v>
      </c>
      <c r="AA234" s="358" t="n">
        <v>0</v>
      </c>
      <c r="AB234" s="373" t="n">
        <v>0</v>
      </c>
      <c r="AC234" s="358" t="n">
        <v>0</v>
      </c>
      <c r="AD234" s="358" t="n">
        <v>0</v>
      </c>
      <c r="AE234" s="358" t="n">
        <v>0</v>
      </c>
      <c r="AF234" s="359" t="n">
        <v>1</v>
      </c>
    </row>
    <row r="235" customFormat="false" ht="15" hidden="true" customHeight="false" outlineLevel="0" collapsed="false">
      <c r="B235" s="360" t="s">
        <v>2721</v>
      </c>
      <c r="C235" s="359" t="n">
        <v>1</v>
      </c>
      <c r="D235" s="358" t="n">
        <v>0</v>
      </c>
      <c r="E235" s="358" t="n">
        <v>0</v>
      </c>
      <c r="F235" s="358" t="n">
        <v>0</v>
      </c>
      <c r="G235" s="372" t="n">
        <v>0</v>
      </c>
      <c r="H235" s="373" t="n">
        <v>0</v>
      </c>
      <c r="I235" s="358" t="n">
        <v>0</v>
      </c>
      <c r="J235" s="358" t="n">
        <v>0</v>
      </c>
      <c r="K235" s="372" t="n">
        <v>0</v>
      </c>
      <c r="L235" s="373" t="n">
        <v>0</v>
      </c>
      <c r="M235" s="358" t="n">
        <v>0</v>
      </c>
      <c r="N235" s="358" t="n">
        <v>0</v>
      </c>
      <c r="O235" s="372" t="n">
        <v>0</v>
      </c>
      <c r="P235" s="373" t="n">
        <v>0</v>
      </c>
      <c r="Q235" s="358" t="n">
        <v>0</v>
      </c>
      <c r="R235" s="358" t="n">
        <v>0</v>
      </c>
      <c r="S235" s="372" t="n">
        <v>0</v>
      </c>
      <c r="T235" s="373" t="n">
        <v>0</v>
      </c>
      <c r="U235" s="358" t="n">
        <v>0</v>
      </c>
      <c r="V235" s="358" t="n">
        <v>0</v>
      </c>
      <c r="W235" s="372" t="n">
        <v>0</v>
      </c>
      <c r="X235" s="373" t="n">
        <v>0</v>
      </c>
      <c r="Y235" s="358" t="n">
        <v>0</v>
      </c>
      <c r="Z235" s="358" t="n">
        <v>0</v>
      </c>
      <c r="AA235" s="358" t="n">
        <v>0</v>
      </c>
      <c r="AB235" s="373" t="n">
        <v>0</v>
      </c>
      <c r="AC235" s="358" t="n">
        <v>0</v>
      </c>
      <c r="AD235" s="358" t="n">
        <v>0</v>
      </c>
      <c r="AE235" s="358" t="n">
        <v>0</v>
      </c>
      <c r="AF235" s="359" t="n">
        <v>1</v>
      </c>
    </row>
    <row r="236" customFormat="false" ht="15" hidden="true" customHeight="false" outlineLevel="0" collapsed="false">
      <c r="B236" s="360" t="s">
        <v>2722</v>
      </c>
      <c r="C236" s="359" t="n">
        <v>1</v>
      </c>
      <c r="D236" s="358" t="n">
        <v>0</v>
      </c>
      <c r="E236" s="358" t="n">
        <v>0</v>
      </c>
      <c r="F236" s="358" t="n">
        <v>0</v>
      </c>
      <c r="G236" s="372" t="n">
        <v>0</v>
      </c>
      <c r="H236" s="373" t="n">
        <v>0</v>
      </c>
      <c r="I236" s="358" t="n">
        <v>0</v>
      </c>
      <c r="J236" s="358" t="n">
        <v>0</v>
      </c>
      <c r="K236" s="372" t="n">
        <v>0</v>
      </c>
      <c r="L236" s="373" t="n">
        <v>0</v>
      </c>
      <c r="M236" s="358" t="n">
        <v>0</v>
      </c>
      <c r="N236" s="358" t="n">
        <v>0</v>
      </c>
      <c r="O236" s="372" t="n">
        <v>0</v>
      </c>
      <c r="P236" s="373" t="n">
        <v>0</v>
      </c>
      <c r="Q236" s="358" t="n">
        <v>0</v>
      </c>
      <c r="R236" s="358" t="n">
        <v>0</v>
      </c>
      <c r="S236" s="372" t="n">
        <v>0</v>
      </c>
      <c r="T236" s="373" t="n">
        <v>0</v>
      </c>
      <c r="U236" s="358" t="n">
        <v>0</v>
      </c>
      <c r="V236" s="358" t="n">
        <v>0</v>
      </c>
      <c r="W236" s="372" t="n">
        <v>0</v>
      </c>
      <c r="X236" s="373" t="n">
        <v>0</v>
      </c>
      <c r="Y236" s="358" t="n">
        <v>0</v>
      </c>
      <c r="Z236" s="358" t="n">
        <v>0</v>
      </c>
      <c r="AA236" s="358" t="n">
        <v>0</v>
      </c>
      <c r="AB236" s="373" t="n">
        <v>0</v>
      </c>
      <c r="AC236" s="358" t="n">
        <v>0</v>
      </c>
      <c r="AD236" s="358" t="n">
        <v>0</v>
      </c>
      <c r="AE236" s="358" t="n">
        <v>0</v>
      </c>
      <c r="AF236" s="359" t="n">
        <v>1</v>
      </c>
    </row>
    <row r="237" customFormat="false" ht="15" hidden="true" customHeight="false" outlineLevel="0" collapsed="false">
      <c r="B237" s="360" t="s">
        <v>2723</v>
      </c>
      <c r="C237" s="359" t="n">
        <v>1</v>
      </c>
      <c r="D237" s="358" t="n">
        <v>0</v>
      </c>
      <c r="E237" s="358" t="n">
        <v>0</v>
      </c>
      <c r="F237" s="358" t="n">
        <v>0</v>
      </c>
      <c r="G237" s="372" t="n">
        <v>0</v>
      </c>
      <c r="H237" s="373" t="n">
        <v>0</v>
      </c>
      <c r="I237" s="358" t="n">
        <v>0</v>
      </c>
      <c r="J237" s="358" t="n">
        <v>0</v>
      </c>
      <c r="K237" s="372" t="n">
        <v>0</v>
      </c>
      <c r="L237" s="373" t="n">
        <v>0</v>
      </c>
      <c r="M237" s="358" t="n">
        <v>0</v>
      </c>
      <c r="N237" s="358" t="n">
        <v>0</v>
      </c>
      <c r="O237" s="372" t="n">
        <v>0</v>
      </c>
      <c r="P237" s="373" t="n">
        <v>0</v>
      </c>
      <c r="Q237" s="358" t="n">
        <v>0</v>
      </c>
      <c r="R237" s="358" t="n">
        <v>0</v>
      </c>
      <c r="S237" s="372" t="n">
        <v>0</v>
      </c>
      <c r="T237" s="373" t="n">
        <v>0</v>
      </c>
      <c r="U237" s="358" t="n">
        <v>0</v>
      </c>
      <c r="V237" s="358" t="n">
        <v>0</v>
      </c>
      <c r="W237" s="372" t="n">
        <v>0</v>
      </c>
      <c r="X237" s="373" t="n">
        <v>0</v>
      </c>
      <c r="Y237" s="358" t="n">
        <v>0</v>
      </c>
      <c r="Z237" s="358" t="n">
        <v>0</v>
      </c>
      <c r="AA237" s="358" t="n">
        <v>0</v>
      </c>
      <c r="AB237" s="373" t="n">
        <v>0</v>
      </c>
      <c r="AC237" s="358" t="n">
        <v>0</v>
      </c>
      <c r="AD237" s="358" t="n">
        <v>0</v>
      </c>
      <c r="AE237" s="358" t="n">
        <v>0</v>
      </c>
      <c r="AF237" s="359" t="n">
        <v>1</v>
      </c>
    </row>
    <row r="238" customFormat="false" ht="15" hidden="true" customHeight="false" outlineLevel="0" collapsed="false">
      <c r="B238" s="360" t="s">
        <v>2724</v>
      </c>
      <c r="C238" s="359" t="n">
        <v>1</v>
      </c>
      <c r="D238" s="358" t="n">
        <v>0</v>
      </c>
      <c r="E238" s="358" t="n">
        <v>0</v>
      </c>
      <c r="F238" s="358" t="n">
        <v>0</v>
      </c>
      <c r="G238" s="372" t="n">
        <v>0</v>
      </c>
      <c r="H238" s="373" t="n">
        <v>0</v>
      </c>
      <c r="I238" s="358" t="n">
        <v>0</v>
      </c>
      <c r="J238" s="358" t="n">
        <v>0</v>
      </c>
      <c r="K238" s="372" t="n">
        <v>0</v>
      </c>
      <c r="L238" s="373" t="n">
        <v>0</v>
      </c>
      <c r="M238" s="358" t="n">
        <v>0</v>
      </c>
      <c r="N238" s="358" t="n">
        <v>0</v>
      </c>
      <c r="O238" s="372" t="n">
        <v>0</v>
      </c>
      <c r="P238" s="373" t="n">
        <v>0</v>
      </c>
      <c r="Q238" s="358" t="n">
        <v>0</v>
      </c>
      <c r="R238" s="358" t="n">
        <v>0</v>
      </c>
      <c r="S238" s="372" t="n">
        <v>0</v>
      </c>
      <c r="T238" s="373" t="n">
        <v>0</v>
      </c>
      <c r="U238" s="358" t="n">
        <v>0</v>
      </c>
      <c r="V238" s="358" t="n">
        <v>0</v>
      </c>
      <c r="W238" s="372" t="n">
        <v>0</v>
      </c>
      <c r="X238" s="373" t="n">
        <v>0</v>
      </c>
      <c r="Y238" s="358" t="n">
        <v>0</v>
      </c>
      <c r="Z238" s="358" t="n">
        <v>0</v>
      </c>
      <c r="AA238" s="358" t="n">
        <v>0</v>
      </c>
      <c r="AB238" s="373" t="n">
        <v>0</v>
      </c>
      <c r="AC238" s="358" t="n">
        <v>0</v>
      </c>
      <c r="AD238" s="358" t="n">
        <v>0</v>
      </c>
      <c r="AE238" s="358" t="n">
        <v>0</v>
      </c>
      <c r="AF238" s="359" t="n">
        <v>1</v>
      </c>
    </row>
    <row r="239" customFormat="false" ht="15" hidden="true" customHeight="false" outlineLevel="0" collapsed="false">
      <c r="B239" s="360" t="s">
        <v>2725</v>
      </c>
      <c r="C239" s="359" t="n">
        <v>1</v>
      </c>
      <c r="D239" s="358" t="n">
        <v>0</v>
      </c>
      <c r="E239" s="358" t="n">
        <v>0</v>
      </c>
      <c r="F239" s="358" t="n">
        <v>0</v>
      </c>
      <c r="G239" s="372" t="n">
        <v>0</v>
      </c>
      <c r="H239" s="373" t="n">
        <v>0</v>
      </c>
      <c r="I239" s="358" t="n">
        <v>0</v>
      </c>
      <c r="J239" s="358" t="n">
        <v>0</v>
      </c>
      <c r="K239" s="372" t="n">
        <v>0</v>
      </c>
      <c r="L239" s="373" t="n">
        <v>0</v>
      </c>
      <c r="M239" s="358" t="n">
        <v>0</v>
      </c>
      <c r="N239" s="358" t="n">
        <v>0</v>
      </c>
      <c r="O239" s="372" t="n">
        <v>0</v>
      </c>
      <c r="P239" s="373" t="n">
        <v>0</v>
      </c>
      <c r="Q239" s="358" t="n">
        <v>0</v>
      </c>
      <c r="R239" s="358" t="n">
        <v>0</v>
      </c>
      <c r="S239" s="372" t="n">
        <v>0</v>
      </c>
      <c r="T239" s="373" t="n">
        <v>0</v>
      </c>
      <c r="U239" s="358" t="n">
        <v>0</v>
      </c>
      <c r="V239" s="358" t="n">
        <v>0</v>
      </c>
      <c r="W239" s="372" t="n">
        <v>0</v>
      </c>
      <c r="X239" s="373" t="n">
        <v>0</v>
      </c>
      <c r="Y239" s="358" t="n">
        <v>0</v>
      </c>
      <c r="Z239" s="358" t="n">
        <v>0</v>
      </c>
      <c r="AA239" s="358" t="n">
        <v>0</v>
      </c>
      <c r="AB239" s="373" t="n">
        <v>0</v>
      </c>
      <c r="AC239" s="358" t="n">
        <v>0</v>
      </c>
      <c r="AD239" s="358" t="n">
        <v>0</v>
      </c>
      <c r="AE239" s="358" t="n">
        <v>0</v>
      </c>
      <c r="AF239" s="359" t="n">
        <v>1</v>
      </c>
    </row>
    <row r="240" customFormat="false" ht="15" hidden="true" customHeight="false" outlineLevel="0" collapsed="false">
      <c r="B240" s="360" t="s">
        <v>2726</v>
      </c>
      <c r="C240" s="359" t="n">
        <v>1</v>
      </c>
      <c r="D240" s="358" t="n">
        <v>0</v>
      </c>
      <c r="E240" s="358" t="n">
        <v>0</v>
      </c>
      <c r="F240" s="358" t="n">
        <v>0</v>
      </c>
      <c r="G240" s="372" t="n">
        <v>0</v>
      </c>
      <c r="H240" s="373" t="n">
        <v>0</v>
      </c>
      <c r="I240" s="358" t="n">
        <v>0</v>
      </c>
      <c r="J240" s="358" t="n">
        <v>0</v>
      </c>
      <c r="K240" s="372" t="n">
        <v>0</v>
      </c>
      <c r="L240" s="373" t="n">
        <v>0</v>
      </c>
      <c r="M240" s="358" t="n">
        <v>0</v>
      </c>
      <c r="N240" s="358" t="n">
        <v>0</v>
      </c>
      <c r="O240" s="372" t="n">
        <v>0</v>
      </c>
      <c r="P240" s="373" t="n">
        <v>0</v>
      </c>
      <c r="Q240" s="358" t="n">
        <v>0</v>
      </c>
      <c r="R240" s="358" t="n">
        <v>0</v>
      </c>
      <c r="S240" s="372" t="n">
        <v>0</v>
      </c>
      <c r="T240" s="373" t="n">
        <v>0</v>
      </c>
      <c r="U240" s="358" t="n">
        <v>0</v>
      </c>
      <c r="V240" s="358" t="n">
        <v>0</v>
      </c>
      <c r="W240" s="372" t="n">
        <v>0</v>
      </c>
      <c r="X240" s="373" t="n">
        <v>0</v>
      </c>
      <c r="Y240" s="358" t="n">
        <v>0</v>
      </c>
      <c r="Z240" s="358" t="n">
        <v>0</v>
      </c>
      <c r="AA240" s="358" t="n">
        <v>0</v>
      </c>
      <c r="AB240" s="373" t="n">
        <v>0</v>
      </c>
      <c r="AC240" s="358" t="n">
        <v>0</v>
      </c>
      <c r="AD240" s="358" t="n">
        <v>0</v>
      </c>
      <c r="AE240" s="358" t="n">
        <v>0</v>
      </c>
      <c r="AF240" s="359" t="n">
        <v>1</v>
      </c>
    </row>
    <row r="241" customFormat="false" ht="15" hidden="true" customHeight="false" outlineLevel="0" collapsed="false">
      <c r="B241" s="360" t="s">
        <v>2727</v>
      </c>
      <c r="C241" s="359" t="n">
        <v>1</v>
      </c>
      <c r="D241" s="358" t="n">
        <v>0</v>
      </c>
      <c r="E241" s="358" t="n">
        <v>0</v>
      </c>
      <c r="F241" s="358" t="n">
        <v>0</v>
      </c>
      <c r="G241" s="372" t="n">
        <v>0</v>
      </c>
      <c r="H241" s="373" t="n">
        <v>0</v>
      </c>
      <c r="I241" s="358" t="n">
        <v>0</v>
      </c>
      <c r="J241" s="358" t="n">
        <v>0</v>
      </c>
      <c r="K241" s="372" t="n">
        <v>0</v>
      </c>
      <c r="L241" s="373" t="n">
        <v>0</v>
      </c>
      <c r="M241" s="358" t="n">
        <v>0</v>
      </c>
      <c r="N241" s="358" t="n">
        <v>0</v>
      </c>
      <c r="O241" s="372" t="n">
        <v>0</v>
      </c>
      <c r="P241" s="373" t="n">
        <v>0</v>
      </c>
      <c r="Q241" s="358" t="n">
        <v>0</v>
      </c>
      <c r="R241" s="358" t="n">
        <v>0</v>
      </c>
      <c r="S241" s="372" t="n">
        <v>0</v>
      </c>
      <c r="T241" s="373" t="n">
        <v>0</v>
      </c>
      <c r="U241" s="358" t="n">
        <v>0</v>
      </c>
      <c r="V241" s="358" t="n">
        <v>0</v>
      </c>
      <c r="W241" s="372" t="n">
        <v>0</v>
      </c>
      <c r="X241" s="373" t="n">
        <v>0</v>
      </c>
      <c r="Y241" s="358" t="n">
        <v>0</v>
      </c>
      <c r="Z241" s="358" t="n">
        <v>0</v>
      </c>
      <c r="AA241" s="358" t="n">
        <v>0</v>
      </c>
      <c r="AB241" s="373" t="n">
        <v>0</v>
      </c>
      <c r="AC241" s="358" t="n">
        <v>0</v>
      </c>
      <c r="AD241" s="358" t="n">
        <v>0</v>
      </c>
      <c r="AE241" s="358" t="n">
        <v>0</v>
      </c>
      <c r="AF241" s="359" t="n">
        <v>1</v>
      </c>
    </row>
    <row r="242" customFormat="false" ht="15" hidden="true" customHeight="false" outlineLevel="0" collapsed="false">
      <c r="B242" s="360" t="s">
        <v>2728</v>
      </c>
      <c r="C242" s="359" t="n">
        <v>1</v>
      </c>
      <c r="D242" s="358" t="n">
        <v>0</v>
      </c>
      <c r="E242" s="358" t="n">
        <v>0</v>
      </c>
      <c r="F242" s="358" t="n">
        <v>0</v>
      </c>
      <c r="G242" s="372" t="n">
        <v>0</v>
      </c>
      <c r="H242" s="373" t="n">
        <v>0</v>
      </c>
      <c r="I242" s="358" t="n">
        <v>0</v>
      </c>
      <c r="J242" s="358" t="n">
        <v>0</v>
      </c>
      <c r="K242" s="372" t="n">
        <v>0</v>
      </c>
      <c r="L242" s="373" t="n">
        <v>0</v>
      </c>
      <c r="M242" s="358" t="n">
        <v>0</v>
      </c>
      <c r="N242" s="358" t="n">
        <v>0</v>
      </c>
      <c r="O242" s="372" t="n">
        <v>0</v>
      </c>
      <c r="P242" s="373" t="n">
        <v>0</v>
      </c>
      <c r="Q242" s="358" t="n">
        <v>0</v>
      </c>
      <c r="R242" s="358" t="n">
        <v>0</v>
      </c>
      <c r="S242" s="372" t="n">
        <v>0</v>
      </c>
      <c r="T242" s="373" t="n">
        <v>0</v>
      </c>
      <c r="U242" s="358" t="n">
        <v>0</v>
      </c>
      <c r="V242" s="358" t="n">
        <v>0</v>
      </c>
      <c r="W242" s="372" t="n">
        <v>0</v>
      </c>
      <c r="X242" s="373" t="n">
        <v>0</v>
      </c>
      <c r="Y242" s="358" t="n">
        <v>0</v>
      </c>
      <c r="Z242" s="358" t="n">
        <v>0</v>
      </c>
      <c r="AA242" s="358" t="n">
        <v>0</v>
      </c>
      <c r="AB242" s="373" t="n">
        <v>0</v>
      </c>
      <c r="AC242" s="358" t="n">
        <v>0</v>
      </c>
      <c r="AD242" s="358" t="n">
        <v>0</v>
      </c>
      <c r="AE242" s="358" t="n">
        <v>0</v>
      </c>
      <c r="AF242" s="359" t="n">
        <v>1</v>
      </c>
    </row>
    <row r="243" customFormat="false" ht="15" hidden="true" customHeight="false" outlineLevel="0" collapsed="false">
      <c r="B243" s="360" t="s">
        <v>2729</v>
      </c>
      <c r="C243" s="359" t="n">
        <v>1</v>
      </c>
      <c r="D243" s="358" t="n">
        <v>0</v>
      </c>
      <c r="E243" s="358" t="n">
        <v>0</v>
      </c>
      <c r="F243" s="358" t="n">
        <v>0</v>
      </c>
      <c r="G243" s="372" t="n">
        <v>0</v>
      </c>
      <c r="H243" s="373" t="n">
        <v>0</v>
      </c>
      <c r="I243" s="358" t="n">
        <v>0</v>
      </c>
      <c r="J243" s="358" t="n">
        <v>0</v>
      </c>
      <c r="K243" s="372" t="n">
        <v>0</v>
      </c>
      <c r="L243" s="373" t="n">
        <v>0</v>
      </c>
      <c r="M243" s="358" t="n">
        <v>0</v>
      </c>
      <c r="N243" s="358" t="n">
        <v>0</v>
      </c>
      <c r="O243" s="372" t="n">
        <v>0</v>
      </c>
      <c r="P243" s="373" t="n">
        <v>0</v>
      </c>
      <c r="Q243" s="358" t="n">
        <v>0</v>
      </c>
      <c r="R243" s="358" t="n">
        <v>0</v>
      </c>
      <c r="S243" s="372" t="n">
        <v>0</v>
      </c>
      <c r="T243" s="373" t="n">
        <v>0</v>
      </c>
      <c r="U243" s="358" t="n">
        <v>0</v>
      </c>
      <c r="V243" s="358" t="n">
        <v>0</v>
      </c>
      <c r="W243" s="372" t="n">
        <v>0</v>
      </c>
      <c r="X243" s="373" t="n">
        <v>0</v>
      </c>
      <c r="Y243" s="358" t="n">
        <v>0</v>
      </c>
      <c r="Z243" s="358" t="n">
        <v>0</v>
      </c>
      <c r="AA243" s="358" t="n">
        <v>0</v>
      </c>
      <c r="AB243" s="373" t="n">
        <v>0</v>
      </c>
      <c r="AC243" s="358" t="n">
        <v>0</v>
      </c>
      <c r="AD243" s="358" t="n">
        <v>0</v>
      </c>
      <c r="AE243" s="358" t="n">
        <v>0</v>
      </c>
      <c r="AF243" s="359" t="n">
        <v>1</v>
      </c>
    </row>
    <row r="244" customFormat="false" ht="15" hidden="true" customHeight="false" outlineLevel="0" collapsed="false">
      <c r="B244" s="360" t="s">
        <v>2730</v>
      </c>
      <c r="C244" s="359" t="n">
        <v>1</v>
      </c>
      <c r="D244" s="358" t="n">
        <v>0</v>
      </c>
      <c r="E244" s="358" t="n">
        <v>0</v>
      </c>
      <c r="F244" s="358" t="n">
        <v>0</v>
      </c>
      <c r="G244" s="372" t="n">
        <v>0</v>
      </c>
      <c r="H244" s="373" t="n">
        <v>0</v>
      </c>
      <c r="I244" s="358" t="n">
        <v>0</v>
      </c>
      <c r="J244" s="358" t="n">
        <v>0</v>
      </c>
      <c r="K244" s="372" t="n">
        <v>0</v>
      </c>
      <c r="L244" s="373" t="n">
        <v>0</v>
      </c>
      <c r="M244" s="358" t="n">
        <v>0</v>
      </c>
      <c r="N244" s="358" t="n">
        <v>0</v>
      </c>
      <c r="O244" s="372" t="n">
        <v>0</v>
      </c>
      <c r="P244" s="373" t="n">
        <v>0</v>
      </c>
      <c r="Q244" s="358" t="n">
        <v>0</v>
      </c>
      <c r="R244" s="358" t="n">
        <v>0</v>
      </c>
      <c r="S244" s="372" t="n">
        <v>0</v>
      </c>
      <c r="T244" s="373" t="n">
        <v>0</v>
      </c>
      <c r="U244" s="358" t="n">
        <v>0</v>
      </c>
      <c r="V244" s="358" t="n">
        <v>0</v>
      </c>
      <c r="W244" s="372" t="n">
        <v>0</v>
      </c>
      <c r="X244" s="373" t="n">
        <v>0</v>
      </c>
      <c r="Y244" s="358" t="n">
        <v>0</v>
      </c>
      <c r="Z244" s="358" t="n">
        <v>0</v>
      </c>
      <c r="AA244" s="358" t="n">
        <v>0</v>
      </c>
      <c r="AB244" s="373" t="n">
        <v>0</v>
      </c>
      <c r="AC244" s="358" t="n">
        <v>0</v>
      </c>
      <c r="AD244" s="358" t="n">
        <v>0</v>
      </c>
      <c r="AE244" s="358" t="n">
        <v>0</v>
      </c>
      <c r="AF244" s="359" t="n">
        <v>1</v>
      </c>
    </row>
    <row r="245" customFormat="false" ht="15" hidden="true" customHeight="false" outlineLevel="0" collapsed="false">
      <c r="B245" s="360" t="s">
        <v>2731</v>
      </c>
      <c r="C245" s="359" t="n">
        <v>1</v>
      </c>
      <c r="D245" s="358" t="n">
        <v>0</v>
      </c>
      <c r="E245" s="358" t="n">
        <v>0</v>
      </c>
      <c r="F245" s="358" t="n">
        <v>0</v>
      </c>
      <c r="G245" s="372" t="n">
        <v>0</v>
      </c>
      <c r="H245" s="373" t="n">
        <v>0</v>
      </c>
      <c r="I245" s="358" t="n">
        <v>0</v>
      </c>
      <c r="J245" s="358" t="n">
        <v>0</v>
      </c>
      <c r="K245" s="372" t="n">
        <v>0</v>
      </c>
      <c r="L245" s="373" t="n">
        <v>0</v>
      </c>
      <c r="M245" s="358" t="n">
        <v>0</v>
      </c>
      <c r="N245" s="358" t="n">
        <v>0</v>
      </c>
      <c r="O245" s="372" t="n">
        <v>0</v>
      </c>
      <c r="P245" s="373" t="n">
        <v>0</v>
      </c>
      <c r="Q245" s="358" t="n">
        <v>0</v>
      </c>
      <c r="R245" s="358" t="n">
        <v>0</v>
      </c>
      <c r="S245" s="372" t="n">
        <v>0</v>
      </c>
      <c r="T245" s="373" t="n">
        <v>0</v>
      </c>
      <c r="U245" s="358" t="n">
        <v>0</v>
      </c>
      <c r="V245" s="358" t="n">
        <v>0</v>
      </c>
      <c r="W245" s="372" t="n">
        <v>0</v>
      </c>
      <c r="X245" s="373" t="n">
        <v>0</v>
      </c>
      <c r="Y245" s="358" t="n">
        <v>0</v>
      </c>
      <c r="Z245" s="358" t="n">
        <v>0</v>
      </c>
      <c r="AA245" s="358" t="n">
        <v>0</v>
      </c>
      <c r="AB245" s="373" t="n">
        <v>0</v>
      </c>
      <c r="AC245" s="358" t="n">
        <v>0</v>
      </c>
      <c r="AD245" s="358" t="n">
        <v>0</v>
      </c>
      <c r="AE245" s="358" t="n">
        <v>0</v>
      </c>
      <c r="AF245" s="359" t="n">
        <v>1</v>
      </c>
    </row>
    <row r="246" customFormat="false" ht="15" hidden="true" customHeight="false" outlineLevel="0" collapsed="false">
      <c r="B246" s="360" t="s">
        <v>2732</v>
      </c>
      <c r="C246" s="359" t="n">
        <v>1</v>
      </c>
      <c r="D246" s="358" t="n">
        <v>0</v>
      </c>
      <c r="E246" s="358" t="n">
        <v>0</v>
      </c>
      <c r="F246" s="358" t="n">
        <v>0</v>
      </c>
      <c r="G246" s="372" t="n">
        <v>0</v>
      </c>
      <c r="H246" s="373" t="n">
        <v>0</v>
      </c>
      <c r="I246" s="358" t="n">
        <v>0</v>
      </c>
      <c r="J246" s="358" t="n">
        <v>0</v>
      </c>
      <c r="K246" s="372" t="n">
        <v>0</v>
      </c>
      <c r="L246" s="373" t="n">
        <v>0</v>
      </c>
      <c r="M246" s="358" t="n">
        <v>0</v>
      </c>
      <c r="N246" s="358" t="n">
        <v>0</v>
      </c>
      <c r="O246" s="372" t="n">
        <v>0</v>
      </c>
      <c r="P246" s="373" t="n">
        <v>0</v>
      </c>
      <c r="Q246" s="358" t="n">
        <v>0</v>
      </c>
      <c r="R246" s="358" t="n">
        <v>0</v>
      </c>
      <c r="S246" s="372" t="n">
        <v>0</v>
      </c>
      <c r="T246" s="373" t="n">
        <v>0</v>
      </c>
      <c r="U246" s="358" t="n">
        <v>0</v>
      </c>
      <c r="V246" s="358" t="n">
        <v>0</v>
      </c>
      <c r="W246" s="372" t="n">
        <v>0</v>
      </c>
      <c r="X246" s="373" t="n">
        <v>0</v>
      </c>
      <c r="Y246" s="358" t="n">
        <v>0</v>
      </c>
      <c r="Z246" s="358" t="n">
        <v>0</v>
      </c>
      <c r="AA246" s="358" t="n">
        <v>0</v>
      </c>
      <c r="AB246" s="373" t="n">
        <v>0</v>
      </c>
      <c r="AC246" s="358" t="n">
        <v>0</v>
      </c>
      <c r="AD246" s="358" t="n">
        <v>0</v>
      </c>
      <c r="AE246" s="358" t="n">
        <v>0</v>
      </c>
      <c r="AF246" s="359" t="n">
        <v>1</v>
      </c>
    </row>
    <row r="247" customFormat="false" ht="15" hidden="true" customHeight="false" outlineLevel="0" collapsed="false">
      <c r="B247" s="360" t="s">
        <v>2733</v>
      </c>
      <c r="C247" s="359" t="n">
        <v>1</v>
      </c>
      <c r="D247" s="358" t="n">
        <v>0</v>
      </c>
      <c r="E247" s="358" t="n">
        <v>0</v>
      </c>
      <c r="F247" s="358" t="n">
        <v>0</v>
      </c>
      <c r="G247" s="372" t="n">
        <v>0</v>
      </c>
      <c r="H247" s="373" t="n">
        <v>0</v>
      </c>
      <c r="I247" s="358" t="n">
        <v>0</v>
      </c>
      <c r="J247" s="358" t="n">
        <v>0</v>
      </c>
      <c r="K247" s="372" t="n">
        <v>0</v>
      </c>
      <c r="L247" s="373" t="n">
        <v>0</v>
      </c>
      <c r="M247" s="358" t="n">
        <v>0</v>
      </c>
      <c r="N247" s="358" t="n">
        <v>0</v>
      </c>
      <c r="O247" s="372" t="n">
        <v>0</v>
      </c>
      <c r="P247" s="373" t="n">
        <v>0</v>
      </c>
      <c r="Q247" s="358" t="n">
        <v>0</v>
      </c>
      <c r="R247" s="358" t="n">
        <v>0</v>
      </c>
      <c r="S247" s="372" t="n">
        <v>0</v>
      </c>
      <c r="T247" s="373" t="n">
        <v>0</v>
      </c>
      <c r="U247" s="358" t="n">
        <v>0</v>
      </c>
      <c r="V247" s="358" t="n">
        <v>0</v>
      </c>
      <c r="W247" s="372" t="n">
        <v>0</v>
      </c>
      <c r="X247" s="373" t="n">
        <v>0</v>
      </c>
      <c r="Y247" s="358" t="n">
        <v>0</v>
      </c>
      <c r="Z247" s="358" t="n">
        <v>0</v>
      </c>
      <c r="AA247" s="358" t="n">
        <v>0</v>
      </c>
      <c r="AB247" s="373" t="n">
        <v>0</v>
      </c>
      <c r="AC247" s="358" t="n">
        <v>0</v>
      </c>
      <c r="AD247" s="358" t="n">
        <v>0</v>
      </c>
      <c r="AE247" s="358" t="n">
        <v>0</v>
      </c>
      <c r="AF247" s="359" t="n">
        <v>1</v>
      </c>
    </row>
    <row r="248" customFormat="false" ht="15" hidden="true" customHeight="false" outlineLevel="0" collapsed="false">
      <c r="B248" s="360" t="s">
        <v>2734</v>
      </c>
      <c r="C248" s="359" t="n">
        <v>1</v>
      </c>
      <c r="D248" s="358" t="n">
        <v>0</v>
      </c>
      <c r="E248" s="358" t="n">
        <v>0</v>
      </c>
      <c r="F248" s="358" t="n">
        <v>0</v>
      </c>
      <c r="G248" s="372" t="n">
        <v>0</v>
      </c>
      <c r="H248" s="373" t="n">
        <v>0</v>
      </c>
      <c r="I248" s="358" t="n">
        <v>0</v>
      </c>
      <c r="J248" s="358" t="n">
        <v>0</v>
      </c>
      <c r="K248" s="372" t="n">
        <v>0</v>
      </c>
      <c r="L248" s="373" t="n">
        <v>0</v>
      </c>
      <c r="M248" s="358" t="n">
        <v>0</v>
      </c>
      <c r="N248" s="358" t="n">
        <v>0</v>
      </c>
      <c r="O248" s="372" t="n">
        <v>0</v>
      </c>
      <c r="P248" s="373" t="n">
        <v>0</v>
      </c>
      <c r="Q248" s="358" t="n">
        <v>0</v>
      </c>
      <c r="R248" s="358" t="n">
        <v>0</v>
      </c>
      <c r="S248" s="372" t="n">
        <v>0</v>
      </c>
      <c r="T248" s="373" t="n">
        <v>0</v>
      </c>
      <c r="U248" s="358" t="n">
        <v>0</v>
      </c>
      <c r="V248" s="358" t="n">
        <v>0</v>
      </c>
      <c r="W248" s="372" t="n">
        <v>0</v>
      </c>
      <c r="X248" s="373" t="n">
        <v>0</v>
      </c>
      <c r="Y248" s="358" t="n">
        <v>0</v>
      </c>
      <c r="Z248" s="358" t="n">
        <v>0</v>
      </c>
      <c r="AA248" s="358" t="n">
        <v>0</v>
      </c>
      <c r="AB248" s="373" t="n">
        <v>0</v>
      </c>
      <c r="AC248" s="358" t="n">
        <v>0</v>
      </c>
      <c r="AD248" s="358" t="n">
        <v>0</v>
      </c>
      <c r="AE248" s="358" t="n">
        <v>0</v>
      </c>
      <c r="AF248" s="359" t="n">
        <v>1</v>
      </c>
    </row>
    <row r="249" customFormat="false" ht="15" hidden="true" customHeight="false" outlineLevel="0" collapsed="false">
      <c r="B249" s="360" t="s">
        <v>2735</v>
      </c>
      <c r="C249" s="359" t="n">
        <v>1</v>
      </c>
      <c r="D249" s="358" t="n">
        <v>0</v>
      </c>
      <c r="E249" s="358" t="n">
        <v>0</v>
      </c>
      <c r="F249" s="358" t="n">
        <v>0</v>
      </c>
      <c r="G249" s="372" t="n">
        <v>0</v>
      </c>
      <c r="H249" s="373" t="n">
        <v>0</v>
      </c>
      <c r="I249" s="358" t="n">
        <v>0</v>
      </c>
      <c r="J249" s="358" t="n">
        <v>0</v>
      </c>
      <c r="K249" s="372" t="n">
        <v>0</v>
      </c>
      <c r="L249" s="373" t="n">
        <v>0</v>
      </c>
      <c r="M249" s="358" t="n">
        <v>0</v>
      </c>
      <c r="N249" s="358" t="n">
        <v>0</v>
      </c>
      <c r="O249" s="372" t="n">
        <v>0</v>
      </c>
      <c r="P249" s="373" t="n">
        <v>0</v>
      </c>
      <c r="Q249" s="358" t="n">
        <v>0</v>
      </c>
      <c r="R249" s="358" t="n">
        <v>0</v>
      </c>
      <c r="S249" s="372" t="n">
        <v>0</v>
      </c>
      <c r="T249" s="373" t="n">
        <v>0</v>
      </c>
      <c r="U249" s="358" t="n">
        <v>0</v>
      </c>
      <c r="V249" s="358" t="n">
        <v>0</v>
      </c>
      <c r="W249" s="372" t="n">
        <v>0</v>
      </c>
      <c r="X249" s="373" t="n">
        <v>0</v>
      </c>
      <c r="Y249" s="358" t="n">
        <v>0</v>
      </c>
      <c r="Z249" s="358" t="n">
        <v>0</v>
      </c>
      <c r="AA249" s="358" t="n">
        <v>0</v>
      </c>
      <c r="AB249" s="373" t="n">
        <v>0</v>
      </c>
      <c r="AC249" s="358" t="n">
        <v>0</v>
      </c>
      <c r="AD249" s="358" t="n">
        <v>0</v>
      </c>
      <c r="AE249" s="358" t="n">
        <v>0</v>
      </c>
      <c r="AF249" s="359" t="n">
        <v>1</v>
      </c>
    </row>
    <row r="250" customFormat="false" ht="15" hidden="true" customHeight="false" outlineLevel="0" collapsed="false">
      <c r="B250" s="360" t="s">
        <v>2736</v>
      </c>
      <c r="C250" s="359" t="n">
        <v>1</v>
      </c>
      <c r="D250" s="358" t="n">
        <v>0</v>
      </c>
      <c r="E250" s="358" t="n">
        <v>0</v>
      </c>
      <c r="F250" s="358" t="n">
        <v>0</v>
      </c>
      <c r="G250" s="372" t="n">
        <v>0</v>
      </c>
      <c r="H250" s="373" t="n">
        <v>0</v>
      </c>
      <c r="I250" s="358" t="n">
        <v>0</v>
      </c>
      <c r="J250" s="358" t="n">
        <v>0</v>
      </c>
      <c r="K250" s="372" t="n">
        <v>0</v>
      </c>
      <c r="L250" s="373" t="n">
        <v>0</v>
      </c>
      <c r="M250" s="358" t="n">
        <v>0</v>
      </c>
      <c r="N250" s="358" t="n">
        <v>0</v>
      </c>
      <c r="O250" s="372" t="n">
        <v>0</v>
      </c>
      <c r="P250" s="373" t="n">
        <v>0</v>
      </c>
      <c r="Q250" s="358" t="n">
        <v>0</v>
      </c>
      <c r="R250" s="358" t="n">
        <v>0</v>
      </c>
      <c r="S250" s="372" t="n">
        <v>0</v>
      </c>
      <c r="T250" s="373" t="n">
        <v>0</v>
      </c>
      <c r="U250" s="358" t="n">
        <v>0</v>
      </c>
      <c r="V250" s="358" t="n">
        <v>0</v>
      </c>
      <c r="W250" s="372" t="n">
        <v>0</v>
      </c>
      <c r="X250" s="373" t="n">
        <v>0</v>
      </c>
      <c r="Y250" s="358" t="n">
        <v>0</v>
      </c>
      <c r="Z250" s="358" t="n">
        <v>0</v>
      </c>
      <c r="AA250" s="358" t="n">
        <v>0</v>
      </c>
      <c r="AB250" s="373" t="n">
        <v>0</v>
      </c>
      <c r="AC250" s="358" t="n">
        <v>0</v>
      </c>
      <c r="AD250" s="358" t="n">
        <v>0</v>
      </c>
      <c r="AE250" s="358" t="n">
        <v>0</v>
      </c>
      <c r="AF250" s="359" t="n">
        <v>1</v>
      </c>
    </row>
    <row r="251" customFormat="false" ht="15" hidden="true" customHeight="false" outlineLevel="0" collapsed="false">
      <c r="B251" s="360" t="s">
        <v>2737</v>
      </c>
      <c r="C251" s="359" t="n">
        <v>1</v>
      </c>
      <c r="D251" s="358" t="n">
        <v>0</v>
      </c>
      <c r="E251" s="358" t="n">
        <v>0</v>
      </c>
      <c r="F251" s="358" t="n">
        <v>0</v>
      </c>
      <c r="G251" s="372" t="n">
        <v>0</v>
      </c>
      <c r="H251" s="373" t="n">
        <v>0</v>
      </c>
      <c r="I251" s="358" t="n">
        <v>0</v>
      </c>
      <c r="J251" s="358" t="n">
        <v>0</v>
      </c>
      <c r="K251" s="372" t="n">
        <v>0</v>
      </c>
      <c r="L251" s="373" t="n">
        <v>0</v>
      </c>
      <c r="M251" s="358" t="n">
        <v>0</v>
      </c>
      <c r="N251" s="358" t="n">
        <v>0</v>
      </c>
      <c r="O251" s="372" t="n">
        <v>0</v>
      </c>
      <c r="P251" s="373" t="n">
        <v>0</v>
      </c>
      <c r="Q251" s="358" t="n">
        <v>0</v>
      </c>
      <c r="R251" s="358" t="n">
        <v>0</v>
      </c>
      <c r="S251" s="372" t="n">
        <v>0</v>
      </c>
      <c r="T251" s="373" t="n">
        <v>0</v>
      </c>
      <c r="U251" s="358" t="n">
        <v>0</v>
      </c>
      <c r="V251" s="358" t="n">
        <v>0</v>
      </c>
      <c r="W251" s="372" t="n">
        <v>0</v>
      </c>
      <c r="X251" s="373" t="n">
        <v>0</v>
      </c>
      <c r="Y251" s="358" t="n">
        <v>0</v>
      </c>
      <c r="Z251" s="358" t="n">
        <v>0</v>
      </c>
      <c r="AA251" s="358" t="n">
        <v>0</v>
      </c>
      <c r="AB251" s="373" t="n">
        <v>0</v>
      </c>
      <c r="AC251" s="358" t="n">
        <v>0</v>
      </c>
      <c r="AD251" s="358" t="n">
        <v>0</v>
      </c>
      <c r="AE251" s="358" t="n">
        <v>0</v>
      </c>
      <c r="AF251" s="359" t="n">
        <v>1</v>
      </c>
    </row>
    <row r="252" customFormat="false" ht="15" hidden="true" customHeight="false" outlineLevel="0" collapsed="false">
      <c r="B252" s="360" t="s">
        <v>2738</v>
      </c>
      <c r="C252" s="359" t="n">
        <v>1</v>
      </c>
      <c r="D252" s="358" t="n">
        <v>0</v>
      </c>
      <c r="E252" s="358" t="n">
        <v>0</v>
      </c>
      <c r="F252" s="358" t="n">
        <v>0</v>
      </c>
      <c r="G252" s="372" t="n">
        <v>0</v>
      </c>
      <c r="H252" s="373" t="n">
        <v>0</v>
      </c>
      <c r="I252" s="358" t="n">
        <v>0</v>
      </c>
      <c r="J252" s="358" t="n">
        <v>0</v>
      </c>
      <c r="K252" s="372" t="n">
        <v>0</v>
      </c>
      <c r="L252" s="373" t="n">
        <v>0</v>
      </c>
      <c r="M252" s="358" t="n">
        <v>0</v>
      </c>
      <c r="N252" s="358" t="n">
        <v>0</v>
      </c>
      <c r="O252" s="372" t="n">
        <v>0</v>
      </c>
      <c r="P252" s="373" t="n">
        <v>0</v>
      </c>
      <c r="Q252" s="358" t="n">
        <v>0</v>
      </c>
      <c r="R252" s="358" t="n">
        <v>0</v>
      </c>
      <c r="S252" s="372" t="n">
        <v>0</v>
      </c>
      <c r="T252" s="373" t="n">
        <v>0</v>
      </c>
      <c r="U252" s="358" t="n">
        <v>0</v>
      </c>
      <c r="V252" s="358" t="n">
        <v>0</v>
      </c>
      <c r="W252" s="372" t="n">
        <v>0</v>
      </c>
      <c r="X252" s="373" t="n">
        <v>0</v>
      </c>
      <c r="Y252" s="358" t="n">
        <v>0</v>
      </c>
      <c r="Z252" s="358" t="n">
        <v>0</v>
      </c>
      <c r="AA252" s="358" t="n">
        <v>0</v>
      </c>
      <c r="AB252" s="373" t="n">
        <v>0</v>
      </c>
      <c r="AC252" s="358" t="n">
        <v>0</v>
      </c>
      <c r="AD252" s="358" t="n">
        <v>0</v>
      </c>
      <c r="AE252" s="358" t="n">
        <v>0</v>
      </c>
      <c r="AF252" s="359" t="n">
        <v>1</v>
      </c>
    </row>
    <row r="253" customFormat="false" ht="15" hidden="true" customHeight="false" outlineLevel="0" collapsed="false">
      <c r="B253" s="360" t="s">
        <v>2739</v>
      </c>
      <c r="C253" s="359" t="n">
        <v>1</v>
      </c>
      <c r="D253" s="358" t="n">
        <v>0</v>
      </c>
      <c r="E253" s="358" t="n">
        <v>0</v>
      </c>
      <c r="F253" s="358" t="n">
        <v>0</v>
      </c>
      <c r="G253" s="372" t="n">
        <v>0</v>
      </c>
      <c r="H253" s="373" t="n">
        <v>0</v>
      </c>
      <c r="I253" s="358" t="n">
        <v>0</v>
      </c>
      <c r="J253" s="358" t="n">
        <v>0</v>
      </c>
      <c r="K253" s="372" t="n">
        <v>0</v>
      </c>
      <c r="L253" s="373" t="n">
        <v>0</v>
      </c>
      <c r="M253" s="358" t="n">
        <v>0</v>
      </c>
      <c r="N253" s="358" t="n">
        <v>0</v>
      </c>
      <c r="O253" s="372" t="n">
        <v>0</v>
      </c>
      <c r="P253" s="373" t="n">
        <v>0</v>
      </c>
      <c r="Q253" s="358" t="n">
        <v>0</v>
      </c>
      <c r="R253" s="358" t="n">
        <v>0</v>
      </c>
      <c r="S253" s="372" t="n">
        <v>0</v>
      </c>
      <c r="T253" s="373" t="n">
        <v>0</v>
      </c>
      <c r="U253" s="358" t="n">
        <v>0</v>
      </c>
      <c r="V253" s="358" t="n">
        <v>0</v>
      </c>
      <c r="W253" s="372" t="n">
        <v>0</v>
      </c>
      <c r="X253" s="373" t="n">
        <v>0</v>
      </c>
      <c r="Y253" s="358" t="n">
        <v>0</v>
      </c>
      <c r="Z253" s="358" t="n">
        <v>0</v>
      </c>
      <c r="AA253" s="358" t="n">
        <v>0</v>
      </c>
      <c r="AB253" s="373" t="n">
        <v>0</v>
      </c>
      <c r="AC253" s="358" t="n">
        <v>0</v>
      </c>
      <c r="AD253" s="358" t="n">
        <v>0</v>
      </c>
      <c r="AE253" s="358" t="n">
        <v>0</v>
      </c>
      <c r="AF253" s="359" t="n">
        <v>1</v>
      </c>
    </row>
    <row r="254" customFormat="false" ht="15" hidden="true" customHeight="false" outlineLevel="0" collapsed="false">
      <c r="B254" s="360" t="s">
        <v>2740</v>
      </c>
      <c r="C254" s="359" t="n">
        <v>1</v>
      </c>
      <c r="D254" s="358" t="n">
        <v>0</v>
      </c>
      <c r="E254" s="358" t="n">
        <v>0</v>
      </c>
      <c r="F254" s="358" t="n">
        <v>0</v>
      </c>
      <c r="G254" s="372" t="n">
        <v>0</v>
      </c>
      <c r="H254" s="373" t="n">
        <v>0</v>
      </c>
      <c r="I254" s="358" t="n">
        <v>0</v>
      </c>
      <c r="J254" s="358" t="n">
        <v>0</v>
      </c>
      <c r="K254" s="372" t="n">
        <v>0</v>
      </c>
      <c r="L254" s="373" t="n">
        <v>0</v>
      </c>
      <c r="M254" s="358" t="n">
        <v>0</v>
      </c>
      <c r="N254" s="358" t="n">
        <v>0</v>
      </c>
      <c r="O254" s="372" t="n">
        <v>0</v>
      </c>
      <c r="P254" s="373" t="n">
        <v>0</v>
      </c>
      <c r="Q254" s="358" t="n">
        <v>0</v>
      </c>
      <c r="R254" s="358" t="n">
        <v>0</v>
      </c>
      <c r="S254" s="372" t="n">
        <v>0</v>
      </c>
      <c r="T254" s="373" t="n">
        <v>0</v>
      </c>
      <c r="U254" s="358" t="n">
        <v>0</v>
      </c>
      <c r="V254" s="358" t="n">
        <v>0</v>
      </c>
      <c r="W254" s="372" t="n">
        <v>0</v>
      </c>
      <c r="X254" s="373" t="n">
        <v>0</v>
      </c>
      <c r="Y254" s="358" t="n">
        <v>0</v>
      </c>
      <c r="Z254" s="358" t="n">
        <v>0</v>
      </c>
      <c r="AA254" s="358" t="n">
        <v>0</v>
      </c>
      <c r="AB254" s="373" t="n">
        <v>0</v>
      </c>
      <c r="AC254" s="358" t="n">
        <v>0</v>
      </c>
      <c r="AD254" s="358" t="n">
        <v>0</v>
      </c>
      <c r="AE254" s="358" t="n">
        <v>0</v>
      </c>
      <c r="AF254" s="359" t="n">
        <v>1</v>
      </c>
    </row>
    <row r="255" customFormat="false" ht="15" hidden="true" customHeight="false" outlineLevel="0" collapsed="false">
      <c r="B255" s="360" t="s">
        <v>2741</v>
      </c>
      <c r="C255" s="359" t="n">
        <v>1</v>
      </c>
      <c r="D255" s="358" t="n">
        <v>0</v>
      </c>
      <c r="E255" s="358" t="n">
        <v>0</v>
      </c>
      <c r="F255" s="358" t="n">
        <v>0</v>
      </c>
      <c r="G255" s="372" t="n">
        <v>0</v>
      </c>
      <c r="H255" s="373" t="n">
        <v>0</v>
      </c>
      <c r="I255" s="358" t="n">
        <v>0</v>
      </c>
      <c r="J255" s="358" t="n">
        <v>0</v>
      </c>
      <c r="K255" s="372" t="n">
        <v>0</v>
      </c>
      <c r="L255" s="373" t="n">
        <v>0</v>
      </c>
      <c r="M255" s="358" t="n">
        <v>0</v>
      </c>
      <c r="N255" s="358" t="n">
        <v>0</v>
      </c>
      <c r="O255" s="372" t="n">
        <v>0</v>
      </c>
      <c r="P255" s="373" t="n">
        <v>0</v>
      </c>
      <c r="Q255" s="358" t="n">
        <v>0</v>
      </c>
      <c r="R255" s="358" t="n">
        <v>0</v>
      </c>
      <c r="S255" s="372" t="n">
        <v>0</v>
      </c>
      <c r="T255" s="373" t="n">
        <v>0</v>
      </c>
      <c r="U255" s="358" t="n">
        <v>0</v>
      </c>
      <c r="V255" s="358" t="n">
        <v>0</v>
      </c>
      <c r="W255" s="372" t="n">
        <v>0</v>
      </c>
      <c r="X255" s="373" t="n">
        <v>0</v>
      </c>
      <c r="Y255" s="358" t="n">
        <v>0</v>
      </c>
      <c r="Z255" s="358" t="n">
        <v>0</v>
      </c>
      <c r="AA255" s="358" t="n">
        <v>0</v>
      </c>
      <c r="AB255" s="373" t="n">
        <v>0</v>
      </c>
      <c r="AC255" s="358" t="n">
        <v>0</v>
      </c>
      <c r="AD255" s="358" t="n">
        <v>0</v>
      </c>
      <c r="AE255" s="358" t="n">
        <v>0</v>
      </c>
      <c r="AF255" s="359" t="n">
        <v>1</v>
      </c>
    </row>
    <row r="256" customFormat="false" ht="15" hidden="true" customHeight="false" outlineLevel="0" collapsed="false">
      <c r="B256" s="360" t="s">
        <v>2742</v>
      </c>
      <c r="C256" s="359" t="n">
        <v>1</v>
      </c>
      <c r="D256" s="358" t="n">
        <v>0</v>
      </c>
      <c r="E256" s="358" t="n">
        <v>0</v>
      </c>
      <c r="F256" s="358" t="n">
        <v>0</v>
      </c>
      <c r="G256" s="372" t="n">
        <v>0</v>
      </c>
      <c r="H256" s="373" t="n">
        <v>0</v>
      </c>
      <c r="I256" s="358" t="n">
        <v>0</v>
      </c>
      <c r="J256" s="358" t="n">
        <v>0</v>
      </c>
      <c r="K256" s="372" t="n">
        <v>0</v>
      </c>
      <c r="L256" s="373" t="n">
        <v>0</v>
      </c>
      <c r="M256" s="358" t="n">
        <v>0</v>
      </c>
      <c r="N256" s="358" t="n">
        <v>0</v>
      </c>
      <c r="O256" s="372" t="n">
        <v>0</v>
      </c>
      <c r="P256" s="373" t="n">
        <v>0</v>
      </c>
      <c r="Q256" s="358" t="n">
        <v>0</v>
      </c>
      <c r="R256" s="358" t="n">
        <v>0</v>
      </c>
      <c r="S256" s="372" t="n">
        <v>0</v>
      </c>
      <c r="T256" s="373" t="n">
        <v>0</v>
      </c>
      <c r="U256" s="358" t="n">
        <v>0</v>
      </c>
      <c r="V256" s="358" t="n">
        <v>0</v>
      </c>
      <c r="W256" s="372" t="n">
        <v>0</v>
      </c>
      <c r="X256" s="373" t="n">
        <v>0</v>
      </c>
      <c r="Y256" s="358" t="n">
        <v>0</v>
      </c>
      <c r="Z256" s="358" t="n">
        <v>0</v>
      </c>
      <c r="AA256" s="358" t="n">
        <v>0</v>
      </c>
      <c r="AB256" s="373" t="n">
        <v>0</v>
      </c>
      <c r="AC256" s="358" t="n">
        <v>0</v>
      </c>
      <c r="AD256" s="358" t="n">
        <v>0</v>
      </c>
      <c r="AE256" s="358" t="n">
        <v>0</v>
      </c>
      <c r="AF256" s="359" t="n">
        <v>1</v>
      </c>
    </row>
    <row r="257" customFormat="false" ht="15" hidden="true" customHeight="false" outlineLevel="0" collapsed="false">
      <c r="B257" s="360" t="s">
        <v>2743</v>
      </c>
      <c r="C257" s="359" t="n">
        <v>1</v>
      </c>
      <c r="D257" s="358" t="n">
        <v>0</v>
      </c>
      <c r="E257" s="358" t="n">
        <v>0</v>
      </c>
      <c r="F257" s="358" t="n">
        <v>0</v>
      </c>
      <c r="G257" s="372" t="n">
        <v>0</v>
      </c>
      <c r="H257" s="373" t="n">
        <v>0</v>
      </c>
      <c r="I257" s="358" t="n">
        <v>0</v>
      </c>
      <c r="J257" s="358" t="n">
        <v>0</v>
      </c>
      <c r="K257" s="372" t="n">
        <v>0</v>
      </c>
      <c r="L257" s="373" t="n">
        <v>0</v>
      </c>
      <c r="M257" s="358" t="n">
        <v>0</v>
      </c>
      <c r="N257" s="358" t="n">
        <v>0</v>
      </c>
      <c r="O257" s="372" t="n">
        <v>0</v>
      </c>
      <c r="P257" s="373" t="n">
        <v>0</v>
      </c>
      <c r="Q257" s="358" t="n">
        <v>0</v>
      </c>
      <c r="R257" s="358" t="n">
        <v>0</v>
      </c>
      <c r="S257" s="372" t="n">
        <v>0</v>
      </c>
      <c r="T257" s="373" t="n">
        <v>0</v>
      </c>
      <c r="U257" s="358" t="n">
        <v>0</v>
      </c>
      <c r="V257" s="358" t="n">
        <v>0</v>
      </c>
      <c r="W257" s="372" t="n">
        <v>0</v>
      </c>
      <c r="X257" s="373" t="n">
        <v>0</v>
      </c>
      <c r="Y257" s="358" t="n">
        <v>0</v>
      </c>
      <c r="Z257" s="358" t="n">
        <v>0</v>
      </c>
      <c r="AA257" s="358" t="n">
        <v>0</v>
      </c>
      <c r="AB257" s="373" t="n">
        <v>0</v>
      </c>
      <c r="AC257" s="358" t="n">
        <v>0</v>
      </c>
      <c r="AD257" s="358" t="n">
        <v>0</v>
      </c>
      <c r="AE257" s="358" t="n">
        <v>0</v>
      </c>
      <c r="AF257" s="359" t="n">
        <v>1</v>
      </c>
    </row>
    <row r="258" customFormat="false" ht="15" hidden="true" customHeight="false" outlineLevel="0" collapsed="false">
      <c r="B258" s="360" t="s">
        <v>2744</v>
      </c>
      <c r="C258" s="359" t="n">
        <v>1</v>
      </c>
      <c r="D258" s="358" t="n">
        <v>0</v>
      </c>
      <c r="E258" s="358" t="n">
        <v>0</v>
      </c>
      <c r="F258" s="358" t="n">
        <v>0</v>
      </c>
      <c r="G258" s="372" t="n">
        <v>0</v>
      </c>
      <c r="H258" s="373" t="n">
        <v>0</v>
      </c>
      <c r="I258" s="358" t="n">
        <v>0</v>
      </c>
      <c r="J258" s="358" t="n">
        <v>0</v>
      </c>
      <c r="K258" s="372" t="n">
        <v>0</v>
      </c>
      <c r="L258" s="373" t="n">
        <v>0</v>
      </c>
      <c r="M258" s="358" t="n">
        <v>0</v>
      </c>
      <c r="N258" s="358" t="n">
        <v>0</v>
      </c>
      <c r="O258" s="372" t="n">
        <v>0</v>
      </c>
      <c r="P258" s="373" t="n">
        <v>0</v>
      </c>
      <c r="Q258" s="358" t="n">
        <v>0</v>
      </c>
      <c r="R258" s="358" t="n">
        <v>0</v>
      </c>
      <c r="S258" s="372" t="n">
        <v>0</v>
      </c>
      <c r="T258" s="373" t="n">
        <v>0</v>
      </c>
      <c r="U258" s="358" t="n">
        <v>0</v>
      </c>
      <c r="V258" s="358" t="n">
        <v>0</v>
      </c>
      <c r="W258" s="372" t="n">
        <v>0</v>
      </c>
      <c r="X258" s="373" t="n">
        <v>0</v>
      </c>
      <c r="Y258" s="358" t="n">
        <v>0</v>
      </c>
      <c r="Z258" s="358" t="n">
        <v>0</v>
      </c>
      <c r="AA258" s="358" t="n">
        <v>0</v>
      </c>
      <c r="AB258" s="373" t="n">
        <v>0</v>
      </c>
      <c r="AC258" s="358" t="n">
        <v>0</v>
      </c>
      <c r="AD258" s="358" t="n">
        <v>0</v>
      </c>
      <c r="AE258" s="358" t="n">
        <v>0</v>
      </c>
      <c r="AF258" s="359" t="n">
        <v>1</v>
      </c>
    </row>
    <row r="259" customFormat="false" ht="15" hidden="true" customHeight="false" outlineLevel="0" collapsed="false">
      <c r="B259" s="360" t="s">
        <v>2745</v>
      </c>
      <c r="C259" s="359" t="n">
        <v>1</v>
      </c>
      <c r="D259" s="358" t="n">
        <v>0</v>
      </c>
      <c r="E259" s="358" t="n">
        <v>0</v>
      </c>
      <c r="F259" s="358" t="n">
        <v>0</v>
      </c>
      <c r="G259" s="372" t="n">
        <v>0</v>
      </c>
      <c r="H259" s="373" t="n">
        <v>0</v>
      </c>
      <c r="I259" s="358" t="n">
        <v>0</v>
      </c>
      <c r="J259" s="358" t="n">
        <v>0</v>
      </c>
      <c r="K259" s="372" t="n">
        <v>0</v>
      </c>
      <c r="L259" s="373" t="n">
        <v>0</v>
      </c>
      <c r="M259" s="358" t="n">
        <v>0</v>
      </c>
      <c r="N259" s="358" t="n">
        <v>0</v>
      </c>
      <c r="O259" s="372" t="n">
        <v>0</v>
      </c>
      <c r="P259" s="373" t="n">
        <v>0</v>
      </c>
      <c r="Q259" s="358" t="n">
        <v>0</v>
      </c>
      <c r="R259" s="358" t="n">
        <v>0</v>
      </c>
      <c r="S259" s="372" t="n">
        <v>0</v>
      </c>
      <c r="T259" s="373" t="n">
        <v>0</v>
      </c>
      <c r="U259" s="358" t="n">
        <v>0</v>
      </c>
      <c r="V259" s="358" t="n">
        <v>0</v>
      </c>
      <c r="W259" s="372" t="n">
        <v>0</v>
      </c>
      <c r="X259" s="373" t="n">
        <v>0</v>
      </c>
      <c r="Y259" s="358" t="n">
        <v>0</v>
      </c>
      <c r="Z259" s="358" t="n">
        <v>0</v>
      </c>
      <c r="AA259" s="358" t="n">
        <v>0</v>
      </c>
      <c r="AB259" s="373" t="n">
        <v>0</v>
      </c>
      <c r="AC259" s="358" t="n">
        <v>0</v>
      </c>
      <c r="AD259" s="358" t="n">
        <v>0</v>
      </c>
      <c r="AE259" s="358" t="n">
        <v>0</v>
      </c>
      <c r="AF259" s="359" t="n">
        <v>1</v>
      </c>
    </row>
    <row r="260" customFormat="false" ht="15" hidden="true" customHeight="false" outlineLevel="0" collapsed="false">
      <c r="B260" s="360" t="s">
        <v>2746</v>
      </c>
      <c r="C260" s="359" t="n">
        <v>1</v>
      </c>
      <c r="D260" s="358" t="n">
        <v>0</v>
      </c>
      <c r="E260" s="358" t="n">
        <v>0</v>
      </c>
      <c r="F260" s="358" t="n">
        <v>0</v>
      </c>
      <c r="G260" s="372" t="n">
        <v>0</v>
      </c>
      <c r="H260" s="373" t="n">
        <v>0</v>
      </c>
      <c r="I260" s="358" t="n">
        <v>0</v>
      </c>
      <c r="J260" s="358" t="n">
        <v>0</v>
      </c>
      <c r="K260" s="372" t="n">
        <v>0</v>
      </c>
      <c r="L260" s="373" t="n">
        <v>0</v>
      </c>
      <c r="M260" s="358" t="n">
        <v>0</v>
      </c>
      <c r="N260" s="358" t="n">
        <v>0</v>
      </c>
      <c r="O260" s="372" t="n">
        <v>0</v>
      </c>
      <c r="P260" s="373" t="n">
        <v>0</v>
      </c>
      <c r="Q260" s="358" t="n">
        <v>0</v>
      </c>
      <c r="R260" s="358" t="n">
        <v>0</v>
      </c>
      <c r="S260" s="372" t="n">
        <v>0</v>
      </c>
      <c r="T260" s="373" t="n">
        <v>0</v>
      </c>
      <c r="U260" s="358" t="n">
        <v>0</v>
      </c>
      <c r="V260" s="358" t="n">
        <v>0</v>
      </c>
      <c r="W260" s="372" t="n">
        <v>0</v>
      </c>
      <c r="X260" s="373" t="n">
        <v>0</v>
      </c>
      <c r="Y260" s="358" t="n">
        <v>0</v>
      </c>
      <c r="Z260" s="358" t="n">
        <v>0</v>
      </c>
      <c r="AA260" s="358" t="n">
        <v>0</v>
      </c>
      <c r="AB260" s="373" t="n">
        <v>0</v>
      </c>
      <c r="AC260" s="358" t="n">
        <v>0</v>
      </c>
      <c r="AD260" s="358" t="n">
        <v>0</v>
      </c>
      <c r="AE260" s="358" t="n">
        <v>0</v>
      </c>
      <c r="AF260" s="359" t="n">
        <v>1</v>
      </c>
    </row>
    <row r="261" customFormat="false" ht="15" hidden="true" customHeight="false" outlineLevel="0" collapsed="false">
      <c r="B261" s="360" t="s">
        <v>2747</v>
      </c>
      <c r="C261" s="359" t="n">
        <v>1</v>
      </c>
      <c r="D261" s="358" t="n">
        <v>0</v>
      </c>
      <c r="E261" s="358" t="n">
        <v>0</v>
      </c>
      <c r="F261" s="358" t="n">
        <v>0</v>
      </c>
      <c r="G261" s="372" t="n">
        <v>0</v>
      </c>
      <c r="H261" s="373" t="n">
        <v>0</v>
      </c>
      <c r="I261" s="358" t="n">
        <v>0</v>
      </c>
      <c r="J261" s="358" t="n">
        <v>0</v>
      </c>
      <c r="K261" s="372" t="n">
        <v>0</v>
      </c>
      <c r="L261" s="373" t="n">
        <v>0</v>
      </c>
      <c r="M261" s="358" t="n">
        <v>0</v>
      </c>
      <c r="N261" s="358" t="n">
        <v>0</v>
      </c>
      <c r="O261" s="372" t="n">
        <v>0</v>
      </c>
      <c r="P261" s="373" t="n">
        <v>0</v>
      </c>
      <c r="Q261" s="358" t="n">
        <v>0</v>
      </c>
      <c r="R261" s="358" t="n">
        <v>0</v>
      </c>
      <c r="S261" s="372" t="n">
        <v>0</v>
      </c>
      <c r="T261" s="373" t="n">
        <v>0</v>
      </c>
      <c r="U261" s="358" t="n">
        <v>0</v>
      </c>
      <c r="V261" s="358" t="n">
        <v>0</v>
      </c>
      <c r="W261" s="372" t="n">
        <v>0</v>
      </c>
      <c r="X261" s="373" t="n">
        <v>0</v>
      </c>
      <c r="Y261" s="358" t="n">
        <v>0</v>
      </c>
      <c r="Z261" s="358" t="n">
        <v>0</v>
      </c>
      <c r="AA261" s="358" t="n">
        <v>0</v>
      </c>
      <c r="AB261" s="373" t="n">
        <v>0</v>
      </c>
      <c r="AC261" s="358" t="n">
        <v>0</v>
      </c>
      <c r="AD261" s="358" t="n">
        <v>0</v>
      </c>
      <c r="AE261" s="358" t="n">
        <v>0</v>
      </c>
      <c r="AF261" s="359" t="n">
        <v>1</v>
      </c>
    </row>
    <row r="262" customFormat="false" ht="15" hidden="true" customHeight="false" outlineLevel="0" collapsed="false">
      <c r="B262" s="360" t="s">
        <v>2748</v>
      </c>
      <c r="C262" s="359" t="n">
        <v>1</v>
      </c>
      <c r="D262" s="358" t="n">
        <v>0</v>
      </c>
      <c r="E262" s="358" t="n">
        <v>0</v>
      </c>
      <c r="F262" s="358" t="n">
        <v>0</v>
      </c>
      <c r="G262" s="372" t="n">
        <v>0</v>
      </c>
      <c r="H262" s="373" t="n">
        <v>0</v>
      </c>
      <c r="I262" s="358" t="n">
        <v>0</v>
      </c>
      <c r="J262" s="358" t="n">
        <v>0</v>
      </c>
      <c r="K262" s="372" t="n">
        <v>0</v>
      </c>
      <c r="L262" s="373" t="n">
        <v>0</v>
      </c>
      <c r="M262" s="358" t="n">
        <v>0</v>
      </c>
      <c r="N262" s="358" t="n">
        <v>0</v>
      </c>
      <c r="O262" s="372" t="n">
        <v>0</v>
      </c>
      <c r="P262" s="373" t="n">
        <v>0</v>
      </c>
      <c r="Q262" s="358" t="n">
        <v>0</v>
      </c>
      <c r="R262" s="358" t="n">
        <v>0</v>
      </c>
      <c r="S262" s="372" t="n">
        <v>0</v>
      </c>
      <c r="T262" s="373" t="n">
        <v>0</v>
      </c>
      <c r="U262" s="358" t="n">
        <v>0</v>
      </c>
      <c r="V262" s="358" t="n">
        <v>0</v>
      </c>
      <c r="W262" s="372" t="n">
        <v>0</v>
      </c>
      <c r="X262" s="373" t="n">
        <v>0</v>
      </c>
      <c r="Y262" s="358" t="n">
        <v>0</v>
      </c>
      <c r="Z262" s="358" t="n">
        <v>0</v>
      </c>
      <c r="AA262" s="358" t="n">
        <v>0</v>
      </c>
      <c r="AB262" s="373" t="n">
        <v>0</v>
      </c>
      <c r="AC262" s="358" t="n">
        <v>0</v>
      </c>
      <c r="AD262" s="358" t="n">
        <v>0</v>
      </c>
      <c r="AE262" s="358" t="n">
        <v>0</v>
      </c>
      <c r="AF262" s="359" t="n">
        <v>1</v>
      </c>
    </row>
    <row r="263" customFormat="false" ht="15" hidden="true" customHeight="false" outlineLevel="0" collapsed="false">
      <c r="B263" s="360" t="s">
        <v>2749</v>
      </c>
      <c r="C263" s="359" t="n">
        <v>1</v>
      </c>
      <c r="D263" s="358" t="n">
        <v>0</v>
      </c>
      <c r="E263" s="358" t="n">
        <v>0</v>
      </c>
      <c r="F263" s="358" t="n">
        <v>0</v>
      </c>
      <c r="G263" s="372" t="n">
        <v>0</v>
      </c>
      <c r="H263" s="373" t="n">
        <v>0</v>
      </c>
      <c r="I263" s="358" t="n">
        <v>0</v>
      </c>
      <c r="J263" s="358" t="n">
        <v>0</v>
      </c>
      <c r="K263" s="372" t="n">
        <v>0</v>
      </c>
      <c r="L263" s="373" t="n">
        <v>0</v>
      </c>
      <c r="M263" s="358" t="n">
        <v>0</v>
      </c>
      <c r="N263" s="358" t="n">
        <v>0</v>
      </c>
      <c r="O263" s="372" t="n">
        <v>0</v>
      </c>
      <c r="P263" s="373" t="n">
        <v>0</v>
      </c>
      <c r="Q263" s="358" t="n">
        <v>0</v>
      </c>
      <c r="R263" s="358" t="n">
        <v>0</v>
      </c>
      <c r="S263" s="372" t="n">
        <v>0</v>
      </c>
      <c r="T263" s="373" t="n">
        <v>0</v>
      </c>
      <c r="U263" s="358" t="n">
        <v>0</v>
      </c>
      <c r="V263" s="358" t="n">
        <v>0</v>
      </c>
      <c r="W263" s="372" t="n">
        <v>0</v>
      </c>
      <c r="X263" s="373" t="n">
        <v>0</v>
      </c>
      <c r="Y263" s="358" t="n">
        <v>0</v>
      </c>
      <c r="Z263" s="358" t="n">
        <v>0</v>
      </c>
      <c r="AA263" s="358" t="n">
        <v>0</v>
      </c>
      <c r="AB263" s="373" t="n">
        <v>0</v>
      </c>
      <c r="AC263" s="358" t="n">
        <v>0</v>
      </c>
      <c r="AD263" s="358" t="n">
        <v>0</v>
      </c>
      <c r="AE263" s="358" t="n">
        <v>0</v>
      </c>
      <c r="AF263" s="359" t="n">
        <v>1</v>
      </c>
    </row>
    <row r="264" customFormat="false" ht="15" hidden="true" customHeight="false" outlineLevel="0" collapsed="false">
      <c r="B264" s="360" t="s">
        <v>2750</v>
      </c>
      <c r="C264" s="359" t="n">
        <v>1</v>
      </c>
      <c r="D264" s="358" t="n">
        <v>0</v>
      </c>
      <c r="E264" s="358" t="n">
        <v>0</v>
      </c>
      <c r="F264" s="358" t="n">
        <v>0</v>
      </c>
      <c r="G264" s="372" t="n">
        <v>0</v>
      </c>
      <c r="H264" s="373" t="n">
        <v>0</v>
      </c>
      <c r="I264" s="358" t="n">
        <v>0</v>
      </c>
      <c r="J264" s="358" t="n">
        <v>0</v>
      </c>
      <c r="K264" s="372" t="n">
        <v>0</v>
      </c>
      <c r="L264" s="373" t="n">
        <v>0</v>
      </c>
      <c r="M264" s="358" t="n">
        <v>0</v>
      </c>
      <c r="N264" s="358" t="n">
        <v>0</v>
      </c>
      <c r="O264" s="372" t="n">
        <v>0</v>
      </c>
      <c r="P264" s="373" t="n">
        <v>0</v>
      </c>
      <c r="Q264" s="358" t="n">
        <v>0</v>
      </c>
      <c r="R264" s="358" t="n">
        <v>0</v>
      </c>
      <c r="S264" s="372" t="n">
        <v>0</v>
      </c>
      <c r="T264" s="373" t="n">
        <v>0</v>
      </c>
      <c r="U264" s="358" t="n">
        <v>0</v>
      </c>
      <c r="V264" s="358" t="n">
        <v>0</v>
      </c>
      <c r="W264" s="372" t="n">
        <v>0</v>
      </c>
      <c r="X264" s="373" t="n">
        <v>0</v>
      </c>
      <c r="Y264" s="358" t="n">
        <v>0</v>
      </c>
      <c r="Z264" s="358" t="n">
        <v>0</v>
      </c>
      <c r="AA264" s="358" t="n">
        <v>0</v>
      </c>
      <c r="AB264" s="373" t="n">
        <v>0</v>
      </c>
      <c r="AC264" s="358" t="n">
        <v>0</v>
      </c>
      <c r="AD264" s="358" t="n">
        <v>0</v>
      </c>
      <c r="AE264" s="358" t="n">
        <v>0</v>
      </c>
      <c r="AF264" s="359" t="n">
        <v>1</v>
      </c>
    </row>
    <row r="265" customFormat="false" ht="15" hidden="true" customHeight="false" outlineLevel="0" collapsed="false">
      <c r="B265" s="360" t="s">
        <v>2751</v>
      </c>
      <c r="C265" s="359" t="n">
        <v>1</v>
      </c>
      <c r="D265" s="358" t="n">
        <v>0</v>
      </c>
      <c r="E265" s="358" t="n">
        <v>0</v>
      </c>
      <c r="F265" s="358" t="n">
        <v>0</v>
      </c>
      <c r="G265" s="372" t="n">
        <v>0</v>
      </c>
      <c r="H265" s="373" t="n">
        <v>0</v>
      </c>
      <c r="I265" s="358" t="n">
        <v>0</v>
      </c>
      <c r="J265" s="358" t="n">
        <v>0</v>
      </c>
      <c r="K265" s="372" t="n">
        <v>0</v>
      </c>
      <c r="L265" s="373" t="n">
        <v>0</v>
      </c>
      <c r="M265" s="358" t="n">
        <v>0</v>
      </c>
      <c r="N265" s="358" t="n">
        <v>0</v>
      </c>
      <c r="O265" s="372" t="n">
        <v>0</v>
      </c>
      <c r="P265" s="373" t="n">
        <v>0</v>
      </c>
      <c r="Q265" s="358" t="n">
        <v>0</v>
      </c>
      <c r="R265" s="358" t="n">
        <v>0</v>
      </c>
      <c r="S265" s="372" t="n">
        <v>0</v>
      </c>
      <c r="T265" s="373" t="n">
        <v>0</v>
      </c>
      <c r="U265" s="358" t="n">
        <v>0</v>
      </c>
      <c r="V265" s="358" t="n">
        <v>0</v>
      </c>
      <c r="W265" s="372" t="n">
        <v>0</v>
      </c>
      <c r="X265" s="373" t="n">
        <v>0</v>
      </c>
      <c r="Y265" s="358" t="n">
        <v>0</v>
      </c>
      <c r="Z265" s="358" t="n">
        <v>0</v>
      </c>
      <c r="AA265" s="358" t="n">
        <v>0</v>
      </c>
      <c r="AB265" s="373" t="n">
        <v>0</v>
      </c>
      <c r="AC265" s="358" t="n">
        <v>0</v>
      </c>
      <c r="AD265" s="358" t="n">
        <v>0</v>
      </c>
      <c r="AE265" s="358" t="n">
        <v>0</v>
      </c>
      <c r="AF265" s="359" t="n">
        <v>1</v>
      </c>
    </row>
    <row r="266" customFormat="false" ht="15" hidden="true" customHeight="false" outlineLevel="0" collapsed="false">
      <c r="B266" s="360" t="s">
        <v>2752</v>
      </c>
      <c r="C266" s="359" t="n">
        <v>1</v>
      </c>
      <c r="D266" s="358" t="n">
        <v>0</v>
      </c>
      <c r="E266" s="358" t="n">
        <v>0</v>
      </c>
      <c r="F266" s="358" t="n">
        <v>0</v>
      </c>
      <c r="G266" s="372" t="n">
        <v>0</v>
      </c>
      <c r="H266" s="373" t="n">
        <v>0</v>
      </c>
      <c r="I266" s="358" t="n">
        <v>0</v>
      </c>
      <c r="J266" s="358" t="n">
        <v>0</v>
      </c>
      <c r="K266" s="372" t="n">
        <v>0</v>
      </c>
      <c r="L266" s="373" t="n">
        <v>0</v>
      </c>
      <c r="M266" s="358" t="n">
        <v>0</v>
      </c>
      <c r="N266" s="358" t="n">
        <v>0</v>
      </c>
      <c r="O266" s="372" t="n">
        <v>0</v>
      </c>
      <c r="P266" s="373" t="n">
        <v>0</v>
      </c>
      <c r="Q266" s="358" t="n">
        <v>0</v>
      </c>
      <c r="R266" s="358" t="n">
        <v>0</v>
      </c>
      <c r="S266" s="372" t="n">
        <v>0</v>
      </c>
      <c r="T266" s="373" t="n">
        <v>0</v>
      </c>
      <c r="U266" s="358" t="n">
        <v>0</v>
      </c>
      <c r="V266" s="358" t="n">
        <v>0</v>
      </c>
      <c r="W266" s="372" t="n">
        <v>0</v>
      </c>
      <c r="X266" s="373" t="n">
        <v>0</v>
      </c>
      <c r="Y266" s="358" t="n">
        <v>0</v>
      </c>
      <c r="Z266" s="358" t="n">
        <v>0</v>
      </c>
      <c r="AA266" s="358" t="n">
        <v>0</v>
      </c>
      <c r="AB266" s="373" t="n">
        <v>0</v>
      </c>
      <c r="AC266" s="358" t="n">
        <v>0</v>
      </c>
      <c r="AD266" s="358" t="n">
        <v>0</v>
      </c>
      <c r="AE266" s="358" t="n">
        <v>0</v>
      </c>
      <c r="AF266" s="359" t="n">
        <v>1</v>
      </c>
    </row>
    <row r="267" customFormat="false" ht="15" hidden="true" customHeight="false" outlineLevel="0" collapsed="false">
      <c r="B267" s="360" t="s">
        <v>2753</v>
      </c>
      <c r="C267" s="359" t="n">
        <v>1</v>
      </c>
      <c r="D267" s="358" t="n">
        <v>0</v>
      </c>
      <c r="E267" s="358" t="n">
        <v>0</v>
      </c>
      <c r="F267" s="358" t="n">
        <v>0</v>
      </c>
      <c r="G267" s="372" t="n">
        <v>0</v>
      </c>
      <c r="H267" s="373" t="n">
        <v>0</v>
      </c>
      <c r="I267" s="358" t="n">
        <v>0</v>
      </c>
      <c r="J267" s="358" t="n">
        <v>0</v>
      </c>
      <c r="K267" s="372" t="n">
        <v>0</v>
      </c>
      <c r="L267" s="373" t="n">
        <v>0</v>
      </c>
      <c r="M267" s="358" t="n">
        <v>0</v>
      </c>
      <c r="N267" s="358" t="n">
        <v>0</v>
      </c>
      <c r="O267" s="372" t="n">
        <v>0</v>
      </c>
      <c r="P267" s="373" t="n">
        <v>0</v>
      </c>
      <c r="Q267" s="358" t="n">
        <v>0</v>
      </c>
      <c r="R267" s="358" t="n">
        <v>0</v>
      </c>
      <c r="S267" s="372" t="n">
        <v>0</v>
      </c>
      <c r="T267" s="373" t="n">
        <v>0</v>
      </c>
      <c r="U267" s="358" t="n">
        <v>0</v>
      </c>
      <c r="V267" s="358" t="n">
        <v>0</v>
      </c>
      <c r="W267" s="372" t="n">
        <v>0</v>
      </c>
      <c r="X267" s="373" t="n">
        <v>0</v>
      </c>
      <c r="Y267" s="358" t="n">
        <v>0</v>
      </c>
      <c r="Z267" s="358" t="n">
        <v>0</v>
      </c>
      <c r="AA267" s="358" t="n">
        <v>0</v>
      </c>
      <c r="AB267" s="373" t="n">
        <v>0</v>
      </c>
      <c r="AC267" s="358" t="n">
        <v>0</v>
      </c>
      <c r="AD267" s="358" t="n">
        <v>0</v>
      </c>
      <c r="AE267" s="358" t="n">
        <v>0</v>
      </c>
      <c r="AF267" s="359" t="n">
        <v>1</v>
      </c>
    </row>
    <row r="268" customFormat="false" ht="15" hidden="true" customHeight="false" outlineLevel="0" collapsed="false">
      <c r="B268" s="360" t="s">
        <v>2754</v>
      </c>
      <c r="C268" s="359" t="n">
        <v>1</v>
      </c>
      <c r="D268" s="358" t="n">
        <v>0</v>
      </c>
      <c r="E268" s="358" t="n">
        <v>0</v>
      </c>
      <c r="F268" s="358" t="n">
        <v>0</v>
      </c>
      <c r="G268" s="372" t="n">
        <v>0</v>
      </c>
      <c r="H268" s="373" t="n">
        <v>0</v>
      </c>
      <c r="I268" s="358" t="n">
        <v>0</v>
      </c>
      <c r="J268" s="358" t="n">
        <v>0</v>
      </c>
      <c r="K268" s="372" t="n">
        <v>0</v>
      </c>
      <c r="L268" s="373" t="n">
        <v>0</v>
      </c>
      <c r="M268" s="358" t="n">
        <v>0</v>
      </c>
      <c r="N268" s="358" t="n">
        <v>0</v>
      </c>
      <c r="O268" s="372" t="n">
        <v>0</v>
      </c>
      <c r="P268" s="373" t="n">
        <v>0</v>
      </c>
      <c r="Q268" s="358" t="n">
        <v>0</v>
      </c>
      <c r="R268" s="358" t="n">
        <v>0</v>
      </c>
      <c r="S268" s="372" t="n">
        <v>0</v>
      </c>
      <c r="T268" s="373" t="n">
        <v>0</v>
      </c>
      <c r="U268" s="358" t="n">
        <v>0</v>
      </c>
      <c r="V268" s="358" t="n">
        <v>0</v>
      </c>
      <c r="W268" s="372" t="n">
        <v>0</v>
      </c>
      <c r="X268" s="373" t="n">
        <v>0</v>
      </c>
      <c r="Y268" s="358" t="n">
        <v>0</v>
      </c>
      <c r="Z268" s="358" t="n">
        <v>0</v>
      </c>
      <c r="AA268" s="358" t="n">
        <v>0</v>
      </c>
      <c r="AB268" s="373" t="n">
        <v>0</v>
      </c>
      <c r="AC268" s="358" t="n">
        <v>0</v>
      </c>
      <c r="AD268" s="358" t="n">
        <v>0</v>
      </c>
      <c r="AE268" s="358" t="n">
        <v>0</v>
      </c>
      <c r="AF268" s="359" t="n">
        <v>1</v>
      </c>
    </row>
    <row r="269" customFormat="false" ht="15" hidden="true" customHeight="false" outlineLevel="0" collapsed="false">
      <c r="B269" s="360" t="s">
        <v>2755</v>
      </c>
      <c r="C269" s="359" t="n">
        <v>1</v>
      </c>
      <c r="D269" s="358" t="n">
        <v>0</v>
      </c>
      <c r="E269" s="358" t="n">
        <v>0</v>
      </c>
      <c r="F269" s="358" t="n">
        <v>0</v>
      </c>
      <c r="G269" s="372" t="n">
        <v>0</v>
      </c>
      <c r="H269" s="373" t="n">
        <v>0</v>
      </c>
      <c r="I269" s="358" t="n">
        <v>0</v>
      </c>
      <c r="J269" s="358" t="n">
        <v>0</v>
      </c>
      <c r="K269" s="372" t="n">
        <v>0</v>
      </c>
      <c r="L269" s="373" t="n">
        <v>0</v>
      </c>
      <c r="M269" s="358" t="n">
        <v>0</v>
      </c>
      <c r="N269" s="358" t="n">
        <v>0</v>
      </c>
      <c r="O269" s="372" t="n">
        <v>0</v>
      </c>
      <c r="P269" s="373" t="n">
        <v>0</v>
      </c>
      <c r="Q269" s="358" t="n">
        <v>0</v>
      </c>
      <c r="R269" s="358" t="n">
        <v>0</v>
      </c>
      <c r="S269" s="372" t="n">
        <v>0</v>
      </c>
      <c r="T269" s="373" t="n">
        <v>0</v>
      </c>
      <c r="U269" s="358" t="n">
        <v>0</v>
      </c>
      <c r="V269" s="358" t="n">
        <v>0</v>
      </c>
      <c r="W269" s="372" t="n">
        <v>0</v>
      </c>
      <c r="X269" s="373" t="n">
        <v>0</v>
      </c>
      <c r="Y269" s="358" t="n">
        <v>0</v>
      </c>
      <c r="Z269" s="358" t="n">
        <v>0</v>
      </c>
      <c r="AA269" s="358" t="n">
        <v>0</v>
      </c>
      <c r="AB269" s="373" t="n">
        <v>0</v>
      </c>
      <c r="AC269" s="358" t="n">
        <v>0</v>
      </c>
      <c r="AD269" s="358" t="n">
        <v>0</v>
      </c>
      <c r="AE269" s="358" t="n">
        <v>0</v>
      </c>
      <c r="AF269" s="359" t="n">
        <v>1</v>
      </c>
    </row>
    <row r="270" customFormat="false" ht="15" hidden="true" customHeight="false" outlineLevel="0" collapsed="false">
      <c r="B270" s="360" t="s">
        <v>2756</v>
      </c>
      <c r="C270" s="359" t="n">
        <v>1</v>
      </c>
      <c r="D270" s="358" t="n">
        <v>0</v>
      </c>
      <c r="E270" s="358" t="n">
        <v>0</v>
      </c>
      <c r="F270" s="358" t="n">
        <v>0</v>
      </c>
      <c r="G270" s="372" t="n">
        <v>0</v>
      </c>
      <c r="H270" s="373" t="n">
        <v>0</v>
      </c>
      <c r="I270" s="358" t="n">
        <v>0</v>
      </c>
      <c r="J270" s="358" t="n">
        <v>0</v>
      </c>
      <c r="K270" s="372" t="n">
        <v>0</v>
      </c>
      <c r="L270" s="373" t="n">
        <v>0</v>
      </c>
      <c r="M270" s="358" t="n">
        <v>0</v>
      </c>
      <c r="N270" s="358" t="n">
        <v>0</v>
      </c>
      <c r="O270" s="372" t="n">
        <v>0</v>
      </c>
      <c r="P270" s="373" t="n">
        <v>0</v>
      </c>
      <c r="Q270" s="358" t="n">
        <v>0</v>
      </c>
      <c r="R270" s="358" t="n">
        <v>0</v>
      </c>
      <c r="S270" s="372" t="n">
        <v>0</v>
      </c>
      <c r="T270" s="373" t="n">
        <v>0</v>
      </c>
      <c r="U270" s="358" t="n">
        <v>0</v>
      </c>
      <c r="V270" s="358" t="n">
        <v>0</v>
      </c>
      <c r="W270" s="372" t="n">
        <v>0</v>
      </c>
      <c r="X270" s="373" t="n">
        <v>0</v>
      </c>
      <c r="Y270" s="358" t="n">
        <v>0</v>
      </c>
      <c r="Z270" s="358" t="n">
        <v>0</v>
      </c>
      <c r="AA270" s="358" t="n">
        <v>0</v>
      </c>
      <c r="AB270" s="373" t="n">
        <v>0</v>
      </c>
      <c r="AC270" s="358" t="n">
        <v>0</v>
      </c>
      <c r="AD270" s="358" t="n">
        <v>0</v>
      </c>
      <c r="AE270" s="358" t="n">
        <v>0</v>
      </c>
      <c r="AF270" s="359" t="n">
        <v>1</v>
      </c>
    </row>
    <row r="271" customFormat="false" ht="15" hidden="true" customHeight="false" outlineLevel="0" collapsed="false">
      <c r="B271" s="360" t="s">
        <v>2757</v>
      </c>
      <c r="C271" s="359" t="n">
        <v>1</v>
      </c>
      <c r="D271" s="358" t="n">
        <v>0</v>
      </c>
      <c r="E271" s="358" t="n">
        <v>0</v>
      </c>
      <c r="F271" s="358" t="n">
        <v>0</v>
      </c>
      <c r="G271" s="372" t="n">
        <v>0</v>
      </c>
      <c r="H271" s="373" t="n">
        <v>0</v>
      </c>
      <c r="I271" s="358" t="n">
        <v>0</v>
      </c>
      <c r="J271" s="358" t="n">
        <v>0</v>
      </c>
      <c r="K271" s="372" t="n">
        <v>0</v>
      </c>
      <c r="L271" s="373" t="n">
        <v>0</v>
      </c>
      <c r="M271" s="358" t="n">
        <v>0</v>
      </c>
      <c r="N271" s="358" t="n">
        <v>0</v>
      </c>
      <c r="O271" s="372" t="n">
        <v>0</v>
      </c>
      <c r="P271" s="373" t="n">
        <v>0</v>
      </c>
      <c r="Q271" s="358" t="n">
        <v>0</v>
      </c>
      <c r="R271" s="358" t="n">
        <v>0</v>
      </c>
      <c r="S271" s="372" t="n">
        <v>0</v>
      </c>
      <c r="T271" s="373" t="n">
        <v>0</v>
      </c>
      <c r="U271" s="358" t="n">
        <v>0</v>
      </c>
      <c r="V271" s="358" t="n">
        <v>0</v>
      </c>
      <c r="W271" s="372" t="n">
        <v>0</v>
      </c>
      <c r="X271" s="373" t="n">
        <v>0</v>
      </c>
      <c r="Y271" s="358" t="n">
        <v>0</v>
      </c>
      <c r="Z271" s="358" t="n">
        <v>0</v>
      </c>
      <c r="AA271" s="358" t="n">
        <v>0</v>
      </c>
      <c r="AB271" s="373" t="n">
        <v>0</v>
      </c>
      <c r="AC271" s="358" t="n">
        <v>0</v>
      </c>
      <c r="AD271" s="358" t="n">
        <v>0</v>
      </c>
      <c r="AE271" s="358" t="n">
        <v>0</v>
      </c>
      <c r="AF271" s="359" t="n">
        <v>1</v>
      </c>
    </row>
    <row r="272" customFormat="false" ht="15" hidden="true" customHeight="false" outlineLevel="0" collapsed="false">
      <c r="B272" s="360" t="s">
        <v>2758</v>
      </c>
      <c r="C272" s="359" t="n">
        <v>1</v>
      </c>
      <c r="D272" s="358" t="n">
        <v>0</v>
      </c>
      <c r="E272" s="358" t="n">
        <v>0</v>
      </c>
      <c r="F272" s="358" t="n">
        <v>0</v>
      </c>
      <c r="G272" s="372" t="n">
        <v>0</v>
      </c>
      <c r="H272" s="373" t="n">
        <v>0</v>
      </c>
      <c r="I272" s="358" t="n">
        <v>0</v>
      </c>
      <c r="J272" s="358" t="n">
        <v>0</v>
      </c>
      <c r="K272" s="372" t="n">
        <v>0</v>
      </c>
      <c r="L272" s="373" t="n">
        <v>0</v>
      </c>
      <c r="M272" s="358" t="n">
        <v>0</v>
      </c>
      <c r="N272" s="358" t="n">
        <v>0</v>
      </c>
      <c r="O272" s="372" t="n">
        <v>0</v>
      </c>
      <c r="P272" s="373" t="n">
        <v>0</v>
      </c>
      <c r="Q272" s="358" t="n">
        <v>0</v>
      </c>
      <c r="R272" s="358" t="n">
        <v>0</v>
      </c>
      <c r="S272" s="372" t="n">
        <v>0</v>
      </c>
      <c r="T272" s="373" t="n">
        <v>0</v>
      </c>
      <c r="U272" s="358" t="n">
        <v>0</v>
      </c>
      <c r="V272" s="358" t="n">
        <v>0</v>
      </c>
      <c r="W272" s="372" t="n">
        <v>0</v>
      </c>
      <c r="X272" s="373" t="n">
        <v>0</v>
      </c>
      <c r="Y272" s="358" t="n">
        <v>0</v>
      </c>
      <c r="Z272" s="358" t="n">
        <v>0</v>
      </c>
      <c r="AA272" s="358" t="n">
        <v>0</v>
      </c>
      <c r="AB272" s="373" t="n">
        <v>0</v>
      </c>
      <c r="AC272" s="358" t="n">
        <v>0</v>
      </c>
      <c r="AD272" s="358" t="n">
        <v>0</v>
      </c>
      <c r="AE272" s="358" t="n">
        <v>0</v>
      </c>
      <c r="AF272" s="359" t="n">
        <v>1</v>
      </c>
    </row>
    <row r="273" customFormat="false" ht="15" hidden="true" customHeight="false" outlineLevel="0" collapsed="false">
      <c r="B273" s="360" t="s">
        <v>2759</v>
      </c>
      <c r="C273" s="359" t="n">
        <v>1</v>
      </c>
      <c r="D273" s="358" t="n">
        <v>0</v>
      </c>
      <c r="E273" s="358" t="n">
        <v>0</v>
      </c>
      <c r="F273" s="358" t="n">
        <v>0</v>
      </c>
      <c r="G273" s="372" t="n">
        <v>0</v>
      </c>
      <c r="H273" s="373" t="n">
        <v>0</v>
      </c>
      <c r="I273" s="358" t="n">
        <v>0</v>
      </c>
      <c r="J273" s="358" t="n">
        <v>0</v>
      </c>
      <c r="K273" s="372" t="n">
        <v>0</v>
      </c>
      <c r="L273" s="373" t="n">
        <v>0</v>
      </c>
      <c r="M273" s="358" t="n">
        <v>0</v>
      </c>
      <c r="N273" s="358" t="n">
        <v>0</v>
      </c>
      <c r="O273" s="372" t="n">
        <v>0</v>
      </c>
      <c r="P273" s="373" t="n">
        <v>0</v>
      </c>
      <c r="Q273" s="358" t="n">
        <v>0</v>
      </c>
      <c r="R273" s="358" t="n">
        <v>0</v>
      </c>
      <c r="S273" s="372" t="n">
        <v>0</v>
      </c>
      <c r="T273" s="373" t="n">
        <v>0</v>
      </c>
      <c r="U273" s="358" t="n">
        <v>0</v>
      </c>
      <c r="V273" s="358" t="n">
        <v>0</v>
      </c>
      <c r="W273" s="372" t="n">
        <v>0</v>
      </c>
      <c r="X273" s="373" t="n">
        <v>0</v>
      </c>
      <c r="Y273" s="358" t="n">
        <v>0</v>
      </c>
      <c r="Z273" s="358" t="n">
        <v>0</v>
      </c>
      <c r="AA273" s="358" t="n">
        <v>0</v>
      </c>
      <c r="AB273" s="373" t="n">
        <v>0</v>
      </c>
      <c r="AC273" s="358" t="n">
        <v>0</v>
      </c>
      <c r="AD273" s="358" t="n">
        <v>0</v>
      </c>
      <c r="AE273" s="358" t="n">
        <v>0</v>
      </c>
      <c r="AF273" s="359" t="n">
        <v>1</v>
      </c>
    </row>
    <row r="274" customFormat="false" ht="15" hidden="true" customHeight="false" outlineLevel="0" collapsed="false">
      <c r="B274" s="360" t="s">
        <v>2760</v>
      </c>
      <c r="C274" s="359" t="n">
        <v>1</v>
      </c>
      <c r="D274" s="358" t="n">
        <v>0</v>
      </c>
      <c r="E274" s="358" t="n">
        <v>0</v>
      </c>
      <c r="F274" s="358" t="n">
        <v>0</v>
      </c>
      <c r="G274" s="372" t="n">
        <v>0</v>
      </c>
      <c r="H274" s="373" t="n">
        <v>0</v>
      </c>
      <c r="I274" s="358" t="n">
        <v>0</v>
      </c>
      <c r="J274" s="358" t="n">
        <v>0</v>
      </c>
      <c r="K274" s="372" t="n">
        <v>0</v>
      </c>
      <c r="L274" s="373" t="n">
        <v>0</v>
      </c>
      <c r="M274" s="358" t="n">
        <v>0</v>
      </c>
      <c r="N274" s="358" t="n">
        <v>0</v>
      </c>
      <c r="O274" s="372" t="n">
        <v>0</v>
      </c>
      <c r="P274" s="373" t="n">
        <v>0</v>
      </c>
      <c r="Q274" s="358" t="n">
        <v>0</v>
      </c>
      <c r="R274" s="358" t="n">
        <v>0</v>
      </c>
      <c r="S274" s="372" t="n">
        <v>0</v>
      </c>
      <c r="T274" s="373" t="n">
        <v>0</v>
      </c>
      <c r="U274" s="358" t="n">
        <v>0</v>
      </c>
      <c r="V274" s="358" t="n">
        <v>0</v>
      </c>
      <c r="W274" s="372" t="n">
        <v>0</v>
      </c>
      <c r="X274" s="373" t="n">
        <v>0</v>
      </c>
      <c r="Y274" s="358" t="n">
        <v>0</v>
      </c>
      <c r="Z274" s="358" t="n">
        <v>0</v>
      </c>
      <c r="AA274" s="358" t="n">
        <v>0</v>
      </c>
      <c r="AB274" s="373" t="n">
        <v>0</v>
      </c>
      <c r="AC274" s="358" t="n">
        <v>0</v>
      </c>
      <c r="AD274" s="358" t="n">
        <v>0</v>
      </c>
      <c r="AE274" s="358" t="n">
        <v>0</v>
      </c>
      <c r="AF274" s="359" t="n">
        <v>1</v>
      </c>
    </row>
    <row r="275" customFormat="false" ht="15" hidden="true" customHeight="false" outlineLevel="0" collapsed="false">
      <c r="B275" s="360" t="s">
        <v>2761</v>
      </c>
      <c r="C275" s="359" t="n">
        <v>1</v>
      </c>
      <c r="D275" s="358" t="n">
        <v>0</v>
      </c>
      <c r="E275" s="358" t="n">
        <v>0</v>
      </c>
      <c r="F275" s="358" t="n">
        <v>0</v>
      </c>
      <c r="G275" s="372" t="n">
        <v>0</v>
      </c>
      <c r="H275" s="373" t="n">
        <v>0</v>
      </c>
      <c r="I275" s="358" t="n">
        <v>0</v>
      </c>
      <c r="J275" s="358" t="n">
        <v>0</v>
      </c>
      <c r="K275" s="372" t="n">
        <v>0</v>
      </c>
      <c r="L275" s="373" t="n">
        <v>0</v>
      </c>
      <c r="M275" s="358" t="n">
        <v>0</v>
      </c>
      <c r="N275" s="358" t="n">
        <v>0</v>
      </c>
      <c r="O275" s="372" t="n">
        <v>0</v>
      </c>
      <c r="P275" s="373" t="n">
        <v>0</v>
      </c>
      <c r="Q275" s="358" t="n">
        <v>0</v>
      </c>
      <c r="R275" s="358" t="n">
        <v>0</v>
      </c>
      <c r="S275" s="372" t="n">
        <v>0</v>
      </c>
      <c r="T275" s="373" t="n">
        <v>0</v>
      </c>
      <c r="U275" s="358" t="n">
        <v>0</v>
      </c>
      <c r="V275" s="358" t="n">
        <v>0</v>
      </c>
      <c r="W275" s="372" t="n">
        <v>0</v>
      </c>
      <c r="X275" s="373" t="n">
        <v>0</v>
      </c>
      <c r="Y275" s="358" t="n">
        <v>0</v>
      </c>
      <c r="Z275" s="358" t="n">
        <v>0</v>
      </c>
      <c r="AA275" s="358" t="n">
        <v>0</v>
      </c>
      <c r="AB275" s="373" t="n">
        <v>0</v>
      </c>
      <c r="AC275" s="358" t="n">
        <v>0</v>
      </c>
      <c r="AD275" s="358" t="n">
        <v>0</v>
      </c>
      <c r="AE275" s="358" t="n">
        <v>0</v>
      </c>
      <c r="AF275" s="359" t="n">
        <v>1</v>
      </c>
    </row>
    <row r="276" customFormat="false" ht="15" hidden="true" customHeight="false" outlineLevel="0" collapsed="false">
      <c r="B276" s="360" t="s">
        <v>2762</v>
      </c>
      <c r="C276" s="359" t="n">
        <v>1</v>
      </c>
      <c r="D276" s="358" t="n">
        <v>0</v>
      </c>
      <c r="E276" s="358" t="n">
        <v>0</v>
      </c>
      <c r="F276" s="358" t="n">
        <v>0</v>
      </c>
      <c r="G276" s="372" t="n">
        <v>0</v>
      </c>
      <c r="H276" s="373" t="n">
        <v>0</v>
      </c>
      <c r="I276" s="358" t="n">
        <v>0</v>
      </c>
      <c r="J276" s="358" t="n">
        <v>0</v>
      </c>
      <c r="K276" s="372" t="n">
        <v>0</v>
      </c>
      <c r="L276" s="373" t="n">
        <v>0</v>
      </c>
      <c r="M276" s="358" t="n">
        <v>0</v>
      </c>
      <c r="N276" s="358" t="n">
        <v>0</v>
      </c>
      <c r="O276" s="372" t="n">
        <v>0</v>
      </c>
      <c r="P276" s="373" t="n">
        <v>0</v>
      </c>
      <c r="Q276" s="358" t="n">
        <v>0</v>
      </c>
      <c r="R276" s="358" t="n">
        <v>0</v>
      </c>
      <c r="S276" s="372" t="n">
        <v>0</v>
      </c>
      <c r="T276" s="373" t="n">
        <v>0</v>
      </c>
      <c r="U276" s="358" t="n">
        <v>0</v>
      </c>
      <c r="V276" s="358" t="n">
        <v>0</v>
      </c>
      <c r="W276" s="372" t="n">
        <v>0</v>
      </c>
      <c r="X276" s="373" t="n">
        <v>0</v>
      </c>
      <c r="Y276" s="358" t="n">
        <v>0</v>
      </c>
      <c r="Z276" s="358" t="n">
        <v>0</v>
      </c>
      <c r="AA276" s="358" t="n">
        <v>0</v>
      </c>
      <c r="AB276" s="373" t="n">
        <v>0</v>
      </c>
      <c r="AC276" s="358" t="n">
        <v>0</v>
      </c>
      <c r="AD276" s="358" t="n">
        <v>0</v>
      </c>
      <c r="AE276" s="358" t="n">
        <v>0</v>
      </c>
      <c r="AF276" s="359" t="n">
        <v>1</v>
      </c>
    </row>
    <row r="277" customFormat="false" ht="15" hidden="true" customHeight="false" outlineLevel="0" collapsed="false">
      <c r="B277" s="360" t="s">
        <v>2763</v>
      </c>
      <c r="C277" s="359" t="n">
        <v>1</v>
      </c>
      <c r="D277" s="358" t="n">
        <v>0</v>
      </c>
      <c r="E277" s="358" t="n">
        <v>0</v>
      </c>
      <c r="F277" s="358" t="n">
        <v>0</v>
      </c>
      <c r="G277" s="372" t="n">
        <v>0</v>
      </c>
      <c r="H277" s="373" t="n">
        <v>0</v>
      </c>
      <c r="I277" s="358" t="n">
        <v>0</v>
      </c>
      <c r="J277" s="358" t="n">
        <v>0</v>
      </c>
      <c r="K277" s="372" t="n">
        <v>0</v>
      </c>
      <c r="L277" s="373" t="n">
        <v>0</v>
      </c>
      <c r="M277" s="358" t="n">
        <v>0</v>
      </c>
      <c r="N277" s="358" t="n">
        <v>0</v>
      </c>
      <c r="O277" s="372" t="n">
        <v>0</v>
      </c>
      <c r="P277" s="373" t="n">
        <v>0</v>
      </c>
      <c r="Q277" s="358" t="n">
        <v>0</v>
      </c>
      <c r="R277" s="358" t="n">
        <v>0</v>
      </c>
      <c r="S277" s="372" t="n">
        <v>0</v>
      </c>
      <c r="T277" s="373" t="n">
        <v>0</v>
      </c>
      <c r="U277" s="358" t="n">
        <v>0</v>
      </c>
      <c r="V277" s="358" t="n">
        <v>0</v>
      </c>
      <c r="W277" s="372" t="n">
        <v>0</v>
      </c>
      <c r="X277" s="373" t="n">
        <v>0</v>
      </c>
      <c r="Y277" s="358" t="n">
        <v>0</v>
      </c>
      <c r="Z277" s="358" t="n">
        <v>0</v>
      </c>
      <c r="AA277" s="358" t="n">
        <v>0</v>
      </c>
      <c r="AB277" s="373" t="n">
        <v>0</v>
      </c>
      <c r="AC277" s="358" t="n">
        <v>0</v>
      </c>
      <c r="AD277" s="358" t="n">
        <v>0</v>
      </c>
      <c r="AE277" s="358" t="n">
        <v>0</v>
      </c>
      <c r="AF277" s="359" t="n">
        <v>1</v>
      </c>
    </row>
    <row r="278" customFormat="false" ht="15" hidden="true" customHeight="false" outlineLevel="0" collapsed="false">
      <c r="B278" s="360" t="s">
        <v>2764</v>
      </c>
      <c r="C278" s="359" t="n">
        <v>1</v>
      </c>
      <c r="D278" s="358" t="n">
        <v>0</v>
      </c>
      <c r="E278" s="358" t="n">
        <v>0</v>
      </c>
      <c r="F278" s="358" t="n">
        <v>0</v>
      </c>
      <c r="G278" s="372" t="n">
        <v>0</v>
      </c>
      <c r="H278" s="373" t="n">
        <v>0</v>
      </c>
      <c r="I278" s="358" t="n">
        <v>0</v>
      </c>
      <c r="J278" s="358" t="n">
        <v>0</v>
      </c>
      <c r="K278" s="372" t="n">
        <v>0</v>
      </c>
      <c r="L278" s="373" t="n">
        <v>0</v>
      </c>
      <c r="M278" s="358" t="n">
        <v>0</v>
      </c>
      <c r="N278" s="358" t="n">
        <v>0</v>
      </c>
      <c r="O278" s="372" t="n">
        <v>0</v>
      </c>
      <c r="P278" s="373" t="n">
        <v>0</v>
      </c>
      <c r="Q278" s="358" t="n">
        <v>0</v>
      </c>
      <c r="R278" s="358" t="n">
        <v>0</v>
      </c>
      <c r="S278" s="372" t="n">
        <v>0</v>
      </c>
      <c r="T278" s="373" t="n">
        <v>0</v>
      </c>
      <c r="U278" s="358" t="n">
        <v>0</v>
      </c>
      <c r="V278" s="358" t="n">
        <v>0</v>
      </c>
      <c r="W278" s="372" t="n">
        <v>0</v>
      </c>
      <c r="X278" s="373" t="n">
        <v>0</v>
      </c>
      <c r="Y278" s="358" t="n">
        <v>0</v>
      </c>
      <c r="Z278" s="358" t="n">
        <v>0</v>
      </c>
      <c r="AA278" s="358" t="n">
        <v>0</v>
      </c>
      <c r="AB278" s="373" t="n">
        <v>0</v>
      </c>
      <c r="AC278" s="358" t="n">
        <v>0</v>
      </c>
      <c r="AD278" s="358" t="n">
        <v>0</v>
      </c>
      <c r="AE278" s="358" t="n">
        <v>0</v>
      </c>
      <c r="AF278" s="359" t="n">
        <v>1</v>
      </c>
    </row>
    <row r="279" customFormat="false" ht="15" hidden="true" customHeight="false" outlineLevel="0" collapsed="false">
      <c r="B279" s="360" t="s">
        <v>2765</v>
      </c>
      <c r="C279" s="359" t="n">
        <v>1</v>
      </c>
      <c r="D279" s="358" t="n">
        <v>0</v>
      </c>
      <c r="E279" s="358" t="n">
        <v>0</v>
      </c>
      <c r="F279" s="358" t="n">
        <v>0</v>
      </c>
      <c r="G279" s="372" t="n">
        <v>0</v>
      </c>
      <c r="H279" s="373" t="n">
        <v>0</v>
      </c>
      <c r="I279" s="358" t="n">
        <v>0</v>
      </c>
      <c r="J279" s="358" t="n">
        <v>0</v>
      </c>
      <c r="K279" s="372" t="n">
        <v>0</v>
      </c>
      <c r="L279" s="373" t="n">
        <v>0</v>
      </c>
      <c r="M279" s="358" t="n">
        <v>0</v>
      </c>
      <c r="N279" s="358" t="n">
        <v>0</v>
      </c>
      <c r="O279" s="372" t="n">
        <v>0</v>
      </c>
      <c r="P279" s="373" t="n">
        <v>0</v>
      </c>
      <c r="Q279" s="358" t="n">
        <v>0</v>
      </c>
      <c r="R279" s="358" t="n">
        <v>0</v>
      </c>
      <c r="S279" s="372" t="n">
        <v>0</v>
      </c>
      <c r="T279" s="373" t="n">
        <v>0</v>
      </c>
      <c r="U279" s="358" t="n">
        <v>0</v>
      </c>
      <c r="V279" s="358" t="n">
        <v>0</v>
      </c>
      <c r="W279" s="372" t="n">
        <v>0</v>
      </c>
      <c r="X279" s="373" t="n">
        <v>0</v>
      </c>
      <c r="Y279" s="358" t="n">
        <v>0</v>
      </c>
      <c r="Z279" s="358" t="n">
        <v>0</v>
      </c>
      <c r="AA279" s="358" t="n">
        <v>0</v>
      </c>
      <c r="AB279" s="373" t="n">
        <v>0</v>
      </c>
      <c r="AC279" s="358" t="n">
        <v>0</v>
      </c>
      <c r="AD279" s="358" t="n">
        <v>0</v>
      </c>
      <c r="AE279" s="358" t="n">
        <v>0</v>
      </c>
      <c r="AF279" s="359" t="n">
        <v>1</v>
      </c>
    </row>
    <row r="280" customFormat="false" ht="15" hidden="true" customHeight="false" outlineLevel="0" collapsed="false">
      <c r="B280" s="360" t="s">
        <v>2766</v>
      </c>
      <c r="C280" s="359" t="n">
        <v>1</v>
      </c>
      <c r="D280" s="358" t="n">
        <v>0</v>
      </c>
      <c r="E280" s="358" t="n">
        <v>0</v>
      </c>
      <c r="F280" s="358" t="n">
        <v>0</v>
      </c>
      <c r="G280" s="372" t="n">
        <v>0</v>
      </c>
      <c r="H280" s="373" t="n">
        <v>0</v>
      </c>
      <c r="I280" s="358" t="n">
        <v>0</v>
      </c>
      <c r="J280" s="358" t="n">
        <v>0</v>
      </c>
      <c r="K280" s="372" t="n">
        <v>0</v>
      </c>
      <c r="L280" s="373" t="n">
        <v>0</v>
      </c>
      <c r="M280" s="358" t="n">
        <v>0</v>
      </c>
      <c r="N280" s="358" t="n">
        <v>0</v>
      </c>
      <c r="O280" s="372" t="n">
        <v>0</v>
      </c>
      <c r="P280" s="373" t="n">
        <v>0</v>
      </c>
      <c r="Q280" s="358" t="n">
        <v>0</v>
      </c>
      <c r="R280" s="358" t="n">
        <v>0</v>
      </c>
      <c r="S280" s="372" t="n">
        <v>0</v>
      </c>
      <c r="T280" s="373" t="n">
        <v>0</v>
      </c>
      <c r="U280" s="358" t="n">
        <v>0</v>
      </c>
      <c r="V280" s="358" t="n">
        <v>0</v>
      </c>
      <c r="W280" s="372" t="n">
        <v>0</v>
      </c>
      <c r="X280" s="373" t="n">
        <v>0</v>
      </c>
      <c r="Y280" s="358" t="n">
        <v>0</v>
      </c>
      <c r="Z280" s="358" t="n">
        <v>0</v>
      </c>
      <c r="AA280" s="358" t="n">
        <v>0</v>
      </c>
      <c r="AB280" s="373" t="n">
        <v>0</v>
      </c>
      <c r="AC280" s="358" t="n">
        <v>0</v>
      </c>
      <c r="AD280" s="358" t="n">
        <v>0</v>
      </c>
      <c r="AE280" s="358" t="n">
        <v>0</v>
      </c>
      <c r="AF280" s="359" t="n">
        <v>1</v>
      </c>
    </row>
    <row r="281" customFormat="false" ht="15" hidden="true" customHeight="false" outlineLevel="0" collapsed="false">
      <c r="B281" s="360" t="s">
        <v>2767</v>
      </c>
      <c r="C281" s="359" t="n">
        <v>1</v>
      </c>
      <c r="D281" s="358" t="n">
        <v>0</v>
      </c>
      <c r="E281" s="358" t="n">
        <v>0</v>
      </c>
      <c r="F281" s="358" t="n">
        <v>0</v>
      </c>
      <c r="G281" s="372" t="n">
        <v>0</v>
      </c>
      <c r="H281" s="373" t="n">
        <v>0</v>
      </c>
      <c r="I281" s="358" t="n">
        <v>0</v>
      </c>
      <c r="J281" s="358" t="n">
        <v>0</v>
      </c>
      <c r="K281" s="372" t="n">
        <v>0</v>
      </c>
      <c r="L281" s="373" t="n">
        <v>0</v>
      </c>
      <c r="M281" s="358" t="n">
        <v>0</v>
      </c>
      <c r="N281" s="358" t="n">
        <v>0</v>
      </c>
      <c r="O281" s="372" t="n">
        <v>0</v>
      </c>
      <c r="P281" s="373" t="n">
        <v>0</v>
      </c>
      <c r="Q281" s="358" t="n">
        <v>0</v>
      </c>
      <c r="R281" s="358" t="n">
        <v>0</v>
      </c>
      <c r="S281" s="372" t="n">
        <v>0</v>
      </c>
      <c r="T281" s="373" t="n">
        <v>0</v>
      </c>
      <c r="U281" s="358" t="n">
        <v>0</v>
      </c>
      <c r="V281" s="358" t="n">
        <v>0</v>
      </c>
      <c r="W281" s="372" t="n">
        <v>0</v>
      </c>
      <c r="X281" s="373" t="n">
        <v>0</v>
      </c>
      <c r="Y281" s="358" t="n">
        <v>0</v>
      </c>
      <c r="Z281" s="358" t="n">
        <v>0</v>
      </c>
      <c r="AA281" s="358" t="n">
        <v>0</v>
      </c>
      <c r="AB281" s="373" t="n">
        <v>0</v>
      </c>
      <c r="AC281" s="358" t="n">
        <v>0</v>
      </c>
      <c r="AD281" s="358" t="n">
        <v>0</v>
      </c>
      <c r="AE281" s="358" t="n">
        <v>0</v>
      </c>
      <c r="AF281" s="359" t="n">
        <v>1</v>
      </c>
    </row>
    <row r="282" customFormat="false" ht="15" hidden="true" customHeight="false" outlineLevel="0" collapsed="false">
      <c r="B282" s="360" t="s">
        <v>2768</v>
      </c>
      <c r="C282" s="359" t="n">
        <v>1</v>
      </c>
      <c r="D282" s="358" t="n">
        <v>0</v>
      </c>
      <c r="E282" s="358" t="n">
        <v>0</v>
      </c>
      <c r="F282" s="358" t="n">
        <v>0</v>
      </c>
      <c r="G282" s="372" t="n">
        <v>0</v>
      </c>
      <c r="H282" s="373" t="n">
        <v>0</v>
      </c>
      <c r="I282" s="358" t="n">
        <v>0</v>
      </c>
      <c r="J282" s="358" t="n">
        <v>0</v>
      </c>
      <c r="K282" s="372" t="n">
        <v>0</v>
      </c>
      <c r="L282" s="373" t="n">
        <v>0</v>
      </c>
      <c r="M282" s="358" t="n">
        <v>0</v>
      </c>
      <c r="N282" s="358" t="n">
        <v>0</v>
      </c>
      <c r="O282" s="372" t="n">
        <v>0</v>
      </c>
      <c r="P282" s="373" t="n">
        <v>0</v>
      </c>
      <c r="Q282" s="358" t="n">
        <v>0</v>
      </c>
      <c r="R282" s="358" t="n">
        <v>0</v>
      </c>
      <c r="S282" s="372" t="n">
        <v>0</v>
      </c>
      <c r="T282" s="373" t="n">
        <v>0</v>
      </c>
      <c r="U282" s="358" t="n">
        <v>0</v>
      </c>
      <c r="V282" s="358" t="n">
        <v>0</v>
      </c>
      <c r="W282" s="372" t="n">
        <v>0</v>
      </c>
      <c r="X282" s="373" t="n">
        <v>0</v>
      </c>
      <c r="Y282" s="358" t="n">
        <v>0</v>
      </c>
      <c r="Z282" s="358" t="n">
        <v>0</v>
      </c>
      <c r="AA282" s="358" t="n">
        <v>0</v>
      </c>
      <c r="AB282" s="373" t="n">
        <v>0</v>
      </c>
      <c r="AC282" s="358" t="n">
        <v>0</v>
      </c>
      <c r="AD282" s="358" t="n">
        <v>0</v>
      </c>
      <c r="AE282" s="358" t="n">
        <v>0</v>
      </c>
      <c r="AF282" s="359" t="n">
        <v>1</v>
      </c>
    </row>
    <row r="283" customFormat="false" ht="15" hidden="true" customHeight="false" outlineLevel="0" collapsed="false">
      <c r="B283" s="360" t="s">
        <v>2769</v>
      </c>
      <c r="C283" s="359" t="n">
        <v>1</v>
      </c>
      <c r="D283" s="358" t="n">
        <v>0</v>
      </c>
      <c r="E283" s="358" t="n">
        <v>0</v>
      </c>
      <c r="F283" s="358" t="n">
        <v>0</v>
      </c>
      <c r="G283" s="372" t="n">
        <v>0</v>
      </c>
      <c r="H283" s="373" t="n">
        <v>0</v>
      </c>
      <c r="I283" s="358" t="n">
        <v>0</v>
      </c>
      <c r="J283" s="358" t="n">
        <v>0</v>
      </c>
      <c r="K283" s="372" t="n">
        <v>0</v>
      </c>
      <c r="L283" s="373" t="n">
        <v>0</v>
      </c>
      <c r="M283" s="358" t="n">
        <v>0</v>
      </c>
      <c r="N283" s="358" t="n">
        <v>0</v>
      </c>
      <c r="O283" s="372" t="n">
        <v>0</v>
      </c>
      <c r="P283" s="373" t="n">
        <v>0</v>
      </c>
      <c r="Q283" s="358" t="n">
        <v>0</v>
      </c>
      <c r="R283" s="358" t="n">
        <v>0</v>
      </c>
      <c r="S283" s="372" t="n">
        <v>0</v>
      </c>
      <c r="T283" s="373" t="n">
        <v>0</v>
      </c>
      <c r="U283" s="358" t="n">
        <v>0</v>
      </c>
      <c r="V283" s="358" t="n">
        <v>0</v>
      </c>
      <c r="W283" s="372" t="n">
        <v>0</v>
      </c>
      <c r="X283" s="373" t="n">
        <v>0</v>
      </c>
      <c r="Y283" s="358" t="n">
        <v>0</v>
      </c>
      <c r="Z283" s="358" t="n">
        <v>0</v>
      </c>
      <c r="AA283" s="358" t="n">
        <v>0</v>
      </c>
      <c r="AB283" s="373" t="n">
        <v>0</v>
      </c>
      <c r="AC283" s="358" t="n">
        <v>0</v>
      </c>
      <c r="AD283" s="358" t="n">
        <v>0</v>
      </c>
      <c r="AE283" s="358" t="n">
        <v>0</v>
      </c>
      <c r="AF283" s="359" t="n">
        <v>1</v>
      </c>
    </row>
    <row r="284" customFormat="false" ht="15" hidden="true" customHeight="false" outlineLevel="0" collapsed="false">
      <c r="B284" s="360" t="s">
        <v>2770</v>
      </c>
      <c r="C284" s="359" t="n">
        <v>1</v>
      </c>
      <c r="D284" s="358" t="n">
        <v>0</v>
      </c>
      <c r="E284" s="358" t="n">
        <v>0</v>
      </c>
      <c r="F284" s="358" t="n">
        <v>0</v>
      </c>
      <c r="G284" s="372" t="n">
        <v>0</v>
      </c>
      <c r="H284" s="373" t="n">
        <v>0</v>
      </c>
      <c r="I284" s="358" t="n">
        <v>0</v>
      </c>
      <c r="J284" s="358" t="n">
        <v>0</v>
      </c>
      <c r="K284" s="372" t="n">
        <v>0</v>
      </c>
      <c r="L284" s="373" t="n">
        <v>0</v>
      </c>
      <c r="M284" s="358" t="n">
        <v>0</v>
      </c>
      <c r="N284" s="358" t="n">
        <v>0</v>
      </c>
      <c r="O284" s="372" t="n">
        <v>0</v>
      </c>
      <c r="P284" s="373" t="n">
        <v>0</v>
      </c>
      <c r="Q284" s="358" t="n">
        <v>0</v>
      </c>
      <c r="R284" s="358" t="n">
        <v>0</v>
      </c>
      <c r="S284" s="372" t="n">
        <v>0</v>
      </c>
      <c r="T284" s="373" t="n">
        <v>0</v>
      </c>
      <c r="U284" s="358" t="n">
        <v>0</v>
      </c>
      <c r="V284" s="358" t="n">
        <v>0</v>
      </c>
      <c r="W284" s="372" t="n">
        <v>0</v>
      </c>
      <c r="X284" s="373" t="n">
        <v>0</v>
      </c>
      <c r="Y284" s="358" t="n">
        <v>0</v>
      </c>
      <c r="Z284" s="358" t="n">
        <v>0</v>
      </c>
      <c r="AA284" s="358" t="n">
        <v>0</v>
      </c>
      <c r="AB284" s="373" t="n">
        <v>0</v>
      </c>
      <c r="AC284" s="358" t="n">
        <v>0</v>
      </c>
      <c r="AD284" s="358" t="n">
        <v>0</v>
      </c>
      <c r="AE284" s="358" t="n">
        <v>0</v>
      </c>
      <c r="AF284" s="359" t="n">
        <v>1</v>
      </c>
    </row>
    <row r="285" customFormat="false" ht="15" hidden="true" customHeight="false" outlineLevel="0" collapsed="false">
      <c r="B285" s="360" t="s">
        <v>2771</v>
      </c>
      <c r="C285" s="359" t="n">
        <v>1</v>
      </c>
      <c r="D285" s="358" t="n">
        <v>0</v>
      </c>
      <c r="E285" s="358" t="n">
        <v>0</v>
      </c>
      <c r="F285" s="358" t="n">
        <v>0</v>
      </c>
      <c r="G285" s="372" t="n">
        <v>0</v>
      </c>
      <c r="H285" s="373" t="n">
        <v>0</v>
      </c>
      <c r="I285" s="358" t="n">
        <v>0</v>
      </c>
      <c r="J285" s="358" t="n">
        <v>0</v>
      </c>
      <c r="K285" s="372" t="n">
        <v>0</v>
      </c>
      <c r="L285" s="373" t="n">
        <v>0</v>
      </c>
      <c r="M285" s="358" t="n">
        <v>0</v>
      </c>
      <c r="N285" s="358" t="n">
        <v>0</v>
      </c>
      <c r="O285" s="372" t="n">
        <v>0</v>
      </c>
      <c r="P285" s="373" t="n">
        <v>0</v>
      </c>
      <c r="Q285" s="358" t="n">
        <v>0</v>
      </c>
      <c r="R285" s="358" t="n">
        <v>0</v>
      </c>
      <c r="S285" s="372" t="n">
        <v>0</v>
      </c>
      <c r="T285" s="373" t="n">
        <v>0</v>
      </c>
      <c r="U285" s="358" t="n">
        <v>0</v>
      </c>
      <c r="V285" s="358" t="n">
        <v>0</v>
      </c>
      <c r="W285" s="372" t="n">
        <v>0</v>
      </c>
      <c r="X285" s="373" t="n">
        <v>0</v>
      </c>
      <c r="Y285" s="358" t="n">
        <v>0</v>
      </c>
      <c r="Z285" s="358" t="n">
        <v>0</v>
      </c>
      <c r="AA285" s="358" t="n">
        <v>0</v>
      </c>
      <c r="AB285" s="373" t="n">
        <v>0</v>
      </c>
      <c r="AC285" s="358" t="n">
        <v>0</v>
      </c>
      <c r="AD285" s="358" t="n">
        <v>0</v>
      </c>
      <c r="AE285" s="358" t="n">
        <v>0</v>
      </c>
      <c r="AF285" s="359" t="n">
        <v>1</v>
      </c>
    </row>
    <row r="286" customFormat="false" ht="15" hidden="true" customHeight="false" outlineLevel="0" collapsed="false">
      <c r="B286" s="360" t="s">
        <v>2772</v>
      </c>
      <c r="C286" s="359" t="n">
        <v>1</v>
      </c>
      <c r="D286" s="358" t="n">
        <v>0</v>
      </c>
      <c r="E286" s="358" t="n">
        <v>0</v>
      </c>
      <c r="F286" s="358" t="n">
        <v>0</v>
      </c>
      <c r="G286" s="372" t="n">
        <v>0</v>
      </c>
      <c r="H286" s="373" t="n">
        <v>0</v>
      </c>
      <c r="I286" s="358" t="n">
        <v>0</v>
      </c>
      <c r="J286" s="358" t="n">
        <v>0</v>
      </c>
      <c r="K286" s="372" t="n">
        <v>0</v>
      </c>
      <c r="L286" s="373" t="n">
        <v>0</v>
      </c>
      <c r="M286" s="358" t="n">
        <v>0</v>
      </c>
      <c r="N286" s="358" t="n">
        <v>0</v>
      </c>
      <c r="O286" s="372" t="n">
        <v>0</v>
      </c>
      <c r="P286" s="373" t="n">
        <v>0</v>
      </c>
      <c r="Q286" s="358" t="n">
        <v>0</v>
      </c>
      <c r="R286" s="358" t="n">
        <v>0</v>
      </c>
      <c r="S286" s="372" t="n">
        <v>0</v>
      </c>
      <c r="T286" s="373" t="n">
        <v>0</v>
      </c>
      <c r="U286" s="358" t="n">
        <v>0</v>
      </c>
      <c r="V286" s="358" t="n">
        <v>0</v>
      </c>
      <c r="W286" s="372" t="n">
        <v>0</v>
      </c>
      <c r="X286" s="373" t="n">
        <v>0</v>
      </c>
      <c r="Y286" s="358" t="n">
        <v>0</v>
      </c>
      <c r="Z286" s="358" t="n">
        <v>0</v>
      </c>
      <c r="AA286" s="358" t="n">
        <v>0</v>
      </c>
      <c r="AB286" s="373" t="n">
        <v>0</v>
      </c>
      <c r="AC286" s="358" t="n">
        <v>0</v>
      </c>
      <c r="AD286" s="358" t="n">
        <v>0</v>
      </c>
      <c r="AE286" s="358" t="n">
        <v>0</v>
      </c>
      <c r="AF286" s="359" t="n">
        <v>1</v>
      </c>
    </row>
    <row r="287" customFormat="false" ht="15" hidden="true" customHeight="false" outlineLevel="0" collapsed="false">
      <c r="B287" s="360" t="s">
        <v>2773</v>
      </c>
      <c r="C287" s="359" t="n">
        <v>1</v>
      </c>
      <c r="D287" s="358" t="n">
        <v>0</v>
      </c>
      <c r="E287" s="358" t="n">
        <v>0</v>
      </c>
      <c r="F287" s="358" t="n">
        <v>0</v>
      </c>
      <c r="G287" s="372" t="n">
        <v>0</v>
      </c>
      <c r="H287" s="373" t="n">
        <v>0</v>
      </c>
      <c r="I287" s="358" t="n">
        <v>0</v>
      </c>
      <c r="J287" s="358" t="n">
        <v>0</v>
      </c>
      <c r="K287" s="372" t="n">
        <v>0</v>
      </c>
      <c r="L287" s="373" t="n">
        <v>0</v>
      </c>
      <c r="M287" s="358" t="n">
        <v>0</v>
      </c>
      <c r="N287" s="358" t="n">
        <v>0</v>
      </c>
      <c r="O287" s="372" t="n">
        <v>0</v>
      </c>
      <c r="P287" s="373" t="n">
        <v>0</v>
      </c>
      <c r="Q287" s="358" t="n">
        <v>0</v>
      </c>
      <c r="R287" s="358" t="n">
        <v>0</v>
      </c>
      <c r="S287" s="372" t="n">
        <v>0</v>
      </c>
      <c r="T287" s="373" t="n">
        <v>0</v>
      </c>
      <c r="U287" s="358" t="n">
        <v>0</v>
      </c>
      <c r="V287" s="358" t="n">
        <v>0</v>
      </c>
      <c r="W287" s="372" t="n">
        <v>0</v>
      </c>
      <c r="X287" s="373" t="n">
        <v>0</v>
      </c>
      <c r="Y287" s="358" t="n">
        <v>0</v>
      </c>
      <c r="Z287" s="358" t="n">
        <v>0</v>
      </c>
      <c r="AA287" s="358" t="n">
        <v>0</v>
      </c>
      <c r="AB287" s="373" t="n">
        <v>0</v>
      </c>
      <c r="AC287" s="358" t="n">
        <v>0</v>
      </c>
      <c r="AD287" s="358" t="n">
        <v>0</v>
      </c>
      <c r="AE287" s="358" t="n">
        <v>0</v>
      </c>
      <c r="AF287" s="359" t="n">
        <v>1</v>
      </c>
    </row>
    <row r="288" customFormat="false" ht="15" hidden="true" customHeight="false" outlineLevel="0" collapsed="false">
      <c r="B288" s="360" t="s">
        <v>2774</v>
      </c>
      <c r="C288" s="359" t="n">
        <v>1</v>
      </c>
      <c r="D288" s="358" t="n">
        <v>0</v>
      </c>
      <c r="E288" s="358" t="n">
        <v>0</v>
      </c>
      <c r="F288" s="358" t="n">
        <v>0</v>
      </c>
      <c r="G288" s="372" t="n">
        <v>0</v>
      </c>
      <c r="H288" s="373" t="n">
        <v>0</v>
      </c>
      <c r="I288" s="358" t="n">
        <v>0</v>
      </c>
      <c r="J288" s="358" t="n">
        <v>0</v>
      </c>
      <c r="K288" s="372" t="n">
        <v>0</v>
      </c>
      <c r="L288" s="373" t="n">
        <v>0</v>
      </c>
      <c r="M288" s="358" t="n">
        <v>0</v>
      </c>
      <c r="N288" s="358" t="n">
        <v>0</v>
      </c>
      <c r="O288" s="372" t="n">
        <v>0</v>
      </c>
      <c r="P288" s="373" t="n">
        <v>0</v>
      </c>
      <c r="Q288" s="358" t="n">
        <v>0</v>
      </c>
      <c r="R288" s="358" t="n">
        <v>0</v>
      </c>
      <c r="S288" s="372" t="n">
        <v>0</v>
      </c>
      <c r="T288" s="373" t="n">
        <v>0</v>
      </c>
      <c r="U288" s="358" t="n">
        <v>0</v>
      </c>
      <c r="V288" s="358" t="n">
        <v>0</v>
      </c>
      <c r="W288" s="372" t="n">
        <v>0</v>
      </c>
      <c r="X288" s="373" t="n">
        <v>0</v>
      </c>
      <c r="Y288" s="358" t="n">
        <v>0</v>
      </c>
      <c r="Z288" s="358" t="n">
        <v>0</v>
      </c>
      <c r="AA288" s="358" t="n">
        <v>0</v>
      </c>
      <c r="AB288" s="373" t="n">
        <v>0</v>
      </c>
      <c r="AC288" s="358" t="n">
        <v>0</v>
      </c>
      <c r="AD288" s="358" t="n">
        <v>0</v>
      </c>
      <c r="AE288" s="358" t="n">
        <v>0</v>
      </c>
      <c r="AF288" s="359" t="n">
        <v>1</v>
      </c>
    </row>
    <row r="289" customFormat="false" ht="15" hidden="true" customHeight="false" outlineLevel="0" collapsed="false">
      <c r="B289" s="360" t="s">
        <v>2775</v>
      </c>
      <c r="C289" s="359" t="n">
        <v>1</v>
      </c>
      <c r="D289" s="358" t="n">
        <v>0</v>
      </c>
      <c r="E289" s="358" t="n">
        <v>0</v>
      </c>
      <c r="F289" s="358" t="n">
        <v>0</v>
      </c>
      <c r="G289" s="372" t="n">
        <v>0</v>
      </c>
      <c r="H289" s="373" t="n">
        <v>0</v>
      </c>
      <c r="I289" s="358" t="n">
        <v>0</v>
      </c>
      <c r="J289" s="358" t="n">
        <v>0</v>
      </c>
      <c r="K289" s="372" t="n">
        <v>0</v>
      </c>
      <c r="L289" s="373" t="n">
        <v>0</v>
      </c>
      <c r="M289" s="358" t="n">
        <v>0</v>
      </c>
      <c r="N289" s="358" t="n">
        <v>0</v>
      </c>
      <c r="O289" s="372" t="n">
        <v>0</v>
      </c>
      <c r="P289" s="373" t="n">
        <v>0</v>
      </c>
      <c r="Q289" s="358" t="n">
        <v>0</v>
      </c>
      <c r="R289" s="358" t="n">
        <v>0</v>
      </c>
      <c r="S289" s="372" t="n">
        <v>0</v>
      </c>
      <c r="T289" s="373" t="n">
        <v>0</v>
      </c>
      <c r="U289" s="358" t="n">
        <v>0</v>
      </c>
      <c r="V289" s="358" t="n">
        <v>0</v>
      </c>
      <c r="W289" s="372" t="n">
        <v>0</v>
      </c>
      <c r="X289" s="373" t="n">
        <v>0</v>
      </c>
      <c r="Y289" s="358" t="n">
        <v>0</v>
      </c>
      <c r="Z289" s="358" t="n">
        <v>0</v>
      </c>
      <c r="AA289" s="358" t="n">
        <v>0</v>
      </c>
      <c r="AB289" s="373" t="n">
        <v>0</v>
      </c>
      <c r="AC289" s="358" t="n">
        <v>0</v>
      </c>
      <c r="AD289" s="358" t="n">
        <v>0</v>
      </c>
      <c r="AE289" s="358" t="n">
        <v>0</v>
      </c>
      <c r="AF289" s="359" t="n">
        <v>1</v>
      </c>
    </row>
    <row r="290" customFormat="false" ht="15" hidden="true" customHeight="false" outlineLevel="0" collapsed="false">
      <c r="B290" s="360" t="s">
        <v>2776</v>
      </c>
      <c r="C290" s="359" t="n">
        <v>1</v>
      </c>
      <c r="D290" s="358" t="n">
        <v>0</v>
      </c>
      <c r="E290" s="358" t="n">
        <v>0</v>
      </c>
      <c r="F290" s="358" t="n">
        <v>0</v>
      </c>
      <c r="G290" s="372" t="n">
        <v>0</v>
      </c>
      <c r="H290" s="373" t="n">
        <v>0</v>
      </c>
      <c r="I290" s="358" t="n">
        <v>0</v>
      </c>
      <c r="J290" s="358" t="n">
        <v>0</v>
      </c>
      <c r="K290" s="372" t="n">
        <v>0</v>
      </c>
      <c r="L290" s="373" t="n">
        <v>0</v>
      </c>
      <c r="M290" s="358" t="n">
        <v>0</v>
      </c>
      <c r="N290" s="358" t="n">
        <v>0</v>
      </c>
      <c r="O290" s="372" t="n">
        <v>0</v>
      </c>
      <c r="P290" s="373" t="n">
        <v>0</v>
      </c>
      <c r="Q290" s="358" t="n">
        <v>0</v>
      </c>
      <c r="R290" s="358" t="n">
        <v>0</v>
      </c>
      <c r="S290" s="372" t="n">
        <v>0</v>
      </c>
      <c r="T290" s="373" t="n">
        <v>0</v>
      </c>
      <c r="U290" s="358" t="n">
        <v>0</v>
      </c>
      <c r="V290" s="358" t="n">
        <v>0</v>
      </c>
      <c r="W290" s="372" t="n">
        <v>0</v>
      </c>
      <c r="X290" s="373" t="n">
        <v>0</v>
      </c>
      <c r="Y290" s="358" t="n">
        <v>0</v>
      </c>
      <c r="Z290" s="358" t="n">
        <v>0</v>
      </c>
      <c r="AA290" s="358" t="n">
        <v>0</v>
      </c>
      <c r="AB290" s="373" t="n">
        <v>0</v>
      </c>
      <c r="AC290" s="358" t="n">
        <v>0</v>
      </c>
      <c r="AD290" s="358" t="n">
        <v>0</v>
      </c>
      <c r="AE290" s="358" t="n">
        <v>0</v>
      </c>
      <c r="AF290" s="359" t="n">
        <v>1</v>
      </c>
    </row>
    <row r="291" customFormat="false" ht="15" hidden="true" customHeight="false" outlineLevel="0" collapsed="false">
      <c r="B291" s="360" t="s">
        <v>2777</v>
      </c>
      <c r="C291" s="359" t="n">
        <v>1</v>
      </c>
      <c r="D291" s="358" t="n">
        <v>0</v>
      </c>
      <c r="E291" s="358" t="n">
        <v>0</v>
      </c>
      <c r="F291" s="358" t="n">
        <v>0</v>
      </c>
      <c r="G291" s="372" t="n">
        <v>0</v>
      </c>
      <c r="H291" s="373" t="n">
        <v>0</v>
      </c>
      <c r="I291" s="358" t="n">
        <v>0</v>
      </c>
      <c r="J291" s="358" t="n">
        <v>0</v>
      </c>
      <c r="K291" s="372" t="n">
        <v>0</v>
      </c>
      <c r="L291" s="373" t="n">
        <v>0</v>
      </c>
      <c r="M291" s="358" t="n">
        <v>0</v>
      </c>
      <c r="N291" s="358" t="n">
        <v>0</v>
      </c>
      <c r="O291" s="372" t="n">
        <v>0</v>
      </c>
      <c r="P291" s="373" t="n">
        <v>0</v>
      </c>
      <c r="Q291" s="358" t="n">
        <v>0</v>
      </c>
      <c r="R291" s="358" t="n">
        <v>0</v>
      </c>
      <c r="S291" s="372" t="n">
        <v>0</v>
      </c>
      <c r="T291" s="373" t="n">
        <v>0</v>
      </c>
      <c r="U291" s="358" t="n">
        <v>0</v>
      </c>
      <c r="V291" s="358" t="n">
        <v>0</v>
      </c>
      <c r="W291" s="372" t="n">
        <v>0</v>
      </c>
      <c r="X291" s="373" t="n">
        <v>0</v>
      </c>
      <c r="Y291" s="358" t="n">
        <v>0</v>
      </c>
      <c r="Z291" s="358" t="n">
        <v>0</v>
      </c>
      <c r="AA291" s="358" t="n">
        <v>0</v>
      </c>
      <c r="AB291" s="373" t="n">
        <v>0</v>
      </c>
      <c r="AC291" s="358" t="n">
        <v>0</v>
      </c>
      <c r="AD291" s="358" t="n">
        <v>0</v>
      </c>
      <c r="AE291" s="358" t="n">
        <v>0</v>
      </c>
      <c r="AF291" s="359" t="n">
        <v>1</v>
      </c>
    </row>
    <row r="292" customFormat="false" ht="15" hidden="true" customHeight="false" outlineLevel="0" collapsed="false">
      <c r="B292" s="360" t="s">
        <v>2778</v>
      </c>
      <c r="C292" s="359" t="n">
        <v>1</v>
      </c>
      <c r="D292" s="358" t="n">
        <v>0</v>
      </c>
      <c r="E292" s="358" t="n">
        <v>0</v>
      </c>
      <c r="F292" s="358" t="n">
        <v>0</v>
      </c>
      <c r="G292" s="372" t="n">
        <v>0</v>
      </c>
      <c r="H292" s="373" t="n">
        <v>0</v>
      </c>
      <c r="I292" s="358" t="n">
        <v>0</v>
      </c>
      <c r="J292" s="358" t="n">
        <v>0</v>
      </c>
      <c r="K292" s="372" t="n">
        <v>0</v>
      </c>
      <c r="L292" s="373" t="n">
        <v>0</v>
      </c>
      <c r="M292" s="358" t="n">
        <v>0</v>
      </c>
      <c r="N292" s="358" t="n">
        <v>0</v>
      </c>
      <c r="O292" s="372" t="n">
        <v>0</v>
      </c>
      <c r="P292" s="373" t="n">
        <v>0</v>
      </c>
      <c r="Q292" s="358" t="n">
        <v>0</v>
      </c>
      <c r="R292" s="358" t="n">
        <v>0</v>
      </c>
      <c r="S292" s="372" t="n">
        <v>0</v>
      </c>
      <c r="T292" s="373" t="n">
        <v>0</v>
      </c>
      <c r="U292" s="358" t="n">
        <v>0</v>
      </c>
      <c r="V292" s="358" t="n">
        <v>0</v>
      </c>
      <c r="W292" s="372" t="n">
        <v>0</v>
      </c>
      <c r="X292" s="373" t="n">
        <v>0</v>
      </c>
      <c r="Y292" s="358" t="n">
        <v>0</v>
      </c>
      <c r="Z292" s="358" t="n">
        <v>0</v>
      </c>
      <c r="AA292" s="358" t="n">
        <v>0</v>
      </c>
      <c r="AB292" s="373" t="n">
        <v>0</v>
      </c>
      <c r="AC292" s="358" t="n">
        <v>0</v>
      </c>
      <c r="AD292" s="358" t="n">
        <v>0</v>
      </c>
      <c r="AE292" s="358" t="n">
        <v>0</v>
      </c>
      <c r="AF292" s="359" t="n">
        <v>1</v>
      </c>
    </row>
    <row r="293" customFormat="false" ht="15" hidden="true" customHeight="false" outlineLevel="0" collapsed="false">
      <c r="B293" s="360" t="s">
        <v>2779</v>
      </c>
      <c r="C293" s="359" t="n">
        <v>1</v>
      </c>
      <c r="D293" s="358" t="n">
        <v>0</v>
      </c>
      <c r="E293" s="358" t="n">
        <v>0</v>
      </c>
      <c r="F293" s="358" t="n">
        <v>0</v>
      </c>
      <c r="G293" s="372" t="n">
        <v>0</v>
      </c>
      <c r="H293" s="373" t="n">
        <v>0</v>
      </c>
      <c r="I293" s="358" t="n">
        <v>0</v>
      </c>
      <c r="J293" s="358" t="n">
        <v>0</v>
      </c>
      <c r="K293" s="372" t="n">
        <v>0</v>
      </c>
      <c r="L293" s="373" t="n">
        <v>0</v>
      </c>
      <c r="M293" s="358" t="n">
        <v>0</v>
      </c>
      <c r="N293" s="358" t="n">
        <v>0</v>
      </c>
      <c r="O293" s="372" t="n">
        <v>0</v>
      </c>
      <c r="P293" s="373" t="n">
        <v>0</v>
      </c>
      <c r="Q293" s="358" t="n">
        <v>0</v>
      </c>
      <c r="R293" s="358" t="n">
        <v>0</v>
      </c>
      <c r="S293" s="372" t="n">
        <v>0</v>
      </c>
      <c r="T293" s="373" t="n">
        <v>0</v>
      </c>
      <c r="U293" s="358" t="n">
        <v>0</v>
      </c>
      <c r="V293" s="358" t="n">
        <v>0</v>
      </c>
      <c r="W293" s="372" t="n">
        <v>0</v>
      </c>
      <c r="X293" s="373" t="n">
        <v>0</v>
      </c>
      <c r="Y293" s="358" t="n">
        <v>0</v>
      </c>
      <c r="Z293" s="358" t="n">
        <v>0</v>
      </c>
      <c r="AA293" s="358" t="n">
        <v>0</v>
      </c>
      <c r="AB293" s="373" t="n">
        <v>0</v>
      </c>
      <c r="AC293" s="358" t="n">
        <v>0</v>
      </c>
      <c r="AD293" s="358" t="n">
        <v>0</v>
      </c>
      <c r="AE293" s="358" t="n">
        <v>0</v>
      </c>
      <c r="AF293" s="359" t="n">
        <v>1</v>
      </c>
    </row>
    <row r="294" customFormat="false" ht="15" hidden="true" customHeight="false" outlineLevel="0" collapsed="false">
      <c r="B294" s="360" t="s">
        <v>2780</v>
      </c>
      <c r="C294" s="359" t="n">
        <v>1</v>
      </c>
      <c r="D294" s="358" t="n">
        <v>0</v>
      </c>
      <c r="E294" s="358" t="n">
        <v>0</v>
      </c>
      <c r="F294" s="358" t="n">
        <v>0</v>
      </c>
      <c r="G294" s="372" t="n">
        <v>0</v>
      </c>
      <c r="H294" s="373" t="n">
        <v>0</v>
      </c>
      <c r="I294" s="358" t="n">
        <v>0</v>
      </c>
      <c r="J294" s="358" t="n">
        <v>0</v>
      </c>
      <c r="K294" s="372" t="n">
        <v>0</v>
      </c>
      <c r="L294" s="373" t="n">
        <v>0</v>
      </c>
      <c r="M294" s="358" t="n">
        <v>0</v>
      </c>
      <c r="N294" s="358" t="n">
        <v>0</v>
      </c>
      <c r="O294" s="372" t="n">
        <v>0</v>
      </c>
      <c r="P294" s="373" t="n">
        <v>0</v>
      </c>
      <c r="Q294" s="358" t="n">
        <v>0</v>
      </c>
      <c r="R294" s="358" t="n">
        <v>0</v>
      </c>
      <c r="S294" s="372" t="n">
        <v>0</v>
      </c>
      <c r="T294" s="373" t="n">
        <v>0</v>
      </c>
      <c r="U294" s="358" t="n">
        <v>0</v>
      </c>
      <c r="V294" s="358" t="n">
        <v>0</v>
      </c>
      <c r="W294" s="372" t="n">
        <v>0</v>
      </c>
      <c r="X294" s="373" t="n">
        <v>0</v>
      </c>
      <c r="Y294" s="358" t="n">
        <v>0</v>
      </c>
      <c r="Z294" s="358" t="n">
        <v>0</v>
      </c>
      <c r="AA294" s="358" t="n">
        <v>0</v>
      </c>
      <c r="AB294" s="373" t="n">
        <v>0</v>
      </c>
      <c r="AC294" s="358" t="n">
        <v>0</v>
      </c>
      <c r="AD294" s="358" t="n">
        <v>0</v>
      </c>
      <c r="AE294" s="358" t="n">
        <v>0</v>
      </c>
      <c r="AF294" s="359" t="n">
        <v>1</v>
      </c>
    </row>
    <row r="295" customFormat="false" ht="15" hidden="true" customHeight="false" outlineLevel="0" collapsed="false">
      <c r="B295" s="360" t="s">
        <v>2781</v>
      </c>
      <c r="C295" s="359" t="n">
        <v>1</v>
      </c>
      <c r="D295" s="358" t="n">
        <v>0</v>
      </c>
      <c r="E295" s="358" t="n">
        <v>0</v>
      </c>
      <c r="F295" s="358" t="n">
        <v>0</v>
      </c>
      <c r="G295" s="372" t="n">
        <v>0</v>
      </c>
      <c r="H295" s="373" t="n">
        <v>0</v>
      </c>
      <c r="I295" s="358" t="n">
        <v>0</v>
      </c>
      <c r="J295" s="358" t="n">
        <v>0</v>
      </c>
      <c r="K295" s="372" t="n">
        <v>0</v>
      </c>
      <c r="L295" s="373" t="n">
        <v>0</v>
      </c>
      <c r="M295" s="358" t="n">
        <v>0</v>
      </c>
      <c r="N295" s="358" t="n">
        <v>0</v>
      </c>
      <c r="O295" s="372" t="n">
        <v>0</v>
      </c>
      <c r="P295" s="373" t="n">
        <v>0</v>
      </c>
      <c r="Q295" s="358" t="n">
        <v>0</v>
      </c>
      <c r="R295" s="358" t="n">
        <v>0</v>
      </c>
      <c r="S295" s="372" t="n">
        <v>0</v>
      </c>
      <c r="T295" s="373" t="n">
        <v>0</v>
      </c>
      <c r="U295" s="358" t="n">
        <v>0</v>
      </c>
      <c r="V295" s="358" t="n">
        <v>0</v>
      </c>
      <c r="W295" s="372" t="n">
        <v>0</v>
      </c>
      <c r="X295" s="373" t="n">
        <v>0</v>
      </c>
      <c r="Y295" s="358" t="n">
        <v>0</v>
      </c>
      <c r="Z295" s="358" t="n">
        <v>0</v>
      </c>
      <c r="AA295" s="358" t="n">
        <v>0</v>
      </c>
      <c r="AB295" s="373" t="n">
        <v>0</v>
      </c>
      <c r="AC295" s="358" t="n">
        <v>0</v>
      </c>
      <c r="AD295" s="358" t="n">
        <v>0</v>
      </c>
      <c r="AE295" s="358" t="n">
        <v>0</v>
      </c>
      <c r="AF295" s="359" t="n">
        <v>1</v>
      </c>
    </row>
    <row r="296" customFormat="false" ht="15" hidden="true" customHeight="false" outlineLevel="0" collapsed="false">
      <c r="B296" s="360" t="s">
        <v>2782</v>
      </c>
      <c r="C296" s="359" t="n">
        <v>1</v>
      </c>
      <c r="D296" s="358" t="n">
        <v>0</v>
      </c>
      <c r="E296" s="358" t="n">
        <v>0</v>
      </c>
      <c r="F296" s="358" t="n">
        <v>0</v>
      </c>
      <c r="G296" s="372" t="n">
        <v>0</v>
      </c>
      <c r="H296" s="373" t="n">
        <v>0</v>
      </c>
      <c r="I296" s="358" t="n">
        <v>0</v>
      </c>
      <c r="J296" s="358" t="n">
        <v>0</v>
      </c>
      <c r="K296" s="372" t="n">
        <v>0</v>
      </c>
      <c r="L296" s="373" t="n">
        <v>0</v>
      </c>
      <c r="M296" s="358" t="n">
        <v>0</v>
      </c>
      <c r="N296" s="358" t="n">
        <v>0</v>
      </c>
      <c r="O296" s="372" t="n">
        <v>0</v>
      </c>
      <c r="P296" s="373" t="n">
        <v>0</v>
      </c>
      <c r="Q296" s="358" t="n">
        <v>0</v>
      </c>
      <c r="R296" s="358" t="n">
        <v>0</v>
      </c>
      <c r="S296" s="372" t="n">
        <v>0</v>
      </c>
      <c r="T296" s="373" t="n">
        <v>0</v>
      </c>
      <c r="U296" s="358" t="n">
        <v>0</v>
      </c>
      <c r="V296" s="358" t="n">
        <v>0</v>
      </c>
      <c r="W296" s="372" t="n">
        <v>0</v>
      </c>
      <c r="X296" s="373" t="n">
        <v>0</v>
      </c>
      <c r="Y296" s="358" t="n">
        <v>0</v>
      </c>
      <c r="Z296" s="358" t="n">
        <v>0</v>
      </c>
      <c r="AA296" s="358" t="n">
        <v>0</v>
      </c>
      <c r="AB296" s="373" t="n">
        <v>0</v>
      </c>
      <c r="AC296" s="358" t="n">
        <v>0</v>
      </c>
      <c r="AD296" s="358" t="n">
        <v>0</v>
      </c>
      <c r="AE296" s="358" t="n">
        <v>0</v>
      </c>
      <c r="AF296" s="359" t="n">
        <v>1</v>
      </c>
    </row>
    <row r="297" customFormat="false" ht="15" hidden="true" customHeight="false" outlineLevel="0" collapsed="false">
      <c r="B297" s="360" t="s">
        <v>2783</v>
      </c>
      <c r="C297" s="359" t="n">
        <v>1</v>
      </c>
      <c r="D297" s="358" t="n">
        <v>0</v>
      </c>
      <c r="E297" s="358" t="n">
        <v>0</v>
      </c>
      <c r="F297" s="358" t="n">
        <v>0</v>
      </c>
      <c r="G297" s="372" t="n">
        <v>0</v>
      </c>
      <c r="H297" s="373" t="n">
        <v>0</v>
      </c>
      <c r="I297" s="358" t="n">
        <v>0</v>
      </c>
      <c r="J297" s="358" t="n">
        <v>0</v>
      </c>
      <c r="K297" s="372" t="n">
        <v>0</v>
      </c>
      <c r="L297" s="373" t="n">
        <v>0</v>
      </c>
      <c r="M297" s="358" t="n">
        <v>0</v>
      </c>
      <c r="N297" s="358" t="n">
        <v>0</v>
      </c>
      <c r="O297" s="372" t="n">
        <v>0</v>
      </c>
      <c r="P297" s="373" t="n">
        <v>0</v>
      </c>
      <c r="Q297" s="358" t="n">
        <v>0</v>
      </c>
      <c r="R297" s="358" t="n">
        <v>0</v>
      </c>
      <c r="S297" s="372" t="n">
        <v>0</v>
      </c>
      <c r="T297" s="373" t="n">
        <v>0</v>
      </c>
      <c r="U297" s="358" t="n">
        <v>0</v>
      </c>
      <c r="V297" s="358" t="n">
        <v>0</v>
      </c>
      <c r="W297" s="372" t="n">
        <v>0</v>
      </c>
      <c r="X297" s="373" t="n">
        <v>0</v>
      </c>
      <c r="Y297" s="358" t="n">
        <v>0</v>
      </c>
      <c r="Z297" s="358" t="n">
        <v>0</v>
      </c>
      <c r="AA297" s="358" t="n">
        <v>0</v>
      </c>
      <c r="AB297" s="373" t="n">
        <v>0</v>
      </c>
      <c r="AC297" s="358" t="n">
        <v>0</v>
      </c>
      <c r="AD297" s="358" t="n">
        <v>0</v>
      </c>
      <c r="AE297" s="358" t="n">
        <v>0</v>
      </c>
      <c r="AF297" s="359" t="n">
        <v>1</v>
      </c>
    </row>
    <row r="298" customFormat="false" ht="15" hidden="true" customHeight="false" outlineLevel="0" collapsed="false">
      <c r="B298" s="360" t="s">
        <v>2784</v>
      </c>
      <c r="C298" s="359" t="n">
        <v>1</v>
      </c>
      <c r="D298" s="358" t="n">
        <v>0</v>
      </c>
      <c r="E298" s="358" t="n">
        <v>0</v>
      </c>
      <c r="F298" s="358" t="n">
        <v>0</v>
      </c>
      <c r="G298" s="372" t="n">
        <v>0</v>
      </c>
      <c r="H298" s="373" t="n">
        <v>0</v>
      </c>
      <c r="I298" s="358" t="n">
        <v>0</v>
      </c>
      <c r="J298" s="358" t="n">
        <v>0</v>
      </c>
      <c r="K298" s="372" t="n">
        <v>0</v>
      </c>
      <c r="L298" s="373" t="n">
        <v>0</v>
      </c>
      <c r="M298" s="358" t="n">
        <v>0</v>
      </c>
      <c r="N298" s="358" t="n">
        <v>0</v>
      </c>
      <c r="O298" s="372" t="n">
        <v>0</v>
      </c>
      <c r="P298" s="373" t="n">
        <v>0</v>
      </c>
      <c r="Q298" s="358" t="n">
        <v>0</v>
      </c>
      <c r="R298" s="358" t="n">
        <v>0</v>
      </c>
      <c r="S298" s="372" t="n">
        <v>0</v>
      </c>
      <c r="T298" s="373" t="n">
        <v>0</v>
      </c>
      <c r="U298" s="358" t="n">
        <v>0</v>
      </c>
      <c r="V298" s="358" t="n">
        <v>0</v>
      </c>
      <c r="W298" s="372" t="n">
        <v>0</v>
      </c>
      <c r="X298" s="373" t="n">
        <v>0</v>
      </c>
      <c r="Y298" s="358" t="n">
        <v>0</v>
      </c>
      <c r="Z298" s="358" t="n">
        <v>0</v>
      </c>
      <c r="AA298" s="358" t="n">
        <v>0</v>
      </c>
      <c r="AB298" s="373" t="n">
        <v>0</v>
      </c>
      <c r="AC298" s="358" t="n">
        <v>0</v>
      </c>
      <c r="AD298" s="358" t="n">
        <v>0</v>
      </c>
      <c r="AE298" s="358" t="n">
        <v>0</v>
      </c>
      <c r="AF298" s="359" t="n">
        <v>1</v>
      </c>
    </row>
    <row r="299" customFormat="false" ht="15" hidden="true" customHeight="false" outlineLevel="0" collapsed="false">
      <c r="B299" s="360" t="s">
        <v>2785</v>
      </c>
      <c r="C299" s="359" t="n">
        <v>1</v>
      </c>
      <c r="D299" s="358" t="n">
        <v>0</v>
      </c>
      <c r="E299" s="358" t="n">
        <v>0</v>
      </c>
      <c r="F299" s="358" t="n">
        <v>0</v>
      </c>
      <c r="G299" s="372" t="n">
        <v>0</v>
      </c>
      <c r="H299" s="373" t="n">
        <v>0</v>
      </c>
      <c r="I299" s="358" t="n">
        <v>0</v>
      </c>
      <c r="J299" s="358" t="n">
        <v>0</v>
      </c>
      <c r="K299" s="372" t="n">
        <v>0</v>
      </c>
      <c r="L299" s="373" t="n">
        <v>0</v>
      </c>
      <c r="M299" s="358" t="n">
        <v>0</v>
      </c>
      <c r="N299" s="358" t="n">
        <v>0</v>
      </c>
      <c r="O299" s="372" t="n">
        <v>0</v>
      </c>
      <c r="P299" s="373" t="n">
        <v>0</v>
      </c>
      <c r="Q299" s="358" t="n">
        <v>0</v>
      </c>
      <c r="R299" s="358" t="n">
        <v>0</v>
      </c>
      <c r="S299" s="372" t="n">
        <v>0</v>
      </c>
      <c r="T299" s="373" t="n">
        <v>0</v>
      </c>
      <c r="U299" s="358" t="n">
        <v>0</v>
      </c>
      <c r="V299" s="358" t="n">
        <v>0</v>
      </c>
      <c r="W299" s="372" t="n">
        <v>0</v>
      </c>
      <c r="X299" s="373" t="n">
        <v>0</v>
      </c>
      <c r="Y299" s="358" t="n">
        <v>0</v>
      </c>
      <c r="Z299" s="358" t="n">
        <v>0</v>
      </c>
      <c r="AA299" s="358" t="n">
        <v>0</v>
      </c>
      <c r="AB299" s="373" t="n">
        <v>0</v>
      </c>
      <c r="AC299" s="358" t="n">
        <v>0</v>
      </c>
      <c r="AD299" s="358" t="n">
        <v>0</v>
      </c>
      <c r="AE299" s="358" t="n">
        <v>0</v>
      </c>
      <c r="AF299" s="359" t="n">
        <v>1</v>
      </c>
    </row>
    <row r="300" customFormat="false" ht="15" hidden="true" customHeight="false" outlineLevel="0" collapsed="false">
      <c r="B300" s="360" t="s">
        <v>2786</v>
      </c>
      <c r="C300" s="359" t="n">
        <v>1</v>
      </c>
      <c r="D300" s="358" t="n">
        <v>0</v>
      </c>
      <c r="E300" s="358" t="n">
        <v>0</v>
      </c>
      <c r="F300" s="358" t="n">
        <v>0</v>
      </c>
      <c r="G300" s="372" t="n">
        <v>0</v>
      </c>
      <c r="H300" s="373" t="n">
        <v>0</v>
      </c>
      <c r="I300" s="358" t="n">
        <v>0</v>
      </c>
      <c r="J300" s="358" t="n">
        <v>0</v>
      </c>
      <c r="K300" s="372" t="n">
        <v>0</v>
      </c>
      <c r="L300" s="373" t="n">
        <v>0</v>
      </c>
      <c r="M300" s="358" t="n">
        <v>0</v>
      </c>
      <c r="N300" s="358" t="n">
        <v>0</v>
      </c>
      <c r="O300" s="372" t="n">
        <v>0</v>
      </c>
      <c r="P300" s="373" t="n">
        <v>0</v>
      </c>
      <c r="Q300" s="358" t="n">
        <v>0</v>
      </c>
      <c r="R300" s="358" t="n">
        <v>0</v>
      </c>
      <c r="S300" s="372" t="n">
        <v>0</v>
      </c>
      <c r="T300" s="373" t="n">
        <v>0</v>
      </c>
      <c r="U300" s="358" t="n">
        <v>0</v>
      </c>
      <c r="V300" s="358" t="n">
        <v>0</v>
      </c>
      <c r="W300" s="372" t="n">
        <v>0</v>
      </c>
      <c r="X300" s="373" t="n">
        <v>0</v>
      </c>
      <c r="Y300" s="358" t="n">
        <v>0</v>
      </c>
      <c r="Z300" s="358" t="n">
        <v>0</v>
      </c>
      <c r="AA300" s="358" t="n">
        <v>0</v>
      </c>
      <c r="AB300" s="373" t="n">
        <v>0</v>
      </c>
      <c r="AC300" s="358" t="n">
        <v>0</v>
      </c>
      <c r="AD300" s="358" t="n">
        <v>0</v>
      </c>
      <c r="AE300" s="358" t="n">
        <v>0</v>
      </c>
      <c r="AF300" s="359" t="n">
        <v>1</v>
      </c>
    </row>
    <row r="301" customFormat="false" ht="15" hidden="true" customHeight="false" outlineLevel="0" collapsed="false">
      <c r="B301" s="360" t="s">
        <v>2787</v>
      </c>
      <c r="C301" s="359" t="n">
        <v>1</v>
      </c>
      <c r="D301" s="358" t="n">
        <v>0</v>
      </c>
      <c r="E301" s="358" t="n">
        <v>0</v>
      </c>
      <c r="F301" s="358" t="n">
        <v>0</v>
      </c>
      <c r="G301" s="372" t="n">
        <v>0</v>
      </c>
      <c r="H301" s="373" t="n">
        <v>0</v>
      </c>
      <c r="I301" s="358" t="n">
        <v>0</v>
      </c>
      <c r="J301" s="358" t="n">
        <v>0</v>
      </c>
      <c r="K301" s="372" t="n">
        <v>0</v>
      </c>
      <c r="L301" s="373" t="n">
        <v>0</v>
      </c>
      <c r="M301" s="358" t="n">
        <v>0</v>
      </c>
      <c r="N301" s="358" t="n">
        <v>0</v>
      </c>
      <c r="O301" s="372" t="n">
        <v>0</v>
      </c>
      <c r="P301" s="373" t="n">
        <v>0</v>
      </c>
      <c r="Q301" s="358" t="n">
        <v>0</v>
      </c>
      <c r="R301" s="358" t="n">
        <v>0</v>
      </c>
      <c r="S301" s="372" t="n">
        <v>0</v>
      </c>
      <c r="T301" s="373" t="n">
        <v>0</v>
      </c>
      <c r="U301" s="358" t="n">
        <v>0</v>
      </c>
      <c r="V301" s="358" t="n">
        <v>0</v>
      </c>
      <c r="W301" s="372" t="n">
        <v>0</v>
      </c>
      <c r="X301" s="373" t="n">
        <v>0</v>
      </c>
      <c r="Y301" s="358" t="n">
        <v>0</v>
      </c>
      <c r="Z301" s="358" t="n">
        <v>0</v>
      </c>
      <c r="AA301" s="358" t="n">
        <v>0</v>
      </c>
      <c r="AB301" s="373" t="n">
        <v>0</v>
      </c>
      <c r="AC301" s="358" t="n">
        <v>0</v>
      </c>
      <c r="AD301" s="358" t="n">
        <v>0</v>
      </c>
      <c r="AE301" s="358" t="n">
        <v>0</v>
      </c>
      <c r="AF301" s="359" t="n">
        <v>1</v>
      </c>
    </row>
    <row r="302" customFormat="false" ht="15" hidden="true" customHeight="false" outlineLevel="0" collapsed="false">
      <c r="B302" s="360" t="s">
        <v>2788</v>
      </c>
      <c r="C302" s="359" t="n">
        <v>1</v>
      </c>
      <c r="D302" s="358" t="n">
        <v>0</v>
      </c>
      <c r="E302" s="358" t="n">
        <v>0</v>
      </c>
      <c r="F302" s="358" t="n">
        <v>0</v>
      </c>
      <c r="G302" s="372" t="n">
        <v>0</v>
      </c>
      <c r="H302" s="373" t="n">
        <v>0</v>
      </c>
      <c r="I302" s="358" t="n">
        <v>0</v>
      </c>
      <c r="J302" s="358" t="n">
        <v>0</v>
      </c>
      <c r="K302" s="372" t="n">
        <v>0</v>
      </c>
      <c r="L302" s="373" t="n">
        <v>0</v>
      </c>
      <c r="M302" s="358" t="n">
        <v>0</v>
      </c>
      <c r="N302" s="358" t="n">
        <v>0</v>
      </c>
      <c r="O302" s="372" t="n">
        <v>0</v>
      </c>
      <c r="P302" s="373" t="n">
        <v>0</v>
      </c>
      <c r="Q302" s="358" t="n">
        <v>0</v>
      </c>
      <c r="R302" s="358" t="n">
        <v>0</v>
      </c>
      <c r="S302" s="372" t="n">
        <v>0</v>
      </c>
      <c r="T302" s="373" t="n">
        <v>0</v>
      </c>
      <c r="U302" s="358" t="n">
        <v>0</v>
      </c>
      <c r="V302" s="358" t="n">
        <v>0</v>
      </c>
      <c r="W302" s="372" t="n">
        <v>0</v>
      </c>
      <c r="X302" s="373" t="n">
        <v>0</v>
      </c>
      <c r="Y302" s="358" t="n">
        <v>0</v>
      </c>
      <c r="Z302" s="358" t="n">
        <v>0</v>
      </c>
      <c r="AA302" s="358" t="n">
        <v>0</v>
      </c>
      <c r="AB302" s="373" t="n">
        <v>0</v>
      </c>
      <c r="AC302" s="358" t="n">
        <v>0</v>
      </c>
      <c r="AD302" s="358" t="n">
        <v>0</v>
      </c>
      <c r="AE302" s="358" t="n">
        <v>0</v>
      </c>
      <c r="AF302" s="359" t="n">
        <v>1</v>
      </c>
    </row>
    <row r="303" customFormat="false" ht="15" hidden="true" customHeight="false" outlineLevel="0" collapsed="false">
      <c r="B303" s="360" t="s">
        <v>2789</v>
      </c>
      <c r="C303" s="359" t="n">
        <v>1</v>
      </c>
      <c r="D303" s="358" t="n">
        <v>0</v>
      </c>
      <c r="E303" s="358" t="n">
        <v>0</v>
      </c>
      <c r="F303" s="358" t="n">
        <v>0</v>
      </c>
      <c r="G303" s="372" t="n">
        <v>0</v>
      </c>
      <c r="H303" s="373" t="n">
        <v>0</v>
      </c>
      <c r="I303" s="358" t="n">
        <v>0</v>
      </c>
      <c r="J303" s="358" t="n">
        <v>0</v>
      </c>
      <c r="K303" s="372" t="n">
        <v>0</v>
      </c>
      <c r="L303" s="373" t="n">
        <v>0</v>
      </c>
      <c r="M303" s="358" t="n">
        <v>0</v>
      </c>
      <c r="N303" s="358" t="n">
        <v>0</v>
      </c>
      <c r="O303" s="372" t="n">
        <v>0</v>
      </c>
      <c r="P303" s="373" t="n">
        <v>0</v>
      </c>
      <c r="Q303" s="358" t="n">
        <v>0</v>
      </c>
      <c r="R303" s="358" t="n">
        <v>0</v>
      </c>
      <c r="S303" s="372" t="n">
        <v>0</v>
      </c>
      <c r="T303" s="373" t="n">
        <v>0</v>
      </c>
      <c r="U303" s="358" t="n">
        <v>0</v>
      </c>
      <c r="V303" s="358" t="n">
        <v>0</v>
      </c>
      <c r="W303" s="372" t="n">
        <v>0</v>
      </c>
      <c r="X303" s="373" t="n">
        <v>0</v>
      </c>
      <c r="Y303" s="358" t="n">
        <v>0</v>
      </c>
      <c r="Z303" s="358" t="n">
        <v>0</v>
      </c>
      <c r="AA303" s="358" t="n">
        <v>0</v>
      </c>
      <c r="AB303" s="373" t="n">
        <v>0</v>
      </c>
      <c r="AC303" s="358" t="n">
        <v>0</v>
      </c>
      <c r="AD303" s="358" t="n">
        <v>0</v>
      </c>
      <c r="AE303" s="358" t="n">
        <v>0</v>
      </c>
      <c r="AF303" s="359" t="n">
        <v>1</v>
      </c>
    </row>
    <row r="304" customFormat="false" ht="15" hidden="true" customHeight="false" outlineLevel="0" collapsed="false">
      <c r="B304" s="360" t="s">
        <v>2790</v>
      </c>
      <c r="C304" s="359" t="n">
        <v>1</v>
      </c>
      <c r="D304" s="358" t="n">
        <v>0</v>
      </c>
      <c r="E304" s="358" t="n">
        <v>0</v>
      </c>
      <c r="F304" s="358" t="n">
        <v>0</v>
      </c>
      <c r="G304" s="372" t="n">
        <v>0</v>
      </c>
      <c r="H304" s="373" t="n">
        <v>0</v>
      </c>
      <c r="I304" s="358" t="n">
        <v>0</v>
      </c>
      <c r="J304" s="358" t="n">
        <v>0</v>
      </c>
      <c r="K304" s="372" t="n">
        <v>0</v>
      </c>
      <c r="L304" s="373" t="n">
        <v>0</v>
      </c>
      <c r="M304" s="358" t="n">
        <v>0</v>
      </c>
      <c r="N304" s="358" t="n">
        <v>0</v>
      </c>
      <c r="O304" s="372" t="n">
        <v>0</v>
      </c>
      <c r="P304" s="373" t="n">
        <v>0</v>
      </c>
      <c r="Q304" s="358" t="n">
        <v>0</v>
      </c>
      <c r="R304" s="358" t="n">
        <v>0</v>
      </c>
      <c r="S304" s="372" t="n">
        <v>0</v>
      </c>
      <c r="T304" s="373" t="n">
        <v>0</v>
      </c>
      <c r="U304" s="358" t="n">
        <v>0</v>
      </c>
      <c r="V304" s="358" t="n">
        <v>0</v>
      </c>
      <c r="W304" s="372" t="n">
        <v>0</v>
      </c>
      <c r="X304" s="373" t="n">
        <v>0</v>
      </c>
      <c r="Y304" s="358" t="n">
        <v>0</v>
      </c>
      <c r="Z304" s="358" t="n">
        <v>0</v>
      </c>
      <c r="AA304" s="358" t="n">
        <v>0</v>
      </c>
      <c r="AB304" s="373" t="n">
        <v>0</v>
      </c>
      <c r="AC304" s="358" t="n">
        <v>0</v>
      </c>
      <c r="AD304" s="358" t="n">
        <v>0</v>
      </c>
      <c r="AE304" s="358" t="n">
        <v>0</v>
      </c>
      <c r="AF304" s="359" t="n">
        <v>1</v>
      </c>
    </row>
    <row r="305" customFormat="false" ht="15" hidden="true" customHeight="false" outlineLevel="0" collapsed="false">
      <c r="B305" s="360" t="s">
        <v>2791</v>
      </c>
      <c r="C305" s="359" t="n">
        <v>1</v>
      </c>
      <c r="D305" s="358" t="n">
        <v>0</v>
      </c>
      <c r="E305" s="358" t="n">
        <v>0</v>
      </c>
      <c r="F305" s="358" t="n">
        <v>0</v>
      </c>
      <c r="G305" s="372" t="n">
        <v>0</v>
      </c>
      <c r="H305" s="373" t="n">
        <v>0</v>
      </c>
      <c r="I305" s="358" t="n">
        <v>0</v>
      </c>
      <c r="J305" s="358" t="n">
        <v>0</v>
      </c>
      <c r="K305" s="372" t="n">
        <v>0</v>
      </c>
      <c r="L305" s="373" t="n">
        <v>0</v>
      </c>
      <c r="M305" s="358" t="n">
        <v>0</v>
      </c>
      <c r="N305" s="358" t="n">
        <v>0</v>
      </c>
      <c r="O305" s="372" t="n">
        <v>0</v>
      </c>
      <c r="P305" s="373" t="n">
        <v>0</v>
      </c>
      <c r="Q305" s="358" t="n">
        <v>0</v>
      </c>
      <c r="R305" s="358" t="n">
        <v>0</v>
      </c>
      <c r="S305" s="372" t="n">
        <v>0</v>
      </c>
      <c r="T305" s="373" t="n">
        <v>0</v>
      </c>
      <c r="U305" s="358" t="n">
        <v>0</v>
      </c>
      <c r="V305" s="358" t="n">
        <v>0</v>
      </c>
      <c r="W305" s="372" t="n">
        <v>0</v>
      </c>
      <c r="X305" s="373" t="n">
        <v>0</v>
      </c>
      <c r="Y305" s="358" t="n">
        <v>0</v>
      </c>
      <c r="Z305" s="358" t="n">
        <v>0</v>
      </c>
      <c r="AA305" s="358" t="n">
        <v>0</v>
      </c>
      <c r="AB305" s="373" t="n">
        <v>0</v>
      </c>
      <c r="AC305" s="358" t="n">
        <v>0</v>
      </c>
      <c r="AD305" s="358" t="n">
        <v>0</v>
      </c>
      <c r="AE305" s="358" t="n">
        <v>0</v>
      </c>
      <c r="AF305" s="359" t="n">
        <v>1</v>
      </c>
    </row>
    <row r="306" customFormat="false" ht="15" hidden="true" customHeight="false" outlineLevel="0" collapsed="false">
      <c r="B306" s="360" t="s">
        <v>2792</v>
      </c>
      <c r="C306" s="359" t="n">
        <v>1</v>
      </c>
      <c r="D306" s="358" t="n">
        <v>0</v>
      </c>
      <c r="E306" s="358" t="n">
        <v>0</v>
      </c>
      <c r="F306" s="358" t="n">
        <v>0</v>
      </c>
      <c r="G306" s="372" t="n">
        <v>0</v>
      </c>
      <c r="H306" s="373" t="n">
        <v>0</v>
      </c>
      <c r="I306" s="358" t="n">
        <v>0</v>
      </c>
      <c r="J306" s="358" t="n">
        <v>0</v>
      </c>
      <c r="K306" s="372" t="n">
        <v>0</v>
      </c>
      <c r="L306" s="373" t="n">
        <v>0</v>
      </c>
      <c r="M306" s="358" t="n">
        <v>0</v>
      </c>
      <c r="N306" s="358" t="n">
        <v>0</v>
      </c>
      <c r="O306" s="372" t="n">
        <v>0</v>
      </c>
      <c r="P306" s="373" t="n">
        <v>0</v>
      </c>
      <c r="Q306" s="358" t="n">
        <v>0</v>
      </c>
      <c r="R306" s="358" t="n">
        <v>0</v>
      </c>
      <c r="S306" s="372" t="n">
        <v>0</v>
      </c>
      <c r="T306" s="373" t="n">
        <v>0</v>
      </c>
      <c r="U306" s="358" t="n">
        <v>0</v>
      </c>
      <c r="V306" s="358" t="n">
        <v>0</v>
      </c>
      <c r="W306" s="372" t="n">
        <v>0</v>
      </c>
      <c r="X306" s="373" t="n">
        <v>0</v>
      </c>
      <c r="Y306" s="358" t="n">
        <v>0</v>
      </c>
      <c r="Z306" s="358" t="n">
        <v>0</v>
      </c>
      <c r="AA306" s="358" t="n">
        <v>0</v>
      </c>
      <c r="AB306" s="373" t="n">
        <v>0</v>
      </c>
      <c r="AC306" s="358" t="n">
        <v>0</v>
      </c>
      <c r="AD306" s="358" t="n">
        <v>0</v>
      </c>
      <c r="AE306" s="358" t="n">
        <v>0</v>
      </c>
      <c r="AF306" s="359" t="n">
        <v>1</v>
      </c>
    </row>
    <row r="307" customFormat="false" ht="15" hidden="true" customHeight="false" outlineLevel="0" collapsed="false">
      <c r="B307" s="360" t="s">
        <v>2793</v>
      </c>
      <c r="C307" s="359" t="n">
        <v>1</v>
      </c>
      <c r="D307" s="358" t="n">
        <v>0</v>
      </c>
      <c r="E307" s="358" t="n">
        <v>0</v>
      </c>
      <c r="F307" s="358" t="n">
        <v>0</v>
      </c>
      <c r="G307" s="372" t="n">
        <v>0</v>
      </c>
      <c r="H307" s="373" t="n">
        <v>0</v>
      </c>
      <c r="I307" s="358" t="n">
        <v>0</v>
      </c>
      <c r="J307" s="358" t="n">
        <v>0</v>
      </c>
      <c r="K307" s="372" t="n">
        <v>0</v>
      </c>
      <c r="L307" s="373" t="n">
        <v>0</v>
      </c>
      <c r="M307" s="358" t="n">
        <v>0</v>
      </c>
      <c r="N307" s="358" t="n">
        <v>0</v>
      </c>
      <c r="O307" s="372" t="n">
        <v>0</v>
      </c>
      <c r="P307" s="373" t="n">
        <v>0</v>
      </c>
      <c r="Q307" s="358" t="n">
        <v>0</v>
      </c>
      <c r="R307" s="358" t="n">
        <v>0</v>
      </c>
      <c r="S307" s="372" t="n">
        <v>0</v>
      </c>
      <c r="T307" s="373" t="n">
        <v>0</v>
      </c>
      <c r="U307" s="358" t="n">
        <v>0</v>
      </c>
      <c r="V307" s="358" t="n">
        <v>0</v>
      </c>
      <c r="W307" s="372" t="n">
        <v>0</v>
      </c>
      <c r="X307" s="373" t="n">
        <v>0</v>
      </c>
      <c r="Y307" s="358" t="n">
        <v>0</v>
      </c>
      <c r="Z307" s="358" t="n">
        <v>0</v>
      </c>
      <c r="AA307" s="358" t="n">
        <v>0</v>
      </c>
      <c r="AB307" s="373" t="n">
        <v>0</v>
      </c>
      <c r="AC307" s="358" t="n">
        <v>0</v>
      </c>
      <c r="AD307" s="358" t="n">
        <v>0</v>
      </c>
      <c r="AE307" s="358" t="n">
        <v>0</v>
      </c>
      <c r="AF307" s="359" t="n">
        <v>1</v>
      </c>
    </row>
    <row r="308" customFormat="false" ht="15" hidden="true" customHeight="false" outlineLevel="0" collapsed="false">
      <c r="B308" s="360" t="s">
        <v>2794</v>
      </c>
      <c r="C308" s="359" t="n">
        <v>1</v>
      </c>
      <c r="D308" s="358" t="n">
        <v>0</v>
      </c>
      <c r="E308" s="358" t="n">
        <v>0</v>
      </c>
      <c r="F308" s="358" t="n">
        <v>0</v>
      </c>
      <c r="G308" s="372" t="n">
        <v>0</v>
      </c>
      <c r="H308" s="373" t="n">
        <v>0</v>
      </c>
      <c r="I308" s="358" t="n">
        <v>0</v>
      </c>
      <c r="J308" s="358" t="n">
        <v>0</v>
      </c>
      <c r="K308" s="372" t="n">
        <v>0</v>
      </c>
      <c r="L308" s="373" t="n">
        <v>0</v>
      </c>
      <c r="M308" s="358" t="n">
        <v>0</v>
      </c>
      <c r="N308" s="358" t="n">
        <v>0</v>
      </c>
      <c r="O308" s="372" t="n">
        <v>0</v>
      </c>
      <c r="P308" s="373" t="n">
        <v>0</v>
      </c>
      <c r="Q308" s="358" t="n">
        <v>0</v>
      </c>
      <c r="R308" s="358" t="n">
        <v>0</v>
      </c>
      <c r="S308" s="372" t="n">
        <v>0</v>
      </c>
      <c r="T308" s="373" t="n">
        <v>0</v>
      </c>
      <c r="U308" s="358" t="n">
        <v>0</v>
      </c>
      <c r="V308" s="358" t="n">
        <v>0</v>
      </c>
      <c r="W308" s="372" t="n">
        <v>0</v>
      </c>
      <c r="X308" s="373" t="n">
        <v>0</v>
      </c>
      <c r="Y308" s="358" t="n">
        <v>0</v>
      </c>
      <c r="Z308" s="358" t="n">
        <v>0</v>
      </c>
      <c r="AA308" s="358" t="n">
        <v>0</v>
      </c>
      <c r="AB308" s="373" t="n">
        <v>0</v>
      </c>
      <c r="AC308" s="358" t="n">
        <v>0</v>
      </c>
      <c r="AD308" s="358" t="n">
        <v>0</v>
      </c>
      <c r="AE308" s="358" t="n">
        <v>0</v>
      </c>
      <c r="AF308" s="359" t="n">
        <v>1</v>
      </c>
    </row>
    <row r="309" customFormat="false" ht="15" hidden="true" customHeight="false" outlineLevel="0" collapsed="false">
      <c r="B309" s="360" t="s">
        <v>2795</v>
      </c>
      <c r="C309" s="359" t="n">
        <v>1</v>
      </c>
      <c r="D309" s="358" t="n">
        <v>0</v>
      </c>
      <c r="E309" s="358" t="n">
        <v>0</v>
      </c>
      <c r="F309" s="358" t="n">
        <v>0</v>
      </c>
      <c r="G309" s="372" t="n">
        <v>0</v>
      </c>
      <c r="H309" s="373" t="n">
        <v>0</v>
      </c>
      <c r="I309" s="358" t="n">
        <v>0</v>
      </c>
      <c r="J309" s="358" t="n">
        <v>0</v>
      </c>
      <c r="K309" s="372" t="n">
        <v>0</v>
      </c>
      <c r="L309" s="373" t="n">
        <v>0</v>
      </c>
      <c r="M309" s="358" t="n">
        <v>0</v>
      </c>
      <c r="N309" s="358" t="n">
        <v>0</v>
      </c>
      <c r="O309" s="372" t="n">
        <v>0</v>
      </c>
      <c r="P309" s="373" t="n">
        <v>0</v>
      </c>
      <c r="Q309" s="358" t="n">
        <v>0</v>
      </c>
      <c r="R309" s="358" t="n">
        <v>0</v>
      </c>
      <c r="S309" s="372" t="n">
        <v>0</v>
      </c>
      <c r="T309" s="373" t="n">
        <v>0</v>
      </c>
      <c r="U309" s="358" t="n">
        <v>0</v>
      </c>
      <c r="V309" s="358" t="n">
        <v>0</v>
      </c>
      <c r="W309" s="372" t="n">
        <v>0</v>
      </c>
      <c r="X309" s="373" t="n">
        <v>0</v>
      </c>
      <c r="Y309" s="358" t="n">
        <v>0</v>
      </c>
      <c r="Z309" s="358" t="n">
        <v>0</v>
      </c>
      <c r="AA309" s="358" t="n">
        <v>0</v>
      </c>
      <c r="AB309" s="373" t="n">
        <v>0</v>
      </c>
      <c r="AC309" s="358" t="n">
        <v>0</v>
      </c>
      <c r="AD309" s="358" t="n">
        <v>0</v>
      </c>
      <c r="AE309" s="358" t="n">
        <v>0</v>
      </c>
      <c r="AF309" s="359" t="n">
        <v>1</v>
      </c>
    </row>
    <row r="310" customFormat="false" ht="15" hidden="true" customHeight="false" outlineLevel="0" collapsed="false">
      <c r="B310" s="360" t="s">
        <v>2796</v>
      </c>
      <c r="C310" s="359" t="n">
        <v>1</v>
      </c>
      <c r="D310" s="358" t="n">
        <v>0</v>
      </c>
      <c r="E310" s="358" t="n">
        <v>0</v>
      </c>
      <c r="F310" s="358" t="n">
        <v>0</v>
      </c>
      <c r="G310" s="372" t="n">
        <v>0</v>
      </c>
      <c r="H310" s="373" t="n">
        <v>0</v>
      </c>
      <c r="I310" s="358" t="n">
        <v>0</v>
      </c>
      <c r="J310" s="358" t="n">
        <v>0</v>
      </c>
      <c r="K310" s="372" t="n">
        <v>0</v>
      </c>
      <c r="L310" s="373" t="n">
        <v>0</v>
      </c>
      <c r="M310" s="358" t="n">
        <v>0</v>
      </c>
      <c r="N310" s="358" t="n">
        <v>0</v>
      </c>
      <c r="O310" s="372" t="n">
        <v>0</v>
      </c>
      <c r="P310" s="373" t="n">
        <v>0</v>
      </c>
      <c r="Q310" s="358" t="n">
        <v>0</v>
      </c>
      <c r="R310" s="358" t="n">
        <v>0</v>
      </c>
      <c r="S310" s="372" t="n">
        <v>0</v>
      </c>
      <c r="T310" s="373" t="n">
        <v>0</v>
      </c>
      <c r="U310" s="358" t="n">
        <v>0</v>
      </c>
      <c r="V310" s="358" t="n">
        <v>0</v>
      </c>
      <c r="W310" s="372" t="n">
        <v>0</v>
      </c>
      <c r="X310" s="373" t="n">
        <v>0</v>
      </c>
      <c r="Y310" s="358" t="n">
        <v>0</v>
      </c>
      <c r="Z310" s="358" t="n">
        <v>0</v>
      </c>
      <c r="AA310" s="358" t="n">
        <v>0</v>
      </c>
      <c r="AB310" s="373" t="n">
        <v>0</v>
      </c>
      <c r="AC310" s="358" t="n">
        <v>0</v>
      </c>
      <c r="AD310" s="358" t="n">
        <v>0</v>
      </c>
      <c r="AE310" s="358" t="n">
        <v>0</v>
      </c>
      <c r="AF310" s="359" t="n">
        <v>1</v>
      </c>
    </row>
    <row r="311" customFormat="false" ht="15" hidden="true" customHeight="false" outlineLevel="0" collapsed="false">
      <c r="B311" s="360" t="s">
        <v>2797</v>
      </c>
      <c r="C311" s="359" t="n">
        <v>1</v>
      </c>
      <c r="D311" s="358" t="n">
        <v>0</v>
      </c>
      <c r="E311" s="358" t="n">
        <v>0</v>
      </c>
      <c r="F311" s="358" t="n">
        <v>0</v>
      </c>
      <c r="G311" s="372" t="n">
        <v>0</v>
      </c>
      <c r="H311" s="373" t="n">
        <v>0</v>
      </c>
      <c r="I311" s="358" t="n">
        <v>0</v>
      </c>
      <c r="J311" s="358" t="n">
        <v>0</v>
      </c>
      <c r="K311" s="372" t="n">
        <v>0</v>
      </c>
      <c r="L311" s="373" t="n">
        <v>0</v>
      </c>
      <c r="M311" s="358" t="n">
        <v>0</v>
      </c>
      <c r="N311" s="358" t="n">
        <v>0</v>
      </c>
      <c r="O311" s="372" t="n">
        <v>0</v>
      </c>
      <c r="P311" s="373" t="n">
        <v>0</v>
      </c>
      <c r="Q311" s="358" t="n">
        <v>0</v>
      </c>
      <c r="R311" s="358" t="n">
        <v>0</v>
      </c>
      <c r="S311" s="372" t="n">
        <v>0</v>
      </c>
      <c r="T311" s="373" t="n">
        <v>0</v>
      </c>
      <c r="U311" s="358" t="n">
        <v>0</v>
      </c>
      <c r="V311" s="358" t="n">
        <v>0</v>
      </c>
      <c r="W311" s="372" t="n">
        <v>0</v>
      </c>
      <c r="X311" s="373" t="n">
        <v>0</v>
      </c>
      <c r="Y311" s="358" t="n">
        <v>0</v>
      </c>
      <c r="Z311" s="358" t="n">
        <v>0</v>
      </c>
      <c r="AA311" s="358" t="n">
        <v>0</v>
      </c>
      <c r="AB311" s="373" t="n">
        <v>0</v>
      </c>
      <c r="AC311" s="358" t="n">
        <v>0</v>
      </c>
      <c r="AD311" s="358" t="n">
        <v>0</v>
      </c>
      <c r="AE311" s="358" t="n">
        <v>0</v>
      </c>
      <c r="AF311" s="359" t="n">
        <v>1</v>
      </c>
    </row>
    <row r="312" customFormat="false" ht="15" hidden="true" customHeight="false" outlineLevel="0" collapsed="false">
      <c r="B312" s="360" t="s">
        <v>2798</v>
      </c>
      <c r="C312" s="359" t="n">
        <v>1</v>
      </c>
      <c r="D312" s="358" t="n">
        <v>0</v>
      </c>
      <c r="E312" s="358" t="n">
        <v>0</v>
      </c>
      <c r="F312" s="358" t="n">
        <v>0</v>
      </c>
      <c r="G312" s="372" t="n">
        <v>0</v>
      </c>
      <c r="H312" s="373" t="n">
        <v>0</v>
      </c>
      <c r="I312" s="358" t="n">
        <v>0</v>
      </c>
      <c r="J312" s="358" t="n">
        <v>0</v>
      </c>
      <c r="K312" s="372" t="n">
        <v>0</v>
      </c>
      <c r="L312" s="373" t="n">
        <v>0</v>
      </c>
      <c r="M312" s="358" t="n">
        <v>0</v>
      </c>
      <c r="N312" s="358" t="n">
        <v>0</v>
      </c>
      <c r="O312" s="372" t="n">
        <v>0</v>
      </c>
      <c r="P312" s="373" t="n">
        <v>0</v>
      </c>
      <c r="Q312" s="358" t="n">
        <v>0</v>
      </c>
      <c r="R312" s="358" t="n">
        <v>0</v>
      </c>
      <c r="S312" s="372" t="n">
        <v>0</v>
      </c>
      <c r="T312" s="373" t="n">
        <v>0</v>
      </c>
      <c r="U312" s="358" t="n">
        <v>0</v>
      </c>
      <c r="V312" s="358" t="n">
        <v>0</v>
      </c>
      <c r="W312" s="372" t="n">
        <v>0</v>
      </c>
      <c r="X312" s="373" t="n">
        <v>0</v>
      </c>
      <c r="Y312" s="358" t="n">
        <v>0</v>
      </c>
      <c r="Z312" s="358" t="n">
        <v>0</v>
      </c>
      <c r="AA312" s="358" t="n">
        <v>0</v>
      </c>
      <c r="AB312" s="373" t="n">
        <v>0</v>
      </c>
      <c r="AC312" s="358" t="n">
        <v>0</v>
      </c>
      <c r="AD312" s="358" t="n">
        <v>0</v>
      </c>
      <c r="AE312" s="358" t="n">
        <v>0</v>
      </c>
      <c r="AF312" s="359" t="n">
        <v>1</v>
      </c>
    </row>
    <row r="313" customFormat="false" ht="15" hidden="true" customHeight="false" outlineLevel="0" collapsed="false">
      <c r="B313" s="360" t="s">
        <v>2799</v>
      </c>
      <c r="C313" s="359" t="n">
        <v>1</v>
      </c>
      <c r="D313" s="358" t="n">
        <v>0</v>
      </c>
      <c r="E313" s="358" t="n">
        <v>0</v>
      </c>
      <c r="F313" s="358" t="n">
        <v>0</v>
      </c>
      <c r="G313" s="372" t="n">
        <v>0</v>
      </c>
      <c r="H313" s="373" t="n">
        <v>0</v>
      </c>
      <c r="I313" s="358" t="n">
        <v>0</v>
      </c>
      <c r="J313" s="358" t="n">
        <v>0</v>
      </c>
      <c r="K313" s="372" t="n">
        <v>0</v>
      </c>
      <c r="L313" s="373" t="n">
        <v>0</v>
      </c>
      <c r="M313" s="358" t="n">
        <v>0</v>
      </c>
      <c r="N313" s="358" t="n">
        <v>0</v>
      </c>
      <c r="O313" s="372" t="n">
        <v>0</v>
      </c>
      <c r="P313" s="373" t="n">
        <v>0</v>
      </c>
      <c r="Q313" s="358" t="n">
        <v>0</v>
      </c>
      <c r="R313" s="358" t="n">
        <v>0</v>
      </c>
      <c r="S313" s="372" t="n">
        <v>0</v>
      </c>
      <c r="T313" s="373" t="n">
        <v>0</v>
      </c>
      <c r="U313" s="358" t="n">
        <v>0</v>
      </c>
      <c r="V313" s="358" t="n">
        <v>0</v>
      </c>
      <c r="W313" s="372" t="n">
        <v>0</v>
      </c>
      <c r="X313" s="373" t="n">
        <v>0</v>
      </c>
      <c r="Y313" s="358" t="n">
        <v>0</v>
      </c>
      <c r="Z313" s="358" t="n">
        <v>0</v>
      </c>
      <c r="AA313" s="358" t="n">
        <v>0</v>
      </c>
      <c r="AB313" s="373" t="n">
        <v>0</v>
      </c>
      <c r="AC313" s="358" t="n">
        <v>0</v>
      </c>
      <c r="AD313" s="358" t="n">
        <v>0</v>
      </c>
      <c r="AE313" s="358" t="n">
        <v>0</v>
      </c>
      <c r="AF313" s="359" t="n">
        <v>1</v>
      </c>
    </row>
    <row r="314" customFormat="false" ht="15" hidden="true" customHeight="false" outlineLevel="0" collapsed="false">
      <c r="B314" s="360" t="s">
        <v>2800</v>
      </c>
      <c r="C314" s="359" t="n">
        <v>1</v>
      </c>
      <c r="D314" s="358" t="n">
        <v>0</v>
      </c>
      <c r="E314" s="358" t="n">
        <v>0</v>
      </c>
      <c r="F314" s="358" t="n">
        <v>0</v>
      </c>
      <c r="G314" s="372" t="n">
        <v>0</v>
      </c>
      <c r="H314" s="373" t="n">
        <v>0</v>
      </c>
      <c r="I314" s="358" t="n">
        <v>0</v>
      </c>
      <c r="J314" s="358" t="n">
        <v>0</v>
      </c>
      <c r="K314" s="372" t="n">
        <v>0</v>
      </c>
      <c r="L314" s="373" t="n">
        <v>0</v>
      </c>
      <c r="M314" s="358" t="n">
        <v>0</v>
      </c>
      <c r="N314" s="358" t="n">
        <v>0</v>
      </c>
      <c r="O314" s="372" t="n">
        <v>0</v>
      </c>
      <c r="P314" s="373" t="n">
        <v>0</v>
      </c>
      <c r="Q314" s="358" t="n">
        <v>0</v>
      </c>
      <c r="R314" s="358" t="n">
        <v>0</v>
      </c>
      <c r="S314" s="372" t="n">
        <v>0</v>
      </c>
      <c r="T314" s="373" t="n">
        <v>0</v>
      </c>
      <c r="U314" s="358" t="n">
        <v>0</v>
      </c>
      <c r="V314" s="358" t="n">
        <v>0</v>
      </c>
      <c r="W314" s="372" t="n">
        <v>0</v>
      </c>
      <c r="X314" s="373" t="n">
        <v>0</v>
      </c>
      <c r="Y314" s="358" t="n">
        <v>0</v>
      </c>
      <c r="Z314" s="358" t="n">
        <v>0</v>
      </c>
      <c r="AA314" s="358" t="n">
        <v>0</v>
      </c>
      <c r="AB314" s="373" t="n">
        <v>0</v>
      </c>
      <c r="AC314" s="358" t="n">
        <v>0</v>
      </c>
      <c r="AD314" s="358" t="n">
        <v>0</v>
      </c>
      <c r="AE314" s="358" t="n">
        <v>0</v>
      </c>
      <c r="AF314" s="359" t="n">
        <v>1</v>
      </c>
    </row>
    <row r="315" customFormat="false" ht="15" hidden="true" customHeight="false" outlineLevel="0" collapsed="false">
      <c r="B315" s="360" t="s">
        <v>2801</v>
      </c>
      <c r="C315" s="359" t="n">
        <v>1</v>
      </c>
      <c r="D315" s="358" t="n">
        <v>0</v>
      </c>
      <c r="E315" s="358" t="n">
        <v>0</v>
      </c>
      <c r="F315" s="358" t="n">
        <v>0</v>
      </c>
      <c r="G315" s="372" t="n">
        <v>0</v>
      </c>
      <c r="H315" s="373" t="n">
        <v>0</v>
      </c>
      <c r="I315" s="358" t="n">
        <v>0</v>
      </c>
      <c r="J315" s="358" t="n">
        <v>0</v>
      </c>
      <c r="K315" s="372" t="n">
        <v>0</v>
      </c>
      <c r="L315" s="373" t="n">
        <v>0</v>
      </c>
      <c r="M315" s="358" t="n">
        <v>0</v>
      </c>
      <c r="N315" s="358" t="n">
        <v>0</v>
      </c>
      <c r="O315" s="372" t="n">
        <v>0</v>
      </c>
      <c r="P315" s="373" t="n">
        <v>0</v>
      </c>
      <c r="Q315" s="358" t="n">
        <v>0</v>
      </c>
      <c r="R315" s="358" t="n">
        <v>0</v>
      </c>
      <c r="S315" s="372" t="n">
        <v>0</v>
      </c>
      <c r="T315" s="373" t="n">
        <v>0</v>
      </c>
      <c r="U315" s="358" t="n">
        <v>0</v>
      </c>
      <c r="V315" s="358" t="n">
        <v>0</v>
      </c>
      <c r="W315" s="372" t="n">
        <v>0</v>
      </c>
      <c r="X315" s="373" t="n">
        <v>0</v>
      </c>
      <c r="Y315" s="358" t="n">
        <v>0</v>
      </c>
      <c r="Z315" s="358" t="n">
        <v>0</v>
      </c>
      <c r="AA315" s="358" t="n">
        <v>0</v>
      </c>
      <c r="AB315" s="373" t="n">
        <v>0</v>
      </c>
      <c r="AC315" s="358" t="n">
        <v>0</v>
      </c>
      <c r="AD315" s="358" t="n">
        <v>0</v>
      </c>
      <c r="AE315" s="358" t="n">
        <v>0</v>
      </c>
      <c r="AF315" s="359" t="n">
        <v>1</v>
      </c>
    </row>
    <row r="316" customFormat="false" ht="15" hidden="true" customHeight="false" outlineLevel="0" collapsed="false">
      <c r="B316" s="360" t="s">
        <v>2802</v>
      </c>
      <c r="C316" s="359" t="n">
        <v>1</v>
      </c>
      <c r="D316" s="358" t="n">
        <v>0</v>
      </c>
      <c r="E316" s="358" t="n">
        <v>0</v>
      </c>
      <c r="F316" s="358" t="n">
        <v>0</v>
      </c>
      <c r="G316" s="372" t="n">
        <v>0</v>
      </c>
      <c r="H316" s="373" t="n">
        <v>0</v>
      </c>
      <c r="I316" s="358" t="n">
        <v>0</v>
      </c>
      <c r="J316" s="358" t="n">
        <v>0</v>
      </c>
      <c r="K316" s="372" t="n">
        <v>0</v>
      </c>
      <c r="L316" s="373" t="n">
        <v>0</v>
      </c>
      <c r="M316" s="358" t="n">
        <v>0</v>
      </c>
      <c r="N316" s="358" t="n">
        <v>0</v>
      </c>
      <c r="O316" s="372" t="n">
        <v>0</v>
      </c>
      <c r="P316" s="373" t="n">
        <v>0</v>
      </c>
      <c r="Q316" s="358" t="n">
        <v>0</v>
      </c>
      <c r="R316" s="358" t="n">
        <v>0</v>
      </c>
      <c r="S316" s="372" t="n">
        <v>0</v>
      </c>
      <c r="T316" s="373" t="n">
        <v>0</v>
      </c>
      <c r="U316" s="358" t="n">
        <v>0</v>
      </c>
      <c r="V316" s="358" t="n">
        <v>0</v>
      </c>
      <c r="W316" s="372" t="n">
        <v>0</v>
      </c>
      <c r="X316" s="373" t="n">
        <v>0</v>
      </c>
      <c r="Y316" s="358" t="n">
        <v>0</v>
      </c>
      <c r="Z316" s="358" t="n">
        <v>0</v>
      </c>
      <c r="AA316" s="358" t="n">
        <v>0</v>
      </c>
      <c r="AB316" s="373" t="n">
        <v>0</v>
      </c>
      <c r="AC316" s="358" t="n">
        <v>0</v>
      </c>
      <c r="AD316" s="358" t="n">
        <v>0</v>
      </c>
      <c r="AE316" s="358" t="n">
        <v>0</v>
      </c>
      <c r="AF316" s="359" t="n">
        <v>1</v>
      </c>
    </row>
    <row r="317" customFormat="false" ht="15" hidden="true" customHeight="false" outlineLevel="0" collapsed="false">
      <c r="B317" s="360" t="s">
        <v>2803</v>
      </c>
      <c r="C317" s="359" t="n">
        <v>1</v>
      </c>
      <c r="D317" s="358" t="n">
        <v>0</v>
      </c>
      <c r="E317" s="358" t="n">
        <v>0</v>
      </c>
      <c r="F317" s="358" t="n">
        <v>0</v>
      </c>
      <c r="G317" s="372" t="n">
        <v>0</v>
      </c>
      <c r="H317" s="373" t="n">
        <v>0</v>
      </c>
      <c r="I317" s="358" t="n">
        <v>0</v>
      </c>
      <c r="J317" s="358" t="n">
        <v>0</v>
      </c>
      <c r="K317" s="372" t="n">
        <v>0</v>
      </c>
      <c r="L317" s="373" t="n">
        <v>0</v>
      </c>
      <c r="M317" s="358" t="n">
        <v>0</v>
      </c>
      <c r="N317" s="358" t="n">
        <v>0</v>
      </c>
      <c r="O317" s="372" t="n">
        <v>0</v>
      </c>
      <c r="P317" s="373" t="n">
        <v>0</v>
      </c>
      <c r="Q317" s="358" t="n">
        <v>0</v>
      </c>
      <c r="R317" s="358" t="n">
        <v>0</v>
      </c>
      <c r="S317" s="372" t="n">
        <v>0</v>
      </c>
      <c r="T317" s="373" t="n">
        <v>0</v>
      </c>
      <c r="U317" s="358" t="n">
        <v>0</v>
      </c>
      <c r="V317" s="358" t="n">
        <v>0</v>
      </c>
      <c r="W317" s="372" t="n">
        <v>0</v>
      </c>
      <c r="X317" s="373" t="n">
        <v>0</v>
      </c>
      <c r="Y317" s="358" t="n">
        <v>0</v>
      </c>
      <c r="Z317" s="358" t="n">
        <v>0</v>
      </c>
      <c r="AA317" s="358" t="n">
        <v>0</v>
      </c>
      <c r="AB317" s="373" t="n">
        <v>0</v>
      </c>
      <c r="AC317" s="358" t="n">
        <v>0</v>
      </c>
      <c r="AD317" s="358" t="n">
        <v>0</v>
      </c>
      <c r="AE317" s="358" t="n">
        <v>0</v>
      </c>
      <c r="AF317" s="359" t="n">
        <v>1</v>
      </c>
    </row>
    <row r="318" customFormat="false" ht="15" hidden="true" customHeight="false" outlineLevel="0" collapsed="false">
      <c r="B318" s="361" t="s">
        <v>2804</v>
      </c>
      <c r="C318" s="359" t="n">
        <v>1</v>
      </c>
      <c r="D318" s="358" t="n">
        <v>0</v>
      </c>
      <c r="E318" s="358" t="n">
        <v>0</v>
      </c>
      <c r="F318" s="358" t="n">
        <v>0</v>
      </c>
      <c r="G318" s="372" t="n">
        <v>0</v>
      </c>
      <c r="H318" s="373" t="n">
        <v>0</v>
      </c>
      <c r="I318" s="358" t="n">
        <v>0</v>
      </c>
      <c r="J318" s="358" t="n">
        <v>0</v>
      </c>
      <c r="K318" s="372" t="n">
        <v>0</v>
      </c>
      <c r="L318" s="373" t="n">
        <v>0</v>
      </c>
      <c r="M318" s="358" t="n">
        <v>0</v>
      </c>
      <c r="N318" s="358" t="n">
        <v>0</v>
      </c>
      <c r="O318" s="372" t="n">
        <v>0</v>
      </c>
      <c r="P318" s="373" t="n">
        <v>0</v>
      </c>
      <c r="Q318" s="358" t="n">
        <v>0</v>
      </c>
      <c r="R318" s="358" t="n">
        <v>0</v>
      </c>
      <c r="S318" s="372" t="n">
        <v>0</v>
      </c>
      <c r="T318" s="373" t="n">
        <v>0</v>
      </c>
      <c r="U318" s="358" t="n">
        <v>0</v>
      </c>
      <c r="V318" s="358" t="n">
        <v>0</v>
      </c>
      <c r="W318" s="372" t="n">
        <v>0</v>
      </c>
      <c r="X318" s="373" t="n">
        <v>0</v>
      </c>
      <c r="Y318" s="358" t="n">
        <v>0</v>
      </c>
      <c r="Z318" s="358" t="n">
        <v>0</v>
      </c>
      <c r="AA318" s="358" t="n">
        <v>0</v>
      </c>
      <c r="AB318" s="373" t="n">
        <v>0</v>
      </c>
      <c r="AC318" s="358" t="n">
        <v>0</v>
      </c>
      <c r="AD318" s="358" t="n">
        <v>0</v>
      </c>
      <c r="AE318" s="358" t="n">
        <v>0</v>
      </c>
      <c r="AF318" s="359" t="n">
        <v>1</v>
      </c>
    </row>
    <row r="319" customFormat="false" ht="15" hidden="true" customHeight="false" outlineLevel="0" collapsed="false">
      <c r="B319" s="360" t="s">
        <v>2805</v>
      </c>
      <c r="C319" s="359" t="n">
        <v>1</v>
      </c>
      <c r="D319" s="358" t="n">
        <v>0</v>
      </c>
      <c r="E319" s="358" t="n">
        <v>0</v>
      </c>
      <c r="F319" s="358" t="n">
        <v>0</v>
      </c>
      <c r="G319" s="372" t="n">
        <v>0</v>
      </c>
      <c r="H319" s="373" t="n">
        <v>0</v>
      </c>
      <c r="I319" s="358" t="n">
        <v>0</v>
      </c>
      <c r="J319" s="358" t="n">
        <v>0</v>
      </c>
      <c r="K319" s="372" t="n">
        <v>0</v>
      </c>
      <c r="L319" s="373" t="n">
        <v>0</v>
      </c>
      <c r="M319" s="358" t="n">
        <v>0</v>
      </c>
      <c r="N319" s="358" t="n">
        <v>0</v>
      </c>
      <c r="O319" s="372" t="n">
        <v>0</v>
      </c>
      <c r="P319" s="373" t="n">
        <v>0</v>
      </c>
      <c r="Q319" s="358" t="n">
        <v>0</v>
      </c>
      <c r="R319" s="358" t="n">
        <v>0</v>
      </c>
      <c r="S319" s="372" t="n">
        <v>0</v>
      </c>
      <c r="T319" s="373" t="n">
        <v>0</v>
      </c>
      <c r="U319" s="358" t="n">
        <v>0</v>
      </c>
      <c r="V319" s="358" t="n">
        <v>0</v>
      </c>
      <c r="W319" s="372" t="n">
        <v>0</v>
      </c>
      <c r="X319" s="373" t="n">
        <v>0</v>
      </c>
      <c r="Y319" s="358" t="n">
        <v>0</v>
      </c>
      <c r="Z319" s="358" t="n">
        <v>0</v>
      </c>
      <c r="AA319" s="358" t="n">
        <v>0</v>
      </c>
      <c r="AB319" s="373" t="n">
        <v>0</v>
      </c>
      <c r="AC319" s="358" t="n">
        <v>0</v>
      </c>
      <c r="AD319" s="358" t="n">
        <v>0</v>
      </c>
      <c r="AE319" s="358" t="n">
        <v>0</v>
      </c>
      <c r="AF319" s="359" t="n">
        <v>1</v>
      </c>
    </row>
    <row r="320" customFormat="false" ht="15" hidden="true" customHeight="false" outlineLevel="0" collapsed="false">
      <c r="B320" s="360" t="s">
        <v>2806</v>
      </c>
      <c r="C320" s="359" t="n">
        <v>1</v>
      </c>
      <c r="D320" s="358" t="n">
        <v>0</v>
      </c>
      <c r="E320" s="358" t="n">
        <v>0</v>
      </c>
      <c r="F320" s="358" t="n">
        <v>0</v>
      </c>
      <c r="G320" s="372" t="n">
        <v>0</v>
      </c>
      <c r="H320" s="373" t="n">
        <v>0</v>
      </c>
      <c r="I320" s="358" t="n">
        <v>0</v>
      </c>
      <c r="J320" s="358" t="n">
        <v>0</v>
      </c>
      <c r="K320" s="372" t="n">
        <v>0</v>
      </c>
      <c r="L320" s="373" t="n">
        <v>0</v>
      </c>
      <c r="M320" s="358" t="n">
        <v>0</v>
      </c>
      <c r="N320" s="358" t="n">
        <v>0</v>
      </c>
      <c r="O320" s="372" t="n">
        <v>0</v>
      </c>
      <c r="P320" s="373" t="n">
        <v>0</v>
      </c>
      <c r="Q320" s="358" t="n">
        <v>0</v>
      </c>
      <c r="R320" s="358" t="n">
        <v>0</v>
      </c>
      <c r="S320" s="372" t="n">
        <v>0</v>
      </c>
      <c r="T320" s="373" t="n">
        <v>0</v>
      </c>
      <c r="U320" s="358" t="n">
        <v>0</v>
      </c>
      <c r="V320" s="358" t="n">
        <v>0</v>
      </c>
      <c r="W320" s="372" t="n">
        <v>0</v>
      </c>
      <c r="X320" s="373" t="n">
        <v>0</v>
      </c>
      <c r="Y320" s="358" t="n">
        <v>0</v>
      </c>
      <c r="Z320" s="358" t="n">
        <v>0</v>
      </c>
      <c r="AA320" s="358" t="n">
        <v>0</v>
      </c>
      <c r="AB320" s="373" t="n">
        <v>0</v>
      </c>
      <c r="AC320" s="358" t="n">
        <v>0</v>
      </c>
      <c r="AD320" s="358" t="n">
        <v>0</v>
      </c>
      <c r="AE320" s="358" t="n">
        <v>0</v>
      </c>
      <c r="AF320" s="359" t="n">
        <v>1</v>
      </c>
    </row>
    <row r="321" customFormat="false" ht="15" hidden="true" customHeight="false" outlineLevel="0" collapsed="false">
      <c r="B321" s="360" t="s">
        <v>2807</v>
      </c>
      <c r="C321" s="359" t="n">
        <v>1</v>
      </c>
      <c r="D321" s="358" t="n">
        <v>0</v>
      </c>
      <c r="E321" s="358" t="n">
        <v>0</v>
      </c>
      <c r="F321" s="358" t="n">
        <v>0</v>
      </c>
      <c r="G321" s="372" t="n">
        <v>0</v>
      </c>
      <c r="H321" s="373" t="n">
        <v>0</v>
      </c>
      <c r="I321" s="358" t="n">
        <v>0</v>
      </c>
      <c r="J321" s="358" t="n">
        <v>0</v>
      </c>
      <c r="K321" s="372" t="n">
        <v>0</v>
      </c>
      <c r="L321" s="373" t="n">
        <v>0</v>
      </c>
      <c r="M321" s="358" t="n">
        <v>0</v>
      </c>
      <c r="N321" s="358" t="n">
        <v>0</v>
      </c>
      <c r="O321" s="372" t="n">
        <v>0</v>
      </c>
      <c r="P321" s="373" t="n">
        <v>0</v>
      </c>
      <c r="Q321" s="358" t="n">
        <v>0</v>
      </c>
      <c r="R321" s="358" t="n">
        <v>0</v>
      </c>
      <c r="S321" s="372" t="n">
        <v>0</v>
      </c>
      <c r="T321" s="373" t="n">
        <v>0</v>
      </c>
      <c r="U321" s="358" t="n">
        <v>0</v>
      </c>
      <c r="V321" s="358" t="n">
        <v>0</v>
      </c>
      <c r="W321" s="372" t="n">
        <v>0</v>
      </c>
      <c r="X321" s="373" t="n">
        <v>0</v>
      </c>
      <c r="Y321" s="358" t="n">
        <v>0</v>
      </c>
      <c r="Z321" s="358" t="n">
        <v>0</v>
      </c>
      <c r="AA321" s="358" t="n">
        <v>0</v>
      </c>
      <c r="AB321" s="373" t="n">
        <v>0</v>
      </c>
      <c r="AC321" s="358" t="n">
        <v>0</v>
      </c>
      <c r="AD321" s="358" t="n">
        <v>0</v>
      </c>
      <c r="AE321" s="358" t="n">
        <v>0</v>
      </c>
      <c r="AF321" s="359" t="n">
        <v>1</v>
      </c>
    </row>
    <row r="322" customFormat="false" ht="15" hidden="true" customHeight="false" outlineLevel="0" collapsed="false">
      <c r="B322" s="360" t="s">
        <v>2808</v>
      </c>
      <c r="C322" s="359" t="n">
        <v>1</v>
      </c>
      <c r="D322" s="358" t="n">
        <v>0</v>
      </c>
      <c r="E322" s="358" t="n">
        <v>0</v>
      </c>
      <c r="F322" s="358" t="n">
        <v>0</v>
      </c>
      <c r="G322" s="372" t="n">
        <v>0</v>
      </c>
      <c r="H322" s="373" t="n">
        <v>0</v>
      </c>
      <c r="I322" s="358" t="n">
        <v>0</v>
      </c>
      <c r="J322" s="358" t="n">
        <v>0</v>
      </c>
      <c r="K322" s="372" t="n">
        <v>0</v>
      </c>
      <c r="L322" s="373" t="n">
        <v>0</v>
      </c>
      <c r="M322" s="358" t="n">
        <v>0</v>
      </c>
      <c r="N322" s="358" t="n">
        <v>0</v>
      </c>
      <c r="O322" s="372" t="n">
        <v>0</v>
      </c>
      <c r="P322" s="373" t="n">
        <v>0</v>
      </c>
      <c r="Q322" s="358" t="n">
        <v>0</v>
      </c>
      <c r="R322" s="358" t="n">
        <v>0</v>
      </c>
      <c r="S322" s="372" t="n">
        <v>0</v>
      </c>
      <c r="T322" s="373" t="n">
        <v>0</v>
      </c>
      <c r="U322" s="358" t="n">
        <v>0</v>
      </c>
      <c r="V322" s="358" t="n">
        <v>0</v>
      </c>
      <c r="W322" s="372" t="n">
        <v>0</v>
      </c>
      <c r="X322" s="373" t="n">
        <v>0</v>
      </c>
      <c r="Y322" s="358" t="n">
        <v>0</v>
      </c>
      <c r="Z322" s="358" t="n">
        <v>0</v>
      </c>
      <c r="AA322" s="358" t="n">
        <v>0</v>
      </c>
      <c r="AB322" s="373" t="n">
        <v>0</v>
      </c>
      <c r="AC322" s="358" t="n">
        <v>0</v>
      </c>
      <c r="AD322" s="358" t="n">
        <v>0</v>
      </c>
      <c r="AE322" s="358" t="n">
        <v>0</v>
      </c>
      <c r="AF322" s="359" t="n">
        <v>1</v>
      </c>
    </row>
    <row r="323" customFormat="false" ht="15" hidden="true" customHeight="false" outlineLevel="0" collapsed="false">
      <c r="B323" s="360" t="s">
        <v>2809</v>
      </c>
      <c r="C323" s="359" t="n">
        <v>1</v>
      </c>
      <c r="D323" s="358" t="n">
        <v>0</v>
      </c>
      <c r="E323" s="358" t="n">
        <v>0</v>
      </c>
      <c r="F323" s="358" t="n">
        <v>0</v>
      </c>
      <c r="G323" s="372" t="n">
        <v>0</v>
      </c>
      <c r="H323" s="373" t="n">
        <v>0</v>
      </c>
      <c r="I323" s="358" t="n">
        <v>0</v>
      </c>
      <c r="J323" s="358" t="n">
        <v>0</v>
      </c>
      <c r="K323" s="372" t="n">
        <v>0</v>
      </c>
      <c r="L323" s="373" t="n">
        <v>0</v>
      </c>
      <c r="M323" s="358" t="n">
        <v>0</v>
      </c>
      <c r="N323" s="358" t="n">
        <v>0</v>
      </c>
      <c r="O323" s="372" t="n">
        <v>0</v>
      </c>
      <c r="P323" s="373" t="n">
        <v>0</v>
      </c>
      <c r="Q323" s="358" t="n">
        <v>0</v>
      </c>
      <c r="R323" s="358" t="n">
        <v>0</v>
      </c>
      <c r="S323" s="372" t="n">
        <v>0</v>
      </c>
      <c r="T323" s="373" t="n">
        <v>0</v>
      </c>
      <c r="U323" s="358" t="n">
        <v>0</v>
      </c>
      <c r="V323" s="358" t="n">
        <v>0</v>
      </c>
      <c r="W323" s="372" t="n">
        <v>0</v>
      </c>
      <c r="X323" s="373" t="n">
        <v>0</v>
      </c>
      <c r="Y323" s="358" t="n">
        <v>0</v>
      </c>
      <c r="Z323" s="358" t="n">
        <v>0</v>
      </c>
      <c r="AA323" s="358" t="n">
        <v>0</v>
      </c>
      <c r="AB323" s="373" t="n">
        <v>0</v>
      </c>
      <c r="AC323" s="358" t="n">
        <v>0</v>
      </c>
      <c r="AD323" s="358" t="n">
        <v>0</v>
      </c>
      <c r="AE323" s="358" t="n">
        <v>0</v>
      </c>
      <c r="AF323" s="359" t="n">
        <v>1</v>
      </c>
    </row>
    <row r="324" customFormat="false" ht="15" hidden="true" customHeight="false" outlineLevel="0" collapsed="false">
      <c r="B324" s="360" t="s">
        <v>2810</v>
      </c>
      <c r="C324" s="359" t="n">
        <v>1</v>
      </c>
      <c r="D324" s="358" t="n">
        <v>0</v>
      </c>
      <c r="E324" s="358" t="n">
        <v>0</v>
      </c>
      <c r="F324" s="358" t="n">
        <v>0</v>
      </c>
      <c r="G324" s="372" t="n">
        <v>0</v>
      </c>
      <c r="H324" s="373" t="n">
        <v>0</v>
      </c>
      <c r="I324" s="358" t="n">
        <v>0</v>
      </c>
      <c r="J324" s="358" t="n">
        <v>0</v>
      </c>
      <c r="K324" s="372" t="n">
        <v>0</v>
      </c>
      <c r="L324" s="373" t="n">
        <v>0</v>
      </c>
      <c r="M324" s="358" t="n">
        <v>0</v>
      </c>
      <c r="N324" s="358" t="n">
        <v>0</v>
      </c>
      <c r="O324" s="372" t="n">
        <v>0</v>
      </c>
      <c r="P324" s="373" t="n">
        <v>0</v>
      </c>
      <c r="Q324" s="358" t="n">
        <v>0</v>
      </c>
      <c r="R324" s="358" t="n">
        <v>0</v>
      </c>
      <c r="S324" s="372" t="n">
        <v>0</v>
      </c>
      <c r="T324" s="373" t="n">
        <v>0</v>
      </c>
      <c r="U324" s="358" t="n">
        <v>0</v>
      </c>
      <c r="V324" s="358" t="n">
        <v>0</v>
      </c>
      <c r="W324" s="372" t="n">
        <v>0</v>
      </c>
      <c r="X324" s="373" t="n">
        <v>0</v>
      </c>
      <c r="Y324" s="358" t="n">
        <v>0</v>
      </c>
      <c r="Z324" s="358" t="n">
        <v>0</v>
      </c>
      <c r="AA324" s="358" t="n">
        <v>0</v>
      </c>
      <c r="AB324" s="373" t="n">
        <v>0</v>
      </c>
      <c r="AC324" s="358" t="n">
        <v>0</v>
      </c>
      <c r="AD324" s="358" t="n">
        <v>0</v>
      </c>
      <c r="AE324" s="358" t="n">
        <v>0</v>
      </c>
      <c r="AF324" s="359" t="n">
        <v>1</v>
      </c>
    </row>
    <row r="325" customFormat="false" ht="15" hidden="true" customHeight="false" outlineLevel="0" collapsed="false">
      <c r="B325" s="360" t="s">
        <v>2811</v>
      </c>
      <c r="C325" s="359" t="n">
        <v>1</v>
      </c>
      <c r="D325" s="358" t="n">
        <v>0</v>
      </c>
      <c r="E325" s="358" t="n">
        <v>0</v>
      </c>
      <c r="F325" s="358" t="n">
        <v>0</v>
      </c>
      <c r="G325" s="372" t="n">
        <v>0</v>
      </c>
      <c r="H325" s="373" t="n">
        <v>0</v>
      </c>
      <c r="I325" s="358" t="n">
        <v>0</v>
      </c>
      <c r="J325" s="358" t="n">
        <v>0</v>
      </c>
      <c r="K325" s="372" t="n">
        <v>0</v>
      </c>
      <c r="L325" s="373" t="n">
        <v>0</v>
      </c>
      <c r="M325" s="358" t="n">
        <v>0</v>
      </c>
      <c r="N325" s="358" t="n">
        <v>0</v>
      </c>
      <c r="O325" s="372" t="n">
        <v>0</v>
      </c>
      <c r="P325" s="373" t="n">
        <v>0</v>
      </c>
      <c r="Q325" s="358" t="n">
        <v>0</v>
      </c>
      <c r="R325" s="358" t="n">
        <v>0</v>
      </c>
      <c r="S325" s="372" t="n">
        <v>0</v>
      </c>
      <c r="T325" s="373" t="n">
        <v>0</v>
      </c>
      <c r="U325" s="358" t="n">
        <v>0</v>
      </c>
      <c r="V325" s="358" t="n">
        <v>0</v>
      </c>
      <c r="W325" s="372" t="n">
        <v>0</v>
      </c>
      <c r="X325" s="373" t="n">
        <v>0</v>
      </c>
      <c r="Y325" s="358" t="n">
        <v>0</v>
      </c>
      <c r="Z325" s="358" t="n">
        <v>0</v>
      </c>
      <c r="AA325" s="358" t="n">
        <v>0</v>
      </c>
      <c r="AB325" s="373" t="n">
        <v>0</v>
      </c>
      <c r="AC325" s="358" t="n">
        <v>0</v>
      </c>
      <c r="AD325" s="358" t="n">
        <v>0</v>
      </c>
      <c r="AE325" s="358" t="n">
        <v>0</v>
      </c>
      <c r="AF325" s="359" t="n">
        <v>1</v>
      </c>
    </row>
    <row r="326" customFormat="false" ht="15" hidden="true" customHeight="false" outlineLevel="0" collapsed="false">
      <c r="B326" s="360" t="s">
        <v>2812</v>
      </c>
      <c r="C326" s="359" t="n">
        <v>1</v>
      </c>
      <c r="D326" s="358" t="n">
        <v>0</v>
      </c>
      <c r="E326" s="358" t="n">
        <v>0</v>
      </c>
      <c r="F326" s="358" t="n">
        <v>0</v>
      </c>
      <c r="G326" s="372" t="n">
        <v>0</v>
      </c>
      <c r="H326" s="373" t="n">
        <v>0</v>
      </c>
      <c r="I326" s="358" t="n">
        <v>0</v>
      </c>
      <c r="J326" s="358" t="n">
        <v>0</v>
      </c>
      <c r="K326" s="372" t="n">
        <v>0</v>
      </c>
      <c r="L326" s="373" t="n">
        <v>0</v>
      </c>
      <c r="M326" s="358" t="n">
        <v>0</v>
      </c>
      <c r="N326" s="358" t="n">
        <v>0</v>
      </c>
      <c r="O326" s="372" t="n">
        <v>0</v>
      </c>
      <c r="P326" s="373" t="n">
        <v>0</v>
      </c>
      <c r="Q326" s="358" t="n">
        <v>0</v>
      </c>
      <c r="R326" s="358" t="n">
        <v>0</v>
      </c>
      <c r="S326" s="372" t="n">
        <v>0</v>
      </c>
      <c r="T326" s="373" t="n">
        <v>0</v>
      </c>
      <c r="U326" s="358" t="n">
        <v>0</v>
      </c>
      <c r="V326" s="358" t="n">
        <v>0</v>
      </c>
      <c r="W326" s="372" t="n">
        <v>0</v>
      </c>
      <c r="X326" s="373" t="n">
        <v>0</v>
      </c>
      <c r="Y326" s="358" t="n">
        <v>0</v>
      </c>
      <c r="Z326" s="358" t="n">
        <v>0</v>
      </c>
      <c r="AA326" s="358" t="n">
        <v>0</v>
      </c>
      <c r="AB326" s="373" t="n">
        <v>0</v>
      </c>
      <c r="AC326" s="358" t="n">
        <v>0</v>
      </c>
      <c r="AD326" s="358" t="n">
        <v>0</v>
      </c>
      <c r="AE326" s="358" t="n">
        <v>0</v>
      </c>
      <c r="AF326" s="359" t="n">
        <v>1</v>
      </c>
    </row>
    <row r="327" customFormat="false" ht="15" hidden="true" customHeight="false" outlineLevel="0" collapsed="false">
      <c r="B327" s="360" t="s">
        <v>2813</v>
      </c>
      <c r="C327" s="359" t="n">
        <v>1</v>
      </c>
      <c r="D327" s="358" t="n">
        <v>0</v>
      </c>
      <c r="E327" s="358" t="n">
        <v>0</v>
      </c>
      <c r="F327" s="358" t="n">
        <v>0</v>
      </c>
      <c r="G327" s="372" t="n">
        <v>0</v>
      </c>
      <c r="H327" s="373" t="n">
        <v>0</v>
      </c>
      <c r="I327" s="358" t="n">
        <v>0</v>
      </c>
      <c r="J327" s="358" t="n">
        <v>0</v>
      </c>
      <c r="K327" s="372" t="n">
        <v>0</v>
      </c>
      <c r="L327" s="373" t="n">
        <v>0</v>
      </c>
      <c r="M327" s="358" t="n">
        <v>0</v>
      </c>
      <c r="N327" s="358" t="n">
        <v>0</v>
      </c>
      <c r="O327" s="372" t="n">
        <v>0</v>
      </c>
      <c r="P327" s="373" t="n">
        <v>0</v>
      </c>
      <c r="Q327" s="358" t="n">
        <v>0</v>
      </c>
      <c r="R327" s="358" t="n">
        <v>0</v>
      </c>
      <c r="S327" s="372" t="n">
        <v>0</v>
      </c>
      <c r="T327" s="373" t="n">
        <v>0</v>
      </c>
      <c r="U327" s="358" t="n">
        <v>0</v>
      </c>
      <c r="V327" s="358" t="n">
        <v>0</v>
      </c>
      <c r="W327" s="372" t="n">
        <v>0</v>
      </c>
      <c r="X327" s="373" t="n">
        <v>0</v>
      </c>
      <c r="Y327" s="358" t="n">
        <v>0</v>
      </c>
      <c r="Z327" s="358" t="n">
        <v>0</v>
      </c>
      <c r="AA327" s="358" t="n">
        <v>0</v>
      </c>
      <c r="AB327" s="373" t="n">
        <v>0</v>
      </c>
      <c r="AC327" s="358" t="n">
        <v>0</v>
      </c>
      <c r="AD327" s="358" t="n">
        <v>0</v>
      </c>
      <c r="AE327" s="358" t="n">
        <v>0</v>
      </c>
      <c r="AF327" s="359" t="n">
        <v>1</v>
      </c>
    </row>
    <row r="328" customFormat="false" ht="15" hidden="true" customHeight="false" outlineLevel="0" collapsed="false">
      <c r="B328" s="360" t="s">
        <v>2814</v>
      </c>
      <c r="C328" s="359" t="n">
        <v>1</v>
      </c>
      <c r="D328" s="358" t="n">
        <v>0</v>
      </c>
      <c r="E328" s="358" t="n">
        <v>0</v>
      </c>
      <c r="F328" s="358" t="n">
        <v>0</v>
      </c>
      <c r="G328" s="372" t="n">
        <v>0</v>
      </c>
      <c r="H328" s="373" t="n">
        <v>0</v>
      </c>
      <c r="I328" s="358" t="n">
        <v>0</v>
      </c>
      <c r="J328" s="358" t="n">
        <v>0</v>
      </c>
      <c r="K328" s="372" t="n">
        <v>0</v>
      </c>
      <c r="L328" s="373" t="n">
        <v>0</v>
      </c>
      <c r="M328" s="358" t="n">
        <v>0</v>
      </c>
      <c r="N328" s="358" t="n">
        <v>0</v>
      </c>
      <c r="O328" s="372" t="n">
        <v>0</v>
      </c>
      <c r="P328" s="373" t="n">
        <v>0</v>
      </c>
      <c r="Q328" s="358" t="n">
        <v>0</v>
      </c>
      <c r="R328" s="358" t="n">
        <v>0</v>
      </c>
      <c r="S328" s="372" t="n">
        <v>0</v>
      </c>
      <c r="T328" s="373" t="n">
        <v>0</v>
      </c>
      <c r="U328" s="358" t="n">
        <v>0</v>
      </c>
      <c r="V328" s="358" t="n">
        <v>0</v>
      </c>
      <c r="W328" s="372" t="n">
        <v>0</v>
      </c>
      <c r="X328" s="373" t="n">
        <v>0</v>
      </c>
      <c r="Y328" s="358" t="n">
        <v>0</v>
      </c>
      <c r="Z328" s="358" t="n">
        <v>0</v>
      </c>
      <c r="AA328" s="358" t="n">
        <v>0</v>
      </c>
      <c r="AB328" s="373" t="n">
        <v>0</v>
      </c>
      <c r="AC328" s="358" t="n">
        <v>0</v>
      </c>
      <c r="AD328" s="358" t="n">
        <v>0</v>
      </c>
      <c r="AE328" s="358" t="n">
        <v>0</v>
      </c>
      <c r="AF328" s="359" t="n">
        <v>1</v>
      </c>
    </row>
    <row r="329" customFormat="false" ht="15" hidden="true" customHeight="false" outlineLevel="0" collapsed="false">
      <c r="B329" s="360" t="s">
        <v>2815</v>
      </c>
      <c r="C329" s="359" t="n">
        <v>1</v>
      </c>
      <c r="D329" s="358" t="n">
        <v>0</v>
      </c>
      <c r="E329" s="358" t="n">
        <v>0</v>
      </c>
      <c r="F329" s="358" t="n">
        <v>0</v>
      </c>
      <c r="G329" s="372" t="n">
        <v>0</v>
      </c>
      <c r="H329" s="373" t="n">
        <v>0</v>
      </c>
      <c r="I329" s="358" t="n">
        <v>0</v>
      </c>
      <c r="J329" s="358" t="n">
        <v>0</v>
      </c>
      <c r="K329" s="372" t="n">
        <v>0</v>
      </c>
      <c r="L329" s="373" t="n">
        <v>0</v>
      </c>
      <c r="M329" s="358" t="n">
        <v>0</v>
      </c>
      <c r="N329" s="358" t="n">
        <v>0</v>
      </c>
      <c r="O329" s="372" t="n">
        <v>0</v>
      </c>
      <c r="P329" s="373" t="n">
        <v>0</v>
      </c>
      <c r="Q329" s="358" t="n">
        <v>0</v>
      </c>
      <c r="R329" s="358" t="n">
        <v>0</v>
      </c>
      <c r="S329" s="372" t="n">
        <v>0</v>
      </c>
      <c r="T329" s="373" t="n">
        <v>0</v>
      </c>
      <c r="U329" s="358" t="n">
        <v>0</v>
      </c>
      <c r="V329" s="358" t="n">
        <v>0</v>
      </c>
      <c r="W329" s="372" t="n">
        <v>0</v>
      </c>
      <c r="X329" s="373" t="n">
        <v>0</v>
      </c>
      <c r="Y329" s="358" t="n">
        <v>0</v>
      </c>
      <c r="Z329" s="358" t="n">
        <v>0</v>
      </c>
      <c r="AA329" s="358" t="n">
        <v>0</v>
      </c>
      <c r="AB329" s="373" t="n">
        <v>0</v>
      </c>
      <c r="AC329" s="358" t="n">
        <v>0</v>
      </c>
      <c r="AD329" s="358" t="n">
        <v>0</v>
      </c>
      <c r="AE329" s="358" t="n">
        <v>0</v>
      </c>
      <c r="AF329" s="359" t="n">
        <v>1</v>
      </c>
    </row>
    <row r="330" customFormat="false" ht="15" hidden="true" customHeight="false" outlineLevel="0" collapsed="false">
      <c r="B330" s="360" t="s">
        <v>2816</v>
      </c>
      <c r="C330" s="359" t="n">
        <v>1</v>
      </c>
      <c r="D330" s="358" t="n">
        <v>0</v>
      </c>
      <c r="E330" s="358" t="n">
        <v>0</v>
      </c>
      <c r="F330" s="358" t="n">
        <v>0</v>
      </c>
      <c r="G330" s="372" t="n">
        <v>0</v>
      </c>
      <c r="H330" s="373" t="n">
        <v>0</v>
      </c>
      <c r="I330" s="358" t="n">
        <v>0</v>
      </c>
      <c r="J330" s="358" t="n">
        <v>0</v>
      </c>
      <c r="K330" s="372" t="n">
        <v>0</v>
      </c>
      <c r="L330" s="373" t="n">
        <v>0</v>
      </c>
      <c r="M330" s="358" t="n">
        <v>0</v>
      </c>
      <c r="N330" s="358" t="n">
        <v>0</v>
      </c>
      <c r="O330" s="372" t="n">
        <v>0</v>
      </c>
      <c r="P330" s="373" t="n">
        <v>0</v>
      </c>
      <c r="Q330" s="358" t="n">
        <v>0</v>
      </c>
      <c r="R330" s="358" t="n">
        <v>0</v>
      </c>
      <c r="S330" s="372" t="n">
        <v>0</v>
      </c>
      <c r="T330" s="373" t="n">
        <v>0</v>
      </c>
      <c r="U330" s="358" t="n">
        <v>0</v>
      </c>
      <c r="V330" s="358" t="n">
        <v>0</v>
      </c>
      <c r="W330" s="372" t="n">
        <v>0</v>
      </c>
      <c r="X330" s="373" t="n">
        <v>0</v>
      </c>
      <c r="Y330" s="358" t="n">
        <v>0</v>
      </c>
      <c r="Z330" s="358" t="n">
        <v>0</v>
      </c>
      <c r="AA330" s="358" t="n">
        <v>0</v>
      </c>
      <c r="AB330" s="373" t="n">
        <v>0</v>
      </c>
      <c r="AC330" s="358" t="n">
        <v>0</v>
      </c>
      <c r="AD330" s="358" t="n">
        <v>0</v>
      </c>
      <c r="AE330" s="358" t="n">
        <v>0</v>
      </c>
      <c r="AF330" s="359" t="n">
        <v>1</v>
      </c>
    </row>
    <row r="331" customFormat="false" ht="15" hidden="true" customHeight="false" outlineLevel="0" collapsed="false">
      <c r="B331" s="360" t="s">
        <v>2817</v>
      </c>
      <c r="C331" s="359" t="n">
        <v>1</v>
      </c>
      <c r="D331" s="358" t="n">
        <v>0</v>
      </c>
      <c r="E331" s="358" t="n">
        <v>0</v>
      </c>
      <c r="F331" s="358" t="n">
        <v>0</v>
      </c>
      <c r="G331" s="372" t="n">
        <v>0</v>
      </c>
      <c r="H331" s="373" t="n">
        <v>0</v>
      </c>
      <c r="I331" s="358" t="n">
        <v>0</v>
      </c>
      <c r="J331" s="358" t="n">
        <v>0</v>
      </c>
      <c r="K331" s="372" t="n">
        <v>0</v>
      </c>
      <c r="L331" s="373" t="n">
        <v>0</v>
      </c>
      <c r="M331" s="358" t="n">
        <v>0</v>
      </c>
      <c r="N331" s="358" t="n">
        <v>0</v>
      </c>
      <c r="O331" s="372" t="n">
        <v>0</v>
      </c>
      <c r="P331" s="373" t="n">
        <v>0</v>
      </c>
      <c r="Q331" s="358" t="n">
        <v>0</v>
      </c>
      <c r="R331" s="358" t="n">
        <v>0</v>
      </c>
      <c r="S331" s="372" t="n">
        <v>0</v>
      </c>
      <c r="T331" s="373" t="n">
        <v>0</v>
      </c>
      <c r="U331" s="358" t="n">
        <v>0</v>
      </c>
      <c r="V331" s="358" t="n">
        <v>0</v>
      </c>
      <c r="W331" s="372" t="n">
        <v>0</v>
      </c>
      <c r="X331" s="373" t="n">
        <v>0</v>
      </c>
      <c r="Y331" s="358" t="n">
        <v>0</v>
      </c>
      <c r="Z331" s="358" t="n">
        <v>0</v>
      </c>
      <c r="AA331" s="358" t="n">
        <v>0</v>
      </c>
      <c r="AB331" s="373" t="n">
        <v>0</v>
      </c>
      <c r="AC331" s="358" t="n">
        <v>0</v>
      </c>
      <c r="AD331" s="358" t="n">
        <v>0</v>
      </c>
      <c r="AE331" s="358" t="n">
        <v>0</v>
      </c>
      <c r="AF331" s="359" t="n">
        <v>1</v>
      </c>
    </row>
    <row r="332" customFormat="false" ht="15" hidden="true" customHeight="false" outlineLevel="0" collapsed="false">
      <c r="B332" s="360" t="s">
        <v>2818</v>
      </c>
      <c r="C332" s="359" t="n">
        <v>1</v>
      </c>
      <c r="D332" s="358" t="n">
        <v>0</v>
      </c>
      <c r="E332" s="358" t="n">
        <v>0</v>
      </c>
      <c r="F332" s="358" t="n">
        <v>0</v>
      </c>
      <c r="G332" s="372" t="n">
        <v>0</v>
      </c>
      <c r="H332" s="373" t="n">
        <v>0</v>
      </c>
      <c r="I332" s="358" t="n">
        <v>0</v>
      </c>
      <c r="J332" s="358" t="n">
        <v>0</v>
      </c>
      <c r="K332" s="372" t="n">
        <v>0</v>
      </c>
      <c r="L332" s="373" t="n">
        <v>0</v>
      </c>
      <c r="M332" s="358" t="n">
        <v>0</v>
      </c>
      <c r="N332" s="358" t="n">
        <v>0</v>
      </c>
      <c r="O332" s="372" t="n">
        <v>0</v>
      </c>
      <c r="P332" s="373" t="n">
        <v>0</v>
      </c>
      <c r="Q332" s="358" t="n">
        <v>0</v>
      </c>
      <c r="R332" s="358" t="n">
        <v>0</v>
      </c>
      <c r="S332" s="372" t="n">
        <v>0</v>
      </c>
      <c r="T332" s="373" t="n">
        <v>0</v>
      </c>
      <c r="U332" s="358" t="n">
        <v>0</v>
      </c>
      <c r="V332" s="358" t="n">
        <v>0</v>
      </c>
      <c r="W332" s="372" t="n">
        <v>0</v>
      </c>
      <c r="X332" s="373" t="n">
        <v>0</v>
      </c>
      <c r="Y332" s="358" t="n">
        <v>0</v>
      </c>
      <c r="Z332" s="358" t="n">
        <v>0</v>
      </c>
      <c r="AA332" s="358" t="n">
        <v>0</v>
      </c>
      <c r="AB332" s="373" t="n">
        <v>0</v>
      </c>
      <c r="AC332" s="358" t="n">
        <v>0</v>
      </c>
      <c r="AD332" s="358" t="n">
        <v>0</v>
      </c>
      <c r="AE332" s="358" t="n">
        <v>0</v>
      </c>
      <c r="AF332" s="359" t="n">
        <v>1</v>
      </c>
    </row>
    <row r="333" customFormat="false" ht="15" hidden="true" customHeight="false" outlineLevel="0" collapsed="false">
      <c r="B333" s="360" t="s">
        <v>2819</v>
      </c>
      <c r="C333" s="359" t="n">
        <v>1</v>
      </c>
      <c r="D333" s="358" t="n">
        <v>0</v>
      </c>
      <c r="E333" s="358" t="n">
        <v>0</v>
      </c>
      <c r="F333" s="358" t="n">
        <v>0</v>
      </c>
      <c r="G333" s="372" t="n">
        <v>0</v>
      </c>
      <c r="H333" s="373" t="n">
        <v>0</v>
      </c>
      <c r="I333" s="358" t="n">
        <v>0</v>
      </c>
      <c r="J333" s="358" t="n">
        <v>0</v>
      </c>
      <c r="K333" s="372" t="n">
        <v>0</v>
      </c>
      <c r="L333" s="373" t="n">
        <v>0</v>
      </c>
      <c r="M333" s="358" t="n">
        <v>0</v>
      </c>
      <c r="N333" s="358" t="n">
        <v>0</v>
      </c>
      <c r="O333" s="372" t="n">
        <v>0</v>
      </c>
      <c r="P333" s="373" t="n">
        <v>0</v>
      </c>
      <c r="Q333" s="358" t="n">
        <v>0</v>
      </c>
      <c r="R333" s="358" t="n">
        <v>0</v>
      </c>
      <c r="S333" s="372" t="n">
        <v>0</v>
      </c>
      <c r="T333" s="373" t="n">
        <v>0</v>
      </c>
      <c r="U333" s="358" t="n">
        <v>0</v>
      </c>
      <c r="V333" s="358" t="n">
        <v>0</v>
      </c>
      <c r="W333" s="372" t="n">
        <v>0</v>
      </c>
      <c r="X333" s="373" t="n">
        <v>0</v>
      </c>
      <c r="Y333" s="358" t="n">
        <v>0</v>
      </c>
      <c r="Z333" s="358" t="n">
        <v>0</v>
      </c>
      <c r="AA333" s="358" t="n">
        <v>0</v>
      </c>
      <c r="AB333" s="373" t="n">
        <v>0</v>
      </c>
      <c r="AC333" s="358" t="n">
        <v>0</v>
      </c>
      <c r="AD333" s="358" t="n">
        <v>0</v>
      </c>
      <c r="AE333" s="358" t="n">
        <v>0</v>
      </c>
      <c r="AF333" s="359" t="n">
        <v>1</v>
      </c>
    </row>
    <row r="334" customFormat="false" ht="15" hidden="true" customHeight="false" outlineLevel="0" collapsed="false">
      <c r="B334" s="360" t="s">
        <v>2820</v>
      </c>
      <c r="C334" s="359" t="n">
        <v>1</v>
      </c>
      <c r="D334" s="358" t="n">
        <v>0</v>
      </c>
      <c r="E334" s="358" t="n">
        <v>0</v>
      </c>
      <c r="F334" s="358" t="n">
        <v>0</v>
      </c>
      <c r="G334" s="372" t="n">
        <v>0</v>
      </c>
      <c r="H334" s="373" t="n">
        <v>0</v>
      </c>
      <c r="I334" s="358" t="n">
        <v>0</v>
      </c>
      <c r="J334" s="358" t="n">
        <v>0</v>
      </c>
      <c r="K334" s="372" t="n">
        <v>0</v>
      </c>
      <c r="L334" s="373" t="n">
        <v>0</v>
      </c>
      <c r="M334" s="358" t="n">
        <v>0</v>
      </c>
      <c r="N334" s="358" t="n">
        <v>0</v>
      </c>
      <c r="O334" s="372" t="n">
        <v>0</v>
      </c>
      <c r="P334" s="373" t="n">
        <v>0</v>
      </c>
      <c r="Q334" s="358" t="n">
        <v>0</v>
      </c>
      <c r="R334" s="358" t="n">
        <v>0</v>
      </c>
      <c r="S334" s="372" t="n">
        <v>0</v>
      </c>
      <c r="T334" s="373" t="n">
        <v>0</v>
      </c>
      <c r="U334" s="358" t="n">
        <v>0</v>
      </c>
      <c r="V334" s="358" t="n">
        <v>0</v>
      </c>
      <c r="W334" s="372" t="n">
        <v>0</v>
      </c>
      <c r="X334" s="373" t="n">
        <v>0</v>
      </c>
      <c r="Y334" s="358" t="n">
        <v>0</v>
      </c>
      <c r="Z334" s="358" t="n">
        <v>0</v>
      </c>
      <c r="AA334" s="358" t="n">
        <v>0</v>
      </c>
      <c r="AB334" s="373" t="n">
        <v>0</v>
      </c>
      <c r="AC334" s="358" t="n">
        <v>0</v>
      </c>
      <c r="AD334" s="358" t="n">
        <v>0</v>
      </c>
      <c r="AE334" s="358" t="n">
        <v>0</v>
      </c>
      <c r="AF334" s="359" t="n">
        <v>1</v>
      </c>
    </row>
    <row r="335" customFormat="false" ht="15" hidden="true" customHeight="false" outlineLevel="0" collapsed="false">
      <c r="B335" s="360" t="s">
        <v>2821</v>
      </c>
      <c r="C335" s="359" t="n">
        <v>1</v>
      </c>
      <c r="D335" s="358" t="n">
        <v>0</v>
      </c>
      <c r="E335" s="358" t="n">
        <v>0</v>
      </c>
      <c r="F335" s="358" t="n">
        <v>0</v>
      </c>
      <c r="G335" s="372" t="n">
        <v>0</v>
      </c>
      <c r="H335" s="373" t="n">
        <v>0</v>
      </c>
      <c r="I335" s="358" t="n">
        <v>0</v>
      </c>
      <c r="J335" s="358" t="n">
        <v>0</v>
      </c>
      <c r="K335" s="372" t="n">
        <v>0</v>
      </c>
      <c r="L335" s="373" t="n">
        <v>0</v>
      </c>
      <c r="M335" s="358" t="n">
        <v>0</v>
      </c>
      <c r="N335" s="358" t="n">
        <v>0</v>
      </c>
      <c r="O335" s="372" t="n">
        <v>0</v>
      </c>
      <c r="P335" s="373" t="n">
        <v>0</v>
      </c>
      <c r="Q335" s="358" t="n">
        <v>0</v>
      </c>
      <c r="R335" s="358" t="n">
        <v>0</v>
      </c>
      <c r="S335" s="372" t="n">
        <v>0</v>
      </c>
      <c r="T335" s="373" t="n">
        <v>0</v>
      </c>
      <c r="U335" s="358" t="n">
        <v>0</v>
      </c>
      <c r="V335" s="358" t="n">
        <v>0</v>
      </c>
      <c r="W335" s="372" t="n">
        <v>0</v>
      </c>
      <c r="X335" s="373" t="n">
        <v>0</v>
      </c>
      <c r="Y335" s="358" t="n">
        <v>0</v>
      </c>
      <c r="Z335" s="358" t="n">
        <v>0</v>
      </c>
      <c r="AA335" s="358" t="n">
        <v>0</v>
      </c>
      <c r="AB335" s="373" t="n">
        <v>0</v>
      </c>
      <c r="AC335" s="358" t="n">
        <v>0</v>
      </c>
      <c r="AD335" s="358" t="n">
        <v>0</v>
      </c>
      <c r="AE335" s="358" t="n">
        <v>0</v>
      </c>
      <c r="AF335" s="359" t="n">
        <v>1</v>
      </c>
    </row>
    <row r="336" customFormat="false" ht="15" hidden="true" customHeight="false" outlineLevel="0" collapsed="false">
      <c r="B336" s="361" t="s">
        <v>2822</v>
      </c>
      <c r="C336" s="359" t="n">
        <v>1</v>
      </c>
      <c r="D336" s="358" t="n">
        <v>0</v>
      </c>
      <c r="E336" s="358" t="n">
        <v>0</v>
      </c>
      <c r="F336" s="358" t="n">
        <v>0</v>
      </c>
      <c r="G336" s="372" t="n">
        <v>0</v>
      </c>
      <c r="H336" s="373" t="n">
        <v>0</v>
      </c>
      <c r="I336" s="358" t="n">
        <v>0</v>
      </c>
      <c r="J336" s="358" t="n">
        <v>0</v>
      </c>
      <c r="K336" s="372" t="n">
        <v>0</v>
      </c>
      <c r="L336" s="373" t="n">
        <v>0</v>
      </c>
      <c r="M336" s="358" t="n">
        <v>0</v>
      </c>
      <c r="N336" s="358" t="n">
        <v>0</v>
      </c>
      <c r="O336" s="372" t="n">
        <v>0</v>
      </c>
      <c r="P336" s="373" t="n">
        <v>0</v>
      </c>
      <c r="Q336" s="358" t="n">
        <v>0</v>
      </c>
      <c r="R336" s="358" t="n">
        <v>0</v>
      </c>
      <c r="S336" s="372" t="n">
        <v>0</v>
      </c>
      <c r="T336" s="373" t="n">
        <v>0</v>
      </c>
      <c r="U336" s="358" t="n">
        <v>0</v>
      </c>
      <c r="V336" s="358" t="n">
        <v>0</v>
      </c>
      <c r="W336" s="372" t="n">
        <v>0</v>
      </c>
      <c r="X336" s="373" t="n">
        <v>0</v>
      </c>
      <c r="Y336" s="358" t="n">
        <v>0</v>
      </c>
      <c r="Z336" s="358" t="n">
        <v>0</v>
      </c>
      <c r="AA336" s="358" t="n">
        <v>0</v>
      </c>
      <c r="AB336" s="373" t="n">
        <v>0</v>
      </c>
      <c r="AC336" s="358" t="n">
        <v>0</v>
      </c>
      <c r="AD336" s="358" t="n">
        <v>0</v>
      </c>
      <c r="AE336" s="358" t="n">
        <v>0</v>
      </c>
      <c r="AF336" s="359" t="n">
        <v>1</v>
      </c>
    </row>
    <row r="337" customFormat="false" ht="15" hidden="true" customHeight="false" outlineLevel="0" collapsed="false">
      <c r="B337" s="361" t="s">
        <v>2823</v>
      </c>
      <c r="C337" s="359" t="n">
        <v>1</v>
      </c>
      <c r="D337" s="358" t="n">
        <v>0</v>
      </c>
      <c r="E337" s="358" t="n">
        <v>0</v>
      </c>
      <c r="F337" s="358" t="n">
        <v>0</v>
      </c>
      <c r="G337" s="372" t="n">
        <v>0</v>
      </c>
      <c r="H337" s="373" t="n">
        <v>0</v>
      </c>
      <c r="I337" s="358" t="n">
        <v>0</v>
      </c>
      <c r="J337" s="358" t="n">
        <v>0</v>
      </c>
      <c r="K337" s="372" t="n">
        <v>0</v>
      </c>
      <c r="L337" s="373" t="n">
        <v>0</v>
      </c>
      <c r="M337" s="358" t="n">
        <v>0</v>
      </c>
      <c r="N337" s="358" t="n">
        <v>0</v>
      </c>
      <c r="O337" s="372" t="n">
        <v>0</v>
      </c>
      <c r="P337" s="373" t="n">
        <v>0</v>
      </c>
      <c r="Q337" s="358" t="n">
        <v>0</v>
      </c>
      <c r="R337" s="358" t="n">
        <v>0</v>
      </c>
      <c r="S337" s="372" t="n">
        <v>0</v>
      </c>
      <c r="T337" s="373" t="n">
        <v>0</v>
      </c>
      <c r="U337" s="358" t="n">
        <v>0</v>
      </c>
      <c r="V337" s="358" t="n">
        <v>0</v>
      </c>
      <c r="W337" s="372" t="n">
        <v>0</v>
      </c>
      <c r="X337" s="373" t="n">
        <v>0</v>
      </c>
      <c r="Y337" s="358" t="n">
        <v>0</v>
      </c>
      <c r="Z337" s="358" t="n">
        <v>0</v>
      </c>
      <c r="AA337" s="358" t="n">
        <v>0</v>
      </c>
      <c r="AB337" s="373" t="n">
        <v>0</v>
      </c>
      <c r="AC337" s="358" t="n">
        <v>0</v>
      </c>
      <c r="AD337" s="358" t="n">
        <v>0</v>
      </c>
      <c r="AE337" s="358" t="n">
        <v>0</v>
      </c>
      <c r="AF337" s="359" t="n">
        <v>1</v>
      </c>
    </row>
    <row r="338" customFormat="false" ht="15" hidden="true" customHeight="false" outlineLevel="0" collapsed="false">
      <c r="B338" s="361" t="s">
        <v>2824</v>
      </c>
      <c r="C338" s="359" t="n">
        <v>1</v>
      </c>
      <c r="D338" s="358" t="n">
        <v>0</v>
      </c>
      <c r="E338" s="358" t="n">
        <v>0</v>
      </c>
      <c r="F338" s="358" t="n">
        <v>0</v>
      </c>
      <c r="G338" s="372" t="n">
        <v>0</v>
      </c>
      <c r="H338" s="373" t="n">
        <v>0</v>
      </c>
      <c r="I338" s="358" t="n">
        <v>0</v>
      </c>
      <c r="J338" s="358" t="n">
        <v>0</v>
      </c>
      <c r="K338" s="372" t="n">
        <v>0</v>
      </c>
      <c r="L338" s="373" t="n">
        <v>0</v>
      </c>
      <c r="M338" s="358" t="n">
        <v>0</v>
      </c>
      <c r="N338" s="358" t="n">
        <v>0</v>
      </c>
      <c r="O338" s="372" t="n">
        <v>0</v>
      </c>
      <c r="P338" s="373" t="n">
        <v>0</v>
      </c>
      <c r="Q338" s="358" t="n">
        <v>0</v>
      </c>
      <c r="R338" s="358" t="n">
        <v>0</v>
      </c>
      <c r="S338" s="372" t="n">
        <v>0</v>
      </c>
      <c r="T338" s="373" t="n">
        <v>0</v>
      </c>
      <c r="U338" s="358" t="n">
        <v>0</v>
      </c>
      <c r="V338" s="358" t="n">
        <v>0</v>
      </c>
      <c r="W338" s="372" t="n">
        <v>0</v>
      </c>
      <c r="X338" s="373" t="n">
        <v>0</v>
      </c>
      <c r="Y338" s="358" t="n">
        <v>0</v>
      </c>
      <c r="Z338" s="358" t="n">
        <v>0</v>
      </c>
      <c r="AA338" s="358" t="n">
        <v>0</v>
      </c>
      <c r="AB338" s="373" t="n">
        <v>0</v>
      </c>
      <c r="AC338" s="358" t="n">
        <v>0</v>
      </c>
      <c r="AD338" s="358" t="n">
        <v>0</v>
      </c>
      <c r="AE338" s="358" t="n">
        <v>0</v>
      </c>
      <c r="AF338" s="359" t="n">
        <v>1</v>
      </c>
    </row>
    <row r="339" customFormat="false" ht="15" hidden="true" customHeight="false" outlineLevel="0" collapsed="false">
      <c r="B339" s="361" t="s">
        <v>2825</v>
      </c>
      <c r="C339" s="359" t="n">
        <v>1</v>
      </c>
      <c r="D339" s="358" t="n">
        <v>0</v>
      </c>
      <c r="E339" s="358" t="n">
        <v>0</v>
      </c>
      <c r="F339" s="358" t="n">
        <v>0</v>
      </c>
      <c r="G339" s="372" t="n">
        <v>0</v>
      </c>
      <c r="H339" s="373" t="n">
        <v>0</v>
      </c>
      <c r="I339" s="358" t="n">
        <v>0</v>
      </c>
      <c r="J339" s="358" t="n">
        <v>0</v>
      </c>
      <c r="K339" s="372" t="n">
        <v>0</v>
      </c>
      <c r="L339" s="373" t="n">
        <v>0</v>
      </c>
      <c r="M339" s="358" t="n">
        <v>0</v>
      </c>
      <c r="N339" s="358" t="n">
        <v>0</v>
      </c>
      <c r="O339" s="372" t="n">
        <v>0</v>
      </c>
      <c r="P339" s="373" t="n">
        <v>0</v>
      </c>
      <c r="Q339" s="358" t="n">
        <v>0</v>
      </c>
      <c r="R339" s="358" t="n">
        <v>0</v>
      </c>
      <c r="S339" s="372" t="n">
        <v>0</v>
      </c>
      <c r="T339" s="373" t="n">
        <v>0</v>
      </c>
      <c r="U339" s="358" t="n">
        <v>0</v>
      </c>
      <c r="V339" s="358" t="n">
        <v>0</v>
      </c>
      <c r="W339" s="372" t="n">
        <v>0</v>
      </c>
      <c r="X339" s="373" t="n">
        <v>0</v>
      </c>
      <c r="Y339" s="358" t="n">
        <v>0</v>
      </c>
      <c r="Z339" s="358" t="n">
        <v>0</v>
      </c>
      <c r="AA339" s="358" t="n">
        <v>0</v>
      </c>
      <c r="AB339" s="373" t="n">
        <v>0</v>
      </c>
      <c r="AC339" s="358" t="n">
        <v>0</v>
      </c>
      <c r="AD339" s="358" t="n">
        <v>0</v>
      </c>
      <c r="AE339" s="358" t="n">
        <v>0</v>
      </c>
      <c r="AF339" s="359" t="n">
        <v>1</v>
      </c>
    </row>
    <row r="340" customFormat="false" ht="15" hidden="false" customHeight="false" outlineLevel="0" collapsed="false">
      <c r="B340" s="362" t="s">
        <v>2465</v>
      </c>
      <c r="C340" s="363" t="n">
        <v>601</v>
      </c>
      <c r="D340" s="363" t="n">
        <v>5</v>
      </c>
      <c r="E340" s="363" t="n">
        <v>-1</v>
      </c>
      <c r="F340" s="363" t="n">
        <v>0</v>
      </c>
      <c r="G340" s="363" t="n">
        <v>0</v>
      </c>
      <c r="H340" s="374" t="n">
        <v>0</v>
      </c>
      <c r="I340" s="363" t="n">
        <v>0</v>
      </c>
      <c r="J340" s="363" t="n">
        <v>0</v>
      </c>
      <c r="K340" s="363" t="n">
        <v>0</v>
      </c>
      <c r="L340" s="374" t="n">
        <v>0</v>
      </c>
      <c r="M340" s="363" t="n">
        <v>0</v>
      </c>
      <c r="N340" s="363" t="n">
        <v>0</v>
      </c>
      <c r="O340" s="363" t="n">
        <v>0</v>
      </c>
      <c r="P340" s="374" t="n">
        <v>0</v>
      </c>
      <c r="Q340" s="363" t="n">
        <v>0</v>
      </c>
      <c r="R340" s="363" t="n">
        <v>0</v>
      </c>
      <c r="S340" s="363" t="n">
        <v>0</v>
      </c>
      <c r="T340" s="374" t="n">
        <v>0</v>
      </c>
      <c r="U340" s="363" t="n">
        <v>0</v>
      </c>
      <c r="V340" s="363" t="n">
        <v>0</v>
      </c>
      <c r="W340" s="363" t="n">
        <v>0</v>
      </c>
      <c r="X340" s="374" t="n">
        <v>0</v>
      </c>
      <c r="Y340" s="363" t="n">
        <v>0</v>
      </c>
      <c r="Z340" s="363" t="n">
        <v>0</v>
      </c>
      <c r="AA340" s="363" t="n">
        <v>0</v>
      </c>
      <c r="AB340" s="374" t="n">
        <v>5</v>
      </c>
      <c r="AC340" s="363" t="n">
        <v>-1</v>
      </c>
      <c r="AD340" s="363" t="n">
        <v>0</v>
      </c>
      <c r="AE340" s="363" t="n">
        <v>0</v>
      </c>
      <c r="AF340" s="363" t="n">
        <v>605</v>
      </c>
    </row>
    <row r="341" customFormat="false" ht="15" hidden="false" customHeight="false" outlineLevel="0" collapsed="false">
      <c r="B341" s="356" t="s">
        <v>2466</v>
      </c>
      <c r="C341" s="357" t="n">
        <v>467</v>
      </c>
      <c r="D341" s="358" t="n">
        <v>5</v>
      </c>
      <c r="E341" s="358" t="n">
        <v>-1</v>
      </c>
      <c r="F341" s="358" t="n">
        <v>0</v>
      </c>
      <c r="G341" s="372" t="n">
        <v>0</v>
      </c>
      <c r="H341" s="373" t="n">
        <v>0</v>
      </c>
      <c r="I341" s="358" t="n">
        <v>0</v>
      </c>
      <c r="J341" s="358" t="n">
        <v>0</v>
      </c>
      <c r="K341" s="372" t="n">
        <v>0</v>
      </c>
      <c r="L341" s="373" t="n">
        <v>0</v>
      </c>
      <c r="M341" s="358" t="n">
        <v>0</v>
      </c>
      <c r="N341" s="358" t="n">
        <v>0</v>
      </c>
      <c r="O341" s="372" t="n">
        <v>0</v>
      </c>
      <c r="P341" s="373" t="n">
        <v>0</v>
      </c>
      <c r="Q341" s="358" t="n">
        <v>0</v>
      </c>
      <c r="R341" s="358" t="n">
        <v>0</v>
      </c>
      <c r="S341" s="372" t="n">
        <v>0</v>
      </c>
      <c r="T341" s="373" t="n">
        <v>0</v>
      </c>
      <c r="U341" s="358" t="n">
        <v>0</v>
      </c>
      <c r="V341" s="358" t="n">
        <v>0</v>
      </c>
      <c r="W341" s="372" t="n">
        <v>0</v>
      </c>
      <c r="X341" s="373" t="n">
        <v>0</v>
      </c>
      <c r="Y341" s="358" t="n">
        <v>0</v>
      </c>
      <c r="Z341" s="358" t="n">
        <v>0</v>
      </c>
      <c r="AA341" s="358" t="n">
        <v>0</v>
      </c>
      <c r="AB341" s="373" t="n">
        <v>5</v>
      </c>
      <c r="AC341" s="358" t="n">
        <v>-1</v>
      </c>
      <c r="AD341" s="358" t="n">
        <v>0</v>
      </c>
      <c r="AE341" s="358" t="n">
        <v>0</v>
      </c>
      <c r="AF341" s="357" t="n">
        <v>471</v>
      </c>
    </row>
    <row r="342" customFormat="false" ht="15" hidden="false" customHeight="false" outlineLevel="0" collapsed="false">
      <c r="B342" s="313" t="s">
        <v>2466</v>
      </c>
      <c r="C342" s="357" t="n">
        <v>3</v>
      </c>
      <c r="D342" s="358" t="n">
        <v>0</v>
      </c>
      <c r="E342" s="358" t="n">
        <v>0</v>
      </c>
      <c r="F342" s="358" t="n">
        <v>0</v>
      </c>
      <c r="G342" s="372" t="n">
        <v>0</v>
      </c>
      <c r="H342" s="373" t="n">
        <v>0</v>
      </c>
      <c r="I342" s="358" t="n">
        <v>0</v>
      </c>
      <c r="J342" s="358" t="n">
        <v>0</v>
      </c>
      <c r="K342" s="372" t="n">
        <v>0</v>
      </c>
      <c r="L342" s="373" t="n">
        <v>0</v>
      </c>
      <c r="M342" s="358" t="n">
        <v>0</v>
      </c>
      <c r="N342" s="358" t="n">
        <v>0</v>
      </c>
      <c r="O342" s="372" t="n">
        <v>0</v>
      </c>
      <c r="P342" s="373" t="n">
        <v>0</v>
      </c>
      <c r="Q342" s="358" t="n">
        <v>0</v>
      </c>
      <c r="R342" s="358" t="n">
        <v>0</v>
      </c>
      <c r="S342" s="372" t="n">
        <v>0</v>
      </c>
      <c r="T342" s="373" t="n">
        <v>0</v>
      </c>
      <c r="U342" s="358" t="n">
        <v>0</v>
      </c>
      <c r="V342" s="358" t="n">
        <v>0</v>
      </c>
      <c r="W342" s="372" t="n">
        <v>0</v>
      </c>
      <c r="X342" s="373" t="n">
        <v>0</v>
      </c>
      <c r="Y342" s="358" t="n">
        <v>0</v>
      </c>
      <c r="Z342" s="358" t="n">
        <v>0</v>
      </c>
      <c r="AA342" s="358" t="n">
        <v>0</v>
      </c>
      <c r="AB342" s="373" t="n">
        <v>0</v>
      </c>
      <c r="AC342" s="358" t="n">
        <v>0</v>
      </c>
      <c r="AD342" s="358" t="n">
        <v>0</v>
      </c>
      <c r="AE342" s="358" t="n">
        <v>0</v>
      </c>
      <c r="AF342" s="357" t="n">
        <v>3</v>
      </c>
    </row>
    <row r="343" customFormat="false" ht="15" hidden="true" customHeight="false" outlineLevel="0" collapsed="false">
      <c r="B343" s="360" t="s">
        <v>2826</v>
      </c>
      <c r="C343" s="359" t="n">
        <v>1</v>
      </c>
      <c r="D343" s="358" t="n">
        <v>0</v>
      </c>
      <c r="E343" s="358" t="n">
        <v>0</v>
      </c>
      <c r="F343" s="358" t="n">
        <v>0</v>
      </c>
      <c r="G343" s="372" t="n">
        <v>0</v>
      </c>
      <c r="H343" s="373" t="n">
        <v>0</v>
      </c>
      <c r="I343" s="358" t="n">
        <v>0</v>
      </c>
      <c r="J343" s="358" t="n">
        <v>0</v>
      </c>
      <c r="K343" s="372" t="n">
        <v>0</v>
      </c>
      <c r="L343" s="373" t="n">
        <v>0</v>
      </c>
      <c r="M343" s="358" t="n">
        <v>0</v>
      </c>
      <c r="N343" s="358" t="n">
        <v>0</v>
      </c>
      <c r="O343" s="372" t="n">
        <v>0</v>
      </c>
      <c r="P343" s="373" t="n">
        <v>0</v>
      </c>
      <c r="Q343" s="358" t="n">
        <v>0</v>
      </c>
      <c r="R343" s="358" t="n">
        <v>0</v>
      </c>
      <c r="S343" s="372" t="n">
        <v>0</v>
      </c>
      <c r="T343" s="373" t="n">
        <v>0</v>
      </c>
      <c r="U343" s="358" t="n">
        <v>0</v>
      </c>
      <c r="V343" s="358" t="n">
        <v>0</v>
      </c>
      <c r="W343" s="372" t="n">
        <v>0</v>
      </c>
      <c r="X343" s="373" t="n">
        <v>0</v>
      </c>
      <c r="Y343" s="358" t="n">
        <v>0</v>
      </c>
      <c r="Z343" s="358" t="n">
        <v>0</v>
      </c>
      <c r="AA343" s="358" t="n">
        <v>0</v>
      </c>
      <c r="AB343" s="373" t="n">
        <v>0</v>
      </c>
      <c r="AC343" s="358" t="n">
        <v>0</v>
      </c>
      <c r="AD343" s="358" t="n">
        <v>0</v>
      </c>
      <c r="AE343" s="358" t="n">
        <v>0</v>
      </c>
      <c r="AF343" s="359" t="n">
        <v>1</v>
      </c>
    </row>
    <row r="344" customFormat="false" ht="15" hidden="true" customHeight="false" outlineLevel="0" collapsed="false">
      <c r="B344" s="360" t="s">
        <v>2827</v>
      </c>
      <c r="C344" s="359" t="n">
        <v>1</v>
      </c>
      <c r="D344" s="358" t="n">
        <v>0</v>
      </c>
      <c r="E344" s="358" t="n">
        <v>0</v>
      </c>
      <c r="F344" s="358" t="n">
        <v>0</v>
      </c>
      <c r="G344" s="372" t="n">
        <v>0</v>
      </c>
      <c r="H344" s="373" t="n">
        <v>0</v>
      </c>
      <c r="I344" s="358" t="n">
        <v>0</v>
      </c>
      <c r="J344" s="358" t="n">
        <v>0</v>
      </c>
      <c r="K344" s="372" t="n">
        <v>0</v>
      </c>
      <c r="L344" s="373" t="n">
        <v>0</v>
      </c>
      <c r="M344" s="358" t="n">
        <v>0</v>
      </c>
      <c r="N344" s="358" t="n">
        <v>0</v>
      </c>
      <c r="O344" s="372" t="n">
        <v>0</v>
      </c>
      <c r="P344" s="373" t="n">
        <v>0</v>
      </c>
      <c r="Q344" s="358" t="n">
        <v>0</v>
      </c>
      <c r="R344" s="358" t="n">
        <v>0</v>
      </c>
      <c r="S344" s="372" t="n">
        <v>0</v>
      </c>
      <c r="T344" s="373" t="n">
        <v>0</v>
      </c>
      <c r="U344" s="358" t="n">
        <v>0</v>
      </c>
      <c r="V344" s="358" t="n">
        <v>0</v>
      </c>
      <c r="W344" s="372" t="n">
        <v>0</v>
      </c>
      <c r="X344" s="373" t="n">
        <v>0</v>
      </c>
      <c r="Y344" s="358" t="n">
        <v>0</v>
      </c>
      <c r="Z344" s="358" t="n">
        <v>0</v>
      </c>
      <c r="AA344" s="358" t="n">
        <v>0</v>
      </c>
      <c r="AB344" s="373" t="n">
        <v>0</v>
      </c>
      <c r="AC344" s="358" t="n">
        <v>0</v>
      </c>
      <c r="AD344" s="358" t="n">
        <v>0</v>
      </c>
      <c r="AE344" s="358" t="n">
        <v>0</v>
      </c>
      <c r="AF344" s="359" t="n">
        <v>1</v>
      </c>
    </row>
    <row r="345" customFormat="false" ht="15" hidden="true" customHeight="false" outlineLevel="0" collapsed="false">
      <c r="B345" s="360" t="s">
        <v>2828</v>
      </c>
      <c r="C345" s="359" t="n">
        <v>1</v>
      </c>
      <c r="D345" s="358" t="n">
        <v>0</v>
      </c>
      <c r="E345" s="358" t="n">
        <v>0</v>
      </c>
      <c r="F345" s="358" t="n">
        <v>0</v>
      </c>
      <c r="G345" s="372" t="n">
        <v>0</v>
      </c>
      <c r="H345" s="373" t="n">
        <v>0</v>
      </c>
      <c r="I345" s="358" t="n">
        <v>0</v>
      </c>
      <c r="J345" s="358" t="n">
        <v>0</v>
      </c>
      <c r="K345" s="372" t="n">
        <v>0</v>
      </c>
      <c r="L345" s="373" t="n">
        <v>0</v>
      </c>
      <c r="M345" s="358" t="n">
        <v>0</v>
      </c>
      <c r="N345" s="358" t="n">
        <v>0</v>
      </c>
      <c r="O345" s="372" t="n">
        <v>0</v>
      </c>
      <c r="P345" s="373" t="n">
        <v>0</v>
      </c>
      <c r="Q345" s="358" t="n">
        <v>0</v>
      </c>
      <c r="R345" s="358" t="n">
        <v>0</v>
      </c>
      <c r="S345" s="372" t="n">
        <v>0</v>
      </c>
      <c r="T345" s="373" t="n">
        <v>0</v>
      </c>
      <c r="U345" s="358" t="n">
        <v>0</v>
      </c>
      <c r="V345" s="358" t="n">
        <v>0</v>
      </c>
      <c r="W345" s="372" t="n">
        <v>0</v>
      </c>
      <c r="X345" s="373" t="n">
        <v>0</v>
      </c>
      <c r="Y345" s="358" t="n">
        <v>0</v>
      </c>
      <c r="Z345" s="358" t="n">
        <v>0</v>
      </c>
      <c r="AA345" s="358" t="n">
        <v>0</v>
      </c>
      <c r="AB345" s="373" t="n">
        <v>0</v>
      </c>
      <c r="AC345" s="358" t="n">
        <v>0</v>
      </c>
      <c r="AD345" s="358" t="n">
        <v>0</v>
      </c>
      <c r="AE345" s="358" t="n">
        <v>0</v>
      </c>
      <c r="AF345" s="359" t="n">
        <v>1</v>
      </c>
    </row>
    <row r="346" customFormat="false" ht="15" hidden="false" customHeight="false" outlineLevel="0" collapsed="false">
      <c r="B346" s="313" t="s">
        <v>2467</v>
      </c>
      <c r="C346" s="357" t="n">
        <v>123</v>
      </c>
      <c r="D346" s="358" t="n">
        <v>0</v>
      </c>
      <c r="E346" s="358" t="n">
        <v>0</v>
      </c>
      <c r="F346" s="358" t="n">
        <v>0</v>
      </c>
      <c r="G346" s="372" t="n">
        <v>0</v>
      </c>
      <c r="H346" s="373" t="n">
        <v>0</v>
      </c>
      <c r="I346" s="358" t="n">
        <v>0</v>
      </c>
      <c r="J346" s="358" t="n">
        <v>0</v>
      </c>
      <c r="K346" s="372" t="n">
        <v>0</v>
      </c>
      <c r="L346" s="373" t="n">
        <v>0</v>
      </c>
      <c r="M346" s="358" t="n">
        <v>0</v>
      </c>
      <c r="N346" s="358" t="n">
        <v>0</v>
      </c>
      <c r="O346" s="372" t="n">
        <v>0</v>
      </c>
      <c r="P346" s="373" t="n">
        <v>0</v>
      </c>
      <c r="Q346" s="358" t="n">
        <v>0</v>
      </c>
      <c r="R346" s="358" t="n">
        <v>0</v>
      </c>
      <c r="S346" s="372" t="n">
        <v>0</v>
      </c>
      <c r="T346" s="373" t="n">
        <v>0</v>
      </c>
      <c r="U346" s="358" t="n">
        <v>0</v>
      </c>
      <c r="V346" s="358" t="n">
        <v>0</v>
      </c>
      <c r="W346" s="372" t="n">
        <v>0</v>
      </c>
      <c r="X346" s="373" t="n">
        <v>0</v>
      </c>
      <c r="Y346" s="358" t="n">
        <v>0</v>
      </c>
      <c r="Z346" s="358" t="n">
        <v>0</v>
      </c>
      <c r="AA346" s="358" t="n">
        <v>0</v>
      </c>
      <c r="AB346" s="373" t="n">
        <v>0</v>
      </c>
      <c r="AC346" s="358" t="n">
        <v>0</v>
      </c>
      <c r="AD346" s="358" t="n">
        <v>0</v>
      </c>
      <c r="AE346" s="358" t="n">
        <v>0</v>
      </c>
      <c r="AF346" s="357" t="n">
        <v>123</v>
      </c>
    </row>
    <row r="347" customFormat="false" ht="15" hidden="false" customHeight="false" outlineLevel="0" collapsed="false">
      <c r="B347" s="364" t="s">
        <v>2467</v>
      </c>
      <c r="C347" s="365" t="n">
        <v>64</v>
      </c>
      <c r="D347" s="358" t="n">
        <v>0</v>
      </c>
      <c r="E347" s="358" t="n">
        <v>0</v>
      </c>
      <c r="F347" s="358" t="n">
        <v>0</v>
      </c>
      <c r="G347" s="372" t="n">
        <v>0</v>
      </c>
      <c r="H347" s="373" t="n">
        <v>0</v>
      </c>
      <c r="I347" s="358" t="n">
        <v>0</v>
      </c>
      <c r="J347" s="358" t="n">
        <v>0</v>
      </c>
      <c r="K347" s="372" t="n">
        <v>0</v>
      </c>
      <c r="L347" s="373" t="n">
        <v>0</v>
      </c>
      <c r="M347" s="358" t="n">
        <v>0</v>
      </c>
      <c r="N347" s="358" t="n">
        <v>0</v>
      </c>
      <c r="O347" s="372" t="n">
        <v>0</v>
      </c>
      <c r="P347" s="373" t="n">
        <v>0</v>
      </c>
      <c r="Q347" s="358" t="n">
        <v>0</v>
      </c>
      <c r="R347" s="358" t="n">
        <v>0</v>
      </c>
      <c r="S347" s="372" t="n">
        <v>0</v>
      </c>
      <c r="T347" s="373" t="n">
        <v>0</v>
      </c>
      <c r="U347" s="358" t="n">
        <v>0</v>
      </c>
      <c r="V347" s="358" t="n">
        <v>0</v>
      </c>
      <c r="W347" s="372" t="n">
        <v>0</v>
      </c>
      <c r="X347" s="373" t="n">
        <v>0</v>
      </c>
      <c r="Y347" s="358" t="n">
        <v>0</v>
      </c>
      <c r="Z347" s="358" t="n">
        <v>0</v>
      </c>
      <c r="AA347" s="358" t="n">
        <v>0</v>
      </c>
      <c r="AB347" s="373" t="n">
        <v>0</v>
      </c>
      <c r="AC347" s="358" t="n">
        <v>0</v>
      </c>
      <c r="AD347" s="358" t="n">
        <v>0</v>
      </c>
      <c r="AE347" s="358" t="n">
        <v>0</v>
      </c>
      <c r="AF347" s="365" t="n">
        <v>64</v>
      </c>
    </row>
    <row r="348" customFormat="false" ht="15" hidden="true" customHeight="false" outlineLevel="0" collapsed="false">
      <c r="B348" s="360" t="s">
        <v>2829</v>
      </c>
      <c r="C348" s="359" t="n">
        <v>1</v>
      </c>
      <c r="D348" s="358" t="n">
        <v>0</v>
      </c>
      <c r="E348" s="358" t="n">
        <v>0</v>
      </c>
      <c r="F348" s="358" t="n">
        <v>0</v>
      </c>
      <c r="G348" s="372" t="n">
        <v>0</v>
      </c>
      <c r="H348" s="373" t="n">
        <v>0</v>
      </c>
      <c r="I348" s="358" t="n">
        <v>0</v>
      </c>
      <c r="J348" s="358" t="n">
        <v>0</v>
      </c>
      <c r="K348" s="372" t="n">
        <v>0</v>
      </c>
      <c r="L348" s="373" t="n">
        <v>0</v>
      </c>
      <c r="M348" s="358" t="n">
        <v>0</v>
      </c>
      <c r="N348" s="358" t="n">
        <v>0</v>
      </c>
      <c r="O348" s="372" t="n">
        <v>0</v>
      </c>
      <c r="P348" s="373" t="n">
        <v>0</v>
      </c>
      <c r="Q348" s="358" t="n">
        <v>0</v>
      </c>
      <c r="R348" s="358" t="n">
        <v>0</v>
      </c>
      <c r="S348" s="372" t="n">
        <v>0</v>
      </c>
      <c r="T348" s="373" t="n">
        <v>0</v>
      </c>
      <c r="U348" s="358" t="n">
        <v>0</v>
      </c>
      <c r="V348" s="358" t="n">
        <v>0</v>
      </c>
      <c r="W348" s="372" t="n">
        <v>0</v>
      </c>
      <c r="X348" s="373" t="n">
        <v>0</v>
      </c>
      <c r="Y348" s="358" t="n">
        <v>0</v>
      </c>
      <c r="Z348" s="358" t="n">
        <v>0</v>
      </c>
      <c r="AA348" s="358" t="n">
        <v>0</v>
      </c>
      <c r="AB348" s="373" t="n">
        <v>0</v>
      </c>
      <c r="AC348" s="358" t="n">
        <v>0</v>
      </c>
      <c r="AD348" s="358" t="n">
        <v>0</v>
      </c>
      <c r="AE348" s="358" t="n">
        <v>0</v>
      </c>
      <c r="AF348" s="359" t="n">
        <v>1</v>
      </c>
    </row>
    <row r="349" customFormat="false" ht="15" hidden="true" customHeight="false" outlineLevel="0" collapsed="false">
      <c r="B349" s="360" t="s">
        <v>2830</v>
      </c>
      <c r="C349" s="359" t="n">
        <v>1</v>
      </c>
      <c r="D349" s="358" t="n">
        <v>0</v>
      </c>
      <c r="E349" s="358" t="n">
        <v>0</v>
      </c>
      <c r="F349" s="358" t="n">
        <v>0</v>
      </c>
      <c r="G349" s="372" t="n">
        <v>0</v>
      </c>
      <c r="H349" s="373" t="n">
        <v>0</v>
      </c>
      <c r="I349" s="358" t="n">
        <v>0</v>
      </c>
      <c r="J349" s="358" t="n">
        <v>0</v>
      </c>
      <c r="K349" s="372" t="n">
        <v>0</v>
      </c>
      <c r="L349" s="373" t="n">
        <v>0</v>
      </c>
      <c r="M349" s="358" t="n">
        <v>0</v>
      </c>
      <c r="N349" s="358" t="n">
        <v>0</v>
      </c>
      <c r="O349" s="372" t="n">
        <v>0</v>
      </c>
      <c r="P349" s="373" t="n">
        <v>0</v>
      </c>
      <c r="Q349" s="358" t="n">
        <v>0</v>
      </c>
      <c r="R349" s="358" t="n">
        <v>0</v>
      </c>
      <c r="S349" s="372" t="n">
        <v>0</v>
      </c>
      <c r="T349" s="373" t="n">
        <v>0</v>
      </c>
      <c r="U349" s="358" t="n">
        <v>0</v>
      </c>
      <c r="V349" s="358" t="n">
        <v>0</v>
      </c>
      <c r="W349" s="372" t="n">
        <v>0</v>
      </c>
      <c r="X349" s="373" t="n">
        <v>0</v>
      </c>
      <c r="Y349" s="358" t="n">
        <v>0</v>
      </c>
      <c r="Z349" s="358" t="n">
        <v>0</v>
      </c>
      <c r="AA349" s="358" t="n">
        <v>0</v>
      </c>
      <c r="AB349" s="373" t="n">
        <v>0</v>
      </c>
      <c r="AC349" s="358" t="n">
        <v>0</v>
      </c>
      <c r="AD349" s="358" t="n">
        <v>0</v>
      </c>
      <c r="AE349" s="358" t="n">
        <v>0</v>
      </c>
      <c r="AF349" s="359" t="n">
        <v>1</v>
      </c>
    </row>
    <row r="350" customFormat="false" ht="15" hidden="true" customHeight="false" outlineLevel="0" collapsed="false">
      <c r="B350" s="360" t="s">
        <v>2831</v>
      </c>
      <c r="C350" s="359" t="n">
        <v>1</v>
      </c>
      <c r="D350" s="358" t="n">
        <v>0</v>
      </c>
      <c r="E350" s="358" t="n">
        <v>0</v>
      </c>
      <c r="F350" s="358" t="n">
        <v>0</v>
      </c>
      <c r="G350" s="372" t="n">
        <v>0</v>
      </c>
      <c r="H350" s="373" t="n">
        <v>0</v>
      </c>
      <c r="I350" s="358" t="n">
        <v>0</v>
      </c>
      <c r="J350" s="358" t="n">
        <v>0</v>
      </c>
      <c r="K350" s="372" t="n">
        <v>0</v>
      </c>
      <c r="L350" s="373" t="n">
        <v>0</v>
      </c>
      <c r="M350" s="358" t="n">
        <v>0</v>
      </c>
      <c r="N350" s="358" t="n">
        <v>0</v>
      </c>
      <c r="O350" s="372" t="n">
        <v>0</v>
      </c>
      <c r="P350" s="373" t="n">
        <v>0</v>
      </c>
      <c r="Q350" s="358" t="n">
        <v>0</v>
      </c>
      <c r="R350" s="358" t="n">
        <v>0</v>
      </c>
      <c r="S350" s="372" t="n">
        <v>0</v>
      </c>
      <c r="T350" s="373" t="n">
        <v>0</v>
      </c>
      <c r="U350" s="358" t="n">
        <v>0</v>
      </c>
      <c r="V350" s="358" t="n">
        <v>0</v>
      </c>
      <c r="W350" s="372" t="n">
        <v>0</v>
      </c>
      <c r="X350" s="373" t="n">
        <v>0</v>
      </c>
      <c r="Y350" s="358" t="n">
        <v>0</v>
      </c>
      <c r="Z350" s="358" t="n">
        <v>0</v>
      </c>
      <c r="AA350" s="358" t="n">
        <v>0</v>
      </c>
      <c r="AB350" s="373" t="n">
        <v>0</v>
      </c>
      <c r="AC350" s="358" t="n">
        <v>0</v>
      </c>
      <c r="AD350" s="358" t="n">
        <v>0</v>
      </c>
      <c r="AE350" s="358" t="n">
        <v>0</v>
      </c>
      <c r="AF350" s="359" t="n">
        <v>1</v>
      </c>
    </row>
    <row r="351" customFormat="false" ht="15" hidden="true" customHeight="false" outlineLevel="0" collapsed="false">
      <c r="B351" s="360" t="s">
        <v>2832</v>
      </c>
      <c r="C351" s="359" t="n">
        <v>1</v>
      </c>
      <c r="D351" s="358" t="n">
        <v>0</v>
      </c>
      <c r="E351" s="358" t="n">
        <v>0</v>
      </c>
      <c r="F351" s="358" t="n">
        <v>0</v>
      </c>
      <c r="G351" s="372" t="n">
        <v>0</v>
      </c>
      <c r="H351" s="373" t="n">
        <v>0</v>
      </c>
      <c r="I351" s="358" t="n">
        <v>0</v>
      </c>
      <c r="J351" s="358" t="n">
        <v>0</v>
      </c>
      <c r="K351" s="372" t="n">
        <v>0</v>
      </c>
      <c r="L351" s="373" t="n">
        <v>0</v>
      </c>
      <c r="M351" s="358" t="n">
        <v>0</v>
      </c>
      <c r="N351" s="358" t="n">
        <v>0</v>
      </c>
      <c r="O351" s="372" t="n">
        <v>0</v>
      </c>
      <c r="P351" s="373" t="n">
        <v>0</v>
      </c>
      <c r="Q351" s="358" t="n">
        <v>0</v>
      </c>
      <c r="R351" s="358" t="n">
        <v>0</v>
      </c>
      <c r="S351" s="372" t="n">
        <v>0</v>
      </c>
      <c r="T351" s="373" t="n">
        <v>0</v>
      </c>
      <c r="U351" s="358" t="n">
        <v>0</v>
      </c>
      <c r="V351" s="358" t="n">
        <v>0</v>
      </c>
      <c r="W351" s="372" t="n">
        <v>0</v>
      </c>
      <c r="X351" s="373" t="n">
        <v>0</v>
      </c>
      <c r="Y351" s="358" t="n">
        <v>0</v>
      </c>
      <c r="Z351" s="358" t="n">
        <v>0</v>
      </c>
      <c r="AA351" s="358" t="n">
        <v>0</v>
      </c>
      <c r="AB351" s="373" t="n">
        <v>0</v>
      </c>
      <c r="AC351" s="358" t="n">
        <v>0</v>
      </c>
      <c r="AD351" s="358" t="n">
        <v>0</v>
      </c>
      <c r="AE351" s="358" t="n">
        <v>0</v>
      </c>
      <c r="AF351" s="359" t="n">
        <v>1</v>
      </c>
    </row>
    <row r="352" customFormat="false" ht="15" hidden="true" customHeight="false" outlineLevel="0" collapsed="false">
      <c r="B352" s="360" t="s">
        <v>2833</v>
      </c>
      <c r="C352" s="359" t="n">
        <v>1</v>
      </c>
      <c r="D352" s="358" t="n">
        <v>0</v>
      </c>
      <c r="E352" s="358" t="n">
        <v>0</v>
      </c>
      <c r="F352" s="358" t="n">
        <v>0</v>
      </c>
      <c r="G352" s="372" t="n">
        <v>0</v>
      </c>
      <c r="H352" s="373" t="n">
        <v>0</v>
      </c>
      <c r="I352" s="358" t="n">
        <v>0</v>
      </c>
      <c r="J352" s="358" t="n">
        <v>0</v>
      </c>
      <c r="K352" s="372" t="n">
        <v>0</v>
      </c>
      <c r="L352" s="373" t="n">
        <v>0</v>
      </c>
      <c r="M352" s="358" t="n">
        <v>0</v>
      </c>
      <c r="N352" s="358" t="n">
        <v>0</v>
      </c>
      <c r="O352" s="372" t="n">
        <v>0</v>
      </c>
      <c r="P352" s="373" t="n">
        <v>0</v>
      </c>
      <c r="Q352" s="358" t="n">
        <v>0</v>
      </c>
      <c r="R352" s="358" t="n">
        <v>0</v>
      </c>
      <c r="S352" s="372" t="n">
        <v>0</v>
      </c>
      <c r="T352" s="373" t="n">
        <v>0</v>
      </c>
      <c r="U352" s="358" t="n">
        <v>0</v>
      </c>
      <c r="V352" s="358" t="n">
        <v>0</v>
      </c>
      <c r="W352" s="372" t="n">
        <v>0</v>
      </c>
      <c r="X352" s="373" t="n">
        <v>0</v>
      </c>
      <c r="Y352" s="358" t="n">
        <v>0</v>
      </c>
      <c r="Z352" s="358" t="n">
        <v>0</v>
      </c>
      <c r="AA352" s="358" t="n">
        <v>0</v>
      </c>
      <c r="AB352" s="373" t="n">
        <v>0</v>
      </c>
      <c r="AC352" s="358" t="n">
        <v>0</v>
      </c>
      <c r="AD352" s="358" t="n">
        <v>0</v>
      </c>
      <c r="AE352" s="358" t="n">
        <v>0</v>
      </c>
      <c r="AF352" s="359" t="n">
        <v>1</v>
      </c>
    </row>
    <row r="353" customFormat="false" ht="15" hidden="true" customHeight="false" outlineLevel="0" collapsed="false">
      <c r="B353" s="360" t="s">
        <v>2834</v>
      </c>
      <c r="C353" s="359" t="n">
        <v>1</v>
      </c>
      <c r="D353" s="358" t="n">
        <v>0</v>
      </c>
      <c r="E353" s="358" t="n">
        <v>0</v>
      </c>
      <c r="F353" s="358" t="n">
        <v>0</v>
      </c>
      <c r="G353" s="372" t="n">
        <v>0</v>
      </c>
      <c r="H353" s="373" t="n">
        <v>0</v>
      </c>
      <c r="I353" s="358" t="n">
        <v>0</v>
      </c>
      <c r="J353" s="358" t="n">
        <v>0</v>
      </c>
      <c r="K353" s="372" t="n">
        <v>0</v>
      </c>
      <c r="L353" s="373" t="n">
        <v>0</v>
      </c>
      <c r="M353" s="358" t="n">
        <v>0</v>
      </c>
      <c r="N353" s="358" t="n">
        <v>0</v>
      </c>
      <c r="O353" s="372" t="n">
        <v>0</v>
      </c>
      <c r="P353" s="373" t="n">
        <v>0</v>
      </c>
      <c r="Q353" s="358" t="n">
        <v>0</v>
      </c>
      <c r="R353" s="358" t="n">
        <v>0</v>
      </c>
      <c r="S353" s="372" t="n">
        <v>0</v>
      </c>
      <c r="T353" s="373" t="n">
        <v>0</v>
      </c>
      <c r="U353" s="358" t="n">
        <v>0</v>
      </c>
      <c r="V353" s="358" t="n">
        <v>0</v>
      </c>
      <c r="W353" s="372" t="n">
        <v>0</v>
      </c>
      <c r="X353" s="373" t="n">
        <v>0</v>
      </c>
      <c r="Y353" s="358" t="n">
        <v>0</v>
      </c>
      <c r="Z353" s="358" t="n">
        <v>0</v>
      </c>
      <c r="AA353" s="358" t="n">
        <v>0</v>
      </c>
      <c r="AB353" s="373" t="n">
        <v>0</v>
      </c>
      <c r="AC353" s="358" t="n">
        <v>0</v>
      </c>
      <c r="AD353" s="358" t="n">
        <v>0</v>
      </c>
      <c r="AE353" s="358" t="n">
        <v>0</v>
      </c>
      <c r="AF353" s="359" t="n">
        <v>1</v>
      </c>
    </row>
    <row r="354" customFormat="false" ht="15" hidden="true" customHeight="false" outlineLevel="0" collapsed="false">
      <c r="B354" s="360" t="s">
        <v>2835</v>
      </c>
      <c r="C354" s="359" t="n">
        <v>1</v>
      </c>
      <c r="D354" s="358" t="n">
        <v>0</v>
      </c>
      <c r="E354" s="358" t="n">
        <v>0</v>
      </c>
      <c r="F354" s="358" t="n">
        <v>0</v>
      </c>
      <c r="G354" s="372" t="n">
        <v>0</v>
      </c>
      <c r="H354" s="373" t="n">
        <v>0</v>
      </c>
      <c r="I354" s="358" t="n">
        <v>0</v>
      </c>
      <c r="J354" s="358" t="n">
        <v>0</v>
      </c>
      <c r="K354" s="372" t="n">
        <v>0</v>
      </c>
      <c r="L354" s="373" t="n">
        <v>0</v>
      </c>
      <c r="M354" s="358" t="n">
        <v>0</v>
      </c>
      <c r="N354" s="358" t="n">
        <v>0</v>
      </c>
      <c r="O354" s="372" t="n">
        <v>0</v>
      </c>
      <c r="P354" s="373" t="n">
        <v>0</v>
      </c>
      <c r="Q354" s="358" t="n">
        <v>0</v>
      </c>
      <c r="R354" s="358" t="n">
        <v>0</v>
      </c>
      <c r="S354" s="372" t="n">
        <v>0</v>
      </c>
      <c r="T354" s="373" t="n">
        <v>0</v>
      </c>
      <c r="U354" s="358" t="n">
        <v>0</v>
      </c>
      <c r="V354" s="358" t="n">
        <v>0</v>
      </c>
      <c r="W354" s="372" t="n">
        <v>0</v>
      </c>
      <c r="X354" s="373" t="n">
        <v>0</v>
      </c>
      <c r="Y354" s="358" t="n">
        <v>0</v>
      </c>
      <c r="Z354" s="358" t="n">
        <v>0</v>
      </c>
      <c r="AA354" s="358" t="n">
        <v>0</v>
      </c>
      <c r="AB354" s="373" t="n">
        <v>0</v>
      </c>
      <c r="AC354" s="358" t="n">
        <v>0</v>
      </c>
      <c r="AD354" s="358" t="n">
        <v>0</v>
      </c>
      <c r="AE354" s="358" t="n">
        <v>0</v>
      </c>
      <c r="AF354" s="359" t="n">
        <v>1</v>
      </c>
    </row>
    <row r="355" customFormat="false" ht="15" hidden="true" customHeight="false" outlineLevel="0" collapsed="false">
      <c r="B355" s="360" t="s">
        <v>2836</v>
      </c>
      <c r="C355" s="359" t="n">
        <v>1</v>
      </c>
      <c r="D355" s="358" t="n">
        <v>0</v>
      </c>
      <c r="E355" s="358" t="n">
        <v>0</v>
      </c>
      <c r="F355" s="358" t="n">
        <v>0</v>
      </c>
      <c r="G355" s="372" t="n">
        <v>0</v>
      </c>
      <c r="H355" s="373" t="n">
        <v>0</v>
      </c>
      <c r="I355" s="358" t="n">
        <v>0</v>
      </c>
      <c r="J355" s="358" t="n">
        <v>0</v>
      </c>
      <c r="K355" s="372" t="n">
        <v>0</v>
      </c>
      <c r="L355" s="373" t="n">
        <v>0</v>
      </c>
      <c r="M355" s="358" t="n">
        <v>0</v>
      </c>
      <c r="N355" s="358" t="n">
        <v>0</v>
      </c>
      <c r="O355" s="372" t="n">
        <v>0</v>
      </c>
      <c r="P355" s="373" t="n">
        <v>0</v>
      </c>
      <c r="Q355" s="358" t="n">
        <v>0</v>
      </c>
      <c r="R355" s="358" t="n">
        <v>0</v>
      </c>
      <c r="S355" s="372" t="n">
        <v>0</v>
      </c>
      <c r="T355" s="373" t="n">
        <v>0</v>
      </c>
      <c r="U355" s="358" t="n">
        <v>0</v>
      </c>
      <c r="V355" s="358" t="n">
        <v>0</v>
      </c>
      <c r="W355" s="372" t="n">
        <v>0</v>
      </c>
      <c r="X355" s="373" t="n">
        <v>0</v>
      </c>
      <c r="Y355" s="358" t="n">
        <v>0</v>
      </c>
      <c r="Z355" s="358" t="n">
        <v>0</v>
      </c>
      <c r="AA355" s="358" t="n">
        <v>0</v>
      </c>
      <c r="AB355" s="373" t="n">
        <v>0</v>
      </c>
      <c r="AC355" s="358" t="n">
        <v>0</v>
      </c>
      <c r="AD355" s="358" t="n">
        <v>0</v>
      </c>
      <c r="AE355" s="358" t="n">
        <v>0</v>
      </c>
      <c r="AF355" s="359" t="n">
        <v>1</v>
      </c>
    </row>
    <row r="356" customFormat="false" ht="15" hidden="true" customHeight="false" outlineLevel="0" collapsed="false">
      <c r="B356" s="360" t="s">
        <v>2837</v>
      </c>
      <c r="C356" s="359" t="n">
        <v>1</v>
      </c>
      <c r="D356" s="358" t="n">
        <v>0</v>
      </c>
      <c r="E356" s="358" t="n">
        <v>0</v>
      </c>
      <c r="F356" s="358" t="n">
        <v>0</v>
      </c>
      <c r="G356" s="372" t="n">
        <v>0</v>
      </c>
      <c r="H356" s="373" t="n">
        <v>0</v>
      </c>
      <c r="I356" s="358" t="n">
        <v>0</v>
      </c>
      <c r="J356" s="358" t="n">
        <v>0</v>
      </c>
      <c r="K356" s="372" t="n">
        <v>0</v>
      </c>
      <c r="L356" s="373" t="n">
        <v>0</v>
      </c>
      <c r="M356" s="358" t="n">
        <v>0</v>
      </c>
      <c r="N356" s="358" t="n">
        <v>0</v>
      </c>
      <c r="O356" s="372" t="n">
        <v>0</v>
      </c>
      <c r="P356" s="373" t="n">
        <v>0</v>
      </c>
      <c r="Q356" s="358" t="n">
        <v>0</v>
      </c>
      <c r="R356" s="358" t="n">
        <v>0</v>
      </c>
      <c r="S356" s="372" t="n">
        <v>0</v>
      </c>
      <c r="T356" s="373" t="n">
        <v>0</v>
      </c>
      <c r="U356" s="358" t="n">
        <v>0</v>
      </c>
      <c r="V356" s="358" t="n">
        <v>0</v>
      </c>
      <c r="W356" s="372" t="n">
        <v>0</v>
      </c>
      <c r="X356" s="373" t="n">
        <v>0</v>
      </c>
      <c r="Y356" s="358" t="n">
        <v>0</v>
      </c>
      <c r="Z356" s="358" t="n">
        <v>0</v>
      </c>
      <c r="AA356" s="358" t="n">
        <v>0</v>
      </c>
      <c r="AB356" s="373" t="n">
        <v>0</v>
      </c>
      <c r="AC356" s="358" t="n">
        <v>0</v>
      </c>
      <c r="AD356" s="358" t="n">
        <v>0</v>
      </c>
      <c r="AE356" s="358" t="n">
        <v>0</v>
      </c>
      <c r="AF356" s="359" t="n">
        <v>1</v>
      </c>
    </row>
    <row r="357" customFormat="false" ht="15" hidden="true" customHeight="false" outlineLevel="0" collapsed="false">
      <c r="B357" s="360" t="s">
        <v>2838</v>
      </c>
      <c r="C357" s="359" t="n">
        <v>1</v>
      </c>
      <c r="D357" s="358" t="n">
        <v>0</v>
      </c>
      <c r="E357" s="358" t="n">
        <v>0</v>
      </c>
      <c r="F357" s="358" t="n">
        <v>0</v>
      </c>
      <c r="G357" s="372" t="n">
        <v>0</v>
      </c>
      <c r="H357" s="373" t="n">
        <v>0</v>
      </c>
      <c r="I357" s="358" t="n">
        <v>0</v>
      </c>
      <c r="J357" s="358" t="n">
        <v>0</v>
      </c>
      <c r="K357" s="372" t="n">
        <v>0</v>
      </c>
      <c r="L357" s="373" t="n">
        <v>0</v>
      </c>
      <c r="M357" s="358" t="n">
        <v>0</v>
      </c>
      <c r="N357" s="358" t="n">
        <v>0</v>
      </c>
      <c r="O357" s="372" t="n">
        <v>0</v>
      </c>
      <c r="P357" s="373" t="n">
        <v>0</v>
      </c>
      <c r="Q357" s="358" t="n">
        <v>0</v>
      </c>
      <c r="R357" s="358" t="n">
        <v>0</v>
      </c>
      <c r="S357" s="372" t="n">
        <v>0</v>
      </c>
      <c r="T357" s="373" t="n">
        <v>0</v>
      </c>
      <c r="U357" s="358" t="n">
        <v>0</v>
      </c>
      <c r="V357" s="358" t="n">
        <v>0</v>
      </c>
      <c r="W357" s="372" t="n">
        <v>0</v>
      </c>
      <c r="X357" s="373" t="n">
        <v>0</v>
      </c>
      <c r="Y357" s="358" t="n">
        <v>0</v>
      </c>
      <c r="Z357" s="358" t="n">
        <v>0</v>
      </c>
      <c r="AA357" s="358" t="n">
        <v>0</v>
      </c>
      <c r="AB357" s="373" t="n">
        <v>0</v>
      </c>
      <c r="AC357" s="358" t="n">
        <v>0</v>
      </c>
      <c r="AD357" s="358" t="n">
        <v>0</v>
      </c>
      <c r="AE357" s="358" t="n">
        <v>0</v>
      </c>
      <c r="AF357" s="359" t="n">
        <v>1</v>
      </c>
    </row>
    <row r="358" customFormat="false" ht="15" hidden="true" customHeight="false" outlineLevel="0" collapsed="false">
      <c r="B358" s="360" t="s">
        <v>2839</v>
      </c>
      <c r="C358" s="359" t="n">
        <v>1</v>
      </c>
      <c r="D358" s="358" t="n">
        <v>0</v>
      </c>
      <c r="E358" s="358" t="n">
        <v>0</v>
      </c>
      <c r="F358" s="358" t="n">
        <v>0</v>
      </c>
      <c r="G358" s="372" t="n">
        <v>0</v>
      </c>
      <c r="H358" s="373" t="n">
        <v>0</v>
      </c>
      <c r="I358" s="358" t="n">
        <v>0</v>
      </c>
      <c r="J358" s="358" t="n">
        <v>0</v>
      </c>
      <c r="K358" s="372" t="n">
        <v>0</v>
      </c>
      <c r="L358" s="373" t="n">
        <v>0</v>
      </c>
      <c r="M358" s="358" t="n">
        <v>0</v>
      </c>
      <c r="N358" s="358" t="n">
        <v>0</v>
      </c>
      <c r="O358" s="372" t="n">
        <v>0</v>
      </c>
      <c r="P358" s="373" t="n">
        <v>0</v>
      </c>
      <c r="Q358" s="358" t="n">
        <v>0</v>
      </c>
      <c r="R358" s="358" t="n">
        <v>0</v>
      </c>
      <c r="S358" s="372" t="n">
        <v>0</v>
      </c>
      <c r="T358" s="373" t="n">
        <v>0</v>
      </c>
      <c r="U358" s="358" t="n">
        <v>0</v>
      </c>
      <c r="V358" s="358" t="n">
        <v>0</v>
      </c>
      <c r="W358" s="372" t="n">
        <v>0</v>
      </c>
      <c r="X358" s="373" t="n">
        <v>0</v>
      </c>
      <c r="Y358" s="358" t="n">
        <v>0</v>
      </c>
      <c r="Z358" s="358" t="n">
        <v>0</v>
      </c>
      <c r="AA358" s="358" t="n">
        <v>0</v>
      </c>
      <c r="AB358" s="373" t="n">
        <v>0</v>
      </c>
      <c r="AC358" s="358" t="n">
        <v>0</v>
      </c>
      <c r="AD358" s="358" t="n">
        <v>0</v>
      </c>
      <c r="AE358" s="358" t="n">
        <v>0</v>
      </c>
      <c r="AF358" s="359" t="n">
        <v>1</v>
      </c>
    </row>
    <row r="359" customFormat="false" ht="15" hidden="true" customHeight="false" outlineLevel="0" collapsed="false">
      <c r="B359" s="360" t="s">
        <v>2840</v>
      </c>
      <c r="C359" s="359" t="n">
        <v>1</v>
      </c>
      <c r="D359" s="358" t="n">
        <v>0</v>
      </c>
      <c r="E359" s="358" t="n">
        <v>0</v>
      </c>
      <c r="F359" s="358" t="n">
        <v>0</v>
      </c>
      <c r="G359" s="372" t="n">
        <v>0</v>
      </c>
      <c r="H359" s="373" t="n">
        <v>0</v>
      </c>
      <c r="I359" s="358" t="n">
        <v>0</v>
      </c>
      <c r="J359" s="358" t="n">
        <v>0</v>
      </c>
      <c r="K359" s="372" t="n">
        <v>0</v>
      </c>
      <c r="L359" s="373" t="n">
        <v>0</v>
      </c>
      <c r="M359" s="358" t="n">
        <v>0</v>
      </c>
      <c r="N359" s="358" t="n">
        <v>0</v>
      </c>
      <c r="O359" s="372" t="n">
        <v>0</v>
      </c>
      <c r="P359" s="373" t="n">
        <v>0</v>
      </c>
      <c r="Q359" s="358" t="n">
        <v>0</v>
      </c>
      <c r="R359" s="358" t="n">
        <v>0</v>
      </c>
      <c r="S359" s="372" t="n">
        <v>0</v>
      </c>
      <c r="T359" s="373" t="n">
        <v>0</v>
      </c>
      <c r="U359" s="358" t="n">
        <v>0</v>
      </c>
      <c r="V359" s="358" t="n">
        <v>0</v>
      </c>
      <c r="W359" s="372" t="n">
        <v>0</v>
      </c>
      <c r="X359" s="373" t="n">
        <v>0</v>
      </c>
      <c r="Y359" s="358" t="n">
        <v>0</v>
      </c>
      <c r="Z359" s="358" t="n">
        <v>0</v>
      </c>
      <c r="AA359" s="358" t="n">
        <v>0</v>
      </c>
      <c r="AB359" s="373" t="n">
        <v>0</v>
      </c>
      <c r="AC359" s="358" t="n">
        <v>0</v>
      </c>
      <c r="AD359" s="358" t="n">
        <v>0</v>
      </c>
      <c r="AE359" s="358" t="n">
        <v>0</v>
      </c>
      <c r="AF359" s="359" t="n">
        <v>1</v>
      </c>
    </row>
    <row r="360" customFormat="false" ht="15" hidden="true" customHeight="false" outlineLevel="0" collapsed="false">
      <c r="B360" s="360" t="s">
        <v>2841</v>
      </c>
      <c r="C360" s="359" t="n">
        <v>1</v>
      </c>
      <c r="D360" s="358" t="n">
        <v>0</v>
      </c>
      <c r="E360" s="358" t="n">
        <v>0</v>
      </c>
      <c r="F360" s="358" t="n">
        <v>0</v>
      </c>
      <c r="G360" s="372" t="n">
        <v>0</v>
      </c>
      <c r="H360" s="373" t="n">
        <v>0</v>
      </c>
      <c r="I360" s="358" t="n">
        <v>0</v>
      </c>
      <c r="J360" s="358" t="n">
        <v>0</v>
      </c>
      <c r="K360" s="372" t="n">
        <v>0</v>
      </c>
      <c r="L360" s="373" t="n">
        <v>0</v>
      </c>
      <c r="M360" s="358" t="n">
        <v>0</v>
      </c>
      <c r="N360" s="358" t="n">
        <v>0</v>
      </c>
      <c r="O360" s="372" t="n">
        <v>0</v>
      </c>
      <c r="P360" s="373" t="n">
        <v>0</v>
      </c>
      <c r="Q360" s="358" t="n">
        <v>0</v>
      </c>
      <c r="R360" s="358" t="n">
        <v>0</v>
      </c>
      <c r="S360" s="372" t="n">
        <v>0</v>
      </c>
      <c r="T360" s="373" t="n">
        <v>0</v>
      </c>
      <c r="U360" s="358" t="n">
        <v>0</v>
      </c>
      <c r="V360" s="358" t="n">
        <v>0</v>
      </c>
      <c r="W360" s="372" t="n">
        <v>0</v>
      </c>
      <c r="X360" s="373" t="n">
        <v>0</v>
      </c>
      <c r="Y360" s="358" t="n">
        <v>0</v>
      </c>
      <c r="Z360" s="358" t="n">
        <v>0</v>
      </c>
      <c r="AA360" s="358" t="n">
        <v>0</v>
      </c>
      <c r="AB360" s="373" t="n">
        <v>0</v>
      </c>
      <c r="AC360" s="358" t="n">
        <v>0</v>
      </c>
      <c r="AD360" s="358" t="n">
        <v>0</v>
      </c>
      <c r="AE360" s="358" t="n">
        <v>0</v>
      </c>
      <c r="AF360" s="359" t="n">
        <v>1</v>
      </c>
    </row>
    <row r="361" customFormat="false" ht="15" hidden="true" customHeight="false" outlineLevel="0" collapsed="false">
      <c r="B361" s="360" t="s">
        <v>2842</v>
      </c>
      <c r="C361" s="359" t="n">
        <v>1</v>
      </c>
      <c r="D361" s="358" t="n">
        <v>0</v>
      </c>
      <c r="E361" s="358" t="n">
        <v>0</v>
      </c>
      <c r="F361" s="358" t="n">
        <v>0</v>
      </c>
      <c r="G361" s="372" t="n">
        <v>0</v>
      </c>
      <c r="H361" s="373" t="n">
        <v>0</v>
      </c>
      <c r="I361" s="358" t="n">
        <v>0</v>
      </c>
      <c r="J361" s="358" t="n">
        <v>0</v>
      </c>
      <c r="K361" s="372" t="n">
        <v>0</v>
      </c>
      <c r="L361" s="373" t="n">
        <v>0</v>
      </c>
      <c r="M361" s="358" t="n">
        <v>0</v>
      </c>
      <c r="N361" s="358" t="n">
        <v>0</v>
      </c>
      <c r="O361" s="372" t="n">
        <v>0</v>
      </c>
      <c r="P361" s="373" t="n">
        <v>0</v>
      </c>
      <c r="Q361" s="358" t="n">
        <v>0</v>
      </c>
      <c r="R361" s="358" t="n">
        <v>0</v>
      </c>
      <c r="S361" s="372" t="n">
        <v>0</v>
      </c>
      <c r="T361" s="373" t="n">
        <v>0</v>
      </c>
      <c r="U361" s="358" t="n">
        <v>0</v>
      </c>
      <c r="V361" s="358" t="n">
        <v>0</v>
      </c>
      <c r="W361" s="372" t="n">
        <v>0</v>
      </c>
      <c r="X361" s="373" t="n">
        <v>0</v>
      </c>
      <c r="Y361" s="358" t="n">
        <v>0</v>
      </c>
      <c r="Z361" s="358" t="n">
        <v>0</v>
      </c>
      <c r="AA361" s="358" t="n">
        <v>0</v>
      </c>
      <c r="AB361" s="373" t="n">
        <v>0</v>
      </c>
      <c r="AC361" s="358" t="n">
        <v>0</v>
      </c>
      <c r="AD361" s="358" t="n">
        <v>0</v>
      </c>
      <c r="AE361" s="358" t="n">
        <v>0</v>
      </c>
      <c r="AF361" s="359" t="n">
        <v>1</v>
      </c>
    </row>
    <row r="362" customFormat="false" ht="15" hidden="true" customHeight="false" outlineLevel="0" collapsed="false">
      <c r="B362" s="360" t="s">
        <v>2843</v>
      </c>
      <c r="C362" s="359" t="n">
        <v>1</v>
      </c>
      <c r="D362" s="358" t="n">
        <v>0</v>
      </c>
      <c r="E362" s="358" t="n">
        <v>0</v>
      </c>
      <c r="F362" s="358" t="n">
        <v>0</v>
      </c>
      <c r="G362" s="372" t="n">
        <v>0</v>
      </c>
      <c r="H362" s="373" t="n">
        <v>0</v>
      </c>
      <c r="I362" s="358" t="n">
        <v>0</v>
      </c>
      <c r="J362" s="358" t="n">
        <v>0</v>
      </c>
      <c r="K362" s="372" t="n">
        <v>0</v>
      </c>
      <c r="L362" s="373" t="n">
        <v>0</v>
      </c>
      <c r="M362" s="358" t="n">
        <v>0</v>
      </c>
      <c r="N362" s="358" t="n">
        <v>0</v>
      </c>
      <c r="O362" s="372" t="n">
        <v>0</v>
      </c>
      <c r="P362" s="373" t="n">
        <v>0</v>
      </c>
      <c r="Q362" s="358" t="n">
        <v>0</v>
      </c>
      <c r="R362" s="358" t="n">
        <v>0</v>
      </c>
      <c r="S362" s="372" t="n">
        <v>0</v>
      </c>
      <c r="T362" s="373" t="n">
        <v>0</v>
      </c>
      <c r="U362" s="358" t="n">
        <v>0</v>
      </c>
      <c r="V362" s="358" t="n">
        <v>0</v>
      </c>
      <c r="W362" s="372" t="n">
        <v>0</v>
      </c>
      <c r="X362" s="373" t="n">
        <v>0</v>
      </c>
      <c r="Y362" s="358" t="n">
        <v>0</v>
      </c>
      <c r="Z362" s="358" t="n">
        <v>0</v>
      </c>
      <c r="AA362" s="358" t="n">
        <v>0</v>
      </c>
      <c r="AB362" s="373" t="n">
        <v>0</v>
      </c>
      <c r="AC362" s="358" t="n">
        <v>0</v>
      </c>
      <c r="AD362" s="358" t="n">
        <v>0</v>
      </c>
      <c r="AE362" s="358" t="n">
        <v>0</v>
      </c>
      <c r="AF362" s="359" t="n">
        <v>1</v>
      </c>
    </row>
    <row r="363" customFormat="false" ht="15" hidden="true" customHeight="false" outlineLevel="0" collapsed="false">
      <c r="B363" s="360" t="s">
        <v>2844</v>
      </c>
      <c r="C363" s="359" t="n">
        <v>1</v>
      </c>
      <c r="D363" s="358" t="n">
        <v>0</v>
      </c>
      <c r="E363" s="358" t="n">
        <v>0</v>
      </c>
      <c r="F363" s="358" t="n">
        <v>0</v>
      </c>
      <c r="G363" s="372" t="n">
        <v>0</v>
      </c>
      <c r="H363" s="373" t="n">
        <v>0</v>
      </c>
      <c r="I363" s="358" t="n">
        <v>0</v>
      </c>
      <c r="J363" s="358" t="n">
        <v>0</v>
      </c>
      <c r="K363" s="372" t="n">
        <v>0</v>
      </c>
      <c r="L363" s="373" t="n">
        <v>0</v>
      </c>
      <c r="M363" s="358" t="n">
        <v>0</v>
      </c>
      <c r="N363" s="358" t="n">
        <v>0</v>
      </c>
      <c r="O363" s="372" t="n">
        <v>0</v>
      </c>
      <c r="P363" s="373" t="n">
        <v>0</v>
      </c>
      <c r="Q363" s="358" t="n">
        <v>0</v>
      </c>
      <c r="R363" s="358" t="n">
        <v>0</v>
      </c>
      <c r="S363" s="372" t="n">
        <v>0</v>
      </c>
      <c r="T363" s="373" t="n">
        <v>0</v>
      </c>
      <c r="U363" s="358" t="n">
        <v>0</v>
      </c>
      <c r="V363" s="358" t="n">
        <v>0</v>
      </c>
      <c r="W363" s="372" t="n">
        <v>0</v>
      </c>
      <c r="X363" s="373" t="n">
        <v>0</v>
      </c>
      <c r="Y363" s="358" t="n">
        <v>0</v>
      </c>
      <c r="Z363" s="358" t="n">
        <v>0</v>
      </c>
      <c r="AA363" s="358" t="n">
        <v>0</v>
      </c>
      <c r="AB363" s="373" t="n">
        <v>0</v>
      </c>
      <c r="AC363" s="358" t="n">
        <v>0</v>
      </c>
      <c r="AD363" s="358" t="n">
        <v>0</v>
      </c>
      <c r="AE363" s="358" t="n">
        <v>0</v>
      </c>
      <c r="AF363" s="359" t="n">
        <v>1</v>
      </c>
    </row>
    <row r="364" customFormat="false" ht="15" hidden="true" customHeight="false" outlineLevel="0" collapsed="false">
      <c r="B364" s="360" t="s">
        <v>2845</v>
      </c>
      <c r="C364" s="359" t="n">
        <v>1</v>
      </c>
      <c r="D364" s="358" t="n">
        <v>0</v>
      </c>
      <c r="E364" s="358" t="n">
        <v>0</v>
      </c>
      <c r="F364" s="358" t="n">
        <v>0</v>
      </c>
      <c r="G364" s="372" t="n">
        <v>0</v>
      </c>
      <c r="H364" s="373" t="n">
        <v>0</v>
      </c>
      <c r="I364" s="358" t="n">
        <v>0</v>
      </c>
      <c r="J364" s="358" t="n">
        <v>0</v>
      </c>
      <c r="K364" s="372" t="n">
        <v>0</v>
      </c>
      <c r="L364" s="373" t="n">
        <v>0</v>
      </c>
      <c r="M364" s="358" t="n">
        <v>0</v>
      </c>
      <c r="N364" s="358" t="n">
        <v>0</v>
      </c>
      <c r="O364" s="372" t="n">
        <v>0</v>
      </c>
      <c r="P364" s="373" t="n">
        <v>0</v>
      </c>
      <c r="Q364" s="358" t="n">
        <v>0</v>
      </c>
      <c r="R364" s="358" t="n">
        <v>0</v>
      </c>
      <c r="S364" s="372" t="n">
        <v>0</v>
      </c>
      <c r="T364" s="373" t="n">
        <v>0</v>
      </c>
      <c r="U364" s="358" t="n">
        <v>0</v>
      </c>
      <c r="V364" s="358" t="n">
        <v>0</v>
      </c>
      <c r="W364" s="372" t="n">
        <v>0</v>
      </c>
      <c r="X364" s="373" t="n">
        <v>0</v>
      </c>
      <c r="Y364" s="358" t="n">
        <v>0</v>
      </c>
      <c r="Z364" s="358" t="n">
        <v>0</v>
      </c>
      <c r="AA364" s="358" t="n">
        <v>0</v>
      </c>
      <c r="AB364" s="373" t="n">
        <v>0</v>
      </c>
      <c r="AC364" s="358" t="n">
        <v>0</v>
      </c>
      <c r="AD364" s="358" t="n">
        <v>0</v>
      </c>
      <c r="AE364" s="358" t="n">
        <v>0</v>
      </c>
      <c r="AF364" s="359" t="n">
        <v>1</v>
      </c>
    </row>
    <row r="365" customFormat="false" ht="15" hidden="true" customHeight="false" outlineLevel="0" collapsed="false">
      <c r="B365" s="360" t="s">
        <v>2846</v>
      </c>
      <c r="C365" s="359" t="n">
        <v>1</v>
      </c>
      <c r="D365" s="358" t="n">
        <v>0</v>
      </c>
      <c r="E365" s="358" t="n">
        <v>0</v>
      </c>
      <c r="F365" s="358" t="n">
        <v>0</v>
      </c>
      <c r="G365" s="372" t="n">
        <v>0</v>
      </c>
      <c r="H365" s="373" t="n">
        <v>0</v>
      </c>
      <c r="I365" s="358" t="n">
        <v>0</v>
      </c>
      <c r="J365" s="358" t="n">
        <v>0</v>
      </c>
      <c r="K365" s="372" t="n">
        <v>0</v>
      </c>
      <c r="L365" s="373" t="n">
        <v>0</v>
      </c>
      <c r="M365" s="358" t="n">
        <v>0</v>
      </c>
      <c r="N365" s="358" t="n">
        <v>0</v>
      </c>
      <c r="O365" s="372" t="n">
        <v>0</v>
      </c>
      <c r="P365" s="373" t="n">
        <v>0</v>
      </c>
      <c r="Q365" s="358" t="n">
        <v>0</v>
      </c>
      <c r="R365" s="358" t="n">
        <v>0</v>
      </c>
      <c r="S365" s="372" t="n">
        <v>0</v>
      </c>
      <c r="T365" s="373" t="n">
        <v>0</v>
      </c>
      <c r="U365" s="358" t="n">
        <v>0</v>
      </c>
      <c r="V365" s="358" t="n">
        <v>0</v>
      </c>
      <c r="W365" s="372" t="n">
        <v>0</v>
      </c>
      <c r="X365" s="373" t="n">
        <v>0</v>
      </c>
      <c r="Y365" s="358" t="n">
        <v>0</v>
      </c>
      <c r="Z365" s="358" t="n">
        <v>0</v>
      </c>
      <c r="AA365" s="358" t="n">
        <v>0</v>
      </c>
      <c r="AB365" s="373" t="n">
        <v>0</v>
      </c>
      <c r="AC365" s="358" t="n">
        <v>0</v>
      </c>
      <c r="AD365" s="358" t="n">
        <v>0</v>
      </c>
      <c r="AE365" s="358" t="n">
        <v>0</v>
      </c>
      <c r="AF365" s="359" t="n">
        <v>1</v>
      </c>
    </row>
    <row r="366" customFormat="false" ht="15" hidden="true" customHeight="false" outlineLevel="0" collapsed="false">
      <c r="B366" s="360" t="s">
        <v>2847</v>
      </c>
      <c r="C366" s="359" t="n">
        <v>1</v>
      </c>
      <c r="D366" s="358" t="n">
        <v>0</v>
      </c>
      <c r="E366" s="358" t="n">
        <v>0</v>
      </c>
      <c r="F366" s="358" t="n">
        <v>0</v>
      </c>
      <c r="G366" s="372" t="n">
        <v>0</v>
      </c>
      <c r="H366" s="373" t="n">
        <v>0</v>
      </c>
      <c r="I366" s="358" t="n">
        <v>0</v>
      </c>
      <c r="J366" s="358" t="n">
        <v>0</v>
      </c>
      <c r="K366" s="372" t="n">
        <v>0</v>
      </c>
      <c r="L366" s="373" t="n">
        <v>0</v>
      </c>
      <c r="M366" s="358" t="n">
        <v>0</v>
      </c>
      <c r="N366" s="358" t="n">
        <v>0</v>
      </c>
      <c r="O366" s="372" t="n">
        <v>0</v>
      </c>
      <c r="P366" s="373" t="n">
        <v>0</v>
      </c>
      <c r="Q366" s="358" t="n">
        <v>0</v>
      </c>
      <c r="R366" s="358" t="n">
        <v>0</v>
      </c>
      <c r="S366" s="372" t="n">
        <v>0</v>
      </c>
      <c r="T366" s="373" t="n">
        <v>0</v>
      </c>
      <c r="U366" s="358" t="n">
        <v>0</v>
      </c>
      <c r="V366" s="358" t="n">
        <v>0</v>
      </c>
      <c r="W366" s="372" t="n">
        <v>0</v>
      </c>
      <c r="X366" s="373" t="n">
        <v>0</v>
      </c>
      <c r="Y366" s="358" t="n">
        <v>0</v>
      </c>
      <c r="Z366" s="358" t="n">
        <v>0</v>
      </c>
      <c r="AA366" s="358" t="n">
        <v>0</v>
      </c>
      <c r="AB366" s="373" t="n">
        <v>0</v>
      </c>
      <c r="AC366" s="358" t="n">
        <v>0</v>
      </c>
      <c r="AD366" s="358" t="n">
        <v>0</v>
      </c>
      <c r="AE366" s="358" t="n">
        <v>0</v>
      </c>
      <c r="AF366" s="359" t="n">
        <v>1</v>
      </c>
    </row>
    <row r="367" customFormat="false" ht="15" hidden="true" customHeight="false" outlineLevel="0" collapsed="false">
      <c r="B367" s="360" t="s">
        <v>2848</v>
      </c>
      <c r="C367" s="359" t="n">
        <v>1</v>
      </c>
      <c r="D367" s="358" t="n">
        <v>0</v>
      </c>
      <c r="E367" s="358" t="n">
        <v>0</v>
      </c>
      <c r="F367" s="358" t="n">
        <v>0</v>
      </c>
      <c r="G367" s="372" t="n">
        <v>0</v>
      </c>
      <c r="H367" s="373" t="n">
        <v>0</v>
      </c>
      <c r="I367" s="358" t="n">
        <v>0</v>
      </c>
      <c r="J367" s="358" t="n">
        <v>0</v>
      </c>
      <c r="K367" s="372" t="n">
        <v>0</v>
      </c>
      <c r="L367" s="373" t="n">
        <v>0</v>
      </c>
      <c r="M367" s="358" t="n">
        <v>0</v>
      </c>
      <c r="N367" s="358" t="n">
        <v>0</v>
      </c>
      <c r="O367" s="372" t="n">
        <v>0</v>
      </c>
      <c r="P367" s="373" t="n">
        <v>0</v>
      </c>
      <c r="Q367" s="358" t="n">
        <v>0</v>
      </c>
      <c r="R367" s="358" t="n">
        <v>0</v>
      </c>
      <c r="S367" s="372" t="n">
        <v>0</v>
      </c>
      <c r="T367" s="373" t="n">
        <v>0</v>
      </c>
      <c r="U367" s="358" t="n">
        <v>0</v>
      </c>
      <c r="V367" s="358" t="n">
        <v>0</v>
      </c>
      <c r="W367" s="372" t="n">
        <v>0</v>
      </c>
      <c r="X367" s="373" t="n">
        <v>0</v>
      </c>
      <c r="Y367" s="358" t="n">
        <v>0</v>
      </c>
      <c r="Z367" s="358" t="n">
        <v>0</v>
      </c>
      <c r="AA367" s="358" t="n">
        <v>0</v>
      </c>
      <c r="AB367" s="373" t="n">
        <v>0</v>
      </c>
      <c r="AC367" s="358" t="n">
        <v>0</v>
      </c>
      <c r="AD367" s="358" t="n">
        <v>0</v>
      </c>
      <c r="AE367" s="358" t="n">
        <v>0</v>
      </c>
      <c r="AF367" s="359" t="n">
        <v>1</v>
      </c>
    </row>
    <row r="368" customFormat="false" ht="15" hidden="true" customHeight="false" outlineLevel="0" collapsed="false">
      <c r="B368" s="360" t="s">
        <v>2849</v>
      </c>
      <c r="C368" s="359" t="n">
        <v>1</v>
      </c>
      <c r="D368" s="358" t="n">
        <v>0</v>
      </c>
      <c r="E368" s="358" t="n">
        <v>0</v>
      </c>
      <c r="F368" s="358" t="n">
        <v>0</v>
      </c>
      <c r="G368" s="372" t="n">
        <v>0</v>
      </c>
      <c r="H368" s="373" t="n">
        <v>0</v>
      </c>
      <c r="I368" s="358" t="n">
        <v>0</v>
      </c>
      <c r="J368" s="358" t="n">
        <v>0</v>
      </c>
      <c r="K368" s="372" t="n">
        <v>0</v>
      </c>
      <c r="L368" s="373" t="n">
        <v>0</v>
      </c>
      <c r="M368" s="358" t="n">
        <v>0</v>
      </c>
      <c r="N368" s="358" t="n">
        <v>0</v>
      </c>
      <c r="O368" s="372" t="n">
        <v>0</v>
      </c>
      <c r="P368" s="373" t="n">
        <v>0</v>
      </c>
      <c r="Q368" s="358" t="n">
        <v>0</v>
      </c>
      <c r="R368" s="358" t="n">
        <v>0</v>
      </c>
      <c r="S368" s="372" t="n">
        <v>0</v>
      </c>
      <c r="T368" s="373" t="n">
        <v>0</v>
      </c>
      <c r="U368" s="358" t="n">
        <v>0</v>
      </c>
      <c r="V368" s="358" t="n">
        <v>0</v>
      </c>
      <c r="W368" s="372" t="n">
        <v>0</v>
      </c>
      <c r="X368" s="373" t="n">
        <v>0</v>
      </c>
      <c r="Y368" s="358" t="n">
        <v>0</v>
      </c>
      <c r="Z368" s="358" t="n">
        <v>0</v>
      </c>
      <c r="AA368" s="358" t="n">
        <v>0</v>
      </c>
      <c r="AB368" s="373" t="n">
        <v>0</v>
      </c>
      <c r="AC368" s="358" t="n">
        <v>0</v>
      </c>
      <c r="AD368" s="358" t="n">
        <v>0</v>
      </c>
      <c r="AE368" s="358" t="n">
        <v>0</v>
      </c>
      <c r="AF368" s="359" t="n">
        <v>1</v>
      </c>
    </row>
    <row r="369" customFormat="false" ht="15" hidden="true" customHeight="false" outlineLevel="0" collapsed="false">
      <c r="B369" s="360" t="s">
        <v>2850</v>
      </c>
      <c r="C369" s="359" t="n">
        <v>1</v>
      </c>
      <c r="D369" s="358" t="n">
        <v>0</v>
      </c>
      <c r="E369" s="358" t="n">
        <v>0</v>
      </c>
      <c r="F369" s="358" t="n">
        <v>0</v>
      </c>
      <c r="G369" s="372" t="n">
        <v>0</v>
      </c>
      <c r="H369" s="373" t="n">
        <v>0</v>
      </c>
      <c r="I369" s="358" t="n">
        <v>0</v>
      </c>
      <c r="J369" s="358" t="n">
        <v>0</v>
      </c>
      <c r="K369" s="372" t="n">
        <v>0</v>
      </c>
      <c r="L369" s="373" t="n">
        <v>0</v>
      </c>
      <c r="M369" s="358" t="n">
        <v>0</v>
      </c>
      <c r="N369" s="358" t="n">
        <v>0</v>
      </c>
      <c r="O369" s="372" t="n">
        <v>0</v>
      </c>
      <c r="P369" s="373" t="n">
        <v>0</v>
      </c>
      <c r="Q369" s="358" t="n">
        <v>0</v>
      </c>
      <c r="R369" s="358" t="n">
        <v>0</v>
      </c>
      <c r="S369" s="372" t="n">
        <v>0</v>
      </c>
      <c r="T369" s="373" t="n">
        <v>0</v>
      </c>
      <c r="U369" s="358" t="n">
        <v>0</v>
      </c>
      <c r="V369" s="358" t="n">
        <v>0</v>
      </c>
      <c r="W369" s="372" t="n">
        <v>0</v>
      </c>
      <c r="X369" s="373" t="n">
        <v>0</v>
      </c>
      <c r="Y369" s="358" t="n">
        <v>0</v>
      </c>
      <c r="Z369" s="358" t="n">
        <v>0</v>
      </c>
      <c r="AA369" s="358" t="n">
        <v>0</v>
      </c>
      <c r="AB369" s="373" t="n">
        <v>0</v>
      </c>
      <c r="AC369" s="358" t="n">
        <v>0</v>
      </c>
      <c r="AD369" s="358" t="n">
        <v>0</v>
      </c>
      <c r="AE369" s="358" t="n">
        <v>0</v>
      </c>
      <c r="AF369" s="359" t="n">
        <v>1</v>
      </c>
    </row>
    <row r="370" customFormat="false" ht="15" hidden="true" customHeight="false" outlineLevel="0" collapsed="false">
      <c r="B370" s="360" t="s">
        <v>2851</v>
      </c>
      <c r="C370" s="359" t="n">
        <v>1</v>
      </c>
      <c r="D370" s="358" t="n">
        <v>0</v>
      </c>
      <c r="E370" s="358" t="n">
        <v>0</v>
      </c>
      <c r="F370" s="358" t="n">
        <v>0</v>
      </c>
      <c r="G370" s="372" t="n">
        <v>0</v>
      </c>
      <c r="H370" s="373" t="n">
        <v>0</v>
      </c>
      <c r="I370" s="358" t="n">
        <v>0</v>
      </c>
      <c r="J370" s="358" t="n">
        <v>0</v>
      </c>
      <c r="K370" s="372" t="n">
        <v>0</v>
      </c>
      <c r="L370" s="373" t="n">
        <v>0</v>
      </c>
      <c r="M370" s="358" t="n">
        <v>0</v>
      </c>
      <c r="N370" s="358" t="n">
        <v>0</v>
      </c>
      <c r="O370" s="372" t="n">
        <v>0</v>
      </c>
      <c r="P370" s="373" t="n">
        <v>0</v>
      </c>
      <c r="Q370" s="358" t="n">
        <v>0</v>
      </c>
      <c r="R370" s="358" t="n">
        <v>0</v>
      </c>
      <c r="S370" s="372" t="n">
        <v>0</v>
      </c>
      <c r="T370" s="373" t="n">
        <v>0</v>
      </c>
      <c r="U370" s="358" t="n">
        <v>0</v>
      </c>
      <c r="V370" s="358" t="n">
        <v>0</v>
      </c>
      <c r="W370" s="372" t="n">
        <v>0</v>
      </c>
      <c r="X370" s="373" t="n">
        <v>0</v>
      </c>
      <c r="Y370" s="358" t="n">
        <v>0</v>
      </c>
      <c r="Z370" s="358" t="n">
        <v>0</v>
      </c>
      <c r="AA370" s="358" t="n">
        <v>0</v>
      </c>
      <c r="AB370" s="373" t="n">
        <v>0</v>
      </c>
      <c r="AC370" s="358" t="n">
        <v>0</v>
      </c>
      <c r="AD370" s="358" t="n">
        <v>0</v>
      </c>
      <c r="AE370" s="358" t="n">
        <v>0</v>
      </c>
      <c r="AF370" s="359" t="n">
        <v>1</v>
      </c>
    </row>
    <row r="371" customFormat="false" ht="15" hidden="true" customHeight="false" outlineLevel="0" collapsed="false">
      <c r="B371" s="360" t="s">
        <v>2852</v>
      </c>
      <c r="C371" s="359" t="n">
        <v>1</v>
      </c>
      <c r="D371" s="358" t="n">
        <v>0</v>
      </c>
      <c r="E371" s="358" t="n">
        <v>0</v>
      </c>
      <c r="F371" s="358" t="n">
        <v>0</v>
      </c>
      <c r="G371" s="372" t="n">
        <v>0</v>
      </c>
      <c r="H371" s="373" t="n">
        <v>0</v>
      </c>
      <c r="I371" s="358" t="n">
        <v>0</v>
      </c>
      <c r="J371" s="358" t="n">
        <v>0</v>
      </c>
      <c r="K371" s="372" t="n">
        <v>0</v>
      </c>
      <c r="L371" s="373" t="n">
        <v>0</v>
      </c>
      <c r="M371" s="358" t="n">
        <v>0</v>
      </c>
      <c r="N371" s="358" t="n">
        <v>0</v>
      </c>
      <c r="O371" s="372" t="n">
        <v>0</v>
      </c>
      <c r="P371" s="373" t="n">
        <v>0</v>
      </c>
      <c r="Q371" s="358" t="n">
        <v>0</v>
      </c>
      <c r="R371" s="358" t="n">
        <v>0</v>
      </c>
      <c r="S371" s="372" t="n">
        <v>0</v>
      </c>
      <c r="T371" s="373" t="n">
        <v>0</v>
      </c>
      <c r="U371" s="358" t="n">
        <v>0</v>
      </c>
      <c r="V371" s="358" t="n">
        <v>0</v>
      </c>
      <c r="W371" s="372" t="n">
        <v>0</v>
      </c>
      <c r="X371" s="373" t="n">
        <v>0</v>
      </c>
      <c r="Y371" s="358" t="n">
        <v>0</v>
      </c>
      <c r="Z371" s="358" t="n">
        <v>0</v>
      </c>
      <c r="AA371" s="358" t="n">
        <v>0</v>
      </c>
      <c r="AB371" s="373" t="n">
        <v>0</v>
      </c>
      <c r="AC371" s="358" t="n">
        <v>0</v>
      </c>
      <c r="AD371" s="358" t="n">
        <v>0</v>
      </c>
      <c r="AE371" s="358" t="n">
        <v>0</v>
      </c>
      <c r="AF371" s="359" t="n">
        <v>1</v>
      </c>
    </row>
    <row r="372" customFormat="false" ht="15" hidden="true" customHeight="false" outlineLevel="0" collapsed="false">
      <c r="B372" s="360" t="s">
        <v>2853</v>
      </c>
      <c r="C372" s="359" t="n">
        <v>1</v>
      </c>
      <c r="D372" s="358" t="n">
        <v>0</v>
      </c>
      <c r="E372" s="358" t="n">
        <v>0</v>
      </c>
      <c r="F372" s="358" t="n">
        <v>0</v>
      </c>
      <c r="G372" s="372" t="n">
        <v>0</v>
      </c>
      <c r="H372" s="373" t="n">
        <v>0</v>
      </c>
      <c r="I372" s="358" t="n">
        <v>0</v>
      </c>
      <c r="J372" s="358" t="n">
        <v>0</v>
      </c>
      <c r="K372" s="372" t="n">
        <v>0</v>
      </c>
      <c r="L372" s="373" t="n">
        <v>0</v>
      </c>
      <c r="M372" s="358" t="n">
        <v>0</v>
      </c>
      <c r="N372" s="358" t="n">
        <v>0</v>
      </c>
      <c r="O372" s="372" t="n">
        <v>0</v>
      </c>
      <c r="P372" s="373" t="n">
        <v>0</v>
      </c>
      <c r="Q372" s="358" t="n">
        <v>0</v>
      </c>
      <c r="R372" s="358" t="n">
        <v>0</v>
      </c>
      <c r="S372" s="372" t="n">
        <v>0</v>
      </c>
      <c r="T372" s="373" t="n">
        <v>0</v>
      </c>
      <c r="U372" s="358" t="n">
        <v>0</v>
      </c>
      <c r="V372" s="358" t="n">
        <v>0</v>
      </c>
      <c r="W372" s="372" t="n">
        <v>0</v>
      </c>
      <c r="X372" s="373" t="n">
        <v>0</v>
      </c>
      <c r="Y372" s="358" t="n">
        <v>0</v>
      </c>
      <c r="Z372" s="358" t="n">
        <v>0</v>
      </c>
      <c r="AA372" s="358" t="n">
        <v>0</v>
      </c>
      <c r="AB372" s="373" t="n">
        <v>0</v>
      </c>
      <c r="AC372" s="358" t="n">
        <v>0</v>
      </c>
      <c r="AD372" s="358" t="n">
        <v>0</v>
      </c>
      <c r="AE372" s="358" t="n">
        <v>0</v>
      </c>
      <c r="AF372" s="359" t="n">
        <v>1</v>
      </c>
    </row>
    <row r="373" customFormat="false" ht="15" hidden="true" customHeight="false" outlineLevel="0" collapsed="false">
      <c r="B373" s="360" t="s">
        <v>2854</v>
      </c>
      <c r="C373" s="359" t="n">
        <v>1</v>
      </c>
      <c r="D373" s="358" t="n">
        <v>0</v>
      </c>
      <c r="E373" s="358" t="n">
        <v>0</v>
      </c>
      <c r="F373" s="358" t="n">
        <v>0</v>
      </c>
      <c r="G373" s="372" t="n">
        <v>0</v>
      </c>
      <c r="H373" s="373" t="n">
        <v>0</v>
      </c>
      <c r="I373" s="358" t="n">
        <v>0</v>
      </c>
      <c r="J373" s="358" t="n">
        <v>0</v>
      </c>
      <c r="K373" s="372" t="n">
        <v>0</v>
      </c>
      <c r="L373" s="373" t="n">
        <v>0</v>
      </c>
      <c r="M373" s="358" t="n">
        <v>0</v>
      </c>
      <c r="N373" s="358" t="n">
        <v>0</v>
      </c>
      <c r="O373" s="372" t="n">
        <v>0</v>
      </c>
      <c r="P373" s="373" t="n">
        <v>0</v>
      </c>
      <c r="Q373" s="358" t="n">
        <v>0</v>
      </c>
      <c r="R373" s="358" t="n">
        <v>0</v>
      </c>
      <c r="S373" s="372" t="n">
        <v>0</v>
      </c>
      <c r="T373" s="373" t="n">
        <v>0</v>
      </c>
      <c r="U373" s="358" t="n">
        <v>0</v>
      </c>
      <c r="V373" s="358" t="n">
        <v>0</v>
      </c>
      <c r="W373" s="372" t="n">
        <v>0</v>
      </c>
      <c r="X373" s="373" t="n">
        <v>0</v>
      </c>
      <c r="Y373" s="358" t="n">
        <v>0</v>
      </c>
      <c r="Z373" s="358" t="n">
        <v>0</v>
      </c>
      <c r="AA373" s="358" t="n">
        <v>0</v>
      </c>
      <c r="AB373" s="373" t="n">
        <v>0</v>
      </c>
      <c r="AC373" s="358" t="n">
        <v>0</v>
      </c>
      <c r="AD373" s="358" t="n">
        <v>0</v>
      </c>
      <c r="AE373" s="358" t="n">
        <v>0</v>
      </c>
      <c r="AF373" s="359" t="n">
        <v>1</v>
      </c>
    </row>
    <row r="374" customFormat="false" ht="15" hidden="true" customHeight="false" outlineLevel="0" collapsed="false">
      <c r="B374" s="360" t="s">
        <v>2855</v>
      </c>
      <c r="C374" s="359" t="n">
        <v>1</v>
      </c>
      <c r="D374" s="358" t="n">
        <v>0</v>
      </c>
      <c r="E374" s="358" t="n">
        <v>0</v>
      </c>
      <c r="F374" s="358" t="n">
        <v>0</v>
      </c>
      <c r="G374" s="372" t="n">
        <v>0</v>
      </c>
      <c r="H374" s="373" t="n">
        <v>0</v>
      </c>
      <c r="I374" s="358" t="n">
        <v>0</v>
      </c>
      <c r="J374" s="358" t="n">
        <v>0</v>
      </c>
      <c r="K374" s="372" t="n">
        <v>0</v>
      </c>
      <c r="L374" s="373" t="n">
        <v>0</v>
      </c>
      <c r="M374" s="358" t="n">
        <v>0</v>
      </c>
      <c r="N374" s="358" t="n">
        <v>0</v>
      </c>
      <c r="O374" s="372" t="n">
        <v>0</v>
      </c>
      <c r="P374" s="373" t="n">
        <v>0</v>
      </c>
      <c r="Q374" s="358" t="n">
        <v>0</v>
      </c>
      <c r="R374" s="358" t="n">
        <v>0</v>
      </c>
      <c r="S374" s="372" t="n">
        <v>0</v>
      </c>
      <c r="T374" s="373" t="n">
        <v>0</v>
      </c>
      <c r="U374" s="358" t="n">
        <v>0</v>
      </c>
      <c r="V374" s="358" t="n">
        <v>0</v>
      </c>
      <c r="W374" s="372" t="n">
        <v>0</v>
      </c>
      <c r="X374" s="373" t="n">
        <v>0</v>
      </c>
      <c r="Y374" s="358" t="n">
        <v>0</v>
      </c>
      <c r="Z374" s="358" t="n">
        <v>0</v>
      </c>
      <c r="AA374" s="358" t="n">
        <v>0</v>
      </c>
      <c r="AB374" s="373" t="n">
        <v>0</v>
      </c>
      <c r="AC374" s="358" t="n">
        <v>0</v>
      </c>
      <c r="AD374" s="358" t="n">
        <v>0</v>
      </c>
      <c r="AE374" s="358" t="n">
        <v>0</v>
      </c>
      <c r="AF374" s="359" t="n">
        <v>1</v>
      </c>
    </row>
    <row r="375" customFormat="false" ht="15" hidden="true" customHeight="false" outlineLevel="0" collapsed="false">
      <c r="B375" s="360" t="s">
        <v>2856</v>
      </c>
      <c r="C375" s="359" t="n">
        <v>1</v>
      </c>
      <c r="D375" s="358" t="n">
        <v>0</v>
      </c>
      <c r="E375" s="358" t="n">
        <v>0</v>
      </c>
      <c r="F375" s="358" t="n">
        <v>0</v>
      </c>
      <c r="G375" s="372" t="n">
        <v>0</v>
      </c>
      <c r="H375" s="373" t="n">
        <v>0</v>
      </c>
      <c r="I375" s="358" t="n">
        <v>0</v>
      </c>
      <c r="J375" s="358" t="n">
        <v>0</v>
      </c>
      <c r="K375" s="372" t="n">
        <v>0</v>
      </c>
      <c r="L375" s="373" t="n">
        <v>0</v>
      </c>
      <c r="M375" s="358" t="n">
        <v>0</v>
      </c>
      <c r="N375" s="358" t="n">
        <v>0</v>
      </c>
      <c r="O375" s="372" t="n">
        <v>0</v>
      </c>
      <c r="P375" s="373" t="n">
        <v>0</v>
      </c>
      <c r="Q375" s="358" t="n">
        <v>0</v>
      </c>
      <c r="R375" s="358" t="n">
        <v>0</v>
      </c>
      <c r="S375" s="372" t="n">
        <v>0</v>
      </c>
      <c r="T375" s="373" t="n">
        <v>0</v>
      </c>
      <c r="U375" s="358" t="n">
        <v>0</v>
      </c>
      <c r="V375" s="358" t="n">
        <v>0</v>
      </c>
      <c r="W375" s="372" t="n">
        <v>0</v>
      </c>
      <c r="X375" s="373" t="n">
        <v>0</v>
      </c>
      <c r="Y375" s="358" t="n">
        <v>0</v>
      </c>
      <c r="Z375" s="358" t="n">
        <v>0</v>
      </c>
      <c r="AA375" s="358" t="n">
        <v>0</v>
      </c>
      <c r="AB375" s="373" t="n">
        <v>0</v>
      </c>
      <c r="AC375" s="358" t="n">
        <v>0</v>
      </c>
      <c r="AD375" s="358" t="n">
        <v>0</v>
      </c>
      <c r="AE375" s="358" t="n">
        <v>0</v>
      </c>
      <c r="AF375" s="359" t="n">
        <v>1</v>
      </c>
    </row>
    <row r="376" customFormat="false" ht="15" hidden="true" customHeight="false" outlineLevel="0" collapsed="false">
      <c r="B376" s="360" t="s">
        <v>2857</v>
      </c>
      <c r="C376" s="359" t="n">
        <v>1</v>
      </c>
      <c r="D376" s="358" t="n">
        <v>0</v>
      </c>
      <c r="E376" s="358" t="n">
        <v>0</v>
      </c>
      <c r="F376" s="358" t="n">
        <v>0</v>
      </c>
      <c r="G376" s="372" t="n">
        <v>0</v>
      </c>
      <c r="H376" s="373" t="n">
        <v>0</v>
      </c>
      <c r="I376" s="358" t="n">
        <v>0</v>
      </c>
      <c r="J376" s="358" t="n">
        <v>0</v>
      </c>
      <c r="K376" s="372" t="n">
        <v>0</v>
      </c>
      <c r="L376" s="373" t="n">
        <v>0</v>
      </c>
      <c r="M376" s="358" t="n">
        <v>0</v>
      </c>
      <c r="N376" s="358" t="n">
        <v>0</v>
      </c>
      <c r="O376" s="372" t="n">
        <v>0</v>
      </c>
      <c r="P376" s="373" t="n">
        <v>0</v>
      </c>
      <c r="Q376" s="358" t="n">
        <v>0</v>
      </c>
      <c r="R376" s="358" t="n">
        <v>0</v>
      </c>
      <c r="S376" s="372" t="n">
        <v>0</v>
      </c>
      <c r="T376" s="373" t="n">
        <v>0</v>
      </c>
      <c r="U376" s="358" t="n">
        <v>0</v>
      </c>
      <c r="V376" s="358" t="n">
        <v>0</v>
      </c>
      <c r="W376" s="372" t="n">
        <v>0</v>
      </c>
      <c r="X376" s="373" t="n">
        <v>0</v>
      </c>
      <c r="Y376" s="358" t="n">
        <v>0</v>
      </c>
      <c r="Z376" s="358" t="n">
        <v>0</v>
      </c>
      <c r="AA376" s="358" t="n">
        <v>0</v>
      </c>
      <c r="AB376" s="373" t="n">
        <v>0</v>
      </c>
      <c r="AC376" s="358" t="n">
        <v>0</v>
      </c>
      <c r="AD376" s="358" t="n">
        <v>0</v>
      </c>
      <c r="AE376" s="358" t="n">
        <v>0</v>
      </c>
      <c r="AF376" s="359" t="n">
        <v>1</v>
      </c>
    </row>
    <row r="377" customFormat="false" ht="15" hidden="true" customHeight="false" outlineLevel="0" collapsed="false">
      <c r="B377" s="360" t="s">
        <v>2858</v>
      </c>
      <c r="C377" s="359" t="n">
        <v>1</v>
      </c>
      <c r="D377" s="358" t="n">
        <v>0</v>
      </c>
      <c r="E377" s="358" t="n">
        <v>0</v>
      </c>
      <c r="F377" s="358" t="n">
        <v>0</v>
      </c>
      <c r="G377" s="372" t="n">
        <v>0</v>
      </c>
      <c r="H377" s="373" t="n">
        <v>0</v>
      </c>
      <c r="I377" s="358" t="n">
        <v>0</v>
      </c>
      <c r="J377" s="358" t="n">
        <v>0</v>
      </c>
      <c r="K377" s="372" t="n">
        <v>0</v>
      </c>
      <c r="L377" s="373" t="n">
        <v>0</v>
      </c>
      <c r="M377" s="358" t="n">
        <v>0</v>
      </c>
      <c r="N377" s="358" t="n">
        <v>0</v>
      </c>
      <c r="O377" s="372" t="n">
        <v>0</v>
      </c>
      <c r="P377" s="373" t="n">
        <v>0</v>
      </c>
      <c r="Q377" s="358" t="n">
        <v>0</v>
      </c>
      <c r="R377" s="358" t="n">
        <v>0</v>
      </c>
      <c r="S377" s="372" t="n">
        <v>0</v>
      </c>
      <c r="T377" s="373" t="n">
        <v>0</v>
      </c>
      <c r="U377" s="358" t="n">
        <v>0</v>
      </c>
      <c r="V377" s="358" t="n">
        <v>0</v>
      </c>
      <c r="W377" s="372" t="n">
        <v>0</v>
      </c>
      <c r="X377" s="373" t="n">
        <v>0</v>
      </c>
      <c r="Y377" s="358" t="n">
        <v>0</v>
      </c>
      <c r="Z377" s="358" t="n">
        <v>0</v>
      </c>
      <c r="AA377" s="358" t="n">
        <v>0</v>
      </c>
      <c r="AB377" s="373" t="n">
        <v>0</v>
      </c>
      <c r="AC377" s="358" t="n">
        <v>0</v>
      </c>
      <c r="AD377" s="358" t="n">
        <v>0</v>
      </c>
      <c r="AE377" s="358" t="n">
        <v>0</v>
      </c>
      <c r="AF377" s="359" t="n">
        <v>1</v>
      </c>
    </row>
    <row r="378" customFormat="false" ht="15" hidden="true" customHeight="false" outlineLevel="0" collapsed="false">
      <c r="B378" s="360" t="s">
        <v>2859</v>
      </c>
      <c r="C378" s="359" t="n">
        <v>1</v>
      </c>
      <c r="D378" s="358" t="n">
        <v>0</v>
      </c>
      <c r="E378" s="358" t="n">
        <v>0</v>
      </c>
      <c r="F378" s="358" t="n">
        <v>0</v>
      </c>
      <c r="G378" s="372" t="n">
        <v>0</v>
      </c>
      <c r="H378" s="373" t="n">
        <v>0</v>
      </c>
      <c r="I378" s="358" t="n">
        <v>0</v>
      </c>
      <c r="J378" s="358" t="n">
        <v>0</v>
      </c>
      <c r="K378" s="372" t="n">
        <v>0</v>
      </c>
      <c r="L378" s="373" t="n">
        <v>0</v>
      </c>
      <c r="M378" s="358" t="n">
        <v>0</v>
      </c>
      <c r="N378" s="358" t="n">
        <v>0</v>
      </c>
      <c r="O378" s="372" t="n">
        <v>0</v>
      </c>
      <c r="P378" s="373" t="n">
        <v>0</v>
      </c>
      <c r="Q378" s="358" t="n">
        <v>0</v>
      </c>
      <c r="R378" s="358" t="n">
        <v>0</v>
      </c>
      <c r="S378" s="372" t="n">
        <v>0</v>
      </c>
      <c r="T378" s="373" t="n">
        <v>0</v>
      </c>
      <c r="U378" s="358" t="n">
        <v>0</v>
      </c>
      <c r="V378" s="358" t="n">
        <v>0</v>
      </c>
      <c r="W378" s="372" t="n">
        <v>0</v>
      </c>
      <c r="X378" s="373" t="n">
        <v>0</v>
      </c>
      <c r="Y378" s="358" t="n">
        <v>0</v>
      </c>
      <c r="Z378" s="358" t="n">
        <v>0</v>
      </c>
      <c r="AA378" s="358" t="n">
        <v>0</v>
      </c>
      <c r="AB378" s="373" t="n">
        <v>0</v>
      </c>
      <c r="AC378" s="358" t="n">
        <v>0</v>
      </c>
      <c r="AD378" s="358" t="n">
        <v>0</v>
      </c>
      <c r="AE378" s="358" t="n">
        <v>0</v>
      </c>
      <c r="AF378" s="359" t="n">
        <v>1</v>
      </c>
    </row>
    <row r="379" customFormat="false" ht="15" hidden="true" customHeight="false" outlineLevel="0" collapsed="false">
      <c r="B379" s="360" t="s">
        <v>2860</v>
      </c>
      <c r="C379" s="359" t="n">
        <v>1</v>
      </c>
      <c r="D379" s="358" t="n">
        <v>0</v>
      </c>
      <c r="E379" s="358" t="n">
        <v>0</v>
      </c>
      <c r="F379" s="358" t="n">
        <v>0</v>
      </c>
      <c r="G379" s="372" t="n">
        <v>0</v>
      </c>
      <c r="H379" s="373" t="n">
        <v>0</v>
      </c>
      <c r="I379" s="358" t="n">
        <v>0</v>
      </c>
      <c r="J379" s="358" t="n">
        <v>0</v>
      </c>
      <c r="K379" s="372" t="n">
        <v>0</v>
      </c>
      <c r="L379" s="373" t="n">
        <v>0</v>
      </c>
      <c r="M379" s="358" t="n">
        <v>0</v>
      </c>
      <c r="N379" s="358" t="n">
        <v>0</v>
      </c>
      <c r="O379" s="372" t="n">
        <v>0</v>
      </c>
      <c r="P379" s="373" t="n">
        <v>0</v>
      </c>
      <c r="Q379" s="358" t="n">
        <v>0</v>
      </c>
      <c r="R379" s="358" t="n">
        <v>0</v>
      </c>
      <c r="S379" s="372" t="n">
        <v>0</v>
      </c>
      <c r="T379" s="373" t="n">
        <v>0</v>
      </c>
      <c r="U379" s="358" t="n">
        <v>0</v>
      </c>
      <c r="V379" s="358" t="n">
        <v>0</v>
      </c>
      <c r="W379" s="372" t="n">
        <v>0</v>
      </c>
      <c r="X379" s="373" t="n">
        <v>0</v>
      </c>
      <c r="Y379" s="358" t="n">
        <v>0</v>
      </c>
      <c r="Z379" s="358" t="n">
        <v>0</v>
      </c>
      <c r="AA379" s="358" t="n">
        <v>0</v>
      </c>
      <c r="AB379" s="373" t="n">
        <v>0</v>
      </c>
      <c r="AC379" s="358" t="n">
        <v>0</v>
      </c>
      <c r="AD379" s="358" t="n">
        <v>0</v>
      </c>
      <c r="AE379" s="358" t="n">
        <v>0</v>
      </c>
      <c r="AF379" s="359" t="n">
        <v>1</v>
      </c>
    </row>
    <row r="380" customFormat="false" ht="15" hidden="true" customHeight="false" outlineLevel="0" collapsed="false">
      <c r="B380" s="360" t="s">
        <v>2861</v>
      </c>
      <c r="C380" s="359" t="n">
        <v>1</v>
      </c>
      <c r="D380" s="358" t="n">
        <v>0</v>
      </c>
      <c r="E380" s="358" t="n">
        <v>0</v>
      </c>
      <c r="F380" s="358" t="n">
        <v>0</v>
      </c>
      <c r="G380" s="372" t="n">
        <v>0</v>
      </c>
      <c r="H380" s="373" t="n">
        <v>0</v>
      </c>
      <c r="I380" s="358" t="n">
        <v>0</v>
      </c>
      <c r="J380" s="358" t="n">
        <v>0</v>
      </c>
      <c r="K380" s="372" t="n">
        <v>0</v>
      </c>
      <c r="L380" s="373" t="n">
        <v>0</v>
      </c>
      <c r="M380" s="358" t="n">
        <v>0</v>
      </c>
      <c r="N380" s="358" t="n">
        <v>0</v>
      </c>
      <c r="O380" s="372" t="n">
        <v>0</v>
      </c>
      <c r="P380" s="373" t="n">
        <v>0</v>
      </c>
      <c r="Q380" s="358" t="n">
        <v>0</v>
      </c>
      <c r="R380" s="358" t="n">
        <v>0</v>
      </c>
      <c r="S380" s="372" t="n">
        <v>0</v>
      </c>
      <c r="T380" s="373" t="n">
        <v>0</v>
      </c>
      <c r="U380" s="358" t="n">
        <v>0</v>
      </c>
      <c r="V380" s="358" t="n">
        <v>0</v>
      </c>
      <c r="W380" s="372" t="n">
        <v>0</v>
      </c>
      <c r="X380" s="373" t="n">
        <v>0</v>
      </c>
      <c r="Y380" s="358" t="n">
        <v>0</v>
      </c>
      <c r="Z380" s="358" t="n">
        <v>0</v>
      </c>
      <c r="AA380" s="358" t="n">
        <v>0</v>
      </c>
      <c r="AB380" s="373" t="n">
        <v>0</v>
      </c>
      <c r="AC380" s="358" t="n">
        <v>0</v>
      </c>
      <c r="AD380" s="358" t="n">
        <v>0</v>
      </c>
      <c r="AE380" s="358" t="n">
        <v>0</v>
      </c>
      <c r="AF380" s="359" t="n">
        <v>1</v>
      </c>
    </row>
    <row r="381" customFormat="false" ht="15" hidden="true" customHeight="false" outlineLevel="0" collapsed="false">
      <c r="B381" s="360" t="s">
        <v>2862</v>
      </c>
      <c r="C381" s="359" t="n">
        <v>1</v>
      </c>
      <c r="D381" s="358" t="n">
        <v>0</v>
      </c>
      <c r="E381" s="358" t="n">
        <v>0</v>
      </c>
      <c r="F381" s="358" t="n">
        <v>0</v>
      </c>
      <c r="G381" s="372" t="n">
        <v>0</v>
      </c>
      <c r="H381" s="373" t="n">
        <v>0</v>
      </c>
      <c r="I381" s="358" t="n">
        <v>0</v>
      </c>
      <c r="J381" s="358" t="n">
        <v>0</v>
      </c>
      <c r="K381" s="372" t="n">
        <v>0</v>
      </c>
      <c r="L381" s="373" t="n">
        <v>0</v>
      </c>
      <c r="M381" s="358" t="n">
        <v>0</v>
      </c>
      <c r="N381" s="358" t="n">
        <v>0</v>
      </c>
      <c r="O381" s="372" t="n">
        <v>0</v>
      </c>
      <c r="P381" s="373" t="n">
        <v>0</v>
      </c>
      <c r="Q381" s="358" t="n">
        <v>0</v>
      </c>
      <c r="R381" s="358" t="n">
        <v>0</v>
      </c>
      <c r="S381" s="372" t="n">
        <v>0</v>
      </c>
      <c r="T381" s="373" t="n">
        <v>0</v>
      </c>
      <c r="U381" s="358" t="n">
        <v>0</v>
      </c>
      <c r="V381" s="358" t="n">
        <v>0</v>
      </c>
      <c r="W381" s="372" t="n">
        <v>0</v>
      </c>
      <c r="X381" s="373" t="n">
        <v>0</v>
      </c>
      <c r="Y381" s="358" t="n">
        <v>0</v>
      </c>
      <c r="Z381" s="358" t="n">
        <v>0</v>
      </c>
      <c r="AA381" s="358" t="n">
        <v>0</v>
      </c>
      <c r="AB381" s="373" t="n">
        <v>0</v>
      </c>
      <c r="AC381" s="358" t="n">
        <v>0</v>
      </c>
      <c r="AD381" s="358" t="n">
        <v>0</v>
      </c>
      <c r="AE381" s="358" t="n">
        <v>0</v>
      </c>
      <c r="AF381" s="359" t="n">
        <v>1</v>
      </c>
    </row>
    <row r="382" customFormat="false" ht="15" hidden="true" customHeight="false" outlineLevel="0" collapsed="false">
      <c r="B382" s="360" t="s">
        <v>2863</v>
      </c>
      <c r="C382" s="359" t="n">
        <v>1</v>
      </c>
      <c r="D382" s="358" t="n">
        <v>0</v>
      </c>
      <c r="E382" s="358" t="n">
        <v>0</v>
      </c>
      <c r="F382" s="358" t="n">
        <v>0</v>
      </c>
      <c r="G382" s="372" t="n">
        <v>0</v>
      </c>
      <c r="H382" s="373" t="n">
        <v>0</v>
      </c>
      <c r="I382" s="358" t="n">
        <v>0</v>
      </c>
      <c r="J382" s="358" t="n">
        <v>0</v>
      </c>
      <c r="K382" s="372" t="n">
        <v>0</v>
      </c>
      <c r="L382" s="373" t="n">
        <v>0</v>
      </c>
      <c r="M382" s="358" t="n">
        <v>0</v>
      </c>
      <c r="N382" s="358" t="n">
        <v>0</v>
      </c>
      <c r="O382" s="372" t="n">
        <v>0</v>
      </c>
      <c r="P382" s="373" t="n">
        <v>0</v>
      </c>
      <c r="Q382" s="358" t="n">
        <v>0</v>
      </c>
      <c r="R382" s="358" t="n">
        <v>0</v>
      </c>
      <c r="S382" s="372" t="n">
        <v>0</v>
      </c>
      <c r="T382" s="373" t="n">
        <v>0</v>
      </c>
      <c r="U382" s="358" t="n">
        <v>0</v>
      </c>
      <c r="V382" s="358" t="n">
        <v>0</v>
      </c>
      <c r="W382" s="372" t="n">
        <v>0</v>
      </c>
      <c r="X382" s="373" t="n">
        <v>0</v>
      </c>
      <c r="Y382" s="358" t="n">
        <v>0</v>
      </c>
      <c r="Z382" s="358" t="n">
        <v>0</v>
      </c>
      <c r="AA382" s="358" t="n">
        <v>0</v>
      </c>
      <c r="AB382" s="373" t="n">
        <v>0</v>
      </c>
      <c r="AC382" s="358" t="n">
        <v>0</v>
      </c>
      <c r="AD382" s="358" t="n">
        <v>0</v>
      </c>
      <c r="AE382" s="358" t="n">
        <v>0</v>
      </c>
      <c r="AF382" s="359" t="n">
        <v>1</v>
      </c>
    </row>
    <row r="383" customFormat="false" ht="15" hidden="true" customHeight="false" outlineLevel="0" collapsed="false">
      <c r="B383" s="360" t="s">
        <v>2864</v>
      </c>
      <c r="C383" s="359" t="n">
        <v>1</v>
      </c>
      <c r="D383" s="358" t="n">
        <v>0</v>
      </c>
      <c r="E383" s="358" t="n">
        <v>0</v>
      </c>
      <c r="F383" s="358" t="n">
        <v>0</v>
      </c>
      <c r="G383" s="372" t="n">
        <v>0</v>
      </c>
      <c r="H383" s="373" t="n">
        <v>0</v>
      </c>
      <c r="I383" s="358" t="n">
        <v>0</v>
      </c>
      <c r="J383" s="358" t="n">
        <v>0</v>
      </c>
      <c r="K383" s="372" t="n">
        <v>0</v>
      </c>
      <c r="L383" s="373" t="n">
        <v>0</v>
      </c>
      <c r="M383" s="358" t="n">
        <v>0</v>
      </c>
      <c r="N383" s="358" t="n">
        <v>0</v>
      </c>
      <c r="O383" s="372" t="n">
        <v>0</v>
      </c>
      <c r="P383" s="373" t="n">
        <v>0</v>
      </c>
      <c r="Q383" s="358" t="n">
        <v>0</v>
      </c>
      <c r="R383" s="358" t="n">
        <v>0</v>
      </c>
      <c r="S383" s="372" t="n">
        <v>0</v>
      </c>
      <c r="T383" s="373" t="n">
        <v>0</v>
      </c>
      <c r="U383" s="358" t="n">
        <v>0</v>
      </c>
      <c r="V383" s="358" t="n">
        <v>0</v>
      </c>
      <c r="W383" s="372" t="n">
        <v>0</v>
      </c>
      <c r="X383" s="373" t="n">
        <v>0</v>
      </c>
      <c r="Y383" s="358" t="n">
        <v>0</v>
      </c>
      <c r="Z383" s="358" t="n">
        <v>0</v>
      </c>
      <c r="AA383" s="358" t="n">
        <v>0</v>
      </c>
      <c r="AB383" s="373" t="n">
        <v>0</v>
      </c>
      <c r="AC383" s="358" t="n">
        <v>0</v>
      </c>
      <c r="AD383" s="358" t="n">
        <v>0</v>
      </c>
      <c r="AE383" s="358" t="n">
        <v>0</v>
      </c>
      <c r="AF383" s="359" t="n">
        <v>1</v>
      </c>
    </row>
    <row r="384" customFormat="false" ht="15" hidden="true" customHeight="false" outlineLevel="0" collapsed="false">
      <c r="B384" s="360" t="s">
        <v>2865</v>
      </c>
      <c r="C384" s="359" t="n">
        <v>1</v>
      </c>
      <c r="D384" s="358" t="n">
        <v>0</v>
      </c>
      <c r="E384" s="358" t="n">
        <v>0</v>
      </c>
      <c r="F384" s="358" t="n">
        <v>0</v>
      </c>
      <c r="G384" s="372" t="n">
        <v>0</v>
      </c>
      <c r="H384" s="373" t="n">
        <v>0</v>
      </c>
      <c r="I384" s="358" t="n">
        <v>0</v>
      </c>
      <c r="J384" s="358" t="n">
        <v>0</v>
      </c>
      <c r="K384" s="372" t="n">
        <v>0</v>
      </c>
      <c r="L384" s="373" t="n">
        <v>0</v>
      </c>
      <c r="M384" s="358" t="n">
        <v>0</v>
      </c>
      <c r="N384" s="358" t="n">
        <v>0</v>
      </c>
      <c r="O384" s="372" t="n">
        <v>0</v>
      </c>
      <c r="P384" s="373" t="n">
        <v>0</v>
      </c>
      <c r="Q384" s="358" t="n">
        <v>0</v>
      </c>
      <c r="R384" s="358" t="n">
        <v>0</v>
      </c>
      <c r="S384" s="372" t="n">
        <v>0</v>
      </c>
      <c r="T384" s="373" t="n">
        <v>0</v>
      </c>
      <c r="U384" s="358" t="n">
        <v>0</v>
      </c>
      <c r="V384" s="358" t="n">
        <v>0</v>
      </c>
      <c r="W384" s="372" t="n">
        <v>0</v>
      </c>
      <c r="X384" s="373" t="n">
        <v>0</v>
      </c>
      <c r="Y384" s="358" t="n">
        <v>0</v>
      </c>
      <c r="Z384" s="358" t="n">
        <v>0</v>
      </c>
      <c r="AA384" s="358" t="n">
        <v>0</v>
      </c>
      <c r="AB384" s="373" t="n">
        <v>0</v>
      </c>
      <c r="AC384" s="358" t="n">
        <v>0</v>
      </c>
      <c r="AD384" s="358" t="n">
        <v>0</v>
      </c>
      <c r="AE384" s="358" t="n">
        <v>0</v>
      </c>
      <c r="AF384" s="359" t="n">
        <v>1</v>
      </c>
    </row>
    <row r="385" customFormat="false" ht="15" hidden="true" customHeight="false" outlineLevel="0" collapsed="false">
      <c r="B385" s="360" t="s">
        <v>2866</v>
      </c>
      <c r="C385" s="359" t="n">
        <v>1</v>
      </c>
      <c r="D385" s="358" t="n">
        <v>0</v>
      </c>
      <c r="E385" s="358" t="n">
        <v>0</v>
      </c>
      <c r="F385" s="358" t="n">
        <v>0</v>
      </c>
      <c r="G385" s="372" t="n">
        <v>0</v>
      </c>
      <c r="H385" s="373" t="n">
        <v>0</v>
      </c>
      <c r="I385" s="358" t="n">
        <v>0</v>
      </c>
      <c r="J385" s="358" t="n">
        <v>0</v>
      </c>
      <c r="K385" s="372" t="n">
        <v>0</v>
      </c>
      <c r="L385" s="373" t="n">
        <v>0</v>
      </c>
      <c r="M385" s="358" t="n">
        <v>0</v>
      </c>
      <c r="N385" s="358" t="n">
        <v>0</v>
      </c>
      <c r="O385" s="372" t="n">
        <v>0</v>
      </c>
      <c r="P385" s="373" t="n">
        <v>0</v>
      </c>
      <c r="Q385" s="358" t="n">
        <v>0</v>
      </c>
      <c r="R385" s="358" t="n">
        <v>0</v>
      </c>
      <c r="S385" s="372" t="n">
        <v>0</v>
      </c>
      <c r="T385" s="373" t="n">
        <v>0</v>
      </c>
      <c r="U385" s="358" t="n">
        <v>0</v>
      </c>
      <c r="V385" s="358" t="n">
        <v>0</v>
      </c>
      <c r="W385" s="372" t="n">
        <v>0</v>
      </c>
      <c r="X385" s="373" t="n">
        <v>0</v>
      </c>
      <c r="Y385" s="358" t="n">
        <v>0</v>
      </c>
      <c r="Z385" s="358" t="n">
        <v>0</v>
      </c>
      <c r="AA385" s="358" t="n">
        <v>0</v>
      </c>
      <c r="AB385" s="373" t="n">
        <v>0</v>
      </c>
      <c r="AC385" s="358" t="n">
        <v>0</v>
      </c>
      <c r="AD385" s="358" t="n">
        <v>0</v>
      </c>
      <c r="AE385" s="358" t="n">
        <v>0</v>
      </c>
      <c r="AF385" s="359" t="n">
        <v>1</v>
      </c>
    </row>
    <row r="386" customFormat="false" ht="15" hidden="true" customHeight="false" outlineLevel="0" collapsed="false">
      <c r="B386" s="360" t="s">
        <v>2867</v>
      </c>
      <c r="C386" s="359" t="n">
        <v>1</v>
      </c>
      <c r="D386" s="358" t="n">
        <v>0</v>
      </c>
      <c r="E386" s="358" t="n">
        <v>0</v>
      </c>
      <c r="F386" s="358" t="n">
        <v>0</v>
      </c>
      <c r="G386" s="372" t="n">
        <v>0</v>
      </c>
      <c r="H386" s="373" t="n">
        <v>0</v>
      </c>
      <c r="I386" s="358" t="n">
        <v>0</v>
      </c>
      <c r="J386" s="358" t="n">
        <v>0</v>
      </c>
      <c r="K386" s="372" t="n">
        <v>0</v>
      </c>
      <c r="L386" s="373" t="n">
        <v>0</v>
      </c>
      <c r="M386" s="358" t="n">
        <v>0</v>
      </c>
      <c r="N386" s="358" t="n">
        <v>0</v>
      </c>
      <c r="O386" s="372" t="n">
        <v>0</v>
      </c>
      <c r="P386" s="373" t="n">
        <v>0</v>
      </c>
      <c r="Q386" s="358" t="n">
        <v>0</v>
      </c>
      <c r="R386" s="358" t="n">
        <v>0</v>
      </c>
      <c r="S386" s="372" t="n">
        <v>0</v>
      </c>
      <c r="T386" s="373" t="n">
        <v>0</v>
      </c>
      <c r="U386" s="358" t="n">
        <v>0</v>
      </c>
      <c r="V386" s="358" t="n">
        <v>0</v>
      </c>
      <c r="W386" s="372" t="n">
        <v>0</v>
      </c>
      <c r="X386" s="373" t="n">
        <v>0</v>
      </c>
      <c r="Y386" s="358" t="n">
        <v>0</v>
      </c>
      <c r="Z386" s="358" t="n">
        <v>0</v>
      </c>
      <c r="AA386" s="358" t="n">
        <v>0</v>
      </c>
      <c r="AB386" s="373" t="n">
        <v>0</v>
      </c>
      <c r="AC386" s="358" t="n">
        <v>0</v>
      </c>
      <c r="AD386" s="358" t="n">
        <v>0</v>
      </c>
      <c r="AE386" s="358" t="n">
        <v>0</v>
      </c>
      <c r="AF386" s="359" t="n">
        <v>1</v>
      </c>
    </row>
    <row r="387" customFormat="false" ht="15" hidden="true" customHeight="false" outlineLevel="0" collapsed="false">
      <c r="B387" s="360" t="s">
        <v>2868</v>
      </c>
      <c r="C387" s="359" t="n">
        <v>1</v>
      </c>
      <c r="D387" s="358" t="n">
        <v>0</v>
      </c>
      <c r="E387" s="358" t="n">
        <v>0</v>
      </c>
      <c r="F387" s="358" t="n">
        <v>0</v>
      </c>
      <c r="G387" s="372" t="n">
        <v>0</v>
      </c>
      <c r="H387" s="373" t="n">
        <v>0</v>
      </c>
      <c r="I387" s="358" t="n">
        <v>0</v>
      </c>
      <c r="J387" s="358" t="n">
        <v>0</v>
      </c>
      <c r="K387" s="372" t="n">
        <v>0</v>
      </c>
      <c r="L387" s="373" t="n">
        <v>0</v>
      </c>
      <c r="M387" s="358" t="n">
        <v>0</v>
      </c>
      <c r="N387" s="358" t="n">
        <v>0</v>
      </c>
      <c r="O387" s="372" t="n">
        <v>0</v>
      </c>
      <c r="P387" s="373" t="n">
        <v>0</v>
      </c>
      <c r="Q387" s="358" t="n">
        <v>0</v>
      </c>
      <c r="R387" s="358" t="n">
        <v>0</v>
      </c>
      <c r="S387" s="372" t="n">
        <v>0</v>
      </c>
      <c r="T387" s="373" t="n">
        <v>0</v>
      </c>
      <c r="U387" s="358" t="n">
        <v>0</v>
      </c>
      <c r="V387" s="358" t="n">
        <v>0</v>
      </c>
      <c r="W387" s="372" t="n">
        <v>0</v>
      </c>
      <c r="X387" s="373" t="n">
        <v>0</v>
      </c>
      <c r="Y387" s="358" t="n">
        <v>0</v>
      </c>
      <c r="Z387" s="358" t="n">
        <v>0</v>
      </c>
      <c r="AA387" s="358" t="n">
        <v>0</v>
      </c>
      <c r="AB387" s="373" t="n">
        <v>0</v>
      </c>
      <c r="AC387" s="358" t="n">
        <v>0</v>
      </c>
      <c r="AD387" s="358" t="n">
        <v>0</v>
      </c>
      <c r="AE387" s="358" t="n">
        <v>0</v>
      </c>
      <c r="AF387" s="359" t="n">
        <v>1</v>
      </c>
    </row>
    <row r="388" customFormat="false" ht="15" hidden="true" customHeight="false" outlineLevel="0" collapsed="false">
      <c r="B388" s="360" t="s">
        <v>2869</v>
      </c>
      <c r="C388" s="359" t="n">
        <v>1</v>
      </c>
      <c r="D388" s="358" t="n">
        <v>0</v>
      </c>
      <c r="E388" s="358" t="n">
        <v>0</v>
      </c>
      <c r="F388" s="358" t="n">
        <v>0</v>
      </c>
      <c r="G388" s="372" t="n">
        <v>0</v>
      </c>
      <c r="H388" s="373" t="n">
        <v>0</v>
      </c>
      <c r="I388" s="358" t="n">
        <v>0</v>
      </c>
      <c r="J388" s="358" t="n">
        <v>0</v>
      </c>
      <c r="K388" s="372" t="n">
        <v>0</v>
      </c>
      <c r="L388" s="373" t="n">
        <v>0</v>
      </c>
      <c r="M388" s="358" t="n">
        <v>0</v>
      </c>
      <c r="N388" s="358" t="n">
        <v>0</v>
      </c>
      <c r="O388" s="372" t="n">
        <v>0</v>
      </c>
      <c r="P388" s="373" t="n">
        <v>0</v>
      </c>
      <c r="Q388" s="358" t="n">
        <v>0</v>
      </c>
      <c r="R388" s="358" t="n">
        <v>0</v>
      </c>
      <c r="S388" s="372" t="n">
        <v>0</v>
      </c>
      <c r="T388" s="373" t="n">
        <v>0</v>
      </c>
      <c r="U388" s="358" t="n">
        <v>0</v>
      </c>
      <c r="V388" s="358" t="n">
        <v>0</v>
      </c>
      <c r="W388" s="372" t="n">
        <v>0</v>
      </c>
      <c r="X388" s="373" t="n">
        <v>0</v>
      </c>
      <c r="Y388" s="358" t="n">
        <v>0</v>
      </c>
      <c r="Z388" s="358" t="n">
        <v>0</v>
      </c>
      <c r="AA388" s="358" t="n">
        <v>0</v>
      </c>
      <c r="AB388" s="373" t="n">
        <v>0</v>
      </c>
      <c r="AC388" s="358" t="n">
        <v>0</v>
      </c>
      <c r="AD388" s="358" t="n">
        <v>0</v>
      </c>
      <c r="AE388" s="358" t="n">
        <v>0</v>
      </c>
      <c r="AF388" s="359" t="n">
        <v>1</v>
      </c>
    </row>
    <row r="389" customFormat="false" ht="15" hidden="true" customHeight="false" outlineLevel="0" collapsed="false">
      <c r="B389" s="360" t="s">
        <v>2870</v>
      </c>
      <c r="C389" s="359" t="n">
        <v>1</v>
      </c>
      <c r="D389" s="358" t="n">
        <v>0</v>
      </c>
      <c r="E389" s="358" t="n">
        <v>0</v>
      </c>
      <c r="F389" s="358" t="n">
        <v>0</v>
      </c>
      <c r="G389" s="372" t="n">
        <v>0</v>
      </c>
      <c r="H389" s="373" t="n">
        <v>0</v>
      </c>
      <c r="I389" s="358" t="n">
        <v>0</v>
      </c>
      <c r="J389" s="358" t="n">
        <v>0</v>
      </c>
      <c r="K389" s="372" t="n">
        <v>0</v>
      </c>
      <c r="L389" s="373" t="n">
        <v>0</v>
      </c>
      <c r="M389" s="358" t="n">
        <v>0</v>
      </c>
      <c r="N389" s="358" t="n">
        <v>0</v>
      </c>
      <c r="O389" s="372" t="n">
        <v>0</v>
      </c>
      <c r="P389" s="373" t="n">
        <v>0</v>
      </c>
      <c r="Q389" s="358" t="n">
        <v>0</v>
      </c>
      <c r="R389" s="358" t="n">
        <v>0</v>
      </c>
      <c r="S389" s="372" t="n">
        <v>0</v>
      </c>
      <c r="T389" s="373" t="n">
        <v>0</v>
      </c>
      <c r="U389" s="358" t="n">
        <v>0</v>
      </c>
      <c r="V389" s="358" t="n">
        <v>0</v>
      </c>
      <c r="W389" s="372" t="n">
        <v>0</v>
      </c>
      <c r="X389" s="373" t="n">
        <v>0</v>
      </c>
      <c r="Y389" s="358" t="n">
        <v>0</v>
      </c>
      <c r="Z389" s="358" t="n">
        <v>0</v>
      </c>
      <c r="AA389" s="358" t="n">
        <v>0</v>
      </c>
      <c r="AB389" s="373" t="n">
        <v>0</v>
      </c>
      <c r="AC389" s="358" t="n">
        <v>0</v>
      </c>
      <c r="AD389" s="358" t="n">
        <v>0</v>
      </c>
      <c r="AE389" s="358" t="n">
        <v>0</v>
      </c>
      <c r="AF389" s="359" t="n">
        <v>1</v>
      </c>
    </row>
    <row r="390" customFormat="false" ht="15" hidden="true" customHeight="false" outlineLevel="0" collapsed="false">
      <c r="B390" s="360" t="s">
        <v>2871</v>
      </c>
      <c r="C390" s="359" t="n">
        <v>1</v>
      </c>
      <c r="D390" s="358" t="n">
        <v>0</v>
      </c>
      <c r="E390" s="358" t="n">
        <v>0</v>
      </c>
      <c r="F390" s="358" t="n">
        <v>0</v>
      </c>
      <c r="G390" s="372" t="n">
        <v>0</v>
      </c>
      <c r="H390" s="373" t="n">
        <v>0</v>
      </c>
      <c r="I390" s="358" t="n">
        <v>0</v>
      </c>
      <c r="J390" s="358" t="n">
        <v>0</v>
      </c>
      <c r="K390" s="372" t="n">
        <v>0</v>
      </c>
      <c r="L390" s="373" t="n">
        <v>0</v>
      </c>
      <c r="M390" s="358" t="n">
        <v>0</v>
      </c>
      <c r="N390" s="358" t="n">
        <v>0</v>
      </c>
      <c r="O390" s="372" t="n">
        <v>0</v>
      </c>
      <c r="P390" s="373" t="n">
        <v>0</v>
      </c>
      <c r="Q390" s="358" t="n">
        <v>0</v>
      </c>
      <c r="R390" s="358" t="n">
        <v>0</v>
      </c>
      <c r="S390" s="372" t="n">
        <v>0</v>
      </c>
      <c r="T390" s="373" t="n">
        <v>0</v>
      </c>
      <c r="U390" s="358" t="n">
        <v>0</v>
      </c>
      <c r="V390" s="358" t="n">
        <v>0</v>
      </c>
      <c r="W390" s="372" t="n">
        <v>0</v>
      </c>
      <c r="X390" s="373" t="n">
        <v>0</v>
      </c>
      <c r="Y390" s="358" t="n">
        <v>0</v>
      </c>
      <c r="Z390" s="358" t="n">
        <v>0</v>
      </c>
      <c r="AA390" s="358" t="n">
        <v>0</v>
      </c>
      <c r="AB390" s="373" t="n">
        <v>0</v>
      </c>
      <c r="AC390" s="358" t="n">
        <v>0</v>
      </c>
      <c r="AD390" s="358" t="n">
        <v>0</v>
      </c>
      <c r="AE390" s="358" t="n">
        <v>0</v>
      </c>
      <c r="AF390" s="359" t="n">
        <v>1</v>
      </c>
    </row>
    <row r="391" customFormat="false" ht="15" hidden="true" customHeight="false" outlineLevel="0" collapsed="false">
      <c r="B391" s="360" t="s">
        <v>2872</v>
      </c>
      <c r="C391" s="359" t="n">
        <v>1</v>
      </c>
      <c r="D391" s="358" t="n">
        <v>0</v>
      </c>
      <c r="E391" s="358" t="n">
        <v>0</v>
      </c>
      <c r="F391" s="358" t="n">
        <v>0</v>
      </c>
      <c r="G391" s="372" t="n">
        <v>0</v>
      </c>
      <c r="H391" s="373" t="n">
        <v>0</v>
      </c>
      <c r="I391" s="358" t="n">
        <v>0</v>
      </c>
      <c r="J391" s="358" t="n">
        <v>0</v>
      </c>
      <c r="K391" s="372" t="n">
        <v>0</v>
      </c>
      <c r="L391" s="373" t="n">
        <v>0</v>
      </c>
      <c r="M391" s="358" t="n">
        <v>0</v>
      </c>
      <c r="N391" s="358" t="n">
        <v>0</v>
      </c>
      <c r="O391" s="372" t="n">
        <v>0</v>
      </c>
      <c r="P391" s="373" t="n">
        <v>0</v>
      </c>
      <c r="Q391" s="358" t="n">
        <v>0</v>
      </c>
      <c r="R391" s="358" t="n">
        <v>0</v>
      </c>
      <c r="S391" s="372" t="n">
        <v>0</v>
      </c>
      <c r="T391" s="373" t="n">
        <v>0</v>
      </c>
      <c r="U391" s="358" t="n">
        <v>0</v>
      </c>
      <c r="V391" s="358" t="n">
        <v>0</v>
      </c>
      <c r="W391" s="372" t="n">
        <v>0</v>
      </c>
      <c r="X391" s="373" t="n">
        <v>0</v>
      </c>
      <c r="Y391" s="358" t="n">
        <v>0</v>
      </c>
      <c r="Z391" s="358" t="n">
        <v>0</v>
      </c>
      <c r="AA391" s="358" t="n">
        <v>0</v>
      </c>
      <c r="AB391" s="373" t="n">
        <v>0</v>
      </c>
      <c r="AC391" s="358" t="n">
        <v>0</v>
      </c>
      <c r="AD391" s="358" t="n">
        <v>0</v>
      </c>
      <c r="AE391" s="358" t="n">
        <v>0</v>
      </c>
      <c r="AF391" s="359" t="n">
        <v>1</v>
      </c>
    </row>
    <row r="392" customFormat="false" ht="15" hidden="true" customHeight="false" outlineLevel="0" collapsed="false">
      <c r="B392" s="360" t="s">
        <v>2873</v>
      </c>
      <c r="C392" s="359" t="n">
        <v>1</v>
      </c>
      <c r="D392" s="358" t="n">
        <v>0</v>
      </c>
      <c r="E392" s="358" t="n">
        <v>0</v>
      </c>
      <c r="F392" s="358" t="n">
        <v>0</v>
      </c>
      <c r="G392" s="372" t="n">
        <v>0</v>
      </c>
      <c r="H392" s="373" t="n">
        <v>0</v>
      </c>
      <c r="I392" s="358" t="n">
        <v>0</v>
      </c>
      <c r="J392" s="358" t="n">
        <v>0</v>
      </c>
      <c r="K392" s="372" t="n">
        <v>0</v>
      </c>
      <c r="L392" s="373" t="n">
        <v>0</v>
      </c>
      <c r="M392" s="358" t="n">
        <v>0</v>
      </c>
      <c r="N392" s="358" t="n">
        <v>0</v>
      </c>
      <c r="O392" s="372" t="n">
        <v>0</v>
      </c>
      <c r="P392" s="373" t="n">
        <v>0</v>
      </c>
      <c r="Q392" s="358" t="n">
        <v>0</v>
      </c>
      <c r="R392" s="358" t="n">
        <v>0</v>
      </c>
      <c r="S392" s="372" t="n">
        <v>0</v>
      </c>
      <c r="T392" s="373" t="n">
        <v>0</v>
      </c>
      <c r="U392" s="358" t="n">
        <v>0</v>
      </c>
      <c r="V392" s="358" t="n">
        <v>0</v>
      </c>
      <c r="W392" s="372" t="n">
        <v>0</v>
      </c>
      <c r="X392" s="373" t="n">
        <v>0</v>
      </c>
      <c r="Y392" s="358" t="n">
        <v>0</v>
      </c>
      <c r="Z392" s="358" t="n">
        <v>0</v>
      </c>
      <c r="AA392" s="358" t="n">
        <v>0</v>
      </c>
      <c r="AB392" s="373" t="n">
        <v>0</v>
      </c>
      <c r="AC392" s="358" t="n">
        <v>0</v>
      </c>
      <c r="AD392" s="358" t="n">
        <v>0</v>
      </c>
      <c r="AE392" s="358" t="n">
        <v>0</v>
      </c>
      <c r="AF392" s="359" t="n">
        <v>1</v>
      </c>
    </row>
    <row r="393" customFormat="false" ht="15" hidden="true" customHeight="false" outlineLevel="0" collapsed="false">
      <c r="B393" s="360" t="s">
        <v>2874</v>
      </c>
      <c r="C393" s="359" t="n">
        <v>1</v>
      </c>
      <c r="D393" s="358" t="n">
        <v>0</v>
      </c>
      <c r="E393" s="358" t="n">
        <v>0</v>
      </c>
      <c r="F393" s="358" t="n">
        <v>0</v>
      </c>
      <c r="G393" s="372" t="n">
        <v>0</v>
      </c>
      <c r="H393" s="373" t="n">
        <v>0</v>
      </c>
      <c r="I393" s="358" t="n">
        <v>0</v>
      </c>
      <c r="J393" s="358" t="n">
        <v>0</v>
      </c>
      <c r="K393" s="372" t="n">
        <v>0</v>
      </c>
      <c r="L393" s="373" t="n">
        <v>0</v>
      </c>
      <c r="M393" s="358" t="n">
        <v>0</v>
      </c>
      <c r="N393" s="358" t="n">
        <v>0</v>
      </c>
      <c r="O393" s="372" t="n">
        <v>0</v>
      </c>
      <c r="P393" s="373" t="n">
        <v>0</v>
      </c>
      <c r="Q393" s="358" t="n">
        <v>0</v>
      </c>
      <c r="R393" s="358" t="n">
        <v>0</v>
      </c>
      <c r="S393" s="372" t="n">
        <v>0</v>
      </c>
      <c r="T393" s="373" t="n">
        <v>0</v>
      </c>
      <c r="U393" s="358" t="n">
        <v>0</v>
      </c>
      <c r="V393" s="358" t="n">
        <v>0</v>
      </c>
      <c r="W393" s="372" t="n">
        <v>0</v>
      </c>
      <c r="X393" s="373" t="n">
        <v>0</v>
      </c>
      <c r="Y393" s="358" t="n">
        <v>0</v>
      </c>
      <c r="Z393" s="358" t="n">
        <v>0</v>
      </c>
      <c r="AA393" s="358" t="n">
        <v>0</v>
      </c>
      <c r="AB393" s="373" t="n">
        <v>0</v>
      </c>
      <c r="AC393" s="358" t="n">
        <v>0</v>
      </c>
      <c r="AD393" s="358" t="n">
        <v>0</v>
      </c>
      <c r="AE393" s="358" t="n">
        <v>0</v>
      </c>
      <c r="AF393" s="359" t="n">
        <v>1</v>
      </c>
    </row>
    <row r="394" customFormat="false" ht="15" hidden="true" customHeight="false" outlineLevel="0" collapsed="false">
      <c r="B394" s="360" t="s">
        <v>2875</v>
      </c>
      <c r="C394" s="359" t="n">
        <v>1</v>
      </c>
      <c r="D394" s="358" t="n">
        <v>0</v>
      </c>
      <c r="E394" s="358" t="n">
        <v>0</v>
      </c>
      <c r="F394" s="358" t="n">
        <v>0</v>
      </c>
      <c r="G394" s="372" t="n">
        <v>0</v>
      </c>
      <c r="H394" s="373" t="n">
        <v>0</v>
      </c>
      <c r="I394" s="358" t="n">
        <v>0</v>
      </c>
      <c r="J394" s="358" t="n">
        <v>0</v>
      </c>
      <c r="K394" s="372" t="n">
        <v>0</v>
      </c>
      <c r="L394" s="373" t="n">
        <v>0</v>
      </c>
      <c r="M394" s="358" t="n">
        <v>0</v>
      </c>
      <c r="N394" s="358" t="n">
        <v>0</v>
      </c>
      <c r="O394" s="372" t="n">
        <v>0</v>
      </c>
      <c r="P394" s="373" t="n">
        <v>0</v>
      </c>
      <c r="Q394" s="358" t="n">
        <v>0</v>
      </c>
      <c r="R394" s="358" t="n">
        <v>0</v>
      </c>
      <c r="S394" s="372" t="n">
        <v>0</v>
      </c>
      <c r="T394" s="373" t="n">
        <v>0</v>
      </c>
      <c r="U394" s="358" t="n">
        <v>0</v>
      </c>
      <c r="V394" s="358" t="n">
        <v>0</v>
      </c>
      <c r="W394" s="372" t="n">
        <v>0</v>
      </c>
      <c r="X394" s="373" t="n">
        <v>0</v>
      </c>
      <c r="Y394" s="358" t="n">
        <v>0</v>
      </c>
      <c r="Z394" s="358" t="n">
        <v>0</v>
      </c>
      <c r="AA394" s="358" t="n">
        <v>0</v>
      </c>
      <c r="AB394" s="373" t="n">
        <v>0</v>
      </c>
      <c r="AC394" s="358" t="n">
        <v>0</v>
      </c>
      <c r="AD394" s="358" t="n">
        <v>0</v>
      </c>
      <c r="AE394" s="358" t="n">
        <v>0</v>
      </c>
      <c r="AF394" s="359" t="n">
        <v>1</v>
      </c>
    </row>
    <row r="395" customFormat="false" ht="15" hidden="true" customHeight="false" outlineLevel="0" collapsed="false">
      <c r="B395" s="360" t="s">
        <v>2876</v>
      </c>
      <c r="C395" s="359" t="n">
        <v>1</v>
      </c>
      <c r="D395" s="358" t="n">
        <v>0</v>
      </c>
      <c r="E395" s="358" t="n">
        <v>0</v>
      </c>
      <c r="F395" s="358" t="n">
        <v>0</v>
      </c>
      <c r="G395" s="372" t="n">
        <v>0</v>
      </c>
      <c r="H395" s="373" t="n">
        <v>0</v>
      </c>
      <c r="I395" s="358" t="n">
        <v>0</v>
      </c>
      <c r="J395" s="358" t="n">
        <v>0</v>
      </c>
      <c r="K395" s="372" t="n">
        <v>0</v>
      </c>
      <c r="L395" s="373" t="n">
        <v>0</v>
      </c>
      <c r="M395" s="358" t="n">
        <v>0</v>
      </c>
      <c r="N395" s="358" t="n">
        <v>0</v>
      </c>
      <c r="O395" s="372" t="n">
        <v>0</v>
      </c>
      <c r="P395" s="373" t="n">
        <v>0</v>
      </c>
      <c r="Q395" s="358" t="n">
        <v>0</v>
      </c>
      <c r="R395" s="358" t="n">
        <v>0</v>
      </c>
      <c r="S395" s="372" t="n">
        <v>0</v>
      </c>
      <c r="T395" s="373" t="n">
        <v>0</v>
      </c>
      <c r="U395" s="358" t="n">
        <v>0</v>
      </c>
      <c r="V395" s="358" t="n">
        <v>0</v>
      </c>
      <c r="W395" s="372" t="n">
        <v>0</v>
      </c>
      <c r="X395" s="373" t="n">
        <v>0</v>
      </c>
      <c r="Y395" s="358" t="n">
        <v>0</v>
      </c>
      <c r="Z395" s="358" t="n">
        <v>0</v>
      </c>
      <c r="AA395" s="358" t="n">
        <v>0</v>
      </c>
      <c r="AB395" s="373" t="n">
        <v>0</v>
      </c>
      <c r="AC395" s="358" t="n">
        <v>0</v>
      </c>
      <c r="AD395" s="358" t="n">
        <v>0</v>
      </c>
      <c r="AE395" s="358" t="n">
        <v>0</v>
      </c>
      <c r="AF395" s="359" t="n">
        <v>1</v>
      </c>
    </row>
    <row r="396" customFormat="false" ht="15" hidden="true" customHeight="false" outlineLevel="0" collapsed="false">
      <c r="B396" s="360" t="s">
        <v>2877</v>
      </c>
      <c r="C396" s="359" t="n">
        <v>1</v>
      </c>
      <c r="D396" s="358" t="n">
        <v>0</v>
      </c>
      <c r="E396" s="358" t="n">
        <v>0</v>
      </c>
      <c r="F396" s="358" t="n">
        <v>0</v>
      </c>
      <c r="G396" s="372" t="n">
        <v>0</v>
      </c>
      <c r="H396" s="373" t="n">
        <v>0</v>
      </c>
      <c r="I396" s="358" t="n">
        <v>0</v>
      </c>
      <c r="J396" s="358" t="n">
        <v>0</v>
      </c>
      <c r="K396" s="372" t="n">
        <v>0</v>
      </c>
      <c r="L396" s="373" t="n">
        <v>0</v>
      </c>
      <c r="M396" s="358" t="n">
        <v>0</v>
      </c>
      <c r="N396" s="358" t="n">
        <v>0</v>
      </c>
      <c r="O396" s="372" t="n">
        <v>0</v>
      </c>
      <c r="P396" s="373" t="n">
        <v>0</v>
      </c>
      <c r="Q396" s="358" t="n">
        <v>0</v>
      </c>
      <c r="R396" s="358" t="n">
        <v>0</v>
      </c>
      <c r="S396" s="372" t="n">
        <v>0</v>
      </c>
      <c r="T396" s="373" t="n">
        <v>0</v>
      </c>
      <c r="U396" s="358" t="n">
        <v>0</v>
      </c>
      <c r="V396" s="358" t="n">
        <v>0</v>
      </c>
      <c r="W396" s="372" t="n">
        <v>0</v>
      </c>
      <c r="X396" s="373" t="n">
        <v>0</v>
      </c>
      <c r="Y396" s="358" t="n">
        <v>0</v>
      </c>
      <c r="Z396" s="358" t="n">
        <v>0</v>
      </c>
      <c r="AA396" s="358" t="n">
        <v>0</v>
      </c>
      <c r="AB396" s="373" t="n">
        <v>0</v>
      </c>
      <c r="AC396" s="358" t="n">
        <v>0</v>
      </c>
      <c r="AD396" s="358" t="n">
        <v>0</v>
      </c>
      <c r="AE396" s="358" t="n">
        <v>0</v>
      </c>
      <c r="AF396" s="359" t="n">
        <v>1</v>
      </c>
    </row>
    <row r="397" customFormat="false" ht="15" hidden="true" customHeight="false" outlineLevel="0" collapsed="false">
      <c r="B397" s="360" t="s">
        <v>2878</v>
      </c>
      <c r="C397" s="359" t="n">
        <v>1</v>
      </c>
      <c r="D397" s="358" t="n">
        <v>0</v>
      </c>
      <c r="E397" s="358" t="n">
        <v>0</v>
      </c>
      <c r="F397" s="358" t="n">
        <v>0</v>
      </c>
      <c r="G397" s="372" t="n">
        <v>0</v>
      </c>
      <c r="H397" s="373" t="n">
        <v>0</v>
      </c>
      <c r="I397" s="358" t="n">
        <v>0</v>
      </c>
      <c r="J397" s="358" t="n">
        <v>0</v>
      </c>
      <c r="K397" s="372" t="n">
        <v>0</v>
      </c>
      <c r="L397" s="373" t="n">
        <v>0</v>
      </c>
      <c r="M397" s="358" t="n">
        <v>0</v>
      </c>
      <c r="N397" s="358" t="n">
        <v>0</v>
      </c>
      <c r="O397" s="372" t="n">
        <v>0</v>
      </c>
      <c r="P397" s="373" t="n">
        <v>0</v>
      </c>
      <c r="Q397" s="358" t="n">
        <v>0</v>
      </c>
      <c r="R397" s="358" t="n">
        <v>0</v>
      </c>
      <c r="S397" s="372" t="n">
        <v>0</v>
      </c>
      <c r="T397" s="373" t="n">
        <v>0</v>
      </c>
      <c r="U397" s="358" t="n">
        <v>0</v>
      </c>
      <c r="V397" s="358" t="n">
        <v>0</v>
      </c>
      <c r="W397" s="372" t="n">
        <v>0</v>
      </c>
      <c r="X397" s="373" t="n">
        <v>0</v>
      </c>
      <c r="Y397" s="358" t="n">
        <v>0</v>
      </c>
      <c r="Z397" s="358" t="n">
        <v>0</v>
      </c>
      <c r="AA397" s="358" t="n">
        <v>0</v>
      </c>
      <c r="AB397" s="373" t="n">
        <v>0</v>
      </c>
      <c r="AC397" s="358" t="n">
        <v>0</v>
      </c>
      <c r="AD397" s="358" t="n">
        <v>0</v>
      </c>
      <c r="AE397" s="358" t="n">
        <v>0</v>
      </c>
      <c r="AF397" s="359" t="n">
        <v>1</v>
      </c>
    </row>
    <row r="398" customFormat="false" ht="15" hidden="true" customHeight="false" outlineLevel="0" collapsed="false">
      <c r="B398" s="360" t="s">
        <v>2879</v>
      </c>
      <c r="C398" s="359" t="n">
        <v>1</v>
      </c>
      <c r="D398" s="358" t="n">
        <v>0</v>
      </c>
      <c r="E398" s="358" t="n">
        <v>0</v>
      </c>
      <c r="F398" s="358" t="n">
        <v>0</v>
      </c>
      <c r="G398" s="372" t="n">
        <v>0</v>
      </c>
      <c r="H398" s="373" t="n">
        <v>0</v>
      </c>
      <c r="I398" s="358" t="n">
        <v>0</v>
      </c>
      <c r="J398" s="358" t="n">
        <v>0</v>
      </c>
      <c r="K398" s="372" t="n">
        <v>0</v>
      </c>
      <c r="L398" s="373" t="n">
        <v>0</v>
      </c>
      <c r="M398" s="358" t="n">
        <v>0</v>
      </c>
      <c r="N398" s="358" t="n">
        <v>0</v>
      </c>
      <c r="O398" s="372" t="n">
        <v>0</v>
      </c>
      <c r="P398" s="373" t="n">
        <v>0</v>
      </c>
      <c r="Q398" s="358" t="n">
        <v>0</v>
      </c>
      <c r="R398" s="358" t="n">
        <v>0</v>
      </c>
      <c r="S398" s="372" t="n">
        <v>0</v>
      </c>
      <c r="T398" s="373" t="n">
        <v>0</v>
      </c>
      <c r="U398" s="358" t="n">
        <v>0</v>
      </c>
      <c r="V398" s="358" t="n">
        <v>0</v>
      </c>
      <c r="W398" s="372" t="n">
        <v>0</v>
      </c>
      <c r="X398" s="373" t="n">
        <v>0</v>
      </c>
      <c r="Y398" s="358" t="n">
        <v>0</v>
      </c>
      <c r="Z398" s="358" t="n">
        <v>0</v>
      </c>
      <c r="AA398" s="358" t="n">
        <v>0</v>
      </c>
      <c r="AB398" s="373" t="n">
        <v>0</v>
      </c>
      <c r="AC398" s="358" t="n">
        <v>0</v>
      </c>
      <c r="AD398" s="358" t="n">
        <v>0</v>
      </c>
      <c r="AE398" s="358" t="n">
        <v>0</v>
      </c>
      <c r="AF398" s="359" t="n">
        <v>1</v>
      </c>
    </row>
    <row r="399" customFormat="false" ht="15" hidden="true" customHeight="false" outlineLevel="0" collapsed="false">
      <c r="B399" s="360" t="s">
        <v>2880</v>
      </c>
      <c r="C399" s="359" t="n">
        <v>1</v>
      </c>
      <c r="D399" s="358" t="n">
        <v>0</v>
      </c>
      <c r="E399" s="358" t="n">
        <v>0</v>
      </c>
      <c r="F399" s="358" t="n">
        <v>0</v>
      </c>
      <c r="G399" s="372" t="n">
        <v>0</v>
      </c>
      <c r="H399" s="373" t="n">
        <v>0</v>
      </c>
      <c r="I399" s="358" t="n">
        <v>0</v>
      </c>
      <c r="J399" s="358" t="n">
        <v>0</v>
      </c>
      <c r="K399" s="372" t="n">
        <v>0</v>
      </c>
      <c r="L399" s="373" t="n">
        <v>0</v>
      </c>
      <c r="M399" s="358" t="n">
        <v>0</v>
      </c>
      <c r="N399" s="358" t="n">
        <v>0</v>
      </c>
      <c r="O399" s="372" t="n">
        <v>0</v>
      </c>
      <c r="P399" s="373" t="n">
        <v>0</v>
      </c>
      <c r="Q399" s="358" t="n">
        <v>0</v>
      </c>
      <c r="R399" s="358" t="n">
        <v>0</v>
      </c>
      <c r="S399" s="372" t="n">
        <v>0</v>
      </c>
      <c r="T399" s="373" t="n">
        <v>0</v>
      </c>
      <c r="U399" s="358" t="n">
        <v>0</v>
      </c>
      <c r="V399" s="358" t="n">
        <v>0</v>
      </c>
      <c r="W399" s="372" t="n">
        <v>0</v>
      </c>
      <c r="X399" s="373" t="n">
        <v>0</v>
      </c>
      <c r="Y399" s="358" t="n">
        <v>0</v>
      </c>
      <c r="Z399" s="358" t="n">
        <v>0</v>
      </c>
      <c r="AA399" s="358" t="n">
        <v>0</v>
      </c>
      <c r="AB399" s="373" t="n">
        <v>0</v>
      </c>
      <c r="AC399" s="358" t="n">
        <v>0</v>
      </c>
      <c r="AD399" s="358" t="n">
        <v>0</v>
      </c>
      <c r="AE399" s="358" t="n">
        <v>0</v>
      </c>
      <c r="AF399" s="359" t="n">
        <v>1</v>
      </c>
    </row>
    <row r="400" customFormat="false" ht="15" hidden="true" customHeight="false" outlineLevel="0" collapsed="false">
      <c r="B400" s="360" t="s">
        <v>2881</v>
      </c>
      <c r="C400" s="359" t="n">
        <v>1</v>
      </c>
      <c r="D400" s="358" t="n">
        <v>0</v>
      </c>
      <c r="E400" s="358" t="n">
        <v>0</v>
      </c>
      <c r="F400" s="358" t="n">
        <v>0</v>
      </c>
      <c r="G400" s="372" t="n">
        <v>0</v>
      </c>
      <c r="H400" s="373" t="n">
        <v>0</v>
      </c>
      <c r="I400" s="358" t="n">
        <v>0</v>
      </c>
      <c r="J400" s="358" t="n">
        <v>0</v>
      </c>
      <c r="K400" s="372" t="n">
        <v>0</v>
      </c>
      <c r="L400" s="373" t="n">
        <v>0</v>
      </c>
      <c r="M400" s="358" t="n">
        <v>0</v>
      </c>
      <c r="N400" s="358" t="n">
        <v>0</v>
      </c>
      <c r="O400" s="372" t="n">
        <v>0</v>
      </c>
      <c r="P400" s="373" t="n">
        <v>0</v>
      </c>
      <c r="Q400" s="358" t="n">
        <v>0</v>
      </c>
      <c r="R400" s="358" t="n">
        <v>0</v>
      </c>
      <c r="S400" s="372" t="n">
        <v>0</v>
      </c>
      <c r="T400" s="373" t="n">
        <v>0</v>
      </c>
      <c r="U400" s="358" t="n">
        <v>0</v>
      </c>
      <c r="V400" s="358" t="n">
        <v>0</v>
      </c>
      <c r="W400" s="372" t="n">
        <v>0</v>
      </c>
      <c r="X400" s="373" t="n">
        <v>0</v>
      </c>
      <c r="Y400" s="358" t="n">
        <v>0</v>
      </c>
      <c r="Z400" s="358" t="n">
        <v>0</v>
      </c>
      <c r="AA400" s="358" t="n">
        <v>0</v>
      </c>
      <c r="AB400" s="373" t="n">
        <v>0</v>
      </c>
      <c r="AC400" s="358" t="n">
        <v>0</v>
      </c>
      <c r="AD400" s="358" t="n">
        <v>0</v>
      </c>
      <c r="AE400" s="358" t="n">
        <v>0</v>
      </c>
      <c r="AF400" s="359" t="n">
        <v>1</v>
      </c>
    </row>
    <row r="401" customFormat="false" ht="15" hidden="true" customHeight="false" outlineLevel="0" collapsed="false">
      <c r="B401" s="360" t="s">
        <v>2882</v>
      </c>
      <c r="C401" s="359" t="n">
        <v>1</v>
      </c>
      <c r="D401" s="358" t="n">
        <v>0</v>
      </c>
      <c r="E401" s="358" t="n">
        <v>0</v>
      </c>
      <c r="F401" s="358" t="n">
        <v>0</v>
      </c>
      <c r="G401" s="372" t="n">
        <v>0</v>
      </c>
      <c r="H401" s="373" t="n">
        <v>0</v>
      </c>
      <c r="I401" s="358" t="n">
        <v>0</v>
      </c>
      <c r="J401" s="358" t="n">
        <v>0</v>
      </c>
      <c r="K401" s="372" t="n">
        <v>0</v>
      </c>
      <c r="L401" s="373" t="n">
        <v>0</v>
      </c>
      <c r="M401" s="358" t="n">
        <v>0</v>
      </c>
      <c r="N401" s="358" t="n">
        <v>0</v>
      </c>
      <c r="O401" s="372" t="n">
        <v>0</v>
      </c>
      <c r="P401" s="373" t="n">
        <v>0</v>
      </c>
      <c r="Q401" s="358" t="n">
        <v>0</v>
      </c>
      <c r="R401" s="358" t="n">
        <v>0</v>
      </c>
      <c r="S401" s="372" t="n">
        <v>0</v>
      </c>
      <c r="T401" s="373" t="n">
        <v>0</v>
      </c>
      <c r="U401" s="358" t="n">
        <v>0</v>
      </c>
      <c r="V401" s="358" t="n">
        <v>0</v>
      </c>
      <c r="W401" s="372" t="n">
        <v>0</v>
      </c>
      <c r="X401" s="373" t="n">
        <v>0</v>
      </c>
      <c r="Y401" s="358" t="n">
        <v>0</v>
      </c>
      <c r="Z401" s="358" t="n">
        <v>0</v>
      </c>
      <c r="AA401" s="358" t="n">
        <v>0</v>
      </c>
      <c r="AB401" s="373" t="n">
        <v>0</v>
      </c>
      <c r="AC401" s="358" t="n">
        <v>0</v>
      </c>
      <c r="AD401" s="358" t="n">
        <v>0</v>
      </c>
      <c r="AE401" s="358" t="n">
        <v>0</v>
      </c>
      <c r="AF401" s="359" t="n">
        <v>1</v>
      </c>
    </row>
    <row r="402" customFormat="false" ht="15" hidden="true" customHeight="false" outlineLevel="0" collapsed="false">
      <c r="B402" s="360" t="s">
        <v>2883</v>
      </c>
      <c r="C402" s="359" t="n">
        <v>1</v>
      </c>
      <c r="D402" s="358" t="n">
        <v>0</v>
      </c>
      <c r="E402" s="358" t="n">
        <v>0</v>
      </c>
      <c r="F402" s="358" t="n">
        <v>0</v>
      </c>
      <c r="G402" s="372" t="n">
        <v>0</v>
      </c>
      <c r="H402" s="373" t="n">
        <v>0</v>
      </c>
      <c r="I402" s="358" t="n">
        <v>0</v>
      </c>
      <c r="J402" s="358" t="n">
        <v>0</v>
      </c>
      <c r="K402" s="372" t="n">
        <v>0</v>
      </c>
      <c r="L402" s="373" t="n">
        <v>0</v>
      </c>
      <c r="M402" s="358" t="n">
        <v>0</v>
      </c>
      <c r="N402" s="358" t="n">
        <v>0</v>
      </c>
      <c r="O402" s="372" t="n">
        <v>0</v>
      </c>
      <c r="P402" s="373" t="n">
        <v>0</v>
      </c>
      <c r="Q402" s="358" t="n">
        <v>0</v>
      </c>
      <c r="R402" s="358" t="n">
        <v>0</v>
      </c>
      <c r="S402" s="372" t="n">
        <v>0</v>
      </c>
      <c r="T402" s="373" t="n">
        <v>0</v>
      </c>
      <c r="U402" s="358" t="n">
        <v>0</v>
      </c>
      <c r="V402" s="358" t="n">
        <v>0</v>
      </c>
      <c r="W402" s="372" t="n">
        <v>0</v>
      </c>
      <c r="X402" s="373" t="n">
        <v>0</v>
      </c>
      <c r="Y402" s="358" t="n">
        <v>0</v>
      </c>
      <c r="Z402" s="358" t="n">
        <v>0</v>
      </c>
      <c r="AA402" s="358" t="n">
        <v>0</v>
      </c>
      <c r="AB402" s="373" t="n">
        <v>0</v>
      </c>
      <c r="AC402" s="358" t="n">
        <v>0</v>
      </c>
      <c r="AD402" s="358" t="n">
        <v>0</v>
      </c>
      <c r="AE402" s="358" t="n">
        <v>0</v>
      </c>
      <c r="AF402" s="359" t="n">
        <v>1</v>
      </c>
    </row>
    <row r="403" customFormat="false" ht="15" hidden="true" customHeight="false" outlineLevel="0" collapsed="false">
      <c r="B403" s="360" t="s">
        <v>2884</v>
      </c>
      <c r="C403" s="359" t="n">
        <v>1</v>
      </c>
      <c r="D403" s="358" t="n">
        <v>0</v>
      </c>
      <c r="E403" s="358" t="n">
        <v>0</v>
      </c>
      <c r="F403" s="358" t="n">
        <v>0</v>
      </c>
      <c r="G403" s="372" t="n">
        <v>0</v>
      </c>
      <c r="H403" s="373" t="n">
        <v>0</v>
      </c>
      <c r="I403" s="358" t="n">
        <v>0</v>
      </c>
      <c r="J403" s="358" t="n">
        <v>0</v>
      </c>
      <c r="K403" s="372" t="n">
        <v>0</v>
      </c>
      <c r="L403" s="373" t="n">
        <v>0</v>
      </c>
      <c r="M403" s="358" t="n">
        <v>0</v>
      </c>
      <c r="N403" s="358" t="n">
        <v>0</v>
      </c>
      <c r="O403" s="372" t="n">
        <v>0</v>
      </c>
      <c r="P403" s="373" t="n">
        <v>0</v>
      </c>
      <c r="Q403" s="358" t="n">
        <v>0</v>
      </c>
      <c r="R403" s="358" t="n">
        <v>0</v>
      </c>
      <c r="S403" s="372" t="n">
        <v>0</v>
      </c>
      <c r="T403" s="373" t="n">
        <v>0</v>
      </c>
      <c r="U403" s="358" t="n">
        <v>0</v>
      </c>
      <c r="V403" s="358" t="n">
        <v>0</v>
      </c>
      <c r="W403" s="372" t="n">
        <v>0</v>
      </c>
      <c r="X403" s="373" t="n">
        <v>0</v>
      </c>
      <c r="Y403" s="358" t="n">
        <v>0</v>
      </c>
      <c r="Z403" s="358" t="n">
        <v>0</v>
      </c>
      <c r="AA403" s="358" t="n">
        <v>0</v>
      </c>
      <c r="AB403" s="373" t="n">
        <v>0</v>
      </c>
      <c r="AC403" s="358" t="n">
        <v>0</v>
      </c>
      <c r="AD403" s="358" t="n">
        <v>0</v>
      </c>
      <c r="AE403" s="358" t="n">
        <v>0</v>
      </c>
      <c r="AF403" s="359" t="n">
        <v>1</v>
      </c>
    </row>
    <row r="404" customFormat="false" ht="15" hidden="true" customHeight="false" outlineLevel="0" collapsed="false">
      <c r="B404" s="360" t="s">
        <v>2885</v>
      </c>
      <c r="C404" s="359" t="n">
        <v>1</v>
      </c>
      <c r="D404" s="358" t="n">
        <v>0</v>
      </c>
      <c r="E404" s="358" t="n">
        <v>0</v>
      </c>
      <c r="F404" s="358" t="n">
        <v>0</v>
      </c>
      <c r="G404" s="372" t="n">
        <v>0</v>
      </c>
      <c r="H404" s="373" t="n">
        <v>0</v>
      </c>
      <c r="I404" s="358" t="n">
        <v>0</v>
      </c>
      <c r="J404" s="358" t="n">
        <v>0</v>
      </c>
      <c r="K404" s="372" t="n">
        <v>0</v>
      </c>
      <c r="L404" s="373" t="n">
        <v>0</v>
      </c>
      <c r="M404" s="358" t="n">
        <v>0</v>
      </c>
      <c r="N404" s="358" t="n">
        <v>0</v>
      </c>
      <c r="O404" s="372" t="n">
        <v>0</v>
      </c>
      <c r="P404" s="373" t="n">
        <v>0</v>
      </c>
      <c r="Q404" s="358" t="n">
        <v>0</v>
      </c>
      <c r="R404" s="358" t="n">
        <v>0</v>
      </c>
      <c r="S404" s="372" t="n">
        <v>0</v>
      </c>
      <c r="T404" s="373" t="n">
        <v>0</v>
      </c>
      <c r="U404" s="358" t="n">
        <v>0</v>
      </c>
      <c r="V404" s="358" t="n">
        <v>0</v>
      </c>
      <c r="W404" s="372" t="n">
        <v>0</v>
      </c>
      <c r="X404" s="373" t="n">
        <v>0</v>
      </c>
      <c r="Y404" s="358" t="n">
        <v>0</v>
      </c>
      <c r="Z404" s="358" t="n">
        <v>0</v>
      </c>
      <c r="AA404" s="358" t="n">
        <v>0</v>
      </c>
      <c r="AB404" s="373" t="n">
        <v>0</v>
      </c>
      <c r="AC404" s="358" t="n">
        <v>0</v>
      </c>
      <c r="AD404" s="358" t="n">
        <v>0</v>
      </c>
      <c r="AE404" s="358" t="n">
        <v>0</v>
      </c>
      <c r="AF404" s="359" t="n">
        <v>1</v>
      </c>
    </row>
    <row r="405" customFormat="false" ht="15" hidden="true" customHeight="false" outlineLevel="0" collapsed="false">
      <c r="B405" s="360" t="s">
        <v>2886</v>
      </c>
      <c r="C405" s="359" t="n">
        <v>1</v>
      </c>
      <c r="D405" s="358" t="n">
        <v>0</v>
      </c>
      <c r="E405" s="358" t="n">
        <v>0</v>
      </c>
      <c r="F405" s="358" t="n">
        <v>0</v>
      </c>
      <c r="G405" s="372" t="n">
        <v>0</v>
      </c>
      <c r="H405" s="373" t="n">
        <v>0</v>
      </c>
      <c r="I405" s="358" t="n">
        <v>0</v>
      </c>
      <c r="J405" s="358" t="n">
        <v>0</v>
      </c>
      <c r="K405" s="372" t="n">
        <v>0</v>
      </c>
      <c r="L405" s="373" t="n">
        <v>0</v>
      </c>
      <c r="M405" s="358" t="n">
        <v>0</v>
      </c>
      <c r="N405" s="358" t="n">
        <v>0</v>
      </c>
      <c r="O405" s="372" t="n">
        <v>0</v>
      </c>
      <c r="P405" s="373" t="n">
        <v>0</v>
      </c>
      <c r="Q405" s="358" t="n">
        <v>0</v>
      </c>
      <c r="R405" s="358" t="n">
        <v>0</v>
      </c>
      <c r="S405" s="372" t="n">
        <v>0</v>
      </c>
      <c r="T405" s="373" t="n">
        <v>0</v>
      </c>
      <c r="U405" s="358" t="n">
        <v>0</v>
      </c>
      <c r="V405" s="358" t="n">
        <v>0</v>
      </c>
      <c r="W405" s="372" t="n">
        <v>0</v>
      </c>
      <c r="X405" s="373" t="n">
        <v>0</v>
      </c>
      <c r="Y405" s="358" t="n">
        <v>0</v>
      </c>
      <c r="Z405" s="358" t="n">
        <v>0</v>
      </c>
      <c r="AA405" s="358" t="n">
        <v>0</v>
      </c>
      <c r="AB405" s="373" t="n">
        <v>0</v>
      </c>
      <c r="AC405" s="358" t="n">
        <v>0</v>
      </c>
      <c r="AD405" s="358" t="n">
        <v>0</v>
      </c>
      <c r="AE405" s="358" t="n">
        <v>0</v>
      </c>
      <c r="AF405" s="359" t="n">
        <v>1</v>
      </c>
    </row>
    <row r="406" customFormat="false" ht="15" hidden="true" customHeight="false" outlineLevel="0" collapsed="false">
      <c r="B406" s="360" t="s">
        <v>2887</v>
      </c>
      <c r="C406" s="359" t="n">
        <v>1</v>
      </c>
      <c r="D406" s="358" t="n">
        <v>0</v>
      </c>
      <c r="E406" s="358" t="n">
        <v>0</v>
      </c>
      <c r="F406" s="358" t="n">
        <v>0</v>
      </c>
      <c r="G406" s="372" t="n">
        <v>0</v>
      </c>
      <c r="H406" s="373" t="n">
        <v>0</v>
      </c>
      <c r="I406" s="358" t="n">
        <v>0</v>
      </c>
      <c r="J406" s="358" t="n">
        <v>0</v>
      </c>
      <c r="K406" s="372" t="n">
        <v>0</v>
      </c>
      <c r="L406" s="373" t="n">
        <v>0</v>
      </c>
      <c r="M406" s="358" t="n">
        <v>0</v>
      </c>
      <c r="N406" s="358" t="n">
        <v>0</v>
      </c>
      <c r="O406" s="372" t="n">
        <v>0</v>
      </c>
      <c r="P406" s="373" t="n">
        <v>0</v>
      </c>
      <c r="Q406" s="358" t="n">
        <v>0</v>
      </c>
      <c r="R406" s="358" t="n">
        <v>0</v>
      </c>
      <c r="S406" s="372" t="n">
        <v>0</v>
      </c>
      <c r="T406" s="373" t="n">
        <v>0</v>
      </c>
      <c r="U406" s="358" t="n">
        <v>0</v>
      </c>
      <c r="V406" s="358" t="n">
        <v>0</v>
      </c>
      <c r="W406" s="372" t="n">
        <v>0</v>
      </c>
      <c r="X406" s="373" t="n">
        <v>0</v>
      </c>
      <c r="Y406" s="358" t="n">
        <v>0</v>
      </c>
      <c r="Z406" s="358" t="n">
        <v>0</v>
      </c>
      <c r="AA406" s="358" t="n">
        <v>0</v>
      </c>
      <c r="AB406" s="373" t="n">
        <v>0</v>
      </c>
      <c r="AC406" s="358" t="n">
        <v>0</v>
      </c>
      <c r="AD406" s="358" t="n">
        <v>0</v>
      </c>
      <c r="AE406" s="358" t="n">
        <v>0</v>
      </c>
      <c r="AF406" s="359" t="n">
        <v>1</v>
      </c>
    </row>
    <row r="407" customFormat="false" ht="15" hidden="true" customHeight="false" outlineLevel="0" collapsed="false">
      <c r="B407" s="360" t="s">
        <v>2888</v>
      </c>
      <c r="C407" s="359" t="n">
        <v>1</v>
      </c>
      <c r="D407" s="358" t="n">
        <v>0</v>
      </c>
      <c r="E407" s="358" t="n">
        <v>0</v>
      </c>
      <c r="F407" s="358" t="n">
        <v>0</v>
      </c>
      <c r="G407" s="372" t="n">
        <v>0</v>
      </c>
      <c r="H407" s="373" t="n">
        <v>0</v>
      </c>
      <c r="I407" s="358" t="n">
        <v>0</v>
      </c>
      <c r="J407" s="358" t="n">
        <v>0</v>
      </c>
      <c r="K407" s="372" t="n">
        <v>0</v>
      </c>
      <c r="L407" s="373" t="n">
        <v>0</v>
      </c>
      <c r="M407" s="358" t="n">
        <v>0</v>
      </c>
      <c r="N407" s="358" t="n">
        <v>0</v>
      </c>
      <c r="O407" s="372" t="n">
        <v>0</v>
      </c>
      <c r="P407" s="373" t="n">
        <v>0</v>
      </c>
      <c r="Q407" s="358" t="n">
        <v>0</v>
      </c>
      <c r="R407" s="358" t="n">
        <v>0</v>
      </c>
      <c r="S407" s="372" t="n">
        <v>0</v>
      </c>
      <c r="T407" s="373" t="n">
        <v>0</v>
      </c>
      <c r="U407" s="358" t="n">
        <v>0</v>
      </c>
      <c r="V407" s="358" t="n">
        <v>0</v>
      </c>
      <c r="W407" s="372" t="n">
        <v>0</v>
      </c>
      <c r="X407" s="373" t="n">
        <v>0</v>
      </c>
      <c r="Y407" s="358" t="n">
        <v>0</v>
      </c>
      <c r="Z407" s="358" t="n">
        <v>0</v>
      </c>
      <c r="AA407" s="358" t="n">
        <v>0</v>
      </c>
      <c r="AB407" s="373" t="n">
        <v>0</v>
      </c>
      <c r="AC407" s="358" t="n">
        <v>0</v>
      </c>
      <c r="AD407" s="358" t="n">
        <v>0</v>
      </c>
      <c r="AE407" s="358" t="n">
        <v>0</v>
      </c>
      <c r="AF407" s="359" t="n">
        <v>1</v>
      </c>
    </row>
    <row r="408" customFormat="false" ht="15" hidden="true" customHeight="false" outlineLevel="0" collapsed="false">
      <c r="B408" s="360" t="s">
        <v>2889</v>
      </c>
      <c r="C408" s="359" t="n">
        <v>1</v>
      </c>
      <c r="D408" s="358" t="n">
        <v>0</v>
      </c>
      <c r="E408" s="358" t="n">
        <v>0</v>
      </c>
      <c r="F408" s="358" t="n">
        <v>0</v>
      </c>
      <c r="G408" s="372" t="n">
        <v>0</v>
      </c>
      <c r="H408" s="373" t="n">
        <v>0</v>
      </c>
      <c r="I408" s="358" t="n">
        <v>0</v>
      </c>
      <c r="J408" s="358" t="n">
        <v>0</v>
      </c>
      <c r="K408" s="372" t="n">
        <v>0</v>
      </c>
      <c r="L408" s="373" t="n">
        <v>0</v>
      </c>
      <c r="M408" s="358" t="n">
        <v>0</v>
      </c>
      <c r="N408" s="358" t="n">
        <v>0</v>
      </c>
      <c r="O408" s="372" t="n">
        <v>0</v>
      </c>
      <c r="P408" s="373" t="n">
        <v>0</v>
      </c>
      <c r="Q408" s="358" t="n">
        <v>0</v>
      </c>
      <c r="R408" s="358" t="n">
        <v>0</v>
      </c>
      <c r="S408" s="372" t="n">
        <v>0</v>
      </c>
      <c r="T408" s="373" t="n">
        <v>0</v>
      </c>
      <c r="U408" s="358" t="n">
        <v>0</v>
      </c>
      <c r="V408" s="358" t="n">
        <v>0</v>
      </c>
      <c r="W408" s="372" t="n">
        <v>0</v>
      </c>
      <c r="X408" s="373" t="n">
        <v>0</v>
      </c>
      <c r="Y408" s="358" t="n">
        <v>0</v>
      </c>
      <c r="Z408" s="358" t="n">
        <v>0</v>
      </c>
      <c r="AA408" s="358" t="n">
        <v>0</v>
      </c>
      <c r="AB408" s="373" t="n">
        <v>0</v>
      </c>
      <c r="AC408" s="358" t="n">
        <v>0</v>
      </c>
      <c r="AD408" s="358" t="n">
        <v>0</v>
      </c>
      <c r="AE408" s="358" t="n">
        <v>0</v>
      </c>
      <c r="AF408" s="359" t="n">
        <v>1</v>
      </c>
    </row>
    <row r="409" customFormat="false" ht="15" hidden="true" customHeight="false" outlineLevel="0" collapsed="false">
      <c r="B409" s="360" t="s">
        <v>2890</v>
      </c>
      <c r="C409" s="359" t="n">
        <v>1</v>
      </c>
      <c r="D409" s="358" t="n">
        <v>0</v>
      </c>
      <c r="E409" s="358" t="n">
        <v>0</v>
      </c>
      <c r="F409" s="358" t="n">
        <v>0</v>
      </c>
      <c r="G409" s="372" t="n">
        <v>0</v>
      </c>
      <c r="H409" s="373" t="n">
        <v>0</v>
      </c>
      <c r="I409" s="358" t="n">
        <v>0</v>
      </c>
      <c r="J409" s="358" t="n">
        <v>0</v>
      </c>
      <c r="K409" s="372" t="n">
        <v>0</v>
      </c>
      <c r="L409" s="373" t="n">
        <v>0</v>
      </c>
      <c r="M409" s="358" t="n">
        <v>0</v>
      </c>
      <c r="N409" s="358" t="n">
        <v>0</v>
      </c>
      <c r="O409" s="372" t="n">
        <v>0</v>
      </c>
      <c r="P409" s="373" t="n">
        <v>0</v>
      </c>
      <c r="Q409" s="358" t="n">
        <v>0</v>
      </c>
      <c r="R409" s="358" t="n">
        <v>0</v>
      </c>
      <c r="S409" s="372" t="n">
        <v>0</v>
      </c>
      <c r="T409" s="373" t="n">
        <v>0</v>
      </c>
      <c r="U409" s="358" t="n">
        <v>0</v>
      </c>
      <c r="V409" s="358" t="n">
        <v>0</v>
      </c>
      <c r="W409" s="372" t="n">
        <v>0</v>
      </c>
      <c r="X409" s="373" t="n">
        <v>0</v>
      </c>
      <c r="Y409" s="358" t="n">
        <v>0</v>
      </c>
      <c r="Z409" s="358" t="n">
        <v>0</v>
      </c>
      <c r="AA409" s="358" t="n">
        <v>0</v>
      </c>
      <c r="AB409" s="373" t="n">
        <v>0</v>
      </c>
      <c r="AC409" s="358" t="n">
        <v>0</v>
      </c>
      <c r="AD409" s="358" t="n">
        <v>0</v>
      </c>
      <c r="AE409" s="358" t="n">
        <v>0</v>
      </c>
      <c r="AF409" s="359" t="n">
        <v>1</v>
      </c>
    </row>
    <row r="410" customFormat="false" ht="15" hidden="true" customHeight="false" outlineLevel="0" collapsed="false">
      <c r="B410" s="360" t="s">
        <v>2891</v>
      </c>
      <c r="C410" s="359" t="n">
        <v>1</v>
      </c>
      <c r="D410" s="358" t="n">
        <v>0</v>
      </c>
      <c r="E410" s="358" t="n">
        <v>0</v>
      </c>
      <c r="F410" s="358" t="n">
        <v>0</v>
      </c>
      <c r="G410" s="372" t="n">
        <v>0</v>
      </c>
      <c r="H410" s="373" t="n">
        <v>0</v>
      </c>
      <c r="I410" s="358" t="n">
        <v>0</v>
      </c>
      <c r="J410" s="358" t="n">
        <v>0</v>
      </c>
      <c r="K410" s="372" t="n">
        <v>0</v>
      </c>
      <c r="L410" s="373" t="n">
        <v>0</v>
      </c>
      <c r="M410" s="358" t="n">
        <v>0</v>
      </c>
      <c r="N410" s="358" t="n">
        <v>0</v>
      </c>
      <c r="O410" s="372" t="n">
        <v>0</v>
      </c>
      <c r="P410" s="373" t="n">
        <v>0</v>
      </c>
      <c r="Q410" s="358" t="n">
        <v>0</v>
      </c>
      <c r="R410" s="358" t="n">
        <v>0</v>
      </c>
      <c r="S410" s="372" t="n">
        <v>0</v>
      </c>
      <c r="T410" s="373" t="n">
        <v>0</v>
      </c>
      <c r="U410" s="358" t="n">
        <v>0</v>
      </c>
      <c r="V410" s="358" t="n">
        <v>0</v>
      </c>
      <c r="W410" s="372" t="n">
        <v>0</v>
      </c>
      <c r="X410" s="373" t="n">
        <v>0</v>
      </c>
      <c r="Y410" s="358" t="n">
        <v>0</v>
      </c>
      <c r="Z410" s="358" t="n">
        <v>0</v>
      </c>
      <c r="AA410" s="358" t="n">
        <v>0</v>
      </c>
      <c r="AB410" s="373" t="n">
        <v>0</v>
      </c>
      <c r="AC410" s="358" t="n">
        <v>0</v>
      </c>
      <c r="AD410" s="358" t="n">
        <v>0</v>
      </c>
      <c r="AE410" s="358" t="n">
        <v>0</v>
      </c>
      <c r="AF410" s="359" t="n">
        <v>1</v>
      </c>
    </row>
    <row r="411" customFormat="false" ht="15" hidden="true" customHeight="false" outlineLevel="0" collapsed="false">
      <c r="B411" s="360" t="s">
        <v>2892</v>
      </c>
      <c r="C411" s="359" t="n">
        <v>1</v>
      </c>
      <c r="D411" s="358" t="n">
        <v>0</v>
      </c>
      <c r="E411" s="358" t="n">
        <v>0</v>
      </c>
      <c r="F411" s="358" t="n">
        <v>0</v>
      </c>
      <c r="G411" s="372" t="n">
        <v>0</v>
      </c>
      <c r="H411" s="373" t="n">
        <v>0</v>
      </c>
      <c r="I411" s="358" t="n">
        <v>0</v>
      </c>
      <c r="J411" s="358" t="n">
        <v>0</v>
      </c>
      <c r="K411" s="372" t="n">
        <v>0</v>
      </c>
      <c r="L411" s="373" t="n">
        <v>0</v>
      </c>
      <c r="M411" s="358" t="n">
        <v>0</v>
      </c>
      <c r="N411" s="358" t="n">
        <v>0</v>
      </c>
      <c r="O411" s="372" t="n">
        <v>0</v>
      </c>
      <c r="P411" s="373" t="n">
        <v>0</v>
      </c>
      <c r="Q411" s="358" t="n">
        <v>0</v>
      </c>
      <c r="R411" s="358" t="n">
        <v>0</v>
      </c>
      <c r="S411" s="372" t="n">
        <v>0</v>
      </c>
      <c r="T411" s="373" t="n">
        <v>0</v>
      </c>
      <c r="U411" s="358" t="n">
        <v>0</v>
      </c>
      <c r="V411" s="358" t="n">
        <v>0</v>
      </c>
      <c r="W411" s="372" t="n">
        <v>0</v>
      </c>
      <c r="X411" s="373" t="n">
        <v>0</v>
      </c>
      <c r="Y411" s="358" t="n">
        <v>0</v>
      </c>
      <c r="Z411" s="358" t="n">
        <v>0</v>
      </c>
      <c r="AA411" s="358" t="n">
        <v>0</v>
      </c>
      <c r="AB411" s="373" t="n">
        <v>0</v>
      </c>
      <c r="AC411" s="358" t="n">
        <v>0</v>
      </c>
      <c r="AD411" s="358" t="n">
        <v>0</v>
      </c>
      <c r="AE411" s="358" t="n">
        <v>0</v>
      </c>
      <c r="AF411" s="359" t="n">
        <v>1</v>
      </c>
    </row>
    <row r="412" customFormat="false" ht="15" hidden="false" customHeight="false" outlineLevel="0" collapsed="false">
      <c r="B412" s="364" t="s">
        <v>2468</v>
      </c>
      <c r="C412" s="365" t="n">
        <v>59</v>
      </c>
      <c r="D412" s="358" t="n">
        <v>0</v>
      </c>
      <c r="E412" s="358" t="n">
        <v>0</v>
      </c>
      <c r="F412" s="358" t="n">
        <v>0</v>
      </c>
      <c r="G412" s="372" t="n">
        <v>0</v>
      </c>
      <c r="H412" s="373" t="n">
        <v>0</v>
      </c>
      <c r="I412" s="358" t="n">
        <v>0</v>
      </c>
      <c r="J412" s="358" t="n">
        <v>0</v>
      </c>
      <c r="K412" s="372" t="n">
        <v>0</v>
      </c>
      <c r="L412" s="373" t="n">
        <v>0</v>
      </c>
      <c r="M412" s="358" t="n">
        <v>0</v>
      </c>
      <c r="N412" s="358" t="n">
        <v>0</v>
      </c>
      <c r="O412" s="372" t="n">
        <v>0</v>
      </c>
      <c r="P412" s="373" t="n">
        <v>0</v>
      </c>
      <c r="Q412" s="358" t="n">
        <v>0</v>
      </c>
      <c r="R412" s="358" t="n">
        <v>0</v>
      </c>
      <c r="S412" s="372" t="n">
        <v>0</v>
      </c>
      <c r="T412" s="373" t="n">
        <v>0</v>
      </c>
      <c r="U412" s="358" t="n">
        <v>0</v>
      </c>
      <c r="V412" s="358" t="n">
        <v>0</v>
      </c>
      <c r="W412" s="372" t="n">
        <v>0</v>
      </c>
      <c r="X412" s="373" t="n">
        <v>0</v>
      </c>
      <c r="Y412" s="358" t="n">
        <v>0</v>
      </c>
      <c r="Z412" s="358" t="n">
        <v>0</v>
      </c>
      <c r="AA412" s="358" t="n">
        <v>0</v>
      </c>
      <c r="AB412" s="373" t="n">
        <v>0</v>
      </c>
      <c r="AC412" s="358" t="n">
        <v>0</v>
      </c>
      <c r="AD412" s="358" t="n">
        <v>0</v>
      </c>
      <c r="AE412" s="358" t="n">
        <v>0</v>
      </c>
      <c r="AF412" s="365" t="n">
        <v>59</v>
      </c>
    </row>
    <row r="413" customFormat="false" ht="15" hidden="true" customHeight="false" outlineLevel="0" collapsed="false">
      <c r="B413" s="360" t="s">
        <v>2893</v>
      </c>
      <c r="C413" s="359" t="n">
        <v>1</v>
      </c>
      <c r="D413" s="358" t="n">
        <v>0</v>
      </c>
      <c r="E413" s="358" t="n">
        <v>0</v>
      </c>
      <c r="F413" s="358" t="n">
        <v>0</v>
      </c>
      <c r="G413" s="372" t="n">
        <v>0</v>
      </c>
      <c r="H413" s="373" t="n">
        <v>0</v>
      </c>
      <c r="I413" s="358" t="n">
        <v>0</v>
      </c>
      <c r="J413" s="358" t="n">
        <v>0</v>
      </c>
      <c r="K413" s="372" t="n">
        <v>0</v>
      </c>
      <c r="L413" s="373" t="n">
        <v>0</v>
      </c>
      <c r="M413" s="358" t="n">
        <v>0</v>
      </c>
      <c r="N413" s="358" t="n">
        <v>0</v>
      </c>
      <c r="O413" s="372" t="n">
        <v>0</v>
      </c>
      <c r="P413" s="373" t="n">
        <v>0</v>
      </c>
      <c r="Q413" s="358" t="n">
        <v>0</v>
      </c>
      <c r="R413" s="358" t="n">
        <v>0</v>
      </c>
      <c r="S413" s="372" t="n">
        <v>0</v>
      </c>
      <c r="T413" s="373" t="n">
        <v>0</v>
      </c>
      <c r="U413" s="358" t="n">
        <v>0</v>
      </c>
      <c r="V413" s="358" t="n">
        <v>0</v>
      </c>
      <c r="W413" s="372" t="n">
        <v>0</v>
      </c>
      <c r="X413" s="373" t="n">
        <v>0</v>
      </c>
      <c r="Y413" s="358" t="n">
        <v>0</v>
      </c>
      <c r="Z413" s="358" t="n">
        <v>0</v>
      </c>
      <c r="AA413" s="358" t="n">
        <v>0</v>
      </c>
      <c r="AB413" s="373" t="n">
        <v>0</v>
      </c>
      <c r="AC413" s="358" t="n">
        <v>0</v>
      </c>
      <c r="AD413" s="358" t="n">
        <v>0</v>
      </c>
      <c r="AE413" s="358" t="n">
        <v>0</v>
      </c>
      <c r="AF413" s="359" t="n">
        <v>1</v>
      </c>
    </row>
    <row r="414" customFormat="false" ht="15" hidden="true" customHeight="false" outlineLevel="0" collapsed="false">
      <c r="B414" s="360" t="s">
        <v>2894</v>
      </c>
      <c r="C414" s="359" t="n">
        <v>1</v>
      </c>
      <c r="D414" s="358" t="n">
        <v>0</v>
      </c>
      <c r="E414" s="358" t="n">
        <v>0</v>
      </c>
      <c r="F414" s="358" t="n">
        <v>0</v>
      </c>
      <c r="G414" s="372" t="n">
        <v>0</v>
      </c>
      <c r="H414" s="373" t="n">
        <v>0</v>
      </c>
      <c r="I414" s="358" t="n">
        <v>0</v>
      </c>
      <c r="J414" s="358" t="n">
        <v>0</v>
      </c>
      <c r="K414" s="372" t="n">
        <v>0</v>
      </c>
      <c r="L414" s="373" t="n">
        <v>0</v>
      </c>
      <c r="M414" s="358" t="n">
        <v>0</v>
      </c>
      <c r="N414" s="358" t="n">
        <v>0</v>
      </c>
      <c r="O414" s="372" t="n">
        <v>0</v>
      </c>
      <c r="P414" s="373" t="n">
        <v>0</v>
      </c>
      <c r="Q414" s="358" t="n">
        <v>0</v>
      </c>
      <c r="R414" s="358" t="n">
        <v>0</v>
      </c>
      <c r="S414" s="372" t="n">
        <v>0</v>
      </c>
      <c r="T414" s="373" t="n">
        <v>0</v>
      </c>
      <c r="U414" s="358" t="n">
        <v>0</v>
      </c>
      <c r="V414" s="358" t="n">
        <v>0</v>
      </c>
      <c r="W414" s="372" t="n">
        <v>0</v>
      </c>
      <c r="X414" s="373" t="n">
        <v>0</v>
      </c>
      <c r="Y414" s="358" t="n">
        <v>0</v>
      </c>
      <c r="Z414" s="358" t="n">
        <v>0</v>
      </c>
      <c r="AA414" s="358" t="n">
        <v>0</v>
      </c>
      <c r="AB414" s="373" t="n">
        <v>0</v>
      </c>
      <c r="AC414" s="358" t="n">
        <v>0</v>
      </c>
      <c r="AD414" s="358" t="n">
        <v>0</v>
      </c>
      <c r="AE414" s="358" t="n">
        <v>0</v>
      </c>
      <c r="AF414" s="359" t="n">
        <v>1</v>
      </c>
    </row>
    <row r="415" customFormat="false" ht="15" hidden="true" customHeight="false" outlineLevel="0" collapsed="false">
      <c r="B415" s="360" t="s">
        <v>2895</v>
      </c>
      <c r="C415" s="359" t="n">
        <v>1</v>
      </c>
      <c r="D415" s="358" t="n">
        <v>0</v>
      </c>
      <c r="E415" s="358" t="n">
        <v>0</v>
      </c>
      <c r="F415" s="358" t="n">
        <v>0</v>
      </c>
      <c r="G415" s="372" t="n">
        <v>0</v>
      </c>
      <c r="H415" s="373" t="n">
        <v>0</v>
      </c>
      <c r="I415" s="358" t="n">
        <v>0</v>
      </c>
      <c r="J415" s="358" t="n">
        <v>0</v>
      </c>
      <c r="K415" s="372" t="n">
        <v>0</v>
      </c>
      <c r="L415" s="373" t="n">
        <v>0</v>
      </c>
      <c r="M415" s="358" t="n">
        <v>0</v>
      </c>
      <c r="N415" s="358" t="n">
        <v>0</v>
      </c>
      <c r="O415" s="372" t="n">
        <v>0</v>
      </c>
      <c r="P415" s="373" t="n">
        <v>0</v>
      </c>
      <c r="Q415" s="358" t="n">
        <v>0</v>
      </c>
      <c r="R415" s="358" t="n">
        <v>0</v>
      </c>
      <c r="S415" s="372" t="n">
        <v>0</v>
      </c>
      <c r="T415" s="373" t="n">
        <v>0</v>
      </c>
      <c r="U415" s="358" t="n">
        <v>0</v>
      </c>
      <c r="V415" s="358" t="n">
        <v>0</v>
      </c>
      <c r="W415" s="372" t="n">
        <v>0</v>
      </c>
      <c r="X415" s="373" t="n">
        <v>0</v>
      </c>
      <c r="Y415" s="358" t="n">
        <v>0</v>
      </c>
      <c r="Z415" s="358" t="n">
        <v>0</v>
      </c>
      <c r="AA415" s="358" t="n">
        <v>0</v>
      </c>
      <c r="AB415" s="373" t="n">
        <v>0</v>
      </c>
      <c r="AC415" s="358" t="n">
        <v>0</v>
      </c>
      <c r="AD415" s="358" t="n">
        <v>0</v>
      </c>
      <c r="AE415" s="358" t="n">
        <v>0</v>
      </c>
      <c r="AF415" s="359" t="n">
        <v>1</v>
      </c>
    </row>
    <row r="416" customFormat="false" ht="15" hidden="true" customHeight="false" outlineLevel="0" collapsed="false">
      <c r="B416" s="360" t="s">
        <v>2896</v>
      </c>
      <c r="C416" s="359" t="n">
        <v>1</v>
      </c>
      <c r="D416" s="358" t="n">
        <v>0</v>
      </c>
      <c r="E416" s="358" t="n">
        <v>0</v>
      </c>
      <c r="F416" s="358" t="n">
        <v>0</v>
      </c>
      <c r="G416" s="372" t="n">
        <v>0</v>
      </c>
      <c r="H416" s="373" t="n">
        <v>0</v>
      </c>
      <c r="I416" s="358" t="n">
        <v>0</v>
      </c>
      <c r="J416" s="358" t="n">
        <v>0</v>
      </c>
      <c r="K416" s="372" t="n">
        <v>0</v>
      </c>
      <c r="L416" s="373" t="n">
        <v>0</v>
      </c>
      <c r="M416" s="358" t="n">
        <v>0</v>
      </c>
      <c r="N416" s="358" t="n">
        <v>0</v>
      </c>
      <c r="O416" s="372" t="n">
        <v>0</v>
      </c>
      <c r="P416" s="373" t="n">
        <v>0</v>
      </c>
      <c r="Q416" s="358" t="n">
        <v>0</v>
      </c>
      <c r="R416" s="358" t="n">
        <v>0</v>
      </c>
      <c r="S416" s="372" t="n">
        <v>0</v>
      </c>
      <c r="T416" s="373" t="n">
        <v>0</v>
      </c>
      <c r="U416" s="358" t="n">
        <v>0</v>
      </c>
      <c r="V416" s="358" t="n">
        <v>0</v>
      </c>
      <c r="W416" s="372" t="n">
        <v>0</v>
      </c>
      <c r="X416" s="373" t="n">
        <v>0</v>
      </c>
      <c r="Y416" s="358" t="n">
        <v>0</v>
      </c>
      <c r="Z416" s="358" t="n">
        <v>0</v>
      </c>
      <c r="AA416" s="358" t="n">
        <v>0</v>
      </c>
      <c r="AB416" s="373" t="n">
        <v>0</v>
      </c>
      <c r="AC416" s="358" t="n">
        <v>0</v>
      </c>
      <c r="AD416" s="358" t="n">
        <v>0</v>
      </c>
      <c r="AE416" s="358" t="n">
        <v>0</v>
      </c>
      <c r="AF416" s="359" t="n">
        <v>1</v>
      </c>
    </row>
    <row r="417" customFormat="false" ht="15" hidden="true" customHeight="false" outlineLevel="0" collapsed="false">
      <c r="B417" s="360" t="s">
        <v>2897</v>
      </c>
      <c r="C417" s="359" t="n">
        <v>1</v>
      </c>
      <c r="D417" s="358" t="n">
        <v>0</v>
      </c>
      <c r="E417" s="358" t="n">
        <v>0</v>
      </c>
      <c r="F417" s="358" t="n">
        <v>0</v>
      </c>
      <c r="G417" s="372" t="n">
        <v>0</v>
      </c>
      <c r="H417" s="373" t="n">
        <v>0</v>
      </c>
      <c r="I417" s="358" t="n">
        <v>0</v>
      </c>
      <c r="J417" s="358" t="n">
        <v>0</v>
      </c>
      <c r="K417" s="372" t="n">
        <v>0</v>
      </c>
      <c r="L417" s="373" t="n">
        <v>0</v>
      </c>
      <c r="M417" s="358" t="n">
        <v>0</v>
      </c>
      <c r="N417" s="358" t="n">
        <v>0</v>
      </c>
      <c r="O417" s="372" t="n">
        <v>0</v>
      </c>
      <c r="P417" s="373" t="n">
        <v>0</v>
      </c>
      <c r="Q417" s="358" t="n">
        <v>0</v>
      </c>
      <c r="R417" s="358" t="n">
        <v>0</v>
      </c>
      <c r="S417" s="372" t="n">
        <v>0</v>
      </c>
      <c r="T417" s="373" t="n">
        <v>0</v>
      </c>
      <c r="U417" s="358" t="n">
        <v>0</v>
      </c>
      <c r="V417" s="358" t="n">
        <v>0</v>
      </c>
      <c r="W417" s="372" t="n">
        <v>0</v>
      </c>
      <c r="X417" s="373" t="n">
        <v>0</v>
      </c>
      <c r="Y417" s="358" t="n">
        <v>0</v>
      </c>
      <c r="Z417" s="358" t="n">
        <v>0</v>
      </c>
      <c r="AA417" s="358" t="n">
        <v>0</v>
      </c>
      <c r="AB417" s="373" t="n">
        <v>0</v>
      </c>
      <c r="AC417" s="358" t="n">
        <v>0</v>
      </c>
      <c r="AD417" s="358" t="n">
        <v>0</v>
      </c>
      <c r="AE417" s="358" t="n">
        <v>0</v>
      </c>
      <c r="AF417" s="359" t="n">
        <v>1</v>
      </c>
    </row>
    <row r="418" customFormat="false" ht="15" hidden="true" customHeight="false" outlineLevel="0" collapsed="false">
      <c r="B418" s="360" t="s">
        <v>2898</v>
      </c>
      <c r="C418" s="359" t="n">
        <v>1</v>
      </c>
      <c r="D418" s="358" t="n">
        <v>0</v>
      </c>
      <c r="E418" s="358" t="n">
        <v>0</v>
      </c>
      <c r="F418" s="358" t="n">
        <v>0</v>
      </c>
      <c r="G418" s="372" t="n">
        <v>0</v>
      </c>
      <c r="H418" s="373" t="n">
        <v>0</v>
      </c>
      <c r="I418" s="358" t="n">
        <v>0</v>
      </c>
      <c r="J418" s="358" t="n">
        <v>0</v>
      </c>
      <c r="K418" s="372" t="n">
        <v>0</v>
      </c>
      <c r="L418" s="373" t="n">
        <v>0</v>
      </c>
      <c r="M418" s="358" t="n">
        <v>0</v>
      </c>
      <c r="N418" s="358" t="n">
        <v>0</v>
      </c>
      <c r="O418" s="372" t="n">
        <v>0</v>
      </c>
      <c r="P418" s="373" t="n">
        <v>0</v>
      </c>
      <c r="Q418" s="358" t="n">
        <v>0</v>
      </c>
      <c r="R418" s="358" t="n">
        <v>0</v>
      </c>
      <c r="S418" s="372" t="n">
        <v>0</v>
      </c>
      <c r="T418" s="373" t="n">
        <v>0</v>
      </c>
      <c r="U418" s="358" t="n">
        <v>0</v>
      </c>
      <c r="V418" s="358" t="n">
        <v>0</v>
      </c>
      <c r="W418" s="372" t="n">
        <v>0</v>
      </c>
      <c r="X418" s="373" t="n">
        <v>0</v>
      </c>
      <c r="Y418" s="358" t="n">
        <v>0</v>
      </c>
      <c r="Z418" s="358" t="n">
        <v>0</v>
      </c>
      <c r="AA418" s="358" t="n">
        <v>0</v>
      </c>
      <c r="AB418" s="373" t="n">
        <v>0</v>
      </c>
      <c r="AC418" s="358" t="n">
        <v>0</v>
      </c>
      <c r="AD418" s="358" t="n">
        <v>0</v>
      </c>
      <c r="AE418" s="358" t="n">
        <v>0</v>
      </c>
      <c r="AF418" s="359" t="n">
        <v>1</v>
      </c>
    </row>
    <row r="419" customFormat="false" ht="15" hidden="true" customHeight="false" outlineLevel="0" collapsed="false">
      <c r="B419" s="360" t="s">
        <v>2899</v>
      </c>
      <c r="C419" s="359" t="n">
        <v>1</v>
      </c>
      <c r="D419" s="358" t="n">
        <v>0</v>
      </c>
      <c r="E419" s="358" t="n">
        <v>0</v>
      </c>
      <c r="F419" s="358" t="n">
        <v>0</v>
      </c>
      <c r="G419" s="372" t="n">
        <v>0</v>
      </c>
      <c r="H419" s="373" t="n">
        <v>0</v>
      </c>
      <c r="I419" s="358" t="n">
        <v>0</v>
      </c>
      <c r="J419" s="358" t="n">
        <v>0</v>
      </c>
      <c r="K419" s="372" t="n">
        <v>0</v>
      </c>
      <c r="L419" s="373" t="n">
        <v>0</v>
      </c>
      <c r="M419" s="358" t="n">
        <v>0</v>
      </c>
      <c r="N419" s="358" t="n">
        <v>0</v>
      </c>
      <c r="O419" s="372" t="n">
        <v>0</v>
      </c>
      <c r="P419" s="373" t="n">
        <v>0</v>
      </c>
      <c r="Q419" s="358" t="n">
        <v>0</v>
      </c>
      <c r="R419" s="358" t="n">
        <v>0</v>
      </c>
      <c r="S419" s="372" t="n">
        <v>0</v>
      </c>
      <c r="T419" s="373" t="n">
        <v>0</v>
      </c>
      <c r="U419" s="358" t="n">
        <v>0</v>
      </c>
      <c r="V419" s="358" t="n">
        <v>0</v>
      </c>
      <c r="W419" s="372" t="n">
        <v>0</v>
      </c>
      <c r="X419" s="373" t="n">
        <v>0</v>
      </c>
      <c r="Y419" s="358" t="n">
        <v>0</v>
      </c>
      <c r="Z419" s="358" t="n">
        <v>0</v>
      </c>
      <c r="AA419" s="358" t="n">
        <v>0</v>
      </c>
      <c r="AB419" s="373" t="n">
        <v>0</v>
      </c>
      <c r="AC419" s="358" t="n">
        <v>0</v>
      </c>
      <c r="AD419" s="358" t="n">
        <v>0</v>
      </c>
      <c r="AE419" s="358" t="n">
        <v>0</v>
      </c>
      <c r="AF419" s="359" t="n">
        <v>1</v>
      </c>
    </row>
    <row r="420" customFormat="false" ht="15" hidden="true" customHeight="false" outlineLevel="0" collapsed="false">
      <c r="B420" s="360" t="s">
        <v>2900</v>
      </c>
      <c r="C420" s="359" t="n">
        <v>1</v>
      </c>
      <c r="D420" s="358" t="n">
        <v>0</v>
      </c>
      <c r="E420" s="358" t="n">
        <v>0</v>
      </c>
      <c r="F420" s="358" t="n">
        <v>0</v>
      </c>
      <c r="G420" s="372" t="n">
        <v>0</v>
      </c>
      <c r="H420" s="373" t="n">
        <v>0</v>
      </c>
      <c r="I420" s="358" t="n">
        <v>0</v>
      </c>
      <c r="J420" s="358" t="n">
        <v>0</v>
      </c>
      <c r="K420" s="372" t="n">
        <v>0</v>
      </c>
      <c r="L420" s="373" t="n">
        <v>0</v>
      </c>
      <c r="M420" s="358" t="n">
        <v>0</v>
      </c>
      <c r="N420" s="358" t="n">
        <v>0</v>
      </c>
      <c r="O420" s="372" t="n">
        <v>0</v>
      </c>
      <c r="P420" s="373" t="n">
        <v>0</v>
      </c>
      <c r="Q420" s="358" t="n">
        <v>0</v>
      </c>
      <c r="R420" s="358" t="n">
        <v>0</v>
      </c>
      <c r="S420" s="372" t="n">
        <v>0</v>
      </c>
      <c r="T420" s="373" t="n">
        <v>0</v>
      </c>
      <c r="U420" s="358" t="n">
        <v>0</v>
      </c>
      <c r="V420" s="358" t="n">
        <v>0</v>
      </c>
      <c r="W420" s="372" t="n">
        <v>0</v>
      </c>
      <c r="X420" s="373" t="n">
        <v>0</v>
      </c>
      <c r="Y420" s="358" t="n">
        <v>0</v>
      </c>
      <c r="Z420" s="358" t="n">
        <v>0</v>
      </c>
      <c r="AA420" s="358" t="n">
        <v>0</v>
      </c>
      <c r="AB420" s="373" t="n">
        <v>0</v>
      </c>
      <c r="AC420" s="358" t="n">
        <v>0</v>
      </c>
      <c r="AD420" s="358" t="n">
        <v>0</v>
      </c>
      <c r="AE420" s="358" t="n">
        <v>0</v>
      </c>
      <c r="AF420" s="359" t="n">
        <v>1</v>
      </c>
    </row>
    <row r="421" customFormat="false" ht="15" hidden="true" customHeight="false" outlineLevel="0" collapsed="false">
      <c r="B421" s="360" t="s">
        <v>2901</v>
      </c>
      <c r="C421" s="359" t="n">
        <v>1</v>
      </c>
      <c r="D421" s="358" t="n">
        <v>0</v>
      </c>
      <c r="E421" s="358" t="n">
        <v>0</v>
      </c>
      <c r="F421" s="358" t="n">
        <v>0</v>
      </c>
      <c r="G421" s="372" t="n">
        <v>0</v>
      </c>
      <c r="H421" s="373" t="n">
        <v>0</v>
      </c>
      <c r="I421" s="358" t="n">
        <v>0</v>
      </c>
      <c r="J421" s="358" t="n">
        <v>0</v>
      </c>
      <c r="K421" s="372" t="n">
        <v>0</v>
      </c>
      <c r="L421" s="373" t="n">
        <v>0</v>
      </c>
      <c r="M421" s="358" t="n">
        <v>0</v>
      </c>
      <c r="N421" s="358" t="n">
        <v>0</v>
      </c>
      <c r="O421" s="372" t="n">
        <v>0</v>
      </c>
      <c r="P421" s="373" t="n">
        <v>0</v>
      </c>
      <c r="Q421" s="358" t="n">
        <v>0</v>
      </c>
      <c r="R421" s="358" t="n">
        <v>0</v>
      </c>
      <c r="S421" s="372" t="n">
        <v>0</v>
      </c>
      <c r="T421" s="373" t="n">
        <v>0</v>
      </c>
      <c r="U421" s="358" t="n">
        <v>0</v>
      </c>
      <c r="V421" s="358" t="n">
        <v>0</v>
      </c>
      <c r="W421" s="372" t="n">
        <v>0</v>
      </c>
      <c r="X421" s="373" t="n">
        <v>0</v>
      </c>
      <c r="Y421" s="358" t="n">
        <v>0</v>
      </c>
      <c r="Z421" s="358" t="n">
        <v>0</v>
      </c>
      <c r="AA421" s="358" t="n">
        <v>0</v>
      </c>
      <c r="AB421" s="373" t="n">
        <v>0</v>
      </c>
      <c r="AC421" s="358" t="n">
        <v>0</v>
      </c>
      <c r="AD421" s="358" t="n">
        <v>0</v>
      </c>
      <c r="AE421" s="358" t="n">
        <v>0</v>
      </c>
      <c r="AF421" s="359" t="n">
        <v>1</v>
      </c>
    </row>
    <row r="422" customFormat="false" ht="15" hidden="true" customHeight="false" outlineLevel="0" collapsed="false">
      <c r="B422" s="360" t="s">
        <v>2902</v>
      </c>
      <c r="C422" s="359" t="n">
        <v>1</v>
      </c>
      <c r="D422" s="358" t="n">
        <v>0</v>
      </c>
      <c r="E422" s="358" t="n">
        <v>0</v>
      </c>
      <c r="F422" s="358" t="n">
        <v>0</v>
      </c>
      <c r="G422" s="372" t="n">
        <v>0</v>
      </c>
      <c r="H422" s="373" t="n">
        <v>0</v>
      </c>
      <c r="I422" s="358" t="n">
        <v>0</v>
      </c>
      <c r="J422" s="358" t="n">
        <v>0</v>
      </c>
      <c r="K422" s="372" t="n">
        <v>0</v>
      </c>
      <c r="L422" s="373" t="n">
        <v>0</v>
      </c>
      <c r="M422" s="358" t="n">
        <v>0</v>
      </c>
      <c r="N422" s="358" t="n">
        <v>0</v>
      </c>
      <c r="O422" s="372" t="n">
        <v>0</v>
      </c>
      <c r="P422" s="373" t="n">
        <v>0</v>
      </c>
      <c r="Q422" s="358" t="n">
        <v>0</v>
      </c>
      <c r="R422" s="358" t="n">
        <v>0</v>
      </c>
      <c r="S422" s="372" t="n">
        <v>0</v>
      </c>
      <c r="T422" s="373" t="n">
        <v>0</v>
      </c>
      <c r="U422" s="358" t="n">
        <v>0</v>
      </c>
      <c r="V422" s="358" t="n">
        <v>0</v>
      </c>
      <c r="W422" s="372" t="n">
        <v>0</v>
      </c>
      <c r="X422" s="373" t="n">
        <v>0</v>
      </c>
      <c r="Y422" s="358" t="n">
        <v>0</v>
      </c>
      <c r="Z422" s="358" t="n">
        <v>0</v>
      </c>
      <c r="AA422" s="358" t="n">
        <v>0</v>
      </c>
      <c r="AB422" s="373" t="n">
        <v>0</v>
      </c>
      <c r="AC422" s="358" t="n">
        <v>0</v>
      </c>
      <c r="AD422" s="358" t="n">
        <v>0</v>
      </c>
      <c r="AE422" s="358" t="n">
        <v>0</v>
      </c>
      <c r="AF422" s="359" t="n">
        <v>1</v>
      </c>
    </row>
    <row r="423" customFormat="false" ht="15" hidden="true" customHeight="false" outlineLevel="0" collapsed="false">
      <c r="B423" s="360" t="s">
        <v>2903</v>
      </c>
      <c r="C423" s="359" t="n">
        <v>1</v>
      </c>
      <c r="D423" s="358" t="n">
        <v>0</v>
      </c>
      <c r="E423" s="358" t="n">
        <v>0</v>
      </c>
      <c r="F423" s="358" t="n">
        <v>0</v>
      </c>
      <c r="G423" s="372" t="n">
        <v>0</v>
      </c>
      <c r="H423" s="373" t="n">
        <v>0</v>
      </c>
      <c r="I423" s="358" t="n">
        <v>0</v>
      </c>
      <c r="J423" s="358" t="n">
        <v>0</v>
      </c>
      <c r="K423" s="372" t="n">
        <v>0</v>
      </c>
      <c r="L423" s="373" t="n">
        <v>0</v>
      </c>
      <c r="M423" s="358" t="n">
        <v>0</v>
      </c>
      <c r="N423" s="358" t="n">
        <v>0</v>
      </c>
      <c r="O423" s="372" t="n">
        <v>0</v>
      </c>
      <c r="P423" s="373" t="n">
        <v>0</v>
      </c>
      <c r="Q423" s="358" t="n">
        <v>0</v>
      </c>
      <c r="R423" s="358" t="n">
        <v>0</v>
      </c>
      <c r="S423" s="372" t="n">
        <v>0</v>
      </c>
      <c r="T423" s="373" t="n">
        <v>0</v>
      </c>
      <c r="U423" s="358" t="n">
        <v>0</v>
      </c>
      <c r="V423" s="358" t="n">
        <v>0</v>
      </c>
      <c r="W423" s="372" t="n">
        <v>0</v>
      </c>
      <c r="X423" s="373" t="n">
        <v>0</v>
      </c>
      <c r="Y423" s="358" t="n">
        <v>0</v>
      </c>
      <c r="Z423" s="358" t="n">
        <v>0</v>
      </c>
      <c r="AA423" s="358" t="n">
        <v>0</v>
      </c>
      <c r="AB423" s="373" t="n">
        <v>0</v>
      </c>
      <c r="AC423" s="358" t="n">
        <v>0</v>
      </c>
      <c r="AD423" s="358" t="n">
        <v>0</v>
      </c>
      <c r="AE423" s="358" t="n">
        <v>0</v>
      </c>
      <c r="AF423" s="359" t="n">
        <v>1</v>
      </c>
    </row>
    <row r="424" customFormat="false" ht="15" hidden="true" customHeight="false" outlineLevel="0" collapsed="false">
      <c r="B424" s="360" t="s">
        <v>2904</v>
      </c>
      <c r="C424" s="359" t="n">
        <v>1</v>
      </c>
      <c r="D424" s="358" t="n">
        <v>0</v>
      </c>
      <c r="E424" s="358" t="n">
        <v>0</v>
      </c>
      <c r="F424" s="358" t="n">
        <v>0</v>
      </c>
      <c r="G424" s="372" t="n">
        <v>0</v>
      </c>
      <c r="H424" s="373" t="n">
        <v>0</v>
      </c>
      <c r="I424" s="358" t="n">
        <v>0</v>
      </c>
      <c r="J424" s="358" t="n">
        <v>0</v>
      </c>
      <c r="K424" s="372" t="n">
        <v>0</v>
      </c>
      <c r="L424" s="373" t="n">
        <v>0</v>
      </c>
      <c r="M424" s="358" t="n">
        <v>0</v>
      </c>
      <c r="N424" s="358" t="n">
        <v>0</v>
      </c>
      <c r="O424" s="372" t="n">
        <v>0</v>
      </c>
      <c r="P424" s="373" t="n">
        <v>0</v>
      </c>
      <c r="Q424" s="358" t="n">
        <v>0</v>
      </c>
      <c r="R424" s="358" t="n">
        <v>0</v>
      </c>
      <c r="S424" s="372" t="n">
        <v>0</v>
      </c>
      <c r="T424" s="373" t="n">
        <v>0</v>
      </c>
      <c r="U424" s="358" t="n">
        <v>0</v>
      </c>
      <c r="V424" s="358" t="n">
        <v>0</v>
      </c>
      <c r="W424" s="372" t="n">
        <v>0</v>
      </c>
      <c r="X424" s="373" t="n">
        <v>0</v>
      </c>
      <c r="Y424" s="358" t="n">
        <v>0</v>
      </c>
      <c r="Z424" s="358" t="n">
        <v>0</v>
      </c>
      <c r="AA424" s="358" t="n">
        <v>0</v>
      </c>
      <c r="AB424" s="373" t="n">
        <v>0</v>
      </c>
      <c r="AC424" s="358" t="n">
        <v>0</v>
      </c>
      <c r="AD424" s="358" t="n">
        <v>0</v>
      </c>
      <c r="AE424" s="358" t="n">
        <v>0</v>
      </c>
      <c r="AF424" s="359" t="n">
        <v>1</v>
      </c>
    </row>
    <row r="425" customFormat="false" ht="15" hidden="true" customHeight="false" outlineLevel="0" collapsed="false">
      <c r="B425" s="360" t="s">
        <v>2905</v>
      </c>
      <c r="C425" s="359" t="n">
        <v>1</v>
      </c>
      <c r="D425" s="358" t="n">
        <v>0</v>
      </c>
      <c r="E425" s="358" t="n">
        <v>0</v>
      </c>
      <c r="F425" s="358" t="n">
        <v>0</v>
      </c>
      <c r="G425" s="372" t="n">
        <v>0</v>
      </c>
      <c r="H425" s="373" t="n">
        <v>0</v>
      </c>
      <c r="I425" s="358" t="n">
        <v>0</v>
      </c>
      <c r="J425" s="358" t="n">
        <v>0</v>
      </c>
      <c r="K425" s="372" t="n">
        <v>0</v>
      </c>
      <c r="L425" s="373" t="n">
        <v>0</v>
      </c>
      <c r="M425" s="358" t="n">
        <v>0</v>
      </c>
      <c r="N425" s="358" t="n">
        <v>0</v>
      </c>
      <c r="O425" s="372" t="n">
        <v>0</v>
      </c>
      <c r="P425" s="373" t="n">
        <v>0</v>
      </c>
      <c r="Q425" s="358" t="n">
        <v>0</v>
      </c>
      <c r="R425" s="358" t="n">
        <v>0</v>
      </c>
      <c r="S425" s="372" t="n">
        <v>0</v>
      </c>
      <c r="T425" s="373" t="n">
        <v>0</v>
      </c>
      <c r="U425" s="358" t="n">
        <v>0</v>
      </c>
      <c r="V425" s="358" t="n">
        <v>0</v>
      </c>
      <c r="W425" s="372" t="n">
        <v>0</v>
      </c>
      <c r="X425" s="373" t="n">
        <v>0</v>
      </c>
      <c r="Y425" s="358" t="n">
        <v>0</v>
      </c>
      <c r="Z425" s="358" t="n">
        <v>0</v>
      </c>
      <c r="AA425" s="358" t="n">
        <v>0</v>
      </c>
      <c r="AB425" s="373" t="n">
        <v>0</v>
      </c>
      <c r="AC425" s="358" t="n">
        <v>0</v>
      </c>
      <c r="AD425" s="358" t="n">
        <v>0</v>
      </c>
      <c r="AE425" s="358" t="n">
        <v>0</v>
      </c>
      <c r="AF425" s="359" t="n">
        <v>1</v>
      </c>
    </row>
    <row r="426" customFormat="false" ht="15" hidden="true" customHeight="false" outlineLevel="0" collapsed="false">
      <c r="B426" s="360" t="s">
        <v>2906</v>
      </c>
      <c r="C426" s="359" t="n">
        <v>1</v>
      </c>
      <c r="D426" s="358" t="n">
        <v>0</v>
      </c>
      <c r="E426" s="358" t="n">
        <v>0</v>
      </c>
      <c r="F426" s="358" t="n">
        <v>0</v>
      </c>
      <c r="G426" s="372" t="n">
        <v>0</v>
      </c>
      <c r="H426" s="373" t="n">
        <v>0</v>
      </c>
      <c r="I426" s="358" t="n">
        <v>0</v>
      </c>
      <c r="J426" s="358" t="n">
        <v>0</v>
      </c>
      <c r="K426" s="372" t="n">
        <v>0</v>
      </c>
      <c r="L426" s="373" t="n">
        <v>0</v>
      </c>
      <c r="M426" s="358" t="n">
        <v>0</v>
      </c>
      <c r="N426" s="358" t="n">
        <v>0</v>
      </c>
      <c r="O426" s="372" t="n">
        <v>0</v>
      </c>
      <c r="P426" s="373" t="n">
        <v>0</v>
      </c>
      <c r="Q426" s="358" t="n">
        <v>0</v>
      </c>
      <c r="R426" s="358" t="n">
        <v>0</v>
      </c>
      <c r="S426" s="372" t="n">
        <v>0</v>
      </c>
      <c r="T426" s="373" t="n">
        <v>0</v>
      </c>
      <c r="U426" s="358" t="n">
        <v>0</v>
      </c>
      <c r="V426" s="358" t="n">
        <v>0</v>
      </c>
      <c r="W426" s="372" t="n">
        <v>0</v>
      </c>
      <c r="X426" s="373" t="n">
        <v>0</v>
      </c>
      <c r="Y426" s="358" t="n">
        <v>0</v>
      </c>
      <c r="Z426" s="358" t="n">
        <v>0</v>
      </c>
      <c r="AA426" s="358" t="n">
        <v>0</v>
      </c>
      <c r="AB426" s="373" t="n">
        <v>0</v>
      </c>
      <c r="AC426" s="358" t="n">
        <v>0</v>
      </c>
      <c r="AD426" s="358" t="n">
        <v>0</v>
      </c>
      <c r="AE426" s="358" t="n">
        <v>0</v>
      </c>
      <c r="AF426" s="359" t="n">
        <v>1</v>
      </c>
    </row>
    <row r="427" customFormat="false" ht="15" hidden="true" customHeight="false" outlineLevel="0" collapsed="false">
      <c r="B427" s="360" t="s">
        <v>2907</v>
      </c>
      <c r="C427" s="359" t="n">
        <v>1</v>
      </c>
      <c r="D427" s="358" t="n">
        <v>0</v>
      </c>
      <c r="E427" s="358" t="n">
        <v>0</v>
      </c>
      <c r="F427" s="358" t="n">
        <v>0</v>
      </c>
      <c r="G427" s="372" t="n">
        <v>0</v>
      </c>
      <c r="H427" s="373" t="n">
        <v>0</v>
      </c>
      <c r="I427" s="358" t="n">
        <v>0</v>
      </c>
      <c r="J427" s="358" t="n">
        <v>0</v>
      </c>
      <c r="K427" s="372" t="n">
        <v>0</v>
      </c>
      <c r="L427" s="373" t="n">
        <v>0</v>
      </c>
      <c r="M427" s="358" t="n">
        <v>0</v>
      </c>
      <c r="N427" s="358" t="n">
        <v>0</v>
      </c>
      <c r="O427" s="372" t="n">
        <v>0</v>
      </c>
      <c r="P427" s="373" t="n">
        <v>0</v>
      </c>
      <c r="Q427" s="358" t="n">
        <v>0</v>
      </c>
      <c r="R427" s="358" t="n">
        <v>0</v>
      </c>
      <c r="S427" s="372" t="n">
        <v>0</v>
      </c>
      <c r="T427" s="373" t="n">
        <v>0</v>
      </c>
      <c r="U427" s="358" t="n">
        <v>0</v>
      </c>
      <c r="V427" s="358" t="n">
        <v>0</v>
      </c>
      <c r="W427" s="372" t="n">
        <v>0</v>
      </c>
      <c r="X427" s="373" t="n">
        <v>0</v>
      </c>
      <c r="Y427" s="358" t="n">
        <v>0</v>
      </c>
      <c r="Z427" s="358" t="n">
        <v>0</v>
      </c>
      <c r="AA427" s="358" t="n">
        <v>0</v>
      </c>
      <c r="AB427" s="373" t="n">
        <v>0</v>
      </c>
      <c r="AC427" s="358" t="n">
        <v>0</v>
      </c>
      <c r="AD427" s="358" t="n">
        <v>0</v>
      </c>
      <c r="AE427" s="358" t="n">
        <v>0</v>
      </c>
      <c r="AF427" s="359" t="n">
        <v>1</v>
      </c>
    </row>
    <row r="428" customFormat="false" ht="15" hidden="true" customHeight="false" outlineLevel="0" collapsed="false">
      <c r="B428" s="360" t="s">
        <v>2908</v>
      </c>
      <c r="C428" s="359" t="n">
        <v>1</v>
      </c>
      <c r="D428" s="358" t="n">
        <v>0</v>
      </c>
      <c r="E428" s="358" t="n">
        <v>0</v>
      </c>
      <c r="F428" s="358" t="n">
        <v>0</v>
      </c>
      <c r="G428" s="372" t="n">
        <v>0</v>
      </c>
      <c r="H428" s="373" t="n">
        <v>0</v>
      </c>
      <c r="I428" s="358" t="n">
        <v>0</v>
      </c>
      <c r="J428" s="358" t="n">
        <v>0</v>
      </c>
      <c r="K428" s="372" t="n">
        <v>0</v>
      </c>
      <c r="L428" s="373" t="n">
        <v>0</v>
      </c>
      <c r="M428" s="358" t="n">
        <v>0</v>
      </c>
      <c r="N428" s="358" t="n">
        <v>0</v>
      </c>
      <c r="O428" s="372" t="n">
        <v>0</v>
      </c>
      <c r="P428" s="373" t="n">
        <v>0</v>
      </c>
      <c r="Q428" s="358" t="n">
        <v>0</v>
      </c>
      <c r="R428" s="358" t="n">
        <v>0</v>
      </c>
      <c r="S428" s="372" t="n">
        <v>0</v>
      </c>
      <c r="T428" s="373" t="n">
        <v>0</v>
      </c>
      <c r="U428" s="358" t="n">
        <v>0</v>
      </c>
      <c r="V428" s="358" t="n">
        <v>0</v>
      </c>
      <c r="W428" s="372" t="n">
        <v>0</v>
      </c>
      <c r="X428" s="373" t="n">
        <v>0</v>
      </c>
      <c r="Y428" s="358" t="n">
        <v>0</v>
      </c>
      <c r="Z428" s="358" t="n">
        <v>0</v>
      </c>
      <c r="AA428" s="358" t="n">
        <v>0</v>
      </c>
      <c r="AB428" s="373" t="n">
        <v>0</v>
      </c>
      <c r="AC428" s="358" t="n">
        <v>0</v>
      </c>
      <c r="AD428" s="358" t="n">
        <v>0</v>
      </c>
      <c r="AE428" s="358" t="n">
        <v>0</v>
      </c>
      <c r="AF428" s="359" t="n">
        <v>1</v>
      </c>
    </row>
    <row r="429" customFormat="false" ht="15" hidden="true" customHeight="false" outlineLevel="0" collapsed="false">
      <c r="B429" s="360" t="s">
        <v>2909</v>
      </c>
      <c r="C429" s="359" t="n">
        <v>1</v>
      </c>
      <c r="D429" s="358" t="n">
        <v>0</v>
      </c>
      <c r="E429" s="358" t="n">
        <v>0</v>
      </c>
      <c r="F429" s="358" t="n">
        <v>0</v>
      </c>
      <c r="G429" s="372" t="n">
        <v>0</v>
      </c>
      <c r="H429" s="373" t="n">
        <v>0</v>
      </c>
      <c r="I429" s="358" t="n">
        <v>0</v>
      </c>
      <c r="J429" s="358" t="n">
        <v>0</v>
      </c>
      <c r="K429" s="372" t="n">
        <v>0</v>
      </c>
      <c r="L429" s="373" t="n">
        <v>0</v>
      </c>
      <c r="M429" s="358" t="n">
        <v>0</v>
      </c>
      <c r="N429" s="358" t="n">
        <v>0</v>
      </c>
      <c r="O429" s="372" t="n">
        <v>0</v>
      </c>
      <c r="P429" s="373" t="n">
        <v>0</v>
      </c>
      <c r="Q429" s="358" t="n">
        <v>0</v>
      </c>
      <c r="R429" s="358" t="n">
        <v>0</v>
      </c>
      <c r="S429" s="372" t="n">
        <v>0</v>
      </c>
      <c r="T429" s="373" t="n">
        <v>0</v>
      </c>
      <c r="U429" s="358" t="n">
        <v>0</v>
      </c>
      <c r="V429" s="358" t="n">
        <v>0</v>
      </c>
      <c r="W429" s="372" t="n">
        <v>0</v>
      </c>
      <c r="X429" s="373" t="n">
        <v>0</v>
      </c>
      <c r="Y429" s="358" t="n">
        <v>0</v>
      </c>
      <c r="Z429" s="358" t="n">
        <v>0</v>
      </c>
      <c r="AA429" s="358" t="n">
        <v>0</v>
      </c>
      <c r="AB429" s="373" t="n">
        <v>0</v>
      </c>
      <c r="AC429" s="358" t="n">
        <v>0</v>
      </c>
      <c r="AD429" s="358" t="n">
        <v>0</v>
      </c>
      <c r="AE429" s="358" t="n">
        <v>0</v>
      </c>
      <c r="AF429" s="359" t="n">
        <v>1</v>
      </c>
    </row>
    <row r="430" customFormat="false" ht="15" hidden="true" customHeight="false" outlineLevel="0" collapsed="false">
      <c r="B430" s="360" t="s">
        <v>2910</v>
      </c>
      <c r="C430" s="359" t="n">
        <v>1</v>
      </c>
      <c r="D430" s="358" t="n">
        <v>0</v>
      </c>
      <c r="E430" s="358" t="n">
        <v>0</v>
      </c>
      <c r="F430" s="358" t="n">
        <v>0</v>
      </c>
      <c r="G430" s="372" t="n">
        <v>0</v>
      </c>
      <c r="H430" s="373" t="n">
        <v>0</v>
      </c>
      <c r="I430" s="358" t="n">
        <v>0</v>
      </c>
      <c r="J430" s="358" t="n">
        <v>0</v>
      </c>
      <c r="K430" s="372" t="n">
        <v>0</v>
      </c>
      <c r="L430" s="373" t="n">
        <v>0</v>
      </c>
      <c r="M430" s="358" t="n">
        <v>0</v>
      </c>
      <c r="N430" s="358" t="n">
        <v>0</v>
      </c>
      <c r="O430" s="372" t="n">
        <v>0</v>
      </c>
      <c r="P430" s="373" t="n">
        <v>0</v>
      </c>
      <c r="Q430" s="358" t="n">
        <v>0</v>
      </c>
      <c r="R430" s="358" t="n">
        <v>0</v>
      </c>
      <c r="S430" s="372" t="n">
        <v>0</v>
      </c>
      <c r="T430" s="373" t="n">
        <v>0</v>
      </c>
      <c r="U430" s="358" t="n">
        <v>0</v>
      </c>
      <c r="V430" s="358" t="n">
        <v>0</v>
      </c>
      <c r="W430" s="372" t="n">
        <v>0</v>
      </c>
      <c r="X430" s="373" t="n">
        <v>0</v>
      </c>
      <c r="Y430" s="358" t="n">
        <v>0</v>
      </c>
      <c r="Z430" s="358" t="n">
        <v>0</v>
      </c>
      <c r="AA430" s="358" t="n">
        <v>0</v>
      </c>
      <c r="AB430" s="373" t="n">
        <v>0</v>
      </c>
      <c r="AC430" s="358" t="n">
        <v>0</v>
      </c>
      <c r="AD430" s="358" t="n">
        <v>0</v>
      </c>
      <c r="AE430" s="358" t="n">
        <v>0</v>
      </c>
      <c r="AF430" s="359" t="n">
        <v>1</v>
      </c>
    </row>
    <row r="431" customFormat="false" ht="15" hidden="true" customHeight="false" outlineLevel="0" collapsed="false">
      <c r="B431" s="360" t="s">
        <v>2911</v>
      </c>
      <c r="C431" s="359" t="n">
        <v>1</v>
      </c>
      <c r="D431" s="358" t="n">
        <v>0</v>
      </c>
      <c r="E431" s="358" t="n">
        <v>0</v>
      </c>
      <c r="F431" s="358" t="n">
        <v>0</v>
      </c>
      <c r="G431" s="372" t="n">
        <v>0</v>
      </c>
      <c r="H431" s="373" t="n">
        <v>0</v>
      </c>
      <c r="I431" s="358" t="n">
        <v>0</v>
      </c>
      <c r="J431" s="358" t="n">
        <v>0</v>
      </c>
      <c r="K431" s="372" t="n">
        <v>0</v>
      </c>
      <c r="L431" s="373" t="n">
        <v>0</v>
      </c>
      <c r="M431" s="358" t="n">
        <v>0</v>
      </c>
      <c r="N431" s="358" t="n">
        <v>0</v>
      </c>
      <c r="O431" s="372" t="n">
        <v>0</v>
      </c>
      <c r="P431" s="373" t="n">
        <v>0</v>
      </c>
      <c r="Q431" s="358" t="n">
        <v>0</v>
      </c>
      <c r="R431" s="358" t="n">
        <v>0</v>
      </c>
      <c r="S431" s="372" t="n">
        <v>0</v>
      </c>
      <c r="T431" s="373" t="n">
        <v>0</v>
      </c>
      <c r="U431" s="358" t="n">
        <v>0</v>
      </c>
      <c r="V431" s="358" t="n">
        <v>0</v>
      </c>
      <c r="W431" s="372" t="n">
        <v>0</v>
      </c>
      <c r="X431" s="373" t="n">
        <v>0</v>
      </c>
      <c r="Y431" s="358" t="n">
        <v>0</v>
      </c>
      <c r="Z431" s="358" t="n">
        <v>0</v>
      </c>
      <c r="AA431" s="358" t="n">
        <v>0</v>
      </c>
      <c r="AB431" s="373" t="n">
        <v>0</v>
      </c>
      <c r="AC431" s="358" t="n">
        <v>0</v>
      </c>
      <c r="AD431" s="358" t="n">
        <v>0</v>
      </c>
      <c r="AE431" s="358" t="n">
        <v>0</v>
      </c>
      <c r="AF431" s="359" t="n">
        <v>1</v>
      </c>
    </row>
    <row r="432" customFormat="false" ht="15" hidden="true" customHeight="false" outlineLevel="0" collapsed="false">
      <c r="B432" s="360" t="s">
        <v>2912</v>
      </c>
      <c r="C432" s="359" t="n">
        <v>1</v>
      </c>
      <c r="D432" s="358" t="n">
        <v>0</v>
      </c>
      <c r="E432" s="358" t="n">
        <v>0</v>
      </c>
      <c r="F432" s="358" t="n">
        <v>0</v>
      </c>
      <c r="G432" s="372" t="n">
        <v>0</v>
      </c>
      <c r="H432" s="373" t="n">
        <v>0</v>
      </c>
      <c r="I432" s="358" t="n">
        <v>0</v>
      </c>
      <c r="J432" s="358" t="n">
        <v>0</v>
      </c>
      <c r="K432" s="372" t="n">
        <v>0</v>
      </c>
      <c r="L432" s="373" t="n">
        <v>0</v>
      </c>
      <c r="M432" s="358" t="n">
        <v>0</v>
      </c>
      <c r="N432" s="358" t="n">
        <v>0</v>
      </c>
      <c r="O432" s="372" t="n">
        <v>0</v>
      </c>
      <c r="P432" s="373" t="n">
        <v>0</v>
      </c>
      <c r="Q432" s="358" t="n">
        <v>0</v>
      </c>
      <c r="R432" s="358" t="n">
        <v>0</v>
      </c>
      <c r="S432" s="372" t="n">
        <v>0</v>
      </c>
      <c r="T432" s="373" t="n">
        <v>0</v>
      </c>
      <c r="U432" s="358" t="n">
        <v>0</v>
      </c>
      <c r="V432" s="358" t="n">
        <v>0</v>
      </c>
      <c r="W432" s="372" t="n">
        <v>0</v>
      </c>
      <c r="X432" s="373" t="n">
        <v>0</v>
      </c>
      <c r="Y432" s="358" t="n">
        <v>0</v>
      </c>
      <c r="Z432" s="358" t="n">
        <v>0</v>
      </c>
      <c r="AA432" s="358" t="n">
        <v>0</v>
      </c>
      <c r="AB432" s="373" t="n">
        <v>0</v>
      </c>
      <c r="AC432" s="358" t="n">
        <v>0</v>
      </c>
      <c r="AD432" s="358" t="n">
        <v>0</v>
      </c>
      <c r="AE432" s="358" t="n">
        <v>0</v>
      </c>
      <c r="AF432" s="359" t="n">
        <v>1</v>
      </c>
    </row>
    <row r="433" customFormat="false" ht="15" hidden="true" customHeight="false" outlineLevel="0" collapsed="false">
      <c r="B433" s="360" t="s">
        <v>2913</v>
      </c>
      <c r="C433" s="359" t="n">
        <v>1</v>
      </c>
      <c r="D433" s="358" t="n">
        <v>0</v>
      </c>
      <c r="E433" s="358" t="n">
        <v>0</v>
      </c>
      <c r="F433" s="358" t="n">
        <v>0</v>
      </c>
      <c r="G433" s="372" t="n">
        <v>0</v>
      </c>
      <c r="H433" s="373" t="n">
        <v>0</v>
      </c>
      <c r="I433" s="358" t="n">
        <v>0</v>
      </c>
      <c r="J433" s="358" t="n">
        <v>0</v>
      </c>
      <c r="K433" s="372" t="n">
        <v>0</v>
      </c>
      <c r="L433" s="373" t="n">
        <v>0</v>
      </c>
      <c r="M433" s="358" t="n">
        <v>0</v>
      </c>
      <c r="N433" s="358" t="n">
        <v>0</v>
      </c>
      <c r="O433" s="372" t="n">
        <v>0</v>
      </c>
      <c r="P433" s="373" t="n">
        <v>0</v>
      </c>
      <c r="Q433" s="358" t="n">
        <v>0</v>
      </c>
      <c r="R433" s="358" t="n">
        <v>0</v>
      </c>
      <c r="S433" s="372" t="n">
        <v>0</v>
      </c>
      <c r="T433" s="373" t="n">
        <v>0</v>
      </c>
      <c r="U433" s="358" t="n">
        <v>0</v>
      </c>
      <c r="V433" s="358" t="n">
        <v>0</v>
      </c>
      <c r="W433" s="372" t="n">
        <v>0</v>
      </c>
      <c r="X433" s="373" t="n">
        <v>0</v>
      </c>
      <c r="Y433" s="358" t="n">
        <v>0</v>
      </c>
      <c r="Z433" s="358" t="n">
        <v>0</v>
      </c>
      <c r="AA433" s="358" t="n">
        <v>0</v>
      </c>
      <c r="AB433" s="373" t="n">
        <v>0</v>
      </c>
      <c r="AC433" s="358" t="n">
        <v>0</v>
      </c>
      <c r="AD433" s="358" t="n">
        <v>0</v>
      </c>
      <c r="AE433" s="358" t="n">
        <v>0</v>
      </c>
      <c r="AF433" s="359" t="n">
        <v>1</v>
      </c>
    </row>
    <row r="434" customFormat="false" ht="15" hidden="true" customHeight="false" outlineLevel="0" collapsed="false">
      <c r="B434" s="360" t="s">
        <v>2914</v>
      </c>
      <c r="C434" s="359" t="n">
        <v>1</v>
      </c>
      <c r="D434" s="358" t="n">
        <v>0</v>
      </c>
      <c r="E434" s="358" t="n">
        <v>0</v>
      </c>
      <c r="F434" s="358" t="n">
        <v>0</v>
      </c>
      <c r="G434" s="372" t="n">
        <v>0</v>
      </c>
      <c r="H434" s="373" t="n">
        <v>0</v>
      </c>
      <c r="I434" s="358" t="n">
        <v>0</v>
      </c>
      <c r="J434" s="358" t="n">
        <v>0</v>
      </c>
      <c r="K434" s="372" t="n">
        <v>0</v>
      </c>
      <c r="L434" s="373" t="n">
        <v>0</v>
      </c>
      <c r="M434" s="358" t="n">
        <v>0</v>
      </c>
      <c r="N434" s="358" t="n">
        <v>0</v>
      </c>
      <c r="O434" s="372" t="n">
        <v>0</v>
      </c>
      <c r="P434" s="373" t="n">
        <v>0</v>
      </c>
      <c r="Q434" s="358" t="n">
        <v>0</v>
      </c>
      <c r="R434" s="358" t="n">
        <v>0</v>
      </c>
      <c r="S434" s="372" t="n">
        <v>0</v>
      </c>
      <c r="T434" s="373" t="n">
        <v>0</v>
      </c>
      <c r="U434" s="358" t="n">
        <v>0</v>
      </c>
      <c r="V434" s="358" t="n">
        <v>0</v>
      </c>
      <c r="W434" s="372" t="n">
        <v>0</v>
      </c>
      <c r="X434" s="373" t="n">
        <v>0</v>
      </c>
      <c r="Y434" s="358" t="n">
        <v>0</v>
      </c>
      <c r="Z434" s="358" t="n">
        <v>0</v>
      </c>
      <c r="AA434" s="358" t="n">
        <v>0</v>
      </c>
      <c r="AB434" s="373" t="n">
        <v>0</v>
      </c>
      <c r="AC434" s="358" t="n">
        <v>0</v>
      </c>
      <c r="AD434" s="358" t="n">
        <v>0</v>
      </c>
      <c r="AE434" s="358" t="n">
        <v>0</v>
      </c>
      <c r="AF434" s="359" t="n">
        <v>1</v>
      </c>
    </row>
    <row r="435" customFormat="false" ht="15" hidden="true" customHeight="false" outlineLevel="0" collapsed="false">
      <c r="B435" s="360" t="s">
        <v>2915</v>
      </c>
      <c r="C435" s="359" t="n">
        <v>1</v>
      </c>
      <c r="D435" s="358" t="n">
        <v>0</v>
      </c>
      <c r="E435" s="358" t="n">
        <v>0</v>
      </c>
      <c r="F435" s="358" t="n">
        <v>0</v>
      </c>
      <c r="G435" s="372" t="n">
        <v>0</v>
      </c>
      <c r="H435" s="373" t="n">
        <v>0</v>
      </c>
      <c r="I435" s="358" t="n">
        <v>0</v>
      </c>
      <c r="J435" s="358" t="n">
        <v>0</v>
      </c>
      <c r="K435" s="372" t="n">
        <v>0</v>
      </c>
      <c r="L435" s="373" t="n">
        <v>0</v>
      </c>
      <c r="M435" s="358" t="n">
        <v>0</v>
      </c>
      <c r="N435" s="358" t="n">
        <v>0</v>
      </c>
      <c r="O435" s="372" t="n">
        <v>0</v>
      </c>
      <c r="P435" s="373" t="n">
        <v>0</v>
      </c>
      <c r="Q435" s="358" t="n">
        <v>0</v>
      </c>
      <c r="R435" s="358" t="n">
        <v>0</v>
      </c>
      <c r="S435" s="372" t="n">
        <v>0</v>
      </c>
      <c r="T435" s="373" t="n">
        <v>0</v>
      </c>
      <c r="U435" s="358" t="n">
        <v>0</v>
      </c>
      <c r="V435" s="358" t="n">
        <v>0</v>
      </c>
      <c r="W435" s="372" t="n">
        <v>0</v>
      </c>
      <c r="X435" s="373" t="n">
        <v>0</v>
      </c>
      <c r="Y435" s="358" t="n">
        <v>0</v>
      </c>
      <c r="Z435" s="358" t="n">
        <v>0</v>
      </c>
      <c r="AA435" s="358" t="n">
        <v>0</v>
      </c>
      <c r="AB435" s="373" t="n">
        <v>0</v>
      </c>
      <c r="AC435" s="358" t="n">
        <v>0</v>
      </c>
      <c r="AD435" s="358" t="n">
        <v>0</v>
      </c>
      <c r="AE435" s="358" t="n">
        <v>0</v>
      </c>
      <c r="AF435" s="359" t="n">
        <v>1</v>
      </c>
    </row>
    <row r="436" customFormat="false" ht="15" hidden="true" customHeight="false" outlineLevel="0" collapsed="false">
      <c r="B436" s="360" t="s">
        <v>2916</v>
      </c>
      <c r="C436" s="359" t="n">
        <v>1</v>
      </c>
      <c r="D436" s="358" t="n">
        <v>0</v>
      </c>
      <c r="E436" s="358" t="n">
        <v>0</v>
      </c>
      <c r="F436" s="358" t="n">
        <v>0</v>
      </c>
      <c r="G436" s="372" t="n">
        <v>0</v>
      </c>
      <c r="H436" s="373" t="n">
        <v>0</v>
      </c>
      <c r="I436" s="358" t="n">
        <v>0</v>
      </c>
      <c r="J436" s="358" t="n">
        <v>0</v>
      </c>
      <c r="K436" s="372" t="n">
        <v>0</v>
      </c>
      <c r="L436" s="373" t="n">
        <v>0</v>
      </c>
      <c r="M436" s="358" t="n">
        <v>0</v>
      </c>
      <c r="N436" s="358" t="n">
        <v>0</v>
      </c>
      <c r="O436" s="372" t="n">
        <v>0</v>
      </c>
      <c r="P436" s="373" t="n">
        <v>0</v>
      </c>
      <c r="Q436" s="358" t="n">
        <v>0</v>
      </c>
      <c r="R436" s="358" t="n">
        <v>0</v>
      </c>
      <c r="S436" s="372" t="n">
        <v>0</v>
      </c>
      <c r="T436" s="373" t="n">
        <v>0</v>
      </c>
      <c r="U436" s="358" t="n">
        <v>0</v>
      </c>
      <c r="V436" s="358" t="n">
        <v>0</v>
      </c>
      <c r="W436" s="372" t="n">
        <v>0</v>
      </c>
      <c r="X436" s="373" t="n">
        <v>0</v>
      </c>
      <c r="Y436" s="358" t="n">
        <v>0</v>
      </c>
      <c r="Z436" s="358" t="n">
        <v>0</v>
      </c>
      <c r="AA436" s="358" t="n">
        <v>0</v>
      </c>
      <c r="AB436" s="373" t="n">
        <v>0</v>
      </c>
      <c r="AC436" s="358" t="n">
        <v>0</v>
      </c>
      <c r="AD436" s="358" t="n">
        <v>0</v>
      </c>
      <c r="AE436" s="358" t="n">
        <v>0</v>
      </c>
      <c r="AF436" s="359" t="n">
        <v>1</v>
      </c>
    </row>
    <row r="437" customFormat="false" ht="15" hidden="true" customHeight="false" outlineLevel="0" collapsed="false">
      <c r="B437" s="360" t="s">
        <v>2917</v>
      </c>
      <c r="C437" s="359" t="n">
        <v>1</v>
      </c>
      <c r="D437" s="358" t="n">
        <v>0</v>
      </c>
      <c r="E437" s="358" t="n">
        <v>0</v>
      </c>
      <c r="F437" s="358" t="n">
        <v>0</v>
      </c>
      <c r="G437" s="372" t="n">
        <v>0</v>
      </c>
      <c r="H437" s="373" t="n">
        <v>0</v>
      </c>
      <c r="I437" s="358" t="n">
        <v>0</v>
      </c>
      <c r="J437" s="358" t="n">
        <v>0</v>
      </c>
      <c r="K437" s="372" t="n">
        <v>0</v>
      </c>
      <c r="L437" s="373" t="n">
        <v>0</v>
      </c>
      <c r="M437" s="358" t="n">
        <v>0</v>
      </c>
      <c r="N437" s="358" t="n">
        <v>0</v>
      </c>
      <c r="O437" s="372" t="n">
        <v>0</v>
      </c>
      <c r="P437" s="373" t="n">
        <v>0</v>
      </c>
      <c r="Q437" s="358" t="n">
        <v>0</v>
      </c>
      <c r="R437" s="358" t="n">
        <v>0</v>
      </c>
      <c r="S437" s="372" t="n">
        <v>0</v>
      </c>
      <c r="T437" s="373" t="n">
        <v>0</v>
      </c>
      <c r="U437" s="358" t="n">
        <v>0</v>
      </c>
      <c r="V437" s="358" t="n">
        <v>0</v>
      </c>
      <c r="W437" s="372" t="n">
        <v>0</v>
      </c>
      <c r="X437" s="373" t="n">
        <v>0</v>
      </c>
      <c r="Y437" s="358" t="n">
        <v>0</v>
      </c>
      <c r="Z437" s="358" t="n">
        <v>0</v>
      </c>
      <c r="AA437" s="358" t="n">
        <v>0</v>
      </c>
      <c r="AB437" s="373" t="n">
        <v>0</v>
      </c>
      <c r="AC437" s="358" t="n">
        <v>0</v>
      </c>
      <c r="AD437" s="358" t="n">
        <v>0</v>
      </c>
      <c r="AE437" s="358" t="n">
        <v>0</v>
      </c>
      <c r="AF437" s="359" t="n">
        <v>1</v>
      </c>
    </row>
    <row r="438" customFormat="false" ht="15" hidden="true" customHeight="false" outlineLevel="0" collapsed="false">
      <c r="B438" s="360" t="s">
        <v>2918</v>
      </c>
      <c r="C438" s="359" t="n">
        <v>1</v>
      </c>
      <c r="D438" s="358" t="n">
        <v>0</v>
      </c>
      <c r="E438" s="358" t="n">
        <v>0</v>
      </c>
      <c r="F438" s="358" t="n">
        <v>0</v>
      </c>
      <c r="G438" s="372" t="n">
        <v>0</v>
      </c>
      <c r="H438" s="373" t="n">
        <v>0</v>
      </c>
      <c r="I438" s="358" t="n">
        <v>0</v>
      </c>
      <c r="J438" s="358" t="n">
        <v>0</v>
      </c>
      <c r="K438" s="372" t="n">
        <v>0</v>
      </c>
      <c r="L438" s="373" t="n">
        <v>0</v>
      </c>
      <c r="M438" s="358" t="n">
        <v>0</v>
      </c>
      <c r="N438" s="358" t="n">
        <v>0</v>
      </c>
      <c r="O438" s="372" t="n">
        <v>0</v>
      </c>
      <c r="P438" s="373" t="n">
        <v>0</v>
      </c>
      <c r="Q438" s="358" t="n">
        <v>0</v>
      </c>
      <c r="R438" s="358" t="n">
        <v>0</v>
      </c>
      <c r="S438" s="372" t="n">
        <v>0</v>
      </c>
      <c r="T438" s="373" t="n">
        <v>0</v>
      </c>
      <c r="U438" s="358" t="n">
        <v>0</v>
      </c>
      <c r="V438" s="358" t="n">
        <v>0</v>
      </c>
      <c r="W438" s="372" t="n">
        <v>0</v>
      </c>
      <c r="X438" s="373" t="n">
        <v>0</v>
      </c>
      <c r="Y438" s="358" t="n">
        <v>0</v>
      </c>
      <c r="Z438" s="358" t="n">
        <v>0</v>
      </c>
      <c r="AA438" s="358" t="n">
        <v>0</v>
      </c>
      <c r="AB438" s="373" t="n">
        <v>0</v>
      </c>
      <c r="AC438" s="358" t="n">
        <v>0</v>
      </c>
      <c r="AD438" s="358" t="n">
        <v>0</v>
      </c>
      <c r="AE438" s="358" t="n">
        <v>0</v>
      </c>
      <c r="AF438" s="359" t="n">
        <v>1</v>
      </c>
    </row>
    <row r="439" customFormat="false" ht="15" hidden="true" customHeight="false" outlineLevel="0" collapsed="false">
      <c r="B439" s="360" t="s">
        <v>2919</v>
      </c>
      <c r="C439" s="359" t="n">
        <v>1</v>
      </c>
      <c r="D439" s="358" t="n">
        <v>0</v>
      </c>
      <c r="E439" s="358" t="n">
        <v>0</v>
      </c>
      <c r="F439" s="358" t="n">
        <v>0</v>
      </c>
      <c r="G439" s="372" t="n">
        <v>0</v>
      </c>
      <c r="H439" s="373" t="n">
        <v>0</v>
      </c>
      <c r="I439" s="358" t="n">
        <v>0</v>
      </c>
      <c r="J439" s="358" t="n">
        <v>0</v>
      </c>
      <c r="K439" s="372" t="n">
        <v>0</v>
      </c>
      <c r="L439" s="373" t="n">
        <v>0</v>
      </c>
      <c r="M439" s="358" t="n">
        <v>0</v>
      </c>
      <c r="N439" s="358" t="n">
        <v>0</v>
      </c>
      <c r="O439" s="372" t="n">
        <v>0</v>
      </c>
      <c r="P439" s="373" t="n">
        <v>0</v>
      </c>
      <c r="Q439" s="358" t="n">
        <v>0</v>
      </c>
      <c r="R439" s="358" t="n">
        <v>0</v>
      </c>
      <c r="S439" s="372" t="n">
        <v>0</v>
      </c>
      <c r="T439" s="373" t="n">
        <v>0</v>
      </c>
      <c r="U439" s="358" t="n">
        <v>0</v>
      </c>
      <c r="V439" s="358" t="n">
        <v>0</v>
      </c>
      <c r="W439" s="372" t="n">
        <v>0</v>
      </c>
      <c r="X439" s="373" t="n">
        <v>0</v>
      </c>
      <c r="Y439" s="358" t="n">
        <v>0</v>
      </c>
      <c r="Z439" s="358" t="n">
        <v>0</v>
      </c>
      <c r="AA439" s="358" t="n">
        <v>0</v>
      </c>
      <c r="AB439" s="373" t="n">
        <v>0</v>
      </c>
      <c r="AC439" s="358" t="n">
        <v>0</v>
      </c>
      <c r="AD439" s="358" t="n">
        <v>0</v>
      </c>
      <c r="AE439" s="358" t="n">
        <v>0</v>
      </c>
      <c r="AF439" s="359" t="n">
        <v>1</v>
      </c>
    </row>
    <row r="440" customFormat="false" ht="15" hidden="true" customHeight="false" outlineLevel="0" collapsed="false">
      <c r="B440" s="360" t="s">
        <v>2920</v>
      </c>
      <c r="C440" s="359" t="n">
        <v>1</v>
      </c>
      <c r="D440" s="358" t="n">
        <v>0</v>
      </c>
      <c r="E440" s="358" t="n">
        <v>0</v>
      </c>
      <c r="F440" s="358" t="n">
        <v>0</v>
      </c>
      <c r="G440" s="372" t="n">
        <v>0</v>
      </c>
      <c r="H440" s="373" t="n">
        <v>0</v>
      </c>
      <c r="I440" s="358" t="n">
        <v>0</v>
      </c>
      <c r="J440" s="358" t="n">
        <v>0</v>
      </c>
      <c r="K440" s="372" t="n">
        <v>0</v>
      </c>
      <c r="L440" s="373" t="n">
        <v>0</v>
      </c>
      <c r="M440" s="358" t="n">
        <v>0</v>
      </c>
      <c r="N440" s="358" t="n">
        <v>0</v>
      </c>
      <c r="O440" s="372" t="n">
        <v>0</v>
      </c>
      <c r="P440" s="373" t="n">
        <v>0</v>
      </c>
      <c r="Q440" s="358" t="n">
        <v>0</v>
      </c>
      <c r="R440" s="358" t="n">
        <v>0</v>
      </c>
      <c r="S440" s="372" t="n">
        <v>0</v>
      </c>
      <c r="T440" s="373" t="n">
        <v>0</v>
      </c>
      <c r="U440" s="358" t="n">
        <v>0</v>
      </c>
      <c r="V440" s="358" t="n">
        <v>0</v>
      </c>
      <c r="W440" s="372" t="n">
        <v>0</v>
      </c>
      <c r="X440" s="373" t="n">
        <v>0</v>
      </c>
      <c r="Y440" s="358" t="n">
        <v>0</v>
      </c>
      <c r="Z440" s="358" t="n">
        <v>0</v>
      </c>
      <c r="AA440" s="358" t="n">
        <v>0</v>
      </c>
      <c r="AB440" s="373" t="n">
        <v>0</v>
      </c>
      <c r="AC440" s="358" t="n">
        <v>0</v>
      </c>
      <c r="AD440" s="358" t="n">
        <v>0</v>
      </c>
      <c r="AE440" s="358" t="n">
        <v>0</v>
      </c>
      <c r="AF440" s="359" t="n">
        <v>1</v>
      </c>
    </row>
    <row r="441" customFormat="false" ht="15" hidden="true" customHeight="false" outlineLevel="0" collapsed="false">
      <c r="B441" s="360" t="s">
        <v>2921</v>
      </c>
      <c r="C441" s="359" t="n">
        <v>1</v>
      </c>
      <c r="D441" s="358" t="n">
        <v>0</v>
      </c>
      <c r="E441" s="358" t="n">
        <v>0</v>
      </c>
      <c r="F441" s="358" t="n">
        <v>0</v>
      </c>
      <c r="G441" s="372" t="n">
        <v>0</v>
      </c>
      <c r="H441" s="373" t="n">
        <v>0</v>
      </c>
      <c r="I441" s="358" t="n">
        <v>0</v>
      </c>
      <c r="J441" s="358" t="n">
        <v>0</v>
      </c>
      <c r="K441" s="372" t="n">
        <v>0</v>
      </c>
      <c r="L441" s="373" t="n">
        <v>0</v>
      </c>
      <c r="M441" s="358" t="n">
        <v>0</v>
      </c>
      <c r="N441" s="358" t="n">
        <v>0</v>
      </c>
      <c r="O441" s="372" t="n">
        <v>0</v>
      </c>
      <c r="P441" s="373" t="n">
        <v>0</v>
      </c>
      <c r="Q441" s="358" t="n">
        <v>0</v>
      </c>
      <c r="R441" s="358" t="n">
        <v>0</v>
      </c>
      <c r="S441" s="372" t="n">
        <v>0</v>
      </c>
      <c r="T441" s="373" t="n">
        <v>0</v>
      </c>
      <c r="U441" s="358" t="n">
        <v>0</v>
      </c>
      <c r="V441" s="358" t="n">
        <v>0</v>
      </c>
      <c r="W441" s="372" t="n">
        <v>0</v>
      </c>
      <c r="X441" s="373" t="n">
        <v>0</v>
      </c>
      <c r="Y441" s="358" t="n">
        <v>0</v>
      </c>
      <c r="Z441" s="358" t="n">
        <v>0</v>
      </c>
      <c r="AA441" s="358" t="n">
        <v>0</v>
      </c>
      <c r="AB441" s="373" t="n">
        <v>0</v>
      </c>
      <c r="AC441" s="358" t="n">
        <v>0</v>
      </c>
      <c r="AD441" s="358" t="n">
        <v>0</v>
      </c>
      <c r="AE441" s="358" t="n">
        <v>0</v>
      </c>
      <c r="AF441" s="359" t="n">
        <v>1</v>
      </c>
    </row>
    <row r="442" customFormat="false" ht="15" hidden="true" customHeight="false" outlineLevel="0" collapsed="false">
      <c r="B442" s="360" t="s">
        <v>2922</v>
      </c>
      <c r="C442" s="359" t="n">
        <v>1</v>
      </c>
      <c r="D442" s="358" t="n">
        <v>0</v>
      </c>
      <c r="E442" s="358" t="n">
        <v>0</v>
      </c>
      <c r="F442" s="358" t="n">
        <v>0</v>
      </c>
      <c r="G442" s="372" t="n">
        <v>0</v>
      </c>
      <c r="H442" s="373" t="n">
        <v>0</v>
      </c>
      <c r="I442" s="358" t="n">
        <v>0</v>
      </c>
      <c r="J442" s="358" t="n">
        <v>0</v>
      </c>
      <c r="K442" s="372" t="n">
        <v>0</v>
      </c>
      <c r="L442" s="373" t="n">
        <v>0</v>
      </c>
      <c r="M442" s="358" t="n">
        <v>0</v>
      </c>
      <c r="N442" s="358" t="n">
        <v>0</v>
      </c>
      <c r="O442" s="372" t="n">
        <v>0</v>
      </c>
      <c r="P442" s="373" t="n">
        <v>0</v>
      </c>
      <c r="Q442" s="358" t="n">
        <v>0</v>
      </c>
      <c r="R442" s="358" t="n">
        <v>0</v>
      </c>
      <c r="S442" s="372" t="n">
        <v>0</v>
      </c>
      <c r="T442" s="373" t="n">
        <v>0</v>
      </c>
      <c r="U442" s="358" t="n">
        <v>0</v>
      </c>
      <c r="V442" s="358" t="n">
        <v>0</v>
      </c>
      <c r="W442" s="372" t="n">
        <v>0</v>
      </c>
      <c r="X442" s="373" t="n">
        <v>0</v>
      </c>
      <c r="Y442" s="358" t="n">
        <v>0</v>
      </c>
      <c r="Z442" s="358" t="n">
        <v>0</v>
      </c>
      <c r="AA442" s="358" t="n">
        <v>0</v>
      </c>
      <c r="AB442" s="373" t="n">
        <v>0</v>
      </c>
      <c r="AC442" s="358" t="n">
        <v>0</v>
      </c>
      <c r="AD442" s="358" t="n">
        <v>0</v>
      </c>
      <c r="AE442" s="358" t="n">
        <v>0</v>
      </c>
      <c r="AF442" s="359" t="n">
        <v>1</v>
      </c>
    </row>
    <row r="443" customFormat="false" ht="15" hidden="true" customHeight="false" outlineLevel="0" collapsed="false">
      <c r="B443" s="360" t="s">
        <v>2923</v>
      </c>
      <c r="C443" s="359" t="n">
        <v>1</v>
      </c>
      <c r="D443" s="358" t="n">
        <v>0</v>
      </c>
      <c r="E443" s="358" t="n">
        <v>0</v>
      </c>
      <c r="F443" s="358" t="n">
        <v>0</v>
      </c>
      <c r="G443" s="372" t="n">
        <v>0</v>
      </c>
      <c r="H443" s="373" t="n">
        <v>0</v>
      </c>
      <c r="I443" s="358" t="n">
        <v>0</v>
      </c>
      <c r="J443" s="358" t="n">
        <v>0</v>
      </c>
      <c r="K443" s="372" t="n">
        <v>0</v>
      </c>
      <c r="L443" s="373" t="n">
        <v>0</v>
      </c>
      <c r="M443" s="358" t="n">
        <v>0</v>
      </c>
      <c r="N443" s="358" t="n">
        <v>0</v>
      </c>
      <c r="O443" s="372" t="n">
        <v>0</v>
      </c>
      <c r="P443" s="373" t="n">
        <v>0</v>
      </c>
      <c r="Q443" s="358" t="n">
        <v>0</v>
      </c>
      <c r="R443" s="358" t="n">
        <v>0</v>
      </c>
      <c r="S443" s="372" t="n">
        <v>0</v>
      </c>
      <c r="T443" s="373" t="n">
        <v>0</v>
      </c>
      <c r="U443" s="358" t="n">
        <v>0</v>
      </c>
      <c r="V443" s="358" t="n">
        <v>0</v>
      </c>
      <c r="W443" s="372" t="n">
        <v>0</v>
      </c>
      <c r="X443" s="373" t="n">
        <v>0</v>
      </c>
      <c r="Y443" s="358" t="n">
        <v>0</v>
      </c>
      <c r="Z443" s="358" t="n">
        <v>0</v>
      </c>
      <c r="AA443" s="358" t="n">
        <v>0</v>
      </c>
      <c r="AB443" s="373" t="n">
        <v>0</v>
      </c>
      <c r="AC443" s="358" t="n">
        <v>0</v>
      </c>
      <c r="AD443" s="358" t="n">
        <v>0</v>
      </c>
      <c r="AE443" s="358" t="n">
        <v>0</v>
      </c>
      <c r="AF443" s="359" t="n">
        <v>1</v>
      </c>
    </row>
    <row r="444" customFormat="false" ht="15" hidden="true" customHeight="false" outlineLevel="0" collapsed="false">
      <c r="B444" s="360" t="s">
        <v>2924</v>
      </c>
      <c r="C444" s="359" t="n">
        <v>1</v>
      </c>
      <c r="D444" s="358" t="n">
        <v>0</v>
      </c>
      <c r="E444" s="358" t="n">
        <v>0</v>
      </c>
      <c r="F444" s="358" t="n">
        <v>0</v>
      </c>
      <c r="G444" s="372" t="n">
        <v>0</v>
      </c>
      <c r="H444" s="373" t="n">
        <v>0</v>
      </c>
      <c r="I444" s="358" t="n">
        <v>0</v>
      </c>
      <c r="J444" s="358" t="n">
        <v>0</v>
      </c>
      <c r="K444" s="372" t="n">
        <v>0</v>
      </c>
      <c r="L444" s="373" t="n">
        <v>0</v>
      </c>
      <c r="M444" s="358" t="n">
        <v>0</v>
      </c>
      <c r="N444" s="358" t="n">
        <v>0</v>
      </c>
      <c r="O444" s="372" t="n">
        <v>0</v>
      </c>
      <c r="P444" s="373" t="n">
        <v>0</v>
      </c>
      <c r="Q444" s="358" t="n">
        <v>0</v>
      </c>
      <c r="R444" s="358" t="n">
        <v>0</v>
      </c>
      <c r="S444" s="372" t="n">
        <v>0</v>
      </c>
      <c r="T444" s="373" t="n">
        <v>0</v>
      </c>
      <c r="U444" s="358" t="n">
        <v>0</v>
      </c>
      <c r="V444" s="358" t="n">
        <v>0</v>
      </c>
      <c r="W444" s="372" t="n">
        <v>0</v>
      </c>
      <c r="X444" s="373" t="n">
        <v>0</v>
      </c>
      <c r="Y444" s="358" t="n">
        <v>0</v>
      </c>
      <c r="Z444" s="358" t="n">
        <v>0</v>
      </c>
      <c r="AA444" s="358" t="n">
        <v>0</v>
      </c>
      <c r="AB444" s="373" t="n">
        <v>0</v>
      </c>
      <c r="AC444" s="358" t="n">
        <v>0</v>
      </c>
      <c r="AD444" s="358" t="n">
        <v>0</v>
      </c>
      <c r="AE444" s="358" t="n">
        <v>0</v>
      </c>
      <c r="AF444" s="359" t="n">
        <v>1</v>
      </c>
    </row>
    <row r="445" customFormat="false" ht="15" hidden="true" customHeight="false" outlineLevel="0" collapsed="false">
      <c r="B445" s="360" t="s">
        <v>2925</v>
      </c>
      <c r="C445" s="359" t="n">
        <v>1</v>
      </c>
      <c r="D445" s="358" t="n">
        <v>0</v>
      </c>
      <c r="E445" s="358" t="n">
        <v>0</v>
      </c>
      <c r="F445" s="358" t="n">
        <v>0</v>
      </c>
      <c r="G445" s="372" t="n">
        <v>0</v>
      </c>
      <c r="H445" s="373" t="n">
        <v>0</v>
      </c>
      <c r="I445" s="358" t="n">
        <v>0</v>
      </c>
      <c r="J445" s="358" t="n">
        <v>0</v>
      </c>
      <c r="K445" s="372" t="n">
        <v>0</v>
      </c>
      <c r="L445" s="373" t="n">
        <v>0</v>
      </c>
      <c r="M445" s="358" t="n">
        <v>0</v>
      </c>
      <c r="N445" s="358" t="n">
        <v>0</v>
      </c>
      <c r="O445" s="372" t="n">
        <v>0</v>
      </c>
      <c r="P445" s="373" t="n">
        <v>0</v>
      </c>
      <c r="Q445" s="358" t="n">
        <v>0</v>
      </c>
      <c r="R445" s="358" t="n">
        <v>0</v>
      </c>
      <c r="S445" s="372" t="n">
        <v>0</v>
      </c>
      <c r="T445" s="373" t="n">
        <v>0</v>
      </c>
      <c r="U445" s="358" t="n">
        <v>0</v>
      </c>
      <c r="V445" s="358" t="n">
        <v>0</v>
      </c>
      <c r="W445" s="372" t="n">
        <v>0</v>
      </c>
      <c r="X445" s="373" t="n">
        <v>0</v>
      </c>
      <c r="Y445" s="358" t="n">
        <v>0</v>
      </c>
      <c r="Z445" s="358" t="n">
        <v>0</v>
      </c>
      <c r="AA445" s="358" t="n">
        <v>0</v>
      </c>
      <c r="AB445" s="373" t="n">
        <v>0</v>
      </c>
      <c r="AC445" s="358" t="n">
        <v>0</v>
      </c>
      <c r="AD445" s="358" t="n">
        <v>0</v>
      </c>
      <c r="AE445" s="358" t="n">
        <v>0</v>
      </c>
      <c r="AF445" s="359" t="n">
        <v>1</v>
      </c>
    </row>
    <row r="446" customFormat="false" ht="15" hidden="true" customHeight="false" outlineLevel="0" collapsed="false">
      <c r="B446" s="360" t="s">
        <v>2926</v>
      </c>
      <c r="C446" s="359" t="n">
        <v>1</v>
      </c>
      <c r="D446" s="358" t="n">
        <v>0</v>
      </c>
      <c r="E446" s="358" t="n">
        <v>0</v>
      </c>
      <c r="F446" s="358" t="n">
        <v>0</v>
      </c>
      <c r="G446" s="372" t="n">
        <v>0</v>
      </c>
      <c r="H446" s="373" t="n">
        <v>0</v>
      </c>
      <c r="I446" s="358" t="n">
        <v>0</v>
      </c>
      <c r="J446" s="358" t="n">
        <v>0</v>
      </c>
      <c r="K446" s="372" t="n">
        <v>0</v>
      </c>
      <c r="L446" s="373" t="n">
        <v>0</v>
      </c>
      <c r="M446" s="358" t="n">
        <v>0</v>
      </c>
      <c r="N446" s="358" t="n">
        <v>0</v>
      </c>
      <c r="O446" s="372" t="n">
        <v>0</v>
      </c>
      <c r="P446" s="373" t="n">
        <v>0</v>
      </c>
      <c r="Q446" s="358" t="n">
        <v>0</v>
      </c>
      <c r="R446" s="358" t="n">
        <v>0</v>
      </c>
      <c r="S446" s="372" t="n">
        <v>0</v>
      </c>
      <c r="T446" s="373" t="n">
        <v>0</v>
      </c>
      <c r="U446" s="358" t="n">
        <v>0</v>
      </c>
      <c r="V446" s="358" t="n">
        <v>0</v>
      </c>
      <c r="W446" s="372" t="n">
        <v>0</v>
      </c>
      <c r="X446" s="373" t="n">
        <v>0</v>
      </c>
      <c r="Y446" s="358" t="n">
        <v>0</v>
      </c>
      <c r="Z446" s="358" t="n">
        <v>0</v>
      </c>
      <c r="AA446" s="358" t="n">
        <v>0</v>
      </c>
      <c r="AB446" s="373" t="n">
        <v>0</v>
      </c>
      <c r="AC446" s="358" t="n">
        <v>0</v>
      </c>
      <c r="AD446" s="358" t="n">
        <v>0</v>
      </c>
      <c r="AE446" s="358" t="n">
        <v>0</v>
      </c>
      <c r="AF446" s="359" t="n">
        <v>1</v>
      </c>
    </row>
    <row r="447" customFormat="false" ht="15" hidden="true" customHeight="false" outlineLevel="0" collapsed="false">
      <c r="B447" s="360" t="s">
        <v>2927</v>
      </c>
      <c r="C447" s="359" t="n">
        <v>1</v>
      </c>
      <c r="D447" s="358" t="n">
        <v>0</v>
      </c>
      <c r="E447" s="358" t="n">
        <v>0</v>
      </c>
      <c r="F447" s="358" t="n">
        <v>0</v>
      </c>
      <c r="G447" s="372" t="n">
        <v>0</v>
      </c>
      <c r="H447" s="373" t="n">
        <v>0</v>
      </c>
      <c r="I447" s="358" t="n">
        <v>0</v>
      </c>
      <c r="J447" s="358" t="n">
        <v>0</v>
      </c>
      <c r="K447" s="372" t="n">
        <v>0</v>
      </c>
      <c r="L447" s="373" t="n">
        <v>0</v>
      </c>
      <c r="M447" s="358" t="n">
        <v>0</v>
      </c>
      <c r="N447" s="358" t="n">
        <v>0</v>
      </c>
      <c r="O447" s="372" t="n">
        <v>0</v>
      </c>
      <c r="P447" s="373" t="n">
        <v>0</v>
      </c>
      <c r="Q447" s="358" t="n">
        <v>0</v>
      </c>
      <c r="R447" s="358" t="n">
        <v>0</v>
      </c>
      <c r="S447" s="372" t="n">
        <v>0</v>
      </c>
      <c r="T447" s="373" t="n">
        <v>0</v>
      </c>
      <c r="U447" s="358" t="n">
        <v>0</v>
      </c>
      <c r="V447" s="358" t="n">
        <v>0</v>
      </c>
      <c r="W447" s="372" t="n">
        <v>0</v>
      </c>
      <c r="X447" s="373" t="n">
        <v>0</v>
      </c>
      <c r="Y447" s="358" t="n">
        <v>0</v>
      </c>
      <c r="Z447" s="358" t="n">
        <v>0</v>
      </c>
      <c r="AA447" s="358" t="n">
        <v>0</v>
      </c>
      <c r="AB447" s="373" t="n">
        <v>0</v>
      </c>
      <c r="AC447" s="358" t="n">
        <v>0</v>
      </c>
      <c r="AD447" s="358" t="n">
        <v>0</v>
      </c>
      <c r="AE447" s="358" t="n">
        <v>0</v>
      </c>
      <c r="AF447" s="359" t="n">
        <v>1</v>
      </c>
    </row>
    <row r="448" customFormat="false" ht="15" hidden="true" customHeight="false" outlineLevel="0" collapsed="false">
      <c r="B448" s="360" t="s">
        <v>2928</v>
      </c>
      <c r="C448" s="359" t="n">
        <v>1</v>
      </c>
      <c r="D448" s="358" t="n">
        <v>0</v>
      </c>
      <c r="E448" s="358" t="n">
        <v>0</v>
      </c>
      <c r="F448" s="358" t="n">
        <v>0</v>
      </c>
      <c r="G448" s="372" t="n">
        <v>0</v>
      </c>
      <c r="H448" s="373" t="n">
        <v>0</v>
      </c>
      <c r="I448" s="358" t="n">
        <v>0</v>
      </c>
      <c r="J448" s="358" t="n">
        <v>0</v>
      </c>
      <c r="K448" s="372" t="n">
        <v>0</v>
      </c>
      <c r="L448" s="373" t="n">
        <v>0</v>
      </c>
      <c r="M448" s="358" t="n">
        <v>0</v>
      </c>
      <c r="N448" s="358" t="n">
        <v>0</v>
      </c>
      <c r="O448" s="372" t="n">
        <v>0</v>
      </c>
      <c r="P448" s="373" t="n">
        <v>0</v>
      </c>
      <c r="Q448" s="358" t="n">
        <v>0</v>
      </c>
      <c r="R448" s="358" t="n">
        <v>0</v>
      </c>
      <c r="S448" s="372" t="n">
        <v>0</v>
      </c>
      <c r="T448" s="373" t="n">
        <v>0</v>
      </c>
      <c r="U448" s="358" t="n">
        <v>0</v>
      </c>
      <c r="V448" s="358" t="n">
        <v>0</v>
      </c>
      <c r="W448" s="372" t="n">
        <v>0</v>
      </c>
      <c r="X448" s="373" t="n">
        <v>0</v>
      </c>
      <c r="Y448" s="358" t="n">
        <v>0</v>
      </c>
      <c r="Z448" s="358" t="n">
        <v>0</v>
      </c>
      <c r="AA448" s="358" t="n">
        <v>0</v>
      </c>
      <c r="AB448" s="373" t="n">
        <v>0</v>
      </c>
      <c r="AC448" s="358" t="n">
        <v>0</v>
      </c>
      <c r="AD448" s="358" t="n">
        <v>0</v>
      </c>
      <c r="AE448" s="358" t="n">
        <v>0</v>
      </c>
      <c r="AF448" s="359" t="n">
        <v>1</v>
      </c>
    </row>
    <row r="449" customFormat="false" ht="15" hidden="true" customHeight="false" outlineLevel="0" collapsed="false">
      <c r="B449" s="360" t="s">
        <v>2929</v>
      </c>
      <c r="C449" s="359" t="n">
        <v>1</v>
      </c>
      <c r="D449" s="358" t="n">
        <v>0</v>
      </c>
      <c r="E449" s="358" t="n">
        <v>0</v>
      </c>
      <c r="F449" s="358" t="n">
        <v>0</v>
      </c>
      <c r="G449" s="372" t="n">
        <v>0</v>
      </c>
      <c r="H449" s="373" t="n">
        <v>0</v>
      </c>
      <c r="I449" s="358" t="n">
        <v>0</v>
      </c>
      <c r="J449" s="358" t="n">
        <v>0</v>
      </c>
      <c r="K449" s="372" t="n">
        <v>0</v>
      </c>
      <c r="L449" s="373" t="n">
        <v>0</v>
      </c>
      <c r="M449" s="358" t="n">
        <v>0</v>
      </c>
      <c r="N449" s="358" t="n">
        <v>0</v>
      </c>
      <c r="O449" s="372" t="n">
        <v>0</v>
      </c>
      <c r="P449" s="373" t="n">
        <v>0</v>
      </c>
      <c r="Q449" s="358" t="n">
        <v>0</v>
      </c>
      <c r="R449" s="358" t="n">
        <v>0</v>
      </c>
      <c r="S449" s="372" t="n">
        <v>0</v>
      </c>
      <c r="T449" s="373" t="n">
        <v>0</v>
      </c>
      <c r="U449" s="358" t="n">
        <v>0</v>
      </c>
      <c r="V449" s="358" t="n">
        <v>0</v>
      </c>
      <c r="W449" s="372" t="n">
        <v>0</v>
      </c>
      <c r="X449" s="373" t="n">
        <v>0</v>
      </c>
      <c r="Y449" s="358" t="n">
        <v>0</v>
      </c>
      <c r="Z449" s="358" t="n">
        <v>0</v>
      </c>
      <c r="AA449" s="358" t="n">
        <v>0</v>
      </c>
      <c r="AB449" s="373" t="n">
        <v>0</v>
      </c>
      <c r="AC449" s="358" t="n">
        <v>0</v>
      </c>
      <c r="AD449" s="358" t="n">
        <v>0</v>
      </c>
      <c r="AE449" s="358" t="n">
        <v>0</v>
      </c>
      <c r="AF449" s="359" t="n">
        <v>1</v>
      </c>
    </row>
    <row r="450" customFormat="false" ht="15" hidden="true" customHeight="false" outlineLevel="0" collapsed="false">
      <c r="B450" s="360" t="s">
        <v>2930</v>
      </c>
      <c r="C450" s="359" t="n">
        <v>1</v>
      </c>
      <c r="D450" s="358" t="n">
        <v>0</v>
      </c>
      <c r="E450" s="358" t="n">
        <v>0</v>
      </c>
      <c r="F450" s="358" t="n">
        <v>0</v>
      </c>
      <c r="G450" s="372" t="n">
        <v>0</v>
      </c>
      <c r="H450" s="373" t="n">
        <v>0</v>
      </c>
      <c r="I450" s="358" t="n">
        <v>0</v>
      </c>
      <c r="J450" s="358" t="n">
        <v>0</v>
      </c>
      <c r="K450" s="372" t="n">
        <v>0</v>
      </c>
      <c r="L450" s="373" t="n">
        <v>0</v>
      </c>
      <c r="M450" s="358" t="n">
        <v>0</v>
      </c>
      <c r="N450" s="358" t="n">
        <v>0</v>
      </c>
      <c r="O450" s="372" t="n">
        <v>0</v>
      </c>
      <c r="P450" s="373" t="n">
        <v>0</v>
      </c>
      <c r="Q450" s="358" t="n">
        <v>0</v>
      </c>
      <c r="R450" s="358" t="n">
        <v>0</v>
      </c>
      <c r="S450" s="372" t="n">
        <v>0</v>
      </c>
      <c r="T450" s="373" t="n">
        <v>0</v>
      </c>
      <c r="U450" s="358" t="n">
        <v>0</v>
      </c>
      <c r="V450" s="358" t="n">
        <v>0</v>
      </c>
      <c r="W450" s="372" t="n">
        <v>0</v>
      </c>
      <c r="X450" s="373" t="n">
        <v>0</v>
      </c>
      <c r="Y450" s="358" t="n">
        <v>0</v>
      </c>
      <c r="Z450" s="358" t="n">
        <v>0</v>
      </c>
      <c r="AA450" s="358" t="n">
        <v>0</v>
      </c>
      <c r="AB450" s="373" t="n">
        <v>0</v>
      </c>
      <c r="AC450" s="358" t="n">
        <v>0</v>
      </c>
      <c r="AD450" s="358" t="n">
        <v>0</v>
      </c>
      <c r="AE450" s="358" t="n">
        <v>0</v>
      </c>
      <c r="AF450" s="359" t="n">
        <v>1</v>
      </c>
    </row>
    <row r="451" customFormat="false" ht="15" hidden="true" customHeight="false" outlineLevel="0" collapsed="false">
      <c r="B451" s="360" t="s">
        <v>2931</v>
      </c>
      <c r="C451" s="359" t="n">
        <v>1</v>
      </c>
      <c r="D451" s="358" t="n">
        <v>0</v>
      </c>
      <c r="E451" s="358" t="n">
        <v>0</v>
      </c>
      <c r="F451" s="358" t="n">
        <v>0</v>
      </c>
      <c r="G451" s="372" t="n">
        <v>0</v>
      </c>
      <c r="H451" s="373" t="n">
        <v>0</v>
      </c>
      <c r="I451" s="358" t="n">
        <v>0</v>
      </c>
      <c r="J451" s="358" t="n">
        <v>0</v>
      </c>
      <c r="K451" s="372" t="n">
        <v>0</v>
      </c>
      <c r="L451" s="373" t="n">
        <v>0</v>
      </c>
      <c r="M451" s="358" t="n">
        <v>0</v>
      </c>
      <c r="N451" s="358" t="n">
        <v>0</v>
      </c>
      <c r="O451" s="372" t="n">
        <v>0</v>
      </c>
      <c r="P451" s="373" t="n">
        <v>0</v>
      </c>
      <c r="Q451" s="358" t="n">
        <v>0</v>
      </c>
      <c r="R451" s="358" t="n">
        <v>0</v>
      </c>
      <c r="S451" s="372" t="n">
        <v>0</v>
      </c>
      <c r="T451" s="373" t="n">
        <v>0</v>
      </c>
      <c r="U451" s="358" t="n">
        <v>0</v>
      </c>
      <c r="V451" s="358" t="n">
        <v>0</v>
      </c>
      <c r="W451" s="372" t="n">
        <v>0</v>
      </c>
      <c r="X451" s="373" t="n">
        <v>0</v>
      </c>
      <c r="Y451" s="358" t="n">
        <v>0</v>
      </c>
      <c r="Z451" s="358" t="n">
        <v>0</v>
      </c>
      <c r="AA451" s="358" t="n">
        <v>0</v>
      </c>
      <c r="AB451" s="373" t="n">
        <v>0</v>
      </c>
      <c r="AC451" s="358" t="n">
        <v>0</v>
      </c>
      <c r="AD451" s="358" t="n">
        <v>0</v>
      </c>
      <c r="AE451" s="358" t="n">
        <v>0</v>
      </c>
      <c r="AF451" s="359" t="n">
        <v>1</v>
      </c>
    </row>
    <row r="452" customFormat="false" ht="15" hidden="true" customHeight="false" outlineLevel="0" collapsed="false">
      <c r="B452" s="360" t="s">
        <v>2932</v>
      </c>
      <c r="C452" s="359" t="n">
        <v>1</v>
      </c>
      <c r="D452" s="358" t="n">
        <v>0</v>
      </c>
      <c r="E452" s="358" t="n">
        <v>0</v>
      </c>
      <c r="F452" s="358" t="n">
        <v>0</v>
      </c>
      <c r="G452" s="372" t="n">
        <v>0</v>
      </c>
      <c r="H452" s="373" t="n">
        <v>0</v>
      </c>
      <c r="I452" s="358" t="n">
        <v>0</v>
      </c>
      <c r="J452" s="358" t="n">
        <v>0</v>
      </c>
      <c r="K452" s="372" t="n">
        <v>0</v>
      </c>
      <c r="L452" s="373" t="n">
        <v>0</v>
      </c>
      <c r="M452" s="358" t="n">
        <v>0</v>
      </c>
      <c r="N452" s="358" t="n">
        <v>0</v>
      </c>
      <c r="O452" s="372" t="n">
        <v>0</v>
      </c>
      <c r="P452" s="373" t="n">
        <v>0</v>
      </c>
      <c r="Q452" s="358" t="n">
        <v>0</v>
      </c>
      <c r="R452" s="358" t="n">
        <v>0</v>
      </c>
      <c r="S452" s="372" t="n">
        <v>0</v>
      </c>
      <c r="T452" s="373" t="n">
        <v>0</v>
      </c>
      <c r="U452" s="358" t="n">
        <v>0</v>
      </c>
      <c r="V452" s="358" t="n">
        <v>0</v>
      </c>
      <c r="W452" s="372" t="n">
        <v>0</v>
      </c>
      <c r="X452" s="373" t="n">
        <v>0</v>
      </c>
      <c r="Y452" s="358" t="n">
        <v>0</v>
      </c>
      <c r="Z452" s="358" t="n">
        <v>0</v>
      </c>
      <c r="AA452" s="358" t="n">
        <v>0</v>
      </c>
      <c r="AB452" s="373" t="n">
        <v>0</v>
      </c>
      <c r="AC452" s="358" t="n">
        <v>0</v>
      </c>
      <c r="AD452" s="358" t="n">
        <v>0</v>
      </c>
      <c r="AE452" s="358" t="n">
        <v>0</v>
      </c>
      <c r="AF452" s="359" t="n">
        <v>1</v>
      </c>
    </row>
    <row r="453" customFormat="false" ht="15" hidden="true" customHeight="false" outlineLevel="0" collapsed="false">
      <c r="B453" s="360" t="s">
        <v>2933</v>
      </c>
      <c r="C453" s="359" t="n">
        <v>1</v>
      </c>
      <c r="D453" s="358" t="n">
        <v>0</v>
      </c>
      <c r="E453" s="358" t="n">
        <v>0</v>
      </c>
      <c r="F453" s="358" t="n">
        <v>0</v>
      </c>
      <c r="G453" s="372" t="n">
        <v>0</v>
      </c>
      <c r="H453" s="373" t="n">
        <v>0</v>
      </c>
      <c r="I453" s="358" t="n">
        <v>0</v>
      </c>
      <c r="J453" s="358" t="n">
        <v>0</v>
      </c>
      <c r="K453" s="372" t="n">
        <v>0</v>
      </c>
      <c r="L453" s="373" t="n">
        <v>0</v>
      </c>
      <c r="M453" s="358" t="n">
        <v>0</v>
      </c>
      <c r="N453" s="358" t="n">
        <v>0</v>
      </c>
      <c r="O453" s="372" t="n">
        <v>0</v>
      </c>
      <c r="P453" s="373" t="n">
        <v>0</v>
      </c>
      <c r="Q453" s="358" t="n">
        <v>0</v>
      </c>
      <c r="R453" s="358" t="n">
        <v>0</v>
      </c>
      <c r="S453" s="372" t="n">
        <v>0</v>
      </c>
      <c r="T453" s="373" t="n">
        <v>0</v>
      </c>
      <c r="U453" s="358" t="n">
        <v>0</v>
      </c>
      <c r="V453" s="358" t="n">
        <v>0</v>
      </c>
      <c r="W453" s="372" t="n">
        <v>0</v>
      </c>
      <c r="X453" s="373" t="n">
        <v>0</v>
      </c>
      <c r="Y453" s="358" t="n">
        <v>0</v>
      </c>
      <c r="Z453" s="358" t="n">
        <v>0</v>
      </c>
      <c r="AA453" s="358" t="n">
        <v>0</v>
      </c>
      <c r="AB453" s="373" t="n">
        <v>0</v>
      </c>
      <c r="AC453" s="358" t="n">
        <v>0</v>
      </c>
      <c r="AD453" s="358" t="n">
        <v>0</v>
      </c>
      <c r="AE453" s="358" t="n">
        <v>0</v>
      </c>
      <c r="AF453" s="359" t="n">
        <v>1</v>
      </c>
    </row>
    <row r="454" customFormat="false" ht="15" hidden="true" customHeight="false" outlineLevel="0" collapsed="false">
      <c r="B454" s="360" t="s">
        <v>2934</v>
      </c>
      <c r="C454" s="359" t="n">
        <v>1</v>
      </c>
      <c r="D454" s="358" t="n">
        <v>0</v>
      </c>
      <c r="E454" s="358" t="n">
        <v>0</v>
      </c>
      <c r="F454" s="358" t="n">
        <v>0</v>
      </c>
      <c r="G454" s="372" t="n">
        <v>0</v>
      </c>
      <c r="H454" s="373" t="n">
        <v>0</v>
      </c>
      <c r="I454" s="358" t="n">
        <v>0</v>
      </c>
      <c r="J454" s="358" t="n">
        <v>0</v>
      </c>
      <c r="K454" s="372" t="n">
        <v>0</v>
      </c>
      <c r="L454" s="373" t="n">
        <v>0</v>
      </c>
      <c r="M454" s="358" t="n">
        <v>0</v>
      </c>
      <c r="N454" s="358" t="n">
        <v>0</v>
      </c>
      <c r="O454" s="372" t="n">
        <v>0</v>
      </c>
      <c r="P454" s="373" t="n">
        <v>0</v>
      </c>
      <c r="Q454" s="358" t="n">
        <v>0</v>
      </c>
      <c r="R454" s="358" t="n">
        <v>0</v>
      </c>
      <c r="S454" s="372" t="n">
        <v>0</v>
      </c>
      <c r="T454" s="373" t="n">
        <v>0</v>
      </c>
      <c r="U454" s="358" t="n">
        <v>0</v>
      </c>
      <c r="V454" s="358" t="n">
        <v>0</v>
      </c>
      <c r="W454" s="372" t="n">
        <v>0</v>
      </c>
      <c r="X454" s="373" t="n">
        <v>0</v>
      </c>
      <c r="Y454" s="358" t="n">
        <v>0</v>
      </c>
      <c r="Z454" s="358" t="n">
        <v>0</v>
      </c>
      <c r="AA454" s="358" t="n">
        <v>0</v>
      </c>
      <c r="AB454" s="373" t="n">
        <v>0</v>
      </c>
      <c r="AC454" s="358" t="n">
        <v>0</v>
      </c>
      <c r="AD454" s="358" t="n">
        <v>0</v>
      </c>
      <c r="AE454" s="358" t="n">
        <v>0</v>
      </c>
      <c r="AF454" s="359" t="n">
        <v>1</v>
      </c>
    </row>
    <row r="455" customFormat="false" ht="15" hidden="true" customHeight="false" outlineLevel="0" collapsed="false">
      <c r="B455" s="360" t="s">
        <v>2935</v>
      </c>
      <c r="C455" s="359" t="n">
        <v>1</v>
      </c>
      <c r="D455" s="358" t="n">
        <v>0</v>
      </c>
      <c r="E455" s="358" t="n">
        <v>0</v>
      </c>
      <c r="F455" s="358" t="n">
        <v>0</v>
      </c>
      <c r="G455" s="372" t="n">
        <v>0</v>
      </c>
      <c r="H455" s="373" t="n">
        <v>0</v>
      </c>
      <c r="I455" s="358" t="n">
        <v>0</v>
      </c>
      <c r="J455" s="358" t="n">
        <v>0</v>
      </c>
      <c r="K455" s="372" t="n">
        <v>0</v>
      </c>
      <c r="L455" s="373" t="n">
        <v>0</v>
      </c>
      <c r="M455" s="358" t="n">
        <v>0</v>
      </c>
      <c r="N455" s="358" t="n">
        <v>0</v>
      </c>
      <c r="O455" s="372" t="n">
        <v>0</v>
      </c>
      <c r="P455" s="373" t="n">
        <v>0</v>
      </c>
      <c r="Q455" s="358" t="n">
        <v>0</v>
      </c>
      <c r="R455" s="358" t="n">
        <v>0</v>
      </c>
      <c r="S455" s="372" t="n">
        <v>0</v>
      </c>
      <c r="T455" s="373" t="n">
        <v>0</v>
      </c>
      <c r="U455" s="358" t="n">
        <v>0</v>
      </c>
      <c r="V455" s="358" t="n">
        <v>0</v>
      </c>
      <c r="W455" s="372" t="n">
        <v>0</v>
      </c>
      <c r="X455" s="373" t="n">
        <v>0</v>
      </c>
      <c r="Y455" s="358" t="n">
        <v>0</v>
      </c>
      <c r="Z455" s="358" t="n">
        <v>0</v>
      </c>
      <c r="AA455" s="358" t="n">
        <v>0</v>
      </c>
      <c r="AB455" s="373" t="n">
        <v>0</v>
      </c>
      <c r="AC455" s="358" t="n">
        <v>0</v>
      </c>
      <c r="AD455" s="358" t="n">
        <v>0</v>
      </c>
      <c r="AE455" s="358" t="n">
        <v>0</v>
      </c>
      <c r="AF455" s="359" t="n">
        <v>1</v>
      </c>
    </row>
    <row r="456" customFormat="false" ht="15" hidden="true" customHeight="false" outlineLevel="0" collapsed="false">
      <c r="B456" s="360" t="s">
        <v>2936</v>
      </c>
      <c r="C456" s="359" t="n">
        <v>1</v>
      </c>
      <c r="D456" s="358" t="n">
        <v>0</v>
      </c>
      <c r="E456" s="358" t="n">
        <v>0</v>
      </c>
      <c r="F456" s="358" t="n">
        <v>0</v>
      </c>
      <c r="G456" s="372" t="n">
        <v>0</v>
      </c>
      <c r="H456" s="373" t="n">
        <v>0</v>
      </c>
      <c r="I456" s="358" t="n">
        <v>0</v>
      </c>
      <c r="J456" s="358" t="n">
        <v>0</v>
      </c>
      <c r="K456" s="372" t="n">
        <v>0</v>
      </c>
      <c r="L456" s="373" t="n">
        <v>0</v>
      </c>
      <c r="M456" s="358" t="n">
        <v>0</v>
      </c>
      <c r="N456" s="358" t="n">
        <v>0</v>
      </c>
      <c r="O456" s="372" t="n">
        <v>0</v>
      </c>
      <c r="P456" s="373" t="n">
        <v>0</v>
      </c>
      <c r="Q456" s="358" t="n">
        <v>0</v>
      </c>
      <c r="R456" s="358" t="n">
        <v>0</v>
      </c>
      <c r="S456" s="372" t="n">
        <v>0</v>
      </c>
      <c r="T456" s="373" t="n">
        <v>0</v>
      </c>
      <c r="U456" s="358" t="n">
        <v>0</v>
      </c>
      <c r="V456" s="358" t="n">
        <v>0</v>
      </c>
      <c r="W456" s="372" t="n">
        <v>0</v>
      </c>
      <c r="X456" s="373" t="n">
        <v>0</v>
      </c>
      <c r="Y456" s="358" t="n">
        <v>0</v>
      </c>
      <c r="Z456" s="358" t="n">
        <v>0</v>
      </c>
      <c r="AA456" s="358" t="n">
        <v>0</v>
      </c>
      <c r="AB456" s="373" t="n">
        <v>0</v>
      </c>
      <c r="AC456" s="358" t="n">
        <v>0</v>
      </c>
      <c r="AD456" s="358" t="n">
        <v>0</v>
      </c>
      <c r="AE456" s="358" t="n">
        <v>0</v>
      </c>
      <c r="AF456" s="359" t="n">
        <v>1</v>
      </c>
    </row>
    <row r="457" customFormat="false" ht="15" hidden="true" customHeight="false" outlineLevel="0" collapsed="false">
      <c r="B457" s="360" t="s">
        <v>2937</v>
      </c>
      <c r="C457" s="359" t="n">
        <v>1</v>
      </c>
      <c r="D457" s="358" t="n">
        <v>0</v>
      </c>
      <c r="E457" s="358" t="n">
        <v>0</v>
      </c>
      <c r="F457" s="358" t="n">
        <v>0</v>
      </c>
      <c r="G457" s="372" t="n">
        <v>0</v>
      </c>
      <c r="H457" s="373" t="n">
        <v>0</v>
      </c>
      <c r="I457" s="358" t="n">
        <v>0</v>
      </c>
      <c r="J457" s="358" t="n">
        <v>0</v>
      </c>
      <c r="K457" s="372" t="n">
        <v>0</v>
      </c>
      <c r="L457" s="373" t="n">
        <v>0</v>
      </c>
      <c r="M457" s="358" t="n">
        <v>0</v>
      </c>
      <c r="N457" s="358" t="n">
        <v>0</v>
      </c>
      <c r="O457" s="372" t="n">
        <v>0</v>
      </c>
      <c r="P457" s="373" t="n">
        <v>0</v>
      </c>
      <c r="Q457" s="358" t="n">
        <v>0</v>
      </c>
      <c r="R457" s="358" t="n">
        <v>0</v>
      </c>
      <c r="S457" s="372" t="n">
        <v>0</v>
      </c>
      <c r="T457" s="373" t="n">
        <v>0</v>
      </c>
      <c r="U457" s="358" t="n">
        <v>0</v>
      </c>
      <c r="V457" s="358" t="n">
        <v>0</v>
      </c>
      <c r="W457" s="372" t="n">
        <v>0</v>
      </c>
      <c r="X457" s="373" t="n">
        <v>0</v>
      </c>
      <c r="Y457" s="358" t="n">
        <v>0</v>
      </c>
      <c r="Z457" s="358" t="n">
        <v>0</v>
      </c>
      <c r="AA457" s="358" t="n">
        <v>0</v>
      </c>
      <c r="AB457" s="373" t="n">
        <v>0</v>
      </c>
      <c r="AC457" s="358" t="n">
        <v>0</v>
      </c>
      <c r="AD457" s="358" t="n">
        <v>0</v>
      </c>
      <c r="AE457" s="358" t="n">
        <v>0</v>
      </c>
      <c r="AF457" s="359" t="n">
        <v>1</v>
      </c>
    </row>
    <row r="458" customFormat="false" ht="15" hidden="true" customHeight="false" outlineLevel="0" collapsed="false">
      <c r="B458" s="360" t="s">
        <v>2938</v>
      </c>
      <c r="C458" s="359" t="n">
        <v>1</v>
      </c>
      <c r="D458" s="358" t="n">
        <v>0</v>
      </c>
      <c r="E458" s="358" t="n">
        <v>0</v>
      </c>
      <c r="F458" s="358" t="n">
        <v>0</v>
      </c>
      <c r="G458" s="372" t="n">
        <v>0</v>
      </c>
      <c r="H458" s="373" t="n">
        <v>0</v>
      </c>
      <c r="I458" s="358" t="n">
        <v>0</v>
      </c>
      <c r="J458" s="358" t="n">
        <v>0</v>
      </c>
      <c r="K458" s="372" t="n">
        <v>0</v>
      </c>
      <c r="L458" s="373" t="n">
        <v>0</v>
      </c>
      <c r="M458" s="358" t="n">
        <v>0</v>
      </c>
      <c r="N458" s="358" t="n">
        <v>0</v>
      </c>
      <c r="O458" s="372" t="n">
        <v>0</v>
      </c>
      <c r="P458" s="373" t="n">
        <v>0</v>
      </c>
      <c r="Q458" s="358" t="n">
        <v>0</v>
      </c>
      <c r="R458" s="358" t="n">
        <v>0</v>
      </c>
      <c r="S458" s="372" t="n">
        <v>0</v>
      </c>
      <c r="T458" s="373" t="n">
        <v>0</v>
      </c>
      <c r="U458" s="358" t="n">
        <v>0</v>
      </c>
      <c r="V458" s="358" t="n">
        <v>0</v>
      </c>
      <c r="W458" s="372" t="n">
        <v>0</v>
      </c>
      <c r="X458" s="373" t="n">
        <v>0</v>
      </c>
      <c r="Y458" s="358" t="n">
        <v>0</v>
      </c>
      <c r="Z458" s="358" t="n">
        <v>0</v>
      </c>
      <c r="AA458" s="358" t="n">
        <v>0</v>
      </c>
      <c r="AB458" s="373" t="n">
        <v>0</v>
      </c>
      <c r="AC458" s="358" t="n">
        <v>0</v>
      </c>
      <c r="AD458" s="358" t="n">
        <v>0</v>
      </c>
      <c r="AE458" s="358" t="n">
        <v>0</v>
      </c>
      <c r="AF458" s="359" t="n">
        <v>1</v>
      </c>
    </row>
    <row r="459" customFormat="false" ht="15" hidden="true" customHeight="false" outlineLevel="0" collapsed="false">
      <c r="B459" s="360" t="s">
        <v>2939</v>
      </c>
      <c r="C459" s="359" t="n">
        <v>1</v>
      </c>
      <c r="D459" s="358" t="n">
        <v>0</v>
      </c>
      <c r="E459" s="358" t="n">
        <v>0</v>
      </c>
      <c r="F459" s="358" t="n">
        <v>0</v>
      </c>
      <c r="G459" s="372" t="n">
        <v>0</v>
      </c>
      <c r="H459" s="373" t="n">
        <v>0</v>
      </c>
      <c r="I459" s="358" t="n">
        <v>0</v>
      </c>
      <c r="J459" s="358" t="n">
        <v>0</v>
      </c>
      <c r="K459" s="372" t="n">
        <v>0</v>
      </c>
      <c r="L459" s="373" t="n">
        <v>0</v>
      </c>
      <c r="M459" s="358" t="n">
        <v>0</v>
      </c>
      <c r="N459" s="358" t="n">
        <v>0</v>
      </c>
      <c r="O459" s="372" t="n">
        <v>0</v>
      </c>
      <c r="P459" s="373" t="n">
        <v>0</v>
      </c>
      <c r="Q459" s="358" t="n">
        <v>0</v>
      </c>
      <c r="R459" s="358" t="n">
        <v>0</v>
      </c>
      <c r="S459" s="372" t="n">
        <v>0</v>
      </c>
      <c r="T459" s="373" t="n">
        <v>0</v>
      </c>
      <c r="U459" s="358" t="n">
        <v>0</v>
      </c>
      <c r="V459" s="358" t="n">
        <v>0</v>
      </c>
      <c r="W459" s="372" t="n">
        <v>0</v>
      </c>
      <c r="X459" s="373" t="n">
        <v>0</v>
      </c>
      <c r="Y459" s="358" t="n">
        <v>0</v>
      </c>
      <c r="Z459" s="358" t="n">
        <v>0</v>
      </c>
      <c r="AA459" s="358" t="n">
        <v>0</v>
      </c>
      <c r="AB459" s="373" t="n">
        <v>0</v>
      </c>
      <c r="AC459" s="358" t="n">
        <v>0</v>
      </c>
      <c r="AD459" s="358" t="n">
        <v>0</v>
      </c>
      <c r="AE459" s="358" t="n">
        <v>0</v>
      </c>
      <c r="AF459" s="359" t="n">
        <v>1</v>
      </c>
    </row>
    <row r="460" customFormat="false" ht="15" hidden="true" customHeight="false" outlineLevel="0" collapsed="false">
      <c r="B460" s="360" t="s">
        <v>2940</v>
      </c>
      <c r="C460" s="359" t="n">
        <v>1</v>
      </c>
      <c r="D460" s="358" t="n">
        <v>0</v>
      </c>
      <c r="E460" s="358" t="n">
        <v>0</v>
      </c>
      <c r="F460" s="358" t="n">
        <v>0</v>
      </c>
      <c r="G460" s="372" t="n">
        <v>0</v>
      </c>
      <c r="H460" s="373" t="n">
        <v>0</v>
      </c>
      <c r="I460" s="358" t="n">
        <v>0</v>
      </c>
      <c r="J460" s="358" t="n">
        <v>0</v>
      </c>
      <c r="K460" s="372" t="n">
        <v>0</v>
      </c>
      <c r="L460" s="373" t="n">
        <v>0</v>
      </c>
      <c r="M460" s="358" t="n">
        <v>0</v>
      </c>
      <c r="N460" s="358" t="n">
        <v>0</v>
      </c>
      <c r="O460" s="372" t="n">
        <v>0</v>
      </c>
      <c r="P460" s="373" t="n">
        <v>0</v>
      </c>
      <c r="Q460" s="358" t="n">
        <v>0</v>
      </c>
      <c r="R460" s="358" t="n">
        <v>0</v>
      </c>
      <c r="S460" s="372" t="n">
        <v>0</v>
      </c>
      <c r="T460" s="373" t="n">
        <v>0</v>
      </c>
      <c r="U460" s="358" t="n">
        <v>0</v>
      </c>
      <c r="V460" s="358" t="n">
        <v>0</v>
      </c>
      <c r="W460" s="372" t="n">
        <v>0</v>
      </c>
      <c r="X460" s="373" t="n">
        <v>0</v>
      </c>
      <c r="Y460" s="358" t="n">
        <v>0</v>
      </c>
      <c r="Z460" s="358" t="n">
        <v>0</v>
      </c>
      <c r="AA460" s="358" t="n">
        <v>0</v>
      </c>
      <c r="AB460" s="373" t="n">
        <v>0</v>
      </c>
      <c r="AC460" s="358" t="n">
        <v>0</v>
      </c>
      <c r="AD460" s="358" t="n">
        <v>0</v>
      </c>
      <c r="AE460" s="358" t="n">
        <v>0</v>
      </c>
      <c r="AF460" s="359" t="n">
        <v>1</v>
      </c>
    </row>
    <row r="461" customFormat="false" ht="15" hidden="true" customHeight="false" outlineLevel="0" collapsed="false">
      <c r="B461" s="360" t="s">
        <v>2941</v>
      </c>
      <c r="C461" s="359" t="n">
        <v>1</v>
      </c>
      <c r="D461" s="358" t="n">
        <v>0</v>
      </c>
      <c r="E461" s="358" t="n">
        <v>0</v>
      </c>
      <c r="F461" s="358" t="n">
        <v>0</v>
      </c>
      <c r="G461" s="372" t="n">
        <v>0</v>
      </c>
      <c r="H461" s="373" t="n">
        <v>0</v>
      </c>
      <c r="I461" s="358" t="n">
        <v>0</v>
      </c>
      <c r="J461" s="358" t="n">
        <v>0</v>
      </c>
      <c r="K461" s="372" t="n">
        <v>0</v>
      </c>
      <c r="L461" s="373" t="n">
        <v>0</v>
      </c>
      <c r="M461" s="358" t="n">
        <v>0</v>
      </c>
      <c r="N461" s="358" t="n">
        <v>0</v>
      </c>
      <c r="O461" s="372" t="n">
        <v>0</v>
      </c>
      <c r="P461" s="373" t="n">
        <v>0</v>
      </c>
      <c r="Q461" s="358" t="n">
        <v>0</v>
      </c>
      <c r="R461" s="358" t="n">
        <v>0</v>
      </c>
      <c r="S461" s="372" t="n">
        <v>0</v>
      </c>
      <c r="T461" s="373" t="n">
        <v>0</v>
      </c>
      <c r="U461" s="358" t="n">
        <v>0</v>
      </c>
      <c r="V461" s="358" t="n">
        <v>0</v>
      </c>
      <c r="W461" s="372" t="n">
        <v>0</v>
      </c>
      <c r="X461" s="373" t="n">
        <v>0</v>
      </c>
      <c r="Y461" s="358" t="n">
        <v>0</v>
      </c>
      <c r="Z461" s="358" t="n">
        <v>0</v>
      </c>
      <c r="AA461" s="358" t="n">
        <v>0</v>
      </c>
      <c r="AB461" s="373" t="n">
        <v>0</v>
      </c>
      <c r="AC461" s="358" t="n">
        <v>0</v>
      </c>
      <c r="AD461" s="358" t="n">
        <v>0</v>
      </c>
      <c r="AE461" s="358" t="n">
        <v>0</v>
      </c>
      <c r="AF461" s="359" t="n">
        <v>1</v>
      </c>
    </row>
    <row r="462" customFormat="false" ht="15" hidden="true" customHeight="false" outlineLevel="0" collapsed="false">
      <c r="B462" s="360" t="s">
        <v>2942</v>
      </c>
      <c r="C462" s="359" t="n">
        <v>1</v>
      </c>
      <c r="D462" s="358" t="n">
        <v>0</v>
      </c>
      <c r="E462" s="358" t="n">
        <v>0</v>
      </c>
      <c r="F462" s="358" t="n">
        <v>0</v>
      </c>
      <c r="G462" s="372" t="n">
        <v>0</v>
      </c>
      <c r="H462" s="373" t="n">
        <v>0</v>
      </c>
      <c r="I462" s="358" t="n">
        <v>0</v>
      </c>
      <c r="J462" s="358" t="n">
        <v>0</v>
      </c>
      <c r="K462" s="372" t="n">
        <v>0</v>
      </c>
      <c r="L462" s="373" t="n">
        <v>0</v>
      </c>
      <c r="M462" s="358" t="n">
        <v>0</v>
      </c>
      <c r="N462" s="358" t="n">
        <v>0</v>
      </c>
      <c r="O462" s="372" t="n">
        <v>0</v>
      </c>
      <c r="P462" s="373" t="n">
        <v>0</v>
      </c>
      <c r="Q462" s="358" t="n">
        <v>0</v>
      </c>
      <c r="R462" s="358" t="n">
        <v>0</v>
      </c>
      <c r="S462" s="372" t="n">
        <v>0</v>
      </c>
      <c r="T462" s="373" t="n">
        <v>0</v>
      </c>
      <c r="U462" s="358" t="n">
        <v>0</v>
      </c>
      <c r="V462" s="358" t="n">
        <v>0</v>
      </c>
      <c r="W462" s="372" t="n">
        <v>0</v>
      </c>
      <c r="X462" s="373" t="n">
        <v>0</v>
      </c>
      <c r="Y462" s="358" t="n">
        <v>0</v>
      </c>
      <c r="Z462" s="358" t="n">
        <v>0</v>
      </c>
      <c r="AA462" s="358" t="n">
        <v>0</v>
      </c>
      <c r="AB462" s="373" t="n">
        <v>0</v>
      </c>
      <c r="AC462" s="358" t="n">
        <v>0</v>
      </c>
      <c r="AD462" s="358" t="n">
        <v>0</v>
      </c>
      <c r="AE462" s="358" t="n">
        <v>0</v>
      </c>
      <c r="AF462" s="359" t="n">
        <v>1</v>
      </c>
    </row>
    <row r="463" customFormat="false" ht="15" hidden="true" customHeight="false" outlineLevel="0" collapsed="false">
      <c r="B463" s="360" t="s">
        <v>2943</v>
      </c>
      <c r="C463" s="359" t="n">
        <v>1</v>
      </c>
      <c r="D463" s="358" t="n">
        <v>0</v>
      </c>
      <c r="E463" s="358" t="n">
        <v>0</v>
      </c>
      <c r="F463" s="358" t="n">
        <v>0</v>
      </c>
      <c r="G463" s="372" t="n">
        <v>0</v>
      </c>
      <c r="H463" s="373" t="n">
        <v>0</v>
      </c>
      <c r="I463" s="358" t="n">
        <v>0</v>
      </c>
      <c r="J463" s="358" t="n">
        <v>0</v>
      </c>
      <c r="K463" s="372" t="n">
        <v>0</v>
      </c>
      <c r="L463" s="373" t="n">
        <v>0</v>
      </c>
      <c r="M463" s="358" t="n">
        <v>0</v>
      </c>
      <c r="N463" s="358" t="n">
        <v>0</v>
      </c>
      <c r="O463" s="372" t="n">
        <v>0</v>
      </c>
      <c r="P463" s="373" t="n">
        <v>0</v>
      </c>
      <c r="Q463" s="358" t="n">
        <v>0</v>
      </c>
      <c r="R463" s="358" t="n">
        <v>0</v>
      </c>
      <c r="S463" s="372" t="n">
        <v>0</v>
      </c>
      <c r="T463" s="373" t="n">
        <v>0</v>
      </c>
      <c r="U463" s="358" t="n">
        <v>0</v>
      </c>
      <c r="V463" s="358" t="n">
        <v>0</v>
      </c>
      <c r="W463" s="372" t="n">
        <v>0</v>
      </c>
      <c r="X463" s="373" t="n">
        <v>0</v>
      </c>
      <c r="Y463" s="358" t="n">
        <v>0</v>
      </c>
      <c r="Z463" s="358" t="n">
        <v>0</v>
      </c>
      <c r="AA463" s="358" t="n">
        <v>0</v>
      </c>
      <c r="AB463" s="373" t="n">
        <v>0</v>
      </c>
      <c r="AC463" s="358" t="n">
        <v>0</v>
      </c>
      <c r="AD463" s="358" t="n">
        <v>0</v>
      </c>
      <c r="AE463" s="358" t="n">
        <v>0</v>
      </c>
      <c r="AF463" s="359" t="n">
        <v>1</v>
      </c>
    </row>
    <row r="464" customFormat="false" ht="15" hidden="true" customHeight="false" outlineLevel="0" collapsed="false">
      <c r="B464" s="360" t="s">
        <v>2944</v>
      </c>
      <c r="C464" s="359" t="n">
        <v>1</v>
      </c>
      <c r="D464" s="358" t="n">
        <v>0</v>
      </c>
      <c r="E464" s="358" t="n">
        <v>0</v>
      </c>
      <c r="F464" s="358" t="n">
        <v>0</v>
      </c>
      <c r="G464" s="372" t="n">
        <v>0</v>
      </c>
      <c r="H464" s="373" t="n">
        <v>0</v>
      </c>
      <c r="I464" s="358" t="n">
        <v>0</v>
      </c>
      <c r="J464" s="358" t="n">
        <v>0</v>
      </c>
      <c r="K464" s="372" t="n">
        <v>0</v>
      </c>
      <c r="L464" s="373" t="n">
        <v>0</v>
      </c>
      <c r="M464" s="358" t="n">
        <v>0</v>
      </c>
      <c r="N464" s="358" t="n">
        <v>0</v>
      </c>
      <c r="O464" s="372" t="n">
        <v>0</v>
      </c>
      <c r="P464" s="373" t="n">
        <v>0</v>
      </c>
      <c r="Q464" s="358" t="n">
        <v>0</v>
      </c>
      <c r="R464" s="358" t="n">
        <v>0</v>
      </c>
      <c r="S464" s="372" t="n">
        <v>0</v>
      </c>
      <c r="T464" s="373" t="n">
        <v>0</v>
      </c>
      <c r="U464" s="358" t="n">
        <v>0</v>
      </c>
      <c r="V464" s="358" t="n">
        <v>0</v>
      </c>
      <c r="W464" s="372" t="n">
        <v>0</v>
      </c>
      <c r="X464" s="373" t="n">
        <v>0</v>
      </c>
      <c r="Y464" s="358" t="n">
        <v>0</v>
      </c>
      <c r="Z464" s="358" t="n">
        <v>0</v>
      </c>
      <c r="AA464" s="358" t="n">
        <v>0</v>
      </c>
      <c r="AB464" s="373" t="n">
        <v>0</v>
      </c>
      <c r="AC464" s="358" t="n">
        <v>0</v>
      </c>
      <c r="AD464" s="358" t="n">
        <v>0</v>
      </c>
      <c r="AE464" s="358" t="n">
        <v>0</v>
      </c>
      <c r="AF464" s="359" t="n">
        <v>1</v>
      </c>
    </row>
    <row r="465" customFormat="false" ht="15" hidden="true" customHeight="false" outlineLevel="0" collapsed="false">
      <c r="B465" s="360" t="s">
        <v>2945</v>
      </c>
      <c r="C465" s="359" t="n">
        <v>1</v>
      </c>
      <c r="D465" s="358" t="n">
        <v>0</v>
      </c>
      <c r="E465" s="358" t="n">
        <v>0</v>
      </c>
      <c r="F465" s="358" t="n">
        <v>0</v>
      </c>
      <c r="G465" s="372" t="n">
        <v>0</v>
      </c>
      <c r="H465" s="373" t="n">
        <v>0</v>
      </c>
      <c r="I465" s="358" t="n">
        <v>0</v>
      </c>
      <c r="J465" s="358" t="n">
        <v>0</v>
      </c>
      <c r="K465" s="372" t="n">
        <v>0</v>
      </c>
      <c r="L465" s="373" t="n">
        <v>0</v>
      </c>
      <c r="M465" s="358" t="n">
        <v>0</v>
      </c>
      <c r="N465" s="358" t="n">
        <v>0</v>
      </c>
      <c r="O465" s="372" t="n">
        <v>0</v>
      </c>
      <c r="P465" s="373" t="n">
        <v>0</v>
      </c>
      <c r="Q465" s="358" t="n">
        <v>0</v>
      </c>
      <c r="R465" s="358" t="n">
        <v>0</v>
      </c>
      <c r="S465" s="372" t="n">
        <v>0</v>
      </c>
      <c r="T465" s="373" t="n">
        <v>0</v>
      </c>
      <c r="U465" s="358" t="n">
        <v>0</v>
      </c>
      <c r="V465" s="358" t="n">
        <v>0</v>
      </c>
      <c r="W465" s="372" t="n">
        <v>0</v>
      </c>
      <c r="X465" s="373" t="n">
        <v>0</v>
      </c>
      <c r="Y465" s="358" t="n">
        <v>0</v>
      </c>
      <c r="Z465" s="358" t="n">
        <v>0</v>
      </c>
      <c r="AA465" s="358" t="n">
        <v>0</v>
      </c>
      <c r="AB465" s="373" t="n">
        <v>0</v>
      </c>
      <c r="AC465" s="358" t="n">
        <v>0</v>
      </c>
      <c r="AD465" s="358" t="n">
        <v>0</v>
      </c>
      <c r="AE465" s="358" t="n">
        <v>0</v>
      </c>
      <c r="AF465" s="359" t="n">
        <v>1</v>
      </c>
    </row>
    <row r="466" customFormat="false" ht="15" hidden="true" customHeight="false" outlineLevel="0" collapsed="false">
      <c r="B466" s="360" t="s">
        <v>2946</v>
      </c>
      <c r="C466" s="359" t="n">
        <v>1</v>
      </c>
      <c r="D466" s="358" t="n">
        <v>0</v>
      </c>
      <c r="E466" s="358" t="n">
        <v>0</v>
      </c>
      <c r="F466" s="358" t="n">
        <v>0</v>
      </c>
      <c r="G466" s="372" t="n">
        <v>0</v>
      </c>
      <c r="H466" s="373" t="n">
        <v>0</v>
      </c>
      <c r="I466" s="358" t="n">
        <v>0</v>
      </c>
      <c r="J466" s="358" t="n">
        <v>0</v>
      </c>
      <c r="K466" s="372" t="n">
        <v>0</v>
      </c>
      <c r="L466" s="373" t="n">
        <v>0</v>
      </c>
      <c r="M466" s="358" t="n">
        <v>0</v>
      </c>
      <c r="N466" s="358" t="n">
        <v>0</v>
      </c>
      <c r="O466" s="372" t="n">
        <v>0</v>
      </c>
      <c r="P466" s="373" t="n">
        <v>0</v>
      </c>
      <c r="Q466" s="358" t="n">
        <v>0</v>
      </c>
      <c r="R466" s="358" t="n">
        <v>0</v>
      </c>
      <c r="S466" s="372" t="n">
        <v>0</v>
      </c>
      <c r="T466" s="373" t="n">
        <v>0</v>
      </c>
      <c r="U466" s="358" t="n">
        <v>0</v>
      </c>
      <c r="V466" s="358" t="n">
        <v>0</v>
      </c>
      <c r="W466" s="372" t="n">
        <v>0</v>
      </c>
      <c r="X466" s="373" t="n">
        <v>0</v>
      </c>
      <c r="Y466" s="358" t="n">
        <v>0</v>
      </c>
      <c r="Z466" s="358" t="n">
        <v>0</v>
      </c>
      <c r="AA466" s="358" t="n">
        <v>0</v>
      </c>
      <c r="AB466" s="373" t="n">
        <v>0</v>
      </c>
      <c r="AC466" s="358" t="n">
        <v>0</v>
      </c>
      <c r="AD466" s="358" t="n">
        <v>0</v>
      </c>
      <c r="AE466" s="358" t="n">
        <v>0</v>
      </c>
      <c r="AF466" s="359" t="n">
        <v>1</v>
      </c>
    </row>
    <row r="467" customFormat="false" ht="15" hidden="true" customHeight="false" outlineLevel="0" collapsed="false">
      <c r="B467" s="360" t="s">
        <v>2947</v>
      </c>
      <c r="C467" s="359" t="n">
        <v>1</v>
      </c>
      <c r="D467" s="358" t="n">
        <v>0</v>
      </c>
      <c r="E467" s="358" t="n">
        <v>0</v>
      </c>
      <c r="F467" s="358" t="n">
        <v>0</v>
      </c>
      <c r="G467" s="372" t="n">
        <v>0</v>
      </c>
      <c r="H467" s="373" t="n">
        <v>0</v>
      </c>
      <c r="I467" s="358" t="n">
        <v>0</v>
      </c>
      <c r="J467" s="358" t="n">
        <v>0</v>
      </c>
      <c r="K467" s="372" t="n">
        <v>0</v>
      </c>
      <c r="L467" s="373" t="n">
        <v>0</v>
      </c>
      <c r="M467" s="358" t="n">
        <v>0</v>
      </c>
      <c r="N467" s="358" t="n">
        <v>0</v>
      </c>
      <c r="O467" s="372" t="n">
        <v>0</v>
      </c>
      <c r="P467" s="373" t="n">
        <v>0</v>
      </c>
      <c r="Q467" s="358" t="n">
        <v>0</v>
      </c>
      <c r="R467" s="358" t="n">
        <v>0</v>
      </c>
      <c r="S467" s="372" t="n">
        <v>0</v>
      </c>
      <c r="T467" s="373" t="n">
        <v>0</v>
      </c>
      <c r="U467" s="358" t="n">
        <v>0</v>
      </c>
      <c r="V467" s="358" t="n">
        <v>0</v>
      </c>
      <c r="W467" s="372" t="n">
        <v>0</v>
      </c>
      <c r="X467" s="373" t="n">
        <v>0</v>
      </c>
      <c r="Y467" s="358" t="n">
        <v>0</v>
      </c>
      <c r="Z467" s="358" t="n">
        <v>0</v>
      </c>
      <c r="AA467" s="358" t="n">
        <v>0</v>
      </c>
      <c r="AB467" s="373" t="n">
        <v>0</v>
      </c>
      <c r="AC467" s="358" t="n">
        <v>0</v>
      </c>
      <c r="AD467" s="358" t="n">
        <v>0</v>
      </c>
      <c r="AE467" s="358" t="n">
        <v>0</v>
      </c>
      <c r="AF467" s="359" t="n">
        <v>1</v>
      </c>
    </row>
    <row r="468" customFormat="false" ht="15" hidden="true" customHeight="false" outlineLevel="0" collapsed="false">
      <c r="B468" s="360" t="s">
        <v>2948</v>
      </c>
      <c r="C468" s="359" t="n">
        <v>1</v>
      </c>
      <c r="D468" s="358" t="n">
        <v>0</v>
      </c>
      <c r="E468" s="358" t="n">
        <v>0</v>
      </c>
      <c r="F468" s="358" t="n">
        <v>0</v>
      </c>
      <c r="G468" s="372" t="n">
        <v>0</v>
      </c>
      <c r="H468" s="373" t="n">
        <v>0</v>
      </c>
      <c r="I468" s="358" t="n">
        <v>0</v>
      </c>
      <c r="J468" s="358" t="n">
        <v>0</v>
      </c>
      <c r="K468" s="372" t="n">
        <v>0</v>
      </c>
      <c r="L468" s="373" t="n">
        <v>0</v>
      </c>
      <c r="M468" s="358" t="n">
        <v>0</v>
      </c>
      <c r="N468" s="358" t="n">
        <v>0</v>
      </c>
      <c r="O468" s="372" t="n">
        <v>0</v>
      </c>
      <c r="P468" s="373" t="n">
        <v>0</v>
      </c>
      <c r="Q468" s="358" t="n">
        <v>0</v>
      </c>
      <c r="R468" s="358" t="n">
        <v>0</v>
      </c>
      <c r="S468" s="372" t="n">
        <v>0</v>
      </c>
      <c r="T468" s="373" t="n">
        <v>0</v>
      </c>
      <c r="U468" s="358" t="n">
        <v>0</v>
      </c>
      <c r="V468" s="358" t="n">
        <v>0</v>
      </c>
      <c r="W468" s="372" t="n">
        <v>0</v>
      </c>
      <c r="X468" s="373" t="n">
        <v>0</v>
      </c>
      <c r="Y468" s="358" t="n">
        <v>0</v>
      </c>
      <c r="Z468" s="358" t="n">
        <v>0</v>
      </c>
      <c r="AA468" s="358" t="n">
        <v>0</v>
      </c>
      <c r="AB468" s="373" t="n">
        <v>0</v>
      </c>
      <c r="AC468" s="358" t="n">
        <v>0</v>
      </c>
      <c r="AD468" s="358" t="n">
        <v>0</v>
      </c>
      <c r="AE468" s="358" t="n">
        <v>0</v>
      </c>
      <c r="AF468" s="359" t="n">
        <v>1</v>
      </c>
    </row>
    <row r="469" customFormat="false" ht="15" hidden="true" customHeight="false" outlineLevel="0" collapsed="false">
      <c r="B469" s="360" t="s">
        <v>2949</v>
      </c>
      <c r="C469" s="359" t="n">
        <v>1</v>
      </c>
      <c r="D469" s="358" t="n">
        <v>0</v>
      </c>
      <c r="E469" s="358" t="n">
        <v>0</v>
      </c>
      <c r="F469" s="358" t="n">
        <v>0</v>
      </c>
      <c r="G469" s="372" t="n">
        <v>0</v>
      </c>
      <c r="H469" s="373" t="n">
        <v>0</v>
      </c>
      <c r="I469" s="358" t="n">
        <v>0</v>
      </c>
      <c r="J469" s="358" t="n">
        <v>0</v>
      </c>
      <c r="K469" s="372" t="n">
        <v>0</v>
      </c>
      <c r="L469" s="373" t="n">
        <v>0</v>
      </c>
      <c r="M469" s="358" t="n">
        <v>0</v>
      </c>
      <c r="N469" s="358" t="n">
        <v>0</v>
      </c>
      <c r="O469" s="372" t="n">
        <v>0</v>
      </c>
      <c r="P469" s="373" t="n">
        <v>0</v>
      </c>
      <c r="Q469" s="358" t="n">
        <v>0</v>
      </c>
      <c r="R469" s="358" t="n">
        <v>0</v>
      </c>
      <c r="S469" s="372" t="n">
        <v>0</v>
      </c>
      <c r="T469" s="373" t="n">
        <v>0</v>
      </c>
      <c r="U469" s="358" t="n">
        <v>0</v>
      </c>
      <c r="V469" s="358" t="n">
        <v>0</v>
      </c>
      <c r="W469" s="372" t="n">
        <v>0</v>
      </c>
      <c r="X469" s="373" t="n">
        <v>0</v>
      </c>
      <c r="Y469" s="358" t="n">
        <v>0</v>
      </c>
      <c r="Z469" s="358" t="n">
        <v>0</v>
      </c>
      <c r="AA469" s="358" t="n">
        <v>0</v>
      </c>
      <c r="AB469" s="373" t="n">
        <v>0</v>
      </c>
      <c r="AC469" s="358" t="n">
        <v>0</v>
      </c>
      <c r="AD469" s="358" t="n">
        <v>0</v>
      </c>
      <c r="AE469" s="358" t="n">
        <v>0</v>
      </c>
      <c r="AF469" s="359" t="n">
        <v>1</v>
      </c>
    </row>
    <row r="470" customFormat="false" ht="15" hidden="true" customHeight="false" outlineLevel="0" collapsed="false">
      <c r="B470" s="360" t="s">
        <v>2950</v>
      </c>
      <c r="C470" s="359" t="n">
        <v>1</v>
      </c>
      <c r="D470" s="358" t="n">
        <v>0</v>
      </c>
      <c r="E470" s="358" t="n">
        <v>0</v>
      </c>
      <c r="F470" s="358" t="n">
        <v>0</v>
      </c>
      <c r="G470" s="372" t="n">
        <v>0</v>
      </c>
      <c r="H470" s="373" t="n">
        <v>0</v>
      </c>
      <c r="I470" s="358" t="n">
        <v>0</v>
      </c>
      <c r="J470" s="358" t="n">
        <v>0</v>
      </c>
      <c r="K470" s="372" t="n">
        <v>0</v>
      </c>
      <c r="L470" s="373" t="n">
        <v>0</v>
      </c>
      <c r="M470" s="358" t="n">
        <v>0</v>
      </c>
      <c r="N470" s="358" t="n">
        <v>0</v>
      </c>
      <c r="O470" s="372" t="n">
        <v>0</v>
      </c>
      <c r="P470" s="373" t="n">
        <v>0</v>
      </c>
      <c r="Q470" s="358" t="n">
        <v>0</v>
      </c>
      <c r="R470" s="358" t="n">
        <v>0</v>
      </c>
      <c r="S470" s="372" t="n">
        <v>0</v>
      </c>
      <c r="T470" s="373" t="n">
        <v>0</v>
      </c>
      <c r="U470" s="358" t="n">
        <v>0</v>
      </c>
      <c r="V470" s="358" t="n">
        <v>0</v>
      </c>
      <c r="W470" s="372" t="n">
        <v>0</v>
      </c>
      <c r="X470" s="373" t="n">
        <v>0</v>
      </c>
      <c r="Y470" s="358" t="n">
        <v>0</v>
      </c>
      <c r="Z470" s="358" t="n">
        <v>0</v>
      </c>
      <c r="AA470" s="358" t="n">
        <v>0</v>
      </c>
      <c r="AB470" s="373" t="n">
        <v>0</v>
      </c>
      <c r="AC470" s="358" t="n">
        <v>0</v>
      </c>
      <c r="AD470" s="358" t="n">
        <v>0</v>
      </c>
      <c r="AE470" s="358" t="n">
        <v>0</v>
      </c>
      <c r="AF470" s="359" t="n">
        <v>1</v>
      </c>
    </row>
    <row r="471" customFormat="false" ht="15" hidden="true" customHeight="false" outlineLevel="0" collapsed="false">
      <c r="B471" s="360" t="s">
        <v>2951</v>
      </c>
      <c r="C471" s="359" t="n">
        <v>1</v>
      </c>
      <c r="D471" s="358" t="n">
        <v>0</v>
      </c>
      <c r="E471" s="358" t="n">
        <v>0</v>
      </c>
      <c r="F471" s="358" t="n">
        <v>0</v>
      </c>
      <c r="G471" s="372" t="n">
        <v>0</v>
      </c>
      <c r="H471" s="373" t="n">
        <v>0</v>
      </c>
      <c r="I471" s="358" t="n">
        <v>0</v>
      </c>
      <c r="J471" s="358" t="n">
        <v>0</v>
      </c>
      <c r="K471" s="372" t="n">
        <v>0</v>
      </c>
      <c r="L471" s="373" t="n">
        <v>0</v>
      </c>
      <c r="M471" s="358" t="n">
        <v>0</v>
      </c>
      <c r="N471" s="358" t="n">
        <v>0</v>
      </c>
      <c r="O471" s="372" t="n">
        <v>0</v>
      </c>
      <c r="P471" s="373" t="n">
        <v>0</v>
      </c>
      <c r="Q471" s="358" t="n">
        <v>0</v>
      </c>
      <c r="R471" s="358" t="n">
        <v>0</v>
      </c>
      <c r="S471" s="372" t="n">
        <v>0</v>
      </c>
      <c r="T471" s="373" t="n">
        <v>0</v>
      </c>
      <c r="U471" s="358" t="n">
        <v>0</v>
      </c>
      <c r="V471" s="358" t="n">
        <v>0</v>
      </c>
      <c r="W471" s="372" t="n">
        <v>0</v>
      </c>
      <c r="X471" s="373" t="n">
        <v>0</v>
      </c>
      <c r="Y471" s="358" t="n">
        <v>0</v>
      </c>
      <c r="Z471" s="358" t="n">
        <v>0</v>
      </c>
      <c r="AA471" s="358" t="n">
        <v>0</v>
      </c>
      <c r="AB471" s="373" t="n">
        <v>0</v>
      </c>
      <c r="AC471" s="358" t="n">
        <v>0</v>
      </c>
      <c r="AD471" s="358" t="n">
        <v>0</v>
      </c>
      <c r="AE471" s="358" t="n">
        <v>0</v>
      </c>
      <c r="AF471" s="359" t="n">
        <v>1</v>
      </c>
    </row>
    <row r="472" customFormat="false" ht="15" hidden="false" customHeight="false" outlineLevel="0" collapsed="false">
      <c r="B472" s="313" t="s">
        <v>2469</v>
      </c>
      <c r="C472" s="357" t="n">
        <v>6</v>
      </c>
      <c r="D472" s="358" t="n">
        <v>0</v>
      </c>
      <c r="E472" s="358" t="n">
        <v>-1</v>
      </c>
      <c r="F472" s="358" t="n">
        <v>0</v>
      </c>
      <c r="G472" s="372" t="n">
        <v>0</v>
      </c>
      <c r="H472" s="373" t="n">
        <v>0</v>
      </c>
      <c r="I472" s="358" t="n">
        <v>0</v>
      </c>
      <c r="J472" s="358" t="n">
        <v>0</v>
      </c>
      <c r="K472" s="372" t="n">
        <v>0</v>
      </c>
      <c r="L472" s="373" t="n">
        <v>0</v>
      </c>
      <c r="M472" s="358" t="n">
        <v>0</v>
      </c>
      <c r="N472" s="358" t="n">
        <v>0</v>
      </c>
      <c r="O472" s="372" t="n">
        <v>0</v>
      </c>
      <c r="P472" s="373" t="n">
        <v>0</v>
      </c>
      <c r="Q472" s="358" t="n">
        <v>0</v>
      </c>
      <c r="R472" s="358" t="n">
        <v>0</v>
      </c>
      <c r="S472" s="372" t="n">
        <v>0</v>
      </c>
      <c r="T472" s="373" t="n">
        <v>0</v>
      </c>
      <c r="U472" s="358" t="n">
        <v>0</v>
      </c>
      <c r="V472" s="358" t="n">
        <v>0</v>
      </c>
      <c r="W472" s="372" t="n">
        <v>0</v>
      </c>
      <c r="X472" s="373" t="n">
        <v>0</v>
      </c>
      <c r="Y472" s="358" t="n">
        <v>0</v>
      </c>
      <c r="Z472" s="358" t="n">
        <v>0</v>
      </c>
      <c r="AA472" s="358" t="n">
        <v>0</v>
      </c>
      <c r="AB472" s="373" t="n">
        <v>0</v>
      </c>
      <c r="AC472" s="358" t="n">
        <v>-1</v>
      </c>
      <c r="AD472" s="358" t="n">
        <v>0</v>
      </c>
      <c r="AE472" s="358" t="n">
        <v>0</v>
      </c>
      <c r="AF472" s="357" t="n">
        <v>5</v>
      </c>
    </row>
    <row r="473" customFormat="false" ht="15" hidden="true" customHeight="false" outlineLevel="0" collapsed="false">
      <c r="B473" s="360" t="s">
        <v>2952</v>
      </c>
      <c r="C473" s="359" t="n">
        <v>1</v>
      </c>
      <c r="D473" s="358" t="n">
        <v>0</v>
      </c>
      <c r="E473" s="358" t="n">
        <v>-1</v>
      </c>
      <c r="F473" s="358" t="n">
        <v>0</v>
      </c>
      <c r="G473" s="372" t="n">
        <v>0</v>
      </c>
      <c r="H473" s="373" t="n">
        <v>0</v>
      </c>
      <c r="I473" s="358" t="n">
        <v>0</v>
      </c>
      <c r="J473" s="358" t="n">
        <v>0</v>
      </c>
      <c r="K473" s="372" t="n">
        <v>0</v>
      </c>
      <c r="L473" s="373" t="n">
        <v>0</v>
      </c>
      <c r="M473" s="358" t="n">
        <v>0</v>
      </c>
      <c r="N473" s="358" t="n">
        <v>0</v>
      </c>
      <c r="O473" s="372" t="n">
        <v>0</v>
      </c>
      <c r="P473" s="373" t="n">
        <v>0</v>
      </c>
      <c r="Q473" s="358" t="n">
        <v>0</v>
      </c>
      <c r="R473" s="358" t="n">
        <v>0</v>
      </c>
      <c r="S473" s="372" t="n">
        <v>0</v>
      </c>
      <c r="T473" s="373" t="n">
        <v>0</v>
      </c>
      <c r="U473" s="358" t="n">
        <v>0</v>
      </c>
      <c r="V473" s="358" t="n">
        <v>0</v>
      </c>
      <c r="W473" s="372" t="n">
        <v>0</v>
      </c>
      <c r="X473" s="373" t="n">
        <v>0</v>
      </c>
      <c r="Y473" s="358" t="n">
        <v>0</v>
      </c>
      <c r="Z473" s="358" t="n">
        <v>0</v>
      </c>
      <c r="AA473" s="358" t="n">
        <v>0</v>
      </c>
      <c r="AB473" s="373" t="n">
        <v>0</v>
      </c>
      <c r="AC473" s="358" t="n">
        <v>-1</v>
      </c>
      <c r="AD473" s="358" t="n">
        <v>0</v>
      </c>
      <c r="AE473" s="358" t="n">
        <v>0</v>
      </c>
      <c r="AF473" s="359" t="n">
        <v>0</v>
      </c>
    </row>
    <row r="474" customFormat="false" ht="15" hidden="true" customHeight="false" outlineLevel="0" collapsed="false">
      <c r="B474" s="360" t="s">
        <v>2953</v>
      </c>
      <c r="C474" s="359" t="n">
        <v>1</v>
      </c>
      <c r="D474" s="358" t="n">
        <v>0</v>
      </c>
      <c r="E474" s="358" t="n">
        <v>0</v>
      </c>
      <c r="F474" s="358" t="n">
        <v>0</v>
      </c>
      <c r="G474" s="372" t="n">
        <v>0</v>
      </c>
      <c r="H474" s="373" t="n">
        <v>0</v>
      </c>
      <c r="I474" s="358" t="n">
        <v>0</v>
      </c>
      <c r="J474" s="358" t="n">
        <v>0</v>
      </c>
      <c r="K474" s="372" t="n">
        <v>0</v>
      </c>
      <c r="L474" s="373" t="n">
        <v>0</v>
      </c>
      <c r="M474" s="358" t="n">
        <v>0</v>
      </c>
      <c r="N474" s="358" t="n">
        <v>0</v>
      </c>
      <c r="O474" s="372" t="n">
        <v>0</v>
      </c>
      <c r="P474" s="373" t="n">
        <v>0</v>
      </c>
      <c r="Q474" s="358" t="n">
        <v>0</v>
      </c>
      <c r="R474" s="358" t="n">
        <v>0</v>
      </c>
      <c r="S474" s="372" t="n">
        <v>0</v>
      </c>
      <c r="T474" s="373" t="n">
        <v>0</v>
      </c>
      <c r="U474" s="358" t="n">
        <v>0</v>
      </c>
      <c r="V474" s="358" t="n">
        <v>0</v>
      </c>
      <c r="W474" s="372" t="n">
        <v>0</v>
      </c>
      <c r="X474" s="373" t="n">
        <v>0</v>
      </c>
      <c r="Y474" s="358" t="n">
        <v>0</v>
      </c>
      <c r="Z474" s="358" t="n">
        <v>0</v>
      </c>
      <c r="AA474" s="358" t="n">
        <v>0</v>
      </c>
      <c r="AB474" s="373" t="n">
        <v>0</v>
      </c>
      <c r="AC474" s="358" t="n">
        <v>0</v>
      </c>
      <c r="AD474" s="358" t="n">
        <v>0</v>
      </c>
      <c r="AE474" s="358" t="n">
        <v>0</v>
      </c>
      <c r="AF474" s="359" t="n">
        <v>1</v>
      </c>
    </row>
    <row r="475" customFormat="false" ht="15" hidden="true" customHeight="false" outlineLevel="0" collapsed="false">
      <c r="B475" s="360" t="s">
        <v>2954</v>
      </c>
      <c r="C475" s="359" t="n">
        <v>1</v>
      </c>
      <c r="D475" s="358" t="n">
        <v>0</v>
      </c>
      <c r="E475" s="358" t="n">
        <v>0</v>
      </c>
      <c r="F475" s="358" t="n">
        <v>0</v>
      </c>
      <c r="G475" s="372" t="n">
        <v>0</v>
      </c>
      <c r="H475" s="373" t="n">
        <v>0</v>
      </c>
      <c r="I475" s="358" t="n">
        <v>0</v>
      </c>
      <c r="J475" s="358" t="n">
        <v>0</v>
      </c>
      <c r="K475" s="372" t="n">
        <v>0</v>
      </c>
      <c r="L475" s="373" t="n">
        <v>0</v>
      </c>
      <c r="M475" s="358" t="n">
        <v>0</v>
      </c>
      <c r="N475" s="358" t="n">
        <v>0</v>
      </c>
      <c r="O475" s="372" t="n">
        <v>0</v>
      </c>
      <c r="P475" s="373" t="n">
        <v>0</v>
      </c>
      <c r="Q475" s="358" t="n">
        <v>0</v>
      </c>
      <c r="R475" s="358" t="n">
        <v>0</v>
      </c>
      <c r="S475" s="372" t="n">
        <v>0</v>
      </c>
      <c r="T475" s="373" t="n">
        <v>0</v>
      </c>
      <c r="U475" s="358" t="n">
        <v>0</v>
      </c>
      <c r="V475" s="358" t="n">
        <v>0</v>
      </c>
      <c r="W475" s="372" t="n">
        <v>0</v>
      </c>
      <c r="X475" s="373" t="n">
        <v>0</v>
      </c>
      <c r="Y475" s="358" t="n">
        <v>0</v>
      </c>
      <c r="Z475" s="358" t="n">
        <v>0</v>
      </c>
      <c r="AA475" s="358" t="n">
        <v>0</v>
      </c>
      <c r="AB475" s="373" t="n">
        <v>0</v>
      </c>
      <c r="AC475" s="358" t="n">
        <v>0</v>
      </c>
      <c r="AD475" s="358" t="n">
        <v>0</v>
      </c>
      <c r="AE475" s="358" t="n">
        <v>0</v>
      </c>
      <c r="AF475" s="359" t="n">
        <v>1</v>
      </c>
    </row>
    <row r="476" customFormat="false" ht="15" hidden="true" customHeight="false" outlineLevel="0" collapsed="false">
      <c r="B476" s="360" t="s">
        <v>2955</v>
      </c>
      <c r="C476" s="359" t="n">
        <v>1</v>
      </c>
      <c r="D476" s="358" t="n">
        <v>0</v>
      </c>
      <c r="E476" s="358" t="n">
        <v>0</v>
      </c>
      <c r="F476" s="358" t="n">
        <v>0</v>
      </c>
      <c r="G476" s="372" t="n">
        <v>0</v>
      </c>
      <c r="H476" s="373" t="n">
        <v>0</v>
      </c>
      <c r="I476" s="358" t="n">
        <v>0</v>
      </c>
      <c r="J476" s="358" t="n">
        <v>0</v>
      </c>
      <c r="K476" s="372" t="n">
        <v>0</v>
      </c>
      <c r="L476" s="373" t="n">
        <v>0</v>
      </c>
      <c r="M476" s="358" t="n">
        <v>0</v>
      </c>
      <c r="N476" s="358" t="n">
        <v>0</v>
      </c>
      <c r="O476" s="372" t="n">
        <v>0</v>
      </c>
      <c r="P476" s="373" t="n">
        <v>0</v>
      </c>
      <c r="Q476" s="358" t="n">
        <v>0</v>
      </c>
      <c r="R476" s="358" t="n">
        <v>0</v>
      </c>
      <c r="S476" s="372" t="n">
        <v>0</v>
      </c>
      <c r="T476" s="373" t="n">
        <v>0</v>
      </c>
      <c r="U476" s="358" t="n">
        <v>0</v>
      </c>
      <c r="V476" s="358" t="n">
        <v>0</v>
      </c>
      <c r="W476" s="372" t="n">
        <v>0</v>
      </c>
      <c r="X476" s="373" t="n">
        <v>0</v>
      </c>
      <c r="Y476" s="358" t="n">
        <v>0</v>
      </c>
      <c r="Z476" s="358" t="n">
        <v>0</v>
      </c>
      <c r="AA476" s="358" t="n">
        <v>0</v>
      </c>
      <c r="AB476" s="373" t="n">
        <v>0</v>
      </c>
      <c r="AC476" s="358" t="n">
        <v>0</v>
      </c>
      <c r="AD476" s="358" t="n">
        <v>0</v>
      </c>
      <c r="AE476" s="358" t="n">
        <v>0</v>
      </c>
      <c r="AF476" s="359" t="n">
        <v>1</v>
      </c>
    </row>
    <row r="477" customFormat="false" ht="15" hidden="true" customHeight="false" outlineLevel="0" collapsed="false">
      <c r="B477" s="360" t="s">
        <v>2956</v>
      </c>
      <c r="C477" s="359" t="n">
        <v>1</v>
      </c>
      <c r="D477" s="358" t="n">
        <v>0</v>
      </c>
      <c r="E477" s="358" t="n">
        <v>0</v>
      </c>
      <c r="F477" s="358" t="n">
        <v>0</v>
      </c>
      <c r="G477" s="372" t="n">
        <v>0</v>
      </c>
      <c r="H477" s="373" t="n">
        <v>0</v>
      </c>
      <c r="I477" s="358" t="n">
        <v>0</v>
      </c>
      <c r="J477" s="358" t="n">
        <v>0</v>
      </c>
      <c r="K477" s="372" t="n">
        <v>0</v>
      </c>
      <c r="L477" s="373" t="n">
        <v>0</v>
      </c>
      <c r="M477" s="358" t="n">
        <v>0</v>
      </c>
      <c r="N477" s="358" t="n">
        <v>0</v>
      </c>
      <c r="O477" s="372" t="n">
        <v>0</v>
      </c>
      <c r="P477" s="373" t="n">
        <v>0</v>
      </c>
      <c r="Q477" s="358" t="n">
        <v>0</v>
      </c>
      <c r="R477" s="358" t="n">
        <v>0</v>
      </c>
      <c r="S477" s="372" t="n">
        <v>0</v>
      </c>
      <c r="T477" s="373" t="n">
        <v>0</v>
      </c>
      <c r="U477" s="358" t="n">
        <v>0</v>
      </c>
      <c r="V477" s="358" t="n">
        <v>0</v>
      </c>
      <c r="W477" s="372" t="n">
        <v>0</v>
      </c>
      <c r="X477" s="373" t="n">
        <v>0</v>
      </c>
      <c r="Y477" s="358" t="n">
        <v>0</v>
      </c>
      <c r="Z477" s="358" t="n">
        <v>0</v>
      </c>
      <c r="AA477" s="358" t="n">
        <v>0</v>
      </c>
      <c r="AB477" s="373" t="n">
        <v>0</v>
      </c>
      <c r="AC477" s="358" t="n">
        <v>0</v>
      </c>
      <c r="AD477" s="358" t="n">
        <v>0</v>
      </c>
      <c r="AE477" s="358" t="n">
        <v>0</v>
      </c>
      <c r="AF477" s="359" t="n">
        <v>1</v>
      </c>
    </row>
    <row r="478" customFormat="false" ht="15" hidden="true" customHeight="false" outlineLevel="0" collapsed="false">
      <c r="B478" s="360" t="s">
        <v>2957</v>
      </c>
      <c r="C478" s="359" t="n">
        <v>1</v>
      </c>
      <c r="D478" s="358" t="n">
        <v>0</v>
      </c>
      <c r="E478" s="358" t="n">
        <v>0</v>
      </c>
      <c r="F478" s="358" t="n">
        <v>0</v>
      </c>
      <c r="G478" s="372" t="n">
        <v>0</v>
      </c>
      <c r="H478" s="373" t="n">
        <v>0</v>
      </c>
      <c r="I478" s="358" t="n">
        <v>0</v>
      </c>
      <c r="J478" s="358" t="n">
        <v>0</v>
      </c>
      <c r="K478" s="372" t="n">
        <v>0</v>
      </c>
      <c r="L478" s="373" t="n">
        <v>0</v>
      </c>
      <c r="M478" s="358" t="n">
        <v>0</v>
      </c>
      <c r="N478" s="358" t="n">
        <v>0</v>
      </c>
      <c r="O478" s="372" t="n">
        <v>0</v>
      </c>
      <c r="P478" s="373" t="n">
        <v>0</v>
      </c>
      <c r="Q478" s="358" t="n">
        <v>0</v>
      </c>
      <c r="R478" s="358" t="n">
        <v>0</v>
      </c>
      <c r="S478" s="372" t="n">
        <v>0</v>
      </c>
      <c r="T478" s="373" t="n">
        <v>0</v>
      </c>
      <c r="U478" s="358" t="n">
        <v>0</v>
      </c>
      <c r="V478" s="358" t="n">
        <v>0</v>
      </c>
      <c r="W478" s="372" t="n">
        <v>0</v>
      </c>
      <c r="X478" s="373" t="n">
        <v>0</v>
      </c>
      <c r="Y478" s="358" t="n">
        <v>0</v>
      </c>
      <c r="Z478" s="358" t="n">
        <v>0</v>
      </c>
      <c r="AA478" s="358" t="n">
        <v>0</v>
      </c>
      <c r="AB478" s="373" t="n">
        <v>0</v>
      </c>
      <c r="AC478" s="358" t="n">
        <v>0</v>
      </c>
      <c r="AD478" s="358" t="n">
        <v>0</v>
      </c>
      <c r="AE478" s="358" t="n">
        <v>0</v>
      </c>
      <c r="AF478" s="359" t="n">
        <v>1</v>
      </c>
    </row>
    <row r="479" customFormat="false" ht="15" hidden="false" customHeight="false" outlineLevel="0" collapsed="false">
      <c r="B479" s="313" t="s">
        <v>2470</v>
      </c>
      <c r="C479" s="357" t="n">
        <v>36</v>
      </c>
      <c r="D479" s="358" t="n">
        <v>0</v>
      </c>
      <c r="E479" s="358" t="n">
        <v>0</v>
      </c>
      <c r="F479" s="358" t="n">
        <v>0</v>
      </c>
      <c r="G479" s="372" t="n">
        <v>0</v>
      </c>
      <c r="H479" s="373" t="n">
        <v>0</v>
      </c>
      <c r="I479" s="358" t="n">
        <v>0</v>
      </c>
      <c r="J479" s="358" t="n">
        <v>0</v>
      </c>
      <c r="K479" s="372" t="n">
        <v>0</v>
      </c>
      <c r="L479" s="373" t="n">
        <v>0</v>
      </c>
      <c r="M479" s="358" t="n">
        <v>0</v>
      </c>
      <c r="N479" s="358" t="n">
        <v>0</v>
      </c>
      <c r="O479" s="372" t="n">
        <v>0</v>
      </c>
      <c r="P479" s="373" t="n">
        <v>0</v>
      </c>
      <c r="Q479" s="358" t="n">
        <v>0</v>
      </c>
      <c r="R479" s="358" t="n">
        <v>0</v>
      </c>
      <c r="S479" s="372" t="n">
        <v>0</v>
      </c>
      <c r="T479" s="373" t="n">
        <v>0</v>
      </c>
      <c r="U479" s="358" t="n">
        <v>0</v>
      </c>
      <c r="V479" s="358" t="n">
        <v>0</v>
      </c>
      <c r="W479" s="372" t="n">
        <v>0</v>
      </c>
      <c r="X479" s="373" t="n">
        <v>0</v>
      </c>
      <c r="Y479" s="358" t="n">
        <v>0</v>
      </c>
      <c r="Z479" s="358" t="n">
        <v>0</v>
      </c>
      <c r="AA479" s="358" t="n">
        <v>0</v>
      </c>
      <c r="AB479" s="373" t="n">
        <v>0</v>
      </c>
      <c r="AC479" s="358" t="n">
        <v>0</v>
      </c>
      <c r="AD479" s="358" t="n">
        <v>0</v>
      </c>
      <c r="AE479" s="358" t="n">
        <v>0</v>
      </c>
      <c r="AF479" s="357" t="n">
        <v>36</v>
      </c>
    </row>
    <row r="480" customFormat="false" ht="15" hidden="false" customHeight="false" outlineLevel="0" collapsed="false">
      <c r="B480" s="364" t="s">
        <v>2470</v>
      </c>
      <c r="C480" s="365" t="n">
        <v>23</v>
      </c>
      <c r="D480" s="358" t="n">
        <v>0</v>
      </c>
      <c r="E480" s="358" t="n">
        <v>0</v>
      </c>
      <c r="F480" s="358" t="n">
        <v>0</v>
      </c>
      <c r="G480" s="372" t="n">
        <v>0</v>
      </c>
      <c r="H480" s="373" t="n">
        <v>0</v>
      </c>
      <c r="I480" s="358" t="n">
        <v>0</v>
      </c>
      <c r="J480" s="358" t="n">
        <v>0</v>
      </c>
      <c r="K480" s="372" t="n">
        <v>0</v>
      </c>
      <c r="L480" s="373" t="n">
        <v>0</v>
      </c>
      <c r="M480" s="358" t="n">
        <v>0</v>
      </c>
      <c r="N480" s="358" t="n">
        <v>0</v>
      </c>
      <c r="O480" s="372" t="n">
        <v>0</v>
      </c>
      <c r="P480" s="373" t="n">
        <v>0</v>
      </c>
      <c r="Q480" s="358" t="n">
        <v>0</v>
      </c>
      <c r="R480" s="358" t="n">
        <v>0</v>
      </c>
      <c r="S480" s="372" t="n">
        <v>0</v>
      </c>
      <c r="T480" s="373" t="n">
        <v>0</v>
      </c>
      <c r="U480" s="358" t="n">
        <v>0</v>
      </c>
      <c r="V480" s="358" t="n">
        <v>0</v>
      </c>
      <c r="W480" s="372" t="n">
        <v>0</v>
      </c>
      <c r="X480" s="373" t="n">
        <v>0</v>
      </c>
      <c r="Y480" s="358" t="n">
        <v>0</v>
      </c>
      <c r="Z480" s="358" t="n">
        <v>0</v>
      </c>
      <c r="AA480" s="358" t="n">
        <v>0</v>
      </c>
      <c r="AB480" s="373" t="n">
        <v>0</v>
      </c>
      <c r="AC480" s="358" t="n">
        <v>0</v>
      </c>
      <c r="AD480" s="358" t="n">
        <v>0</v>
      </c>
      <c r="AE480" s="358" t="n">
        <v>0</v>
      </c>
      <c r="AF480" s="365" t="n">
        <v>23</v>
      </c>
    </row>
    <row r="481" customFormat="false" ht="15" hidden="true" customHeight="false" outlineLevel="0" collapsed="false">
      <c r="B481" s="360" t="s">
        <v>2958</v>
      </c>
      <c r="C481" s="359" t="n">
        <v>1</v>
      </c>
      <c r="D481" s="358" t="n">
        <v>0</v>
      </c>
      <c r="E481" s="358" t="n">
        <v>0</v>
      </c>
      <c r="F481" s="358" t="n">
        <v>0</v>
      </c>
      <c r="G481" s="372" t="n">
        <v>0</v>
      </c>
      <c r="H481" s="373" t="n">
        <v>0</v>
      </c>
      <c r="I481" s="358" t="n">
        <v>0</v>
      </c>
      <c r="J481" s="358" t="n">
        <v>0</v>
      </c>
      <c r="K481" s="372" t="n">
        <v>0</v>
      </c>
      <c r="L481" s="373" t="n">
        <v>0</v>
      </c>
      <c r="M481" s="358" t="n">
        <v>0</v>
      </c>
      <c r="N481" s="358" t="n">
        <v>0</v>
      </c>
      <c r="O481" s="372" t="n">
        <v>0</v>
      </c>
      <c r="P481" s="373" t="n">
        <v>0</v>
      </c>
      <c r="Q481" s="358" t="n">
        <v>0</v>
      </c>
      <c r="R481" s="358" t="n">
        <v>0</v>
      </c>
      <c r="S481" s="372" t="n">
        <v>0</v>
      </c>
      <c r="T481" s="373" t="n">
        <v>0</v>
      </c>
      <c r="U481" s="358" t="n">
        <v>0</v>
      </c>
      <c r="V481" s="358" t="n">
        <v>0</v>
      </c>
      <c r="W481" s="372" t="n">
        <v>0</v>
      </c>
      <c r="X481" s="373" t="n">
        <v>0</v>
      </c>
      <c r="Y481" s="358" t="n">
        <v>0</v>
      </c>
      <c r="Z481" s="358" t="n">
        <v>0</v>
      </c>
      <c r="AA481" s="358" t="n">
        <v>0</v>
      </c>
      <c r="AB481" s="373" t="n">
        <v>0</v>
      </c>
      <c r="AC481" s="358" t="n">
        <v>0</v>
      </c>
      <c r="AD481" s="358" t="n">
        <v>0</v>
      </c>
      <c r="AE481" s="358" t="n">
        <v>0</v>
      </c>
      <c r="AF481" s="359" t="n">
        <v>1</v>
      </c>
    </row>
    <row r="482" customFormat="false" ht="15" hidden="true" customHeight="false" outlineLevel="0" collapsed="false">
      <c r="B482" s="360" t="s">
        <v>2959</v>
      </c>
      <c r="C482" s="359" t="n">
        <v>1</v>
      </c>
      <c r="D482" s="358" t="n">
        <v>0</v>
      </c>
      <c r="E482" s="358" t="n">
        <v>0</v>
      </c>
      <c r="F482" s="358" t="n">
        <v>0</v>
      </c>
      <c r="G482" s="372" t="n">
        <v>0</v>
      </c>
      <c r="H482" s="373" t="n">
        <v>0</v>
      </c>
      <c r="I482" s="358" t="n">
        <v>0</v>
      </c>
      <c r="J482" s="358" t="n">
        <v>0</v>
      </c>
      <c r="K482" s="372" t="n">
        <v>0</v>
      </c>
      <c r="L482" s="373" t="n">
        <v>0</v>
      </c>
      <c r="M482" s="358" t="n">
        <v>0</v>
      </c>
      <c r="N482" s="358" t="n">
        <v>0</v>
      </c>
      <c r="O482" s="372" t="n">
        <v>0</v>
      </c>
      <c r="P482" s="373" t="n">
        <v>0</v>
      </c>
      <c r="Q482" s="358" t="n">
        <v>0</v>
      </c>
      <c r="R482" s="358" t="n">
        <v>0</v>
      </c>
      <c r="S482" s="372" t="n">
        <v>0</v>
      </c>
      <c r="T482" s="373" t="n">
        <v>0</v>
      </c>
      <c r="U482" s="358" t="n">
        <v>0</v>
      </c>
      <c r="V482" s="358" t="n">
        <v>0</v>
      </c>
      <c r="W482" s="372" t="n">
        <v>0</v>
      </c>
      <c r="X482" s="373" t="n">
        <v>0</v>
      </c>
      <c r="Y482" s="358" t="n">
        <v>0</v>
      </c>
      <c r="Z482" s="358" t="n">
        <v>0</v>
      </c>
      <c r="AA482" s="358" t="n">
        <v>0</v>
      </c>
      <c r="AB482" s="373" t="n">
        <v>0</v>
      </c>
      <c r="AC482" s="358" t="n">
        <v>0</v>
      </c>
      <c r="AD482" s="358" t="n">
        <v>0</v>
      </c>
      <c r="AE482" s="358" t="n">
        <v>0</v>
      </c>
      <c r="AF482" s="359" t="n">
        <v>1</v>
      </c>
    </row>
    <row r="483" customFormat="false" ht="15" hidden="true" customHeight="false" outlineLevel="0" collapsed="false">
      <c r="B483" s="360" t="s">
        <v>2960</v>
      </c>
      <c r="C483" s="359" t="n">
        <v>1</v>
      </c>
      <c r="D483" s="358" t="n">
        <v>0</v>
      </c>
      <c r="E483" s="358" t="n">
        <v>0</v>
      </c>
      <c r="F483" s="358" t="n">
        <v>0</v>
      </c>
      <c r="G483" s="372" t="n">
        <v>0</v>
      </c>
      <c r="H483" s="373" t="n">
        <v>0</v>
      </c>
      <c r="I483" s="358" t="n">
        <v>0</v>
      </c>
      <c r="J483" s="358" t="n">
        <v>0</v>
      </c>
      <c r="K483" s="372" t="n">
        <v>0</v>
      </c>
      <c r="L483" s="373" t="n">
        <v>0</v>
      </c>
      <c r="M483" s="358" t="n">
        <v>0</v>
      </c>
      <c r="N483" s="358" t="n">
        <v>0</v>
      </c>
      <c r="O483" s="372" t="n">
        <v>0</v>
      </c>
      <c r="P483" s="373" t="n">
        <v>0</v>
      </c>
      <c r="Q483" s="358" t="n">
        <v>0</v>
      </c>
      <c r="R483" s="358" t="n">
        <v>0</v>
      </c>
      <c r="S483" s="372" t="n">
        <v>0</v>
      </c>
      <c r="T483" s="373" t="n">
        <v>0</v>
      </c>
      <c r="U483" s="358" t="n">
        <v>0</v>
      </c>
      <c r="V483" s="358" t="n">
        <v>0</v>
      </c>
      <c r="W483" s="372" t="n">
        <v>0</v>
      </c>
      <c r="X483" s="373" t="n">
        <v>0</v>
      </c>
      <c r="Y483" s="358" t="n">
        <v>0</v>
      </c>
      <c r="Z483" s="358" t="n">
        <v>0</v>
      </c>
      <c r="AA483" s="358" t="n">
        <v>0</v>
      </c>
      <c r="AB483" s="373" t="n">
        <v>0</v>
      </c>
      <c r="AC483" s="358" t="n">
        <v>0</v>
      </c>
      <c r="AD483" s="358" t="n">
        <v>0</v>
      </c>
      <c r="AE483" s="358" t="n">
        <v>0</v>
      </c>
      <c r="AF483" s="359" t="n">
        <v>1</v>
      </c>
    </row>
    <row r="484" customFormat="false" ht="15" hidden="true" customHeight="false" outlineLevel="0" collapsed="false">
      <c r="B484" s="360" t="s">
        <v>2961</v>
      </c>
      <c r="C484" s="359" t="n">
        <v>1</v>
      </c>
      <c r="D484" s="358" t="n">
        <v>0</v>
      </c>
      <c r="E484" s="358" t="n">
        <v>0</v>
      </c>
      <c r="F484" s="358" t="n">
        <v>0</v>
      </c>
      <c r="G484" s="372" t="n">
        <v>0</v>
      </c>
      <c r="H484" s="373" t="n">
        <v>0</v>
      </c>
      <c r="I484" s="358" t="n">
        <v>0</v>
      </c>
      <c r="J484" s="358" t="n">
        <v>0</v>
      </c>
      <c r="K484" s="372" t="n">
        <v>0</v>
      </c>
      <c r="L484" s="373" t="n">
        <v>0</v>
      </c>
      <c r="M484" s="358" t="n">
        <v>0</v>
      </c>
      <c r="N484" s="358" t="n">
        <v>0</v>
      </c>
      <c r="O484" s="372" t="n">
        <v>0</v>
      </c>
      <c r="P484" s="373" t="n">
        <v>0</v>
      </c>
      <c r="Q484" s="358" t="n">
        <v>0</v>
      </c>
      <c r="R484" s="358" t="n">
        <v>0</v>
      </c>
      <c r="S484" s="372" t="n">
        <v>0</v>
      </c>
      <c r="T484" s="373" t="n">
        <v>0</v>
      </c>
      <c r="U484" s="358" t="n">
        <v>0</v>
      </c>
      <c r="V484" s="358" t="n">
        <v>0</v>
      </c>
      <c r="W484" s="372" t="n">
        <v>0</v>
      </c>
      <c r="X484" s="373" t="n">
        <v>0</v>
      </c>
      <c r="Y484" s="358" t="n">
        <v>0</v>
      </c>
      <c r="Z484" s="358" t="n">
        <v>0</v>
      </c>
      <c r="AA484" s="358" t="n">
        <v>0</v>
      </c>
      <c r="AB484" s="373" t="n">
        <v>0</v>
      </c>
      <c r="AC484" s="358" t="n">
        <v>0</v>
      </c>
      <c r="AD484" s="358" t="n">
        <v>0</v>
      </c>
      <c r="AE484" s="358" t="n">
        <v>0</v>
      </c>
      <c r="AF484" s="359" t="n">
        <v>1</v>
      </c>
    </row>
    <row r="485" customFormat="false" ht="15" hidden="true" customHeight="false" outlineLevel="0" collapsed="false">
      <c r="B485" s="360" t="s">
        <v>2962</v>
      </c>
      <c r="C485" s="359" t="n">
        <v>1</v>
      </c>
      <c r="D485" s="358" t="n">
        <v>0</v>
      </c>
      <c r="E485" s="358" t="n">
        <v>0</v>
      </c>
      <c r="F485" s="358" t="n">
        <v>0</v>
      </c>
      <c r="G485" s="372" t="n">
        <v>0</v>
      </c>
      <c r="H485" s="373" t="n">
        <v>0</v>
      </c>
      <c r="I485" s="358" t="n">
        <v>0</v>
      </c>
      <c r="J485" s="358" t="n">
        <v>0</v>
      </c>
      <c r="K485" s="372" t="n">
        <v>0</v>
      </c>
      <c r="L485" s="373" t="n">
        <v>0</v>
      </c>
      <c r="M485" s="358" t="n">
        <v>0</v>
      </c>
      <c r="N485" s="358" t="n">
        <v>0</v>
      </c>
      <c r="O485" s="372" t="n">
        <v>0</v>
      </c>
      <c r="P485" s="373" t="n">
        <v>0</v>
      </c>
      <c r="Q485" s="358" t="n">
        <v>0</v>
      </c>
      <c r="R485" s="358" t="n">
        <v>0</v>
      </c>
      <c r="S485" s="372" t="n">
        <v>0</v>
      </c>
      <c r="T485" s="373" t="n">
        <v>0</v>
      </c>
      <c r="U485" s="358" t="n">
        <v>0</v>
      </c>
      <c r="V485" s="358" t="n">
        <v>0</v>
      </c>
      <c r="W485" s="372" t="n">
        <v>0</v>
      </c>
      <c r="X485" s="373" t="n">
        <v>0</v>
      </c>
      <c r="Y485" s="358" t="n">
        <v>0</v>
      </c>
      <c r="Z485" s="358" t="n">
        <v>0</v>
      </c>
      <c r="AA485" s="358" t="n">
        <v>0</v>
      </c>
      <c r="AB485" s="373" t="n">
        <v>0</v>
      </c>
      <c r="AC485" s="358" t="n">
        <v>0</v>
      </c>
      <c r="AD485" s="358" t="n">
        <v>0</v>
      </c>
      <c r="AE485" s="358" t="n">
        <v>0</v>
      </c>
      <c r="AF485" s="359" t="n">
        <v>1</v>
      </c>
    </row>
    <row r="486" customFormat="false" ht="15" hidden="true" customHeight="false" outlineLevel="0" collapsed="false">
      <c r="B486" s="360" t="s">
        <v>2963</v>
      </c>
      <c r="C486" s="359" t="n">
        <v>1</v>
      </c>
      <c r="D486" s="358" t="n">
        <v>0</v>
      </c>
      <c r="E486" s="358" t="n">
        <v>0</v>
      </c>
      <c r="F486" s="358" t="n">
        <v>0</v>
      </c>
      <c r="G486" s="372" t="n">
        <v>0</v>
      </c>
      <c r="H486" s="373" t="n">
        <v>0</v>
      </c>
      <c r="I486" s="358" t="n">
        <v>0</v>
      </c>
      <c r="J486" s="358" t="n">
        <v>0</v>
      </c>
      <c r="K486" s="372" t="n">
        <v>0</v>
      </c>
      <c r="L486" s="373" t="n">
        <v>0</v>
      </c>
      <c r="M486" s="358" t="n">
        <v>0</v>
      </c>
      <c r="N486" s="358" t="n">
        <v>0</v>
      </c>
      <c r="O486" s="372" t="n">
        <v>0</v>
      </c>
      <c r="P486" s="373" t="n">
        <v>0</v>
      </c>
      <c r="Q486" s="358" t="n">
        <v>0</v>
      </c>
      <c r="R486" s="358" t="n">
        <v>0</v>
      </c>
      <c r="S486" s="372" t="n">
        <v>0</v>
      </c>
      <c r="T486" s="373" t="n">
        <v>0</v>
      </c>
      <c r="U486" s="358" t="n">
        <v>0</v>
      </c>
      <c r="V486" s="358" t="n">
        <v>0</v>
      </c>
      <c r="W486" s="372" t="n">
        <v>0</v>
      </c>
      <c r="X486" s="373" t="n">
        <v>0</v>
      </c>
      <c r="Y486" s="358" t="n">
        <v>0</v>
      </c>
      <c r="Z486" s="358" t="n">
        <v>0</v>
      </c>
      <c r="AA486" s="358" t="n">
        <v>0</v>
      </c>
      <c r="AB486" s="373" t="n">
        <v>0</v>
      </c>
      <c r="AC486" s="358" t="n">
        <v>0</v>
      </c>
      <c r="AD486" s="358" t="n">
        <v>0</v>
      </c>
      <c r="AE486" s="358" t="n">
        <v>0</v>
      </c>
      <c r="AF486" s="359" t="n">
        <v>1</v>
      </c>
    </row>
    <row r="487" customFormat="false" ht="15" hidden="true" customHeight="false" outlineLevel="0" collapsed="false">
      <c r="B487" s="360" t="s">
        <v>2964</v>
      </c>
      <c r="C487" s="359" t="n">
        <v>1</v>
      </c>
      <c r="D487" s="358" t="n">
        <v>0</v>
      </c>
      <c r="E487" s="358" t="n">
        <v>0</v>
      </c>
      <c r="F487" s="358" t="n">
        <v>0</v>
      </c>
      <c r="G487" s="372" t="n">
        <v>0</v>
      </c>
      <c r="H487" s="373" t="n">
        <v>0</v>
      </c>
      <c r="I487" s="358" t="n">
        <v>0</v>
      </c>
      <c r="J487" s="358" t="n">
        <v>0</v>
      </c>
      <c r="K487" s="372" t="n">
        <v>0</v>
      </c>
      <c r="L487" s="373" t="n">
        <v>0</v>
      </c>
      <c r="M487" s="358" t="n">
        <v>0</v>
      </c>
      <c r="N487" s="358" t="n">
        <v>0</v>
      </c>
      <c r="O487" s="372" t="n">
        <v>0</v>
      </c>
      <c r="P487" s="373" t="n">
        <v>0</v>
      </c>
      <c r="Q487" s="358" t="n">
        <v>0</v>
      </c>
      <c r="R487" s="358" t="n">
        <v>0</v>
      </c>
      <c r="S487" s="372" t="n">
        <v>0</v>
      </c>
      <c r="T487" s="373" t="n">
        <v>0</v>
      </c>
      <c r="U487" s="358" t="n">
        <v>0</v>
      </c>
      <c r="V487" s="358" t="n">
        <v>0</v>
      </c>
      <c r="W487" s="372" t="n">
        <v>0</v>
      </c>
      <c r="X487" s="373" t="n">
        <v>0</v>
      </c>
      <c r="Y487" s="358" t="n">
        <v>0</v>
      </c>
      <c r="Z487" s="358" t="n">
        <v>0</v>
      </c>
      <c r="AA487" s="358" t="n">
        <v>0</v>
      </c>
      <c r="AB487" s="373" t="n">
        <v>0</v>
      </c>
      <c r="AC487" s="358" t="n">
        <v>0</v>
      </c>
      <c r="AD487" s="358" t="n">
        <v>0</v>
      </c>
      <c r="AE487" s="358" t="n">
        <v>0</v>
      </c>
      <c r="AF487" s="359" t="n">
        <v>1</v>
      </c>
    </row>
    <row r="488" customFormat="false" ht="15" hidden="true" customHeight="false" outlineLevel="0" collapsed="false">
      <c r="B488" s="360" t="s">
        <v>2965</v>
      </c>
      <c r="C488" s="359" t="n">
        <v>1</v>
      </c>
      <c r="D488" s="358" t="n">
        <v>0</v>
      </c>
      <c r="E488" s="358" t="n">
        <v>0</v>
      </c>
      <c r="F488" s="358" t="n">
        <v>0</v>
      </c>
      <c r="G488" s="372" t="n">
        <v>0</v>
      </c>
      <c r="H488" s="373" t="n">
        <v>0</v>
      </c>
      <c r="I488" s="358" t="n">
        <v>0</v>
      </c>
      <c r="J488" s="358" t="n">
        <v>0</v>
      </c>
      <c r="K488" s="372" t="n">
        <v>0</v>
      </c>
      <c r="L488" s="373" t="n">
        <v>0</v>
      </c>
      <c r="M488" s="358" t="n">
        <v>0</v>
      </c>
      <c r="N488" s="358" t="n">
        <v>0</v>
      </c>
      <c r="O488" s="372" t="n">
        <v>0</v>
      </c>
      <c r="P488" s="373" t="n">
        <v>0</v>
      </c>
      <c r="Q488" s="358" t="n">
        <v>0</v>
      </c>
      <c r="R488" s="358" t="n">
        <v>0</v>
      </c>
      <c r="S488" s="372" t="n">
        <v>0</v>
      </c>
      <c r="T488" s="373" t="n">
        <v>0</v>
      </c>
      <c r="U488" s="358" t="n">
        <v>0</v>
      </c>
      <c r="V488" s="358" t="n">
        <v>0</v>
      </c>
      <c r="W488" s="372" t="n">
        <v>0</v>
      </c>
      <c r="X488" s="373" t="n">
        <v>0</v>
      </c>
      <c r="Y488" s="358" t="n">
        <v>0</v>
      </c>
      <c r="Z488" s="358" t="n">
        <v>0</v>
      </c>
      <c r="AA488" s="358" t="n">
        <v>0</v>
      </c>
      <c r="AB488" s="373" t="n">
        <v>0</v>
      </c>
      <c r="AC488" s="358" t="n">
        <v>0</v>
      </c>
      <c r="AD488" s="358" t="n">
        <v>0</v>
      </c>
      <c r="AE488" s="358" t="n">
        <v>0</v>
      </c>
      <c r="AF488" s="359" t="n">
        <v>1</v>
      </c>
    </row>
    <row r="489" customFormat="false" ht="15" hidden="true" customHeight="false" outlineLevel="0" collapsed="false">
      <c r="B489" s="360" t="s">
        <v>2966</v>
      </c>
      <c r="C489" s="359" t="n">
        <v>1</v>
      </c>
      <c r="D489" s="358" t="n">
        <v>0</v>
      </c>
      <c r="E489" s="358" t="n">
        <v>0</v>
      </c>
      <c r="F489" s="358" t="n">
        <v>0</v>
      </c>
      <c r="G489" s="372" t="n">
        <v>0</v>
      </c>
      <c r="H489" s="373" t="n">
        <v>0</v>
      </c>
      <c r="I489" s="358" t="n">
        <v>0</v>
      </c>
      <c r="J489" s="358" t="n">
        <v>0</v>
      </c>
      <c r="K489" s="372" t="n">
        <v>0</v>
      </c>
      <c r="L489" s="373" t="n">
        <v>0</v>
      </c>
      <c r="M489" s="358" t="n">
        <v>0</v>
      </c>
      <c r="N489" s="358" t="n">
        <v>0</v>
      </c>
      <c r="O489" s="372" t="n">
        <v>0</v>
      </c>
      <c r="P489" s="373" t="n">
        <v>0</v>
      </c>
      <c r="Q489" s="358" t="n">
        <v>0</v>
      </c>
      <c r="R489" s="358" t="n">
        <v>0</v>
      </c>
      <c r="S489" s="372" t="n">
        <v>0</v>
      </c>
      <c r="T489" s="373" t="n">
        <v>0</v>
      </c>
      <c r="U489" s="358" t="n">
        <v>0</v>
      </c>
      <c r="V489" s="358" t="n">
        <v>0</v>
      </c>
      <c r="W489" s="372" t="n">
        <v>0</v>
      </c>
      <c r="X489" s="373" t="n">
        <v>0</v>
      </c>
      <c r="Y489" s="358" t="n">
        <v>0</v>
      </c>
      <c r="Z489" s="358" t="n">
        <v>0</v>
      </c>
      <c r="AA489" s="358" t="n">
        <v>0</v>
      </c>
      <c r="AB489" s="373" t="n">
        <v>0</v>
      </c>
      <c r="AC489" s="358" t="n">
        <v>0</v>
      </c>
      <c r="AD489" s="358" t="n">
        <v>0</v>
      </c>
      <c r="AE489" s="358" t="n">
        <v>0</v>
      </c>
      <c r="AF489" s="359" t="n">
        <v>1</v>
      </c>
    </row>
    <row r="490" customFormat="false" ht="15" hidden="true" customHeight="false" outlineLevel="0" collapsed="false">
      <c r="B490" s="360" t="s">
        <v>2967</v>
      </c>
      <c r="C490" s="359" t="n">
        <v>1</v>
      </c>
      <c r="D490" s="358" t="n">
        <v>0</v>
      </c>
      <c r="E490" s="358" t="n">
        <v>0</v>
      </c>
      <c r="F490" s="358" t="n">
        <v>0</v>
      </c>
      <c r="G490" s="372" t="n">
        <v>0</v>
      </c>
      <c r="H490" s="373" t="n">
        <v>0</v>
      </c>
      <c r="I490" s="358" t="n">
        <v>0</v>
      </c>
      <c r="J490" s="358" t="n">
        <v>0</v>
      </c>
      <c r="K490" s="372" t="n">
        <v>0</v>
      </c>
      <c r="L490" s="373" t="n">
        <v>0</v>
      </c>
      <c r="M490" s="358" t="n">
        <v>0</v>
      </c>
      <c r="N490" s="358" t="n">
        <v>0</v>
      </c>
      <c r="O490" s="372" t="n">
        <v>0</v>
      </c>
      <c r="P490" s="373" t="n">
        <v>0</v>
      </c>
      <c r="Q490" s="358" t="n">
        <v>0</v>
      </c>
      <c r="R490" s="358" t="n">
        <v>0</v>
      </c>
      <c r="S490" s="372" t="n">
        <v>0</v>
      </c>
      <c r="T490" s="373" t="n">
        <v>0</v>
      </c>
      <c r="U490" s="358" t="n">
        <v>0</v>
      </c>
      <c r="V490" s="358" t="n">
        <v>0</v>
      </c>
      <c r="W490" s="372" t="n">
        <v>0</v>
      </c>
      <c r="X490" s="373" t="n">
        <v>0</v>
      </c>
      <c r="Y490" s="358" t="n">
        <v>0</v>
      </c>
      <c r="Z490" s="358" t="n">
        <v>0</v>
      </c>
      <c r="AA490" s="358" t="n">
        <v>0</v>
      </c>
      <c r="AB490" s="373" t="n">
        <v>0</v>
      </c>
      <c r="AC490" s="358" t="n">
        <v>0</v>
      </c>
      <c r="AD490" s="358" t="n">
        <v>0</v>
      </c>
      <c r="AE490" s="358" t="n">
        <v>0</v>
      </c>
      <c r="AF490" s="359" t="n">
        <v>1</v>
      </c>
    </row>
    <row r="491" customFormat="false" ht="15" hidden="true" customHeight="false" outlineLevel="0" collapsed="false">
      <c r="B491" s="360" t="s">
        <v>2968</v>
      </c>
      <c r="C491" s="359" t="n">
        <v>1</v>
      </c>
      <c r="D491" s="358" t="n">
        <v>0</v>
      </c>
      <c r="E491" s="358" t="n">
        <v>0</v>
      </c>
      <c r="F491" s="358" t="n">
        <v>0</v>
      </c>
      <c r="G491" s="372" t="n">
        <v>0</v>
      </c>
      <c r="H491" s="373" t="n">
        <v>0</v>
      </c>
      <c r="I491" s="358" t="n">
        <v>0</v>
      </c>
      <c r="J491" s="358" t="n">
        <v>0</v>
      </c>
      <c r="K491" s="372" t="n">
        <v>0</v>
      </c>
      <c r="L491" s="373" t="n">
        <v>0</v>
      </c>
      <c r="M491" s="358" t="n">
        <v>0</v>
      </c>
      <c r="N491" s="358" t="n">
        <v>0</v>
      </c>
      <c r="O491" s="372" t="n">
        <v>0</v>
      </c>
      <c r="P491" s="373" t="n">
        <v>0</v>
      </c>
      <c r="Q491" s="358" t="n">
        <v>0</v>
      </c>
      <c r="R491" s="358" t="n">
        <v>0</v>
      </c>
      <c r="S491" s="372" t="n">
        <v>0</v>
      </c>
      <c r="T491" s="373" t="n">
        <v>0</v>
      </c>
      <c r="U491" s="358" t="n">
        <v>0</v>
      </c>
      <c r="V491" s="358" t="n">
        <v>0</v>
      </c>
      <c r="W491" s="372" t="n">
        <v>0</v>
      </c>
      <c r="X491" s="373" t="n">
        <v>0</v>
      </c>
      <c r="Y491" s="358" t="n">
        <v>0</v>
      </c>
      <c r="Z491" s="358" t="n">
        <v>0</v>
      </c>
      <c r="AA491" s="358" t="n">
        <v>0</v>
      </c>
      <c r="AB491" s="373" t="n">
        <v>0</v>
      </c>
      <c r="AC491" s="358" t="n">
        <v>0</v>
      </c>
      <c r="AD491" s="358" t="n">
        <v>0</v>
      </c>
      <c r="AE491" s="358" t="n">
        <v>0</v>
      </c>
      <c r="AF491" s="359" t="n">
        <v>1</v>
      </c>
    </row>
    <row r="492" customFormat="false" ht="15" hidden="true" customHeight="false" outlineLevel="0" collapsed="false">
      <c r="B492" s="360" t="s">
        <v>2969</v>
      </c>
      <c r="C492" s="359" t="n">
        <v>1</v>
      </c>
      <c r="D492" s="358" t="n">
        <v>0</v>
      </c>
      <c r="E492" s="358" t="n">
        <v>0</v>
      </c>
      <c r="F492" s="358" t="n">
        <v>0</v>
      </c>
      <c r="G492" s="372" t="n">
        <v>0</v>
      </c>
      <c r="H492" s="373" t="n">
        <v>0</v>
      </c>
      <c r="I492" s="358" t="n">
        <v>0</v>
      </c>
      <c r="J492" s="358" t="n">
        <v>0</v>
      </c>
      <c r="K492" s="372" t="n">
        <v>0</v>
      </c>
      <c r="L492" s="373" t="n">
        <v>0</v>
      </c>
      <c r="M492" s="358" t="n">
        <v>0</v>
      </c>
      <c r="N492" s="358" t="n">
        <v>0</v>
      </c>
      <c r="O492" s="372" t="n">
        <v>0</v>
      </c>
      <c r="P492" s="373" t="n">
        <v>0</v>
      </c>
      <c r="Q492" s="358" t="n">
        <v>0</v>
      </c>
      <c r="R492" s="358" t="n">
        <v>0</v>
      </c>
      <c r="S492" s="372" t="n">
        <v>0</v>
      </c>
      <c r="T492" s="373" t="n">
        <v>0</v>
      </c>
      <c r="U492" s="358" t="n">
        <v>0</v>
      </c>
      <c r="V492" s="358" t="n">
        <v>0</v>
      </c>
      <c r="W492" s="372" t="n">
        <v>0</v>
      </c>
      <c r="X492" s="373" t="n">
        <v>0</v>
      </c>
      <c r="Y492" s="358" t="n">
        <v>0</v>
      </c>
      <c r="Z492" s="358" t="n">
        <v>0</v>
      </c>
      <c r="AA492" s="358" t="n">
        <v>0</v>
      </c>
      <c r="AB492" s="373" t="n">
        <v>0</v>
      </c>
      <c r="AC492" s="358" t="n">
        <v>0</v>
      </c>
      <c r="AD492" s="358" t="n">
        <v>0</v>
      </c>
      <c r="AE492" s="358" t="n">
        <v>0</v>
      </c>
      <c r="AF492" s="359" t="n">
        <v>1</v>
      </c>
    </row>
    <row r="493" customFormat="false" ht="15" hidden="true" customHeight="false" outlineLevel="0" collapsed="false">
      <c r="B493" s="360" t="s">
        <v>2970</v>
      </c>
      <c r="C493" s="359" t="n">
        <v>1</v>
      </c>
      <c r="D493" s="358" t="n">
        <v>0</v>
      </c>
      <c r="E493" s="358" t="n">
        <v>0</v>
      </c>
      <c r="F493" s="358" t="n">
        <v>0</v>
      </c>
      <c r="G493" s="372" t="n">
        <v>0</v>
      </c>
      <c r="H493" s="373" t="n">
        <v>0</v>
      </c>
      <c r="I493" s="358" t="n">
        <v>0</v>
      </c>
      <c r="J493" s="358" t="n">
        <v>0</v>
      </c>
      <c r="K493" s="372" t="n">
        <v>0</v>
      </c>
      <c r="L493" s="373" t="n">
        <v>0</v>
      </c>
      <c r="M493" s="358" t="n">
        <v>0</v>
      </c>
      <c r="N493" s="358" t="n">
        <v>0</v>
      </c>
      <c r="O493" s="372" t="n">
        <v>0</v>
      </c>
      <c r="P493" s="373" t="n">
        <v>0</v>
      </c>
      <c r="Q493" s="358" t="n">
        <v>0</v>
      </c>
      <c r="R493" s="358" t="n">
        <v>0</v>
      </c>
      <c r="S493" s="372" t="n">
        <v>0</v>
      </c>
      <c r="T493" s="373" t="n">
        <v>0</v>
      </c>
      <c r="U493" s="358" t="n">
        <v>0</v>
      </c>
      <c r="V493" s="358" t="n">
        <v>0</v>
      </c>
      <c r="W493" s="372" t="n">
        <v>0</v>
      </c>
      <c r="X493" s="373" t="n">
        <v>0</v>
      </c>
      <c r="Y493" s="358" t="n">
        <v>0</v>
      </c>
      <c r="Z493" s="358" t="n">
        <v>0</v>
      </c>
      <c r="AA493" s="358" t="n">
        <v>0</v>
      </c>
      <c r="AB493" s="373" t="n">
        <v>0</v>
      </c>
      <c r="AC493" s="358" t="n">
        <v>0</v>
      </c>
      <c r="AD493" s="358" t="n">
        <v>0</v>
      </c>
      <c r="AE493" s="358" t="n">
        <v>0</v>
      </c>
      <c r="AF493" s="359" t="n">
        <v>1</v>
      </c>
    </row>
    <row r="494" customFormat="false" ht="15" hidden="true" customHeight="false" outlineLevel="0" collapsed="false">
      <c r="B494" s="360" t="s">
        <v>2971</v>
      </c>
      <c r="C494" s="359" t="n">
        <v>1</v>
      </c>
      <c r="D494" s="358" t="n">
        <v>0</v>
      </c>
      <c r="E494" s="358" t="n">
        <v>0</v>
      </c>
      <c r="F494" s="358" t="n">
        <v>0</v>
      </c>
      <c r="G494" s="372" t="n">
        <v>0</v>
      </c>
      <c r="H494" s="373" t="n">
        <v>0</v>
      </c>
      <c r="I494" s="358" t="n">
        <v>0</v>
      </c>
      <c r="J494" s="358" t="n">
        <v>0</v>
      </c>
      <c r="K494" s="372" t="n">
        <v>0</v>
      </c>
      <c r="L494" s="373" t="n">
        <v>0</v>
      </c>
      <c r="M494" s="358" t="n">
        <v>0</v>
      </c>
      <c r="N494" s="358" t="n">
        <v>0</v>
      </c>
      <c r="O494" s="372" t="n">
        <v>0</v>
      </c>
      <c r="P494" s="373" t="n">
        <v>0</v>
      </c>
      <c r="Q494" s="358" t="n">
        <v>0</v>
      </c>
      <c r="R494" s="358" t="n">
        <v>0</v>
      </c>
      <c r="S494" s="372" t="n">
        <v>0</v>
      </c>
      <c r="T494" s="373" t="n">
        <v>0</v>
      </c>
      <c r="U494" s="358" t="n">
        <v>0</v>
      </c>
      <c r="V494" s="358" t="n">
        <v>0</v>
      </c>
      <c r="W494" s="372" t="n">
        <v>0</v>
      </c>
      <c r="X494" s="373" t="n">
        <v>0</v>
      </c>
      <c r="Y494" s="358" t="n">
        <v>0</v>
      </c>
      <c r="Z494" s="358" t="n">
        <v>0</v>
      </c>
      <c r="AA494" s="358" t="n">
        <v>0</v>
      </c>
      <c r="AB494" s="373" t="n">
        <v>0</v>
      </c>
      <c r="AC494" s="358" t="n">
        <v>0</v>
      </c>
      <c r="AD494" s="358" t="n">
        <v>0</v>
      </c>
      <c r="AE494" s="358" t="n">
        <v>0</v>
      </c>
      <c r="AF494" s="359" t="n">
        <v>1</v>
      </c>
    </row>
    <row r="495" customFormat="false" ht="15" hidden="true" customHeight="false" outlineLevel="0" collapsed="false">
      <c r="B495" s="360" t="s">
        <v>2972</v>
      </c>
      <c r="C495" s="359" t="n">
        <v>1</v>
      </c>
      <c r="D495" s="358" t="n">
        <v>0</v>
      </c>
      <c r="E495" s="358" t="n">
        <v>0</v>
      </c>
      <c r="F495" s="358" t="n">
        <v>0</v>
      </c>
      <c r="G495" s="372" t="n">
        <v>0</v>
      </c>
      <c r="H495" s="373" t="n">
        <v>0</v>
      </c>
      <c r="I495" s="358" t="n">
        <v>0</v>
      </c>
      <c r="J495" s="358" t="n">
        <v>0</v>
      </c>
      <c r="K495" s="372" t="n">
        <v>0</v>
      </c>
      <c r="L495" s="373" t="n">
        <v>0</v>
      </c>
      <c r="M495" s="358" t="n">
        <v>0</v>
      </c>
      <c r="N495" s="358" t="n">
        <v>0</v>
      </c>
      <c r="O495" s="372" t="n">
        <v>0</v>
      </c>
      <c r="P495" s="373" t="n">
        <v>0</v>
      </c>
      <c r="Q495" s="358" t="n">
        <v>0</v>
      </c>
      <c r="R495" s="358" t="n">
        <v>0</v>
      </c>
      <c r="S495" s="372" t="n">
        <v>0</v>
      </c>
      <c r="T495" s="373" t="n">
        <v>0</v>
      </c>
      <c r="U495" s="358" t="n">
        <v>0</v>
      </c>
      <c r="V495" s="358" t="n">
        <v>0</v>
      </c>
      <c r="W495" s="372" t="n">
        <v>0</v>
      </c>
      <c r="X495" s="373" t="n">
        <v>0</v>
      </c>
      <c r="Y495" s="358" t="n">
        <v>0</v>
      </c>
      <c r="Z495" s="358" t="n">
        <v>0</v>
      </c>
      <c r="AA495" s="358" t="n">
        <v>0</v>
      </c>
      <c r="AB495" s="373" t="n">
        <v>0</v>
      </c>
      <c r="AC495" s="358" t="n">
        <v>0</v>
      </c>
      <c r="AD495" s="358" t="n">
        <v>0</v>
      </c>
      <c r="AE495" s="358" t="n">
        <v>0</v>
      </c>
      <c r="AF495" s="359" t="n">
        <v>1</v>
      </c>
    </row>
    <row r="496" customFormat="false" ht="15" hidden="true" customHeight="false" outlineLevel="0" collapsed="false">
      <c r="B496" s="360" t="s">
        <v>2973</v>
      </c>
      <c r="C496" s="359" t="n">
        <v>1</v>
      </c>
      <c r="D496" s="358" t="n">
        <v>0</v>
      </c>
      <c r="E496" s="358" t="n">
        <v>0</v>
      </c>
      <c r="F496" s="358" t="n">
        <v>0</v>
      </c>
      <c r="G496" s="372" t="n">
        <v>0</v>
      </c>
      <c r="H496" s="373" t="n">
        <v>0</v>
      </c>
      <c r="I496" s="358" t="n">
        <v>0</v>
      </c>
      <c r="J496" s="358" t="n">
        <v>0</v>
      </c>
      <c r="K496" s="372" t="n">
        <v>0</v>
      </c>
      <c r="L496" s="373" t="n">
        <v>0</v>
      </c>
      <c r="M496" s="358" t="n">
        <v>0</v>
      </c>
      <c r="N496" s="358" t="n">
        <v>0</v>
      </c>
      <c r="O496" s="372" t="n">
        <v>0</v>
      </c>
      <c r="P496" s="373" t="n">
        <v>0</v>
      </c>
      <c r="Q496" s="358" t="n">
        <v>0</v>
      </c>
      <c r="R496" s="358" t="n">
        <v>0</v>
      </c>
      <c r="S496" s="372" t="n">
        <v>0</v>
      </c>
      <c r="T496" s="373" t="n">
        <v>0</v>
      </c>
      <c r="U496" s="358" t="n">
        <v>0</v>
      </c>
      <c r="V496" s="358" t="n">
        <v>0</v>
      </c>
      <c r="W496" s="372" t="n">
        <v>0</v>
      </c>
      <c r="X496" s="373" t="n">
        <v>0</v>
      </c>
      <c r="Y496" s="358" t="n">
        <v>0</v>
      </c>
      <c r="Z496" s="358" t="n">
        <v>0</v>
      </c>
      <c r="AA496" s="358" t="n">
        <v>0</v>
      </c>
      <c r="AB496" s="373" t="n">
        <v>0</v>
      </c>
      <c r="AC496" s="358" t="n">
        <v>0</v>
      </c>
      <c r="AD496" s="358" t="n">
        <v>0</v>
      </c>
      <c r="AE496" s="358" t="n">
        <v>0</v>
      </c>
      <c r="AF496" s="359" t="n">
        <v>1</v>
      </c>
    </row>
    <row r="497" customFormat="false" ht="15" hidden="true" customHeight="false" outlineLevel="0" collapsed="false">
      <c r="B497" s="360" t="s">
        <v>2974</v>
      </c>
      <c r="C497" s="359" t="n">
        <v>1</v>
      </c>
      <c r="D497" s="358" t="n">
        <v>0</v>
      </c>
      <c r="E497" s="358" t="n">
        <v>0</v>
      </c>
      <c r="F497" s="358" t="n">
        <v>0</v>
      </c>
      <c r="G497" s="372" t="n">
        <v>0</v>
      </c>
      <c r="H497" s="373" t="n">
        <v>0</v>
      </c>
      <c r="I497" s="358" t="n">
        <v>0</v>
      </c>
      <c r="J497" s="358" t="n">
        <v>0</v>
      </c>
      <c r="K497" s="372" t="n">
        <v>0</v>
      </c>
      <c r="L497" s="373" t="n">
        <v>0</v>
      </c>
      <c r="M497" s="358" t="n">
        <v>0</v>
      </c>
      <c r="N497" s="358" t="n">
        <v>0</v>
      </c>
      <c r="O497" s="372" t="n">
        <v>0</v>
      </c>
      <c r="P497" s="373" t="n">
        <v>0</v>
      </c>
      <c r="Q497" s="358" t="n">
        <v>0</v>
      </c>
      <c r="R497" s="358" t="n">
        <v>0</v>
      </c>
      <c r="S497" s="372" t="n">
        <v>0</v>
      </c>
      <c r="T497" s="373" t="n">
        <v>0</v>
      </c>
      <c r="U497" s="358" t="n">
        <v>0</v>
      </c>
      <c r="V497" s="358" t="n">
        <v>0</v>
      </c>
      <c r="W497" s="372" t="n">
        <v>0</v>
      </c>
      <c r="X497" s="373" t="n">
        <v>0</v>
      </c>
      <c r="Y497" s="358" t="n">
        <v>0</v>
      </c>
      <c r="Z497" s="358" t="n">
        <v>0</v>
      </c>
      <c r="AA497" s="358" t="n">
        <v>0</v>
      </c>
      <c r="AB497" s="373" t="n">
        <v>0</v>
      </c>
      <c r="AC497" s="358" t="n">
        <v>0</v>
      </c>
      <c r="AD497" s="358" t="n">
        <v>0</v>
      </c>
      <c r="AE497" s="358" t="n">
        <v>0</v>
      </c>
      <c r="AF497" s="359" t="n">
        <v>1</v>
      </c>
    </row>
    <row r="498" customFormat="false" ht="15" hidden="true" customHeight="false" outlineLevel="0" collapsed="false">
      <c r="B498" s="360" t="s">
        <v>2975</v>
      </c>
      <c r="C498" s="359" t="n">
        <v>1</v>
      </c>
      <c r="D498" s="358" t="n">
        <v>0</v>
      </c>
      <c r="E498" s="358" t="n">
        <v>0</v>
      </c>
      <c r="F498" s="358" t="n">
        <v>0</v>
      </c>
      <c r="G498" s="372" t="n">
        <v>0</v>
      </c>
      <c r="H498" s="373" t="n">
        <v>0</v>
      </c>
      <c r="I498" s="358" t="n">
        <v>0</v>
      </c>
      <c r="J498" s="358" t="n">
        <v>0</v>
      </c>
      <c r="K498" s="372" t="n">
        <v>0</v>
      </c>
      <c r="L498" s="373" t="n">
        <v>0</v>
      </c>
      <c r="M498" s="358" t="n">
        <v>0</v>
      </c>
      <c r="N498" s="358" t="n">
        <v>0</v>
      </c>
      <c r="O498" s="372" t="n">
        <v>0</v>
      </c>
      <c r="P498" s="373" t="n">
        <v>0</v>
      </c>
      <c r="Q498" s="358" t="n">
        <v>0</v>
      </c>
      <c r="R498" s="358" t="n">
        <v>0</v>
      </c>
      <c r="S498" s="372" t="n">
        <v>0</v>
      </c>
      <c r="T498" s="373" t="n">
        <v>0</v>
      </c>
      <c r="U498" s="358" t="n">
        <v>0</v>
      </c>
      <c r="V498" s="358" t="n">
        <v>0</v>
      </c>
      <c r="W498" s="372" t="n">
        <v>0</v>
      </c>
      <c r="X498" s="373" t="n">
        <v>0</v>
      </c>
      <c r="Y498" s="358" t="n">
        <v>0</v>
      </c>
      <c r="Z498" s="358" t="n">
        <v>0</v>
      </c>
      <c r="AA498" s="358" t="n">
        <v>0</v>
      </c>
      <c r="AB498" s="373" t="n">
        <v>0</v>
      </c>
      <c r="AC498" s="358" t="n">
        <v>0</v>
      </c>
      <c r="AD498" s="358" t="n">
        <v>0</v>
      </c>
      <c r="AE498" s="358" t="n">
        <v>0</v>
      </c>
      <c r="AF498" s="359" t="n">
        <v>1</v>
      </c>
    </row>
    <row r="499" customFormat="false" ht="15" hidden="true" customHeight="false" outlineLevel="0" collapsed="false">
      <c r="B499" s="360" t="s">
        <v>2976</v>
      </c>
      <c r="C499" s="359" t="n">
        <v>1</v>
      </c>
      <c r="D499" s="358" t="n">
        <v>0</v>
      </c>
      <c r="E499" s="358" t="n">
        <v>0</v>
      </c>
      <c r="F499" s="358" t="n">
        <v>0</v>
      </c>
      <c r="G499" s="372" t="n">
        <v>0</v>
      </c>
      <c r="H499" s="373" t="n">
        <v>0</v>
      </c>
      <c r="I499" s="358" t="n">
        <v>0</v>
      </c>
      <c r="J499" s="358" t="n">
        <v>0</v>
      </c>
      <c r="K499" s="372" t="n">
        <v>0</v>
      </c>
      <c r="L499" s="373" t="n">
        <v>0</v>
      </c>
      <c r="M499" s="358" t="n">
        <v>0</v>
      </c>
      <c r="N499" s="358" t="n">
        <v>0</v>
      </c>
      <c r="O499" s="372" t="n">
        <v>0</v>
      </c>
      <c r="P499" s="373" t="n">
        <v>0</v>
      </c>
      <c r="Q499" s="358" t="n">
        <v>0</v>
      </c>
      <c r="R499" s="358" t="n">
        <v>0</v>
      </c>
      <c r="S499" s="372" t="n">
        <v>0</v>
      </c>
      <c r="T499" s="373" t="n">
        <v>0</v>
      </c>
      <c r="U499" s="358" t="n">
        <v>0</v>
      </c>
      <c r="V499" s="358" t="n">
        <v>0</v>
      </c>
      <c r="W499" s="372" t="n">
        <v>0</v>
      </c>
      <c r="X499" s="373" t="n">
        <v>0</v>
      </c>
      <c r="Y499" s="358" t="n">
        <v>0</v>
      </c>
      <c r="Z499" s="358" t="n">
        <v>0</v>
      </c>
      <c r="AA499" s="358" t="n">
        <v>0</v>
      </c>
      <c r="AB499" s="373" t="n">
        <v>0</v>
      </c>
      <c r="AC499" s="358" t="n">
        <v>0</v>
      </c>
      <c r="AD499" s="358" t="n">
        <v>0</v>
      </c>
      <c r="AE499" s="358" t="n">
        <v>0</v>
      </c>
      <c r="AF499" s="359" t="n">
        <v>1</v>
      </c>
    </row>
    <row r="500" customFormat="false" ht="15" hidden="true" customHeight="false" outlineLevel="0" collapsed="false">
      <c r="B500" s="360" t="s">
        <v>2977</v>
      </c>
      <c r="C500" s="359" t="n">
        <v>1</v>
      </c>
      <c r="D500" s="358" t="n">
        <v>0</v>
      </c>
      <c r="E500" s="358" t="n">
        <v>0</v>
      </c>
      <c r="F500" s="358" t="n">
        <v>0</v>
      </c>
      <c r="G500" s="372" t="n">
        <v>0</v>
      </c>
      <c r="H500" s="373" t="n">
        <v>0</v>
      </c>
      <c r="I500" s="358" t="n">
        <v>0</v>
      </c>
      <c r="J500" s="358" t="n">
        <v>0</v>
      </c>
      <c r="K500" s="372" t="n">
        <v>0</v>
      </c>
      <c r="L500" s="373" t="n">
        <v>0</v>
      </c>
      <c r="M500" s="358" t="n">
        <v>0</v>
      </c>
      <c r="N500" s="358" t="n">
        <v>0</v>
      </c>
      <c r="O500" s="372" t="n">
        <v>0</v>
      </c>
      <c r="P500" s="373" t="n">
        <v>0</v>
      </c>
      <c r="Q500" s="358" t="n">
        <v>0</v>
      </c>
      <c r="R500" s="358" t="n">
        <v>0</v>
      </c>
      <c r="S500" s="372" t="n">
        <v>0</v>
      </c>
      <c r="T500" s="373" t="n">
        <v>0</v>
      </c>
      <c r="U500" s="358" t="n">
        <v>0</v>
      </c>
      <c r="V500" s="358" t="n">
        <v>0</v>
      </c>
      <c r="W500" s="372" t="n">
        <v>0</v>
      </c>
      <c r="X500" s="373" t="n">
        <v>0</v>
      </c>
      <c r="Y500" s="358" t="n">
        <v>0</v>
      </c>
      <c r="Z500" s="358" t="n">
        <v>0</v>
      </c>
      <c r="AA500" s="358" t="n">
        <v>0</v>
      </c>
      <c r="AB500" s="373" t="n">
        <v>0</v>
      </c>
      <c r="AC500" s="358" t="n">
        <v>0</v>
      </c>
      <c r="AD500" s="358" t="n">
        <v>0</v>
      </c>
      <c r="AE500" s="358" t="n">
        <v>0</v>
      </c>
      <c r="AF500" s="359" t="n">
        <v>1</v>
      </c>
    </row>
    <row r="501" customFormat="false" ht="15" hidden="true" customHeight="false" outlineLevel="0" collapsed="false">
      <c r="B501" s="360" t="s">
        <v>2978</v>
      </c>
      <c r="C501" s="359" t="n">
        <v>1</v>
      </c>
      <c r="D501" s="358" t="n">
        <v>0</v>
      </c>
      <c r="E501" s="358" t="n">
        <v>0</v>
      </c>
      <c r="F501" s="358" t="n">
        <v>0</v>
      </c>
      <c r="G501" s="372" t="n">
        <v>0</v>
      </c>
      <c r="H501" s="373" t="n">
        <v>0</v>
      </c>
      <c r="I501" s="358" t="n">
        <v>0</v>
      </c>
      <c r="J501" s="358" t="n">
        <v>0</v>
      </c>
      <c r="K501" s="372" t="n">
        <v>0</v>
      </c>
      <c r="L501" s="373" t="n">
        <v>0</v>
      </c>
      <c r="M501" s="358" t="n">
        <v>0</v>
      </c>
      <c r="N501" s="358" t="n">
        <v>0</v>
      </c>
      <c r="O501" s="372" t="n">
        <v>0</v>
      </c>
      <c r="P501" s="373" t="n">
        <v>0</v>
      </c>
      <c r="Q501" s="358" t="n">
        <v>0</v>
      </c>
      <c r="R501" s="358" t="n">
        <v>0</v>
      </c>
      <c r="S501" s="372" t="n">
        <v>0</v>
      </c>
      <c r="T501" s="373" t="n">
        <v>0</v>
      </c>
      <c r="U501" s="358" t="n">
        <v>0</v>
      </c>
      <c r="V501" s="358" t="n">
        <v>0</v>
      </c>
      <c r="W501" s="372" t="n">
        <v>0</v>
      </c>
      <c r="X501" s="373" t="n">
        <v>0</v>
      </c>
      <c r="Y501" s="358" t="n">
        <v>0</v>
      </c>
      <c r="Z501" s="358" t="n">
        <v>0</v>
      </c>
      <c r="AA501" s="358" t="n">
        <v>0</v>
      </c>
      <c r="AB501" s="373" t="n">
        <v>0</v>
      </c>
      <c r="AC501" s="358" t="n">
        <v>0</v>
      </c>
      <c r="AD501" s="358" t="n">
        <v>0</v>
      </c>
      <c r="AE501" s="358" t="n">
        <v>0</v>
      </c>
      <c r="AF501" s="359" t="n">
        <v>1</v>
      </c>
    </row>
    <row r="502" customFormat="false" ht="15" hidden="true" customHeight="false" outlineLevel="0" collapsed="false">
      <c r="B502" s="360" t="s">
        <v>2979</v>
      </c>
      <c r="C502" s="359" t="n">
        <v>1</v>
      </c>
      <c r="D502" s="358" t="n">
        <v>0</v>
      </c>
      <c r="E502" s="358" t="n">
        <v>0</v>
      </c>
      <c r="F502" s="358" t="n">
        <v>0</v>
      </c>
      <c r="G502" s="372" t="n">
        <v>0</v>
      </c>
      <c r="H502" s="373" t="n">
        <v>0</v>
      </c>
      <c r="I502" s="358" t="n">
        <v>0</v>
      </c>
      <c r="J502" s="358" t="n">
        <v>0</v>
      </c>
      <c r="K502" s="372" t="n">
        <v>0</v>
      </c>
      <c r="L502" s="373" t="n">
        <v>0</v>
      </c>
      <c r="M502" s="358" t="n">
        <v>0</v>
      </c>
      <c r="N502" s="358" t="n">
        <v>0</v>
      </c>
      <c r="O502" s="372" t="n">
        <v>0</v>
      </c>
      <c r="P502" s="373" t="n">
        <v>0</v>
      </c>
      <c r="Q502" s="358" t="n">
        <v>0</v>
      </c>
      <c r="R502" s="358" t="n">
        <v>0</v>
      </c>
      <c r="S502" s="372" t="n">
        <v>0</v>
      </c>
      <c r="T502" s="373" t="n">
        <v>0</v>
      </c>
      <c r="U502" s="358" t="n">
        <v>0</v>
      </c>
      <c r="V502" s="358" t="n">
        <v>0</v>
      </c>
      <c r="W502" s="372" t="n">
        <v>0</v>
      </c>
      <c r="X502" s="373" t="n">
        <v>0</v>
      </c>
      <c r="Y502" s="358" t="n">
        <v>0</v>
      </c>
      <c r="Z502" s="358" t="n">
        <v>0</v>
      </c>
      <c r="AA502" s="358" t="n">
        <v>0</v>
      </c>
      <c r="AB502" s="373" t="n">
        <v>0</v>
      </c>
      <c r="AC502" s="358" t="n">
        <v>0</v>
      </c>
      <c r="AD502" s="358" t="n">
        <v>0</v>
      </c>
      <c r="AE502" s="358" t="n">
        <v>0</v>
      </c>
      <c r="AF502" s="359" t="n">
        <v>1</v>
      </c>
    </row>
    <row r="503" customFormat="false" ht="15" hidden="true" customHeight="false" outlineLevel="0" collapsed="false">
      <c r="B503" s="360" t="s">
        <v>2980</v>
      </c>
      <c r="C503" s="359" t="n">
        <v>1</v>
      </c>
      <c r="D503" s="358" t="n">
        <v>0</v>
      </c>
      <c r="E503" s="358" t="n">
        <v>0</v>
      </c>
      <c r="F503" s="358" t="n">
        <v>0</v>
      </c>
      <c r="G503" s="372" t="n">
        <v>0</v>
      </c>
      <c r="H503" s="373" t="n">
        <v>0</v>
      </c>
      <c r="I503" s="358" t="n">
        <v>0</v>
      </c>
      <c r="J503" s="358" t="n">
        <v>0</v>
      </c>
      <c r="K503" s="372" t="n">
        <v>0</v>
      </c>
      <c r="L503" s="373" t="n">
        <v>0</v>
      </c>
      <c r="M503" s="358" t="n">
        <v>0</v>
      </c>
      <c r="N503" s="358" t="n">
        <v>0</v>
      </c>
      <c r="O503" s="372" t="n">
        <v>0</v>
      </c>
      <c r="P503" s="373" t="n">
        <v>0</v>
      </c>
      <c r="Q503" s="358" t="n">
        <v>0</v>
      </c>
      <c r="R503" s="358" t="n">
        <v>0</v>
      </c>
      <c r="S503" s="372" t="n">
        <v>0</v>
      </c>
      <c r="T503" s="373" t="n">
        <v>0</v>
      </c>
      <c r="U503" s="358" t="n">
        <v>0</v>
      </c>
      <c r="V503" s="358" t="n">
        <v>0</v>
      </c>
      <c r="W503" s="372" t="n">
        <v>0</v>
      </c>
      <c r="X503" s="373" t="n">
        <v>0</v>
      </c>
      <c r="Y503" s="358" t="n">
        <v>0</v>
      </c>
      <c r="Z503" s="358" t="n">
        <v>0</v>
      </c>
      <c r="AA503" s="358" t="n">
        <v>0</v>
      </c>
      <c r="AB503" s="373" t="n">
        <v>0</v>
      </c>
      <c r="AC503" s="358" t="n">
        <v>0</v>
      </c>
      <c r="AD503" s="358" t="n">
        <v>0</v>
      </c>
      <c r="AE503" s="358" t="n">
        <v>0</v>
      </c>
      <c r="AF503" s="359" t="n">
        <v>1</v>
      </c>
    </row>
    <row r="504" customFormat="false" ht="15" hidden="false" customHeight="false" outlineLevel="0" collapsed="false">
      <c r="B504" s="364" t="s">
        <v>2468</v>
      </c>
      <c r="C504" s="365" t="n">
        <v>13</v>
      </c>
      <c r="D504" s="358" t="n">
        <v>0</v>
      </c>
      <c r="E504" s="358" t="n">
        <v>0</v>
      </c>
      <c r="F504" s="358" t="n">
        <v>0</v>
      </c>
      <c r="G504" s="372" t="n">
        <v>0</v>
      </c>
      <c r="H504" s="373" t="n">
        <v>0</v>
      </c>
      <c r="I504" s="358" t="n">
        <v>0</v>
      </c>
      <c r="J504" s="358" t="n">
        <v>0</v>
      </c>
      <c r="K504" s="372" t="n">
        <v>0</v>
      </c>
      <c r="L504" s="373" t="n">
        <v>0</v>
      </c>
      <c r="M504" s="358" t="n">
        <v>0</v>
      </c>
      <c r="N504" s="358" t="n">
        <v>0</v>
      </c>
      <c r="O504" s="372" t="n">
        <v>0</v>
      </c>
      <c r="P504" s="373" t="n">
        <v>0</v>
      </c>
      <c r="Q504" s="358" t="n">
        <v>0</v>
      </c>
      <c r="R504" s="358" t="n">
        <v>0</v>
      </c>
      <c r="S504" s="372" t="n">
        <v>0</v>
      </c>
      <c r="T504" s="373" t="n">
        <v>0</v>
      </c>
      <c r="U504" s="358" t="n">
        <v>0</v>
      </c>
      <c r="V504" s="358" t="n">
        <v>0</v>
      </c>
      <c r="W504" s="372" t="n">
        <v>0</v>
      </c>
      <c r="X504" s="373" t="n">
        <v>0</v>
      </c>
      <c r="Y504" s="358" t="n">
        <v>0</v>
      </c>
      <c r="Z504" s="358" t="n">
        <v>0</v>
      </c>
      <c r="AA504" s="358" t="n">
        <v>0</v>
      </c>
      <c r="AB504" s="373" t="n">
        <v>0</v>
      </c>
      <c r="AC504" s="358" t="n">
        <v>0</v>
      </c>
      <c r="AD504" s="358" t="n">
        <v>0</v>
      </c>
      <c r="AE504" s="358" t="n">
        <v>0</v>
      </c>
      <c r="AF504" s="365" t="n">
        <v>13</v>
      </c>
    </row>
    <row r="505" customFormat="false" ht="15" hidden="true" customHeight="false" outlineLevel="0" collapsed="false">
      <c r="B505" s="360" t="s">
        <v>2981</v>
      </c>
      <c r="C505" s="359" t="n">
        <v>1</v>
      </c>
      <c r="D505" s="358" t="n">
        <v>0</v>
      </c>
      <c r="E505" s="358" t="n">
        <v>0</v>
      </c>
      <c r="F505" s="358" t="n">
        <v>0</v>
      </c>
      <c r="G505" s="372" t="n">
        <v>0</v>
      </c>
      <c r="H505" s="373" t="n">
        <v>0</v>
      </c>
      <c r="I505" s="358" t="n">
        <v>0</v>
      </c>
      <c r="J505" s="358" t="n">
        <v>0</v>
      </c>
      <c r="K505" s="372" t="n">
        <v>0</v>
      </c>
      <c r="L505" s="373" t="n">
        <v>0</v>
      </c>
      <c r="M505" s="358" t="n">
        <v>0</v>
      </c>
      <c r="N505" s="358" t="n">
        <v>0</v>
      </c>
      <c r="O505" s="372" t="n">
        <v>0</v>
      </c>
      <c r="P505" s="373" t="n">
        <v>0</v>
      </c>
      <c r="Q505" s="358" t="n">
        <v>0</v>
      </c>
      <c r="R505" s="358" t="n">
        <v>0</v>
      </c>
      <c r="S505" s="372" t="n">
        <v>0</v>
      </c>
      <c r="T505" s="373" t="n">
        <v>0</v>
      </c>
      <c r="U505" s="358" t="n">
        <v>0</v>
      </c>
      <c r="V505" s="358" t="n">
        <v>0</v>
      </c>
      <c r="W505" s="372" t="n">
        <v>0</v>
      </c>
      <c r="X505" s="373" t="n">
        <v>0</v>
      </c>
      <c r="Y505" s="358" t="n">
        <v>0</v>
      </c>
      <c r="Z505" s="358" t="n">
        <v>0</v>
      </c>
      <c r="AA505" s="358" t="n">
        <v>0</v>
      </c>
      <c r="AB505" s="373" t="n">
        <v>0</v>
      </c>
      <c r="AC505" s="358" t="n">
        <v>0</v>
      </c>
      <c r="AD505" s="358" t="n">
        <v>0</v>
      </c>
      <c r="AE505" s="358" t="n">
        <v>0</v>
      </c>
      <c r="AF505" s="359" t="n">
        <v>1</v>
      </c>
    </row>
    <row r="506" customFormat="false" ht="15" hidden="true" customHeight="false" outlineLevel="0" collapsed="false">
      <c r="B506" s="360" t="s">
        <v>2982</v>
      </c>
      <c r="C506" s="359" t="n">
        <v>1</v>
      </c>
      <c r="D506" s="358" t="n">
        <v>0</v>
      </c>
      <c r="E506" s="358" t="n">
        <v>0</v>
      </c>
      <c r="F506" s="358" t="n">
        <v>0</v>
      </c>
      <c r="G506" s="372" t="n">
        <v>0</v>
      </c>
      <c r="H506" s="373" t="n">
        <v>0</v>
      </c>
      <c r="I506" s="358" t="n">
        <v>0</v>
      </c>
      <c r="J506" s="358" t="n">
        <v>0</v>
      </c>
      <c r="K506" s="372" t="n">
        <v>0</v>
      </c>
      <c r="L506" s="373" t="n">
        <v>0</v>
      </c>
      <c r="M506" s="358" t="n">
        <v>0</v>
      </c>
      <c r="N506" s="358" t="n">
        <v>0</v>
      </c>
      <c r="O506" s="372" t="n">
        <v>0</v>
      </c>
      <c r="P506" s="373" t="n">
        <v>0</v>
      </c>
      <c r="Q506" s="358" t="n">
        <v>0</v>
      </c>
      <c r="R506" s="358" t="n">
        <v>0</v>
      </c>
      <c r="S506" s="372" t="n">
        <v>0</v>
      </c>
      <c r="T506" s="373" t="n">
        <v>0</v>
      </c>
      <c r="U506" s="358" t="n">
        <v>0</v>
      </c>
      <c r="V506" s="358" t="n">
        <v>0</v>
      </c>
      <c r="W506" s="372" t="n">
        <v>0</v>
      </c>
      <c r="X506" s="373" t="n">
        <v>0</v>
      </c>
      <c r="Y506" s="358" t="n">
        <v>0</v>
      </c>
      <c r="Z506" s="358" t="n">
        <v>0</v>
      </c>
      <c r="AA506" s="358" t="n">
        <v>0</v>
      </c>
      <c r="AB506" s="373" t="n">
        <v>0</v>
      </c>
      <c r="AC506" s="358" t="n">
        <v>0</v>
      </c>
      <c r="AD506" s="358" t="n">
        <v>0</v>
      </c>
      <c r="AE506" s="358" t="n">
        <v>0</v>
      </c>
      <c r="AF506" s="359" t="n">
        <v>1</v>
      </c>
    </row>
    <row r="507" customFormat="false" ht="15" hidden="true" customHeight="false" outlineLevel="0" collapsed="false">
      <c r="B507" s="360" t="s">
        <v>2983</v>
      </c>
      <c r="C507" s="359" t="n">
        <v>1</v>
      </c>
      <c r="D507" s="358" t="n">
        <v>0</v>
      </c>
      <c r="E507" s="358" t="n">
        <v>0</v>
      </c>
      <c r="F507" s="358" t="n">
        <v>0</v>
      </c>
      <c r="G507" s="372" t="n">
        <v>0</v>
      </c>
      <c r="H507" s="373" t="n">
        <v>0</v>
      </c>
      <c r="I507" s="358" t="n">
        <v>0</v>
      </c>
      <c r="J507" s="358" t="n">
        <v>0</v>
      </c>
      <c r="K507" s="372" t="n">
        <v>0</v>
      </c>
      <c r="L507" s="373" t="n">
        <v>0</v>
      </c>
      <c r="M507" s="358" t="n">
        <v>0</v>
      </c>
      <c r="N507" s="358" t="n">
        <v>0</v>
      </c>
      <c r="O507" s="372" t="n">
        <v>0</v>
      </c>
      <c r="P507" s="373" t="n">
        <v>0</v>
      </c>
      <c r="Q507" s="358" t="n">
        <v>0</v>
      </c>
      <c r="R507" s="358" t="n">
        <v>0</v>
      </c>
      <c r="S507" s="372" t="n">
        <v>0</v>
      </c>
      <c r="T507" s="373" t="n">
        <v>0</v>
      </c>
      <c r="U507" s="358" t="n">
        <v>0</v>
      </c>
      <c r="V507" s="358" t="n">
        <v>0</v>
      </c>
      <c r="W507" s="372" t="n">
        <v>0</v>
      </c>
      <c r="X507" s="373" t="n">
        <v>0</v>
      </c>
      <c r="Y507" s="358" t="n">
        <v>0</v>
      </c>
      <c r="Z507" s="358" t="n">
        <v>0</v>
      </c>
      <c r="AA507" s="358" t="n">
        <v>0</v>
      </c>
      <c r="AB507" s="373" t="n">
        <v>0</v>
      </c>
      <c r="AC507" s="358" t="n">
        <v>0</v>
      </c>
      <c r="AD507" s="358" t="n">
        <v>0</v>
      </c>
      <c r="AE507" s="358" t="n">
        <v>0</v>
      </c>
      <c r="AF507" s="359" t="n">
        <v>1</v>
      </c>
    </row>
    <row r="508" customFormat="false" ht="15" hidden="true" customHeight="false" outlineLevel="0" collapsed="false">
      <c r="B508" s="360" t="s">
        <v>2984</v>
      </c>
      <c r="C508" s="359" t="n">
        <v>1</v>
      </c>
      <c r="D508" s="358" t="n">
        <v>0</v>
      </c>
      <c r="E508" s="358" t="n">
        <v>0</v>
      </c>
      <c r="F508" s="358" t="n">
        <v>0</v>
      </c>
      <c r="G508" s="372" t="n">
        <v>0</v>
      </c>
      <c r="H508" s="373" t="n">
        <v>0</v>
      </c>
      <c r="I508" s="358" t="n">
        <v>0</v>
      </c>
      <c r="J508" s="358" t="n">
        <v>0</v>
      </c>
      <c r="K508" s="372" t="n">
        <v>0</v>
      </c>
      <c r="L508" s="373" t="n">
        <v>0</v>
      </c>
      <c r="M508" s="358" t="n">
        <v>0</v>
      </c>
      <c r="N508" s="358" t="n">
        <v>0</v>
      </c>
      <c r="O508" s="372" t="n">
        <v>0</v>
      </c>
      <c r="P508" s="373" t="n">
        <v>0</v>
      </c>
      <c r="Q508" s="358" t="n">
        <v>0</v>
      </c>
      <c r="R508" s="358" t="n">
        <v>0</v>
      </c>
      <c r="S508" s="372" t="n">
        <v>0</v>
      </c>
      <c r="T508" s="373" t="n">
        <v>0</v>
      </c>
      <c r="U508" s="358" t="n">
        <v>0</v>
      </c>
      <c r="V508" s="358" t="n">
        <v>0</v>
      </c>
      <c r="W508" s="372" t="n">
        <v>0</v>
      </c>
      <c r="X508" s="373" t="n">
        <v>0</v>
      </c>
      <c r="Y508" s="358" t="n">
        <v>0</v>
      </c>
      <c r="Z508" s="358" t="n">
        <v>0</v>
      </c>
      <c r="AA508" s="358" t="n">
        <v>0</v>
      </c>
      <c r="AB508" s="373" t="n">
        <v>0</v>
      </c>
      <c r="AC508" s="358" t="n">
        <v>0</v>
      </c>
      <c r="AD508" s="358" t="n">
        <v>0</v>
      </c>
      <c r="AE508" s="358" t="n">
        <v>0</v>
      </c>
      <c r="AF508" s="359" t="n">
        <v>1</v>
      </c>
    </row>
    <row r="509" customFormat="false" ht="15" hidden="true" customHeight="false" outlineLevel="0" collapsed="false">
      <c r="B509" s="360" t="s">
        <v>2985</v>
      </c>
      <c r="C509" s="359" t="n">
        <v>1</v>
      </c>
      <c r="D509" s="358" t="n">
        <v>0</v>
      </c>
      <c r="E509" s="358" t="n">
        <v>0</v>
      </c>
      <c r="F509" s="358" t="n">
        <v>0</v>
      </c>
      <c r="G509" s="372" t="n">
        <v>0</v>
      </c>
      <c r="H509" s="373" t="n">
        <v>0</v>
      </c>
      <c r="I509" s="358" t="n">
        <v>0</v>
      </c>
      <c r="J509" s="358" t="n">
        <v>0</v>
      </c>
      <c r="K509" s="372" t="n">
        <v>0</v>
      </c>
      <c r="L509" s="373" t="n">
        <v>0</v>
      </c>
      <c r="M509" s="358" t="n">
        <v>0</v>
      </c>
      <c r="N509" s="358" t="n">
        <v>0</v>
      </c>
      <c r="O509" s="372" t="n">
        <v>0</v>
      </c>
      <c r="P509" s="373" t="n">
        <v>0</v>
      </c>
      <c r="Q509" s="358" t="n">
        <v>0</v>
      </c>
      <c r="R509" s="358" t="n">
        <v>0</v>
      </c>
      <c r="S509" s="372" t="n">
        <v>0</v>
      </c>
      <c r="T509" s="373" t="n">
        <v>0</v>
      </c>
      <c r="U509" s="358" t="n">
        <v>0</v>
      </c>
      <c r="V509" s="358" t="n">
        <v>0</v>
      </c>
      <c r="W509" s="372" t="n">
        <v>0</v>
      </c>
      <c r="X509" s="373" t="n">
        <v>0</v>
      </c>
      <c r="Y509" s="358" t="n">
        <v>0</v>
      </c>
      <c r="Z509" s="358" t="n">
        <v>0</v>
      </c>
      <c r="AA509" s="358" t="n">
        <v>0</v>
      </c>
      <c r="AB509" s="373" t="n">
        <v>0</v>
      </c>
      <c r="AC509" s="358" t="n">
        <v>0</v>
      </c>
      <c r="AD509" s="358" t="n">
        <v>0</v>
      </c>
      <c r="AE509" s="358" t="n">
        <v>0</v>
      </c>
      <c r="AF509" s="359" t="n">
        <v>1</v>
      </c>
    </row>
    <row r="510" customFormat="false" ht="15" hidden="true" customHeight="false" outlineLevel="0" collapsed="false">
      <c r="B510" s="360" t="s">
        <v>2986</v>
      </c>
      <c r="C510" s="359" t="n">
        <v>1</v>
      </c>
      <c r="D510" s="358" t="n">
        <v>0</v>
      </c>
      <c r="E510" s="358" t="n">
        <v>0</v>
      </c>
      <c r="F510" s="358" t="n">
        <v>0</v>
      </c>
      <c r="G510" s="372" t="n">
        <v>0</v>
      </c>
      <c r="H510" s="373" t="n">
        <v>0</v>
      </c>
      <c r="I510" s="358" t="n">
        <v>0</v>
      </c>
      <c r="J510" s="358" t="n">
        <v>0</v>
      </c>
      <c r="K510" s="372" t="n">
        <v>0</v>
      </c>
      <c r="L510" s="373" t="n">
        <v>0</v>
      </c>
      <c r="M510" s="358" t="n">
        <v>0</v>
      </c>
      <c r="N510" s="358" t="n">
        <v>0</v>
      </c>
      <c r="O510" s="372" t="n">
        <v>0</v>
      </c>
      <c r="P510" s="373" t="n">
        <v>0</v>
      </c>
      <c r="Q510" s="358" t="n">
        <v>0</v>
      </c>
      <c r="R510" s="358" t="n">
        <v>0</v>
      </c>
      <c r="S510" s="372" t="n">
        <v>0</v>
      </c>
      <c r="T510" s="373" t="n">
        <v>0</v>
      </c>
      <c r="U510" s="358" t="n">
        <v>0</v>
      </c>
      <c r="V510" s="358" t="n">
        <v>0</v>
      </c>
      <c r="W510" s="372" t="n">
        <v>0</v>
      </c>
      <c r="X510" s="373" t="n">
        <v>0</v>
      </c>
      <c r="Y510" s="358" t="n">
        <v>0</v>
      </c>
      <c r="Z510" s="358" t="n">
        <v>0</v>
      </c>
      <c r="AA510" s="358" t="n">
        <v>0</v>
      </c>
      <c r="AB510" s="373" t="n">
        <v>0</v>
      </c>
      <c r="AC510" s="358" t="n">
        <v>0</v>
      </c>
      <c r="AD510" s="358" t="n">
        <v>0</v>
      </c>
      <c r="AE510" s="358" t="n">
        <v>0</v>
      </c>
      <c r="AF510" s="359" t="n">
        <v>1</v>
      </c>
    </row>
    <row r="511" customFormat="false" ht="15" hidden="true" customHeight="false" outlineLevel="0" collapsed="false">
      <c r="B511" s="360" t="s">
        <v>2987</v>
      </c>
      <c r="C511" s="359" t="n">
        <v>1</v>
      </c>
      <c r="D511" s="358" t="n">
        <v>0</v>
      </c>
      <c r="E511" s="358" t="n">
        <v>0</v>
      </c>
      <c r="F511" s="358" t="n">
        <v>0</v>
      </c>
      <c r="G511" s="372" t="n">
        <v>0</v>
      </c>
      <c r="H511" s="373" t="n">
        <v>0</v>
      </c>
      <c r="I511" s="358" t="n">
        <v>0</v>
      </c>
      <c r="J511" s="358" t="n">
        <v>0</v>
      </c>
      <c r="K511" s="372" t="n">
        <v>0</v>
      </c>
      <c r="L511" s="373" t="n">
        <v>0</v>
      </c>
      <c r="M511" s="358" t="n">
        <v>0</v>
      </c>
      <c r="N511" s="358" t="n">
        <v>0</v>
      </c>
      <c r="O511" s="372" t="n">
        <v>0</v>
      </c>
      <c r="P511" s="373" t="n">
        <v>0</v>
      </c>
      <c r="Q511" s="358" t="n">
        <v>0</v>
      </c>
      <c r="R511" s="358" t="n">
        <v>0</v>
      </c>
      <c r="S511" s="372" t="n">
        <v>0</v>
      </c>
      <c r="T511" s="373" t="n">
        <v>0</v>
      </c>
      <c r="U511" s="358" t="n">
        <v>0</v>
      </c>
      <c r="V511" s="358" t="n">
        <v>0</v>
      </c>
      <c r="W511" s="372" t="n">
        <v>0</v>
      </c>
      <c r="X511" s="373" t="n">
        <v>0</v>
      </c>
      <c r="Y511" s="358" t="n">
        <v>0</v>
      </c>
      <c r="Z511" s="358" t="n">
        <v>0</v>
      </c>
      <c r="AA511" s="358" t="n">
        <v>0</v>
      </c>
      <c r="AB511" s="373" t="n">
        <v>0</v>
      </c>
      <c r="AC511" s="358" t="n">
        <v>0</v>
      </c>
      <c r="AD511" s="358" t="n">
        <v>0</v>
      </c>
      <c r="AE511" s="358" t="n">
        <v>0</v>
      </c>
      <c r="AF511" s="359" t="n">
        <v>1</v>
      </c>
    </row>
    <row r="512" customFormat="false" ht="15" hidden="true" customHeight="false" outlineLevel="0" collapsed="false">
      <c r="B512" s="360" t="s">
        <v>2988</v>
      </c>
      <c r="C512" s="359" t="n">
        <v>1</v>
      </c>
      <c r="D512" s="358" t="n">
        <v>0</v>
      </c>
      <c r="E512" s="358" t="n">
        <v>0</v>
      </c>
      <c r="F512" s="358" t="n">
        <v>0</v>
      </c>
      <c r="G512" s="372" t="n">
        <v>0</v>
      </c>
      <c r="H512" s="373" t="n">
        <v>0</v>
      </c>
      <c r="I512" s="358" t="n">
        <v>0</v>
      </c>
      <c r="J512" s="358" t="n">
        <v>0</v>
      </c>
      <c r="K512" s="372" t="n">
        <v>0</v>
      </c>
      <c r="L512" s="373" t="n">
        <v>0</v>
      </c>
      <c r="M512" s="358" t="n">
        <v>0</v>
      </c>
      <c r="N512" s="358" t="n">
        <v>0</v>
      </c>
      <c r="O512" s="372" t="n">
        <v>0</v>
      </c>
      <c r="P512" s="373" t="n">
        <v>0</v>
      </c>
      <c r="Q512" s="358" t="n">
        <v>0</v>
      </c>
      <c r="R512" s="358" t="n">
        <v>0</v>
      </c>
      <c r="S512" s="372" t="n">
        <v>0</v>
      </c>
      <c r="T512" s="373" t="n">
        <v>0</v>
      </c>
      <c r="U512" s="358" t="n">
        <v>0</v>
      </c>
      <c r="V512" s="358" t="n">
        <v>0</v>
      </c>
      <c r="W512" s="372" t="n">
        <v>0</v>
      </c>
      <c r="X512" s="373" t="n">
        <v>0</v>
      </c>
      <c r="Y512" s="358" t="n">
        <v>0</v>
      </c>
      <c r="Z512" s="358" t="n">
        <v>0</v>
      </c>
      <c r="AA512" s="358" t="n">
        <v>0</v>
      </c>
      <c r="AB512" s="373" t="n">
        <v>0</v>
      </c>
      <c r="AC512" s="358" t="n">
        <v>0</v>
      </c>
      <c r="AD512" s="358" t="n">
        <v>0</v>
      </c>
      <c r="AE512" s="358" t="n">
        <v>0</v>
      </c>
      <c r="AF512" s="359" t="n">
        <v>1</v>
      </c>
    </row>
    <row r="513" customFormat="false" ht="15" hidden="true" customHeight="false" outlineLevel="0" collapsed="false">
      <c r="B513" s="360" t="s">
        <v>2989</v>
      </c>
      <c r="C513" s="359" t="n">
        <v>1</v>
      </c>
      <c r="D513" s="358" t="n">
        <v>0</v>
      </c>
      <c r="E513" s="358" t="n">
        <v>0</v>
      </c>
      <c r="F513" s="358" t="n">
        <v>0</v>
      </c>
      <c r="G513" s="372" t="n">
        <v>0</v>
      </c>
      <c r="H513" s="373" t="n">
        <v>0</v>
      </c>
      <c r="I513" s="358" t="n">
        <v>0</v>
      </c>
      <c r="J513" s="358" t="n">
        <v>0</v>
      </c>
      <c r="K513" s="372" t="n">
        <v>0</v>
      </c>
      <c r="L513" s="373" t="n">
        <v>0</v>
      </c>
      <c r="M513" s="358" t="n">
        <v>0</v>
      </c>
      <c r="N513" s="358" t="n">
        <v>0</v>
      </c>
      <c r="O513" s="372" t="n">
        <v>0</v>
      </c>
      <c r="P513" s="373" t="n">
        <v>0</v>
      </c>
      <c r="Q513" s="358" t="n">
        <v>0</v>
      </c>
      <c r="R513" s="358" t="n">
        <v>0</v>
      </c>
      <c r="S513" s="372" t="n">
        <v>0</v>
      </c>
      <c r="T513" s="373" t="n">
        <v>0</v>
      </c>
      <c r="U513" s="358" t="n">
        <v>0</v>
      </c>
      <c r="V513" s="358" t="n">
        <v>0</v>
      </c>
      <c r="W513" s="372" t="n">
        <v>0</v>
      </c>
      <c r="X513" s="373" t="n">
        <v>0</v>
      </c>
      <c r="Y513" s="358" t="n">
        <v>0</v>
      </c>
      <c r="Z513" s="358" t="n">
        <v>0</v>
      </c>
      <c r="AA513" s="358" t="n">
        <v>0</v>
      </c>
      <c r="AB513" s="373" t="n">
        <v>0</v>
      </c>
      <c r="AC513" s="358" t="n">
        <v>0</v>
      </c>
      <c r="AD513" s="358" t="n">
        <v>0</v>
      </c>
      <c r="AE513" s="358" t="n">
        <v>0</v>
      </c>
      <c r="AF513" s="359" t="n">
        <v>1</v>
      </c>
    </row>
    <row r="514" customFormat="false" ht="15" hidden="true" customHeight="false" outlineLevel="0" collapsed="false">
      <c r="B514" s="360" t="s">
        <v>2990</v>
      </c>
      <c r="C514" s="359" t="n">
        <v>1</v>
      </c>
      <c r="D514" s="358" t="n">
        <v>0</v>
      </c>
      <c r="E514" s="358" t="n">
        <v>0</v>
      </c>
      <c r="F514" s="358" t="n">
        <v>0</v>
      </c>
      <c r="G514" s="372" t="n">
        <v>0</v>
      </c>
      <c r="H514" s="373" t="n">
        <v>0</v>
      </c>
      <c r="I514" s="358" t="n">
        <v>0</v>
      </c>
      <c r="J514" s="358" t="n">
        <v>0</v>
      </c>
      <c r="K514" s="372" t="n">
        <v>0</v>
      </c>
      <c r="L514" s="373" t="n">
        <v>0</v>
      </c>
      <c r="M514" s="358" t="n">
        <v>0</v>
      </c>
      <c r="N514" s="358" t="n">
        <v>0</v>
      </c>
      <c r="O514" s="372" t="n">
        <v>0</v>
      </c>
      <c r="P514" s="373" t="n">
        <v>0</v>
      </c>
      <c r="Q514" s="358" t="n">
        <v>0</v>
      </c>
      <c r="R514" s="358" t="n">
        <v>0</v>
      </c>
      <c r="S514" s="372" t="n">
        <v>0</v>
      </c>
      <c r="T514" s="373" t="n">
        <v>0</v>
      </c>
      <c r="U514" s="358" t="n">
        <v>0</v>
      </c>
      <c r="V514" s="358" t="n">
        <v>0</v>
      </c>
      <c r="W514" s="372" t="n">
        <v>0</v>
      </c>
      <c r="X514" s="373" t="n">
        <v>0</v>
      </c>
      <c r="Y514" s="358" t="n">
        <v>0</v>
      </c>
      <c r="Z514" s="358" t="n">
        <v>0</v>
      </c>
      <c r="AA514" s="358" t="n">
        <v>0</v>
      </c>
      <c r="AB514" s="373" t="n">
        <v>0</v>
      </c>
      <c r="AC514" s="358" t="n">
        <v>0</v>
      </c>
      <c r="AD514" s="358" t="n">
        <v>0</v>
      </c>
      <c r="AE514" s="358" t="n">
        <v>0</v>
      </c>
      <c r="AF514" s="359" t="n">
        <v>1</v>
      </c>
    </row>
    <row r="515" customFormat="false" ht="15" hidden="true" customHeight="false" outlineLevel="0" collapsed="false">
      <c r="B515" s="360" t="s">
        <v>2991</v>
      </c>
      <c r="C515" s="359" t="n">
        <v>1</v>
      </c>
      <c r="D515" s="358" t="n">
        <v>0</v>
      </c>
      <c r="E515" s="358" t="n">
        <v>0</v>
      </c>
      <c r="F515" s="358" t="n">
        <v>0</v>
      </c>
      <c r="G515" s="372" t="n">
        <v>0</v>
      </c>
      <c r="H515" s="373" t="n">
        <v>0</v>
      </c>
      <c r="I515" s="358" t="n">
        <v>0</v>
      </c>
      <c r="J515" s="358" t="n">
        <v>0</v>
      </c>
      <c r="K515" s="372" t="n">
        <v>0</v>
      </c>
      <c r="L515" s="373" t="n">
        <v>0</v>
      </c>
      <c r="M515" s="358" t="n">
        <v>0</v>
      </c>
      <c r="N515" s="358" t="n">
        <v>0</v>
      </c>
      <c r="O515" s="372" t="n">
        <v>0</v>
      </c>
      <c r="P515" s="373" t="n">
        <v>0</v>
      </c>
      <c r="Q515" s="358" t="n">
        <v>0</v>
      </c>
      <c r="R515" s="358" t="n">
        <v>0</v>
      </c>
      <c r="S515" s="372" t="n">
        <v>0</v>
      </c>
      <c r="T515" s="373" t="n">
        <v>0</v>
      </c>
      <c r="U515" s="358" t="n">
        <v>0</v>
      </c>
      <c r="V515" s="358" t="n">
        <v>0</v>
      </c>
      <c r="W515" s="372" t="n">
        <v>0</v>
      </c>
      <c r="X515" s="373" t="n">
        <v>0</v>
      </c>
      <c r="Y515" s="358" t="n">
        <v>0</v>
      </c>
      <c r="Z515" s="358" t="n">
        <v>0</v>
      </c>
      <c r="AA515" s="358" t="n">
        <v>0</v>
      </c>
      <c r="AB515" s="373" t="n">
        <v>0</v>
      </c>
      <c r="AC515" s="358" t="n">
        <v>0</v>
      </c>
      <c r="AD515" s="358" t="n">
        <v>0</v>
      </c>
      <c r="AE515" s="358" t="n">
        <v>0</v>
      </c>
      <c r="AF515" s="359" t="n">
        <v>1</v>
      </c>
    </row>
    <row r="516" customFormat="false" ht="15" hidden="true" customHeight="false" outlineLevel="0" collapsed="false">
      <c r="B516" s="360" t="s">
        <v>2992</v>
      </c>
      <c r="C516" s="359" t="n">
        <v>1</v>
      </c>
      <c r="D516" s="358" t="n">
        <v>0</v>
      </c>
      <c r="E516" s="358" t="n">
        <v>0</v>
      </c>
      <c r="F516" s="358" t="n">
        <v>0</v>
      </c>
      <c r="G516" s="372" t="n">
        <v>0</v>
      </c>
      <c r="H516" s="373" t="n">
        <v>0</v>
      </c>
      <c r="I516" s="358" t="n">
        <v>0</v>
      </c>
      <c r="J516" s="358" t="n">
        <v>0</v>
      </c>
      <c r="K516" s="372" t="n">
        <v>0</v>
      </c>
      <c r="L516" s="373" t="n">
        <v>0</v>
      </c>
      <c r="M516" s="358" t="n">
        <v>0</v>
      </c>
      <c r="N516" s="358" t="n">
        <v>0</v>
      </c>
      <c r="O516" s="372" t="n">
        <v>0</v>
      </c>
      <c r="P516" s="373" t="n">
        <v>0</v>
      </c>
      <c r="Q516" s="358" t="n">
        <v>0</v>
      </c>
      <c r="R516" s="358" t="n">
        <v>0</v>
      </c>
      <c r="S516" s="372" t="n">
        <v>0</v>
      </c>
      <c r="T516" s="373" t="n">
        <v>0</v>
      </c>
      <c r="U516" s="358" t="n">
        <v>0</v>
      </c>
      <c r="V516" s="358" t="n">
        <v>0</v>
      </c>
      <c r="W516" s="372" t="n">
        <v>0</v>
      </c>
      <c r="X516" s="373" t="n">
        <v>0</v>
      </c>
      <c r="Y516" s="358" t="n">
        <v>0</v>
      </c>
      <c r="Z516" s="358" t="n">
        <v>0</v>
      </c>
      <c r="AA516" s="358" t="n">
        <v>0</v>
      </c>
      <c r="AB516" s="373" t="n">
        <v>0</v>
      </c>
      <c r="AC516" s="358" t="n">
        <v>0</v>
      </c>
      <c r="AD516" s="358" t="n">
        <v>0</v>
      </c>
      <c r="AE516" s="358" t="n">
        <v>0</v>
      </c>
      <c r="AF516" s="359" t="n">
        <v>1</v>
      </c>
    </row>
    <row r="517" customFormat="false" ht="15" hidden="true" customHeight="false" outlineLevel="0" collapsed="false">
      <c r="B517" s="360" t="s">
        <v>2993</v>
      </c>
      <c r="C517" s="359" t="n">
        <v>1</v>
      </c>
      <c r="D517" s="358" t="n">
        <v>0</v>
      </c>
      <c r="E517" s="358" t="n">
        <v>0</v>
      </c>
      <c r="F517" s="358" t="n">
        <v>0</v>
      </c>
      <c r="G517" s="372" t="n">
        <v>0</v>
      </c>
      <c r="H517" s="373" t="n">
        <v>0</v>
      </c>
      <c r="I517" s="358" t="n">
        <v>0</v>
      </c>
      <c r="J517" s="358" t="n">
        <v>0</v>
      </c>
      <c r="K517" s="372" t="n">
        <v>0</v>
      </c>
      <c r="L517" s="373" t="n">
        <v>0</v>
      </c>
      <c r="M517" s="358" t="n">
        <v>0</v>
      </c>
      <c r="N517" s="358" t="n">
        <v>0</v>
      </c>
      <c r="O517" s="372" t="n">
        <v>0</v>
      </c>
      <c r="P517" s="373" t="n">
        <v>0</v>
      </c>
      <c r="Q517" s="358" t="n">
        <v>0</v>
      </c>
      <c r="R517" s="358" t="n">
        <v>0</v>
      </c>
      <c r="S517" s="372" t="n">
        <v>0</v>
      </c>
      <c r="T517" s="373" t="n">
        <v>0</v>
      </c>
      <c r="U517" s="358" t="n">
        <v>0</v>
      </c>
      <c r="V517" s="358" t="n">
        <v>0</v>
      </c>
      <c r="W517" s="372" t="n">
        <v>0</v>
      </c>
      <c r="X517" s="373" t="n">
        <v>0</v>
      </c>
      <c r="Y517" s="358" t="n">
        <v>0</v>
      </c>
      <c r="Z517" s="358" t="n">
        <v>0</v>
      </c>
      <c r="AA517" s="358" t="n">
        <v>0</v>
      </c>
      <c r="AB517" s="373" t="n">
        <v>0</v>
      </c>
      <c r="AC517" s="358" t="n">
        <v>0</v>
      </c>
      <c r="AD517" s="358" t="n">
        <v>0</v>
      </c>
      <c r="AE517" s="358" t="n">
        <v>0</v>
      </c>
      <c r="AF517" s="359" t="n">
        <v>1</v>
      </c>
    </row>
    <row r="518" customFormat="false" ht="15" hidden="false" customHeight="false" outlineLevel="0" collapsed="false">
      <c r="B518" s="313" t="s">
        <v>2471</v>
      </c>
      <c r="C518" s="357" t="n">
        <v>16</v>
      </c>
      <c r="D518" s="358" t="n">
        <v>0</v>
      </c>
      <c r="E518" s="358" t="n">
        <v>0</v>
      </c>
      <c r="F518" s="358" t="n">
        <v>0</v>
      </c>
      <c r="G518" s="372" t="n">
        <v>0</v>
      </c>
      <c r="H518" s="373" t="n">
        <v>0</v>
      </c>
      <c r="I518" s="358" t="n">
        <v>0</v>
      </c>
      <c r="J518" s="358" t="n">
        <v>0</v>
      </c>
      <c r="K518" s="372" t="n">
        <v>0</v>
      </c>
      <c r="L518" s="373" t="n">
        <v>0</v>
      </c>
      <c r="M518" s="358" t="n">
        <v>0</v>
      </c>
      <c r="N518" s="358" t="n">
        <v>0</v>
      </c>
      <c r="O518" s="372" t="n">
        <v>0</v>
      </c>
      <c r="P518" s="373" t="n">
        <v>0</v>
      </c>
      <c r="Q518" s="358" t="n">
        <v>0</v>
      </c>
      <c r="R518" s="358" t="n">
        <v>0</v>
      </c>
      <c r="S518" s="372" t="n">
        <v>0</v>
      </c>
      <c r="T518" s="373" t="n">
        <v>0</v>
      </c>
      <c r="U518" s="358" t="n">
        <v>0</v>
      </c>
      <c r="V518" s="358" t="n">
        <v>0</v>
      </c>
      <c r="W518" s="372" t="n">
        <v>0</v>
      </c>
      <c r="X518" s="373" t="n">
        <v>0</v>
      </c>
      <c r="Y518" s="358" t="n">
        <v>0</v>
      </c>
      <c r="Z518" s="358" t="n">
        <v>0</v>
      </c>
      <c r="AA518" s="358" t="n">
        <v>0</v>
      </c>
      <c r="AB518" s="373" t="n">
        <v>0</v>
      </c>
      <c r="AC518" s="358" t="n">
        <v>0</v>
      </c>
      <c r="AD518" s="358" t="n">
        <v>0</v>
      </c>
      <c r="AE518" s="358" t="n">
        <v>0</v>
      </c>
      <c r="AF518" s="357" t="n">
        <v>16</v>
      </c>
    </row>
    <row r="519" customFormat="false" ht="15" hidden="true" customHeight="false" outlineLevel="0" collapsed="false">
      <c r="B519" s="360" t="s">
        <v>2994</v>
      </c>
      <c r="C519" s="359" t="n">
        <v>1</v>
      </c>
      <c r="D519" s="358" t="n">
        <v>0</v>
      </c>
      <c r="E519" s="358" t="n">
        <v>0</v>
      </c>
      <c r="F519" s="358" t="n">
        <v>0</v>
      </c>
      <c r="G519" s="372" t="n">
        <v>0</v>
      </c>
      <c r="H519" s="373" t="n">
        <v>0</v>
      </c>
      <c r="I519" s="358" t="n">
        <v>0</v>
      </c>
      <c r="J519" s="358" t="n">
        <v>0</v>
      </c>
      <c r="K519" s="372" t="n">
        <v>0</v>
      </c>
      <c r="L519" s="373" t="n">
        <v>0</v>
      </c>
      <c r="M519" s="358" t="n">
        <v>0</v>
      </c>
      <c r="N519" s="358" t="n">
        <v>0</v>
      </c>
      <c r="O519" s="372" t="n">
        <v>0</v>
      </c>
      <c r="P519" s="373" t="n">
        <v>0</v>
      </c>
      <c r="Q519" s="358" t="n">
        <v>0</v>
      </c>
      <c r="R519" s="358" t="n">
        <v>0</v>
      </c>
      <c r="S519" s="372" t="n">
        <v>0</v>
      </c>
      <c r="T519" s="373" t="n">
        <v>0</v>
      </c>
      <c r="U519" s="358" t="n">
        <v>0</v>
      </c>
      <c r="V519" s="358" t="n">
        <v>0</v>
      </c>
      <c r="W519" s="372" t="n">
        <v>0</v>
      </c>
      <c r="X519" s="373" t="n">
        <v>0</v>
      </c>
      <c r="Y519" s="358" t="n">
        <v>0</v>
      </c>
      <c r="Z519" s="358" t="n">
        <v>0</v>
      </c>
      <c r="AA519" s="358" t="n">
        <v>0</v>
      </c>
      <c r="AB519" s="373" t="n">
        <v>0</v>
      </c>
      <c r="AC519" s="358" t="n">
        <v>0</v>
      </c>
      <c r="AD519" s="358" t="n">
        <v>0</v>
      </c>
      <c r="AE519" s="358" t="n">
        <v>0</v>
      </c>
      <c r="AF519" s="359" t="n">
        <v>1</v>
      </c>
    </row>
    <row r="520" customFormat="false" ht="15" hidden="true" customHeight="false" outlineLevel="0" collapsed="false">
      <c r="B520" s="360" t="s">
        <v>2995</v>
      </c>
      <c r="C520" s="359" t="n">
        <v>1</v>
      </c>
      <c r="D520" s="358" t="n">
        <v>0</v>
      </c>
      <c r="E520" s="358" t="n">
        <v>0</v>
      </c>
      <c r="F520" s="358" t="n">
        <v>0</v>
      </c>
      <c r="G520" s="372" t="n">
        <v>0</v>
      </c>
      <c r="H520" s="373" t="n">
        <v>0</v>
      </c>
      <c r="I520" s="358" t="n">
        <v>0</v>
      </c>
      <c r="J520" s="358" t="n">
        <v>0</v>
      </c>
      <c r="K520" s="372" t="n">
        <v>0</v>
      </c>
      <c r="L520" s="373" t="n">
        <v>0</v>
      </c>
      <c r="M520" s="358" t="n">
        <v>0</v>
      </c>
      <c r="N520" s="358" t="n">
        <v>0</v>
      </c>
      <c r="O520" s="372" t="n">
        <v>0</v>
      </c>
      <c r="P520" s="373" t="n">
        <v>0</v>
      </c>
      <c r="Q520" s="358" t="n">
        <v>0</v>
      </c>
      <c r="R520" s="358" t="n">
        <v>0</v>
      </c>
      <c r="S520" s="372" t="n">
        <v>0</v>
      </c>
      <c r="T520" s="373" t="n">
        <v>0</v>
      </c>
      <c r="U520" s="358" t="n">
        <v>0</v>
      </c>
      <c r="V520" s="358" t="n">
        <v>0</v>
      </c>
      <c r="W520" s="372" t="n">
        <v>0</v>
      </c>
      <c r="X520" s="373" t="n">
        <v>0</v>
      </c>
      <c r="Y520" s="358" t="n">
        <v>0</v>
      </c>
      <c r="Z520" s="358" t="n">
        <v>0</v>
      </c>
      <c r="AA520" s="358" t="n">
        <v>0</v>
      </c>
      <c r="AB520" s="373" t="n">
        <v>0</v>
      </c>
      <c r="AC520" s="358" t="n">
        <v>0</v>
      </c>
      <c r="AD520" s="358" t="n">
        <v>0</v>
      </c>
      <c r="AE520" s="358" t="n">
        <v>0</v>
      </c>
      <c r="AF520" s="359" t="n">
        <v>1</v>
      </c>
    </row>
    <row r="521" customFormat="false" ht="15" hidden="true" customHeight="false" outlineLevel="0" collapsed="false">
      <c r="B521" s="360" t="s">
        <v>2996</v>
      </c>
      <c r="C521" s="359" t="n">
        <v>1</v>
      </c>
      <c r="D521" s="358" t="n">
        <v>0</v>
      </c>
      <c r="E521" s="358" t="n">
        <v>0</v>
      </c>
      <c r="F521" s="358" t="n">
        <v>0</v>
      </c>
      <c r="G521" s="372" t="n">
        <v>0</v>
      </c>
      <c r="H521" s="373" t="n">
        <v>0</v>
      </c>
      <c r="I521" s="358" t="n">
        <v>0</v>
      </c>
      <c r="J521" s="358" t="n">
        <v>0</v>
      </c>
      <c r="K521" s="372" t="n">
        <v>0</v>
      </c>
      <c r="L521" s="373" t="n">
        <v>0</v>
      </c>
      <c r="M521" s="358" t="n">
        <v>0</v>
      </c>
      <c r="N521" s="358" t="n">
        <v>0</v>
      </c>
      <c r="O521" s="372" t="n">
        <v>0</v>
      </c>
      <c r="P521" s="373" t="n">
        <v>0</v>
      </c>
      <c r="Q521" s="358" t="n">
        <v>0</v>
      </c>
      <c r="R521" s="358" t="n">
        <v>0</v>
      </c>
      <c r="S521" s="372" t="n">
        <v>0</v>
      </c>
      <c r="T521" s="373" t="n">
        <v>0</v>
      </c>
      <c r="U521" s="358" t="n">
        <v>0</v>
      </c>
      <c r="V521" s="358" t="n">
        <v>0</v>
      </c>
      <c r="W521" s="372" t="n">
        <v>0</v>
      </c>
      <c r="X521" s="373" t="n">
        <v>0</v>
      </c>
      <c r="Y521" s="358" t="n">
        <v>0</v>
      </c>
      <c r="Z521" s="358" t="n">
        <v>0</v>
      </c>
      <c r="AA521" s="358" t="n">
        <v>0</v>
      </c>
      <c r="AB521" s="373" t="n">
        <v>0</v>
      </c>
      <c r="AC521" s="358" t="n">
        <v>0</v>
      </c>
      <c r="AD521" s="358" t="n">
        <v>0</v>
      </c>
      <c r="AE521" s="358" t="n">
        <v>0</v>
      </c>
      <c r="AF521" s="359" t="n">
        <v>1</v>
      </c>
    </row>
    <row r="522" customFormat="false" ht="15" hidden="true" customHeight="false" outlineLevel="0" collapsed="false">
      <c r="B522" s="360" t="s">
        <v>2997</v>
      </c>
      <c r="C522" s="359" t="n">
        <v>1</v>
      </c>
      <c r="D522" s="358" t="n">
        <v>0</v>
      </c>
      <c r="E522" s="358" t="n">
        <v>0</v>
      </c>
      <c r="F522" s="358" t="n">
        <v>0</v>
      </c>
      <c r="G522" s="372" t="n">
        <v>0</v>
      </c>
      <c r="H522" s="373" t="n">
        <v>0</v>
      </c>
      <c r="I522" s="358" t="n">
        <v>0</v>
      </c>
      <c r="J522" s="358" t="n">
        <v>0</v>
      </c>
      <c r="K522" s="372" t="n">
        <v>0</v>
      </c>
      <c r="L522" s="373" t="n">
        <v>0</v>
      </c>
      <c r="M522" s="358" t="n">
        <v>0</v>
      </c>
      <c r="N522" s="358" t="n">
        <v>0</v>
      </c>
      <c r="O522" s="372" t="n">
        <v>0</v>
      </c>
      <c r="P522" s="373" t="n">
        <v>0</v>
      </c>
      <c r="Q522" s="358" t="n">
        <v>0</v>
      </c>
      <c r="R522" s="358" t="n">
        <v>0</v>
      </c>
      <c r="S522" s="372" t="n">
        <v>0</v>
      </c>
      <c r="T522" s="373" t="n">
        <v>0</v>
      </c>
      <c r="U522" s="358" t="n">
        <v>0</v>
      </c>
      <c r="V522" s="358" t="n">
        <v>0</v>
      </c>
      <c r="W522" s="372" t="n">
        <v>0</v>
      </c>
      <c r="X522" s="373" t="n">
        <v>0</v>
      </c>
      <c r="Y522" s="358" t="n">
        <v>0</v>
      </c>
      <c r="Z522" s="358" t="n">
        <v>0</v>
      </c>
      <c r="AA522" s="358" t="n">
        <v>0</v>
      </c>
      <c r="AB522" s="373" t="n">
        <v>0</v>
      </c>
      <c r="AC522" s="358" t="n">
        <v>0</v>
      </c>
      <c r="AD522" s="358" t="n">
        <v>0</v>
      </c>
      <c r="AE522" s="358" t="n">
        <v>0</v>
      </c>
      <c r="AF522" s="359" t="n">
        <v>1</v>
      </c>
    </row>
    <row r="523" customFormat="false" ht="15" hidden="true" customHeight="false" outlineLevel="0" collapsed="false">
      <c r="B523" s="360" t="s">
        <v>2998</v>
      </c>
      <c r="C523" s="359" t="n">
        <v>1</v>
      </c>
      <c r="D523" s="358" t="n">
        <v>0</v>
      </c>
      <c r="E523" s="358" t="n">
        <v>0</v>
      </c>
      <c r="F523" s="358" t="n">
        <v>0</v>
      </c>
      <c r="G523" s="372" t="n">
        <v>0</v>
      </c>
      <c r="H523" s="373" t="n">
        <v>0</v>
      </c>
      <c r="I523" s="358" t="n">
        <v>0</v>
      </c>
      <c r="J523" s="358" t="n">
        <v>0</v>
      </c>
      <c r="K523" s="372" t="n">
        <v>0</v>
      </c>
      <c r="L523" s="373" t="n">
        <v>0</v>
      </c>
      <c r="M523" s="358" t="n">
        <v>0</v>
      </c>
      <c r="N523" s="358" t="n">
        <v>0</v>
      </c>
      <c r="O523" s="372" t="n">
        <v>0</v>
      </c>
      <c r="P523" s="373" t="n">
        <v>0</v>
      </c>
      <c r="Q523" s="358" t="n">
        <v>0</v>
      </c>
      <c r="R523" s="358" t="n">
        <v>0</v>
      </c>
      <c r="S523" s="372" t="n">
        <v>0</v>
      </c>
      <c r="T523" s="373" t="n">
        <v>0</v>
      </c>
      <c r="U523" s="358" t="n">
        <v>0</v>
      </c>
      <c r="V523" s="358" t="n">
        <v>0</v>
      </c>
      <c r="W523" s="372" t="n">
        <v>0</v>
      </c>
      <c r="X523" s="373" t="n">
        <v>0</v>
      </c>
      <c r="Y523" s="358" t="n">
        <v>0</v>
      </c>
      <c r="Z523" s="358" t="n">
        <v>0</v>
      </c>
      <c r="AA523" s="358" t="n">
        <v>0</v>
      </c>
      <c r="AB523" s="373" t="n">
        <v>0</v>
      </c>
      <c r="AC523" s="358" t="n">
        <v>0</v>
      </c>
      <c r="AD523" s="358" t="n">
        <v>0</v>
      </c>
      <c r="AE523" s="358" t="n">
        <v>0</v>
      </c>
      <c r="AF523" s="359" t="n">
        <v>1</v>
      </c>
    </row>
    <row r="524" customFormat="false" ht="15" hidden="true" customHeight="false" outlineLevel="0" collapsed="false">
      <c r="B524" s="360" t="s">
        <v>2999</v>
      </c>
      <c r="C524" s="359" t="n">
        <v>1</v>
      </c>
      <c r="D524" s="358" t="n">
        <v>0</v>
      </c>
      <c r="E524" s="358" t="n">
        <v>0</v>
      </c>
      <c r="F524" s="358" t="n">
        <v>0</v>
      </c>
      <c r="G524" s="372" t="n">
        <v>0</v>
      </c>
      <c r="H524" s="373" t="n">
        <v>0</v>
      </c>
      <c r="I524" s="358" t="n">
        <v>0</v>
      </c>
      <c r="J524" s="358" t="n">
        <v>0</v>
      </c>
      <c r="K524" s="372" t="n">
        <v>0</v>
      </c>
      <c r="L524" s="373" t="n">
        <v>0</v>
      </c>
      <c r="M524" s="358" t="n">
        <v>0</v>
      </c>
      <c r="N524" s="358" t="n">
        <v>0</v>
      </c>
      <c r="O524" s="372" t="n">
        <v>0</v>
      </c>
      <c r="P524" s="373" t="n">
        <v>0</v>
      </c>
      <c r="Q524" s="358" t="n">
        <v>0</v>
      </c>
      <c r="R524" s="358" t="n">
        <v>0</v>
      </c>
      <c r="S524" s="372" t="n">
        <v>0</v>
      </c>
      <c r="T524" s="373" t="n">
        <v>0</v>
      </c>
      <c r="U524" s="358" t="n">
        <v>0</v>
      </c>
      <c r="V524" s="358" t="n">
        <v>0</v>
      </c>
      <c r="W524" s="372" t="n">
        <v>0</v>
      </c>
      <c r="X524" s="373" t="n">
        <v>0</v>
      </c>
      <c r="Y524" s="358" t="n">
        <v>0</v>
      </c>
      <c r="Z524" s="358" t="n">
        <v>0</v>
      </c>
      <c r="AA524" s="358" t="n">
        <v>0</v>
      </c>
      <c r="AB524" s="373" t="n">
        <v>0</v>
      </c>
      <c r="AC524" s="358" t="n">
        <v>0</v>
      </c>
      <c r="AD524" s="358" t="n">
        <v>0</v>
      </c>
      <c r="AE524" s="358" t="n">
        <v>0</v>
      </c>
      <c r="AF524" s="359" t="n">
        <v>1</v>
      </c>
    </row>
    <row r="525" customFormat="false" ht="15" hidden="true" customHeight="false" outlineLevel="0" collapsed="false">
      <c r="B525" s="360" t="s">
        <v>3000</v>
      </c>
      <c r="C525" s="359" t="n">
        <v>1</v>
      </c>
      <c r="D525" s="358" t="n">
        <v>0</v>
      </c>
      <c r="E525" s="358" t="n">
        <v>0</v>
      </c>
      <c r="F525" s="358" t="n">
        <v>0</v>
      </c>
      <c r="G525" s="372" t="n">
        <v>0</v>
      </c>
      <c r="H525" s="373" t="n">
        <v>0</v>
      </c>
      <c r="I525" s="358" t="n">
        <v>0</v>
      </c>
      <c r="J525" s="358" t="n">
        <v>0</v>
      </c>
      <c r="K525" s="372" t="n">
        <v>0</v>
      </c>
      <c r="L525" s="373" t="n">
        <v>0</v>
      </c>
      <c r="M525" s="358" t="n">
        <v>0</v>
      </c>
      <c r="N525" s="358" t="n">
        <v>0</v>
      </c>
      <c r="O525" s="372" t="n">
        <v>0</v>
      </c>
      <c r="P525" s="373" t="n">
        <v>0</v>
      </c>
      <c r="Q525" s="358" t="n">
        <v>0</v>
      </c>
      <c r="R525" s="358" t="n">
        <v>0</v>
      </c>
      <c r="S525" s="372" t="n">
        <v>0</v>
      </c>
      <c r="T525" s="373" t="n">
        <v>0</v>
      </c>
      <c r="U525" s="358" t="n">
        <v>0</v>
      </c>
      <c r="V525" s="358" t="n">
        <v>0</v>
      </c>
      <c r="W525" s="372" t="n">
        <v>0</v>
      </c>
      <c r="X525" s="373" t="n">
        <v>0</v>
      </c>
      <c r="Y525" s="358" t="n">
        <v>0</v>
      </c>
      <c r="Z525" s="358" t="n">
        <v>0</v>
      </c>
      <c r="AA525" s="358" t="n">
        <v>0</v>
      </c>
      <c r="AB525" s="373" t="n">
        <v>0</v>
      </c>
      <c r="AC525" s="358" t="n">
        <v>0</v>
      </c>
      <c r="AD525" s="358" t="n">
        <v>0</v>
      </c>
      <c r="AE525" s="358" t="n">
        <v>0</v>
      </c>
      <c r="AF525" s="359" t="n">
        <v>1</v>
      </c>
    </row>
    <row r="526" customFormat="false" ht="15" hidden="true" customHeight="false" outlineLevel="0" collapsed="false">
      <c r="B526" s="360" t="s">
        <v>3001</v>
      </c>
      <c r="C526" s="359" t="n">
        <v>1</v>
      </c>
      <c r="D526" s="358" t="n">
        <v>0</v>
      </c>
      <c r="E526" s="358" t="n">
        <v>0</v>
      </c>
      <c r="F526" s="358" t="n">
        <v>0</v>
      </c>
      <c r="G526" s="372" t="n">
        <v>0</v>
      </c>
      <c r="H526" s="373" t="n">
        <v>0</v>
      </c>
      <c r="I526" s="358" t="n">
        <v>0</v>
      </c>
      <c r="J526" s="358" t="n">
        <v>0</v>
      </c>
      <c r="K526" s="372" t="n">
        <v>0</v>
      </c>
      <c r="L526" s="373" t="n">
        <v>0</v>
      </c>
      <c r="M526" s="358" t="n">
        <v>0</v>
      </c>
      <c r="N526" s="358" t="n">
        <v>0</v>
      </c>
      <c r="O526" s="372" t="n">
        <v>0</v>
      </c>
      <c r="P526" s="373" t="n">
        <v>0</v>
      </c>
      <c r="Q526" s="358" t="n">
        <v>0</v>
      </c>
      <c r="R526" s="358" t="n">
        <v>0</v>
      </c>
      <c r="S526" s="372" t="n">
        <v>0</v>
      </c>
      <c r="T526" s="373" t="n">
        <v>0</v>
      </c>
      <c r="U526" s="358" t="n">
        <v>0</v>
      </c>
      <c r="V526" s="358" t="n">
        <v>0</v>
      </c>
      <c r="W526" s="372" t="n">
        <v>0</v>
      </c>
      <c r="X526" s="373" t="n">
        <v>0</v>
      </c>
      <c r="Y526" s="358" t="n">
        <v>0</v>
      </c>
      <c r="Z526" s="358" t="n">
        <v>0</v>
      </c>
      <c r="AA526" s="358" t="n">
        <v>0</v>
      </c>
      <c r="AB526" s="373" t="n">
        <v>0</v>
      </c>
      <c r="AC526" s="358" t="n">
        <v>0</v>
      </c>
      <c r="AD526" s="358" t="n">
        <v>0</v>
      </c>
      <c r="AE526" s="358" t="n">
        <v>0</v>
      </c>
      <c r="AF526" s="359" t="n">
        <v>1</v>
      </c>
    </row>
    <row r="527" customFormat="false" ht="15" hidden="true" customHeight="false" outlineLevel="0" collapsed="false">
      <c r="B527" s="360" t="s">
        <v>3002</v>
      </c>
      <c r="C527" s="359" t="n">
        <v>1</v>
      </c>
      <c r="D527" s="358" t="n">
        <v>0</v>
      </c>
      <c r="E527" s="358" t="n">
        <v>0</v>
      </c>
      <c r="F527" s="358" t="n">
        <v>0</v>
      </c>
      <c r="G527" s="372" t="n">
        <v>0</v>
      </c>
      <c r="H527" s="373" t="n">
        <v>0</v>
      </c>
      <c r="I527" s="358" t="n">
        <v>0</v>
      </c>
      <c r="J527" s="358" t="n">
        <v>0</v>
      </c>
      <c r="K527" s="372" t="n">
        <v>0</v>
      </c>
      <c r="L527" s="373" t="n">
        <v>0</v>
      </c>
      <c r="M527" s="358" t="n">
        <v>0</v>
      </c>
      <c r="N527" s="358" t="n">
        <v>0</v>
      </c>
      <c r="O527" s="372" t="n">
        <v>0</v>
      </c>
      <c r="P527" s="373" t="n">
        <v>0</v>
      </c>
      <c r="Q527" s="358" t="n">
        <v>0</v>
      </c>
      <c r="R527" s="358" t="n">
        <v>0</v>
      </c>
      <c r="S527" s="372" t="n">
        <v>0</v>
      </c>
      <c r="T527" s="373" t="n">
        <v>0</v>
      </c>
      <c r="U527" s="358" t="n">
        <v>0</v>
      </c>
      <c r="V527" s="358" t="n">
        <v>0</v>
      </c>
      <c r="W527" s="372" t="n">
        <v>0</v>
      </c>
      <c r="X527" s="373" t="n">
        <v>0</v>
      </c>
      <c r="Y527" s="358" t="n">
        <v>0</v>
      </c>
      <c r="Z527" s="358" t="n">
        <v>0</v>
      </c>
      <c r="AA527" s="358" t="n">
        <v>0</v>
      </c>
      <c r="AB527" s="373" t="n">
        <v>0</v>
      </c>
      <c r="AC527" s="358" t="n">
        <v>0</v>
      </c>
      <c r="AD527" s="358" t="n">
        <v>0</v>
      </c>
      <c r="AE527" s="358" t="n">
        <v>0</v>
      </c>
      <c r="AF527" s="359" t="n">
        <v>1</v>
      </c>
    </row>
    <row r="528" customFormat="false" ht="15" hidden="true" customHeight="false" outlineLevel="0" collapsed="false">
      <c r="B528" s="360" t="s">
        <v>3003</v>
      </c>
      <c r="C528" s="359" t="n">
        <v>1</v>
      </c>
      <c r="D528" s="358" t="n">
        <v>0</v>
      </c>
      <c r="E528" s="358" t="n">
        <v>0</v>
      </c>
      <c r="F528" s="358" t="n">
        <v>0</v>
      </c>
      <c r="G528" s="372" t="n">
        <v>0</v>
      </c>
      <c r="H528" s="373" t="n">
        <v>0</v>
      </c>
      <c r="I528" s="358" t="n">
        <v>0</v>
      </c>
      <c r="J528" s="358" t="n">
        <v>0</v>
      </c>
      <c r="K528" s="372" t="n">
        <v>0</v>
      </c>
      <c r="L528" s="373" t="n">
        <v>0</v>
      </c>
      <c r="M528" s="358" t="n">
        <v>0</v>
      </c>
      <c r="N528" s="358" t="n">
        <v>0</v>
      </c>
      <c r="O528" s="372" t="n">
        <v>0</v>
      </c>
      <c r="P528" s="373" t="n">
        <v>0</v>
      </c>
      <c r="Q528" s="358" t="n">
        <v>0</v>
      </c>
      <c r="R528" s="358" t="n">
        <v>0</v>
      </c>
      <c r="S528" s="372" t="n">
        <v>0</v>
      </c>
      <c r="T528" s="373" t="n">
        <v>0</v>
      </c>
      <c r="U528" s="358" t="n">
        <v>0</v>
      </c>
      <c r="V528" s="358" t="n">
        <v>0</v>
      </c>
      <c r="W528" s="372" t="n">
        <v>0</v>
      </c>
      <c r="X528" s="373" t="n">
        <v>0</v>
      </c>
      <c r="Y528" s="358" t="n">
        <v>0</v>
      </c>
      <c r="Z528" s="358" t="n">
        <v>0</v>
      </c>
      <c r="AA528" s="358" t="n">
        <v>0</v>
      </c>
      <c r="AB528" s="373" t="n">
        <v>0</v>
      </c>
      <c r="AC528" s="358" t="n">
        <v>0</v>
      </c>
      <c r="AD528" s="358" t="n">
        <v>0</v>
      </c>
      <c r="AE528" s="358" t="n">
        <v>0</v>
      </c>
      <c r="AF528" s="359" t="n">
        <v>1</v>
      </c>
    </row>
    <row r="529" customFormat="false" ht="15" hidden="true" customHeight="false" outlineLevel="0" collapsed="false">
      <c r="B529" s="360" t="s">
        <v>3004</v>
      </c>
      <c r="C529" s="359" t="n">
        <v>1</v>
      </c>
      <c r="D529" s="358" t="n">
        <v>0</v>
      </c>
      <c r="E529" s="358" t="n">
        <v>0</v>
      </c>
      <c r="F529" s="358" t="n">
        <v>0</v>
      </c>
      <c r="G529" s="372" t="n">
        <v>0</v>
      </c>
      <c r="H529" s="373" t="n">
        <v>0</v>
      </c>
      <c r="I529" s="358" t="n">
        <v>0</v>
      </c>
      <c r="J529" s="358" t="n">
        <v>0</v>
      </c>
      <c r="K529" s="372" t="n">
        <v>0</v>
      </c>
      <c r="L529" s="373" t="n">
        <v>0</v>
      </c>
      <c r="M529" s="358" t="n">
        <v>0</v>
      </c>
      <c r="N529" s="358" t="n">
        <v>0</v>
      </c>
      <c r="O529" s="372" t="n">
        <v>0</v>
      </c>
      <c r="P529" s="373" t="n">
        <v>0</v>
      </c>
      <c r="Q529" s="358" t="n">
        <v>0</v>
      </c>
      <c r="R529" s="358" t="n">
        <v>0</v>
      </c>
      <c r="S529" s="372" t="n">
        <v>0</v>
      </c>
      <c r="T529" s="373" t="n">
        <v>0</v>
      </c>
      <c r="U529" s="358" t="n">
        <v>0</v>
      </c>
      <c r="V529" s="358" t="n">
        <v>0</v>
      </c>
      <c r="W529" s="372" t="n">
        <v>0</v>
      </c>
      <c r="X529" s="373" t="n">
        <v>0</v>
      </c>
      <c r="Y529" s="358" t="n">
        <v>0</v>
      </c>
      <c r="Z529" s="358" t="n">
        <v>0</v>
      </c>
      <c r="AA529" s="358" t="n">
        <v>0</v>
      </c>
      <c r="AB529" s="373" t="n">
        <v>0</v>
      </c>
      <c r="AC529" s="358" t="n">
        <v>0</v>
      </c>
      <c r="AD529" s="358" t="n">
        <v>0</v>
      </c>
      <c r="AE529" s="358" t="n">
        <v>0</v>
      </c>
      <c r="AF529" s="359" t="n">
        <v>1</v>
      </c>
    </row>
    <row r="530" customFormat="false" ht="15" hidden="true" customHeight="false" outlineLevel="0" collapsed="false">
      <c r="B530" s="360" t="s">
        <v>3005</v>
      </c>
      <c r="C530" s="359" t="n">
        <v>1</v>
      </c>
      <c r="D530" s="358" t="n">
        <v>0</v>
      </c>
      <c r="E530" s="358" t="n">
        <v>0</v>
      </c>
      <c r="F530" s="358" t="n">
        <v>0</v>
      </c>
      <c r="G530" s="372" t="n">
        <v>0</v>
      </c>
      <c r="H530" s="373" t="n">
        <v>0</v>
      </c>
      <c r="I530" s="358" t="n">
        <v>0</v>
      </c>
      <c r="J530" s="358" t="n">
        <v>0</v>
      </c>
      <c r="K530" s="372" t="n">
        <v>0</v>
      </c>
      <c r="L530" s="373" t="n">
        <v>0</v>
      </c>
      <c r="M530" s="358" t="n">
        <v>0</v>
      </c>
      <c r="N530" s="358" t="n">
        <v>0</v>
      </c>
      <c r="O530" s="372" t="n">
        <v>0</v>
      </c>
      <c r="P530" s="373" t="n">
        <v>0</v>
      </c>
      <c r="Q530" s="358" t="n">
        <v>0</v>
      </c>
      <c r="R530" s="358" t="n">
        <v>0</v>
      </c>
      <c r="S530" s="372" t="n">
        <v>0</v>
      </c>
      <c r="T530" s="373" t="n">
        <v>0</v>
      </c>
      <c r="U530" s="358" t="n">
        <v>0</v>
      </c>
      <c r="V530" s="358" t="n">
        <v>0</v>
      </c>
      <c r="W530" s="372" t="n">
        <v>0</v>
      </c>
      <c r="X530" s="373" t="n">
        <v>0</v>
      </c>
      <c r="Y530" s="358" t="n">
        <v>0</v>
      </c>
      <c r="Z530" s="358" t="n">
        <v>0</v>
      </c>
      <c r="AA530" s="358" t="n">
        <v>0</v>
      </c>
      <c r="AB530" s="373" t="n">
        <v>0</v>
      </c>
      <c r="AC530" s="358" t="n">
        <v>0</v>
      </c>
      <c r="AD530" s="358" t="n">
        <v>0</v>
      </c>
      <c r="AE530" s="358" t="n">
        <v>0</v>
      </c>
      <c r="AF530" s="359" t="n">
        <v>1</v>
      </c>
    </row>
    <row r="531" customFormat="false" ht="15" hidden="true" customHeight="false" outlineLevel="0" collapsed="false">
      <c r="B531" s="360" t="s">
        <v>3006</v>
      </c>
      <c r="C531" s="359" t="n">
        <v>1</v>
      </c>
      <c r="D531" s="358" t="n">
        <v>0</v>
      </c>
      <c r="E531" s="358" t="n">
        <v>0</v>
      </c>
      <c r="F531" s="358" t="n">
        <v>0</v>
      </c>
      <c r="G531" s="372" t="n">
        <v>0</v>
      </c>
      <c r="H531" s="373" t="n">
        <v>0</v>
      </c>
      <c r="I531" s="358" t="n">
        <v>0</v>
      </c>
      <c r="J531" s="358" t="n">
        <v>0</v>
      </c>
      <c r="K531" s="372" t="n">
        <v>0</v>
      </c>
      <c r="L531" s="373" t="n">
        <v>0</v>
      </c>
      <c r="M531" s="358" t="n">
        <v>0</v>
      </c>
      <c r="N531" s="358" t="n">
        <v>0</v>
      </c>
      <c r="O531" s="372" t="n">
        <v>0</v>
      </c>
      <c r="P531" s="373" t="n">
        <v>0</v>
      </c>
      <c r="Q531" s="358" t="n">
        <v>0</v>
      </c>
      <c r="R531" s="358" t="n">
        <v>0</v>
      </c>
      <c r="S531" s="372" t="n">
        <v>0</v>
      </c>
      <c r="T531" s="373" t="n">
        <v>0</v>
      </c>
      <c r="U531" s="358" t="n">
        <v>0</v>
      </c>
      <c r="V531" s="358" t="n">
        <v>0</v>
      </c>
      <c r="W531" s="372" t="n">
        <v>0</v>
      </c>
      <c r="X531" s="373" t="n">
        <v>0</v>
      </c>
      <c r="Y531" s="358" t="n">
        <v>0</v>
      </c>
      <c r="Z531" s="358" t="n">
        <v>0</v>
      </c>
      <c r="AA531" s="358" t="n">
        <v>0</v>
      </c>
      <c r="AB531" s="373" t="n">
        <v>0</v>
      </c>
      <c r="AC531" s="358" t="n">
        <v>0</v>
      </c>
      <c r="AD531" s="358" t="n">
        <v>0</v>
      </c>
      <c r="AE531" s="358" t="n">
        <v>0</v>
      </c>
      <c r="AF531" s="359" t="n">
        <v>1</v>
      </c>
    </row>
    <row r="532" customFormat="false" ht="15" hidden="true" customHeight="false" outlineLevel="0" collapsed="false">
      <c r="B532" s="360" t="s">
        <v>3007</v>
      </c>
      <c r="C532" s="359" t="n">
        <v>1</v>
      </c>
      <c r="D532" s="358" t="n">
        <v>0</v>
      </c>
      <c r="E532" s="358" t="n">
        <v>0</v>
      </c>
      <c r="F532" s="358" t="n">
        <v>0</v>
      </c>
      <c r="G532" s="372" t="n">
        <v>0</v>
      </c>
      <c r="H532" s="373" t="n">
        <v>0</v>
      </c>
      <c r="I532" s="358" t="n">
        <v>0</v>
      </c>
      <c r="J532" s="358" t="n">
        <v>0</v>
      </c>
      <c r="K532" s="372" t="n">
        <v>0</v>
      </c>
      <c r="L532" s="373" t="n">
        <v>0</v>
      </c>
      <c r="M532" s="358" t="n">
        <v>0</v>
      </c>
      <c r="N532" s="358" t="n">
        <v>0</v>
      </c>
      <c r="O532" s="372" t="n">
        <v>0</v>
      </c>
      <c r="P532" s="373" t="n">
        <v>0</v>
      </c>
      <c r="Q532" s="358" t="n">
        <v>0</v>
      </c>
      <c r="R532" s="358" t="n">
        <v>0</v>
      </c>
      <c r="S532" s="372" t="n">
        <v>0</v>
      </c>
      <c r="T532" s="373" t="n">
        <v>0</v>
      </c>
      <c r="U532" s="358" t="n">
        <v>0</v>
      </c>
      <c r="V532" s="358" t="n">
        <v>0</v>
      </c>
      <c r="W532" s="372" t="n">
        <v>0</v>
      </c>
      <c r="X532" s="373" t="n">
        <v>0</v>
      </c>
      <c r="Y532" s="358" t="n">
        <v>0</v>
      </c>
      <c r="Z532" s="358" t="n">
        <v>0</v>
      </c>
      <c r="AA532" s="358" t="n">
        <v>0</v>
      </c>
      <c r="AB532" s="373" t="n">
        <v>0</v>
      </c>
      <c r="AC532" s="358" t="n">
        <v>0</v>
      </c>
      <c r="AD532" s="358" t="n">
        <v>0</v>
      </c>
      <c r="AE532" s="358" t="n">
        <v>0</v>
      </c>
      <c r="AF532" s="359" t="n">
        <v>1</v>
      </c>
    </row>
    <row r="533" customFormat="false" ht="15" hidden="true" customHeight="false" outlineLevel="0" collapsed="false">
      <c r="B533" s="360" t="s">
        <v>3008</v>
      </c>
      <c r="C533" s="359" t="n">
        <v>1</v>
      </c>
      <c r="D533" s="358" t="n">
        <v>0</v>
      </c>
      <c r="E533" s="358" t="n">
        <v>0</v>
      </c>
      <c r="F533" s="358" t="n">
        <v>0</v>
      </c>
      <c r="G533" s="372" t="n">
        <v>0</v>
      </c>
      <c r="H533" s="373" t="n">
        <v>0</v>
      </c>
      <c r="I533" s="358" t="n">
        <v>0</v>
      </c>
      <c r="J533" s="358" t="n">
        <v>0</v>
      </c>
      <c r="K533" s="372" t="n">
        <v>0</v>
      </c>
      <c r="L533" s="373" t="n">
        <v>0</v>
      </c>
      <c r="M533" s="358" t="n">
        <v>0</v>
      </c>
      <c r="N533" s="358" t="n">
        <v>0</v>
      </c>
      <c r="O533" s="372" t="n">
        <v>0</v>
      </c>
      <c r="P533" s="373" t="n">
        <v>0</v>
      </c>
      <c r="Q533" s="358" t="n">
        <v>0</v>
      </c>
      <c r="R533" s="358" t="n">
        <v>0</v>
      </c>
      <c r="S533" s="372" t="n">
        <v>0</v>
      </c>
      <c r="T533" s="373" t="n">
        <v>0</v>
      </c>
      <c r="U533" s="358" t="n">
        <v>0</v>
      </c>
      <c r="V533" s="358" t="n">
        <v>0</v>
      </c>
      <c r="W533" s="372" t="n">
        <v>0</v>
      </c>
      <c r="X533" s="373" t="n">
        <v>0</v>
      </c>
      <c r="Y533" s="358" t="n">
        <v>0</v>
      </c>
      <c r="Z533" s="358" t="n">
        <v>0</v>
      </c>
      <c r="AA533" s="358" t="n">
        <v>0</v>
      </c>
      <c r="AB533" s="373" t="n">
        <v>0</v>
      </c>
      <c r="AC533" s="358" t="n">
        <v>0</v>
      </c>
      <c r="AD533" s="358" t="n">
        <v>0</v>
      </c>
      <c r="AE533" s="358" t="n">
        <v>0</v>
      </c>
      <c r="AF533" s="359" t="n">
        <v>1</v>
      </c>
    </row>
    <row r="534" customFormat="false" ht="15" hidden="true" customHeight="false" outlineLevel="0" collapsed="false">
      <c r="B534" s="360" t="s">
        <v>3009</v>
      </c>
      <c r="C534" s="359" t="n">
        <v>1</v>
      </c>
      <c r="D534" s="358" t="n">
        <v>0</v>
      </c>
      <c r="E534" s="358" t="n">
        <v>0</v>
      </c>
      <c r="F534" s="358" t="n">
        <v>0</v>
      </c>
      <c r="G534" s="372" t="n">
        <v>0</v>
      </c>
      <c r="H534" s="373" t="n">
        <v>0</v>
      </c>
      <c r="I534" s="358" t="n">
        <v>0</v>
      </c>
      <c r="J534" s="358" t="n">
        <v>0</v>
      </c>
      <c r="K534" s="372" t="n">
        <v>0</v>
      </c>
      <c r="L534" s="373" t="n">
        <v>0</v>
      </c>
      <c r="M534" s="358" t="n">
        <v>0</v>
      </c>
      <c r="N534" s="358" t="n">
        <v>0</v>
      </c>
      <c r="O534" s="372" t="n">
        <v>0</v>
      </c>
      <c r="P534" s="373" t="n">
        <v>0</v>
      </c>
      <c r="Q534" s="358" t="n">
        <v>0</v>
      </c>
      <c r="R534" s="358" t="n">
        <v>0</v>
      </c>
      <c r="S534" s="372" t="n">
        <v>0</v>
      </c>
      <c r="T534" s="373" t="n">
        <v>0</v>
      </c>
      <c r="U534" s="358" t="n">
        <v>0</v>
      </c>
      <c r="V534" s="358" t="n">
        <v>0</v>
      </c>
      <c r="W534" s="372" t="n">
        <v>0</v>
      </c>
      <c r="X534" s="373" t="n">
        <v>0</v>
      </c>
      <c r="Y534" s="358" t="n">
        <v>0</v>
      </c>
      <c r="Z534" s="358" t="n">
        <v>0</v>
      </c>
      <c r="AA534" s="358" t="n">
        <v>0</v>
      </c>
      <c r="AB534" s="373" t="n">
        <v>0</v>
      </c>
      <c r="AC534" s="358" t="n">
        <v>0</v>
      </c>
      <c r="AD534" s="358" t="n">
        <v>0</v>
      </c>
      <c r="AE534" s="358" t="n">
        <v>0</v>
      </c>
      <c r="AF534" s="359" t="n">
        <v>1</v>
      </c>
    </row>
    <row r="535" customFormat="false" ht="15" hidden="false" customHeight="false" outlineLevel="0" collapsed="false">
      <c r="B535" s="313" t="s">
        <v>1859</v>
      </c>
      <c r="C535" s="357" t="n">
        <v>234</v>
      </c>
      <c r="D535" s="358" t="n">
        <v>4</v>
      </c>
      <c r="E535" s="358" t="n">
        <v>0</v>
      </c>
      <c r="F535" s="358" t="n">
        <v>0</v>
      </c>
      <c r="G535" s="372" t="n">
        <v>0</v>
      </c>
      <c r="H535" s="373" t="n">
        <v>0</v>
      </c>
      <c r="I535" s="358" t="n">
        <v>0</v>
      </c>
      <c r="J535" s="358" t="n">
        <v>0</v>
      </c>
      <c r="K535" s="372" t="n">
        <v>0</v>
      </c>
      <c r="L535" s="373" t="n">
        <v>0</v>
      </c>
      <c r="M535" s="358" t="n">
        <v>0</v>
      </c>
      <c r="N535" s="358" t="n">
        <v>0</v>
      </c>
      <c r="O535" s="372" t="n">
        <v>0</v>
      </c>
      <c r="P535" s="373" t="n">
        <v>0</v>
      </c>
      <c r="Q535" s="358" t="n">
        <v>0</v>
      </c>
      <c r="R535" s="358" t="n">
        <v>0</v>
      </c>
      <c r="S535" s="372" t="n">
        <v>0</v>
      </c>
      <c r="T535" s="373" t="n">
        <v>0</v>
      </c>
      <c r="U535" s="358" t="n">
        <v>0</v>
      </c>
      <c r="V535" s="358" t="n">
        <v>0</v>
      </c>
      <c r="W535" s="372" t="n">
        <v>0</v>
      </c>
      <c r="X535" s="373" t="n">
        <v>0</v>
      </c>
      <c r="Y535" s="358" t="n">
        <v>0</v>
      </c>
      <c r="Z535" s="358" t="n">
        <v>0</v>
      </c>
      <c r="AA535" s="358" t="n">
        <v>0</v>
      </c>
      <c r="AB535" s="373" t="n">
        <v>4</v>
      </c>
      <c r="AC535" s="358" t="n">
        <v>0</v>
      </c>
      <c r="AD535" s="358" t="n">
        <v>0</v>
      </c>
      <c r="AE535" s="358" t="n">
        <v>0</v>
      </c>
      <c r="AF535" s="357" t="n">
        <v>238</v>
      </c>
    </row>
    <row r="536" customFormat="false" ht="15" hidden="false" customHeight="false" outlineLevel="0" collapsed="false">
      <c r="B536" s="364" t="s">
        <v>1859</v>
      </c>
      <c r="C536" s="365" t="n">
        <v>200</v>
      </c>
      <c r="D536" s="358" t="n">
        <v>3</v>
      </c>
      <c r="E536" s="358" t="n">
        <v>0</v>
      </c>
      <c r="F536" s="358" t="n">
        <v>0</v>
      </c>
      <c r="G536" s="372" t="n">
        <v>0</v>
      </c>
      <c r="H536" s="373" t="n">
        <v>0</v>
      </c>
      <c r="I536" s="358" t="n">
        <v>0</v>
      </c>
      <c r="J536" s="358" t="n">
        <v>0</v>
      </c>
      <c r="K536" s="372" t="n">
        <v>0</v>
      </c>
      <c r="L536" s="373" t="n">
        <v>0</v>
      </c>
      <c r="M536" s="358" t="n">
        <v>0</v>
      </c>
      <c r="N536" s="358" t="n">
        <v>0</v>
      </c>
      <c r="O536" s="372" t="n">
        <v>0</v>
      </c>
      <c r="P536" s="373" t="n">
        <v>0</v>
      </c>
      <c r="Q536" s="358" t="n">
        <v>0</v>
      </c>
      <c r="R536" s="358" t="n">
        <v>0</v>
      </c>
      <c r="S536" s="372" t="n">
        <v>0</v>
      </c>
      <c r="T536" s="373" t="n">
        <v>0</v>
      </c>
      <c r="U536" s="358" t="n">
        <v>0</v>
      </c>
      <c r="V536" s="358" t="n">
        <v>0</v>
      </c>
      <c r="W536" s="372" t="n">
        <v>0</v>
      </c>
      <c r="X536" s="373" t="n">
        <v>0</v>
      </c>
      <c r="Y536" s="358" t="n">
        <v>0</v>
      </c>
      <c r="Z536" s="358" t="n">
        <v>0</v>
      </c>
      <c r="AA536" s="358" t="n">
        <v>0</v>
      </c>
      <c r="AB536" s="373" t="n">
        <v>3</v>
      </c>
      <c r="AC536" s="358" t="n">
        <v>0</v>
      </c>
      <c r="AD536" s="358" t="n">
        <v>0</v>
      </c>
      <c r="AE536" s="358" t="n">
        <v>0</v>
      </c>
      <c r="AF536" s="365" t="n">
        <v>203</v>
      </c>
    </row>
    <row r="537" customFormat="false" ht="15" hidden="true" customHeight="false" outlineLevel="0" collapsed="false">
      <c r="B537" s="360" t="s">
        <v>3010</v>
      </c>
      <c r="C537" s="365" t="n">
        <v>1</v>
      </c>
      <c r="D537" s="358" t="n">
        <v>0</v>
      </c>
      <c r="E537" s="358" t="n">
        <v>0</v>
      </c>
      <c r="F537" s="358" t="n">
        <v>0</v>
      </c>
      <c r="G537" s="372" t="n">
        <v>0</v>
      </c>
      <c r="H537" s="373" t="n">
        <v>0</v>
      </c>
      <c r="I537" s="358" t="n">
        <v>0</v>
      </c>
      <c r="J537" s="358" t="n">
        <v>0</v>
      </c>
      <c r="K537" s="372" t="n">
        <v>0</v>
      </c>
      <c r="L537" s="373" t="n">
        <v>0</v>
      </c>
      <c r="M537" s="358" t="n">
        <v>0</v>
      </c>
      <c r="N537" s="358" t="n">
        <v>0</v>
      </c>
      <c r="O537" s="372" t="n">
        <v>0</v>
      </c>
      <c r="P537" s="373" t="n">
        <v>0</v>
      </c>
      <c r="Q537" s="358" t="n">
        <v>0</v>
      </c>
      <c r="R537" s="358" t="n">
        <v>0</v>
      </c>
      <c r="S537" s="372" t="n">
        <v>0</v>
      </c>
      <c r="T537" s="373" t="n">
        <v>0</v>
      </c>
      <c r="U537" s="358" t="n">
        <v>0</v>
      </c>
      <c r="V537" s="358" t="n">
        <v>0</v>
      </c>
      <c r="W537" s="372" t="n">
        <v>0</v>
      </c>
      <c r="X537" s="373" t="n">
        <v>0</v>
      </c>
      <c r="Y537" s="358" t="n">
        <v>0</v>
      </c>
      <c r="Z537" s="358" t="n">
        <v>0</v>
      </c>
      <c r="AA537" s="358" t="n">
        <v>0</v>
      </c>
      <c r="AB537" s="373" t="n">
        <v>0</v>
      </c>
      <c r="AC537" s="358" t="n">
        <v>0</v>
      </c>
      <c r="AD537" s="358" t="n">
        <v>0</v>
      </c>
      <c r="AE537" s="358" t="n">
        <v>0</v>
      </c>
      <c r="AF537" s="365" t="n">
        <v>1</v>
      </c>
    </row>
    <row r="538" customFormat="false" ht="15" hidden="true" customHeight="false" outlineLevel="0" collapsed="false">
      <c r="B538" s="360" t="s">
        <v>3011</v>
      </c>
      <c r="C538" s="365" t="n">
        <v>1</v>
      </c>
      <c r="D538" s="358" t="n">
        <v>0</v>
      </c>
      <c r="E538" s="358" t="n">
        <v>0</v>
      </c>
      <c r="F538" s="358" t="n">
        <v>0</v>
      </c>
      <c r="G538" s="372" t="n">
        <v>0</v>
      </c>
      <c r="H538" s="373" t="n">
        <v>0</v>
      </c>
      <c r="I538" s="358" t="n">
        <v>0</v>
      </c>
      <c r="J538" s="358" t="n">
        <v>0</v>
      </c>
      <c r="K538" s="372" t="n">
        <v>0</v>
      </c>
      <c r="L538" s="373" t="n">
        <v>0</v>
      </c>
      <c r="M538" s="358" t="n">
        <v>0</v>
      </c>
      <c r="N538" s="358" t="n">
        <v>0</v>
      </c>
      <c r="O538" s="372" t="n">
        <v>0</v>
      </c>
      <c r="P538" s="373" t="n">
        <v>0</v>
      </c>
      <c r="Q538" s="358" t="n">
        <v>0</v>
      </c>
      <c r="R538" s="358" t="n">
        <v>0</v>
      </c>
      <c r="S538" s="372" t="n">
        <v>0</v>
      </c>
      <c r="T538" s="373" t="n">
        <v>0</v>
      </c>
      <c r="U538" s="358" t="n">
        <v>0</v>
      </c>
      <c r="V538" s="358" t="n">
        <v>0</v>
      </c>
      <c r="W538" s="372" t="n">
        <v>0</v>
      </c>
      <c r="X538" s="373" t="n">
        <v>0</v>
      </c>
      <c r="Y538" s="358" t="n">
        <v>0</v>
      </c>
      <c r="Z538" s="358" t="n">
        <v>0</v>
      </c>
      <c r="AA538" s="358" t="n">
        <v>0</v>
      </c>
      <c r="AB538" s="373" t="n">
        <v>0</v>
      </c>
      <c r="AC538" s="358" t="n">
        <v>0</v>
      </c>
      <c r="AD538" s="358" t="n">
        <v>0</v>
      </c>
      <c r="AE538" s="358" t="n">
        <v>0</v>
      </c>
      <c r="AF538" s="365" t="n">
        <v>1</v>
      </c>
    </row>
    <row r="539" customFormat="false" ht="15" hidden="true" customHeight="false" outlineLevel="0" collapsed="false">
      <c r="B539" s="360" t="s">
        <v>3012</v>
      </c>
      <c r="C539" s="365" t="n">
        <v>1</v>
      </c>
      <c r="D539" s="358" t="n">
        <v>0</v>
      </c>
      <c r="E539" s="358" t="n">
        <v>0</v>
      </c>
      <c r="F539" s="358" t="n">
        <v>0</v>
      </c>
      <c r="G539" s="372" t="n">
        <v>0</v>
      </c>
      <c r="H539" s="373" t="n">
        <v>0</v>
      </c>
      <c r="I539" s="358" t="n">
        <v>0</v>
      </c>
      <c r="J539" s="358" t="n">
        <v>0</v>
      </c>
      <c r="K539" s="372" t="n">
        <v>0</v>
      </c>
      <c r="L539" s="373" t="n">
        <v>0</v>
      </c>
      <c r="M539" s="358" t="n">
        <v>0</v>
      </c>
      <c r="N539" s="358" t="n">
        <v>0</v>
      </c>
      <c r="O539" s="372" t="n">
        <v>0</v>
      </c>
      <c r="P539" s="373" t="n">
        <v>0</v>
      </c>
      <c r="Q539" s="358" t="n">
        <v>0</v>
      </c>
      <c r="R539" s="358" t="n">
        <v>0</v>
      </c>
      <c r="S539" s="372" t="n">
        <v>0</v>
      </c>
      <c r="T539" s="373" t="n">
        <v>0</v>
      </c>
      <c r="U539" s="358" t="n">
        <v>0</v>
      </c>
      <c r="V539" s="358" t="n">
        <v>0</v>
      </c>
      <c r="W539" s="372" t="n">
        <v>0</v>
      </c>
      <c r="X539" s="373" t="n">
        <v>0</v>
      </c>
      <c r="Y539" s="358" t="n">
        <v>0</v>
      </c>
      <c r="Z539" s="358" t="n">
        <v>0</v>
      </c>
      <c r="AA539" s="358" t="n">
        <v>0</v>
      </c>
      <c r="AB539" s="373" t="n">
        <v>0</v>
      </c>
      <c r="AC539" s="358" t="n">
        <v>0</v>
      </c>
      <c r="AD539" s="358" t="n">
        <v>0</v>
      </c>
      <c r="AE539" s="358" t="n">
        <v>0</v>
      </c>
      <c r="AF539" s="365" t="n">
        <v>1</v>
      </c>
    </row>
    <row r="540" customFormat="false" ht="15" hidden="true" customHeight="false" outlineLevel="0" collapsed="false">
      <c r="B540" s="360" t="s">
        <v>3013</v>
      </c>
      <c r="C540" s="365" t="n">
        <v>1</v>
      </c>
      <c r="D540" s="358" t="n">
        <v>0</v>
      </c>
      <c r="E540" s="358" t="n">
        <v>0</v>
      </c>
      <c r="F540" s="358" t="n">
        <v>0</v>
      </c>
      <c r="G540" s="372" t="n">
        <v>0</v>
      </c>
      <c r="H540" s="373" t="n">
        <v>0</v>
      </c>
      <c r="I540" s="358" t="n">
        <v>0</v>
      </c>
      <c r="J540" s="358" t="n">
        <v>0</v>
      </c>
      <c r="K540" s="372" t="n">
        <v>0</v>
      </c>
      <c r="L540" s="373" t="n">
        <v>0</v>
      </c>
      <c r="M540" s="358" t="n">
        <v>0</v>
      </c>
      <c r="N540" s="358" t="n">
        <v>0</v>
      </c>
      <c r="O540" s="372" t="n">
        <v>0</v>
      </c>
      <c r="P540" s="373" t="n">
        <v>0</v>
      </c>
      <c r="Q540" s="358" t="n">
        <v>0</v>
      </c>
      <c r="R540" s="358" t="n">
        <v>0</v>
      </c>
      <c r="S540" s="372" t="n">
        <v>0</v>
      </c>
      <c r="T540" s="373" t="n">
        <v>0</v>
      </c>
      <c r="U540" s="358" t="n">
        <v>0</v>
      </c>
      <c r="V540" s="358" t="n">
        <v>0</v>
      </c>
      <c r="W540" s="372" t="n">
        <v>0</v>
      </c>
      <c r="X540" s="373" t="n">
        <v>0</v>
      </c>
      <c r="Y540" s="358" t="n">
        <v>0</v>
      </c>
      <c r="Z540" s="358" t="n">
        <v>0</v>
      </c>
      <c r="AA540" s="358" t="n">
        <v>0</v>
      </c>
      <c r="AB540" s="373" t="n">
        <v>0</v>
      </c>
      <c r="AC540" s="358" t="n">
        <v>0</v>
      </c>
      <c r="AD540" s="358" t="n">
        <v>0</v>
      </c>
      <c r="AE540" s="358" t="n">
        <v>0</v>
      </c>
      <c r="AF540" s="365" t="n">
        <v>1</v>
      </c>
    </row>
    <row r="541" customFormat="false" ht="15" hidden="true" customHeight="false" outlineLevel="0" collapsed="false">
      <c r="B541" s="360" t="s">
        <v>3014</v>
      </c>
      <c r="C541" s="365" t="n">
        <v>1</v>
      </c>
      <c r="D541" s="358" t="n">
        <v>0</v>
      </c>
      <c r="E541" s="358" t="n">
        <v>0</v>
      </c>
      <c r="F541" s="358" t="n">
        <v>0</v>
      </c>
      <c r="G541" s="372" t="n">
        <v>0</v>
      </c>
      <c r="H541" s="373" t="n">
        <v>0</v>
      </c>
      <c r="I541" s="358" t="n">
        <v>0</v>
      </c>
      <c r="J541" s="358" t="n">
        <v>0</v>
      </c>
      <c r="K541" s="372" t="n">
        <v>0</v>
      </c>
      <c r="L541" s="373" t="n">
        <v>0</v>
      </c>
      <c r="M541" s="358" t="n">
        <v>0</v>
      </c>
      <c r="N541" s="358" t="n">
        <v>0</v>
      </c>
      <c r="O541" s="372" t="n">
        <v>0</v>
      </c>
      <c r="P541" s="373" t="n">
        <v>0</v>
      </c>
      <c r="Q541" s="358" t="n">
        <v>0</v>
      </c>
      <c r="R541" s="358" t="n">
        <v>0</v>
      </c>
      <c r="S541" s="372" t="n">
        <v>0</v>
      </c>
      <c r="T541" s="373" t="n">
        <v>0</v>
      </c>
      <c r="U541" s="358" t="n">
        <v>0</v>
      </c>
      <c r="V541" s="358" t="n">
        <v>0</v>
      </c>
      <c r="W541" s="372" t="n">
        <v>0</v>
      </c>
      <c r="X541" s="373" t="n">
        <v>0</v>
      </c>
      <c r="Y541" s="358" t="n">
        <v>0</v>
      </c>
      <c r="Z541" s="358" t="n">
        <v>0</v>
      </c>
      <c r="AA541" s="358" t="n">
        <v>0</v>
      </c>
      <c r="AB541" s="373" t="n">
        <v>0</v>
      </c>
      <c r="AC541" s="358" t="n">
        <v>0</v>
      </c>
      <c r="AD541" s="358" t="n">
        <v>0</v>
      </c>
      <c r="AE541" s="358" t="n">
        <v>0</v>
      </c>
      <c r="AF541" s="365" t="n">
        <v>1</v>
      </c>
    </row>
    <row r="542" customFormat="false" ht="15" hidden="true" customHeight="false" outlineLevel="0" collapsed="false">
      <c r="B542" s="360" t="s">
        <v>3015</v>
      </c>
      <c r="C542" s="365" t="n">
        <v>1</v>
      </c>
      <c r="D542" s="358" t="n">
        <v>0</v>
      </c>
      <c r="E542" s="358" t="n">
        <v>0</v>
      </c>
      <c r="F542" s="358" t="n">
        <v>0</v>
      </c>
      <c r="G542" s="372" t="n">
        <v>0</v>
      </c>
      <c r="H542" s="373" t="n">
        <v>0</v>
      </c>
      <c r="I542" s="358" t="n">
        <v>0</v>
      </c>
      <c r="J542" s="358" t="n">
        <v>0</v>
      </c>
      <c r="K542" s="372" t="n">
        <v>0</v>
      </c>
      <c r="L542" s="373" t="n">
        <v>0</v>
      </c>
      <c r="M542" s="358" t="n">
        <v>0</v>
      </c>
      <c r="N542" s="358" t="n">
        <v>0</v>
      </c>
      <c r="O542" s="372" t="n">
        <v>0</v>
      </c>
      <c r="P542" s="373" t="n">
        <v>0</v>
      </c>
      <c r="Q542" s="358" t="n">
        <v>0</v>
      </c>
      <c r="R542" s="358" t="n">
        <v>0</v>
      </c>
      <c r="S542" s="372" t="n">
        <v>0</v>
      </c>
      <c r="T542" s="373" t="n">
        <v>0</v>
      </c>
      <c r="U542" s="358" t="n">
        <v>0</v>
      </c>
      <c r="V542" s="358" t="n">
        <v>0</v>
      </c>
      <c r="W542" s="372" t="n">
        <v>0</v>
      </c>
      <c r="X542" s="373" t="n">
        <v>0</v>
      </c>
      <c r="Y542" s="358" t="n">
        <v>0</v>
      </c>
      <c r="Z542" s="358" t="n">
        <v>0</v>
      </c>
      <c r="AA542" s="358" t="n">
        <v>0</v>
      </c>
      <c r="AB542" s="373" t="n">
        <v>0</v>
      </c>
      <c r="AC542" s="358" t="n">
        <v>0</v>
      </c>
      <c r="AD542" s="358" t="n">
        <v>0</v>
      </c>
      <c r="AE542" s="358" t="n">
        <v>0</v>
      </c>
      <c r="AF542" s="365" t="n">
        <v>1</v>
      </c>
    </row>
    <row r="543" customFormat="false" ht="15" hidden="true" customHeight="false" outlineLevel="0" collapsed="false">
      <c r="B543" s="360" t="s">
        <v>3016</v>
      </c>
      <c r="C543" s="365" t="n">
        <v>1</v>
      </c>
      <c r="D543" s="358" t="n">
        <v>0</v>
      </c>
      <c r="E543" s="358" t="n">
        <v>0</v>
      </c>
      <c r="F543" s="358" t="n">
        <v>0</v>
      </c>
      <c r="G543" s="372" t="n">
        <v>0</v>
      </c>
      <c r="H543" s="373" t="n">
        <v>0</v>
      </c>
      <c r="I543" s="358" t="n">
        <v>0</v>
      </c>
      <c r="J543" s="358" t="n">
        <v>0</v>
      </c>
      <c r="K543" s="372" t="n">
        <v>0</v>
      </c>
      <c r="L543" s="373" t="n">
        <v>0</v>
      </c>
      <c r="M543" s="358" t="n">
        <v>0</v>
      </c>
      <c r="N543" s="358" t="n">
        <v>0</v>
      </c>
      <c r="O543" s="372" t="n">
        <v>0</v>
      </c>
      <c r="P543" s="373" t="n">
        <v>0</v>
      </c>
      <c r="Q543" s="358" t="n">
        <v>0</v>
      </c>
      <c r="R543" s="358" t="n">
        <v>0</v>
      </c>
      <c r="S543" s="372" t="n">
        <v>0</v>
      </c>
      <c r="T543" s="373" t="n">
        <v>0</v>
      </c>
      <c r="U543" s="358" t="n">
        <v>0</v>
      </c>
      <c r="V543" s="358" t="n">
        <v>0</v>
      </c>
      <c r="W543" s="372" t="n">
        <v>0</v>
      </c>
      <c r="X543" s="373" t="n">
        <v>0</v>
      </c>
      <c r="Y543" s="358" t="n">
        <v>0</v>
      </c>
      <c r="Z543" s="358" t="n">
        <v>0</v>
      </c>
      <c r="AA543" s="358" t="n">
        <v>0</v>
      </c>
      <c r="AB543" s="373" t="n">
        <v>0</v>
      </c>
      <c r="AC543" s="358" t="n">
        <v>0</v>
      </c>
      <c r="AD543" s="358" t="n">
        <v>0</v>
      </c>
      <c r="AE543" s="358" t="n">
        <v>0</v>
      </c>
      <c r="AF543" s="365" t="n">
        <v>1</v>
      </c>
    </row>
    <row r="544" customFormat="false" ht="15" hidden="true" customHeight="false" outlineLevel="0" collapsed="false">
      <c r="B544" s="360" t="s">
        <v>3017</v>
      </c>
      <c r="C544" s="365" t="n">
        <v>1</v>
      </c>
      <c r="D544" s="358" t="n">
        <v>0</v>
      </c>
      <c r="E544" s="358" t="n">
        <v>0</v>
      </c>
      <c r="F544" s="358" t="n">
        <v>0</v>
      </c>
      <c r="G544" s="372" t="n">
        <v>0</v>
      </c>
      <c r="H544" s="373" t="n">
        <v>0</v>
      </c>
      <c r="I544" s="358" t="n">
        <v>0</v>
      </c>
      <c r="J544" s="358" t="n">
        <v>0</v>
      </c>
      <c r="K544" s="372" t="n">
        <v>0</v>
      </c>
      <c r="L544" s="373" t="n">
        <v>0</v>
      </c>
      <c r="M544" s="358" t="n">
        <v>0</v>
      </c>
      <c r="N544" s="358" t="n">
        <v>0</v>
      </c>
      <c r="O544" s="372" t="n">
        <v>0</v>
      </c>
      <c r="P544" s="373" t="n">
        <v>0</v>
      </c>
      <c r="Q544" s="358" t="n">
        <v>0</v>
      </c>
      <c r="R544" s="358" t="n">
        <v>0</v>
      </c>
      <c r="S544" s="372" t="n">
        <v>0</v>
      </c>
      <c r="T544" s="373" t="n">
        <v>0</v>
      </c>
      <c r="U544" s="358" t="n">
        <v>0</v>
      </c>
      <c r="V544" s="358" t="n">
        <v>0</v>
      </c>
      <c r="W544" s="372" t="n">
        <v>0</v>
      </c>
      <c r="X544" s="373" t="n">
        <v>0</v>
      </c>
      <c r="Y544" s="358" t="n">
        <v>0</v>
      </c>
      <c r="Z544" s="358" t="n">
        <v>0</v>
      </c>
      <c r="AA544" s="358" t="n">
        <v>0</v>
      </c>
      <c r="AB544" s="373" t="n">
        <v>0</v>
      </c>
      <c r="AC544" s="358" t="n">
        <v>0</v>
      </c>
      <c r="AD544" s="358" t="n">
        <v>0</v>
      </c>
      <c r="AE544" s="358" t="n">
        <v>0</v>
      </c>
      <c r="AF544" s="365" t="n">
        <v>1</v>
      </c>
    </row>
    <row r="545" customFormat="false" ht="15" hidden="true" customHeight="false" outlineLevel="0" collapsed="false">
      <c r="B545" s="360" t="s">
        <v>3018</v>
      </c>
      <c r="C545" s="365" t="n">
        <v>1</v>
      </c>
      <c r="D545" s="358" t="n">
        <v>0</v>
      </c>
      <c r="E545" s="358" t="n">
        <v>0</v>
      </c>
      <c r="F545" s="358" t="n">
        <v>0</v>
      </c>
      <c r="G545" s="372" t="n">
        <v>0</v>
      </c>
      <c r="H545" s="373" t="n">
        <v>0</v>
      </c>
      <c r="I545" s="358" t="n">
        <v>0</v>
      </c>
      <c r="J545" s="358" t="n">
        <v>0</v>
      </c>
      <c r="K545" s="372" t="n">
        <v>0</v>
      </c>
      <c r="L545" s="373" t="n">
        <v>0</v>
      </c>
      <c r="M545" s="358" t="n">
        <v>0</v>
      </c>
      <c r="N545" s="358" t="n">
        <v>0</v>
      </c>
      <c r="O545" s="372" t="n">
        <v>0</v>
      </c>
      <c r="P545" s="373" t="n">
        <v>0</v>
      </c>
      <c r="Q545" s="358" t="n">
        <v>0</v>
      </c>
      <c r="R545" s="358" t="n">
        <v>0</v>
      </c>
      <c r="S545" s="372" t="n">
        <v>0</v>
      </c>
      <c r="T545" s="373" t="n">
        <v>0</v>
      </c>
      <c r="U545" s="358" t="n">
        <v>0</v>
      </c>
      <c r="V545" s="358" t="n">
        <v>0</v>
      </c>
      <c r="W545" s="372" t="n">
        <v>0</v>
      </c>
      <c r="X545" s="373" t="n">
        <v>0</v>
      </c>
      <c r="Y545" s="358" t="n">
        <v>0</v>
      </c>
      <c r="Z545" s="358" t="n">
        <v>0</v>
      </c>
      <c r="AA545" s="358" t="n">
        <v>0</v>
      </c>
      <c r="AB545" s="373" t="n">
        <v>0</v>
      </c>
      <c r="AC545" s="358" t="n">
        <v>0</v>
      </c>
      <c r="AD545" s="358" t="n">
        <v>0</v>
      </c>
      <c r="AE545" s="358" t="n">
        <v>0</v>
      </c>
      <c r="AF545" s="365" t="n">
        <v>1</v>
      </c>
    </row>
    <row r="546" customFormat="false" ht="15" hidden="true" customHeight="false" outlineLevel="0" collapsed="false">
      <c r="B546" s="360" t="s">
        <v>3019</v>
      </c>
      <c r="C546" s="365" t="n">
        <v>1</v>
      </c>
      <c r="D546" s="358" t="n">
        <v>0</v>
      </c>
      <c r="E546" s="358" t="n">
        <v>0</v>
      </c>
      <c r="F546" s="358" t="n">
        <v>0</v>
      </c>
      <c r="G546" s="372" t="n">
        <v>0</v>
      </c>
      <c r="H546" s="373" t="n">
        <v>0</v>
      </c>
      <c r="I546" s="358" t="n">
        <v>0</v>
      </c>
      <c r="J546" s="358" t="n">
        <v>0</v>
      </c>
      <c r="K546" s="372" t="n">
        <v>0</v>
      </c>
      <c r="L546" s="373" t="n">
        <v>0</v>
      </c>
      <c r="M546" s="358" t="n">
        <v>0</v>
      </c>
      <c r="N546" s="358" t="n">
        <v>0</v>
      </c>
      <c r="O546" s="372" t="n">
        <v>0</v>
      </c>
      <c r="P546" s="373" t="n">
        <v>0</v>
      </c>
      <c r="Q546" s="358" t="n">
        <v>0</v>
      </c>
      <c r="R546" s="358" t="n">
        <v>0</v>
      </c>
      <c r="S546" s="372" t="n">
        <v>0</v>
      </c>
      <c r="T546" s="373" t="n">
        <v>0</v>
      </c>
      <c r="U546" s="358" t="n">
        <v>0</v>
      </c>
      <c r="V546" s="358" t="n">
        <v>0</v>
      </c>
      <c r="W546" s="372" t="n">
        <v>0</v>
      </c>
      <c r="X546" s="373" t="n">
        <v>0</v>
      </c>
      <c r="Y546" s="358" t="n">
        <v>0</v>
      </c>
      <c r="Z546" s="358" t="n">
        <v>0</v>
      </c>
      <c r="AA546" s="358" t="n">
        <v>0</v>
      </c>
      <c r="AB546" s="373" t="n">
        <v>0</v>
      </c>
      <c r="AC546" s="358" t="n">
        <v>0</v>
      </c>
      <c r="AD546" s="358" t="n">
        <v>0</v>
      </c>
      <c r="AE546" s="358" t="n">
        <v>0</v>
      </c>
      <c r="AF546" s="365" t="n">
        <v>1</v>
      </c>
    </row>
    <row r="547" customFormat="false" ht="15" hidden="true" customHeight="false" outlineLevel="0" collapsed="false">
      <c r="B547" s="360" t="s">
        <v>3020</v>
      </c>
      <c r="C547" s="365" t="n">
        <v>1</v>
      </c>
      <c r="D547" s="358" t="n">
        <v>0</v>
      </c>
      <c r="E547" s="358" t="n">
        <v>0</v>
      </c>
      <c r="F547" s="358" t="n">
        <v>0</v>
      </c>
      <c r="G547" s="372" t="n">
        <v>0</v>
      </c>
      <c r="H547" s="373" t="n">
        <v>0</v>
      </c>
      <c r="I547" s="358" t="n">
        <v>0</v>
      </c>
      <c r="J547" s="358" t="n">
        <v>0</v>
      </c>
      <c r="K547" s="372" t="n">
        <v>0</v>
      </c>
      <c r="L547" s="373" t="n">
        <v>0</v>
      </c>
      <c r="M547" s="358" t="n">
        <v>0</v>
      </c>
      <c r="N547" s="358" t="n">
        <v>0</v>
      </c>
      <c r="O547" s="372" t="n">
        <v>0</v>
      </c>
      <c r="P547" s="373" t="n">
        <v>0</v>
      </c>
      <c r="Q547" s="358" t="n">
        <v>0</v>
      </c>
      <c r="R547" s="358" t="n">
        <v>0</v>
      </c>
      <c r="S547" s="372" t="n">
        <v>0</v>
      </c>
      <c r="T547" s="373" t="n">
        <v>0</v>
      </c>
      <c r="U547" s="358" t="n">
        <v>0</v>
      </c>
      <c r="V547" s="358" t="n">
        <v>0</v>
      </c>
      <c r="W547" s="372" t="n">
        <v>0</v>
      </c>
      <c r="X547" s="373" t="n">
        <v>0</v>
      </c>
      <c r="Y547" s="358" t="n">
        <v>0</v>
      </c>
      <c r="Z547" s="358" t="n">
        <v>0</v>
      </c>
      <c r="AA547" s="358" t="n">
        <v>0</v>
      </c>
      <c r="AB547" s="373" t="n">
        <v>0</v>
      </c>
      <c r="AC547" s="358" t="n">
        <v>0</v>
      </c>
      <c r="AD547" s="358" t="n">
        <v>0</v>
      </c>
      <c r="AE547" s="358" t="n">
        <v>0</v>
      </c>
      <c r="AF547" s="365" t="n">
        <v>1</v>
      </c>
    </row>
    <row r="548" customFormat="false" ht="15" hidden="true" customHeight="false" outlineLevel="0" collapsed="false">
      <c r="B548" s="360" t="s">
        <v>3021</v>
      </c>
      <c r="C548" s="365" t="n">
        <v>1</v>
      </c>
      <c r="D548" s="358" t="n">
        <v>0</v>
      </c>
      <c r="E548" s="358" t="n">
        <v>0</v>
      </c>
      <c r="F548" s="358" t="n">
        <v>0</v>
      </c>
      <c r="G548" s="372" t="n">
        <v>0</v>
      </c>
      <c r="H548" s="373" t="n">
        <v>0</v>
      </c>
      <c r="I548" s="358" t="n">
        <v>0</v>
      </c>
      <c r="J548" s="358" t="n">
        <v>0</v>
      </c>
      <c r="K548" s="372" t="n">
        <v>0</v>
      </c>
      <c r="L548" s="373" t="n">
        <v>0</v>
      </c>
      <c r="M548" s="358" t="n">
        <v>0</v>
      </c>
      <c r="N548" s="358" t="n">
        <v>0</v>
      </c>
      <c r="O548" s="372" t="n">
        <v>0</v>
      </c>
      <c r="P548" s="373" t="n">
        <v>0</v>
      </c>
      <c r="Q548" s="358" t="n">
        <v>0</v>
      </c>
      <c r="R548" s="358" t="n">
        <v>0</v>
      </c>
      <c r="S548" s="372" t="n">
        <v>0</v>
      </c>
      <c r="T548" s="373" t="n">
        <v>0</v>
      </c>
      <c r="U548" s="358" t="n">
        <v>0</v>
      </c>
      <c r="V548" s="358" t="n">
        <v>0</v>
      </c>
      <c r="W548" s="372" t="n">
        <v>0</v>
      </c>
      <c r="X548" s="373" t="n">
        <v>0</v>
      </c>
      <c r="Y548" s="358" t="n">
        <v>0</v>
      </c>
      <c r="Z548" s="358" t="n">
        <v>0</v>
      </c>
      <c r="AA548" s="358" t="n">
        <v>0</v>
      </c>
      <c r="AB548" s="373" t="n">
        <v>0</v>
      </c>
      <c r="AC548" s="358" t="n">
        <v>0</v>
      </c>
      <c r="AD548" s="358" t="n">
        <v>0</v>
      </c>
      <c r="AE548" s="358" t="n">
        <v>0</v>
      </c>
      <c r="AF548" s="365" t="n">
        <v>1</v>
      </c>
    </row>
    <row r="549" customFormat="false" ht="15" hidden="true" customHeight="false" outlineLevel="0" collapsed="false">
      <c r="B549" s="360" t="s">
        <v>3022</v>
      </c>
      <c r="C549" s="365" t="n">
        <v>1</v>
      </c>
      <c r="D549" s="358" t="n">
        <v>0</v>
      </c>
      <c r="E549" s="358" t="n">
        <v>0</v>
      </c>
      <c r="F549" s="358" t="n">
        <v>0</v>
      </c>
      <c r="G549" s="372" t="n">
        <v>0</v>
      </c>
      <c r="H549" s="373" t="n">
        <v>0</v>
      </c>
      <c r="I549" s="358" t="n">
        <v>0</v>
      </c>
      <c r="J549" s="358" t="n">
        <v>0</v>
      </c>
      <c r="K549" s="372" t="n">
        <v>0</v>
      </c>
      <c r="L549" s="373" t="n">
        <v>0</v>
      </c>
      <c r="M549" s="358" t="n">
        <v>0</v>
      </c>
      <c r="N549" s="358" t="n">
        <v>0</v>
      </c>
      <c r="O549" s="372" t="n">
        <v>0</v>
      </c>
      <c r="P549" s="373" t="n">
        <v>0</v>
      </c>
      <c r="Q549" s="358" t="n">
        <v>0</v>
      </c>
      <c r="R549" s="358" t="n">
        <v>0</v>
      </c>
      <c r="S549" s="372" t="n">
        <v>0</v>
      </c>
      <c r="T549" s="373" t="n">
        <v>0</v>
      </c>
      <c r="U549" s="358" t="n">
        <v>0</v>
      </c>
      <c r="V549" s="358" t="n">
        <v>0</v>
      </c>
      <c r="W549" s="372" t="n">
        <v>0</v>
      </c>
      <c r="X549" s="373" t="n">
        <v>0</v>
      </c>
      <c r="Y549" s="358" t="n">
        <v>0</v>
      </c>
      <c r="Z549" s="358" t="n">
        <v>0</v>
      </c>
      <c r="AA549" s="358" t="n">
        <v>0</v>
      </c>
      <c r="AB549" s="373" t="n">
        <v>0</v>
      </c>
      <c r="AC549" s="358" t="n">
        <v>0</v>
      </c>
      <c r="AD549" s="358" t="n">
        <v>0</v>
      </c>
      <c r="AE549" s="358" t="n">
        <v>0</v>
      </c>
      <c r="AF549" s="365" t="n">
        <v>1</v>
      </c>
    </row>
    <row r="550" customFormat="false" ht="15" hidden="true" customHeight="false" outlineLevel="0" collapsed="false">
      <c r="B550" s="360" t="s">
        <v>3023</v>
      </c>
      <c r="C550" s="365" t="n">
        <v>1</v>
      </c>
      <c r="D550" s="358" t="n">
        <v>0</v>
      </c>
      <c r="E550" s="358" t="n">
        <v>0</v>
      </c>
      <c r="F550" s="358" t="n">
        <v>0</v>
      </c>
      <c r="G550" s="372" t="n">
        <v>0</v>
      </c>
      <c r="H550" s="373" t="n">
        <v>0</v>
      </c>
      <c r="I550" s="358" t="n">
        <v>0</v>
      </c>
      <c r="J550" s="358" t="n">
        <v>0</v>
      </c>
      <c r="K550" s="372" t="n">
        <v>0</v>
      </c>
      <c r="L550" s="373" t="n">
        <v>0</v>
      </c>
      <c r="M550" s="358" t="n">
        <v>0</v>
      </c>
      <c r="N550" s="358" t="n">
        <v>0</v>
      </c>
      <c r="O550" s="372" t="n">
        <v>0</v>
      </c>
      <c r="P550" s="373" t="n">
        <v>0</v>
      </c>
      <c r="Q550" s="358" t="n">
        <v>0</v>
      </c>
      <c r="R550" s="358" t="n">
        <v>0</v>
      </c>
      <c r="S550" s="372" t="n">
        <v>0</v>
      </c>
      <c r="T550" s="373" t="n">
        <v>0</v>
      </c>
      <c r="U550" s="358" t="n">
        <v>0</v>
      </c>
      <c r="V550" s="358" t="n">
        <v>0</v>
      </c>
      <c r="W550" s="372" t="n">
        <v>0</v>
      </c>
      <c r="X550" s="373" t="n">
        <v>0</v>
      </c>
      <c r="Y550" s="358" t="n">
        <v>0</v>
      </c>
      <c r="Z550" s="358" t="n">
        <v>0</v>
      </c>
      <c r="AA550" s="358" t="n">
        <v>0</v>
      </c>
      <c r="AB550" s="373" t="n">
        <v>0</v>
      </c>
      <c r="AC550" s="358" t="n">
        <v>0</v>
      </c>
      <c r="AD550" s="358" t="n">
        <v>0</v>
      </c>
      <c r="AE550" s="358" t="n">
        <v>0</v>
      </c>
      <c r="AF550" s="365" t="n">
        <v>1</v>
      </c>
    </row>
    <row r="551" customFormat="false" ht="15" hidden="true" customHeight="false" outlineLevel="0" collapsed="false">
      <c r="B551" s="360" t="s">
        <v>3024</v>
      </c>
      <c r="C551" s="365" t="n">
        <v>1</v>
      </c>
      <c r="D551" s="358" t="n">
        <v>0</v>
      </c>
      <c r="E551" s="358" t="n">
        <v>0</v>
      </c>
      <c r="F551" s="358" t="n">
        <v>0</v>
      </c>
      <c r="G551" s="372" t="n">
        <v>0</v>
      </c>
      <c r="H551" s="373" t="n">
        <v>0</v>
      </c>
      <c r="I551" s="358" t="n">
        <v>0</v>
      </c>
      <c r="J551" s="358" t="n">
        <v>0</v>
      </c>
      <c r="K551" s="372" t="n">
        <v>0</v>
      </c>
      <c r="L551" s="373" t="n">
        <v>0</v>
      </c>
      <c r="M551" s="358" t="n">
        <v>0</v>
      </c>
      <c r="N551" s="358" t="n">
        <v>0</v>
      </c>
      <c r="O551" s="372" t="n">
        <v>0</v>
      </c>
      <c r="P551" s="373" t="n">
        <v>0</v>
      </c>
      <c r="Q551" s="358" t="n">
        <v>0</v>
      </c>
      <c r="R551" s="358" t="n">
        <v>0</v>
      </c>
      <c r="S551" s="372" t="n">
        <v>0</v>
      </c>
      <c r="T551" s="373" t="n">
        <v>0</v>
      </c>
      <c r="U551" s="358" t="n">
        <v>0</v>
      </c>
      <c r="V551" s="358" t="n">
        <v>0</v>
      </c>
      <c r="W551" s="372" t="n">
        <v>0</v>
      </c>
      <c r="X551" s="373" t="n">
        <v>0</v>
      </c>
      <c r="Y551" s="358" t="n">
        <v>0</v>
      </c>
      <c r="Z551" s="358" t="n">
        <v>0</v>
      </c>
      <c r="AA551" s="358" t="n">
        <v>0</v>
      </c>
      <c r="AB551" s="373" t="n">
        <v>0</v>
      </c>
      <c r="AC551" s="358" t="n">
        <v>0</v>
      </c>
      <c r="AD551" s="358" t="n">
        <v>0</v>
      </c>
      <c r="AE551" s="358" t="n">
        <v>0</v>
      </c>
      <c r="AF551" s="365" t="n">
        <v>1</v>
      </c>
    </row>
    <row r="552" customFormat="false" ht="15" hidden="true" customHeight="false" outlineLevel="0" collapsed="false">
      <c r="B552" s="360" t="s">
        <v>3025</v>
      </c>
      <c r="C552" s="365" t="n">
        <v>1</v>
      </c>
      <c r="D552" s="358" t="n">
        <v>0</v>
      </c>
      <c r="E552" s="358" t="n">
        <v>0</v>
      </c>
      <c r="F552" s="358" t="n">
        <v>0</v>
      </c>
      <c r="G552" s="372" t="n">
        <v>0</v>
      </c>
      <c r="H552" s="373" t="n">
        <v>0</v>
      </c>
      <c r="I552" s="358" t="n">
        <v>0</v>
      </c>
      <c r="J552" s="358" t="n">
        <v>0</v>
      </c>
      <c r="K552" s="372" t="n">
        <v>0</v>
      </c>
      <c r="L552" s="373" t="n">
        <v>0</v>
      </c>
      <c r="M552" s="358" t="n">
        <v>0</v>
      </c>
      <c r="N552" s="358" t="n">
        <v>0</v>
      </c>
      <c r="O552" s="372" t="n">
        <v>0</v>
      </c>
      <c r="P552" s="373" t="n">
        <v>0</v>
      </c>
      <c r="Q552" s="358" t="n">
        <v>0</v>
      </c>
      <c r="R552" s="358" t="n">
        <v>0</v>
      </c>
      <c r="S552" s="372" t="n">
        <v>0</v>
      </c>
      <c r="T552" s="373" t="n">
        <v>0</v>
      </c>
      <c r="U552" s="358" t="n">
        <v>0</v>
      </c>
      <c r="V552" s="358" t="n">
        <v>0</v>
      </c>
      <c r="W552" s="372" t="n">
        <v>0</v>
      </c>
      <c r="X552" s="373" t="n">
        <v>0</v>
      </c>
      <c r="Y552" s="358" t="n">
        <v>0</v>
      </c>
      <c r="Z552" s="358" t="n">
        <v>0</v>
      </c>
      <c r="AA552" s="358" t="n">
        <v>0</v>
      </c>
      <c r="AB552" s="373" t="n">
        <v>0</v>
      </c>
      <c r="AC552" s="358" t="n">
        <v>0</v>
      </c>
      <c r="AD552" s="358" t="n">
        <v>0</v>
      </c>
      <c r="AE552" s="358" t="n">
        <v>0</v>
      </c>
      <c r="AF552" s="365" t="n">
        <v>1</v>
      </c>
    </row>
    <row r="553" customFormat="false" ht="15" hidden="true" customHeight="false" outlineLevel="0" collapsed="false">
      <c r="B553" s="360" t="s">
        <v>3026</v>
      </c>
      <c r="C553" s="365" t="n">
        <v>1</v>
      </c>
      <c r="D553" s="358" t="n">
        <v>0</v>
      </c>
      <c r="E553" s="358" t="n">
        <v>0</v>
      </c>
      <c r="F553" s="358" t="n">
        <v>0</v>
      </c>
      <c r="G553" s="372" t="n">
        <v>0</v>
      </c>
      <c r="H553" s="373" t="n">
        <v>0</v>
      </c>
      <c r="I553" s="358" t="n">
        <v>0</v>
      </c>
      <c r="J553" s="358" t="n">
        <v>0</v>
      </c>
      <c r="K553" s="372" t="n">
        <v>0</v>
      </c>
      <c r="L553" s="373" t="n">
        <v>0</v>
      </c>
      <c r="M553" s="358" t="n">
        <v>0</v>
      </c>
      <c r="N553" s="358" t="n">
        <v>0</v>
      </c>
      <c r="O553" s="372" t="n">
        <v>0</v>
      </c>
      <c r="P553" s="373" t="n">
        <v>0</v>
      </c>
      <c r="Q553" s="358" t="n">
        <v>0</v>
      </c>
      <c r="R553" s="358" t="n">
        <v>0</v>
      </c>
      <c r="S553" s="372" t="n">
        <v>0</v>
      </c>
      <c r="T553" s="373" t="n">
        <v>0</v>
      </c>
      <c r="U553" s="358" t="n">
        <v>0</v>
      </c>
      <c r="V553" s="358" t="n">
        <v>0</v>
      </c>
      <c r="W553" s="372" t="n">
        <v>0</v>
      </c>
      <c r="X553" s="373" t="n">
        <v>0</v>
      </c>
      <c r="Y553" s="358" t="n">
        <v>0</v>
      </c>
      <c r="Z553" s="358" t="n">
        <v>0</v>
      </c>
      <c r="AA553" s="358" t="n">
        <v>0</v>
      </c>
      <c r="AB553" s="373" t="n">
        <v>0</v>
      </c>
      <c r="AC553" s="358" t="n">
        <v>0</v>
      </c>
      <c r="AD553" s="358" t="n">
        <v>0</v>
      </c>
      <c r="AE553" s="358" t="n">
        <v>0</v>
      </c>
      <c r="AF553" s="365" t="n">
        <v>1</v>
      </c>
    </row>
    <row r="554" customFormat="false" ht="15" hidden="true" customHeight="false" outlineLevel="0" collapsed="false">
      <c r="B554" s="360" t="s">
        <v>3027</v>
      </c>
      <c r="C554" s="365" t="n">
        <v>1</v>
      </c>
      <c r="D554" s="358" t="n">
        <v>0</v>
      </c>
      <c r="E554" s="358" t="n">
        <v>0</v>
      </c>
      <c r="F554" s="358" t="n">
        <v>0</v>
      </c>
      <c r="G554" s="372" t="n">
        <v>0</v>
      </c>
      <c r="H554" s="373" t="n">
        <v>0</v>
      </c>
      <c r="I554" s="358" t="n">
        <v>0</v>
      </c>
      <c r="J554" s="358" t="n">
        <v>0</v>
      </c>
      <c r="K554" s="372" t="n">
        <v>0</v>
      </c>
      <c r="L554" s="373" t="n">
        <v>0</v>
      </c>
      <c r="M554" s="358" t="n">
        <v>0</v>
      </c>
      <c r="N554" s="358" t="n">
        <v>0</v>
      </c>
      <c r="O554" s="372" t="n">
        <v>0</v>
      </c>
      <c r="P554" s="373" t="n">
        <v>0</v>
      </c>
      <c r="Q554" s="358" t="n">
        <v>0</v>
      </c>
      <c r="R554" s="358" t="n">
        <v>0</v>
      </c>
      <c r="S554" s="372" t="n">
        <v>0</v>
      </c>
      <c r="T554" s="373" t="n">
        <v>0</v>
      </c>
      <c r="U554" s="358" t="n">
        <v>0</v>
      </c>
      <c r="V554" s="358" t="n">
        <v>0</v>
      </c>
      <c r="W554" s="372" t="n">
        <v>0</v>
      </c>
      <c r="X554" s="373" t="n">
        <v>0</v>
      </c>
      <c r="Y554" s="358" t="n">
        <v>0</v>
      </c>
      <c r="Z554" s="358" t="n">
        <v>0</v>
      </c>
      <c r="AA554" s="358" t="n">
        <v>0</v>
      </c>
      <c r="AB554" s="373" t="n">
        <v>0</v>
      </c>
      <c r="AC554" s="358" t="n">
        <v>0</v>
      </c>
      <c r="AD554" s="358" t="n">
        <v>0</v>
      </c>
      <c r="AE554" s="358" t="n">
        <v>0</v>
      </c>
      <c r="AF554" s="365" t="n">
        <v>1</v>
      </c>
    </row>
    <row r="555" customFormat="false" ht="15" hidden="true" customHeight="false" outlineLevel="0" collapsed="false">
      <c r="B555" s="360" t="s">
        <v>3028</v>
      </c>
      <c r="C555" s="365" t="n">
        <v>1</v>
      </c>
      <c r="D555" s="358" t="n">
        <v>0</v>
      </c>
      <c r="E555" s="358" t="n">
        <v>0</v>
      </c>
      <c r="F555" s="358" t="n">
        <v>0</v>
      </c>
      <c r="G555" s="372" t="n">
        <v>0</v>
      </c>
      <c r="H555" s="373" t="n">
        <v>0</v>
      </c>
      <c r="I555" s="358" t="n">
        <v>0</v>
      </c>
      <c r="J555" s="358" t="n">
        <v>0</v>
      </c>
      <c r="K555" s="372" t="n">
        <v>0</v>
      </c>
      <c r="L555" s="373" t="n">
        <v>0</v>
      </c>
      <c r="M555" s="358" t="n">
        <v>0</v>
      </c>
      <c r="N555" s="358" t="n">
        <v>0</v>
      </c>
      <c r="O555" s="372" t="n">
        <v>0</v>
      </c>
      <c r="P555" s="373" t="n">
        <v>0</v>
      </c>
      <c r="Q555" s="358" t="n">
        <v>0</v>
      </c>
      <c r="R555" s="358" t="n">
        <v>0</v>
      </c>
      <c r="S555" s="372" t="n">
        <v>0</v>
      </c>
      <c r="T555" s="373" t="n">
        <v>0</v>
      </c>
      <c r="U555" s="358" t="n">
        <v>0</v>
      </c>
      <c r="V555" s="358" t="n">
        <v>0</v>
      </c>
      <c r="W555" s="372" t="n">
        <v>0</v>
      </c>
      <c r="X555" s="373" t="n">
        <v>0</v>
      </c>
      <c r="Y555" s="358" t="n">
        <v>0</v>
      </c>
      <c r="Z555" s="358" t="n">
        <v>0</v>
      </c>
      <c r="AA555" s="358" t="n">
        <v>0</v>
      </c>
      <c r="AB555" s="373" t="n">
        <v>0</v>
      </c>
      <c r="AC555" s="358" t="n">
        <v>0</v>
      </c>
      <c r="AD555" s="358" t="n">
        <v>0</v>
      </c>
      <c r="AE555" s="358" t="n">
        <v>0</v>
      </c>
      <c r="AF555" s="365" t="n">
        <v>1</v>
      </c>
    </row>
    <row r="556" customFormat="false" ht="15" hidden="true" customHeight="false" outlineLevel="0" collapsed="false">
      <c r="B556" s="360" t="s">
        <v>3029</v>
      </c>
      <c r="C556" s="365" t="n">
        <v>1</v>
      </c>
      <c r="D556" s="358" t="n">
        <v>0</v>
      </c>
      <c r="E556" s="358" t="n">
        <v>0</v>
      </c>
      <c r="F556" s="358" t="n">
        <v>0</v>
      </c>
      <c r="G556" s="372" t="n">
        <v>0</v>
      </c>
      <c r="H556" s="373" t="n">
        <v>0</v>
      </c>
      <c r="I556" s="358" t="n">
        <v>0</v>
      </c>
      <c r="J556" s="358" t="n">
        <v>0</v>
      </c>
      <c r="K556" s="372" t="n">
        <v>0</v>
      </c>
      <c r="L556" s="373" t="n">
        <v>0</v>
      </c>
      <c r="M556" s="358" t="n">
        <v>0</v>
      </c>
      <c r="N556" s="358" t="n">
        <v>0</v>
      </c>
      <c r="O556" s="372" t="n">
        <v>0</v>
      </c>
      <c r="P556" s="373" t="n">
        <v>0</v>
      </c>
      <c r="Q556" s="358" t="n">
        <v>0</v>
      </c>
      <c r="R556" s="358" t="n">
        <v>0</v>
      </c>
      <c r="S556" s="372" t="n">
        <v>0</v>
      </c>
      <c r="T556" s="373" t="n">
        <v>0</v>
      </c>
      <c r="U556" s="358" t="n">
        <v>0</v>
      </c>
      <c r="V556" s="358" t="n">
        <v>0</v>
      </c>
      <c r="W556" s="372" t="n">
        <v>0</v>
      </c>
      <c r="X556" s="373" t="n">
        <v>0</v>
      </c>
      <c r="Y556" s="358" t="n">
        <v>0</v>
      </c>
      <c r="Z556" s="358" t="n">
        <v>0</v>
      </c>
      <c r="AA556" s="358" t="n">
        <v>0</v>
      </c>
      <c r="AB556" s="373" t="n">
        <v>0</v>
      </c>
      <c r="AC556" s="358" t="n">
        <v>0</v>
      </c>
      <c r="AD556" s="358" t="n">
        <v>0</v>
      </c>
      <c r="AE556" s="358" t="n">
        <v>0</v>
      </c>
      <c r="AF556" s="365" t="n">
        <v>1</v>
      </c>
    </row>
    <row r="557" customFormat="false" ht="15" hidden="true" customHeight="false" outlineLevel="0" collapsed="false">
      <c r="B557" s="360" t="s">
        <v>3030</v>
      </c>
      <c r="C557" s="365" t="n">
        <v>1</v>
      </c>
      <c r="D557" s="358" t="n">
        <v>0</v>
      </c>
      <c r="E557" s="358" t="n">
        <v>0</v>
      </c>
      <c r="F557" s="358" t="n">
        <v>0</v>
      </c>
      <c r="G557" s="372" t="n">
        <v>0</v>
      </c>
      <c r="H557" s="373" t="n">
        <v>0</v>
      </c>
      <c r="I557" s="358" t="n">
        <v>0</v>
      </c>
      <c r="J557" s="358" t="n">
        <v>0</v>
      </c>
      <c r="K557" s="372" t="n">
        <v>0</v>
      </c>
      <c r="L557" s="373" t="n">
        <v>0</v>
      </c>
      <c r="M557" s="358" t="n">
        <v>0</v>
      </c>
      <c r="N557" s="358" t="n">
        <v>0</v>
      </c>
      <c r="O557" s="372" t="n">
        <v>0</v>
      </c>
      <c r="P557" s="373" t="n">
        <v>0</v>
      </c>
      <c r="Q557" s="358" t="n">
        <v>0</v>
      </c>
      <c r="R557" s="358" t="n">
        <v>0</v>
      </c>
      <c r="S557" s="372" t="n">
        <v>0</v>
      </c>
      <c r="T557" s="373" t="n">
        <v>0</v>
      </c>
      <c r="U557" s="358" t="n">
        <v>0</v>
      </c>
      <c r="V557" s="358" t="n">
        <v>0</v>
      </c>
      <c r="W557" s="372" t="n">
        <v>0</v>
      </c>
      <c r="X557" s="373" t="n">
        <v>0</v>
      </c>
      <c r="Y557" s="358" t="n">
        <v>0</v>
      </c>
      <c r="Z557" s="358" t="n">
        <v>0</v>
      </c>
      <c r="AA557" s="358" t="n">
        <v>0</v>
      </c>
      <c r="AB557" s="373" t="n">
        <v>0</v>
      </c>
      <c r="AC557" s="358" t="n">
        <v>0</v>
      </c>
      <c r="AD557" s="358" t="n">
        <v>0</v>
      </c>
      <c r="AE557" s="358" t="n">
        <v>0</v>
      </c>
      <c r="AF557" s="365" t="n">
        <v>1</v>
      </c>
    </row>
    <row r="558" customFormat="false" ht="15" hidden="true" customHeight="false" outlineLevel="0" collapsed="false">
      <c r="B558" s="360" t="s">
        <v>3031</v>
      </c>
      <c r="C558" s="365" t="n">
        <v>1</v>
      </c>
      <c r="D558" s="358" t="n">
        <v>0</v>
      </c>
      <c r="E558" s="358" t="n">
        <v>0</v>
      </c>
      <c r="F558" s="358" t="n">
        <v>0</v>
      </c>
      <c r="G558" s="372" t="n">
        <v>0</v>
      </c>
      <c r="H558" s="373" t="n">
        <v>0</v>
      </c>
      <c r="I558" s="358" t="n">
        <v>0</v>
      </c>
      <c r="J558" s="358" t="n">
        <v>0</v>
      </c>
      <c r="K558" s="372" t="n">
        <v>0</v>
      </c>
      <c r="L558" s="373" t="n">
        <v>0</v>
      </c>
      <c r="M558" s="358" t="n">
        <v>0</v>
      </c>
      <c r="N558" s="358" t="n">
        <v>0</v>
      </c>
      <c r="O558" s="372" t="n">
        <v>0</v>
      </c>
      <c r="P558" s="373" t="n">
        <v>0</v>
      </c>
      <c r="Q558" s="358" t="n">
        <v>0</v>
      </c>
      <c r="R558" s="358" t="n">
        <v>0</v>
      </c>
      <c r="S558" s="372" t="n">
        <v>0</v>
      </c>
      <c r="T558" s="373" t="n">
        <v>0</v>
      </c>
      <c r="U558" s="358" t="n">
        <v>0</v>
      </c>
      <c r="V558" s="358" t="n">
        <v>0</v>
      </c>
      <c r="W558" s="372" t="n">
        <v>0</v>
      </c>
      <c r="X558" s="373" t="n">
        <v>0</v>
      </c>
      <c r="Y558" s="358" t="n">
        <v>0</v>
      </c>
      <c r="Z558" s="358" t="n">
        <v>0</v>
      </c>
      <c r="AA558" s="358" t="n">
        <v>0</v>
      </c>
      <c r="AB558" s="373" t="n">
        <v>0</v>
      </c>
      <c r="AC558" s="358" t="n">
        <v>0</v>
      </c>
      <c r="AD558" s="358" t="n">
        <v>0</v>
      </c>
      <c r="AE558" s="358" t="n">
        <v>0</v>
      </c>
      <c r="AF558" s="365" t="n">
        <v>1</v>
      </c>
    </row>
    <row r="559" customFormat="false" ht="15" hidden="true" customHeight="false" outlineLevel="0" collapsed="false">
      <c r="B559" s="360" t="s">
        <v>3032</v>
      </c>
      <c r="C559" s="365" t="n">
        <v>1</v>
      </c>
      <c r="D559" s="358" t="n">
        <v>0</v>
      </c>
      <c r="E559" s="358" t="n">
        <v>0</v>
      </c>
      <c r="F559" s="358" t="n">
        <v>0</v>
      </c>
      <c r="G559" s="372" t="n">
        <v>0</v>
      </c>
      <c r="H559" s="373" t="n">
        <v>0</v>
      </c>
      <c r="I559" s="358" t="n">
        <v>0</v>
      </c>
      <c r="J559" s="358" t="n">
        <v>0</v>
      </c>
      <c r="K559" s="372" t="n">
        <v>0</v>
      </c>
      <c r="L559" s="373" t="n">
        <v>0</v>
      </c>
      <c r="M559" s="358" t="n">
        <v>0</v>
      </c>
      <c r="N559" s="358" t="n">
        <v>0</v>
      </c>
      <c r="O559" s="372" t="n">
        <v>0</v>
      </c>
      <c r="P559" s="373" t="n">
        <v>0</v>
      </c>
      <c r="Q559" s="358" t="n">
        <v>0</v>
      </c>
      <c r="R559" s="358" t="n">
        <v>0</v>
      </c>
      <c r="S559" s="372" t="n">
        <v>0</v>
      </c>
      <c r="T559" s="373" t="n">
        <v>0</v>
      </c>
      <c r="U559" s="358" t="n">
        <v>0</v>
      </c>
      <c r="V559" s="358" t="n">
        <v>0</v>
      </c>
      <c r="W559" s="372" t="n">
        <v>0</v>
      </c>
      <c r="X559" s="373" t="n">
        <v>0</v>
      </c>
      <c r="Y559" s="358" t="n">
        <v>0</v>
      </c>
      <c r="Z559" s="358" t="n">
        <v>0</v>
      </c>
      <c r="AA559" s="358" t="n">
        <v>0</v>
      </c>
      <c r="AB559" s="373" t="n">
        <v>0</v>
      </c>
      <c r="AC559" s="358" t="n">
        <v>0</v>
      </c>
      <c r="AD559" s="358" t="n">
        <v>0</v>
      </c>
      <c r="AE559" s="358" t="n">
        <v>0</v>
      </c>
      <c r="AF559" s="365" t="n">
        <v>1</v>
      </c>
    </row>
    <row r="560" customFormat="false" ht="15" hidden="true" customHeight="false" outlineLevel="0" collapsed="false">
      <c r="B560" s="360" t="s">
        <v>3033</v>
      </c>
      <c r="C560" s="365" t="n">
        <v>1</v>
      </c>
      <c r="D560" s="358" t="n">
        <v>0</v>
      </c>
      <c r="E560" s="358" t="n">
        <v>0</v>
      </c>
      <c r="F560" s="358" t="n">
        <v>0</v>
      </c>
      <c r="G560" s="372" t="n">
        <v>0</v>
      </c>
      <c r="H560" s="373" t="n">
        <v>0</v>
      </c>
      <c r="I560" s="358" t="n">
        <v>0</v>
      </c>
      <c r="J560" s="358" t="n">
        <v>0</v>
      </c>
      <c r="K560" s="372" t="n">
        <v>0</v>
      </c>
      <c r="L560" s="373" t="n">
        <v>0</v>
      </c>
      <c r="M560" s="358" t="n">
        <v>0</v>
      </c>
      <c r="N560" s="358" t="n">
        <v>0</v>
      </c>
      <c r="O560" s="372" t="n">
        <v>0</v>
      </c>
      <c r="P560" s="373" t="n">
        <v>0</v>
      </c>
      <c r="Q560" s="358" t="n">
        <v>0</v>
      </c>
      <c r="R560" s="358" t="n">
        <v>0</v>
      </c>
      <c r="S560" s="372" t="n">
        <v>0</v>
      </c>
      <c r="T560" s="373" t="n">
        <v>0</v>
      </c>
      <c r="U560" s="358" t="n">
        <v>0</v>
      </c>
      <c r="V560" s="358" t="n">
        <v>0</v>
      </c>
      <c r="W560" s="372" t="n">
        <v>0</v>
      </c>
      <c r="X560" s="373" t="n">
        <v>0</v>
      </c>
      <c r="Y560" s="358" t="n">
        <v>0</v>
      </c>
      <c r="Z560" s="358" t="n">
        <v>0</v>
      </c>
      <c r="AA560" s="358" t="n">
        <v>0</v>
      </c>
      <c r="AB560" s="373" t="n">
        <v>0</v>
      </c>
      <c r="AC560" s="358" t="n">
        <v>0</v>
      </c>
      <c r="AD560" s="358" t="n">
        <v>0</v>
      </c>
      <c r="AE560" s="358" t="n">
        <v>0</v>
      </c>
      <c r="AF560" s="365" t="n">
        <v>1</v>
      </c>
    </row>
    <row r="561" customFormat="false" ht="15" hidden="true" customHeight="false" outlineLevel="0" collapsed="false">
      <c r="B561" s="360" t="s">
        <v>3034</v>
      </c>
      <c r="C561" s="365" t="n">
        <v>1</v>
      </c>
      <c r="D561" s="358" t="n">
        <v>0</v>
      </c>
      <c r="E561" s="358" t="n">
        <v>0</v>
      </c>
      <c r="F561" s="358" t="n">
        <v>0</v>
      </c>
      <c r="G561" s="372" t="n">
        <v>0</v>
      </c>
      <c r="H561" s="373" t="n">
        <v>0</v>
      </c>
      <c r="I561" s="358" t="n">
        <v>0</v>
      </c>
      <c r="J561" s="358" t="n">
        <v>0</v>
      </c>
      <c r="K561" s="372" t="n">
        <v>0</v>
      </c>
      <c r="L561" s="373" t="n">
        <v>0</v>
      </c>
      <c r="M561" s="358" t="n">
        <v>0</v>
      </c>
      <c r="N561" s="358" t="n">
        <v>0</v>
      </c>
      <c r="O561" s="372" t="n">
        <v>0</v>
      </c>
      <c r="P561" s="373" t="n">
        <v>0</v>
      </c>
      <c r="Q561" s="358" t="n">
        <v>0</v>
      </c>
      <c r="R561" s="358" t="n">
        <v>0</v>
      </c>
      <c r="S561" s="372" t="n">
        <v>0</v>
      </c>
      <c r="T561" s="373" t="n">
        <v>0</v>
      </c>
      <c r="U561" s="358" t="n">
        <v>0</v>
      </c>
      <c r="V561" s="358" t="n">
        <v>0</v>
      </c>
      <c r="W561" s="372" t="n">
        <v>0</v>
      </c>
      <c r="X561" s="373" t="n">
        <v>0</v>
      </c>
      <c r="Y561" s="358" t="n">
        <v>0</v>
      </c>
      <c r="Z561" s="358" t="n">
        <v>0</v>
      </c>
      <c r="AA561" s="358" t="n">
        <v>0</v>
      </c>
      <c r="AB561" s="373" t="n">
        <v>0</v>
      </c>
      <c r="AC561" s="358" t="n">
        <v>0</v>
      </c>
      <c r="AD561" s="358" t="n">
        <v>0</v>
      </c>
      <c r="AE561" s="358" t="n">
        <v>0</v>
      </c>
      <c r="AF561" s="365" t="n">
        <v>1</v>
      </c>
    </row>
    <row r="562" customFormat="false" ht="15" hidden="true" customHeight="false" outlineLevel="0" collapsed="false">
      <c r="B562" s="360" t="s">
        <v>3035</v>
      </c>
      <c r="C562" s="365" t="n">
        <v>1</v>
      </c>
      <c r="D562" s="358" t="n">
        <v>0</v>
      </c>
      <c r="E562" s="358" t="n">
        <v>0</v>
      </c>
      <c r="F562" s="358" t="n">
        <v>0</v>
      </c>
      <c r="G562" s="372" t="n">
        <v>0</v>
      </c>
      <c r="H562" s="373" t="n">
        <v>0</v>
      </c>
      <c r="I562" s="358" t="n">
        <v>0</v>
      </c>
      <c r="J562" s="358" t="n">
        <v>0</v>
      </c>
      <c r="K562" s="372" t="n">
        <v>0</v>
      </c>
      <c r="L562" s="373" t="n">
        <v>0</v>
      </c>
      <c r="M562" s="358" t="n">
        <v>0</v>
      </c>
      <c r="N562" s="358" t="n">
        <v>0</v>
      </c>
      <c r="O562" s="372" t="n">
        <v>0</v>
      </c>
      <c r="P562" s="373" t="n">
        <v>0</v>
      </c>
      <c r="Q562" s="358" t="n">
        <v>0</v>
      </c>
      <c r="R562" s="358" t="n">
        <v>0</v>
      </c>
      <c r="S562" s="372" t="n">
        <v>0</v>
      </c>
      <c r="T562" s="373" t="n">
        <v>0</v>
      </c>
      <c r="U562" s="358" t="n">
        <v>0</v>
      </c>
      <c r="V562" s="358" t="n">
        <v>0</v>
      </c>
      <c r="W562" s="372" t="n">
        <v>0</v>
      </c>
      <c r="X562" s="373" t="n">
        <v>0</v>
      </c>
      <c r="Y562" s="358" t="n">
        <v>0</v>
      </c>
      <c r="Z562" s="358" t="n">
        <v>0</v>
      </c>
      <c r="AA562" s="358" t="n">
        <v>0</v>
      </c>
      <c r="AB562" s="373" t="n">
        <v>0</v>
      </c>
      <c r="AC562" s="358" t="n">
        <v>0</v>
      </c>
      <c r="AD562" s="358" t="n">
        <v>0</v>
      </c>
      <c r="AE562" s="358" t="n">
        <v>0</v>
      </c>
      <c r="AF562" s="365" t="n">
        <v>1</v>
      </c>
    </row>
    <row r="563" customFormat="false" ht="15" hidden="true" customHeight="false" outlineLevel="0" collapsed="false">
      <c r="B563" s="360" t="s">
        <v>3036</v>
      </c>
      <c r="C563" s="365" t="n">
        <v>1</v>
      </c>
      <c r="D563" s="358" t="n">
        <v>0</v>
      </c>
      <c r="E563" s="358" t="n">
        <v>0</v>
      </c>
      <c r="F563" s="358" t="n">
        <v>0</v>
      </c>
      <c r="G563" s="372" t="n">
        <v>0</v>
      </c>
      <c r="H563" s="373" t="n">
        <v>0</v>
      </c>
      <c r="I563" s="358" t="n">
        <v>0</v>
      </c>
      <c r="J563" s="358" t="n">
        <v>0</v>
      </c>
      <c r="K563" s="372" t="n">
        <v>0</v>
      </c>
      <c r="L563" s="373" t="n">
        <v>0</v>
      </c>
      <c r="M563" s="358" t="n">
        <v>0</v>
      </c>
      <c r="N563" s="358" t="n">
        <v>0</v>
      </c>
      <c r="O563" s="372" t="n">
        <v>0</v>
      </c>
      <c r="P563" s="373" t="n">
        <v>0</v>
      </c>
      <c r="Q563" s="358" t="n">
        <v>0</v>
      </c>
      <c r="R563" s="358" t="n">
        <v>0</v>
      </c>
      <c r="S563" s="372" t="n">
        <v>0</v>
      </c>
      <c r="T563" s="373" t="n">
        <v>0</v>
      </c>
      <c r="U563" s="358" t="n">
        <v>0</v>
      </c>
      <c r="V563" s="358" t="n">
        <v>0</v>
      </c>
      <c r="W563" s="372" t="n">
        <v>0</v>
      </c>
      <c r="X563" s="373" t="n">
        <v>0</v>
      </c>
      <c r="Y563" s="358" t="n">
        <v>0</v>
      </c>
      <c r="Z563" s="358" t="n">
        <v>0</v>
      </c>
      <c r="AA563" s="358" t="n">
        <v>0</v>
      </c>
      <c r="AB563" s="373" t="n">
        <v>0</v>
      </c>
      <c r="AC563" s="358" t="n">
        <v>0</v>
      </c>
      <c r="AD563" s="358" t="n">
        <v>0</v>
      </c>
      <c r="AE563" s="358" t="n">
        <v>0</v>
      </c>
      <c r="AF563" s="365" t="n">
        <v>1</v>
      </c>
    </row>
    <row r="564" customFormat="false" ht="15" hidden="true" customHeight="false" outlineLevel="0" collapsed="false">
      <c r="B564" s="360" t="s">
        <v>3037</v>
      </c>
      <c r="C564" s="365" t="n">
        <v>1</v>
      </c>
      <c r="D564" s="358" t="n">
        <v>0</v>
      </c>
      <c r="E564" s="358" t="n">
        <v>0</v>
      </c>
      <c r="F564" s="358" t="n">
        <v>0</v>
      </c>
      <c r="G564" s="372" t="n">
        <v>0</v>
      </c>
      <c r="H564" s="373" t="n">
        <v>0</v>
      </c>
      <c r="I564" s="358" t="n">
        <v>0</v>
      </c>
      <c r="J564" s="358" t="n">
        <v>0</v>
      </c>
      <c r="K564" s="372" t="n">
        <v>0</v>
      </c>
      <c r="L564" s="373" t="n">
        <v>0</v>
      </c>
      <c r="M564" s="358" t="n">
        <v>0</v>
      </c>
      <c r="N564" s="358" t="n">
        <v>0</v>
      </c>
      <c r="O564" s="372" t="n">
        <v>0</v>
      </c>
      <c r="P564" s="373" t="n">
        <v>0</v>
      </c>
      <c r="Q564" s="358" t="n">
        <v>0</v>
      </c>
      <c r="R564" s="358" t="n">
        <v>0</v>
      </c>
      <c r="S564" s="372" t="n">
        <v>0</v>
      </c>
      <c r="T564" s="373" t="n">
        <v>0</v>
      </c>
      <c r="U564" s="358" t="n">
        <v>0</v>
      </c>
      <c r="V564" s="358" t="n">
        <v>0</v>
      </c>
      <c r="W564" s="372" t="n">
        <v>0</v>
      </c>
      <c r="X564" s="373" t="n">
        <v>0</v>
      </c>
      <c r="Y564" s="358" t="n">
        <v>0</v>
      </c>
      <c r="Z564" s="358" t="n">
        <v>0</v>
      </c>
      <c r="AA564" s="358" t="n">
        <v>0</v>
      </c>
      <c r="AB564" s="373" t="n">
        <v>0</v>
      </c>
      <c r="AC564" s="358" t="n">
        <v>0</v>
      </c>
      <c r="AD564" s="358" t="n">
        <v>0</v>
      </c>
      <c r="AE564" s="358" t="n">
        <v>0</v>
      </c>
      <c r="AF564" s="365" t="n">
        <v>1</v>
      </c>
    </row>
    <row r="565" customFormat="false" ht="15" hidden="true" customHeight="false" outlineLevel="0" collapsed="false">
      <c r="B565" s="360" t="s">
        <v>3038</v>
      </c>
      <c r="C565" s="365" t="n">
        <v>1</v>
      </c>
      <c r="D565" s="358" t="n">
        <v>0</v>
      </c>
      <c r="E565" s="358" t="n">
        <v>0</v>
      </c>
      <c r="F565" s="358" t="n">
        <v>0</v>
      </c>
      <c r="G565" s="372" t="n">
        <v>0</v>
      </c>
      <c r="H565" s="373" t="n">
        <v>0</v>
      </c>
      <c r="I565" s="358" t="n">
        <v>0</v>
      </c>
      <c r="J565" s="358" t="n">
        <v>0</v>
      </c>
      <c r="K565" s="372" t="n">
        <v>0</v>
      </c>
      <c r="L565" s="373" t="n">
        <v>0</v>
      </c>
      <c r="M565" s="358" t="n">
        <v>0</v>
      </c>
      <c r="N565" s="358" t="n">
        <v>0</v>
      </c>
      <c r="O565" s="372" t="n">
        <v>0</v>
      </c>
      <c r="P565" s="373" t="n">
        <v>0</v>
      </c>
      <c r="Q565" s="358" t="n">
        <v>0</v>
      </c>
      <c r="R565" s="358" t="n">
        <v>0</v>
      </c>
      <c r="S565" s="372" t="n">
        <v>0</v>
      </c>
      <c r="T565" s="373" t="n">
        <v>0</v>
      </c>
      <c r="U565" s="358" t="n">
        <v>0</v>
      </c>
      <c r="V565" s="358" t="n">
        <v>0</v>
      </c>
      <c r="W565" s="372" t="n">
        <v>0</v>
      </c>
      <c r="X565" s="373" t="n">
        <v>0</v>
      </c>
      <c r="Y565" s="358" t="n">
        <v>0</v>
      </c>
      <c r="Z565" s="358" t="n">
        <v>0</v>
      </c>
      <c r="AA565" s="358" t="n">
        <v>0</v>
      </c>
      <c r="AB565" s="373" t="n">
        <v>0</v>
      </c>
      <c r="AC565" s="358" t="n">
        <v>0</v>
      </c>
      <c r="AD565" s="358" t="n">
        <v>0</v>
      </c>
      <c r="AE565" s="358" t="n">
        <v>0</v>
      </c>
      <c r="AF565" s="365" t="n">
        <v>1</v>
      </c>
    </row>
    <row r="566" customFormat="false" ht="15" hidden="true" customHeight="false" outlineLevel="0" collapsed="false">
      <c r="B566" s="360" t="s">
        <v>3039</v>
      </c>
      <c r="C566" s="365" t="n">
        <v>1</v>
      </c>
      <c r="D566" s="358" t="n">
        <v>0</v>
      </c>
      <c r="E566" s="358" t="n">
        <v>0</v>
      </c>
      <c r="F566" s="358" t="n">
        <v>0</v>
      </c>
      <c r="G566" s="372" t="n">
        <v>0</v>
      </c>
      <c r="H566" s="373" t="n">
        <v>0</v>
      </c>
      <c r="I566" s="358" t="n">
        <v>0</v>
      </c>
      <c r="J566" s="358" t="n">
        <v>0</v>
      </c>
      <c r="K566" s="372" t="n">
        <v>0</v>
      </c>
      <c r="L566" s="373" t="n">
        <v>0</v>
      </c>
      <c r="M566" s="358" t="n">
        <v>0</v>
      </c>
      <c r="N566" s="358" t="n">
        <v>0</v>
      </c>
      <c r="O566" s="372" t="n">
        <v>0</v>
      </c>
      <c r="P566" s="373" t="n">
        <v>0</v>
      </c>
      <c r="Q566" s="358" t="n">
        <v>0</v>
      </c>
      <c r="R566" s="358" t="n">
        <v>0</v>
      </c>
      <c r="S566" s="372" t="n">
        <v>0</v>
      </c>
      <c r="T566" s="373" t="n">
        <v>0</v>
      </c>
      <c r="U566" s="358" t="n">
        <v>0</v>
      </c>
      <c r="V566" s="358" t="n">
        <v>0</v>
      </c>
      <c r="W566" s="372" t="n">
        <v>0</v>
      </c>
      <c r="X566" s="373" t="n">
        <v>0</v>
      </c>
      <c r="Y566" s="358" t="n">
        <v>0</v>
      </c>
      <c r="Z566" s="358" t="n">
        <v>0</v>
      </c>
      <c r="AA566" s="358" t="n">
        <v>0</v>
      </c>
      <c r="AB566" s="373" t="n">
        <v>0</v>
      </c>
      <c r="AC566" s="358" t="n">
        <v>0</v>
      </c>
      <c r="AD566" s="358" t="n">
        <v>0</v>
      </c>
      <c r="AE566" s="358" t="n">
        <v>0</v>
      </c>
      <c r="AF566" s="365" t="n">
        <v>1</v>
      </c>
    </row>
    <row r="567" customFormat="false" ht="15" hidden="true" customHeight="false" outlineLevel="0" collapsed="false">
      <c r="B567" s="360" t="s">
        <v>3040</v>
      </c>
      <c r="C567" s="365" t="n">
        <v>1</v>
      </c>
      <c r="D567" s="358" t="n">
        <v>0</v>
      </c>
      <c r="E567" s="358" t="n">
        <v>0</v>
      </c>
      <c r="F567" s="358" t="n">
        <v>0</v>
      </c>
      <c r="G567" s="372" t="n">
        <v>0</v>
      </c>
      <c r="H567" s="373" t="n">
        <v>0</v>
      </c>
      <c r="I567" s="358" t="n">
        <v>0</v>
      </c>
      <c r="J567" s="358" t="n">
        <v>0</v>
      </c>
      <c r="K567" s="372" t="n">
        <v>0</v>
      </c>
      <c r="L567" s="373" t="n">
        <v>0</v>
      </c>
      <c r="M567" s="358" t="n">
        <v>0</v>
      </c>
      <c r="N567" s="358" t="n">
        <v>0</v>
      </c>
      <c r="O567" s="372" t="n">
        <v>0</v>
      </c>
      <c r="P567" s="373" t="n">
        <v>0</v>
      </c>
      <c r="Q567" s="358" t="n">
        <v>0</v>
      </c>
      <c r="R567" s="358" t="n">
        <v>0</v>
      </c>
      <c r="S567" s="372" t="n">
        <v>0</v>
      </c>
      <c r="T567" s="373" t="n">
        <v>0</v>
      </c>
      <c r="U567" s="358" t="n">
        <v>0</v>
      </c>
      <c r="V567" s="358" t="n">
        <v>0</v>
      </c>
      <c r="W567" s="372" t="n">
        <v>0</v>
      </c>
      <c r="X567" s="373" t="n">
        <v>0</v>
      </c>
      <c r="Y567" s="358" t="n">
        <v>0</v>
      </c>
      <c r="Z567" s="358" t="n">
        <v>0</v>
      </c>
      <c r="AA567" s="358" t="n">
        <v>0</v>
      </c>
      <c r="AB567" s="373" t="n">
        <v>0</v>
      </c>
      <c r="AC567" s="358" t="n">
        <v>0</v>
      </c>
      <c r="AD567" s="358" t="n">
        <v>0</v>
      </c>
      <c r="AE567" s="358" t="n">
        <v>0</v>
      </c>
      <c r="AF567" s="365" t="n">
        <v>1</v>
      </c>
    </row>
    <row r="568" customFormat="false" ht="15" hidden="true" customHeight="false" outlineLevel="0" collapsed="false">
      <c r="B568" s="360" t="s">
        <v>3041</v>
      </c>
      <c r="C568" s="365" t="n">
        <v>1</v>
      </c>
      <c r="D568" s="358" t="n">
        <v>0</v>
      </c>
      <c r="E568" s="358" t="n">
        <v>0</v>
      </c>
      <c r="F568" s="358" t="n">
        <v>0</v>
      </c>
      <c r="G568" s="372" t="n">
        <v>0</v>
      </c>
      <c r="H568" s="373" t="n">
        <v>0</v>
      </c>
      <c r="I568" s="358" t="n">
        <v>0</v>
      </c>
      <c r="J568" s="358" t="n">
        <v>0</v>
      </c>
      <c r="K568" s="372" t="n">
        <v>0</v>
      </c>
      <c r="L568" s="373" t="n">
        <v>0</v>
      </c>
      <c r="M568" s="358" t="n">
        <v>0</v>
      </c>
      <c r="N568" s="358" t="n">
        <v>0</v>
      </c>
      <c r="O568" s="372" t="n">
        <v>0</v>
      </c>
      <c r="P568" s="373" t="n">
        <v>0</v>
      </c>
      <c r="Q568" s="358" t="n">
        <v>0</v>
      </c>
      <c r="R568" s="358" t="n">
        <v>0</v>
      </c>
      <c r="S568" s="372" t="n">
        <v>0</v>
      </c>
      <c r="T568" s="373" t="n">
        <v>0</v>
      </c>
      <c r="U568" s="358" t="n">
        <v>0</v>
      </c>
      <c r="V568" s="358" t="n">
        <v>0</v>
      </c>
      <c r="W568" s="372" t="n">
        <v>0</v>
      </c>
      <c r="X568" s="373" t="n">
        <v>0</v>
      </c>
      <c r="Y568" s="358" t="n">
        <v>0</v>
      </c>
      <c r="Z568" s="358" t="n">
        <v>0</v>
      </c>
      <c r="AA568" s="358" t="n">
        <v>0</v>
      </c>
      <c r="AB568" s="373" t="n">
        <v>0</v>
      </c>
      <c r="AC568" s="358" t="n">
        <v>0</v>
      </c>
      <c r="AD568" s="358" t="n">
        <v>0</v>
      </c>
      <c r="AE568" s="358" t="n">
        <v>0</v>
      </c>
      <c r="AF568" s="365" t="n">
        <v>1</v>
      </c>
    </row>
    <row r="569" customFormat="false" ht="15" hidden="true" customHeight="false" outlineLevel="0" collapsed="false">
      <c r="B569" s="360" t="s">
        <v>3042</v>
      </c>
      <c r="C569" s="365" t="n">
        <v>1</v>
      </c>
      <c r="D569" s="358" t="n">
        <v>0</v>
      </c>
      <c r="E569" s="358" t="n">
        <v>0</v>
      </c>
      <c r="F569" s="358" t="n">
        <v>0</v>
      </c>
      <c r="G569" s="372" t="n">
        <v>0</v>
      </c>
      <c r="H569" s="373" t="n">
        <v>0</v>
      </c>
      <c r="I569" s="358" t="n">
        <v>0</v>
      </c>
      <c r="J569" s="358" t="n">
        <v>0</v>
      </c>
      <c r="K569" s="372" t="n">
        <v>0</v>
      </c>
      <c r="L569" s="373" t="n">
        <v>0</v>
      </c>
      <c r="M569" s="358" t="n">
        <v>0</v>
      </c>
      <c r="N569" s="358" t="n">
        <v>0</v>
      </c>
      <c r="O569" s="372" t="n">
        <v>0</v>
      </c>
      <c r="P569" s="373" t="n">
        <v>0</v>
      </c>
      <c r="Q569" s="358" t="n">
        <v>0</v>
      </c>
      <c r="R569" s="358" t="n">
        <v>0</v>
      </c>
      <c r="S569" s="372" t="n">
        <v>0</v>
      </c>
      <c r="T569" s="373" t="n">
        <v>0</v>
      </c>
      <c r="U569" s="358" t="n">
        <v>0</v>
      </c>
      <c r="V569" s="358" t="n">
        <v>0</v>
      </c>
      <c r="W569" s="372" t="n">
        <v>0</v>
      </c>
      <c r="X569" s="373" t="n">
        <v>0</v>
      </c>
      <c r="Y569" s="358" t="n">
        <v>0</v>
      </c>
      <c r="Z569" s="358" t="n">
        <v>0</v>
      </c>
      <c r="AA569" s="358" t="n">
        <v>0</v>
      </c>
      <c r="AB569" s="373" t="n">
        <v>0</v>
      </c>
      <c r="AC569" s="358" t="n">
        <v>0</v>
      </c>
      <c r="AD569" s="358" t="n">
        <v>0</v>
      </c>
      <c r="AE569" s="358" t="n">
        <v>0</v>
      </c>
      <c r="AF569" s="365" t="n">
        <v>1</v>
      </c>
    </row>
    <row r="570" customFormat="false" ht="15" hidden="true" customHeight="false" outlineLevel="0" collapsed="false">
      <c r="B570" s="360" t="s">
        <v>3043</v>
      </c>
      <c r="C570" s="365" t="n">
        <v>1</v>
      </c>
      <c r="D570" s="358" t="n">
        <v>0</v>
      </c>
      <c r="E570" s="358" t="n">
        <v>0</v>
      </c>
      <c r="F570" s="358" t="n">
        <v>0</v>
      </c>
      <c r="G570" s="372" t="n">
        <v>0</v>
      </c>
      <c r="H570" s="373" t="n">
        <v>0</v>
      </c>
      <c r="I570" s="358" t="n">
        <v>0</v>
      </c>
      <c r="J570" s="358" t="n">
        <v>0</v>
      </c>
      <c r="K570" s="372" t="n">
        <v>0</v>
      </c>
      <c r="L570" s="373" t="n">
        <v>0</v>
      </c>
      <c r="M570" s="358" t="n">
        <v>0</v>
      </c>
      <c r="N570" s="358" t="n">
        <v>0</v>
      </c>
      <c r="O570" s="372" t="n">
        <v>0</v>
      </c>
      <c r="P570" s="373" t="n">
        <v>0</v>
      </c>
      <c r="Q570" s="358" t="n">
        <v>0</v>
      </c>
      <c r="R570" s="358" t="n">
        <v>0</v>
      </c>
      <c r="S570" s="372" t="n">
        <v>0</v>
      </c>
      <c r="T570" s="373" t="n">
        <v>0</v>
      </c>
      <c r="U570" s="358" t="n">
        <v>0</v>
      </c>
      <c r="V570" s="358" t="n">
        <v>0</v>
      </c>
      <c r="W570" s="372" t="n">
        <v>0</v>
      </c>
      <c r="X570" s="373" t="n">
        <v>0</v>
      </c>
      <c r="Y570" s="358" t="n">
        <v>0</v>
      </c>
      <c r="Z570" s="358" t="n">
        <v>0</v>
      </c>
      <c r="AA570" s="358" t="n">
        <v>0</v>
      </c>
      <c r="AB570" s="373" t="n">
        <v>0</v>
      </c>
      <c r="AC570" s="358" t="n">
        <v>0</v>
      </c>
      <c r="AD570" s="358" t="n">
        <v>0</v>
      </c>
      <c r="AE570" s="358" t="n">
        <v>0</v>
      </c>
      <c r="AF570" s="365" t="n">
        <v>1</v>
      </c>
    </row>
    <row r="571" customFormat="false" ht="15" hidden="true" customHeight="false" outlineLevel="0" collapsed="false">
      <c r="B571" s="360" t="s">
        <v>3044</v>
      </c>
      <c r="C571" s="365" t="n">
        <v>1</v>
      </c>
      <c r="D571" s="358" t="n">
        <v>0</v>
      </c>
      <c r="E571" s="358" t="n">
        <v>0</v>
      </c>
      <c r="F571" s="358" t="n">
        <v>0</v>
      </c>
      <c r="G571" s="372" t="n">
        <v>0</v>
      </c>
      <c r="H571" s="373" t="n">
        <v>0</v>
      </c>
      <c r="I571" s="358" t="n">
        <v>0</v>
      </c>
      <c r="J571" s="358" t="n">
        <v>0</v>
      </c>
      <c r="K571" s="372" t="n">
        <v>0</v>
      </c>
      <c r="L571" s="373" t="n">
        <v>0</v>
      </c>
      <c r="M571" s="358" t="n">
        <v>0</v>
      </c>
      <c r="N571" s="358" t="n">
        <v>0</v>
      </c>
      <c r="O571" s="372" t="n">
        <v>0</v>
      </c>
      <c r="P571" s="373" t="n">
        <v>0</v>
      </c>
      <c r="Q571" s="358" t="n">
        <v>0</v>
      </c>
      <c r="R571" s="358" t="n">
        <v>0</v>
      </c>
      <c r="S571" s="372" t="n">
        <v>0</v>
      </c>
      <c r="T571" s="373" t="n">
        <v>0</v>
      </c>
      <c r="U571" s="358" t="n">
        <v>0</v>
      </c>
      <c r="V571" s="358" t="n">
        <v>0</v>
      </c>
      <c r="W571" s="372" t="n">
        <v>0</v>
      </c>
      <c r="X571" s="373" t="n">
        <v>0</v>
      </c>
      <c r="Y571" s="358" t="n">
        <v>0</v>
      </c>
      <c r="Z571" s="358" t="n">
        <v>0</v>
      </c>
      <c r="AA571" s="358" t="n">
        <v>0</v>
      </c>
      <c r="AB571" s="373" t="n">
        <v>0</v>
      </c>
      <c r="AC571" s="358" t="n">
        <v>0</v>
      </c>
      <c r="AD571" s="358" t="n">
        <v>0</v>
      </c>
      <c r="AE571" s="358" t="n">
        <v>0</v>
      </c>
      <c r="AF571" s="365" t="n">
        <v>1</v>
      </c>
    </row>
    <row r="572" customFormat="false" ht="15" hidden="true" customHeight="false" outlineLevel="0" collapsed="false">
      <c r="B572" s="360" t="s">
        <v>3045</v>
      </c>
      <c r="C572" s="365" t="n">
        <v>1</v>
      </c>
      <c r="D572" s="358" t="n">
        <v>0</v>
      </c>
      <c r="E572" s="358" t="n">
        <v>0</v>
      </c>
      <c r="F572" s="358" t="n">
        <v>0</v>
      </c>
      <c r="G572" s="372" t="n">
        <v>0</v>
      </c>
      <c r="H572" s="373" t="n">
        <v>0</v>
      </c>
      <c r="I572" s="358" t="n">
        <v>0</v>
      </c>
      <c r="J572" s="358" t="n">
        <v>0</v>
      </c>
      <c r="K572" s="372" t="n">
        <v>0</v>
      </c>
      <c r="L572" s="373" t="n">
        <v>0</v>
      </c>
      <c r="M572" s="358" t="n">
        <v>0</v>
      </c>
      <c r="N572" s="358" t="n">
        <v>0</v>
      </c>
      <c r="O572" s="372" t="n">
        <v>0</v>
      </c>
      <c r="P572" s="373" t="n">
        <v>0</v>
      </c>
      <c r="Q572" s="358" t="n">
        <v>0</v>
      </c>
      <c r="R572" s="358" t="n">
        <v>0</v>
      </c>
      <c r="S572" s="372" t="n">
        <v>0</v>
      </c>
      <c r="T572" s="373" t="n">
        <v>0</v>
      </c>
      <c r="U572" s="358" t="n">
        <v>0</v>
      </c>
      <c r="V572" s="358" t="n">
        <v>0</v>
      </c>
      <c r="W572" s="372" t="n">
        <v>0</v>
      </c>
      <c r="X572" s="373" t="n">
        <v>0</v>
      </c>
      <c r="Y572" s="358" t="n">
        <v>0</v>
      </c>
      <c r="Z572" s="358" t="n">
        <v>0</v>
      </c>
      <c r="AA572" s="358" t="n">
        <v>0</v>
      </c>
      <c r="AB572" s="373" t="n">
        <v>0</v>
      </c>
      <c r="AC572" s="358" t="n">
        <v>0</v>
      </c>
      <c r="AD572" s="358" t="n">
        <v>0</v>
      </c>
      <c r="AE572" s="358" t="n">
        <v>0</v>
      </c>
      <c r="AF572" s="365" t="n">
        <v>1</v>
      </c>
    </row>
    <row r="573" customFormat="false" ht="15" hidden="true" customHeight="false" outlineLevel="0" collapsed="false">
      <c r="B573" s="360" t="s">
        <v>3046</v>
      </c>
      <c r="C573" s="365" t="n">
        <v>1</v>
      </c>
      <c r="D573" s="358" t="n">
        <v>0</v>
      </c>
      <c r="E573" s="358" t="n">
        <v>0</v>
      </c>
      <c r="F573" s="358" t="n">
        <v>0</v>
      </c>
      <c r="G573" s="372" t="n">
        <v>0</v>
      </c>
      <c r="H573" s="373" t="n">
        <v>0</v>
      </c>
      <c r="I573" s="358" t="n">
        <v>0</v>
      </c>
      <c r="J573" s="358" t="n">
        <v>0</v>
      </c>
      <c r="K573" s="372" t="n">
        <v>0</v>
      </c>
      <c r="L573" s="373" t="n">
        <v>0</v>
      </c>
      <c r="M573" s="358" t="n">
        <v>0</v>
      </c>
      <c r="N573" s="358" t="n">
        <v>0</v>
      </c>
      <c r="O573" s="372" t="n">
        <v>0</v>
      </c>
      <c r="P573" s="373" t="n">
        <v>0</v>
      </c>
      <c r="Q573" s="358" t="n">
        <v>0</v>
      </c>
      <c r="R573" s="358" t="n">
        <v>0</v>
      </c>
      <c r="S573" s="372" t="n">
        <v>0</v>
      </c>
      <c r="T573" s="373" t="n">
        <v>0</v>
      </c>
      <c r="U573" s="358" t="n">
        <v>0</v>
      </c>
      <c r="V573" s="358" t="n">
        <v>0</v>
      </c>
      <c r="W573" s="372" t="n">
        <v>0</v>
      </c>
      <c r="X573" s="373" t="n">
        <v>0</v>
      </c>
      <c r="Y573" s="358" t="n">
        <v>0</v>
      </c>
      <c r="Z573" s="358" t="n">
        <v>0</v>
      </c>
      <c r="AA573" s="358" t="n">
        <v>0</v>
      </c>
      <c r="AB573" s="373" t="n">
        <v>0</v>
      </c>
      <c r="AC573" s="358" t="n">
        <v>0</v>
      </c>
      <c r="AD573" s="358" t="n">
        <v>0</v>
      </c>
      <c r="AE573" s="358" t="n">
        <v>0</v>
      </c>
      <c r="AF573" s="365" t="n">
        <v>1</v>
      </c>
    </row>
    <row r="574" customFormat="false" ht="15" hidden="true" customHeight="false" outlineLevel="0" collapsed="false">
      <c r="B574" s="360" t="s">
        <v>3047</v>
      </c>
      <c r="C574" s="365" t="n">
        <v>1</v>
      </c>
      <c r="D574" s="358" t="n">
        <v>0</v>
      </c>
      <c r="E574" s="358" t="n">
        <v>0</v>
      </c>
      <c r="F574" s="358" t="n">
        <v>0</v>
      </c>
      <c r="G574" s="372" t="n">
        <v>0</v>
      </c>
      <c r="H574" s="373" t="n">
        <v>0</v>
      </c>
      <c r="I574" s="358" t="n">
        <v>0</v>
      </c>
      <c r="J574" s="358" t="n">
        <v>0</v>
      </c>
      <c r="K574" s="372" t="n">
        <v>0</v>
      </c>
      <c r="L574" s="373" t="n">
        <v>0</v>
      </c>
      <c r="M574" s="358" t="n">
        <v>0</v>
      </c>
      <c r="N574" s="358" t="n">
        <v>0</v>
      </c>
      <c r="O574" s="372" t="n">
        <v>0</v>
      </c>
      <c r="P574" s="373" t="n">
        <v>0</v>
      </c>
      <c r="Q574" s="358" t="n">
        <v>0</v>
      </c>
      <c r="R574" s="358" t="n">
        <v>0</v>
      </c>
      <c r="S574" s="372" t="n">
        <v>0</v>
      </c>
      <c r="T574" s="373" t="n">
        <v>0</v>
      </c>
      <c r="U574" s="358" t="n">
        <v>0</v>
      </c>
      <c r="V574" s="358" t="n">
        <v>0</v>
      </c>
      <c r="W574" s="372" t="n">
        <v>0</v>
      </c>
      <c r="X574" s="373" t="n">
        <v>0</v>
      </c>
      <c r="Y574" s="358" t="n">
        <v>0</v>
      </c>
      <c r="Z574" s="358" t="n">
        <v>0</v>
      </c>
      <c r="AA574" s="358" t="n">
        <v>0</v>
      </c>
      <c r="AB574" s="373" t="n">
        <v>0</v>
      </c>
      <c r="AC574" s="358" t="n">
        <v>0</v>
      </c>
      <c r="AD574" s="358" t="n">
        <v>0</v>
      </c>
      <c r="AE574" s="358" t="n">
        <v>0</v>
      </c>
      <c r="AF574" s="365" t="n">
        <v>1</v>
      </c>
    </row>
    <row r="575" customFormat="false" ht="15" hidden="true" customHeight="false" outlineLevel="0" collapsed="false">
      <c r="B575" s="360" t="s">
        <v>3048</v>
      </c>
      <c r="C575" s="365" t="n">
        <v>1</v>
      </c>
      <c r="D575" s="358" t="n">
        <v>0</v>
      </c>
      <c r="E575" s="358" t="n">
        <v>0</v>
      </c>
      <c r="F575" s="358" t="n">
        <v>0</v>
      </c>
      <c r="G575" s="372" t="n">
        <v>0</v>
      </c>
      <c r="H575" s="373" t="n">
        <v>0</v>
      </c>
      <c r="I575" s="358" t="n">
        <v>0</v>
      </c>
      <c r="J575" s="358" t="n">
        <v>0</v>
      </c>
      <c r="K575" s="372" t="n">
        <v>0</v>
      </c>
      <c r="L575" s="373" t="n">
        <v>0</v>
      </c>
      <c r="M575" s="358" t="n">
        <v>0</v>
      </c>
      <c r="N575" s="358" t="n">
        <v>0</v>
      </c>
      <c r="O575" s="372" t="n">
        <v>0</v>
      </c>
      <c r="P575" s="373" t="n">
        <v>0</v>
      </c>
      <c r="Q575" s="358" t="n">
        <v>0</v>
      </c>
      <c r="R575" s="358" t="n">
        <v>0</v>
      </c>
      <c r="S575" s="372" t="n">
        <v>0</v>
      </c>
      <c r="T575" s="373" t="n">
        <v>0</v>
      </c>
      <c r="U575" s="358" t="n">
        <v>0</v>
      </c>
      <c r="V575" s="358" t="n">
        <v>0</v>
      </c>
      <c r="W575" s="372" t="n">
        <v>0</v>
      </c>
      <c r="X575" s="373" t="n">
        <v>0</v>
      </c>
      <c r="Y575" s="358" t="n">
        <v>0</v>
      </c>
      <c r="Z575" s="358" t="n">
        <v>0</v>
      </c>
      <c r="AA575" s="358" t="n">
        <v>0</v>
      </c>
      <c r="AB575" s="373" t="n">
        <v>0</v>
      </c>
      <c r="AC575" s="358" t="n">
        <v>0</v>
      </c>
      <c r="AD575" s="358" t="n">
        <v>0</v>
      </c>
      <c r="AE575" s="358" t="n">
        <v>0</v>
      </c>
      <c r="AF575" s="365" t="n">
        <v>1</v>
      </c>
    </row>
    <row r="576" customFormat="false" ht="15" hidden="true" customHeight="false" outlineLevel="0" collapsed="false">
      <c r="B576" s="360" t="s">
        <v>3049</v>
      </c>
      <c r="C576" s="365" t="n">
        <v>1</v>
      </c>
      <c r="D576" s="358" t="n">
        <v>0</v>
      </c>
      <c r="E576" s="358" t="n">
        <v>0</v>
      </c>
      <c r="F576" s="358" t="n">
        <v>0</v>
      </c>
      <c r="G576" s="372" t="n">
        <v>0</v>
      </c>
      <c r="H576" s="373" t="n">
        <v>0</v>
      </c>
      <c r="I576" s="358" t="n">
        <v>0</v>
      </c>
      <c r="J576" s="358" t="n">
        <v>0</v>
      </c>
      <c r="K576" s="372" t="n">
        <v>0</v>
      </c>
      <c r="L576" s="373" t="n">
        <v>0</v>
      </c>
      <c r="M576" s="358" t="n">
        <v>0</v>
      </c>
      <c r="N576" s="358" t="n">
        <v>0</v>
      </c>
      <c r="O576" s="372" t="n">
        <v>0</v>
      </c>
      <c r="P576" s="373" t="n">
        <v>0</v>
      </c>
      <c r="Q576" s="358" t="n">
        <v>0</v>
      </c>
      <c r="R576" s="358" t="n">
        <v>0</v>
      </c>
      <c r="S576" s="372" t="n">
        <v>0</v>
      </c>
      <c r="T576" s="373" t="n">
        <v>0</v>
      </c>
      <c r="U576" s="358" t="n">
        <v>0</v>
      </c>
      <c r="V576" s="358" t="n">
        <v>0</v>
      </c>
      <c r="W576" s="372" t="n">
        <v>0</v>
      </c>
      <c r="X576" s="373" t="n">
        <v>0</v>
      </c>
      <c r="Y576" s="358" t="n">
        <v>0</v>
      </c>
      <c r="Z576" s="358" t="n">
        <v>0</v>
      </c>
      <c r="AA576" s="358" t="n">
        <v>0</v>
      </c>
      <c r="AB576" s="373" t="n">
        <v>0</v>
      </c>
      <c r="AC576" s="358" t="n">
        <v>0</v>
      </c>
      <c r="AD576" s="358" t="n">
        <v>0</v>
      </c>
      <c r="AE576" s="358" t="n">
        <v>0</v>
      </c>
      <c r="AF576" s="365" t="n">
        <v>1</v>
      </c>
    </row>
    <row r="577" customFormat="false" ht="15" hidden="true" customHeight="false" outlineLevel="0" collapsed="false">
      <c r="B577" s="360" t="s">
        <v>3050</v>
      </c>
      <c r="C577" s="365" t="n">
        <v>1</v>
      </c>
      <c r="D577" s="358" t="n">
        <v>0</v>
      </c>
      <c r="E577" s="358" t="n">
        <v>0</v>
      </c>
      <c r="F577" s="358" t="n">
        <v>0</v>
      </c>
      <c r="G577" s="372" t="n">
        <v>0</v>
      </c>
      <c r="H577" s="373" t="n">
        <v>0</v>
      </c>
      <c r="I577" s="358" t="n">
        <v>0</v>
      </c>
      <c r="J577" s="358" t="n">
        <v>0</v>
      </c>
      <c r="K577" s="372" t="n">
        <v>0</v>
      </c>
      <c r="L577" s="373" t="n">
        <v>0</v>
      </c>
      <c r="M577" s="358" t="n">
        <v>0</v>
      </c>
      <c r="N577" s="358" t="n">
        <v>0</v>
      </c>
      <c r="O577" s="372" t="n">
        <v>0</v>
      </c>
      <c r="P577" s="373" t="n">
        <v>0</v>
      </c>
      <c r="Q577" s="358" t="n">
        <v>0</v>
      </c>
      <c r="R577" s="358" t="n">
        <v>0</v>
      </c>
      <c r="S577" s="372" t="n">
        <v>0</v>
      </c>
      <c r="T577" s="373" t="n">
        <v>0</v>
      </c>
      <c r="U577" s="358" t="n">
        <v>0</v>
      </c>
      <c r="V577" s="358" t="n">
        <v>0</v>
      </c>
      <c r="W577" s="372" t="n">
        <v>0</v>
      </c>
      <c r="X577" s="373" t="n">
        <v>0</v>
      </c>
      <c r="Y577" s="358" t="n">
        <v>0</v>
      </c>
      <c r="Z577" s="358" t="n">
        <v>0</v>
      </c>
      <c r="AA577" s="358" t="n">
        <v>0</v>
      </c>
      <c r="AB577" s="373" t="n">
        <v>0</v>
      </c>
      <c r="AC577" s="358" t="n">
        <v>0</v>
      </c>
      <c r="AD577" s="358" t="n">
        <v>0</v>
      </c>
      <c r="AE577" s="358" t="n">
        <v>0</v>
      </c>
      <c r="AF577" s="365" t="n">
        <v>1</v>
      </c>
    </row>
    <row r="578" customFormat="false" ht="15" hidden="true" customHeight="false" outlineLevel="0" collapsed="false">
      <c r="B578" s="360" t="s">
        <v>3051</v>
      </c>
      <c r="C578" s="365" t="n">
        <v>1</v>
      </c>
      <c r="D578" s="358" t="n">
        <v>0</v>
      </c>
      <c r="E578" s="358" t="n">
        <v>0</v>
      </c>
      <c r="F578" s="358" t="n">
        <v>0</v>
      </c>
      <c r="G578" s="372" t="n">
        <v>0</v>
      </c>
      <c r="H578" s="373" t="n">
        <v>0</v>
      </c>
      <c r="I578" s="358" t="n">
        <v>0</v>
      </c>
      <c r="J578" s="358" t="n">
        <v>0</v>
      </c>
      <c r="K578" s="372" t="n">
        <v>0</v>
      </c>
      <c r="L578" s="373" t="n">
        <v>0</v>
      </c>
      <c r="M578" s="358" t="n">
        <v>0</v>
      </c>
      <c r="N578" s="358" t="n">
        <v>0</v>
      </c>
      <c r="O578" s="372" t="n">
        <v>0</v>
      </c>
      <c r="P578" s="373" t="n">
        <v>0</v>
      </c>
      <c r="Q578" s="358" t="n">
        <v>0</v>
      </c>
      <c r="R578" s="358" t="n">
        <v>0</v>
      </c>
      <c r="S578" s="372" t="n">
        <v>0</v>
      </c>
      <c r="T578" s="373" t="n">
        <v>0</v>
      </c>
      <c r="U578" s="358" t="n">
        <v>0</v>
      </c>
      <c r="V578" s="358" t="n">
        <v>0</v>
      </c>
      <c r="W578" s="372" t="n">
        <v>0</v>
      </c>
      <c r="X578" s="373" t="n">
        <v>0</v>
      </c>
      <c r="Y578" s="358" t="n">
        <v>0</v>
      </c>
      <c r="Z578" s="358" t="n">
        <v>0</v>
      </c>
      <c r="AA578" s="358" t="n">
        <v>0</v>
      </c>
      <c r="AB578" s="373" t="n">
        <v>0</v>
      </c>
      <c r="AC578" s="358" t="n">
        <v>0</v>
      </c>
      <c r="AD578" s="358" t="n">
        <v>0</v>
      </c>
      <c r="AE578" s="358" t="n">
        <v>0</v>
      </c>
      <c r="AF578" s="365" t="n">
        <v>1</v>
      </c>
    </row>
    <row r="579" customFormat="false" ht="15" hidden="true" customHeight="false" outlineLevel="0" collapsed="false">
      <c r="B579" s="360" t="s">
        <v>3052</v>
      </c>
      <c r="C579" s="365" t="n">
        <v>1</v>
      </c>
      <c r="D579" s="358" t="n">
        <v>0</v>
      </c>
      <c r="E579" s="358" t="n">
        <v>0</v>
      </c>
      <c r="F579" s="358" t="n">
        <v>0</v>
      </c>
      <c r="G579" s="372" t="n">
        <v>0</v>
      </c>
      <c r="H579" s="373" t="n">
        <v>0</v>
      </c>
      <c r="I579" s="358" t="n">
        <v>0</v>
      </c>
      <c r="J579" s="358" t="n">
        <v>0</v>
      </c>
      <c r="K579" s="372" t="n">
        <v>0</v>
      </c>
      <c r="L579" s="373" t="n">
        <v>0</v>
      </c>
      <c r="M579" s="358" t="n">
        <v>0</v>
      </c>
      <c r="N579" s="358" t="n">
        <v>0</v>
      </c>
      <c r="O579" s="372" t="n">
        <v>0</v>
      </c>
      <c r="P579" s="373" t="n">
        <v>0</v>
      </c>
      <c r="Q579" s="358" t="n">
        <v>0</v>
      </c>
      <c r="R579" s="358" t="n">
        <v>0</v>
      </c>
      <c r="S579" s="372" t="n">
        <v>0</v>
      </c>
      <c r="T579" s="373" t="n">
        <v>0</v>
      </c>
      <c r="U579" s="358" t="n">
        <v>0</v>
      </c>
      <c r="V579" s="358" t="n">
        <v>0</v>
      </c>
      <c r="W579" s="372" t="n">
        <v>0</v>
      </c>
      <c r="X579" s="373" t="n">
        <v>0</v>
      </c>
      <c r="Y579" s="358" t="n">
        <v>0</v>
      </c>
      <c r="Z579" s="358" t="n">
        <v>0</v>
      </c>
      <c r="AA579" s="358" t="n">
        <v>0</v>
      </c>
      <c r="AB579" s="373" t="n">
        <v>0</v>
      </c>
      <c r="AC579" s="358" t="n">
        <v>0</v>
      </c>
      <c r="AD579" s="358" t="n">
        <v>0</v>
      </c>
      <c r="AE579" s="358" t="n">
        <v>0</v>
      </c>
      <c r="AF579" s="365" t="n">
        <v>1</v>
      </c>
    </row>
    <row r="580" customFormat="false" ht="15" hidden="true" customHeight="false" outlineLevel="0" collapsed="false">
      <c r="B580" s="360" t="s">
        <v>3053</v>
      </c>
      <c r="C580" s="365" t="n">
        <v>1</v>
      </c>
      <c r="D580" s="358" t="n">
        <v>0</v>
      </c>
      <c r="E580" s="358" t="n">
        <v>0</v>
      </c>
      <c r="F580" s="358" t="n">
        <v>0</v>
      </c>
      <c r="G580" s="372" t="n">
        <v>0</v>
      </c>
      <c r="H580" s="373" t="n">
        <v>0</v>
      </c>
      <c r="I580" s="358" t="n">
        <v>0</v>
      </c>
      <c r="J580" s="358" t="n">
        <v>0</v>
      </c>
      <c r="K580" s="372" t="n">
        <v>0</v>
      </c>
      <c r="L580" s="373" t="n">
        <v>0</v>
      </c>
      <c r="M580" s="358" t="n">
        <v>0</v>
      </c>
      <c r="N580" s="358" t="n">
        <v>0</v>
      </c>
      <c r="O580" s="372" t="n">
        <v>0</v>
      </c>
      <c r="P580" s="373" t="n">
        <v>0</v>
      </c>
      <c r="Q580" s="358" t="n">
        <v>0</v>
      </c>
      <c r="R580" s="358" t="n">
        <v>0</v>
      </c>
      <c r="S580" s="372" t="n">
        <v>0</v>
      </c>
      <c r="T580" s="373" t="n">
        <v>0</v>
      </c>
      <c r="U580" s="358" t="n">
        <v>0</v>
      </c>
      <c r="V580" s="358" t="n">
        <v>0</v>
      </c>
      <c r="W580" s="372" t="n">
        <v>0</v>
      </c>
      <c r="X580" s="373" t="n">
        <v>0</v>
      </c>
      <c r="Y580" s="358" t="n">
        <v>0</v>
      </c>
      <c r="Z580" s="358" t="n">
        <v>0</v>
      </c>
      <c r="AA580" s="358" t="n">
        <v>0</v>
      </c>
      <c r="AB580" s="373" t="n">
        <v>0</v>
      </c>
      <c r="AC580" s="358" t="n">
        <v>0</v>
      </c>
      <c r="AD580" s="358" t="n">
        <v>0</v>
      </c>
      <c r="AE580" s="358" t="n">
        <v>0</v>
      </c>
      <c r="AF580" s="365" t="n">
        <v>1</v>
      </c>
    </row>
    <row r="581" customFormat="false" ht="15" hidden="true" customHeight="false" outlineLevel="0" collapsed="false">
      <c r="B581" s="360" t="s">
        <v>3054</v>
      </c>
      <c r="C581" s="365" t="n">
        <v>1</v>
      </c>
      <c r="D581" s="358" t="n">
        <v>0</v>
      </c>
      <c r="E581" s="358" t="n">
        <v>0</v>
      </c>
      <c r="F581" s="358" t="n">
        <v>0</v>
      </c>
      <c r="G581" s="372" t="n">
        <v>0</v>
      </c>
      <c r="H581" s="373" t="n">
        <v>0</v>
      </c>
      <c r="I581" s="358" t="n">
        <v>0</v>
      </c>
      <c r="J581" s="358" t="n">
        <v>0</v>
      </c>
      <c r="K581" s="372" t="n">
        <v>0</v>
      </c>
      <c r="L581" s="373" t="n">
        <v>0</v>
      </c>
      <c r="M581" s="358" t="n">
        <v>0</v>
      </c>
      <c r="N581" s="358" t="n">
        <v>0</v>
      </c>
      <c r="O581" s="372" t="n">
        <v>0</v>
      </c>
      <c r="P581" s="373" t="n">
        <v>0</v>
      </c>
      <c r="Q581" s="358" t="n">
        <v>0</v>
      </c>
      <c r="R581" s="358" t="n">
        <v>0</v>
      </c>
      <c r="S581" s="372" t="n">
        <v>0</v>
      </c>
      <c r="T581" s="373" t="n">
        <v>0</v>
      </c>
      <c r="U581" s="358" t="n">
        <v>0</v>
      </c>
      <c r="V581" s="358" t="n">
        <v>0</v>
      </c>
      <c r="W581" s="372" t="n">
        <v>0</v>
      </c>
      <c r="X581" s="373" t="n">
        <v>0</v>
      </c>
      <c r="Y581" s="358" t="n">
        <v>0</v>
      </c>
      <c r="Z581" s="358" t="n">
        <v>0</v>
      </c>
      <c r="AA581" s="358" t="n">
        <v>0</v>
      </c>
      <c r="AB581" s="373" t="n">
        <v>0</v>
      </c>
      <c r="AC581" s="358" t="n">
        <v>0</v>
      </c>
      <c r="AD581" s="358" t="n">
        <v>0</v>
      </c>
      <c r="AE581" s="358" t="n">
        <v>0</v>
      </c>
      <c r="AF581" s="365" t="n">
        <v>1</v>
      </c>
    </row>
    <row r="582" customFormat="false" ht="15" hidden="true" customHeight="false" outlineLevel="0" collapsed="false">
      <c r="B582" s="360" t="s">
        <v>3055</v>
      </c>
      <c r="C582" s="365" t="n">
        <v>1</v>
      </c>
      <c r="D582" s="358" t="n">
        <v>0</v>
      </c>
      <c r="E582" s="358" t="n">
        <v>0</v>
      </c>
      <c r="F582" s="358" t="n">
        <v>0</v>
      </c>
      <c r="G582" s="372" t="n">
        <v>0</v>
      </c>
      <c r="H582" s="373" t="n">
        <v>0</v>
      </c>
      <c r="I582" s="358" t="n">
        <v>0</v>
      </c>
      <c r="J582" s="358" t="n">
        <v>0</v>
      </c>
      <c r="K582" s="372" t="n">
        <v>0</v>
      </c>
      <c r="L582" s="373" t="n">
        <v>0</v>
      </c>
      <c r="M582" s="358" t="n">
        <v>0</v>
      </c>
      <c r="N582" s="358" t="n">
        <v>0</v>
      </c>
      <c r="O582" s="372" t="n">
        <v>0</v>
      </c>
      <c r="P582" s="373" t="n">
        <v>0</v>
      </c>
      <c r="Q582" s="358" t="n">
        <v>0</v>
      </c>
      <c r="R582" s="358" t="n">
        <v>0</v>
      </c>
      <c r="S582" s="372" t="n">
        <v>0</v>
      </c>
      <c r="T582" s="373" t="n">
        <v>0</v>
      </c>
      <c r="U582" s="358" t="n">
        <v>0</v>
      </c>
      <c r="V582" s="358" t="n">
        <v>0</v>
      </c>
      <c r="W582" s="372" t="n">
        <v>0</v>
      </c>
      <c r="X582" s="373" t="n">
        <v>0</v>
      </c>
      <c r="Y582" s="358" t="n">
        <v>0</v>
      </c>
      <c r="Z582" s="358" t="n">
        <v>0</v>
      </c>
      <c r="AA582" s="358" t="n">
        <v>0</v>
      </c>
      <c r="AB582" s="373" t="n">
        <v>0</v>
      </c>
      <c r="AC582" s="358" t="n">
        <v>0</v>
      </c>
      <c r="AD582" s="358" t="n">
        <v>0</v>
      </c>
      <c r="AE582" s="358" t="n">
        <v>0</v>
      </c>
      <c r="AF582" s="365" t="n">
        <v>1</v>
      </c>
    </row>
    <row r="583" customFormat="false" ht="15" hidden="true" customHeight="false" outlineLevel="0" collapsed="false">
      <c r="B583" s="360" t="s">
        <v>3056</v>
      </c>
      <c r="C583" s="365" t="n">
        <v>1</v>
      </c>
      <c r="D583" s="358" t="n">
        <v>0</v>
      </c>
      <c r="E583" s="358" t="n">
        <v>0</v>
      </c>
      <c r="F583" s="358" t="n">
        <v>0</v>
      </c>
      <c r="G583" s="372" t="n">
        <v>0</v>
      </c>
      <c r="H583" s="373" t="n">
        <v>0</v>
      </c>
      <c r="I583" s="358" t="n">
        <v>0</v>
      </c>
      <c r="J583" s="358" t="n">
        <v>0</v>
      </c>
      <c r="K583" s="372" t="n">
        <v>0</v>
      </c>
      <c r="L583" s="373" t="n">
        <v>0</v>
      </c>
      <c r="M583" s="358" t="n">
        <v>0</v>
      </c>
      <c r="N583" s="358" t="n">
        <v>0</v>
      </c>
      <c r="O583" s="372" t="n">
        <v>0</v>
      </c>
      <c r="P583" s="373" t="n">
        <v>0</v>
      </c>
      <c r="Q583" s="358" t="n">
        <v>0</v>
      </c>
      <c r="R583" s="358" t="n">
        <v>0</v>
      </c>
      <c r="S583" s="372" t="n">
        <v>0</v>
      </c>
      <c r="T583" s="373" t="n">
        <v>0</v>
      </c>
      <c r="U583" s="358" t="n">
        <v>0</v>
      </c>
      <c r="V583" s="358" t="n">
        <v>0</v>
      </c>
      <c r="W583" s="372" t="n">
        <v>0</v>
      </c>
      <c r="X583" s="373" t="n">
        <v>0</v>
      </c>
      <c r="Y583" s="358" t="n">
        <v>0</v>
      </c>
      <c r="Z583" s="358" t="n">
        <v>0</v>
      </c>
      <c r="AA583" s="358" t="n">
        <v>0</v>
      </c>
      <c r="AB583" s="373" t="n">
        <v>0</v>
      </c>
      <c r="AC583" s="358" t="n">
        <v>0</v>
      </c>
      <c r="AD583" s="358" t="n">
        <v>0</v>
      </c>
      <c r="AE583" s="358" t="n">
        <v>0</v>
      </c>
      <c r="AF583" s="365" t="n">
        <v>1</v>
      </c>
    </row>
    <row r="584" customFormat="false" ht="15" hidden="true" customHeight="false" outlineLevel="0" collapsed="false">
      <c r="B584" s="360" t="s">
        <v>3057</v>
      </c>
      <c r="C584" s="365" t="n">
        <v>1</v>
      </c>
      <c r="D584" s="358" t="n">
        <v>0</v>
      </c>
      <c r="E584" s="358" t="n">
        <v>0</v>
      </c>
      <c r="F584" s="358" t="n">
        <v>0</v>
      </c>
      <c r="G584" s="372" t="n">
        <v>0</v>
      </c>
      <c r="H584" s="373" t="n">
        <v>0</v>
      </c>
      <c r="I584" s="358" t="n">
        <v>0</v>
      </c>
      <c r="J584" s="358" t="n">
        <v>0</v>
      </c>
      <c r="K584" s="372" t="n">
        <v>0</v>
      </c>
      <c r="L584" s="373" t="n">
        <v>0</v>
      </c>
      <c r="M584" s="358" t="n">
        <v>0</v>
      </c>
      <c r="N584" s="358" t="n">
        <v>0</v>
      </c>
      <c r="O584" s="372" t="n">
        <v>0</v>
      </c>
      <c r="P584" s="373" t="n">
        <v>0</v>
      </c>
      <c r="Q584" s="358" t="n">
        <v>0</v>
      </c>
      <c r="R584" s="358" t="n">
        <v>0</v>
      </c>
      <c r="S584" s="372" t="n">
        <v>0</v>
      </c>
      <c r="T584" s="373" t="n">
        <v>0</v>
      </c>
      <c r="U584" s="358" t="n">
        <v>0</v>
      </c>
      <c r="V584" s="358" t="n">
        <v>0</v>
      </c>
      <c r="W584" s="372" t="n">
        <v>0</v>
      </c>
      <c r="X584" s="373" t="n">
        <v>0</v>
      </c>
      <c r="Y584" s="358" t="n">
        <v>0</v>
      </c>
      <c r="Z584" s="358" t="n">
        <v>0</v>
      </c>
      <c r="AA584" s="358" t="n">
        <v>0</v>
      </c>
      <c r="AB584" s="373" t="n">
        <v>0</v>
      </c>
      <c r="AC584" s="358" t="n">
        <v>0</v>
      </c>
      <c r="AD584" s="358" t="n">
        <v>0</v>
      </c>
      <c r="AE584" s="358" t="n">
        <v>0</v>
      </c>
      <c r="AF584" s="365" t="n">
        <v>1</v>
      </c>
    </row>
    <row r="585" customFormat="false" ht="15" hidden="true" customHeight="false" outlineLevel="0" collapsed="false">
      <c r="B585" s="360" t="s">
        <v>3058</v>
      </c>
      <c r="C585" s="365" t="n">
        <v>1</v>
      </c>
      <c r="D585" s="358" t="n">
        <v>0</v>
      </c>
      <c r="E585" s="358" t="n">
        <v>0</v>
      </c>
      <c r="F585" s="358" t="n">
        <v>0</v>
      </c>
      <c r="G585" s="372" t="n">
        <v>0</v>
      </c>
      <c r="H585" s="373" t="n">
        <v>0</v>
      </c>
      <c r="I585" s="358" t="n">
        <v>0</v>
      </c>
      <c r="J585" s="358" t="n">
        <v>0</v>
      </c>
      <c r="K585" s="372" t="n">
        <v>0</v>
      </c>
      <c r="L585" s="373" t="n">
        <v>0</v>
      </c>
      <c r="M585" s="358" t="n">
        <v>0</v>
      </c>
      <c r="N585" s="358" t="n">
        <v>0</v>
      </c>
      <c r="O585" s="372" t="n">
        <v>0</v>
      </c>
      <c r="P585" s="373" t="n">
        <v>0</v>
      </c>
      <c r="Q585" s="358" t="n">
        <v>0</v>
      </c>
      <c r="R585" s="358" t="n">
        <v>0</v>
      </c>
      <c r="S585" s="372" t="n">
        <v>0</v>
      </c>
      <c r="T585" s="373" t="n">
        <v>0</v>
      </c>
      <c r="U585" s="358" t="n">
        <v>0</v>
      </c>
      <c r="V585" s="358" t="n">
        <v>0</v>
      </c>
      <c r="W585" s="372" t="n">
        <v>0</v>
      </c>
      <c r="X585" s="373" t="n">
        <v>0</v>
      </c>
      <c r="Y585" s="358" t="n">
        <v>0</v>
      </c>
      <c r="Z585" s="358" t="n">
        <v>0</v>
      </c>
      <c r="AA585" s="358" t="n">
        <v>0</v>
      </c>
      <c r="AB585" s="373" t="n">
        <v>0</v>
      </c>
      <c r="AC585" s="358" t="n">
        <v>0</v>
      </c>
      <c r="AD585" s="358" t="n">
        <v>0</v>
      </c>
      <c r="AE585" s="358" t="n">
        <v>0</v>
      </c>
      <c r="AF585" s="365" t="n">
        <v>1</v>
      </c>
    </row>
    <row r="586" customFormat="false" ht="15" hidden="true" customHeight="false" outlineLevel="0" collapsed="false">
      <c r="B586" s="360" t="s">
        <v>3059</v>
      </c>
      <c r="C586" s="365" t="n">
        <v>1</v>
      </c>
      <c r="D586" s="358" t="n">
        <v>0</v>
      </c>
      <c r="E586" s="358" t="n">
        <v>0</v>
      </c>
      <c r="F586" s="358" t="n">
        <v>0</v>
      </c>
      <c r="G586" s="372" t="n">
        <v>0</v>
      </c>
      <c r="H586" s="373" t="n">
        <v>0</v>
      </c>
      <c r="I586" s="358" t="n">
        <v>0</v>
      </c>
      <c r="J586" s="358" t="n">
        <v>0</v>
      </c>
      <c r="K586" s="372" t="n">
        <v>0</v>
      </c>
      <c r="L586" s="373" t="n">
        <v>0</v>
      </c>
      <c r="M586" s="358" t="n">
        <v>0</v>
      </c>
      <c r="N586" s="358" t="n">
        <v>0</v>
      </c>
      <c r="O586" s="372" t="n">
        <v>0</v>
      </c>
      <c r="P586" s="373" t="n">
        <v>0</v>
      </c>
      <c r="Q586" s="358" t="n">
        <v>0</v>
      </c>
      <c r="R586" s="358" t="n">
        <v>0</v>
      </c>
      <c r="S586" s="372" t="n">
        <v>0</v>
      </c>
      <c r="T586" s="373" t="n">
        <v>0</v>
      </c>
      <c r="U586" s="358" t="n">
        <v>0</v>
      </c>
      <c r="V586" s="358" t="n">
        <v>0</v>
      </c>
      <c r="W586" s="372" t="n">
        <v>0</v>
      </c>
      <c r="X586" s="373" t="n">
        <v>0</v>
      </c>
      <c r="Y586" s="358" t="n">
        <v>0</v>
      </c>
      <c r="Z586" s="358" t="n">
        <v>0</v>
      </c>
      <c r="AA586" s="358" t="n">
        <v>0</v>
      </c>
      <c r="AB586" s="373" t="n">
        <v>0</v>
      </c>
      <c r="AC586" s="358" t="n">
        <v>0</v>
      </c>
      <c r="AD586" s="358" t="n">
        <v>0</v>
      </c>
      <c r="AE586" s="358" t="n">
        <v>0</v>
      </c>
      <c r="AF586" s="365" t="n">
        <v>1</v>
      </c>
    </row>
    <row r="587" customFormat="false" ht="15" hidden="true" customHeight="false" outlineLevel="0" collapsed="false">
      <c r="B587" s="360" t="s">
        <v>3060</v>
      </c>
      <c r="C587" s="365" t="n">
        <v>1</v>
      </c>
      <c r="D587" s="358" t="n">
        <v>0</v>
      </c>
      <c r="E587" s="358" t="n">
        <v>0</v>
      </c>
      <c r="F587" s="358" t="n">
        <v>0</v>
      </c>
      <c r="G587" s="372" t="n">
        <v>0</v>
      </c>
      <c r="H587" s="373" t="n">
        <v>0</v>
      </c>
      <c r="I587" s="358" t="n">
        <v>0</v>
      </c>
      <c r="J587" s="358" t="n">
        <v>0</v>
      </c>
      <c r="K587" s="372" t="n">
        <v>0</v>
      </c>
      <c r="L587" s="373" t="n">
        <v>0</v>
      </c>
      <c r="M587" s="358" t="n">
        <v>0</v>
      </c>
      <c r="N587" s="358" t="n">
        <v>0</v>
      </c>
      <c r="O587" s="372" t="n">
        <v>0</v>
      </c>
      <c r="P587" s="373" t="n">
        <v>0</v>
      </c>
      <c r="Q587" s="358" t="n">
        <v>0</v>
      </c>
      <c r="R587" s="358" t="n">
        <v>0</v>
      </c>
      <c r="S587" s="372" t="n">
        <v>0</v>
      </c>
      <c r="T587" s="373" t="n">
        <v>0</v>
      </c>
      <c r="U587" s="358" t="n">
        <v>0</v>
      </c>
      <c r="V587" s="358" t="n">
        <v>0</v>
      </c>
      <c r="W587" s="372" t="n">
        <v>0</v>
      </c>
      <c r="X587" s="373" t="n">
        <v>0</v>
      </c>
      <c r="Y587" s="358" t="n">
        <v>0</v>
      </c>
      <c r="Z587" s="358" t="n">
        <v>0</v>
      </c>
      <c r="AA587" s="358" t="n">
        <v>0</v>
      </c>
      <c r="AB587" s="373" t="n">
        <v>0</v>
      </c>
      <c r="AC587" s="358" t="n">
        <v>0</v>
      </c>
      <c r="AD587" s="358" t="n">
        <v>0</v>
      </c>
      <c r="AE587" s="358" t="n">
        <v>0</v>
      </c>
      <c r="AF587" s="365" t="n">
        <v>1</v>
      </c>
    </row>
    <row r="588" customFormat="false" ht="15" hidden="true" customHeight="false" outlineLevel="0" collapsed="false">
      <c r="B588" s="360" t="s">
        <v>3061</v>
      </c>
      <c r="C588" s="365" t="n">
        <v>1</v>
      </c>
      <c r="D588" s="358" t="n">
        <v>0</v>
      </c>
      <c r="E588" s="358" t="n">
        <v>0</v>
      </c>
      <c r="F588" s="358" t="n">
        <v>0</v>
      </c>
      <c r="G588" s="372" t="n">
        <v>0</v>
      </c>
      <c r="H588" s="373" t="n">
        <v>0</v>
      </c>
      <c r="I588" s="358" t="n">
        <v>0</v>
      </c>
      <c r="J588" s="358" t="n">
        <v>0</v>
      </c>
      <c r="K588" s="372" t="n">
        <v>0</v>
      </c>
      <c r="L588" s="373" t="n">
        <v>0</v>
      </c>
      <c r="M588" s="358" t="n">
        <v>0</v>
      </c>
      <c r="N588" s="358" t="n">
        <v>0</v>
      </c>
      <c r="O588" s="372" t="n">
        <v>0</v>
      </c>
      <c r="P588" s="373" t="n">
        <v>0</v>
      </c>
      <c r="Q588" s="358" t="n">
        <v>0</v>
      </c>
      <c r="R588" s="358" t="n">
        <v>0</v>
      </c>
      <c r="S588" s="372" t="n">
        <v>0</v>
      </c>
      <c r="T588" s="373" t="n">
        <v>0</v>
      </c>
      <c r="U588" s="358" t="n">
        <v>0</v>
      </c>
      <c r="V588" s="358" t="n">
        <v>0</v>
      </c>
      <c r="W588" s="372" t="n">
        <v>0</v>
      </c>
      <c r="X588" s="373" t="n">
        <v>0</v>
      </c>
      <c r="Y588" s="358" t="n">
        <v>0</v>
      </c>
      <c r="Z588" s="358" t="n">
        <v>0</v>
      </c>
      <c r="AA588" s="358" t="n">
        <v>0</v>
      </c>
      <c r="AB588" s="373" t="n">
        <v>0</v>
      </c>
      <c r="AC588" s="358" t="n">
        <v>0</v>
      </c>
      <c r="AD588" s="358" t="n">
        <v>0</v>
      </c>
      <c r="AE588" s="358" t="n">
        <v>0</v>
      </c>
      <c r="AF588" s="365" t="n">
        <v>1</v>
      </c>
    </row>
    <row r="589" customFormat="false" ht="15" hidden="true" customHeight="false" outlineLevel="0" collapsed="false">
      <c r="B589" s="360" t="s">
        <v>3062</v>
      </c>
      <c r="C589" s="365" t="n">
        <v>1</v>
      </c>
      <c r="D589" s="358" t="n">
        <v>0</v>
      </c>
      <c r="E589" s="358" t="n">
        <v>0</v>
      </c>
      <c r="F589" s="358" t="n">
        <v>0</v>
      </c>
      <c r="G589" s="372" t="n">
        <v>0</v>
      </c>
      <c r="H589" s="373" t="n">
        <v>0</v>
      </c>
      <c r="I589" s="358" t="n">
        <v>0</v>
      </c>
      <c r="J589" s="358" t="n">
        <v>0</v>
      </c>
      <c r="K589" s="372" t="n">
        <v>0</v>
      </c>
      <c r="L589" s="373" t="n">
        <v>0</v>
      </c>
      <c r="M589" s="358" t="n">
        <v>0</v>
      </c>
      <c r="N589" s="358" t="n">
        <v>0</v>
      </c>
      <c r="O589" s="372" t="n">
        <v>0</v>
      </c>
      <c r="P589" s="373" t="n">
        <v>0</v>
      </c>
      <c r="Q589" s="358" t="n">
        <v>0</v>
      </c>
      <c r="R589" s="358" t="n">
        <v>0</v>
      </c>
      <c r="S589" s="372" t="n">
        <v>0</v>
      </c>
      <c r="T589" s="373" t="n">
        <v>0</v>
      </c>
      <c r="U589" s="358" t="n">
        <v>0</v>
      </c>
      <c r="V589" s="358" t="n">
        <v>0</v>
      </c>
      <c r="W589" s="372" t="n">
        <v>0</v>
      </c>
      <c r="X589" s="373" t="n">
        <v>0</v>
      </c>
      <c r="Y589" s="358" t="n">
        <v>0</v>
      </c>
      <c r="Z589" s="358" t="n">
        <v>0</v>
      </c>
      <c r="AA589" s="358" t="n">
        <v>0</v>
      </c>
      <c r="AB589" s="373" t="n">
        <v>0</v>
      </c>
      <c r="AC589" s="358" t="n">
        <v>0</v>
      </c>
      <c r="AD589" s="358" t="n">
        <v>0</v>
      </c>
      <c r="AE589" s="358" t="n">
        <v>0</v>
      </c>
      <c r="AF589" s="365" t="n">
        <v>1</v>
      </c>
    </row>
    <row r="590" customFormat="false" ht="15" hidden="true" customHeight="false" outlineLevel="0" collapsed="false">
      <c r="B590" s="360" t="s">
        <v>3063</v>
      </c>
      <c r="C590" s="365" t="n">
        <v>1</v>
      </c>
      <c r="D590" s="358" t="n">
        <v>0</v>
      </c>
      <c r="E590" s="358" t="n">
        <v>0</v>
      </c>
      <c r="F590" s="358" t="n">
        <v>0</v>
      </c>
      <c r="G590" s="372" t="n">
        <v>0</v>
      </c>
      <c r="H590" s="373" t="n">
        <v>0</v>
      </c>
      <c r="I590" s="358" t="n">
        <v>0</v>
      </c>
      <c r="J590" s="358" t="n">
        <v>0</v>
      </c>
      <c r="K590" s="372" t="n">
        <v>0</v>
      </c>
      <c r="L590" s="373" t="n">
        <v>0</v>
      </c>
      <c r="M590" s="358" t="n">
        <v>0</v>
      </c>
      <c r="N590" s="358" t="n">
        <v>0</v>
      </c>
      <c r="O590" s="372" t="n">
        <v>0</v>
      </c>
      <c r="P590" s="373" t="n">
        <v>0</v>
      </c>
      <c r="Q590" s="358" t="n">
        <v>0</v>
      </c>
      <c r="R590" s="358" t="n">
        <v>0</v>
      </c>
      <c r="S590" s="372" t="n">
        <v>0</v>
      </c>
      <c r="T590" s="373" t="n">
        <v>0</v>
      </c>
      <c r="U590" s="358" t="n">
        <v>0</v>
      </c>
      <c r="V590" s="358" t="n">
        <v>0</v>
      </c>
      <c r="W590" s="372" t="n">
        <v>0</v>
      </c>
      <c r="X590" s="373" t="n">
        <v>0</v>
      </c>
      <c r="Y590" s="358" t="n">
        <v>0</v>
      </c>
      <c r="Z590" s="358" t="n">
        <v>0</v>
      </c>
      <c r="AA590" s="358" t="n">
        <v>0</v>
      </c>
      <c r="AB590" s="373" t="n">
        <v>0</v>
      </c>
      <c r="AC590" s="358" t="n">
        <v>0</v>
      </c>
      <c r="AD590" s="358" t="n">
        <v>0</v>
      </c>
      <c r="AE590" s="358" t="n">
        <v>0</v>
      </c>
      <c r="AF590" s="365" t="n">
        <v>1</v>
      </c>
    </row>
    <row r="591" customFormat="false" ht="15" hidden="true" customHeight="false" outlineLevel="0" collapsed="false">
      <c r="B591" s="360" t="s">
        <v>3064</v>
      </c>
      <c r="C591" s="365" t="n">
        <v>1</v>
      </c>
      <c r="D591" s="358" t="n">
        <v>0</v>
      </c>
      <c r="E591" s="358" t="n">
        <v>0</v>
      </c>
      <c r="F591" s="358" t="n">
        <v>0</v>
      </c>
      <c r="G591" s="372" t="n">
        <v>0</v>
      </c>
      <c r="H591" s="373" t="n">
        <v>0</v>
      </c>
      <c r="I591" s="358" t="n">
        <v>0</v>
      </c>
      <c r="J591" s="358" t="n">
        <v>0</v>
      </c>
      <c r="K591" s="372" t="n">
        <v>0</v>
      </c>
      <c r="L591" s="373" t="n">
        <v>0</v>
      </c>
      <c r="M591" s="358" t="n">
        <v>0</v>
      </c>
      <c r="N591" s="358" t="n">
        <v>0</v>
      </c>
      <c r="O591" s="372" t="n">
        <v>0</v>
      </c>
      <c r="P591" s="373" t="n">
        <v>0</v>
      </c>
      <c r="Q591" s="358" t="n">
        <v>0</v>
      </c>
      <c r="R591" s="358" t="n">
        <v>0</v>
      </c>
      <c r="S591" s="372" t="n">
        <v>0</v>
      </c>
      <c r="T591" s="373" t="n">
        <v>0</v>
      </c>
      <c r="U591" s="358" t="n">
        <v>0</v>
      </c>
      <c r="V591" s="358" t="n">
        <v>0</v>
      </c>
      <c r="W591" s="372" t="n">
        <v>0</v>
      </c>
      <c r="X591" s="373" t="n">
        <v>0</v>
      </c>
      <c r="Y591" s="358" t="n">
        <v>0</v>
      </c>
      <c r="Z591" s="358" t="n">
        <v>0</v>
      </c>
      <c r="AA591" s="358" t="n">
        <v>0</v>
      </c>
      <c r="AB591" s="373" t="n">
        <v>0</v>
      </c>
      <c r="AC591" s="358" t="n">
        <v>0</v>
      </c>
      <c r="AD591" s="358" t="n">
        <v>0</v>
      </c>
      <c r="AE591" s="358" t="n">
        <v>0</v>
      </c>
      <c r="AF591" s="365" t="n">
        <v>1</v>
      </c>
    </row>
    <row r="592" customFormat="false" ht="15" hidden="true" customHeight="false" outlineLevel="0" collapsed="false">
      <c r="B592" s="360" t="s">
        <v>3065</v>
      </c>
      <c r="C592" s="365" t="n">
        <v>1</v>
      </c>
      <c r="D592" s="358" t="n">
        <v>0</v>
      </c>
      <c r="E592" s="358" t="n">
        <v>0</v>
      </c>
      <c r="F592" s="358" t="n">
        <v>0</v>
      </c>
      <c r="G592" s="372" t="n">
        <v>0</v>
      </c>
      <c r="H592" s="373" t="n">
        <v>0</v>
      </c>
      <c r="I592" s="358" t="n">
        <v>0</v>
      </c>
      <c r="J592" s="358" t="n">
        <v>0</v>
      </c>
      <c r="K592" s="372" t="n">
        <v>0</v>
      </c>
      <c r="L592" s="373" t="n">
        <v>0</v>
      </c>
      <c r="M592" s="358" t="n">
        <v>0</v>
      </c>
      <c r="N592" s="358" t="n">
        <v>0</v>
      </c>
      <c r="O592" s="372" t="n">
        <v>0</v>
      </c>
      <c r="P592" s="373" t="n">
        <v>0</v>
      </c>
      <c r="Q592" s="358" t="n">
        <v>0</v>
      </c>
      <c r="R592" s="358" t="n">
        <v>0</v>
      </c>
      <c r="S592" s="372" t="n">
        <v>0</v>
      </c>
      <c r="T592" s="373" t="n">
        <v>0</v>
      </c>
      <c r="U592" s="358" t="n">
        <v>0</v>
      </c>
      <c r="V592" s="358" t="n">
        <v>0</v>
      </c>
      <c r="W592" s="372" t="n">
        <v>0</v>
      </c>
      <c r="X592" s="373" t="n">
        <v>0</v>
      </c>
      <c r="Y592" s="358" t="n">
        <v>0</v>
      </c>
      <c r="Z592" s="358" t="n">
        <v>0</v>
      </c>
      <c r="AA592" s="358" t="n">
        <v>0</v>
      </c>
      <c r="AB592" s="373" t="n">
        <v>0</v>
      </c>
      <c r="AC592" s="358" t="n">
        <v>0</v>
      </c>
      <c r="AD592" s="358" t="n">
        <v>0</v>
      </c>
      <c r="AE592" s="358" t="n">
        <v>0</v>
      </c>
      <c r="AF592" s="365" t="n">
        <v>1</v>
      </c>
    </row>
    <row r="593" customFormat="false" ht="15" hidden="true" customHeight="false" outlineLevel="0" collapsed="false">
      <c r="B593" s="360" t="s">
        <v>3066</v>
      </c>
      <c r="C593" s="365" t="n">
        <v>1</v>
      </c>
      <c r="D593" s="358" t="n">
        <v>0</v>
      </c>
      <c r="E593" s="358" t="n">
        <v>0</v>
      </c>
      <c r="F593" s="358" t="n">
        <v>0</v>
      </c>
      <c r="G593" s="372" t="n">
        <v>0</v>
      </c>
      <c r="H593" s="373" t="n">
        <v>0</v>
      </c>
      <c r="I593" s="358" t="n">
        <v>0</v>
      </c>
      <c r="J593" s="358" t="n">
        <v>0</v>
      </c>
      <c r="K593" s="372" t="n">
        <v>0</v>
      </c>
      <c r="L593" s="373" t="n">
        <v>0</v>
      </c>
      <c r="M593" s="358" t="n">
        <v>0</v>
      </c>
      <c r="N593" s="358" t="n">
        <v>0</v>
      </c>
      <c r="O593" s="372" t="n">
        <v>0</v>
      </c>
      <c r="P593" s="373" t="n">
        <v>0</v>
      </c>
      <c r="Q593" s="358" t="n">
        <v>0</v>
      </c>
      <c r="R593" s="358" t="n">
        <v>0</v>
      </c>
      <c r="S593" s="372" t="n">
        <v>0</v>
      </c>
      <c r="T593" s="373" t="n">
        <v>0</v>
      </c>
      <c r="U593" s="358" t="n">
        <v>0</v>
      </c>
      <c r="V593" s="358" t="n">
        <v>0</v>
      </c>
      <c r="W593" s="372" t="n">
        <v>0</v>
      </c>
      <c r="X593" s="373" t="n">
        <v>0</v>
      </c>
      <c r="Y593" s="358" t="n">
        <v>0</v>
      </c>
      <c r="Z593" s="358" t="n">
        <v>0</v>
      </c>
      <c r="AA593" s="358" t="n">
        <v>0</v>
      </c>
      <c r="AB593" s="373" t="n">
        <v>0</v>
      </c>
      <c r="AC593" s="358" t="n">
        <v>0</v>
      </c>
      <c r="AD593" s="358" t="n">
        <v>0</v>
      </c>
      <c r="AE593" s="358" t="n">
        <v>0</v>
      </c>
      <c r="AF593" s="365" t="n">
        <v>1</v>
      </c>
    </row>
    <row r="594" customFormat="false" ht="15" hidden="true" customHeight="false" outlineLevel="0" collapsed="false">
      <c r="B594" s="360" t="s">
        <v>3067</v>
      </c>
      <c r="C594" s="365" t="n">
        <v>1</v>
      </c>
      <c r="D594" s="358" t="n">
        <v>0</v>
      </c>
      <c r="E594" s="358" t="n">
        <v>0</v>
      </c>
      <c r="F594" s="358" t="n">
        <v>0</v>
      </c>
      <c r="G594" s="372" t="n">
        <v>0</v>
      </c>
      <c r="H594" s="373" t="n">
        <v>0</v>
      </c>
      <c r="I594" s="358" t="n">
        <v>0</v>
      </c>
      <c r="J594" s="358" t="n">
        <v>0</v>
      </c>
      <c r="K594" s="372" t="n">
        <v>0</v>
      </c>
      <c r="L594" s="373" t="n">
        <v>0</v>
      </c>
      <c r="M594" s="358" t="n">
        <v>0</v>
      </c>
      <c r="N594" s="358" t="n">
        <v>0</v>
      </c>
      <c r="O594" s="372" t="n">
        <v>0</v>
      </c>
      <c r="P594" s="373" t="n">
        <v>0</v>
      </c>
      <c r="Q594" s="358" t="n">
        <v>0</v>
      </c>
      <c r="R594" s="358" t="n">
        <v>0</v>
      </c>
      <c r="S594" s="372" t="n">
        <v>0</v>
      </c>
      <c r="T594" s="373" t="n">
        <v>0</v>
      </c>
      <c r="U594" s="358" t="n">
        <v>0</v>
      </c>
      <c r="V594" s="358" t="n">
        <v>0</v>
      </c>
      <c r="W594" s="372" t="n">
        <v>0</v>
      </c>
      <c r="X594" s="373" t="n">
        <v>0</v>
      </c>
      <c r="Y594" s="358" t="n">
        <v>0</v>
      </c>
      <c r="Z594" s="358" t="n">
        <v>0</v>
      </c>
      <c r="AA594" s="358" t="n">
        <v>0</v>
      </c>
      <c r="AB594" s="373" t="n">
        <v>0</v>
      </c>
      <c r="AC594" s="358" t="n">
        <v>0</v>
      </c>
      <c r="AD594" s="358" t="n">
        <v>0</v>
      </c>
      <c r="AE594" s="358" t="n">
        <v>0</v>
      </c>
      <c r="AF594" s="365" t="n">
        <v>1</v>
      </c>
    </row>
    <row r="595" customFormat="false" ht="15" hidden="true" customHeight="false" outlineLevel="0" collapsed="false">
      <c r="B595" s="360" t="s">
        <v>3068</v>
      </c>
      <c r="C595" s="365" t="n">
        <v>1</v>
      </c>
      <c r="D595" s="358" t="n">
        <v>0</v>
      </c>
      <c r="E595" s="358" t="n">
        <v>0</v>
      </c>
      <c r="F595" s="358" t="n">
        <v>0</v>
      </c>
      <c r="G595" s="372" t="n">
        <v>0</v>
      </c>
      <c r="H595" s="373" t="n">
        <v>0</v>
      </c>
      <c r="I595" s="358" t="n">
        <v>0</v>
      </c>
      <c r="J595" s="358" t="n">
        <v>0</v>
      </c>
      <c r="K595" s="372" t="n">
        <v>0</v>
      </c>
      <c r="L595" s="373" t="n">
        <v>0</v>
      </c>
      <c r="M595" s="358" t="n">
        <v>0</v>
      </c>
      <c r="N595" s="358" t="n">
        <v>0</v>
      </c>
      <c r="O595" s="372" t="n">
        <v>0</v>
      </c>
      <c r="P595" s="373" t="n">
        <v>0</v>
      </c>
      <c r="Q595" s="358" t="n">
        <v>0</v>
      </c>
      <c r="R595" s="358" t="n">
        <v>0</v>
      </c>
      <c r="S595" s="372" t="n">
        <v>0</v>
      </c>
      <c r="T595" s="373" t="n">
        <v>0</v>
      </c>
      <c r="U595" s="358" t="n">
        <v>0</v>
      </c>
      <c r="V595" s="358" t="n">
        <v>0</v>
      </c>
      <c r="W595" s="372" t="n">
        <v>0</v>
      </c>
      <c r="X595" s="373" t="n">
        <v>0</v>
      </c>
      <c r="Y595" s="358" t="n">
        <v>0</v>
      </c>
      <c r="Z595" s="358" t="n">
        <v>0</v>
      </c>
      <c r="AA595" s="358" t="n">
        <v>0</v>
      </c>
      <c r="AB595" s="373" t="n">
        <v>0</v>
      </c>
      <c r="AC595" s="358" t="n">
        <v>0</v>
      </c>
      <c r="AD595" s="358" t="n">
        <v>0</v>
      </c>
      <c r="AE595" s="358" t="n">
        <v>0</v>
      </c>
      <c r="AF595" s="365" t="n">
        <v>1</v>
      </c>
    </row>
    <row r="596" customFormat="false" ht="15" hidden="true" customHeight="false" outlineLevel="0" collapsed="false">
      <c r="B596" s="360" t="s">
        <v>3069</v>
      </c>
      <c r="C596" s="365" t="n">
        <v>1</v>
      </c>
      <c r="D596" s="358" t="n">
        <v>0</v>
      </c>
      <c r="E596" s="358" t="n">
        <v>0</v>
      </c>
      <c r="F596" s="358" t="n">
        <v>0</v>
      </c>
      <c r="G596" s="372" t="n">
        <v>0</v>
      </c>
      <c r="H596" s="373" t="n">
        <v>0</v>
      </c>
      <c r="I596" s="358" t="n">
        <v>0</v>
      </c>
      <c r="J596" s="358" t="n">
        <v>0</v>
      </c>
      <c r="K596" s="372" t="n">
        <v>0</v>
      </c>
      <c r="L596" s="373" t="n">
        <v>0</v>
      </c>
      <c r="M596" s="358" t="n">
        <v>0</v>
      </c>
      <c r="N596" s="358" t="n">
        <v>0</v>
      </c>
      <c r="O596" s="372" t="n">
        <v>0</v>
      </c>
      <c r="P596" s="373" t="n">
        <v>0</v>
      </c>
      <c r="Q596" s="358" t="n">
        <v>0</v>
      </c>
      <c r="R596" s="358" t="n">
        <v>0</v>
      </c>
      <c r="S596" s="372" t="n">
        <v>0</v>
      </c>
      <c r="T596" s="373" t="n">
        <v>0</v>
      </c>
      <c r="U596" s="358" t="n">
        <v>0</v>
      </c>
      <c r="V596" s="358" t="n">
        <v>0</v>
      </c>
      <c r="W596" s="372" t="n">
        <v>0</v>
      </c>
      <c r="X596" s="373" t="n">
        <v>0</v>
      </c>
      <c r="Y596" s="358" t="n">
        <v>0</v>
      </c>
      <c r="Z596" s="358" t="n">
        <v>0</v>
      </c>
      <c r="AA596" s="358" t="n">
        <v>0</v>
      </c>
      <c r="AB596" s="373" t="n">
        <v>0</v>
      </c>
      <c r="AC596" s="358" t="n">
        <v>0</v>
      </c>
      <c r="AD596" s="358" t="n">
        <v>0</v>
      </c>
      <c r="AE596" s="358" t="n">
        <v>0</v>
      </c>
      <c r="AF596" s="365" t="n">
        <v>1</v>
      </c>
    </row>
    <row r="597" customFormat="false" ht="15" hidden="true" customHeight="false" outlineLevel="0" collapsed="false">
      <c r="B597" s="360" t="s">
        <v>3070</v>
      </c>
      <c r="C597" s="365" t="n">
        <v>1</v>
      </c>
      <c r="D597" s="358" t="n">
        <v>0</v>
      </c>
      <c r="E597" s="358" t="n">
        <v>0</v>
      </c>
      <c r="F597" s="358" t="n">
        <v>0</v>
      </c>
      <c r="G597" s="372" t="n">
        <v>0</v>
      </c>
      <c r="H597" s="373" t="n">
        <v>0</v>
      </c>
      <c r="I597" s="358" t="n">
        <v>0</v>
      </c>
      <c r="J597" s="358" t="n">
        <v>0</v>
      </c>
      <c r="K597" s="372" t="n">
        <v>0</v>
      </c>
      <c r="L597" s="373" t="n">
        <v>0</v>
      </c>
      <c r="M597" s="358" t="n">
        <v>0</v>
      </c>
      <c r="N597" s="358" t="n">
        <v>0</v>
      </c>
      <c r="O597" s="372" t="n">
        <v>0</v>
      </c>
      <c r="P597" s="373" t="n">
        <v>0</v>
      </c>
      <c r="Q597" s="358" t="n">
        <v>0</v>
      </c>
      <c r="R597" s="358" t="n">
        <v>0</v>
      </c>
      <c r="S597" s="372" t="n">
        <v>0</v>
      </c>
      <c r="T597" s="373" t="n">
        <v>0</v>
      </c>
      <c r="U597" s="358" t="n">
        <v>0</v>
      </c>
      <c r="V597" s="358" t="n">
        <v>0</v>
      </c>
      <c r="W597" s="372" t="n">
        <v>0</v>
      </c>
      <c r="X597" s="373" t="n">
        <v>0</v>
      </c>
      <c r="Y597" s="358" t="n">
        <v>0</v>
      </c>
      <c r="Z597" s="358" t="n">
        <v>0</v>
      </c>
      <c r="AA597" s="358" t="n">
        <v>0</v>
      </c>
      <c r="AB597" s="373" t="n">
        <v>0</v>
      </c>
      <c r="AC597" s="358" t="n">
        <v>0</v>
      </c>
      <c r="AD597" s="358" t="n">
        <v>0</v>
      </c>
      <c r="AE597" s="358" t="n">
        <v>0</v>
      </c>
      <c r="AF597" s="365" t="n">
        <v>1</v>
      </c>
    </row>
    <row r="598" customFormat="false" ht="15" hidden="true" customHeight="false" outlineLevel="0" collapsed="false">
      <c r="B598" s="360" t="s">
        <v>3071</v>
      </c>
      <c r="C598" s="365" t="n">
        <v>1</v>
      </c>
      <c r="D598" s="358" t="n">
        <v>0</v>
      </c>
      <c r="E598" s="358" t="n">
        <v>0</v>
      </c>
      <c r="F598" s="358" t="n">
        <v>0</v>
      </c>
      <c r="G598" s="372" t="n">
        <v>0</v>
      </c>
      <c r="H598" s="373" t="n">
        <v>0</v>
      </c>
      <c r="I598" s="358" t="n">
        <v>0</v>
      </c>
      <c r="J598" s="358" t="n">
        <v>0</v>
      </c>
      <c r="K598" s="372" t="n">
        <v>0</v>
      </c>
      <c r="L598" s="373" t="n">
        <v>0</v>
      </c>
      <c r="M598" s="358" t="n">
        <v>0</v>
      </c>
      <c r="N598" s="358" t="n">
        <v>0</v>
      </c>
      <c r="O598" s="372" t="n">
        <v>0</v>
      </c>
      <c r="P598" s="373" t="n">
        <v>0</v>
      </c>
      <c r="Q598" s="358" t="n">
        <v>0</v>
      </c>
      <c r="R598" s="358" t="n">
        <v>0</v>
      </c>
      <c r="S598" s="372" t="n">
        <v>0</v>
      </c>
      <c r="T598" s="373" t="n">
        <v>0</v>
      </c>
      <c r="U598" s="358" t="n">
        <v>0</v>
      </c>
      <c r="V598" s="358" t="n">
        <v>0</v>
      </c>
      <c r="W598" s="372" t="n">
        <v>0</v>
      </c>
      <c r="X598" s="373" t="n">
        <v>0</v>
      </c>
      <c r="Y598" s="358" t="n">
        <v>0</v>
      </c>
      <c r="Z598" s="358" t="n">
        <v>0</v>
      </c>
      <c r="AA598" s="358" t="n">
        <v>0</v>
      </c>
      <c r="AB598" s="373" t="n">
        <v>0</v>
      </c>
      <c r="AC598" s="358" t="n">
        <v>0</v>
      </c>
      <c r="AD598" s="358" t="n">
        <v>0</v>
      </c>
      <c r="AE598" s="358" t="n">
        <v>0</v>
      </c>
      <c r="AF598" s="365" t="n">
        <v>1</v>
      </c>
    </row>
    <row r="599" customFormat="false" ht="15" hidden="true" customHeight="false" outlineLevel="0" collapsed="false">
      <c r="B599" s="360" t="s">
        <v>3072</v>
      </c>
      <c r="C599" s="365" t="n">
        <v>1</v>
      </c>
      <c r="D599" s="358" t="n">
        <v>0</v>
      </c>
      <c r="E599" s="358" t="n">
        <v>0</v>
      </c>
      <c r="F599" s="358" t="n">
        <v>0</v>
      </c>
      <c r="G599" s="372" t="n">
        <v>0</v>
      </c>
      <c r="H599" s="373" t="n">
        <v>0</v>
      </c>
      <c r="I599" s="358" t="n">
        <v>0</v>
      </c>
      <c r="J599" s="358" t="n">
        <v>0</v>
      </c>
      <c r="K599" s="372" t="n">
        <v>0</v>
      </c>
      <c r="L599" s="373" t="n">
        <v>0</v>
      </c>
      <c r="M599" s="358" t="n">
        <v>0</v>
      </c>
      <c r="N599" s="358" t="n">
        <v>0</v>
      </c>
      <c r="O599" s="372" t="n">
        <v>0</v>
      </c>
      <c r="P599" s="373" t="n">
        <v>0</v>
      </c>
      <c r="Q599" s="358" t="n">
        <v>0</v>
      </c>
      <c r="R599" s="358" t="n">
        <v>0</v>
      </c>
      <c r="S599" s="372" t="n">
        <v>0</v>
      </c>
      <c r="T599" s="373" t="n">
        <v>0</v>
      </c>
      <c r="U599" s="358" t="n">
        <v>0</v>
      </c>
      <c r="V599" s="358" t="n">
        <v>0</v>
      </c>
      <c r="W599" s="372" t="n">
        <v>0</v>
      </c>
      <c r="X599" s="373" t="n">
        <v>0</v>
      </c>
      <c r="Y599" s="358" t="n">
        <v>0</v>
      </c>
      <c r="Z599" s="358" t="n">
        <v>0</v>
      </c>
      <c r="AA599" s="358" t="n">
        <v>0</v>
      </c>
      <c r="AB599" s="373" t="n">
        <v>0</v>
      </c>
      <c r="AC599" s="358" t="n">
        <v>0</v>
      </c>
      <c r="AD599" s="358" t="n">
        <v>0</v>
      </c>
      <c r="AE599" s="358" t="n">
        <v>0</v>
      </c>
      <c r="AF599" s="365" t="n">
        <v>1</v>
      </c>
    </row>
    <row r="600" customFormat="false" ht="15" hidden="true" customHeight="false" outlineLevel="0" collapsed="false">
      <c r="B600" s="360" t="s">
        <v>3073</v>
      </c>
      <c r="C600" s="365" t="n">
        <v>1</v>
      </c>
      <c r="D600" s="358" t="n">
        <v>0</v>
      </c>
      <c r="E600" s="358" t="n">
        <v>0</v>
      </c>
      <c r="F600" s="358" t="n">
        <v>0</v>
      </c>
      <c r="G600" s="372" t="n">
        <v>0</v>
      </c>
      <c r="H600" s="373" t="n">
        <v>0</v>
      </c>
      <c r="I600" s="358" t="n">
        <v>0</v>
      </c>
      <c r="J600" s="358" t="n">
        <v>0</v>
      </c>
      <c r="K600" s="372" t="n">
        <v>0</v>
      </c>
      <c r="L600" s="373" t="n">
        <v>0</v>
      </c>
      <c r="M600" s="358" t="n">
        <v>0</v>
      </c>
      <c r="N600" s="358" t="n">
        <v>0</v>
      </c>
      <c r="O600" s="372" t="n">
        <v>0</v>
      </c>
      <c r="P600" s="373" t="n">
        <v>0</v>
      </c>
      <c r="Q600" s="358" t="n">
        <v>0</v>
      </c>
      <c r="R600" s="358" t="n">
        <v>0</v>
      </c>
      <c r="S600" s="372" t="n">
        <v>0</v>
      </c>
      <c r="T600" s="373" t="n">
        <v>0</v>
      </c>
      <c r="U600" s="358" t="n">
        <v>0</v>
      </c>
      <c r="V600" s="358" t="n">
        <v>0</v>
      </c>
      <c r="W600" s="372" t="n">
        <v>0</v>
      </c>
      <c r="X600" s="373" t="n">
        <v>0</v>
      </c>
      <c r="Y600" s="358" t="n">
        <v>0</v>
      </c>
      <c r="Z600" s="358" t="n">
        <v>0</v>
      </c>
      <c r="AA600" s="358" t="n">
        <v>0</v>
      </c>
      <c r="AB600" s="373" t="n">
        <v>0</v>
      </c>
      <c r="AC600" s="358" t="n">
        <v>0</v>
      </c>
      <c r="AD600" s="358" t="n">
        <v>0</v>
      </c>
      <c r="AE600" s="358" t="n">
        <v>0</v>
      </c>
      <c r="AF600" s="365" t="n">
        <v>1</v>
      </c>
    </row>
    <row r="601" customFormat="false" ht="15" hidden="true" customHeight="false" outlineLevel="0" collapsed="false">
      <c r="B601" s="360" t="s">
        <v>3074</v>
      </c>
      <c r="C601" s="365" t="n">
        <v>1</v>
      </c>
      <c r="D601" s="358" t="n">
        <v>0</v>
      </c>
      <c r="E601" s="358" t="n">
        <v>0</v>
      </c>
      <c r="F601" s="358" t="n">
        <v>0</v>
      </c>
      <c r="G601" s="372" t="n">
        <v>0</v>
      </c>
      <c r="H601" s="373" t="n">
        <v>0</v>
      </c>
      <c r="I601" s="358" t="n">
        <v>0</v>
      </c>
      <c r="J601" s="358" t="n">
        <v>0</v>
      </c>
      <c r="K601" s="372" t="n">
        <v>0</v>
      </c>
      <c r="L601" s="373" t="n">
        <v>0</v>
      </c>
      <c r="M601" s="358" t="n">
        <v>0</v>
      </c>
      <c r="N601" s="358" t="n">
        <v>0</v>
      </c>
      <c r="O601" s="372" t="n">
        <v>0</v>
      </c>
      <c r="P601" s="373" t="n">
        <v>0</v>
      </c>
      <c r="Q601" s="358" t="n">
        <v>0</v>
      </c>
      <c r="R601" s="358" t="n">
        <v>0</v>
      </c>
      <c r="S601" s="372" t="n">
        <v>0</v>
      </c>
      <c r="T601" s="373" t="n">
        <v>0</v>
      </c>
      <c r="U601" s="358" t="n">
        <v>0</v>
      </c>
      <c r="V601" s="358" t="n">
        <v>0</v>
      </c>
      <c r="W601" s="372" t="n">
        <v>0</v>
      </c>
      <c r="X601" s="373" t="n">
        <v>0</v>
      </c>
      <c r="Y601" s="358" t="n">
        <v>0</v>
      </c>
      <c r="Z601" s="358" t="n">
        <v>0</v>
      </c>
      <c r="AA601" s="358" t="n">
        <v>0</v>
      </c>
      <c r="AB601" s="373" t="n">
        <v>0</v>
      </c>
      <c r="AC601" s="358" t="n">
        <v>0</v>
      </c>
      <c r="AD601" s="358" t="n">
        <v>0</v>
      </c>
      <c r="AE601" s="358" t="n">
        <v>0</v>
      </c>
      <c r="AF601" s="365" t="n">
        <v>1</v>
      </c>
    </row>
    <row r="602" customFormat="false" ht="15" hidden="true" customHeight="false" outlineLevel="0" collapsed="false">
      <c r="B602" s="360" t="s">
        <v>3075</v>
      </c>
      <c r="C602" s="365" t="n">
        <v>1</v>
      </c>
      <c r="D602" s="358" t="n">
        <v>0</v>
      </c>
      <c r="E602" s="358" t="n">
        <v>0</v>
      </c>
      <c r="F602" s="358" t="n">
        <v>0</v>
      </c>
      <c r="G602" s="372" t="n">
        <v>0</v>
      </c>
      <c r="H602" s="373" t="n">
        <v>0</v>
      </c>
      <c r="I602" s="358" t="n">
        <v>0</v>
      </c>
      <c r="J602" s="358" t="n">
        <v>0</v>
      </c>
      <c r="K602" s="372" t="n">
        <v>0</v>
      </c>
      <c r="L602" s="373" t="n">
        <v>0</v>
      </c>
      <c r="M602" s="358" t="n">
        <v>0</v>
      </c>
      <c r="N602" s="358" t="n">
        <v>0</v>
      </c>
      <c r="O602" s="372" t="n">
        <v>0</v>
      </c>
      <c r="P602" s="373" t="n">
        <v>0</v>
      </c>
      <c r="Q602" s="358" t="n">
        <v>0</v>
      </c>
      <c r="R602" s="358" t="n">
        <v>0</v>
      </c>
      <c r="S602" s="372" t="n">
        <v>0</v>
      </c>
      <c r="T602" s="373" t="n">
        <v>0</v>
      </c>
      <c r="U602" s="358" t="n">
        <v>0</v>
      </c>
      <c r="V602" s="358" t="n">
        <v>0</v>
      </c>
      <c r="W602" s="372" t="n">
        <v>0</v>
      </c>
      <c r="X602" s="373" t="n">
        <v>0</v>
      </c>
      <c r="Y602" s="358" t="n">
        <v>0</v>
      </c>
      <c r="Z602" s="358" t="n">
        <v>0</v>
      </c>
      <c r="AA602" s="358" t="n">
        <v>0</v>
      </c>
      <c r="AB602" s="373" t="n">
        <v>0</v>
      </c>
      <c r="AC602" s="358" t="n">
        <v>0</v>
      </c>
      <c r="AD602" s="358" t="n">
        <v>0</v>
      </c>
      <c r="AE602" s="358" t="n">
        <v>0</v>
      </c>
      <c r="AF602" s="365" t="n">
        <v>1</v>
      </c>
    </row>
    <row r="603" customFormat="false" ht="15" hidden="true" customHeight="false" outlineLevel="0" collapsed="false">
      <c r="B603" s="360" t="s">
        <v>3076</v>
      </c>
      <c r="C603" s="365" t="n">
        <v>1</v>
      </c>
      <c r="D603" s="358" t="n">
        <v>0</v>
      </c>
      <c r="E603" s="358" t="n">
        <v>0</v>
      </c>
      <c r="F603" s="358" t="n">
        <v>0</v>
      </c>
      <c r="G603" s="372" t="n">
        <v>0</v>
      </c>
      <c r="H603" s="373" t="n">
        <v>0</v>
      </c>
      <c r="I603" s="358" t="n">
        <v>0</v>
      </c>
      <c r="J603" s="358" t="n">
        <v>0</v>
      </c>
      <c r="K603" s="372" t="n">
        <v>0</v>
      </c>
      <c r="L603" s="373" t="n">
        <v>0</v>
      </c>
      <c r="M603" s="358" t="n">
        <v>0</v>
      </c>
      <c r="N603" s="358" t="n">
        <v>0</v>
      </c>
      <c r="O603" s="372" t="n">
        <v>0</v>
      </c>
      <c r="P603" s="373" t="n">
        <v>0</v>
      </c>
      <c r="Q603" s="358" t="n">
        <v>0</v>
      </c>
      <c r="R603" s="358" t="n">
        <v>0</v>
      </c>
      <c r="S603" s="372" t="n">
        <v>0</v>
      </c>
      <c r="T603" s="373" t="n">
        <v>0</v>
      </c>
      <c r="U603" s="358" t="n">
        <v>0</v>
      </c>
      <c r="V603" s="358" t="n">
        <v>0</v>
      </c>
      <c r="W603" s="372" t="n">
        <v>0</v>
      </c>
      <c r="X603" s="373" t="n">
        <v>0</v>
      </c>
      <c r="Y603" s="358" t="n">
        <v>0</v>
      </c>
      <c r="Z603" s="358" t="n">
        <v>0</v>
      </c>
      <c r="AA603" s="358" t="n">
        <v>0</v>
      </c>
      <c r="AB603" s="373" t="n">
        <v>0</v>
      </c>
      <c r="AC603" s="358" t="n">
        <v>0</v>
      </c>
      <c r="AD603" s="358" t="n">
        <v>0</v>
      </c>
      <c r="AE603" s="358" t="n">
        <v>0</v>
      </c>
      <c r="AF603" s="365" t="n">
        <v>1</v>
      </c>
    </row>
    <row r="604" customFormat="false" ht="15" hidden="true" customHeight="false" outlineLevel="0" collapsed="false">
      <c r="B604" s="360" t="s">
        <v>3077</v>
      </c>
      <c r="C604" s="365" t="n">
        <v>1</v>
      </c>
      <c r="D604" s="358" t="n">
        <v>0</v>
      </c>
      <c r="E604" s="358" t="n">
        <v>0</v>
      </c>
      <c r="F604" s="358" t="n">
        <v>0</v>
      </c>
      <c r="G604" s="372" t="n">
        <v>0</v>
      </c>
      <c r="H604" s="373" t="n">
        <v>0</v>
      </c>
      <c r="I604" s="358" t="n">
        <v>0</v>
      </c>
      <c r="J604" s="358" t="n">
        <v>0</v>
      </c>
      <c r="K604" s="372" t="n">
        <v>0</v>
      </c>
      <c r="L604" s="373" t="n">
        <v>0</v>
      </c>
      <c r="M604" s="358" t="n">
        <v>0</v>
      </c>
      <c r="N604" s="358" t="n">
        <v>0</v>
      </c>
      <c r="O604" s="372" t="n">
        <v>0</v>
      </c>
      <c r="P604" s="373" t="n">
        <v>0</v>
      </c>
      <c r="Q604" s="358" t="n">
        <v>0</v>
      </c>
      <c r="R604" s="358" t="n">
        <v>0</v>
      </c>
      <c r="S604" s="372" t="n">
        <v>0</v>
      </c>
      <c r="T604" s="373" t="n">
        <v>0</v>
      </c>
      <c r="U604" s="358" t="n">
        <v>0</v>
      </c>
      <c r="V604" s="358" t="n">
        <v>0</v>
      </c>
      <c r="W604" s="372" t="n">
        <v>0</v>
      </c>
      <c r="X604" s="373" t="n">
        <v>0</v>
      </c>
      <c r="Y604" s="358" t="n">
        <v>0</v>
      </c>
      <c r="Z604" s="358" t="n">
        <v>0</v>
      </c>
      <c r="AA604" s="358" t="n">
        <v>0</v>
      </c>
      <c r="AB604" s="373" t="n">
        <v>0</v>
      </c>
      <c r="AC604" s="358" t="n">
        <v>0</v>
      </c>
      <c r="AD604" s="358" t="n">
        <v>0</v>
      </c>
      <c r="AE604" s="358" t="n">
        <v>0</v>
      </c>
      <c r="AF604" s="365" t="n">
        <v>1</v>
      </c>
    </row>
    <row r="605" customFormat="false" ht="15" hidden="true" customHeight="false" outlineLevel="0" collapsed="false">
      <c r="B605" s="360" t="s">
        <v>3078</v>
      </c>
      <c r="C605" s="365" t="n">
        <v>1</v>
      </c>
      <c r="D605" s="358" t="n">
        <v>0</v>
      </c>
      <c r="E605" s="358" t="n">
        <v>0</v>
      </c>
      <c r="F605" s="358" t="n">
        <v>0</v>
      </c>
      <c r="G605" s="372" t="n">
        <v>0</v>
      </c>
      <c r="H605" s="373" t="n">
        <v>0</v>
      </c>
      <c r="I605" s="358" t="n">
        <v>0</v>
      </c>
      <c r="J605" s="358" t="n">
        <v>0</v>
      </c>
      <c r="K605" s="372" t="n">
        <v>0</v>
      </c>
      <c r="L605" s="373" t="n">
        <v>0</v>
      </c>
      <c r="M605" s="358" t="n">
        <v>0</v>
      </c>
      <c r="N605" s="358" t="n">
        <v>0</v>
      </c>
      <c r="O605" s="372" t="n">
        <v>0</v>
      </c>
      <c r="P605" s="373" t="n">
        <v>0</v>
      </c>
      <c r="Q605" s="358" t="n">
        <v>0</v>
      </c>
      <c r="R605" s="358" t="n">
        <v>0</v>
      </c>
      <c r="S605" s="372" t="n">
        <v>0</v>
      </c>
      <c r="T605" s="373" t="n">
        <v>0</v>
      </c>
      <c r="U605" s="358" t="n">
        <v>0</v>
      </c>
      <c r="V605" s="358" t="n">
        <v>0</v>
      </c>
      <c r="W605" s="372" t="n">
        <v>0</v>
      </c>
      <c r="X605" s="373" t="n">
        <v>0</v>
      </c>
      <c r="Y605" s="358" t="n">
        <v>0</v>
      </c>
      <c r="Z605" s="358" t="n">
        <v>0</v>
      </c>
      <c r="AA605" s="358" t="n">
        <v>0</v>
      </c>
      <c r="AB605" s="373" t="n">
        <v>0</v>
      </c>
      <c r="AC605" s="358" t="n">
        <v>0</v>
      </c>
      <c r="AD605" s="358" t="n">
        <v>0</v>
      </c>
      <c r="AE605" s="358" t="n">
        <v>0</v>
      </c>
      <c r="AF605" s="365" t="n">
        <v>1</v>
      </c>
    </row>
    <row r="606" customFormat="false" ht="15" hidden="true" customHeight="false" outlineLevel="0" collapsed="false">
      <c r="B606" s="360" t="s">
        <v>3079</v>
      </c>
      <c r="C606" s="365" t="n">
        <v>1</v>
      </c>
      <c r="D606" s="358" t="n">
        <v>0</v>
      </c>
      <c r="E606" s="358" t="n">
        <v>0</v>
      </c>
      <c r="F606" s="358" t="n">
        <v>0</v>
      </c>
      <c r="G606" s="372" t="n">
        <v>0</v>
      </c>
      <c r="H606" s="373" t="n">
        <v>0</v>
      </c>
      <c r="I606" s="358" t="n">
        <v>0</v>
      </c>
      <c r="J606" s="358" t="n">
        <v>0</v>
      </c>
      <c r="K606" s="372" t="n">
        <v>0</v>
      </c>
      <c r="L606" s="373" t="n">
        <v>0</v>
      </c>
      <c r="M606" s="358" t="n">
        <v>0</v>
      </c>
      <c r="N606" s="358" t="n">
        <v>0</v>
      </c>
      <c r="O606" s="372" t="n">
        <v>0</v>
      </c>
      <c r="P606" s="373" t="n">
        <v>0</v>
      </c>
      <c r="Q606" s="358" t="n">
        <v>0</v>
      </c>
      <c r="R606" s="358" t="n">
        <v>0</v>
      </c>
      <c r="S606" s="372" t="n">
        <v>0</v>
      </c>
      <c r="T606" s="373" t="n">
        <v>0</v>
      </c>
      <c r="U606" s="358" t="n">
        <v>0</v>
      </c>
      <c r="V606" s="358" t="n">
        <v>0</v>
      </c>
      <c r="W606" s="372" t="n">
        <v>0</v>
      </c>
      <c r="X606" s="373" t="n">
        <v>0</v>
      </c>
      <c r="Y606" s="358" t="n">
        <v>0</v>
      </c>
      <c r="Z606" s="358" t="n">
        <v>0</v>
      </c>
      <c r="AA606" s="358" t="n">
        <v>0</v>
      </c>
      <c r="AB606" s="373" t="n">
        <v>0</v>
      </c>
      <c r="AC606" s="358" t="n">
        <v>0</v>
      </c>
      <c r="AD606" s="358" t="n">
        <v>0</v>
      </c>
      <c r="AE606" s="358" t="n">
        <v>0</v>
      </c>
      <c r="AF606" s="365" t="n">
        <v>1</v>
      </c>
    </row>
    <row r="607" customFormat="false" ht="15" hidden="true" customHeight="false" outlineLevel="0" collapsed="false">
      <c r="B607" s="360" t="s">
        <v>3080</v>
      </c>
      <c r="C607" s="365" t="n">
        <v>1</v>
      </c>
      <c r="D607" s="358" t="n">
        <v>0</v>
      </c>
      <c r="E607" s="358" t="n">
        <v>0</v>
      </c>
      <c r="F607" s="358" t="n">
        <v>0</v>
      </c>
      <c r="G607" s="372" t="n">
        <v>0</v>
      </c>
      <c r="H607" s="373" t="n">
        <v>0</v>
      </c>
      <c r="I607" s="358" t="n">
        <v>0</v>
      </c>
      <c r="J607" s="358" t="n">
        <v>0</v>
      </c>
      <c r="K607" s="372" t="n">
        <v>0</v>
      </c>
      <c r="L607" s="373" t="n">
        <v>0</v>
      </c>
      <c r="M607" s="358" t="n">
        <v>0</v>
      </c>
      <c r="N607" s="358" t="n">
        <v>0</v>
      </c>
      <c r="O607" s="372" t="n">
        <v>0</v>
      </c>
      <c r="P607" s="373" t="n">
        <v>0</v>
      </c>
      <c r="Q607" s="358" t="n">
        <v>0</v>
      </c>
      <c r="R607" s="358" t="n">
        <v>0</v>
      </c>
      <c r="S607" s="372" t="n">
        <v>0</v>
      </c>
      <c r="T607" s="373" t="n">
        <v>0</v>
      </c>
      <c r="U607" s="358" t="n">
        <v>0</v>
      </c>
      <c r="V607" s="358" t="n">
        <v>0</v>
      </c>
      <c r="W607" s="372" t="n">
        <v>0</v>
      </c>
      <c r="X607" s="373" t="n">
        <v>0</v>
      </c>
      <c r="Y607" s="358" t="n">
        <v>0</v>
      </c>
      <c r="Z607" s="358" t="n">
        <v>0</v>
      </c>
      <c r="AA607" s="358" t="n">
        <v>0</v>
      </c>
      <c r="AB607" s="373" t="n">
        <v>0</v>
      </c>
      <c r="AC607" s="358" t="n">
        <v>0</v>
      </c>
      <c r="AD607" s="358" t="n">
        <v>0</v>
      </c>
      <c r="AE607" s="358" t="n">
        <v>0</v>
      </c>
      <c r="AF607" s="365" t="n">
        <v>1</v>
      </c>
    </row>
    <row r="608" customFormat="false" ht="15" hidden="true" customHeight="false" outlineLevel="0" collapsed="false">
      <c r="B608" s="360" t="s">
        <v>3081</v>
      </c>
      <c r="C608" s="365" t="n">
        <v>1</v>
      </c>
      <c r="D608" s="358" t="n">
        <v>0</v>
      </c>
      <c r="E608" s="358" t="n">
        <v>0</v>
      </c>
      <c r="F608" s="358" t="n">
        <v>0</v>
      </c>
      <c r="G608" s="372" t="n">
        <v>0</v>
      </c>
      <c r="H608" s="373" t="n">
        <v>0</v>
      </c>
      <c r="I608" s="358" t="n">
        <v>0</v>
      </c>
      <c r="J608" s="358" t="n">
        <v>0</v>
      </c>
      <c r="K608" s="372" t="n">
        <v>0</v>
      </c>
      <c r="L608" s="373" t="n">
        <v>0</v>
      </c>
      <c r="M608" s="358" t="n">
        <v>0</v>
      </c>
      <c r="N608" s="358" t="n">
        <v>0</v>
      </c>
      <c r="O608" s="372" t="n">
        <v>0</v>
      </c>
      <c r="P608" s="373" t="n">
        <v>0</v>
      </c>
      <c r="Q608" s="358" t="n">
        <v>0</v>
      </c>
      <c r="R608" s="358" t="n">
        <v>0</v>
      </c>
      <c r="S608" s="372" t="n">
        <v>0</v>
      </c>
      <c r="T608" s="373" t="n">
        <v>0</v>
      </c>
      <c r="U608" s="358" t="n">
        <v>0</v>
      </c>
      <c r="V608" s="358" t="n">
        <v>0</v>
      </c>
      <c r="W608" s="372" t="n">
        <v>0</v>
      </c>
      <c r="X608" s="373" t="n">
        <v>0</v>
      </c>
      <c r="Y608" s="358" t="n">
        <v>0</v>
      </c>
      <c r="Z608" s="358" t="n">
        <v>0</v>
      </c>
      <c r="AA608" s="358" t="n">
        <v>0</v>
      </c>
      <c r="AB608" s="373" t="n">
        <v>0</v>
      </c>
      <c r="AC608" s="358" t="n">
        <v>0</v>
      </c>
      <c r="AD608" s="358" t="n">
        <v>0</v>
      </c>
      <c r="AE608" s="358" t="n">
        <v>0</v>
      </c>
      <c r="AF608" s="365" t="n">
        <v>1</v>
      </c>
    </row>
    <row r="609" customFormat="false" ht="15" hidden="true" customHeight="false" outlineLevel="0" collapsed="false">
      <c r="B609" s="360" t="s">
        <v>3082</v>
      </c>
      <c r="C609" s="365" t="n">
        <v>1</v>
      </c>
      <c r="D609" s="358" t="n">
        <v>0</v>
      </c>
      <c r="E609" s="358" t="n">
        <v>0</v>
      </c>
      <c r="F609" s="358" t="n">
        <v>0</v>
      </c>
      <c r="G609" s="372" t="n">
        <v>0</v>
      </c>
      <c r="H609" s="373" t="n">
        <v>0</v>
      </c>
      <c r="I609" s="358" t="n">
        <v>0</v>
      </c>
      <c r="J609" s="358" t="n">
        <v>0</v>
      </c>
      <c r="K609" s="372" t="n">
        <v>0</v>
      </c>
      <c r="L609" s="373" t="n">
        <v>0</v>
      </c>
      <c r="M609" s="358" t="n">
        <v>0</v>
      </c>
      <c r="N609" s="358" t="n">
        <v>0</v>
      </c>
      <c r="O609" s="372" t="n">
        <v>0</v>
      </c>
      <c r="P609" s="373" t="n">
        <v>0</v>
      </c>
      <c r="Q609" s="358" t="n">
        <v>0</v>
      </c>
      <c r="R609" s="358" t="n">
        <v>0</v>
      </c>
      <c r="S609" s="372" t="n">
        <v>0</v>
      </c>
      <c r="T609" s="373" t="n">
        <v>0</v>
      </c>
      <c r="U609" s="358" t="n">
        <v>0</v>
      </c>
      <c r="V609" s="358" t="n">
        <v>0</v>
      </c>
      <c r="W609" s="372" t="n">
        <v>0</v>
      </c>
      <c r="X609" s="373" t="n">
        <v>0</v>
      </c>
      <c r="Y609" s="358" t="n">
        <v>0</v>
      </c>
      <c r="Z609" s="358" t="n">
        <v>0</v>
      </c>
      <c r="AA609" s="358" t="n">
        <v>0</v>
      </c>
      <c r="AB609" s="373" t="n">
        <v>0</v>
      </c>
      <c r="AC609" s="358" t="n">
        <v>0</v>
      </c>
      <c r="AD609" s="358" t="n">
        <v>0</v>
      </c>
      <c r="AE609" s="358" t="n">
        <v>0</v>
      </c>
      <c r="AF609" s="365" t="n">
        <v>1</v>
      </c>
    </row>
    <row r="610" customFormat="false" ht="15" hidden="true" customHeight="false" outlineLevel="0" collapsed="false">
      <c r="B610" s="360" t="s">
        <v>3083</v>
      </c>
      <c r="C610" s="365" t="n">
        <v>1</v>
      </c>
      <c r="D610" s="358" t="n">
        <v>0</v>
      </c>
      <c r="E610" s="358" t="n">
        <v>0</v>
      </c>
      <c r="F610" s="358" t="n">
        <v>0</v>
      </c>
      <c r="G610" s="372" t="n">
        <v>0</v>
      </c>
      <c r="H610" s="373" t="n">
        <v>0</v>
      </c>
      <c r="I610" s="358" t="n">
        <v>0</v>
      </c>
      <c r="J610" s="358" t="n">
        <v>0</v>
      </c>
      <c r="K610" s="372" t="n">
        <v>0</v>
      </c>
      <c r="L610" s="373" t="n">
        <v>0</v>
      </c>
      <c r="M610" s="358" t="n">
        <v>0</v>
      </c>
      <c r="N610" s="358" t="n">
        <v>0</v>
      </c>
      <c r="O610" s="372" t="n">
        <v>0</v>
      </c>
      <c r="P610" s="373" t="n">
        <v>0</v>
      </c>
      <c r="Q610" s="358" t="n">
        <v>0</v>
      </c>
      <c r="R610" s="358" t="n">
        <v>0</v>
      </c>
      <c r="S610" s="372" t="n">
        <v>0</v>
      </c>
      <c r="T610" s="373" t="n">
        <v>0</v>
      </c>
      <c r="U610" s="358" t="n">
        <v>0</v>
      </c>
      <c r="V610" s="358" t="n">
        <v>0</v>
      </c>
      <c r="W610" s="372" t="n">
        <v>0</v>
      </c>
      <c r="X610" s="373" t="n">
        <v>0</v>
      </c>
      <c r="Y610" s="358" t="n">
        <v>0</v>
      </c>
      <c r="Z610" s="358" t="n">
        <v>0</v>
      </c>
      <c r="AA610" s="358" t="n">
        <v>0</v>
      </c>
      <c r="AB610" s="373" t="n">
        <v>0</v>
      </c>
      <c r="AC610" s="358" t="n">
        <v>0</v>
      </c>
      <c r="AD610" s="358" t="n">
        <v>0</v>
      </c>
      <c r="AE610" s="358" t="n">
        <v>0</v>
      </c>
      <c r="AF610" s="365" t="n">
        <v>1</v>
      </c>
    </row>
    <row r="611" customFormat="false" ht="15" hidden="true" customHeight="false" outlineLevel="0" collapsed="false">
      <c r="B611" s="360" t="s">
        <v>3084</v>
      </c>
      <c r="C611" s="365" t="n">
        <v>1</v>
      </c>
      <c r="D611" s="358" t="n">
        <v>0</v>
      </c>
      <c r="E611" s="358" t="n">
        <v>0</v>
      </c>
      <c r="F611" s="358" t="n">
        <v>0</v>
      </c>
      <c r="G611" s="372" t="n">
        <v>0</v>
      </c>
      <c r="H611" s="373" t="n">
        <v>0</v>
      </c>
      <c r="I611" s="358" t="n">
        <v>0</v>
      </c>
      <c r="J611" s="358" t="n">
        <v>0</v>
      </c>
      <c r="K611" s="372" t="n">
        <v>0</v>
      </c>
      <c r="L611" s="373" t="n">
        <v>0</v>
      </c>
      <c r="M611" s="358" t="n">
        <v>0</v>
      </c>
      <c r="N611" s="358" t="n">
        <v>0</v>
      </c>
      <c r="O611" s="372" t="n">
        <v>0</v>
      </c>
      <c r="P611" s="373" t="n">
        <v>0</v>
      </c>
      <c r="Q611" s="358" t="n">
        <v>0</v>
      </c>
      <c r="R611" s="358" t="n">
        <v>0</v>
      </c>
      <c r="S611" s="372" t="n">
        <v>0</v>
      </c>
      <c r="T611" s="373" t="n">
        <v>0</v>
      </c>
      <c r="U611" s="358" t="n">
        <v>0</v>
      </c>
      <c r="V611" s="358" t="n">
        <v>0</v>
      </c>
      <c r="W611" s="372" t="n">
        <v>0</v>
      </c>
      <c r="X611" s="373" t="n">
        <v>0</v>
      </c>
      <c r="Y611" s="358" t="n">
        <v>0</v>
      </c>
      <c r="Z611" s="358" t="n">
        <v>0</v>
      </c>
      <c r="AA611" s="358" t="n">
        <v>0</v>
      </c>
      <c r="AB611" s="373" t="n">
        <v>0</v>
      </c>
      <c r="AC611" s="358" t="n">
        <v>0</v>
      </c>
      <c r="AD611" s="358" t="n">
        <v>0</v>
      </c>
      <c r="AE611" s="358" t="n">
        <v>0</v>
      </c>
      <c r="AF611" s="365" t="n">
        <v>1</v>
      </c>
    </row>
    <row r="612" customFormat="false" ht="15" hidden="true" customHeight="false" outlineLevel="0" collapsed="false">
      <c r="B612" s="360" t="s">
        <v>3085</v>
      </c>
      <c r="C612" s="365" t="n">
        <v>1</v>
      </c>
      <c r="D612" s="358" t="n">
        <v>0</v>
      </c>
      <c r="E612" s="358" t="n">
        <v>0</v>
      </c>
      <c r="F612" s="358" t="n">
        <v>0</v>
      </c>
      <c r="G612" s="372" t="n">
        <v>0</v>
      </c>
      <c r="H612" s="373" t="n">
        <v>0</v>
      </c>
      <c r="I612" s="358" t="n">
        <v>0</v>
      </c>
      <c r="J612" s="358" t="n">
        <v>0</v>
      </c>
      <c r="K612" s="372" t="n">
        <v>0</v>
      </c>
      <c r="L612" s="373" t="n">
        <v>0</v>
      </c>
      <c r="M612" s="358" t="n">
        <v>0</v>
      </c>
      <c r="N612" s="358" t="n">
        <v>0</v>
      </c>
      <c r="O612" s="372" t="n">
        <v>0</v>
      </c>
      <c r="P612" s="373" t="n">
        <v>0</v>
      </c>
      <c r="Q612" s="358" t="n">
        <v>0</v>
      </c>
      <c r="R612" s="358" t="n">
        <v>0</v>
      </c>
      <c r="S612" s="372" t="n">
        <v>0</v>
      </c>
      <c r="T612" s="373" t="n">
        <v>0</v>
      </c>
      <c r="U612" s="358" t="n">
        <v>0</v>
      </c>
      <c r="V612" s="358" t="n">
        <v>0</v>
      </c>
      <c r="W612" s="372" t="n">
        <v>0</v>
      </c>
      <c r="X612" s="373" t="n">
        <v>0</v>
      </c>
      <c r="Y612" s="358" t="n">
        <v>0</v>
      </c>
      <c r="Z612" s="358" t="n">
        <v>0</v>
      </c>
      <c r="AA612" s="358" t="n">
        <v>0</v>
      </c>
      <c r="AB612" s="373" t="n">
        <v>0</v>
      </c>
      <c r="AC612" s="358" t="n">
        <v>0</v>
      </c>
      <c r="AD612" s="358" t="n">
        <v>0</v>
      </c>
      <c r="AE612" s="358" t="n">
        <v>0</v>
      </c>
      <c r="AF612" s="365" t="n">
        <v>1</v>
      </c>
    </row>
    <row r="613" customFormat="false" ht="15" hidden="true" customHeight="false" outlineLevel="0" collapsed="false">
      <c r="B613" s="360" t="s">
        <v>3086</v>
      </c>
      <c r="C613" s="365" t="n">
        <v>1</v>
      </c>
      <c r="D613" s="358" t="n">
        <v>0</v>
      </c>
      <c r="E613" s="358" t="n">
        <v>0</v>
      </c>
      <c r="F613" s="358" t="n">
        <v>0</v>
      </c>
      <c r="G613" s="372" t="n">
        <v>0</v>
      </c>
      <c r="H613" s="373" t="n">
        <v>0</v>
      </c>
      <c r="I613" s="358" t="n">
        <v>0</v>
      </c>
      <c r="J613" s="358" t="n">
        <v>0</v>
      </c>
      <c r="K613" s="372" t="n">
        <v>0</v>
      </c>
      <c r="L613" s="373" t="n">
        <v>0</v>
      </c>
      <c r="M613" s="358" t="n">
        <v>0</v>
      </c>
      <c r="N613" s="358" t="n">
        <v>0</v>
      </c>
      <c r="O613" s="372" t="n">
        <v>0</v>
      </c>
      <c r="P613" s="373" t="n">
        <v>0</v>
      </c>
      <c r="Q613" s="358" t="n">
        <v>0</v>
      </c>
      <c r="R613" s="358" t="n">
        <v>0</v>
      </c>
      <c r="S613" s="372" t="n">
        <v>0</v>
      </c>
      <c r="T613" s="373" t="n">
        <v>0</v>
      </c>
      <c r="U613" s="358" t="n">
        <v>0</v>
      </c>
      <c r="V613" s="358" t="n">
        <v>0</v>
      </c>
      <c r="W613" s="372" t="n">
        <v>0</v>
      </c>
      <c r="X613" s="373" t="n">
        <v>0</v>
      </c>
      <c r="Y613" s="358" t="n">
        <v>0</v>
      </c>
      <c r="Z613" s="358" t="n">
        <v>0</v>
      </c>
      <c r="AA613" s="358" t="n">
        <v>0</v>
      </c>
      <c r="AB613" s="373" t="n">
        <v>0</v>
      </c>
      <c r="AC613" s="358" t="n">
        <v>0</v>
      </c>
      <c r="AD613" s="358" t="n">
        <v>0</v>
      </c>
      <c r="AE613" s="358" t="n">
        <v>0</v>
      </c>
      <c r="AF613" s="365" t="n">
        <v>1</v>
      </c>
    </row>
    <row r="614" customFormat="false" ht="15" hidden="true" customHeight="false" outlineLevel="0" collapsed="false">
      <c r="B614" s="360" t="s">
        <v>3087</v>
      </c>
      <c r="C614" s="365" t="n">
        <v>1</v>
      </c>
      <c r="D614" s="358" t="n">
        <v>0</v>
      </c>
      <c r="E614" s="358" t="n">
        <v>0</v>
      </c>
      <c r="F614" s="358" t="n">
        <v>0</v>
      </c>
      <c r="G614" s="372" t="n">
        <v>0</v>
      </c>
      <c r="H614" s="373" t="n">
        <v>0</v>
      </c>
      <c r="I614" s="358" t="n">
        <v>0</v>
      </c>
      <c r="J614" s="358" t="n">
        <v>0</v>
      </c>
      <c r="K614" s="372" t="n">
        <v>0</v>
      </c>
      <c r="L614" s="373" t="n">
        <v>0</v>
      </c>
      <c r="M614" s="358" t="n">
        <v>0</v>
      </c>
      <c r="N614" s="358" t="n">
        <v>0</v>
      </c>
      <c r="O614" s="372" t="n">
        <v>0</v>
      </c>
      <c r="P614" s="373" t="n">
        <v>0</v>
      </c>
      <c r="Q614" s="358" t="n">
        <v>0</v>
      </c>
      <c r="R614" s="358" t="n">
        <v>0</v>
      </c>
      <c r="S614" s="372" t="n">
        <v>0</v>
      </c>
      <c r="T614" s="373" t="n">
        <v>0</v>
      </c>
      <c r="U614" s="358" t="n">
        <v>0</v>
      </c>
      <c r="V614" s="358" t="n">
        <v>0</v>
      </c>
      <c r="W614" s="372" t="n">
        <v>0</v>
      </c>
      <c r="X614" s="373" t="n">
        <v>0</v>
      </c>
      <c r="Y614" s="358" t="n">
        <v>0</v>
      </c>
      <c r="Z614" s="358" t="n">
        <v>0</v>
      </c>
      <c r="AA614" s="358" t="n">
        <v>0</v>
      </c>
      <c r="AB614" s="373" t="n">
        <v>0</v>
      </c>
      <c r="AC614" s="358" t="n">
        <v>0</v>
      </c>
      <c r="AD614" s="358" t="n">
        <v>0</v>
      </c>
      <c r="AE614" s="358" t="n">
        <v>0</v>
      </c>
      <c r="AF614" s="365" t="n">
        <v>1</v>
      </c>
    </row>
    <row r="615" customFormat="false" ht="15" hidden="true" customHeight="false" outlineLevel="0" collapsed="false">
      <c r="B615" s="360" t="s">
        <v>3088</v>
      </c>
      <c r="C615" s="365" t="n">
        <v>1</v>
      </c>
      <c r="D615" s="358" t="n">
        <v>0</v>
      </c>
      <c r="E615" s="358" t="n">
        <v>0</v>
      </c>
      <c r="F615" s="358" t="n">
        <v>0</v>
      </c>
      <c r="G615" s="372" t="n">
        <v>0</v>
      </c>
      <c r="H615" s="373" t="n">
        <v>0</v>
      </c>
      <c r="I615" s="358" t="n">
        <v>0</v>
      </c>
      <c r="J615" s="358" t="n">
        <v>0</v>
      </c>
      <c r="K615" s="372" t="n">
        <v>0</v>
      </c>
      <c r="L615" s="373" t="n">
        <v>0</v>
      </c>
      <c r="M615" s="358" t="n">
        <v>0</v>
      </c>
      <c r="N615" s="358" t="n">
        <v>0</v>
      </c>
      <c r="O615" s="372" t="n">
        <v>0</v>
      </c>
      <c r="P615" s="373" t="n">
        <v>0</v>
      </c>
      <c r="Q615" s="358" t="n">
        <v>0</v>
      </c>
      <c r="R615" s="358" t="n">
        <v>0</v>
      </c>
      <c r="S615" s="372" t="n">
        <v>0</v>
      </c>
      <c r="T615" s="373" t="n">
        <v>0</v>
      </c>
      <c r="U615" s="358" t="n">
        <v>0</v>
      </c>
      <c r="V615" s="358" t="n">
        <v>0</v>
      </c>
      <c r="W615" s="372" t="n">
        <v>0</v>
      </c>
      <c r="X615" s="373" t="n">
        <v>0</v>
      </c>
      <c r="Y615" s="358" t="n">
        <v>0</v>
      </c>
      <c r="Z615" s="358" t="n">
        <v>0</v>
      </c>
      <c r="AA615" s="358" t="n">
        <v>0</v>
      </c>
      <c r="AB615" s="373" t="n">
        <v>0</v>
      </c>
      <c r="AC615" s="358" t="n">
        <v>0</v>
      </c>
      <c r="AD615" s="358" t="n">
        <v>0</v>
      </c>
      <c r="AE615" s="358" t="n">
        <v>0</v>
      </c>
      <c r="AF615" s="365" t="n">
        <v>1</v>
      </c>
    </row>
    <row r="616" customFormat="false" ht="15" hidden="true" customHeight="false" outlineLevel="0" collapsed="false">
      <c r="B616" s="360" t="s">
        <v>3089</v>
      </c>
      <c r="C616" s="365" t="n">
        <v>1</v>
      </c>
      <c r="D616" s="358" t="n">
        <v>0</v>
      </c>
      <c r="E616" s="358" t="n">
        <v>0</v>
      </c>
      <c r="F616" s="358" t="n">
        <v>0</v>
      </c>
      <c r="G616" s="372" t="n">
        <v>0</v>
      </c>
      <c r="H616" s="373" t="n">
        <v>0</v>
      </c>
      <c r="I616" s="358" t="n">
        <v>0</v>
      </c>
      <c r="J616" s="358" t="n">
        <v>0</v>
      </c>
      <c r="K616" s="372" t="n">
        <v>0</v>
      </c>
      <c r="L616" s="373" t="n">
        <v>0</v>
      </c>
      <c r="M616" s="358" t="n">
        <v>0</v>
      </c>
      <c r="N616" s="358" t="n">
        <v>0</v>
      </c>
      <c r="O616" s="372" t="n">
        <v>0</v>
      </c>
      <c r="P616" s="373" t="n">
        <v>0</v>
      </c>
      <c r="Q616" s="358" t="n">
        <v>0</v>
      </c>
      <c r="R616" s="358" t="n">
        <v>0</v>
      </c>
      <c r="S616" s="372" t="n">
        <v>0</v>
      </c>
      <c r="T616" s="373" t="n">
        <v>0</v>
      </c>
      <c r="U616" s="358" t="n">
        <v>0</v>
      </c>
      <c r="V616" s="358" t="n">
        <v>0</v>
      </c>
      <c r="W616" s="372" t="n">
        <v>0</v>
      </c>
      <c r="X616" s="373" t="n">
        <v>0</v>
      </c>
      <c r="Y616" s="358" t="n">
        <v>0</v>
      </c>
      <c r="Z616" s="358" t="n">
        <v>0</v>
      </c>
      <c r="AA616" s="358" t="n">
        <v>0</v>
      </c>
      <c r="AB616" s="373" t="n">
        <v>0</v>
      </c>
      <c r="AC616" s="358" t="n">
        <v>0</v>
      </c>
      <c r="AD616" s="358" t="n">
        <v>0</v>
      </c>
      <c r="AE616" s="358" t="n">
        <v>0</v>
      </c>
      <c r="AF616" s="365" t="n">
        <v>1</v>
      </c>
    </row>
    <row r="617" customFormat="false" ht="15" hidden="true" customHeight="false" outlineLevel="0" collapsed="false">
      <c r="B617" s="361" t="s">
        <v>3090</v>
      </c>
      <c r="C617" s="365" t="n">
        <v>0</v>
      </c>
      <c r="D617" s="358" t="n">
        <v>1</v>
      </c>
      <c r="E617" s="358" t="n">
        <v>0</v>
      </c>
      <c r="F617" s="358" t="n">
        <v>0</v>
      </c>
      <c r="G617" s="372" t="n">
        <v>0</v>
      </c>
      <c r="H617" s="373" t="n">
        <v>0</v>
      </c>
      <c r="I617" s="358" t="n">
        <v>0</v>
      </c>
      <c r="J617" s="358" t="n">
        <v>0</v>
      </c>
      <c r="K617" s="372" t="n">
        <v>0</v>
      </c>
      <c r="L617" s="373" t="n">
        <v>0</v>
      </c>
      <c r="M617" s="358" t="n">
        <v>0</v>
      </c>
      <c r="N617" s="358" t="n">
        <v>0</v>
      </c>
      <c r="O617" s="372" t="n">
        <v>0</v>
      </c>
      <c r="P617" s="373" t="n">
        <v>0</v>
      </c>
      <c r="Q617" s="358" t="n">
        <v>0</v>
      </c>
      <c r="R617" s="358" t="n">
        <v>0</v>
      </c>
      <c r="S617" s="372" t="n">
        <v>0</v>
      </c>
      <c r="T617" s="373" t="n">
        <v>0</v>
      </c>
      <c r="U617" s="358" t="n">
        <v>0</v>
      </c>
      <c r="V617" s="358" t="n">
        <v>0</v>
      </c>
      <c r="W617" s="372" t="n">
        <v>0</v>
      </c>
      <c r="X617" s="373" t="n">
        <v>0</v>
      </c>
      <c r="Y617" s="358" t="n">
        <v>0</v>
      </c>
      <c r="Z617" s="358" t="n">
        <v>0</v>
      </c>
      <c r="AA617" s="358" t="n">
        <v>0</v>
      </c>
      <c r="AB617" s="373" t="n">
        <v>1</v>
      </c>
      <c r="AC617" s="358" t="n">
        <v>0</v>
      </c>
      <c r="AD617" s="358" t="n">
        <v>0</v>
      </c>
      <c r="AE617" s="358" t="n">
        <v>0</v>
      </c>
      <c r="AF617" s="365" t="n">
        <v>1</v>
      </c>
    </row>
    <row r="618" customFormat="false" ht="15" hidden="true" customHeight="false" outlineLevel="0" collapsed="false">
      <c r="B618" s="360" t="s">
        <v>3091</v>
      </c>
      <c r="C618" s="365" t="n">
        <v>1</v>
      </c>
      <c r="D618" s="358" t="n">
        <v>0</v>
      </c>
      <c r="E618" s="358" t="n">
        <v>0</v>
      </c>
      <c r="F618" s="358" t="n">
        <v>0</v>
      </c>
      <c r="G618" s="372" t="n">
        <v>0</v>
      </c>
      <c r="H618" s="373" t="n">
        <v>0</v>
      </c>
      <c r="I618" s="358" t="n">
        <v>0</v>
      </c>
      <c r="J618" s="358" t="n">
        <v>0</v>
      </c>
      <c r="K618" s="372" t="n">
        <v>0</v>
      </c>
      <c r="L618" s="373" t="n">
        <v>0</v>
      </c>
      <c r="M618" s="358" t="n">
        <v>0</v>
      </c>
      <c r="N618" s="358" t="n">
        <v>0</v>
      </c>
      <c r="O618" s="372" t="n">
        <v>0</v>
      </c>
      <c r="P618" s="373" t="n">
        <v>0</v>
      </c>
      <c r="Q618" s="358" t="n">
        <v>0</v>
      </c>
      <c r="R618" s="358" t="n">
        <v>0</v>
      </c>
      <c r="S618" s="372" t="n">
        <v>0</v>
      </c>
      <c r="T618" s="373" t="n">
        <v>0</v>
      </c>
      <c r="U618" s="358" t="n">
        <v>0</v>
      </c>
      <c r="V618" s="358" t="n">
        <v>0</v>
      </c>
      <c r="W618" s="372" t="n">
        <v>0</v>
      </c>
      <c r="X618" s="373" t="n">
        <v>0</v>
      </c>
      <c r="Y618" s="358" t="n">
        <v>0</v>
      </c>
      <c r="Z618" s="358" t="n">
        <v>0</v>
      </c>
      <c r="AA618" s="358" t="n">
        <v>0</v>
      </c>
      <c r="AB618" s="373" t="n">
        <v>0</v>
      </c>
      <c r="AC618" s="358" t="n">
        <v>0</v>
      </c>
      <c r="AD618" s="358" t="n">
        <v>0</v>
      </c>
      <c r="AE618" s="358" t="n">
        <v>0</v>
      </c>
      <c r="AF618" s="365" t="n">
        <v>1</v>
      </c>
    </row>
    <row r="619" customFormat="false" ht="15" hidden="true" customHeight="false" outlineLevel="0" collapsed="false">
      <c r="B619" s="360" t="s">
        <v>3092</v>
      </c>
      <c r="C619" s="365" t="n">
        <v>1</v>
      </c>
      <c r="D619" s="358" t="n">
        <v>0</v>
      </c>
      <c r="E619" s="358" t="n">
        <v>0</v>
      </c>
      <c r="F619" s="358" t="n">
        <v>0</v>
      </c>
      <c r="G619" s="372" t="n">
        <v>0</v>
      </c>
      <c r="H619" s="373" t="n">
        <v>0</v>
      </c>
      <c r="I619" s="358" t="n">
        <v>0</v>
      </c>
      <c r="J619" s="358" t="n">
        <v>0</v>
      </c>
      <c r="K619" s="372" t="n">
        <v>0</v>
      </c>
      <c r="L619" s="373" t="n">
        <v>0</v>
      </c>
      <c r="M619" s="358" t="n">
        <v>0</v>
      </c>
      <c r="N619" s="358" t="n">
        <v>0</v>
      </c>
      <c r="O619" s="372" t="n">
        <v>0</v>
      </c>
      <c r="P619" s="373" t="n">
        <v>0</v>
      </c>
      <c r="Q619" s="358" t="n">
        <v>0</v>
      </c>
      <c r="R619" s="358" t="n">
        <v>0</v>
      </c>
      <c r="S619" s="372" t="n">
        <v>0</v>
      </c>
      <c r="T619" s="373" t="n">
        <v>0</v>
      </c>
      <c r="U619" s="358" t="n">
        <v>0</v>
      </c>
      <c r="V619" s="358" t="n">
        <v>0</v>
      </c>
      <c r="W619" s="372" t="n">
        <v>0</v>
      </c>
      <c r="X619" s="373" t="n">
        <v>0</v>
      </c>
      <c r="Y619" s="358" t="n">
        <v>0</v>
      </c>
      <c r="Z619" s="358" t="n">
        <v>0</v>
      </c>
      <c r="AA619" s="358" t="n">
        <v>0</v>
      </c>
      <c r="AB619" s="373" t="n">
        <v>0</v>
      </c>
      <c r="AC619" s="358" t="n">
        <v>0</v>
      </c>
      <c r="AD619" s="358" t="n">
        <v>0</v>
      </c>
      <c r="AE619" s="358" t="n">
        <v>0</v>
      </c>
      <c r="AF619" s="365" t="n">
        <v>1</v>
      </c>
    </row>
    <row r="620" customFormat="false" ht="15" hidden="true" customHeight="false" outlineLevel="0" collapsed="false">
      <c r="B620" s="360" t="s">
        <v>3093</v>
      </c>
      <c r="C620" s="365" t="n">
        <v>1</v>
      </c>
      <c r="D620" s="358" t="n">
        <v>0</v>
      </c>
      <c r="E620" s="358" t="n">
        <v>0</v>
      </c>
      <c r="F620" s="358" t="n">
        <v>0</v>
      </c>
      <c r="G620" s="372" t="n">
        <v>0</v>
      </c>
      <c r="H620" s="373" t="n">
        <v>0</v>
      </c>
      <c r="I620" s="358" t="n">
        <v>0</v>
      </c>
      <c r="J620" s="358" t="n">
        <v>0</v>
      </c>
      <c r="K620" s="372" t="n">
        <v>0</v>
      </c>
      <c r="L620" s="373" t="n">
        <v>0</v>
      </c>
      <c r="M620" s="358" t="n">
        <v>0</v>
      </c>
      <c r="N620" s="358" t="n">
        <v>0</v>
      </c>
      <c r="O620" s="372" t="n">
        <v>0</v>
      </c>
      <c r="P620" s="373" t="n">
        <v>0</v>
      </c>
      <c r="Q620" s="358" t="n">
        <v>0</v>
      </c>
      <c r="R620" s="358" t="n">
        <v>0</v>
      </c>
      <c r="S620" s="372" t="n">
        <v>0</v>
      </c>
      <c r="T620" s="373" t="n">
        <v>0</v>
      </c>
      <c r="U620" s="358" t="n">
        <v>0</v>
      </c>
      <c r="V620" s="358" t="n">
        <v>0</v>
      </c>
      <c r="W620" s="372" t="n">
        <v>0</v>
      </c>
      <c r="X620" s="373" t="n">
        <v>0</v>
      </c>
      <c r="Y620" s="358" t="n">
        <v>0</v>
      </c>
      <c r="Z620" s="358" t="n">
        <v>0</v>
      </c>
      <c r="AA620" s="358" t="n">
        <v>0</v>
      </c>
      <c r="AB620" s="373" t="n">
        <v>0</v>
      </c>
      <c r="AC620" s="358" t="n">
        <v>0</v>
      </c>
      <c r="AD620" s="358" t="n">
        <v>0</v>
      </c>
      <c r="AE620" s="358" t="n">
        <v>0</v>
      </c>
      <c r="AF620" s="365" t="n">
        <v>1</v>
      </c>
    </row>
    <row r="621" customFormat="false" ht="15" hidden="true" customHeight="false" outlineLevel="0" collapsed="false">
      <c r="B621" s="360" t="s">
        <v>3094</v>
      </c>
      <c r="C621" s="365" t="n">
        <v>1</v>
      </c>
      <c r="D621" s="358" t="n">
        <v>0</v>
      </c>
      <c r="E621" s="358" t="n">
        <v>0</v>
      </c>
      <c r="F621" s="358" t="n">
        <v>0</v>
      </c>
      <c r="G621" s="372" t="n">
        <v>0</v>
      </c>
      <c r="H621" s="373" t="n">
        <v>0</v>
      </c>
      <c r="I621" s="358" t="n">
        <v>0</v>
      </c>
      <c r="J621" s="358" t="n">
        <v>0</v>
      </c>
      <c r="K621" s="372" t="n">
        <v>0</v>
      </c>
      <c r="L621" s="373" t="n">
        <v>0</v>
      </c>
      <c r="M621" s="358" t="n">
        <v>0</v>
      </c>
      <c r="N621" s="358" t="n">
        <v>0</v>
      </c>
      <c r="O621" s="372" t="n">
        <v>0</v>
      </c>
      <c r="P621" s="373" t="n">
        <v>0</v>
      </c>
      <c r="Q621" s="358" t="n">
        <v>0</v>
      </c>
      <c r="R621" s="358" t="n">
        <v>0</v>
      </c>
      <c r="S621" s="372" t="n">
        <v>0</v>
      </c>
      <c r="T621" s="373" t="n">
        <v>0</v>
      </c>
      <c r="U621" s="358" t="n">
        <v>0</v>
      </c>
      <c r="V621" s="358" t="n">
        <v>0</v>
      </c>
      <c r="W621" s="372" t="n">
        <v>0</v>
      </c>
      <c r="X621" s="373" t="n">
        <v>0</v>
      </c>
      <c r="Y621" s="358" t="n">
        <v>0</v>
      </c>
      <c r="Z621" s="358" t="n">
        <v>0</v>
      </c>
      <c r="AA621" s="358" t="n">
        <v>0</v>
      </c>
      <c r="AB621" s="373" t="n">
        <v>0</v>
      </c>
      <c r="AC621" s="358" t="n">
        <v>0</v>
      </c>
      <c r="AD621" s="358" t="n">
        <v>0</v>
      </c>
      <c r="AE621" s="358" t="n">
        <v>0</v>
      </c>
      <c r="AF621" s="365" t="n">
        <v>1</v>
      </c>
    </row>
    <row r="622" customFormat="false" ht="15" hidden="true" customHeight="false" outlineLevel="0" collapsed="false">
      <c r="B622" s="360" t="s">
        <v>3095</v>
      </c>
      <c r="C622" s="365" t="n">
        <v>1</v>
      </c>
      <c r="D622" s="358" t="n">
        <v>0</v>
      </c>
      <c r="E622" s="358" t="n">
        <v>0</v>
      </c>
      <c r="F622" s="358" t="n">
        <v>0</v>
      </c>
      <c r="G622" s="372" t="n">
        <v>0</v>
      </c>
      <c r="H622" s="373" t="n">
        <v>0</v>
      </c>
      <c r="I622" s="358" t="n">
        <v>0</v>
      </c>
      <c r="J622" s="358" t="n">
        <v>0</v>
      </c>
      <c r="K622" s="372" t="n">
        <v>0</v>
      </c>
      <c r="L622" s="373" t="n">
        <v>0</v>
      </c>
      <c r="M622" s="358" t="n">
        <v>0</v>
      </c>
      <c r="N622" s="358" t="n">
        <v>0</v>
      </c>
      <c r="O622" s="372" t="n">
        <v>0</v>
      </c>
      <c r="P622" s="373" t="n">
        <v>0</v>
      </c>
      <c r="Q622" s="358" t="n">
        <v>0</v>
      </c>
      <c r="R622" s="358" t="n">
        <v>0</v>
      </c>
      <c r="S622" s="372" t="n">
        <v>0</v>
      </c>
      <c r="T622" s="373" t="n">
        <v>0</v>
      </c>
      <c r="U622" s="358" t="n">
        <v>0</v>
      </c>
      <c r="V622" s="358" t="n">
        <v>0</v>
      </c>
      <c r="W622" s="372" t="n">
        <v>0</v>
      </c>
      <c r="X622" s="373" t="n">
        <v>0</v>
      </c>
      <c r="Y622" s="358" t="n">
        <v>0</v>
      </c>
      <c r="Z622" s="358" t="n">
        <v>0</v>
      </c>
      <c r="AA622" s="358" t="n">
        <v>0</v>
      </c>
      <c r="AB622" s="373" t="n">
        <v>0</v>
      </c>
      <c r="AC622" s="358" t="n">
        <v>0</v>
      </c>
      <c r="AD622" s="358" t="n">
        <v>0</v>
      </c>
      <c r="AE622" s="358" t="n">
        <v>0</v>
      </c>
      <c r="AF622" s="365" t="n">
        <v>1</v>
      </c>
    </row>
    <row r="623" customFormat="false" ht="15" hidden="true" customHeight="false" outlineLevel="0" collapsed="false">
      <c r="B623" s="360" t="s">
        <v>3096</v>
      </c>
      <c r="C623" s="365" t="n">
        <v>1</v>
      </c>
      <c r="D623" s="358" t="n">
        <v>0</v>
      </c>
      <c r="E623" s="358" t="n">
        <v>0</v>
      </c>
      <c r="F623" s="358" t="n">
        <v>0</v>
      </c>
      <c r="G623" s="372" t="n">
        <v>0</v>
      </c>
      <c r="H623" s="373" t="n">
        <v>0</v>
      </c>
      <c r="I623" s="358" t="n">
        <v>0</v>
      </c>
      <c r="J623" s="358" t="n">
        <v>0</v>
      </c>
      <c r="K623" s="372" t="n">
        <v>0</v>
      </c>
      <c r="L623" s="373" t="n">
        <v>0</v>
      </c>
      <c r="M623" s="358" t="n">
        <v>0</v>
      </c>
      <c r="N623" s="358" t="n">
        <v>0</v>
      </c>
      <c r="O623" s="372" t="n">
        <v>0</v>
      </c>
      <c r="P623" s="373" t="n">
        <v>0</v>
      </c>
      <c r="Q623" s="358" t="n">
        <v>0</v>
      </c>
      <c r="R623" s="358" t="n">
        <v>0</v>
      </c>
      <c r="S623" s="372" t="n">
        <v>0</v>
      </c>
      <c r="T623" s="373" t="n">
        <v>0</v>
      </c>
      <c r="U623" s="358" t="n">
        <v>0</v>
      </c>
      <c r="V623" s="358" t="n">
        <v>0</v>
      </c>
      <c r="W623" s="372" t="n">
        <v>0</v>
      </c>
      <c r="X623" s="373" t="n">
        <v>0</v>
      </c>
      <c r="Y623" s="358" t="n">
        <v>0</v>
      </c>
      <c r="Z623" s="358" t="n">
        <v>0</v>
      </c>
      <c r="AA623" s="358" t="n">
        <v>0</v>
      </c>
      <c r="AB623" s="373" t="n">
        <v>0</v>
      </c>
      <c r="AC623" s="358" t="n">
        <v>0</v>
      </c>
      <c r="AD623" s="358" t="n">
        <v>0</v>
      </c>
      <c r="AE623" s="358" t="n">
        <v>0</v>
      </c>
      <c r="AF623" s="365" t="n">
        <v>1</v>
      </c>
    </row>
    <row r="624" customFormat="false" ht="15" hidden="true" customHeight="false" outlineLevel="0" collapsed="false">
      <c r="B624" s="360" t="s">
        <v>3097</v>
      </c>
      <c r="C624" s="365" t="n">
        <v>1</v>
      </c>
      <c r="D624" s="358" t="n">
        <v>0</v>
      </c>
      <c r="E624" s="358" t="n">
        <v>0</v>
      </c>
      <c r="F624" s="358" t="n">
        <v>0</v>
      </c>
      <c r="G624" s="372" t="n">
        <v>0</v>
      </c>
      <c r="H624" s="373" t="n">
        <v>0</v>
      </c>
      <c r="I624" s="358" t="n">
        <v>0</v>
      </c>
      <c r="J624" s="358" t="n">
        <v>0</v>
      </c>
      <c r="K624" s="372" t="n">
        <v>0</v>
      </c>
      <c r="L624" s="373" t="n">
        <v>0</v>
      </c>
      <c r="M624" s="358" t="n">
        <v>0</v>
      </c>
      <c r="N624" s="358" t="n">
        <v>0</v>
      </c>
      <c r="O624" s="372" t="n">
        <v>0</v>
      </c>
      <c r="P624" s="373" t="n">
        <v>0</v>
      </c>
      <c r="Q624" s="358" t="n">
        <v>0</v>
      </c>
      <c r="R624" s="358" t="n">
        <v>0</v>
      </c>
      <c r="S624" s="372" t="n">
        <v>0</v>
      </c>
      <c r="T624" s="373" t="n">
        <v>0</v>
      </c>
      <c r="U624" s="358" t="n">
        <v>0</v>
      </c>
      <c r="V624" s="358" t="n">
        <v>0</v>
      </c>
      <c r="W624" s="372" t="n">
        <v>0</v>
      </c>
      <c r="X624" s="373" t="n">
        <v>0</v>
      </c>
      <c r="Y624" s="358" t="n">
        <v>0</v>
      </c>
      <c r="Z624" s="358" t="n">
        <v>0</v>
      </c>
      <c r="AA624" s="358" t="n">
        <v>0</v>
      </c>
      <c r="AB624" s="373" t="n">
        <v>0</v>
      </c>
      <c r="AC624" s="358" t="n">
        <v>0</v>
      </c>
      <c r="AD624" s="358" t="n">
        <v>0</v>
      </c>
      <c r="AE624" s="358" t="n">
        <v>0</v>
      </c>
      <c r="AF624" s="365" t="n">
        <v>1</v>
      </c>
    </row>
    <row r="625" customFormat="false" ht="15" hidden="true" customHeight="false" outlineLevel="0" collapsed="false">
      <c r="B625" s="360" t="s">
        <v>3098</v>
      </c>
      <c r="C625" s="365" t="n">
        <v>1</v>
      </c>
      <c r="D625" s="358" t="n">
        <v>0</v>
      </c>
      <c r="E625" s="358" t="n">
        <v>0</v>
      </c>
      <c r="F625" s="358" t="n">
        <v>0</v>
      </c>
      <c r="G625" s="372" t="n">
        <v>0</v>
      </c>
      <c r="H625" s="373" t="n">
        <v>0</v>
      </c>
      <c r="I625" s="358" t="n">
        <v>0</v>
      </c>
      <c r="J625" s="358" t="n">
        <v>0</v>
      </c>
      <c r="K625" s="372" t="n">
        <v>0</v>
      </c>
      <c r="L625" s="373" t="n">
        <v>0</v>
      </c>
      <c r="M625" s="358" t="n">
        <v>0</v>
      </c>
      <c r="N625" s="358" t="n">
        <v>0</v>
      </c>
      <c r="O625" s="372" t="n">
        <v>0</v>
      </c>
      <c r="P625" s="373" t="n">
        <v>0</v>
      </c>
      <c r="Q625" s="358" t="n">
        <v>0</v>
      </c>
      <c r="R625" s="358" t="n">
        <v>0</v>
      </c>
      <c r="S625" s="372" t="n">
        <v>0</v>
      </c>
      <c r="T625" s="373" t="n">
        <v>0</v>
      </c>
      <c r="U625" s="358" t="n">
        <v>0</v>
      </c>
      <c r="V625" s="358" t="n">
        <v>0</v>
      </c>
      <c r="W625" s="372" t="n">
        <v>0</v>
      </c>
      <c r="X625" s="373" t="n">
        <v>0</v>
      </c>
      <c r="Y625" s="358" t="n">
        <v>0</v>
      </c>
      <c r="Z625" s="358" t="n">
        <v>0</v>
      </c>
      <c r="AA625" s="358" t="n">
        <v>0</v>
      </c>
      <c r="AB625" s="373" t="n">
        <v>0</v>
      </c>
      <c r="AC625" s="358" t="n">
        <v>0</v>
      </c>
      <c r="AD625" s="358" t="n">
        <v>0</v>
      </c>
      <c r="AE625" s="358" t="n">
        <v>0</v>
      </c>
      <c r="AF625" s="365" t="n">
        <v>1</v>
      </c>
    </row>
    <row r="626" customFormat="false" ht="15" hidden="true" customHeight="false" outlineLevel="0" collapsed="false">
      <c r="B626" s="360" t="s">
        <v>3099</v>
      </c>
      <c r="C626" s="365" t="n">
        <v>1</v>
      </c>
      <c r="D626" s="358" t="n">
        <v>0</v>
      </c>
      <c r="E626" s="358" t="n">
        <v>0</v>
      </c>
      <c r="F626" s="358" t="n">
        <v>0</v>
      </c>
      <c r="G626" s="372" t="n">
        <v>0</v>
      </c>
      <c r="H626" s="373" t="n">
        <v>0</v>
      </c>
      <c r="I626" s="358" t="n">
        <v>0</v>
      </c>
      <c r="J626" s="358" t="n">
        <v>0</v>
      </c>
      <c r="K626" s="372" t="n">
        <v>0</v>
      </c>
      <c r="L626" s="373" t="n">
        <v>0</v>
      </c>
      <c r="M626" s="358" t="n">
        <v>0</v>
      </c>
      <c r="N626" s="358" t="n">
        <v>0</v>
      </c>
      <c r="O626" s="372" t="n">
        <v>0</v>
      </c>
      <c r="P626" s="373" t="n">
        <v>0</v>
      </c>
      <c r="Q626" s="358" t="n">
        <v>0</v>
      </c>
      <c r="R626" s="358" t="n">
        <v>0</v>
      </c>
      <c r="S626" s="372" t="n">
        <v>0</v>
      </c>
      <c r="T626" s="373" t="n">
        <v>0</v>
      </c>
      <c r="U626" s="358" t="n">
        <v>0</v>
      </c>
      <c r="V626" s="358" t="n">
        <v>0</v>
      </c>
      <c r="W626" s="372" t="n">
        <v>0</v>
      </c>
      <c r="X626" s="373" t="n">
        <v>0</v>
      </c>
      <c r="Y626" s="358" t="n">
        <v>0</v>
      </c>
      <c r="Z626" s="358" t="n">
        <v>0</v>
      </c>
      <c r="AA626" s="358" t="n">
        <v>0</v>
      </c>
      <c r="AB626" s="373" t="n">
        <v>0</v>
      </c>
      <c r="AC626" s="358" t="n">
        <v>0</v>
      </c>
      <c r="AD626" s="358" t="n">
        <v>0</v>
      </c>
      <c r="AE626" s="358" t="n">
        <v>0</v>
      </c>
      <c r="AF626" s="365" t="n">
        <v>1</v>
      </c>
    </row>
    <row r="627" customFormat="false" ht="15" hidden="true" customHeight="false" outlineLevel="0" collapsed="false">
      <c r="B627" s="360" t="s">
        <v>3100</v>
      </c>
      <c r="C627" s="365" t="n">
        <v>1</v>
      </c>
      <c r="D627" s="358" t="n">
        <v>0</v>
      </c>
      <c r="E627" s="358" t="n">
        <v>0</v>
      </c>
      <c r="F627" s="358" t="n">
        <v>0</v>
      </c>
      <c r="G627" s="372" t="n">
        <v>0</v>
      </c>
      <c r="H627" s="373" t="n">
        <v>0</v>
      </c>
      <c r="I627" s="358" t="n">
        <v>0</v>
      </c>
      <c r="J627" s="358" t="n">
        <v>0</v>
      </c>
      <c r="K627" s="372" t="n">
        <v>0</v>
      </c>
      <c r="L627" s="373" t="n">
        <v>0</v>
      </c>
      <c r="M627" s="358" t="n">
        <v>0</v>
      </c>
      <c r="N627" s="358" t="n">
        <v>0</v>
      </c>
      <c r="O627" s="372" t="n">
        <v>0</v>
      </c>
      <c r="P627" s="373" t="n">
        <v>0</v>
      </c>
      <c r="Q627" s="358" t="n">
        <v>0</v>
      </c>
      <c r="R627" s="358" t="n">
        <v>0</v>
      </c>
      <c r="S627" s="372" t="n">
        <v>0</v>
      </c>
      <c r="T627" s="373" t="n">
        <v>0</v>
      </c>
      <c r="U627" s="358" t="n">
        <v>0</v>
      </c>
      <c r="V627" s="358" t="n">
        <v>0</v>
      </c>
      <c r="W627" s="372" t="n">
        <v>0</v>
      </c>
      <c r="X627" s="373" t="n">
        <v>0</v>
      </c>
      <c r="Y627" s="358" t="n">
        <v>0</v>
      </c>
      <c r="Z627" s="358" t="n">
        <v>0</v>
      </c>
      <c r="AA627" s="358" t="n">
        <v>0</v>
      </c>
      <c r="AB627" s="373" t="n">
        <v>0</v>
      </c>
      <c r="AC627" s="358" t="n">
        <v>0</v>
      </c>
      <c r="AD627" s="358" t="n">
        <v>0</v>
      </c>
      <c r="AE627" s="358" t="n">
        <v>0</v>
      </c>
      <c r="AF627" s="365" t="n">
        <v>1</v>
      </c>
    </row>
    <row r="628" customFormat="false" ht="15" hidden="true" customHeight="false" outlineLevel="0" collapsed="false">
      <c r="B628" s="360" t="s">
        <v>3101</v>
      </c>
      <c r="C628" s="365" t="n">
        <v>1</v>
      </c>
      <c r="D628" s="358" t="n">
        <v>0</v>
      </c>
      <c r="E628" s="358" t="n">
        <v>0</v>
      </c>
      <c r="F628" s="358" t="n">
        <v>0</v>
      </c>
      <c r="G628" s="372" t="n">
        <v>0</v>
      </c>
      <c r="H628" s="373" t="n">
        <v>0</v>
      </c>
      <c r="I628" s="358" t="n">
        <v>0</v>
      </c>
      <c r="J628" s="358" t="n">
        <v>0</v>
      </c>
      <c r="K628" s="372" t="n">
        <v>0</v>
      </c>
      <c r="L628" s="373" t="n">
        <v>0</v>
      </c>
      <c r="M628" s="358" t="n">
        <v>0</v>
      </c>
      <c r="N628" s="358" t="n">
        <v>0</v>
      </c>
      <c r="O628" s="372" t="n">
        <v>0</v>
      </c>
      <c r="P628" s="373" t="n">
        <v>0</v>
      </c>
      <c r="Q628" s="358" t="n">
        <v>0</v>
      </c>
      <c r="R628" s="358" t="n">
        <v>0</v>
      </c>
      <c r="S628" s="372" t="n">
        <v>0</v>
      </c>
      <c r="T628" s="373" t="n">
        <v>0</v>
      </c>
      <c r="U628" s="358" t="n">
        <v>0</v>
      </c>
      <c r="V628" s="358" t="n">
        <v>0</v>
      </c>
      <c r="W628" s="372" t="n">
        <v>0</v>
      </c>
      <c r="X628" s="373" t="n">
        <v>0</v>
      </c>
      <c r="Y628" s="358" t="n">
        <v>0</v>
      </c>
      <c r="Z628" s="358" t="n">
        <v>0</v>
      </c>
      <c r="AA628" s="358" t="n">
        <v>0</v>
      </c>
      <c r="AB628" s="373" t="n">
        <v>0</v>
      </c>
      <c r="AC628" s="358" t="n">
        <v>0</v>
      </c>
      <c r="AD628" s="358" t="n">
        <v>0</v>
      </c>
      <c r="AE628" s="358" t="n">
        <v>0</v>
      </c>
      <c r="AF628" s="365" t="n">
        <v>1</v>
      </c>
    </row>
    <row r="629" customFormat="false" ht="15" hidden="true" customHeight="false" outlineLevel="0" collapsed="false">
      <c r="B629" s="360" t="s">
        <v>3102</v>
      </c>
      <c r="C629" s="365" t="n">
        <v>1</v>
      </c>
      <c r="D629" s="358" t="n">
        <v>0</v>
      </c>
      <c r="E629" s="358" t="n">
        <v>0</v>
      </c>
      <c r="F629" s="358" t="n">
        <v>0</v>
      </c>
      <c r="G629" s="372" t="n">
        <v>0</v>
      </c>
      <c r="H629" s="373" t="n">
        <v>0</v>
      </c>
      <c r="I629" s="358" t="n">
        <v>0</v>
      </c>
      <c r="J629" s="358" t="n">
        <v>0</v>
      </c>
      <c r="K629" s="372" t="n">
        <v>0</v>
      </c>
      <c r="L629" s="373" t="n">
        <v>0</v>
      </c>
      <c r="M629" s="358" t="n">
        <v>0</v>
      </c>
      <c r="N629" s="358" t="n">
        <v>0</v>
      </c>
      <c r="O629" s="372" t="n">
        <v>0</v>
      </c>
      <c r="P629" s="373" t="n">
        <v>0</v>
      </c>
      <c r="Q629" s="358" t="n">
        <v>0</v>
      </c>
      <c r="R629" s="358" t="n">
        <v>0</v>
      </c>
      <c r="S629" s="372" t="n">
        <v>0</v>
      </c>
      <c r="T629" s="373" t="n">
        <v>0</v>
      </c>
      <c r="U629" s="358" t="n">
        <v>0</v>
      </c>
      <c r="V629" s="358" t="n">
        <v>0</v>
      </c>
      <c r="W629" s="372" t="n">
        <v>0</v>
      </c>
      <c r="X629" s="373" t="n">
        <v>0</v>
      </c>
      <c r="Y629" s="358" t="n">
        <v>0</v>
      </c>
      <c r="Z629" s="358" t="n">
        <v>0</v>
      </c>
      <c r="AA629" s="358" t="n">
        <v>0</v>
      </c>
      <c r="AB629" s="373" t="n">
        <v>0</v>
      </c>
      <c r="AC629" s="358" t="n">
        <v>0</v>
      </c>
      <c r="AD629" s="358" t="n">
        <v>0</v>
      </c>
      <c r="AE629" s="358" t="n">
        <v>0</v>
      </c>
      <c r="AF629" s="365" t="n">
        <v>1</v>
      </c>
    </row>
    <row r="630" customFormat="false" ht="15" hidden="true" customHeight="false" outlineLevel="0" collapsed="false">
      <c r="B630" s="360" t="s">
        <v>3103</v>
      </c>
      <c r="C630" s="365" t="n">
        <v>1</v>
      </c>
      <c r="D630" s="358" t="n">
        <v>0</v>
      </c>
      <c r="E630" s="358" t="n">
        <v>0</v>
      </c>
      <c r="F630" s="358" t="n">
        <v>0</v>
      </c>
      <c r="G630" s="372" t="n">
        <v>0</v>
      </c>
      <c r="H630" s="373" t="n">
        <v>0</v>
      </c>
      <c r="I630" s="358" t="n">
        <v>0</v>
      </c>
      <c r="J630" s="358" t="n">
        <v>0</v>
      </c>
      <c r="K630" s="372" t="n">
        <v>0</v>
      </c>
      <c r="L630" s="373" t="n">
        <v>0</v>
      </c>
      <c r="M630" s="358" t="n">
        <v>0</v>
      </c>
      <c r="N630" s="358" t="n">
        <v>0</v>
      </c>
      <c r="O630" s="372" t="n">
        <v>0</v>
      </c>
      <c r="P630" s="373" t="n">
        <v>0</v>
      </c>
      <c r="Q630" s="358" t="n">
        <v>0</v>
      </c>
      <c r="R630" s="358" t="n">
        <v>0</v>
      </c>
      <c r="S630" s="372" t="n">
        <v>0</v>
      </c>
      <c r="T630" s="373" t="n">
        <v>0</v>
      </c>
      <c r="U630" s="358" t="n">
        <v>0</v>
      </c>
      <c r="V630" s="358" t="n">
        <v>0</v>
      </c>
      <c r="W630" s="372" t="n">
        <v>0</v>
      </c>
      <c r="X630" s="373" t="n">
        <v>0</v>
      </c>
      <c r="Y630" s="358" t="n">
        <v>0</v>
      </c>
      <c r="Z630" s="358" t="n">
        <v>0</v>
      </c>
      <c r="AA630" s="358" t="n">
        <v>0</v>
      </c>
      <c r="AB630" s="373" t="n">
        <v>0</v>
      </c>
      <c r="AC630" s="358" t="n">
        <v>0</v>
      </c>
      <c r="AD630" s="358" t="n">
        <v>0</v>
      </c>
      <c r="AE630" s="358" t="n">
        <v>0</v>
      </c>
      <c r="AF630" s="365" t="n">
        <v>1</v>
      </c>
    </row>
    <row r="631" customFormat="false" ht="15" hidden="true" customHeight="false" outlineLevel="0" collapsed="false">
      <c r="B631" s="360" t="s">
        <v>3104</v>
      </c>
      <c r="C631" s="365" t="n">
        <v>1</v>
      </c>
      <c r="D631" s="358" t="n">
        <v>0</v>
      </c>
      <c r="E631" s="358" t="n">
        <v>0</v>
      </c>
      <c r="F631" s="358" t="n">
        <v>0</v>
      </c>
      <c r="G631" s="372" t="n">
        <v>0</v>
      </c>
      <c r="H631" s="373" t="n">
        <v>0</v>
      </c>
      <c r="I631" s="358" t="n">
        <v>0</v>
      </c>
      <c r="J631" s="358" t="n">
        <v>0</v>
      </c>
      <c r="K631" s="372" t="n">
        <v>0</v>
      </c>
      <c r="L631" s="373" t="n">
        <v>0</v>
      </c>
      <c r="M631" s="358" t="n">
        <v>0</v>
      </c>
      <c r="N631" s="358" t="n">
        <v>0</v>
      </c>
      <c r="O631" s="372" t="n">
        <v>0</v>
      </c>
      <c r="P631" s="373" t="n">
        <v>0</v>
      </c>
      <c r="Q631" s="358" t="n">
        <v>0</v>
      </c>
      <c r="R631" s="358" t="n">
        <v>0</v>
      </c>
      <c r="S631" s="372" t="n">
        <v>0</v>
      </c>
      <c r="T631" s="373" t="n">
        <v>0</v>
      </c>
      <c r="U631" s="358" t="n">
        <v>0</v>
      </c>
      <c r="V631" s="358" t="n">
        <v>0</v>
      </c>
      <c r="W631" s="372" t="n">
        <v>0</v>
      </c>
      <c r="X631" s="373" t="n">
        <v>0</v>
      </c>
      <c r="Y631" s="358" t="n">
        <v>0</v>
      </c>
      <c r="Z631" s="358" t="n">
        <v>0</v>
      </c>
      <c r="AA631" s="358" t="n">
        <v>0</v>
      </c>
      <c r="AB631" s="373" t="n">
        <v>0</v>
      </c>
      <c r="AC631" s="358" t="n">
        <v>0</v>
      </c>
      <c r="AD631" s="358" t="n">
        <v>0</v>
      </c>
      <c r="AE631" s="358" t="n">
        <v>0</v>
      </c>
      <c r="AF631" s="365" t="n">
        <v>1</v>
      </c>
    </row>
    <row r="632" customFormat="false" ht="15" hidden="true" customHeight="false" outlineLevel="0" collapsed="false">
      <c r="B632" s="360" t="s">
        <v>3105</v>
      </c>
      <c r="C632" s="365" t="n">
        <v>1</v>
      </c>
      <c r="D632" s="358" t="n">
        <v>0</v>
      </c>
      <c r="E632" s="358" t="n">
        <v>0</v>
      </c>
      <c r="F632" s="358" t="n">
        <v>0</v>
      </c>
      <c r="G632" s="372" t="n">
        <v>0</v>
      </c>
      <c r="H632" s="373" t="n">
        <v>0</v>
      </c>
      <c r="I632" s="358" t="n">
        <v>0</v>
      </c>
      <c r="J632" s="358" t="n">
        <v>0</v>
      </c>
      <c r="K632" s="372" t="n">
        <v>0</v>
      </c>
      <c r="L632" s="373" t="n">
        <v>0</v>
      </c>
      <c r="M632" s="358" t="n">
        <v>0</v>
      </c>
      <c r="N632" s="358" t="n">
        <v>0</v>
      </c>
      <c r="O632" s="372" t="n">
        <v>0</v>
      </c>
      <c r="P632" s="373" t="n">
        <v>0</v>
      </c>
      <c r="Q632" s="358" t="n">
        <v>0</v>
      </c>
      <c r="R632" s="358" t="n">
        <v>0</v>
      </c>
      <c r="S632" s="372" t="n">
        <v>0</v>
      </c>
      <c r="T632" s="373" t="n">
        <v>0</v>
      </c>
      <c r="U632" s="358" t="n">
        <v>0</v>
      </c>
      <c r="V632" s="358" t="n">
        <v>0</v>
      </c>
      <c r="W632" s="372" t="n">
        <v>0</v>
      </c>
      <c r="X632" s="373" t="n">
        <v>0</v>
      </c>
      <c r="Y632" s="358" t="n">
        <v>0</v>
      </c>
      <c r="Z632" s="358" t="n">
        <v>0</v>
      </c>
      <c r="AA632" s="358" t="n">
        <v>0</v>
      </c>
      <c r="AB632" s="373" t="n">
        <v>0</v>
      </c>
      <c r="AC632" s="358" t="n">
        <v>0</v>
      </c>
      <c r="AD632" s="358" t="n">
        <v>0</v>
      </c>
      <c r="AE632" s="358" t="n">
        <v>0</v>
      </c>
      <c r="AF632" s="365" t="n">
        <v>1</v>
      </c>
    </row>
    <row r="633" customFormat="false" ht="15" hidden="true" customHeight="false" outlineLevel="0" collapsed="false">
      <c r="B633" s="360" t="s">
        <v>3106</v>
      </c>
      <c r="C633" s="365" t="n">
        <v>1</v>
      </c>
      <c r="D633" s="358" t="n">
        <v>0</v>
      </c>
      <c r="E633" s="358" t="n">
        <v>0</v>
      </c>
      <c r="F633" s="358" t="n">
        <v>0</v>
      </c>
      <c r="G633" s="372" t="n">
        <v>0</v>
      </c>
      <c r="H633" s="373" t="n">
        <v>0</v>
      </c>
      <c r="I633" s="358" t="n">
        <v>0</v>
      </c>
      <c r="J633" s="358" t="n">
        <v>0</v>
      </c>
      <c r="K633" s="372" t="n">
        <v>0</v>
      </c>
      <c r="L633" s="373" t="n">
        <v>0</v>
      </c>
      <c r="M633" s="358" t="n">
        <v>0</v>
      </c>
      <c r="N633" s="358" t="n">
        <v>0</v>
      </c>
      <c r="O633" s="372" t="n">
        <v>0</v>
      </c>
      <c r="P633" s="373" t="n">
        <v>0</v>
      </c>
      <c r="Q633" s="358" t="n">
        <v>0</v>
      </c>
      <c r="R633" s="358" t="n">
        <v>0</v>
      </c>
      <c r="S633" s="372" t="n">
        <v>0</v>
      </c>
      <c r="T633" s="373" t="n">
        <v>0</v>
      </c>
      <c r="U633" s="358" t="n">
        <v>0</v>
      </c>
      <c r="V633" s="358" t="n">
        <v>0</v>
      </c>
      <c r="W633" s="372" t="n">
        <v>0</v>
      </c>
      <c r="X633" s="373" t="n">
        <v>0</v>
      </c>
      <c r="Y633" s="358" t="n">
        <v>0</v>
      </c>
      <c r="Z633" s="358" t="n">
        <v>0</v>
      </c>
      <c r="AA633" s="358" t="n">
        <v>0</v>
      </c>
      <c r="AB633" s="373" t="n">
        <v>0</v>
      </c>
      <c r="AC633" s="358" t="n">
        <v>0</v>
      </c>
      <c r="AD633" s="358" t="n">
        <v>0</v>
      </c>
      <c r="AE633" s="358" t="n">
        <v>0</v>
      </c>
      <c r="AF633" s="365" t="n">
        <v>1</v>
      </c>
    </row>
    <row r="634" customFormat="false" ht="15" hidden="true" customHeight="false" outlineLevel="0" collapsed="false">
      <c r="B634" s="360" t="s">
        <v>3107</v>
      </c>
      <c r="C634" s="365" t="n">
        <v>1</v>
      </c>
      <c r="D634" s="358" t="n">
        <v>0</v>
      </c>
      <c r="E634" s="358" t="n">
        <v>0</v>
      </c>
      <c r="F634" s="358" t="n">
        <v>0</v>
      </c>
      <c r="G634" s="372" t="n">
        <v>0</v>
      </c>
      <c r="H634" s="373" t="n">
        <v>0</v>
      </c>
      <c r="I634" s="358" t="n">
        <v>0</v>
      </c>
      <c r="J634" s="358" t="n">
        <v>0</v>
      </c>
      <c r="K634" s="372" t="n">
        <v>0</v>
      </c>
      <c r="L634" s="373" t="n">
        <v>0</v>
      </c>
      <c r="M634" s="358" t="n">
        <v>0</v>
      </c>
      <c r="N634" s="358" t="n">
        <v>0</v>
      </c>
      <c r="O634" s="372" t="n">
        <v>0</v>
      </c>
      <c r="P634" s="373" t="n">
        <v>0</v>
      </c>
      <c r="Q634" s="358" t="n">
        <v>0</v>
      </c>
      <c r="R634" s="358" t="n">
        <v>0</v>
      </c>
      <c r="S634" s="372" t="n">
        <v>0</v>
      </c>
      <c r="T634" s="373" t="n">
        <v>0</v>
      </c>
      <c r="U634" s="358" t="n">
        <v>0</v>
      </c>
      <c r="V634" s="358" t="n">
        <v>0</v>
      </c>
      <c r="W634" s="372" t="n">
        <v>0</v>
      </c>
      <c r="X634" s="373" t="n">
        <v>0</v>
      </c>
      <c r="Y634" s="358" t="n">
        <v>0</v>
      </c>
      <c r="Z634" s="358" t="n">
        <v>0</v>
      </c>
      <c r="AA634" s="358" t="n">
        <v>0</v>
      </c>
      <c r="AB634" s="373" t="n">
        <v>0</v>
      </c>
      <c r="AC634" s="358" t="n">
        <v>0</v>
      </c>
      <c r="AD634" s="358" t="n">
        <v>0</v>
      </c>
      <c r="AE634" s="358" t="n">
        <v>0</v>
      </c>
      <c r="AF634" s="365" t="n">
        <v>1</v>
      </c>
    </row>
    <row r="635" customFormat="false" ht="15" hidden="true" customHeight="false" outlineLevel="0" collapsed="false">
      <c r="B635" s="360" t="s">
        <v>3108</v>
      </c>
      <c r="C635" s="365" t="n">
        <v>1</v>
      </c>
      <c r="D635" s="358" t="n">
        <v>0</v>
      </c>
      <c r="E635" s="358" t="n">
        <v>0</v>
      </c>
      <c r="F635" s="358" t="n">
        <v>0</v>
      </c>
      <c r="G635" s="372" t="n">
        <v>0</v>
      </c>
      <c r="H635" s="373" t="n">
        <v>0</v>
      </c>
      <c r="I635" s="358" t="n">
        <v>0</v>
      </c>
      <c r="J635" s="358" t="n">
        <v>0</v>
      </c>
      <c r="K635" s="372" t="n">
        <v>0</v>
      </c>
      <c r="L635" s="373" t="n">
        <v>0</v>
      </c>
      <c r="M635" s="358" t="n">
        <v>0</v>
      </c>
      <c r="N635" s="358" t="n">
        <v>0</v>
      </c>
      <c r="O635" s="372" t="n">
        <v>0</v>
      </c>
      <c r="P635" s="373" t="n">
        <v>0</v>
      </c>
      <c r="Q635" s="358" t="n">
        <v>0</v>
      </c>
      <c r="R635" s="358" t="n">
        <v>0</v>
      </c>
      <c r="S635" s="372" t="n">
        <v>0</v>
      </c>
      <c r="T635" s="373" t="n">
        <v>0</v>
      </c>
      <c r="U635" s="358" t="n">
        <v>0</v>
      </c>
      <c r="V635" s="358" t="n">
        <v>0</v>
      </c>
      <c r="W635" s="372" t="n">
        <v>0</v>
      </c>
      <c r="X635" s="373" t="n">
        <v>0</v>
      </c>
      <c r="Y635" s="358" t="n">
        <v>0</v>
      </c>
      <c r="Z635" s="358" t="n">
        <v>0</v>
      </c>
      <c r="AA635" s="358" t="n">
        <v>0</v>
      </c>
      <c r="AB635" s="373" t="n">
        <v>0</v>
      </c>
      <c r="AC635" s="358" t="n">
        <v>0</v>
      </c>
      <c r="AD635" s="358" t="n">
        <v>0</v>
      </c>
      <c r="AE635" s="358" t="n">
        <v>0</v>
      </c>
      <c r="AF635" s="365" t="n">
        <v>1</v>
      </c>
    </row>
    <row r="636" customFormat="false" ht="15" hidden="true" customHeight="false" outlineLevel="0" collapsed="false">
      <c r="B636" s="360" t="s">
        <v>3109</v>
      </c>
      <c r="C636" s="365" t="n">
        <v>1</v>
      </c>
      <c r="D636" s="358" t="n">
        <v>0</v>
      </c>
      <c r="E636" s="358" t="n">
        <v>0</v>
      </c>
      <c r="F636" s="358" t="n">
        <v>0</v>
      </c>
      <c r="G636" s="372" t="n">
        <v>0</v>
      </c>
      <c r="H636" s="373" t="n">
        <v>0</v>
      </c>
      <c r="I636" s="358" t="n">
        <v>0</v>
      </c>
      <c r="J636" s="358" t="n">
        <v>0</v>
      </c>
      <c r="K636" s="372" t="n">
        <v>0</v>
      </c>
      <c r="L636" s="373" t="n">
        <v>0</v>
      </c>
      <c r="M636" s="358" t="n">
        <v>0</v>
      </c>
      <c r="N636" s="358" t="n">
        <v>0</v>
      </c>
      <c r="O636" s="372" t="n">
        <v>0</v>
      </c>
      <c r="P636" s="373" t="n">
        <v>0</v>
      </c>
      <c r="Q636" s="358" t="n">
        <v>0</v>
      </c>
      <c r="R636" s="358" t="n">
        <v>0</v>
      </c>
      <c r="S636" s="372" t="n">
        <v>0</v>
      </c>
      <c r="T636" s="373" t="n">
        <v>0</v>
      </c>
      <c r="U636" s="358" t="n">
        <v>0</v>
      </c>
      <c r="V636" s="358" t="n">
        <v>0</v>
      </c>
      <c r="W636" s="372" t="n">
        <v>0</v>
      </c>
      <c r="X636" s="373" t="n">
        <v>0</v>
      </c>
      <c r="Y636" s="358" t="n">
        <v>0</v>
      </c>
      <c r="Z636" s="358" t="n">
        <v>0</v>
      </c>
      <c r="AA636" s="358" t="n">
        <v>0</v>
      </c>
      <c r="AB636" s="373" t="n">
        <v>0</v>
      </c>
      <c r="AC636" s="358" t="n">
        <v>0</v>
      </c>
      <c r="AD636" s="358" t="n">
        <v>0</v>
      </c>
      <c r="AE636" s="358" t="n">
        <v>0</v>
      </c>
      <c r="AF636" s="365" t="n">
        <v>1</v>
      </c>
    </row>
    <row r="637" customFormat="false" ht="15" hidden="true" customHeight="false" outlineLevel="0" collapsed="false">
      <c r="B637" s="360" t="s">
        <v>3110</v>
      </c>
      <c r="C637" s="365" t="n">
        <v>1</v>
      </c>
      <c r="D637" s="358" t="n">
        <v>0</v>
      </c>
      <c r="E637" s="358" t="n">
        <v>0</v>
      </c>
      <c r="F637" s="358" t="n">
        <v>0</v>
      </c>
      <c r="G637" s="372" t="n">
        <v>0</v>
      </c>
      <c r="H637" s="373" t="n">
        <v>0</v>
      </c>
      <c r="I637" s="358" t="n">
        <v>0</v>
      </c>
      <c r="J637" s="358" t="n">
        <v>0</v>
      </c>
      <c r="K637" s="372" t="n">
        <v>0</v>
      </c>
      <c r="L637" s="373" t="n">
        <v>0</v>
      </c>
      <c r="M637" s="358" t="n">
        <v>0</v>
      </c>
      <c r="N637" s="358" t="n">
        <v>0</v>
      </c>
      <c r="O637" s="372" t="n">
        <v>0</v>
      </c>
      <c r="P637" s="373" t="n">
        <v>0</v>
      </c>
      <c r="Q637" s="358" t="n">
        <v>0</v>
      </c>
      <c r="R637" s="358" t="n">
        <v>0</v>
      </c>
      <c r="S637" s="372" t="n">
        <v>0</v>
      </c>
      <c r="T637" s="373" t="n">
        <v>0</v>
      </c>
      <c r="U637" s="358" t="n">
        <v>0</v>
      </c>
      <c r="V637" s="358" t="n">
        <v>0</v>
      </c>
      <c r="W637" s="372" t="n">
        <v>0</v>
      </c>
      <c r="X637" s="373" t="n">
        <v>0</v>
      </c>
      <c r="Y637" s="358" t="n">
        <v>0</v>
      </c>
      <c r="Z637" s="358" t="n">
        <v>0</v>
      </c>
      <c r="AA637" s="358" t="n">
        <v>0</v>
      </c>
      <c r="AB637" s="373" t="n">
        <v>0</v>
      </c>
      <c r="AC637" s="358" t="n">
        <v>0</v>
      </c>
      <c r="AD637" s="358" t="n">
        <v>0</v>
      </c>
      <c r="AE637" s="358" t="n">
        <v>0</v>
      </c>
      <c r="AF637" s="365" t="n">
        <v>1</v>
      </c>
    </row>
    <row r="638" customFormat="false" ht="15" hidden="true" customHeight="false" outlineLevel="0" collapsed="false">
      <c r="B638" s="360" t="s">
        <v>3111</v>
      </c>
      <c r="C638" s="365" t="n">
        <v>1</v>
      </c>
      <c r="D638" s="358" t="n">
        <v>0</v>
      </c>
      <c r="E638" s="358" t="n">
        <v>0</v>
      </c>
      <c r="F638" s="358" t="n">
        <v>0</v>
      </c>
      <c r="G638" s="372" t="n">
        <v>0</v>
      </c>
      <c r="H638" s="373" t="n">
        <v>0</v>
      </c>
      <c r="I638" s="358" t="n">
        <v>0</v>
      </c>
      <c r="J638" s="358" t="n">
        <v>0</v>
      </c>
      <c r="K638" s="372" t="n">
        <v>0</v>
      </c>
      <c r="L638" s="373" t="n">
        <v>0</v>
      </c>
      <c r="M638" s="358" t="n">
        <v>0</v>
      </c>
      <c r="N638" s="358" t="n">
        <v>0</v>
      </c>
      <c r="O638" s="372" t="n">
        <v>0</v>
      </c>
      <c r="P638" s="373" t="n">
        <v>0</v>
      </c>
      <c r="Q638" s="358" t="n">
        <v>0</v>
      </c>
      <c r="R638" s="358" t="n">
        <v>0</v>
      </c>
      <c r="S638" s="372" t="n">
        <v>0</v>
      </c>
      <c r="T638" s="373" t="n">
        <v>0</v>
      </c>
      <c r="U638" s="358" t="n">
        <v>0</v>
      </c>
      <c r="V638" s="358" t="n">
        <v>0</v>
      </c>
      <c r="W638" s="372" t="n">
        <v>0</v>
      </c>
      <c r="X638" s="373" t="n">
        <v>0</v>
      </c>
      <c r="Y638" s="358" t="n">
        <v>0</v>
      </c>
      <c r="Z638" s="358" t="n">
        <v>0</v>
      </c>
      <c r="AA638" s="358" t="n">
        <v>0</v>
      </c>
      <c r="AB638" s="373" t="n">
        <v>0</v>
      </c>
      <c r="AC638" s="358" t="n">
        <v>0</v>
      </c>
      <c r="AD638" s="358" t="n">
        <v>0</v>
      </c>
      <c r="AE638" s="358" t="n">
        <v>0</v>
      </c>
      <c r="AF638" s="365" t="n">
        <v>1</v>
      </c>
    </row>
    <row r="639" customFormat="false" ht="15" hidden="true" customHeight="false" outlineLevel="0" collapsed="false">
      <c r="B639" s="360" t="s">
        <v>3112</v>
      </c>
      <c r="C639" s="365" t="n">
        <v>1</v>
      </c>
      <c r="D639" s="358" t="n">
        <v>0</v>
      </c>
      <c r="E639" s="358" t="n">
        <v>0</v>
      </c>
      <c r="F639" s="358" t="n">
        <v>0</v>
      </c>
      <c r="G639" s="372" t="n">
        <v>0</v>
      </c>
      <c r="H639" s="373" t="n">
        <v>0</v>
      </c>
      <c r="I639" s="358" t="n">
        <v>0</v>
      </c>
      <c r="J639" s="358" t="n">
        <v>0</v>
      </c>
      <c r="K639" s="372" t="n">
        <v>0</v>
      </c>
      <c r="L639" s="373" t="n">
        <v>0</v>
      </c>
      <c r="M639" s="358" t="n">
        <v>0</v>
      </c>
      <c r="N639" s="358" t="n">
        <v>0</v>
      </c>
      <c r="O639" s="372" t="n">
        <v>0</v>
      </c>
      <c r="P639" s="373" t="n">
        <v>0</v>
      </c>
      <c r="Q639" s="358" t="n">
        <v>0</v>
      </c>
      <c r="R639" s="358" t="n">
        <v>0</v>
      </c>
      <c r="S639" s="372" t="n">
        <v>0</v>
      </c>
      <c r="T639" s="373" t="n">
        <v>0</v>
      </c>
      <c r="U639" s="358" t="n">
        <v>0</v>
      </c>
      <c r="V639" s="358" t="n">
        <v>0</v>
      </c>
      <c r="W639" s="372" t="n">
        <v>0</v>
      </c>
      <c r="X639" s="373" t="n">
        <v>0</v>
      </c>
      <c r="Y639" s="358" t="n">
        <v>0</v>
      </c>
      <c r="Z639" s="358" t="n">
        <v>0</v>
      </c>
      <c r="AA639" s="358" t="n">
        <v>0</v>
      </c>
      <c r="AB639" s="373" t="n">
        <v>0</v>
      </c>
      <c r="AC639" s="358" t="n">
        <v>0</v>
      </c>
      <c r="AD639" s="358" t="n">
        <v>0</v>
      </c>
      <c r="AE639" s="358" t="n">
        <v>0</v>
      </c>
      <c r="AF639" s="365" t="n">
        <v>1</v>
      </c>
    </row>
    <row r="640" customFormat="false" ht="15" hidden="true" customHeight="false" outlineLevel="0" collapsed="false">
      <c r="B640" s="360" t="s">
        <v>3113</v>
      </c>
      <c r="C640" s="365" t="n">
        <v>1</v>
      </c>
      <c r="D640" s="358" t="n">
        <v>0</v>
      </c>
      <c r="E640" s="358" t="n">
        <v>0</v>
      </c>
      <c r="F640" s="358" t="n">
        <v>0</v>
      </c>
      <c r="G640" s="372" t="n">
        <v>0</v>
      </c>
      <c r="H640" s="373" t="n">
        <v>0</v>
      </c>
      <c r="I640" s="358" t="n">
        <v>0</v>
      </c>
      <c r="J640" s="358" t="n">
        <v>0</v>
      </c>
      <c r="K640" s="372" t="n">
        <v>0</v>
      </c>
      <c r="L640" s="373" t="n">
        <v>0</v>
      </c>
      <c r="M640" s="358" t="n">
        <v>0</v>
      </c>
      <c r="N640" s="358" t="n">
        <v>0</v>
      </c>
      <c r="O640" s="372" t="n">
        <v>0</v>
      </c>
      <c r="P640" s="373" t="n">
        <v>0</v>
      </c>
      <c r="Q640" s="358" t="n">
        <v>0</v>
      </c>
      <c r="R640" s="358" t="n">
        <v>0</v>
      </c>
      <c r="S640" s="372" t="n">
        <v>0</v>
      </c>
      <c r="T640" s="373" t="n">
        <v>0</v>
      </c>
      <c r="U640" s="358" t="n">
        <v>0</v>
      </c>
      <c r="V640" s="358" t="n">
        <v>0</v>
      </c>
      <c r="W640" s="372" t="n">
        <v>0</v>
      </c>
      <c r="X640" s="373" t="n">
        <v>0</v>
      </c>
      <c r="Y640" s="358" t="n">
        <v>0</v>
      </c>
      <c r="Z640" s="358" t="n">
        <v>0</v>
      </c>
      <c r="AA640" s="358" t="n">
        <v>0</v>
      </c>
      <c r="AB640" s="373" t="n">
        <v>0</v>
      </c>
      <c r="AC640" s="358" t="n">
        <v>0</v>
      </c>
      <c r="AD640" s="358" t="n">
        <v>0</v>
      </c>
      <c r="AE640" s="358" t="n">
        <v>0</v>
      </c>
      <c r="AF640" s="365" t="n">
        <v>1</v>
      </c>
    </row>
    <row r="641" customFormat="false" ht="15" hidden="true" customHeight="false" outlineLevel="0" collapsed="false">
      <c r="B641" s="360" t="s">
        <v>3114</v>
      </c>
      <c r="C641" s="365" t="n">
        <v>1</v>
      </c>
      <c r="D641" s="358" t="n">
        <v>0</v>
      </c>
      <c r="E641" s="358" t="n">
        <v>0</v>
      </c>
      <c r="F641" s="358" t="n">
        <v>0</v>
      </c>
      <c r="G641" s="372" t="n">
        <v>0</v>
      </c>
      <c r="H641" s="373" t="n">
        <v>0</v>
      </c>
      <c r="I641" s="358" t="n">
        <v>0</v>
      </c>
      <c r="J641" s="358" t="n">
        <v>0</v>
      </c>
      <c r="K641" s="372" t="n">
        <v>0</v>
      </c>
      <c r="L641" s="373" t="n">
        <v>0</v>
      </c>
      <c r="M641" s="358" t="n">
        <v>0</v>
      </c>
      <c r="N641" s="358" t="n">
        <v>0</v>
      </c>
      <c r="O641" s="372" t="n">
        <v>0</v>
      </c>
      <c r="P641" s="373" t="n">
        <v>0</v>
      </c>
      <c r="Q641" s="358" t="n">
        <v>0</v>
      </c>
      <c r="R641" s="358" t="n">
        <v>0</v>
      </c>
      <c r="S641" s="372" t="n">
        <v>0</v>
      </c>
      <c r="T641" s="373" t="n">
        <v>0</v>
      </c>
      <c r="U641" s="358" t="n">
        <v>0</v>
      </c>
      <c r="V641" s="358" t="n">
        <v>0</v>
      </c>
      <c r="W641" s="372" t="n">
        <v>0</v>
      </c>
      <c r="X641" s="373" t="n">
        <v>0</v>
      </c>
      <c r="Y641" s="358" t="n">
        <v>0</v>
      </c>
      <c r="Z641" s="358" t="n">
        <v>0</v>
      </c>
      <c r="AA641" s="358" t="n">
        <v>0</v>
      </c>
      <c r="AB641" s="373" t="n">
        <v>0</v>
      </c>
      <c r="AC641" s="358" t="n">
        <v>0</v>
      </c>
      <c r="AD641" s="358" t="n">
        <v>0</v>
      </c>
      <c r="AE641" s="358" t="n">
        <v>0</v>
      </c>
      <c r="AF641" s="365" t="n">
        <v>1</v>
      </c>
    </row>
    <row r="642" customFormat="false" ht="15" hidden="true" customHeight="false" outlineLevel="0" collapsed="false">
      <c r="B642" s="360" t="s">
        <v>3115</v>
      </c>
      <c r="C642" s="365" t="n">
        <v>1</v>
      </c>
      <c r="D642" s="358" t="n">
        <v>0</v>
      </c>
      <c r="E642" s="358" t="n">
        <v>0</v>
      </c>
      <c r="F642" s="358" t="n">
        <v>0</v>
      </c>
      <c r="G642" s="372" t="n">
        <v>0</v>
      </c>
      <c r="H642" s="373" t="n">
        <v>0</v>
      </c>
      <c r="I642" s="358" t="n">
        <v>0</v>
      </c>
      <c r="J642" s="358" t="n">
        <v>0</v>
      </c>
      <c r="K642" s="372" t="n">
        <v>0</v>
      </c>
      <c r="L642" s="373" t="n">
        <v>0</v>
      </c>
      <c r="M642" s="358" t="n">
        <v>0</v>
      </c>
      <c r="N642" s="358" t="n">
        <v>0</v>
      </c>
      <c r="O642" s="372" t="n">
        <v>0</v>
      </c>
      <c r="P642" s="373" t="n">
        <v>0</v>
      </c>
      <c r="Q642" s="358" t="n">
        <v>0</v>
      </c>
      <c r="R642" s="358" t="n">
        <v>0</v>
      </c>
      <c r="S642" s="372" t="n">
        <v>0</v>
      </c>
      <c r="T642" s="373" t="n">
        <v>0</v>
      </c>
      <c r="U642" s="358" t="n">
        <v>0</v>
      </c>
      <c r="V642" s="358" t="n">
        <v>0</v>
      </c>
      <c r="W642" s="372" t="n">
        <v>0</v>
      </c>
      <c r="X642" s="373" t="n">
        <v>0</v>
      </c>
      <c r="Y642" s="358" t="n">
        <v>0</v>
      </c>
      <c r="Z642" s="358" t="n">
        <v>0</v>
      </c>
      <c r="AA642" s="358" t="n">
        <v>0</v>
      </c>
      <c r="AB642" s="373" t="n">
        <v>0</v>
      </c>
      <c r="AC642" s="358" t="n">
        <v>0</v>
      </c>
      <c r="AD642" s="358" t="n">
        <v>0</v>
      </c>
      <c r="AE642" s="358" t="n">
        <v>0</v>
      </c>
      <c r="AF642" s="365" t="n">
        <v>1</v>
      </c>
    </row>
    <row r="643" customFormat="false" ht="15" hidden="true" customHeight="false" outlineLevel="0" collapsed="false">
      <c r="B643" s="360" t="s">
        <v>3116</v>
      </c>
      <c r="C643" s="365" t="n">
        <v>1</v>
      </c>
      <c r="D643" s="358" t="n">
        <v>0</v>
      </c>
      <c r="E643" s="358" t="n">
        <v>0</v>
      </c>
      <c r="F643" s="358" t="n">
        <v>0</v>
      </c>
      <c r="G643" s="372" t="n">
        <v>0</v>
      </c>
      <c r="H643" s="373" t="n">
        <v>0</v>
      </c>
      <c r="I643" s="358" t="n">
        <v>0</v>
      </c>
      <c r="J643" s="358" t="n">
        <v>0</v>
      </c>
      <c r="K643" s="372" t="n">
        <v>0</v>
      </c>
      <c r="L643" s="373" t="n">
        <v>0</v>
      </c>
      <c r="M643" s="358" t="n">
        <v>0</v>
      </c>
      <c r="N643" s="358" t="n">
        <v>0</v>
      </c>
      <c r="O643" s="372" t="n">
        <v>0</v>
      </c>
      <c r="P643" s="373" t="n">
        <v>0</v>
      </c>
      <c r="Q643" s="358" t="n">
        <v>0</v>
      </c>
      <c r="R643" s="358" t="n">
        <v>0</v>
      </c>
      <c r="S643" s="372" t="n">
        <v>0</v>
      </c>
      <c r="T643" s="373" t="n">
        <v>0</v>
      </c>
      <c r="U643" s="358" t="n">
        <v>0</v>
      </c>
      <c r="V643" s="358" t="n">
        <v>0</v>
      </c>
      <c r="W643" s="372" t="n">
        <v>0</v>
      </c>
      <c r="X643" s="373" t="n">
        <v>0</v>
      </c>
      <c r="Y643" s="358" t="n">
        <v>0</v>
      </c>
      <c r="Z643" s="358" t="n">
        <v>0</v>
      </c>
      <c r="AA643" s="358" t="n">
        <v>0</v>
      </c>
      <c r="AB643" s="373" t="n">
        <v>0</v>
      </c>
      <c r="AC643" s="358" t="n">
        <v>0</v>
      </c>
      <c r="AD643" s="358" t="n">
        <v>0</v>
      </c>
      <c r="AE643" s="358" t="n">
        <v>0</v>
      </c>
      <c r="AF643" s="365" t="n">
        <v>1</v>
      </c>
    </row>
    <row r="644" customFormat="false" ht="15" hidden="true" customHeight="false" outlineLevel="0" collapsed="false">
      <c r="B644" s="360" t="s">
        <v>3117</v>
      </c>
      <c r="C644" s="365" t="n">
        <v>1</v>
      </c>
      <c r="D644" s="358" t="n">
        <v>0</v>
      </c>
      <c r="E644" s="358" t="n">
        <v>0</v>
      </c>
      <c r="F644" s="358" t="n">
        <v>0</v>
      </c>
      <c r="G644" s="372" t="n">
        <v>0</v>
      </c>
      <c r="H644" s="373" t="n">
        <v>0</v>
      </c>
      <c r="I644" s="358" t="n">
        <v>0</v>
      </c>
      <c r="J644" s="358" t="n">
        <v>0</v>
      </c>
      <c r="K644" s="372" t="n">
        <v>0</v>
      </c>
      <c r="L644" s="373" t="n">
        <v>0</v>
      </c>
      <c r="M644" s="358" t="n">
        <v>0</v>
      </c>
      <c r="N644" s="358" t="n">
        <v>0</v>
      </c>
      <c r="O644" s="372" t="n">
        <v>0</v>
      </c>
      <c r="P644" s="373" t="n">
        <v>0</v>
      </c>
      <c r="Q644" s="358" t="n">
        <v>0</v>
      </c>
      <c r="R644" s="358" t="n">
        <v>0</v>
      </c>
      <c r="S644" s="372" t="n">
        <v>0</v>
      </c>
      <c r="T644" s="373" t="n">
        <v>0</v>
      </c>
      <c r="U644" s="358" t="n">
        <v>0</v>
      </c>
      <c r="V644" s="358" t="n">
        <v>0</v>
      </c>
      <c r="W644" s="372" t="n">
        <v>0</v>
      </c>
      <c r="X644" s="373" t="n">
        <v>0</v>
      </c>
      <c r="Y644" s="358" t="n">
        <v>0</v>
      </c>
      <c r="Z644" s="358" t="n">
        <v>0</v>
      </c>
      <c r="AA644" s="358" t="n">
        <v>0</v>
      </c>
      <c r="AB644" s="373" t="n">
        <v>0</v>
      </c>
      <c r="AC644" s="358" t="n">
        <v>0</v>
      </c>
      <c r="AD644" s="358" t="n">
        <v>0</v>
      </c>
      <c r="AE644" s="358" t="n">
        <v>0</v>
      </c>
      <c r="AF644" s="365" t="n">
        <v>1</v>
      </c>
    </row>
    <row r="645" customFormat="false" ht="15" hidden="true" customHeight="false" outlineLevel="0" collapsed="false">
      <c r="B645" s="360" t="s">
        <v>3118</v>
      </c>
      <c r="C645" s="365" t="n">
        <v>1</v>
      </c>
      <c r="D645" s="358" t="n">
        <v>0</v>
      </c>
      <c r="E645" s="358" t="n">
        <v>0</v>
      </c>
      <c r="F645" s="358" t="n">
        <v>0</v>
      </c>
      <c r="G645" s="372" t="n">
        <v>0</v>
      </c>
      <c r="H645" s="373" t="n">
        <v>0</v>
      </c>
      <c r="I645" s="358" t="n">
        <v>0</v>
      </c>
      <c r="J645" s="358" t="n">
        <v>0</v>
      </c>
      <c r="K645" s="372" t="n">
        <v>0</v>
      </c>
      <c r="L645" s="373" t="n">
        <v>0</v>
      </c>
      <c r="M645" s="358" t="n">
        <v>0</v>
      </c>
      <c r="N645" s="358" t="n">
        <v>0</v>
      </c>
      <c r="O645" s="372" t="n">
        <v>0</v>
      </c>
      <c r="P645" s="373" t="n">
        <v>0</v>
      </c>
      <c r="Q645" s="358" t="n">
        <v>0</v>
      </c>
      <c r="R645" s="358" t="n">
        <v>0</v>
      </c>
      <c r="S645" s="372" t="n">
        <v>0</v>
      </c>
      <c r="T645" s="373" t="n">
        <v>0</v>
      </c>
      <c r="U645" s="358" t="n">
        <v>0</v>
      </c>
      <c r="V645" s="358" t="n">
        <v>0</v>
      </c>
      <c r="W645" s="372" t="n">
        <v>0</v>
      </c>
      <c r="X645" s="373" t="n">
        <v>0</v>
      </c>
      <c r="Y645" s="358" t="n">
        <v>0</v>
      </c>
      <c r="Z645" s="358" t="n">
        <v>0</v>
      </c>
      <c r="AA645" s="358" t="n">
        <v>0</v>
      </c>
      <c r="AB645" s="373" t="n">
        <v>0</v>
      </c>
      <c r="AC645" s="358" t="n">
        <v>0</v>
      </c>
      <c r="AD645" s="358" t="n">
        <v>0</v>
      </c>
      <c r="AE645" s="358" t="n">
        <v>0</v>
      </c>
      <c r="AF645" s="365" t="n">
        <v>1</v>
      </c>
    </row>
    <row r="646" customFormat="false" ht="15" hidden="true" customHeight="false" outlineLevel="0" collapsed="false">
      <c r="B646" s="360" t="s">
        <v>3119</v>
      </c>
      <c r="C646" s="365" t="n">
        <v>1</v>
      </c>
      <c r="D646" s="358" t="n">
        <v>0</v>
      </c>
      <c r="E646" s="358" t="n">
        <v>0</v>
      </c>
      <c r="F646" s="358" t="n">
        <v>0</v>
      </c>
      <c r="G646" s="372" t="n">
        <v>0</v>
      </c>
      <c r="H646" s="373" t="n">
        <v>0</v>
      </c>
      <c r="I646" s="358" t="n">
        <v>0</v>
      </c>
      <c r="J646" s="358" t="n">
        <v>0</v>
      </c>
      <c r="K646" s="372" t="n">
        <v>0</v>
      </c>
      <c r="L646" s="373" t="n">
        <v>0</v>
      </c>
      <c r="M646" s="358" t="n">
        <v>0</v>
      </c>
      <c r="N646" s="358" t="n">
        <v>0</v>
      </c>
      <c r="O646" s="372" t="n">
        <v>0</v>
      </c>
      <c r="P646" s="373" t="n">
        <v>0</v>
      </c>
      <c r="Q646" s="358" t="n">
        <v>0</v>
      </c>
      <c r="R646" s="358" t="n">
        <v>0</v>
      </c>
      <c r="S646" s="372" t="n">
        <v>0</v>
      </c>
      <c r="T646" s="373" t="n">
        <v>0</v>
      </c>
      <c r="U646" s="358" t="n">
        <v>0</v>
      </c>
      <c r="V646" s="358" t="n">
        <v>0</v>
      </c>
      <c r="W646" s="372" t="n">
        <v>0</v>
      </c>
      <c r="X646" s="373" t="n">
        <v>0</v>
      </c>
      <c r="Y646" s="358" t="n">
        <v>0</v>
      </c>
      <c r="Z646" s="358" t="n">
        <v>0</v>
      </c>
      <c r="AA646" s="358" t="n">
        <v>0</v>
      </c>
      <c r="AB646" s="373" t="n">
        <v>0</v>
      </c>
      <c r="AC646" s="358" t="n">
        <v>0</v>
      </c>
      <c r="AD646" s="358" t="n">
        <v>0</v>
      </c>
      <c r="AE646" s="358" t="n">
        <v>0</v>
      </c>
      <c r="AF646" s="365" t="n">
        <v>1</v>
      </c>
    </row>
    <row r="647" customFormat="false" ht="15" hidden="true" customHeight="false" outlineLevel="0" collapsed="false">
      <c r="B647" s="360" t="s">
        <v>3120</v>
      </c>
      <c r="C647" s="365" t="n">
        <v>1</v>
      </c>
      <c r="D647" s="358" t="n">
        <v>0</v>
      </c>
      <c r="E647" s="358" t="n">
        <v>0</v>
      </c>
      <c r="F647" s="358" t="n">
        <v>0</v>
      </c>
      <c r="G647" s="372" t="n">
        <v>0</v>
      </c>
      <c r="H647" s="373" t="n">
        <v>0</v>
      </c>
      <c r="I647" s="358" t="n">
        <v>0</v>
      </c>
      <c r="J647" s="358" t="n">
        <v>0</v>
      </c>
      <c r="K647" s="372" t="n">
        <v>0</v>
      </c>
      <c r="L647" s="373" t="n">
        <v>0</v>
      </c>
      <c r="M647" s="358" t="n">
        <v>0</v>
      </c>
      <c r="N647" s="358" t="n">
        <v>0</v>
      </c>
      <c r="O647" s="372" t="n">
        <v>0</v>
      </c>
      <c r="P647" s="373" t="n">
        <v>0</v>
      </c>
      <c r="Q647" s="358" t="n">
        <v>0</v>
      </c>
      <c r="R647" s="358" t="n">
        <v>0</v>
      </c>
      <c r="S647" s="372" t="n">
        <v>0</v>
      </c>
      <c r="T647" s="373" t="n">
        <v>0</v>
      </c>
      <c r="U647" s="358" t="n">
        <v>0</v>
      </c>
      <c r="V647" s="358" t="n">
        <v>0</v>
      </c>
      <c r="W647" s="372" t="n">
        <v>0</v>
      </c>
      <c r="X647" s="373" t="n">
        <v>0</v>
      </c>
      <c r="Y647" s="358" t="n">
        <v>0</v>
      </c>
      <c r="Z647" s="358" t="n">
        <v>0</v>
      </c>
      <c r="AA647" s="358" t="n">
        <v>0</v>
      </c>
      <c r="AB647" s="373" t="n">
        <v>0</v>
      </c>
      <c r="AC647" s="358" t="n">
        <v>0</v>
      </c>
      <c r="AD647" s="358" t="n">
        <v>0</v>
      </c>
      <c r="AE647" s="358" t="n">
        <v>0</v>
      </c>
      <c r="AF647" s="365" t="n">
        <v>1</v>
      </c>
    </row>
    <row r="648" customFormat="false" ht="15" hidden="true" customHeight="false" outlineLevel="0" collapsed="false">
      <c r="B648" s="360" t="s">
        <v>3121</v>
      </c>
      <c r="C648" s="365" t="n">
        <v>1</v>
      </c>
      <c r="D648" s="358" t="n">
        <v>0</v>
      </c>
      <c r="E648" s="358" t="n">
        <v>0</v>
      </c>
      <c r="F648" s="358" t="n">
        <v>0</v>
      </c>
      <c r="G648" s="372" t="n">
        <v>0</v>
      </c>
      <c r="H648" s="373" t="n">
        <v>0</v>
      </c>
      <c r="I648" s="358" t="n">
        <v>0</v>
      </c>
      <c r="J648" s="358" t="n">
        <v>0</v>
      </c>
      <c r="K648" s="372" t="n">
        <v>0</v>
      </c>
      <c r="L648" s="373" t="n">
        <v>0</v>
      </c>
      <c r="M648" s="358" t="n">
        <v>0</v>
      </c>
      <c r="N648" s="358" t="n">
        <v>0</v>
      </c>
      <c r="O648" s="372" t="n">
        <v>0</v>
      </c>
      <c r="P648" s="373" t="n">
        <v>0</v>
      </c>
      <c r="Q648" s="358" t="n">
        <v>0</v>
      </c>
      <c r="R648" s="358" t="n">
        <v>0</v>
      </c>
      <c r="S648" s="372" t="n">
        <v>0</v>
      </c>
      <c r="T648" s="373" t="n">
        <v>0</v>
      </c>
      <c r="U648" s="358" t="n">
        <v>0</v>
      </c>
      <c r="V648" s="358" t="n">
        <v>0</v>
      </c>
      <c r="W648" s="372" t="n">
        <v>0</v>
      </c>
      <c r="X648" s="373" t="n">
        <v>0</v>
      </c>
      <c r="Y648" s="358" t="n">
        <v>0</v>
      </c>
      <c r="Z648" s="358" t="n">
        <v>0</v>
      </c>
      <c r="AA648" s="358" t="n">
        <v>0</v>
      </c>
      <c r="AB648" s="373" t="n">
        <v>0</v>
      </c>
      <c r="AC648" s="358" t="n">
        <v>0</v>
      </c>
      <c r="AD648" s="358" t="n">
        <v>0</v>
      </c>
      <c r="AE648" s="358" t="n">
        <v>0</v>
      </c>
      <c r="AF648" s="365" t="n">
        <v>1</v>
      </c>
    </row>
    <row r="649" customFormat="false" ht="15" hidden="true" customHeight="false" outlineLevel="0" collapsed="false">
      <c r="B649" s="360" t="s">
        <v>3122</v>
      </c>
      <c r="C649" s="365" t="n">
        <v>1</v>
      </c>
      <c r="D649" s="358" t="n">
        <v>0</v>
      </c>
      <c r="E649" s="358" t="n">
        <v>0</v>
      </c>
      <c r="F649" s="358" t="n">
        <v>0</v>
      </c>
      <c r="G649" s="372" t="n">
        <v>0</v>
      </c>
      <c r="H649" s="373" t="n">
        <v>0</v>
      </c>
      <c r="I649" s="358" t="n">
        <v>0</v>
      </c>
      <c r="J649" s="358" t="n">
        <v>0</v>
      </c>
      <c r="K649" s="372" t="n">
        <v>0</v>
      </c>
      <c r="L649" s="373" t="n">
        <v>0</v>
      </c>
      <c r="M649" s="358" t="n">
        <v>0</v>
      </c>
      <c r="N649" s="358" t="n">
        <v>0</v>
      </c>
      <c r="O649" s="372" t="n">
        <v>0</v>
      </c>
      <c r="P649" s="373" t="n">
        <v>0</v>
      </c>
      <c r="Q649" s="358" t="n">
        <v>0</v>
      </c>
      <c r="R649" s="358" t="n">
        <v>0</v>
      </c>
      <c r="S649" s="372" t="n">
        <v>0</v>
      </c>
      <c r="T649" s="373" t="n">
        <v>0</v>
      </c>
      <c r="U649" s="358" t="n">
        <v>0</v>
      </c>
      <c r="V649" s="358" t="n">
        <v>0</v>
      </c>
      <c r="W649" s="372" t="n">
        <v>0</v>
      </c>
      <c r="X649" s="373" t="n">
        <v>0</v>
      </c>
      <c r="Y649" s="358" t="n">
        <v>0</v>
      </c>
      <c r="Z649" s="358" t="n">
        <v>0</v>
      </c>
      <c r="AA649" s="358" t="n">
        <v>0</v>
      </c>
      <c r="AB649" s="373" t="n">
        <v>0</v>
      </c>
      <c r="AC649" s="358" t="n">
        <v>0</v>
      </c>
      <c r="AD649" s="358" t="n">
        <v>0</v>
      </c>
      <c r="AE649" s="358" t="n">
        <v>0</v>
      </c>
      <c r="AF649" s="365" t="n">
        <v>1</v>
      </c>
    </row>
    <row r="650" customFormat="false" ht="15" hidden="true" customHeight="false" outlineLevel="0" collapsed="false">
      <c r="B650" s="360" t="s">
        <v>3123</v>
      </c>
      <c r="C650" s="365" t="n">
        <v>1</v>
      </c>
      <c r="D650" s="358" t="n">
        <v>0</v>
      </c>
      <c r="E650" s="358" t="n">
        <v>0</v>
      </c>
      <c r="F650" s="358" t="n">
        <v>0</v>
      </c>
      <c r="G650" s="372" t="n">
        <v>0</v>
      </c>
      <c r="H650" s="373" t="n">
        <v>0</v>
      </c>
      <c r="I650" s="358" t="n">
        <v>0</v>
      </c>
      <c r="J650" s="358" t="n">
        <v>0</v>
      </c>
      <c r="K650" s="372" t="n">
        <v>0</v>
      </c>
      <c r="L650" s="373" t="n">
        <v>0</v>
      </c>
      <c r="M650" s="358" t="n">
        <v>0</v>
      </c>
      <c r="N650" s="358" t="n">
        <v>0</v>
      </c>
      <c r="O650" s="372" t="n">
        <v>0</v>
      </c>
      <c r="P650" s="373" t="n">
        <v>0</v>
      </c>
      <c r="Q650" s="358" t="n">
        <v>0</v>
      </c>
      <c r="R650" s="358" t="n">
        <v>0</v>
      </c>
      <c r="S650" s="372" t="n">
        <v>0</v>
      </c>
      <c r="T650" s="373" t="n">
        <v>0</v>
      </c>
      <c r="U650" s="358" t="n">
        <v>0</v>
      </c>
      <c r="V650" s="358" t="n">
        <v>0</v>
      </c>
      <c r="W650" s="372" t="n">
        <v>0</v>
      </c>
      <c r="X650" s="373" t="n">
        <v>0</v>
      </c>
      <c r="Y650" s="358" t="n">
        <v>0</v>
      </c>
      <c r="Z650" s="358" t="n">
        <v>0</v>
      </c>
      <c r="AA650" s="358" t="n">
        <v>0</v>
      </c>
      <c r="AB650" s="373" t="n">
        <v>0</v>
      </c>
      <c r="AC650" s="358" t="n">
        <v>0</v>
      </c>
      <c r="AD650" s="358" t="n">
        <v>0</v>
      </c>
      <c r="AE650" s="358" t="n">
        <v>0</v>
      </c>
      <c r="AF650" s="365" t="n">
        <v>1</v>
      </c>
    </row>
    <row r="651" customFormat="false" ht="15" hidden="true" customHeight="false" outlineLevel="0" collapsed="false">
      <c r="B651" s="360" t="s">
        <v>3124</v>
      </c>
      <c r="C651" s="365" t="n">
        <v>1</v>
      </c>
      <c r="D651" s="358" t="n">
        <v>0</v>
      </c>
      <c r="E651" s="358" t="n">
        <v>0</v>
      </c>
      <c r="F651" s="358" t="n">
        <v>0</v>
      </c>
      <c r="G651" s="372" t="n">
        <v>0</v>
      </c>
      <c r="H651" s="373" t="n">
        <v>0</v>
      </c>
      <c r="I651" s="358" t="n">
        <v>0</v>
      </c>
      <c r="J651" s="358" t="n">
        <v>0</v>
      </c>
      <c r="K651" s="372" t="n">
        <v>0</v>
      </c>
      <c r="L651" s="373" t="n">
        <v>0</v>
      </c>
      <c r="M651" s="358" t="n">
        <v>0</v>
      </c>
      <c r="N651" s="358" t="n">
        <v>0</v>
      </c>
      <c r="O651" s="372" t="n">
        <v>0</v>
      </c>
      <c r="P651" s="373" t="n">
        <v>0</v>
      </c>
      <c r="Q651" s="358" t="n">
        <v>0</v>
      </c>
      <c r="R651" s="358" t="n">
        <v>0</v>
      </c>
      <c r="S651" s="372" t="n">
        <v>0</v>
      </c>
      <c r="T651" s="373" t="n">
        <v>0</v>
      </c>
      <c r="U651" s="358" t="n">
        <v>0</v>
      </c>
      <c r="V651" s="358" t="n">
        <v>0</v>
      </c>
      <c r="W651" s="372" t="n">
        <v>0</v>
      </c>
      <c r="X651" s="373" t="n">
        <v>0</v>
      </c>
      <c r="Y651" s="358" t="n">
        <v>0</v>
      </c>
      <c r="Z651" s="358" t="n">
        <v>0</v>
      </c>
      <c r="AA651" s="358" t="n">
        <v>0</v>
      </c>
      <c r="AB651" s="373" t="n">
        <v>0</v>
      </c>
      <c r="AC651" s="358" t="n">
        <v>0</v>
      </c>
      <c r="AD651" s="358" t="n">
        <v>0</v>
      </c>
      <c r="AE651" s="358" t="n">
        <v>0</v>
      </c>
      <c r="AF651" s="365" t="n">
        <v>1</v>
      </c>
    </row>
    <row r="652" customFormat="false" ht="15" hidden="true" customHeight="false" outlineLevel="0" collapsed="false">
      <c r="B652" s="360" t="s">
        <v>3125</v>
      </c>
      <c r="C652" s="365" t="n">
        <v>1</v>
      </c>
      <c r="D652" s="358" t="n">
        <v>0</v>
      </c>
      <c r="E652" s="358" t="n">
        <v>0</v>
      </c>
      <c r="F652" s="358" t="n">
        <v>0</v>
      </c>
      <c r="G652" s="372" t="n">
        <v>0</v>
      </c>
      <c r="H652" s="373" t="n">
        <v>0</v>
      </c>
      <c r="I652" s="358" t="n">
        <v>0</v>
      </c>
      <c r="J652" s="358" t="n">
        <v>0</v>
      </c>
      <c r="K652" s="372" t="n">
        <v>0</v>
      </c>
      <c r="L652" s="373" t="n">
        <v>0</v>
      </c>
      <c r="M652" s="358" t="n">
        <v>0</v>
      </c>
      <c r="N652" s="358" t="n">
        <v>0</v>
      </c>
      <c r="O652" s="372" t="n">
        <v>0</v>
      </c>
      <c r="P652" s="373" t="n">
        <v>0</v>
      </c>
      <c r="Q652" s="358" t="n">
        <v>0</v>
      </c>
      <c r="R652" s="358" t="n">
        <v>0</v>
      </c>
      <c r="S652" s="372" t="n">
        <v>0</v>
      </c>
      <c r="T652" s="373" t="n">
        <v>0</v>
      </c>
      <c r="U652" s="358" t="n">
        <v>0</v>
      </c>
      <c r="V652" s="358" t="n">
        <v>0</v>
      </c>
      <c r="W652" s="372" t="n">
        <v>0</v>
      </c>
      <c r="X652" s="373" t="n">
        <v>0</v>
      </c>
      <c r="Y652" s="358" t="n">
        <v>0</v>
      </c>
      <c r="Z652" s="358" t="n">
        <v>0</v>
      </c>
      <c r="AA652" s="358" t="n">
        <v>0</v>
      </c>
      <c r="AB652" s="373" t="n">
        <v>0</v>
      </c>
      <c r="AC652" s="358" t="n">
        <v>0</v>
      </c>
      <c r="AD652" s="358" t="n">
        <v>0</v>
      </c>
      <c r="AE652" s="358" t="n">
        <v>0</v>
      </c>
      <c r="AF652" s="365" t="n">
        <v>1</v>
      </c>
    </row>
    <row r="653" customFormat="false" ht="15" hidden="true" customHeight="false" outlineLevel="0" collapsed="false">
      <c r="B653" s="360" t="s">
        <v>3126</v>
      </c>
      <c r="C653" s="365" t="n">
        <v>1</v>
      </c>
      <c r="D653" s="358" t="n">
        <v>0</v>
      </c>
      <c r="E653" s="358" t="n">
        <v>0</v>
      </c>
      <c r="F653" s="358" t="n">
        <v>0</v>
      </c>
      <c r="G653" s="372" t="n">
        <v>0</v>
      </c>
      <c r="H653" s="373" t="n">
        <v>0</v>
      </c>
      <c r="I653" s="358" t="n">
        <v>0</v>
      </c>
      <c r="J653" s="358" t="n">
        <v>0</v>
      </c>
      <c r="K653" s="372" t="n">
        <v>0</v>
      </c>
      <c r="L653" s="373" t="n">
        <v>0</v>
      </c>
      <c r="M653" s="358" t="n">
        <v>0</v>
      </c>
      <c r="N653" s="358" t="n">
        <v>0</v>
      </c>
      <c r="O653" s="372" t="n">
        <v>0</v>
      </c>
      <c r="P653" s="373" t="n">
        <v>0</v>
      </c>
      <c r="Q653" s="358" t="n">
        <v>0</v>
      </c>
      <c r="R653" s="358" t="n">
        <v>0</v>
      </c>
      <c r="S653" s="372" t="n">
        <v>0</v>
      </c>
      <c r="T653" s="373" t="n">
        <v>0</v>
      </c>
      <c r="U653" s="358" t="n">
        <v>0</v>
      </c>
      <c r="V653" s="358" t="n">
        <v>0</v>
      </c>
      <c r="W653" s="372" t="n">
        <v>0</v>
      </c>
      <c r="X653" s="373" t="n">
        <v>0</v>
      </c>
      <c r="Y653" s="358" t="n">
        <v>0</v>
      </c>
      <c r="Z653" s="358" t="n">
        <v>0</v>
      </c>
      <c r="AA653" s="358" t="n">
        <v>0</v>
      </c>
      <c r="AB653" s="373" t="n">
        <v>0</v>
      </c>
      <c r="AC653" s="358" t="n">
        <v>0</v>
      </c>
      <c r="AD653" s="358" t="n">
        <v>0</v>
      </c>
      <c r="AE653" s="358" t="n">
        <v>0</v>
      </c>
      <c r="AF653" s="365" t="n">
        <v>1</v>
      </c>
    </row>
    <row r="654" customFormat="false" ht="15" hidden="true" customHeight="false" outlineLevel="0" collapsed="false">
      <c r="B654" s="360" t="s">
        <v>3127</v>
      </c>
      <c r="C654" s="365" t="n">
        <v>1</v>
      </c>
      <c r="D654" s="358" t="n">
        <v>0</v>
      </c>
      <c r="E654" s="358" t="n">
        <v>0</v>
      </c>
      <c r="F654" s="358" t="n">
        <v>0</v>
      </c>
      <c r="G654" s="372" t="n">
        <v>0</v>
      </c>
      <c r="H654" s="373" t="n">
        <v>0</v>
      </c>
      <c r="I654" s="358" t="n">
        <v>0</v>
      </c>
      <c r="J654" s="358" t="n">
        <v>0</v>
      </c>
      <c r="K654" s="372" t="n">
        <v>0</v>
      </c>
      <c r="L654" s="373" t="n">
        <v>0</v>
      </c>
      <c r="M654" s="358" t="n">
        <v>0</v>
      </c>
      <c r="N654" s="358" t="n">
        <v>0</v>
      </c>
      <c r="O654" s="372" t="n">
        <v>0</v>
      </c>
      <c r="P654" s="373" t="n">
        <v>0</v>
      </c>
      <c r="Q654" s="358" t="n">
        <v>0</v>
      </c>
      <c r="R654" s="358" t="n">
        <v>0</v>
      </c>
      <c r="S654" s="372" t="n">
        <v>0</v>
      </c>
      <c r="T654" s="373" t="n">
        <v>0</v>
      </c>
      <c r="U654" s="358" t="n">
        <v>0</v>
      </c>
      <c r="V654" s="358" t="n">
        <v>0</v>
      </c>
      <c r="W654" s="372" t="n">
        <v>0</v>
      </c>
      <c r="X654" s="373" t="n">
        <v>0</v>
      </c>
      <c r="Y654" s="358" t="n">
        <v>0</v>
      </c>
      <c r="Z654" s="358" t="n">
        <v>0</v>
      </c>
      <c r="AA654" s="358" t="n">
        <v>0</v>
      </c>
      <c r="AB654" s="373" t="n">
        <v>0</v>
      </c>
      <c r="AC654" s="358" t="n">
        <v>0</v>
      </c>
      <c r="AD654" s="358" t="n">
        <v>0</v>
      </c>
      <c r="AE654" s="358" t="n">
        <v>0</v>
      </c>
      <c r="AF654" s="365" t="n">
        <v>1</v>
      </c>
    </row>
    <row r="655" customFormat="false" ht="15" hidden="true" customHeight="false" outlineLevel="0" collapsed="false">
      <c r="B655" s="360" t="s">
        <v>3128</v>
      </c>
      <c r="C655" s="365" t="n">
        <v>1</v>
      </c>
      <c r="D655" s="358" t="n">
        <v>0</v>
      </c>
      <c r="E655" s="358" t="n">
        <v>0</v>
      </c>
      <c r="F655" s="358" t="n">
        <v>0</v>
      </c>
      <c r="G655" s="372" t="n">
        <v>0</v>
      </c>
      <c r="H655" s="373" t="n">
        <v>0</v>
      </c>
      <c r="I655" s="358" t="n">
        <v>0</v>
      </c>
      <c r="J655" s="358" t="n">
        <v>0</v>
      </c>
      <c r="K655" s="372" t="n">
        <v>0</v>
      </c>
      <c r="L655" s="373" t="n">
        <v>0</v>
      </c>
      <c r="M655" s="358" t="n">
        <v>0</v>
      </c>
      <c r="N655" s="358" t="n">
        <v>0</v>
      </c>
      <c r="O655" s="372" t="n">
        <v>0</v>
      </c>
      <c r="P655" s="373" t="n">
        <v>0</v>
      </c>
      <c r="Q655" s="358" t="n">
        <v>0</v>
      </c>
      <c r="R655" s="358" t="n">
        <v>0</v>
      </c>
      <c r="S655" s="372" t="n">
        <v>0</v>
      </c>
      <c r="T655" s="373" t="n">
        <v>0</v>
      </c>
      <c r="U655" s="358" t="n">
        <v>0</v>
      </c>
      <c r="V655" s="358" t="n">
        <v>0</v>
      </c>
      <c r="W655" s="372" t="n">
        <v>0</v>
      </c>
      <c r="X655" s="373" t="n">
        <v>0</v>
      </c>
      <c r="Y655" s="358" t="n">
        <v>0</v>
      </c>
      <c r="Z655" s="358" t="n">
        <v>0</v>
      </c>
      <c r="AA655" s="358" t="n">
        <v>0</v>
      </c>
      <c r="AB655" s="373" t="n">
        <v>0</v>
      </c>
      <c r="AC655" s="358" t="n">
        <v>0</v>
      </c>
      <c r="AD655" s="358" t="n">
        <v>0</v>
      </c>
      <c r="AE655" s="358" t="n">
        <v>0</v>
      </c>
      <c r="AF655" s="365" t="n">
        <v>1</v>
      </c>
    </row>
    <row r="656" customFormat="false" ht="15" hidden="true" customHeight="false" outlineLevel="0" collapsed="false">
      <c r="B656" s="360" t="s">
        <v>3129</v>
      </c>
      <c r="C656" s="365" t="n">
        <v>1</v>
      </c>
      <c r="D656" s="358" t="n">
        <v>0</v>
      </c>
      <c r="E656" s="358" t="n">
        <v>0</v>
      </c>
      <c r="F656" s="358" t="n">
        <v>0</v>
      </c>
      <c r="G656" s="372" t="n">
        <v>0</v>
      </c>
      <c r="H656" s="373" t="n">
        <v>0</v>
      </c>
      <c r="I656" s="358" t="n">
        <v>0</v>
      </c>
      <c r="J656" s="358" t="n">
        <v>0</v>
      </c>
      <c r="K656" s="372" t="n">
        <v>0</v>
      </c>
      <c r="L656" s="373" t="n">
        <v>0</v>
      </c>
      <c r="M656" s="358" t="n">
        <v>0</v>
      </c>
      <c r="N656" s="358" t="n">
        <v>0</v>
      </c>
      <c r="O656" s="372" t="n">
        <v>0</v>
      </c>
      <c r="P656" s="373" t="n">
        <v>0</v>
      </c>
      <c r="Q656" s="358" t="n">
        <v>0</v>
      </c>
      <c r="R656" s="358" t="n">
        <v>0</v>
      </c>
      <c r="S656" s="372" t="n">
        <v>0</v>
      </c>
      <c r="T656" s="373" t="n">
        <v>0</v>
      </c>
      <c r="U656" s="358" t="n">
        <v>0</v>
      </c>
      <c r="V656" s="358" t="n">
        <v>0</v>
      </c>
      <c r="W656" s="372" t="n">
        <v>0</v>
      </c>
      <c r="X656" s="373" t="n">
        <v>0</v>
      </c>
      <c r="Y656" s="358" t="n">
        <v>0</v>
      </c>
      <c r="Z656" s="358" t="n">
        <v>0</v>
      </c>
      <c r="AA656" s="358" t="n">
        <v>0</v>
      </c>
      <c r="AB656" s="373" t="n">
        <v>0</v>
      </c>
      <c r="AC656" s="358" t="n">
        <v>0</v>
      </c>
      <c r="AD656" s="358" t="n">
        <v>0</v>
      </c>
      <c r="AE656" s="358" t="n">
        <v>0</v>
      </c>
      <c r="AF656" s="365" t="n">
        <v>1</v>
      </c>
    </row>
    <row r="657" customFormat="false" ht="15" hidden="true" customHeight="false" outlineLevel="0" collapsed="false">
      <c r="B657" s="360" t="s">
        <v>3130</v>
      </c>
      <c r="C657" s="365" t="n">
        <v>1</v>
      </c>
      <c r="D657" s="358" t="n">
        <v>0</v>
      </c>
      <c r="E657" s="358" t="n">
        <v>0</v>
      </c>
      <c r="F657" s="358" t="n">
        <v>0</v>
      </c>
      <c r="G657" s="372" t="n">
        <v>0</v>
      </c>
      <c r="H657" s="373" t="n">
        <v>0</v>
      </c>
      <c r="I657" s="358" t="n">
        <v>0</v>
      </c>
      <c r="J657" s="358" t="n">
        <v>0</v>
      </c>
      <c r="K657" s="372" t="n">
        <v>0</v>
      </c>
      <c r="L657" s="373" t="n">
        <v>0</v>
      </c>
      <c r="M657" s="358" t="n">
        <v>0</v>
      </c>
      <c r="N657" s="358" t="n">
        <v>0</v>
      </c>
      <c r="O657" s="372" t="n">
        <v>0</v>
      </c>
      <c r="P657" s="373" t="n">
        <v>0</v>
      </c>
      <c r="Q657" s="358" t="n">
        <v>0</v>
      </c>
      <c r="R657" s="358" t="n">
        <v>0</v>
      </c>
      <c r="S657" s="372" t="n">
        <v>0</v>
      </c>
      <c r="T657" s="373" t="n">
        <v>0</v>
      </c>
      <c r="U657" s="358" t="n">
        <v>0</v>
      </c>
      <c r="V657" s="358" t="n">
        <v>0</v>
      </c>
      <c r="W657" s="372" t="n">
        <v>0</v>
      </c>
      <c r="X657" s="373" t="n">
        <v>0</v>
      </c>
      <c r="Y657" s="358" t="n">
        <v>0</v>
      </c>
      <c r="Z657" s="358" t="n">
        <v>0</v>
      </c>
      <c r="AA657" s="358" t="n">
        <v>0</v>
      </c>
      <c r="AB657" s="373" t="n">
        <v>0</v>
      </c>
      <c r="AC657" s="358" t="n">
        <v>0</v>
      </c>
      <c r="AD657" s="358" t="n">
        <v>0</v>
      </c>
      <c r="AE657" s="358" t="n">
        <v>0</v>
      </c>
      <c r="AF657" s="365" t="n">
        <v>1</v>
      </c>
    </row>
    <row r="658" customFormat="false" ht="15" hidden="true" customHeight="false" outlineLevel="0" collapsed="false">
      <c r="B658" s="360" t="s">
        <v>3131</v>
      </c>
      <c r="C658" s="365" t="n">
        <v>1</v>
      </c>
      <c r="D658" s="358" t="n">
        <v>0</v>
      </c>
      <c r="E658" s="358" t="n">
        <v>0</v>
      </c>
      <c r="F658" s="358" t="n">
        <v>0</v>
      </c>
      <c r="G658" s="372" t="n">
        <v>0</v>
      </c>
      <c r="H658" s="373" t="n">
        <v>0</v>
      </c>
      <c r="I658" s="358" t="n">
        <v>0</v>
      </c>
      <c r="J658" s="358" t="n">
        <v>0</v>
      </c>
      <c r="K658" s="372" t="n">
        <v>0</v>
      </c>
      <c r="L658" s="373" t="n">
        <v>0</v>
      </c>
      <c r="M658" s="358" t="n">
        <v>0</v>
      </c>
      <c r="N658" s="358" t="n">
        <v>0</v>
      </c>
      <c r="O658" s="372" t="n">
        <v>0</v>
      </c>
      <c r="P658" s="373" t="n">
        <v>0</v>
      </c>
      <c r="Q658" s="358" t="n">
        <v>0</v>
      </c>
      <c r="R658" s="358" t="n">
        <v>0</v>
      </c>
      <c r="S658" s="372" t="n">
        <v>0</v>
      </c>
      <c r="T658" s="373" t="n">
        <v>0</v>
      </c>
      <c r="U658" s="358" t="n">
        <v>0</v>
      </c>
      <c r="V658" s="358" t="n">
        <v>0</v>
      </c>
      <c r="W658" s="372" t="n">
        <v>0</v>
      </c>
      <c r="X658" s="373" t="n">
        <v>0</v>
      </c>
      <c r="Y658" s="358" t="n">
        <v>0</v>
      </c>
      <c r="Z658" s="358" t="n">
        <v>0</v>
      </c>
      <c r="AA658" s="358" t="n">
        <v>0</v>
      </c>
      <c r="AB658" s="373" t="n">
        <v>0</v>
      </c>
      <c r="AC658" s="358" t="n">
        <v>0</v>
      </c>
      <c r="AD658" s="358" t="n">
        <v>0</v>
      </c>
      <c r="AE658" s="358" t="n">
        <v>0</v>
      </c>
      <c r="AF658" s="365" t="n">
        <v>1</v>
      </c>
    </row>
    <row r="659" customFormat="false" ht="15" hidden="true" customHeight="false" outlineLevel="0" collapsed="false">
      <c r="B659" s="360" t="s">
        <v>3132</v>
      </c>
      <c r="C659" s="365" t="n">
        <v>1</v>
      </c>
      <c r="D659" s="358" t="n">
        <v>0</v>
      </c>
      <c r="E659" s="358" t="n">
        <v>0</v>
      </c>
      <c r="F659" s="358" t="n">
        <v>0</v>
      </c>
      <c r="G659" s="372" t="n">
        <v>0</v>
      </c>
      <c r="H659" s="373" t="n">
        <v>0</v>
      </c>
      <c r="I659" s="358" t="n">
        <v>0</v>
      </c>
      <c r="J659" s="358" t="n">
        <v>0</v>
      </c>
      <c r="K659" s="372" t="n">
        <v>0</v>
      </c>
      <c r="L659" s="373" t="n">
        <v>0</v>
      </c>
      <c r="M659" s="358" t="n">
        <v>0</v>
      </c>
      <c r="N659" s="358" t="n">
        <v>0</v>
      </c>
      <c r="O659" s="372" t="n">
        <v>0</v>
      </c>
      <c r="P659" s="373" t="n">
        <v>0</v>
      </c>
      <c r="Q659" s="358" t="n">
        <v>0</v>
      </c>
      <c r="R659" s="358" t="n">
        <v>0</v>
      </c>
      <c r="S659" s="372" t="n">
        <v>0</v>
      </c>
      <c r="T659" s="373" t="n">
        <v>0</v>
      </c>
      <c r="U659" s="358" t="n">
        <v>0</v>
      </c>
      <c r="V659" s="358" t="n">
        <v>0</v>
      </c>
      <c r="W659" s="372" t="n">
        <v>0</v>
      </c>
      <c r="X659" s="373" t="n">
        <v>0</v>
      </c>
      <c r="Y659" s="358" t="n">
        <v>0</v>
      </c>
      <c r="Z659" s="358" t="n">
        <v>0</v>
      </c>
      <c r="AA659" s="358" t="n">
        <v>0</v>
      </c>
      <c r="AB659" s="373" t="n">
        <v>0</v>
      </c>
      <c r="AC659" s="358" t="n">
        <v>0</v>
      </c>
      <c r="AD659" s="358" t="n">
        <v>0</v>
      </c>
      <c r="AE659" s="358" t="n">
        <v>0</v>
      </c>
      <c r="AF659" s="365" t="n">
        <v>1</v>
      </c>
    </row>
    <row r="660" customFormat="false" ht="15" hidden="true" customHeight="false" outlineLevel="0" collapsed="false">
      <c r="B660" s="360" t="s">
        <v>3133</v>
      </c>
      <c r="C660" s="365" t="n">
        <v>1</v>
      </c>
      <c r="D660" s="358" t="n">
        <v>0</v>
      </c>
      <c r="E660" s="358" t="n">
        <v>0</v>
      </c>
      <c r="F660" s="358" t="n">
        <v>0</v>
      </c>
      <c r="G660" s="372" t="n">
        <v>0</v>
      </c>
      <c r="H660" s="373" t="n">
        <v>0</v>
      </c>
      <c r="I660" s="358" t="n">
        <v>0</v>
      </c>
      <c r="J660" s="358" t="n">
        <v>0</v>
      </c>
      <c r="K660" s="372" t="n">
        <v>0</v>
      </c>
      <c r="L660" s="373" t="n">
        <v>0</v>
      </c>
      <c r="M660" s="358" t="n">
        <v>0</v>
      </c>
      <c r="N660" s="358" t="n">
        <v>0</v>
      </c>
      <c r="O660" s="372" t="n">
        <v>0</v>
      </c>
      <c r="P660" s="373" t="n">
        <v>0</v>
      </c>
      <c r="Q660" s="358" t="n">
        <v>0</v>
      </c>
      <c r="R660" s="358" t="n">
        <v>0</v>
      </c>
      <c r="S660" s="372" t="n">
        <v>0</v>
      </c>
      <c r="T660" s="373" t="n">
        <v>0</v>
      </c>
      <c r="U660" s="358" t="n">
        <v>0</v>
      </c>
      <c r="V660" s="358" t="n">
        <v>0</v>
      </c>
      <c r="W660" s="372" t="n">
        <v>0</v>
      </c>
      <c r="X660" s="373" t="n">
        <v>0</v>
      </c>
      <c r="Y660" s="358" t="n">
        <v>0</v>
      </c>
      <c r="Z660" s="358" t="n">
        <v>0</v>
      </c>
      <c r="AA660" s="358" t="n">
        <v>0</v>
      </c>
      <c r="AB660" s="373" t="n">
        <v>0</v>
      </c>
      <c r="AC660" s="358" t="n">
        <v>0</v>
      </c>
      <c r="AD660" s="358" t="n">
        <v>0</v>
      </c>
      <c r="AE660" s="358" t="n">
        <v>0</v>
      </c>
      <c r="AF660" s="365" t="n">
        <v>1</v>
      </c>
    </row>
    <row r="661" customFormat="false" ht="15" hidden="true" customHeight="false" outlineLevel="0" collapsed="false">
      <c r="B661" s="360" t="s">
        <v>3134</v>
      </c>
      <c r="C661" s="365" t="n">
        <v>1</v>
      </c>
      <c r="D661" s="358" t="n">
        <v>0</v>
      </c>
      <c r="E661" s="358" t="n">
        <v>0</v>
      </c>
      <c r="F661" s="358" t="n">
        <v>0</v>
      </c>
      <c r="G661" s="372" t="n">
        <v>0</v>
      </c>
      <c r="H661" s="373" t="n">
        <v>0</v>
      </c>
      <c r="I661" s="358" t="n">
        <v>0</v>
      </c>
      <c r="J661" s="358" t="n">
        <v>0</v>
      </c>
      <c r="K661" s="372" t="n">
        <v>0</v>
      </c>
      <c r="L661" s="373" t="n">
        <v>0</v>
      </c>
      <c r="M661" s="358" t="n">
        <v>0</v>
      </c>
      <c r="N661" s="358" t="n">
        <v>0</v>
      </c>
      <c r="O661" s="372" t="n">
        <v>0</v>
      </c>
      <c r="P661" s="373" t="n">
        <v>0</v>
      </c>
      <c r="Q661" s="358" t="n">
        <v>0</v>
      </c>
      <c r="R661" s="358" t="n">
        <v>0</v>
      </c>
      <c r="S661" s="372" t="n">
        <v>0</v>
      </c>
      <c r="T661" s="373" t="n">
        <v>0</v>
      </c>
      <c r="U661" s="358" t="n">
        <v>0</v>
      </c>
      <c r="V661" s="358" t="n">
        <v>0</v>
      </c>
      <c r="W661" s="372" t="n">
        <v>0</v>
      </c>
      <c r="X661" s="373" t="n">
        <v>0</v>
      </c>
      <c r="Y661" s="358" t="n">
        <v>0</v>
      </c>
      <c r="Z661" s="358" t="n">
        <v>0</v>
      </c>
      <c r="AA661" s="358" t="n">
        <v>0</v>
      </c>
      <c r="AB661" s="373" t="n">
        <v>0</v>
      </c>
      <c r="AC661" s="358" t="n">
        <v>0</v>
      </c>
      <c r="AD661" s="358" t="n">
        <v>0</v>
      </c>
      <c r="AE661" s="358" t="n">
        <v>0</v>
      </c>
      <c r="AF661" s="365" t="n">
        <v>1</v>
      </c>
    </row>
    <row r="662" customFormat="false" ht="15" hidden="true" customHeight="false" outlineLevel="0" collapsed="false">
      <c r="B662" s="360" t="s">
        <v>3135</v>
      </c>
      <c r="C662" s="365" t="n">
        <v>1</v>
      </c>
      <c r="D662" s="358" t="n">
        <v>0</v>
      </c>
      <c r="E662" s="358" t="n">
        <v>0</v>
      </c>
      <c r="F662" s="358" t="n">
        <v>0</v>
      </c>
      <c r="G662" s="372" t="n">
        <v>0</v>
      </c>
      <c r="H662" s="373" t="n">
        <v>0</v>
      </c>
      <c r="I662" s="358" t="n">
        <v>0</v>
      </c>
      <c r="J662" s="358" t="n">
        <v>0</v>
      </c>
      <c r="K662" s="372" t="n">
        <v>0</v>
      </c>
      <c r="L662" s="373" t="n">
        <v>0</v>
      </c>
      <c r="M662" s="358" t="n">
        <v>0</v>
      </c>
      <c r="N662" s="358" t="n">
        <v>0</v>
      </c>
      <c r="O662" s="372" t="n">
        <v>0</v>
      </c>
      <c r="P662" s="373" t="n">
        <v>0</v>
      </c>
      <c r="Q662" s="358" t="n">
        <v>0</v>
      </c>
      <c r="R662" s="358" t="n">
        <v>0</v>
      </c>
      <c r="S662" s="372" t="n">
        <v>0</v>
      </c>
      <c r="T662" s="373" t="n">
        <v>0</v>
      </c>
      <c r="U662" s="358" t="n">
        <v>0</v>
      </c>
      <c r="V662" s="358" t="n">
        <v>0</v>
      </c>
      <c r="W662" s="372" t="n">
        <v>0</v>
      </c>
      <c r="X662" s="373" t="n">
        <v>0</v>
      </c>
      <c r="Y662" s="358" t="n">
        <v>0</v>
      </c>
      <c r="Z662" s="358" t="n">
        <v>0</v>
      </c>
      <c r="AA662" s="358" t="n">
        <v>0</v>
      </c>
      <c r="AB662" s="373" t="n">
        <v>0</v>
      </c>
      <c r="AC662" s="358" t="n">
        <v>0</v>
      </c>
      <c r="AD662" s="358" t="n">
        <v>0</v>
      </c>
      <c r="AE662" s="358" t="n">
        <v>0</v>
      </c>
      <c r="AF662" s="365" t="n">
        <v>1</v>
      </c>
    </row>
    <row r="663" customFormat="false" ht="15" hidden="true" customHeight="false" outlineLevel="0" collapsed="false">
      <c r="B663" s="360" t="s">
        <v>3136</v>
      </c>
      <c r="C663" s="365" t="n">
        <v>1</v>
      </c>
      <c r="D663" s="358" t="n">
        <v>0</v>
      </c>
      <c r="E663" s="358" t="n">
        <v>0</v>
      </c>
      <c r="F663" s="358" t="n">
        <v>0</v>
      </c>
      <c r="G663" s="372" t="n">
        <v>0</v>
      </c>
      <c r="H663" s="373" t="n">
        <v>0</v>
      </c>
      <c r="I663" s="358" t="n">
        <v>0</v>
      </c>
      <c r="J663" s="358" t="n">
        <v>0</v>
      </c>
      <c r="K663" s="372" t="n">
        <v>0</v>
      </c>
      <c r="L663" s="373" t="n">
        <v>0</v>
      </c>
      <c r="M663" s="358" t="n">
        <v>0</v>
      </c>
      <c r="N663" s="358" t="n">
        <v>0</v>
      </c>
      <c r="O663" s="372" t="n">
        <v>0</v>
      </c>
      <c r="P663" s="373" t="n">
        <v>0</v>
      </c>
      <c r="Q663" s="358" t="n">
        <v>0</v>
      </c>
      <c r="R663" s="358" t="n">
        <v>0</v>
      </c>
      <c r="S663" s="372" t="n">
        <v>0</v>
      </c>
      <c r="T663" s="373" t="n">
        <v>0</v>
      </c>
      <c r="U663" s="358" t="n">
        <v>0</v>
      </c>
      <c r="V663" s="358" t="n">
        <v>0</v>
      </c>
      <c r="W663" s="372" t="n">
        <v>0</v>
      </c>
      <c r="X663" s="373" t="n">
        <v>0</v>
      </c>
      <c r="Y663" s="358" t="n">
        <v>0</v>
      </c>
      <c r="Z663" s="358" t="n">
        <v>0</v>
      </c>
      <c r="AA663" s="358" t="n">
        <v>0</v>
      </c>
      <c r="AB663" s="373" t="n">
        <v>0</v>
      </c>
      <c r="AC663" s="358" t="n">
        <v>0</v>
      </c>
      <c r="AD663" s="358" t="n">
        <v>0</v>
      </c>
      <c r="AE663" s="358" t="n">
        <v>0</v>
      </c>
      <c r="AF663" s="365" t="n">
        <v>1</v>
      </c>
    </row>
    <row r="664" customFormat="false" ht="15" hidden="true" customHeight="false" outlineLevel="0" collapsed="false">
      <c r="B664" s="360" t="s">
        <v>3137</v>
      </c>
      <c r="C664" s="365" t="n">
        <v>1</v>
      </c>
      <c r="D664" s="358" t="n">
        <v>0</v>
      </c>
      <c r="E664" s="358" t="n">
        <v>0</v>
      </c>
      <c r="F664" s="358" t="n">
        <v>0</v>
      </c>
      <c r="G664" s="372" t="n">
        <v>0</v>
      </c>
      <c r="H664" s="373" t="n">
        <v>0</v>
      </c>
      <c r="I664" s="358" t="n">
        <v>0</v>
      </c>
      <c r="J664" s="358" t="n">
        <v>0</v>
      </c>
      <c r="K664" s="372" t="n">
        <v>0</v>
      </c>
      <c r="L664" s="373" t="n">
        <v>0</v>
      </c>
      <c r="M664" s="358" t="n">
        <v>0</v>
      </c>
      <c r="N664" s="358" t="n">
        <v>0</v>
      </c>
      <c r="O664" s="372" t="n">
        <v>0</v>
      </c>
      <c r="P664" s="373" t="n">
        <v>0</v>
      </c>
      <c r="Q664" s="358" t="n">
        <v>0</v>
      </c>
      <c r="R664" s="358" t="n">
        <v>0</v>
      </c>
      <c r="S664" s="372" t="n">
        <v>0</v>
      </c>
      <c r="T664" s="373" t="n">
        <v>0</v>
      </c>
      <c r="U664" s="358" t="n">
        <v>0</v>
      </c>
      <c r="V664" s="358" t="n">
        <v>0</v>
      </c>
      <c r="W664" s="372" t="n">
        <v>0</v>
      </c>
      <c r="X664" s="373" t="n">
        <v>0</v>
      </c>
      <c r="Y664" s="358" t="n">
        <v>0</v>
      </c>
      <c r="Z664" s="358" t="n">
        <v>0</v>
      </c>
      <c r="AA664" s="358" t="n">
        <v>0</v>
      </c>
      <c r="AB664" s="373" t="n">
        <v>0</v>
      </c>
      <c r="AC664" s="358" t="n">
        <v>0</v>
      </c>
      <c r="AD664" s="358" t="n">
        <v>0</v>
      </c>
      <c r="AE664" s="358" t="n">
        <v>0</v>
      </c>
      <c r="AF664" s="365" t="n">
        <v>1</v>
      </c>
    </row>
    <row r="665" customFormat="false" ht="15" hidden="true" customHeight="false" outlineLevel="0" collapsed="false">
      <c r="B665" s="360" t="s">
        <v>3138</v>
      </c>
      <c r="C665" s="365" t="n">
        <v>1</v>
      </c>
      <c r="D665" s="358" t="n">
        <v>0</v>
      </c>
      <c r="E665" s="358" t="n">
        <v>0</v>
      </c>
      <c r="F665" s="358" t="n">
        <v>0</v>
      </c>
      <c r="G665" s="372" t="n">
        <v>0</v>
      </c>
      <c r="H665" s="373" t="n">
        <v>0</v>
      </c>
      <c r="I665" s="358" t="n">
        <v>0</v>
      </c>
      <c r="J665" s="358" t="n">
        <v>0</v>
      </c>
      <c r="K665" s="372" t="n">
        <v>0</v>
      </c>
      <c r="L665" s="373" t="n">
        <v>0</v>
      </c>
      <c r="M665" s="358" t="n">
        <v>0</v>
      </c>
      <c r="N665" s="358" t="n">
        <v>0</v>
      </c>
      <c r="O665" s="372" t="n">
        <v>0</v>
      </c>
      <c r="P665" s="373" t="n">
        <v>0</v>
      </c>
      <c r="Q665" s="358" t="n">
        <v>0</v>
      </c>
      <c r="R665" s="358" t="n">
        <v>0</v>
      </c>
      <c r="S665" s="372" t="n">
        <v>0</v>
      </c>
      <c r="T665" s="373" t="n">
        <v>0</v>
      </c>
      <c r="U665" s="358" t="n">
        <v>0</v>
      </c>
      <c r="V665" s="358" t="n">
        <v>0</v>
      </c>
      <c r="W665" s="372" t="n">
        <v>0</v>
      </c>
      <c r="X665" s="373" t="n">
        <v>0</v>
      </c>
      <c r="Y665" s="358" t="n">
        <v>0</v>
      </c>
      <c r="Z665" s="358" t="n">
        <v>0</v>
      </c>
      <c r="AA665" s="358" t="n">
        <v>0</v>
      </c>
      <c r="AB665" s="373" t="n">
        <v>0</v>
      </c>
      <c r="AC665" s="358" t="n">
        <v>0</v>
      </c>
      <c r="AD665" s="358" t="n">
        <v>0</v>
      </c>
      <c r="AE665" s="358" t="n">
        <v>0</v>
      </c>
      <c r="AF665" s="365" t="n">
        <v>1</v>
      </c>
    </row>
    <row r="666" customFormat="false" ht="15" hidden="true" customHeight="false" outlineLevel="0" collapsed="false">
      <c r="B666" s="360" t="s">
        <v>3139</v>
      </c>
      <c r="C666" s="365" t="n">
        <v>1</v>
      </c>
      <c r="D666" s="358" t="n">
        <v>0</v>
      </c>
      <c r="E666" s="358" t="n">
        <v>0</v>
      </c>
      <c r="F666" s="358" t="n">
        <v>0</v>
      </c>
      <c r="G666" s="372" t="n">
        <v>0</v>
      </c>
      <c r="H666" s="373" t="n">
        <v>0</v>
      </c>
      <c r="I666" s="358" t="n">
        <v>0</v>
      </c>
      <c r="J666" s="358" t="n">
        <v>0</v>
      </c>
      <c r="K666" s="372" t="n">
        <v>0</v>
      </c>
      <c r="L666" s="373" t="n">
        <v>0</v>
      </c>
      <c r="M666" s="358" t="n">
        <v>0</v>
      </c>
      <c r="N666" s="358" t="n">
        <v>0</v>
      </c>
      <c r="O666" s="372" t="n">
        <v>0</v>
      </c>
      <c r="P666" s="373" t="n">
        <v>0</v>
      </c>
      <c r="Q666" s="358" t="n">
        <v>0</v>
      </c>
      <c r="R666" s="358" t="n">
        <v>0</v>
      </c>
      <c r="S666" s="372" t="n">
        <v>0</v>
      </c>
      <c r="T666" s="373" t="n">
        <v>0</v>
      </c>
      <c r="U666" s="358" t="n">
        <v>0</v>
      </c>
      <c r="V666" s="358" t="n">
        <v>0</v>
      </c>
      <c r="W666" s="372" t="n">
        <v>0</v>
      </c>
      <c r="X666" s="373" t="n">
        <v>0</v>
      </c>
      <c r="Y666" s="358" t="n">
        <v>0</v>
      </c>
      <c r="Z666" s="358" t="n">
        <v>0</v>
      </c>
      <c r="AA666" s="358" t="n">
        <v>0</v>
      </c>
      <c r="AB666" s="373" t="n">
        <v>0</v>
      </c>
      <c r="AC666" s="358" t="n">
        <v>0</v>
      </c>
      <c r="AD666" s="358" t="n">
        <v>0</v>
      </c>
      <c r="AE666" s="358" t="n">
        <v>0</v>
      </c>
      <c r="AF666" s="365" t="n">
        <v>1</v>
      </c>
    </row>
    <row r="667" customFormat="false" ht="15" hidden="true" customHeight="false" outlineLevel="0" collapsed="false">
      <c r="B667" s="360" t="s">
        <v>3140</v>
      </c>
      <c r="C667" s="365" t="n">
        <v>1</v>
      </c>
      <c r="D667" s="358" t="n">
        <v>0</v>
      </c>
      <c r="E667" s="358" t="n">
        <v>0</v>
      </c>
      <c r="F667" s="358" t="n">
        <v>0</v>
      </c>
      <c r="G667" s="372" t="n">
        <v>0</v>
      </c>
      <c r="H667" s="373" t="n">
        <v>0</v>
      </c>
      <c r="I667" s="358" t="n">
        <v>0</v>
      </c>
      <c r="J667" s="358" t="n">
        <v>0</v>
      </c>
      <c r="K667" s="372" t="n">
        <v>0</v>
      </c>
      <c r="L667" s="373" t="n">
        <v>0</v>
      </c>
      <c r="M667" s="358" t="n">
        <v>0</v>
      </c>
      <c r="N667" s="358" t="n">
        <v>0</v>
      </c>
      <c r="O667" s="372" t="n">
        <v>0</v>
      </c>
      <c r="P667" s="373" t="n">
        <v>0</v>
      </c>
      <c r="Q667" s="358" t="n">
        <v>0</v>
      </c>
      <c r="R667" s="358" t="n">
        <v>0</v>
      </c>
      <c r="S667" s="372" t="n">
        <v>0</v>
      </c>
      <c r="T667" s="373" t="n">
        <v>0</v>
      </c>
      <c r="U667" s="358" t="n">
        <v>0</v>
      </c>
      <c r="V667" s="358" t="n">
        <v>0</v>
      </c>
      <c r="W667" s="372" t="n">
        <v>0</v>
      </c>
      <c r="X667" s="373" t="n">
        <v>0</v>
      </c>
      <c r="Y667" s="358" t="n">
        <v>0</v>
      </c>
      <c r="Z667" s="358" t="n">
        <v>0</v>
      </c>
      <c r="AA667" s="358" t="n">
        <v>0</v>
      </c>
      <c r="AB667" s="373" t="n">
        <v>0</v>
      </c>
      <c r="AC667" s="358" t="n">
        <v>0</v>
      </c>
      <c r="AD667" s="358" t="n">
        <v>0</v>
      </c>
      <c r="AE667" s="358" t="n">
        <v>0</v>
      </c>
      <c r="AF667" s="365" t="n">
        <v>1</v>
      </c>
    </row>
    <row r="668" customFormat="false" ht="15" hidden="true" customHeight="false" outlineLevel="0" collapsed="false">
      <c r="B668" s="360" t="s">
        <v>3141</v>
      </c>
      <c r="C668" s="365" t="n">
        <v>1</v>
      </c>
      <c r="D668" s="358" t="n">
        <v>0</v>
      </c>
      <c r="E668" s="358" t="n">
        <v>0</v>
      </c>
      <c r="F668" s="358" t="n">
        <v>0</v>
      </c>
      <c r="G668" s="372" t="n">
        <v>0</v>
      </c>
      <c r="H668" s="373" t="n">
        <v>0</v>
      </c>
      <c r="I668" s="358" t="n">
        <v>0</v>
      </c>
      <c r="J668" s="358" t="n">
        <v>0</v>
      </c>
      <c r="K668" s="372" t="n">
        <v>0</v>
      </c>
      <c r="L668" s="373" t="n">
        <v>0</v>
      </c>
      <c r="M668" s="358" t="n">
        <v>0</v>
      </c>
      <c r="N668" s="358" t="n">
        <v>0</v>
      </c>
      <c r="O668" s="372" t="n">
        <v>0</v>
      </c>
      <c r="P668" s="373" t="n">
        <v>0</v>
      </c>
      <c r="Q668" s="358" t="n">
        <v>0</v>
      </c>
      <c r="R668" s="358" t="n">
        <v>0</v>
      </c>
      <c r="S668" s="372" t="n">
        <v>0</v>
      </c>
      <c r="T668" s="373" t="n">
        <v>0</v>
      </c>
      <c r="U668" s="358" t="n">
        <v>0</v>
      </c>
      <c r="V668" s="358" t="n">
        <v>0</v>
      </c>
      <c r="W668" s="372" t="n">
        <v>0</v>
      </c>
      <c r="X668" s="373" t="n">
        <v>0</v>
      </c>
      <c r="Y668" s="358" t="n">
        <v>0</v>
      </c>
      <c r="Z668" s="358" t="n">
        <v>0</v>
      </c>
      <c r="AA668" s="358" t="n">
        <v>0</v>
      </c>
      <c r="AB668" s="373" t="n">
        <v>0</v>
      </c>
      <c r="AC668" s="358" t="n">
        <v>0</v>
      </c>
      <c r="AD668" s="358" t="n">
        <v>0</v>
      </c>
      <c r="AE668" s="358" t="n">
        <v>0</v>
      </c>
      <c r="AF668" s="365" t="n">
        <v>1</v>
      </c>
    </row>
    <row r="669" customFormat="false" ht="15" hidden="true" customHeight="false" outlineLevel="0" collapsed="false">
      <c r="B669" s="360" t="s">
        <v>3142</v>
      </c>
      <c r="C669" s="365" t="n">
        <v>1</v>
      </c>
      <c r="D669" s="358" t="n">
        <v>0</v>
      </c>
      <c r="E669" s="358" t="n">
        <v>0</v>
      </c>
      <c r="F669" s="358" t="n">
        <v>0</v>
      </c>
      <c r="G669" s="372" t="n">
        <v>0</v>
      </c>
      <c r="H669" s="373" t="n">
        <v>0</v>
      </c>
      <c r="I669" s="358" t="n">
        <v>0</v>
      </c>
      <c r="J669" s="358" t="n">
        <v>0</v>
      </c>
      <c r="K669" s="372" t="n">
        <v>0</v>
      </c>
      <c r="L669" s="373" t="n">
        <v>0</v>
      </c>
      <c r="M669" s="358" t="n">
        <v>0</v>
      </c>
      <c r="N669" s="358" t="n">
        <v>0</v>
      </c>
      <c r="O669" s="372" t="n">
        <v>0</v>
      </c>
      <c r="P669" s="373" t="n">
        <v>0</v>
      </c>
      <c r="Q669" s="358" t="n">
        <v>0</v>
      </c>
      <c r="R669" s="358" t="n">
        <v>0</v>
      </c>
      <c r="S669" s="372" t="n">
        <v>0</v>
      </c>
      <c r="T669" s="373" t="n">
        <v>0</v>
      </c>
      <c r="U669" s="358" t="n">
        <v>0</v>
      </c>
      <c r="V669" s="358" t="n">
        <v>0</v>
      </c>
      <c r="W669" s="372" t="n">
        <v>0</v>
      </c>
      <c r="X669" s="373" t="n">
        <v>0</v>
      </c>
      <c r="Y669" s="358" t="n">
        <v>0</v>
      </c>
      <c r="Z669" s="358" t="n">
        <v>0</v>
      </c>
      <c r="AA669" s="358" t="n">
        <v>0</v>
      </c>
      <c r="AB669" s="373" t="n">
        <v>0</v>
      </c>
      <c r="AC669" s="358" t="n">
        <v>0</v>
      </c>
      <c r="AD669" s="358" t="n">
        <v>0</v>
      </c>
      <c r="AE669" s="358" t="n">
        <v>0</v>
      </c>
      <c r="AF669" s="365" t="n">
        <v>1</v>
      </c>
    </row>
    <row r="670" customFormat="false" ht="15" hidden="true" customHeight="false" outlineLevel="0" collapsed="false">
      <c r="B670" s="360" t="s">
        <v>3143</v>
      </c>
      <c r="C670" s="365" t="n">
        <v>1</v>
      </c>
      <c r="D670" s="358" t="n">
        <v>0</v>
      </c>
      <c r="E670" s="358" t="n">
        <v>0</v>
      </c>
      <c r="F670" s="358" t="n">
        <v>0</v>
      </c>
      <c r="G670" s="372" t="n">
        <v>0</v>
      </c>
      <c r="H670" s="373" t="n">
        <v>0</v>
      </c>
      <c r="I670" s="358" t="n">
        <v>0</v>
      </c>
      <c r="J670" s="358" t="n">
        <v>0</v>
      </c>
      <c r="K670" s="372" t="n">
        <v>0</v>
      </c>
      <c r="L670" s="373" t="n">
        <v>0</v>
      </c>
      <c r="M670" s="358" t="n">
        <v>0</v>
      </c>
      <c r="N670" s="358" t="n">
        <v>0</v>
      </c>
      <c r="O670" s="372" t="n">
        <v>0</v>
      </c>
      <c r="P670" s="373" t="n">
        <v>0</v>
      </c>
      <c r="Q670" s="358" t="n">
        <v>0</v>
      </c>
      <c r="R670" s="358" t="n">
        <v>0</v>
      </c>
      <c r="S670" s="372" t="n">
        <v>0</v>
      </c>
      <c r="T670" s="373" t="n">
        <v>0</v>
      </c>
      <c r="U670" s="358" t="n">
        <v>0</v>
      </c>
      <c r="V670" s="358" t="n">
        <v>0</v>
      </c>
      <c r="W670" s="372" t="n">
        <v>0</v>
      </c>
      <c r="X670" s="373" t="n">
        <v>0</v>
      </c>
      <c r="Y670" s="358" t="n">
        <v>0</v>
      </c>
      <c r="Z670" s="358" t="n">
        <v>0</v>
      </c>
      <c r="AA670" s="358" t="n">
        <v>0</v>
      </c>
      <c r="AB670" s="373" t="n">
        <v>0</v>
      </c>
      <c r="AC670" s="358" t="n">
        <v>0</v>
      </c>
      <c r="AD670" s="358" t="n">
        <v>0</v>
      </c>
      <c r="AE670" s="358" t="n">
        <v>0</v>
      </c>
      <c r="AF670" s="365" t="n">
        <v>1</v>
      </c>
    </row>
    <row r="671" customFormat="false" ht="15" hidden="true" customHeight="false" outlineLevel="0" collapsed="false">
      <c r="B671" s="360" t="s">
        <v>3144</v>
      </c>
      <c r="C671" s="365" t="n">
        <v>1</v>
      </c>
      <c r="D671" s="358" t="n">
        <v>0</v>
      </c>
      <c r="E671" s="358" t="n">
        <v>0</v>
      </c>
      <c r="F671" s="358" t="n">
        <v>0</v>
      </c>
      <c r="G671" s="372" t="n">
        <v>0</v>
      </c>
      <c r="H671" s="373" t="n">
        <v>0</v>
      </c>
      <c r="I671" s="358" t="n">
        <v>0</v>
      </c>
      <c r="J671" s="358" t="n">
        <v>0</v>
      </c>
      <c r="K671" s="372" t="n">
        <v>0</v>
      </c>
      <c r="L671" s="373" t="n">
        <v>0</v>
      </c>
      <c r="M671" s="358" t="n">
        <v>0</v>
      </c>
      <c r="N671" s="358" t="n">
        <v>0</v>
      </c>
      <c r="O671" s="372" t="n">
        <v>0</v>
      </c>
      <c r="P671" s="373" t="n">
        <v>0</v>
      </c>
      <c r="Q671" s="358" t="n">
        <v>0</v>
      </c>
      <c r="R671" s="358" t="n">
        <v>0</v>
      </c>
      <c r="S671" s="372" t="n">
        <v>0</v>
      </c>
      <c r="T671" s="373" t="n">
        <v>0</v>
      </c>
      <c r="U671" s="358" t="n">
        <v>0</v>
      </c>
      <c r="V671" s="358" t="n">
        <v>0</v>
      </c>
      <c r="W671" s="372" t="n">
        <v>0</v>
      </c>
      <c r="X671" s="373" t="n">
        <v>0</v>
      </c>
      <c r="Y671" s="358" t="n">
        <v>0</v>
      </c>
      <c r="Z671" s="358" t="n">
        <v>0</v>
      </c>
      <c r="AA671" s="358" t="n">
        <v>0</v>
      </c>
      <c r="AB671" s="373" t="n">
        <v>0</v>
      </c>
      <c r="AC671" s="358" t="n">
        <v>0</v>
      </c>
      <c r="AD671" s="358" t="n">
        <v>0</v>
      </c>
      <c r="AE671" s="358" t="n">
        <v>0</v>
      </c>
      <c r="AF671" s="365" t="n">
        <v>1</v>
      </c>
    </row>
    <row r="672" customFormat="false" ht="15" hidden="true" customHeight="false" outlineLevel="0" collapsed="false">
      <c r="B672" s="360" t="s">
        <v>3145</v>
      </c>
      <c r="C672" s="365" t="n">
        <v>1</v>
      </c>
      <c r="D672" s="358" t="n">
        <v>0</v>
      </c>
      <c r="E672" s="358" t="n">
        <v>0</v>
      </c>
      <c r="F672" s="358" t="n">
        <v>0</v>
      </c>
      <c r="G672" s="372" t="n">
        <v>0</v>
      </c>
      <c r="H672" s="373" t="n">
        <v>0</v>
      </c>
      <c r="I672" s="358" t="n">
        <v>0</v>
      </c>
      <c r="J672" s="358" t="n">
        <v>0</v>
      </c>
      <c r="K672" s="372" t="n">
        <v>0</v>
      </c>
      <c r="L672" s="373" t="n">
        <v>0</v>
      </c>
      <c r="M672" s="358" t="n">
        <v>0</v>
      </c>
      <c r="N672" s="358" t="n">
        <v>0</v>
      </c>
      <c r="O672" s="372" t="n">
        <v>0</v>
      </c>
      <c r="P672" s="373" t="n">
        <v>0</v>
      </c>
      <c r="Q672" s="358" t="n">
        <v>0</v>
      </c>
      <c r="R672" s="358" t="n">
        <v>0</v>
      </c>
      <c r="S672" s="372" t="n">
        <v>0</v>
      </c>
      <c r="T672" s="373" t="n">
        <v>0</v>
      </c>
      <c r="U672" s="358" t="n">
        <v>0</v>
      </c>
      <c r="V672" s="358" t="n">
        <v>0</v>
      </c>
      <c r="W672" s="372" t="n">
        <v>0</v>
      </c>
      <c r="X672" s="373" t="n">
        <v>0</v>
      </c>
      <c r="Y672" s="358" t="n">
        <v>0</v>
      </c>
      <c r="Z672" s="358" t="n">
        <v>0</v>
      </c>
      <c r="AA672" s="358" t="n">
        <v>0</v>
      </c>
      <c r="AB672" s="373" t="n">
        <v>0</v>
      </c>
      <c r="AC672" s="358" t="n">
        <v>0</v>
      </c>
      <c r="AD672" s="358" t="n">
        <v>0</v>
      </c>
      <c r="AE672" s="358" t="n">
        <v>0</v>
      </c>
      <c r="AF672" s="365" t="n">
        <v>1</v>
      </c>
    </row>
    <row r="673" customFormat="false" ht="15" hidden="true" customHeight="false" outlineLevel="0" collapsed="false">
      <c r="B673" s="360" t="s">
        <v>3146</v>
      </c>
      <c r="C673" s="365" t="n">
        <v>1</v>
      </c>
      <c r="D673" s="358" t="n">
        <v>0</v>
      </c>
      <c r="E673" s="358" t="n">
        <v>0</v>
      </c>
      <c r="F673" s="358" t="n">
        <v>0</v>
      </c>
      <c r="G673" s="372" t="n">
        <v>0</v>
      </c>
      <c r="H673" s="373" t="n">
        <v>0</v>
      </c>
      <c r="I673" s="358" t="n">
        <v>0</v>
      </c>
      <c r="J673" s="358" t="n">
        <v>0</v>
      </c>
      <c r="K673" s="372" t="n">
        <v>0</v>
      </c>
      <c r="L673" s="373" t="n">
        <v>0</v>
      </c>
      <c r="M673" s="358" t="n">
        <v>0</v>
      </c>
      <c r="N673" s="358" t="n">
        <v>0</v>
      </c>
      <c r="O673" s="372" t="n">
        <v>0</v>
      </c>
      <c r="P673" s="373" t="n">
        <v>0</v>
      </c>
      <c r="Q673" s="358" t="n">
        <v>0</v>
      </c>
      <c r="R673" s="358" t="n">
        <v>0</v>
      </c>
      <c r="S673" s="372" t="n">
        <v>0</v>
      </c>
      <c r="T673" s="373" t="n">
        <v>0</v>
      </c>
      <c r="U673" s="358" t="n">
        <v>0</v>
      </c>
      <c r="V673" s="358" t="n">
        <v>0</v>
      </c>
      <c r="W673" s="372" t="n">
        <v>0</v>
      </c>
      <c r="X673" s="373" t="n">
        <v>0</v>
      </c>
      <c r="Y673" s="358" t="n">
        <v>0</v>
      </c>
      <c r="Z673" s="358" t="n">
        <v>0</v>
      </c>
      <c r="AA673" s="358" t="n">
        <v>0</v>
      </c>
      <c r="AB673" s="373" t="n">
        <v>0</v>
      </c>
      <c r="AC673" s="358" t="n">
        <v>0</v>
      </c>
      <c r="AD673" s="358" t="n">
        <v>0</v>
      </c>
      <c r="AE673" s="358" t="n">
        <v>0</v>
      </c>
      <c r="AF673" s="365" t="n">
        <v>1</v>
      </c>
    </row>
    <row r="674" customFormat="false" ht="15" hidden="true" customHeight="false" outlineLevel="0" collapsed="false">
      <c r="B674" s="360" t="s">
        <v>3147</v>
      </c>
      <c r="C674" s="365" t="n">
        <v>1</v>
      </c>
      <c r="D674" s="358" t="n">
        <v>0</v>
      </c>
      <c r="E674" s="358" t="n">
        <v>0</v>
      </c>
      <c r="F674" s="358" t="n">
        <v>0</v>
      </c>
      <c r="G674" s="372" t="n">
        <v>0</v>
      </c>
      <c r="H674" s="373" t="n">
        <v>0</v>
      </c>
      <c r="I674" s="358" t="n">
        <v>0</v>
      </c>
      <c r="J674" s="358" t="n">
        <v>0</v>
      </c>
      <c r="K674" s="372" t="n">
        <v>0</v>
      </c>
      <c r="L674" s="373" t="n">
        <v>0</v>
      </c>
      <c r="M674" s="358" t="n">
        <v>0</v>
      </c>
      <c r="N674" s="358" t="n">
        <v>0</v>
      </c>
      <c r="O674" s="372" t="n">
        <v>0</v>
      </c>
      <c r="P674" s="373" t="n">
        <v>0</v>
      </c>
      <c r="Q674" s="358" t="n">
        <v>0</v>
      </c>
      <c r="R674" s="358" t="n">
        <v>0</v>
      </c>
      <c r="S674" s="372" t="n">
        <v>0</v>
      </c>
      <c r="T674" s="373" t="n">
        <v>0</v>
      </c>
      <c r="U674" s="358" t="n">
        <v>0</v>
      </c>
      <c r="V674" s="358" t="n">
        <v>0</v>
      </c>
      <c r="W674" s="372" t="n">
        <v>0</v>
      </c>
      <c r="X674" s="373" t="n">
        <v>0</v>
      </c>
      <c r="Y674" s="358" t="n">
        <v>0</v>
      </c>
      <c r="Z674" s="358" t="n">
        <v>0</v>
      </c>
      <c r="AA674" s="358" t="n">
        <v>0</v>
      </c>
      <c r="AB674" s="373" t="n">
        <v>0</v>
      </c>
      <c r="AC674" s="358" t="n">
        <v>0</v>
      </c>
      <c r="AD674" s="358" t="n">
        <v>0</v>
      </c>
      <c r="AE674" s="358" t="n">
        <v>0</v>
      </c>
      <c r="AF674" s="365" t="n">
        <v>1</v>
      </c>
    </row>
    <row r="675" customFormat="false" ht="15" hidden="true" customHeight="false" outlineLevel="0" collapsed="false">
      <c r="B675" s="360" t="s">
        <v>3148</v>
      </c>
      <c r="C675" s="365" t="n">
        <v>1</v>
      </c>
      <c r="D675" s="358" t="n">
        <v>0</v>
      </c>
      <c r="E675" s="358" t="n">
        <v>0</v>
      </c>
      <c r="F675" s="358" t="n">
        <v>0</v>
      </c>
      <c r="G675" s="372" t="n">
        <v>0</v>
      </c>
      <c r="H675" s="373" t="n">
        <v>0</v>
      </c>
      <c r="I675" s="358" t="n">
        <v>0</v>
      </c>
      <c r="J675" s="358" t="n">
        <v>0</v>
      </c>
      <c r="K675" s="372" t="n">
        <v>0</v>
      </c>
      <c r="L675" s="373" t="n">
        <v>0</v>
      </c>
      <c r="M675" s="358" t="n">
        <v>0</v>
      </c>
      <c r="N675" s="358" t="n">
        <v>0</v>
      </c>
      <c r="O675" s="372" t="n">
        <v>0</v>
      </c>
      <c r="P675" s="373" t="n">
        <v>0</v>
      </c>
      <c r="Q675" s="358" t="n">
        <v>0</v>
      </c>
      <c r="R675" s="358" t="n">
        <v>0</v>
      </c>
      <c r="S675" s="372" t="n">
        <v>0</v>
      </c>
      <c r="T675" s="373" t="n">
        <v>0</v>
      </c>
      <c r="U675" s="358" t="n">
        <v>0</v>
      </c>
      <c r="V675" s="358" t="n">
        <v>0</v>
      </c>
      <c r="W675" s="372" t="n">
        <v>0</v>
      </c>
      <c r="X675" s="373" t="n">
        <v>0</v>
      </c>
      <c r="Y675" s="358" t="n">
        <v>0</v>
      </c>
      <c r="Z675" s="358" t="n">
        <v>0</v>
      </c>
      <c r="AA675" s="358" t="n">
        <v>0</v>
      </c>
      <c r="AB675" s="373" t="n">
        <v>0</v>
      </c>
      <c r="AC675" s="358" t="n">
        <v>0</v>
      </c>
      <c r="AD675" s="358" t="n">
        <v>0</v>
      </c>
      <c r="AE675" s="358" t="n">
        <v>0</v>
      </c>
      <c r="AF675" s="365" t="n">
        <v>1</v>
      </c>
    </row>
    <row r="676" customFormat="false" ht="15" hidden="true" customHeight="false" outlineLevel="0" collapsed="false">
      <c r="B676" s="360" t="s">
        <v>3149</v>
      </c>
      <c r="C676" s="365" t="n">
        <v>1</v>
      </c>
      <c r="D676" s="358" t="n">
        <v>0</v>
      </c>
      <c r="E676" s="358" t="n">
        <v>0</v>
      </c>
      <c r="F676" s="358" t="n">
        <v>0</v>
      </c>
      <c r="G676" s="372" t="n">
        <v>0</v>
      </c>
      <c r="H676" s="373" t="n">
        <v>0</v>
      </c>
      <c r="I676" s="358" t="n">
        <v>0</v>
      </c>
      <c r="J676" s="358" t="n">
        <v>0</v>
      </c>
      <c r="K676" s="372" t="n">
        <v>0</v>
      </c>
      <c r="L676" s="373" t="n">
        <v>0</v>
      </c>
      <c r="M676" s="358" t="n">
        <v>0</v>
      </c>
      <c r="N676" s="358" t="n">
        <v>0</v>
      </c>
      <c r="O676" s="372" t="n">
        <v>0</v>
      </c>
      <c r="P676" s="373" t="n">
        <v>0</v>
      </c>
      <c r="Q676" s="358" t="n">
        <v>0</v>
      </c>
      <c r="R676" s="358" t="n">
        <v>0</v>
      </c>
      <c r="S676" s="372" t="n">
        <v>0</v>
      </c>
      <c r="T676" s="373" t="n">
        <v>0</v>
      </c>
      <c r="U676" s="358" t="n">
        <v>0</v>
      </c>
      <c r="V676" s="358" t="n">
        <v>0</v>
      </c>
      <c r="W676" s="372" t="n">
        <v>0</v>
      </c>
      <c r="X676" s="373" t="n">
        <v>0</v>
      </c>
      <c r="Y676" s="358" t="n">
        <v>0</v>
      </c>
      <c r="Z676" s="358" t="n">
        <v>0</v>
      </c>
      <c r="AA676" s="358" t="n">
        <v>0</v>
      </c>
      <c r="AB676" s="373" t="n">
        <v>0</v>
      </c>
      <c r="AC676" s="358" t="n">
        <v>0</v>
      </c>
      <c r="AD676" s="358" t="n">
        <v>0</v>
      </c>
      <c r="AE676" s="358" t="n">
        <v>0</v>
      </c>
      <c r="AF676" s="365" t="n">
        <v>1</v>
      </c>
    </row>
    <row r="677" customFormat="false" ht="15" hidden="true" customHeight="false" outlineLevel="0" collapsed="false">
      <c r="B677" s="360" t="s">
        <v>3150</v>
      </c>
      <c r="C677" s="365" t="n">
        <v>0</v>
      </c>
      <c r="D677" s="358" t="n">
        <v>1</v>
      </c>
      <c r="E677" s="358" t="n">
        <v>0</v>
      </c>
      <c r="F677" s="358" t="n">
        <v>0</v>
      </c>
      <c r="G677" s="372" t="n">
        <v>0</v>
      </c>
      <c r="H677" s="373" t="n">
        <v>0</v>
      </c>
      <c r="I677" s="358" t="n">
        <v>0</v>
      </c>
      <c r="J677" s="358" t="n">
        <v>0</v>
      </c>
      <c r="K677" s="372" t="n">
        <v>0</v>
      </c>
      <c r="L677" s="373" t="n">
        <v>0</v>
      </c>
      <c r="M677" s="358" t="n">
        <v>0</v>
      </c>
      <c r="N677" s="358" t="n">
        <v>0</v>
      </c>
      <c r="O677" s="372" t="n">
        <v>0</v>
      </c>
      <c r="P677" s="373" t="n">
        <v>0</v>
      </c>
      <c r="Q677" s="358" t="n">
        <v>0</v>
      </c>
      <c r="R677" s="358" t="n">
        <v>0</v>
      </c>
      <c r="S677" s="372" t="n">
        <v>0</v>
      </c>
      <c r="T677" s="373" t="n">
        <v>0</v>
      </c>
      <c r="U677" s="358" t="n">
        <v>0</v>
      </c>
      <c r="V677" s="358" t="n">
        <v>0</v>
      </c>
      <c r="W677" s="372" t="n">
        <v>0</v>
      </c>
      <c r="X677" s="373" t="n">
        <v>0</v>
      </c>
      <c r="Y677" s="358" t="n">
        <v>0</v>
      </c>
      <c r="Z677" s="358" t="n">
        <v>0</v>
      </c>
      <c r="AA677" s="358" t="n">
        <v>0</v>
      </c>
      <c r="AB677" s="373" t="n">
        <v>1</v>
      </c>
      <c r="AC677" s="358" t="n">
        <v>0</v>
      </c>
      <c r="AD677" s="358" t="n">
        <v>0</v>
      </c>
      <c r="AE677" s="358" t="n">
        <v>0</v>
      </c>
      <c r="AF677" s="365" t="n">
        <v>1</v>
      </c>
    </row>
    <row r="678" customFormat="false" ht="15" hidden="true" customHeight="false" outlineLevel="0" collapsed="false">
      <c r="B678" s="360" t="s">
        <v>3151</v>
      </c>
      <c r="C678" s="365" t="n">
        <v>1</v>
      </c>
      <c r="D678" s="358" t="n">
        <v>0</v>
      </c>
      <c r="E678" s="358" t="n">
        <v>0</v>
      </c>
      <c r="F678" s="358" t="n">
        <v>0</v>
      </c>
      <c r="G678" s="372" t="n">
        <v>0</v>
      </c>
      <c r="H678" s="373" t="n">
        <v>0</v>
      </c>
      <c r="I678" s="358" t="n">
        <v>0</v>
      </c>
      <c r="J678" s="358" t="n">
        <v>0</v>
      </c>
      <c r="K678" s="372" t="n">
        <v>0</v>
      </c>
      <c r="L678" s="373" t="n">
        <v>0</v>
      </c>
      <c r="M678" s="358" t="n">
        <v>0</v>
      </c>
      <c r="N678" s="358" t="n">
        <v>0</v>
      </c>
      <c r="O678" s="372" t="n">
        <v>0</v>
      </c>
      <c r="P678" s="373" t="n">
        <v>0</v>
      </c>
      <c r="Q678" s="358" t="n">
        <v>0</v>
      </c>
      <c r="R678" s="358" t="n">
        <v>0</v>
      </c>
      <c r="S678" s="372" t="n">
        <v>0</v>
      </c>
      <c r="T678" s="373" t="n">
        <v>0</v>
      </c>
      <c r="U678" s="358" t="n">
        <v>0</v>
      </c>
      <c r="V678" s="358" t="n">
        <v>0</v>
      </c>
      <c r="W678" s="372" t="n">
        <v>0</v>
      </c>
      <c r="X678" s="373" t="n">
        <v>0</v>
      </c>
      <c r="Y678" s="358" t="n">
        <v>0</v>
      </c>
      <c r="Z678" s="358" t="n">
        <v>0</v>
      </c>
      <c r="AA678" s="358" t="n">
        <v>0</v>
      </c>
      <c r="AB678" s="373" t="n">
        <v>0</v>
      </c>
      <c r="AC678" s="358" t="n">
        <v>0</v>
      </c>
      <c r="AD678" s="358" t="n">
        <v>0</v>
      </c>
      <c r="AE678" s="358" t="n">
        <v>0</v>
      </c>
      <c r="AF678" s="365" t="n">
        <v>1</v>
      </c>
    </row>
    <row r="679" customFormat="false" ht="15" hidden="true" customHeight="false" outlineLevel="0" collapsed="false">
      <c r="B679" s="360" t="s">
        <v>3152</v>
      </c>
      <c r="C679" s="365" t="n">
        <v>1</v>
      </c>
      <c r="D679" s="358" t="n">
        <v>0</v>
      </c>
      <c r="E679" s="358" t="n">
        <v>0</v>
      </c>
      <c r="F679" s="358" t="n">
        <v>0</v>
      </c>
      <c r="G679" s="372" t="n">
        <v>0</v>
      </c>
      <c r="H679" s="373" t="n">
        <v>0</v>
      </c>
      <c r="I679" s="358" t="n">
        <v>0</v>
      </c>
      <c r="J679" s="358" t="n">
        <v>0</v>
      </c>
      <c r="K679" s="372" t="n">
        <v>0</v>
      </c>
      <c r="L679" s="373" t="n">
        <v>0</v>
      </c>
      <c r="M679" s="358" t="n">
        <v>0</v>
      </c>
      <c r="N679" s="358" t="n">
        <v>0</v>
      </c>
      <c r="O679" s="372" t="n">
        <v>0</v>
      </c>
      <c r="P679" s="373" t="n">
        <v>0</v>
      </c>
      <c r="Q679" s="358" t="n">
        <v>0</v>
      </c>
      <c r="R679" s="358" t="n">
        <v>0</v>
      </c>
      <c r="S679" s="372" t="n">
        <v>0</v>
      </c>
      <c r="T679" s="373" t="n">
        <v>0</v>
      </c>
      <c r="U679" s="358" t="n">
        <v>0</v>
      </c>
      <c r="V679" s="358" t="n">
        <v>0</v>
      </c>
      <c r="W679" s="372" t="n">
        <v>0</v>
      </c>
      <c r="X679" s="373" t="n">
        <v>0</v>
      </c>
      <c r="Y679" s="358" t="n">
        <v>0</v>
      </c>
      <c r="Z679" s="358" t="n">
        <v>0</v>
      </c>
      <c r="AA679" s="358" t="n">
        <v>0</v>
      </c>
      <c r="AB679" s="373" t="n">
        <v>0</v>
      </c>
      <c r="AC679" s="358" t="n">
        <v>0</v>
      </c>
      <c r="AD679" s="358" t="n">
        <v>0</v>
      </c>
      <c r="AE679" s="358" t="n">
        <v>0</v>
      </c>
      <c r="AF679" s="365" t="n">
        <v>1</v>
      </c>
    </row>
    <row r="680" customFormat="false" ht="15" hidden="true" customHeight="false" outlineLevel="0" collapsed="false">
      <c r="B680" s="360" t="s">
        <v>3153</v>
      </c>
      <c r="C680" s="365" t="n">
        <v>1</v>
      </c>
      <c r="D680" s="358" t="n">
        <v>0</v>
      </c>
      <c r="E680" s="358" t="n">
        <v>0</v>
      </c>
      <c r="F680" s="358" t="n">
        <v>0</v>
      </c>
      <c r="G680" s="372" t="n">
        <v>0</v>
      </c>
      <c r="H680" s="373" t="n">
        <v>0</v>
      </c>
      <c r="I680" s="358" t="n">
        <v>0</v>
      </c>
      <c r="J680" s="358" t="n">
        <v>0</v>
      </c>
      <c r="K680" s="372" t="n">
        <v>0</v>
      </c>
      <c r="L680" s="373" t="n">
        <v>0</v>
      </c>
      <c r="M680" s="358" t="n">
        <v>0</v>
      </c>
      <c r="N680" s="358" t="n">
        <v>0</v>
      </c>
      <c r="O680" s="372" t="n">
        <v>0</v>
      </c>
      <c r="P680" s="373" t="n">
        <v>0</v>
      </c>
      <c r="Q680" s="358" t="n">
        <v>0</v>
      </c>
      <c r="R680" s="358" t="n">
        <v>0</v>
      </c>
      <c r="S680" s="372" t="n">
        <v>0</v>
      </c>
      <c r="T680" s="373" t="n">
        <v>0</v>
      </c>
      <c r="U680" s="358" t="n">
        <v>0</v>
      </c>
      <c r="V680" s="358" t="n">
        <v>0</v>
      </c>
      <c r="W680" s="372" t="n">
        <v>0</v>
      </c>
      <c r="X680" s="373" t="n">
        <v>0</v>
      </c>
      <c r="Y680" s="358" t="n">
        <v>0</v>
      </c>
      <c r="Z680" s="358" t="n">
        <v>0</v>
      </c>
      <c r="AA680" s="358" t="n">
        <v>0</v>
      </c>
      <c r="AB680" s="373" t="n">
        <v>0</v>
      </c>
      <c r="AC680" s="358" t="n">
        <v>0</v>
      </c>
      <c r="AD680" s="358" t="n">
        <v>0</v>
      </c>
      <c r="AE680" s="358" t="n">
        <v>0</v>
      </c>
      <c r="AF680" s="365" t="n">
        <v>1</v>
      </c>
    </row>
    <row r="681" customFormat="false" ht="15" hidden="true" customHeight="false" outlineLevel="0" collapsed="false">
      <c r="B681" s="360" t="s">
        <v>3154</v>
      </c>
      <c r="C681" s="365" t="n">
        <v>1</v>
      </c>
      <c r="D681" s="358" t="n">
        <v>0</v>
      </c>
      <c r="E681" s="358" t="n">
        <v>0</v>
      </c>
      <c r="F681" s="358" t="n">
        <v>0</v>
      </c>
      <c r="G681" s="372" t="n">
        <v>0</v>
      </c>
      <c r="H681" s="373" t="n">
        <v>0</v>
      </c>
      <c r="I681" s="358" t="n">
        <v>0</v>
      </c>
      <c r="J681" s="358" t="n">
        <v>0</v>
      </c>
      <c r="K681" s="372" t="n">
        <v>0</v>
      </c>
      <c r="L681" s="373" t="n">
        <v>0</v>
      </c>
      <c r="M681" s="358" t="n">
        <v>0</v>
      </c>
      <c r="N681" s="358" t="n">
        <v>0</v>
      </c>
      <c r="O681" s="372" t="n">
        <v>0</v>
      </c>
      <c r="P681" s="373" t="n">
        <v>0</v>
      </c>
      <c r="Q681" s="358" t="n">
        <v>0</v>
      </c>
      <c r="R681" s="358" t="n">
        <v>0</v>
      </c>
      <c r="S681" s="372" t="n">
        <v>0</v>
      </c>
      <c r="T681" s="373" t="n">
        <v>0</v>
      </c>
      <c r="U681" s="358" t="n">
        <v>0</v>
      </c>
      <c r="V681" s="358" t="n">
        <v>0</v>
      </c>
      <c r="W681" s="372" t="n">
        <v>0</v>
      </c>
      <c r="X681" s="373" t="n">
        <v>0</v>
      </c>
      <c r="Y681" s="358" t="n">
        <v>0</v>
      </c>
      <c r="Z681" s="358" t="n">
        <v>0</v>
      </c>
      <c r="AA681" s="358" t="n">
        <v>0</v>
      </c>
      <c r="AB681" s="373" t="n">
        <v>0</v>
      </c>
      <c r="AC681" s="358" t="n">
        <v>0</v>
      </c>
      <c r="AD681" s="358" t="n">
        <v>0</v>
      </c>
      <c r="AE681" s="358" t="n">
        <v>0</v>
      </c>
      <c r="AF681" s="365" t="n">
        <v>1</v>
      </c>
    </row>
    <row r="682" customFormat="false" ht="15" hidden="true" customHeight="false" outlineLevel="0" collapsed="false">
      <c r="B682" s="360" t="s">
        <v>3155</v>
      </c>
      <c r="C682" s="365" t="n">
        <v>1</v>
      </c>
      <c r="D682" s="358" t="n">
        <v>0</v>
      </c>
      <c r="E682" s="358" t="n">
        <v>0</v>
      </c>
      <c r="F682" s="358" t="n">
        <v>0</v>
      </c>
      <c r="G682" s="372" t="n">
        <v>0</v>
      </c>
      <c r="H682" s="373" t="n">
        <v>0</v>
      </c>
      <c r="I682" s="358" t="n">
        <v>0</v>
      </c>
      <c r="J682" s="358" t="n">
        <v>0</v>
      </c>
      <c r="K682" s="372" t="n">
        <v>0</v>
      </c>
      <c r="L682" s="373" t="n">
        <v>0</v>
      </c>
      <c r="M682" s="358" t="n">
        <v>0</v>
      </c>
      <c r="N682" s="358" t="n">
        <v>0</v>
      </c>
      <c r="O682" s="372" t="n">
        <v>0</v>
      </c>
      <c r="P682" s="373" t="n">
        <v>0</v>
      </c>
      <c r="Q682" s="358" t="n">
        <v>0</v>
      </c>
      <c r="R682" s="358" t="n">
        <v>0</v>
      </c>
      <c r="S682" s="372" t="n">
        <v>0</v>
      </c>
      <c r="T682" s="373" t="n">
        <v>0</v>
      </c>
      <c r="U682" s="358" t="n">
        <v>0</v>
      </c>
      <c r="V682" s="358" t="n">
        <v>0</v>
      </c>
      <c r="W682" s="372" t="n">
        <v>0</v>
      </c>
      <c r="X682" s="373" t="n">
        <v>0</v>
      </c>
      <c r="Y682" s="358" t="n">
        <v>0</v>
      </c>
      <c r="Z682" s="358" t="n">
        <v>0</v>
      </c>
      <c r="AA682" s="358" t="n">
        <v>0</v>
      </c>
      <c r="AB682" s="373" t="n">
        <v>0</v>
      </c>
      <c r="AC682" s="358" t="n">
        <v>0</v>
      </c>
      <c r="AD682" s="358" t="n">
        <v>0</v>
      </c>
      <c r="AE682" s="358" t="n">
        <v>0</v>
      </c>
      <c r="AF682" s="365" t="n">
        <v>1</v>
      </c>
    </row>
    <row r="683" customFormat="false" ht="15" hidden="true" customHeight="false" outlineLevel="0" collapsed="false">
      <c r="B683" s="360" t="s">
        <v>3156</v>
      </c>
      <c r="C683" s="365" t="n">
        <v>1</v>
      </c>
      <c r="D683" s="358" t="n">
        <v>0</v>
      </c>
      <c r="E683" s="358" t="n">
        <v>0</v>
      </c>
      <c r="F683" s="358" t="n">
        <v>0</v>
      </c>
      <c r="G683" s="372" t="n">
        <v>0</v>
      </c>
      <c r="H683" s="373" t="n">
        <v>0</v>
      </c>
      <c r="I683" s="358" t="n">
        <v>0</v>
      </c>
      <c r="J683" s="358" t="n">
        <v>0</v>
      </c>
      <c r="K683" s="372" t="n">
        <v>0</v>
      </c>
      <c r="L683" s="373" t="n">
        <v>0</v>
      </c>
      <c r="M683" s="358" t="n">
        <v>0</v>
      </c>
      <c r="N683" s="358" t="n">
        <v>0</v>
      </c>
      <c r="O683" s="372" t="n">
        <v>0</v>
      </c>
      <c r="P683" s="373" t="n">
        <v>0</v>
      </c>
      <c r="Q683" s="358" t="n">
        <v>0</v>
      </c>
      <c r="R683" s="358" t="n">
        <v>0</v>
      </c>
      <c r="S683" s="372" t="n">
        <v>0</v>
      </c>
      <c r="T683" s="373" t="n">
        <v>0</v>
      </c>
      <c r="U683" s="358" t="n">
        <v>0</v>
      </c>
      <c r="V683" s="358" t="n">
        <v>0</v>
      </c>
      <c r="W683" s="372" t="n">
        <v>0</v>
      </c>
      <c r="X683" s="373" t="n">
        <v>0</v>
      </c>
      <c r="Y683" s="358" t="n">
        <v>0</v>
      </c>
      <c r="Z683" s="358" t="n">
        <v>0</v>
      </c>
      <c r="AA683" s="358" t="n">
        <v>0</v>
      </c>
      <c r="AB683" s="373" t="n">
        <v>0</v>
      </c>
      <c r="AC683" s="358" t="n">
        <v>0</v>
      </c>
      <c r="AD683" s="358" t="n">
        <v>0</v>
      </c>
      <c r="AE683" s="358" t="n">
        <v>0</v>
      </c>
      <c r="AF683" s="365" t="n">
        <v>1</v>
      </c>
    </row>
    <row r="684" customFormat="false" ht="15" hidden="true" customHeight="false" outlineLevel="0" collapsed="false">
      <c r="B684" s="360" t="s">
        <v>3157</v>
      </c>
      <c r="C684" s="365" t="n">
        <v>1</v>
      </c>
      <c r="D684" s="358" t="n">
        <v>0</v>
      </c>
      <c r="E684" s="358" t="n">
        <v>0</v>
      </c>
      <c r="F684" s="358" t="n">
        <v>0</v>
      </c>
      <c r="G684" s="372" t="n">
        <v>0</v>
      </c>
      <c r="H684" s="373" t="n">
        <v>0</v>
      </c>
      <c r="I684" s="358" t="n">
        <v>0</v>
      </c>
      <c r="J684" s="358" t="n">
        <v>0</v>
      </c>
      <c r="K684" s="372" t="n">
        <v>0</v>
      </c>
      <c r="L684" s="373" t="n">
        <v>0</v>
      </c>
      <c r="M684" s="358" t="n">
        <v>0</v>
      </c>
      <c r="N684" s="358" t="n">
        <v>0</v>
      </c>
      <c r="O684" s="372" t="n">
        <v>0</v>
      </c>
      <c r="P684" s="373" t="n">
        <v>0</v>
      </c>
      <c r="Q684" s="358" t="n">
        <v>0</v>
      </c>
      <c r="R684" s="358" t="n">
        <v>0</v>
      </c>
      <c r="S684" s="372" t="n">
        <v>0</v>
      </c>
      <c r="T684" s="373" t="n">
        <v>0</v>
      </c>
      <c r="U684" s="358" t="n">
        <v>0</v>
      </c>
      <c r="V684" s="358" t="n">
        <v>0</v>
      </c>
      <c r="W684" s="372" t="n">
        <v>0</v>
      </c>
      <c r="X684" s="373" t="n">
        <v>0</v>
      </c>
      <c r="Y684" s="358" t="n">
        <v>0</v>
      </c>
      <c r="Z684" s="358" t="n">
        <v>0</v>
      </c>
      <c r="AA684" s="358" t="n">
        <v>0</v>
      </c>
      <c r="AB684" s="373" t="n">
        <v>0</v>
      </c>
      <c r="AC684" s="358" t="n">
        <v>0</v>
      </c>
      <c r="AD684" s="358" t="n">
        <v>0</v>
      </c>
      <c r="AE684" s="358" t="n">
        <v>0</v>
      </c>
      <c r="AF684" s="365" t="n">
        <v>1</v>
      </c>
    </row>
    <row r="685" customFormat="false" ht="15" hidden="true" customHeight="false" outlineLevel="0" collapsed="false">
      <c r="B685" s="360" t="s">
        <v>3158</v>
      </c>
      <c r="C685" s="365" t="n">
        <v>1</v>
      </c>
      <c r="D685" s="358" t="n">
        <v>0</v>
      </c>
      <c r="E685" s="358" t="n">
        <v>0</v>
      </c>
      <c r="F685" s="358" t="n">
        <v>0</v>
      </c>
      <c r="G685" s="372" t="n">
        <v>0</v>
      </c>
      <c r="H685" s="373" t="n">
        <v>0</v>
      </c>
      <c r="I685" s="358" t="n">
        <v>0</v>
      </c>
      <c r="J685" s="358" t="n">
        <v>0</v>
      </c>
      <c r="K685" s="372" t="n">
        <v>0</v>
      </c>
      <c r="L685" s="373" t="n">
        <v>0</v>
      </c>
      <c r="M685" s="358" t="n">
        <v>0</v>
      </c>
      <c r="N685" s="358" t="n">
        <v>0</v>
      </c>
      <c r="O685" s="372" t="n">
        <v>0</v>
      </c>
      <c r="P685" s="373" t="n">
        <v>0</v>
      </c>
      <c r="Q685" s="358" t="n">
        <v>0</v>
      </c>
      <c r="R685" s="358" t="n">
        <v>0</v>
      </c>
      <c r="S685" s="372" t="n">
        <v>0</v>
      </c>
      <c r="T685" s="373" t="n">
        <v>0</v>
      </c>
      <c r="U685" s="358" t="n">
        <v>0</v>
      </c>
      <c r="V685" s="358" t="n">
        <v>0</v>
      </c>
      <c r="W685" s="372" t="n">
        <v>0</v>
      </c>
      <c r="X685" s="373" t="n">
        <v>0</v>
      </c>
      <c r="Y685" s="358" t="n">
        <v>0</v>
      </c>
      <c r="Z685" s="358" t="n">
        <v>0</v>
      </c>
      <c r="AA685" s="358" t="n">
        <v>0</v>
      </c>
      <c r="AB685" s="373" t="n">
        <v>0</v>
      </c>
      <c r="AC685" s="358" t="n">
        <v>0</v>
      </c>
      <c r="AD685" s="358" t="n">
        <v>0</v>
      </c>
      <c r="AE685" s="358" t="n">
        <v>0</v>
      </c>
      <c r="AF685" s="365" t="n">
        <v>1</v>
      </c>
    </row>
    <row r="686" customFormat="false" ht="15" hidden="true" customHeight="false" outlineLevel="0" collapsed="false">
      <c r="B686" s="360" t="s">
        <v>3159</v>
      </c>
      <c r="C686" s="365" t="n">
        <v>1</v>
      </c>
      <c r="D686" s="358" t="n">
        <v>0</v>
      </c>
      <c r="E686" s="358" t="n">
        <v>0</v>
      </c>
      <c r="F686" s="358" t="n">
        <v>0</v>
      </c>
      <c r="G686" s="372" t="n">
        <v>0</v>
      </c>
      <c r="H686" s="373" t="n">
        <v>0</v>
      </c>
      <c r="I686" s="358" t="n">
        <v>0</v>
      </c>
      <c r="J686" s="358" t="n">
        <v>0</v>
      </c>
      <c r="K686" s="372" t="n">
        <v>0</v>
      </c>
      <c r="L686" s="373" t="n">
        <v>0</v>
      </c>
      <c r="M686" s="358" t="n">
        <v>0</v>
      </c>
      <c r="N686" s="358" t="n">
        <v>0</v>
      </c>
      <c r="O686" s="372" t="n">
        <v>0</v>
      </c>
      <c r="P686" s="373" t="n">
        <v>0</v>
      </c>
      <c r="Q686" s="358" t="n">
        <v>0</v>
      </c>
      <c r="R686" s="358" t="n">
        <v>0</v>
      </c>
      <c r="S686" s="372" t="n">
        <v>0</v>
      </c>
      <c r="T686" s="373" t="n">
        <v>0</v>
      </c>
      <c r="U686" s="358" t="n">
        <v>0</v>
      </c>
      <c r="V686" s="358" t="n">
        <v>0</v>
      </c>
      <c r="W686" s="372" t="n">
        <v>0</v>
      </c>
      <c r="X686" s="373" t="n">
        <v>0</v>
      </c>
      <c r="Y686" s="358" t="n">
        <v>0</v>
      </c>
      <c r="Z686" s="358" t="n">
        <v>0</v>
      </c>
      <c r="AA686" s="358" t="n">
        <v>0</v>
      </c>
      <c r="AB686" s="373" t="n">
        <v>0</v>
      </c>
      <c r="AC686" s="358" t="n">
        <v>0</v>
      </c>
      <c r="AD686" s="358" t="n">
        <v>0</v>
      </c>
      <c r="AE686" s="358" t="n">
        <v>0</v>
      </c>
      <c r="AF686" s="365" t="n">
        <v>1</v>
      </c>
    </row>
    <row r="687" customFormat="false" ht="15" hidden="true" customHeight="false" outlineLevel="0" collapsed="false">
      <c r="B687" s="360" t="s">
        <v>3160</v>
      </c>
      <c r="C687" s="365" t="n">
        <v>1</v>
      </c>
      <c r="D687" s="358" t="n">
        <v>0</v>
      </c>
      <c r="E687" s="358" t="n">
        <v>0</v>
      </c>
      <c r="F687" s="358" t="n">
        <v>0</v>
      </c>
      <c r="G687" s="372" t="n">
        <v>0</v>
      </c>
      <c r="H687" s="373" t="n">
        <v>0</v>
      </c>
      <c r="I687" s="358" t="n">
        <v>0</v>
      </c>
      <c r="J687" s="358" t="n">
        <v>0</v>
      </c>
      <c r="K687" s="372" t="n">
        <v>0</v>
      </c>
      <c r="L687" s="373" t="n">
        <v>0</v>
      </c>
      <c r="M687" s="358" t="n">
        <v>0</v>
      </c>
      <c r="N687" s="358" t="n">
        <v>0</v>
      </c>
      <c r="O687" s="372" t="n">
        <v>0</v>
      </c>
      <c r="P687" s="373" t="n">
        <v>0</v>
      </c>
      <c r="Q687" s="358" t="n">
        <v>0</v>
      </c>
      <c r="R687" s="358" t="n">
        <v>0</v>
      </c>
      <c r="S687" s="372" t="n">
        <v>0</v>
      </c>
      <c r="T687" s="373" t="n">
        <v>0</v>
      </c>
      <c r="U687" s="358" t="n">
        <v>0</v>
      </c>
      <c r="V687" s="358" t="n">
        <v>0</v>
      </c>
      <c r="W687" s="372" t="n">
        <v>0</v>
      </c>
      <c r="X687" s="373" t="n">
        <v>0</v>
      </c>
      <c r="Y687" s="358" t="n">
        <v>0</v>
      </c>
      <c r="Z687" s="358" t="n">
        <v>0</v>
      </c>
      <c r="AA687" s="358" t="n">
        <v>0</v>
      </c>
      <c r="AB687" s="373" t="n">
        <v>0</v>
      </c>
      <c r="AC687" s="358" t="n">
        <v>0</v>
      </c>
      <c r="AD687" s="358" t="n">
        <v>0</v>
      </c>
      <c r="AE687" s="358" t="n">
        <v>0</v>
      </c>
      <c r="AF687" s="365" t="n">
        <v>1</v>
      </c>
    </row>
    <row r="688" customFormat="false" ht="15" hidden="true" customHeight="false" outlineLevel="0" collapsed="false">
      <c r="B688" s="360" t="s">
        <v>3161</v>
      </c>
      <c r="C688" s="365" t="n">
        <v>1</v>
      </c>
      <c r="D688" s="358" t="n">
        <v>0</v>
      </c>
      <c r="E688" s="358" t="n">
        <v>0</v>
      </c>
      <c r="F688" s="358" t="n">
        <v>0</v>
      </c>
      <c r="G688" s="372" t="n">
        <v>0</v>
      </c>
      <c r="H688" s="373" t="n">
        <v>0</v>
      </c>
      <c r="I688" s="358" t="n">
        <v>0</v>
      </c>
      <c r="J688" s="358" t="n">
        <v>0</v>
      </c>
      <c r="K688" s="372" t="n">
        <v>0</v>
      </c>
      <c r="L688" s="373" t="n">
        <v>0</v>
      </c>
      <c r="M688" s="358" t="n">
        <v>0</v>
      </c>
      <c r="N688" s="358" t="n">
        <v>0</v>
      </c>
      <c r="O688" s="372" t="n">
        <v>0</v>
      </c>
      <c r="P688" s="373" t="n">
        <v>0</v>
      </c>
      <c r="Q688" s="358" t="n">
        <v>0</v>
      </c>
      <c r="R688" s="358" t="n">
        <v>0</v>
      </c>
      <c r="S688" s="372" t="n">
        <v>0</v>
      </c>
      <c r="T688" s="373" t="n">
        <v>0</v>
      </c>
      <c r="U688" s="358" t="n">
        <v>0</v>
      </c>
      <c r="V688" s="358" t="n">
        <v>0</v>
      </c>
      <c r="W688" s="372" t="n">
        <v>0</v>
      </c>
      <c r="X688" s="373" t="n">
        <v>0</v>
      </c>
      <c r="Y688" s="358" t="n">
        <v>0</v>
      </c>
      <c r="Z688" s="358" t="n">
        <v>0</v>
      </c>
      <c r="AA688" s="358" t="n">
        <v>0</v>
      </c>
      <c r="AB688" s="373" t="n">
        <v>0</v>
      </c>
      <c r="AC688" s="358" t="n">
        <v>0</v>
      </c>
      <c r="AD688" s="358" t="n">
        <v>0</v>
      </c>
      <c r="AE688" s="358" t="n">
        <v>0</v>
      </c>
      <c r="AF688" s="365" t="n">
        <v>1</v>
      </c>
    </row>
    <row r="689" customFormat="false" ht="15" hidden="true" customHeight="false" outlineLevel="0" collapsed="false">
      <c r="B689" s="360" t="s">
        <v>3162</v>
      </c>
      <c r="C689" s="365" t="n">
        <v>1</v>
      </c>
      <c r="D689" s="358" t="n">
        <v>0</v>
      </c>
      <c r="E689" s="358" t="n">
        <v>0</v>
      </c>
      <c r="F689" s="358" t="n">
        <v>0</v>
      </c>
      <c r="G689" s="372" t="n">
        <v>0</v>
      </c>
      <c r="H689" s="373" t="n">
        <v>0</v>
      </c>
      <c r="I689" s="358" t="n">
        <v>0</v>
      </c>
      <c r="J689" s="358" t="n">
        <v>0</v>
      </c>
      <c r="K689" s="372" t="n">
        <v>0</v>
      </c>
      <c r="L689" s="373" t="n">
        <v>0</v>
      </c>
      <c r="M689" s="358" t="n">
        <v>0</v>
      </c>
      <c r="N689" s="358" t="n">
        <v>0</v>
      </c>
      <c r="O689" s="372" t="n">
        <v>0</v>
      </c>
      <c r="P689" s="373" t="n">
        <v>0</v>
      </c>
      <c r="Q689" s="358" t="n">
        <v>0</v>
      </c>
      <c r="R689" s="358" t="n">
        <v>0</v>
      </c>
      <c r="S689" s="372" t="n">
        <v>0</v>
      </c>
      <c r="T689" s="373" t="n">
        <v>0</v>
      </c>
      <c r="U689" s="358" t="n">
        <v>0</v>
      </c>
      <c r="V689" s="358" t="n">
        <v>0</v>
      </c>
      <c r="W689" s="372" t="n">
        <v>0</v>
      </c>
      <c r="X689" s="373" t="n">
        <v>0</v>
      </c>
      <c r="Y689" s="358" t="n">
        <v>0</v>
      </c>
      <c r="Z689" s="358" t="n">
        <v>0</v>
      </c>
      <c r="AA689" s="358" t="n">
        <v>0</v>
      </c>
      <c r="AB689" s="373" t="n">
        <v>0</v>
      </c>
      <c r="AC689" s="358" t="n">
        <v>0</v>
      </c>
      <c r="AD689" s="358" t="n">
        <v>0</v>
      </c>
      <c r="AE689" s="358" t="n">
        <v>0</v>
      </c>
      <c r="AF689" s="365" t="n">
        <v>1</v>
      </c>
    </row>
    <row r="690" customFormat="false" ht="15" hidden="true" customHeight="false" outlineLevel="0" collapsed="false">
      <c r="B690" s="360" t="s">
        <v>3163</v>
      </c>
      <c r="C690" s="365" t="n">
        <v>1</v>
      </c>
      <c r="D690" s="358" t="n">
        <v>0</v>
      </c>
      <c r="E690" s="358" t="n">
        <v>0</v>
      </c>
      <c r="F690" s="358" t="n">
        <v>0</v>
      </c>
      <c r="G690" s="372" t="n">
        <v>0</v>
      </c>
      <c r="H690" s="373" t="n">
        <v>0</v>
      </c>
      <c r="I690" s="358" t="n">
        <v>0</v>
      </c>
      <c r="J690" s="358" t="n">
        <v>0</v>
      </c>
      <c r="K690" s="372" t="n">
        <v>0</v>
      </c>
      <c r="L690" s="373" t="n">
        <v>0</v>
      </c>
      <c r="M690" s="358" t="n">
        <v>0</v>
      </c>
      <c r="N690" s="358" t="n">
        <v>0</v>
      </c>
      <c r="O690" s="372" t="n">
        <v>0</v>
      </c>
      <c r="P690" s="373" t="n">
        <v>0</v>
      </c>
      <c r="Q690" s="358" t="n">
        <v>0</v>
      </c>
      <c r="R690" s="358" t="n">
        <v>0</v>
      </c>
      <c r="S690" s="372" t="n">
        <v>0</v>
      </c>
      <c r="T690" s="373" t="n">
        <v>0</v>
      </c>
      <c r="U690" s="358" t="n">
        <v>0</v>
      </c>
      <c r="V690" s="358" t="n">
        <v>0</v>
      </c>
      <c r="W690" s="372" t="n">
        <v>0</v>
      </c>
      <c r="X690" s="373" t="n">
        <v>0</v>
      </c>
      <c r="Y690" s="358" t="n">
        <v>0</v>
      </c>
      <c r="Z690" s="358" t="n">
        <v>0</v>
      </c>
      <c r="AA690" s="358" t="n">
        <v>0</v>
      </c>
      <c r="AB690" s="373" t="n">
        <v>0</v>
      </c>
      <c r="AC690" s="358" t="n">
        <v>0</v>
      </c>
      <c r="AD690" s="358" t="n">
        <v>0</v>
      </c>
      <c r="AE690" s="358" t="n">
        <v>0</v>
      </c>
      <c r="AF690" s="365" t="n">
        <v>1</v>
      </c>
    </row>
    <row r="691" customFormat="false" ht="15" hidden="true" customHeight="false" outlineLevel="0" collapsed="false">
      <c r="B691" s="360" t="s">
        <v>3164</v>
      </c>
      <c r="C691" s="365" t="n">
        <v>1</v>
      </c>
      <c r="D691" s="358" t="n">
        <v>0</v>
      </c>
      <c r="E691" s="358" t="n">
        <v>0</v>
      </c>
      <c r="F691" s="358" t="n">
        <v>0</v>
      </c>
      <c r="G691" s="372" t="n">
        <v>0</v>
      </c>
      <c r="H691" s="373" t="n">
        <v>0</v>
      </c>
      <c r="I691" s="358" t="n">
        <v>0</v>
      </c>
      <c r="J691" s="358" t="n">
        <v>0</v>
      </c>
      <c r="K691" s="372" t="n">
        <v>0</v>
      </c>
      <c r="L691" s="373" t="n">
        <v>0</v>
      </c>
      <c r="M691" s="358" t="n">
        <v>0</v>
      </c>
      <c r="N691" s="358" t="n">
        <v>0</v>
      </c>
      <c r="O691" s="372" t="n">
        <v>0</v>
      </c>
      <c r="P691" s="373" t="n">
        <v>0</v>
      </c>
      <c r="Q691" s="358" t="n">
        <v>0</v>
      </c>
      <c r="R691" s="358" t="n">
        <v>0</v>
      </c>
      <c r="S691" s="372" t="n">
        <v>0</v>
      </c>
      <c r="T691" s="373" t="n">
        <v>0</v>
      </c>
      <c r="U691" s="358" t="n">
        <v>0</v>
      </c>
      <c r="V691" s="358" t="n">
        <v>0</v>
      </c>
      <c r="W691" s="372" t="n">
        <v>0</v>
      </c>
      <c r="X691" s="373" t="n">
        <v>0</v>
      </c>
      <c r="Y691" s="358" t="n">
        <v>0</v>
      </c>
      <c r="Z691" s="358" t="n">
        <v>0</v>
      </c>
      <c r="AA691" s="358" t="n">
        <v>0</v>
      </c>
      <c r="AB691" s="373" t="n">
        <v>0</v>
      </c>
      <c r="AC691" s="358" t="n">
        <v>0</v>
      </c>
      <c r="AD691" s="358" t="n">
        <v>0</v>
      </c>
      <c r="AE691" s="358" t="n">
        <v>0</v>
      </c>
      <c r="AF691" s="365" t="n">
        <v>1</v>
      </c>
    </row>
    <row r="692" customFormat="false" ht="15" hidden="true" customHeight="false" outlineLevel="0" collapsed="false">
      <c r="B692" s="360" t="s">
        <v>3165</v>
      </c>
      <c r="C692" s="365" t="n">
        <v>1</v>
      </c>
      <c r="D692" s="358" t="n">
        <v>0</v>
      </c>
      <c r="E692" s="358" t="n">
        <v>0</v>
      </c>
      <c r="F692" s="358" t="n">
        <v>0</v>
      </c>
      <c r="G692" s="372" t="n">
        <v>0</v>
      </c>
      <c r="H692" s="373" t="n">
        <v>0</v>
      </c>
      <c r="I692" s="358" t="n">
        <v>0</v>
      </c>
      <c r="J692" s="358" t="n">
        <v>0</v>
      </c>
      <c r="K692" s="372" t="n">
        <v>0</v>
      </c>
      <c r="L692" s="373" t="n">
        <v>0</v>
      </c>
      <c r="M692" s="358" t="n">
        <v>0</v>
      </c>
      <c r="N692" s="358" t="n">
        <v>0</v>
      </c>
      <c r="O692" s="372" t="n">
        <v>0</v>
      </c>
      <c r="P692" s="373" t="n">
        <v>0</v>
      </c>
      <c r="Q692" s="358" t="n">
        <v>0</v>
      </c>
      <c r="R692" s="358" t="n">
        <v>0</v>
      </c>
      <c r="S692" s="372" t="n">
        <v>0</v>
      </c>
      <c r="T692" s="373" t="n">
        <v>0</v>
      </c>
      <c r="U692" s="358" t="n">
        <v>0</v>
      </c>
      <c r="V692" s="358" t="n">
        <v>0</v>
      </c>
      <c r="W692" s="372" t="n">
        <v>0</v>
      </c>
      <c r="X692" s="373" t="n">
        <v>0</v>
      </c>
      <c r="Y692" s="358" t="n">
        <v>0</v>
      </c>
      <c r="Z692" s="358" t="n">
        <v>0</v>
      </c>
      <c r="AA692" s="358" t="n">
        <v>0</v>
      </c>
      <c r="AB692" s="373" t="n">
        <v>0</v>
      </c>
      <c r="AC692" s="358" t="n">
        <v>0</v>
      </c>
      <c r="AD692" s="358" t="n">
        <v>0</v>
      </c>
      <c r="AE692" s="358" t="n">
        <v>0</v>
      </c>
      <c r="AF692" s="365" t="n">
        <v>1</v>
      </c>
    </row>
    <row r="693" customFormat="false" ht="15" hidden="true" customHeight="false" outlineLevel="0" collapsed="false">
      <c r="B693" s="360" t="s">
        <v>3166</v>
      </c>
      <c r="C693" s="365" t="n">
        <v>1</v>
      </c>
      <c r="D693" s="358" t="n">
        <v>0</v>
      </c>
      <c r="E693" s="358" t="n">
        <v>0</v>
      </c>
      <c r="F693" s="358" t="n">
        <v>0</v>
      </c>
      <c r="G693" s="372" t="n">
        <v>0</v>
      </c>
      <c r="H693" s="373" t="n">
        <v>0</v>
      </c>
      <c r="I693" s="358" t="n">
        <v>0</v>
      </c>
      <c r="J693" s="358" t="n">
        <v>0</v>
      </c>
      <c r="K693" s="372" t="n">
        <v>0</v>
      </c>
      <c r="L693" s="373" t="n">
        <v>0</v>
      </c>
      <c r="M693" s="358" t="n">
        <v>0</v>
      </c>
      <c r="N693" s="358" t="n">
        <v>0</v>
      </c>
      <c r="O693" s="372" t="n">
        <v>0</v>
      </c>
      <c r="P693" s="373" t="n">
        <v>0</v>
      </c>
      <c r="Q693" s="358" t="n">
        <v>0</v>
      </c>
      <c r="R693" s="358" t="n">
        <v>0</v>
      </c>
      <c r="S693" s="372" t="n">
        <v>0</v>
      </c>
      <c r="T693" s="373" t="n">
        <v>0</v>
      </c>
      <c r="U693" s="358" t="n">
        <v>0</v>
      </c>
      <c r="V693" s="358" t="n">
        <v>0</v>
      </c>
      <c r="W693" s="372" t="n">
        <v>0</v>
      </c>
      <c r="X693" s="373" t="n">
        <v>0</v>
      </c>
      <c r="Y693" s="358" t="n">
        <v>0</v>
      </c>
      <c r="Z693" s="358" t="n">
        <v>0</v>
      </c>
      <c r="AA693" s="358" t="n">
        <v>0</v>
      </c>
      <c r="AB693" s="373" t="n">
        <v>0</v>
      </c>
      <c r="AC693" s="358" t="n">
        <v>0</v>
      </c>
      <c r="AD693" s="358" t="n">
        <v>0</v>
      </c>
      <c r="AE693" s="358" t="n">
        <v>0</v>
      </c>
      <c r="AF693" s="365" t="n">
        <v>1</v>
      </c>
    </row>
    <row r="694" customFormat="false" ht="15" hidden="true" customHeight="false" outlineLevel="0" collapsed="false">
      <c r="B694" s="360" t="s">
        <v>3167</v>
      </c>
      <c r="C694" s="365" t="n">
        <v>1</v>
      </c>
      <c r="D694" s="358" t="n">
        <v>0</v>
      </c>
      <c r="E694" s="358" t="n">
        <v>0</v>
      </c>
      <c r="F694" s="358" t="n">
        <v>0</v>
      </c>
      <c r="G694" s="372" t="n">
        <v>0</v>
      </c>
      <c r="H694" s="373" t="n">
        <v>0</v>
      </c>
      <c r="I694" s="358" t="n">
        <v>0</v>
      </c>
      <c r="J694" s="358" t="n">
        <v>0</v>
      </c>
      <c r="K694" s="372" t="n">
        <v>0</v>
      </c>
      <c r="L694" s="373" t="n">
        <v>0</v>
      </c>
      <c r="M694" s="358" t="n">
        <v>0</v>
      </c>
      <c r="N694" s="358" t="n">
        <v>0</v>
      </c>
      <c r="O694" s="372" t="n">
        <v>0</v>
      </c>
      <c r="P694" s="373" t="n">
        <v>0</v>
      </c>
      <c r="Q694" s="358" t="n">
        <v>0</v>
      </c>
      <c r="R694" s="358" t="n">
        <v>0</v>
      </c>
      <c r="S694" s="372" t="n">
        <v>0</v>
      </c>
      <c r="T694" s="373" t="n">
        <v>0</v>
      </c>
      <c r="U694" s="358" t="n">
        <v>0</v>
      </c>
      <c r="V694" s="358" t="n">
        <v>0</v>
      </c>
      <c r="W694" s="372" t="n">
        <v>0</v>
      </c>
      <c r="X694" s="373" t="n">
        <v>0</v>
      </c>
      <c r="Y694" s="358" t="n">
        <v>0</v>
      </c>
      <c r="Z694" s="358" t="n">
        <v>0</v>
      </c>
      <c r="AA694" s="358" t="n">
        <v>0</v>
      </c>
      <c r="AB694" s="373" t="n">
        <v>0</v>
      </c>
      <c r="AC694" s="358" t="n">
        <v>0</v>
      </c>
      <c r="AD694" s="358" t="n">
        <v>0</v>
      </c>
      <c r="AE694" s="358" t="n">
        <v>0</v>
      </c>
      <c r="AF694" s="365" t="n">
        <v>1</v>
      </c>
    </row>
    <row r="695" customFormat="false" ht="15" hidden="true" customHeight="false" outlineLevel="0" collapsed="false">
      <c r="B695" s="360" t="s">
        <v>3168</v>
      </c>
      <c r="C695" s="365" t="n">
        <v>1</v>
      </c>
      <c r="D695" s="358" t="n">
        <v>0</v>
      </c>
      <c r="E695" s="358" t="n">
        <v>0</v>
      </c>
      <c r="F695" s="358" t="n">
        <v>0</v>
      </c>
      <c r="G695" s="372" t="n">
        <v>0</v>
      </c>
      <c r="H695" s="373" t="n">
        <v>0</v>
      </c>
      <c r="I695" s="358" t="n">
        <v>0</v>
      </c>
      <c r="J695" s="358" t="n">
        <v>0</v>
      </c>
      <c r="K695" s="372" t="n">
        <v>0</v>
      </c>
      <c r="L695" s="373" t="n">
        <v>0</v>
      </c>
      <c r="M695" s="358" t="n">
        <v>0</v>
      </c>
      <c r="N695" s="358" t="n">
        <v>0</v>
      </c>
      <c r="O695" s="372" t="n">
        <v>0</v>
      </c>
      <c r="P695" s="373" t="n">
        <v>0</v>
      </c>
      <c r="Q695" s="358" t="n">
        <v>0</v>
      </c>
      <c r="R695" s="358" t="n">
        <v>0</v>
      </c>
      <c r="S695" s="372" t="n">
        <v>0</v>
      </c>
      <c r="T695" s="373" t="n">
        <v>0</v>
      </c>
      <c r="U695" s="358" t="n">
        <v>0</v>
      </c>
      <c r="V695" s="358" t="n">
        <v>0</v>
      </c>
      <c r="W695" s="372" t="n">
        <v>0</v>
      </c>
      <c r="X695" s="373" t="n">
        <v>0</v>
      </c>
      <c r="Y695" s="358" t="n">
        <v>0</v>
      </c>
      <c r="Z695" s="358" t="n">
        <v>0</v>
      </c>
      <c r="AA695" s="358" t="n">
        <v>0</v>
      </c>
      <c r="AB695" s="373" t="n">
        <v>0</v>
      </c>
      <c r="AC695" s="358" t="n">
        <v>0</v>
      </c>
      <c r="AD695" s="358" t="n">
        <v>0</v>
      </c>
      <c r="AE695" s="358" t="n">
        <v>0</v>
      </c>
      <c r="AF695" s="365" t="n">
        <v>1</v>
      </c>
    </row>
    <row r="696" customFormat="false" ht="15" hidden="true" customHeight="false" outlineLevel="0" collapsed="false">
      <c r="B696" s="360" t="s">
        <v>3169</v>
      </c>
      <c r="C696" s="365" t="n">
        <v>1</v>
      </c>
      <c r="D696" s="358" t="n">
        <v>0</v>
      </c>
      <c r="E696" s="358" t="n">
        <v>0</v>
      </c>
      <c r="F696" s="358" t="n">
        <v>0</v>
      </c>
      <c r="G696" s="372" t="n">
        <v>0</v>
      </c>
      <c r="H696" s="373" t="n">
        <v>0</v>
      </c>
      <c r="I696" s="358" t="n">
        <v>0</v>
      </c>
      <c r="J696" s="358" t="n">
        <v>0</v>
      </c>
      <c r="K696" s="372" t="n">
        <v>0</v>
      </c>
      <c r="L696" s="373" t="n">
        <v>0</v>
      </c>
      <c r="M696" s="358" t="n">
        <v>0</v>
      </c>
      <c r="N696" s="358" t="n">
        <v>0</v>
      </c>
      <c r="O696" s="372" t="n">
        <v>0</v>
      </c>
      <c r="P696" s="373" t="n">
        <v>0</v>
      </c>
      <c r="Q696" s="358" t="n">
        <v>0</v>
      </c>
      <c r="R696" s="358" t="n">
        <v>0</v>
      </c>
      <c r="S696" s="372" t="n">
        <v>0</v>
      </c>
      <c r="T696" s="373" t="n">
        <v>0</v>
      </c>
      <c r="U696" s="358" t="n">
        <v>0</v>
      </c>
      <c r="V696" s="358" t="n">
        <v>0</v>
      </c>
      <c r="W696" s="372" t="n">
        <v>0</v>
      </c>
      <c r="X696" s="373" t="n">
        <v>0</v>
      </c>
      <c r="Y696" s="358" t="n">
        <v>0</v>
      </c>
      <c r="Z696" s="358" t="n">
        <v>0</v>
      </c>
      <c r="AA696" s="358" t="n">
        <v>0</v>
      </c>
      <c r="AB696" s="373" t="n">
        <v>0</v>
      </c>
      <c r="AC696" s="358" t="n">
        <v>0</v>
      </c>
      <c r="AD696" s="358" t="n">
        <v>0</v>
      </c>
      <c r="AE696" s="358" t="n">
        <v>0</v>
      </c>
      <c r="AF696" s="365" t="n">
        <v>1</v>
      </c>
    </row>
    <row r="697" customFormat="false" ht="15" hidden="true" customHeight="false" outlineLevel="0" collapsed="false">
      <c r="B697" s="360" t="s">
        <v>3170</v>
      </c>
      <c r="C697" s="365" t="n">
        <v>1</v>
      </c>
      <c r="D697" s="358" t="n">
        <v>0</v>
      </c>
      <c r="E697" s="358" t="n">
        <v>0</v>
      </c>
      <c r="F697" s="358" t="n">
        <v>0</v>
      </c>
      <c r="G697" s="372" t="n">
        <v>0</v>
      </c>
      <c r="H697" s="373" t="n">
        <v>0</v>
      </c>
      <c r="I697" s="358" t="n">
        <v>0</v>
      </c>
      <c r="J697" s="358" t="n">
        <v>0</v>
      </c>
      <c r="K697" s="372" t="n">
        <v>0</v>
      </c>
      <c r="L697" s="373" t="n">
        <v>0</v>
      </c>
      <c r="M697" s="358" t="n">
        <v>0</v>
      </c>
      <c r="N697" s="358" t="n">
        <v>0</v>
      </c>
      <c r="O697" s="372" t="n">
        <v>0</v>
      </c>
      <c r="P697" s="373" t="n">
        <v>0</v>
      </c>
      <c r="Q697" s="358" t="n">
        <v>0</v>
      </c>
      <c r="R697" s="358" t="n">
        <v>0</v>
      </c>
      <c r="S697" s="372" t="n">
        <v>0</v>
      </c>
      <c r="T697" s="373" t="n">
        <v>0</v>
      </c>
      <c r="U697" s="358" t="n">
        <v>0</v>
      </c>
      <c r="V697" s="358" t="n">
        <v>0</v>
      </c>
      <c r="W697" s="372" t="n">
        <v>0</v>
      </c>
      <c r="X697" s="373" t="n">
        <v>0</v>
      </c>
      <c r="Y697" s="358" t="n">
        <v>0</v>
      </c>
      <c r="Z697" s="358" t="n">
        <v>0</v>
      </c>
      <c r="AA697" s="358" t="n">
        <v>0</v>
      </c>
      <c r="AB697" s="373" t="n">
        <v>0</v>
      </c>
      <c r="AC697" s="358" t="n">
        <v>0</v>
      </c>
      <c r="AD697" s="358" t="n">
        <v>0</v>
      </c>
      <c r="AE697" s="358" t="n">
        <v>0</v>
      </c>
      <c r="AF697" s="365" t="n">
        <v>1</v>
      </c>
    </row>
    <row r="698" customFormat="false" ht="15" hidden="true" customHeight="false" outlineLevel="0" collapsed="false">
      <c r="B698" s="360" t="s">
        <v>3171</v>
      </c>
      <c r="C698" s="365" t="n">
        <v>0</v>
      </c>
      <c r="D698" s="358" t="n">
        <v>1</v>
      </c>
      <c r="E698" s="358" t="n">
        <v>0</v>
      </c>
      <c r="F698" s="358" t="n">
        <v>0</v>
      </c>
      <c r="G698" s="372" t="n">
        <v>0</v>
      </c>
      <c r="H698" s="373" t="n">
        <v>0</v>
      </c>
      <c r="I698" s="358" t="n">
        <v>0</v>
      </c>
      <c r="J698" s="358" t="n">
        <v>0</v>
      </c>
      <c r="K698" s="372" t="n">
        <v>0</v>
      </c>
      <c r="L698" s="373" t="n">
        <v>0</v>
      </c>
      <c r="M698" s="358" t="n">
        <v>0</v>
      </c>
      <c r="N698" s="358" t="n">
        <v>0</v>
      </c>
      <c r="O698" s="372" t="n">
        <v>0</v>
      </c>
      <c r="P698" s="373" t="n">
        <v>0</v>
      </c>
      <c r="Q698" s="358" t="n">
        <v>0</v>
      </c>
      <c r="R698" s="358" t="n">
        <v>0</v>
      </c>
      <c r="S698" s="372" t="n">
        <v>0</v>
      </c>
      <c r="T698" s="373" t="n">
        <v>0</v>
      </c>
      <c r="U698" s="358" t="n">
        <v>0</v>
      </c>
      <c r="V698" s="358" t="n">
        <v>0</v>
      </c>
      <c r="W698" s="372" t="n">
        <v>0</v>
      </c>
      <c r="X698" s="373" t="n">
        <v>0</v>
      </c>
      <c r="Y698" s="358" t="n">
        <v>0</v>
      </c>
      <c r="Z698" s="358" t="n">
        <v>0</v>
      </c>
      <c r="AA698" s="358" t="n">
        <v>0</v>
      </c>
      <c r="AB698" s="373" t="n">
        <v>1</v>
      </c>
      <c r="AC698" s="358" t="n">
        <v>0</v>
      </c>
      <c r="AD698" s="358" t="n">
        <v>0</v>
      </c>
      <c r="AE698" s="358" t="n">
        <v>0</v>
      </c>
      <c r="AF698" s="365" t="n">
        <v>1</v>
      </c>
    </row>
    <row r="699" customFormat="false" ht="15" hidden="true" customHeight="false" outlineLevel="0" collapsed="false">
      <c r="B699" s="360" t="s">
        <v>3172</v>
      </c>
      <c r="C699" s="365" t="n">
        <v>1</v>
      </c>
      <c r="D699" s="358" t="n">
        <v>0</v>
      </c>
      <c r="E699" s="358" t="n">
        <v>0</v>
      </c>
      <c r="F699" s="358" t="n">
        <v>0</v>
      </c>
      <c r="G699" s="372" t="n">
        <v>0</v>
      </c>
      <c r="H699" s="373" t="n">
        <v>0</v>
      </c>
      <c r="I699" s="358" t="n">
        <v>0</v>
      </c>
      <c r="J699" s="358" t="n">
        <v>0</v>
      </c>
      <c r="K699" s="372" t="n">
        <v>0</v>
      </c>
      <c r="L699" s="373" t="n">
        <v>0</v>
      </c>
      <c r="M699" s="358" t="n">
        <v>0</v>
      </c>
      <c r="N699" s="358" t="n">
        <v>0</v>
      </c>
      <c r="O699" s="372" t="n">
        <v>0</v>
      </c>
      <c r="P699" s="373" t="n">
        <v>0</v>
      </c>
      <c r="Q699" s="358" t="n">
        <v>0</v>
      </c>
      <c r="R699" s="358" t="n">
        <v>0</v>
      </c>
      <c r="S699" s="372" t="n">
        <v>0</v>
      </c>
      <c r="T699" s="373" t="n">
        <v>0</v>
      </c>
      <c r="U699" s="358" t="n">
        <v>0</v>
      </c>
      <c r="V699" s="358" t="n">
        <v>0</v>
      </c>
      <c r="W699" s="372" t="n">
        <v>0</v>
      </c>
      <c r="X699" s="373" t="n">
        <v>0</v>
      </c>
      <c r="Y699" s="358" t="n">
        <v>0</v>
      </c>
      <c r="Z699" s="358" t="n">
        <v>0</v>
      </c>
      <c r="AA699" s="358" t="n">
        <v>0</v>
      </c>
      <c r="AB699" s="373" t="n">
        <v>0</v>
      </c>
      <c r="AC699" s="358" t="n">
        <v>0</v>
      </c>
      <c r="AD699" s="358" t="n">
        <v>0</v>
      </c>
      <c r="AE699" s="358" t="n">
        <v>0</v>
      </c>
      <c r="AF699" s="365" t="n">
        <v>1</v>
      </c>
    </row>
    <row r="700" customFormat="false" ht="15" hidden="true" customHeight="false" outlineLevel="0" collapsed="false">
      <c r="B700" s="360" t="s">
        <v>3173</v>
      </c>
      <c r="C700" s="365" t="n">
        <v>1</v>
      </c>
      <c r="D700" s="358" t="n">
        <v>0</v>
      </c>
      <c r="E700" s="358" t="n">
        <v>0</v>
      </c>
      <c r="F700" s="358" t="n">
        <v>0</v>
      </c>
      <c r="G700" s="372" t="n">
        <v>0</v>
      </c>
      <c r="H700" s="373" t="n">
        <v>0</v>
      </c>
      <c r="I700" s="358" t="n">
        <v>0</v>
      </c>
      <c r="J700" s="358" t="n">
        <v>0</v>
      </c>
      <c r="K700" s="372" t="n">
        <v>0</v>
      </c>
      <c r="L700" s="373" t="n">
        <v>0</v>
      </c>
      <c r="M700" s="358" t="n">
        <v>0</v>
      </c>
      <c r="N700" s="358" t="n">
        <v>0</v>
      </c>
      <c r="O700" s="372" t="n">
        <v>0</v>
      </c>
      <c r="P700" s="373" t="n">
        <v>0</v>
      </c>
      <c r="Q700" s="358" t="n">
        <v>0</v>
      </c>
      <c r="R700" s="358" t="n">
        <v>0</v>
      </c>
      <c r="S700" s="372" t="n">
        <v>0</v>
      </c>
      <c r="T700" s="373" t="n">
        <v>0</v>
      </c>
      <c r="U700" s="358" t="n">
        <v>0</v>
      </c>
      <c r="V700" s="358" t="n">
        <v>0</v>
      </c>
      <c r="W700" s="372" t="n">
        <v>0</v>
      </c>
      <c r="X700" s="373" t="n">
        <v>0</v>
      </c>
      <c r="Y700" s="358" t="n">
        <v>0</v>
      </c>
      <c r="Z700" s="358" t="n">
        <v>0</v>
      </c>
      <c r="AA700" s="358" t="n">
        <v>0</v>
      </c>
      <c r="AB700" s="373" t="n">
        <v>0</v>
      </c>
      <c r="AC700" s="358" t="n">
        <v>0</v>
      </c>
      <c r="AD700" s="358" t="n">
        <v>0</v>
      </c>
      <c r="AE700" s="358" t="n">
        <v>0</v>
      </c>
      <c r="AF700" s="365" t="n">
        <v>1</v>
      </c>
    </row>
    <row r="701" customFormat="false" ht="15" hidden="true" customHeight="false" outlineLevel="0" collapsed="false">
      <c r="B701" s="360" t="s">
        <v>3174</v>
      </c>
      <c r="C701" s="365" t="n">
        <v>1</v>
      </c>
      <c r="D701" s="358" t="n">
        <v>0</v>
      </c>
      <c r="E701" s="358" t="n">
        <v>0</v>
      </c>
      <c r="F701" s="358" t="n">
        <v>0</v>
      </c>
      <c r="G701" s="372" t="n">
        <v>0</v>
      </c>
      <c r="H701" s="373" t="n">
        <v>0</v>
      </c>
      <c r="I701" s="358" t="n">
        <v>0</v>
      </c>
      <c r="J701" s="358" t="n">
        <v>0</v>
      </c>
      <c r="K701" s="372" t="n">
        <v>0</v>
      </c>
      <c r="L701" s="373" t="n">
        <v>0</v>
      </c>
      <c r="M701" s="358" t="n">
        <v>0</v>
      </c>
      <c r="N701" s="358" t="n">
        <v>0</v>
      </c>
      <c r="O701" s="372" t="n">
        <v>0</v>
      </c>
      <c r="P701" s="373" t="n">
        <v>0</v>
      </c>
      <c r="Q701" s="358" t="n">
        <v>0</v>
      </c>
      <c r="R701" s="358" t="n">
        <v>0</v>
      </c>
      <c r="S701" s="372" t="n">
        <v>0</v>
      </c>
      <c r="T701" s="373" t="n">
        <v>0</v>
      </c>
      <c r="U701" s="358" t="n">
        <v>0</v>
      </c>
      <c r="V701" s="358" t="n">
        <v>0</v>
      </c>
      <c r="W701" s="372" t="n">
        <v>0</v>
      </c>
      <c r="X701" s="373" t="n">
        <v>0</v>
      </c>
      <c r="Y701" s="358" t="n">
        <v>0</v>
      </c>
      <c r="Z701" s="358" t="n">
        <v>0</v>
      </c>
      <c r="AA701" s="358" t="n">
        <v>0</v>
      </c>
      <c r="AB701" s="373" t="n">
        <v>0</v>
      </c>
      <c r="AC701" s="358" t="n">
        <v>0</v>
      </c>
      <c r="AD701" s="358" t="n">
        <v>0</v>
      </c>
      <c r="AE701" s="358" t="n">
        <v>0</v>
      </c>
      <c r="AF701" s="365" t="n">
        <v>1</v>
      </c>
    </row>
    <row r="702" customFormat="false" ht="15" hidden="true" customHeight="false" outlineLevel="0" collapsed="false">
      <c r="B702" s="360" t="s">
        <v>3175</v>
      </c>
      <c r="C702" s="365" t="n">
        <v>1</v>
      </c>
      <c r="D702" s="358" t="n">
        <v>0</v>
      </c>
      <c r="E702" s="358" t="n">
        <v>0</v>
      </c>
      <c r="F702" s="358" t="n">
        <v>0</v>
      </c>
      <c r="G702" s="372" t="n">
        <v>0</v>
      </c>
      <c r="H702" s="373" t="n">
        <v>0</v>
      </c>
      <c r="I702" s="358" t="n">
        <v>0</v>
      </c>
      <c r="J702" s="358" t="n">
        <v>0</v>
      </c>
      <c r="K702" s="372" t="n">
        <v>0</v>
      </c>
      <c r="L702" s="373" t="n">
        <v>0</v>
      </c>
      <c r="M702" s="358" t="n">
        <v>0</v>
      </c>
      <c r="N702" s="358" t="n">
        <v>0</v>
      </c>
      <c r="O702" s="372" t="n">
        <v>0</v>
      </c>
      <c r="P702" s="373" t="n">
        <v>0</v>
      </c>
      <c r="Q702" s="358" t="n">
        <v>0</v>
      </c>
      <c r="R702" s="358" t="n">
        <v>0</v>
      </c>
      <c r="S702" s="372" t="n">
        <v>0</v>
      </c>
      <c r="T702" s="373" t="n">
        <v>0</v>
      </c>
      <c r="U702" s="358" t="n">
        <v>0</v>
      </c>
      <c r="V702" s="358" t="n">
        <v>0</v>
      </c>
      <c r="W702" s="372" t="n">
        <v>0</v>
      </c>
      <c r="X702" s="373" t="n">
        <v>0</v>
      </c>
      <c r="Y702" s="358" t="n">
        <v>0</v>
      </c>
      <c r="Z702" s="358" t="n">
        <v>0</v>
      </c>
      <c r="AA702" s="358" t="n">
        <v>0</v>
      </c>
      <c r="AB702" s="373" t="n">
        <v>0</v>
      </c>
      <c r="AC702" s="358" t="n">
        <v>0</v>
      </c>
      <c r="AD702" s="358" t="n">
        <v>0</v>
      </c>
      <c r="AE702" s="358" t="n">
        <v>0</v>
      </c>
      <c r="AF702" s="365" t="n">
        <v>1</v>
      </c>
    </row>
    <row r="703" customFormat="false" ht="15" hidden="true" customHeight="false" outlineLevel="0" collapsed="false">
      <c r="B703" s="360" t="s">
        <v>3176</v>
      </c>
      <c r="C703" s="365" t="n">
        <v>1</v>
      </c>
      <c r="D703" s="358" t="n">
        <v>0</v>
      </c>
      <c r="E703" s="358" t="n">
        <v>0</v>
      </c>
      <c r="F703" s="358" t="n">
        <v>0</v>
      </c>
      <c r="G703" s="372" t="n">
        <v>0</v>
      </c>
      <c r="H703" s="373" t="n">
        <v>0</v>
      </c>
      <c r="I703" s="358" t="n">
        <v>0</v>
      </c>
      <c r="J703" s="358" t="n">
        <v>0</v>
      </c>
      <c r="K703" s="372" t="n">
        <v>0</v>
      </c>
      <c r="L703" s="373" t="n">
        <v>0</v>
      </c>
      <c r="M703" s="358" t="n">
        <v>0</v>
      </c>
      <c r="N703" s="358" t="n">
        <v>0</v>
      </c>
      <c r="O703" s="372" t="n">
        <v>0</v>
      </c>
      <c r="P703" s="373" t="n">
        <v>0</v>
      </c>
      <c r="Q703" s="358" t="n">
        <v>0</v>
      </c>
      <c r="R703" s="358" t="n">
        <v>0</v>
      </c>
      <c r="S703" s="372" t="n">
        <v>0</v>
      </c>
      <c r="T703" s="373" t="n">
        <v>0</v>
      </c>
      <c r="U703" s="358" t="n">
        <v>0</v>
      </c>
      <c r="V703" s="358" t="n">
        <v>0</v>
      </c>
      <c r="W703" s="372" t="n">
        <v>0</v>
      </c>
      <c r="X703" s="373" t="n">
        <v>0</v>
      </c>
      <c r="Y703" s="358" t="n">
        <v>0</v>
      </c>
      <c r="Z703" s="358" t="n">
        <v>0</v>
      </c>
      <c r="AA703" s="358" t="n">
        <v>0</v>
      </c>
      <c r="AB703" s="373" t="n">
        <v>0</v>
      </c>
      <c r="AC703" s="358" t="n">
        <v>0</v>
      </c>
      <c r="AD703" s="358" t="n">
        <v>0</v>
      </c>
      <c r="AE703" s="358" t="n">
        <v>0</v>
      </c>
      <c r="AF703" s="365" t="n">
        <v>1</v>
      </c>
    </row>
    <row r="704" customFormat="false" ht="15" hidden="true" customHeight="false" outlineLevel="0" collapsed="false">
      <c r="B704" s="360" t="s">
        <v>3177</v>
      </c>
      <c r="C704" s="365" t="n">
        <v>1</v>
      </c>
      <c r="D704" s="358" t="n">
        <v>0</v>
      </c>
      <c r="E704" s="358" t="n">
        <v>0</v>
      </c>
      <c r="F704" s="358" t="n">
        <v>0</v>
      </c>
      <c r="G704" s="372" t="n">
        <v>0</v>
      </c>
      <c r="H704" s="373" t="n">
        <v>0</v>
      </c>
      <c r="I704" s="358" t="n">
        <v>0</v>
      </c>
      <c r="J704" s="358" t="n">
        <v>0</v>
      </c>
      <c r="K704" s="372" t="n">
        <v>0</v>
      </c>
      <c r="L704" s="373" t="n">
        <v>0</v>
      </c>
      <c r="M704" s="358" t="n">
        <v>0</v>
      </c>
      <c r="N704" s="358" t="n">
        <v>0</v>
      </c>
      <c r="O704" s="372" t="n">
        <v>0</v>
      </c>
      <c r="P704" s="373" t="n">
        <v>0</v>
      </c>
      <c r="Q704" s="358" t="n">
        <v>0</v>
      </c>
      <c r="R704" s="358" t="n">
        <v>0</v>
      </c>
      <c r="S704" s="372" t="n">
        <v>0</v>
      </c>
      <c r="T704" s="373" t="n">
        <v>0</v>
      </c>
      <c r="U704" s="358" t="n">
        <v>0</v>
      </c>
      <c r="V704" s="358" t="n">
        <v>0</v>
      </c>
      <c r="W704" s="372" t="n">
        <v>0</v>
      </c>
      <c r="X704" s="373" t="n">
        <v>0</v>
      </c>
      <c r="Y704" s="358" t="n">
        <v>0</v>
      </c>
      <c r="Z704" s="358" t="n">
        <v>0</v>
      </c>
      <c r="AA704" s="358" t="n">
        <v>0</v>
      </c>
      <c r="AB704" s="373" t="n">
        <v>0</v>
      </c>
      <c r="AC704" s="358" t="n">
        <v>0</v>
      </c>
      <c r="AD704" s="358" t="n">
        <v>0</v>
      </c>
      <c r="AE704" s="358" t="n">
        <v>0</v>
      </c>
      <c r="AF704" s="365" t="n">
        <v>1</v>
      </c>
    </row>
    <row r="705" customFormat="false" ht="15" hidden="true" customHeight="false" outlineLevel="0" collapsed="false">
      <c r="B705" s="360" t="s">
        <v>3178</v>
      </c>
      <c r="C705" s="365" t="n">
        <v>1</v>
      </c>
      <c r="D705" s="358" t="n">
        <v>0</v>
      </c>
      <c r="E705" s="358" t="n">
        <v>0</v>
      </c>
      <c r="F705" s="358" t="n">
        <v>0</v>
      </c>
      <c r="G705" s="372" t="n">
        <v>0</v>
      </c>
      <c r="H705" s="373" t="n">
        <v>0</v>
      </c>
      <c r="I705" s="358" t="n">
        <v>0</v>
      </c>
      <c r="J705" s="358" t="n">
        <v>0</v>
      </c>
      <c r="K705" s="372" t="n">
        <v>0</v>
      </c>
      <c r="L705" s="373" t="n">
        <v>0</v>
      </c>
      <c r="M705" s="358" t="n">
        <v>0</v>
      </c>
      <c r="N705" s="358" t="n">
        <v>0</v>
      </c>
      <c r="O705" s="372" t="n">
        <v>0</v>
      </c>
      <c r="P705" s="373" t="n">
        <v>0</v>
      </c>
      <c r="Q705" s="358" t="n">
        <v>0</v>
      </c>
      <c r="R705" s="358" t="n">
        <v>0</v>
      </c>
      <c r="S705" s="372" t="n">
        <v>0</v>
      </c>
      <c r="T705" s="373" t="n">
        <v>0</v>
      </c>
      <c r="U705" s="358" t="n">
        <v>0</v>
      </c>
      <c r="V705" s="358" t="n">
        <v>0</v>
      </c>
      <c r="W705" s="372" t="n">
        <v>0</v>
      </c>
      <c r="X705" s="373" t="n">
        <v>0</v>
      </c>
      <c r="Y705" s="358" t="n">
        <v>0</v>
      </c>
      <c r="Z705" s="358" t="n">
        <v>0</v>
      </c>
      <c r="AA705" s="358" t="n">
        <v>0</v>
      </c>
      <c r="AB705" s="373" t="n">
        <v>0</v>
      </c>
      <c r="AC705" s="358" t="n">
        <v>0</v>
      </c>
      <c r="AD705" s="358" t="n">
        <v>0</v>
      </c>
      <c r="AE705" s="358" t="n">
        <v>0</v>
      </c>
      <c r="AF705" s="365" t="n">
        <v>1</v>
      </c>
    </row>
    <row r="706" customFormat="false" ht="15" hidden="true" customHeight="false" outlineLevel="0" collapsed="false">
      <c r="B706" s="360" t="s">
        <v>3179</v>
      </c>
      <c r="C706" s="365" t="n">
        <v>1</v>
      </c>
      <c r="D706" s="358" t="n">
        <v>0</v>
      </c>
      <c r="E706" s="358" t="n">
        <v>0</v>
      </c>
      <c r="F706" s="358" t="n">
        <v>0</v>
      </c>
      <c r="G706" s="372" t="n">
        <v>0</v>
      </c>
      <c r="H706" s="373" t="n">
        <v>0</v>
      </c>
      <c r="I706" s="358" t="n">
        <v>0</v>
      </c>
      <c r="J706" s="358" t="n">
        <v>0</v>
      </c>
      <c r="K706" s="372" t="n">
        <v>0</v>
      </c>
      <c r="L706" s="373" t="n">
        <v>0</v>
      </c>
      <c r="M706" s="358" t="n">
        <v>0</v>
      </c>
      <c r="N706" s="358" t="n">
        <v>0</v>
      </c>
      <c r="O706" s="372" t="n">
        <v>0</v>
      </c>
      <c r="P706" s="373" t="n">
        <v>0</v>
      </c>
      <c r="Q706" s="358" t="n">
        <v>0</v>
      </c>
      <c r="R706" s="358" t="n">
        <v>0</v>
      </c>
      <c r="S706" s="372" t="n">
        <v>0</v>
      </c>
      <c r="T706" s="373" t="n">
        <v>0</v>
      </c>
      <c r="U706" s="358" t="n">
        <v>0</v>
      </c>
      <c r="V706" s="358" t="n">
        <v>0</v>
      </c>
      <c r="W706" s="372" t="n">
        <v>0</v>
      </c>
      <c r="X706" s="373" t="n">
        <v>0</v>
      </c>
      <c r="Y706" s="358" t="n">
        <v>0</v>
      </c>
      <c r="Z706" s="358" t="n">
        <v>0</v>
      </c>
      <c r="AA706" s="358" t="n">
        <v>0</v>
      </c>
      <c r="AB706" s="373" t="n">
        <v>0</v>
      </c>
      <c r="AC706" s="358" t="n">
        <v>0</v>
      </c>
      <c r="AD706" s="358" t="n">
        <v>0</v>
      </c>
      <c r="AE706" s="358" t="n">
        <v>0</v>
      </c>
      <c r="AF706" s="365" t="n">
        <v>1</v>
      </c>
    </row>
    <row r="707" customFormat="false" ht="15" hidden="true" customHeight="false" outlineLevel="0" collapsed="false">
      <c r="B707" s="360" t="s">
        <v>3180</v>
      </c>
      <c r="C707" s="365" t="n">
        <v>1</v>
      </c>
      <c r="D707" s="358" t="n">
        <v>0</v>
      </c>
      <c r="E707" s="358" t="n">
        <v>0</v>
      </c>
      <c r="F707" s="358" t="n">
        <v>0</v>
      </c>
      <c r="G707" s="372" t="n">
        <v>0</v>
      </c>
      <c r="H707" s="373" t="n">
        <v>0</v>
      </c>
      <c r="I707" s="358" t="n">
        <v>0</v>
      </c>
      <c r="J707" s="358" t="n">
        <v>0</v>
      </c>
      <c r="K707" s="372" t="n">
        <v>0</v>
      </c>
      <c r="L707" s="373" t="n">
        <v>0</v>
      </c>
      <c r="M707" s="358" t="n">
        <v>0</v>
      </c>
      <c r="N707" s="358" t="n">
        <v>0</v>
      </c>
      <c r="O707" s="372" t="n">
        <v>0</v>
      </c>
      <c r="P707" s="373" t="n">
        <v>0</v>
      </c>
      <c r="Q707" s="358" t="n">
        <v>0</v>
      </c>
      <c r="R707" s="358" t="n">
        <v>0</v>
      </c>
      <c r="S707" s="372" t="n">
        <v>0</v>
      </c>
      <c r="T707" s="373" t="n">
        <v>0</v>
      </c>
      <c r="U707" s="358" t="n">
        <v>0</v>
      </c>
      <c r="V707" s="358" t="n">
        <v>0</v>
      </c>
      <c r="W707" s="372" t="n">
        <v>0</v>
      </c>
      <c r="X707" s="373" t="n">
        <v>0</v>
      </c>
      <c r="Y707" s="358" t="n">
        <v>0</v>
      </c>
      <c r="Z707" s="358" t="n">
        <v>0</v>
      </c>
      <c r="AA707" s="358" t="n">
        <v>0</v>
      </c>
      <c r="AB707" s="373" t="n">
        <v>0</v>
      </c>
      <c r="AC707" s="358" t="n">
        <v>0</v>
      </c>
      <c r="AD707" s="358" t="n">
        <v>0</v>
      </c>
      <c r="AE707" s="358" t="n">
        <v>0</v>
      </c>
      <c r="AF707" s="365" t="n">
        <v>1</v>
      </c>
    </row>
    <row r="708" customFormat="false" ht="15" hidden="true" customHeight="false" outlineLevel="0" collapsed="false">
      <c r="B708" s="360" t="s">
        <v>3181</v>
      </c>
      <c r="C708" s="365" t="n">
        <v>1</v>
      </c>
      <c r="D708" s="358" t="n">
        <v>0</v>
      </c>
      <c r="E708" s="358" t="n">
        <v>0</v>
      </c>
      <c r="F708" s="358" t="n">
        <v>0</v>
      </c>
      <c r="G708" s="372" t="n">
        <v>0</v>
      </c>
      <c r="H708" s="373" t="n">
        <v>0</v>
      </c>
      <c r="I708" s="358" t="n">
        <v>0</v>
      </c>
      <c r="J708" s="358" t="n">
        <v>0</v>
      </c>
      <c r="K708" s="372" t="n">
        <v>0</v>
      </c>
      <c r="L708" s="373" t="n">
        <v>0</v>
      </c>
      <c r="M708" s="358" t="n">
        <v>0</v>
      </c>
      <c r="N708" s="358" t="n">
        <v>0</v>
      </c>
      <c r="O708" s="372" t="n">
        <v>0</v>
      </c>
      <c r="P708" s="373" t="n">
        <v>0</v>
      </c>
      <c r="Q708" s="358" t="n">
        <v>0</v>
      </c>
      <c r="R708" s="358" t="n">
        <v>0</v>
      </c>
      <c r="S708" s="372" t="n">
        <v>0</v>
      </c>
      <c r="T708" s="373" t="n">
        <v>0</v>
      </c>
      <c r="U708" s="358" t="n">
        <v>0</v>
      </c>
      <c r="V708" s="358" t="n">
        <v>0</v>
      </c>
      <c r="W708" s="372" t="n">
        <v>0</v>
      </c>
      <c r="X708" s="373" t="n">
        <v>0</v>
      </c>
      <c r="Y708" s="358" t="n">
        <v>0</v>
      </c>
      <c r="Z708" s="358" t="n">
        <v>0</v>
      </c>
      <c r="AA708" s="358" t="n">
        <v>0</v>
      </c>
      <c r="AB708" s="373" t="n">
        <v>0</v>
      </c>
      <c r="AC708" s="358" t="n">
        <v>0</v>
      </c>
      <c r="AD708" s="358" t="n">
        <v>0</v>
      </c>
      <c r="AE708" s="358" t="n">
        <v>0</v>
      </c>
      <c r="AF708" s="365" t="n">
        <v>1</v>
      </c>
    </row>
    <row r="709" customFormat="false" ht="15" hidden="true" customHeight="false" outlineLevel="0" collapsed="false">
      <c r="B709" s="360" t="s">
        <v>3182</v>
      </c>
      <c r="C709" s="365" t="n">
        <v>1</v>
      </c>
      <c r="D709" s="358" t="n">
        <v>0</v>
      </c>
      <c r="E709" s="358" t="n">
        <v>0</v>
      </c>
      <c r="F709" s="358" t="n">
        <v>0</v>
      </c>
      <c r="G709" s="372" t="n">
        <v>0</v>
      </c>
      <c r="H709" s="373" t="n">
        <v>0</v>
      </c>
      <c r="I709" s="358" t="n">
        <v>0</v>
      </c>
      <c r="J709" s="358" t="n">
        <v>0</v>
      </c>
      <c r="K709" s="372" t="n">
        <v>0</v>
      </c>
      <c r="L709" s="373" t="n">
        <v>0</v>
      </c>
      <c r="M709" s="358" t="n">
        <v>0</v>
      </c>
      <c r="N709" s="358" t="n">
        <v>0</v>
      </c>
      <c r="O709" s="372" t="n">
        <v>0</v>
      </c>
      <c r="P709" s="373" t="n">
        <v>0</v>
      </c>
      <c r="Q709" s="358" t="n">
        <v>0</v>
      </c>
      <c r="R709" s="358" t="n">
        <v>0</v>
      </c>
      <c r="S709" s="372" t="n">
        <v>0</v>
      </c>
      <c r="T709" s="373" t="n">
        <v>0</v>
      </c>
      <c r="U709" s="358" t="n">
        <v>0</v>
      </c>
      <c r="V709" s="358" t="n">
        <v>0</v>
      </c>
      <c r="W709" s="372" t="n">
        <v>0</v>
      </c>
      <c r="X709" s="373" t="n">
        <v>0</v>
      </c>
      <c r="Y709" s="358" t="n">
        <v>0</v>
      </c>
      <c r="Z709" s="358" t="n">
        <v>0</v>
      </c>
      <c r="AA709" s="358" t="n">
        <v>0</v>
      </c>
      <c r="AB709" s="373" t="n">
        <v>0</v>
      </c>
      <c r="AC709" s="358" t="n">
        <v>0</v>
      </c>
      <c r="AD709" s="358" t="n">
        <v>0</v>
      </c>
      <c r="AE709" s="358" t="n">
        <v>0</v>
      </c>
      <c r="AF709" s="365" t="n">
        <v>1</v>
      </c>
    </row>
    <row r="710" customFormat="false" ht="15" hidden="true" customHeight="false" outlineLevel="0" collapsed="false">
      <c r="B710" s="360" t="s">
        <v>3183</v>
      </c>
      <c r="C710" s="365" t="n">
        <v>1</v>
      </c>
      <c r="D710" s="358" t="n">
        <v>0</v>
      </c>
      <c r="E710" s="358" t="n">
        <v>0</v>
      </c>
      <c r="F710" s="358" t="n">
        <v>0</v>
      </c>
      <c r="G710" s="372" t="n">
        <v>0</v>
      </c>
      <c r="H710" s="373" t="n">
        <v>0</v>
      </c>
      <c r="I710" s="358" t="n">
        <v>0</v>
      </c>
      <c r="J710" s="358" t="n">
        <v>0</v>
      </c>
      <c r="K710" s="372" t="n">
        <v>0</v>
      </c>
      <c r="L710" s="373" t="n">
        <v>0</v>
      </c>
      <c r="M710" s="358" t="n">
        <v>0</v>
      </c>
      <c r="N710" s="358" t="n">
        <v>0</v>
      </c>
      <c r="O710" s="372" t="n">
        <v>0</v>
      </c>
      <c r="P710" s="373" t="n">
        <v>0</v>
      </c>
      <c r="Q710" s="358" t="n">
        <v>0</v>
      </c>
      <c r="R710" s="358" t="n">
        <v>0</v>
      </c>
      <c r="S710" s="372" t="n">
        <v>0</v>
      </c>
      <c r="T710" s="373" t="n">
        <v>0</v>
      </c>
      <c r="U710" s="358" t="n">
        <v>0</v>
      </c>
      <c r="V710" s="358" t="n">
        <v>0</v>
      </c>
      <c r="W710" s="372" t="n">
        <v>0</v>
      </c>
      <c r="X710" s="373" t="n">
        <v>0</v>
      </c>
      <c r="Y710" s="358" t="n">
        <v>0</v>
      </c>
      <c r="Z710" s="358" t="n">
        <v>0</v>
      </c>
      <c r="AA710" s="358" t="n">
        <v>0</v>
      </c>
      <c r="AB710" s="373" t="n">
        <v>0</v>
      </c>
      <c r="AC710" s="358" t="n">
        <v>0</v>
      </c>
      <c r="AD710" s="358" t="n">
        <v>0</v>
      </c>
      <c r="AE710" s="358" t="n">
        <v>0</v>
      </c>
      <c r="AF710" s="365" t="n">
        <v>1</v>
      </c>
    </row>
    <row r="711" customFormat="false" ht="15" hidden="true" customHeight="false" outlineLevel="0" collapsed="false">
      <c r="B711" s="360" t="s">
        <v>3184</v>
      </c>
      <c r="C711" s="365" t="n">
        <v>1</v>
      </c>
      <c r="D711" s="358" t="n">
        <v>0</v>
      </c>
      <c r="E711" s="358" t="n">
        <v>0</v>
      </c>
      <c r="F711" s="358" t="n">
        <v>0</v>
      </c>
      <c r="G711" s="372" t="n">
        <v>0</v>
      </c>
      <c r="H711" s="373" t="n">
        <v>0</v>
      </c>
      <c r="I711" s="358" t="n">
        <v>0</v>
      </c>
      <c r="J711" s="358" t="n">
        <v>0</v>
      </c>
      <c r="K711" s="372" t="n">
        <v>0</v>
      </c>
      <c r="L711" s="373" t="n">
        <v>0</v>
      </c>
      <c r="M711" s="358" t="n">
        <v>0</v>
      </c>
      <c r="N711" s="358" t="n">
        <v>0</v>
      </c>
      <c r="O711" s="372" t="n">
        <v>0</v>
      </c>
      <c r="P711" s="373" t="n">
        <v>0</v>
      </c>
      <c r="Q711" s="358" t="n">
        <v>0</v>
      </c>
      <c r="R711" s="358" t="n">
        <v>0</v>
      </c>
      <c r="S711" s="372" t="n">
        <v>0</v>
      </c>
      <c r="T711" s="373" t="n">
        <v>0</v>
      </c>
      <c r="U711" s="358" t="n">
        <v>0</v>
      </c>
      <c r="V711" s="358" t="n">
        <v>0</v>
      </c>
      <c r="W711" s="372" t="n">
        <v>0</v>
      </c>
      <c r="X711" s="373" t="n">
        <v>0</v>
      </c>
      <c r="Y711" s="358" t="n">
        <v>0</v>
      </c>
      <c r="Z711" s="358" t="n">
        <v>0</v>
      </c>
      <c r="AA711" s="358" t="n">
        <v>0</v>
      </c>
      <c r="AB711" s="373" t="n">
        <v>0</v>
      </c>
      <c r="AC711" s="358" t="n">
        <v>0</v>
      </c>
      <c r="AD711" s="358" t="n">
        <v>0</v>
      </c>
      <c r="AE711" s="358" t="n">
        <v>0</v>
      </c>
      <c r="AF711" s="365" t="n">
        <v>1</v>
      </c>
    </row>
    <row r="712" customFormat="false" ht="15" hidden="true" customHeight="false" outlineLevel="0" collapsed="false">
      <c r="B712" s="360" t="s">
        <v>3185</v>
      </c>
      <c r="C712" s="365" t="n">
        <v>1</v>
      </c>
      <c r="D712" s="358" t="n">
        <v>0</v>
      </c>
      <c r="E712" s="358" t="n">
        <v>0</v>
      </c>
      <c r="F712" s="358" t="n">
        <v>0</v>
      </c>
      <c r="G712" s="372" t="n">
        <v>0</v>
      </c>
      <c r="H712" s="373" t="n">
        <v>0</v>
      </c>
      <c r="I712" s="358" t="n">
        <v>0</v>
      </c>
      <c r="J712" s="358" t="n">
        <v>0</v>
      </c>
      <c r="K712" s="372" t="n">
        <v>0</v>
      </c>
      <c r="L712" s="373" t="n">
        <v>0</v>
      </c>
      <c r="M712" s="358" t="n">
        <v>0</v>
      </c>
      <c r="N712" s="358" t="n">
        <v>0</v>
      </c>
      <c r="O712" s="372" t="n">
        <v>0</v>
      </c>
      <c r="P712" s="373" t="n">
        <v>0</v>
      </c>
      <c r="Q712" s="358" t="n">
        <v>0</v>
      </c>
      <c r="R712" s="358" t="n">
        <v>0</v>
      </c>
      <c r="S712" s="372" t="n">
        <v>0</v>
      </c>
      <c r="T712" s="373" t="n">
        <v>0</v>
      </c>
      <c r="U712" s="358" t="n">
        <v>0</v>
      </c>
      <c r="V712" s="358" t="n">
        <v>0</v>
      </c>
      <c r="W712" s="372" t="n">
        <v>0</v>
      </c>
      <c r="X712" s="373" t="n">
        <v>0</v>
      </c>
      <c r="Y712" s="358" t="n">
        <v>0</v>
      </c>
      <c r="Z712" s="358" t="n">
        <v>0</v>
      </c>
      <c r="AA712" s="358" t="n">
        <v>0</v>
      </c>
      <c r="AB712" s="373" t="n">
        <v>0</v>
      </c>
      <c r="AC712" s="358" t="n">
        <v>0</v>
      </c>
      <c r="AD712" s="358" t="n">
        <v>0</v>
      </c>
      <c r="AE712" s="358" t="n">
        <v>0</v>
      </c>
      <c r="AF712" s="365" t="n">
        <v>1</v>
      </c>
    </row>
    <row r="713" customFormat="false" ht="15" hidden="true" customHeight="false" outlineLevel="0" collapsed="false">
      <c r="B713" s="360" t="s">
        <v>3186</v>
      </c>
      <c r="C713" s="365" t="n">
        <v>1</v>
      </c>
      <c r="D713" s="358" t="n">
        <v>0</v>
      </c>
      <c r="E713" s="358" t="n">
        <v>0</v>
      </c>
      <c r="F713" s="358" t="n">
        <v>0</v>
      </c>
      <c r="G713" s="372" t="n">
        <v>0</v>
      </c>
      <c r="H713" s="373" t="n">
        <v>0</v>
      </c>
      <c r="I713" s="358" t="n">
        <v>0</v>
      </c>
      <c r="J713" s="358" t="n">
        <v>0</v>
      </c>
      <c r="K713" s="372" t="n">
        <v>0</v>
      </c>
      <c r="L713" s="373" t="n">
        <v>0</v>
      </c>
      <c r="M713" s="358" t="n">
        <v>0</v>
      </c>
      <c r="N713" s="358" t="n">
        <v>0</v>
      </c>
      <c r="O713" s="372" t="n">
        <v>0</v>
      </c>
      <c r="P713" s="373" t="n">
        <v>0</v>
      </c>
      <c r="Q713" s="358" t="n">
        <v>0</v>
      </c>
      <c r="R713" s="358" t="n">
        <v>0</v>
      </c>
      <c r="S713" s="372" t="n">
        <v>0</v>
      </c>
      <c r="T713" s="373" t="n">
        <v>0</v>
      </c>
      <c r="U713" s="358" t="n">
        <v>0</v>
      </c>
      <c r="V713" s="358" t="n">
        <v>0</v>
      </c>
      <c r="W713" s="372" t="n">
        <v>0</v>
      </c>
      <c r="X713" s="373" t="n">
        <v>0</v>
      </c>
      <c r="Y713" s="358" t="n">
        <v>0</v>
      </c>
      <c r="Z713" s="358" t="n">
        <v>0</v>
      </c>
      <c r="AA713" s="358" t="n">
        <v>0</v>
      </c>
      <c r="AB713" s="373" t="n">
        <v>0</v>
      </c>
      <c r="AC713" s="358" t="n">
        <v>0</v>
      </c>
      <c r="AD713" s="358" t="n">
        <v>0</v>
      </c>
      <c r="AE713" s="358" t="n">
        <v>0</v>
      </c>
      <c r="AF713" s="365" t="n">
        <v>1</v>
      </c>
    </row>
    <row r="714" customFormat="false" ht="15" hidden="true" customHeight="false" outlineLevel="0" collapsed="false">
      <c r="B714" s="360" t="s">
        <v>3187</v>
      </c>
      <c r="C714" s="365" t="n">
        <v>1</v>
      </c>
      <c r="D714" s="358" t="n">
        <v>0</v>
      </c>
      <c r="E714" s="358" t="n">
        <v>0</v>
      </c>
      <c r="F714" s="358" t="n">
        <v>0</v>
      </c>
      <c r="G714" s="372" t="n">
        <v>0</v>
      </c>
      <c r="H714" s="373" t="n">
        <v>0</v>
      </c>
      <c r="I714" s="358" t="n">
        <v>0</v>
      </c>
      <c r="J714" s="358" t="n">
        <v>0</v>
      </c>
      <c r="K714" s="372" t="n">
        <v>0</v>
      </c>
      <c r="L714" s="373" t="n">
        <v>0</v>
      </c>
      <c r="M714" s="358" t="n">
        <v>0</v>
      </c>
      <c r="N714" s="358" t="n">
        <v>0</v>
      </c>
      <c r="O714" s="372" t="n">
        <v>0</v>
      </c>
      <c r="P714" s="373" t="n">
        <v>0</v>
      </c>
      <c r="Q714" s="358" t="n">
        <v>0</v>
      </c>
      <c r="R714" s="358" t="n">
        <v>0</v>
      </c>
      <c r="S714" s="372" t="n">
        <v>0</v>
      </c>
      <c r="T714" s="373" t="n">
        <v>0</v>
      </c>
      <c r="U714" s="358" t="n">
        <v>0</v>
      </c>
      <c r="V714" s="358" t="n">
        <v>0</v>
      </c>
      <c r="W714" s="372" t="n">
        <v>0</v>
      </c>
      <c r="X714" s="373" t="n">
        <v>0</v>
      </c>
      <c r="Y714" s="358" t="n">
        <v>0</v>
      </c>
      <c r="Z714" s="358" t="n">
        <v>0</v>
      </c>
      <c r="AA714" s="358" t="n">
        <v>0</v>
      </c>
      <c r="AB714" s="373" t="n">
        <v>0</v>
      </c>
      <c r="AC714" s="358" t="n">
        <v>0</v>
      </c>
      <c r="AD714" s="358" t="n">
        <v>0</v>
      </c>
      <c r="AE714" s="358" t="n">
        <v>0</v>
      </c>
      <c r="AF714" s="365" t="n">
        <v>1</v>
      </c>
    </row>
    <row r="715" customFormat="false" ht="15" hidden="true" customHeight="false" outlineLevel="0" collapsed="false">
      <c r="B715" s="360" t="s">
        <v>3188</v>
      </c>
      <c r="C715" s="365" t="n">
        <v>1</v>
      </c>
      <c r="D715" s="358" t="n">
        <v>0</v>
      </c>
      <c r="E715" s="358" t="n">
        <v>0</v>
      </c>
      <c r="F715" s="358" t="n">
        <v>0</v>
      </c>
      <c r="G715" s="372" t="n">
        <v>0</v>
      </c>
      <c r="H715" s="373" t="n">
        <v>0</v>
      </c>
      <c r="I715" s="358" t="n">
        <v>0</v>
      </c>
      <c r="J715" s="358" t="n">
        <v>0</v>
      </c>
      <c r="K715" s="372" t="n">
        <v>0</v>
      </c>
      <c r="L715" s="373" t="n">
        <v>0</v>
      </c>
      <c r="M715" s="358" t="n">
        <v>0</v>
      </c>
      <c r="N715" s="358" t="n">
        <v>0</v>
      </c>
      <c r="O715" s="372" t="n">
        <v>0</v>
      </c>
      <c r="P715" s="373" t="n">
        <v>0</v>
      </c>
      <c r="Q715" s="358" t="n">
        <v>0</v>
      </c>
      <c r="R715" s="358" t="n">
        <v>0</v>
      </c>
      <c r="S715" s="372" t="n">
        <v>0</v>
      </c>
      <c r="T715" s="373" t="n">
        <v>0</v>
      </c>
      <c r="U715" s="358" t="n">
        <v>0</v>
      </c>
      <c r="V715" s="358" t="n">
        <v>0</v>
      </c>
      <c r="W715" s="372" t="n">
        <v>0</v>
      </c>
      <c r="X715" s="373" t="n">
        <v>0</v>
      </c>
      <c r="Y715" s="358" t="n">
        <v>0</v>
      </c>
      <c r="Z715" s="358" t="n">
        <v>0</v>
      </c>
      <c r="AA715" s="358" t="n">
        <v>0</v>
      </c>
      <c r="AB715" s="373" t="n">
        <v>0</v>
      </c>
      <c r="AC715" s="358" t="n">
        <v>0</v>
      </c>
      <c r="AD715" s="358" t="n">
        <v>0</v>
      </c>
      <c r="AE715" s="358" t="n">
        <v>0</v>
      </c>
      <c r="AF715" s="365" t="n">
        <v>1</v>
      </c>
    </row>
    <row r="716" customFormat="false" ht="15" hidden="true" customHeight="false" outlineLevel="0" collapsed="false">
      <c r="B716" s="360" t="s">
        <v>3189</v>
      </c>
      <c r="C716" s="365" t="n">
        <v>1</v>
      </c>
      <c r="D716" s="358" t="n">
        <v>0</v>
      </c>
      <c r="E716" s="358" t="n">
        <v>0</v>
      </c>
      <c r="F716" s="358" t="n">
        <v>0</v>
      </c>
      <c r="G716" s="372" t="n">
        <v>0</v>
      </c>
      <c r="H716" s="373" t="n">
        <v>0</v>
      </c>
      <c r="I716" s="358" t="n">
        <v>0</v>
      </c>
      <c r="J716" s="358" t="n">
        <v>0</v>
      </c>
      <c r="K716" s="372" t="n">
        <v>0</v>
      </c>
      <c r="L716" s="373" t="n">
        <v>0</v>
      </c>
      <c r="M716" s="358" t="n">
        <v>0</v>
      </c>
      <c r="N716" s="358" t="n">
        <v>0</v>
      </c>
      <c r="O716" s="372" t="n">
        <v>0</v>
      </c>
      <c r="P716" s="373" t="n">
        <v>0</v>
      </c>
      <c r="Q716" s="358" t="n">
        <v>0</v>
      </c>
      <c r="R716" s="358" t="n">
        <v>0</v>
      </c>
      <c r="S716" s="372" t="n">
        <v>0</v>
      </c>
      <c r="T716" s="373" t="n">
        <v>0</v>
      </c>
      <c r="U716" s="358" t="n">
        <v>0</v>
      </c>
      <c r="V716" s="358" t="n">
        <v>0</v>
      </c>
      <c r="W716" s="372" t="n">
        <v>0</v>
      </c>
      <c r="X716" s="373" t="n">
        <v>0</v>
      </c>
      <c r="Y716" s="358" t="n">
        <v>0</v>
      </c>
      <c r="Z716" s="358" t="n">
        <v>0</v>
      </c>
      <c r="AA716" s="358" t="n">
        <v>0</v>
      </c>
      <c r="AB716" s="373" t="n">
        <v>0</v>
      </c>
      <c r="AC716" s="358" t="n">
        <v>0</v>
      </c>
      <c r="AD716" s="358" t="n">
        <v>0</v>
      </c>
      <c r="AE716" s="358" t="n">
        <v>0</v>
      </c>
      <c r="AF716" s="365" t="n">
        <v>1</v>
      </c>
    </row>
    <row r="717" customFormat="false" ht="15" hidden="true" customHeight="false" outlineLevel="0" collapsed="false">
      <c r="B717" s="360" t="s">
        <v>3190</v>
      </c>
      <c r="C717" s="365" t="n">
        <v>1</v>
      </c>
      <c r="D717" s="358" t="n">
        <v>0</v>
      </c>
      <c r="E717" s="358" t="n">
        <v>0</v>
      </c>
      <c r="F717" s="358" t="n">
        <v>0</v>
      </c>
      <c r="G717" s="372" t="n">
        <v>0</v>
      </c>
      <c r="H717" s="373" t="n">
        <v>0</v>
      </c>
      <c r="I717" s="358" t="n">
        <v>0</v>
      </c>
      <c r="J717" s="358" t="n">
        <v>0</v>
      </c>
      <c r="K717" s="372" t="n">
        <v>0</v>
      </c>
      <c r="L717" s="373" t="n">
        <v>0</v>
      </c>
      <c r="M717" s="358" t="n">
        <v>0</v>
      </c>
      <c r="N717" s="358" t="n">
        <v>0</v>
      </c>
      <c r="O717" s="372" t="n">
        <v>0</v>
      </c>
      <c r="P717" s="373" t="n">
        <v>0</v>
      </c>
      <c r="Q717" s="358" t="n">
        <v>0</v>
      </c>
      <c r="R717" s="358" t="n">
        <v>0</v>
      </c>
      <c r="S717" s="372" t="n">
        <v>0</v>
      </c>
      <c r="T717" s="373" t="n">
        <v>0</v>
      </c>
      <c r="U717" s="358" t="n">
        <v>0</v>
      </c>
      <c r="V717" s="358" t="n">
        <v>0</v>
      </c>
      <c r="W717" s="372" t="n">
        <v>0</v>
      </c>
      <c r="X717" s="373" t="n">
        <v>0</v>
      </c>
      <c r="Y717" s="358" t="n">
        <v>0</v>
      </c>
      <c r="Z717" s="358" t="n">
        <v>0</v>
      </c>
      <c r="AA717" s="358" t="n">
        <v>0</v>
      </c>
      <c r="AB717" s="373" t="n">
        <v>0</v>
      </c>
      <c r="AC717" s="358" t="n">
        <v>0</v>
      </c>
      <c r="AD717" s="358" t="n">
        <v>0</v>
      </c>
      <c r="AE717" s="358" t="n">
        <v>0</v>
      </c>
      <c r="AF717" s="365" t="n">
        <v>1</v>
      </c>
    </row>
    <row r="718" customFormat="false" ht="15" hidden="true" customHeight="false" outlineLevel="0" collapsed="false">
      <c r="B718" s="360" t="s">
        <v>3191</v>
      </c>
      <c r="C718" s="365" t="n">
        <v>1</v>
      </c>
      <c r="D718" s="358" t="n">
        <v>0</v>
      </c>
      <c r="E718" s="358" t="n">
        <v>0</v>
      </c>
      <c r="F718" s="358" t="n">
        <v>0</v>
      </c>
      <c r="G718" s="372" t="n">
        <v>0</v>
      </c>
      <c r="H718" s="373" t="n">
        <v>0</v>
      </c>
      <c r="I718" s="358" t="n">
        <v>0</v>
      </c>
      <c r="J718" s="358" t="n">
        <v>0</v>
      </c>
      <c r="K718" s="372" t="n">
        <v>0</v>
      </c>
      <c r="L718" s="373" t="n">
        <v>0</v>
      </c>
      <c r="M718" s="358" t="n">
        <v>0</v>
      </c>
      <c r="N718" s="358" t="n">
        <v>0</v>
      </c>
      <c r="O718" s="372" t="n">
        <v>0</v>
      </c>
      <c r="P718" s="373" t="n">
        <v>0</v>
      </c>
      <c r="Q718" s="358" t="n">
        <v>0</v>
      </c>
      <c r="R718" s="358" t="n">
        <v>0</v>
      </c>
      <c r="S718" s="372" t="n">
        <v>0</v>
      </c>
      <c r="T718" s="373" t="n">
        <v>0</v>
      </c>
      <c r="U718" s="358" t="n">
        <v>0</v>
      </c>
      <c r="V718" s="358" t="n">
        <v>0</v>
      </c>
      <c r="W718" s="372" t="n">
        <v>0</v>
      </c>
      <c r="X718" s="373" t="n">
        <v>0</v>
      </c>
      <c r="Y718" s="358" t="n">
        <v>0</v>
      </c>
      <c r="Z718" s="358" t="n">
        <v>0</v>
      </c>
      <c r="AA718" s="358" t="n">
        <v>0</v>
      </c>
      <c r="AB718" s="373" t="n">
        <v>0</v>
      </c>
      <c r="AC718" s="358" t="n">
        <v>0</v>
      </c>
      <c r="AD718" s="358" t="n">
        <v>0</v>
      </c>
      <c r="AE718" s="358" t="n">
        <v>0</v>
      </c>
      <c r="AF718" s="365" t="n">
        <v>1</v>
      </c>
    </row>
    <row r="719" customFormat="false" ht="15" hidden="true" customHeight="false" outlineLevel="0" collapsed="false">
      <c r="B719" s="360" t="s">
        <v>3192</v>
      </c>
      <c r="C719" s="365" t="n">
        <v>1</v>
      </c>
      <c r="D719" s="358" t="n">
        <v>0</v>
      </c>
      <c r="E719" s="358" t="n">
        <v>0</v>
      </c>
      <c r="F719" s="358" t="n">
        <v>0</v>
      </c>
      <c r="G719" s="372" t="n">
        <v>0</v>
      </c>
      <c r="H719" s="373" t="n">
        <v>0</v>
      </c>
      <c r="I719" s="358" t="n">
        <v>0</v>
      </c>
      <c r="J719" s="358" t="n">
        <v>0</v>
      </c>
      <c r="K719" s="372" t="n">
        <v>0</v>
      </c>
      <c r="L719" s="373" t="n">
        <v>0</v>
      </c>
      <c r="M719" s="358" t="n">
        <v>0</v>
      </c>
      <c r="N719" s="358" t="n">
        <v>0</v>
      </c>
      <c r="O719" s="372" t="n">
        <v>0</v>
      </c>
      <c r="P719" s="373" t="n">
        <v>0</v>
      </c>
      <c r="Q719" s="358" t="n">
        <v>0</v>
      </c>
      <c r="R719" s="358" t="n">
        <v>0</v>
      </c>
      <c r="S719" s="372" t="n">
        <v>0</v>
      </c>
      <c r="T719" s="373" t="n">
        <v>0</v>
      </c>
      <c r="U719" s="358" t="n">
        <v>0</v>
      </c>
      <c r="V719" s="358" t="n">
        <v>0</v>
      </c>
      <c r="W719" s="372" t="n">
        <v>0</v>
      </c>
      <c r="X719" s="373" t="n">
        <v>0</v>
      </c>
      <c r="Y719" s="358" t="n">
        <v>0</v>
      </c>
      <c r="Z719" s="358" t="n">
        <v>0</v>
      </c>
      <c r="AA719" s="358" t="n">
        <v>0</v>
      </c>
      <c r="AB719" s="373" t="n">
        <v>0</v>
      </c>
      <c r="AC719" s="358" t="n">
        <v>0</v>
      </c>
      <c r="AD719" s="358" t="n">
        <v>0</v>
      </c>
      <c r="AE719" s="358" t="n">
        <v>0</v>
      </c>
      <c r="AF719" s="365" t="n">
        <v>1</v>
      </c>
    </row>
    <row r="720" customFormat="false" ht="15" hidden="true" customHeight="false" outlineLevel="0" collapsed="false">
      <c r="B720" s="360" t="s">
        <v>3193</v>
      </c>
      <c r="C720" s="365" t="n">
        <v>1</v>
      </c>
      <c r="D720" s="358" t="n">
        <v>0</v>
      </c>
      <c r="E720" s="358" t="n">
        <v>0</v>
      </c>
      <c r="F720" s="358" t="n">
        <v>0</v>
      </c>
      <c r="G720" s="372" t="n">
        <v>0</v>
      </c>
      <c r="H720" s="373" t="n">
        <v>0</v>
      </c>
      <c r="I720" s="358" t="n">
        <v>0</v>
      </c>
      <c r="J720" s="358" t="n">
        <v>0</v>
      </c>
      <c r="K720" s="372" t="n">
        <v>0</v>
      </c>
      <c r="L720" s="373" t="n">
        <v>0</v>
      </c>
      <c r="M720" s="358" t="n">
        <v>0</v>
      </c>
      <c r="N720" s="358" t="n">
        <v>0</v>
      </c>
      <c r="O720" s="372" t="n">
        <v>0</v>
      </c>
      <c r="P720" s="373" t="n">
        <v>0</v>
      </c>
      <c r="Q720" s="358" t="n">
        <v>0</v>
      </c>
      <c r="R720" s="358" t="n">
        <v>0</v>
      </c>
      <c r="S720" s="372" t="n">
        <v>0</v>
      </c>
      <c r="T720" s="373" t="n">
        <v>0</v>
      </c>
      <c r="U720" s="358" t="n">
        <v>0</v>
      </c>
      <c r="V720" s="358" t="n">
        <v>0</v>
      </c>
      <c r="W720" s="372" t="n">
        <v>0</v>
      </c>
      <c r="X720" s="373" t="n">
        <v>0</v>
      </c>
      <c r="Y720" s="358" t="n">
        <v>0</v>
      </c>
      <c r="Z720" s="358" t="n">
        <v>0</v>
      </c>
      <c r="AA720" s="358" t="n">
        <v>0</v>
      </c>
      <c r="AB720" s="373" t="n">
        <v>0</v>
      </c>
      <c r="AC720" s="358" t="n">
        <v>0</v>
      </c>
      <c r="AD720" s="358" t="n">
        <v>0</v>
      </c>
      <c r="AE720" s="358" t="n">
        <v>0</v>
      </c>
      <c r="AF720" s="365" t="n">
        <v>1</v>
      </c>
    </row>
    <row r="721" customFormat="false" ht="15" hidden="true" customHeight="false" outlineLevel="0" collapsed="false">
      <c r="B721" s="360" t="s">
        <v>3194</v>
      </c>
      <c r="C721" s="365" t="n">
        <v>1</v>
      </c>
      <c r="D721" s="358" t="n">
        <v>0</v>
      </c>
      <c r="E721" s="358" t="n">
        <v>0</v>
      </c>
      <c r="F721" s="358" t="n">
        <v>0</v>
      </c>
      <c r="G721" s="372" t="n">
        <v>0</v>
      </c>
      <c r="H721" s="373" t="n">
        <v>0</v>
      </c>
      <c r="I721" s="358" t="n">
        <v>0</v>
      </c>
      <c r="J721" s="358" t="n">
        <v>0</v>
      </c>
      <c r="K721" s="372" t="n">
        <v>0</v>
      </c>
      <c r="L721" s="373" t="n">
        <v>0</v>
      </c>
      <c r="M721" s="358" t="n">
        <v>0</v>
      </c>
      <c r="N721" s="358" t="n">
        <v>0</v>
      </c>
      <c r="O721" s="372" t="n">
        <v>0</v>
      </c>
      <c r="P721" s="373" t="n">
        <v>0</v>
      </c>
      <c r="Q721" s="358" t="n">
        <v>0</v>
      </c>
      <c r="R721" s="358" t="n">
        <v>0</v>
      </c>
      <c r="S721" s="372" t="n">
        <v>0</v>
      </c>
      <c r="T721" s="373" t="n">
        <v>0</v>
      </c>
      <c r="U721" s="358" t="n">
        <v>0</v>
      </c>
      <c r="V721" s="358" t="n">
        <v>0</v>
      </c>
      <c r="W721" s="372" t="n">
        <v>0</v>
      </c>
      <c r="X721" s="373" t="n">
        <v>0</v>
      </c>
      <c r="Y721" s="358" t="n">
        <v>0</v>
      </c>
      <c r="Z721" s="358" t="n">
        <v>0</v>
      </c>
      <c r="AA721" s="358" t="n">
        <v>0</v>
      </c>
      <c r="AB721" s="373" t="n">
        <v>0</v>
      </c>
      <c r="AC721" s="358" t="n">
        <v>0</v>
      </c>
      <c r="AD721" s="358" t="n">
        <v>0</v>
      </c>
      <c r="AE721" s="358" t="n">
        <v>0</v>
      </c>
      <c r="AF721" s="365" t="n">
        <v>1</v>
      </c>
    </row>
    <row r="722" customFormat="false" ht="15" hidden="true" customHeight="false" outlineLevel="0" collapsed="false">
      <c r="B722" s="360" t="s">
        <v>3195</v>
      </c>
      <c r="C722" s="365" t="n">
        <v>1</v>
      </c>
      <c r="D722" s="358" t="n">
        <v>0</v>
      </c>
      <c r="E722" s="358" t="n">
        <v>0</v>
      </c>
      <c r="F722" s="358" t="n">
        <v>0</v>
      </c>
      <c r="G722" s="372" t="n">
        <v>0</v>
      </c>
      <c r="H722" s="373" t="n">
        <v>0</v>
      </c>
      <c r="I722" s="358" t="n">
        <v>0</v>
      </c>
      <c r="J722" s="358" t="n">
        <v>0</v>
      </c>
      <c r="K722" s="372" t="n">
        <v>0</v>
      </c>
      <c r="L722" s="373" t="n">
        <v>0</v>
      </c>
      <c r="M722" s="358" t="n">
        <v>0</v>
      </c>
      <c r="N722" s="358" t="n">
        <v>0</v>
      </c>
      <c r="O722" s="372" t="n">
        <v>0</v>
      </c>
      <c r="P722" s="373" t="n">
        <v>0</v>
      </c>
      <c r="Q722" s="358" t="n">
        <v>0</v>
      </c>
      <c r="R722" s="358" t="n">
        <v>0</v>
      </c>
      <c r="S722" s="372" t="n">
        <v>0</v>
      </c>
      <c r="T722" s="373" t="n">
        <v>0</v>
      </c>
      <c r="U722" s="358" t="n">
        <v>0</v>
      </c>
      <c r="V722" s="358" t="n">
        <v>0</v>
      </c>
      <c r="W722" s="372" t="n">
        <v>0</v>
      </c>
      <c r="X722" s="373" t="n">
        <v>0</v>
      </c>
      <c r="Y722" s="358" t="n">
        <v>0</v>
      </c>
      <c r="Z722" s="358" t="n">
        <v>0</v>
      </c>
      <c r="AA722" s="358" t="n">
        <v>0</v>
      </c>
      <c r="AB722" s="373" t="n">
        <v>0</v>
      </c>
      <c r="AC722" s="358" t="n">
        <v>0</v>
      </c>
      <c r="AD722" s="358" t="n">
        <v>0</v>
      </c>
      <c r="AE722" s="358" t="n">
        <v>0</v>
      </c>
      <c r="AF722" s="365" t="n">
        <v>1</v>
      </c>
    </row>
    <row r="723" customFormat="false" ht="15" hidden="true" customHeight="false" outlineLevel="0" collapsed="false">
      <c r="B723" s="360" t="s">
        <v>3196</v>
      </c>
      <c r="C723" s="365" t="n">
        <v>1</v>
      </c>
      <c r="D723" s="358" t="n">
        <v>0</v>
      </c>
      <c r="E723" s="358" t="n">
        <v>0</v>
      </c>
      <c r="F723" s="358" t="n">
        <v>0</v>
      </c>
      <c r="G723" s="372" t="n">
        <v>0</v>
      </c>
      <c r="H723" s="373" t="n">
        <v>0</v>
      </c>
      <c r="I723" s="358" t="n">
        <v>0</v>
      </c>
      <c r="J723" s="358" t="n">
        <v>0</v>
      </c>
      <c r="K723" s="372" t="n">
        <v>0</v>
      </c>
      <c r="L723" s="373" t="n">
        <v>0</v>
      </c>
      <c r="M723" s="358" t="n">
        <v>0</v>
      </c>
      <c r="N723" s="358" t="n">
        <v>0</v>
      </c>
      <c r="O723" s="372" t="n">
        <v>0</v>
      </c>
      <c r="P723" s="373" t="n">
        <v>0</v>
      </c>
      <c r="Q723" s="358" t="n">
        <v>0</v>
      </c>
      <c r="R723" s="358" t="n">
        <v>0</v>
      </c>
      <c r="S723" s="372" t="n">
        <v>0</v>
      </c>
      <c r="T723" s="373" t="n">
        <v>0</v>
      </c>
      <c r="U723" s="358" t="n">
        <v>0</v>
      </c>
      <c r="V723" s="358" t="n">
        <v>0</v>
      </c>
      <c r="W723" s="372" t="n">
        <v>0</v>
      </c>
      <c r="X723" s="373" t="n">
        <v>0</v>
      </c>
      <c r="Y723" s="358" t="n">
        <v>0</v>
      </c>
      <c r="Z723" s="358" t="n">
        <v>0</v>
      </c>
      <c r="AA723" s="358" t="n">
        <v>0</v>
      </c>
      <c r="AB723" s="373" t="n">
        <v>0</v>
      </c>
      <c r="AC723" s="358" t="n">
        <v>0</v>
      </c>
      <c r="AD723" s="358" t="n">
        <v>0</v>
      </c>
      <c r="AE723" s="358" t="n">
        <v>0</v>
      </c>
      <c r="AF723" s="365" t="n">
        <v>1</v>
      </c>
    </row>
    <row r="724" customFormat="false" ht="15" hidden="true" customHeight="false" outlineLevel="0" collapsed="false">
      <c r="B724" s="360" t="s">
        <v>3197</v>
      </c>
      <c r="C724" s="365" t="n">
        <v>1</v>
      </c>
      <c r="D724" s="358" t="n">
        <v>0</v>
      </c>
      <c r="E724" s="358" t="n">
        <v>0</v>
      </c>
      <c r="F724" s="358" t="n">
        <v>0</v>
      </c>
      <c r="G724" s="372" t="n">
        <v>0</v>
      </c>
      <c r="H724" s="373" t="n">
        <v>0</v>
      </c>
      <c r="I724" s="358" t="n">
        <v>0</v>
      </c>
      <c r="J724" s="358" t="n">
        <v>0</v>
      </c>
      <c r="K724" s="372" t="n">
        <v>0</v>
      </c>
      <c r="L724" s="373" t="n">
        <v>0</v>
      </c>
      <c r="M724" s="358" t="n">
        <v>0</v>
      </c>
      <c r="N724" s="358" t="n">
        <v>0</v>
      </c>
      <c r="O724" s="372" t="n">
        <v>0</v>
      </c>
      <c r="P724" s="373" t="n">
        <v>0</v>
      </c>
      <c r="Q724" s="358" t="n">
        <v>0</v>
      </c>
      <c r="R724" s="358" t="n">
        <v>0</v>
      </c>
      <c r="S724" s="372" t="n">
        <v>0</v>
      </c>
      <c r="T724" s="373" t="n">
        <v>0</v>
      </c>
      <c r="U724" s="358" t="n">
        <v>0</v>
      </c>
      <c r="V724" s="358" t="n">
        <v>0</v>
      </c>
      <c r="W724" s="372" t="n">
        <v>0</v>
      </c>
      <c r="X724" s="373" t="n">
        <v>0</v>
      </c>
      <c r="Y724" s="358" t="n">
        <v>0</v>
      </c>
      <c r="Z724" s="358" t="n">
        <v>0</v>
      </c>
      <c r="AA724" s="358" t="n">
        <v>0</v>
      </c>
      <c r="AB724" s="373" t="n">
        <v>0</v>
      </c>
      <c r="AC724" s="358" t="n">
        <v>0</v>
      </c>
      <c r="AD724" s="358" t="n">
        <v>0</v>
      </c>
      <c r="AE724" s="358" t="n">
        <v>0</v>
      </c>
      <c r="AF724" s="365" t="n">
        <v>1</v>
      </c>
    </row>
    <row r="725" customFormat="false" ht="15" hidden="true" customHeight="false" outlineLevel="0" collapsed="false">
      <c r="B725" s="360" t="s">
        <v>3198</v>
      </c>
      <c r="C725" s="365" t="n">
        <v>1</v>
      </c>
      <c r="D725" s="358" t="n">
        <v>0</v>
      </c>
      <c r="E725" s="358" t="n">
        <v>0</v>
      </c>
      <c r="F725" s="358" t="n">
        <v>0</v>
      </c>
      <c r="G725" s="372" t="n">
        <v>0</v>
      </c>
      <c r="H725" s="373" t="n">
        <v>0</v>
      </c>
      <c r="I725" s="358" t="n">
        <v>0</v>
      </c>
      <c r="J725" s="358" t="n">
        <v>0</v>
      </c>
      <c r="K725" s="372" t="n">
        <v>0</v>
      </c>
      <c r="L725" s="373" t="n">
        <v>0</v>
      </c>
      <c r="M725" s="358" t="n">
        <v>0</v>
      </c>
      <c r="N725" s="358" t="n">
        <v>0</v>
      </c>
      <c r="O725" s="372" t="n">
        <v>0</v>
      </c>
      <c r="P725" s="373" t="n">
        <v>0</v>
      </c>
      <c r="Q725" s="358" t="n">
        <v>0</v>
      </c>
      <c r="R725" s="358" t="n">
        <v>0</v>
      </c>
      <c r="S725" s="372" t="n">
        <v>0</v>
      </c>
      <c r="T725" s="373" t="n">
        <v>0</v>
      </c>
      <c r="U725" s="358" t="n">
        <v>0</v>
      </c>
      <c r="V725" s="358" t="n">
        <v>0</v>
      </c>
      <c r="W725" s="372" t="n">
        <v>0</v>
      </c>
      <c r="X725" s="373" t="n">
        <v>0</v>
      </c>
      <c r="Y725" s="358" t="n">
        <v>0</v>
      </c>
      <c r="Z725" s="358" t="n">
        <v>0</v>
      </c>
      <c r="AA725" s="358" t="n">
        <v>0</v>
      </c>
      <c r="AB725" s="373" t="n">
        <v>0</v>
      </c>
      <c r="AC725" s="358" t="n">
        <v>0</v>
      </c>
      <c r="AD725" s="358" t="n">
        <v>0</v>
      </c>
      <c r="AE725" s="358" t="n">
        <v>0</v>
      </c>
      <c r="AF725" s="365" t="n">
        <v>1</v>
      </c>
    </row>
    <row r="726" customFormat="false" ht="15" hidden="true" customHeight="false" outlineLevel="0" collapsed="false">
      <c r="B726" s="360" t="s">
        <v>3199</v>
      </c>
      <c r="C726" s="365" t="n">
        <v>1</v>
      </c>
      <c r="D726" s="358" t="n">
        <v>0</v>
      </c>
      <c r="E726" s="358" t="n">
        <v>0</v>
      </c>
      <c r="F726" s="358" t="n">
        <v>0</v>
      </c>
      <c r="G726" s="372" t="n">
        <v>0</v>
      </c>
      <c r="H726" s="373" t="n">
        <v>0</v>
      </c>
      <c r="I726" s="358" t="n">
        <v>0</v>
      </c>
      <c r="J726" s="358" t="n">
        <v>0</v>
      </c>
      <c r="K726" s="372" t="n">
        <v>0</v>
      </c>
      <c r="L726" s="373" t="n">
        <v>0</v>
      </c>
      <c r="M726" s="358" t="n">
        <v>0</v>
      </c>
      <c r="N726" s="358" t="n">
        <v>0</v>
      </c>
      <c r="O726" s="372" t="n">
        <v>0</v>
      </c>
      <c r="P726" s="373" t="n">
        <v>0</v>
      </c>
      <c r="Q726" s="358" t="n">
        <v>0</v>
      </c>
      <c r="R726" s="358" t="n">
        <v>0</v>
      </c>
      <c r="S726" s="372" t="n">
        <v>0</v>
      </c>
      <c r="T726" s="373" t="n">
        <v>0</v>
      </c>
      <c r="U726" s="358" t="n">
        <v>0</v>
      </c>
      <c r="V726" s="358" t="n">
        <v>0</v>
      </c>
      <c r="W726" s="372" t="n">
        <v>0</v>
      </c>
      <c r="X726" s="373" t="n">
        <v>0</v>
      </c>
      <c r="Y726" s="358" t="n">
        <v>0</v>
      </c>
      <c r="Z726" s="358" t="n">
        <v>0</v>
      </c>
      <c r="AA726" s="358" t="n">
        <v>0</v>
      </c>
      <c r="AB726" s="373" t="n">
        <v>0</v>
      </c>
      <c r="AC726" s="358" t="n">
        <v>0</v>
      </c>
      <c r="AD726" s="358" t="n">
        <v>0</v>
      </c>
      <c r="AE726" s="358" t="n">
        <v>0</v>
      </c>
      <c r="AF726" s="365" t="n">
        <v>1</v>
      </c>
    </row>
    <row r="727" customFormat="false" ht="15" hidden="true" customHeight="false" outlineLevel="0" collapsed="false">
      <c r="B727" s="360" t="s">
        <v>3200</v>
      </c>
      <c r="C727" s="365" t="n">
        <v>1</v>
      </c>
      <c r="D727" s="358" t="n">
        <v>0</v>
      </c>
      <c r="E727" s="358" t="n">
        <v>0</v>
      </c>
      <c r="F727" s="358" t="n">
        <v>0</v>
      </c>
      <c r="G727" s="372" t="n">
        <v>0</v>
      </c>
      <c r="H727" s="373" t="n">
        <v>0</v>
      </c>
      <c r="I727" s="358" t="n">
        <v>0</v>
      </c>
      <c r="J727" s="358" t="n">
        <v>0</v>
      </c>
      <c r="K727" s="372" t="n">
        <v>0</v>
      </c>
      <c r="L727" s="373" t="n">
        <v>0</v>
      </c>
      <c r="M727" s="358" t="n">
        <v>0</v>
      </c>
      <c r="N727" s="358" t="n">
        <v>0</v>
      </c>
      <c r="O727" s="372" t="n">
        <v>0</v>
      </c>
      <c r="P727" s="373" t="n">
        <v>0</v>
      </c>
      <c r="Q727" s="358" t="n">
        <v>0</v>
      </c>
      <c r="R727" s="358" t="n">
        <v>0</v>
      </c>
      <c r="S727" s="372" t="n">
        <v>0</v>
      </c>
      <c r="T727" s="373" t="n">
        <v>0</v>
      </c>
      <c r="U727" s="358" t="n">
        <v>0</v>
      </c>
      <c r="V727" s="358" t="n">
        <v>0</v>
      </c>
      <c r="W727" s="372" t="n">
        <v>0</v>
      </c>
      <c r="X727" s="373" t="n">
        <v>0</v>
      </c>
      <c r="Y727" s="358" t="n">
        <v>0</v>
      </c>
      <c r="Z727" s="358" t="n">
        <v>0</v>
      </c>
      <c r="AA727" s="358" t="n">
        <v>0</v>
      </c>
      <c r="AB727" s="373" t="n">
        <v>0</v>
      </c>
      <c r="AC727" s="358" t="n">
        <v>0</v>
      </c>
      <c r="AD727" s="358" t="n">
        <v>0</v>
      </c>
      <c r="AE727" s="358" t="n">
        <v>0</v>
      </c>
      <c r="AF727" s="365" t="n">
        <v>1</v>
      </c>
    </row>
    <row r="728" customFormat="false" ht="15" hidden="true" customHeight="false" outlineLevel="0" collapsed="false">
      <c r="B728" s="360" t="s">
        <v>3201</v>
      </c>
      <c r="C728" s="365" t="n">
        <v>1</v>
      </c>
      <c r="D728" s="358" t="n">
        <v>0</v>
      </c>
      <c r="E728" s="358" t="n">
        <v>0</v>
      </c>
      <c r="F728" s="358" t="n">
        <v>0</v>
      </c>
      <c r="G728" s="372" t="n">
        <v>0</v>
      </c>
      <c r="H728" s="373" t="n">
        <v>0</v>
      </c>
      <c r="I728" s="358" t="n">
        <v>0</v>
      </c>
      <c r="J728" s="358" t="n">
        <v>0</v>
      </c>
      <c r="K728" s="372" t="n">
        <v>0</v>
      </c>
      <c r="L728" s="373" t="n">
        <v>0</v>
      </c>
      <c r="M728" s="358" t="n">
        <v>0</v>
      </c>
      <c r="N728" s="358" t="n">
        <v>0</v>
      </c>
      <c r="O728" s="372" t="n">
        <v>0</v>
      </c>
      <c r="P728" s="373" t="n">
        <v>0</v>
      </c>
      <c r="Q728" s="358" t="n">
        <v>0</v>
      </c>
      <c r="R728" s="358" t="n">
        <v>0</v>
      </c>
      <c r="S728" s="372" t="n">
        <v>0</v>
      </c>
      <c r="T728" s="373" t="n">
        <v>0</v>
      </c>
      <c r="U728" s="358" t="n">
        <v>0</v>
      </c>
      <c r="V728" s="358" t="n">
        <v>0</v>
      </c>
      <c r="W728" s="372" t="n">
        <v>0</v>
      </c>
      <c r="X728" s="373" t="n">
        <v>0</v>
      </c>
      <c r="Y728" s="358" t="n">
        <v>0</v>
      </c>
      <c r="Z728" s="358" t="n">
        <v>0</v>
      </c>
      <c r="AA728" s="358" t="n">
        <v>0</v>
      </c>
      <c r="AB728" s="373" t="n">
        <v>0</v>
      </c>
      <c r="AC728" s="358" t="n">
        <v>0</v>
      </c>
      <c r="AD728" s="358" t="n">
        <v>0</v>
      </c>
      <c r="AE728" s="358" t="n">
        <v>0</v>
      </c>
      <c r="AF728" s="365" t="n">
        <v>1</v>
      </c>
    </row>
    <row r="729" customFormat="false" ht="15" hidden="true" customHeight="false" outlineLevel="0" collapsed="false">
      <c r="B729" s="360" t="s">
        <v>3202</v>
      </c>
      <c r="C729" s="365" t="n">
        <v>1</v>
      </c>
      <c r="D729" s="358" t="n">
        <v>0</v>
      </c>
      <c r="E729" s="358" t="n">
        <v>0</v>
      </c>
      <c r="F729" s="358" t="n">
        <v>0</v>
      </c>
      <c r="G729" s="372" t="n">
        <v>0</v>
      </c>
      <c r="H729" s="373" t="n">
        <v>0</v>
      </c>
      <c r="I729" s="358" t="n">
        <v>0</v>
      </c>
      <c r="J729" s="358" t="n">
        <v>0</v>
      </c>
      <c r="K729" s="372" t="n">
        <v>0</v>
      </c>
      <c r="L729" s="373" t="n">
        <v>0</v>
      </c>
      <c r="M729" s="358" t="n">
        <v>0</v>
      </c>
      <c r="N729" s="358" t="n">
        <v>0</v>
      </c>
      <c r="O729" s="372" t="n">
        <v>0</v>
      </c>
      <c r="P729" s="373" t="n">
        <v>0</v>
      </c>
      <c r="Q729" s="358" t="n">
        <v>0</v>
      </c>
      <c r="R729" s="358" t="n">
        <v>0</v>
      </c>
      <c r="S729" s="372" t="n">
        <v>0</v>
      </c>
      <c r="T729" s="373" t="n">
        <v>0</v>
      </c>
      <c r="U729" s="358" t="n">
        <v>0</v>
      </c>
      <c r="V729" s="358" t="n">
        <v>0</v>
      </c>
      <c r="W729" s="372" t="n">
        <v>0</v>
      </c>
      <c r="X729" s="373" t="n">
        <v>0</v>
      </c>
      <c r="Y729" s="358" t="n">
        <v>0</v>
      </c>
      <c r="Z729" s="358" t="n">
        <v>0</v>
      </c>
      <c r="AA729" s="358" t="n">
        <v>0</v>
      </c>
      <c r="AB729" s="373" t="n">
        <v>0</v>
      </c>
      <c r="AC729" s="358" t="n">
        <v>0</v>
      </c>
      <c r="AD729" s="358" t="n">
        <v>0</v>
      </c>
      <c r="AE729" s="358" t="n">
        <v>0</v>
      </c>
      <c r="AF729" s="365" t="n">
        <v>1</v>
      </c>
    </row>
    <row r="730" customFormat="false" ht="15" hidden="true" customHeight="false" outlineLevel="0" collapsed="false">
      <c r="B730" s="360" t="s">
        <v>3203</v>
      </c>
      <c r="C730" s="365" t="n">
        <v>1</v>
      </c>
      <c r="D730" s="358" t="n">
        <v>0</v>
      </c>
      <c r="E730" s="358" t="n">
        <v>0</v>
      </c>
      <c r="F730" s="358" t="n">
        <v>0</v>
      </c>
      <c r="G730" s="372" t="n">
        <v>0</v>
      </c>
      <c r="H730" s="373" t="n">
        <v>0</v>
      </c>
      <c r="I730" s="358" t="n">
        <v>0</v>
      </c>
      <c r="J730" s="358" t="n">
        <v>0</v>
      </c>
      <c r="K730" s="372" t="n">
        <v>0</v>
      </c>
      <c r="L730" s="373" t="n">
        <v>0</v>
      </c>
      <c r="M730" s="358" t="n">
        <v>0</v>
      </c>
      <c r="N730" s="358" t="n">
        <v>0</v>
      </c>
      <c r="O730" s="372" t="n">
        <v>0</v>
      </c>
      <c r="P730" s="373" t="n">
        <v>0</v>
      </c>
      <c r="Q730" s="358" t="n">
        <v>0</v>
      </c>
      <c r="R730" s="358" t="n">
        <v>0</v>
      </c>
      <c r="S730" s="372" t="n">
        <v>0</v>
      </c>
      <c r="T730" s="373" t="n">
        <v>0</v>
      </c>
      <c r="U730" s="358" t="n">
        <v>0</v>
      </c>
      <c r="V730" s="358" t="n">
        <v>0</v>
      </c>
      <c r="W730" s="372" t="n">
        <v>0</v>
      </c>
      <c r="X730" s="373" t="n">
        <v>0</v>
      </c>
      <c r="Y730" s="358" t="n">
        <v>0</v>
      </c>
      <c r="Z730" s="358" t="n">
        <v>0</v>
      </c>
      <c r="AA730" s="358" t="n">
        <v>0</v>
      </c>
      <c r="AB730" s="373" t="n">
        <v>0</v>
      </c>
      <c r="AC730" s="358" t="n">
        <v>0</v>
      </c>
      <c r="AD730" s="358" t="n">
        <v>0</v>
      </c>
      <c r="AE730" s="358" t="n">
        <v>0</v>
      </c>
      <c r="AF730" s="365" t="n">
        <v>1</v>
      </c>
    </row>
    <row r="731" customFormat="false" ht="15" hidden="true" customHeight="false" outlineLevel="0" collapsed="false">
      <c r="B731" s="360" t="s">
        <v>3204</v>
      </c>
      <c r="C731" s="365" t="n">
        <v>1</v>
      </c>
      <c r="D731" s="358" t="n">
        <v>0</v>
      </c>
      <c r="E731" s="358" t="n">
        <v>0</v>
      </c>
      <c r="F731" s="358" t="n">
        <v>0</v>
      </c>
      <c r="G731" s="372" t="n">
        <v>0</v>
      </c>
      <c r="H731" s="373" t="n">
        <v>0</v>
      </c>
      <c r="I731" s="358" t="n">
        <v>0</v>
      </c>
      <c r="J731" s="358" t="n">
        <v>0</v>
      </c>
      <c r="K731" s="372" t="n">
        <v>0</v>
      </c>
      <c r="L731" s="373" t="n">
        <v>0</v>
      </c>
      <c r="M731" s="358" t="n">
        <v>0</v>
      </c>
      <c r="N731" s="358" t="n">
        <v>0</v>
      </c>
      <c r="O731" s="372" t="n">
        <v>0</v>
      </c>
      <c r="P731" s="373" t="n">
        <v>0</v>
      </c>
      <c r="Q731" s="358" t="n">
        <v>0</v>
      </c>
      <c r="R731" s="358" t="n">
        <v>0</v>
      </c>
      <c r="S731" s="372" t="n">
        <v>0</v>
      </c>
      <c r="T731" s="373" t="n">
        <v>0</v>
      </c>
      <c r="U731" s="358" t="n">
        <v>0</v>
      </c>
      <c r="V731" s="358" t="n">
        <v>0</v>
      </c>
      <c r="W731" s="372" t="n">
        <v>0</v>
      </c>
      <c r="X731" s="373" t="n">
        <v>0</v>
      </c>
      <c r="Y731" s="358" t="n">
        <v>0</v>
      </c>
      <c r="Z731" s="358" t="n">
        <v>0</v>
      </c>
      <c r="AA731" s="358" t="n">
        <v>0</v>
      </c>
      <c r="AB731" s="373" t="n">
        <v>0</v>
      </c>
      <c r="AC731" s="358" t="n">
        <v>0</v>
      </c>
      <c r="AD731" s="358" t="n">
        <v>0</v>
      </c>
      <c r="AE731" s="358" t="n">
        <v>0</v>
      </c>
      <c r="AF731" s="365" t="n">
        <v>1</v>
      </c>
    </row>
    <row r="732" customFormat="false" ht="15" hidden="true" customHeight="false" outlineLevel="0" collapsed="false">
      <c r="B732" s="360" t="s">
        <v>3205</v>
      </c>
      <c r="C732" s="365" t="n">
        <v>1</v>
      </c>
      <c r="D732" s="358" t="n">
        <v>0</v>
      </c>
      <c r="E732" s="358" t="n">
        <v>0</v>
      </c>
      <c r="F732" s="358" t="n">
        <v>0</v>
      </c>
      <c r="G732" s="372" t="n">
        <v>0</v>
      </c>
      <c r="H732" s="373" t="n">
        <v>0</v>
      </c>
      <c r="I732" s="358" t="n">
        <v>0</v>
      </c>
      <c r="J732" s="358" t="n">
        <v>0</v>
      </c>
      <c r="K732" s="372" t="n">
        <v>0</v>
      </c>
      <c r="L732" s="373" t="n">
        <v>0</v>
      </c>
      <c r="M732" s="358" t="n">
        <v>0</v>
      </c>
      <c r="N732" s="358" t="n">
        <v>0</v>
      </c>
      <c r="O732" s="372" t="n">
        <v>0</v>
      </c>
      <c r="P732" s="373" t="n">
        <v>0</v>
      </c>
      <c r="Q732" s="358" t="n">
        <v>0</v>
      </c>
      <c r="R732" s="358" t="n">
        <v>0</v>
      </c>
      <c r="S732" s="372" t="n">
        <v>0</v>
      </c>
      <c r="T732" s="373" t="n">
        <v>0</v>
      </c>
      <c r="U732" s="358" t="n">
        <v>0</v>
      </c>
      <c r="V732" s="358" t="n">
        <v>0</v>
      </c>
      <c r="W732" s="372" t="n">
        <v>0</v>
      </c>
      <c r="X732" s="373" t="n">
        <v>0</v>
      </c>
      <c r="Y732" s="358" t="n">
        <v>0</v>
      </c>
      <c r="Z732" s="358" t="n">
        <v>0</v>
      </c>
      <c r="AA732" s="358" t="n">
        <v>0</v>
      </c>
      <c r="AB732" s="373" t="n">
        <v>0</v>
      </c>
      <c r="AC732" s="358" t="n">
        <v>0</v>
      </c>
      <c r="AD732" s="358" t="n">
        <v>0</v>
      </c>
      <c r="AE732" s="358" t="n">
        <v>0</v>
      </c>
      <c r="AF732" s="365" t="n">
        <v>1</v>
      </c>
    </row>
    <row r="733" customFormat="false" ht="15" hidden="true" customHeight="false" outlineLevel="0" collapsed="false">
      <c r="B733" s="360" t="s">
        <v>3206</v>
      </c>
      <c r="C733" s="365" t="n">
        <v>1</v>
      </c>
      <c r="D733" s="358" t="n">
        <v>0</v>
      </c>
      <c r="E733" s="358" t="n">
        <v>0</v>
      </c>
      <c r="F733" s="358" t="n">
        <v>0</v>
      </c>
      <c r="G733" s="372" t="n">
        <v>0</v>
      </c>
      <c r="H733" s="373" t="n">
        <v>0</v>
      </c>
      <c r="I733" s="358" t="n">
        <v>0</v>
      </c>
      <c r="J733" s="358" t="n">
        <v>0</v>
      </c>
      <c r="K733" s="372" t="n">
        <v>0</v>
      </c>
      <c r="L733" s="373" t="n">
        <v>0</v>
      </c>
      <c r="M733" s="358" t="n">
        <v>0</v>
      </c>
      <c r="N733" s="358" t="n">
        <v>0</v>
      </c>
      <c r="O733" s="372" t="n">
        <v>0</v>
      </c>
      <c r="P733" s="373" t="n">
        <v>0</v>
      </c>
      <c r="Q733" s="358" t="n">
        <v>0</v>
      </c>
      <c r="R733" s="358" t="n">
        <v>0</v>
      </c>
      <c r="S733" s="372" t="n">
        <v>0</v>
      </c>
      <c r="T733" s="373" t="n">
        <v>0</v>
      </c>
      <c r="U733" s="358" t="n">
        <v>0</v>
      </c>
      <c r="V733" s="358" t="n">
        <v>0</v>
      </c>
      <c r="W733" s="372" t="n">
        <v>0</v>
      </c>
      <c r="X733" s="373" t="n">
        <v>0</v>
      </c>
      <c r="Y733" s="358" t="n">
        <v>0</v>
      </c>
      <c r="Z733" s="358" t="n">
        <v>0</v>
      </c>
      <c r="AA733" s="358" t="n">
        <v>0</v>
      </c>
      <c r="AB733" s="373" t="n">
        <v>0</v>
      </c>
      <c r="AC733" s="358" t="n">
        <v>0</v>
      </c>
      <c r="AD733" s="358" t="n">
        <v>0</v>
      </c>
      <c r="AE733" s="358" t="n">
        <v>0</v>
      </c>
      <c r="AF733" s="365" t="n">
        <v>1</v>
      </c>
    </row>
    <row r="734" customFormat="false" ht="15" hidden="true" customHeight="false" outlineLevel="0" collapsed="false">
      <c r="B734" s="360" t="s">
        <v>3207</v>
      </c>
      <c r="C734" s="365" t="n">
        <v>1</v>
      </c>
      <c r="D734" s="358" t="n">
        <v>0</v>
      </c>
      <c r="E734" s="358" t="n">
        <v>0</v>
      </c>
      <c r="F734" s="358" t="n">
        <v>0</v>
      </c>
      <c r="G734" s="372" t="n">
        <v>0</v>
      </c>
      <c r="H734" s="373" t="n">
        <v>0</v>
      </c>
      <c r="I734" s="358" t="n">
        <v>0</v>
      </c>
      <c r="J734" s="358" t="n">
        <v>0</v>
      </c>
      <c r="K734" s="372" t="n">
        <v>0</v>
      </c>
      <c r="L734" s="373" t="n">
        <v>0</v>
      </c>
      <c r="M734" s="358" t="n">
        <v>0</v>
      </c>
      <c r="N734" s="358" t="n">
        <v>0</v>
      </c>
      <c r="O734" s="372" t="n">
        <v>0</v>
      </c>
      <c r="P734" s="373" t="n">
        <v>0</v>
      </c>
      <c r="Q734" s="358" t="n">
        <v>0</v>
      </c>
      <c r="R734" s="358" t="n">
        <v>0</v>
      </c>
      <c r="S734" s="372" t="n">
        <v>0</v>
      </c>
      <c r="T734" s="373" t="n">
        <v>0</v>
      </c>
      <c r="U734" s="358" t="n">
        <v>0</v>
      </c>
      <c r="V734" s="358" t="n">
        <v>0</v>
      </c>
      <c r="W734" s="372" t="n">
        <v>0</v>
      </c>
      <c r="X734" s="373" t="n">
        <v>0</v>
      </c>
      <c r="Y734" s="358" t="n">
        <v>0</v>
      </c>
      <c r="Z734" s="358" t="n">
        <v>0</v>
      </c>
      <c r="AA734" s="358" t="n">
        <v>0</v>
      </c>
      <c r="AB734" s="373" t="n">
        <v>0</v>
      </c>
      <c r="AC734" s="358" t="n">
        <v>0</v>
      </c>
      <c r="AD734" s="358" t="n">
        <v>0</v>
      </c>
      <c r="AE734" s="358" t="n">
        <v>0</v>
      </c>
      <c r="AF734" s="365" t="n">
        <v>1</v>
      </c>
    </row>
    <row r="735" customFormat="false" ht="15" hidden="true" customHeight="false" outlineLevel="0" collapsed="false">
      <c r="B735" s="360" t="s">
        <v>3208</v>
      </c>
      <c r="C735" s="365" t="n">
        <v>1</v>
      </c>
      <c r="D735" s="358" t="n">
        <v>0</v>
      </c>
      <c r="E735" s="358" t="n">
        <v>0</v>
      </c>
      <c r="F735" s="358" t="n">
        <v>0</v>
      </c>
      <c r="G735" s="372" t="n">
        <v>0</v>
      </c>
      <c r="H735" s="373" t="n">
        <v>0</v>
      </c>
      <c r="I735" s="358" t="n">
        <v>0</v>
      </c>
      <c r="J735" s="358" t="n">
        <v>0</v>
      </c>
      <c r="K735" s="372" t="n">
        <v>0</v>
      </c>
      <c r="L735" s="373" t="n">
        <v>0</v>
      </c>
      <c r="M735" s="358" t="n">
        <v>0</v>
      </c>
      <c r="N735" s="358" t="n">
        <v>0</v>
      </c>
      <c r="O735" s="372" t="n">
        <v>0</v>
      </c>
      <c r="P735" s="373" t="n">
        <v>0</v>
      </c>
      <c r="Q735" s="358" t="n">
        <v>0</v>
      </c>
      <c r="R735" s="358" t="n">
        <v>0</v>
      </c>
      <c r="S735" s="372" t="n">
        <v>0</v>
      </c>
      <c r="T735" s="373" t="n">
        <v>0</v>
      </c>
      <c r="U735" s="358" t="n">
        <v>0</v>
      </c>
      <c r="V735" s="358" t="n">
        <v>0</v>
      </c>
      <c r="W735" s="372" t="n">
        <v>0</v>
      </c>
      <c r="X735" s="373" t="n">
        <v>0</v>
      </c>
      <c r="Y735" s="358" t="n">
        <v>0</v>
      </c>
      <c r="Z735" s="358" t="n">
        <v>0</v>
      </c>
      <c r="AA735" s="358" t="n">
        <v>0</v>
      </c>
      <c r="AB735" s="373" t="n">
        <v>0</v>
      </c>
      <c r="AC735" s="358" t="n">
        <v>0</v>
      </c>
      <c r="AD735" s="358" t="n">
        <v>0</v>
      </c>
      <c r="AE735" s="358" t="n">
        <v>0</v>
      </c>
      <c r="AF735" s="365" t="n">
        <v>1</v>
      </c>
    </row>
    <row r="736" customFormat="false" ht="15" hidden="true" customHeight="false" outlineLevel="0" collapsed="false">
      <c r="B736" s="360" t="s">
        <v>3209</v>
      </c>
      <c r="C736" s="365" t="n">
        <v>1</v>
      </c>
      <c r="D736" s="358" t="n">
        <v>0</v>
      </c>
      <c r="E736" s="358" t="n">
        <v>0</v>
      </c>
      <c r="F736" s="358" t="n">
        <v>0</v>
      </c>
      <c r="G736" s="372" t="n">
        <v>0</v>
      </c>
      <c r="H736" s="373" t="n">
        <v>0</v>
      </c>
      <c r="I736" s="358" t="n">
        <v>0</v>
      </c>
      <c r="J736" s="358" t="n">
        <v>0</v>
      </c>
      <c r="K736" s="372" t="n">
        <v>0</v>
      </c>
      <c r="L736" s="373" t="n">
        <v>0</v>
      </c>
      <c r="M736" s="358" t="n">
        <v>0</v>
      </c>
      <c r="N736" s="358" t="n">
        <v>0</v>
      </c>
      <c r="O736" s="372" t="n">
        <v>0</v>
      </c>
      <c r="P736" s="373" t="n">
        <v>0</v>
      </c>
      <c r="Q736" s="358" t="n">
        <v>0</v>
      </c>
      <c r="R736" s="358" t="n">
        <v>0</v>
      </c>
      <c r="S736" s="372" t="n">
        <v>0</v>
      </c>
      <c r="T736" s="373" t="n">
        <v>0</v>
      </c>
      <c r="U736" s="358" t="n">
        <v>0</v>
      </c>
      <c r="V736" s="358" t="n">
        <v>0</v>
      </c>
      <c r="W736" s="372" t="n">
        <v>0</v>
      </c>
      <c r="X736" s="373" t="n">
        <v>0</v>
      </c>
      <c r="Y736" s="358" t="n">
        <v>0</v>
      </c>
      <c r="Z736" s="358" t="n">
        <v>0</v>
      </c>
      <c r="AA736" s="358" t="n">
        <v>0</v>
      </c>
      <c r="AB736" s="373" t="n">
        <v>0</v>
      </c>
      <c r="AC736" s="358" t="n">
        <v>0</v>
      </c>
      <c r="AD736" s="358" t="n">
        <v>0</v>
      </c>
      <c r="AE736" s="358" t="n">
        <v>0</v>
      </c>
      <c r="AF736" s="365" t="n">
        <v>1</v>
      </c>
    </row>
    <row r="737" customFormat="false" ht="15" hidden="true" customHeight="false" outlineLevel="0" collapsed="false">
      <c r="B737" s="360" t="s">
        <v>3210</v>
      </c>
      <c r="C737" s="365" t="n">
        <v>1</v>
      </c>
      <c r="D737" s="358" t="n">
        <v>0</v>
      </c>
      <c r="E737" s="358" t="n">
        <v>0</v>
      </c>
      <c r="F737" s="358" t="n">
        <v>0</v>
      </c>
      <c r="G737" s="372" t="n">
        <v>0</v>
      </c>
      <c r="H737" s="373" t="n">
        <v>0</v>
      </c>
      <c r="I737" s="358" t="n">
        <v>0</v>
      </c>
      <c r="J737" s="358" t="n">
        <v>0</v>
      </c>
      <c r="K737" s="372" t="n">
        <v>0</v>
      </c>
      <c r="L737" s="373" t="n">
        <v>0</v>
      </c>
      <c r="M737" s="358" t="n">
        <v>0</v>
      </c>
      <c r="N737" s="358" t="n">
        <v>0</v>
      </c>
      <c r="O737" s="372" t="n">
        <v>0</v>
      </c>
      <c r="P737" s="373" t="n">
        <v>0</v>
      </c>
      <c r="Q737" s="358" t="n">
        <v>0</v>
      </c>
      <c r="R737" s="358" t="n">
        <v>0</v>
      </c>
      <c r="S737" s="372" t="n">
        <v>0</v>
      </c>
      <c r="T737" s="373" t="n">
        <v>0</v>
      </c>
      <c r="U737" s="358" t="n">
        <v>0</v>
      </c>
      <c r="V737" s="358" t="n">
        <v>0</v>
      </c>
      <c r="W737" s="372" t="n">
        <v>0</v>
      </c>
      <c r="X737" s="373" t="n">
        <v>0</v>
      </c>
      <c r="Y737" s="358" t="n">
        <v>0</v>
      </c>
      <c r="Z737" s="358" t="n">
        <v>0</v>
      </c>
      <c r="AA737" s="358" t="n">
        <v>0</v>
      </c>
      <c r="AB737" s="373" t="n">
        <v>0</v>
      </c>
      <c r="AC737" s="358" t="n">
        <v>0</v>
      </c>
      <c r="AD737" s="358" t="n">
        <v>0</v>
      </c>
      <c r="AE737" s="358" t="n">
        <v>0</v>
      </c>
      <c r="AF737" s="365" t="n">
        <v>1</v>
      </c>
    </row>
    <row r="738" customFormat="false" ht="15" hidden="true" customHeight="false" outlineLevel="0" collapsed="false">
      <c r="B738" s="360" t="s">
        <v>3211</v>
      </c>
      <c r="C738" s="365" t="n">
        <v>1</v>
      </c>
      <c r="D738" s="358" t="n">
        <v>0</v>
      </c>
      <c r="E738" s="358" t="n">
        <v>0</v>
      </c>
      <c r="F738" s="358" t="n">
        <v>0</v>
      </c>
      <c r="G738" s="372" t="n">
        <v>0</v>
      </c>
      <c r="H738" s="373" t="n">
        <v>0</v>
      </c>
      <c r="I738" s="358" t="n">
        <v>0</v>
      </c>
      <c r="J738" s="358" t="n">
        <v>0</v>
      </c>
      <c r="K738" s="372" t="n">
        <v>0</v>
      </c>
      <c r="L738" s="373" t="n">
        <v>0</v>
      </c>
      <c r="M738" s="358" t="n">
        <v>0</v>
      </c>
      <c r="N738" s="358" t="n">
        <v>0</v>
      </c>
      <c r="O738" s="372" t="n">
        <v>0</v>
      </c>
      <c r="P738" s="373" t="n">
        <v>0</v>
      </c>
      <c r="Q738" s="358" t="n">
        <v>0</v>
      </c>
      <c r="R738" s="358" t="n">
        <v>0</v>
      </c>
      <c r="S738" s="372" t="n">
        <v>0</v>
      </c>
      <c r="T738" s="373" t="n">
        <v>0</v>
      </c>
      <c r="U738" s="358" t="n">
        <v>0</v>
      </c>
      <c r="V738" s="358" t="n">
        <v>0</v>
      </c>
      <c r="W738" s="372" t="n">
        <v>0</v>
      </c>
      <c r="X738" s="373" t="n">
        <v>0</v>
      </c>
      <c r="Y738" s="358" t="n">
        <v>0</v>
      </c>
      <c r="Z738" s="358" t="n">
        <v>0</v>
      </c>
      <c r="AA738" s="358" t="n">
        <v>0</v>
      </c>
      <c r="AB738" s="373" t="n">
        <v>0</v>
      </c>
      <c r="AC738" s="358" t="n">
        <v>0</v>
      </c>
      <c r="AD738" s="358" t="n">
        <v>0</v>
      </c>
      <c r="AE738" s="358" t="n">
        <v>0</v>
      </c>
      <c r="AF738" s="365" t="n">
        <v>1</v>
      </c>
    </row>
    <row r="739" customFormat="false" ht="15" hidden="true" customHeight="false" outlineLevel="0" collapsed="false">
      <c r="B739" s="361" t="s">
        <v>3212</v>
      </c>
      <c r="C739" s="365" t="n">
        <v>1</v>
      </c>
      <c r="D739" s="358" t="n">
        <v>0</v>
      </c>
      <c r="E739" s="358" t="n">
        <v>0</v>
      </c>
      <c r="F739" s="358" t="n">
        <v>0</v>
      </c>
      <c r="G739" s="372" t="n">
        <v>0</v>
      </c>
      <c r="H739" s="373" t="n">
        <v>0</v>
      </c>
      <c r="I739" s="358" t="n">
        <v>0</v>
      </c>
      <c r="J739" s="358" t="n">
        <v>0</v>
      </c>
      <c r="K739" s="372" t="n">
        <v>0</v>
      </c>
      <c r="L739" s="373" t="n">
        <v>0</v>
      </c>
      <c r="M739" s="358" t="n">
        <v>0</v>
      </c>
      <c r="N739" s="358" t="n">
        <v>0</v>
      </c>
      <c r="O739" s="372" t="n">
        <v>0</v>
      </c>
      <c r="P739" s="373" t="n">
        <v>0</v>
      </c>
      <c r="Q739" s="358" t="n">
        <v>0</v>
      </c>
      <c r="R739" s="358" t="n">
        <v>0</v>
      </c>
      <c r="S739" s="372" t="n">
        <v>0</v>
      </c>
      <c r="T739" s="373" t="n">
        <v>0</v>
      </c>
      <c r="U739" s="358" t="n">
        <v>0</v>
      </c>
      <c r="V739" s="358" t="n">
        <v>0</v>
      </c>
      <c r="W739" s="372" t="n">
        <v>0</v>
      </c>
      <c r="X739" s="373" t="n">
        <v>0</v>
      </c>
      <c r="Y739" s="358" t="n">
        <v>0</v>
      </c>
      <c r="Z739" s="358" t="n">
        <v>0</v>
      </c>
      <c r="AA739" s="358" t="n">
        <v>0</v>
      </c>
      <c r="AB739" s="373" t="n">
        <v>0</v>
      </c>
      <c r="AC739" s="358" t="n">
        <v>0</v>
      </c>
      <c r="AD739" s="358" t="n">
        <v>0</v>
      </c>
      <c r="AE739" s="358" t="n">
        <v>0</v>
      </c>
      <c r="AF739" s="365" t="n">
        <v>1</v>
      </c>
    </row>
    <row r="740" customFormat="false" ht="15" hidden="false" customHeight="false" outlineLevel="0" collapsed="false">
      <c r="B740" s="364" t="s">
        <v>2468</v>
      </c>
      <c r="C740" s="365" t="n">
        <v>34</v>
      </c>
      <c r="D740" s="358" t="n">
        <v>1</v>
      </c>
      <c r="E740" s="358" t="n">
        <v>0</v>
      </c>
      <c r="F740" s="358" t="n">
        <v>0</v>
      </c>
      <c r="G740" s="372" t="n">
        <v>0</v>
      </c>
      <c r="H740" s="373" t="n">
        <v>0</v>
      </c>
      <c r="I740" s="358" t="n">
        <v>0</v>
      </c>
      <c r="J740" s="358" t="n">
        <v>0</v>
      </c>
      <c r="K740" s="372" t="n">
        <v>0</v>
      </c>
      <c r="L740" s="373" t="n">
        <v>0</v>
      </c>
      <c r="M740" s="358" t="n">
        <v>0</v>
      </c>
      <c r="N740" s="358" t="n">
        <v>0</v>
      </c>
      <c r="O740" s="372" t="n">
        <v>0</v>
      </c>
      <c r="P740" s="373" t="n">
        <v>0</v>
      </c>
      <c r="Q740" s="358" t="n">
        <v>0</v>
      </c>
      <c r="R740" s="358" t="n">
        <v>0</v>
      </c>
      <c r="S740" s="372" t="n">
        <v>0</v>
      </c>
      <c r="T740" s="373" t="n">
        <v>0</v>
      </c>
      <c r="U740" s="358" t="n">
        <v>0</v>
      </c>
      <c r="V740" s="358" t="n">
        <v>0</v>
      </c>
      <c r="W740" s="372" t="n">
        <v>0</v>
      </c>
      <c r="X740" s="373" t="n">
        <v>0</v>
      </c>
      <c r="Y740" s="358" t="n">
        <v>0</v>
      </c>
      <c r="Z740" s="358" t="n">
        <v>0</v>
      </c>
      <c r="AA740" s="358" t="n">
        <v>0</v>
      </c>
      <c r="AB740" s="373" t="n">
        <v>1</v>
      </c>
      <c r="AC740" s="358" t="n">
        <v>0</v>
      </c>
      <c r="AD740" s="358" t="n">
        <v>0</v>
      </c>
      <c r="AE740" s="358" t="n">
        <v>0</v>
      </c>
      <c r="AF740" s="365" t="n">
        <v>35</v>
      </c>
    </row>
    <row r="741" customFormat="false" ht="15" hidden="true" customHeight="false" outlineLevel="0" collapsed="false">
      <c r="B741" s="360" t="s">
        <v>3213</v>
      </c>
      <c r="C741" s="359" t="n">
        <v>1</v>
      </c>
      <c r="D741" s="358" t="n">
        <v>0</v>
      </c>
      <c r="E741" s="358" t="n">
        <v>0</v>
      </c>
      <c r="F741" s="358" t="n">
        <v>0</v>
      </c>
      <c r="G741" s="372" t="n">
        <v>0</v>
      </c>
      <c r="H741" s="373" t="n">
        <v>0</v>
      </c>
      <c r="I741" s="358" t="n">
        <v>0</v>
      </c>
      <c r="J741" s="358" t="n">
        <v>0</v>
      </c>
      <c r="K741" s="372" t="n">
        <v>0</v>
      </c>
      <c r="L741" s="373" t="n">
        <v>0</v>
      </c>
      <c r="M741" s="358" t="n">
        <v>0</v>
      </c>
      <c r="N741" s="358" t="n">
        <v>0</v>
      </c>
      <c r="O741" s="372" t="n">
        <v>0</v>
      </c>
      <c r="P741" s="373" t="n">
        <v>0</v>
      </c>
      <c r="Q741" s="358" t="n">
        <v>0</v>
      </c>
      <c r="R741" s="358" t="n">
        <v>0</v>
      </c>
      <c r="S741" s="372" t="n">
        <v>0</v>
      </c>
      <c r="T741" s="373" t="n">
        <v>0</v>
      </c>
      <c r="U741" s="358" t="n">
        <v>0</v>
      </c>
      <c r="V741" s="358" t="n">
        <v>0</v>
      </c>
      <c r="W741" s="372" t="n">
        <v>0</v>
      </c>
      <c r="X741" s="373" t="n">
        <v>0</v>
      </c>
      <c r="Y741" s="358" t="n">
        <v>0</v>
      </c>
      <c r="Z741" s="358" t="n">
        <v>0</v>
      </c>
      <c r="AA741" s="358" t="n">
        <v>0</v>
      </c>
      <c r="AB741" s="373" t="n">
        <v>0</v>
      </c>
      <c r="AC741" s="358" t="n">
        <v>0</v>
      </c>
      <c r="AD741" s="358" t="n">
        <v>0</v>
      </c>
      <c r="AE741" s="358" t="n">
        <v>0</v>
      </c>
      <c r="AF741" s="359" t="n">
        <v>1</v>
      </c>
    </row>
    <row r="742" customFormat="false" ht="15" hidden="true" customHeight="false" outlineLevel="0" collapsed="false">
      <c r="B742" s="360" t="s">
        <v>3214</v>
      </c>
      <c r="C742" s="359" t="n">
        <v>1</v>
      </c>
      <c r="D742" s="358" t="n">
        <v>0</v>
      </c>
      <c r="E742" s="358" t="n">
        <v>0</v>
      </c>
      <c r="F742" s="358" t="n">
        <v>0</v>
      </c>
      <c r="G742" s="372" t="n">
        <v>0</v>
      </c>
      <c r="H742" s="373" t="n">
        <v>0</v>
      </c>
      <c r="I742" s="358" t="n">
        <v>0</v>
      </c>
      <c r="J742" s="358" t="n">
        <v>0</v>
      </c>
      <c r="K742" s="372" t="n">
        <v>0</v>
      </c>
      <c r="L742" s="373" t="n">
        <v>0</v>
      </c>
      <c r="M742" s="358" t="n">
        <v>0</v>
      </c>
      <c r="N742" s="358" t="n">
        <v>0</v>
      </c>
      <c r="O742" s="372" t="n">
        <v>0</v>
      </c>
      <c r="P742" s="373" t="n">
        <v>0</v>
      </c>
      <c r="Q742" s="358" t="n">
        <v>0</v>
      </c>
      <c r="R742" s="358" t="n">
        <v>0</v>
      </c>
      <c r="S742" s="372" t="n">
        <v>0</v>
      </c>
      <c r="T742" s="373" t="n">
        <v>0</v>
      </c>
      <c r="U742" s="358" t="n">
        <v>0</v>
      </c>
      <c r="V742" s="358" t="n">
        <v>0</v>
      </c>
      <c r="W742" s="372" t="n">
        <v>0</v>
      </c>
      <c r="X742" s="373" t="n">
        <v>0</v>
      </c>
      <c r="Y742" s="358" t="n">
        <v>0</v>
      </c>
      <c r="Z742" s="358" t="n">
        <v>0</v>
      </c>
      <c r="AA742" s="358" t="n">
        <v>0</v>
      </c>
      <c r="AB742" s="373" t="n">
        <v>0</v>
      </c>
      <c r="AC742" s="358" t="n">
        <v>0</v>
      </c>
      <c r="AD742" s="358" t="n">
        <v>0</v>
      </c>
      <c r="AE742" s="358" t="n">
        <v>0</v>
      </c>
      <c r="AF742" s="359" t="n">
        <v>1</v>
      </c>
    </row>
    <row r="743" customFormat="false" ht="15" hidden="true" customHeight="false" outlineLevel="0" collapsed="false">
      <c r="B743" s="360" t="s">
        <v>3215</v>
      </c>
      <c r="C743" s="359" t="n">
        <v>1</v>
      </c>
      <c r="D743" s="358" t="n">
        <v>0</v>
      </c>
      <c r="E743" s="358" t="n">
        <v>0</v>
      </c>
      <c r="F743" s="358" t="n">
        <v>0</v>
      </c>
      <c r="G743" s="372" t="n">
        <v>0</v>
      </c>
      <c r="H743" s="373" t="n">
        <v>0</v>
      </c>
      <c r="I743" s="358" t="n">
        <v>0</v>
      </c>
      <c r="J743" s="358" t="n">
        <v>0</v>
      </c>
      <c r="K743" s="372" t="n">
        <v>0</v>
      </c>
      <c r="L743" s="373" t="n">
        <v>0</v>
      </c>
      <c r="M743" s="358" t="n">
        <v>0</v>
      </c>
      <c r="N743" s="358" t="n">
        <v>0</v>
      </c>
      <c r="O743" s="372" t="n">
        <v>0</v>
      </c>
      <c r="P743" s="373" t="n">
        <v>0</v>
      </c>
      <c r="Q743" s="358" t="n">
        <v>0</v>
      </c>
      <c r="R743" s="358" t="n">
        <v>0</v>
      </c>
      <c r="S743" s="372" t="n">
        <v>0</v>
      </c>
      <c r="T743" s="373" t="n">
        <v>0</v>
      </c>
      <c r="U743" s="358" t="n">
        <v>0</v>
      </c>
      <c r="V743" s="358" t="n">
        <v>0</v>
      </c>
      <c r="W743" s="372" t="n">
        <v>0</v>
      </c>
      <c r="X743" s="373" t="n">
        <v>0</v>
      </c>
      <c r="Y743" s="358" t="n">
        <v>0</v>
      </c>
      <c r="Z743" s="358" t="n">
        <v>0</v>
      </c>
      <c r="AA743" s="358" t="n">
        <v>0</v>
      </c>
      <c r="AB743" s="373" t="n">
        <v>0</v>
      </c>
      <c r="AC743" s="358" t="n">
        <v>0</v>
      </c>
      <c r="AD743" s="358" t="n">
        <v>0</v>
      </c>
      <c r="AE743" s="358" t="n">
        <v>0</v>
      </c>
      <c r="AF743" s="359" t="n">
        <v>1</v>
      </c>
    </row>
    <row r="744" customFormat="false" ht="15" hidden="true" customHeight="false" outlineLevel="0" collapsed="false">
      <c r="B744" s="360" t="s">
        <v>3216</v>
      </c>
      <c r="C744" s="359" t="n">
        <v>1</v>
      </c>
      <c r="D744" s="358" t="n">
        <v>0</v>
      </c>
      <c r="E744" s="358" t="n">
        <v>0</v>
      </c>
      <c r="F744" s="358" t="n">
        <v>0</v>
      </c>
      <c r="G744" s="372" t="n">
        <v>0</v>
      </c>
      <c r="H744" s="373" t="n">
        <v>0</v>
      </c>
      <c r="I744" s="358" t="n">
        <v>0</v>
      </c>
      <c r="J744" s="358" t="n">
        <v>0</v>
      </c>
      <c r="K744" s="372" t="n">
        <v>0</v>
      </c>
      <c r="L744" s="373" t="n">
        <v>0</v>
      </c>
      <c r="M744" s="358" t="n">
        <v>0</v>
      </c>
      <c r="N744" s="358" t="n">
        <v>0</v>
      </c>
      <c r="O744" s="372" t="n">
        <v>0</v>
      </c>
      <c r="P744" s="373" t="n">
        <v>0</v>
      </c>
      <c r="Q744" s="358" t="n">
        <v>0</v>
      </c>
      <c r="R744" s="358" t="n">
        <v>0</v>
      </c>
      <c r="S744" s="372" t="n">
        <v>0</v>
      </c>
      <c r="T744" s="373" t="n">
        <v>0</v>
      </c>
      <c r="U744" s="358" t="n">
        <v>0</v>
      </c>
      <c r="V744" s="358" t="n">
        <v>0</v>
      </c>
      <c r="W744" s="372" t="n">
        <v>0</v>
      </c>
      <c r="X744" s="373" t="n">
        <v>0</v>
      </c>
      <c r="Y744" s="358" t="n">
        <v>0</v>
      </c>
      <c r="Z744" s="358" t="n">
        <v>0</v>
      </c>
      <c r="AA744" s="358" t="n">
        <v>0</v>
      </c>
      <c r="AB744" s="373" t="n">
        <v>0</v>
      </c>
      <c r="AC744" s="358" t="n">
        <v>0</v>
      </c>
      <c r="AD744" s="358" t="n">
        <v>0</v>
      </c>
      <c r="AE744" s="358" t="n">
        <v>0</v>
      </c>
      <c r="AF744" s="359" t="n">
        <v>1</v>
      </c>
    </row>
    <row r="745" customFormat="false" ht="15" hidden="true" customHeight="false" outlineLevel="0" collapsed="false">
      <c r="B745" s="360" t="s">
        <v>3217</v>
      </c>
      <c r="C745" s="359" t="n">
        <v>1</v>
      </c>
      <c r="D745" s="358" t="n">
        <v>0</v>
      </c>
      <c r="E745" s="358" t="n">
        <v>0</v>
      </c>
      <c r="F745" s="358" t="n">
        <v>0</v>
      </c>
      <c r="G745" s="372" t="n">
        <v>0</v>
      </c>
      <c r="H745" s="373" t="n">
        <v>0</v>
      </c>
      <c r="I745" s="358" t="n">
        <v>0</v>
      </c>
      <c r="J745" s="358" t="n">
        <v>0</v>
      </c>
      <c r="K745" s="372" t="n">
        <v>0</v>
      </c>
      <c r="L745" s="373" t="n">
        <v>0</v>
      </c>
      <c r="M745" s="358" t="n">
        <v>0</v>
      </c>
      <c r="N745" s="358" t="n">
        <v>0</v>
      </c>
      <c r="O745" s="372" t="n">
        <v>0</v>
      </c>
      <c r="P745" s="373" t="n">
        <v>0</v>
      </c>
      <c r="Q745" s="358" t="n">
        <v>0</v>
      </c>
      <c r="R745" s="358" t="n">
        <v>0</v>
      </c>
      <c r="S745" s="372" t="n">
        <v>0</v>
      </c>
      <c r="T745" s="373" t="n">
        <v>0</v>
      </c>
      <c r="U745" s="358" t="n">
        <v>0</v>
      </c>
      <c r="V745" s="358" t="n">
        <v>0</v>
      </c>
      <c r="W745" s="372" t="n">
        <v>0</v>
      </c>
      <c r="X745" s="373" t="n">
        <v>0</v>
      </c>
      <c r="Y745" s="358" t="n">
        <v>0</v>
      </c>
      <c r="Z745" s="358" t="n">
        <v>0</v>
      </c>
      <c r="AA745" s="358" t="n">
        <v>0</v>
      </c>
      <c r="AB745" s="373" t="n">
        <v>0</v>
      </c>
      <c r="AC745" s="358" t="n">
        <v>0</v>
      </c>
      <c r="AD745" s="358" t="n">
        <v>0</v>
      </c>
      <c r="AE745" s="358" t="n">
        <v>0</v>
      </c>
      <c r="AF745" s="359" t="n">
        <v>1</v>
      </c>
    </row>
    <row r="746" customFormat="false" ht="15" hidden="true" customHeight="false" outlineLevel="0" collapsed="false">
      <c r="B746" s="360" t="s">
        <v>3218</v>
      </c>
      <c r="C746" s="359" t="n">
        <v>1</v>
      </c>
      <c r="D746" s="358" t="n">
        <v>0</v>
      </c>
      <c r="E746" s="358" t="n">
        <v>0</v>
      </c>
      <c r="F746" s="358" t="n">
        <v>0</v>
      </c>
      <c r="G746" s="372" t="n">
        <v>0</v>
      </c>
      <c r="H746" s="373" t="n">
        <v>0</v>
      </c>
      <c r="I746" s="358" t="n">
        <v>0</v>
      </c>
      <c r="J746" s="358" t="n">
        <v>0</v>
      </c>
      <c r="K746" s="372" t="n">
        <v>0</v>
      </c>
      <c r="L746" s="373" t="n">
        <v>0</v>
      </c>
      <c r="M746" s="358" t="n">
        <v>0</v>
      </c>
      <c r="N746" s="358" t="n">
        <v>0</v>
      </c>
      <c r="O746" s="372" t="n">
        <v>0</v>
      </c>
      <c r="P746" s="373" t="n">
        <v>0</v>
      </c>
      <c r="Q746" s="358" t="n">
        <v>0</v>
      </c>
      <c r="R746" s="358" t="n">
        <v>0</v>
      </c>
      <c r="S746" s="372" t="n">
        <v>0</v>
      </c>
      <c r="T746" s="373" t="n">
        <v>0</v>
      </c>
      <c r="U746" s="358" t="n">
        <v>0</v>
      </c>
      <c r="V746" s="358" t="n">
        <v>0</v>
      </c>
      <c r="W746" s="372" t="n">
        <v>0</v>
      </c>
      <c r="X746" s="373" t="n">
        <v>0</v>
      </c>
      <c r="Y746" s="358" t="n">
        <v>0</v>
      </c>
      <c r="Z746" s="358" t="n">
        <v>0</v>
      </c>
      <c r="AA746" s="358" t="n">
        <v>0</v>
      </c>
      <c r="AB746" s="373" t="n">
        <v>0</v>
      </c>
      <c r="AC746" s="358" t="n">
        <v>0</v>
      </c>
      <c r="AD746" s="358" t="n">
        <v>0</v>
      </c>
      <c r="AE746" s="358" t="n">
        <v>0</v>
      </c>
      <c r="AF746" s="359" t="n">
        <v>1</v>
      </c>
    </row>
    <row r="747" customFormat="false" ht="15" hidden="true" customHeight="false" outlineLevel="0" collapsed="false">
      <c r="B747" s="360" t="s">
        <v>3219</v>
      </c>
      <c r="C747" s="359" t="n">
        <v>1</v>
      </c>
      <c r="D747" s="358" t="n">
        <v>0</v>
      </c>
      <c r="E747" s="358" t="n">
        <v>0</v>
      </c>
      <c r="F747" s="358" t="n">
        <v>0</v>
      </c>
      <c r="G747" s="372" t="n">
        <v>0</v>
      </c>
      <c r="H747" s="373" t="n">
        <v>0</v>
      </c>
      <c r="I747" s="358" t="n">
        <v>0</v>
      </c>
      <c r="J747" s="358" t="n">
        <v>0</v>
      </c>
      <c r="K747" s="372" t="n">
        <v>0</v>
      </c>
      <c r="L747" s="373" t="n">
        <v>0</v>
      </c>
      <c r="M747" s="358" t="n">
        <v>0</v>
      </c>
      <c r="N747" s="358" t="n">
        <v>0</v>
      </c>
      <c r="O747" s="372" t="n">
        <v>0</v>
      </c>
      <c r="P747" s="373" t="n">
        <v>0</v>
      </c>
      <c r="Q747" s="358" t="n">
        <v>0</v>
      </c>
      <c r="R747" s="358" t="n">
        <v>0</v>
      </c>
      <c r="S747" s="372" t="n">
        <v>0</v>
      </c>
      <c r="T747" s="373" t="n">
        <v>0</v>
      </c>
      <c r="U747" s="358" t="n">
        <v>0</v>
      </c>
      <c r="V747" s="358" t="n">
        <v>0</v>
      </c>
      <c r="W747" s="372" t="n">
        <v>0</v>
      </c>
      <c r="X747" s="373" t="n">
        <v>0</v>
      </c>
      <c r="Y747" s="358" t="n">
        <v>0</v>
      </c>
      <c r="Z747" s="358" t="n">
        <v>0</v>
      </c>
      <c r="AA747" s="358" t="n">
        <v>0</v>
      </c>
      <c r="AB747" s="373" t="n">
        <v>0</v>
      </c>
      <c r="AC747" s="358" t="n">
        <v>0</v>
      </c>
      <c r="AD747" s="358" t="n">
        <v>0</v>
      </c>
      <c r="AE747" s="358" t="n">
        <v>0</v>
      </c>
      <c r="AF747" s="359" t="n">
        <v>1</v>
      </c>
    </row>
    <row r="748" customFormat="false" ht="15" hidden="true" customHeight="false" outlineLevel="0" collapsed="false">
      <c r="B748" s="360" t="s">
        <v>3220</v>
      </c>
      <c r="C748" s="359" t="n">
        <v>1</v>
      </c>
      <c r="D748" s="358" t="n">
        <v>0</v>
      </c>
      <c r="E748" s="358" t="n">
        <v>0</v>
      </c>
      <c r="F748" s="358" t="n">
        <v>0</v>
      </c>
      <c r="G748" s="372" t="n">
        <v>0</v>
      </c>
      <c r="H748" s="373" t="n">
        <v>0</v>
      </c>
      <c r="I748" s="358" t="n">
        <v>0</v>
      </c>
      <c r="J748" s="358" t="n">
        <v>0</v>
      </c>
      <c r="K748" s="372" t="n">
        <v>0</v>
      </c>
      <c r="L748" s="373" t="n">
        <v>0</v>
      </c>
      <c r="M748" s="358" t="n">
        <v>0</v>
      </c>
      <c r="N748" s="358" t="n">
        <v>0</v>
      </c>
      <c r="O748" s="372" t="n">
        <v>0</v>
      </c>
      <c r="P748" s="373" t="n">
        <v>0</v>
      </c>
      <c r="Q748" s="358" t="n">
        <v>0</v>
      </c>
      <c r="R748" s="358" t="n">
        <v>0</v>
      </c>
      <c r="S748" s="372" t="n">
        <v>0</v>
      </c>
      <c r="T748" s="373" t="n">
        <v>0</v>
      </c>
      <c r="U748" s="358" t="n">
        <v>0</v>
      </c>
      <c r="V748" s="358" t="n">
        <v>0</v>
      </c>
      <c r="W748" s="372" t="n">
        <v>0</v>
      </c>
      <c r="X748" s="373" t="n">
        <v>0</v>
      </c>
      <c r="Y748" s="358" t="n">
        <v>0</v>
      </c>
      <c r="Z748" s="358" t="n">
        <v>0</v>
      </c>
      <c r="AA748" s="358" t="n">
        <v>0</v>
      </c>
      <c r="AB748" s="373" t="n">
        <v>0</v>
      </c>
      <c r="AC748" s="358" t="n">
        <v>0</v>
      </c>
      <c r="AD748" s="358" t="n">
        <v>0</v>
      </c>
      <c r="AE748" s="358" t="n">
        <v>0</v>
      </c>
      <c r="AF748" s="359" t="n">
        <v>1</v>
      </c>
    </row>
    <row r="749" customFormat="false" ht="15" hidden="true" customHeight="false" outlineLevel="0" collapsed="false">
      <c r="B749" s="360" t="s">
        <v>3221</v>
      </c>
      <c r="C749" s="359" t="n">
        <v>1</v>
      </c>
      <c r="D749" s="358" t="n">
        <v>0</v>
      </c>
      <c r="E749" s="358" t="n">
        <v>0</v>
      </c>
      <c r="F749" s="358" t="n">
        <v>0</v>
      </c>
      <c r="G749" s="372" t="n">
        <v>0</v>
      </c>
      <c r="H749" s="373" t="n">
        <v>0</v>
      </c>
      <c r="I749" s="358" t="n">
        <v>0</v>
      </c>
      <c r="J749" s="358" t="n">
        <v>0</v>
      </c>
      <c r="K749" s="372" t="n">
        <v>0</v>
      </c>
      <c r="L749" s="373" t="n">
        <v>0</v>
      </c>
      <c r="M749" s="358" t="n">
        <v>0</v>
      </c>
      <c r="N749" s="358" t="n">
        <v>0</v>
      </c>
      <c r="O749" s="372" t="n">
        <v>0</v>
      </c>
      <c r="P749" s="373" t="n">
        <v>0</v>
      </c>
      <c r="Q749" s="358" t="n">
        <v>0</v>
      </c>
      <c r="R749" s="358" t="n">
        <v>0</v>
      </c>
      <c r="S749" s="372" t="n">
        <v>0</v>
      </c>
      <c r="T749" s="373" t="n">
        <v>0</v>
      </c>
      <c r="U749" s="358" t="n">
        <v>0</v>
      </c>
      <c r="V749" s="358" t="n">
        <v>0</v>
      </c>
      <c r="W749" s="372" t="n">
        <v>0</v>
      </c>
      <c r="X749" s="373" t="n">
        <v>0</v>
      </c>
      <c r="Y749" s="358" t="n">
        <v>0</v>
      </c>
      <c r="Z749" s="358" t="n">
        <v>0</v>
      </c>
      <c r="AA749" s="358" t="n">
        <v>0</v>
      </c>
      <c r="AB749" s="373" t="n">
        <v>0</v>
      </c>
      <c r="AC749" s="358" t="n">
        <v>0</v>
      </c>
      <c r="AD749" s="358" t="n">
        <v>0</v>
      </c>
      <c r="AE749" s="358" t="n">
        <v>0</v>
      </c>
      <c r="AF749" s="359" t="n">
        <v>1</v>
      </c>
    </row>
    <row r="750" customFormat="false" ht="15" hidden="true" customHeight="false" outlineLevel="0" collapsed="false">
      <c r="B750" s="360" t="s">
        <v>3222</v>
      </c>
      <c r="C750" s="359" t="n">
        <v>1</v>
      </c>
      <c r="D750" s="358" t="n">
        <v>0</v>
      </c>
      <c r="E750" s="358" t="n">
        <v>0</v>
      </c>
      <c r="F750" s="358" t="n">
        <v>0</v>
      </c>
      <c r="G750" s="372" t="n">
        <v>0</v>
      </c>
      <c r="H750" s="373" t="n">
        <v>0</v>
      </c>
      <c r="I750" s="358" t="n">
        <v>0</v>
      </c>
      <c r="J750" s="358" t="n">
        <v>0</v>
      </c>
      <c r="K750" s="372" t="n">
        <v>0</v>
      </c>
      <c r="L750" s="373" t="n">
        <v>0</v>
      </c>
      <c r="M750" s="358" t="n">
        <v>0</v>
      </c>
      <c r="N750" s="358" t="n">
        <v>0</v>
      </c>
      <c r="O750" s="372" t="n">
        <v>0</v>
      </c>
      <c r="P750" s="373" t="n">
        <v>0</v>
      </c>
      <c r="Q750" s="358" t="n">
        <v>0</v>
      </c>
      <c r="R750" s="358" t="n">
        <v>0</v>
      </c>
      <c r="S750" s="372" t="n">
        <v>0</v>
      </c>
      <c r="T750" s="373" t="n">
        <v>0</v>
      </c>
      <c r="U750" s="358" t="n">
        <v>0</v>
      </c>
      <c r="V750" s="358" t="n">
        <v>0</v>
      </c>
      <c r="W750" s="372" t="n">
        <v>0</v>
      </c>
      <c r="X750" s="373" t="n">
        <v>0</v>
      </c>
      <c r="Y750" s="358" t="n">
        <v>0</v>
      </c>
      <c r="Z750" s="358" t="n">
        <v>0</v>
      </c>
      <c r="AA750" s="358" t="n">
        <v>0</v>
      </c>
      <c r="AB750" s="373" t="n">
        <v>0</v>
      </c>
      <c r="AC750" s="358" t="n">
        <v>0</v>
      </c>
      <c r="AD750" s="358" t="n">
        <v>0</v>
      </c>
      <c r="AE750" s="358" t="n">
        <v>0</v>
      </c>
      <c r="AF750" s="359" t="n">
        <v>1</v>
      </c>
    </row>
    <row r="751" customFormat="false" ht="15" hidden="true" customHeight="false" outlineLevel="0" collapsed="false">
      <c r="B751" s="360" t="s">
        <v>3223</v>
      </c>
      <c r="C751" s="359" t="n">
        <v>1</v>
      </c>
      <c r="D751" s="358" t="n">
        <v>0</v>
      </c>
      <c r="E751" s="358" t="n">
        <v>0</v>
      </c>
      <c r="F751" s="358" t="n">
        <v>0</v>
      </c>
      <c r="G751" s="372" t="n">
        <v>0</v>
      </c>
      <c r="H751" s="373" t="n">
        <v>0</v>
      </c>
      <c r="I751" s="358" t="n">
        <v>0</v>
      </c>
      <c r="J751" s="358" t="n">
        <v>0</v>
      </c>
      <c r="K751" s="372" t="n">
        <v>0</v>
      </c>
      <c r="L751" s="373" t="n">
        <v>0</v>
      </c>
      <c r="M751" s="358" t="n">
        <v>0</v>
      </c>
      <c r="N751" s="358" t="n">
        <v>0</v>
      </c>
      <c r="O751" s="372" t="n">
        <v>0</v>
      </c>
      <c r="P751" s="373" t="n">
        <v>0</v>
      </c>
      <c r="Q751" s="358" t="n">
        <v>0</v>
      </c>
      <c r="R751" s="358" t="n">
        <v>0</v>
      </c>
      <c r="S751" s="372" t="n">
        <v>0</v>
      </c>
      <c r="T751" s="373" t="n">
        <v>0</v>
      </c>
      <c r="U751" s="358" t="n">
        <v>0</v>
      </c>
      <c r="V751" s="358" t="n">
        <v>0</v>
      </c>
      <c r="W751" s="372" t="n">
        <v>0</v>
      </c>
      <c r="X751" s="373" t="n">
        <v>0</v>
      </c>
      <c r="Y751" s="358" t="n">
        <v>0</v>
      </c>
      <c r="Z751" s="358" t="n">
        <v>0</v>
      </c>
      <c r="AA751" s="358" t="n">
        <v>0</v>
      </c>
      <c r="AB751" s="373" t="n">
        <v>0</v>
      </c>
      <c r="AC751" s="358" t="n">
        <v>0</v>
      </c>
      <c r="AD751" s="358" t="n">
        <v>0</v>
      </c>
      <c r="AE751" s="358" t="n">
        <v>0</v>
      </c>
      <c r="AF751" s="359" t="n">
        <v>1</v>
      </c>
    </row>
    <row r="752" customFormat="false" ht="15" hidden="true" customHeight="false" outlineLevel="0" collapsed="false">
      <c r="B752" s="360" t="s">
        <v>3224</v>
      </c>
      <c r="C752" s="359" t="n">
        <v>1</v>
      </c>
      <c r="D752" s="358" t="n">
        <v>0</v>
      </c>
      <c r="E752" s="358" t="n">
        <v>0</v>
      </c>
      <c r="F752" s="358" t="n">
        <v>0</v>
      </c>
      <c r="G752" s="372" t="n">
        <v>0</v>
      </c>
      <c r="H752" s="373" t="n">
        <v>0</v>
      </c>
      <c r="I752" s="358" t="n">
        <v>0</v>
      </c>
      <c r="J752" s="358" t="n">
        <v>0</v>
      </c>
      <c r="K752" s="372" t="n">
        <v>0</v>
      </c>
      <c r="L752" s="373" t="n">
        <v>0</v>
      </c>
      <c r="M752" s="358" t="n">
        <v>0</v>
      </c>
      <c r="N752" s="358" t="n">
        <v>0</v>
      </c>
      <c r="O752" s="372" t="n">
        <v>0</v>
      </c>
      <c r="P752" s="373" t="n">
        <v>0</v>
      </c>
      <c r="Q752" s="358" t="n">
        <v>0</v>
      </c>
      <c r="R752" s="358" t="n">
        <v>0</v>
      </c>
      <c r="S752" s="372" t="n">
        <v>0</v>
      </c>
      <c r="T752" s="373" t="n">
        <v>0</v>
      </c>
      <c r="U752" s="358" t="n">
        <v>0</v>
      </c>
      <c r="V752" s="358" t="n">
        <v>0</v>
      </c>
      <c r="W752" s="372" t="n">
        <v>0</v>
      </c>
      <c r="X752" s="373" t="n">
        <v>0</v>
      </c>
      <c r="Y752" s="358" t="n">
        <v>0</v>
      </c>
      <c r="Z752" s="358" t="n">
        <v>0</v>
      </c>
      <c r="AA752" s="358" t="n">
        <v>0</v>
      </c>
      <c r="AB752" s="373" t="n">
        <v>0</v>
      </c>
      <c r="AC752" s="358" t="n">
        <v>0</v>
      </c>
      <c r="AD752" s="358" t="n">
        <v>0</v>
      </c>
      <c r="AE752" s="358" t="n">
        <v>0</v>
      </c>
      <c r="AF752" s="359" t="n">
        <v>1</v>
      </c>
    </row>
    <row r="753" customFormat="false" ht="15" hidden="true" customHeight="false" outlineLevel="0" collapsed="false">
      <c r="B753" s="360" t="s">
        <v>3225</v>
      </c>
      <c r="C753" s="359" t="n">
        <v>1</v>
      </c>
      <c r="D753" s="358" t="n">
        <v>0</v>
      </c>
      <c r="E753" s="358" t="n">
        <v>0</v>
      </c>
      <c r="F753" s="358" t="n">
        <v>0</v>
      </c>
      <c r="G753" s="372" t="n">
        <v>0</v>
      </c>
      <c r="H753" s="373" t="n">
        <v>0</v>
      </c>
      <c r="I753" s="358" t="n">
        <v>0</v>
      </c>
      <c r="J753" s="358" t="n">
        <v>0</v>
      </c>
      <c r="K753" s="372" t="n">
        <v>0</v>
      </c>
      <c r="L753" s="373" t="n">
        <v>0</v>
      </c>
      <c r="M753" s="358" t="n">
        <v>0</v>
      </c>
      <c r="N753" s="358" t="n">
        <v>0</v>
      </c>
      <c r="O753" s="372" t="n">
        <v>0</v>
      </c>
      <c r="P753" s="373" t="n">
        <v>0</v>
      </c>
      <c r="Q753" s="358" t="n">
        <v>0</v>
      </c>
      <c r="R753" s="358" t="n">
        <v>0</v>
      </c>
      <c r="S753" s="372" t="n">
        <v>0</v>
      </c>
      <c r="T753" s="373" t="n">
        <v>0</v>
      </c>
      <c r="U753" s="358" t="n">
        <v>0</v>
      </c>
      <c r="V753" s="358" t="n">
        <v>0</v>
      </c>
      <c r="W753" s="372" t="n">
        <v>0</v>
      </c>
      <c r="X753" s="373" t="n">
        <v>0</v>
      </c>
      <c r="Y753" s="358" t="n">
        <v>0</v>
      </c>
      <c r="Z753" s="358" t="n">
        <v>0</v>
      </c>
      <c r="AA753" s="358" t="n">
        <v>0</v>
      </c>
      <c r="AB753" s="373" t="n">
        <v>0</v>
      </c>
      <c r="AC753" s="358" t="n">
        <v>0</v>
      </c>
      <c r="AD753" s="358" t="n">
        <v>0</v>
      </c>
      <c r="AE753" s="358" t="n">
        <v>0</v>
      </c>
      <c r="AF753" s="359" t="n">
        <v>1</v>
      </c>
    </row>
    <row r="754" customFormat="false" ht="15" hidden="true" customHeight="false" outlineLevel="0" collapsed="false">
      <c r="B754" s="360" t="s">
        <v>3226</v>
      </c>
      <c r="C754" s="359" t="n">
        <v>1</v>
      </c>
      <c r="D754" s="358" t="n">
        <v>0</v>
      </c>
      <c r="E754" s="358" t="n">
        <v>0</v>
      </c>
      <c r="F754" s="358" t="n">
        <v>0</v>
      </c>
      <c r="G754" s="372" t="n">
        <v>0</v>
      </c>
      <c r="H754" s="373" t="n">
        <v>0</v>
      </c>
      <c r="I754" s="358" t="n">
        <v>0</v>
      </c>
      <c r="J754" s="358" t="n">
        <v>0</v>
      </c>
      <c r="K754" s="372" t="n">
        <v>0</v>
      </c>
      <c r="L754" s="373" t="n">
        <v>0</v>
      </c>
      <c r="M754" s="358" t="n">
        <v>0</v>
      </c>
      <c r="N754" s="358" t="n">
        <v>0</v>
      </c>
      <c r="O754" s="372" t="n">
        <v>0</v>
      </c>
      <c r="P754" s="373" t="n">
        <v>0</v>
      </c>
      <c r="Q754" s="358" t="n">
        <v>0</v>
      </c>
      <c r="R754" s="358" t="n">
        <v>0</v>
      </c>
      <c r="S754" s="372" t="n">
        <v>0</v>
      </c>
      <c r="T754" s="373" t="n">
        <v>0</v>
      </c>
      <c r="U754" s="358" t="n">
        <v>0</v>
      </c>
      <c r="V754" s="358" t="n">
        <v>0</v>
      </c>
      <c r="W754" s="372" t="n">
        <v>0</v>
      </c>
      <c r="X754" s="373" t="n">
        <v>0</v>
      </c>
      <c r="Y754" s="358" t="n">
        <v>0</v>
      </c>
      <c r="Z754" s="358" t="n">
        <v>0</v>
      </c>
      <c r="AA754" s="358" t="n">
        <v>0</v>
      </c>
      <c r="AB754" s="373" t="n">
        <v>0</v>
      </c>
      <c r="AC754" s="358" t="n">
        <v>0</v>
      </c>
      <c r="AD754" s="358" t="n">
        <v>0</v>
      </c>
      <c r="AE754" s="358" t="n">
        <v>0</v>
      </c>
      <c r="AF754" s="359" t="n">
        <v>1</v>
      </c>
    </row>
    <row r="755" customFormat="false" ht="15" hidden="true" customHeight="false" outlineLevel="0" collapsed="false">
      <c r="B755" s="360" t="s">
        <v>3227</v>
      </c>
      <c r="C755" s="359" t="n">
        <v>1</v>
      </c>
      <c r="D755" s="358" t="n">
        <v>0</v>
      </c>
      <c r="E755" s="358" t="n">
        <v>0</v>
      </c>
      <c r="F755" s="358" t="n">
        <v>0</v>
      </c>
      <c r="G755" s="372" t="n">
        <v>0</v>
      </c>
      <c r="H755" s="373" t="n">
        <v>0</v>
      </c>
      <c r="I755" s="358" t="n">
        <v>0</v>
      </c>
      <c r="J755" s="358" t="n">
        <v>0</v>
      </c>
      <c r="K755" s="372" t="n">
        <v>0</v>
      </c>
      <c r="L755" s="373" t="n">
        <v>0</v>
      </c>
      <c r="M755" s="358" t="n">
        <v>0</v>
      </c>
      <c r="N755" s="358" t="n">
        <v>0</v>
      </c>
      <c r="O755" s="372" t="n">
        <v>0</v>
      </c>
      <c r="P755" s="373" t="n">
        <v>0</v>
      </c>
      <c r="Q755" s="358" t="n">
        <v>0</v>
      </c>
      <c r="R755" s="358" t="n">
        <v>0</v>
      </c>
      <c r="S755" s="372" t="n">
        <v>0</v>
      </c>
      <c r="T755" s="373" t="n">
        <v>0</v>
      </c>
      <c r="U755" s="358" t="n">
        <v>0</v>
      </c>
      <c r="V755" s="358" t="n">
        <v>0</v>
      </c>
      <c r="W755" s="372" t="n">
        <v>0</v>
      </c>
      <c r="X755" s="373" t="n">
        <v>0</v>
      </c>
      <c r="Y755" s="358" t="n">
        <v>0</v>
      </c>
      <c r="Z755" s="358" t="n">
        <v>0</v>
      </c>
      <c r="AA755" s="358" t="n">
        <v>0</v>
      </c>
      <c r="AB755" s="373" t="n">
        <v>0</v>
      </c>
      <c r="AC755" s="358" t="n">
        <v>0</v>
      </c>
      <c r="AD755" s="358" t="n">
        <v>0</v>
      </c>
      <c r="AE755" s="358" t="n">
        <v>0</v>
      </c>
      <c r="AF755" s="359" t="n">
        <v>1</v>
      </c>
    </row>
    <row r="756" customFormat="false" ht="15" hidden="true" customHeight="false" outlineLevel="0" collapsed="false">
      <c r="B756" s="360" t="s">
        <v>3228</v>
      </c>
      <c r="C756" s="359" t="n">
        <v>1</v>
      </c>
      <c r="D756" s="358" t="n">
        <v>0</v>
      </c>
      <c r="E756" s="358" t="n">
        <v>0</v>
      </c>
      <c r="F756" s="358" t="n">
        <v>0</v>
      </c>
      <c r="G756" s="372" t="n">
        <v>0</v>
      </c>
      <c r="H756" s="373" t="n">
        <v>0</v>
      </c>
      <c r="I756" s="358" t="n">
        <v>0</v>
      </c>
      <c r="J756" s="358" t="n">
        <v>0</v>
      </c>
      <c r="K756" s="372" t="n">
        <v>0</v>
      </c>
      <c r="L756" s="373" t="n">
        <v>0</v>
      </c>
      <c r="M756" s="358" t="n">
        <v>0</v>
      </c>
      <c r="N756" s="358" t="n">
        <v>0</v>
      </c>
      <c r="O756" s="372" t="n">
        <v>0</v>
      </c>
      <c r="P756" s="373" t="n">
        <v>0</v>
      </c>
      <c r="Q756" s="358" t="n">
        <v>0</v>
      </c>
      <c r="R756" s="358" t="n">
        <v>0</v>
      </c>
      <c r="S756" s="372" t="n">
        <v>0</v>
      </c>
      <c r="T756" s="373" t="n">
        <v>0</v>
      </c>
      <c r="U756" s="358" t="n">
        <v>0</v>
      </c>
      <c r="V756" s="358" t="n">
        <v>0</v>
      </c>
      <c r="W756" s="372" t="n">
        <v>0</v>
      </c>
      <c r="X756" s="373" t="n">
        <v>0</v>
      </c>
      <c r="Y756" s="358" t="n">
        <v>0</v>
      </c>
      <c r="Z756" s="358" t="n">
        <v>0</v>
      </c>
      <c r="AA756" s="358" t="n">
        <v>0</v>
      </c>
      <c r="AB756" s="373" t="n">
        <v>0</v>
      </c>
      <c r="AC756" s="358" t="n">
        <v>0</v>
      </c>
      <c r="AD756" s="358" t="n">
        <v>0</v>
      </c>
      <c r="AE756" s="358" t="n">
        <v>0</v>
      </c>
      <c r="AF756" s="359" t="n">
        <v>1</v>
      </c>
    </row>
    <row r="757" customFormat="false" ht="15" hidden="true" customHeight="false" outlineLevel="0" collapsed="false">
      <c r="B757" s="360" t="s">
        <v>3229</v>
      </c>
      <c r="C757" s="359" t="n">
        <v>1</v>
      </c>
      <c r="D757" s="358" t="n">
        <v>0</v>
      </c>
      <c r="E757" s="358" t="n">
        <v>0</v>
      </c>
      <c r="F757" s="358" t="n">
        <v>0</v>
      </c>
      <c r="G757" s="372" t="n">
        <v>0</v>
      </c>
      <c r="H757" s="373" t="n">
        <v>0</v>
      </c>
      <c r="I757" s="358" t="n">
        <v>0</v>
      </c>
      <c r="J757" s="358" t="n">
        <v>0</v>
      </c>
      <c r="K757" s="372" t="n">
        <v>0</v>
      </c>
      <c r="L757" s="373" t="n">
        <v>0</v>
      </c>
      <c r="M757" s="358" t="n">
        <v>0</v>
      </c>
      <c r="N757" s="358" t="n">
        <v>0</v>
      </c>
      <c r="O757" s="372" t="n">
        <v>0</v>
      </c>
      <c r="P757" s="373" t="n">
        <v>0</v>
      </c>
      <c r="Q757" s="358" t="n">
        <v>0</v>
      </c>
      <c r="R757" s="358" t="n">
        <v>0</v>
      </c>
      <c r="S757" s="372" t="n">
        <v>0</v>
      </c>
      <c r="T757" s="373" t="n">
        <v>0</v>
      </c>
      <c r="U757" s="358" t="n">
        <v>0</v>
      </c>
      <c r="V757" s="358" t="n">
        <v>0</v>
      </c>
      <c r="W757" s="372" t="n">
        <v>0</v>
      </c>
      <c r="X757" s="373" t="n">
        <v>0</v>
      </c>
      <c r="Y757" s="358" t="n">
        <v>0</v>
      </c>
      <c r="Z757" s="358" t="n">
        <v>0</v>
      </c>
      <c r="AA757" s="358" t="n">
        <v>0</v>
      </c>
      <c r="AB757" s="373" t="n">
        <v>0</v>
      </c>
      <c r="AC757" s="358" t="n">
        <v>0</v>
      </c>
      <c r="AD757" s="358" t="n">
        <v>0</v>
      </c>
      <c r="AE757" s="358" t="n">
        <v>0</v>
      </c>
      <c r="AF757" s="359" t="n">
        <v>1</v>
      </c>
    </row>
    <row r="758" customFormat="false" ht="15" hidden="true" customHeight="false" outlineLevel="0" collapsed="false">
      <c r="B758" s="360" t="s">
        <v>3230</v>
      </c>
      <c r="C758" s="359" t="n">
        <v>1</v>
      </c>
      <c r="D758" s="358" t="n">
        <v>0</v>
      </c>
      <c r="E758" s="358" t="n">
        <v>0</v>
      </c>
      <c r="F758" s="358" t="n">
        <v>0</v>
      </c>
      <c r="G758" s="372" t="n">
        <v>0</v>
      </c>
      <c r="H758" s="373" t="n">
        <v>0</v>
      </c>
      <c r="I758" s="358" t="n">
        <v>0</v>
      </c>
      <c r="J758" s="358" t="n">
        <v>0</v>
      </c>
      <c r="K758" s="372" t="n">
        <v>0</v>
      </c>
      <c r="L758" s="373" t="n">
        <v>0</v>
      </c>
      <c r="M758" s="358" t="n">
        <v>0</v>
      </c>
      <c r="N758" s="358" t="n">
        <v>0</v>
      </c>
      <c r="O758" s="372" t="n">
        <v>0</v>
      </c>
      <c r="P758" s="373" t="n">
        <v>0</v>
      </c>
      <c r="Q758" s="358" t="n">
        <v>0</v>
      </c>
      <c r="R758" s="358" t="n">
        <v>0</v>
      </c>
      <c r="S758" s="372" t="n">
        <v>0</v>
      </c>
      <c r="T758" s="373" t="n">
        <v>0</v>
      </c>
      <c r="U758" s="358" t="n">
        <v>0</v>
      </c>
      <c r="V758" s="358" t="n">
        <v>0</v>
      </c>
      <c r="W758" s="372" t="n">
        <v>0</v>
      </c>
      <c r="X758" s="373" t="n">
        <v>0</v>
      </c>
      <c r="Y758" s="358" t="n">
        <v>0</v>
      </c>
      <c r="Z758" s="358" t="n">
        <v>0</v>
      </c>
      <c r="AA758" s="358" t="n">
        <v>0</v>
      </c>
      <c r="AB758" s="373" t="n">
        <v>0</v>
      </c>
      <c r="AC758" s="358" t="n">
        <v>0</v>
      </c>
      <c r="AD758" s="358" t="n">
        <v>0</v>
      </c>
      <c r="AE758" s="358" t="n">
        <v>0</v>
      </c>
      <c r="AF758" s="359" t="n">
        <v>1</v>
      </c>
    </row>
    <row r="759" customFormat="false" ht="15" hidden="true" customHeight="false" outlineLevel="0" collapsed="false">
      <c r="B759" s="360" t="s">
        <v>3231</v>
      </c>
      <c r="C759" s="359" t="n">
        <v>1</v>
      </c>
      <c r="D759" s="358" t="n">
        <v>0</v>
      </c>
      <c r="E759" s="358" t="n">
        <v>0</v>
      </c>
      <c r="F759" s="358" t="n">
        <v>0</v>
      </c>
      <c r="G759" s="372" t="n">
        <v>0</v>
      </c>
      <c r="H759" s="373" t="n">
        <v>0</v>
      </c>
      <c r="I759" s="358" t="n">
        <v>0</v>
      </c>
      <c r="J759" s="358" t="n">
        <v>0</v>
      </c>
      <c r="K759" s="372" t="n">
        <v>0</v>
      </c>
      <c r="L759" s="373" t="n">
        <v>0</v>
      </c>
      <c r="M759" s="358" t="n">
        <v>0</v>
      </c>
      <c r="N759" s="358" t="n">
        <v>0</v>
      </c>
      <c r="O759" s="372" t="n">
        <v>0</v>
      </c>
      <c r="P759" s="373" t="n">
        <v>0</v>
      </c>
      <c r="Q759" s="358" t="n">
        <v>0</v>
      </c>
      <c r="R759" s="358" t="n">
        <v>0</v>
      </c>
      <c r="S759" s="372" t="n">
        <v>0</v>
      </c>
      <c r="T759" s="373" t="n">
        <v>0</v>
      </c>
      <c r="U759" s="358" t="n">
        <v>0</v>
      </c>
      <c r="V759" s="358" t="n">
        <v>0</v>
      </c>
      <c r="W759" s="372" t="n">
        <v>0</v>
      </c>
      <c r="X759" s="373" t="n">
        <v>0</v>
      </c>
      <c r="Y759" s="358" t="n">
        <v>0</v>
      </c>
      <c r="Z759" s="358" t="n">
        <v>0</v>
      </c>
      <c r="AA759" s="358" t="n">
        <v>0</v>
      </c>
      <c r="AB759" s="373" t="n">
        <v>0</v>
      </c>
      <c r="AC759" s="358" t="n">
        <v>0</v>
      </c>
      <c r="AD759" s="358" t="n">
        <v>0</v>
      </c>
      <c r="AE759" s="358" t="n">
        <v>0</v>
      </c>
      <c r="AF759" s="359" t="n">
        <v>1</v>
      </c>
    </row>
    <row r="760" customFormat="false" ht="15" hidden="true" customHeight="false" outlineLevel="0" collapsed="false">
      <c r="B760" s="360" t="s">
        <v>3232</v>
      </c>
      <c r="C760" s="359" t="n">
        <v>1</v>
      </c>
      <c r="D760" s="358" t="n">
        <v>0</v>
      </c>
      <c r="E760" s="358" t="n">
        <v>0</v>
      </c>
      <c r="F760" s="358" t="n">
        <v>0</v>
      </c>
      <c r="G760" s="372" t="n">
        <v>0</v>
      </c>
      <c r="H760" s="373" t="n">
        <v>0</v>
      </c>
      <c r="I760" s="358" t="n">
        <v>0</v>
      </c>
      <c r="J760" s="358" t="n">
        <v>0</v>
      </c>
      <c r="K760" s="372" t="n">
        <v>0</v>
      </c>
      <c r="L760" s="373" t="n">
        <v>0</v>
      </c>
      <c r="M760" s="358" t="n">
        <v>0</v>
      </c>
      <c r="N760" s="358" t="n">
        <v>0</v>
      </c>
      <c r="O760" s="372" t="n">
        <v>0</v>
      </c>
      <c r="P760" s="373" t="n">
        <v>0</v>
      </c>
      <c r="Q760" s="358" t="n">
        <v>0</v>
      </c>
      <c r="R760" s="358" t="n">
        <v>0</v>
      </c>
      <c r="S760" s="372" t="n">
        <v>0</v>
      </c>
      <c r="T760" s="373" t="n">
        <v>0</v>
      </c>
      <c r="U760" s="358" t="n">
        <v>0</v>
      </c>
      <c r="V760" s="358" t="n">
        <v>0</v>
      </c>
      <c r="W760" s="372" t="n">
        <v>0</v>
      </c>
      <c r="X760" s="373" t="n">
        <v>0</v>
      </c>
      <c r="Y760" s="358" t="n">
        <v>0</v>
      </c>
      <c r="Z760" s="358" t="n">
        <v>0</v>
      </c>
      <c r="AA760" s="358" t="n">
        <v>0</v>
      </c>
      <c r="AB760" s="373" t="n">
        <v>0</v>
      </c>
      <c r="AC760" s="358" t="n">
        <v>0</v>
      </c>
      <c r="AD760" s="358" t="n">
        <v>0</v>
      </c>
      <c r="AE760" s="358" t="n">
        <v>0</v>
      </c>
      <c r="AF760" s="359" t="n">
        <v>1</v>
      </c>
    </row>
    <row r="761" customFormat="false" ht="15" hidden="true" customHeight="false" outlineLevel="0" collapsed="false">
      <c r="B761" s="360" t="s">
        <v>3233</v>
      </c>
      <c r="C761" s="359" t="n">
        <v>1</v>
      </c>
      <c r="D761" s="358" t="n">
        <v>0</v>
      </c>
      <c r="E761" s="358" t="n">
        <v>0</v>
      </c>
      <c r="F761" s="358" t="n">
        <v>0</v>
      </c>
      <c r="G761" s="372" t="n">
        <v>0</v>
      </c>
      <c r="H761" s="373" t="n">
        <v>0</v>
      </c>
      <c r="I761" s="358" t="n">
        <v>0</v>
      </c>
      <c r="J761" s="358" t="n">
        <v>0</v>
      </c>
      <c r="K761" s="372" t="n">
        <v>0</v>
      </c>
      <c r="L761" s="373" t="n">
        <v>0</v>
      </c>
      <c r="M761" s="358" t="n">
        <v>0</v>
      </c>
      <c r="N761" s="358" t="n">
        <v>0</v>
      </c>
      <c r="O761" s="372" t="n">
        <v>0</v>
      </c>
      <c r="P761" s="373" t="n">
        <v>0</v>
      </c>
      <c r="Q761" s="358" t="n">
        <v>0</v>
      </c>
      <c r="R761" s="358" t="n">
        <v>0</v>
      </c>
      <c r="S761" s="372" t="n">
        <v>0</v>
      </c>
      <c r="T761" s="373" t="n">
        <v>0</v>
      </c>
      <c r="U761" s="358" t="n">
        <v>0</v>
      </c>
      <c r="V761" s="358" t="n">
        <v>0</v>
      </c>
      <c r="W761" s="372" t="n">
        <v>0</v>
      </c>
      <c r="X761" s="373" t="n">
        <v>0</v>
      </c>
      <c r="Y761" s="358" t="n">
        <v>0</v>
      </c>
      <c r="Z761" s="358" t="n">
        <v>0</v>
      </c>
      <c r="AA761" s="358" t="n">
        <v>0</v>
      </c>
      <c r="AB761" s="373" t="n">
        <v>0</v>
      </c>
      <c r="AC761" s="358" t="n">
        <v>0</v>
      </c>
      <c r="AD761" s="358" t="n">
        <v>0</v>
      </c>
      <c r="AE761" s="358" t="n">
        <v>0</v>
      </c>
      <c r="AF761" s="359" t="n">
        <v>1</v>
      </c>
    </row>
    <row r="762" customFormat="false" ht="15" hidden="true" customHeight="false" outlineLevel="0" collapsed="false">
      <c r="B762" s="360" t="s">
        <v>3234</v>
      </c>
      <c r="C762" s="359" t="n">
        <v>1</v>
      </c>
      <c r="D762" s="358" t="n">
        <v>0</v>
      </c>
      <c r="E762" s="358" t="n">
        <v>0</v>
      </c>
      <c r="F762" s="358" t="n">
        <v>0</v>
      </c>
      <c r="G762" s="372" t="n">
        <v>0</v>
      </c>
      <c r="H762" s="373" t="n">
        <v>0</v>
      </c>
      <c r="I762" s="358" t="n">
        <v>0</v>
      </c>
      <c r="J762" s="358" t="n">
        <v>0</v>
      </c>
      <c r="K762" s="372" t="n">
        <v>0</v>
      </c>
      <c r="L762" s="373" t="n">
        <v>0</v>
      </c>
      <c r="M762" s="358" t="n">
        <v>0</v>
      </c>
      <c r="N762" s="358" t="n">
        <v>0</v>
      </c>
      <c r="O762" s="372" t="n">
        <v>0</v>
      </c>
      <c r="P762" s="373" t="n">
        <v>0</v>
      </c>
      <c r="Q762" s="358" t="n">
        <v>0</v>
      </c>
      <c r="R762" s="358" t="n">
        <v>0</v>
      </c>
      <c r="S762" s="372" t="n">
        <v>0</v>
      </c>
      <c r="T762" s="373" t="n">
        <v>0</v>
      </c>
      <c r="U762" s="358" t="n">
        <v>0</v>
      </c>
      <c r="V762" s="358" t="n">
        <v>0</v>
      </c>
      <c r="W762" s="372" t="n">
        <v>0</v>
      </c>
      <c r="X762" s="373" t="n">
        <v>0</v>
      </c>
      <c r="Y762" s="358" t="n">
        <v>0</v>
      </c>
      <c r="Z762" s="358" t="n">
        <v>0</v>
      </c>
      <c r="AA762" s="358" t="n">
        <v>0</v>
      </c>
      <c r="AB762" s="373" t="n">
        <v>0</v>
      </c>
      <c r="AC762" s="358" t="n">
        <v>0</v>
      </c>
      <c r="AD762" s="358" t="n">
        <v>0</v>
      </c>
      <c r="AE762" s="358" t="n">
        <v>0</v>
      </c>
      <c r="AF762" s="359" t="n">
        <v>1</v>
      </c>
    </row>
    <row r="763" customFormat="false" ht="15" hidden="true" customHeight="false" outlineLevel="0" collapsed="false">
      <c r="B763" s="360" t="s">
        <v>3235</v>
      </c>
      <c r="C763" s="359" t="n">
        <v>1</v>
      </c>
      <c r="D763" s="358" t="n">
        <v>0</v>
      </c>
      <c r="E763" s="358" t="n">
        <v>0</v>
      </c>
      <c r="F763" s="358" t="n">
        <v>0</v>
      </c>
      <c r="G763" s="372" t="n">
        <v>0</v>
      </c>
      <c r="H763" s="373" t="n">
        <v>0</v>
      </c>
      <c r="I763" s="358" t="n">
        <v>0</v>
      </c>
      <c r="J763" s="358" t="n">
        <v>0</v>
      </c>
      <c r="K763" s="372" t="n">
        <v>0</v>
      </c>
      <c r="L763" s="373" t="n">
        <v>0</v>
      </c>
      <c r="M763" s="358" t="n">
        <v>0</v>
      </c>
      <c r="N763" s="358" t="n">
        <v>0</v>
      </c>
      <c r="O763" s="372" t="n">
        <v>0</v>
      </c>
      <c r="P763" s="373" t="n">
        <v>0</v>
      </c>
      <c r="Q763" s="358" t="n">
        <v>0</v>
      </c>
      <c r="R763" s="358" t="n">
        <v>0</v>
      </c>
      <c r="S763" s="372" t="n">
        <v>0</v>
      </c>
      <c r="T763" s="373" t="n">
        <v>0</v>
      </c>
      <c r="U763" s="358" t="n">
        <v>0</v>
      </c>
      <c r="V763" s="358" t="n">
        <v>0</v>
      </c>
      <c r="W763" s="372" t="n">
        <v>0</v>
      </c>
      <c r="X763" s="373" t="n">
        <v>0</v>
      </c>
      <c r="Y763" s="358" t="n">
        <v>0</v>
      </c>
      <c r="Z763" s="358" t="n">
        <v>0</v>
      </c>
      <c r="AA763" s="358" t="n">
        <v>0</v>
      </c>
      <c r="AB763" s="373" t="n">
        <v>0</v>
      </c>
      <c r="AC763" s="358" t="n">
        <v>0</v>
      </c>
      <c r="AD763" s="358" t="n">
        <v>0</v>
      </c>
      <c r="AE763" s="358" t="n">
        <v>0</v>
      </c>
      <c r="AF763" s="359" t="n">
        <v>1</v>
      </c>
    </row>
    <row r="764" customFormat="false" ht="15" hidden="true" customHeight="false" outlineLevel="0" collapsed="false">
      <c r="B764" s="360" t="s">
        <v>3236</v>
      </c>
      <c r="C764" s="359" t="n">
        <v>1</v>
      </c>
      <c r="D764" s="358" t="n">
        <v>0</v>
      </c>
      <c r="E764" s="358" t="n">
        <v>0</v>
      </c>
      <c r="F764" s="358" t="n">
        <v>0</v>
      </c>
      <c r="G764" s="372" t="n">
        <v>0</v>
      </c>
      <c r="H764" s="373" t="n">
        <v>0</v>
      </c>
      <c r="I764" s="358" t="n">
        <v>0</v>
      </c>
      <c r="J764" s="358" t="n">
        <v>0</v>
      </c>
      <c r="K764" s="372" t="n">
        <v>0</v>
      </c>
      <c r="L764" s="373" t="n">
        <v>0</v>
      </c>
      <c r="M764" s="358" t="n">
        <v>0</v>
      </c>
      <c r="N764" s="358" t="n">
        <v>0</v>
      </c>
      <c r="O764" s="372" t="n">
        <v>0</v>
      </c>
      <c r="P764" s="373" t="n">
        <v>0</v>
      </c>
      <c r="Q764" s="358" t="n">
        <v>0</v>
      </c>
      <c r="R764" s="358" t="n">
        <v>0</v>
      </c>
      <c r="S764" s="372" t="n">
        <v>0</v>
      </c>
      <c r="T764" s="373" t="n">
        <v>0</v>
      </c>
      <c r="U764" s="358" t="n">
        <v>0</v>
      </c>
      <c r="V764" s="358" t="n">
        <v>0</v>
      </c>
      <c r="W764" s="372" t="n">
        <v>0</v>
      </c>
      <c r="X764" s="373" t="n">
        <v>0</v>
      </c>
      <c r="Y764" s="358" t="n">
        <v>0</v>
      </c>
      <c r="Z764" s="358" t="n">
        <v>0</v>
      </c>
      <c r="AA764" s="358" t="n">
        <v>0</v>
      </c>
      <c r="AB764" s="373" t="n">
        <v>0</v>
      </c>
      <c r="AC764" s="358" t="n">
        <v>0</v>
      </c>
      <c r="AD764" s="358" t="n">
        <v>0</v>
      </c>
      <c r="AE764" s="358" t="n">
        <v>0</v>
      </c>
      <c r="AF764" s="359" t="n">
        <v>1</v>
      </c>
    </row>
    <row r="765" customFormat="false" ht="15" hidden="true" customHeight="false" outlineLevel="0" collapsed="false">
      <c r="B765" s="360" t="s">
        <v>3237</v>
      </c>
      <c r="C765" s="359" t="n">
        <v>1</v>
      </c>
      <c r="D765" s="358" t="n">
        <v>0</v>
      </c>
      <c r="E765" s="358" t="n">
        <v>0</v>
      </c>
      <c r="F765" s="358" t="n">
        <v>0</v>
      </c>
      <c r="G765" s="372" t="n">
        <v>0</v>
      </c>
      <c r="H765" s="373" t="n">
        <v>0</v>
      </c>
      <c r="I765" s="358" t="n">
        <v>0</v>
      </c>
      <c r="J765" s="358" t="n">
        <v>0</v>
      </c>
      <c r="K765" s="372" t="n">
        <v>0</v>
      </c>
      <c r="L765" s="373" t="n">
        <v>0</v>
      </c>
      <c r="M765" s="358" t="n">
        <v>0</v>
      </c>
      <c r="N765" s="358" t="n">
        <v>0</v>
      </c>
      <c r="O765" s="372" t="n">
        <v>0</v>
      </c>
      <c r="P765" s="373" t="n">
        <v>0</v>
      </c>
      <c r="Q765" s="358" t="n">
        <v>0</v>
      </c>
      <c r="R765" s="358" t="n">
        <v>0</v>
      </c>
      <c r="S765" s="372" t="n">
        <v>0</v>
      </c>
      <c r="T765" s="373" t="n">
        <v>0</v>
      </c>
      <c r="U765" s="358" t="n">
        <v>0</v>
      </c>
      <c r="V765" s="358" t="n">
        <v>0</v>
      </c>
      <c r="W765" s="372" t="n">
        <v>0</v>
      </c>
      <c r="X765" s="373" t="n">
        <v>0</v>
      </c>
      <c r="Y765" s="358" t="n">
        <v>0</v>
      </c>
      <c r="Z765" s="358" t="n">
        <v>0</v>
      </c>
      <c r="AA765" s="358" t="n">
        <v>0</v>
      </c>
      <c r="AB765" s="373" t="n">
        <v>0</v>
      </c>
      <c r="AC765" s="358" t="n">
        <v>0</v>
      </c>
      <c r="AD765" s="358" t="n">
        <v>0</v>
      </c>
      <c r="AE765" s="358" t="n">
        <v>0</v>
      </c>
      <c r="AF765" s="359" t="n">
        <v>1</v>
      </c>
    </row>
    <row r="766" customFormat="false" ht="15" hidden="true" customHeight="false" outlineLevel="0" collapsed="false">
      <c r="B766" s="360" t="s">
        <v>3238</v>
      </c>
      <c r="C766" s="359" t="n">
        <v>1</v>
      </c>
      <c r="D766" s="358" t="n">
        <v>0</v>
      </c>
      <c r="E766" s="358" t="n">
        <v>0</v>
      </c>
      <c r="F766" s="358" t="n">
        <v>0</v>
      </c>
      <c r="G766" s="372" t="n">
        <v>0</v>
      </c>
      <c r="H766" s="373" t="n">
        <v>0</v>
      </c>
      <c r="I766" s="358" t="n">
        <v>0</v>
      </c>
      <c r="J766" s="358" t="n">
        <v>0</v>
      </c>
      <c r="K766" s="372" t="n">
        <v>0</v>
      </c>
      <c r="L766" s="373" t="n">
        <v>0</v>
      </c>
      <c r="M766" s="358" t="n">
        <v>0</v>
      </c>
      <c r="N766" s="358" t="n">
        <v>0</v>
      </c>
      <c r="O766" s="372" t="n">
        <v>0</v>
      </c>
      <c r="P766" s="373" t="n">
        <v>0</v>
      </c>
      <c r="Q766" s="358" t="n">
        <v>0</v>
      </c>
      <c r="R766" s="358" t="n">
        <v>0</v>
      </c>
      <c r="S766" s="372" t="n">
        <v>0</v>
      </c>
      <c r="T766" s="373" t="n">
        <v>0</v>
      </c>
      <c r="U766" s="358" t="n">
        <v>0</v>
      </c>
      <c r="V766" s="358" t="n">
        <v>0</v>
      </c>
      <c r="W766" s="372" t="n">
        <v>0</v>
      </c>
      <c r="X766" s="373" t="n">
        <v>0</v>
      </c>
      <c r="Y766" s="358" t="n">
        <v>0</v>
      </c>
      <c r="Z766" s="358" t="n">
        <v>0</v>
      </c>
      <c r="AA766" s="358" t="n">
        <v>0</v>
      </c>
      <c r="AB766" s="373" t="n">
        <v>0</v>
      </c>
      <c r="AC766" s="358" t="n">
        <v>0</v>
      </c>
      <c r="AD766" s="358" t="n">
        <v>0</v>
      </c>
      <c r="AE766" s="358" t="n">
        <v>0</v>
      </c>
      <c r="AF766" s="359" t="n">
        <v>1</v>
      </c>
    </row>
    <row r="767" customFormat="false" ht="15" hidden="true" customHeight="false" outlineLevel="0" collapsed="false">
      <c r="B767" s="360" t="s">
        <v>3239</v>
      </c>
      <c r="C767" s="359" t="n">
        <v>1</v>
      </c>
      <c r="D767" s="358" t="n">
        <v>0</v>
      </c>
      <c r="E767" s="358" t="n">
        <v>0</v>
      </c>
      <c r="F767" s="358" t="n">
        <v>0</v>
      </c>
      <c r="G767" s="372" t="n">
        <v>0</v>
      </c>
      <c r="H767" s="373" t="n">
        <v>0</v>
      </c>
      <c r="I767" s="358" t="n">
        <v>0</v>
      </c>
      <c r="J767" s="358" t="n">
        <v>0</v>
      </c>
      <c r="K767" s="372" t="n">
        <v>0</v>
      </c>
      <c r="L767" s="373" t="n">
        <v>0</v>
      </c>
      <c r="M767" s="358" t="n">
        <v>0</v>
      </c>
      <c r="N767" s="358" t="n">
        <v>0</v>
      </c>
      <c r="O767" s="372" t="n">
        <v>0</v>
      </c>
      <c r="P767" s="373" t="n">
        <v>0</v>
      </c>
      <c r="Q767" s="358" t="n">
        <v>0</v>
      </c>
      <c r="R767" s="358" t="n">
        <v>0</v>
      </c>
      <c r="S767" s="372" t="n">
        <v>0</v>
      </c>
      <c r="T767" s="373" t="n">
        <v>0</v>
      </c>
      <c r="U767" s="358" t="n">
        <v>0</v>
      </c>
      <c r="V767" s="358" t="n">
        <v>0</v>
      </c>
      <c r="W767" s="372" t="n">
        <v>0</v>
      </c>
      <c r="X767" s="373" t="n">
        <v>0</v>
      </c>
      <c r="Y767" s="358" t="n">
        <v>0</v>
      </c>
      <c r="Z767" s="358" t="n">
        <v>0</v>
      </c>
      <c r="AA767" s="358" t="n">
        <v>0</v>
      </c>
      <c r="AB767" s="373" t="n">
        <v>0</v>
      </c>
      <c r="AC767" s="358" t="n">
        <v>0</v>
      </c>
      <c r="AD767" s="358" t="n">
        <v>0</v>
      </c>
      <c r="AE767" s="358" t="n">
        <v>0</v>
      </c>
      <c r="AF767" s="359" t="n">
        <v>1</v>
      </c>
    </row>
    <row r="768" customFormat="false" ht="15" hidden="true" customHeight="false" outlineLevel="0" collapsed="false">
      <c r="B768" s="360" t="s">
        <v>3240</v>
      </c>
      <c r="C768" s="359" t="n">
        <v>1</v>
      </c>
      <c r="D768" s="358" t="n">
        <v>0</v>
      </c>
      <c r="E768" s="358" t="n">
        <v>0</v>
      </c>
      <c r="F768" s="358" t="n">
        <v>0</v>
      </c>
      <c r="G768" s="372" t="n">
        <v>0</v>
      </c>
      <c r="H768" s="373" t="n">
        <v>0</v>
      </c>
      <c r="I768" s="358" t="n">
        <v>0</v>
      </c>
      <c r="J768" s="358" t="n">
        <v>0</v>
      </c>
      <c r="K768" s="372" t="n">
        <v>0</v>
      </c>
      <c r="L768" s="373" t="n">
        <v>0</v>
      </c>
      <c r="M768" s="358" t="n">
        <v>0</v>
      </c>
      <c r="N768" s="358" t="n">
        <v>0</v>
      </c>
      <c r="O768" s="372" t="n">
        <v>0</v>
      </c>
      <c r="P768" s="373" t="n">
        <v>0</v>
      </c>
      <c r="Q768" s="358" t="n">
        <v>0</v>
      </c>
      <c r="R768" s="358" t="n">
        <v>0</v>
      </c>
      <c r="S768" s="372" t="n">
        <v>0</v>
      </c>
      <c r="T768" s="373" t="n">
        <v>0</v>
      </c>
      <c r="U768" s="358" t="n">
        <v>0</v>
      </c>
      <c r="V768" s="358" t="n">
        <v>0</v>
      </c>
      <c r="W768" s="372" t="n">
        <v>0</v>
      </c>
      <c r="X768" s="373" t="n">
        <v>0</v>
      </c>
      <c r="Y768" s="358" t="n">
        <v>0</v>
      </c>
      <c r="Z768" s="358" t="n">
        <v>0</v>
      </c>
      <c r="AA768" s="358" t="n">
        <v>0</v>
      </c>
      <c r="AB768" s="373" t="n">
        <v>0</v>
      </c>
      <c r="AC768" s="358" t="n">
        <v>0</v>
      </c>
      <c r="AD768" s="358" t="n">
        <v>0</v>
      </c>
      <c r="AE768" s="358" t="n">
        <v>0</v>
      </c>
      <c r="AF768" s="359" t="n">
        <v>1</v>
      </c>
    </row>
    <row r="769" customFormat="false" ht="15" hidden="true" customHeight="false" outlineLevel="0" collapsed="false">
      <c r="B769" s="360" t="s">
        <v>3241</v>
      </c>
      <c r="C769" s="359" t="n">
        <v>0</v>
      </c>
      <c r="D769" s="358" t="n">
        <v>1</v>
      </c>
      <c r="E769" s="358" t="n">
        <v>0</v>
      </c>
      <c r="F769" s="358" t="n">
        <v>0</v>
      </c>
      <c r="G769" s="372" t="n">
        <v>0</v>
      </c>
      <c r="H769" s="373" t="n">
        <v>0</v>
      </c>
      <c r="I769" s="358" t="n">
        <v>0</v>
      </c>
      <c r="J769" s="358" t="n">
        <v>0</v>
      </c>
      <c r="K769" s="372" t="n">
        <v>0</v>
      </c>
      <c r="L769" s="373" t="n">
        <v>0</v>
      </c>
      <c r="M769" s="358" t="n">
        <v>0</v>
      </c>
      <c r="N769" s="358" t="n">
        <v>0</v>
      </c>
      <c r="O769" s="372" t="n">
        <v>0</v>
      </c>
      <c r="P769" s="373" t="n">
        <v>0</v>
      </c>
      <c r="Q769" s="358" t="n">
        <v>0</v>
      </c>
      <c r="R769" s="358" t="n">
        <v>0</v>
      </c>
      <c r="S769" s="372" t="n">
        <v>0</v>
      </c>
      <c r="T769" s="373" t="n">
        <v>0</v>
      </c>
      <c r="U769" s="358" t="n">
        <v>0</v>
      </c>
      <c r="V769" s="358" t="n">
        <v>0</v>
      </c>
      <c r="W769" s="372" t="n">
        <v>0</v>
      </c>
      <c r="X769" s="373" t="n">
        <v>0</v>
      </c>
      <c r="Y769" s="358" t="n">
        <v>0</v>
      </c>
      <c r="Z769" s="358" t="n">
        <v>0</v>
      </c>
      <c r="AA769" s="358" t="n">
        <v>0</v>
      </c>
      <c r="AB769" s="373" t="n">
        <v>1</v>
      </c>
      <c r="AC769" s="358" t="n">
        <v>0</v>
      </c>
      <c r="AD769" s="358" t="n">
        <v>0</v>
      </c>
      <c r="AE769" s="358" t="n">
        <v>0</v>
      </c>
      <c r="AF769" s="359" t="n">
        <v>1</v>
      </c>
    </row>
    <row r="770" customFormat="false" ht="15" hidden="true" customHeight="false" outlineLevel="0" collapsed="false">
      <c r="B770" s="360" t="s">
        <v>3242</v>
      </c>
      <c r="C770" s="359" t="n">
        <v>1</v>
      </c>
      <c r="D770" s="358" t="n">
        <v>0</v>
      </c>
      <c r="E770" s="358" t="n">
        <v>0</v>
      </c>
      <c r="F770" s="358" t="n">
        <v>0</v>
      </c>
      <c r="G770" s="372" t="n">
        <v>0</v>
      </c>
      <c r="H770" s="373" t="n">
        <v>0</v>
      </c>
      <c r="I770" s="358" t="n">
        <v>0</v>
      </c>
      <c r="J770" s="358" t="n">
        <v>0</v>
      </c>
      <c r="K770" s="372" t="n">
        <v>0</v>
      </c>
      <c r="L770" s="373" t="n">
        <v>0</v>
      </c>
      <c r="M770" s="358" t="n">
        <v>0</v>
      </c>
      <c r="N770" s="358" t="n">
        <v>0</v>
      </c>
      <c r="O770" s="372" t="n">
        <v>0</v>
      </c>
      <c r="P770" s="373" t="n">
        <v>0</v>
      </c>
      <c r="Q770" s="358" t="n">
        <v>0</v>
      </c>
      <c r="R770" s="358" t="n">
        <v>0</v>
      </c>
      <c r="S770" s="372" t="n">
        <v>0</v>
      </c>
      <c r="T770" s="373" t="n">
        <v>0</v>
      </c>
      <c r="U770" s="358" t="n">
        <v>0</v>
      </c>
      <c r="V770" s="358" t="n">
        <v>0</v>
      </c>
      <c r="W770" s="372" t="n">
        <v>0</v>
      </c>
      <c r="X770" s="373" t="n">
        <v>0</v>
      </c>
      <c r="Y770" s="358" t="n">
        <v>0</v>
      </c>
      <c r="Z770" s="358" t="n">
        <v>0</v>
      </c>
      <c r="AA770" s="358" t="n">
        <v>0</v>
      </c>
      <c r="AB770" s="373" t="n">
        <v>0</v>
      </c>
      <c r="AC770" s="358" t="n">
        <v>0</v>
      </c>
      <c r="AD770" s="358" t="n">
        <v>0</v>
      </c>
      <c r="AE770" s="358" t="n">
        <v>0</v>
      </c>
      <c r="AF770" s="359" t="n">
        <v>1</v>
      </c>
    </row>
    <row r="771" customFormat="false" ht="15" hidden="true" customHeight="false" outlineLevel="0" collapsed="false">
      <c r="B771" s="360" t="s">
        <v>3243</v>
      </c>
      <c r="C771" s="359" t="n">
        <v>1</v>
      </c>
      <c r="D771" s="358" t="n">
        <v>0</v>
      </c>
      <c r="E771" s="358" t="n">
        <v>0</v>
      </c>
      <c r="F771" s="358" t="n">
        <v>0</v>
      </c>
      <c r="G771" s="372" t="n">
        <v>0</v>
      </c>
      <c r="H771" s="373" t="n">
        <v>0</v>
      </c>
      <c r="I771" s="358" t="n">
        <v>0</v>
      </c>
      <c r="J771" s="358" t="n">
        <v>0</v>
      </c>
      <c r="K771" s="372" t="n">
        <v>0</v>
      </c>
      <c r="L771" s="373" t="n">
        <v>0</v>
      </c>
      <c r="M771" s="358" t="n">
        <v>0</v>
      </c>
      <c r="N771" s="358" t="n">
        <v>0</v>
      </c>
      <c r="O771" s="372" t="n">
        <v>0</v>
      </c>
      <c r="P771" s="373" t="n">
        <v>0</v>
      </c>
      <c r="Q771" s="358" t="n">
        <v>0</v>
      </c>
      <c r="R771" s="358" t="n">
        <v>0</v>
      </c>
      <c r="S771" s="372" t="n">
        <v>0</v>
      </c>
      <c r="T771" s="373" t="n">
        <v>0</v>
      </c>
      <c r="U771" s="358" t="n">
        <v>0</v>
      </c>
      <c r="V771" s="358" t="n">
        <v>0</v>
      </c>
      <c r="W771" s="372" t="n">
        <v>0</v>
      </c>
      <c r="X771" s="373" t="n">
        <v>0</v>
      </c>
      <c r="Y771" s="358" t="n">
        <v>0</v>
      </c>
      <c r="Z771" s="358" t="n">
        <v>0</v>
      </c>
      <c r="AA771" s="358" t="n">
        <v>0</v>
      </c>
      <c r="AB771" s="373" t="n">
        <v>0</v>
      </c>
      <c r="AC771" s="358" t="n">
        <v>0</v>
      </c>
      <c r="AD771" s="358" t="n">
        <v>0</v>
      </c>
      <c r="AE771" s="358" t="n">
        <v>0</v>
      </c>
      <c r="AF771" s="359" t="n">
        <v>1</v>
      </c>
    </row>
    <row r="772" customFormat="false" ht="15" hidden="true" customHeight="false" outlineLevel="0" collapsed="false">
      <c r="B772" s="360" t="s">
        <v>3244</v>
      </c>
      <c r="C772" s="359" t="n">
        <v>1</v>
      </c>
      <c r="D772" s="358" t="n">
        <v>0</v>
      </c>
      <c r="E772" s="358" t="n">
        <v>0</v>
      </c>
      <c r="F772" s="358" t="n">
        <v>0</v>
      </c>
      <c r="G772" s="372" t="n">
        <v>0</v>
      </c>
      <c r="H772" s="373" t="n">
        <v>0</v>
      </c>
      <c r="I772" s="358" t="n">
        <v>0</v>
      </c>
      <c r="J772" s="358" t="n">
        <v>0</v>
      </c>
      <c r="K772" s="372" t="n">
        <v>0</v>
      </c>
      <c r="L772" s="373" t="n">
        <v>0</v>
      </c>
      <c r="M772" s="358" t="n">
        <v>0</v>
      </c>
      <c r="N772" s="358" t="n">
        <v>0</v>
      </c>
      <c r="O772" s="372" t="n">
        <v>0</v>
      </c>
      <c r="P772" s="373" t="n">
        <v>0</v>
      </c>
      <c r="Q772" s="358" t="n">
        <v>0</v>
      </c>
      <c r="R772" s="358" t="n">
        <v>0</v>
      </c>
      <c r="S772" s="372" t="n">
        <v>0</v>
      </c>
      <c r="T772" s="373" t="n">
        <v>0</v>
      </c>
      <c r="U772" s="358" t="n">
        <v>0</v>
      </c>
      <c r="V772" s="358" t="n">
        <v>0</v>
      </c>
      <c r="W772" s="372" t="n">
        <v>0</v>
      </c>
      <c r="X772" s="373" t="n">
        <v>0</v>
      </c>
      <c r="Y772" s="358" t="n">
        <v>0</v>
      </c>
      <c r="Z772" s="358" t="n">
        <v>0</v>
      </c>
      <c r="AA772" s="358" t="n">
        <v>0</v>
      </c>
      <c r="AB772" s="373" t="n">
        <v>0</v>
      </c>
      <c r="AC772" s="358" t="n">
        <v>0</v>
      </c>
      <c r="AD772" s="358" t="n">
        <v>0</v>
      </c>
      <c r="AE772" s="358" t="n">
        <v>0</v>
      </c>
      <c r="AF772" s="359" t="n">
        <v>1</v>
      </c>
    </row>
    <row r="773" customFormat="false" ht="15" hidden="true" customHeight="false" outlineLevel="0" collapsed="false">
      <c r="B773" s="360" t="s">
        <v>3245</v>
      </c>
      <c r="C773" s="359" t="n">
        <v>1</v>
      </c>
      <c r="D773" s="358" t="n">
        <v>0</v>
      </c>
      <c r="E773" s="358" t="n">
        <v>0</v>
      </c>
      <c r="F773" s="358" t="n">
        <v>0</v>
      </c>
      <c r="G773" s="372" t="n">
        <v>0</v>
      </c>
      <c r="H773" s="373" t="n">
        <v>0</v>
      </c>
      <c r="I773" s="358" t="n">
        <v>0</v>
      </c>
      <c r="J773" s="358" t="n">
        <v>0</v>
      </c>
      <c r="K773" s="372" t="n">
        <v>0</v>
      </c>
      <c r="L773" s="373" t="n">
        <v>0</v>
      </c>
      <c r="M773" s="358" t="n">
        <v>0</v>
      </c>
      <c r="N773" s="358" t="n">
        <v>0</v>
      </c>
      <c r="O773" s="372" t="n">
        <v>0</v>
      </c>
      <c r="P773" s="373" t="n">
        <v>0</v>
      </c>
      <c r="Q773" s="358" t="n">
        <v>0</v>
      </c>
      <c r="R773" s="358" t="n">
        <v>0</v>
      </c>
      <c r="S773" s="372" t="n">
        <v>0</v>
      </c>
      <c r="T773" s="373" t="n">
        <v>0</v>
      </c>
      <c r="U773" s="358" t="n">
        <v>0</v>
      </c>
      <c r="V773" s="358" t="n">
        <v>0</v>
      </c>
      <c r="W773" s="372" t="n">
        <v>0</v>
      </c>
      <c r="X773" s="373" t="n">
        <v>0</v>
      </c>
      <c r="Y773" s="358" t="n">
        <v>0</v>
      </c>
      <c r="Z773" s="358" t="n">
        <v>0</v>
      </c>
      <c r="AA773" s="358" t="n">
        <v>0</v>
      </c>
      <c r="AB773" s="373" t="n">
        <v>0</v>
      </c>
      <c r="AC773" s="358" t="n">
        <v>0</v>
      </c>
      <c r="AD773" s="358" t="n">
        <v>0</v>
      </c>
      <c r="AE773" s="358" t="n">
        <v>0</v>
      </c>
      <c r="AF773" s="359" t="n">
        <v>1</v>
      </c>
    </row>
    <row r="774" customFormat="false" ht="15" hidden="true" customHeight="false" outlineLevel="0" collapsed="false">
      <c r="B774" s="360" t="s">
        <v>3246</v>
      </c>
      <c r="C774" s="359" t="n">
        <v>1</v>
      </c>
      <c r="D774" s="358" t="n">
        <v>0</v>
      </c>
      <c r="E774" s="358" t="n">
        <v>0</v>
      </c>
      <c r="F774" s="358" t="n">
        <v>0</v>
      </c>
      <c r="G774" s="372" t="n">
        <v>0</v>
      </c>
      <c r="H774" s="373" t="n">
        <v>0</v>
      </c>
      <c r="I774" s="358" t="n">
        <v>0</v>
      </c>
      <c r="J774" s="358" t="n">
        <v>0</v>
      </c>
      <c r="K774" s="372" t="n">
        <v>0</v>
      </c>
      <c r="L774" s="373" t="n">
        <v>0</v>
      </c>
      <c r="M774" s="358" t="n">
        <v>0</v>
      </c>
      <c r="N774" s="358" t="n">
        <v>0</v>
      </c>
      <c r="O774" s="372" t="n">
        <v>0</v>
      </c>
      <c r="P774" s="373" t="n">
        <v>0</v>
      </c>
      <c r="Q774" s="358" t="n">
        <v>0</v>
      </c>
      <c r="R774" s="358" t="n">
        <v>0</v>
      </c>
      <c r="S774" s="372" t="n">
        <v>0</v>
      </c>
      <c r="T774" s="373" t="n">
        <v>0</v>
      </c>
      <c r="U774" s="358" t="n">
        <v>0</v>
      </c>
      <c r="V774" s="358" t="n">
        <v>0</v>
      </c>
      <c r="W774" s="372" t="n">
        <v>0</v>
      </c>
      <c r="X774" s="373" t="n">
        <v>0</v>
      </c>
      <c r="Y774" s="358" t="n">
        <v>0</v>
      </c>
      <c r="Z774" s="358" t="n">
        <v>0</v>
      </c>
      <c r="AA774" s="358" t="n">
        <v>0</v>
      </c>
      <c r="AB774" s="373" t="n">
        <v>0</v>
      </c>
      <c r="AC774" s="358" t="n">
        <v>0</v>
      </c>
      <c r="AD774" s="358" t="n">
        <v>0</v>
      </c>
      <c r="AE774" s="358" t="n">
        <v>0</v>
      </c>
      <c r="AF774" s="359" t="n">
        <v>1</v>
      </c>
    </row>
    <row r="775" customFormat="false" ht="15" hidden="true" customHeight="false" outlineLevel="0" collapsed="false">
      <c r="B775" s="361" t="s">
        <v>3247</v>
      </c>
      <c r="C775" s="359" t="n">
        <v>1</v>
      </c>
      <c r="D775" s="358" t="n">
        <v>0</v>
      </c>
      <c r="E775" s="358" t="n">
        <v>0</v>
      </c>
      <c r="F775" s="358" t="n">
        <v>0</v>
      </c>
      <c r="G775" s="372" t="n">
        <v>0</v>
      </c>
      <c r="H775" s="373" t="n">
        <v>0</v>
      </c>
      <c r="I775" s="358" t="n">
        <v>0</v>
      </c>
      <c r="J775" s="358" t="n">
        <v>0</v>
      </c>
      <c r="K775" s="372" t="n">
        <v>0</v>
      </c>
      <c r="L775" s="373" t="n">
        <v>0</v>
      </c>
      <c r="M775" s="358" t="n">
        <v>0</v>
      </c>
      <c r="N775" s="358" t="n">
        <v>0</v>
      </c>
      <c r="O775" s="372" t="n">
        <v>0</v>
      </c>
      <c r="P775" s="373" t="n">
        <v>0</v>
      </c>
      <c r="Q775" s="358" t="n">
        <v>0</v>
      </c>
      <c r="R775" s="358" t="n">
        <v>0</v>
      </c>
      <c r="S775" s="372" t="n">
        <v>0</v>
      </c>
      <c r="T775" s="373" t="n">
        <v>0</v>
      </c>
      <c r="U775" s="358" t="n">
        <v>0</v>
      </c>
      <c r="V775" s="358" t="n">
        <v>0</v>
      </c>
      <c r="W775" s="372" t="n">
        <v>0</v>
      </c>
      <c r="X775" s="373" t="n">
        <v>0</v>
      </c>
      <c r="Y775" s="358" t="n">
        <v>0</v>
      </c>
      <c r="Z775" s="358" t="n">
        <v>0</v>
      </c>
      <c r="AA775" s="358" t="n">
        <v>0</v>
      </c>
      <c r="AB775" s="373" t="n">
        <v>0</v>
      </c>
      <c r="AC775" s="358" t="n">
        <v>0</v>
      </c>
      <c r="AD775" s="358" t="n">
        <v>0</v>
      </c>
      <c r="AE775" s="358" t="n">
        <v>0</v>
      </c>
      <c r="AF775" s="359" t="n">
        <v>1</v>
      </c>
    </row>
    <row r="776" customFormat="false" ht="15" hidden="false" customHeight="false" outlineLevel="0" collapsed="false">
      <c r="B776" s="313" t="s">
        <v>2472</v>
      </c>
      <c r="C776" s="357" t="n">
        <v>28</v>
      </c>
      <c r="D776" s="358" t="n">
        <v>0</v>
      </c>
      <c r="E776" s="358" t="n">
        <v>0</v>
      </c>
      <c r="F776" s="358" t="n">
        <v>0</v>
      </c>
      <c r="G776" s="372" t="n">
        <v>0</v>
      </c>
      <c r="H776" s="373" t="n">
        <v>0</v>
      </c>
      <c r="I776" s="358" t="n">
        <v>0</v>
      </c>
      <c r="J776" s="358" t="n">
        <v>0</v>
      </c>
      <c r="K776" s="372" t="n">
        <v>0</v>
      </c>
      <c r="L776" s="373" t="n">
        <v>0</v>
      </c>
      <c r="M776" s="358" t="n">
        <v>0</v>
      </c>
      <c r="N776" s="358" t="n">
        <v>0</v>
      </c>
      <c r="O776" s="372" t="n">
        <v>0</v>
      </c>
      <c r="P776" s="373" t="n">
        <v>0</v>
      </c>
      <c r="Q776" s="358" t="n">
        <v>0</v>
      </c>
      <c r="R776" s="358" t="n">
        <v>0</v>
      </c>
      <c r="S776" s="372" t="n">
        <v>0</v>
      </c>
      <c r="T776" s="373" t="n">
        <v>0</v>
      </c>
      <c r="U776" s="358" t="n">
        <v>0</v>
      </c>
      <c r="V776" s="358" t="n">
        <v>0</v>
      </c>
      <c r="W776" s="372" t="n">
        <v>0</v>
      </c>
      <c r="X776" s="373" t="n">
        <v>0</v>
      </c>
      <c r="Y776" s="358" t="n">
        <v>0</v>
      </c>
      <c r="Z776" s="358" t="n">
        <v>0</v>
      </c>
      <c r="AA776" s="358" t="n">
        <v>0</v>
      </c>
      <c r="AB776" s="373" t="n">
        <v>0</v>
      </c>
      <c r="AC776" s="358" t="n">
        <v>0</v>
      </c>
      <c r="AD776" s="358" t="n">
        <v>0</v>
      </c>
      <c r="AE776" s="358" t="n">
        <v>0</v>
      </c>
      <c r="AF776" s="357" t="n">
        <v>28</v>
      </c>
    </row>
    <row r="777" customFormat="false" ht="15" hidden="false" customHeight="false" outlineLevel="0" collapsed="false">
      <c r="B777" s="364" t="s">
        <v>2472</v>
      </c>
      <c r="C777" s="365" t="n">
        <v>17</v>
      </c>
      <c r="D777" s="358" t="n">
        <v>0</v>
      </c>
      <c r="E777" s="358" t="n">
        <v>0</v>
      </c>
      <c r="F777" s="358" t="n">
        <v>0</v>
      </c>
      <c r="G777" s="372" t="n">
        <v>0</v>
      </c>
      <c r="H777" s="373" t="n">
        <v>0</v>
      </c>
      <c r="I777" s="358" t="n">
        <v>0</v>
      </c>
      <c r="J777" s="358" t="n">
        <v>0</v>
      </c>
      <c r="K777" s="372" t="n">
        <v>0</v>
      </c>
      <c r="L777" s="373" t="n">
        <v>0</v>
      </c>
      <c r="M777" s="358" t="n">
        <v>0</v>
      </c>
      <c r="N777" s="358" t="n">
        <v>0</v>
      </c>
      <c r="O777" s="372" t="n">
        <v>0</v>
      </c>
      <c r="P777" s="373" t="n">
        <v>0</v>
      </c>
      <c r="Q777" s="358" t="n">
        <v>0</v>
      </c>
      <c r="R777" s="358" t="n">
        <v>0</v>
      </c>
      <c r="S777" s="372" t="n">
        <v>0</v>
      </c>
      <c r="T777" s="373" t="n">
        <v>0</v>
      </c>
      <c r="U777" s="358" t="n">
        <v>0</v>
      </c>
      <c r="V777" s="358" t="n">
        <v>0</v>
      </c>
      <c r="W777" s="372" t="n">
        <v>0</v>
      </c>
      <c r="X777" s="373" t="n">
        <v>0</v>
      </c>
      <c r="Y777" s="358" t="n">
        <v>0</v>
      </c>
      <c r="Z777" s="358" t="n">
        <v>0</v>
      </c>
      <c r="AA777" s="358" t="n">
        <v>0</v>
      </c>
      <c r="AB777" s="373" t="n">
        <v>0</v>
      </c>
      <c r="AC777" s="358" t="n">
        <v>0</v>
      </c>
      <c r="AD777" s="358" t="n">
        <v>0</v>
      </c>
      <c r="AE777" s="358" t="n">
        <v>0</v>
      </c>
      <c r="AF777" s="365" t="n">
        <v>17</v>
      </c>
    </row>
    <row r="778" customFormat="false" ht="15" hidden="true" customHeight="false" outlineLevel="0" collapsed="false">
      <c r="B778" s="360" t="s">
        <v>3248</v>
      </c>
      <c r="C778" s="359" t="n">
        <v>1</v>
      </c>
      <c r="D778" s="358" t="n">
        <v>0</v>
      </c>
      <c r="E778" s="358" t="n">
        <v>0</v>
      </c>
      <c r="F778" s="358" t="n">
        <v>0</v>
      </c>
      <c r="G778" s="372" t="n">
        <v>0</v>
      </c>
      <c r="H778" s="373" t="n">
        <v>0</v>
      </c>
      <c r="I778" s="358" t="n">
        <v>0</v>
      </c>
      <c r="J778" s="358" t="n">
        <v>0</v>
      </c>
      <c r="K778" s="372" t="n">
        <v>0</v>
      </c>
      <c r="L778" s="373" t="n">
        <v>0</v>
      </c>
      <c r="M778" s="358" t="n">
        <v>0</v>
      </c>
      <c r="N778" s="358" t="n">
        <v>0</v>
      </c>
      <c r="O778" s="372" t="n">
        <v>0</v>
      </c>
      <c r="P778" s="373" t="n">
        <v>0</v>
      </c>
      <c r="Q778" s="358" t="n">
        <v>0</v>
      </c>
      <c r="R778" s="358" t="n">
        <v>0</v>
      </c>
      <c r="S778" s="372" t="n">
        <v>0</v>
      </c>
      <c r="T778" s="373" t="n">
        <v>0</v>
      </c>
      <c r="U778" s="358" t="n">
        <v>0</v>
      </c>
      <c r="V778" s="358" t="n">
        <v>0</v>
      </c>
      <c r="W778" s="372" t="n">
        <v>0</v>
      </c>
      <c r="X778" s="373" t="n">
        <v>0</v>
      </c>
      <c r="Y778" s="358" t="n">
        <v>0</v>
      </c>
      <c r="Z778" s="358" t="n">
        <v>0</v>
      </c>
      <c r="AA778" s="358" t="n">
        <v>0</v>
      </c>
      <c r="AB778" s="373" t="n">
        <v>0</v>
      </c>
      <c r="AC778" s="358" t="n">
        <v>0</v>
      </c>
      <c r="AD778" s="358" t="n">
        <v>0</v>
      </c>
      <c r="AE778" s="358" t="n">
        <v>0</v>
      </c>
      <c r="AF778" s="359" t="n">
        <v>1</v>
      </c>
    </row>
    <row r="779" customFormat="false" ht="15" hidden="true" customHeight="false" outlineLevel="0" collapsed="false">
      <c r="B779" s="360" t="s">
        <v>3249</v>
      </c>
      <c r="C779" s="359" t="n">
        <v>1</v>
      </c>
      <c r="D779" s="358" t="n">
        <v>0</v>
      </c>
      <c r="E779" s="358" t="n">
        <v>0</v>
      </c>
      <c r="F779" s="358" t="n">
        <v>0</v>
      </c>
      <c r="G779" s="372" t="n">
        <v>0</v>
      </c>
      <c r="H779" s="373" t="n">
        <v>0</v>
      </c>
      <c r="I779" s="358" t="n">
        <v>0</v>
      </c>
      <c r="J779" s="358" t="n">
        <v>0</v>
      </c>
      <c r="K779" s="372" t="n">
        <v>0</v>
      </c>
      <c r="L779" s="373" t="n">
        <v>0</v>
      </c>
      <c r="M779" s="358" t="n">
        <v>0</v>
      </c>
      <c r="N779" s="358" t="n">
        <v>0</v>
      </c>
      <c r="O779" s="372" t="n">
        <v>0</v>
      </c>
      <c r="P779" s="373" t="n">
        <v>0</v>
      </c>
      <c r="Q779" s="358" t="n">
        <v>0</v>
      </c>
      <c r="R779" s="358" t="n">
        <v>0</v>
      </c>
      <c r="S779" s="372" t="n">
        <v>0</v>
      </c>
      <c r="T779" s="373" t="n">
        <v>0</v>
      </c>
      <c r="U779" s="358" t="n">
        <v>0</v>
      </c>
      <c r="V779" s="358" t="n">
        <v>0</v>
      </c>
      <c r="W779" s="372" t="n">
        <v>0</v>
      </c>
      <c r="X779" s="373" t="n">
        <v>0</v>
      </c>
      <c r="Y779" s="358" t="n">
        <v>0</v>
      </c>
      <c r="Z779" s="358" t="n">
        <v>0</v>
      </c>
      <c r="AA779" s="358" t="n">
        <v>0</v>
      </c>
      <c r="AB779" s="373" t="n">
        <v>0</v>
      </c>
      <c r="AC779" s="358" t="n">
        <v>0</v>
      </c>
      <c r="AD779" s="358" t="n">
        <v>0</v>
      </c>
      <c r="AE779" s="358" t="n">
        <v>0</v>
      </c>
      <c r="AF779" s="359" t="n">
        <v>1</v>
      </c>
    </row>
    <row r="780" customFormat="false" ht="15" hidden="true" customHeight="false" outlineLevel="0" collapsed="false">
      <c r="B780" s="360" t="s">
        <v>3250</v>
      </c>
      <c r="C780" s="359" t="n">
        <v>1</v>
      </c>
      <c r="D780" s="358" t="n">
        <v>0</v>
      </c>
      <c r="E780" s="358" t="n">
        <v>0</v>
      </c>
      <c r="F780" s="358" t="n">
        <v>0</v>
      </c>
      <c r="G780" s="372" t="n">
        <v>0</v>
      </c>
      <c r="H780" s="373" t="n">
        <v>0</v>
      </c>
      <c r="I780" s="358" t="n">
        <v>0</v>
      </c>
      <c r="J780" s="358" t="n">
        <v>0</v>
      </c>
      <c r="K780" s="372" t="n">
        <v>0</v>
      </c>
      <c r="L780" s="373" t="n">
        <v>0</v>
      </c>
      <c r="M780" s="358" t="n">
        <v>0</v>
      </c>
      <c r="N780" s="358" t="n">
        <v>0</v>
      </c>
      <c r="O780" s="372" t="n">
        <v>0</v>
      </c>
      <c r="P780" s="373" t="n">
        <v>0</v>
      </c>
      <c r="Q780" s="358" t="n">
        <v>0</v>
      </c>
      <c r="R780" s="358" t="n">
        <v>0</v>
      </c>
      <c r="S780" s="372" t="n">
        <v>0</v>
      </c>
      <c r="T780" s="373" t="n">
        <v>0</v>
      </c>
      <c r="U780" s="358" t="n">
        <v>0</v>
      </c>
      <c r="V780" s="358" t="n">
        <v>0</v>
      </c>
      <c r="W780" s="372" t="n">
        <v>0</v>
      </c>
      <c r="X780" s="373" t="n">
        <v>0</v>
      </c>
      <c r="Y780" s="358" t="n">
        <v>0</v>
      </c>
      <c r="Z780" s="358" t="n">
        <v>0</v>
      </c>
      <c r="AA780" s="358" t="n">
        <v>0</v>
      </c>
      <c r="AB780" s="373" t="n">
        <v>0</v>
      </c>
      <c r="AC780" s="358" t="n">
        <v>0</v>
      </c>
      <c r="AD780" s="358" t="n">
        <v>0</v>
      </c>
      <c r="AE780" s="358" t="n">
        <v>0</v>
      </c>
      <c r="AF780" s="359" t="n">
        <v>1</v>
      </c>
    </row>
    <row r="781" customFormat="false" ht="15" hidden="true" customHeight="false" outlineLevel="0" collapsed="false">
      <c r="B781" s="360" t="s">
        <v>3251</v>
      </c>
      <c r="C781" s="359" t="n">
        <v>1</v>
      </c>
      <c r="D781" s="358" t="n">
        <v>0</v>
      </c>
      <c r="E781" s="358" t="n">
        <v>0</v>
      </c>
      <c r="F781" s="358" t="n">
        <v>0</v>
      </c>
      <c r="G781" s="372" t="n">
        <v>0</v>
      </c>
      <c r="H781" s="373" t="n">
        <v>0</v>
      </c>
      <c r="I781" s="358" t="n">
        <v>0</v>
      </c>
      <c r="J781" s="358" t="n">
        <v>0</v>
      </c>
      <c r="K781" s="372" t="n">
        <v>0</v>
      </c>
      <c r="L781" s="373" t="n">
        <v>0</v>
      </c>
      <c r="M781" s="358" t="n">
        <v>0</v>
      </c>
      <c r="N781" s="358" t="n">
        <v>0</v>
      </c>
      <c r="O781" s="372" t="n">
        <v>0</v>
      </c>
      <c r="P781" s="373" t="n">
        <v>0</v>
      </c>
      <c r="Q781" s="358" t="n">
        <v>0</v>
      </c>
      <c r="R781" s="358" t="n">
        <v>0</v>
      </c>
      <c r="S781" s="372" t="n">
        <v>0</v>
      </c>
      <c r="T781" s="373" t="n">
        <v>0</v>
      </c>
      <c r="U781" s="358" t="n">
        <v>0</v>
      </c>
      <c r="V781" s="358" t="n">
        <v>0</v>
      </c>
      <c r="W781" s="372" t="n">
        <v>0</v>
      </c>
      <c r="X781" s="373" t="n">
        <v>0</v>
      </c>
      <c r="Y781" s="358" t="n">
        <v>0</v>
      </c>
      <c r="Z781" s="358" t="n">
        <v>0</v>
      </c>
      <c r="AA781" s="358" t="n">
        <v>0</v>
      </c>
      <c r="AB781" s="373" t="n">
        <v>0</v>
      </c>
      <c r="AC781" s="358" t="n">
        <v>0</v>
      </c>
      <c r="AD781" s="358" t="n">
        <v>0</v>
      </c>
      <c r="AE781" s="358" t="n">
        <v>0</v>
      </c>
      <c r="AF781" s="359" t="n">
        <v>1</v>
      </c>
    </row>
    <row r="782" customFormat="false" ht="15" hidden="true" customHeight="false" outlineLevel="0" collapsed="false">
      <c r="B782" s="360" t="s">
        <v>3252</v>
      </c>
      <c r="C782" s="359" t="n">
        <v>1</v>
      </c>
      <c r="D782" s="358" t="n">
        <v>0</v>
      </c>
      <c r="E782" s="358" t="n">
        <v>0</v>
      </c>
      <c r="F782" s="358" t="n">
        <v>0</v>
      </c>
      <c r="G782" s="372" t="n">
        <v>0</v>
      </c>
      <c r="H782" s="373" t="n">
        <v>0</v>
      </c>
      <c r="I782" s="358" t="n">
        <v>0</v>
      </c>
      <c r="J782" s="358" t="n">
        <v>0</v>
      </c>
      <c r="K782" s="372" t="n">
        <v>0</v>
      </c>
      <c r="L782" s="373" t="n">
        <v>0</v>
      </c>
      <c r="M782" s="358" t="n">
        <v>0</v>
      </c>
      <c r="N782" s="358" t="n">
        <v>0</v>
      </c>
      <c r="O782" s="372" t="n">
        <v>0</v>
      </c>
      <c r="P782" s="373" t="n">
        <v>0</v>
      </c>
      <c r="Q782" s="358" t="n">
        <v>0</v>
      </c>
      <c r="R782" s="358" t="n">
        <v>0</v>
      </c>
      <c r="S782" s="372" t="n">
        <v>0</v>
      </c>
      <c r="T782" s="373" t="n">
        <v>0</v>
      </c>
      <c r="U782" s="358" t="n">
        <v>0</v>
      </c>
      <c r="V782" s="358" t="n">
        <v>0</v>
      </c>
      <c r="W782" s="372" t="n">
        <v>0</v>
      </c>
      <c r="X782" s="373" t="n">
        <v>0</v>
      </c>
      <c r="Y782" s="358" t="n">
        <v>0</v>
      </c>
      <c r="Z782" s="358" t="n">
        <v>0</v>
      </c>
      <c r="AA782" s="358" t="n">
        <v>0</v>
      </c>
      <c r="AB782" s="373" t="n">
        <v>0</v>
      </c>
      <c r="AC782" s="358" t="n">
        <v>0</v>
      </c>
      <c r="AD782" s="358" t="n">
        <v>0</v>
      </c>
      <c r="AE782" s="358" t="n">
        <v>0</v>
      </c>
      <c r="AF782" s="359" t="n">
        <v>1</v>
      </c>
    </row>
    <row r="783" customFormat="false" ht="15" hidden="true" customHeight="false" outlineLevel="0" collapsed="false">
      <c r="B783" s="360" t="s">
        <v>3253</v>
      </c>
      <c r="C783" s="359" t="n">
        <v>1</v>
      </c>
      <c r="D783" s="358" t="n">
        <v>0</v>
      </c>
      <c r="E783" s="358" t="n">
        <v>0</v>
      </c>
      <c r="F783" s="358" t="n">
        <v>0</v>
      </c>
      <c r="G783" s="372" t="n">
        <v>0</v>
      </c>
      <c r="H783" s="373" t="n">
        <v>0</v>
      </c>
      <c r="I783" s="358" t="n">
        <v>0</v>
      </c>
      <c r="J783" s="358" t="n">
        <v>0</v>
      </c>
      <c r="K783" s="372" t="n">
        <v>0</v>
      </c>
      <c r="L783" s="373" t="n">
        <v>0</v>
      </c>
      <c r="M783" s="358" t="n">
        <v>0</v>
      </c>
      <c r="N783" s="358" t="n">
        <v>0</v>
      </c>
      <c r="O783" s="372" t="n">
        <v>0</v>
      </c>
      <c r="P783" s="373" t="n">
        <v>0</v>
      </c>
      <c r="Q783" s="358" t="n">
        <v>0</v>
      </c>
      <c r="R783" s="358" t="n">
        <v>0</v>
      </c>
      <c r="S783" s="372" t="n">
        <v>0</v>
      </c>
      <c r="T783" s="373" t="n">
        <v>0</v>
      </c>
      <c r="U783" s="358" t="n">
        <v>0</v>
      </c>
      <c r="V783" s="358" t="n">
        <v>0</v>
      </c>
      <c r="W783" s="372" t="n">
        <v>0</v>
      </c>
      <c r="X783" s="373" t="n">
        <v>0</v>
      </c>
      <c r="Y783" s="358" t="n">
        <v>0</v>
      </c>
      <c r="Z783" s="358" t="n">
        <v>0</v>
      </c>
      <c r="AA783" s="358" t="n">
        <v>0</v>
      </c>
      <c r="AB783" s="373" t="n">
        <v>0</v>
      </c>
      <c r="AC783" s="358" t="n">
        <v>0</v>
      </c>
      <c r="AD783" s="358" t="n">
        <v>0</v>
      </c>
      <c r="AE783" s="358" t="n">
        <v>0</v>
      </c>
      <c r="AF783" s="359" t="n">
        <v>1</v>
      </c>
    </row>
    <row r="784" customFormat="false" ht="15" hidden="true" customHeight="false" outlineLevel="0" collapsed="false">
      <c r="B784" s="360" t="s">
        <v>3254</v>
      </c>
      <c r="C784" s="359" t="n">
        <v>1</v>
      </c>
      <c r="D784" s="358" t="n">
        <v>0</v>
      </c>
      <c r="E784" s="358" t="n">
        <v>0</v>
      </c>
      <c r="F784" s="358" t="n">
        <v>0</v>
      </c>
      <c r="G784" s="372" t="n">
        <v>0</v>
      </c>
      <c r="H784" s="373" t="n">
        <v>0</v>
      </c>
      <c r="I784" s="358" t="n">
        <v>0</v>
      </c>
      <c r="J784" s="358" t="n">
        <v>0</v>
      </c>
      <c r="K784" s="372" t="n">
        <v>0</v>
      </c>
      <c r="L784" s="373" t="n">
        <v>0</v>
      </c>
      <c r="M784" s="358" t="n">
        <v>0</v>
      </c>
      <c r="N784" s="358" t="n">
        <v>0</v>
      </c>
      <c r="O784" s="372" t="n">
        <v>0</v>
      </c>
      <c r="P784" s="373" t="n">
        <v>0</v>
      </c>
      <c r="Q784" s="358" t="n">
        <v>0</v>
      </c>
      <c r="R784" s="358" t="n">
        <v>0</v>
      </c>
      <c r="S784" s="372" t="n">
        <v>0</v>
      </c>
      <c r="T784" s="373" t="n">
        <v>0</v>
      </c>
      <c r="U784" s="358" t="n">
        <v>0</v>
      </c>
      <c r="V784" s="358" t="n">
        <v>0</v>
      </c>
      <c r="W784" s="372" t="n">
        <v>0</v>
      </c>
      <c r="X784" s="373" t="n">
        <v>0</v>
      </c>
      <c r="Y784" s="358" t="n">
        <v>0</v>
      </c>
      <c r="Z784" s="358" t="n">
        <v>0</v>
      </c>
      <c r="AA784" s="358" t="n">
        <v>0</v>
      </c>
      <c r="AB784" s="373" t="n">
        <v>0</v>
      </c>
      <c r="AC784" s="358" t="n">
        <v>0</v>
      </c>
      <c r="AD784" s="358" t="n">
        <v>0</v>
      </c>
      <c r="AE784" s="358" t="n">
        <v>0</v>
      </c>
      <c r="AF784" s="359" t="n">
        <v>1</v>
      </c>
    </row>
    <row r="785" customFormat="false" ht="15" hidden="true" customHeight="false" outlineLevel="0" collapsed="false">
      <c r="B785" s="360" t="s">
        <v>3255</v>
      </c>
      <c r="C785" s="359" t="n">
        <v>1</v>
      </c>
      <c r="D785" s="358" t="n">
        <v>0</v>
      </c>
      <c r="E785" s="358" t="n">
        <v>0</v>
      </c>
      <c r="F785" s="358" t="n">
        <v>0</v>
      </c>
      <c r="G785" s="372" t="n">
        <v>0</v>
      </c>
      <c r="H785" s="373" t="n">
        <v>0</v>
      </c>
      <c r="I785" s="358" t="n">
        <v>0</v>
      </c>
      <c r="J785" s="358" t="n">
        <v>0</v>
      </c>
      <c r="K785" s="372" t="n">
        <v>0</v>
      </c>
      <c r="L785" s="373" t="n">
        <v>0</v>
      </c>
      <c r="M785" s="358" t="n">
        <v>0</v>
      </c>
      <c r="N785" s="358" t="n">
        <v>0</v>
      </c>
      <c r="O785" s="372" t="n">
        <v>0</v>
      </c>
      <c r="P785" s="373" t="n">
        <v>0</v>
      </c>
      <c r="Q785" s="358" t="n">
        <v>0</v>
      </c>
      <c r="R785" s="358" t="n">
        <v>0</v>
      </c>
      <c r="S785" s="372" t="n">
        <v>0</v>
      </c>
      <c r="T785" s="373" t="n">
        <v>0</v>
      </c>
      <c r="U785" s="358" t="n">
        <v>0</v>
      </c>
      <c r="V785" s="358" t="n">
        <v>0</v>
      </c>
      <c r="W785" s="372" t="n">
        <v>0</v>
      </c>
      <c r="X785" s="373" t="n">
        <v>0</v>
      </c>
      <c r="Y785" s="358" t="n">
        <v>0</v>
      </c>
      <c r="Z785" s="358" t="n">
        <v>0</v>
      </c>
      <c r="AA785" s="358" t="n">
        <v>0</v>
      </c>
      <c r="AB785" s="373" t="n">
        <v>0</v>
      </c>
      <c r="AC785" s="358" t="n">
        <v>0</v>
      </c>
      <c r="AD785" s="358" t="n">
        <v>0</v>
      </c>
      <c r="AE785" s="358" t="n">
        <v>0</v>
      </c>
      <c r="AF785" s="359" t="n">
        <v>1</v>
      </c>
    </row>
    <row r="786" customFormat="false" ht="15" hidden="true" customHeight="false" outlineLevel="0" collapsed="false">
      <c r="B786" s="360" t="s">
        <v>3256</v>
      </c>
      <c r="C786" s="359" t="n">
        <v>1</v>
      </c>
      <c r="D786" s="358" t="n">
        <v>0</v>
      </c>
      <c r="E786" s="358" t="n">
        <v>0</v>
      </c>
      <c r="F786" s="358" t="n">
        <v>0</v>
      </c>
      <c r="G786" s="372" t="n">
        <v>0</v>
      </c>
      <c r="H786" s="373" t="n">
        <v>0</v>
      </c>
      <c r="I786" s="358" t="n">
        <v>0</v>
      </c>
      <c r="J786" s="358" t="n">
        <v>0</v>
      </c>
      <c r="K786" s="372" t="n">
        <v>0</v>
      </c>
      <c r="L786" s="373" t="n">
        <v>0</v>
      </c>
      <c r="M786" s="358" t="n">
        <v>0</v>
      </c>
      <c r="N786" s="358" t="n">
        <v>0</v>
      </c>
      <c r="O786" s="372" t="n">
        <v>0</v>
      </c>
      <c r="P786" s="373" t="n">
        <v>0</v>
      </c>
      <c r="Q786" s="358" t="n">
        <v>0</v>
      </c>
      <c r="R786" s="358" t="n">
        <v>0</v>
      </c>
      <c r="S786" s="372" t="n">
        <v>0</v>
      </c>
      <c r="T786" s="373" t="n">
        <v>0</v>
      </c>
      <c r="U786" s="358" t="n">
        <v>0</v>
      </c>
      <c r="V786" s="358" t="n">
        <v>0</v>
      </c>
      <c r="W786" s="372" t="n">
        <v>0</v>
      </c>
      <c r="X786" s="373" t="n">
        <v>0</v>
      </c>
      <c r="Y786" s="358" t="n">
        <v>0</v>
      </c>
      <c r="Z786" s="358" t="n">
        <v>0</v>
      </c>
      <c r="AA786" s="358" t="n">
        <v>0</v>
      </c>
      <c r="AB786" s="373" t="n">
        <v>0</v>
      </c>
      <c r="AC786" s="358" t="n">
        <v>0</v>
      </c>
      <c r="AD786" s="358" t="n">
        <v>0</v>
      </c>
      <c r="AE786" s="358" t="n">
        <v>0</v>
      </c>
      <c r="AF786" s="359" t="n">
        <v>1</v>
      </c>
    </row>
    <row r="787" customFormat="false" ht="15" hidden="true" customHeight="false" outlineLevel="0" collapsed="false">
      <c r="B787" s="360" t="s">
        <v>3257</v>
      </c>
      <c r="C787" s="359" t="n">
        <v>1</v>
      </c>
      <c r="D787" s="358" t="n">
        <v>0</v>
      </c>
      <c r="E787" s="358" t="n">
        <v>0</v>
      </c>
      <c r="F787" s="358" t="n">
        <v>0</v>
      </c>
      <c r="G787" s="372" t="n">
        <v>0</v>
      </c>
      <c r="H787" s="373" t="n">
        <v>0</v>
      </c>
      <c r="I787" s="358" t="n">
        <v>0</v>
      </c>
      <c r="J787" s="358" t="n">
        <v>0</v>
      </c>
      <c r="K787" s="372" t="n">
        <v>0</v>
      </c>
      <c r="L787" s="373" t="n">
        <v>0</v>
      </c>
      <c r="M787" s="358" t="n">
        <v>0</v>
      </c>
      <c r="N787" s="358" t="n">
        <v>0</v>
      </c>
      <c r="O787" s="372" t="n">
        <v>0</v>
      </c>
      <c r="P787" s="373" t="n">
        <v>0</v>
      </c>
      <c r="Q787" s="358" t="n">
        <v>0</v>
      </c>
      <c r="R787" s="358" t="n">
        <v>0</v>
      </c>
      <c r="S787" s="372" t="n">
        <v>0</v>
      </c>
      <c r="T787" s="373" t="n">
        <v>0</v>
      </c>
      <c r="U787" s="358" t="n">
        <v>0</v>
      </c>
      <c r="V787" s="358" t="n">
        <v>0</v>
      </c>
      <c r="W787" s="372" t="n">
        <v>0</v>
      </c>
      <c r="X787" s="373" t="n">
        <v>0</v>
      </c>
      <c r="Y787" s="358" t="n">
        <v>0</v>
      </c>
      <c r="Z787" s="358" t="n">
        <v>0</v>
      </c>
      <c r="AA787" s="358" t="n">
        <v>0</v>
      </c>
      <c r="AB787" s="373" t="n">
        <v>0</v>
      </c>
      <c r="AC787" s="358" t="n">
        <v>0</v>
      </c>
      <c r="AD787" s="358" t="n">
        <v>0</v>
      </c>
      <c r="AE787" s="358" t="n">
        <v>0</v>
      </c>
      <c r="AF787" s="359" t="n">
        <v>1</v>
      </c>
    </row>
    <row r="788" customFormat="false" ht="15" hidden="true" customHeight="false" outlineLevel="0" collapsed="false">
      <c r="B788" s="360" t="s">
        <v>3258</v>
      </c>
      <c r="C788" s="359" t="n">
        <v>1</v>
      </c>
      <c r="D788" s="358" t="n">
        <v>0</v>
      </c>
      <c r="E788" s="358" t="n">
        <v>0</v>
      </c>
      <c r="F788" s="358" t="n">
        <v>0</v>
      </c>
      <c r="G788" s="372" t="n">
        <v>0</v>
      </c>
      <c r="H788" s="373" t="n">
        <v>0</v>
      </c>
      <c r="I788" s="358" t="n">
        <v>0</v>
      </c>
      <c r="J788" s="358" t="n">
        <v>0</v>
      </c>
      <c r="K788" s="372" t="n">
        <v>0</v>
      </c>
      <c r="L788" s="373" t="n">
        <v>0</v>
      </c>
      <c r="M788" s="358" t="n">
        <v>0</v>
      </c>
      <c r="N788" s="358" t="n">
        <v>0</v>
      </c>
      <c r="O788" s="372" t="n">
        <v>0</v>
      </c>
      <c r="P788" s="373" t="n">
        <v>0</v>
      </c>
      <c r="Q788" s="358" t="n">
        <v>0</v>
      </c>
      <c r="R788" s="358" t="n">
        <v>0</v>
      </c>
      <c r="S788" s="372" t="n">
        <v>0</v>
      </c>
      <c r="T788" s="373" t="n">
        <v>0</v>
      </c>
      <c r="U788" s="358" t="n">
        <v>0</v>
      </c>
      <c r="V788" s="358" t="n">
        <v>0</v>
      </c>
      <c r="W788" s="372" t="n">
        <v>0</v>
      </c>
      <c r="X788" s="373" t="n">
        <v>0</v>
      </c>
      <c r="Y788" s="358" t="n">
        <v>0</v>
      </c>
      <c r="Z788" s="358" t="n">
        <v>0</v>
      </c>
      <c r="AA788" s="358" t="n">
        <v>0</v>
      </c>
      <c r="AB788" s="373" t="n">
        <v>0</v>
      </c>
      <c r="AC788" s="358" t="n">
        <v>0</v>
      </c>
      <c r="AD788" s="358" t="n">
        <v>0</v>
      </c>
      <c r="AE788" s="358" t="n">
        <v>0</v>
      </c>
      <c r="AF788" s="359" t="n">
        <v>1</v>
      </c>
    </row>
    <row r="789" customFormat="false" ht="15" hidden="true" customHeight="false" outlineLevel="0" collapsed="false">
      <c r="B789" s="360" t="s">
        <v>3259</v>
      </c>
      <c r="C789" s="359" t="n">
        <v>1</v>
      </c>
      <c r="D789" s="358" t="n">
        <v>0</v>
      </c>
      <c r="E789" s="358" t="n">
        <v>0</v>
      </c>
      <c r="F789" s="358" t="n">
        <v>0</v>
      </c>
      <c r="G789" s="372" t="n">
        <v>0</v>
      </c>
      <c r="H789" s="373" t="n">
        <v>0</v>
      </c>
      <c r="I789" s="358" t="n">
        <v>0</v>
      </c>
      <c r="J789" s="358" t="n">
        <v>0</v>
      </c>
      <c r="K789" s="372" t="n">
        <v>0</v>
      </c>
      <c r="L789" s="373" t="n">
        <v>0</v>
      </c>
      <c r="M789" s="358" t="n">
        <v>0</v>
      </c>
      <c r="N789" s="358" t="n">
        <v>0</v>
      </c>
      <c r="O789" s="372" t="n">
        <v>0</v>
      </c>
      <c r="P789" s="373" t="n">
        <v>0</v>
      </c>
      <c r="Q789" s="358" t="n">
        <v>0</v>
      </c>
      <c r="R789" s="358" t="n">
        <v>0</v>
      </c>
      <c r="S789" s="372" t="n">
        <v>0</v>
      </c>
      <c r="T789" s="373" t="n">
        <v>0</v>
      </c>
      <c r="U789" s="358" t="n">
        <v>0</v>
      </c>
      <c r="V789" s="358" t="n">
        <v>0</v>
      </c>
      <c r="W789" s="372" t="n">
        <v>0</v>
      </c>
      <c r="X789" s="373" t="n">
        <v>0</v>
      </c>
      <c r="Y789" s="358" t="n">
        <v>0</v>
      </c>
      <c r="Z789" s="358" t="n">
        <v>0</v>
      </c>
      <c r="AA789" s="358" t="n">
        <v>0</v>
      </c>
      <c r="AB789" s="373" t="n">
        <v>0</v>
      </c>
      <c r="AC789" s="358" t="n">
        <v>0</v>
      </c>
      <c r="AD789" s="358" t="n">
        <v>0</v>
      </c>
      <c r="AE789" s="358" t="n">
        <v>0</v>
      </c>
      <c r="AF789" s="359" t="n">
        <v>1</v>
      </c>
    </row>
    <row r="790" customFormat="false" ht="15" hidden="true" customHeight="false" outlineLevel="0" collapsed="false">
      <c r="B790" s="360" t="s">
        <v>3260</v>
      </c>
      <c r="C790" s="359" t="n">
        <v>1</v>
      </c>
      <c r="D790" s="358" t="n">
        <v>0</v>
      </c>
      <c r="E790" s="358" t="n">
        <v>0</v>
      </c>
      <c r="F790" s="358" t="n">
        <v>0</v>
      </c>
      <c r="G790" s="372" t="n">
        <v>0</v>
      </c>
      <c r="H790" s="373" t="n">
        <v>0</v>
      </c>
      <c r="I790" s="358" t="n">
        <v>0</v>
      </c>
      <c r="J790" s="358" t="n">
        <v>0</v>
      </c>
      <c r="K790" s="372" t="n">
        <v>0</v>
      </c>
      <c r="L790" s="373" t="n">
        <v>0</v>
      </c>
      <c r="M790" s="358" t="n">
        <v>0</v>
      </c>
      <c r="N790" s="358" t="n">
        <v>0</v>
      </c>
      <c r="O790" s="372" t="n">
        <v>0</v>
      </c>
      <c r="P790" s="373" t="n">
        <v>0</v>
      </c>
      <c r="Q790" s="358" t="n">
        <v>0</v>
      </c>
      <c r="R790" s="358" t="n">
        <v>0</v>
      </c>
      <c r="S790" s="372" t="n">
        <v>0</v>
      </c>
      <c r="T790" s="373" t="n">
        <v>0</v>
      </c>
      <c r="U790" s="358" t="n">
        <v>0</v>
      </c>
      <c r="V790" s="358" t="n">
        <v>0</v>
      </c>
      <c r="W790" s="372" t="n">
        <v>0</v>
      </c>
      <c r="X790" s="373" t="n">
        <v>0</v>
      </c>
      <c r="Y790" s="358" t="n">
        <v>0</v>
      </c>
      <c r="Z790" s="358" t="n">
        <v>0</v>
      </c>
      <c r="AA790" s="358" t="n">
        <v>0</v>
      </c>
      <c r="AB790" s="373" t="n">
        <v>0</v>
      </c>
      <c r="AC790" s="358" t="n">
        <v>0</v>
      </c>
      <c r="AD790" s="358" t="n">
        <v>0</v>
      </c>
      <c r="AE790" s="358" t="n">
        <v>0</v>
      </c>
      <c r="AF790" s="359" t="n">
        <v>1</v>
      </c>
    </row>
    <row r="791" customFormat="false" ht="15" hidden="true" customHeight="false" outlineLevel="0" collapsed="false">
      <c r="B791" s="360" t="s">
        <v>3261</v>
      </c>
      <c r="C791" s="359" t="n">
        <v>1</v>
      </c>
      <c r="D791" s="358" t="n">
        <v>0</v>
      </c>
      <c r="E791" s="358" t="n">
        <v>0</v>
      </c>
      <c r="F791" s="358" t="n">
        <v>0</v>
      </c>
      <c r="G791" s="372" t="n">
        <v>0</v>
      </c>
      <c r="H791" s="373" t="n">
        <v>0</v>
      </c>
      <c r="I791" s="358" t="n">
        <v>0</v>
      </c>
      <c r="J791" s="358" t="n">
        <v>0</v>
      </c>
      <c r="K791" s="372" t="n">
        <v>0</v>
      </c>
      <c r="L791" s="373" t="n">
        <v>0</v>
      </c>
      <c r="M791" s="358" t="n">
        <v>0</v>
      </c>
      <c r="N791" s="358" t="n">
        <v>0</v>
      </c>
      <c r="O791" s="372" t="n">
        <v>0</v>
      </c>
      <c r="P791" s="373" t="n">
        <v>0</v>
      </c>
      <c r="Q791" s="358" t="n">
        <v>0</v>
      </c>
      <c r="R791" s="358" t="n">
        <v>0</v>
      </c>
      <c r="S791" s="372" t="n">
        <v>0</v>
      </c>
      <c r="T791" s="373" t="n">
        <v>0</v>
      </c>
      <c r="U791" s="358" t="n">
        <v>0</v>
      </c>
      <c r="V791" s="358" t="n">
        <v>0</v>
      </c>
      <c r="W791" s="372" t="n">
        <v>0</v>
      </c>
      <c r="X791" s="373" t="n">
        <v>0</v>
      </c>
      <c r="Y791" s="358" t="n">
        <v>0</v>
      </c>
      <c r="Z791" s="358" t="n">
        <v>0</v>
      </c>
      <c r="AA791" s="358" t="n">
        <v>0</v>
      </c>
      <c r="AB791" s="373" t="n">
        <v>0</v>
      </c>
      <c r="AC791" s="358" t="n">
        <v>0</v>
      </c>
      <c r="AD791" s="358" t="n">
        <v>0</v>
      </c>
      <c r="AE791" s="358" t="n">
        <v>0</v>
      </c>
      <c r="AF791" s="359" t="n">
        <v>1</v>
      </c>
    </row>
    <row r="792" customFormat="false" ht="15" hidden="true" customHeight="false" outlineLevel="0" collapsed="false">
      <c r="B792" s="360" t="s">
        <v>3262</v>
      </c>
      <c r="C792" s="359" t="n">
        <v>1</v>
      </c>
      <c r="D792" s="358" t="n">
        <v>0</v>
      </c>
      <c r="E792" s="358" t="n">
        <v>0</v>
      </c>
      <c r="F792" s="358" t="n">
        <v>0</v>
      </c>
      <c r="G792" s="372" t="n">
        <v>0</v>
      </c>
      <c r="H792" s="373" t="n">
        <v>0</v>
      </c>
      <c r="I792" s="358" t="n">
        <v>0</v>
      </c>
      <c r="J792" s="358" t="n">
        <v>0</v>
      </c>
      <c r="K792" s="372" t="n">
        <v>0</v>
      </c>
      <c r="L792" s="373" t="n">
        <v>0</v>
      </c>
      <c r="M792" s="358" t="n">
        <v>0</v>
      </c>
      <c r="N792" s="358" t="n">
        <v>0</v>
      </c>
      <c r="O792" s="372" t="n">
        <v>0</v>
      </c>
      <c r="P792" s="373" t="n">
        <v>0</v>
      </c>
      <c r="Q792" s="358" t="n">
        <v>0</v>
      </c>
      <c r="R792" s="358" t="n">
        <v>0</v>
      </c>
      <c r="S792" s="372" t="n">
        <v>0</v>
      </c>
      <c r="T792" s="373" t="n">
        <v>0</v>
      </c>
      <c r="U792" s="358" t="n">
        <v>0</v>
      </c>
      <c r="V792" s="358" t="n">
        <v>0</v>
      </c>
      <c r="W792" s="372" t="n">
        <v>0</v>
      </c>
      <c r="X792" s="373" t="n">
        <v>0</v>
      </c>
      <c r="Y792" s="358" t="n">
        <v>0</v>
      </c>
      <c r="Z792" s="358" t="n">
        <v>0</v>
      </c>
      <c r="AA792" s="358" t="n">
        <v>0</v>
      </c>
      <c r="AB792" s="373" t="n">
        <v>0</v>
      </c>
      <c r="AC792" s="358" t="n">
        <v>0</v>
      </c>
      <c r="AD792" s="358" t="n">
        <v>0</v>
      </c>
      <c r="AE792" s="358" t="n">
        <v>0</v>
      </c>
      <c r="AF792" s="359" t="n">
        <v>1</v>
      </c>
    </row>
    <row r="793" customFormat="false" ht="15" hidden="true" customHeight="false" outlineLevel="0" collapsed="false">
      <c r="B793" s="360" t="s">
        <v>3263</v>
      </c>
      <c r="C793" s="359" t="n">
        <v>1</v>
      </c>
      <c r="D793" s="358" t="n">
        <v>0</v>
      </c>
      <c r="E793" s="358" t="n">
        <v>0</v>
      </c>
      <c r="F793" s="358" t="n">
        <v>0</v>
      </c>
      <c r="G793" s="372" t="n">
        <v>0</v>
      </c>
      <c r="H793" s="373" t="n">
        <v>0</v>
      </c>
      <c r="I793" s="358" t="n">
        <v>0</v>
      </c>
      <c r="J793" s="358" t="n">
        <v>0</v>
      </c>
      <c r="K793" s="372" t="n">
        <v>0</v>
      </c>
      <c r="L793" s="373" t="n">
        <v>0</v>
      </c>
      <c r="M793" s="358" t="n">
        <v>0</v>
      </c>
      <c r="N793" s="358" t="n">
        <v>0</v>
      </c>
      <c r="O793" s="372" t="n">
        <v>0</v>
      </c>
      <c r="P793" s="373" t="n">
        <v>0</v>
      </c>
      <c r="Q793" s="358" t="n">
        <v>0</v>
      </c>
      <c r="R793" s="358" t="n">
        <v>0</v>
      </c>
      <c r="S793" s="372" t="n">
        <v>0</v>
      </c>
      <c r="T793" s="373" t="n">
        <v>0</v>
      </c>
      <c r="U793" s="358" t="n">
        <v>0</v>
      </c>
      <c r="V793" s="358" t="n">
        <v>0</v>
      </c>
      <c r="W793" s="372" t="n">
        <v>0</v>
      </c>
      <c r="X793" s="373" t="n">
        <v>0</v>
      </c>
      <c r="Y793" s="358" t="n">
        <v>0</v>
      </c>
      <c r="Z793" s="358" t="n">
        <v>0</v>
      </c>
      <c r="AA793" s="358" t="n">
        <v>0</v>
      </c>
      <c r="AB793" s="373" t="n">
        <v>0</v>
      </c>
      <c r="AC793" s="358" t="n">
        <v>0</v>
      </c>
      <c r="AD793" s="358" t="n">
        <v>0</v>
      </c>
      <c r="AE793" s="358" t="n">
        <v>0</v>
      </c>
      <c r="AF793" s="359" t="n">
        <v>1</v>
      </c>
    </row>
    <row r="794" customFormat="false" ht="15" hidden="true" customHeight="false" outlineLevel="0" collapsed="false">
      <c r="B794" s="360" t="s">
        <v>3264</v>
      </c>
      <c r="C794" s="359" t="n">
        <v>1</v>
      </c>
      <c r="D794" s="358" t="n">
        <v>0</v>
      </c>
      <c r="E794" s="358" t="n">
        <v>0</v>
      </c>
      <c r="F794" s="358" t="n">
        <v>0</v>
      </c>
      <c r="G794" s="372" t="n">
        <v>0</v>
      </c>
      <c r="H794" s="373" t="n">
        <v>0</v>
      </c>
      <c r="I794" s="358" t="n">
        <v>0</v>
      </c>
      <c r="J794" s="358" t="n">
        <v>0</v>
      </c>
      <c r="K794" s="372" t="n">
        <v>0</v>
      </c>
      <c r="L794" s="373" t="n">
        <v>0</v>
      </c>
      <c r="M794" s="358" t="n">
        <v>0</v>
      </c>
      <c r="N794" s="358" t="n">
        <v>0</v>
      </c>
      <c r="O794" s="372" t="n">
        <v>0</v>
      </c>
      <c r="P794" s="373" t="n">
        <v>0</v>
      </c>
      <c r="Q794" s="358" t="n">
        <v>0</v>
      </c>
      <c r="R794" s="358" t="n">
        <v>0</v>
      </c>
      <c r="S794" s="372" t="n">
        <v>0</v>
      </c>
      <c r="T794" s="373" t="n">
        <v>0</v>
      </c>
      <c r="U794" s="358" t="n">
        <v>0</v>
      </c>
      <c r="V794" s="358" t="n">
        <v>0</v>
      </c>
      <c r="W794" s="372" t="n">
        <v>0</v>
      </c>
      <c r="X794" s="373" t="n">
        <v>0</v>
      </c>
      <c r="Y794" s="358" t="n">
        <v>0</v>
      </c>
      <c r="Z794" s="358" t="n">
        <v>0</v>
      </c>
      <c r="AA794" s="358" t="n">
        <v>0</v>
      </c>
      <c r="AB794" s="373" t="n">
        <v>0</v>
      </c>
      <c r="AC794" s="358" t="n">
        <v>0</v>
      </c>
      <c r="AD794" s="358" t="n">
        <v>0</v>
      </c>
      <c r="AE794" s="358" t="n">
        <v>0</v>
      </c>
      <c r="AF794" s="359" t="n">
        <v>1</v>
      </c>
    </row>
    <row r="795" customFormat="false" ht="15" hidden="false" customHeight="false" outlineLevel="0" collapsed="false">
      <c r="B795" s="364" t="s">
        <v>2468</v>
      </c>
      <c r="C795" s="365" t="n">
        <v>11</v>
      </c>
      <c r="D795" s="358" t="n">
        <v>0</v>
      </c>
      <c r="E795" s="358" t="n">
        <v>0</v>
      </c>
      <c r="F795" s="358" t="n">
        <v>0</v>
      </c>
      <c r="G795" s="372" t="n">
        <v>0</v>
      </c>
      <c r="H795" s="373" t="n">
        <v>0</v>
      </c>
      <c r="I795" s="358" t="n">
        <v>0</v>
      </c>
      <c r="J795" s="358" t="n">
        <v>0</v>
      </c>
      <c r="K795" s="372" t="n">
        <v>0</v>
      </c>
      <c r="L795" s="373" t="n">
        <v>0</v>
      </c>
      <c r="M795" s="358" t="n">
        <v>0</v>
      </c>
      <c r="N795" s="358" t="n">
        <v>0</v>
      </c>
      <c r="O795" s="372" t="n">
        <v>0</v>
      </c>
      <c r="P795" s="373" t="n">
        <v>0</v>
      </c>
      <c r="Q795" s="358" t="n">
        <v>0</v>
      </c>
      <c r="R795" s="358" t="n">
        <v>0</v>
      </c>
      <c r="S795" s="372" t="n">
        <v>0</v>
      </c>
      <c r="T795" s="373" t="n">
        <v>0</v>
      </c>
      <c r="U795" s="358" t="n">
        <v>0</v>
      </c>
      <c r="V795" s="358" t="n">
        <v>0</v>
      </c>
      <c r="W795" s="372" t="n">
        <v>0</v>
      </c>
      <c r="X795" s="373" t="n">
        <v>0</v>
      </c>
      <c r="Y795" s="358" t="n">
        <v>0</v>
      </c>
      <c r="Z795" s="358" t="n">
        <v>0</v>
      </c>
      <c r="AA795" s="358" t="n">
        <v>0</v>
      </c>
      <c r="AB795" s="373" t="n">
        <v>0</v>
      </c>
      <c r="AC795" s="358" t="n">
        <v>0</v>
      </c>
      <c r="AD795" s="358" t="n">
        <v>0</v>
      </c>
      <c r="AE795" s="358" t="n">
        <v>0</v>
      </c>
      <c r="AF795" s="365" t="n">
        <v>11</v>
      </c>
    </row>
    <row r="796" customFormat="false" ht="15" hidden="true" customHeight="false" outlineLevel="0" collapsed="false">
      <c r="B796" s="360" t="s">
        <v>3265</v>
      </c>
      <c r="C796" s="359" t="n">
        <v>1</v>
      </c>
      <c r="D796" s="358" t="n">
        <v>0</v>
      </c>
      <c r="E796" s="358" t="n">
        <v>0</v>
      </c>
      <c r="F796" s="358" t="n">
        <v>0</v>
      </c>
      <c r="G796" s="372" t="n">
        <v>0</v>
      </c>
      <c r="H796" s="373" t="n">
        <v>0</v>
      </c>
      <c r="I796" s="358" t="n">
        <v>0</v>
      </c>
      <c r="J796" s="358" t="n">
        <v>0</v>
      </c>
      <c r="K796" s="372" t="n">
        <v>0</v>
      </c>
      <c r="L796" s="373" t="n">
        <v>0</v>
      </c>
      <c r="M796" s="358" t="n">
        <v>0</v>
      </c>
      <c r="N796" s="358" t="n">
        <v>0</v>
      </c>
      <c r="O796" s="372" t="n">
        <v>0</v>
      </c>
      <c r="P796" s="373" t="n">
        <v>0</v>
      </c>
      <c r="Q796" s="358" t="n">
        <v>0</v>
      </c>
      <c r="R796" s="358" t="n">
        <v>0</v>
      </c>
      <c r="S796" s="372" t="n">
        <v>0</v>
      </c>
      <c r="T796" s="373" t="n">
        <v>0</v>
      </c>
      <c r="U796" s="358" t="n">
        <v>0</v>
      </c>
      <c r="V796" s="358" t="n">
        <v>0</v>
      </c>
      <c r="W796" s="372" t="n">
        <v>0</v>
      </c>
      <c r="X796" s="373" t="n">
        <v>0</v>
      </c>
      <c r="Y796" s="358" t="n">
        <v>0</v>
      </c>
      <c r="Z796" s="358" t="n">
        <v>0</v>
      </c>
      <c r="AA796" s="358" t="n">
        <v>0</v>
      </c>
      <c r="AB796" s="373" t="n">
        <v>0</v>
      </c>
      <c r="AC796" s="358" t="n">
        <v>0</v>
      </c>
      <c r="AD796" s="358" t="n">
        <v>0</v>
      </c>
      <c r="AE796" s="358" t="n">
        <v>0</v>
      </c>
      <c r="AF796" s="359" t="n">
        <v>1</v>
      </c>
    </row>
    <row r="797" customFormat="false" ht="15" hidden="true" customHeight="false" outlineLevel="0" collapsed="false">
      <c r="B797" s="360" t="s">
        <v>3266</v>
      </c>
      <c r="C797" s="359" t="n">
        <v>1</v>
      </c>
      <c r="D797" s="358" t="n">
        <v>0</v>
      </c>
      <c r="E797" s="358" t="n">
        <v>0</v>
      </c>
      <c r="F797" s="358" t="n">
        <v>0</v>
      </c>
      <c r="G797" s="372" t="n">
        <v>0</v>
      </c>
      <c r="H797" s="373" t="n">
        <v>0</v>
      </c>
      <c r="I797" s="358" t="n">
        <v>0</v>
      </c>
      <c r="J797" s="358" t="n">
        <v>0</v>
      </c>
      <c r="K797" s="372" t="n">
        <v>0</v>
      </c>
      <c r="L797" s="373" t="n">
        <v>0</v>
      </c>
      <c r="M797" s="358" t="n">
        <v>0</v>
      </c>
      <c r="N797" s="358" t="n">
        <v>0</v>
      </c>
      <c r="O797" s="372" t="n">
        <v>0</v>
      </c>
      <c r="P797" s="373" t="n">
        <v>0</v>
      </c>
      <c r="Q797" s="358" t="n">
        <v>0</v>
      </c>
      <c r="R797" s="358" t="n">
        <v>0</v>
      </c>
      <c r="S797" s="372" t="n">
        <v>0</v>
      </c>
      <c r="T797" s="373" t="n">
        <v>0</v>
      </c>
      <c r="U797" s="358" t="n">
        <v>0</v>
      </c>
      <c r="V797" s="358" t="n">
        <v>0</v>
      </c>
      <c r="W797" s="372" t="n">
        <v>0</v>
      </c>
      <c r="X797" s="373" t="n">
        <v>0</v>
      </c>
      <c r="Y797" s="358" t="n">
        <v>0</v>
      </c>
      <c r="Z797" s="358" t="n">
        <v>0</v>
      </c>
      <c r="AA797" s="358" t="n">
        <v>0</v>
      </c>
      <c r="AB797" s="373" t="n">
        <v>0</v>
      </c>
      <c r="AC797" s="358" t="n">
        <v>0</v>
      </c>
      <c r="AD797" s="358" t="n">
        <v>0</v>
      </c>
      <c r="AE797" s="358" t="n">
        <v>0</v>
      </c>
      <c r="AF797" s="359" t="n">
        <v>1</v>
      </c>
    </row>
    <row r="798" customFormat="false" ht="15" hidden="true" customHeight="false" outlineLevel="0" collapsed="false">
      <c r="B798" s="360" t="s">
        <v>3267</v>
      </c>
      <c r="C798" s="359" t="n">
        <v>1</v>
      </c>
      <c r="D798" s="358" t="n">
        <v>0</v>
      </c>
      <c r="E798" s="358" t="n">
        <v>0</v>
      </c>
      <c r="F798" s="358" t="n">
        <v>0</v>
      </c>
      <c r="G798" s="372" t="n">
        <v>0</v>
      </c>
      <c r="H798" s="373" t="n">
        <v>0</v>
      </c>
      <c r="I798" s="358" t="n">
        <v>0</v>
      </c>
      <c r="J798" s="358" t="n">
        <v>0</v>
      </c>
      <c r="K798" s="372" t="n">
        <v>0</v>
      </c>
      <c r="L798" s="373" t="n">
        <v>0</v>
      </c>
      <c r="M798" s="358" t="n">
        <v>0</v>
      </c>
      <c r="N798" s="358" t="n">
        <v>0</v>
      </c>
      <c r="O798" s="372" t="n">
        <v>0</v>
      </c>
      <c r="P798" s="373" t="n">
        <v>0</v>
      </c>
      <c r="Q798" s="358" t="n">
        <v>0</v>
      </c>
      <c r="R798" s="358" t="n">
        <v>0</v>
      </c>
      <c r="S798" s="372" t="n">
        <v>0</v>
      </c>
      <c r="T798" s="373" t="n">
        <v>0</v>
      </c>
      <c r="U798" s="358" t="n">
        <v>0</v>
      </c>
      <c r="V798" s="358" t="n">
        <v>0</v>
      </c>
      <c r="W798" s="372" t="n">
        <v>0</v>
      </c>
      <c r="X798" s="373" t="n">
        <v>0</v>
      </c>
      <c r="Y798" s="358" t="n">
        <v>0</v>
      </c>
      <c r="Z798" s="358" t="n">
        <v>0</v>
      </c>
      <c r="AA798" s="358" t="n">
        <v>0</v>
      </c>
      <c r="AB798" s="373" t="n">
        <v>0</v>
      </c>
      <c r="AC798" s="358" t="n">
        <v>0</v>
      </c>
      <c r="AD798" s="358" t="n">
        <v>0</v>
      </c>
      <c r="AE798" s="358" t="n">
        <v>0</v>
      </c>
      <c r="AF798" s="359" t="n">
        <v>1</v>
      </c>
    </row>
    <row r="799" customFormat="false" ht="15" hidden="true" customHeight="false" outlineLevel="0" collapsed="false">
      <c r="B799" s="360" t="s">
        <v>3268</v>
      </c>
      <c r="C799" s="359" t="n">
        <v>1</v>
      </c>
      <c r="D799" s="358" t="n">
        <v>0</v>
      </c>
      <c r="E799" s="358" t="n">
        <v>0</v>
      </c>
      <c r="F799" s="358" t="n">
        <v>0</v>
      </c>
      <c r="G799" s="372" t="n">
        <v>0</v>
      </c>
      <c r="H799" s="373" t="n">
        <v>0</v>
      </c>
      <c r="I799" s="358" t="n">
        <v>0</v>
      </c>
      <c r="J799" s="358" t="n">
        <v>0</v>
      </c>
      <c r="K799" s="372" t="n">
        <v>0</v>
      </c>
      <c r="L799" s="373" t="n">
        <v>0</v>
      </c>
      <c r="M799" s="358" t="n">
        <v>0</v>
      </c>
      <c r="N799" s="358" t="n">
        <v>0</v>
      </c>
      <c r="O799" s="372" t="n">
        <v>0</v>
      </c>
      <c r="P799" s="373" t="n">
        <v>0</v>
      </c>
      <c r="Q799" s="358" t="n">
        <v>0</v>
      </c>
      <c r="R799" s="358" t="n">
        <v>0</v>
      </c>
      <c r="S799" s="372" t="n">
        <v>0</v>
      </c>
      <c r="T799" s="373" t="n">
        <v>0</v>
      </c>
      <c r="U799" s="358" t="n">
        <v>0</v>
      </c>
      <c r="V799" s="358" t="n">
        <v>0</v>
      </c>
      <c r="W799" s="372" t="n">
        <v>0</v>
      </c>
      <c r="X799" s="373" t="n">
        <v>0</v>
      </c>
      <c r="Y799" s="358" t="n">
        <v>0</v>
      </c>
      <c r="Z799" s="358" t="n">
        <v>0</v>
      </c>
      <c r="AA799" s="358" t="n">
        <v>0</v>
      </c>
      <c r="AB799" s="373" t="n">
        <v>0</v>
      </c>
      <c r="AC799" s="358" t="n">
        <v>0</v>
      </c>
      <c r="AD799" s="358" t="n">
        <v>0</v>
      </c>
      <c r="AE799" s="358" t="n">
        <v>0</v>
      </c>
      <c r="AF799" s="359" t="n">
        <v>1</v>
      </c>
    </row>
    <row r="800" customFormat="false" ht="15" hidden="true" customHeight="false" outlineLevel="0" collapsed="false">
      <c r="B800" s="360" t="s">
        <v>3269</v>
      </c>
      <c r="C800" s="359" t="n">
        <v>1</v>
      </c>
      <c r="D800" s="358" t="n">
        <v>0</v>
      </c>
      <c r="E800" s="358" t="n">
        <v>0</v>
      </c>
      <c r="F800" s="358" t="n">
        <v>0</v>
      </c>
      <c r="G800" s="372" t="n">
        <v>0</v>
      </c>
      <c r="H800" s="373" t="n">
        <v>0</v>
      </c>
      <c r="I800" s="358" t="n">
        <v>0</v>
      </c>
      <c r="J800" s="358" t="n">
        <v>0</v>
      </c>
      <c r="K800" s="372" t="n">
        <v>0</v>
      </c>
      <c r="L800" s="373" t="n">
        <v>0</v>
      </c>
      <c r="M800" s="358" t="n">
        <v>0</v>
      </c>
      <c r="N800" s="358" t="n">
        <v>0</v>
      </c>
      <c r="O800" s="372" t="n">
        <v>0</v>
      </c>
      <c r="P800" s="373" t="n">
        <v>0</v>
      </c>
      <c r="Q800" s="358" t="n">
        <v>0</v>
      </c>
      <c r="R800" s="358" t="n">
        <v>0</v>
      </c>
      <c r="S800" s="372" t="n">
        <v>0</v>
      </c>
      <c r="T800" s="373" t="n">
        <v>0</v>
      </c>
      <c r="U800" s="358" t="n">
        <v>0</v>
      </c>
      <c r="V800" s="358" t="n">
        <v>0</v>
      </c>
      <c r="W800" s="372" t="n">
        <v>0</v>
      </c>
      <c r="X800" s="373" t="n">
        <v>0</v>
      </c>
      <c r="Y800" s="358" t="n">
        <v>0</v>
      </c>
      <c r="Z800" s="358" t="n">
        <v>0</v>
      </c>
      <c r="AA800" s="358" t="n">
        <v>0</v>
      </c>
      <c r="AB800" s="373" t="n">
        <v>0</v>
      </c>
      <c r="AC800" s="358" t="n">
        <v>0</v>
      </c>
      <c r="AD800" s="358" t="n">
        <v>0</v>
      </c>
      <c r="AE800" s="358" t="n">
        <v>0</v>
      </c>
      <c r="AF800" s="359" t="n">
        <v>1</v>
      </c>
    </row>
    <row r="801" customFormat="false" ht="15" hidden="true" customHeight="false" outlineLevel="0" collapsed="false">
      <c r="B801" s="360" t="s">
        <v>3270</v>
      </c>
      <c r="C801" s="359" t="n">
        <v>1</v>
      </c>
      <c r="D801" s="358" t="n">
        <v>0</v>
      </c>
      <c r="E801" s="358" t="n">
        <v>0</v>
      </c>
      <c r="F801" s="358" t="n">
        <v>0</v>
      </c>
      <c r="G801" s="372" t="n">
        <v>0</v>
      </c>
      <c r="H801" s="373" t="n">
        <v>0</v>
      </c>
      <c r="I801" s="358" t="n">
        <v>0</v>
      </c>
      <c r="J801" s="358" t="n">
        <v>0</v>
      </c>
      <c r="K801" s="372" t="n">
        <v>0</v>
      </c>
      <c r="L801" s="373" t="n">
        <v>0</v>
      </c>
      <c r="M801" s="358" t="n">
        <v>0</v>
      </c>
      <c r="N801" s="358" t="n">
        <v>0</v>
      </c>
      <c r="O801" s="372" t="n">
        <v>0</v>
      </c>
      <c r="P801" s="373" t="n">
        <v>0</v>
      </c>
      <c r="Q801" s="358" t="n">
        <v>0</v>
      </c>
      <c r="R801" s="358" t="n">
        <v>0</v>
      </c>
      <c r="S801" s="372" t="n">
        <v>0</v>
      </c>
      <c r="T801" s="373" t="n">
        <v>0</v>
      </c>
      <c r="U801" s="358" t="n">
        <v>0</v>
      </c>
      <c r="V801" s="358" t="n">
        <v>0</v>
      </c>
      <c r="W801" s="372" t="n">
        <v>0</v>
      </c>
      <c r="X801" s="373" t="n">
        <v>0</v>
      </c>
      <c r="Y801" s="358" t="n">
        <v>0</v>
      </c>
      <c r="Z801" s="358" t="n">
        <v>0</v>
      </c>
      <c r="AA801" s="358" t="n">
        <v>0</v>
      </c>
      <c r="AB801" s="373" t="n">
        <v>0</v>
      </c>
      <c r="AC801" s="358" t="n">
        <v>0</v>
      </c>
      <c r="AD801" s="358" t="n">
        <v>0</v>
      </c>
      <c r="AE801" s="358" t="n">
        <v>0</v>
      </c>
      <c r="AF801" s="359" t="n">
        <v>1</v>
      </c>
    </row>
    <row r="802" customFormat="false" ht="15" hidden="true" customHeight="false" outlineLevel="0" collapsed="false">
      <c r="B802" s="360" t="s">
        <v>3271</v>
      </c>
      <c r="C802" s="359" t="n">
        <v>1</v>
      </c>
      <c r="D802" s="358" t="n">
        <v>0</v>
      </c>
      <c r="E802" s="358" t="n">
        <v>0</v>
      </c>
      <c r="F802" s="358" t="n">
        <v>0</v>
      </c>
      <c r="G802" s="372" t="n">
        <v>0</v>
      </c>
      <c r="H802" s="373" t="n">
        <v>0</v>
      </c>
      <c r="I802" s="358" t="n">
        <v>0</v>
      </c>
      <c r="J802" s="358" t="n">
        <v>0</v>
      </c>
      <c r="K802" s="372" t="n">
        <v>0</v>
      </c>
      <c r="L802" s="373" t="n">
        <v>0</v>
      </c>
      <c r="M802" s="358" t="n">
        <v>0</v>
      </c>
      <c r="N802" s="358" t="n">
        <v>0</v>
      </c>
      <c r="O802" s="372" t="n">
        <v>0</v>
      </c>
      <c r="P802" s="373" t="n">
        <v>0</v>
      </c>
      <c r="Q802" s="358" t="n">
        <v>0</v>
      </c>
      <c r="R802" s="358" t="n">
        <v>0</v>
      </c>
      <c r="S802" s="372" t="n">
        <v>0</v>
      </c>
      <c r="T802" s="373" t="n">
        <v>0</v>
      </c>
      <c r="U802" s="358" t="n">
        <v>0</v>
      </c>
      <c r="V802" s="358" t="n">
        <v>0</v>
      </c>
      <c r="W802" s="372" t="n">
        <v>0</v>
      </c>
      <c r="X802" s="373" t="n">
        <v>0</v>
      </c>
      <c r="Y802" s="358" t="n">
        <v>0</v>
      </c>
      <c r="Z802" s="358" t="n">
        <v>0</v>
      </c>
      <c r="AA802" s="358" t="n">
        <v>0</v>
      </c>
      <c r="AB802" s="373" t="n">
        <v>0</v>
      </c>
      <c r="AC802" s="358" t="n">
        <v>0</v>
      </c>
      <c r="AD802" s="358" t="n">
        <v>0</v>
      </c>
      <c r="AE802" s="358" t="n">
        <v>0</v>
      </c>
      <c r="AF802" s="359" t="n">
        <v>1</v>
      </c>
    </row>
    <row r="803" customFormat="false" ht="15" hidden="true" customHeight="false" outlineLevel="0" collapsed="false">
      <c r="B803" s="360" t="s">
        <v>3272</v>
      </c>
      <c r="C803" s="359" t="n">
        <v>1</v>
      </c>
      <c r="D803" s="358" t="n">
        <v>0</v>
      </c>
      <c r="E803" s="358" t="n">
        <v>0</v>
      </c>
      <c r="F803" s="358" t="n">
        <v>0</v>
      </c>
      <c r="G803" s="372" t="n">
        <v>0</v>
      </c>
      <c r="H803" s="373" t="n">
        <v>0</v>
      </c>
      <c r="I803" s="358" t="n">
        <v>0</v>
      </c>
      <c r="J803" s="358" t="n">
        <v>0</v>
      </c>
      <c r="K803" s="372" t="n">
        <v>0</v>
      </c>
      <c r="L803" s="373" t="n">
        <v>0</v>
      </c>
      <c r="M803" s="358" t="n">
        <v>0</v>
      </c>
      <c r="N803" s="358" t="n">
        <v>0</v>
      </c>
      <c r="O803" s="372" t="n">
        <v>0</v>
      </c>
      <c r="P803" s="373" t="n">
        <v>0</v>
      </c>
      <c r="Q803" s="358" t="n">
        <v>0</v>
      </c>
      <c r="R803" s="358" t="n">
        <v>0</v>
      </c>
      <c r="S803" s="372" t="n">
        <v>0</v>
      </c>
      <c r="T803" s="373" t="n">
        <v>0</v>
      </c>
      <c r="U803" s="358" t="n">
        <v>0</v>
      </c>
      <c r="V803" s="358" t="n">
        <v>0</v>
      </c>
      <c r="W803" s="372" t="n">
        <v>0</v>
      </c>
      <c r="X803" s="373" t="n">
        <v>0</v>
      </c>
      <c r="Y803" s="358" t="n">
        <v>0</v>
      </c>
      <c r="Z803" s="358" t="n">
        <v>0</v>
      </c>
      <c r="AA803" s="358" t="n">
        <v>0</v>
      </c>
      <c r="AB803" s="373" t="n">
        <v>0</v>
      </c>
      <c r="AC803" s="358" t="n">
        <v>0</v>
      </c>
      <c r="AD803" s="358" t="n">
        <v>0</v>
      </c>
      <c r="AE803" s="358" t="n">
        <v>0</v>
      </c>
      <c r="AF803" s="359" t="n">
        <v>1</v>
      </c>
    </row>
    <row r="804" customFormat="false" ht="15" hidden="true" customHeight="false" outlineLevel="0" collapsed="false">
      <c r="B804" s="360" t="s">
        <v>3273</v>
      </c>
      <c r="C804" s="359" t="n">
        <v>1</v>
      </c>
      <c r="D804" s="358" t="n">
        <v>0</v>
      </c>
      <c r="E804" s="358" t="n">
        <v>0</v>
      </c>
      <c r="F804" s="358" t="n">
        <v>0</v>
      </c>
      <c r="G804" s="372" t="n">
        <v>0</v>
      </c>
      <c r="H804" s="373" t="n">
        <v>0</v>
      </c>
      <c r="I804" s="358" t="n">
        <v>0</v>
      </c>
      <c r="J804" s="358" t="n">
        <v>0</v>
      </c>
      <c r="K804" s="372" t="n">
        <v>0</v>
      </c>
      <c r="L804" s="373" t="n">
        <v>0</v>
      </c>
      <c r="M804" s="358" t="n">
        <v>0</v>
      </c>
      <c r="N804" s="358" t="n">
        <v>0</v>
      </c>
      <c r="O804" s="372" t="n">
        <v>0</v>
      </c>
      <c r="P804" s="373" t="n">
        <v>0</v>
      </c>
      <c r="Q804" s="358" t="n">
        <v>0</v>
      </c>
      <c r="R804" s="358" t="n">
        <v>0</v>
      </c>
      <c r="S804" s="372" t="n">
        <v>0</v>
      </c>
      <c r="T804" s="373" t="n">
        <v>0</v>
      </c>
      <c r="U804" s="358" t="n">
        <v>0</v>
      </c>
      <c r="V804" s="358" t="n">
        <v>0</v>
      </c>
      <c r="W804" s="372" t="n">
        <v>0</v>
      </c>
      <c r="X804" s="373" t="n">
        <v>0</v>
      </c>
      <c r="Y804" s="358" t="n">
        <v>0</v>
      </c>
      <c r="Z804" s="358" t="n">
        <v>0</v>
      </c>
      <c r="AA804" s="358" t="n">
        <v>0</v>
      </c>
      <c r="AB804" s="373" t="n">
        <v>0</v>
      </c>
      <c r="AC804" s="358" t="n">
        <v>0</v>
      </c>
      <c r="AD804" s="358" t="n">
        <v>0</v>
      </c>
      <c r="AE804" s="358" t="n">
        <v>0</v>
      </c>
      <c r="AF804" s="359" t="n">
        <v>1</v>
      </c>
    </row>
    <row r="805" customFormat="false" ht="15" hidden="true" customHeight="false" outlineLevel="0" collapsed="false">
      <c r="B805" s="360" t="s">
        <v>3274</v>
      </c>
      <c r="C805" s="359" t="n">
        <v>1</v>
      </c>
      <c r="D805" s="358" t="n">
        <v>0</v>
      </c>
      <c r="E805" s="358" t="n">
        <v>0</v>
      </c>
      <c r="F805" s="358" t="n">
        <v>0</v>
      </c>
      <c r="G805" s="372" t="n">
        <v>0</v>
      </c>
      <c r="H805" s="373" t="n">
        <v>0</v>
      </c>
      <c r="I805" s="358" t="n">
        <v>0</v>
      </c>
      <c r="J805" s="358" t="n">
        <v>0</v>
      </c>
      <c r="K805" s="372" t="n">
        <v>0</v>
      </c>
      <c r="L805" s="373" t="n">
        <v>0</v>
      </c>
      <c r="M805" s="358" t="n">
        <v>0</v>
      </c>
      <c r="N805" s="358" t="n">
        <v>0</v>
      </c>
      <c r="O805" s="372" t="n">
        <v>0</v>
      </c>
      <c r="P805" s="373" t="n">
        <v>0</v>
      </c>
      <c r="Q805" s="358" t="n">
        <v>0</v>
      </c>
      <c r="R805" s="358" t="n">
        <v>0</v>
      </c>
      <c r="S805" s="372" t="n">
        <v>0</v>
      </c>
      <c r="T805" s="373" t="n">
        <v>0</v>
      </c>
      <c r="U805" s="358" t="n">
        <v>0</v>
      </c>
      <c r="V805" s="358" t="n">
        <v>0</v>
      </c>
      <c r="W805" s="372" t="n">
        <v>0</v>
      </c>
      <c r="X805" s="373" t="n">
        <v>0</v>
      </c>
      <c r="Y805" s="358" t="n">
        <v>0</v>
      </c>
      <c r="Z805" s="358" t="n">
        <v>0</v>
      </c>
      <c r="AA805" s="358" t="n">
        <v>0</v>
      </c>
      <c r="AB805" s="373" t="n">
        <v>0</v>
      </c>
      <c r="AC805" s="358" t="n">
        <v>0</v>
      </c>
      <c r="AD805" s="358" t="n">
        <v>0</v>
      </c>
      <c r="AE805" s="358" t="n">
        <v>0</v>
      </c>
      <c r="AF805" s="359" t="n">
        <v>1</v>
      </c>
    </row>
    <row r="806" customFormat="false" ht="15" hidden="true" customHeight="false" outlineLevel="0" collapsed="false">
      <c r="B806" s="360" t="s">
        <v>3275</v>
      </c>
      <c r="C806" s="359" t="n">
        <v>1</v>
      </c>
      <c r="D806" s="358" t="n">
        <v>0</v>
      </c>
      <c r="E806" s="358" t="n">
        <v>0</v>
      </c>
      <c r="F806" s="358" t="n">
        <v>0</v>
      </c>
      <c r="G806" s="372" t="n">
        <v>0</v>
      </c>
      <c r="H806" s="373" t="n">
        <v>0</v>
      </c>
      <c r="I806" s="358" t="n">
        <v>0</v>
      </c>
      <c r="J806" s="358" t="n">
        <v>0</v>
      </c>
      <c r="K806" s="372" t="n">
        <v>0</v>
      </c>
      <c r="L806" s="373" t="n">
        <v>0</v>
      </c>
      <c r="M806" s="358" t="n">
        <v>0</v>
      </c>
      <c r="N806" s="358" t="n">
        <v>0</v>
      </c>
      <c r="O806" s="372" t="n">
        <v>0</v>
      </c>
      <c r="P806" s="373" t="n">
        <v>0</v>
      </c>
      <c r="Q806" s="358" t="n">
        <v>0</v>
      </c>
      <c r="R806" s="358" t="n">
        <v>0</v>
      </c>
      <c r="S806" s="372" t="n">
        <v>0</v>
      </c>
      <c r="T806" s="373" t="n">
        <v>0</v>
      </c>
      <c r="U806" s="358" t="n">
        <v>0</v>
      </c>
      <c r="V806" s="358" t="n">
        <v>0</v>
      </c>
      <c r="W806" s="372" t="n">
        <v>0</v>
      </c>
      <c r="X806" s="373" t="n">
        <v>0</v>
      </c>
      <c r="Y806" s="358" t="n">
        <v>0</v>
      </c>
      <c r="Z806" s="358" t="n">
        <v>0</v>
      </c>
      <c r="AA806" s="358" t="n">
        <v>0</v>
      </c>
      <c r="AB806" s="373" t="n">
        <v>0</v>
      </c>
      <c r="AC806" s="358" t="n">
        <v>0</v>
      </c>
      <c r="AD806" s="358" t="n">
        <v>0</v>
      </c>
      <c r="AE806" s="358" t="n">
        <v>0</v>
      </c>
      <c r="AF806" s="359" t="n">
        <v>1</v>
      </c>
    </row>
    <row r="807" customFormat="false" ht="15" hidden="false" customHeight="false" outlineLevel="0" collapsed="false">
      <c r="B807" s="313" t="s">
        <v>2473</v>
      </c>
      <c r="C807" s="357" t="n">
        <v>21</v>
      </c>
      <c r="D807" s="358" t="n">
        <v>1</v>
      </c>
      <c r="E807" s="358" t="n">
        <v>0</v>
      </c>
      <c r="F807" s="358" t="n">
        <v>0</v>
      </c>
      <c r="G807" s="372" t="n">
        <v>0</v>
      </c>
      <c r="H807" s="373" t="n">
        <v>0</v>
      </c>
      <c r="I807" s="358" t="n">
        <v>0</v>
      </c>
      <c r="J807" s="358" t="n">
        <v>0</v>
      </c>
      <c r="K807" s="372" t="n">
        <v>0</v>
      </c>
      <c r="L807" s="373" t="n">
        <v>0</v>
      </c>
      <c r="M807" s="358" t="n">
        <v>0</v>
      </c>
      <c r="N807" s="358" t="n">
        <v>0</v>
      </c>
      <c r="O807" s="372" t="n">
        <v>0</v>
      </c>
      <c r="P807" s="373" t="n">
        <v>0</v>
      </c>
      <c r="Q807" s="358" t="n">
        <v>0</v>
      </c>
      <c r="R807" s="358" t="n">
        <v>0</v>
      </c>
      <c r="S807" s="372" t="n">
        <v>0</v>
      </c>
      <c r="T807" s="373" t="n">
        <v>0</v>
      </c>
      <c r="U807" s="358" t="n">
        <v>0</v>
      </c>
      <c r="V807" s="358" t="n">
        <v>0</v>
      </c>
      <c r="W807" s="372" t="n">
        <v>0</v>
      </c>
      <c r="X807" s="373" t="n">
        <v>0</v>
      </c>
      <c r="Y807" s="358" t="n">
        <v>0</v>
      </c>
      <c r="Z807" s="358" t="n">
        <v>0</v>
      </c>
      <c r="AA807" s="358" t="n">
        <v>0</v>
      </c>
      <c r="AB807" s="373" t="n">
        <v>1</v>
      </c>
      <c r="AC807" s="358" t="n">
        <v>0</v>
      </c>
      <c r="AD807" s="358" t="n">
        <v>0</v>
      </c>
      <c r="AE807" s="358" t="n">
        <v>0</v>
      </c>
      <c r="AF807" s="357" t="n">
        <v>22</v>
      </c>
    </row>
    <row r="808" customFormat="false" ht="15" hidden="true" customHeight="false" outlineLevel="0" collapsed="false">
      <c r="B808" s="360" t="s">
        <v>3276</v>
      </c>
      <c r="C808" s="359" t="n">
        <v>1</v>
      </c>
      <c r="D808" s="358" t="n">
        <v>0</v>
      </c>
      <c r="E808" s="358" t="n">
        <v>0</v>
      </c>
      <c r="F808" s="358" t="n">
        <v>0</v>
      </c>
      <c r="G808" s="372" t="n">
        <v>0</v>
      </c>
      <c r="H808" s="373" t="n">
        <v>0</v>
      </c>
      <c r="I808" s="358" t="n">
        <v>0</v>
      </c>
      <c r="J808" s="358" t="n">
        <v>0</v>
      </c>
      <c r="K808" s="372" t="n">
        <v>0</v>
      </c>
      <c r="L808" s="373" t="n">
        <v>0</v>
      </c>
      <c r="M808" s="358" t="n">
        <v>0</v>
      </c>
      <c r="N808" s="358" t="n">
        <v>0</v>
      </c>
      <c r="O808" s="372" t="n">
        <v>0</v>
      </c>
      <c r="P808" s="373" t="n">
        <v>0</v>
      </c>
      <c r="Q808" s="358" t="n">
        <v>0</v>
      </c>
      <c r="R808" s="358" t="n">
        <v>0</v>
      </c>
      <c r="S808" s="372" t="n">
        <v>0</v>
      </c>
      <c r="T808" s="373" t="n">
        <v>0</v>
      </c>
      <c r="U808" s="358" t="n">
        <v>0</v>
      </c>
      <c r="V808" s="358" t="n">
        <v>0</v>
      </c>
      <c r="W808" s="372" t="n">
        <v>0</v>
      </c>
      <c r="X808" s="373" t="n">
        <v>0</v>
      </c>
      <c r="Y808" s="358" t="n">
        <v>0</v>
      </c>
      <c r="Z808" s="358" t="n">
        <v>0</v>
      </c>
      <c r="AA808" s="358" t="n">
        <v>0</v>
      </c>
      <c r="AB808" s="373" t="n">
        <v>0</v>
      </c>
      <c r="AC808" s="358" t="n">
        <v>0</v>
      </c>
      <c r="AD808" s="358" t="n">
        <v>0</v>
      </c>
      <c r="AE808" s="358" t="n">
        <v>0</v>
      </c>
      <c r="AF808" s="359" t="n">
        <v>1</v>
      </c>
    </row>
    <row r="809" customFormat="false" ht="15" hidden="true" customHeight="false" outlineLevel="0" collapsed="false">
      <c r="B809" s="360" t="s">
        <v>3277</v>
      </c>
      <c r="C809" s="359" t="n">
        <v>1</v>
      </c>
      <c r="D809" s="358" t="n">
        <v>0</v>
      </c>
      <c r="E809" s="358" t="n">
        <v>0</v>
      </c>
      <c r="F809" s="358" t="n">
        <v>0</v>
      </c>
      <c r="G809" s="372" t="n">
        <v>0</v>
      </c>
      <c r="H809" s="373" t="n">
        <v>0</v>
      </c>
      <c r="I809" s="358" t="n">
        <v>0</v>
      </c>
      <c r="J809" s="358" t="n">
        <v>0</v>
      </c>
      <c r="K809" s="372" t="n">
        <v>0</v>
      </c>
      <c r="L809" s="373" t="n">
        <v>0</v>
      </c>
      <c r="M809" s="358" t="n">
        <v>0</v>
      </c>
      <c r="N809" s="358" t="n">
        <v>0</v>
      </c>
      <c r="O809" s="372" t="n">
        <v>0</v>
      </c>
      <c r="P809" s="373" t="n">
        <v>0</v>
      </c>
      <c r="Q809" s="358" t="n">
        <v>0</v>
      </c>
      <c r="R809" s="358" t="n">
        <v>0</v>
      </c>
      <c r="S809" s="372" t="n">
        <v>0</v>
      </c>
      <c r="T809" s="373" t="n">
        <v>0</v>
      </c>
      <c r="U809" s="358" t="n">
        <v>0</v>
      </c>
      <c r="V809" s="358" t="n">
        <v>0</v>
      </c>
      <c r="W809" s="372" t="n">
        <v>0</v>
      </c>
      <c r="X809" s="373" t="n">
        <v>0</v>
      </c>
      <c r="Y809" s="358" t="n">
        <v>0</v>
      </c>
      <c r="Z809" s="358" t="n">
        <v>0</v>
      </c>
      <c r="AA809" s="358" t="n">
        <v>0</v>
      </c>
      <c r="AB809" s="373" t="n">
        <v>0</v>
      </c>
      <c r="AC809" s="358" t="n">
        <v>0</v>
      </c>
      <c r="AD809" s="358" t="n">
        <v>0</v>
      </c>
      <c r="AE809" s="358" t="n">
        <v>0</v>
      </c>
      <c r="AF809" s="359" t="n">
        <v>1</v>
      </c>
    </row>
    <row r="810" customFormat="false" ht="15" hidden="true" customHeight="false" outlineLevel="0" collapsed="false">
      <c r="B810" s="360" t="s">
        <v>3278</v>
      </c>
      <c r="C810" s="359" t="n">
        <v>1</v>
      </c>
      <c r="D810" s="358" t="n">
        <v>0</v>
      </c>
      <c r="E810" s="358" t="n">
        <v>0</v>
      </c>
      <c r="F810" s="358" t="n">
        <v>0</v>
      </c>
      <c r="G810" s="372" t="n">
        <v>0</v>
      </c>
      <c r="H810" s="373" t="n">
        <v>0</v>
      </c>
      <c r="I810" s="358" t="n">
        <v>0</v>
      </c>
      <c r="J810" s="358" t="n">
        <v>0</v>
      </c>
      <c r="K810" s="372" t="n">
        <v>0</v>
      </c>
      <c r="L810" s="373" t="n">
        <v>0</v>
      </c>
      <c r="M810" s="358" t="n">
        <v>0</v>
      </c>
      <c r="N810" s="358" t="n">
        <v>0</v>
      </c>
      <c r="O810" s="372" t="n">
        <v>0</v>
      </c>
      <c r="P810" s="373" t="n">
        <v>0</v>
      </c>
      <c r="Q810" s="358" t="n">
        <v>0</v>
      </c>
      <c r="R810" s="358" t="n">
        <v>0</v>
      </c>
      <c r="S810" s="372" t="n">
        <v>0</v>
      </c>
      <c r="T810" s="373" t="n">
        <v>0</v>
      </c>
      <c r="U810" s="358" t="n">
        <v>0</v>
      </c>
      <c r="V810" s="358" t="n">
        <v>0</v>
      </c>
      <c r="W810" s="372" t="n">
        <v>0</v>
      </c>
      <c r="X810" s="373" t="n">
        <v>0</v>
      </c>
      <c r="Y810" s="358" t="n">
        <v>0</v>
      </c>
      <c r="Z810" s="358" t="n">
        <v>0</v>
      </c>
      <c r="AA810" s="358" t="n">
        <v>0</v>
      </c>
      <c r="AB810" s="373" t="n">
        <v>0</v>
      </c>
      <c r="AC810" s="358" t="n">
        <v>0</v>
      </c>
      <c r="AD810" s="358" t="n">
        <v>0</v>
      </c>
      <c r="AE810" s="358" t="n">
        <v>0</v>
      </c>
      <c r="AF810" s="359" t="n">
        <v>1</v>
      </c>
    </row>
    <row r="811" customFormat="false" ht="15" hidden="true" customHeight="false" outlineLevel="0" collapsed="false">
      <c r="B811" s="360" t="s">
        <v>3279</v>
      </c>
      <c r="C811" s="359" t="n">
        <v>1</v>
      </c>
      <c r="D811" s="358" t="n">
        <v>0</v>
      </c>
      <c r="E811" s="358" t="n">
        <v>0</v>
      </c>
      <c r="F811" s="358" t="n">
        <v>0</v>
      </c>
      <c r="G811" s="372" t="n">
        <v>0</v>
      </c>
      <c r="H811" s="373" t="n">
        <v>0</v>
      </c>
      <c r="I811" s="358" t="n">
        <v>0</v>
      </c>
      <c r="J811" s="358" t="n">
        <v>0</v>
      </c>
      <c r="K811" s="372" t="n">
        <v>0</v>
      </c>
      <c r="L811" s="373" t="n">
        <v>0</v>
      </c>
      <c r="M811" s="358" t="n">
        <v>0</v>
      </c>
      <c r="N811" s="358" t="n">
        <v>0</v>
      </c>
      <c r="O811" s="372" t="n">
        <v>0</v>
      </c>
      <c r="P811" s="373" t="n">
        <v>0</v>
      </c>
      <c r="Q811" s="358" t="n">
        <v>0</v>
      </c>
      <c r="R811" s="358" t="n">
        <v>0</v>
      </c>
      <c r="S811" s="372" t="n">
        <v>0</v>
      </c>
      <c r="T811" s="373" t="n">
        <v>0</v>
      </c>
      <c r="U811" s="358" t="n">
        <v>0</v>
      </c>
      <c r="V811" s="358" t="n">
        <v>0</v>
      </c>
      <c r="W811" s="372" t="n">
        <v>0</v>
      </c>
      <c r="X811" s="373" t="n">
        <v>0</v>
      </c>
      <c r="Y811" s="358" t="n">
        <v>0</v>
      </c>
      <c r="Z811" s="358" t="n">
        <v>0</v>
      </c>
      <c r="AA811" s="358" t="n">
        <v>0</v>
      </c>
      <c r="AB811" s="373" t="n">
        <v>0</v>
      </c>
      <c r="AC811" s="358" t="n">
        <v>0</v>
      </c>
      <c r="AD811" s="358" t="n">
        <v>0</v>
      </c>
      <c r="AE811" s="358" t="n">
        <v>0</v>
      </c>
      <c r="AF811" s="359" t="n">
        <v>1</v>
      </c>
    </row>
    <row r="812" customFormat="false" ht="15" hidden="true" customHeight="false" outlineLevel="0" collapsed="false">
      <c r="B812" s="360" t="s">
        <v>3280</v>
      </c>
      <c r="C812" s="359" t="n">
        <v>1</v>
      </c>
      <c r="D812" s="358" t="n">
        <v>0</v>
      </c>
      <c r="E812" s="358" t="n">
        <v>0</v>
      </c>
      <c r="F812" s="358" t="n">
        <v>0</v>
      </c>
      <c r="G812" s="372" t="n">
        <v>0</v>
      </c>
      <c r="H812" s="373" t="n">
        <v>0</v>
      </c>
      <c r="I812" s="358" t="n">
        <v>0</v>
      </c>
      <c r="J812" s="358" t="n">
        <v>0</v>
      </c>
      <c r="K812" s="372" t="n">
        <v>0</v>
      </c>
      <c r="L812" s="373" t="n">
        <v>0</v>
      </c>
      <c r="M812" s="358" t="n">
        <v>0</v>
      </c>
      <c r="N812" s="358" t="n">
        <v>0</v>
      </c>
      <c r="O812" s="372" t="n">
        <v>0</v>
      </c>
      <c r="P812" s="373" t="n">
        <v>0</v>
      </c>
      <c r="Q812" s="358" t="n">
        <v>0</v>
      </c>
      <c r="R812" s="358" t="n">
        <v>0</v>
      </c>
      <c r="S812" s="372" t="n">
        <v>0</v>
      </c>
      <c r="T812" s="373" t="n">
        <v>0</v>
      </c>
      <c r="U812" s="358" t="n">
        <v>0</v>
      </c>
      <c r="V812" s="358" t="n">
        <v>0</v>
      </c>
      <c r="W812" s="372" t="n">
        <v>0</v>
      </c>
      <c r="X812" s="373" t="n">
        <v>0</v>
      </c>
      <c r="Y812" s="358" t="n">
        <v>0</v>
      </c>
      <c r="Z812" s="358" t="n">
        <v>0</v>
      </c>
      <c r="AA812" s="358" t="n">
        <v>0</v>
      </c>
      <c r="AB812" s="373" t="n">
        <v>0</v>
      </c>
      <c r="AC812" s="358" t="n">
        <v>0</v>
      </c>
      <c r="AD812" s="358" t="n">
        <v>0</v>
      </c>
      <c r="AE812" s="358" t="n">
        <v>0</v>
      </c>
      <c r="AF812" s="359" t="n">
        <v>1</v>
      </c>
    </row>
    <row r="813" customFormat="false" ht="15" hidden="true" customHeight="false" outlineLevel="0" collapsed="false">
      <c r="B813" s="360" t="s">
        <v>3281</v>
      </c>
      <c r="C813" s="359" t="n">
        <v>1</v>
      </c>
      <c r="D813" s="358" t="n">
        <v>0</v>
      </c>
      <c r="E813" s="358" t="n">
        <v>0</v>
      </c>
      <c r="F813" s="358" t="n">
        <v>0</v>
      </c>
      <c r="G813" s="372" t="n">
        <v>0</v>
      </c>
      <c r="H813" s="373" t="n">
        <v>0</v>
      </c>
      <c r="I813" s="358" t="n">
        <v>0</v>
      </c>
      <c r="J813" s="358" t="n">
        <v>0</v>
      </c>
      <c r="K813" s="372" t="n">
        <v>0</v>
      </c>
      <c r="L813" s="373" t="n">
        <v>0</v>
      </c>
      <c r="M813" s="358" t="n">
        <v>0</v>
      </c>
      <c r="N813" s="358" t="n">
        <v>0</v>
      </c>
      <c r="O813" s="372" t="n">
        <v>0</v>
      </c>
      <c r="P813" s="373" t="n">
        <v>0</v>
      </c>
      <c r="Q813" s="358" t="n">
        <v>0</v>
      </c>
      <c r="R813" s="358" t="n">
        <v>0</v>
      </c>
      <c r="S813" s="372" t="n">
        <v>0</v>
      </c>
      <c r="T813" s="373" t="n">
        <v>0</v>
      </c>
      <c r="U813" s="358" t="n">
        <v>0</v>
      </c>
      <c r="V813" s="358" t="n">
        <v>0</v>
      </c>
      <c r="W813" s="372" t="n">
        <v>0</v>
      </c>
      <c r="X813" s="373" t="n">
        <v>0</v>
      </c>
      <c r="Y813" s="358" t="n">
        <v>0</v>
      </c>
      <c r="Z813" s="358" t="n">
        <v>0</v>
      </c>
      <c r="AA813" s="358" t="n">
        <v>0</v>
      </c>
      <c r="AB813" s="373" t="n">
        <v>0</v>
      </c>
      <c r="AC813" s="358" t="n">
        <v>0</v>
      </c>
      <c r="AD813" s="358" t="n">
        <v>0</v>
      </c>
      <c r="AE813" s="358" t="n">
        <v>0</v>
      </c>
      <c r="AF813" s="359" t="n">
        <v>1</v>
      </c>
    </row>
    <row r="814" customFormat="false" ht="15" hidden="true" customHeight="false" outlineLevel="0" collapsed="false">
      <c r="B814" s="360" t="s">
        <v>3282</v>
      </c>
      <c r="C814" s="359" t="n">
        <v>1</v>
      </c>
      <c r="D814" s="358" t="n">
        <v>0</v>
      </c>
      <c r="E814" s="358" t="n">
        <v>0</v>
      </c>
      <c r="F814" s="358" t="n">
        <v>0</v>
      </c>
      <c r="G814" s="372" t="n">
        <v>0</v>
      </c>
      <c r="H814" s="373" t="n">
        <v>0</v>
      </c>
      <c r="I814" s="358" t="n">
        <v>0</v>
      </c>
      <c r="J814" s="358" t="n">
        <v>0</v>
      </c>
      <c r="K814" s="372" t="n">
        <v>0</v>
      </c>
      <c r="L814" s="373" t="n">
        <v>0</v>
      </c>
      <c r="M814" s="358" t="n">
        <v>0</v>
      </c>
      <c r="N814" s="358" t="n">
        <v>0</v>
      </c>
      <c r="O814" s="372" t="n">
        <v>0</v>
      </c>
      <c r="P814" s="373" t="n">
        <v>0</v>
      </c>
      <c r="Q814" s="358" t="n">
        <v>0</v>
      </c>
      <c r="R814" s="358" t="n">
        <v>0</v>
      </c>
      <c r="S814" s="372" t="n">
        <v>0</v>
      </c>
      <c r="T814" s="373" t="n">
        <v>0</v>
      </c>
      <c r="U814" s="358" t="n">
        <v>0</v>
      </c>
      <c r="V814" s="358" t="n">
        <v>0</v>
      </c>
      <c r="W814" s="372" t="n">
        <v>0</v>
      </c>
      <c r="X814" s="373" t="n">
        <v>0</v>
      </c>
      <c r="Y814" s="358" t="n">
        <v>0</v>
      </c>
      <c r="Z814" s="358" t="n">
        <v>0</v>
      </c>
      <c r="AA814" s="358" t="n">
        <v>0</v>
      </c>
      <c r="AB814" s="373" t="n">
        <v>0</v>
      </c>
      <c r="AC814" s="358" t="n">
        <v>0</v>
      </c>
      <c r="AD814" s="358" t="n">
        <v>0</v>
      </c>
      <c r="AE814" s="358" t="n">
        <v>0</v>
      </c>
      <c r="AF814" s="359" t="n">
        <v>1</v>
      </c>
    </row>
    <row r="815" customFormat="false" ht="15" hidden="true" customHeight="false" outlineLevel="0" collapsed="false">
      <c r="B815" s="360" t="s">
        <v>3283</v>
      </c>
      <c r="C815" s="359" t="n">
        <v>1</v>
      </c>
      <c r="D815" s="358" t="n">
        <v>0</v>
      </c>
      <c r="E815" s="358" t="n">
        <v>0</v>
      </c>
      <c r="F815" s="358" t="n">
        <v>0</v>
      </c>
      <c r="G815" s="372" t="n">
        <v>0</v>
      </c>
      <c r="H815" s="373" t="n">
        <v>0</v>
      </c>
      <c r="I815" s="358" t="n">
        <v>0</v>
      </c>
      <c r="J815" s="358" t="n">
        <v>0</v>
      </c>
      <c r="K815" s="372" t="n">
        <v>0</v>
      </c>
      <c r="L815" s="373" t="n">
        <v>0</v>
      </c>
      <c r="M815" s="358" t="n">
        <v>0</v>
      </c>
      <c r="N815" s="358" t="n">
        <v>0</v>
      </c>
      <c r="O815" s="372" t="n">
        <v>0</v>
      </c>
      <c r="P815" s="373" t="n">
        <v>0</v>
      </c>
      <c r="Q815" s="358" t="n">
        <v>0</v>
      </c>
      <c r="R815" s="358" t="n">
        <v>0</v>
      </c>
      <c r="S815" s="372" t="n">
        <v>0</v>
      </c>
      <c r="T815" s="373" t="n">
        <v>0</v>
      </c>
      <c r="U815" s="358" t="n">
        <v>0</v>
      </c>
      <c r="V815" s="358" t="n">
        <v>0</v>
      </c>
      <c r="W815" s="372" t="n">
        <v>0</v>
      </c>
      <c r="X815" s="373" t="n">
        <v>0</v>
      </c>
      <c r="Y815" s="358" t="n">
        <v>0</v>
      </c>
      <c r="Z815" s="358" t="n">
        <v>0</v>
      </c>
      <c r="AA815" s="358" t="n">
        <v>0</v>
      </c>
      <c r="AB815" s="373" t="n">
        <v>0</v>
      </c>
      <c r="AC815" s="358" t="n">
        <v>0</v>
      </c>
      <c r="AD815" s="358" t="n">
        <v>0</v>
      </c>
      <c r="AE815" s="358" t="n">
        <v>0</v>
      </c>
      <c r="AF815" s="359" t="n">
        <v>1</v>
      </c>
    </row>
    <row r="816" customFormat="false" ht="15" hidden="true" customHeight="false" outlineLevel="0" collapsed="false">
      <c r="B816" s="360" t="s">
        <v>3284</v>
      </c>
      <c r="C816" s="359" t="n">
        <v>1</v>
      </c>
      <c r="D816" s="358" t="n">
        <v>0</v>
      </c>
      <c r="E816" s="358" t="n">
        <v>0</v>
      </c>
      <c r="F816" s="358" t="n">
        <v>0</v>
      </c>
      <c r="G816" s="372" t="n">
        <v>0</v>
      </c>
      <c r="H816" s="373" t="n">
        <v>0</v>
      </c>
      <c r="I816" s="358" t="n">
        <v>0</v>
      </c>
      <c r="J816" s="358" t="n">
        <v>0</v>
      </c>
      <c r="K816" s="372" t="n">
        <v>0</v>
      </c>
      <c r="L816" s="373" t="n">
        <v>0</v>
      </c>
      <c r="M816" s="358" t="n">
        <v>0</v>
      </c>
      <c r="N816" s="358" t="n">
        <v>0</v>
      </c>
      <c r="O816" s="372" t="n">
        <v>0</v>
      </c>
      <c r="P816" s="373" t="n">
        <v>0</v>
      </c>
      <c r="Q816" s="358" t="n">
        <v>0</v>
      </c>
      <c r="R816" s="358" t="n">
        <v>0</v>
      </c>
      <c r="S816" s="372" t="n">
        <v>0</v>
      </c>
      <c r="T816" s="373" t="n">
        <v>0</v>
      </c>
      <c r="U816" s="358" t="n">
        <v>0</v>
      </c>
      <c r="V816" s="358" t="n">
        <v>0</v>
      </c>
      <c r="W816" s="372" t="n">
        <v>0</v>
      </c>
      <c r="X816" s="373" t="n">
        <v>0</v>
      </c>
      <c r="Y816" s="358" t="n">
        <v>0</v>
      </c>
      <c r="Z816" s="358" t="n">
        <v>0</v>
      </c>
      <c r="AA816" s="358" t="n">
        <v>0</v>
      </c>
      <c r="AB816" s="373" t="n">
        <v>0</v>
      </c>
      <c r="AC816" s="358" t="n">
        <v>0</v>
      </c>
      <c r="AD816" s="358" t="n">
        <v>0</v>
      </c>
      <c r="AE816" s="358" t="n">
        <v>0</v>
      </c>
      <c r="AF816" s="359" t="n">
        <v>1</v>
      </c>
    </row>
    <row r="817" customFormat="false" ht="15" hidden="true" customHeight="false" outlineLevel="0" collapsed="false">
      <c r="B817" s="360" t="s">
        <v>3285</v>
      </c>
      <c r="C817" s="359" t="n">
        <v>1</v>
      </c>
      <c r="D817" s="358" t="n">
        <v>0</v>
      </c>
      <c r="E817" s="358" t="n">
        <v>0</v>
      </c>
      <c r="F817" s="358" t="n">
        <v>0</v>
      </c>
      <c r="G817" s="372" t="n">
        <v>0</v>
      </c>
      <c r="H817" s="373" t="n">
        <v>0</v>
      </c>
      <c r="I817" s="358" t="n">
        <v>0</v>
      </c>
      <c r="J817" s="358" t="n">
        <v>0</v>
      </c>
      <c r="K817" s="372" t="n">
        <v>0</v>
      </c>
      <c r="L817" s="373" t="n">
        <v>0</v>
      </c>
      <c r="M817" s="358" t="n">
        <v>0</v>
      </c>
      <c r="N817" s="358" t="n">
        <v>0</v>
      </c>
      <c r="O817" s="372" t="n">
        <v>0</v>
      </c>
      <c r="P817" s="373" t="n">
        <v>0</v>
      </c>
      <c r="Q817" s="358" t="n">
        <v>0</v>
      </c>
      <c r="R817" s="358" t="n">
        <v>0</v>
      </c>
      <c r="S817" s="372" t="n">
        <v>0</v>
      </c>
      <c r="T817" s="373" t="n">
        <v>0</v>
      </c>
      <c r="U817" s="358" t="n">
        <v>0</v>
      </c>
      <c r="V817" s="358" t="n">
        <v>0</v>
      </c>
      <c r="W817" s="372" t="n">
        <v>0</v>
      </c>
      <c r="X817" s="373" t="n">
        <v>0</v>
      </c>
      <c r="Y817" s="358" t="n">
        <v>0</v>
      </c>
      <c r="Z817" s="358" t="n">
        <v>0</v>
      </c>
      <c r="AA817" s="358" t="n">
        <v>0</v>
      </c>
      <c r="AB817" s="373" t="n">
        <v>0</v>
      </c>
      <c r="AC817" s="358" t="n">
        <v>0</v>
      </c>
      <c r="AD817" s="358" t="n">
        <v>0</v>
      </c>
      <c r="AE817" s="358" t="n">
        <v>0</v>
      </c>
      <c r="AF817" s="359" t="n">
        <v>1</v>
      </c>
    </row>
    <row r="818" customFormat="false" ht="15" hidden="true" customHeight="false" outlineLevel="0" collapsed="false">
      <c r="B818" s="360" t="s">
        <v>3286</v>
      </c>
      <c r="C818" s="359" t="n">
        <v>1</v>
      </c>
      <c r="D818" s="358" t="n">
        <v>0</v>
      </c>
      <c r="E818" s="358" t="n">
        <v>0</v>
      </c>
      <c r="F818" s="358" t="n">
        <v>0</v>
      </c>
      <c r="G818" s="372" t="n">
        <v>0</v>
      </c>
      <c r="H818" s="373" t="n">
        <v>0</v>
      </c>
      <c r="I818" s="358" t="n">
        <v>0</v>
      </c>
      <c r="J818" s="358" t="n">
        <v>0</v>
      </c>
      <c r="K818" s="372" t="n">
        <v>0</v>
      </c>
      <c r="L818" s="373" t="n">
        <v>0</v>
      </c>
      <c r="M818" s="358" t="n">
        <v>0</v>
      </c>
      <c r="N818" s="358" t="n">
        <v>0</v>
      </c>
      <c r="O818" s="372" t="n">
        <v>0</v>
      </c>
      <c r="P818" s="373" t="n">
        <v>0</v>
      </c>
      <c r="Q818" s="358" t="n">
        <v>0</v>
      </c>
      <c r="R818" s="358" t="n">
        <v>0</v>
      </c>
      <c r="S818" s="372" t="n">
        <v>0</v>
      </c>
      <c r="T818" s="373" t="n">
        <v>0</v>
      </c>
      <c r="U818" s="358" t="n">
        <v>0</v>
      </c>
      <c r="V818" s="358" t="n">
        <v>0</v>
      </c>
      <c r="W818" s="372" t="n">
        <v>0</v>
      </c>
      <c r="X818" s="373" t="n">
        <v>0</v>
      </c>
      <c r="Y818" s="358" t="n">
        <v>0</v>
      </c>
      <c r="Z818" s="358" t="n">
        <v>0</v>
      </c>
      <c r="AA818" s="358" t="n">
        <v>0</v>
      </c>
      <c r="AB818" s="373" t="n">
        <v>0</v>
      </c>
      <c r="AC818" s="358" t="n">
        <v>0</v>
      </c>
      <c r="AD818" s="358" t="n">
        <v>0</v>
      </c>
      <c r="AE818" s="358" t="n">
        <v>0</v>
      </c>
      <c r="AF818" s="359" t="n">
        <v>1</v>
      </c>
    </row>
    <row r="819" customFormat="false" ht="15" hidden="true" customHeight="false" outlineLevel="0" collapsed="false">
      <c r="B819" s="360" t="s">
        <v>3287</v>
      </c>
      <c r="C819" s="359" t="n">
        <v>1</v>
      </c>
      <c r="D819" s="358" t="n">
        <v>0</v>
      </c>
      <c r="E819" s="358" t="n">
        <v>0</v>
      </c>
      <c r="F819" s="358" t="n">
        <v>0</v>
      </c>
      <c r="G819" s="372" t="n">
        <v>0</v>
      </c>
      <c r="H819" s="373" t="n">
        <v>0</v>
      </c>
      <c r="I819" s="358" t="n">
        <v>0</v>
      </c>
      <c r="J819" s="358" t="n">
        <v>0</v>
      </c>
      <c r="K819" s="372" t="n">
        <v>0</v>
      </c>
      <c r="L819" s="373" t="n">
        <v>0</v>
      </c>
      <c r="M819" s="358" t="n">
        <v>0</v>
      </c>
      <c r="N819" s="358" t="n">
        <v>0</v>
      </c>
      <c r="O819" s="372" t="n">
        <v>0</v>
      </c>
      <c r="P819" s="373" t="n">
        <v>0</v>
      </c>
      <c r="Q819" s="358" t="n">
        <v>0</v>
      </c>
      <c r="R819" s="358" t="n">
        <v>0</v>
      </c>
      <c r="S819" s="372" t="n">
        <v>0</v>
      </c>
      <c r="T819" s="373" t="n">
        <v>0</v>
      </c>
      <c r="U819" s="358" t="n">
        <v>0</v>
      </c>
      <c r="V819" s="358" t="n">
        <v>0</v>
      </c>
      <c r="W819" s="372" t="n">
        <v>0</v>
      </c>
      <c r="X819" s="373" t="n">
        <v>0</v>
      </c>
      <c r="Y819" s="358" t="n">
        <v>0</v>
      </c>
      <c r="Z819" s="358" t="n">
        <v>0</v>
      </c>
      <c r="AA819" s="358" t="n">
        <v>0</v>
      </c>
      <c r="AB819" s="373" t="n">
        <v>0</v>
      </c>
      <c r="AC819" s="358" t="n">
        <v>0</v>
      </c>
      <c r="AD819" s="358" t="n">
        <v>0</v>
      </c>
      <c r="AE819" s="358" t="n">
        <v>0</v>
      </c>
      <c r="AF819" s="359" t="n">
        <v>1</v>
      </c>
    </row>
    <row r="820" customFormat="false" ht="15" hidden="true" customHeight="false" outlineLevel="0" collapsed="false">
      <c r="B820" s="360" t="s">
        <v>3288</v>
      </c>
      <c r="C820" s="359" t="n">
        <v>1</v>
      </c>
      <c r="D820" s="358" t="n">
        <v>0</v>
      </c>
      <c r="E820" s="358" t="n">
        <v>0</v>
      </c>
      <c r="F820" s="358" t="n">
        <v>0</v>
      </c>
      <c r="G820" s="372" t="n">
        <v>0</v>
      </c>
      <c r="H820" s="373" t="n">
        <v>0</v>
      </c>
      <c r="I820" s="358" t="n">
        <v>0</v>
      </c>
      <c r="J820" s="358" t="n">
        <v>0</v>
      </c>
      <c r="K820" s="372" t="n">
        <v>0</v>
      </c>
      <c r="L820" s="373" t="n">
        <v>0</v>
      </c>
      <c r="M820" s="358" t="n">
        <v>0</v>
      </c>
      <c r="N820" s="358" t="n">
        <v>0</v>
      </c>
      <c r="O820" s="372" t="n">
        <v>0</v>
      </c>
      <c r="P820" s="373" t="n">
        <v>0</v>
      </c>
      <c r="Q820" s="358" t="n">
        <v>0</v>
      </c>
      <c r="R820" s="358" t="n">
        <v>0</v>
      </c>
      <c r="S820" s="372" t="n">
        <v>0</v>
      </c>
      <c r="T820" s="373" t="n">
        <v>0</v>
      </c>
      <c r="U820" s="358" t="n">
        <v>0</v>
      </c>
      <c r="V820" s="358" t="n">
        <v>0</v>
      </c>
      <c r="W820" s="372" t="n">
        <v>0</v>
      </c>
      <c r="X820" s="373" t="n">
        <v>0</v>
      </c>
      <c r="Y820" s="358" t="n">
        <v>0</v>
      </c>
      <c r="Z820" s="358" t="n">
        <v>0</v>
      </c>
      <c r="AA820" s="358" t="n">
        <v>0</v>
      </c>
      <c r="AB820" s="373" t="n">
        <v>0</v>
      </c>
      <c r="AC820" s="358" t="n">
        <v>0</v>
      </c>
      <c r="AD820" s="358" t="n">
        <v>0</v>
      </c>
      <c r="AE820" s="358" t="n">
        <v>0</v>
      </c>
      <c r="AF820" s="359" t="n">
        <v>1</v>
      </c>
    </row>
    <row r="821" customFormat="false" ht="15" hidden="true" customHeight="false" outlineLevel="0" collapsed="false">
      <c r="B821" s="360" t="s">
        <v>3289</v>
      </c>
      <c r="C821" s="359" t="n">
        <v>1</v>
      </c>
      <c r="D821" s="358" t="n">
        <v>0</v>
      </c>
      <c r="E821" s="358" t="n">
        <v>0</v>
      </c>
      <c r="F821" s="358" t="n">
        <v>0</v>
      </c>
      <c r="G821" s="372" t="n">
        <v>0</v>
      </c>
      <c r="H821" s="373" t="n">
        <v>0</v>
      </c>
      <c r="I821" s="358" t="n">
        <v>0</v>
      </c>
      <c r="J821" s="358" t="n">
        <v>0</v>
      </c>
      <c r="K821" s="372" t="n">
        <v>0</v>
      </c>
      <c r="L821" s="373" t="n">
        <v>0</v>
      </c>
      <c r="M821" s="358" t="n">
        <v>0</v>
      </c>
      <c r="N821" s="358" t="n">
        <v>0</v>
      </c>
      <c r="O821" s="372" t="n">
        <v>0</v>
      </c>
      <c r="P821" s="373" t="n">
        <v>0</v>
      </c>
      <c r="Q821" s="358" t="n">
        <v>0</v>
      </c>
      <c r="R821" s="358" t="n">
        <v>0</v>
      </c>
      <c r="S821" s="372" t="n">
        <v>0</v>
      </c>
      <c r="T821" s="373" t="n">
        <v>0</v>
      </c>
      <c r="U821" s="358" t="n">
        <v>0</v>
      </c>
      <c r="V821" s="358" t="n">
        <v>0</v>
      </c>
      <c r="W821" s="372" t="n">
        <v>0</v>
      </c>
      <c r="X821" s="373" t="n">
        <v>0</v>
      </c>
      <c r="Y821" s="358" t="n">
        <v>0</v>
      </c>
      <c r="Z821" s="358" t="n">
        <v>0</v>
      </c>
      <c r="AA821" s="358" t="n">
        <v>0</v>
      </c>
      <c r="AB821" s="373" t="n">
        <v>0</v>
      </c>
      <c r="AC821" s="358" t="n">
        <v>0</v>
      </c>
      <c r="AD821" s="358" t="n">
        <v>0</v>
      </c>
      <c r="AE821" s="358" t="n">
        <v>0</v>
      </c>
      <c r="AF821" s="359" t="n">
        <v>1</v>
      </c>
    </row>
    <row r="822" customFormat="false" ht="15" hidden="true" customHeight="false" outlineLevel="0" collapsed="false">
      <c r="B822" s="360" t="s">
        <v>3290</v>
      </c>
      <c r="C822" s="359" t="n">
        <v>1</v>
      </c>
      <c r="D822" s="358" t="n">
        <v>0</v>
      </c>
      <c r="E822" s="358" t="n">
        <v>0</v>
      </c>
      <c r="F822" s="358" t="n">
        <v>0</v>
      </c>
      <c r="G822" s="372" t="n">
        <v>0</v>
      </c>
      <c r="H822" s="373" t="n">
        <v>0</v>
      </c>
      <c r="I822" s="358" t="n">
        <v>0</v>
      </c>
      <c r="J822" s="358" t="n">
        <v>0</v>
      </c>
      <c r="K822" s="372" t="n">
        <v>0</v>
      </c>
      <c r="L822" s="373" t="n">
        <v>0</v>
      </c>
      <c r="M822" s="358" t="n">
        <v>0</v>
      </c>
      <c r="N822" s="358" t="n">
        <v>0</v>
      </c>
      <c r="O822" s="372" t="n">
        <v>0</v>
      </c>
      <c r="P822" s="373" t="n">
        <v>0</v>
      </c>
      <c r="Q822" s="358" t="n">
        <v>0</v>
      </c>
      <c r="R822" s="358" t="n">
        <v>0</v>
      </c>
      <c r="S822" s="372" t="n">
        <v>0</v>
      </c>
      <c r="T822" s="373" t="n">
        <v>0</v>
      </c>
      <c r="U822" s="358" t="n">
        <v>0</v>
      </c>
      <c r="V822" s="358" t="n">
        <v>0</v>
      </c>
      <c r="W822" s="372" t="n">
        <v>0</v>
      </c>
      <c r="X822" s="373" t="n">
        <v>0</v>
      </c>
      <c r="Y822" s="358" t="n">
        <v>0</v>
      </c>
      <c r="Z822" s="358" t="n">
        <v>0</v>
      </c>
      <c r="AA822" s="358" t="n">
        <v>0</v>
      </c>
      <c r="AB822" s="373" t="n">
        <v>0</v>
      </c>
      <c r="AC822" s="358" t="n">
        <v>0</v>
      </c>
      <c r="AD822" s="358" t="n">
        <v>0</v>
      </c>
      <c r="AE822" s="358" t="n">
        <v>0</v>
      </c>
      <c r="AF822" s="359" t="n">
        <v>1</v>
      </c>
    </row>
    <row r="823" customFormat="false" ht="15" hidden="true" customHeight="false" outlineLevel="0" collapsed="false">
      <c r="B823" s="360" t="s">
        <v>3291</v>
      </c>
      <c r="C823" s="359" t="n">
        <v>1</v>
      </c>
      <c r="D823" s="358" t="n">
        <v>0</v>
      </c>
      <c r="E823" s="358" t="n">
        <v>0</v>
      </c>
      <c r="F823" s="358" t="n">
        <v>0</v>
      </c>
      <c r="G823" s="372" t="n">
        <v>0</v>
      </c>
      <c r="H823" s="373" t="n">
        <v>0</v>
      </c>
      <c r="I823" s="358" t="n">
        <v>0</v>
      </c>
      <c r="J823" s="358" t="n">
        <v>0</v>
      </c>
      <c r="K823" s="372" t="n">
        <v>0</v>
      </c>
      <c r="L823" s="373" t="n">
        <v>0</v>
      </c>
      <c r="M823" s="358" t="n">
        <v>0</v>
      </c>
      <c r="N823" s="358" t="n">
        <v>0</v>
      </c>
      <c r="O823" s="372" t="n">
        <v>0</v>
      </c>
      <c r="P823" s="373" t="n">
        <v>0</v>
      </c>
      <c r="Q823" s="358" t="n">
        <v>0</v>
      </c>
      <c r="R823" s="358" t="n">
        <v>0</v>
      </c>
      <c r="S823" s="372" t="n">
        <v>0</v>
      </c>
      <c r="T823" s="373" t="n">
        <v>0</v>
      </c>
      <c r="U823" s="358" t="n">
        <v>0</v>
      </c>
      <c r="V823" s="358" t="n">
        <v>0</v>
      </c>
      <c r="W823" s="372" t="n">
        <v>0</v>
      </c>
      <c r="X823" s="373" t="n">
        <v>0</v>
      </c>
      <c r="Y823" s="358" t="n">
        <v>0</v>
      </c>
      <c r="Z823" s="358" t="n">
        <v>0</v>
      </c>
      <c r="AA823" s="358" t="n">
        <v>0</v>
      </c>
      <c r="AB823" s="373" t="n">
        <v>0</v>
      </c>
      <c r="AC823" s="358" t="n">
        <v>0</v>
      </c>
      <c r="AD823" s="358" t="n">
        <v>0</v>
      </c>
      <c r="AE823" s="358" t="n">
        <v>0</v>
      </c>
      <c r="AF823" s="359" t="n">
        <v>1</v>
      </c>
    </row>
    <row r="824" customFormat="false" ht="15" hidden="true" customHeight="false" outlineLevel="0" collapsed="false">
      <c r="B824" s="361" t="s">
        <v>3292</v>
      </c>
      <c r="C824" s="359" t="n">
        <v>0</v>
      </c>
      <c r="D824" s="358" t="n">
        <v>1</v>
      </c>
      <c r="E824" s="358" t="n">
        <v>0</v>
      </c>
      <c r="F824" s="358" t="n">
        <v>0</v>
      </c>
      <c r="G824" s="372" t="n">
        <v>0</v>
      </c>
      <c r="H824" s="373" t="n">
        <v>0</v>
      </c>
      <c r="I824" s="358" t="n">
        <v>0</v>
      </c>
      <c r="J824" s="358" t="n">
        <v>0</v>
      </c>
      <c r="K824" s="372" t="n">
        <v>0</v>
      </c>
      <c r="L824" s="373" t="n">
        <v>0</v>
      </c>
      <c r="M824" s="358" t="n">
        <v>0</v>
      </c>
      <c r="N824" s="358" t="n">
        <v>0</v>
      </c>
      <c r="O824" s="372" t="n">
        <v>0</v>
      </c>
      <c r="P824" s="373" t="n">
        <v>0</v>
      </c>
      <c r="Q824" s="358" t="n">
        <v>0</v>
      </c>
      <c r="R824" s="358" t="n">
        <v>0</v>
      </c>
      <c r="S824" s="372" t="n">
        <v>0</v>
      </c>
      <c r="T824" s="373" t="n">
        <v>0</v>
      </c>
      <c r="U824" s="358" t="n">
        <v>0</v>
      </c>
      <c r="V824" s="358" t="n">
        <v>0</v>
      </c>
      <c r="W824" s="372" t="n">
        <v>0</v>
      </c>
      <c r="X824" s="373" t="n">
        <v>0</v>
      </c>
      <c r="Y824" s="358" t="n">
        <v>0</v>
      </c>
      <c r="Z824" s="358" t="n">
        <v>0</v>
      </c>
      <c r="AA824" s="358" t="n">
        <v>0</v>
      </c>
      <c r="AB824" s="373" t="n">
        <v>1</v>
      </c>
      <c r="AC824" s="358" t="n">
        <v>0</v>
      </c>
      <c r="AD824" s="358" t="n">
        <v>0</v>
      </c>
      <c r="AE824" s="358" t="n">
        <v>0</v>
      </c>
      <c r="AF824" s="359" t="n">
        <v>1</v>
      </c>
    </row>
    <row r="825" customFormat="false" ht="15" hidden="true" customHeight="false" outlineLevel="0" collapsed="false">
      <c r="B825" s="360" t="s">
        <v>3293</v>
      </c>
      <c r="C825" s="359" t="n">
        <v>1</v>
      </c>
      <c r="D825" s="358" t="n">
        <v>0</v>
      </c>
      <c r="E825" s="358" t="n">
        <v>0</v>
      </c>
      <c r="F825" s="358" t="n">
        <v>0</v>
      </c>
      <c r="G825" s="372" t="n">
        <v>0</v>
      </c>
      <c r="H825" s="373" t="n">
        <v>0</v>
      </c>
      <c r="I825" s="358" t="n">
        <v>0</v>
      </c>
      <c r="J825" s="358" t="n">
        <v>0</v>
      </c>
      <c r="K825" s="372" t="n">
        <v>0</v>
      </c>
      <c r="L825" s="373" t="n">
        <v>0</v>
      </c>
      <c r="M825" s="358" t="n">
        <v>0</v>
      </c>
      <c r="N825" s="358" t="n">
        <v>0</v>
      </c>
      <c r="O825" s="372" t="n">
        <v>0</v>
      </c>
      <c r="P825" s="373" t="n">
        <v>0</v>
      </c>
      <c r="Q825" s="358" t="n">
        <v>0</v>
      </c>
      <c r="R825" s="358" t="n">
        <v>0</v>
      </c>
      <c r="S825" s="372" t="n">
        <v>0</v>
      </c>
      <c r="T825" s="373" t="n">
        <v>0</v>
      </c>
      <c r="U825" s="358" t="n">
        <v>0</v>
      </c>
      <c r="V825" s="358" t="n">
        <v>0</v>
      </c>
      <c r="W825" s="372" t="n">
        <v>0</v>
      </c>
      <c r="X825" s="373" t="n">
        <v>0</v>
      </c>
      <c r="Y825" s="358" t="n">
        <v>0</v>
      </c>
      <c r="Z825" s="358" t="n">
        <v>0</v>
      </c>
      <c r="AA825" s="358" t="n">
        <v>0</v>
      </c>
      <c r="AB825" s="373" t="n">
        <v>0</v>
      </c>
      <c r="AC825" s="358" t="n">
        <v>0</v>
      </c>
      <c r="AD825" s="358" t="n">
        <v>0</v>
      </c>
      <c r="AE825" s="358" t="n">
        <v>0</v>
      </c>
      <c r="AF825" s="359" t="n">
        <v>1</v>
      </c>
    </row>
    <row r="826" customFormat="false" ht="15" hidden="true" customHeight="false" outlineLevel="0" collapsed="false">
      <c r="B826" s="360" t="s">
        <v>3294</v>
      </c>
      <c r="C826" s="359" t="n">
        <v>1</v>
      </c>
      <c r="D826" s="358" t="n">
        <v>0</v>
      </c>
      <c r="E826" s="358" t="n">
        <v>0</v>
      </c>
      <c r="F826" s="358" t="n">
        <v>0</v>
      </c>
      <c r="G826" s="372" t="n">
        <v>0</v>
      </c>
      <c r="H826" s="373" t="n">
        <v>0</v>
      </c>
      <c r="I826" s="358" t="n">
        <v>0</v>
      </c>
      <c r="J826" s="358" t="n">
        <v>0</v>
      </c>
      <c r="K826" s="372" t="n">
        <v>0</v>
      </c>
      <c r="L826" s="373" t="n">
        <v>0</v>
      </c>
      <c r="M826" s="358" t="n">
        <v>0</v>
      </c>
      <c r="N826" s="358" t="n">
        <v>0</v>
      </c>
      <c r="O826" s="372" t="n">
        <v>0</v>
      </c>
      <c r="P826" s="373" t="n">
        <v>0</v>
      </c>
      <c r="Q826" s="358" t="n">
        <v>0</v>
      </c>
      <c r="R826" s="358" t="n">
        <v>0</v>
      </c>
      <c r="S826" s="372" t="n">
        <v>0</v>
      </c>
      <c r="T826" s="373" t="n">
        <v>0</v>
      </c>
      <c r="U826" s="358" t="n">
        <v>0</v>
      </c>
      <c r="V826" s="358" t="n">
        <v>0</v>
      </c>
      <c r="W826" s="372" t="n">
        <v>0</v>
      </c>
      <c r="X826" s="373" t="n">
        <v>0</v>
      </c>
      <c r="Y826" s="358" t="n">
        <v>0</v>
      </c>
      <c r="Z826" s="358" t="n">
        <v>0</v>
      </c>
      <c r="AA826" s="358" t="n">
        <v>0</v>
      </c>
      <c r="AB826" s="373" t="n">
        <v>0</v>
      </c>
      <c r="AC826" s="358" t="n">
        <v>0</v>
      </c>
      <c r="AD826" s="358" t="n">
        <v>0</v>
      </c>
      <c r="AE826" s="358" t="n">
        <v>0</v>
      </c>
      <c r="AF826" s="359" t="n">
        <v>1</v>
      </c>
    </row>
    <row r="827" customFormat="false" ht="15" hidden="true" customHeight="false" outlineLevel="0" collapsed="false">
      <c r="B827" s="360" t="s">
        <v>3295</v>
      </c>
      <c r="C827" s="359" t="n">
        <v>1</v>
      </c>
      <c r="D827" s="358" t="n">
        <v>0</v>
      </c>
      <c r="E827" s="358" t="n">
        <v>0</v>
      </c>
      <c r="F827" s="358" t="n">
        <v>0</v>
      </c>
      <c r="G827" s="372" t="n">
        <v>0</v>
      </c>
      <c r="H827" s="373" t="n">
        <v>0</v>
      </c>
      <c r="I827" s="358" t="n">
        <v>0</v>
      </c>
      <c r="J827" s="358" t="n">
        <v>0</v>
      </c>
      <c r="K827" s="372" t="n">
        <v>0</v>
      </c>
      <c r="L827" s="373" t="n">
        <v>0</v>
      </c>
      <c r="M827" s="358" t="n">
        <v>0</v>
      </c>
      <c r="N827" s="358" t="n">
        <v>0</v>
      </c>
      <c r="O827" s="372" t="n">
        <v>0</v>
      </c>
      <c r="P827" s="373" t="n">
        <v>0</v>
      </c>
      <c r="Q827" s="358" t="n">
        <v>0</v>
      </c>
      <c r="R827" s="358" t="n">
        <v>0</v>
      </c>
      <c r="S827" s="372" t="n">
        <v>0</v>
      </c>
      <c r="T827" s="373" t="n">
        <v>0</v>
      </c>
      <c r="U827" s="358" t="n">
        <v>0</v>
      </c>
      <c r="V827" s="358" t="n">
        <v>0</v>
      </c>
      <c r="W827" s="372" t="n">
        <v>0</v>
      </c>
      <c r="X827" s="373" t="n">
        <v>0</v>
      </c>
      <c r="Y827" s="358" t="n">
        <v>0</v>
      </c>
      <c r="Z827" s="358" t="n">
        <v>0</v>
      </c>
      <c r="AA827" s="358" t="n">
        <v>0</v>
      </c>
      <c r="AB827" s="373" t="n">
        <v>0</v>
      </c>
      <c r="AC827" s="358" t="n">
        <v>0</v>
      </c>
      <c r="AD827" s="358" t="n">
        <v>0</v>
      </c>
      <c r="AE827" s="358" t="n">
        <v>0</v>
      </c>
      <c r="AF827" s="359" t="n">
        <v>1</v>
      </c>
    </row>
    <row r="828" customFormat="false" ht="15" hidden="true" customHeight="false" outlineLevel="0" collapsed="false">
      <c r="B828" s="360" t="s">
        <v>3296</v>
      </c>
      <c r="C828" s="359" t="n">
        <v>1</v>
      </c>
      <c r="D828" s="358" t="n">
        <v>0</v>
      </c>
      <c r="E828" s="358" t="n">
        <v>0</v>
      </c>
      <c r="F828" s="358" t="n">
        <v>0</v>
      </c>
      <c r="G828" s="372" t="n">
        <v>0</v>
      </c>
      <c r="H828" s="373" t="n">
        <v>0</v>
      </c>
      <c r="I828" s="358" t="n">
        <v>0</v>
      </c>
      <c r="J828" s="358" t="n">
        <v>0</v>
      </c>
      <c r="K828" s="372" t="n">
        <v>0</v>
      </c>
      <c r="L828" s="373" t="n">
        <v>0</v>
      </c>
      <c r="M828" s="358" t="n">
        <v>0</v>
      </c>
      <c r="N828" s="358" t="n">
        <v>0</v>
      </c>
      <c r="O828" s="372" t="n">
        <v>0</v>
      </c>
      <c r="P828" s="373" t="n">
        <v>0</v>
      </c>
      <c r="Q828" s="358" t="n">
        <v>0</v>
      </c>
      <c r="R828" s="358" t="n">
        <v>0</v>
      </c>
      <c r="S828" s="372" t="n">
        <v>0</v>
      </c>
      <c r="T828" s="373" t="n">
        <v>0</v>
      </c>
      <c r="U828" s="358" t="n">
        <v>0</v>
      </c>
      <c r="V828" s="358" t="n">
        <v>0</v>
      </c>
      <c r="W828" s="372" t="n">
        <v>0</v>
      </c>
      <c r="X828" s="373" t="n">
        <v>0</v>
      </c>
      <c r="Y828" s="358" t="n">
        <v>0</v>
      </c>
      <c r="Z828" s="358" t="n">
        <v>0</v>
      </c>
      <c r="AA828" s="358" t="n">
        <v>0</v>
      </c>
      <c r="AB828" s="373" t="n">
        <v>0</v>
      </c>
      <c r="AC828" s="358" t="n">
        <v>0</v>
      </c>
      <c r="AD828" s="358" t="n">
        <v>0</v>
      </c>
      <c r="AE828" s="358" t="n">
        <v>0</v>
      </c>
      <c r="AF828" s="359" t="n">
        <v>1</v>
      </c>
    </row>
    <row r="829" customFormat="false" ht="15" hidden="true" customHeight="false" outlineLevel="0" collapsed="false">
      <c r="B829" s="360" t="s">
        <v>3297</v>
      </c>
      <c r="C829" s="359" t="n">
        <v>1</v>
      </c>
      <c r="D829" s="358" t="n">
        <v>0</v>
      </c>
      <c r="E829" s="358" t="n">
        <v>0</v>
      </c>
      <c r="F829" s="358" t="n">
        <v>0</v>
      </c>
      <c r="G829" s="372" t="n">
        <v>0</v>
      </c>
      <c r="H829" s="373" t="n">
        <v>0</v>
      </c>
      <c r="I829" s="358" t="n">
        <v>0</v>
      </c>
      <c r="J829" s="358" t="n">
        <v>0</v>
      </c>
      <c r="K829" s="372" t="n">
        <v>0</v>
      </c>
      <c r="L829" s="373" t="n">
        <v>0</v>
      </c>
      <c r="M829" s="358" t="n">
        <v>0</v>
      </c>
      <c r="N829" s="358" t="n">
        <v>0</v>
      </c>
      <c r="O829" s="372" t="n">
        <v>0</v>
      </c>
      <c r="P829" s="373" t="n">
        <v>0</v>
      </c>
      <c r="Q829" s="358" t="n">
        <v>0</v>
      </c>
      <c r="R829" s="358" t="n">
        <v>0</v>
      </c>
      <c r="S829" s="372" t="n">
        <v>0</v>
      </c>
      <c r="T829" s="373" t="n">
        <v>0</v>
      </c>
      <c r="U829" s="358" t="n">
        <v>0</v>
      </c>
      <c r="V829" s="358" t="n">
        <v>0</v>
      </c>
      <c r="W829" s="372" t="n">
        <v>0</v>
      </c>
      <c r="X829" s="373" t="n">
        <v>0</v>
      </c>
      <c r="Y829" s="358" t="n">
        <v>0</v>
      </c>
      <c r="Z829" s="358" t="n">
        <v>0</v>
      </c>
      <c r="AA829" s="358" t="n">
        <v>0</v>
      </c>
      <c r="AB829" s="373" t="n">
        <v>0</v>
      </c>
      <c r="AC829" s="358" t="n">
        <v>0</v>
      </c>
      <c r="AD829" s="358" t="n">
        <v>0</v>
      </c>
      <c r="AE829" s="358" t="n">
        <v>0</v>
      </c>
      <c r="AF829" s="359" t="n">
        <v>1</v>
      </c>
    </row>
    <row r="830" customFormat="false" ht="15" hidden="false" customHeight="false" outlineLevel="0" collapsed="false">
      <c r="B830" s="356" t="s">
        <v>615</v>
      </c>
      <c r="C830" s="357" t="n">
        <v>73</v>
      </c>
      <c r="D830" s="358" t="n">
        <v>0</v>
      </c>
      <c r="E830" s="358" t="n">
        <v>0</v>
      </c>
      <c r="F830" s="358" t="n">
        <v>0</v>
      </c>
      <c r="G830" s="372" t="n">
        <v>0</v>
      </c>
      <c r="H830" s="373" t="n">
        <v>0</v>
      </c>
      <c r="I830" s="358" t="n">
        <v>0</v>
      </c>
      <c r="J830" s="358" t="n">
        <v>0</v>
      </c>
      <c r="K830" s="372" t="n">
        <v>0</v>
      </c>
      <c r="L830" s="373" t="n">
        <v>0</v>
      </c>
      <c r="M830" s="358" t="n">
        <v>0</v>
      </c>
      <c r="N830" s="358" t="n">
        <v>0</v>
      </c>
      <c r="O830" s="372" t="n">
        <v>0</v>
      </c>
      <c r="P830" s="373" t="n">
        <v>0</v>
      </c>
      <c r="Q830" s="358" t="n">
        <v>0</v>
      </c>
      <c r="R830" s="358" t="n">
        <v>0</v>
      </c>
      <c r="S830" s="372" t="n">
        <v>0</v>
      </c>
      <c r="T830" s="373" t="n">
        <v>0</v>
      </c>
      <c r="U830" s="358" t="n">
        <v>0</v>
      </c>
      <c r="V830" s="358" t="n">
        <v>0</v>
      </c>
      <c r="W830" s="372" t="n">
        <v>0</v>
      </c>
      <c r="X830" s="373" t="n">
        <v>0</v>
      </c>
      <c r="Y830" s="358" t="n">
        <v>0</v>
      </c>
      <c r="Z830" s="358" t="n">
        <v>0</v>
      </c>
      <c r="AA830" s="358" t="n">
        <v>0</v>
      </c>
      <c r="AB830" s="373" t="n">
        <v>0</v>
      </c>
      <c r="AC830" s="358" t="n">
        <v>0</v>
      </c>
      <c r="AD830" s="358" t="n">
        <v>0</v>
      </c>
      <c r="AE830" s="358" t="n">
        <v>0</v>
      </c>
      <c r="AF830" s="357" t="n">
        <v>73</v>
      </c>
    </row>
    <row r="831" customFormat="false" ht="15" hidden="true" customHeight="false" outlineLevel="0" collapsed="false">
      <c r="B831" s="360" t="s">
        <v>3298</v>
      </c>
      <c r="C831" s="359" t="n">
        <v>1</v>
      </c>
      <c r="D831" s="358" t="n">
        <v>0</v>
      </c>
      <c r="E831" s="358" t="n">
        <v>0</v>
      </c>
      <c r="F831" s="358" t="n">
        <v>0</v>
      </c>
      <c r="G831" s="372" t="n">
        <v>0</v>
      </c>
      <c r="H831" s="373" t="n">
        <v>0</v>
      </c>
      <c r="I831" s="358" t="n">
        <v>0</v>
      </c>
      <c r="J831" s="358" t="n">
        <v>0</v>
      </c>
      <c r="K831" s="372" t="n">
        <v>0</v>
      </c>
      <c r="L831" s="373" t="n">
        <v>0</v>
      </c>
      <c r="M831" s="358" t="n">
        <v>0</v>
      </c>
      <c r="N831" s="358" t="n">
        <v>0</v>
      </c>
      <c r="O831" s="372" t="n">
        <v>0</v>
      </c>
      <c r="P831" s="373" t="n">
        <v>0</v>
      </c>
      <c r="Q831" s="358" t="n">
        <v>0</v>
      </c>
      <c r="R831" s="358" t="n">
        <v>0</v>
      </c>
      <c r="S831" s="372" t="n">
        <v>0</v>
      </c>
      <c r="T831" s="373" t="n">
        <v>0</v>
      </c>
      <c r="U831" s="358" t="n">
        <v>0</v>
      </c>
      <c r="V831" s="358" t="n">
        <v>0</v>
      </c>
      <c r="W831" s="372" t="n">
        <v>0</v>
      </c>
      <c r="X831" s="373" t="n">
        <v>0</v>
      </c>
      <c r="Y831" s="358" t="n">
        <v>0</v>
      </c>
      <c r="Z831" s="358" t="n">
        <v>0</v>
      </c>
      <c r="AA831" s="358" t="n">
        <v>0</v>
      </c>
      <c r="AB831" s="373" t="n">
        <v>0</v>
      </c>
      <c r="AC831" s="358" t="n">
        <v>0</v>
      </c>
      <c r="AD831" s="358" t="n">
        <v>0</v>
      </c>
      <c r="AE831" s="358" t="n">
        <v>0</v>
      </c>
      <c r="AF831" s="359" t="n">
        <v>1</v>
      </c>
    </row>
    <row r="832" customFormat="false" ht="15" hidden="true" customHeight="false" outlineLevel="0" collapsed="false">
      <c r="B832" s="360" t="s">
        <v>3299</v>
      </c>
      <c r="C832" s="359" t="n">
        <v>1</v>
      </c>
      <c r="D832" s="358" t="n">
        <v>0</v>
      </c>
      <c r="E832" s="358" t="n">
        <v>0</v>
      </c>
      <c r="F832" s="358" t="n">
        <v>0</v>
      </c>
      <c r="G832" s="372" t="n">
        <v>0</v>
      </c>
      <c r="H832" s="373" t="n">
        <v>0</v>
      </c>
      <c r="I832" s="358" t="n">
        <v>0</v>
      </c>
      <c r="J832" s="358" t="n">
        <v>0</v>
      </c>
      <c r="K832" s="372" t="n">
        <v>0</v>
      </c>
      <c r="L832" s="373" t="n">
        <v>0</v>
      </c>
      <c r="M832" s="358" t="n">
        <v>0</v>
      </c>
      <c r="N832" s="358" t="n">
        <v>0</v>
      </c>
      <c r="O832" s="372" t="n">
        <v>0</v>
      </c>
      <c r="P832" s="373" t="n">
        <v>0</v>
      </c>
      <c r="Q832" s="358" t="n">
        <v>0</v>
      </c>
      <c r="R832" s="358" t="n">
        <v>0</v>
      </c>
      <c r="S832" s="372" t="n">
        <v>0</v>
      </c>
      <c r="T832" s="373" t="n">
        <v>0</v>
      </c>
      <c r="U832" s="358" t="n">
        <v>0</v>
      </c>
      <c r="V832" s="358" t="n">
        <v>0</v>
      </c>
      <c r="W832" s="372" t="n">
        <v>0</v>
      </c>
      <c r="X832" s="373" t="n">
        <v>0</v>
      </c>
      <c r="Y832" s="358" t="n">
        <v>0</v>
      </c>
      <c r="Z832" s="358" t="n">
        <v>0</v>
      </c>
      <c r="AA832" s="358" t="n">
        <v>0</v>
      </c>
      <c r="AB832" s="373" t="n">
        <v>0</v>
      </c>
      <c r="AC832" s="358" t="n">
        <v>0</v>
      </c>
      <c r="AD832" s="358" t="n">
        <v>0</v>
      </c>
      <c r="AE832" s="358" t="n">
        <v>0</v>
      </c>
      <c r="AF832" s="359" t="n">
        <v>1</v>
      </c>
    </row>
    <row r="833" customFormat="false" ht="15" hidden="true" customHeight="false" outlineLevel="0" collapsed="false">
      <c r="B833" s="360" t="s">
        <v>3300</v>
      </c>
      <c r="C833" s="359" t="n">
        <v>1</v>
      </c>
      <c r="D833" s="358" t="n">
        <v>0</v>
      </c>
      <c r="E833" s="358" t="n">
        <v>0</v>
      </c>
      <c r="F833" s="358" t="n">
        <v>0</v>
      </c>
      <c r="G833" s="372" t="n">
        <v>0</v>
      </c>
      <c r="H833" s="373" t="n">
        <v>0</v>
      </c>
      <c r="I833" s="358" t="n">
        <v>0</v>
      </c>
      <c r="J833" s="358" t="n">
        <v>0</v>
      </c>
      <c r="K833" s="372" t="n">
        <v>0</v>
      </c>
      <c r="L833" s="373" t="n">
        <v>0</v>
      </c>
      <c r="M833" s="358" t="n">
        <v>0</v>
      </c>
      <c r="N833" s="358" t="n">
        <v>0</v>
      </c>
      <c r="O833" s="372" t="n">
        <v>0</v>
      </c>
      <c r="P833" s="373" t="n">
        <v>0</v>
      </c>
      <c r="Q833" s="358" t="n">
        <v>0</v>
      </c>
      <c r="R833" s="358" t="n">
        <v>0</v>
      </c>
      <c r="S833" s="372" t="n">
        <v>0</v>
      </c>
      <c r="T833" s="373" t="n">
        <v>0</v>
      </c>
      <c r="U833" s="358" t="n">
        <v>0</v>
      </c>
      <c r="V833" s="358" t="n">
        <v>0</v>
      </c>
      <c r="W833" s="372" t="n">
        <v>0</v>
      </c>
      <c r="X833" s="373" t="n">
        <v>0</v>
      </c>
      <c r="Y833" s="358" t="n">
        <v>0</v>
      </c>
      <c r="Z833" s="358" t="n">
        <v>0</v>
      </c>
      <c r="AA833" s="358" t="n">
        <v>0</v>
      </c>
      <c r="AB833" s="373" t="n">
        <v>0</v>
      </c>
      <c r="AC833" s="358" t="n">
        <v>0</v>
      </c>
      <c r="AD833" s="358" t="n">
        <v>0</v>
      </c>
      <c r="AE833" s="358" t="n">
        <v>0</v>
      </c>
      <c r="AF833" s="359" t="n">
        <v>1</v>
      </c>
    </row>
    <row r="834" customFormat="false" ht="15" hidden="true" customHeight="false" outlineLevel="0" collapsed="false">
      <c r="B834" s="360" t="s">
        <v>3301</v>
      </c>
      <c r="C834" s="359" t="n">
        <v>1</v>
      </c>
      <c r="D834" s="358" t="n">
        <v>0</v>
      </c>
      <c r="E834" s="358" t="n">
        <v>0</v>
      </c>
      <c r="F834" s="358" t="n">
        <v>0</v>
      </c>
      <c r="G834" s="372" t="n">
        <v>0</v>
      </c>
      <c r="H834" s="373" t="n">
        <v>0</v>
      </c>
      <c r="I834" s="358" t="n">
        <v>0</v>
      </c>
      <c r="J834" s="358" t="n">
        <v>0</v>
      </c>
      <c r="K834" s="372" t="n">
        <v>0</v>
      </c>
      <c r="L834" s="373" t="n">
        <v>0</v>
      </c>
      <c r="M834" s="358" t="n">
        <v>0</v>
      </c>
      <c r="N834" s="358" t="n">
        <v>0</v>
      </c>
      <c r="O834" s="372" t="n">
        <v>0</v>
      </c>
      <c r="P834" s="373" t="n">
        <v>0</v>
      </c>
      <c r="Q834" s="358" t="n">
        <v>0</v>
      </c>
      <c r="R834" s="358" t="n">
        <v>0</v>
      </c>
      <c r="S834" s="372" t="n">
        <v>0</v>
      </c>
      <c r="T834" s="373" t="n">
        <v>0</v>
      </c>
      <c r="U834" s="358" t="n">
        <v>0</v>
      </c>
      <c r="V834" s="358" t="n">
        <v>0</v>
      </c>
      <c r="W834" s="372" t="n">
        <v>0</v>
      </c>
      <c r="X834" s="373" t="n">
        <v>0</v>
      </c>
      <c r="Y834" s="358" t="n">
        <v>0</v>
      </c>
      <c r="Z834" s="358" t="n">
        <v>0</v>
      </c>
      <c r="AA834" s="358" t="n">
        <v>0</v>
      </c>
      <c r="AB834" s="373" t="n">
        <v>0</v>
      </c>
      <c r="AC834" s="358" t="n">
        <v>0</v>
      </c>
      <c r="AD834" s="358" t="n">
        <v>0</v>
      </c>
      <c r="AE834" s="358" t="n">
        <v>0</v>
      </c>
      <c r="AF834" s="359" t="n">
        <v>1</v>
      </c>
    </row>
    <row r="835" customFormat="false" ht="15" hidden="true" customHeight="false" outlineLevel="0" collapsed="false">
      <c r="B835" s="360" t="s">
        <v>3302</v>
      </c>
      <c r="C835" s="359" t="n">
        <v>1</v>
      </c>
      <c r="D835" s="358" t="n">
        <v>0</v>
      </c>
      <c r="E835" s="358" t="n">
        <v>0</v>
      </c>
      <c r="F835" s="358" t="n">
        <v>0</v>
      </c>
      <c r="G835" s="372" t="n">
        <v>0</v>
      </c>
      <c r="H835" s="373" t="n">
        <v>0</v>
      </c>
      <c r="I835" s="358" t="n">
        <v>0</v>
      </c>
      <c r="J835" s="358" t="n">
        <v>0</v>
      </c>
      <c r="K835" s="372" t="n">
        <v>0</v>
      </c>
      <c r="L835" s="373" t="n">
        <v>0</v>
      </c>
      <c r="M835" s="358" t="n">
        <v>0</v>
      </c>
      <c r="N835" s="358" t="n">
        <v>0</v>
      </c>
      <c r="O835" s="372" t="n">
        <v>0</v>
      </c>
      <c r="P835" s="373" t="n">
        <v>0</v>
      </c>
      <c r="Q835" s="358" t="n">
        <v>0</v>
      </c>
      <c r="R835" s="358" t="n">
        <v>0</v>
      </c>
      <c r="S835" s="372" t="n">
        <v>0</v>
      </c>
      <c r="T835" s="373" t="n">
        <v>0</v>
      </c>
      <c r="U835" s="358" t="n">
        <v>0</v>
      </c>
      <c r="V835" s="358" t="n">
        <v>0</v>
      </c>
      <c r="W835" s="372" t="n">
        <v>0</v>
      </c>
      <c r="X835" s="373" t="n">
        <v>0</v>
      </c>
      <c r="Y835" s="358" t="n">
        <v>0</v>
      </c>
      <c r="Z835" s="358" t="n">
        <v>0</v>
      </c>
      <c r="AA835" s="358" t="n">
        <v>0</v>
      </c>
      <c r="AB835" s="373" t="n">
        <v>0</v>
      </c>
      <c r="AC835" s="358" t="n">
        <v>0</v>
      </c>
      <c r="AD835" s="358" t="n">
        <v>0</v>
      </c>
      <c r="AE835" s="358" t="n">
        <v>0</v>
      </c>
      <c r="AF835" s="359" t="n">
        <v>1</v>
      </c>
    </row>
    <row r="836" customFormat="false" ht="15" hidden="true" customHeight="false" outlineLevel="0" collapsed="false">
      <c r="B836" s="360" t="s">
        <v>3303</v>
      </c>
      <c r="C836" s="359" t="n">
        <v>1</v>
      </c>
      <c r="D836" s="358" t="n">
        <v>0</v>
      </c>
      <c r="E836" s="358" t="n">
        <v>0</v>
      </c>
      <c r="F836" s="358" t="n">
        <v>0</v>
      </c>
      <c r="G836" s="372" t="n">
        <v>0</v>
      </c>
      <c r="H836" s="373" t="n">
        <v>0</v>
      </c>
      <c r="I836" s="358" t="n">
        <v>0</v>
      </c>
      <c r="J836" s="358" t="n">
        <v>0</v>
      </c>
      <c r="K836" s="372" t="n">
        <v>0</v>
      </c>
      <c r="L836" s="373" t="n">
        <v>0</v>
      </c>
      <c r="M836" s="358" t="n">
        <v>0</v>
      </c>
      <c r="N836" s="358" t="n">
        <v>0</v>
      </c>
      <c r="O836" s="372" t="n">
        <v>0</v>
      </c>
      <c r="P836" s="373" t="n">
        <v>0</v>
      </c>
      <c r="Q836" s="358" t="n">
        <v>0</v>
      </c>
      <c r="R836" s="358" t="n">
        <v>0</v>
      </c>
      <c r="S836" s="372" t="n">
        <v>0</v>
      </c>
      <c r="T836" s="373" t="n">
        <v>0</v>
      </c>
      <c r="U836" s="358" t="n">
        <v>0</v>
      </c>
      <c r="V836" s="358" t="n">
        <v>0</v>
      </c>
      <c r="W836" s="372" t="n">
        <v>0</v>
      </c>
      <c r="X836" s="373" t="n">
        <v>0</v>
      </c>
      <c r="Y836" s="358" t="n">
        <v>0</v>
      </c>
      <c r="Z836" s="358" t="n">
        <v>0</v>
      </c>
      <c r="AA836" s="358" t="n">
        <v>0</v>
      </c>
      <c r="AB836" s="373" t="n">
        <v>0</v>
      </c>
      <c r="AC836" s="358" t="n">
        <v>0</v>
      </c>
      <c r="AD836" s="358" t="n">
        <v>0</v>
      </c>
      <c r="AE836" s="358" t="n">
        <v>0</v>
      </c>
      <c r="AF836" s="359" t="n">
        <v>1</v>
      </c>
    </row>
    <row r="837" customFormat="false" ht="15" hidden="true" customHeight="false" outlineLevel="0" collapsed="false">
      <c r="B837" s="360" t="s">
        <v>3304</v>
      </c>
      <c r="C837" s="359" t="n">
        <v>1</v>
      </c>
      <c r="D837" s="358" t="n">
        <v>0</v>
      </c>
      <c r="E837" s="358" t="n">
        <v>0</v>
      </c>
      <c r="F837" s="358" t="n">
        <v>0</v>
      </c>
      <c r="G837" s="372" t="n">
        <v>0</v>
      </c>
      <c r="H837" s="373" t="n">
        <v>0</v>
      </c>
      <c r="I837" s="358" t="n">
        <v>0</v>
      </c>
      <c r="J837" s="358" t="n">
        <v>0</v>
      </c>
      <c r="K837" s="372" t="n">
        <v>0</v>
      </c>
      <c r="L837" s="373" t="n">
        <v>0</v>
      </c>
      <c r="M837" s="358" t="n">
        <v>0</v>
      </c>
      <c r="N837" s="358" t="n">
        <v>0</v>
      </c>
      <c r="O837" s="372" t="n">
        <v>0</v>
      </c>
      <c r="P837" s="373" t="n">
        <v>0</v>
      </c>
      <c r="Q837" s="358" t="n">
        <v>0</v>
      </c>
      <c r="R837" s="358" t="n">
        <v>0</v>
      </c>
      <c r="S837" s="372" t="n">
        <v>0</v>
      </c>
      <c r="T837" s="373" t="n">
        <v>0</v>
      </c>
      <c r="U837" s="358" t="n">
        <v>0</v>
      </c>
      <c r="V837" s="358" t="n">
        <v>0</v>
      </c>
      <c r="W837" s="372" t="n">
        <v>0</v>
      </c>
      <c r="X837" s="373" t="n">
        <v>0</v>
      </c>
      <c r="Y837" s="358" t="n">
        <v>0</v>
      </c>
      <c r="Z837" s="358" t="n">
        <v>0</v>
      </c>
      <c r="AA837" s="358" t="n">
        <v>0</v>
      </c>
      <c r="AB837" s="373" t="n">
        <v>0</v>
      </c>
      <c r="AC837" s="358" t="n">
        <v>0</v>
      </c>
      <c r="AD837" s="358" t="n">
        <v>0</v>
      </c>
      <c r="AE837" s="358" t="n">
        <v>0</v>
      </c>
      <c r="AF837" s="359" t="n">
        <v>1</v>
      </c>
    </row>
    <row r="838" customFormat="false" ht="15" hidden="true" customHeight="false" outlineLevel="0" collapsed="false">
      <c r="B838" s="360" t="s">
        <v>3305</v>
      </c>
      <c r="C838" s="359" t="n">
        <v>1</v>
      </c>
      <c r="D838" s="358" t="n">
        <v>0</v>
      </c>
      <c r="E838" s="358" t="n">
        <v>0</v>
      </c>
      <c r="F838" s="358" t="n">
        <v>0</v>
      </c>
      <c r="G838" s="372" t="n">
        <v>0</v>
      </c>
      <c r="H838" s="373" t="n">
        <v>0</v>
      </c>
      <c r="I838" s="358" t="n">
        <v>0</v>
      </c>
      <c r="J838" s="358" t="n">
        <v>0</v>
      </c>
      <c r="K838" s="372" t="n">
        <v>0</v>
      </c>
      <c r="L838" s="373" t="n">
        <v>0</v>
      </c>
      <c r="M838" s="358" t="n">
        <v>0</v>
      </c>
      <c r="N838" s="358" t="n">
        <v>0</v>
      </c>
      <c r="O838" s="372" t="n">
        <v>0</v>
      </c>
      <c r="P838" s="373" t="n">
        <v>0</v>
      </c>
      <c r="Q838" s="358" t="n">
        <v>0</v>
      </c>
      <c r="R838" s="358" t="n">
        <v>0</v>
      </c>
      <c r="S838" s="372" t="n">
        <v>0</v>
      </c>
      <c r="T838" s="373" t="n">
        <v>0</v>
      </c>
      <c r="U838" s="358" t="n">
        <v>0</v>
      </c>
      <c r="V838" s="358" t="n">
        <v>0</v>
      </c>
      <c r="W838" s="372" t="n">
        <v>0</v>
      </c>
      <c r="X838" s="373" t="n">
        <v>0</v>
      </c>
      <c r="Y838" s="358" t="n">
        <v>0</v>
      </c>
      <c r="Z838" s="358" t="n">
        <v>0</v>
      </c>
      <c r="AA838" s="358" t="n">
        <v>0</v>
      </c>
      <c r="AB838" s="373" t="n">
        <v>0</v>
      </c>
      <c r="AC838" s="358" t="n">
        <v>0</v>
      </c>
      <c r="AD838" s="358" t="n">
        <v>0</v>
      </c>
      <c r="AE838" s="358" t="n">
        <v>0</v>
      </c>
      <c r="AF838" s="359" t="n">
        <v>1</v>
      </c>
    </row>
    <row r="839" customFormat="false" ht="15" hidden="true" customHeight="false" outlineLevel="0" collapsed="false">
      <c r="B839" s="360" t="s">
        <v>3306</v>
      </c>
      <c r="C839" s="359" t="n">
        <v>1</v>
      </c>
      <c r="D839" s="358" t="n">
        <v>0</v>
      </c>
      <c r="E839" s="358" t="n">
        <v>0</v>
      </c>
      <c r="F839" s="358" t="n">
        <v>0</v>
      </c>
      <c r="G839" s="372" t="n">
        <v>0</v>
      </c>
      <c r="H839" s="373" t="n">
        <v>0</v>
      </c>
      <c r="I839" s="358" t="n">
        <v>0</v>
      </c>
      <c r="J839" s="358" t="n">
        <v>0</v>
      </c>
      <c r="K839" s="372" t="n">
        <v>0</v>
      </c>
      <c r="L839" s="373" t="n">
        <v>0</v>
      </c>
      <c r="M839" s="358" t="n">
        <v>0</v>
      </c>
      <c r="N839" s="358" t="n">
        <v>0</v>
      </c>
      <c r="O839" s="372" t="n">
        <v>0</v>
      </c>
      <c r="P839" s="373" t="n">
        <v>0</v>
      </c>
      <c r="Q839" s="358" t="n">
        <v>0</v>
      </c>
      <c r="R839" s="358" t="n">
        <v>0</v>
      </c>
      <c r="S839" s="372" t="n">
        <v>0</v>
      </c>
      <c r="T839" s="373" t="n">
        <v>0</v>
      </c>
      <c r="U839" s="358" t="n">
        <v>0</v>
      </c>
      <c r="V839" s="358" t="n">
        <v>0</v>
      </c>
      <c r="W839" s="372" t="n">
        <v>0</v>
      </c>
      <c r="X839" s="373" t="n">
        <v>0</v>
      </c>
      <c r="Y839" s="358" t="n">
        <v>0</v>
      </c>
      <c r="Z839" s="358" t="n">
        <v>0</v>
      </c>
      <c r="AA839" s="358" t="n">
        <v>0</v>
      </c>
      <c r="AB839" s="373" t="n">
        <v>0</v>
      </c>
      <c r="AC839" s="358" t="n">
        <v>0</v>
      </c>
      <c r="AD839" s="358" t="n">
        <v>0</v>
      </c>
      <c r="AE839" s="358" t="n">
        <v>0</v>
      </c>
      <c r="AF839" s="359" t="n">
        <v>1</v>
      </c>
    </row>
    <row r="840" customFormat="false" ht="15" hidden="true" customHeight="false" outlineLevel="0" collapsed="false">
      <c r="B840" s="360" t="s">
        <v>3307</v>
      </c>
      <c r="C840" s="359" t="n">
        <v>1</v>
      </c>
      <c r="D840" s="358" t="n">
        <v>0</v>
      </c>
      <c r="E840" s="358" t="n">
        <v>0</v>
      </c>
      <c r="F840" s="358" t="n">
        <v>0</v>
      </c>
      <c r="G840" s="372" t="n">
        <v>0</v>
      </c>
      <c r="H840" s="373" t="n">
        <v>0</v>
      </c>
      <c r="I840" s="358" t="n">
        <v>0</v>
      </c>
      <c r="J840" s="358" t="n">
        <v>0</v>
      </c>
      <c r="K840" s="372" t="n">
        <v>0</v>
      </c>
      <c r="L840" s="373" t="n">
        <v>0</v>
      </c>
      <c r="M840" s="358" t="n">
        <v>0</v>
      </c>
      <c r="N840" s="358" t="n">
        <v>0</v>
      </c>
      <c r="O840" s="372" t="n">
        <v>0</v>
      </c>
      <c r="P840" s="373" t="n">
        <v>0</v>
      </c>
      <c r="Q840" s="358" t="n">
        <v>0</v>
      </c>
      <c r="R840" s="358" t="n">
        <v>0</v>
      </c>
      <c r="S840" s="372" t="n">
        <v>0</v>
      </c>
      <c r="T840" s="373" t="n">
        <v>0</v>
      </c>
      <c r="U840" s="358" t="n">
        <v>0</v>
      </c>
      <c r="V840" s="358" t="n">
        <v>0</v>
      </c>
      <c r="W840" s="372" t="n">
        <v>0</v>
      </c>
      <c r="X840" s="373" t="n">
        <v>0</v>
      </c>
      <c r="Y840" s="358" t="n">
        <v>0</v>
      </c>
      <c r="Z840" s="358" t="n">
        <v>0</v>
      </c>
      <c r="AA840" s="358" t="n">
        <v>0</v>
      </c>
      <c r="AB840" s="373" t="n">
        <v>0</v>
      </c>
      <c r="AC840" s="358" t="n">
        <v>0</v>
      </c>
      <c r="AD840" s="358" t="n">
        <v>0</v>
      </c>
      <c r="AE840" s="358" t="n">
        <v>0</v>
      </c>
      <c r="AF840" s="359" t="n">
        <v>1</v>
      </c>
    </row>
    <row r="841" customFormat="false" ht="15" hidden="true" customHeight="false" outlineLevel="0" collapsed="false">
      <c r="B841" s="360" t="s">
        <v>3308</v>
      </c>
      <c r="C841" s="359" t="n">
        <v>1</v>
      </c>
      <c r="D841" s="358" t="n">
        <v>0</v>
      </c>
      <c r="E841" s="358" t="n">
        <v>0</v>
      </c>
      <c r="F841" s="358" t="n">
        <v>0</v>
      </c>
      <c r="G841" s="372" t="n">
        <v>0</v>
      </c>
      <c r="H841" s="373" t="n">
        <v>0</v>
      </c>
      <c r="I841" s="358" t="n">
        <v>0</v>
      </c>
      <c r="J841" s="358" t="n">
        <v>0</v>
      </c>
      <c r="K841" s="372" t="n">
        <v>0</v>
      </c>
      <c r="L841" s="373" t="n">
        <v>0</v>
      </c>
      <c r="M841" s="358" t="n">
        <v>0</v>
      </c>
      <c r="N841" s="358" t="n">
        <v>0</v>
      </c>
      <c r="O841" s="372" t="n">
        <v>0</v>
      </c>
      <c r="P841" s="373" t="n">
        <v>0</v>
      </c>
      <c r="Q841" s="358" t="n">
        <v>0</v>
      </c>
      <c r="R841" s="358" t="n">
        <v>0</v>
      </c>
      <c r="S841" s="372" t="n">
        <v>0</v>
      </c>
      <c r="T841" s="373" t="n">
        <v>0</v>
      </c>
      <c r="U841" s="358" t="n">
        <v>0</v>
      </c>
      <c r="V841" s="358" t="n">
        <v>0</v>
      </c>
      <c r="W841" s="372" t="n">
        <v>0</v>
      </c>
      <c r="X841" s="373" t="n">
        <v>0</v>
      </c>
      <c r="Y841" s="358" t="n">
        <v>0</v>
      </c>
      <c r="Z841" s="358" t="n">
        <v>0</v>
      </c>
      <c r="AA841" s="358" t="n">
        <v>0</v>
      </c>
      <c r="AB841" s="373" t="n">
        <v>0</v>
      </c>
      <c r="AC841" s="358" t="n">
        <v>0</v>
      </c>
      <c r="AD841" s="358" t="n">
        <v>0</v>
      </c>
      <c r="AE841" s="358" t="n">
        <v>0</v>
      </c>
      <c r="AF841" s="359" t="n">
        <v>1</v>
      </c>
    </row>
    <row r="842" customFormat="false" ht="15" hidden="true" customHeight="false" outlineLevel="0" collapsed="false">
      <c r="B842" s="360" t="s">
        <v>3309</v>
      </c>
      <c r="C842" s="359" t="n">
        <v>1</v>
      </c>
      <c r="D842" s="358" t="n">
        <v>0</v>
      </c>
      <c r="E842" s="358" t="n">
        <v>0</v>
      </c>
      <c r="F842" s="358" t="n">
        <v>0</v>
      </c>
      <c r="G842" s="372" t="n">
        <v>0</v>
      </c>
      <c r="H842" s="373" t="n">
        <v>0</v>
      </c>
      <c r="I842" s="358" t="n">
        <v>0</v>
      </c>
      <c r="J842" s="358" t="n">
        <v>0</v>
      </c>
      <c r="K842" s="372" t="n">
        <v>0</v>
      </c>
      <c r="L842" s="373" t="n">
        <v>0</v>
      </c>
      <c r="M842" s="358" t="n">
        <v>0</v>
      </c>
      <c r="N842" s="358" t="n">
        <v>0</v>
      </c>
      <c r="O842" s="372" t="n">
        <v>0</v>
      </c>
      <c r="P842" s="373" t="n">
        <v>0</v>
      </c>
      <c r="Q842" s="358" t="n">
        <v>0</v>
      </c>
      <c r="R842" s="358" t="n">
        <v>0</v>
      </c>
      <c r="S842" s="372" t="n">
        <v>0</v>
      </c>
      <c r="T842" s="373" t="n">
        <v>0</v>
      </c>
      <c r="U842" s="358" t="n">
        <v>0</v>
      </c>
      <c r="V842" s="358" t="n">
        <v>0</v>
      </c>
      <c r="W842" s="372" t="n">
        <v>0</v>
      </c>
      <c r="X842" s="373" t="n">
        <v>0</v>
      </c>
      <c r="Y842" s="358" t="n">
        <v>0</v>
      </c>
      <c r="Z842" s="358" t="n">
        <v>0</v>
      </c>
      <c r="AA842" s="358" t="n">
        <v>0</v>
      </c>
      <c r="AB842" s="373" t="n">
        <v>0</v>
      </c>
      <c r="AC842" s="358" t="n">
        <v>0</v>
      </c>
      <c r="AD842" s="358" t="n">
        <v>0</v>
      </c>
      <c r="AE842" s="358" t="n">
        <v>0</v>
      </c>
      <c r="AF842" s="359" t="n">
        <v>1</v>
      </c>
    </row>
    <row r="843" customFormat="false" ht="15" hidden="true" customHeight="false" outlineLevel="0" collapsed="false">
      <c r="B843" s="360" t="s">
        <v>3310</v>
      </c>
      <c r="C843" s="359" t="n">
        <v>1</v>
      </c>
      <c r="D843" s="358" t="n">
        <v>0</v>
      </c>
      <c r="E843" s="358" t="n">
        <v>0</v>
      </c>
      <c r="F843" s="358" t="n">
        <v>0</v>
      </c>
      <c r="G843" s="372" t="n">
        <v>0</v>
      </c>
      <c r="H843" s="373" t="n">
        <v>0</v>
      </c>
      <c r="I843" s="358" t="n">
        <v>0</v>
      </c>
      <c r="J843" s="358" t="n">
        <v>0</v>
      </c>
      <c r="K843" s="372" t="n">
        <v>0</v>
      </c>
      <c r="L843" s="373" t="n">
        <v>0</v>
      </c>
      <c r="M843" s="358" t="n">
        <v>0</v>
      </c>
      <c r="N843" s="358" t="n">
        <v>0</v>
      </c>
      <c r="O843" s="372" t="n">
        <v>0</v>
      </c>
      <c r="P843" s="373" t="n">
        <v>0</v>
      </c>
      <c r="Q843" s="358" t="n">
        <v>0</v>
      </c>
      <c r="R843" s="358" t="n">
        <v>0</v>
      </c>
      <c r="S843" s="372" t="n">
        <v>0</v>
      </c>
      <c r="T843" s="373" t="n">
        <v>0</v>
      </c>
      <c r="U843" s="358" t="n">
        <v>0</v>
      </c>
      <c r="V843" s="358" t="n">
        <v>0</v>
      </c>
      <c r="W843" s="372" t="n">
        <v>0</v>
      </c>
      <c r="X843" s="373" t="n">
        <v>0</v>
      </c>
      <c r="Y843" s="358" t="n">
        <v>0</v>
      </c>
      <c r="Z843" s="358" t="n">
        <v>0</v>
      </c>
      <c r="AA843" s="358" t="n">
        <v>0</v>
      </c>
      <c r="AB843" s="373" t="n">
        <v>0</v>
      </c>
      <c r="AC843" s="358" t="n">
        <v>0</v>
      </c>
      <c r="AD843" s="358" t="n">
        <v>0</v>
      </c>
      <c r="AE843" s="358" t="n">
        <v>0</v>
      </c>
      <c r="AF843" s="359" t="n">
        <v>1</v>
      </c>
    </row>
    <row r="844" customFormat="false" ht="15" hidden="true" customHeight="false" outlineLevel="0" collapsed="false">
      <c r="B844" s="360" t="s">
        <v>3311</v>
      </c>
      <c r="C844" s="359" t="n">
        <v>1</v>
      </c>
      <c r="D844" s="358" t="n">
        <v>0</v>
      </c>
      <c r="E844" s="358" t="n">
        <v>0</v>
      </c>
      <c r="F844" s="358" t="n">
        <v>0</v>
      </c>
      <c r="G844" s="372" t="n">
        <v>0</v>
      </c>
      <c r="H844" s="373" t="n">
        <v>0</v>
      </c>
      <c r="I844" s="358" t="n">
        <v>0</v>
      </c>
      <c r="J844" s="358" t="n">
        <v>0</v>
      </c>
      <c r="K844" s="372" t="n">
        <v>0</v>
      </c>
      <c r="L844" s="373" t="n">
        <v>0</v>
      </c>
      <c r="M844" s="358" t="n">
        <v>0</v>
      </c>
      <c r="N844" s="358" t="n">
        <v>0</v>
      </c>
      <c r="O844" s="372" t="n">
        <v>0</v>
      </c>
      <c r="P844" s="373" t="n">
        <v>0</v>
      </c>
      <c r="Q844" s="358" t="n">
        <v>0</v>
      </c>
      <c r="R844" s="358" t="n">
        <v>0</v>
      </c>
      <c r="S844" s="372" t="n">
        <v>0</v>
      </c>
      <c r="T844" s="373" t="n">
        <v>0</v>
      </c>
      <c r="U844" s="358" t="n">
        <v>0</v>
      </c>
      <c r="V844" s="358" t="n">
        <v>0</v>
      </c>
      <c r="W844" s="372" t="n">
        <v>0</v>
      </c>
      <c r="X844" s="373" t="n">
        <v>0</v>
      </c>
      <c r="Y844" s="358" t="n">
        <v>0</v>
      </c>
      <c r="Z844" s="358" t="n">
        <v>0</v>
      </c>
      <c r="AA844" s="358" t="n">
        <v>0</v>
      </c>
      <c r="AB844" s="373" t="n">
        <v>0</v>
      </c>
      <c r="AC844" s="358" t="n">
        <v>0</v>
      </c>
      <c r="AD844" s="358" t="n">
        <v>0</v>
      </c>
      <c r="AE844" s="358" t="n">
        <v>0</v>
      </c>
      <c r="AF844" s="359" t="n">
        <v>1</v>
      </c>
    </row>
    <row r="845" customFormat="false" ht="15" hidden="true" customHeight="false" outlineLevel="0" collapsed="false">
      <c r="B845" s="360" t="s">
        <v>3312</v>
      </c>
      <c r="C845" s="359" t="n">
        <v>1</v>
      </c>
      <c r="D845" s="358" t="n">
        <v>0</v>
      </c>
      <c r="E845" s="358" t="n">
        <v>0</v>
      </c>
      <c r="F845" s="358" t="n">
        <v>0</v>
      </c>
      <c r="G845" s="372" t="n">
        <v>0</v>
      </c>
      <c r="H845" s="373" t="n">
        <v>0</v>
      </c>
      <c r="I845" s="358" t="n">
        <v>0</v>
      </c>
      <c r="J845" s="358" t="n">
        <v>0</v>
      </c>
      <c r="K845" s="372" t="n">
        <v>0</v>
      </c>
      <c r="L845" s="373" t="n">
        <v>0</v>
      </c>
      <c r="M845" s="358" t="n">
        <v>0</v>
      </c>
      <c r="N845" s="358" t="n">
        <v>0</v>
      </c>
      <c r="O845" s="372" t="n">
        <v>0</v>
      </c>
      <c r="P845" s="373" t="n">
        <v>0</v>
      </c>
      <c r="Q845" s="358" t="n">
        <v>0</v>
      </c>
      <c r="R845" s="358" t="n">
        <v>0</v>
      </c>
      <c r="S845" s="372" t="n">
        <v>0</v>
      </c>
      <c r="T845" s="373" t="n">
        <v>0</v>
      </c>
      <c r="U845" s="358" t="n">
        <v>0</v>
      </c>
      <c r="V845" s="358" t="n">
        <v>0</v>
      </c>
      <c r="W845" s="372" t="n">
        <v>0</v>
      </c>
      <c r="X845" s="373" t="n">
        <v>0</v>
      </c>
      <c r="Y845" s="358" t="n">
        <v>0</v>
      </c>
      <c r="Z845" s="358" t="n">
        <v>0</v>
      </c>
      <c r="AA845" s="358" t="n">
        <v>0</v>
      </c>
      <c r="AB845" s="373" t="n">
        <v>0</v>
      </c>
      <c r="AC845" s="358" t="n">
        <v>0</v>
      </c>
      <c r="AD845" s="358" t="n">
        <v>0</v>
      </c>
      <c r="AE845" s="358" t="n">
        <v>0</v>
      </c>
      <c r="AF845" s="359" t="n">
        <v>1</v>
      </c>
    </row>
    <row r="846" customFormat="false" ht="15" hidden="true" customHeight="false" outlineLevel="0" collapsed="false">
      <c r="B846" s="360" t="s">
        <v>3313</v>
      </c>
      <c r="C846" s="359" t="n">
        <v>1</v>
      </c>
      <c r="D846" s="358" t="n">
        <v>0</v>
      </c>
      <c r="E846" s="358" t="n">
        <v>0</v>
      </c>
      <c r="F846" s="358" t="n">
        <v>0</v>
      </c>
      <c r="G846" s="372" t="n">
        <v>0</v>
      </c>
      <c r="H846" s="373" t="n">
        <v>0</v>
      </c>
      <c r="I846" s="358" t="n">
        <v>0</v>
      </c>
      <c r="J846" s="358" t="n">
        <v>0</v>
      </c>
      <c r="K846" s="372" t="n">
        <v>0</v>
      </c>
      <c r="L846" s="373" t="n">
        <v>0</v>
      </c>
      <c r="M846" s="358" t="n">
        <v>0</v>
      </c>
      <c r="N846" s="358" t="n">
        <v>0</v>
      </c>
      <c r="O846" s="372" t="n">
        <v>0</v>
      </c>
      <c r="P846" s="373" t="n">
        <v>0</v>
      </c>
      <c r="Q846" s="358" t="n">
        <v>0</v>
      </c>
      <c r="R846" s="358" t="n">
        <v>0</v>
      </c>
      <c r="S846" s="372" t="n">
        <v>0</v>
      </c>
      <c r="T846" s="373" t="n">
        <v>0</v>
      </c>
      <c r="U846" s="358" t="n">
        <v>0</v>
      </c>
      <c r="V846" s="358" t="n">
        <v>0</v>
      </c>
      <c r="W846" s="372" t="n">
        <v>0</v>
      </c>
      <c r="X846" s="373" t="n">
        <v>0</v>
      </c>
      <c r="Y846" s="358" t="n">
        <v>0</v>
      </c>
      <c r="Z846" s="358" t="n">
        <v>0</v>
      </c>
      <c r="AA846" s="358" t="n">
        <v>0</v>
      </c>
      <c r="AB846" s="373" t="n">
        <v>0</v>
      </c>
      <c r="AC846" s="358" t="n">
        <v>0</v>
      </c>
      <c r="AD846" s="358" t="n">
        <v>0</v>
      </c>
      <c r="AE846" s="358" t="n">
        <v>0</v>
      </c>
      <c r="AF846" s="359" t="n">
        <v>1</v>
      </c>
    </row>
    <row r="847" customFormat="false" ht="15" hidden="true" customHeight="false" outlineLevel="0" collapsed="false">
      <c r="B847" s="360" t="s">
        <v>3314</v>
      </c>
      <c r="C847" s="359" t="n">
        <v>1</v>
      </c>
      <c r="D847" s="358" t="n">
        <v>0</v>
      </c>
      <c r="E847" s="358" t="n">
        <v>0</v>
      </c>
      <c r="F847" s="358" t="n">
        <v>0</v>
      </c>
      <c r="G847" s="372" t="n">
        <v>0</v>
      </c>
      <c r="H847" s="373" t="n">
        <v>0</v>
      </c>
      <c r="I847" s="358" t="n">
        <v>0</v>
      </c>
      <c r="J847" s="358" t="n">
        <v>0</v>
      </c>
      <c r="K847" s="372" t="n">
        <v>0</v>
      </c>
      <c r="L847" s="373" t="n">
        <v>0</v>
      </c>
      <c r="M847" s="358" t="n">
        <v>0</v>
      </c>
      <c r="N847" s="358" t="n">
        <v>0</v>
      </c>
      <c r="O847" s="372" t="n">
        <v>0</v>
      </c>
      <c r="P847" s="373" t="n">
        <v>0</v>
      </c>
      <c r="Q847" s="358" t="n">
        <v>0</v>
      </c>
      <c r="R847" s="358" t="n">
        <v>0</v>
      </c>
      <c r="S847" s="372" t="n">
        <v>0</v>
      </c>
      <c r="T847" s="373" t="n">
        <v>0</v>
      </c>
      <c r="U847" s="358" t="n">
        <v>0</v>
      </c>
      <c r="V847" s="358" t="n">
        <v>0</v>
      </c>
      <c r="W847" s="372" t="n">
        <v>0</v>
      </c>
      <c r="X847" s="373" t="n">
        <v>0</v>
      </c>
      <c r="Y847" s="358" t="n">
        <v>0</v>
      </c>
      <c r="Z847" s="358" t="n">
        <v>0</v>
      </c>
      <c r="AA847" s="358" t="n">
        <v>0</v>
      </c>
      <c r="AB847" s="373" t="n">
        <v>0</v>
      </c>
      <c r="AC847" s="358" t="n">
        <v>0</v>
      </c>
      <c r="AD847" s="358" t="n">
        <v>0</v>
      </c>
      <c r="AE847" s="358" t="n">
        <v>0</v>
      </c>
      <c r="AF847" s="359" t="n">
        <v>1</v>
      </c>
    </row>
    <row r="848" customFormat="false" ht="15" hidden="true" customHeight="false" outlineLevel="0" collapsed="false">
      <c r="B848" s="360" t="s">
        <v>3315</v>
      </c>
      <c r="C848" s="359" t="n">
        <v>1</v>
      </c>
      <c r="D848" s="358" t="n">
        <v>0</v>
      </c>
      <c r="E848" s="358" t="n">
        <v>0</v>
      </c>
      <c r="F848" s="358" t="n">
        <v>0</v>
      </c>
      <c r="G848" s="372" t="n">
        <v>0</v>
      </c>
      <c r="H848" s="373" t="n">
        <v>0</v>
      </c>
      <c r="I848" s="358" t="n">
        <v>0</v>
      </c>
      <c r="J848" s="358" t="n">
        <v>0</v>
      </c>
      <c r="K848" s="372" t="n">
        <v>0</v>
      </c>
      <c r="L848" s="373" t="n">
        <v>0</v>
      </c>
      <c r="M848" s="358" t="n">
        <v>0</v>
      </c>
      <c r="N848" s="358" t="n">
        <v>0</v>
      </c>
      <c r="O848" s="372" t="n">
        <v>0</v>
      </c>
      <c r="P848" s="373" t="n">
        <v>0</v>
      </c>
      <c r="Q848" s="358" t="n">
        <v>0</v>
      </c>
      <c r="R848" s="358" t="n">
        <v>0</v>
      </c>
      <c r="S848" s="372" t="n">
        <v>0</v>
      </c>
      <c r="T848" s="373" t="n">
        <v>0</v>
      </c>
      <c r="U848" s="358" t="n">
        <v>0</v>
      </c>
      <c r="V848" s="358" t="n">
        <v>0</v>
      </c>
      <c r="W848" s="372" t="n">
        <v>0</v>
      </c>
      <c r="X848" s="373" t="n">
        <v>0</v>
      </c>
      <c r="Y848" s="358" t="n">
        <v>0</v>
      </c>
      <c r="Z848" s="358" t="n">
        <v>0</v>
      </c>
      <c r="AA848" s="358" t="n">
        <v>0</v>
      </c>
      <c r="AB848" s="373" t="n">
        <v>0</v>
      </c>
      <c r="AC848" s="358" t="n">
        <v>0</v>
      </c>
      <c r="AD848" s="358" t="n">
        <v>0</v>
      </c>
      <c r="AE848" s="358" t="n">
        <v>0</v>
      </c>
      <c r="AF848" s="359" t="n">
        <v>1</v>
      </c>
    </row>
    <row r="849" customFormat="false" ht="15" hidden="true" customHeight="false" outlineLevel="0" collapsed="false">
      <c r="B849" s="360" t="s">
        <v>3316</v>
      </c>
      <c r="C849" s="359" t="n">
        <v>1</v>
      </c>
      <c r="D849" s="358" t="n">
        <v>0</v>
      </c>
      <c r="E849" s="358" t="n">
        <v>0</v>
      </c>
      <c r="F849" s="358" t="n">
        <v>0</v>
      </c>
      <c r="G849" s="372" t="n">
        <v>0</v>
      </c>
      <c r="H849" s="373" t="n">
        <v>0</v>
      </c>
      <c r="I849" s="358" t="n">
        <v>0</v>
      </c>
      <c r="J849" s="358" t="n">
        <v>0</v>
      </c>
      <c r="K849" s="372" t="n">
        <v>0</v>
      </c>
      <c r="L849" s="373" t="n">
        <v>0</v>
      </c>
      <c r="M849" s="358" t="n">
        <v>0</v>
      </c>
      <c r="N849" s="358" t="n">
        <v>0</v>
      </c>
      <c r="O849" s="372" t="n">
        <v>0</v>
      </c>
      <c r="P849" s="373" t="n">
        <v>0</v>
      </c>
      <c r="Q849" s="358" t="n">
        <v>0</v>
      </c>
      <c r="R849" s="358" t="n">
        <v>0</v>
      </c>
      <c r="S849" s="372" t="n">
        <v>0</v>
      </c>
      <c r="T849" s="373" t="n">
        <v>0</v>
      </c>
      <c r="U849" s="358" t="n">
        <v>0</v>
      </c>
      <c r="V849" s="358" t="n">
        <v>0</v>
      </c>
      <c r="W849" s="372" t="n">
        <v>0</v>
      </c>
      <c r="X849" s="373" t="n">
        <v>0</v>
      </c>
      <c r="Y849" s="358" t="n">
        <v>0</v>
      </c>
      <c r="Z849" s="358" t="n">
        <v>0</v>
      </c>
      <c r="AA849" s="358" t="n">
        <v>0</v>
      </c>
      <c r="AB849" s="373" t="n">
        <v>0</v>
      </c>
      <c r="AC849" s="358" t="n">
        <v>0</v>
      </c>
      <c r="AD849" s="358" t="n">
        <v>0</v>
      </c>
      <c r="AE849" s="358" t="n">
        <v>0</v>
      </c>
      <c r="AF849" s="359" t="n">
        <v>1</v>
      </c>
    </row>
    <row r="850" customFormat="false" ht="15" hidden="true" customHeight="false" outlineLevel="0" collapsed="false">
      <c r="B850" s="360" t="s">
        <v>3317</v>
      </c>
      <c r="C850" s="359" t="n">
        <v>1</v>
      </c>
      <c r="D850" s="358" t="n">
        <v>0</v>
      </c>
      <c r="E850" s="358" t="n">
        <v>0</v>
      </c>
      <c r="F850" s="358" t="n">
        <v>0</v>
      </c>
      <c r="G850" s="372" t="n">
        <v>0</v>
      </c>
      <c r="H850" s="373" t="n">
        <v>0</v>
      </c>
      <c r="I850" s="358" t="n">
        <v>0</v>
      </c>
      <c r="J850" s="358" t="n">
        <v>0</v>
      </c>
      <c r="K850" s="372" t="n">
        <v>0</v>
      </c>
      <c r="L850" s="373" t="n">
        <v>0</v>
      </c>
      <c r="M850" s="358" t="n">
        <v>0</v>
      </c>
      <c r="N850" s="358" t="n">
        <v>0</v>
      </c>
      <c r="O850" s="372" t="n">
        <v>0</v>
      </c>
      <c r="P850" s="373" t="n">
        <v>0</v>
      </c>
      <c r="Q850" s="358" t="n">
        <v>0</v>
      </c>
      <c r="R850" s="358" t="n">
        <v>0</v>
      </c>
      <c r="S850" s="372" t="n">
        <v>0</v>
      </c>
      <c r="T850" s="373" t="n">
        <v>0</v>
      </c>
      <c r="U850" s="358" t="n">
        <v>0</v>
      </c>
      <c r="V850" s="358" t="n">
        <v>0</v>
      </c>
      <c r="W850" s="372" t="n">
        <v>0</v>
      </c>
      <c r="X850" s="373" t="n">
        <v>0</v>
      </c>
      <c r="Y850" s="358" t="n">
        <v>0</v>
      </c>
      <c r="Z850" s="358" t="n">
        <v>0</v>
      </c>
      <c r="AA850" s="358" t="n">
        <v>0</v>
      </c>
      <c r="AB850" s="373" t="n">
        <v>0</v>
      </c>
      <c r="AC850" s="358" t="n">
        <v>0</v>
      </c>
      <c r="AD850" s="358" t="n">
        <v>0</v>
      </c>
      <c r="AE850" s="358" t="n">
        <v>0</v>
      </c>
      <c r="AF850" s="359" t="n">
        <v>1</v>
      </c>
    </row>
    <row r="851" customFormat="false" ht="15" hidden="true" customHeight="false" outlineLevel="0" collapsed="false">
      <c r="B851" s="360" t="s">
        <v>3318</v>
      </c>
      <c r="C851" s="359" t="n">
        <v>1</v>
      </c>
      <c r="D851" s="358" t="n">
        <v>0</v>
      </c>
      <c r="E851" s="358" t="n">
        <v>0</v>
      </c>
      <c r="F851" s="358" t="n">
        <v>0</v>
      </c>
      <c r="G851" s="372" t="n">
        <v>0</v>
      </c>
      <c r="H851" s="373" t="n">
        <v>0</v>
      </c>
      <c r="I851" s="358" t="n">
        <v>0</v>
      </c>
      <c r="J851" s="358" t="n">
        <v>0</v>
      </c>
      <c r="K851" s="372" t="n">
        <v>0</v>
      </c>
      <c r="L851" s="373" t="n">
        <v>0</v>
      </c>
      <c r="M851" s="358" t="n">
        <v>0</v>
      </c>
      <c r="N851" s="358" t="n">
        <v>0</v>
      </c>
      <c r="O851" s="372" t="n">
        <v>0</v>
      </c>
      <c r="P851" s="373" t="n">
        <v>0</v>
      </c>
      <c r="Q851" s="358" t="n">
        <v>0</v>
      </c>
      <c r="R851" s="358" t="n">
        <v>0</v>
      </c>
      <c r="S851" s="372" t="n">
        <v>0</v>
      </c>
      <c r="T851" s="373" t="n">
        <v>0</v>
      </c>
      <c r="U851" s="358" t="n">
        <v>0</v>
      </c>
      <c r="V851" s="358" t="n">
        <v>0</v>
      </c>
      <c r="W851" s="372" t="n">
        <v>0</v>
      </c>
      <c r="X851" s="373" t="n">
        <v>0</v>
      </c>
      <c r="Y851" s="358" t="n">
        <v>0</v>
      </c>
      <c r="Z851" s="358" t="n">
        <v>0</v>
      </c>
      <c r="AA851" s="358" t="n">
        <v>0</v>
      </c>
      <c r="AB851" s="373" t="n">
        <v>0</v>
      </c>
      <c r="AC851" s="358" t="n">
        <v>0</v>
      </c>
      <c r="AD851" s="358" t="n">
        <v>0</v>
      </c>
      <c r="AE851" s="358" t="n">
        <v>0</v>
      </c>
      <c r="AF851" s="359" t="n">
        <v>1</v>
      </c>
    </row>
    <row r="852" customFormat="false" ht="15" hidden="true" customHeight="false" outlineLevel="0" collapsed="false">
      <c r="B852" s="360" t="s">
        <v>3319</v>
      </c>
      <c r="C852" s="359" t="n">
        <v>1</v>
      </c>
      <c r="D852" s="358" t="n">
        <v>0</v>
      </c>
      <c r="E852" s="358" t="n">
        <v>0</v>
      </c>
      <c r="F852" s="358" t="n">
        <v>0</v>
      </c>
      <c r="G852" s="372" t="n">
        <v>0</v>
      </c>
      <c r="H852" s="373" t="n">
        <v>0</v>
      </c>
      <c r="I852" s="358" t="n">
        <v>0</v>
      </c>
      <c r="J852" s="358" t="n">
        <v>0</v>
      </c>
      <c r="K852" s="372" t="n">
        <v>0</v>
      </c>
      <c r="L852" s="373" t="n">
        <v>0</v>
      </c>
      <c r="M852" s="358" t="n">
        <v>0</v>
      </c>
      <c r="N852" s="358" t="n">
        <v>0</v>
      </c>
      <c r="O852" s="372" t="n">
        <v>0</v>
      </c>
      <c r="P852" s="373" t="n">
        <v>0</v>
      </c>
      <c r="Q852" s="358" t="n">
        <v>0</v>
      </c>
      <c r="R852" s="358" t="n">
        <v>0</v>
      </c>
      <c r="S852" s="372" t="n">
        <v>0</v>
      </c>
      <c r="T852" s="373" t="n">
        <v>0</v>
      </c>
      <c r="U852" s="358" t="n">
        <v>0</v>
      </c>
      <c r="V852" s="358" t="n">
        <v>0</v>
      </c>
      <c r="W852" s="372" t="n">
        <v>0</v>
      </c>
      <c r="X852" s="373" t="n">
        <v>0</v>
      </c>
      <c r="Y852" s="358" t="n">
        <v>0</v>
      </c>
      <c r="Z852" s="358" t="n">
        <v>0</v>
      </c>
      <c r="AA852" s="358" t="n">
        <v>0</v>
      </c>
      <c r="AB852" s="373" t="n">
        <v>0</v>
      </c>
      <c r="AC852" s="358" t="n">
        <v>0</v>
      </c>
      <c r="AD852" s="358" t="n">
        <v>0</v>
      </c>
      <c r="AE852" s="358" t="n">
        <v>0</v>
      </c>
      <c r="AF852" s="359" t="n">
        <v>1</v>
      </c>
    </row>
    <row r="853" customFormat="false" ht="15" hidden="true" customHeight="false" outlineLevel="0" collapsed="false">
      <c r="B853" s="360" t="s">
        <v>3320</v>
      </c>
      <c r="C853" s="359" t="n">
        <v>1</v>
      </c>
      <c r="D853" s="358" t="n">
        <v>0</v>
      </c>
      <c r="E853" s="358" t="n">
        <v>0</v>
      </c>
      <c r="F853" s="358" t="n">
        <v>0</v>
      </c>
      <c r="G853" s="372" t="n">
        <v>0</v>
      </c>
      <c r="H853" s="373" t="n">
        <v>0</v>
      </c>
      <c r="I853" s="358" t="n">
        <v>0</v>
      </c>
      <c r="J853" s="358" t="n">
        <v>0</v>
      </c>
      <c r="K853" s="372" t="n">
        <v>0</v>
      </c>
      <c r="L853" s="373" t="n">
        <v>0</v>
      </c>
      <c r="M853" s="358" t="n">
        <v>0</v>
      </c>
      <c r="N853" s="358" t="n">
        <v>0</v>
      </c>
      <c r="O853" s="372" t="n">
        <v>0</v>
      </c>
      <c r="P853" s="373" t="n">
        <v>0</v>
      </c>
      <c r="Q853" s="358" t="n">
        <v>0</v>
      </c>
      <c r="R853" s="358" t="n">
        <v>0</v>
      </c>
      <c r="S853" s="372" t="n">
        <v>0</v>
      </c>
      <c r="T853" s="373" t="n">
        <v>0</v>
      </c>
      <c r="U853" s="358" t="n">
        <v>0</v>
      </c>
      <c r="V853" s="358" t="n">
        <v>0</v>
      </c>
      <c r="W853" s="372" t="n">
        <v>0</v>
      </c>
      <c r="X853" s="373" t="n">
        <v>0</v>
      </c>
      <c r="Y853" s="358" t="n">
        <v>0</v>
      </c>
      <c r="Z853" s="358" t="n">
        <v>0</v>
      </c>
      <c r="AA853" s="358" t="n">
        <v>0</v>
      </c>
      <c r="AB853" s="373" t="n">
        <v>0</v>
      </c>
      <c r="AC853" s="358" t="n">
        <v>0</v>
      </c>
      <c r="AD853" s="358" t="n">
        <v>0</v>
      </c>
      <c r="AE853" s="358" t="n">
        <v>0</v>
      </c>
      <c r="AF853" s="359" t="n">
        <v>1</v>
      </c>
    </row>
    <row r="854" customFormat="false" ht="15" hidden="true" customHeight="false" outlineLevel="0" collapsed="false">
      <c r="B854" s="360" t="s">
        <v>3321</v>
      </c>
      <c r="C854" s="359" t="n">
        <v>1</v>
      </c>
      <c r="D854" s="358" t="n">
        <v>0</v>
      </c>
      <c r="E854" s="358" t="n">
        <v>0</v>
      </c>
      <c r="F854" s="358" t="n">
        <v>0</v>
      </c>
      <c r="G854" s="372" t="n">
        <v>0</v>
      </c>
      <c r="H854" s="373" t="n">
        <v>0</v>
      </c>
      <c r="I854" s="358" t="n">
        <v>0</v>
      </c>
      <c r="J854" s="358" t="n">
        <v>0</v>
      </c>
      <c r="K854" s="372" t="n">
        <v>0</v>
      </c>
      <c r="L854" s="373" t="n">
        <v>0</v>
      </c>
      <c r="M854" s="358" t="n">
        <v>0</v>
      </c>
      <c r="N854" s="358" t="n">
        <v>0</v>
      </c>
      <c r="O854" s="372" t="n">
        <v>0</v>
      </c>
      <c r="P854" s="373" t="n">
        <v>0</v>
      </c>
      <c r="Q854" s="358" t="n">
        <v>0</v>
      </c>
      <c r="R854" s="358" t="n">
        <v>0</v>
      </c>
      <c r="S854" s="372" t="n">
        <v>0</v>
      </c>
      <c r="T854" s="373" t="n">
        <v>0</v>
      </c>
      <c r="U854" s="358" t="n">
        <v>0</v>
      </c>
      <c r="V854" s="358" t="n">
        <v>0</v>
      </c>
      <c r="W854" s="372" t="n">
        <v>0</v>
      </c>
      <c r="X854" s="373" t="n">
        <v>0</v>
      </c>
      <c r="Y854" s="358" t="n">
        <v>0</v>
      </c>
      <c r="Z854" s="358" t="n">
        <v>0</v>
      </c>
      <c r="AA854" s="358" t="n">
        <v>0</v>
      </c>
      <c r="AB854" s="373" t="n">
        <v>0</v>
      </c>
      <c r="AC854" s="358" t="n">
        <v>0</v>
      </c>
      <c r="AD854" s="358" t="n">
        <v>0</v>
      </c>
      <c r="AE854" s="358" t="n">
        <v>0</v>
      </c>
      <c r="AF854" s="359" t="n">
        <v>1</v>
      </c>
    </row>
    <row r="855" customFormat="false" ht="15" hidden="true" customHeight="false" outlineLevel="0" collapsed="false">
      <c r="B855" s="360" t="s">
        <v>3322</v>
      </c>
      <c r="C855" s="359" t="n">
        <v>1</v>
      </c>
      <c r="D855" s="358" t="n">
        <v>0</v>
      </c>
      <c r="E855" s="358" t="n">
        <v>0</v>
      </c>
      <c r="F855" s="358" t="n">
        <v>0</v>
      </c>
      <c r="G855" s="372" t="n">
        <v>0</v>
      </c>
      <c r="H855" s="373" t="n">
        <v>0</v>
      </c>
      <c r="I855" s="358" t="n">
        <v>0</v>
      </c>
      <c r="J855" s="358" t="n">
        <v>0</v>
      </c>
      <c r="K855" s="372" t="n">
        <v>0</v>
      </c>
      <c r="L855" s="373" t="n">
        <v>0</v>
      </c>
      <c r="M855" s="358" t="n">
        <v>0</v>
      </c>
      <c r="N855" s="358" t="n">
        <v>0</v>
      </c>
      <c r="O855" s="372" t="n">
        <v>0</v>
      </c>
      <c r="P855" s="373" t="n">
        <v>0</v>
      </c>
      <c r="Q855" s="358" t="n">
        <v>0</v>
      </c>
      <c r="R855" s="358" t="n">
        <v>0</v>
      </c>
      <c r="S855" s="372" t="n">
        <v>0</v>
      </c>
      <c r="T855" s="373" t="n">
        <v>0</v>
      </c>
      <c r="U855" s="358" t="n">
        <v>0</v>
      </c>
      <c r="V855" s="358" t="n">
        <v>0</v>
      </c>
      <c r="W855" s="372" t="n">
        <v>0</v>
      </c>
      <c r="X855" s="373" t="n">
        <v>0</v>
      </c>
      <c r="Y855" s="358" t="n">
        <v>0</v>
      </c>
      <c r="Z855" s="358" t="n">
        <v>0</v>
      </c>
      <c r="AA855" s="358" t="n">
        <v>0</v>
      </c>
      <c r="AB855" s="373" t="n">
        <v>0</v>
      </c>
      <c r="AC855" s="358" t="n">
        <v>0</v>
      </c>
      <c r="AD855" s="358" t="n">
        <v>0</v>
      </c>
      <c r="AE855" s="358" t="n">
        <v>0</v>
      </c>
      <c r="AF855" s="359" t="n">
        <v>1</v>
      </c>
    </row>
    <row r="856" customFormat="false" ht="15" hidden="true" customHeight="false" outlineLevel="0" collapsed="false">
      <c r="B856" s="360" t="s">
        <v>3323</v>
      </c>
      <c r="C856" s="359" t="n">
        <v>1</v>
      </c>
      <c r="D856" s="358" t="n">
        <v>0</v>
      </c>
      <c r="E856" s="358" t="n">
        <v>0</v>
      </c>
      <c r="F856" s="358" t="n">
        <v>0</v>
      </c>
      <c r="G856" s="372" t="n">
        <v>0</v>
      </c>
      <c r="H856" s="373" t="n">
        <v>0</v>
      </c>
      <c r="I856" s="358" t="n">
        <v>0</v>
      </c>
      <c r="J856" s="358" t="n">
        <v>0</v>
      </c>
      <c r="K856" s="372" t="n">
        <v>0</v>
      </c>
      <c r="L856" s="373" t="n">
        <v>0</v>
      </c>
      <c r="M856" s="358" t="n">
        <v>0</v>
      </c>
      <c r="N856" s="358" t="n">
        <v>0</v>
      </c>
      <c r="O856" s="372" t="n">
        <v>0</v>
      </c>
      <c r="P856" s="373" t="n">
        <v>0</v>
      </c>
      <c r="Q856" s="358" t="n">
        <v>0</v>
      </c>
      <c r="R856" s="358" t="n">
        <v>0</v>
      </c>
      <c r="S856" s="372" t="n">
        <v>0</v>
      </c>
      <c r="T856" s="373" t="n">
        <v>0</v>
      </c>
      <c r="U856" s="358" t="n">
        <v>0</v>
      </c>
      <c r="V856" s="358" t="n">
        <v>0</v>
      </c>
      <c r="W856" s="372" t="n">
        <v>0</v>
      </c>
      <c r="X856" s="373" t="n">
        <v>0</v>
      </c>
      <c r="Y856" s="358" t="n">
        <v>0</v>
      </c>
      <c r="Z856" s="358" t="n">
        <v>0</v>
      </c>
      <c r="AA856" s="358" t="n">
        <v>0</v>
      </c>
      <c r="AB856" s="373" t="n">
        <v>0</v>
      </c>
      <c r="AC856" s="358" t="n">
        <v>0</v>
      </c>
      <c r="AD856" s="358" t="n">
        <v>0</v>
      </c>
      <c r="AE856" s="358" t="n">
        <v>0</v>
      </c>
      <c r="AF856" s="359" t="n">
        <v>1</v>
      </c>
    </row>
    <row r="857" customFormat="false" ht="15" hidden="true" customHeight="false" outlineLevel="0" collapsed="false">
      <c r="B857" s="360" t="s">
        <v>3324</v>
      </c>
      <c r="C857" s="359" t="n">
        <v>1</v>
      </c>
      <c r="D857" s="358" t="n">
        <v>0</v>
      </c>
      <c r="E857" s="358" t="n">
        <v>0</v>
      </c>
      <c r="F857" s="358" t="n">
        <v>0</v>
      </c>
      <c r="G857" s="372" t="n">
        <v>0</v>
      </c>
      <c r="H857" s="373" t="n">
        <v>0</v>
      </c>
      <c r="I857" s="358" t="n">
        <v>0</v>
      </c>
      <c r="J857" s="358" t="n">
        <v>0</v>
      </c>
      <c r="K857" s="372" t="n">
        <v>0</v>
      </c>
      <c r="L857" s="373" t="n">
        <v>0</v>
      </c>
      <c r="M857" s="358" t="n">
        <v>0</v>
      </c>
      <c r="N857" s="358" t="n">
        <v>0</v>
      </c>
      <c r="O857" s="372" t="n">
        <v>0</v>
      </c>
      <c r="P857" s="373" t="n">
        <v>0</v>
      </c>
      <c r="Q857" s="358" t="n">
        <v>0</v>
      </c>
      <c r="R857" s="358" t="n">
        <v>0</v>
      </c>
      <c r="S857" s="372" t="n">
        <v>0</v>
      </c>
      <c r="T857" s="373" t="n">
        <v>0</v>
      </c>
      <c r="U857" s="358" t="n">
        <v>0</v>
      </c>
      <c r="V857" s="358" t="n">
        <v>0</v>
      </c>
      <c r="W857" s="372" t="n">
        <v>0</v>
      </c>
      <c r="X857" s="373" t="n">
        <v>0</v>
      </c>
      <c r="Y857" s="358" t="n">
        <v>0</v>
      </c>
      <c r="Z857" s="358" t="n">
        <v>0</v>
      </c>
      <c r="AA857" s="358" t="n">
        <v>0</v>
      </c>
      <c r="AB857" s="373" t="n">
        <v>0</v>
      </c>
      <c r="AC857" s="358" t="n">
        <v>0</v>
      </c>
      <c r="AD857" s="358" t="n">
        <v>0</v>
      </c>
      <c r="AE857" s="358" t="n">
        <v>0</v>
      </c>
      <c r="AF857" s="359" t="n">
        <v>1</v>
      </c>
    </row>
    <row r="858" customFormat="false" ht="15" hidden="true" customHeight="false" outlineLevel="0" collapsed="false">
      <c r="B858" s="360" t="s">
        <v>3325</v>
      </c>
      <c r="C858" s="359" t="n">
        <v>1</v>
      </c>
      <c r="D858" s="358" t="n">
        <v>0</v>
      </c>
      <c r="E858" s="358" t="n">
        <v>0</v>
      </c>
      <c r="F858" s="358" t="n">
        <v>0</v>
      </c>
      <c r="G858" s="372" t="n">
        <v>0</v>
      </c>
      <c r="H858" s="373" t="n">
        <v>0</v>
      </c>
      <c r="I858" s="358" t="n">
        <v>0</v>
      </c>
      <c r="J858" s="358" t="n">
        <v>0</v>
      </c>
      <c r="K858" s="372" t="n">
        <v>0</v>
      </c>
      <c r="L858" s="373" t="n">
        <v>0</v>
      </c>
      <c r="M858" s="358" t="n">
        <v>0</v>
      </c>
      <c r="N858" s="358" t="n">
        <v>0</v>
      </c>
      <c r="O858" s="372" t="n">
        <v>0</v>
      </c>
      <c r="P858" s="373" t="n">
        <v>0</v>
      </c>
      <c r="Q858" s="358" t="n">
        <v>0</v>
      </c>
      <c r="R858" s="358" t="n">
        <v>0</v>
      </c>
      <c r="S858" s="372" t="n">
        <v>0</v>
      </c>
      <c r="T858" s="373" t="n">
        <v>0</v>
      </c>
      <c r="U858" s="358" t="n">
        <v>0</v>
      </c>
      <c r="V858" s="358" t="n">
        <v>0</v>
      </c>
      <c r="W858" s="372" t="n">
        <v>0</v>
      </c>
      <c r="X858" s="373" t="n">
        <v>0</v>
      </c>
      <c r="Y858" s="358" t="n">
        <v>0</v>
      </c>
      <c r="Z858" s="358" t="n">
        <v>0</v>
      </c>
      <c r="AA858" s="358" t="n">
        <v>0</v>
      </c>
      <c r="AB858" s="373" t="n">
        <v>0</v>
      </c>
      <c r="AC858" s="358" t="n">
        <v>0</v>
      </c>
      <c r="AD858" s="358" t="n">
        <v>0</v>
      </c>
      <c r="AE858" s="358" t="n">
        <v>0</v>
      </c>
      <c r="AF858" s="359" t="n">
        <v>1</v>
      </c>
    </row>
    <row r="859" customFormat="false" ht="15" hidden="true" customHeight="false" outlineLevel="0" collapsed="false">
      <c r="B859" s="360" t="s">
        <v>3326</v>
      </c>
      <c r="C859" s="359" t="n">
        <v>1</v>
      </c>
      <c r="D859" s="358" t="n">
        <v>0</v>
      </c>
      <c r="E859" s="358" t="n">
        <v>0</v>
      </c>
      <c r="F859" s="358" t="n">
        <v>0</v>
      </c>
      <c r="G859" s="372" t="n">
        <v>0</v>
      </c>
      <c r="H859" s="373" t="n">
        <v>0</v>
      </c>
      <c r="I859" s="358" t="n">
        <v>0</v>
      </c>
      <c r="J859" s="358" t="n">
        <v>0</v>
      </c>
      <c r="K859" s="372" t="n">
        <v>0</v>
      </c>
      <c r="L859" s="373" t="n">
        <v>0</v>
      </c>
      <c r="M859" s="358" t="n">
        <v>0</v>
      </c>
      <c r="N859" s="358" t="n">
        <v>0</v>
      </c>
      <c r="O859" s="372" t="n">
        <v>0</v>
      </c>
      <c r="P859" s="373" t="n">
        <v>0</v>
      </c>
      <c r="Q859" s="358" t="n">
        <v>0</v>
      </c>
      <c r="R859" s="358" t="n">
        <v>0</v>
      </c>
      <c r="S859" s="372" t="n">
        <v>0</v>
      </c>
      <c r="T859" s="373" t="n">
        <v>0</v>
      </c>
      <c r="U859" s="358" t="n">
        <v>0</v>
      </c>
      <c r="V859" s="358" t="n">
        <v>0</v>
      </c>
      <c r="W859" s="372" t="n">
        <v>0</v>
      </c>
      <c r="X859" s="373" t="n">
        <v>0</v>
      </c>
      <c r="Y859" s="358" t="n">
        <v>0</v>
      </c>
      <c r="Z859" s="358" t="n">
        <v>0</v>
      </c>
      <c r="AA859" s="358" t="n">
        <v>0</v>
      </c>
      <c r="AB859" s="373" t="n">
        <v>0</v>
      </c>
      <c r="AC859" s="358" t="n">
        <v>0</v>
      </c>
      <c r="AD859" s="358" t="n">
        <v>0</v>
      </c>
      <c r="AE859" s="358" t="n">
        <v>0</v>
      </c>
      <c r="AF859" s="359" t="n">
        <v>1</v>
      </c>
    </row>
    <row r="860" customFormat="false" ht="15" hidden="true" customHeight="false" outlineLevel="0" collapsed="false">
      <c r="B860" s="360" t="s">
        <v>3327</v>
      </c>
      <c r="C860" s="359" t="n">
        <v>1</v>
      </c>
      <c r="D860" s="358" t="n">
        <v>0</v>
      </c>
      <c r="E860" s="358" t="n">
        <v>0</v>
      </c>
      <c r="F860" s="358" t="n">
        <v>0</v>
      </c>
      <c r="G860" s="372" t="n">
        <v>0</v>
      </c>
      <c r="H860" s="373" t="n">
        <v>0</v>
      </c>
      <c r="I860" s="358" t="n">
        <v>0</v>
      </c>
      <c r="J860" s="358" t="n">
        <v>0</v>
      </c>
      <c r="K860" s="372" t="n">
        <v>0</v>
      </c>
      <c r="L860" s="373" t="n">
        <v>0</v>
      </c>
      <c r="M860" s="358" t="n">
        <v>0</v>
      </c>
      <c r="N860" s="358" t="n">
        <v>0</v>
      </c>
      <c r="O860" s="372" t="n">
        <v>0</v>
      </c>
      <c r="P860" s="373" t="n">
        <v>0</v>
      </c>
      <c r="Q860" s="358" t="n">
        <v>0</v>
      </c>
      <c r="R860" s="358" t="n">
        <v>0</v>
      </c>
      <c r="S860" s="372" t="n">
        <v>0</v>
      </c>
      <c r="T860" s="373" t="n">
        <v>0</v>
      </c>
      <c r="U860" s="358" t="n">
        <v>0</v>
      </c>
      <c r="V860" s="358" t="n">
        <v>0</v>
      </c>
      <c r="W860" s="372" t="n">
        <v>0</v>
      </c>
      <c r="X860" s="373" t="n">
        <v>0</v>
      </c>
      <c r="Y860" s="358" t="n">
        <v>0</v>
      </c>
      <c r="Z860" s="358" t="n">
        <v>0</v>
      </c>
      <c r="AA860" s="358" t="n">
        <v>0</v>
      </c>
      <c r="AB860" s="373" t="n">
        <v>0</v>
      </c>
      <c r="AC860" s="358" t="n">
        <v>0</v>
      </c>
      <c r="AD860" s="358" t="n">
        <v>0</v>
      </c>
      <c r="AE860" s="358" t="n">
        <v>0</v>
      </c>
      <c r="AF860" s="359" t="n">
        <v>1</v>
      </c>
    </row>
    <row r="861" customFormat="false" ht="15" hidden="true" customHeight="false" outlineLevel="0" collapsed="false">
      <c r="B861" s="360" t="s">
        <v>3328</v>
      </c>
      <c r="C861" s="359" t="n">
        <v>1</v>
      </c>
      <c r="D861" s="358" t="n">
        <v>0</v>
      </c>
      <c r="E861" s="358" t="n">
        <v>0</v>
      </c>
      <c r="F861" s="358" t="n">
        <v>0</v>
      </c>
      <c r="G861" s="372" t="n">
        <v>0</v>
      </c>
      <c r="H861" s="373" t="n">
        <v>0</v>
      </c>
      <c r="I861" s="358" t="n">
        <v>0</v>
      </c>
      <c r="J861" s="358" t="n">
        <v>0</v>
      </c>
      <c r="K861" s="372" t="n">
        <v>0</v>
      </c>
      <c r="L861" s="373" t="n">
        <v>0</v>
      </c>
      <c r="M861" s="358" t="n">
        <v>0</v>
      </c>
      <c r="N861" s="358" t="n">
        <v>0</v>
      </c>
      <c r="O861" s="372" t="n">
        <v>0</v>
      </c>
      <c r="P861" s="373" t="n">
        <v>0</v>
      </c>
      <c r="Q861" s="358" t="n">
        <v>0</v>
      </c>
      <c r="R861" s="358" t="n">
        <v>0</v>
      </c>
      <c r="S861" s="372" t="n">
        <v>0</v>
      </c>
      <c r="T861" s="373" t="n">
        <v>0</v>
      </c>
      <c r="U861" s="358" t="n">
        <v>0</v>
      </c>
      <c r="V861" s="358" t="n">
        <v>0</v>
      </c>
      <c r="W861" s="372" t="n">
        <v>0</v>
      </c>
      <c r="X861" s="373" t="n">
        <v>0</v>
      </c>
      <c r="Y861" s="358" t="n">
        <v>0</v>
      </c>
      <c r="Z861" s="358" t="n">
        <v>0</v>
      </c>
      <c r="AA861" s="358" t="n">
        <v>0</v>
      </c>
      <c r="AB861" s="373" t="n">
        <v>0</v>
      </c>
      <c r="AC861" s="358" t="n">
        <v>0</v>
      </c>
      <c r="AD861" s="358" t="n">
        <v>0</v>
      </c>
      <c r="AE861" s="358" t="n">
        <v>0</v>
      </c>
      <c r="AF861" s="359" t="n">
        <v>1</v>
      </c>
    </row>
    <row r="862" customFormat="false" ht="15" hidden="true" customHeight="false" outlineLevel="0" collapsed="false">
      <c r="B862" s="360" t="s">
        <v>3329</v>
      </c>
      <c r="C862" s="359" t="n">
        <v>1</v>
      </c>
      <c r="D862" s="358" t="n">
        <v>0</v>
      </c>
      <c r="E862" s="358" t="n">
        <v>0</v>
      </c>
      <c r="F862" s="358" t="n">
        <v>0</v>
      </c>
      <c r="G862" s="372" t="n">
        <v>0</v>
      </c>
      <c r="H862" s="373" t="n">
        <v>0</v>
      </c>
      <c r="I862" s="358" t="n">
        <v>0</v>
      </c>
      <c r="J862" s="358" t="n">
        <v>0</v>
      </c>
      <c r="K862" s="372" t="n">
        <v>0</v>
      </c>
      <c r="L862" s="373" t="n">
        <v>0</v>
      </c>
      <c r="M862" s="358" t="n">
        <v>0</v>
      </c>
      <c r="N862" s="358" t="n">
        <v>0</v>
      </c>
      <c r="O862" s="372" t="n">
        <v>0</v>
      </c>
      <c r="P862" s="373" t="n">
        <v>0</v>
      </c>
      <c r="Q862" s="358" t="n">
        <v>0</v>
      </c>
      <c r="R862" s="358" t="n">
        <v>0</v>
      </c>
      <c r="S862" s="372" t="n">
        <v>0</v>
      </c>
      <c r="T862" s="373" t="n">
        <v>0</v>
      </c>
      <c r="U862" s="358" t="n">
        <v>0</v>
      </c>
      <c r="V862" s="358" t="n">
        <v>0</v>
      </c>
      <c r="W862" s="372" t="n">
        <v>0</v>
      </c>
      <c r="X862" s="373" t="n">
        <v>0</v>
      </c>
      <c r="Y862" s="358" t="n">
        <v>0</v>
      </c>
      <c r="Z862" s="358" t="n">
        <v>0</v>
      </c>
      <c r="AA862" s="358" t="n">
        <v>0</v>
      </c>
      <c r="AB862" s="373" t="n">
        <v>0</v>
      </c>
      <c r="AC862" s="358" t="n">
        <v>0</v>
      </c>
      <c r="AD862" s="358" t="n">
        <v>0</v>
      </c>
      <c r="AE862" s="358" t="n">
        <v>0</v>
      </c>
      <c r="AF862" s="359" t="n">
        <v>1</v>
      </c>
    </row>
    <row r="863" customFormat="false" ht="15" hidden="true" customHeight="false" outlineLevel="0" collapsed="false">
      <c r="B863" s="360" t="s">
        <v>3330</v>
      </c>
      <c r="C863" s="359" t="n">
        <v>1</v>
      </c>
      <c r="D863" s="358" t="n">
        <v>0</v>
      </c>
      <c r="E863" s="358" t="n">
        <v>0</v>
      </c>
      <c r="F863" s="358" t="n">
        <v>0</v>
      </c>
      <c r="G863" s="372" t="n">
        <v>0</v>
      </c>
      <c r="H863" s="373" t="n">
        <v>0</v>
      </c>
      <c r="I863" s="358" t="n">
        <v>0</v>
      </c>
      <c r="J863" s="358" t="n">
        <v>0</v>
      </c>
      <c r="K863" s="372" t="n">
        <v>0</v>
      </c>
      <c r="L863" s="373" t="n">
        <v>0</v>
      </c>
      <c r="M863" s="358" t="n">
        <v>0</v>
      </c>
      <c r="N863" s="358" t="n">
        <v>0</v>
      </c>
      <c r="O863" s="372" t="n">
        <v>0</v>
      </c>
      <c r="P863" s="373" t="n">
        <v>0</v>
      </c>
      <c r="Q863" s="358" t="n">
        <v>0</v>
      </c>
      <c r="R863" s="358" t="n">
        <v>0</v>
      </c>
      <c r="S863" s="372" t="n">
        <v>0</v>
      </c>
      <c r="T863" s="373" t="n">
        <v>0</v>
      </c>
      <c r="U863" s="358" t="n">
        <v>0</v>
      </c>
      <c r="V863" s="358" t="n">
        <v>0</v>
      </c>
      <c r="W863" s="372" t="n">
        <v>0</v>
      </c>
      <c r="X863" s="373" t="n">
        <v>0</v>
      </c>
      <c r="Y863" s="358" t="n">
        <v>0</v>
      </c>
      <c r="Z863" s="358" t="n">
        <v>0</v>
      </c>
      <c r="AA863" s="358" t="n">
        <v>0</v>
      </c>
      <c r="AB863" s="373" t="n">
        <v>0</v>
      </c>
      <c r="AC863" s="358" t="n">
        <v>0</v>
      </c>
      <c r="AD863" s="358" t="n">
        <v>0</v>
      </c>
      <c r="AE863" s="358" t="n">
        <v>0</v>
      </c>
      <c r="AF863" s="359" t="n">
        <v>1</v>
      </c>
    </row>
    <row r="864" customFormat="false" ht="15" hidden="true" customHeight="false" outlineLevel="0" collapsed="false">
      <c r="B864" s="360" t="s">
        <v>3331</v>
      </c>
      <c r="C864" s="359" t="n">
        <v>1</v>
      </c>
      <c r="D864" s="358" t="n">
        <v>0</v>
      </c>
      <c r="E864" s="358" t="n">
        <v>0</v>
      </c>
      <c r="F864" s="358" t="n">
        <v>0</v>
      </c>
      <c r="G864" s="372" t="n">
        <v>0</v>
      </c>
      <c r="H864" s="373" t="n">
        <v>0</v>
      </c>
      <c r="I864" s="358" t="n">
        <v>0</v>
      </c>
      <c r="J864" s="358" t="n">
        <v>0</v>
      </c>
      <c r="K864" s="372" t="n">
        <v>0</v>
      </c>
      <c r="L864" s="373" t="n">
        <v>0</v>
      </c>
      <c r="M864" s="358" t="n">
        <v>0</v>
      </c>
      <c r="N864" s="358" t="n">
        <v>0</v>
      </c>
      <c r="O864" s="372" t="n">
        <v>0</v>
      </c>
      <c r="P864" s="373" t="n">
        <v>0</v>
      </c>
      <c r="Q864" s="358" t="n">
        <v>0</v>
      </c>
      <c r="R864" s="358" t="n">
        <v>0</v>
      </c>
      <c r="S864" s="372" t="n">
        <v>0</v>
      </c>
      <c r="T864" s="373" t="n">
        <v>0</v>
      </c>
      <c r="U864" s="358" t="n">
        <v>0</v>
      </c>
      <c r="V864" s="358" t="n">
        <v>0</v>
      </c>
      <c r="W864" s="372" t="n">
        <v>0</v>
      </c>
      <c r="X864" s="373" t="n">
        <v>0</v>
      </c>
      <c r="Y864" s="358" t="n">
        <v>0</v>
      </c>
      <c r="Z864" s="358" t="n">
        <v>0</v>
      </c>
      <c r="AA864" s="358" t="n">
        <v>0</v>
      </c>
      <c r="AB864" s="373" t="n">
        <v>0</v>
      </c>
      <c r="AC864" s="358" t="n">
        <v>0</v>
      </c>
      <c r="AD864" s="358" t="n">
        <v>0</v>
      </c>
      <c r="AE864" s="358" t="n">
        <v>0</v>
      </c>
      <c r="AF864" s="359" t="n">
        <v>1</v>
      </c>
    </row>
    <row r="865" customFormat="false" ht="15" hidden="true" customHeight="false" outlineLevel="0" collapsed="false">
      <c r="B865" s="360" t="s">
        <v>3332</v>
      </c>
      <c r="C865" s="359" t="n">
        <v>1</v>
      </c>
      <c r="D865" s="358" t="n">
        <v>0</v>
      </c>
      <c r="E865" s="358" t="n">
        <v>0</v>
      </c>
      <c r="F865" s="358" t="n">
        <v>0</v>
      </c>
      <c r="G865" s="372" t="n">
        <v>0</v>
      </c>
      <c r="H865" s="373" t="n">
        <v>0</v>
      </c>
      <c r="I865" s="358" t="n">
        <v>0</v>
      </c>
      <c r="J865" s="358" t="n">
        <v>0</v>
      </c>
      <c r="K865" s="372" t="n">
        <v>0</v>
      </c>
      <c r="L865" s="373" t="n">
        <v>0</v>
      </c>
      <c r="M865" s="358" t="n">
        <v>0</v>
      </c>
      <c r="N865" s="358" t="n">
        <v>0</v>
      </c>
      <c r="O865" s="372" t="n">
        <v>0</v>
      </c>
      <c r="P865" s="373" t="n">
        <v>0</v>
      </c>
      <c r="Q865" s="358" t="n">
        <v>0</v>
      </c>
      <c r="R865" s="358" t="n">
        <v>0</v>
      </c>
      <c r="S865" s="372" t="n">
        <v>0</v>
      </c>
      <c r="T865" s="373" t="n">
        <v>0</v>
      </c>
      <c r="U865" s="358" t="n">
        <v>0</v>
      </c>
      <c r="V865" s="358" t="n">
        <v>0</v>
      </c>
      <c r="W865" s="372" t="n">
        <v>0</v>
      </c>
      <c r="X865" s="373" t="n">
        <v>0</v>
      </c>
      <c r="Y865" s="358" t="n">
        <v>0</v>
      </c>
      <c r="Z865" s="358" t="n">
        <v>0</v>
      </c>
      <c r="AA865" s="358" t="n">
        <v>0</v>
      </c>
      <c r="AB865" s="373" t="n">
        <v>0</v>
      </c>
      <c r="AC865" s="358" t="n">
        <v>0</v>
      </c>
      <c r="AD865" s="358" t="n">
        <v>0</v>
      </c>
      <c r="AE865" s="358" t="n">
        <v>0</v>
      </c>
      <c r="AF865" s="359" t="n">
        <v>1</v>
      </c>
    </row>
    <row r="866" customFormat="false" ht="15" hidden="true" customHeight="false" outlineLevel="0" collapsed="false">
      <c r="B866" s="360" t="s">
        <v>3333</v>
      </c>
      <c r="C866" s="359" t="n">
        <v>1</v>
      </c>
      <c r="D866" s="358" t="n">
        <v>0</v>
      </c>
      <c r="E866" s="358" t="n">
        <v>0</v>
      </c>
      <c r="F866" s="358" t="n">
        <v>0</v>
      </c>
      <c r="G866" s="372" t="n">
        <v>0</v>
      </c>
      <c r="H866" s="373" t="n">
        <v>0</v>
      </c>
      <c r="I866" s="358" t="n">
        <v>0</v>
      </c>
      <c r="J866" s="358" t="n">
        <v>0</v>
      </c>
      <c r="K866" s="372" t="n">
        <v>0</v>
      </c>
      <c r="L866" s="373" t="n">
        <v>0</v>
      </c>
      <c r="M866" s="358" t="n">
        <v>0</v>
      </c>
      <c r="N866" s="358" t="n">
        <v>0</v>
      </c>
      <c r="O866" s="372" t="n">
        <v>0</v>
      </c>
      <c r="P866" s="373" t="n">
        <v>0</v>
      </c>
      <c r="Q866" s="358" t="n">
        <v>0</v>
      </c>
      <c r="R866" s="358" t="n">
        <v>0</v>
      </c>
      <c r="S866" s="372" t="n">
        <v>0</v>
      </c>
      <c r="T866" s="373" t="n">
        <v>0</v>
      </c>
      <c r="U866" s="358" t="n">
        <v>0</v>
      </c>
      <c r="V866" s="358" t="n">
        <v>0</v>
      </c>
      <c r="W866" s="372" t="n">
        <v>0</v>
      </c>
      <c r="X866" s="373" t="n">
        <v>0</v>
      </c>
      <c r="Y866" s="358" t="n">
        <v>0</v>
      </c>
      <c r="Z866" s="358" t="n">
        <v>0</v>
      </c>
      <c r="AA866" s="358" t="n">
        <v>0</v>
      </c>
      <c r="AB866" s="373" t="n">
        <v>0</v>
      </c>
      <c r="AC866" s="358" t="n">
        <v>0</v>
      </c>
      <c r="AD866" s="358" t="n">
        <v>0</v>
      </c>
      <c r="AE866" s="358" t="n">
        <v>0</v>
      </c>
      <c r="AF866" s="359" t="n">
        <v>1</v>
      </c>
    </row>
    <row r="867" customFormat="false" ht="15" hidden="true" customHeight="false" outlineLevel="0" collapsed="false">
      <c r="B867" s="360" t="s">
        <v>3334</v>
      </c>
      <c r="C867" s="359" t="n">
        <v>1</v>
      </c>
      <c r="D867" s="358" t="n">
        <v>0</v>
      </c>
      <c r="E867" s="358" t="n">
        <v>0</v>
      </c>
      <c r="F867" s="358" t="n">
        <v>0</v>
      </c>
      <c r="G867" s="372" t="n">
        <v>0</v>
      </c>
      <c r="H867" s="373" t="n">
        <v>0</v>
      </c>
      <c r="I867" s="358" t="n">
        <v>0</v>
      </c>
      <c r="J867" s="358" t="n">
        <v>0</v>
      </c>
      <c r="K867" s="372" t="n">
        <v>0</v>
      </c>
      <c r="L867" s="373" t="n">
        <v>0</v>
      </c>
      <c r="M867" s="358" t="n">
        <v>0</v>
      </c>
      <c r="N867" s="358" t="n">
        <v>0</v>
      </c>
      <c r="O867" s="372" t="n">
        <v>0</v>
      </c>
      <c r="P867" s="373" t="n">
        <v>0</v>
      </c>
      <c r="Q867" s="358" t="n">
        <v>0</v>
      </c>
      <c r="R867" s="358" t="n">
        <v>0</v>
      </c>
      <c r="S867" s="372" t="n">
        <v>0</v>
      </c>
      <c r="T867" s="373" t="n">
        <v>0</v>
      </c>
      <c r="U867" s="358" t="n">
        <v>0</v>
      </c>
      <c r="V867" s="358" t="n">
        <v>0</v>
      </c>
      <c r="W867" s="372" t="n">
        <v>0</v>
      </c>
      <c r="X867" s="373" t="n">
        <v>0</v>
      </c>
      <c r="Y867" s="358" t="n">
        <v>0</v>
      </c>
      <c r="Z867" s="358" t="n">
        <v>0</v>
      </c>
      <c r="AA867" s="358" t="n">
        <v>0</v>
      </c>
      <c r="AB867" s="373" t="n">
        <v>0</v>
      </c>
      <c r="AC867" s="358" t="n">
        <v>0</v>
      </c>
      <c r="AD867" s="358" t="n">
        <v>0</v>
      </c>
      <c r="AE867" s="358" t="n">
        <v>0</v>
      </c>
      <c r="AF867" s="359" t="n">
        <v>1</v>
      </c>
    </row>
    <row r="868" customFormat="false" ht="15" hidden="true" customHeight="false" outlineLevel="0" collapsed="false">
      <c r="B868" s="360" t="s">
        <v>3335</v>
      </c>
      <c r="C868" s="359" t="n">
        <v>1</v>
      </c>
      <c r="D868" s="358" t="n">
        <v>0</v>
      </c>
      <c r="E868" s="358" t="n">
        <v>0</v>
      </c>
      <c r="F868" s="358" t="n">
        <v>0</v>
      </c>
      <c r="G868" s="372" t="n">
        <v>0</v>
      </c>
      <c r="H868" s="373" t="n">
        <v>0</v>
      </c>
      <c r="I868" s="358" t="n">
        <v>0</v>
      </c>
      <c r="J868" s="358" t="n">
        <v>0</v>
      </c>
      <c r="K868" s="372" t="n">
        <v>0</v>
      </c>
      <c r="L868" s="373" t="n">
        <v>0</v>
      </c>
      <c r="M868" s="358" t="n">
        <v>0</v>
      </c>
      <c r="N868" s="358" t="n">
        <v>0</v>
      </c>
      <c r="O868" s="372" t="n">
        <v>0</v>
      </c>
      <c r="P868" s="373" t="n">
        <v>0</v>
      </c>
      <c r="Q868" s="358" t="n">
        <v>0</v>
      </c>
      <c r="R868" s="358" t="n">
        <v>0</v>
      </c>
      <c r="S868" s="372" t="n">
        <v>0</v>
      </c>
      <c r="T868" s="373" t="n">
        <v>0</v>
      </c>
      <c r="U868" s="358" t="n">
        <v>0</v>
      </c>
      <c r="V868" s="358" t="n">
        <v>0</v>
      </c>
      <c r="W868" s="372" t="n">
        <v>0</v>
      </c>
      <c r="X868" s="373" t="n">
        <v>0</v>
      </c>
      <c r="Y868" s="358" t="n">
        <v>0</v>
      </c>
      <c r="Z868" s="358" t="n">
        <v>0</v>
      </c>
      <c r="AA868" s="358" t="n">
        <v>0</v>
      </c>
      <c r="AB868" s="373" t="n">
        <v>0</v>
      </c>
      <c r="AC868" s="358" t="n">
        <v>0</v>
      </c>
      <c r="AD868" s="358" t="n">
        <v>0</v>
      </c>
      <c r="AE868" s="358" t="n">
        <v>0</v>
      </c>
      <c r="AF868" s="359" t="n">
        <v>1</v>
      </c>
    </row>
    <row r="869" customFormat="false" ht="15" hidden="true" customHeight="false" outlineLevel="0" collapsed="false">
      <c r="B869" s="360" t="s">
        <v>3336</v>
      </c>
      <c r="C869" s="359" t="n">
        <v>1</v>
      </c>
      <c r="D869" s="358" t="n">
        <v>0</v>
      </c>
      <c r="E869" s="358" t="n">
        <v>0</v>
      </c>
      <c r="F869" s="358" t="n">
        <v>0</v>
      </c>
      <c r="G869" s="372" t="n">
        <v>0</v>
      </c>
      <c r="H869" s="373" t="n">
        <v>0</v>
      </c>
      <c r="I869" s="358" t="n">
        <v>0</v>
      </c>
      <c r="J869" s="358" t="n">
        <v>0</v>
      </c>
      <c r="K869" s="372" t="n">
        <v>0</v>
      </c>
      <c r="L869" s="373" t="n">
        <v>0</v>
      </c>
      <c r="M869" s="358" t="n">
        <v>0</v>
      </c>
      <c r="N869" s="358" t="n">
        <v>0</v>
      </c>
      <c r="O869" s="372" t="n">
        <v>0</v>
      </c>
      <c r="P869" s="373" t="n">
        <v>0</v>
      </c>
      <c r="Q869" s="358" t="n">
        <v>0</v>
      </c>
      <c r="R869" s="358" t="n">
        <v>0</v>
      </c>
      <c r="S869" s="372" t="n">
        <v>0</v>
      </c>
      <c r="T869" s="373" t="n">
        <v>0</v>
      </c>
      <c r="U869" s="358" t="n">
        <v>0</v>
      </c>
      <c r="V869" s="358" t="n">
        <v>0</v>
      </c>
      <c r="W869" s="372" t="n">
        <v>0</v>
      </c>
      <c r="X869" s="373" t="n">
        <v>0</v>
      </c>
      <c r="Y869" s="358" t="n">
        <v>0</v>
      </c>
      <c r="Z869" s="358" t="n">
        <v>0</v>
      </c>
      <c r="AA869" s="358" t="n">
        <v>0</v>
      </c>
      <c r="AB869" s="373" t="n">
        <v>0</v>
      </c>
      <c r="AC869" s="358" t="n">
        <v>0</v>
      </c>
      <c r="AD869" s="358" t="n">
        <v>0</v>
      </c>
      <c r="AE869" s="358" t="n">
        <v>0</v>
      </c>
      <c r="AF869" s="359" t="n">
        <v>1</v>
      </c>
    </row>
    <row r="870" customFormat="false" ht="15" hidden="true" customHeight="false" outlineLevel="0" collapsed="false">
      <c r="B870" s="360" t="s">
        <v>3337</v>
      </c>
      <c r="C870" s="359" t="n">
        <v>1</v>
      </c>
      <c r="D870" s="358" t="n">
        <v>0</v>
      </c>
      <c r="E870" s="358" t="n">
        <v>0</v>
      </c>
      <c r="F870" s="358" t="n">
        <v>0</v>
      </c>
      <c r="G870" s="372" t="n">
        <v>0</v>
      </c>
      <c r="H870" s="373" t="n">
        <v>0</v>
      </c>
      <c r="I870" s="358" t="n">
        <v>0</v>
      </c>
      <c r="J870" s="358" t="n">
        <v>0</v>
      </c>
      <c r="K870" s="372" t="n">
        <v>0</v>
      </c>
      <c r="L870" s="373" t="n">
        <v>0</v>
      </c>
      <c r="M870" s="358" t="n">
        <v>0</v>
      </c>
      <c r="N870" s="358" t="n">
        <v>0</v>
      </c>
      <c r="O870" s="372" t="n">
        <v>0</v>
      </c>
      <c r="P870" s="373" t="n">
        <v>0</v>
      </c>
      <c r="Q870" s="358" t="n">
        <v>0</v>
      </c>
      <c r="R870" s="358" t="n">
        <v>0</v>
      </c>
      <c r="S870" s="372" t="n">
        <v>0</v>
      </c>
      <c r="T870" s="373" t="n">
        <v>0</v>
      </c>
      <c r="U870" s="358" t="n">
        <v>0</v>
      </c>
      <c r="V870" s="358" t="n">
        <v>0</v>
      </c>
      <c r="W870" s="372" t="n">
        <v>0</v>
      </c>
      <c r="X870" s="373" t="n">
        <v>0</v>
      </c>
      <c r="Y870" s="358" t="n">
        <v>0</v>
      </c>
      <c r="Z870" s="358" t="n">
        <v>0</v>
      </c>
      <c r="AA870" s="358" t="n">
        <v>0</v>
      </c>
      <c r="AB870" s="373" t="n">
        <v>0</v>
      </c>
      <c r="AC870" s="358" t="n">
        <v>0</v>
      </c>
      <c r="AD870" s="358" t="n">
        <v>0</v>
      </c>
      <c r="AE870" s="358" t="n">
        <v>0</v>
      </c>
      <c r="AF870" s="359" t="n">
        <v>1</v>
      </c>
    </row>
    <row r="871" customFormat="false" ht="15" hidden="true" customHeight="false" outlineLevel="0" collapsed="false">
      <c r="B871" s="360" t="s">
        <v>3338</v>
      </c>
      <c r="C871" s="359" t="n">
        <v>1</v>
      </c>
      <c r="D871" s="358" t="n">
        <v>0</v>
      </c>
      <c r="E871" s="358" t="n">
        <v>0</v>
      </c>
      <c r="F871" s="358" t="n">
        <v>0</v>
      </c>
      <c r="G871" s="372" t="n">
        <v>0</v>
      </c>
      <c r="H871" s="373" t="n">
        <v>0</v>
      </c>
      <c r="I871" s="358" t="n">
        <v>0</v>
      </c>
      <c r="J871" s="358" t="n">
        <v>0</v>
      </c>
      <c r="K871" s="372" t="n">
        <v>0</v>
      </c>
      <c r="L871" s="373" t="n">
        <v>0</v>
      </c>
      <c r="M871" s="358" t="n">
        <v>0</v>
      </c>
      <c r="N871" s="358" t="n">
        <v>0</v>
      </c>
      <c r="O871" s="372" t="n">
        <v>0</v>
      </c>
      <c r="P871" s="373" t="n">
        <v>0</v>
      </c>
      <c r="Q871" s="358" t="n">
        <v>0</v>
      </c>
      <c r="R871" s="358" t="n">
        <v>0</v>
      </c>
      <c r="S871" s="372" t="n">
        <v>0</v>
      </c>
      <c r="T871" s="373" t="n">
        <v>0</v>
      </c>
      <c r="U871" s="358" t="n">
        <v>0</v>
      </c>
      <c r="V871" s="358" t="n">
        <v>0</v>
      </c>
      <c r="W871" s="372" t="n">
        <v>0</v>
      </c>
      <c r="X871" s="373" t="n">
        <v>0</v>
      </c>
      <c r="Y871" s="358" t="n">
        <v>0</v>
      </c>
      <c r="Z871" s="358" t="n">
        <v>0</v>
      </c>
      <c r="AA871" s="358" t="n">
        <v>0</v>
      </c>
      <c r="AB871" s="373" t="n">
        <v>0</v>
      </c>
      <c r="AC871" s="358" t="n">
        <v>0</v>
      </c>
      <c r="AD871" s="358" t="n">
        <v>0</v>
      </c>
      <c r="AE871" s="358" t="n">
        <v>0</v>
      </c>
      <c r="AF871" s="359" t="n">
        <v>1</v>
      </c>
    </row>
    <row r="872" customFormat="false" ht="15" hidden="true" customHeight="false" outlineLevel="0" collapsed="false">
      <c r="B872" s="360" t="s">
        <v>3339</v>
      </c>
      <c r="C872" s="359" t="n">
        <v>1</v>
      </c>
      <c r="D872" s="358" t="n">
        <v>0</v>
      </c>
      <c r="E872" s="358" t="n">
        <v>0</v>
      </c>
      <c r="F872" s="358" t="n">
        <v>0</v>
      </c>
      <c r="G872" s="372" t="n">
        <v>0</v>
      </c>
      <c r="H872" s="373" t="n">
        <v>0</v>
      </c>
      <c r="I872" s="358" t="n">
        <v>0</v>
      </c>
      <c r="J872" s="358" t="n">
        <v>0</v>
      </c>
      <c r="K872" s="372" t="n">
        <v>0</v>
      </c>
      <c r="L872" s="373" t="n">
        <v>0</v>
      </c>
      <c r="M872" s="358" t="n">
        <v>0</v>
      </c>
      <c r="N872" s="358" t="n">
        <v>0</v>
      </c>
      <c r="O872" s="372" t="n">
        <v>0</v>
      </c>
      <c r="P872" s="373" t="n">
        <v>0</v>
      </c>
      <c r="Q872" s="358" t="n">
        <v>0</v>
      </c>
      <c r="R872" s="358" t="n">
        <v>0</v>
      </c>
      <c r="S872" s="372" t="n">
        <v>0</v>
      </c>
      <c r="T872" s="373" t="n">
        <v>0</v>
      </c>
      <c r="U872" s="358" t="n">
        <v>0</v>
      </c>
      <c r="V872" s="358" t="n">
        <v>0</v>
      </c>
      <c r="W872" s="372" t="n">
        <v>0</v>
      </c>
      <c r="X872" s="373" t="n">
        <v>0</v>
      </c>
      <c r="Y872" s="358" t="n">
        <v>0</v>
      </c>
      <c r="Z872" s="358" t="n">
        <v>0</v>
      </c>
      <c r="AA872" s="358" t="n">
        <v>0</v>
      </c>
      <c r="AB872" s="373" t="n">
        <v>0</v>
      </c>
      <c r="AC872" s="358" t="n">
        <v>0</v>
      </c>
      <c r="AD872" s="358" t="n">
        <v>0</v>
      </c>
      <c r="AE872" s="358" t="n">
        <v>0</v>
      </c>
      <c r="AF872" s="359" t="n">
        <v>1</v>
      </c>
    </row>
    <row r="873" customFormat="false" ht="15" hidden="true" customHeight="false" outlineLevel="0" collapsed="false">
      <c r="B873" s="360" t="s">
        <v>3340</v>
      </c>
      <c r="C873" s="359" t="n">
        <v>1</v>
      </c>
      <c r="D873" s="358" t="n">
        <v>0</v>
      </c>
      <c r="E873" s="358" t="n">
        <v>0</v>
      </c>
      <c r="F873" s="358" t="n">
        <v>0</v>
      </c>
      <c r="G873" s="372" t="n">
        <v>0</v>
      </c>
      <c r="H873" s="373" t="n">
        <v>0</v>
      </c>
      <c r="I873" s="358" t="n">
        <v>0</v>
      </c>
      <c r="J873" s="358" t="n">
        <v>0</v>
      </c>
      <c r="K873" s="372" t="n">
        <v>0</v>
      </c>
      <c r="L873" s="373" t="n">
        <v>0</v>
      </c>
      <c r="M873" s="358" t="n">
        <v>0</v>
      </c>
      <c r="N873" s="358" t="n">
        <v>0</v>
      </c>
      <c r="O873" s="372" t="n">
        <v>0</v>
      </c>
      <c r="P873" s="373" t="n">
        <v>0</v>
      </c>
      <c r="Q873" s="358" t="n">
        <v>0</v>
      </c>
      <c r="R873" s="358" t="n">
        <v>0</v>
      </c>
      <c r="S873" s="372" t="n">
        <v>0</v>
      </c>
      <c r="T873" s="373" t="n">
        <v>0</v>
      </c>
      <c r="U873" s="358" t="n">
        <v>0</v>
      </c>
      <c r="V873" s="358" t="n">
        <v>0</v>
      </c>
      <c r="W873" s="372" t="n">
        <v>0</v>
      </c>
      <c r="X873" s="373" t="n">
        <v>0</v>
      </c>
      <c r="Y873" s="358" t="n">
        <v>0</v>
      </c>
      <c r="Z873" s="358" t="n">
        <v>0</v>
      </c>
      <c r="AA873" s="358" t="n">
        <v>0</v>
      </c>
      <c r="AB873" s="373" t="n">
        <v>0</v>
      </c>
      <c r="AC873" s="358" t="n">
        <v>0</v>
      </c>
      <c r="AD873" s="358" t="n">
        <v>0</v>
      </c>
      <c r="AE873" s="358" t="n">
        <v>0</v>
      </c>
      <c r="AF873" s="359" t="n">
        <v>1</v>
      </c>
    </row>
    <row r="874" customFormat="false" ht="15" hidden="true" customHeight="false" outlineLevel="0" collapsed="false">
      <c r="B874" s="360" t="s">
        <v>3341</v>
      </c>
      <c r="C874" s="359" t="n">
        <v>1</v>
      </c>
      <c r="D874" s="358" t="n">
        <v>0</v>
      </c>
      <c r="E874" s="358" t="n">
        <v>0</v>
      </c>
      <c r="F874" s="358" t="n">
        <v>0</v>
      </c>
      <c r="G874" s="372" t="n">
        <v>0</v>
      </c>
      <c r="H874" s="373" t="n">
        <v>0</v>
      </c>
      <c r="I874" s="358" t="n">
        <v>0</v>
      </c>
      <c r="J874" s="358" t="n">
        <v>0</v>
      </c>
      <c r="K874" s="372" t="n">
        <v>0</v>
      </c>
      <c r="L874" s="373" t="n">
        <v>0</v>
      </c>
      <c r="M874" s="358" t="n">
        <v>0</v>
      </c>
      <c r="N874" s="358" t="n">
        <v>0</v>
      </c>
      <c r="O874" s="372" t="n">
        <v>0</v>
      </c>
      <c r="P874" s="373" t="n">
        <v>0</v>
      </c>
      <c r="Q874" s="358" t="n">
        <v>0</v>
      </c>
      <c r="R874" s="358" t="n">
        <v>0</v>
      </c>
      <c r="S874" s="372" t="n">
        <v>0</v>
      </c>
      <c r="T874" s="373" t="n">
        <v>0</v>
      </c>
      <c r="U874" s="358" t="n">
        <v>0</v>
      </c>
      <c r="V874" s="358" t="n">
        <v>0</v>
      </c>
      <c r="W874" s="372" t="n">
        <v>0</v>
      </c>
      <c r="X874" s="373" t="n">
        <v>0</v>
      </c>
      <c r="Y874" s="358" t="n">
        <v>0</v>
      </c>
      <c r="Z874" s="358" t="n">
        <v>0</v>
      </c>
      <c r="AA874" s="358" t="n">
        <v>0</v>
      </c>
      <c r="AB874" s="373" t="n">
        <v>0</v>
      </c>
      <c r="AC874" s="358" t="n">
        <v>0</v>
      </c>
      <c r="AD874" s="358" t="n">
        <v>0</v>
      </c>
      <c r="AE874" s="358" t="n">
        <v>0</v>
      </c>
      <c r="AF874" s="359" t="n">
        <v>1</v>
      </c>
    </row>
    <row r="875" customFormat="false" ht="15" hidden="true" customHeight="false" outlineLevel="0" collapsed="false">
      <c r="B875" s="360" t="s">
        <v>3342</v>
      </c>
      <c r="C875" s="359" t="n">
        <v>1</v>
      </c>
      <c r="D875" s="358" t="n">
        <v>0</v>
      </c>
      <c r="E875" s="358" t="n">
        <v>0</v>
      </c>
      <c r="F875" s="358" t="n">
        <v>0</v>
      </c>
      <c r="G875" s="372" t="n">
        <v>0</v>
      </c>
      <c r="H875" s="373" t="n">
        <v>0</v>
      </c>
      <c r="I875" s="358" t="n">
        <v>0</v>
      </c>
      <c r="J875" s="358" t="n">
        <v>0</v>
      </c>
      <c r="K875" s="372" t="n">
        <v>0</v>
      </c>
      <c r="L875" s="373" t="n">
        <v>0</v>
      </c>
      <c r="M875" s="358" t="n">
        <v>0</v>
      </c>
      <c r="N875" s="358" t="n">
        <v>0</v>
      </c>
      <c r="O875" s="372" t="n">
        <v>0</v>
      </c>
      <c r="P875" s="373" t="n">
        <v>0</v>
      </c>
      <c r="Q875" s="358" t="n">
        <v>0</v>
      </c>
      <c r="R875" s="358" t="n">
        <v>0</v>
      </c>
      <c r="S875" s="372" t="n">
        <v>0</v>
      </c>
      <c r="T875" s="373" t="n">
        <v>0</v>
      </c>
      <c r="U875" s="358" t="n">
        <v>0</v>
      </c>
      <c r="V875" s="358" t="n">
        <v>0</v>
      </c>
      <c r="W875" s="372" t="n">
        <v>0</v>
      </c>
      <c r="X875" s="373" t="n">
        <v>0</v>
      </c>
      <c r="Y875" s="358" t="n">
        <v>0</v>
      </c>
      <c r="Z875" s="358" t="n">
        <v>0</v>
      </c>
      <c r="AA875" s="358" t="n">
        <v>0</v>
      </c>
      <c r="AB875" s="373" t="n">
        <v>0</v>
      </c>
      <c r="AC875" s="358" t="n">
        <v>0</v>
      </c>
      <c r="AD875" s="358" t="n">
        <v>0</v>
      </c>
      <c r="AE875" s="358" t="n">
        <v>0</v>
      </c>
      <c r="AF875" s="359" t="n">
        <v>1</v>
      </c>
    </row>
    <row r="876" customFormat="false" ht="15" hidden="true" customHeight="false" outlineLevel="0" collapsed="false">
      <c r="B876" s="360" t="s">
        <v>3343</v>
      </c>
      <c r="C876" s="359" t="n">
        <v>1</v>
      </c>
      <c r="D876" s="358" t="n">
        <v>0</v>
      </c>
      <c r="E876" s="358" t="n">
        <v>0</v>
      </c>
      <c r="F876" s="358" t="n">
        <v>0</v>
      </c>
      <c r="G876" s="372" t="n">
        <v>0</v>
      </c>
      <c r="H876" s="373" t="n">
        <v>0</v>
      </c>
      <c r="I876" s="358" t="n">
        <v>0</v>
      </c>
      <c r="J876" s="358" t="n">
        <v>0</v>
      </c>
      <c r="K876" s="372" t="n">
        <v>0</v>
      </c>
      <c r="L876" s="373" t="n">
        <v>0</v>
      </c>
      <c r="M876" s="358" t="n">
        <v>0</v>
      </c>
      <c r="N876" s="358" t="n">
        <v>0</v>
      </c>
      <c r="O876" s="372" t="n">
        <v>0</v>
      </c>
      <c r="P876" s="373" t="n">
        <v>0</v>
      </c>
      <c r="Q876" s="358" t="n">
        <v>0</v>
      </c>
      <c r="R876" s="358" t="n">
        <v>0</v>
      </c>
      <c r="S876" s="372" t="n">
        <v>0</v>
      </c>
      <c r="T876" s="373" t="n">
        <v>0</v>
      </c>
      <c r="U876" s="358" t="n">
        <v>0</v>
      </c>
      <c r="V876" s="358" t="n">
        <v>0</v>
      </c>
      <c r="W876" s="372" t="n">
        <v>0</v>
      </c>
      <c r="X876" s="373" t="n">
        <v>0</v>
      </c>
      <c r="Y876" s="358" t="n">
        <v>0</v>
      </c>
      <c r="Z876" s="358" t="n">
        <v>0</v>
      </c>
      <c r="AA876" s="358" t="n">
        <v>0</v>
      </c>
      <c r="AB876" s="373" t="n">
        <v>0</v>
      </c>
      <c r="AC876" s="358" t="n">
        <v>0</v>
      </c>
      <c r="AD876" s="358" t="n">
        <v>0</v>
      </c>
      <c r="AE876" s="358" t="n">
        <v>0</v>
      </c>
      <c r="AF876" s="359" t="n">
        <v>1</v>
      </c>
    </row>
    <row r="877" customFormat="false" ht="15" hidden="true" customHeight="false" outlineLevel="0" collapsed="false">
      <c r="B877" s="360" t="s">
        <v>3344</v>
      </c>
      <c r="C877" s="359" t="n">
        <v>1</v>
      </c>
      <c r="D877" s="358" t="n">
        <v>0</v>
      </c>
      <c r="E877" s="358" t="n">
        <v>0</v>
      </c>
      <c r="F877" s="358" t="n">
        <v>0</v>
      </c>
      <c r="G877" s="372" t="n">
        <v>0</v>
      </c>
      <c r="H877" s="373" t="n">
        <v>0</v>
      </c>
      <c r="I877" s="358" t="n">
        <v>0</v>
      </c>
      <c r="J877" s="358" t="n">
        <v>0</v>
      </c>
      <c r="K877" s="372" t="n">
        <v>0</v>
      </c>
      <c r="L877" s="373" t="n">
        <v>0</v>
      </c>
      <c r="M877" s="358" t="n">
        <v>0</v>
      </c>
      <c r="N877" s="358" t="n">
        <v>0</v>
      </c>
      <c r="O877" s="372" t="n">
        <v>0</v>
      </c>
      <c r="P877" s="373" t="n">
        <v>0</v>
      </c>
      <c r="Q877" s="358" t="n">
        <v>0</v>
      </c>
      <c r="R877" s="358" t="n">
        <v>0</v>
      </c>
      <c r="S877" s="372" t="n">
        <v>0</v>
      </c>
      <c r="T877" s="373" t="n">
        <v>0</v>
      </c>
      <c r="U877" s="358" t="n">
        <v>0</v>
      </c>
      <c r="V877" s="358" t="n">
        <v>0</v>
      </c>
      <c r="W877" s="372" t="n">
        <v>0</v>
      </c>
      <c r="X877" s="373" t="n">
        <v>0</v>
      </c>
      <c r="Y877" s="358" t="n">
        <v>0</v>
      </c>
      <c r="Z877" s="358" t="n">
        <v>0</v>
      </c>
      <c r="AA877" s="358" t="n">
        <v>0</v>
      </c>
      <c r="AB877" s="373" t="n">
        <v>0</v>
      </c>
      <c r="AC877" s="358" t="n">
        <v>0</v>
      </c>
      <c r="AD877" s="358" t="n">
        <v>0</v>
      </c>
      <c r="AE877" s="358" t="n">
        <v>0</v>
      </c>
      <c r="AF877" s="359" t="n">
        <v>1</v>
      </c>
    </row>
    <row r="878" customFormat="false" ht="15" hidden="true" customHeight="false" outlineLevel="0" collapsed="false">
      <c r="B878" s="360" t="s">
        <v>3345</v>
      </c>
      <c r="C878" s="359" t="n">
        <v>1</v>
      </c>
      <c r="D878" s="358" t="n">
        <v>0</v>
      </c>
      <c r="E878" s="358" t="n">
        <v>0</v>
      </c>
      <c r="F878" s="358" t="n">
        <v>0</v>
      </c>
      <c r="G878" s="372" t="n">
        <v>0</v>
      </c>
      <c r="H878" s="373" t="n">
        <v>0</v>
      </c>
      <c r="I878" s="358" t="n">
        <v>0</v>
      </c>
      <c r="J878" s="358" t="n">
        <v>0</v>
      </c>
      <c r="K878" s="372" t="n">
        <v>0</v>
      </c>
      <c r="L878" s="373" t="n">
        <v>0</v>
      </c>
      <c r="M878" s="358" t="n">
        <v>0</v>
      </c>
      <c r="N878" s="358" t="n">
        <v>0</v>
      </c>
      <c r="O878" s="372" t="n">
        <v>0</v>
      </c>
      <c r="P878" s="373" t="n">
        <v>0</v>
      </c>
      <c r="Q878" s="358" t="n">
        <v>0</v>
      </c>
      <c r="R878" s="358" t="n">
        <v>0</v>
      </c>
      <c r="S878" s="372" t="n">
        <v>0</v>
      </c>
      <c r="T878" s="373" t="n">
        <v>0</v>
      </c>
      <c r="U878" s="358" t="n">
        <v>0</v>
      </c>
      <c r="V878" s="358" t="n">
        <v>0</v>
      </c>
      <c r="W878" s="372" t="n">
        <v>0</v>
      </c>
      <c r="X878" s="373" t="n">
        <v>0</v>
      </c>
      <c r="Y878" s="358" t="n">
        <v>0</v>
      </c>
      <c r="Z878" s="358" t="n">
        <v>0</v>
      </c>
      <c r="AA878" s="358" t="n">
        <v>0</v>
      </c>
      <c r="AB878" s="373" t="n">
        <v>0</v>
      </c>
      <c r="AC878" s="358" t="n">
        <v>0</v>
      </c>
      <c r="AD878" s="358" t="n">
        <v>0</v>
      </c>
      <c r="AE878" s="358" t="n">
        <v>0</v>
      </c>
      <c r="AF878" s="359" t="n">
        <v>1</v>
      </c>
    </row>
    <row r="879" customFormat="false" ht="15" hidden="true" customHeight="false" outlineLevel="0" collapsed="false">
      <c r="B879" s="360" t="s">
        <v>3346</v>
      </c>
      <c r="C879" s="359" t="n">
        <v>1</v>
      </c>
      <c r="D879" s="358" t="n">
        <v>0</v>
      </c>
      <c r="E879" s="358" t="n">
        <v>0</v>
      </c>
      <c r="F879" s="358" t="n">
        <v>0</v>
      </c>
      <c r="G879" s="372" t="n">
        <v>0</v>
      </c>
      <c r="H879" s="373" t="n">
        <v>0</v>
      </c>
      <c r="I879" s="358" t="n">
        <v>0</v>
      </c>
      <c r="J879" s="358" t="n">
        <v>0</v>
      </c>
      <c r="K879" s="372" t="n">
        <v>0</v>
      </c>
      <c r="L879" s="373" t="n">
        <v>0</v>
      </c>
      <c r="M879" s="358" t="n">
        <v>0</v>
      </c>
      <c r="N879" s="358" t="n">
        <v>0</v>
      </c>
      <c r="O879" s="372" t="n">
        <v>0</v>
      </c>
      <c r="P879" s="373" t="n">
        <v>0</v>
      </c>
      <c r="Q879" s="358" t="n">
        <v>0</v>
      </c>
      <c r="R879" s="358" t="n">
        <v>0</v>
      </c>
      <c r="S879" s="372" t="n">
        <v>0</v>
      </c>
      <c r="T879" s="373" t="n">
        <v>0</v>
      </c>
      <c r="U879" s="358" t="n">
        <v>0</v>
      </c>
      <c r="V879" s="358" t="n">
        <v>0</v>
      </c>
      <c r="W879" s="372" t="n">
        <v>0</v>
      </c>
      <c r="X879" s="373" t="n">
        <v>0</v>
      </c>
      <c r="Y879" s="358" t="n">
        <v>0</v>
      </c>
      <c r="Z879" s="358" t="n">
        <v>0</v>
      </c>
      <c r="AA879" s="358" t="n">
        <v>0</v>
      </c>
      <c r="AB879" s="373" t="n">
        <v>0</v>
      </c>
      <c r="AC879" s="358" t="n">
        <v>0</v>
      </c>
      <c r="AD879" s="358" t="n">
        <v>0</v>
      </c>
      <c r="AE879" s="358" t="n">
        <v>0</v>
      </c>
      <c r="AF879" s="359" t="n">
        <v>1</v>
      </c>
    </row>
    <row r="880" customFormat="false" ht="15" hidden="true" customHeight="false" outlineLevel="0" collapsed="false">
      <c r="B880" s="360" t="s">
        <v>3347</v>
      </c>
      <c r="C880" s="359" t="n">
        <v>1</v>
      </c>
      <c r="D880" s="358" t="n">
        <v>0</v>
      </c>
      <c r="E880" s="358" t="n">
        <v>0</v>
      </c>
      <c r="F880" s="358" t="n">
        <v>0</v>
      </c>
      <c r="G880" s="372" t="n">
        <v>0</v>
      </c>
      <c r="H880" s="373" t="n">
        <v>0</v>
      </c>
      <c r="I880" s="358" t="n">
        <v>0</v>
      </c>
      <c r="J880" s="358" t="n">
        <v>0</v>
      </c>
      <c r="K880" s="372" t="n">
        <v>0</v>
      </c>
      <c r="L880" s="373" t="n">
        <v>0</v>
      </c>
      <c r="M880" s="358" t="n">
        <v>0</v>
      </c>
      <c r="N880" s="358" t="n">
        <v>0</v>
      </c>
      <c r="O880" s="372" t="n">
        <v>0</v>
      </c>
      <c r="P880" s="373" t="n">
        <v>0</v>
      </c>
      <c r="Q880" s="358" t="n">
        <v>0</v>
      </c>
      <c r="R880" s="358" t="n">
        <v>0</v>
      </c>
      <c r="S880" s="372" t="n">
        <v>0</v>
      </c>
      <c r="T880" s="373" t="n">
        <v>0</v>
      </c>
      <c r="U880" s="358" t="n">
        <v>0</v>
      </c>
      <c r="V880" s="358" t="n">
        <v>0</v>
      </c>
      <c r="W880" s="372" t="n">
        <v>0</v>
      </c>
      <c r="X880" s="373" t="n">
        <v>0</v>
      </c>
      <c r="Y880" s="358" t="n">
        <v>0</v>
      </c>
      <c r="Z880" s="358" t="n">
        <v>0</v>
      </c>
      <c r="AA880" s="358" t="n">
        <v>0</v>
      </c>
      <c r="AB880" s="373" t="n">
        <v>0</v>
      </c>
      <c r="AC880" s="358" t="n">
        <v>0</v>
      </c>
      <c r="AD880" s="358" t="n">
        <v>0</v>
      </c>
      <c r="AE880" s="358" t="n">
        <v>0</v>
      </c>
      <c r="AF880" s="359" t="n">
        <v>1</v>
      </c>
    </row>
    <row r="881" customFormat="false" ht="15" hidden="true" customHeight="false" outlineLevel="0" collapsed="false">
      <c r="B881" s="360" t="s">
        <v>3348</v>
      </c>
      <c r="C881" s="359" t="n">
        <v>1</v>
      </c>
      <c r="D881" s="358" t="n">
        <v>0</v>
      </c>
      <c r="E881" s="358" t="n">
        <v>0</v>
      </c>
      <c r="F881" s="358" t="n">
        <v>0</v>
      </c>
      <c r="G881" s="372" t="n">
        <v>0</v>
      </c>
      <c r="H881" s="373" t="n">
        <v>0</v>
      </c>
      <c r="I881" s="358" t="n">
        <v>0</v>
      </c>
      <c r="J881" s="358" t="n">
        <v>0</v>
      </c>
      <c r="K881" s="372" t="n">
        <v>0</v>
      </c>
      <c r="L881" s="373" t="n">
        <v>0</v>
      </c>
      <c r="M881" s="358" t="n">
        <v>0</v>
      </c>
      <c r="N881" s="358" t="n">
        <v>0</v>
      </c>
      <c r="O881" s="372" t="n">
        <v>0</v>
      </c>
      <c r="P881" s="373" t="n">
        <v>0</v>
      </c>
      <c r="Q881" s="358" t="n">
        <v>0</v>
      </c>
      <c r="R881" s="358" t="n">
        <v>0</v>
      </c>
      <c r="S881" s="372" t="n">
        <v>0</v>
      </c>
      <c r="T881" s="373" t="n">
        <v>0</v>
      </c>
      <c r="U881" s="358" t="n">
        <v>0</v>
      </c>
      <c r="V881" s="358" t="n">
        <v>0</v>
      </c>
      <c r="W881" s="372" t="n">
        <v>0</v>
      </c>
      <c r="X881" s="373" t="n">
        <v>0</v>
      </c>
      <c r="Y881" s="358" t="n">
        <v>0</v>
      </c>
      <c r="Z881" s="358" t="n">
        <v>0</v>
      </c>
      <c r="AA881" s="358" t="n">
        <v>0</v>
      </c>
      <c r="AB881" s="373" t="n">
        <v>0</v>
      </c>
      <c r="AC881" s="358" t="n">
        <v>0</v>
      </c>
      <c r="AD881" s="358" t="n">
        <v>0</v>
      </c>
      <c r="AE881" s="358" t="n">
        <v>0</v>
      </c>
      <c r="AF881" s="359" t="n">
        <v>1</v>
      </c>
    </row>
    <row r="882" customFormat="false" ht="15" hidden="true" customHeight="false" outlineLevel="0" collapsed="false">
      <c r="B882" s="360" t="s">
        <v>3349</v>
      </c>
      <c r="C882" s="359" t="n">
        <v>1</v>
      </c>
      <c r="D882" s="358" t="n">
        <v>0</v>
      </c>
      <c r="E882" s="358" t="n">
        <v>0</v>
      </c>
      <c r="F882" s="358" t="n">
        <v>0</v>
      </c>
      <c r="G882" s="372" t="n">
        <v>0</v>
      </c>
      <c r="H882" s="373" t="n">
        <v>0</v>
      </c>
      <c r="I882" s="358" t="n">
        <v>0</v>
      </c>
      <c r="J882" s="358" t="n">
        <v>0</v>
      </c>
      <c r="K882" s="372" t="n">
        <v>0</v>
      </c>
      <c r="L882" s="373" t="n">
        <v>0</v>
      </c>
      <c r="M882" s="358" t="n">
        <v>0</v>
      </c>
      <c r="N882" s="358" t="n">
        <v>0</v>
      </c>
      <c r="O882" s="372" t="n">
        <v>0</v>
      </c>
      <c r="P882" s="373" t="n">
        <v>0</v>
      </c>
      <c r="Q882" s="358" t="n">
        <v>0</v>
      </c>
      <c r="R882" s="358" t="n">
        <v>0</v>
      </c>
      <c r="S882" s="372" t="n">
        <v>0</v>
      </c>
      <c r="T882" s="373" t="n">
        <v>0</v>
      </c>
      <c r="U882" s="358" t="n">
        <v>0</v>
      </c>
      <c r="V882" s="358" t="n">
        <v>0</v>
      </c>
      <c r="W882" s="372" t="n">
        <v>0</v>
      </c>
      <c r="X882" s="373" t="n">
        <v>0</v>
      </c>
      <c r="Y882" s="358" t="n">
        <v>0</v>
      </c>
      <c r="Z882" s="358" t="n">
        <v>0</v>
      </c>
      <c r="AA882" s="358" t="n">
        <v>0</v>
      </c>
      <c r="AB882" s="373" t="n">
        <v>0</v>
      </c>
      <c r="AC882" s="358" t="n">
        <v>0</v>
      </c>
      <c r="AD882" s="358" t="n">
        <v>0</v>
      </c>
      <c r="AE882" s="358" t="n">
        <v>0</v>
      </c>
      <c r="AF882" s="359" t="n">
        <v>1</v>
      </c>
    </row>
    <row r="883" customFormat="false" ht="15" hidden="true" customHeight="false" outlineLevel="0" collapsed="false">
      <c r="B883" s="360" t="s">
        <v>3350</v>
      </c>
      <c r="C883" s="359" t="n">
        <v>1</v>
      </c>
      <c r="D883" s="358" t="n">
        <v>0</v>
      </c>
      <c r="E883" s="358" t="n">
        <v>0</v>
      </c>
      <c r="F883" s="358" t="n">
        <v>0</v>
      </c>
      <c r="G883" s="372" t="n">
        <v>0</v>
      </c>
      <c r="H883" s="373" t="n">
        <v>0</v>
      </c>
      <c r="I883" s="358" t="n">
        <v>0</v>
      </c>
      <c r="J883" s="358" t="n">
        <v>0</v>
      </c>
      <c r="K883" s="372" t="n">
        <v>0</v>
      </c>
      <c r="L883" s="373" t="n">
        <v>0</v>
      </c>
      <c r="M883" s="358" t="n">
        <v>0</v>
      </c>
      <c r="N883" s="358" t="n">
        <v>0</v>
      </c>
      <c r="O883" s="372" t="n">
        <v>0</v>
      </c>
      <c r="P883" s="373" t="n">
        <v>0</v>
      </c>
      <c r="Q883" s="358" t="n">
        <v>0</v>
      </c>
      <c r="R883" s="358" t="n">
        <v>0</v>
      </c>
      <c r="S883" s="372" t="n">
        <v>0</v>
      </c>
      <c r="T883" s="373" t="n">
        <v>0</v>
      </c>
      <c r="U883" s="358" t="n">
        <v>0</v>
      </c>
      <c r="V883" s="358" t="n">
        <v>0</v>
      </c>
      <c r="W883" s="372" t="n">
        <v>0</v>
      </c>
      <c r="X883" s="373" t="n">
        <v>0</v>
      </c>
      <c r="Y883" s="358" t="n">
        <v>0</v>
      </c>
      <c r="Z883" s="358" t="n">
        <v>0</v>
      </c>
      <c r="AA883" s="358" t="n">
        <v>0</v>
      </c>
      <c r="AB883" s="373" t="n">
        <v>0</v>
      </c>
      <c r="AC883" s="358" t="n">
        <v>0</v>
      </c>
      <c r="AD883" s="358" t="n">
        <v>0</v>
      </c>
      <c r="AE883" s="358" t="n">
        <v>0</v>
      </c>
      <c r="AF883" s="359" t="n">
        <v>1</v>
      </c>
    </row>
    <row r="884" customFormat="false" ht="15" hidden="true" customHeight="false" outlineLevel="0" collapsed="false">
      <c r="B884" s="360" t="s">
        <v>3351</v>
      </c>
      <c r="C884" s="359" t="n">
        <v>1</v>
      </c>
      <c r="D884" s="358" t="n">
        <v>0</v>
      </c>
      <c r="E884" s="358" t="n">
        <v>0</v>
      </c>
      <c r="F884" s="358" t="n">
        <v>0</v>
      </c>
      <c r="G884" s="372" t="n">
        <v>0</v>
      </c>
      <c r="H884" s="373" t="n">
        <v>0</v>
      </c>
      <c r="I884" s="358" t="n">
        <v>0</v>
      </c>
      <c r="J884" s="358" t="n">
        <v>0</v>
      </c>
      <c r="K884" s="372" t="n">
        <v>0</v>
      </c>
      <c r="L884" s="373" t="n">
        <v>0</v>
      </c>
      <c r="M884" s="358" t="n">
        <v>0</v>
      </c>
      <c r="N884" s="358" t="n">
        <v>0</v>
      </c>
      <c r="O884" s="372" t="n">
        <v>0</v>
      </c>
      <c r="P884" s="373" t="n">
        <v>0</v>
      </c>
      <c r="Q884" s="358" t="n">
        <v>0</v>
      </c>
      <c r="R884" s="358" t="n">
        <v>0</v>
      </c>
      <c r="S884" s="372" t="n">
        <v>0</v>
      </c>
      <c r="T884" s="373" t="n">
        <v>0</v>
      </c>
      <c r="U884" s="358" t="n">
        <v>0</v>
      </c>
      <c r="V884" s="358" t="n">
        <v>0</v>
      </c>
      <c r="W884" s="372" t="n">
        <v>0</v>
      </c>
      <c r="X884" s="373" t="n">
        <v>0</v>
      </c>
      <c r="Y884" s="358" t="n">
        <v>0</v>
      </c>
      <c r="Z884" s="358" t="n">
        <v>0</v>
      </c>
      <c r="AA884" s="358" t="n">
        <v>0</v>
      </c>
      <c r="AB884" s="373" t="n">
        <v>0</v>
      </c>
      <c r="AC884" s="358" t="n">
        <v>0</v>
      </c>
      <c r="AD884" s="358" t="n">
        <v>0</v>
      </c>
      <c r="AE884" s="358" t="n">
        <v>0</v>
      </c>
      <c r="AF884" s="359" t="n">
        <v>1</v>
      </c>
    </row>
    <row r="885" customFormat="false" ht="15" hidden="true" customHeight="false" outlineLevel="0" collapsed="false">
      <c r="B885" s="360" t="s">
        <v>3352</v>
      </c>
      <c r="C885" s="359" t="n">
        <v>1</v>
      </c>
      <c r="D885" s="358" t="n">
        <v>0</v>
      </c>
      <c r="E885" s="358" t="n">
        <v>0</v>
      </c>
      <c r="F885" s="358" t="n">
        <v>0</v>
      </c>
      <c r="G885" s="372" t="n">
        <v>0</v>
      </c>
      <c r="H885" s="373" t="n">
        <v>0</v>
      </c>
      <c r="I885" s="358" t="n">
        <v>0</v>
      </c>
      <c r="J885" s="358" t="n">
        <v>0</v>
      </c>
      <c r="K885" s="372" t="n">
        <v>0</v>
      </c>
      <c r="L885" s="373" t="n">
        <v>0</v>
      </c>
      <c r="M885" s="358" t="n">
        <v>0</v>
      </c>
      <c r="N885" s="358" t="n">
        <v>0</v>
      </c>
      <c r="O885" s="372" t="n">
        <v>0</v>
      </c>
      <c r="P885" s="373" t="n">
        <v>0</v>
      </c>
      <c r="Q885" s="358" t="n">
        <v>0</v>
      </c>
      <c r="R885" s="358" t="n">
        <v>0</v>
      </c>
      <c r="S885" s="372" t="n">
        <v>0</v>
      </c>
      <c r="T885" s="373" t="n">
        <v>0</v>
      </c>
      <c r="U885" s="358" t="n">
        <v>0</v>
      </c>
      <c r="V885" s="358" t="n">
        <v>0</v>
      </c>
      <c r="W885" s="372" t="n">
        <v>0</v>
      </c>
      <c r="X885" s="373" t="n">
        <v>0</v>
      </c>
      <c r="Y885" s="358" t="n">
        <v>0</v>
      </c>
      <c r="Z885" s="358" t="n">
        <v>0</v>
      </c>
      <c r="AA885" s="358" t="n">
        <v>0</v>
      </c>
      <c r="AB885" s="373" t="n">
        <v>0</v>
      </c>
      <c r="AC885" s="358" t="n">
        <v>0</v>
      </c>
      <c r="AD885" s="358" t="n">
        <v>0</v>
      </c>
      <c r="AE885" s="358" t="n">
        <v>0</v>
      </c>
      <c r="AF885" s="359" t="n">
        <v>1</v>
      </c>
    </row>
    <row r="886" customFormat="false" ht="15" hidden="true" customHeight="false" outlineLevel="0" collapsed="false">
      <c r="B886" s="360" t="s">
        <v>3353</v>
      </c>
      <c r="C886" s="359" t="n">
        <v>1</v>
      </c>
      <c r="D886" s="358" t="n">
        <v>0</v>
      </c>
      <c r="E886" s="358" t="n">
        <v>0</v>
      </c>
      <c r="F886" s="358" t="n">
        <v>0</v>
      </c>
      <c r="G886" s="372" t="n">
        <v>0</v>
      </c>
      <c r="H886" s="373" t="n">
        <v>0</v>
      </c>
      <c r="I886" s="358" t="n">
        <v>0</v>
      </c>
      <c r="J886" s="358" t="n">
        <v>0</v>
      </c>
      <c r="K886" s="372" t="n">
        <v>0</v>
      </c>
      <c r="L886" s="373" t="n">
        <v>0</v>
      </c>
      <c r="M886" s="358" t="n">
        <v>0</v>
      </c>
      <c r="N886" s="358" t="n">
        <v>0</v>
      </c>
      <c r="O886" s="372" t="n">
        <v>0</v>
      </c>
      <c r="P886" s="373" t="n">
        <v>0</v>
      </c>
      <c r="Q886" s="358" t="n">
        <v>0</v>
      </c>
      <c r="R886" s="358" t="n">
        <v>0</v>
      </c>
      <c r="S886" s="372" t="n">
        <v>0</v>
      </c>
      <c r="T886" s="373" t="n">
        <v>0</v>
      </c>
      <c r="U886" s="358" t="n">
        <v>0</v>
      </c>
      <c r="V886" s="358" t="n">
        <v>0</v>
      </c>
      <c r="W886" s="372" t="n">
        <v>0</v>
      </c>
      <c r="X886" s="373" t="n">
        <v>0</v>
      </c>
      <c r="Y886" s="358" t="n">
        <v>0</v>
      </c>
      <c r="Z886" s="358" t="n">
        <v>0</v>
      </c>
      <c r="AA886" s="358" t="n">
        <v>0</v>
      </c>
      <c r="AB886" s="373" t="n">
        <v>0</v>
      </c>
      <c r="AC886" s="358" t="n">
        <v>0</v>
      </c>
      <c r="AD886" s="358" t="n">
        <v>0</v>
      </c>
      <c r="AE886" s="358" t="n">
        <v>0</v>
      </c>
      <c r="AF886" s="359" t="n">
        <v>1</v>
      </c>
    </row>
    <row r="887" customFormat="false" ht="15" hidden="true" customHeight="false" outlineLevel="0" collapsed="false">
      <c r="B887" s="360" t="s">
        <v>3354</v>
      </c>
      <c r="C887" s="359" t="n">
        <v>1</v>
      </c>
      <c r="D887" s="358" t="n">
        <v>0</v>
      </c>
      <c r="E887" s="358" t="n">
        <v>0</v>
      </c>
      <c r="F887" s="358" t="n">
        <v>0</v>
      </c>
      <c r="G887" s="372" t="n">
        <v>0</v>
      </c>
      <c r="H887" s="373" t="n">
        <v>0</v>
      </c>
      <c r="I887" s="358" t="n">
        <v>0</v>
      </c>
      <c r="J887" s="358" t="n">
        <v>0</v>
      </c>
      <c r="K887" s="372" t="n">
        <v>0</v>
      </c>
      <c r="L887" s="373" t="n">
        <v>0</v>
      </c>
      <c r="M887" s="358" t="n">
        <v>0</v>
      </c>
      <c r="N887" s="358" t="n">
        <v>0</v>
      </c>
      <c r="O887" s="372" t="n">
        <v>0</v>
      </c>
      <c r="P887" s="373" t="n">
        <v>0</v>
      </c>
      <c r="Q887" s="358" t="n">
        <v>0</v>
      </c>
      <c r="R887" s="358" t="n">
        <v>0</v>
      </c>
      <c r="S887" s="372" t="n">
        <v>0</v>
      </c>
      <c r="T887" s="373" t="n">
        <v>0</v>
      </c>
      <c r="U887" s="358" t="n">
        <v>0</v>
      </c>
      <c r="V887" s="358" t="n">
        <v>0</v>
      </c>
      <c r="W887" s="372" t="n">
        <v>0</v>
      </c>
      <c r="X887" s="373" t="n">
        <v>0</v>
      </c>
      <c r="Y887" s="358" t="n">
        <v>0</v>
      </c>
      <c r="Z887" s="358" t="n">
        <v>0</v>
      </c>
      <c r="AA887" s="358" t="n">
        <v>0</v>
      </c>
      <c r="AB887" s="373" t="n">
        <v>0</v>
      </c>
      <c r="AC887" s="358" t="n">
        <v>0</v>
      </c>
      <c r="AD887" s="358" t="n">
        <v>0</v>
      </c>
      <c r="AE887" s="358" t="n">
        <v>0</v>
      </c>
      <c r="AF887" s="359" t="n">
        <v>1</v>
      </c>
    </row>
    <row r="888" customFormat="false" ht="15" hidden="true" customHeight="false" outlineLevel="0" collapsed="false">
      <c r="B888" s="360" t="s">
        <v>3355</v>
      </c>
      <c r="C888" s="359" t="n">
        <v>1</v>
      </c>
      <c r="D888" s="358" t="n">
        <v>0</v>
      </c>
      <c r="E888" s="358" t="n">
        <v>0</v>
      </c>
      <c r="F888" s="358" t="n">
        <v>0</v>
      </c>
      <c r="G888" s="372" t="n">
        <v>0</v>
      </c>
      <c r="H888" s="373" t="n">
        <v>0</v>
      </c>
      <c r="I888" s="358" t="n">
        <v>0</v>
      </c>
      <c r="J888" s="358" t="n">
        <v>0</v>
      </c>
      <c r="K888" s="372" t="n">
        <v>0</v>
      </c>
      <c r="L888" s="373" t="n">
        <v>0</v>
      </c>
      <c r="M888" s="358" t="n">
        <v>0</v>
      </c>
      <c r="N888" s="358" t="n">
        <v>0</v>
      </c>
      <c r="O888" s="372" t="n">
        <v>0</v>
      </c>
      <c r="P888" s="373" t="n">
        <v>0</v>
      </c>
      <c r="Q888" s="358" t="n">
        <v>0</v>
      </c>
      <c r="R888" s="358" t="n">
        <v>0</v>
      </c>
      <c r="S888" s="372" t="n">
        <v>0</v>
      </c>
      <c r="T888" s="373" t="n">
        <v>0</v>
      </c>
      <c r="U888" s="358" t="n">
        <v>0</v>
      </c>
      <c r="V888" s="358" t="n">
        <v>0</v>
      </c>
      <c r="W888" s="372" t="n">
        <v>0</v>
      </c>
      <c r="X888" s="373" t="n">
        <v>0</v>
      </c>
      <c r="Y888" s="358" t="n">
        <v>0</v>
      </c>
      <c r="Z888" s="358" t="n">
        <v>0</v>
      </c>
      <c r="AA888" s="358" t="n">
        <v>0</v>
      </c>
      <c r="AB888" s="373" t="n">
        <v>0</v>
      </c>
      <c r="AC888" s="358" t="n">
        <v>0</v>
      </c>
      <c r="AD888" s="358" t="n">
        <v>0</v>
      </c>
      <c r="AE888" s="358" t="n">
        <v>0</v>
      </c>
      <c r="AF888" s="359" t="n">
        <v>1</v>
      </c>
    </row>
    <row r="889" customFormat="false" ht="15" hidden="true" customHeight="false" outlineLevel="0" collapsed="false">
      <c r="B889" s="360" t="s">
        <v>3356</v>
      </c>
      <c r="C889" s="359" t="n">
        <v>1</v>
      </c>
      <c r="D889" s="358" t="n">
        <v>0</v>
      </c>
      <c r="E889" s="358" t="n">
        <v>0</v>
      </c>
      <c r="F889" s="358" t="n">
        <v>0</v>
      </c>
      <c r="G889" s="372" t="n">
        <v>0</v>
      </c>
      <c r="H889" s="373" t="n">
        <v>0</v>
      </c>
      <c r="I889" s="358" t="n">
        <v>0</v>
      </c>
      <c r="J889" s="358" t="n">
        <v>0</v>
      </c>
      <c r="K889" s="372" t="n">
        <v>0</v>
      </c>
      <c r="L889" s="373" t="n">
        <v>0</v>
      </c>
      <c r="M889" s="358" t="n">
        <v>0</v>
      </c>
      <c r="N889" s="358" t="n">
        <v>0</v>
      </c>
      <c r="O889" s="372" t="n">
        <v>0</v>
      </c>
      <c r="P889" s="373" t="n">
        <v>0</v>
      </c>
      <c r="Q889" s="358" t="n">
        <v>0</v>
      </c>
      <c r="R889" s="358" t="n">
        <v>0</v>
      </c>
      <c r="S889" s="372" t="n">
        <v>0</v>
      </c>
      <c r="T889" s="373" t="n">
        <v>0</v>
      </c>
      <c r="U889" s="358" t="n">
        <v>0</v>
      </c>
      <c r="V889" s="358" t="n">
        <v>0</v>
      </c>
      <c r="W889" s="372" t="n">
        <v>0</v>
      </c>
      <c r="X889" s="373" t="n">
        <v>0</v>
      </c>
      <c r="Y889" s="358" t="n">
        <v>0</v>
      </c>
      <c r="Z889" s="358" t="n">
        <v>0</v>
      </c>
      <c r="AA889" s="358" t="n">
        <v>0</v>
      </c>
      <c r="AB889" s="373" t="n">
        <v>0</v>
      </c>
      <c r="AC889" s="358" t="n">
        <v>0</v>
      </c>
      <c r="AD889" s="358" t="n">
        <v>0</v>
      </c>
      <c r="AE889" s="358" t="n">
        <v>0</v>
      </c>
      <c r="AF889" s="359" t="n">
        <v>1</v>
      </c>
    </row>
    <row r="890" customFormat="false" ht="15" hidden="true" customHeight="false" outlineLevel="0" collapsed="false">
      <c r="B890" s="360" t="s">
        <v>3357</v>
      </c>
      <c r="C890" s="359" t="n">
        <v>1</v>
      </c>
      <c r="D890" s="358" t="n">
        <v>0</v>
      </c>
      <c r="E890" s="358" t="n">
        <v>0</v>
      </c>
      <c r="F890" s="358" t="n">
        <v>0</v>
      </c>
      <c r="G890" s="372" t="n">
        <v>0</v>
      </c>
      <c r="H890" s="373" t="n">
        <v>0</v>
      </c>
      <c r="I890" s="358" t="n">
        <v>0</v>
      </c>
      <c r="J890" s="358" t="n">
        <v>0</v>
      </c>
      <c r="K890" s="372" t="n">
        <v>0</v>
      </c>
      <c r="L890" s="373" t="n">
        <v>0</v>
      </c>
      <c r="M890" s="358" t="n">
        <v>0</v>
      </c>
      <c r="N890" s="358" t="n">
        <v>0</v>
      </c>
      <c r="O890" s="372" t="n">
        <v>0</v>
      </c>
      <c r="P890" s="373" t="n">
        <v>0</v>
      </c>
      <c r="Q890" s="358" t="n">
        <v>0</v>
      </c>
      <c r="R890" s="358" t="n">
        <v>0</v>
      </c>
      <c r="S890" s="372" t="n">
        <v>0</v>
      </c>
      <c r="T890" s="373" t="n">
        <v>0</v>
      </c>
      <c r="U890" s="358" t="n">
        <v>0</v>
      </c>
      <c r="V890" s="358" t="n">
        <v>0</v>
      </c>
      <c r="W890" s="372" t="n">
        <v>0</v>
      </c>
      <c r="X890" s="373" t="n">
        <v>0</v>
      </c>
      <c r="Y890" s="358" t="n">
        <v>0</v>
      </c>
      <c r="Z890" s="358" t="n">
        <v>0</v>
      </c>
      <c r="AA890" s="358" t="n">
        <v>0</v>
      </c>
      <c r="AB890" s="373" t="n">
        <v>0</v>
      </c>
      <c r="AC890" s="358" t="n">
        <v>0</v>
      </c>
      <c r="AD890" s="358" t="n">
        <v>0</v>
      </c>
      <c r="AE890" s="358" t="n">
        <v>0</v>
      </c>
      <c r="AF890" s="359" t="n">
        <v>1</v>
      </c>
    </row>
    <row r="891" customFormat="false" ht="15" hidden="true" customHeight="false" outlineLevel="0" collapsed="false">
      <c r="B891" s="360" t="s">
        <v>3358</v>
      </c>
      <c r="C891" s="359" t="n">
        <v>1</v>
      </c>
      <c r="D891" s="358" t="n">
        <v>0</v>
      </c>
      <c r="E891" s="358" t="n">
        <v>0</v>
      </c>
      <c r="F891" s="358" t="n">
        <v>0</v>
      </c>
      <c r="G891" s="372" t="n">
        <v>0</v>
      </c>
      <c r="H891" s="373" t="n">
        <v>0</v>
      </c>
      <c r="I891" s="358" t="n">
        <v>0</v>
      </c>
      <c r="J891" s="358" t="n">
        <v>0</v>
      </c>
      <c r="K891" s="372" t="n">
        <v>0</v>
      </c>
      <c r="L891" s="373" t="n">
        <v>0</v>
      </c>
      <c r="M891" s="358" t="n">
        <v>0</v>
      </c>
      <c r="N891" s="358" t="n">
        <v>0</v>
      </c>
      <c r="O891" s="372" t="n">
        <v>0</v>
      </c>
      <c r="P891" s="373" t="n">
        <v>0</v>
      </c>
      <c r="Q891" s="358" t="n">
        <v>0</v>
      </c>
      <c r="R891" s="358" t="n">
        <v>0</v>
      </c>
      <c r="S891" s="372" t="n">
        <v>0</v>
      </c>
      <c r="T891" s="373" t="n">
        <v>0</v>
      </c>
      <c r="U891" s="358" t="n">
        <v>0</v>
      </c>
      <c r="V891" s="358" t="n">
        <v>0</v>
      </c>
      <c r="W891" s="372" t="n">
        <v>0</v>
      </c>
      <c r="X891" s="373" t="n">
        <v>0</v>
      </c>
      <c r="Y891" s="358" t="n">
        <v>0</v>
      </c>
      <c r="Z891" s="358" t="n">
        <v>0</v>
      </c>
      <c r="AA891" s="358" t="n">
        <v>0</v>
      </c>
      <c r="AB891" s="373" t="n">
        <v>0</v>
      </c>
      <c r="AC891" s="358" t="n">
        <v>0</v>
      </c>
      <c r="AD891" s="358" t="n">
        <v>0</v>
      </c>
      <c r="AE891" s="358" t="n">
        <v>0</v>
      </c>
      <c r="AF891" s="359" t="n">
        <v>1</v>
      </c>
    </row>
    <row r="892" customFormat="false" ht="15" hidden="true" customHeight="false" outlineLevel="0" collapsed="false">
      <c r="B892" s="360" t="s">
        <v>3359</v>
      </c>
      <c r="C892" s="359" t="n">
        <v>1</v>
      </c>
      <c r="D892" s="358" t="n">
        <v>0</v>
      </c>
      <c r="E892" s="358" t="n">
        <v>0</v>
      </c>
      <c r="F892" s="358" t="n">
        <v>0</v>
      </c>
      <c r="G892" s="372" t="n">
        <v>0</v>
      </c>
      <c r="H892" s="373" t="n">
        <v>0</v>
      </c>
      <c r="I892" s="358" t="n">
        <v>0</v>
      </c>
      <c r="J892" s="358" t="n">
        <v>0</v>
      </c>
      <c r="K892" s="372" t="n">
        <v>0</v>
      </c>
      <c r="L892" s="373" t="n">
        <v>0</v>
      </c>
      <c r="M892" s="358" t="n">
        <v>0</v>
      </c>
      <c r="N892" s="358" t="n">
        <v>0</v>
      </c>
      <c r="O892" s="372" t="n">
        <v>0</v>
      </c>
      <c r="P892" s="373" t="n">
        <v>0</v>
      </c>
      <c r="Q892" s="358" t="n">
        <v>0</v>
      </c>
      <c r="R892" s="358" t="n">
        <v>0</v>
      </c>
      <c r="S892" s="372" t="n">
        <v>0</v>
      </c>
      <c r="T892" s="373" t="n">
        <v>0</v>
      </c>
      <c r="U892" s="358" t="n">
        <v>0</v>
      </c>
      <c r="V892" s="358" t="n">
        <v>0</v>
      </c>
      <c r="W892" s="372" t="n">
        <v>0</v>
      </c>
      <c r="X892" s="373" t="n">
        <v>0</v>
      </c>
      <c r="Y892" s="358" t="n">
        <v>0</v>
      </c>
      <c r="Z892" s="358" t="n">
        <v>0</v>
      </c>
      <c r="AA892" s="358" t="n">
        <v>0</v>
      </c>
      <c r="AB892" s="373" t="n">
        <v>0</v>
      </c>
      <c r="AC892" s="358" t="n">
        <v>0</v>
      </c>
      <c r="AD892" s="358" t="n">
        <v>0</v>
      </c>
      <c r="AE892" s="358" t="n">
        <v>0</v>
      </c>
      <c r="AF892" s="359" t="n">
        <v>1</v>
      </c>
    </row>
    <row r="893" customFormat="false" ht="15" hidden="true" customHeight="false" outlineLevel="0" collapsed="false">
      <c r="B893" s="360" t="s">
        <v>3360</v>
      </c>
      <c r="C893" s="359" t="n">
        <v>1</v>
      </c>
      <c r="D893" s="358" t="n">
        <v>0</v>
      </c>
      <c r="E893" s="358" t="n">
        <v>0</v>
      </c>
      <c r="F893" s="358" t="n">
        <v>0</v>
      </c>
      <c r="G893" s="372" t="n">
        <v>0</v>
      </c>
      <c r="H893" s="373" t="n">
        <v>0</v>
      </c>
      <c r="I893" s="358" t="n">
        <v>0</v>
      </c>
      <c r="J893" s="358" t="n">
        <v>0</v>
      </c>
      <c r="K893" s="372" t="n">
        <v>0</v>
      </c>
      <c r="L893" s="373" t="n">
        <v>0</v>
      </c>
      <c r="M893" s="358" t="n">
        <v>0</v>
      </c>
      <c r="N893" s="358" t="n">
        <v>0</v>
      </c>
      <c r="O893" s="372" t="n">
        <v>0</v>
      </c>
      <c r="P893" s="373" t="n">
        <v>0</v>
      </c>
      <c r="Q893" s="358" t="n">
        <v>0</v>
      </c>
      <c r="R893" s="358" t="n">
        <v>0</v>
      </c>
      <c r="S893" s="372" t="n">
        <v>0</v>
      </c>
      <c r="T893" s="373" t="n">
        <v>0</v>
      </c>
      <c r="U893" s="358" t="n">
        <v>0</v>
      </c>
      <c r="V893" s="358" t="n">
        <v>0</v>
      </c>
      <c r="W893" s="372" t="n">
        <v>0</v>
      </c>
      <c r="X893" s="373" t="n">
        <v>0</v>
      </c>
      <c r="Y893" s="358" t="n">
        <v>0</v>
      </c>
      <c r="Z893" s="358" t="n">
        <v>0</v>
      </c>
      <c r="AA893" s="358" t="n">
        <v>0</v>
      </c>
      <c r="AB893" s="373" t="n">
        <v>0</v>
      </c>
      <c r="AC893" s="358" t="n">
        <v>0</v>
      </c>
      <c r="AD893" s="358" t="n">
        <v>0</v>
      </c>
      <c r="AE893" s="358" t="n">
        <v>0</v>
      </c>
      <c r="AF893" s="359" t="n">
        <v>1</v>
      </c>
    </row>
    <row r="894" customFormat="false" ht="15" hidden="true" customHeight="false" outlineLevel="0" collapsed="false">
      <c r="B894" s="360" t="s">
        <v>3361</v>
      </c>
      <c r="C894" s="359" t="n">
        <v>1</v>
      </c>
      <c r="D894" s="358" t="n">
        <v>0</v>
      </c>
      <c r="E894" s="358" t="n">
        <v>0</v>
      </c>
      <c r="F894" s="358" t="n">
        <v>0</v>
      </c>
      <c r="G894" s="372" t="n">
        <v>0</v>
      </c>
      <c r="H894" s="373" t="n">
        <v>0</v>
      </c>
      <c r="I894" s="358" t="n">
        <v>0</v>
      </c>
      <c r="J894" s="358" t="n">
        <v>0</v>
      </c>
      <c r="K894" s="372" t="n">
        <v>0</v>
      </c>
      <c r="L894" s="373" t="n">
        <v>0</v>
      </c>
      <c r="M894" s="358" t="n">
        <v>0</v>
      </c>
      <c r="N894" s="358" t="n">
        <v>0</v>
      </c>
      <c r="O894" s="372" t="n">
        <v>0</v>
      </c>
      <c r="P894" s="373" t="n">
        <v>0</v>
      </c>
      <c r="Q894" s="358" t="n">
        <v>0</v>
      </c>
      <c r="R894" s="358" t="n">
        <v>0</v>
      </c>
      <c r="S894" s="372" t="n">
        <v>0</v>
      </c>
      <c r="T894" s="373" t="n">
        <v>0</v>
      </c>
      <c r="U894" s="358" t="n">
        <v>0</v>
      </c>
      <c r="V894" s="358" t="n">
        <v>0</v>
      </c>
      <c r="W894" s="372" t="n">
        <v>0</v>
      </c>
      <c r="X894" s="373" t="n">
        <v>0</v>
      </c>
      <c r="Y894" s="358" t="n">
        <v>0</v>
      </c>
      <c r="Z894" s="358" t="n">
        <v>0</v>
      </c>
      <c r="AA894" s="358" t="n">
        <v>0</v>
      </c>
      <c r="AB894" s="373" t="n">
        <v>0</v>
      </c>
      <c r="AC894" s="358" t="n">
        <v>0</v>
      </c>
      <c r="AD894" s="358" t="n">
        <v>0</v>
      </c>
      <c r="AE894" s="358" t="n">
        <v>0</v>
      </c>
      <c r="AF894" s="359" t="n">
        <v>1</v>
      </c>
    </row>
    <row r="895" customFormat="false" ht="15" hidden="true" customHeight="false" outlineLevel="0" collapsed="false">
      <c r="B895" s="360" t="s">
        <v>3362</v>
      </c>
      <c r="C895" s="359" t="n">
        <v>1</v>
      </c>
      <c r="D895" s="358" t="n">
        <v>0</v>
      </c>
      <c r="E895" s="358" t="n">
        <v>0</v>
      </c>
      <c r="F895" s="358" t="n">
        <v>0</v>
      </c>
      <c r="G895" s="372" t="n">
        <v>0</v>
      </c>
      <c r="H895" s="373" t="n">
        <v>0</v>
      </c>
      <c r="I895" s="358" t="n">
        <v>0</v>
      </c>
      <c r="J895" s="358" t="n">
        <v>0</v>
      </c>
      <c r="K895" s="372" t="n">
        <v>0</v>
      </c>
      <c r="L895" s="373" t="n">
        <v>0</v>
      </c>
      <c r="M895" s="358" t="n">
        <v>0</v>
      </c>
      <c r="N895" s="358" t="n">
        <v>0</v>
      </c>
      <c r="O895" s="372" t="n">
        <v>0</v>
      </c>
      <c r="P895" s="373" t="n">
        <v>0</v>
      </c>
      <c r="Q895" s="358" t="n">
        <v>0</v>
      </c>
      <c r="R895" s="358" t="n">
        <v>0</v>
      </c>
      <c r="S895" s="372" t="n">
        <v>0</v>
      </c>
      <c r="T895" s="373" t="n">
        <v>0</v>
      </c>
      <c r="U895" s="358" t="n">
        <v>0</v>
      </c>
      <c r="V895" s="358" t="n">
        <v>0</v>
      </c>
      <c r="W895" s="372" t="n">
        <v>0</v>
      </c>
      <c r="X895" s="373" t="n">
        <v>0</v>
      </c>
      <c r="Y895" s="358" t="n">
        <v>0</v>
      </c>
      <c r="Z895" s="358" t="n">
        <v>0</v>
      </c>
      <c r="AA895" s="358" t="n">
        <v>0</v>
      </c>
      <c r="AB895" s="373" t="n">
        <v>0</v>
      </c>
      <c r="AC895" s="358" t="n">
        <v>0</v>
      </c>
      <c r="AD895" s="358" t="n">
        <v>0</v>
      </c>
      <c r="AE895" s="358" t="n">
        <v>0</v>
      </c>
      <c r="AF895" s="359" t="n">
        <v>1</v>
      </c>
    </row>
    <row r="896" customFormat="false" ht="15" hidden="true" customHeight="false" outlineLevel="0" collapsed="false">
      <c r="B896" s="360" t="s">
        <v>3363</v>
      </c>
      <c r="C896" s="359" t="n">
        <v>1</v>
      </c>
      <c r="D896" s="358" t="n">
        <v>0</v>
      </c>
      <c r="E896" s="358" t="n">
        <v>0</v>
      </c>
      <c r="F896" s="358" t="n">
        <v>0</v>
      </c>
      <c r="G896" s="372" t="n">
        <v>0</v>
      </c>
      <c r="H896" s="373" t="n">
        <v>0</v>
      </c>
      <c r="I896" s="358" t="n">
        <v>0</v>
      </c>
      <c r="J896" s="358" t="n">
        <v>0</v>
      </c>
      <c r="K896" s="372" t="n">
        <v>0</v>
      </c>
      <c r="L896" s="373" t="n">
        <v>0</v>
      </c>
      <c r="M896" s="358" t="n">
        <v>0</v>
      </c>
      <c r="N896" s="358" t="n">
        <v>0</v>
      </c>
      <c r="O896" s="372" t="n">
        <v>0</v>
      </c>
      <c r="P896" s="373" t="n">
        <v>0</v>
      </c>
      <c r="Q896" s="358" t="n">
        <v>0</v>
      </c>
      <c r="R896" s="358" t="n">
        <v>0</v>
      </c>
      <c r="S896" s="372" t="n">
        <v>0</v>
      </c>
      <c r="T896" s="373" t="n">
        <v>0</v>
      </c>
      <c r="U896" s="358" t="n">
        <v>0</v>
      </c>
      <c r="V896" s="358" t="n">
        <v>0</v>
      </c>
      <c r="W896" s="372" t="n">
        <v>0</v>
      </c>
      <c r="X896" s="373" t="n">
        <v>0</v>
      </c>
      <c r="Y896" s="358" t="n">
        <v>0</v>
      </c>
      <c r="Z896" s="358" t="n">
        <v>0</v>
      </c>
      <c r="AA896" s="358" t="n">
        <v>0</v>
      </c>
      <c r="AB896" s="373" t="n">
        <v>0</v>
      </c>
      <c r="AC896" s="358" t="n">
        <v>0</v>
      </c>
      <c r="AD896" s="358" t="n">
        <v>0</v>
      </c>
      <c r="AE896" s="358" t="n">
        <v>0</v>
      </c>
      <c r="AF896" s="359" t="n">
        <v>1</v>
      </c>
    </row>
    <row r="897" customFormat="false" ht="15" hidden="true" customHeight="false" outlineLevel="0" collapsed="false">
      <c r="B897" s="360" t="s">
        <v>3364</v>
      </c>
      <c r="C897" s="359" t="n">
        <v>1</v>
      </c>
      <c r="D897" s="358" t="n">
        <v>0</v>
      </c>
      <c r="E897" s="358" t="n">
        <v>0</v>
      </c>
      <c r="F897" s="358" t="n">
        <v>0</v>
      </c>
      <c r="G897" s="372" t="n">
        <v>0</v>
      </c>
      <c r="H897" s="373" t="n">
        <v>0</v>
      </c>
      <c r="I897" s="358" t="n">
        <v>0</v>
      </c>
      <c r="J897" s="358" t="n">
        <v>0</v>
      </c>
      <c r="K897" s="372" t="n">
        <v>0</v>
      </c>
      <c r="L897" s="373" t="n">
        <v>0</v>
      </c>
      <c r="M897" s="358" t="n">
        <v>0</v>
      </c>
      <c r="N897" s="358" t="n">
        <v>0</v>
      </c>
      <c r="O897" s="372" t="n">
        <v>0</v>
      </c>
      <c r="P897" s="373" t="n">
        <v>0</v>
      </c>
      <c r="Q897" s="358" t="n">
        <v>0</v>
      </c>
      <c r="R897" s="358" t="n">
        <v>0</v>
      </c>
      <c r="S897" s="372" t="n">
        <v>0</v>
      </c>
      <c r="T897" s="373" t="n">
        <v>0</v>
      </c>
      <c r="U897" s="358" t="n">
        <v>0</v>
      </c>
      <c r="V897" s="358" t="n">
        <v>0</v>
      </c>
      <c r="W897" s="372" t="n">
        <v>0</v>
      </c>
      <c r="X897" s="373" t="n">
        <v>0</v>
      </c>
      <c r="Y897" s="358" t="n">
        <v>0</v>
      </c>
      <c r="Z897" s="358" t="n">
        <v>0</v>
      </c>
      <c r="AA897" s="358" t="n">
        <v>0</v>
      </c>
      <c r="AB897" s="373" t="n">
        <v>0</v>
      </c>
      <c r="AC897" s="358" t="n">
        <v>0</v>
      </c>
      <c r="AD897" s="358" t="n">
        <v>0</v>
      </c>
      <c r="AE897" s="358" t="n">
        <v>0</v>
      </c>
      <c r="AF897" s="359" t="n">
        <v>1</v>
      </c>
    </row>
    <row r="898" customFormat="false" ht="15" hidden="true" customHeight="false" outlineLevel="0" collapsed="false">
      <c r="B898" s="360" t="s">
        <v>3365</v>
      </c>
      <c r="C898" s="359" t="n">
        <v>1</v>
      </c>
      <c r="D898" s="358" t="n">
        <v>0</v>
      </c>
      <c r="E898" s="358" t="n">
        <v>0</v>
      </c>
      <c r="F898" s="358" t="n">
        <v>0</v>
      </c>
      <c r="G898" s="372" t="n">
        <v>0</v>
      </c>
      <c r="H898" s="373" t="n">
        <v>0</v>
      </c>
      <c r="I898" s="358" t="n">
        <v>0</v>
      </c>
      <c r="J898" s="358" t="n">
        <v>0</v>
      </c>
      <c r="K898" s="372" t="n">
        <v>0</v>
      </c>
      <c r="L898" s="373" t="n">
        <v>0</v>
      </c>
      <c r="M898" s="358" t="n">
        <v>0</v>
      </c>
      <c r="N898" s="358" t="n">
        <v>0</v>
      </c>
      <c r="O898" s="372" t="n">
        <v>0</v>
      </c>
      <c r="P898" s="373" t="n">
        <v>0</v>
      </c>
      <c r="Q898" s="358" t="n">
        <v>0</v>
      </c>
      <c r="R898" s="358" t="n">
        <v>0</v>
      </c>
      <c r="S898" s="372" t="n">
        <v>0</v>
      </c>
      <c r="T898" s="373" t="n">
        <v>0</v>
      </c>
      <c r="U898" s="358" t="n">
        <v>0</v>
      </c>
      <c r="V898" s="358" t="n">
        <v>0</v>
      </c>
      <c r="W898" s="372" t="n">
        <v>0</v>
      </c>
      <c r="X898" s="373" t="n">
        <v>0</v>
      </c>
      <c r="Y898" s="358" t="n">
        <v>0</v>
      </c>
      <c r="Z898" s="358" t="n">
        <v>0</v>
      </c>
      <c r="AA898" s="358" t="n">
        <v>0</v>
      </c>
      <c r="AB898" s="373" t="n">
        <v>0</v>
      </c>
      <c r="AC898" s="358" t="n">
        <v>0</v>
      </c>
      <c r="AD898" s="358" t="n">
        <v>0</v>
      </c>
      <c r="AE898" s="358" t="n">
        <v>0</v>
      </c>
      <c r="AF898" s="359" t="n">
        <v>1</v>
      </c>
    </row>
    <row r="899" customFormat="false" ht="15" hidden="true" customHeight="false" outlineLevel="0" collapsed="false">
      <c r="B899" s="360" t="s">
        <v>3366</v>
      </c>
      <c r="C899" s="359" t="n">
        <v>1</v>
      </c>
      <c r="D899" s="358" t="n">
        <v>0</v>
      </c>
      <c r="E899" s="358" t="n">
        <v>0</v>
      </c>
      <c r="F899" s="358" t="n">
        <v>0</v>
      </c>
      <c r="G899" s="372" t="n">
        <v>0</v>
      </c>
      <c r="H899" s="373" t="n">
        <v>0</v>
      </c>
      <c r="I899" s="358" t="n">
        <v>0</v>
      </c>
      <c r="J899" s="358" t="n">
        <v>0</v>
      </c>
      <c r="K899" s="372" t="n">
        <v>0</v>
      </c>
      <c r="L899" s="373" t="n">
        <v>0</v>
      </c>
      <c r="M899" s="358" t="n">
        <v>0</v>
      </c>
      <c r="N899" s="358" t="n">
        <v>0</v>
      </c>
      <c r="O899" s="372" t="n">
        <v>0</v>
      </c>
      <c r="P899" s="373" t="n">
        <v>0</v>
      </c>
      <c r="Q899" s="358" t="n">
        <v>0</v>
      </c>
      <c r="R899" s="358" t="n">
        <v>0</v>
      </c>
      <c r="S899" s="372" t="n">
        <v>0</v>
      </c>
      <c r="T899" s="373" t="n">
        <v>0</v>
      </c>
      <c r="U899" s="358" t="n">
        <v>0</v>
      </c>
      <c r="V899" s="358" t="n">
        <v>0</v>
      </c>
      <c r="W899" s="372" t="n">
        <v>0</v>
      </c>
      <c r="X899" s="373" t="n">
        <v>0</v>
      </c>
      <c r="Y899" s="358" t="n">
        <v>0</v>
      </c>
      <c r="Z899" s="358" t="n">
        <v>0</v>
      </c>
      <c r="AA899" s="358" t="n">
        <v>0</v>
      </c>
      <c r="AB899" s="373" t="n">
        <v>0</v>
      </c>
      <c r="AC899" s="358" t="n">
        <v>0</v>
      </c>
      <c r="AD899" s="358" t="n">
        <v>0</v>
      </c>
      <c r="AE899" s="358" t="n">
        <v>0</v>
      </c>
      <c r="AF899" s="359" t="n">
        <v>1</v>
      </c>
    </row>
    <row r="900" customFormat="false" ht="15" hidden="true" customHeight="false" outlineLevel="0" collapsed="false">
      <c r="B900" s="360" t="s">
        <v>3367</v>
      </c>
      <c r="C900" s="359" t="n">
        <v>1</v>
      </c>
      <c r="D900" s="358" t="n">
        <v>0</v>
      </c>
      <c r="E900" s="358" t="n">
        <v>0</v>
      </c>
      <c r="F900" s="358" t="n">
        <v>0</v>
      </c>
      <c r="G900" s="372" t="n">
        <v>0</v>
      </c>
      <c r="H900" s="373" t="n">
        <v>0</v>
      </c>
      <c r="I900" s="358" t="n">
        <v>0</v>
      </c>
      <c r="J900" s="358" t="n">
        <v>0</v>
      </c>
      <c r="K900" s="372" t="n">
        <v>0</v>
      </c>
      <c r="L900" s="373" t="n">
        <v>0</v>
      </c>
      <c r="M900" s="358" t="n">
        <v>0</v>
      </c>
      <c r="N900" s="358" t="n">
        <v>0</v>
      </c>
      <c r="O900" s="372" t="n">
        <v>0</v>
      </c>
      <c r="P900" s="373" t="n">
        <v>0</v>
      </c>
      <c r="Q900" s="358" t="n">
        <v>0</v>
      </c>
      <c r="R900" s="358" t="n">
        <v>0</v>
      </c>
      <c r="S900" s="372" t="n">
        <v>0</v>
      </c>
      <c r="T900" s="373" t="n">
        <v>0</v>
      </c>
      <c r="U900" s="358" t="n">
        <v>0</v>
      </c>
      <c r="V900" s="358" t="n">
        <v>0</v>
      </c>
      <c r="W900" s="372" t="n">
        <v>0</v>
      </c>
      <c r="X900" s="373" t="n">
        <v>0</v>
      </c>
      <c r="Y900" s="358" t="n">
        <v>0</v>
      </c>
      <c r="Z900" s="358" t="n">
        <v>0</v>
      </c>
      <c r="AA900" s="358" t="n">
        <v>0</v>
      </c>
      <c r="AB900" s="373" t="n">
        <v>0</v>
      </c>
      <c r="AC900" s="358" t="n">
        <v>0</v>
      </c>
      <c r="AD900" s="358" t="n">
        <v>0</v>
      </c>
      <c r="AE900" s="358" t="n">
        <v>0</v>
      </c>
      <c r="AF900" s="359" t="n">
        <v>1</v>
      </c>
    </row>
    <row r="901" customFormat="false" ht="15" hidden="true" customHeight="false" outlineLevel="0" collapsed="false">
      <c r="B901" s="360" t="s">
        <v>3368</v>
      </c>
      <c r="C901" s="359" t="n">
        <v>1</v>
      </c>
      <c r="D901" s="358" t="n">
        <v>0</v>
      </c>
      <c r="E901" s="358" t="n">
        <v>0</v>
      </c>
      <c r="F901" s="358" t="n">
        <v>0</v>
      </c>
      <c r="G901" s="372" t="n">
        <v>0</v>
      </c>
      <c r="H901" s="373" t="n">
        <v>0</v>
      </c>
      <c r="I901" s="358" t="n">
        <v>0</v>
      </c>
      <c r="J901" s="358" t="n">
        <v>0</v>
      </c>
      <c r="K901" s="372" t="n">
        <v>0</v>
      </c>
      <c r="L901" s="373" t="n">
        <v>0</v>
      </c>
      <c r="M901" s="358" t="n">
        <v>0</v>
      </c>
      <c r="N901" s="358" t="n">
        <v>0</v>
      </c>
      <c r="O901" s="372" t="n">
        <v>0</v>
      </c>
      <c r="P901" s="373" t="n">
        <v>0</v>
      </c>
      <c r="Q901" s="358" t="n">
        <v>0</v>
      </c>
      <c r="R901" s="358" t="n">
        <v>0</v>
      </c>
      <c r="S901" s="372" t="n">
        <v>0</v>
      </c>
      <c r="T901" s="373" t="n">
        <v>0</v>
      </c>
      <c r="U901" s="358" t="n">
        <v>0</v>
      </c>
      <c r="V901" s="358" t="n">
        <v>0</v>
      </c>
      <c r="W901" s="372" t="n">
        <v>0</v>
      </c>
      <c r="X901" s="373" t="n">
        <v>0</v>
      </c>
      <c r="Y901" s="358" t="n">
        <v>0</v>
      </c>
      <c r="Z901" s="358" t="n">
        <v>0</v>
      </c>
      <c r="AA901" s="358" t="n">
        <v>0</v>
      </c>
      <c r="AB901" s="373" t="n">
        <v>0</v>
      </c>
      <c r="AC901" s="358" t="n">
        <v>0</v>
      </c>
      <c r="AD901" s="358" t="n">
        <v>0</v>
      </c>
      <c r="AE901" s="358" t="n">
        <v>0</v>
      </c>
      <c r="AF901" s="359" t="n">
        <v>1</v>
      </c>
    </row>
    <row r="902" customFormat="false" ht="15" hidden="true" customHeight="false" outlineLevel="0" collapsed="false">
      <c r="B902" s="360" t="s">
        <v>3369</v>
      </c>
      <c r="C902" s="359" t="n">
        <v>1</v>
      </c>
      <c r="D902" s="358" t="n">
        <v>0</v>
      </c>
      <c r="E902" s="358" t="n">
        <v>0</v>
      </c>
      <c r="F902" s="358" t="n">
        <v>0</v>
      </c>
      <c r="G902" s="372" t="n">
        <v>0</v>
      </c>
      <c r="H902" s="373" t="n">
        <v>0</v>
      </c>
      <c r="I902" s="358" t="n">
        <v>0</v>
      </c>
      <c r="J902" s="358" t="n">
        <v>0</v>
      </c>
      <c r="K902" s="372" t="n">
        <v>0</v>
      </c>
      <c r="L902" s="373" t="n">
        <v>0</v>
      </c>
      <c r="M902" s="358" t="n">
        <v>0</v>
      </c>
      <c r="N902" s="358" t="n">
        <v>0</v>
      </c>
      <c r="O902" s="372" t="n">
        <v>0</v>
      </c>
      <c r="P902" s="373" t="n">
        <v>0</v>
      </c>
      <c r="Q902" s="358" t="n">
        <v>0</v>
      </c>
      <c r="R902" s="358" t="n">
        <v>0</v>
      </c>
      <c r="S902" s="372" t="n">
        <v>0</v>
      </c>
      <c r="T902" s="373" t="n">
        <v>0</v>
      </c>
      <c r="U902" s="358" t="n">
        <v>0</v>
      </c>
      <c r="V902" s="358" t="n">
        <v>0</v>
      </c>
      <c r="W902" s="372" t="n">
        <v>0</v>
      </c>
      <c r="X902" s="373" t="n">
        <v>0</v>
      </c>
      <c r="Y902" s="358" t="n">
        <v>0</v>
      </c>
      <c r="Z902" s="358" t="n">
        <v>0</v>
      </c>
      <c r="AA902" s="358" t="n">
        <v>0</v>
      </c>
      <c r="AB902" s="373" t="n">
        <v>0</v>
      </c>
      <c r="AC902" s="358" t="n">
        <v>0</v>
      </c>
      <c r="AD902" s="358" t="n">
        <v>0</v>
      </c>
      <c r="AE902" s="358" t="n">
        <v>0</v>
      </c>
      <c r="AF902" s="359" t="n">
        <v>1</v>
      </c>
    </row>
    <row r="903" customFormat="false" ht="15" hidden="true" customHeight="false" outlineLevel="0" collapsed="false">
      <c r="B903" s="360" t="s">
        <v>3370</v>
      </c>
      <c r="C903" s="359" t="n">
        <v>1</v>
      </c>
      <c r="D903" s="358" t="n">
        <v>0</v>
      </c>
      <c r="E903" s="358" t="n">
        <v>0</v>
      </c>
      <c r="F903" s="358" t="n">
        <v>0</v>
      </c>
      <c r="G903" s="372" t="n">
        <v>0</v>
      </c>
      <c r="H903" s="373" t="n">
        <v>0</v>
      </c>
      <c r="I903" s="358" t="n">
        <v>0</v>
      </c>
      <c r="J903" s="358" t="n">
        <v>0</v>
      </c>
      <c r="K903" s="372" t="n">
        <v>0</v>
      </c>
      <c r="L903" s="373" t="n">
        <v>0</v>
      </c>
      <c r="M903" s="358" t="n">
        <v>0</v>
      </c>
      <c r="N903" s="358" t="n">
        <v>0</v>
      </c>
      <c r="O903" s="372" t="n">
        <v>0</v>
      </c>
      <c r="P903" s="373" t="n">
        <v>0</v>
      </c>
      <c r="Q903" s="358" t="n">
        <v>0</v>
      </c>
      <c r="R903" s="358" t="n">
        <v>0</v>
      </c>
      <c r="S903" s="372" t="n">
        <v>0</v>
      </c>
      <c r="T903" s="373" t="n">
        <v>0</v>
      </c>
      <c r="U903" s="358" t="n">
        <v>0</v>
      </c>
      <c r="V903" s="358" t="n">
        <v>0</v>
      </c>
      <c r="W903" s="372" t="n">
        <v>0</v>
      </c>
      <c r="X903" s="373" t="n">
        <v>0</v>
      </c>
      <c r="Y903" s="358" t="n">
        <v>0</v>
      </c>
      <c r="Z903" s="358" t="n">
        <v>0</v>
      </c>
      <c r="AA903" s="358" t="n">
        <v>0</v>
      </c>
      <c r="AB903" s="373" t="n">
        <v>0</v>
      </c>
      <c r="AC903" s="358" t="n">
        <v>0</v>
      </c>
      <c r="AD903" s="358" t="n">
        <v>0</v>
      </c>
      <c r="AE903" s="358" t="n">
        <v>0</v>
      </c>
      <c r="AF903" s="359" t="n">
        <v>1</v>
      </c>
    </row>
    <row r="904" customFormat="false" ht="15" hidden="false" customHeight="false" outlineLevel="0" collapsed="false">
      <c r="B904" s="356" t="s">
        <v>2474</v>
      </c>
      <c r="C904" s="357" t="n">
        <v>26</v>
      </c>
      <c r="D904" s="358" t="n">
        <v>0</v>
      </c>
      <c r="E904" s="358" t="n">
        <v>0</v>
      </c>
      <c r="F904" s="358" t="n">
        <v>0</v>
      </c>
      <c r="G904" s="372" t="n">
        <v>0</v>
      </c>
      <c r="H904" s="373" t="n">
        <v>0</v>
      </c>
      <c r="I904" s="358" t="n">
        <v>0</v>
      </c>
      <c r="J904" s="358" t="n">
        <v>0</v>
      </c>
      <c r="K904" s="372" t="n">
        <v>0</v>
      </c>
      <c r="L904" s="373" t="n">
        <v>0</v>
      </c>
      <c r="M904" s="358" t="n">
        <v>0</v>
      </c>
      <c r="N904" s="358" t="n">
        <v>0</v>
      </c>
      <c r="O904" s="372" t="n">
        <v>0</v>
      </c>
      <c r="P904" s="373" t="n">
        <v>0</v>
      </c>
      <c r="Q904" s="358" t="n">
        <v>0</v>
      </c>
      <c r="R904" s="358" t="n">
        <v>0</v>
      </c>
      <c r="S904" s="372" t="n">
        <v>0</v>
      </c>
      <c r="T904" s="373" t="n">
        <v>0</v>
      </c>
      <c r="U904" s="358" t="n">
        <v>0</v>
      </c>
      <c r="V904" s="358" t="n">
        <v>0</v>
      </c>
      <c r="W904" s="372" t="n">
        <v>0</v>
      </c>
      <c r="X904" s="373" t="n">
        <v>0</v>
      </c>
      <c r="Y904" s="358" t="n">
        <v>0</v>
      </c>
      <c r="Z904" s="358" t="n">
        <v>0</v>
      </c>
      <c r="AA904" s="358" t="n">
        <v>0</v>
      </c>
      <c r="AB904" s="373" t="n">
        <v>0</v>
      </c>
      <c r="AC904" s="358" t="n">
        <v>0</v>
      </c>
      <c r="AD904" s="358" t="n">
        <v>0</v>
      </c>
      <c r="AE904" s="358" t="n">
        <v>0</v>
      </c>
      <c r="AF904" s="357" t="n">
        <v>26</v>
      </c>
    </row>
    <row r="905" customFormat="false" ht="15" hidden="true" customHeight="false" outlineLevel="0" collapsed="false">
      <c r="B905" s="360" t="s">
        <v>3371</v>
      </c>
      <c r="C905" s="359" t="n">
        <v>1</v>
      </c>
      <c r="D905" s="358" t="n">
        <v>0</v>
      </c>
      <c r="E905" s="358" t="n">
        <v>0</v>
      </c>
      <c r="F905" s="358" t="n">
        <v>0</v>
      </c>
      <c r="G905" s="372" t="n">
        <v>0</v>
      </c>
      <c r="H905" s="373" t="n">
        <v>0</v>
      </c>
      <c r="I905" s="358" t="n">
        <v>0</v>
      </c>
      <c r="J905" s="358" t="n">
        <v>0</v>
      </c>
      <c r="K905" s="372" t="n">
        <v>0</v>
      </c>
      <c r="L905" s="373" t="n">
        <v>0</v>
      </c>
      <c r="M905" s="358" t="n">
        <v>0</v>
      </c>
      <c r="N905" s="358" t="n">
        <v>0</v>
      </c>
      <c r="O905" s="372" t="n">
        <v>0</v>
      </c>
      <c r="P905" s="373" t="n">
        <v>0</v>
      </c>
      <c r="Q905" s="358" t="n">
        <v>0</v>
      </c>
      <c r="R905" s="358" t="n">
        <v>0</v>
      </c>
      <c r="S905" s="372" t="n">
        <v>0</v>
      </c>
      <c r="T905" s="373" t="n">
        <v>0</v>
      </c>
      <c r="U905" s="358" t="n">
        <v>0</v>
      </c>
      <c r="V905" s="358" t="n">
        <v>0</v>
      </c>
      <c r="W905" s="372" t="n">
        <v>0</v>
      </c>
      <c r="X905" s="373" t="n">
        <v>0</v>
      </c>
      <c r="Y905" s="358" t="n">
        <v>0</v>
      </c>
      <c r="Z905" s="358" t="n">
        <v>0</v>
      </c>
      <c r="AA905" s="358" t="n">
        <v>0</v>
      </c>
      <c r="AB905" s="373" t="n">
        <v>0</v>
      </c>
      <c r="AC905" s="358" t="n">
        <v>0</v>
      </c>
      <c r="AD905" s="358" t="n">
        <v>0</v>
      </c>
      <c r="AE905" s="358" t="n">
        <v>0</v>
      </c>
      <c r="AF905" s="359" t="n">
        <v>1</v>
      </c>
    </row>
    <row r="906" customFormat="false" ht="15" hidden="true" customHeight="false" outlineLevel="0" collapsed="false">
      <c r="B906" s="360" t="s">
        <v>3372</v>
      </c>
      <c r="C906" s="359" t="n">
        <v>1</v>
      </c>
      <c r="D906" s="358" t="n">
        <v>0</v>
      </c>
      <c r="E906" s="358" t="n">
        <v>0</v>
      </c>
      <c r="F906" s="358" t="n">
        <v>0</v>
      </c>
      <c r="G906" s="372" t="n">
        <v>0</v>
      </c>
      <c r="H906" s="373" t="n">
        <v>0</v>
      </c>
      <c r="I906" s="358" t="n">
        <v>0</v>
      </c>
      <c r="J906" s="358" t="n">
        <v>0</v>
      </c>
      <c r="K906" s="372" t="n">
        <v>0</v>
      </c>
      <c r="L906" s="373" t="n">
        <v>0</v>
      </c>
      <c r="M906" s="358" t="n">
        <v>0</v>
      </c>
      <c r="N906" s="358" t="n">
        <v>0</v>
      </c>
      <c r="O906" s="372" t="n">
        <v>0</v>
      </c>
      <c r="P906" s="373" t="n">
        <v>0</v>
      </c>
      <c r="Q906" s="358" t="n">
        <v>0</v>
      </c>
      <c r="R906" s="358" t="n">
        <v>0</v>
      </c>
      <c r="S906" s="372" t="n">
        <v>0</v>
      </c>
      <c r="T906" s="373" t="n">
        <v>0</v>
      </c>
      <c r="U906" s="358" t="n">
        <v>0</v>
      </c>
      <c r="V906" s="358" t="n">
        <v>0</v>
      </c>
      <c r="W906" s="372" t="n">
        <v>0</v>
      </c>
      <c r="X906" s="373" t="n">
        <v>0</v>
      </c>
      <c r="Y906" s="358" t="n">
        <v>0</v>
      </c>
      <c r="Z906" s="358" t="n">
        <v>0</v>
      </c>
      <c r="AA906" s="358" t="n">
        <v>0</v>
      </c>
      <c r="AB906" s="373" t="n">
        <v>0</v>
      </c>
      <c r="AC906" s="358" t="n">
        <v>0</v>
      </c>
      <c r="AD906" s="358" t="n">
        <v>0</v>
      </c>
      <c r="AE906" s="358" t="n">
        <v>0</v>
      </c>
      <c r="AF906" s="359" t="n">
        <v>1</v>
      </c>
    </row>
    <row r="907" customFormat="false" ht="15" hidden="true" customHeight="false" outlineLevel="0" collapsed="false">
      <c r="B907" s="360" t="s">
        <v>3373</v>
      </c>
      <c r="C907" s="359" t="n">
        <v>1</v>
      </c>
      <c r="D907" s="358" t="n">
        <v>0</v>
      </c>
      <c r="E907" s="358" t="n">
        <v>0</v>
      </c>
      <c r="F907" s="358" t="n">
        <v>0</v>
      </c>
      <c r="G907" s="372" t="n">
        <v>0</v>
      </c>
      <c r="H907" s="373" t="n">
        <v>0</v>
      </c>
      <c r="I907" s="358" t="n">
        <v>0</v>
      </c>
      <c r="J907" s="358" t="n">
        <v>0</v>
      </c>
      <c r="K907" s="372" t="n">
        <v>0</v>
      </c>
      <c r="L907" s="373" t="n">
        <v>0</v>
      </c>
      <c r="M907" s="358" t="n">
        <v>0</v>
      </c>
      <c r="N907" s="358" t="n">
        <v>0</v>
      </c>
      <c r="O907" s="372" t="n">
        <v>0</v>
      </c>
      <c r="P907" s="373" t="n">
        <v>0</v>
      </c>
      <c r="Q907" s="358" t="n">
        <v>0</v>
      </c>
      <c r="R907" s="358" t="n">
        <v>0</v>
      </c>
      <c r="S907" s="372" t="n">
        <v>0</v>
      </c>
      <c r="T907" s="373" t="n">
        <v>0</v>
      </c>
      <c r="U907" s="358" t="n">
        <v>0</v>
      </c>
      <c r="V907" s="358" t="n">
        <v>0</v>
      </c>
      <c r="W907" s="372" t="n">
        <v>0</v>
      </c>
      <c r="X907" s="373" t="n">
        <v>0</v>
      </c>
      <c r="Y907" s="358" t="n">
        <v>0</v>
      </c>
      <c r="Z907" s="358" t="n">
        <v>0</v>
      </c>
      <c r="AA907" s="358" t="n">
        <v>0</v>
      </c>
      <c r="AB907" s="373" t="n">
        <v>0</v>
      </c>
      <c r="AC907" s="358" t="n">
        <v>0</v>
      </c>
      <c r="AD907" s="358" t="n">
        <v>0</v>
      </c>
      <c r="AE907" s="358" t="n">
        <v>0</v>
      </c>
      <c r="AF907" s="359" t="n">
        <v>1</v>
      </c>
    </row>
    <row r="908" customFormat="false" ht="15" hidden="true" customHeight="false" outlineLevel="0" collapsed="false">
      <c r="B908" s="360" t="s">
        <v>3374</v>
      </c>
      <c r="C908" s="359" t="n">
        <v>1</v>
      </c>
      <c r="D908" s="358" t="n">
        <v>0</v>
      </c>
      <c r="E908" s="358" t="n">
        <v>0</v>
      </c>
      <c r="F908" s="358" t="n">
        <v>0</v>
      </c>
      <c r="G908" s="372" t="n">
        <v>0</v>
      </c>
      <c r="H908" s="373" t="n">
        <v>0</v>
      </c>
      <c r="I908" s="358" t="n">
        <v>0</v>
      </c>
      <c r="J908" s="358" t="n">
        <v>0</v>
      </c>
      <c r="K908" s="372" t="n">
        <v>0</v>
      </c>
      <c r="L908" s="373" t="n">
        <v>0</v>
      </c>
      <c r="M908" s="358" t="n">
        <v>0</v>
      </c>
      <c r="N908" s="358" t="n">
        <v>0</v>
      </c>
      <c r="O908" s="372" t="n">
        <v>0</v>
      </c>
      <c r="P908" s="373" t="n">
        <v>0</v>
      </c>
      <c r="Q908" s="358" t="n">
        <v>0</v>
      </c>
      <c r="R908" s="358" t="n">
        <v>0</v>
      </c>
      <c r="S908" s="372" t="n">
        <v>0</v>
      </c>
      <c r="T908" s="373" t="n">
        <v>0</v>
      </c>
      <c r="U908" s="358" t="n">
        <v>0</v>
      </c>
      <c r="V908" s="358" t="n">
        <v>0</v>
      </c>
      <c r="W908" s="372" t="n">
        <v>0</v>
      </c>
      <c r="X908" s="373" t="n">
        <v>0</v>
      </c>
      <c r="Y908" s="358" t="n">
        <v>0</v>
      </c>
      <c r="Z908" s="358" t="n">
        <v>0</v>
      </c>
      <c r="AA908" s="358" t="n">
        <v>0</v>
      </c>
      <c r="AB908" s="373" t="n">
        <v>0</v>
      </c>
      <c r="AC908" s="358" t="n">
        <v>0</v>
      </c>
      <c r="AD908" s="358" t="n">
        <v>0</v>
      </c>
      <c r="AE908" s="358" t="n">
        <v>0</v>
      </c>
      <c r="AF908" s="359" t="n">
        <v>1</v>
      </c>
    </row>
    <row r="909" customFormat="false" ht="15" hidden="true" customHeight="false" outlineLevel="0" collapsed="false">
      <c r="B909" s="360" t="s">
        <v>3375</v>
      </c>
      <c r="C909" s="359" t="n">
        <v>1</v>
      </c>
      <c r="D909" s="358" t="n">
        <v>0</v>
      </c>
      <c r="E909" s="358" t="n">
        <v>0</v>
      </c>
      <c r="F909" s="358" t="n">
        <v>0</v>
      </c>
      <c r="G909" s="372" t="n">
        <v>0</v>
      </c>
      <c r="H909" s="373" t="n">
        <v>0</v>
      </c>
      <c r="I909" s="358" t="n">
        <v>0</v>
      </c>
      <c r="J909" s="358" t="n">
        <v>0</v>
      </c>
      <c r="K909" s="372" t="n">
        <v>0</v>
      </c>
      <c r="L909" s="373" t="n">
        <v>0</v>
      </c>
      <c r="M909" s="358" t="n">
        <v>0</v>
      </c>
      <c r="N909" s="358" t="n">
        <v>0</v>
      </c>
      <c r="O909" s="372" t="n">
        <v>0</v>
      </c>
      <c r="P909" s="373" t="n">
        <v>0</v>
      </c>
      <c r="Q909" s="358" t="n">
        <v>0</v>
      </c>
      <c r="R909" s="358" t="n">
        <v>0</v>
      </c>
      <c r="S909" s="372" t="n">
        <v>0</v>
      </c>
      <c r="T909" s="373" t="n">
        <v>0</v>
      </c>
      <c r="U909" s="358" t="n">
        <v>0</v>
      </c>
      <c r="V909" s="358" t="n">
        <v>0</v>
      </c>
      <c r="W909" s="372" t="n">
        <v>0</v>
      </c>
      <c r="X909" s="373" t="n">
        <v>0</v>
      </c>
      <c r="Y909" s="358" t="n">
        <v>0</v>
      </c>
      <c r="Z909" s="358" t="n">
        <v>0</v>
      </c>
      <c r="AA909" s="358" t="n">
        <v>0</v>
      </c>
      <c r="AB909" s="373" t="n">
        <v>0</v>
      </c>
      <c r="AC909" s="358" t="n">
        <v>0</v>
      </c>
      <c r="AD909" s="358" t="n">
        <v>0</v>
      </c>
      <c r="AE909" s="358" t="n">
        <v>0</v>
      </c>
      <c r="AF909" s="359" t="n">
        <v>1</v>
      </c>
    </row>
    <row r="910" customFormat="false" ht="15" hidden="true" customHeight="false" outlineLevel="0" collapsed="false">
      <c r="B910" s="360" t="s">
        <v>3376</v>
      </c>
      <c r="C910" s="359" t="n">
        <v>1</v>
      </c>
      <c r="D910" s="358" t="n">
        <v>0</v>
      </c>
      <c r="E910" s="358" t="n">
        <v>0</v>
      </c>
      <c r="F910" s="358" t="n">
        <v>0</v>
      </c>
      <c r="G910" s="372" t="n">
        <v>0</v>
      </c>
      <c r="H910" s="373" t="n">
        <v>0</v>
      </c>
      <c r="I910" s="358" t="n">
        <v>0</v>
      </c>
      <c r="J910" s="358" t="n">
        <v>0</v>
      </c>
      <c r="K910" s="372" t="n">
        <v>0</v>
      </c>
      <c r="L910" s="373" t="n">
        <v>0</v>
      </c>
      <c r="M910" s="358" t="n">
        <v>0</v>
      </c>
      <c r="N910" s="358" t="n">
        <v>0</v>
      </c>
      <c r="O910" s="372" t="n">
        <v>0</v>
      </c>
      <c r="P910" s="373" t="n">
        <v>0</v>
      </c>
      <c r="Q910" s="358" t="n">
        <v>0</v>
      </c>
      <c r="R910" s="358" t="n">
        <v>0</v>
      </c>
      <c r="S910" s="372" t="n">
        <v>0</v>
      </c>
      <c r="T910" s="373" t="n">
        <v>0</v>
      </c>
      <c r="U910" s="358" t="n">
        <v>0</v>
      </c>
      <c r="V910" s="358" t="n">
        <v>0</v>
      </c>
      <c r="W910" s="372" t="n">
        <v>0</v>
      </c>
      <c r="X910" s="373" t="n">
        <v>0</v>
      </c>
      <c r="Y910" s="358" t="n">
        <v>0</v>
      </c>
      <c r="Z910" s="358" t="n">
        <v>0</v>
      </c>
      <c r="AA910" s="358" t="n">
        <v>0</v>
      </c>
      <c r="AB910" s="373" t="n">
        <v>0</v>
      </c>
      <c r="AC910" s="358" t="n">
        <v>0</v>
      </c>
      <c r="AD910" s="358" t="n">
        <v>0</v>
      </c>
      <c r="AE910" s="358" t="n">
        <v>0</v>
      </c>
      <c r="AF910" s="359" t="n">
        <v>1</v>
      </c>
    </row>
    <row r="911" customFormat="false" ht="15" hidden="true" customHeight="false" outlineLevel="0" collapsed="false">
      <c r="B911" s="360" t="s">
        <v>3377</v>
      </c>
      <c r="C911" s="359" t="n">
        <v>1</v>
      </c>
      <c r="D911" s="358" t="n">
        <v>0</v>
      </c>
      <c r="E911" s="358" t="n">
        <v>0</v>
      </c>
      <c r="F911" s="358" t="n">
        <v>0</v>
      </c>
      <c r="G911" s="372" t="n">
        <v>0</v>
      </c>
      <c r="H911" s="373" t="n">
        <v>0</v>
      </c>
      <c r="I911" s="358" t="n">
        <v>0</v>
      </c>
      <c r="J911" s="358" t="n">
        <v>0</v>
      </c>
      <c r="K911" s="372" t="n">
        <v>0</v>
      </c>
      <c r="L911" s="373" t="n">
        <v>0</v>
      </c>
      <c r="M911" s="358" t="n">
        <v>0</v>
      </c>
      <c r="N911" s="358" t="n">
        <v>0</v>
      </c>
      <c r="O911" s="372" t="n">
        <v>0</v>
      </c>
      <c r="P911" s="373" t="n">
        <v>0</v>
      </c>
      <c r="Q911" s="358" t="n">
        <v>0</v>
      </c>
      <c r="R911" s="358" t="n">
        <v>0</v>
      </c>
      <c r="S911" s="372" t="n">
        <v>0</v>
      </c>
      <c r="T911" s="373" t="n">
        <v>0</v>
      </c>
      <c r="U911" s="358" t="n">
        <v>0</v>
      </c>
      <c r="V911" s="358" t="n">
        <v>0</v>
      </c>
      <c r="W911" s="372" t="n">
        <v>0</v>
      </c>
      <c r="X911" s="373" t="n">
        <v>0</v>
      </c>
      <c r="Y911" s="358" t="n">
        <v>0</v>
      </c>
      <c r="Z911" s="358" t="n">
        <v>0</v>
      </c>
      <c r="AA911" s="358" t="n">
        <v>0</v>
      </c>
      <c r="AB911" s="373" t="n">
        <v>0</v>
      </c>
      <c r="AC911" s="358" t="n">
        <v>0</v>
      </c>
      <c r="AD911" s="358" t="n">
        <v>0</v>
      </c>
      <c r="AE911" s="358" t="n">
        <v>0</v>
      </c>
      <c r="AF911" s="359" t="n">
        <v>1</v>
      </c>
    </row>
    <row r="912" customFormat="false" ht="15" hidden="true" customHeight="false" outlineLevel="0" collapsed="false">
      <c r="B912" s="360" t="s">
        <v>3378</v>
      </c>
      <c r="C912" s="359" t="n">
        <v>1</v>
      </c>
      <c r="D912" s="358" t="n">
        <v>0</v>
      </c>
      <c r="E912" s="358" t="n">
        <v>0</v>
      </c>
      <c r="F912" s="358" t="n">
        <v>0</v>
      </c>
      <c r="G912" s="372" t="n">
        <v>0</v>
      </c>
      <c r="H912" s="373" t="n">
        <v>0</v>
      </c>
      <c r="I912" s="358" t="n">
        <v>0</v>
      </c>
      <c r="J912" s="358" t="n">
        <v>0</v>
      </c>
      <c r="K912" s="372" t="n">
        <v>0</v>
      </c>
      <c r="L912" s="373" t="n">
        <v>0</v>
      </c>
      <c r="M912" s="358" t="n">
        <v>0</v>
      </c>
      <c r="N912" s="358" t="n">
        <v>0</v>
      </c>
      <c r="O912" s="372" t="n">
        <v>0</v>
      </c>
      <c r="P912" s="373" t="n">
        <v>0</v>
      </c>
      <c r="Q912" s="358" t="n">
        <v>0</v>
      </c>
      <c r="R912" s="358" t="n">
        <v>0</v>
      </c>
      <c r="S912" s="372" t="n">
        <v>0</v>
      </c>
      <c r="T912" s="373" t="n">
        <v>0</v>
      </c>
      <c r="U912" s="358" t="n">
        <v>0</v>
      </c>
      <c r="V912" s="358" t="n">
        <v>0</v>
      </c>
      <c r="W912" s="372" t="n">
        <v>0</v>
      </c>
      <c r="X912" s="373" t="n">
        <v>0</v>
      </c>
      <c r="Y912" s="358" t="n">
        <v>0</v>
      </c>
      <c r="Z912" s="358" t="n">
        <v>0</v>
      </c>
      <c r="AA912" s="358" t="n">
        <v>0</v>
      </c>
      <c r="AB912" s="373" t="n">
        <v>0</v>
      </c>
      <c r="AC912" s="358" t="n">
        <v>0</v>
      </c>
      <c r="AD912" s="358" t="n">
        <v>0</v>
      </c>
      <c r="AE912" s="358" t="n">
        <v>0</v>
      </c>
      <c r="AF912" s="359" t="n">
        <v>1</v>
      </c>
    </row>
    <row r="913" customFormat="false" ht="15" hidden="true" customHeight="false" outlineLevel="0" collapsed="false">
      <c r="B913" s="360" t="s">
        <v>3379</v>
      </c>
      <c r="C913" s="359" t="n">
        <v>1</v>
      </c>
      <c r="D913" s="358" t="n">
        <v>0</v>
      </c>
      <c r="E913" s="358" t="n">
        <v>0</v>
      </c>
      <c r="F913" s="358" t="n">
        <v>0</v>
      </c>
      <c r="G913" s="372" t="n">
        <v>0</v>
      </c>
      <c r="H913" s="373" t="n">
        <v>0</v>
      </c>
      <c r="I913" s="358" t="n">
        <v>0</v>
      </c>
      <c r="J913" s="358" t="n">
        <v>0</v>
      </c>
      <c r="K913" s="372" t="n">
        <v>0</v>
      </c>
      <c r="L913" s="373" t="n">
        <v>0</v>
      </c>
      <c r="M913" s="358" t="n">
        <v>0</v>
      </c>
      <c r="N913" s="358" t="n">
        <v>0</v>
      </c>
      <c r="O913" s="372" t="n">
        <v>0</v>
      </c>
      <c r="P913" s="373" t="n">
        <v>0</v>
      </c>
      <c r="Q913" s="358" t="n">
        <v>0</v>
      </c>
      <c r="R913" s="358" t="n">
        <v>0</v>
      </c>
      <c r="S913" s="372" t="n">
        <v>0</v>
      </c>
      <c r="T913" s="373" t="n">
        <v>0</v>
      </c>
      <c r="U913" s="358" t="n">
        <v>0</v>
      </c>
      <c r="V913" s="358" t="n">
        <v>0</v>
      </c>
      <c r="W913" s="372" t="n">
        <v>0</v>
      </c>
      <c r="X913" s="373" t="n">
        <v>0</v>
      </c>
      <c r="Y913" s="358" t="n">
        <v>0</v>
      </c>
      <c r="Z913" s="358" t="n">
        <v>0</v>
      </c>
      <c r="AA913" s="358" t="n">
        <v>0</v>
      </c>
      <c r="AB913" s="373" t="n">
        <v>0</v>
      </c>
      <c r="AC913" s="358" t="n">
        <v>0</v>
      </c>
      <c r="AD913" s="358" t="n">
        <v>0</v>
      </c>
      <c r="AE913" s="358" t="n">
        <v>0</v>
      </c>
      <c r="AF913" s="359" t="n">
        <v>1</v>
      </c>
    </row>
    <row r="914" customFormat="false" ht="15" hidden="true" customHeight="false" outlineLevel="0" collapsed="false">
      <c r="B914" s="360" t="s">
        <v>3380</v>
      </c>
      <c r="C914" s="359" t="n">
        <v>1</v>
      </c>
      <c r="D914" s="358" t="n">
        <v>0</v>
      </c>
      <c r="E914" s="358" t="n">
        <v>0</v>
      </c>
      <c r="F914" s="358" t="n">
        <v>0</v>
      </c>
      <c r="G914" s="372" t="n">
        <v>0</v>
      </c>
      <c r="H914" s="373" t="n">
        <v>0</v>
      </c>
      <c r="I914" s="358" t="n">
        <v>0</v>
      </c>
      <c r="J914" s="358" t="n">
        <v>0</v>
      </c>
      <c r="K914" s="372" t="n">
        <v>0</v>
      </c>
      <c r="L914" s="373" t="n">
        <v>0</v>
      </c>
      <c r="M914" s="358" t="n">
        <v>0</v>
      </c>
      <c r="N914" s="358" t="n">
        <v>0</v>
      </c>
      <c r="O914" s="372" t="n">
        <v>0</v>
      </c>
      <c r="P914" s="373" t="n">
        <v>0</v>
      </c>
      <c r="Q914" s="358" t="n">
        <v>0</v>
      </c>
      <c r="R914" s="358" t="n">
        <v>0</v>
      </c>
      <c r="S914" s="372" t="n">
        <v>0</v>
      </c>
      <c r="T914" s="373" t="n">
        <v>0</v>
      </c>
      <c r="U914" s="358" t="n">
        <v>0</v>
      </c>
      <c r="V914" s="358" t="n">
        <v>0</v>
      </c>
      <c r="W914" s="372" t="n">
        <v>0</v>
      </c>
      <c r="X914" s="373" t="n">
        <v>0</v>
      </c>
      <c r="Y914" s="358" t="n">
        <v>0</v>
      </c>
      <c r="Z914" s="358" t="n">
        <v>0</v>
      </c>
      <c r="AA914" s="358" t="n">
        <v>0</v>
      </c>
      <c r="AB914" s="373" t="n">
        <v>0</v>
      </c>
      <c r="AC914" s="358" t="n">
        <v>0</v>
      </c>
      <c r="AD914" s="358" t="n">
        <v>0</v>
      </c>
      <c r="AE914" s="358" t="n">
        <v>0</v>
      </c>
      <c r="AF914" s="359" t="n">
        <v>1</v>
      </c>
    </row>
    <row r="915" customFormat="false" ht="15" hidden="true" customHeight="false" outlineLevel="0" collapsed="false">
      <c r="B915" s="360" t="s">
        <v>3381</v>
      </c>
      <c r="C915" s="359" t="n">
        <v>1</v>
      </c>
      <c r="D915" s="358" t="n">
        <v>0</v>
      </c>
      <c r="E915" s="358" t="n">
        <v>0</v>
      </c>
      <c r="F915" s="358" t="n">
        <v>0</v>
      </c>
      <c r="G915" s="372" t="n">
        <v>0</v>
      </c>
      <c r="H915" s="373" t="n">
        <v>0</v>
      </c>
      <c r="I915" s="358" t="n">
        <v>0</v>
      </c>
      <c r="J915" s="358" t="n">
        <v>0</v>
      </c>
      <c r="K915" s="372" t="n">
        <v>0</v>
      </c>
      <c r="L915" s="373" t="n">
        <v>0</v>
      </c>
      <c r="M915" s="358" t="n">
        <v>0</v>
      </c>
      <c r="N915" s="358" t="n">
        <v>0</v>
      </c>
      <c r="O915" s="372" t="n">
        <v>0</v>
      </c>
      <c r="P915" s="373" t="n">
        <v>0</v>
      </c>
      <c r="Q915" s="358" t="n">
        <v>0</v>
      </c>
      <c r="R915" s="358" t="n">
        <v>0</v>
      </c>
      <c r="S915" s="372" t="n">
        <v>0</v>
      </c>
      <c r="T915" s="373" t="n">
        <v>0</v>
      </c>
      <c r="U915" s="358" t="n">
        <v>0</v>
      </c>
      <c r="V915" s="358" t="n">
        <v>0</v>
      </c>
      <c r="W915" s="372" t="n">
        <v>0</v>
      </c>
      <c r="X915" s="373" t="n">
        <v>0</v>
      </c>
      <c r="Y915" s="358" t="n">
        <v>0</v>
      </c>
      <c r="Z915" s="358" t="n">
        <v>0</v>
      </c>
      <c r="AA915" s="358" t="n">
        <v>0</v>
      </c>
      <c r="AB915" s="373" t="n">
        <v>0</v>
      </c>
      <c r="AC915" s="358" t="n">
        <v>0</v>
      </c>
      <c r="AD915" s="358" t="n">
        <v>0</v>
      </c>
      <c r="AE915" s="358" t="n">
        <v>0</v>
      </c>
      <c r="AF915" s="359" t="n">
        <v>1</v>
      </c>
    </row>
    <row r="916" customFormat="false" ht="15" hidden="true" customHeight="false" outlineLevel="0" collapsed="false">
      <c r="B916" s="360" t="s">
        <v>3382</v>
      </c>
      <c r="C916" s="359" t="n">
        <v>1</v>
      </c>
      <c r="D916" s="358" t="n">
        <v>0</v>
      </c>
      <c r="E916" s="358" t="n">
        <v>0</v>
      </c>
      <c r="F916" s="358" t="n">
        <v>0</v>
      </c>
      <c r="G916" s="372" t="n">
        <v>0</v>
      </c>
      <c r="H916" s="373" t="n">
        <v>0</v>
      </c>
      <c r="I916" s="358" t="n">
        <v>0</v>
      </c>
      <c r="J916" s="358" t="n">
        <v>0</v>
      </c>
      <c r="K916" s="372" t="n">
        <v>0</v>
      </c>
      <c r="L916" s="373" t="n">
        <v>0</v>
      </c>
      <c r="M916" s="358" t="n">
        <v>0</v>
      </c>
      <c r="N916" s="358" t="n">
        <v>0</v>
      </c>
      <c r="O916" s="372" t="n">
        <v>0</v>
      </c>
      <c r="P916" s="373" t="n">
        <v>0</v>
      </c>
      <c r="Q916" s="358" t="n">
        <v>0</v>
      </c>
      <c r="R916" s="358" t="n">
        <v>0</v>
      </c>
      <c r="S916" s="372" t="n">
        <v>0</v>
      </c>
      <c r="T916" s="373" t="n">
        <v>0</v>
      </c>
      <c r="U916" s="358" t="n">
        <v>0</v>
      </c>
      <c r="V916" s="358" t="n">
        <v>0</v>
      </c>
      <c r="W916" s="372" t="n">
        <v>0</v>
      </c>
      <c r="X916" s="373" t="n">
        <v>0</v>
      </c>
      <c r="Y916" s="358" t="n">
        <v>0</v>
      </c>
      <c r="Z916" s="358" t="n">
        <v>0</v>
      </c>
      <c r="AA916" s="358" t="n">
        <v>0</v>
      </c>
      <c r="AB916" s="373" t="n">
        <v>0</v>
      </c>
      <c r="AC916" s="358" t="n">
        <v>0</v>
      </c>
      <c r="AD916" s="358" t="n">
        <v>0</v>
      </c>
      <c r="AE916" s="358" t="n">
        <v>0</v>
      </c>
      <c r="AF916" s="359" t="n">
        <v>1</v>
      </c>
    </row>
    <row r="917" customFormat="false" ht="15" hidden="true" customHeight="false" outlineLevel="0" collapsed="false">
      <c r="B917" s="360" t="s">
        <v>3383</v>
      </c>
      <c r="C917" s="359" t="n">
        <v>1</v>
      </c>
      <c r="D917" s="358" t="n">
        <v>0</v>
      </c>
      <c r="E917" s="358" t="n">
        <v>0</v>
      </c>
      <c r="F917" s="358" t="n">
        <v>0</v>
      </c>
      <c r="G917" s="372" t="n">
        <v>0</v>
      </c>
      <c r="H917" s="373" t="n">
        <v>0</v>
      </c>
      <c r="I917" s="358" t="n">
        <v>0</v>
      </c>
      <c r="J917" s="358" t="n">
        <v>0</v>
      </c>
      <c r="K917" s="372" t="n">
        <v>0</v>
      </c>
      <c r="L917" s="373" t="n">
        <v>0</v>
      </c>
      <c r="M917" s="358" t="n">
        <v>0</v>
      </c>
      <c r="N917" s="358" t="n">
        <v>0</v>
      </c>
      <c r="O917" s="372" t="n">
        <v>0</v>
      </c>
      <c r="P917" s="373" t="n">
        <v>0</v>
      </c>
      <c r="Q917" s="358" t="n">
        <v>0</v>
      </c>
      <c r="R917" s="358" t="n">
        <v>0</v>
      </c>
      <c r="S917" s="372" t="n">
        <v>0</v>
      </c>
      <c r="T917" s="373" t="n">
        <v>0</v>
      </c>
      <c r="U917" s="358" t="n">
        <v>0</v>
      </c>
      <c r="V917" s="358" t="n">
        <v>0</v>
      </c>
      <c r="W917" s="372" t="n">
        <v>0</v>
      </c>
      <c r="X917" s="373" t="n">
        <v>0</v>
      </c>
      <c r="Y917" s="358" t="n">
        <v>0</v>
      </c>
      <c r="Z917" s="358" t="n">
        <v>0</v>
      </c>
      <c r="AA917" s="358" t="n">
        <v>0</v>
      </c>
      <c r="AB917" s="373" t="n">
        <v>0</v>
      </c>
      <c r="AC917" s="358" t="n">
        <v>0</v>
      </c>
      <c r="AD917" s="358" t="n">
        <v>0</v>
      </c>
      <c r="AE917" s="358" t="n">
        <v>0</v>
      </c>
      <c r="AF917" s="359" t="n">
        <v>1</v>
      </c>
    </row>
    <row r="918" customFormat="false" ht="15" hidden="true" customHeight="false" outlineLevel="0" collapsed="false">
      <c r="B918" s="360" t="s">
        <v>3384</v>
      </c>
      <c r="C918" s="359" t="n">
        <v>1</v>
      </c>
      <c r="D918" s="358" t="n">
        <v>0</v>
      </c>
      <c r="E918" s="358" t="n">
        <v>0</v>
      </c>
      <c r="F918" s="358" t="n">
        <v>0</v>
      </c>
      <c r="G918" s="372" t="n">
        <v>0</v>
      </c>
      <c r="H918" s="373" t="n">
        <v>0</v>
      </c>
      <c r="I918" s="358" t="n">
        <v>0</v>
      </c>
      <c r="J918" s="358" t="n">
        <v>0</v>
      </c>
      <c r="K918" s="372" t="n">
        <v>0</v>
      </c>
      <c r="L918" s="373" t="n">
        <v>0</v>
      </c>
      <c r="M918" s="358" t="n">
        <v>0</v>
      </c>
      <c r="N918" s="358" t="n">
        <v>0</v>
      </c>
      <c r="O918" s="372" t="n">
        <v>0</v>
      </c>
      <c r="P918" s="373" t="n">
        <v>0</v>
      </c>
      <c r="Q918" s="358" t="n">
        <v>0</v>
      </c>
      <c r="R918" s="358" t="n">
        <v>0</v>
      </c>
      <c r="S918" s="372" t="n">
        <v>0</v>
      </c>
      <c r="T918" s="373" t="n">
        <v>0</v>
      </c>
      <c r="U918" s="358" t="n">
        <v>0</v>
      </c>
      <c r="V918" s="358" t="n">
        <v>0</v>
      </c>
      <c r="W918" s="372" t="n">
        <v>0</v>
      </c>
      <c r="X918" s="373" t="n">
        <v>0</v>
      </c>
      <c r="Y918" s="358" t="n">
        <v>0</v>
      </c>
      <c r="Z918" s="358" t="n">
        <v>0</v>
      </c>
      <c r="AA918" s="358" t="n">
        <v>0</v>
      </c>
      <c r="AB918" s="373" t="n">
        <v>0</v>
      </c>
      <c r="AC918" s="358" t="n">
        <v>0</v>
      </c>
      <c r="AD918" s="358" t="n">
        <v>0</v>
      </c>
      <c r="AE918" s="358" t="n">
        <v>0</v>
      </c>
      <c r="AF918" s="359" t="n">
        <v>1</v>
      </c>
    </row>
    <row r="919" customFormat="false" ht="15" hidden="true" customHeight="false" outlineLevel="0" collapsed="false">
      <c r="B919" s="360" t="s">
        <v>3385</v>
      </c>
      <c r="C919" s="359" t="n">
        <v>1</v>
      </c>
      <c r="D919" s="358" t="n">
        <v>0</v>
      </c>
      <c r="E919" s="358" t="n">
        <v>0</v>
      </c>
      <c r="F919" s="358" t="n">
        <v>0</v>
      </c>
      <c r="G919" s="372" t="n">
        <v>0</v>
      </c>
      <c r="H919" s="373" t="n">
        <v>0</v>
      </c>
      <c r="I919" s="358" t="n">
        <v>0</v>
      </c>
      <c r="J919" s="358" t="n">
        <v>0</v>
      </c>
      <c r="K919" s="372" t="n">
        <v>0</v>
      </c>
      <c r="L919" s="373" t="n">
        <v>0</v>
      </c>
      <c r="M919" s="358" t="n">
        <v>0</v>
      </c>
      <c r="N919" s="358" t="n">
        <v>0</v>
      </c>
      <c r="O919" s="372" t="n">
        <v>0</v>
      </c>
      <c r="P919" s="373" t="n">
        <v>0</v>
      </c>
      <c r="Q919" s="358" t="n">
        <v>0</v>
      </c>
      <c r="R919" s="358" t="n">
        <v>0</v>
      </c>
      <c r="S919" s="372" t="n">
        <v>0</v>
      </c>
      <c r="T919" s="373" t="n">
        <v>0</v>
      </c>
      <c r="U919" s="358" t="n">
        <v>0</v>
      </c>
      <c r="V919" s="358" t="n">
        <v>0</v>
      </c>
      <c r="W919" s="372" t="n">
        <v>0</v>
      </c>
      <c r="X919" s="373" t="n">
        <v>0</v>
      </c>
      <c r="Y919" s="358" t="n">
        <v>0</v>
      </c>
      <c r="Z919" s="358" t="n">
        <v>0</v>
      </c>
      <c r="AA919" s="358" t="n">
        <v>0</v>
      </c>
      <c r="AB919" s="373" t="n">
        <v>0</v>
      </c>
      <c r="AC919" s="358" t="n">
        <v>0</v>
      </c>
      <c r="AD919" s="358" t="n">
        <v>0</v>
      </c>
      <c r="AE919" s="358" t="n">
        <v>0</v>
      </c>
      <c r="AF919" s="359" t="n">
        <v>1</v>
      </c>
    </row>
    <row r="920" customFormat="false" ht="15" hidden="true" customHeight="false" outlineLevel="0" collapsed="false">
      <c r="B920" s="360" t="s">
        <v>3386</v>
      </c>
      <c r="C920" s="359" t="n">
        <v>1</v>
      </c>
      <c r="D920" s="358" t="n">
        <v>0</v>
      </c>
      <c r="E920" s="358" t="n">
        <v>0</v>
      </c>
      <c r="F920" s="358" t="n">
        <v>0</v>
      </c>
      <c r="G920" s="372" t="n">
        <v>0</v>
      </c>
      <c r="H920" s="373" t="n">
        <v>0</v>
      </c>
      <c r="I920" s="358" t="n">
        <v>0</v>
      </c>
      <c r="J920" s="358" t="n">
        <v>0</v>
      </c>
      <c r="K920" s="372" t="n">
        <v>0</v>
      </c>
      <c r="L920" s="373" t="n">
        <v>0</v>
      </c>
      <c r="M920" s="358" t="n">
        <v>0</v>
      </c>
      <c r="N920" s="358" t="n">
        <v>0</v>
      </c>
      <c r="O920" s="372" t="n">
        <v>0</v>
      </c>
      <c r="P920" s="373" t="n">
        <v>0</v>
      </c>
      <c r="Q920" s="358" t="n">
        <v>0</v>
      </c>
      <c r="R920" s="358" t="n">
        <v>0</v>
      </c>
      <c r="S920" s="372" t="n">
        <v>0</v>
      </c>
      <c r="T920" s="373" t="n">
        <v>0</v>
      </c>
      <c r="U920" s="358" t="n">
        <v>0</v>
      </c>
      <c r="V920" s="358" t="n">
        <v>0</v>
      </c>
      <c r="W920" s="372" t="n">
        <v>0</v>
      </c>
      <c r="X920" s="373" t="n">
        <v>0</v>
      </c>
      <c r="Y920" s="358" t="n">
        <v>0</v>
      </c>
      <c r="Z920" s="358" t="n">
        <v>0</v>
      </c>
      <c r="AA920" s="358" t="n">
        <v>0</v>
      </c>
      <c r="AB920" s="373" t="n">
        <v>0</v>
      </c>
      <c r="AC920" s="358" t="n">
        <v>0</v>
      </c>
      <c r="AD920" s="358" t="n">
        <v>0</v>
      </c>
      <c r="AE920" s="358" t="n">
        <v>0</v>
      </c>
      <c r="AF920" s="359" t="n">
        <v>1</v>
      </c>
    </row>
    <row r="921" customFormat="false" ht="15" hidden="true" customHeight="false" outlineLevel="0" collapsed="false">
      <c r="B921" s="360" t="s">
        <v>3387</v>
      </c>
      <c r="C921" s="359" t="n">
        <v>1</v>
      </c>
      <c r="D921" s="358" t="n">
        <v>0</v>
      </c>
      <c r="E921" s="358" t="n">
        <v>0</v>
      </c>
      <c r="F921" s="358" t="n">
        <v>0</v>
      </c>
      <c r="G921" s="372" t="n">
        <v>0</v>
      </c>
      <c r="H921" s="373" t="n">
        <v>0</v>
      </c>
      <c r="I921" s="358" t="n">
        <v>0</v>
      </c>
      <c r="J921" s="358" t="n">
        <v>0</v>
      </c>
      <c r="K921" s="372" t="n">
        <v>0</v>
      </c>
      <c r="L921" s="373" t="n">
        <v>0</v>
      </c>
      <c r="M921" s="358" t="n">
        <v>0</v>
      </c>
      <c r="N921" s="358" t="n">
        <v>0</v>
      </c>
      <c r="O921" s="372" t="n">
        <v>0</v>
      </c>
      <c r="P921" s="373" t="n">
        <v>0</v>
      </c>
      <c r="Q921" s="358" t="n">
        <v>0</v>
      </c>
      <c r="R921" s="358" t="n">
        <v>0</v>
      </c>
      <c r="S921" s="372" t="n">
        <v>0</v>
      </c>
      <c r="T921" s="373" t="n">
        <v>0</v>
      </c>
      <c r="U921" s="358" t="n">
        <v>0</v>
      </c>
      <c r="V921" s="358" t="n">
        <v>0</v>
      </c>
      <c r="W921" s="372" t="n">
        <v>0</v>
      </c>
      <c r="X921" s="373" t="n">
        <v>0</v>
      </c>
      <c r="Y921" s="358" t="n">
        <v>0</v>
      </c>
      <c r="Z921" s="358" t="n">
        <v>0</v>
      </c>
      <c r="AA921" s="358" t="n">
        <v>0</v>
      </c>
      <c r="AB921" s="373" t="n">
        <v>0</v>
      </c>
      <c r="AC921" s="358" t="n">
        <v>0</v>
      </c>
      <c r="AD921" s="358" t="n">
        <v>0</v>
      </c>
      <c r="AE921" s="358" t="n">
        <v>0</v>
      </c>
      <c r="AF921" s="359" t="n">
        <v>1</v>
      </c>
    </row>
    <row r="922" customFormat="false" ht="15" hidden="true" customHeight="false" outlineLevel="0" collapsed="false">
      <c r="B922" s="360" t="s">
        <v>3388</v>
      </c>
      <c r="C922" s="359" t="n">
        <v>1</v>
      </c>
      <c r="D922" s="358" t="n">
        <v>0</v>
      </c>
      <c r="E922" s="358" t="n">
        <v>0</v>
      </c>
      <c r="F922" s="358" t="n">
        <v>0</v>
      </c>
      <c r="G922" s="372" t="n">
        <v>0</v>
      </c>
      <c r="H922" s="373" t="n">
        <v>0</v>
      </c>
      <c r="I922" s="358" t="n">
        <v>0</v>
      </c>
      <c r="J922" s="358" t="n">
        <v>0</v>
      </c>
      <c r="K922" s="372" t="n">
        <v>0</v>
      </c>
      <c r="L922" s="373" t="n">
        <v>0</v>
      </c>
      <c r="M922" s="358" t="n">
        <v>0</v>
      </c>
      <c r="N922" s="358" t="n">
        <v>0</v>
      </c>
      <c r="O922" s="372" t="n">
        <v>0</v>
      </c>
      <c r="P922" s="373" t="n">
        <v>0</v>
      </c>
      <c r="Q922" s="358" t="n">
        <v>0</v>
      </c>
      <c r="R922" s="358" t="n">
        <v>0</v>
      </c>
      <c r="S922" s="372" t="n">
        <v>0</v>
      </c>
      <c r="T922" s="373" t="n">
        <v>0</v>
      </c>
      <c r="U922" s="358" t="n">
        <v>0</v>
      </c>
      <c r="V922" s="358" t="n">
        <v>0</v>
      </c>
      <c r="W922" s="372" t="n">
        <v>0</v>
      </c>
      <c r="X922" s="373" t="n">
        <v>0</v>
      </c>
      <c r="Y922" s="358" t="n">
        <v>0</v>
      </c>
      <c r="Z922" s="358" t="n">
        <v>0</v>
      </c>
      <c r="AA922" s="358" t="n">
        <v>0</v>
      </c>
      <c r="AB922" s="373" t="n">
        <v>0</v>
      </c>
      <c r="AC922" s="358" t="n">
        <v>0</v>
      </c>
      <c r="AD922" s="358" t="n">
        <v>0</v>
      </c>
      <c r="AE922" s="358" t="n">
        <v>0</v>
      </c>
      <c r="AF922" s="359" t="n">
        <v>1</v>
      </c>
    </row>
    <row r="923" customFormat="false" ht="15" hidden="true" customHeight="false" outlineLevel="0" collapsed="false">
      <c r="B923" s="360" t="s">
        <v>3389</v>
      </c>
      <c r="C923" s="359" t="n">
        <v>1</v>
      </c>
      <c r="D923" s="358" t="n">
        <v>0</v>
      </c>
      <c r="E923" s="358" t="n">
        <v>0</v>
      </c>
      <c r="F923" s="358" t="n">
        <v>0</v>
      </c>
      <c r="G923" s="372" t="n">
        <v>0</v>
      </c>
      <c r="H923" s="373" t="n">
        <v>0</v>
      </c>
      <c r="I923" s="358" t="n">
        <v>0</v>
      </c>
      <c r="J923" s="358" t="n">
        <v>0</v>
      </c>
      <c r="K923" s="372" t="n">
        <v>0</v>
      </c>
      <c r="L923" s="373" t="n">
        <v>0</v>
      </c>
      <c r="M923" s="358" t="n">
        <v>0</v>
      </c>
      <c r="N923" s="358" t="n">
        <v>0</v>
      </c>
      <c r="O923" s="372" t="n">
        <v>0</v>
      </c>
      <c r="P923" s="373" t="n">
        <v>0</v>
      </c>
      <c r="Q923" s="358" t="n">
        <v>0</v>
      </c>
      <c r="R923" s="358" t="n">
        <v>0</v>
      </c>
      <c r="S923" s="372" t="n">
        <v>0</v>
      </c>
      <c r="T923" s="373" t="n">
        <v>0</v>
      </c>
      <c r="U923" s="358" t="n">
        <v>0</v>
      </c>
      <c r="V923" s="358" t="n">
        <v>0</v>
      </c>
      <c r="W923" s="372" t="n">
        <v>0</v>
      </c>
      <c r="X923" s="373" t="n">
        <v>0</v>
      </c>
      <c r="Y923" s="358" t="n">
        <v>0</v>
      </c>
      <c r="Z923" s="358" t="n">
        <v>0</v>
      </c>
      <c r="AA923" s="358" t="n">
        <v>0</v>
      </c>
      <c r="AB923" s="373" t="n">
        <v>0</v>
      </c>
      <c r="AC923" s="358" t="n">
        <v>0</v>
      </c>
      <c r="AD923" s="358" t="n">
        <v>0</v>
      </c>
      <c r="AE923" s="358" t="n">
        <v>0</v>
      </c>
      <c r="AF923" s="359" t="n">
        <v>1</v>
      </c>
    </row>
    <row r="924" customFormat="false" ht="15" hidden="true" customHeight="false" outlineLevel="0" collapsed="false">
      <c r="B924" s="360" t="s">
        <v>3390</v>
      </c>
      <c r="C924" s="359" t="n">
        <v>1</v>
      </c>
      <c r="D924" s="358" t="n">
        <v>0</v>
      </c>
      <c r="E924" s="358" t="n">
        <v>0</v>
      </c>
      <c r="F924" s="358" t="n">
        <v>0</v>
      </c>
      <c r="G924" s="372" t="n">
        <v>0</v>
      </c>
      <c r="H924" s="373" t="n">
        <v>0</v>
      </c>
      <c r="I924" s="358" t="n">
        <v>0</v>
      </c>
      <c r="J924" s="358" t="n">
        <v>0</v>
      </c>
      <c r="K924" s="372" t="n">
        <v>0</v>
      </c>
      <c r="L924" s="373" t="n">
        <v>0</v>
      </c>
      <c r="M924" s="358" t="n">
        <v>0</v>
      </c>
      <c r="N924" s="358" t="n">
        <v>0</v>
      </c>
      <c r="O924" s="372" t="n">
        <v>0</v>
      </c>
      <c r="P924" s="373" t="n">
        <v>0</v>
      </c>
      <c r="Q924" s="358" t="n">
        <v>0</v>
      </c>
      <c r="R924" s="358" t="n">
        <v>0</v>
      </c>
      <c r="S924" s="372" t="n">
        <v>0</v>
      </c>
      <c r="T924" s="373" t="n">
        <v>0</v>
      </c>
      <c r="U924" s="358" t="n">
        <v>0</v>
      </c>
      <c r="V924" s="358" t="n">
        <v>0</v>
      </c>
      <c r="W924" s="372" t="n">
        <v>0</v>
      </c>
      <c r="X924" s="373" t="n">
        <v>0</v>
      </c>
      <c r="Y924" s="358" t="n">
        <v>0</v>
      </c>
      <c r="Z924" s="358" t="n">
        <v>0</v>
      </c>
      <c r="AA924" s="358" t="n">
        <v>0</v>
      </c>
      <c r="AB924" s="373" t="n">
        <v>0</v>
      </c>
      <c r="AC924" s="358" t="n">
        <v>0</v>
      </c>
      <c r="AD924" s="358" t="n">
        <v>0</v>
      </c>
      <c r="AE924" s="358" t="n">
        <v>0</v>
      </c>
      <c r="AF924" s="359" t="n">
        <v>1</v>
      </c>
    </row>
    <row r="925" customFormat="false" ht="15" hidden="true" customHeight="false" outlineLevel="0" collapsed="false">
      <c r="B925" s="360" t="s">
        <v>3391</v>
      </c>
      <c r="C925" s="359" t="n">
        <v>1</v>
      </c>
      <c r="D925" s="358" t="n">
        <v>0</v>
      </c>
      <c r="E925" s="358" t="n">
        <v>0</v>
      </c>
      <c r="F925" s="358" t="n">
        <v>0</v>
      </c>
      <c r="G925" s="372" t="n">
        <v>0</v>
      </c>
      <c r="H925" s="373" t="n">
        <v>0</v>
      </c>
      <c r="I925" s="358" t="n">
        <v>0</v>
      </c>
      <c r="J925" s="358" t="n">
        <v>0</v>
      </c>
      <c r="K925" s="372" t="n">
        <v>0</v>
      </c>
      <c r="L925" s="373" t="n">
        <v>0</v>
      </c>
      <c r="M925" s="358" t="n">
        <v>0</v>
      </c>
      <c r="N925" s="358" t="n">
        <v>0</v>
      </c>
      <c r="O925" s="372" t="n">
        <v>0</v>
      </c>
      <c r="P925" s="373" t="n">
        <v>0</v>
      </c>
      <c r="Q925" s="358" t="n">
        <v>0</v>
      </c>
      <c r="R925" s="358" t="n">
        <v>0</v>
      </c>
      <c r="S925" s="372" t="n">
        <v>0</v>
      </c>
      <c r="T925" s="373" t="n">
        <v>0</v>
      </c>
      <c r="U925" s="358" t="n">
        <v>0</v>
      </c>
      <c r="V925" s="358" t="n">
        <v>0</v>
      </c>
      <c r="W925" s="372" t="n">
        <v>0</v>
      </c>
      <c r="X925" s="373" t="n">
        <v>0</v>
      </c>
      <c r="Y925" s="358" t="n">
        <v>0</v>
      </c>
      <c r="Z925" s="358" t="n">
        <v>0</v>
      </c>
      <c r="AA925" s="358" t="n">
        <v>0</v>
      </c>
      <c r="AB925" s="373" t="n">
        <v>0</v>
      </c>
      <c r="AC925" s="358" t="n">
        <v>0</v>
      </c>
      <c r="AD925" s="358" t="n">
        <v>0</v>
      </c>
      <c r="AE925" s="358" t="n">
        <v>0</v>
      </c>
      <c r="AF925" s="359" t="n">
        <v>1</v>
      </c>
    </row>
    <row r="926" customFormat="false" ht="15" hidden="true" customHeight="false" outlineLevel="0" collapsed="false">
      <c r="B926" s="360" t="s">
        <v>3392</v>
      </c>
      <c r="C926" s="359" t="n">
        <v>1</v>
      </c>
      <c r="D926" s="358" t="n">
        <v>0</v>
      </c>
      <c r="E926" s="358" t="n">
        <v>0</v>
      </c>
      <c r="F926" s="358" t="n">
        <v>0</v>
      </c>
      <c r="G926" s="372" t="n">
        <v>0</v>
      </c>
      <c r="H926" s="373" t="n">
        <v>0</v>
      </c>
      <c r="I926" s="358" t="n">
        <v>0</v>
      </c>
      <c r="J926" s="358" t="n">
        <v>0</v>
      </c>
      <c r="K926" s="372" t="n">
        <v>0</v>
      </c>
      <c r="L926" s="373" t="n">
        <v>0</v>
      </c>
      <c r="M926" s="358" t="n">
        <v>0</v>
      </c>
      <c r="N926" s="358" t="n">
        <v>0</v>
      </c>
      <c r="O926" s="372" t="n">
        <v>0</v>
      </c>
      <c r="P926" s="373" t="n">
        <v>0</v>
      </c>
      <c r="Q926" s="358" t="n">
        <v>0</v>
      </c>
      <c r="R926" s="358" t="n">
        <v>0</v>
      </c>
      <c r="S926" s="372" t="n">
        <v>0</v>
      </c>
      <c r="T926" s="373" t="n">
        <v>0</v>
      </c>
      <c r="U926" s="358" t="n">
        <v>0</v>
      </c>
      <c r="V926" s="358" t="n">
        <v>0</v>
      </c>
      <c r="W926" s="372" t="n">
        <v>0</v>
      </c>
      <c r="X926" s="373" t="n">
        <v>0</v>
      </c>
      <c r="Y926" s="358" t="n">
        <v>0</v>
      </c>
      <c r="Z926" s="358" t="n">
        <v>0</v>
      </c>
      <c r="AA926" s="358" t="n">
        <v>0</v>
      </c>
      <c r="AB926" s="373" t="n">
        <v>0</v>
      </c>
      <c r="AC926" s="358" t="n">
        <v>0</v>
      </c>
      <c r="AD926" s="358" t="n">
        <v>0</v>
      </c>
      <c r="AE926" s="358" t="n">
        <v>0</v>
      </c>
      <c r="AF926" s="359" t="n">
        <v>1</v>
      </c>
    </row>
    <row r="927" customFormat="false" ht="15" hidden="true" customHeight="false" outlineLevel="0" collapsed="false">
      <c r="B927" s="360" t="s">
        <v>3393</v>
      </c>
      <c r="C927" s="359" t="n">
        <v>1</v>
      </c>
      <c r="D927" s="358" t="n">
        <v>0</v>
      </c>
      <c r="E927" s="358" t="n">
        <v>0</v>
      </c>
      <c r="F927" s="358" t="n">
        <v>0</v>
      </c>
      <c r="G927" s="372" t="n">
        <v>0</v>
      </c>
      <c r="H927" s="373" t="n">
        <v>0</v>
      </c>
      <c r="I927" s="358" t="n">
        <v>0</v>
      </c>
      <c r="J927" s="358" t="n">
        <v>0</v>
      </c>
      <c r="K927" s="372" t="n">
        <v>0</v>
      </c>
      <c r="L927" s="373" t="n">
        <v>0</v>
      </c>
      <c r="M927" s="358" t="n">
        <v>0</v>
      </c>
      <c r="N927" s="358" t="n">
        <v>0</v>
      </c>
      <c r="O927" s="372" t="n">
        <v>0</v>
      </c>
      <c r="P927" s="373" t="n">
        <v>0</v>
      </c>
      <c r="Q927" s="358" t="n">
        <v>0</v>
      </c>
      <c r="R927" s="358" t="n">
        <v>0</v>
      </c>
      <c r="S927" s="372" t="n">
        <v>0</v>
      </c>
      <c r="T927" s="373" t="n">
        <v>0</v>
      </c>
      <c r="U927" s="358" t="n">
        <v>0</v>
      </c>
      <c r="V927" s="358" t="n">
        <v>0</v>
      </c>
      <c r="W927" s="372" t="n">
        <v>0</v>
      </c>
      <c r="X927" s="373" t="n">
        <v>0</v>
      </c>
      <c r="Y927" s="358" t="n">
        <v>0</v>
      </c>
      <c r="Z927" s="358" t="n">
        <v>0</v>
      </c>
      <c r="AA927" s="358" t="n">
        <v>0</v>
      </c>
      <c r="AB927" s="373" t="n">
        <v>0</v>
      </c>
      <c r="AC927" s="358" t="n">
        <v>0</v>
      </c>
      <c r="AD927" s="358" t="n">
        <v>0</v>
      </c>
      <c r="AE927" s="358" t="n">
        <v>0</v>
      </c>
      <c r="AF927" s="359" t="n">
        <v>1</v>
      </c>
    </row>
    <row r="928" customFormat="false" ht="15" hidden="true" customHeight="false" outlineLevel="0" collapsed="false">
      <c r="B928" s="360" t="s">
        <v>3394</v>
      </c>
      <c r="C928" s="359" t="n">
        <v>1</v>
      </c>
      <c r="D928" s="358" t="n">
        <v>0</v>
      </c>
      <c r="E928" s="358" t="n">
        <v>0</v>
      </c>
      <c r="F928" s="358" t="n">
        <v>0</v>
      </c>
      <c r="G928" s="372" t="n">
        <v>0</v>
      </c>
      <c r="H928" s="373" t="n">
        <v>0</v>
      </c>
      <c r="I928" s="358" t="n">
        <v>0</v>
      </c>
      <c r="J928" s="358" t="n">
        <v>0</v>
      </c>
      <c r="K928" s="372" t="n">
        <v>0</v>
      </c>
      <c r="L928" s="373" t="n">
        <v>0</v>
      </c>
      <c r="M928" s="358" t="n">
        <v>0</v>
      </c>
      <c r="N928" s="358" t="n">
        <v>0</v>
      </c>
      <c r="O928" s="372" t="n">
        <v>0</v>
      </c>
      <c r="P928" s="373" t="n">
        <v>0</v>
      </c>
      <c r="Q928" s="358" t="n">
        <v>0</v>
      </c>
      <c r="R928" s="358" t="n">
        <v>0</v>
      </c>
      <c r="S928" s="372" t="n">
        <v>0</v>
      </c>
      <c r="T928" s="373" t="n">
        <v>0</v>
      </c>
      <c r="U928" s="358" t="n">
        <v>0</v>
      </c>
      <c r="V928" s="358" t="n">
        <v>0</v>
      </c>
      <c r="W928" s="372" t="n">
        <v>0</v>
      </c>
      <c r="X928" s="373" t="n">
        <v>0</v>
      </c>
      <c r="Y928" s="358" t="n">
        <v>0</v>
      </c>
      <c r="Z928" s="358" t="n">
        <v>0</v>
      </c>
      <c r="AA928" s="358" t="n">
        <v>0</v>
      </c>
      <c r="AB928" s="373" t="n">
        <v>0</v>
      </c>
      <c r="AC928" s="358" t="n">
        <v>0</v>
      </c>
      <c r="AD928" s="358" t="n">
        <v>0</v>
      </c>
      <c r="AE928" s="358" t="n">
        <v>0</v>
      </c>
      <c r="AF928" s="359" t="n">
        <v>1</v>
      </c>
    </row>
    <row r="929" customFormat="false" ht="15" hidden="true" customHeight="false" outlineLevel="0" collapsed="false">
      <c r="B929" s="360" t="s">
        <v>3395</v>
      </c>
      <c r="C929" s="359" t="n">
        <v>1</v>
      </c>
      <c r="D929" s="358" t="n">
        <v>0</v>
      </c>
      <c r="E929" s="358" t="n">
        <v>0</v>
      </c>
      <c r="F929" s="358" t="n">
        <v>0</v>
      </c>
      <c r="G929" s="372" t="n">
        <v>0</v>
      </c>
      <c r="H929" s="373" t="n">
        <v>0</v>
      </c>
      <c r="I929" s="358" t="n">
        <v>0</v>
      </c>
      <c r="J929" s="358" t="n">
        <v>0</v>
      </c>
      <c r="K929" s="372" t="n">
        <v>0</v>
      </c>
      <c r="L929" s="373" t="n">
        <v>0</v>
      </c>
      <c r="M929" s="358" t="n">
        <v>0</v>
      </c>
      <c r="N929" s="358" t="n">
        <v>0</v>
      </c>
      <c r="O929" s="372" t="n">
        <v>0</v>
      </c>
      <c r="P929" s="373" t="n">
        <v>0</v>
      </c>
      <c r="Q929" s="358" t="n">
        <v>0</v>
      </c>
      <c r="R929" s="358" t="n">
        <v>0</v>
      </c>
      <c r="S929" s="372" t="n">
        <v>0</v>
      </c>
      <c r="T929" s="373" t="n">
        <v>0</v>
      </c>
      <c r="U929" s="358" t="n">
        <v>0</v>
      </c>
      <c r="V929" s="358" t="n">
        <v>0</v>
      </c>
      <c r="W929" s="372" t="n">
        <v>0</v>
      </c>
      <c r="X929" s="373" t="n">
        <v>0</v>
      </c>
      <c r="Y929" s="358" t="n">
        <v>0</v>
      </c>
      <c r="Z929" s="358" t="n">
        <v>0</v>
      </c>
      <c r="AA929" s="358" t="n">
        <v>0</v>
      </c>
      <c r="AB929" s="373" t="n">
        <v>0</v>
      </c>
      <c r="AC929" s="358" t="n">
        <v>0</v>
      </c>
      <c r="AD929" s="358" t="n">
        <v>0</v>
      </c>
      <c r="AE929" s="358" t="n">
        <v>0</v>
      </c>
      <c r="AF929" s="359" t="n">
        <v>1</v>
      </c>
    </row>
    <row r="930" customFormat="false" ht="15" hidden="true" customHeight="false" outlineLevel="0" collapsed="false">
      <c r="B930" s="360" t="s">
        <v>3396</v>
      </c>
      <c r="C930" s="359" t="n">
        <v>1</v>
      </c>
      <c r="D930" s="358" t="n">
        <v>0</v>
      </c>
      <c r="E930" s="358" t="n">
        <v>0</v>
      </c>
      <c r="F930" s="358" t="n">
        <v>0</v>
      </c>
      <c r="G930" s="372" t="n">
        <v>0</v>
      </c>
      <c r="H930" s="373" t="n">
        <v>0</v>
      </c>
      <c r="I930" s="358" t="n">
        <v>0</v>
      </c>
      <c r="J930" s="358" t="n">
        <v>0</v>
      </c>
      <c r="K930" s="372" t="n">
        <v>0</v>
      </c>
      <c r="L930" s="373" t="n">
        <v>0</v>
      </c>
      <c r="M930" s="358" t="n">
        <v>0</v>
      </c>
      <c r="N930" s="358" t="n">
        <v>0</v>
      </c>
      <c r="O930" s="372" t="n">
        <v>0</v>
      </c>
      <c r="P930" s="373" t="n">
        <v>0</v>
      </c>
      <c r="Q930" s="358" t="n">
        <v>0</v>
      </c>
      <c r="R930" s="358" t="n">
        <v>0</v>
      </c>
      <c r="S930" s="372" t="n">
        <v>0</v>
      </c>
      <c r="T930" s="373" t="n">
        <v>0</v>
      </c>
      <c r="U930" s="358" t="n">
        <v>0</v>
      </c>
      <c r="V930" s="358" t="n">
        <v>0</v>
      </c>
      <c r="W930" s="372" t="n">
        <v>0</v>
      </c>
      <c r="X930" s="373" t="n">
        <v>0</v>
      </c>
      <c r="Y930" s="358" t="n">
        <v>0</v>
      </c>
      <c r="Z930" s="358" t="n">
        <v>0</v>
      </c>
      <c r="AA930" s="358" t="n">
        <v>0</v>
      </c>
      <c r="AB930" s="373" t="n">
        <v>0</v>
      </c>
      <c r="AC930" s="358" t="n">
        <v>0</v>
      </c>
      <c r="AD930" s="358" t="n">
        <v>0</v>
      </c>
      <c r="AE930" s="358" t="n">
        <v>0</v>
      </c>
      <c r="AF930" s="359" t="n">
        <v>1</v>
      </c>
    </row>
    <row r="931" customFormat="false" ht="15" hidden="false" customHeight="false" outlineLevel="0" collapsed="false">
      <c r="B931" s="356" t="s">
        <v>2475</v>
      </c>
      <c r="C931" s="357" t="n">
        <v>6</v>
      </c>
      <c r="D931" s="358" t="n">
        <v>0</v>
      </c>
      <c r="E931" s="358" t="n">
        <v>0</v>
      </c>
      <c r="F931" s="358" t="n">
        <v>0</v>
      </c>
      <c r="G931" s="372" t="n">
        <v>0</v>
      </c>
      <c r="H931" s="373" t="n">
        <v>0</v>
      </c>
      <c r="I931" s="358" t="n">
        <v>0</v>
      </c>
      <c r="J931" s="358" t="n">
        <v>0</v>
      </c>
      <c r="K931" s="372" t="n">
        <v>0</v>
      </c>
      <c r="L931" s="373" t="n">
        <v>0</v>
      </c>
      <c r="M931" s="358" t="n">
        <v>0</v>
      </c>
      <c r="N931" s="358" t="n">
        <v>0</v>
      </c>
      <c r="O931" s="372" t="n">
        <v>0</v>
      </c>
      <c r="P931" s="373" t="n">
        <v>0</v>
      </c>
      <c r="Q931" s="358" t="n">
        <v>0</v>
      </c>
      <c r="R931" s="358" t="n">
        <v>0</v>
      </c>
      <c r="S931" s="372" t="n">
        <v>0</v>
      </c>
      <c r="T931" s="373" t="n">
        <v>0</v>
      </c>
      <c r="U931" s="358" t="n">
        <v>0</v>
      </c>
      <c r="V931" s="358" t="n">
        <v>0</v>
      </c>
      <c r="W931" s="372" t="n">
        <v>0</v>
      </c>
      <c r="X931" s="373" t="n">
        <v>0</v>
      </c>
      <c r="Y931" s="358" t="n">
        <v>0</v>
      </c>
      <c r="Z931" s="358" t="n">
        <v>0</v>
      </c>
      <c r="AA931" s="358" t="n">
        <v>0</v>
      </c>
      <c r="AB931" s="373" t="n">
        <v>0</v>
      </c>
      <c r="AC931" s="358" t="n">
        <v>0</v>
      </c>
      <c r="AD931" s="358" t="n">
        <v>0</v>
      </c>
      <c r="AE931" s="358" t="n">
        <v>0</v>
      </c>
      <c r="AF931" s="357" t="n">
        <v>6</v>
      </c>
    </row>
    <row r="932" customFormat="false" ht="15" hidden="true" customHeight="false" outlineLevel="0" collapsed="false">
      <c r="B932" s="360" t="s">
        <v>3397</v>
      </c>
      <c r="C932" s="359" t="n">
        <v>1</v>
      </c>
      <c r="D932" s="358" t="n">
        <v>0</v>
      </c>
      <c r="E932" s="358" t="n">
        <v>0</v>
      </c>
      <c r="F932" s="358" t="n">
        <v>0</v>
      </c>
      <c r="G932" s="372" t="n">
        <v>0</v>
      </c>
      <c r="H932" s="373" t="n">
        <v>0</v>
      </c>
      <c r="I932" s="358" t="n">
        <v>0</v>
      </c>
      <c r="J932" s="358" t="n">
        <v>0</v>
      </c>
      <c r="K932" s="372" t="n">
        <v>0</v>
      </c>
      <c r="L932" s="373" t="n">
        <v>0</v>
      </c>
      <c r="M932" s="358" t="n">
        <v>0</v>
      </c>
      <c r="N932" s="358" t="n">
        <v>0</v>
      </c>
      <c r="O932" s="372" t="n">
        <v>0</v>
      </c>
      <c r="P932" s="373" t="n">
        <v>0</v>
      </c>
      <c r="Q932" s="358" t="n">
        <v>0</v>
      </c>
      <c r="R932" s="358" t="n">
        <v>0</v>
      </c>
      <c r="S932" s="372" t="n">
        <v>0</v>
      </c>
      <c r="T932" s="373" t="n">
        <v>0</v>
      </c>
      <c r="U932" s="358" t="n">
        <v>0</v>
      </c>
      <c r="V932" s="358" t="n">
        <v>0</v>
      </c>
      <c r="W932" s="372" t="n">
        <v>0</v>
      </c>
      <c r="X932" s="373" t="n">
        <v>0</v>
      </c>
      <c r="Y932" s="358" t="n">
        <v>0</v>
      </c>
      <c r="Z932" s="358" t="n">
        <v>0</v>
      </c>
      <c r="AA932" s="358" t="n">
        <v>0</v>
      </c>
      <c r="AB932" s="373" t="n">
        <v>0</v>
      </c>
      <c r="AC932" s="358" t="n">
        <v>0</v>
      </c>
      <c r="AD932" s="358" t="n">
        <v>0</v>
      </c>
      <c r="AE932" s="358" t="n">
        <v>0</v>
      </c>
      <c r="AF932" s="359" t="n">
        <v>1</v>
      </c>
    </row>
    <row r="933" customFormat="false" ht="15" hidden="true" customHeight="false" outlineLevel="0" collapsed="false">
      <c r="B933" s="360" t="s">
        <v>3398</v>
      </c>
      <c r="C933" s="359" t="n">
        <v>1</v>
      </c>
      <c r="D933" s="358" t="n">
        <v>0</v>
      </c>
      <c r="E933" s="358" t="n">
        <v>0</v>
      </c>
      <c r="F933" s="358" t="n">
        <v>0</v>
      </c>
      <c r="G933" s="372" t="n">
        <v>0</v>
      </c>
      <c r="H933" s="373" t="n">
        <v>0</v>
      </c>
      <c r="I933" s="358" t="n">
        <v>0</v>
      </c>
      <c r="J933" s="358" t="n">
        <v>0</v>
      </c>
      <c r="K933" s="372" t="n">
        <v>0</v>
      </c>
      <c r="L933" s="373" t="n">
        <v>0</v>
      </c>
      <c r="M933" s="358" t="n">
        <v>0</v>
      </c>
      <c r="N933" s="358" t="n">
        <v>0</v>
      </c>
      <c r="O933" s="372" t="n">
        <v>0</v>
      </c>
      <c r="P933" s="373" t="n">
        <v>0</v>
      </c>
      <c r="Q933" s="358" t="n">
        <v>0</v>
      </c>
      <c r="R933" s="358" t="n">
        <v>0</v>
      </c>
      <c r="S933" s="372" t="n">
        <v>0</v>
      </c>
      <c r="T933" s="373" t="n">
        <v>0</v>
      </c>
      <c r="U933" s="358" t="n">
        <v>0</v>
      </c>
      <c r="V933" s="358" t="n">
        <v>0</v>
      </c>
      <c r="W933" s="372" t="n">
        <v>0</v>
      </c>
      <c r="X933" s="373" t="n">
        <v>0</v>
      </c>
      <c r="Y933" s="358" t="n">
        <v>0</v>
      </c>
      <c r="Z933" s="358" t="n">
        <v>0</v>
      </c>
      <c r="AA933" s="358" t="n">
        <v>0</v>
      </c>
      <c r="AB933" s="373" t="n">
        <v>0</v>
      </c>
      <c r="AC933" s="358" t="n">
        <v>0</v>
      </c>
      <c r="AD933" s="358" t="n">
        <v>0</v>
      </c>
      <c r="AE933" s="358" t="n">
        <v>0</v>
      </c>
      <c r="AF933" s="359" t="n">
        <v>1</v>
      </c>
    </row>
    <row r="934" customFormat="false" ht="15" hidden="true" customHeight="false" outlineLevel="0" collapsed="false">
      <c r="B934" s="360" t="s">
        <v>3399</v>
      </c>
      <c r="C934" s="359" t="n">
        <v>1</v>
      </c>
      <c r="D934" s="358" t="n">
        <v>0</v>
      </c>
      <c r="E934" s="358" t="n">
        <v>0</v>
      </c>
      <c r="F934" s="358" t="n">
        <v>0</v>
      </c>
      <c r="G934" s="372" t="n">
        <v>0</v>
      </c>
      <c r="H934" s="373" t="n">
        <v>0</v>
      </c>
      <c r="I934" s="358" t="n">
        <v>0</v>
      </c>
      <c r="J934" s="358" t="n">
        <v>0</v>
      </c>
      <c r="K934" s="372" t="n">
        <v>0</v>
      </c>
      <c r="L934" s="373" t="n">
        <v>0</v>
      </c>
      <c r="M934" s="358" t="n">
        <v>0</v>
      </c>
      <c r="N934" s="358" t="n">
        <v>0</v>
      </c>
      <c r="O934" s="372" t="n">
        <v>0</v>
      </c>
      <c r="P934" s="373" t="n">
        <v>0</v>
      </c>
      <c r="Q934" s="358" t="n">
        <v>0</v>
      </c>
      <c r="R934" s="358" t="n">
        <v>0</v>
      </c>
      <c r="S934" s="372" t="n">
        <v>0</v>
      </c>
      <c r="T934" s="373" t="n">
        <v>0</v>
      </c>
      <c r="U934" s="358" t="n">
        <v>0</v>
      </c>
      <c r="V934" s="358" t="n">
        <v>0</v>
      </c>
      <c r="W934" s="372" t="n">
        <v>0</v>
      </c>
      <c r="X934" s="373" t="n">
        <v>0</v>
      </c>
      <c r="Y934" s="358" t="n">
        <v>0</v>
      </c>
      <c r="Z934" s="358" t="n">
        <v>0</v>
      </c>
      <c r="AA934" s="358" t="n">
        <v>0</v>
      </c>
      <c r="AB934" s="373" t="n">
        <v>0</v>
      </c>
      <c r="AC934" s="358" t="n">
        <v>0</v>
      </c>
      <c r="AD934" s="358" t="n">
        <v>0</v>
      </c>
      <c r="AE934" s="358" t="n">
        <v>0</v>
      </c>
      <c r="AF934" s="359" t="n">
        <v>1</v>
      </c>
    </row>
    <row r="935" customFormat="false" ht="15" hidden="true" customHeight="false" outlineLevel="0" collapsed="false">
      <c r="B935" s="360" t="s">
        <v>3400</v>
      </c>
      <c r="C935" s="359" t="n">
        <v>1</v>
      </c>
      <c r="D935" s="358" t="n">
        <v>0</v>
      </c>
      <c r="E935" s="358" t="n">
        <v>0</v>
      </c>
      <c r="F935" s="358" t="n">
        <v>0</v>
      </c>
      <c r="G935" s="372" t="n">
        <v>0</v>
      </c>
      <c r="H935" s="373" t="n">
        <v>0</v>
      </c>
      <c r="I935" s="358" t="n">
        <v>0</v>
      </c>
      <c r="J935" s="358" t="n">
        <v>0</v>
      </c>
      <c r="K935" s="372" t="n">
        <v>0</v>
      </c>
      <c r="L935" s="373" t="n">
        <v>0</v>
      </c>
      <c r="M935" s="358" t="n">
        <v>0</v>
      </c>
      <c r="N935" s="358" t="n">
        <v>0</v>
      </c>
      <c r="O935" s="372" t="n">
        <v>0</v>
      </c>
      <c r="P935" s="373" t="n">
        <v>0</v>
      </c>
      <c r="Q935" s="358" t="n">
        <v>0</v>
      </c>
      <c r="R935" s="358" t="n">
        <v>0</v>
      </c>
      <c r="S935" s="372" t="n">
        <v>0</v>
      </c>
      <c r="T935" s="373" t="n">
        <v>0</v>
      </c>
      <c r="U935" s="358" t="n">
        <v>0</v>
      </c>
      <c r="V935" s="358" t="n">
        <v>0</v>
      </c>
      <c r="W935" s="372" t="n">
        <v>0</v>
      </c>
      <c r="X935" s="373" t="n">
        <v>0</v>
      </c>
      <c r="Y935" s="358" t="n">
        <v>0</v>
      </c>
      <c r="Z935" s="358" t="n">
        <v>0</v>
      </c>
      <c r="AA935" s="358" t="n">
        <v>0</v>
      </c>
      <c r="AB935" s="373" t="n">
        <v>0</v>
      </c>
      <c r="AC935" s="358" t="n">
        <v>0</v>
      </c>
      <c r="AD935" s="358" t="n">
        <v>0</v>
      </c>
      <c r="AE935" s="358" t="n">
        <v>0</v>
      </c>
      <c r="AF935" s="359" t="n">
        <v>1</v>
      </c>
    </row>
    <row r="936" customFormat="false" ht="15" hidden="true" customHeight="false" outlineLevel="0" collapsed="false">
      <c r="B936" s="360" t="s">
        <v>3401</v>
      </c>
      <c r="C936" s="359" t="n">
        <v>1</v>
      </c>
      <c r="D936" s="358" t="n">
        <v>0</v>
      </c>
      <c r="E936" s="358" t="n">
        <v>0</v>
      </c>
      <c r="F936" s="358" t="n">
        <v>0</v>
      </c>
      <c r="G936" s="372" t="n">
        <v>0</v>
      </c>
      <c r="H936" s="373" t="n">
        <v>0</v>
      </c>
      <c r="I936" s="358" t="n">
        <v>0</v>
      </c>
      <c r="J936" s="358" t="n">
        <v>0</v>
      </c>
      <c r="K936" s="372" t="n">
        <v>0</v>
      </c>
      <c r="L936" s="373" t="n">
        <v>0</v>
      </c>
      <c r="M936" s="358" t="n">
        <v>0</v>
      </c>
      <c r="N936" s="358" t="n">
        <v>0</v>
      </c>
      <c r="O936" s="372" t="n">
        <v>0</v>
      </c>
      <c r="P936" s="373" t="n">
        <v>0</v>
      </c>
      <c r="Q936" s="358" t="n">
        <v>0</v>
      </c>
      <c r="R936" s="358" t="n">
        <v>0</v>
      </c>
      <c r="S936" s="372" t="n">
        <v>0</v>
      </c>
      <c r="T936" s="373" t="n">
        <v>0</v>
      </c>
      <c r="U936" s="358" t="n">
        <v>0</v>
      </c>
      <c r="V936" s="358" t="n">
        <v>0</v>
      </c>
      <c r="W936" s="372" t="n">
        <v>0</v>
      </c>
      <c r="X936" s="373" t="n">
        <v>0</v>
      </c>
      <c r="Y936" s="358" t="n">
        <v>0</v>
      </c>
      <c r="Z936" s="358" t="n">
        <v>0</v>
      </c>
      <c r="AA936" s="358" t="n">
        <v>0</v>
      </c>
      <c r="AB936" s="373" t="n">
        <v>0</v>
      </c>
      <c r="AC936" s="358" t="n">
        <v>0</v>
      </c>
      <c r="AD936" s="358" t="n">
        <v>0</v>
      </c>
      <c r="AE936" s="358" t="n">
        <v>0</v>
      </c>
      <c r="AF936" s="359" t="n">
        <v>1</v>
      </c>
    </row>
    <row r="937" customFormat="false" ht="15" hidden="true" customHeight="false" outlineLevel="0" collapsed="false">
      <c r="B937" s="360" t="s">
        <v>3402</v>
      </c>
      <c r="C937" s="359" t="n">
        <v>1</v>
      </c>
      <c r="D937" s="358" t="n">
        <v>0</v>
      </c>
      <c r="E937" s="358" t="n">
        <v>0</v>
      </c>
      <c r="F937" s="358" t="n">
        <v>0</v>
      </c>
      <c r="G937" s="372" t="n">
        <v>0</v>
      </c>
      <c r="H937" s="373" t="n">
        <v>0</v>
      </c>
      <c r="I937" s="358" t="n">
        <v>0</v>
      </c>
      <c r="J937" s="358" t="n">
        <v>0</v>
      </c>
      <c r="K937" s="372" t="n">
        <v>0</v>
      </c>
      <c r="L937" s="373" t="n">
        <v>0</v>
      </c>
      <c r="M937" s="358" t="n">
        <v>0</v>
      </c>
      <c r="N937" s="358" t="n">
        <v>0</v>
      </c>
      <c r="O937" s="372" t="n">
        <v>0</v>
      </c>
      <c r="P937" s="373" t="n">
        <v>0</v>
      </c>
      <c r="Q937" s="358" t="n">
        <v>0</v>
      </c>
      <c r="R937" s="358" t="n">
        <v>0</v>
      </c>
      <c r="S937" s="372" t="n">
        <v>0</v>
      </c>
      <c r="T937" s="373" t="n">
        <v>0</v>
      </c>
      <c r="U937" s="358" t="n">
        <v>0</v>
      </c>
      <c r="V937" s="358" t="n">
        <v>0</v>
      </c>
      <c r="W937" s="372" t="n">
        <v>0</v>
      </c>
      <c r="X937" s="373" t="n">
        <v>0</v>
      </c>
      <c r="Y937" s="358" t="n">
        <v>0</v>
      </c>
      <c r="Z937" s="358" t="n">
        <v>0</v>
      </c>
      <c r="AA937" s="358" t="n">
        <v>0</v>
      </c>
      <c r="AB937" s="373" t="n">
        <v>0</v>
      </c>
      <c r="AC937" s="358" t="n">
        <v>0</v>
      </c>
      <c r="AD937" s="358" t="n">
        <v>0</v>
      </c>
      <c r="AE937" s="358" t="n">
        <v>0</v>
      </c>
      <c r="AF937" s="359" t="n">
        <v>1</v>
      </c>
    </row>
    <row r="938" customFormat="false" ht="15" hidden="false" customHeight="false" outlineLevel="0" collapsed="false">
      <c r="B938" s="356" t="s">
        <v>2476</v>
      </c>
      <c r="C938" s="357" t="n">
        <v>27</v>
      </c>
      <c r="D938" s="358" t="n">
        <v>0</v>
      </c>
      <c r="E938" s="358" t="n">
        <v>0</v>
      </c>
      <c r="F938" s="358" t="n">
        <v>0</v>
      </c>
      <c r="G938" s="372" t="n">
        <v>0</v>
      </c>
      <c r="H938" s="373" t="n">
        <v>0</v>
      </c>
      <c r="I938" s="358" t="n">
        <v>0</v>
      </c>
      <c r="J938" s="358" t="n">
        <v>0</v>
      </c>
      <c r="K938" s="372" t="n">
        <v>0</v>
      </c>
      <c r="L938" s="373" t="n">
        <v>0</v>
      </c>
      <c r="M938" s="358" t="n">
        <v>0</v>
      </c>
      <c r="N938" s="358" t="n">
        <v>0</v>
      </c>
      <c r="O938" s="372" t="n">
        <v>0</v>
      </c>
      <c r="P938" s="373" t="n">
        <v>0</v>
      </c>
      <c r="Q938" s="358" t="n">
        <v>0</v>
      </c>
      <c r="R938" s="358" t="n">
        <v>0</v>
      </c>
      <c r="S938" s="372" t="n">
        <v>0</v>
      </c>
      <c r="T938" s="373" t="n">
        <v>0</v>
      </c>
      <c r="U938" s="358" t="n">
        <v>0</v>
      </c>
      <c r="V938" s="358" t="n">
        <v>0</v>
      </c>
      <c r="W938" s="372" t="n">
        <v>0</v>
      </c>
      <c r="X938" s="373" t="n">
        <v>0</v>
      </c>
      <c r="Y938" s="358" t="n">
        <v>0</v>
      </c>
      <c r="Z938" s="358" t="n">
        <v>0</v>
      </c>
      <c r="AA938" s="358" t="n">
        <v>0</v>
      </c>
      <c r="AB938" s="373" t="n">
        <v>0</v>
      </c>
      <c r="AC938" s="358" t="n">
        <v>0</v>
      </c>
      <c r="AD938" s="358" t="n">
        <v>0</v>
      </c>
      <c r="AE938" s="358" t="n">
        <v>0</v>
      </c>
      <c r="AF938" s="357" t="n">
        <v>27</v>
      </c>
    </row>
    <row r="939" customFormat="false" ht="15" hidden="false" customHeight="false" outlineLevel="0" collapsed="false">
      <c r="B939" s="364" t="s">
        <v>2476</v>
      </c>
      <c r="C939" s="365" t="n">
        <v>21</v>
      </c>
      <c r="D939" s="358" t="n">
        <v>0</v>
      </c>
      <c r="E939" s="358" t="n">
        <v>0</v>
      </c>
      <c r="F939" s="358" t="n">
        <v>0</v>
      </c>
      <c r="G939" s="372" t="n">
        <v>0</v>
      </c>
      <c r="H939" s="373" t="n">
        <v>0</v>
      </c>
      <c r="I939" s="358" t="n">
        <v>0</v>
      </c>
      <c r="J939" s="358" t="n">
        <v>0</v>
      </c>
      <c r="K939" s="372" t="n">
        <v>0</v>
      </c>
      <c r="L939" s="373" t="n">
        <v>0</v>
      </c>
      <c r="M939" s="358" t="n">
        <v>0</v>
      </c>
      <c r="N939" s="358" t="n">
        <v>0</v>
      </c>
      <c r="O939" s="372" t="n">
        <v>0</v>
      </c>
      <c r="P939" s="373" t="n">
        <v>0</v>
      </c>
      <c r="Q939" s="358" t="n">
        <v>0</v>
      </c>
      <c r="R939" s="358" t="n">
        <v>0</v>
      </c>
      <c r="S939" s="372" t="n">
        <v>0</v>
      </c>
      <c r="T939" s="373" t="n">
        <v>0</v>
      </c>
      <c r="U939" s="358" t="n">
        <v>0</v>
      </c>
      <c r="V939" s="358" t="n">
        <v>0</v>
      </c>
      <c r="W939" s="372" t="n">
        <v>0</v>
      </c>
      <c r="X939" s="373" t="n">
        <v>0</v>
      </c>
      <c r="Y939" s="358" t="n">
        <v>0</v>
      </c>
      <c r="Z939" s="358" t="n">
        <v>0</v>
      </c>
      <c r="AA939" s="358" t="n">
        <v>0</v>
      </c>
      <c r="AB939" s="373" t="n">
        <v>0</v>
      </c>
      <c r="AC939" s="358" t="n">
        <v>0</v>
      </c>
      <c r="AD939" s="358" t="n">
        <v>0</v>
      </c>
      <c r="AE939" s="358" t="n">
        <v>0</v>
      </c>
      <c r="AF939" s="365" t="n">
        <v>21</v>
      </c>
    </row>
    <row r="940" customFormat="false" ht="15" hidden="true" customHeight="false" outlineLevel="0" collapsed="false">
      <c r="B940" s="361" t="s">
        <v>3403</v>
      </c>
      <c r="C940" s="365" t="n">
        <v>1</v>
      </c>
      <c r="D940" s="358" t="n">
        <v>0</v>
      </c>
      <c r="E940" s="358" t="n">
        <v>0</v>
      </c>
      <c r="F940" s="358" t="n">
        <v>0</v>
      </c>
      <c r="G940" s="372" t="n">
        <v>0</v>
      </c>
      <c r="H940" s="373" t="n">
        <v>0</v>
      </c>
      <c r="I940" s="358" t="n">
        <v>0</v>
      </c>
      <c r="J940" s="358" t="n">
        <v>0</v>
      </c>
      <c r="K940" s="372" t="n">
        <v>0</v>
      </c>
      <c r="L940" s="373" t="n">
        <v>0</v>
      </c>
      <c r="M940" s="358" t="n">
        <v>0</v>
      </c>
      <c r="N940" s="358" t="n">
        <v>0</v>
      </c>
      <c r="O940" s="372" t="n">
        <v>0</v>
      </c>
      <c r="P940" s="373" t="n">
        <v>0</v>
      </c>
      <c r="Q940" s="358" t="n">
        <v>0</v>
      </c>
      <c r="R940" s="358" t="n">
        <v>0</v>
      </c>
      <c r="S940" s="372" t="n">
        <v>0</v>
      </c>
      <c r="T940" s="373" t="n">
        <v>0</v>
      </c>
      <c r="U940" s="358" t="n">
        <v>0</v>
      </c>
      <c r="V940" s="358" t="n">
        <v>0</v>
      </c>
      <c r="W940" s="372" t="n">
        <v>0</v>
      </c>
      <c r="X940" s="373" t="n">
        <v>0</v>
      </c>
      <c r="Y940" s="358" t="n">
        <v>0</v>
      </c>
      <c r="Z940" s="358" t="n">
        <v>0</v>
      </c>
      <c r="AA940" s="358" t="n">
        <v>0</v>
      </c>
      <c r="AB940" s="373" t="n">
        <v>0</v>
      </c>
      <c r="AC940" s="358" t="n">
        <v>0</v>
      </c>
      <c r="AD940" s="358" t="n">
        <v>0</v>
      </c>
      <c r="AE940" s="358" t="n">
        <v>0</v>
      </c>
      <c r="AF940" s="365" t="n">
        <v>1</v>
      </c>
    </row>
    <row r="941" customFormat="false" ht="15" hidden="true" customHeight="false" outlineLevel="0" collapsed="false">
      <c r="B941" s="360" t="s">
        <v>3404</v>
      </c>
      <c r="C941" s="365" t="n">
        <v>1</v>
      </c>
      <c r="D941" s="358" t="n">
        <v>0</v>
      </c>
      <c r="E941" s="358" t="n">
        <v>0</v>
      </c>
      <c r="F941" s="358" t="n">
        <v>0</v>
      </c>
      <c r="G941" s="372" t="n">
        <v>0</v>
      </c>
      <c r="H941" s="373" t="n">
        <v>0</v>
      </c>
      <c r="I941" s="358" t="n">
        <v>0</v>
      </c>
      <c r="J941" s="358" t="n">
        <v>0</v>
      </c>
      <c r="K941" s="372" t="n">
        <v>0</v>
      </c>
      <c r="L941" s="373" t="n">
        <v>0</v>
      </c>
      <c r="M941" s="358" t="n">
        <v>0</v>
      </c>
      <c r="N941" s="358" t="n">
        <v>0</v>
      </c>
      <c r="O941" s="372" t="n">
        <v>0</v>
      </c>
      <c r="P941" s="373" t="n">
        <v>0</v>
      </c>
      <c r="Q941" s="358" t="n">
        <v>0</v>
      </c>
      <c r="R941" s="358" t="n">
        <v>0</v>
      </c>
      <c r="S941" s="372" t="n">
        <v>0</v>
      </c>
      <c r="T941" s="373" t="n">
        <v>0</v>
      </c>
      <c r="U941" s="358" t="n">
        <v>0</v>
      </c>
      <c r="V941" s="358" t="n">
        <v>0</v>
      </c>
      <c r="W941" s="372" t="n">
        <v>0</v>
      </c>
      <c r="X941" s="373" t="n">
        <v>0</v>
      </c>
      <c r="Y941" s="358" t="n">
        <v>0</v>
      </c>
      <c r="Z941" s="358" t="n">
        <v>0</v>
      </c>
      <c r="AA941" s="358" t="n">
        <v>0</v>
      </c>
      <c r="AB941" s="373" t="n">
        <v>0</v>
      </c>
      <c r="AC941" s="358" t="n">
        <v>0</v>
      </c>
      <c r="AD941" s="358" t="n">
        <v>0</v>
      </c>
      <c r="AE941" s="358" t="n">
        <v>0</v>
      </c>
      <c r="AF941" s="365" t="n">
        <v>1</v>
      </c>
    </row>
    <row r="942" customFormat="false" ht="15" hidden="true" customHeight="false" outlineLevel="0" collapsed="false">
      <c r="B942" s="360" t="s">
        <v>3405</v>
      </c>
      <c r="C942" s="365" t="n">
        <v>1</v>
      </c>
      <c r="D942" s="358" t="n">
        <v>0</v>
      </c>
      <c r="E942" s="358" t="n">
        <v>0</v>
      </c>
      <c r="F942" s="358" t="n">
        <v>0</v>
      </c>
      <c r="G942" s="372" t="n">
        <v>0</v>
      </c>
      <c r="H942" s="373" t="n">
        <v>0</v>
      </c>
      <c r="I942" s="358" t="n">
        <v>0</v>
      </c>
      <c r="J942" s="358" t="n">
        <v>0</v>
      </c>
      <c r="K942" s="372" t="n">
        <v>0</v>
      </c>
      <c r="L942" s="373" t="n">
        <v>0</v>
      </c>
      <c r="M942" s="358" t="n">
        <v>0</v>
      </c>
      <c r="N942" s="358" t="n">
        <v>0</v>
      </c>
      <c r="O942" s="372" t="n">
        <v>0</v>
      </c>
      <c r="P942" s="373" t="n">
        <v>0</v>
      </c>
      <c r="Q942" s="358" t="n">
        <v>0</v>
      </c>
      <c r="R942" s="358" t="n">
        <v>0</v>
      </c>
      <c r="S942" s="372" t="n">
        <v>0</v>
      </c>
      <c r="T942" s="373" t="n">
        <v>0</v>
      </c>
      <c r="U942" s="358" t="n">
        <v>0</v>
      </c>
      <c r="V942" s="358" t="n">
        <v>0</v>
      </c>
      <c r="W942" s="372" t="n">
        <v>0</v>
      </c>
      <c r="X942" s="373" t="n">
        <v>0</v>
      </c>
      <c r="Y942" s="358" t="n">
        <v>0</v>
      </c>
      <c r="Z942" s="358" t="n">
        <v>0</v>
      </c>
      <c r="AA942" s="358" t="n">
        <v>0</v>
      </c>
      <c r="AB942" s="373" t="n">
        <v>0</v>
      </c>
      <c r="AC942" s="358" t="n">
        <v>0</v>
      </c>
      <c r="AD942" s="358" t="n">
        <v>0</v>
      </c>
      <c r="AE942" s="358" t="n">
        <v>0</v>
      </c>
      <c r="AF942" s="365" t="n">
        <v>1</v>
      </c>
    </row>
    <row r="943" customFormat="false" ht="15" hidden="true" customHeight="false" outlineLevel="0" collapsed="false">
      <c r="B943" s="360" t="s">
        <v>3406</v>
      </c>
      <c r="C943" s="365" t="n">
        <v>1</v>
      </c>
      <c r="D943" s="358" t="n">
        <v>0</v>
      </c>
      <c r="E943" s="358" t="n">
        <v>0</v>
      </c>
      <c r="F943" s="358" t="n">
        <v>0</v>
      </c>
      <c r="G943" s="372" t="n">
        <v>0</v>
      </c>
      <c r="H943" s="373" t="n">
        <v>0</v>
      </c>
      <c r="I943" s="358" t="n">
        <v>0</v>
      </c>
      <c r="J943" s="358" t="n">
        <v>0</v>
      </c>
      <c r="K943" s="372" t="n">
        <v>0</v>
      </c>
      <c r="L943" s="373" t="n">
        <v>0</v>
      </c>
      <c r="M943" s="358" t="n">
        <v>0</v>
      </c>
      <c r="N943" s="358" t="n">
        <v>0</v>
      </c>
      <c r="O943" s="372" t="n">
        <v>0</v>
      </c>
      <c r="P943" s="373" t="n">
        <v>0</v>
      </c>
      <c r="Q943" s="358" t="n">
        <v>0</v>
      </c>
      <c r="R943" s="358" t="n">
        <v>0</v>
      </c>
      <c r="S943" s="372" t="n">
        <v>0</v>
      </c>
      <c r="T943" s="373" t="n">
        <v>0</v>
      </c>
      <c r="U943" s="358" t="n">
        <v>0</v>
      </c>
      <c r="V943" s="358" t="n">
        <v>0</v>
      </c>
      <c r="W943" s="372" t="n">
        <v>0</v>
      </c>
      <c r="X943" s="373" t="n">
        <v>0</v>
      </c>
      <c r="Y943" s="358" t="n">
        <v>0</v>
      </c>
      <c r="Z943" s="358" t="n">
        <v>0</v>
      </c>
      <c r="AA943" s="358" t="n">
        <v>0</v>
      </c>
      <c r="AB943" s="373" t="n">
        <v>0</v>
      </c>
      <c r="AC943" s="358" t="n">
        <v>0</v>
      </c>
      <c r="AD943" s="358" t="n">
        <v>0</v>
      </c>
      <c r="AE943" s="358" t="n">
        <v>0</v>
      </c>
      <c r="AF943" s="365" t="n">
        <v>1</v>
      </c>
    </row>
    <row r="944" customFormat="false" ht="15" hidden="true" customHeight="false" outlineLevel="0" collapsed="false">
      <c r="B944" s="360" t="s">
        <v>3407</v>
      </c>
      <c r="C944" s="365" t="n">
        <v>1</v>
      </c>
      <c r="D944" s="358" t="n">
        <v>0</v>
      </c>
      <c r="E944" s="358" t="n">
        <v>0</v>
      </c>
      <c r="F944" s="358" t="n">
        <v>0</v>
      </c>
      <c r="G944" s="372" t="n">
        <v>0</v>
      </c>
      <c r="H944" s="373" t="n">
        <v>0</v>
      </c>
      <c r="I944" s="358" t="n">
        <v>0</v>
      </c>
      <c r="J944" s="358" t="n">
        <v>0</v>
      </c>
      <c r="K944" s="372" t="n">
        <v>0</v>
      </c>
      <c r="L944" s="373" t="n">
        <v>0</v>
      </c>
      <c r="M944" s="358" t="n">
        <v>0</v>
      </c>
      <c r="N944" s="358" t="n">
        <v>0</v>
      </c>
      <c r="O944" s="372" t="n">
        <v>0</v>
      </c>
      <c r="P944" s="373" t="n">
        <v>0</v>
      </c>
      <c r="Q944" s="358" t="n">
        <v>0</v>
      </c>
      <c r="R944" s="358" t="n">
        <v>0</v>
      </c>
      <c r="S944" s="372" t="n">
        <v>0</v>
      </c>
      <c r="T944" s="373" t="n">
        <v>0</v>
      </c>
      <c r="U944" s="358" t="n">
        <v>0</v>
      </c>
      <c r="V944" s="358" t="n">
        <v>0</v>
      </c>
      <c r="W944" s="372" t="n">
        <v>0</v>
      </c>
      <c r="X944" s="373" t="n">
        <v>0</v>
      </c>
      <c r="Y944" s="358" t="n">
        <v>0</v>
      </c>
      <c r="Z944" s="358" t="n">
        <v>0</v>
      </c>
      <c r="AA944" s="358" t="n">
        <v>0</v>
      </c>
      <c r="AB944" s="373" t="n">
        <v>0</v>
      </c>
      <c r="AC944" s="358" t="n">
        <v>0</v>
      </c>
      <c r="AD944" s="358" t="n">
        <v>0</v>
      </c>
      <c r="AE944" s="358" t="n">
        <v>0</v>
      </c>
      <c r="AF944" s="365" t="n">
        <v>1</v>
      </c>
    </row>
    <row r="945" customFormat="false" ht="15" hidden="true" customHeight="false" outlineLevel="0" collapsed="false">
      <c r="B945" s="360" t="s">
        <v>3408</v>
      </c>
      <c r="C945" s="365" t="n">
        <v>1</v>
      </c>
      <c r="D945" s="358" t="n">
        <v>0</v>
      </c>
      <c r="E945" s="358" t="n">
        <v>0</v>
      </c>
      <c r="F945" s="358" t="n">
        <v>0</v>
      </c>
      <c r="G945" s="372" t="n">
        <v>0</v>
      </c>
      <c r="H945" s="373" t="n">
        <v>0</v>
      </c>
      <c r="I945" s="358" t="n">
        <v>0</v>
      </c>
      <c r="J945" s="358" t="n">
        <v>0</v>
      </c>
      <c r="K945" s="372" t="n">
        <v>0</v>
      </c>
      <c r="L945" s="373" t="n">
        <v>0</v>
      </c>
      <c r="M945" s="358" t="n">
        <v>0</v>
      </c>
      <c r="N945" s="358" t="n">
        <v>0</v>
      </c>
      <c r="O945" s="372" t="n">
        <v>0</v>
      </c>
      <c r="P945" s="373" t="n">
        <v>0</v>
      </c>
      <c r="Q945" s="358" t="n">
        <v>0</v>
      </c>
      <c r="R945" s="358" t="n">
        <v>0</v>
      </c>
      <c r="S945" s="372" t="n">
        <v>0</v>
      </c>
      <c r="T945" s="373" t="n">
        <v>0</v>
      </c>
      <c r="U945" s="358" t="n">
        <v>0</v>
      </c>
      <c r="V945" s="358" t="n">
        <v>0</v>
      </c>
      <c r="W945" s="372" t="n">
        <v>0</v>
      </c>
      <c r="X945" s="373" t="n">
        <v>0</v>
      </c>
      <c r="Y945" s="358" t="n">
        <v>0</v>
      </c>
      <c r="Z945" s="358" t="n">
        <v>0</v>
      </c>
      <c r="AA945" s="358" t="n">
        <v>0</v>
      </c>
      <c r="AB945" s="373" t="n">
        <v>0</v>
      </c>
      <c r="AC945" s="358" t="n">
        <v>0</v>
      </c>
      <c r="AD945" s="358" t="n">
        <v>0</v>
      </c>
      <c r="AE945" s="358" t="n">
        <v>0</v>
      </c>
      <c r="AF945" s="365" t="n">
        <v>1</v>
      </c>
    </row>
    <row r="946" customFormat="false" ht="15" hidden="true" customHeight="false" outlineLevel="0" collapsed="false">
      <c r="B946" s="360" t="s">
        <v>3409</v>
      </c>
      <c r="C946" s="365" t="n">
        <v>1</v>
      </c>
      <c r="D946" s="358" t="n">
        <v>0</v>
      </c>
      <c r="E946" s="358" t="n">
        <v>0</v>
      </c>
      <c r="F946" s="358" t="n">
        <v>0</v>
      </c>
      <c r="G946" s="372" t="n">
        <v>0</v>
      </c>
      <c r="H946" s="373" t="n">
        <v>0</v>
      </c>
      <c r="I946" s="358" t="n">
        <v>0</v>
      </c>
      <c r="J946" s="358" t="n">
        <v>0</v>
      </c>
      <c r="K946" s="372" t="n">
        <v>0</v>
      </c>
      <c r="L946" s="373" t="n">
        <v>0</v>
      </c>
      <c r="M946" s="358" t="n">
        <v>0</v>
      </c>
      <c r="N946" s="358" t="n">
        <v>0</v>
      </c>
      <c r="O946" s="372" t="n">
        <v>0</v>
      </c>
      <c r="P946" s="373" t="n">
        <v>0</v>
      </c>
      <c r="Q946" s="358" t="n">
        <v>0</v>
      </c>
      <c r="R946" s="358" t="n">
        <v>0</v>
      </c>
      <c r="S946" s="372" t="n">
        <v>0</v>
      </c>
      <c r="T946" s="373" t="n">
        <v>0</v>
      </c>
      <c r="U946" s="358" t="n">
        <v>0</v>
      </c>
      <c r="V946" s="358" t="n">
        <v>0</v>
      </c>
      <c r="W946" s="372" t="n">
        <v>0</v>
      </c>
      <c r="X946" s="373" t="n">
        <v>0</v>
      </c>
      <c r="Y946" s="358" t="n">
        <v>0</v>
      </c>
      <c r="Z946" s="358" t="n">
        <v>0</v>
      </c>
      <c r="AA946" s="358" t="n">
        <v>0</v>
      </c>
      <c r="AB946" s="373" t="n">
        <v>0</v>
      </c>
      <c r="AC946" s="358" t="n">
        <v>0</v>
      </c>
      <c r="AD946" s="358" t="n">
        <v>0</v>
      </c>
      <c r="AE946" s="358" t="n">
        <v>0</v>
      </c>
      <c r="AF946" s="365" t="n">
        <v>1</v>
      </c>
    </row>
    <row r="947" customFormat="false" ht="15" hidden="true" customHeight="false" outlineLevel="0" collapsed="false">
      <c r="B947" s="361" t="s">
        <v>3410</v>
      </c>
      <c r="C947" s="365" t="n">
        <v>1</v>
      </c>
      <c r="D947" s="358" t="n">
        <v>0</v>
      </c>
      <c r="E947" s="358" t="n">
        <v>0</v>
      </c>
      <c r="F947" s="358" t="n">
        <v>0</v>
      </c>
      <c r="G947" s="372" t="n">
        <v>0</v>
      </c>
      <c r="H947" s="373" t="n">
        <v>0</v>
      </c>
      <c r="I947" s="358" t="n">
        <v>0</v>
      </c>
      <c r="J947" s="358" t="n">
        <v>0</v>
      </c>
      <c r="K947" s="372" t="n">
        <v>0</v>
      </c>
      <c r="L947" s="373" t="n">
        <v>0</v>
      </c>
      <c r="M947" s="358" t="n">
        <v>0</v>
      </c>
      <c r="N947" s="358" t="n">
        <v>0</v>
      </c>
      <c r="O947" s="372" t="n">
        <v>0</v>
      </c>
      <c r="P947" s="373" t="n">
        <v>0</v>
      </c>
      <c r="Q947" s="358" t="n">
        <v>0</v>
      </c>
      <c r="R947" s="358" t="n">
        <v>0</v>
      </c>
      <c r="S947" s="372" t="n">
        <v>0</v>
      </c>
      <c r="T947" s="373" t="n">
        <v>0</v>
      </c>
      <c r="U947" s="358" t="n">
        <v>0</v>
      </c>
      <c r="V947" s="358" t="n">
        <v>0</v>
      </c>
      <c r="W947" s="372" t="n">
        <v>0</v>
      </c>
      <c r="X947" s="373" t="n">
        <v>0</v>
      </c>
      <c r="Y947" s="358" t="n">
        <v>0</v>
      </c>
      <c r="Z947" s="358" t="n">
        <v>0</v>
      </c>
      <c r="AA947" s="358" t="n">
        <v>0</v>
      </c>
      <c r="AB947" s="373" t="n">
        <v>0</v>
      </c>
      <c r="AC947" s="358" t="n">
        <v>0</v>
      </c>
      <c r="AD947" s="358" t="n">
        <v>0</v>
      </c>
      <c r="AE947" s="358" t="n">
        <v>0</v>
      </c>
      <c r="AF947" s="365" t="n">
        <v>1</v>
      </c>
    </row>
    <row r="948" customFormat="false" ht="15" hidden="true" customHeight="false" outlineLevel="0" collapsed="false">
      <c r="B948" s="360" t="s">
        <v>3411</v>
      </c>
      <c r="C948" s="365" t="n">
        <v>1</v>
      </c>
      <c r="D948" s="358" t="n">
        <v>0</v>
      </c>
      <c r="E948" s="358" t="n">
        <v>0</v>
      </c>
      <c r="F948" s="358" t="n">
        <v>0</v>
      </c>
      <c r="G948" s="372" t="n">
        <v>0</v>
      </c>
      <c r="H948" s="373" t="n">
        <v>0</v>
      </c>
      <c r="I948" s="358" t="n">
        <v>0</v>
      </c>
      <c r="J948" s="358" t="n">
        <v>0</v>
      </c>
      <c r="K948" s="372" t="n">
        <v>0</v>
      </c>
      <c r="L948" s="373" t="n">
        <v>0</v>
      </c>
      <c r="M948" s="358" t="n">
        <v>0</v>
      </c>
      <c r="N948" s="358" t="n">
        <v>0</v>
      </c>
      <c r="O948" s="372" t="n">
        <v>0</v>
      </c>
      <c r="P948" s="373" t="n">
        <v>0</v>
      </c>
      <c r="Q948" s="358" t="n">
        <v>0</v>
      </c>
      <c r="R948" s="358" t="n">
        <v>0</v>
      </c>
      <c r="S948" s="372" t="n">
        <v>0</v>
      </c>
      <c r="T948" s="373" t="n">
        <v>0</v>
      </c>
      <c r="U948" s="358" t="n">
        <v>0</v>
      </c>
      <c r="V948" s="358" t="n">
        <v>0</v>
      </c>
      <c r="W948" s="372" t="n">
        <v>0</v>
      </c>
      <c r="X948" s="373" t="n">
        <v>0</v>
      </c>
      <c r="Y948" s="358" t="n">
        <v>0</v>
      </c>
      <c r="Z948" s="358" t="n">
        <v>0</v>
      </c>
      <c r="AA948" s="358" t="n">
        <v>0</v>
      </c>
      <c r="AB948" s="373" t="n">
        <v>0</v>
      </c>
      <c r="AC948" s="358" t="n">
        <v>0</v>
      </c>
      <c r="AD948" s="358" t="n">
        <v>0</v>
      </c>
      <c r="AE948" s="358" t="n">
        <v>0</v>
      </c>
      <c r="AF948" s="365" t="n">
        <v>1</v>
      </c>
    </row>
    <row r="949" customFormat="false" ht="15" hidden="true" customHeight="false" outlineLevel="0" collapsed="false">
      <c r="B949" s="361" t="s">
        <v>3412</v>
      </c>
      <c r="C949" s="365" t="n">
        <v>1</v>
      </c>
      <c r="D949" s="358" t="n">
        <v>0</v>
      </c>
      <c r="E949" s="358" t="n">
        <v>0</v>
      </c>
      <c r="F949" s="358" t="n">
        <v>0</v>
      </c>
      <c r="G949" s="372" t="n">
        <v>0</v>
      </c>
      <c r="H949" s="373" t="n">
        <v>0</v>
      </c>
      <c r="I949" s="358" t="n">
        <v>0</v>
      </c>
      <c r="J949" s="358" t="n">
        <v>0</v>
      </c>
      <c r="K949" s="372" t="n">
        <v>0</v>
      </c>
      <c r="L949" s="373" t="n">
        <v>0</v>
      </c>
      <c r="M949" s="358" t="n">
        <v>0</v>
      </c>
      <c r="N949" s="358" t="n">
        <v>0</v>
      </c>
      <c r="O949" s="372" t="n">
        <v>0</v>
      </c>
      <c r="P949" s="373" t="n">
        <v>0</v>
      </c>
      <c r="Q949" s="358" t="n">
        <v>0</v>
      </c>
      <c r="R949" s="358" t="n">
        <v>0</v>
      </c>
      <c r="S949" s="372" t="n">
        <v>0</v>
      </c>
      <c r="T949" s="373" t="n">
        <v>0</v>
      </c>
      <c r="U949" s="358" t="n">
        <v>0</v>
      </c>
      <c r="V949" s="358" t="n">
        <v>0</v>
      </c>
      <c r="W949" s="372" t="n">
        <v>0</v>
      </c>
      <c r="X949" s="373" t="n">
        <v>0</v>
      </c>
      <c r="Y949" s="358" t="n">
        <v>0</v>
      </c>
      <c r="Z949" s="358" t="n">
        <v>0</v>
      </c>
      <c r="AA949" s="358" t="n">
        <v>0</v>
      </c>
      <c r="AB949" s="373" t="n">
        <v>0</v>
      </c>
      <c r="AC949" s="358" t="n">
        <v>0</v>
      </c>
      <c r="AD949" s="358" t="n">
        <v>0</v>
      </c>
      <c r="AE949" s="358" t="n">
        <v>0</v>
      </c>
      <c r="AF949" s="365" t="n">
        <v>1</v>
      </c>
    </row>
    <row r="950" customFormat="false" ht="15" hidden="true" customHeight="false" outlineLevel="0" collapsed="false">
      <c r="B950" s="361" t="s">
        <v>3413</v>
      </c>
      <c r="C950" s="365" t="n">
        <v>1</v>
      </c>
      <c r="D950" s="358" t="n">
        <v>0</v>
      </c>
      <c r="E950" s="358" t="n">
        <v>0</v>
      </c>
      <c r="F950" s="358" t="n">
        <v>0</v>
      </c>
      <c r="G950" s="372" t="n">
        <v>0</v>
      </c>
      <c r="H950" s="373" t="n">
        <v>0</v>
      </c>
      <c r="I950" s="358" t="n">
        <v>0</v>
      </c>
      <c r="J950" s="358" t="n">
        <v>0</v>
      </c>
      <c r="K950" s="372" t="n">
        <v>0</v>
      </c>
      <c r="L950" s="373" t="n">
        <v>0</v>
      </c>
      <c r="M950" s="358" t="n">
        <v>0</v>
      </c>
      <c r="N950" s="358" t="n">
        <v>0</v>
      </c>
      <c r="O950" s="372" t="n">
        <v>0</v>
      </c>
      <c r="P950" s="373" t="n">
        <v>0</v>
      </c>
      <c r="Q950" s="358" t="n">
        <v>0</v>
      </c>
      <c r="R950" s="358" t="n">
        <v>0</v>
      </c>
      <c r="S950" s="372" t="n">
        <v>0</v>
      </c>
      <c r="T950" s="373" t="n">
        <v>0</v>
      </c>
      <c r="U950" s="358" t="n">
        <v>0</v>
      </c>
      <c r="V950" s="358" t="n">
        <v>0</v>
      </c>
      <c r="W950" s="372" t="n">
        <v>0</v>
      </c>
      <c r="X950" s="373" t="n">
        <v>0</v>
      </c>
      <c r="Y950" s="358" t="n">
        <v>0</v>
      </c>
      <c r="Z950" s="358" t="n">
        <v>0</v>
      </c>
      <c r="AA950" s="358" t="n">
        <v>0</v>
      </c>
      <c r="AB950" s="373" t="n">
        <v>0</v>
      </c>
      <c r="AC950" s="358" t="n">
        <v>0</v>
      </c>
      <c r="AD950" s="358" t="n">
        <v>0</v>
      </c>
      <c r="AE950" s="358" t="n">
        <v>0</v>
      </c>
      <c r="AF950" s="365" t="n">
        <v>1</v>
      </c>
    </row>
    <row r="951" customFormat="false" ht="15" hidden="true" customHeight="false" outlineLevel="0" collapsed="false">
      <c r="B951" s="360" t="s">
        <v>3414</v>
      </c>
      <c r="C951" s="365" t="n">
        <v>1</v>
      </c>
      <c r="D951" s="358" t="n">
        <v>0</v>
      </c>
      <c r="E951" s="358" t="n">
        <v>0</v>
      </c>
      <c r="F951" s="358" t="n">
        <v>0</v>
      </c>
      <c r="G951" s="372" t="n">
        <v>0</v>
      </c>
      <c r="H951" s="373" t="n">
        <v>0</v>
      </c>
      <c r="I951" s="358" t="n">
        <v>0</v>
      </c>
      <c r="J951" s="358" t="n">
        <v>0</v>
      </c>
      <c r="K951" s="372" t="n">
        <v>0</v>
      </c>
      <c r="L951" s="373" t="n">
        <v>0</v>
      </c>
      <c r="M951" s="358" t="n">
        <v>0</v>
      </c>
      <c r="N951" s="358" t="n">
        <v>0</v>
      </c>
      <c r="O951" s="372" t="n">
        <v>0</v>
      </c>
      <c r="P951" s="373" t="n">
        <v>0</v>
      </c>
      <c r="Q951" s="358" t="n">
        <v>0</v>
      </c>
      <c r="R951" s="358" t="n">
        <v>0</v>
      </c>
      <c r="S951" s="372" t="n">
        <v>0</v>
      </c>
      <c r="T951" s="373" t="n">
        <v>0</v>
      </c>
      <c r="U951" s="358" t="n">
        <v>0</v>
      </c>
      <c r="V951" s="358" t="n">
        <v>0</v>
      </c>
      <c r="W951" s="372" t="n">
        <v>0</v>
      </c>
      <c r="X951" s="373" t="n">
        <v>0</v>
      </c>
      <c r="Y951" s="358" t="n">
        <v>0</v>
      </c>
      <c r="Z951" s="358" t="n">
        <v>0</v>
      </c>
      <c r="AA951" s="358" t="n">
        <v>0</v>
      </c>
      <c r="AB951" s="373" t="n">
        <v>0</v>
      </c>
      <c r="AC951" s="358" t="n">
        <v>0</v>
      </c>
      <c r="AD951" s="358" t="n">
        <v>0</v>
      </c>
      <c r="AE951" s="358" t="n">
        <v>0</v>
      </c>
      <c r="AF951" s="365" t="n">
        <v>1</v>
      </c>
    </row>
    <row r="952" customFormat="false" ht="15" hidden="true" customHeight="false" outlineLevel="0" collapsed="false">
      <c r="B952" s="360" t="s">
        <v>3415</v>
      </c>
      <c r="C952" s="365" t="n">
        <v>1</v>
      </c>
      <c r="D952" s="358" t="n">
        <v>0</v>
      </c>
      <c r="E952" s="358" t="n">
        <v>0</v>
      </c>
      <c r="F952" s="358" t="n">
        <v>0</v>
      </c>
      <c r="G952" s="372" t="n">
        <v>0</v>
      </c>
      <c r="H952" s="373" t="n">
        <v>0</v>
      </c>
      <c r="I952" s="358" t="n">
        <v>0</v>
      </c>
      <c r="J952" s="358" t="n">
        <v>0</v>
      </c>
      <c r="K952" s="372" t="n">
        <v>0</v>
      </c>
      <c r="L952" s="373" t="n">
        <v>0</v>
      </c>
      <c r="M952" s="358" t="n">
        <v>0</v>
      </c>
      <c r="N952" s="358" t="n">
        <v>0</v>
      </c>
      <c r="O952" s="372" t="n">
        <v>0</v>
      </c>
      <c r="P952" s="373" t="n">
        <v>0</v>
      </c>
      <c r="Q952" s="358" t="n">
        <v>0</v>
      </c>
      <c r="R952" s="358" t="n">
        <v>0</v>
      </c>
      <c r="S952" s="372" t="n">
        <v>0</v>
      </c>
      <c r="T952" s="373" t="n">
        <v>0</v>
      </c>
      <c r="U952" s="358" t="n">
        <v>0</v>
      </c>
      <c r="V952" s="358" t="n">
        <v>0</v>
      </c>
      <c r="W952" s="372" t="n">
        <v>0</v>
      </c>
      <c r="X952" s="373" t="n">
        <v>0</v>
      </c>
      <c r="Y952" s="358" t="n">
        <v>0</v>
      </c>
      <c r="Z952" s="358" t="n">
        <v>0</v>
      </c>
      <c r="AA952" s="358" t="n">
        <v>0</v>
      </c>
      <c r="AB952" s="373" t="n">
        <v>0</v>
      </c>
      <c r="AC952" s="358" t="n">
        <v>0</v>
      </c>
      <c r="AD952" s="358" t="n">
        <v>0</v>
      </c>
      <c r="AE952" s="358" t="n">
        <v>0</v>
      </c>
      <c r="AF952" s="365" t="n">
        <v>1</v>
      </c>
    </row>
    <row r="953" customFormat="false" ht="15" hidden="true" customHeight="false" outlineLevel="0" collapsed="false">
      <c r="B953" s="360" t="s">
        <v>3416</v>
      </c>
      <c r="C953" s="365" t="n">
        <v>1</v>
      </c>
      <c r="D953" s="358" t="n">
        <v>0</v>
      </c>
      <c r="E953" s="358" t="n">
        <v>0</v>
      </c>
      <c r="F953" s="358" t="n">
        <v>0</v>
      </c>
      <c r="G953" s="372" t="n">
        <v>0</v>
      </c>
      <c r="H953" s="373" t="n">
        <v>0</v>
      </c>
      <c r="I953" s="358" t="n">
        <v>0</v>
      </c>
      <c r="J953" s="358" t="n">
        <v>0</v>
      </c>
      <c r="K953" s="372" t="n">
        <v>0</v>
      </c>
      <c r="L953" s="373" t="n">
        <v>0</v>
      </c>
      <c r="M953" s="358" t="n">
        <v>0</v>
      </c>
      <c r="N953" s="358" t="n">
        <v>0</v>
      </c>
      <c r="O953" s="372" t="n">
        <v>0</v>
      </c>
      <c r="P953" s="373" t="n">
        <v>0</v>
      </c>
      <c r="Q953" s="358" t="n">
        <v>0</v>
      </c>
      <c r="R953" s="358" t="n">
        <v>0</v>
      </c>
      <c r="S953" s="372" t="n">
        <v>0</v>
      </c>
      <c r="T953" s="373" t="n">
        <v>0</v>
      </c>
      <c r="U953" s="358" t="n">
        <v>0</v>
      </c>
      <c r="V953" s="358" t="n">
        <v>0</v>
      </c>
      <c r="W953" s="372" t="n">
        <v>0</v>
      </c>
      <c r="X953" s="373" t="n">
        <v>0</v>
      </c>
      <c r="Y953" s="358" t="n">
        <v>0</v>
      </c>
      <c r="Z953" s="358" t="n">
        <v>0</v>
      </c>
      <c r="AA953" s="358" t="n">
        <v>0</v>
      </c>
      <c r="AB953" s="373" t="n">
        <v>0</v>
      </c>
      <c r="AC953" s="358" t="n">
        <v>0</v>
      </c>
      <c r="AD953" s="358" t="n">
        <v>0</v>
      </c>
      <c r="AE953" s="358" t="n">
        <v>0</v>
      </c>
      <c r="AF953" s="365" t="n">
        <v>1</v>
      </c>
    </row>
    <row r="954" customFormat="false" ht="15" hidden="true" customHeight="false" outlineLevel="0" collapsed="false">
      <c r="B954" s="360" t="s">
        <v>3417</v>
      </c>
      <c r="C954" s="365" t="n">
        <v>1</v>
      </c>
      <c r="D954" s="358" t="n">
        <v>0</v>
      </c>
      <c r="E954" s="358" t="n">
        <v>0</v>
      </c>
      <c r="F954" s="358" t="n">
        <v>0</v>
      </c>
      <c r="G954" s="372" t="n">
        <v>0</v>
      </c>
      <c r="H954" s="373" t="n">
        <v>0</v>
      </c>
      <c r="I954" s="358" t="n">
        <v>0</v>
      </c>
      <c r="J954" s="358" t="n">
        <v>0</v>
      </c>
      <c r="K954" s="372" t="n">
        <v>0</v>
      </c>
      <c r="L954" s="373" t="n">
        <v>0</v>
      </c>
      <c r="M954" s="358" t="n">
        <v>0</v>
      </c>
      <c r="N954" s="358" t="n">
        <v>0</v>
      </c>
      <c r="O954" s="372" t="n">
        <v>0</v>
      </c>
      <c r="P954" s="373" t="n">
        <v>0</v>
      </c>
      <c r="Q954" s="358" t="n">
        <v>0</v>
      </c>
      <c r="R954" s="358" t="n">
        <v>0</v>
      </c>
      <c r="S954" s="372" t="n">
        <v>0</v>
      </c>
      <c r="T954" s="373" t="n">
        <v>0</v>
      </c>
      <c r="U954" s="358" t="n">
        <v>0</v>
      </c>
      <c r="V954" s="358" t="n">
        <v>0</v>
      </c>
      <c r="W954" s="372" t="n">
        <v>0</v>
      </c>
      <c r="X954" s="373" t="n">
        <v>0</v>
      </c>
      <c r="Y954" s="358" t="n">
        <v>0</v>
      </c>
      <c r="Z954" s="358" t="n">
        <v>0</v>
      </c>
      <c r="AA954" s="358" t="n">
        <v>0</v>
      </c>
      <c r="AB954" s="373" t="n">
        <v>0</v>
      </c>
      <c r="AC954" s="358" t="n">
        <v>0</v>
      </c>
      <c r="AD954" s="358" t="n">
        <v>0</v>
      </c>
      <c r="AE954" s="358" t="n">
        <v>0</v>
      </c>
      <c r="AF954" s="365" t="n">
        <v>1</v>
      </c>
    </row>
    <row r="955" customFormat="false" ht="15" hidden="true" customHeight="false" outlineLevel="0" collapsed="false">
      <c r="B955" s="360" t="s">
        <v>3418</v>
      </c>
      <c r="C955" s="365" t="n">
        <v>1</v>
      </c>
      <c r="D955" s="358" t="n">
        <v>0</v>
      </c>
      <c r="E955" s="358" t="n">
        <v>0</v>
      </c>
      <c r="F955" s="358" t="n">
        <v>0</v>
      </c>
      <c r="G955" s="372" t="n">
        <v>0</v>
      </c>
      <c r="H955" s="373" t="n">
        <v>0</v>
      </c>
      <c r="I955" s="358" t="n">
        <v>0</v>
      </c>
      <c r="J955" s="358" t="n">
        <v>0</v>
      </c>
      <c r="K955" s="372" t="n">
        <v>0</v>
      </c>
      <c r="L955" s="373" t="n">
        <v>0</v>
      </c>
      <c r="M955" s="358" t="n">
        <v>0</v>
      </c>
      <c r="N955" s="358" t="n">
        <v>0</v>
      </c>
      <c r="O955" s="372" t="n">
        <v>0</v>
      </c>
      <c r="P955" s="373" t="n">
        <v>0</v>
      </c>
      <c r="Q955" s="358" t="n">
        <v>0</v>
      </c>
      <c r="R955" s="358" t="n">
        <v>0</v>
      </c>
      <c r="S955" s="372" t="n">
        <v>0</v>
      </c>
      <c r="T955" s="373" t="n">
        <v>0</v>
      </c>
      <c r="U955" s="358" t="n">
        <v>0</v>
      </c>
      <c r="V955" s="358" t="n">
        <v>0</v>
      </c>
      <c r="W955" s="372" t="n">
        <v>0</v>
      </c>
      <c r="X955" s="373" t="n">
        <v>0</v>
      </c>
      <c r="Y955" s="358" t="n">
        <v>0</v>
      </c>
      <c r="Z955" s="358" t="n">
        <v>0</v>
      </c>
      <c r="AA955" s="358" t="n">
        <v>0</v>
      </c>
      <c r="AB955" s="373" t="n">
        <v>0</v>
      </c>
      <c r="AC955" s="358" t="n">
        <v>0</v>
      </c>
      <c r="AD955" s="358" t="n">
        <v>0</v>
      </c>
      <c r="AE955" s="358" t="n">
        <v>0</v>
      </c>
      <c r="AF955" s="365" t="n">
        <v>1</v>
      </c>
    </row>
    <row r="956" customFormat="false" ht="15" hidden="true" customHeight="false" outlineLevel="0" collapsed="false">
      <c r="B956" s="360" t="s">
        <v>3419</v>
      </c>
      <c r="C956" s="365" t="n">
        <v>1</v>
      </c>
      <c r="D956" s="358" t="n">
        <v>0</v>
      </c>
      <c r="E956" s="358" t="n">
        <v>0</v>
      </c>
      <c r="F956" s="358" t="n">
        <v>0</v>
      </c>
      <c r="G956" s="372" t="n">
        <v>0</v>
      </c>
      <c r="H956" s="373" t="n">
        <v>0</v>
      </c>
      <c r="I956" s="358" t="n">
        <v>0</v>
      </c>
      <c r="J956" s="358" t="n">
        <v>0</v>
      </c>
      <c r="K956" s="372" t="n">
        <v>0</v>
      </c>
      <c r="L956" s="373" t="n">
        <v>0</v>
      </c>
      <c r="M956" s="358" t="n">
        <v>0</v>
      </c>
      <c r="N956" s="358" t="n">
        <v>0</v>
      </c>
      <c r="O956" s="372" t="n">
        <v>0</v>
      </c>
      <c r="P956" s="373" t="n">
        <v>0</v>
      </c>
      <c r="Q956" s="358" t="n">
        <v>0</v>
      </c>
      <c r="R956" s="358" t="n">
        <v>0</v>
      </c>
      <c r="S956" s="372" t="n">
        <v>0</v>
      </c>
      <c r="T956" s="373" t="n">
        <v>0</v>
      </c>
      <c r="U956" s="358" t="n">
        <v>0</v>
      </c>
      <c r="V956" s="358" t="n">
        <v>0</v>
      </c>
      <c r="W956" s="372" t="n">
        <v>0</v>
      </c>
      <c r="X956" s="373" t="n">
        <v>0</v>
      </c>
      <c r="Y956" s="358" t="n">
        <v>0</v>
      </c>
      <c r="Z956" s="358" t="n">
        <v>0</v>
      </c>
      <c r="AA956" s="358" t="n">
        <v>0</v>
      </c>
      <c r="AB956" s="373" t="n">
        <v>0</v>
      </c>
      <c r="AC956" s="358" t="n">
        <v>0</v>
      </c>
      <c r="AD956" s="358" t="n">
        <v>0</v>
      </c>
      <c r="AE956" s="358" t="n">
        <v>0</v>
      </c>
      <c r="AF956" s="365" t="n">
        <v>1</v>
      </c>
    </row>
    <row r="957" customFormat="false" ht="15" hidden="true" customHeight="false" outlineLevel="0" collapsed="false">
      <c r="B957" s="360" t="s">
        <v>3420</v>
      </c>
      <c r="C957" s="365" t="n">
        <v>1</v>
      </c>
      <c r="D957" s="358" t="n">
        <v>0</v>
      </c>
      <c r="E957" s="358" t="n">
        <v>0</v>
      </c>
      <c r="F957" s="358" t="n">
        <v>0</v>
      </c>
      <c r="G957" s="372" t="n">
        <v>0</v>
      </c>
      <c r="H957" s="373" t="n">
        <v>0</v>
      </c>
      <c r="I957" s="358" t="n">
        <v>0</v>
      </c>
      <c r="J957" s="358" t="n">
        <v>0</v>
      </c>
      <c r="K957" s="372" t="n">
        <v>0</v>
      </c>
      <c r="L957" s="373" t="n">
        <v>0</v>
      </c>
      <c r="M957" s="358" t="n">
        <v>0</v>
      </c>
      <c r="N957" s="358" t="n">
        <v>0</v>
      </c>
      <c r="O957" s="372" t="n">
        <v>0</v>
      </c>
      <c r="P957" s="373" t="n">
        <v>0</v>
      </c>
      <c r="Q957" s="358" t="n">
        <v>0</v>
      </c>
      <c r="R957" s="358" t="n">
        <v>0</v>
      </c>
      <c r="S957" s="372" t="n">
        <v>0</v>
      </c>
      <c r="T957" s="373" t="n">
        <v>0</v>
      </c>
      <c r="U957" s="358" t="n">
        <v>0</v>
      </c>
      <c r="V957" s="358" t="n">
        <v>0</v>
      </c>
      <c r="W957" s="372" t="n">
        <v>0</v>
      </c>
      <c r="X957" s="373" t="n">
        <v>0</v>
      </c>
      <c r="Y957" s="358" t="n">
        <v>0</v>
      </c>
      <c r="Z957" s="358" t="n">
        <v>0</v>
      </c>
      <c r="AA957" s="358" t="n">
        <v>0</v>
      </c>
      <c r="AB957" s="373" t="n">
        <v>0</v>
      </c>
      <c r="AC957" s="358" t="n">
        <v>0</v>
      </c>
      <c r="AD957" s="358" t="n">
        <v>0</v>
      </c>
      <c r="AE957" s="358" t="n">
        <v>0</v>
      </c>
      <c r="AF957" s="365" t="n">
        <v>1</v>
      </c>
    </row>
    <row r="958" customFormat="false" ht="15" hidden="true" customHeight="false" outlineLevel="0" collapsed="false">
      <c r="B958" s="360" t="s">
        <v>3421</v>
      </c>
      <c r="C958" s="365" t="n">
        <v>1</v>
      </c>
      <c r="D958" s="358" t="n">
        <v>0</v>
      </c>
      <c r="E958" s="358" t="n">
        <v>0</v>
      </c>
      <c r="F958" s="358" t="n">
        <v>0</v>
      </c>
      <c r="G958" s="372" t="n">
        <v>0</v>
      </c>
      <c r="H958" s="373" t="n">
        <v>0</v>
      </c>
      <c r="I958" s="358" t="n">
        <v>0</v>
      </c>
      <c r="J958" s="358" t="n">
        <v>0</v>
      </c>
      <c r="K958" s="372" t="n">
        <v>0</v>
      </c>
      <c r="L958" s="373" t="n">
        <v>0</v>
      </c>
      <c r="M958" s="358" t="n">
        <v>0</v>
      </c>
      <c r="N958" s="358" t="n">
        <v>0</v>
      </c>
      <c r="O958" s="372" t="n">
        <v>0</v>
      </c>
      <c r="P958" s="373" t="n">
        <v>0</v>
      </c>
      <c r="Q958" s="358" t="n">
        <v>0</v>
      </c>
      <c r="R958" s="358" t="n">
        <v>0</v>
      </c>
      <c r="S958" s="372" t="n">
        <v>0</v>
      </c>
      <c r="T958" s="373" t="n">
        <v>0</v>
      </c>
      <c r="U958" s="358" t="n">
        <v>0</v>
      </c>
      <c r="V958" s="358" t="n">
        <v>0</v>
      </c>
      <c r="W958" s="372" t="n">
        <v>0</v>
      </c>
      <c r="X958" s="373" t="n">
        <v>0</v>
      </c>
      <c r="Y958" s="358" t="n">
        <v>0</v>
      </c>
      <c r="Z958" s="358" t="n">
        <v>0</v>
      </c>
      <c r="AA958" s="358" t="n">
        <v>0</v>
      </c>
      <c r="AB958" s="373" t="n">
        <v>0</v>
      </c>
      <c r="AC958" s="358" t="n">
        <v>0</v>
      </c>
      <c r="AD958" s="358" t="n">
        <v>0</v>
      </c>
      <c r="AE958" s="358" t="n">
        <v>0</v>
      </c>
      <c r="AF958" s="365" t="n">
        <v>1</v>
      </c>
    </row>
    <row r="959" customFormat="false" ht="15" hidden="true" customHeight="false" outlineLevel="0" collapsed="false">
      <c r="B959" s="360" t="s">
        <v>3422</v>
      </c>
      <c r="C959" s="365" t="n">
        <v>1</v>
      </c>
      <c r="D959" s="358" t="n">
        <v>0</v>
      </c>
      <c r="E959" s="358" t="n">
        <v>0</v>
      </c>
      <c r="F959" s="358" t="n">
        <v>0</v>
      </c>
      <c r="G959" s="372" t="n">
        <v>0</v>
      </c>
      <c r="H959" s="373" t="n">
        <v>0</v>
      </c>
      <c r="I959" s="358" t="n">
        <v>0</v>
      </c>
      <c r="J959" s="358" t="n">
        <v>0</v>
      </c>
      <c r="K959" s="372" t="n">
        <v>0</v>
      </c>
      <c r="L959" s="373" t="n">
        <v>0</v>
      </c>
      <c r="M959" s="358" t="n">
        <v>0</v>
      </c>
      <c r="N959" s="358" t="n">
        <v>0</v>
      </c>
      <c r="O959" s="372" t="n">
        <v>0</v>
      </c>
      <c r="P959" s="373" t="n">
        <v>0</v>
      </c>
      <c r="Q959" s="358" t="n">
        <v>0</v>
      </c>
      <c r="R959" s="358" t="n">
        <v>0</v>
      </c>
      <c r="S959" s="372" t="n">
        <v>0</v>
      </c>
      <c r="T959" s="373" t="n">
        <v>0</v>
      </c>
      <c r="U959" s="358" t="n">
        <v>0</v>
      </c>
      <c r="V959" s="358" t="n">
        <v>0</v>
      </c>
      <c r="W959" s="372" t="n">
        <v>0</v>
      </c>
      <c r="X959" s="373" t="n">
        <v>0</v>
      </c>
      <c r="Y959" s="358" t="n">
        <v>0</v>
      </c>
      <c r="Z959" s="358" t="n">
        <v>0</v>
      </c>
      <c r="AA959" s="358" t="n">
        <v>0</v>
      </c>
      <c r="AB959" s="373" t="n">
        <v>0</v>
      </c>
      <c r="AC959" s="358" t="n">
        <v>0</v>
      </c>
      <c r="AD959" s="358" t="n">
        <v>0</v>
      </c>
      <c r="AE959" s="358" t="n">
        <v>0</v>
      </c>
      <c r="AF959" s="365" t="n">
        <v>1</v>
      </c>
    </row>
    <row r="960" customFormat="false" ht="15" hidden="true" customHeight="false" outlineLevel="0" collapsed="false">
      <c r="B960" s="360" t="s">
        <v>3423</v>
      </c>
      <c r="C960" s="365" t="n">
        <v>1</v>
      </c>
      <c r="D960" s="358" t="n">
        <v>0</v>
      </c>
      <c r="E960" s="358" t="n">
        <v>0</v>
      </c>
      <c r="F960" s="358" t="n">
        <v>0</v>
      </c>
      <c r="G960" s="372" t="n">
        <v>0</v>
      </c>
      <c r="H960" s="373" t="n">
        <v>0</v>
      </c>
      <c r="I960" s="358" t="n">
        <v>0</v>
      </c>
      <c r="J960" s="358" t="n">
        <v>0</v>
      </c>
      <c r="K960" s="372" t="n">
        <v>0</v>
      </c>
      <c r="L960" s="373" t="n">
        <v>0</v>
      </c>
      <c r="M960" s="358" t="n">
        <v>0</v>
      </c>
      <c r="N960" s="358" t="n">
        <v>0</v>
      </c>
      <c r="O960" s="372" t="n">
        <v>0</v>
      </c>
      <c r="P960" s="373" t="n">
        <v>0</v>
      </c>
      <c r="Q960" s="358" t="n">
        <v>0</v>
      </c>
      <c r="R960" s="358" t="n">
        <v>0</v>
      </c>
      <c r="S960" s="372" t="n">
        <v>0</v>
      </c>
      <c r="T960" s="373" t="n">
        <v>0</v>
      </c>
      <c r="U960" s="358" t="n">
        <v>0</v>
      </c>
      <c r="V960" s="358" t="n">
        <v>0</v>
      </c>
      <c r="W960" s="372" t="n">
        <v>0</v>
      </c>
      <c r="X960" s="373" t="n">
        <v>0</v>
      </c>
      <c r="Y960" s="358" t="n">
        <v>0</v>
      </c>
      <c r="Z960" s="358" t="n">
        <v>0</v>
      </c>
      <c r="AA960" s="358" t="n">
        <v>0</v>
      </c>
      <c r="AB960" s="373" t="n">
        <v>0</v>
      </c>
      <c r="AC960" s="358" t="n">
        <v>0</v>
      </c>
      <c r="AD960" s="358" t="n">
        <v>0</v>
      </c>
      <c r="AE960" s="358" t="n">
        <v>0</v>
      </c>
      <c r="AF960" s="365" t="n">
        <v>1</v>
      </c>
    </row>
    <row r="961" customFormat="false" ht="15" hidden="false" customHeight="false" outlineLevel="0" collapsed="false">
      <c r="B961" s="364" t="s">
        <v>2468</v>
      </c>
      <c r="C961" s="365" t="n">
        <v>6</v>
      </c>
      <c r="D961" s="358" t="n">
        <v>0</v>
      </c>
      <c r="E961" s="358" t="n">
        <v>0</v>
      </c>
      <c r="F961" s="358" t="n">
        <v>0</v>
      </c>
      <c r="G961" s="372" t="n">
        <v>0</v>
      </c>
      <c r="H961" s="373" t="n">
        <v>0</v>
      </c>
      <c r="I961" s="358" t="n">
        <v>0</v>
      </c>
      <c r="J961" s="358" t="n">
        <v>0</v>
      </c>
      <c r="K961" s="372" t="n">
        <v>0</v>
      </c>
      <c r="L961" s="373" t="n">
        <v>0</v>
      </c>
      <c r="M961" s="358" t="n">
        <v>0</v>
      </c>
      <c r="N961" s="358" t="n">
        <v>0</v>
      </c>
      <c r="O961" s="372" t="n">
        <v>0</v>
      </c>
      <c r="P961" s="373" t="n">
        <v>0</v>
      </c>
      <c r="Q961" s="358" t="n">
        <v>0</v>
      </c>
      <c r="R961" s="358" t="n">
        <v>0</v>
      </c>
      <c r="S961" s="372" t="n">
        <v>0</v>
      </c>
      <c r="T961" s="373" t="n">
        <v>0</v>
      </c>
      <c r="U961" s="358" t="n">
        <v>0</v>
      </c>
      <c r="V961" s="358" t="n">
        <v>0</v>
      </c>
      <c r="W961" s="372" t="n">
        <v>0</v>
      </c>
      <c r="X961" s="373" t="n">
        <v>0</v>
      </c>
      <c r="Y961" s="358" t="n">
        <v>0</v>
      </c>
      <c r="Z961" s="358" t="n">
        <v>0</v>
      </c>
      <c r="AA961" s="358" t="n">
        <v>0</v>
      </c>
      <c r="AB961" s="373" t="n">
        <v>0</v>
      </c>
      <c r="AC961" s="358" t="n">
        <v>0</v>
      </c>
      <c r="AD961" s="358" t="n">
        <v>0</v>
      </c>
      <c r="AE961" s="358" t="n">
        <v>0</v>
      </c>
      <c r="AF961" s="365" t="n">
        <v>6</v>
      </c>
    </row>
    <row r="962" customFormat="false" ht="15" hidden="true" customHeight="false" outlineLevel="0" collapsed="false">
      <c r="B962" s="360" t="s">
        <v>3424</v>
      </c>
      <c r="C962" s="359" t="n">
        <v>1</v>
      </c>
      <c r="D962" s="358" t="n">
        <v>0</v>
      </c>
      <c r="E962" s="358" t="n">
        <v>0</v>
      </c>
      <c r="F962" s="358" t="n">
        <v>0</v>
      </c>
      <c r="G962" s="372" t="n">
        <v>0</v>
      </c>
      <c r="H962" s="373" t="n">
        <v>0</v>
      </c>
      <c r="I962" s="358" t="n">
        <v>0</v>
      </c>
      <c r="J962" s="358" t="n">
        <v>0</v>
      </c>
      <c r="K962" s="372" t="n">
        <v>0</v>
      </c>
      <c r="L962" s="373" t="n">
        <v>0</v>
      </c>
      <c r="M962" s="358" t="n">
        <v>0</v>
      </c>
      <c r="N962" s="358" t="n">
        <v>0</v>
      </c>
      <c r="O962" s="372" t="n">
        <v>0</v>
      </c>
      <c r="P962" s="373" t="n">
        <v>0</v>
      </c>
      <c r="Q962" s="358" t="n">
        <v>0</v>
      </c>
      <c r="R962" s="358" t="n">
        <v>0</v>
      </c>
      <c r="S962" s="372" t="n">
        <v>0</v>
      </c>
      <c r="T962" s="373" t="n">
        <v>0</v>
      </c>
      <c r="U962" s="358" t="n">
        <v>0</v>
      </c>
      <c r="V962" s="358" t="n">
        <v>0</v>
      </c>
      <c r="W962" s="372" t="n">
        <v>0</v>
      </c>
      <c r="X962" s="373" t="n">
        <v>0</v>
      </c>
      <c r="Y962" s="358" t="n">
        <v>0</v>
      </c>
      <c r="Z962" s="358" t="n">
        <v>0</v>
      </c>
      <c r="AA962" s="358" t="n">
        <v>0</v>
      </c>
      <c r="AB962" s="373" t="n">
        <v>0</v>
      </c>
      <c r="AC962" s="358" t="n">
        <v>0</v>
      </c>
      <c r="AD962" s="358" t="n">
        <v>0</v>
      </c>
      <c r="AE962" s="358" t="n">
        <v>0</v>
      </c>
      <c r="AF962" s="359" t="n">
        <v>1</v>
      </c>
    </row>
    <row r="963" customFormat="false" ht="15" hidden="true" customHeight="false" outlineLevel="0" collapsed="false">
      <c r="B963" s="360" t="s">
        <v>3425</v>
      </c>
      <c r="C963" s="359" t="n">
        <v>1</v>
      </c>
      <c r="D963" s="358" t="n">
        <v>0</v>
      </c>
      <c r="E963" s="358" t="n">
        <v>0</v>
      </c>
      <c r="F963" s="358" t="n">
        <v>0</v>
      </c>
      <c r="G963" s="372" t="n">
        <v>0</v>
      </c>
      <c r="H963" s="373" t="n">
        <v>0</v>
      </c>
      <c r="I963" s="358" t="n">
        <v>0</v>
      </c>
      <c r="J963" s="358" t="n">
        <v>0</v>
      </c>
      <c r="K963" s="372" t="n">
        <v>0</v>
      </c>
      <c r="L963" s="373" t="n">
        <v>0</v>
      </c>
      <c r="M963" s="358" t="n">
        <v>0</v>
      </c>
      <c r="N963" s="358" t="n">
        <v>0</v>
      </c>
      <c r="O963" s="372" t="n">
        <v>0</v>
      </c>
      <c r="P963" s="373" t="n">
        <v>0</v>
      </c>
      <c r="Q963" s="358" t="n">
        <v>0</v>
      </c>
      <c r="R963" s="358" t="n">
        <v>0</v>
      </c>
      <c r="S963" s="372" t="n">
        <v>0</v>
      </c>
      <c r="T963" s="373" t="n">
        <v>0</v>
      </c>
      <c r="U963" s="358" t="n">
        <v>0</v>
      </c>
      <c r="V963" s="358" t="n">
        <v>0</v>
      </c>
      <c r="W963" s="372" t="n">
        <v>0</v>
      </c>
      <c r="X963" s="373" t="n">
        <v>0</v>
      </c>
      <c r="Y963" s="358" t="n">
        <v>0</v>
      </c>
      <c r="Z963" s="358" t="n">
        <v>0</v>
      </c>
      <c r="AA963" s="358" t="n">
        <v>0</v>
      </c>
      <c r="AB963" s="373" t="n">
        <v>0</v>
      </c>
      <c r="AC963" s="358" t="n">
        <v>0</v>
      </c>
      <c r="AD963" s="358" t="n">
        <v>0</v>
      </c>
      <c r="AE963" s="358" t="n">
        <v>0</v>
      </c>
      <c r="AF963" s="359" t="n">
        <v>1</v>
      </c>
    </row>
    <row r="964" customFormat="false" ht="15" hidden="true" customHeight="false" outlineLevel="0" collapsed="false">
      <c r="B964" s="360" t="s">
        <v>3426</v>
      </c>
      <c r="C964" s="359" t="n">
        <v>1</v>
      </c>
      <c r="D964" s="358" t="n">
        <v>0</v>
      </c>
      <c r="E964" s="358" t="n">
        <v>0</v>
      </c>
      <c r="F964" s="358" t="n">
        <v>0</v>
      </c>
      <c r="G964" s="372" t="n">
        <v>0</v>
      </c>
      <c r="H964" s="373" t="n">
        <v>0</v>
      </c>
      <c r="I964" s="358" t="n">
        <v>0</v>
      </c>
      <c r="J964" s="358" t="n">
        <v>0</v>
      </c>
      <c r="K964" s="372" t="n">
        <v>0</v>
      </c>
      <c r="L964" s="373" t="n">
        <v>0</v>
      </c>
      <c r="M964" s="358" t="n">
        <v>0</v>
      </c>
      <c r="N964" s="358" t="n">
        <v>0</v>
      </c>
      <c r="O964" s="372" t="n">
        <v>0</v>
      </c>
      <c r="P964" s="373" t="n">
        <v>0</v>
      </c>
      <c r="Q964" s="358" t="n">
        <v>0</v>
      </c>
      <c r="R964" s="358" t="n">
        <v>0</v>
      </c>
      <c r="S964" s="372" t="n">
        <v>0</v>
      </c>
      <c r="T964" s="373" t="n">
        <v>0</v>
      </c>
      <c r="U964" s="358" t="n">
        <v>0</v>
      </c>
      <c r="V964" s="358" t="n">
        <v>0</v>
      </c>
      <c r="W964" s="372" t="n">
        <v>0</v>
      </c>
      <c r="X964" s="373" t="n">
        <v>0</v>
      </c>
      <c r="Y964" s="358" t="n">
        <v>0</v>
      </c>
      <c r="Z964" s="358" t="n">
        <v>0</v>
      </c>
      <c r="AA964" s="358" t="n">
        <v>0</v>
      </c>
      <c r="AB964" s="373" t="n">
        <v>0</v>
      </c>
      <c r="AC964" s="358" t="n">
        <v>0</v>
      </c>
      <c r="AD964" s="358" t="n">
        <v>0</v>
      </c>
      <c r="AE964" s="358" t="n">
        <v>0</v>
      </c>
      <c r="AF964" s="359" t="n">
        <v>1</v>
      </c>
    </row>
    <row r="965" customFormat="false" ht="15" hidden="true" customHeight="false" outlineLevel="0" collapsed="false">
      <c r="B965" s="360" t="s">
        <v>3427</v>
      </c>
      <c r="C965" s="359" t="n">
        <v>1</v>
      </c>
      <c r="D965" s="358" t="n">
        <v>0</v>
      </c>
      <c r="E965" s="358" t="n">
        <v>0</v>
      </c>
      <c r="F965" s="358" t="n">
        <v>0</v>
      </c>
      <c r="G965" s="372" t="n">
        <v>0</v>
      </c>
      <c r="H965" s="373" t="n">
        <v>0</v>
      </c>
      <c r="I965" s="358" t="n">
        <v>0</v>
      </c>
      <c r="J965" s="358" t="n">
        <v>0</v>
      </c>
      <c r="K965" s="372" t="n">
        <v>0</v>
      </c>
      <c r="L965" s="373" t="n">
        <v>0</v>
      </c>
      <c r="M965" s="358" t="n">
        <v>0</v>
      </c>
      <c r="N965" s="358" t="n">
        <v>0</v>
      </c>
      <c r="O965" s="372" t="n">
        <v>0</v>
      </c>
      <c r="P965" s="373" t="n">
        <v>0</v>
      </c>
      <c r="Q965" s="358" t="n">
        <v>0</v>
      </c>
      <c r="R965" s="358" t="n">
        <v>0</v>
      </c>
      <c r="S965" s="372" t="n">
        <v>0</v>
      </c>
      <c r="T965" s="373" t="n">
        <v>0</v>
      </c>
      <c r="U965" s="358" t="n">
        <v>0</v>
      </c>
      <c r="V965" s="358" t="n">
        <v>0</v>
      </c>
      <c r="W965" s="372" t="n">
        <v>0</v>
      </c>
      <c r="X965" s="373" t="n">
        <v>0</v>
      </c>
      <c r="Y965" s="358" t="n">
        <v>0</v>
      </c>
      <c r="Z965" s="358" t="n">
        <v>0</v>
      </c>
      <c r="AA965" s="358" t="n">
        <v>0</v>
      </c>
      <c r="AB965" s="373" t="n">
        <v>0</v>
      </c>
      <c r="AC965" s="358" t="n">
        <v>0</v>
      </c>
      <c r="AD965" s="358" t="n">
        <v>0</v>
      </c>
      <c r="AE965" s="358" t="n">
        <v>0</v>
      </c>
      <c r="AF965" s="359" t="n">
        <v>1</v>
      </c>
    </row>
    <row r="966" customFormat="false" ht="15" hidden="true" customHeight="false" outlineLevel="0" collapsed="false">
      <c r="B966" s="360" t="s">
        <v>3428</v>
      </c>
      <c r="C966" s="359" t="n">
        <v>1</v>
      </c>
      <c r="D966" s="358" t="n">
        <v>0</v>
      </c>
      <c r="E966" s="358" t="n">
        <v>0</v>
      </c>
      <c r="F966" s="358" t="n">
        <v>0</v>
      </c>
      <c r="G966" s="372" t="n">
        <v>0</v>
      </c>
      <c r="H966" s="373" t="n">
        <v>0</v>
      </c>
      <c r="I966" s="358" t="n">
        <v>0</v>
      </c>
      <c r="J966" s="358" t="n">
        <v>0</v>
      </c>
      <c r="K966" s="372" t="n">
        <v>0</v>
      </c>
      <c r="L966" s="373" t="n">
        <v>0</v>
      </c>
      <c r="M966" s="358" t="n">
        <v>0</v>
      </c>
      <c r="N966" s="358" t="n">
        <v>0</v>
      </c>
      <c r="O966" s="372" t="n">
        <v>0</v>
      </c>
      <c r="P966" s="373" t="n">
        <v>0</v>
      </c>
      <c r="Q966" s="358" t="n">
        <v>0</v>
      </c>
      <c r="R966" s="358" t="n">
        <v>0</v>
      </c>
      <c r="S966" s="372" t="n">
        <v>0</v>
      </c>
      <c r="T966" s="373" t="n">
        <v>0</v>
      </c>
      <c r="U966" s="358" t="n">
        <v>0</v>
      </c>
      <c r="V966" s="358" t="n">
        <v>0</v>
      </c>
      <c r="W966" s="372" t="n">
        <v>0</v>
      </c>
      <c r="X966" s="373" t="n">
        <v>0</v>
      </c>
      <c r="Y966" s="358" t="n">
        <v>0</v>
      </c>
      <c r="Z966" s="358" t="n">
        <v>0</v>
      </c>
      <c r="AA966" s="358" t="n">
        <v>0</v>
      </c>
      <c r="AB966" s="373" t="n">
        <v>0</v>
      </c>
      <c r="AC966" s="358" t="n">
        <v>0</v>
      </c>
      <c r="AD966" s="358" t="n">
        <v>0</v>
      </c>
      <c r="AE966" s="358" t="n">
        <v>0</v>
      </c>
      <c r="AF966" s="359" t="n">
        <v>1</v>
      </c>
    </row>
    <row r="967" customFormat="false" ht="15" hidden="true" customHeight="false" outlineLevel="0" collapsed="false">
      <c r="B967" s="360" t="s">
        <v>3429</v>
      </c>
      <c r="C967" s="359" t="n">
        <v>1</v>
      </c>
      <c r="D967" s="358" t="n">
        <v>0</v>
      </c>
      <c r="E967" s="358" t="n">
        <v>0</v>
      </c>
      <c r="F967" s="358" t="n">
        <v>0</v>
      </c>
      <c r="G967" s="372" t="n">
        <v>0</v>
      </c>
      <c r="H967" s="373" t="n">
        <v>0</v>
      </c>
      <c r="I967" s="358" t="n">
        <v>0</v>
      </c>
      <c r="J967" s="358" t="n">
        <v>0</v>
      </c>
      <c r="K967" s="372" t="n">
        <v>0</v>
      </c>
      <c r="L967" s="373" t="n">
        <v>0</v>
      </c>
      <c r="M967" s="358" t="n">
        <v>0</v>
      </c>
      <c r="N967" s="358" t="n">
        <v>0</v>
      </c>
      <c r="O967" s="372" t="n">
        <v>0</v>
      </c>
      <c r="P967" s="373" t="n">
        <v>0</v>
      </c>
      <c r="Q967" s="358" t="n">
        <v>0</v>
      </c>
      <c r="R967" s="358" t="n">
        <v>0</v>
      </c>
      <c r="S967" s="372" t="n">
        <v>0</v>
      </c>
      <c r="T967" s="373" t="n">
        <v>0</v>
      </c>
      <c r="U967" s="358" t="n">
        <v>0</v>
      </c>
      <c r="V967" s="358" t="n">
        <v>0</v>
      </c>
      <c r="W967" s="372" t="n">
        <v>0</v>
      </c>
      <c r="X967" s="373" t="n">
        <v>0</v>
      </c>
      <c r="Y967" s="358" t="n">
        <v>0</v>
      </c>
      <c r="Z967" s="358" t="n">
        <v>0</v>
      </c>
      <c r="AA967" s="358" t="n">
        <v>0</v>
      </c>
      <c r="AB967" s="373" t="n">
        <v>0</v>
      </c>
      <c r="AC967" s="358" t="n">
        <v>0</v>
      </c>
      <c r="AD967" s="358" t="n">
        <v>0</v>
      </c>
      <c r="AE967" s="358" t="n">
        <v>0</v>
      </c>
      <c r="AF967" s="359" t="n">
        <v>1</v>
      </c>
    </row>
    <row r="968" customFormat="false" ht="15" hidden="false" customHeight="false" outlineLevel="0" collapsed="false">
      <c r="B968" s="356" t="s">
        <v>2477</v>
      </c>
      <c r="C968" s="357" t="n">
        <v>2</v>
      </c>
      <c r="D968" s="358" t="n">
        <v>0</v>
      </c>
      <c r="E968" s="358" t="n">
        <v>0</v>
      </c>
      <c r="F968" s="358" t="n">
        <v>0</v>
      </c>
      <c r="G968" s="372" t="n">
        <v>0</v>
      </c>
      <c r="H968" s="373" t="n">
        <v>0</v>
      </c>
      <c r="I968" s="358" t="n">
        <v>0</v>
      </c>
      <c r="J968" s="358" t="n">
        <v>0</v>
      </c>
      <c r="K968" s="372" t="n">
        <v>0</v>
      </c>
      <c r="L968" s="373" t="n">
        <v>0</v>
      </c>
      <c r="M968" s="358" t="n">
        <v>0</v>
      </c>
      <c r="N968" s="358" t="n">
        <v>0</v>
      </c>
      <c r="O968" s="372" t="n">
        <v>0</v>
      </c>
      <c r="P968" s="373" t="n">
        <v>0</v>
      </c>
      <c r="Q968" s="358" t="n">
        <v>0</v>
      </c>
      <c r="R968" s="358" t="n">
        <v>0</v>
      </c>
      <c r="S968" s="372" t="n">
        <v>0</v>
      </c>
      <c r="T968" s="373" t="n">
        <v>0</v>
      </c>
      <c r="U968" s="358" t="n">
        <v>0</v>
      </c>
      <c r="V968" s="358" t="n">
        <v>0</v>
      </c>
      <c r="W968" s="372" t="n">
        <v>0</v>
      </c>
      <c r="X968" s="373" t="n">
        <v>0</v>
      </c>
      <c r="Y968" s="358" t="n">
        <v>0</v>
      </c>
      <c r="Z968" s="358" t="n">
        <v>0</v>
      </c>
      <c r="AA968" s="358" t="n">
        <v>0</v>
      </c>
      <c r="AB968" s="373" t="n">
        <v>0</v>
      </c>
      <c r="AC968" s="358" t="n">
        <v>0</v>
      </c>
      <c r="AD968" s="358" t="n">
        <v>0</v>
      </c>
      <c r="AE968" s="358" t="n">
        <v>0</v>
      </c>
      <c r="AF968" s="357" t="n">
        <v>2</v>
      </c>
    </row>
    <row r="969" customFormat="false" ht="15" hidden="true" customHeight="false" outlineLevel="0" collapsed="false">
      <c r="B969" s="360" t="s">
        <v>3430</v>
      </c>
      <c r="C969" s="359" t="n">
        <v>1</v>
      </c>
      <c r="D969" s="358" t="n">
        <v>0</v>
      </c>
      <c r="E969" s="358" t="n">
        <v>0</v>
      </c>
      <c r="F969" s="358" t="n">
        <v>0</v>
      </c>
      <c r="G969" s="372" t="n">
        <v>0</v>
      </c>
      <c r="H969" s="373" t="n">
        <v>0</v>
      </c>
      <c r="I969" s="358" t="n">
        <v>0</v>
      </c>
      <c r="J969" s="358" t="n">
        <v>0</v>
      </c>
      <c r="K969" s="372" t="n">
        <v>0</v>
      </c>
      <c r="L969" s="373" t="n">
        <v>0</v>
      </c>
      <c r="M969" s="358" t="n">
        <v>0</v>
      </c>
      <c r="N969" s="358" t="n">
        <v>0</v>
      </c>
      <c r="O969" s="372" t="n">
        <v>0</v>
      </c>
      <c r="P969" s="373" t="n">
        <v>0</v>
      </c>
      <c r="Q969" s="358" t="n">
        <v>0</v>
      </c>
      <c r="R969" s="358" t="n">
        <v>0</v>
      </c>
      <c r="S969" s="372" t="n">
        <v>0</v>
      </c>
      <c r="T969" s="373" t="n">
        <v>0</v>
      </c>
      <c r="U969" s="358" t="n">
        <v>0</v>
      </c>
      <c r="V969" s="358" t="n">
        <v>0</v>
      </c>
      <c r="W969" s="372" t="n">
        <v>0</v>
      </c>
      <c r="X969" s="373" t="n">
        <v>0</v>
      </c>
      <c r="Y969" s="358" t="n">
        <v>0</v>
      </c>
      <c r="Z969" s="358" t="n">
        <v>0</v>
      </c>
      <c r="AA969" s="358" t="n">
        <v>0</v>
      </c>
      <c r="AB969" s="373" t="n">
        <v>0</v>
      </c>
      <c r="AC969" s="358" t="n">
        <v>0</v>
      </c>
      <c r="AD969" s="358" t="n">
        <v>0</v>
      </c>
      <c r="AE969" s="358" t="n">
        <v>0</v>
      </c>
      <c r="AF969" s="359" t="n">
        <v>1</v>
      </c>
    </row>
    <row r="970" customFormat="false" ht="15" hidden="true" customHeight="false" outlineLevel="0" collapsed="false">
      <c r="B970" s="360" t="s">
        <v>3431</v>
      </c>
      <c r="C970" s="359" t="n">
        <v>1</v>
      </c>
      <c r="D970" s="358" t="n">
        <v>0</v>
      </c>
      <c r="E970" s="358" t="n">
        <v>0</v>
      </c>
      <c r="F970" s="358" t="n">
        <v>0</v>
      </c>
      <c r="G970" s="372" t="n">
        <v>0</v>
      </c>
      <c r="H970" s="373" t="n">
        <v>0</v>
      </c>
      <c r="I970" s="358" t="n">
        <v>0</v>
      </c>
      <c r="J970" s="358" t="n">
        <v>0</v>
      </c>
      <c r="K970" s="372" t="n">
        <v>0</v>
      </c>
      <c r="L970" s="373" t="n">
        <v>0</v>
      </c>
      <c r="M970" s="358" t="n">
        <v>0</v>
      </c>
      <c r="N970" s="358" t="n">
        <v>0</v>
      </c>
      <c r="O970" s="372" t="n">
        <v>0</v>
      </c>
      <c r="P970" s="373" t="n">
        <v>0</v>
      </c>
      <c r="Q970" s="358" t="n">
        <v>0</v>
      </c>
      <c r="R970" s="358" t="n">
        <v>0</v>
      </c>
      <c r="S970" s="372" t="n">
        <v>0</v>
      </c>
      <c r="T970" s="373" t="n">
        <v>0</v>
      </c>
      <c r="U970" s="358" t="n">
        <v>0</v>
      </c>
      <c r="V970" s="358" t="n">
        <v>0</v>
      </c>
      <c r="W970" s="372" t="n">
        <v>0</v>
      </c>
      <c r="X970" s="373" t="n">
        <v>0</v>
      </c>
      <c r="Y970" s="358" t="n">
        <v>0</v>
      </c>
      <c r="Z970" s="358" t="n">
        <v>0</v>
      </c>
      <c r="AA970" s="358" t="n">
        <v>0</v>
      </c>
      <c r="AB970" s="373" t="n">
        <v>0</v>
      </c>
      <c r="AC970" s="358" t="n">
        <v>0</v>
      </c>
      <c r="AD970" s="358" t="n">
        <v>0</v>
      </c>
      <c r="AE970" s="358" t="n">
        <v>0</v>
      </c>
      <c r="AF970" s="359" t="n">
        <v>1</v>
      </c>
    </row>
    <row r="971" customFormat="false" ht="15" hidden="false" customHeight="false" outlineLevel="0" collapsed="false">
      <c r="B971" s="362" t="s">
        <v>2478</v>
      </c>
      <c r="C971" s="363" t="n">
        <v>5</v>
      </c>
      <c r="D971" s="363" t="n">
        <v>0</v>
      </c>
      <c r="E971" s="363" t="n">
        <v>0</v>
      </c>
      <c r="F971" s="363" t="n">
        <v>0</v>
      </c>
      <c r="G971" s="363" t="n">
        <v>0</v>
      </c>
      <c r="H971" s="374" t="n">
        <v>0</v>
      </c>
      <c r="I971" s="363" t="n">
        <v>0</v>
      </c>
      <c r="J971" s="363" t="n">
        <v>0</v>
      </c>
      <c r="K971" s="363" t="n">
        <v>0</v>
      </c>
      <c r="L971" s="374" t="n">
        <v>0</v>
      </c>
      <c r="M971" s="363" t="n">
        <v>0</v>
      </c>
      <c r="N971" s="363" t="n">
        <v>0</v>
      </c>
      <c r="O971" s="363" t="n">
        <v>0</v>
      </c>
      <c r="P971" s="374" t="n">
        <v>0</v>
      </c>
      <c r="Q971" s="363" t="n">
        <v>0</v>
      </c>
      <c r="R971" s="363" t="n">
        <v>0</v>
      </c>
      <c r="S971" s="363" t="n">
        <v>0</v>
      </c>
      <c r="T971" s="374" t="n">
        <v>0</v>
      </c>
      <c r="U971" s="363" t="n">
        <v>0</v>
      </c>
      <c r="V971" s="363" t="n">
        <v>0</v>
      </c>
      <c r="W971" s="363" t="n">
        <v>0</v>
      </c>
      <c r="X971" s="374" t="n">
        <v>0</v>
      </c>
      <c r="Y971" s="363" t="n">
        <v>0</v>
      </c>
      <c r="Z971" s="363" t="n">
        <v>0</v>
      </c>
      <c r="AA971" s="363" t="n">
        <v>0</v>
      </c>
      <c r="AB971" s="374" t="n">
        <v>0</v>
      </c>
      <c r="AC971" s="363" t="n">
        <v>0</v>
      </c>
      <c r="AD971" s="363" t="n">
        <v>0</v>
      </c>
      <c r="AE971" s="363" t="n">
        <v>0</v>
      </c>
      <c r="AF971" s="363" t="n">
        <v>5</v>
      </c>
    </row>
    <row r="972" customFormat="false" ht="15" hidden="true" customHeight="false" outlineLevel="0" collapsed="false">
      <c r="B972" s="360" t="s">
        <v>3432</v>
      </c>
      <c r="C972" s="359" t="n">
        <v>1</v>
      </c>
      <c r="D972" s="358" t="n">
        <v>0</v>
      </c>
      <c r="E972" s="358" t="n">
        <v>0</v>
      </c>
      <c r="F972" s="358" t="n">
        <v>0</v>
      </c>
      <c r="G972" s="372" t="n">
        <v>0</v>
      </c>
      <c r="H972" s="373" t="n">
        <v>0</v>
      </c>
      <c r="I972" s="358" t="n">
        <v>0</v>
      </c>
      <c r="J972" s="358" t="n">
        <v>0</v>
      </c>
      <c r="K972" s="372" t="n">
        <v>0</v>
      </c>
      <c r="L972" s="373" t="n">
        <v>0</v>
      </c>
      <c r="M972" s="358" t="n">
        <v>0</v>
      </c>
      <c r="N972" s="358" t="n">
        <v>0</v>
      </c>
      <c r="O972" s="372" t="n">
        <v>0</v>
      </c>
      <c r="P972" s="373" t="n">
        <v>0</v>
      </c>
      <c r="Q972" s="358" t="n">
        <v>0</v>
      </c>
      <c r="R972" s="358" t="n">
        <v>0</v>
      </c>
      <c r="S972" s="372" t="n">
        <v>0</v>
      </c>
      <c r="T972" s="373" t="n">
        <v>0</v>
      </c>
      <c r="U972" s="358" t="n">
        <v>0</v>
      </c>
      <c r="V972" s="358" t="n">
        <v>0</v>
      </c>
      <c r="W972" s="372" t="n">
        <v>0</v>
      </c>
      <c r="X972" s="373" t="n">
        <v>0</v>
      </c>
      <c r="Y972" s="358" t="n">
        <v>0</v>
      </c>
      <c r="Z972" s="358" t="n">
        <v>0</v>
      </c>
      <c r="AA972" s="358" t="n">
        <v>0</v>
      </c>
      <c r="AB972" s="373" t="n">
        <v>0</v>
      </c>
      <c r="AC972" s="358" t="n">
        <v>0</v>
      </c>
      <c r="AD972" s="358" t="n">
        <v>0</v>
      </c>
      <c r="AE972" s="358" t="n">
        <v>0</v>
      </c>
      <c r="AF972" s="359" t="n">
        <v>1</v>
      </c>
    </row>
    <row r="973" customFormat="false" ht="15" hidden="true" customHeight="false" outlineLevel="0" collapsed="false">
      <c r="B973" s="360" t="s">
        <v>3433</v>
      </c>
      <c r="C973" s="359" t="n">
        <v>1</v>
      </c>
      <c r="D973" s="358" t="n">
        <v>0</v>
      </c>
      <c r="E973" s="358" t="n">
        <v>0</v>
      </c>
      <c r="F973" s="358" t="n">
        <v>0</v>
      </c>
      <c r="G973" s="372" t="n">
        <v>0</v>
      </c>
      <c r="H973" s="373" t="n">
        <v>0</v>
      </c>
      <c r="I973" s="358" t="n">
        <v>0</v>
      </c>
      <c r="J973" s="358" t="n">
        <v>0</v>
      </c>
      <c r="K973" s="372" t="n">
        <v>0</v>
      </c>
      <c r="L973" s="373" t="n">
        <v>0</v>
      </c>
      <c r="M973" s="358" t="n">
        <v>0</v>
      </c>
      <c r="N973" s="358" t="n">
        <v>0</v>
      </c>
      <c r="O973" s="372" t="n">
        <v>0</v>
      </c>
      <c r="P973" s="373" t="n">
        <v>0</v>
      </c>
      <c r="Q973" s="358" t="n">
        <v>0</v>
      </c>
      <c r="R973" s="358" t="n">
        <v>0</v>
      </c>
      <c r="S973" s="372" t="n">
        <v>0</v>
      </c>
      <c r="T973" s="373" t="n">
        <v>0</v>
      </c>
      <c r="U973" s="358" t="n">
        <v>0</v>
      </c>
      <c r="V973" s="358" t="n">
        <v>0</v>
      </c>
      <c r="W973" s="372" t="n">
        <v>0</v>
      </c>
      <c r="X973" s="373" t="n">
        <v>0</v>
      </c>
      <c r="Y973" s="358" t="n">
        <v>0</v>
      </c>
      <c r="Z973" s="358" t="n">
        <v>0</v>
      </c>
      <c r="AA973" s="358" t="n">
        <v>0</v>
      </c>
      <c r="AB973" s="373" t="n">
        <v>0</v>
      </c>
      <c r="AC973" s="358" t="n">
        <v>0</v>
      </c>
      <c r="AD973" s="358" t="n">
        <v>0</v>
      </c>
      <c r="AE973" s="358" t="n">
        <v>0</v>
      </c>
      <c r="AF973" s="359" t="n">
        <v>1</v>
      </c>
    </row>
    <row r="974" customFormat="false" ht="15" hidden="true" customHeight="false" outlineLevel="0" collapsed="false">
      <c r="B974" s="360" t="s">
        <v>3434</v>
      </c>
      <c r="C974" s="359" t="n">
        <v>1</v>
      </c>
      <c r="D974" s="358" t="n">
        <v>0</v>
      </c>
      <c r="E974" s="358" t="n">
        <v>0</v>
      </c>
      <c r="F974" s="358" t="n">
        <v>0</v>
      </c>
      <c r="G974" s="372" t="n">
        <v>0</v>
      </c>
      <c r="H974" s="373" t="n">
        <v>0</v>
      </c>
      <c r="I974" s="358" t="n">
        <v>0</v>
      </c>
      <c r="J974" s="358" t="n">
        <v>0</v>
      </c>
      <c r="K974" s="372" t="n">
        <v>0</v>
      </c>
      <c r="L974" s="373" t="n">
        <v>0</v>
      </c>
      <c r="M974" s="358" t="n">
        <v>0</v>
      </c>
      <c r="N974" s="358" t="n">
        <v>0</v>
      </c>
      <c r="O974" s="372" t="n">
        <v>0</v>
      </c>
      <c r="P974" s="373" t="n">
        <v>0</v>
      </c>
      <c r="Q974" s="358" t="n">
        <v>0</v>
      </c>
      <c r="R974" s="358" t="n">
        <v>0</v>
      </c>
      <c r="S974" s="372" t="n">
        <v>0</v>
      </c>
      <c r="T974" s="373" t="n">
        <v>0</v>
      </c>
      <c r="U974" s="358" t="n">
        <v>0</v>
      </c>
      <c r="V974" s="358" t="n">
        <v>0</v>
      </c>
      <c r="W974" s="372" t="n">
        <v>0</v>
      </c>
      <c r="X974" s="373" t="n">
        <v>0</v>
      </c>
      <c r="Y974" s="358" t="n">
        <v>0</v>
      </c>
      <c r="Z974" s="358" t="n">
        <v>0</v>
      </c>
      <c r="AA974" s="358" t="n">
        <v>0</v>
      </c>
      <c r="AB974" s="373" t="n">
        <v>0</v>
      </c>
      <c r="AC974" s="358" t="n">
        <v>0</v>
      </c>
      <c r="AD974" s="358" t="n">
        <v>0</v>
      </c>
      <c r="AE974" s="358" t="n">
        <v>0</v>
      </c>
      <c r="AF974" s="359" t="n">
        <v>1</v>
      </c>
    </row>
    <row r="975" customFormat="false" ht="15" hidden="true" customHeight="false" outlineLevel="0" collapsed="false">
      <c r="B975" s="360" t="s">
        <v>3435</v>
      </c>
      <c r="C975" s="359" t="n">
        <v>1</v>
      </c>
      <c r="D975" s="358" t="n">
        <v>0</v>
      </c>
      <c r="E975" s="358" t="n">
        <v>0</v>
      </c>
      <c r="F975" s="358" t="n">
        <v>0</v>
      </c>
      <c r="G975" s="372" t="n">
        <v>0</v>
      </c>
      <c r="H975" s="373" t="n">
        <v>0</v>
      </c>
      <c r="I975" s="358" t="n">
        <v>0</v>
      </c>
      <c r="J975" s="358" t="n">
        <v>0</v>
      </c>
      <c r="K975" s="372" t="n">
        <v>0</v>
      </c>
      <c r="L975" s="373" t="n">
        <v>0</v>
      </c>
      <c r="M975" s="358" t="n">
        <v>0</v>
      </c>
      <c r="N975" s="358" t="n">
        <v>0</v>
      </c>
      <c r="O975" s="372" t="n">
        <v>0</v>
      </c>
      <c r="P975" s="373" t="n">
        <v>0</v>
      </c>
      <c r="Q975" s="358" t="n">
        <v>0</v>
      </c>
      <c r="R975" s="358" t="n">
        <v>0</v>
      </c>
      <c r="S975" s="372" t="n">
        <v>0</v>
      </c>
      <c r="T975" s="373" t="n">
        <v>0</v>
      </c>
      <c r="U975" s="358" t="n">
        <v>0</v>
      </c>
      <c r="V975" s="358" t="n">
        <v>0</v>
      </c>
      <c r="W975" s="372" t="n">
        <v>0</v>
      </c>
      <c r="X975" s="373" t="n">
        <v>0</v>
      </c>
      <c r="Y975" s="358" t="n">
        <v>0</v>
      </c>
      <c r="Z975" s="358" t="n">
        <v>0</v>
      </c>
      <c r="AA975" s="358" t="n">
        <v>0</v>
      </c>
      <c r="AB975" s="373" t="n">
        <v>0</v>
      </c>
      <c r="AC975" s="358" t="n">
        <v>0</v>
      </c>
      <c r="AD975" s="358" t="n">
        <v>0</v>
      </c>
      <c r="AE975" s="358" t="n">
        <v>0</v>
      </c>
      <c r="AF975" s="359" t="n">
        <v>1</v>
      </c>
    </row>
    <row r="976" customFormat="false" ht="15" hidden="true" customHeight="false" outlineLevel="0" collapsed="false">
      <c r="B976" s="360" t="s">
        <v>3436</v>
      </c>
      <c r="C976" s="359" t="n">
        <v>1</v>
      </c>
      <c r="D976" s="358" t="n">
        <v>0</v>
      </c>
      <c r="E976" s="358" t="n">
        <v>0</v>
      </c>
      <c r="F976" s="358" t="n">
        <v>0</v>
      </c>
      <c r="G976" s="372" t="n">
        <v>0</v>
      </c>
      <c r="H976" s="373" t="n">
        <v>0</v>
      </c>
      <c r="I976" s="358" t="n">
        <v>0</v>
      </c>
      <c r="J976" s="358" t="n">
        <v>0</v>
      </c>
      <c r="K976" s="372" t="n">
        <v>0</v>
      </c>
      <c r="L976" s="373" t="n">
        <v>0</v>
      </c>
      <c r="M976" s="358" t="n">
        <v>0</v>
      </c>
      <c r="N976" s="358" t="n">
        <v>0</v>
      </c>
      <c r="O976" s="372" t="n">
        <v>0</v>
      </c>
      <c r="P976" s="373" t="n">
        <v>0</v>
      </c>
      <c r="Q976" s="358" t="n">
        <v>0</v>
      </c>
      <c r="R976" s="358" t="n">
        <v>0</v>
      </c>
      <c r="S976" s="372" t="n">
        <v>0</v>
      </c>
      <c r="T976" s="373" t="n">
        <v>0</v>
      </c>
      <c r="U976" s="358" t="n">
        <v>0</v>
      </c>
      <c r="V976" s="358" t="n">
        <v>0</v>
      </c>
      <c r="W976" s="372" t="n">
        <v>0</v>
      </c>
      <c r="X976" s="373" t="n">
        <v>0</v>
      </c>
      <c r="Y976" s="358" t="n">
        <v>0</v>
      </c>
      <c r="Z976" s="358" t="n">
        <v>0</v>
      </c>
      <c r="AA976" s="358" t="n">
        <v>0</v>
      </c>
      <c r="AB976" s="373" t="n">
        <v>0</v>
      </c>
      <c r="AC976" s="358" t="n">
        <v>0</v>
      </c>
      <c r="AD976" s="358" t="n">
        <v>0</v>
      </c>
      <c r="AE976" s="358" t="n">
        <v>0</v>
      </c>
      <c r="AF976" s="359" t="n">
        <v>1</v>
      </c>
    </row>
    <row r="977" customFormat="false" ht="15" hidden="false" customHeight="false" outlineLevel="0" collapsed="false">
      <c r="B977" s="362" t="s">
        <v>2479</v>
      </c>
      <c r="C977" s="363" t="n">
        <v>1</v>
      </c>
      <c r="D977" s="363" t="n">
        <v>0</v>
      </c>
      <c r="E977" s="363" t="n">
        <v>0</v>
      </c>
      <c r="F977" s="363" t="n">
        <v>0</v>
      </c>
      <c r="G977" s="363" t="n">
        <v>0</v>
      </c>
      <c r="H977" s="374" t="n">
        <v>0</v>
      </c>
      <c r="I977" s="363" t="n">
        <v>0</v>
      </c>
      <c r="J977" s="363" t="n">
        <v>0</v>
      </c>
      <c r="K977" s="363" t="n">
        <v>0</v>
      </c>
      <c r="L977" s="374" t="n">
        <v>0</v>
      </c>
      <c r="M977" s="363" t="n">
        <v>0</v>
      </c>
      <c r="N977" s="363" t="n">
        <v>0</v>
      </c>
      <c r="O977" s="363" t="n">
        <v>0</v>
      </c>
      <c r="P977" s="374" t="n">
        <v>0</v>
      </c>
      <c r="Q977" s="363" t="n">
        <v>0</v>
      </c>
      <c r="R977" s="363" t="n">
        <v>0</v>
      </c>
      <c r="S977" s="363" t="n">
        <v>0</v>
      </c>
      <c r="T977" s="374" t="n">
        <v>0</v>
      </c>
      <c r="U977" s="363" t="n">
        <v>0</v>
      </c>
      <c r="V977" s="363" t="n">
        <v>0</v>
      </c>
      <c r="W977" s="363" t="n">
        <v>0</v>
      </c>
      <c r="X977" s="374" t="n">
        <v>0</v>
      </c>
      <c r="Y977" s="363" t="n">
        <v>0</v>
      </c>
      <c r="Z977" s="363" t="n">
        <v>0</v>
      </c>
      <c r="AA977" s="363" t="n">
        <v>0</v>
      </c>
      <c r="AB977" s="374" t="n">
        <v>0</v>
      </c>
      <c r="AC977" s="363" t="n">
        <v>0</v>
      </c>
      <c r="AD977" s="363" t="n">
        <v>0</v>
      </c>
      <c r="AE977" s="363" t="n">
        <v>0</v>
      </c>
      <c r="AF977" s="363" t="n">
        <v>1</v>
      </c>
    </row>
    <row r="978" customFormat="false" ht="15" hidden="true" customHeight="false" outlineLevel="0" collapsed="false">
      <c r="B978" s="360" t="s">
        <v>3437</v>
      </c>
      <c r="C978" s="359" t="n">
        <v>1</v>
      </c>
      <c r="D978" s="358" t="n">
        <v>0</v>
      </c>
      <c r="E978" s="358" t="n">
        <v>0</v>
      </c>
      <c r="F978" s="358" t="n">
        <v>0</v>
      </c>
      <c r="G978" s="372" t="n">
        <v>0</v>
      </c>
      <c r="H978" s="373" t="n">
        <v>0</v>
      </c>
      <c r="I978" s="358" t="n">
        <v>0</v>
      </c>
      <c r="J978" s="358" t="n">
        <v>0</v>
      </c>
      <c r="K978" s="372" t="n">
        <v>0</v>
      </c>
      <c r="L978" s="373" t="n">
        <v>0</v>
      </c>
      <c r="M978" s="358" t="n">
        <v>0</v>
      </c>
      <c r="N978" s="358" t="n">
        <v>0</v>
      </c>
      <c r="O978" s="372" t="n">
        <v>0</v>
      </c>
      <c r="P978" s="373" t="n">
        <v>0</v>
      </c>
      <c r="Q978" s="358" t="n">
        <v>0</v>
      </c>
      <c r="R978" s="358" t="n">
        <v>0</v>
      </c>
      <c r="S978" s="372" t="n">
        <v>0</v>
      </c>
      <c r="T978" s="373" t="n">
        <v>0</v>
      </c>
      <c r="U978" s="358" t="n">
        <v>0</v>
      </c>
      <c r="V978" s="358" t="n">
        <v>0</v>
      </c>
      <c r="W978" s="372" t="n">
        <v>0</v>
      </c>
      <c r="X978" s="373" t="n">
        <v>0</v>
      </c>
      <c r="Y978" s="358" t="n">
        <v>0</v>
      </c>
      <c r="Z978" s="358" t="n">
        <v>0</v>
      </c>
      <c r="AA978" s="358" t="n">
        <v>0</v>
      </c>
      <c r="AB978" s="373" t="n">
        <v>0</v>
      </c>
      <c r="AC978" s="358" t="n">
        <v>0</v>
      </c>
      <c r="AD978" s="358" t="n">
        <v>0</v>
      </c>
      <c r="AE978" s="358" t="n">
        <v>0</v>
      </c>
      <c r="AF978" s="359" t="n">
        <v>1</v>
      </c>
    </row>
    <row r="979" customFormat="false" ht="15" hidden="false" customHeight="false" outlineLevel="0" collapsed="false">
      <c r="B979" s="351" t="s">
        <v>3438</v>
      </c>
      <c r="C979" s="352" t="n">
        <v>924</v>
      </c>
      <c r="D979" s="352" t="n">
        <v>7</v>
      </c>
      <c r="E979" s="352" t="n">
        <v>-1</v>
      </c>
      <c r="F979" s="352" t="n">
        <v>0</v>
      </c>
      <c r="G979" s="352" t="n">
        <v>0</v>
      </c>
      <c r="H979" s="370" t="n">
        <v>0</v>
      </c>
      <c r="I979" s="352" t="n">
        <v>-2</v>
      </c>
      <c r="J979" s="352" t="n">
        <v>0</v>
      </c>
      <c r="K979" s="352" t="n">
        <v>0</v>
      </c>
      <c r="L979" s="370" t="n">
        <v>0</v>
      </c>
      <c r="M979" s="352" t="n">
        <v>0</v>
      </c>
      <c r="N979" s="352" t="n">
        <v>0</v>
      </c>
      <c r="O979" s="352" t="n">
        <v>0</v>
      </c>
      <c r="P979" s="370" t="n">
        <v>0</v>
      </c>
      <c r="Q979" s="352" t="n">
        <v>0</v>
      </c>
      <c r="R979" s="352" t="n">
        <v>0</v>
      </c>
      <c r="S979" s="352" t="n">
        <v>0</v>
      </c>
      <c r="T979" s="370" t="n">
        <v>0</v>
      </c>
      <c r="U979" s="352" t="n">
        <v>0</v>
      </c>
      <c r="V979" s="352" t="n">
        <v>0</v>
      </c>
      <c r="W979" s="352" t="n">
        <v>0</v>
      </c>
      <c r="X979" s="370" t="n">
        <v>0</v>
      </c>
      <c r="Y979" s="352" t="n">
        <v>0</v>
      </c>
      <c r="Z979" s="352" t="n">
        <v>0</v>
      </c>
      <c r="AA979" s="352" t="n">
        <v>0</v>
      </c>
      <c r="AB979" s="370" t="n">
        <v>7</v>
      </c>
      <c r="AC979" s="352" t="n">
        <v>-3</v>
      </c>
      <c r="AD979" s="352" t="n">
        <v>0</v>
      </c>
      <c r="AE979" s="352" t="n">
        <v>0</v>
      </c>
      <c r="AF979" s="352" t="n">
        <v>928</v>
      </c>
    </row>
    <row r="980" customFormat="false" ht="15" hidden="false" customHeight="false" outlineLevel="0" collapsed="false">
      <c r="B980" s="362" t="s">
        <v>2480</v>
      </c>
      <c r="C980" s="363" t="n">
        <v>59</v>
      </c>
      <c r="D980" s="363" t="n">
        <v>0</v>
      </c>
      <c r="E980" s="363" t="n">
        <v>-1</v>
      </c>
      <c r="F980" s="363" t="n">
        <v>0</v>
      </c>
      <c r="G980" s="363" t="n">
        <v>0</v>
      </c>
      <c r="H980" s="374" t="n">
        <v>0</v>
      </c>
      <c r="I980" s="363" t="n">
        <v>0</v>
      </c>
      <c r="J980" s="363" t="n">
        <v>0</v>
      </c>
      <c r="K980" s="363" t="n">
        <v>0</v>
      </c>
      <c r="L980" s="374" t="n">
        <v>0</v>
      </c>
      <c r="M980" s="363" t="n">
        <v>0</v>
      </c>
      <c r="N980" s="363" t="n">
        <v>0</v>
      </c>
      <c r="O980" s="363" t="n">
        <v>0</v>
      </c>
      <c r="P980" s="374" t="n">
        <v>0</v>
      </c>
      <c r="Q980" s="363" t="n">
        <v>0</v>
      </c>
      <c r="R980" s="363" t="n">
        <v>0</v>
      </c>
      <c r="S980" s="363" t="n">
        <v>0</v>
      </c>
      <c r="T980" s="374" t="n">
        <v>0</v>
      </c>
      <c r="U980" s="363" t="n">
        <v>0</v>
      </c>
      <c r="V980" s="363" t="n">
        <v>0</v>
      </c>
      <c r="W980" s="363" t="n">
        <v>0</v>
      </c>
      <c r="X980" s="374" t="n">
        <v>0</v>
      </c>
      <c r="Y980" s="363" t="n">
        <v>0</v>
      </c>
      <c r="Z980" s="363" t="n">
        <v>0</v>
      </c>
      <c r="AA980" s="363" t="n">
        <v>0</v>
      </c>
      <c r="AB980" s="374" t="n">
        <v>0</v>
      </c>
      <c r="AC980" s="363" t="n">
        <v>-1</v>
      </c>
      <c r="AD980" s="363" t="n">
        <v>0</v>
      </c>
      <c r="AE980" s="363" t="n">
        <v>0</v>
      </c>
      <c r="AF980" s="363" t="n">
        <v>58</v>
      </c>
    </row>
    <row r="981" customFormat="false" ht="15" hidden="true" customHeight="false" outlineLevel="0" collapsed="false">
      <c r="B981" s="360" t="s">
        <v>3439</v>
      </c>
      <c r="C981" s="359" t="n">
        <v>1</v>
      </c>
      <c r="D981" s="358" t="n">
        <v>0</v>
      </c>
      <c r="E981" s="358" t="n">
        <v>0</v>
      </c>
      <c r="F981" s="358" t="n">
        <v>0</v>
      </c>
      <c r="G981" s="372" t="n">
        <v>0</v>
      </c>
      <c r="H981" s="373" t="n">
        <v>0</v>
      </c>
      <c r="I981" s="358" t="n">
        <v>0</v>
      </c>
      <c r="J981" s="358" t="n">
        <v>0</v>
      </c>
      <c r="K981" s="372" t="n">
        <v>0</v>
      </c>
      <c r="L981" s="373" t="n">
        <v>0</v>
      </c>
      <c r="M981" s="358" t="n">
        <v>0</v>
      </c>
      <c r="N981" s="358" t="n">
        <v>0</v>
      </c>
      <c r="O981" s="372" t="n">
        <v>0</v>
      </c>
      <c r="P981" s="373" t="n">
        <v>0</v>
      </c>
      <c r="Q981" s="358" t="n">
        <v>0</v>
      </c>
      <c r="R981" s="358" t="n">
        <v>0</v>
      </c>
      <c r="S981" s="372" t="n">
        <v>0</v>
      </c>
      <c r="T981" s="373" t="n">
        <v>0</v>
      </c>
      <c r="U981" s="358" t="n">
        <v>0</v>
      </c>
      <c r="V981" s="358" t="n">
        <v>0</v>
      </c>
      <c r="W981" s="372" t="n">
        <v>0</v>
      </c>
      <c r="X981" s="373" t="n">
        <v>0</v>
      </c>
      <c r="Y981" s="358" t="n">
        <v>0</v>
      </c>
      <c r="Z981" s="358" t="n">
        <v>0</v>
      </c>
      <c r="AA981" s="358" t="n">
        <v>0</v>
      </c>
      <c r="AB981" s="373" t="n">
        <v>0</v>
      </c>
      <c r="AC981" s="358" t="n">
        <v>0</v>
      </c>
      <c r="AD981" s="358" t="n">
        <v>0</v>
      </c>
      <c r="AE981" s="358" t="n">
        <v>0</v>
      </c>
      <c r="AF981" s="359" t="n">
        <v>1</v>
      </c>
    </row>
    <row r="982" customFormat="false" ht="15" hidden="true" customHeight="false" outlineLevel="0" collapsed="false">
      <c r="B982" s="360" t="s">
        <v>3440</v>
      </c>
      <c r="C982" s="359" t="n">
        <v>1</v>
      </c>
      <c r="D982" s="358" t="n">
        <v>0</v>
      </c>
      <c r="E982" s="358" t="n">
        <v>0</v>
      </c>
      <c r="F982" s="358" t="n">
        <v>0</v>
      </c>
      <c r="G982" s="372" t="n">
        <v>0</v>
      </c>
      <c r="H982" s="373" t="n">
        <v>0</v>
      </c>
      <c r="I982" s="358" t="n">
        <v>0</v>
      </c>
      <c r="J982" s="358" t="n">
        <v>0</v>
      </c>
      <c r="K982" s="372" t="n">
        <v>0</v>
      </c>
      <c r="L982" s="373" t="n">
        <v>0</v>
      </c>
      <c r="M982" s="358" t="n">
        <v>0</v>
      </c>
      <c r="N982" s="358" t="n">
        <v>0</v>
      </c>
      <c r="O982" s="372" t="n">
        <v>0</v>
      </c>
      <c r="P982" s="373" t="n">
        <v>0</v>
      </c>
      <c r="Q982" s="358" t="n">
        <v>0</v>
      </c>
      <c r="R982" s="358" t="n">
        <v>0</v>
      </c>
      <c r="S982" s="372" t="n">
        <v>0</v>
      </c>
      <c r="T982" s="373" t="n">
        <v>0</v>
      </c>
      <c r="U982" s="358" t="n">
        <v>0</v>
      </c>
      <c r="V982" s="358" t="n">
        <v>0</v>
      </c>
      <c r="W982" s="372" t="n">
        <v>0</v>
      </c>
      <c r="X982" s="373" t="n">
        <v>0</v>
      </c>
      <c r="Y982" s="358" t="n">
        <v>0</v>
      </c>
      <c r="Z982" s="358" t="n">
        <v>0</v>
      </c>
      <c r="AA982" s="358" t="n">
        <v>0</v>
      </c>
      <c r="AB982" s="373" t="n">
        <v>0</v>
      </c>
      <c r="AC982" s="358" t="n">
        <v>0</v>
      </c>
      <c r="AD982" s="358" t="n">
        <v>0</v>
      </c>
      <c r="AE982" s="358" t="n">
        <v>0</v>
      </c>
      <c r="AF982" s="359" t="n">
        <v>1</v>
      </c>
    </row>
    <row r="983" customFormat="false" ht="15" hidden="true" customHeight="false" outlineLevel="0" collapsed="false">
      <c r="B983" s="360" t="s">
        <v>3441</v>
      </c>
      <c r="C983" s="359" t="n">
        <v>1</v>
      </c>
      <c r="D983" s="358" t="n">
        <v>0</v>
      </c>
      <c r="E983" s="358" t="n">
        <v>0</v>
      </c>
      <c r="F983" s="358" t="n">
        <v>0</v>
      </c>
      <c r="G983" s="372" t="n">
        <v>0</v>
      </c>
      <c r="H983" s="373" t="n">
        <v>0</v>
      </c>
      <c r="I983" s="358" t="n">
        <v>0</v>
      </c>
      <c r="J983" s="358" t="n">
        <v>0</v>
      </c>
      <c r="K983" s="372" t="n">
        <v>0</v>
      </c>
      <c r="L983" s="373" t="n">
        <v>0</v>
      </c>
      <c r="M983" s="358" t="n">
        <v>0</v>
      </c>
      <c r="N983" s="358" t="n">
        <v>0</v>
      </c>
      <c r="O983" s="372" t="n">
        <v>0</v>
      </c>
      <c r="P983" s="373" t="n">
        <v>0</v>
      </c>
      <c r="Q983" s="358" t="n">
        <v>0</v>
      </c>
      <c r="R983" s="358" t="n">
        <v>0</v>
      </c>
      <c r="S983" s="372" t="n">
        <v>0</v>
      </c>
      <c r="T983" s="373" t="n">
        <v>0</v>
      </c>
      <c r="U983" s="358" t="n">
        <v>0</v>
      </c>
      <c r="V983" s="358" t="n">
        <v>0</v>
      </c>
      <c r="W983" s="372" t="n">
        <v>0</v>
      </c>
      <c r="X983" s="373" t="n">
        <v>0</v>
      </c>
      <c r="Y983" s="358" t="n">
        <v>0</v>
      </c>
      <c r="Z983" s="358" t="n">
        <v>0</v>
      </c>
      <c r="AA983" s="358" t="n">
        <v>0</v>
      </c>
      <c r="AB983" s="373" t="n">
        <v>0</v>
      </c>
      <c r="AC983" s="358" t="n">
        <v>0</v>
      </c>
      <c r="AD983" s="358" t="n">
        <v>0</v>
      </c>
      <c r="AE983" s="358" t="n">
        <v>0</v>
      </c>
      <c r="AF983" s="359" t="n">
        <v>1</v>
      </c>
    </row>
    <row r="984" customFormat="false" ht="15" hidden="true" customHeight="false" outlineLevel="0" collapsed="false">
      <c r="B984" s="360" t="s">
        <v>3442</v>
      </c>
      <c r="C984" s="359" t="n">
        <v>1</v>
      </c>
      <c r="D984" s="358" t="n">
        <v>0</v>
      </c>
      <c r="E984" s="358" t="n">
        <v>0</v>
      </c>
      <c r="F984" s="358" t="n">
        <v>0</v>
      </c>
      <c r="G984" s="372" t="n">
        <v>0</v>
      </c>
      <c r="H984" s="373" t="n">
        <v>0</v>
      </c>
      <c r="I984" s="358" t="n">
        <v>0</v>
      </c>
      <c r="J984" s="358" t="n">
        <v>0</v>
      </c>
      <c r="K984" s="372" t="n">
        <v>0</v>
      </c>
      <c r="L984" s="373" t="n">
        <v>0</v>
      </c>
      <c r="M984" s="358" t="n">
        <v>0</v>
      </c>
      <c r="N984" s="358" t="n">
        <v>0</v>
      </c>
      <c r="O984" s="372" t="n">
        <v>0</v>
      </c>
      <c r="P984" s="373" t="n">
        <v>0</v>
      </c>
      <c r="Q984" s="358" t="n">
        <v>0</v>
      </c>
      <c r="R984" s="358" t="n">
        <v>0</v>
      </c>
      <c r="S984" s="372" t="n">
        <v>0</v>
      </c>
      <c r="T984" s="373" t="n">
        <v>0</v>
      </c>
      <c r="U984" s="358" t="n">
        <v>0</v>
      </c>
      <c r="V984" s="358" t="n">
        <v>0</v>
      </c>
      <c r="W984" s="372" t="n">
        <v>0</v>
      </c>
      <c r="X984" s="373" t="n">
        <v>0</v>
      </c>
      <c r="Y984" s="358" t="n">
        <v>0</v>
      </c>
      <c r="Z984" s="358" t="n">
        <v>0</v>
      </c>
      <c r="AA984" s="358" t="n">
        <v>0</v>
      </c>
      <c r="AB984" s="373" t="n">
        <v>0</v>
      </c>
      <c r="AC984" s="358" t="n">
        <v>0</v>
      </c>
      <c r="AD984" s="358" t="n">
        <v>0</v>
      </c>
      <c r="AE984" s="358" t="n">
        <v>0</v>
      </c>
      <c r="AF984" s="359" t="n">
        <v>1</v>
      </c>
    </row>
    <row r="985" customFormat="false" ht="15" hidden="true" customHeight="false" outlineLevel="0" collapsed="false">
      <c r="B985" s="360" t="s">
        <v>3443</v>
      </c>
      <c r="C985" s="359" t="n">
        <v>1</v>
      </c>
      <c r="D985" s="358" t="n">
        <v>0</v>
      </c>
      <c r="E985" s="358" t="n">
        <v>0</v>
      </c>
      <c r="F985" s="358" t="n">
        <v>0</v>
      </c>
      <c r="G985" s="372" t="n">
        <v>0</v>
      </c>
      <c r="H985" s="373" t="n">
        <v>0</v>
      </c>
      <c r="I985" s="358" t="n">
        <v>0</v>
      </c>
      <c r="J985" s="358" t="n">
        <v>0</v>
      </c>
      <c r="K985" s="372" t="n">
        <v>0</v>
      </c>
      <c r="L985" s="373" t="n">
        <v>0</v>
      </c>
      <c r="M985" s="358" t="n">
        <v>0</v>
      </c>
      <c r="N985" s="358" t="n">
        <v>0</v>
      </c>
      <c r="O985" s="372" t="n">
        <v>0</v>
      </c>
      <c r="P985" s="373" t="n">
        <v>0</v>
      </c>
      <c r="Q985" s="358" t="n">
        <v>0</v>
      </c>
      <c r="R985" s="358" t="n">
        <v>0</v>
      </c>
      <c r="S985" s="372" t="n">
        <v>0</v>
      </c>
      <c r="T985" s="373" t="n">
        <v>0</v>
      </c>
      <c r="U985" s="358" t="n">
        <v>0</v>
      </c>
      <c r="V985" s="358" t="n">
        <v>0</v>
      </c>
      <c r="W985" s="372" t="n">
        <v>0</v>
      </c>
      <c r="X985" s="373" t="n">
        <v>0</v>
      </c>
      <c r="Y985" s="358" t="n">
        <v>0</v>
      </c>
      <c r="Z985" s="358" t="n">
        <v>0</v>
      </c>
      <c r="AA985" s="358" t="n">
        <v>0</v>
      </c>
      <c r="AB985" s="373" t="n">
        <v>0</v>
      </c>
      <c r="AC985" s="358" t="n">
        <v>0</v>
      </c>
      <c r="AD985" s="358" t="n">
        <v>0</v>
      </c>
      <c r="AE985" s="358" t="n">
        <v>0</v>
      </c>
      <c r="AF985" s="359" t="n">
        <v>1</v>
      </c>
    </row>
    <row r="986" customFormat="false" ht="15" hidden="true" customHeight="false" outlineLevel="0" collapsed="false">
      <c r="B986" s="360" t="s">
        <v>3444</v>
      </c>
      <c r="C986" s="359" t="n">
        <v>1</v>
      </c>
      <c r="D986" s="358" t="n">
        <v>0</v>
      </c>
      <c r="E986" s="358" t="n">
        <v>0</v>
      </c>
      <c r="F986" s="358" t="n">
        <v>0</v>
      </c>
      <c r="G986" s="372" t="n">
        <v>0</v>
      </c>
      <c r="H986" s="373" t="n">
        <v>0</v>
      </c>
      <c r="I986" s="358" t="n">
        <v>0</v>
      </c>
      <c r="J986" s="358" t="n">
        <v>0</v>
      </c>
      <c r="K986" s="372" t="n">
        <v>0</v>
      </c>
      <c r="L986" s="373" t="n">
        <v>0</v>
      </c>
      <c r="M986" s="358" t="n">
        <v>0</v>
      </c>
      <c r="N986" s="358" t="n">
        <v>0</v>
      </c>
      <c r="O986" s="372" t="n">
        <v>0</v>
      </c>
      <c r="P986" s="373" t="n">
        <v>0</v>
      </c>
      <c r="Q986" s="358" t="n">
        <v>0</v>
      </c>
      <c r="R986" s="358" t="n">
        <v>0</v>
      </c>
      <c r="S986" s="372" t="n">
        <v>0</v>
      </c>
      <c r="T986" s="373" t="n">
        <v>0</v>
      </c>
      <c r="U986" s="358" t="n">
        <v>0</v>
      </c>
      <c r="V986" s="358" t="n">
        <v>0</v>
      </c>
      <c r="W986" s="372" t="n">
        <v>0</v>
      </c>
      <c r="X986" s="373" t="n">
        <v>0</v>
      </c>
      <c r="Y986" s="358" t="n">
        <v>0</v>
      </c>
      <c r="Z986" s="358" t="n">
        <v>0</v>
      </c>
      <c r="AA986" s="358" t="n">
        <v>0</v>
      </c>
      <c r="AB986" s="373" t="n">
        <v>0</v>
      </c>
      <c r="AC986" s="358" t="n">
        <v>0</v>
      </c>
      <c r="AD986" s="358" t="n">
        <v>0</v>
      </c>
      <c r="AE986" s="358" t="n">
        <v>0</v>
      </c>
      <c r="AF986" s="359" t="n">
        <v>1</v>
      </c>
    </row>
    <row r="987" customFormat="false" ht="15" hidden="true" customHeight="false" outlineLevel="0" collapsed="false">
      <c r="B987" s="360" t="s">
        <v>3445</v>
      </c>
      <c r="C987" s="359" t="n">
        <v>1</v>
      </c>
      <c r="D987" s="358" t="n">
        <v>0</v>
      </c>
      <c r="E987" s="358" t="n">
        <v>0</v>
      </c>
      <c r="F987" s="358" t="n">
        <v>0</v>
      </c>
      <c r="G987" s="372" t="n">
        <v>0</v>
      </c>
      <c r="H987" s="373" t="n">
        <v>0</v>
      </c>
      <c r="I987" s="358" t="n">
        <v>0</v>
      </c>
      <c r="J987" s="358" t="n">
        <v>0</v>
      </c>
      <c r="K987" s="372" t="n">
        <v>0</v>
      </c>
      <c r="L987" s="373" t="n">
        <v>0</v>
      </c>
      <c r="M987" s="358" t="n">
        <v>0</v>
      </c>
      <c r="N987" s="358" t="n">
        <v>0</v>
      </c>
      <c r="O987" s="372" t="n">
        <v>0</v>
      </c>
      <c r="P987" s="373" t="n">
        <v>0</v>
      </c>
      <c r="Q987" s="358" t="n">
        <v>0</v>
      </c>
      <c r="R987" s="358" t="n">
        <v>0</v>
      </c>
      <c r="S987" s="372" t="n">
        <v>0</v>
      </c>
      <c r="T987" s="373" t="n">
        <v>0</v>
      </c>
      <c r="U987" s="358" t="n">
        <v>0</v>
      </c>
      <c r="V987" s="358" t="n">
        <v>0</v>
      </c>
      <c r="W987" s="372" t="n">
        <v>0</v>
      </c>
      <c r="X987" s="373" t="n">
        <v>0</v>
      </c>
      <c r="Y987" s="358" t="n">
        <v>0</v>
      </c>
      <c r="Z987" s="358" t="n">
        <v>0</v>
      </c>
      <c r="AA987" s="358" t="n">
        <v>0</v>
      </c>
      <c r="AB987" s="373" t="n">
        <v>0</v>
      </c>
      <c r="AC987" s="358" t="n">
        <v>0</v>
      </c>
      <c r="AD987" s="358" t="n">
        <v>0</v>
      </c>
      <c r="AE987" s="358" t="n">
        <v>0</v>
      </c>
      <c r="AF987" s="359" t="n">
        <v>1</v>
      </c>
    </row>
    <row r="988" customFormat="false" ht="15" hidden="true" customHeight="false" outlineLevel="0" collapsed="false">
      <c r="B988" s="360" t="s">
        <v>3446</v>
      </c>
      <c r="C988" s="359" t="n">
        <v>1</v>
      </c>
      <c r="D988" s="358" t="n">
        <v>0</v>
      </c>
      <c r="E988" s="358" t="n">
        <v>0</v>
      </c>
      <c r="F988" s="358" t="n">
        <v>0</v>
      </c>
      <c r="G988" s="372" t="n">
        <v>0</v>
      </c>
      <c r="H988" s="373" t="n">
        <v>0</v>
      </c>
      <c r="I988" s="358" t="n">
        <v>0</v>
      </c>
      <c r="J988" s="358" t="n">
        <v>0</v>
      </c>
      <c r="K988" s="372" t="n">
        <v>0</v>
      </c>
      <c r="L988" s="373" t="n">
        <v>0</v>
      </c>
      <c r="M988" s="358" t="n">
        <v>0</v>
      </c>
      <c r="N988" s="358" t="n">
        <v>0</v>
      </c>
      <c r="O988" s="372" t="n">
        <v>0</v>
      </c>
      <c r="P988" s="373" t="n">
        <v>0</v>
      </c>
      <c r="Q988" s="358" t="n">
        <v>0</v>
      </c>
      <c r="R988" s="358" t="n">
        <v>0</v>
      </c>
      <c r="S988" s="372" t="n">
        <v>0</v>
      </c>
      <c r="T988" s="373" t="n">
        <v>0</v>
      </c>
      <c r="U988" s="358" t="n">
        <v>0</v>
      </c>
      <c r="V988" s="358" t="n">
        <v>0</v>
      </c>
      <c r="W988" s="372" t="n">
        <v>0</v>
      </c>
      <c r="X988" s="373" t="n">
        <v>0</v>
      </c>
      <c r="Y988" s="358" t="n">
        <v>0</v>
      </c>
      <c r="Z988" s="358" t="n">
        <v>0</v>
      </c>
      <c r="AA988" s="358" t="n">
        <v>0</v>
      </c>
      <c r="AB988" s="373" t="n">
        <v>0</v>
      </c>
      <c r="AC988" s="358" t="n">
        <v>0</v>
      </c>
      <c r="AD988" s="358" t="n">
        <v>0</v>
      </c>
      <c r="AE988" s="358" t="n">
        <v>0</v>
      </c>
      <c r="AF988" s="359" t="n">
        <v>1</v>
      </c>
    </row>
    <row r="989" customFormat="false" ht="15" hidden="true" customHeight="false" outlineLevel="0" collapsed="false">
      <c r="B989" s="360" t="s">
        <v>3447</v>
      </c>
      <c r="C989" s="359" t="n">
        <v>1</v>
      </c>
      <c r="D989" s="358" t="n">
        <v>0</v>
      </c>
      <c r="E989" s="358" t="n">
        <v>0</v>
      </c>
      <c r="F989" s="358" t="n">
        <v>0</v>
      </c>
      <c r="G989" s="372" t="n">
        <v>0</v>
      </c>
      <c r="H989" s="373" t="n">
        <v>0</v>
      </c>
      <c r="I989" s="358" t="n">
        <v>0</v>
      </c>
      <c r="J989" s="358" t="n">
        <v>0</v>
      </c>
      <c r="K989" s="372" t="n">
        <v>0</v>
      </c>
      <c r="L989" s="373" t="n">
        <v>0</v>
      </c>
      <c r="M989" s="358" t="n">
        <v>0</v>
      </c>
      <c r="N989" s="358" t="n">
        <v>0</v>
      </c>
      <c r="O989" s="372" t="n">
        <v>0</v>
      </c>
      <c r="P989" s="373" t="n">
        <v>0</v>
      </c>
      <c r="Q989" s="358" t="n">
        <v>0</v>
      </c>
      <c r="R989" s="358" t="n">
        <v>0</v>
      </c>
      <c r="S989" s="372" t="n">
        <v>0</v>
      </c>
      <c r="T989" s="373" t="n">
        <v>0</v>
      </c>
      <c r="U989" s="358" t="n">
        <v>0</v>
      </c>
      <c r="V989" s="358" t="n">
        <v>0</v>
      </c>
      <c r="W989" s="372" t="n">
        <v>0</v>
      </c>
      <c r="X989" s="373" t="n">
        <v>0</v>
      </c>
      <c r="Y989" s="358" t="n">
        <v>0</v>
      </c>
      <c r="Z989" s="358" t="n">
        <v>0</v>
      </c>
      <c r="AA989" s="358" t="n">
        <v>0</v>
      </c>
      <c r="AB989" s="373" t="n">
        <v>0</v>
      </c>
      <c r="AC989" s="358" t="n">
        <v>0</v>
      </c>
      <c r="AD989" s="358" t="n">
        <v>0</v>
      </c>
      <c r="AE989" s="358" t="n">
        <v>0</v>
      </c>
      <c r="AF989" s="359" t="n">
        <v>1</v>
      </c>
    </row>
    <row r="990" customFormat="false" ht="15" hidden="true" customHeight="false" outlineLevel="0" collapsed="false">
      <c r="B990" s="360" t="s">
        <v>3448</v>
      </c>
      <c r="C990" s="359" t="n">
        <v>1</v>
      </c>
      <c r="D990" s="358" t="n">
        <v>0</v>
      </c>
      <c r="E990" s="358" t="n">
        <v>0</v>
      </c>
      <c r="F990" s="358" t="n">
        <v>0</v>
      </c>
      <c r="G990" s="372" t="n">
        <v>0</v>
      </c>
      <c r="H990" s="373" t="n">
        <v>0</v>
      </c>
      <c r="I990" s="358" t="n">
        <v>0</v>
      </c>
      <c r="J990" s="358" t="n">
        <v>0</v>
      </c>
      <c r="K990" s="372" t="n">
        <v>0</v>
      </c>
      <c r="L990" s="373" t="n">
        <v>0</v>
      </c>
      <c r="M990" s="358" t="n">
        <v>0</v>
      </c>
      <c r="N990" s="358" t="n">
        <v>0</v>
      </c>
      <c r="O990" s="372" t="n">
        <v>0</v>
      </c>
      <c r="P990" s="373" t="n">
        <v>0</v>
      </c>
      <c r="Q990" s="358" t="n">
        <v>0</v>
      </c>
      <c r="R990" s="358" t="n">
        <v>0</v>
      </c>
      <c r="S990" s="372" t="n">
        <v>0</v>
      </c>
      <c r="T990" s="373" t="n">
        <v>0</v>
      </c>
      <c r="U990" s="358" t="n">
        <v>0</v>
      </c>
      <c r="V990" s="358" t="n">
        <v>0</v>
      </c>
      <c r="W990" s="372" t="n">
        <v>0</v>
      </c>
      <c r="X990" s="373" t="n">
        <v>0</v>
      </c>
      <c r="Y990" s="358" t="n">
        <v>0</v>
      </c>
      <c r="Z990" s="358" t="n">
        <v>0</v>
      </c>
      <c r="AA990" s="358" t="n">
        <v>0</v>
      </c>
      <c r="AB990" s="373" t="n">
        <v>0</v>
      </c>
      <c r="AC990" s="358" t="n">
        <v>0</v>
      </c>
      <c r="AD990" s="358" t="n">
        <v>0</v>
      </c>
      <c r="AE990" s="358" t="n">
        <v>0</v>
      </c>
      <c r="AF990" s="359" t="n">
        <v>1</v>
      </c>
    </row>
    <row r="991" customFormat="false" ht="15" hidden="true" customHeight="false" outlineLevel="0" collapsed="false">
      <c r="B991" s="360" t="s">
        <v>3449</v>
      </c>
      <c r="C991" s="359" t="n">
        <v>1</v>
      </c>
      <c r="D991" s="358" t="n">
        <v>0</v>
      </c>
      <c r="E991" s="358" t="n">
        <v>0</v>
      </c>
      <c r="F991" s="358" t="n">
        <v>0</v>
      </c>
      <c r="G991" s="372" t="n">
        <v>0</v>
      </c>
      <c r="H991" s="373" t="n">
        <v>0</v>
      </c>
      <c r="I991" s="358" t="n">
        <v>0</v>
      </c>
      <c r="J991" s="358" t="n">
        <v>0</v>
      </c>
      <c r="K991" s="372" t="n">
        <v>0</v>
      </c>
      <c r="L991" s="373" t="n">
        <v>0</v>
      </c>
      <c r="M991" s="358" t="n">
        <v>0</v>
      </c>
      <c r="N991" s="358" t="n">
        <v>0</v>
      </c>
      <c r="O991" s="372" t="n">
        <v>0</v>
      </c>
      <c r="P991" s="373" t="n">
        <v>0</v>
      </c>
      <c r="Q991" s="358" t="n">
        <v>0</v>
      </c>
      <c r="R991" s="358" t="n">
        <v>0</v>
      </c>
      <c r="S991" s="372" t="n">
        <v>0</v>
      </c>
      <c r="T991" s="373" t="n">
        <v>0</v>
      </c>
      <c r="U991" s="358" t="n">
        <v>0</v>
      </c>
      <c r="V991" s="358" t="n">
        <v>0</v>
      </c>
      <c r="W991" s="372" t="n">
        <v>0</v>
      </c>
      <c r="X991" s="373" t="n">
        <v>0</v>
      </c>
      <c r="Y991" s="358" t="n">
        <v>0</v>
      </c>
      <c r="Z991" s="358" t="n">
        <v>0</v>
      </c>
      <c r="AA991" s="358" t="n">
        <v>0</v>
      </c>
      <c r="AB991" s="373" t="n">
        <v>0</v>
      </c>
      <c r="AC991" s="358" t="n">
        <v>0</v>
      </c>
      <c r="AD991" s="358" t="n">
        <v>0</v>
      </c>
      <c r="AE991" s="358" t="n">
        <v>0</v>
      </c>
      <c r="AF991" s="359" t="n">
        <v>1</v>
      </c>
    </row>
    <row r="992" customFormat="false" ht="15" hidden="true" customHeight="false" outlineLevel="0" collapsed="false">
      <c r="B992" s="360" t="s">
        <v>3450</v>
      </c>
      <c r="C992" s="359" t="n">
        <v>1</v>
      </c>
      <c r="D992" s="358" t="n">
        <v>0</v>
      </c>
      <c r="E992" s="358" t="n">
        <v>0</v>
      </c>
      <c r="F992" s="358" t="n">
        <v>0</v>
      </c>
      <c r="G992" s="372" t="n">
        <v>0</v>
      </c>
      <c r="H992" s="373" t="n">
        <v>0</v>
      </c>
      <c r="I992" s="358" t="n">
        <v>0</v>
      </c>
      <c r="J992" s="358" t="n">
        <v>0</v>
      </c>
      <c r="K992" s="372" t="n">
        <v>0</v>
      </c>
      <c r="L992" s="373" t="n">
        <v>0</v>
      </c>
      <c r="M992" s="358" t="n">
        <v>0</v>
      </c>
      <c r="N992" s="358" t="n">
        <v>0</v>
      </c>
      <c r="O992" s="372" t="n">
        <v>0</v>
      </c>
      <c r="P992" s="373" t="n">
        <v>0</v>
      </c>
      <c r="Q992" s="358" t="n">
        <v>0</v>
      </c>
      <c r="R992" s="358" t="n">
        <v>0</v>
      </c>
      <c r="S992" s="372" t="n">
        <v>0</v>
      </c>
      <c r="T992" s="373" t="n">
        <v>0</v>
      </c>
      <c r="U992" s="358" t="n">
        <v>0</v>
      </c>
      <c r="V992" s="358" t="n">
        <v>0</v>
      </c>
      <c r="W992" s="372" t="n">
        <v>0</v>
      </c>
      <c r="X992" s="373" t="n">
        <v>0</v>
      </c>
      <c r="Y992" s="358" t="n">
        <v>0</v>
      </c>
      <c r="Z992" s="358" t="n">
        <v>0</v>
      </c>
      <c r="AA992" s="358" t="n">
        <v>0</v>
      </c>
      <c r="AB992" s="373" t="n">
        <v>0</v>
      </c>
      <c r="AC992" s="358" t="n">
        <v>0</v>
      </c>
      <c r="AD992" s="358" t="n">
        <v>0</v>
      </c>
      <c r="AE992" s="358" t="n">
        <v>0</v>
      </c>
      <c r="AF992" s="359" t="n">
        <v>1</v>
      </c>
    </row>
    <row r="993" customFormat="false" ht="15" hidden="true" customHeight="false" outlineLevel="0" collapsed="false">
      <c r="B993" s="360" t="s">
        <v>3451</v>
      </c>
      <c r="C993" s="359" t="n">
        <v>1</v>
      </c>
      <c r="D993" s="358" t="n">
        <v>0</v>
      </c>
      <c r="E993" s="358" t="n">
        <v>0</v>
      </c>
      <c r="F993" s="358" t="n">
        <v>0</v>
      </c>
      <c r="G993" s="372" t="n">
        <v>0</v>
      </c>
      <c r="H993" s="373" t="n">
        <v>0</v>
      </c>
      <c r="I993" s="358" t="n">
        <v>0</v>
      </c>
      <c r="J993" s="358" t="n">
        <v>0</v>
      </c>
      <c r="K993" s="372" t="n">
        <v>0</v>
      </c>
      <c r="L993" s="373" t="n">
        <v>0</v>
      </c>
      <c r="M993" s="358" t="n">
        <v>0</v>
      </c>
      <c r="N993" s="358" t="n">
        <v>0</v>
      </c>
      <c r="O993" s="372" t="n">
        <v>0</v>
      </c>
      <c r="P993" s="373" t="n">
        <v>0</v>
      </c>
      <c r="Q993" s="358" t="n">
        <v>0</v>
      </c>
      <c r="R993" s="358" t="n">
        <v>0</v>
      </c>
      <c r="S993" s="372" t="n">
        <v>0</v>
      </c>
      <c r="T993" s="373" t="n">
        <v>0</v>
      </c>
      <c r="U993" s="358" t="n">
        <v>0</v>
      </c>
      <c r="V993" s="358" t="n">
        <v>0</v>
      </c>
      <c r="W993" s="372" t="n">
        <v>0</v>
      </c>
      <c r="X993" s="373" t="n">
        <v>0</v>
      </c>
      <c r="Y993" s="358" t="n">
        <v>0</v>
      </c>
      <c r="Z993" s="358" t="n">
        <v>0</v>
      </c>
      <c r="AA993" s="358" t="n">
        <v>0</v>
      </c>
      <c r="AB993" s="373" t="n">
        <v>0</v>
      </c>
      <c r="AC993" s="358" t="n">
        <v>0</v>
      </c>
      <c r="AD993" s="358" t="n">
        <v>0</v>
      </c>
      <c r="AE993" s="358" t="n">
        <v>0</v>
      </c>
      <c r="AF993" s="359" t="n">
        <v>1</v>
      </c>
    </row>
    <row r="994" customFormat="false" ht="15" hidden="true" customHeight="false" outlineLevel="0" collapsed="false">
      <c r="B994" s="360" t="s">
        <v>3452</v>
      </c>
      <c r="C994" s="359" t="n">
        <v>1</v>
      </c>
      <c r="D994" s="358" t="n">
        <v>0</v>
      </c>
      <c r="E994" s="358" t="n">
        <v>0</v>
      </c>
      <c r="F994" s="358" t="n">
        <v>0</v>
      </c>
      <c r="G994" s="372" t="n">
        <v>0</v>
      </c>
      <c r="H994" s="373" t="n">
        <v>0</v>
      </c>
      <c r="I994" s="358" t="n">
        <v>0</v>
      </c>
      <c r="J994" s="358" t="n">
        <v>0</v>
      </c>
      <c r="K994" s="372" t="n">
        <v>0</v>
      </c>
      <c r="L994" s="373" t="n">
        <v>0</v>
      </c>
      <c r="M994" s="358" t="n">
        <v>0</v>
      </c>
      <c r="N994" s="358" t="n">
        <v>0</v>
      </c>
      <c r="O994" s="372" t="n">
        <v>0</v>
      </c>
      <c r="P994" s="373" t="n">
        <v>0</v>
      </c>
      <c r="Q994" s="358" t="n">
        <v>0</v>
      </c>
      <c r="R994" s="358" t="n">
        <v>0</v>
      </c>
      <c r="S994" s="372" t="n">
        <v>0</v>
      </c>
      <c r="T994" s="373" t="n">
        <v>0</v>
      </c>
      <c r="U994" s="358" t="n">
        <v>0</v>
      </c>
      <c r="V994" s="358" t="n">
        <v>0</v>
      </c>
      <c r="W994" s="372" t="n">
        <v>0</v>
      </c>
      <c r="X994" s="373" t="n">
        <v>0</v>
      </c>
      <c r="Y994" s="358" t="n">
        <v>0</v>
      </c>
      <c r="Z994" s="358" t="n">
        <v>0</v>
      </c>
      <c r="AA994" s="358" t="n">
        <v>0</v>
      </c>
      <c r="AB994" s="373" t="n">
        <v>0</v>
      </c>
      <c r="AC994" s="358" t="n">
        <v>0</v>
      </c>
      <c r="AD994" s="358" t="n">
        <v>0</v>
      </c>
      <c r="AE994" s="358" t="n">
        <v>0</v>
      </c>
      <c r="AF994" s="359" t="n">
        <v>1</v>
      </c>
    </row>
    <row r="995" customFormat="false" ht="15" hidden="true" customHeight="false" outlineLevel="0" collapsed="false">
      <c r="B995" s="360" t="s">
        <v>3453</v>
      </c>
      <c r="C995" s="359" t="n">
        <v>1</v>
      </c>
      <c r="D995" s="358" t="n">
        <v>0</v>
      </c>
      <c r="E995" s="358" t="n">
        <v>0</v>
      </c>
      <c r="F995" s="358" t="n">
        <v>0</v>
      </c>
      <c r="G995" s="372" t="n">
        <v>0</v>
      </c>
      <c r="H995" s="373" t="n">
        <v>0</v>
      </c>
      <c r="I995" s="358" t="n">
        <v>0</v>
      </c>
      <c r="J995" s="358" t="n">
        <v>0</v>
      </c>
      <c r="K995" s="372" t="n">
        <v>0</v>
      </c>
      <c r="L995" s="373" t="n">
        <v>0</v>
      </c>
      <c r="M995" s="358" t="n">
        <v>0</v>
      </c>
      <c r="N995" s="358" t="n">
        <v>0</v>
      </c>
      <c r="O995" s="372" t="n">
        <v>0</v>
      </c>
      <c r="P995" s="373" t="n">
        <v>0</v>
      </c>
      <c r="Q995" s="358" t="n">
        <v>0</v>
      </c>
      <c r="R995" s="358" t="n">
        <v>0</v>
      </c>
      <c r="S995" s="372" t="n">
        <v>0</v>
      </c>
      <c r="T995" s="373" t="n">
        <v>0</v>
      </c>
      <c r="U995" s="358" t="n">
        <v>0</v>
      </c>
      <c r="V995" s="358" t="n">
        <v>0</v>
      </c>
      <c r="W995" s="372" t="n">
        <v>0</v>
      </c>
      <c r="X995" s="373" t="n">
        <v>0</v>
      </c>
      <c r="Y995" s="358" t="n">
        <v>0</v>
      </c>
      <c r="Z995" s="358" t="n">
        <v>0</v>
      </c>
      <c r="AA995" s="358" t="n">
        <v>0</v>
      </c>
      <c r="AB995" s="373" t="n">
        <v>0</v>
      </c>
      <c r="AC995" s="358" t="n">
        <v>0</v>
      </c>
      <c r="AD995" s="358" t="n">
        <v>0</v>
      </c>
      <c r="AE995" s="358" t="n">
        <v>0</v>
      </c>
      <c r="AF995" s="359" t="n">
        <v>1</v>
      </c>
    </row>
    <row r="996" customFormat="false" ht="15" hidden="true" customHeight="false" outlineLevel="0" collapsed="false">
      <c r="B996" s="360" t="s">
        <v>3454</v>
      </c>
      <c r="C996" s="359" t="n">
        <v>1</v>
      </c>
      <c r="D996" s="358" t="n">
        <v>0</v>
      </c>
      <c r="E996" s="358" t="n">
        <v>0</v>
      </c>
      <c r="F996" s="358" t="n">
        <v>0</v>
      </c>
      <c r="G996" s="372" t="n">
        <v>0</v>
      </c>
      <c r="H996" s="373" t="n">
        <v>0</v>
      </c>
      <c r="I996" s="358" t="n">
        <v>0</v>
      </c>
      <c r="J996" s="358" t="n">
        <v>0</v>
      </c>
      <c r="K996" s="372" t="n">
        <v>0</v>
      </c>
      <c r="L996" s="373" t="n">
        <v>0</v>
      </c>
      <c r="M996" s="358" t="n">
        <v>0</v>
      </c>
      <c r="N996" s="358" t="n">
        <v>0</v>
      </c>
      <c r="O996" s="372" t="n">
        <v>0</v>
      </c>
      <c r="P996" s="373" t="n">
        <v>0</v>
      </c>
      <c r="Q996" s="358" t="n">
        <v>0</v>
      </c>
      <c r="R996" s="358" t="n">
        <v>0</v>
      </c>
      <c r="S996" s="372" t="n">
        <v>0</v>
      </c>
      <c r="T996" s="373" t="n">
        <v>0</v>
      </c>
      <c r="U996" s="358" t="n">
        <v>0</v>
      </c>
      <c r="V996" s="358" t="n">
        <v>0</v>
      </c>
      <c r="W996" s="372" t="n">
        <v>0</v>
      </c>
      <c r="X996" s="373" t="n">
        <v>0</v>
      </c>
      <c r="Y996" s="358" t="n">
        <v>0</v>
      </c>
      <c r="Z996" s="358" t="n">
        <v>0</v>
      </c>
      <c r="AA996" s="358" t="n">
        <v>0</v>
      </c>
      <c r="AB996" s="373" t="n">
        <v>0</v>
      </c>
      <c r="AC996" s="358" t="n">
        <v>0</v>
      </c>
      <c r="AD996" s="358" t="n">
        <v>0</v>
      </c>
      <c r="AE996" s="358" t="n">
        <v>0</v>
      </c>
      <c r="AF996" s="359" t="n">
        <v>1</v>
      </c>
    </row>
    <row r="997" customFormat="false" ht="15" hidden="true" customHeight="false" outlineLevel="0" collapsed="false">
      <c r="B997" s="360" t="s">
        <v>3455</v>
      </c>
      <c r="C997" s="359" t="n">
        <v>1</v>
      </c>
      <c r="D997" s="358" t="n">
        <v>0</v>
      </c>
      <c r="E997" s="358" t="n">
        <v>0</v>
      </c>
      <c r="F997" s="358" t="n">
        <v>0</v>
      </c>
      <c r="G997" s="372" t="n">
        <v>0</v>
      </c>
      <c r="H997" s="373" t="n">
        <v>0</v>
      </c>
      <c r="I997" s="358" t="n">
        <v>0</v>
      </c>
      <c r="J997" s="358" t="n">
        <v>0</v>
      </c>
      <c r="K997" s="372" t="n">
        <v>0</v>
      </c>
      <c r="L997" s="373" t="n">
        <v>0</v>
      </c>
      <c r="M997" s="358" t="n">
        <v>0</v>
      </c>
      <c r="N997" s="358" t="n">
        <v>0</v>
      </c>
      <c r="O997" s="372" t="n">
        <v>0</v>
      </c>
      <c r="P997" s="373" t="n">
        <v>0</v>
      </c>
      <c r="Q997" s="358" t="n">
        <v>0</v>
      </c>
      <c r="R997" s="358" t="n">
        <v>0</v>
      </c>
      <c r="S997" s="372" t="n">
        <v>0</v>
      </c>
      <c r="T997" s="373" t="n">
        <v>0</v>
      </c>
      <c r="U997" s="358" t="n">
        <v>0</v>
      </c>
      <c r="V997" s="358" t="n">
        <v>0</v>
      </c>
      <c r="W997" s="372" t="n">
        <v>0</v>
      </c>
      <c r="X997" s="373" t="n">
        <v>0</v>
      </c>
      <c r="Y997" s="358" t="n">
        <v>0</v>
      </c>
      <c r="Z997" s="358" t="n">
        <v>0</v>
      </c>
      <c r="AA997" s="358" t="n">
        <v>0</v>
      </c>
      <c r="AB997" s="373" t="n">
        <v>0</v>
      </c>
      <c r="AC997" s="358" t="n">
        <v>0</v>
      </c>
      <c r="AD997" s="358" t="n">
        <v>0</v>
      </c>
      <c r="AE997" s="358" t="n">
        <v>0</v>
      </c>
      <c r="AF997" s="359" t="n">
        <v>1</v>
      </c>
    </row>
    <row r="998" customFormat="false" ht="15" hidden="true" customHeight="false" outlineLevel="0" collapsed="false">
      <c r="B998" s="360" t="s">
        <v>3456</v>
      </c>
      <c r="C998" s="359" t="n">
        <v>1</v>
      </c>
      <c r="D998" s="358" t="n">
        <v>0</v>
      </c>
      <c r="E998" s="358" t="n">
        <v>0</v>
      </c>
      <c r="F998" s="358" t="n">
        <v>0</v>
      </c>
      <c r="G998" s="372" t="n">
        <v>0</v>
      </c>
      <c r="H998" s="373" t="n">
        <v>0</v>
      </c>
      <c r="I998" s="358" t="n">
        <v>0</v>
      </c>
      <c r="J998" s="358" t="n">
        <v>0</v>
      </c>
      <c r="K998" s="372" t="n">
        <v>0</v>
      </c>
      <c r="L998" s="373" t="n">
        <v>0</v>
      </c>
      <c r="M998" s="358" t="n">
        <v>0</v>
      </c>
      <c r="N998" s="358" t="n">
        <v>0</v>
      </c>
      <c r="O998" s="372" t="n">
        <v>0</v>
      </c>
      <c r="P998" s="373" t="n">
        <v>0</v>
      </c>
      <c r="Q998" s="358" t="n">
        <v>0</v>
      </c>
      <c r="R998" s="358" t="n">
        <v>0</v>
      </c>
      <c r="S998" s="372" t="n">
        <v>0</v>
      </c>
      <c r="T998" s="373" t="n">
        <v>0</v>
      </c>
      <c r="U998" s="358" t="n">
        <v>0</v>
      </c>
      <c r="V998" s="358" t="n">
        <v>0</v>
      </c>
      <c r="W998" s="372" t="n">
        <v>0</v>
      </c>
      <c r="X998" s="373" t="n">
        <v>0</v>
      </c>
      <c r="Y998" s="358" t="n">
        <v>0</v>
      </c>
      <c r="Z998" s="358" t="n">
        <v>0</v>
      </c>
      <c r="AA998" s="358" t="n">
        <v>0</v>
      </c>
      <c r="AB998" s="373" t="n">
        <v>0</v>
      </c>
      <c r="AC998" s="358" t="n">
        <v>0</v>
      </c>
      <c r="AD998" s="358" t="n">
        <v>0</v>
      </c>
      <c r="AE998" s="358" t="n">
        <v>0</v>
      </c>
      <c r="AF998" s="359" t="n">
        <v>1</v>
      </c>
    </row>
    <row r="999" customFormat="false" ht="15" hidden="true" customHeight="false" outlineLevel="0" collapsed="false">
      <c r="B999" s="360" t="s">
        <v>3457</v>
      </c>
      <c r="C999" s="359" t="n">
        <v>1</v>
      </c>
      <c r="D999" s="358" t="n">
        <v>0</v>
      </c>
      <c r="E999" s="358" t="n">
        <v>0</v>
      </c>
      <c r="F999" s="358" t="n">
        <v>0</v>
      </c>
      <c r="G999" s="372" t="n">
        <v>0</v>
      </c>
      <c r="H999" s="373" t="n">
        <v>0</v>
      </c>
      <c r="I999" s="358" t="n">
        <v>0</v>
      </c>
      <c r="J999" s="358" t="n">
        <v>0</v>
      </c>
      <c r="K999" s="372" t="n">
        <v>0</v>
      </c>
      <c r="L999" s="373" t="n">
        <v>0</v>
      </c>
      <c r="M999" s="358" t="n">
        <v>0</v>
      </c>
      <c r="N999" s="358" t="n">
        <v>0</v>
      </c>
      <c r="O999" s="372" t="n">
        <v>0</v>
      </c>
      <c r="P999" s="373" t="n">
        <v>0</v>
      </c>
      <c r="Q999" s="358" t="n">
        <v>0</v>
      </c>
      <c r="R999" s="358" t="n">
        <v>0</v>
      </c>
      <c r="S999" s="372" t="n">
        <v>0</v>
      </c>
      <c r="T999" s="373" t="n">
        <v>0</v>
      </c>
      <c r="U999" s="358" t="n">
        <v>0</v>
      </c>
      <c r="V999" s="358" t="n">
        <v>0</v>
      </c>
      <c r="W999" s="372" t="n">
        <v>0</v>
      </c>
      <c r="X999" s="373" t="n">
        <v>0</v>
      </c>
      <c r="Y999" s="358" t="n">
        <v>0</v>
      </c>
      <c r="Z999" s="358" t="n">
        <v>0</v>
      </c>
      <c r="AA999" s="358" t="n">
        <v>0</v>
      </c>
      <c r="AB999" s="373" t="n">
        <v>0</v>
      </c>
      <c r="AC999" s="358" t="n">
        <v>0</v>
      </c>
      <c r="AD999" s="358" t="n">
        <v>0</v>
      </c>
      <c r="AE999" s="358" t="n">
        <v>0</v>
      </c>
      <c r="AF999" s="359" t="n">
        <v>1</v>
      </c>
    </row>
    <row r="1000" customFormat="false" ht="15" hidden="true" customHeight="false" outlineLevel="0" collapsed="false">
      <c r="B1000" s="360" t="s">
        <v>3458</v>
      </c>
      <c r="C1000" s="359" t="n">
        <v>1</v>
      </c>
      <c r="D1000" s="358" t="n">
        <v>0</v>
      </c>
      <c r="E1000" s="358" t="n">
        <v>0</v>
      </c>
      <c r="F1000" s="358" t="n">
        <v>0</v>
      </c>
      <c r="G1000" s="372" t="n">
        <v>0</v>
      </c>
      <c r="H1000" s="373" t="n">
        <v>0</v>
      </c>
      <c r="I1000" s="358" t="n">
        <v>0</v>
      </c>
      <c r="J1000" s="358" t="n">
        <v>0</v>
      </c>
      <c r="K1000" s="372" t="n">
        <v>0</v>
      </c>
      <c r="L1000" s="373" t="n">
        <v>0</v>
      </c>
      <c r="M1000" s="358" t="n">
        <v>0</v>
      </c>
      <c r="N1000" s="358" t="n">
        <v>0</v>
      </c>
      <c r="O1000" s="372" t="n">
        <v>0</v>
      </c>
      <c r="P1000" s="373" t="n">
        <v>0</v>
      </c>
      <c r="Q1000" s="358" t="n">
        <v>0</v>
      </c>
      <c r="R1000" s="358" t="n">
        <v>0</v>
      </c>
      <c r="S1000" s="372" t="n">
        <v>0</v>
      </c>
      <c r="T1000" s="373" t="n">
        <v>0</v>
      </c>
      <c r="U1000" s="358" t="n">
        <v>0</v>
      </c>
      <c r="V1000" s="358" t="n">
        <v>0</v>
      </c>
      <c r="W1000" s="372" t="n">
        <v>0</v>
      </c>
      <c r="X1000" s="373" t="n">
        <v>0</v>
      </c>
      <c r="Y1000" s="358" t="n">
        <v>0</v>
      </c>
      <c r="Z1000" s="358" t="n">
        <v>0</v>
      </c>
      <c r="AA1000" s="358" t="n">
        <v>0</v>
      </c>
      <c r="AB1000" s="373" t="n">
        <v>0</v>
      </c>
      <c r="AC1000" s="358" t="n">
        <v>0</v>
      </c>
      <c r="AD1000" s="358" t="n">
        <v>0</v>
      </c>
      <c r="AE1000" s="358" t="n">
        <v>0</v>
      </c>
      <c r="AF1000" s="359" t="n">
        <v>1</v>
      </c>
    </row>
    <row r="1001" customFormat="false" ht="15" hidden="true" customHeight="false" outlineLevel="0" collapsed="false">
      <c r="B1001" s="360" t="s">
        <v>3459</v>
      </c>
      <c r="C1001" s="359" t="n">
        <v>1</v>
      </c>
      <c r="D1001" s="358" t="n">
        <v>0</v>
      </c>
      <c r="E1001" s="358" t="n">
        <v>0</v>
      </c>
      <c r="F1001" s="358" t="n">
        <v>0</v>
      </c>
      <c r="G1001" s="372" t="n">
        <v>0</v>
      </c>
      <c r="H1001" s="373" t="n">
        <v>0</v>
      </c>
      <c r="I1001" s="358" t="n">
        <v>0</v>
      </c>
      <c r="J1001" s="358" t="n">
        <v>0</v>
      </c>
      <c r="K1001" s="372" t="n">
        <v>0</v>
      </c>
      <c r="L1001" s="373" t="n">
        <v>0</v>
      </c>
      <c r="M1001" s="358" t="n">
        <v>0</v>
      </c>
      <c r="N1001" s="358" t="n">
        <v>0</v>
      </c>
      <c r="O1001" s="372" t="n">
        <v>0</v>
      </c>
      <c r="P1001" s="373" t="n">
        <v>0</v>
      </c>
      <c r="Q1001" s="358" t="n">
        <v>0</v>
      </c>
      <c r="R1001" s="358" t="n">
        <v>0</v>
      </c>
      <c r="S1001" s="372" t="n">
        <v>0</v>
      </c>
      <c r="T1001" s="373" t="n">
        <v>0</v>
      </c>
      <c r="U1001" s="358" t="n">
        <v>0</v>
      </c>
      <c r="V1001" s="358" t="n">
        <v>0</v>
      </c>
      <c r="W1001" s="372" t="n">
        <v>0</v>
      </c>
      <c r="X1001" s="373" t="n">
        <v>0</v>
      </c>
      <c r="Y1001" s="358" t="n">
        <v>0</v>
      </c>
      <c r="Z1001" s="358" t="n">
        <v>0</v>
      </c>
      <c r="AA1001" s="358" t="n">
        <v>0</v>
      </c>
      <c r="AB1001" s="373" t="n">
        <v>0</v>
      </c>
      <c r="AC1001" s="358" t="n">
        <v>0</v>
      </c>
      <c r="AD1001" s="358" t="n">
        <v>0</v>
      </c>
      <c r="AE1001" s="358" t="n">
        <v>0</v>
      </c>
      <c r="AF1001" s="359" t="n">
        <v>1</v>
      </c>
    </row>
    <row r="1002" customFormat="false" ht="15" hidden="true" customHeight="false" outlineLevel="0" collapsed="false">
      <c r="B1002" s="360" t="s">
        <v>3460</v>
      </c>
      <c r="C1002" s="359" t="n">
        <v>1</v>
      </c>
      <c r="D1002" s="358" t="n">
        <v>0</v>
      </c>
      <c r="E1002" s="358" t="n">
        <v>0</v>
      </c>
      <c r="F1002" s="358" t="n">
        <v>0</v>
      </c>
      <c r="G1002" s="372" t="n">
        <v>0</v>
      </c>
      <c r="H1002" s="373" t="n">
        <v>0</v>
      </c>
      <c r="I1002" s="358" t="n">
        <v>0</v>
      </c>
      <c r="J1002" s="358" t="n">
        <v>0</v>
      </c>
      <c r="K1002" s="372" t="n">
        <v>0</v>
      </c>
      <c r="L1002" s="373" t="n">
        <v>0</v>
      </c>
      <c r="M1002" s="358" t="n">
        <v>0</v>
      </c>
      <c r="N1002" s="358" t="n">
        <v>0</v>
      </c>
      <c r="O1002" s="372" t="n">
        <v>0</v>
      </c>
      <c r="P1002" s="373" t="n">
        <v>0</v>
      </c>
      <c r="Q1002" s="358" t="n">
        <v>0</v>
      </c>
      <c r="R1002" s="358" t="n">
        <v>0</v>
      </c>
      <c r="S1002" s="372" t="n">
        <v>0</v>
      </c>
      <c r="T1002" s="373" t="n">
        <v>0</v>
      </c>
      <c r="U1002" s="358" t="n">
        <v>0</v>
      </c>
      <c r="V1002" s="358" t="n">
        <v>0</v>
      </c>
      <c r="W1002" s="372" t="n">
        <v>0</v>
      </c>
      <c r="X1002" s="373" t="n">
        <v>0</v>
      </c>
      <c r="Y1002" s="358" t="n">
        <v>0</v>
      </c>
      <c r="Z1002" s="358" t="n">
        <v>0</v>
      </c>
      <c r="AA1002" s="358" t="n">
        <v>0</v>
      </c>
      <c r="AB1002" s="373" t="n">
        <v>0</v>
      </c>
      <c r="AC1002" s="358" t="n">
        <v>0</v>
      </c>
      <c r="AD1002" s="358" t="n">
        <v>0</v>
      </c>
      <c r="AE1002" s="358" t="n">
        <v>0</v>
      </c>
      <c r="AF1002" s="359" t="n">
        <v>1</v>
      </c>
    </row>
    <row r="1003" customFormat="false" ht="15" hidden="true" customHeight="false" outlineLevel="0" collapsed="false">
      <c r="B1003" s="360" t="s">
        <v>3461</v>
      </c>
      <c r="C1003" s="359" t="n">
        <v>1</v>
      </c>
      <c r="D1003" s="358" t="n">
        <v>0</v>
      </c>
      <c r="E1003" s="358" t="n">
        <v>0</v>
      </c>
      <c r="F1003" s="358" t="n">
        <v>0</v>
      </c>
      <c r="G1003" s="372" t="n">
        <v>0</v>
      </c>
      <c r="H1003" s="373" t="n">
        <v>0</v>
      </c>
      <c r="I1003" s="358" t="n">
        <v>0</v>
      </c>
      <c r="J1003" s="358" t="n">
        <v>0</v>
      </c>
      <c r="K1003" s="372" t="n">
        <v>0</v>
      </c>
      <c r="L1003" s="373" t="n">
        <v>0</v>
      </c>
      <c r="M1003" s="358" t="n">
        <v>0</v>
      </c>
      <c r="N1003" s="358" t="n">
        <v>0</v>
      </c>
      <c r="O1003" s="372" t="n">
        <v>0</v>
      </c>
      <c r="P1003" s="373" t="n">
        <v>0</v>
      </c>
      <c r="Q1003" s="358" t="n">
        <v>0</v>
      </c>
      <c r="R1003" s="358" t="n">
        <v>0</v>
      </c>
      <c r="S1003" s="372" t="n">
        <v>0</v>
      </c>
      <c r="T1003" s="373" t="n">
        <v>0</v>
      </c>
      <c r="U1003" s="358" t="n">
        <v>0</v>
      </c>
      <c r="V1003" s="358" t="n">
        <v>0</v>
      </c>
      <c r="W1003" s="372" t="n">
        <v>0</v>
      </c>
      <c r="X1003" s="373" t="n">
        <v>0</v>
      </c>
      <c r="Y1003" s="358" t="n">
        <v>0</v>
      </c>
      <c r="Z1003" s="358" t="n">
        <v>0</v>
      </c>
      <c r="AA1003" s="358" t="n">
        <v>0</v>
      </c>
      <c r="AB1003" s="373" t="n">
        <v>0</v>
      </c>
      <c r="AC1003" s="358" t="n">
        <v>0</v>
      </c>
      <c r="AD1003" s="358" t="n">
        <v>0</v>
      </c>
      <c r="AE1003" s="358" t="n">
        <v>0</v>
      </c>
      <c r="AF1003" s="359" t="n">
        <v>1</v>
      </c>
    </row>
    <row r="1004" customFormat="false" ht="15" hidden="true" customHeight="false" outlineLevel="0" collapsed="false">
      <c r="B1004" s="360" t="s">
        <v>3462</v>
      </c>
      <c r="C1004" s="359" t="n">
        <v>1</v>
      </c>
      <c r="D1004" s="358" t="n">
        <v>0</v>
      </c>
      <c r="E1004" s="358" t="n">
        <v>0</v>
      </c>
      <c r="F1004" s="358" t="n">
        <v>0</v>
      </c>
      <c r="G1004" s="372" t="n">
        <v>0</v>
      </c>
      <c r="H1004" s="373" t="n">
        <v>0</v>
      </c>
      <c r="I1004" s="358" t="n">
        <v>0</v>
      </c>
      <c r="J1004" s="358" t="n">
        <v>0</v>
      </c>
      <c r="K1004" s="372" t="n">
        <v>0</v>
      </c>
      <c r="L1004" s="373" t="n">
        <v>0</v>
      </c>
      <c r="M1004" s="358" t="n">
        <v>0</v>
      </c>
      <c r="N1004" s="358" t="n">
        <v>0</v>
      </c>
      <c r="O1004" s="372" t="n">
        <v>0</v>
      </c>
      <c r="P1004" s="373" t="n">
        <v>0</v>
      </c>
      <c r="Q1004" s="358" t="n">
        <v>0</v>
      </c>
      <c r="R1004" s="358" t="n">
        <v>0</v>
      </c>
      <c r="S1004" s="372" t="n">
        <v>0</v>
      </c>
      <c r="T1004" s="373" t="n">
        <v>0</v>
      </c>
      <c r="U1004" s="358" t="n">
        <v>0</v>
      </c>
      <c r="V1004" s="358" t="n">
        <v>0</v>
      </c>
      <c r="W1004" s="372" t="n">
        <v>0</v>
      </c>
      <c r="X1004" s="373" t="n">
        <v>0</v>
      </c>
      <c r="Y1004" s="358" t="n">
        <v>0</v>
      </c>
      <c r="Z1004" s="358" t="n">
        <v>0</v>
      </c>
      <c r="AA1004" s="358" t="n">
        <v>0</v>
      </c>
      <c r="AB1004" s="373" t="n">
        <v>0</v>
      </c>
      <c r="AC1004" s="358" t="n">
        <v>0</v>
      </c>
      <c r="AD1004" s="358" t="n">
        <v>0</v>
      </c>
      <c r="AE1004" s="358" t="n">
        <v>0</v>
      </c>
      <c r="AF1004" s="359" t="n">
        <v>1</v>
      </c>
    </row>
    <row r="1005" customFormat="false" ht="15" hidden="true" customHeight="false" outlineLevel="0" collapsed="false">
      <c r="B1005" s="360" t="s">
        <v>3463</v>
      </c>
      <c r="C1005" s="359" t="n">
        <v>1</v>
      </c>
      <c r="D1005" s="358" t="n">
        <v>0</v>
      </c>
      <c r="E1005" s="358" t="n">
        <v>0</v>
      </c>
      <c r="F1005" s="358" t="n">
        <v>0</v>
      </c>
      <c r="G1005" s="372" t="n">
        <v>0</v>
      </c>
      <c r="H1005" s="373" t="n">
        <v>0</v>
      </c>
      <c r="I1005" s="358" t="n">
        <v>0</v>
      </c>
      <c r="J1005" s="358" t="n">
        <v>0</v>
      </c>
      <c r="K1005" s="372" t="n">
        <v>0</v>
      </c>
      <c r="L1005" s="373" t="n">
        <v>0</v>
      </c>
      <c r="M1005" s="358" t="n">
        <v>0</v>
      </c>
      <c r="N1005" s="358" t="n">
        <v>0</v>
      </c>
      <c r="O1005" s="372" t="n">
        <v>0</v>
      </c>
      <c r="P1005" s="373" t="n">
        <v>0</v>
      </c>
      <c r="Q1005" s="358" t="n">
        <v>0</v>
      </c>
      <c r="R1005" s="358" t="n">
        <v>0</v>
      </c>
      <c r="S1005" s="372" t="n">
        <v>0</v>
      </c>
      <c r="T1005" s="373" t="n">
        <v>0</v>
      </c>
      <c r="U1005" s="358" t="n">
        <v>0</v>
      </c>
      <c r="V1005" s="358" t="n">
        <v>0</v>
      </c>
      <c r="W1005" s="372" t="n">
        <v>0</v>
      </c>
      <c r="X1005" s="373" t="n">
        <v>0</v>
      </c>
      <c r="Y1005" s="358" t="n">
        <v>0</v>
      </c>
      <c r="Z1005" s="358" t="n">
        <v>0</v>
      </c>
      <c r="AA1005" s="358" t="n">
        <v>0</v>
      </c>
      <c r="AB1005" s="373" t="n">
        <v>0</v>
      </c>
      <c r="AC1005" s="358" t="n">
        <v>0</v>
      </c>
      <c r="AD1005" s="358" t="n">
        <v>0</v>
      </c>
      <c r="AE1005" s="358" t="n">
        <v>0</v>
      </c>
      <c r="AF1005" s="359" t="n">
        <v>1</v>
      </c>
    </row>
    <row r="1006" customFormat="false" ht="15" hidden="true" customHeight="false" outlineLevel="0" collapsed="false">
      <c r="B1006" s="360" t="s">
        <v>3464</v>
      </c>
      <c r="C1006" s="359" t="n">
        <v>1</v>
      </c>
      <c r="D1006" s="358" t="n">
        <v>0</v>
      </c>
      <c r="E1006" s="358" t="n">
        <v>0</v>
      </c>
      <c r="F1006" s="358" t="n">
        <v>0</v>
      </c>
      <c r="G1006" s="372" t="n">
        <v>0</v>
      </c>
      <c r="H1006" s="373" t="n">
        <v>0</v>
      </c>
      <c r="I1006" s="358" t="n">
        <v>0</v>
      </c>
      <c r="J1006" s="358" t="n">
        <v>0</v>
      </c>
      <c r="K1006" s="372" t="n">
        <v>0</v>
      </c>
      <c r="L1006" s="373" t="n">
        <v>0</v>
      </c>
      <c r="M1006" s="358" t="n">
        <v>0</v>
      </c>
      <c r="N1006" s="358" t="n">
        <v>0</v>
      </c>
      <c r="O1006" s="372" t="n">
        <v>0</v>
      </c>
      <c r="P1006" s="373" t="n">
        <v>0</v>
      </c>
      <c r="Q1006" s="358" t="n">
        <v>0</v>
      </c>
      <c r="R1006" s="358" t="n">
        <v>0</v>
      </c>
      <c r="S1006" s="372" t="n">
        <v>0</v>
      </c>
      <c r="T1006" s="373" t="n">
        <v>0</v>
      </c>
      <c r="U1006" s="358" t="n">
        <v>0</v>
      </c>
      <c r="V1006" s="358" t="n">
        <v>0</v>
      </c>
      <c r="W1006" s="372" t="n">
        <v>0</v>
      </c>
      <c r="X1006" s="373" t="n">
        <v>0</v>
      </c>
      <c r="Y1006" s="358" t="n">
        <v>0</v>
      </c>
      <c r="Z1006" s="358" t="n">
        <v>0</v>
      </c>
      <c r="AA1006" s="358" t="n">
        <v>0</v>
      </c>
      <c r="AB1006" s="373" t="n">
        <v>0</v>
      </c>
      <c r="AC1006" s="358" t="n">
        <v>0</v>
      </c>
      <c r="AD1006" s="358" t="n">
        <v>0</v>
      </c>
      <c r="AE1006" s="358" t="n">
        <v>0</v>
      </c>
      <c r="AF1006" s="359" t="n">
        <v>1</v>
      </c>
    </row>
    <row r="1007" customFormat="false" ht="15" hidden="true" customHeight="false" outlineLevel="0" collapsed="false">
      <c r="B1007" s="360" t="s">
        <v>3465</v>
      </c>
      <c r="C1007" s="359" t="n">
        <v>1</v>
      </c>
      <c r="D1007" s="358" t="n">
        <v>0</v>
      </c>
      <c r="E1007" s="358" t="n">
        <v>0</v>
      </c>
      <c r="F1007" s="358" t="n">
        <v>0</v>
      </c>
      <c r="G1007" s="372" t="n">
        <v>0</v>
      </c>
      <c r="H1007" s="373" t="n">
        <v>0</v>
      </c>
      <c r="I1007" s="358" t="n">
        <v>0</v>
      </c>
      <c r="J1007" s="358" t="n">
        <v>0</v>
      </c>
      <c r="K1007" s="372" t="n">
        <v>0</v>
      </c>
      <c r="L1007" s="373" t="n">
        <v>0</v>
      </c>
      <c r="M1007" s="358" t="n">
        <v>0</v>
      </c>
      <c r="N1007" s="358" t="n">
        <v>0</v>
      </c>
      <c r="O1007" s="372" t="n">
        <v>0</v>
      </c>
      <c r="P1007" s="373" t="n">
        <v>0</v>
      </c>
      <c r="Q1007" s="358" t="n">
        <v>0</v>
      </c>
      <c r="R1007" s="358" t="n">
        <v>0</v>
      </c>
      <c r="S1007" s="372" t="n">
        <v>0</v>
      </c>
      <c r="T1007" s="373" t="n">
        <v>0</v>
      </c>
      <c r="U1007" s="358" t="n">
        <v>0</v>
      </c>
      <c r="V1007" s="358" t="n">
        <v>0</v>
      </c>
      <c r="W1007" s="372" t="n">
        <v>0</v>
      </c>
      <c r="X1007" s="373" t="n">
        <v>0</v>
      </c>
      <c r="Y1007" s="358" t="n">
        <v>0</v>
      </c>
      <c r="Z1007" s="358" t="n">
        <v>0</v>
      </c>
      <c r="AA1007" s="358" t="n">
        <v>0</v>
      </c>
      <c r="AB1007" s="373" t="n">
        <v>0</v>
      </c>
      <c r="AC1007" s="358" t="n">
        <v>0</v>
      </c>
      <c r="AD1007" s="358" t="n">
        <v>0</v>
      </c>
      <c r="AE1007" s="358" t="n">
        <v>0</v>
      </c>
      <c r="AF1007" s="359" t="n">
        <v>1</v>
      </c>
    </row>
    <row r="1008" customFormat="false" ht="15" hidden="true" customHeight="false" outlineLevel="0" collapsed="false">
      <c r="B1008" s="360" t="s">
        <v>3466</v>
      </c>
      <c r="C1008" s="359" t="n">
        <v>1</v>
      </c>
      <c r="D1008" s="358" t="n">
        <v>0</v>
      </c>
      <c r="E1008" s="358" t="n">
        <v>0</v>
      </c>
      <c r="F1008" s="358" t="n">
        <v>0</v>
      </c>
      <c r="G1008" s="372" t="n">
        <v>0</v>
      </c>
      <c r="H1008" s="373" t="n">
        <v>0</v>
      </c>
      <c r="I1008" s="358" t="n">
        <v>0</v>
      </c>
      <c r="J1008" s="358" t="n">
        <v>0</v>
      </c>
      <c r="K1008" s="372" t="n">
        <v>0</v>
      </c>
      <c r="L1008" s="373" t="n">
        <v>0</v>
      </c>
      <c r="M1008" s="358" t="n">
        <v>0</v>
      </c>
      <c r="N1008" s="358" t="n">
        <v>0</v>
      </c>
      <c r="O1008" s="372" t="n">
        <v>0</v>
      </c>
      <c r="P1008" s="373" t="n">
        <v>0</v>
      </c>
      <c r="Q1008" s="358" t="n">
        <v>0</v>
      </c>
      <c r="R1008" s="358" t="n">
        <v>0</v>
      </c>
      <c r="S1008" s="372" t="n">
        <v>0</v>
      </c>
      <c r="T1008" s="373" t="n">
        <v>0</v>
      </c>
      <c r="U1008" s="358" t="n">
        <v>0</v>
      </c>
      <c r="V1008" s="358" t="n">
        <v>0</v>
      </c>
      <c r="W1008" s="372" t="n">
        <v>0</v>
      </c>
      <c r="X1008" s="373" t="n">
        <v>0</v>
      </c>
      <c r="Y1008" s="358" t="n">
        <v>0</v>
      </c>
      <c r="Z1008" s="358" t="n">
        <v>0</v>
      </c>
      <c r="AA1008" s="358" t="n">
        <v>0</v>
      </c>
      <c r="AB1008" s="373" t="n">
        <v>0</v>
      </c>
      <c r="AC1008" s="358" t="n">
        <v>0</v>
      </c>
      <c r="AD1008" s="358" t="n">
        <v>0</v>
      </c>
      <c r="AE1008" s="358" t="n">
        <v>0</v>
      </c>
      <c r="AF1008" s="359" t="n">
        <v>1</v>
      </c>
    </row>
    <row r="1009" customFormat="false" ht="15" hidden="true" customHeight="false" outlineLevel="0" collapsed="false">
      <c r="B1009" s="360" t="s">
        <v>3467</v>
      </c>
      <c r="C1009" s="359" t="n">
        <v>1</v>
      </c>
      <c r="D1009" s="358" t="n">
        <v>0</v>
      </c>
      <c r="E1009" s="358" t="n">
        <v>0</v>
      </c>
      <c r="F1009" s="358" t="n">
        <v>0</v>
      </c>
      <c r="G1009" s="372" t="n">
        <v>0</v>
      </c>
      <c r="H1009" s="373" t="n">
        <v>0</v>
      </c>
      <c r="I1009" s="358" t="n">
        <v>0</v>
      </c>
      <c r="J1009" s="358" t="n">
        <v>0</v>
      </c>
      <c r="K1009" s="372" t="n">
        <v>0</v>
      </c>
      <c r="L1009" s="373" t="n">
        <v>0</v>
      </c>
      <c r="M1009" s="358" t="n">
        <v>0</v>
      </c>
      <c r="N1009" s="358" t="n">
        <v>0</v>
      </c>
      <c r="O1009" s="372" t="n">
        <v>0</v>
      </c>
      <c r="P1009" s="373" t="n">
        <v>0</v>
      </c>
      <c r="Q1009" s="358" t="n">
        <v>0</v>
      </c>
      <c r="R1009" s="358" t="n">
        <v>0</v>
      </c>
      <c r="S1009" s="372" t="n">
        <v>0</v>
      </c>
      <c r="T1009" s="373" t="n">
        <v>0</v>
      </c>
      <c r="U1009" s="358" t="n">
        <v>0</v>
      </c>
      <c r="V1009" s="358" t="n">
        <v>0</v>
      </c>
      <c r="W1009" s="372" t="n">
        <v>0</v>
      </c>
      <c r="X1009" s="373" t="n">
        <v>0</v>
      </c>
      <c r="Y1009" s="358" t="n">
        <v>0</v>
      </c>
      <c r="Z1009" s="358" t="n">
        <v>0</v>
      </c>
      <c r="AA1009" s="358" t="n">
        <v>0</v>
      </c>
      <c r="AB1009" s="373" t="n">
        <v>0</v>
      </c>
      <c r="AC1009" s="358" t="n">
        <v>0</v>
      </c>
      <c r="AD1009" s="358" t="n">
        <v>0</v>
      </c>
      <c r="AE1009" s="358" t="n">
        <v>0</v>
      </c>
      <c r="AF1009" s="359" t="n">
        <v>1</v>
      </c>
    </row>
    <row r="1010" customFormat="false" ht="15" hidden="true" customHeight="false" outlineLevel="0" collapsed="false">
      <c r="B1010" s="360" t="s">
        <v>3468</v>
      </c>
      <c r="C1010" s="359" t="n">
        <v>1</v>
      </c>
      <c r="D1010" s="358" t="n">
        <v>0</v>
      </c>
      <c r="E1010" s="358" t="n">
        <v>0</v>
      </c>
      <c r="F1010" s="358" t="n">
        <v>0</v>
      </c>
      <c r="G1010" s="372" t="n">
        <v>0</v>
      </c>
      <c r="H1010" s="373" t="n">
        <v>0</v>
      </c>
      <c r="I1010" s="358" t="n">
        <v>0</v>
      </c>
      <c r="J1010" s="358" t="n">
        <v>0</v>
      </c>
      <c r="K1010" s="372" t="n">
        <v>0</v>
      </c>
      <c r="L1010" s="373" t="n">
        <v>0</v>
      </c>
      <c r="M1010" s="358" t="n">
        <v>0</v>
      </c>
      <c r="N1010" s="358" t="n">
        <v>0</v>
      </c>
      <c r="O1010" s="372" t="n">
        <v>0</v>
      </c>
      <c r="P1010" s="373" t="n">
        <v>0</v>
      </c>
      <c r="Q1010" s="358" t="n">
        <v>0</v>
      </c>
      <c r="R1010" s="358" t="n">
        <v>0</v>
      </c>
      <c r="S1010" s="372" t="n">
        <v>0</v>
      </c>
      <c r="T1010" s="373" t="n">
        <v>0</v>
      </c>
      <c r="U1010" s="358" t="n">
        <v>0</v>
      </c>
      <c r="V1010" s="358" t="n">
        <v>0</v>
      </c>
      <c r="W1010" s="372" t="n">
        <v>0</v>
      </c>
      <c r="X1010" s="373" t="n">
        <v>0</v>
      </c>
      <c r="Y1010" s="358" t="n">
        <v>0</v>
      </c>
      <c r="Z1010" s="358" t="n">
        <v>0</v>
      </c>
      <c r="AA1010" s="358" t="n">
        <v>0</v>
      </c>
      <c r="AB1010" s="373" t="n">
        <v>0</v>
      </c>
      <c r="AC1010" s="358" t="n">
        <v>0</v>
      </c>
      <c r="AD1010" s="358" t="n">
        <v>0</v>
      </c>
      <c r="AE1010" s="358" t="n">
        <v>0</v>
      </c>
      <c r="AF1010" s="359" t="n">
        <v>1</v>
      </c>
    </row>
    <row r="1011" customFormat="false" ht="15" hidden="true" customHeight="false" outlineLevel="0" collapsed="false">
      <c r="B1011" s="360" t="s">
        <v>3469</v>
      </c>
      <c r="C1011" s="359" t="n">
        <v>1</v>
      </c>
      <c r="D1011" s="358" t="n">
        <v>0</v>
      </c>
      <c r="E1011" s="358" t="n">
        <v>0</v>
      </c>
      <c r="F1011" s="358" t="n">
        <v>0</v>
      </c>
      <c r="G1011" s="372" t="n">
        <v>0</v>
      </c>
      <c r="H1011" s="373" t="n">
        <v>0</v>
      </c>
      <c r="I1011" s="358" t="n">
        <v>0</v>
      </c>
      <c r="J1011" s="358" t="n">
        <v>0</v>
      </c>
      <c r="K1011" s="372" t="n">
        <v>0</v>
      </c>
      <c r="L1011" s="373" t="n">
        <v>0</v>
      </c>
      <c r="M1011" s="358" t="n">
        <v>0</v>
      </c>
      <c r="N1011" s="358" t="n">
        <v>0</v>
      </c>
      <c r="O1011" s="372" t="n">
        <v>0</v>
      </c>
      <c r="P1011" s="373" t="n">
        <v>0</v>
      </c>
      <c r="Q1011" s="358" t="n">
        <v>0</v>
      </c>
      <c r="R1011" s="358" t="n">
        <v>0</v>
      </c>
      <c r="S1011" s="372" t="n">
        <v>0</v>
      </c>
      <c r="T1011" s="373" t="n">
        <v>0</v>
      </c>
      <c r="U1011" s="358" t="n">
        <v>0</v>
      </c>
      <c r="V1011" s="358" t="n">
        <v>0</v>
      </c>
      <c r="W1011" s="372" t="n">
        <v>0</v>
      </c>
      <c r="X1011" s="373" t="n">
        <v>0</v>
      </c>
      <c r="Y1011" s="358" t="n">
        <v>0</v>
      </c>
      <c r="Z1011" s="358" t="n">
        <v>0</v>
      </c>
      <c r="AA1011" s="358" t="n">
        <v>0</v>
      </c>
      <c r="AB1011" s="373" t="n">
        <v>0</v>
      </c>
      <c r="AC1011" s="358" t="n">
        <v>0</v>
      </c>
      <c r="AD1011" s="358" t="n">
        <v>0</v>
      </c>
      <c r="AE1011" s="358" t="n">
        <v>0</v>
      </c>
      <c r="AF1011" s="359" t="n">
        <v>1</v>
      </c>
    </row>
    <row r="1012" customFormat="false" ht="15" hidden="true" customHeight="false" outlineLevel="0" collapsed="false">
      <c r="B1012" s="360" t="s">
        <v>3470</v>
      </c>
      <c r="C1012" s="359" t="n">
        <v>1</v>
      </c>
      <c r="D1012" s="358" t="n">
        <v>0</v>
      </c>
      <c r="E1012" s="358" t="n">
        <v>0</v>
      </c>
      <c r="F1012" s="358" t="n">
        <v>0</v>
      </c>
      <c r="G1012" s="372" t="n">
        <v>0</v>
      </c>
      <c r="H1012" s="373" t="n">
        <v>0</v>
      </c>
      <c r="I1012" s="358" t="n">
        <v>0</v>
      </c>
      <c r="J1012" s="358" t="n">
        <v>0</v>
      </c>
      <c r="K1012" s="372" t="n">
        <v>0</v>
      </c>
      <c r="L1012" s="373" t="n">
        <v>0</v>
      </c>
      <c r="M1012" s="358" t="n">
        <v>0</v>
      </c>
      <c r="N1012" s="358" t="n">
        <v>0</v>
      </c>
      <c r="O1012" s="372" t="n">
        <v>0</v>
      </c>
      <c r="P1012" s="373" t="n">
        <v>0</v>
      </c>
      <c r="Q1012" s="358" t="n">
        <v>0</v>
      </c>
      <c r="R1012" s="358" t="n">
        <v>0</v>
      </c>
      <c r="S1012" s="372" t="n">
        <v>0</v>
      </c>
      <c r="T1012" s="373" t="n">
        <v>0</v>
      </c>
      <c r="U1012" s="358" t="n">
        <v>0</v>
      </c>
      <c r="V1012" s="358" t="n">
        <v>0</v>
      </c>
      <c r="W1012" s="372" t="n">
        <v>0</v>
      </c>
      <c r="X1012" s="373" t="n">
        <v>0</v>
      </c>
      <c r="Y1012" s="358" t="n">
        <v>0</v>
      </c>
      <c r="Z1012" s="358" t="n">
        <v>0</v>
      </c>
      <c r="AA1012" s="358" t="n">
        <v>0</v>
      </c>
      <c r="AB1012" s="373" t="n">
        <v>0</v>
      </c>
      <c r="AC1012" s="358" t="n">
        <v>0</v>
      </c>
      <c r="AD1012" s="358" t="n">
        <v>0</v>
      </c>
      <c r="AE1012" s="358" t="n">
        <v>0</v>
      </c>
      <c r="AF1012" s="359" t="n">
        <v>1</v>
      </c>
    </row>
    <row r="1013" customFormat="false" ht="15" hidden="true" customHeight="false" outlineLevel="0" collapsed="false">
      <c r="B1013" s="360" t="s">
        <v>3471</v>
      </c>
      <c r="C1013" s="359" t="n">
        <v>1</v>
      </c>
      <c r="D1013" s="358" t="n">
        <v>0</v>
      </c>
      <c r="E1013" s="358" t="n">
        <v>0</v>
      </c>
      <c r="F1013" s="358" t="n">
        <v>0</v>
      </c>
      <c r="G1013" s="372" t="n">
        <v>0</v>
      </c>
      <c r="H1013" s="373" t="n">
        <v>0</v>
      </c>
      <c r="I1013" s="358" t="n">
        <v>0</v>
      </c>
      <c r="J1013" s="358" t="n">
        <v>0</v>
      </c>
      <c r="K1013" s="372" t="n">
        <v>0</v>
      </c>
      <c r="L1013" s="373" t="n">
        <v>0</v>
      </c>
      <c r="M1013" s="358" t="n">
        <v>0</v>
      </c>
      <c r="N1013" s="358" t="n">
        <v>0</v>
      </c>
      <c r="O1013" s="372" t="n">
        <v>0</v>
      </c>
      <c r="P1013" s="373" t="n">
        <v>0</v>
      </c>
      <c r="Q1013" s="358" t="n">
        <v>0</v>
      </c>
      <c r="R1013" s="358" t="n">
        <v>0</v>
      </c>
      <c r="S1013" s="372" t="n">
        <v>0</v>
      </c>
      <c r="T1013" s="373" t="n">
        <v>0</v>
      </c>
      <c r="U1013" s="358" t="n">
        <v>0</v>
      </c>
      <c r="V1013" s="358" t="n">
        <v>0</v>
      </c>
      <c r="W1013" s="372" t="n">
        <v>0</v>
      </c>
      <c r="X1013" s="373" t="n">
        <v>0</v>
      </c>
      <c r="Y1013" s="358" t="n">
        <v>0</v>
      </c>
      <c r="Z1013" s="358" t="n">
        <v>0</v>
      </c>
      <c r="AA1013" s="358" t="n">
        <v>0</v>
      </c>
      <c r="AB1013" s="373" t="n">
        <v>0</v>
      </c>
      <c r="AC1013" s="358" t="n">
        <v>0</v>
      </c>
      <c r="AD1013" s="358" t="n">
        <v>0</v>
      </c>
      <c r="AE1013" s="358" t="n">
        <v>0</v>
      </c>
      <c r="AF1013" s="359" t="n">
        <v>1</v>
      </c>
    </row>
    <row r="1014" customFormat="false" ht="15" hidden="true" customHeight="false" outlineLevel="0" collapsed="false">
      <c r="B1014" s="360" t="s">
        <v>3472</v>
      </c>
      <c r="C1014" s="359" t="n">
        <v>1</v>
      </c>
      <c r="D1014" s="358" t="n">
        <v>0</v>
      </c>
      <c r="E1014" s="358" t="n">
        <v>0</v>
      </c>
      <c r="F1014" s="358" t="n">
        <v>0</v>
      </c>
      <c r="G1014" s="372" t="n">
        <v>0</v>
      </c>
      <c r="H1014" s="373" t="n">
        <v>0</v>
      </c>
      <c r="I1014" s="358" t="n">
        <v>0</v>
      </c>
      <c r="J1014" s="358" t="n">
        <v>0</v>
      </c>
      <c r="K1014" s="372" t="n">
        <v>0</v>
      </c>
      <c r="L1014" s="373" t="n">
        <v>0</v>
      </c>
      <c r="M1014" s="358" t="n">
        <v>0</v>
      </c>
      <c r="N1014" s="358" t="n">
        <v>0</v>
      </c>
      <c r="O1014" s="372" t="n">
        <v>0</v>
      </c>
      <c r="P1014" s="373" t="n">
        <v>0</v>
      </c>
      <c r="Q1014" s="358" t="n">
        <v>0</v>
      </c>
      <c r="R1014" s="358" t="n">
        <v>0</v>
      </c>
      <c r="S1014" s="372" t="n">
        <v>0</v>
      </c>
      <c r="T1014" s="373" t="n">
        <v>0</v>
      </c>
      <c r="U1014" s="358" t="n">
        <v>0</v>
      </c>
      <c r="V1014" s="358" t="n">
        <v>0</v>
      </c>
      <c r="W1014" s="372" t="n">
        <v>0</v>
      </c>
      <c r="X1014" s="373" t="n">
        <v>0</v>
      </c>
      <c r="Y1014" s="358" t="n">
        <v>0</v>
      </c>
      <c r="Z1014" s="358" t="n">
        <v>0</v>
      </c>
      <c r="AA1014" s="358" t="n">
        <v>0</v>
      </c>
      <c r="AB1014" s="373" t="n">
        <v>0</v>
      </c>
      <c r="AC1014" s="358" t="n">
        <v>0</v>
      </c>
      <c r="AD1014" s="358" t="n">
        <v>0</v>
      </c>
      <c r="AE1014" s="358" t="n">
        <v>0</v>
      </c>
      <c r="AF1014" s="359" t="n">
        <v>1</v>
      </c>
    </row>
    <row r="1015" customFormat="false" ht="15" hidden="true" customHeight="false" outlineLevel="0" collapsed="false">
      <c r="B1015" s="360" t="s">
        <v>3473</v>
      </c>
      <c r="C1015" s="359" t="n">
        <v>1</v>
      </c>
      <c r="D1015" s="358" t="n">
        <v>0</v>
      </c>
      <c r="E1015" s="358" t="n">
        <v>0</v>
      </c>
      <c r="F1015" s="358" t="n">
        <v>0</v>
      </c>
      <c r="G1015" s="372" t="n">
        <v>0</v>
      </c>
      <c r="H1015" s="373" t="n">
        <v>0</v>
      </c>
      <c r="I1015" s="358" t="n">
        <v>0</v>
      </c>
      <c r="J1015" s="358" t="n">
        <v>0</v>
      </c>
      <c r="K1015" s="372" t="n">
        <v>0</v>
      </c>
      <c r="L1015" s="373" t="n">
        <v>0</v>
      </c>
      <c r="M1015" s="358" t="n">
        <v>0</v>
      </c>
      <c r="N1015" s="358" t="n">
        <v>0</v>
      </c>
      <c r="O1015" s="372" t="n">
        <v>0</v>
      </c>
      <c r="P1015" s="373" t="n">
        <v>0</v>
      </c>
      <c r="Q1015" s="358" t="n">
        <v>0</v>
      </c>
      <c r="R1015" s="358" t="n">
        <v>0</v>
      </c>
      <c r="S1015" s="372" t="n">
        <v>0</v>
      </c>
      <c r="T1015" s="373" t="n">
        <v>0</v>
      </c>
      <c r="U1015" s="358" t="n">
        <v>0</v>
      </c>
      <c r="V1015" s="358" t="n">
        <v>0</v>
      </c>
      <c r="W1015" s="372" t="n">
        <v>0</v>
      </c>
      <c r="X1015" s="373" t="n">
        <v>0</v>
      </c>
      <c r="Y1015" s="358" t="n">
        <v>0</v>
      </c>
      <c r="Z1015" s="358" t="n">
        <v>0</v>
      </c>
      <c r="AA1015" s="358" t="n">
        <v>0</v>
      </c>
      <c r="AB1015" s="373" t="n">
        <v>0</v>
      </c>
      <c r="AC1015" s="358" t="n">
        <v>0</v>
      </c>
      <c r="AD1015" s="358" t="n">
        <v>0</v>
      </c>
      <c r="AE1015" s="358" t="n">
        <v>0</v>
      </c>
      <c r="AF1015" s="359" t="n">
        <v>1</v>
      </c>
    </row>
    <row r="1016" customFormat="false" ht="15" hidden="true" customHeight="false" outlineLevel="0" collapsed="false">
      <c r="B1016" s="360" t="s">
        <v>3474</v>
      </c>
      <c r="C1016" s="359" t="n">
        <v>1</v>
      </c>
      <c r="D1016" s="358" t="n">
        <v>0</v>
      </c>
      <c r="E1016" s="358" t="n">
        <v>0</v>
      </c>
      <c r="F1016" s="358" t="n">
        <v>0</v>
      </c>
      <c r="G1016" s="372" t="n">
        <v>0</v>
      </c>
      <c r="H1016" s="373" t="n">
        <v>0</v>
      </c>
      <c r="I1016" s="358" t="n">
        <v>0</v>
      </c>
      <c r="J1016" s="358" t="n">
        <v>0</v>
      </c>
      <c r="K1016" s="372" t="n">
        <v>0</v>
      </c>
      <c r="L1016" s="373" t="n">
        <v>0</v>
      </c>
      <c r="M1016" s="358" t="n">
        <v>0</v>
      </c>
      <c r="N1016" s="358" t="n">
        <v>0</v>
      </c>
      <c r="O1016" s="372" t="n">
        <v>0</v>
      </c>
      <c r="P1016" s="373" t="n">
        <v>0</v>
      </c>
      <c r="Q1016" s="358" t="n">
        <v>0</v>
      </c>
      <c r="R1016" s="358" t="n">
        <v>0</v>
      </c>
      <c r="S1016" s="372" t="n">
        <v>0</v>
      </c>
      <c r="T1016" s="373" t="n">
        <v>0</v>
      </c>
      <c r="U1016" s="358" t="n">
        <v>0</v>
      </c>
      <c r="V1016" s="358" t="n">
        <v>0</v>
      </c>
      <c r="W1016" s="372" t="n">
        <v>0</v>
      </c>
      <c r="X1016" s="373" t="n">
        <v>0</v>
      </c>
      <c r="Y1016" s="358" t="n">
        <v>0</v>
      </c>
      <c r="Z1016" s="358" t="n">
        <v>0</v>
      </c>
      <c r="AA1016" s="358" t="n">
        <v>0</v>
      </c>
      <c r="AB1016" s="373" t="n">
        <v>0</v>
      </c>
      <c r="AC1016" s="358" t="n">
        <v>0</v>
      </c>
      <c r="AD1016" s="358" t="n">
        <v>0</v>
      </c>
      <c r="AE1016" s="358" t="n">
        <v>0</v>
      </c>
      <c r="AF1016" s="359" t="n">
        <v>1</v>
      </c>
    </row>
    <row r="1017" customFormat="false" ht="15" hidden="true" customHeight="false" outlineLevel="0" collapsed="false">
      <c r="B1017" s="360" t="s">
        <v>3475</v>
      </c>
      <c r="C1017" s="359" t="n">
        <v>1</v>
      </c>
      <c r="D1017" s="358" t="n">
        <v>0</v>
      </c>
      <c r="E1017" s="358" t="n">
        <v>0</v>
      </c>
      <c r="F1017" s="358" t="n">
        <v>0</v>
      </c>
      <c r="G1017" s="372" t="n">
        <v>0</v>
      </c>
      <c r="H1017" s="373" t="n">
        <v>0</v>
      </c>
      <c r="I1017" s="358" t="n">
        <v>0</v>
      </c>
      <c r="J1017" s="358" t="n">
        <v>0</v>
      </c>
      <c r="K1017" s="372" t="n">
        <v>0</v>
      </c>
      <c r="L1017" s="373" t="n">
        <v>0</v>
      </c>
      <c r="M1017" s="358" t="n">
        <v>0</v>
      </c>
      <c r="N1017" s="358" t="n">
        <v>0</v>
      </c>
      <c r="O1017" s="372" t="n">
        <v>0</v>
      </c>
      <c r="P1017" s="373" t="n">
        <v>0</v>
      </c>
      <c r="Q1017" s="358" t="n">
        <v>0</v>
      </c>
      <c r="R1017" s="358" t="n">
        <v>0</v>
      </c>
      <c r="S1017" s="372" t="n">
        <v>0</v>
      </c>
      <c r="T1017" s="373" t="n">
        <v>0</v>
      </c>
      <c r="U1017" s="358" t="n">
        <v>0</v>
      </c>
      <c r="V1017" s="358" t="n">
        <v>0</v>
      </c>
      <c r="W1017" s="372" t="n">
        <v>0</v>
      </c>
      <c r="X1017" s="373" t="n">
        <v>0</v>
      </c>
      <c r="Y1017" s="358" t="n">
        <v>0</v>
      </c>
      <c r="Z1017" s="358" t="n">
        <v>0</v>
      </c>
      <c r="AA1017" s="358" t="n">
        <v>0</v>
      </c>
      <c r="AB1017" s="373" t="n">
        <v>0</v>
      </c>
      <c r="AC1017" s="358" t="n">
        <v>0</v>
      </c>
      <c r="AD1017" s="358" t="n">
        <v>0</v>
      </c>
      <c r="AE1017" s="358" t="n">
        <v>0</v>
      </c>
      <c r="AF1017" s="359" t="n">
        <v>1</v>
      </c>
    </row>
    <row r="1018" customFormat="false" ht="15" hidden="true" customHeight="false" outlineLevel="0" collapsed="false">
      <c r="B1018" s="360" t="s">
        <v>3476</v>
      </c>
      <c r="C1018" s="359" t="n">
        <v>1</v>
      </c>
      <c r="D1018" s="358" t="n">
        <v>0</v>
      </c>
      <c r="E1018" s="358" t="n">
        <v>0</v>
      </c>
      <c r="F1018" s="358" t="n">
        <v>0</v>
      </c>
      <c r="G1018" s="372" t="n">
        <v>0</v>
      </c>
      <c r="H1018" s="373" t="n">
        <v>0</v>
      </c>
      <c r="I1018" s="358" t="n">
        <v>0</v>
      </c>
      <c r="J1018" s="358" t="n">
        <v>0</v>
      </c>
      <c r="K1018" s="372" t="n">
        <v>0</v>
      </c>
      <c r="L1018" s="373" t="n">
        <v>0</v>
      </c>
      <c r="M1018" s="358" t="n">
        <v>0</v>
      </c>
      <c r="N1018" s="358" t="n">
        <v>0</v>
      </c>
      <c r="O1018" s="372" t="n">
        <v>0</v>
      </c>
      <c r="P1018" s="373" t="n">
        <v>0</v>
      </c>
      <c r="Q1018" s="358" t="n">
        <v>0</v>
      </c>
      <c r="R1018" s="358" t="n">
        <v>0</v>
      </c>
      <c r="S1018" s="372" t="n">
        <v>0</v>
      </c>
      <c r="T1018" s="373" t="n">
        <v>0</v>
      </c>
      <c r="U1018" s="358" t="n">
        <v>0</v>
      </c>
      <c r="V1018" s="358" t="n">
        <v>0</v>
      </c>
      <c r="W1018" s="372" t="n">
        <v>0</v>
      </c>
      <c r="X1018" s="373" t="n">
        <v>0</v>
      </c>
      <c r="Y1018" s="358" t="n">
        <v>0</v>
      </c>
      <c r="Z1018" s="358" t="n">
        <v>0</v>
      </c>
      <c r="AA1018" s="358" t="n">
        <v>0</v>
      </c>
      <c r="AB1018" s="373" t="n">
        <v>0</v>
      </c>
      <c r="AC1018" s="358" t="n">
        <v>0</v>
      </c>
      <c r="AD1018" s="358" t="n">
        <v>0</v>
      </c>
      <c r="AE1018" s="358" t="n">
        <v>0</v>
      </c>
      <c r="AF1018" s="359" t="n">
        <v>1</v>
      </c>
    </row>
    <row r="1019" customFormat="false" ht="15" hidden="true" customHeight="false" outlineLevel="0" collapsed="false">
      <c r="B1019" s="360" t="s">
        <v>3477</v>
      </c>
      <c r="C1019" s="359" t="n">
        <v>1</v>
      </c>
      <c r="D1019" s="358" t="n">
        <v>0</v>
      </c>
      <c r="E1019" s="358" t="n">
        <v>0</v>
      </c>
      <c r="F1019" s="358" t="n">
        <v>0</v>
      </c>
      <c r="G1019" s="372" t="n">
        <v>0</v>
      </c>
      <c r="H1019" s="373" t="n">
        <v>0</v>
      </c>
      <c r="I1019" s="358" t="n">
        <v>0</v>
      </c>
      <c r="J1019" s="358" t="n">
        <v>0</v>
      </c>
      <c r="K1019" s="372" t="n">
        <v>0</v>
      </c>
      <c r="L1019" s="373" t="n">
        <v>0</v>
      </c>
      <c r="M1019" s="358" t="n">
        <v>0</v>
      </c>
      <c r="N1019" s="358" t="n">
        <v>0</v>
      </c>
      <c r="O1019" s="372" t="n">
        <v>0</v>
      </c>
      <c r="P1019" s="373" t="n">
        <v>0</v>
      </c>
      <c r="Q1019" s="358" t="n">
        <v>0</v>
      </c>
      <c r="R1019" s="358" t="n">
        <v>0</v>
      </c>
      <c r="S1019" s="372" t="n">
        <v>0</v>
      </c>
      <c r="T1019" s="373" t="n">
        <v>0</v>
      </c>
      <c r="U1019" s="358" t="n">
        <v>0</v>
      </c>
      <c r="V1019" s="358" t="n">
        <v>0</v>
      </c>
      <c r="W1019" s="372" t="n">
        <v>0</v>
      </c>
      <c r="X1019" s="373" t="n">
        <v>0</v>
      </c>
      <c r="Y1019" s="358" t="n">
        <v>0</v>
      </c>
      <c r="Z1019" s="358" t="n">
        <v>0</v>
      </c>
      <c r="AA1019" s="358" t="n">
        <v>0</v>
      </c>
      <c r="AB1019" s="373" t="n">
        <v>0</v>
      </c>
      <c r="AC1019" s="358" t="n">
        <v>0</v>
      </c>
      <c r="AD1019" s="358" t="n">
        <v>0</v>
      </c>
      <c r="AE1019" s="358" t="n">
        <v>0</v>
      </c>
      <c r="AF1019" s="359" t="n">
        <v>1</v>
      </c>
    </row>
    <row r="1020" customFormat="false" ht="15" hidden="true" customHeight="false" outlineLevel="0" collapsed="false">
      <c r="B1020" s="360" t="s">
        <v>3478</v>
      </c>
      <c r="C1020" s="359" t="n">
        <v>1</v>
      </c>
      <c r="D1020" s="358" t="n">
        <v>0</v>
      </c>
      <c r="E1020" s="358" t="n">
        <v>0</v>
      </c>
      <c r="F1020" s="358" t="n">
        <v>0</v>
      </c>
      <c r="G1020" s="372" t="n">
        <v>0</v>
      </c>
      <c r="H1020" s="373" t="n">
        <v>0</v>
      </c>
      <c r="I1020" s="358" t="n">
        <v>0</v>
      </c>
      <c r="J1020" s="358" t="n">
        <v>0</v>
      </c>
      <c r="K1020" s="372" t="n">
        <v>0</v>
      </c>
      <c r="L1020" s="373" t="n">
        <v>0</v>
      </c>
      <c r="M1020" s="358" t="n">
        <v>0</v>
      </c>
      <c r="N1020" s="358" t="n">
        <v>0</v>
      </c>
      <c r="O1020" s="372" t="n">
        <v>0</v>
      </c>
      <c r="P1020" s="373" t="n">
        <v>0</v>
      </c>
      <c r="Q1020" s="358" t="n">
        <v>0</v>
      </c>
      <c r="R1020" s="358" t="n">
        <v>0</v>
      </c>
      <c r="S1020" s="372" t="n">
        <v>0</v>
      </c>
      <c r="T1020" s="373" t="n">
        <v>0</v>
      </c>
      <c r="U1020" s="358" t="n">
        <v>0</v>
      </c>
      <c r="V1020" s="358" t="n">
        <v>0</v>
      </c>
      <c r="W1020" s="372" t="n">
        <v>0</v>
      </c>
      <c r="X1020" s="373" t="n">
        <v>0</v>
      </c>
      <c r="Y1020" s="358" t="n">
        <v>0</v>
      </c>
      <c r="Z1020" s="358" t="n">
        <v>0</v>
      </c>
      <c r="AA1020" s="358" t="n">
        <v>0</v>
      </c>
      <c r="AB1020" s="373" t="n">
        <v>0</v>
      </c>
      <c r="AC1020" s="358" t="n">
        <v>0</v>
      </c>
      <c r="AD1020" s="358" t="n">
        <v>0</v>
      </c>
      <c r="AE1020" s="358" t="n">
        <v>0</v>
      </c>
      <c r="AF1020" s="359" t="n">
        <v>1</v>
      </c>
    </row>
    <row r="1021" customFormat="false" ht="15" hidden="true" customHeight="false" outlineLevel="0" collapsed="false">
      <c r="B1021" s="360" t="s">
        <v>3479</v>
      </c>
      <c r="C1021" s="359" t="n">
        <v>1</v>
      </c>
      <c r="D1021" s="358" t="n">
        <v>0</v>
      </c>
      <c r="E1021" s="358" t="n">
        <v>0</v>
      </c>
      <c r="F1021" s="358" t="n">
        <v>0</v>
      </c>
      <c r="G1021" s="372" t="n">
        <v>0</v>
      </c>
      <c r="H1021" s="373" t="n">
        <v>0</v>
      </c>
      <c r="I1021" s="358" t="n">
        <v>0</v>
      </c>
      <c r="J1021" s="358" t="n">
        <v>0</v>
      </c>
      <c r="K1021" s="372" t="n">
        <v>0</v>
      </c>
      <c r="L1021" s="373" t="n">
        <v>0</v>
      </c>
      <c r="M1021" s="358" t="n">
        <v>0</v>
      </c>
      <c r="N1021" s="358" t="n">
        <v>0</v>
      </c>
      <c r="O1021" s="372" t="n">
        <v>0</v>
      </c>
      <c r="P1021" s="373" t="n">
        <v>0</v>
      </c>
      <c r="Q1021" s="358" t="n">
        <v>0</v>
      </c>
      <c r="R1021" s="358" t="n">
        <v>0</v>
      </c>
      <c r="S1021" s="372" t="n">
        <v>0</v>
      </c>
      <c r="T1021" s="373" t="n">
        <v>0</v>
      </c>
      <c r="U1021" s="358" t="n">
        <v>0</v>
      </c>
      <c r="V1021" s="358" t="n">
        <v>0</v>
      </c>
      <c r="W1021" s="372" t="n">
        <v>0</v>
      </c>
      <c r="X1021" s="373" t="n">
        <v>0</v>
      </c>
      <c r="Y1021" s="358" t="n">
        <v>0</v>
      </c>
      <c r="Z1021" s="358" t="n">
        <v>0</v>
      </c>
      <c r="AA1021" s="358" t="n">
        <v>0</v>
      </c>
      <c r="AB1021" s="373" t="n">
        <v>0</v>
      </c>
      <c r="AC1021" s="358" t="n">
        <v>0</v>
      </c>
      <c r="AD1021" s="358" t="n">
        <v>0</v>
      </c>
      <c r="AE1021" s="358" t="n">
        <v>0</v>
      </c>
      <c r="AF1021" s="359" t="n">
        <v>1</v>
      </c>
    </row>
    <row r="1022" customFormat="false" ht="15" hidden="true" customHeight="false" outlineLevel="0" collapsed="false">
      <c r="B1022" s="360" t="s">
        <v>3480</v>
      </c>
      <c r="C1022" s="359" t="n">
        <v>1</v>
      </c>
      <c r="D1022" s="358" t="n">
        <v>0</v>
      </c>
      <c r="E1022" s="358" t="n">
        <v>0</v>
      </c>
      <c r="F1022" s="358" t="n">
        <v>0</v>
      </c>
      <c r="G1022" s="372" t="n">
        <v>0</v>
      </c>
      <c r="H1022" s="373" t="n">
        <v>0</v>
      </c>
      <c r="I1022" s="358" t="n">
        <v>0</v>
      </c>
      <c r="J1022" s="358" t="n">
        <v>0</v>
      </c>
      <c r="K1022" s="372" t="n">
        <v>0</v>
      </c>
      <c r="L1022" s="373" t="n">
        <v>0</v>
      </c>
      <c r="M1022" s="358" t="n">
        <v>0</v>
      </c>
      <c r="N1022" s="358" t="n">
        <v>0</v>
      </c>
      <c r="O1022" s="372" t="n">
        <v>0</v>
      </c>
      <c r="P1022" s="373" t="n">
        <v>0</v>
      </c>
      <c r="Q1022" s="358" t="n">
        <v>0</v>
      </c>
      <c r="R1022" s="358" t="n">
        <v>0</v>
      </c>
      <c r="S1022" s="372" t="n">
        <v>0</v>
      </c>
      <c r="T1022" s="373" t="n">
        <v>0</v>
      </c>
      <c r="U1022" s="358" t="n">
        <v>0</v>
      </c>
      <c r="V1022" s="358" t="n">
        <v>0</v>
      </c>
      <c r="W1022" s="372" t="n">
        <v>0</v>
      </c>
      <c r="X1022" s="373" t="n">
        <v>0</v>
      </c>
      <c r="Y1022" s="358" t="n">
        <v>0</v>
      </c>
      <c r="Z1022" s="358" t="n">
        <v>0</v>
      </c>
      <c r="AA1022" s="358" t="n">
        <v>0</v>
      </c>
      <c r="AB1022" s="373" t="n">
        <v>0</v>
      </c>
      <c r="AC1022" s="358" t="n">
        <v>0</v>
      </c>
      <c r="AD1022" s="358" t="n">
        <v>0</v>
      </c>
      <c r="AE1022" s="358" t="n">
        <v>0</v>
      </c>
      <c r="AF1022" s="359" t="n">
        <v>1</v>
      </c>
    </row>
    <row r="1023" customFormat="false" ht="15" hidden="true" customHeight="false" outlineLevel="0" collapsed="false">
      <c r="B1023" s="360" t="s">
        <v>3481</v>
      </c>
      <c r="C1023" s="359" t="n">
        <v>1</v>
      </c>
      <c r="D1023" s="358" t="n">
        <v>0</v>
      </c>
      <c r="E1023" s="358" t="n">
        <v>0</v>
      </c>
      <c r="F1023" s="358" t="n">
        <v>0</v>
      </c>
      <c r="G1023" s="372" t="n">
        <v>0</v>
      </c>
      <c r="H1023" s="373" t="n">
        <v>0</v>
      </c>
      <c r="I1023" s="358" t="n">
        <v>0</v>
      </c>
      <c r="J1023" s="358" t="n">
        <v>0</v>
      </c>
      <c r="K1023" s="372" t="n">
        <v>0</v>
      </c>
      <c r="L1023" s="373" t="n">
        <v>0</v>
      </c>
      <c r="M1023" s="358" t="n">
        <v>0</v>
      </c>
      <c r="N1023" s="358" t="n">
        <v>0</v>
      </c>
      <c r="O1023" s="372" t="n">
        <v>0</v>
      </c>
      <c r="P1023" s="373" t="n">
        <v>0</v>
      </c>
      <c r="Q1023" s="358" t="n">
        <v>0</v>
      </c>
      <c r="R1023" s="358" t="n">
        <v>0</v>
      </c>
      <c r="S1023" s="372" t="n">
        <v>0</v>
      </c>
      <c r="T1023" s="373" t="n">
        <v>0</v>
      </c>
      <c r="U1023" s="358" t="n">
        <v>0</v>
      </c>
      <c r="V1023" s="358" t="n">
        <v>0</v>
      </c>
      <c r="W1023" s="372" t="n">
        <v>0</v>
      </c>
      <c r="X1023" s="373" t="n">
        <v>0</v>
      </c>
      <c r="Y1023" s="358" t="n">
        <v>0</v>
      </c>
      <c r="Z1023" s="358" t="n">
        <v>0</v>
      </c>
      <c r="AA1023" s="358" t="n">
        <v>0</v>
      </c>
      <c r="AB1023" s="373" t="n">
        <v>0</v>
      </c>
      <c r="AC1023" s="358" t="n">
        <v>0</v>
      </c>
      <c r="AD1023" s="358" t="n">
        <v>0</v>
      </c>
      <c r="AE1023" s="358" t="n">
        <v>0</v>
      </c>
      <c r="AF1023" s="359" t="n">
        <v>1</v>
      </c>
    </row>
    <row r="1024" customFormat="false" ht="15" hidden="true" customHeight="false" outlineLevel="0" collapsed="false">
      <c r="B1024" s="360" t="s">
        <v>3482</v>
      </c>
      <c r="C1024" s="359" t="n">
        <v>1</v>
      </c>
      <c r="D1024" s="358" t="n">
        <v>0</v>
      </c>
      <c r="E1024" s="358" t="n">
        <v>0</v>
      </c>
      <c r="F1024" s="358" t="n">
        <v>0</v>
      </c>
      <c r="G1024" s="372" t="n">
        <v>0</v>
      </c>
      <c r="H1024" s="373" t="n">
        <v>0</v>
      </c>
      <c r="I1024" s="358" t="n">
        <v>0</v>
      </c>
      <c r="J1024" s="358" t="n">
        <v>0</v>
      </c>
      <c r="K1024" s="372" t="n">
        <v>0</v>
      </c>
      <c r="L1024" s="373" t="n">
        <v>0</v>
      </c>
      <c r="M1024" s="358" t="n">
        <v>0</v>
      </c>
      <c r="N1024" s="358" t="n">
        <v>0</v>
      </c>
      <c r="O1024" s="372" t="n">
        <v>0</v>
      </c>
      <c r="P1024" s="373" t="n">
        <v>0</v>
      </c>
      <c r="Q1024" s="358" t="n">
        <v>0</v>
      </c>
      <c r="R1024" s="358" t="n">
        <v>0</v>
      </c>
      <c r="S1024" s="372" t="n">
        <v>0</v>
      </c>
      <c r="T1024" s="373" t="n">
        <v>0</v>
      </c>
      <c r="U1024" s="358" t="n">
        <v>0</v>
      </c>
      <c r="V1024" s="358" t="n">
        <v>0</v>
      </c>
      <c r="W1024" s="372" t="n">
        <v>0</v>
      </c>
      <c r="X1024" s="373" t="n">
        <v>0</v>
      </c>
      <c r="Y1024" s="358" t="n">
        <v>0</v>
      </c>
      <c r="Z1024" s="358" t="n">
        <v>0</v>
      </c>
      <c r="AA1024" s="358" t="n">
        <v>0</v>
      </c>
      <c r="AB1024" s="373" t="n">
        <v>0</v>
      </c>
      <c r="AC1024" s="358" t="n">
        <v>0</v>
      </c>
      <c r="AD1024" s="358" t="n">
        <v>0</v>
      </c>
      <c r="AE1024" s="358" t="n">
        <v>0</v>
      </c>
      <c r="AF1024" s="359" t="n">
        <v>1</v>
      </c>
    </row>
    <row r="1025" customFormat="false" ht="15" hidden="true" customHeight="false" outlineLevel="0" collapsed="false">
      <c r="B1025" s="360" t="s">
        <v>3483</v>
      </c>
      <c r="C1025" s="359" t="n">
        <v>1</v>
      </c>
      <c r="D1025" s="358" t="n">
        <v>0</v>
      </c>
      <c r="E1025" s="358" t="n">
        <v>0</v>
      </c>
      <c r="F1025" s="358" t="n">
        <v>0</v>
      </c>
      <c r="G1025" s="372" t="n">
        <v>0</v>
      </c>
      <c r="H1025" s="373" t="n">
        <v>0</v>
      </c>
      <c r="I1025" s="358" t="n">
        <v>0</v>
      </c>
      <c r="J1025" s="358" t="n">
        <v>0</v>
      </c>
      <c r="K1025" s="372" t="n">
        <v>0</v>
      </c>
      <c r="L1025" s="373" t="n">
        <v>0</v>
      </c>
      <c r="M1025" s="358" t="n">
        <v>0</v>
      </c>
      <c r="N1025" s="358" t="n">
        <v>0</v>
      </c>
      <c r="O1025" s="372" t="n">
        <v>0</v>
      </c>
      <c r="P1025" s="373" t="n">
        <v>0</v>
      </c>
      <c r="Q1025" s="358" t="n">
        <v>0</v>
      </c>
      <c r="R1025" s="358" t="n">
        <v>0</v>
      </c>
      <c r="S1025" s="372" t="n">
        <v>0</v>
      </c>
      <c r="T1025" s="373" t="n">
        <v>0</v>
      </c>
      <c r="U1025" s="358" t="n">
        <v>0</v>
      </c>
      <c r="V1025" s="358" t="n">
        <v>0</v>
      </c>
      <c r="W1025" s="372" t="n">
        <v>0</v>
      </c>
      <c r="X1025" s="373" t="n">
        <v>0</v>
      </c>
      <c r="Y1025" s="358" t="n">
        <v>0</v>
      </c>
      <c r="Z1025" s="358" t="n">
        <v>0</v>
      </c>
      <c r="AA1025" s="358" t="n">
        <v>0</v>
      </c>
      <c r="AB1025" s="373" t="n">
        <v>0</v>
      </c>
      <c r="AC1025" s="358" t="n">
        <v>0</v>
      </c>
      <c r="AD1025" s="358" t="n">
        <v>0</v>
      </c>
      <c r="AE1025" s="358" t="n">
        <v>0</v>
      </c>
      <c r="AF1025" s="359" t="n">
        <v>1</v>
      </c>
    </row>
    <row r="1026" customFormat="false" ht="15" hidden="true" customHeight="false" outlineLevel="0" collapsed="false">
      <c r="B1026" s="360" t="s">
        <v>3484</v>
      </c>
      <c r="C1026" s="359" t="n">
        <v>1</v>
      </c>
      <c r="D1026" s="358" t="n">
        <v>0</v>
      </c>
      <c r="E1026" s="358" t="n">
        <v>0</v>
      </c>
      <c r="F1026" s="358" t="n">
        <v>0</v>
      </c>
      <c r="G1026" s="372" t="n">
        <v>0</v>
      </c>
      <c r="H1026" s="373" t="n">
        <v>0</v>
      </c>
      <c r="I1026" s="358" t="n">
        <v>0</v>
      </c>
      <c r="J1026" s="358" t="n">
        <v>0</v>
      </c>
      <c r="K1026" s="372" t="n">
        <v>0</v>
      </c>
      <c r="L1026" s="373" t="n">
        <v>0</v>
      </c>
      <c r="M1026" s="358" t="n">
        <v>0</v>
      </c>
      <c r="N1026" s="358" t="n">
        <v>0</v>
      </c>
      <c r="O1026" s="372" t="n">
        <v>0</v>
      </c>
      <c r="P1026" s="373" t="n">
        <v>0</v>
      </c>
      <c r="Q1026" s="358" t="n">
        <v>0</v>
      </c>
      <c r="R1026" s="358" t="n">
        <v>0</v>
      </c>
      <c r="S1026" s="372" t="n">
        <v>0</v>
      </c>
      <c r="T1026" s="373" t="n">
        <v>0</v>
      </c>
      <c r="U1026" s="358" t="n">
        <v>0</v>
      </c>
      <c r="V1026" s="358" t="n">
        <v>0</v>
      </c>
      <c r="W1026" s="372" t="n">
        <v>0</v>
      </c>
      <c r="X1026" s="373" t="n">
        <v>0</v>
      </c>
      <c r="Y1026" s="358" t="n">
        <v>0</v>
      </c>
      <c r="Z1026" s="358" t="n">
        <v>0</v>
      </c>
      <c r="AA1026" s="358" t="n">
        <v>0</v>
      </c>
      <c r="AB1026" s="373" t="n">
        <v>0</v>
      </c>
      <c r="AC1026" s="358" t="n">
        <v>0</v>
      </c>
      <c r="AD1026" s="358" t="n">
        <v>0</v>
      </c>
      <c r="AE1026" s="358" t="n">
        <v>0</v>
      </c>
      <c r="AF1026" s="359" t="n">
        <v>1</v>
      </c>
    </row>
    <row r="1027" customFormat="false" ht="15" hidden="true" customHeight="false" outlineLevel="0" collapsed="false">
      <c r="B1027" s="360" t="s">
        <v>3485</v>
      </c>
      <c r="C1027" s="359" t="n">
        <v>1</v>
      </c>
      <c r="D1027" s="358" t="n">
        <v>0</v>
      </c>
      <c r="E1027" s="358" t="n">
        <v>0</v>
      </c>
      <c r="F1027" s="358" t="n">
        <v>0</v>
      </c>
      <c r="G1027" s="372" t="n">
        <v>0</v>
      </c>
      <c r="H1027" s="373" t="n">
        <v>0</v>
      </c>
      <c r="I1027" s="358" t="n">
        <v>0</v>
      </c>
      <c r="J1027" s="358" t="n">
        <v>0</v>
      </c>
      <c r="K1027" s="372" t="n">
        <v>0</v>
      </c>
      <c r="L1027" s="373" t="n">
        <v>0</v>
      </c>
      <c r="M1027" s="358" t="n">
        <v>0</v>
      </c>
      <c r="N1027" s="358" t="n">
        <v>0</v>
      </c>
      <c r="O1027" s="372" t="n">
        <v>0</v>
      </c>
      <c r="P1027" s="373" t="n">
        <v>0</v>
      </c>
      <c r="Q1027" s="358" t="n">
        <v>0</v>
      </c>
      <c r="R1027" s="358" t="n">
        <v>0</v>
      </c>
      <c r="S1027" s="372" t="n">
        <v>0</v>
      </c>
      <c r="T1027" s="373" t="n">
        <v>0</v>
      </c>
      <c r="U1027" s="358" t="n">
        <v>0</v>
      </c>
      <c r="V1027" s="358" t="n">
        <v>0</v>
      </c>
      <c r="W1027" s="372" t="n">
        <v>0</v>
      </c>
      <c r="X1027" s="373" t="n">
        <v>0</v>
      </c>
      <c r="Y1027" s="358" t="n">
        <v>0</v>
      </c>
      <c r="Z1027" s="358" t="n">
        <v>0</v>
      </c>
      <c r="AA1027" s="358" t="n">
        <v>0</v>
      </c>
      <c r="AB1027" s="373" t="n">
        <v>0</v>
      </c>
      <c r="AC1027" s="358" t="n">
        <v>0</v>
      </c>
      <c r="AD1027" s="358" t="n">
        <v>0</v>
      </c>
      <c r="AE1027" s="358" t="n">
        <v>0</v>
      </c>
      <c r="AF1027" s="359" t="n">
        <v>1</v>
      </c>
    </row>
    <row r="1028" customFormat="false" ht="15" hidden="true" customHeight="false" outlineLevel="0" collapsed="false">
      <c r="B1028" s="360" t="s">
        <v>3486</v>
      </c>
      <c r="C1028" s="359" t="n">
        <v>1</v>
      </c>
      <c r="D1028" s="358" t="n">
        <v>0</v>
      </c>
      <c r="E1028" s="358" t="n">
        <v>0</v>
      </c>
      <c r="F1028" s="358" t="n">
        <v>0</v>
      </c>
      <c r="G1028" s="372" t="n">
        <v>0</v>
      </c>
      <c r="H1028" s="373" t="n">
        <v>0</v>
      </c>
      <c r="I1028" s="358" t="n">
        <v>0</v>
      </c>
      <c r="J1028" s="358" t="n">
        <v>0</v>
      </c>
      <c r="K1028" s="372" t="n">
        <v>0</v>
      </c>
      <c r="L1028" s="373" t="n">
        <v>0</v>
      </c>
      <c r="M1028" s="358" t="n">
        <v>0</v>
      </c>
      <c r="N1028" s="358" t="n">
        <v>0</v>
      </c>
      <c r="O1028" s="372" t="n">
        <v>0</v>
      </c>
      <c r="P1028" s="373" t="n">
        <v>0</v>
      </c>
      <c r="Q1028" s="358" t="n">
        <v>0</v>
      </c>
      <c r="R1028" s="358" t="n">
        <v>0</v>
      </c>
      <c r="S1028" s="372" t="n">
        <v>0</v>
      </c>
      <c r="T1028" s="373" t="n">
        <v>0</v>
      </c>
      <c r="U1028" s="358" t="n">
        <v>0</v>
      </c>
      <c r="V1028" s="358" t="n">
        <v>0</v>
      </c>
      <c r="W1028" s="372" t="n">
        <v>0</v>
      </c>
      <c r="X1028" s="373" t="n">
        <v>0</v>
      </c>
      <c r="Y1028" s="358" t="n">
        <v>0</v>
      </c>
      <c r="Z1028" s="358" t="n">
        <v>0</v>
      </c>
      <c r="AA1028" s="358" t="n">
        <v>0</v>
      </c>
      <c r="AB1028" s="373" t="n">
        <v>0</v>
      </c>
      <c r="AC1028" s="358" t="n">
        <v>0</v>
      </c>
      <c r="AD1028" s="358" t="n">
        <v>0</v>
      </c>
      <c r="AE1028" s="358" t="n">
        <v>0</v>
      </c>
      <c r="AF1028" s="359" t="n">
        <v>1</v>
      </c>
    </row>
    <row r="1029" customFormat="false" ht="15" hidden="true" customHeight="false" outlineLevel="0" collapsed="false">
      <c r="B1029" s="360" t="s">
        <v>3487</v>
      </c>
      <c r="C1029" s="359" t="n">
        <v>1</v>
      </c>
      <c r="D1029" s="358" t="n">
        <v>0</v>
      </c>
      <c r="E1029" s="358" t="n">
        <v>0</v>
      </c>
      <c r="F1029" s="358" t="n">
        <v>0</v>
      </c>
      <c r="G1029" s="372" t="n">
        <v>0</v>
      </c>
      <c r="H1029" s="373" t="n">
        <v>0</v>
      </c>
      <c r="I1029" s="358" t="n">
        <v>0</v>
      </c>
      <c r="J1029" s="358" t="n">
        <v>0</v>
      </c>
      <c r="K1029" s="372" t="n">
        <v>0</v>
      </c>
      <c r="L1029" s="373" t="n">
        <v>0</v>
      </c>
      <c r="M1029" s="358" t="n">
        <v>0</v>
      </c>
      <c r="N1029" s="358" t="n">
        <v>0</v>
      </c>
      <c r="O1029" s="372" t="n">
        <v>0</v>
      </c>
      <c r="P1029" s="373" t="n">
        <v>0</v>
      </c>
      <c r="Q1029" s="358" t="n">
        <v>0</v>
      </c>
      <c r="R1029" s="358" t="n">
        <v>0</v>
      </c>
      <c r="S1029" s="372" t="n">
        <v>0</v>
      </c>
      <c r="T1029" s="373" t="n">
        <v>0</v>
      </c>
      <c r="U1029" s="358" t="n">
        <v>0</v>
      </c>
      <c r="V1029" s="358" t="n">
        <v>0</v>
      </c>
      <c r="W1029" s="372" t="n">
        <v>0</v>
      </c>
      <c r="X1029" s="373" t="n">
        <v>0</v>
      </c>
      <c r="Y1029" s="358" t="n">
        <v>0</v>
      </c>
      <c r="Z1029" s="358" t="n">
        <v>0</v>
      </c>
      <c r="AA1029" s="358" t="n">
        <v>0</v>
      </c>
      <c r="AB1029" s="373" t="n">
        <v>0</v>
      </c>
      <c r="AC1029" s="358" t="n">
        <v>0</v>
      </c>
      <c r="AD1029" s="358" t="n">
        <v>0</v>
      </c>
      <c r="AE1029" s="358" t="n">
        <v>0</v>
      </c>
      <c r="AF1029" s="359" t="n">
        <v>1</v>
      </c>
    </row>
    <row r="1030" customFormat="false" ht="15" hidden="true" customHeight="false" outlineLevel="0" collapsed="false">
      <c r="B1030" s="360" t="s">
        <v>3488</v>
      </c>
      <c r="C1030" s="359" t="n">
        <v>1</v>
      </c>
      <c r="D1030" s="358" t="n">
        <v>0</v>
      </c>
      <c r="E1030" s="358" t="n">
        <v>-1</v>
      </c>
      <c r="F1030" s="358" t="n">
        <v>0</v>
      </c>
      <c r="G1030" s="372" t="n">
        <v>0</v>
      </c>
      <c r="H1030" s="373" t="n">
        <v>0</v>
      </c>
      <c r="I1030" s="358" t="n">
        <v>0</v>
      </c>
      <c r="J1030" s="358" t="n">
        <v>0</v>
      </c>
      <c r="K1030" s="372" t="n">
        <v>0</v>
      </c>
      <c r="L1030" s="373" t="n">
        <v>0</v>
      </c>
      <c r="M1030" s="358" t="n">
        <v>0</v>
      </c>
      <c r="N1030" s="358" t="n">
        <v>0</v>
      </c>
      <c r="O1030" s="372" t="n">
        <v>0</v>
      </c>
      <c r="P1030" s="373" t="n">
        <v>0</v>
      </c>
      <c r="Q1030" s="358" t="n">
        <v>0</v>
      </c>
      <c r="R1030" s="358" t="n">
        <v>0</v>
      </c>
      <c r="S1030" s="372" t="n">
        <v>0</v>
      </c>
      <c r="T1030" s="373" t="n">
        <v>0</v>
      </c>
      <c r="U1030" s="358" t="n">
        <v>0</v>
      </c>
      <c r="V1030" s="358" t="n">
        <v>0</v>
      </c>
      <c r="W1030" s="372" t="n">
        <v>0</v>
      </c>
      <c r="X1030" s="373" t="n">
        <v>0</v>
      </c>
      <c r="Y1030" s="358" t="n">
        <v>0</v>
      </c>
      <c r="Z1030" s="358" t="n">
        <v>0</v>
      </c>
      <c r="AA1030" s="358" t="n">
        <v>0</v>
      </c>
      <c r="AB1030" s="373" t="n">
        <v>0</v>
      </c>
      <c r="AC1030" s="358" t="n">
        <v>-1</v>
      </c>
      <c r="AD1030" s="358" t="n">
        <v>0</v>
      </c>
      <c r="AE1030" s="358" t="n">
        <v>0</v>
      </c>
      <c r="AF1030" s="359" t="n">
        <v>0</v>
      </c>
    </row>
    <row r="1031" customFormat="false" ht="15" hidden="true" customHeight="false" outlineLevel="0" collapsed="false">
      <c r="B1031" s="360" t="s">
        <v>3489</v>
      </c>
      <c r="C1031" s="359" t="n">
        <v>1</v>
      </c>
      <c r="D1031" s="358" t="n">
        <v>0</v>
      </c>
      <c r="E1031" s="358" t="n">
        <v>0</v>
      </c>
      <c r="F1031" s="358" t="n">
        <v>0</v>
      </c>
      <c r="G1031" s="372" t="n">
        <v>0</v>
      </c>
      <c r="H1031" s="373" t="n">
        <v>0</v>
      </c>
      <c r="I1031" s="358" t="n">
        <v>0</v>
      </c>
      <c r="J1031" s="358" t="n">
        <v>0</v>
      </c>
      <c r="K1031" s="372" t="n">
        <v>0</v>
      </c>
      <c r="L1031" s="373" t="n">
        <v>0</v>
      </c>
      <c r="M1031" s="358" t="n">
        <v>0</v>
      </c>
      <c r="N1031" s="358" t="n">
        <v>0</v>
      </c>
      <c r="O1031" s="372" t="n">
        <v>0</v>
      </c>
      <c r="P1031" s="373" t="n">
        <v>0</v>
      </c>
      <c r="Q1031" s="358" t="n">
        <v>0</v>
      </c>
      <c r="R1031" s="358" t="n">
        <v>0</v>
      </c>
      <c r="S1031" s="372" t="n">
        <v>0</v>
      </c>
      <c r="T1031" s="373" t="n">
        <v>0</v>
      </c>
      <c r="U1031" s="358" t="n">
        <v>0</v>
      </c>
      <c r="V1031" s="358" t="n">
        <v>0</v>
      </c>
      <c r="W1031" s="372" t="n">
        <v>0</v>
      </c>
      <c r="X1031" s="373" t="n">
        <v>0</v>
      </c>
      <c r="Y1031" s="358" t="n">
        <v>0</v>
      </c>
      <c r="Z1031" s="358" t="n">
        <v>0</v>
      </c>
      <c r="AA1031" s="358" t="n">
        <v>0</v>
      </c>
      <c r="AB1031" s="373" t="n">
        <v>0</v>
      </c>
      <c r="AC1031" s="358" t="n">
        <v>0</v>
      </c>
      <c r="AD1031" s="358" t="n">
        <v>0</v>
      </c>
      <c r="AE1031" s="358" t="n">
        <v>0</v>
      </c>
      <c r="AF1031" s="359" t="n">
        <v>1</v>
      </c>
    </row>
    <row r="1032" customFormat="false" ht="15" hidden="true" customHeight="false" outlineLevel="0" collapsed="false">
      <c r="B1032" s="360" t="s">
        <v>3490</v>
      </c>
      <c r="C1032" s="359" t="n">
        <v>1</v>
      </c>
      <c r="D1032" s="358" t="n">
        <v>0</v>
      </c>
      <c r="E1032" s="358" t="n">
        <v>0</v>
      </c>
      <c r="F1032" s="358" t="n">
        <v>0</v>
      </c>
      <c r="G1032" s="372" t="n">
        <v>0</v>
      </c>
      <c r="H1032" s="373" t="n">
        <v>0</v>
      </c>
      <c r="I1032" s="358" t="n">
        <v>0</v>
      </c>
      <c r="J1032" s="358" t="n">
        <v>0</v>
      </c>
      <c r="K1032" s="372" t="n">
        <v>0</v>
      </c>
      <c r="L1032" s="373" t="n">
        <v>0</v>
      </c>
      <c r="M1032" s="358" t="n">
        <v>0</v>
      </c>
      <c r="N1032" s="358" t="n">
        <v>0</v>
      </c>
      <c r="O1032" s="372" t="n">
        <v>0</v>
      </c>
      <c r="P1032" s="373" t="n">
        <v>0</v>
      </c>
      <c r="Q1032" s="358" t="n">
        <v>0</v>
      </c>
      <c r="R1032" s="358" t="n">
        <v>0</v>
      </c>
      <c r="S1032" s="372" t="n">
        <v>0</v>
      </c>
      <c r="T1032" s="373" t="n">
        <v>0</v>
      </c>
      <c r="U1032" s="358" t="n">
        <v>0</v>
      </c>
      <c r="V1032" s="358" t="n">
        <v>0</v>
      </c>
      <c r="W1032" s="372" t="n">
        <v>0</v>
      </c>
      <c r="X1032" s="373" t="n">
        <v>0</v>
      </c>
      <c r="Y1032" s="358" t="n">
        <v>0</v>
      </c>
      <c r="Z1032" s="358" t="n">
        <v>0</v>
      </c>
      <c r="AA1032" s="358" t="n">
        <v>0</v>
      </c>
      <c r="AB1032" s="373" t="n">
        <v>0</v>
      </c>
      <c r="AC1032" s="358" t="n">
        <v>0</v>
      </c>
      <c r="AD1032" s="358" t="n">
        <v>0</v>
      </c>
      <c r="AE1032" s="358" t="n">
        <v>0</v>
      </c>
      <c r="AF1032" s="359" t="n">
        <v>1</v>
      </c>
    </row>
    <row r="1033" customFormat="false" ht="15" hidden="true" customHeight="false" outlineLevel="0" collapsed="false">
      <c r="B1033" s="360" t="s">
        <v>3491</v>
      </c>
      <c r="C1033" s="359" t="n">
        <v>1</v>
      </c>
      <c r="D1033" s="358" t="n">
        <v>0</v>
      </c>
      <c r="E1033" s="358" t="n">
        <v>0</v>
      </c>
      <c r="F1033" s="358" t="n">
        <v>0</v>
      </c>
      <c r="G1033" s="372" t="n">
        <v>0</v>
      </c>
      <c r="H1033" s="373" t="n">
        <v>0</v>
      </c>
      <c r="I1033" s="358" t="n">
        <v>0</v>
      </c>
      <c r="J1033" s="358" t="n">
        <v>0</v>
      </c>
      <c r="K1033" s="372" t="n">
        <v>0</v>
      </c>
      <c r="L1033" s="373" t="n">
        <v>0</v>
      </c>
      <c r="M1033" s="358" t="n">
        <v>0</v>
      </c>
      <c r="N1033" s="358" t="n">
        <v>0</v>
      </c>
      <c r="O1033" s="372" t="n">
        <v>0</v>
      </c>
      <c r="P1033" s="373" t="n">
        <v>0</v>
      </c>
      <c r="Q1033" s="358" t="n">
        <v>0</v>
      </c>
      <c r="R1033" s="358" t="n">
        <v>0</v>
      </c>
      <c r="S1033" s="372" t="n">
        <v>0</v>
      </c>
      <c r="T1033" s="373" t="n">
        <v>0</v>
      </c>
      <c r="U1033" s="358" t="n">
        <v>0</v>
      </c>
      <c r="V1033" s="358" t="n">
        <v>0</v>
      </c>
      <c r="W1033" s="372" t="n">
        <v>0</v>
      </c>
      <c r="X1033" s="373" t="n">
        <v>0</v>
      </c>
      <c r="Y1033" s="358" t="n">
        <v>0</v>
      </c>
      <c r="Z1033" s="358" t="n">
        <v>0</v>
      </c>
      <c r="AA1033" s="358" t="n">
        <v>0</v>
      </c>
      <c r="AB1033" s="373" t="n">
        <v>0</v>
      </c>
      <c r="AC1033" s="358" t="n">
        <v>0</v>
      </c>
      <c r="AD1033" s="358" t="n">
        <v>0</v>
      </c>
      <c r="AE1033" s="358" t="n">
        <v>0</v>
      </c>
      <c r="AF1033" s="359" t="n">
        <v>1</v>
      </c>
    </row>
    <row r="1034" customFormat="false" ht="15" hidden="true" customHeight="false" outlineLevel="0" collapsed="false">
      <c r="B1034" s="360" t="s">
        <v>3492</v>
      </c>
      <c r="C1034" s="359" t="n">
        <v>1</v>
      </c>
      <c r="D1034" s="358" t="n">
        <v>0</v>
      </c>
      <c r="E1034" s="358" t="n">
        <v>0</v>
      </c>
      <c r="F1034" s="358" t="n">
        <v>0</v>
      </c>
      <c r="G1034" s="372" t="n">
        <v>0</v>
      </c>
      <c r="H1034" s="373" t="n">
        <v>0</v>
      </c>
      <c r="I1034" s="358" t="n">
        <v>0</v>
      </c>
      <c r="J1034" s="358" t="n">
        <v>0</v>
      </c>
      <c r="K1034" s="372" t="n">
        <v>0</v>
      </c>
      <c r="L1034" s="373" t="n">
        <v>0</v>
      </c>
      <c r="M1034" s="358" t="n">
        <v>0</v>
      </c>
      <c r="N1034" s="358" t="n">
        <v>0</v>
      </c>
      <c r="O1034" s="372" t="n">
        <v>0</v>
      </c>
      <c r="P1034" s="373" t="n">
        <v>0</v>
      </c>
      <c r="Q1034" s="358" t="n">
        <v>0</v>
      </c>
      <c r="R1034" s="358" t="n">
        <v>0</v>
      </c>
      <c r="S1034" s="372" t="n">
        <v>0</v>
      </c>
      <c r="T1034" s="373" t="n">
        <v>0</v>
      </c>
      <c r="U1034" s="358" t="n">
        <v>0</v>
      </c>
      <c r="V1034" s="358" t="n">
        <v>0</v>
      </c>
      <c r="W1034" s="372" t="n">
        <v>0</v>
      </c>
      <c r="X1034" s="373" t="n">
        <v>0</v>
      </c>
      <c r="Y1034" s="358" t="n">
        <v>0</v>
      </c>
      <c r="Z1034" s="358" t="n">
        <v>0</v>
      </c>
      <c r="AA1034" s="358" t="n">
        <v>0</v>
      </c>
      <c r="AB1034" s="373" t="n">
        <v>0</v>
      </c>
      <c r="AC1034" s="358" t="n">
        <v>0</v>
      </c>
      <c r="AD1034" s="358" t="n">
        <v>0</v>
      </c>
      <c r="AE1034" s="358" t="n">
        <v>0</v>
      </c>
      <c r="AF1034" s="359" t="n">
        <v>1</v>
      </c>
    </row>
    <row r="1035" customFormat="false" ht="15" hidden="true" customHeight="false" outlineLevel="0" collapsed="false">
      <c r="B1035" s="360" t="s">
        <v>3493</v>
      </c>
      <c r="C1035" s="359" t="n">
        <v>1</v>
      </c>
      <c r="D1035" s="358" t="n">
        <v>0</v>
      </c>
      <c r="E1035" s="358" t="n">
        <v>0</v>
      </c>
      <c r="F1035" s="358" t="n">
        <v>0</v>
      </c>
      <c r="G1035" s="372" t="n">
        <v>0</v>
      </c>
      <c r="H1035" s="373" t="n">
        <v>0</v>
      </c>
      <c r="I1035" s="358" t="n">
        <v>0</v>
      </c>
      <c r="J1035" s="358" t="n">
        <v>0</v>
      </c>
      <c r="K1035" s="372" t="n">
        <v>0</v>
      </c>
      <c r="L1035" s="373" t="n">
        <v>0</v>
      </c>
      <c r="M1035" s="358" t="n">
        <v>0</v>
      </c>
      <c r="N1035" s="358" t="n">
        <v>0</v>
      </c>
      <c r="O1035" s="372" t="n">
        <v>0</v>
      </c>
      <c r="P1035" s="373" t="n">
        <v>0</v>
      </c>
      <c r="Q1035" s="358" t="n">
        <v>0</v>
      </c>
      <c r="R1035" s="358" t="n">
        <v>0</v>
      </c>
      <c r="S1035" s="372" t="n">
        <v>0</v>
      </c>
      <c r="T1035" s="373" t="n">
        <v>0</v>
      </c>
      <c r="U1035" s="358" t="n">
        <v>0</v>
      </c>
      <c r="V1035" s="358" t="n">
        <v>0</v>
      </c>
      <c r="W1035" s="372" t="n">
        <v>0</v>
      </c>
      <c r="X1035" s="373" t="n">
        <v>0</v>
      </c>
      <c r="Y1035" s="358" t="n">
        <v>0</v>
      </c>
      <c r="Z1035" s="358" t="n">
        <v>0</v>
      </c>
      <c r="AA1035" s="358" t="n">
        <v>0</v>
      </c>
      <c r="AB1035" s="373" t="n">
        <v>0</v>
      </c>
      <c r="AC1035" s="358" t="n">
        <v>0</v>
      </c>
      <c r="AD1035" s="358" t="n">
        <v>0</v>
      </c>
      <c r="AE1035" s="358" t="n">
        <v>0</v>
      </c>
      <c r="AF1035" s="359" t="n">
        <v>1</v>
      </c>
    </row>
    <row r="1036" customFormat="false" ht="15" hidden="true" customHeight="false" outlineLevel="0" collapsed="false">
      <c r="B1036" s="360" t="s">
        <v>3494</v>
      </c>
      <c r="C1036" s="359" t="n">
        <v>1</v>
      </c>
      <c r="D1036" s="358" t="n">
        <v>0</v>
      </c>
      <c r="E1036" s="358" t="n">
        <v>0</v>
      </c>
      <c r="F1036" s="358" t="n">
        <v>0</v>
      </c>
      <c r="G1036" s="372" t="n">
        <v>0</v>
      </c>
      <c r="H1036" s="373" t="n">
        <v>0</v>
      </c>
      <c r="I1036" s="358" t="n">
        <v>0</v>
      </c>
      <c r="J1036" s="358" t="n">
        <v>0</v>
      </c>
      <c r="K1036" s="372" t="n">
        <v>0</v>
      </c>
      <c r="L1036" s="373" t="n">
        <v>0</v>
      </c>
      <c r="M1036" s="358" t="n">
        <v>0</v>
      </c>
      <c r="N1036" s="358" t="n">
        <v>0</v>
      </c>
      <c r="O1036" s="372" t="n">
        <v>0</v>
      </c>
      <c r="P1036" s="373" t="n">
        <v>0</v>
      </c>
      <c r="Q1036" s="358" t="n">
        <v>0</v>
      </c>
      <c r="R1036" s="358" t="n">
        <v>0</v>
      </c>
      <c r="S1036" s="372" t="n">
        <v>0</v>
      </c>
      <c r="T1036" s="373" t="n">
        <v>0</v>
      </c>
      <c r="U1036" s="358" t="n">
        <v>0</v>
      </c>
      <c r="V1036" s="358" t="n">
        <v>0</v>
      </c>
      <c r="W1036" s="372" t="n">
        <v>0</v>
      </c>
      <c r="X1036" s="373" t="n">
        <v>0</v>
      </c>
      <c r="Y1036" s="358" t="n">
        <v>0</v>
      </c>
      <c r="Z1036" s="358" t="n">
        <v>0</v>
      </c>
      <c r="AA1036" s="358" t="n">
        <v>0</v>
      </c>
      <c r="AB1036" s="373" t="n">
        <v>0</v>
      </c>
      <c r="AC1036" s="358" t="n">
        <v>0</v>
      </c>
      <c r="AD1036" s="358" t="n">
        <v>0</v>
      </c>
      <c r="AE1036" s="358" t="n">
        <v>0</v>
      </c>
      <c r="AF1036" s="359" t="n">
        <v>1</v>
      </c>
    </row>
    <row r="1037" customFormat="false" ht="15" hidden="true" customHeight="false" outlineLevel="0" collapsed="false">
      <c r="B1037" s="360" t="s">
        <v>3495</v>
      </c>
      <c r="C1037" s="359" t="n">
        <v>1</v>
      </c>
      <c r="D1037" s="358" t="n">
        <v>0</v>
      </c>
      <c r="E1037" s="358" t="n">
        <v>0</v>
      </c>
      <c r="F1037" s="358" t="n">
        <v>0</v>
      </c>
      <c r="G1037" s="372" t="n">
        <v>0</v>
      </c>
      <c r="H1037" s="373" t="n">
        <v>0</v>
      </c>
      <c r="I1037" s="358" t="n">
        <v>0</v>
      </c>
      <c r="J1037" s="358" t="n">
        <v>0</v>
      </c>
      <c r="K1037" s="372" t="n">
        <v>0</v>
      </c>
      <c r="L1037" s="373" t="n">
        <v>0</v>
      </c>
      <c r="M1037" s="358" t="n">
        <v>0</v>
      </c>
      <c r="N1037" s="358" t="n">
        <v>0</v>
      </c>
      <c r="O1037" s="372" t="n">
        <v>0</v>
      </c>
      <c r="P1037" s="373" t="n">
        <v>0</v>
      </c>
      <c r="Q1037" s="358" t="n">
        <v>0</v>
      </c>
      <c r="R1037" s="358" t="n">
        <v>0</v>
      </c>
      <c r="S1037" s="372" t="n">
        <v>0</v>
      </c>
      <c r="T1037" s="373" t="n">
        <v>0</v>
      </c>
      <c r="U1037" s="358" t="n">
        <v>0</v>
      </c>
      <c r="V1037" s="358" t="n">
        <v>0</v>
      </c>
      <c r="W1037" s="372" t="n">
        <v>0</v>
      </c>
      <c r="X1037" s="373" t="n">
        <v>0</v>
      </c>
      <c r="Y1037" s="358" t="n">
        <v>0</v>
      </c>
      <c r="Z1037" s="358" t="n">
        <v>0</v>
      </c>
      <c r="AA1037" s="358" t="n">
        <v>0</v>
      </c>
      <c r="AB1037" s="373" t="n">
        <v>0</v>
      </c>
      <c r="AC1037" s="358" t="n">
        <v>0</v>
      </c>
      <c r="AD1037" s="358" t="n">
        <v>0</v>
      </c>
      <c r="AE1037" s="358" t="n">
        <v>0</v>
      </c>
      <c r="AF1037" s="359" t="n">
        <v>1</v>
      </c>
    </row>
    <row r="1038" customFormat="false" ht="15" hidden="true" customHeight="false" outlineLevel="0" collapsed="false">
      <c r="B1038" s="360" t="s">
        <v>3496</v>
      </c>
      <c r="C1038" s="359" t="n">
        <v>1</v>
      </c>
      <c r="D1038" s="358" t="n">
        <v>0</v>
      </c>
      <c r="E1038" s="358" t="n">
        <v>0</v>
      </c>
      <c r="F1038" s="358" t="n">
        <v>0</v>
      </c>
      <c r="G1038" s="372" t="n">
        <v>0</v>
      </c>
      <c r="H1038" s="373" t="n">
        <v>0</v>
      </c>
      <c r="I1038" s="358" t="n">
        <v>0</v>
      </c>
      <c r="J1038" s="358" t="n">
        <v>0</v>
      </c>
      <c r="K1038" s="372" t="n">
        <v>0</v>
      </c>
      <c r="L1038" s="373" t="n">
        <v>0</v>
      </c>
      <c r="M1038" s="358" t="n">
        <v>0</v>
      </c>
      <c r="N1038" s="358" t="n">
        <v>0</v>
      </c>
      <c r="O1038" s="372" t="n">
        <v>0</v>
      </c>
      <c r="P1038" s="373" t="n">
        <v>0</v>
      </c>
      <c r="Q1038" s="358" t="n">
        <v>0</v>
      </c>
      <c r="R1038" s="358" t="n">
        <v>0</v>
      </c>
      <c r="S1038" s="372" t="n">
        <v>0</v>
      </c>
      <c r="T1038" s="373" t="n">
        <v>0</v>
      </c>
      <c r="U1038" s="358" t="n">
        <v>0</v>
      </c>
      <c r="V1038" s="358" t="n">
        <v>0</v>
      </c>
      <c r="W1038" s="372" t="n">
        <v>0</v>
      </c>
      <c r="X1038" s="373" t="n">
        <v>0</v>
      </c>
      <c r="Y1038" s="358" t="n">
        <v>0</v>
      </c>
      <c r="Z1038" s="358" t="n">
        <v>0</v>
      </c>
      <c r="AA1038" s="358" t="n">
        <v>0</v>
      </c>
      <c r="AB1038" s="373" t="n">
        <v>0</v>
      </c>
      <c r="AC1038" s="358" t="n">
        <v>0</v>
      </c>
      <c r="AD1038" s="358" t="n">
        <v>0</v>
      </c>
      <c r="AE1038" s="358" t="n">
        <v>0</v>
      </c>
      <c r="AF1038" s="359" t="n">
        <v>1</v>
      </c>
    </row>
    <row r="1039" customFormat="false" ht="15" hidden="true" customHeight="false" outlineLevel="0" collapsed="false">
      <c r="B1039" s="360" t="s">
        <v>3497</v>
      </c>
      <c r="C1039" s="359" t="n">
        <v>1</v>
      </c>
      <c r="D1039" s="358" t="n">
        <v>0</v>
      </c>
      <c r="E1039" s="358" t="n">
        <v>0</v>
      </c>
      <c r="F1039" s="358" t="n">
        <v>0</v>
      </c>
      <c r="G1039" s="372" t="n">
        <v>0</v>
      </c>
      <c r="H1039" s="373" t="n">
        <v>0</v>
      </c>
      <c r="I1039" s="358" t="n">
        <v>0</v>
      </c>
      <c r="J1039" s="358" t="n">
        <v>0</v>
      </c>
      <c r="K1039" s="372" t="n">
        <v>0</v>
      </c>
      <c r="L1039" s="373" t="n">
        <v>0</v>
      </c>
      <c r="M1039" s="358" t="n">
        <v>0</v>
      </c>
      <c r="N1039" s="358" t="n">
        <v>0</v>
      </c>
      <c r="O1039" s="372" t="n">
        <v>0</v>
      </c>
      <c r="P1039" s="373" t="n">
        <v>0</v>
      </c>
      <c r="Q1039" s="358" t="n">
        <v>0</v>
      </c>
      <c r="R1039" s="358" t="n">
        <v>0</v>
      </c>
      <c r="S1039" s="372" t="n">
        <v>0</v>
      </c>
      <c r="T1039" s="373" t="n">
        <v>0</v>
      </c>
      <c r="U1039" s="358" t="n">
        <v>0</v>
      </c>
      <c r="V1039" s="358" t="n">
        <v>0</v>
      </c>
      <c r="W1039" s="372" t="n">
        <v>0</v>
      </c>
      <c r="X1039" s="373" t="n">
        <v>0</v>
      </c>
      <c r="Y1039" s="358" t="n">
        <v>0</v>
      </c>
      <c r="Z1039" s="358" t="n">
        <v>0</v>
      </c>
      <c r="AA1039" s="358" t="n">
        <v>0</v>
      </c>
      <c r="AB1039" s="373" t="n">
        <v>0</v>
      </c>
      <c r="AC1039" s="358" t="n">
        <v>0</v>
      </c>
      <c r="AD1039" s="358" t="n">
        <v>0</v>
      </c>
      <c r="AE1039" s="358" t="n">
        <v>0</v>
      </c>
      <c r="AF1039" s="359" t="n">
        <v>1</v>
      </c>
    </row>
    <row r="1040" customFormat="false" ht="15" hidden="false" customHeight="false" outlineLevel="0" collapsed="false">
      <c r="B1040" s="351" t="s">
        <v>2481</v>
      </c>
      <c r="C1040" s="352" t="n">
        <v>983</v>
      </c>
      <c r="D1040" s="352" t="n">
        <v>7</v>
      </c>
      <c r="E1040" s="352" t="n">
        <v>-2</v>
      </c>
      <c r="F1040" s="352" t="n">
        <v>0</v>
      </c>
      <c r="G1040" s="352" t="n">
        <v>0</v>
      </c>
      <c r="H1040" s="370" t="n">
        <v>0</v>
      </c>
      <c r="I1040" s="352" t="n">
        <v>-2</v>
      </c>
      <c r="J1040" s="352" t="n">
        <v>0</v>
      </c>
      <c r="K1040" s="352" t="n">
        <v>0</v>
      </c>
      <c r="L1040" s="370" t="n">
        <v>0</v>
      </c>
      <c r="M1040" s="352" t="n">
        <v>0</v>
      </c>
      <c r="N1040" s="352" t="n">
        <v>0</v>
      </c>
      <c r="O1040" s="352" t="n">
        <v>0</v>
      </c>
      <c r="P1040" s="370" t="n">
        <v>0</v>
      </c>
      <c r="Q1040" s="352" t="n">
        <v>0</v>
      </c>
      <c r="R1040" s="352" t="n">
        <v>0</v>
      </c>
      <c r="S1040" s="352" t="n">
        <v>0</v>
      </c>
      <c r="T1040" s="370" t="n">
        <v>0</v>
      </c>
      <c r="U1040" s="352" t="n">
        <v>0</v>
      </c>
      <c r="V1040" s="352" t="n">
        <v>0</v>
      </c>
      <c r="W1040" s="352" t="n">
        <v>0</v>
      </c>
      <c r="X1040" s="370" t="n">
        <v>0</v>
      </c>
      <c r="Y1040" s="352" t="n">
        <v>0</v>
      </c>
      <c r="Z1040" s="352" t="n">
        <v>0</v>
      </c>
      <c r="AA1040" s="352" t="n">
        <v>0</v>
      </c>
      <c r="AB1040" s="370" t="n">
        <v>7</v>
      </c>
      <c r="AC1040" s="352" t="n">
        <v>-4</v>
      </c>
      <c r="AD1040" s="352" t="n">
        <v>0</v>
      </c>
      <c r="AE1040" s="352" t="n">
        <v>0</v>
      </c>
      <c r="AF1040" s="352" t="n">
        <v>986</v>
      </c>
    </row>
  </sheetData>
  <autoFilter ref="B7:AF1040"/>
  <mergeCells count="11">
    <mergeCell ref="B5:B7"/>
    <mergeCell ref="C5:C7"/>
    <mergeCell ref="D5:AE5"/>
    <mergeCell ref="AF5:AF7"/>
    <mergeCell ref="D6:G6"/>
    <mergeCell ref="H6:K6"/>
    <mergeCell ref="L6:O6"/>
    <mergeCell ref="P6:S6"/>
    <mergeCell ref="T6:W6"/>
    <mergeCell ref="X6:AA6"/>
    <mergeCell ref="AB6:AE6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P1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79" topLeftCell="A18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55.15"/>
    <col collapsed="false" customWidth="true" hidden="false" outlineLevel="0" max="3" min="3" style="0" width="17"/>
    <col collapsed="false" customWidth="true" hidden="false" outlineLevel="0" max="6" min="6" style="0" width="19.71"/>
    <col collapsed="false" customWidth="true" hidden="false" outlineLevel="0" max="7" min="7" style="0" width="15.42"/>
    <col collapsed="false" customWidth="true" hidden="false" outlineLevel="0" max="11" min="11" style="0" width="17"/>
    <col collapsed="false" customWidth="true" hidden="false" outlineLevel="0" max="13" min="13" style="0" width="18.14"/>
    <col collapsed="false" customWidth="true" hidden="false" outlineLevel="0" max="16" min="16" style="0" width="19.71"/>
  </cols>
  <sheetData>
    <row r="1" customFormat="false" ht="15" hidden="false" customHeight="false" outlineLevel="0" collapsed="false">
      <c r="A1" s="185" t="s">
        <v>1</v>
      </c>
    </row>
    <row r="2" customFormat="false" ht="18.75" hidden="false" customHeight="true" outlineLevel="0" collapsed="false">
      <c r="B2" s="128" t="s">
        <v>3509</v>
      </c>
      <c r="M2" s="126" t="s">
        <v>1705</v>
      </c>
    </row>
    <row r="3" customFormat="false" ht="18.75" hidden="false" customHeight="true" outlineLevel="0" collapsed="false">
      <c r="B3" s="289" t="s">
        <v>2498</v>
      </c>
    </row>
    <row r="4" customFormat="false" ht="19.5" hidden="false" customHeight="true" outlineLevel="0" collapsed="false">
      <c r="B4" s="289"/>
    </row>
    <row r="5" customFormat="false" ht="39" hidden="false" customHeight="true" outlineLevel="0" collapsed="false">
      <c r="B5" s="347"/>
      <c r="C5" s="348" t="s">
        <v>3510</v>
      </c>
      <c r="D5" s="348"/>
      <c r="E5" s="348"/>
      <c r="F5" s="348"/>
      <c r="G5" s="350" t="s">
        <v>2500</v>
      </c>
      <c r="H5" s="350"/>
      <c r="I5" s="350"/>
      <c r="J5" s="350"/>
      <c r="K5" s="350"/>
      <c r="L5" s="350"/>
      <c r="M5" s="348" t="s">
        <v>3511</v>
      </c>
      <c r="N5" s="348"/>
      <c r="O5" s="348"/>
      <c r="P5" s="348"/>
    </row>
    <row r="6" customFormat="false" ht="68.25" hidden="false" customHeight="true" outlineLevel="0" collapsed="false">
      <c r="B6" s="347"/>
      <c r="C6" s="375" t="s">
        <v>3512</v>
      </c>
      <c r="D6" s="376" t="s">
        <v>3513</v>
      </c>
      <c r="E6" s="376" t="s">
        <v>3514</v>
      </c>
      <c r="F6" s="376" t="s">
        <v>3515</v>
      </c>
      <c r="G6" s="350" t="s">
        <v>2502</v>
      </c>
      <c r="H6" s="349" t="s">
        <v>2503</v>
      </c>
      <c r="I6" s="349" t="s">
        <v>2504</v>
      </c>
      <c r="J6" s="349" t="s">
        <v>2505</v>
      </c>
      <c r="K6" s="349" t="s">
        <v>3513</v>
      </c>
      <c r="L6" s="349" t="s">
        <v>3514</v>
      </c>
      <c r="M6" s="375" t="s">
        <v>3512</v>
      </c>
      <c r="N6" s="376" t="s">
        <v>3513</v>
      </c>
      <c r="O6" s="376" t="s">
        <v>3514</v>
      </c>
      <c r="P6" s="376" t="s">
        <v>3515</v>
      </c>
    </row>
    <row r="7" customFormat="false" ht="15.75" hidden="false" customHeight="true" outlineLevel="0" collapsed="false">
      <c r="B7" s="351" t="s">
        <v>2506</v>
      </c>
      <c r="C7" s="352" t="n">
        <v>916</v>
      </c>
      <c r="D7" s="352" t="n">
        <v>68</v>
      </c>
      <c r="E7" s="352" t="n">
        <v>27</v>
      </c>
      <c r="F7" s="352" t="n">
        <v>1011</v>
      </c>
      <c r="G7" s="377" t="n">
        <v>7</v>
      </c>
      <c r="H7" s="352" t="n">
        <v>-1</v>
      </c>
      <c r="I7" s="352" t="n">
        <v>0</v>
      </c>
      <c r="J7" s="352" t="n">
        <v>0</v>
      </c>
      <c r="K7" s="352" t="n">
        <v>-4</v>
      </c>
      <c r="L7" s="352" t="n">
        <v>-2</v>
      </c>
      <c r="M7" s="352" t="n">
        <v>922</v>
      </c>
      <c r="N7" s="352" t="n">
        <v>64</v>
      </c>
      <c r="O7" s="352" t="n">
        <v>25</v>
      </c>
      <c r="P7" s="352" t="n">
        <v>1011</v>
      </c>
    </row>
    <row r="8" customFormat="false" ht="15" hidden="false" customHeight="false" outlineLevel="0" collapsed="false">
      <c r="B8" s="353" t="s">
        <v>1961</v>
      </c>
      <c r="C8" s="354" t="n">
        <v>317</v>
      </c>
      <c r="D8" s="354" t="n">
        <v>29</v>
      </c>
      <c r="E8" s="354" t="n">
        <v>16</v>
      </c>
      <c r="F8" s="354" t="n">
        <v>362</v>
      </c>
      <c r="G8" s="378" t="n">
        <v>2</v>
      </c>
      <c r="H8" s="354" t="n">
        <v>0</v>
      </c>
      <c r="I8" s="354" t="n">
        <v>0</v>
      </c>
      <c r="J8" s="354" t="n">
        <v>0</v>
      </c>
      <c r="K8" s="354" t="n">
        <v>-2</v>
      </c>
      <c r="L8" s="354" t="n">
        <v>0</v>
      </c>
      <c r="M8" s="354" t="n">
        <v>319</v>
      </c>
      <c r="N8" s="354" t="n">
        <v>27</v>
      </c>
      <c r="O8" s="354" t="n">
        <v>16</v>
      </c>
      <c r="P8" s="354" t="n">
        <v>362</v>
      </c>
    </row>
    <row r="9" customFormat="false" ht="15" hidden="false" customHeight="false" outlineLevel="0" collapsed="false">
      <c r="B9" s="356" t="s">
        <v>2457</v>
      </c>
      <c r="C9" s="379" t="n">
        <v>139</v>
      </c>
      <c r="D9" s="379" t="n">
        <v>20</v>
      </c>
      <c r="E9" s="379" t="n">
        <v>3</v>
      </c>
      <c r="F9" s="357" t="n">
        <v>162</v>
      </c>
      <c r="G9" s="380" t="n">
        <v>2</v>
      </c>
      <c r="H9" s="358" t="n">
        <v>0</v>
      </c>
      <c r="I9" s="358" t="n">
        <v>0</v>
      </c>
      <c r="J9" s="358" t="n">
        <v>0</v>
      </c>
      <c r="K9" s="358" t="n">
        <v>-2</v>
      </c>
      <c r="L9" s="358" t="n">
        <v>0</v>
      </c>
      <c r="M9" s="379" t="n">
        <v>141</v>
      </c>
      <c r="N9" s="379" t="n">
        <v>18</v>
      </c>
      <c r="O9" s="379" t="n">
        <v>3</v>
      </c>
      <c r="P9" s="357" t="n">
        <v>162</v>
      </c>
    </row>
    <row r="10" customFormat="false" ht="15" hidden="false" customHeight="false" outlineLevel="0" collapsed="false">
      <c r="B10" s="310" t="s">
        <v>2458</v>
      </c>
      <c r="C10" s="381" t="n">
        <v>8</v>
      </c>
      <c r="D10" s="381" t="n">
        <v>0</v>
      </c>
      <c r="E10" s="381" t="n">
        <v>0</v>
      </c>
      <c r="F10" s="359" t="n">
        <v>8</v>
      </c>
      <c r="G10" s="380" t="n">
        <v>0</v>
      </c>
      <c r="H10" s="358" t="n">
        <v>0</v>
      </c>
      <c r="I10" s="358" t="n">
        <v>0</v>
      </c>
      <c r="J10" s="358" t="n">
        <v>0</v>
      </c>
      <c r="K10" s="358" t="n">
        <v>0</v>
      </c>
      <c r="L10" s="358" t="n">
        <v>0</v>
      </c>
      <c r="M10" s="381" t="n">
        <v>8</v>
      </c>
      <c r="N10" s="381" t="n">
        <v>0</v>
      </c>
      <c r="O10" s="381" t="n">
        <v>0</v>
      </c>
      <c r="P10" s="359" t="n">
        <v>8</v>
      </c>
    </row>
    <row r="11" customFormat="false" ht="15" hidden="true" customHeight="false" outlineLevel="0" collapsed="false">
      <c r="B11" s="360" t="s">
        <v>2507</v>
      </c>
      <c r="C11" s="381" t="n">
        <v>1</v>
      </c>
      <c r="D11" s="381" t="n">
        <v>0</v>
      </c>
      <c r="E11" s="381" t="n">
        <v>0</v>
      </c>
      <c r="F11" s="359" t="n">
        <v>1</v>
      </c>
      <c r="G11" s="380" t="n">
        <v>0</v>
      </c>
      <c r="H11" s="358" t="n">
        <v>0</v>
      </c>
      <c r="I11" s="358" t="n">
        <v>0</v>
      </c>
      <c r="J11" s="358" t="n">
        <v>0</v>
      </c>
      <c r="K11" s="358" t="n">
        <v>0</v>
      </c>
      <c r="L11" s="358" t="n">
        <v>0</v>
      </c>
      <c r="M11" s="381" t="n">
        <v>1</v>
      </c>
      <c r="N11" s="381" t="n">
        <v>0</v>
      </c>
      <c r="O11" s="381" t="n">
        <v>0</v>
      </c>
      <c r="P11" s="359" t="n">
        <v>1</v>
      </c>
    </row>
    <row r="12" customFormat="false" ht="15" hidden="true" customHeight="false" outlineLevel="0" collapsed="false">
      <c r="B12" s="360" t="s">
        <v>2508</v>
      </c>
      <c r="C12" s="381" t="n">
        <v>1</v>
      </c>
      <c r="D12" s="381" t="n">
        <v>0</v>
      </c>
      <c r="E12" s="381" t="n">
        <v>0</v>
      </c>
      <c r="F12" s="359" t="n">
        <v>1</v>
      </c>
      <c r="G12" s="380" t="n">
        <v>0</v>
      </c>
      <c r="H12" s="358" t="n">
        <v>0</v>
      </c>
      <c r="I12" s="358" t="n">
        <v>0</v>
      </c>
      <c r="J12" s="358" t="n">
        <v>0</v>
      </c>
      <c r="K12" s="358" t="n">
        <v>0</v>
      </c>
      <c r="L12" s="358" t="n">
        <v>0</v>
      </c>
      <c r="M12" s="381" t="n">
        <v>1</v>
      </c>
      <c r="N12" s="381" t="n">
        <v>0</v>
      </c>
      <c r="O12" s="381" t="n">
        <v>0</v>
      </c>
      <c r="P12" s="359" t="n">
        <v>1</v>
      </c>
    </row>
    <row r="13" customFormat="false" ht="15" hidden="true" customHeight="false" outlineLevel="0" collapsed="false">
      <c r="B13" s="360" t="s">
        <v>2509</v>
      </c>
      <c r="C13" s="381" t="n">
        <v>1</v>
      </c>
      <c r="D13" s="381" t="n">
        <v>0</v>
      </c>
      <c r="E13" s="381" t="n">
        <v>0</v>
      </c>
      <c r="F13" s="359" t="n">
        <v>1</v>
      </c>
      <c r="G13" s="380" t="n">
        <v>0</v>
      </c>
      <c r="H13" s="358" t="n">
        <v>0</v>
      </c>
      <c r="I13" s="358" t="n">
        <v>0</v>
      </c>
      <c r="J13" s="358" t="n">
        <v>0</v>
      </c>
      <c r="K13" s="358" t="n">
        <v>0</v>
      </c>
      <c r="L13" s="358" t="n">
        <v>0</v>
      </c>
      <c r="M13" s="381" t="n">
        <v>1</v>
      </c>
      <c r="N13" s="381" t="n">
        <v>0</v>
      </c>
      <c r="O13" s="381" t="n">
        <v>0</v>
      </c>
      <c r="P13" s="359" t="n">
        <v>1</v>
      </c>
    </row>
    <row r="14" customFormat="false" ht="15" hidden="true" customHeight="false" outlineLevel="0" collapsed="false">
      <c r="B14" s="360" t="s">
        <v>2510</v>
      </c>
      <c r="C14" s="381" t="n">
        <v>1</v>
      </c>
      <c r="D14" s="381" t="n">
        <v>0</v>
      </c>
      <c r="E14" s="381" t="n">
        <v>0</v>
      </c>
      <c r="F14" s="359" t="n">
        <v>1</v>
      </c>
      <c r="G14" s="380" t="n">
        <v>0</v>
      </c>
      <c r="H14" s="358" t="n">
        <v>0</v>
      </c>
      <c r="I14" s="358" t="n">
        <v>0</v>
      </c>
      <c r="J14" s="358" t="n">
        <v>0</v>
      </c>
      <c r="K14" s="358" t="n">
        <v>0</v>
      </c>
      <c r="L14" s="358" t="n">
        <v>0</v>
      </c>
      <c r="M14" s="381" t="n">
        <v>1</v>
      </c>
      <c r="N14" s="381" t="n">
        <v>0</v>
      </c>
      <c r="O14" s="381" t="n">
        <v>0</v>
      </c>
      <c r="P14" s="359" t="n">
        <v>1</v>
      </c>
    </row>
    <row r="15" customFormat="false" ht="15" hidden="true" customHeight="false" outlineLevel="0" collapsed="false">
      <c r="B15" s="360" t="s">
        <v>2511</v>
      </c>
      <c r="C15" s="381" t="n">
        <v>1</v>
      </c>
      <c r="D15" s="381" t="n">
        <v>0</v>
      </c>
      <c r="E15" s="381" t="n">
        <v>0</v>
      </c>
      <c r="F15" s="359" t="n">
        <v>1</v>
      </c>
      <c r="G15" s="380" t="n">
        <v>0</v>
      </c>
      <c r="H15" s="358" t="n">
        <v>0</v>
      </c>
      <c r="I15" s="358" t="n">
        <v>0</v>
      </c>
      <c r="J15" s="358" t="n">
        <v>0</v>
      </c>
      <c r="K15" s="358" t="n">
        <v>0</v>
      </c>
      <c r="L15" s="358" t="n">
        <v>0</v>
      </c>
      <c r="M15" s="381" t="n">
        <v>1</v>
      </c>
      <c r="N15" s="381" t="n">
        <v>0</v>
      </c>
      <c r="O15" s="381" t="n">
        <v>0</v>
      </c>
      <c r="P15" s="359" t="n">
        <v>1</v>
      </c>
    </row>
    <row r="16" customFormat="false" ht="15" hidden="true" customHeight="false" outlineLevel="0" collapsed="false">
      <c r="B16" s="360" t="s">
        <v>2512</v>
      </c>
      <c r="C16" s="381" t="n">
        <v>1</v>
      </c>
      <c r="D16" s="381" t="n">
        <v>0</v>
      </c>
      <c r="E16" s="381" t="n">
        <v>0</v>
      </c>
      <c r="F16" s="359" t="n">
        <v>1</v>
      </c>
      <c r="G16" s="380" t="n">
        <v>0</v>
      </c>
      <c r="H16" s="358" t="n">
        <v>0</v>
      </c>
      <c r="I16" s="358" t="n">
        <v>0</v>
      </c>
      <c r="J16" s="358" t="n">
        <v>0</v>
      </c>
      <c r="K16" s="358" t="n">
        <v>0</v>
      </c>
      <c r="L16" s="358" t="n">
        <v>0</v>
      </c>
      <c r="M16" s="381" t="n">
        <v>1</v>
      </c>
      <c r="N16" s="381" t="n">
        <v>0</v>
      </c>
      <c r="O16" s="381" t="n">
        <v>0</v>
      </c>
      <c r="P16" s="359" t="n">
        <v>1</v>
      </c>
    </row>
    <row r="17" customFormat="false" ht="15" hidden="true" customHeight="false" outlineLevel="0" collapsed="false">
      <c r="B17" s="360" t="s">
        <v>2513</v>
      </c>
      <c r="C17" s="381" t="n">
        <v>1</v>
      </c>
      <c r="D17" s="381" t="n">
        <v>0</v>
      </c>
      <c r="E17" s="381" t="n">
        <v>0</v>
      </c>
      <c r="F17" s="359" t="n">
        <v>1</v>
      </c>
      <c r="G17" s="380" t="n">
        <v>0</v>
      </c>
      <c r="H17" s="358" t="n">
        <v>0</v>
      </c>
      <c r="I17" s="358" t="n">
        <v>0</v>
      </c>
      <c r="J17" s="358" t="n">
        <v>0</v>
      </c>
      <c r="K17" s="358" t="n">
        <v>0</v>
      </c>
      <c r="L17" s="358" t="n">
        <v>0</v>
      </c>
      <c r="M17" s="381" t="n">
        <v>1</v>
      </c>
      <c r="N17" s="381" t="n">
        <v>0</v>
      </c>
      <c r="O17" s="381" t="n">
        <v>0</v>
      </c>
      <c r="P17" s="359" t="n">
        <v>1</v>
      </c>
    </row>
    <row r="18" customFormat="false" ht="15" hidden="true" customHeight="false" outlineLevel="0" collapsed="false">
      <c r="B18" s="360" t="s">
        <v>2514</v>
      </c>
      <c r="C18" s="381" t="n">
        <v>1</v>
      </c>
      <c r="D18" s="381" t="n">
        <v>0</v>
      </c>
      <c r="E18" s="381" t="n">
        <v>0</v>
      </c>
      <c r="F18" s="359" t="n">
        <v>1</v>
      </c>
      <c r="G18" s="380" t="n">
        <v>0</v>
      </c>
      <c r="H18" s="358" t="n">
        <v>0</v>
      </c>
      <c r="I18" s="358" t="n">
        <v>0</v>
      </c>
      <c r="J18" s="358" t="n">
        <v>0</v>
      </c>
      <c r="K18" s="358" t="n">
        <v>0</v>
      </c>
      <c r="L18" s="358" t="n">
        <v>0</v>
      </c>
      <c r="M18" s="381" t="n">
        <v>1</v>
      </c>
      <c r="N18" s="381" t="n">
        <v>0</v>
      </c>
      <c r="O18" s="381" t="n">
        <v>0</v>
      </c>
      <c r="P18" s="359" t="n">
        <v>1</v>
      </c>
    </row>
    <row r="19" customFormat="false" ht="15" hidden="false" customHeight="false" outlineLevel="0" collapsed="false">
      <c r="B19" s="310" t="s">
        <v>2459</v>
      </c>
      <c r="C19" s="381" t="n">
        <v>24</v>
      </c>
      <c r="D19" s="381" t="n">
        <v>2</v>
      </c>
      <c r="E19" s="381" t="n">
        <v>0</v>
      </c>
      <c r="F19" s="359" t="n">
        <v>26</v>
      </c>
      <c r="G19" s="380" t="n">
        <v>0</v>
      </c>
      <c r="H19" s="358" t="n">
        <v>0</v>
      </c>
      <c r="I19" s="358" t="n">
        <v>0</v>
      </c>
      <c r="J19" s="358" t="n">
        <v>0</v>
      </c>
      <c r="K19" s="358" t="n">
        <v>0</v>
      </c>
      <c r="L19" s="358" t="n">
        <v>0</v>
      </c>
      <c r="M19" s="381" t="n">
        <v>24</v>
      </c>
      <c r="N19" s="381" t="n">
        <v>2</v>
      </c>
      <c r="O19" s="381" t="n">
        <v>0</v>
      </c>
      <c r="P19" s="359" t="n">
        <v>26</v>
      </c>
    </row>
    <row r="20" customFormat="false" ht="15" hidden="true" customHeight="false" outlineLevel="0" collapsed="false">
      <c r="B20" s="360" t="s">
        <v>3516</v>
      </c>
      <c r="C20" s="381" t="n">
        <v>0</v>
      </c>
      <c r="D20" s="381" t="n">
        <v>1</v>
      </c>
      <c r="E20" s="381" t="n">
        <v>0</v>
      </c>
      <c r="F20" s="359" t="n">
        <v>1</v>
      </c>
      <c r="G20" s="380" t="n">
        <v>0</v>
      </c>
      <c r="H20" s="358" t="n">
        <v>0</v>
      </c>
      <c r="I20" s="358" t="n">
        <v>0</v>
      </c>
      <c r="J20" s="358" t="n">
        <v>0</v>
      </c>
      <c r="K20" s="358" t="n">
        <v>0</v>
      </c>
      <c r="L20" s="358" t="n">
        <v>0</v>
      </c>
      <c r="M20" s="381" t="n">
        <v>0</v>
      </c>
      <c r="N20" s="381" t="n">
        <v>1</v>
      </c>
      <c r="O20" s="381" t="n">
        <v>0</v>
      </c>
      <c r="P20" s="359" t="n">
        <v>1</v>
      </c>
    </row>
    <row r="21" customFormat="false" ht="15" hidden="true" customHeight="false" outlineLevel="0" collapsed="false">
      <c r="B21" s="360" t="s">
        <v>3517</v>
      </c>
      <c r="C21" s="381" t="n">
        <v>0</v>
      </c>
      <c r="D21" s="381" t="n">
        <v>1</v>
      </c>
      <c r="E21" s="381" t="n">
        <v>0</v>
      </c>
      <c r="F21" s="359" t="n">
        <v>1</v>
      </c>
      <c r="G21" s="380" t="n">
        <v>0</v>
      </c>
      <c r="H21" s="358" t="n">
        <v>0</v>
      </c>
      <c r="I21" s="358" t="n">
        <v>0</v>
      </c>
      <c r="J21" s="358" t="n">
        <v>0</v>
      </c>
      <c r="K21" s="358" t="n">
        <v>0</v>
      </c>
      <c r="L21" s="358" t="n">
        <v>0</v>
      </c>
      <c r="M21" s="381" t="n">
        <v>0</v>
      </c>
      <c r="N21" s="381" t="n">
        <v>1</v>
      </c>
      <c r="O21" s="381" t="n">
        <v>0</v>
      </c>
      <c r="P21" s="359" t="n">
        <v>1</v>
      </c>
    </row>
    <row r="22" customFormat="false" ht="15" hidden="true" customHeight="false" outlineLevel="0" collapsed="false">
      <c r="B22" s="360" t="s">
        <v>2515</v>
      </c>
      <c r="C22" s="381" t="n">
        <v>1</v>
      </c>
      <c r="D22" s="381" t="n">
        <v>0</v>
      </c>
      <c r="E22" s="381" t="n">
        <v>0</v>
      </c>
      <c r="F22" s="359" t="n">
        <v>1</v>
      </c>
      <c r="G22" s="380" t="n">
        <v>0</v>
      </c>
      <c r="H22" s="358" t="n">
        <v>0</v>
      </c>
      <c r="I22" s="358" t="n">
        <v>0</v>
      </c>
      <c r="J22" s="358" t="n">
        <v>0</v>
      </c>
      <c r="K22" s="358" t="n">
        <v>0</v>
      </c>
      <c r="L22" s="358" t="n">
        <v>0</v>
      </c>
      <c r="M22" s="381" t="n">
        <v>1</v>
      </c>
      <c r="N22" s="381" t="n">
        <v>0</v>
      </c>
      <c r="O22" s="381" t="n">
        <v>0</v>
      </c>
      <c r="P22" s="359" t="n">
        <v>1</v>
      </c>
    </row>
    <row r="23" customFormat="false" ht="15" hidden="true" customHeight="false" outlineLevel="0" collapsed="false">
      <c r="B23" s="360" t="s">
        <v>2516</v>
      </c>
      <c r="C23" s="381" t="n">
        <v>1</v>
      </c>
      <c r="D23" s="381" t="n">
        <v>0</v>
      </c>
      <c r="E23" s="381" t="n">
        <v>0</v>
      </c>
      <c r="F23" s="359" t="n">
        <v>1</v>
      </c>
      <c r="G23" s="380" t="n">
        <v>0</v>
      </c>
      <c r="H23" s="358" t="n">
        <v>0</v>
      </c>
      <c r="I23" s="358" t="n">
        <v>0</v>
      </c>
      <c r="J23" s="358" t="n">
        <v>0</v>
      </c>
      <c r="K23" s="358" t="n">
        <v>0</v>
      </c>
      <c r="L23" s="358" t="n">
        <v>0</v>
      </c>
      <c r="M23" s="381" t="n">
        <v>1</v>
      </c>
      <c r="N23" s="381" t="n">
        <v>0</v>
      </c>
      <c r="O23" s="381" t="n">
        <v>0</v>
      </c>
      <c r="P23" s="359" t="n">
        <v>1</v>
      </c>
    </row>
    <row r="24" customFormat="false" ht="15" hidden="true" customHeight="false" outlineLevel="0" collapsed="false">
      <c r="B24" s="360" t="s">
        <v>2517</v>
      </c>
      <c r="C24" s="381" t="n">
        <v>1</v>
      </c>
      <c r="D24" s="381" t="n">
        <v>0</v>
      </c>
      <c r="E24" s="381" t="n">
        <v>0</v>
      </c>
      <c r="F24" s="359" t="n">
        <v>1</v>
      </c>
      <c r="G24" s="380" t="n">
        <v>0</v>
      </c>
      <c r="H24" s="358" t="n">
        <v>0</v>
      </c>
      <c r="I24" s="358" t="n">
        <v>0</v>
      </c>
      <c r="J24" s="358" t="n">
        <v>0</v>
      </c>
      <c r="K24" s="358" t="n">
        <v>0</v>
      </c>
      <c r="L24" s="358" t="n">
        <v>0</v>
      </c>
      <c r="M24" s="381" t="n">
        <v>1</v>
      </c>
      <c r="N24" s="381" t="n">
        <v>0</v>
      </c>
      <c r="O24" s="381" t="n">
        <v>0</v>
      </c>
      <c r="P24" s="359" t="n">
        <v>1</v>
      </c>
    </row>
    <row r="25" customFormat="false" ht="15" hidden="true" customHeight="false" outlineLevel="0" collapsed="false">
      <c r="B25" s="360" t="s">
        <v>2518</v>
      </c>
      <c r="C25" s="381" t="n">
        <v>1</v>
      </c>
      <c r="D25" s="381" t="n">
        <v>0</v>
      </c>
      <c r="E25" s="381" t="n">
        <v>0</v>
      </c>
      <c r="F25" s="359" t="n">
        <v>1</v>
      </c>
      <c r="G25" s="380" t="n">
        <v>0</v>
      </c>
      <c r="H25" s="358" t="n">
        <v>0</v>
      </c>
      <c r="I25" s="358" t="n">
        <v>0</v>
      </c>
      <c r="J25" s="358" t="n">
        <v>0</v>
      </c>
      <c r="K25" s="358" t="n">
        <v>0</v>
      </c>
      <c r="L25" s="358" t="n">
        <v>0</v>
      </c>
      <c r="M25" s="381" t="n">
        <v>1</v>
      </c>
      <c r="N25" s="381" t="n">
        <v>0</v>
      </c>
      <c r="O25" s="381" t="n">
        <v>0</v>
      </c>
      <c r="P25" s="359" t="n">
        <v>1</v>
      </c>
    </row>
    <row r="26" customFormat="false" ht="15" hidden="true" customHeight="false" outlineLevel="0" collapsed="false">
      <c r="B26" s="360" t="s">
        <v>2519</v>
      </c>
      <c r="C26" s="381" t="n">
        <v>1</v>
      </c>
      <c r="D26" s="381" t="n">
        <v>0</v>
      </c>
      <c r="E26" s="381" t="n">
        <v>0</v>
      </c>
      <c r="F26" s="359" t="n">
        <v>1</v>
      </c>
      <c r="G26" s="380" t="n">
        <v>0</v>
      </c>
      <c r="H26" s="358" t="n">
        <v>0</v>
      </c>
      <c r="I26" s="358" t="n">
        <v>0</v>
      </c>
      <c r="J26" s="358" t="n">
        <v>0</v>
      </c>
      <c r="K26" s="358" t="n">
        <v>0</v>
      </c>
      <c r="L26" s="358" t="n">
        <v>0</v>
      </c>
      <c r="M26" s="381" t="n">
        <v>1</v>
      </c>
      <c r="N26" s="381" t="n">
        <v>0</v>
      </c>
      <c r="O26" s="381" t="n">
        <v>0</v>
      </c>
      <c r="P26" s="359" t="n">
        <v>1</v>
      </c>
    </row>
    <row r="27" customFormat="false" ht="15" hidden="true" customHeight="false" outlineLevel="0" collapsed="false">
      <c r="B27" s="360" t="s">
        <v>2520</v>
      </c>
      <c r="C27" s="381" t="n">
        <v>1</v>
      </c>
      <c r="D27" s="381" t="n">
        <v>0</v>
      </c>
      <c r="E27" s="381" t="n">
        <v>0</v>
      </c>
      <c r="F27" s="359" t="n">
        <v>1</v>
      </c>
      <c r="G27" s="380" t="n">
        <v>0</v>
      </c>
      <c r="H27" s="358" t="n">
        <v>0</v>
      </c>
      <c r="I27" s="358" t="n">
        <v>0</v>
      </c>
      <c r="J27" s="358" t="n">
        <v>0</v>
      </c>
      <c r="K27" s="358" t="n">
        <v>0</v>
      </c>
      <c r="L27" s="358" t="n">
        <v>0</v>
      </c>
      <c r="M27" s="381" t="n">
        <v>1</v>
      </c>
      <c r="N27" s="381" t="n">
        <v>0</v>
      </c>
      <c r="O27" s="381" t="n">
        <v>0</v>
      </c>
      <c r="P27" s="359" t="n">
        <v>1</v>
      </c>
    </row>
    <row r="28" customFormat="false" ht="15" hidden="true" customHeight="false" outlineLevel="0" collapsed="false">
      <c r="B28" s="360" t="s">
        <v>2521</v>
      </c>
      <c r="C28" s="381" t="n">
        <v>1</v>
      </c>
      <c r="D28" s="381" t="n">
        <v>0</v>
      </c>
      <c r="E28" s="381" t="n">
        <v>0</v>
      </c>
      <c r="F28" s="359" t="n">
        <v>1</v>
      </c>
      <c r="G28" s="380" t="n">
        <v>0</v>
      </c>
      <c r="H28" s="358" t="n">
        <v>0</v>
      </c>
      <c r="I28" s="358" t="n">
        <v>0</v>
      </c>
      <c r="J28" s="358" t="n">
        <v>0</v>
      </c>
      <c r="K28" s="358" t="n">
        <v>0</v>
      </c>
      <c r="L28" s="358" t="n">
        <v>0</v>
      </c>
      <c r="M28" s="381" t="n">
        <v>1</v>
      </c>
      <c r="N28" s="381" t="n">
        <v>0</v>
      </c>
      <c r="O28" s="381" t="n">
        <v>0</v>
      </c>
      <c r="P28" s="359" t="n">
        <v>1</v>
      </c>
    </row>
    <row r="29" customFormat="false" ht="15" hidden="true" customHeight="false" outlineLevel="0" collapsed="false">
      <c r="B29" s="360" t="s">
        <v>2522</v>
      </c>
      <c r="C29" s="381" t="n">
        <v>1</v>
      </c>
      <c r="D29" s="381" t="n">
        <v>0</v>
      </c>
      <c r="E29" s="381" t="n">
        <v>0</v>
      </c>
      <c r="F29" s="359" t="n">
        <v>1</v>
      </c>
      <c r="G29" s="380" t="n">
        <v>0</v>
      </c>
      <c r="H29" s="358" t="n">
        <v>0</v>
      </c>
      <c r="I29" s="358" t="n">
        <v>0</v>
      </c>
      <c r="J29" s="358" t="n">
        <v>0</v>
      </c>
      <c r="K29" s="358" t="n">
        <v>0</v>
      </c>
      <c r="L29" s="358" t="n">
        <v>0</v>
      </c>
      <c r="M29" s="381" t="n">
        <v>1</v>
      </c>
      <c r="N29" s="381" t="n">
        <v>0</v>
      </c>
      <c r="O29" s="381" t="n">
        <v>0</v>
      </c>
      <c r="P29" s="359" t="n">
        <v>1</v>
      </c>
    </row>
    <row r="30" customFormat="false" ht="15" hidden="true" customHeight="false" outlineLevel="0" collapsed="false">
      <c r="B30" s="360" t="s">
        <v>2523</v>
      </c>
      <c r="C30" s="381" t="n">
        <v>1</v>
      </c>
      <c r="D30" s="381" t="n">
        <v>0</v>
      </c>
      <c r="E30" s="381" t="n">
        <v>0</v>
      </c>
      <c r="F30" s="359" t="n">
        <v>1</v>
      </c>
      <c r="G30" s="380" t="n">
        <v>0</v>
      </c>
      <c r="H30" s="358" t="n">
        <v>0</v>
      </c>
      <c r="I30" s="358" t="n">
        <v>0</v>
      </c>
      <c r="J30" s="358" t="n">
        <v>0</v>
      </c>
      <c r="K30" s="358" t="n">
        <v>0</v>
      </c>
      <c r="L30" s="358" t="n">
        <v>0</v>
      </c>
      <c r="M30" s="381" t="n">
        <v>1</v>
      </c>
      <c r="N30" s="381" t="n">
        <v>0</v>
      </c>
      <c r="O30" s="381" t="n">
        <v>0</v>
      </c>
      <c r="P30" s="359" t="n">
        <v>1</v>
      </c>
    </row>
    <row r="31" customFormat="false" ht="15" hidden="true" customHeight="false" outlineLevel="0" collapsed="false">
      <c r="B31" s="360" t="s">
        <v>2524</v>
      </c>
      <c r="C31" s="381" t="n">
        <v>1</v>
      </c>
      <c r="D31" s="381" t="n">
        <v>0</v>
      </c>
      <c r="E31" s="381" t="n">
        <v>0</v>
      </c>
      <c r="F31" s="359" t="n">
        <v>1</v>
      </c>
      <c r="G31" s="380" t="n">
        <v>0</v>
      </c>
      <c r="H31" s="358" t="n">
        <v>0</v>
      </c>
      <c r="I31" s="358" t="n">
        <v>0</v>
      </c>
      <c r="J31" s="358" t="n">
        <v>0</v>
      </c>
      <c r="K31" s="358" t="n">
        <v>0</v>
      </c>
      <c r="L31" s="358" t="n">
        <v>0</v>
      </c>
      <c r="M31" s="381" t="n">
        <v>1</v>
      </c>
      <c r="N31" s="381" t="n">
        <v>0</v>
      </c>
      <c r="O31" s="381" t="n">
        <v>0</v>
      </c>
      <c r="P31" s="359" t="n">
        <v>1</v>
      </c>
    </row>
    <row r="32" customFormat="false" ht="15" hidden="true" customHeight="false" outlineLevel="0" collapsed="false">
      <c r="B32" s="360" t="s">
        <v>2525</v>
      </c>
      <c r="C32" s="381" t="n">
        <v>1</v>
      </c>
      <c r="D32" s="381" t="n">
        <v>0</v>
      </c>
      <c r="E32" s="381" t="n">
        <v>0</v>
      </c>
      <c r="F32" s="359" t="n">
        <v>1</v>
      </c>
      <c r="G32" s="380" t="n">
        <v>0</v>
      </c>
      <c r="H32" s="358" t="n">
        <v>0</v>
      </c>
      <c r="I32" s="358" t="n">
        <v>0</v>
      </c>
      <c r="J32" s="358" t="n">
        <v>0</v>
      </c>
      <c r="K32" s="358" t="n">
        <v>0</v>
      </c>
      <c r="L32" s="358" t="n">
        <v>0</v>
      </c>
      <c r="M32" s="381" t="n">
        <v>1</v>
      </c>
      <c r="N32" s="381" t="n">
        <v>0</v>
      </c>
      <c r="O32" s="381" t="n">
        <v>0</v>
      </c>
      <c r="P32" s="359" t="n">
        <v>1</v>
      </c>
    </row>
    <row r="33" customFormat="false" ht="15" hidden="true" customHeight="false" outlineLevel="0" collapsed="false">
      <c r="B33" s="360" t="s">
        <v>2526</v>
      </c>
      <c r="C33" s="381" t="n">
        <v>1</v>
      </c>
      <c r="D33" s="381" t="n">
        <v>0</v>
      </c>
      <c r="E33" s="381" t="n">
        <v>0</v>
      </c>
      <c r="F33" s="359" t="n">
        <v>1</v>
      </c>
      <c r="G33" s="380" t="n">
        <v>0</v>
      </c>
      <c r="H33" s="358" t="n">
        <v>0</v>
      </c>
      <c r="I33" s="358" t="n">
        <v>0</v>
      </c>
      <c r="J33" s="358" t="n">
        <v>0</v>
      </c>
      <c r="K33" s="358" t="n">
        <v>0</v>
      </c>
      <c r="L33" s="358" t="n">
        <v>0</v>
      </c>
      <c r="M33" s="381" t="n">
        <v>1</v>
      </c>
      <c r="N33" s="381" t="n">
        <v>0</v>
      </c>
      <c r="O33" s="381" t="n">
        <v>0</v>
      </c>
      <c r="P33" s="359" t="n">
        <v>1</v>
      </c>
    </row>
    <row r="34" customFormat="false" ht="15" hidden="true" customHeight="false" outlineLevel="0" collapsed="false">
      <c r="B34" s="360" t="s">
        <v>2527</v>
      </c>
      <c r="C34" s="381" t="n">
        <v>1</v>
      </c>
      <c r="D34" s="381" t="n">
        <v>0</v>
      </c>
      <c r="E34" s="381" t="n">
        <v>0</v>
      </c>
      <c r="F34" s="359" t="n">
        <v>1</v>
      </c>
      <c r="G34" s="380" t="n">
        <v>0</v>
      </c>
      <c r="H34" s="358" t="n">
        <v>0</v>
      </c>
      <c r="I34" s="358" t="n">
        <v>0</v>
      </c>
      <c r="J34" s="358" t="n">
        <v>0</v>
      </c>
      <c r="K34" s="358" t="n">
        <v>0</v>
      </c>
      <c r="L34" s="358" t="n">
        <v>0</v>
      </c>
      <c r="M34" s="381" t="n">
        <v>1</v>
      </c>
      <c r="N34" s="381" t="n">
        <v>0</v>
      </c>
      <c r="O34" s="381" t="n">
        <v>0</v>
      </c>
      <c r="P34" s="359" t="n">
        <v>1</v>
      </c>
    </row>
    <row r="35" customFormat="false" ht="15" hidden="true" customHeight="false" outlineLevel="0" collapsed="false">
      <c r="B35" s="360" t="s">
        <v>2528</v>
      </c>
      <c r="C35" s="381" t="n">
        <v>1</v>
      </c>
      <c r="D35" s="381" t="n">
        <v>0</v>
      </c>
      <c r="E35" s="381" t="n">
        <v>0</v>
      </c>
      <c r="F35" s="359" t="n">
        <v>1</v>
      </c>
      <c r="G35" s="380" t="n">
        <v>0</v>
      </c>
      <c r="H35" s="358" t="n">
        <v>0</v>
      </c>
      <c r="I35" s="358" t="n">
        <v>0</v>
      </c>
      <c r="J35" s="358" t="n">
        <v>0</v>
      </c>
      <c r="K35" s="358" t="n">
        <v>0</v>
      </c>
      <c r="L35" s="358" t="n">
        <v>0</v>
      </c>
      <c r="M35" s="381" t="n">
        <v>1</v>
      </c>
      <c r="N35" s="381" t="n">
        <v>0</v>
      </c>
      <c r="O35" s="381" t="n">
        <v>0</v>
      </c>
      <c r="P35" s="359" t="n">
        <v>1</v>
      </c>
    </row>
    <row r="36" customFormat="false" ht="15" hidden="true" customHeight="false" outlineLevel="0" collapsed="false">
      <c r="B36" s="360" t="s">
        <v>2529</v>
      </c>
      <c r="C36" s="381" t="n">
        <v>1</v>
      </c>
      <c r="D36" s="381" t="n">
        <v>0</v>
      </c>
      <c r="E36" s="381" t="n">
        <v>0</v>
      </c>
      <c r="F36" s="359" t="n">
        <v>1</v>
      </c>
      <c r="G36" s="380" t="n">
        <v>0</v>
      </c>
      <c r="H36" s="358" t="n">
        <v>0</v>
      </c>
      <c r="I36" s="358" t="n">
        <v>0</v>
      </c>
      <c r="J36" s="358" t="n">
        <v>0</v>
      </c>
      <c r="K36" s="358" t="n">
        <v>0</v>
      </c>
      <c r="L36" s="358" t="n">
        <v>0</v>
      </c>
      <c r="M36" s="381" t="n">
        <v>1</v>
      </c>
      <c r="N36" s="381" t="n">
        <v>0</v>
      </c>
      <c r="O36" s="381" t="n">
        <v>0</v>
      </c>
      <c r="P36" s="359" t="n">
        <v>1</v>
      </c>
    </row>
    <row r="37" customFormat="false" ht="15" hidden="true" customHeight="false" outlineLevel="0" collapsed="false">
      <c r="B37" s="360" t="s">
        <v>2530</v>
      </c>
      <c r="C37" s="381" t="n">
        <v>1</v>
      </c>
      <c r="D37" s="381" t="n">
        <v>0</v>
      </c>
      <c r="E37" s="381" t="n">
        <v>0</v>
      </c>
      <c r="F37" s="359" t="n">
        <v>1</v>
      </c>
      <c r="G37" s="380" t="n">
        <v>0</v>
      </c>
      <c r="H37" s="358" t="n">
        <v>0</v>
      </c>
      <c r="I37" s="358" t="n">
        <v>0</v>
      </c>
      <c r="J37" s="358" t="n">
        <v>0</v>
      </c>
      <c r="K37" s="358" t="n">
        <v>0</v>
      </c>
      <c r="L37" s="358" t="n">
        <v>0</v>
      </c>
      <c r="M37" s="381" t="n">
        <v>1</v>
      </c>
      <c r="N37" s="381" t="n">
        <v>0</v>
      </c>
      <c r="O37" s="381" t="n">
        <v>0</v>
      </c>
      <c r="P37" s="359" t="n">
        <v>1</v>
      </c>
    </row>
    <row r="38" customFormat="false" ht="15" hidden="true" customHeight="false" outlineLevel="0" collapsed="false">
      <c r="B38" s="360" t="s">
        <v>2531</v>
      </c>
      <c r="C38" s="381" t="n">
        <v>1</v>
      </c>
      <c r="D38" s="381" t="n">
        <v>0</v>
      </c>
      <c r="E38" s="381" t="n">
        <v>0</v>
      </c>
      <c r="F38" s="359" t="n">
        <v>1</v>
      </c>
      <c r="G38" s="380" t="n">
        <v>0</v>
      </c>
      <c r="H38" s="358" t="n">
        <v>0</v>
      </c>
      <c r="I38" s="358" t="n">
        <v>0</v>
      </c>
      <c r="J38" s="358" t="n">
        <v>0</v>
      </c>
      <c r="K38" s="358" t="n">
        <v>0</v>
      </c>
      <c r="L38" s="358" t="n">
        <v>0</v>
      </c>
      <c r="M38" s="381" t="n">
        <v>1</v>
      </c>
      <c r="N38" s="381" t="n">
        <v>0</v>
      </c>
      <c r="O38" s="381" t="n">
        <v>0</v>
      </c>
      <c r="P38" s="359" t="n">
        <v>1</v>
      </c>
    </row>
    <row r="39" customFormat="false" ht="15" hidden="true" customHeight="false" outlineLevel="0" collapsed="false">
      <c r="B39" s="360" t="s">
        <v>2532</v>
      </c>
      <c r="C39" s="381" t="n">
        <v>1</v>
      </c>
      <c r="D39" s="381" t="n">
        <v>0</v>
      </c>
      <c r="E39" s="381" t="n">
        <v>0</v>
      </c>
      <c r="F39" s="359" t="n">
        <v>1</v>
      </c>
      <c r="G39" s="380" t="n">
        <v>0</v>
      </c>
      <c r="H39" s="358" t="n">
        <v>0</v>
      </c>
      <c r="I39" s="358" t="n">
        <v>0</v>
      </c>
      <c r="J39" s="358" t="n">
        <v>0</v>
      </c>
      <c r="K39" s="358" t="n">
        <v>0</v>
      </c>
      <c r="L39" s="358" t="n">
        <v>0</v>
      </c>
      <c r="M39" s="381" t="n">
        <v>1</v>
      </c>
      <c r="N39" s="381" t="n">
        <v>0</v>
      </c>
      <c r="O39" s="381" t="n">
        <v>0</v>
      </c>
      <c r="P39" s="359" t="n">
        <v>1</v>
      </c>
    </row>
    <row r="40" customFormat="false" ht="15" hidden="true" customHeight="false" outlineLevel="0" collapsed="false">
      <c r="B40" s="360" t="s">
        <v>2533</v>
      </c>
      <c r="C40" s="381" t="n">
        <v>1</v>
      </c>
      <c r="D40" s="381" t="n">
        <v>0</v>
      </c>
      <c r="E40" s="381" t="n">
        <v>0</v>
      </c>
      <c r="F40" s="359" t="n">
        <v>1</v>
      </c>
      <c r="G40" s="380" t="n">
        <v>0</v>
      </c>
      <c r="H40" s="358" t="n">
        <v>0</v>
      </c>
      <c r="I40" s="358" t="n">
        <v>0</v>
      </c>
      <c r="J40" s="358" t="n">
        <v>0</v>
      </c>
      <c r="K40" s="358" t="n">
        <v>0</v>
      </c>
      <c r="L40" s="358" t="n">
        <v>0</v>
      </c>
      <c r="M40" s="381" t="n">
        <v>1</v>
      </c>
      <c r="N40" s="381" t="n">
        <v>0</v>
      </c>
      <c r="O40" s="381" t="n">
        <v>0</v>
      </c>
      <c r="P40" s="359" t="n">
        <v>1</v>
      </c>
    </row>
    <row r="41" customFormat="false" ht="15" hidden="true" customHeight="false" outlineLevel="0" collapsed="false">
      <c r="B41" s="360" t="s">
        <v>2534</v>
      </c>
      <c r="C41" s="381" t="n">
        <v>1</v>
      </c>
      <c r="D41" s="381" t="n">
        <v>0</v>
      </c>
      <c r="E41" s="381" t="n">
        <v>0</v>
      </c>
      <c r="F41" s="359" t="n">
        <v>1</v>
      </c>
      <c r="G41" s="380" t="n">
        <v>0</v>
      </c>
      <c r="H41" s="358" t="n">
        <v>0</v>
      </c>
      <c r="I41" s="358" t="n">
        <v>0</v>
      </c>
      <c r="J41" s="358" t="n">
        <v>0</v>
      </c>
      <c r="K41" s="358" t="n">
        <v>0</v>
      </c>
      <c r="L41" s="358" t="n">
        <v>0</v>
      </c>
      <c r="M41" s="381" t="n">
        <v>1</v>
      </c>
      <c r="N41" s="381" t="n">
        <v>0</v>
      </c>
      <c r="O41" s="381" t="n">
        <v>0</v>
      </c>
      <c r="P41" s="359" t="n">
        <v>1</v>
      </c>
    </row>
    <row r="42" customFormat="false" ht="15" hidden="true" customHeight="false" outlineLevel="0" collapsed="false">
      <c r="B42" s="360" t="s">
        <v>2535</v>
      </c>
      <c r="C42" s="381" t="n">
        <v>1</v>
      </c>
      <c r="D42" s="381" t="n">
        <v>0</v>
      </c>
      <c r="E42" s="381" t="n">
        <v>0</v>
      </c>
      <c r="F42" s="359" t="n">
        <v>1</v>
      </c>
      <c r="G42" s="380" t="n">
        <v>0</v>
      </c>
      <c r="H42" s="358" t="n">
        <v>0</v>
      </c>
      <c r="I42" s="358" t="n">
        <v>0</v>
      </c>
      <c r="J42" s="358" t="n">
        <v>0</v>
      </c>
      <c r="K42" s="358" t="n">
        <v>0</v>
      </c>
      <c r="L42" s="358" t="n">
        <v>0</v>
      </c>
      <c r="M42" s="381" t="n">
        <v>1</v>
      </c>
      <c r="N42" s="381" t="n">
        <v>0</v>
      </c>
      <c r="O42" s="381" t="n">
        <v>0</v>
      </c>
      <c r="P42" s="359" t="n">
        <v>1</v>
      </c>
    </row>
    <row r="43" customFormat="false" ht="15" hidden="true" customHeight="false" outlineLevel="0" collapsed="false">
      <c r="B43" s="360" t="s">
        <v>2536</v>
      </c>
      <c r="C43" s="381" t="n">
        <v>1</v>
      </c>
      <c r="D43" s="381" t="n">
        <v>0</v>
      </c>
      <c r="E43" s="381" t="n">
        <v>0</v>
      </c>
      <c r="F43" s="359" t="n">
        <v>1</v>
      </c>
      <c r="G43" s="380" t="n">
        <v>0</v>
      </c>
      <c r="H43" s="358" t="n">
        <v>0</v>
      </c>
      <c r="I43" s="358" t="n">
        <v>0</v>
      </c>
      <c r="J43" s="358" t="n">
        <v>0</v>
      </c>
      <c r="K43" s="358" t="n">
        <v>0</v>
      </c>
      <c r="L43" s="358" t="n">
        <v>0</v>
      </c>
      <c r="M43" s="381" t="n">
        <v>1</v>
      </c>
      <c r="N43" s="381" t="n">
        <v>0</v>
      </c>
      <c r="O43" s="381" t="n">
        <v>0</v>
      </c>
      <c r="P43" s="359" t="n">
        <v>1</v>
      </c>
    </row>
    <row r="44" customFormat="false" ht="15" hidden="true" customHeight="false" outlineLevel="0" collapsed="false">
      <c r="B44" s="360" t="s">
        <v>2537</v>
      </c>
      <c r="C44" s="381" t="n">
        <v>1</v>
      </c>
      <c r="D44" s="381" t="n">
        <v>0</v>
      </c>
      <c r="E44" s="381" t="n">
        <v>0</v>
      </c>
      <c r="F44" s="359" t="n">
        <v>1</v>
      </c>
      <c r="G44" s="380" t="n">
        <v>0</v>
      </c>
      <c r="H44" s="358" t="n">
        <v>0</v>
      </c>
      <c r="I44" s="358" t="n">
        <v>0</v>
      </c>
      <c r="J44" s="358" t="n">
        <v>0</v>
      </c>
      <c r="K44" s="358" t="n">
        <v>0</v>
      </c>
      <c r="L44" s="358" t="n">
        <v>0</v>
      </c>
      <c r="M44" s="381" t="n">
        <v>1</v>
      </c>
      <c r="N44" s="381" t="n">
        <v>0</v>
      </c>
      <c r="O44" s="381" t="n">
        <v>0</v>
      </c>
      <c r="P44" s="359" t="n">
        <v>1</v>
      </c>
    </row>
    <row r="45" customFormat="false" ht="15" hidden="true" customHeight="false" outlineLevel="0" collapsed="false">
      <c r="B45" s="360" t="s">
        <v>2538</v>
      </c>
      <c r="C45" s="381" t="n">
        <v>1</v>
      </c>
      <c r="D45" s="381" t="n">
        <v>0</v>
      </c>
      <c r="E45" s="381" t="n">
        <v>0</v>
      </c>
      <c r="F45" s="359" t="n">
        <v>1</v>
      </c>
      <c r="G45" s="380" t="n">
        <v>0</v>
      </c>
      <c r="H45" s="358" t="n">
        <v>0</v>
      </c>
      <c r="I45" s="358" t="n">
        <v>0</v>
      </c>
      <c r="J45" s="358" t="n">
        <v>0</v>
      </c>
      <c r="K45" s="358" t="n">
        <v>0</v>
      </c>
      <c r="L45" s="358" t="n">
        <v>0</v>
      </c>
      <c r="M45" s="381" t="n">
        <v>1</v>
      </c>
      <c r="N45" s="381" t="n">
        <v>0</v>
      </c>
      <c r="O45" s="381" t="n">
        <v>0</v>
      </c>
      <c r="P45" s="359" t="n">
        <v>1</v>
      </c>
    </row>
    <row r="46" customFormat="false" ht="15" hidden="false" customHeight="false" outlineLevel="0" collapsed="false">
      <c r="B46" s="310" t="s">
        <v>1411</v>
      </c>
      <c r="C46" s="381" t="n">
        <v>41</v>
      </c>
      <c r="D46" s="381" t="n">
        <v>4</v>
      </c>
      <c r="E46" s="381" t="n">
        <v>1</v>
      </c>
      <c r="F46" s="359" t="n">
        <v>46</v>
      </c>
      <c r="G46" s="380" t="n">
        <v>0</v>
      </c>
      <c r="H46" s="358" t="n">
        <v>0</v>
      </c>
      <c r="I46" s="358" t="n">
        <v>0</v>
      </c>
      <c r="J46" s="358" t="n">
        <v>0</v>
      </c>
      <c r="K46" s="358" t="n">
        <v>0</v>
      </c>
      <c r="L46" s="358" t="n">
        <v>0</v>
      </c>
      <c r="M46" s="381" t="n">
        <v>41</v>
      </c>
      <c r="N46" s="381" t="n">
        <v>4</v>
      </c>
      <c r="O46" s="381" t="n">
        <v>1</v>
      </c>
      <c r="P46" s="359" t="n">
        <v>46</v>
      </c>
    </row>
    <row r="47" customFormat="false" ht="15" hidden="true" customHeight="false" outlineLevel="0" collapsed="false">
      <c r="B47" s="360" t="s">
        <v>3518</v>
      </c>
      <c r="C47" s="381" t="n">
        <v>0</v>
      </c>
      <c r="D47" s="381" t="n">
        <v>1</v>
      </c>
      <c r="E47" s="381" t="n">
        <v>0</v>
      </c>
      <c r="F47" s="359" t="n">
        <v>1</v>
      </c>
      <c r="G47" s="380" t="n">
        <v>0</v>
      </c>
      <c r="H47" s="358" t="n">
        <v>0</v>
      </c>
      <c r="I47" s="358" t="n">
        <v>0</v>
      </c>
      <c r="J47" s="358" t="n">
        <v>0</v>
      </c>
      <c r="K47" s="358" t="n">
        <v>0</v>
      </c>
      <c r="L47" s="358" t="n">
        <v>0</v>
      </c>
      <c r="M47" s="381" t="n">
        <v>0</v>
      </c>
      <c r="N47" s="381" t="n">
        <v>1</v>
      </c>
      <c r="O47" s="381" t="n">
        <v>0</v>
      </c>
      <c r="P47" s="359" t="n">
        <v>1</v>
      </c>
    </row>
    <row r="48" customFormat="false" ht="15" hidden="true" customHeight="false" outlineLevel="0" collapsed="false">
      <c r="B48" s="360" t="s">
        <v>3519</v>
      </c>
      <c r="C48" s="381" t="n">
        <v>0</v>
      </c>
      <c r="D48" s="381" t="n">
        <v>1</v>
      </c>
      <c r="E48" s="381" t="n">
        <v>0</v>
      </c>
      <c r="F48" s="359" t="n">
        <v>1</v>
      </c>
      <c r="G48" s="380" t="n">
        <v>0</v>
      </c>
      <c r="H48" s="358" t="n">
        <v>0</v>
      </c>
      <c r="I48" s="358" t="n">
        <v>0</v>
      </c>
      <c r="J48" s="358" t="n">
        <v>0</v>
      </c>
      <c r="K48" s="358" t="n">
        <v>0</v>
      </c>
      <c r="L48" s="358" t="n">
        <v>0</v>
      </c>
      <c r="M48" s="381" t="n">
        <v>0</v>
      </c>
      <c r="N48" s="381" t="n">
        <v>1</v>
      </c>
      <c r="O48" s="381" t="n">
        <v>0</v>
      </c>
      <c r="P48" s="359" t="n">
        <v>1</v>
      </c>
    </row>
    <row r="49" customFormat="false" ht="15" hidden="true" customHeight="false" outlineLevel="0" collapsed="false">
      <c r="B49" s="360" t="s">
        <v>3520</v>
      </c>
      <c r="C49" s="381" t="n">
        <v>0</v>
      </c>
      <c r="D49" s="381" t="n">
        <v>1</v>
      </c>
      <c r="E49" s="381" t="n">
        <v>0</v>
      </c>
      <c r="F49" s="359" t="n">
        <v>1</v>
      </c>
      <c r="G49" s="380" t="n">
        <v>0</v>
      </c>
      <c r="H49" s="358" t="n">
        <v>0</v>
      </c>
      <c r="I49" s="358" t="n">
        <v>0</v>
      </c>
      <c r="J49" s="358" t="n">
        <v>0</v>
      </c>
      <c r="K49" s="358" t="n">
        <v>0</v>
      </c>
      <c r="L49" s="358" t="n">
        <v>0</v>
      </c>
      <c r="M49" s="381" t="n">
        <v>0</v>
      </c>
      <c r="N49" s="381" t="n">
        <v>1</v>
      </c>
      <c r="O49" s="381" t="n">
        <v>0</v>
      </c>
      <c r="P49" s="359" t="n">
        <v>1</v>
      </c>
    </row>
    <row r="50" customFormat="false" ht="15" hidden="true" customHeight="false" outlineLevel="0" collapsed="false">
      <c r="B50" s="360" t="s">
        <v>3521</v>
      </c>
      <c r="C50" s="381" t="n">
        <v>0</v>
      </c>
      <c r="D50" s="381" t="n">
        <v>1</v>
      </c>
      <c r="E50" s="381" t="n">
        <v>0</v>
      </c>
      <c r="F50" s="359" t="n">
        <v>1</v>
      </c>
      <c r="G50" s="380" t="n">
        <v>0</v>
      </c>
      <c r="H50" s="358" t="n">
        <v>0</v>
      </c>
      <c r="I50" s="358" t="n">
        <v>0</v>
      </c>
      <c r="J50" s="358" t="n">
        <v>0</v>
      </c>
      <c r="K50" s="358" t="n">
        <v>0</v>
      </c>
      <c r="L50" s="358" t="n">
        <v>0</v>
      </c>
      <c r="M50" s="381" t="n">
        <v>0</v>
      </c>
      <c r="N50" s="381" t="n">
        <v>1</v>
      </c>
      <c r="O50" s="381" t="n">
        <v>0</v>
      </c>
      <c r="P50" s="359" t="n">
        <v>1</v>
      </c>
    </row>
    <row r="51" customFormat="false" ht="15" hidden="true" customHeight="false" outlineLevel="0" collapsed="false">
      <c r="B51" s="360" t="s">
        <v>3522</v>
      </c>
      <c r="C51" s="381" t="n">
        <v>0</v>
      </c>
      <c r="D51" s="381" t="n">
        <v>0</v>
      </c>
      <c r="E51" s="381" t="n">
        <v>1</v>
      </c>
      <c r="F51" s="359" t="n">
        <v>1</v>
      </c>
      <c r="G51" s="380" t="n">
        <v>0</v>
      </c>
      <c r="H51" s="358" t="n">
        <v>0</v>
      </c>
      <c r="I51" s="358" t="n">
        <v>0</v>
      </c>
      <c r="J51" s="358" t="n">
        <v>0</v>
      </c>
      <c r="K51" s="358" t="n">
        <v>0</v>
      </c>
      <c r="L51" s="358" t="n">
        <v>0</v>
      </c>
      <c r="M51" s="381" t="n">
        <v>0</v>
      </c>
      <c r="N51" s="381" t="n">
        <v>0</v>
      </c>
      <c r="O51" s="381" t="n">
        <v>1</v>
      </c>
      <c r="P51" s="359" t="n">
        <v>1</v>
      </c>
    </row>
    <row r="52" customFormat="false" ht="15" hidden="true" customHeight="false" outlineLevel="0" collapsed="false">
      <c r="B52" s="360" t="s">
        <v>2539</v>
      </c>
      <c r="C52" s="381" t="n">
        <v>1</v>
      </c>
      <c r="D52" s="381" t="n">
        <v>0</v>
      </c>
      <c r="E52" s="381" t="n">
        <v>0</v>
      </c>
      <c r="F52" s="359" t="n">
        <v>1</v>
      </c>
      <c r="G52" s="380" t="n">
        <v>0</v>
      </c>
      <c r="H52" s="358" t="n">
        <v>0</v>
      </c>
      <c r="I52" s="358" t="n">
        <v>0</v>
      </c>
      <c r="J52" s="358" t="n">
        <v>0</v>
      </c>
      <c r="K52" s="358" t="n">
        <v>0</v>
      </c>
      <c r="L52" s="358" t="n">
        <v>0</v>
      </c>
      <c r="M52" s="381" t="n">
        <v>1</v>
      </c>
      <c r="N52" s="381" t="n">
        <v>0</v>
      </c>
      <c r="O52" s="381" t="n">
        <v>0</v>
      </c>
      <c r="P52" s="359" t="n">
        <v>1</v>
      </c>
    </row>
    <row r="53" customFormat="false" ht="15" hidden="true" customHeight="false" outlineLevel="0" collapsed="false">
      <c r="B53" s="360" t="s">
        <v>2540</v>
      </c>
      <c r="C53" s="381" t="n">
        <v>1</v>
      </c>
      <c r="D53" s="381" t="n">
        <v>0</v>
      </c>
      <c r="E53" s="381" t="n">
        <v>0</v>
      </c>
      <c r="F53" s="359" t="n">
        <v>1</v>
      </c>
      <c r="G53" s="380" t="n">
        <v>0</v>
      </c>
      <c r="H53" s="358" t="n">
        <v>0</v>
      </c>
      <c r="I53" s="358" t="n">
        <v>0</v>
      </c>
      <c r="J53" s="358" t="n">
        <v>0</v>
      </c>
      <c r="K53" s="358" t="n">
        <v>0</v>
      </c>
      <c r="L53" s="358" t="n">
        <v>0</v>
      </c>
      <c r="M53" s="381" t="n">
        <v>1</v>
      </c>
      <c r="N53" s="381" t="n">
        <v>0</v>
      </c>
      <c r="O53" s="381" t="n">
        <v>0</v>
      </c>
      <c r="P53" s="359" t="n">
        <v>1</v>
      </c>
    </row>
    <row r="54" customFormat="false" ht="15" hidden="true" customHeight="false" outlineLevel="0" collapsed="false">
      <c r="B54" s="360" t="s">
        <v>2541</v>
      </c>
      <c r="C54" s="381" t="n">
        <v>1</v>
      </c>
      <c r="D54" s="381" t="n">
        <v>0</v>
      </c>
      <c r="E54" s="381" t="n">
        <v>0</v>
      </c>
      <c r="F54" s="359" t="n">
        <v>1</v>
      </c>
      <c r="G54" s="380" t="n">
        <v>0</v>
      </c>
      <c r="H54" s="358" t="n">
        <v>0</v>
      </c>
      <c r="I54" s="358" t="n">
        <v>0</v>
      </c>
      <c r="J54" s="358" t="n">
        <v>0</v>
      </c>
      <c r="K54" s="358" t="n">
        <v>0</v>
      </c>
      <c r="L54" s="358" t="n">
        <v>0</v>
      </c>
      <c r="M54" s="381" t="n">
        <v>1</v>
      </c>
      <c r="N54" s="381" t="n">
        <v>0</v>
      </c>
      <c r="O54" s="381" t="n">
        <v>0</v>
      </c>
      <c r="P54" s="359" t="n">
        <v>1</v>
      </c>
    </row>
    <row r="55" customFormat="false" ht="15" hidden="true" customHeight="false" outlineLevel="0" collapsed="false">
      <c r="B55" s="360" t="s">
        <v>2542</v>
      </c>
      <c r="C55" s="381" t="n">
        <v>1</v>
      </c>
      <c r="D55" s="381" t="n">
        <v>0</v>
      </c>
      <c r="E55" s="381" t="n">
        <v>0</v>
      </c>
      <c r="F55" s="359" t="n">
        <v>1</v>
      </c>
      <c r="G55" s="380" t="n">
        <v>0</v>
      </c>
      <c r="H55" s="358" t="n">
        <v>0</v>
      </c>
      <c r="I55" s="358" t="n">
        <v>0</v>
      </c>
      <c r="J55" s="358" t="n">
        <v>0</v>
      </c>
      <c r="K55" s="358" t="n">
        <v>0</v>
      </c>
      <c r="L55" s="358" t="n">
        <v>0</v>
      </c>
      <c r="M55" s="381" t="n">
        <v>1</v>
      </c>
      <c r="N55" s="381" t="n">
        <v>0</v>
      </c>
      <c r="O55" s="381" t="n">
        <v>0</v>
      </c>
      <c r="P55" s="359" t="n">
        <v>1</v>
      </c>
    </row>
    <row r="56" customFormat="false" ht="15" hidden="true" customHeight="false" outlineLevel="0" collapsed="false">
      <c r="B56" s="360" t="s">
        <v>2543</v>
      </c>
      <c r="C56" s="381" t="n">
        <v>1</v>
      </c>
      <c r="D56" s="381" t="n">
        <v>0</v>
      </c>
      <c r="E56" s="381" t="n">
        <v>0</v>
      </c>
      <c r="F56" s="359" t="n">
        <v>1</v>
      </c>
      <c r="G56" s="380" t="n">
        <v>0</v>
      </c>
      <c r="H56" s="358" t="n">
        <v>0</v>
      </c>
      <c r="I56" s="358" t="n">
        <v>0</v>
      </c>
      <c r="J56" s="358" t="n">
        <v>0</v>
      </c>
      <c r="K56" s="358" t="n">
        <v>0</v>
      </c>
      <c r="L56" s="358" t="n">
        <v>0</v>
      </c>
      <c r="M56" s="381" t="n">
        <v>1</v>
      </c>
      <c r="N56" s="381" t="n">
        <v>0</v>
      </c>
      <c r="O56" s="381" t="n">
        <v>0</v>
      </c>
      <c r="P56" s="359" t="n">
        <v>1</v>
      </c>
    </row>
    <row r="57" customFormat="false" ht="15" hidden="true" customHeight="false" outlineLevel="0" collapsed="false">
      <c r="B57" s="360" t="s">
        <v>2544</v>
      </c>
      <c r="C57" s="381" t="n">
        <v>1</v>
      </c>
      <c r="D57" s="381" t="n">
        <v>0</v>
      </c>
      <c r="E57" s="381" t="n">
        <v>0</v>
      </c>
      <c r="F57" s="359" t="n">
        <v>1</v>
      </c>
      <c r="G57" s="380" t="n">
        <v>0</v>
      </c>
      <c r="H57" s="358" t="n">
        <v>0</v>
      </c>
      <c r="I57" s="358" t="n">
        <v>0</v>
      </c>
      <c r="J57" s="358" t="n">
        <v>0</v>
      </c>
      <c r="K57" s="358" t="n">
        <v>0</v>
      </c>
      <c r="L57" s="358" t="n">
        <v>0</v>
      </c>
      <c r="M57" s="381" t="n">
        <v>1</v>
      </c>
      <c r="N57" s="381" t="n">
        <v>0</v>
      </c>
      <c r="O57" s="381" t="n">
        <v>0</v>
      </c>
      <c r="P57" s="359" t="n">
        <v>1</v>
      </c>
    </row>
    <row r="58" customFormat="false" ht="15" hidden="true" customHeight="false" outlineLevel="0" collapsed="false">
      <c r="B58" s="360" t="s">
        <v>2545</v>
      </c>
      <c r="C58" s="381" t="n">
        <v>1</v>
      </c>
      <c r="D58" s="381" t="n">
        <v>0</v>
      </c>
      <c r="E58" s="381" t="n">
        <v>0</v>
      </c>
      <c r="F58" s="359" t="n">
        <v>1</v>
      </c>
      <c r="G58" s="380" t="n">
        <v>0</v>
      </c>
      <c r="H58" s="358" t="n">
        <v>0</v>
      </c>
      <c r="I58" s="358" t="n">
        <v>0</v>
      </c>
      <c r="J58" s="358" t="n">
        <v>0</v>
      </c>
      <c r="K58" s="358" t="n">
        <v>0</v>
      </c>
      <c r="L58" s="358" t="n">
        <v>0</v>
      </c>
      <c r="M58" s="381" t="n">
        <v>1</v>
      </c>
      <c r="N58" s="381" t="n">
        <v>0</v>
      </c>
      <c r="O58" s="381" t="n">
        <v>0</v>
      </c>
      <c r="P58" s="359" t="n">
        <v>1</v>
      </c>
    </row>
    <row r="59" customFormat="false" ht="15" hidden="true" customHeight="false" outlineLevel="0" collapsed="false">
      <c r="B59" s="360" t="s">
        <v>2546</v>
      </c>
      <c r="C59" s="381" t="n">
        <v>1</v>
      </c>
      <c r="D59" s="381" t="n">
        <v>0</v>
      </c>
      <c r="E59" s="381" t="n">
        <v>0</v>
      </c>
      <c r="F59" s="359" t="n">
        <v>1</v>
      </c>
      <c r="G59" s="380" t="n">
        <v>0</v>
      </c>
      <c r="H59" s="358" t="n">
        <v>0</v>
      </c>
      <c r="I59" s="358" t="n">
        <v>0</v>
      </c>
      <c r="J59" s="358" t="n">
        <v>0</v>
      </c>
      <c r="K59" s="358" t="n">
        <v>0</v>
      </c>
      <c r="L59" s="358" t="n">
        <v>0</v>
      </c>
      <c r="M59" s="381" t="n">
        <v>1</v>
      </c>
      <c r="N59" s="381" t="n">
        <v>0</v>
      </c>
      <c r="O59" s="381" t="n">
        <v>0</v>
      </c>
      <c r="P59" s="359" t="n">
        <v>1</v>
      </c>
    </row>
    <row r="60" customFormat="false" ht="15" hidden="true" customHeight="false" outlineLevel="0" collapsed="false">
      <c r="B60" s="360" t="s">
        <v>2547</v>
      </c>
      <c r="C60" s="381" t="n">
        <v>1</v>
      </c>
      <c r="D60" s="381" t="n">
        <v>0</v>
      </c>
      <c r="E60" s="381" t="n">
        <v>0</v>
      </c>
      <c r="F60" s="359" t="n">
        <v>1</v>
      </c>
      <c r="G60" s="380" t="n">
        <v>0</v>
      </c>
      <c r="H60" s="358" t="n">
        <v>0</v>
      </c>
      <c r="I60" s="358" t="n">
        <v>0</v>
      </c>
      <c r="J60" s="358" t="n">
        <v>0</v>
      </c>
      <c r="K60" s="358" t="n">
        <v>0</v>
      </c>
      <c r="L60" s="358" t="n">
        <v>0</v>
      </c>
      <c r="M60" s="381" t="n">
        <v>1</v>
      </c>
      <c r="N60" s="381" t="n">
        <v>0</v>
      </c>
      <c r="O60" s="381" t="n">
        <v>0</v>
      </c>
      <c r="P60" s="359" t="n">
        <v>1</v>
      </c>
    </row>
    <row r="61" customFormat="false" ht="15" hidden="true" customHeight="false" outlineLevel="0" collapsed="false">
      <c r="B61" s="360" t="s">
        <v>2548</v>
      </c>
      <c r="C61" s="381" t="n">
        <v>1</v>
      </c>
      <c r="D61" s="381" t="n">
        <v>0</v>
      </c>
      <c r="E61" s="381" t="n">
        <v>0</v>
      </c>
      <c r="F61" s="359" t="n">
        <v>1</v>
      </c>
      <c r="G61" s="380" t="n">
        <v>0</v>
      </c>
      <c r="H61" s="358" t="n">
        <v>0</v>
      </c>
      <c r="I61" s="358" t="n">
        <v>0</v>
      </c>
      <c r="J61" s="358" t="n">
        <v>0</v>
      </c>
      <c r="K61" s="358" t="n">
        <v>0</v>
      </c>
      <c r="L61" s="358" t="n">
        <v>0</v>
      </c>
      <c r="M61" s="381" t="n">
        <v>1</v>
      </c>
      <c r="N61" s="381" t="n">
        <v>0</v>
      </c>
      <c r="O61" s="381" t="n">
        <v>0</v>
      </c>
      <c r="P61" s="359" t="n">
        <v>1</v>
      </c>
    </row>
    <row r="62" customFormat="false" ht="15" hidden="true" customHeight="false" outlineLevel="0" collapsed="false">
      <c r="B62" s="360" t="s">
        <v>2549</v>
      </c>
      <c r="C62" s="381" t="n">
        <v>1</v>
      </c>
      <c r="D62" s="381" t="n">
        <v>0</v>
      </c>
      <c r="E62" s="381" t="n">
        <v>0</v>
      </c>
      <c r="F62" s="359" t="n">
        <v>1</v>
      </c>
      <c r="G62" s="380" t="n">
        <v>0</v>
      </c>
      <c r="H62" s="358" t="n">
        <v>0</v>
      </c>
      <c r="I62" s="358" t="n">
        <v>0</v>
      </c>
      <c r="J62" s="358" t="n">
        <v>0</v>
      </c>
      <c r="K62" s="358" t="n">
        <v>0</v>
      </c>
      <c r="L62" s="358" t="n">
        <v>0</v>
      </c>
      <c r="M62" s="381" t="n">
        <v>1</v>
      </c>
      <c r="N62" s="381" t="n">
        <v>0</v>
      </c>
      <c r="O62" s="381" t="n">
        <v>0</v>
      </c>
      <c r="P62" s="359" t="n">
        <v>1</v>
      </c>
    </row>
    <row r="63" customFormat="false" ht="15" hidden="true" customHeight="false" outlineLevel="0" collapsed="false">
      <c r="B63" s="360" t="s">
        <v>2550</v>
      </c>
      <c r="C63" s="381" t="n">
        <v>1</v>
      </c>
      <c r="D63" s="381" t="n">
        <v>0</v>
      </c>
      <c r="E63" s="381" t="n">
        <v>0</v>
      </c>
      <c r="F63" s="359" t="n">
        <v>1</v>
      </c>
      <c r="G63" s="380" t="n">
        <v>0</v>
      </c>
      <c r="H63" s="358" t="n">
        <v>0</v>
      </c>
      <c r="I63" s="358" t="n">
        <v>0</v>
      </c>
      <c r="J63" s="358" t="n">
        <v>0</v>
      </c>
      <c r="K63" s="358" t="n">
        <v>0</v>
      </c>
      <c r="L63" s="358" t="n">
        <v>0</v>
      </c>
      <c r="M63" s="381" t="n">
        <v>1</v>
      </c>
      <c r="N63" s="381" t="n">
        <v>0</v>
      </c>
      <c r="O63" s="381" t="n">
        <v>0</v>
      </c>
      <c r="P63" s="359" t="n">
        <v>1</v>
      </c>
    </row>
    <row r="64" customFormat="false" ht="15" hidden="true" customHeight="false" outlineLevel="0" collapsed="false">
      <c r="B64" s="360" t="s">
        <v>2551</v>
      </c>
      <c r="C64" s="381" t="n">
        <v>1</v>
      </c>
      <c r="D64" s="381" t="n">
        <v>0</v>
      </c>
      <c r="E64" s="381" t="n">
        <v>0</v>
      </c>
      <c r="F64" s="359" t="n">
        <v>1</v>
      </c>
      <c r="G64" s="380" t="n">
        <v>0</v>
      </c>
      <c r="H64" s="358" t="n">
        <v>0</v>
      </c>
      <c r="I64" s="358" t="n">
        <v>0</v>
      </c>
      <c r="J64" s="358" t="n">
        <v>0</v>
      </c>
      <c r="K64" s="358" t="n">
        <v>0</v>
      </c>
      <c r="L64" s="358" t="n">
        <v>0</v>
      </c>
      <c r="M64" s="381" t="n">
        <v>1</v>
      </c>
      <c r="N64" s="381" t="n">
        <v>0</v>
      </c>
      <c r="O64" s="381" t="n">
        <v>0</v>
      </c>
      <c r="P64" s="359" t="n">
        <v>1</v>
      </c>
    </row>
    <row r="65" customFormat="false" ht="15" hidden="true" customHeight="false" outlineLevel="0" collapsed="false">
      <c r="B65" s="360" t="s">
        <v>2552</v>
      </c>
      <c r="C65" s="381" t="n">
        <v>1</v>
      </c>
      <c r="D65" s="381" t="n">
        <v>0</v>
      </c>
      <c r="E65" s="381" t="n">
        <v>0</v>
      </c>
      <c r="F65" s="359" t="n">
        <v>1</v>
      </c>
      <c r="G65" s="380" t="n">
        <v>0</v>
      </c>
      <c r="H65" s="358" t="n">
        <v>0</v>
      </c>
      <c r="I65" s="358" t="n">
        <v>0</v>
      </c>
      <c r="J65" s="358" t="n">
        <v>0</v>
      </c>
      <c r="K65" s="358" t="n">
        <v>0</v>
      </c>
      <c r="L65" s="358" t="n">
        <v>0</v>
      </c>
      <c r="M65" s="381" t="n">
        <v>1</v>
      </c>
      <c r="N65" s="381" t="n">
        <v>0</v>
      </c>
      <c r="O65" s="381" t="n">
        <v>0</v>
      </c>
      <c r="P65" s="359" t="n">
        <v>1</v>
      </c>
    </row>
    <row r="66" customFormat="false" ht="15" hidden="true" customHeight="false" outlineLevel="0" collapsed="false">
      <c r="B66" s="360" t="s">
        <v>2553</v>
      </c>
      <c r="C66" s="381" t="n">
        <v>1</v>
      </c>
      <c r="D66" s="381" t="n">
        <v>0</v>
      </c>
      <c r="E66" s="381" t="n">
        <v>0</v>
      </c>
      <c r="F66" s="359" t="n">
        <v>1</v>
      </c>
      <c r="G66" s="380" t="n">
        <v>0</v>
      </c>
      <c r="H66" s="358" t="n">
        <v>0</v>
      </c>
      <c r="I66" s="358" t="n">
        <v>0</v>
      </c>
      <c r="J66" s="358" t="n">
        <v>0</v>
      </c>
      <c r="K66" s="358" t="n">
        <v>0</v>
      </c>
      <c r="L66" s="358" t="n">
        <v>0</v>
      </c>
      <c r="M66" s="381" t="n">
        <v>1</v>
      </c>
      <c r="N66" s="381" t="n">
        <v>0</v>
      </c>
      <c r="O66" s="381" t="n">
        <v>0</v>
      </c>
      <c r="P66" s="359" t="n">
        <v>1</v>
      </c>
    </row>
    <row r="67" customFormat="false" ht="15" hidden="true" customHeight="false" outlineLevel="0" collapsed="false">
      <c r="B67" s="360" t="s">
        <v>2554</v>
      </c>
      <c r="C67" s="381" t="n">
        <v>1</v>
      </c>
      <c r="D67" s="381" t="n">
        <v>0</v>
      </c>
      <c r="E67" s="381" t="n">
        <v>0</v>
      </c>
      <c r="F67" s="359" t="n">
        <v>1</v>
      </c>
      <c r="G67" s="380" t="n">
        <v>0</v>
      </c>
      <c r="H67" s="358" t="n">
        <v>0</v>
      </c>
      <c r="I67" s="358" t="n">
        <v>0</v>
      </c>
      <c r="J67" s="358" t="n">
        <v>0</v>
      </c>
      <c r="K67" s="358" t="n">
        <v>0</v>
      </c>
      <c r="L67" s="358" t="n">
        <v>0</v>
      </c>
      <c r="M67" s="381" t="n">
        <v>1</v>
      </c>
      <c r="N67" s="381" t="n">
        <v>0</v>
      </c>
      <c r="O67" s="381" t="n">
        <v>0</v>
      </c>
      <c r="P67" s="359" t="n">
        <v>1</v>
      </c>
    </row>
    <row r="68" customFormat="false" ht="15" hidden="true" customHeight="false" outlineLevel="0" collapsed="false">
      <c r="B68" s="360" t="s">
        <v>2555</v>
      </c>
      <c r="C68" s="381" t="n">
        <v>1</v>
      </c>
      <c r="D68" s="381" t="n">
        <v>0</v>
      </c>
      <c r="E68" s="381" t="n">
        <v>0</v>
      </c>
      <c r="F68" s="359" t="n">
        <v>1</v>
      </c>
      <c r="G68" s="380" t="n">
        <v>0</v>
      </c>
      <c r="H68" s="358" t="n">
        <v>0</v>
      </c>
      <c r="I68" s="358" t="n">
        <v>0</v>
      </c>
      <c r="J68" s="358" t="n">
        <v>0</v>
      </c>
      <c r="K68" s="358" t="n">
        <v>0</v>
      </c>
      <c r="L68" s="358" t="n">
        <v>0</v>
      </c>
      <c r="M68" s="381" t="n">
        <v>1</v>
      </c>
      <c r="N68" s="381" t="n">
        <v>0</v>
      </c>
      <c r="O68" s="381" t="n">
        <v>0</v>
      </c>
      <c r="P68" s="359" t="n">
        <v>1</v>
      </c>
    </row>
    <row r="69" customFormat="false" ht="15" hidden="true" customHeight="false" outlineLevel="0" collapsed="false">
      <c r="B69" s="360" t="s">
        <v>2556</v>
      </c>
      <c r="C69" s="381" t="n">
        <v>1</v>
      </c>
      <c r="D69" s="381" t="n">
        <v>0</v>
      </c>
      <c r="E69" s="381" t="n">
        <v>0</v>
      </c>
      <c r="F69" s="359" t="n">
        <v>1</v>
      </c>
      <c r="G69" s="380" t="n">
        <v>0</v>
      </c>
      <c r="H69" s="358" t="n">
        <v>0</v>
      </c>
      <c r="I69" s="358" t="n">
        <v>0</v>
      </c>
      <c r="J69" s="358" t="n">
        <v>0</v>
      </c>
      <c r="K69" s="358" t="n">
        <v>0</v>
      </c>
      <c r="L69" s="358" t="n">
        <v>0</v>
      </c>
      <c r="M69" s="381" t="n">
        <v>1</v>
      </c>
      <c r="N69" s="381" t="n">
        <v>0</v>
      </c>
      <c r="O69" s="381" t="n">
        <v>0</v>
      </c>
      <c r="P69" s="359" t="n">
        <v>1</v>
      </c>
    </row>
    <row r="70" customFormat="false" ht="15" hidden="true" customHeight="false" outlineLevel="0" collapsed="false">
      <c r="B70" s="360" t="s">
        <v>2557</v>
      </c>
      <c r="C70" s="381" t="n">
        <v>1</v>
      </c>
      <c r="D70" s="381" t="n">
        <v>0</v>
      </c>
      <c r="E70" s="381" t="n">
        <v>0</v>
      </c>
      <c r="F70" s="359" t="n">
        <v>1</v>
      </c>
      <c r="G70" s="380" t="n">
        <v>0</v>
      </c>
      <c r="H70" s="358" t="n">
        <v>0</v>
      </c>
      <c r="I70" s="358" t="n">
        <v>0</v>
      </c>
      <c r="J70" s="358" t="n">
        <v>0</v>
      </c>
      <c r="K70" s="358" t="n">
        <v>0</v>
      </c>
      <c r="L70" s="358" t="n">
        <v>0</v>
      </c>
      <c r="M70" s="381" t="n">
        <v>1</v>
      </c>
      <c r="N70" s="381" t="n">
        <v>0</v>
      </c>
      <c r="O70" s="381" t="n">
        <v>0</v>
      </c>
      <c r="P70" s="359" t="n">
        <v>1</v>
      </c>
    </row>
    <row r="71" customFormat="false" ht="15" hidden="true" customHeight="false" outlineLevel="0" collapsed="false">
      <c r="B71" s="361" t="s">
        <v>2558</v>
      </c>
      <c r="C71" s="381" t="n">
        <v>1</v>
      </c>
      <c r="D71" s="381" t="n">
        <v>0</v>
      </c>
      <c r="E71" s="381" t="n">
        <v>0</v>
      </c>
      <c r="F71" s="359" t="n">
        <v>1</v>
      </c>
      <c r="G71" s="380" t="n">
        <v>0</v>
      </c>
      <c r="H71" s="358" t="n">
        <v>0</v>
      </c>
      <c r="I71" s="358" t="n">
        <v>0</v>
      </c>
      <c r="J71" s="358" t="n">
        <v>0</v>
      </c>
      <c r="K71" s="358" t="n">
        <v>0</v>
      </c>
      <c r="L71" s="358" t="n">
        <v>0</v>
      </c>
      <c r="M71" s="381" t="n">
        <v>1</v>
      </c>
      <c r="N71" s="381" t="n">
        <v>0</v>
      </c>
      <c r="O71" s="381" t="n">
        <v>0</v>
      </c>
      <c r="P71" s="359" t="n">
        <v>1</v>
      </c>
    </row>
    <row r="72" customFormat="false" ht="15" hidden="true" customHeight="false" outlineLevel="0" collapsed="false">
      <c r="B72" s="360" t="s">
        <v>2559</v>
      </c>
      <c r="C72" s="381" t="n">
        <v>1</v>
      </c>
      <c r="D72" s="381" t="n">
        <v>0</v>
      </c>
      <c r="E72" s="381" t="n">
        <v>0</v>
      </c>
      <c r="F72" s="359" t="n">
        <v>1</v>
      </c>
      <c r="G72" s="380" t="n">
        <v>0</v>
      </c>
      <c r="H72" s="358" t="n">
        <v>0</v>
      </c>
      <c r="I72" s="358" t="n">
        <v>0</v>
      </c>
      <c r="J72" s="358" t="n">
        <v>0</v>
      </c>
      <c r="K72" s="358" t="n">
        <v>0</v>
      </c>
      <c r="L72" s="358" t="n">
        <v>0</v>
      </c>
      <c r="M72" s="381" t="n">
        <v>1</v>
      </c>
      <c r="N72" s="381" t="n">
        <v>0</v>
      </c>
      <c r="O72" s="381" t="n">
        <v>0</v>
      </c>
      <c r="P72" s="359" t="n">
        <v>1</v>
      </c>
    </row>
    <row r="73" customFormat="false" ht="15" hidden="true" customHeight="false" outlineLevel="0" collapsed="false">
      <c r="B73" s="360" t="s">
        <v>2560</v>
      </c>
      <c r="C73" s="381" t="n">
        <v>1</v>
      </c>
      <c r="D73" s="381" t="n">
        <v>0</v>
      </c>
      <c r="E73" s="381" t="n">
        <v>0</v>
      </c>
      <c r="F73" s="359" t="n">
        <v>1</v>
      </c>
      <c r="G73" s="380" t="n">
        <v>0</v>
      </c>
      <c r="H73" s="358" t="n">
        <v>0</v>
      </c>
      <c r="I73" s="358" t="n">
        <v>0</v>
      </c>
      <c r="J73" s="358" t="n">
        <v>0</v>
      </c>
      <c r="K73" s="358" t="n">
        <v>0</v>
      </c>
      <c r="L73" s="358" t="n">
        <v>0</v>
      </c>
      <c r="M73" s="381" t="n">
        <v>1</v>
      </c>
      <c r="N73" s="381" t="n">
        <v>0</v>
      </c>
      <c r="O73" s="381" t="n">
        <v>0</v>
      </c>
      <c r="P73" s="359" t="n">
        <v>1</v>
      </c>
    </row>
    <row r="74" customFormat="false" ht="15" hidden="true" customHeight="false" outlineLevel="0" collapsed="false">
      <c r="B74" s="360" t="s">
        <v>2561</v>
      </c>
      <c r="C74" s="381" t="n">
        <v>1</v>
      </c>
      <c r="D74" s="381" t="n">
        <v>0</v>
      </c>
      <c r="E74" s="381" t="n">
        <v>0</v>
      </c>
      <c r="F74" s="359" t="n">
        <v>1</v>
      </c>
      <c r="G74" s="380" t="n">
        <v>0</v>
      </c>
      <c r="H74" s="358" t="n">
        <v>0</v>
      </c>
      <c r="I74" s="358" t="n">
        <v>0</v>
      </c>
      <c r="J74" s="358" t="n">
        <v>0</v>
      </c>
      <c r="K74" s="358" t="n">
        <v>0</v>
      </c>
      <c r="L74" s="358" t="n">
        <v>0</v>
      </c>
      <c r="M74" s="381" t="n">
        <v>1</v>
      </c>
      <c r="N74" s="381" t="n">
        <v>0</v>
      </c>
      <c r="O74" s="381" t="n">
        <v>0</v>
      </c>
      <c r="P74" s="359" t="n">
        <v>1</v>
      </c>
    </row>
    <row r="75" customFormat="false" ht="15" hidden="true" customHeight="false" outlineLevel="0" collapsed="false">
      <c r="B75" s="360" t="s">
        <v>2562</v>
      </c>
      <c r="C75" s="381" t="n">
        <v>1</v>
      </c>
      <c r="D75" s="381" t="n">
        <v>0</v>
      </c>
      <c r="E75" s="381" t="n">
        <v>0</v>
      </c>
      <c r="F75" s="359" t="n">
        <v>1</v>
      </c>
      <c r="G75" s="380" t="n">
        <v>0</v>
      </c>
      <c r="H75" s="358" t="n">
        <v>0</v>
      </c>
      <c r="I75" s="358" t="n">
        <v>0</v>
      </c>
      <c r="J75" s="358" t="n">
        <v>0</v>
      </c>
      <c r="K75" s="358" t="n">
        <v>0</v>
      </c>
      <c r="L75" s="358" t="n">
        <v>0</v>
      </c>
      <c r="M75" s="381" t="n">
        <v>1</v>
      </c>
      <c r="N75" s="381" t="n">
        <v>0</v>
      </c>
      <c r="O75" s="381" t="n">
        <v>0</v>
      </c>
      <c r="P75" s="359" t="n">
        <v>1</v>
      </c>
    </row>
    <row r="76" customFormat="false" ht="15" hidden="true" customHeight="false" outlineLevel="0" collapsed="false">
      <c r="B76" s="360" t="s">
        <v>2563</v>
      </c>
      <c r="C76" s="381" t="n">
        <v>1</v>
      </c>
      <c r="D76" s="381" t="n">
        <v>0</v>
      </c>
      <c r="E76" s="381" t="n">
        <v>0</v>
      </c>
      <c r="F76" s="359" t="n">
        <v>1</v>
      </c>
      <c r="G76" s="380" t="n">
        <v>0</v>
      </c>
      <c r="H76" s="358" t="n">
        <v>0</v>
      </c>
      <c r="I76" s="358" t="n">
        <v>0</v>
      </c>
      <c r="J76" s="358" t="n">
        <v>0</v>
      </c>
      <c r="K76" s="358" t="n">
        <v>0</v>
      </c>
      <c r="L76" s="358" t="n">
        <v>0</v>
      </c>
      <c r="M76" s="381" t="n">
        <v>1</v>
      </c>
      <c r="N76" s="381" t="n">
        <v>0</v>
      </c>
      <c r="O76" s="381" t="n">
        <v>0</v>
      </c>
      <c r="P76" s="359" t="n">
        <v>1</v>
      </c>
    </row>
    <row r="77" customFormat="false" ht="15" hidden="true" customHeight="false" outlineLevel="0" collapsed="false">
      <c r="B77" s="360" t="s">
        <v>2564</v>
      </c>
      <c r="C77" s="381" t="n">
        <v>1</v>
      </c>
      <c r="D77" s="381" t="n">
        <v>0</v>
      </c>
      <c r="E77" s="381" t="n">
        <v>0</v>
      </c>
      <c r="F77" s="359" t="n">
        <v>1</v>
      </c>
      <c r="G77" s="380" t="n">
        <v>0</v>
      </c>
      <c r="H77" s="358" t="n">
        <v>0</v>
      </c>
      <c r="I77" s="358" t="n">
        <v>0</v>
      </c>
      <c r="J77" s="358" t="n">
        <v>0</v>
      </c>
      <c r="K77" s="358" t="n">
        <v>0</v>
      </c>
      <c r="L77" s="358" t="n">
        <v>0</v>
      </c>
      <c r="M77" s="381" t="n">
        <v>1</v>
      </c>
      <c r="N77" s="381" t="n">
        <v>0</v>
      </c>
      <c r="O77" s="381" t="n">
        <v>0</v>
      </c>
      <c r="P77" s="359" t="n">
        <v>1</v>
      </c>
    </row>
    <row r="78" customFormat="false" ht="15" hidden="true" customHeight="false" outlineLevel="0" collapsed="false">
      <c r="B78" s="360" t="s">
        <v>2565</v>
      </c>
      <c r="C78" s="381" t="n">
        <v>1</v>
      </c>
      <c r="D78" s="381" t="n">
        <v>0</v>
      </c>
      <c r="E78" s="381" t="n">
        <v>0</v>
      </c>
      <c r="F78" s="359" t="n">
        <v>1</v>
      </c>
      <c r="G78" s="380" t="n">
        <v>0</v>
      </c>
      <c r="H78" s="358" t="n">
        <v>0</v>
      </c>
      <c r="I78" s="358" t="n">
        <v>0</v>
      </c>
      <c r="J78" s="358" t="n">
        <v>0</v>
      </c>
      <c r="K78" s="358" t="n">
        <v>0</v>
      </c>
      <c r="L78" s="358" t="n">
        <v>0</v>
      </c>
      <c r="M78" s="381" t="n">
        <v>1</v>
      </c>
      <c r="N78" s="381" t="n">
        <v>0</v>
      </c>
      <c r="O78" s="381" t="n">
        <v>0</v>
      </c>
      <c r="P78" s="359" t="n">
        <v>1</v>
      </c>
    </row>
    <row r="79" customFormat="false" ht="15" hidden="true" customHeight="false" outlineLevel="0" collapsed="false">
      <c r="B79" s="360" t="s">
        <v>2566</v>
      </c>
      <c r="C79" s="381" t="n">
        <v>1</v>
      </c>
      <c r="D79" s="381" t="n">
        <v>0</v>
      </c>
      <c r="E79" s="381" t="n">
        <v>0</v>
      </c>
      <c r="F79" s="359" t="n">
        <v>1</v>
      </c>
      <c r="G79" s="380" t="n">
        <v>0</v>
      </c>
      <c r="H79" s="358" t="n">
        <v>0</v>
      </c>
      <c r="I79" s="358" t="n">
        <v>0</v>
      </c>
      <c r="J79" s="358" t="n">
        <v>0</v>
      </c>
      <c r="K79" s="358" t="n">
        <v>0</v>
      </c>
      <c r="L79" s="358" t="n">
        <v>0</v>
      </c>
      <c r="M79" s="381" t="n">
        <v>1</v>
      </c>
      <c r="N79" s="381" t="n">
        <v>0</v>
      </c>
      <c r="O79" s="381" t="n">
        <v>0</v>
      </c>
      <c r="P79" s="359" t="n">
        <v>1</v>
      </c>
    </row>
    <row r="80" customFormat="false" ht="15" hidden="true" customHeight="false" outlineLevel="0" collapsed="false">
      <c r="B80" s="360" t="s">
        <v>2567</v>
      </c>
      <c r="C80" s="381" t="n">
        <v>1</v>
      </c>
      <c r="D80" s="381" t="n">
        <v>0</v>
      </c>
      <c r="E80" s="381" t="n">
        <v>0</v>
      </c>
      <c r="F80" s="359" t="n">
        <v>1</v>
      </c>
      <c r="G80" s="380" t="n">
        <v>0</v>
      </c>
      <c r="H80" s="358" t="n">
        <v>0</v>
      </c>
      <c r="I80" s="358" t="n">
        <v>0</v>
      </c>
      <c r="J80" s="358" t="n">
        <v>0</v>
      </c>
      <c r="K80" s="358" t="n">
        <v>0</v>
      </c>
      <c r="L80" s="358" t="n">
        <v>0</v>
      </c>
      <c r="M80" s="381" t="n">
        <v>1</v>
      </c>
      <c r="N80" s="381" t="n">
        <v>0</v>
      </c>
      <c r="O80" s="381" t="n">
        <v>0</v>
      </c>
      <c r="P80" s="359" t="n">
        <v>1</v>
      </c>
    </row>
    <row r="81" customFormat="false" ht="15" hidden="true" customHeight="false" outlineLevel="0" collapsed="false">
      <c r="B81" s="360" t="s">
        <v>2568</v>
      </c>
      <c r="C81" s="381" t="n">
        <v>1</v>
      </c>
      <c r="D81" s="381" t="n">
        <v>0</v>
      </c>
      <c r="E81" s="381" t="n">
        <v>0</v>
      </c>
      <c r="F81" s="359" t="n">
        <v>1</v>
      </c>
      <c r="G81" s="380" t="n">
        <v>0</v>
      </c>
      <c r="H81" s="358" t="n">
        <v>0</v>
      </c>
      <c r="I81" s="358" t="n">
        <v>0</v>
      </c>
      <c r="J81" s="358" t="n">
        <v>0</v>
      </c>
      <c r="K81" s="358" t="n">
        <v>0</v>
      </c>
      <c r="L81" s="358" t="n">
        <v>0</v>
      </c>
      <c r="M81" s="381" t="n">
        <v>1</v>
      </c>
      <c r="N81" s="381" t="n">
        <v>0</v>
      </c>
      <c r="O81" s="381" t="n">
        <v>0</v>
      </c>
      <c r="P81" s="359" t="n">
        <v>1</v>
      </c>
    </row>
    <row r="82" customFormat="false" ht="15" hidden="true" customHeight="false" outlineLevel="0" collapsed="false">
      <c r="B82" s="360" t="s">
        <v>2569</v>
      </c>
      <c r="C82" s="381" t="n">
        <v>1</v>
      </c>
      <c r="D82" s="381" t="n">
        <v>0</v>
      </c>
      <c r="E82" s="381" t="n">
        <v>0</v>
      </c>
      <c r="F82" s="359" t="n">
        <v>1</v>
      </c>
      <c r="G82" s="380" t="n">
        <v>0</v>
      </c>
      <c r="H82" s="358" t="n">
        <v>0</v>
      </c>
      <c r="I82" s="358" t="n">
        <v>0</v>
      </c>
      <c r="J82" s="358" t="n">
        <v>0</v>
      </c>
      <c r="K82" s="358" t="n">
        <v>0</v>
      </c>
      <c r="L82" s="358" t="n">
        <v>0</v>
      </c>
      <c r="M82" s="381" t="n">
        <v>1</v>
      </c>
      <c r="N82" s="381" t="n">
        <v>0</v>
      </c>
      <c r="O82" s="381" t="n">
        <v>0</v>
      </c>
      <c r="P82" s="359" t="n">
        <v>1</v>
      </c>
    </row>
    <row r="83" customFormat="false" ht="15" hidden="true" customHeight="false" outlineLevel="0" collapsed="false">
      <c r="B83" s="360" t="s">
        <v>2570</v>
      </c>
      <c r="C83" s="381" t="n">
        <v>1</v>
      </c>
      <c r="D83" s="381" t="n">
        <v>0</v>
      </c>
      <c r="E83" s="381" t="n">
        <v>0</v>
      </c>
      <c r="F83" s="359" t="n">
        <v>1</v>
      </c>
      <c r="G83" s="380" t="n">
        <v>0</v>
      </c>
      <c r="H83" s="358" t="n">
        <v>0</v>
      </c>
      <c r="I83" s="358" t="n">
        <v>0</v>
      </c>
      <c r="J83" s="358" t="n">
        <v>0</v>
      </c>
      <c r="K83" s="358" t="n">
        <v>0</v>
      </c>
      <c r="L83" s="358" t="n">
        <v>0</v>
      </c>
      <c r="M83" s="381" t="n">
        <v>1</v>
      </c>
      <c r="N83" s="381" t="n">
        <v>0</v>
      </c>
      <c r="O83" s="381" t="n">
        <v>0</v>
      </c>
      <c r="P83" s="359" t="n">
        <v>1</v>
      </c>
    </row>
    <row r="84" customFormat="false" ht="15" hidden="true" customHeight="false" outlineLevel="0" collapsed="false">
      <c r="B84" s="360" t="s">
        <v>2571</v>
      </c>
      <c r="C84" s="381" t="n">
        <v>1</v>
      </c>
      <c r="D84" s="381" t="n">
        <v>0</v>
      </c>
      <c r="E84" s="381" t="n">
        <v>0</v>
      </c>
      <c r="F84" s="359" t="n">
        <v>1</v>
      </c>
      <c r="G84" s="380" t="n">
        <v>0</v>
      </c>
      <c r="H84" s="358" t="n">
        <v>0</v>
      </c>
      <c r="I84" s="358" t="n">
        <v>0</v>
      </c>
      <c r="J84" s="358" t="n">
        <v>0</v>
      </c>
      <c r="K84" s="358" t="n">
        <v>0</v>
      </c>
      <c r="L84" s="358" t="n">
        <v>0</v>
      </c>
      <c r="M84" s="381" t="n">
        <v>1</v>
      </c>
      <c r="N84" s="381" t="n">
        <v>0</v>
      </c>
      <c r="O84" s="381" t="n">
        <v>0</v>
      </c>
      <c r="P84" s="359" t="n">
        <v>1</v>
      </c>
    </row>
    <row r="85" customFormat="false" ht="15" hidden="true" customHeight="false" outlineLevel="0" collapsed="false">
      <c r="B85" s="360" t="s">
        <v>2572</v>
      </c>
      <c r="C85" s="381" t="n">
        <v>1</v>
      </c>
      <c r="D85" s="381" t="n">
        <v>0</v>
      </c>
      <c r="E85" s="381" t="n">
        <v>0</v>
      </c>
      <c r="F85" s="359" t="n">
        <v>1</v>
      </c>
      <c r="G85" s="380" t="n">
        <v>0</v>
      </c>
      <c r="H85" s="358" t="n">
        <v>0</v>
      </c>
      <c r="I85" s="358" t="n">
        <v>0</v>
      </c>
      <c r="J85" s="358" t="n">
        <v>0</v>
      </c>
      <c r="K85" s="358" t="n">
        <v>0</v>
      </c>
      <c r="L85" s="358" t="n">
        <v>0</v>
      </c>
      <c r="M85" s="381" t="n">
        <v>1</v>
      </c>
      <c r="N85" s="381" t="n">
        <v>0</v>
      </c>
      <c r="O85" s="381" t="n">
        <v>0</v>
      </c>
      <c r="P85" s="359" t="n">
        <v>1</v>
      </c>
    </row>
    <row r="86" customFormat="false" ht="15" hidden="true" customHeight="false" outlineLevel="0" collapsed="false">
      <c r="B86" s="360" t="s">
        <v>2573</v>
      </c>
      <c r="C86" s="381" t="n">
        <v>1</v>
      </c>
      <c r="D86" s="381" t="n">
        <v>0</v>
      </c>
      <c r="E86" s="381" t="n">
        <v>0</v>
      </c>
      <c r="F86" s="359" t="n">
        <v>1</v>
      </c>
      <c r="G86" s="380" t="n">
        <v>0</v>
      </c>
      <c r="H86" s="358" t="n">
        <v>0</v>
      </c>
      <c r="I86" s="358" t="n">
        <v>0</v>
      </c>
      <c r="J86" s="358" t="n">
        <v>0</v>
      </c>
      <c r="K86" s="358" t="n">
        <v>0</v>
      </c>
      <c r="L86" s="358" t="n">
        <v>0</v>
      </c>
      <c r="M86" s="381" t="n">
        <v>1</v>
      </c>
      <c r="N86" s="381" t="n">
        <v>0</v>
      </c>
      <c r="O86" s="381" t="n">
        <v>0</v>
      </c>
      <c r="P86" s="359" t="n">
        <v>1</v>
      </c>
    </row>
    <row r="87" customFormat="false" ht="15" hidden="true" customHeight="false" outlineLevel="0" collapsed="false">
      <c r="B87" s="360" t="s">
        <v>2574</v>
      </c>
      <c r="C87" s="381" t="n">
        <v>1</v>
      </c>
      <c r="D87" s="381" t="n">
        <v>0</v>
      </c>
      <c r="E87" s="381" t="n">
        <v>0</v>
      </c>
      <c r="F87" s="359" t="n">
        <v>1</v>
      </c>
      <c r="G87" s="380" t="n">
        <v>0</v>
      </c>
      <c r="H87" s="358" t="n">
        <v>0</v>
      </c>
      <c r="I87" s="358" t="n">
        <v>0</v>
      </c>
      <c r="J87" s="358" t="n">
        <v>0</v>
      </c>
      <c r="K87" s="358" t="n">
        <v>0</v>
      </c>
      <c r="L87" s="358" t="n">
        <v>0</v>
      </c>
      <c r="M87" s="381" t="n">
        <v>1</v>
      </c>
      <c r="N87" s="381" t="n">
        <v>0</v>
      </c>
      <c r="O87" s="381" t="n">
        <v>0</v>
      </c>
      <c r="P87" s="359" t="n">
        <v>1</v>
      </c>
    </row>
    <row r="88" customFormat="false" ht="15" hidden="true" customHeight="false" outlineLevel="0" collapsed="false">
      <c r="B88" s="360" t="s">
        <v>2575</v>
      </c>
      <c r="C88" s="381" t="n">
        <v>1</v>
      </c>
      <c r="D88" s="381" t="n">
        <v>0</v>
      </c>
      <c r="E88" s="381" t="n">
        <v>0</v>
      </c>
      <c r="F88" s="359" t="n">
        <v>1</v>
      </c>
      <c r="G88" s="380" t="n">
        <v>0</v>
      </c>
      <c r="H88" s="358" t="n">
        <v>0</v>
      </c>
      <c r="I88" s="358" t="n">
        <v>0</v>
      </c>
      <c r="J88" s="358" t="n">
        <v>0</v>
      </c>
      <c r="K88" s="358" t="n">
        <v>0</v>
      </c>
      <c r="L88" s="358" t="n">
        <v>0</v>
      </c>
      <c r="M88" s="381" t="n">
        <v>1</v>
      </c>
      <c r="N88" s="381" t="n">
        <v>0</v>
      </c>
      <c r="O88" s="381" t="n">
        <v>0</v>
      </c>
      <c r="P88" s="359" t="n">
        <v>1</v>
      </c>
    </row>
    <row r="89" customFormat="false" ht="15" hidden="true" customHeight="false" outlineLevel="0" collapsed="false">
      <c r="B89" s="360" t="s">
        <v>2576</v>
      </c>
      <c r="C89" s="381" t="n">
        <v>1</v>
      </c>
      <c r="D89" s="381" t="n">
        <v>0</v>
      </c>
      <c r="E89" s="381" t="n">
        <v>0</v>
      </c>
      <c r="F89" s="359" t="n">
        <v>1</v>
      </c>
      <c r="G89" s="380" t="n">
        <v>0</v>
      </c>
      <c r="H89" s="358" t="n">
        <v>0</v>
      </c>
      <c r="I89" s="358" t="n">
        <v>0</v>
      </c>
      <c r="J89" s="358" t="n">
        <v>0</v>
      </c>
      <c r="K89" s="358" t="n">
        <v>0</v>
      </c>
      <c r="L89" s="358" t="n">
        <v>0</v>
      </c>
      <c r="M89" s="381" t="n">
        <v>1</v>
      </c>
      <c r="N89" s="381" t="n">
        <v>0</v>
      </c>
      <c r="O89" s="381" t="n">
        <v>0</v>
      </c>
      <c r="P89" s="359" t="n">
        <v>1</v>
      </c>
    </row>
    <row r="90" customFormat="false" ht="15" hidden="true" customHeight="false" outlineLevel="0" collapsed="false">
      <c r="B90" s="360" t="s">
        <v>2577</v>
      </c>
      <c r="C90" s="381" t="n">
        <v>1</v>
      </c>
      <c r="D90" s="381" t="n">
        <v>0</v>
      </c>
      <c r="E90" s="381" t="n">
        <v>0</v>
      </c>
      <c r="F90" s="359" t="n">
        <v>1</v>
      </c>
      <c r="G90" s="380" t="n">
        <v>0</v>
      </c>
      <c r="H90" s="358" t="n">
        <v>0</v>
      </c>
      <c r="I90" s="358" t="n">
        <v>0</v>
      </c>
      <c r="J90" s="358" t="n">
        <v>0</v>
      </c>
      <c r="K90" s="358" t="n">
        <v>0</v>
      </c>
      <c r="L90" s="358" t="n">
        <v>0</v>
      </c>
      <c r="M90" s="381" t="n">
        <v>1</v>
      </c>
      <c r="N90" s="381" t="n">
        <v>0</v>
      </c>
      <c r="O90" s="381" t="n">
        <v>0</v>
      </c>
      <c r="P90" s="359" t="n">
        <v>1</v>
      </c>
    </row>
    <row r="91" customFormat="false" ht="15" hidden="true" customHeight="false" outlineLevel="0" collapsed="false">
      <c r="B91" s="360" t="s">
        <v>2578</v>
      </c>
      <c r="C91" s="381" t="n">
        <v>1</v>
      </c>
      <c r="D91" s="381" t="n">
        <v>0</v>
      </c>
      <c r="E91" s="381" t="n">
        <v>0</v>
      </c>
      <c r="F91" s="359" t="n">
        <v>1</v>
      </c>
      <c r="G91" s="380" t="n">
        <v>0</v>
      </c>
      <c r="H91" s="358" t="n">
        <v>0</v>
      </c>
      <c r="I91" s="358" t="n">
        <v>0</v>
      </c>
      <c r="J91" s="358" t="n">
        <v>0</v>
      </c>
      <c r="K91" s="358" t="n">
        <v>0</v>
      </c>
      <c r="L91" s="358" t="n">
        <v>0</v>
      </c>
      <c r="M91" s="381" t="n">
        <v>1</v>
      </c>
      <c r="N91" s="381" t="n">
        <v>0</v>
      </c>
      <c r="O91" s="381" t="n">
        <v>0</v>
      </c>
      <c r="P91" s="359" t="n">
        <v>1</v>
      </c>
    </row>
    <row r="92" customFormat="false" ht="15" hidden="true" customHeight="false" outlineLevel="0" collapsed="false">
      <c r="B92" s="360" t="s">
        <v>2579</v>
      </c>
      <c r="C92" s="381" t="n">
        <v>1</v>
      </c>
      <c r="D92" s="381" t="n">
        <v>0</v>
      </c>
      <c r="E92" s="381" t="n">
        <v>0</v>
      </c>
      <c r="F92" s="359" t="n">
        <v>1</v>
      </c>
      <c r="G92" s="380" t="n">
        <v>0</v>
      </c>
      <c r="H92" s="358" t="n">
        <v>0</v>
      </c>
      <c r="I92" s="358" t="n">
        <v>0</v>
      </c>
      <c r="J92" s="358" t="n">
        <v>0</v>
      </c>
      <c r="K92" s="358" t="n">
        <v>0</v>
      </c>
      <c r="L92" s="358" t="n">
        <v>0</v>
      </c>
      <c r="M92" s="381" t="n">
        <v>1</v>
      </c>
      <c r="N92" s="381" t="n">
        <v>0</v>
      </c>
      <c r="O92" s="381" t="n">
        <v>0</v>
      </c>
      <c r="P92" s="359" t="n">
        <v>1</v>
      </c>
    </row>
    <row r="93" customFormat="false" ht="15" hidden="false" customHeight="false" outlineLevel="0" collapsed="false">
      <c r="B93" s="310" t="s">
        <v>1808</v>
      </c>
      <c r="C93" s="381" t="n">
        <v>38</v>
      </c>
      <c r="D93" s="381" t="n">
        <v>7</v>
      </c>
      <c r="E93" s="381" t="n">
        <v>0</v>
      </c>
      <c r="F93" s="359" t="n">
        <v>45</v>
      </c>
      <c r="G93" s="380" t="n">
        <v>0</v>
      </c>
      <c r="H93" s="358" t="n">
        <v>0</v>
      </c>
      <c r="I93" s="358" t="n">
        <v>0</v>
      </c>
      <c r="J93" s="358" t="n">
        <v>0</v>
      </c>
      <c r="K93" s="358" t="n">
        <v>0</v>
      </c>
      <c r="L93" s="358" t="n">
        <v>0</v>
      </c>
      <c r="M93" s="381" t="n">
        <v>38</v>
      </c>
      <c r="N93" s="381" t="n">
        <v>7</v>
      </c>
      <c r="O93" s="381" t="n">
        <v>0</v>
      </c>
      <c r="P93" s="359" t="n">
        <v>45</v>
      </c>
    </row>
    <row r="94" customFormat="false" ht="15" hidden="true" customHeight="false" outlineLevel="0" collapsed="false">
      <c r="B94" s="360" t="s">
        <v>3523</v>
      </c>
      <c r="C94" s="381" t="n">
        <v>0</v>
      </c>
      <c r="D94" s="381" t="n">
        <v>1</v>
      </c>
      <c r="E94" s="381" t="n">
        <v>0</v>
      </c>
      <c r="F94" s="359" t="n">
        <v>1</v>
      </c>
      <c r="G94" s="380" t="n">
        <v>0</v>
      </c>
      <c r="H94" s="358" t="n">
        <v>0</v>
      </c>
      <c r="I94" s="358" t="n">
        <v>0</v>
      </c>
      <c r="J94" s="358" t="n">
        <v>0</v>
      </c>
      <c r="K94" s="358" t="n">
        <v>0</v>
      </c>
      <c r="L94" s="358" t="n">
        <v>0</v>
      </c>
      <c r="M94" s="381" t="n">
        <v>0</v>
      </c>
      <c r="N94" s="381" t="n">
        <v>1</v>
      </c>
      <c r="O94" s="381" t="n">
        <v>0</v>
      </c>
      <c r="P94" s="359" t="n">
        <v>1</v>
      </c>
    </row>
    <row r="95" customFormat="false" ht="15" hidden="true" customHeight="false" outlineLevel="0" collapsed="false">
      <c r="B95" s="360" t="s">
        <v>3524</v>
      </c>
      <c r="C95" s="381" t="n">
        <v>0</v>
      </c>
      <c r="D95" s="381" t="n">
        <v>1</v>
      </c>
      <c r="E95" s="381" t="n">
        <v>0</v>
      </c>
      <c r="F95" s="359" t="n">
        <v>1</v>
      </c>
      <c r="G95" s="380" t="n">
        <v>0</v>
      </c>
      <c r="H95" s="358" t="n">
        <v>0</v>
      </c>
      <c r="I95" s="358" t="n">
        <v>0</v>
      </c>
      <c r="J95" s="358" t="n">
        <v>0</v>
      </c>
      <c r="K95" s="358" t="n">
        <v>0</v>
      </c>
      <c r="L95" s="358" t="n">
        <v>0</v>
      </c>
      <c r="M95" s="381" t="n">
        <v>0</v>
      </c>
      <c r="N95" s="381" t="n">
        <v>1</v>
      </c>
      <c r="O95" s="381" t="n">
        <v>0</v>
      </c>
      <c r="P95" s="359" t="n">
        <v>1</v>
      </c>
    </row>
    <row r="96" customFormat="false" ht="15" hidden="true" customHeight="false" outlineLevel="0" collapsed="false">
      <c r="B96" s="360" t="s">
        <v>3525</v>
      </c>
      <c r="C96" s="381" t="n">
        <v>0</v>
      </c>
      <c r="D96" s="381" t="n">
        <v>1</v>
      </c>
      <c r="E96" s="381" t="n">
        <v>0</v>
      </c>
      <c r="F96" s="359" t="n">
        <v>1</v>
      </c>
      <c r="G96" s="380" t="n">
        <v>0</v>
      </c>
      <c r="H96" s="358" t="n">
        <v>0</v>
      </c>
      <c r="I96" s="358" t="n">
        <v>0</v>
      </c>
      <c r="J96" s="358" t="n">
        <v>0</v>
      </c>
      <c r="K96" s="358" t="n">
        <v>0</v>
      </c>
      <c r="L96" s="358" t="n">
        <v>0</v>
      </c>
      <c r="M96" s="381" t="n">
        <v>0</v>
      </c>
      <c r="N96" s="381" t="n">
        <v>1</v>
      </c>
      <c r="O96" s="381" t="n">
        <v>0</v>
      </c>
      <c r="P96" s="359" t="n">
        <v>1</v>
      </c>
    </row>
    <row r="97" customFormat="false" ht="15" hidden="true" customHeight="false" outlineLevel="0" collapsed="false">
      <c r="B97" s="360" t="s">
        <v>3526</v>
      </c>
      <c r="C97" s="381" t="n">
        <v>0</v>
      </c>
      <c r="D97" s="381" t="n">
        <v>1</v>
      </c>
      <c r="E97" s="381" t="n">
        <v>0</v>
      </c>
      <c r="F97" s="359" t="n">
        <v>1</v>
      </c>
      <c r="G97" s="380" t="n">
        <v>0</v>
      </c>
      <c r="H97" s="358" t="n">
        <v>0</v>
      </c>
      <c r="I97" s="358" t="n">
        <v>0</v>
      </c>
      <c r="J97" s="358" t="n">
        <v>0</v>
      </c>
      <c r="K97" s="358" t="n">
        <v>0</v>
      </c>
      <c r="L97" s="358" t="n">
        <v>0</v>
      </c>
      <c r="M97" s="381" t="n">
        <v>0</v>
      </c>
      <c r="N97" s="381" t="n">
        <v>1</v>
      </c>
      <c r="O97" s="381" t="n">
        <v>0</v>
      </c>
      <c r="P97" s="359" t="n">
        <v>1</v>
      </c>
    </row>
    <row r="98" customFormat="false" ht="15" hidden="true" customHeight="false" outlineLevel="0" collapsed="false">
      <c r="B98" s="360" t="s">
        <v>3527</v>
      </c>
      <c r="C98" s="381" t="n">
        <v>0</v>
      </c>
      <c r="D98" s="381" t="n">
        <v>1</v>
      </c>
      <c r="E98" s="381" t="n">
        <v>0</v>
      </c>
      <c r="F98" s="359" t="n">
        <v>1</v>
      </c>
      <c r="G98" s="380" t="n">
        <v>0</v>
      </c>
      <c r="H98" s="358" t="n">
        <v>0</v>
      </c>
      <c r="I98" s="358" t="n">
        <v>0</v>
      </c>
      <c r="J98" s="358" t="n">
        <v>0</v>
      </c>
      <c r="K98" s="358" t="n">
        <v>0</v>
      </c>
      <c r="L98" s="358" t="n">
        <v>0</v>
      </c>
      <c r="M98" s="381" t="n">
        <v>0</v>
      </c>
      <c r="N98" s="381" t="n">
        <v>1</v>
      </c>
      <c r="O98" s="381" t="n">
        <v>0</v>
      </c>
      <c r="P98" s="359" t="n">
        <v>1</v>
      </c>
    </row>
    <row r="99" customFormat="false" ht="15" hidden="true" customHeight="false" outlineLevel="0" collapsed="false">
      <c r="B99" s="360" t="s">
        <v>3528</v>
      </c>
      <c r="C99" s="381" t="n">
        <v>0</v>
      </c>
      <c r="D99" s="381" t="n">
        <v>1</v>
      </c>
      <c r="E99" s="381" t="n">
        <v>0</v>
      </c>
      <c r="F99" s="359" t="n">
        <v>1</v>
      </c>
      <c r="G99" s="380" t="n">
        <v>0</v>
      </c>
      <c r="H99" s="358" t="n">
        <v>0</v>
      </c>
      <c r="I99" s="358" t="n">
        <v>0</v>
      </c>
      <c r="J99" s="358" t="n">
        <v>0</v>
      </c>
      <c r="K99" s="358" t="n">
        <v>0</v>
      </c>
      <c r="L99" s="358" t="n">
        <v>0</v>
      </c>
      <c r="M99" s="381" t="n">
        <v>0</v>
      </c>
      <c r="N99" s="381" t="n">
        <v>1</v>
      </c>
      <c r="O99" s="381" t="n">
        <v>0</v>
      </c>
      <c r="P99" s="359" t="n">
        <v>1</v>
      </c>
    </row>
    <row r="100" customFormat="false" ht="15" hidden="true" customHeight="false" outlineLevel="0" collapsed="false">
      <c r="B100" s="360" t="s">
        <v>3529</v>
      </c>
      <c r="C100" s="381" t="n">
        <v>0</v>
      </c>
      <c r="D100" s="381" t="n">
        <v>1</v>
      </c>
      <c r="E100" s="381" t="n">
        <v>0</v>
      </c>
      <c r="F100" s="359" t="n">
        <v>1</v>
      </c>
      <c r="G100" s="380" t="n">
        <v>0</v>
      </c>
      <c r="H100" s="358" t="n">
        <v>0</v>
      </c>
      <c r="I100" s="358" t="n">
        <v>0</v>
      </c>
      <c r="J100" s="358" t="n">
        <v>0</v>
      </c>
      <c r="K100" s="358" t="n">
        <v>0</v>
      </c>
      <c r="L100" s="358" t="n">
        <v>0</v>
      </c>
      <c r="M100" s="381" t="n">
        <v>0</v>
      </c>
      <c r="N100" s="381" t="n">
        <v>1</v>
      </c>
      <c r="O100" s="381" t="n">
        <v>0</v>
      </c>
      <c r="P100" s="359" t="n">
        <v>1</v>
      </c>
    </row>
    <row r="101" customFormat="false" ht="15" hidden="true" customHeight="false" outlineLevel="0" collapsed="false">
      <c r="B101" s="360" t="s">
        <v>2580</v>
      </c>
      <c r="C101" s="381" t="n">
        <v>1</v>
      </c>
      <c r="D101" s="381" t="n">
        <v>0</v>
      </c>
      <c r="E101" s="381" t="n">
        <v>0</v>
      </c>
      <c r="F101" s="359" t="n">
        <v>1</v>
      </c>
      <c r="G101" s="380" t="n">
        <v>0</v>
      </c>
      <c r="H101" s="358" t="n">
        <v>0</v>
      </c>
      <c r="I101" s="358" t="n">
        <v>0</v>
      </c>
      <c r="J101" s="358" t="n">
        <v>0</v>
      </c>
      <c r="K101" s="358" t="n">
        <v>0</v>
      </c>
      <c r="L101" s="358" t="n">
        <v>0</v>
      </c>
      <c r="M101" s="381" t="n">
        <v>1</v>
      </c>
      <c r="N101" s="381" t="n">
        <v>0</v>
      </c>
      <c r="O101" s="381" t="n">
        <v>0</v>
      </c>
      <c r="P101" s="359" t="n">
        <v>1</v>
      </c>
    </row>
    <row r="102" customFormat="false" ht="15" hidden="true" customHeight="false" outlineLevel="0" collapsed="false">
      <c r="B102" s="360" t="s">
        <v>2581</v>
      </c>
      <c r="C102" s="381" t="n">
        <v>1</v>
      </c>
      <c r="D102" s="381" t="n">
        <v>0</v>
      </c>
      <c r="E102" s="381" t="n">
        <v>0</v>
      </c>
      <c r="F102" s="359" t="n">
        <v>1</v>
      </c>
      <c r="G102" s="380" t="n">
        <v>0</v>
      </c>
      <c r="H102" s="358" t="n">
        <v>0</v>
      </c>
      <c r="I102" s="358" t="n">
        <v>0</v>
      </c>
      <c r="J102" s="358" t="n">
        <v>0</v>
      </c>
      <c r="K102" s="358" t="n">
        <v>0</v>
      </c>
      <c r="L102" s="358" t="n">
        <v>0</v>
      </c>
      <c r="M102" s="381" t="n">
        <v>1</v>
      </c>
      <c r="N102" s="381" t="n">
        <v>0</v>
      </c>
      <c r="O102" s="381" t="n">
        <v>0</v>
      </c>
      <c r="P102" s="359" t="n">
        <v>1</v>
      </c>
    </row>
    <row r="103" customFormat="false" ht="15" hidden="true" customHeight="false" outlineLevel="0" collapsed="false">
      <c r="B103" s="360" t="s">
        <v>2582</v>
      </c>
      <c r="C103" s="381" t="n">
        <v>1</v>
      </c>
      <c r="D103" s="381" t="n">
        <v>0</v>
      </c>
      <c r="E103" s="381" t="n">
        <v>0</v>
      </c>
      <c r="F103" s="359" t="n">
        <v>1</v>
      </c>
      <c r="G103" s="380" t="n">
        <v>0</v>
      </c>
      <c r="H103" s="358" t="n">
        <v>0</v>
      </c>
      <c r="I103" s="358" t="n">
        <v>0</v>
      </c>
      <c r="J103" s="358" t="n">
        <v>0</v>
      </c>
      <c r="K103" s="358" t="n">
        <v>0</v>
      </c>
      <c r="L103" s="358" t="n">
        <v>0</v>
      </c>
      <c r="M103" s="381" t="n">
        <v>1</v>
      </c>
      <c r="N103" s="381" t="n">
        <v>0</v>
      </c>
      <c r="O103" s="381" t="n">
        <v>0</v>
      </c>
      <c r="P103" s="359" t="n">
        <v>1</v>
      </c>
    </row>
    <row r="104" customFormat="false" ht="15" hidden="true" customHeight="false" outlineLevel="0" collapsed="false">
      <c r="B104" s="360" t="s">
        <v>2583</v>
      </c>
      <c r="C104" s="381" t="n">
        <v>1</v>
      </c>
      <c r="D104" s="381" t="n">
        <v>0</v>
      </c>
      <c r="E104" s="381" t="n">
        <v>0</v>
      </c>
      <c r="F104" s="359" t="n">
        <v>1</v>
      </c>
      <c r="G104" s="380" t="n">
        <v>0</v>
      </c>
      <c r="H104" s="358" t="n">
        <v>0</v>
      </c>
      <c r="I104" s="358" t="n">
        <v>0</v>
      </c>
      <c r="J104" s="358" t="n">
        <v>0</v>
      </c>
      <c r="K104" s="358" t="n">
        <v>0</v>
      </c>
      <c r="L104" s="358" t="n">
        <v>0</v>
      </c>
      <c r="M104" s="381" t="n">
        <v>1</v>
      </c>
      <c r="N104" s="381" t="n">
        <v>0</v>
      </c>
      <c r="O104" s="381" t="n">
        <v>0</v>
      </c>
      <c r="P104" s="359" t="n">
        <v>1</v>
      </c>
    </row>
    <row r="105" customFormat="false" ht="15" hidden="true" customHeight="false" outlineLevel="0" collapsed="false">
      <c r="B105" s="360" t="s">
        <v>2584</v>
      </c>
      <c r="C105" s="381" t="n">
        <v>1</v>
      </c>
      <c r="D105" s="381" t="n">
        <v>0</v>
      </c>
      <c r="E105" s="381" t="n">
        <v>0</v>
      </c>
      <c r="F105" s="359" t="n">
        <v>1</v>
      </c>
      <c r="G105" s="380" t="n">
        <v>0</v>
      </c>
      <c r="H105" s="358" t="n">
        <v>0</v>
      </c>
      <c r="I105" s="358" t="n">
        <v>0</v>
      </c>
      <c r="J105" s="358" t="n">
        <v>0</v>
      </c>
      <c r="K105" s="358" t="n">
        <v>0</v>
      </c>
      <c r="L105" s="358" t="n">
        <v>0</v>
      </c>
      <c r="M105" s="381" t="n">
        <v>1</v>
      </c>
      <c r="N105" s="381" t="n">
        <v>0</v>
      </c>
      <c r="O105" s="381" t="n">
        <v>0</v>
      </c>
      <c r="P105" s="359" t="n">
        <v>1</v>
      </c>
    </row>
    <row r="106" customFormat="false" ht="15" hidden="true" customHeight="false" outlineLevel="0" collapsed="false">
      <c r="B106" s="360" t="s">
        <v>2585</v>
      </c>
      <c r="C106" s="381" t="n">
        <v>1</v>
      </c>
      <c r="D106" s="381" t="n">
        <v>0</v>
      </c>
      <c r="E106" s="381" t="n">
        <v>0</v>
      </c>
      <c r="F106" s="359" t="n">
        <v>1</v>
      </c>
      <c r="G106" s="380" t="n">
        <v>0</v>
      </c>
      <c r="H106" s="358" t="n">
        <v>0</v>
      </c>
      <c r="I106" s="358" t="n">
        <v>0</v>
      </c>
      <c r="J106" s="358" t="n">
        <v>0</v>
      </c>
      <c r="K106" s="358" t="n">
        <v>0</v>
      </c>
      <c r="L106" s="358" t="n">
        <v>0</v>
      </c>
      <c r="M106" s="381" t="n">
        <v>1</v>
      </c>
      <c r="N106" s="381" t="n">
        <v>0</v>
      </c>
      <c r="O106" s="381" t="n">
        <v>0</v>
      </c>
      <c r="P106" s="359" t="n">
        <v>1</v>
      </c>
    </row>
    <row r="107" customFormat="false" ht="15" hidden="true" customHeight="false" outlineLevel="0" collapsed="false">
      <c r="B107" s="360" t="s">
        <v>2586</v>
      </c>
      <c r="C107" s="381" t="n">
        <v>1</v>
      </c>
      <c r="D107" s="381" t="n">
        <v>0</v>
      </c>
      <c r="E107" s="381" t="n">
        <v>0</v>
      </c>
      <c r="F107" s="359" t="n">
        <v>1</v>
      </c>
      <c r="G107" s="380" t="n">
        <v>0</v>
      </c>
      <c r="H107" s="358" t="n">
        <v>0</v>
      </c>
      <c r="I107" s="358" t="n">
        <v>0</v>
      </c>
      <c r="J107" s="358" t="n">
        <v>0</v>
      </c>
      <c r="K107" s="358" t="n">
        <v>0</v>
      </c>
      <c r="L107" s="358" t="n">
        <v>0</v>
      </c>
      <c r="M107" s="381" t="n">
        <v>1</v>
      </c>
      <c r="N107" s="381" t="n">
        <v>0</v>
      </c>
      <c r="O107" s="381" t="n">
        <v>0</v>
      </c>
      <c r="P107" s="359" t="n">
        <v>1</v>
      </c>
    </row>
    <row r="108" customFormat="false" ht="15" hidden="true" customHeight="false" outlineLevel="0" collapsed="false">
      <c r="B108" s="360" t="s">
        <v>2587</v>
      </c>
      <c r="C108" s="381" t="n">
        <v>1</v>
      </c>
      <c r="D108" s="381" t="n">
        <v>0</v>
      </c>
      <c r="E108" s="381" t="n">
        <v>0</v>
      </c>
      <c r="F108" s="359" t="n">
        <v>1</v>
      </c>
      <c r="G108" s="380" t="n">
        <v>0</v>
      </c>
      <c r="H108" s="358" t="n">
        <v>0</v>
      </c>
      <c r="I108" s="358" t="n">
        <v>0</v>
      </c>
      <c r="J108" s="358" t="n">
        <v>0</v>
      </c>
      <c r="K108" s="358" t="n">
        <v>0</v>
      </c>
      <c r="L108" s="358" t="n">
        <v>0</v>
      </c>
      <c r="M108" s="381" t="n">
        <v>1</v>
      </c>
      <c r="N108" s="381" t="n">
        <v>0</v>
      </c>
      <c r="O108" s="381" t="n">
        <v>0</v>
      </c>
      <c r="P108" s="359" t="n">
        <v>1</v>
      </c>
    </row>
    <row r="109" customFormat="false" ht="15" hidden="true" customHeight="false" outlineLevel="0" collapsed="false">
      <c r="B109" s="360" t="s">
        <v>2588</v>
      </c>
      <c r="C109" s="381" t="n">
        <v>1</v>
      </c>
      <c r="D109" s="381" t="n">
        <v>0</v>
      </c>
      <c r="E109" s="381" t="n">
        <v>0</v>
      </c>
      <c r="F109" s="359" t="n">
        <v>1</v>
      </c>
      <c r="G109" s="380" t="n">
        <v>0</v>
      </c>
      <c r="H109" s="358" t="n">
        <v>0</v>
      </c>
      <c r="I109" s="358" t="n">
        <v>0</v>
      </c>
      <c r="J109" s="358" t="n">
        <v>0</v>
      </c>
      <c r="K109" s="358" t="n">
        <v>0</v>
      </c>
      <c r="L109" s="358" t="n">
        <v>0</v>
      </c>
      <c r="M109" s="381" t="n">
        <v>1</v>
      </c>
      <c r="N109" s="381" t="n">
        <v>0</v>
      </c>
      <c r="O109" s="381" t="n">
        <v>0</v>
      </c>
      <c r="P109" s="359" t="n">
        <v>1</v>
      </c>
    </row>
    <row r="110" customFormat="false" ht="15" hidden="true" customHeight="false" outlineLevel="0" collapsed="false">
      <c r="B110" s="360" t="s">
        <v>2589</v>
      </c>
      <c r="C110" s="381" t="n">
        <v>1</v>
      </c>
      <c r="D110" s="381" t="n">
        <v>0</v>
      </c>
      <c r="E110" s="381" t="n">
        <v>0</v>
      </c>
      <c r="F110" s="359" t="n">
        <v>1</v>
      </c>
      <c r="G110" s="380" t="n">
        <v>0</v>
      </c>
      <c r="H110" s="358" t="n">
        <v>0</v>
      </c>
      <c r="I110" s="358" t="n">
        <v>0</v>
      </c>
      <c r="J110" s="358" t="n">
        <v>0</v>
      </c>
      <c r="K110" s="358" t="n">
        <v>0</v>
      </c>
      <c r="L110" s="358" t="n">
        <v>0</v>
      </c>
      <c r="M110" s="381" t="n">
        <v>1</v>
      </c>
      <c r="N110" s="381" t="n">
        <v>0</v>
      </c>
      <c r="O110" s="381" t="n">
        <v>0</v>
      </c>
      <c r="P110" s="359" t="n">
        <v>1</v>
      </c>
    </row>
    <row r="111" customFormat="false" ht="15" hidden="true" customHeight="false" outlineLevel="0" collapsed="false">
      <c r="B111" s="360" t="s">
        <v>2590</v>
      </c>
      <c r="C111" s="381" t="n">
        <v>1</v>
      </c>
      <c r="D111" s="381" t="n">
        <v>0</v>
      </c>
      <c r="E111" s="381" t="n">
        <v>0</v>
      </c>
      <c r="F111" s="359" t="n">
        <v>1</v>
      </c>
      <c r="G111" s="380" t="n">
        <v>0</v>
      </c>
      <c r="H111" s="358" t="n">
        <v>0</v>
      </c>
      <c r="I111" s="358" t="n">
        <v>0</v>
      </c>
      <c r="J111" s="358" t="n">
        <v>0</v>
      </c>
      <c r="K111" s="358" t="n">
        <v>0</v>
      </c>
      <c r="L111" s="358" t="n">
        <v>0</v>
      </c>
      <c r="M111" s="381" t="n">
        <v>1</v>
      </c>
      <c r="N111" s="381" t="n">
        <v>0</v>
      </c>
      <c r="O111" s="381" t="n">
        <v>0</v>
      </c>
      <c r="P111" s="359" t="n">
        <v>1</v>
      </c>
    </row>
    <row r="112" customFormat="false" ht="15" hidden="true" customHeight="false" outlineLevel="0" collapsed="false">
      <c r="B112" s="360" t="s">
        <v>2591</v>
      </c>
      <c r="C112" s="381" t="n">
        <v>1</v>
      </c>
      <c r="D112" s="381" t="n">
        <v>0</v>
      </c>
      <c r="E112" s="381" t="n">
        <v>0</v>
      </c>
      <c r="F112" s="359" t="n">
        <v>1</v>
      </c>
      <c r="G112" s="380" t="n">
        <v>0</v>
      </c>
      <c r="H112" s="358" t="n">
        <v>0</v>
      </c>
      <c r="I112" s="358" t="n">
        <v>0</v>
      </c>
      <c r="J112" s="358" t="n">
        <v>0</v>
      </c>
      <c r="K112" s="358" t="n">
        <v>0</v>
      </c>
      <c r="L112" s="358" t="n">
        <v>0</v>
      </c>
      <c r="M112" s="381" t="n">
        <v>1</v>
      </c>
      <c r="N112" s="381" t="n">
        <v>0</v>
      </c>
      <c r="O112" s="381" t="n">
        <v>0</v>
      </c>
      <c r="P112" s="359" t="n">
        <v>1</v>
      </c>
    </row>
    <row r="113" customFormat="false" ht="15" hidden="true" customHeight="false" outlineLevel="0" collapsed="false">
      <c r="B113" s="360" t="s">
        <v>2592</v>
      </c>
      <c r="C113" s="381" t="n">
        <v>1</v>
      </c>
      <c r="D113" s="381" t="n">
        <v>0</v>
      </c>
      <c r="E113" s="381" t="n">
        <v>0</v>
      </c>
      <c r="F113" s="359" t="n">
        <v>1</v>
      </c>
      <c r="G113" s="380" t="n">
        <v>0</v>
      </c>
      <c r="H113" s="358" t="n">
        <v>0</v>
      </c>
      <c r="I113" s="358" t="n">
        <v>0</v>
      </c>
      <c r="J113" s="358" t="n">
        <v>0</v>
      </c>
      <c r="K113" s="358" t="n">
        <v>0</v>
      </c>
      <c r="L113" s="358" t="n">
        <v>0</v>
      </c>
      <c r="M113" s="381" t="n">
        <v>1</v>
      </c>
      <c r="N113" s="381" t="n">
        <v>0</v>
      </c>
      <c r="O113" s="381" t="n">
        <v>0</v>
      </c>
      <c r="P113" s="359" t="n">
        <v>1</v>
      </c>
    </row>
    <row r="114" customFormat="false" ht="15" hidden="true" customHeight="false" outlineLevel="0" collapsed="false">
      <c r="B114" s="360" t="s">
        <v>2593</v>
      </c>
      <c r="C114" s="381" t="n">
        <v>1</v>
      </c>
      <c r="D114" s="381" t="n">
        <v>0</v>
      </c>
      <c r="E114" s="381" t="n">
        <v>0</v>
      </c>
      <c r="F114" s="359" t="n">
        <v>1</v>
      </c>
      <c r="G114" s="380" t="n">
        <v>0</v>
      </c>
      <c r="H114" s="358" t="n">
        <v>0</v>
      </c>
      <c r="I114" s="358" t="n">
        <v>0</v>
      </c>
      <c r="J114" s="358" t="n">
        <v>0</v>
      </c>
      <c r="K114" s="358" t="n">
        <v>0</v>
      </c>
      <c r="L114" s="358" t="n">
        <v>0</v>
      </c>
      <c r="M114" s="381" t="n">
        <v>1</v>
      </c>
      <c r="N114" s="381" t="n">
        <v>0</v>
      </c>
      <c r="O114" s="381" t="n">
        <v>0</v>
      </c>
      <c r="P114" s="359" t="n">
        <v>1</v>
      </c>
    </row>
    <row r="115" customFormat="false" ht="15" hidden="true" customHeight="false" outlineLevel="0" collapsed="false">
      <c r="B115" s="360" t="s">
        <v>2594</v>
      </c>
      <c r="C115" s="381" t="n">
        <v>1</v>
      </c>
      <c r="D115" s="381" t="n">
        <v>0</v>
      </c>
      <c r="E115" s="381" t="n">
        <v>0</v>
      </c>
      <c r="F115" s="359" t="n">
        <v>1</v>
      </c>
      <c r="G115" s="380" t="n">
        <v>0</v>
      </c>
      <c r="H115" s="358" t="n">
        <v>0</v>
      </c>
      <c r="I115" s="358" t="n">
        <v>0</v>
      </c>
      <c r="J115" s="358" t="n">
        <v>0</v>
      </c>
      <c r="K115" s="358" t="n">
        <v>0</v>
      </c>
      <c r="L115" s="358" t="n">
        <v>0</v>
      </c>
      <c r="M115" s="381" t="n">
        <v>1</v>
      </c>
      <c r="N115" s="381" t="n">
        <v>0</v>
      </c>
      <c r="O115" s="381" t="n">
        <v>0</v>
      </c>
      <c r="P115" s="359" t="n">
        <v>1</v>
      </c>
    </row>
    <row r="116" customFormat="false" ht="15" hidden="true" customHeight="false" outlineLevel="0" collapsed="false">
      <c r="B116" s="360" t="s">
        <v>2595</v>
      </c>
      <c r="C116" s="381" t="n">
        <v>1</v>
      </c>
      <c r="D116" s="381" t="n">
        <v>0</v>
      </c>
      <c r="E116" s="381" t="n">
        <v>0</v>
      </c>
      <c r="F116" s="359" t="n">
        <v>1</v>
      </c>
      <c r="G116" s="380" t="n">
        <v>0</v>
      </c>
      <c r="H116" s="358" t="n">
        <v>0</v>
      </c>
      <c r="I116" s="358" t="n">
        <v>0</v>
      </c>
      <c r="J116" s="358" t="n">
        <v>0</v>
      </c>
      <c r="K116" s="358" t="n">
        <v>0</v>
      </c>
      <c r="L116" s="358" t="n">
        <v>0</v>
      </c>
      <c r="M116" s="381" t="n">
        <v>1</v>
      </c>
      <c r="N116" s="381" t="n">
        <v>0</v>
      </c>
      <c r="O116" s="381" t="n">
        <v>0</v>
      </c>
      <c r="P116" s="359" t="n">
        <v>1</v>
      </c>
    </row>
    <row r="117" customFormat="false" ht="15" hidden="true" customHeight="false" outlineLevel="0" collapsed="false">
      <c r="B117" s="360" t="s">
        <v>2596</v>
      </c>
      <c r="C117" s="381" t="n">
        <v>1</v>
      </c>
      <c r="D117" s="381" t="n">
        <v>0</v>
      </c>
      <c r="E117" s="381" t="n">
        <v>0</v>
      </c>
      <c r="F117" s="359" t="n">
        <v>1</v>
      </c>
      <c r="G117" s="380" t="n">
        <v>0</v>
      </c>
      <c r="H117" s="358" t="n">
        <v>0</v>
      </c>
      <c r="I117" s="358" t="n">
        <v>0</v>
      </c>
      <c r="J117" s="358" t="n">
        <v>0</v>
      </c>
      <c r="K117" s="358" t="n">
        <v>0</v>
      </c>
      <c r="L117" s="358" t="n">
        <v>0</v>
      </c>
      <c r="M117" s="381" t="n">
        <v>1</v>
      </c>
      <c r="N117" s="381" t="n">
        <v>0</v>
      </c>
      <c r="O117" s="381" t="n">
        <v>0</v>
      </c>
      <c r="P117" s="359" t="n">
        <v>1</v>
      </c>
    </row>
    <row r="118" customFormat="false" ht="15" hidden="true" customHeight="false" outlineLevel="0" collapsed="false">
      <c r="B118" s="360" t="s">
        <v>2597</v>
      </c>
      <c r="C118" s="381" t="n">
        <v>1</v>
      </c>
      <c r="D118" s="381" t="n">
        <v>0</v>
      </c>
      <c r="E118" s="381" t="n">
        <v>0</v>
      </c>
      <c r="F118" s="359" t="n">
        <v>1</v>
      </c>
      <c r="G118" s="380" t="n">
        <v>0</v>
      </c>
      <c r="H118" s="358" t="n">
        <v>0</v>
      </c>
      <c r="I118" s="358" t="n">
        <v>0</v>
      </c>
      <c r="J118" s="358" t="n">
        <v>0</v>
      </c>
      <c r="K118" s="358" t="n">
        <v>0</v>
      </c>
      <c r="L118" s="358" t="n">
        <v>0</v>
      </c>
      <c r="M118" s="381" t="n">
        <v>1</v>
      </c>
      <c r="N118" s="381" t="n">
        <v>0</v>
      </c>
      <c r="O118" s="381" t="n">
        <v>0</v>
      </c>
      <c r="P118" s="359" t="n">
        <v>1</v>
      </c>
    </row>
    <row r="119" customFormat="false" ht="15" hidden="true" customHeight="false" outlineLevel="0" collapsed="false">
      <c r="B119" s="360" t="s">
        <v>2598</v>
      </c>
      <c r="C119" s="381" t="n">
        <v>1</v>
      </c>
      <c r="D119" s="381" t="n">
        <v>0</v>
      </c>
      <c r="E119" s="381" t="n">
        <v>0</v>
      </c>
      <c r="F119" s="359" t="n">
        <v>1</v>
      </c>
      <c r="G119" s="380" t="n">
        <v>0</v>
      </c>
      <c r="H119" s="358" t="n">
        <v>0</v>
      </c>
      <c r="I119" s="358" t="n">
        <v>0</v>
      </c>
      <c r="J119" s="358" t="n">
        <v>0</v>
      </c>
      <c r="K119" s="358" t="n">
        <v>0</v>
      </c>
      <c r="L119" s="358" t="n">
        <v>0</v>
      </c>
      <c r="M119" s="381" t="n">
        <v>1</v>
      </c>
      <c r="N119" s="381" t="n">
        <v>0</v>
      </c>
      <c r="O119" s="381" t="n">
        <v>0</v>
      </c>
      <c r="P119" s="359" t="n">
        <v>1</v>
      </c>
    </row>
    <row r="120" customFormat="false" ht="15" hidden="true" customHeight="false" outlineLevel="0" collapsed="false">
      <c r="B120" s="360" t="s">
        <v>2599</v>
      </c>
      <c r="C120" s="381" t="n">
        <v>1</v>
      </c>
      <c r="D120" s="381" t="n">
        <v>0</v>
      </c>
      <c r="E120" s="381" t="n">
        <v>0</v>
      </c>
      <c r="F120" s="359" t="n">
        <v>1</v>
      </c>
      <c r="G120" s="380" t="n">
        <v>0</v>
      </c>
      <c r="H120" s="358" t="n">
        <v>0</v>
      </c>
      <c r="I120" s="358" t="n">
        <v>0</v>
      </c>
      <c r="J120" s="358" t="n">
        <v>0</v>
      </c>
      <c r="K120" s="358" t="n">
        <v>0</v>
      </c>
      <c r="L120" s="358" t="n">
        <v>0</v>
      </c>
      <c r="M120" s="381" t="n">
        <v>1</v>
      </c>
      <c r="N120" s="381" t="n">
        <v>0</v>
      </c>
      <c r="O120" s="381" t="n">
        <v>0</v>
      </c>
      <c r="P120" s="359" t="n">
        <v>1</v>
      </c>
    </row>
    <row r="121" customFormat="false" ht="15" hidden="true" customHeight="false" outlineLevel="0" collapsed="false">
      <c r="B121" s="360" t="s">
        <v>2600</v>
      </c>
      <c r="C121" s="381" t="n">
        <v>1</v>
      </c>
      <c r="D121" s="381" t="n">
        <v>0</v>
      </c>
      <c r="E121" s="381" t="n">
        <v>0</v>
      </c>
      <c r="F121" s="359" t="n">
        <v>1</v>
      </c>
      <c r="G121" s="380" t="n">
        <v>0</v>
      </c>
      <c r="H121" s="358" t="n">
        <v>0</v>
      </c>
      <c r="I121" s="358" t="n">
        <v>0</v>
      </c>
      <c r="J121" s="358" t="n">
        <v>0</v>
      </c>
      <c r="K121" s="358" t="n">
        <v>0</v>
      </c>
      <c r="L121" s="358" t="n">
        <v>0</v>
      </c>
      <c r="M121" s="381" t="n">
        <v>1</v>
      </c>
      <c r="N121" s="381" t="n">
        <v>0</v>
      </c>
      <c r="O121" s="381" t="n">
        <v>0</v>
      </c>
      <c r="P121" s="359" t="n">
        <v>1</v>
      </c>
    </row>
    <row r="122" customFormat="false" ht="15" hidden="true" customHeight="false" outlineLevel="0" collapsed="false">
      <c r="B122" s="360" t="s">
        <v>2601</v>
      </c>
      <c r="C122" s="381" t="n">
        <v>1</v>
      </c>
      <c r="D122" s="381" t="n">
        <v>0</v>
      </c>
      <c r="E122" s="381" t="n">
        <v>0</v>
      </c>
      <c r="F122" s="359" t="n">
        <v>1</v>
      </c>
      <c r="G122" s="380" t="n">
        <v>0</v>
      </c>
      <c r="H122" s="358" t="n">
        <v>0</v>
      </c>
      <c r="I122" s="358" t="n">
        <v>0</v>
      </c>
      <c r="J122" s="358" t="n">
        <v>0</v>
      </c>
      <c r="K122" s="358" t="n">
        <v>0</v>
      </c>
      <c r="L122" s="358" t="n">
        <v>0</v>
      </c>
      <c r="M122" s="381" t="n">
        <v>1</v>
      </c>
      <c r="N122" s="381" t="n">
        <v>0</v>
      </c>
      <c r="O122" s="381" t="n">
        <v>0</v>
      </c>
      <c r="P122" s="359" t="n">
        <v>1</v>
      </c>
    </row>
    <row r="123" customFormat="false" ht="15" hidden="true" customHeight="false" outlineLevel="0" collapsed="false">
      <c r="B123" s="360" t="s">
        <v>2602</v>
      </c>
      <c r="C123" s="381" t="n">
        <v>1</v>
      </c>
      <c r="D123" s="381" t="n">
        <v>0</v>
      </c>
      <c r="E123" s="381" t="n">
        <v>0</v>
      </c>
      <c r="F123" s="359" t="n">
        <v>1</v>
      </c>
      <c r="G123" s="380" t="n">
        <v>0</v>
      </c>
      <c r="H123" s="358" t="n">
        <v>0</v>
      </c>
      <c r="I123" s="358" t="n">
        <v>0</v>
      </c>
      <c r="J123" s="358" t="n">
        <v>0</v>
      </c>
      <c r="K123" s="358" t="n">
        <v>0</v>
      </c>
      <c r="L123" s="358" t="n">
        <v>0</v>
      </c>
      <c r="M123" s="381" t="n">
        <v>1</v>
      </c>
      <c r="N123" s="381" t="n">
        <v>0</v>
      </c>
      <c r="O123" s="381" t="n">
        <v>0</v>
      </c>
      <c r="P123" s="359" t="n">
        <v>1</v>
      </c>
    </row>
    <row r="124" customFormat="false" ht="15" hidden="true" customHeight="false" outlineLevel="0" collapsed="false">
      <c r="B124" s="360" t="s">
        <v>2603</v>
      </c>
      <c r="C124" s="381" t="n">
        <v>1</v>
      </c>
      <c r="D124" s="381" t="n">
        <v>0</v>
      </c>
      <c r="E124" s="381" t="n">
        <v>0</v>
      </c>
      <c r="F124" s="359" t="n">
        <v>1</v>
      </c>
      <c r="G124" s="380" t="n">
        <v>0</v>
      </c>
      <c r="H124" s="358" t="n">
        <v>0</v>
      </c>
      <c r="I124" s="358" t="n">
        <v>0</v>
      </c>
      <c r="J124" s="358" t="n">
        <v>0</v>
      </c>
      <c r="K124" s="358" t="n">
        <v>0</v>
      </c>
      <c r="L124" s="358" t="n">
        <v>0</v>
      </c>
      <c r="M124" s="381" t="n">
        <v>1</v>
      </c>
      <c r="N124" s="381" t="n">
        <v>0</v>
      </c>
      <c r="O124" s="381" t="n">
        <v>0</v>
      </c>
      <c r="P124" s="359" t="n">
        <v>1</v>
      </c>
    </row>
    <row r="125" customFormat="false" ht="15" hidden="true" customHeight="false" outlineLevel="0" collapsed="false">
      <c r="B125" s="360" t="s">
        <v>2604</v>
      </c>
      <c r="C125" s="381" t="n">
        <v>1</v>
      </c>
      <c r="D125" s="381" t="n">
        <v>0</v>
      </c>
      <c r="E125" s="381" t="n">
        <v>0</v>
      </c>
      <c r="F125" s="359" t="n">
        <v>1</v>
      </c>
      <c r="G125" s="380" t="n">
        <v>0</v>
      </c>
      <c r="H125" s="358" t="n">
        <v>0</v>
      </c>
      <c r="I125" s="358" t="n">
        <v>0</v>
      </c>
      <c r="J125" s="358" t="n">
        <v>0</v>
      </c>
      <c r="K125" s="358" t="n">
        <v>0</v>
      </c>
      <c r="L125" s="358" t="n">
        <v>0</v>
      </c>
      <c r="M125" s="381" t="n">
        <v>1</v>
      </c>
      <c r="N125" s="381" t="n">
        <v>0</v>
      </c>
      <c r="O125" s="381" t="n">
        <v>0</v>
      </c>
      <c r="P125" s="359" t="n">
        <v>1</v>
      </c>
    </row>
    <row r="126" customFormat="false" ht="15" hidden="true" customHeight="false" outlineLevel="0" collapsed="false">
      <c r="B126" s="360" t="s">
        <v>2605</v>
      </c>
      <c r="C126" s="381" t="n">
        <v>1</v>
      </c>
      <c r="D126" s="381" t="n">
        <v>0</v>
      </c>
      <c r="E126" s="381" t="n">
        <v>0</v>
      </c>
      <c r="F126" s="359" t="n">
        <v>1</v>
      </c>
      <c r="G126" s="380" t="n">
        <v>0</v>
      </c>
      <c r="H126" s="358" t="n">
        <v>0</v>
      </c>
      <c r="I126" s="358" t="n">
        <v>0</v>
      </c>
      <c r="J126" s="358" t="n">
        <v>0</v>
      </c>
      <c r="K126" s="358" t="n">
        <v>0</v>
      </c>
      <c r="L126" s="358" t="n">
        <v>0</v>
      </c>
      <c r="M126" s="381" t="n">
        <v>1</v>
      </c>
      <c r="N126" s="381" t="n">
        <v>0</v>
      </c>
      <c r="O126" s="381" t="n">
        <v>0</v>
      </c>
      <c r="P126" s="359" t="n">
        <v>1</v>
      </c>
    </row>
    <row r="127" customFormat="false" ht="15" hidden="true" customHeight="false" outlineLevel="0" collapsed="false">
      <c r="B127" s="360" t="s">
        <v>2606</v>
      </c>
      <c r="C127" s="381" t="n">
        <v>1</v>
      </c>
      <c r="D127" s="381" t="n">
        <v>0</v>
      </c>
      <c r="E127" s="381" t="n">
        <v>0</v>
      </c>
      <c r="F127" s="359" t="n">
        <v>1</v>
      </c>
      <c r="G127" s="380" t="n">
        <v>0</v>
      </c>
      <c r="H127" s="358" t="n">
        <v>0</v>
      </c>
      <c r="I127" s="358" t="n">
        <v>0</v>
      </c>
      <c r="J127" s="358" t="n">
        <v>0</v>
      </c>
      <c r="K127" s="358" t="n">
        <v>0</v>
      </c>
      <c r="L127" s="358" t="n">
        <v>0</v>
      </c>
      <c r="M127" s="381" t="n">
        <v>1</v>
      </c>
      <c r="N127" s="381" t="n">
        <v>0</v>
      </c>
      <c r="O127" s="381" t="n">
        <v>0</v>
      </c>
      <c r="P127" s="359" t="n">
        <v>1</v>
      </c>
    </row>
    <row r="128" customFormat="false" ht="15" hidden="true" customHeight="false" outlineLevel="0" collapsed="false">
      <c r="B128" s="360" t="s">
        <v>2607</v>
      </c>
      <c r="C128" s="381" t="n">
        <v>1</v>
      </c>
      <c r="D128" s="381" t="n">
        <v>0</v>
      </c>
      <c r="E128" s="381" t="n">
        <v>0</v>
      </c>
      <c r="F128" s="359" t="n">
        <v>1</v>
      </c>
      <c r="G128" s="380" t="n">
        <v>0</v>
      </c>
      <c r="H128" s="358" t="n">
        <v>0</v>
      </c>
      <c r="I128" s="358" t="n">
        <v>0</v>
      </c>
      <c r="J128" s="358" t="n">
        <v>0</v>
      </c>
      <c r="K128" s="358" t="n">
        <v>0</v>
      </c>
      <c r="L128" s="358" t="n">
        <v>0</v>
      </c>
      <c r="M128" s="381" t="n">
        <v>1</v>
      </c>
      <c r="N128" s="381" t="n">
        <v>0</v>
      </c>
      <c r="O128" s="381" t="n">
        <v>0</v>
      </c>
      <c r="P128" s="359" t="n">
        <v>1</v>
      </c>
    </row>
    <row r="129" customFormat="false" ht="15" hidden="true" customHeight="false" outlineLevel="0" collapsed="false">
      <c r="B129" s="360" t="s">
        <v>2608</v>
      </c>
      <c r="C129" s="381" t="n">
        <v>1</v>
      </c>
      <c r="D129" s="381" t="n">
        <v>0</v>
      </c>
      <c r="E129" s="381" t="n">
        <v>0</v>
      </c>
      <c r="F129" s="359" t="n">
        <v>1</v>
      </c>
      <c r="G129" s="380" t="n">
        <v>0</v>
      </c>
      <c r="H129" s="358" t="n">
        <v>0</v>
      </c>
      <c r="I129" s="358" t="n">
        <v>0</v>
      </c>
      <c r="J129" s="358" t="n">
        <v>0</v>
      </c>
      <c r="K129" s="358" t="n">
        <v>0</v>
      </c>
      <c r="L129" s="358" t="n">
        <v>0</v>
      </c>
      <c r="M129" s="381" t="n">
        <v>1</v>
      </c>
      <c r="N129" s="381" t="n">
        <v>0</v>
      </c>
      <c r="O129" s="381" t="n">
        <v>0</v>
      </c>
      <c r="P129" s="359" t="n">
        <v>1</v>
      </c>
    </row>
    <row r="130" customFormat="false" ht="15" hidden="true" customHeight="false" outlineLevel="0" collapsed="false">
      <c r="B130" s="360" t="s">
        <v>2609</v>
      </c>
      <c r="C130" s="381" t="n">
        <v>1</v>
      </c>
      <c r="D130" s="381" t="n">
        <v>0</v>
      </c>
      <c r="E130" s="381" t="n">
        <v>0</v>
      </c>
      <c r="F130" s="359" t="n">
        <v>1</v>
      </c>
      <c r="G130" s="380" t="n">
        <v>0</v>
      </c>
      <c r="H130" s="358" t="n">
        <v>0</v>
      </c>
      <c r="I130" s="358" t="n">
        <v>0</v>
      </c>
      <c r="J130" s="358" t="n">
        <v>0</v>
      </c>
      <c r="K130" s="358" t="n">
        <v>0</v>
      </c>
      <c r="L130" s="358" t="n">
        <v>0</v>
      </c>
      <c r="M130" s="381" t="n">
        <v>1</v>
      </c>
      <c r="N130" s="381" t="n">
        <v>0</v>
      </c>
      <c r="O130" s="381" t="n">
        <v>0</v>
      </c>
      <c r="P130" s="359" t="n">
        <v>1</v>
      </c>
    </row>
    <row r="131" customFormat="false" ht="15" hidden="true" customHeight="false" outlineLevel="0" collapsed="false">
      <c r="B131" s="360" t="s">
        <v>2610</v>
      </c>
      <c r="C131" s="381" t="n">
        <v>1</v>
      </c>
      <c r="D131" s="381" t="n">
        <v>0</v>
      </c>
      <c r="E131" s="381" t="n">
        <v>0</v>
      </c>
      <c r="F131" s="359" t="n">
        <v>1</v>
      </c>
      <c r="G131" s="380" t="n">
        <v>0</v>
      </c>
      <c r="H131" s="358" t="n">
        <v>0</v>
      </c>
      <c r="I131" s="358" t="n">
        <v>0</v>
      </c>
      <c r="J131" s="358" t="n">
        <v>0</v>
      </c>
      <c r="K131" s="358" t="n">
        <v>0</v>
      </c>
      <c r="L131" s="358" t="n">
        <v>0</v>
      </c>
      <c r="M131" s="381" t="n">
        <v>1</v>
      </c>
      <c r="N131" s="381" t="n">
        <v>0</v>
      </c>
      <c r="O131" s="381" t="n">
        <v>0</v>
      </c>
      <c r="P131" s="359" t="n">
        <v>1</v>
      </c>
    </row>
    <row r="132" customFormat="false" ht="15" hidden="true" customHeight="false" outlineLevel="0" collapsed="false">
      <c r="B132" s="360" t="s">
        <v>2611</v>
      </c>
      <c r="C132" s="381" t="n">
        <v>1</v>
      </c>
      <c r="D132" s="381" t="n">
        <v>0</v>
      </c>
      <c r="E132" s="381" t="n">
        <v>0</v>
      </c>
      <c r="F132" s="359" t="n">
        <v>1</v>
      </c>
      <c r="G132" s="380" t="n">
        <v>0</v>
      </c>
      <c r="H132" s="358" t="n">
        <v>0</v>
      </c>
      <c r="I132" s="358" t="n">
        <v>0</v>
      </c>
      <c r="J132" s="358" t="n">
        <v>0</v>
      </c>
      <c r="K132" s="358" t="n">
        <v>0</v>
      </c>
      <c r="L132" s="358" t="n">
        <v>0</v>
      </c>
      <c r="M132" s="381" t="n">
        <v>1</v>
      </c>
      <c r="N132" s="381" t="n">
        <v>0</v>
      </c>
      <c r="O132" s="381" t="n">
        <v>0</v>
      </c>
      <c r="P132" s="359" t="n">
        <v>1</v>
      </c>
    </row>
    <row r="133" customFormat="false" ht="15" hidden="true" customHeight="false" outlineLevel="0" collapsed="false">
      <c r="B133" s="360" t="s">
        <v>2612</v>
      </c>
      <c r="C133" s="381" t="n">
        <v>1</v>
      </c>
      <c r="D133" s="381" t="n">
        <v>0</v>
      </c>
      <c r="E133" s="381" t="n">
        <v>0</v>
      </c>
      <c r="F133" s="359" t="n">
        <v>1</v>
      </c>
      <c r="G133" s="380" t="n">
        <v>0</v>
      </c>
      <c r="H133" s="358" t="n">
        <v>0</v>
      </c>
      <c r="I133" s="358" t="n">
        <v>0</v>
      </c>
      <c r="J133" s="358" t="n">
        <v>0</v>
      </c>
      <c r="K133" s="358" t="n">
        <v>0</v>
      </c>
      <c r="L133" s="358" t="n">
        <v>0</v>
      </c>
      <c r="M133" s="381" t="n">
        <v>1</v>
      </c>
      <c r="N133" s="381" t="n">
        <v>0</v>
      </c>
      <c r="O133" s="381" t="n">
        <v>0</v>
      </c>
      <c r="P133" s="359" t="n">
        <v>1</v>
      </c>
    </row>
    <row r="134" customFormat="false" ht="15" hidden="true" customHeight="false" outlineLevel="0" collapsed="false">
      <c r="B134" s="360" t="s">
        <v>2613</v>
      </c>
      <c r="C134" s="381" t="n">
        <v>1</v>
      </c>
      <c r="D134" s="381" t="n">
        <v>0</v>
      </c>
      <c r="E134" s="381" t="n">
        <v>0</v>
      </c>
      <c r="F134" s="359" t="n">
        <v>1</v>
      </c>
      <c r="G134" s="380" t="n">
        <v>0</v>
      </c>
      <c r="H134" s="358" t="n">
        <v>0</v>
      </c>
      <c r="I134" s="358" t="n">
        <v>0</v>
      </c>
      <c r="J134" s="358" t="n">
        <v>0</v>
      </c>
      <c r="K134" s="358" t="n">
        <v>0</v>
      </c>
      <c r="L134" s="358" t="n">
        <v>0</v>
      </c>
      <c r="M134" s="381" t="n">
        <v>1</v>
      </c>
      <c r="N134" s="381" t="n">
        <v>0</v>
      </c>
      <c r="O134" s="381" t="n">
        <v>0</v>
      </c>
      <c r="P134" s="359" t="n">
        <v>1</v>
      </c>
    </row>
    <row r="135" customFormat="false" ht="15" hidden="true" customHeight="false" outlineLevel="0" collapsed="false">
      <c r="B135" s="360" t="s">
        <v>2614</v>
      </c>
      <c r="C135" s="381" t="n">
        <v>1</v>
      </c>
      <c r="D135" s="381" t="n">
        <v>0</v>
      </c>
      <c r="E135" s="381" t="n">
        <v>0</v>
      </c>
      <c r="F135" s="359" t="n">
        <v>1</v>
      </c>
      <c r="G135" s="380" t="n">
        <v>0</v>
      </c>
      <c r="H135" s="358" t="n">
        <v>0</v>
      </c>
      <c r="I135" s="358" t="n">
        <v>0</v>
      </c>
      <c r="J135" s="358" t="n">
        <v>0</v>
      </c>
      <c r="K135" s="358" t="n">
        <v>0</v>
      </c>
      <c r="L135" s="358" t="n">
        <v>0</v>
      </c>
      <c r="M135" s="381" t="n">
        <v>1</v>
      </c>
      <c r="N135" s="381" t="n">
        <v>0</v>
      </c>
      <c r="O135" s="381" t="n">
        <v>0</v>
      </c>
      <c r="P135" s="359" t="n">
        <v>1</v>
      </c>
    </row>
    <row r="136" customFormat="false" ht="15" hidden="true" customHeight="false" outlineLevel="0" collapsed="false">
      <c r="B136" s="360" t="s">
        <v>2615</v>
      </c>
      <c r="C136" s="381" t="n">
        <v>1</v>
      </c>
      <c r="D136" s="381" t="n">
        <v>0</v>
      </c>
      <c r="E136" s="381" t="n">
        <v>0</v>
      </c>
      <c r="F136" s="359" t="n">
        <v>1</v>
      </c>
      <c r="G136" s="380" t="n">
        <v>0</v>
      </c>
      <c r="H136" s="358" t="n">
        <v>0</v>
      </c>
      <c r="I136" s="358" t="n">
        <v>0</v>
      </c>
      <c r="J136" s="358" t="n">
        <v>0</v>
      </c>
      <c r="K136" s="358" t="n">
        <v>0</v>
      </c>
      <c r="L136" s="358" t="n">
        <v>0</v>
      </c>
      <c r="M136" s="381" t="n">
        <v>1</v>
      </c>
      <c r="N136" s="381" t="n">
        <v>0</v>
      </c>
      <c r="O136" s="381" t="n">
        <v>0</v>
      </c>
      <c r="P136" s="359" t="n">
        <v>1</v>
      </c>
    </row>
    <row r="137" customFormat="false" ht="15" hidden="true" customHeight="false" outlineLevel="0" collapsed="false">
      <c r="B137" s="360" t="s">
        <v>2616</v>
      </c>
      <c r="C137" s="381" t="n">
        <v>1</v>
      </c>
      <c r="D137" s="381" t="n">
        <v>0</v>
      </c>
      <c r="E137" s="381" t="n">
        <v>0</v>
      </c>
      <c r="F137" s="359" t="n">
        <v>1</v>
      </c>
      <c r="G137" s="380" t="n">
        <v>0</v>
      </c>
      <c r="H137" s="358" t="n">
        <v>0</v>
      </c>
      <c r="I137" s="358" t="n">
        <v>0</v>
      </c>
      <c r="J137" s="358" t="n">
        <v>0</v>
      </c>
      <c r="K137" s="358" t="n">
        <v>0</v>
      </c>
      <c r="L137" s="358" t="n">
        <v>0</v>
      </c>
      <c r="M137" s="381" t="n">
        <v>1</v>
      </c>
      <c r="N137" s="381" t="n">
        <v>0</v>
      </c>
      <c r="O137" s="381" t="n">
        <v>0</v>
      </c>
      <c r="P137" s="359" t="n">
        <v>1</v>
      </c>
    </row>
    <row r="138" customFormat="false" ht="15" hidden="true" customHeight="false" outlineLevel="0" collapsed="false">
      <c r="B138" s="360" t="s">
        <v>2617</v>
      </c>
      <c r="C138" s="381" t="n">
        <v>1</v>
      </c>
      <c r="D138" s="381" t="n">
        <v>0</v>
      </c>
      <c r="E138" s="381" t="n">
        <v>0</v>
      </c>
      <c r="F138" s="359" t="n">
        <v>1</v>
      </c>
      <c r="G138" s="380" t="n">
        <v>0</v>
      </c>
      <c r="H138" s="358" t="n">
        <v>0</v>
      </c>
      <c r="I138" s="358" t="n">
        <v>0</v>
      </c>
      <c r="J138" s="358" t="n">
        <v>0</v>
      </c>
      <c r="K138" s="358" t="n">
        <v>0</v>
      </c>
      <c r="L138" s="358" t="n">
        <v>0</v>
      </c>
      <c r="M138" s="381" t="n">
        <v>1</v>
      </c>
      <c r="N138" s="381" t="n">
        <v>0</v>
      </c>
      <c r="O138" s="381" t="n">
        <v>0</v>
      </c>
      <c r="P138" s="359" t="n">
        <v>1</v>
      </c>
    </row>
    <row r="139" customFormat="false" ht="15" hidden="false" customHeight="false" outlineLevel="0" collapsed="false">
      <c r="B139" s="310" t="s">
        <v>1814</v>
      </c>
      <c r="C139" s="381" t="n">
        <v>11</v>
      </c>
      <c r="D139" s="381" t="n">
        <v>2</v>
      </c>
      <c r="E139" s="381" t="n">
        <v>0</v>
      </c>
      <c r="F139" s="359" t="n">
        <v>13</v>
      </c>
      <c r="G139" s="380" t="n">
        <v>2</v>
      </c>
      <c r="H139" s="358" t="n">
        <v>0</v>
      </c>
      <c r="I139" s="358" t="n">
        <v>0</v>
      </c>
      <c r="J139" s="358" t="n">
        <v>0</v>
      </c>
      <c r="K139" s="358" t="n">
        <v>-2</v>
      </c>
      <c r="L139" s="358" t="n">
        <v>0</v>
      </c>
      <c r="M139" s="381" t="n">
        <v>13</v>
      </c>
      <c r="N139" s="381" t="n">
        <v>0</v>
      </c>
      <c r="O139" s="381" t="n">
        <v>0</v>
      </c>
      <c r="P139" s="359" t="n">
        <v>13</v>
      </c>
    </row>
    <row r="140" customFormat="false" ht="15" hidden="true" customHeight="false" outlineLevel="0" collapsed="false">
      <c r="B140" s="360" t="s">
        <v>3530</v>
      </c>
      <c r="C140" s="381" t="n">
        <v>0</v>
      </c>
      <c r="D140" s="381" t="n">
        <v>1</v>
      </c>
      <c r="E140" s="381" t="n">
        <v>0</v>
      </c>
      <c r="F140" s="359" t="n">
        <v>1</v>
      </c>
      <c r="G140" s="380" t="n">
        <v>0</v>
      </c>
      <c r="H140" s="358" t="n">
        <v>0</v>
      </c>
      <c r="I140" s="358" t="n">
        <v>0</v>
      </c>
      <c r="J140" s="358" t="n">
        <v>0</v>
      </c>
      <c r="K140" s="358" t="n">
        <v>-1</v>
      </c>
      <c r="L140" s="358" t="n">
        <v>0</v>
      </c>
      <c r="M140" s="381" t="n">
        <v>0</v>
      </c>
      <c r="N140" s="381" t="n">
        <v>0</v>
      </c>
      <c r="O140" s="381" t="n">
        <v>0</v>
      </c>
      <c r="P140" s="359" t="n">
        <v>0</v>
      </c>
    </row>
    <row r="141" customFormat="false" ht="15" hidden="true" customHeight="false" outlineLevel="0" collapsed="false">
      <c r="B141" s="360" t="s">
        <v>3531</v>
      </c>
      <c r="C141" s="381" t="n">
        <v>0</v>
      </c>
      <c r="D141" s="381" t="n">
        <v>1</v>
      </c>
      <c r="E141" s="381" t="n">
        <v>0</v>
      </c>
      <c r="F141" s="359" t="n">
        <v>1</v>
      </c>
      <c r="G141" s="380" t="n">
        <v>0</v>
      </c>
      <c r="H141" s="358" t="n">
        <v>0</v>
      </c>
      <c r="I141" s="358" t="n">
        <v>0</v>
      </c>
      <c r="J141" s="358" t="n">
        <v>0</v>
      </c>
      <c r="K141" s="358" t="n">
        <v>-1</v>
      </c>
      <c r="L141" s="358" t="n">
        <v>0</v>
      </c>
      <c r="M141" s="381" t="n">
        <v>0</v>
      </c>
      <c r="N141" s="381" t="n">
        <v>0</v>
      </c>
      <c r="O141" s="381" t="n">
        <v>0</v>
      </c>
      <c r="P141" s="359" t="n">
        <v>0</v>
      </c>
    </row>
    <row r="142" customFormat="false" ht="15" hidden="true" customHeight="false" outlineLevel="0" collapsed="false">
      <c r="B142" s="360" t="s">
        <v>2618</v>
      </c>
      <c r="C142" s="381" t="n">
        <v>1</v>
      </c>
      <c r="D142" s="381" t="n">
        <v>0</v>
      </c>
      <c r="E142" s="381" t="n">
        <v>0</v>
      </c>
      <c r="F142" s="359" t="n">
        <v>1</v>
      </c>
      <c r="G142" s="380" t="n">
        <v>0</v>
      </c>
      <c r="H142" s="358" t="n">
        <v>0</v>
      </c>
      <c r="I142" s="358" t="n">
        <v>0</v>
      </c>
      <c r="J142" s="358" t="n">
        <v>0</v>
      </c>
      <c r="K142" s="358" t="n">
        <v>0</v>
      </c>
      <c r="L142" s="358" t="n">
        <v>0</v>
      </c>
      <c r="M142" s="381" t="n">
        <v>1</v>
      </c>
      <c r="N142" s="381" t="n">
        <v>0</v>
      </c>
      <c r="O142" s="381" t="n">
        <v>0</v>
      </c>
      <c r="P142" s="359" t="n">
        <v>1</v>
      </c>
    </row>
    <row r="143" customFormat="false" ht="15" hidden="true" customHeight="false" outlineLevel="0" collapsed="false">
      <c r="B143" s="360" t="s">
        <v>2619</v>
      </c>
      <c r="C143" s="381" t="n">
        <v>1</v>
      </c>
      <c r="D143" s="381" t="n">
        <v>0</v>
      </c>
      <c r="E143" s="381" t="n">
        <v>0</v>
      </c>
      <c r="F143" s="359" t="n">
        <v>1</v>
      </c>
      <c r="G143" s="380" t="n">
        <v>0</v>
      </c>
      <c r="H143" s="358" t="n">
        <v>0</v>
      </c>
      <c r="I143" s="358" t="n">
        <v>0</v>
      </c>
      <c r="J143" s="358" t="n">
        <v>0</v>
      </c>
      <c r="K143" s="358" t="n">
        <v>0</v>
      </c>
      <c r="L143" s="358" t="n">
        <v>0</v>
      </c>
      <c r="M143" s="381" t="n">
        <v>1</v>
      </c>
      <c r="N143" s="381" t="n">
        <v>0</v>
      </c>
      <c r="O143" s="381" t="n">
        <v>0</v>
      </c>
      <c r="P143" s="359" t="n">
        <v>1</v>
      </c>
    </row>
    <row r="144" customFormat="false" ht="15" hidden="true" customHeight="false" outlineLevel="0" collapsed="false">
      <c r="B144" s="360" t="s">
        <v>2620</v>
      </c>
      <c r="C144" s="381" t="n">
        <v>1</v>
      </c>
      <c r="D144" s="381" t="n">
        <v>0</v>
      </c>
      <c r="E144" s="381" t="n">
        <v>0</v>
      </c>
      <c r="F144" s="359" t="n">
        <v>1</v>
      </c>
      <c r="G144" s="380" t="n">
        <v>0</v>
      </c>
      <c r="H144" s="358" t="n">
        <v>0</v>
      </c>
      <c r="I144" s="358" t="n">
        <v>0</v>
      </c>
      <c r="J144" s="358" t="n">
        <v>0</v>
      </c>
      <c r="K144" s="358" t="n">
        <v>0</v>
      </c>
      <c r="L144" s="358" t="n">
        <v>0</v>
      </c>
      <c r="M144" s="381" t="n">
        <v>1</v>
      </c>
      <c r="N144" s="381" t="n">
        <v>0</v>
      </c>
      <c r="O144" s="381" t="n">
        <v>0</v>
      </c>
      <c r="P144" s="359" t="n">
        <v>1</v>
      </c>
    </row>
    <row r="145" customFormat="false" ht="15" hidden="true" customHeight="false" outlineLevel="0" collapsed="false">
      <c r="B145" s="360" t="s">
        <v>2621</v>
      </c>
      <c r="C145" s="381" t="n">
        <v>1</v>
      </c>
      <c r="D145" s="381" t="n">
        <v>0</v>
      </c>
      <c r="E145" s="381" t="n">
        <v>0</v>
      </c>
      <c r="F145" s="359" t="n">
        <v>1</v>
      </c>
      <c r="G145" s="380" t="n">
        <v>0</v>
      </c>
      <c r="H145" s="358" t="n">
        <v>0</v>
      </c>
      <c r="I145" s="358" t="n">
        <v>0</v>
      </c>
      <c r="J145" s="358" t="n">
        <v>0</v>
      </c>
      <c r="K145" s="358" t="n">
        <v>0</v>
      </c>
      <c r="L145" s="358" t="n">
        <v>0</v>
      </c>
      <c r="M145" s="381" t="n">
        <v>1</v>
      </c>
      <c r="N145" s="381" t="n">
        <v>0</v>
      </c>
      <c r="O145" s="381" t="n">
        <v>0</v>
      </c>
      <c r="P145" s="359" t="n">
        <v>1</v>
      </c>
    </row>
    <row r="146" customFormat="false" ht="15" hidden="true" customHeight="false" outlineLevel="0" collapsed="false">
      <c r="B146" s="360" t="s">
        <v>2622</v>
      </c>
      <c r="C146" s="381" t="n">
        <v>1</v>
      </c>
      <c r="D146" s="381" t="n">
        <v>0</v>
      </c>
      <c r="E146" s="381" t="n">
        <v>0</v>
      </c>
      <c r="F146" s="359" t="n">
        <v>1</v>
      </c>
      <c r="G146" s="380" t="n">
        <v>0</v>
      </c>
      <c r="H146" s="358" t="n">
        <v>0</v>
      </c>
      <c r="I146" s="358" t="n">
        <v>0</v>
      </c>
      <c r="J146" s="358" t="n">
        <v>0</v>
      </c>
      <c r="K146" s="358" t="n">
        <v>0</v>
      </c>
      <c r="L146" s="358" t="n">
        <v>0</v>
      </c>
      <c r="M146" s="381" t="n">
        <v>1</v>
      </c>
      <c r="N146" s="381" t="n">
        <v>0</v>
      </c>
      <c r="O146" s="381" t="n">
        <v>0</v>
      </c>
      <c r="P146" s="359" t="n">
        <v>1</v>
      </c>
    </row>
    <row r="147" customFormat="false" ht="15" hidden="true" customHeight="false" outlineLevel="0" collapsed="false">
      <c r="B147" s="360" t="s">
        <v>2623</v>
      </c>
      <c r="C147" s="381" t="n">
        <v>1</v>
      </c>
      <c r="D147" s="381" t="n">
        <v>0</v>
      </c>
      <c r="E147" s="381" t="n">
        <v>0</v>
      </c>
      <c r="F147" s="359" t="n">
        <v>1</v>
      </c>
      <c r="G147" s="380" t="n">
        <v>0</v>
      </c>
      <c r="H147" s="358" t="n">
        <v>0</v>
      </c>
      <c r="I147" s="358" t="n">
        <v>0</v>
      </c>
      <c r="J147" s="358" t="n">
        <v>0</v>
      </c>
      <c r="K147" s="358" t="n">
        <v>0</v>
      </c>
      <c r="L147" s="358" t="n">
        <v>0</v>
      </c>
      <c r="M147" s="381" t="n">
        <v>1</v>
      </c>
      <c r="N147" s="381" t="n">
        <v>0</v>
      </c>
      <c r="O147" s="381" t="n">
        <v>0</v>
      </c>
      <c r="P147" s="359" t="n">
        <v>1</v>
      </c>
    </row>
    <row r="148" customFormat="false" ht="15" hidden="true" customHeight="false" outlineLevel="0" collapsed="false">
      <c r="B148" s="360" t="s">
        <v>2624</v>
      </c>
      <c r="C148" s="381" t="n">
        <v>1</v>
      </c>
      <c r="D148" s="381" t="n">
        <v>0</v>
      </c>
      <c r="E148" s="381" t="n">
        <v>0</v>
      </c>
      <c r="F148" s="359" t="n">
        <v>1</v>
      </c>
      <c r="G148" s="380" t="n">
        <v>0</v>
      </c>
      <c r="H148" s="358" t="n">
        <v>0</v>
      </c>
      <c r="I148" s="358" t="n">
        <v>0</v>
      </c>
      <c r="J148" s="358" t="n">
        <v>0</v>
      </c>
      <c r="K148" s="358" t="n">
        <v>0</v>
      </c>
      <c r="L148" s="358" t="n">
        <v>0</v>
      </c>
      <c r="M148" s="381" t="n">
        <v>1</v>
      </c>
      <c r="N148" s="381" t="n">
        <v>0</v>
      </c>
      <c r="O148" s="381" t="n">
        <v>0</v>
      </c>
      <c r="P148" s="359" t="n">
        <v>1</v>
      </c>
    </row>
    <row r="149" customFormat="false" ht="15" hidden="true" customHeight="false" outlineLevel="0" collapsed="false">
      <c r="B149" s="360" t="s">
        <v>2625</v>
      </c>
      <c r="C149" s="381" t="n">
        <v>1</v>
      </c>
      <c r="D149" s="381" t="n">
        <v>0</v>
      </c>
      <c r="E149" s="381" t="n">
        <v>0</v>
      </c>
      <c r="F149" s="359" t="n">
        <v>1</v>
      </c>
      <c r="G149" s="380" t="n">
        <v>0</v>
      </c>
      <c r="H149" s="358" t="n">
        <v>0</v>
      </c>
      <c r="I149" s="358" t="n">
        <v>0</v>
      </c>
      <c r="J149" s="358" t="n">
        <v>0</v>
      </c>
      <c r="K149" s="358" t="n">
        <v>0</v>
      </c>
      <c r="L149" s="358" t="n">
        <v>0</v>
      </c>
      <c r="M149" s="381" t="n">
        <v>1</v>
      </c>
      <c r="N149" s="381" t="n">
        <v>0</v>
      </c>
      <c r="O149" s="381" t="n">
        <v>0</v>
      </c>
      <c r="P149" s="359" t="n">
        <v>1</v>
      </c>
    </row>
    <row r="150" customFormat="false" ht="15" hidden="true" customHeight="false" outlineLevel="0" collapsed="false">
      <c r="B150" s="360" t="s">
        <v>2626</v>
      </c>
      <c r="C150" s="381" t="n">
        <v>1</v>
      </c>
      <c r="D150" s="381" t="n">
        <v>0</v>
      </c>
      <c r="E150" s="381" t="n">
        <v>0</v>
      </c>
      <c r="F150" s="359" t="n">
        <v>1</v>
      </c>
      <c r="G150" s="380" t="n">
        <v>0</v>
      </c>
      <c r="H150" s="358" t="n">
        <v>0</v>
      </c>
      <c r="I150" s="358" t="n">
        <v>0</v>
      </c>
      <c r="J150" s="358" t="n">
        <v>0</v>
      </c>
      <c r="K150" s="358" t="n">
        <v>0</v>
      </c>
      <c r="L150" s="358" t="n">
        <v>0</v>
      </c>
      <c r="M150" s="381" t="n">
        <v>1</v>
      </c>
      <c r="N150" s="381" t="n">
        <v>0</v>
      </c>
      <c r="O150" s="381" t="n">
        <v>0</v>
      </c>
      <c r="P150" s="359" t="n">
        <v>1</v>
      </c>
    </row>
    <row r="151" customFormat="false" ht="15" hidden="true" customHeight="false" outlineLevel="0" collapsed="false">
      <c r="B151" s="360" t="s">
        <v>2627</v>
      </c>
      <c r="C151" s="381" t="n">
        <v>1</v>
      </c>
      <c r="D151" s="381" t="n">
        <v>0</v>
      </c>
      <c r="E151" s="381" t="n">
        <v>0</v>
      </c>
      <c r="F151" s="359" t="n">
        <v>1</v>
      </c>
      <c r="G151" s="380" t="n">
        <v>0</v>
      </c>
      <c r="H151" s="358" t="n">
        <v>0</v>
      </c>
      <c r="I151" s="358" t="n">
        <v>0</v>
      </c>
      <c r="J151" s="358" t="n">
        <v>0</v>
      </c>
      <c r="K151" s="358" t="n">
        <v>0</v>
      </c>
      <c r="L151" s="358" t="n">
        <v>0</v>
      </c>
      <c r="M151" s="381" t="n">
        <v>1</v>
      </c>
      <c r="N151" s="381" t="n">
        <v>0</v>
      </c>
      <c r="O151" s="381" t="n">
        <v>0</v>
      </c>
      <c r="P151" s="359" t="n">
        <v>1</v>
      </c>
    </row>
    <row r="152" customFormat="false" ht="15" hidden="true" customHeight="false" outlineLevel="0" collapsed="false">
      <c r="B152" s="360" t="s">
        <v>2628</v>
      </c>
      <c r="C152" s="381" t="n">
        <v>0</v>
      </c>
      <c r="D152" s="381" t="n">
        <v>0</v>
      </c>
      <c r="E152" s="381" t="n">
        <v>0</v>
      </c>
      <c r="F152" s="359" t="n">
        <v>0</v>
      </c>
      <c r="G152" s="380" t="n">
        <v>1</v>
      </c>
      <c r="H152" s="358" t="n">
        <v>0</v>
      </c>
      <c r="I152" s="358" t="n">
        <v>0</v>
      </c>
      <c r="J152" s="358" t="n">
        <v>0</v>
      </c>
      <c r="K152" s="358" t="n">
        <v>0</v>
      </c>
      <c r="L152" s="358" t="n">
        <v>0</v>
      </c>
      <c r="M152" s="381" t="n">
        <v>1</v>
      </c>
      <c r="N152" s="381" t="n">
        <v>0</v>
      </c>
      <c r="O152" s="381" t="n">
        <v>0</v>
      </c>
      <c r="P152" s="359" t="n">
        <v>1</v>
      </c>
    </row>
    <row r="153" customFormat="false" ht="15" hidden="true" customHeight="false" outlineLevel="0" collapsed="false">
      <c r="B153" s="360" t="s">
        <v>2629</v>
      </c>
      <c r="C153" s="381" t="n">
        <v>0</v>
      </c>
      <c r="D153" s="381" t="n">
        <v>0</v>
      </c>
      <c r="E153" s="381" t="n">
        <v>0</v>
      </c>
      <c r="F153" s="359" t="n">
        <v>0</v>
      </c>
      <c r="G153" s="380" t="n">
        <v>1</v>
      </c>
      <c r="H153" s="358" t="n">
        <v>0</v>
      </c>
      <c r="I153" s="358" t="n">
        <v>0</v>
      </c>
      <c r="J153" s="358" t="n">
        <v>0</v>
      </c>
      <c r="K153" s="358" t="n">
        <v>0</v>
      </c>
      <c r="L153" s="358" t="n">
        <v>0</v>
      </c>
      <c r="M153" s="381" t="n">
        <v>1</v>
      </c>
      <c r="N153" s="381" t="n">
        <v>0</v>
      </c>
      <c r="O153" s="381" t="n">
        <v>0</v>
      </c>
      <c r="P153" s="359" t="n">
        <v>1</v>
      </c>
    </row>
    <row r="154" customFormat="false" ht="15" hidden="true" customHeight="false" outlineLevel="0" collapsed="false">
      <c r="B154" s="360" t="s">
        <v>2630</v>
      </c>
      <c r="C154" s="381" t="n">
        <v>1</v>
      </c>
      <c r="D154" s="381" t="n">
        <v>0</v>
      </c>
      <c r="E154" s="381" t="n">
        <v>0</v>
      </c>
      <c r="F154" s="359" t="n">
        <v>1</v>
      </c>
      <c r="G154" s="380" t="n">
        <v>0</v>
      </c>
      <c r="H154" s="358" t="n">
        <v>0</v>
      </c>
      <c r="I154" s="358" t="n">
        <v>0</v>
      </c>
      <c r="J154" s="358" t="n">
        <v>0</v>
      </c>
      <c r="K154" s="358" t="n">
        <v>0</v>
      </c>
      <c r="L154" s="358" t="n">
        <v>0</v>
      </c>
      <c r="M154" s="381" t="n">
        <v>1</v>
      </c>
      <c r="N154" s="381" t="n">
        <v>0</v>
      </c>
      <c r="O154" s="381" t="n">
        <v>0</v>
      </c>
      <c r="P154" s="359" t="n">
        <v>1</v>
      </c>
    </row>
    <row r="155" customFormat="false" ht="15" hidden="false" customHeight="false" outlineLevel="0" collapsed="false">
      <c r="B155" s="310" t="s">
        <v>2460</v>
      </c>
      <c r="C155" s="381" t="n">
        <v>17</v>
      </c>
      <c r="D155" s="381" t="n">
        <v>5</v>
      </c>
      <c r="E155" s="381" t="n">
        <v>2</v>
      </c>
      <c r="F155" s="359" t="n">
        <v>24</v>
      </c>
      <c r="G155" s="380" t="n">
        <v>0</v>
      </c>
      <c r="H155" s="358" t="n">
        <v>0</v>
      </c>
      <c r="I155" s="358" t="n">
        <v>0</v>
      </c>
      <c r="J155" s="358" t="n">
        <v>0</v>
      </c>
      <c r="K155" s="358" t="n">
        <v>0</v>
      </c>
      <c r="L155" s="358" t="n">
        <v>0</v>
      </c>
      <c r="M155" s="381" t="n">
        <v>17</v>
      </c>
      <c r="N155" s="381" t="n">
        <v>5</v>
      </c>
      <c r="O155" s="381" t="n">
        <v>2</v>
      </c>
      <c r="P155" s="359" t="n">
        <v>24</v>
      </c>
    </row>
    <row r="156" customFormat="false" ht="15" hidden="true" customHeight="false" outlineLevel="0" collapsed="false">
      <c r="B156" s="360" t="s">
        <v>3532</v>
      </c>
      <c r="C156" s="381" t="n">
        <v>0</v>
      </c>
      <c r="D156" s="381" t="n">
        <v>1</v>
      </c>
      <c r="E156" s="381" t="n">
        <v>0</v>
      </c>
      <c r="F156" s="359" t="n">
        <v>1</v>
      </c>
      <c r="G156" s="380" t="n">
        <v>0</v>
      </c>
      <c r="H156" s="358" t="n">
        <v>0</v>
      </c>
      <c r="I156" s="358" t="n">
        <v>0</v>
      </c>
      <c r="J156" s="358" t="n">
        <v>0</v>
      </c>
      <c r="K156" s="358" t="n">
        <v>0</v>
      </c>
      <c r="L156" s="358" t="n">
        <v>0</v>
      </c>
      <c r="M156" s="381" t="n">
        <v>0</v>
      </c>
      <c r="N156" s="381" t="n">
        <v>1</v>
      </c>
      <c r="O156" s="381" t="n">
        <v>0</v>
      </c>
      <c r="P156" s="359" t="n">
        <v>1</v>
      </c>
    </row>
    <row r="157" customFormat="false" ht="15" hidden="true" customHeight="false" outlineLevel="0" collapsed="false">
      <c r="B157" s="360" t="s">
        <v>3533</v>
      </c>
      <c r="C157" s="381" t="n">
        <v>0</v>
      </c>
      <c r="D157" s="381" t="n">
        <v>1</v>
      </c>
      <c r="E157" s="381" t="n">
        <v>0</v>
      </c>
      <c r="F157" s="359" t="n">
        <v>1</v>
      </c>
      <c r="G157" s="380" t="n">
        <v>0</v>
      </c>
      <c r="H157" s="358" t="n">
        <v>0</v>
      </c>
      <c r="I157" s="358" t="n">
        <v>0</v>
      </c>
      <c r="J157" s="358" t="n">
        <v>0</v>
      </c>
      <c r="K157" s="358" t="n">
        <v>0</v>
      </c>
      <c r="L157" s="358" t="n">
        <v>0</v>
      </c>
      <c r="M157" s="381" t="n">
        <v>0</v>
      </c>
      <c r="N157" s="381" t="n">
        <v>1</v>
      </c>
      <c r="O157" s="381" t="n">
        <v>0</v>
      </c>
      <c r="P157" s="359" t="n">
        <v>1</v>
      </c>
    </row>
    <row r="158" customFormat="false" ht="15" hidden="true" customHeight="false" outlineLevel="0" collapsed="false">
      <c r="B158" s="360" t="s">
        <v>3534</v>
      </c>
      <c r="C158" s="381" t="n">
        <v>0</v>
      </c>
      <c r="D158" s="381" t="n">
        <v>1</v>
      </c>
      <c r="E158" s="381" t="n">
        <v>0</v>
      </c>
      <c r="F158" s="359" t="n">
        <v>1</v>
      </c>
      <c r="G158" s="380" t="n">
        <v>0</v>
      </c>
      <c r="H158" s="358" t="n">
        <v>0</v>
      </c>
      <c r="I158" s="358" t="n">
        <v>0</v>
      </c>
      <c r="J158" s="358" t="n">
        <v>0</v>
      </c>
      <c r="K158" s="358" t="n">
        <v>0</v>
      </c>
      <c r="L158" s="358" t="n">
        <v>0</v>
      </c>
      <c r="M158" s="381" t="n">
        <v>0</v>
      </c>
      <c r="N158" s="381" t="n">
        <v>1</v>
      </c>
      <c r="O158" s="381" t="n">
        <v>0</v>
      </c>
      <c r="P158" s="359" t="n">
        <v>1</v>
      </c>
    </row>
    <row r="159" customFormat="false" ht="15" hidden="true" customHeight="false" outlineLevel="0" collapsed="false">
      <c r="B159" s="360" t="s">
        <v>3535</v>
      </c>
      <c r="C159" s="381" t="n">
        <v>0</v>
      </c>
      <c r="D159" s="381" t="n">
        <v>1</v>
      </c>
      <c r="E159" s="381" t="n">
        <v>0</v>
      </c>
      <c r="F159" s="359" t="n">
        <v>1</v>
      </c>
      <c r="G159" s="380" t="n">
        <v>0</v>
      </c>
      <c r="H159" s="358" t="n">
        <v>0</v>
      </c>
      <c r="I159" s="358" t="n">
        <v>0</v>
      </c>
      <c r="J159" s="358" t="n">
        <v>0</v>
      </c>
      <c r="K159" s="358" t="n">
        <v>0</v>
      </c>
      <c r="L159" s="358" t="n">
        <v>0</v>
      </c>
      <c r="M159" s="381" t="n">
        <v>0</v>
      </c>
      <c r="N159" s="381" t="n">
        <v>1</v>
      </c>
      <c r="O159" s="381" t="n">
        <v>0</v>
      </c>
      <c r="P159" s="359" t="n">
        <v>1</v>
      </c>
    </row>
    <row r="160" customFormat="false" ht="15" hidden="true" customHeight="false" outlineLevel="0" collapsed="false">
      <c r="B160" s="360" t="s">
        <v>3536</v>
      </c>
      <c r="C160" s="381" t="n">
        <v>0</v>
      </c>
      <c r="D160" s="381" t="n">
        <v>1</v>
      </c>
      <c r="E160" s="381" t="n">
        <v>0</v>
      </c>
      <c r="F160" s="359" t="n">
        <v>1</v>
      </c>
      <c r="G160" s="380" t="n">
        <v>0</v>
      </c>
      <c r="H160" s="358" t="n">
        <v>0</v>
      </c>
      <c r="I160" s="358" t="n">
        <v>0</v>
      </c>
      <c r="J160" s="358" t="n">
        <v>0</v>
      </c>
      <c r="K160" s="358" t="n">
        <v>0</v>
      </c>
      <c r="L160" s="358" t="n">
        <v>0</v>
      </c>
      <c r="M160" s="381" t="n">
        <v>0</v>
      </c>
      <c r="N160" s="381" t="n">
        <v>1</v>
      </c>
      <c r="O160" s="381" t="n">
        <v>0</v>
      </c>
      <c r="P160" s="359" t="n">
        <v>1</v>
      </c>
    </row>
    <row r="161" customFormat="false" ht="15" hidden="true" customHeight="false" outlineLevel="0" collapsed="false">
      <c r="B161" s="360" t="s">
        <v>3537</v>
      </c>
      <c r="C161" s="381" t="n">
        <v>0</v>
      </c>
      <c r="D161" s="381" t="n">
        <v>0</v>
      </c>
      <c r="E161" s="381" t="n">
        <v>1</v>
      </c>
      <c r="F161" s="359" t="n">
        <v>1</v>
      </c>
      <c r="G161" s="380" t="n">
        <v>0</v>
      </c>
      <c r="H161" s="358" t="n">
        <v>0</v>
      </c>
      <c r="I161" s="358" t="n">
        <v>0</v>
      </c>
      <c r="J161" s="358" t="n">
        <v>0</v>
      </c>
      <c r="K161" s="358" t="n">
        <v>0</v>
      </c>
      <c r="L161" s="358" t="n">
        <v>0</v>
      </c>
      <c r="M161" s="381" t="n">
        <v>0</v>
      </c>
      <c r="N161" s="381" t="n">
        <v>0</v>
      </c>
      <c r="O161" s="381" t="n">
        <v>1</v>
      </c>
      <c r="P161" s="359" t="n">
        <v>1</v>
      </c>
    </row>
    <row r="162" customFormat="false" ht="15" hidden="true" customHeight="false" outlineLevel="0" collapsed="false">
      <c r="B162" s="360" t="s">
        <v>3538</v>
      </c>
      <c r="C162" s="381" t="n">
        <v>0</v>
      </c>
      <c r="D162" s="381" t="n">
        <v>0</v>
      </c>
      <c r="E162" s="381" t="n">
        <v>1</v>
      </c>
      <c r="F162" s="359" t="n">
        <v>1</v>
      </c>
      <c r="G162" s="380" t="n">
        <v>0</v>
      </c>
      <c r="H162" s="358" t="n">
        <v>0</v>
      </c>
      <c r="I162" s="358" t="n">
        <v>0</v>
      </c>
      <c r="J162" s="358" t="n">
        <v>0</v>
      </c>
      <c r="K162" s="358" t="n">
        <v>0</v>
      </c>
      <c r="L162" s="358" t="n">
        <v>0</v>
      </c>
      <c r="M162" s="381" t="n">
        <v>0</v>
      </c>
      <c r="N162" s="381" t="n">
        <v>0</v>
      </c>
      <c r="O162" s="381" t="n">
        <v>1</v>
      </c>
      <c r="P162" s="359" t="n">
        <v>1</v>
      </c>
    </row>
    <row r="163" customFormat="false" ht="15" hidden="true" customHeight="false" outlineLevel="0" collapsed="false">
      <c r="B163" s="360" t="s">
        <v>2631</v>
      </c>
      <c r="C163" s="381" t="n">
        <v>1</v>
      </c>
      <c r="D163" s="381" t="n">
        <v>0</v>
      </c>
      <c r="E163" s="381" t="n">
        <v>0</v>
      </c>
      <c r="F163" s="359" t="n">
        <v>1</v>
      </c>
      <c r="G163" s="380" t="n">
        <v>0</v>
      </c>
      <c r="H163" s="358" t="n">
        <v>0</v>
      </c>
      <c r="I163" s="358" t="n">
        <v>0</v>
      </c>
      <c r="J163" s="358" t="n">
        <v>0</v>
      </c>
      <c r="K163" s="358" t="n">
        <v>0</v>
      </c>
      <c r="L163" s="358" t="n">
        <v>0</v>
      </c>
      <c r="M163" s="381" t="n">
        <v>1</v>
      </c>
      <c r="N163" s="381" t="n">
        <v>0</v>
      </c>
      <c r="O163" s="381" t="n">
        <v>0</v>
      </c>
      <c r="P163" s="359" t="n">
        <v>1</v>
      </c>
    </row>
    <row r="164" customFormat="false" ht="15" hidden="true" customHeight="false" outlineLevel="0" collapsed="false">
      <c r="B164" s="360" t="s">
        <v>2632</v>
      </c>
      <c r="C164" s="381" t="n">
        <v>1</v>
      </c>
      <c r="D164" s="381" t="n">
        <v>0</v>
      </c>
      <c r="E164" s="381" t="n">
        <v>0</v>
      </c>
      <c r="F164" s="359" t="n">
        <v>1</v>
      </c>
      <c r="G164" s="380" t="n">
        <v>0</v>
      </c>
      <c r="H164" s="358" t="n">
        <v>0</v>
      </c>
      <c r="I164" s="358" t="n">
        <v>0</v>
      </c>
      <c r="J164" s="358" t="n">
        <v>0</v>
      </c>
      <c r="K164" s="358" t="n">
        <v>0</v>
      </c>
      <c r="L164" s="358" t="n">
        <v>0</v>
      </c>
      <c r="M164" s="381" t="n">
        <v>1</v>
      </c>
      <c r="N164" s="381" t="n">
        <v>0</v>
      </c>
      <c r="O164" s="381" t="n">
        <v>0</v>
      </c>
      <c r="P164" s="359" t="n">
        <v>1</v>
      </c>
    </row>
    <row r="165" customFormat="false" ht="15" hidden="true" customHeight="false" outlineLevel="0" collapsed="false">
      <c r="B165" s="360" t="s">
        <v>2633</v>
      </c>
      <c r="C165" s="381" t="n">
        <v>1</v>
      </c>
      <c r="D165" s="381" t="n">
        <v>0</v>
      </c>
      <c r="E165" s="381" t="n">
        <v>0</v>
      </c>
      <c r="F165" s="359" t="n">
        <v>1</v>
      </c>
      <c r="G165" s="380" t="n">
        <v>0</v>
      </c>
      <c r="H165" s="358" t="n">
        <v>0</v>
      </c>
      <c r="I165" s="358" t="n">
        <v>0</v>
      </c>
      <c r="J165" s="358" t="n">
        <v>0</v>
      </c>
      <c r="K165" s="358" t="n">
        <v>0</v>
      </c>
      <c r="L165" s="358" t="n">
        <v>0</v>
      </c>
      <c r="M165" s="381" t="n">
        <v>1</v>
      </c>
      <c r="N165" s="381" t="n">
        <v>0</v>
      </c>
      <c r="O165" s="381" t="n">
        <v>0</v>
      </c>
      <c r="P165" s="359" t="n">
        <v>1</v>
      </c>
    </row>
    <row r="166" customFormat="false" ht="15" hidden="true" customHeight="false" outlineLevel="0" collapsed="false">
      <c r="B166" s="360" t="s">
        <v>2634</v>
      </c>
      <c r="C166" s="381" t="n">
        <v>1</v>
      </c>
      <c r="D166" s="381" t="n">
        <v>0</v>
      </c>
      <c r="E166" s="381" t="n">
        <v>0</v>
      </c>
      <c r="F166" s="359" t="n">
        <v>1</v>
      </c>
      <c r="G166" s="380" t="n">
        <v>0</v>
      </c>
      <c r="H166" s="358" t="n">
        <v>0</v>
      </c>
      <c r="I166" s="358" t="n">
        <v>0</v>
      </c>
      <c r="J166" s="358" t="n">
        <v>0</v>
      </c>
      <c r="K166" s="358" t="n">
        <v>0</v>
      </c>
      <c r="L166" s="358" t="n">
        <v>0</v>
      </c>
      <c r="M166" s="381" t="n">
        <v>1</v>
      </c>
      <c r="N166" s="381" t="n">
        <v>0</v>
      </c>
      <c r="O166" s="381" t="n">
        <v>0</v>
      </c>
      <c r="P166" s="359" t="n">
        <v>1</v>
      </c>
    </row>
    <row r="167" customFormat="false" ht="15" hidden="true" customHeight="false" outlineLevel="0" collapsed="false">
      <c r="B167" s="360" t="s">
        <v>2635</v>
      </c>
      <c r="C167" s="381" t="n">
        <v>1</v>
      </c>
      <c r="D167" s="381" t="n">
        <v>0</v>
      </c>
      <c r="E167" s="381" t="n">
        <v>0</v>
      </c>
      <c r="F167" s="359" t="n">
        <v>1</v>
      </c>
      <c r="G167" s="380" t="n">
        <v>0</v>
      </c>
      <c r="H167" s="358" t="n">
        <v>0</v>
      </c>
      <c r="I167" s="358" t="n">
        <v>0</v>
      </c>
      <c r="J167" s="358" t="n">
        <v>0</v>
      </c>
      <c r="K167" s="358" t="n">
        <v>0</v>
      </c>
      <c r="L167" s="358" t="n">
        <v>0</v>
      </c>
      <c r="M167" s="381" t="n">
        <v>1</v>
      </c>
      <c r="N167" s="381" t="n">
        <v>0</v>
      </c>
      <c r="O167" s="381" t="n">
        <v>0</v>
      </c>
      <c r="P167" s="359" t="n">
        <v>1</v>
      </c>
    </row>
    <row r="168" customFormat="false" ht="15" hidden="true" customHeight="false" outlineLevel="0" collapsed="false">
      <c r="B168" s="360" t="s">
        <v>2636</v>
      </c>
      <c r="C168" s="381" t="n">
        <v>1</v>
      </c>
      <c r="D168" s="381" t="n">
        <v>0</v>
      </c>
      <c r="E168" s="381" t="n">
        <v>0</v>
      </c>
      <c r="F168" s="359" t="n">
        <v>1</v>
      </c>
      <c r="G168" s="380" t="n">
        <v>0</v>
      </c>
      <c r="H168" s="358" t="n">
        <v>0</v>
      </c>
      <c r="I168" s="358" t="n">
        <v>0</v>
      </c>
      <c r="J168" s="358" t="n">
        <v>0</v>
      </c>
      <c r="K168" s="358" t="n">
        <v>0</v>
      </c>
      <c r="L168" s="358" t="n">
        <v>0</v>
      </c>
      <c r="M168" s="381" t="n">
        <v>1</v>
      </c>
      <c r="N168" s="381" t="n">
        <v>0</v>
      </c>
      <c r="O168" s="381" t="n">
        <v>0</v>
      </c>
      <c r="P168" s="359" t="n">
        <v>1</v>
      </c>
    </row>
    <row r="169" customFormat="false" ht="15" hidden="true" customHeight="false" outlineLevel="0" collapsed="false">
      <c r="B169" s="360" t="s">
        <v>2637</v>
      </c>
      <c r="C169" s="381" t="n">
        <v>1</v>
      </c>
      <c r="D169" s="381" t="n">
        <v>0</v>
      </c>
      <c r="E169" s="381" t="n">
        <v>0</v>
      </c>
      <c r="F169" s="359" t="n">
        <v>1</v>
      </c>
      <c r="G169" s="380" t="n">
        <v>0</v>
      </c>
      <c r="H169" s="358" t="n">
        <v>0</v>
      </c>
      <c r="I169" s="358" t="n">
        <v>0</v>
      </c>
      <c r="J169" s="358" t="n">
        <v>0</v>
      </c>
      <c r="K169" s="358" t="n">
        <v>0</v>
      </c>
      <c r="L169" s="358" t="n">
        <v>0</v>
      </c>
      <c r="M169" s="381" t="n">
        <v>1</v>
      </c>
      <c r="N169" s="381" t="n">
        <v>0</v>
      </c>
      <c r="O169" s="381" t="n">
        <v>0</v>
      </c>
      <c r="P169" s="359" t="n">
        <v>1</v>
      </c>
    </row>
    <row r="170" customFormat="false" ht="15" hidden="true" customHeight="false" outlineLevel="0" collapsed="false">
      <c r="B170" s="360" t="s">
        <v>2638</v>
      </c>
      <c r="C170" s="381" t="n">
        <v>1</v>
      </c>
      <c r="D170" s="381" t="n">
        <v>0</v>
      </c>
      <c r="E170" s="381" t="n">
        <v>0</v>
      </c>
      <c r="F170" s="359" t="n">
        <v>1</v>
      </c>
      <c r="G170" s="380" t="n">
        <v>0</v>
      </c>
      <c r="H170" s="358" t="n">
        <v>0</v>
      </c>
      <c r="I170" s="358" t="n">
        <v>0</v>
      </c>
      <c r="J170" s="358" t="n">
        <v>0</v>
      </c>
      <c r="K170" s="358" t="n">
        <v>0</v>
      </c>
      <c r="L170" s="358" t="n">
        <v>0</v>
      </c>
      <c r="M170" s="381" t="n">
        <v>1</v>
      </c>
      <c r="N170" s="381" t="n">
        <v>0</v>
      </c>
      <c r="O170" s="381" t="n">
        <v>0</v>
      </c>
      <c r="P170" s="359" t="n">
        <v>1</v>
      </c>
    </row>
    <row r="171" customFormat="false" ht="15" hidden="true" customHeight="false" outlineLevel="0" collapsed="false">
      <c r="B171" s="360" t="s">
        <v>2639</v>
      </c>
      <c r="C171" s="381" t="n">
        <v>1</v>
      </c>
      <c r="D171" s="381" t="n">
        <v>0</v>
      </c>
      <c r="E171" s="381" t="n">
        <v>0</v>
      </c>
      <c r="F171" s="359" t="n">
        <v>1</v>
      </c>
      <c r="G171" s="380" t="n">
        <v>0</v>
      </c>
      <c r="H171" s="358" t="n">
        <v>0</v>
      </c>
      <c r="I171" s="358" t="n">
        <v>0</v>
      </c>
      <c r="J171" s="358" t="n">
        <v>0</v>
      </c>
      <c r="K171" s="358" t="n">
        <v>0</v>
      </c>
      <c r="L171" s="358" t="n">
        <v>0</v>
      </c>
      <c r="M171" s="381" t="n">
        <v>1</v>
      </c>
      <c r="N171" s="381" t="n">
        <v>0</v>
      </c>
      <c r="O171" s="381" t="n">
        <v>0</v>
      </c>
      <c r="P171" s="359" t="n">
        <v>1</v>
      </c>
    </row>
    <row r="172" customFormat="false" ht="15" hidden="true" customHeight="false" outlineLevel="0" collapsed="false">
      <c r="B172" s="360" t="s">
        <v>2640</v>
      </c>
      <c r="C172" s="381" t="n">
        <v>1</v>
      </c>
      <c r="D172" s="381" t="n">
        <v>0</v>
      </c>
      <c r="E172" s="381" t="n">
        <v>0</v>
      </c>
      <c r="F172" s="359" t="n">
        <v>1</v>
      </c>
      <c r="G172" s="380" t="n">
        <v>0</v>
      </c>
      <c r="H172" s="358" t="n">
        <v>0</v>
      </c>
      <c r="I172" s="358" t="n">
        <v>0</v>
      </c>
      <c r="J172" s="358" t="n">
        <v>0</v>
      </c>
      <c r="K172" s="358" t="n">
        <v>0</v>
      </c>
      <c r="L172" s="358" t="n">
        <v>0</v>
      </c>
      <c r="M172" s="381" t="n">
        <v>1</v>
      </c>
      <c r="N172" s="381" t="n">
        <v>0</v>
      </c>
      <c r="O172" s="381" t="n">
        <v>0</v>
      </c>
      <c r="P172" s="359" t="n">
        <v>1</v>
      </c>
    </row>
    <row r="173" customFormat="false" ht="15" hidden="true" customHeight="false" outlineLevel="0" collapsed="false">
      <c r="B173" s="360" t="s">
        <v>2641</v>
      </c>
      <c r="C173" s="381" t="n">
        <v>1</v>
      </c>
      <c r="D173" s="381" t="n">
        <v>0</v>
      </c>
      <c r="E173" s="381" t="n">
        <v>0</v>
      </c>
      <c r="F173" s="359" t="n">
        <v>1</v>
      </c>
      <c r="G173" s="380" t="n">
        <v>0</v>
      </c>
      <c r="H173" s="358" t="n">
        <v>0</v>
      </c>
      <c r="I173" s="358" t="n">
        <v>0</v>
      </c>
      <c r="J173" s="358" t="n">
        <v>0</v>
      </c>
      <c r="K173" s="358" t="n">
        <v>0</v>
      </c>
      <c r="L173" s="358" t="n">
        <v>0</v>
      </c>
      <c r="M173" s="381" t="n">
        <v>1</v>
      </c>
      <c r="N173" s="381" t="n">
        <v>0</v>
      </c>
      <c r="O173" s="381" t="n">
        <v>0</v>
      </c>
      <c r="P173" s="359" t="n">
        <v>1</v>
      </c>
    </row>
    <row r="174" customFormat="false" ht="15" hidden="true" customHeight="false" outlineLevel="0" collapsed="false">
      <c r="B174" s="360" t="s">
        <v>2642</v>
      </c>
      <c r="C174" s="381" t="n">
        <v>1</v>
      </c>
      <c r="D174" s="381" t="n">
        <v>0</v>
      </c>
      <c r="E174" s="381" t="n">
        <v>0</v>
      </c>
      <c r="F174" s="359" t="n">
        <v>1</v>
      </c>
      <c r="G174" s="380" t="n">
        <v>0</v>
      </c>
      <c r="H174" s="358" t="n">
        <v>0</v>
      </c>
      <c r="I174" s="358" t="n">
        <v>0</v>
      </c>
      <c r="J174" s="358" t="n">
        <v>0</v>
      </c>
      <c r="K174" s="358" t="n">
        <v>0</v>
      </c>
      <c r="L174" s="358" t="n">
        <v>0</v>
      </c>
      <c r="M174" s="381" t="n">
        <v>1</v>
      </c>
      <c r="N174" s="381" t="n">
        <v>0</v>
      </c>
      <c r="O174" s="381" t="n">
        <v>0</v>
      </c>
      <c r="P174" s="359" t="n">
        <v>1</v>
      </c>
    </row>
    <row r="175" customFormat="false" ht="15" hidden="true" customHeight="false" outlineLevel="0" collapsed="false">
      <c r="B175" s="360" t="s">
        <v>2643</v>
      </c>
      <c r="C175" s="381" t="n">
        <v>1</v>
      </c>
      <c r="D175" s="381" t="n">
        <v>0</v>
      </c>
      <c r="E175" s="381" t="n">
        <v>0</v>
      </c>
      <c r="F175" s="359" t="n">
        <v>1</v>
      </c>
      <c r="G175" s="380" t="n">
        <v>0</v>
      </c>
      <c r="H175" s="358" t="n">
        <v>0</v>
      </c>
      <c r="I175" s="358" t="n">
        <v>0</v>
      </c>
      <c r="J175" s="358" t="n">
        <v>0</v>
      </c>
      <c r="K175" s="358" t="n">
        <v>0</v>
      </c>
      <c r="L175" s="358" t="n">
        <v>0</v>
      </c>
      <c r="M175" s="381" t="n">
        <v>1</v>
      </c>
      <c r="N175" s="381" t="n">
        <v>0</v>
      </c>
      <c r="O175" s="381" t="n">
        <v>0</v>
      </c>
      <c r="P175" s="359" t="n">
        <v>1</v>
      </c>
    </row>
    <row r="176" customFormat="false" ht="15" hidden="true" customHeight="false" outlineLevel="0" collapsed="false">
      <c r="B176" s="360" t="s">
        <v>2644</v>
      </c>
      <c r="C176" s="381" t="n">
        <v>1</v>
      </c>
      <c r="D176" s="381" t="n">
        <v>0</v>
      </c>
      <c r="E176" s="381" t="n">
        <v>0</v>
      </c>
      <c r="F176" s="359" t="n">
        <v>1</v>
      </c>
      <c r="G176" s="380" t="n">
        <v>0</v>
      </c>
      <c r="H176" s="358" t="n">
        <v>0</v>
      </c>
      <c r="I176" s="358" t="n">
        <v>0</v>
      </c>
      <c r="J176" s="358" t="n">
        <v>0</v>
      </c>
      <c r="K176" s="358" t="n">
        <v>0</v>
      </c>
      <c r="L176" s="358" t="n">
        <v>0</v>
      </c>
      <c r="M176" s="381" t="n">
        <v>1</v>
      </c>
      <c r="N176" s="381" t="n">
        <v>0</v>
      </c>
      <c r="O176" s="381" t="n">
        <v>0</v>
      </c>
      <c r="P176" s="359" t="n">
        <v>1</v>
      </c>
    </row>
    <row r="177" customFormat="false" ht="15" hidden="true" customHeight="false" outlineLevel="0" collapsed="false">
      <c r="B177" s="360" t="s">
        <v>2645</v>
      </c>
      <c r="C177" s="381" t="n">
        <v>1</v>
      </c>
      <c r="D177" s="381" t="n">
        <v>0</v>
      </c>
      <c r="E177" s="381" t="n">
        <v>0</v>
      </c>
      <c r="F177" s="359" t="n">
        <v>1</v>
      </c>
      <c r="G177" s="380" t="n">
        <v>0</v>
      </c>
      <c r="H177" s="358" t="n">
        <v>0</v>
      </c>
      <c r="I177" s="358" t="n">
        <v>0</v>
      </c>
      <c r="J177" s="358" t="n">
        <v>0</v>
      </c>
      <c r="K177" s="358" t="n">
        <v>0</v>
      </c>
      <c r="L177" s="358" t="n">
        <v>0</v>
      </c>
      <c r="M177" s="381" t="n">
        <v>1</v>
      </c>
      <c r="N177" s="381" t="n">
        <v>0</v>
      </c>
      <c r="O177" s="381" t="n">
        <v>0</v>
      </c>
      <c r="P177" s="359" t="n">
        <v>1</v>
      </c>
    </row>
    <row r="178" customFormat="false" ht="15" hidden="true" customHeight="false" outlineLevel="0" collapsed="false">
      <c r="B178" s="360" t="s">
        <v>2646</v>
      </c>
      <c r="C178" s="381" t="n">
        <v>1</v>
      </c>
      <c r="D178" s="381" t="n">
        <v>0</v>
      </c>
      <c r="E178" s="381" t="n">
        <v>0</v>
      </c>
      <c r="F178" s="359" t="n">
        <v>1</v>
      </c>
      <c r="G178" s="380" t="n">
        <v>0</v>
      </c>
      <c r="H178" s="358" t="n">
        <v>0</v>
      </c>
      <c r="I178" s="358" t="n">
        <v>0</v>
      </c>
      <c r="J178" s="358" t="n">
        <v>0</v>
      </c>
      <c r="K178" s="358" t="n">
        <v>0</v>
      </c>
      <c r="L178" s="358" t="n">
        <v>0</v>
      </c>
      <c r="M178" s="381" t="n">
        <v>1</v>
      </c>
      <c r="N178" s="381" t="n">
        <v>0</v>
      </c>
      <c r="O178" s="381" t="n">
        <v>0</v>
      </c>
      <c r="P178" s="359" t="n">
        <v>1</v>
      </c>
    </row>
    <row r="179" customFormat="false" ht="15" hidden="true" customHeight="false" outlineLevel="0" collapsed="false">
      <c r="B179" s="360" t="s">
        <v>2647</v>
      </c>
      <c r="C179" s="381" t="n">
        <v>1</v>
      </c>
      <c r="D179" s="381" t="n">
        <v>0</v>
      </c>
      <c r="E179" s="381" t="n">
        <v>0</v>
      </c>
      <c r="F179" s="359" t="n">
        <v>1</v>
      </c>
      <c r="G179" s="380" t="n">
        <v>0</v>
      </c>
      <c r="H179" s="358" t="n">
        <v>0</v>
      </c>
      <c r="I179" s="358" t="n">
        <v>0</v>
      </c>
      <c r="J179" s="358" t="n">
        <v>0</v>
      </c>
      <c r="K179" s="358" t="n">
        <v>0</v>
      </c>
      <c r="L179" s="358" t="n">
        <v>0</v>
      </c>
      <c r="M179" s="381" t="n">
        <v>1</v>
      </c>
      <c r="N179" s="381" t="n">
        <v>0</v>
      </c>
      <c r="O179" s="381" t="n">
        <v>0</v>
      </c>
      <c r="P179" s="359" t="n">
        <v>1</v>
      </c>
    </row>
    <row r="180" customFormat="false" ht="15" hidden="false" customHeight="false" outlineLevel="0" collapsed="false">
      <c r="B180" s="356" t="s">
        <v>2461</v>
      </c>
      <c r="C180" s="379" t="n">
        <v>26</v>
      </c>
      <c r="D180" s="379" t="n">
        <v>0</v>
      </c>
      <c r="E180" s="379" t="n">
        <v>0</v>
      </c>
      <c r="F180" s="357" t="n">
        <v>26</v>
      </c>
      <c r="G180" s="380" t="n">
        <v>0</v>
      </c>
      <c r="H180" s="358" t="n">
        <v>0</v>
      </c>
      <c r="I180" s="358" t="n">
        <v>0</v>
      </c>
      <c r="J180" s="358" t="n">
        <v>0</v>
      </c>
      <c r="K180" s="358" t="n">
        <v>0</v>
      </c>
      <c r="L180" s="358" t="n">
        <v>0</v>
      </c>
      <c r="M180" s="379" t="n">
        <v>26</v>
      </c>
      <c r="N180" s="379" t="n">
        <v>0</v>
      </c>
      <c r="O180" s="379" t="n">
        <v>0</v>
      </c>
      <c r="P180" s="357" t="n">
        <v>26</v>
      </c>
    </row>
    <row r="181" customFormat="false" ht="15" hidden="true" customHeight="false" outlineLevel="0" collapsed="false">
      <c r="B181" s="360" t="s">
        <v>2648</v>
      </c>
      <c r="C181" s="381" t="n">
        <v>1</v>
      </c>
      <c r="D181" s="381" t="n">
        <v>0</v>
      </c>
      <c r="E181" s="381" t="n">
        <v>0</v>
      </c>
      <c r="F181" s="359" t="n">
        <v>1</v>
      </c>
      <c r="G181" s="380" t="n">
        <v>0</v>
      </c>
      <c r="H181" s="358" t="n">
        <v>0</v>
      </c>
      <c r="I181" s="358" t="n">
        <v>0</v>
      </c>
      <c r="J181" s="358" t="n">
        <v>0</v>
      </c>
      <c r="K181" s="358" t="n">
        <v>0</v>
      </c>
      <c r="L181" s="358" t="n">
        <v>0</v>
      </c>
      <c r="M181" s="381" t="n">
        <v>1</v>
      </c>
      <c r="N181" s="381" t="n">
        <v>0</v>
      </c>
      <c r="O181" s="381" t="n">
        <v>0</v>
      </c>
      <c r="P181" s="359" t="n">
        <v>1</v>
      </c>
    </row>
    <row r="182" customFormat="false" ht="15" hidden="true" customHeight="false" outlineLevel="0" collapsed="false">
      <c r="B182" s="360" t="s">
        <v>2649</v>
      </c>
      <c r="C182" s="381" t="n">
        <v>1</v>
      </c>
      <c r="D182" s="381" t="n">
        <v>0</v>
      </c>
      <c r="E182" s="381" t="n">
        <v>0</v>
      </c>
      <c r="F182" s="359" t="n">
        <v>1</v>
      </c>
      <c r="G182" s="380" t="n">
        <v>0</v>
      </c>
      <c r="H182" s="358" t="n">
        <v>0</v>
      </c>
      <c r="I182" s="358" t="n">
        <v>0</v>
      </c>
      <c r="J182" s="358" t="n">
        <v>0</v>
      </c>
      <c r="K182" s="358" t="n">
        <v>0</v>
      </c>
      <c r="L182" s="358" t="n">
        <v>0</v>
      </c>
      <c r="M182" s="381" t="n">
        <v>1</v>
      </c>
      <c r="N182" s="381" t="n">
        <v>0</v>
      </c>
      <c r="O182" s="381" t="n">
        <v>0</v>
      </c>
      <c r="P182" s="359" t="n">
        <v>1</v>
      </c>
    </row>
    <row r="183" customFormat="false" ht="15" hidden="true" customHeight="false" outlineLevel="0" collapsed="false">
      <c r="B183" s="360" t="s">
        <v>2650</v>
      </c>
      <c r="C183" s="381" t="n">
        <v>1</v>
      </c>
      <c r="D183" s="381" t="n">
        <v>0</v>
      </c>
      <c r="E183" s="381" t="n">
        <v>0</v>
      </c>
      <c r="F183" s="359" t="n">
        <v>1</v>
      </c>
      <c r="G183" s="380" t="n">
        <v>0</v>
      </c>
      <c r="H183" s="358" t="n">
        <v>0</v>
      </c>
      <c r="I183" s="358" t="n">
        <v>0</v>
      </c>
      <c r="J183" s="358" t="n">
        <v>0</v>
      </c>
      <c r="K183" s="358" t="n">
        <v>0</v>
      </c>
      <c r="L183" s="358" t="n">
        <v>0</v>
      </c>
      <c r="M183" s="381" t="n">
        <v>1</v>
      </c>
      <c r="N183" s="381" t="n">
        <v>0</v>
      </c>
      <c r="O183" s="381" t="n">
        <v>0</v>
      </c>
      <c r="P183" s="359" t="n">
        <v>1</v>
      </c>
    </row>
    <row r="184" customFormat="false" ht="15" hidden="true" customHeight="false" outlineLevel="0" collapsed="false">
      <c r="B184" s="360" t="s">
        <v>2651</v>
      </c>
      <c r="C184" s="381" t="n">
        <v>1</v>
      </c>
      <c r="D184" s="381" t="n">
        <v>0</v>
      </c>
      <c r="E184" s="381" t="n">
        <v>0</v>
      </c>
      <c r="F184" s="359" t="n">
        <v>1</v>
      </c>
      <c r="G184" s="380" t="n">
        <v>0</v>
      </c>
      <c r="H184" s="358" t="n">
        <v>0</v>
      </c>
      <c r="I184" s="358" t="n">
        <v>0</v>
      </c>
      <c r="J184" s="358" t="n">
        <v>0</v>
      </c>
      <c r="K184" s="358" t="n">
        <v>0</v>
      </c>
      <c r="L184" s="358" t="n">
        <v>0</v>
      </c>
      <c r="M184" s="381" t="n">
        <v>1</v>
      </c>
      <c r="N184" s="381" t="n">
        <v>0</v>
      </c>
      <c r="O184" s="381" t="n">
        <v>0</v>
      </c>
      <c r="P184" s="359" t="n">
        <v>1</v>
      </c>
    </row>
    <row r="185" customFormat="false" ht="15" hidden="true" customHeight="false" outlineLevel="0" collapsed="false">
      <c r="B185" s="360" t="s">
        <v>2652</v>
      </c>
      <c r="C185" s="381" t="n">
        <v>1</v>
      </c>
      <c r="D185" s="381" t="n">
        <v>0</v>
      </c>
      <c r="E185" s="381" t="n">
        <v>0</v>
      </c>
      <c r="F185" s="359" t="n">
        <v>1</v>
      </c>
      <c r="G185" s="380" t="n">
        <v>0</v>
      </c>
      <c r="H185" s="358" t="n">
        <v>0</v>
      </c>
      <c r="I185" s="358" t="n">
        <v>0</v>
      </c>
      <c r="J185" s="358" t="n">
        <v>0</v>
      </c>
      <c r="K185" s="358" t="n">
        <v>0</v>
      </c>
      <c r="L185" s="358" t="n">
        <v>0</v>
      </c>
      <c r="M185" s="381" t="n">
        <v>1</v>
      </c>
      <c r="N185" s="381" t="n">
        <v>0</v>
      </c>
      <c r="O185" s="381" t="n">
        <v>0</v>
      </c>
      <c r="P185" s="359" t="n">
        <v>1</v>
      </c>
    </row>
    <row r="186" customFormat="false" ht="15" hidden="true" customHeight="false" outlineLevel="0" collapsed="false">
      <c r="B186" s="360" t="s">
        <v>2653</v>
      </c>
      <c r="C186" s="381" t="n">
        <v>1</v>
      </c>
      <c r="D186" s="381" t="n">
        <v>0</v>
      </c>
      <c r="E186" s="381" t="n">
        <v>0</v>
      </c>
      <c r="F186" s="359" t="n">
        <v>1</v>
      </c>
      <c r="G186" s="380" t="n">
        <v>0</v>
      </c>
      <c r="H186" s="358" t="n">
        <v>0</v>
      </c>
      <c r="I186" s="358" t="n">
        <v>0</v>
      </c>
      <c r="J186" s="358" t="n">
        <v>0</v>
      </c>
      <c r="K186" s="358" t="n">
        <v>0</v>
      </c>
      <c r="L186" s="358" t="n">
        <v>0</v>
      </c>
      <c r="M186" s="381" t="n">
        <v>1</v>
      </c>
      <c r="N186" s="381" t="n">
        <v>0</v>
      </c>
      <c r="O186" s="381" t="n">
        <v>0</v>
      </c>
      <c r="P186" s="359" t="n">
        <v>1</v>
      </c>
    </row>
    <row r="187" customFormat="false" ht="15" hidden="true" customHeight="false" outlineLevel="0" collapsed="false">
      <c r="B187" s="360" t="s">
        <v>2654</v>
      </c>
      <c r="C187" s="381" t="n">
        <v>1</v>
      </c>
      <c r="D187" s="381" t="n">
        <v>0</v>
      </c>
      <c r="E187" s="381" t="n">
        <v>0</v>
      </c>
      <c r="F187" s="359" t="n">
        <v>1</v>
      </c>
      <c r="G187" s="380" t="n">
        <v>0</v>
      </c>
      <c r="H187" s="358" t="n">
        <v>0</v>
      </c>
      <c r="I187" s="358" t="n">
        <v>0</v>
      </c>
      <c r="J187" s="358" t="n">
        <v>0</v>
      </c>
      <c r="K187" s="358" t="n">
        <v>0</v>
      </c>
      <c r="L187" s="358" t="n">
        <v>0</v>
      </c>
      <c r="M187" s="381" t="n">
        <v>1</v>
      </c>
      <c r="N187" s="381" t="n">
        <v>0</v>
      </c>
      <c r="O187" s="381" t="n">
        <v>0</v>
      </c>
      <c r="P187" s="359" t="n">
        <v>1</v>
      </c>
    </row>
    <row r="188" customFormat="false" ht="15" hidden="true" customHeight="false" outlineLevel="0" collapsed="false">
      <c r="B188" s="360" t="s">
        <v>2655</v>
      </c>
      <c r="C188" s="381" t="n">
        <v>1</v>
      </c>
      <c r="D188" s="381" t="n">
        <v>0</v>
      </c>
      <c r="E188" s="381" t="n">
        <v>0</v>
      </c>
      <c r="F188" s="359" t="n">
        <v>1</v>
      </c>
      <c r="G188" s="380" t="n">
        <v>0</v>
      </c>
      <c r="H188" s="358" t="n">
        <v>0</v>
      </c>
      <c r="I188" s="358" t="n">
        <v>0</v>
      </c>
      <c r="J188" s="358" t="n">
        <v>0</v>
      </c>
      <c r="K188" s="358" t="n">
        <v>0</v>
      </c>
      <c r="L188" s="358" t="n">
        <v>0</v>
      </c>
      <c r="M188" s="381" t="n">
        <v>1</v>
      </c>
      <c r="N188" s="381" t="n">
        <v>0</v>
      </c>
      <c r="O188" s="381" t="n">
        <v>0</v>
      </c>
      <c r="P188" s="359" t="n">
        <v>1</v>
      </c>
    </row>
    <row r="189" customFormat="false" ht="15" hidden="true" customHeight="false" outlineLevel="0" collapsed="false">
      <c r="B189" s="360" t="s">
        <v>2656</v>
      </c>
      <c r="C189" s="381" t="n">
        <v>1</v>
      </c>
      <c r="D189" s="381" t="n">
        <v>0</v>
      </c>
      <c r="E189" s="381" t="n">
        <v>0</v>
      </c>
      <c r="F189" s="359" t="n">
        <v>1</v>
      </c>
      <c r="G189" s="380" t="n">
        <v>0</v>
      </c>
      <c r="H189" s="358" t="n">
        <v>0</v>
      </c>
      <c r="I189" s="358" t="n">
        <v>0</v>
      </c>
      <c r="J189" s="358" t="n">
        <v>0</v>
      </c>
      <c r="K189" s="358" t="n">
        <v>0</v>
      </c>
      <c r="L189" s="358" t="n">
        <v>0</v>
      </c>
      <c r="M189" s="381" t="n">
        <v>1</v>
      </c>
      <c r="N189" s="381" t="n">
        <v>0</v>
      </c>
      <c r="O189" s="381" t="n">
        <v>0</v>
      </c>
      <c r="P189" s="359" t="n">
        <v>1</v>
      </c>
    </row>
    <row r="190" customFormat="false" ht="15" hidden="true" customHeight="false" outlineLevel="0" collapsed="false">
      <c r="B190" s="360" t="s">
        <v>2657</v>
      </c>
      <c r="C190" s="381" t="n">
        <v>1</v>
      </c>
      <c r="D190" s="381" t="n">
        <v>0</v>
      </c>
      <c r="E190" s="381" t="n">
        <v>0</v>
      </c>
      <c r="F190" s="359" t="n">
        <v>1</v>
      </c>
      <c r="G190" s="380" t="n">
        <v>0</v>
      </c>
      <c r="H190" s="358" t="n">
        <v>0</v>
      </c>
      <c r="I190" s="358" t="n">
        <v>0</v>
      </c>
      <c r="J190" s="358" t="n">
        <v>0</v>
      </c>
      <c r="K190" s="358" t="n">
        <v>0</v>
      </c>
      <c r="L190" s="358" t="n">
        <v>0</v>
      </c>
      <c r="M190" s="381" t="n">
        <v>1</v>
      </c>
      <c r="N190" s="381" t="n">
        <v>0</v>
      </c>
      <c r="O190" s="381" t="n">
        <v>0</v>
      </c>
      <c r="P190" s="359" t="n">
        <v>1</v>
      </c>
    </row>
    <row r="191" customFormat="false" ht="15" hidden="true" customHeight="false" outlineLevel="0" collapsed="false">
      <c r="B191" s="360" t="s">
        <v>2658</v>
      </c>
      <c r="C191" s="381" t="n">
        <v>1</v>
      </c>
      <c r="D191" s="381" t="n">
        <v>0</v>
      </c>
      <c r="E191" s="381" t="n">
        <v>0</v>
      </c>
      <c r="F191" s="359" t="n">
        <v>1</v>
      </c>
      <c r="G191" s="380" t="n">
        <v>0</v>
      </c>
      <c r="H191" s="358" t="n">
        <v>0</v>
      </c>
      <c r="I191" s="358" t="n">
        <v>0</v>
      </c>
      <c r="J191" s="358" t="n">
        <v>0</v>
      </c>
      <c r="K191" s="358" t="n">
        <v>0</v>
      </c>
      <c r="L191" s="358" t="n">
        <v>0</v>
      </c>
      <c r="M191" s="381" t="n">
        <v>1</v>
      </c>
      <c r="N191" s="381" t="n">
        <v>0</v>
      </c>
      <c r="O191" s="381" t="n">
        <v>0</v>
      </c>
      <c r="P191" s="359" t="n">
        <v>1</v>
      </c>
    </row>
    <row r="192" customFormat="false" ht="15" hidden="true" customHeight="false" outlineLevel="0" collapsed="false">
      <c r="B192" s="360" t="s">
        <v>2659</v>
      </c>
      <c r="C192" s="381" t="n">
        <v>1</v>
      </c>
      <c r="D192" s="381" t="n">
        <v>0</v>
      </c>
      <c r="E192" s="381" t="n">
        <v>0</v>
      </c>
      <c r="F192" s="359" t="n">
        <v>1</v>
      </c>
      <c r="G192" s="380" t="n">
        <v>0</v>
      </c>
      <c r="H192" s="358" t="n">
        <v>0</v>
      </c>
      <c r="I192" s="358" t="n">
        <v>0</v>
      </c>
      <c r="J192" s="358" t="n">
        <v>0</v>
      </c>
      <c r="K192" s="358" t="n">
        <v>0</v>
      </c>
      <c r="L192" s="358" t="n">
        <v>0</v>
      </c>
      <c r="M192" s="381" t="n">
        <v>1</v>
      </c>
      <c r="N192" s="381" t="n">
        <v>0</v>
      </c>
      <c r="O192" s="381" t="n">
        <v>0</v>
      </c>
      <c r="P192" s="359" t="n">
        <v>1</v>
      </c>
    </row>
    <row r="193" customFormat="false" ht="15" hidden="true" customHeight="false" outlineLevel="0" collapsed="false">
      <c r="B193" s="360" t="s">
        <v>2660</v>
      </c>
      <c r="C193" s="381" t="n">
        <v>1</v>
      </c>
      <c r="D193" s="381" t="n">
        <v>0</v>
      </c>
      <c r="E193" s="381" t="n">
        <v>0</v>
      </c>
      <c r="F193" s="359" t="n">
        <v>1</v>
      </c>
      <c r="G193" s="380" t="n">
        <v>0</v>
      </c>
      <c r="H193" s="358" t="n">
        <v>0</v>
      </c>
      <c r="I193" s="358" t="n">
        <v>0</v>
      </c>
      <c r="J193" s="358" t="n">
        <v>0</v>
      </c>
      <c r="K193" s="358" t="n">
        <v>0</v>
      </c>
      <c r="L193" s="358" t="n">
        <v>0</v>
      </c>
      <c r="M193" s="381" t="n">
        <v>1</v>
      </c>
      <c r="N193" s="381" t="n">
        <v>0</v>
      </c>
      <c r="O193" s="381" t="n">
        <v>0</v>
      </c>
      <c r="P193" s="359" t="n">
        <v>1</v>
      </c>
    </row>
    <row r="194" customFormat="false" ht="15" hidden="true" customHeight="false" outlineLevel="0" collapsed="false">
      <c r="B194" s="360" t="s">
        <v>2661</v>
      </c>
      <c r="C194" s="381" t="n">
        <v>1</v>
      </c>
      <c r="D194" s="381" t="n">
        <v>0</v>
      </c>
      <c r="E194" s="381" t="n">
        <v>0</v>
      </c>
      <c r="F194" s="359" t="n">
        <v>1</v>
      </c>
      <c r="G194" s="380" t="n">
        <v>0</v>
      </c>
      <c r="H194" s="358" t="n">
        <v>0</v>
      </c>
      <c r="I194" s="358" t="n">
        <v>0</v>
      </c>
      <c r="J194" s="358" t="n">
        <v>0</v>
      </c>
      <c r="K194" s="358" t="n">
        <v>0</v>
      </c>
      <c r="L194" s="358" t="n">
        <v>0</v>
      </c>
      <c r="M194" s="381" t="n">
        <v>1</v>
      </c>
      <c r="N194" s="381" t="n">
        <v>0</v>
      </c>
      <c r="O194" s="381" t="n">
        <v>0</v>
      </c>
      <c r="P194" s="359" t="n">
        <v>1</v>
      </c>
    </row>
    <row r="195" customFormat="false" ht="15" hidden="true" customHeight="false" outlineLevel="0" collapsed="false">
      <c r="B195" s="360" t="s">
        <v>2662</v>
      </c>
      <c r="C195" s="381" t="n">
        <v>1</v>
      </c>
      <c r="D195" s="381" t="n">
        <v>0</v>
      </c>
      <c r="E195" s="381" t="n">
        <v>0</v>
      </c>
      <c r="F195" s="359" t="n">
        <v>1</v>
      </c>
      <c r="G195" s="380" t="n">
        <v>0</v>
      </c>
      <c r="H195" s="358" t="n">
        <v>0</v>
      </c>
      <c r="I195" s="358" t="n">
        <v>0</v>
      </c>
      <c r="J195" s="358" t="n">
        <v>0</v>
      </c>
      <c r="K195" s="358" t="n">
        <v>0</v>
      </c>
      <c r="L195" s="358" t="n">
        <v>0</v>
      </c>
      <c r="M195" s="381" t="n">
        <v>1</v>
      </c>
      <c r="N195" s="381" t="n">
        <v>0</v>
      </c>
      <c r="O195" s="381" t="n">
        <v>0</v>
      </c>
      <c r="P195" s="359" t="n">
        <v>1</v>
      </c>
    </row>
    <row r="196" customFormat="false" ht="15" hidden="true" customHeight="false" outlineLevel="0" collapsed="false">
      <c r="B196" s="360" t="s">
        <v>2663</v>
      </c>
      <c r="C196" s="381" t="n">
        <v>1</v>
      </c>
      <c r="D196" s="381" t="n">
        <v>0</v>
      </c>
      <c r="E196" s="381" t="n">
        <v>0</v>
      </c>
      <c r="F196" s="359" t="n">
        <v>1</v>
      </c>
      <c r="G196" s="380" t="n">
        <v>0</v>
      </c>
      <c r="H196" s="358" t="n">
        <v>0</v>
      </c>
      <c r="I196" s="358" t="n">
        <v>0</v>
      </c>
      <c r="J196" s="358" t="n">
        <v>0</v>
      </c>
      <c r="K196" s="358" t="n">
        <v>0</v>
      </c>
      <c r="L196" s="358" t="n">
        <v>0</v>
      </c>
      <c r="M196" s="381" t="n">
        <v>1</v>
      </c>
      <c r="N196" s="381" t="n">
        <v>0</v>
      </c>
      <c r="O196" s="381" t="n">
        <v>0</v>
      </c>
      <c r="P196" s="359" t="n">
        <v>1</v>
      </c>
    </row>
    <row r="197" customFormat="false" ht="15" hidden="true" customHeight="false" outlineLevel="0" collapsed="false">
      <c r="B197" s="360" t="s">
        <v>2664</v>
      </c>
      <c r="C197" s="381" t="n">
        <v>1</v>
      </c>
      <c r="D197" s="381" t="n">
        <v>0</v>
      </c>
      <c r="E197" s="381" t="n">
        <v>0</v>
      </c>
      <c r="F197" s="359" t="n">
        <v>1</v>
      </c>
      <c r="G197" s="380" t="n">
        <v>0</v>
      </c>
      <c r="H197" s="358" t="n">
        <v>0</v>
      </c>
      <c r="I197" s="358" t="n">
        <v>0</v>
      </c>
      <c r="J197" s="358" t="n">
        <v>0</v>
      </c>
      <c r="K197" s="358" t="n">
        <v>0</v>
      </c>
      <c r="L197" s="358" t="n">
        <v>0</v>
      </c>
      <c r="M197" s="381" t="n">
        <v>1</v>
      </c>
      <c r="N197" s="381" t="n">
        <v>0</v>
      </c>
      <c r="O197" s="381" t="n">
        <v>0</v>
      </c>
      <c r="P197" s="359" t="n">
        <v>1</v>
      </c>
    </row>
    <row r="198" customFormat="false" ht="15" hidden="true" customHeight="false" outlineLevel="0" collapsed="false">
      <c r="B198" s="360" t="s">
        <v>2665</v>
      </c>
      <c r="C198" s="381" t="n">
        <v>1</v>
      </c>
      <c r="D198" s="381" t="n">
        <v>0</v>
      </c>
      <c r="E198" s="381" t="n">
        <v>0</v>
      </c>
      <c r="F198" s="359" t="n">
        <v>1</v>
      </c>
      <c r="G198" s="380" t="n">
        <v>0</v>
      </c>
      <c r="H198" s="358" t="n">
        <v>0</v>
      </c>
      <c r="I198" s="358" t="n">
        <v>0</v>
      </c>
      <c r="J198" s="358" t="n">
        <v>0</v>
      </c>
      <c r="K198" s="358" t="n">
        <v>0</v>
      </c>
      <c r="L198" s="358" t="n">
        <v>0</v>
      </c>
      <c r="M198" s="381" t="n">
        <v>1</v>
      </c>
      <c r="N198" s="381" t="n">
        <v>0</v>
      </c>
      <c r="O198" s="381" t="n">
        <v>0</v>
      </c>
      <c r="P198" s="359" t="n">
        <v>1</v>
      </c>
    </row>
    <row r="199" customFormat="false" ht="15" hidden="true" customHeight="false" outlineLevel="0" collapsed="false">
      <c r="B199" s="360" t="s">
        <v>2666</v>
      </c>
      <c r="C199" s="381" t="n">
        <v>1</v>
      </c>
      <c r="D199" s="381" t="n">
        <v>0</v>
      </c>
      <c r="E199" s="381" t="n">
        <v>0</v>
      </c>
      <c r="F199" s="359" t="n">
        <v>1</v>
      </c>
      <c r="G199" s="380" t="n">
        <v>0</v>
      </c>
      <c r="H199" s="358" t="n">
        <v>0</v>
      </c>
      <c r="I199" s="358" t="n">
        <v>0</v>
      </c>
      <c r="J199" s="358" t="n">
        <v>0</v>
      </c>
      <c r="K199" s="358" t="n">
        <v>0</v>
      </c>
      <c r="L199" s="358" t="n">
        <v>0</v>
      </c>
      <c r="M199" s="381" t="n">
        <v>1</v>
      </c>
      <c r="N199" s="381" t="n">
        <v>0</v>
      </c>
      <c r="O199" s="381" t="n">
        <v>0</v>
      </c>
      <c r="P199" s="359" t="n">
        <v>1</v>
      </c>
    </row>
    <row r="200" customFormat="false" ht="15" hidden="true" customHeight="false" outlineLevel="0" collapsed="false">
      <c r="B200" s="360" t="s">
        <v>2667</v>
      </c>
      <c r="C200" s="381" t="n">
        <v>1</v>
      </c>
      <c r="D200" s="381" t="n">
        <v>0</v>
      </c>
      <c r="E200" s="381" t="n">
        <v>0</v>
      </c>
      <c r="F200" s="359" t="n">
        <v>1</v>
      </c>
      <c r="G200" s="380" t="n">
        <v>0</v>
      </c>
      <c r="H200" s="358" t="n">
        <v>0</v>
      </c>
      <c r="I200" s="358" t="n">
        <v>0</v>
      </c>
      <c r="J200" s="358" t="n">
        <v>0</v>
      </c>
      <c r="K200" s="358" t="n">
        <v>0</v>
      </c>
      <c r="L200" s="358" t="n">
        <v>0</v>
      </c>
      <c r="M200" s="381" t="n">
        <v>1</v>
      </c>
      <c r="N200" s="381" t="n">
        <v>0</v>
      </c>
      <c r="O200" s="381" t="n">
        <v>0</v>
      </c>
      <c r="P200" s="359" t="n">
        <v>1</v>
      </c>
    </row>
    <row r="201" customFormat="false" ht="15" hidden="true" customHeight="false" outlineLevel="0" collapsed="false">
      <c r="B201" s="360" t="s">
        <v>2668</v>
      </c>
      <c r="C201" s="381" t="n">
        <v>1</v>
      </c>
      <c r="D201" s="381" t="n">
        <v>0</v>
      </c>
      <c r="E201" s="381" t="n">
        <v>0</v>
      </c>
      <c r="F201" s="359" t="n">
        <v>1</v>
      </c>
      <c r="G201" s="380" t="n">
        <v>0</v>
      </c>
      <c r="H201" s="358" t="n">
        <v>0</v>
      </c>
      <c r="I201" s="358" t="n">
        <v>0</v>
      </c>
      <c r="J201" s="358" t="n">
        <v>0</v>
      </c>
      <c r="K201" s="358" t="n">
        <v>0</v>
      </c>
      <c r="L201" s="358" t="n">
        <v>0</v>
      </c>
      <c r="M201" s="381" t="n">
        <v>1</v>
      </c>
      <c r="N201" s="381" t="n">
        <v>0</v>
      </c>
      <c r="O201" s="381" t="n">
        <v>0</v>
      </c>
      <c r="P201" s="359" t="n">
        <v>1</v>
      </c>
    </row>
    <row r="202" customFormat="false" ht="15" hidden="true" customHeight="false" outlineLevel="0" collapsed="false">
      <c r="B202" s="360" t="s">
        <v>2669</v>
      </c>
      <c r="C202" s="381" t="n">
        <v>1</v>
      </c>
      <c r="D202" s="381" t="n">
        <v>0</v>
      </c>
      <c r="E202" s="381" t="n">
        <v>0</v>
      </c>
      <c r="F202" s="359" t="n">
        <v>1</v>
      </c>
      <c r="G202" s="380" t="n">
        <v>0</v>
      </c>
      <c r="H202" s="358" t="n">
        <v>0</v>
      </c>
      <c r="I202" s="358" t="n">
        <v>0</v>
      </c>
      <c r="J202" s="358" t="n">
        <v>0</v>
      </c>
      <c r="K202" s="358" t="n">
        <v>0</v>
      </c>
      <c r="L202" s="358" t="n">
        <v>0</v>
      </c>
      <c r="M202" s="381" t="n">
        <v>1</v>
      </c>
      <c r="N202" s="381" t="n">
        <v>0</v>
      </c>
      <c r="O202" s="381" t="n">
        <v>0</v>
      </c>
      <c r="P202" s="359" t="n">
        <v>1</v>
      </c>
    </row>
    <row r="203" customFormat="false" ht="15" hidden="true" customHeight="false" outlineLevel="0" collapsed="false">
      <c r="B203" s="360" t="s">
        <v>2670</v>
      </c>
      <c r="C203" s="381" t="n">
        <v>1</v>
      </c>
      <c r="D203" s="381" t="n">
        <v>0</v>
      </c>
      <c r="E203" s="381" t="n">
        <v>0</v>
      </c>
      <c r="F203" s="359" t="n">
        <v>1</v>
      </c>
      <c r="G203" s="380" t="n">
        <v>0</v>
      </c>
      <c r="H203" s="358" t="n">
        <v>0</v>
      </c>
      <c r="I203" s="358" t="n">
        <v>0</v>
      </c>
      <c r="J203" s="358" t="n">
        <v>0</v>
      </c>
      <c r="K203" s="358" t="n">
        <v>0</v>
      </c>
      <c r="L203" s="358" t="n">
        <v>0</v>
      </c>
      <c r="M203" s="381" t="n">
        <v>1</v>
      </c>
      <c r="N203" s="381" t="n">
        <v>0</v>
      </c>
      <c r="O203" s="381" t="n">
        <v>0</v>
      </c>
      <c r="P203" s="359" t="n">
        <v>1</v>
      </c>
    </row>
    <row r="204" customFormat="false" ht="15" hidden="true" customHeight="false" outlineLevel="0" collapsed="false">
      <c r="B204" s="360" t="s">
        <v>2671</v>
      </c>
      <c r="C204" s="381" t="n">
        <v>1</v>
      </c>
      <c r="D204" s="381" t="n">
        <v>0</v>
      </c>
      <c r="E204" s="381" t="n">
        <v>0</v>
      </c>
      <c r="F204" s="359" t="n">
        <v>1</v>
      </c>
      <c r="G204" s="380" t="n">
        <v>0</v>
      </c>
      <c r="H204" s="358" t="n">
        <v>0</v>
      </c>
      <c r="I204" s="358" t="n">
        <v>0</v>
      </c>
      <c r="J204" s="358" t="n">
        <v>0</v>
      </c>
      <c r="K204" s="358" t="n">
        <v>0</v>
      </c>
      <c r="L204" s="358" t="n">
        <v>0</v>
      </c>
      <c r="M204" s="381" t="n">
        <v>1</v>
      </c>
      <c r="N204" s="381" t="n">
        <v>0</v>
      </c>
      <c r="O204" s="381" t="n">
        <v>0</v>
      </c>
      <c r="P204" s="359" t="n">
        <v>1</v>
      </c>
    </row>
    <row r="205" customFormat="false" ht="15" hidden="true" customHeight="false" outlineLevel="0" collapsed="false">
      <c r="B205" s="360" t="s">
        <v>2672</v>
      </c>
      <c r="C205" s="381" t="n">
        <v>1</v>
      </c>
      <c r="D205" s="381" t="n">
        <v>0</v>
      </c>
      <c r="E205" s="381" t="n">
        <v>0</v>
      </c>
      <c r="F205" s="359" t="n">
        <v>1</v>
      </c>
      <c r="G205" s="380" t="n">
        <v>0</v>
      </c>
      <c r="H205" s="358" t="n">
        <v>0</v>
      </c>
      <c r="I205" s="358" t="n">
        <v>0</v>
      </c>
      <c r="J205" s="358" t="n">
        <v>0</v>
      </c>
      <c r="K205" s="358" t="n">
        <v>0</v>
      </c>
      <c r="L205" s="358" t="n">
        <v>0</v>
      </c>
      <c r="M205" s="381" t="n">
        <v>1</v>
      </c>
      <c r="N205" s="381" t="n">
        <v>0</v>
      </c>
      <c r="O205" s="381" t="n">
        <v>0</v>
      </c>
      <c r="P205" s="359" t="n">
        <v>1</v>
      </c>
    </row>
    <row r="206" customFormat="false" ht="15" hidden="true" customHeight="false" outlineLevel="0" collapsed="false">
      <c r="B206" s="360" t="s">
        <v>2673</v>
      </c>
      <c r="C206" s="381" t="n">
        <v>1</v>
      </c>
      <c r="D206" s="381" t="n">
        <v>0</v>
      </c>
      <c r="E206" s="381" t="n">
        <v>0</v>
      </c>
      <c r="F206" s="359" t="n">
        <v>1</v>
      </c>
      <c r="G206" s="380" t="n">
        <v>0</v>
      </c>
      <c r="H206" s="358" t="n">
        <v>0</v>
      </c>
      <c r="I206" s="358" t="n">
        <v>0</v>
      </c>
      <c r="J206" s="358" t="n">
        <v>0</v>
      </c>
      <c r="K206" s="358" t="n">
        <v>0</v>
      </c>
      <c r="L206" s="358" t="n">
        <v>0</v>
      </c>
      <c r="M206" s="381" t="n">
        <v>1</v>
      </c>
      <c r="N206" s="381" t="n">
        <v>0</v>
      </c>
      <c r="O206" s="381" t="n">
        <v>0</v>
      </c>
      <c r="P206" s="359" t="n">
        <v>1</v>
      </c>
    </row>
    <row r="207" customFormat="false" ht="15" hidden="false" customHeight="false" outlineLevel="0" collapsed="false">
      <c r="B207" s="356" t="s">
        <v>2462</v>
      </c>
      <c r="C207" s="379" t="n">
        <v>3</v>
      </c>
      <c r="D207" s="379" t="n">
        <v>0</v>
      </c>
      <c r="E207" s="379" t="n">
        <v>0</v>
      </c>
      <c r="F207" s="357" t="n">
        <v>3</v>
      </c>
      <c r="G207" s="380" t="n">
        <v>0</v>
      </c>
      <c r="H207" s="358" t="n">
        <v>0</v>
      </c>
      <c r="I207" s="358" t="n">
        <v>0</v>
      </c>
      <c r="J207" s="358" t="n">
        <v>0</v>
      </c>
      <c r="K207" s="358" t="n">
        <v>0</v>
      </c>
      <c r="L207" s="358" t="n">
        <v>0</v>
      </c>
      <c r="M207" s="379" t="n">
        <v>3</v>
      </c>
      <c r="N207" s="379" t="n">
        <v>0</v>
      </c>
      <c r="O207" s="379" t="n">
        <v>0</v>
      </c>
      <c r="P207" s="357" t="n">
        <v>3</v>
      </c>
    </row>
    <row r="208" customFormat="false" ht="15" hidden="true" customHeight="false" outlineLevel="0" collapsed="false">
      <c r="B208" s="360" t="s">
        <v>2674</v>
      </c>
      <c r="C208" s="381" t="n">
        <v>1</v>
      </c>
      <c r="D208" s="381" t="n">
        <v>0</v>
      </c>
      <c r="E208" s="381" t="n">
        <v>0</v>
      </c>
      <c r="F208" s="359" t="n">
        <v>1</v>
      </c>
      <c r="G208" s="380" t="n">
        <v>0</v>
      </c>
      <c r="H208" s="358" t="n">
        <v>0</v>
      </c>
      <c r="I208" s="358" t="n">
        <v>0</v>
      </c>
      <c r="J208" s="358" t="n">
        <v>0</v>
      </c>
      <c r="K208" s="358" t="n">
        <v>0</v>
      </c>
      <c r="L208" s="358" t="n">
        <v>0</v>
      </c>
      <c r="M208" s="381" t="n">
        <v>1</v>
      </c>
      <c r="N208" s="381" t="n">
        <v>0</v>
      </c>
      <c r="O208" s="381" t="n">
        <v>0</v>
      </c>
      <c r="P208" s="359" t="n">
        <v>1</v>
      </c>
    </row>
    <row r="209" customFormat="false" ht="15" hidden="true" customHeight="false" outlineLevel="0" collapsed="false">
      <c r="B209" s="360" t="s">
        <v>2675</v>
      </c>
      <c r="C209" s="381" t="n">
        <v>1</v>
      </c>
      <c r="D209" s="381" t="n">
        <v>0</v>
      </c>
      <c r="E209" s="381" t="n">
        <v>0</v>
      </c>
      <c r="F209" s="359" t="n">
        <v>1</v>
      </c>
      <c r="G209" s="380" t="n">
        <v>0</v>
      </c>
      <c r="H209" s="358" t="n">
        <v>0</v>
      </c>
      <c r="I209" s="358" t="n">
        <v>0</v>
      </c>
      <c r="J209" s="358" t="n">
        <v>0</v>
      </c>
      <c r="K209" s="358" t="n">
        <v>0</v>
      </c>
      <c r="L209" s="358" t="n">
        <v>0</v>
      </c>
      <c r="M209" s="381" t="n">
        <v>1</v>
      </c>
      <c r="N209" s="381" t="n">
        <v>0</v>
      </c>
      <c r="O209" s="381" t="n">
        <v>0</v>
      </c>
      <c r="P209" s="359" t="n">
        <v>1</v>
      </c>
    </row>
    <row r="210" customFormat="false" ht="15" hidden="true" customHeight="false" outlineLevel="0" collapsed="false">
      <c r="B210" s="360" t="s">
        <v>2676</v>
      </c>
      <c r="C210" s="381" t="n">
        <v>1</v>
      </c>
      <c r="D210" s="381" t="n">
        <v>0</v>
      </c>
      <c r="E210" s="381" t="n">
        <v>0</v>
      </c>
      <c r="F210" s="359" t="n">
        <v>1</v>
      </c>
      <c r="G210" s="380" t="n">
        <v>0</v>
      </c>
      <c r="H210" s="358" t="n">
        <v>0</v>
      </c>
      <c r="I210" s="358" t="n">
        <v>0</v>
      </c>
      <c r="J210" s="358" t="n">
        <v>0</v>
      </c>
      <c r="K210" s="358" t="n">
        <v>0</v>
      </c>
      <c r="L210" s="358" t="n">
        <v>0</v>
      </c>
      <c r="M210" s="381" t="n">
        <v>1</v>
      </c>
      <c r="N210" s="381" t="n">
        <v>0</v>
      </c>
      <c r="O210" s="381" t="n">
        <v>0</v>
      </c>
      <c r="P210" s="359" t="n">
        <v>1</v>
      </c>
    </row>
    <row r="211" customFormat="false" ht="15" hidden="false" customHeight="false" outlineLevel="0" collapsed="false">
      <c r="B211" s="356" t="s">
        <v>2463</v>
      </c>
      <c r="C211" s="379" t="n">
        <v>9</v>
      </c>
      <c r="D211" s="379" t="n">
        <v>0</v>
      </c>
      <c r="E211" s="379" t="n">
        <v>0</v>
      </c>
      <c r="F211" s="357" t="n">
        <v>9</v>
      </c>
      <c r="G211" s="380" t="n">
        <v>0</v>
      </c>
      <c r="H211" s="358" t="n">
        <v>0</v>
      </c>
      <c r="I211" s="358" t="n">
        <v>0</v>
      </c>
      <c r="J211" s="358" t="n">
        <v>0</v>
      </c>
      <c r="K211" s="358" t="n">
        <v>0</v>
      </c>
      <c r="L211" s="358" t="n">
        <v>0</v>
      </c>
      <c r="M211" s="379" t="n">
        <v>9</v>
      </c>
      <c r="N211" s="379" t="n">
        <v>0</v>
      </c>
      <c r="O211" s="379" t="n">
        <v>0</v>
      </c>
      <c r="P211" s="357" t="n">
        <v>9</v>
      </c>
    </row>
    <row r="212" customFormat="false" ht="15" hidden="true" customHeight="false" outlineLevel="0" collapsed="false">
      <c r="B212" s="360" t="s">
        <v>2677</v>
      </c>
      <c r="C212" s="381" t="n">
        <v>1</v>
      </c>
      <c r="D212" s="381" t="n">
        <v>0</v>
      </c>
      <c r="E212" s="381" t="n">
        <v>0</v>
      </c>
      <c r="F212" s="359" t="n">
        <v>1</v>
      </c>
      <c r="G212" s="380" t="n">
        <v>0</v>
      </c>
      <c r="H212" s="358" t="n">
        <v>0</v>
      </c>
      <c r="I212" s="358" t="n">
        <v>0</v>
      </c>
      <c r="J212" s="358" t="n">
        <v>0</v>
      </c>
      <c r="K212" s="358" t="n">
        <v>0</v>
      </c>
      <c r="L212" s="358" t="n">
        <v>0</v>
      </c>
      <c r="M212" s="381" t="n">
        <v>1</v>
      </c>
      <c r="N212" s="381" t="n">
        <v>0</v>
      </c>
      <c r="O212" s="381" t="n">
        <v>0</v>
      </c>
      <c r="P212" s="359" t="n">
        <v>1</v>
      </c>
    </row>
    <row r="213" customFormat="false" ht="15" hidden="true" customHeight="false" outlineLevel="0" collapsed="false">
      <c r="B213" s="360" t="s">
        <v>2678</v>
      </c>
      <c r="C213" s="381" t="n">
        <v>1</v>
      </c>
      <c r="D213" s="381" t="n">
        <v>0</v>
      </c>
      <c r="E213" s="381" t="n">
        <v>0</v>
      </c>
      <c r="F213" s="359" t="n">
        <v>1</v>
      </c>
      <c r="G213" s="380" t="n">
        <v>0</v>
      </c>
      <c r="H213" s="358" t="n">
        <v>0</v>
      </c>
      <c r="I213" s="358" t="n">
        <v>0</v>
      </c>
      <c r="J213" s="358" t="n">
        <v>0</v>
      </c>
      <c r="K213" s="358" t="n">
        <v>0</v>
      </c>
      <c r="L213" s="358" t="n">
        <v>0</v>
      </c>
      <c r="M213" s="381" t="n">
        <v>1</v>
      </c>
      <c r="N213" s="381" t="n">
        <v>0</v>
      </c>
      <c r="O213" s="381" t="n">
        <v>0</v>
      </c>
      <c r="P213" s="359" t="n">
        <v>1</v>
      </c>
    </row>
    <row r="214" customFormat="false" ht="15" hidden="true" customHeight="false" outlineLevel="0" collapsed="false">
      <c r="B214" s="360" t="s">
        <v>2679</v>
      </c>
      <c r="C214" s="381" t="n">
        <v>1</v>
      </c>
      <c r="D214" s="381" t="n">
        <v>0</v>
      </c>
      <c r="E214" s="381" t="n">
        <v>0</v>
      </c>
      <c r="F214" s="359" t="n">
        <v>1</v>
      </c>
      <c r="G214" s="380" t="n">
        <v>0</v>
      </c>
      <c r="H214" s="358" t="n">
        <v>0</v>
      </c>
      <c r="I214" s="358" t="n">
        <v>0</v>
      </c>
      <c r="J214" s="358" t="n">
        <v>0</v>
      </c>
      <c r="K214" s="358" t="n">
        <v>0</v>
      </c>
      <c r="L214" s="358" t="n">
        <v>0</v>
      </c>
      <c r="M214" s="381" t="n">
        <v>1</v>
      </c>
      <c r="N214" s="381" t="n">
        <v>0</v>
      </c>
      <c r="O214" s="381" t="n">
        <v>0</v>
      </c>
      <c r="P214" s="359" t="n">
        <v>1</v>
      </c>
    </row>
    <row r="215" customFormat="false" ht="15" hidden="true" customHeight="false" outlineLevel="0" collapsed="false">
      <c r="B215" s="360" t="s">
        <v>2680</v>
      </c>
      <c r="C215" s="381" t="n">
        <v>1</v>
      </c>
      <c r="D215" s="381" t="n">
        <v>0</v>
      </c>
      <c r="E215" s="381" t="n">
        <v>0</v>
      </c>
      <c r="F215" s="359" t="n">
        <v>1</v>
      </c>
      <c r="G215" s="380" t="n">
        <v>0</v>
      </c>
      <c r="H215" s="358" t="n">
        <v>0</v>
      </c>
      <c r="I215" s="358" t="n">
        <v>0</v>
      </c>
      <c r="J215" s="358" t="n">
        <v>0</v>
      </c>
      <c r="K215" s="358" t="n">
        <v>0</v>
      </c>
      <c r="L215" s="358" t="n">
        <v>0</v>
      </c>
      <c r="M215" s="381" t="n">
        <v>1</v>
      </c>
      <c r="N215" s="381" t="n">
        <v>0</v>
      </c>
      <c r="O215" s="381" t="n">
        <v>0</v>
      </c>
      <c r="P215" s="359" t="n">
        <v>1</v>
      </c>
    </row>
    <row r="216" customFormat="false" ht="15" hidden="true" customHeight="false" outlineLevel="0" collapsed="false">
      <c r="B216" s="360" t="s">
        <v>2681</v>
      </c>
      <c r="C216" s="381" t="n">
        <v>1</v>
      </c>
      <c r="D216" s="381" t="n">
        <v>0</v>
      </c>
      <c r="E216" s="381" t="n">
        <v>0</v>
      </c>
      <c r="F216" s="359" t="n">
        <v>1</v>
      </c>
      <c r="G216" s="380" t="n">
        <v>0</v>
      </c>
      <c r="H216" s="358" t="n">
        <v>0</v>
      </c>
      <c r="I216" s="358" t="n">
        <v>0</v>
      </c>
      <c r="J216" s="358" t="n">
        <v>0</v>
      </c>
      <c r="K216" s="358" t="n">
        <v>0</v>
      </c>
      <c r="L216" s="358" t="n">
        <v>0</v>
      </c>
      <c r="M216" s="381" t="n">
        <v>1</v>
      </c>
      <c r="N216" s="381" t="n">
        <v>0</v>
      </c>
      <c r="O216" s="381" t="n">
        <v>0</v>
      </c>
      <c r="P216" s="359" t="n">
        <v>1</v>
      </c>
    </row>
    <row r="217" customFormat="false" ht="15" hidden="true" customHeight="false" outlineLevel="0" collapsed="false">
      <c r="B217" s="360" t="s">
        <v>2682</v>
      </c>
      <c r="C217" s="381" t="n">
        <v>1</v>
      </c>
      <c r="D217" s="381" t="n">
        <v>0</v>
      </c>
      <c r="E217" s="381" t="n">
        <v>0</v>
      </c>
      <c r="F217" s="359" t="n">
        <v>1</v>
      </c>
      <c r="G217" s="380" t="n">
        <v>0</v>
      </c>
      <c r="H217" s="358" t="n">
        <v>0</v>
      </c>
      <c r="I217" s="358" t="n">
        <v>0</v>
      </c>
      <c r="J217" s="358" t="n">
        <v>0</v>
      </c>
      <c r="K217" s="358" t="n">
        <v>0</v>
      </c>
      <c r="L217" s="358" t="n">
        <v>0</v>
      </c>
      <c r="M217" s="381" t="n">
        <v>1</v>
      </c>
      <c r="N217" s="381" t="n">
        <v>0</v>
      </c>
      <c r="O217" s="381" t="n">
        <v>0</v>
      </c>
      <c r="P217" s="359" t="n">
        <v>1</v>
      </c>
    </row>
    <row r="218" customFormat="false" ht="15" hidden="true" customHeight="false" outlineLevel="0" collapsed="false">
      <c r="B218" s="360" t="s">
        <v>2683</v>
      </c>
      <c r="C218" s="381" t="n">
        <v>1</v>
      </c>
      <c r="D218" s="381" t="n">
        <v>0</v>
      </c>
      <c r="E218" s="381" t="n">
        <v>0</v>
      </c>
      <c r="F218" s="359" t="n">
        <v>1</v>
      </c>
      <c r="G218" s="380" t="n">
        <v>0</v>
      </c>
      <c r="H218" s="358" t="n">
        <v>0</v>
      </c>
      <c r="I218" s="358" t="n">
        <v>0</v>
      </c>
      <c r="J218" s="358" t="n">
        <v>0</v>
      </c>
      <c r="K218" s="358" t="n">
        <v>0</v>
      </c>
      <c r="L218" s="358" t="n">
        <v>0</v>
      </c>
      <c r="M218" s="381" t="n">
        <v>1</v>
      </c>
      <c r="N218" s="381" t="n">
        <v>0</v>
      </c>
      <c r="O218" s="381" t="n">
        <v>0</v>
      </c>
      <c r="P218" s="359" t="n">
        <v>1</v>
      </c>
    </row>
    <row r="219" customFormat="false" ht="15" hidden="true" customHeight="false" outlineLevel="0" collapsed="false">
      <c r="B219" s="360" t="s">
        <v>2684</v>
      </c>
      <c r="C219" s="381" t="n">
        <v>1</v>
      </c>
      <c r="D219" s="381" t="n">
        <v>0</v>
      </c>
      <c r="E219" s="381" t="n">
        <v>0</v>
      </c>
      <c r="F219" s="359" t="n">
        <v>1</v>
      </c>
      <c r="G219" s="380" t="n">
        <v>0</v>
      </c>
      <c r="H219" s="358" t="n">
        <v>0</v>
      </c>
      <c r="I219" s="358" t="n">
        <v>0</v>
      </c>
      <c r="J219" s="358" t="n">
        <v>0</v>
      </c>
      <c r="K219" s="358" t="n">
        <v>0</v>
      </c>
      <c r="L219" s="358" t="n">
        <v>0</v>
      </c>
      <c r="M219" s="381" t="n">
        <v>1</v>
      </c>
      <c r="N219" s="381" t="n">
        <v>0</v>
      </c>
      <c r="O219" s="381" t="n">
        <v>0</v>
      </c>
      <c r="P219" s="359" t="n">
        <v>1</v>
      </c>
    </row>
    <row r="220" customFormat="false" ht="15" hidden="true" customHeight="false" outlineLevel="0" collapsed="false">
      <c r="B220" s="360" t="s">
        <v>2685</v>
      </c>
      <c r="C220" s="381" t="n">
        <v>1</v>
      </c>
      <c r="D220" s="381" t="n">
        <v>0</v>
      </c>
      <c r="E220" s="381" t="n">
        <v>0</v>
      </c>
      <c r="F220" s="359" t="n">
        <v>1</v>
      </c>
      <c r="G220" s="380" t="n">
        <v>0</v>
      </c>
      <c r="H220" s="358" t="n">
        <v>0</v>
      </c>
      <c r="I220" s="358" t="n">
        <v>0</v>
      </c>
      <c r="J220" s="358" t="n">
        <v>0</v>
      </c>
      <c r="K220" s="358" t="n">
        <v>0</v>
      </c>
      <c r="L220" s="358" t="n">
        <v>0</v>
      </c>
      <c r="M220" s="381" t="n">
        <v>1</v>
      </c>
      <c r="N220" s="381" t="n">
        <v>0</v>
      </c>
      <c r="O220" s="381" t="n">
        <v>0</v>
      </c>
      <c r="P220" s="359" t="n">
        <v>1</v>
      </c>
    </row>
    <row r="221" customFormat="false" ht="15" hidden="false" customHeight="false" outlineLevel="0" collapsed="false">
      <c r="B221" s="356" t="s">
        <v>2464</v>
      </c>
      <c r="C221" s="379" t="n">
        <v>140</v>
      </c>
      <c r="D221" s="379" t="n">
        <v>9</v>
      </c>
      <c r="E221" s="379" t="n">
        <v>13</v>
      </c>
      <c r="F221" s="357" t="n">
        <v>162</v>
      </c>
      <c r="G221" s="380" t="n">
        <v>0</v>
      </c>
      <c r="H221" s="358" t="n">
        <v>0</v>
      </c>
      <c r="I221" s="358" t="n">
        <v>0</v>
      </c>
      <c r="J221" s="358" t="n">
        <v>0</v>
      </c>
      <c r="K221" s="358" t="n">
        <v>0</v>
      </c>
      <c r="L221" s="358" t="n">
        <v>0</v>
      </c>
      <c r="M221" s="379" t="n">
        <v>140</v>
      </c>
      <c r="N221" s="379" t="n">
        <v>9</v>
      </c>
      <c r="O221" s="379" t="n">
        <v>13</v>
      </c>
      <c r="P221" s="357" t="n">
        <v>162</v>
      </c>
    </row>
    <row r="222" customFormat="false" ht="15" hidden="true" customHeight="false" outlineLevel="0" collapsed="false">
      <c r="B222" s="360" t="s">
        <v>3539</v>
      </c>
      <c r="C222" s="381" t="n">
        <v>0</v>
      </c>
      <c r="D222" s="381" t="n">
        <v>1</v>
      </c>
      <c r="E222" s="381" t="n">
        <v>0</v>
      </c>
      <c r="F222" s="359" t="n">
        <v>1</v>
      </c>
      <c r="G222" s="380" t="n">
        <v>0</v>
      </c>
      <c r="H222" s="358" t="n">
        <v>0</v>
      </c>
      <c r="I222" s="358" t="n">
        <v>0</v>
      </c>
      <c r="J222" s="358" t="n">
        <v>0</v>
      </c>
      <c r="K222" s="358" t="n">
        <v>0</v>
      </c>
      <c r="L222" s="358" t="n">
        <v>0</v>
      </c>
      <c r="M222" s="381" t="n">
        <v>0</v>
      </c>
      <c r="N222" s="381" t="n">
        <v>1</v>
      </c>
      <c r="O222" s="381" t="n">
        <v>0</v>
      </c>
      <c r="P222" s="359" t="n">
        <v>1</v>
      </c>
    </row>
    <row r="223" customFormat="false" ht="15" hidden="true" customHeight="false" outlineLevel="0" collapsed="false">
      <c r="B223" s="360" t="s">
        <v>3540</v>
      </c>
      <c r="C223" s="381" t="n">
        <v>0</v>
      </c>
      <c r="D223" s="381" t="n">
        <v>1</v>
      </c>
      <c r="E223" s="381" t="n">
        <v>0</v>
      </c>
      <c r="F223" s="359" t="n">
        <v>1</v>
      </c>
      <c r="G223" s="380" t="n">
        <v>0</v>
      </c>
      <c r="H223" s="358" t="n">
        <v>0</v>
      </c>
      <c r="I223" s="358" t="n">
        <v>0</v>
      </c>
      <c r="J223" s="358" t="n">
        <v>0</v>
      </c>
      <c r="K223" s="358" t="n">
        <v>0</v>
      </c>
      <c r="L223" s="358" t="n">
        <v>0</v>
      </c>
      <c r="M223" s="381" t="n">
        <v>0</v>
      </c>
      <c r="N223" s="381" t="n">
        <v>1</v>
      </c>
      <c r="O223" s="381" t="n">
        <v>0</v>
      </c>
      <c r="P223" s="359" t="n">
        <v>1</v>
      </c>
    </row>
    <row r="224" customFormat="false" ht="15" hidden="true" customHeight="false" outlineLevel="0" collapsed="false">
      <c r="B224" s="360" t="s">
        <v>3541</v>
      </c>
      <c r="C224" s="381" t="n">
        <v>0</v>
      </c>
      <c r="D224" s="381" t="n">
        <v>2</v>
      </c>
      <c r="E224" s="381" t="n">
        <v>0</v>
      </c>
      <c r="F224" s="359" t="n">
        <v>2</v>
      </c>
      <c r="G224" s="380" t="n">
        <v>0</v>
      </c>
      <c r="H224" s="358" t="n">
        <v>0</v>
      </c>
      <c r="I224" s="358" t="n">
        <v>0</v>
      </c>
      <c r="J224" s="358" t="n">
        <v>0</v>
      </c>
      <c r="K224" s="358" t="n">
        <v>0</v>
      </c>
      <c r="L224" s="358" t="n">
        <v>0</v>
      </c>
      <c r="M224" s="381" t="n">
        <v>0</v>
      </c>
      <c r="N224" s="381" t="n">
        <v>2</v>
      </c>
      <c r="O224" s="381" t="n">
        <v>0</v>
      </c>
      <c r="P224" s="359" t="n">
        <v>2</v>
      </c>
    </row>
    <row r="225" customFormat="false" ht="15" hidden="true" customHeight="false" outlineLevel="0" collapsed="false">
      <c r="B225" s="360" t="s">
        <v>3542</v>
      </c>
      <c r="C225" s="381" t="n">
        <v>0</v>
      </c>
      <c r="D225" s="381" t="n">
        <v>1</v>
      </c>
      <c r="E225" s="381" t="n">
        <v>0</v>
      </c>
      <c r="F225" s="359" t="n">
        <v>1</v>
      </c>
      <c r="G225" s="380" t="n">
        <v>0</v>
      </c>
      <c r="H225" s="358" t="n">
        <v>0</v>
      </c>
      <c r="I225" s="358" t="n">
        <v>0</v>
      </c>
      <c r="J225" s="358" t="n">
        <v>0</v>
      </c>
      <c r="K225" s="358" t="n">
        <v>0</v>
      </c>
      <c r="L225" s="358" t="n">
        <v>0</v>
      </c>
      <c r="M225" s="381" t="n">
        <v>0</v>
      </c>
      <c r="N225" s="381" t="n">
        <v>1</v>
      </c>
      <c r="O225" s="381" t="n">
        <v>0</v>
      </c>
      <c r="P225" s="359" t="n">
        <v>1</v>
      </c>
    </row>
    <row r="226" customFormat="false" ht="15" hidden="true" customHeight="false" outlineLevel="0" collapsed="false">
      <c r="B226" s="360" t="s">
        <v>3543</v>
      </c>
      <c r="C226" s="381" t="n">
        <v>0</v>
      </c>
      <c r="D226" s="381" t="n">
        <v>1</v>
      </c>
      <c r="E226" s="381" t="n">
        <v>0</v>
      </c>
      <c r="F226" s="359" t="n">
        <v>1</v>
      </c>
      <c r="G226" s="380" t="n">
        <v>0</v>
      </c>
      <c r="H226" s="358" t="n">
        <v>0</v>
      </c>
      <c r="I226" s="358" t="n">
        <v>0</v>
      </c>
      <c r="J226" s="358" t="n">
        <v>0</v>
      </c>
      <c r="K226" s="358" t="n">
        <v>0</v>
      </c>
      <c r="L226" s="358" t="n">
        <v>0</v>
      </c>
      <c r="M226" s="381" t="n">
        <v>0</v>
      </c>
      <c r="N226" s="381" t="n">
        <v>1</v>
      </c>
      <c r="O226" s="381" t="n">
        <v>0</v>
      </c>
      <c r="P226" s="359" t="n">
        <v>1</v>
      </c>
    </row>
    <row r="227" customFormat="false" ht="15" hidden="true" customHeight="false" outlineLevel="0" collapsed="false">
      <c r="B227" s="360" t="s">
        <v>3544</v>
      </c>
      <c r="C227" s="381" t="n">
        <v>0</v>
      </c>
      <c r="D227" s="381" t="n">
        <v>1</v>
      </c>
      <c r="E227" s="381" t="n">
        <v>0</v>
      </c>
      <c r="F227" s="359" t="n">
        <v>1</v>
      </c>
      <c r="G227" s="380" t="n">
        <v>0</v>
      </c>
      <c r="H227" s="358" t="n">
        <v>0</v>
      </c>
      <c r="I227" s="358" t="n">
        <v>0</v>
      </c>
      <c r="J227" s="358" t="n">
        <v>0</v>
      </c>
      <c r="K227" s="358" t="n">
        <v>0</v>
      </c>
      <c r="L227" s="358" t="n">
        <v>0</v>
      </c>
      <c r="M227" s="381" t="n">
        <v>0</v>
      </c>
      <c r="N227" s="381" t="n">
        <v>1</v>
      </c>
      <c r="O227" s="381" t="n">
        <v>0</v>
      </c>
      <c r="P227" s="359" t="n">
        <v>1</v>
      </c>
    </row>
    <row r="228" customFormat="false" ht="15" hidden="true" customHeight="false" outlineLevel="0" collapsed="false">
      <c r="B228" s="360" t="s">
        <v>3545</v>
      </c>
      <c r="C228" s="381" t="n">
        <v>0</v>
      </c>
      <c r="D228" s="381" t="n">
        <v>1</v>
      </c>
      <c r="E228" s="381" t="n">
        <v>0</v>
      </c>
      <c r="F228" s="359" t="n">
        <v>1</v>
      </c>
      <c r="G228" s="380" t="n">
        <v>0</v>
      </c>
      <c r="H228" s="358" t="n">
        <v>0</v>
      </c>
      <c r="I228" s="358" t="n">
        <v>0</v>
      </c>
      <c r="J228" s="358" t="n">
        <v>0</v>
      </c>
      <c r="K228" s="358" t="n">
        <v>0</v>
      </c>
      <c r="L228" s="358" t="n">
        <v>0</v>
      </c>
      <c r="M228" s="381" t="n">
        <v>0</v>
      </c>
      <c r="N228" s="381" t="n">
        <v>1</v>
      </c>
      <c r="O228" s="381" t="n">
        <v>0</v>
      </c>
      <c r="P228" s="359" t="n">
        <v>1</v>
      </c>
    </row>
    <row r="229" customFormat="false" ht="15" hidden="true" customHeight="false" outlineLevel="0" collapsed="false">
      <c r="B229" s="360" t="s">
        <v>3546</v>
      </c>
      <c r="C229" s="381" t="n">
        <v>0</v>
      </c>
      <c r="D229" s="381" t="n">
        <v>1</v>
      </c>
      <c r="E229" s="381" t="n">
        <v>0</v>
      </c>
      <c r="F229" s="359" t="n">
        <v>1</v>
      </c>
      <c r="G229" s="380" t="n">
        <v>0</v>
      </c>
      <c r="H229" s="358" t="n">
        <v>0</v>
      </c>
      <c r="I229" s="358" t="n">
        <v>0</v>
      </c>
      <c r="J229" s="358" t="n">
        <v>0</v>
      </c>
      <c r="K229" s="358" t="n">
        <v>0</v>
      </c>
      <c r="L229" s="358" t="n">
        <v>0</v>
      </c>
      <c r="M229" s="381" t="n">
        <v>0</v>
      </c>
      <c r="N229" s="381" t="n">
        <v>1</v>
      </c>
      <c r="O229" s="381" t="n">
        <v>0</v>
      </c>
      <c r="P229" s="359" t="n">
        <v>1</v>
      </c>
    </row>
    <row r="230" customFormat="false" ht="15" hidden="true" customHeight="false" outlineLevel="0" collapsed="false">
      <c r="B230" s="360" t="s">
        <v>3547</v>
      </c>
      <c r="C230" s="381" t="n">
        <v>0</v>
      </c>
      <c r="D230" s="381" t="n">
        <v>0</v>
      </c>
      <c r="E230" s="381" t="n">
        <v>1</v>
      </c>
      <c r="F230" s="359" t="n">
        <v>1</v>
      </c>
      <c r="G230" s="380" t="n">
        <v>0</v>
      </c>
      <c r="H230" s="358" t="n">
        <v>0</v>
      </c>
      <c r="I230" s="358" t="n">
        <v>0</v>
      </c>
      <c r="J230" s="358" t="n">
        <v>0</v>
      </c>
      <c r="K230" s="358" t="n">
        <v>0</v>
      </c>
      <c r="L230" s="358" t="n">
        <v>0</v>
      </c>
      <c r="M230" s="381" t="n">
        <v>0</v>
      </c>
      <c r="N230" s="381" t="n">
        <v>0</v>
      </c>
      <c r="O230" s="381" t="n">
        <v>1</v>
      </c>
      <c r="P230" s="359" t="n">
        <v>1</v>
      </c>
    </row>
    <row r="231" customFormat="false" ht="15" hidden="true" customHeight="false" outlineLevel="0" collapsed="false">
      <c r="B231" s="360" t="s">
        <v>3548</v>
      </c>
      <c r="C231" s="381" t="n">
        <v>0</v>
      </c>
      <c r="D231" s="381" t="n">
        <v>0</v>
      </c>
      <c r="E231" s="381" t="n">
        <v>1</v>
      </c>
      <c r="F231" s="359" t="n">
        <v>1</v>
      </c>
      <c r="G231" s="380" t="n">
        <v>0</v>
      </c>
      <c r="H231" s="358" t="n">
        <v>0</v>
      </c>
      <c r="I231" s="358" t="n">
        <v>0</v>
      </c>
      <c r="J231" s="358" t="n">
        <v>0</v>
      </c>
      <c r="K231" s="358" t="n">
        <v>0</v>
      </c>
      <c r="L231" s="358" t="n">
        <v>0</v>
      </c>
      <c r="M231" s="381" t="n">
        <v>0</v>
      </c>
      <c r="N231" s="381" t="n">
        <v>0</v>
      </c>
      <c r="O231" s="381" t="n">
        <v>1</v>
      </c>
      <c r="P231" s="359" t="n">
        <v>1</v>
      </c>
    </row>
    <row r="232" customFormat="false" ht="15" hidden="true" customHeight="false" outlineLevel="0" collapsed="false">
      <c r="B232" s="360" t="s">
        <v>3549</v>
      </c>
      <c r="C232" s="381" t="n">
        <v>0</v>
      </c>
      <c r="D232" s="381" t="n">
        <v>0</v>
      </c>
      <c r="E232" s="381" t="n">
        <v>1</v>
      </c>
      <c r="F232" s="359" t="n">
        <v>1</v>
      </c>
      <c r="G232" s="380" t="n">
        <v>0</v>
      </c>
      <c r="H232" s="358" t="n">
        <v>0</v>
      </c>
      <c r="I232" s="358" t="n">
        <v>0</v>
      </c>
      <c r="J232" s="358" t="n">
        <v>0</v>
      </c>
      <c r="K232" s="358" t="n">
        <v>0</v>
      </c>
      <c r="L232" s="358" t="n">
        <v>0</v>
      </c>
      <c r="M232" s="381" t="n">
        <v>0</v>
      </c>
      <c r="N232" s="381" t="n">
        <v>0</v>
      </c>
      <c r="O232" s="381" t="n">
        <v>1</v>
      </c>
      <c r="P232" s="359" t="n">
        <v>1</v>
      </c>
    </row>
    <row r="233" customFormat="false" ht="15" hidden="true" customHeight="false" outlineLevel="0" collapsed="false">
      <c r="B233" s="360" t="s">
        <v>3550</v>
      </c>
      <c r="C233" s="381" t="n">
        <v>0</v>
      </c>
      <c r="D233" s="381" t="n">
        <v>0</v>
      </c>
      <c r="E233" s="381" t="n">
        <v>1</v>
      </c>
      <c r="F233" s="359" t="n">
        <v>1</v>
      </c>
      <c r="G233" s="380" t="n">
        <v>0</v>
      </c>
      <c r="H233" s="358" t="n">
        <v>0</v>
      </c>
      <c r="I233" s="358" t="n">
        <v>0</v>
      </c>
      <c r="J233" s="358" t="n">
        <v>0</v>
      </c>
      <c r="K233" s="358" t="n">
        <v>0</v>
      </c>
      <c r="L233" s="358" t="n">
        <v>0</v>
      </c>
      <c r="M233" s="381" t="n">
        <v>0</v>
      </c>
      <c r="N233" s="381" t="n">
        <v>0</v>
      </c>
      <c r="O233" s="381" t="n">
        <v>1</v>
      </c>
      <c r="P233" s="359" t="n">
        <v>1</v>
      </c>
    </row>
    <row r="234" customFormat="false" ht="15" hidden="true" customHeight="false" outlineLevel="0" collapsed="false">
      <c r="B234" s="360" t="s">
        <v>3551</v>
      </c>
      <c r="C234" s="381" t="n">
        <v>0</v>
      </c>
      <c r="D234" s="381" t="n">
        <v>0</v>
      </c>
      <c r="E234" s="381" t="n">
        <v>1</v>
      </c>
      <c r="F234" s="359" t="n">
        <v>1</v>
      </c>
      <c r="G234" s="380" t="n">
        <v>0</v>
      </c>
      <c r="H234" s="358" t="n">
        <v>0</v>
      </c>
      <c r="I234" s="358" t="n">
        <v>0</v>
      </c>
      <c r="J234" s="358" t="n">
        <v>0</v>
      </c>
      <c r="K234" s="358" t="n">
        <v>0</v>
      </c>
      <c r="L234" s="358" t="n">
        <v>0</v>
      </c>
      <c r="M234" s="381" t="n">
        <v>0</v>
      </c>
      <c r="N234" s="381" t="n">
        <v>0</v>
      </c>
      <c r="O234" s="381" t="n">
        <v>1</v>
      </c>
      <c r="P234" s="359" t="n">
        <v>1</v>
      </c>
    </row>
    <row r="235" customFormat="false" ht="15" hidden="true" customHeight="false" outlineLevel="0" collapsed="false">
      <c r="B235" s="360" t="s">
        <v>3552</v>
      </c>
      <c r="C235" s="381" t="n">
        <v>0</v>
      </c>
      <c r="D235" s="381" t="n">
        <v>0</v>
      </c>
      <c r="E235" s="381" t="n">
        <v>1</v>
      </c>
      <c r="F235" s="359" t="n">
        <v>1</v>
      </c>
      <c r="G235" s="380" t="n">
        <v>0</v>
      </c>
      <c r="H235" s="358" t="n">
        <v>0</v>
      </c>
      <c r="I235" s="358" t="n">
        <v>0</v>
      </c>
      <c r="J235" s="358" t="n">
        <v>0</v>
      </c>
      <c r="K235" s="358" t="n">
        <v>0</v>
      </c>
      <c r="L235" s="358" t="n">
        <v>0</v>
      </c>
      <c r="M235" s="381" t="n">
        <v>0</v>
      </c>
      <c r="N235" s="381" t="n">
        <v>0</v>
      </c>
      <c r="O235" s="381" t="n">
        <v>1</v>
      </c>
      <c r="P235" s="359" t="n">
        <v>1</v>
      </c>
    </row>
    <row r="236" customFormat="false" ht="15" hidden="true" customHeight="false" outlineLevel="0" collapsed="false">
      <c r="B236" s="360" t="s">
        <v>3553</v>
      </c>
      <c r="C236" s="381" t="n">
        <v>0</v>
      </c>
      <c r="D236" s="381" t="n">
        <v>0</v>
      </c>
      <c r="E236" s="381" t="n">
        <v>1</v>
      </c>
      <c r="F236" s="359" t="n">
        <v>1</v>
      </c>
      <c r="G236" s="380" t="n">
        <v>0</v>
      </c>
      <c r="H236" s="358" t="n">
        <v>0</v>
      </c>
      <c r="I236" s="358" t="n">
        <v>0</v>
      </c>
      <c r="J236" s="358" t="n">
        <v>0</v>
      </c>
      <c r="K236" s="358" t="n">
        <v>0</v>
      </c>
      <c r="L236" s="358" t="n">
        <v>0</v>
      </c>
      <c r="M236" s="381" t="n">
        <v>0</v>
      </c>
      <c r="N236" s="381" t="n">
        <v>0</v>
      </c>
      <c r="O236" s="381" t="n">
        <v>1</v>
      </c>
      <c r="P236" s="359" t="n">
        <v>1</v>
      </c>
    </row>
    <row r="237" customFormat="false" ht="15" hidden="true" customHeight="false" outlineLevel="0" collapsed="false">
      <c r="B237" s="360" t="s">
        <v>3554</v>
      </c>
      <c r="C237" s="381" t="n">
        <v>0</v>
      </c>
      <c r="D237" s="381" t="n">
        <v>0</v>
      </c>
      <c r="E237" s="381" t="n">
        <v>1</v>
      </c>
      <c r="F237" s="359" t="n">
        <v>1</v>
      </c>
      <c r="G237" s="380" t="n">
        <v>0</v>
      </c>
      <c r="H237" s="358" t="n">
        <v>0</v>
      </c>
      <c r="I237" s="358" t="n">
        <v>0</v>
      </c>
      <c r="J237" s="358" t="n">
        <v>0</v>
      </c>
      <c r="K237" s="358" t="n">
        <v>0</v>
      </c>
      <c r="L237" s="358" t="n">
        <v>0</v>
      </c>
      <c r="M237" s="381" t="n">
        <v>0</v>
      </c>
      <c r="N237" s="381" t="n">
        <v>0</v>
      </c>
      <c r="O237" s="381" t="n">
        <v>1</v>
      </c>
      <c r="P237" s="359" t="n">
        <v>1</v>
      </c>
    </row>
    <row r="238" customFormat="false" ht="15" hidden="true" customHeight="false" outlineLevel="0" collapsed="false">
      <c r="B238" s="360" t="s">
        <v>3555</v>
      </c>
      <c r="C238" s="381" t="n">
        <v>0</v>
      </c>
      <c r="D238" s="381" t="n">
        <v>0</v>
      </c>
      <c r="E238" s="381" t="n">
        <v>1</v>
      </c>
      <c r="F238" s="359" t="n">
        <v>1</v>
      </c>
      <c r="G238" s="380" t="n">
        <v>0</v>
      </c>
      <c r="H238" s="358" t="n">
        <v>0</v>
      </c>
      <c r="I238" s="358" t="n">
        <v>0</v>
      </c>
      <c r="J238" s="358" t="n">
        <v>0</v>
      </c>
      <c r="K238" s="358" t="n">
        <v>0</v>
      </c>
      <c r="L238" s="358" t="n">
        <v>0</v>
      </c>
      <c r="M238" s="381" t="n">
        <v>0</v>
      </c>
      <c r="N238" s="381" t="n">
        <v>0</v>
      </c>
      <c r="O238" s="381" t="n">
        <v>1</v>
      </c>
      <c r="P238" s="359" t="n">
        <v>1</v>
      </c>
    </row>
    <row r="239" customFormat="false" ht="15" hidden="true" customHeight="false" outlineLevel="0" collapsed="false">
      <c r="B239" s="360" t="s">
        <v>3556</v>
      </c>
      <c r="C239" s="381" t="n">
        <v>0</v>
      </c>
      <c r="D239" s="381" t="n">
        <v>0</v>
      </c>
      <c r="E239" s="381" t="n">
        <v>1</v>
      </c>
      <c r="F239" s="359" t="n">
        <v>1</v>
      </c>
      <c r="G239" s="380" t="n">
        <v>0</v>
      </c>
      <c r="H239" s="358" t="n">
        <v>0</v>
      </c>
      <c r="I239" s="358" t="n">
        <v>0</v>
      </c>
      <c r="J239" s="358" t="n">
        <v>0</v>
      </c>
      <c r="K239" s="358" t="n">
        <v>0</v>
      </c>
      <c r="L239" s="358" t="n">
        <v>0</v>
      </c>
      <c r="M239" s="381" t="n">
        <v>0</v>
      </c>
      <c r="N239" s="381" t="n">
        <v>0</v>
      </c>
      <c r="O239" s="381" t="n">
        <v>1</v>
      </c>
      <c r="P239" s="359" t="n">
        <v>1</v>
      </c>
    </row>
    <row r="240" customFormat="false" ht="15" hidden="true" customHeight="false" outlineLevel="0" collapsed="false">
      <c r="B240" s="360" t="s">
        <v>3557</v>
      </c>
      <c r="C240" s="381" t="n">
        <v>0</v>
      </c>
      <c r="D240" s="381" t="n">
        <v>0</v>
      </c>
      <c r="E240" s="381" t="n">
        <v>1</v>
      </c>
      <c r="F240" s="359" t="n">
        <v>1</v>
      </c>
      <c r="G240" s="380" t="n">
        <v>0</v>
      </c>
      <c r="H240" s="358" t="n">
        <v>0</v>
      </c>
      <c r="I240" s="358" t="n">
        <v>0</v>
      </c>
      <c r="J240" s="358" t="n">
        <v>0</v>
      </c>
      <c r="K240" s="358" t="n">
        <v>0</v>
      </c>
      <c r="L240" s="358" t="n">
        <v>0</v>
      </c>
      <c r="M240" s="381" t="n">
        <v>0</v>
      </c>
      <c r="N240" s="381" t="n">
        <v>0</v>
      </c>
      <c r="O240" s="381" t="n">
        <v>1</v>
      </c>
      <c r="P240" s="359" t="n">
        <v>1</v>
      </c>
    </row>
    <row r="241" customFormat="false" ht="15" hidden="true" customHeight="false" outlineLevel="0" collapsed="false">
      <c r="B241" s="360" t="s">
        <v>3558</v>
      </c>
      <c r="C241" s="381" t="n">
        <v>0</v>
      </c>
      <c r="D241" s="381" t="n">
        <v>0</v>
      </c>
      <c r="E241" s="381" t="n">
        <v>1</v>
      </c>
      <c r="F241" s="359" t="n">
        <v>1</v>
      </c>
      <c r="G241" s="380" t="n">
        <v>0</v>
      </c>
      <c r="H241" s="358" t="n">
        <v>0</v>
      </c>
      <c r="I241" s="358" t="n">
        <v>0</v>
      </c>
      <c r="J241" s="358" t="n">
        <v>0</v>
      </c>
      <c r="K241" s="358" t="n">
        <v>0</v>
      </c>
      <c r="L241" s="358" t="n">
        <v>0</v>
      </c>
      <c r="M241" s="381" t="n">
        <v>0</v>
      </c>
      <c r="N241" s="381" t="n">
        <v>0</v>
      </c>
      <c r="O241" s="381" t="n">
        <v>1</v>
      </c>
      <c r="P241" s="359" t="n">
        <v>1</v>
      </c>
    </row>
    <row r="242" customFormat="false" ht="15" hidden="true" customHeight="false" outlineLevel="0" collapsed="false">
      <c r="B242" s="360" t="s">
        <v>3559</v>
      </c>
      <c r="C242" s="381" t="n">
        <v>0</v>
      </c>
      <c r="D242" s="381" t="n">
        <v>0</v>
      </c>
      <c r="E242" s="381" t="n">
        <v>1</v>
      </c>
      <c r="F242" s="359" t="n">
        <v>1</v>
      </c>
      <c r="G242" s="380" t="n">
        <v>0</v>
      </c>
      <c r="H242" s="358" t="n">
        <v>0</v>
      </c>
      <c r="I242" s="358" t="n">
        <v>0</v>
      </c>
      <c r="J242" s="358" t="n">
        <v>0</v>
      </c>
      <c r="K242" s="358" t="n">
        <v>0</v>
      </c>
      <c r="L242" s="358" t="n">
        <v>0</v>
      </c>
      <c r="M242" s="381" t="n">
        <v>0</v>
      </c>
      <c r="N242" s="381" t="n">
        <v>0</v>
      </c>
      <c r="O242" s="381" t="n">
        <v>1</v>
      </c>
      <c r="P242" s="359" t="n">
        <v>1</v>
      </c>
    </row>
    <row r="243" customFormat="false" ht="15" hidden="true" customHeight="false" outlineLevel="0" collapsed="false">
      <c r="B243" s="360" t="s">
        <v>2686</v>
      </c>
      <c r="C243" s="381" t="n">
        <v>1</v>
      </c>
      <c r="D243" s="381" t="n">
        <v>0</v>
      </c>
      <c r="E243" s="381" t="n">
        <v>0</v>
      </c>
      <c r="F243" s="359" t="n">
        <v>1</v>
      </c>
      <c r="G243" s="380" t="n">
        <v>0</v>
      </c>
      <c r="H243" s="358" t="n">
        <v>0</v>
      </c>
      <c r="I243" s="358" t="n">
        <v>0</v>
      </c>
      <c r="J243" s="358" t="n">
        <v>0</v>
      </c>
      <c r="K243" s="358" t="n">
        <v>0</v>
      </c>
      <c r="L243" s="358" t="n">
        <v>0</v>
      </c>
      <c r="M243" s="381" t="n">
        <v>1</v>
      </c>
      <c r="N243" s="381" t="n">
        <v>0</v>
      </c>
      <c r="O243" s="381" t="n">
        <v>0</v>
      </c>
      <c r="P243" s="359" t="n">
        <v>1</v>
      </c>
    </row>
    <row r="244" customFormat="false" ht="15" hidden="true" customHeight="false" outlineLevel="0" collapsed="false">
      <c r="B244" s="360" t="s">
        <v>2687</v>
      </c>
      <c r="C244" s="381" t="n">
        <v>1</v>
      </c>
      <c r="D244" s="381" t="n">
        <v>0</v>
      </c>
      <c r="E244" s="381" t="n">
        <v>0</v>
      </c>
      <c r="F244" s="359" t="n">
        <v>1</v>
      </c>
      <c r="G244" s="380" t="n">
        <v>0</v>
      </c>
      <c r="H244" s="358" t="n">
        <v>0</v>
      </c>
      <c r="I244" s="358" t="n">
        <v>0</v>
      </c>
      <c r="J244" s="358" t="n">
        <v>0</v>
      </c>
      <c r="K244" s="358" t="n">
        <v>0</v>
      </c>
      <c r="L244" s="358" t="n">
        <v>0</v>
      </c>
      <c r="M244" s="381" t="n">
        <v>1</v>
      </c>
      <c r="N244" s="381" t="n">
        <v>0</v>
      </c>
      <c r="O244" s="381" t="n">
        <v>0</v>
      </c>
      <c r="P244" s="359" t="n">
        <v>1</v>
      </c>
    </row>
    <row r="245" customFormat="false" ht="15" hidden="true" customHeight="false" outlineLevel="0" collapsed="false">
      <c r="B245" s="360" t="s">
        <v>2688</v>
      </c>
      <c r="C245" s="381" t="n">
        <v>1</v>
      </c>
      <c r="D245" s="381" t="n">
        <v>0</v>
      </c>
      <c r="E245" s="381" t="n">
        <v>0</v>
      </c>
      <c r="F245" s="359" t="n">
        <v>1</v>
      </c>
      <c r="G245" s="380" t="n">
        <v>0</v>
      </c>
      <c r="H245" s="358" t="n">
        <v>0</v>
      </c>
      <c r="I245" s="358" t="n">
        <v>0</v>
      </c>
      <c r="J245" s="358" t="n">
        <v>0</v>
      </c>
      <c r="K245" s="358" t="n">
        <v>0</v>
      </c>
      <c r="L245" s="358" t="n">
        <v>0</v>
      </c>
      <c r="M245" s="381" t="n">
        <v>1</v>
      </c>
      <c r="N245" s="381" t="n">
        <v>0</v>
      </c>
      <c r="O245" s="381" t="n">
        <v>0</v>
      </c>
      <c r="P245" s="359" t="n">
        <v>1</v>
      </c>
    </row>
    <row r="246" customFormat="false" ht="15" hidden="true" customHeight="false" outlineLevel="0" collapsed="false">
      <c r="B246" s="360" t="s">
        <v>2689</v>
      </c>
      <c r="C246" s="381" t="n">
        <v>1</v>
      </c>
      <c r="D246" s="381" t="n">
        <v>0</v>
      </c>
      <c r="E246" s="381" t="n">
        <v>0</v>
      </c>
      <c r="F246" s="359" t="n">
        <v>1</v>
      </c>
      <c r="G246" s="380" t="n">
        <v>0</v>
      </c>
      <c r="H246" s="358" t="n">
        <v>0</v>
      </c>
      <c r="I246" s="358" t="n">
        <v>0</v>
      </c>
      <c r="J246" s="358" t="n">
        <v>0</v>
      </c>
      <c r="K246" s="358" t="n">
        <v>0</v>
      </c>
      <c r="L246" s="358" t="n">
        <v>0</v>
      </c>
      <c r="M246" s="381" t="n">
        <v>1</v>
      </c>
      <c r="N246" s="381" t="n">
        <v>0</v>
      </c>
      <c r="O246" s="381" t="n">
        <v>0</v>
      </c>
      <c r="P246" s="359" t="n">
        <v>1</v>
      </c>
    </row>
    <row r="247" customFormat="false" ht="15" hidden="true" customHeight="false" outlineLevel="0" collapsed="false">
      <c r="B247" s="360" t="s">
        <v>2690</v>
      </c>
      <c r="C247" s="381" t="n">
        <v>1</v>
      </c>
      <c r="D247" s="381" t="n">
        <v>0</v>
      </c>
      <c r="E247" s="381" t="n">
        <v>0</v>
      </c>
      <c r="F247" s="359" t="n">
        <v>1</v>
      </c>
      <c r="G247" s="380" t="n">
        <v>0</v>
      </c>
      <c r="H247" s="358" t="n">
        <v>0</v>
      </c>
      <c r="I247" s="358" t="n">
        <v>0</v>
      </c>
      <c r="J247" s="358" t="n">
        <v>0</v>
      </c>
      <c r="K247" s="358" t="n">
        <v>0</v>
      </c>
      <c r="L247" s="358" t="n">
        <v>0</v>
      </c>
      <c r="M247" s="381" t="n">
        <v>1</v>
      </c>
      <c r="N247" s="381" t="n">
        <v>0</v>
      </c>
      <c r="O247" s="381" t="n">
        <v>0</v>
      </c>
      <c r="P247" s="359" t="n">
        <v>1</v>
      </c>
    </row>
    <row r="248" customFormat="false" ht="15" hidden="true" customHeight="false" outlineLevel="0" collapsed="false">
      <c r="B248" s="360" t="s">
        <v>2691</v>
      </c>
      <c r="C248" s="381" t="n">
        <v>1</v>
      </c>
      <c r="D248" s="381" t="n">
        <v>0</v>
      </c>
      <c r="E248" s="381" t="n">
        <v>0</v>
      </c>
      <c r="F248" s="359" t="n">
        <v>1</v>
      </c>
      <c r="G248" s="380" t="n">
        <v>0</v>
      </c>
      <c r="H248" s="358" t="n">
        <v>0</v>
      </c>
      <c r="I248" s="358" t="n">
        <v>0</v>
      </c>
      <c r="J248" s="358" t="n">
        <v>0</v>
      </c>
      <c r="K248" s="358" t="n">
        <v>0</v>
      </c>
      <c r="L248" s="358" t="n">
        <v>0</v>
      </c>
      <c r="M248" s="381" t="n">
        <v>1</v>
      </c>
      <c r="N248" s="381" t="n">
        <v>0</v>
      </c>
      <c r="O248" s="381" t="n">
        <v>0</v>
      </c>
      <c r="P248" s="359" t="n">
        <v>1</v>
      </c>
    </row>
    <row r="249" customFormat="false" ht="15" hidden="true" customHeight="false" outlineLevel="0" collapsed="false">
      <c r="B249" s="360" t="s">
        <v>2692</v>
      </c>
      <c r="C249" s="381" t="n">
        <v>1</v>
      </c>
      <c r="D249" s="381" t="n">
        <v>0</v>
      </c>
      <c r="E249" s="381" t="n">
        <v>0</v>
      </c>
      <c r="F249" s="359" t="n">
        <v>1</v>
      </c>
      <c r="G249" s="380" t="n">
        <v>0</v>
      </c>
      <c r="H249" s="358" t="n">
        <v>0</v>
      </c>
      <c r="I249" s="358" t="n">
        <v>0</v>
      </c>
      <c r="J249" s="358" t="n">
        <v>0</v>
      </c>
      <c r="K249" s="358" t="n">
        <v>0</v>
      </c>
      <c r="L249" s="358" t="n">
        <v>0</v>
      </c>
      <c r="M249" s="381" t="n">
        <v>1</v>
      </c>
      <c r="N249" s="381" t="n">
        <v>0</v>
      </c>
      <c r="O249" s="381" t="n">
        <v>0</v>
      </c>
      <c r="P249" s="359" t="n">
        <v>1</v>
      </c>
    </row>
    <row r="250" customFormat="false" ht="15" hidden="true" customHeight="false" outlineLevel="0" collapsed="false">
      <c r="B250" s="360" t="s">
        <v>2693</v>
      </c>
      <c r="C250" s="381" t="n">
        <v>1</v>
      </c>
      <c r="D250" s="381" t="n">
        <v>0</v>
      </c>
      <c r="E250" s="381" t="n">
        <v>0</v>
      </c>
      <c r="F250" s="359" t="n">
        <v>1</v>
      </c>
      <c r="G250" s="380" t="n">
        <v>0</v>
      </c>
      <c r="H250" s="358" t="n">
        <v>0</v>
      </c>
      <c r="I250" s="358" t="n">
        <v>0</v>
      </c>
      <c r="J250" s="358" t="n">
        <v>0</v>
      </c>
      <c r="K250" s="358" t="n">
        <v>0</v>
      </c>
      <c r="L250" s="358" t="n">
        <v>0</v>
      </c>
      <c r="M250" s="381" t="n">
        <v>1</v>
      </c>
      <c r="N250" s="381" t="n">
        <v>0</v>
      </c>
      <c r="O250" s="381" t="n">
        <v>0</v>
      </c>
      <c r="P250" s="359" t="n">
        <v>1</v>
      </c>
    </row>
    <row r="251" customFormat="false" ht="15" hidden="true" customHeight="false" outlineLevel="0" collapsed="false">
      <c r="B251" s="360" t="s">
        <v>2694</v>
      </c>
      <c r="C251" s="381" t="n">
        <v>1</v>
      </c>
      <c r="D251" s="381" t="n">
        <v>0</v>
      </c>
      <c r="E251" s="381" t="n">
        <v>0</v>
      </c>
      <c r="F251" s="359" t="n">
        <v>1</v>
      </c>
      <c r="G251" s="380" t="n">
        <v>0</v>
      </c>
      <c r="H251" s="358" t="n">
        <v>0</v>
      </c>
      <c r="I251" s="358" t="n">
        <v>0</v>
      </c>
      <c r="J251" s="358" t="n">
        <v>0</v>
      </c>
      <c r="K251" s="358" t="n">
        <v>0</v>
      </c>
      <c r="L251" s="358" t="n">
        <v>0</v>
      </c>
      <c r="M251" s="381" t="n">
        <v>1</v>
      </c>
      <c r="N251" s="381" t="n">
        <v>0</v>
      </c>
      <c r="O251" s="381" t="n">
        <v>0</v>
      </c>
      <c r="P251" s="359" t="n">
        <v>1</v>
      </c>
    </row>
    <row r="252" customFormat="false" ht="15" hidden="true" customHeight="false" outlineLevel="0" collapsed="false">
      <c r="B252" s="360" t="s">
        <v>2695</v>
      </c>
      <c r="C252" s="381" t="n">
        <v>1</v>
      </c>
      <c r="D252" s="381" t="n">
        <v>0</v>
      </c>
      <c r="E252" s="381" t="n">
        <v>0</v>
      </c>
      <c r="F252" s="359" t="n">
        <v>1</v>
      </c>
      <c r="G252" s="380" t="n">
        <v>0</v>
      </c>
      <c r="H252" s="358" t="n">
        <v>0</v>
      </c>
      <c r="I252" s="358" t="n">
        <v>0</v>
      </c>
      <c r="J252" s="358" t="n">
        <v>0</v>
      </c>
      <c r="K252" s="358" t="n">
        <v>0</v>
      </c>
      <c r="L252" s="358" t="n">
        <v>0</v>
      </c>
      <c r="M252" s="381" t="n">
        <v>1</v>
      </c>
      <c r="N252" s="381" t="n">
        <v>0</v>
      </c>
      <c r="O252" s="381" t="n">
        <v>0</v>
      </c>
      <c r="P252" s="359" t="n">
        <v>1</v>
      </c>
    </row>
    <row r="253" customFormat="false" ht="15" hidden="true" customHeight="false" outlineLevel="0" collapsed="false">
      <c r="B253" s="360" t="s">
        <v>2696</v>
      </c>
      <c r="C253" s="381" t="n">
        <v>1</v>
      </c>
      <c r="D253" s="381" t="n">
        <v>0</v>
      </c>
      <c r="E253" s="381" t="n">
        <v>0</v>
      </c>
      <c r="F253" s="359" t="n">
        <v>1</v>
      </c>
      <c r="G253" s="380" t="n">
        <v>0</v>
      </c>
      <c r="H253" s="358" t="n">
        <v>0</v>
      </c>
      <c r="I253" s="358" t="n">
        <v>0</v>
      </c>
      <c r="J253" s="358" t="n">
        <v>0</v>
      </c>
      <c r="K253" s="358" t="n">
        <v>0</v>
      </c>
      <c r="L253" s="358" t="n">
        <v>0</v>
      </c>
      <c r="M253" s="381" t="n">
        <v>1</v>
      </c>
      <c r="N253" s="381" t="n">
        <v>0</v>
      </c>
      <c r="O253" s="381" t="n">
        <v>0</v>
      </c>
      <c r="P253" s="359" t="n">
        <v>1</v>
      </c>
    </row>
    <row r="254" customFormat="false" ht="15" hidden="true" customHeight="false" outlineLevel="0" collapsed="false">
      <c r="B254" s="360" t="s">
        <v>2697</v>
      </c>
      <c r="C254" s="381" t="n">
        <v>1</v>
      </c>
      <c r="D254" s="381" t="n">
        <v>0</v>
      </c>
      <c r="E254" s="381" t="n">
        <v>0</v>
      </c>
      <c r="F254" s="359" t="n">
        <v>1</v>
      </c>
      <c r="G254" s="380" t="n">
        <v>0</v>
      </c>
      <c r="H254" s="358" t="n">
        <v>0</v>
      </c>
      <c r="I254" s="358" t="n">
        <v>0</v>
      </c>
      <c r="J254" s="358" t="n">
        <v>0</v>
      </c>
      <c r="K254" s="358" t="n">
        <v>0</v>
      </c>
      <c r="L254" s="358" t="n">
        <v>0</v>
      </c>
      <c r="M254" s="381" t="n">
        <v>1</v>
      </c>
      <c r="N254" s="381" t="n">
        <v>0</v>
      </c>
      <c r="O254" s="381" t="n">
        <v>0</v>
      </c>
      <c r="P254" s="359" t="n">
        <v>1</v>
      </c>
    </row>
    <row r="255" customFormat="false" ht="15" hidden="true" customHeight="false" outlineLevel="0" collapsed="false">
      <c r="B255" s="360" t="s">
        <v>3560</v>
      </c>
      <c r="C255" s="381" t="n">
        <v>0</v>
      </c>
      <c r="D255" s="381" t="n">
        <v>0</v>
      </c>
      <c r="E255" s="381" t="n">
        <v>0</v>
      </c>
      <c r="F255" s="359" t="n">
        <v>0</v>
      </c>
      <c r="G255" s="380" t="n">
        <v>0</v>
      </c>
      <c r="H255" s="358" t="n">
        <v>0</v>
      </c>
      <c r="I255" s="358" t="n">
        <v>0</v>
      </c>
      <c r="J255" s="358" t="n">
        <v>0</v>
      </c>
      <c r="K255" s="358" t="n">
        <v>0</v>
      </c>
      <c r="L255" s="358" t="n">
        <v>0</v>
      </c>
      <c r="M255" s="381" t="n">
        <v>0</v>
      </c>
      <c r="N255" s="381" t="n">
        <v>0</v>
      </c>
      <c r="O255" s="381" t="n">
        <v>0</v>
      </c>
      <c r="P255" s="359" t="n">
        <v>0</v>
      </c>
    </row>
    <row r="256" customFormat="false" ht="15" hidden="true" customHeight="false" outlineLevel="0" collapsed="false">
      <c r="B256" s="360" t="s">
        <v>2698</v>
      </c>
      <c r="C256" s="381" t="n">
        <v>1</v>
      </c>
      <c r="D256" s="381" t="n">
        <v>0</v>
      </c>
      <c r="E256" s="381" t="n">
        <v>0</v>
      </c>
      <c r="F256" s="359" t="n">
        <v>1</v>
      </c>
      <c r="G256" s="380" t="n">
        <v>0</v>
      </c>
      <c r="H256" s="358" t="n">
        <v>0</v>
      </c>
      <c r="I256" s="358" t="n">
        <v>0</v>
      </c>
      <c r="J256" s="358" t="n">
        <v>0</v>
      </c>
      <c r="K256" s="358" t="n">
        <v>0</v>
      </c>
      <c r="L256" s="358" t="n">
        <v>0</v>
      </c>
      <c r="M256" s="381" t="n">
        <v>1</v>
      </c>
      <c r="N256" s="381" t="n">
        <v>0</v>
      </c>
      <c r="O256" s="381" t="n">
        <v>0</v>
      </c>
      <c r="P256" s="359" t="n">
        <v>1</v>
      </c>
    </row>
    <row r="257" customFormat="false" ht="15" hidden="true" customHeight="false" outlineLevel="0" collapsed="false">
      <c r="B257" s="360" t="s">
        <v>2699</v>
      </c>
      <c r="C257" s="381" t="n">
        <v>1</v>
      </c>
      <c r="D257" s="381" t="n">
        <v>0</v>
      </c>
      <c r="E257" s="381" t="n">
        <v>0</v>
      </c>
      <c r="F257" s="359" t="n">
        <v>1</v>
      </c>
      <c r="G257" s="380" t="n">
        <v>0</v>
      </c>
      <c r="H257" s="358" t="n">
        <v>0</v>
      </c>
      <c r="I257" s="358" t="n">
        <v>0</v>
      </c>
      <c r="J257" s="358" t="n">
        <v>0</v>
      </c>
      <c r="K257" s="358" t="n">
        <v>0</v>
      </c>
      <c r="L257" s="358" t="n">
        <v>0</v>
      </c>
      <c r="M257" s="381" t="n">
        <v>1</v>
      </c>
      <c r="N257" s="381" t="n">
        <v>0</v>
      </c>
      <c r="O257" s="381" t="n">
        <v>0</v>
      </c>
      <c r="P257" s="359" t="n">
        <v>1</v>
      </c>
    </row>
    <row r="258" customFormat="false" ht="15" hidden="true" customHeight="false" outlineLevel="0" collapsed="false">
      <c r="B258" s="360" t="s">
        <v>2700</v>
      </c>
      <c r="C258" s="381" t="n">
        <v>1</v>
      </c>
      <c r="D258" s="381" t="n">
        <v>0</v>
      </c>
      <c r="E258" s="381" t="n">
        <v>0</v>
      </c>
      <c r="F258" s="359" t="n">
        <v>1</v>
      </c>
      <c r="G258" s="380" t="n">
        <v>0</v>
      </c>
      <c r="H258" s="358" t="n">
        <v>0</v>
      </c>
      <c r="I258" s="358" t="n">
        <v>0</v>
      </c>
      <c r="J258" s="358" t="n">
        <v>0</v>
      </c>
      <c r="K258" s="358" t="n">
        <v>0</v>
      </c>
      <c r="L258" s="358" t="n">
        <v>0</v>
      </c>
      <c r="M258" s="381" t="n">
        <v>1</v>
      </c>
      <c r="N258" s="381" t="n">
        <v>0</v>
      </c>
      <c r="O258" s="381" t="n">
        <v>0</v>
      </c>
      <c r="P258" s="359" t="n">
        <v>1</v>
      </c>
    </row>
    <row r="259" customFormat="false" ht="15" hidden="true" customHeight="false" outlineLevel="0" collapsed="false">
      <c r="B259" s="360" t="s">
        <v>2701</v>
      </c>
      <c r="C259" s="381" t="n">
        <v>1</v>
      </c>
      <c r="D259" s="381" t="n">
        <v>0</v>
      </c>
      <c r="E259" s="381" t="n">
        <v>0</v>
      </c>
      <c r="F259" s="359" t="n">
        <v>1</v>
      </c>
      <c r="G259" s="380" t="n">
        <v>0</v>
      </c>
      <c r="H259" s="358" t="n">
        <v>0</v>
      </c>
      <c r="I259" s="358" t="n">
        <v>0</v>
      </c>
      <c r="J259" s="358" t="n">
        <v>0</v>
      </c>
      <c r="K259" s="358" t="n">
        <v>0</v>
      </c>
      <c r="L259" s="358" t="n">
        <v>0</v>
      </c>
      <c r="M259" s="381" t="n">
        <v>1</v>
      </c>
      <c r="N259" s="381" t="n">
        <v>0</v>
      </c>
      <c r="O259" s="381" t="n">
        <v>0</v>
      </c>
      <c r="P259" s="359" t="n">
        <v>1</v>
      </c>
    </row>
    <row r="260" customFormat="false" ht="15" hidden="true" customHeight="false" outlineLevel="0" collapsed="false">
      <c r="B260" s="360" t="s">
        <v>2702</v>
      </c>
      <c r="C260" s="381" t="n">
        <v>1</v>
      </c>
      <c r="D260" s="381" t="n">
        <v>0</v>
      </c>
      <c r="E260" s="381" t="n">
        <v>0</v>
      </c>
      <c r="F260" s="359" t="n">
        <v>1</v>
      </c>
      <c r="G260" s="380" t="n">
        <v>0</v>
      </c>
      <c r="H260" s="358" t="n">
        <v>0</v>
      </c>
      <c r="I260" s="358" t="n">
        <v>0</v>
      </c>
      <c r="J260" s="358" t="n">
        <v>0</v>
      </c>
      <c r="K260" s="358" t="n">
        <v>0</v>
      </c>
      <c r="L260" s="358" t="n">
        <v>0</v>
      </c>
      <c r="M260" s="381" t="n">
        <v>1</v>
      </c>
      <c r="N260" s="381" t="n">
        <v>0</v>
      </c>
      <c r="O260" s="381" t="n">
        <v>0</v>
      </c>
      <c r="P260" s="359" t="n">
        <v>1</v>
      </c>
    </row>
    <row r="261" customFormat="false" ht="15" hidden="true" customHeight="false" outlineLevel="0" collapsed="false">
      <c r="B261" s="360" t="s">
        <v>2703</v>
      </c>
      <c r="C261" s="381" t="n">
        <v>1</v>
      </c>
      <c r="D261" s="381" t="n">
        <v>0</v>
      </c>
      <c r="E261" s="381" t="n">
        <v>0</v>
      </c>
      <c r="F261" s="359" t="n">
        <v>1</v>
      </c>
      <c r="G261" s="380" t="n">
        <v>0</v>
      </c>
      <c r="H261" s="358" t="n">
        <v>0</v>
      </c>
      <c r="I261" s="358" t="n">
        <v>0</v>
      </c>
      <c r="J261" s="358" t="n">
        <v>0</v>
      </c>
      <c r="K261" s="358" t="n">
        <v>0</v>
      </c>
      <c r="L261" s="358" t="n">
        <v>0</v>
      </c>
      <c r="M261" s="381" t="n">
        <v>1</v>
      </c>
      <c r="N261" s="381" t="n">
        <v>0</v>
      </c>
      <c r="O261" s="381" t="n">
        <v>0</v>
      </c>
      <c r="P261" s="359" t="n">
        <v>1</v>
      </c>
    </row>
    <row r="262" customFormat="false" ht="15" hidden="true" customHeight="false" outlineLevel="0" collapsed="false">
      <c r="B262" s="360" t="s">
        <v>2704</v>
      </c>
      <c r="C262" s="381" t="n">
        <v>1</v>
      </c>
      <c r="D262" s="381" t="n">
        <v>0</v>
      </c>
      <c r="E262" s="381" t="n">
        <v>0</v>
      </c>
      <c r="F262" s="359" t="n">
        <v>1</v>
      </c>
      <c r="G262" s="380" t="n">
        <v>0</v>
      </c>
      <c r="H262" s="358" t="n">
        <v>0</v>
      </c>
      <c r="I262" s="358" t="n">
        <v>0</v>
      </c>
      <c r="J262" s="358" t="n">
        <v>0</v>
      </c>
      <c r="K262" s="358" t="n">
        <v>0</v>
      </c>
      <c r="L262" s="358" t="n">
        <v>0</v>
      </c>
      <c r="M262" s="381" t="n">
        <v>1</v>
      </c>
      <c r="N262" s="381" t="n">
        <v>0</v>
      </c>
      <c r="O262" s="381" t="n">
        <v>0</v>
      </c>
      <c r="P262" s="359" t="n">
        <v>1</v>
      </c>
    </row>
    <row r="263" customFormat="false" ht="15" hidden="true" customHeight="false" outlineLevel="0" collapsed="false">
      <c r="B263" s="360" t="s">
        <v>2705</v>
      </c>
      <c r="C263" s="381" t="n">
        <v>1</v>
      </c>
      <c r="D263" s="381" t="n">
        <v>0</v>
      </c>
      <c r="E263" s="381" t="n">
        <v>0</v>
      </c>
      <c r="F263" s="359" t="n">
        <v>1</v>
      </c>
      <c r="G263" s="380" t="n">
        <v>0</v>
      </c>
      <c r="H263" s="358" t="n">
        <v>0</v>
      </c>
      <c r="I263" s="358" t="n">
        <v>0</v>
      </c>
      <c r="J263" s="358" t="n">
        <v>0</v>
      </c>
      <c r="K263" s="358" t="n">
        <v>0</v>
      </c>
      <c r="L263" s="358" t="n">
        <v>0</v>
      </c>
      <c r="M263" s="381" t="n">
        <v>1</v>
      </c>
      <c r="N263" s="381" t="n">
        <v>0</v>
      </c>
      <c r="O263" s="381" t="n">
        <v>0</v>
      </c>
      <c r="P263" s="359" t="n">
        <v>1</v>
      </c>
    </row>
    <row r="264" customFormat="false" ht="15" hidden="true" customHeight="false" outlineLevel="0" collapsed="false">
      <c r="B264" s="360" t="s">
        <v>2706</v>
      </c>
      <c r="C264" s="381" t="n">
        <v>1</v>
      </c>
      <c r="D264" s="381" t="n">
        <v>0</v>
      </c>
      <c r="E264" s="381" t="n">
        <v>0</v>
      </c>
      <c r="F264" s="359" t="n">
        <v>1</v>
      </c>
      <c r="G264" s="380" t="n">
        <v>0</v>
      </c>
      <c r="H264" s="358" t="n">
        <v>0</v>
      </c>
      <c r="I264" s="358" t="n">
        <v>0</v>
      </c>
      <c r="J264" s="358" t="n">
        <v>0</v>
      </c>
      <c r="K264" s="358" t="n">
        <v>0</v>
      </c>
      <c r="L264" s="358" t="n">
        <v>0</v>
      </c>
      <c r="M264" s="381" t="n">
        <v>1</v>
      </c>
      <c r="N264" s="381" t="n">
        <v>0</v>
      </c>
      <c r="O264" s="381" t="n">
        <v>0</v>
      </c>
      <c r="P264" s="359" t="n">
        <v>1</v>
      </c>
    </row>
    <row r="265" customFormat="false" ht="15" hidden="true" customHeight="false" outlineLevel="0" collapsed="false">
      <c r="B265" s="360" t="s">
        <v>2707</v>
      </c>
      <c r="C265" s="381" t="n">
        <v>1</v>
      </c>
      <c r="D265" s="381" t="n">
        <v>0</v>
      </c>
      <c r="E265" s="381" t="n">
        <v>0</v>
      </c>
      <c r="F265" s="359" t="n">
        <v>1</v>
      </c>
      <c r="G265" s="380" t="n">
        <v>0</v>
      </c>
      <c r="H265" s="358" t="n">
        <v>0</v>
      </c>
      <c r="I265" s="358" t="n">
        <v>0</v>
      </c>
      <c r="J265" s="358" t="n">
        <v>0</v>
      </c>
      <c r="K265" s="358" t="n">
        <v>0</v>
      </c>
      <c r="L265" s="358" t="n">
        <v>0</v>
      </c>
      <c r="M265" s="381" t="n">
        <v>1</v>
      </c>
      <c r="N265" s="381" t="n">
        <v>0</v>
      </c>
      <c r="O265" s="381" t="n">
        <v>0</v>
      </c>
      <c r="P265" s="359" t="n">
        <v>1</v>
      </c>
    </row>
    <row r="266" customFormat="false" ht="15" hidden="true" customHeight="false" outlineLevel="0" collapsed="false">
      <c r="B266" s="360" t="s">
        <v>2708</v>
      </c>
      <c r="C266" s="381" t="n">
        <v>1</v>
      </c>
      <c r="D266" s="381" t="n">
        <v>0</v>
      </c>
      <c r="E266" s="381" t="n">
        <v>0</v>
      </c>
      <c r="F266" s="359" t="n">
        <v>1</v>
      </c>
      <c r="G266" s="380" t="n">
        <v>0</v>
      </c>
      <c r="H266" s="358" t="n">
        <v>0</v>
      </c>
      <c r="I266" s="358" t="n">
        <v>0</v>
      </c>
      <c r="J266" s="358" t="n">
        <v>0</v>
      </c>
      <c r="K266" s="358" t="n">
        <v>0</v>
      </c>
      <c r="L266" s="358" t="n">
        <v>0</v>
      </c>
      <c r="M266" s="381" t="n">
        <v>1</v>
      </c>
      <c r="N266" s="381" t="n">
        <v>0</v>
      </c>
      <c r="O266" s="381" t="n">
        <v>0</v>
      </c>
      <c r="P266" s="359" t="n">
        <v>1</v>
      </c>
    </row>
    <row r="267" customFormat="false" ht="15" hidden="true" customHeight="false" outlineLevel="0" collapsed="false">
      <c r="B267" s="361" t="s">
        <v>2709</v>
      </c>
      <c r="C267" s="381" t="n">
        <v>1</v>
      </c>
      <c r="D267" s="381" t="n">
        <v>0</v>
      </c>
      <c r="E267" s="381" t="n">
        <v>0</v>
      </c>
      <c r="F267" s="359" t="n">
        <v>1</v>
      </c>
      <c r="G267" s="380" t="n">
        <v>0</v>
      </c>
      <c r="H267" s="358" t="n">
        <v>0</v>
      </c>
      <c r="I267" s="358" t="n">
        <v>0</v>
      </c>
      <c r="J267" s="358" t="n">
        <v>0</v>
      </c>
      <c r="K267" s="358" t="n">
        <v>0</v>
      </c>
      <c r="L267" s="358" t="n">
        <v>0</v>
      </c>
      <c r="M267" s="381" t="n">
        <v>1</v>
      </c>
      <c r="N267" s="381" t="n">
        <v>0</v>
      </c>
      <c r="O267" s="381" t="n">
        <v>0</v>
      </c>
      <c r="P267" s="359" t="n">
        <v>1</v>
      </c>
    </row>
    <row r="268" customFormat="false" ht="15" hidden="true" customHeight="false" outlineLevel="0" collapsed="false">
      <c r="B268" s="360" t="s">
        <v>2710</v>
      </c>
      <c r="C268" s="381" t="n">
        <v>1</v>
      </c>
      <c r="D268" s="381" t="n">
        <v>0</v>
      </c>
      <c r="E268" s="381" t="n">
        <v>0</v>
      </c>
      <c r="F268" s="359" t="n">
        <v>1</v>
      </c>
      <c r="G268" s="380" t="n">
        <v>0</v>
      </c>
      <c r="H268" s="358" t="n">
        <v>0</v>
      </c>
      <c r="I268" s="358" t="n">
        <v>0</v>
      </c>
      <c r="J268" s="358" t="n">
        <v>0</v>
      </c>
      <c r="K268" s="358" t="n">
        <v>0</v>
      </c>
      <c r="L268" s="358" t="n">
        <v>0</v>
      </c>
      <c r="M268" s="381" t="n">
        <v>1</v>
      </c>
      <c r="N268" s="381" t="n">
        <v>0</v>
      </c>
      <c r="O268" s="381" t="n">
        <v>0</v>
      </c>
      <c r="P268" s="359" t="n">
        <v>1</v>
      </c>
    </row>
    <row r="269" customFormat="false" ht="15" hidden="true" customHeight="false" outlineLevel="0" collapsed="false">
      <c r="B269" s="360" t="s">
        <v>3561</v>
      </c>
      <c r="C269" s="381" t="n">
        <v>0</v>
      </c>
      <c r="D269" s="381" t="n">
        <v>0</v>
      </c>
      <c r="E269" s="381" t="n">
        <v>0</v>
      </c>
      <c r="F269" s="359" t="n">
        <v>0</v>
      </c>
      <c r="G269" s="380" t="n">
        <v>0</v>
      </c>
      <c r="H269" s="358" t="n">
        <v>0</v>
      </c>
      <c r="I269" s="358" t="n">
        <v>0</v>
      </c>
      <c r="J269" s="358" t="n">
        <v>0</v>
      </c>
      <c r="K269" s="358" t="n">
        <v>0</v>
      </c>
      <c r="L269" s="358" t="n">
        <v>0</v>
      </c>
      <c r="M269" s="381" t="n">
        <v>0</v>
      </c>
      <c r="N269" s="381" t="n">
        <v>0</v>
      </c>
      <c r="O269" s="381" t="n">
        <v>0</v>
      </c>
      <c r="P269" s="359" t="n">
        <v>0</v>
      </c>
    </row>
    <row r="270" customFormat="false" ht="15" hidden="true" customHeight="false" outlineLevel="0" collapsed="false">
      <c r="B270" s="360" t="s">
        <v>2711</v>
      </c>
      <c r="C270" s="381" t="n">
        <v>1</v>
      </c>
      <c r="D270" s="381" t="n">
        <v>0</v>
      </c>
      <c r="E270" s="381" t="n">
        <v>0</v>
      </c>
      <c r="F270" s="359" t="n">
        <v>1</v>
      </c>
      <c r="G270" s="380" t="n">
        <v>0</v>
      </c>
      <c r="H270" s="358" t="n">
        <v>0</v>
      </c>
      <c r="I270" s="358" t="n">
        <v>0</v>
      </c>
      <c r="J270" s="358" t="n">
        <v>0</v>
      </c>
      <c r="K270" s="358" t="n">
        <v>0</v>
      </c>
      <c r="L270" s="358" t="n">
        <v>0</v>
      </c>
      <c r="M270" s="381" t="n">
        <v>1</v>
      </c>
      <c r="N270" s="381" t="n">
        <v>0</v>
      </c>
      <c r="O270" s="381" t="n">
        <v>0</v>
      </c>
      <c r="P270" s="359" t="n">
        <v>1</v>
      </c>
    </row>
    <row r="271" customFormat="false" ht="15" hidden="true" customHeight="false" outlineLevel="0" collapsed="false">
      <c r="B271" s="360" t="s">
        <v>2712</v>
      </c>
      <c r="C271" s="381" t="n">
        <v>1</v>
      </c>
      <c r="D271" s="381" t="n">
        <v>0</v>
      </c>
      <c r="E271" s="381" t="n">
        <v>0</v>
      </c>
      <c r="F271" s="359" t="n">
        <v>1</v>
      </c>
      <c r="G271" s="380" t="n">
        <v>0</v>
      </c>
      <c r="H271" s="358" t="n">
        <v>0</v>
      </c>
      <c r="I271" s="358" t="n">
        <v>0</v>
      </c>
      <c r="J271" s="358" t="n">
        <v>0</v>
      </c>
      <c r="K271" s="358" t="n">
        <v>0</v>
      </c>
      <c r="L271" s="358" t="n">
        <v>0</v>
      </c>
      <c r="M271" s="381" t="n">
        <v>1</v>
      </c>
      <c r="N271" s="381" t="n">
        <v>0</v>
      </c>
      <c r="O271" s="381" t="n">
        <v>0</v>
      </c>
      <c r="P271" s="359" t="n">
        <v>1</v>
      </c>
    </row>
    <row r="272" customFormat="false" ht="15" hidden="true" customHeight="false" outlineLevel="0" collapsed="false">
      <c r="B272" s="360" t="s">
        <v>2713</v>
      </c>
      <c r="C272" s="381" t="n">
        <v>1</v>
      </c>
      <c r="D272" s="381" t="n">
        <v>0</v>
      </c>
      <c r="E272" s="381" t="n">
        <v>0</v>
      </c>
      <c r="F272" s="359" t="n">
        <v>1</v>
      </c>
      <c r="G272" s="380" t="n">
        <v>0</v>
      </c>
      <c r="H272" s="358" t="n">
        <v>0</v>
      </c>
      <c r="I272" s="358" t="n">
        <v>0</v>
      </c>
      <c r="J272" s="358" t="n">
        <v>0</v>
      </c>
      <c r="K272" s="358" t="n">
        <v>0</v>
      </c>
      <c r="L272" s="358" t="n">
        <v>0</v>
      </c>
      <c r="M272" s="381" t="n">
        <v>1</v>
      </c>
      <c r="N272" s="381" t="n">
        <v>0</v>
      </c>
      <c r="O272" s="381" t="n">
        <v>0</v>
      </c>
      <c r="P272" s="359" t="n">
        <v>1</v>
      </c>
    </row>
    <row r="273" customFormat="false" ht="15" hidden="true" customHeight="false" outlineLevel="0" collapsed="false">
      <c r="B273" s="360" t="s">
        <v>2714</v>
      </c>
      <c r="C273" s="381" t="n">
        <v>1</v>
      </c>
      <c r="D273" s="381" t="n">
        <v>0</v>
      </c>
      <c r="E273" s="381" t="n">
        <v>0</v>
      </c>
      <c r="F273" s="359" t="n">
        <v>1</v>
      </c>
      <c r="G273" s="380" t="n">
        <v>0</v>
      </c>
      <c r="H273" s="358" t="n">
        <v>0</v>
      </c>
      <c r="I273" s="358" t="n">
        <v>0</v>
      </c>
      <c r="J273" s="358" t="n">
        <v>0</v>
      </c>
      <c r="K273" s="358" t="n">
        <v>0</v>
      </c>
      <c r="L273" s="358" t="n">
        <v>0</v>
      </c>
      <c r="M273" s="381" t="n">
        <v>1</v>
      </c>
      <c r="N273" s="381" t="n">
        <v>0</v>
      </c>
      <c r="O273" s="381" t="n">
        <v>0</v>
      </c>
      <c r="P273" s="359" t="n">
        <v>1</v>
      </c>
    </row>
    <row r="274" customFormat="false" ht="15" hidden="true" customHeight="false" outlineLevel="0" collapsed="false">
      <c r="B274" s="360" t="s">
        <v>3562</v>
      </c>
      <c r="C274" s="381" t="n">
        <v>0</v>
      </c>
      <c r="D274" s="381" t="n">
        <v>0</v>
      </c>
      <c r="E274" s="381" t="n">
        <v>0</v>
      </c>
      <c r="F274" s="359" t="n">
        <v>0</v>
      </c>
      <c r="G274" s="380" t="n">
        <v>0</v>
      </c>
      <c r="H274" s="358" t="n">
        <v>0</v>
      </c>
      <c r="I274" s="358" t="n">
        <v>0</v>
      </c>
      <c r="J274" s="358" t="n">
        <v>0</v>
      </c>
      <c r="K274" s="358" t="n">
        <v>0</v>
      </c>
      <c r="L274" s="358" t="n">
        <v>0</v>
      </c>
      <c r="M274" s="381" t="n">
        <v>0</v>
      </c>
      <c r="N274" s="381" t="n">
        <v>0</v>
      </c>
      <c r="O274" s="381" t="n">
        <v>0</v>
      </c>
      <c r="P274" s="359" t="n">
        <v>0</v>
      </c>
    </row>
    <row r="275" customFormat="false" ht="15" hidden="true" customHeight="false" outlineLevel="0" collapsed="false">
      <c r="B275" s="360" t="s">
        <v>2715</v>
      </c>
      <c r="C275" s="381" t="n">
        <v>1</v>
      </c>
      <c r="D275" s="381" t="n">
        <v>0</v>
      </c>
      <c r="E275" s="381" t="n">
        <v>0</v>
      </c>
      <c r="F275" s="359" t="n">
        <v>1</v>
      </c>
      <c r="G275" s="380" t="n">
        <v>0</v>
      </c>
      <c r="H275" s="358" t="n">
        <v>0</v>
      </c>
      <c r="I275" s="358" t="n">
        <v>0</v>
      </c>
      <c r="J275" s="358" t="n">
        <v>0</v>
      </c>
      <c r="K275" s="358" t="n">
        <v>0</v>
      </c>
      <c r="L275" s="358" t="n">
        <v>0</v>
      </c>
      <c r="M275" s="381" t="n">
        <v>1</v>
      </c>
      <c r="N275" s="381" t="n">
        <v>0</v>
      </c>
      <c r="O275" s="381" t="n">
        <v>0</v>
      </c>
      <c r="P275" s="359" t="n">
        <v>1</v>
      </c>
    </row>
    <row r="276" customFormat="false" ht="15" hidden="true" customHeight="false" outlineLevel="0" collapsed="false">
      <c r="B276" s="360" t="s">
        <v>2716</v>
      </c>
      <c r="C276" s="381" t="n">
        <v>1</v>
      </c>
      <c r="D276" s="381" t="n">
        <v>0</v>
      </c>
      <c r="E276" s="381" t="n">
        <v>0</v>
      </c>
      <c r="F276" s="359" t="n">
        <v>1</v>
      </c>
      <c r="G276" s="380" t="n">
        <v>0</v>
      </c>
      <c r="H276" s="358" t="n">
        <v>0</v>
      </c>
      <c r="I276" s="358" t="n">
        <v>0</v>
      </c>
      <c r="J276" s="358" t="n">
        <v>0</v>
      </c>
      <c r="K276" s="358" t="n">
        <v>0</v>
      </c>
      <c r="L276" s="358" t="n">
        <v>0</v>
      </c>
      <c r="M276" s="381" t="n">
        <v>1</v>
      </c>
      <c r="N276" s="381" t="n">
        <v>0</v>
      </c>
      <c r="O276" s="381" t="n">
        <v>0</v>
      </c>
      <c r="P276" s="359" t="n">
        <v>1</v>
      </c>
    </row>
    <row r="277" customFormat="false" ht="15" hidden="true" customHeight="false" outlineLevel="0" collapsed="false">
      <c r="B277" s="360" t="s">
        <v>2717</v>
      </c>
      <c r="C277" s="381" t="n">
        <v>1</v>
      </c>
      <c r="D277" s="381" t="n">
        <v>0</v>
      </c>
      <c r="E277" s="381" t="n">
        <v>0</v>
      </c>
      <c r="F277" s="359" t="n">
        <v>1</v>
      </c>
      <c r="G277" s="380" t="n">
        <v>0</v>
      </c>
      <c r="H277" s="358" t="n">
        <v>0</v>
      </c>
      <c r="I277" s="358" t="n">
        <v>0</v>
      </c>
      <c r="J277" s="358" t="n">
        <v>0</v>
      </c>
      <c r="K277" s="358" t="n">
        <v>0</v>
      </c>
      <c r="L277" s="358" t="n">
        <v>0</v>
      </c>
      <c r="M277" s="381" t="n">
        <v>1</v>
      </c>
      <c r="N277" s="381" t="n">
        <v>0</v>
      </c>
      <c r="O277" s="381" t="n">
        <v>0</v>
      </c>
      <c r="P277" s="359" t="n">
        <v>1</v>
      </c>
    </row>
    <row r="278" customFormat="false" ht="15" hidden="true" customHeight="false" outlineLevel="0" collapsed="false">
      <c r="B278" s="360" t="s">
        <v>2718</v>
      </c>
      <c r="C278" s="381" t="n">
        <v>1</v>
      </c>
      <c r="D278" s="381" t="n">
        <v>0</v>
      </c>
      <c r="E278" s="381" t="n">
        <v>0</v>
      </c>
      <c r="F278" s="359" t="n">
        <v>1</v>
      </c>
      <c r="G278" s="380" t="n">
        <v>0</v>
      </c>
      <c r="H278" s="358" t="n">
        <v>0</v>
      </c>
      <c r="I278" s="358" t="n">
        <v>0</v>
      </c>
      <c r="J278" s="358" t="n">
        <v>0</v>
      </c>
      <c r="K278" s="358" t="n">
        <v>0</v>
      </c>
      <c r="L278" s="358" t="n">
        <v>0</v>
      </c>
      <c r="M278" s="381" t="n">
        <v>1</v>
      </c>
      <c r="N278" s="381" t="n">
        <v>0</v>
      </c>
      <c r="O278" s="381" t="n">
        <v>0</v>
      </c>
      <c r="P278" s="359" t="n">
        <v>1</v>
      </c>
    </row>
    <row r="279" customFormat="false" ht="15" hidden="true" customHeight="false" outlineLevel="0" collapsed="false">
      <c r="B279" s="360" t="s">
        <v>2719</v>
      </c>
      <c r="C279" s="381" t="n">
        <v>1</v>
      </c>
      <c r="D279" s="381" t="n">
        <v>0</v>
      </c>
      <c r="E279" s="381" t="n">
        <v>0</v>
      </c>
      <c r="F279" s="359" t="n">
        <v>1</v>
      </c>
      <c r="G279" s="380" t="n">
        <v>0</v>
      </c>
      <c r="H279" s="358" t="n">
        <v>0</v>
      </c>
      <c r="I279" s="358" t="n">
        <v>0</v>
      </c>
      <c r="J279" s="358" t="n">
        <v>0</v>
      </c>
      <c r="K279" s="358" t="n">
        <v>0</v>
      </c>
      <c r="L279" s="358" t="n">
        <v>0</v>
      </c>
      <c r="M279" s="381" t="n">
        <v>1</v>
      </c>
      <c r="N279" s="381" t="n">
        <v>0</v>
      </c>
      <c r="O279" s="381" t="n">
        <v>0</v>
      </c>
      <c r="P279" s="359" t="n">
        <v>1</v>
      </c>
    </row>
    <row r="280" customFormat="false" ht="15" hidden="true" customHeight="false" outlineLevel="0" collapsed="false">
      <c r="B280" s="360" t="s">
        <v>2720</v>
      </c>
      <c r="C280" s="381" t="n">
        <v>1</v>
      </c>
      <c r="D280" s="381" t="n">
        <v>0</v>
      </c>
      <c r="E280" s="381" t="n">
        <v>0</v>
      </c>
      <c r="F280" s="359" t="n">
        <v>1</v>
      </c>
      <c r="G280" s="380" t="n">
        <v>0</v>
      </c>
      <c r="H280" s="358" t="n">
        <v>0</v>
      </c>
      <c r="I280" s="358" t="n">
        <v>0</v>
      </c>
      <c r="J280" s="358" t="n">
        <v>0</v>
      </c>
      <c r="K280" s="358" t="n">
        <v>0</v>
      </c>
      <c r="L280" s="358" t="n">
        <v>0</v>
      </c>
      <c r="M280" s="381" t="n">
        <v>1</v>
      </c>
      <c r="N280" s="381" t="n">
        <v>0</v>
      </c>
      <c r="O280" s="381" t="n">
        <v>0</v>
      </c>
      <c r="P280" s="359" t="n">
        <v>1</v>
      </c>
    </row>
    <row r="281" customFormat="false" ht="15" hidden="true" customHeight="false" outlineLevel="0" collapsed="false">
      <c r="B281" s="360" t="s">
        <v>2721</v>
      </c>
      <c r="C281" s="381" t="n">
        <v>1</v>
      </c>
      <c r="D281" s="381" t="n">
        <v>0</v>
      </c>
      <c r="E281" s="381" t="n">
        <v>0</v>
      </c>
      <c r="F281" s="359" t="n">
        <v>1</v>
      </c>
      <c r="G281" s="380" t="n">
        <v>0</v>
      </c>
      <c r="H281" s="358" t="n">
        <v>0</v>
      </c>
      <c r="I281" s="358" t="n">
        <v>0</v>
      </c>
      <c r="J281" s="358" t="n">
        <v>0</v>
      </c>
      <c r="K281" s="358" t="n">
        <v>0</v>
      </c>
      <c r="L281" s="358" t="n">
        <v>0</v>
      </c>
      <c r="M281" s="381" t="n">
        <v>1</v>
      </c>
      <c r="N281" s="381" t="n">
        <v>0</v>
      </c>
      <c r="O281" s="381" t="n">
        <v>0</v>
      </c>
      <c r="P281" s="359" t="n">
        <v>1</v>
      </c>
    </row>
    <row r="282" customFormat="false" ht="15" hidden="true" customHeight="false" outlineLevel="0" collapsed="false">
      <c r="B282" s="360" t="s">
        <v>2722</v>
      </c>
      <c r="C282" s="381" t="n">
        <v>1</v>
      </c>
      <c r="D282" s="381" t="n">
        <v>0</v>
      </c>
      <c r="E282" s="381" t="n">
        <v>0</v>
      </c>
      <c r="F282" s="359" t="n">
        <v>1</v>
      </c>
      <c r="G282" s="380" t="n">
        <v>0</v>
      </c>
      <c r="H282" s="358" t="n">
        <v>0</v>
      </c>
      <c r="I282" s="358" t="n">
        <v>0</v>
      </c>
      <c r="J282" s="358" t="n">
        <v>0</v>
      </c>
      <c r="K282" s="358" t="n">
        <v>0</v>
      </c>
      <c r="L282" s="358" t="n">
        <v>0</v>
      </c>
      <c r="M282" s="381" t="n">
        <v>1</v>
      </c>
      <c r="N282" s="381" t="n">
        <v>0</v>
      </c>
      <c r="O282" s="381" t="n">
        <v>0</v>
      </c>
      <c r="P282" s="359" t="n">
        <v>1</v>
      </c>
    </row>
    <row r="283" customFormat="false" ht="15" hidden="true" customHeight="false" outlineLevel="0" collapsed="false">
      <c r="B283" s="360" t="s">
        <v>2723</v>
      </c>
      <c r="C283" s="381" t="n">
        <v>1</v>
      </c>
      <c r="D283" s="381" t="n">
        <v>0</v>
      </c>
      <c r="E283" s="381" t="n">
        <v>0</v>
      </c>
      <c r="F283" s="359" t="n">
        <v>1</v>
      </c>
      <c r="G283" s="380" t="n">
        <v>0</v>
      </c>
      <c r="H283" s="358" t="n">
        <v>0</v>
      </c>
      <c r="I283" s="358" t="n">
        <v>0</v>
      </c>
      <c r="J283" s="358" t="n">
        <v>0</v>
      </c>
      <c r="K283" s="358" t="n">
        <v>0</v>
      </c>
      <c r="L283" s="358" t="n">
        <v>0</v>
      </c>
      <c r="M283" s="381" t="n">
        <v>1</v>
      </c>
      <c r="N283" s="381" t="n">
        <v>0</v>
      </c>
      <c r="O283" s="381" t="n">
        <v>0</v>
      </c>
      <c r="P283" s="359" t="n">
        <v>1</v>
      </c>
    </row>
    <row r="284" customFormat="false" ht="15" hidden="true" customHeight="false" outlineLevel="0" collapsed="false">
      <c r="B284" s="360" t="s">
        <v>2724</v>
      </c>
      <c r="C284" s="381" t="n">
        <v>1</v>
      </c>
      <c r="D284" s="381" t="n">
        <v>0</v>
      </c>
      <c r="E284" s="381" t="n">
        <v>0</v>
      </c>
      <c r="F284" s="359" t="n">
        <v>1</v>
      </c>
      <c r="G284" s="380" t="n">
        <v>0</v>
      </c>
      <c r="H284" s="358" t="n">
        <v>0</v>
      </c>
      <c r="I284" s="358" t="n">
        <v>0</v>
      </c>
      <c r="J284" s="358" t="n">
        <v>0</v>
      </c>
      <c r="K284" s="358" t="n">
        <v>0</v>
      </c>
      <c r="L284" s="358" t="n">
        <v>0</v>
      </c>
      <c r="M284" s="381" t="n">
        <v>1</v>
      </c>
      <c r="N284" s="381" t="n">
        <v>0</v>
      </c>
      <c r="O284" s="381" t="n">
        <v>0</v>
      </c>
      <c r="P284" s="359" t="n">
        <v>1</v>
      </c>
    </row>
    <row r="285" customFormat="false" ht="15" hidden="true" customHeight="false" outlineLevel="0" collapsed="false">
      <c r="B285" s="360" t="s">
        <v>2725</v>
      </c>
      <c r="C285" s="381" t="n">
        <v>1</v>
      </c>
      <c r="D285" s="381" t="n">
        <v>0</v>
      </c>
      <c r="E285" s="381" t="n">
        <v>0</v>
      </c>
      <c r="F285" s="359" t="n">
        <v>1</v>
      </c>
      <c r="G285" s="380" t="n">
        <v>0</v>
      </c>
      <c r="H285" s="358" t="n">
        <v>0</v>
      </c>
      <c r="I285" s="358" t="n">
        <v>0</v>
      </c>
      <c r="J285" s="358" t="n">
        <v>0</v>
      </c>
      <c r="K285" s="358" t="n">
        <v>0</v>
      </c>
      <c r="L285" s="358" t="n">
        <v>0</v>
      </c>
      <c r="M285" s="381" t="n">
        <v>1</v>
      </c>
      <c r="N285" s="381" t="n">
        <v>0</v>
      </c>
      <c r="O285" s="381" t="n">
        <v>0</v>
      </c>
      <c r="P285" s="359" t="n">
        <v>1</v>
      </c>
    </row>
    <row r="286" customFormat="false" ht="15" hidden="true" customHeight="false" outlineLevel="0" collapsed="false">
      <c r="B286" s="360" t="s">
        <v>2726</v>
      </c>
      <c r="C286" s="381" t="n">
        <v>1</v>
      </c>
      <c r="D286" s="381" t="n">
        <v>0</v>
      </c>
      <c r="E286" s="381" t="n">
        <v>0</v>
      </c>
      <c r="F286" s="359" t="n">
        <v>1</v>
      </c>
      <c r="G286" s="380" t="n">
        <v>0</v>
      </c>
      <c r="H286" s="358" t="n">
        <v>0</v>
      </c>
      <c r="I286" s="358" t="n">
        <v>0</v>
      </c>
      <c r="J286" s="358" t="n">
        <v>0</v>
      </c>
      <c r="K286" s="358" t="n">
        <v>0</v>
      </c>
      <c r="L286" s="358" t="n">
        <v>0</v>
      </c>
      <c r="M286" s="381" t="n">
        <v>1</v>
      </c>
      <c r="N286" s="381" t="n">
        <v>0</v>
      </c>
      <c r="O286" s="381" t="n">
        <v>0</v>
      </c>
      <c r="P286" s="359" t="n">
        <v>1</v>
      </c>
    </row>
    <row r="287" customFormat="false" ht="15" hidden="true" customHeight="false" outlineLevel="0" collapsed="false">
      <c r="B287" s="360" t="s">
        <v>2727</v>
      </c>
      <c r="C287" s="381" t="n">
        <v>1</v>
      </c>
      <c r="D287" s="381" t="n">
        <v>0</v>
      </c>
      <c r="E287" s="381" t="n">
        <v>0</v>
      </c>
      <c r="F287" s="359" t="n">
        <v>1</v>
      </c>
      <c r="G287" s="380" t="n">
        <v>0</v>
      </c>
      <c r="H287" s="358" t="n">
        <v>0</v>
      </c>
      <c r="I287" s="358" t="n">
        <v>0</v>
      </c>
      <c r="J287" s="358" t="n">
        <v>0</v>
      </c>
      <c r="K287" s="358" t="n">
        <v>0</v>
      </c>
      <c r="L287" s="358" t="n">
        <v>0</v>
      </c>
      <c r="M287" s="381" t="n">
        <v>1</v>
      </c>
      <c r="N287" s="381" t="n">
        <v>0</v>
      </c>
      <c r="O287" s="381" t="n">
        <v>0</v>
      </c>
      <c r="P287" s="359" t="n">
        <v>1</v>
      </c>
    </row>
    <row r="288" customFormat="false" ht="15" hidden="true" customHeight="false" outlineLevel="0" collapsed="false">
      <c r="B288" s="360" t="s">
        <v>2728</v>
      </c>
      <c r="C288" s="381" t="n">
        <v>1</v>
      </c>
      <c r="D288" s="381" t="n">
        <v>0</v>
      </c>
      <c r="E288" s="381" t="n">
        <v>0</v>
      </c>
      <c r="F288" s="359" t="n">
        <v>1</v>
      </c>
      <c r="G288" s="380" t="n">
        <v>0</v>
      </c>
      <c r="H288" s="358" t="n">
        <v>0</v>
      </c>
      <c r="I288" s="358" t="n">
        <v>0</v>
      </c>
      <c r="J288" s="358" t="n">
        <v>0</v>
      </c>
      <c r="K288" s="358" t="n">
        <v>0</v>
      </c>
      <c r="L288" s="358" t="n">
        <v>0</v>
      </c>
      <c r="M288" s="381" t="n">
        <v>1</v>
      </c>
      <c r="N288" s="381" t="n">
        <v>0</v>
      </c>
      <c r="O288" s="381" t="n">
        <v>0</v>
      </c>
      <c r="P288" s="359" t="n">
        <v>1</v>
      </c>
    </row>
    <row r="289" customFormat="false" ht="15" hidden="true" customHeight="false" outlineLevel="0" collapsed="false">
      <c r="B289" s="360" t="s">
        <v>2729</v>
      </c>
      <c r="C289" s="381" t="n">
        <v>1</v>
      </c>
      <c r="D289" s="381" t="n">
        <v>0</v>
      </c>
      <c r="E289" s="381" t="n">
        <v>0</v>
      </c>
      <c r="F289" s="359" t="n">
        <v>1</v>
      </c>
      <c r="G289" s="380" t="n">
        <v>0</v>
      </c>
      <c r="H289" s="358" t="n">
        <v>0</v>
      </c>
      <c r="I289" s="358" t="n">
        <v>0</v>
      </c>
      <c r="J289" s="358" t="n">
        <v>0</v>
      </c>
      <c r="K289" s="358" t="n">
        <v>0</v>
      </c>
      <c r="L289" s="358" t="n">
        <v>0</v>
      </c>
      <c r="M289" s="381" t="n">
        <v>1</v>
      </c>
      <c r="N289" s="381" t="n">
        <v>0</v>
      </c>
      <c r="O289" s="381" t="n">
        <v>0</v>
      </c>
      <c r="P289" s="359" t="n">
        <v>1</v>
      </c>
    </row>
    <row r="290" customFormat="false" ht="15" hidden="true" customHeight="false" outlineLevel="0" collapsed="false">
      <c r="B290" s="360" t="s">
        <v>2730</v>
      </c>
      <c r="C290" s="381" t="n">
        <v>1</v>
      </c>
      <c r="D290" s="381" t="n">
        <v>0</v>
      </c>
      <c r="E290" s="381" t="n">
        <v>0</v>
      </c>
      <c r="F290" s="359" t="n">
        <v>1</v>
      </c>
      <c r="G290" s="380" t="n">
        <v>0</v>
      </c>
      <c r="H290" s="358" t="n">
        <v>0</v>
      </c>
      <c r="I290" s="358" t="n">
        <v>0</v>
      </c>
      <c r="J290" s="358" t="n">
        <v>0</v>
      </c>
      <c r="K290" s="358" t="n">
        <v>0</v>
      </c>
      <c r="L290" s="358" t="n">
        <v>0</v>
      </c>
      <c r="M290" s="381" t="n">
        <v>1</v>
      </c>
      <c r="N290" s="381" t="n">
        <v>0</v>
      </c>
      <c r="O290" s="381" t="n">
        <v>0</v>
      </c>
      <c r="P290" s="359" t="n">
        <v>1</v>
      </c>
    </row>
    <row r="291" customFormat="false" ht="15" hidden="true" customHeight="false" outlineLevel="0" collapsed="false">
      <c r="B291" s="360" t="s">
        <v>2731</v>
      </c>
      <c r="C291" s="381" t="n">
        <v>1</v>
      </c>
      <c r="D291" s="381" t="n">
        <v>0</v>
      </c>
      <c r="E291" s="381" t="n">
        <v>0</v>
      </c>
      <c r="F291" s="359" t="n">
        <v>1</v>
      </c>
      <c r="G291" s="380" t="n">
        <v>0</v>
      </c>
      <c r="H291" s="358" t="n">
        <v>0</v>
      </c>
      <c r="I291" s="358" t="n">
        <v>0</v>
      </c>
      <c r="J291" s="358" t="n">
        <v>0</v>
      </c>
      <c r="K291" s="358" t="n">
        <v>0</v>
      </c>
      <c r="L291" s="358" t="n">
        <v>0</v>
      </c>
      <c r="M291" s="381" t="n">
        <v>1</v>
      </c>
      <c r="N291" s="381" t="n">
        <v>0</v>
      </c>
      <c r="O291" s="381" t="n">
        <v>0</v>
      </c>
      <c r="P291" s="359" t="n">
        <v>1</v>
      </c>
    </row>
    <row r="292" customFormat="false" ht="15" hidden="true" customHeight="false" outlineLevel="0" collapsed="false">
      <c r="B292" s="360" t="s">
        <v>2732</v>
      </c>
      <c r="C292" s="381" t="n">
        <v>1</v>
      </c>
      <c r="D292" s="381" t="n">
        <v>0</v>
      </c>
      <c r="E292" s="381" t="n">
        <v>0</v>
      </c>
      <c r="F292" s="359" t="n">
        <v>1</v>
      </c>
      <c r="G292" s="380" t="n">
        <v>0</v>
      </c>
      <c r="H292" s="358" t="n">
        <v>0</v>
      </c>
      <c r="I292" s="358" t="n">
        <v>0</v>
      </c>
      <c r="J292" s="358" t="n">
        <v>0</v>
      </c>
      <c r="K292" s="358" t="n">
        <v>0</v>
      </c>
      <c r="L292" s="358" t="n">
        <v>0</v>
      </c>
      <c r="M292" s="381" t="n">
        <v>1</v>
      </c>
      <c r="N292" s="381" t="n">
        <v>0</v>
      </c>
      <c r="O292" s="381" t="n">
        <v>0</v>
      </c>
      <c r="P292" s="359" t="n">
        <v>1</v>
      </c>
    </row>
    <row r="293" customFormat="false" ht="15" hidden="true" customHeight="false" outlineLevel="0" collapsed="false">
      <c r="B293" s="360" t="s">
        <v>2733</v>
      </c>
      <c r="C293" s="381" t="n">
        <v>1</v>
      </c>
      <c r="D293" s="381" t="n">
        <v>0</v>
      </c>
      <c r="E293" s="381" t="n">
        <v>0</v>
      </c>
      <c r="F293" s="359" t="n">
        <v>1</v>
      </c>
      <c r="G293" s="380" t="n">
        <v>0</v>
      </c>
      <c r="H293" s="358" t="n">
        <v>0</v>
      </c>
      <c r="I293" s="358" t="n">
        <v>0</v>
      </c>
      <c r="J293" s="358" t="n">
        <v>0</v>
      </c>
      <c r="K293" s="358" t="n">
        <v>0</v>
      </c>
      <c r="L293" s="358" t="n">
        <v>0</v>
      </c>
      <c r="M293" s="381" t="n">
        <v>1</v>
      </c>
      <c r="N293" s="381" t="n">
        <v>0</v>
      </c>
      <c r="O293" s="381" t="n">
        <v>0</v>
      </c>
      <c r="P293" s="359" t="n">
        <v>1</v>
      </c>
    </row>
    <row r="294" customFormat="false" ht="15" hidden="true" customHeight="false" outlineLevel="0" collapsed="false">
      <c r="B294" s="360" t="s">
        <v>2734</v>
      </c>
      <c r="C294" s="381" t="n">
        <v>1</v>
      </c>
      <c r="D294" s="381" t="n">
        <v>0</v>
      </c>
      <c r="E294" s="381" t="n">
        <v>0</v>
      </c>
      <c r="F294" s="359" t="n">
        <v>1</v>
      </c>
      <c r="G294" s="380" t="n">
        <v>0</v>
      </c>
      <c r="H294" s="358" t="n">
        <v>0</v>
      </c>
      <c r="I294" s="358" t="n">
        <v>0</v>
      </c>
      <c r="J294" s="358" t="n">
        <v>0</v>
      </c>
      <c r="K294" s="358" t="n">
        <v>0</v>
      </c>
      <c r="L294" s="358" t="n">
        <v>0</v>
      </c>
      <c r="M294" s="381" t="n">
        <v>1</v>
      </c>
      <c r="N294" s="381" t="n">
        <v>0</v>
      </c>
      <c r="O294" s="381" t="n">
        <v>0</v>
      </c>
      <c r="P294" s="359" t="n">
        <v>1</v>
      </c>
    </row>
    <row r="295" customFormat="false" ht="15" hidden="true" customHeight="false" outlineLevel="0" collapsed="false">
      <c r="B295" s="360" t="s">
        <v>3563</v>
      </c>
      <c r="C295" s="381" t="n">
        <v>0</v>
      </c>
      <c r="D295" s="381" t="n">
        <v>0</v>
      </c>
      <c r="E295" s="381" t="n">
        <v>0</v>
      </c>
      <c r="F295" s="359" t="n">
        <v>0</v>
      </c>
      <c r="G295" s="380" t="n">
        <v>0</v>
      </c>
      <c r="H295" s="358" t="n">
        <v>0</v>
      </c>
      <c r="I295" s="358" t="n">
        <v>0</v>
      </c>
      <c r="J295" s="358" t="n">
        <v>0</v>
      </c>
      <c r="K295" s="358" t="n">
        <v>0</v>
      </c>
      <c r="L295" s="358" t="n">
        <v>0</v>
      </c>
      <c r="M295" s="381" t="n">
        <v>0</v>
      </c>
      <c r="N295" s="381" t="n">
        <v>0</v>
      </c>
      <c r="O295" s="381" t="n">
        <v>0</v>
      </c>
      <c r="P295" s="359" t="n">
        <v>0</v>
      </c>
    </row>
    <row r="296" customFormat="false" ht="15" hidden="true" customHeight="false" outlineLevel="0" collapsed="false">
      <c r="B296" s="360" t="s">
        <v>2735</v>
      </c>
      <c r="C296" s="381" t="n">
        <v>1</v>
      </c>
      <c r="D296" s="381" t="n">
        <v>0</v>
      </c>
      <c r="E296" s="381" t="n">
        <v>0</v>
      </c>
      <c r="F296" s="359" t="n">
        <v>1</v>
      </c>
      <c r="G296" s="380" t="n">
        <v>0</v>
      </c>
      <c r="H296" s="358" t="n">
        <v>0</v>
      </c>
      <c r="I296" s="358" t="n">
        <v>0</v>
      </c>
      <c r="J296" s="358" t="n">
        <v>0</v>
      </c>
      <c r="K296" s="358" t="n">
        <v>0</v>
      </c>
      <c r="L296" s="358" t="n">
        <v>0</v>
      </c>
      <c r="M296" s="381" t="n">
        <v>1</v>
      </c>
      <c r="N296" s="381" t="n">
        <v>0</v>
      </c>
      <c r="O296" s="381" t="n">
        <v>0</v>
      </c>
      <c r="P296" s="359" t="n">
        <v>1</v>
      </c>
    </row>
    <row r="297" customFormat="false" ht="15" hidden="true" customHeight="false" outlineLevel="0" collapsed="false">
      <c r="B297" s="360" t="s">
        <v>2736</v>
      </c>
      <c r="C297" s="381" t="n">
        <v>1</v>
      </c>
      <c r="D297" s="381" t="n">
        <v>0</v>
      </c>
      <c r="E297" s="381" t="n">
        <v>0</v>
      </c>
      <c r="F297" s="359" t="n">
        <v>1</v>
      </c>
      <c r="G297" s="380" t="n">
        <v>0</v>
      </c>
      <c r="H297" s="358" t="n">
        <v>0</v>
      </c>
      <c r="I297" s="358" t="n">
        <v>0</v>
      </c>
      <c r="J297" s="358" t="n">
        <v>0</v>
      </c>
      <c r="K297" s="358" t="n">
        <v>0</v>
      </c>
      <c r="L297" s="358" t="n">
        <v>0</v>
      </c>
      <c r="M297" s="381" t="n">
        <v>1</v>
      </c>
      <c r="N297" s="381" t="n">
        <v>0</v>
      </c>
      <c r="O297" s="381" t="n">
        <v>0</v>
      </c>
      <c r="P297" s="359" t="n">
        <v>1</v>
      </c>
    </row>
    <row r="298" customFormat="false" ht="15" hidden="true" customHeight="false" outlineLevel="0" collapsed="false">
      <c r="B298" s="360" t="s">
        <v>2737</v>
      </c>
      <c r="C298" s="381" t="n">
        <v>1</v>
      </c>
      <c r="D298" s="381" t="n">
        <v>0</v>
      </c>
      <c r="E298" s="381" t="n">
        <v>0</v>
      </c>
      <c r="F298" s="359" t="n">
        <v>1</v>
      </c>
      <c r="G298" s="380" t="n">
        <v>0</v>
      </c>
      <c r="H298" s="358" t="n">
        <v>0</v>
      </c>
      <c r="I298" s="358" t="n">
        <v>0</v>
      </c>
      <c r="J298" s="358" t="n">
        <v>0</v>
      </c>
      <c r="K298" s="358" t="n">
        <v>0</v>
      </c>
      <c r="L298" s="358" t="n">
        <v>0</v>
      </c>
      <c r="M298" s="381" t="n">
        <v>1</v>
      </c>
      <c r="N298" s="381" t="n">
        <v>0</v>
      </c>
      <c r="O298" s="381" t="n">
        <v>0</v>
      </c>
      <c r="P298" s="359" t="n">
        <v>1</v>
      </c>
    </row>
    <row r="299" customFormat="false" ht="15" hidden="true" customHeight="false" outlineLevel="0" collapsed="false">
      <c r="B299" s="360" t="s">
        <v>2738</v>
      </c>
      <c r="C299" s="381" t="n">
        <v>1</v>
      </c>
      <c r="D299" s="381" t="n">
        <v>0</v>
      </c>
      <c r="E299" s="381" t="n">
        <v>0</v>
      </c>
      <c r="F299" s="359" t="n">
        <v>1</v>
      </c>
      <c r="G299" s="380" t="n">
        <v>0</v>
      </c>
      <c r="H299" s="358" t="n">
        <v>0</v>
      </c>
      <c r="I299" s="358" t="n">
        <v>0</v>
      </c>
      <c r="J299" s="358" t="n">
        <v>0</v>
      </c>
      <c r="K299" s="358" t="n">
        <v>0</v>
      </c>
      <c r="L299" s="358" t="n">
        <v>0</v>
      </c>
      <c r="M299" s="381" t="n">
        <v>1</v>
      </c>
      <c r="N299" s="381" t="n">
        <v>0</v>
      </c>
      <c r="O299" s="381" t="n">
        <v>0</v>
      </c>
      <c r="P299" s="359" t="n">
        <v>1</v>
      </c>
    </row>
    <row r="300" customFormat="false" ht="15" hidden="true" customHeight="false" outlineLevel="0" collapsed="false">
      <c r="B300" s="360" t="s">
        <v>2739</v>
      </c>
      <c r="C300" s="381" t="n">
        <v>1</v>
      </c>
      <c r="D300" s="381" t="n">
        <v>0</v>
      </c>
      <c r="E300" s="381" t="n">
        <v>0</v>
      </c>
      <c r="F300" s="359" t="n">
        <v>1</v>
      </c>
      <c r="G300" s="380" t="n">
        <v>0</v>
      </c>
      <c r="H300" s="358" t="n">
        <v>0</v>
      </c>
      <c r="I300" s="358" t="n">
        <v>0</v>
      </c>
      <c r="J300" s="358" t="n">
        <v>0</v>
      </c>
      <c r="K300" s="358" t="n">
        <v>0</v>
      </c>
      <c r="L300" s="358" t="n">
        <v>0</v>
      </c>
      <c r="M300" s="381" t="n">
        <v>1</v>
      </c>
      <c r="N300" s="381" t="n">
        <v>0</v>
      </c>
      <c r="O300" s="381" t="n">
        <v>0</v>
      </c>
      <c r="P300" s="359" t="n">
        <v>1</v>
      </c>
    </row>
    <row r="301" customFormat="false" ht="15" hidden="true" customHeight="false" outlineLevel="0" collapsed="false">
      <c r="B301" s="360" t="s">
        <v>2740</v>
      </c>
      <c r="C301" s="381" t="n">
        <v>1</v>
      </c>
      <c r="D301" s="381" t="n">
        <v>0</v>
      </c>
      <c r="E301" s="381" t="n">
        <v>0</v>
      </c>
      <c r="F301" s="359" t="n">
        <v>1</v>
      </c>
      <c r="G301" s="380" t="n">
        <v>0</v>
      </c>
      <c r="H301" s="358" t="n">
        <v>0</v>
      </c>
      <c r="I301" s="358" t="n">
        <v>0</v>
      </c>
      <c r="J301" s="358" t="n">
        <v>0</v>
      </c>
      <c r="K301" s="358" t="n">
        <v>0</v>
      </c>
      <c r="L301" s="358" t="n">
        <v>0</v>
      </c>
      <c r="M301" s="381" t="n">
        <v>1</v>
      </c>
      <c r="N301" s="381" t="n">
        <v>0</v>
      </c>
      <c r="O301" s="381" t="n">
        <v>0</v>
      </c>
      <c r="P301" s="359" t="n">
        <v>1</v>
      </c>
    </row>
    <row r="302" customFormat="false" ht="15" hidden="true" customHeight="false" outlineLevel="0" collapsed="false">
      <c r="B302" s="360" t="s">
        <v>2741</v>
      </c>
      <c r="C302" s="381" t="n">
        <v>1</v>
      </c>
      <c r="D302" s="381" t="n">
        <v>0</v>
      </c>
      <c r="E302" s="381" t="n">
        <v>0</v>
      </c>
      <c r="F302" s="359" t="n">
        <v>1</v>
      </c>
      <c r="G302" s="380" t="n">
        <v>0</v>
      </c>
      <c r="H302" s="358" t="n">
        <v>0</v>
      </c>
      <c r="I302" s="358" t="n">
        <v>0</v>
      </c>
      <c r="J302" s="358" t="n">
        <v>0</v>
      </c>
      <c r="K302" s="358" t="n">
        <v>0</v>
      </c>
      <c r="L302" s="358" t="n">
        <v>0</v>
      </c>
      <c r="M302" s="381" t="n">
        <v>1</v>
      </c>
      <c r="N302" s="381" t="n">
        <v>0</v>
      </c>
      <c r="O302" s="381" t="n">
        <v>0</v>
      </c>
      <c r="P302" s="359" t="n">
        <v>1</v>
      </c>
    </row>
    <row r="303" customFormat="false" ht="15" hidden="true" customHeight="false" outlineLevel="0" collapsed="false">
      <c r="B303" s="360" t="s">
        <v>2742</v>
      </c>
      <c r="C303" s="381" t="n">
        <v>1</v>
      </c>
      <c r="D303" s="381" t="n">
        <v>0</v>
      </c>
      <c r="E303" s="381" t="n">
        <v>0</v>
      </c>
      <c r="F303" s="359" t="n">
        <v>1</v>
      </c>
      <c r="G303" s="380" t="n">
        <v>0</v>
      </c>
      <c r="H303" s="358" t="n">
        <v>0</v>
      </c>
      <c r="I303" s="358" t="n">
        <v>0</v>
      </c>
      <c r="J303" s="358" t="n">
        <v>0</v>
      </c>
      <c r="K303" s="358" t="n">
        <v>0</v>
      </c>
      <c r="L303" s="358" t="n">
        <v>0</v>
      </c>
      <c r="M303" s="381" t="n">
        <v>1</v>
      </c>
      <c r="N303" s="381" t="n">
        <v>0</v>
      </c>
      <c r="O303" s="381" t="n">
        <v>0</v>
      </c>
      <c r="P303" s="359" t="n">
        <v>1</v>
      </c>
    </row>
    <row r="304" customFormat="false" ht="15" hidden="true" customHeight="false" outlineLevel="0" collapsed="false">
      <c r="B304" s="360" t="s">
        <v>2743</v>
      </c>
      <c r="C304" s="381" t="n">
        <v>1</v>
      </c>
      <c r="D304" s="381" t="n">
        <v>0</v>
      </c>
      <c r="E304" s="381" t="n">
        <v>0</v>
      </c>
      <c r="F304" s="359" t="n">
        <v>1</v>
      </c>
      <c r="G304" s="380" t="n">
        <v>0</v>
      </c>
      <c r="H304" s="358" t="n">
        <v>0</v>
      </c>
      <c r="I304" s="358" t="n">
        <v>0</v>
      </c>
      <c r="J304" s="358" t="n">
        <v>0</v>
      </c>
      <c r="K304" s="358" t="n">
        <v>0</v>
      </c>
      <c r="L304" s="358" t="n">
        <v>0</v>
      </c>
      <c r="M304" s="381" t="n">
        <v>1</v>
      </c>
      <c r="N304" s="381" t="n">
        <v>0</v>
      </c>
      <c r="O304" s="381" t="n">
        <v>0</v>
      </c>
      <c r="P304" s="359" t="n">
        <v>1</v>
      </c>
    </row>
    <row r="305" customFormat="false" ht="15" hidden="true" customHeight="false" outlineLevel="0" collapsed="false">
      <c r="B305" s="360" t="s">
        <v>2744</v>
      </c>
      <c r="C305" s="381" t="n">
        <v>1</v>
      </c>
      <c r="D305" s="381" t="n">
        <v>0</v>
      </c>
      <c r="E305" s="381" t="n">
        <v>0</v>
      </c>
      <c r="F305" s="359" t="n">
        <v>1</v>
      </c>
      <c r="G305" s="380" t="n">
        <v>0</v>
      </c>
      <c r="H305" s="358" t="n">
        <v>0</v>
      </c>
      <c r="I305" s="358" t="n">
        <v>0</v>
      </c>
      <c r="J305" s="358" t="n">
        <v>0</v>
      </c>
      <c r="K305" s="358" t="n">
        <v>0</v>
      </c>
      <c r="L305" s="358" t="n">
        <v>0</v>
      </c>
      <c r="M305" s="381" t="n">
        <v>1</v>
      </c>
      <c r="N305" s="381" t="n">
        <v>0</v>
      </c>
      <c r="O305" s="381" t="n">
        <v>0</v>
      </c>
      <c r="P305" s="359" t="n">
        <v>1</v>
      </c>
    </row>
    <row r="306" customFormat="false" ht="15" hidden="true" customHeight="false" outlineLevel="0" collapsed="false">
      <c r="B306" s="360" t="s">
        <v>2745</v>
      </c>
      <c r="C306" s="381" t="n">
        <v>1</v>
      </c>
      <c r="D306" s="381" t="n">
        <v>0</v>
      </c>
      <c r="E306" s="381" t="n">
        <v>0</v>
      </c>
      <c r="F306" s="359" t="n">
        <v>1</v>
      </c>
      <c r="G306" s="380" t="n">
        <v>0</v>
      </c>
      <c r="H306" s="358" t="n">
        <v>0</v>
      </c>
      <c r="I306" s="358" t="n">
        <v>0</v>
      </c>
      <c r="J306" s="358" t="n">
        <v>0</v>
      </c>
      <c r="K306" s="358" t="n">
        <v>0</v>
      </c>
      <c r="L306" s="358" t="n">
        <v>0</v>
      </c>
      <c r="M306" s="381" t="n">
        <v>1</v>
      </c>
      <c r="N306" s="381" t="n">
        <v>0</v>
      </c>
      <c r="O306" s="381" t="n">
        <v>0</v>
      </c>
      <c r="P306" s="359" t="n">
        <v>1</v>
      </c>
    </row>
    <row r="307" customFormat="false" ht="15" hidden="true" customHeight="false" outlineLevel="0" collapsed="false">
      <c r="B307" s="360" t="s">
        <v>2746</v>
      </c>
      <c r="C307" s="381" t="n">
        <v>1</v>
      </c>
      <c r="D307" s="381" t="n">
        <v>0</v>
      </c>
      <c r="E307" s="381" t="n">
        <v>0</v>
      </c>
      <c r="F307" s="359" t="n">
        <v>1</v>
      </c>
      <c r="G307" s="380" t="n">
        <v>0</v>
      </c>
      <c r="H307" s="358" t="n">
        <v>0</v>
      </c>
      <c r="I307" s="358" t="n">
        <v>0</v>
      </c>
      <c r="J307" s="358" t="n">
        <v>0</v>
      </c>
      <c r="K307" s="358" t="n">
        <v>0</v>
      </c>
      <c r="L307" s="358" t="n">
        <v>0</v>
      </c>
      <c r="M307" s="381" t="n">
        <v>1</v>
      </c>
      <c r="N307" s="381" t="n">
        <v>0</v>
      </c>
      <c r="O307" s="381" t="n">
        <v>0</v>
      </c>
      <c r="P307" s="359" t="n">
        <v>1</v>
      </c>
    </row>
    <row r="308" customFormat="false" ht="15" hidden="true" customHeight="false" outlineLevel="0" collapsed="false">
      <c r="B308" s="360" t="s">
        <v>2747</v>
      </c>
      <c r="C308" s="381" t="n">
        <v>1</v>
      </c>
      <c r="D308" s="381" t="n">
        <v>0</v>
      </c>
      <c r="E308" s="381" t="n">
        <v>0</v>
      </c>
      <c r="F308" s="359" t="n">
        <v>1</v>
      </c>
      <c r="G308" s="380" t="n">
        <v>0</v>
      </c>
      <c r="H308" s="358" t="n">
        <v>0</v>
      </c>
      <c r="I308" s="358" t="n">
        <v>0</v>
      </c>
      <c r="J308" s="358" t="n">
        <v>0</v>
      </c>
      <c r="K308" s="358" t="n">
        <v>0</v>
      </c>
      <c r="L308" s="358" t="n">
        <v>0</v>
      </c>
      <c r="M308" s="381" t="n">
        <v>1</v>
      </c>
      <c r="N308" s="381" t="n">
        <v>0</v>
      </c>
      <c r="O308" s="381" t="n">
        <v>0</v>
      </c>
      <c r="P308" s="359" t="n">
        <v>1</v>
      </c>
    </row>
    <row r="309" customFormat="false" ht="15" hidden="true" customHeight="false" outlineLevel="0" collapsed="false">
      <c r="B309" s="360" t="s">
        <v>2748</v>
      </c>
      <c r="C309" s="381" t="n">
        <v>1</v>
      </c>
      <c r="D309" s="381" t="n">
        <v>0</v>
      </c>
      <c r="E309" s="381" t="n">
        <v>0</v>
      </c>
      <c r="F309" s="359" t="n">
        <v>1</v>
      </c>
      <c r="G309" s="380" t="n">
        <v>0</v>
      </c>
      <c r="H309" s="358" t="n">
        <v>0</v>
      </c>
      <c r="I309" s="358" t="n">
        <v>0</v>
      </c>
      <c r="J309" s="358" t="n">
        <v>0</v>
      </c>
      <c r="K309" s="358" t="n">
        <v>0</v>
      </c>
      <c r="L309" s="358" t="n">
        <v>0</v>
      </c>
      <c r="M309" s="381" t="n">
        <v>1</v>
      </c>
      <c r="N309" s="381" t="n">
        <v>0</v>
      </c>
      <c r="O309" s="381" t="n">
        <v>0</v>
      </c>
      <c r="P309" s="359" t="n">
        <v>1</v>
      </c>
    </row>
    <row r="310" customFormat="false" ht="15" hidden="true" customHeight="false" outlineLevel="0" collapsed="false">
      <c r="B310" s="360" t="s">
        <v>2749</v>
      </c>
      <c r="C310" s="381" t="n">
        <v>1</v>
      </c>
      <c r="D310" s="381" t="n">
        <v>0</v>
      </c>
      <c r="E310" s="381" t="n">
        <v>0</v>
      </c>
      <c r="F310" s="359" t="n">
        <v>1</v>
      </c>
      <c r="G310" s="380" t="n">
        <v>0</v>
      </c>
      <c r="H310" s="358" t="n">
        <v>0</v>
      </c>
      <c r="I310" s="358" t="n">
        <v>0</v>
      </c>
      <c r="J310" s="358" t="n">
        <v>0</v>
      </c>
      <c r="K310" s="358" t="n">
        <v>0</v>
      </c>
      <c r="L310" s="358" t="n">
        <v>0</v>
      </c>
      <c r="M310" s="381" t="n">
        <v>1</v>
      </c>
      <c r="N310" s="381" t="n">
        <v>0</v>
      </c>
      <c r="O310" s="381" t="n">
        <v>0</v>
      </c>
      <c r="P310" s="359" t="n">
        <v>1</v>
      </c>
    </row>
    <row r="311" customFormat="false" ht="15" hidden="true" customHeight="false" outlineLevel="0" collapsed="false">
      <c r="B311" s="360" t="s">
        <v>2750</v>
      </c>
      <c r="C311" s="381" t="n">
        <v>1</v>
      </c>
      <c r="D311" s="381" t="n">
        <v>0</v>
      </c>
      <c r="E311" s="381" t="n">
        <v>0</v>
      </c>
      <c r="F311" s="359" t="n">
        <v>1</v>
      </c>
      <c r="G311" s="380" t="n">
        <v>0</v>
      </c>
      <c r="H311" s="358" t="n">
        <v>0</v>
      </c>
      <c r="I311" s="358" t="n">
        <v>0</v>
      </c>
      <c r="J311" s="358" t="n">
        <v>0</v>
      </c>
      <c r="K311" s="358" t="n">
        <v>0</v>
      </c>
      <c r="L311" s="358" t="n">
        <v>0</v>
      </c>
      <c r="M311" s="381" t="n">
        <v>1</v>
      </c>
      <c r="N311" s="381" t="n">
        <v>0</v>
      </c>
      <c r="O311" s="381" t="n">
        <v>0</v>
      </c>
      <c r="P311" s="359" t="n">
        <v>1</v>
      </c>
    </row>
    <row r="312" customFormat="false" ht="15" hidden="true" customHeight="false" outlineLevel="0" collapsed="false">
      <c r="B312" s="360" t="s">
        <v>2751</v>
      </c>
      <c r="C312" s="381" t="n">
        <v>1</v>
      </c>
      <c r="D312" s="381" t="n">
        <v>0</v>
      </c>
      <c r="E312" s="381" t="n">
        <v>0</v>
      </c>
      <c r="F312" s="359" t="n">
        <v>1</v>
      </c>
      <c r="G312" s="380" t="n">
        <v>0</v>
      </c>
      <c r="H312" s="358" t="n">
        <v>0</v>
      </c>
      <c r="I312" s="358" t="n">
        <v>0</v>
      </c>
      <c r="J312" s="358" t="n">
        <v>0</v>
      </c>
      <c r="K312" s="358" t="n">
        <v>0</v>
      </c>
      <c r="L312" s="358" t="n">
        <v>0</v>
      </c>
      <c r="M312" s="381" t="n">
        <v>1</v>
      </c>
      <c r="N312" s="381" t="n">
        <v>0</v>
      </c>
      <c r="O312" s="381" t="n">
        <v>0</v>
      </c>
      <c r="P312" s="359" t="n">
        <v>1</v>
      </c>
    </row>
    <row r="313" customFormat="false" ht="15" hidden="true" customHeight="false" outlineLevel="0" collapsed="false">
      <c r="B313" s="360" t="s">
        <v>2752</v>
      </c>
      <c r="C313" s="381" t="n">
        <v>1</v>
      </c>
      <c r="D313" s="381" t="n">
        <v>0</v>
      </c>
      <c r="E313" s="381" t="n">
        <v>0</v>
      </c>
      <c r="F313" s="359" t="n">
        <v>1</v>
      </c>
      <c r="G313" s="380" t="n">
        <v>0</v>
      </c>
      <c r="H313" s="358" t="n">
        <v>0</v>
      </c>
      <c r="I313" s="358" t="n">
        <v>0</v>
      </c>
      <c r="J313" s="358" t="n">
        <v>0</v>
      </c>
      <c r="K313" s="358" t="n">
        <v>0</v>
      </c>
      <c r="L313" s="358" t="n">
        <v>0</v>
      </c>
      <c r="M313" s="381" t="n">
        <v>1</v>
      </c>
      <c r="N313" s="381" t="n">
        <v>0</v>
      </c>
      <c r="O313" s="381" t="n">
        <v>0</v>
      </c>
      <c r="P313" s="359" t="n">
        <v>1</v>
      </c>
    </row>
    <row r="314" customFormat="false" ht="15" hidden="true" customHeight="false" outlineLevel="0" collapsed="false">
      <c r="B314" s="360" t="s">
        <v>2753</v>
      </c>
      <c r="C314" s="381" t="n">
        <v>1</v>
      </c>
      <c r="D314" s="381" t="n">
        <v>0</v>
      </c>
      <c r="E314" s="381" t="n">
        <v>0</v>
      </c>
      <c r="F314" s="359" t="n">
        <v>1</v>
      </c>
      <c r="G314" s="380" t="n">
        <v>0</v>
      </c>
      <c r="H314" s="358" t="n">
        <v>0</v>
      </c>
      <c r="I314" s="358" t="n">
        <v>0</v>
      </c>
      <c r="J314" s="358" t="n">
        <v>0</v>
      </c>
      <c r="K314" s="358" t="n">
        <v>0</v>
      </c>
      <c r="L314" s="358" t="n">
        <v>0</v>
      </c>
      <c r="M314" s="381" t="n">
        <v>1</v>
      </c>
      <c r="N314" s="381" t="n">
        <v>0</v>
      </c>
      <c r="O314" s="381" t="n">
        <v>0</v>
      </c>
      <c r="P314" s="359" t="n">
        <v>1</v>
      </c>
    </row>
    <row r="315" customFormat="false" ht="15" hidden="true" customHeight="false" outlineLevel="0" collapsed="false">
      <c r="B315" s="360" t="s">
        <v>2754</v>
      </c>
      <c r="C315" s="381" t="n">
        <v>1</v>
      </c>
      <c r="D315" s="381" t="n">
        <v>0</v>
      </c>
      <c r="E315" s="381" t="n">
        <v>0</v>
      </c>
      <c r="F315" s="359" t="n">
        <v>1</v>
      </c>
      <c r="G315" s="380" t="n">
        <v>0</v>
      </c>
      <c r="H315" s="358" t="n">
        <v>0</v>
      </c>
      <c r="I315" s="358" t="n">
        <v>0</v>
      </c>
      <c r="J315" s="358" t="n">
        <v>0</v>
      </c>
      <c r="K315" s="358" t="n">
        <v>0</v>
      </c>
      <c r="L315" s="358" t="n">
        <v>0</v>
      </c>
      <c r="M315" s="381" t="n">
        <v>1</v>
      </c>
      <c r="N315" s="381" t="n">
        <v>0</v>
      </c>
      <c r="O315" s="381" t="n">
        <v>0</v>
      </c>
      <c r="P315" s="359" t="n">
        <v>1</v>
      </c>
    </row>
    <row r="316" customFormat="false" ht="15" hidden="true" customHeight="false" outlineLevel="0" collapsed="false">
      <c r="B316" s="360" t="s">
        <v>2755</v>
      </c>
      <c r="C316" s="381" t="n">
        <v>1</v>
      </c>
      <c r="D316" s="381" t="n">
        <v>0</v>
      </c>
      <c r="E316" s="381" t="n">
        <v>0</v>
      </c>
      <c r="F316" s="359" t="n">
        <v>1</v>
      </c>
      <c r="G316" s="380" t="n">
        <v>0</v>
      </c>
      <c r="H316" s="358" t="n">
        <v>0</v>
      </c>
      <c r="I316" s="358" t="n">
        <v>0</v>
      </c>
      <c r="J316" s="358" t="n">
        <v>0</v>
      </c>
      <c r="K316" s="358" t="n">
        <v>0</v>
      </c>
      <c r="L316" s="358" t="n">
        <v>0</v>
      </c>
      <c r="M316" s="381" t="n">
        <v>1</v>
      </c>
      <c r="N316" s="381" t="n">
        <v>0</v>
      </c>
      <c r="O316" s="381" t="n">
        <v>0</v>
      </c>
      <c r="P316" s="359" t="n">
        <v>1</v>
      </c>
    </row>
    <row r="317" customFormat="false" ht="15" hidden="true" customHeight="false" outlineLevel="0" collapsed="false">
      <c r="B317" s="360" t="s">
        <v>2756</v>
      </c>
      <c r="C317" s="381" t="n">
        <v>1</v>
      </c>
      <c r="D317" s="381" t="n">
        <v>0</v>
      </c>
      <c r="E317" s="381" t="n">
        <v>0</v>
      </c>
      <c r="F317" s="359" t="n">
        <v>1</v>
      </c>
      <c r="G317" s="380" t="n">
        <v>0</v>
      </c>
      <c r="H317" s="358" t="n">
        <v>0</v>
      </c>
      <c r="I317" s="358" t="n">
        <v>0</v>
      </c>
      <c r="J317" s="358" t="n">
        <v>0</v>
      </c>
      <c r="K317" s="358" t="n">
        <v>0</v>
      </c>
      <c r="L317" s="358" t="n">
        <v>0</v>
      </c>
      <c r="M317" s="381" t="n">
        <v>1</v>
      </c>
      <c r="N317" s="381" t="n">
        <v>0</v>
      </c>
      <c r="O317" s="381" t="n">
        <v>0</v>
      </c>
      <c r="P317" s="359" t="n">
        <v>1</v>
      </c>
    </row>
    <row r="318" customFormat="false" ht="15" hidden="true" customHeight="false" outlineLevel="0" collapsed="false">
      <c r="B318" s="360" t="s">
        <v>2757</v>
      </c>
      <c r="C318" s="381" t="n">
        <v>1</v>
      </c>
      <c r="D318" s="381" t="n">
        <v>0</v>
      </c>
      <c r="E318" s="381" t="n">
        <v>0</v>
      </c>
      <c r="F318" s="359" t="n">
        <v>1</v>
      </c>
      <c r="G318" s="380" t="n">
        <v>0</v>
      </c>
      <c r="H318" s="358" t="n">
        <v>0</v>
      </c>
      <c r="I318" s="358" t="n">
        <v>0</v>
      </c>
      <c r="J318" s="358" t="n">
        <v>0</v>
      </c>
      <c r="K318" s="358" t="n">
        <v>0</v>
      </c>
      <c r="L318" s="358" t="n">
        <v>0</v>
      </c>
      <c r="M318" s="381" t="n">
        <v>1</v>
      </c>
      <c r="N318" s="381" t="n">
        <v>0</v>
      </c>
      <c r="O318" s="381" t="n">
        <v>0</v>
      </c>
      <c r="P318" s="359" t="n">
        <v>1</v>
      </c>
    </row>
    <row r="319" customFormat="false" ht="15" hidden="true" customHeight="false" outlineLevel="0" collapsed="false">
      <c r="B319" s="360" t="s">
        <v>2758</v>
      </c>
      <c r="C319" s="381" t="n">
        <v>1</v>
      </c>
      <c r="D319" s="381" t="n">
        <v>0</v>
      </c>
      <c r="E319" s="381" t="n">
        <v>0</v>
      </c>
      <c r="F319" s="359" t="n">
        <v>1</v>
      </c>
      <c r="G319" s="380" t="n">
        <v>0</v>
      </c>
      <c r="H319" s="358" t="n">
        <v>0</v>
      </c>
      <c r="I319" s="358" t="n">
        <v>0</v>
      </c>
      <c r="J319" s="358" t="n">
        <v>0</v>
      </c>
      <c r="K319" s="358" t="n">
        <v>0</v>
      </c>
      <c r="L319" s="358" t="n">
        <v>0</v>
      </c>
      <c r="M319" s="381" t="n">
        <v>1</v>
      </c>
      <c r="N319" s="381" t="n">
        <v>0</v>
      </c>
      <c r="O319" s="381" t="n">
        <v>0</v>
      </c>
      <c r="P319" s="359" t="n">
        <v>1</v>
      </c>
    </row>
    <row r="320" customFormat="false" ht="15" hidden="true" customHeight="false" outlineLevel="0" collapsed="false">
      <c r="B320" s="360" t="s">
        <v>2759</v>
      </c>
      <c r="C320" s="381" t="n">
        <v>1</v>
      </c>
      <c r="D320" s="381" t="n">
        <v>0</v>
      </c>
      <c r="E320" s="381" t="n">
        <v>0</v>
      </c>
      <c r="F320" s="359" t="n">
        <v>1</v>
      </c>
      <c r="G320" s="380" t="n">
        <v>0</v>
      </c>
      <c r="H320" s="358" t="n">
        <v>0</v>
      </c>
      <c r="I320" s="358" t="n">
        <v>0</v>
      </c>
      <c r="J320" s="358" t="n">
        <v>0</v>
      </c>
      <c r="K320" s="358" t="n">
        <v>0</v>
      </c>
      <c r="L320" s="358" t="n">
        <v>0</v>
      </c>
      <c r="M320" s="381" t="n">
        <v>1</v>
      </c>
      <c r="N320" s="381" t="n">
        <v>0</v>
      </c>
      <c r="O320" s="381" t="n">
        <v>0</v>
      </c>
      <c r="P320" s="359" t="n">
        <v>1</v>
      </c>
    </row>
    <row r="321" customFormat="false" ht="15" hidden="true" customHeight="false" outlineLevel="0" collapsed="false">
      <c r="B321" s="360" t="s">
        <v>2760</v>
      </c>
      <c r="C321" s="381" t="n">
        <v>1</v>
      </c>
      <c r="D321" s="381" t="n">
        <v>0</v>
      </c>
      <c r="E321" s="381" t="n">
        <v>0</v>
      </c>
      <c r="F321" s="359" t="n">
        <v>1</v>
      </c>
      <c r="G321" s="380" t="n">
        <v>0</v>
      </c>
      <c r="H321" s="358" t="n">
        <v>0</v>
      </c>
      <c r="I321" s="358" t="n">
        <v>0</v>
      </c>
      <c r="J321" s="358" t="n">
        <v>0</v>
      </c>
      <c r="K321" s="358" t="n">
        <v>0</v>
      </c>
      <c r="L321" s="358" t="n">
        <v>0</v>
      </c>
      <c r="M321" s="381" t="n">
        <v>1</v>
      </c>
      <c r="N321" s="381" t="n">
        <v>0</v>
      </c>
      <c r="O321" s="381" t="n">
        <v>0</v>
      </c>
      <c r="P321" s="359" t="n">
        <v>1</v>
      </c>
    </row>
    <row r="322" customFormat="false" ht="15" hidden="true" customHeight="false" outlineLevel="0" collapsed="false">
      <c r="B322" s="360" t="s">
        <v>2761</v>
      </c>
      <c r="C322" s="381" t="n">
        <v>1</v>
      </c>
      <c r="D322" s="381" t="n">
        <v>0</v>
      </c>
      <c r="E322" s="381" t="n">
        <v>0</v>
      </c>
      <c r="F322" s="359" t="n">
        <v>1</v>
      </c>
      <c r="G322" s="380" t="n">
        <v>0</v>
      </c>
      <c r="H322" s="358" t="n">
        <v>0</v>
      </c>
      <c r="I322" s="358" t="n">
        <v>0</v>
      </c>
      <c r="J322" s="358" t="n">
        <v>0</v>
      </c>
      <c r="K322" s="358" t="n">
        <v>0</v>
      </c>
      <c r="L322" s="358" t="n">
        <v>0</v>
      </c>
      <c r="M322" s="381" t="n">
        <v>1</v>
      </c>
      <c r="N322" s="381" t="n">
        <v>0</v>
      </c>
      <c r="O322" s="381" t="n">
        <v>0</v>
      </c>
      <c r="P322" s="359" t="n">
        <v>1</v>
      </c>
    </row>
    <row r="323" customFormat="false" ht="15" hidden="true" customHeight="false" outlineLevel="0" collapsed="false">
      <c r="B323" s="360" t="s">
        <v>2762</v>
      </c>
      <c r="C323" s="381" t="n">
        <v>1</v>
      </c>
      <c r="D323" s="381" t="n">
        <v>0</v>
      </c>
      <c r="E323" s="381" t="n">
        <v>0</v>
      </c>
      <c r="F323" s="359" t="n">
        <v>1</v>
      </c>
      <c r="G323" s="380" t="n">
        <v>0</v>
      </c>
      <c r="H323" s="358" t="n">
        <v>0</v>
      </c>
      <c r="I323" s="358" t="n">
        <v>0</v>
      </c>
      <c r="J323" s="358" t="n">
        <v>0</v>
      </c>
      <c r="K323" s="358" t="n">
        <v>0</v>
      </c>
      <c r="L323" s="358" t="n">
        <v>0</v>
      </c>
      <c r="M323" s="381" t="n">
        <v>1</v>
      </c>
      <c r="N323" s="381" t="n">
        <v>0</v>
      </c>
      <c r="O323" s="381" t="n">
        <v>0</v>
      </c>
      <c r="P323" s="359" t="n">
        <v>1</v>
      </c>
    </row>
    <row r="324" customFormat="false" ht="15" hidden="true" customHeight="false" outlineLevel="0" collapsed="false">
      <c r="B324" s="360" t="s">
        <v>2763</v>
      </c>
      <c r="C324" s="381" t="n">
        <v>1</v>
      </c>
      <c r="D324" s="381" t="n">
        <v>0</v>
      </c>
      <c r="E324" s="381" t="n">
        <v>0</v>
      </c>
      <c r="F324" s="359" t="n">
        <v>1</v>
      </c>
      <c r="G324" s="380" t="n">
        <v>0</v>
      </c>
      <c r="H324" s="358" t="n">
        <v>0</v>
      </c>
      <c r="I324" s="358" t="n">
        <v>0</v>
      </c>
      <c r="J324" s="358" t="n">
        <v>0</v>
      </c>
      <c r="K324" s="358" t="n">
        <v>0</v>
      </c>
      <c r="L324" s="358" t="n">
        <v>0</v>
      </c>
      <c r="M324" s="381" t="n">
        <v>1</v>
      </c>
      <c r="N324" s="381" t="n">
        <v>0</v>
      </c>
      <c r="O324" s="381" t="n">
        <v>0</v>
      </c>
      <c r="P324" s="359" t="n">
        <v>1</v>
      </c>
    </row>
    <row r="325" customFormat="false" ht="15" hidden="true" customHeight="false" outlineLevel="0" collapsed="false">
      <c r="B325" s="360" t="s">
        <v>2764</v>
      </c>
      <c r="C325" s="381" t="n">
        <v>1</v>
      </c>
      <c r="D325" s="381" t="n">
        <v>0</v>
      </c>
      <c r="E325" s="381" t="n">
        <v>0</v>
      </c>
      <c r="F325" s="359" t="n">
        <v>1</v>
      </c>
      <c r="G325" s="380" t="n">
        <v>0</v>
      </c>
      <c r="H325" s="358" t="n">
        <v>0</v>
      </c>
      <c r="I325" s="358" t="n">
        <v>0</v>
      </c>
      <c r="J325" s="358" t="n">
        <v>0</v>
      </c>
      <c r="K325" s="358" t="n">
        <v>0</v>
      </c>
      <c r="L325" s="358" t="n">
        <v>0</v>
      </c>
      <c r="M325" s="381" t="n">
        <v>1</v>
      </c>
      <c r="N325" s="381" t="n">
        <v>0</v>
      </c>
      <c r="O325" s="381" t="n">
        <v>0</v>
      </c>
      <c r="P325" s="359" t="n">
        <v>1</v>
      </c>
    </row>
    <row r="326" customFormat="false" ht="15" hidden="true" customHeight="false" outlineLevel="0" collapsed="false">
      <c r="B326" s="360" t="s">
        <v>2765</v>
      </c>
      <c r="C326" s="381" t="n">
        <v>1</v>
      </c>
      <c r="D326" s="381" t="n">
        <v>0</v>
      </c>
      <c r="E326" s="381" t="n">
        <v>0</v>
      </c>
      <c r="F326" s="359" t="n">
        <v>1</v>
      </c>
      <c r="G326" s="380" t="n">
        <v>0</v>
      </c>
      <c r="H326" s="358" t="n">
        <v>0</v>
      </c>
      <c r="I326" s="358" t="n">
        <v>0</v>
      </c>
      <c r="J326" s="358" t="n">
        <v>0</v>
      </c>
      <c r="K326" s="358" t="n">
        <v>0</v>
      </c>
      <c r="L326" s="358" t="n">
        <v>0</v>
      </c>
      <c r="M326" s="381" t="n">
        <v>1</v>
      </c>
      <c r="N326" s="381" t="n">
        <v>0</v>
      </c>
      <c r="O326" s="381" t="n">
        <v>0</v>
      </c>
      <c r="P326" s="359" t="n">
        <v>1</v>
      </c>
    </row>
    <row r="327" customFormat="false" ht="15" hidden="true" customHeight="false" outlineLevel="0" collapsed="false">
      <c r="B327" s="360" t="s">
        <v>2766</v>
      </c>
      <c r="C327" s="381" t="n">
        <v>1</v>
      </c>
      <c r="D327" s="381" t="n">
        <v>0</v>
      </c>
      <c r="E327" s="381" t="n">
        <v>0</v>
      </c>
      <c r="F327" s="359" t="n">
        <v>1</v>
      </c>
      <c r="G327" s="380" t="n">
        <v>0</v>
      </c>
      <c r="H327" s="358" t="n">
        <v>0</v>
      </c>
      <c r="I327" s="358" t="n">
        <v>0</v>
      </c>
      <c r="J327" s="358" t="n">
        <v>0</v>
      </c>
      <c r="K327" s="358" t="n">
        <v>0</v>
      </c>
      <c r="L327" s="358" t="n">
        <v>0</v>
      </c>
      <c r="M327" s="381" t="n">
        <v>1</v>
      </c>
      <c r="N327" s="381" t="n">
        <v>0</v>
      </c>
      <c r="O327" s="381" t="n">
        <v>0</v>
      </c>
      <c r="P327" s="359" t="n">
        <v>1</v>
      </c>
    </row>
    <row r="328" customFormat="false" ht="15" hidden="true" customHeight="false" outlineLevel="0" collapsed="false">
      <c r="B328" s="360" t="s">
        <v>2767</v>
      </c>
      <c r="C328" s="381" t="n">
        <v>1</v>
      </c>
      <c r="D328" s="381" t="n">
        <v>0</v>
      </c>
      <c r="E328" s="381" t="n">
        <v>0</v>
      </c>
      <c r="F328" s="359" t="n">
        <v>1</v>
      </c>
      <c r="G328" s="380" t="n">
        <v>0</v>
      </c>
      <c r="H328" s="358" t="n">
        <v>0</v>
      </c>
      <c r="I328" s="358" t="n">
        <v>0</v>
      </c>
      <c r="J328" s="358" t="n">
        <v>0</v>
      </c>
      <c r="K328" s="358" t="n">
        <v>0</v>
      </c>
      <c r="L328" s="358" t="n">
        <v>0</v>
      </c>
      <c r="M328" s="381" t="n">
        <v>1</v>
      </c>
      <c r="N328" s="381" t="n">
        <v>0</v>
      </c>
      <c r="O328" s="381" t="n">
        <v>0</v>
      </c>
      <c r="P328" s="359" t="n">
        <v>1</v>
      </c>
    </row>
    <row r="329" customFormat="false" ht="15" hidden="true" customHeight="false" outlineLevel="0" collapsed="false">
      <c r="B329" s="360" t="s">
        <v>2768</v>
      </c>
      <c r="C329" s="381" t="n">
        <v>1</v>
      </c>
      <c r="D329" s="381" t="n">
        <v>0</v>
      </c>
      <c r="E329" s="381" t="n">
        <v>0</v>
      </c>
      <c r="F329" s="359" t="n">
        <v>1</v>
      </c>
      <c r="G329" s="380" t="n">
        <v>0</v>
      </c>
      <c r="H329" s="358" t="n">
        <v>0</v>
      </c>
      <c r="I329" s="358" t="n">
        <v>0</v>
      </c>
      <c r="J329" s="358" t="n">
        <v>0</v>
      </c>
      <c r="K329" s="358" t="n">
        <v>0</v>
      </c>
      <c r="L329" s="358" t="n">
        <v>0</v>
      </c>
      <c r="M329" s="381" t="n">
        <v>1</v>
      </c>
      <c r="N329" s="381" t="n">
        <v>0</v>
      </c>
      <c r="O329" s="381" t="n">
        <v>0</v>
      </c>
      <c r="P329" s="359" t="n">
        <v>1</v>
      </c>
    </row>
    <row r="330" customFormat="false" ht="15" hidden="true" customHeight="false" outlineLevel="0" collapsed="false">
      <c r="B330" s="360" t="s">
        <v>2769</v>
      </c>
      <c r="C330" s="381" t="n">
        <v>1</v>
      </c>
      <c r="D330" s="381" t="n">
        <v>0</v>
      </c>
      <c r="E330" s="381" t="n">
        <v>0</v>
      </c>
      <c r="F330" s="359" t="n">
        <v>1</v>
      </c>
      <c r="G330" s="380" t="n">
        <v>0</v>
      </c>
      <c r="H330" s="358" t="n">
        <v>0</v>
      </c>
      <c r="I330" s="358" t="n">
        <v>0</v>
      </c>
      <c r="J330" s="358" t="n">
        <v>0</v>
      </c>
      <c r="K330" s="358" t="n">
        <v>0</v>
      </c>
      <c r="L330" s="358" t="n">
        <v>0</v>
      </c>
      <c r="M330" s="381" t="n">
        <v>1</v>
      </c>
      <c r="N330" s="381" t="n">
        <v>0</v>
      </c>
      <c r="O330" s="381" t="n">
        <v>0</v>
      </c>
      <c r="P330" s="359" t="n">
        <v>1</v>
      </c>
    </row>
    <row r="331" customFormat="false" ht="15" hidden="true" customHeight="false" outlineLevel="0" collapsed="false">
      <c r="B331" s="360" t="s">
        <v>2770</v>
      </c>
      <c r="C331" s="381" t="n">
        <v>1</v>
      </c>
      <c r="D331" s="381" t="n">
        <v>0</v>
      </c>
      <c r="E331" s="381" t="n">
        <v>0</v>
      </c>
      <c r="F331" s="359" t="n">
        <v>1</v>
      </c>
      <c r="G331" s="380" t="n">
        <v>0</v>
      </c>
      <c r="H331" s="358" t="n">
        <v>0</v>
      </c>
      <c r="I331" s="358" t="n">
        <v>0</v>
      </c>
      <c r="J331" s="358" t="n">
        <v>0</v>
      </c>
      <c r="K331" s="358" t="n">
        <v>0</v>
      </c>
      <c r="L331" s="358" t="n">
        <v>0</v>
      </c>
      <c r="M331" s="381" t="n">
        <v>1</v>
      </c>
      <c r="N331" s="381" t="n">
        <v>0</v>
      </c>
      <c r="O331" s="381" t="n">
        <v>0</v>
      </c>
      <c r="P331" s="359" t="n">
        <v>1</v>
      </c>
    </row>
    <row r="332" customFormat="false" ht="15" hidden="true" customHeight="false" outlineLevel="0" collapsed="false">
      <c r="B332" s="360" t="s">
        <v>3564</v>
      </c>
      <c r="C332" s="381" t="n">
        <v>0</v>
      </c>
      <c r="D332" s="381" t="n">
        <v>0</v>
      </c>
      <c r="E332" s="381" t="n">
        <v>0</v>
      </c>
      <c r="F332" s="359" t="n">
        <v>0</v>
      </c>
      <c r="G332" s="380" t="n">
        <v>0</v>
      </c>
      <c r="H332" s="358" t="n">
        <v>0</v>
      </c>
      <c r="I332" s="358" t="n">
        <v>0</v>
      </c>
      <c r="J332" s="358" t="n">
        <v>0</v>
      </c>
      <c r="K332" s="358" t="n">
        <v>0</v>
      </c>
      <c r="L332" s="358" t="n">
        <v>0</v>
      </c>
      <c r="M332" s="381" t="n">
        <v>0</v>
      </c>
      <c r="N332" s="381" t="n">
        <v>0</v>
      </c>
      <c r="O332" s="381" t="n">
        <v>0</v>
      </c>
      <c r="P332" s="359" t="n">
        <v>0</v>
      </c>
    </row>
    <row r="333" customFormat="false" ht="15" hidden="true" customHeight="false" outlineLevel="0" collapsed="false">
      <c r="B333" s="360" t="s">
        <v>2771</v>
      </c>
      <c r="C333" s="381" t="n">
        <v>1</v>
      </c>
      <c r="D333" s="381" t="n">
        <v>0</v>
      </c>
      <c r="E333" s="381" t="n">
        <v>0</v>
      </c>
      <c r="F333" s="359" t="n">
        <v>1</v>
      </c>
      <c r="G333" s="380" t="n">
        <v>0</v>
      </c>
      <c r="H333" s="358" t="n">
        <v>0</v>
      </c>
      <c r="I333" s="358" t="n">
        <v>0</v>
      </c>
      <c r="J333" s="358" t="n">
        <v>0</v>
      </c>
      <c r="K333" s="358" t="n">
        <v>0</v>
      </c>
      <c r="L333" s="358" t="n">
        <v>0</v>
      </c>
      <c r="M333" s="381" t="n">
        <v>1</v>
      </c>
      <c r="N333" s="381" t="n">
        <v>0</v>
      </c>
      <c r="O333" s="381" t="n">
        <v>0</v>
      </c>
      <c r="P333" s="359" t="n">
        <v>1</v>
      </c>
    </row>
    <row r="334" customFormat="false" ht="15" hidden="true" customHeight="false" outlineLevel="0" collapsed="false">
      <c r="B334" s="360" t="s">
        <v>2772</v>
      </c>
      <c r="C334" s="381" t="n">
        <v>1</v>
      </c>
      <c r="D334" s="381" t="n">
        <v>0</v>
      </c>
      <c r="E334" s="381" t="n">
        <v>0</v>
      </c>
      <c r="F334" s="359" t="n">
        <v>1</v>
      </c>
      <c r="G334" s="380" t="n">
        <v>0</v>
      </c>
      <c r="H334" s="358" t="n">
        <v>0</v>
      </c>
      <c r="I334" s="358" t="n">
        <v>0</v>
      </c>
      <c r="J334" s="358" t="n">
        <v>0</v>
      </c>
      <c r="K334" s="358" t="n">
        <v>0</v>
      </c>
      <c r="L334" s="358" t="n">
        <v>0</v>
      </c>
      <c r="M334" s="381" t="n">
        <v>1</v>
      </c>
      <c r="N334" s="381" t="n">
        <v>0</v>
      </c>
      <c r="O334" s="381" t="n">
        <v>0</v>
      </c>
      <c r="P334" s="359" t="n">
        <v>1</v>
      </c>
    </row>
    <row r="335" customFormat="false" ht="15" hidden="true" customHeight="false" outlineLevel="0" collapsed="false">
      <c r="B335" s="360" t="s">
        <v>2773</v>
      </c>
      <c r="C335" s="381" t="n">
        <v>1</v>
      </c>
      <c r="D335" s="381" t="n">
        <v>0</v>
      </c>
      <c r="E335" s="381" t="n">
        <v>0</v>
      </c>
      <c r="F335" s="359" t="n">
        <v>1</v>
      </c>
      <c r="G335" s="380" t="n">
        <v>0</v>
      </c>
      <c r="H335" s="358" t="n">
        <v>0</v>
      </c>
      <c r="I335" s="358" t="n">
        <v>0</v>
      </c>
      <c r="J335" s="358" t="n">
        <v>0</v>
      </c>
      <c r="K335" s="358" t="n">
        <v>0</v>
      </c>
      <c r="L335" s="358" t="n">
        <v>0</v>
      </c>
      <c r="M335" s="381" t="n">
        <v>1</v>
      </c>
      <c r="N335" s="381" t="n">
        <v>0</v>
      </c>
      <c r="O335" s="381" t="n">
        <v>0</v>
      </c>
      <c r="P335" s="359" t="n">
        <v>1</v>
      </c>
    </row>
    <row r="336" customFormat="false" ht="15" hidden="true" customHeight="false" outlineLevel="0" collapsed="false">
      <c r="B336" s="360" t="s">
        <v>3565</v>
      </c>
      <c r="C336" s="381" t="n">
        <v>0</v>
      </c>
      <c r="D336" s="381" t="n">
        <v>0</v>
      </c>
      <c r="E336" s="381" t="n">
        <v>0</v>
      </c>
      <c r="F336" s="359" t="n">
        <v>0</v>
      </c>
      <c r="G336" s="380" t="n">
        <v>0</v>
      </c>
      <c r="H336" s="358" t="n">
        <v>0</v>
      </c>
      <c r="I336" s="358" t="n">
        <v>0</v>
      </c>
      <c r="J336" s="358" t="n">
        <v>0</v>
      </c>
      <c r="K336" s="358" t="n">
        <v>0</v>
      </c>
      <c r="L336" s="358" t="n">
        <v>0</v>
      </c>
      <c r="M336" s="381" t="n">
        <v>0</v>
      </c>
      <c r="N336" s="381" t="n">
        <v>0</v>
      </c>
      <c r="O336" s="381" t="n">
        <v>0</v>
      </c>
      <c r="P336" s="359" t="n">
        <v>0</v>
      </c>
    </row>
    <row r="337" customFormat="false" ht="15" hidden="true" customHeight="false" outlineLevel="0" collapsed="false">
      <c r="B337" s="360" t="s">
        <v>2774</v>
      </c>
      <c r="C337" s="381" t="n">
        <v>1</v>
      </c>
      <c r="D337" s="381" t="n">
        <v>0</v>
      </c>
      <c r="E337" s="381" t="n">
        <v>0</v>
      </c>
      <c r="F337" s="359" t="n">
        <v>1</v>
      </c>
      <c r="G337" s="380" t="n">
        <v>0</v>
      </c>
      <c r="H337" s="358" t="n">
        <v>0</v>
      </c>
      <c r="I337" s="358" t="n">
        <v>0</v>
      </c>
      <c r="J337" s="358" t="n">
        <v>0</v>
      </c>
      <c r="K337" s="358" t="n">
        <v>0</v>
      </c>
      <c r="L337" s="358" t="n">
        <v>0</v>
      </c>
      <c r="M337" s="381" t="n">
        <v>1</v>
      </c>
      <c r="N337" s="381" t="n">
        <v>0</v>
      </c>
      <c r="O337" s="381" t="n">
        <v>0</v>
      </c>
      <c r="P337" s="359" t="n">
        <v>1</v>
      </c>
    </row>
    <row r="338" customFormat="false" ht="15" hidden="true" customHeight="false" outlineLevel="0" collapsed="false">
      <c r="B338" s="360" t="s">
        <v>2775</v>
      </c>
      <c r="C338" s="381" t="n">
        <v>1</v>
      </c>
      <c r="D338" s="381" t="n">
        <v>0</v>
      </c>
      <c r="E338" s="381" t="n">
        <v>0</v>
      </c>
      <c r="F338" s="359" t="n">
        <v>1</v>
      </c>
      <c r="G338" s="380" t="n">
        <v>0</v>
      </c>
      <c r="H338" s="358" t="n">
        <v>0</v>
      </c>
      <c r="I338" s="358" t="n">
        <v>0</v>
      </c>
      <c r="J338" s="358" t="n">
        <v>0</v>
      </c>
      <c r="K338" s="358" t="n">
        <v>0</v>
      </c>
      <c r="L338" s="358" t="n">
        <v>0</v>
      </c>
      <c r="M338" s="381" t="n">
        <v>1</v>
      </c>
      <c r="N338" s="381" t="n">
        <v>0</v>
      </c>
      <c r="O338" s="381" t="n">
        <v>0</v>
      </c>
      <c r="P338" s="359" t="n">
        <v>1</v>
      </c>
    </row>
    <row r="339" customFormat="false" ht="15" hidden="true" customHeight="false" outlineLevel="0" collapsed="false">
      <c r="B339" s="360" t="s">
        <v>2776</v>
      </c>
      <c r="C339" s="381" t="n">
        <v>1</v>
      </c>
      <c r="D339" s="381" t="n">
        <v>0</v>
      </c>
      <c r="E339" s="381" t="n">
        <v>0</v>
      </c>
      <c r="F339" s="359" t="n">
        <v>1</v>
      </c>
      <c r="G339" s="380" t="n">
        <v>0</v>
      </c>
      <c r="H339" s="358" t="n">
        <v>0</v>
      </c>
      <c r="I339" s="358" t="n">
        <v>0</v>
      </c>
      <c r="J339" s="358" t="n">
        <v>0</v>
      </c>
      <c r="K339" s="358" t="n">
        <v>0</v>
      </c>
      <c r="L339" s="358" t="n">
        <v>0</v>
      </c>
      <c r="M339" s="381" t="n">
        <v>1</v>
      </c>
      <c r="N339" s="381" t="n">
        <v>0</v>
      </c>
      <c r="O339" s="381" t="n">
        <v>0</v>
      </c>
      <c r="P339" s="359" t="n">
        <v>1</v>
      </c>
    </row>
    <row r="340" customFormat="false" ht="15" hidden="true" customHeight="false" outlineLevel="0" collapsed="false">
      <c r="B340" s="360" t="s">
        <v>2777</v>
      </c>
      <c r="C340" s="381" t="n">
        <v>1</v>
      </c>
      <c r="D340" s="381" t="n">
        <v>0</v>
      </c>
      <c r="E340" s="381" t="n">
        <v>0</v>
      </c>
      <c r="F340" s="359" t="n">
        <v>1</v>
      </c>
      <c r="G340" s="380" t="n">
        <v>0</v>
      </c>
      <c r="H340" s="358" t="n">
        <v>0</v>
      </c>
      <c r="I340" s="358" t="n">
        <v>0</v>
      </c>
      <c r="J340" s="358" t="n">
        <v>0</v>
      </c>
      <c r="K340" s="358" t="n">
        <v>0</v>
      </c>
      <c r="L340" s="358" t="n">
        <v>0</v>
      </c>
      <c r="M340" s="381" t="n">
        <v>1</v>
      </c>
      <c r="N340" s="381" t="n">
        <v>0</v>
      </c>
      <c r="O340" s="381" t="n">
        <v>0</v>
      </c>
      <c r="P340" s="359" t="n">
        <v>1</v>
      </c>
    </row>
    <row r="341" customFormat="false" ht="15" hidden="true" customHeight="false" outlineLevel="0" collapsed="false">
      <c r="B341" s="360" t="s">
        <v>2778</v>
      </c>
      <c r="C341" s="381" t="n">
        <v>1</v>
      </c>
      <c r="D341" s="381" t="n">
        <v>0</v>
      </c>
      <c r="E341" s="381" t="n">
        <v>0</v>
      </c>
      <c r="F341" s="359" t="n">
        <v>1</v>
      </c>
      <c r="G341" s="380" t="n">
        <v>0</v>
      </c>
      <c r="H341" s="358" t="n">
        <v>0</v>
      </c>
      <c r="I341" s="358" t="n">
        <v>0</v>
      </c>
      <c r="J341" s="358" t="n">
        <v>0</v>
      </c>
      <c r="K341" s="358" t="n">
        <v>0</v>
      </c>
      <c r="L341" s="358" t="n">
        <v>0</v>
      </c>
      <c r="M341" s="381" t="n">
        <v>1</v>
      </c>
      <c r="N341" s="381" t="n">
        <v>0</v>
      </c>
      <c r="O341" s="381" t="n">
        <v>0</v>
      </c>
      <c r="P341" s="359" t="n">
        <v>1</v>
      </c>
    </row>
    <row r="342" customFormat="false" ht="15" hidden="true" customHeight="false" outlineLevel="0" collapsed="false">
      <c r="B342" s="360" t="s">
        <v>2779</v>
      </c>
      <c r="C342" s="381" t="n">
        <v>1</v>
      </c>
      <c r="D342" s="381" t="n">
        <v>0</v>
      </c>
      <c r="E342" s="381" t="n">
        <v>0</v>
      </c>
      <c r="F342" s="359" t="n">
        <v>1</v>
      </c>
      <c r="G342" s="380" t="n">
        <v>0</v>
      </c>
      <c r="H342" s="358" t="n">
        <v>0</v>
      </c>
      <c r="I342" s="358" t="n">
        <v>0</v>
      </c>
      <c r="J342" s="358" t="n">
        <v>0</v>
      </c>
      <c r="K342" s="358" t="n">
        <v>0</v>
      </c>
      <c r="L342" s="358" t="n">
        <v>0</v>
      </c>
      <c r="M342" s="381" t="n">
        <v>1</v>
      </c>
      <c r="N342" s="381" t="n">
        <v>0</v>
      </c>
      <c r="O342" s="381" t="n">
        <v>0</v>
      </c>
      <c r="P342" s="359" t="n">
        <v>1</v>
      </c>
    </row>
    <row r="343" customFormat="false" ht="15" hidden="true" customHeight="false" outlineLevel="0" collapsed="false">
      <c r="B343" s="360" t="s">
        <v>2780</v>
      </c>
      <c r="C343" s="381" t="n">
        <v>1</v>
      </c>
      <c r="D343" s="381" t="n">
        <v>0</v>
      </c>
      <c r="E343" s="381" t="n">
        <v>0</v>
      </c>
      <c r="F343" s="359" t="n">
        <v>1</v>
      </c>
      <c r="G343" s="380" t="n">
        <v>0</v>
      </c>
      <c r="H343" s="358" t="n">
        <v>0</v>
      </c>
      <c r="I343" s="358" t="n">
        <v>0</v>
      </c>
      <c r="J343" s="358" t="n">
        <v>0</v>
      </c>
      <c r="K343" s="358" t="n">
        <v>0</v>
      </c>
      <c r="L343" s="358" t="n">
        <v>0</v>
      </c>
      <c r="M343" s="381" t="n">
        <v>1</v>
      </c>
      <c r="N343" s="381" t="n">
        <v>0</v>
      </c>
      <c r="O343" s="381" t="n">
        <v>0</v>
      </c>
      <c r="P343" s="359" t="n">
        <v>1</v>
      </c>
    </row>
    <row r="344" customFormat="false" ht="15" hidden="true" customHeight="false" outlineLevel="0" collapsed="false">
      <c r="B344" s="360" t="s">
        <v>2781</v>
      </c>
      <c r="C344" s="381" t="n">
        <v>1</v>
      </c>
      <c r="D344" s="381" t="n">
        <v>0</v>
      </c>
      <c r="E344" s="381" t="n">
        <v>0</v>
      </c>
      <c r="F344" s="359" t="n">
        <v>1</v>
      </c>
      <c r="G344" s="380" t="n">
        <v>0</v>
      </c>
      <c r="H344" s="358" t="n">
        <v>0</v>
      </c>
      <c r="I344" s="358" t="n">
        <v>0</v>
      </c>
      <c r="J344" s="358" t="n">
        <v>0</v>
      </c>
      <c r="K344" s="358" t="n">
        <v>0</v>
      </c>
      <c r="L344" s="358" t="n">
        <v>0</v>
      </c>
      <c r="M344" s="381" t="n">
        <v>1</v>
      </c>
      <c r="N344" s="381" t="n">
        <v>0</v>
      </c>
      <c r="O344" s="381" t="n">
        <v>0</v>
      </c>
      <c r="P344" s="359" t="n">
        <v>1</v>
      </c>
    </row>
    <row r="345" customFormat="false" ht="15" hidden="true" customHeight="false" outlineLevel="0" collapsed="false">
      <c r="B345" s="360" t="s">
        <v>2782</v>
      </c>
      <c r="C345" s="381" t="n">
        <v>1</v>
      </c>
      <c r="D345" s="381" t="n">
        <v>0</v>
      </c>
      <c r="E345" s="381" t="n">
        <v>0</v>
      </c>
      <c r="F345" s="359" t="n">
        <v>1</v>
      </c>
      <c r="G345" s="380" t="n">
        <v>0</v>
      </c>
      <c r="H345" s="358" t="n">
        <v>0</v>
      </c>
      <c r="I345" s="358" t="n">
        <v>0</v>
      </c>
      <c r="J345" s="358" t="n">
        <v>0</v>
      </c>
      <c r="K345" s="358" t="n">
        <v>0</v>
      </c>
      <c r="L345" s="358" t="n">
        <v>0</v>
      </c>
      <c r="M345" s="381" t="n">
        <v>1</v>
      </c>
      <c r="N345" s="381" t="n">
        <v>0</v>
      </c>
      <c r="O345" s="381" t="n">
        <v>0</v>
      </c>
      <c r="P345" s="359" t="n">
        <v>1</v>
      </c>
    </row>
    <row r="346" customFormat="false" ht="15" hidden="true" customHeight="false" outlineLevel="0" collapsed="false">
      <c r="B346" s="360" t="s">
        <v>2783</v>
      </c>
      <c r="C346" s="381" t="n">
        <v>1</v>
      </c>
      <c r="D346" s="381" t="n">
        <v>0</v>
      </c>
      <c r="E346" s="381" t="n">
        <v>0</v>
      </c>
      <c r="F346" s="359" t="n">
        <v>1</v>
      </c>
      <c r="G346" s="380" t="n">
        <v>0</v>
      </c>
      <c r="H346" s="358" t="n">
        <v>0</v>
      </c>
      <c r="I346" s="358" t="n">
        <v>0</v>
      </c>
      <c r="J346" s="358" t="n">
        <v>0</v>
      </c>
      <c r="K346" s="358" t="n">
        <v>0</v>
      </c>
      <c r="L346" s="358" t="n">
        <v>0</v>
      </c>
      <c r="M346" s="381" t="n">
        <v>1</v>
      </c>
      <c r="N346" s="381" t="n">
        <v>0</v>
      </c>
      <c r="O346" s="381" t="n">
        <v>0</v>
      </c>
      <c r="P346" s="359" t="n">
        <v>1</v>
      </c>
    </row>
    <row r="347" customFormat="false" ht="15" hidden="true" customHeight="false" outlineLevel="0" collapsed="false">
      <c r="B347" s="360" t="s">
        <v>2784</v>
      </c>
      <c r="C347" s="381" t="n">
        <v>1</v>
      </c>
      <c r="D347" s="381" t="n">
        <v>0</v>
      </c>
      <c r="E347" s="381" t="n">
        <v>0</v>
      </c>
      <c r="F347" s="359" t="n">
        <v>1</v>
      </c>
      <c r="G347" s="380" t="n">
        <v>0</v>
      </c>
      <c r="H347" s="358" t="n">
        <v>0</v>
      </c>
      <c r="I347" s="358" t="n">
        <v>0</v>
      </c>
      <c r="J347" s="358" t="n">
        <v>0</v>
      </c>
      <c r="K347" s="358" t="n">
        <v>0</v>
      </c>
      <c r="L347" s="358" t="n">
        <v>0</v>
      </c>
      <c r="M347" s="381" t="n">
        <v>1</v>
      </c>
      <c r="N347" s="381" t="n">
        <v>0</v>
      </c>
      <c r="O347" s="381" t="n">
        <v>0</v>
      </c>
      <c r="P347" s="359" t="n">
        <v>1</v>
      </c>
    </row>
    <row r="348" customFormat="false" ht="15" hidden="true" customHeight="false" outlineLevel="0" collapsed="false">
      <c r="B348" s="360" t="s">
        <v>2785</v>
      </c>
      <c r="C348" s="381" t="n">
        <v>1</v>
      </c>
      <c r="D348" s="381" t="n">
        <v>0</v>
      </c>
      <c r="E348" s="381" t="n">
        <v>0</v>
      </c>
      <c r="F348" s="359" t="n">
        <v>1</v>
      </c>
      <c r="G348" s="380" t="n">
        <v>0</v>
      </c>
      <c r="H348" s="358" t="n">
        <v>0</v>
      </c>
      <c r="I348" s="358" t="n">
        <v>0</v>
      </c>
      <c r="J348" s="358" t="n">
        <v>0</v>
      </c>
      <c r="K348" s="358" t="n">
        <v>0</v>
      </c>
      <c r="L348" s="358" t="n">
        <v>0</v>
      </c>
      <c r="M348" s="381" t="n">
        <v>1</v>
      </c>
      <c r="N348" s="381" t="n">
        <v>0</v>
      </c>
      <c r="O348" s="381" t="n">
        <v>0</v>
      </c>
      <c r="P348" s="359" t="n">
        <v>1</v>
      </c>
    </row>
    <row r="349" customFormat="false" ht="15" hidden="true" customHeight="false" outlineLevel="0" collapsed="false">
      <c r="B349" s="360" t="s">
        <v>2786</v>
      </c>
      <c r="C349" s="381" t="n">
        <v>1</v>
      </c>
      <c r="D349" s="381" t="n">
        <v>0</v>
      </c>
      <c r="E349" s="381" t="n">
        <v>0</v>
      </c>
      <c r="F349" s="359" t="n">
        <v>1</v>
      </c>
      <c r="G349" s="380" t="n">
        <v>0</v>
      </c>
      <c r="H349" s="358" t="n">
        <v>0</v>
      </c>
      <c r="I349" s="358" t="n">
        <v>0</v>
      </c>
      <c r="J349" s="358" t="n">
        <v>0</v>
      </c>
      <c r="K349" s="358" t="n">
        <v>0</v>
      </c>
      <c r="L349" s="358" t="n">
        <v>0</v>
      </c>
      <c r="M349" s="381" t="n">
        <v>1</v>
      </c>
      <c r="N349" s="381" t="n">
        <v>0</v>
      </c>
      <c r="O349" s="381" t="n">
        <v>0</v>
      </c>
      <c r="P349" s="359" t="n">
        <v>1</v>
      </c>
    </row>
    <row r="350" customFormat="false" ht="15" hidden="true" customHeight="false" outlineLevel="0" collapsed="false">
      <c r="B350" s="360" t="s">
        <v>2787</v>
      </c>
      <c r="C350" s="381" t="n">
        <v>1</v>
      </c>
      <c r="D350" s="381" t="n">
        <v>0</v>
      </c>
      <c r="E350" s="381" t="n">
        <v>0</v>
      </c>
      <c r="F350" s="359" t="n">
        <v>1</v>
      </c>
      <c r="G350" s="380" t="n">
        <v>0</v>
      </c>
      <c r="H350" s="358" t="n">
        <v>0</v>
      </c>
      <c r="I350" s="358" t="n">
        <v>0</v>
      </c>
      <c r="J350" s="358" t="n">
        <v>0</v>
      </c>
      <c r="K350" s="358" t="n">
        <v>0</v>
      </c>
      <c r="L350" s="358" t="n">
        <v>0</v>
      </c>
      <c r="M350" s="381" t="n">
        <v>1</v>
      </c>
      <c r="N350" s="381" t="n">
        <v>0</v>
      </c>
      <c r="O350" s="381" t="n">
        <v>0</v>
      </c>
      <c r="P350" s="359" t="n">
        <v>1</v>
      </c>
    </row>
    <row r="351" customFormat="false" ht="15" hidden="true" customHeight="false" outlineLevel="0" collapsed="false">
      <c r="B351" s="360" t="s">
        <v>2788</v>
      </c>
      <c r="C351" s="381" t="n">
        <v>1</v>
      </c>
      <c r="D351" s="381" t="n">
        <v>0</v>
      </c>
      <c r="E351" s="381" t="n">
        <v>0</v>
      </c>
      <c r="F351" s="359" t="n">
        <v>1</v>
      </c>
      <c r="G351" s="380" t="n">
        <v>0</v>
      </c>
      <c r="H351" s="358" t="n">
        <v>0</v>
      </c>
      <c r="I351" s="358" t="n">
        <v>0</v>
      </c>
      <c r="J351" s="358" t="n">
        <v>0</v>
      </c>
      <c r="K351" s="358" t="n">
        <v>0</v>
      </c>
      <c r="L351" s="358" t="n">
        <v>0</v>
      </c>
      <c r="M351" s="381" t="n">
        <v>1</v>
      </c>
      <c r="N351" s="381" t="n">
        <v>0</v>
      </c>
      <c r="O351" s="381" t="n">
        <v>0</v>
      </c>
      <c r="P351" s="359" t="n">
        <v>1</v>
      </c>
    </row>
    <row r="352" customFormat="false" ht="15" hidden="true" customHeight="false" outlineLevel="0" collapsed="false">
      <c r="B352" s="360" t="s">
        <v>2789</v>
      </c>
      <c r="C352" s="381" t="n">
        <v>1</v>
      </c>
      <c r="D352" s="381" t="n">
        <v>0</v>
      </c>
      <c r="E352" s="381" t="n">
        <v>0</v>
      </c>
      <c r="F352" s="359" t="n">
        <v>1</v>
      </c>
      <c r="G352" s="380" t="n">
        <v>0</v>
      </c>
      <c r="H352" s="358" t="n">
        <v>0</v>
      </c>
      <c r="I352" s="358" t="n">
        <v>0</v>
      </c>
      <c r="J352" s="358" t="n">
        <v>0</v>
      </c>
      <c r="K352" s="358" t="n">
        <v>0</v>
      </c>
      <c r="L352" s="358" t="n">
        <v>0</v>
      </c>
      <c r="M352" s="381" t="n">
        <v>1</v>
      </c>
      <c r="N352" s="381" t="n">
        <v>0</v>
      </c>
      <c r="O352" s="381" t="n">
        <v>0</v>
      </c>
      <c r="P352" s="359" t="n">
        <v>1</v>
      </c>
    </row>
    <row r="353" customFormat="false" ht="15" hidden="true" customHeight="false" outlineLevel="0" collapsed="false">
      <c r="B353" s="360" t="s">
        <v>2790</v>
      </c>
      <c r="C353" s="381" t="n">
        <v>1</v>
      </c>
      <c r="D353" s="381" t="n">
        <v>0</v>
      </c>
      <c r="E353" s="381" t="n">
        <v>0</v>
      </c>
      <c r="F353" s="359" t="n">
        <v>1</v>
      </c>
      <c r="G353" s="380" t="n">
        <v>0</v>
      </c>
      <c r="H353" s="358" t="n">
        <v>0</v>
      </c>
      <c r="I353" s="358" t="n">
        <v>0</v>
      </c>
      <c r="J353" s="358" t="n">
        <v>0</v>
      </c>
      <c r="K353" s="358" t="n">
        <v>0</v>
      </c>
      <c r="L353" s="358" t="n">
        <v>0</v>
      </c>
      <c r="M353" s="381" t="n">
        <v>1</v>
      </c>
      <c r="N353" s="381" t="n">
        <v>0</v>
      </c>
      <c r="O353" s="381" t="n">
        <v>0</v>
      </c>
      <c r="P353" s="359" t="n">
        <v>1</v>
      </c>
    </row>
    <row r="354" customFormat="false" ht="15" hidden="true" customHeight="false" outlineLevel="0" collapsed="false">
      <c r="B354" s="360" t="s">
        <v>2791</v>
      </c>
      <c r="C354" s="381" t="n">
        <v>1</v>
      </c>
      <c r="D354" s="381" t="n">
        <v>0</v>
      </c>
      <c r="E354" s="381" t="n">
        <v>0</v>
      </c>
      <c r="F354" s="359" t="n">
        <v>1</v>
      </c>
      <c r="G354" s="380" t="n">
        <v>0</v>
      </c>
      <c r="H354" s="358" t="n">
        <v>0</v>
      </c>
      <c r="I354" s="358" t="n">
        <v>0</v>
      </c>
      <c r="J354" s="358" t="n">
        <v>0</v>
      </c>
      <c r="K354" s="358" t="n">
        <v>0</v>
      </c>
      <c r="L354" s="358" t="n">
        <v>0</v>
      </c>
      <c r="M354" s="381" t="n">
        <v>1</v>
      </c>
      <c r="N354" s="381" t="n">
        <v>0</v>
      </c>
      <c r="O354" s="381" t="n">
        <v>0</v>
      </c>
      <c r="P354" s="359" t="n">
        <v>1</v>
      </c>
    </row>
    <row r="355" customFormat="false" ht="15" hidden="true" customHeight="false" outlineLevel="0" collapsed="false">
      <c r="B355" s="360" t="s">
        <v>2792</v>
      </c>
      <c r="C355" s="381" t="n">
        <v>1</v>
      </c>
      <c r="D355" s="381" t="n">
        <v>0</v>
      </c>
      <c r="E355" s="381" t="n">
        <v>0</v>
      </c>
      <c r="F355" s="359" t="n">
        <v>1</v>
      </c>
      <c r="G355" s="380" t="n">
        <v>0</v>
      </c>
      <c r="H355" s="358" t="n">
        <v>0</v>
      </c>
      <c r="I355" s="358" t="n">
        <v>0</v>
      </c>
      <c r="J355" s="358" t="n">
        <v>0</v>
      </c>
      <c r="K355" s="358" t="n">
        <v>0</v>
      </c>
      <c r="L355" s="358" t="n">
        <v>0</v>
      </c>
      <c r="M355" s="381" t="n">
        <v>1</v>
      </c>
      <c r="N355" s="381" t="n">
        <v>0</v>
      </c>
      <c r="O355" s="381" t="n">
        <v>0</v>
      </c>
      <c r="P355" s="359" t="n">
        <v>1</v>
      </c>
    </row>
    <row r="356" customFormat="false" ht="15" hidden="true" customHeight="false" outlineLevel="0" collapsed="false">
      <c r="B356" s="360" t="s">
        <v>2793</v>
      </c>
      <c r="C356" s="381" t="n">
        <v>1</v>
      </c>
      <c r="D356" s="381" t="n">
        <v>0</v>
      </c>
      <c r="E356" s="381" t="n">
        <v>0</v>
      </c>
      <c r="F356" s="359" t="n">
        <v>1</v>
      </c>
      <c r="G356" s="380" t="n">
        <v>0</v>
      </c>
      <c r="H356" s="358" t="n">
        <v>0</v>
      </c>
      <c r="I356" s="358" t="n">
        <v>0</v>
      </c>
      <c r="J356" s="358" t="n">
        <v>0</v>
      </c>
      <c r="K356" s="358" t="n">
        <v>0</v>
      </c>
      <c r="L356" s="358" t="n">
        <v>0</v>
      </c>
      <c r="M356" s="381" t="n">
        <v>1</v>
      </c>
      <c r="N356" s="381" t="n">
        <v>0</v>
      </c>
      <c r="O356" s="381" t="n">
        <v>0</v>
      </c>
      <c r="P356" s="359" t="n">
        <v>1</v>
      </c>
    </row>
    <row r="357" customFormat="false" ht="15" hidden="true" customHeight="false" outlineLevel="0" collapsed="false">
      <c r="B357" s="360" t="s">
        <v>2794</v>
      </c>
      <c r="C357" s="381" t="n">
        <v>1</v>
      </c>
      <c r="D357" s="381" t="n">
        <v>0</v>
      </c>
      <c r="E357" s="381" t="n">
        <v>0</v>
      </c>
      <c r="F357" s="359" t="n">
        <v>1</v>
      </c>
      <c r="G357" s="380" t="n">
        <v>0</v>
      </c>
      <c r="H357" s="358" t="n">
        <v>0</v>
      </c>
      <c r="I357" s="358" t="n">
        <v>0</v>
      </c>
      <c r="J357" s="358" t="n">
        <v>0</v>
      </c>
      <c r="K357" s="358" t="n">
        <v>0</v>
      </c>
      <c r="L357" s="358" t="n">
        <v>0</v>
      </c>
      <c r="M357" s="381" t="n">
        <v>1</v>
      </c>
      <c r="N357" s="381" t="n">
        <v>0</v>
      </c>
      <c r="O357" s="381" t="n">
        <v>0</v>
      </c>
      <c r="P357" s="359" t="n">
        <v>1</v>
      </c>
    </row>
    <row r="358" customFormat="false" ht="15" hidden="true" customHeight="false" outlineLevel="0" collapsed="false">
      <c r="B358" s="360" t="s">
        <v>2795</v>
      </c>
      <c r="C358" s="381" t="n">
        <v>1</v>
      </c>
      <c r="D358" s="381" t="n">
        <v>0</v>
      </c>
      <c r="E358" s="381" t="n">
        <v>0</v>
      </c>
      <c r="F358" s="359" t="n">
        <v>1</v>
      </c>
      <c r="G358" s="380" t="n">
        <v>0</v>
      </c>
      <c r="H358" s="358" t="n">
        <v>0</v>
      </c>
      <c r="I358" s="358" t="n">
        <v>0</v>
      </c>
      <c r="J358" s="358" t="n">
        <v>0</v>
      </c>
      <c r="K358" s="358" t="n">
        <v>0</v>
      </c>
      <c r="L358" s="358" t="n">
        <v>0</v>
      </c>
      <c r="M358" s="381" t="n">
        <v>1</v>
      </c>
      <c r="N358" s="381" t="n">
        <v>0</v>
      </c>
      <c r="O358" s="381" t="n">
        <v>0</v>
      </c>
      <c r="P358" s="359" t="n">
        <v>1</v>
      </c>
    </row>
    <row r="359" customFormat="false" ht="15" hidden="true" customHeight="false" outlineLevel="0" collapsed="false">
      <c r="B359" s="360" t="s">
        <v>2796</v>
      </c>
      <c r="C359" s="381" t="n">
        <v>1</v>
      </c>
      <c r="D359" s="381" t="n">
        <v>0</v>
      </c>
      <c r="E359" s="381" t="n">
        <v>0</v>
      </c>
      <c r="F359" s="359" t="n">
        <v>1</v>
      </c>
      <c r="G359" s="380" t="n">
        <v>0</v>
      </c>
      <c r="H359" s="358" t="n">
        <v>0</v>
      </c>
      <c r="I359" s="358" t="n">
        <v>0</v>
      </c>
      <c r="J359" s="358" t="n">
        <v>0</v>
      </c>
      <c r="K359" s="358" t="n">
        <v>0</v>
      </c>
      <c r="L359" s="358" t="n">
        <v>0</v>
      </c>
      <c r="M359" s="381" t="n">
        <v>1</v>
      </c>
      <c r="N359" s="381" t="n">
        <v>0</v>
      </c>
      <c r="O359" s="381" t="n">
        <v>0</v>
      </c>
      <c r="P359" s="359" t="n">
        <v>1</v>
      </c>
    </row>
    <row r="360" customFormat="false" ht="15" hidden="true" customHeight="false" outlineLevel="0" collapsed="false">
      <c r="B360" s="360" t="s">
        <v>2797</v>
      </c>
      <c r="C360" s="381" t="n">
        <v>1</v>
      </c>
      <c r="D360" s="381" t="n">
        <v>0</v>
      </c>
      <c r="E360" s="381" t="n">
        <v>0</v>
      </c>
      <c r="F360" s="359" t="n">
        <v>1</v>
      </c>
      <c r="G360" s="380" t="n">
        <v>0</v>
      </c>
      <c r="H360" s="358" t="n">
        <v>0</v>
      </c>
      <c r="I360" s="358" t="n">
        <v>0</v>
      </c>
      <c r="J360" s="358" t="n">
        <v>0</v>
      </c>
      <c r="K360" s="358" t="n">
        <v>0</v>
      </c>
      <c r="L360" s="358" t="n">
        <v>0</v>
      </c>
      <c r="M360" s="381" t="n">
        <v>1</v>
      </c>
      <c r="N360" s="381" t="n">
        <v>0</v>
      </c>
      <c r="O360" s="381" t="n">
        <v>0</v>
      </c>
      <c r="P360" s="359" t="n">
        <v>1</v>
      </c>
    </row>
    <row r="361" customFormat="false" ht="15" hidden="true" customHeight="false" outlineLevel="0" collapsed="false">
      <c r="B361" s="360" t="s">
        <v>2798</v>
      </c>
      <c r="C361" s="381" t="n">
        <v>1</v>
      </c>
      <c r="D361" s="381" t="n">
        <v>0</v>
      </c>
      <c r="E361" s="381" t="n">
        <v>0</v>
      </c>
      <c r="F361" s="359" t="n">
        <v>1</v>
      </c>
      <c r="G361" s="380" t="n">
        <v>0</v>
      </c>
      <c r="H361" s="358" t="n">
        <v>0</v>
      </c>
      <c r="I361" s="358" t="n">
        <v>0</v>
      </c>
      <c r="J361" s="358" t="n">
        <v>0</v>
      </c>
      <c r="K361" s="358" t="n">
        <v>0</v>
      </c>
      <c r="L361" s="358" t="n">
        <v>0</v>
      </c>
      <c r="M361" s="381" t="n">
        <v>1</v>
      </c>
      <c r="N361" s="381" t="n">
        <v>0</v>
      </c>
      <c r="O361" s="381" t="n">
        <v>0</v>
      </c>
      <c r="P361" s="359" t="n">
        <v>1</v>
      </c>
    </row>
    <row r="362" customFormat="false" ht="15" hidden="true" customHeight="false" outlineLevel="0" collapsed="false">
      <c r="B362" s="360" t="s">
        <v>2799</v>
      </c>
      <c r="C362" s="381" t="n">
        <v>1</v>
      </c>
      <c r="D362" s="381" t="n">
        <v>0</v>
      </c>
      <c r="E362" s="381" t="n">
        <v>0</v>
      </c>
      <c r="F362" s="359" t="n">
        <v>1</v>
      </c>
      <c r="G362" s="380" t="n">
        <v>0</v>
      </c>
      <c r="H362" s="358" t="n">
        <v>0</v>
      </c>
      <c r="I362" s="358" t="n">
        <v>0</v>
      </c>
      <c r="J362" s="358" t="n">
        <v>0</v>
      </c>
      <c r="K362" s="358" t="n">
        <v>0</v>
      </c>
      <c r="L362" s="358" t="n">
        <v>0</v>
      </c>
      <c r="M362" s="381" t="n">
        <v>1</v>
      </c>
      <c r="N362" s="381" t="n">
        <v>0</v>
      </c>
      <c r="O362" s="381" t="n">
        <v>0</v>
      </c>
      <c r="P362" s="359" t="n">
        <v>1</v>
      </c>
    </row>
    <row r="363" customFormat="false" ht="15" hidden="true" customHeight="false" outlineLevel="0" collapsed="false">
      <c r="B363" s="360" t="s">
        <v>2800</v>
      </c>
      <c r="C363" s="381" t="n">
        <v>1</v>
      </c>
      <c r="D363" s="381" t="n">
        <v>0</v>
      </c>
      <c r="E363" s="381" t="n">
        <v>0</v>
      </c>
      <c r="F363" s="359" t="n">
        <v>1</v>
      </c>
      <c r="G363" s="380" t="n">
        <v>0</v>
      </c>
      <c r="H363" s="358" t="n">
        <v>0</v>
      </c>
      <c r="I363" s="358" t="n">
        <v>0</v>
      </c>
      <c r="J363" s="358" t="n">
        <v>0</v>
      </c>
      <c r="K363" s="358" t="n">
        <v>0</v>
      </c>
      <c r="L363" s="358" t="n">
        <v>0</v>
      </c>
      <c r="M363" s="381" t="n">
        <v>1</v>
      </c>
      <c r="N363" s="381" t="n">
        <v>0</v>
      </c>
      <c r="O363" s="381" t="n">
        <v>0</v>
      </c>
      <c r="P363" s="359" t="n">
        <v>1</v>
      </c>
    </row>
    <row r="364" customFormat="false" ht="15" hidden="true" customHeight="false" outlineLevel="0" collapsed="false">
      <c r="B364" s="360" t="s">
        <v>2801</v>
      </c>
      <c r="C364" s="381" t="n">
        <v>1</v>
      </c>
      <c r="D364" s="381" t="n">
        <v>0</v>
      </c>
      <c r="E364" s="381" t="n">
        <v>0</v>
      </c>
      <c r="F364" s="359" t="n">
        <v>1</v>
      </c>
      <c r="G364" s="380" t="n">
        <v>0</v>
      </c>
      <c r="H364" s="358" t="n">
        <v>0</v>
      </c>
      <c r="I364" s="358" t="n">
        <v>0</v>
      </c>
      <c r="J364" s="358" t="n">
        <v>0</v>
      </c>
      <c r="K364" s="358" t="n">
        <v>0</v>
      </c>
      <c r="L364" s="358" t="n">
        <v>0</v>
      </c>
      <c r="M364" s="381" t="n">
        <v>1</v>
      </c>
      <c r="N364" s="381" t="n">
        <v>0</v>
      </c>
      <c r="O364" s="381" t="n">
        <v>0</v>
      </c>
      <c r="P364" s="359" t="n">
        <v>1</v>
      </c>
    </row>
    <row r="365" customFormat="false" ht="15" hidden="true" customHeight="false" outlineLevel="0" collapsed="false">
      <c r="B365" s="360" t="s">
        <v>2802</v>
      </c>
      <c r="C365" s="381" t="n">
        <v>1</v>
      </c>
      <c r="D365" s="381" t="n">
        <v>0</v>
      </c>
      <c r="E365" s="381" t="n">
        <v>0</v>
      </c>
      <c r="F365" s="359" t="n">
        <v>1</v>
      </c>
      <c r="G365" s="380" t="n">
        <v>0</v>
      </c>
      <c r="H365" s="358" t="n">
        <v>0</v>
      </c>
      <c r="I365" s="358" t="n">
        <v>0</v>
      </c>
      <c r="J365" s="358" t="n">
        <v>0</v>
      </c>
      <c r="K365" s="358" t="n">
        <v>0</v>
      </c>
      <c r="L365" s="358" t="n">
        <v>0</v>
      </c>
      <c r="M365" s="381" t="n">
        <v>1</v>
      </c>
      <c r="N365" s="381" t="n">
        <v>0</v>
      </c>
      <c r="O365" s="381" t="n">
        <v>0</v>
      </c>
      <c r="P365" s="359" t="n">
        <v>1</v>
      </c>
    </row>
    <row r="366" customFormat="false" ht="15" hidden="true" customHeight="false" outlineLevel="0" collapsed="false">
      <c r="B366" s="360" t="s">
        <v>2803</v>
      </c>
      <c r="C366" s="381" t="n">
        <v>1</v>
      </c>
      <c r="D366" s="381" t="n">
        <v>0</v>
      </c>
      <c r="E366" s="381" t="n">
        <v>0</v>
      </c>
      <c r="F366" s="359" t="n">
        <v>1</v>
      </c>
      <c r="G366" s="380" t="n">
        <v>0</v>
      </c>
      <c r="H366" s="358" t="n">
        <v>0</v>
      </c>
      <c r="I366" s="358" t="n">
        <v>0</v>
      </c>
      <c r="J366" s="358" t="n">
        <v>0</v>
      </c>
      <c r="K366" s="358" t="n">
        <v>0</v>
      </c>
      <c r="L366" s="358" t="n">
        <v>0</v>
      </c>
      <c r="M366" s="381" t="n">
        <v>1</v>
      </c>
      <c r="N366" s="381" t="n">
        <v>0</v>
      </c>
      <c r="O366" s="381" t="n">
        <v>0</v>
      </c>
      <c r="P366" s="359" t="n">
        <v>1</v>
      </c>
    </row>
    <row r="367" customFormat="false" ht="15" hidden="true" customHeight="false" outlineLevel="0" collapsed="false">
      <c r="B367" s="361" t="s">
        <v>2804</v>
      </c>
      <c r="C367" s="381" t="n">
        <v>1</v>
      </c>
      <c r="D367" s="381" t="n">
        <v>0</v>
      </c>
      <c r="E367" s="381" t="n">
        <v>0</v>
      </c>
      <c r="F367" s="359" t="n">
        <v>1</v>
      </c>
      <c r="G367" s="380" t="n">
        <v>0</v>
      </c>
      <c r="H367" s="358" t="n">
        <v>0</v>
      </c>
      <c r="I367" s="358" t="n">
        <v>0</v>
      </c>
      <c r="J367" s="358" t="n">
        <v>0</v>
      </c>
      <c r="K367" s="358" t="n">
        <v>0</v>
      </c>
      <c r="L367" s="358" t="n">
        <v>0</v>
      </c>
      <c r="M367" s="381" t="n">
        <v>1</v>
      </c>
      <c r="N367" s="381" t="n">
        <v>0</v>
      </c>
      <c r="O367" s="381" t="n">
        <v>0</v>
      </c>
      <c r="P367" s="359" t="n">
        <v>1</v>
      </c>
    </row>
    <row r="368" customFormat="false" ht="15" hidden="true" customHeight="false" outlineLevel="0" collapsed="false">
      <c r="B368" s="360" t="s">
        <v>2805</v>
      </c>
      <c r="C368" s="381" t="n">
        <v>1</v>
      </c>
      <c r="D368" s="381" t="n">
        <v>0</v>
      </c>
      <c r="E368" s="381" t="n">
        <v>0</v>
      </c>
      <c r="F368" s="359" t="n">
        <v>1</v>
      </c>
      <c r="G368" s="380" t="n">
        <v>0</v>
      </c>
      <c r="H368" s="358" t="n">
        <v>0</v>
      </c>
      <c r="I368" s="358" t="n">
        <v>0</v>
      </c>
      <c r="J368" s="358" t="n">
        <v>0</v>
      </c>
      <c r="K368" s="358" t="n">
        <v>0</v>
      </c>
      <c r="L368" s="358" t="n">
        <v>0</v>
      </c>
      <c r="M368" s="381" t="n">
        <v>1</v>
      </c>
      <c r="N368" s="381" t="n">
        <v>0</v>
      </c>
      <c r="O368" s="381" t="n">
        <v>0</v>
      </c>
      <c r="P368" s="359" t="n">
        <v>1</v>
      </c>
    </row>
    <row r="369" customFormat="false" ht="15" hidden="true" customHeight="false" outlineLevel="0" collapsed="false">
      <c r="B369" s="360" t="s">
        <v>2806</v>
      </c>
      <c r="C369" s="381" t="n">
        <v>1</v>
      </c>
      <c r="D369" s="381" t="n">
        <v>0</v>
      </c>
      <c r="E369" s="381" t="n">
        <v>0</v>
      </c>
      <c r="F369" s="359" t="n">
        <v>1</v>
      </c>
      <c r="G369" s="380" t="n">
        <v>0</v>
      </c>
      <c r="H369" s="358" t="n">
        <v>0</v>
      </c>
      <c r="I369" s="358" t="n">
        <v>0</v>
      </c>
      <c r="J369" s="358" t="n">
        <v>0</v>
      </c>
      <c r="K369" s="358" t="n">
        <v>0</v>
      </c>
      <c r="L369" s="358" t="n">
        <v>0</v>
      </c>
      <c r="M369" s="381" t="n">
        <v>1</v>
      </c>
      <c r="N369" s="381" t="n">
        <v>0</v>
      </c>
      <c r="O369" s="381" t="n">
        <v>0</v>
      </c>
      <c r="P369" s="359" t="n">
        <v>1</v>
      </c>
    </row>
    <row r="370" customFormat="false" ht="15" hidden="true" customHeight="false" outlineLevel="0" collapsed="false">
      <c r="B370" s="360" t="s">
        <v>2807</v>
      </c>
      <c r="C370" s="381" t="n">
        <v>1</v>
      </c>
      <c r="D370" s="381" t="n">
        <v>0</v>
      </c>
      <c r="E370" s="381" t="n">
        <v>0</v>
      </c>
      <c r="F370" s="359" t="n">
        <v>1</v>
      </c>
      <c r="G370" s="380" t="n">
        <v>0</v>
      </c>
      <c r="H370" s="358" t="n">
        <v>0</v>
      </c>
      <c r="I370" s="358" t="n">
        <v>0</v>
      </c>
      <c r="J370" s="358" t="n">
        <v>0</v>
      </c>
      <c r="K370" s="358" t="n">
        <v>0</v>
      </c>
      <c r="L370" s="358" t="n">
        <v>0</v>
      </c>
      <c r="M370" s="381" t="n">
        <v>1</v>
      </c>
      <c r="N370" s="381" t="n">
        <v>0</v>
      </c>
      <c r="O370" s="381" t="n">
        <v>0</v>
      </c>
      <c r="P370" s="359" t="n">
        <v>1</v>
      </c>
    </row>
    <row r="371" customFormat="false" ht="15" hidden="true" customHeight="false" outlineLevel="0" collapsed="false">
      <c r="B371" s="360" t="s">
        <v>2808</v>
      </c>
      <c r="C371" s="381" t="n">
        <v>1</v>
      </c>
      <c r="D371" s="381" t="n">
        <v>0</v>
      </c>
      <c r="E371" s="381" t="n">
        <v>0</v>
      </c>
      <c r="F371" s="359" t="n">
        <v>1</v>
      </c>
      <c r="G371" s="380" t="n">
        <v>0</v>
      </c>
      <c r="H371" s="358" t="n">
        <v>0</v>
      </c>
      <c r="I371" s="358" t="n">
        <v>0</v>
      </c>
      <c r="J371" s="358" t="n">
        <v>0</v>
      </c>
      <c r="K371" s="358" t="n">
        <v>0</v>
      </c>
      <c r="L371" s="358" t="n">
        <v>0</v>
      </c>
      <c r="M371" s="381" t="n">
        <v>1</v>
      </c>
      <c r="N371" s="381" t="n">
        <v>0</v>
      </c>
      <c r="O371" s="381" t="n">
        <v>0</v>
      </c>
      <c r="P371" s="359" t="n">
        <v>1</v>
      </c>
    </row>
    <row r="372" customFormat="false" ht="15" hidden="true" customHeight="false" outlineLevel="0" collapsed="false">
      <c r="B372" s="360" t="s">
        <v>2809</v>
      </c>
      <c r="C372" s="381" t="n">
        <v>1</v>
      </c>
      <c r="D372" s="381" t="n">
        <v>0</v>
      </c>
      <c r="E372" s="381" t="n">
        <v>0</v>
      </c>
      <c r="F372" s="359" t="n">
        <v>1</v>
      </c>
      <c r="G372" s="380" t="n">
        <v>0</v>
      </c>
      <c r="H372" s="358" t="n">
        <v>0</v>
      </c>
      <c r="I372" s="358" t="n">
        <v>0</v>
      </c>
      <c r="J372" s="358" t="n">
        <v>0</v>
      </c>
      <c r="K372" s="358" t="n">
        <v>0</v>
      </c>
      <c r="L372" s="358" t="n">
        <v>0</v>
      </c>
      <c r="M372" s="381" t="n">
        <v>1</v>
      </c>
      <c r="N372" s="381" t="n">
        <v>0</v>
      </c>
      <c r="O372" s="381" t="n">
        <v>0</v>
      </c>
      <c r="P372" s="359" t="n">
        <v>1</v>
      </c>
    </row>
    <row r="373" customFormat="false" ht="15" hidden="true" customHeight="false" outlineLevel="0" collapsed="false">
      <c r="B373" s="360" t="s">
        <v>2810</v>
      </c>
      <c r="C373" s="381" t="n">
        <v>1</v>
      </c>
      <c r="D373" s="381" t="n">
        <v>0</v>
      </c>
      <c r="E373" s="381" t="n">
        <v>0</v>
      </c>
      <c r="F373" s="359" t="n">
        <v>1</v>
      </c>
      <c r="G373" s="380" t="n">
        <v>0</v>
      </c>
      <c r="H373" s="358" t="n">
        <v>0</v>
      </c>
      <c r="I373" s="358" t="n">
        <v>0</v>
      </c>
      <c r="J373" s="358" t="n">
        <v>0</v>
      </c>
      <c r="K373" s="358" t="n">
        <v>0</v>
      </c>
      <c r="L373" s="358" t="n">
        <v>0</v>
      </c>
      <c r="M373" s="381" t="n">
        <v>1</v>
      </c>
      <c r="N373" s="381" t="n">
        <v>0</v>
      </c>
      <c r="O373" s="381" t="n">
        <v>0</v>
      </c>
      <c r="P373" s="359" t="n">
        <v>1</v>
      </c>
    </row>
    <row r="374" customFormat="false" ht="15" hidden="true" customHeight="false" outlineLevel="0" collapsed="false">
      <c r="B374" s="360" t="s">
        <v>2811</v>
      </c>
      <c r="C374" s="381" t="n">
        <v>1</v>
      </c>
      <c r="D374" s="381" t="n">
        <v>0</v>
      </c>
      <c r="E374" s="381" t="n">
        <v>0</v>
      </c>
      <c r="F374" s="359" t="n">
        <v>1</v>
      </c>
      <c r="G374" s="380" t="n">
        <v>0</v>
      </c>
      <c r="H374" s="358" t="n">
        <v>0</v>
      </c>
      <c r="I374" s="358" t="n">
        <v>0</v>
      </c>
      <c r="J374" s="358" t="n">
        <v>0</v>
      </c>
      <c r="K374" s="358" t="n">
        <v>0</v>
      </c>
      <c r="L374" s="358" t="n">
        <v>0</v>
      </c>
      <c r="M374" s="381" t="n">
        <v>1</v>
      </c>
      <c r="N374" s="381" t="n">
        <v>0</v>
      </c>
      <c r="O374" s="381" t="n">
        <v>0</v>
      </c>
      <c r="P374" s="359" t="n">
        <v>1</v>
      </c>
    </row>
    <row r="375" customFormat="false" ht="15" hidden="true" customHeight="false" outlineLevel="0" collapsed="false">
      <c r="B375" s="360" t="s">
        <v>2812</v>
      </c>
      <c r="C375" s="381" t="n">
        <v>1</v>
      </c>
      <c r="D375" s="381" t="n">
        <v>0</v>
      </c>
      <c r="E375" s="381" t="n">
        <v>0</v>
      </c>
      <c r="F375" s="359" t="n">
        <v>1</v>
      </c>
      <c r="G375" s="380" t="n">
        <v>0</v>
      </c>
      <c r="H375" s="358" t="n">
        <v>0</v>
      </c>
      <c r="I375" s="358" t="n">
        <v>0</v>
      </c>
      <c r="J375" s="358" t="n">
        <v>0</v>
      </c>
      <c r="K375" s="358" t="n">
        <v>0</v>
      </c>
      <c r="L375" s="358" t="n">
        <v>0</v>
      </c>
      <c r="M375" s="381" t="n">
        <v>1</v>
      </c>
      <c r="N375" s="381" t="n">
        <v>0</v>
      </c>
      <c r="O375" s="381" t="n">
        <v>0</v>
      </c>
      <c r="P375" s="359" t="n">
        <v>1</v>
      </c>
    </row>
    <row r="376" customFormat="false" ht="15" hidden="true" customHeight="false" outlineLevel="0" collapsed="false">
      <c r="B376" s="360" t="s">
        <v>2813</v>
      </c>
      <c r="C376" s="381" t="n">
        <v>1</v>
      </c>
      <c r="D376" s="381" t="n">
        <v>0</v>
      </c>
      <c r="E376" s="381" t="n">
        <v>0</v>
      </c>
      <c r="F376" s="359" t="n">
        <v>1</v>
      </c>
      <c r="G376" s="380" t="n">
        <v>0</v>
      </c>
      <c r="H376" s="358" t="n">
        <v>0</v>
      </c>
      <c r="I376" s="358" t="n">
        <v>0</v>
      </c>
      <c r="J376" s="358" t="n">
        <v>0</v>
      </c>
      <c r="K376" s="358" t="n">
        <v>0</v>
      </c>
      <c r="L376" s="358" t="n">
        <v>0</v>
      </c>
      <c r="M376" s="381" t="n">
        <v>1</v>
      </c>
      <c r="N376" s="381" t="n">
        <v>0</v>
      </c>
      <c r="O376" s="381" t="n">
        <v>0</v>
      </c>
      <c r="P376" s="359" t="n">
        <v>1</v>
      </c>
    </row>
    <row r="377" customFormat="false" ht="15" hidden="true" customHeight="false" outlineLevel="0" collapsed="false">
      <c r="B377" s="360" t="s">
        <v>2814</v>
      </c>
      <c r="C377" s="381" t="n">
        <v>1</v>
      </c>
      <c r="D377" s="381" t="n">
        <v>0</v>
      </c>
      <c r="E377" s="381" t="n">
        <v>0</v>
      </c>
      <c r="F377" s="359" t="n">
        <v>1</v>
      </c>
      <c r="G377" s="380" t="n">
        <v>0</v>
      </c>
      <c r="H377" s="358" t="n">
        <v>0</v>
      </c>
      <c r="I377" s="358" t="n">
        <v>0</v>
      </c>
      <c r="J377" s="358" t="n">
        <v>0</v>
      </c>
      <c r="K377" s="358" t="n">
        <v>0</v>
      </c>
      <c r="L377" s="358" t="n">
        <v>0</v>
      </c>
      <c r="M377" s="381" t="n">
        <v>1</v>
      </c>
      <c r="N377" s="381" t="n">
        <v>0</v>
      </c>
      <c r="O377" s="381" t="n">
        <v>0</v>
      </c>
      <c r="P377" s="359" t="n">
        <v>1</v>
      </c>
    </row>
    <row r="378" customFormat="false" ht="15" hidden="true" customHeight="false" outlineLevel="0" collapsed="false">
      <c r="B378" s="360" t="s">
        <v>2815</v>
      </c>
      <c r="C378" s="381" t="n">
        <v>1</v>
      </c>
      <c r="D378" s="381" t="n">
        <v>0</v>
      </c>
      <c r="E378" s="381" t="n">
        <v>0</v>
      </c>
      <c r="F378" s="359" t="n">
        <v>1</v>
      </c>
      <c r="G378" s="380" t="n">
        <v>0</v>
      </c>
      <c r="H378" s="358" t="n">
        <v>0</v>
      </c>
      <c r="I378" s="358" t="n">
        <v>0</v>
      </c>
      <c r="J378" s="358" t="n">
        <v>0</v>
      </c>
      <c r="K378" s="358" t="n">
        <v>0</v>
      </c>
      <c r="L378" s="358" t="n">
        <v>0</v>
      </c>
      <c r="M378" s="381" t="n">
        <v>1</v>
      </c>
      <c r="N378" s="381" t="n">
        <v>0</v>
      </c>
      <c r="O378" s="381" t="n">
        <v>0</v>
      </c>
      <c r="P378" s="359" t="n">
        <v>1</v>
      </c>
    </row>
    <row r="379" customFormat="false" ht="15" hidden="true" customHeight="false" outlineLevel="0" collapsed="false">
      <c r="B379" s="360" t="s">
        <v>2816</v>
      </c>
      <c r="C379" s="381" t="n">
        <v>1</v>
      </c>
      <c r="D379" s="381" t="n">
        <v>0</v>
      </c>
      <c r="E379" s="381" t="n">
        <v>0</v>
      </c>
      <c r="F379" s="359" t="n">
        <v>1</v>
      </c>
      <c r="G379" s="380" t="n">
        <v>0</v>
      </c>
      <c r="H379" s="358" t="n">
        <v>0</v>
      </c>
      <c r="I379" s="358" t="n">
        <v>0</v>
      </c>
      <c r="J379" s="358" t="n">
        <v>0</v>
      </c>
      <c r="K379" s="358" t="n">
        <v>0</v>
      </c>
      <c r="L379" s="358" t="n">
        <v>0</v>
      </c>
      <c r="M379" s="381" t="n">
        <v>1</v>
      </c>
      <c r="N379" s="381" t="n">
        <v>0</v>
      </c>
      <c r="O379" s="381" t="n">
        <v>0</v>
      </c>
      <c r="P379" s="359" t="n">
        <v>1</v>
      </c>
    </row>
    <row r="380" customFormat="false" ht="15" hidden="true" customHeight="false" outlineLevel="0" collapsed="false">
      <c r="B380" s="360" t="s">
        <v>2817</v>
      </c>
      <c r="C380" s="381" t="n">
        <v>1</v>
      </c>
      <c r="D380" s="381" t="n">
        <v>0</v>
      </c>
      <c r="E380" s="381" t="n">
        <v>0</v>
      </c>
      <c r="F380" s="359" t="n">
        <v>1</v>
      </c>
      <c r="G380" s="380" t="n">
        <v>0</v>
      </c>
      <c r="H380" s="358" t="n">
        <v>0</v>
      </c>
      <c r="I380" s="358" t="n">
        <v>0</v>
      </c>
      <c r="J380" s="358" t="n">
        <v>0</v>
      </c>
      <c r="K380" s="358" t="n">
        <v>0</v>
      </c>
      <c r="L380" s="358" t="n">
        <v>0</v>
      </c>
      <c r="M380" s="381" t="n">
        <v>1</v>
      </c>
      <c r="N380" s="381" t="n">
        <v>0</v>
      </c>
      <c r="O380" s="381" t="n">
        <v>0</v>
      </c>
      <c r="P380" s="359" t="n">
        <v>1</v>
      </c>
    </row>
    <row r="381" customFormat="false" ht="15" hidden="true" customHeight="false" outlineLevel="0" collapsed="false">
      <c r="B381" s="360" t="s">
        <v>2818</v>
      </c>
      <c r="C381" s="381" t="n">
        <v>1</v>
      </c>
      <c r="D381" s="381" t="n">
        <v>0</v>
      </c>
      <c r="E381" s="381" t="n">
        <v>0</v>
      </c>
      <c r="F381" s="359" t="n">
        <v>1</v>
      </c>
      <c r="G381" s="380" t="n">
        <v>0</v>
      </c>
      <c r="H381" s="358" t="n">
        <v>0</v>
      </c>
      <c r="I381" s="358" t="n">
        <v>0</v>
      </c>
      <c r="J381" s="358" t="n">
        <v>0</v>
      </c>
      <c r="K381" s="358" t="n">
        <v>0</v>
      </c>
      <c r="L381" s="358" t="n">
        <v>0</v>
      </c>
      <c r="M381" s="381" t="n">
        <v>1</v>
      </c>
      <c r="N381" s="381" t="n">
        <v>0</v>
      </c>
      <c r="O381" s="381" t="n">
        <v>0</v>
      </c>
      <c r="P381" s="359" t="n">
        <v>1</v>
      </c>
    </row>
    <row r="382" customFormat="false" ht="15" hidden="true" customHeight="false" outlineLevel="0" collapsed="false">
      <c r="B382" s="360" t="s">
        <v>2819</v>
      </c>
      <c r="C382" s="381" t="n">
        <v>1</v>
      </c>
      <c r="D382" s="381" t="n">
        <v>0</v>
      </c>
      <c r="E382" s="381" t="n">
        <v>0</v>
      </c>
      <c r="F382" s="359" t="n">
        <v>1</v>
      </c>
      <c r="G382" s="380" t="n">
        <v>0</v>
      </c>
      <c r="H382" s="358" t="n">
        <v>0</v>
      </c>
      <c r="I382" s="358" t="n">
        <v>0</v>
      </c>
      <c r="J382" s="358" t="n">
        <v>0</v>
      </c>
      <c r="K382" s="358" t="n">
        <v>0</v>
      </c>
      <c r="L382" s="358" t="n">
        <v>0</v>
      </c>
      <c r="M382" s="381" t="n">
        <v>1</v>
      </c>
      <c r="N382" s="381" t="n">
        <v>0</v>
      </c>
      <c r="O382" s="381" t="n">
        <v>0</v>
      </c>
      <c r="P382" s="359" t="n">
        <v>1</v>
      </c>
    </row>
    <row r="383" customFormat="false" ht="15" hidden="true" customHeight="false" outlineLevel="0" collapsed="false">
      <c r="B383" s="360" t="s">
        <v>2820</v>
      </c>
      <c r="C383" s="381" t="n">
        <v>1</v>
      </c>
      <c r="D383" s="381" t="n">
        <v>0</v>
      </c>
      <c r="E383" s="381" t="n">
        <v>0</v>
      </c>
      <c r="F383" s="359" t="n">
        <v>1</v>
      </c>
      <c r="G383" s="380" t="n">
        <v>0</v>
      </c>
      <c r="H383" s="358" t="n">
        <v>0</v>
      </c>
      <c r="I383" s="358" t="n">
        <v>0</v>
      </c>
      <c r="J383" s="358" t="n">
        <v>0</v>
      </c>
      <c r="K383" s="358" t="n">
        <v>0</v>
      </c>
      <c r="L383" s="358" t="n">
        <v>0</v>
      </c>
      <c r="M383" s="381" t="n">
        <v>1</v>
      </c>
      <c r="N383" s="381" t="n">
        <v>0</v>
      </c>
      <c r="O383" s="381" t="n">
        <v>0</v>
      </c>
      <c r="P383" s="359" t="n">
        <v>1</v>
      </c>
    </row>
    <row r="384" customFormat="false" ht="15" hidden="true" customHeight="false" outlineLevel="0" collapsed="false">
      <c r="B384" s="360" t="s">
        <v>2821</v>
      </c>
      <c r="C384" s="381" t="n">
        <v>1</v>
      </c>
      <c r="D384" s="381" t="n">
        <v>0</v>
      </c>
      <c r="E384" s="381" t="n">
        <v>0</v>
      </c>
      <c r="F384" s="359" t="n">
        <v>1</v>
      </c>
      <c r="G384" s="380" t="n">
        <v>0</v>
      </c>
      <c r="H384" s="358" t="n">
        <v>0</v>
      </c>
      <c r="I384" s="358" t="n">
        <v>0</v>
      </c>
      <c r="J384" s="358" t="n">
        <v>0</v>
      </c>
      <c r="K384" s="358" t="n">
        <v>0</v>
      </c>
      <c r="L384" s="358" t="n">
        <v>0</v>
      </c>
      <c r="M384" s="381" t="n">
        <v>1</v>
      </c>
      <c r="N384" s="381" t="n">
        <v>0</v>
      </c>
      <c r="O384" s="381" t="n">
        <v>0</v>
      </c>
      <c r="P384" s="359" t="n">
        <v>1</v>
      </c>
    </row>
    <row r="385" customFormat="false" ht="15" hidden="true" customHeight="false" outlineLevel="0" collapsed="false">
      <c r="B385" s="360" t="s">
        <v>2822</v>
      </c>
      <c r="C385" s="382" t="n">
        <v>1</v>
      </c>
      <c r="D385" s="381" t="n">
        <v>0</v>
      </c>
      <c r="E385" s="381" t="n">
        <v>0</v>
      </c>
      <c r="F385" s="359" t="n">
        <v>1</v>
      </c>
      <c r="G385" s="380" t="n">
        <v>0</v>
      </c>
      <c r="H385" s="358" t="n">
        <v>0</v>
      </c>
      <c r="I385" s="358" t="n">
        <v>0</v>
      </c>
      <c r="J385" s="358" t="n">
        <v>0</v>
      </c>
      <c r="K385" s="358" t="n">
        <v>0</v>
      </c>
      <c r="L385" s="358" t="n">
        <v>0</v>
      </c>
      <c r="M385" s="382" t="n">
        <v>1</v>
      </c>
      <c r="N385" s="381" t="n">
        <v>0</v>
      </c>
      <c r="O385" s="381" t="n">
        <v>0</v>
      </c>
      <c r="P385" s="359" t="n">
        <v>1</v>
      </c>
    </row>
    <row r="386" customFormat="false" ht="15" hidden="true" customHeight="false" outlineLevel="0" collapsed="false">
      <c r="B386" s="360" t="s">
        <v>2823</v>
      </c>
      <c r="C386" s="382" t="n">
        <v>1</v>
      </c>
      <c r="D386" s="381" t="n">
        <v>0</v>
      </c>
      <c r="E386" s="381" t="n">
        <v>0</v>
      </c>
      <c r="F386" s="359" t="n">
        <v>1</v>
      </c>
      <c r="G386" s="380" t="n">
        <v>0</v>
      </c>
      <c r="H386" s="358" t="n">
        <v>0</v>
      </c>
      <c r="I386" s="358" t="n">
        <v>0</v>
      </c>
      <c r="J386" s="358" t="n">
        <v>0</v>
      </c>
      <c r="K386" s="358" t="n">
        <v>0</v>
      </c>
      <c r="L386" s="358" t="n">
        <v>0</v>
      </c>
      <c r="M386" s="382" t="n">
        <v>1</v>
      </c>
      <c r="N386" s="381" t="n">
        <v>0</v>
      </c>
      <c r="O386" s="381" t="n">
        <v>0</v>
      </c>
      <c r="P386" s="359" t="n">
        <v>1</v>
      </c>
    </row>
    <row r="387" customFormat="false" ht="15" hidden="true" customHeight="false" outlineLevel="0" collapsed="false">
      <c r="B387" s="360" t="s">
        <v>2824</v>
      </c>
      <c r="C387" s="382" t="n">
        <v>1</v>
      </c>
      <c r="D387" s="381" t="n">
        <v>0</v>
      </c>
      <c r="E387" s="381" t="n">
        <v>0</v>
      </c>
      <c r="F387" s="359" t="n">
        <v>1</v>
      </c>
      <c r="G387" s="380" t="n">
        <v>0</v>
      </c>
      <c r="H387" s="358" t="n">
        <v>0</v>
      </c>
      <c r="I387" s="358" t="n">
        <v>0</v>
      </c>
      <c r="J387" s="358" t="n">
        <v>0</v>
      </c>
      <c r="K387" s="358" t="n">
        <v>0</v>
      </c>
      <c r="L387" s="358" t="n">
        <v>0</v>
      </c>
      <c r="M387" s="382" t="n">
        <v>1</v>
      </c>
      <c r="N387" s="381" t="n">
        <v>0</v>
      </c>
      <c r="O387" s="381" t="n">
        <v>0</v>
      </c>
      <c r="P387" s="359" t="n">
        <v>1</v>
      </c>
    </row>
    <row r="388" customFormat="false" ht="15" hidden="true" customHeight="false" outlineLevel="0" collapsed="false">
      <c r="B388" s="360" t="s">
        <v>2825</v>
      </c>
      <c r="C388" s="382" t="n">
        <v>1</v>
      </c>
      <c r="D388" s="381" t="n">
        <v>0</v>
      </c>
      <c r="E388" s="381" t="n">
        <v>0</v>
      </c>
      <c r="F388" s="359" t="n">
        <v>1</v>
      </c>
      <c r="G388" s="380" t="n">
        <v>0</v>
      </c>
      <c r="H388" s="358" t="n">
        <v>0</v>
      </c>
      <c r="I388" s="358" t="n">
        <v>0</v>
      </c>
      <c r="J388" s="358" t="n">
        <v>0</v>
      </c>
      <c r="K388" s="358" t="n">
        <v>0</v>
      </c>
      <c r="L388" s="358" t="n">
        <v>0</v>
      </c>
      <c r="M388" s="382" t="n">
        <v>1</v>
      </c>
      <c r="N388" s="381" t="n">
        <v>0</v>
      </c>
      <c r="O388" s="381" t="n">
        <v>0</v>
      </c>
      <c r="P388" s="359" t="n">
        <v>1</v>
      </c>
    </row>
    <row r="389" customFormat="false" ht="15" hidden="false" customHeight="false" outlineLevel="0" collapsed="false">
      <c r="B389" s="383" t="s">
        <v>2465</v>
      </c>
      <c r="C389" s="363" t="n">
        <v>599</v>
      </c>
      <c r="D389" s="363" t="n">
        <v>39</v>
      </c>
      <c r="E389" s="363" t="n">
        <v>11</v>
      </c>
      <c r="F389" s="363" t="n">
        <v>649</v>
      </c>
      <c r="G389" s="384" t="n">
        <v>5</v>
      </c>
      <c r="H389" s="363" t="n">
        <v>-1</v>
      </c>
      <c r="I389" s="363" t="n">
        <v>0</v>
      </c>
      <c r="J389" s="363" t="n">
        <v>0</v>
      </c>
      <c r="K389" s="363" t="n">
        <v>-2</v>
      </c>
      <c r="L389" s="363" t="n">
        <v>-2</v>
      </c>
      <c r="M389" s="363" t="n">
        <v>603</v>
      </c>
      <c r="N389" s="363" t="n">
        <v>37</v>
      </c>
      <c r="O389" s="363" t="n">
        <v>9</v>
      </c>
      <c r="P389" s="363" t="n">
        <v>649</v>
      </c>
    </row>
    <row r="390" customFormat="false" ht="15" hidden="false" customHeight="false" outlineLevel="0" collapsed="false">
      <c r="B390" s="356" t="s">
        <v>2466</v>
      </c>
      <c r="C390" s="379" t="n">
        <v>466</v>
      </c>
      <c r="D390" s="379" t="n">
        <v>34</v>
      </c>
      <c r="E390" s="379" t="n">
        <v>8</v>
      </c>
      <c r="F390" s="357" t="n">
        <v>508</v>
      </c>
      <c r="G390" s="380" t="n">
        <v>5</v>
      </c>
      <c r="H390" s="358" t="n">
        <v>-1</v>
      </c>
      <c r="I390" s="358" t="n">
        <v>0</v>
      </c>
      <c r="J390" s="358" t="n">
        <v>0</v>
      </c>
      <c r="K390" s="358" t="n">
        <v>-2</v>
      </c>
      <c r="L390" s="358" t="n">
        <v>-2</v>
      </c>
      <c r="M390" s="379" t="n">
        <v>470</v>
      </c>
      <c r="N390" s="379" t="n">
        <v>32</v>
      </c>
      <c r="O390" s="379" t="n">
        <v>6</v>
      </c>
      <c r="P390" s="357" t="n">
        <v>508</v>
      </c>
    </row>
    <row r="391" customFormat="false" ht="15" hidden="false" customHeight="false" outlineLevel="0" collapsed="false">
      <c r="B391" s="313" t="s">
        <v>2466</v>
      </c>
      <c r="C391" s="379" t="n">
        <v>3</v>
      </c>
      <c r="D391" s="379" t="n">
        <v>2</v>
      </c>
      <c r="E391" s="379" t="n">
        <v>0</v>
      </c>
      <c r="F391" s="357" t="n">
        <v>5</v>
      </c>
      <c r="G391" s="380" t="n">
        <v>0</v>
      </c>
      <c r="H391" s="358" t="n">
        <v>0</v>
      </c>
      <c r="I391" s="358" t="n">
        <v>0</v>
      </c>
      <c r="J391" s="358" t="n">
        <v>0</v>
      </c>
      <c r="K391" s="358" t="n">
        <v>0</v>
      </c>
      <c r="L391" s="358" t="n">
        <v>0</v>
      </c>
      <c r="M391" s="379" t="n">
        <v>3</v>
      </c>
      <c r="N391" s="379" t="n">
        <v>2</v>
      </c>
      <c r="O391" s="379" t="n">
        <v>0</v>
      </c>
      <c r="P391" s="357" t="n">
        <v>5</v>
      </c>
    </row>
    <row r="392" customFormat="false" ht="15" hidden="true" customHeight="false" outlineLevel="0" collapsed="false">
      <c r="B392" s="360" t="s">
        <v>3566</v>
      </c>
      <c r="C392" s="381" t="n">
        <v>0</v>
      </c>
      <c r="D392" s="381" t="n">
        <v>1</v>
      </c>
      <c r="E392" s="381" t="n">
        <v>0</v>
      </c>
      <c r="F392" s="359" t="n">
        <v>1</v>
      </c>
      <c r="G392" s="380" t="n">
        <v>0</v>
      </c>
      <c r="H392" s="358" t="n">
        <v>0</v>
      </c>
      <c r="I392" s="358" t="n">
        <v>0</v>
      </c>
      <c r="J392" s="358" t="n">
        <v>0</v>
      </c>
      <c r="K392" s="358" t="n">
        <v>0</v>
      </c>
      <c r="L392" s="358" t="n">
        <v>0</v>
      </c>
      <c r="M392" s="381" t="n">
        <v>0</v>
      </c>
      <c r="N392" s="381" t="n">
        <v>1</v>
      </c>
      <c r="O392" s="381" t="n">
        <v>0</v>
      </c>
      <c r="P392" s="359" t="n">
        <v>1</v>
      </c>
    </row>
    <row r="393" customFormat="false" ht="15" hidden="true" customHeight="false" outlineLevel="0" collapsed="false">
      <c r="B393" s="360" t="s">
        <v>3567</v>
      </c>
      <c r="C393" s="381" t="n">
        <v>0</v>
      </c>
      <c r="D393" s="381" t="n">
        <v>1</v>
      </c>
      <c r="E393" s="381" t="n">
        <v>0</v>
      </c>
      <c r="F393" s="359" t="n">
        <v>1</v>
      </c>
      <c r="G393" s="380" t="n">
        <v>0</v>
      </c>
      <c r="H393" s="358" t="n">
        <v>0</v>
      </c>
      <c r="I393" s="358" t="n">
        <v>0</v>
      </c>
      <c r="J393" s="358" t="n">
        <v>0</v>
      </c>
      <c r="K393" s="358" t="n">
        <v>0</v>
      </c>
      <c r="L393" s="358" t="n">
        <v>0</v>
      </c>
      <c r="M393" s="381" t="n">
        <v>0</v>
      </c>
      <c r="N393" s="381" t="n">
        <v>1</v>
      </c>
      <c r="O393" s="381" t="n">
        <v>0</v>
      </c>
      <c r="P393" s="359" t="n">
        <v>1</v>
      </c>
    </row>
    <row r="394" customFormat="false" ht="15" hidden="true" customHeight="false" outlineLevel="0" collapsed="false">
      <c r="B394" s="360" t="s">
        <v>2826</v>
      </c>
      <c r="C394" s="381" t="n">
        <v>1</v>
      </c>
      <c r="D394" s="381" t="n">
        <v>0</v>
      </c>
      <c r="E394" s="381" t="n">
        <v>0</v>
      </c>
      <c r="F394" s="359" t="n">
        <v>1</v>
      </c>
      <c r="G394" s="380" t="n">
        <v>0</v>
      </c>
      <c r="H394" s="358" t="n">
        <v>0</v>
      </c>
      <c r="I394" s="358" t="n">
        <v>0</v>
      </c>
      <c r="J394" s="358" t="n">
        <v>0</v>
      </c>
      <c r="K394" s="358" t="n">
        <v>0</v>
      </c>
      <c r="L394" s="358" t="n">
        <v>0</v>
      </c>
      <c r="M394" s="381" t="n">
        <v>1</v>
      </c>
      <c r="N394" s="381" t="n">
        <v>0</v>
      </c>
      <c r="O394" s="381" t="n">
        <v>0</v>
      </c>
      <c r="P394" s="359" t="n">
        <v>1</v>
      </c>
    </row>
    <row r="395" customFormat="false" ht="15" hidden="true" customHeight="false" outlineLevel="0" collapsed="false">
      <c r="B395" s="360" t="s">
        <v>2827</v>
      </c>
      <c r="C395" s="381" t="n">
        <v>1</v>
      </c>
      <c r="D395" s="381" t="n">
        <v>0</v>
      </c>
      <c r="E395" s="381" t="n">
        <v>0</v>
      </c>
      <c r="F395" s="359" t="n">
        <v>1</v>
      </c>
      <c r="G395" s="380" t="n">
        <v>0</v>
      </c>
      <c r="H395" s="358" t="n">
        <v>0</v>
      </c>
      <c r="I395" s="358" t="n">
        <v>0</v>
      </c>
      <c r="J395" s="358" t="n">
        <v>0</v>
      </c>
      <c r="K395" s="358" t="n">
        <v>0</v>
      </c>
      <c r="L395" s="358" t="n">
        <v>0</v>
      </c>
      <c r="M395" s="381" t="n">
        <v>1</v>
      </c>
      <c r="N395" s="381" t="n">
        <v>0</v>
      </c>
      <c r="O395" s="381" t="n">
        <v>0</v>
      </c>
      <c r="P395" s="359" t="n">
        <v>1</v>
      </c>
    </row>
    <row r="396" customFormat="false" ht="15" hidden="true" customHeight="false" outlineLevel="0" collapsed="false">
      <c r="B396" s="360" t="s">
        <v>2828</v>
      </c>
      <c r="C396" s="381" t="n">
        <v>1</v>
      </c>
      <c r="D396" s="381" t="n">
        <v>0</v>
      </c>
      <c r="E396" s="381" t="n">
        <v>0</v>
      </c>
      <c r="F396" s="359" t="n">
        <v>1</v>
      </c>
      <c r="G396" s="380" t="n">
        <v>0</v>
      </c>
      <c r="H396" s="358" t="n">
        <v>0</v>
      </c>
      <c r="I396" s="358" t="n">
        <v>0</v>
      </c>
      <c r="J396" s="358" t="n">
        <v>0</v>
      </c>
      <c r="K396" s="358" t="n">
        <v>0</v>
      </c>
      <c r="L396" s="358" t="n">
        <v>0</v>
      </c>
      <c r="M396" s="381" t="n">
        <v>1</v>
      </c>
      <c r="N396" s="381" t="n">
        <v>0</v>
      </c>
      <c r="O396" s="381" t="n">
        <v>0</v>
      </c>
      <c r="P396" s="359" t="n">
        <v>1</v>
      </c>
    </row>
    <row r="397" customFormat="false" ht="15" hidden="false" customHeight="false" outlineLevel="0" collapsed="false">
      <c r="B397" s="313" t="s">
        <v>2467</v>
      </c>
      <c r="C397" s="379" t="n">
        <v>123</v>
      </c>
      <c r="D397" s="379" t="n">
        <v>5</v>
      </c>
      <c r="E397" s="379" t="n">
        <v>1</v>
      </c>
      <c r="F397" s="357" t="n">
        <v>129</v>
      </c>
      <c r="G397" s="380" t="n">
        <v>1</v>
      </c>
      <c r="H397" s="358" t="n">
        <v>0</v>
      </c>
      <c r="I397" s="358" t="n">
        <v>0</v>
      </c>
      <c r="J397" s="358" t="n">
        <v>0</v>
      </c>
      <c r="K397" s="358" t="n">
        <v>0</v>
      </c>
      <c r="L397" s="358" t="n">
        <v>-1</v>
      </c>
      <c r="M397" s="379" t="n">
        <v>124</v>
      </c>
      <c r="N397" s="379" t="n">
        <v>5</v>
      </c>
      <c r="O397" s="379" t="n">
        <v>0</v>
      </c>
      <c r="P397" s="357" t="n">
        <v>129</v>
      </c>
    </row>
    <row r="398" customFormat="false" ht="15" hidden="false" customHeight="false" outlineLevel="0" collapsed="false">
      <c r="B398" s="364" t="s">
        <v>2467</v>
      </c>
      <c r="C398" s="385" t="n">
        <v>64</v>
      </c>
      <c r="D398" s="385" t="n">
        <v>3</v>
      </c>
      <c r="E398" s="385" t="n">
        <v>0</v>
      </c>
      <c r="F398" s="365" t="n">
        <v>67</v>
      </c>
      <c r="G398" s="380" t="n">
        <v>0</v>
      </c>
      <c r="H398" s="358" t="n">
        <v>0</v>
      </c>
      <c r="I398" s="358" t="n">
        <v>0</v>
      </c>
      <c r="J398" s="358" t="n">
        <v>0</v>
      </c>
      <c r="K398" s="358" t="n">
        <v>0</v>
      </c>
      <c r="L398" s="358" t="n">
        <v>0</v>
      </c>
      <c r="M398" s="385" t="n">
        <v>64</v>
      </c>
      <c r="N398" s="385" t="n">
        <v>3</v>
      </c>
      <c r="O398" s="385" t="n">
        <v>0</v>
      </c>
      <c r="P398" s="365" t="n">
        <v>67</v>
      </c>
    </row>
    <row r="399" customFormat="false" ht="15" hidden="true" customHeight="false" outlineLevel="0" collapsed="false">
      <c r="B399" s="360" t="s">
        <v>3568</v>
      </c>
      <c r="C399" s="381" t="n">
        <v>0</v>
      </c>
      <c r="D399" s="381" t="n">
        <v>1</v>
      </c>
      <c r="E399" s="381" t="n">
        <v>0</v>
      </c>
      <c r="F399" s="359" t="n">
        <v>1</v>
      </c>
      <c r="G399" s="380" t="n">
        <v>0</v>
      </c>
      <c r="H399" s="358" t="n">
        <v>0</v>
      </c>
      <c r="I399" s="358" t="n">
        <v>0</v>
      </c>
      <c r="J399" s="358" t="n">
        <v>0</v>
      </c>
      <c r="K399" s="358" t="n">
        <v>0</v>
      </c>
      <c r="L399" s="358" t="n">
        <v>0</v>
      </c>
      <c r="M399" s="381" t="n">
        <v>0</v>
      </c>
      <c r="N399" s="381" t="n">
        <v>1</v>
      </c>
      <c r="O399" s="381" t="n">
        <v>0</v>
      </c>
      <c r="P399" s="359" t="n">
        <v>1</v>
      </c>
    </row>
    <row r="400" customFormat="false" ht="15" hidden="true" customHeight="false" outlineLevel="0" collapsed="false">
      <c r="B400" s="360" t="s">
        <v>3569</v>
      </c>
      <c r="C400" s="381" t="n">
        <v>0</v>
      </c>
      <c r="D400" s="381" t="n">
        <v>1</v>
      </c>
      <c r="E400" s="381" t="n">
        <v>0</v>
      </c>
      <c r="F400" s="359" t="n">
        <v>1</v>
      </c>
      <c r="G400" s="380" t="n">
        <v>0</v>
      </c>
      <c r="H400" s="358" t="n">
        <v>0</v>
      </c>
      <c r="I400" s="358" t="n">
        <v>0</v>
      </c>
      <c r="J400" s="358" t="n">
        <v>0</v>
      </c>
      <c r="K400" s="358" t="n">
        <v>0</v>
      </c>
      <c r="L400" s="358" t="n">
        <v>0</v>
      </c>
      <c r="M400" s="381" t="n">
        <v>0</v>
      </c>
      <c r="N400" s="381" t="n">
        <v>1</v>
      </c>
      <c r="O400" s="381" t="n">
        <v>0</v>
      </c>
      <c r="P400" s="359" t="n">
        <v>1</v>
      </c>
    </row>
    <row r="401" customFormat="false" ht="15" hidden="true" customHeight="false" outlineLevel="0" collapsed="false">
      <c r="B401" s="361" t="s">
        <v>3570</v>
      </c>
      <c r="C401" s="381" t="n">
        <v>0</v>
      </c>
      <c r="D401" s="381" t="n">
        <v>1</v>
      </c>
      <c r="E401" s="381" t="n">
        <v>0</v>
      </c>
      <c r="F401" s="359" t="n">
        <v>1</v>
      </c>
      <c r="G401" s="380" t="n">
        <v>0</v>
      </c>
      <c r="H401" s="358" t="n">
        <v>0</v>
      </c>
      <c r="I401" s="358" t="n">
        <v>0</v>
      </c>
      <c r="J401" s="358" t="n">
        <v>0</v>
      </c>
      <c r="K401" s="358" t="n">
        <v>0</v>
      </c>
      <c r="L401" s="358" t="n">
        <v>0</v>
      </c>
      <c r="M401" s="381" t="n">
        <v>0</v>
      </c>
      <c r="N401" s="381" t="n">
        <v>1</v>
      </c>
      <c r="O401" s="381" t="n">
        <v>0</v>
      </c>
      <c r="P401" s="359" t="n">
        <v>1</v>
      </c>
    </row>
    <row r="402" customFormat="false" ht="15" hidden="true" customHeight="false" outlineLevel="0" collapsed="false">
      <c r="B402" s="360" t="s">
        <v>2829</v>
      </c>
      <c r="C402" s="381" t="n">
        <v>1</v>
      </c>
      <c r="D402" s="381" t="n">
        <v>0</v>
      </c>
      <c r="E402" s="381" t="n">
        <v>0</v>
      </c>
      <c r="F402" s="359" t="n">
        <v>1</v>
      </c>
      <c r="G402" s="380" t="n">
        <v>0</v>
      </c>
      <c r="H402" s="358" t="n">
        <v>0</v>
      </c>
      <c r="I402" s="358" t="n">
        <v>0</v>
      </c>
      <c r="J402" s="358" t="n">
        <v>0</v>
      </c>
      <c r="K402" s="358" t="n">
        <v>0</v>
      </c>
      <c r="L402" s="358" t="n">
        <v>0</v>
      </c>
      <c r="M402" s="381" t="n">
        <v>1</v>
      </c>
      <c r="N402" s="381" t="n">
        <v>0</v>
      </c>
      <c r="O402" s="381" t="n">
        <v>0</v>
      </c>
      <c r="P402" s="359" t="n">
        <v>1</v>
      </c>
    </row>
    <row r="403" customFormat="false" ht="15" hidden="true" customHeight="false" outlineLevel="0" collapsed="false">
      <c r="B403" s="360" t="s">
        <v>2830</v>
      </c>
      <c r="C403" s="381" t="n">
        <v>1</v>
      </c>
      <c r="D403" s="381" t="n">
        <v>0</v>
      </c>
      <c r="E403" s="381" t="n">
        <v>0</v>
      </c>
      <c r="F403" s="359" t="n">
        <v>1</v>
      </c>
      <c r="G403" s="380" t="n">
        <v>0</v>
      </c>
      <c r="H403" s="358" t="n">
        <v>0</v>
      </c>
      <c r="I403" s="358" t="n">
        <v>0</v>
      </c>
      <c r="J403" s="358" t="n">
        <v>0</v>
      </c>
      <c r="K403" s="358" t="n">
        <v>0</v>
      </c>
      <c r="L403" s="358" t="n">
        <v>0</v>
      </c>
      <c r="M403" s="381" t="n">
        <v>1</v>
      </c>
      <c r="N403" s="381" t="n">
        <v>0</v>
      </c>
      <c r="O403" s="381" t="n">
        <v>0</v>
      </c>
      <c r="P403" s="359" t="n">
        <v>1</v>
      </c>
    </row>
    <row r="404" customFormat="false" ht="15" hidden="true" customHeight="false" outlineLevel="0" collapsed="false">
      <c r="B404" s="360" t="s">
        <v>2831</v>
      </c>
      <c r="C404" s="381" t="n">
        <v>1</v>
      </c>
      <c r="D404" s="381" t="n">
        <v>0</v>
      </c>
      <c r="E404" s="381" t="n">
        <v>0</v>
      </c>
      <c r="F404" s="359" t="n">
        <v>1</v>
      </c>
      <c r="G404" s="380" t="n">
        <v>0</v>
      </c>
      <c r="H404" s="358" t="n">
        <v>0</v>
      </c>
      <c r="I404" s="358" t="n">
        <v>0</v>
      </c>
      <c r="J404" s="358" t="n">
        <v>0</v>
      </c>
      <c r="K404" s="358" t="n">
        <v>0</v>
      </c>
      <c r="L404" s="358" t="n">
        <v>0</v>
      </c>
      <c r="M404" s="381" t="n">
        <v>1</v>
      </c>
      <c r="N404" s="381" t="n">
        <v>0</v>
      </c>
      <c r="O404" s="381" t="n">
        <v>0</v>
      </c>
      <c r="P404" s="359" t="n">
        <v>1</v>
      </c>
    </row>
    <row r="405" customFormat="false" ht="15" hidden="true" customHeight="false" outlineLevel="0" collapsed="false">
      <c r="B405" s="360" t="s">
        <v>2832</v>
      </c>
      <c r="C405" s="381" t="n">
        <v>1</v>
      </c>
      <c r="D405" s="381" t="n">
        <v>0</v>
      </c>
      <c r="E405" s="381" t="n">
        <v>0</v>
      </c>
      <c r="F405" s="359" t="n">
        <v>1</v>
      </c>
      <c r="G405" s="380" t="n">
        <v>0</v>
      </c>
      <c r="H405" s="358" t="n">
        <v>0</v>
      </c>
      <c r="I405" s="358" t="n">
        <v>0</v>
      </c>
      <c r="J405" s="358" t="n">
        <v>0</v>
      </c>
      <c r="K405" s="358" t="n">
        <v>0</v>
      </c>
      <c r="L405" s="358" t="n">
        <v>0</v>
      </c>
      <c r="M405" s="381" t="n">
        <v>1</v>
      </c>
      <c r="N405" s="381" t="n">
        <v>0</v>
      </c>
      <c r="O405" s="381" t="n">
        <v>0</v>
      </c>
      <c r="P405" s="359" t="n">
        <v>1</v>
      </c>
    </row>
    <row r="406" customFormat="false" ht="15" hidden="true" customHeight="false" outlineLevel="0" collapsed="false">
      <c r="B406" s="360" t="s">
        <v>2833</v>
      </c>
      <c r="C406" s="381" t="n">
        <v>1</v>
      </c>
      <c r="D406" s="381" t="n">
        <v>0</v>
      </c>
      <c r="E406" s="381" t="n">
        <v>0</v>
      </c>
      <c r="F406" s="359" t="n">
        <v>1</v>
      </c>
      <c r="G406" s="380" t="n">
        <v>0</v>
      </c>
      <c r="H406" s="358" t="n">
        <v>0</v>
      </c>
      <c r="I406" s="358" t="n">
        <v>0</v>
      </c>
      <c r="J406" s="358" t="n">
        <v>0</v>
      </c>
      <c r="K406" s="358" t="n">
        <v>0</v>
      </c>
      <c r="L406" s="358" t="n">
        <v>0</v>
      </c>
      <c r="M406" s="381" t="n">
        <v>1</v>
      </c>
      <c r="N406" s="381" t="n">
        <v>0</v>
      </c>
      <c r="O406" s="381" t="n">
        <v>0</v>
      </c>
      <c r="P406" s="359" t="n">
        <v>1</v>
      </c>
    </row>
    <row r="407" customFormat="false" ht="15" hidden="true" customHeight="false" outlineLevel="0" collapsed="false">
      <c r="B407" s="360" t="s">
        <v>2834</v>
      </c>
      <c r="C407" s="381" t="n">
        <v>1</v>
      </c>
      <c r="D407" s="381" t="n">
        <v>0</v>
      </c>
      <c r="E407" s="381" t="n">
        <v>0</v>
      </c>
      <c r="F407" s="359" t="n">
        <v>1</v>
      </c>
      <c r="G407" s="380" t="n">
        <v>0</v>
      </c>
      <c r="H407" s="358" t="n">
        <v>0</v>
      </c>
      <c r="I407" s="358" t="n">
        <v>0</v>
      </c>
      <c r="J407" s="358" t="n">
        <v>0</v>
      </c>
      <c r="K407" s="358" t="n">
        <v>0</v>
      </c>
      <c r="L407" s="358" t="n">
        <v>0</v>
      </c>
      <c r="M407" s="381" t="n">
        <v>1</v>
      </c>
      <c r="N407" s="381" t="n">
        <v>0</v>
      </c>
      <c r="O407" s="381" t="n">
        <v>0</v>
      </c>
      <c r="P407" s="359" t="n">
        <v>1</v>
      </c>
    </row>
    <row r="408" customFormat="false" ht="15" hidden="true" customHeight="false" outlineLevel="0" collapsed="false">
      <c r="B408" s="360" t="s">
        <v>2835</v>
      </c>
      <c r="C408" s="381" t="n">
        <v>1</v>
      </c>
      <c r="D408" s="381" t="n">
        <v>0</v>
      </c>
      <c r="E408" s="381" t="n">
        <v>0</v>
      </c>
      <c r="F408" s="359" t="n">
        <v>1</v>
      </c>
      <c r="G408" s="380" t="n">
        <v>0</v>
      </c>
      <c r="H408" s="358" t="n">
        <v>0</v>
      </c>
      <c r="I408" s="358" t="n">
        <v>0</v>
      </c>
      <c r="J408" s="358" t="n">
        <v>0</v>
      </c>
      <c r="K408" s="358" t="n">
        <v>0</v>
      </c>
      <c r="L408" s="358" t="n">
        <v>0</v>
      </c>
      <c r="M408" s="381" t="n">
        <v>1</v>
      </c>
      <c r="N408" s="381" t="n">
        <v>0</v>
      </c>
      <c r="O408" s="381" t="n">
        <v>0</v>
      </c>
      <c r="P408" s="359" t="n">
        <v>1</v>
      </c>
    </row>
    <row r="409" customFormat="false" ht="15" hidden="true" customHeight="false" outlineLevel="0" collapsed="false">
      <c r="B409" s="360" t="s">
        <v>2836</v>
      </c>
      <c r="C409" s="381" t="n">
        <v>1</v>
      </c>
      <c r="D409" s="381" t="n">
        <v>0</v>
      </c>
      <c r="E409" s="381" t="n">
        <v>0</v>
      </c>
      <c r="F409" s="359" t="n">
        <v>1</v>
      </c>
      <c r="G409" s="380" t="n">
        <v>0</v>
      </c>
      <c r="H409" s="358" t="n">
        <v>0</v>
      </c>
      <c r="I409" s="358" t="n">
        <v>0</v>
      </c>
      <c r="J409" s="358" t="n">
        <v>0</v>
      </c>
      <c r="K409" s="358" t="n">
        <v>0</v>
      </c>
      <c r="L409" s="358" t="n">
        <v>0</v>
      </c>
      <c r="M409" s="381" t="n">
        <v>1</v>
      </c>
      <c r="N409" s="381" t="n">
        <v>0</v>
      </c>
      <c r="O409" s="381" t="n">
        <v>0</v>
      </c>
      <c r="P409" s="359" t="n">
        <v>1</v>
      </c>
    </row>
    <row r="410" customFormat="false" ht="15" hidden="true" customHeight="false" outlineLevel="0" collapsed="false">
      <c r="B410" s="360" t="s">
        <v>2837</v>
      </c>
      <c r="C410" s="381" t="n">
        <v>1</v>
      </c>
      <c r="D410" s="381" t="n">
        <v>0</v>
      </c>
      <c r="E410" s="381" t="n">
        <v>0</v>
      </c>
      <c r="F410" s="359" t="n">
        <v>1</v>
      </c>
      <c r="G410" s="380" t="n">
        <v>0</v>
      </c>
      <c r="H410" s="358" t="n">
        <v>0</v>
      </c>
      <c r="I410" s="358" t="n">
        <v>0</v>
      </c>
      <c r="J410" s="358" t="n">
        <v>0</v>
      </c>
      <c r="K410" s="358" t="n">
        <v>0</v>
      </c>
      <c r="L410" s="358" t="n">
        <v>0</v>
      </c>
      <c r="M410" s="381" t="n">
        <v>1</v>
      </c>
      <c r="N410" s="381" t="n">
        <v>0</v>
      </c>
      <c r="O410" s="381" t="n">
        <v>0</v>
      </c>
      <c r="P410" s="359" t="n">
        <v>1</v>
      </c>
    </row>
    <row r="411" customFormat="false" ht="15" hidden="true" customHeight="false" outlineLevel="0" collapsed="false">
      <c r="B411" s="360" t="s">
        <v>2838</v>
      </c>
      <c r="C411" s="381" t="n">
        <v>1</v>
      </c>
      <c r="D411" s="381" t="n">
        <v>0</v>
      </c>
      <c r="E411" s="381" t="n">
        <v>0</v>
      </c>
      <c r="F411" s="359" t="n">
        <v>1</v>
      </c>
      <c r="G411" s="380" t="n">
        <v>0</v>
      </c>
      <c r="H411" s="358" t="n">
        <v>0</v>
      </c>
      <c r="I411" s="358" t="n">
        <v>0</v>
      </c>
      <c r="J411" s="358" t="n">
        <v>0</v>
      </c>
      <c r="K411" s="358" t="n">
        <v>0</v>
      </c>
      <c r="L411" s="358" t="n">
        <v>0</v>
      </c>
      <c r="M411" s="381" t="n">
        <v>1</v>
      </c>
      <c r="N411" s="381" t="n">
        <v>0</v>
      </c>
      <c r="O411" s="381" t="n">
        <v>0</v>
      </c>
      <c r="P411" s="359" t="n">
        <v>1</v>
      </c>
    </row>
    <row r="412" customFormat="false" ht="15" hidden="true" customHeight="false" outlineLevel="0" collapsed="false">
      <c r="B412" s="360" t="s">
        <v>2839</v>
      </c>
      <c r="C412" s="381" t="n">
        <v>1</v>
      </c>
      <c r="D412" s="381" t="n">
        <v>0</v>
      </c>
      <c r="E412" s="381" t="n">
        <v>0</v>
      </c>
      <c r="F412" s="359" t="n">
        <v>1</v>
      </c>
      <c r="G412" s="380" t="n">
        <v>0</v>
      </c>
      <c r="H412" s="358" t="n">
        <v>0</v>
      </c>
      <c r="I412" s="358" t="n">
        <v>0</v>
      </c>
      <c r="J412" s="358" t="n">
        <v>0</v>
      </c>
      <c r="K412" s="358" t="n">
        <v>0</v>
      </c>
      <c r="L412" s="358" t="n">
        <v>0</v>
      </c>
      <c r="M412" s="381" t="n">
        <v>1</v>
      </c>
      <c r="N412" s="381" t="n">
        <v>0</v>
      </c>
      <c r="O412" s="381" t="n">
        <v>0</v>
      </c>
      <c r="P412" s="359" t="n">
        <v>1</v>
      </c>
    </row>
    <row r="413" customFormat="false" ht="15" hidden="true" customHeight="false" outlineLevel="0" collapsed="false">
      <c r="B413" s="360" t="s">
        <v>2840</v>
      </c>
      <c r="C413" s="381" t="n">
        <v>1</v>
      </c>
      <c r="D413" s="381" t="n">
        <v>0</v>
      </c>
      <c r="E413" s="381" t="n">
        <v>0</v>
      </c>
      <c r="F413" s="359" t="n">
        <v>1</v>
      </c>
      <c r="G413" s="380" t="n">
        <v>0</v>
      </c>
      <c r="H413" s="358" t="n">
        <v>0</v>
      </c>
      <c r="I413" s="358" t="n">
        <v>0</v>
      </c>
      <c r="J413" s="358" t="n">
        <v>0</v>
      </c>
      <c r="K413" s="358" t="n">
        <v>0</v>
      </c>
      <c r="L413" s="358" t="n">
        <v>0</v>
      </c>
      <c r="M413" s="381" t="n">
        <v>1</v>
      </c>
      <c r="N413" s="381" t="n">
        <v>0</v>
      </c>
      <c r="O413" s="381" t="n">
        <v>0</v>
      </c>
      <c r="P413" s="359" t="n">
        <v>1</v>
      </c>
    </row>
    <row r="414" customFormat="false" ht="15" hidden="true" customHeight="false" outlineLevel="0" collapsed="false">
      <c r="B414" s="360" t="s">
        <v>2841</v>
      </c>
      <c r="C414" s="381" t="n">
        <v>1</v>
      </c>
      <c r="D414" s="381" t="n">
        <v>0</v>
      </c>
      <c r="E414" s="381" t="n">
        <v>0</v>
      </c>
      <c r="F414" s="359" t="n">
        <v>1</v>
      </c>
      <c r="G414" s="380" t="n">
        <v>0</v>
      </c>
      <c r="H414" s="358" t="n">
        <v>0</v>
      </c>
      <c r="I414" s="358" t="n">
        <v>0</v>
      </c>
      <c r="J414" s="358" t="n">
        <v>0</v>
      </c>
      <c r="K414" s="358" t="n">
        <v>0</v>
      </c>
      <c r="L414" s="358" t="n">
        <v>0</v>
      </c>
      <c r="M414" s="381" t="n">
        <v>1</v>
      </c>
      <c r="N414" s="381" t="n">
        <v>0</v>
      </c>
      <c r="O414" s="381" t="n">
        <v>0</v>
      </c>
      <c r="P414" s="359" t="n">
        <v>1</v>
      </c>
    </row>
    <row r="415" customFormat="false" ht="15" hidden="true" customHeight="false" outlineLevel="0" collapsed="false">
      <c r="B415" s="360" t="s">
        <v>2842</v>
      </c>
      <c r="C415" s="381" t="n">
        <v>1</v>
      </c>
      <c r="D415" s="381" t="n">
        <v>0</v>
      </c>
      <c r="E415" s="381" t="n">
        <v>0</v>
      </c>
      <c r="F415" s="359" t="n">
        <v>1</v>
      </c>
      <c r="G415" s="380" t="n">
        <v>0</v>
      </c>
      <c r="H415" s="358" t="n">
        <v>0</v>
      </c>
      <c r="I415" s="358" t="n">
        <v>0</v>
      </c>
      <c r="J415" s="358" t="n">
        <v>0</v>
      </c>
      <c r="K415" s="358" t="n">
        <v>0</v>
      </c>
      <c r="L415" s="358" t="n">
        <v>0</v>
      </c>
      <c r="M415" s="381" t="n">
        <v>1</v>
      </c>
      <c r="N415" s="381" t="n">
        <v>0</v>
      </c>
      <c r="O415" s="381" t="n">
        <v>0</v>
      </c>
      <c r="P415" s="359" t="n">
        <v>1</v>
      </c>
    </row>
    <row r="416" customFormat="false" ht="15" hidden="true" customHeight="false" outlineLevel="0" collapsed="false">
      <c r="B416" s="360" t="s">
        <v>2843</v>
      </c>
      <c r="C416" s="381" t="n">
        <v>1</v>
      </c>
      <c r="D416" s="381" t="n">
        <v>0</v>
      </c>
      <c r="E416" s="381" t="n">
        <v>0</v>
      </c>
      <c r="F416" s="359" t="n">
        <v>1</v>
      </c>
      <c r="G416" s="380" t="n">
        <v>0</v>
      </c>
      <c r="H416" s="358" t="n">
        <v>0</v>
      </c>
      <c r="I416" s="358" t="n">
        <v>0</v>
      </c>
      <c r="J416" s="358" t="n">
        <v>0</v>
      </c>
      <c r="K416" s="358" t="n">
        <v>0</v>
      </c>
      <c r="L416" s="358" t="n">
        <v>0</v>
      </c>
      <c r="M416" s="381" t="n">
        <v>1</v>
      </c>
      <c r="N416" s="381" t="n">
        <v>0</v>
      </c>
      <c r="O416" s="381" t="n">
        <v>0</v>
      </c>
      <c r="P416" s="359" t="n">
        <v>1</v>
      </c>
    </row>
    <row r="417" customFormat="false" ht="15" hidden="true" customHeight="false" outlineLevel="0" collapsed="false">
      <c r="B417" s="360" t="s">
        <v>2844</v>
      </c>
      <c r="C417" s="381" t="n">
        <v>1</v>
      </c>
      <c r="D417" s="381" t="n">
        <v>0</v>
      </c>
      <c r="E417" s="381" t="n">
        <v>0</v>
      </c>
      <c r="F417" s="359" t="n">
        <v>1</v>
      </c>
      <c r="G417" s="380" t="n">
        <v>0</v>
      </c>
      <c r="H417" s="358" t="n">
        <v>0</v>
      </c>
      <c r="I417" s="358" t="n">
        <v>0</v>
      </c>
      <c r="J417" s="358" t="n">
        <v>0</v>
      </c>
      <c r="K417" s="358" t="n">
        <v>0</v>
      </c>
      <c r="L417" s="358" t="n">
        <v>0</v>
      </c>
      <c r="M417" s="381" t="n">
        <v>1</v>
      </c>
      <c r="N417" s="381" t="n">
        <v>0</v>
      </c>
      <c r="O417" s="381" t="n">
        <v>0</v>
      </c>
      <c r="P417" s="359" t="n">
        <v>1</v>
      </c>
    </row>
    <row r="418" customFormat="false" ht="15" hidden="true" customHeight="false" outlineLevel="0" collapsed="false">
      <c r="B418" s="360" t="s">
        <v>2845</v>
      </c>
      <c r="C418" s="381" t="n">
        <v>1</v>
      </c>
      <c r="D418" s="381" t="n">
        <v>0</v>
      </c>
      <c r="E418" s="381" t="n">
        <v>0</v>
      </c>
      <c r="F418" s="359" t="n">
        <v>1</v>
      </c>
      <c r="G418" s="380" t="n">
        <v>0</v>
      </c>
      <c r="H418" s="358" t="n">
        <v>0</v>
      </c>
      <c r="I418" s="358" t="n">
        <v>0</v>
      </c>
      <c r="J418" s="358" t="n">
        <v>0</v>
      </c>
      <c r="K418" s="358" t="n">
        <v>0</v>
      </c>
      <c r="L418" s="358" t="n">
        <v>0</v>
      </c>
      <c r="M418" s="381" t="n">
        <v>1</v>
      </c>
      <c r="N418" s="381" t="n">
        <v>0</v>
      </c>
      <c r="O418" s="381" t="n">
        <v>0</v>
      </c>
      <c r="P418" s="359" t="n">
        <v>1</v>
      </c>
    </row>
    <row r="419" customFormat="false" ht="15" hidden="true" customHeight="false" outlineLevel="0" collapsed="false">
      <c r="B419" s="360" t="s">
        <v>2846</v>
      </c>
      <c r="C419" s="381" t="n">
        <v>1</v>
      </c>
      <c r="D419" s="381" t="n">
        <v>0</v>
      </c>
      <c r="E419" s="381" t="n">
        <v>0</v>
      </c>
      <c r="F419" s="359" t="n">
        <v>1</v>
      </c>
      <c r="G419" s="380" t="n">
        <v>0</v>
      </c>
      <c r="H419" s="358" t="n">
        <v>0</v>
      </c>
      <c r="I419" s="358" t="n">
        <v>0</v>
      </c>
      <c r="J419" s="358" t="n">
        <v>0</v>
      </c>
      <c r="K419" s="358" t="n">
        <v>0</v>
      </c>
      <c r="L419" s="358" t="n">
        <v>0</v>
      </c>
      <c r="M419" s="381" t="n">
        <v>1</v>
      </c>
      <c r="N419" s="381" t="n">
        <v>0</v>
      </c>
      <c r="O419" s="381" t="n">
        <v>0</v>
      </c>
      <c r="P419" s="359" t="n">
        <v>1</v>
      </c>
    </row>
    <row r="420" customFormat="false" ht="15" hidden="true" customHeight="false" outlineLevel="0" collapsed="false">
      <c r="B420" s="360" t="s">
        <v>2847</v>
      </c>
      <c r="C420" s="381" t="n">
        <v>1</v>
      </c>
      <c r="D420" s="381" t="n">
        <v>0</v>
      </c>
      <c r="E420" s="381" t="n">
        <v>0</v>
      </c>
      <c r="F420" s="359" t="n">
        <v>1</v>
      </c>
      <c r="G420" s="380" t="n">
        <v>0</v>
      </c>
      <c r="H420" s="358" t="n">
        <v>0</v>
      </c>
      <c r="I420" s="358" t="n">
        <v>0</v>
      </c>
      <c r="J420" s="358" t="n">
        <v>0</v>
      </c>
      <c r="K420" s="358" t="n">
        <v>0</v>
      </c>
      <c r="L420" s="358" t="n">
        <v>0</v>
      </c>
      <c r="M420" s="381" t="n">
        <v>1</v>
      </c>
      <c r="N420" s="381" t="n">
        <v>0</v>
      </c>
      <c r="O420" s="381" t="n">
        <v>0</v>
      </c>
      <c r="P420" s="359" t="n">
        <v>1</v>
      </c>
    </row>
    <row r="421" customFormat="false" ht="15" hidden="true" customHeight="false" outlineLevel="0" collapsed="false">
      <c r="B421" s="360" t="s">
        <v>2848</v>
      </c>
      <c r="C421" s="381" t="n">
        <v>1</v>
      </c>
      <c r="D421" s="381" t="n">
        <v>0</v>
      </c>
      <c r="E421" s="381" t="n">
        <v>0</v>
      </c>
      <c r="F421" s="359" t="n">
        <v>1</v>
      </c>
      <c r="G421" s="380" t="n">
        <v>0</v>
      </c>
      <c r="H421" s="358" t="n">
        <v>0</v>
      </c>
      <c r="I421" s="358" t="n">
        <v>0</v>
      </c>
      <c r="J421" s="358" t="n">
        <v>0</v>
      </c>
      <c r="K421" s="358" t="n">
        <v>0</v>
      </c>
      <c r="L421" s="358" t="n">
        <v>0</v>
      </c>
      <c r="M421" s="381" t="n">
        <v>1</v>
      </c>
      <c r="N421" s="381" t="n">
        <v>0</v>
      </c>
      <c r="O421" s="381" t="n">
        <v>0</v>
      </c>
      <c r="P421" s="359" t="n">
        <v>1</v>
      </c>
    </row>
    <row r="422" customFormat="false" ht="15" hidden="true" customHeight="false" outlineLevel="0" collapsed="false">
      <c r="B422" s="360" t="s">
        <v>2849</v>
      </c>
      <c r="C422" s="381" t="n">
        <v>1</v>
      </c>
      <c r="D422" s="381" t="n">
        <v>0</v>
      </c>
      <c r="E422" s="381" t="n">
        <v>0</v>
      </c>
      <c r="F422" s="359" t="n">
        <v>1</v>
      </c>
      <c r="G422" s="380" t="n">
        <v>0</v>
      </c>
      <c r="H422" s="358" t="n">
        <v>0</v>
      </c>
      <c r="I422" s="358" t="n">
        <v>0</v>
      </c>
      <c r="J422" s="358" t="n">
        <v>0</v>
      </c>
      <c r="K422" s="358" t="n">
        <v>0</v>
      </c>
      <c r="L422" s="358" t="n">
        <v>0</v>
      </c>
      <c r="M422" s="381" t="n">
        <v>1</v>
      </c>
      <c r="N422" s="381" t="n">
        <v>0</v>
      </c>
      <c r="O422" s="381" t="n">
        <v>0</v>
      </c>
      <c r="P422" s="359" t="n">
        <v>1</v>
      </c>
    </row>
    <row r="423" customFormat="false" ht="15" hidden="true" customHeight="false" outlineLevel="0" collapsed="false">
      <c r="B423" s="360" t="s">
        <v>2850</v>
      </c>
      <c r="C423" s="381" t="n">
        <v>1</v>
      </c>
      <c r="D423" s="381" t="n">
        <v>0</v>
      </c>
      <c r="E423" s="381" t="n">
        <v>0</v>
      </c>
      <c r="F423" s="359" t="n">
        <v>1</v>
      </c>
      <c r="G423" s="380" t="n">
        <v>0</v>
      </c>
      <c r="H423" s="358" t="n">
        <v>0</v>
      </c>
      <c r="I423" s="358" t="n">
        <v>0</v>
      </c>
      <c r="J423" s="358" t="n">
        <v>0</v>
      </c>
      <c r="K423" s="358" t="n">
        <v>0</v>
      </c>
      <c r="L423" s="358" t="n">
        <v>0</v>
      </c>
      <c r="M423" s="381" t="n">
        <v>1</v>
      </c>
      <c r="N423" s="381" t="n">
        <v>0</v>
      </c>
      <c r="O423" s="381" t="n">
        <v>0</v>
      </c>
      <c r="P423" s="359" t="n">
        <v>1</v>
      </c>
    </row>
    <row r="424" customFormat="false" ht="15" hidden="true" customHeight="false" outlineLevel="0" collapsed="false">
      <c r="B424" s="360" t="s">
        <v>2851</v>
      </c>
      <c r="C424" s="381" t="n">
        <v>1</v>
      </c>
      <c r="D424" s="381" t="n">
        <v>0</v>
      </c>
      <c r="E424" s="381" t="n">
        <v>0</v>
      </c>
      <c r="F424" s="359" t="n">
        <v>1</v>
      </c>
      <c r="G424" s="380" t="n">
        <v>0</v>
      </c>
      <c r="H424" s="358" t="n">
        <v>0</v>
      </c>
      <c r="I424" s="358" t="n">
        <v>0</v>
      </c>
      <c r="J424" s="358" t="n">
        <v>0</v>
      </c>
      <c r="K424" s="358" t="n">
        <v>0</v>
      </c>
      <c r="L424" s="358" t="n">
        <v>0</v>
      </c>
      <c r="M424" s="381" t="n">
        <v>1</v>
      </c>
      <c r="N424" s="381" t="n">
        <v>0</v>
      </c>
      <c r="O424" s="381" t="n">
        <v>0</v>
      </c>
      <c r="P424" s="359" t="n">
        <v>1</v>
      </c>
    </row>
    <row r="425" customFormat="false" ht="15" hidden="true" customHeight="false" outlineLevel="0" collapsed="false">
      <c r="B425" s="360" t="s">
        <v>2852</v>
      </c>
      <c r="C425" s="381" t="n">
        <v>1</v>
      </c>
      <c r="D425" s="381" t="n">
        <v>0</v>
      </c>
      <c r="E425" s="381" t="n">
        <v>0</v>
      </c>
      <c r="F425" s="359" t="n">
        <v>1</v>
      </c>
      <c r="G425" s="380" t="n">
        <v>0</v>
      </c>
      <c r="H425" s="358" t="n">
        <v>0</v>
      </c>
      <c r="I425" s="358" t="n">
        <v>0</v>
      </c>
      <c r="J425" s="358" t="n">
        <v>0</v>
      </c>
      <c r="K425" s="358" t="n">
        <v>0</v>
      </c>
      <c r="L425" s="358" t="n">
        <v>0</v>
      </c>
      <c r="M425" s="381" t="n">
        <v>1</v>
      </c>
      <c r="N425" s="381" t="n">
        <v>0</v>
      </c>
      <c r="O425" s="381" t="n">
        <v>0</v>
      </c>
      <c r="P425" s="359" t="n">
        <v>1</v>
      </c>
    </row>
    <row r="426" customFormat="false" ht="15" hidden="true" customHeight="false" outlineLevel="0" collapsed="false">
      <c r="B426" s="360" t="s">
        <v>2853</v>
      </c>
      <c r="C426" s="381" t="n">
        <v>1</v>
      </c>
      <c r="D426" s="381" t="n">
        <v>0</v>
      </c>
      <c r="E426" s="381" t="n">
        <v>0</v>
      </c>
      <c r="F426" s="359" t="n">
        <v>1</v>
      </c>
      <c r="G426" s="380" t="n">
        <v>0</v>
      </c>
      <c r="H426" s="358" t="n">
        <v>0</v>
      </c>
      <c r="I426" s="358" t="n">
        <v>0</v>
      </c>
      <c r="J426" s="358" t="n">
        <v>0</v>
      </c>
      <c r="K426" s="358" t="n">
        <v>0</v>
      </c>
      <c r="L426" s="358" t="n">
        <v>0</v>
      </c>
      <c r="M426" s="381" t="n">
        <v>1</v>
      </c>
      <c r="N426" s="381" t="n">
        <v>0</v>
      </c>
      <c r="O426" s="381" t="n">
        <v>0</v>
      </c>
      <c r="P426" s="359" t="n">
        <v>1</v>
      </c>
    </row>
    <row r="427" customFormat="false" ht="15" hidden="true" customHeight="false" outlineLevel="0" collapsed="false">
      <c r="B427" s="360" t="s">
        <v>2854</v>
      </c>
      <c r="C427" s="381" t="n">
        <v>1</v>
      </c>
      <c r="D427" s="381" t="n">
        <v>0</v>
      </c>
      <c r="E427" s="381" t="n">
        <v>0</v>
      </c>
      <c r="F427" s="359" t="n">
        <v>1</v>
      </c>
      <c r="G427" s="380" t="n">
        <v>0</v>
      </c>
      <c r="H427" s="358" t="n">
        <v>0</v>
      </c>
      <c r="I427" s="358" t="n">
        <v>0</v>
      </c>
      <c r="J427" s="358" t="n">
        <v>0</v>
      </c>
      <c r="K427" s="358" t="n">
        <v>0</v>
      </c>
      <c r="L427" s="358" t="n">
        <v>0</v>
      </c>
      <c r="M427" s="381" t="n">
        <v>1</v>
      </c>
      <c r="N427" s="381" t="n">
        <v>0</v>
      </c>
      <c r="O427" s="381" t="n">
        <v>0</v>
      </c>
      <c r="P427" s="359" t="n">
        <v>1</v>
      </c>
    </row>
    <row r="428" customFormat="false" ht="15" hidden="true" customHeight="false" outlineLevel="0" collapsed="false">
      <c r="B428" s="360" t="s">
        <v>2855</v>
      </c>
      <c r="C428" s="381" t="n">
        <v>1</v>
      </c>
      <c r="D428" s="381" t="n">
        <v>0</v>
      </c>
      <c r="E428" s="381" t="n">
        <v>0</v>
      </c>
      <c r="F428" s="359" t="n">
        <v>1</v>
      </c>
      <c r="G428" s="380" t="n">
        <v>0</v>
      </c>
      <c r="H428" s="358" t="n">
        <v>0</v>
      </c>
      <c r="I428" s="358" t="n">
        <v>0</v>
      </c>
      <c r="J428" s="358" t="n">
        <v>0</v>
      </c>
      <c r="K428" s="358" t="n">
        <v>0</v>
      </c>
      <c r="L428" s="358" t="n">
        <v>0</v>
      </c>
      <c r="M428" s="381" t="n">
        <v>1</v>
      </c>
      <c r="N428" s="381" t="n">
        <v>0</v>
      </c>
      <c r="O428" s="381" t="n">
        <v>0</v>
      </c>
      <c r="P428" s="359" t="n">
        <v>1</v>
      </c>
    </row>
    <row r="429" customFormat="false" ht="15" hidden="true" customHeight="false" outlineLevel="0" collapsed="false">
      <c r="B429" s="360" t="s">
        <v>2856</v>
      </c>
      <c r="C429" s="381" t="n">
        <v>1</v>
      </c>
      <c r="D429" s="381" t="n">
        <v>0</v>
      </c>
      <c r="E429" s="381" t="n">
        <v>0</v>
      </c>
      <c r="F429" s="359" t="n">
        <v>1</v>
      </c>
      <c r="G429" s="380" t="n">
        <v>0</v>
      </c>
      <c r="H429" s="358" t="n">
        <v>0</v>
      </c>
      <c r="I429" s="358" t="n">
        <v>0</v>
      </c>
      <c r="J429" s="358" t="n">
        <v>0</v>
      </c>
      <c r="K429" s="358" t="n">
        <v>0</v>
      </c>
      <c r="L429" s="358" t="n">
        <v>0</v>
      </c>
      <c r="M429" s="381" t="n">
        <v>1</v>
      </c>
      <c r="N429" s="381" t="n">
        <v>0</v>
      </c>
      <c r="O429" s="381" t="n">
        <v>0</v>
      </c>
      <c r="P429" s="359" t="n">
        <v>1</v>
      </c>
    </row>
    <row r="430" customFormat="false" ht="15" hidden="true" customHeight="false" outlineLevel="0" collapsed="false">
      <c r="B430" s="360" t="s">
        <v>2857</v>
      </c>
      <c r="C430" s="381" t="n">
        <v>1</v>
      </c>
      <c r="D430" s="381" t="n">
        <v>0</v>
      </c>
      <c r="E430" s="381" t="n">
        <v>0</v>
      </c>
      <c r="F430" s="359" t="n">
        <v>1</v>
      </c>
      <c r="G430" s="380" t="n">
        <v>0</v>
      </c>
      <c r="H430" s="358" t="n">
        <v>0</v>
      </c>
      <c r="I430" s="358" t="n">
        <v>0</v>
      </c>
      <c r="J430" s="358" t="n">
        <v>0</v>
      </c>
      <c r="K430" s="358" t="n">
        <v>0</v>
      </c>
      <c r="L430" s="358" t="n">
        <v>0</v>
      </c>
      <c r="M430" s="381" t="n">
        <v>1</v>
      </c>
      <c r="N430" s="381" t="n">
        <v>0</v>
      </c>
      <c r="O430" s="381" t="n">
        <v>0</v>
      </c>
      <c r="P430" s="359" t="n">
        <v>1</v>
      </c>
    </row>
    <row r="431" customFormat="false" ht="15" hidden="true" customHeight="false" outlineLevel="0" collapsed="false">
      <c r="B431" s="360" t="s">
        <v>2858</v>
      </c>
      <c r="C431" s="381" t="n">
        <v>1</v>
      </c>
      <c r="D431" s="381" t="n">
        <v>0</v>
      </c>
      <c r="E431" s="381" t="n">
        <v>0</v>
      </c>
      <c r="F431" s="359" t="n">
        <v>1</v>
      </c>
      <c r="G431" s="380" t="n">
        <v>0</v>
      </c>
      <c r="H431" s="358" t="n">
        <v>0</v>
      </c>
      <c r="I431" s="358" t="n">
        <v>0</v>
      </c>
      <c r="J431" s="358" t="n">
        <v>0</v>
      </c>
      <c r="K431" s="358" t="n">
        <v>0</v>
      </c>
      <c r="L431" s="358" t="n">
        <v>0</v>
      </c>
      <c r="M431" s="381" t="n">
        <v>1</v>
      </c>
      <c r="N431" s="381" t="n">
        <v>0</v>
      </c>
      <c r="O431" s="381" t="n">
        <v>0</v>
      </c>
      <c r="P431" s="359" t="n">
        <v>1</v>
      </c>
    </row>
    <row r="432" customFormat="false" ht="15" hidden="true" customHeight="false" outlineLevel="0" collapsed="false">
      <c r="B432" s="360" t="s">
        <v>2859</v>
      </c>
      <c r="C432" s="381" t="n">
        <v>1</v>
      </c>
      <c r="D432" s="381" t="n">
        <v>0</v>
      </c>
      <c r="E432" s="381" t="n">
        <v>0</v>
      </c>
      <c r="F432" s="359" t="n">
        <v>1</v>
      </c>
      <c r="G432" s="380" t="n">
        <v>0</v>
      </c>
      <c r="H432" s="358" t="n">
        <v>0</v>
      </c>
      <c r="I432" s="358" t="n">
        <v>0</v>
      </c>
      <c r="J432" s="358" t="n">
        <v>0</v>
      </c>
      <c r="K432" s="358" t="n">
        <v>0</v>
      </c>
      <c r="L432" s="358" t="n">
        <v>0</v>
      </c>
      <c r="M432" s="381" t="n">
        <v>1</v>
      </c>
      <c r="N432" s="381" t="n">
        <v>0</v>
      </c>
      <c r="O432" s="381" t="n">
        <v>0</v>
      </c>
      <c r="P432" s="359" t="n">
        <v>1</v>
      </c>
    </row>
    <row r="433" customFormat="false" ht="15" hidden="true" customHeight="false" outlineLevel="0" collapsed="false">
      <c r="B433" s="360" t="s">
        <v>2860</v>
      </c>
      <c r="C433" s="381" t="n">
        <v>1</v>
      </c>
      <c r="D433" s="381" t="n">
        <v>0</v>
      </c>
      <c r="E433" s="381" t="n">
        <v>0</v>
      </c>
      <c r="F433" s="359" t="n">
        <v>1</v>
      </c>
      <c r="G433" s="380" t="n">
        <v>0</v>
      </c>
      <c r="H433" s="358" t="n">
        <v>0</v>
      </c>
      <c r="I433" s="358" t="n">
        <v>0</v>
      </c>
      <c r="J433" s="358" t="n">
        <v>0</v>
      </c>
      <c r="K433" s="358" t="n">
        <v>0</v>
      </c>
      <c r="L433" s="358" t="n">
        <v>0</v>
      </c>
      <c r="M433" s="381" t="n">
        <v>1</v>
      </c>
      <c r="N433" s="381" t="n">
        <v>0</v>
      </c>
      <c r="O433" s="381" t="n">
        <v>0</v>
      </c>
      <c r="P433" s="359" t="n">
        <v>1</v>
      </c>
    </row>
    <row r="434" customFormat="false" ht="15" hidden="true" customHeight="false" outlineLevel="0" collapsed="false">
      <c r="B434" s="360" t="s">
        <v>2861</v>
      </c>
      <c r="C434" s="381" t="n">
        <v>1</v>
      </c>
      <c r="D434" s="381" t="n">
        <v>0</v>
      </c>
      <c r="E434" s="381" t="n">
        <v>0</v>
      </c>
      <c r="F434" s="359" t="n">
        <v>1</v>
      </c>
      <c r="G434" s="380" t="n">
        <v>0</v>
      </c>
      <c r="H434" s="358" t="n">
        <v>0</v>
      </c>
      <c r="I434" s="358" t="n">
        <v>0</v>
      </c>
      <c r="J434" s="358" t="n">
        <v>0</v>
      </c>
      <c r="K434" s="358" t="n">
        <v>0</v>
      </c>
      <c r="L434" s="358" t="n">
        <v>0</v>
      </c>
      <c r="M434" s="381" t="n">
        <v>1</v>
      </c>
      <c r="N434" s="381" t="n">
        <v>0</v>
      </c>
      <c r="O434" s="381" t="n">
        <v>0</v>
      </c>
      <c r="P434" s="359" t="n">
        <v>1</v>
      </c>
    </row>
    <row r="435" customFormat="false" ht="15" hidden="true" customHeight="false" outlineLevel="0" collapsed="false">
      <c r="B435" s="360" t="s">
        <v>2862</v>
      </c>
      <c r="C435" s="381" t="n">
        <v>1</v>
      </c>
      <c r="D435" s="381" t="n">
        <v>0</v>
      </c>
      <c r="E435" s="381" t="n">
        <v>0</v>
      </c>
      <c r="F435" s="359" t="n">
        <v>1</v>
      </c>
      <c r="G435" s="380" t="n">
        <v>0</v>
      </c>
      <c r="H435" s="358" t="n">
        <v>0</v>
      </c>
      <c r="I435" s="358" t="n">
        <v>0</v>
      </c>
      <c r="J435" s="358" t="n">
        <v>0</v>
      </c>
      <c r="K435" s="358" t="n">
        <v>0</v>
      </c>
      <c r="L435" s="358" t="n">
        <v>0</v>
      </c>
      <c r="M435" s="381" t="n">
        <v>1</v>
      </c>
      <c r="N435" s="381" t="n">
        <v>0</v>
      </c>
      <c r="O435" s="381" t="n">
        <v>0</v>
      </c>
      <c r="P435" s="359" t="n">
        <v>1</v>
      </c>
    </row>
    <row r="436" customFormat="false" ht="15" hidden="true" customHeight="false" outlineLevel="0" collapsed="false">
      <c r="B436" s="360" t="s">
        <v>2863</v>
      </c>
      <c r="C436" s="381" t="n">
        <v>1</v>
      </c>
      <c r="D436" s="381" t="n">
        <v>0</v>
      </c>
      <c r="E436" s="381" t="n">
        <v>0</v>
      </c>
      <c r="F436" s="359" t="n">
        <v>1</v>
      </c>
      <c r="G436" s="380" t="n">
        <v>0</v>
      </c>
      <c r="H436" s="358" t="n">
        <v>0</v>
      </c>
      <c r="I436" s="358" t="n">
        <v>0</v>
      </c>
      <c r="J436" s="358" t="n">
        <v>0</v>
      </c>
      <c r="K436" s="358" t="n">
        <v>0</v>
      </c>
      <c r="L436" s="358" t="n">
        <v>0</v>
      </c>
      <c r="M436" s="381" t="n">
        <v>1</v>
      </c>
      <c r="N436" s="381" t="n">
        <v>0</v>
      </c>
      <c r="O436" s="381" t="n">
        <v>0</v>
      </c>
      <c r="P436" s="359" t="n">
        <v>1</v>
      </c>
    </row>
    <row r="437" customFormat="false" ht="15" hidden="true" customHeight="false" outlineLevel="0" collapsed="false">
      <c r="B437" s="360" t="s">
        <v>2864</v>
      </c>
      <c r="C437" s="381" t="n">
        <v>1</v>
      </c>
      <c r="D437" s="381" t="n">
        <v>0</v>
      </c>
      <c r="E437" s="381" t="n">
        <v>0</v>
      </c>
      <c r="F437" s="359" t="n">
        <v>1</v>
      </c>
      <c r="G437" s="380" t="n">
        <v>0</v>
      </c>
      <c r="H437" s="358" t="n">
        <v>0</v>
      </c>
      <c r="I437" s="358" t="n">
        <v>0</v>
      </c>
      <c r="J437" s="358" t="n">
        <v>0</v>
      </c>
      <c r="K437" s="358" t="n">
        <v>0</v>
      </c>
      <c r="L437" s="358" t="n">
        <v>0</v>
      </c>
      <c r="M437" s="381" t="n">
        <v>1</v>
      </c>
      <c r="N437" s="381" t="n">
        <v>0</v>
      </c>
      <c r="O437" s="381" t="n">
        <v>0</v>
      </c>
      <c r="P437" s="359" t="n">
        <v>1</v>
      </c>
    </row>
    <row r="438" customFormat="false" ht="15" hidden="true" customHeight="false" outlineLevel="0" collapsed="false">
      <c r="B438" s="360" t="s">
        <v>2865</v>
      </c>
      <c r="C438" s="381" t="n">
        <v>1</v>
      </c>
      <c r="D438" s="381" t="n">
        <v>0</v>
      </c>
      <c r="E438" s="381" t="n">
        <v>0</v>
      </c>
      <c r="F438" s="359" t="n">
        <v>1</v>
      </c>
      <c r="G438" s="380" t="n">
        <v>0</v>
      </c>
      <c r="H438" s="358" t="n">
        <v>0</v>
      </c>
      <c r="I438" s="358" t="n">
        <v>0</v>
      </c>
      <c r="J438" s="358" t="n">
        <v>0</v>
      </c>
      <c r="K438" s="358" t="n">
        <v>0</v>
      </c>
      <c r="L438" s="358" t="n">
        <v>0</v>
      </c>
      <c r="M438" s="381" t="n">
        <v>1</v>
      </c>
      <c r="N438" s="381" t="n">
        <v>0</v>
      </c>
      <c r="O438" s="381" t="n">
        <v>0</v>
      </c>
      <c r="P438" s="359" t="n">
        <v>1</v>
      </c>
    </row>
    <row r="439" customFormat="false" ht="15" hidden="true" customHeight="false" outlineLevel="0" collapsed="false">
      <c r="B439" s="360" t="s">
        <v>2866</v>
      </c>
      <c r="C439" s="381" t="n">
        <v>1</v>
      </c>
      <c r="D439" s="381" t="n">
        <v>0</v>
      </c>
      <c r="E439" s="381" t="n">
        <v>0</v>
      </c>
      <c r="F439" s="359" t="n">
        <v>1</v>
      </c>
      <c r="G439" s="380" t="n">
        <v>0</v>
      </c>
      <c r="H439" s="358" t="n">
        <v>0</v>
      </c>
      <c r="I439" s="358" t="n">
        <v>0</v>
      </c>
      <c r="J439" s="358" t="n">
        <v>0</v>
      </c>
      <c r="K439" s="358" t="n">
        <v>0</v>
      </c>
      <c r="L439" s="358" t="n">
        <v>0</v>
      </c>
      <c r="M439" s="381" t="n">
        <v>1</v>
      </c>
      <c r="N439" s="381" t="n">
        <v>0</v>
      </c>
      <c r="O439" s="381" t="n">
        <v>0</v>
      </c>
      <c r="P439" s="359" t="n">
        <v>1</v>
      </c>
    </row>
    <row r="440" customFormat="false" ht="15" hidden="true" customHeight="false" outlineLevel="0" collapsed="false">
      <c r="B440" s="360" t="s">
        <v>2867</v>
      </c>
      <c r="C440" s="381" t="n">
        <v>1</v>
      </c>
      <c r="D440" s="381" t="n">
        <v>0</v>
      </c>
      <c r="E440" s="381" t="n">
        <v>0</v>
      </c>
      <c r="F440" s="359" t="n">
        <v>1</v>
      </c>
      <c r="G440" s="380" t="n">
        <v>0</v>
      </c>
      <c r="H440" s="358" t="n">
        <v>0</v>
      </c>
      <c r="I440" s="358" t="n">
        <v>0</v>
      </c>
      <c r="J440" s="358" t="n">
        <v>0</v>
      </c>
      <c r="K440" s="358" t="n">
        <v>0</v>
      </c>
      <c r="L440" s="358" t="n">
        <v>0</v>
      </c>
      <c r="M440" s="381" t="n">
        <v>1</v>
      </c>
      <c r="N440" s="381" t="n">
        <v>0</v>
      </c>
      <c r="O440" s="381" t="n">
        <v>0</v>
      </c>
      <c r="P440" s="359" t="n">
        <v>1</v>
      </c>
    </row>
    <row r="441" customFormat="false" ht="15" hidden="true" customHeight="false" outlineLevel="0" collapsed="false">
      <c r="B441" s="360" t="s">
        <v>2868</v>
      </c>
      <c r="C441" s="381" t="n">
        <v>1</v>
      </c>
      <c r="D441" s="381" t="n">
        <v>0</v>
      </c>
      <c r="E441" s="381" t="n">
        <v>0</v>
      </c>
      <c r="F441" s="359" t="n">
        <v>1</v>
      </c>
      <c r="G441" s="380" t="n">
        <v>0</v>
      </c>
      <c r="H441" s="358" t="n">
        <v>0</v>
      </c>
      <c r="I441" s="358" t="n">
        <v>0</v>
      </c>
      <c r="J441" s="358" t="n">
        <v>0</v>
      </c>
      <c r="K441" s="358" t="n">
        <v>0</v>
      </c>
      <c r="L441" s="358" t="n">
        <v>0</v>
      </c>
      <c r="M441" s="381" t="n">
        <v>1</v>
      </c>
      <c r="N441" s="381" t="n">
        <v>0</v>
      </c>
      <c r="O441" s="381" t="n">
        <v>0</v>
      </c>
      <c r="P441" s="359" t="n">
        <v>1</v>
      </c>
    </row>
    <row r="442" customFormat="false" ht="15" hidden="true" customHeight="false" outlineLevel="0" collapsed="false">
      <c r="B442" s="360" t="s">
        <v>2869</v>
      </c>
      <c r="C442" s="381" t="n">
        <v>1</v>
      </c>
      <c r="D442" s="381" t="n">
        <v>0</v>
      </c>
      <c r="E442" s="381" t="n">
        <v>0</v>
      </c>
      <c r="F442" s="359" t="n">
        <v>1</v>
      </c>
      <c r="G442" s="380" t="n">
        <v>0</v>
      </c>
      <c r="H442" s="358" t="n">
        <v>0</v>
      </c>
      <c r="I442" s="358" t="n">
        <v>0</v>
      </c>
      <c r="J442" s="358" t="n">
        <v>0</v>
      </c>
      <c r="K442" s="358" t="n">
        <v>0</v>
      </c>
      <c r="L442" s="358" t="n">
        <v>0</v>
      </c>
      <c r="M442" s="381" t="n">
        <v>1</v>
      </c>
      <c r="N442" s="381" t="n">
        <v>0</v>
      </c>
      <c r="O442" s="381" t="n">
        <v>0</v>
      </c>
      <c r="P442" s="359" t="n">
        <v>1</v>
      </c>
    </row>
    <row r="443" customFormat="false" ht="15" hidden="true" customHeight="false" outlineLevel="0" collapsed="false">
      <c r="B443" s="360" t="s">
        <v>2870</v>
      </c>
      <c r="C443" s="381" t="n">
        <v>1</v>
      </c>
      <c r="D443" s="381" t="n">
        <v>0</v>
      </c>
      <c r="E443" s="381" t="n">
        <v>0</v>
      </c>
      <c r="F443" s="359" t="n">
        <v>1</v>
      </c>
      <c r="G443" s="380" t="n">
        <v>0</v>
      </c>
      <c r="H443" s="358" t="n">
        <v>0</v>
      </c>
      <c r="I443" s="358" t="n">
        <v>0</v>
      </c>
      <c r="J443" s="358" t="n">
        <v>0</v>
      </c>
      <c r="K443" s="358" t="n">
        <v>0</v>
      </c>
      <c r="L443" s="358" t="n">
        <v>0</v>
      </c>
      <c r="M443" s="381" t="n">
        <v>1</v>
      </c>
      <c r="N443" s="381" t="n">
        <v>0</v>
      </c>
      <c r="O443" s="381" t="n">
        <v>0</v>
      </c>
      <c r="P443" s="359" t="n">
        <v>1</v>
      </c>
    </row>
    <row r="444" customFormat="false" ht="15" hidden="true" customHeight="false" outlineLevel="0" collapsed="false">
      <c r="B444" s="360" t="s">
        <v>2871</v>
      </c>
      <c r="C444" s="381" t="n">
        <v>1</v>
      </c>
      <c r="D444" s="381" t="n">
        <v>0</v>
      </c>
      <c r="E444" s="381" t="n">
        <v>0</v>
      </c>
      <c r="F444" s="359" t="n">
        <v>1</v>
      </c>
      <c r="G444" s="380" t="n">
        <v>0</v>
      </c>
      <c r="H444" s="358" t="n">
        <v>0</v>
      </c>
      <c r="I444" s="358" t="n">
        <v>0</v>
      </c>
      <c r="J444" s="358" t="n">
        <v>0</v>
      </c>
      <c r="K444" s="358" t="n">
        <v>0</v>
      </c>
      <c r="L444" s="358" t="n">
        <v>0</v>
      </c>
      <c r="M444" s="381" t="n">
        <v>1</v>
      </c>
      <c r="N444" s="381" t="n">
        <v>0</v>
      </c>
      <c r="O444" s="381" t="n">
        <v>0</v>
      </c>
      <c r="P444" s="359" t="n">
        <v>1</v>
      </c>
    </row>
    <row r="445" customFormat="false" ht="15" hidden="true" customHeight="false" outlineLevel="0" collapsed="false">
      <c r="B445" s="360" t="s">
        <v>2872</v>
      </c>
      <c r="C445" s="381" t="n">
        <v>1</v>
      </c>
      <c r="D445" s="381" t="n">
        <v>0</v>
      </c>
      <c r="E445" s="381" t="n">
        <v>0</v>
      </c>
      <c r="F445" s="359" t="n">
        <v>1</v>
      </c>
      <c r="G445" s="380" t="n">
        <v>0</v>
      </c>
      <c r="H445" s="358" t="n">
        <v>0</v>
      </c>
      <c r="I445" s="358" t="n">
        <v>0</v>
      </c>
      <c r="J445" s="358" t="n">
        <v>0</v>
      </c>
      <c r="K445" s="358" t="n">
        <v>0</v>
      </c>
      <c r="L445" s="358" t="n">
        <v>0</v>
      </c>
      <c r="M445" s="381" t="n">
        <v>1</v>
      </c>
      <c r="N445" s="381" t="n">
        <v>0</v>
      </c>
      <c r="O445" s="381" t="n">
        <v>0</v>
      </c>
      <c r="P445" s="359" t="n">
        <v>1</v>
      </c>
    </row>
    <row r="446" customFormat="false" ht="15" hidden="true" customHeight="false" outlineLevel="0" collapsed="false">
      <c r="B446" s="360" t="s">
        <v>2873</v>
      </c>
      <c r="C446" s="381" t="n">
        <v>1</v>
      </c>
      <c r="D446" s="381" t="n">
        <v>0</v>
      </c>
      <c r="E446" s="381" t="n">
        <v>0</v>
      </c>
      <c r="F446" s="359" t="n">
        <v>1</v>
      </c>
      <c r="G446" s="380" t="n">
        <v>0</v>
      </c>
      <c r="H446" s="358" t="n">
        <v>0</v>
      </c>
      <c r="I446" s="358" t="n">
        <v>0</v>
      </c>
      <c r="J446" s="358" t="n">
        <v>0</v>
      </c>
      <c r="K446" s="358" t="n">
        <v>0</v>
      </c>
      <c r="L446" s="358" t="n">
        <v>0</v>
      </c>
      <c r="M446" s="381" t="n">
        <v>1</v>
      </c>
      <c r="N446" s="381" t="n">
        <v>0</v>
      </c>
      <c r="O446" s="381" t="n">
        <v>0</v>
      </c>
      <c r="P446" s="359" t="n">
        <v>1</v>
      </c>
    </row>
    <row r="447" customFormat="false" ht="15" hidden="true" customHeight="false" outlineLevel="0" collapsed="false">
      <c r="B447" s="360" t="s">
        <v>2874</v>
      </c>
      <c r="C447" s="381" t="n">
        <v>1</v>
      </c>
      <c r="D447" s="381" t="n">
        <v>0</v>
      </c>
      <c r="E447" s="381" t="n">
        <v>0</v>
      </c>
      <c r="F447" s="359" t="n">
        <v>1</v>
      </c>
      <c r="G447" s="380" t="n">
        <v>0</v>
      </c>
      <c r="H447" s="358" t="n">
        <v>0</v>
      </c>
      <c r="I447" s="358" t="n">
        <v>0</v>
      </c>
      <c r="J447" s="358" t="n">
        <v>0</v>
      </c>
      <c r="K447" s="358" t="n">
        <v>0</v>
      </c>
      <c r="L447" s="358" t="n">
        <v>0</v>
      </c>
      <c r="M447" s="381" t="n">
        <v>1</v>
      </c>
      <c r="N447" s="381" t="n">
        <v>0</v>
      </c>
      <c r="O447" s="381" t="n">
        <v>0</v>
      </c>
      <c r="P447" s="359" t="n">
        <v>1</v>
      </c>
    </row>
    <row r="448" customFormat="false" ht="15" hidden="true" customHeight="false" outlineLevel="0" collapsed="false">
      <c r="B448" s="360" t="s">
        <v>2875</v>
      </c>
      <c r="C448" s="381" t="n">
        <v>1</v>
      </c>
      <c r="D448" s="381" t="n">
        <v>0</v>
      </c>
      <c r="E448" s="381" t="n">
        <v>0</v>
      </c>
      <c r="F448" s="359" t="n">
        <v>1</v>
      </c>
      <c r="G448" s="380" t="n">
        <v>0</v>
      </c>
      <c r="H448" s="358" t="n">
        <v>0</v>
      </c>
      <c r="I448" s="358" t="n">
        <v>0</v>
      </c>
      <c r="J448" s="358" t="n">
        <v>0</v>
      </c>
      <c r="K448" s="358" t="n">
        <v>0</v>
      </c>
      <c r="L448" s="358" t="n">
        <v>0</v>
      </c>
      <c r="M448" s="381" t="n">
        <v>1</v>
      </c>
      <c r="N448" s="381" t="n">
        <v>0</v>
      </c>
      <c r="O448" s="381" t="n">
        <v>0</v>
      </c>
      <c r="P448" s="359" t="n">
        <v>1</v>
      </c>
    </row>
    <row r="449" customFormat="false" ht="15" hidden="true" customHeight="false" outlineLevel="0" collapsed="false">
      <c r="B449" s="360" t="s">
        <v>2876</v>
      </c>
      <c r="C449" s="381" t="n">
        <v>1</v>
      </c>
      <c r="D449" s="381" t="n">
        <v>0</v>
      </c>
      <c r="E449" s="381" t="n">
        <v>0</v>
      </c>
      <c r="F449" s="359" t="n">
        <v>1</v>
      </c>
      <c r="G449" s="380" t="n">
        <v>0</v>
      </c>
      <c r="H449" s="358" t="n">
        <v>0</v>
      </c>
      <c r="I449" s="358" t="n">
        <v>0</v>
      </c>
      <c r="J449" s="358" t="n">
        <v>0</v>
      </c>
      <c r="K449" s="358" t="n">
        <v>0</v>
      </c>
      <c r="L449" s="358" t="n">
        <v>0</v>
      </c>
      <c r="M449" s="381" t="n">
        <v>1</v>
      </c>
      <c r="N449" s="381" t="n">
        <v>0</v>
      </c>
      <c r="O449" s="381" t="n">
        <v>0</v>
      </c>
      <c r="P449" s="359" t="n">
        <v>1</v>
      </c>
    </row>
    <row r="450" customFormat="false" ht="15" hidden="true" customHeight="false" outlineLevel="0" collapsed="false">
      <c r="B450" s="360" t="s">
        <v>2877</v>
      </c>
      <c r="C450" s="381" t="n">
        <v>1</v>
      </c>
      <c r="D450" s="381" t="n">
        <v>0</v>
      </c>
      <c r="E450" s="381" t="n">
        <v>0</v>
      </c>
      <c r="F450" s="359" t="n">
        <v>1</v>
      </c>
      <c r="G450" s="380" t="n">
        <v>0</v>
      </c>
      <c r="H450" s="358" t="n">
        <v>0</v>
      </c>
      <c r="I450" s="358" t="n">
        <v>0</v>
      </c>
      <c r="J450" s="358" t="n">
        <v>0</v>
      </c>
      <c r="K450" s="358" t="n">
        <v>0</v>
      </c>
      <c r="L450" s="358" t="n">
        <v>0</v>
      </c>
      <c r="M450" s="381" t="n">
        <v>1</v>
      </c>
      <c r="N450" s="381" t="n">
        <v>0</v>
      </c>
      <c r="O450" s="381" t="n">
        <v>0</v>
      </c>
      <c r="P450" s="359" t="n">
        <v>1</v>
      </c>
    </row>
    <row r="451" customFormat="false" ht="15" hidden="true" customHeight="false" outlineLevel="0" collapsed="false">
      <c r="B451" s="360" t="s">
        <v>2878</v>
      </c>
      <c r="C451" s="381" t="n">
        <v>1</v>
      </c>
      <c r="D451" s="381" t="n">
        <v>0</v>
      </c>
      <c r="E451" s="381" t="n">
        <v>0</v>
      </c>
      <c r="F451" s="359" t="n">
        <v>1</v>
      </c>
      <c r="G451" s="380" t="n">
        <v>0</v>
      </c>
      <c r="H451" s="358" t="n">
        <v>0</v>
      </c>
      <c r="I451" s="358" t="n">
        <v>0</v>
      </c>
      <c r="J451" s="358" t="n">
        <v>0</v>
      </c>
      <c r="K451" s="358" t="n">
        <v>0</v>
      </c>
      <c r="L451" s="358" t="n">
        <v>0</v>
      </c>
      <c r="M451" s="381" t="n">
        <v>1</v>
      </c>
      <c r="N451" s="381" t="n">
        <v>0</v>
      </c>
      <c r="O451" s="381" t="n">
        <v>0</v>
      </c>
      <c r="P451" s="359" t="n">
        <v>1</v>
      </c>
    </row>
    <row r="452" customFormat="false" ht="15" hidden="true" customHeight="false" outlineLevel="0" collapsed="false">
      <c r="B452" s="360" t="s">
        <v>2879</v>
      </c>
      <c r="C452" s="381" t="n">
        <v>1</v>
      </c>
      <c r="D452" s="381" t="n">
        <v>0</v>
      </c>
      <c r="E452" s="381" t="n">
        <v>0</v>
      </c>
      <c r="F452" s="359" t="n">
        <v>1</v>
      </c>
      <c r="G452" s="380" t="n">
        <v>0</v>
      </c>
      <c r="H452" s="358" t="n">
        <v>0</v>
      </c>
      <c r="I452" s="358" t="n">
        <v>0</v>
      </c>
      <c r="J452" s="358" t="n">
        <v>0</v>
      </c>
      <c r="K452" s="358" t="n">
        <v>0</v>
      </c>
      <c r="L452" s="358" t="n">
        <v>0</v>
      </c>
      <c r="M452" s="381" t="n">
        <v>1</v>
      </c>
      <c r="N452" s="381" t="n">
        <v>0</v>
      </c>
      <c r="O452" s="381" t="n">
        <v>0</v>
      </c>
      <c r="P452" s="359" t="n">
        <v>1</v>
      </c>
    </row>
    <row r="453" customFormat="false" ht="15" hidden="true" customHeight="false" outlineLevel="0" collapsed="false">
      <c r="B453" s="360" t="s">
        <v>2880</v>
      </c>
      <c r="C453" s="381" t="n">
        <v>1</v>
      </c>
      <c r="D453" s="381" t="n">
        <v>0</v>
      </c>
      <c r="E453" s="381" t="n">
        <v>0</v>
      </c>
      <c r="F453" s="359" t="n">
        <v>1</v>
      </c>
      <c r="G453" s="380" t="n">
        <v>0</v>
      </c>
      <c r="H453" s="358" t="n">
        <v>0</v>
      </c>
      <c r="I453" s="358" t="n">
        <v>0</v>
      </c>
      <c r="J453" s="358" t="n">
        <v>0</v>
      </c>
      <c r="K453" s="358" t="n">
        <v>0</v>
      </c>
      <c r="L453" s="358" t="n">
        <v>0</v>
      </c>
      <c r="M453" s="381" t="n">
        <v>1</v>
      </c>
      <c r="N453" s="381" t="n">
        <v>0</v>
      </c>
      <c r="O453" s="381" t="n">
        <v>0</v>
      </c>
      <c r="P453" s="359" t="n">
        <v>1</v>
      </c>
    </row>
    <row r="454" customFormat="false" ht="15" hidden="true" customHeight="false" outlineLevel="0" collapsed="false">
      <c r="B454" s="360" t="s">
        <v>2881</v>
      </c>
      <c r="C454" s="381" t="n">
        <v>1</v>
      </c>
      <c r="D454" s="381" t="n">
        <v>0</v>
      </c>
      <c r="E454" s="381" t="n">
        <v>0</v>
      </c>
      <c r="F454" s="359" t="n">
        <v>1</v>
      </c>
      <c r="G454" s="380" t="n">
        <v>0</v>
      </c>
      <c r="H454" s="358" t="n">
        <v>0</v>
      </c>
      <c r="I454" s="358" t="n">
        <v>0</v>
      </c>
      <c r="J454" s="358" t="n">
        <v>0</v>
      </c>
      <c r="K454" s="358" t="n">
        <v>0</v>
      </c>
      <c r="L454" s="358" t="n">
        <v>0</v>
      </c>
      <c r="M454" s="381" t="n">
        <v>1</v>
      </c>
      <c r="N454" s="381" t="n">
        <v>0</v>
      </c>
      <c r="O454" s="381" t="n">
        <v>0</v>
      </c>
      <c r="P454" s="359" t="n">
        <v>1</v>
      </c>
    </row>
    <row r="455" customFormat="false" ht="15" hidden="true" customHeight="false" outlineLevel="0" collapsed="false">
      <c r="B455" s="360" t="s">
        <v>2882</v>
      </c>
      <c r="C455" s="381" t="n">
        <v>1</v>
      </c>
      <c r="D455" s="381" t="n">
        <v>0</v>
      </c>
      <c r="E455" s="381" t="n">
        <v>0</v>
      </c>
      <c r="F455" s="359" t="n">
        <v>1</v>
      </c>
      <c r="G455" s="380" t="n">
        <v>0</v>
      </c>
      <c r="H455" s="358" t="n">
        <v>0</v>
      </c>
      <c r="I455" s="358" t="n">
        <v>0</v>
      </c>
      <c r="J455" s="358" t="n">
        <v>0</v>
      </c>
      <c r="K455" s="358" t="n">
        <v>0</v>
      </c>
      <c r="L455" s="358" t="n">
        <v>0</v>
      </c>
      <c r="M455" s="381" t="n">
        <v>1</v>
      </c>
      <c r="N455" s="381" t="n">
        <v>0</v>
      </c>
      <c r="O455" s="381" t="n">
        <v>0</v>
      </c>
      <c r="P455" s="359" t="n">
        <v>1</v>
      </c>
    </row>
    <row r="456" customFormat="false" ht="15" hidden="true" customHeight="false" outlineLevel="0" collapsed="false">
      <c r="B456" s="360" t="s">
        <v>2883</v>
      </c>
      <c r="C456" s="381" t="n">
        <v>1</v>
      </c>
      <c r="D456" s="381" t="n">
        <v>0</v>
      </c>
      <c r="E456" s="381" t="n">
        <v>0</v>
      </c>
      <c r="F456" s="359" t="n">
        <v>1</v>
      </c>
      <c r="G456" s="380" t="n">
        <v>0</v>
      </c>
      <c r="H456" s="358" t="n">
        <v>0</v>
      </c>
      <c r="I456" s="358" t="n">
        <v>0</v>
      </c>
      <c r="J456" s="358" t="n">
        <v>0</v>
      </c>
      <c r="K456" s="358" t="n">
        <v>0</v>
      </c>
      <c r="L456" s="358" t="n">
        <v>0</v>
      </c>
      <c r="M456" s="381" t="n">
        <v>1</v>
      </c>
      <c r="N456" s="381" t="n">
        <v>0</v>
      </c>
      <c r="O456" s="381" t="n">
        <v>0</v>
      </c>
      <c r="P456" s="359" t="n">
        <v>1</v>
      </c>
    </row>
    <row r="457" customFormat="false" ht="15" hidden="true" customHeight="false" outlineLevel="0" collapsed="false">
      <c r="B457" s="360" t="s">
        <v>2884</v>
      </c>
      <c r="C457" s="381" t="n">
        <v>1</v>
      </c>
      <c r="D457" s="381" t="n">
        <v>0</v>
      </c>
      <c r="E457" s="381" t="n">
        <v>0</v>
      </c>
      <c r="F457" s="359" t="n">
        <v>1</v>
      </c>
      <c r="G457" s="380" t="n">
        <v>0</v>
      </c>
      <c r="H457" s="358" t="n">
        <v>0</v>
      </c>
      <c r="I457" s="358" t="n">
        <v>0</v>
      </c>
      <c r="J457" s="358" t="n">
        <v>0</v>
      </c>
      <c r="K457" s="358" t="n">
        <v>0</v>
      </c>
      <c r="L457" s="358" t="n">
        <v>0</v>
      </c>
      <c r="M457" s="381" t="n">
        <v>1</v>
      </c>
      <c r="N457" s="381" t="n">
        <v>0</v>
      </c>
      <c r="O457" s="381" t="n">
        <v>0</v>
      </c>
      <c r="P457" s="359" t="n">
        <v>1</v>
      </c>
    </row>
    <row r="458" customFormat="false" ht="15" hidden="true" customHeight="false" outlineLevel="0" collapsed="false">
      <c r="B458" s="360" t="s">
        <v>2885</v>
      </c>
      <c r="C458" s="381" t="n">
        <v>1</v>
      </c>
      <c r="D458" s="381" t="n">
        <v>0</v>
      </c>
      <c r="E458" s="381" t="n">
        <v>0</v>
      </c>
      <c r="F458" s="359" t="n">
        <v>1</v>
      </c>
      <c r="G458" s="380" t="n">
        <v>0</v>
      </c>
      <c r="H458" s="358" t="n">
        <v>0</v>
      </c>
      <c r="I458" s="358" t="n">
        <v>0</v>
      </c>
      <c r="J458" s="358" t="n">
        <v>0</v>
      </c>
      <c r="K458" s="358" t="n">
        <v>0</v>
      </c>
      <c r="L458" s="358" t="n">
        <v>0</v>
      </c>
      <c r="M458" s="381" t="n">
        <v>1</v>
      </c>
      <c r="N458" s="381" t="n">
        <v>0</v>
      </c>
      <c r="O458" s="381" t="n">
        <v>0</v>
      </c>
      <c r="P458" s="359" t="n">
        <v>1</v>
      </c>
    </row>
    <row r="459" customFormat="false" ht="15" hidden="true" customHeight="false" outlineLevel="0" collapsed="false">
      <c r="B459" s="360" t="s">
        <v>2886</v>
      </c>
      <c r="C459" s="381" t="n">
        <v>1</v>
      </c>
      <c r="D459" s="381" t="n">
        <v>0</v>
      </c>
      <c r="E459" s="381" t="n">
        <v>0</v>
      </c>
      <c r="F459" s="359" t="n">
        <v>1</v>
      </c>
      <c r="G459" s="380" t="n">
        <v>0</v>
      </c>
      <c r="H459" s="358" t="n">
        <v>0</v>
      </c>
      <c r="I459" s="358" t="n">
        <v>0</v>
      </c>
      <c r="J459" s="358" t="n">
        <v>0</v>
      </c>
      <c r="K459" s="358" t="n">
        <v>0</v>
      </c>
      <c r="L459" s="358" t="n">
        <v>0</v>
      </c>
      <c r="M459" s="381" t="n">
        <v>1</v>
      </c>
      <c r="N459" s="381" t="n">
        <v>0</v>
      </c>
      <c r="O459" s="381" t="n">
        <v>0</v>
      </c>
      <c r="P459" s="359" t="n">
        <v>1</v>
      </c>
    </row>
    <row r="460" customFormat="false" ht="15" hidden="true" customHeight="false" outlineLevel="0" collapsed="false">
      <c r="B460" s="360" t="s">
        <v>2887</v>
      </c>
      <c r="C460" s="381" t="n">
        <v>1</v>
      </c>
      <c r="D460" s="381" t="n">
        <v>0</v>
      </c>
      <c r="E460" s="381" t="n">
        <v>0</v>
      </c>
      <c r="F460" s="359" t="n">
        <v>1</v>
      </c>
      <c r="G460" s="380" t="n">
        <v>0</v>
      </c>
      <c r="H460" s="358" t="n">
        <v>0</v>
      </c>
      <c r="I460" s="358" t="n">
        <v>0</v>
      </c>
      <c r="J460" s="358" t="n">
        <v>0</v>
      </c>
      <c r="K460" s="358" t="n">
        <v>0</v>
      </c>
      <c r="L460" s="358" t="n">
        <v>0</v>
      </c>
      <c r="M460" s="381" t="n">
        <v>1</v>
      </c>
      <c r="N460" s="381" t="n">
        <v>0</v>
      </c>
      <c r="O460" s="381" t="n">
        <v>0</v>
      </c>
      <c r="P460" s="359" t="n">
        <v>1</v>
      </c>
    </row>
    <row r="461" customFormat="false" ht="15" hidden="true" customHeight="false" outlineLevel="0" collapsed="false">
      <c r="B461" s="360" t="s">
        <v>2888</v>
      </c>
      <c r="C461" s="381" t="n">
        <v>1</v>
      </c>
      <c r="D461" s="381" t="n">
        <v>0</v>
      </c>
      <c r="E461" s="381" t="n">
        <v>0</v>
      </c>
      <c r="F461" s="359" t="n">
        <v>1</v>
      </c>
      <c r="G461" s="380" t="n">
        <v>0</v>
      </c>
      <c r="H461" s="358" t="n">
        <v>0</v>
      </c>
      <c r="I461" s="358" t="n">
        <v>0</v>
      </c>
      <c r="J461" s="358" t="n">
        <v>0</v>
      </c>
      <c r="K461" s="358" t="n">
        <v>0</v>
      </c>
      <c r="L461" s="358" t="n">
        <v>0</v>
      </c>
      <c r="M461" s="381" t="n">
        <v>1</v>
      </c>
      <c r="N461" s="381" t="n">
        <v>0</v>
      </c>
      <c r="O461" s="381" t="n">
        <v>0</v>
      </c>
      <c r="P461" s="359" t="n">
        <v>1</v>
      </c>
    </row>
    <row r="462" customFormat="false" ht="15" hidden="true" customHeight="false" outlineLevel="0" collapsed="false">
      <c r="B462" s="360" t="s">
        <v>2889</v>
      </c>
      <c r="C462" s="381" t="n">
        <v>1</v>
      </c>
      <c r="D462" s="381" t="n">
        <v>0</v>
      </c>
      <c r="E462" s="381" t="n">
        <v>0</v>
      </c>
      <c r="F462" s="359" t="n">
        <v>1</v>
      </c>
      <c r="G462" s="380" t="n">
        <v>0</v>
      </c>
      <c r="H462" s="358" t="n">
        <v>0</v>
      </c>
      <c r="I462" s="358" t="n">
        <v>0</v>
      </c>
      <c r="J462" s="358" t="n">
        <v>0</v>
      </c>
      <c r="K462" s="358" t="n">
        <v>0</v>
      </c>
      <c r="L462" s="358" t="n">
        <v>0</v>
      </c>
      <c r="M462" s="381" t="n">
        <v>1</v>
      </c>
      <c r="N462" s="381" t="n">
        <v>0</v>
      </c>
      <c r="O462" s="381" t="n">
        <v>0</v>
      </c>
      <c r="P462" s="359" t="n">
        <v>1</v>
      </c>
    </row>
    <row r="463" customFormat="false" ht="15" hidden="true" customHeight="false" outlineLevel="0" collapsed="false">
      <c r="B463" s="360" t="s">
        <v>2890</v>
      </c>
      <c r="C463" s="381" t="n">
        <v>1</v>
      </c>
      <c r="D463" s="381" t="n">
        <v>0</v>
      </c>
      <c r="E463" s="381" t="n">
        <v>0</v>
      </c>
      <c r="F463" s="359" t="n">
        <v>1</v>
      </c>
      <c r="G463" s="380" t="n">
        <v>0</v>
      </c>
      <c r="H463" s="358" t="n">
        <v>0</v>
      </c>
      <c r="I463" s="358" t="n">
        <v>0</v>
      </c>
      <c r="J463" s="358" t="n">
        <v>0</v>
      </c>
      <c r="K463" s="358" t="n">
        <v>0</v>
      </c>
      <c r="L463" s="358" t="n">
        <v>0</v>
      </c>
      <c r="M463" s="381" t="n">
        <v>1</v>
      </c>
      <c r="N463" s="381" t="n">
        <v>0</v>
      </c>
      <c r="O463" s="381" t="n">
        <v>0</v>
      </c>
      <c r="P463" s="359" t="n">
        <v>1</v>
      </c>
    </row>
    <row r="464" customFormat="false" ht="15" hidden="true" customHeight="false" outlineLevel="0" collapsed="false">
      <c r="B464" s="360" t="s">
        <v>2891</v>
      </c>
      <c r="C464" s="381" t="n">
        <v>1</v>
      </c>
      <c r="D464" s="381" t="n">
        <v>0</v>
      </c>
      <c r="E464" s="381" t="n">
        <v>0</v>
      </c>
      <c r="F464" s="359" t="n">
        <v>1</v>
      </c>
      <c r="G464" s="380" t="n">
        <v>0</v>
      </c>
      <c r="H464" s="358" t="n">
        <v>0</v>
      </c>
      <c r="I464" s="358" t="n">
        <v>0</v>
      </c>
      <c r="J464" s="358" t="n">
        <v>0</v>
      </c>
      <c r="K464" s="358" t="n">
        <v>0</v>
      </c>
      <c r="L464" s="358" t="n">
        <v>0</v>
      </c>
      <c r="M464" s="381" t="n">
        <v>1</v>
      </c>
      <c r="N464" s="381" t="n">
        <v>0</v>
      </c>
      <c r="O464" s="381" t="n">
        <v>0</v>
      </c>
      <c r="P464" s="359" t="n">
        <v>1</v>
      </c>
    </row>
    <row r="465" customFormat="false" ht="15" hidden="true" customHeight="false" outlineLevel="0" collapsed="false">
      <c r="B465" s="360" t="s">
        <v>2892</v>
      </c>
      <c r="C465" s="381" t="n">
        <v>1</v>
      </c>
      <c r="D465" s="381" t="n">
        <v>0</v>
      </c>
      <c r="E465" s="381" t="n">
        <v>0</v>
      </c>
      <c r="F465" s="359" t="n">
        <v>1</v>
      </c>
      <c r="G465" s="380" t="n">
        <v>0</v>
      </c>
      <c r="H465" s="358" t="n">
        <v>0</v>
      </c>
      <c r="I465" s="358" t="n">
        <v>0</v>
      </c>
      <c r="J465" s="358" t="n">
        <v>0</v>
      </c>
      <c r="K465" s="358" t="n">
        <v>0</v>
      </c>
      <c r="L465" s="358" t="n">
        <v>0</v>
      </c>
      <c r="M465" s="381" t="n">
        <v>1</v>
      </c>
      <c r="N465" s="381" t="n">
        <v>0</v>
      </c>
      <c r="O465" s="381" t="n">
        <v>0</v>
      </c>
      <c r="P465" s="359" t="n">
        <v>1</v>
      </c>
    </row>
    <row r="466" customFormat="false" ht="15" hidden="false" customHeight="false" outlineLevel="0" collapsed="false">
      <c r="B466" s="364" t="s">
        <v>2468</v>
      </c>
      <c r="C466" s="385" t="n">
        <v>59</v>
      </c>
      <c r="D466" s="385" t="n">
        <v>2</v>
      </c>
      <c r="E466" s="385" t="n">
        <v>1</v>
      </c>
      <c r="F466" s="365" t="n">
        <v>62</v>
      </c>
      <c r="G466" s="380" t="n">
        <v>1</v>
      </c>
      <c r="H466" s="358" t="n">
        <v>0</v>
      </c>
      <c r="I466" s="358" t="n">
        <v>0</v>
      </c>
      <c r="J466" s="358" t="n">
        <v>0</v>
      </c>
      <c r="K466" s="358" t="n">
        <v>0</v>
      </c>
      <c r="L466" s="358" t="n">
        <v>-1</v>
      </c>
      <c r="M466" s="385" t="n">
        <v>60</v>
      </c>
      <c r="N466" s="385" t="n">
        <v>2</v>
      </c>
      <c r="O466" s="385" t="n">
        <v>0</v>
      </c>
      <c r="P466" s="365" t="n">
        <v>62</v>
      </c>
    </row>
    <row r="467" customFormat="false" ht="15" hidden="true" customHeight="false" outlineLevel="0" collapsed="false">
      <c r="B467" s="360" t="s">
        <v>3571</v>
      </c>
      <c r="C467" s="381" t="n">
        <v>0</v>
      </c>
      <c r="D467" s="381" t="n">
        <v>1</v>
      </c>
      <c r="E467" s="381" t="n">
        <v>0</v>
      </c>
      <c r="F467" s="359" t="n">
        <v>1</v>
      </c>
      <c r="G467" s="380" t="n">
        <v>0</v>
      </c>
      <c r="H467" s="358" t="n">
        <v>0</v>
      </c>
      <c r="I467" s="358" t="n">
        <v>0</v>
      </c>
      <c r="J467" s="358" t="n">
        <v>0</v>
      </c>
      <c r="K467" s="358" t="n">
        <v>0</v>
      </c>
      <c r="L467" s="358" t="n">
        <v>0</v>
      </c>
      <c r="M467" s="381" t="n">
        <v>0</v>
      </c>
      <c r="N467" s="381" t="n">
        <v>1</v>
      </c>
      <c r="O467" s="381" t="n">
        <v>0</v>
      </c>
      <c r="P467" s="359" t="n">
        <v>1</v>
      </c>
    </row>
    <row r="468" customFormat="false" ht="15" hidden="true" customHeight="false" outlineLevel="0" collapsed="false">
      <c r="B468" s="360" t="s">
        <v>3572</v>
      </c>
      <c r="C468" s="381" t="n">
        <v>0</v>
      </c>
      <c r="D468" s="381" t="n">
        <v>1</v>
      </c>
      <c r="E468" s="381" t="n">
        <v>0</v>
      </c>
      <c r="F468" s="359" t="n">
        <v>1</v>
      </c>
      <c r="G468" s="380" t="n">
        <v>0</v>
      </c>
      <c r="H468" s="358" t="n">
        <v>0</v>
      </c>
      <c r="I468" s="358" t="n">
        <v>0</v>
      </c>
      <c r="J468" s="358" t="n">
        <v>0</v>
      </c>
      <c r="K468" s="358" t="n">
        <v>0</v>
      </c>
      <c r="L468" s="358" t="n">
        <v>0</v>
      </c>
      <c r="M468" s="381" t="n">
        <v>0</v>
      </c>
      <c r="N468" s="381" t="n">
        <v>1</v>
      </c>
      <c r="O468" s="381" t="n">
        <v>0</v>
      </c>
      <c r="P468" s="359" t="n">
        <v>1</v>
      </c>
    </row>
    <row r="469" customFormat="false" ht="15" hidden="true" customHeight="false" outlineLevel="0" collapsed="false">
      <c r="B469" s="360" t="s">
        <v>3573</v>
      </c>
      <c r="C469" s="381" t="n">
        <v>0</v>
      </c>
      <c r="D469" s="381" t="n">
        <v>0</v>
      </c>
      <c r="E469" s="381" t="n">
        <v>1</v>
      </c>
      <c r="F469" s="359" t="n">
        <v>1</v>
      </c>
      <c r="G469" s="380" t="n">
        <v>0</v>
      </c>
      <c r="H469" s="358" t="n">
        <v>0</v>
      </c>
      <c r="I469" s="358" t="n">
        <v>0</v>
      </c>
      <c r="J469" s="358" t="n">
        <v>0</v>
      </c>
      <c r="K469" s="358" t="n">
        <v>0</v>
      </c>
      <c r="L469" s="358" t="n">
        <v>-1</v>
      </c>
      <c r="M469" s="381" t="n">
        <v>0</v>
      </c>
      <c r="N469" s="381" t="n">
        <v>0</v>
      </c>
      <c r="O469" s="381" t="n">
        <v>0</v>
      </c>
      <c r="P469" s="359" t="n">
        <v>0</v>
      </c>
    </row>
    <row r="470" customFormat="false" ht="15" hidden="true" customHeight="false" outlineLevel="0" collapsed="false">
      <c r="B470" s="360" t="s">
        <v>2893</v>
      </c>
      <c r="C470" s="381" t="n">
        <v>1</v>
      </c>
      <c r="D470" s="381" t="n">
        <v>0</v>
      </c>
      <c r="E470" s="381" t="n">
        <v>0</v>
      </c>
      <c r="F470" s="359" t="n">
        <v>1</v>
      </c>
      <c r="G470" s="380" t="n">
        <v>0</v>
      </c>
      <c r="H470" s="358" t="n">
        <v>0</v>
      </c>
      <c r="I470" s="358" t="n">
        <v>0</v>
      </c>
      <c r="J470" s="358" t="n">
        <v>0</v>
      </c>
      <c r="K470" s="358" t="n">
        <v>0</v>
      </c>
      <c r="L470" s="358" t="n">
        <v>0</v>
      </c>
      <c r="M470" s="381" t="n">
        <v>1</v>
      </c>
      <c r="N470" s="381" t="n">
        <v>0</v>
      </c>
      <c r="O470" s="381" t="n">
        <v>0</v>
      </c>
      <c r="P470" s="359" t="n">
        <v>1</v>
      </c>
    </row>
    <row r="471" customFormat="false" ht="15" hidden="true" customHeight="false" outlineLevel="0" collapsed="false">
      <c r="B471" s="360" t="s">
        <v>2894</v>
      </c>
      <c r="C471" s="381" t="n">
        <v>1</v>
      </c>
      <c r="D471" s="381" t="n">
        <v>0</v>
      </c>
      <c r="E471" s="381" t="n">
        <v>0</v>
      </c>
      <c r="F471" s="359" t="n">
        <v>1</v>
      </c>
      <c r="G471" s="380" t="n">
        <v>0</v>
      </c>
      <c r="H471" s="358" t="n">
        <v>0</v>
      </c>
      <c r="I471" s="358" t="n">
        <v>0</v>
      </c>
      <c r="J471" s="358" t="n">
        <v>0</v>
      </c>
      <c r="K471" s="358" t="n">
        <v>0</v>
      </c>
      <c r="L471" s="358" t="n">
        <v>0</v>
      </c>
      <c r="M471" s="381" t="n">
        <v>1</v>
      </c>
      <c r="N471" s="381" t="n">
        <v>0</v>
      </c>
      <c r="O471" s="381" t="n">
        <v>0</v>
      </c>
      <c r="P471" s="359" t="n">
        <v>1</v>
      </c>
    </row>
    <row r="472" customFormat="false" ht="15" hidden="true" customHeight="false" outlineLevel="0" collapsed="false">
      <c r="B472" s="360" t="s">
        <v>2895</v>
      </c>
      <c r="C472" s="381" t="n">
        <v>1</v>
      </c>
      <c r="D472" s="381" t="n">
        <v>0</v>
      </c>
      <c r="E472" s="381" t="n">
        <v>0</v>
      </c>
      <c r="F472" s="359" t="n">
        <v>1</v>
      </c>
      <c r="G472" s="380" t="n">
        <v>0</v>
      </c>
      <c r="H472" s="358" t="n">
        <v>0</v>
      </c>
      <c r="I472" s="358" t="n">
        <v>0</v>
      </c>
      <c r="J472" s="358" t="n">
        <v>0</v>
      </c>
      <c r="K472" s="358" t="n">
        <v>0</v>
      </c>
      <c r="L472" s="358" t="n">
        <v>0</v>
      </c>
      <c r="M472" s="381" t="n">
        <v>1</v>
      </c>
      <c r="N472" s="381" t="n">
        <v>0</v>
      </c>
      <c r="O472" s="381" t="n">
        <v>0</v>
      </c>
      <c r="P472" s="359" t="n">
        <v>1</v>
      </c>
    </row>
    <row r="473" customFormat="false" ht="15" hidden="true" customHeight="false" outlineLevel="0" collapsed="false">
      <c r="B473" s="360" t="s">
        <v>2896</v>
      </c>
      <c r="C473" s="381" t="n">
        <v>1</v>
      </c>
      <c r="D473" s="381" t="n">
        <v>0</v>
      </c>
      <c r="E473" s="381" t="n">
        <v>0</v>
      </c>
      <c r="F473" s="359" t="n">
        <v>1</v>
      </c>
      <c r="G473" s="380" t="n">
        <v>0</v>
      </c>
      <c r="H473" s="358" t="n">
        <v>0</v>
      </c>
      <c r="I473" s="358" t="n">
        <v>0</v>
      </c>
      <c r="J473" s="358" t="n">
        <v>0</v>
      </c>
      <c r="K473" s="358" t="n">
        <v>0</v>
      </c>
      <c r="L473" s="358" t="n">
        <v>0</v>
      </c>
      <c r="M473" s="381" t="n">
        <v>1</v>
      </c>
      <c r="N473" s="381" t="n">
        <v>0</v>
      </c>
      <c r="O473" s="381" t="n">
        <v>0</v>
      </c>
      <c r="P473" s="359" t="n">
        <v>1</v>
      </c>
    </row>
    <row r="474" customFormat="false" ht="15" hidden="true" customHeight="false" outlineLevel="0" collapsed="false">
      <c r="B474" s="360" t="s">
        <v>2897</v>
      </c>
      <c r="C474" s="381" t="n">
        <v>1</v>
      </c>
      <c r="D474" s="381" t="n">
        <v>0</v>
      </c>
      <c r="E474" s="381" t="n">
        <v>0</v>
      </c>
      <c r="F474" s="359" t="n">
        <v>1</v>
      </c>
      <c r="G474" s="380" t="n">
        <v>0</v>
      </c>
      <c r="H474" s="358" t="n">
        <v>0</v>
      </c>
      <c r="I474" s="358" t="n">
        <v>0</v>
      </c>
      <c r="J474" s="358" t="n">
        <v>0</v>
      </c>
      <c r="K474" s="358" t="n">
        <v>0</v>
      </c>
      <c r="L474" s="358" t="n">
        <v>0</v>
      </c>
      <c r="M474" s="381" t="n">
        <v>1</v>
      </c>
      <c r="N474" s="381" t="n">
        <v>0</v>
      </c>
      <c r="O474" s="381" t="n">
        <v>0</v>
      </c>
      <c r="P474" s="359" t="n">
        <v>1</v>
      </c>
    </row>
    <row r="475" customFormat="false" ht="15" hidden="true" customHeight="false" outlineLevel="0" collapsed="false">
      <c r="B475" s="360" t="s">
        <v>2898</v>
      </c>
      <c r="C475" s="381" t="n">
        <v>1</v>
      </c>
      <c r="D475" s="381" t="n">
        <v>0</v>
      </c>
      <c r="E475" s="381" t="n">
        <v>0</v>
      </c>
      <c r="F475" s="359" t="n">
        <v>1</v>
      </c>
      <c r="G475" s="380" t="n">
        <v>0</v>
      </c>
      <c r="H475" s="358" t="n">
        <v>0</v>
      </c>
      <c r="I475" s="358" t="n">
        <v>0</v>
      </c>
      <c r="J475" s="358" t="n">
        <v>0</v>
      </c>
      <c r="K475" s="358" t="n">
        <v>0</v>
      </c>
      <c r="L475" s="358" t="n">
        <v>0</v>
      </c>
      <c r="M475" s="381" t="n">
        <v>1</v>
      </c>
      <c r="N475" s="381" t="n">
        <v>0</v>
      </c>
      <c r="O475" s="381" t="n">
        <v>0</v>
      </c>
      <c r="P475" s="359" t="n">
        <v>1</v>
      </c>
    </row>
    <row r="476" customFormat="false" ht="15" hidden="true" customHeight="false" outlineLevel="0" collapsed="false">
      <c r="B476" s="360" t="s">
        <v>2899</v>
      </c>
      <c r="C476" s="381" t="n">
        <v>1</v>
      </c>
      <c r="D476" s="381" t="n">
        <v>0</v>
      </c>
      <c r="E476" s="381" t="n">
        <v>0</v>
      </c>
      <c r="F476" s="359" t="n">
        <v>1</v>
      </c>
      <c r="G476" s="380" t="n">
        <v>0</v>
      </c>
      <c r="H476" s="358" t="n">
        <v>0</v>
      </c>
      <c r="I476" s="358" t="n">
        <v>0</v>
      </c>
      <c r="J476" s="358" t="n">
        <v>0</v>
      </c>
      <c r="K476" s="358" t="n">
        <v>0</v>
      </c>
      <c r="L476" s="358" t="n">
        <v>0</v>
      </c>
      <c r="M476" s="381" t="n">
        <v>1</v>
      </c>
      <c r="N476" s="381" t="n">
        <v>0</v>
      </c>
      <c r="O476" s="381" t="n">
        <v>0</v>
      </c>
      <c r="P476" s="359" t="n">
        <v>1</v>
      </c>
    </row>
    <row r="477" customFormat="false" ht="15" hidden="true" customHeight="false" outlineLevel="0" collapsed="false">
      <c r="B477" s="360" t="s">
        <v>2900</v>
      </c>
      <c r="C477" s="381" t="n">
        <v>1</v>
      </c>
      <c r="D477" s="381" t="n">
        <v>0</v>
      </c>
      <c r="E477" s="381" t="n">
        <v>0</v>
      </c>
      <c r="F477" s="359" t="n">
        <v>1</v>
      </c>
      <c r="G477" s="380" t="n">
        <v>0</v>
      </c>
      <c r="H477" s="358" t="n">
        <v>0</v>
      </c>
      <c r="I477" s="358" t="n">
        <v>0</v>
      </c>
      <c r="J477" s="358" t="n">
        <v>0</v>
      </c>
      <c r="K477" s="358" t="n">
        <v>0</v>
      </c>
      <c r="L477" s="358" t="n">
        <v>0</v>
      </c>
      <c r="M477" s="381" t="n">
        <v>1</v>
      </c>
      <c r="N477" s="381" t="n">
        <v>0</v>
      </c>
      <c r="O477" s="381" t="n">
        <v>0</v>
      </c>
      <c r="P477" s="359" t="n">
        <v>1</v>
      </c>
    </row>
    <row r="478" customFormat="false" ht="15" hidden="true" customHeight="false" outlineLevel="0" collapsed="false">
      <c r="B478" s="360" t="s">
        <v>2901</v>
      </c>
      <c r="C478" s="381" t="n">
        <v>1</v>
      </c>
      <c r="D478" s="381" t="n">
        <v>0</v>
      </c>
      <c r="E478" s="381" t="n">
        <v>0</v>
      </c>
      <c r="F478" s="359" t="n">
        <v>1</v>
      </c>
      <c r="G478" s="380" t="n">
        <v>0</v>
      </c>
      <c r="H478" s="358" t="n">
        <v>0</v>
      </c>
      <c r="I478" s="358" t="n">
        <v>0</v>
      </c>
      <c r="J478" s="358" t="n">
        <v>0</v>
      </c>
      <c r="K478" s="358" t="n">
        <v>0</v>
      </c>
      <c r="L478" s="358" t="n">
        <v>0</v>
      </c>
      <c r="M478" s="381" t="n">
        <v>1</v>
      </c>
      <c r="N478" s="381" t="n">
        <v>0</v>
      </c>
      <c r="O478" s="381" t="n">
        <v>0</v>
      </c>
      <c r="P478" s="359" t="n">
        <v>1</v>
      </c>
    </row>
    <row r="479" customFormat="false" ht="15" hidden="true" customHeight="false" outlineLevel="0" collapsed="false">
      <c r="B479" s="360" t="s">
        <v>2902</v>
      </c>
      <c r="C479" s="381" t="n">
        <v>1</v>
      </c>
      <c r="D479" s="381" t="n">
        <v>0</v>
      </c>
      <c r="E479" s="381" t="n">
        <v>0</v>
      </c>
      <c r="F479" s="359" t="n">
        <v>1</v>
      </c>
      <c r="G479" s="380" t="n">
        <v>0</v>
      </c>
      <c r="H479" s="358" t="n">
        <v>0</v>
      </c>
      <c r="I479" s="358" t="n">
        <v>0</v>
      </c>
      <c r="J479" s="358" t="n">
        <v>0</v>
      </c>
      <c r="K479" s="358" t="n">
        <v>0</v>
      </c>
      <c r="L479" s="358" t="n">
        <v>0</v>
      </c>
      <c r="M479" s="381" t="n">
        <v>1</v>
      </c>
      <c r="N479" s="381" t="n">
        <v>0</v>
      </c>
      <c r="O479" s="381" t="n">
        <v>0</v>
      </c>
      <c r="P479" s="359" t="n">
        <v>1</v>
      </c>
    </row>
    <row r="480" customFormat="false" ht="15" hidden="true" customHeight="false" outlineLevel="0" collapsed="false">
      <c r="B480" s="360" t="s">
        <v>2903</v>
      </c>
      <c r="C480" s="381" t="n">
        <v>1</v>
      </c>
      <c r="D480" s="381" t="n">
        <v>0</v>
      </c>
      <c r="E480" s="381" t="n">
        <v>0</v>
      </c>
      <c r="F480" s="359" t="n">
        <v>1</v>
      </c>
      <c r="G480" s="380" t="n">
        <v>0</v>
      </c>
      <c r="H480" s="358" t="n">
        <v>0</v>
      </c>
      <c r="I480" s="358" t="n">
        <v>0</v>
      </c>
      <c r="J480" s="358" t="n">
        <v>0</v>
      </c>
      <c r="K480" s="358" t="n">
        <v>0</v>
      </c>
      <c r="L480" s="358" t="n">
        <v>0</v>
      </c>
      <c r="M480" s="381" t="n">
        <v>1</v>
      </c>
      <c r="N480" s="381" t="n">
        <v>0</v>
      </c>
      <c r="O480" s="381" t="n">
        <v>0</v>
      </c>
      <c r="P480" s="359" t="n">
        <v>1</v>
      </c>
    </row>
    <row r="481" customFormat="false" ht="15" hidden="true" customHeight="false" outlineLevel="0" collapsed="false">
      <c r="B481" s="360" t="s">
        <v>2904</v>
      </c>
      <c r="C481" s="381" t="n">
        <v>1</v>
      </c>
      <c r="D481" s="381" t="n">
        <v>0</v>
      </c>
      <c r="E481" s="381" t="n">
        <v>0</v>
      </c>
      <c r="F481" s="359" t="n">
        <v>1</v>
      </c>
      <c r="G481" s="380" t="n">
        <v>0</v>
      </c>
      <c r="H481" s="358" t="n">
        <v>0</v>
      </c>
      <c r="I481" s="358" t="n">
        <v>0</v>
      </c>
      <c r="J481" s="358" t="n">
        <v>0</v>
      </c>
      <c r="K481" s="358" t="n">
        <v>0</v>
      </c>
      <c r="L481" s="358" t="n">
        <v>0</v>
      </c>
      <c r="M481" s="381" t="n">
        <v>1</v>
      </c>
      <c r="N481" s="381" t="n">
        <v>0</v>
      </c>
      <c r="O481" s="381" t="n">
        <v>0</v>
      </c>
      <c r="P481" s="359" t="n">
        <v>1</v>
      </c>
    </row>
    <row r="482" customFormat="false" ht="15" hidden="true" customHeight="false" outlineLevel="0" collapsed="false">
      <c r="B482" s="360" t="s">
        <v>2905</v>
      </c>
      <c r="C482" s="381" t="n">
        <v>1</v>
      </c>
      <c r="D482" s="381" t="n">
        <v>0</v>
      </c>
      <c r="E482" s="381" t="n">
        <v>0</v>
      </c>
      <c r="F482" s="359" t="n">
        <v>1</v>
      </c>
      <c r="G482" s="380" t="n">
        <v>0</v>
      </c>
      <c r="H482" s="358" t="n">
        <v>0</v>
      </c>
      <c r="I482" s="358" t="n">
        <v>0</v>
      </c>
      <c r="J482" s="358" t="n">
        <v>0</v>
      </c>
      <c r="K482" s="358" t="n">
        <v>0</v>
      </c>
      <c r="L482" s="358" t="n">
        <v>0</v>
      </c>
      <c r="M482" s="381" t="n">
        <v>1</v>
      </c>
      <c r="N482" s="381" t="n">
        <v>0</v>
      </c>
      <c r="O482" s="381" t="n">
        <v>0</v>
      </c>
      <c r="P482" s="359" t="n">
        <v>1</v>
      </c>
    </row>
    <row r="483" customFormat="false" ht="15" hidden="true" customHeight="false" outlineLevel="0" collapsed="false">
      <c r="B483" s="360" t="s">
        <v>2906</v>
      </c>
      <c r="C483" s="381" t="n">
        <v>1</v>
      </c>
      <c r="D483" s="381" t="n">
        <v>0</v>
      </c>
      <c r="E483" s="381" t="n">
        <v>0</v>
      </c>
      <c r="F483" s="359" t="n">
        <v>1</v>
      </c>
      <c r="G483" s="380" t="n">
        <v>0</v>
      </c>
      <c r="H483" s="358" t="n">
        <v>0</v>
      </c>
      <c r="I483" s="358" t="n">
        <v>0</v>
      </c>
      <c r="J483" s="358" t="n">
        <v>0</v>
      </c>
      <c r="K483" s="358" t="n">
        <v>0</v>
      </c>
      <c r="L483" s="358" t="n">
        <v>0</v>
      </c>
      <c r="M483" s="381" t="n">
        <v>1</v>
      </c>
      <c r="N483" s="381" t="n">
        <v>0</v>
      </c>
      <c r="O483" s="381" t="n">
        <v>0</v>
      </c>
      <c r="P483" s="359" t="n">
        <v>1</v>
      </c>
    </row>
    <row r="484" customFormat="false" ht="15" hidden="true" customHeight="false" outlineLevel="0" collapsed="false">
      <c r="B484" s="360" t="s">
        <v>2907</v>
      </c>
      <c r="C484" s="381" t="n">
        <v>1</v>
      </c>
      <c r="D484" s="381" t="n">
        <v>0</v>
      </c>
      <c r="E484" s="381" t="n">
        <v>0</v>
      </c>
      <c r="F484" s="359" t="n">
        <v>1</v>
      </c>
      <c r="G484" s="380" t="n">
        <v>0</v>
      </c>
      <c r="H484" s="358" t="n">
        <v>0</v>
      </c>
      <c r="I484" s="358" t="n">
        <v>0</v>
      </c>
      <c r="J484" s="358" t="n">
        <v>0</v>
      </c>
      <c r="K484" s="358" t="n">
        <v>0</v>
      </c>
      <c r="L484" s="358" t="n">
        <v>0</v>
      </c>
      <c r="M484" s="381" t="n">
        <v>1</v>
      </c>
      <c r="N484" s="381" t="n">
        <v>0</v>
      </c>
      <c r="O484" s="381" t="n">
        <v>0</v>
      </c>
      <c r="P484" s="359" t="n">
        <v>1</v>
      </c>
    </row>
    <row r="485" customFormat="false" ht="15" hidden="true" customHeight="false" outlineLevel="0" collapsed="false">
      <c r="B485" s="360" t="s">
        <v>2908</v>
      </c>
      <c r="C485" s="381" t="n">
        <v>1</v>
      </c>
      <c r="D485" s="381" t="n">
        <v>0</v>
      </c>
      <c r="E485" s="381" t="n">
        <v>0</v>
      </c>
      <c r="F485" s="359" t="n">
        <v>1</v>
      </c>
      <c r="G485" s="380" t="n">
        <v>0</v>
      </c>
      <c r="H485" s="358" t="n">
        <v>0</v>
      </c>
      <c r="I485" s="358" t="n">
        <v>0</v>
      </c>
      <c r="J485" s="358" t="n">
        <v>0</v>
      </c>
      <c r="K485" s="358" t="n">
        <v>0</v>
      </c>
      <c r="L485" s="358" t="n">
        <v>0</v>
      </c>
      <c r="M485" s="381" t="n">
        <v>1</v>
      </c>
      <c r="N485" s="381" t="n">
        <v>0</v>
      </c>
      <c r="O485" s="381" t="n">
        <v>0</v>
      </c>
      <c r="P485" s="359" t="n">
        <v>1</v>
      </c>
    </row>
    <row r="486" customFormat="false" ht="15" hidden="true" customHeight="false" outlineLevel="0" collapsed="false">
      <c r="B486" s="360" t="s">
        <v>2909</v>
      </c>
      <c r="C486" s="381" t="n">
        <v>1</v>
      </c>
      <c r="D486" s="381" t="n">
        <v>0</v>
      </c>
      <c r="E486" s="381" t="n">
        <v>0</v>
      </c>
      <c r="F486" s="359" t="n">
        <v>1</v>
      </c>
      <c r="G486" s="380" t="n">
        <v>0</v>
      </c>
      <c r="H486" s="358" t="n">
        <v>0</v>
      </c>
      <c r="I486" s="358" t="n">
        <v>0</v>
      </c>
      <c r="J486" s="358" t="n">
        <v>0</v>
      </c>
      <c r="K486" s="358" t="n">
        <v>0</v>
      </c>
      <c r="L486" s="358" t="n">
        <v>0</v>
      </c>
      <c r="M486" s="381" t="n">
        <v>1</v>
      </c>
      <c r="N486" s="381" t="n">
        <v>0</v>
      </c>
      <c r="O486" s="381" t="n">
        <v>0</v>
      </c>
      <c r="P486" s="359" t="n">
        <v>1</v>
      </c>
    </row>
    <row r="487" customFormat="false" ht="15" hidden="true" customHeight="false" outlineLevel="0" collapsed="false">
      <c r="B487" s="360" t="s">
        <v>2910</v>
      </c>
      <c r="C487" s="381" t="n">
        <v>1</v>
      </c>
      <c r="D487" s="381" t="n">
        <v>0</v>
      </c>
      <c r="E487" s="381" t="n">
        <v>0</v>
      </c>
      <c r="F487" s="359" t="n">
        <v>1</v>
      </c>
      <c r="G487" s="380" t="n">
        <v>0</v>
      </c>
      <c r="H487" s="358" t="n">
        <v>0</v>
      </c>
      <c r="I487" s="358" t="n">
        <v>0</v>
      </c>
      <c r="J487" s="358" t="n">
        <v>0</v>
      </c>
      <c r="K487" s="358" t="n">
        <v>0</v>
      </c>
      <c r="L487" s="358" t="n">
        <v>0</v>
      </c>
      <c r="M487" s="381" t="n">
        <v>1</v>
      </c>
      <c r="N487" s="381" t="n">
        <v>0</v>
      </c>
      <c r="O487" s="381" t="n">
        <v>0</v>
      </c>
      <c r="P487" s="359" t="n">
        <v>1</v>
      </c>
    </row>
    <row r="488" customFormat="false" ht="15" hidden="true" customHeight="false" outlineLevel="0" collapsed="false">
      <c r="B488" s="360" t="s">
        <v>2911</v>
      </c>
      <c r="C488" s="381" t="n">
        <v>1</v>
      </c>
      <c r="D488" s="381" t="n">
        <v>0</v>
      </c>
      <c r="E488" s="381" t="n">
        <v>0</v>
      </c>
      <c r="F488" s="359" t="n">
        <v>1</v>
      </c>
      <c r="G488" s="380" t="n">
        <v>0</v>
      </c>
      <c r="H488" s="358" t="n">
        <v>0</v>
      </c>
      <c r="I488" s="358" t="n">
        <v>0</v>
      </c>
      <c r="J488" s="358" t="n">
        <v>0</v>
      </c>
      <c r="K488" s="358" t="n">
        <v>0</v>
      </c>
      <c r="L488" s="358" t="n">
        <v>0</v>
      </c>
      <c r="M488" s="381" t="n">
        <v>1</v>
      </c>
      <c r="N488" s="381" t="n">
        <v>0</v>
      </c>
      <c r="O488" s="381" t="n">
        <v>0</v>
      </c>
      <c r="P488" s="359" t="n">
        <v>1</v>
      </c>
    </row>
    <row r="489" customFormat="false" ht="15" hidden="true" customHeight="false" outlineLevel="0" collapsed="false">
      <c r="B489" s="360" t="s">
        <v>2912</v>
      </c>
      <c r="C489" s="381" t="n">
        <v>1</v>
      </c>
      <c r="D489" s="381" t="n">
        <v>0</v>
      </c>
      <c r="E489" s="381" t="n">
        <v>0</v>
      </c>
      <c r="F489" s="359" t="n">
        <v>1</v>
      </c>
      <c r="G489" s="380" t="n">
        <v>0</v>
      </c>
      <c r="H489" s="358" t="n">
        <v>0</v>
      </c>
      <c r="I489" s="358" t="n">
        <v>0</v>
      </c>
      <c r="J489" s="358" t="n">
        <v>0</v>
      </c>
      <c r="K489" s="358" t="n">
        <v>0</v>
      </c>
      <c r="L489" s="358" t="n">
        <v>0</v>
      </c>
      <c r="M489" s="381" t="n">
        <v>1</v>
      </c>
      <c r="N489" s="381" t="n">
        <v>0</v>
      </c>
      <c r="O489" s="381" t="n">
        <v>0</v>
      </c>
      <c r="P489" s="359" t="n">
        <v>1</v>
      </c>
    </row>
    <row r="490" customFormat="false" ht="15" hidden="true" customHeight="false" outlineLevel="0" collapsed="false">
      <c r="B490" s="360" t="s">
        <v>2913</v>
      </c>
      <c r="C490" s="381" t="n">
        <v>1</v>
      </c>
      <c r="D490" s="381" t="n">
        <v>0</v>
      </c>
      <c r="E490" s="381" t="n">
        <v>0</v>
      </c>
      <c r="F490" s="359" t="n">
        <v>1</v>
      </c>
      <c r="G490" s="380" t="n">
        <v>0</v>
      </c>
      <c r="H490" s="358" t="n">
        <v>0</v>
      </c>
      <c r="I490" s="358" t="n">
        <v>0</v>
      </c>
      <c r="J490" s="358" t="n">
        <v>0</v>
      </c>
      <c r="K490" s="358" t="n">
        <v>0</v>
      </c>
      <c r="L490" s="358" t="n">
        <v>0</v>
      </c>
      <c r="M490" s="381" t="n">
        <v>1</v>
      </c>
      <c r="N490" s="381" t="n">
        <v>0</v>
      </c>
      <c r="O490" s="381" t="n">
        <v>0</v>
      </c>
      <c r="P490" s="359" t="n">
        <v>1</v>
      </c>
    </row>
    <row r="491" customFormat="false" ht="15" hidden="true" customHeight="false" outlineLevel="0" collapsed="false">
      <c r="B491" s="360" t="s">
        <v>2914</v>
      </c>
      <c r="C491" s="381" t="n">
        <v>1</v>
      </c>
      <c r="D491" s="381" t="n">
        <v>0</v>
      </c>
      <c r="E491" s="381" t="n">
        <v>0</v>
      </c>
      <c r="F491" s="359" t="n">
        <v>1</v>
      </c>
      <c r="G491" s="380" t="n">
        <v>0</v>
      </c>
      <c r="H491" s="358" t="n">
        <v>0</v>
      </c>
      <c r="I491" s="358" t="n">
        <v>0</v>
      </c>
      <c r="J491" s="358" t="n">
        <v>0</v>
      </c>
      <c r="K491" s="358" t="n">
        <v>0</v>
      </c>
      <c r="L491" s="358" t="n">
        <v>0</v>
      </c>
      <c r="M491" s="381" t="n">
        <v>1</v>
      </c>
      <c r="N491" s="381" t="n">
        <v>0</v>
      </c>
      <c r="O491" s="381" t="n">
        <v>0</v>
      </c>
      <c r="P491" s="359" t="n">
        <v>1</v>
      </c>
    </row>
    <row r="492" customFormat="false" ht="15" hidden="true" customHeight="false" outlineLevel="0" collapsed="false">
      <c r="B492" s="360" t="s">
        <v>2915</v>
      </c>
      <c r="C492" s="381" t="n">
        <v>1</v>
      </c>
      <c r="D492" s="381" t="n">
        <v>0</v>
      </c>
      <c r="E492" s="381" t="n">
        <v>0</v>
      </c>
      <c r="F492" s="359" t="n">
        <v>1</v>
      </c>
      <c r="G492" s="380" t="n">
        <v>0</v>
      </c>
      <c r="H492" s="358" t="n">
        <v>0</v>
      </c>
      <c r="I492" s="358" t="n">
        <v>0</v>
      </c>
      <c r="J492" s="358" t="n">
        <v>0</v>
      </c>
      <c r="K492" s="358" t="n">
        <v>0</v>
      </c>
      <c r="L492" s="358" t="n">
        <v>0</v>
      </c>
      <c r="M492" s="381" t="n">
        <v>1</v>
      </c>
      <c r="N492" s="381" t="n">
        <v>0</v>
      </c>
      <c r="O492" s="381" t="n">
        <v>0</v>
      </c>
      <c r="P492" s="359" t="n">
        <v>1</v>
      </c>
    </row>
    <row r="493" customFormat="false" ht="15" hidden="true" customHeight="false" outlineLevel="0" collapsed="false">
      <c r="B493" s="360" t="s">
        <v>2916</v>
      </c>
      <c r="C493" s="381" t="n">
        <v>1</v>
      </c>
      <c r="D493" s="381" t="n">
        <v>0</v>
      </c>
      <c r="E493" s="381" t="n">
        <v>0</v>
      </c>
      <c r="F493" s="359" t="n">
        <v>1</v>
      </c>
      <c r="G493" s="380" t="n">
        <v>0</v>
      </c>
      <c r="H493" s="358" t="n">
        <v>0</v>
      </c>
      <c r="I493" s="358" t="n">
        <v>0</v>
      </c>
      <c r="J493" s="358" t="n">
        <v>0</v>
      </c>
      <c r="K493" s="358" t="n">
        <v>0</v>
      </c>
      <c r="L493" s="358" t="n">
        <v>0</v>
      </c>
      <c r="M493" s="381" t="n">
        <v>1</v>
      </c>
      <c r="N493" s="381" t="n">
        <v>0</v>
      </c>
      <c r="O493" s="381" t="n">
        <v>0</v>
      </c>
      <c r="P493" s="359" t="n">
        <v>1</v>
      </c>
    </row>
    <row r="494" customFormat="false" ht="15" hidden="true" customHeight="false" outlineLevel="0" collapsed="false">
      <c r="B494" s="360" t="s">
        <v>2917</v>
      </c>
      <c r="C494" s="381" t="n">
        <v>1</v>
      </c>
      <c r="D494" s="381" t="n">
        <v>0</v>
      </c>
      <c r="E494" s="381" t="n">
        <v>0</v>
      </c>
      <c r="F494" s="359" t="n">
        <v>1</v>
      </c>
      <c r="G494" s="380" t="n">
        <v>0</v>
      </c>
      <c r="H494" s="358" t="n">
        <v>0</v>
      </c>
      <c r="I494" s="358" t="n">
        <v>0</v>
      </c>
      <c r="J494" s="358" t="n">
        <v>0</v>
      </c>
      <c r="K494" s="358" t="n">
        <v>0</v>
      </c>
      <c r="L494" s="358" t="n">
        <v>0</v>
      </c>
      <c r="M494" s="381" t="n">
        <v>1</v>
      </c>
      <c r="N494" s="381" t="n">
        <v>0</v>
      </c>
      <c r="O494" s="381" t="n">
        <v>0</v>
      </c>
      <c r="P494" s="359" t="n">
        <v>1</v>
      </c>
    </row>
    <row r="495" customFormat="false" ht="15" hidden="true" customHeight="false" outlineLevel="0" collapsed="false">
      <c r="B495" s="360" t="s">
        <v>2918</v>
      </c>
      <c r="C495" s="381" t="n">
        <v>1</v>
      </c>
      <c r="D495" s="381" t="n">
        <v>0</v>
      </c>
      <c r="E495" s="381" t="n">
        <v>0</v>
      </c>
      <c r="F495" s="359" t="n">
        <v>1</v>
      </c>
      <c r="G495" s="380" t="n">
        <v>0</v>
      </c>
      <c r="H495" s="358" t="n">
        <v>0</v>
      </c>
      <c r="I495" s="358" t="n">
        <v>0</v>
      </c>
      <c r="J495" s="358" t="n">
        <v>0</v>
      </c>
      <c r="K495" s="358" t="n">
        <v>0</v>
      </c>
      <c r="L495" s="358" t="n">
        <v>0</v>
      </c>
      <c r="M495" s="381" t="n">
        <v>1</v>
      </c>
      <c r="N495" s="381" t="n">
        <v>0</v>
      </c>
      <c r="O495" s="381" t="n">
        <v>0</v>
      </c>
      <c r="P495" s="359" t="n">
        <v>1</v>
      </c>
    </row>
    <row r="496" customFormat="false" ht="15" hidden="true" customHeight="false" outlineLevel="0" collapsed="false">
      <c r="B496" s="360" t="s">
        <v>2919</v>
      </c>
      <c r="C496" s="381" t="n">
        <v>1</v>
      </c>
      <c r="D496" s="381" t="n">
        <v>0</v>
      </c>
      <c r="E496" s="381" t="n">
        <v>0</v>
      </c>
      <c r="F496" s="359" t="n">
        <v>1</v>
      </c>
      <c r="G496" s="380" t="n">
        <v>0</v>
      </c>
      <c r="H496" s="358" t="n">
        <v>0</v>
      </c>
      <c r="I496" s="358" t="n">
        <v>0</v>
      </c>
      <c r="J496" s="358" t="n">
        <v>0</v>
      </c>
      <c r="K496" s="358" t="n">
        <v>0</v>
      </c>
      <c r="L496" s="358" t="n">
        <v>0</v>
      </c>
      <c r="M496" s="381" t="n">
        <v>1</v>
      </c>
      <c r="N496" s="381" t="n">
        <v>0</v>
      </c>
      <c r="O496" s="381" t="n">
        <v>0</v>
      </c>
      <c r="P496" s="359" t="n">
        <v>1</v>
      </c>
    </row>
    <row r="497" customFormat="false" ht="15" hidden="true" customHeight="false" outlineLevel="0" collapsed="false">
      <c r="B497" s="360" t="s">
        <v>2920</v>
      </c>
      <c r="C497" s="381" t="n">
        <v>1</v>
      </c>
      <c r="D497" s="381" t="n">
        <v>0</v>
      </c>
      <c r="E497" s="381" t="n">
        <v>0</v>
      </c>
      <c r="F497" s="359" t="n">
        <v>1</v>
      </c>
      <c r="G497" s="380" t="n">
        <v>0</v>
      </c>
      <c r="H497" s="358" t="n">
        <v>0</v>
      </c>
      <c r="I497" s="358" t="n">
        <v>0</v>
      </c>
      <c r="J497" s="358" t="n">
        <v>0</v>
      </c>
      <c r="K497" s="358" t="n">
        <v>0</v>
      </c>
      <c r="L497" s="358" t="n">
        <v>0</v>
      </c>
      <c r="M497" s="381" t="n">
        <v>1</v>
      </c>
      <c r="N497" s="381" t="n">
        <v>0</v>
      </c>
      <c r="O497" s="381" t="n">
        <v>0</v>
      </c>
      <c r="P497" s="359" t="n">
        <v>1</v>
      </c>
    </row>
    <row r="498" customFormat="false" ht="15" hidden="true" customHeight="false" outlineLevel="0" collapsed="false">
      <c r="B498" s="360" t="s">
        <v>2921</v>
      </c>
      <c r="C498" s="381" t="n">
        <v>1</v>
      </c>
      <c r="D498" s="381" t="n">
        <v>0</v>
      </c>
      <c r="E498" s="381" t="n">
        <v>0</v>
      </c>
      <c r="F498" s="359" t="n">
        <v>1</v>
      </c>
      <c r="G498" s="380" t="n">
        <v>0</v>
      </c>
      <c r="H498" s="358" t="n">
        <v>0</v>
      </c>
      <c r="I498" s="358" t="n">
        <v>0</v>
      </c>
      <c r="J498" s="358" t="n">
        <v>0</v>
      </c>
      <c r="K498" s="358" t="n">
        <v>0</v>
      </c>
      <c r="L498" s="358" t="n">
        <v>0</v>
      </c>
      <c r="M498" s="381" t="n">
        <v>1</v>
      </c>
      <c r="N498" s="381" t="n">
        <v>0</v>
      </c>
      <c r="O498" s="381" t="n">
        <v>0</v>
      </c>
      <c r="P498" s="359" t="n">
        <v>1</v>
      </c>
    </row>
    <row r="499" customFormat="false" ht="15" hidden="true" customHeight="false" outlineLevel="0" collapsed="false">
      <c r="B499" s="360" t="s">
        <v>2922</v>
      </c>
      <c r="C499" s="381" t="n">
        <v>1</v>
      </c>
      <c r="D499" s="381" t="n">
        <v>0</v>
      </c>
      <c r="E499" s="381" t="n">
        <v>0</v>
      </c>
      <c r="F499" s="359" t="n">
        <v>1</v>
      </c>
      <c r="G499" s="380" t="n">
        <v>0</v>
      </c>
      <c r="H499" s="358" t="n">
        <v>0</v>
      </c>
      <c r="I499" s="358" t="n">
        <v>0</v>
      </c>
      <c r="J499" s="358" t="n">
        <v>0</v>
      </c>
      <c r="K499" s="358" t="n">
        <v>0</v>
      </c>
      <c r="L499" s="358" t="n">
        <v>0</v>
      </c>
      <c r="M499" s="381" t="n">
        <v>1</v>
      </c>
      <c r="N499" s="381" t="n">
        <v>0</v>
      </c>
      <c r="O499" s="381" t="n">
        <v>0</v>
      </c>
      <c r="P499" s="359" t="n">
        <v>1</v>
      </c>
    </row>
    <row r="500" customFormat="false" ht="15" hidden="true" customHeight="false" outlineLevel="0" collapsed="false">
      <c r="B500" s="360" t="s">
        <v>2923</v>
      </c>
      <c r="C500" s="381" t="n">
        <v>1</v>
      </c>
      <c r="D500" s="381" t="n">
        <v>0</v>
      </c>
      <c r="E500" s="381" t="n">
        <v>0</v>
      </c>
      <c r="F500" s="359" t="n">
        <v>1</v>
      </c>
      <c r="G500" s="380" t="n">
        <v>0</v>
      </c>
      <c r="H500" s="358" t="n">
        <v>0</v>
      </c>
      <c r="I500" s="358" t="n">
        <v>0</v>
      </c>
      <c r="J500" s="358" t="n">
        <v>0</v>
      </c>
      <c r="K500" s="358" t="n">
        <v>0</v>
      </c>
      <c r="L500" s="358" t="n">
        <v>0</v>
      </c>
      <c r="M500" s="381" t="n">
        <v>1</v>
      </c>
      <c r="N500" s="381" t="n">
        <v>0</v>
      </c>
      <c r="O500" s="381" t="n">
        <v>0</v>
      </c>
      <c r="P500" s="359" t="n">
        <v>1</v>
      </c>
    </row>
    <row r="501" customFormat="false" ht="15" hidden="true" customHeight="false" outlineLevel="0" collapsed="false">
      <c r="B501" s="360" t="s">
        <v>2924</v>
      </c>
      <c r="C501" s="381" t="n">
        <v>1</v>
      </c>
      <c r="D501" s="381" t="n">
        <v>0</v>
      </c>
      <c r="E501" s="381" t="n">
        <v>0</v>
      </c>
      <c r="F501" s="359" t="n">
        <v>1</v>
      </c>
      <c r="G501" s="380" t="n">
        <v>0</v>
      </c>
      <c r="H501" s="358" t="n">
        <v>0</v>
      </c>
      <c r="I501" s="358" t="n">
        <v>0</v>
      </c>
      <c r="J501" s="358" t="n">
        <v>0</v>
      </c>
      <c r="K501" s="358" t="n">
        <v>0</v>
      </c>
      <c r="L501" s="358" t="n">
        <v>0</v>
      </c>
      <c r="M501" s="381" t="n">
        <v>1</v>
      </c>
      <c r="N501" s="381" t="n">
        <v>0</v>
      </c>
      <c r="O501" s="381" t="n">
        <v>0</v>
      </c>
      <c r="P501" s="359" t="n">
        <v>1</v>
      </c>
    </row>
    <row r="502" customFormat="false" ht="15" hidden="true" customHeight="false" outlineLevel="0" collapsed="false">
      <c r="B502" s="360" t="s">
        <v>2925</v>
      </c>
      <c r="C502" s="381" t="n">
        <v>1</v>
      </c>
      <c r="D502" s="381" t="n">
        <v>0</v>
      </c>
      <c r="E502" s="381" t="n">
        <v>0</v>
      </c>
      <c r="F502" s="359" t="n">
        <v>1</v>
      </c>
      <c r="G502" s="380" t="n">
        <v>0</v>
      </c>
      <c r="H502" s="358" t="n">
        <v>0</v>
      </c>
      <c r="I502" s="358" t="n">
        <v>0</v>
      </c>
      <c r="J502" s="358" t="n">
        <v>0</v>
      </c>
      <c r="K502" s="358" t="n">
        <v>0</v>
      </c>
      <c r="L502" s="358" t="n">
        <v>0</v>
      </c>
      <c r="M502" s="381" t="n">
        <v>1</v>
      </c>
      <c r="N502" s="381" t="n">
        <v>0</v>
      </c>
      <c r="O502" s="381" t="n">
        <v>0</v>
      </c>
      <c r="P502" s="359" t="n">
        <v>1</v>
      </c>
    </row>
    <row r="503" customFormat="false" ht="15" hidden="true" customHeight="false" outlineLevel="0" collapsed="false">
      <c r="B503" s="360" t="s">
        <v>2926</v>
      </c>
      <c r="C503" s="381" t="n">
        <v>1</v>
      </c>
      <c r="D503" s="381" t="n">
        <v>0</v>
      </c>
      <c r="E503" s="381" t="n">
        <v>0</v>
      </c>
      <c r="F503" s="359" t="n">
        <v>1</v>
      </c>
      <c r="G503" s="380" t="n">
        <v>0</v>
      </c>
      <c r="H503" s="358" t="n">
        <v>0</v>
      </c>
      <c r="I503" s="358" t="n">
        <v>0</v>
      </c>
      <c r="J503" s="358" t="n">
        <v>0</v>
      </c>
      <c r="K503" s="358" t="n">
        <v>0</v>
      </c>
      <c r="L503" s="358" t="n">
        <v>0</v>
      </c>
      <c r="M503" s="381" t="n">
        <v>1</v>
      </c>
      <c r="N503" s="381" t="n">
        <v>0</v>
      </c>
      <c r="O503" s="381" t="n">
        <v>0</v>
      </c>
      <c r="P503" s="359" t="n">
        <v>1</v>
      </c>
    </row>
    <row r="504" customFormat="false" ht="15" hidden="true" customHeight="false" outlineLevel="0" collapsed="false">
      <c r="B504" s="360" t="s">
        <v>2927</v>
      </c>
      <c r="C504" s="381" t="n">
        <v>1</v>
      </c>
      <c r="D504" s="381" t="n">
        <v>0</v>
      </c>
      <c r="E504" s="381" t="n">
        <v>0</v>
      </c>
      <c r="F504" s="359" t="n">
        <v>1</v>
      </c>
      <c r="G504" s="380" t="n">
        <v>0</v>
      </c>
      <c r="H504" s="358" t="n">
        <v>0</v>
      </c>
      <c r="I504" s="358" t="n">
        <v>0</v>
      </c>
      <c r="J504" s="358" t="n">
        <v>0</v>
      </c>
      <c r="K504" s="358" t="n">
        <v>0</v>
      </c>
      <c r="L504" s="358" t="n">
        <v>0</v>
      </c>
      <c r="M504" s="381" t="n">
        <v>1</v>
      </c>
      <c r="N504" s="381" t="n">
        <v>0</v>
      </c>
      <c r="O504" s="381" t="n">
        <v>0</v>
      </c>
      <c r="P504" s="359" t="n">
        <v>1</v>
      </c>
    </row>
    <row r="505" customFormat="false" ht="15" hidden="true" customHeight="false" outlineLevel="0" collapsed="false">
      <c r="B505" s="360" t="s">
        <v>2928</v>
      </c>
      <c r="C505" s="381" t="n">
        <v>1</v>
      </c>
      <c r="D505" s="381" t="n">
        <v>0</v>
      </c>
      <c r="E505" s="381" t="n">
        <v>0</v>
      </c>
      <c r="F505" s="359" t="n">
        <v>1</v>
      </c>
      <c r="G505" s="380" t="n">
        <v>0</v>
      </c>
      <c r="H505" s="358" t="n">
        <v>0</v>
      </c>
      <c r="I505" s="358" t="n">
        <v>0</v>
      </c>
      <c r="J505" s="358" t="n">
        <v>0</v>
      </c>
      <c r="K505" s="358" t="n">
        <v>0</v>
      </c>
      <c r="L505" s="358" t="n">
        <v>0</v>
      </c>
      <c r="M505" s="381" t="n">
        <v>1</v>
      </c>
      <c r="N505" s="381" t="n">
        <v>0</v>
      </c>
      <c r="O505" s="381" t="n">
        <v>0</v>
      </c>
      <c r="P505" s="359" t="n">
        <v>1</v>
      </c>
    </row>
    <row r="506" customFormat="false" ht="15" hidden="true" customHeight="false" outlineLevel="0" collapsed="false">
      <c r="B506" s="360" t="s">
        <v>2929</v>
      </c>
      <c r="C506" s="381" t="n">
        <v>1</v>
      </c>
      <c r="D506" s="381" t="n">
        <v>0</v>
      </c>
      <c r="E506" s="381" t="n">
        <v>0</v>
      </c>
      <c r="F506" s="359" t="n">
        <v>1</v>
      </c>
      <c r="G506" s="380" t="n">
        <v>0</v>
      </c>
      <c r="H506" s="358" t="n">
        <v>0</v>
      </c>
      <c r="I506" s="358" t="n">
        <v>0</v>
      </c>
      <c r="J506" s="358" t="n">
        <v>0</v>
      </c>
      <c r="K506" s="358" t="n">
        <v>0</v>
      </c>
      <c r="L506" s="358" t="n">
        <v>0</v>
      </c>
      <c r="M506" s="381" t="n">
        <v>1</v>
      </c>
      <c r="N506" s="381" t="n">
        <v>0</v>
      </c>
      <c r="O506" s="381" t="n">
        <v>0</v>
      </c>
      <c r="P506" s="359" t="n">
        <v>1</v>
      </c>
    </row>
    <row r="507" customFormat="false" ht="15" hidden="true" customHeight="false" outlineLevel="0" collapsed="false">
      <c r="B507" s="360" t="s">
        <v>2930</v>
      </c>
      <c r="C507" s="381" t="n">
        <v>1</v>
      </c>
      <c r="D507" s="381" t="n">
        <v>0</v>
      </c>
      <c r="E507" s="381" t="n">
        <v>0</v>
      </c>
      <c r="F507" s="359" t="n">
        <v>1</v>
      </c>
      <c r="G507" s="380" t="n">
        <v>0</v>
      </c>
      <c r="H507" s="358" t="n">
        <v>0</v>
      </c>
      <c r="I507" s="358" t="n">
        <v>0</v>
      </c>
      <c r="J507" s="358" t="n">
        <v>0</v>
      </c>
      <c r="K507" s="358" t="n">
        <v>0</v>
      </c>
      <c r="L507" s="358" t="n">
        <v>0</v>
      </c>
      <c r="M507" s="381" t="n">
        <v>1</v>
      </c>
      <c r="N507" s="381" t="n">
        <v>0</v>
      </c>
      <c r="O507" s="381" t="n">
        <v>0</v>
      </c>
      <c r="P507" s="359" t="n">
        <v>1</v>
      </c>
    </row>
    <row r="508" customFormat="false" ht="15" hidden="true" customHeight="false" outlineLevel="0" collapsed="false">
      <c r="B508" s="360" t="s">
        <v>2931</v>
      </c>
      <c r="C508" s="381" t="n">
        <v>1</v>
      </c>
      <c r="D508" s="381" t="n">
        <v>0</v>
      </c>
      <c r="E508" s="381" t="n">
        <v>0</v>
      </c>
      <c r="F508" s="359" t="n">
        <v>1</v>
      </c>
      <c r="G508" s="380" t="n">
        <v>0</v>
      </c>
      <c r="H508" s="358" t="n">
        <v>0</v>
      </c>
      <c r="I508" s="358" t="n">
        <v>0</v>
      </c>
      <c r="J508" s="358" t="n">
        <v>0</v>
      </c>
      <c r="K508" s="358" t="n">
        <v>0</v>
      </c>
      <c r="L508" s="358" t="n">
        <v>0</v>
      </c>
      <c r="M508" s="381" t="n">
        <v>1</v>
      </c>
      <c r="N508" s="381" t="n">
        <v>0</v>
      </c>
      <c r="O508" s="381" t="n">
        <v>0</v>
      </c>
      <c r="P508" s="359" t="n">
        <v>1</v>
      </c>
    </row>
    <row r="509" customFormat="false" ht="15" hidden="true" customHeight="false" outlineLevel="0" collapsed="false">
      <c r="B509" s="360" t="s">
        <v>2932</v>
      </c>
      <c r="C509" s="381" t="n">
        <v>1</v>
      </c>
      <c r="D509" s="381" t="n">
        <v>0</v>
      </c>
      <c r="E509" s="381" t="n">
        <v>0</v>
      </c>
      <c r="F509" s="359" t="n">
        <v>1</v>
      </c>
      <c r="G509" s="380" t="n">
        <v>0</v>
      </c>
      <c r="H509" s="358" t="n">
        <v>0</v>
      </c>
      <c r="I509" s="358" t="n">
        <v>0</v>
      </c>
      <c r="J509" s="358" t="n">
        <v>0</v>
      </c>
      <c r="K509" s="358" t="n">
        <v>0</v>
      </c>
      <c r="L509" s="358" t="n">
        <v>0</v>
      </c>
      <c r="M509" s="381" t="n">
        <v>1</v>
      </c>
      <c r="N509" s="381" t="n">
        <v>0</v>
      </c>
      <c r="O509" s="381" t="n">
        <v>0</v>
      </c>
      <c r="P509" s="359" t="n">
        <v>1</v>
      </c>
    </row>
    <row r="510" customFormat="false" ht="15" hidden="true" customHeight="false" outlineLevel="0" collapsed="false">
      <c r="B510" s="360" t="s">
        <v>2933</v>
      </c>
      <c r="C510" s="381" t="n">
        <v>1</v>
      </c>
      <c r="D510" s="381" t="n">
        <v>0</v>
      </c>
      <c r="E510" s="381" t="n">
        <v>0</v>
      </c>
      <c r="F510" s="359" t="n">
        <v>1</v>
      </c>
      <c r="G510" s="380" t="n">
        <v>0</v>
      </c>
      <c r="H510" s="358" t="n">
        <v>0</v>
      </c>
      <c r="I510" s="358" t="n">
        <v>0</v>
      </c>
      <c r="J510" s="358" t="n">
        <v>0</v>
      </c>
      <c r="K510" s="358" t="n">
        <v>0</v>
      </c>
      <c r="L510" s="358" t="n">
        <v>0</v>
      </c>
      <c r="M510" s="381" t="n">
        <v>1</v>
      </c>
      <c r="N510" s="381" t="n">
        <v>0</v>
      </c>
      <c r="O510" s="381" t="n">
        <v>0</v>
      </c>
      <c r="P510" s="359" t="n">
        <v>1</v>
      </c>
    </row>
    <row r="511" customFormat="false" ht="15" hidden="true" customHeight="false" outlineLevel="0" collapsed="false">
      <c r="B511" s="360" t="s">
        <v>2934</v>
      </c>
      <c r="C511" s="381" t="n">
        <v>1</v>
      </c>
      <c r="D511" s="381" t="n">
        <v>0</v>
      </c>
      <c r="E511" s="381" t="n">
        <v>0</v>
      </c>
      <c r="F511" s="359" t="n">
        <v>1</v>
      </c>
      <c r="G511" s="380" t="n">
        <v>0</v>
      </c>
      <c r="H511" s="358" t="n">
        <v>0</v>
      </c>
      <c r="I511" s="358" t="n">
        <v>0</v>
      </c>
      <c r="J511" s="358" t="n">
        <v>0</v>
      </c>
      <c r="K511" s="358" t="n">
        <v>0</v>
      </c>
      <c r="L511" s="358" t="n">
        <v>0</v>
      </c>
      <c r="M511" s="381" t="n">
        <v>1</v>
      </c>
      <c r="N511" s="381" t="n">
        <v>0</v>
      </c>
      <c r="O511" s="381" t="n">
        <v>0</v>
      </c>
      <c r="P511" s="359" t="n">
        <v>1</v>
      </c>
    </row>
    <row r="512" customFormat="false" ht="15" hidden="true" customHeight="false" outlineLevel="0" collapsed="false">
      <c r="B512" s="360" t="s">
        <v>2935</v>
      </c>
      <c r="C512" s="381" t="n">
        <v>1</v>
      </c>
      <c r="D512" s="381" t="n">
        <v>0</v>
      </c>
      <c r="E512" s="381" t="n">
        <v>0</v>
      </c>
      <c r="F512" s="359" t="n">
        <v>1</v>
      </c>
      <c r="G512" s="380" t="n">
        <v>0</v>
      </c>
      <c r="H512" s="358" t="n">
        <v>0</v>
      </c>
      <c r="I512" s="358" t="n">
        <v>0</v>
      </c>
      <c r="J512" s="358" t="n">
        <v>0</v>
      </c>
      <c r="K512" s="358" t="n">
        <v>0</v>
      </c>
      <c r="L512" s="358" t="n">
        <v>0</v>
      </c>
      <c r="M512" s="381" t="n">
        <v>1</v>
      </c>
      <c r="N512" s="381" t="n">
        <v>0</v>
      </c>
      <c r="O512" s="381" t="n">
        <v>0</v>
      </c>
      <c r="P512" s="359" t="n">
        <v>1</v>
      </c>
    </row>
    <row r="513" customFormat="false" ht="15" hidden="true" customHeight="false" outlineLevel="0" collapsed="false">
      <c r="B513" s="360" t="s">
        <v>2936</v>
      </c>
      <c r="C513" s="381" t="n">
        <v>1</v>
      </c>
      <c r="D513" s="381" t="n">
        <v>0</v>
      </c>
      <c r="E513" s="381" t="n">
        <v>0</v>
      </c>
      <c r="F513" s="359" t="n">
        <v>1</v>
      </c>
      <c r="G513" s="380" t="n">
        <v>0</v>
      </c>
      <c r="H513" s="358" t="n">
        <v>0</v>
      </c>
      <c r="I513" s="358" t="n">
        <v>0</v>
      </c>
      <c r="J513" s="358" t="n">
        <v>0</v>
      </c>
      <c r="K513" s="358" t="n">
        <v>0</v>
      </c>
      <c r="L513" s="358" t="n">
        <v>0</v>
      </c>
      <c r="M513" s="381" t="n">
        <v>1</v>
      </c>
      <c r="N513" s="381" t="n">
        <v>0</v>
      </c>
      <c r="O513" s="381" t="n">
        <v>0</v>
      </c>
      <c r="P513" s="359" t="n">
        <v>1</v>
      </c>
    </row>
    <row r="514" customFormat="false" ht="15" hidden="true" customHeight="false" outlineLevel="0" collapsed="false">
      <c r="B514" s="360" t="s">
        <v>2937</v>
      </c>
      <c r="C514" s="381" t="n">
        <v>1</v>
      </c>
      <c r="D514" s="381" t="n">
        <v>0</v>
      </c>
      <c r="E514" s="381" t="n">
        <v>0</v>
      </c>
      <c r="F514" s="359" t="n">
        <v>1</v>
      </c>
      <c r="G514" s="380" t="n">
        <v>0</v>
      </c>
      <c r="H514" s="358" t="n">
        <v>0</v>
      </c>
      <c r="I514" s="358" t="n">
        <v>0</v>
      </c>
      <c r="J514" s="358" t="n">
        <v>0</v>
      </c>
      <c r="K514" s="358" t="n">
        <v>0</v>
      </c>
      <c r="L514" s="358" t="n">
        <v>0</v>
      </c>
      <c r="M514" s="381" t="n">
        <v>1</v>
      </c>
      <c r="N514" s="381" t="n">
        <v>0</v>
      </c>
      <c r="O514" s="381" t="n">
        <v>0</v>
      </c>
      <c r="P514" s="359" t="n">
        <v>1</v>
      </c>
    </row>
    <row r="515" customFormat="false" ht="15" hidden="true" customHeight="false" outlineLevel="0" collapsed="false">
      <c r="B515" s="360" t="s">
        <v>2938</v>
      </c>
      <c r="C515" s="381" t="n">
        <v>1</v>
      </c>
      <c r="D515" s="381" t="n">
        <v>0</v>
      </c>
      <c r="E515" s="381" t="n">
        <v>0</v>
      </c>
      <c r="F515" s="359" t="n">
        <v>1</v>
      </c>
      <c r="G515" s="380" t="n">
        <v>0</v>
      </c>
      <c r="H515" s="358" t="n">
        <v>0</v>
      </c>
      <c r="I515" s="358" t="n">
        <v>0</v>
      </c>
      <c r="J515" s="358" t="n">
        <v>0</v>
      </c>
      <c r="K515" s="358" t="n">
        <v>0</v>
      </c>
      <c r="L515" s="358" t="n">
        <v>0</v>
      </c>
      <c r="M515" s="381" t="n">
        <v>1</v>
      </c>
      <c r="N515" s="381" t="n">
        <v>0</v>
      </c>
      <c r="O515" s="381" t="n">
        <v>0</v>
      </c>
      <c r="P515" s="359" t="n">
        <v>1</v>
      </c>
    </row>
    <row r="516" customFormat="false" ht="15" hidden="true" customHeight="false" outlineLevel="0" collapsed="false">
      <c r="B516" s="360" t="s">
        <v>2939</v>
      </c>
      <c r="C516" s="381" t="n">
        <v>1</v>
      </c>
      <c r="D516" s="381" t="n">
        <v>0</v>
      </c>
      <c r="E516" s="381" t="n">
        <v>0</v>
      </c>
      <c r="F516" s="359" t="n">
        <v>1</v>
      </c>
      <c r="G516" s="380" t="n">
        <v>0</v>
      </c>
      <c r="H516" s="358" t="n">
        <v>0</v>
      </c>
      <c r="I516" s="358" t="n">
        <v>0</v>
      </c>
      <c r="J516" s="358" t="n">
        <v>0</v>
      </c>
      <c r="K516" s="358" t="n">
        <v>0</v>
      </c>
      <c r="L516" s="358" t="n">
        <v>0</v>
      </c>
      <c r="M516" s="381" t="n">
        <v>1</v>
      </c>
      <c r="N516" s="381" t="n">
        <v>0</v>
      </c>
      <c r="O516" s="381" t="n">
        <v>0</v>
      </c>
      <c r="P516" s="359" t="n">
        <v>1</v>
      </c>
    </row>
    <row r="517" customFormat="false" ht="15" hidden="true" customHeight="false" outlineLevel="0" collapsed="false">
      <c r="B517" s="360" t="s">
        <v>2940</v>
      </c>
      <c r="C517" s="381" t="n">
        <v>1</v>
      </c>
      <c r="D517" s="381" t="n">
        <v>0</v>
      </c>
      <c r="E517" s="381" t="n">
        <v>0</v>
      </c>
      <c r="F517" s="359" t="n">
        <v>1</v>
      </c>
      <c r="G517" s="380" t="n">
        <v>0</v>
      </c>
      <c r="H517" s="358" t="n">
        <v>0</v>
      </c>
      <c r="I517" s="358" t="n">
        <v>0</v>
      </c>
      <c r="J517" s="358" t="n">
        <v>0</v>
      </c>
      <c r="K517" s="358" t="n">
        <v>0</v>
      </c>
      <c r="L517" s="358" t="n">
        <v>0</v>
      </c>
      <c r="M517" s="381" t="n">
        <v>1</v>
      </c>
      <c r="N517" s="381" t="n">
        <v>0</v>
      </c>
      <c r="O517" s="381" t="n">
        <v>0</v>
      </c>
      <c r="P517" s="359" t="n">
        <v>1</v>
      </c>
    </row>
    <row r="518" customFormat="false" ht="15" hidden="true" customHeight="false" outlineLevel="0" collapsed="false">
      <c r="B518" s="360" t="s">
        <v>2941</v>
      </c>
      <c r="C518" s="381" t="n">
        <v>1</v>
      </c>
      <c r="D518" s="381" t="n">
        <v>0</v>
      </c>
      <c r="E518" s="381" t="n">
        <v>0</v>
      </c>
      <c r="F518" s="359" t="n">
        <v>1</v>
      </c>
      <c r="G518" s="380" t="n">
        <v>0</v>
      </c>
      <c r="H518" s="358" t="n">
        <v>0</v>
      </c>
      <c r="I518" s="358" t="n">
        <v>0</v>
      </c>
      <c r="J518" s="358" t="n">
        <v>0</v>
      </c>
      <c r="K518" s="358" t="n">
        <v>0</v>
      </c>
      <c r="L518" s="358" t="n">
        <v>0</v>
      </c>
      <c r="M518" s="381" t="n">
        <v>1</v>
      </c>
      <c r="N518" s="381" t="n">
        <v>0</v>
      </c>
      <c r="O518" s="381" t="n">
        <v>0</v>
      </c>
      <c r="P518" s="359" t="n">
        <v>1</v>
      </c>
    </row>
    <row r="519" customFormat="false" ht="15" hidden="true" customHeight="false" outlineLevel="0" collapsed="false">
      <c r="B519" s="360" t="s">
        <v>2942</v>
      </c>
      <c r="C519" s="381" t="n">
        <v>1</v>
      </c>
      <c r="D519" s="381" t="n">
        <v>0</v>
      </c>
      <c r="E519" s="381" t="n">
        <v>0</v>
      </c>
      <c r="F519" s="359" t="n">
        <v>1</v>
      </c>
      <c r="G519" s="380" t="n">
        <v>0</v>
      </c>
      <c r="H519" s="358" t="n">
        <v>0</v>
      </c>
      <c r="I519" s="358" t="n">
        <v>0</v>
      </c>
      <c r="J519" s="358" t="n">
        <v>0</v>
      </c>
      <c r="K519" s="358" t="n">
        <v>0</v>
      </c>
      <c r="L519" s="358" t="n">
        <v>0</v>
      </c>
      <c r="M519" s="381" t="n">
        <v>1</v>
      </c>
      <c r="N519" s="381" t="n">
        <v>0</v>
      </c>
      <c r="O519" s="381" t="n">
        <v>0</v>
      </c>
      <c r="P519" s="359" t="n">
        <v>1</v>
      </c>
    </row>
    <row r="520" customFormat="false" ht="15" hidden="true" customHeight="false" outlineLevel="0" collapsed="false">
      <c r="B520" s="360" t="s">
        <v>2943</v>
      </c>
      <c r="C520" s="381" t="n">
        <v>1</v>
      </c>
      <c r="D520" s="381" t="n">
        <v>0</v>
      </c>
      <c r="E520" s="381" t="n">
        <v>0</v>
      </c>
      <c r="F520" s="359" t="n">
        <v>1</v>
      </c>
      <c r="G520" s="380" t="n">
        <v>0</v>
      </c>
      <c r="H520" s="358" t="n">
        <v>0</v>
      </c>
      <c r="I520" s="358" t="n">
        <v>0</v>
      </c>
      <c r="J520" s="358" t="n">
        <v>0</v>
      </c>
      <c r="K520" s="358" t="n">
        <v>0</v>
      </c>
      <c r="L520" s="358" t="n">
        <v>0</v>
      </c>
      <c r="M520" s="381" t="n">
        <v>1</v>
      </c>
      <c r="N520" s="381" t="n">
        <v>0</v>
      </c>
      <c r="O520" s="381" t="n">
        <v>0</v>
      </c>
      <c r="P520" s="359" t="n">
        <v>1</v>
      </c>
    </row>
    <row r="521" customFormat="false" ht="15" hidden="true" customHeight="false" outlineLevel="0" collapsed="false">
      <c r="B521" s="360" t="s">
        <v>2944</v>
      </c>
      <c r="C521" s="381" t="n">
        <v>1</v>
      </c>
      <c r="D521" s="381" t="n">
        <v>0</v>
      </c>
      <c r="E521" s="381" t="n">
        <v>0</v>
      </c>
      <c r="F521" s="359" t="n">
        <v>1</v>
      </c>
      <c r="G521" s="380" t="n">
        <v>0</v>
      </c>
      <c r="H521" s="358" t="n">
        <v>0</v>
      </c>
      <c r="I521" s="358" t="n">
        <v>0</v>
      </c>
      <c r="J521" s="358" t="n">
        <v>0</v>
      </c>
      <c r="K521" s="358" t="n">
        <v>0</v>
      </c>
      <c r="L521" s="358" t="n">
        <v>0</v>
      </c>
      <c r="M521" s="381" t="n">
        <v>1</v>
      </c>
      <c r="N521" s="381" t="n">
        <v>0</v>
      </c>
      <c r="O521" s="381" t="n">
        <v>0</v>
      </c>
      <c r="P521" s="359" t="n">
        <v>1</v>
      </c>
    </row>
    <row r="522" customFormat="false" ht="15" hidden="true" customHeight="false" outlineLevel="0" collapsed="false">
      <c r="B522" s="360" t="s">
        <v>2945</v>
      </c>
      <c r="C522" s="381" t="n">
        <v>1</v>
      </c>
      <c r="D522" s="381" t="n">
        <v>0</v>
      </c>
      <c r="E522" s="381" t="n">
        <v>0</v>
      </c>
      <c r="F522" s="359" t="n">
        <v>1</v>
      </c>
      <c r="G522" s="380" t="n">
        <v>0</v>
      </c>
      <c r="H522" s="358" t="n">
        <v>0</v>
      </c>
      <c r="I522" s="358" t="n">
        <v>0</v>
      </c>
      <c r="J522" s="358" t="n">
        <v>0</v>
      </c>
      <c r="K522" s="358" t="n">
        <v>0</v>
      </c>
      <c r="L522" s="358" t="n">
        <v>0</v>
      </c>
      <c r="M522" s="381" t="n">
        <v>1</v>
      </c>
      <c r="N522" s="381" t="n">
        <v>0</v>
      </c>
      <c r="O522" s="381" t="n">
        <v>0</v>
      </c>
      <c r="P522" s="359" t="n">
        <v>1</v>
      </c>
    </row>
    <row r="523" customFormat="false" ht="15" hidden="true" customHeight="false" outlineLevel="0" collapsed="false">
      <c r="B523" s="360" t="s">
        <v>2946</v>
      </c>
      <c r="C523" s="381" t="n">
        <v>1</v>
      </c>
      <c r="D523" s="381" t="n">
        <v>0</v>
      </c>
      <c r="E523" s="381" t="n">
        <v>0</v>
      </c>
      <c r="F523" s="359" t="n">
        <v>1</v>
      </c>
      <c r="G523" s="380" t="n">
        <v>0</v>
      </c>
      <c r="H523" s="358" t="n">
        <v>0</v>
      </c>
      <c r="I523" s="358" t="n">
        <v>0</v>
      </c>
      <c r="J523" s="358" t="n">
        <v>0</v>
      </c>
      <c r="K523" s="358" t="n">
        <v>0</v>
      </c>
      <c r="L523" s="358" t="n">
        <v>0</v>
      </c>
      <c r="M523" s="381" t="n">
        <v>1</v>
      </c>
      <c r="N523" s="381" t="n">
        <v>0</v>
      </c>
      <c r="O523" s="381" t="n">
        <v>0</v>
      </c>
      <c r="P523" s="359" t="n">
        <v>1</v>
      </c>
    </row>
    <row r="524" customFormat="false" ht="15" hidden="true" customHeight="false" outlineLevel="0" collapsed="false">
      <c r="B524" s="360" t="s">
        <v>2947</v>
      </c>
      <c r="C524" s="381" t="n">
        <v>1</v>
      </c>
      <c r="D524" s="381" t="n">
        <v>0</v>
      </c>
      <c r="E524" s="381" t="n">
        <v>0</v>
      </c>
      <c r="F524" s="359" t="n">
        <v>1</v>
      </c>
      <c r="G524" s="380" t="n">
        <v>0</v>
      </c>
      <c r="H524" s="358" t="n">
        <v>0</v>
      </c>
      <c r="I524" s="358" t="n">
        <v>0</v>
      </c>
      <c r="J524" s="358" t="n">
        <v>0</v>
      </c>
      <c r="K524" s="358" t="n">
        <v>0</v>
      </c>
      <c r="L524" s="358" t="n">
        <v>0</v>
      </c>
      <c r="M524" s="381" t="n">
        <v>1</v>
      </c>
      <c r="N524" s="381" t="n">
        <v>0</v>
      </c>
      <c r="O524" s="381" t="n">
        <v>0</v>
      </c>
      <c r="P524" s="359" t="n">
        <v>1</v>
      </c>
    </row>
    <row r="525" customFormat="false" ht="15" hidden="true" customHeight="false" outlineLevel="0" collapsed="false">
      <c r="B525" s="360" t="s">
        <v>2948</v>
      </c>
      <c r="C525" s="381" t="n">
        <v>1</v>
      </c>
      <c r="D525" s="381" t="n">
        <v>0</v>
      </c>
      <c r="E525" s="381" t="n">
        <v>0</v>
      </c>
      <c r="F525" s="359" t="n">
        <v>1</v>
      </c>
      <c r="G525" s="380" t="n">
        <v>0</v>
      </c>
      <c r="H525" s="358" t="n">
        <v>0</v>
      </c>
      <c r="I525" s="358" t="n">
        <v>0</v>
      </c>
      <c r="J525" s="358" t="n">
        <v>0</v>
      </c>
      <c r="K525" s="358" t="n">
        <v>0</v>
      </c>
      <c r="L525" s="358" t="n">
        <v>0</v>
      </c>
      <c r="M525" s="381" t="n">
        <v>1</v>
      </c>
      <c r="N525" s="381" t="n">
        <v>0</v>
      </c>
      <c r="O525" s="381" t="n">
        <v>0</v>
      </c>
      <c r="P525" s="359" t="n">
        <v>1</v>
      </c>
    </row>
    <row r="526" customFormat="false" ht="15" hidden="true" customHeight="false" outlineLevel="0" collapsed="false">
      <c r="B526" s="360" t="s">
        <v>2949</v>
      </c>
      <c r="C526" s="381" t="n">
        <v>1</v>
      </c>
      <c r="D526" s="381" t="n">
        <v>0</v>
      </c>
      <c r="E526" s="381" t="n">
        <v>0</v>
      </c>
      <c r="F526" s="359" t="n">
        <v>1</v>
      </c>
      <c r="G526" s="380" t="n">
        <v>0</v>
      </c>
      <c r="H526" s="358" t="n">
        <v>0</v>
      </c>
      <c r="I526" s="358" t="n">
        <v>0</v>
      </c>
      <c r="J526" s="358" t="n">
        <v>0</v>
      </c>
      <c r="K526" s="358" t="n">
        <v>0</v>
      </c>
      <c r="L526" s="358" t="n">
        <v>0</v>
      </c>
      <c r="M526" s="381" t="n">
        <v>1</v>
      </c>
      <c r="N526" s="381" t="n">
        <v>0</v>
      </c>
      <c r="O526" s="381" t="n">
        <v>0</v>
      </c>
      <c r="P526" s="359" t="n">
        <v>1</v>
      </c>
    </row>
    <row r="527" customFormat="false" ht="15" hidden="true" customHeight="false" outlineLevel="0" collapsed="false">
      <c r="B527" s="360" t="s">
        <v>2950</v>
      </c>
      <c r="C527" s="381" t="n">
        <v>1</v>
      </c>
      <c r="D527" s="381" t="n">
        <v>0</v>
      </c>
      <c r="E527" s="381" t="n">
        <v>0</v>
      </c>
      <c r="F527" s="359" t="n">
        <v>1</v>
      </c>
      <c r="G527" s="380" t="n">
        <v>0</v>
      </c>
      <c r="H527" s="358" t="n">
        <v>0</v>
      </c>
      <c r="I527" s="358" t="n">
        <v>0</v>
      </c>
      <c r="J527" s="358" t="n">
        <v>0</v>
      </c>
      <c r="K527" s="358" t="n">
        <v>0</v>
      </c>
      <c r="L527" s="358" t="n">
        <v>0</v>
      </c>
      <c r="M527" s="381" t="n">
        <v>1</v>
      </c>
      <c r="N527" s="381" t="n">
        <v>0</v>
      </c>
      <c r="O527" s="381" t="n">
        <v>0</v>
      </c>
      <c r="P527" s="359" t="n">
        <v>1</v>
      </c>
    </row>
    <row r="528" customFormat="false" ht="15" hidden="true" customHeight="false" outlineLevel="0" collapsed="false">
      <c r="B528" s="360" t="s">
        <v>3241</v>
      </c>
      <c r="C528" s="381" t="n">
        <v>0</v>
      </c>
      <c r="D528" s="381" t="n">
        <v>0</v>
      </c>
      <c r="E528" s="381" t="n">
        <v>0</v>
      </c>
      <c r="F528" s="359" t="n">
        <v>0</v>
      </c>
      <c r="G528" s="380" t="n">
        <v>1</v>
      </c>
      <c r="H528" s="358" t="n">
        <v>0</v>
      </c>
      <c r="I528" s="358" t="n">
        <v>0</v>
      </c>
      <c r="J528" s="358" t="n">
        <v>0</v>
      </c>
      <c r="K528" s="358" t="n">
        <v>0</v>
      </c>
      <c r="L528" s="358" t="n">
        <v>0</v>
      </c>
      <c r="M528" s="381" t="n">
        <v>1</v>
      </c>
      <c r="N528" s="381" t="n">
        <v>0</v>
      </c>
      <c r="O528" s="381" t="n">
        <v>0</v>
      </c>
      <c r="P528" s="359" t="n">
        <v>1</v>
      </c>
    </row>
    <row r="529" customFormat="false" ht="15" hidden="true" customHeight="false" outlineLevel="0" collapsed="false">
      <c r="B529" s="360" t="s">
        <v>2951</v>
      </c>
      <c r="C529" s="381" t="n">
        <v>1</v>
      </c>
      <c r="D529" s="381" t="n">
        <v>0</v>
      </c>
      <c r="E529" s="381" t="n">
        <v>0</v>
      </c>
      <c r="F529" s="359" t="n">
        <v>1</v>
      </c>
      <c r="G529" s="380" t="n">
        <v>0</v>
      </c>
      <c r="H529" s="358" t="n">
        <v>0</v>
      </c>
      <c r="I529" s="358" t="n">
        <v>0</v>
      </c>
      <c r="J529" s="358" t="n">
        <v>0</v>
      </c>
      <c r="K529" s="358" t="n">
        <v>0</v>
      </c>
      <c r="L529" s="358" t="n">
        <v>0</v>
      </c>
      <c r="M529" s="381" t="n">
        <v>1</v>
      </c>
      <c r="N529" s="381" t="n">
        <v>0</v>
      </c>
      <c r="O529" s="381" t="n">
        <v>0</v>
      </c>
      <c r="P529" s="359" t="n">
        <v>1</v>
      </c>
    </row>
    <row r="530" customFormat="false" ht="15" hidden="false" customHeight="false" outlineLevel="0" collapsed="false">
      <c r="B530" s="313" t="s">
        <v>2469</v>
      </c>
      <c r="C530" s="379" t="n">
        <v>6</v>
      </c>
      <c r="D530" s="379" t="n">
        <v>1</v>
      </c>
      <c r="E530" s="379" t="n">
        <v>1</v>
      </c>
      <c r="F530" s="357" t="n">
        <v>8</v>
      </c>
      <c r="G530" s="380" t="n">
        <v>0</v>
      </c>
      <c r="H530" s="358" t="n">
        <v>-1</v>
      </c>
      <c r="I530" s="358" t="n">
        <v>0</v>
      </c>
      <c r="J530" s="358" t="n">
        <v>0</v>
      </c>
      <c r="K530" s="358" t="n">
        <v>0</v>
      </c>
      <c r="L530" s="358" t="n">
        <v>1</v>
      </c>
      <c r="M530" s="379" t="n">
        <v>5</v>
      </c>
      <c r="N530" s="379" t="n">
        <v>1</v>
      </c>
      <c r="O530" s="379" t="n">
        <v>2</v>
      </c>
      <c r="P530" s="357" t="n">
        <v>8</v>
      </c>
    </row>
    <row r="531" customFormat="false" ht="15" hidden="true" customHeight="false" outlineLevel="0" collapsed="false">
      <c r="B531" s="360" t="s">
        <v>3574</v>
      </c>
      <c r="C531" s="381" t="n">
        <v>0</v>
      </c>
      <c r="D531" s="381" t="n">
        <v>1</v>
      </c>
      <c r="E531" s="381" t="n">
        <v>0</v>
      </c>
      <c r="F531" s="359" t="n">
        <v>1</v>
      </c>
      <c r="G531" s="380" t="n">
        <v>0</v>
      </c>
      <c r="H531" s="358" t="n">
        <v>0</v>
      </c>
      <c r="I531" s="358" t="n">
        <v>0</v>
      </c>
      <c r="J531" s="358" t="n">
        <v>0</v>
      </c>
      <c r="K531" s="358" t="n">
        <v>0</v>
      </c>
      <c r="L531" s="358" t="n">
        <v>0</v>
      </c>
      <c r="M531" s="381" t="n">
        <v>0</v>
      </c>
      <c r="N531" s="381" t="n">
        <v>1</v>
      </c>
      <c r="O531" s="381" t="n">
        <v>0</v>
      </c>
      <c r="P531" s="359" t="n">
        <v>1</v>
      </c>
    </row>
    <row r="532" customFormat="false" ht="15" hidden="true" customHeight="false" outlineLevel="0" collapsed="false">
      <c r="B532" s="360" t="s">
        <v>3575</v>
      </c>
      <c r="C532" s="381" t="n">
        <v>0</v>
      </c>
      <c r="D532" s="381" t="n">
        <v>0</v>
      </c>
      <c r="E532" s="381" t="n">
        <v>1</v>
      </c>
      <c r="F532" s="359" t="n">
        <v>1</v>
      </c>
      <c r="G532" s="380" t="n">
        <v>0</v>
      </c>
      <c r="H532" s="358" t="n">
        <v>0</v>
      </c>
      <c r="I532" s="358" t="n">
        <v>0</v>
      </c>
      <c r="J532" s="358" t="n">
        <v>0</v>
      </c>
      <c r="K532" s="358" t="n">
        <v>0</v>
      </c>
      <c r="L532" s="358" t="n">
        <v>0</v>
      </c>
      <c r="M532" s="381" t="n">
        <v>0</v>
      </c>
      <c r="N532" s="381" t="n">
        <v>0</v>
      </c>
      <c r="O532" s="381" t="n">
        <v>1</v>
      </c>
      <c r="P532" s="359" t="n">
        <v>1</v>
      </c>
    </row>
    <row r="533" customFormat="false" ht="15" hidden="true" customHeight="false" outlineLevel="0" collapsed="false">
      <c r="B533" s="360" t="s">
        <v>3576</v>
      </c>
      <c r="C533" s="381" t="n">
        <v>0</v>
      </c>
      <c r="D533" s="381" t="n">
        <v>0</v>
      </c>
      <c r="E533" s="381" t="n">
        <v>0</v>
      </c>
      <c r="F533" s="359" t="n">
        <v>0</v>
      </c>
      <c r="G533" s="380" t="n">
        <v>0</v>
      </c>
      <c r="H533" s="358" t="n">
        <v>0</v>
      </c>
      <c r="I533" s="358" t="n">
        <v>0</v>
      </c>
      <c r="J533" s="358" t="n">
        <v>0</v>
      </c>
      <c r="K533" s="358" t="n">
        <v>0</v>
      </c>
      <c r="L533" s="358" t="n">
        <v>1</v>
      </c>
      <c r="M533" s="381" t="n">
        <v>0</v>
      </c>
      <c r="N533" s="381" t="n">
        <v>0</v>
      </c>
      <c r="O533" s="381" t="n">
        <v>1</v>
      </c>
      <c r="P533" s="359" t="n">
        <v>1</v>
      </c>
    </row>
    <row r="534" customFormat="false" ht="15" hidden="true" customHeight="false" outlineLevel="0" collapsed="false">
      <c r="B534" s="360" t="s">
        <v>2952</v>
      </c>
      <c r="C534" s="381" t="n">
        <v>1</v>
      </c>
      <c r="D534" s="381" t="n">
        <v>0</v>
      </c>
      <c r="E534" s="381" t="n">
        <v>0</v>
      </c>
      <c r="F534" s="359" t="n">
        <v>1</v>
      </c>
      <c r="G534" s="380" t="n">
        <v>0</v>
      </c>
      <c r="H534" s="358" t="n">
        <v>-1</v>
      </c>
      <c r="I534" s="358" t="n">
        <v>0</v>
      </c>
      <c r="J534" s="358" t="n">
        <v>0</v>
      </c>
      <c r="K534" s="358" t="n">
        <v>0</v>
      </c>
      <c r="L534" s="358" t="n">
        <v>0</v>
      </c>
      <c r="M534" s="381" t="n">
        <v>0</v>
      </c>
      <c r="N534" s="381" t="n">
        <v>0</v>
      </c>
      <c r="O534" s="381" t="n">
        <v>0</v>
      </c>
      <c r="P534" s="359" t="n">
        <v>0</v>
      </c>
    </row>
    <row r="535" customFormat="false" ht="15" hidden="true" customHeight="false" outlineLevel="0" collapsed="false">
      <c r="B535" s="360" t="s">
        <v>2953</v>
      </c>
      <c r="C535" s="381" t="n">
        <v>1</v>
      </c>
      <c r="D535" s="381" t="n">
        <v>0</v>
      </c>
      <c r="E535" s="381" t="n">
        <v>0</v>
      </c>
      <c r="F535" s="359" t="n">
        <v>1</v>
      </c>
      <c r="G535" s="380" t="n">
        <v>0</v>
      </c>
      <c r="H535" s="358" t="n">
        <v>0</v>
      </c>
      <c r="I535" s="358" t="n">
        <v>0</v>
      </c>
      <c r="J535" s="358" t="n">
        <v>0</v>
      </c>
      <c r="K535" s="358" t="n">
        <v>0</v>
      </c>
      <c r="L535" s="358" t="n">
        <v>0</v>
      </c>
      <c r="M535" s="381" t="n">
        <v>1</v>
      </c>
      <c r="N535" s="381" t="n">
        <v>0</v>
      </c>
      <c r="O535" s="381" t="n">
        <v>0</v>
      </c>
      <c r="P535" s="359" t="n">
        <v>1</v>
      </c>
    </row>
    <row r="536" customFormat="false" ht="15" hidden="true" customHeight="false" outlineLevel="0" collapsed="false">
      <c r="B536" s="360" t="s">
        <v>2954</v>
      </c>
      <c r="C536" s="381" t="n">
        <v>1</v>
      </c>
      <c r="D536" s="381" t="n">
        <v>0</v>
      </c>
      <c r="E536" s="381" t="n">
        <v>0</v>
      </c>
      <c r="F536" s="359" t="n">
        <v>1</v>
      </c>
      <c r="G536" s="380" t="n">
        <v>0</v>
      </c>
      <c r="H536" s="358" t="n">
        <v>0</v>
      </c>
      <c r="I536" s="358" t="n">
        <v>0</v>
      </c>
      <c r="J536" s="358" t="n">
        <v>0</v>
      </c>
      <c r="K536" s="358" t="n">
        <v>0</v>
      </c>
      <c r="L536" s="358" t="n">
        <v>0</v>
      </c>
      <c r="M536" s="381" t="n">
        <v>1</v>
      </c>
      <c r="N536" s="381" t="n">
        <v>0</v>
      </c>
      <c r="O536" s="381" t="n">
        <v>0</v>
      </c>
      <c r="P536" s="359" t="n">
        <v>1</v>
      </c>
    </row>
    <row r="537" customFormat="false" ht="15" hidden="true" customHeight="false" outlineLevel="0" collapsed="false">
      <c r="B537" s="360" t="s">
        <v>2955</v>
      </c>
      <c r="C537" s="381" t="n">
        <v>1</v>
      </c>
      <c r="D537" s="381" t="n">
        <v>0</v>
      </c>
      <c r="E537" s="381" t="n">
        <v>0</v>
      </c>
      <c r="F537" s="359" t="n">
        <v>1</v>
      </c>
      <c r="G537" s="380" t="n">
        <v>0</v>
      </c>
      <c r="H537" s="358" t="n">
        <v>0</v>
      </c>
      <c r="I537" s="358" t="n">
        <v>0</v>
      </c>
      <c r="J537" s="358" t="n">
        <v>0</v>
      </c>
      <c r="K537" s="358" t="n">
        <v>0</v>
      </c>
      <c r="L537" s="358" t="n">
        <v>0</v>
      </c>
      <c r="M537" s="381" t="n">
        <v>1</v>
      </c>
      <c r="N537" s="381" t="n">
        <v>0</v>
      </c>
      <c r="O537" s="381" t="n">
        <v>0</v>
      </c>
      <c r="P537" s="359" t="n">
        <v>1</v>
      </c>
    </row>
    <row r="538" customFormat="false" ht="15" hidden="true" customHeight="false" outlineLevel="0" collapsed="false">
      <c r="B538" s="360" t="s">
        <v>2956</v>
      </c>
      <c r="C538" s="381" t="n">
        <v>1</v>
      </c>
      <c r="D538" s="381" t="n">
        <v>0</v>
      </c>
      <c r="E538" s="381" t="n">
        <v>0</v>
      </c>
      <c r="F538" s="359" t="n">
        <v>1</v>
      </c>
      <c r="G538" s="380" t="n">
        <v>0</v>
      </c>
      <c r="H538" s="358" t="n">
        <v>0</v>
      </c>
      <c r="I538" s="358" t="n">
        <v>0</v>
      </c>
      <c r="J538" s="358" t="n">
        <v>0</v>
      </c>
      <c r="K538" s="358" t="n">
        <v>0</v>
      </c>
      <c r="L538" s="358" t="n">
        <v>0</v>
      </c>
      <c r="M538" s="381" t="n">
        <v>1</v>
      </c>
      <c r="N538" s="381" t="n">
        <v>0</v>
      </c>
      <c r="O538" s="381" t="n">
        <v>0</v>
      </c>
      <c r="P538" s="359" t="n">
        <v>1</v>
      </c>
    </row>
    <row r="539" customFormat="false" ht="15" hidden="true" customHeight="false" outlineLevel="0" collapsed="false">
      <c r="B539" s="360" t="s">
        <v>2957</v>
      </c>
      <c r="C539" s="381" t="n">
        <v>1</v>
      </c>
      <c r="D539" s="381" t="n">
        <v>0</v>
      </c>
      <c r="E539" s="381" t="n">
        <v>0</v>
      </c>
      <c r="F539" s="359" t="n">
        <v>1</v>
      </c>
      <c r="G539" s="380" t="n">
        <v>0</v>
      </c>
      <c r="H539" s="358" t="n">
        <v>0</v>
      </c>
      <c r="I539" s="358" t="n">
        <v>0</v>
      </c>
      <c r="J539" s="358" t="n">
        <v>0</v>
      </c>
      <c r="K539" s="358" t="n">
        <v>0</v>
      </c>
      <c r="L539" s="358" t="n">
        <v>0</v>
      </c>
      <c r="M539" s="381" t="n">
        <v>1</v>
      </c>
      <c r="N539" s="381" t="n">
        <v>0</v>
      </c>
      <c r="O539" s="381" t="n">
        <v>0</v>
      </c>
      <c r="P539" s="359" t="n">
        <v>1</v>
      </c>
    </row>
    <row r="540" customFormat="false" ht="15" hidden="false" customHeight="false" outlineLevel="0" collapsed="false">
      <c r="B540" s="313" t="s">
        <v>2470</v>
      </c>
      <c r="C540" s="379" t="n">
        <v>35</v>
      </c>
      <c r="D540" s="379" t="n">
        <v>3</v>
      </c>
      <c r="E540" s="379" t="n">
        <v>0</v>
      </c>
      <c r="F540" s="357" t="n">
        <v>38</v>
      </c>
      <c r="G540" s="380" t="n">
        <v>0</v>
      </c>
      <c r="H540" s="358" t="n">
        <v>0</v>
      </c>
      <c r="I540" s="358" t="n">
        <v>0</v>
      </c>
      <c r="J540" s="358" t="n">
        <v>0</v>
      </c>
      <c r="K540" s="358" t="n">
        <v>0</v>
      </c>
      <c r="L540" s="358" t="n">
        <v>0</v>
      </c>
      <c r="M540" s="379" t="n">
        <v>35</v>
      </c>
      <c r="N540" s="379" t="n">
        <v>3</v>
      </c>
      <c r="O540" s="379" t="n">
        <v>0</v>
      </c>
      <c r="P540" s="357" t="n">
        <v>38</v>
      </c>
    </row>
    <row r="541" customFormat="false" ht="15" hidden="false" customHeight="false" outlineLevel="0" collapsed="false">
      <c r="B541" s="364" t="s">
        <v>2470</v>
      </c>
      <c r="C541" s="385" t="n">
        <v>22</v>
      </c>
      <c r="D541" s="385" t="n">
        <v>1</v>
      </c>
      <c r="E541" s="385" t="n">
        <v>0</v>
      </c>
      <c r="F541" s="365" t="n">
        <v>23</v>
      </c>
      <c r="G541" s="380" t="n">
        <v>0</v>
      </c>
      <c r="H541" s="358" t="n">
        <v>0</v>
      </c>
      <c r="I541" s="358" t="n">
        <v>0</v>
      </c>
      <c r="J541" s="358" t="n">
        <v>0</v>
      </c>
      <c r="K541" s="358" t="n">
        <v>0</v>
      </c>
      <c r="L541" s="358" t="n">
        <v>0</v>
      </c>
      <c r="M541" s="385" t="n">
        <v>22</v>
      </c>
      <c r="N541" s="385" t="n">
        <v>1</v>
      </c>
      <c r="O541" s="385" t="n">
        <v>0</v>
      </c>
      <c r="P541" s="365" t="n">
        <v>23</v>
      </c>
    </row>
    <row r="542" customFormat="false" ht="15" hidden="true" customHeight="false" outlineLevel="0" collapsed="false">
      <c r="B542" s="360" t="s">
        <v>3577</v>
      </c>
      <c r="C542" s="381" t="n">
        <v>0</v>
      </c>
      <c r="D542" s="381" t="n">
        <v>1</v>
      </c>
      <c r="E542" s="381" t="n">
        <v>0</v>
      </c>
      <c r="F542" s="359" t="n">
        <v>1</v>
      </c>
      <c r="G542" s="380" t="n">
        <v>0</v>
      </c>
      <c r="H542" s="358" t="n">
        <v>0</v>
      </c>
      <c r="I542" s="358" t="n">
        <v>0</v>
      </c>
      <c r="J542" s="358" t="n">
        <v>0</v>
      </c>
      <c r="K542" s="358" t="n">
        <v>0</v>
      </c>
      <c r="L542" s="358" t="n">
        <v>0</v>
      </c>
      <c r="M542" s="381" t="n">
        <v>0</v>
      </c>
      <c r="N542" s="381" t="n">
        <v>1</v>
      </c>
      <c r="O542" s="381" t="n">
        <v>0</v>
      </c>
      <c r="P542" s="359" t="n">
        <v>1</v>
      </c>
    </row>
    <row r="543" customFormat="false" ht="15" hidden="true" customHeight="false" outlineLevel="0" collapsed="false">
      <c r="B543" s="360" t="s">
        <v>2958</v>
      </c>
      <c r="C543" s="381" t="n">
        <v>0</v>
      </c>
      <c r="D543" s="381" t="n">
        <v>0</v>
      </c>
      <c r="E543" s="381" t="n">
        <v>0</v>
      </c>
      <c r="F543" s="359" t="n">
        <v>0</v>
      </c>
      <c r="G543" s="380" t="n">
        <v>0</v>
      </c>
      <c r="H543" s="358" t="n">
        <v>0</v>
      </c>
      <c r="I543" s="358" t="n">
        <v>0</v>
      </c>
      <c r="J543" s="358" t="n">
        <v>0</v>
      </c>
      <c r="K543" s="358" t="n">
        <v>0</v>
      </c>
      <c r="L543" s="358" t="n">
        <v>0</v>
      </c>
      <c r="M543" s="381" t="n">
        <v>0</v>
      </c>
      <c r="N543" s="381" t="n">
        <v>0</v>
      </c>
      <c r="O543" s="381" t="n">
        <v>0</v>
      </c>
      <c r="P543" s="359" t="n">
        <v>0</v>
      </c>
    </row>
    <row r="544" customFormat="false" ht="15" hidden="true" customHeight="false" outlineLevel="0" collapsed="false">
      <c r="B544" s="360" t="s">
        <v>2959</v>
      </c>
      <c r="C544" s="381" t="n">
        <v>1</v>
      </c>
      <c r="D544" s="381" t="n">
        <v>0</v>
      </c>
      <c r="E544" s="381" t="n">
        <v>0</v>
      </c>
      <c r="F544" s="359" t="n">
        <v>1</v>
      </c>
      <c r="G544" s="380" t="n">
        <v>0</v>
      </c>
      <c r="H544" s="358" t="n">
        <v>0</v>
      </c>
      <c r="I544" s="358" t="n">
        <v>0</v>
      </c>
      <c r="J544" s="358" t="n">
        <v>0</v>
      </c>
      <c r="K544" s="358" t="n">
        <v>0</v>
      </c>
      <c r="L544" s="358" t="n">
        <v>0</v>
      </c>
      <c r="M544" s="381" t="n">
        <v>1</v>
      </c>
      <c r="N544" s="381" t="n">
        <v>0</v>
      </c>
      <c r="O544" s="381" t="n">
        <v>0</v>
      </c>
      <c r="P544" s="359" t="n">
        <v>1</v>
      </c>
    </row>
    <row r="545" customFormat="false" ht="15" hidden="true" customHeight="false" outlineLevel="0" collapsed="false">
      <c r="B545" s="360" t="s">
        <v>2960</v>
      </c>
      <c r="C545" s="381" t="n">
        <v>1</v>
      </c>
      <c r="D545" s="381" t="n">
        <v>0</v>
      </c>
      <c r="E545" s="381" t="n">
        <v>0</v>
      </c>
      <c r="F545" s="359" t="n">
        <v>1</v>
      </c>
      <c r="G545" s="380" t="n">
        <v>0</v>
      </c>
      <c r="H545" s="358" t="n">
        <v>0</v>
      </c>
      <c r="I545" s="358" t="n">
        <v>0</v>
      </c>
      <c r="J545" s="358" t="n">
        <v>0</v>
      </c>
      <c r="K545" s="358" t="n">
        <v>0</v>
      </c>
      <c r="L545" s="358" t="n">
        <v>0</v>
      </c>
      <c r="M545" s="381" t="n">
        <v>1</v>
      </c>
      <c r="N545" s="381" t="n">
        <v>0</v>
      </c>
      <c r="O545" s="381" t="n">
        <v>0</v>
      </c>
      <c r="P545" s="359" t="n">
        <v>1</v>
      </c>
    </row>
    <row r="546" customFormat="false" ht="15" hidden="true" customHeight="false" outlineLevel="0" collapsed="false">
      <c r="B546" s="360" t="s">
        <v>2961</v>
      </c>
      <c r="C546" s="381" t="n">
        <v>1</v>
      </c>
      <c r="D546" s="381" t="n">
        <v>0</v>
      </c>
      <c r="E546" s="381" t="n">
        <v>0</v>
      </c>
      <c r="F546" s="359" t="n">
        <v>1</v>
      </c>
      <c r="G546" s="380" t="n">
        <v>0</v>
      </c>
      <c r="H546" s="358" t="n">
        <v>0</v>
      </c>
      <c r="I546" s="358" t="n">
        <v>0</v>
      </c>
      <c r="J546" s="358" t="n">
        <v>0</v>
      </c>
      <c r="K546" s="358" t="n">
        <v>0</v>
      </c>
      <c r="L546" s="358" t="n">
        <v>0</v>
      </c>
      <c r="M546" s="381" t="n">
        <v>1</v>
      </c>
      <c r="N546" s="381" t="n">
        <v>0</v>
      </c>
      <c r="O546" s="381" t="n">
        <v>0</v>
      </c>
      <c r="P546" s="359" t="n">
        <v>1</v>
      </c>
    </row>
    <row r="547" customFormat="false" ht="15" hidden="true" customHeight="false" outlineLevel="0" collapsed="false">
      <c r="B547" s="360" t="s">
        <v>2962</v>
      </c>
      <c r="C547" s="381" t="n">
        <v>1</v>
      </c>
      <c r="D547" s="381" t="n">
        <v>0</v>
      </c>
      <c r="E547" s="381" t="n">
        <v>0</v>
      </c>
      <c r="F547" s="359" t="n">
        <v>1</v>
      </c>
      <c r="G547" s="380" t="n">
        <v>0</v>
      </c>
      <c r="H547" s="358" t="n">
        <v>0</v>
      </c>
      <c r="I547" s="358" t="n">
        <v>0</v>
      </c>
      <c r="J547" s="358" t="n">
        <v>0</v>
      </c>
      <c r="K547" s="358" t="n">
        <v>0</v>
      </c>
      <c r="L547" s="358" t="n">
        <v>0</v>
      </c>
      <c r="M547" s="381" t="n">
        <v>1</v>
      </c>
      <c r="N547" s="381" t="n">
        <v>0</v>
      </c>
      <c r="O547" s="381" t="n">
        <v>0</v>
      </c>
      <c r="P547" s="359" t="n">
        <v>1</v>
      </c>
    </row>
    <row r="548" customFormat="false" ht="15" hidden="true" customHeight="false" outlineLevel="0" collapsed="false">
      <c r="B548" s="360" t="s">
        <v>2963</v>
      </c>
      <c r="C548" s="381" t="n">
        <v>1</v>
      </c>
      <c r="D548" s="381" t="n">
        <v>0</v>
      </c>
      <c r="E548" s="381" t="n">
        <v>0</v>
      </c>
      <c r="F548" s="359" t="n">
        <v>1</v>
      </c>
      <c r="G548" s="380" t="n">
        <v>0</v>
      </c>
      <c r="H548" s="358" t="n">
        <v>0</v>
      </c>
      <c r="I548" s="358" t="n">
        <v>0</v>
      </c>
      <c r="J548" s="358" t="n">
        <v>0</v>
      </c>
      <c r="K548" s="358" t="n">
        <v>0</v>
      </c>
      <c r="L548" s="358" t="n">
        <v>0</v>
      </c>
      <c r="M548" s="381" t="n">
        <v>1</v>
      </c>
      <c r="N548" s="381" t="n">
        <v>0</v>
      </c>
      <c r="O548" s="381" t="n">
        <v>0</v>
      </c>
      <c r="P548" s="359" t="n">
        <v>1</v>
      </c>
    </row>
    <row r="549" customFormat="false" ht="15" hidden="true" customHeight="false" outlineLevel="0" collapsed="false">
      <c r="B549" s="360" t="s">
        <v>2964</v>
      </c>
      <c r="C549" s="381" t="n">
        <v>1</v>
      </c>
      <c r="D549" s="381" t="n">
        <v>0</v>
      </c>
      <c r="E549" s="381" t="n">
        <v>0</v>
      </c>
      <c r="F549" s="359" t="n">
        <v>1</v>
      </c>
      <c r="G549" s="380" t="n">
        <v>0</v>
      </c>
      <c r="H549" s="358" t="n">
        <v>0</v>
      </c>
      <c r="I549" s="358" t="n">
        <v>0</v>
      </c>
      <c r="J549" s="358" t="n">
        <v>0</v>
      </c>
      <c r="K549" s="358" t="n">
        <v>0</v>
      </c>
      <c r="L549" s="358" t="n">
        <v>0</v>
      </c>
      <c r="M549" s="381" t="n">
        <v>1</v>
      </c>
      <c r="N549" s="381" t="n">
        <v>0</v>
      </c>
      <c r="O549" s="381" t="n">
        <v>0</v>
      </c>
      <c r="P549" s="359" t="n">
        <v>1</v>
      </c>
    </row>
    <row r="550" customFormat="false" ht="15" hidden="true" customHeight="false" outlineLevel="0" collapsed="false">
      <c r="B550" s="360" t="s">
        <v>2965</v>
      </c>
      <c r="C550" s="381" t="n">
        <v>1</v>
      </c>
      <c r="D550" s="381" t="n">
        <v>0</v>
      </c>
      <c r="E550" s="381" t="n">
        <v>0</v>
      </c>
      <c r="F550" s="359" t="n">
        <v>1</v>
      </c>
      <c r="G550" s="380" t="n">
        <v>0</v>
      </c>
      <c r="H550" s="358" t="n">
        <v>0</v>
      </c>
      <c r="I550" s="358" t="n">
        <v>0</v>
      </c>
      <c r="J550" s="358" t="n">
        <v>0</v>
      </c>
      <c r="K550" s="358" t="n">
        <v>0</v>
      </c>
      <c r="L550" s="358" t="n">
        <v>0</v>
      </c>
      <c r="M550" s="381" t="n">
        <v>1</v>
      </c>
      <c r="N550" s="381" t="n">
        <v>0</v>
      </c>
      <c r="O550" s="381" t="n">
        <v>0</v>
      </c>
      <c r="P550" s="359" t="n">
        <v>1</v>
      </c>
    </row>
    <row r="551" customFormat="false" ht="15" hidden="true" customHeight="false" outlineLevel="0" collapsed="false">
      <c r="B551" s="360" t="s">
        <v>2966</v>
      </c>
      <c r="C551" s="381" t="n">
        <v>1</v>
      </c>
      <c r="D551" s="381" t="n">
        <v>0</v>
      </c>
      <c r="E551" s="381" t="n">
        <v>0</v>
      </c>
      <c r="F551" s="359" t="n">
        <v>1</v>
      </c>
      <c r="G551" s="380" t="n">
        <v>0</v>
      </c>
      <c r="H551" s="358" t="n">
        <v>0</v>
      </c>
      <c r="I551" s="358" t="n">
        <v>0</v>
      </c>
      <c r="J551" s="358" t="n">
        <v>0</v>
      </c>
      <c r="K551" s="358" t="n">
        <v>0</v>
      </c>
      <c r="L551" s="358" t="n">
        <v>0</v>
      </c>
      <c r="M551" s="381" t="n">
        <v>1</v>
      </c>
      <c r="N551" s="381" t="n">
        <v>0</v>
      </c>
      <c r="O551" s="381" t="n">
        <v>0</v>
      </c>
      <c r="P551" s="359" t="n">
        <v>1</v>
      </c>
    </row>
    <row r="552" customFormat="false" ht="15" hidden="true" customHeight="false" outlineLevel="0" collapsed="false">
      <c r="B552" s="360" t="s">
        <v>2967</v>
      </c>
      <c r="C552" s="381" t="n">
        <v>1</v>
      </c>
      <c r="D552" s="381" t="n">
        <v>0</v>
      </c>
      <c r="E552" s="381" t="n">
        <v>0</v>
      </c>
      <c r="F552" s="359" t="n">
        <v>1</v>
      </c>
      <c r="G552" s="380" t="n">
        <v>0</v>
      </c>
      <c r="H552" s="358" t="n">
        <v>0</v>
      </c>
      <c r="I552" s="358" t="n">
        <v>0</v>
      </c>
      <c r="J552" s="358" t="n">
        <v>0</v>
      </c>
      <c r="K552" s="358" t="n">
        <v>0</v>
      </c>
      <c r="L552" s="358" t="n">
        <v>0</v>
      </c>
      <c r="M552" s="381" t="n">
        <v>1</v>
      </c>
      <c r="N552" s="381" t="n">
        <v>0</v>
      </c>
      <c r="O552" s="381" t="n">
        <v>0</v>
      </c>
      <c r="P552" s="359" t="n">
        <v>1</v>
      </c>
    </row>
    <row r="553" customFormat="false" ht="15" hidden="true" customHeight="false" outlineLevel="0" collapsed="false">
      <c r="B553" s="360" t="s">
        <v>2968</v>
      </c>
      <c r="C553" s="381" t="n">
        <v>1</v>
      </c>
      <c r="D553" s="381" t="n">
        <v>0</v>
      </c>
      <c r="E553" s="381" t="n">
        <v>0</v>
      </c>
      <c r="F553" s="359" t="n">
        <v>1</v>
      </c>
      <c r="G553" s="380" t="n">
        <v>0</v>
      </c>
      <c r="H553" s="358" t="n">
        <v>0</v>
      </c>
      <c r="I553" s="358" t="n">
        <v>0</v>
      </c>
      <c r="J553" s="358" t="n">
        <v>0</v>
      </c>
      <c r="K553" s="358" t="n">
        <v>0</v>
      </c>
      <c r="L553" s="358" t="n">
        <v>0</v>
      </c>
      <c r="M553" s="381" t="n">
        <v>1</v>
      </c>
      <c r="N553" s="381" t="n">
        <v>0</v>
      </c>
      <c r="O553" s="381" t="n">
        <v>0</v>
      </c>
      <c r="P553" s="359" t="n">
        <v>1</v>
      </c>
    </row>
    <row r="554" customFormat="false" ht="15" hidden="true" customHeight="false" outlineLevel="0" collapsed="false">
      <c r="B554" s="360" t="s">
        <v>2969</v>
      </c>
      <c r="C554" s="381" t="n">
        <v>1</v>
      </c>
      <c r="D554" s="381" t="n">
        <v>0</v>
      </c>
      <c r="E554" s="381" t="n">
        <v>0</v>
      </c>
      <c r="F554" s="359" t="n">
        <v>1</v>
      </c>
      <c r="G554" s="380" t="n">
        <v>0</v>
      </c>
      <c r="H554" s="358" t="n">
        <v>0</v>
      </c>
      <c r="I554" s="358" t="n">
        <v>0</v>
      </c>
      <c r="J554" s="358" t="n">
        <v>0</v>
      </c>
      <c r="K554" s="358" t="n">
        <v>0</v>
      </c>
      <c r="L554" s="358" t="n">
        <v>0</v>
      </c>
      <c r="M554" s="381" t="n">
        <v>1</v>
      </c>
      <c r="N554" s="381" t="n">
        <v>0</v>
      </c>
      <c r="O554" s="381" t="n">
        <v>0</v>
      </c>
      <c r="P554" s="359" t="n">
        <v>1</v>
      </c>
    </row>
    <row r="555" customFormat="false" ht="15" hidden="true" customHeight="false" outlineLevel="0" collapsed="false">
      <c r="B555" s="360" t="s">
        <v>2970</v>
      </c>
      <c r="C555" s="381" t="n">
        <v>1</v>
      </c>
      <c r="D555" s="381" t="n">
        <v>0</v>
      </c>
      <c r="E555" s="381" t="n">
        <v>0</v>
      </c>
      <c r="F555" s="359" t="n">
        <v>1</v>
      </c>
      <c r="G555" s="380" t="n">
        <v>0</v>
      </c>
      <c r="H555" s="358" t="n">
        <v>0</v>
      </c>
      <c r="I555" s="358" t="n">
        <v>0</v>
      </c>
      <c r="J555" s="358" t="n">
        <v>0</v>
      </c>
      <c r="K555" s="358" t="n">
        <v>0</v>
      </c>
      <c r="L555" s="358" t="n">
        <v>0</v>
      </c>
      <c r="M555" s="381" t="n">
        <v>1</v>
      </c>
      <c r="N555" s="381" t="n">
        <v>0</v>
      </c>
      <c r="O555" s="381" t="n">
        <v>0</v>
      </c>
      <c r="P555" s="359" t="n">
        <v>1</v>
      </c>
    </row>
    <row r="556" customFormat="false" ht="15" hidden="true" customHeight="false" outlineLevel="0" collapsed="false">
      <c r="B556" s="360" t="s">
        <v>2971</v>
      </c>
      <c r="C556" s="381" t="n">
        <v>1</v>
      </c>
      <c r="D556" s="381" t="n">
        <v>0</v>
      </c>
      <c r="E556" s="381" t="n">
        <v>0</v>
      </c>
      <c r="F556" s="359" t="n">
        <v>1</v>
      </c>
      <c r="G556" s="380" t="n">
        <v>0</v>
      </c>
      <c r="H556" s="358" t="n">
        <v>0</v>
      </c>
      <c r="I556" s="358" t="n">
        <v>0</v>
      </c>
      <c r="J556" s="358" t="n">
        <v>0</v>
      </c>
      <c r="K556" s="358" t="n">
        <v>0</v>
      </c>
      <c r="L556" s="358" t="n">
        <v>0</v>
      </c>
      <c r="M556" s="381" t="n">
        <v>1</v>
      </c>
      <c r="N556" s="381" t="n">
        <v>0</v>
      </c>
      <c r="O556" s="381" t="n">
        <v>0</v>
      </c>
      <c r="P556" s="359" t="n">
        <v>1</v>
      </c>
    </row>
    <row r="557" customFormat="false" ht="15" hidden="true" customHeight="false" outlineLevel="0" collapsed="false">
      <c r="B557" s="360" t="s">
        <v>2972</v>
      </c>
      <c r="C557" s="381" t="n">
        <v>1</v>
      </c>
      <c r="D557" s="381" t="n">
        <v>0</v>
      </c>
      <c r="E557" s="381" t="n">
        <v>0</v>
      </c>
      <c r="F557" s="359" t="n">
        <v>1</v>
      </c>
      <c r="G557" s="380" t="n">
        <v>0</v>
      </c>
      <c r="H557" s="358" t="n">
        <v>0</v>
      </c>
      <c r="I557" s="358" t="n">
        <v>0</v>
      </c>
      <c r="J557" s="358" t="n">
        <v>0</v>
      </c>
      <c r="K557" s="358" t="n">
        <v>0</v>
      </c>
      <c r="L557" s="358" t="n">
        <v>0</v>
      </c>
      <c r="M557" s="381" t="n">
        <v>1</v>
      </c>
      <c r="N557" s="381" t="n">
        <v>0</v>
      </c>
      <c r="O557" s="381" t="n">
        <v>0</v>
      </c>
      <c r="P557" s="359" t="n">
        <v>1</v>
      </c>
    </row>
    <row r="558" customFormat="false" ht="15" hidden="true" customHeight="false" outlineLevel="0" collapsed="false">
      <c r="B558" s="360" t="s">
        <v>2973</v>
      </c>
      <c r="C558" s="381" t="n">
        <v>1</v>
      </c>
      <c r="D558" s="381" t="n">
        <v>0</v>
      </c>
      <c r="E558" s="381" t="n">
        <v>0</v>
      </c>
      <c r="F558" s="359" t="n">
        <v>1</v>
      </c>
      <c r="G558" s="380" t="n">
        <v>0</v>
      </c>
      <c r="H558" s="358" t="n">
        <v>0</v>
      </c>
      <c r="I558" s="358" t="n">
        <v>0</v>
      </c>
      <c r="J558" s="358" t="n">
        <v>0</v>
      </c>
      <c r="K558" s="358" t="n">
        <v>0</v>
      </c>
      <c r="L558" s="358" t="n">
        <v>0</v>
      </c>
      <c r="M558" s="381" t="n">
        <v>1</v>
      </c>
      <c r="N558" s="381" t="n">
        <v>0</v>
      </c>
      <c r="O558" s="381" t="n">
        <v>0</v>
      </c>
      <c r="P558" s="359" t="n">
        <v>1</v>
      </c>
    </row>
    <row r="559" customFormat="false" ht="15" hidden="true" customHeight="false" outlineLevel="0" collapsed="false">
      <c r="B559" s="360" t="s">
        <v>2974</v>
      </c>
      <c r="C559" s="381" t="n">
        <v>1</v>
      </c>
      <c r="D559" s="381" t="n">
        <v>0</v>
      </c>
      <c r="E559" s="381" t="n">
        <v>0</v>
      </c>
      <c r="F559" s="359" t="n">
        <v>1</v>
      </c>
      <c r="G559" s="380" t="n">
        <v>0</v>
      </c>
      <c r="H559" s="358" t="n">
        <v>0</v>
      </c>
      <c r="I559" s="358" t="n">
        <v>0</v>
      </c>
      <c r="J559" s="358" t="n">
        <v>0</v>
      </c>
      <c r="K559" s="358" t="n">
        <v>0</v>
      </c>
      <c r="L559" s="358" t="n">
        <v>0</v>
      </c>
      <c r="M559" s="381" t="n">
        <v>1</v>
      </c>
      <c r="N559" s="381" t="n">
        <v>0</v>
      </c>
      <c r="O559" s="381" t="n">
        <v>0</v>
      </c>
      <c r="P559" s="359" t="n">
        <v>1</v>
      </c>
    </row>
    <row r="560" customFormat="false" ht="15" hidden="true" customHeight="false" outlineLevel="0" collapsed="false">
      <c r="B560" s="360" t="s">
        <v>2975</v>
      </c>
      <c r="C560" s="381" t="n">
        <v>1</v>
      </c>
      <c r="D560" s="381" t="n">
        <v>0</v>
      </c>
      <c r="E560" s="381" t="n">
        <v>0</v>
      </c>
      <c r="F560" s="359" t="n">
        <v>1</v>
      </c>
      <c r="G560" s="380" t="n">
        <v>0</v>
      </c>
      <c r="H560" s="358" t="n">
        <v>0</v>
      </c>
      <c r="I560" s="358" t="n">
        <v>0</v>
      </c>
      <c r="J560" s="358" t="n">
        <v>0</v>
      </c>
      <c r="K560" s="358" t="n">
        <v>0</v>
      </c>
      <c r="L560" s="358" t="n">
        <v>0</v>
      </c>
      <c r="M560" s="381" t="n">
        <v>1</v>
      </c>
      <c r="N560" s="381" t="n">
        <v>0</v>
      </c>
      <c r="O560" s="381" t="n">
        <v>0</v>
      </c>
      <c r="P560" s="359" t="n">
        <v>1</v>
      </c>
    </row>
    <row r="561" customFormat="false" ht="15" hidden="true" customHeight="false" outlineLevel="0" collapsed="false">
      <c r="B561" s="360" t="s">
        <v>2976</v>
      </c>
      <c r="C561" s="381" t="n">
        <v>1</v>
      </c>
      <c r="D561" s="381" t="n">
        <v>0</v>
      </c>
      <c r="E561" s="381" t="n">
        <v>0</v>
      </c>
      <c r="F561" s="359" t="n">
        <v>1</v>
      </c>
      <c r="G561" s="380" t="n">
        <v>0</v>
      </c>
      <c r="H561" s="358" t="n">
        <v>0</v>
      </c>
      <c r="I561" s="358" t="n">
        <v>0</v>
      </c>
      <c r="J561" s="358" t="n">
        <v>0</v>
      </c>
      <c r="K561" s="358" t="n">
        <v>0</v>
      </c>
      <c r="L561" s="358" t="n">
        <v>0</v>
      </c>
      <c r="M561" s="381" t="n">
        <v>1</v>
      </c>
      <c r="N561" s="381" t="n">
        <v>0</v>
      </c>
      <c r="O561" s="381" t="n">
        <v>0</v>
      </c>
      <c r="P561" s="359" t="n">
        <v>1</v>
      </c>
    </row>
    <row r="562" customFormat="false" ht="15" hidden="true" customHeight="false" outlineLevel="0" collapsed="false">
      <c r="B562" s="360" t="s">
        <v>2977</v>
      </c>
      <c r="C562" s="381" t="n">
        <v>1</v>
      </c>
      <c r="D562" s="381" t="n">
        <v>0</v>
      </c>
      <c r="E562" s="381" t="n">
        <v>0</v>
      </c>
      <c r="F562" s="359" t="n">
        <v>1</v>
      </c>
      <c r="G562" s="380" t="n">
        <v>0</v>
      </c>
      <c r="H562" s="358" t="n">
        <v>0</v>
      </c>
      <c r="I562" s="358" t="n">
        <v>0</v>
      </c>
      <c r="J562" s="358" t="n">
        <v>0</v>
      </c>
      <c r="K562" s="358" t="n">
        <v>0</v>
      </c>
      <c r="L562" s="358" t="n">
        <v>0</v>
      </c>
      <c r="M562" s="381" t="n">
        <v>1</v>
      </c>
      <c r="N562" s="381" t="n">
        <v>0</v>
      </c>
      <c r="O562" s="381" t="n">
        <v>0</v>
      </c>
      <c r="P562" s="359" t="n">
        <v>1</v>
      </c>
    </row>
    <row r="563" customFormat="false" ht="15" hidden="true" customHeight="false" outlineLevel="0" collapsed="false">
      <c r="B563" s="360" t="s">
        <v>2978</v>
      </c>
      <c r="C563" s="381" t="n">
        <v>1</v>
      </c>
      <c r="D563" s="381" t="n">
        <v>0</v>
      </c>
      <c r="E563" s="381" t="n">
        <v>0</v>
      </c>
      <c r="F563" s="359" t="n">
        <v>1</v>
      </c>
      <c r="G563" s="380" t="n">
        <v>0</v>
      </c>
      <c r="H563" s="358" t="n">
        <v>0</v>
      </c>
      <c r="I563" s="358" t="n">
        <v>0</v>
      </c>
      <c r="J563" s="358" t="n">
        <v>0</v>
      </c>
      <c r="K563" s="358" t="n">
        <v>0</v>
      </c>
      <c r="L563" s="358" t="n">
        <v>0</v>
      </c>
      <c r="M563" s="381" t="n">
        <v>1</v>
      </c>
      <c r="N563" s="381" t="n">
        <v>0</v>
      </c>
      <c r="O563" s="381" t="n">
        <v>0</v>
      </c>
      <c r="P563" s="359" t="n">
        <v>1</v>
      </c>
    </row>
    <row r="564" customFormat="false" ht="15" hidden="true" customHeight="false" outlineLevel="0" collapsed="false">
      <c r="B564" s="360" t="s">
        <v>2979</v>
      </c>
      <c r="C564" s="381" t="n">
        <v>1</v>
      </c>
      <c r="D564" s="381" t="n">
        <v>0</v>
      </c>
      <c r="E564" s="381" t="n">
        <v>0</v>
      </c>
      <c r="F564" s="359" t="n">
        <v>1</v>
      </c>
      <c r="G564" s="380" t="n">
        <v>0</v>
      </c>
      <c r="H564" s="358" t="n">
        <v>0</v>
      </c>
      <c r="I564" s="358" t="n">
        <v>0</v>
      </c>
      <c r="J564" s="358" t="n">
        <v>0</v>
      </c>
      <c r="K564" s="358" t="n">
        <v>0</v>
      </c>
      <c r="L564" s="358" t="n">
        <v>0</v>
      </c>
      <c r="M564" s="381" t="n">
        <v>1</v>
      </c>
      <c r="N564" s="381" t="n">
        <v>0</v>
      </c>
      <c r="O564" s="381" t="n">
        <v>0</v>
      </c>
      <c r="P564" s="359" t="n">
        <v>1</v>
      </c>
    </row>
    <row r="565" customFormat="false" ht="15" hidden="true" customHeight="false" outlineLevel="0" collapsed="false">
      <c r="B565" s="360" t="s">
        <v>2980</v>
      </c>
      <c r="C565" s="381" t="n">
        <v>1</v>
      </c>
      <c r="D565" s="381" t="n">
        <v>0</v>
      </c>
      <c r="E565" s="381" t="n">
        <v>0</v>
      </c>
      <c r="F565" s="359" t="n">
        <v>1</v>
      </c>
      <c r="G565" s="380" t="n">
        <v>0</v>
      </c>
      <c r="H565" s="358" t="n">
        <v>0</v>
      </c>
      <c r="I565" s="358" t="n">
        <v>0</v>
      </c>
      <c r="J565" s="358" t="n">
        <v>0</v>
      </c>
      <c r="K565" s="358" t="n">
        <v>0</v>
      </c>
      <c r="L565" s="358" t="n">
        <v>0</v>
      </c>
      <c r="M565" s="381" t="n">
        <v>1</v>
      </c>
      <c r="N565" s="381" t="n">
        <v>0</v>
      </c>
      <c r="O565" s="381" t="n">
        <v>0</v>
      </c>
      <c r="P565" s="359" t="n">
        <v>1</v>
      </c>
    </row>
    <row r="566" customFormat="false" ht="15" hidden="false" customHeight="false" outlineLevel="0" collapsed="false">
      <c r="B566" s="364" t="s">
        <v>2468</v>
      </c>
      <c r="C566" s="385" t="n">
        <v>13</v>
      </c>
      <c r="D566" s="385" t="n">
        <v>2</v>
      </c>
      <c r="E566" s="385" t="n">
        <v>0</v>
      </c>
      <c r="F566" s="365" t="n">
        <v>15</v>
      </c>
      <c r="G566" s="380" t="n">
        <v>0</v>
      </c>
      <c r="H566" s="358" t="n">
        <v>0</v>
      </c>
      <c r="I566" s="358" t="n">
        <v>0</v>
      </c>
      <c r="J566" s="358" t="n">
        <v>0</v>
      </c>
      <c r="K566" s="358" t="n">
        <v>0</v>
      </c>
      <c r="L566" s="358" t="n">
        <v>0</v>
      </c>
      <c r="M566" s="385" t="n">
        <v>13</v>
      </c>
      <c r="N566" s="385" t="n">
        <v>2</v>
      </c>
      <c r="O566" s="385" t="n">
        <v>0</v>
      </c>
      <c r="P566" s="365" t="n">
        <v>15</v>
      </c>
    </row>
    <row r="567" customFormat="false" ht="15" hidden="true" customHeight="false" outlineLevel="0" collapsed="false">
      <c r="B567" s="386" t="s">
        <v>3578</v>
      </c>
      <c r="C567" s="381" t="n">
        <v>0</v>
      </c>
      <c r="D567" s="381" t="n">
        <v>1</v>
      </c>
      <c r="E567" s="381" t="n">
        <v>0</v>
      </c>
      <c r="F567" s="359" t="n">
        <v>1</v>
      </c>
      <c r="G567" s="380" t="n">
        <v>0</v>
      </c>
      <c r="H567" s="358" t="n">
        <v>0</v>
      </c>
      <c r="I567" s="358" t="n">
        <v>0</v>
      </c>
      <c r="J567" s="358" t="n">
        <v>0</v>
      </c>
      <c r="K567" s="358" t="n">
        <v>0</v>
      </c>
      <c r="L567" s="358" t="n">
        <v>0</v>
      </c>
      <c r="M567" s="381" t="n">
        <v>0</v>
      </c>
      <c r="N567" s="381" t="n">
        <v>1</v>
      </c>
      <c r="O567" s="381" t="n">
        <v>0</v>
      </c>
      <c r="P567" s="359" t="n">
        <v>1</v>
      </c>
    </row>
    <row r="568" customFormat="false" ht="15" hidden="true" customHeight="false" outlineLevel="0" collapsed="false">
      <c r="B568" s="386" t="s">
        <v>3579</v>
      </c>
      <c r="C568" s="381" t="n">
        <v>0</v>
      </c>
      <c r="D568" s="381" t="n">
        <v>1</v>
      </c>
      <c r="E568" s="381" t="n">
        <v>0</v>
      </c>
      <c r="F568" s="359" t="n">
        <v>1</v>
      </c>
      <c r="G568" s="380" t="n">
        <v>0</v>
      </c>
      <c r="H568" s="358" t="n">
        <v>0</v>
      </c>
      <c r="I568" s="358" t="n">
        <v>0</v>
      </c>
      <c r="J568" s="358" t="n">
        <v>0</v>
      </c>
      <c r="K568" s="358" t="n">
        <v>0</v>
      </c>
      <c r="L568" s="358" t="n">
        <v>0</v>
      </c>
      <c r="M568" s="381" t="n">
        <v>0</v>
      </c>
      <c r="N568" s="381" t="n">
        <v>1</v>
      </c>
      <c r="O568" s="381" t="n">
        <v>0</v>
      </c>
      <c r="P568" s="359" t="n">
        <v>1</v>
      </c>
    </row>
    <row r="569" customFormat="false" ht="15" hidden="true" customHeight="false" outlineLevel="0" collapsed="false">
      <c r="B569" s="360" t="s">
        <v>2981</v>
      </c>
      <c r="C569" s="381" t="n">
        <v>1</v>
      </c>
      <c r="D569" s="381" t="n">
        <v>0</v>
      </c>
      <c r="E569" s="381" t="n">
        <v>0</v>
      </c>
      <c r="F569" s="359" t="n">
        <v>1</v>
      </c>
      <c r="G569" s="380" t="n">
        <v>0</v>
      </c>
      <c r="H569" s="358" t="n">
        <v>0</v>
      </c>
      <c r="I569" s="358" t="n">
        <v>0</v>
      </c>
      <c r="J569" s="358" t="n">
        <v>0</v>
      </c>
      <c r="K569" s="358" t="n">
        <v>0</v>
      </c>
      <c r="L569" s="358" t="n">
        <v>0</v>
      </c>
      <c r="M569" s="381" t="n">
        <v>1</v>
      </c>
      <c r="N569" s="381" t="n">
        <v>0</v>
      </c>
      <c r="O569" s="381" t="n">
        <v>0</v>
      </c>
      <c r="P569" s="359" t="n">
        <v>1</v>
      </c>
    </row>
    <row r="570" customFormat="false" ht="15" hidden="true" customHeight="false" outlineLevel="0" collapsed="false">
      <c r="B570" s="360" t="s">
        <v>2982</v>
      </c>
      <c r="C570" s="381" t="n">
        <v>1</v>
      </c>
      <c r="D570" s="381" t="n">
        <v>0</v>
      </c>
      <c r="E570" s="381" t="n">
        <v>0</v>
      </c>
      <c r="F570" s="359" t="n">
        <v>1</v>
      </c>
      <c r="G570" s="380" t="n">
        <v>0</v>
      </c>
      <c r="H570" s="358" t="n">
        <v>0</v>
      </c>
      <c r="I570" s="358" t="n">
        <v>0</v>
      </c>
      <c r="J570" s="358" t="n">
        <v>0</v>
      </c>
      <c r="K570" s="358" t="n">
        <v>0</v>
      </c>
      <c r="L570" s="358" t="n">
        <v>0</v>
      </c>
      <c r="M570" s="381" t="n">
        <v>1</v>
      </c>
      <c r="N570" s="381" t="n">
        <v>0</v>
      </c>
      <c r="O570" s="381" t="n">
        <v>0</v>
      </c>
      <c r="P570" s="359" t="n">
        <v>1</v>
      </c>
    </row>
    <row r="571" customFormat="false" ht="15" hidden="true" customHeight="false" outlineLevel="0" collapsed="false">
      <c r="B571" s="360" t="s">
        <v>2983</v>
      </c>
      <c r="C571" s="381" t="n">
        <v>1</v>
      </c>
      <c r="D571" s="381" t="n">
        <v>0</v>
      </c>
      <c r="E571" s="381" t="n">
        <v>0</v>
      </c>
      <c r="F571" s="359" t="n">
        <v>1</v>
      </c>
      <c r="G571" s="380" t="n">
        <v>0</v>
      </c>
      <c r="H571" s="358" t="n">
        <v>0</v>
      </c>
      <c r="I571" s="358" t="n">
        <v>0</v>
      </c>
      <c r="J571" s="358" t="n">
        <v>0</v>
      </c>
      <c r="K571" s="358" t="n">
        <v>0</v>
      </c>
      <c r="L571" s="358" t="n">
        <v>0</v>
      </c>
      <c r="M571" s="381" t="n">
        <v>1</v>
      </c>
      <c r="N571" s="381" t="n">
        <v>0</v>
      </c>
      <c r="O571" s="381" t="n">
        <v>0</v>
      </c>
      <c r="P571" s="359" t="n">
        <v>1</v>
      </c>
    </row>
    <row r="572" customFormat="false" ht="15" hidden="true" customHeight="false" outlineLevel="0" collapsed="false">
      <c r="B572" s="360" t="s">
        <v>2984</v>
      </c>
      <c r="C572" s="381" t="n">
        <v>1</v>
      </c>
      <c r="D572" s="381" t="n">
        <v>0</v>
      </c>
      <c r="E572" s="381" t="n">
        <v>0</v>
      </c>
      <c r="F572" s="359" t="n">
        <v>1</v>
      </c>
      <c r="G572" s="380" t="n">
        <v>0</v>
      </c>
      <c r="H572" s="358" t="n">
        <v>0</v>
      </c>
      <c r="I572" s="358" t="n">
        <v>0</v>
      </c>
      <c r="J572" s="358" t="n">
        <v>0</v>
      </c>
      <c r="K572" s="358" t="n">
        <v>0</v>
      </c>
      <c r="L572" s="358" t="n">
        <v>0</v>
      </c>
      <c r="M572" s="381" t="n">
        <v>1</v>
      </c>
      <c r="N572" s="381" t="n">
        <v>0</v>
      </c>
      <c r="O572" s="381" t="n">
        <v>0</v>
      </c>
      <c r="P572" s="359" t="n">
        <v>1</v>
      </c>
    </row>
    <row r="573" customFormat="false" ht="15" hidden="true" customHeight="false" outlineLevel="0" collapsed="false">
      <c r="B573" s="360" t="s">
        <v>2985</v>
      </c>
      <c r="C573" s="381" t="n">
        <v>1</v>
      </c>
      <c r="D573" s="381" t="n">
        <v>0</v>
      </c>
      <c r="E573" s="381" t="n">
        <v>0</v>
      </c>
      <c r="F573" s="359" t="n">
        <v>1</v>
      </c>
      <c r="G573" s="380" t="n">
        <v>0</v>
      </c>
      <c r="H573" s="358" t="n">
        <v>0</v>
      </c>
      <c r="I573" s="358" t="n">
        <v>0</v>
      </c>
      <c r="J573" s="358" t="n">
        <v>0</v>
      </c>
      <c r="K573" s="358" t="n">
        <v>0</v>
      </c>
      <c r="L573" s="358" t="n">
        <v>0</v>
      </c>
      <c r="M573" s="381" t="n">
        <v>1</v>
      </c>
      <c r="N573" s="381" t="n">
        <v>0</v>
      </c>
      <c r="O573" s="381" t="n">
        <v>0</v>
      </c>
      <c r="P573" s="359" t="n">
        <v>1</v>
      </c>
    </row>
    <row r="574" customFormat="false" ht="15" hidden="true" customHeight="false" outlineLevel="0" collapsed="false">
      <c r="B574" s="360" t="s">
        <v>2986</v>
      </c>
      <c r="C574" s="381" t="n">
        <v>1</v>
      </c>
      <c r="D574" s="381" t="n">
        <v>0</v>
      </c>
      <c r="E574" s="381" t="n">
        <v>0</v>
      </c>
      <c r="F574" s="359" t="n">
        <v>1</v>
      </c>
      <c r="G574" s="380" t="n">
        <v>0</v>
      </c>
      <c r="H574" s="358" t="n">
        <v>0</v>
      </c>
      <c r="I574" s="358" t="n">
        <v>0</v>
      </c>
      <c r="J574" s="358" t="n">
        <v>0</v>
      </c>
      <c r="K574" s="358" t="n">
        <v>0</v>
      </c>
      <c r="L574" s="358" t="n">
        <v>0</v>
      </c>
      <c r="M574" s="381" t="n">
        <v>1</v>
      </c>
      <c r="N574" s="381" t="n">
        <v>0</v>
      </c>
      <c r="O574" s="381" t="n">
        <v>0</v>
      </c>
      <c r="P574" s="359" t="n">
        <v>1</v>
      </c>
    </row>
    <row r="575" customFormat="false" ht="15" hidden="true" customHeight="false" outlineLevel="0" collapsed="false">
      <c r="B575" s="360" t="s">
        <v>2987</v>
      </c>
      <c r="C575" s="381" t="n">
        <v>1</v>
      </c>
      <c r="D575" s="381" t="n">
        <v>0</v>
      </c>
      <c r="E575" s="381" t="n">
        <v>0</v>
      </c>
      <c r="F575" s="359" t="n">
        <v>1</v>
      </c>
      <c r="G575" s="380" t="n">
        <v>0</v>
      </c>
      <c r="H575" s="358" t="n">
        <v>0</v>
      </c>
      <c r="I575" s="358" t="n">
        <v>0</v>
      </c>
      <c r="J575" s="358" t="n">
        <v>0</v>
      </c>
      <c r="K575" s="358" t="n">
        <v>0</v>
      </c>
      <c r="L575" s="358" t="n">
        <v>0</v>
      </c>
      <c r="M575" s="381" t="n">
        <v>1</v>
      </c>
      <c r="N575" s="381" t="n">
        <v>0</v>
      </c>
      <c r="O575" s="381" t="n">
        <v>0</v>
      </c>
      <c r="P575" s="359" t="n">
        <v>1</v>
      </c>
    </row>
    <row r="576" customFormat="false" ht="15" hidden="true" customHeight="false" outlineLevel="0" collapsed="false">
      <c r="B576" s="360" t="s">
        <v>2988</v>
      </c>
      <c r="C576" s="381" t="n">
        <v>1</v>
      </c>
      <c r="D576" s="381" t="n">
        <v>0</v>
      </c>
      <c r="E576" s="381" t="n">
        <v>0</v>
      </c>
      <c r="F576" s="359" t="n">
        <v>1</v>
      </c>
      <c r="G576" s="380" t="n">
        <v>0</v>
      </c>
      <c r="H576" s="358" t="n">
        <v>0</v>
      </c>
      <c r="I576" s="358" t="n">
        <v>0</v>
      </c>
      <c r="J576" s="358" t="n">
        <v>0</v>
      </c>
      <c r="K576" s="358" t="n">
        <v>0</v>
      </c>
      <c r="L576" s="358" t="n">
        <v>0</v>
      </c>
      <c r="M576" s="381" t="n">
        <v>1</v>
      </c>
      <c r="N576" s="381" t="n">
        <v>0</v>
      </c>
      <c r="O576" s="381" t="n">
        <v>0</v>
      </c>
      <c r="P576" s="359" t="n">
        <v>1</v>
      </c>
    </row>
    <row r="577" customFormat="false" ht="15" hidden="true" customHeight="false" outlineLevel="0" collapsed="false">
      <c r="B577" s="360" t="s">
        <v>2989</v>
      </c>
      <c r="C577" s="381" t="n">
        <v>1</v>
      </c>
      <c r="D577" s="381" t="n">
        <v>0</v>
      </c>
      <c r="E577" s="381" t="n">
        <v>0</v>
      </c>
      <c r="F577" s="359" t="n">
        <v>1</v>
      </c>
      <c r="G577" s="380" t="n">
        <v>0</v>
      </c>
      <c r="H577" s="358" t="n">
        <v>0</v>
      </c>
      <c r="I577" s="358" t="n">
        <v>0</v>
      </c>
      <c r="J577" s="358" t="n">
        <v>0</v>
      </c>
      <c r="K577" s="358" t="n">
        <v>0</v>
      </c>
      <c r="L577" s="358" t="n">
        <v>0</v>
      </c>
      <c r="M577" s="381" t="n">
        <v>1</v>
      </c>
      <c r="N577" s="381" t="n">
        <v>0</v>
      </c>
      <c r="O577" s="381" t="n">
        <v>0</v>
      </c>
      <c r="P577" s="359" t="n">
        <v>1</v>
      </c>
    </row>
    <row r="578" customFormat="false" ht="15" hidden="true" customHeight="false" outlineLevel="0" collapsed="false">
      <c r="B578" s="360" t="s">
        <v>2990</v>
      </c>
      <c r="C578" s="381" t="n">
        <v>1</v>
      </c>
      <c r="D578" s="381" t="n">
        <v>0</v>
      </c>
      <c r="E578" s="381" t="n">
        <v>0</v>
      </c>
      <c r="F578" s="359" t="n">
        <v>1</v>
      </c>
      <c r="G578" s="380" t="n">
        <v>0</v>
      </c>
      <c r="H578" s="358" t="n">
        <v>0</v>
      </c>
      <c r="I578" s="358" t="n">
        <v>0</v>
      </c>
      <c r="J578" s="358" t="n">
        <v>0</v>
      </c>
      <c r="K578" s="358" t="n">
        <v>0</v>
      </c>
      <c r="L578" s="358" t="n">
        <v>0</v>
      </c>
      <c r="M578" s="381" t="n">
        <v>1</v>
      </c>
      <c r="N578" s="381" t="n">
        <v>0</v>
      </c>
      <c r="O578" s="381" t="n">
        <v>0</v>
      </c>
      <c r="P578" s="359" t="n">
        <v>1</v>
      </c>
    </row>
    <row r="579" customFormat="false" ht="15" hidden="true" customHeight="false" outlineLevel="0" collapsed="false">
      <c r="B579" s="360" t="s">
        <v>2991</v>
      </c>
      <c r="C579" s="381" t="n">
        <v>1</v>
      </c>
      <c r="D579" s="381" t="n">
        <v>0</v>
      </c>
      <c r="E579" s="381" t="n">
        <v>0</v>
      </c>
      <c r="F579" s="359" t="n">
        <v>1</v>
      </c>
      <c r="G579" s="380" t="n">
        <v>0</v>
      </c>
      <c r="H579" s="358" t="n">
        <v>0</v>
      </c>
      <c r="I579" s="358" t="n">
        <v>0</v>
      </c>
      <c r="J579" s="358" t="n">
        <v>0</v>
      </c>
      <c r="K579" s="358" t="n">
        <v>0</v>
      </c>
      <c r="L579" s="358" t="n">
        <v>0</v>
      </c>
      <c r="M579" s="381" t="n">
        <v>1</v>
      </c>
      <c r="N579" s="381" t="n">
        <v>0</v>
      </c>
      <c r="O579" s="381" t="n">
        <v>0</v>
      </c>
      <c r="P579" s="359" t="n">
        <v>1</v>
      </c>
    </row>
    <row r="580" customFormat="false" ht="15" hidden="true" customHeight="false" outlineLevel="0" collapsed="false">
      <c r="B580" s="360" t="s">
        <v>2992</v>
      </c>
      <c r="C580" s="381" t="n">
        <v>1</v>
      </c>
      <c r="D580" s="381" t="n">
        <v>0</v>
      </c>
      <c r="E580" s="381" t="n">
        <v>0</v>
      </c>
      <c r="F580" s="359" t="n">
        <v>1</v>
      </c>
      <c r="G580" s="380" t="n">
        <v>0</v>
      </c>
      <c r="H580" s="358" t="n">
        <v>0</v>
      </c>
      <c r="I580" s="358" t="n">
        <v>0</v>
      </c>
      <c r="J580" s="358" t="n">
        <v>0</v>
      </c>
      <c r="K580" s="358" t="n">
        <v>0</v>
      </c>
      <c r="L580" s="358" t="n">
        <v>0</v>
      </c>
      <c r="M580" s="381" t="n">
        <v>1</v>
      </c>
      <c r="N580" s="381" t="n">
        <v>0</v>
      </c>
      <c r="O580" s="381" t="n">
        <v>0</v>
      </c>
      <c r="P580" s="359" t="n">
        <v>1</v>
      </c>
    </row>
    <row r="581" customFormat="false" ht="15" hidden="true" customHeight="false" outlineLevel="0" collapsed="false">
      <c r="B581" s="360" t="s">
        <v>2993</v>
      </c>
      <c r="C581" s="381" t="n">
        <v>1</v>
      </c>
      <c r="D581" s="381" t="n">
        <v>0</v>
      </c>
      <c r="E581" s="381" t="n">
        <v>0</v>
      </c>
      <c r="F581" s="359" t="n">
        <v>1</v>
      </c>
      <c r="G581" s="380" t="n">
        <v>0</v>
      </c>
      <c r="H581" s="358" t="n">
        <v>0</v>
      </c>
      <c r="I581" s="358" t="n">
        <v>0</v>
      </c>
      <c r="J581" s="358" t="n">
        <v>0</v>
      </c>
      <c r="K581" s="358" t="n">
        <v>0</v>
      </c>
      <c r="L581" s="358" t="n">
        <v>0</v>
      </c>
      <c r="M581" s="381" t="n">
        <v>1</v>
      </c>
      <c r="N581" s="381" t="n">
        <v>0</v>
      </c>
      <c r="O581" s="381" t="n">
        <v>0</v>
      </c>
      <c r="P581" s="359" t="n">
        <v>1</v>
      </c>
    </row>
    <row r="582" customFormat="false" ht="15" hidden="false" customHeight="false" outlineLevel="0" collapsed="false">
      <c r="B582" s="313" t="s">
        <v>2471</v>
      </c>
      <c r="C582" s="379" t="n">
        <v>16</v>
      </c>
      <c r="D582" s="379" t="n">
        <v>0</v>
      </c>
      <c r="E582" s="379" t="n">
        <v>0</v>
      </c>
      <c r="F582" s="357" t="n">
        <v>16</v>
      </c>
      <c r="G582" s="380" t="n">
        <v>0</v>
      </c>
      <c r="H582" s="358" t="n">
        <v>0</v>
      </c>
      <c r="I582" s="358" t="n">
        <v>0</v>
      </c>
      <c r="J582" s="358" t="n">
        <v>0</v>
      </c>
      <c r="K582" s="358" t="n">
        <v>0</v>
      </c>
      <c r="L582" s="358" t="n">
        <v>0</v>
      </c>
      <c r="M582" s="379" t="n">
        <v>16</v>
      </c>
      <c r="N582" s="379" t="n">
        <v>0</v>
      </c>
      <c r="O582" s="379" t="n">
        <v>0</v>
      </c>
      <c r="P582" s="357" t="n">
        <v>16</v>
      </c>
    </row>
    <row r="583" customFormat="false" ht="15" hidden="true" customHeight="false" outlineLevel="0" collapsed="false">
      <c r="B583" s="360" t="s">
        <v>2994</v>
      </c>
      <c r="C583" s="381" t="n">
        <v>1</v>
      </c>
      <c r="D583" s="381" t="n">
        <v>0</v>
      </c>
      <c r="E583" s="381" t="n">
        <v>0</v>
      </c>
      <c r="F583" s="359" t="n">
        <v>1</v>
      </c>
      <c r="G583" s="380" t="n">
        <v>0</v>
      </c>
      <c r="H583" s="358" t="n">
        <v>0</v>
      </c>
      <c r="I583" s="358" t="n">
        <v>0</v>
      </c>
      <c r="J583" s="358" t="n">
        <v>0</v>
      </c>
      <c r="K583" s="358" t="n">
        <v>0</v>
      </c>
      <c r="L583" s="358" t="n">
        <v>0</v>
      </c>
      <c r="M583" s="381" t="n">
        <v>1</v>
      </c>
      <c r="N583" s="381" t="n">
        <v>0</v>
      </c>
      <c r="O583" s="381" t="n">
        <v>0</v>
      </c>
      <c r="P583" s="359" t="n">
        <v>1</v>
      </c>
    </row>
    <row r="584" customFormat="false" ht="15" hidden="true" customHeight="false" outlineLevel="0" collapsed="false">
      <c r="B584" s="360" t="s">
        <v>2995</v>
      </c>
      <c r="C584" s="381" t="n">
        <v>1</v>
      </c>
      <c r="D584" s="381" t="n">
        <v>0</v>
      </c>
      <c r="E584" s="381" t="n">
        <v>0</v>
      </c>
      <c r="F584" s="359" t="n">
        <v>1</v>
      </c>
      <c r="G584" s="380" t="n">
        <v>0</v>
      </c>
      <c r="H584" s="358" t="n">
        <v>0</v>
      </c>
      <c r="I584" s="358" t="n">
        <v>0</v>
      </c>
      <c r="J584" s="358" t="n">
        <v>0</v>
      </c>
      <c r="K584" s="358" t="n">
        <v>0</v>
      </c>
      <c r="L584" s="358" t="n">
        <v>0</v>
      </c>
      <c r="M584" s="381" t="n">
        <v>1</v>
      </c>
      <c r="N584" s="381" t="n">
        <v>0</v>
      </c>
      <c r="O584" s="381" t="n">
        <v>0</v>
      </c>
      <c r="P584" s="359" t="n">
        <v>1</v>
      </c>
    </row>
    <row r="585" customFormat="false" ht="15" hidden="true" customHeight="false" outlineLevel="0" collapsed="false">
      <c r="B585" s="360" t="s">
        <v>2996</v>
      </c>
      <c r="C585" s="381" t="n">
        <v>1</v>
      </c>
      <c r="D585" s="381" t="n">
        <v>0</v>
      </c>
      <c r="E585" s="381" t="n">
        <v>0</v>
      </c>
      <c r="F585" s="359" t="n">
        <v>1</v>
      </c>
      <c r="G585" s="380" t="n">
        <v>0</v>
      </c>
      <c r="H585" s="358" t="n">
        <v>0</v>
      </c>
      <c r="I585" s="358" t="n">
        <v>0</v>
      </c>
      <c r="J585" s="358" t="n">
        <v>0</v>
      </c>
      <c r="K585" s="358" t="n">
        <v>0</v>
      </c>
      <c r="L585" s="358" t="n">
        <v>0</v>
      </c>
      <c r="M585" s="381" t="n">
        <v>1</v>
      </c>
      <c r="N585" s="381" t="n">
        <v>0</v>
      </c>
      <c r="O585" s="381" t="n">
        <v>0</v>
      </c>
      <c r="P585" s="359" t="n">
        <v>1</v>
      </c>
    </row>
    <row r="586" customFormat="false" ht="15" hidden="true" customHeight="false" outlineLevel="0" collapsed="false">
      <c r="B586" s="360" t="s">
        <v>2997</v>
      </c>
      <c r="C586" s="381" t="n">
        <v>1</v>
      </c>
      <c r="D586" s="381" t="n">
        <v>0</v>
      </c>
      <c r="E586" s="381" t="n">
        <v>0</v>
      </c>
      <c r="F586" s="359" t="n">
        <v>1</v>
      </c>
      <c r="G586" s="380" t="n">
        <v>0</v>
      </c>
      <c r="H586" s="358" t="n">
        <v>0</v>
      </c>
      <c r="I586" s="358" t="n">
        <v>0</v>
      </c>
      <c r="J586" s="358" t="n">
        <v>0</v>
      </c>
      <c r="K586" s="358" t="n">
        <v>0</v>
      </c>
      <c r="L586" s="358" t="n">
        <v>0</v>
      </c>
      <c r="M586" s="381" t="n">
        <v>1</v>
      </c>
      <c r="N586" s="381" t="n">
        <v>0</v>
      </c>
      <c r="O586" s="381" t="n">
        <v>0</v>
      </c>
      <c r="P586" s="359" t="n">
        <v>1</v>
      </c>
    </row>
    <row r="587" customFormat="false" ht="15" hidden="true" customHeight="false" outlineLevel="0" collapsed="false">
      <c r="B587" s="360" t="s">
        <v>2998</v>
      </c>
      <c r="C587" s="381" t="n">
        <v>1</v>
      </c>
      <c r="D587" s="381" t="n">
        <v>0</v>
      </c>
      <c r="E587" s="381" t="n">
        <v>0</v>
      </c>
      <c r="F587" s="359" t="n">
        <v>1</v>
      </c>
      <c r="G587" s="380" t="n">
        <v>0</v>
      </c>
      <c r="H587" s="358" t="n">
        <v>0</v>
      </c>
      <c r="I587" s="358" t="n">
        <v>0</v>
      </c>
      <c r="J587" s="358" t="n">
        <v>0</v>
      </c>
      <c r="K587" s="358" t="n">
        <v>0</v>
      </c>
      <c r="L587" s="358" t="n">
        <v>0</v>
      </c>
      <c r="M587" s="381" t="n">
        <v>1</v>
      </c>
      <c r="N587" s="381" t="n">
        <v>0</v>
      </c>
      <c r="O587" s="381" t="n">
        <v>0</v>
      </c>
      <c r="P587" s="359" t="n">
        <v>1</v>
      </c>
    </row>
    <row r="588" customFormat="false" ht="15" hidden="true" customHeight="false" outlineLevel="0" collapsed="false">
      <c r="B588" s="360" t="s">
        <v>2999</v>
      </c>
      <c r="C588" s="381" t="n">
        <v>1</v>
      </c>
      <c r="D588" s="381" t="n">
        <v>0</v>
      </c>
      <c r="E588" s="381" t="n">
        <v>0</v>
      </c>
      <c r="F588" s="359" t="n">
        <v>1</v>
      </c>
      <c r="G588" s="380" t="n">
        <v>0</v>
      </c>
      <c r="H588" s="358" t="n">
        <v>0</v>
      </c>
      <c r="I588" s="358" t="n">
        <v>0</v>
      </c>
      <c r="J588" s="358" t="n">
        <v>0</v>
      </c>
      <c r="K588" s="358" t="n">
        <v>0</v>
      </c>
      <c r="L588" s="358" t="n">
        <v>0</v>
      </c>
      <c r="M588" s="381" t="n">
        <v>1</v>
      </c>
      <c r="N588" s="381" t="n">
        <v>0</v>
      </c>
      <c r="O588" s="381" t="n">
        <v>0</v>
      </c>
      <c r="P588" s="359" t="n">
        <v>1</v>
      </c>
    </row>
    <row r="589" customFormat="false" ht="15" hidden="true" customHeight="false" outlineLevel="0" collapsed="false">
      <c r="B589" s="360" t="s">
        <v>3000</v>
      </c>
      <c r="C589" s="381" t="n">
        <v>1</v>
      </c>
      <c r="D589" s="381" t="n">
        <v>0</v>
      </c>
      <c r="E589" s="381" t="n">
        <v>0</v>
      </c>
      <c r="F589" s="359" t="n">
        <v>1</v>
      </c>
      <c r="G589" s="380" t="n">
        <v>0</v>
      </c>
      <c r="H589" s="358" t="n">
        <v>0</v>
      </c>
      <c r="I589" s="358" t="n">
        <v>0</v>
      </c>
      <c r="J589" s="358" t="n">
        <v>0</v>
      </c>
      <c r="K589" s="358" t="n">
        <v>0</v>
      </c>
      <c r="L589" s="358" t="n">
        <v>0</v>
      </c>
      <c r="M589" s="381" t="n">
        <v>1</v>
      </c>
      <c r="N589" s="381" t="n">
        <v>0</v>
      </c>
      <c r="O589" s="381" t="n">
        <v>0</v>
      </c>
      <c r="P589" s="359" t="n">
        <v>1</v>
      </c>
    </row>
    <row r="590" customFormat="false" ht="15" hidden="true" customHeight="false" outlineLevel="0" collapsed="false">
      <c r="B590" s="360" t="s">
        <v>3001</v>
      </c>
      <c r="C590" s="381" t="n">
        <v>1</v>
      </c>
      <c r="D590" s="381" t="n">
        <v>0</v>
      </c>
      <c r="E590" s="381" t="n">
        <v>0</v>
      </c>
      <c r="F590" s="359" t="n">
        <v>1</v>
      </c>
      <c r="G590" s="380" t="n">
        <v>0</v>
      </c>
      <c r="H590" s="358" t="n">
        <v>0</v>
      </c>
      <c r="I590" s="358" t="n">
        <v>0</v>
      </c>
      <c r="J590" s="358" t="n">
        <v>0</v>
      </c>
      <c r="K590" s="358" t="n">
        <v>0</v>
      </c>
      <c r="L590" s="358" t="n">
        <v>0</v>
      </c>
      <c r="M590" s="381" t="n">
        <v>1</v>
      </c>
      <c r="N590" s="381" t="n">
        <v>0</v>
      </c>
      <c r="O590" s="381" t="n">
        <v>0</v>
      </c>
      <c r="P590" s="359" t="n">
        <v>1</v>
      </c>
    </row>
    <row r="591" customFormat="false" ht="15" hidden="true" customHeight="false" outlineLevel="0" collapsed="false">
      <c r="B591" s="360" t="s">
        <v>3002</v>
      </c>
      <c r="C591" s="381" t="n">
        <v>1</v>
      </c>
      <c r="D591" s="381" t="n">
        <v>0</v>
      </c>
      <c r="E591" s="381" t="n">
        <v>0</v>
      </c>
      <c r="F591" s="359" t="n">
        <v>1</v>
      </c>
      <c r="G591" s="380" t="n">
        <v>0</v>
      </c>
      <c r="H591" s="358" t="n">
        <v>0</v>
      </c>
      <c r="I591" s="358" t="n">
        <v>0</v>
      </c>
      <c r="J591" s="358" t="n">
        <v>0</v>
      </c>
      <c r="K591" s="358" t="n">
        <v>0</v>
      </c>
      <c r="L591" s="358" t="n">
        <v>0</v>
      </c>
      <c r="M591" s="381" t="n">
        <v>1</v>
      </c>
      <c r="N591" s="381" t="n">
        <v>0</v>
      </c>
      <c r="O591" s="381" t="n">
        <v>0</v>
      </c>
      <c r="P591" s="359" t="n">
        <v>1</v>
      </c>
    </row>
    <row r="592" customFormat="false" ht="15" hidden="true" customHeight="false" outlineLevel="0" collapsed="false">
      <c r="B592" s="360" t="s">
        <v>3003</v>
      </c>
      <c r="C592" s="381" t="n">
        <v>1</v>
      </c>
      <c r="D592" s="381" t="n">
        <v>0</v>
      </c>
      <c r="E592" s="381" t="n">
        <v>0</v>
      </c>
      <c r="F592" s="359" t="n">
        <v>1</v>
      </c>
      <c r="G592" s="380" t="n">
        <v>0</v>
      </c>
      <c r="H592" s="358" t="n">
        <v>0</v>
      </c>
      <c r="I592" s="358" t="n">
        <v>0</v>
      </c>
      <c r="J592" s="358" t="n">
        <v>0</v>
      </c>
      <c r="K592" s="358" t="n">
        <v>0</v>
      </c>
      <c r="L592" s="358" t="n">
        <v>0</v>
      </c>
      <c r="M592" s="381" t="n">
        <v>1</v>
      </c>
      <c r="N592" s="381" t="n">
        <v>0</v>
      </c>
      <c r="O592" s="381" t="n">
        <v>0</v>
      </c>
      <c r="P592" s="359" t="n">
        <v>1</v>
      </c>
    </row>
    <row r="593" customFormat="false" ht="15" hidden="true" customHeight="false" outlineLevel="0" collapsed="false">
      <c r="B593" s="360" t="s">
        <v>3004</v>
      </c>
      <c r="C593" s="381" t="n">
        <v>1</v>
      </c>
      <c r="D593" s="381" t="n">
        <v>0</v>
      </c>
      <c r="E593" s="381" t="n">
        <v>0</v>
      </c>
      <c r="F593" s="359" t="n">
        <v>1</v>
      </c>
      <c r="G593" s="380" t="n">
        <v>0</v>
      </c>
      <c r="H593" s="358" t="n">
        <v>0</v>
      </c>
      <c r="I593" s="358" t="n">
        <v>0</v>
      </c>
      <c r="J593" s="358" t="n">
        <v>0</v>
      </c>
      <c r="K593" s="358" t="n">
        <v>0</v>
      </c>
      <c r="L593" s="358" t="n">
        <v>0</v>
      </c>
      <c r="M593" s="381" t="n">
        <v>1</v>
      </c>
      <c r="N593" s="381" t="n">
        <v>0</v>
      </c>
      <c r="O593" s="381" t="n">
        <v>0</v>
      </c>
      <c r="P593" s="359" t="n">
        <v>1</v>
      </c>
    </row>
    <row r="594" customFormat="false" ht="15" hidden="true" customHeight="false" outlineLevel="0" collapsed="false">
      <c r="B594" s="360" t="s">
        <v>3005</v>
      </c>
      <c r="C594" s="381" t="n">
        <v>1</v>
      </c>
      <c r="D594" s="381" t="n">
        <v>0</v>
      </c>
      <c r="E594" s="381" t="n">
        <v>0</v>
      </c>
      <c r="F594" s="359" t="n">
        <v>1</v>
      </c>
      <c r="G594" s="380" t="n">
        <v>0</v>
      </c>
      <c r="H594" s="358" t="n">
        <v>0</v>
      </c>
      <c r="I594" s="358" t="n">
        <v>0</v>
      </c>
      <c r="J594" s="358" t="n">
        <v>0</v>
      </c>
      <c r="K594" s="358" t="n">
        <v>0</v>
      </c>
      <c r="L594" s="358" t="n">
        <v>0</v>
      </c>
      <c r="M594" s="381" t="n">
        <v>1</v>
      </c>
      <c r="N594" s="381" t="n">
        <v>0</v>
      </c>
      <c r="O594" s="381" t="n">
        <v>0</v>
      </c>
      <c r="P594" s="359" t="n">
        <v>1</v>
      </c>
    </row>
    <row r="595" customFormat="false" ht="15" hidden="true" customHeight="false" outlineLevel="0" collapsed="false">
      <c r="B595" s="360" t="s">
        <v>3006</v>
      </c>
      <c r="C595" s="381" t="n">
        <v>1</v>
      </c>
      <c r="D595" s="381" t="n">
        <v>0</v>
      </c>
      <c r="E595" s="381" t="n">
        <v>0</v>
      </c>
      <c r="F595" s="359" t="n">
        <v>1</v>
      </c>
      <c r="G595" s="380" t="n">
        <v>0</v>
      </c>
      <c r="H595" s="358" t="n">
        <v>0</v>
      </c>
      <c r="I595" s="358" t="n">
        <v>0</v>
      </c>
      <c r="J595" s="358" t="n">
        <v>0</v>
      </c>
      <c r="K595" s="358" t="n">
        <v>0</v>
      </c>
      <c r="L595" s="358" t="n">
        <v>0</v>
      </c>
      <c r="M595" s="381" t="n">
        <v>1</v>
      </c>
      <c r="N595" s="381" t="n">
        <v>0</v>
      </c>
      <c r="O595" s="381" t="n">
        <v>0</v>
      </c>
      <c r="P595" s="359" t="n">
        <v>1</v>
      </c>
    </row>
    <row r="596" customFormat="false" ht="15" hidden="true" customHeight="false" outlineLevel="0" collapsed="false">
      <c r="B596" s="360" t="s">
        <v>3007</v>
      </c>
      <c r="C596" s="381" t="n">
        <v>1</v>
      </c>
      <c r="D596" s="381" t="n">
        <v>0</v>
      </c>
      <c r="E596" s="381" t="n">
        <v>0</v>
      </c>
      <c r="F596" s="359" t="n">
        <v>1</v>
      </c>
      <c r="G596" s="380" t="n">
        <v>0</v>
      </c>
      <c r="H596" s="358" t="n">
        <v>0</v>
      </c>
      <c r="I596" s="358" t="n">
        <v>0</v>
      </c>
      <c r="J596" s="358" t="n">
        <v>0</v>
      </c>
      <c r="K596" s="358" t="n">
        <v>0</v>
      </c>
      <c r="L596" s="358" t="n">
        <v>0</v>
      </c>
      <c r="M596" s="381" t="n">
        <v>1</v>
      </c>
      <c r="N596" s="381" t="n">
        <v>0</v>
      </c>
      <c r="O596" s="381" t="n">
        <v>0</v>
      </c>
      <c r="P596" s="359" t="n">
        <v>1</v>
      </c>
    </row>
    <row r="597" customFormat="false" ht="15" hidden="true" customHeight="false" outlineLevel="0" collapsed="false">
      <c r="B597" s="360" t="s">
        <v>3008</v>
      </c>
      <c r="C597" s="381" t="n">
        <v>1</v>
      </c>
      <c r="D597" s="381" t="n">
        <v>0</v>
      </c>
      <c r="E597" s="381" t="n">
        <v>0</v>
      </c>
      <c r="F597" s="359" t="n">
        <v>1</v>
      </c>
      <c r="G597" s="380" t="n">
        <v>0</v>
      </c>
      <c r="H597" s="358" t="n">
        <v>0</v>
      </c>
      <c r="I597" s="358" t="n">
        <v>0</v>
      </c>
      <c r="J597" s="358" t="n">
        <v>0</v>
      </c>
      <c r="K597" s="358" t="n">
        <v>0</v>
      </c>
      <c r="L597" s="358" t="n">
        <v>0</v>
      </c>
      <c r="M597" s="381" t="n">
        <v>1</v>
      </c>
      <c r="N597" s="381" t="n">
        <v>0</v>
      </c>
      <c r="O597" s="381" t="n">
        <v>0</v>
      </c>
      <c r="P597" s="359" t="n">
        <v>1</v>
      </c>
    </row>
    <row r="598" customFormat="false" ht="15" hidden="true" customHeight="false" outlineLevel="0" collapsed="false">
      <c r="B598" s="360" t="s">
        <v>3009</v>
      </c>
      <c r="C598" s="381" t="n">
        <v>1</v>
      </c>
      <c r="D598" s="381" t="n">
        <v>0</v>
      </c>
      <c r="E598" s="381" t="n">
        <v>0</v>
      </c>
      <c r="F598" s="359" t="n">
        <v>1</v>
      </c>
      <c r="G598" s="380" t="n">
        <v>0</v>
      </c>
      <c r="H598" s="358" t="n">
        <v>0</v>
      </c>
      <c r="I598" s="358" t="n">
        <v>0</v>
      </c>
      <c r="J598" s="358" t="n">
        <v>0</v>
      </c>
      <c r="K598" s="358" t="n">
        <v>0</v>
      </c>
      <c r="L598" s="358" t="n">
        <v>0</v>
      </c>
      <c r="M598" s="381" t="n">
        <v>1</v>
      </c>
      <c r="N598" s="381" t="n">
        <v>0</v>
      </c>
      <c r="O598" s="381" t="n">
        <v>0</v>
      </c>
      <c r="P598" s="359" t="n">
        <v>1</v>
      </c>
    </row>
    <row r="599" customFormat="false" ht="15" hidden="false" customHeight="false" outlineLevel="0" collapsed="false">
      <c r="B599" s="313" t="s">
        <v>1859</v>
      </c>
      <c r="C599" s="379" t="n">
        <v>234</v>
      </c>
      <c r="D599" s="379" t="n">
        <v>23</v>
      </c>
      <c r="E599" s="379" t="n">
        <v>5</v>
      </c>
      <c r="F599" s="357" t="n">
        <v>262</v>
      </c>
      <c r="G599" s="380" t="n">
        <v>3</v>
      </c>
      <c r="H599" s="358" t="n">
        <v>0</v>
      </c>
      <c r="I599" s="358" t="n">
        <v>0</v>
      </c>
      <c r="J599" s="358" t="n">
        <v>0</v>
      </c>
      <c r="K599" s="358" t="n">
        <v>-2</v>
      </c>
      <c r="L599" s="358" t="n">
        <v>-1</v>
      </c>
      <c r="M599" s="379" t="n">
        <v>237</v>
      </c>
      <c r="N599" s="379" t="n">
        <v>21</v>
      </c>
      <c r="O599" s="379" t="n">
        <v>4</v>
      </c>
      <c r="P599" s="357" t="n">
        <v>262</v>
      </c>
    </row>
    <row r="600" customFormat="false" ht="15" hidden="false" customHeight="false" outlineLevel="0" collapsed="false">
      <c r="B600" s="364" t="s">
        <v>1859</v>
      </c>
      <c r="C600" s="385" t="n">
        <v>200</v>
      </c>
      <c r="D600" s="385" t="n">
        <v>12</v>
      </c>
      <c r="E600" s="385" t="n">
        <v>3</v>
      </c>
      <c r="F600" s="365" t="n">
        <v>215</v>
      </c>
      <c r="G600" s="380" t="n">
        <v>3</v>
      </c>
      <c r="H600" s="358" t="n">
        <v>0</v>
      </c>
      <c r="I600" s="358" t="n">
        <v>0</v>
      </c>
      <c r="J600" s="358" t="n">
        <v>0</v>
      </c>
      <c r="K600" s="358" t="n">
        <v>-2</v>
      </c>
      <c r="L600" s="358" t="n">
        <v>-1</v>
      </c>
      <c r="M600" s="385" t="n">
        <v>203</v>
      </c>
      <c r="N600" s="385" t="n">
        <v>10</v>
      </c>
      <c r="O600" s="385" t="n">
        <v>2</v>
      </c>
      <c r="P600" s="365" t="n">
        <v>215</v>
      </c>
    </row>
    <row r="601" customFormat="false" ht="15" hidden="true" customHeight="false" outlineLevel="0" collapsed="false">
      <c r="B601" s="360" t="s">
        <v>3580</v>
      </c>
      <c r="C601" s="385" t="n">
        <v>0</v>
      </c>
      <c r="D601" s="385" t="n">
        <v>1</v>
      </c>
      <c r="E601" s="385" t="n">
        <v>0</v>
      </c>
      <c r="F601" s="365" t="n">
        <v>1</v>
      </c>
      <c r="G601" s="380" t="n">
        <v>0</v>
      </c>
      <c r="H601" s="358" t="n">
        <v>0</v>
      </c>
      <c r="I601" s="358" t="n">
        <v>0</v>
      </c>
      <c r="J601" s="358" t="n">
        <v>0</v>
      </c>
      <c r="K601" s="358" t="n">
        <v>0</v>
      </c>
      <c r="L601" s="358" t="n">
        <v>0</v>
      </c>
      <c r="M601" s="385" t="n">
        <v>0</v>
      </c>
      <c r="N601" s="385" t="n">
        <v>1</v>
      </c>
      <c r="O601" s="385" t="n">
        <v>0</v>
      </c>
      <c r="P601" s="365" t="n">
        <v>1</v>
      </c>
    </row>
    <row r="602" customFormat="false" ht="15" hidden="true" customHeight="false" outlineLevel="0" collapsed="false">
      <c r="B602" s="360" t="s">
        <v>3581</v>
      </c>
      <c r="C602" s="385" t="n">
        <v>0</v>
      </c>
      <c r="D602" s="385" t="n">
        <v>1</v>
      </c>
      <c r="E602" s="385" t="n">
        <v>0</v>
      </c>
      <c r="F602" s="365" t="n">
        <v>1</v>
      </c>
      <c r="G602" s="380" t="n">
        <v>0</v>
      </c>
      <c r="H602" s="358" t="n">
        <v>0</v>
      </c>
      <c r="I602" s="358" t="n">
        <v>0</v>
      </c>
      <c r="J602" s="358" t="n">
        <v>0</v>
      </c>
      <c r="K602" s="358" t="n">
        <v>-1</v>
      </c>
      <c r="L602" s="358" t="n">
        <v>0</v>
      </c>
      <c r="M602" s="385" t="n">
        <v>0</v>
      </c>
      <c r="N602" s="385" t="n">
        <v>0</v>
      </c>
      <c r="O602" s="385" t="n">
        <v>0</v>
      </c>
      <c r="P602" s="365" t="n">
        <v>0</v>
      </c>
    </row>
    <row r="603" customFormat="false" ht="15" hidden="true" customHeight="false" outlineLevel="0" collapsed="false">
      <c r="B603" s="360" t="s">
        <v>3582</v>
      </c>
      <c r="C603" s="385" t="n">
        <v>0</v>
      </c>
      <c r="D603" s="385" t="n">
        <v>1</v>
      </c>
      <c r="E603" s="385" t="n">
        <v>0</v>
      </c>
      <c r="F603" s="365" t="n">
        <v>1</v>
      </c>
      <c r="G603" s="380" t="n">
        <v>0</v>
      </c>
      <c r="H603" s="358" t="n">
        <v>0</v>
      </c>
      <c r="I603" s="358" t="n">
        <v>0</v>
      </c>
      <c r="J603" s="358" t="n">
        <v>0</v>
      </c>
      <c r="K603" s="358" t="n">
        <v>0</v>
      </c>
      <c r="L603" s="358" t="n">
        <v>0</v>
      </c>
      <c r="M603" s="385" t="n">
        <v>0</v>
      </c>
      <c r="N603" s="385" t="n">
        <v>1</v>
      </c>
      <c r="O603" s="385" t="n">
        <v>0</v>
      </c>
      <c r="P603" s="365" t="n">
        <v>1</v>
      </c>
    </row>
    <row r="604" customFormat="false" ht="15" hidden="true" customHeight="false" outlineLevel="0" collapsed="false">
      <c r="B604" s="360" t="s">
        <v>3583</v>
      </c>
      <c r="C604" s="385" t="n">
        <v>0</v>
      </c>
      <c r="D604" s="385" t="n">
        <v>1</v>
      </c>
      <c r="E604" s="385" t="n">
        <v>0</v>
      </c>
      <c r="F604" s="365" t="n">
        <v>1</v>
      </c>
      <c r="G604" s="380" t="n">
        <v>0</v>
      </c>
      <c r="H604" s="358" t="n">
        <v>0</v>
      </c>
      <c r="I604" s="358" t="n">
        <v>0</v>
      </c>
      <c r="J604" s="358" t="n">
        <v>0</v>
      </c>
      <c r="K604" s="358" t="n">
        <v>-1</v>
      </c>
      <c r="L604" s="358" t="n">
        <v>0</v>
      </c>
      <c r="M604" s="385" t="n">
        <v>0</v>
      </c>
      <c r="N604" s="385" t="n">
        <v>0</v>
      </c>
      <c r="O604" s="385" t="n">
        <v>0</v>
      </c>
      <c r="P604" s="365" t="n">
        <v>0</v>
      </c>
    </row>
    <row r="605" customFormat="false" ht="15" hidden="true" customHeight="false" outlineLevel="0" collapsed="false">
      <c r="B605" s="360" t="s">
        <v>3584</v>
      </c>
      <c r="C605" s="385" t="n">
        <v>0</v>
      </c>
      <c r="D605" s="385" t="n">
        <v>1</v>
      </c>
      <c r="E605" s="385" t="n">
        <v>0</v>
      </c>
      <c r="F605" s="365" t="n">
        <v>1</v>
      </c>
      <c r="G605" s="380" t="n">
        <v>0</v>
      </c>
      <c r="H605" s="358" t="n">
        <v>0</v>
      </c>
      <c r="I605" s="358" t="n">
        <v>0</v>
      </c>
      <c r="J605" s="358" t="n">
        <v>0</v>
      </c>
      <c r="K605" s="358" t="n">
        <v>0</v>
      </c>
      <c r="L605" s="358" t="n">
        <v>0</v>
      </c>
      <c r="M605" s="385" t="n">
        <v>0</v>
      </c>
      <c r="N605" s="385" t="n">
        <v>1</v>
      </c>
      <c r="O605" s="385" t="n">
        <v>0</v>
      </c>
      <c r="P605" s="365" t="n">
        <v>1</v>
      </c>
    </row>
    <row r="606" customFormat="false" ht="15" hidden="true" customHeight="false" outlineLevel="0" collapsed="false">
      <c r="B606" s="360" t="s">
        <v>3585</v>
      </c>
      <c r="C606" s="385" t="n">
        <v>0</v>
      </c>
      <c r="D606" s="385" t="n">
        <v>1</v>
      </c>
      <c r="E606" s="385" t="n">
        <v>0</v>
      </c>
      <c r="F606" s="365" t="n">
        <v>1</v>
      </c>
      <c r="G606" s="380" t="n">
        <v>0</v>
      </c>
      <c r="H606" s="358" t="n">
        <v>0</v>
      </c>
      <c r="I606" s="358" t="n">
        <v>0</v>
      </c>
      <c r="J606" s="358" t="n">
        <v>0</v>
      </c>
      <c r="K606" s="358" t="n">
        <v>0</v>
      </c>
      <c r="L606" s="358" t="n">
        <v>0</v>
      </c>
      <c r="M606" s="385" t="n">
        <v>0</v>
      </c>
      <c r="N606" s="385" t="n">
        <v>1</v>
      </c>
      <c r="O606" s="385" t="n">
        <v>0</v>
      </c>
      <c r="P606" s="365" t="n">
        <v>1</v>
      </c>
    </row>
    <row r="607" customFormat="false" ht="15" hidden="true" customHeight="false" outlineLevel="0" collapsed="false">
      <c r="B607" s="360" t="s">
        <v>3586</v>
      </c>
      <c r="C607" s="385" t="n">
        <v>0</v>
      </c>
      <c r="D607" s="385" t="n">
        <v>1</v>
      </c>
      <c r="E607" s="385" t="n">
        <v>0</v>
      </c>
      <c r="F607" s="365" t="n">
        <v>1</v>
      </c>
      <c r="G607" s="380" t="n">
        <v>0</v>
      </c>
      <c r="H607" s="358" t="n">
        <v>0</v>
      </c>
      <c r="I607" s="358" t="n">
        <v>0</v>
      </c>
      <c r="J607" s="358" t="n">
        <v>0</v>
      </c>
      <c r="K607" s="358" t="n">
        <v>0</v>
      </c>
      <c r="L607" s="358" t="n">
        <v>0</v>
      </c>
      <c r="M607" s="385" t="n">
        <v>0</v>
      </c>
      <c r="N607" s="385" t="n">
        <v>1</v>
      </c>
      <c r="O607" s="385" t="n">
        <v>0</v>
      </c>
      <c r="P607" s="365" t="n">
        <v>1</v>
      </c>
    </row>
    <row r="608" customFormat="false" ht="15" hidden="true" customHeight="false" outlineLevel="0" collapsed="false">
      <c r="B608" s="360" t="s">
        <v>3587</v>
      </c>
      <c r="C608" s="385" t="n">
        <v>0</v>
      </c>
      <c r="D608" s="385" t="n">
        <v>1</v>
      </c>
      <c r="E608" s="385" t="n">
        <v>0</v>
      </c>
      <c r="F608" s="365" t="n">
        <v>1</v>
      </c>
      <c r="G608" s="380" t="n">
        <v>0</v>
      </c>
      <c r="H608" s="358" t="n">
        <v>0</v>
      </c>
      <c r="I608" s="358" t="n">
        <v>0</v>
      </c>
      <c r="J608" s="358" t="n">
        <v>0</v>
      </c>
      <c r="K608" s="358" t="n">
        <v>0</v>
      </c>
      <c r="L608" s="358" t="n">
        <v>0</v>
      </c>
      <c r="M608" s="385" t="n">
        <v>0</v>
      </c>
      <c r="N608" s="385" t="n">
        <v>1</v>
      </c>
      <c r="O608" s="385" t="n">
        <v>0</v>
      </c>
      <c r="P608" s="365" t="n">
        <v>1</v>
      </c>
    </row>
    <row r="609" customFormat="false" ht="15" hidden="true" customHeight="false" outlineLevel="0" collapsed="false">
      <c r="B609" s="360" t="s">
        <v>3588</v>
      </c>
      <c r="C609" s="385" t="n">
        <v>0</v>
      </c>
      <c r="D609" s="385" t="n">
        <v>1</v>
      </c>
      <c r="E609" s="385" t="n">
        <v>0</v>
      </c>
      <c r="F609" s="365" t="n">
        <v>1</v>
      </c>
      <c r="G609" s="380" t="n">
        <v>0</v>
      </c>
      <c r="H609" s="358" t="n">
        <v>0</v>
      </c>
      <c r="I609" s="358" t="n">
        <v>0</v>
      </c>
      <c r="J609" s="358" t="n">
        <v>0</v>
      </c>
      <c r="K609" s="358" t="n">
        <v>0</v>
      </c>
      <c r="L609" s="358" t="n">
        <v>0</v>
      </c>
      <c r="M609" s="385" t="n">
        <v>0</v>
      </c>
      <c r="N609" s="385" t="n">
        <v>1</v>
      </c>
      <c r="O609" s="385" t="n">
        <v>0</v>
      </c>
      <c r="P609" s="365" t="n">
        <v>1</v>
      </c>
    </row>
    <row r="610" customFormat="false" ht="15" hidden="true" customHeight="false" outlineLevel="0" collapsed="false">
      <c r="B610" s="360" t="s">
        <v>3589</v>
      </c>
      <c r="C610" s="385" t="n">
        <v>0</v>
      </c>
      <c r="D610" s="385" t="n">
        <v>1</v>
      </c>
      <c r="E610" s="385" t="n">
        <v>0</v>
      </c>
      <c r="F610" s="365" t="n">
        <v>1</v>
      </c>
      <c r="G610" s="380" t="n">
        <v>0</v>
      </c>
      <c r="H610" s="358" t="n">
        <v>0</v>
      </c>
      <c r="I610" s="358" t="n">
        <v>0</v>
      </c>
      <c r="J610" s="358" t="n">
        <v>0</v>
      </c>
      <c r="K610" s="358" t="n">
        <v>0</v>
      </c>
      <c r="L610" s="358" t="n">
        <v>0</v>
      </c>
      <c r="M610" s="385" t="n">
        <v>0</v>
      </c>
      <c r="N610" s="385" t="n">
        <v>1</v>
      </c>
      <c r="O610" s="385" t="n">
        <v>0</v>
      </c>
      <c r="P610" s="365" t="n">
        <v>1</v>
      </c>
    </row>
    <row r="611" customFormat="false" ht="15" hidden="true" customHeight="false" outlineLevel="0" collapsed="false">
      <c r="B611" s="360" t="s">
        <v>3590</v>
      </c>
      <c r="C611" s="385" t="n">
        <v>0</v>
      </c>
      <c r="D611" s="385" t="n">
        <v>1</v>
      </c>
      <c r="E611" s="385" t="n">
        <v>0</v>
      </c>
      <c r="F611" s="365" t="n">
        <v>1</v>
      </c>
      <c r="G611" s="380" t="n">
        <v>0</v>
      </c>
      <c r="H611" s="358" t="n">
        <v>0</v>
      </c>
      <c r="I611" s="358" t="n">
        <v>0</v>
      </c>
      <c r="J611" s="358" t="n">
        <v>0</v>
      </c>
      <c r="K611" s="358" t="n">
        <v>0</v>
      </c>
      <c r="L611" s="358" t="n">
        <v>0</v>
      </c>
      <c r="M611" s="385" t="n">
        <v>0</v>
      </c>
      <c r="N611" s="385" t="n">
        <v>1</v>
      </c>
      <c r="O611" s="385" t="n">
        <v>0</v>
      </c>
      <c r="P611" s="365" t="n">
        <v>1</v>
      </c>
    </row>
    <row r="612" customFormat="false" ht="15" hidden="true" customHeight="false" outlineLevel="0" collapsed="false">
      <c r="B612" s="360" t="s">
        <v>3591</v>
      </c>
      <c r="C612" s="385" t="n">
        <v>0</v>
      </c>
      <c r="D612" s="385" t="n">
        <v>1</v>
      </c>
      <c r="E612" s="385" t="n">
        <v>0</v>
      </c>
      <c r="F612" s="365" t="n">
        <v>1</v>
      </c>
      <c r="G612" s="380" t="n">
        <v>0</v>
      </c>
      <c r="H612" s="358" t="n">
        <v>0</v>
      </c>
      <c r="I612" s="358" t="n">
        <v>0</v>
      </c>
      <c r="J612" s="358" t="n">
        <v>0</v>
      </c>
      <c r="K612" s="358" t="n">
        <v>0</v>
      </c>
      <c r="L612" s="358" t="n">
        <v>0</v>
      </c>
      <c r="M612" s="385" t="n">
        <v>0</v>
      </c>
      <c r="N612" s="385" t="n">
        <v>1</v>
      </c>
      <c r="O612" s="385" t="n">
        <v>0</v>
      </c>
      <c r="P612" s="365" t="n">
        <v>1</v>
      </c>
    </row>
    <row r="613" customFormat="false" ht="15" hidden="true" customHeight="false" outlineLevel="0" collapsed="false">
      <c r="B613" s="360" t="s">
        <v>3592</v>
      </c>
      <c r="C613" s="385" t="n">
        <v>0</v>
      </c>
      <c r="D613" s="385" t="n">
        <v>0</v>
      </c>
      <c r="E613" s="385" t="n">
        <v>1</v>
      </c>
      <c r="F613" s="365" t="n">
        <v>1</v>
      </c>
      <c r="G613" s="380" t="n">
        <v>0</v>
      </c>
      <c r="H613" s="358" t="n">
        <v>0</v>
      </c>
      <c r="I613" s="358" t="n">
        <v>0</v>
      </c>
      <c r="J613" s="358" t="n">
        <v>0</v>
      </c>
      <c r="K613" s="358" t="n">
        <v>0</v>
      </c>
      <c r="L613" s="358" t="n">
        <v>-1</v>
      </c>
      <c r="M613" s="385" t="n">
        <v>0</v>
      </c>
      <c r="N613" s="385" t="n">
        <v>0</v>
      </c>
      <c r="O613" s="385" t="n">
        <v>0</v>
      </c>
      <c r="P613" s="365" t="n">
        <v>0</v>
      </c>
    </row>
    <row r="614" customFormat="false" ht="15" hidden="true" customHeight="false" outlineLevel="0" collapsed="false">
      <c r="B614" s="360" t="s">
        <v>3593</v>
      </c>
      <c r="C614" s="385" t="n">
        <v>0</v>
      </c>
      <c r="D614" s="385" t="n">
        <v>0</v>
      </c>
      <c r="E614" s="385" t="n">
        <v>1</v>
      </c>
      <c r="F614" s="365" t="n">
        <v>1</v>
      </c>
      <c r="G614" s="380" t="n">
        <v>0</v>
      </c>
      <c r="H614" s="358" t="n">
        <v>0</v>
      </c>
      <c r="I614" s="358" t="n">
        <v>0</v>
      </c>
      <c r="J614" s="358" t="n">
        <v>0</v>
      </c>
      <c r="K614" s="358" t="n">
        <v>0</v>
      </c>
      <c r="L614" s="358" t="n">
        <v>0</v>
      </c>
      <c r="M614" s="385" t="n">
        <v>0</v>
      </c>
      <c r="N614" s="385" t="n">
        <v>0</v>
      </c>
      <c r="O614" s="385" t="n">
        <v>1</v>
      </c>
      <c r="P614" s="365" t="n">
        <v>1</v>
      </c>
    </row>
    <row r="615" customFormat="false" ht="15" hidden="true" customHeight="false" outlineLevel="0" collapsed="false">
      <c r="B615" s="360" t="s">
        <v>3594</v>
      </c>
      <c r="C615" s="385" t="n">
        <v>0</v>
      </c>
      <c r="D615" s="385" t="n">
        <v>0</v>
      </c>
      <c r="E615" s="385" t="n">
        <v>1</v>
      </c>
      <c r="F615" s="365" t="n">
        <v>1</v>
      </c>
      <c r="G615" s="380" t="n">
        <v>0</v>
      </c>
      <c r="H615" s="358" t="n">
        <v>0</v>
      </c>
      <c r="I615" s="358" t="n">
        <v>0</v>
      </c>
      <c r="J615" s="358" t="n">
        <v>0</v>
      </c>
      <c r="K615" s="358" t="n">
        <v>0</v>
      </c>
      <c r="L615" s="358" t="n">
        <v>0</v>
      </c>
      <c r="M615" s="385" t="n">
        <v>0</v>
      </c>
      <c r="N615" s="385" t="n">
        <v>0</v>
      </c>
      <c r="O615" s="385" t="n">
        <v>1</v>
      </c>
      <c r="P615" s="365" t="n">
        <v>1</v>
      </c>
    </row>
    <row r="616" customFormat="false" ht="15" hidden="true" customHeight="false" outlineLevel="0" collapsed="false">
      <c r="B616" s="360" t="s">
        <v>3010</v>
      </c>
      <c r="C616" s="385" t="n">
        <v>1</v>
      </c>
      <c r="D616" s="385" t="n">
        <v>0</v>
      </c>
      <c r="E616" s="385" t="n">
        <v>0</v>
      </c>
      <c r="F616" s="365" t="n">
        <v>1</v>
      </c>
      <c r="G616" s="380" t="n">
        <v>0</v>
      </c>
      <c r="H616" s="358" t="n">
        <v>0</v>
      </c>
      <c r="I616" s="358" t="n">
        <v>0</v>
      </c>
      <c r="J616" s="358" t="n">
        <v>0</v>
      </c>
      <c r="K616" s="358" t="n">
        <v>0</v>
      </c>
      <c r="L616" s="358" t="n">
        <v>0</v>
      </c>
      <c r="M616" s="385" t="n">
        <v>1</v>
      </c>
      <c r="N616" s="385" t="n">
        <v>0</v>
      </c>
      <c r="O616" s="385" t="n">
        <v>0</v>
      </c>
      <c r="P616" s="365" t="n">
        <v>1</v>
      </c>
    </row>
    <row r="617" customFormat="false" ht="15" hidden="true" customHeight="false" outlineLevel="0" collapsed="false">
      <c r="B617" s="360" t="s">
        <v>3011</v>
      </c>
      <c r="C617" s="385" t="n">
        <v>1</v>
      </c>
      <c r="D617" s="385" t="n">
        <v>0</v>
      </c>
      <c r="E617" s="385" t="n">
        <v>0</v>
      </c>
      <c r="F617" s="365" t="n">
        <v>1</v>
      </c>
      <c r="G617" s="380" t="n">
        <v>0</v>
      </c>
      <c r="H617" s="358" t="n">
        <v>0</v>
      </c>
      <c r="I617" s="358" t="n">
        <v>0</v>
      </c>
      <c r="J617" s="358" t="n">
        <v>0</v>
      </c>
      <c r="K617" s="358" t="n">
        <v>0</v>
      </c>
      <c r="L617" s="358" t="n">
        <v>0</v>
      </c>
      <c r="M617" s="385" t="n">
        <v>1</v>
      </c>
      <c r="N617" s="385" t="n">
        <v>0</v>
      </c>
      <c r="O617" s="385" t="n">
        <v>0</v>
      </c>
      <c r="P617" s="365" t="n">
        <v>1</v>
      </c>
    </row>
    <row r="618" customFormat="false" ht="15" hidden="true" customHeight="false" outlineLevel="0" collapsed="false">
      <c r="B618" s="360" t="s">
        <v>3012</v>
      </c>
      <c r="C618" s="385" t="n">
        <v>1</v>
      </c>
      <c r="D618" s="385" t="n">
        <v>0</v>
      </c>
      <c r="E618" s="385" t="n">
        <v>0</v>
      </c>
      <c r="F618" s="365" t="n">
        <v>1</v>
      </c>
      <c r="G618" s="380" t="n">
        <v>0</v>
      </c>
      <c r="H618" s="358" t="n">
        <v>0</v>
      </c>
      <c r="I618" s="358" t="n">
        <v>0</v>
      </c>
      <c r="J618" s="358" t="n">
        <v>0</v>
      </c>
      <c r="K618" s="358" t="n">
        <v>0</v>
      </c>
      <c r="L618" s="358" t="n">
        <v>0</v>
      </c>
      <c r="M618" s="385" t="n">
        <v>1</v>
      </c>
      <c r="N618" s="385" t="n">
        <v>0</v>
      </c>
      <c r="O618" s="385" t="n">
        <v>0</v>
      </c>
      <c r="P618" s="365" t="n">
        <v>1</v>
      </c>
    </row>
    <row r="619" customFormat="false" ht="15" hidden="true" customHeight="false" outlineLevel="0" collapsed="false">
      <c r="B619" s="360" t="s">
        <v>3013</v>
      </c>
      <c r="C619" s="385" t="n">
        <v>1</v>
      </c>
      <c r="D619" s="385" t="n">
        <v>0</v>
      </c>
      <c r="E619" s="385" t="n">
        <v>0</v>
      </c>
      <c r="F619" s="365" t="n">
        <v>1</v>
      </c>
      <c r="G619" s="380" t="n">
        <v>0</v>
      </c>
      <c r="H619" s="358" t="n">
        <v>0</v>
      </c>
      <c r="I619" s="358" t="n">
        <v>0</v>
      </c>
      <c r="J619" s="358" t="n">
        <v>0</v>
      </c>
      <c r="K619" s="358" t="n">
        <v>0</v>
      </c>
      <c r="L619" s="358" t="n">
        <v>0</v>
      </c>
      <c r="M619" s="385" t="n">
        <v>1</v>
      </c>
      <c r="N619" s="385" t="n">
        <v>0</v>
      </c>
      <c r="O619" s="385" t="n">
        <v>0</v>
      </c>
      <c r="P619" s="365" t="n">
        <v>1</v>
      </c>
    </row>
    <row r="620" customFormat="false" ht="15" hidden="true" customHeight="false" outlineLevel="0" collapsed="false">
      <c r="B620" s="360" t="s">
        <v>3014</v>
      </c>
      <c r="C620" s="385" t="n">
        <v>1</v>
      </c>
      <c r="D620" s="385" t="n">
        <v>0</v>
      </c>
      <c r="E620" s="385" t="n">
        <v>0</v>
      </c>
      <c r="F620" s="365" t="n">
        <v>1</v>
      </c>
      <c r="G620" s="380" t="n">
        <v>0</v>
      </c>
      <c r="H620" s="358" t="n">
        <v>0</v>
      </c>
      <c r="I620" s="358" t="n">
        <v>0</v>
      </c>
      <c r="J620" s="358" t="n">
        <v>0</v>
      </c>
      <c r="K620" s="358" t="n">
        <v>0</v>
      </c>
      <c r="L620" s="358" t="n">
        <v>0</v>
      </c>
      <c r="M620" s="385" t="n">
        <v>1</v>
      </c>
      <c r="N620" s="385" t="n">
        <v>0</v>
      </c>
      <c r="O620" s="385" t="n">
        <v>0</v>
      </c>
      <c r="P620" s="365" t="n">
        <v>1</v>
      </c>
    </row>
    <row r="621" customFormat="false" ht="15" hidden="true" customHeight="false" outlineLevel="0" collapsed="false">
      <c r="B621" s="360" t="s">
        <v>3015</v>
      </c>
      <c r="C621" s="385" t="n">
        <v>1</v>
      </c>
      <c r="D621" s="385" t="n">
        <v>0</v>
      </c>
      <c r="E621" s="385" t="n">
        <v>0</v>
      </c>
      <c r="F621" s="365" t="n">
        <v>1</v>
      </c>
      <c r="G621" s="380" t="n">
        <v>0</v>
      </c>
      <c r="H621" s="358" t="n">
        <v>0</v>
      </c>
      <c r="I621" s="358" t="n">
        <v>0</v>
      </c>
      <c r="J621" s="358" t="n">
        <v>0</v>
      </c>
      <c r="K621" s="358" t="n">
        <v>0</v>
      </c>
      <c r="L621" s="358" t="n">
        <v>0</v>
      </c>
      <c r="M621" s="385" t="n">
        <v>1</v>
      </c>
      <c r="N621" s="385" t="n">
        <v>0</v>
      </c>
      <c r="O621" s="385" t="n">
        <v>0</v>
      </c>
      <c r="P621" s="365" t="n">
        <v>1</v>
      </c>
    </row>
    <row r="622" customFormat="false" ht="15" hidden="true" customHeight="false" outlineLevel="0" collapsed="false">
      <c r="B622" s="360" t="s">
        <v>3016</v>
      </c>
      <c r="C622" s="385" t="n">
        <v>1</v>
      </c>
      <c r="D622" s="385" t="n">
        <v>0</v>
      </c>
      <c r="E622" s="385" t="n">
        <v>0</v>
      </c>
      <c r="F622" s="365" t="n">
        <v>1</v>
      </c>
      <c r="G622" s="380" t="n">
        <v>0</v>
      </c>
      <c r="H622" s="358" t="n">
        <v>0</v>
      </c>
      <c r="I622" s="358" t="n">
        <v>0</v>
      </c>
      <c r="J622" s="358" t="n">
        <v>0</v>
      </c>
      <c r="K622" s="358" t="n">
        <v>0</v>
      </c>
      <c r="L622" s="358" t="n">
        <v>0</v>
      </c>
      <c r="M622" s="385" t="n">
        <v>1</v>
      </c>
      <c r="N622" s="385" t="n">
        <v>0</v>
      </c>
      <c r="O622" s="385" t="n">
        <v>0</v>
      </c>
      <c r="P622" s="365" t="n">
        <v>1</v>
      </c>
    </row>
    <row r="623" customFormat="false" ht="15" hidden="true" customHeight="false" outlineLevel="0" collapsed="false">
      <c r="B623" s="360" t="s">
        <v>3017</v>
      </c>
      <c r="C623" s="385" t="n">
        <v>1</v>
      </c>
      <c r="D623" s="385" t="n">
        <v>0</v>
      </c>
      <c r="E623" s="385" t="n">
        <v>0</v>
      </c>
      <c r="F623" s="365" t="n">
        <v>1</v>
      </c>
      <c r="G623" s="380" t="n">
        <v>0</v>
      </c>
      <c r="H623" s="358" t="n">
        <v>0</v>
      </c>
      <c r="I623" s="358" t="n">
        <v>0</v>
      </c>
      <c r="J623" s="358" t="n">
        <v>0</v>
      </c>
      <c r="K623" s="358" t="n">
        <v>0</v>
      </c>
      <c r="L623" s="358" t="n">
        <v>0</v>
      </c>
      <c r="M623" s="385" t="n">
        <v>1</v>
      </c>
      <c r="N623" s="385" t="n">
        <v>0</v>
      </c>
      <c r="O623" s="385" t="n">
        <v>0</v>
      </c>
      <c r="P623" s="365" t="n">
        <v>1</v>
      </c>
    </row>
    <row r="624" customFormat="false" ht="15" hidden="true" customHeight="false" outlineLevel="0" collapsed="false">
      <c r="B624" s="360" t="s">
        <v>3018</v>
      </c>
      <c r="C624" s="385" t="n">
        <v>1</v>
      </c>
      <c r="D624" s="385" t="n">
        <v>0</v>
      </c>
      <c r="E624" s="385" t="n">
        <v>0</v>
      </c>
      <c r="F624" s="365" t="n">
        <v>1</v>
      </c>
      <c r="G624" s="380" t="n">
        <v>0</v>
      </c>
      <c r="H624" s="358" t="n">
        <v>0</v>
      </c>
      <c r="I624" s="358" t="n">
        <v>0</v>
      </c>
      <c r="J624" s="358" t="n">
        <v>0</v>
      </c>
      <c r="K624" s="358" t="n">
        <v>0</v>
      </c>
      <c r="L624" s="358" t="n">
        <v>0</v>
      </c>
      <c r="M624" s="385" t="n">
        <v>1</v>
      </c>
      <c r="N624" s="385" t="n">
        <v>0</v>
      </c>
      <c r="O624" s="385" t="n">
        <v>0</v>
      </c>
      <c r="P624" s="365" t="n">
        <v>1</v>
      </c>
    </row>
    <row r="625" customFormat="false" ht="15" hidden="true" customHeight="false" outlineLevel="0" collapsed="false">
      <c r="B625" s="360" t="s">
        <v>3019</v>
      </c>
      <c r="C625" s="385" t="n">
        <v>1</v>
      </c>
      <c r="D625" s="385" t="n">
        <v>0</v>
      </c>
      <c r="E625" s="385" t="n">
        <v>0</v>
      </c>
      <c r="F625" s="365" t="n">
        <v>1</v>
      </c>
      <c r="G625" s="380" t="n">
        <v>0</v>
      </c>
      <c r="H625" s="358" t="n">
        <v>0</v>
      </c>
      <c r="I625" s="358" t="n">
        <v>0</v>
      </c>
      <c r="J625" s="358" t="n">
        <v>0</v>
      </c>
      <c r="K625" s="358" t="n">
        <v>0</v>
      </c>
      <c r="L625" s="358" t="n">
        <v>0</v>
      </c>
      <c r="M625" s="385" t="n">
        <v>1</v>
      </c>
      <c r="N625" s="385" t="n">
        <v>0</v>
      </c>
      <c r="O625" s="385" t="n">
        <v>0</v>
      </c>
      <c r="P625" s="365" t="n">
        <v>1</v>
      </c>
    </row>
    <row r="626" customFormat="false" ht="15" hidden="true" customHeight="false" outlineLevel="0" collapsed="false">
      <c r="B626" s="360" t="s">
        <v>3020</v>
      </c>
      <c r="C626" s="385" t="n">
        <v>1</v>
      </c>
      <c r="D626" s="385" t="n">
        <v>0</v>
      </c>
      <c r="E626" s="385" t="n">
        <v>0</v>
      </c>
      <c r="F626" s="365" t="n">
        <v>1</v>
      </c>
      <c r="G626" s="380" t="n">
        <v>0</v>
      </c>
      <c r="H626" s="358" t="n">
        <v>0</v>
      </c>
      <c r="I626" s="358" t="n">
        <v>0</v>
      </c>
      <c r="J626" s="358" t="n">
        <v>0</v>
      </c>
      <c r="K626" s="358" t="n">
        <v>0</v>
      </c>
      <c r="L626" s="358" t="n">
        <v>0</v>
      </c>
      <c r="M626" s="385" t="n">
        <v>1</v>
      </c>
      <c r="N626" s="385" t="n">
        <v>0</v>
      </c>
      <c r="O626" s="385" t="n">
        <v>0</v>
      </c>
      <c r="P626" s="365" t="n">
        <v>1</v>
      </c>
    </row>
    <row r="627" customFormat="false" ht="15" hidden="true" customHeight="false" outlineLevel="0" collapsed="false">
      <c r="B627" s="360" t="s">
        <v>3021</v>
      </c>
      <c r="C627" s="385" t="n">
        <v>1</v>
      </c>
      <c r="D627" s="385" t="n">
        <v>0</v>
      </c>
      <c r="E627" s="385" t="n">
        <v>0</v>
      </c>
      <c r="F627" s="365" t="n">
        <v>1</v>
      </c>
      <c r="G627" s="380" t="n">
        <v>0</v>
      </c>
      <c r="H627" s="358" t="n">
        <v>0</v>
      </c>
      <c r="I627" s="358" t="n">
        <v>0</v>
      </c>
      <c r="J627" s="358" t="n">
        <v>0</v>
      </c>
      <c r="K627" s="358" t="n">
        <v>0</v>
      </c>
      <c r="L627" s="358" t="n">
        <v>0</v>
      </c>
      <c r="M627" s="385" t="n">
        <v>1</v>
      </c>
      <c r="N627" s="385" t="n">
        <v>0</v>
      </c>
      <c r="O627" s="385" t="n">
        <v>0</v>
      </c>
      <c r="P627" s="365" t="n">
        <v>1</v>
      </c>
    </row>
    <row r="628" customFormat="false" ht="15" hidden="true" customHeight="false" outlineLevel="0" collapsed="false">
      <c r="B628" s="360" t="s">
        <v>3022</v>
      </c>
      <c r="C628" s="385" t="n">
        <v>1</v>
      </c>
      <c r="D628" s="385" t="n">
        <v>0</v>
      </c>
      <c r="E628" s="385" t="n">
        <v>0</v>
      </c>
      <c r="F628" s="365" t="n">
        <v>1</v>
      </c>
      <c r="G628" s="380" t="n">
        <v>0</v>
      </c>
      <c r="H628" s="358" t="n">
        <v>0</v>
      </c>
      <c r="I628" s="358" t="n">
        <v>0</v>
      </c>
      <c r="J628" s="358" t="n">
        <v>0</v>
      </c>
      <c r="K628" s="358" t="n">
        <v>0</v>
      </c>
      <c r="L628" s="358" t="n">
        <v>0</v>
      </c>
      <c r="M628" s="385" t="n">
        <v>1</v>
      </c>
      <c r="N628" s="385" t="n">
        <v>0</v>
      </c>
      <c r="O628" s="385" t="n">
        <v>0</v>
      </c>
      <c r="P628" s="365" t="n">
        <v>1</v>
      </c>
    </row>
    <row r="629" customFormat="false" ht="15" hidden="true" customHeight="false" outlineLevel="0" collapsed="false">
      <c r="B629" s="360" t="s">
        <v>3023</v>
      </c>
      <c r="C629" s="385" t="n">
        <v>1</v>
      </c>
      <c r="D629" s="385" t="n">
        <v>0</v>
      </c>
      <c r="E629" s="385" t="n">
        <v>0</v>
      </c>
      <c r="F629" s="365" t="n">
        <v>1</v>
      </c>
      <c r="G629" s="380" t="n">
        <v>0</v>
      </c>
      <c r="H629" s="358" t="n">
        <v>0</v>
      </c>
      <c r="I629" s="358" t="n">
        <v>0</v>
      </c>
      <c r="J629" s="358" t="n">
        <v>0</v>
      </c>
      <c r="K629" s="358" t="n">
        <v>0</v>
      </c>
      <c r="L629" s="358" t="n">
        <v>0</v>
      </c>
      <c r="M629" s="385" t="n">
        <v>1</v>
      </c>
      <c r="N629" s="385" t="n">
        <v>0</v>
      </c>
      <c r="O629" s="385" t="n">
        <v>0</v>
      </c>
      <c r="P629" s="365" t="n">
        <v>1</v>
      </c>
    </row>
    <row r="630" customFormat="false" ht="15" hidden="true" customHeight="false" outlineLevel="0" collapsed="false">
      <c r="B630" s="360" t="s">
        <v>3024</v>
      </c>
      <c r="C630" s="385" t="n">
        <v>1</v>
      </c>
      <c r="D630" s="385" t="n">
        <v>0</v>
      </c>
      <c r="E630" s="385" t="n">
        <v>0</v>
      </c>
      <c r="F630" s="365" t="n">
        <v>1</v>
      </c>
      <c r="G630" s="380" t="n">
        <v>0</v>
      </c>
      <c r="H630" s="358" t="n">
        <v>0</v>
      </c>
      <c r="I630" s="358" t="n">
        <v>0</v>
      </c>
      <c r="J630" s="358" t="n">
        <v>0</v>
      </c>
      <c r="K630" s="358" t="n">
        <v>0</v>
      </c>
      <c r="L630" s="358" t="n">
        <v>0</v>
      </c>
      <c r="M630" s="385" t="n">
        <v>1</v>
      </c>
      <c r="N630" s="385" t="n">
        <v>0</v>
      </c>
      <c r="O630" s="385" t="n">
        <v>0</v>
      </c>
      <c r="P630" s="365" t="n">
        <v>1</v>
      </c>
    </row>
    <row r="631" customFormat="false" ht="15" hidden="true" customHeight="false" outlineLevel="0" collapsed="false">
      <c r="B631" s="360" t="s">
        <v>3025</v>
      </c>
      <c r="C631" s="385" t="n">
        <v>1</v>
      </c>
      <c r="D631" s="385" t="n">
        <v>0</v>
      </c>
      <c r="E631" s="385" t="n">
        <v>0</v>
      </c>
      <c r="F631" s="365" t="n">
        <v>1</v>
      </c>
      <c r="G631" s="380" t="n">
        <v>0</v>
      </c>
      <c r="H631" s="358" t="n">
        <v>0</v>
      </c>
      <c r="I631" s="358" t="n">
        <v>0</v>
      </c>
      <c r="J631" s="358" t="n">
        <v>0</v>
      </c>
      <c r="K631" s="358" t="n">
        <v>0</v>
      </c>
      <c r="L631" s="358" t="n">
        <v>0</v>
      </c>
      <c r="M631" s="385" t="n">
        <v>1</v>
      </c>
      <c r="N631" s="385" t="n">
        <v>0</v>
      </c>
      <c r="O631" s="385" t="n">
        <v>0</v>
      </c>
      <c r="P631" s="365" t="n">
        <v>1</v>
      </c>
    </row>
    <row r="632" customFormat="false" ht="15" hidden="true" customHeight="false" outlineLevel="0" collapsed="false">
      <c r="B632" s="360" t="s">
        <v>3026</v>
      </c>
      <c r="C632" s="385" t="n">
        <v>1</v>
      </c>
      <c r="D632" s="385" t="n">
        <v>0</v>
      </c>
      <c r="E632" s="385" t="n">
        <v>0</v>
      </c>
      <c r="F632" s="365" t="n">
        <v>1</v>
      </c>
      <c r="G632" s="380" t="n">
        <v>0</v>
      </c>
      <c r="H632" s="358" t="n">
        <v>0</v>
      </c>
      <c r="I632" s="358" t="n">
        <v>0</v>
      </c>
      <c r="J632" s="358" t="n">
        <v>0</v>
      </c>
      <c r="K632" s="358" t="n">
        <v>0</v>
      </c>
      <c r="L632" s="358" t="n">
        <v>0</v>
      </c>
      <c r="M632" s="385" t="n">
        <v>1</v>
      </c>
      <c r="N632" s="385" t="n">
        <v>0</v>
      </c>
      <c r="O632" s="385" t="n">
        <v>0</v>
      </c>
      <c r="P632" s="365" t="n">
        <v>1</v>
      </c>
    </row>
    <row r="633" customFormat="false" ht="15" hidden="true" customHeight="false" outlineLevel="0" collapsed="false">
      <c r="B633" s="360" t="s">
        <v>3027</v>
      </c>
      <c r="C633" s="385" t="n">
        <v>1</v>
      </c>
      <c r="D633" s="385" t="n">
        <v>0</v>
      </c>
      <c r="E633" s="385" t="n">
        <v>0</v>
      </c>
      <c r="F633" s="365" t="n">
        <v>1</v>
      </c>
      <c r="G633" s="380" t="n">
        <v>0</v>
      </c>
      <c r="H633" s="358" t="n">
        <v>0</v>
      </c>
      <c r="I633" s="358" t="n">
        <v>0</v>
      </c>
      <c r="J633" s="358" t="n">
        <v>0</v>
      </c>
      <c r="K633" s="358" t="n">
        <v>0</v>
      </c>
      <c r="L633" s="358" t="n">
        <v>0</v>
      </c>
      <c r="M633" s="385" t="n">
        <v>1</v>
      </c>
      <c r="N633" s="385" t="n">
        <v>0</v>
      </c>
      <c r="O633" s="385" t="n">
        <v>0</v>
      </c>
      <c r="P633" s="365" t="n">
        <v>1</v>
      </c>
    </row>
    <row r="634" customFormat="false" ht="15" hidden="true" customHeight="false" outlineLevel="0" collapsed="false">
      <c r="B634" s="360" t="s">
        <v>3028</v>
      </c>
      <c r="C634" s="385" t="n">
        <v>1</v>
      </c>
      <c r="D634" s="385" t="n">
        <v>0</v>
      </c>
      <c r="E634" s="385" t="n">
        <v>0</v>
      </c>
      <c r="F634" s="365" t="n">
        <v>1</v>
      </c>
      <c r="G634" s="380" t="n">
        <v>0</v>
      </c>
      <c r="H634" s="358" t="n">
        <v>0</v>
      </c>
      <c r="I634" s="358" t="n">
        <v>0</v>
      </c>
      <c r="J634" s="358" t="n">
        <v>0</v>
      </c>
      <c r="K634" s="358" t="n">
        <v>0</v>
      </c>
      <c r="L634" s="358" t="n">
        <v>0</v>
      </c>
      <c r="M634" s="385" t="n">
        <v>1</v>
      </c>
      <c r="N634" s="385" t="n">
        <v>0</v>
      </c>
      <c r="O634" s="385" t="n">
        <v>0</v>
      </c>
      <c r="P634" s="365" t="n">
        <v>1</v>
      </c>
    </row>
    <row r="635" customFormat="false" ht="15" hidden="true" customHeight="false" outlineLevel="0" collapsed="false">
      <c r="B635" s="360" t="s">
        <v>3029</v>
      </c>
      <c r="C635" s="385" t="n">
        <v>1</v>
      </c>
      <c r="D635" s="385" t="n">
        <v>0</v>
      </c>
      <c r="E635" s="385" t="n">
        <v>0</v>
      </c>
      <c r="F635" s="365" t="n">
        <v>1</v>
      </c>
      <c r="G635" s="380" t="n">
        <v>0</v>
      </c>
      <c r="H635" s="358" t="n">
        <v>0</v>
      </c>
      <c r="I635" s="358" t="n">
        <v>0</v>
      </c>
      <c r="J635" s="358" t="n">
        <v>0</v>
      </c>
      <c r="K635" s="358" t="n">
        <v>0</v>
      </c>
      <c r="L635" s="358" t="n">
        <v>0</v>
      </c>
      <c r="M635" s="385" t="n">
        <v>1</v>
      </c>
      <c r="N635" s="385" t="n">
        <v>0</v>
      </c>
      <c r="O635" s="385" t="n">
        <v>0</v>
      </c>
      <c r="P635" s="365" t="n">
        <v>1</v>
      </c>
    </row>
    <row r="636" customFormat="false" ht="15" hidden="true" customHeight="false" outlineLevel="0" collapsed="false">
      <c r="B636" s="360" t="s">
        <v>3030</v>
      </c>
      <c r="C636" s="385" t="n">
        <v>1</v>
      </c>
      <c r="D636" s="385" t="n">
        <v>0</v>
      </c>
      <c r="E636" s="385" t="n">
        <v>0</v>
      </c>
      <c r="F636" s="365" t="n">
        <v>1</v>
      </c>
      <c r="G636" s="380" t="n">
        <v>0</v>
      </c>
      <c r="H636" s="358" t="n">
        <v>0</v>
      </c>
      <c r="I636" s="358" t="n">
        <v>0</v>
      </c>
      <c r="J636" s="358" t="n">
        <v>0</v>
      </c>
      <c r="K636" s="358" t="n">
        <v>0</v>
      </c>
      <c r="L636" s="358" t="n">
        <v>0</v>
      </c>
      <c r="M636" s="385" t="n">
        <v>1</v>
      </c>
      <c r="N636" s="385" t="n">
        <v>0</v>
      </c>
      <c r="O636" s="385" t="n">
        <v>0</v>
      </c>
      <c r="P636" s="365" t="n">
        <v>1</v>
      </c>
    </row>
    <row r="637" customFormat="false" ht="15" hidden="true" customHeight="false" outlineLevel="0" collapsed="false">
      <c r="B637" s="360" t="s">
        <v>3031</v>
      </c>
      <c r="C637" s="385" t="n">
        <v>1</v>
      </c>
      <c r="D637" s="385" t="n">
        <v>0</v>
      </c>
      <c r="E637" s="385" t="n">
        <v>0</v>
      </c>
      <c r="F637" s="365" t="n">
        <v>1</v>
      </c>
      <c r="G637" s="380" t="n">
        <v>0</v>
      </c>
      <c r="H637" s="358" t="n">
        <v>0</v>
      </c>
      <c r="I637" s="358" t="n">
        <v>0</v>
      </c>
      <c r="J637" s="358" t="n">
        <v>0</v>
      </c>
      <c r="K637" s="358" t="n">
        <v>0</v>
      </c>
      <c r="L637" s="358" t="n">
        <v>0</v>
      </c>
      <c r="M637" s="385" t="n">
        <v>1</v>
      </c>
      <c r="N637" s="385" t="n">
        <v>0</v>
      </c>
      <c r="O637" s="385" t="n">
        <v>0</v>
      </c>
      <c r="P637" s="365" t="n">
        <v>1</v>
      </c>
    </row>
    <row r="638" customFormat="false" ht="15" hidden="true" customHeight="false" outlineLevel="0" collapsed="false">
      <c r="B638" s="360" t="s">
        <v>3032</v>
      </c>
      <c r="C638" s="385" t="n">
        <v>1</v>
      </c>
      <c r="D638" s="385" t="n">
        <v>0</v>
      </c>
      <c r="E638" s="385" t="n">
        <v>0</v>
      </c>
      <c r="F638" s="365" t="n">
        <v>1</v>
      </c>
      <c r="G638" s="380" t="n">
        <v>0</v>
      </c>
      <c r="H638" s="358" t="n">
        <v>0</v>
      </c>
      <c r="I638" s="358" t="n">
        <v>0</v>
      </c>
      <c r="J638" s="358" t="n">
        <v>0</v>
      </c>
      <c r="K638" s="358" t="n">
        <v>0</v>
      </c>
      <c r="L638" s="358" t="n">
        <v>0</v>
      </c>
      <c r="M638" s="385" t="n">
        <v>1</v>
      </c>
      <c r="N638" s="385" t="n">
        <v>0</v>
      </c>
      <c r="O638" s="385" t="n">
        <v>0</v>
      </c>
      <c r="P638" s="365" t="n">
        <v>1</v>
      </c>
    </row>
    <row r="639" customFormat="false" ht="15" hidden="true" customHeight="false" outlineLevel="0" collapsed="false">
      <c r="B639" s="360" t="s">
        <v>3033</v>
      </c>
      <c r="C639" s="385" t="n">
        <v>1</v>
      </c>
      <c r="D639" s="385" t="n">
        <v>0</v>
      </c>
      <c r="E639" s="385" t="n">
        <v>0</v>
      </c>
      <c r="F639" s="365" t="n">
        <v>1</v>
      </c>
      <c r="G639" s="380" t="n">
        <v>0</v>
      </c>
      <c r="H639" s="358" t="n">
        <v>0</v>
      </c>
      <c r="I639" s="358" t="n">
        <v>0</v>
      </c>
      <c r="J639" s="358" t="n">
        <v>0</v>
      </c>
      <c r="K639" s="358" t="n">
        <v>0</v>
      </c>
      <c r="L639" s="358" t="n">
        <v>0</v>
      </c>
      <c r="M639" s="385" t="n">
        <v>1</v>
      </c>
      <c r="N639" s="385" t="n">
        <v>0</v>
      </c>
      <c r="O639" s="385" t="n">
        <v>0</v>
      </c>
      <c r="P639" s="365" t="n">
        <v>1</v>
      </c>
    </row>
    <row r="640" customFormat="false" ht="15" hidden="true" customHeight="false" outlineLevel="0" collapsed="false">
      <c r="B640" s="360" t="s">
        <v>3034</v>
      </c>
      <c r="C640" s="385" t="n">
        <v>1</v>
      </c>
      <c r="D640" s="385" t="n">
        <v>0</v>
      </c>
      <c r="E640" s="385" t="n">
        <v>0</v>
      </c>
      <c r="F640" s="365" t="n">
        <v>1</v>
      </c>
      <c r="G640" s="380" t="n">
        <v>0</v>
      </c>
      <c r="H640" s="358" t="n">
        <v>0</v>
      </c>
      <c r="I640" s="358" t="n">
        <v>0</v>
      </c>
      <c r="J640" s="358" t="n">
        <v>0</v>
      </c>
      <c r="K640" s="358" t="n">
        <v>0</v>
      </c>
      <c r="L640" s="358" t="n">
        <v>0</v>
      </c>
      <c r="M640" s="385" t="n">
        <v>1</v>
      </c>
      <c r="N640" s="385" t="n">
        <v>0</v>
      </c>
      <c r="O640" s="385" t="n">
        <v>0</v>
      </c>
      <c r="P640" s="365" t="n">
        <v>1</v>
      </c>
    </row>
    <row r="641" customFormat="false" ht="15" hidden="true" customHeight="false" outlineLevel="0" collapsed="false">
      <c r="B641" s="360" t="s">
        <v>3035</v>
      </c>
      <c r="C641" s="385" t="n">
        <v>1</v>
      </c>
      <c r="D641" s="385" t="n">
        <v>0</v>
      </c>
      <c r="E641" s="385" t="n">
        <v>0</v>
      </c>
      <c r="F641" s="365" t="n">
        <v>1</v>
      </c>
      <c r="G641" s="380" t="n">
        <v>0</v>
      </c>
      <c r="H641" s="358" t="n">
        <v>0</v>
      </c>
      <c r="I641" s="358" t="n">
        <v>0</v>
      </c>
      <c r="J641" s="358" t="n">
        <v>0</v>
      </c>
      <c r="K641" s="358" t="n">
        <v>0</v>
      </c>
      <c r="L641" s="358" t="n">
        <v>0</v>
      </c>
      <c r="M641" s="385" t="n">
        <v>1</v>
      </c>
      <c r="N641" s="385" t="n">
        <v>0</v>
      </c>
      <c r="O641" s="385" t="n">
        <v>0</v>
      </c>
      <c r="P641" s="365" t="n">
        <v>1</v>
      </c>
    </row>
    <row r="642" customFormat="false" ht="15" hidden="true" customHeight="false" outlineLevel="0" collapsed="false">
      <c r="B642" s="360" t="s">
        <v>3036</v>
      </c>
      <c r="C642" s="385" t="n">
        <v>1</v>
      </c>
      <c r="D642" s="385" t="n">
        <v>0</v>
      </c>
      <c r="E642" s="385" t="n">
        <v>0</v>
      </c>
      <c r="F642" s="365" t="n">
        <v>1</v>
      </c>
      <c r="G642" s="380" t="n">
        <v>0</v>
      </c>
      <c r="H642" s="358" t="n">
        <v>0</v>
      </c>
      <c r="I642" s="358" t="n">
        <v>0</v>
      </c>
      <c r="J642" s="358" t="n">
        <v>0</v>
      </c>
      <c r="K642" s="358" t="n">
        <v>0</v>
      </c>
      <c r="L642" s="358" t="n">
        <v>0</v>
      </c>
      <c r="M642" s="385" t="n">
        <v>1</v>
      </c>
      <c r="N642" s="385" t="n">
        <v>0</v>
      </c>
      <c r="O642" s="385" t="n">
        <v>0</v>
      </c>
      <c r="P642" s="365" t="n">
        <v>1</v>
      </c>
    </row>
    <row r="643" customFormat="false" ht="15" hidden="true" customHeight="false" outlineLevel="0" collapsed="false">
      <c r="B643" s="360" t="s">
        <v>3037</v>
      </c>
      <c r="C643" s="385" t="n">
        <v>1</v>
      </c>
      <c r="D643" s="385" t="n">
        <v>0</v>
      </c>
      <c r="E643" s="385" t="n">
        <v>0</v>
      </c>
      <c r="F643" s="365" t="n">
        <v>1</v>
      </c>
      <c r="G643" s="380" t="n">
        <v>0</v>
      </c>
      <c r="H643" s="358" t="n">
        <v>0</v>
      </c>
      <c r="I643" s="358" t="n">
        <v>0</v>
      </c>
      <c r="J643" s="358" t="n">
        <v>0</v>
      </c>
      <c r="K643" s="358" t="n">
        <v>0</v>
      </c>
      <c r="L643" s="358" t="n">
        <v>0</v>
      </c>
      <c r="M643" s="385" t="n">
        <v>1</v>
      </c>
      <c r="N643" s="385" t="n">
        <v>0</v>
      </c>
      <c r="O643" s="385" t="n">
        <v>0</v>
      </c>
      <c r="P643" s="365" t="n">
        <v>1</v>
      </c>
    </row>
    <row r="644" customFormat="false" ht="15" hidden="true" customHeight="false" outlineLevel="0" collapsed="false">
      <c r="B644" s="360" t="s">
        <v>3038</v>
      </c>
      <c r="C644" s="385" t="n">
        <v>1</v>
      </c>
      <c r="D644" s="385" t="n">
        <v>0</v>
      </c>
      <c r="E644" s="385" t="n">
        <v>0</v>
      </c>
      <c r="F644" s="365" t="n">
        <v>1</v>
      </c>
      <c r="G644" s="380" t="n">
        <v>0</v>
      </c>
      <c r="H644" s="358" t="n">
        <v>0</v>
      </c>
      <c r="I644" s="358" t="n">
        <v>0</v>
      </c>
      <c r="J644" s="358" t="n">
        <v>0</v>
      </c>
      <c r="K644" s="358" t="n">
        <v>0</v>
      </c>
      <c r="L644" s="358" t="n">
        <v>0</v>
      </c>
      <c r="M644" s="385" t="n">
        <v>1</v>
      </c>
      <c r="N644" s="385" t="n">
        <v>0</v>
      </c>
      <c r="O644" s="385" t="n">
        <v>0</v>
      </c>
      <c r="P644" s="365" t="n">
        <v>1</v>
      </c>
    </row>
    <row r="645" customFormat="false" ht="15" hidden="true" customHeight="false" outlineLevel="0" collapsed="false">
      <c r="B645" s="360" t="s">
        <v>3039</v>
      </c>
      <c r="C645" s="385" t="n">
        <v>1</v>
      </c>
      <c r="D645" s="385" t="n">
        <v>0</v>
      </c>
      <c r="E645" s="385" t="n">
        <v>0</v>
      </c>
      <c r="F645" s="365" t="n">
        <v>1</v>
      </c>
      <c r="G645" s="380" t="n">
        <v>0</v>
      </c>
      <c r="H645" s="358" t="n">
        <v>0</v>
      </c>
      <c r="I645" s="358" t="n">
        <v>0</v>
      </c>
      <c r="J645" s="358" t="n">
        <v>0</v>
      </c>
      <c r="K645" s="358" t="n">
        <v>0</v>
      </c>
      <c r="L645" s="358" t="n">
        <v>0</v>
      </c>
      <c r="M645" s="385" t="n">
        <v>1</v>
      </c>
      <c r="N645" s="385" t="n">
        <v>0</v>
      </c>
      <c r="O645" s="385" t="n">
        <v>0</v>
      </c>
      <c r="P645" s="365" t="n">
        <v>1</v>
      </c>
    </row>
    <row r="646" customFormat="false" ht="15" hidden="true" customHeight="false" outlineLevel="0" collapsed="false">
      <c r="B646" s="360" t="s">
        <v>3040</v>
      </c>
      <c r="C646" s="385" t="n">
        <v>1</v>
      </c>
      <c r="D646" s="385" t="n">
        <v>0</v>
      </c>
      <c r="E646" s="385" t="n">
        <v>0</v>
      </c>
      <c r="F646" s="365" t="n">
        <v>1</v>
      </c>
      <c r="G646" s="380" t="n">
        <v>0</v>
      </c>
      <c r="H646" s="358" t="n">
        <v>0</v>
      </c>
      <c r="I646" s="358" t="n">
        <v>0</v>
      </c>
      <c r="J646" s="358" t="n">
        <v>0</v>
      </c>
      <c r="K646" s="358" t="n">
        <v>0</v>
      </c>
      <c r="L646" s="358" t="n">
        <v>0</v>
      </c>
      <c r="M646" s="385" t="n">
        <v>1</v>
      </c>
      <c r="N646" s="385" t="n">
        <v>0</v>
      </c>
      <c r="O646" s="385" t="n">
        <v>0</v>
      </c>
      <c r="P646" s="365" t="n">
        <v>1</v>
      </c>
    </row>
    <row r="647" customFormat="false" ht="15" hidden="true" customHeight="false" outlineLevel="0" collapsed="false">
      <c r="B647" s="360" t="s">
        <v>3041</v>
      </c>
      <c r="C647" s="385" t="n">
        <v>1</v>
      </c>
      <c r="D647" s="385" t="n">
        <v>0</v>
      </c>
      <c r="E647" s="385" t="n">
        <v>0</v>
      </c>
      <c r="F647" s="365" t="n">
        <v>1</v>
      </c>
      <c r="G647" s="380" t="n">
        <v>0</v>
      </c>
      <c r="H647" s="358" t="n">
        <v>0</v>
      </c>
      <c r="I647" s="358" t="n">
        <v>0</v>
      </c>
      <c r="J647" s="358" t="n">
        <v>0</v>
      </c>
      <c r="K647" s="358" t="n">
        <v>0</v>
      </c>
      <c r="L647" s="358" t="n">
        <v>0</v>
      </c>
      <c r="M647" s="385" t="n">
        <v>1</v>
      </c>
      <c r="N647" s="385" t="n">
        <v>0</v>
      </c>
      <c r="O647" s="385" t="n">
        <v>0</v>
      </c>
      <c r="P647" s="365" t="n">
        <v>1</v>
      </c>
    </row>
    <row r="648" customFormat="false" ht="15" hidden="true" customHeight="false" outlineLevel="0" collapsed="false">
      <c r="B648" s="360" t="s">
        <v>3042</v>
      </c>
      <c r="C648" s="385" t="n">
        <v>1</v>
      </c>
      <c r="D648" s="385" t="n">
        <v>0</v>
      </c>
      <c r="E648" s="385" t="n">
        <v>0</v>
      </c>
      <c r="F648" s="365" t="n">
        <v>1</v>
      </c>
      <c r="G648" s="380" t="n">
        <v>0</v>
      </c>
      <c r="H648" s="358" t="n">
        <v>0</v>
      </c>
      <c r="I648" s="358" t="n">
        <v>0</v>
      </c>
      <c r="J648" s="358" t="n">
        <v>0</v>
      </c>
      <c r="K648" s="358" t="n">
        <v>0</v>
      </c>
      <c r="L648" s="358" t="n">
        <v>0</v>
      </c>
      <c r="M648" s="385" t="n">
        <v>1</v>
      </c>
      <c r="N648" s="385" t="n">
        <v>0</v>
      </c>
      <c r="O648" s="385" t="n">
        <v>0</v>
      </c>
      <c r="P648" s="365" t="n">
        <v>1</v>
      </c>
    </row>
    <row r="649" customFormat="false" ht="15" hidden="true" customHeight="false" outlineLevel="0" collapsed="false">
      <c r="B649" s="360" t="s">
        <v>3043</v>
      </c>
      <c r="C649" s="385" t="n">
        <v>1</v>
      </c>
      <c r="D649" s="385" t="n">
        <v>0</v>
      </c>
      <c r="E649" s="385" t="n">
        <v>0</v>
      </c>
      <c r="F649" s="365" t="n">
        <v>1</v>
      </c>
      <c r="G649" s="380" t="n">
        <v>0</v>
      </c>
      <c r="H649" s="358" t="n">
        <v>0</v>
      </c>
      <c r="I649" s="358" t="n">
        <v>0</v>
      </c>
      <c r="J649" s="358" t="n">
        <v>0</v>
      </c>
      <c r="K649" s="358" t="n">
        <v>0</v>
      </c>
      <c r="L649" s="358" t="n">
        <v>0</v>
      </c>
      <c r="M649" s="385" t="n">
        <v>1</v>
      </c>
      <c r="N649" s="385" t="n">
        <v>0</v>
      </c>
      <c r="O649" s="385" t="n">
        <v>0</v>
      </c>
      <c r="P649" s="365" t="n">
        <v>1</v>
      </c>
    </row>
    <row r="650" customFormat="false" ht="15" hidden="true" customHeight="false" outlineLevel="0" collapsed="false">
      <c r="B650" s="360" t="s">
        <v>3044</v>
      </c>
      <c r="C650" s="385" t="n">
        <v>1</v>
      </c>
      <c r="D650" s="385" t="n">
        <v>0</v>
      </c>
      <c r="E650" s="385" t="n">
        <v>0</v>
      </c>
      <c r="F650" s="365" t="n">
        <v>1</v>
      </c>
      <c r="G650" s="380" t="n">
        <v>0</v>
      </c>
      <c r="H650" s="358" t="n">
        <v>0</v>
      </c>
      <c r="I650" s="358" t="n">
        <v>0</v>
      </c>
      <c r="J650" s="358" t="n">
        <v>0</v>
      </c>
      <c r="K650" s="358" t="n">
        <v>0</v>
      </c>
      <c r="L650" s="358" t="n">
        <v>0</v>
      </c>
      <c r="M650" s="385" t="n">
        <v>1</v>
      </c>
      <c r="N650" s="385" t="n">
        <v>0</v>
      </c>
      <c r="O650" s="385" t="n">
        <v>0</v>
      </c>
      <c r="P650" s="365" t="n">
        <v>1</v>
      </c>
    </row>
    <row r="651" customFormat="false" ht="15" hidden="true" customHeight="false" outlineLevel="0" collapsed="false">
      <c r="B651" s="360" t="s">
        <v>3045</v>
      </c>
      <c r="C651" s="385" t="n">
        <v>1</v>
      </c>
      <c r="D651" s="385" t="n">
        <v>0</v>
      </c>
      <c r="E651" s="385" t="n">
        <v>0</v>
      </c>
      <c r="F651" s="365" t="n">
        <v>1</v>
      </c>
      <c r="G651" s="380" t="n">
        <v>0</v>
      </c>
      <c r="H651" s="358" t="n">
        <v>0</v>
      </c>
      <c r="I651" s="358" t="n">
        <v>0</v>
      </c>
      <c r="J651" s="358" t="n">
        <v>0</v>
      </c>
      <c r="K651" s="358" t="n">
        <v>0</v>
      </c>
      <c r="L651" s="358" t="n">
        <v>0</v>
      </c>
      <c r="M651" s="385" t="n">
        <v>1</v>
      </c>
      <c r="N651" s="385" t="n">
        <v>0</v>
      </c>
      <c r="O651" s="385" t="n">
        <v>0</v>
      </c>
      <c r="P651" s="365" t="n">
        <v>1</v>
      </c>
    </row>
    <row r="652" customFormat="false" ht="15" hidden="true" customHeight="false" outlineLevel="0" collapsed="false">
      <c r="B652" s="360" t="s">
        <v>3046</v>
      </c>
      <c r="C652" s="385" t="n">
        <v>1</v>
      </c>
      <c r="D652" s="385" t="n">
        <v>0</v>
      </c>
      <c r="E652" s="385" t="n">
        <v>0</v>
      </c>
      <c r="F652" s="365" t="n">
        <v>1</v>
      </c>
      <c r="G652" s="380" t="n">
        <v>0</v>
      </c>
      <c r="H652" s="358" t="n">
        <v>0</v>
      </c>
      <c r="I652" s="358" t="n">
        <v>0</v>
      </c>
      <c r="J652" s="358" t="n">
        <v>0</v>
      </c>
      <c r="K652" s="358" t="n">
        <v>0</v>
      </c>
      <c r="L652" s="358" t="n">
        <v>0</v>
      </c>
      <c r="M652" s="385" t="n">
        <v>1</v>
      </c>
      <c r="N652" s="385" t="n">
        <v>0</v>
      </c>
      <c r="O652" s="385" t="n">
        <v>0</v>
      </c>
      <c r="P652" s="365" t="n">
        <v>1</v>
      </c>
    </row>
    <row r="653" customFormat="false" ht="15" hidden="true" customHeight="false" outlineLevel="0" collapsed="false">
      <c r="B653" s="360" t="s">
        <v>3047</v>
      </c>
      <c r="C653" s="385" t="n">
        <v>1</v>
      </c>
      <c r="D653" s="385" t="n">
        <v>0</v>
      </c>
      <c r="E653" s="385" t="n">
        <v>0</v>
      </c>
      <c r="F653" s="365" t="n">
        <v>1</v>
      </c>
      <c r="G653" s="380" t="n">
        <v>0</v>
      </c>
      <c r="H653" s="358" t="n">
        <v>0</v>
      </c>
      <c r="I653" s="358" t="n">
        <v>0</v>
      </c>
      <c r="J653" s="358" t="n">
        <v>0</v>
      </c>
      <c r="K653" s="358" t="n">
        <v>0</v>
      </c>
      <c r="L653" s="358" t="n">
        <v>0</v>
      </c>
      <c r="M653" s="385" t="n">
        <v>1</v>
      </c>
      <c r="N653" s="385" t="n">
        <v>0</v>
      </c>
      <c r="O653" s="385" t="n">
        <v>0</v>
      </c>
      <c r="P653" s="365" t="n">
        <v>1</v>
      </c>
    </row>
    <row r="654" customFormat="false" ht="15" hidden="true" customHeight="false" outlineLevel="0" collapsed="false">
      <c r="B654" s="360" t="s">
        <v>3048</v>
      </c>
      <c r="C654" s="385" t="n">
        <v>1</v>
      </c>
      <c r="D654" s="385" t="n">
        <v>0</v>
      </c>
      <c r="E654" s="385" t="n">
        <v>0</v>
      </c>
      <c r="F654" s="365" t="n">
        <v>1</v>
      </c>
      <c r="G654" s="380" t="n">
        <v>0</v>
      </c>
      <c r="H654" s="358" t="n">
        <v>0</v>
      </c>
      <c r="I654" s="358" t="n">
        <v>0</v>
      </c>
      <c r="J654" s="358" t="n">
        <v>0</v>
      </c>
      <c r="K654" s="358" t="n">
        <v>0</v>
      </c>
      <c r="L654" s="358" t="n">
        <v>0</v>
      </c>
      <c r="M654" s="385" t="n">
        <v>1</v>
      </c>
      <c r="N654" s="385" t="n">
        <v>0</v>
      </c>
      <c r="O654" s="385" t="n">
        <v>0</v>
      </c>
      <c r="P654" s="365" t="n">
        <v>1</v>
      </c>
    </row>
    <row r="655" customFormat="false" ht="15" hidden="true" customHeight="false" outlineLevel="0" collapsed="false">
      <c r="B655" s="360" t="s">
        <v>3049</v>
      </c>
      <c r="C655" s="385" t="n">
        <v>1</v>
      </c>
      <c r="D655" s="385" t="n">
        <v>0</v>
      </c>
      <c r="E655" s="385" t="n">
        <v>0</v>
      </c>
      <c r="F655" s="365" t="n">
        <v>1</v>
      </c>
      <c r="G655" s="380" t="n">
        <v>0</v>
      </c>
      <c r="H655" s="358" t="n">
        <v>0</v>
      </c>
      <c r="I655" s="358" t="n">
        <v>0</v>
      </c>
      <c r="J655" s="358" t="n">
        <v>0</v>
      </c>
      <c r="K655" s="358" t="n">
        <v>0</v>
      </c>
      <c r="L655" s="358" t="n">
        <v>0</v>
      </c>
      <c r="M655" s="385" t="n">
        <v>1</v>
      </c>
      <c r="N655" s="385" t="n">
        <v>0</v>
      </c>
      <c r="O655" s="385" t="n">
        <v>0</v>
      </c>
      <c r="P655" s="365" t="n">
        <v>1</v>
      </c>
    </row>
    <row r="656" customFormat="false" ht="15" hidden="true" customHeight="false" outlineLevel="0" collapsed="false">
      <c r="B656" s="360" t="s">
        <v>3050</v>
      </c>
      <c r="C656" s="385" t="n">
        <v>1</v>
      </c>
      <c r="D656" s="385" t="n">
        <v>0</v>
      </c>
      <c r="E656" s="385" t="n">
        <v>0</v>
      </c>
      <c r="F656" s="365" t="n">
        <v>1</v>
      </c>
      <c r="G656" s="380" t="n">
        <v>0</v>
      </c>
      <c r="H656" s="358" t="n">
        <v>0</v>
      </c>
      <c r="I656" s="358" t="n">
        <v>0</v>
      </c>
      <c r="J656" s="358" t="n">
        <v>0</v>
      </c>
      <c r="K656" s="358" t="n">
        <v>0</v>
      </c>
      <c r="L656" s="358" t="n">
        <v>0</v>
      </c>
      <c r="M656" s="385" t="n">
        <v>1</v>
      </c>
      <c r="N656" s="385" t="n">
        <v>0</v>
      </c>
      <c r="O656" s="385" t="n">
        <v>0</v>
      </c>
      <c r="P656" s="365" t="n">
        <v>1</v>
      </c>
    </row>
    <row r="657" customFormat="false" ht="15" hidden="true" customHeight="false" outlineLevel="0" collapsed="false">
      <c r="B657" s="360" t="s">
        <v>3051</v>
      </c>
      <c r="C657" s="385" t="n">
        <v>1</v>
      </c>
      <c r="D657" s="385" t="n">
        <v>0</v>
      </c>
      <c r="E657" s="385" t="n">
        <v>0</v>
      </c>
      <c r="F657" s="365" t="n">
        <v>1</v>
      </c>
      <c r="G657" s="380" t="n">
        <v>0</v>
      </c>
      <c r="H657" s="358" t="n">
        <v>0</v>
      </c>
      <c r="I657" s="358" t="n">
        <v>0</v>
      </c>
      <c r="J657" s="358" t="n">
        <v>0</v>
      </c>
      <c r="K657" s="358" t="n">
        <v>0</v>
      </c>
      <c r="L657" s="358" t="n">
        <v>0</v>
      </c>
      <c r="M657" s="385" t="n">
        <v>1</v>
      </c>
      <c r="N657" s="385" t="n">
        <v>0</v>
      </c>
      <c r="O657" s="385" t="n">
        <v>0</v>
      </c>
      <c r="P657" s="365" t="n">
        <v>1</v>
      </c>
    </row>
    <row r="658" customFormat="false" ht="15" hidden="true" customHeight="false" outlineLevel="0" collapsed="false">
      <c r="B658" s="360" t="s">
        <v>3052</v>
      </c>
      <c r="C658" s="385" t="n">
        <v>1</v>
      </c>
      <c r="D658" s="385" t="n">
        <v>0</v>
      </c>
      <c r="E658" s="385" t="n">
        <v>0</v>
      </c>
      <c r="F658" s="365" t="n">
        <v>1</v>
      </c>
      <c r="G658" s="380" t="n">
        <v>0</v>
      </c>
      <c r="H658" s="358" t="n">
        <v>0</v>
      </c>
      <c r="I658" s="358" t="n">
        <v>0</v>
      </c>
      <c r="J658" s="358" t="n">
        <v>0</v>
      </c>
      <c r="K658" s="358" t="n">
        <v>0</v>
      </c>
      <c r="L658" s="358" t="n">
        <v>0</v>
      </c>
      <c r="M658" s="385" t="n">
        <v>1</v>
      </c>
      <c r="N658" s="385" t="n">
        <v>0</v>
      </c>
      <c r="O658" s="385" t="n">
        <v>0</v>
      </c>
      <c r="P658" s="365" t="n">
        <v>1</v>
      </c>
    </row>
    <row r="659" customFormat="false" ht="15" hidden="true" customHeight="false" outlineLevel="0" collapsed="false">
      <c r="B659" s="360" t="s">
        <v>3053</v>
      </c>
      <c r="C659" s="385" t="n">
        <v>1</v>
      </c>
      <c r="D659" s="385" t="n">
        <v>0</v>
      </c>
      <c r="E659" s="385" t="n">
        <v>0</v>
      </c>
      <c r="F659" s="365" t="n">
        <v>1</v>
      </c>
      <c r="G659" s="380" t="n">
        <v>0</v>
      </c>
      <c r="H659" s="358" t="n">
        <v>0</v>
      </c>
      <c r="I659" s="358" t="n">
        <v>0</v>
      </c>
      <c r="J659" s="358" t="n">
        <v>0</v>
      </c>
      <c r="K659" s="358" t="n">
        <v>0</v>
      </c>
      <c r="L659" s="358" t="n">
        <v>0</v>
      </c>
      <c r="M659" s="385" t="n">
        <v>1</v>
      </c>
      <c r="N659" s="385" t="n">
        <v>0</v>
      </c>
      <c r="O659" s="385" t="n">
        <v>0</v>
      </c>
      <c r="P659" s="365" t="n">
        <v>1</v>
      </c>
    </row>
    <row r="660" customFormat="false" ht="15" hidden="true" customHeight="false" outlineLevel="0" collapsed="false">
      <c r="B660" s="360" t="s">
        <v>3054</v>
      </c>
      <c r="C660" s="385" t="n">
        <v>1</v>
      </c>
      <c r="D660" s="385" t="n">
        <v>0</v>
      </c>
      <c r="E660" s="385" t="n">
        <v>0</v>
      </c>
      <c r="F660" s="365" t="n">
        <v>1</v>
      </c>
      <c r="G660" s="380" t="n">
        <v>0</v>
      </c>
      <c r="H660" s="358" t="n">
        <v>0</v>
      </c>
      <c r="I660" s="358" t="n">
        <v>0</v>
      </c>
      <c r="J660" s="358" t="n">
        <v>0</v>
      </c>
      <c r="K660" s="358" t="n">
        <v>0</v>
      </c>
      <c r="L660" s="358" t="n">
        <v>0</v>
      </c>
      <c r="M660" s="385" t="n">
        <v>1</v>
      </c>
      <c r="N660" s="385" t="n">
        <v>0</v>
      </c>
      <c r="O660" s="385" t="n">
        <v>0</v>
      </c>
      <c r="P660" s="365" t="n">
        <v>1</v>
      </c>
    </row>
    <row r="661" customFormat="false" ht="15" hidden="true" customHeight="false" outlineLevel="0" collapsed="false">
      <c r="B661" s="360" t="s">
        <v>3055</v>
      </c>
      <c r="C661" s="385" t="n">
        <v>1</v>
      </c>
      <c r="D661" s="385" t="n">
        <v>0</v>
      </c>
      <c r="E661" s="385" t="n">
        <v>0</v>
      </c>
      <c r="F661" s="365" t="n">
        <v>1</v>
      </c>
      <c r="G661" s="380" t="n">
        <v>0</v>
      </c>
      <c r="H661" s="358" t="n">
        <v>0</v>
      </c>
      <c r="I661" s="358" t="n">
        <v>0</v>
      </c>
      <c r="J661" s="358" t="n">
        <v>0</v>
      </c>
      <c r="K661" s="358" t="n">
        <v>0</v>
      </c>
      <c r="L661" s="358" t="n">
        <v>0</v>
      </c>
      <c r="M661" s="385" t="n">
        <v>1</v>
      </c>
      <c r="N661" s="385" t="n">
        <v>0</v>
      </c>
      <c r="O661" s="385" t="n">
        <v>0</v>
      </c>
      <c r="P661" s="365" t="n">
        <v>1</v>
      </c>
    </row>
    <row r="662" customFormat="false" ht="15" hidden="true" customHeight="false" outlineLevel="0" collapsed="false">
      <c r="B662" s="360" t="s">
        <v>3056</v>
      </c>
      <c r="C662" s="385" t="n">
        <v>1</v>
      </c>
      <c r="D662" s="385" t="n">
        <v>0</v>
      </c>
      <c r="E662" s="385" t="n">
        <v>0</v>
      </c>
      <c r="F662" s="365" t="n">
        <v>1</v>
      </c>
      <c r="G662" s="380" t="n">
        <v>0</v>
      </c>
      <c r="H662" s="358" t="n">
        <v>0</v>
      </c>
      <c r="I662" s="358" t="n">
        <v>0</v>
      </c>
      <c r="J662" s="358" t="n">
        <v>0</v>
      </c>
      <c r="K662" s="358" t="n">
        <v>0</v>
      </c>
      <c r="L662" s="358" t="n">
        <v>0</v>
      </c>
      <c r="M662" s="385" t="n">
        <v>1</v>
      </c>
      <c r="N662" s="385" t="n">
        <v>0</v>
      </c>
      <c r="O662" s="385" t="n">
        <v>0</v>
      </c>
      <c r="P662" s="365" t="n">
        <v>1</v>
      </c>
    </row>
    <row r="663" customFormat="false" ht="15" hidden="true" customHeight="false" outlineLevel="0" collapsed="false">
      <c r="B663" s="360" t="s">
        <v>3057</v>
      </c>
      <c r="C663" s="385" t="n">
        <v>1</v>
      </c>
      <c r="D663" s="385" t="n">
        <v>0</v>
      </c>
      <c r="E663" s="385" t="n">
        <v>0</v>
      </c>
      <c r="F663" s="365" t="n">
        <v>1</v>
      </c>
      <c r="G663" s="380" t="n">
        <v>0</v>
      </c>
      <c r="H663" s="358" t="n">
        <v>0</v>
      </c>
      <c r="I663" s="358" t="n">
        <v>0</v>
      </c>
      <c r="J663" s="358" t="n">
        <v>0</v>
      </c>
      <c r="K663" s="358" t="n">
        <v>0</v>
      </c>
      <c r="L663" s="358" t="n">
        <v>0</v>
      </c>
      <c r="M663" s="385" t="n">
        <v>1</v>
      </c>
      <c r="N663" s="385" t="n">
        <v>0</v>
      </c>
      <c r="O663" s="385" t="n">
        <v>0</v>
      </c>
      <c r="P663" s="365" t="n">
        <v>1</v>
      </c>
    </row>
    <row r="664" customFormat="false" ht="15" hidden="true" customHeight="false" outlineLevel="0" collapsed="false">
      <c r="B664" s="360" t="s">
        <v>3058</v>
      </c>
      <c r="C664" s="385" t="n">
        <v>1</v>
      </c>
      <c r="D664" s="385" t="n">
        <v>0</v>
      </c>
      <c r="E664" s="385" t="n">
        <v>0</v>
      </c>
      <c r="F664" s="365" t="n">
        <v>1</v>
      </c>
      <c r="G664" s="380" t="n">
        <v>0</v>
      </c>
      <c r="H664" s="358" t="n">
        <v>0</v>
      </c>
      <c r="I664" s="358" t="n">
        <v>0</v>
      </c>
      <c r="J664" s="358" t="n">
        <v>0</v>
      </c>
      <c r="K664" s="358" t="n">
        <v>0</v>
      </c>
      <c r="L664" s="358" t="n">
        <v>0</v>
      </c>
      <c r="M664" s="385" t="n">
        <v>1</v>
      </c>
      <c r="N664" s="385" t="n">
        <v>0</v>
      </c>
      <c r="O664" s="385" t="n">
        <v>0</v>
      </c>
      <c r="P664" s="365" t="n">
        <v>1</v>
      </c>
    </row>
    <row r="665" customFormat="false" ht="15" hidden="true" customHeight="false" outlineLevel="0" collapsed="false">
      <c r="B665" s="360" t="s">
        <v>3059</v>
      </c>
      <c r="C665" s="385" t="n">
        <v>1</v>
      </c>
      <c r="D665" s="385" t="n">
        <v>0</v>
      </c>
      <c r="E665" s="385" t="n">
        <v>0</v>
      </c>
      <c r="F665" s="365" t="n">
        <v>1</v>
      </c>
      <c r="G665" s="380" t="n">
        <v>0</v>
      </c>
      <c r="H665" s="358" t="n">
        <v>0</v>
      </c>
      <c r="I665" s="358" t="n">
        <v>0</v>
      </c>
      <c r="J665" s="358" t="n">
        <v>0</v>
      </c>
      <c r="K665" s="358" t="n">
        <v>0</v>
      </c>
      <c r="L665" s="358" t="n">
        <v>0</v>
      </c>
      <c r="M665" s="385" t="n">
        <v>1</v>
      </c>
      <c r="N665" s="385" t="n">
        <v>0</v>
      </c>
      <c r="O665" s="385" t="n">
        <v>0</v>
      </c>
      <c r="P665" s="365" t="n">
        <v>1</v>
      </c>
    </row>
    <row r="666" customFormat="false" ht="15" hidden="true" customHeight="false" outlineLevel="0" collapsed="false">
      <c r="B666" s="360" t="s">
        <v>3060</v>
      </c>
      <c r="C666" s="385" t="n">
        <v>1</v>
      </c>
      <c r="D666" s="385" t="n">
        <v>0</v>
      </c>
      <c r="E666" s="385" t="n">
        <v>0</v>
      </c>
      <c r="F666" s="365" t="n">
        <v>1</v>
      </c>
      <c r="G666" s="380" t="n">
        <v>0</v>
      </c>
      <c r="H666" s="358" t="n">
        <v>0</v>
      </c>
      <c r="I666" s="358" t="n">
        <v>0</v>
      </c>
      <c r="J666" s="358" t="n">
        <v>0</v>
      </c>
      <c r="K666" s="358" t="n">
        <v>0</v>
      </c>
      <c r="L666" s="358" t="n">
        <v>0</v>
      </c>
      <c r="M666" s="385" t="n">
        <v>1</v>
      </c>
      <c r="N666" s="385" t="n">
        <v>0</v>
      </c>
      <c r="O666" s="385" t="n">
        <v>0</v>
      </c>
      <c r="P666" s="365" t="n">
        <v>1</v>
      </c>
    </row>
    <row r="667" customFormat="false" ht="15" hidden="true" customHeight="false" outlineLevel="0" collapsed="false">
      <c r="B667" s="360" t="s">
        <v>3061</v>
      </c>
      <c r="C667" s="385" t="n">
        <v>1</v>
      </c>
      <c r="D667" s="385" t="n">
        <v>0</v>
      </c>
      <c r="E667" s="385" t="n">
        <v>0</v>
      </c>
      <c r="F667" s="365" t="n">
        <v>1</v>
      </c>
      <c r="G667" s="380" t="n">
        <v>0</v>
      </c>
      <c r="H667" s="358" t="n">
        <v>0</v>
      </c>
      <c r="I667" s="358" t="n">
        <v>0</v>
      </c>
      <c r="J667" s="358" t="n">
        <v>0</v>
      </c>
      <c r="K667" s="358" t="n">
        <v>0</v>
      </c>
      <c r="L667" s="358" t="n">
        <v>0</v>
      </c>
      <c r="M667" s="385" t="n">
        <v>1</v>
      </c>
      <c r="N667" s="385" t="n">
        <v>0</v>
      </c>
      <c r="O667" s="385" t="n">
        <v>0</v>
      </c>
      <c r="P667" s="365" t="n">
        <v>1</v>
      </c>
    </row>
    <row r="668" customFormat="false" ht="15" hidden="true" customHeight="false" outlineLevel="0" collapsed="false">
      <c r="B668" s="360" t="s">
        <v>3062</v>
      </c>
      <c r="C668" s="385" t="n">
        <v>1</v>
      </c>
      <c r="D668" s="385" t="n">
        <v>0</v>
      </c>
      <c r="E668" s="385" t="n">
        <v>0</v>
      </c>
      <c r="F668" s="365" t="n">
        <v>1</v>
      </c>
      <c r="G668" s="380" t="n">
        <v>0</v>
      </c>
      <c r="H668" s="358" t="n">
        <v>0</v>
      </c>
      <c r="I668" s="358" t="n">
        <v>0</v>
      </c>
      <c r="J668" s="358" t="n">
        <v>0</v>
      </c>
      <c r="K668" s="358" t="n">
        <v>0</v>
      </c>
      <c r="L668" s="358" t="n">
        <v>0</v>
      </c>
      <c r="M668" s="385" t="n">
        <v>1</v>
      </c>
      <c r="N668" s="385" t="n">
        <v>0</v>
      </c>
      <c r="O668" s="385" t="n">
        <v>0</v>
      </c>
      <c r="P668" s="365" t="n">
        <v>1</v>
      </c>
    </row>
    <row r="669" customFormat="false" ht="15" hidden="true" customHeight="false" outlineLevel="0" collapsed="false">
      <c r="B669" s="360" t="s">
        <v>3063</v>
      </c>
      <c r="C669" s="385" t="n">
        <v>1</v>
      </c>
      <c r="D669" s="385" t="n">
        <v>0</v>
      </c>
      <c r="E669" s="385" t="n">
        <v>0</v>
      </c>
      <c r="F669" s="365" t="n">
        <v>1</v>
      </c>
      <c r="G669" s="380" t="n">
        <v>0</v>
      </c>
      <c r="H669" s="358" t="n">
        <v>0</v>
      </c>
      <c r="I669" s="358" t="n">
        <v>0</v>
      </c>
      <c r="J669" s="358" t="n">
        <v>0</v>
      </c>
      <c r="K669" s="358" t="n">
        <v>0</v>
      </c>
      <c r="L669" s="358" t="n">
        <v>0</v>
      </c>
      <c r="M669" s="385" t="n">
        <v>1</v>
      </c>
      <c r="N669" s="385" t="n">
        <v>0</v>
      </c>
      <c r="O669" s="385" t="n">
        <v>0</v>
      </c>
      <c r="P669" s="365" t="n">
        <v>1</v>
      </c>
    </row>
    <row r="670" customFormat="false" ht="15" hidden="true" customHeight="false" outlineLevel="0" collapsed="false">
      <c r="B670" s="360" t="s">
        <v>3064</v>
      </c>
      <c r="C670" s="385" t="n">
        <v>1</v>
      </c>
      <c r="D670" s="385" t="n">
        <v>0</v>
      </c>
      <c r="E670" s="385" t="n">
        <v>0</v>
      </c>
      <c r="F670" s="365" t="n">
        <v>1</v>
      </c>
      <c r="G670" s="380" t="n">
        <v>0</v>
      </c>
      <c r="H670" s="358" t="n">
        <v>0</v>
      </c>
      <c r="I670" s="358" t="n">
        <v>0</v>
      </c>
      <c r="J670" s="358" t="n">
        <v>0</v>
      </c>
      <c r="K670" s="358" t="n">
        <v>0</v>
      </c>
      <c r="L670" s="358" t="n">
        <v>0</v>
      </c>
      <c r="M670" s="385" t="n">
        <v>1</v>
      </c>
      <c r="N670" s="385" t="n">
        <v>0</v>
      </c>
      <c r="O670" s="385" t="n">
        <v>0</v>
      </c>
      <c r="P670" s="365" t="n">
        <v>1</v>
      </c>
    </row>
    <row r="671" customFormat="false" ht="15" hidden="true" customHeight="false" outlineLevel="0" collapsed="false">
      <c r="B671" s="360" t="s">
        <v>3065</v>
      </c>
      <c r="C671" s="385" t="n">
        <v>1</v>
      </c>
      <c r="D671" s="385" t="n">
        <v>0</v>
      </c>
      <c r="E671" s="385" t="n">
        <v>0</v>
      </c>
      <c r="F671" s="365" t="n">
        <v>1</v>
      </c>
      <c r="G671" s="380" t="n">
        <v>0</v>
      </c>
      <c r="H671" s="358" t="n">
        <v>0</v>
      </c>
      <c r="I671" s="358" t="n">
        <v>0</v>
      </c>
      <c r="J671" s="358" t="n">
        <v>0</v>
      </c>
      <c r="K671" s="358" t="n">
        <v>0</v>
      </c>
      <c r="L671" s="358" t="n">
        <v>0</v>
      </c>
      <c r="M671" s="385" t="n">
        <v>1</v>
      </c>
      <c r="N671" s="385" t="n">
        <v>0</v>
      </c>
      <c r="O671" s="385" t="n">
        <v>0</v>
      </c>
      <c r="P671" s="365" t="n">
        <v>1</v>
      </c>
    </row>
    <row r="672" customFormat="false" ht="15" hidden="true" customHeight="false" outlineLevel="0" collapsed="false">
      <c r="B672" s="360" t="s">
        <v>3066</v>
      </c>
      <c r="C672" s="385" t="n">
        <v>1</v>
      </c>
      <c r="D672" s="385" t="n">
        <v>0</v>
      </c>
      <c r="E672" s="385" t="n">
        <v>0</v>
      </c>
      <c r="F672" s="365" t="n">
        <v>1</v>
      </c>
      <c r="G672" s="380" t="n">
        <v>0</v>
      </c>
      <c r="H672" s="358" t="n">
        <v>0</v>
      </c>
      <c r="I672" s="358" t="n">
        <v>0</v>
      </c>
      <c r="J672" s="358" t="n">
        <v>0</v>
      </c>
      <c r="K672" s="358" t="n">
        <v>0</v>
      </c>
      <c r="L672" s="358" t="n">
        <v>0</v>
      </c>
      <c r="M672" s="385" t="n">
        <v>1</v>
      </c>
      <c r="N672" s="385" t="n">
        <v>0</v>
      </c>
      <c r="O672" s="385" t="n">
        <v>0</v>
      </c>
      <c r="P672" s="365" t="n">
        <v>1</v>
      </c>
    </row>
    <row r="673" customFormat="false" ht="15" hidden="true" customHeight="false" outlineLevel="0" collapsed="false">
      <c r="B673" s="360" t="s">
        <v>3067</v>
      </c>
      <c r="C673" s="385" t="n">
        <v>1</v>
      </c>
      <c r="D673" s="385" t="n">
        <v>0</v>
      </c>
      <c r="E673" s="385" t="n">
        <v>0</v>
      </c>
      <c r="F673" s="365" t="n">
        <v>1</v>
      </c>
      <c r="G673" s="380" t="n">
        <v>0</v>
      </c>
      <c r="H673" s="358" t="n">
        <v>0</v>
      </c>
      <c r="I673" s="358" t="n">
        <v>0</v>
      </c>
      <c r="J673" s="358" t="n">
        <v>0</v>
      </c>
      <c r="K673" s="358" t="n">
        <v>0</v>
      </c>
      <c r="L673" s="358" t="n">
        <v>0</v>
      </c>
      <c r="M673" s="385" t="n">
        <v>1</v>
      </c>
      <c r="N673" s="385" t="n">
        <v>0</v>
      </c>
      <c r="O673" s="385" t="n">
        <v>0</v>
      </c>
      <c r="P673" s="365" t="n">
        <v>1</v>
      </c>
    </row>
    <row r="674" customFormat="false" ht="15" hidden="true" customHeight="false" outlineLevel="0" collapsed="false">
      <c r="B674" s="360" t="s">
        <v>3068</v>
      </c>
      <c r="C674" s="385" t="n">
        <v>1</v>
      </c>
      <c r="D674" s="385" t="n">
        <v>0</v>
      </c>
      <c r="E674" s="385" t="n">
        <v>0</v>
      </c>
      <c r="F674" s="365" t="n">
        <v>1</v>
      </c>
      <c r="G674" s="380" t="n">
        <v>0</v>
      </c>
      <c r="H674" s="358" t="n">
        <v>0</v>
      </c>
      <c r="I674" s="358" t="n">
        <v>0</v>
      </c>
      <c r="J674" s="358" t="n">
        <v>0</v>
      </c>
      <c r="K674" s="358" t="n">
        <v>0</v>
      </c>
      <c r="L674" s="358" t="n">
        <v>0</v>
      </c>
      <c r="M674" s="385" t="n">
        <v>1</v>
      </c>
      <c r="N674" s="385" t="n">
        <v>0</v>
      </c>
      <c r="O674" s="385" t="n">
        <v>0</v>
      </c>
      <c r="P674" s="365" t="n">
        <v>1</v>
      </c>
    </row>
    <row r="675" customFormat="false" ht="15" hidden="true" customHeight="false" outlineLevel="0" collapsed="false">
      <c r="B675" s="360" t="s">
        <v>3069</v>
      </c>
      <c r="C675" s="385" t="n">
        <v>1</v>
      </c>
      <c r="D675" s="385" t="n">
        <v>0</v>
      </c>
      <c r="E675" s="385" t="n">
        <v>0</v>
      </c>
      <c r="F675" s="365" t="n">
        <v>1</v>
      </c>
      <c r="G675" s="380" t="n">
        <v>0</v>
      </c>
      <c r="H675" s="358" t="n">
        <v>0</v>
      </c>
      <c r="I675" s="358" t="n">
        <v>0</v>
      </c>
      <c r="J675" s="358" t="n">
        <v>0</v>
      </c>
      <c r="K675" s="358" t="n">
        <v>0</v>
      </c>
      <c r="L675" s="358" t="n">
        <v>0</v>
      </c>
      <c r="M675" s="385" t="n">
        <v>1</v>
      </c>
      <c r="N675" s="385" t="n">
        <v>0</v>
      </c>
      <c r="O675" s="385" t="n">
        <v>0</v>
      </c>
      <c r="P675" s="365" t="n">
        <v>1</v>
      </c>
    </row>
    <row r="676" customFormat="false" ht="15" hidden="true" customHeight="false" outlineLevel="0" collapsed="false">
      <c r="B676" s="360" t="s">
        <v>3070</v>
      </c>
      <c r="C676" s="385" t="n">
        <v>1</v>
      </c>
      <c r="D676" s="385" t="n">
        <v>0</v>
      </c>
      <c r="E676" s="385" t="n">
        <v>0</v>
      </c>
      <c r="F676" s="365" t="n">
        <v>1</v>
      </c>
      <c r="G676" s="380" t="n">
        <v>0</v>
      </c>
      <c r="H676" s="358" t="n">
        <v>0</v>
      </c>
      <c r="I676" s="358" t="n">
        <v>0</v>
      </c>
      <c r="J676" s="358" t="n">
        <v>0</v>
      </c>
      <c r="K676" s="358" t="n">
        <v>0</v>
      </c>
      <c r="L676" s="358" t="n">
        <v>0</v>
      </c>
      <c r="M676" s="385" t="n">
        <v>1</v>
      </c>
      <c r="N676" s="385" t="n">
        <v>0</v>
      </c>
      <c r="O676" s="385" t="n">
        <v>0</v>
      </c>
      <c r="P676" s="365" t="n">
        <v>1</v>
      </c>
    </row>
    <row r="677" customFormat="false" ht="15" hidden="true" customHeight="false" outlineLevel="0" collapsed="false">
      <c r="B677" s="360" t="s">
        <v>3071</v>
      </c>
      <c r="C677" s="385" t="n">
        <v>1</v>
      </c>
      <c r="D677" s="385" t="n">
        <v>0</v>
      </c>
      <c r="E677" s="385" t="n">
        <v>0</v>
      </c>
      <c r="F677" s="365" t="n">
        <v>1</v>
      </c>
      <c r="G677" s="380" t="n">
        <v>0</v>
      </c>
      <c r="H677" s="358" t="n">
        <v>0</v>
      </c>
      <c r="I677" s="358" t="n">
        <v>0</v>
      </c>
      <c r="J677" s="358" t="n">
        <v>0</v>
      </c>
      <c r="K677" s="358" t="n">
        <v>0</v>
      </c>
      <c r="L677" s="358" t="n">
        <v>0</v>
      </c>
      <c r="M677" s="385" t="n">
        <v>1</v>
      </c>
      <c r="N677" s="385" t="n">
        <v>0</v>
      </c>
      <c r="O677" s="385" t="n">
        <v>0</v>
      </c>
      <c r="P677" s="365" t="n">
        <v>1</v>
      </c>
    </row>
    <row r="678" customFormat="false" ht="15" hidden="true" customHeight="false" outlineLevel="0" collapsed="false">
      <c r="B678" s="360" t="s">
        <v>3072</v>
      </c>
      <c r="C678" s="385" t="n">
        <v>1</v>
      </c>
      <c r="D678" s="385" t="n">
        <v>0</v>
      </c>
      <c r="E678" s="385" t="n">
        <v>0</v>
      </c>
      <c r="F678" s="365" t="n">
        <v>1</v>
      </c>
      <c r="G678" s="380" t="n">
        <v>0</v>
      </c>
      <c r="H678" s="358" t="n">
        <v>0</v>
      </c>
      <c r="I678" s="358" t="n">
        <v>0</v>
      </c>
      <c r="J678" s="358" t="n">
        <v>0</v>
      </c>
      <c r="K678" s="358" t="n">
        <v>0</v>
      </c>
      <c r="L678" s="358" t="n">
        <v>0</v>
      </c>
      <c r="M678" s="385" t="n">
        <v>1</v>
      </c>
      <c r="N678" s="385" t="n">
        <v>0</v>
      </c>
      <c r="O678" s="385" t="n">
        <v>0</v>
      </c>
      <c r="P678" s="365" t="n">
        <v>1</v>
      </c>
    </row>
    <row r="679" customFormat="false" ht="15" hidden="true" customHeight="false" outlineLevel="0" collapsed="false">
      <c r="B679" s="360" t="s">
        <v>3073</v>
      </c>
      <c r="C679" s="385" t="n">
        <v>1</v>
      </c>
      <c r="D679" s="385" t="n">
        <v>0</v>
      </c>
      <c r="E679" s="385" t="n">
        <v>0</v>
      </c>
      <c r="F679" s="365" t="n">
        <v>1</v>
      </c>
      <c r="G679" s="380" t="n">
        <v>0</v>
      </c>
      <c r="H679" s="358" t="n">
        <v>0</v>
      </c>
      <c r="I679" s="358" t="n">
        <v>0</v>
      </c>
      <c r="J679" s="358" t="n">
        <v>0</v>
      </c>
      <c r="K679" s="358" t="n">
        <v>0</v>
      </c>
      <c r="L679" s="358" t="n">
        <v>0</v>
      </c>
      <c r="M679" s="385" t="n">
        <v>1</v>
      </c>
      <c r="N679" s="385" t="n">
        <v>0</v>
      </c>
      <c r="O679" s="385" t="n">
        <v>0</v>
      </c>
      <c r="P679" s="365" t="n">
        <v>1</v>
      </c>
    </row>
    <row r="680" customFormat="false" ht="15" hidden="true" customHeight="false" outlineLevel="0" collapsed="false">
      <c r="B680" s="360" t="s">
        <v>3074</v>
      </c>
      <c r="C680" s="385" t="n">
        <v>1</v>
      </c>
      <c r="D680" s="385" t="n">
        <v>0</v>
      </c>
      <c r="E680" s="385" t="n">
        <v>0</v>
      </c>
      <c r="F680" s="365" t="n">
        <v>1</v>
      </c>
      <c r="G680" s="380" t="n">
        <v>0</v>
      </c>
      <c r="H680" s="358" t="n">
        <v>0</v>
      </c>
      <c r="I680" s="358" t="n">
        <v>0</v>
      </c>
      <c r="J680" s="358" t="n">
        <v>0</v>
      </c>
      <c r="K680" s="358" t="n">
        <v>0</v>
      </c>
      <c r="L680" s="358" t="n">
        <v>0</v>
      </c>
      <c r="M680" s="385" t="n">
        <v>1</v>
      </c>
      <c r="N680" s="385" t="n">
        <v>0</v>
      </c>
      <c r="O680" s="385" t="n">
        <v>0</v>
      </c>
      <c r="P680" s="365" t="n">
        <v>1</v>
      </c>
    </row>
    <row r="681" customFormat="false" ht="15" hidden="true" customHeight="false" outlineLevel="0" collapsed="false">
      <c r="B681" s="360" t="s">
        <v>3075</v>
      </c>
      <c r="C681" s="385" t="n">
        <v>1</v>
      </c>
      <c r="D681" s="385" t="n">
        <v>0</v>
      </c>
      <c r="E681" s="385" t="n">
        <v>0</v>
      </c>
      <c r="F681" s="365" t="n">
        <v>1</v>
      </c>
      <c r="G681" s="380" t="n">
        <v>0</v>
      </c>
      <c r="H681" s="358" t="n">
        <v>0</v>
      </c>
      <c r="I681" s="358" t="n">
        <v>0</v>
      </c>
      <c r="J681" s="358" t="n">
        <v>0</v>
      </c>
      <c r="K681" s="358" t="n">
        <v>0</v>
      </c>
      <c r="L681" s="358" t="n">
        <v>0</v>
      </c>
      <c r="M681" s="385" t="n">
        <v>1</v>
      </c>
      <c r="N681" s="385" t="n">
        <v>0</v>
      </c>
      <c r="O681" s="385" t="n">
        <v>0</v>
      </c>
      <c r="P681" s="365" t="n">
        <v>1</v>
      </c>
    </row>
    <row r="682" customFormat="false" ht="15" hidden="true" customHeight="false" outlineLevel="0" collapsed="false">
      <c r="B682" s="360" t="s">
        <v>3076</v>
      </c>
      <c r="C682" s="385" t="n">
        <v>1</v>
      </c>
      <c r="D682" s="385" t="n">
        <v>0</v>
      </c>
      <c r="E682" s="385" t="n">
        <v>0</v>
      </c>
      <c r="F682" s="365" t="n">
        <v>1</v>
      </c>
      <c r="G682" s="380" t="n">
        <v>0</v>
      </c>
      <c r="H682" s="358" t="n">
        <v>0</v>
      </c>
      <c r="I682" s="358" t="n">
        <v>0</v>
      </c>
      <c r="J682" s="358" t="n">
        <v>0</v>
      </c>
      <c r="K682" s="358" t="n">
        <v>0</v>
      </c>
      <c r="L682" s="358" t="n">
        <v>0</v>
      </c>
      <c r="M682" s="385" t="n">
        <v>1</v>
      </c>
      <c r="N682" s="385" t="n">
        <v>0</v>
      </c>
      <c r="O682" s="385" t="n">
        <v>0</v>
      </c>
      <c r="P682" s="365" t="n">
        <v>1</v>
      </c>
    </row>
    <row r="683" customFormat="false" ht="15" hidden="true" customHeight="false" outlineLevel="0" collapsed="false">
      <c r="B683" s="360" t="s">
        <v>3077</v>
      </c>
      <c r="C683" s="385" t="n">
        <v>1</v>
      </c>
      <c r="D683" s="385" t="n">
        <v>0</v>
      </c>
      <c r="E683" s="385" t="n">
        <v>0</v>
      </c>
      <c r="F683" s="365" t="n">
        <v>1</v>
      </c>
      <c r="G683" s="380" t="n">
        <v>0</v>
      </c>
      <c r="H683" s="358" t="n">
        <v>0</v>
      </c>
      <c r="I683" s="358" t="n">
        <v>0</v>
      </c>
      <c r="J683" s="358" t="n">
        <v>0</v>
      </c>
      <c r="K683" s="358" t="n">
        <v>0</v>
      </c>
      <c r="L683" s="358" t="n">
        <v>0</v>
      </c>
      <c r="M683" s="385" t="n">
        <v>1</v>
      </c>
      <c r="N683" s="385" t="n">
        <v>0</v>
      </c>
      <c r="O683" s="385" t="n">
        <v>0</v>
      </c>
      <c r="P683" s="365" t="n">
        <v>1</v>
      </c>
    </row>
    <row r="684" customFormat="false" ht="15" hidden="true" customHeight="false" outlineLevel="0" collapsed="false">
      <c r="B684" s="360" t="s">
        <v>3078</v>
      </c>
      <c r="C684" s="385" t="n">
        <v>1</v>
      </c>
      <c r="D684" s="385" t="n">
        <v>0</v>
      </c>
      <c r="E684" s="385" t="n">
        <v>0</v>
      </c>
      <c r="F684" s="365" t="n">
        <v>1</v>
      </c>
      <c r="G684" s="380" t="n">
        <v>0</v>
      </c>
      <c r="H684" s="358" t="n">
        <v>0</v>
      </c>
      <c r="I684" s="358" t="n">
        <v>0</v>
      </c>
      <c r="J684" s="358" t="n">
        <v>0</v>
      </c>
      <c r="K684" s="358" t="n">
        <v>0</v>
      </c>
      <c r="L684" s="358" t="n">
        <v>0</v>
      </c>
      <c r="M684" s="385" t="n">
        <v>1</v>
      </c>
      <c r="N684" s="385" t="n">
        <v>0</v>
      </c>
      <c r="O684" s="385" t="n">
        <v>0</v>
      </c>
      <c r="P684" s="365" t="n">
        <v>1</v>
      </c>
    </row>
    <row r="685" customFormat="false" ht="15" hidden="true" customHeight="false" outlineLevel="0" collapsed="false">
      <c r="B685" s="360" t="s">
        <v>3079</v>
      </c>
      <c r="C685" s="385" t="n">
        <v>1</v>
      </c>
      <c r="D685" s="385" t="n">
        <v>0</v>
      </c>
      <c r="E685" s="385" t="n">
        <v>0</v>
      </c>
      <c r="F685" s="365" t="n">
        <v>1</v>
      </c>
      <c r="G685" s="380" t="n">
        <v>0</v>
      </c>
      <c r="H685" s="358" t="n">
        <v>0</v>
      </c>
      <c r="I685" s="358" t="n">
        <v>0</v>
      </c>
      <c r="J685" s="358" t="n">
        <v>0</v>
      </c>
      <c r="K685" s="358" t="n">
        <v>0</v>
      </c>
      <c r="L685" s="358" t="n">
        <v>0</v>
      </c>
      <c r="M685" s="385" t="n">
        <v>1</v>
      </c>
      <c r="N685" s="385" t="n">
        <v>0</v>
      </c>
      <c r="O685" s="385" t="n">
        <v>0</v>
      </c>
      <c r="P685" s="365" t="n">
        <v>1</v>
      </c>
    </row>
    <row r="686" customFormat="false" ht="15" hidden="true" customHeight="false" outlineLevel="0" collapsed="false">
      <c r="B686" s="360" t="s">
        <v>3080</v>
      </c>
      <c r="C686" s="385" t="n">
        <v>1</v>
      </c>
      <c r="D686" s="385" t="n">
        <v>0</v>
      </c>
      <c r="E686" s="385" t="n">
        <v>0</v>
      </c>
      <c r="F686" s="365" t="n">
        <v>1</v>
      </c>
      <c r="G686" s="380" t="n">
        <v>0</v>
      </c>
      <c r="H686" s="358" t="n">
        <v>0</v>
      </c>
      <c r="I686" s="358" t="n">
        <v>0</v>
      </c>
      <c r="J686" s="358" t="n">
        <v>0</v>
      </c>
      <c r="K686" s="358" t="n">
        <v>0</v>
      </c>
      <c r="L686" s="358" t="n">
        <v>0</v>
      </c>
      <c r="M686" s="385" t="n">
        <v>1</v>
      </c>
      <c r="N686" s="385" t="n">
        <v>0</v>
      </c>
      <c r="O686" s="385" t="n">
        <v>0</v>
      </c>
      <c r="P686" s="365" t="n">
        <v>1</v>
      </c>
    </row>
    <row r="687" customFormat="false" ht="15" hidden="true" customHeight="false" outlineLevel="0" collapsed="false">
      <c r="B687" s="360" t="s">
        <v>3081</v>
      </c>
      <c r="C687" s="385" t="n">
        <v>1</v>
      </c>
      <c r="D687" s="385" t="n">
        <v>0</v>
      </c>
      <c r="E687" s="385" t="n">
        <v>0</v>
      </c>
      <c r="F687" s="365" t="n">
        <v>1</v>
      </c>
      <c r="G687" s="380" t="n">
        <v>0</v>
      </c>
      <c r="H687" s="358" t="n">
        <v>0</v>
      </c>
      <c r="I687" s="358" t="n">
        <v>0</v>
      </c>
      <c r="J687" s="358" t="n">
        <v>0</v>
      </c>
      <c r="K687" s="358" t="n">
        <v>0</v>
      </c>
      <c r="L687" s="358" t="n">
        <v>0</v>
      </c>
      <c r="M687" s="385" t="n">
        <v>1</v>
      </c>
      <c r="N687" s="385" t="n">
        <v>0</v>
      </c>
      <c r="O687" s="385" t="n">
        <v>0</v>
      </c>
      <c r="P687" s="365" t="n">
        <v>1</v>
      </c>
    </row>
    <row r="688" customFormat="false" ht="15" hidden="true" customHeight="false" outlineLevel="0" collapsed="false">
      <c r="B688" s="360" t="s">
        <v>3082</v>
      </c>
      <c r="C688" s="385" t="n">
        <v>1</v>
      </c>
      <c r="D688" s="385" t="n">
        <v>0</v>
      </c>
      <c r="E688" s="385" t="n">
        <v>0</v>
      </c>
      <c r="F688" s="365" t="n">
        <v>1</v>
      </c>
      <c r="G688" s="380" t="n">
        <v>0</v>
      </c>
      <c r="H688" s="358" t="n">
        <v>0</v>
      </c>
      <c r="I688" s="358" t="n">
        <v>0</v>
      </c>
      <c r="J688" s="358" t="n">
        <v>0</v>
      </c>
      <c r="K688" s="358" t="n">
        <v>0</v>
      </c>
      <c r="L688" s="358" t="n">
        <v>0</v>
      </c>
      <c r="M688" s="385" t="n">
        <v>1</v>
      </c>
      <c r="N688" s="385" t="n">
        <v>0</v>
      </c>
      <c r="O688" s="385" t="n">
        <v>0</v>
      </c>
      <c r="P688" s="365" t="n">
        <v>1</v>
      </c>
    </row>
    <row r="689" customFormat="false" ht="15" hidden="true" customHeight="false" outlineLevel="0" collapsed="false">
      <c r="B689" s="360" t="s">
        <v>3083</v>
      </c>
      <c r="C689" s="385" t="n">
        <v>1</v>
      </c>
      <c r="D689" s="385" t="n">
        <v>0</v>
      </c>
      <c r="E689" s="385" t="n">
        <v>0</v>
      </c>
      <c r="F689" s="365" t="n">
        <v>1</v>
      </c>
      <c r="G689" s="380" t="n">
        <v>0</v>
      </c>
      <c r="H689" s="358" t="n">
        <v>0</v>
      </c>
      <c r="I689" s="358" t="n">
        <v>0</v>
      </c>
      <c r="J689" s="358" t="n">
        <v>0</v>
      </c>
      <c r="K689" s="358" t="n">
        <v>0</v>
      </c>
      <c r="L689" s="358" t="n">
        <v>0</v>
      </c>
      <c r="M689" s="385" t="n">
        <v>1</v>
      </c>
      <c r="N689" s="385" t="n">
        <v>0</v>
      </c>
      <c r="O689" s="385" t="n">
        <v>0</v>
      </c>
      <c r="P689" s="365" t="n">
        <v>1</v>
      </c>
    </row>
    <row r="690" customFormat="false" ht="15" hidden="true" customHeight="false" outlineLevel="0" collapsed="false">
      <c r="B690" s="360" t="s">
        <v>3084</v>
      </c>
      <c r="C690" s="385" t="n">
        <v>1</v>
      </c>
      <c r="D690" s="385" t="n">
        <v>0</v>
      </c>
      <c r="E690" s="385" t="n">
        <v>0</v>
      </c>
      <c r="F690" s="365" t="n">
        <v>1</v>
      </c>
      <c r="G690" s="380" t="n">
        <v>0</v>
      </c>
      <c r="H690" s="358" t="n">
        <v>0</v>
      </c>
      <c r="I690" s="358" t="n">
        <v>0</v>
      </c>
      <c r="J690" s="358" t="n">
        <v>0</v>
      </c>
      <c r="K690" s="358" t="n">
        <v>0</v>
      </c>
      <c r="L690" s="358" t="n">
        <v>0</v>
      </c>
      <c r="M690" s="385" t="n">
        <v>1</v>
      </c>
      <c r="N690" s="385" t="n">
        <v>0</v>
      </c>
      <c r="O690" s="385" t="n">
        <v>0</v>
      </c>
      <c r="P690" s="365" t="n">
        <v>1</v>
      </c>
    </row>
    <row r="691" customFormat="false" ht="15" hidden="true" customHeight="false" outlineLevel="0" collapsed="false">
      <c r="B691" s="360" t="s">
        <v>3085</v>
      </c>
      <c r="C691" s="385" t="n">
        <v>1</v>
      </c>
      <c r="D691" s="385" t="n">
        <v>0</v>
      </c>
      <c r="E691" s="385" t="n">
        <v>0</v>
      </c>
      <c r="F691" s="365" t="n">
        <v>1</v>
      </c>
      <c r="G691" s="380" t="n">
        <v>0</v>
      </c>
      <c r="H691" s="358" t="n">
        <v>0</v>
      </c>
      <c r="I691" s="358" t="n">
        <v>0</v>
      </c>
      <c r="J691" s="358" t="n">
        <v>0</v>
      </c>
      <c r="K691" s="358" t="n">
        <v>0</v>
      </c>
      <c r="L691" s="358" t="n">
        <v>0</v>
      </c>
      <c r="M691" s="385" t="n">
        <v>1</v>
      </c>
      <c r="N691" s="385" t="n">
        <v>0</v>
      </c>
      <c r="O691" s="385" t="n">
        <v>0</v>
      </c>
      <c r="P691" s="365" t="n">
        <v>1</v>
      </c>
    </row>
    <row r="692" customFormat="false" ht="15" hidden="true" customHeight="false" outlineLevel="0" collapsed="false">
      <c r="B692" s="360" t="s">
        <v>3086</v>
      </c>
      <c r="C692" s="385" t="n">
        <v>1</v>
      </c>
      <c r="D692" s="385" t="n">
        <v>0</v>
      </c>
      <c r="E692" s="385" t="n">
        <v>0</v>
      </c>
      <c r="F692" s="365" t="n">
        <v>1</v>
      </c>
      <c r="G692" s="380" t="n">
        <v>0</v>
      </c>
      <c r="H692" s="358" t="n">
        <v>0</v>
      </c>
      <c r="I692" s="358" t="n">
        <v>0</v>
      </c>
      <c r="J692" s="358" t="n">
        <v>0</v>
      </c>
      <c r="K692" s="358" t="n">
        <v>0</v>
      </c>
      <c r="L692" s="358" t="n">
        <v>0</v>
      </c>
      <c r="M692" s="385" t="n">
        <v>1</v>
      </c>
      <c r="N692" s="385" t="n">
        <v>0</v>
      </c>
      <c r="O692" s="385" t="n">
        <v>0</v>
      </c>
      <c r="P692" s="365" t="n">
        <v>1</v>
      </c>
    </row>
    <row r="693" customFormat="false" ht="15" hidden="true" customHeight="false" outlineLevel="0" collapsed="false">
      <c r="B693" s="360" t="s">
        <v>3087</v>
      </c>
      <c r="C693" s="385" t="n">
        <v>1</v>
      </c>
      <c r="D693" s="385" t="n">
        <v>0</v>
      </c>
      <c r="E693" s="385" t="n">
        <v>0</v>
      </c>
      <c r="F693" s="365" t="n">
        <v>1</v>
      </c>
      <c r="G693" s="380" t="n">
        <v>0</v>
      </c>
      <c r="H693" s="358" t="n">
        <v>0</v>
      </c>
      <c r="I693" s="358" t="n">
        <v>0</v>
      </c>
      <c r="J693" s="358" t="n">
        <v>0</v>
      </c>
      <c r="K693" s="358" t="n">
        <v>0</v>
      </c>
      <c r="L693" s="358" t="n">
        <v>0</v>
      </c>
      <c r="M693" s="385" t="n">
        <v>1</v>
      </c>
      <c r="N693" s="385" t="n">
        <v>0</v>
      </c>
      <c r="O693" s="385" t="n">
        <v>0</v>
      </c>
      <c r="P693" s="365" t="n">
        <v>1</v>
      </c>
    </row>
    <row r="694" customFormat="false" ht="15" hidden="true" customHeight="false" outlineLevel="0" collapsed="false">
      <c r="B694" s="360" t="s">
        <v>3088</v>
      </c>
      <c r="C694" s="385" t="n">
        <v>1</v>
      </c>
      <c r="D694" s="385" t="n">
        <v>0</v>
      </c>
      <c r="E694" s="385" t="n">
        <v>0</v>
      </c>
      <c r="F694" s="365" t="n">
        <v>1</v>
      </c>
      <c r="G694" s="380" t="n">
        <v>0</v>
      </c>
      <c r="H694" s="358" t="n">
        <v>0</v>
      </c>
      <c r="I694" s="358" t="n">
        <v>0</v>
      </c>
      <c r="J694" s="358" t="n">
        <v>0</v>
      </c>
      <c r="K694" s="358" t="n">
        <v>0</v>
      </c>
      <c r="L694" s="358" t="n">
        <v>0</v>
      </c>
      <c r="M694" s="385" t="n">
        <v>1</v>
      </c>
      <c r="N694" s="385" t="n">
        <v>0</v>
      </c>
      <c r="O694" s="385" t="n">
        <v>0</v>
      </c>
      <c r="P694" s="365" t="n">
        <v>1</v>
      </c>
    </row>
    <row r="695" customFormat="false" ht="15" hidden="true" customHeight="false" outlineLevel="0" collapsed="false">
      <c r="B695" s="360" t="s">
        <v>3089</v>
      </c>
      <c r="C695" s="385" t="n">
        <v>1</v>
      </c>
      <c r="D695" s="385" t="n">
        <v>0</v>
      </c>
      <c r="E695" s="385" t="n">
        <v>0</v>
      </c>
      <c r="F695" s="365" t="n">
        <v>1</v>
      </c>
      <c r="G695" s="380" t="n">
        <v>0</v>
      </c>
      <c r="H695" s="358" t="n">
        <v>0</v>
      </c>
      <c r="I695" s="358" t="n">
        <v>0</v>
      </c>
      <c r="J695" s="358" t="n">
        <v>0</v>
      </c>
      <c r="K695" s="358" t="n">
        <v>0</v>
      </c>
      <c r="L695" s="358" t="n">
        <v>0</v>
      </c>
      <c r="M695" s="385" t="n">
        <v>1</v>
      </c>
      <c r="N695" s="385" t="n">
        <v>0</v>
      </c>
      <c r="O695" s="385" t="n">
        <v>0</v>
      </c>
      <c r="P695" s="365" t="n">
        <v>1</v>
      </c>
    </row>
    <row r="696" customFormat="false" ht="15" hidden="true" customHeight="false" outlineLevel="0" collapsed="false">
      <c r="B696" s="361" t="s">
        <v>3090</v>
      </c>
      <c r="C696" s="385" t="n">
        <v>0</v>
      </c>
      <c r="D696" s="385" t="n">
        <v>0</v>
      </c>
      <c r="E696" s="385" t="n">
        <v>0</v>
      </c>
      <c r="F696" s="365" t="n">
        <v>0</v>
      </c>
      <c r="G696" s="380" t="n">
        <v>1</v>
      </c>
      <c r="H696" s="358" t="n">
        <v>0</v>
      </c>
      <c r="I696" s="358" t="n">
        <v>0</v>
      </c>
      <c r="J696" s="358" t="n">
        <v>0</v>
      </c>
      <c r="K696" s="358" t="n">
        <v>0</v>
      </c>
      <c r="L696" s="358" t="n">
        <v>0</v>
      </c>
      <c r="M696" s="385" t="n">
        <v>1</v>
      </c>
      <c r="N696" s="385" t="n">
        <v>0</v>
      </c>
      <c r="O696" s="385" t="n">
        <v>0</v>
      </c>
      <c r="P696" s="365" t="n">
        <v>1</v>
      </c>
    </row>
    <row r="697" customFormat="false" ht="15" hidden="true" customHeight="false" outlineLevel="0" collapsed="false">
      <c r="B697" s="360" t="s">
        <v>3091</v>
      </c>
      <c r="C697" s="385" t="n">
        <v>1</v>
      </c>
      <c r="D697" s="385" t="n">
        <v>0</v>
      </c>
      <c r="E697" s="385" t="n">
        <v>0</v>
      </c>
      <c r="F697" s="365" t="n">
        <v>1</v>
      </c>
      <c r="G697" s="380" t="n">
        <v>0</v>
      </c>
      <c r="H697" s="358" t="n">
        <v>0</v>
      </c>
      <c r="I697" s="358" t="n">
        <v>0</v>
      </c>
      <c r="J697" s="358" t="n">
        <v>0</v>
      </c>
      <c r="K697" s="358" t="n">
        <v>0</v>
      </c>
      <c r="L697" s="358" t="n">
        <v>0</v>
      </c>
      <c r="M697" s="385" t="n">
        <v>1</v>
      </c>
      <c r="N697" s="385" t="n">
        <v>0</v>
      </c>
      <c r="O697" s="385" t="n">
        <v>0</v>
      </c>
      <c r="P697" s="365" t="n">
        <v>1</v>
      </c>
    </row>
    <row r="698" customFormat="false" ht="15" hidden="true" customHeight="false" outlineLevel="0" collapsed="false">
      <c r="B698" s="360" t="s">
        <v>3092</v>
      </c>
      <c r="C698" s="385" t="n">
        <v>1</v>
      </c>
      <c r="D698" s="385" t="n">
        <v>0</v>
      </c>
      <c r="E698" s="385" t="n">
        <v>0</v>
      </c>
      <c r="F698" s="365" t="n">
        <v>1</v>
      </c>
      <c r="G698" s="380" t="n">
        <v>0</v>
      </c>
      <c r="H698" s="358" t="n">
        <v>0</v>
      </c>
      <c r="I698" s="358" t="n">
        <v>0</v>
      </c>
      <c r="J698" s="358" t="n">
        <v>0</v>
      </c>
      <c r="K698" s="358" t="n">
        <v>0</v>
      </c>
      <c r="L698" s="358" t="n">
        <v>0</v>
      </c>
      <c r="M698" s="385" t="n">
        <v>1</v>
      </c>
      <c r="N698" s="385" t="n">
        <v>0</v>
      </c>
      <c r="O698" s="385" t="n">
        <v>0</v>
      </c>
      <c r="P698" s="365" t="n">
        <v>1</v>
      </c>
    </row>
    <row r="699" customFormat="false" ht="15" hidden="true" customHeight="false" outlineLevel="0" collapsed="false">
      <c r="B699" s="360" t="s">
        <v>3093</v>
      </c>
      <c r="C699" s="385" t="n">
        <v>1</v>
      </c>
      <c r="D699" s="385" t="n">
        <v>0</v>
      </c>
      <c r="E699" s="385" t="n">
        <v>0</v>
      </c>
      <c r="F699" s="365" t="n">
        <v>1</v>
      </c>
      <c r="G699" s="380" t="n">
        <v>0</v>
      </c>
      <c r="H699" s="358" t="n">
        <v>0</v>
      </c>
      <c r="I699" s="358" t="n">
        <v>0</v>
      </c>
      <c r="J699" s="358" t="n">
        <v>0</v>
      </c>
      <c r="K699" s="358" t="n">
        <v>0</v>
      </c>
      <c r="L699" s="358" t="n">
        <v>0</v>
      </c>
      <c r="M699" s="385" t="n">
        <v>1</v>
      </c>
      <c r="N699" s="385" t="n">
        <v>0</v>
      </c>
      <c r="O699" s="385" t="n">
        <v>0</v>
      </c>
      <c r="P699" s="365" t="n">
        <v>1</v>
      </c>
    </row>
    <row r="700" customFormat="false" ht="15" hidden="true" customHeight="false" outlineLevel="0" collapsed="false">
      <c r="B700" s="360" t="s">
        <v>3094</v>
      </c>
      <c r="C700" s="385" t="n">
        <v>1</v>
      </c>
      <c r="D700" s="385" t="n">
        <v>0</v>
      </c>
      <c r="E700" s="385" t="n">
        <v>0</v>
      </c>
      <c r="F700" s="365" t="n">
        <v>1</v>
      </c>
      <c r="G700" s="380" t="n">
        <v>0</v>
      </c>
      <c r="H700" s="358" t="n">
        <v>0</v>
      </c>
      <c r="I700" s="358" t="n">
        <v>0</v>
      </c>
      <c r="J700" s="358" t="n">
        <v>0</v>
      </c>
      <c r="K700" s="358" t="n">
        <v>0</v>
      </c>
      <c r="L700" s="358" t="n">
        <v>0</v>
      </c>
      <c r="M700" s="385" t="n">
        <v>1</v>
      </c>
      <c r="N700" s="385" t="n">
        <v>0</v>
      </c>
      <c r="O700" s="385" t="n">
        <v>0</v>
      </c>
      <c r="P700" s="365" t="n">
        <v>1</v>
      </c>
    </row>
    <row r="701" customFormat="false" ht="15" hidden="true" customHeight="false" outlineLevel="0" collapsed="false">
      <c r="B701" s="360" t="s">
        <v>3095</v>
      </c>
      <c r="C701" s="385" t="n">
        <v>1</v>
      </c>
      <c r="D701" s="385" t="n">
        <v>0</v>
      </c>
      <c r="E701" s="385" t="n">
        <v>0</v>
      </c>
      <c r="F701" s="365" t="n">
        <v>1</v>
      </c>
      <c r="G701" s="380" t="n">
        <v>0</v>
      </c>
      <c r="H701" s="358" t="n">
        <v>0</v>
      </c>
      <c r="I701" s="358" t="n">
        <v>0</v>
      </c>
      <c r="J701" s="358" t="n">
        <v>0</v>
      </c>
      <c r="K701" s="358" t="n">
        <v>0</v>
      </c>
      <c r="L701" s="358" t="n">
        <v>0</v>
      </c>
      <c r="M701" s="385" t="n">
        <v>1</v>
      </c>
      <c r="N701" s="385" t="n">
        <v>0</v>
      </c>
      <c r="O701" s="385" t="n">
        <v>0</v>
      </c>
      <c r="P701" s="365" t="n">
        <v>1</v>
      </c>
    </row>
    <row r="702" customFormat="false" ht="15" hidden="true" customHeight="false" outlineLevel="0" collapsed="false">
      <c r="B702" s="360" t="s">
        <v>3096</v>
      </c>
      <c r="C702" s="385" t="n">
        <v>1</v>
      </c>
      <c r="D702" s="385" t="n">
        <v>0</v>
      </c>
      <c r="E702" s="385" t="n">
        <v>0</v>
      </c>
      <c r="F702" s="365" t="n">
        <v>1</v>
      </c>
      <c r="G702" s="380" t="n">
        <v>0</v>
      </c>
      <c r="H702" s="358" t="n">
        <v>0</v>
      </c>
      <c r="I702" s="358" t="n">
        <v>0</v>
      </c>
      <c r="J702" s="358" t="n">
        <v>0</v>
      </c>
      <c r="K702" s="358" t="n">
        <v>0</v>
      </c>
      <c r="L702" s="358" t="n">
        <v>0</v>
      </c>
      <c r="M702" s="385" t="n">
        <v>1</v>
      </c>
      <c r="N702" s="385" t="n">
        <v>0</v>
      </c>
      <c r="O702" s="385" t="n">
        <v>0</v>
      </c>
      <c r="P702" s="365" t="n">
        <v>1</v>
      </c>
    </row>
    <row r="703" customFormat="false" ht="15" hidden="true" customHeight="false" outlineLevel="0" collapsed="false">
      <c r="B703" s="360" t="s">
        <v>3097</v>
      </c>
      <c r="C703" s="385" t="n">
        <v>1</v>
      </c>
      <c r="D703" s="385" t="n">
        <v>0</v>
      </c>
      <c r="E703" s="385" t="n">
        <v>0</v>
      </c>
      <c r="F703" s="365" t="n">
        <v>1</v>
      </c>
      <c r="G703" s="380" t="n">
        <v>0</v>
      </c>
      <c r="H703" s="358" t="n">
        <v>0</v>
      </c>
      <c r="I703" s="358" t="n">
        <v>0</v>
      </c>
      <c r="J703" s="358" t="n">
        <v>0</v>
      </c>
      <c r="K703" s="358" t="n">
        <v>0</v>
      </c>
      <c r="L703" s="358" t="n">
        <v>0</v>
      </c>
      <c r="M703" s="385" t="n">
        <v>1</v>
      </c>
      <c r="N703" s="385" t="n">
        <v>0</v>
      </c>
      <c r="O703" s="385" t="n">
        <v>0</v>
      </c>
      <c r="P703" s="365" t="n">
        <v>1</v>
      </c>
    </row>
    <row r="704" customFormat="false" ht="15" hidden="true" customHeight="false" outlineLevel="0" collapsed="false">
      <c r="B704" s="360" t="s">
        <v>3098</v>
      </c>
      <c r="C704" s="385" t="n">
        <v>1</v>
      </c>
      <c r="D704" s="385" t="n">
        <v>0</v>
      </c>
      <c r="E704" s="385" t="n">
        <v>0</v>
      </c>
      <c r="F704" s="365" t="n">
        <v>1</v>
      </c>
      <c r="G704" s="380" t="n">
        <v>0</v>
      </c>
      <c r="H704" s="358" t="n">
        <v>0</v>
      </c>
      <c r="I704" s="358" t="n">
        <v>0</v>
      </c>
      <c r="J704" s="358" t="n">
        <v>0</v>
      </c>
      <c r="K704" s="358" t="n">
        <v>0</v>
      </c>
      <c r="L704" s="358" t="n">
        <v>0</v>
      </c>
      <c r="M704" s="385" t="n">
        <v>1</v>
      </c>
      <c r="N704" s="385" t="n">
        <v>0</v>
      </c>
      <c r="O704" s="385" t="n">
        <v>0</v>
      </c>
      <c r="P704" s="365" t="n">
        <v>1</v>
      </c>
    </row>
    <row r="705" customFormat="false" ht="15" hidden="true" customHeight="false" outlineLevel="0" collapsed="false">
      <c r="B705" s="360" t="s">
        <v>3099</v>
      </c>
      <c r="C705" s="385" t="n">
        <v>1</v>
      </c>
      <c r="D705" s="385" t="n">
        <v>0</v>
      </c>
      <c r="E705" s="385" t="n">
        <v>0</v>
      </c>
      <c r="F705" s="365" t="n">
        <v>1</v>
      </c>
      <c r="G705" s="380" t="n">
        <v>0</v>
      </c>
      <c r="H705" s="358" t="n">
        <v>0</v>
      </c>
      <c r="I705" s="358" t="n">
        <v>0</v>
      </c>
      <c r="J705" s="358" t="n">
        <v>0</v>
      </c>
      <c r="K705" s="358" t="n">
        <v>0</v>
      </c>
      <c r="L705" s="358" t="n">
        <v>0</v>
      </c>
      <c r="M705" s="385" t="n">
        <v>1</v>
      </c>
      <c r="N705" s="385" t="n">
        <v>0</v>
      </c>
      <c r="O705" s="385" t="n">
        <v>0</v>
      </c>
      <c r="P705" s="365" t="n">
        <v>1</v>
      </c>
    </row>
    <row r="706" customFormat="false" ht="15" hidden="true" customHeight="false" outlineLevel="0" collapsed="false">
      <c r="B706" s="360" t="s">
        <v>3100</v>
      </c>
      <c r="C706" s="385" t="n">
        <v>1</v>
      </c>
      <c r="D706" s="385" t="n">
        <v>0</v>
      </c>
      <c r="E706" s="385" t="n">
        <v>0</v>
      </c>
      <c r="F706" s="365" t="n">
        <v>1</v>
      </c>
      <c r="G706" s="380" t="n">
        <v>0</v>
      </c>
      <c r="H706" s="358" t="n">
        <v>0</v>
      </c>
      <c r="I706" s="358" t="n">
        <v>0</v>
      </c>
      <c r="J706" s="358" t="n">
        <v>0</v>
      </c>
      <c r="K706" s="358" t="n">
        <v>0</v>
      </c>
      <c r="L706" s="358" t="n">
        <v>0</v>
      </c>
      <c r="M706" s="385" t="n">
        <v>1</v>
      </c>
      <c r="N706" s="385" t="n">
        <v>0</v>
      </c>
      <c r="O706" s="385" t="n">
        <v>0</v>
      </c>
      <c r="P706" s="365" t="n">
        <v>1</v>
      </c>
    </row>
    <row r="707" customFormat="false" ht="15" hidden="true" customHeight="false" outlineLevel="0" collapsed="false">
      <c r="B707" s="360" t="s">
        <v>3101</v>
      </c>
      <c r="C707" s="385" t="n">
        <v>1</v>
      </c>
      <c r="D707" s="385" t="n">
        <v>0</v>
      </c>
      <c r="E707" s="385" t="n">
        <v>0</v>
      </c>
      <c r="F707" s="365" t="n">
        <v>1</v>
      </c>
      <c r="G707" s="380" t="n">
        <v>0</v>
      </c>
      <c r="H707" s="358" t="n">
        <v>0</v>
      </c>
      <c r="I707" s="358" t="n">
        <v>0</v>
      </c>
      <c r="J707" s="358" t="n">
        <v>0</v>
      </c>
      <c r="K707" s="358" t="n">
        <v>0</v>
      </c>
      <c r="L707" s="358" t="n">
        <v>0</v>
      </c>
      <c r="M707" s="385" t="n">
        <v>1</v>
      </c>
      <c r="N707" s="385" t="n">
        <v>0</v>
      </c>
      <c r="O707" s="385" t="n">
        <v>0</v>
      </c>
      <c r="P707" s="365" t="n">
        <v>1</v>
      </c>
    </row>
    <row r="708" customFormat="false" ht="15" hidden="true" customHeight="false" outlineLevel="0" collapsed="false">
      <c r="B708" s="360" t="s">
        <v>3102</v>
      </c>
      <c r="C708" s="385" t="n">
        <v>1</v>
      </c>
      <c r="D708" s="385" t="n">
        <v>0</v>
      </c>
      <c r="E708" s="385" t="n">
        <v>0</v>
      </c>
      <c r="F708" s="365" t="n">
        <v>1</v>
      </c>
      <c r="G708" s="380" t="n">
        <v>0</v>
      </c>
      <c r="H708" s="358" t="n">
        <v>0</v>
      </c>
      <c r="I708" s="358" t="n">
        <v>0</v>
      </c>
      <c r="J708" s="358" t="n">
        <v>0</v>
      </c>
      <c r="K708" s="358" t="n">
        <v>0</v>
      </c>
      <c r="L708" s="358" t="n">
        <v>0</v>
      </c>
      <c r="M708" s="385" t="n">
        <v>1</v>
      </c>
      <c r="N708" s="385" t="n">
        <v>0</v>
      </c>
      <c r="O708" s="385" t="n">
        <v>0</v>
      </c>
      <c r="P708" s="365" t="n">
        <v>1</v>
      </c>
    </row>
    <row r="709" customFormat="false" ht="15" hidden="true" customHeight="false" outlineLevel="0" collapsed="false">
      <c r="B709" s="360" t="s">
        <v>3103</v>
      </c>
      <c r="C709" s="385" t="n">
        <v>1</v>
      </c>
      <c r="D709" s="385" t="n">
        <v>0</v>
      </c>
      <c r="E709" s="385" t="n">
        <v>0</v>
      </c>
      <c r="F709" s="365" t="n">
        <v>1</v>
      </c>
      <c r="G709" s="380" t="n">
        <v>0</v>
      </c>
      <c r="H709" s="358" t="n">
        <v>0</v>
      </c>
      <c r="I709" s="358" t="n">
        <v>0</v>
      </c>
      <c r="J709" s="358" t="n">
        <v>0</v>
      </c>
      <c r="K709" s="358" t="n">
        <v>0</v>
      </c>
      <c r="L709" s="358" t="n">
        <v>0</v>
      </c>
      <c r="M709" s="385" t="n">
        <v>1</v>
      </c>
      <c r="N709" s="385" t="n">
        <v>0</v>
      </c>
      <c r="O709" s="385" t="n">
        <v>0</v>
      </c>
      <c r="P709" s="365" t="n">
        <v>1</v>
      </c>
    </row>
    <row r="710" customFormat="false" ht="15" hidden="true" customHeight="false" outlineLevel="0" collapsed="false">
      <c r="B710" s="360" t="s">
        <v>3104</v>
      </c>
      <c r="C710" s="385" t="n">
        <v>1</v>
      </c>
      <c r="D710" s="385" t="n">
        <v>0</v>
      </c>
      <c r="E710" s="385" t="n">
        <v>0</v>
      </c>
      <c r="F710" s="365" t="n">
        <v>1</v>
      </c>
      <c r="G710" s="380" t="n">
        <v>0</v>
      </c>
      <c r="H710" s="358" t="n">
        <v>0</v>
      </c>
      <c r="I710" s="358" t="n">
        <v>0</v>
      </c>
      <c r="J710" s="358" t="n">
        <v>0</v>
      </c>
      <c r="K710" s="358" t="n">
        <v>0</v>
      </c>
      <c r="L710" s="358" t="n">
        <v>0</v>
      </c>
      <c r="M710" s="385" t="n">
        <v>1</v>
      </c>
      <c r="N710" s="385" t="n">
        <v>0</v>
      </c>
      <c r="O710" s="385" t="n">
        <v>0</v>
      </c>
      <c r="P710" s="365" t="n">
        <v>1</v>
      </c>
    </row>
    <row r="711" customFormat="false" ht="15" hidden="true" customHeight="false" outlineLevel="0" collapsed="false">
      <c r="B711" s="360" t="s">
        <v>3105</v>
      </c>
      <c r="C711" s="385" t="n">
        <v>1</v>
      </c>
      <c r="D711" s="385" t="n">
        <v>0</v>
      </c>
      <c r="E711" s="385" t="n">
        <v>0</v>
      </c>
      <c r="F711" s="365" t="n">
        <v>1</v>
      </c>
      <c r="G711" s="380" t="n">
        <v>0</v>
      </c>
      <c r="H711" s="358" t="n">
        <v>0</v>
      </c>
      <c r="I711" s="358" t="n">
        <v>0</v>
      </c>
      <c r="J711" s="358" t="n">
        <v>0</v>
      </c>
      <c r="K711" s="358" t="n">
        <v>0</v>
      </c>
      <c r="L711" s="358" t="n">
        <v>0</v>
      </c>
      <c r="M711" s="385" t="n">
        <v>1</v>
      </c>
      <c r="N711" s="385" t="n">
        <v>0</v>
      </c>
      <c r="O711" s="385" t="n">
        <v>0</v>
      </c>
      <c r="P711" s="365" t="n">
        <v>1</v>
      </c>
    </row>
    <row r="712" customFormat="false" ht="15" hidden="true" customHeight="false" outlineLevel="0" collapsed="false">
      <c r="B712" s="360" t="s">
        <v>3106</v>
      </c>
      <c r="C712" s="385" t="n">
        <v>1</v>
      </c>
      <c r="D712" s="385" t="n">
        <v>0</v>
      </c>
      <c r="E712" s="385" t="n">
        <v>0</v>
      </c>
      <c r="F712" s="365" t="n">
        <v>1</v>
      </c>
      <c r="G712" s="380" t="n">
        <v>0</v>
      </c>
      <c r="H712" s="358" t="n">
        <v>0</v>
      </c>
      <c r="I712" s="358" t="n">
        <v>0</v>
      </c>
      <c r="J712" s="358" t="n">
        <v>0</v>
      </c>
      <c r="K712" s="358" t="n">
        <v>0</v>
      </c>
      <c r="L712" s="358" t="n">
        <v>0</v>
      </c>
      <c r="M712" s="385" t="n">
        <v>1</v>
      </c>
      <c r="N712" s="385" t="n">
        <v>0</v>
      </c>
      <c r="O712" s="385" t="n">
        <v>0</v>
      </c>
      <c r="P712" s="365" t="n">
        <v>1</v>
      </c>
    </row>
    <row r="713" customFormat="false" ht="15" hidden="true" customHeight="false" outlineLevel="0" collapsed="false">
      <c r="B713" s="360" t="s">
        <v>3107</v>
      </c>
      <c r="C713" s="385" t="n">
        <v>1</v>
      </c>
      <c r="D713" s="385" t="n">
        <v>0</v>
      </c>
      <c r="E713" s="385" t="n">
        <v>0</v>
      </c>
      <c r="F713" s="365" t="n">
        <v>1</v>
      </c>
      <c r="G713" s="380" t="n">
        <v>0</v>
      </c>
      <c r="H713" s="358" t="n">
        <v>0</v>
      </c>
      <c r="I713" s="358" t="n">
        <v>0</v>
      </c>
      <c r="J713" s="358" t="n">
        <v>0</v>
      </c>
      <c r="K713" s="358" t="n">
        <v>0</v>
      </c>
      <c r="L713" s="358" t="n">
        <v>0</v>
      </c>
      <c r="M713" s="385" t="n">
        <v>1</v>
      </c>
      <c r="N713" s="385" t="n">
        <v>0</v>
      </c>
      <c r="O713" s="385" t="n">
        <v>0</v>
      </c>
      <c r="P713" s="365" t="n">
        <v>1</v>
      </c>
    </row>
    <row r="714" customFormat="false" ht="15" hidden="true" customHeight="false" outlineLevel="0" collapsed="false">
      <c r="B714" s="360" t="s">
        <v>3108</v>
      </c>
      <c r="C714" s="385" t="n">
        <v>1</v>
      </c>
      <c r="D714" s="385" t="n">
        <v>0</v>
      </c>
      <c r="E714" s="385" t="n">
        <v>0</v>
      </c>
      <c r="F714" s="365" t="n">
        <v>1</v>
      </c>
      <c r="G714" s="380" t="n">
        <v>0</v>
      </c>
      <c r="H714" s="358" t="n">
        <v>0</v>
      </c>
      <c r="I714" s="358" t="n">
        <v>0</v>
      </c>
      <c r="J714" s="358" t="n">
        <v>0</v>
      </c>
      <c r="K714" s="358" t="n">
        <v>0</v>
      </c>
      <c r="L714" s="358" t="n">
        <v>0</v>
      </c>
      <c r="M714" s="385" t="n">
        <v>1</v>
      </c>
      <c r="N714" s="385" t="n">
        <v>0</v>
      </c>
      <c r="O714" s="385" t="n">
        <v>0</v>
      </c>
      <c r="P714" s="365" t="n">
        <v>1</v>
      </c>
    </row>
    <row r="715" customFormat="false" ht="15" hidden="true" customHeight="false" outlineLevel="0" collapsed="false">
      <c r="B715" s="360" t="s">
        <v>3109</v>
      </c>
      <c r="C715" s="385" t="n">
        <v>1</v>
      </c>
      <c r="D715" s="385" t="n">
        <v>0</v>
      </c>
      <c r="E715" s="385" t="n">
        <v>0</v>
      </c>
      <c r="F715" s="365" t="n">
        <v>1</v>
      </c>
      <c r="G715" s="380" t="n">
        <v>0</v>
      </c>
      <c r="H715" s="358" t="n">
        <v>0</v>
      </c>
      <c r="I715" s="358" t="n">
        <v>0</v>
      </c>
      <c r="J715" s="358" t="n">
        <v>0</v>
      </c>
      <c r="K715" s="358" t="n">
        <v>0</v>
      </c>
      <c r="L715" s="358" t="n">
        <v>0</v>
      </c>
      <c r="M715" s="385" t="n">
        <v>1</v>
      </c>
      <c r="N715" s="385" t="n">
        <v>0</v>
      </c>
      <c r="O715" s="385" t="n">
        <v>0</v>
      </c>
      <c r="P715" s="365" t="n">
        <v>1</v>
      </c>
    </row>
    <row r="716" customFormat="false" ht="15" hidden="true" customHeight="false" outlineLevel="0" collapsed="false">
      <c r="B716" s="360" t="s">
        <v>3110</v>
      </c>
      <c r="C716" s="385" t="n">
        <v>1</v>
      </c>
      <c r="D716" s="385" t="n">
        <v>0</v>
      </c>
      <c r="E716" s="385" t="n">
        <v>0</v>
      </c>
      <c r="F716" s="365" t="n">
        <v>1</v>
      </c>
      <c r="G716" s="380" t="n">
        <v>0</v>
      </c>
      <c r="H716" s="358" t="n">
        <v>0</v>
      </c>
      <c r="I716" s="358" t="n">
        <v>0</v>
      </c>
      <c r="J716" s="358" t="n">
        <v>0</v>
      </c>
      <c r="K716" s="358" t="n">
        <v>0</v>
      </c>
      <c r="L716" s="358" t="n">
        <v>0</v>
      </c>
      <c r="M716" s="385" t="n">
        <v>1</v>
      </c>
      <c r="N716" s="385" t="n">
        <v>0</v>
      </c>
      <c r="O716" s="385" t="n">
        <v>0</v>
      </c>
      <c r="P716" s="365" t="n">
        <v>1</v>
      </c>
    </row>
    <row r="717" customFormat="false" ht="15" hidden="true" customHeight="false" outlineLevel="0" collapsed="false">
      <c r="B717" s="360" t="s">
        <v>3111</v>
      </c>
      <c r="C717" s="385" t="n">
        <v>1</v>
      </c>
      <c r="D717" s="385" t="n">
        <v>0</v>
      </c>
      <c r="E717" s="385" t="n">
        <v>0</v>
      </c>
      <c r="F717" s="365" t="n">
        <v>1</v>
      </c>
      <c r="G717" s="380" t="n">
        <v>0</v>
      </c>
      <c r="H717" s="358" t="n">
        <v>0</v>
      </c>
      <c r="I717" s="358" t="n">
        <v>0</v>
      </c>
      <c r="J717" s="358" t="n">
        <v>0</v>
      </c>
      <c r="K717" s="358" t="n">
        <v>0</v>
      </c>
      <c r="L717" s="358" t="n">
        <v>0</v>
      </c>
      <c r="M717" s="385" t="n">
        <v>1</v>
      </c>
      <c r="N717" s="385" t="n">
        <v>0</v>
      </c>
      <c r="O717" s="385" t="n">
        <v>0</v>
      </c>
      <c r="P717" s="365" t="n">
        <v>1</v>
      </c>
    </row>
    <row r="718" customFormat="false" ht="15" hidden="true" customHeight="false" outlineLevel="0" collapsed="false">
      <c r="B718" s="360" t="s">
        <v>3112</v>
      </c>
      <c r="C718" s="385" t="n">
        <v>1</v>
      </c>
      <c r="D718" s="385" t="n">
        <v>0</v>
      </c>
      <c r="E718" s="385" t="n">
        <v>0</v>
      </c>
      <c r="F718" s="365" t="n">
        <v>1</v>
      </c>
      <c r="G718" s="380" t="n">
        <v>0</v>
      </c>
      <c r="H718" s="358" t="n">
        <v>0</v>
      </c>
      <c r="I718" s="358" t="n">
        <v>0</v>
      </c>
      <c r="J718" s="358" t="n">
        <v>0</v>
      </c>
      <c r="K718" s="358" t="n">
        <v>0</v>
      </c>
      <c r="L718" s="358" t="n">
        <v>0</v>
      </c>
      <c r="M718" s="385" t="n">
        <v>1</v>
      </c>
      <c r="N718" s="385" t="n">
        <v>0</v>
      </c>
      <c r="O718" s="385" t="n">
        <v>0</v>
      </c>
      <c r="P718" s="365" t="n">
        <v>1</v>
      </c>
    </row>
    <row r="719" customFormat="false" ht="15" hidden="true" customHeight="false" outlineLevel="0" collapsed="false">
      <c r="B719" s="360" t="s">
        <v>3113</v>
      </c>
      <c r="C719" s="385" t="n">
        <v>1</v>
      </c>
      <c r="D719" s="385" t="n">
        <v>0</v>
      </c>
      <c r="E719" s="385" t="n">
        <v>0</v>
      </c>
      <c r="F719" s="365" t="n">
        <v>1</v>
      </c>
      <c r="G719" s="380" t="n">
        <v>0</v>
      </c>
      <c r="H719" s="358" t="n">
        <v>0</v>
      </c>
      <c r="I719" s="358" t="n">
        <v>0</v>
      </c>
      <c r="J719" s="358" t="n">
        <v>0</v>
      </c>
      <c r="K719" s="358" t="n">
        <v>0</v>
      </c>
      <c r="L719" s="358" t="n">
        <v>0</v>
      </c>
      <c r="M719" s="385" t="n">
        <v>1</v>
      </c>
      <c r="N719" s="385" t="n">
        <v>0</v>
      </c>
      <c r="O719" s="385" t="n">
        <v>0</v>
      </c>
      <c r="P719" s="365" t="n">
        <v>1</v>
      </c>
    </row>
    <row r="720" customFormat="false" ht="15" hidden="true" customHeight="false" outlineLevel="0" collapsed="false">
      <c r="B720" s="360" t="s">
        <v>3114</v>
      </c>
      <c r="C720" s="385" t="n">
        <v>1</v>
      </c>
      <c r="D720" s="385" t="n">
        <v>0</v>
      </c>
      <c r="E720" s="385" t="n">
        <v>0</v>
      </c>
      <c r="F720" s="365" t="n">
        <v>1</v>
      </c>
      <c r="G720" s="380" t="n">
        <v>0</v>
      </c>
      <c r="H720" s="358" t="n">
        <v>0</v>
      </c>
      <c r="I720" s="358" t="n">
        <v>0</v>
      </c>
      <c r="J720" s="358" t="n">
        <v>0</v>
      </c>
      <c r="K720" s="358" t="n">
        <v>0</v>
      </c>
      <c r="L720" s="358" t="n">
        <v>0</v>
      </c>
      <c r="M720" s="385" t="n">
        <v>1</v>
      </c>
      <c r="N720" s="385" t="n">
        <v>0</v>
      </c>
      <c r="O720" s="385" t="n">
        <v>0</v>
      </c>
      <c r="P720" s="365" t="n">
        <v>1</v>
      </c>
    </row>
    <row r="721" customFormat="false" ht="15" hidden="true" customHeight="false" outlineLevel="0" collapsed="false">
      <c r="B721" s="360" t="s">
        <v>3115</v>
      </c>
      <c r="C721" s="385" t="n">
        <v>1</v>
      </c>
      <c r="D721" s="385" t="n">
        <v>0</v>
      </c>
      <c r="E721" s="385" t="n">
        <v>0</v>
      </c>
      <c r="F721" s="365" t="n">
        <v>1</v>
      </c>
      <c r="G721" s="380" t="n">
        <v>0</v>
      </c>
      <c r="H721" s="358" t="n">
        <v>0</v>
      </c>
      <c r="I721" s="358" t="n">
        <v>0</v>
      </c>
      <c r="J721" s="358" t="n">
        <v>0</v>
      </c>
      <c r="K721" s="358" t="n">
        <v>0</v>
      </c>
      <c r="L721" s="358" t="n">
        <v>0</v>
      </c>
      <c r="M721" s="385" t="n">
        <v>1</v>
      </c>
      <c r="N721" s="385" t="n">
        <v>0</v>
      </c>
      <c r="O721" s="385" t="n">
        <v>0</v>
      </c>
      <c r="P721" s="365" t="n">
        <v>1</v>
      </c>
    </row>
    <row r="722" customFormat="false" ht="15" hidden="true" customHeight="false" outlineLevel="0" collapsed="false">
      <c r="B722" s="360" t="s">
        <v>3116</v>
      </c>
      <c r="C722" s="385" t="n">
        <v>1</v>
      </c>
      <c r="D722" s="385" t="n">
        <v>0</v>
      </c>
      <c r="E722" s="385" t="n">
        <v>0</v>
      </c>
      <c r="F722" s="365" t="n">
        <v>1</v>
      </c>
      <c r="G722" s="380" t="n">
        <v>0</v>
      </c>
      <c r="H722" s="358" t="n">
        <v>0</v>
      </c>
      <c r="I722" s="358" t="n">
        <v>0</v>
      </c>
      <c r="J722" s="358" t="n">
        <v>0</v>
      </c>
      <c r="K722" s="358" t="n">
        <v>0</v>
      </c>
      <c r="L722" s="358" t="n">
        <v>0</v>
      </c>
      <c r="M722" s="385" t="n">
        <v>1</v>
      </c>
      <c r="N722" s="385" t="n">
        <v>0</v>
      </c>
      <c r="O722" s="385" t="n">
        <v>0</v>
      </c>
      <c r="P722" s="365" t="n">
        <v>1</v>
      </c>
    </row>
    <row r="723" customFormat="false" ht="15" hidden="true" customHeight="false" outlineLevel="0" collapsed="false">
      <c r="B723" s="360" t="s">
        <v>3117</v>
      </c>
      <c r="C723" s="385" t="n">
        <v>1</v>
      </c>
      <c r="D723" s="385" t="n">
        <v>0</v>
      </c>
      <c r="E723" s="385" t="n">
        <v>0</v>
      </c>
      <c r="F723" s="365" t="n">
        <v>1</v>
      </c>
      <c r="G723" s="380" t="n">
        <v>0</v>
      </c>
      <c r="H723" s="358" t="n">
        <v>0</v>
      </c>
      <c r="I723" s="358" t="n">
        <v>0</v>
      </c>
      <c r="J723" s="358" t="n">
        <v>0</v>
      </c>
      <c r="K723" s="358" t="n">
        <v>0</v>
      </c>
      <c r="L723" s="358" t="n">
        <v>0</v>
      </c>
      <c r="M723" s="385" t="n">
        <v>1</v>
      </c>
      <c r="N723" s="385" t="n">
        <v>0</v>
      </c>
      <c r="O723" s="385" t="n">
        <v>0</v>
      </c>
      <c r="P723" s="365" t="n">
        <v>1</v>
      </c>
    </row>
    <row r="724" customFormat="false" ht="15" hidden="true" customHeight="false" outlineLevel="0" collapsed="false">
      <c r="B724" s="360" t="s">
        <v>3118</v>
      </c>
      <c r="C724" s="385" t="n">
        <v>1</v>
      </c>
      <c r="D724" s="385" t="n">
        <v>0</v>
      </c>
      <c r="E724" s="385" t="n">
        <v>0</v>
      </c>
      <c r="F724" s="365" t="n">
        <v>1</v>
      </c>
      <c r="G724" s="380" t="n">
        <v>0</v>
      </c>
      <c r="H724" s="358" t="n">
        <v>0</v>
      </c>
      <c r="I724" s="358" t="n">
        <v>0</v>
      </c>
      <c r="J724" s="358" t="n">
        <v>0</v>
      </c>
      <c r="K724" s="358" t="n">
        <v>0</v>
      </c>
      <c r="L724" s="358" t="n">
        <v>0</v>
      </c>
      <c r="M724" s="385" t="n">
        <v>1</v>
      </c>
      <c r="N724" s="385" t="n">
        <v>0</v>
      </c>
      <c r="O724" s="385" t="n">
        <v>0</v>
      </c>
      <c r="P724" s="365" t="n">
        <v>1</v>
      </c>
    </row>
    <row r="725" customFormat="false" ht="15" hidden="true" customHeight="false" outlineLevel="0" collapsed="false">
      <c r="B725" s="360" t="s">
        <v>3119</v>
      </c>
      <c r="C725" s="385" t="n">
        <v>1</v>
      </c>
      <c r="D725" s="385" t="n">
        <v>0</v>
      </c>
      <c r="E725" s="385" t="n">
        <v>0</v>
      </c>
      <c r="F725" s="365" t="n">
        <v>1</v>
      </c>
      <c r="G725" s="380" t="n">
        <v>0</v>
      </c>
      <c r="H725" s="358" t="n">
        <v>0</v>
      </c>
      <c r="I725" s="358" t="n">
        <v>0</v>
      </c>
      <c r="J725" s="358" t="n">
        <v>0</v>
      </c>
      <c r="K725" s="358" t="n">
        <v>0</v>
      </c>
      <c r="L725" s="358" t="n">
        <v>0</v>
      </c>
      <c r="M725" s="385" t="n">
        <v>1</v>
      </c>
      <c r="N725" s="385" t="n">
        <v>0</v>
      </c>
      <c r="O725" s="385" t="n">
        <v>0</v>
      </c>
      <c r="P725" s="365" t="n">
        <v>1</v>
      </c>
    </row>
    <row r="726" customFormat="false" ht="15" hidden="true" customHeight="false" outlineLevel="0" collapsed="false">
      <c r="B726" s="360" t="s">
        <v>3120</v>
      </c>
      <c r="C726" s="385" t="n">
        <v>1</v>
      </c>
      <c r="D726" s="385" t="n">
        <v>0</v>
      </c>
      <c r="E726" s="385" t="n">
        <v>0</v>
      </c>
      <c r="F726" s="365" t="n">
        <v>1</v>
      </c>
      <c r="G726" s="380" t="n">
        <v>0</v>
      </c>
      <c r="H726" s="358" t="n">
        <v>0</v>
      </c>
      <c r="I726" s="358" t="n">
        <v>0</v>
      </c>
      <c r="J726" s="358" t="n">
        <v>0</v>
      </c>
      <c r="K726" s="358" t="n">
        <v>0</v>
      </c>
      <c r="L726" s="358" t="n">
        <v>0</v>
      </c>
      <c r="M726" s="385" t="n">
        <v>1</v>
      </c>
      <c r="N726" s="385" t="n">
        <v>0</v>
      </c>
      <c r="O726" s="385" t="n">
        <v>0</v>
      </c>
      <c r="P726" s="365" t="n">
        <v>1</v>
      </c>
    </row>
    <row r="727" customFormat="false" ht="15" hidden="true" customHeight="false" outlineLevel="0" collapsed="false">
      <c r="B727" s="360" t="s">
        <v>3121</v>
      </c>
      <c r="C727" s="385" t="n">
        <v>1</v>
      </c>
      <c r="D727" s="385" t="n">
        <v>0</v>
      </c>
      <c r="E727" s="385" t="n">
        <v>0</v>
      </c>
      <c r="F727" s="365" t="n">
        <v>1</v>
      </c>
      <c r="G727" s="380" t="n">
        <v>0</v>
      </c>
      <c r="H727" s="358" t="n">
        <v>0</v>
      </c>
      <c r="I727" s="358" t="n">
        <v>0</v>
      </c>
      <c r="J727" s="358" t="n">
        <v>0</v>
      </c>
      <c r="K727" s="358" t="n">
        <v>0</v>
      </c>
      <c r="L727" s="358" t="n">
        <v>0</v>
      </c>
      <c r="M727" s="385" t="n">
        <v>1</v>
      </c>
      <c r="N727" s="385" t="n">
        <v>0</v>
      </c>
      <c r="O727" s="385" t="n">
        <v>0</v>
      </c>
      <c r="P727" s="365" t="n">
        <v>1</v>
      </c>
    </row>
    <row r="728" customFormat="false" ht="15" hidden="true" customHeight="false" outlineLevel="0" collapsed="false">
      <c r="B728" s="360" t="s">
        <v>3122</v>
      </c>
      <c r="C728" s="385" t="n">
        <v>1</v>
      </c>
      <c r="D728" s="385" t="n">
        <v>0</v>
      </c>
      <c r="E728" s="385" t="n">
        <v>0</v>
      </c>
      <c r="F728" s="365" t="n">
        <v>1</v>
      </c>
      <c r="G728" s="380" t="n">
        <v>0</v>
      </c>
      <c r="H728" s="358" t="n">
        <v>0</v>
      </c>
      <c r="I728" s="358" t="n">
        <v>0</v>
      </c>
      <c r="J728" s="358" t="n">
        <v>0</v>
      </c>
      <c r="K728" s="358" t="n">
        <v>0</v>
      </c>
      <c r="L728" s="358" t="n">
        <v>0</v>
      </c>
      <c r="M728" s="385" t="n">
        <v>1</v>
      </c>
      <c r="N728" s="385" t="n">
        <v>0</v>
      </c>
      <c r="O728" s="385" t="n">
        <v>0</v>
      </c>
      <c r="P728" s="365" t="n">
        <v>1</v>
      </c>
    </row>
    <row r="729" customFormat="false" ht="15" hidden="true" customHeight="false" outlineLevel="0" collapsed="false">
      <c r="B729" s="360" t="s">
        <v>3123</v>
      </c>
      <c r="C729" s="385" t="n">
        <v>1</v>
      </c>
      <c r="D729" s="385" t="n">
        <v>0</v>
      </c>
      <c r="E729" s="385" t="n">
        <v>0</v>
      </c>
      <c r="F729" s="365" t="n">
        <v>1</v>
      </c>
      <c r="G729" s="380" t="n">
        <v>0</v>
      </c>
      <c r="H729" s="358" t="n">
        <v>0</v>
      </c>
      <c r="I729" s="358" t="n">
        <v>0</v>
      </c>
      <c r="J729" s="358" t="n">
        <v>0</v>
      </c>
      <c r="K729" s="358" t="n">
        <v>0</v>
      </c>
      <c r="L729" s="358" t="n">
        <v>0</v>
      </c>
      <c r="M729" s="385" t="n">
        <v>1</v>
      </c>
      <c r="N729" s="385" t="n">
        <v>0</v>
      </c>
      <c r="O729" s="385" t="n">
        <v>0</v>
      </c>
      <c r="P729" s="365" t="n">
        <v>1</v>
      </c>
    </row>
    <row r="730" customFormat="false" ht="15" hidden="true" customHeight="false" outlineLevel="0" collapsed="false">
      <c r="B730" s="360" t="s">
        <v>3124</v>
      </c>
      <c r="C730" s="385" t="n">
        <v>1</v>
      </c>
      <c r="D730" s="385" t="n">
        <v>0</v>
      </c>
      <c r="E730" s="385" t="n">
        <v>0</v>
      </c>
      <c r="F730" s="365" t="n">
        <v>1</v>
      </c>
      <c r="G730" s="380" t="n">
        <v>0</v>
      </c>
      <c r="H730" s="358" t="n">
        <v>0</v>
      </c>
      <c r="I730" s="358" t="n">
        <v>0</v>
      </c>
      <c r="J730" s="358" t="n">
        <v>0</v>
      </c>
      <c r="K730" s="358" t="n">
        <v>0</v>
      </c>
      <c r="L730" s="358" t="n">
        <v>0</v>
      </c>
      <c r="M730" s="385" t="n">
        <v>1</v>
      </c>
      <c r="N730" s="385" t="n">
        <v>0</v>
      </c>
      <c r="O730" s="385" t="n">
        <v>0</v>
      </c>
      <c r="P730" s="365" t="n">
        <v>1</v>
      </c>
    </row>
    <row r="731" customFormat="false" ht="15" hidden="true" customHeight="false" outlineLevel="0" collapsed="false">
      <c r="B731" s="360" t="s">
        <v>3125</v>
      </c>
      <c r="C731" s="385" t="n">
        <v>1</v>
      </c>
      <c r="D731" s="385" t="n">
        <v>0</v>
      </c>
      <c r="E731" s="385" t="n">
        <v>0</v>
      </c>
      <c r="F731" s="365" t="n">
        <v>1</v>
      </c>
      <c r="G731" s="380" t="n">
        <v>0</v>
      </c>
      <c r="H731" s="358" t="n">
        <v>0</v>
      </c>
      <c r="I731" s="358" t="n">
        <v>0</v>
      </c>
      <c r="J731" s="358" t="n">
        <v>0</v>
      </c>
      <c r="K731" s="358" t="n">
        <v>0</v>
      </c>
      <c r="L731" s="358" t="n">
        <v>0</v>
      </c>
      <c r="M731" s="385" t="n">
        <v>1</v>
      </c>
      <c r="N731" s="385" t="n">
        <v>0</v>
      </c>
      <c r="O731" s="385" t="n">
        <v>0</v>
      </c>
      <c r="P731" s="365" t="n">
        <v>1</v>
      </c>
    </row>
    <row r="732" customFormat="false" ht="15" hidden="true" customHeight="false" outlineLevel="0" collapsed="false">
      <c r="B732" s="360" t="s">
        <v>3126</v>
      </c>
      <c r="C732" s="385" t="n">
        <v>1</v>
      </c>
      <c r="D732" s="385" t="n">
        <v>0</v>
      </c>
      <c r="E732" s="385" t="n">
        <v>0</v>
      </c>
      <c r="F732" s="365" t="n">
        <v>1</v>
      </c>
      <c r="G732" s="380" t="n">
        <v>0</v>
      </c>
      <c r="H732" s="358" t="n">
        <v>0</v>
      </c>
      <c r="I732" s="358" t="n">
        <v>0</v>
      </c>
      <c r="J732" s="358" t="n">
        <v>0</v>
      </c>
      <c r="K732" s="358" t="n">
        <v>0</v>
      </c>
      <c r="L732" s="358" t="n">
        <v>0</v>
      </c>
      <c r="M732" s="385" t="n">
        <v>1</v>
      </c>
      <c r="N732" s="385" t="n">
        <v>0</v>
      </c>
      <c r="O732" s="385" t="n">
        <v>0</v>
      </c>
      <c r="P732" s="365" t="n">
        <v>1</v>
      </c>
    </row>
    <row r="733" customFormat="false" ht="15" hidden="true" customHeight="false" outlineLevel="0" collapsed="false">
      <c r="B733" s="360" t="s">
        <v>3127</v>
      </c>
      <c r="C733" s="385" t="n">
        <v>1</v>
      </c>
      <c r="D733" s="385" t="n">
        <v>0</v>
      </c>
      <c r="E733" s="385" t="n">
        <v>0</v>
      </c>
      <c r="F733" s="365" t="n">
        <v>1</v>
      </c>
      <c r="G733" s="380" t="n">
        <v>0</v>
      </c>
      <c r="H733" s="358" t="n">
        <v>0</v>
      </c>
      <c r="I733" s="358" t="n">
        <v>0</v>
      </c>
      <c r="J733" s="358" t="n">
        <v>0</v>
      </c>
      <c r="K733" s="358" t="n">
        <v>0</v>
      </c>
      <c r="L733" s="358" t="n">
        <v>0</v>
      </c>
      <c r="M733" s="385" t="n">
        <v>1</v>
      </c>
      <c r="N733" s="385" t="n">
        <v>0</v>
      </c>
      <c r="O733" s="385" t="n">
        <v>0</v>
      </c>
      <c r="P733" s="365" t="n">
        <v>1</v>
      </c>
    </row>
    <row r="734" customFormat="false" ht="15" hidden="true" customHeight="false" outlineLevel="0" collapsed="false">
      <c r="B734" s="360" t="s">
        <v>3128</v>
      </c>
      <c r="C734" s="385" t="n">
        <v>1</v>
      </c>
      <c r="D734" s="385" t="n">
        <v>0</v>
      </c>
      <c r="E734" s="385" t="n">
        <v>0</v>
      </c>
      <c r="F734" s="365" t="n">
        <v>1</v>
      </c>
      <c r="G734" s="380" t="n">
        <v>0</v>
      </c>
      <c r="H734" s="358" t="n">
        <v>0</v>
      </c>
      <c r="I734" s="358" t="n">
        <v>0</v>
      </c>
      <c r="J734" s="358" t="n">
        <v>0</v>
      </c>
      <c r="K734" s="358" t="n">
        <v>0</v>
      </c>
      <c r="L734" s="358" t="n">
        <v>0</v>
      </c>
      <c r="M734" s="385" t="n">
        <v>1</v>
      </c>
      <c r="N734" s="385" t="n">
        <v>0</v>
      </c>
      <c r="O734" s="385" t="n">
        <v>0</v>
      </c>
      <c r="P734" s="365" t="n">
        <v>1</v>
      </c>
    </row>
    <row r="735" customFormat="false" ht="15" hidden="true" customHeight="false" outlineLevel="0" collapsed="false">
      <c r="B735" s="360" t="s">
        <v>3129</v>
      </c>
      <c r="C735" s="385" t="n">
        <v>1</v>
      </c>
      <c r="D735" s="385" t="n">
        <v>0</v>
      </c>
      <c r="E735" s="385" t="n">
        <v>0</v>
      </c>
      <c r="F735" s="365" t="n">
        <v>1</v>
      </c>
      <c r="G735" s="380" t="n">
        <v>0</v>
      </c>
      <c r="H735" s="358" t="n">
        <v>0</v>
      </c>
      <c r="I735" s="358" t="n">
        <v>0</v>
      </c>
      <c r="J735" s="358" t="n">
        <v>0</v>
      </c>
      <c r="K735" s="358" t="n">
        <v>0</v>
      </c>
      <c r="L735" s="358" t="n">
        <v>0</v>
      </c>
      <c r="M735" s="385" t="n">
        <v>1</v>
      </c>
      <c r="N735" s="385" t="n">
        <v>0</v>
      </c>
      <c r="O735" s="385" t="n">
        <v>0</v>
      </c>
      <c r="P735" s="365" t="n">
        <v>1</v>
      </c>
    </row>
    <row r="736" customFormat="false" ht="15" hidden="true" customHeight="false" outlineLevel="0" collapsed="false">
      <c r="B736" s="360" t="s">
        <v>3130</v>
      </c>
      <c r="C736" s="385" t="n">
        <v>1</v>
      </c>
      <c r="D736" s="385" t="n">
        <v>0</v>
      </c>
      <c r="E736" s="385" t="n">
        <v>0</v>
      </c>
      <c r="F736" s="365" t="n">
        <v>1</v>
      </c>
      <c r="G736" s="380" t="n">
        <v>0</v>
      </c>
      <c r="H736" s="358" t="n">
        <v>0</v>
      </c>
      <c r="I736" s="358" t="n">
        <v>0</v>
      </c>
      <c r="J736" s="358" t="n">
        <v>0</v>
      </c>
      <c r="K736" s="358" t="n">
        <v>0</v>
      </c>
      <c r="L736" s="358" t="n">
        <v>0</v>
      </c>
      <c r="M736" s="385" t="n">
        <v>1</v>
      </c>
      <c r="N736" s="385" t="n">
        <v>0</v>
      </c>
      <c r="O736" s="385" t="n">
        <v>0</v>
      </c>
      <c r="P736" s="365" t="n">
        <v>1</v>
      </c>
    </row>
    <row r="737" customFormat="false" ht="15" hidden="true" customHeight="false" outlineLevel="0" collapsed="false">
      <c r="B737" s="360" t="s">
        <v>3131</v>
      </c>
      <c r="C737" s="385" t="n">
        <v>1</v>
      </c>
      <c r="D737" s="385" t="n">
        <v>0</v>
      </c>
      <c r="E737" s="385" t="n">
        <v>0</v>
      </c>
      <c r="F737" s="365" t="n">
        <v>1</v>
      </c>
      <c r="G737" s="380" t="n">
        <v>0</v>
      </c>
      <c r="H737" s="358" t="n">
        <v>0</v>
      </c>
      <c r="I737" s="358" t="n">
        <v>0</v>
      </c>
      <c r="J737" s="358" t="n">
        <v>0</v>
      </c>
      <c r="K737" s="358" t="n">
        <v>0</v>
      </c>
      <c r="L737" s="358" t="n">
        <v>0</v>
      </c>
      <c r="M737" s="385" t="n">
        <v>1</v>
      </c>
      <c r="N737" s="385" t="n">
        <v>0</v>
      </c>
      <c r="O737" s="385" t="n">
        <v>0</v>
      </c>
      <c r="P737" s="365" t="n">
        <v>1</v>
      </c>
    </row>
    <row r="738" customFormat="false" ht="15" hidden="true" customHeight="false" outlineLevel="0" collapsed="false">
      <c r="B738" s="360" t="s">
        <v>3132</v>
      </c>
      <c r="C738" s="385" t="n">
        <v>1</v>
      </c>
      <c r="D738" s="385" t="n">
        <v>0</v>
      </c>
      <c r="E738" s="385" t="n">
        <v>0</v>
      </c>
      <c r="F738" s="365" t="n">
        <v>1</v>
      </c>
      <c r="G738" s="380" t="n">
        <v>0</v>
      </c>
      <c r="H738" s="358" t="n">
        <v>0</v>
      </c>
      <c r="I738" s="358" t="n">
        <v>0</v>
      </c>
      <c r="J738" s="358" t="n">
        <v>0</v>
      </c>
      <c r="K738" s="358" t="n">
        <v>0</v>
      </c>
      <c r="L738" s="358" t="n">
        <v>0</v>
      </c>
      <c r="M738" s="385" t="n">
        <v>1</v>
      </c>
      <c r="N738" s="385" t="n">
        <v>0</v>
      </c>
      <c r="O738" s="385" t="n">
        <v>0</v>
      </c>
      <c r="P738" s="365" t="n">
        <v>1</v>
      </c>
    </row>
    <row r="739" customFormat="false" ht="15" hidden="true" customHeight="false" outlineLevel="0" collapsed="false">
      <c r="B739" s="360" t="s">
        <v>3133</v>
      </c>
      <c r="C739" s="385" t="n">
        <v>1</v>
      </c>
      <c r="D739" s="385" t="n">
        <v>0</v>
      </c>
      <c r="E739" s="385" t="n">
        <v>0</v>
      </c>
      <c r="F739" s="365" t="n">
        <v>1</v>
      </c>
      <c r="G739" s="380" t="n">
        <v>0</v>
      </c>
      <c r="H739" s="358" t="n">
        <v>0</v>
      </c>
      <c r="I739" s="358" t="n">
        <v>0</v>
      </c>
      <c r="J739" s="358" t="n">
        <v>0</v>
      </c>
      <c r="K739" s="358" t="n">
        <v>0</v>
      </c>
      <c r="L739" s="358" t="n">
        <v>0</v>
      </c>
      <c r="M739" s="385" t="n">
        <v>1</v>
      </c>
      <c r="N739" s="385" t="n">
        <v>0</v>
      </c>
      <c r="O739" s="385" t="n">
        <v>0</v>
      </c>
      <c r="P739" s="365" t="n">
        <v>1</v>
      </c>
    </row>
    <row r="740" customFormat="false" ht="15" hidden="true" customHeight="false" outlineLevel="0" collapsed="false">
      <c r="B740" s="360" t="s">
        <v>3134</v>
      </c>
      <c r="C740" s="385" t="n">
        <v>1</v>
      </c>
      <c r="D740" s="385" t="n">
        <v>0</v>
      </c>
      <c r="E740" s="385" t="n">
        <v>0</v>
      </c>
      <c r="F740" s="365" t="n">
        <v>1</v>
      </c>
      <c r="G740" s="380" t="n">
        <v>0</v>
      </c>
      <c r="H740" s="358" t="n">
        <v>0</v>
      </c>
      <c r="I740" s="358" t="n">
        <v>0</v>
      </c>
      <c r="J740" s="358" t="n">
        <v>0</v>
      </c>
      <c r="K740" s="358" t="n">
        <v>0</v>
      </c>
      <c r="L740" s="358" t="n">
        <v>0</v>
      </c>
      <c r="M740" s="385" t="n">
        <v>1</v>
      </c>
      <c r="N740" s="385" t="n">
        <v>0</v>
      </c>
      <c r="O740" s="385" t="n">
        <v>0</v>
      </c>
      <c r="P740" s="365" t="n">
        <v>1</v>
      </c>
    </row>
    <row r="741" customFormat="false" ht="15" hidden="true" customHeight="false" outlineLevel="0" collapsed="false">
      <c r="B741" s="360" t="s">
        <v>3135</v>
      </c>
      <c r="C741" s="385" t="n">
        <v>1</v>
      </c>
      <c r="D741" s="385" t="n">
        <v>0</v>
      </c>
      <c r="E741" s="385" t="n">
        <v>0</v>
      </c>
      <c r="F741" s="365" t="n">
        <v>1</v>
      </c>
      <c r="G741" s="380" t="n">
        <v>0</v>
      </c>
      <c r="H741" s="358" t="n">
        <v>0</v>
      </c>
      <c r="I741" s="358" t="n">
        <v>0</v>
      </c>
      <c r="J741" s="358" t="n">
        <v>0</v>
      </c>
      <c r="K741" s="358" t="n">
        <v>0</v>
      </c>
      <c r="L741" s="358" t="n">
        <v>0</v>
      </c>
      <c r="M741" s="385" t="n">
        <v>1</v>
      </c>
      <c r="N741" s="385" t="n">
        <v>0</v>
      </c>
      <c r="O741" s="385" t="n">
        <v>0</v>
      </c>
      <c r="P741" s="365" t="n">
        <v>1</v>
      </c>
    </row>
    <row r="742" customFormat="false" ht="15" hidden="true" customHeight="false" outlineLevel="0" collapsed="false">
      <c r="B742" s="360" t="s">
        <v>3136</v>
      </c>
      <c r="C742" s="385" t="n">
        <v>1</v>
      </c>
      <c r="D742" s="385" t="n">
        <v>0</v>
      </c>
      <c r="E742" s="385" t="n">
        <v>0</v>
      </c>
      <c r="F742" s="365" t="n">
        <v>1</v>
      </c>
      <c r="G742" s="380" t="n">
        <v>0</v>
      </c>
      <c r="H742" s="358" t="n">
        <v>0</v>
      </c>
      <c r="I742" s="358" t="n">
        <v>0</v>
      </c>
      <c r="J742" s="358" t="n">
        <v>0</v>
      </c>
      <c r="K742" s="358" t="n">
        <v>0</v>
      </c>
      <c r="L742" s="358" t="n">
        <v>0</v>
      </c>
      <c r="M742" s="385" t="n">
        <v>1</v>
      </c>
      <c r="N742" s="385" t="n">
        <v>0</v>
      </c>
      <c r="O742" s="385" t="n">
        <v>0</v>
      </c>
      <c r="P742" s="365" t="n">
        <v>1</v>
      </c>
    </row>
    <row r="743" customFormat="false" ht="15" hidden="true" customHeight="false" outlineLevel="0" collapsed="false">
      <c r="B743" s="360" t="s">
        <v>3137</v>
      </c>
      <c r="C743" s="385" t="n">
        <v>1</v>
      </c>
      <c r="D743" s="385" t="n">
        <v>0</v>
      </c>
      <c r="E743" s="385" t="n">
        <v>0</v>
      </c>
      <c r="F743" s="365" t="n">
        <v>1</v>
      </c>
      <c r="G743" s="380" t="n">
        <v>0</v>
      </c>
      <c r="H743" s="358" t="n">
        <v>0</v>
      </c>
      <c r="I743" s="358" t="n">
        <v>0</v>
      </c>
      <c r="J743" s="358" t="n">
        <v>0</v>
      </c>
      <c r="K743" s="358" t="n">
        <v>0</v>
      </c>
      <c r="L743" s="358" t="n">
        <v>0</v>
      </c>
      <c r="M743" s="385" t="n">
        <v>1</v>
      </c>
      <c r="N743" s="385" t="n">
        <v>0</v>
      </c>
      <c r="O743" s="385" t="n">
        <v>0</v>
      </c>
      <c r="P743" s="365" t="n">
        <v>1</v>
      </c>
    </row>
    <row r="744" customFormat="false" ht="15" hidden="true" customHeight="false" outlineLevel="0" collapsed="false">
      <c r="B744" s="360" t="s">
        <v>3138</v>
      </c>
      <c r="C744" s="385" t="n">
        <v>1</v>
      </c>
      <c r="D744" s="385" t="n">
        <v>0</v>
      </c>
      <c r="E744" s="385" t="n">
        <v>0</v>
      </c>
      <c r="F744" s="365" t="n">
        <v>1</v>
      </c>
      <c r="G744" s="380" t="n">
        <v>0</v>
      </c>
      <c r="H744" s="358" t="n">
        <v>0</v>
      </c>
      <c r="I744" s="358" t="n">
        <v>0</v>
      </c>
      <c r="J744" s="358" t="n">
        <v>0</v>
      </c>
      <c r="K744" s="358" t="n">
        <v>0</v>
      </c>
      <c r="L744" s="358" t="n">
        <v>0</v>
      </c>
      <c r="M744" s="385" t="n">
        <v>1</v>
      </c>
      <c r="N744" s="385" t="n">
        <v>0</v>
      </c>
      <c r="O744" s="385" t="n">
        <v>0</v>
      </c>
      <c r="P744" s="365" t="n">
        <v>1</v>
      </c>
    </row>
    <row r="745" customFormat="false" ht="15" hidden="true" customHeight="false" outlineLevel="0" collapsed="false">
      <c r="B745" s="360" t="s">
        <v>3139</v>
      </c>
      <c r="C745" s="385" t="n">
        <v>1</v>
      </c>
      <c r="D745" s="385" t="n">
        <v>0</v>
      </c>
      <c r="E745" s="385" t="n">
        <v>0</v>
      </c>
      <c r="F745" s="365" t="n">
        <v>1</v>
      </c>
      <c r="G745" s="380" t="n">
        <v>0</v>
      </c>
      <c r="H745" s="358" t="n">
        <v>0</v>
      </c>
      <c r="I745" s="358" t="n">
        <v>0</v>
      </c>
      <c r="J745" s="358" t="n">
        <v>0</v>
      </c>
      <c r="K745" s="358" t="n">
        <v>0</v>
      </c>
      <c r="L745" s="358" t="n">
        <v>0</v>
      </c>
      <c r="M745" s="385" t="n">
        <v>1</v>
      </c>
      <c r="N745" s="385" t="n">
        <v>0</v>
      </c>
      <c r="O745" s="385" t="n">
        <v>0</v>
      </c>
      <c r="P745" s="365" t="n">
        <v>1</v>
      </c>
    </row>
    <row r="746" customFormat="false" ht="15" hidden="true" customHeight="false" outlineLevel="0" collapsed="false">
      <c r="B746" s="360" t="s">
        <v>3140</v>
      </c>
      <c r="C746" s="385" t="n">
        <v>1</v>
      </c>
      <c r="D746" s="385" t="n">
        <v>0</v>
      </c>
      <c r="E746" s="385" t="n">
        <v>0</v>
      </c>
      <c r="F746" s="365" t="n">
        <v>1</v>
      </c>
      <c r="G746" s="380" t="n">
        <v>0</v>
      </c>
      <c r="H746" s="358" t="n">
        <v>0</v>
      </c>
      <c r="I746" s="358" t="n">
        <v>0</v>
      </c>
      <c r="J746" s="358" t="n">
        <v>0</v>
      </c>
      <c r="K746" s="358" t="n">
        <v>0</v>
      </c>
      <c r="L746" s="358" t="n">
        <v>0</v>
      </c>
      <c r="M746" s="385" t="n">
        <v>1</v>
      </c>
      <c r="N746" s="385" t="n">
        <v>0</v>
      </c>
      <c r="O746" s="385" t="n">
        <v>0</v>
      </c>
      <c r="P746" s="365" t="n">
        <v>1</v>
      </c>
    </row>
    <row r="747" customFormat="false" ht="15" hidden="true" customHeight="false" outlineLevel="0" collapsed="false">
      <c r="B747" s="360" t="s">
        <v>3141</v>
      </c>
      <c r="C747" s="385" t="n">
        <v>1</v>
      </c>
      <c r="D747" s="385" t="n">
        <v>0</v>
      </c>
      <c r="E747" s="385" t="n">
        <v>0</v>
      </c>
      <c r="F747" s="365" t="n">
        <v>1</v>
      </c>
      <c r="G747" s="380" t="n">
        <v>0</v>
      </c>
      <c r="H747" s="358" t="n">
        <v>0</v>
      </c>
      <c r="I747" s="358" t="n">
        <v>0</v>
      </c>
      <c r="J747" s="358" t="n">
        <v>0</v>
      </c>
      <c r="K747" s="358" t="n">
        <v>0</v>
      </c>
      <c r="L747" s="358" t="n">
        <v>0</v>
      </c>
      <c r="M747" s="385" t="n">
        <v>1</v>
      </c>
      <c r="N747" s="385" t="n">
        <v>0</v>
      </c>
      <c r="O747" s="385" t="n">
        <v>0</v>
      </c>
      <c r="P747" s="365" t="n">
        <v>1</v>
      </c>
    </row>
    <row r="748" customFormat="false" ht="15" hidden="true" customHeight="false" outlineLevel="0" collapsed="false">
      <c r="B748" s="360" t="s">
        <v>3142</v>
      </c>
      <c r="C748" s="385" t="n">
        <v>1</v>
      </c>
      <c r="D748" s="385" t="n">
        <v>0</v>
      </c>
      <c r="E748" s="385" t="n">
        <v>0</v>
      </c>
      <c r="F748" s="365" t="n">
        <v>1</v>
      </c>
      <c r="G748" s="380" t="n">
        <v>0</v>
      </c>
      <c r="H748" s="358" t="n">
        <v>0</v>
      </c>
      <c r="I748" s="358" t="n">
        <v>0</v>
      </c>
      <c r="J748" s="358" t="n">
        <v>0</v>
      </c>
      <c r="K748" s="358" t="n">
        <v>0</v>
      </c>
      <c r="L748" s="358" t="n">
        <v>0</v>
      </c>
      <c r="M748" s="385" t="n">
        <v>1</v>
      </c>
      <c r="N748" s="385" t="n">
        <v>0</v>
      </c>
      <c r="O748" s="385" t="n">
        <v>0</v>
      </c>
      <c r="P748" s="365" t="n">
        <v>1</v>
      </c>
    </row>
    <row r="749" customFormat="false" ht="15" hidden="true" customHeight="false" outlineLevel="0" collapsed="false">
      <c r="B749" s="360" t="s">
        <v>3143</v>
      </c>
      <c r="C749" s="385" t="n">
        <v>1</v>
      </c>
      <c r="D749" s="385" t="n">
        <v>0</v>
      </c>
      <c r="E749" s="385" t="n">
        <v>0</v>
      </c>
      <c r="F749" s="365" t="n">
        <v>1</v>
      </c>
      <c r="G749" s="380" t="n">
        <v>0</v>
      </c>
      <c r="H749" s="358" t="n">
        <v>0</v>
      </c>
      <c r="I749" s="358" t="n">
        <v>0</v>
      </c>
      <c r="J749" s="358" t="n">
        <v>0</v>
      </c>
      <c r="K749" s="358" t="n">
        <v>0</v>
      </c>
      <c r="L749" s="358" t="n">
        <v>0</v>
      </c>
      <c r="M749" s="385" t="n">
        <v>1</v>
      </c>
      <c r="N749" s="385" t="n">
        <v>0</v>
      </c>
      <c r="O749" s="385" t="n">
        <v>0</v>
      </c>
      <c r="P749" s="365" t="n">
        <v>1</v>
      </c>
    </row>
    <row r="750" customFormat="false" ht="15" hidden="true" customHeight="false" outlineLevel="0" collapsed="false">
      <c r="B750" s="360" t="s">
        <v>3144</v>
      </c>
      <c r="C750" s="385" t="n">
        <v>1</v>
      </c>
      <c r="D750" s="385" t="n">
        <v>0</v>
      </c>
      <c r="E750" s="385" t="n">
        <v>0</v>
      </c>
      <c r="F750" s="365" t="n">
        <v>1</v>
      </c>
      <c r="G750" s="380" t="n">
        <v>0</v>
      </c>
      <c r="H750" s="358" t="n">
        <v>0</v>
      </c>
      <c r="I750" s="358" t="n">
        <v>0</v>
      </c>
      <c r="J750" s="358" t="n">
        <v>0</v>
      </c>
      <c r="K750" s="358" t="n">
        <v>0</v>
      </c>
      <c r="L750" s="358" t="n">
        <v>0</v>
      </c>
      <c r="M750" s="385" t="n">
        <v>1</v>
      </c>
      <c r="N750" s="385" t="n">
        <v>0</v>
      </c>
      <c r="O750" s="385" t="n">
        <v>0</v>
      </c>
      <c r="P750" s="365" t="n">
        <v>1</v>
      </c>
    </row>
    <row r="751" customFormat="false" ht="15" hidden="true" customHeight="false" outlineLevel="0" collapsed="false">
      <c r="B751" s="360" t="s">
        <v>3145</v>
      </c>
      <c r="C751" s="385" t="n">
        <v>1</v>
      </c>
      <c r="D751" s="385" t="n">
        <v>0</v>
      </c>
      <c r="E751" s="385" t="n">
        <v>0</v>
      </c>
      <c r="F751" s="365" t="n">
        <v>1</v>
      </c>
      <c r="G751" s="380" t="n">
        <v>0</v>
      </c>
      <c r="H751" s="358" t="n">
        <v>0</v>
      </c>
      <c r="I751" s="358" t="n">
        <v>0</v>
      </c>
      <c r="J751" s="358" t="n">
        <v>0</v>
      </c>
      <c r="K751" s="358" t="n">
        <v>0</v>
      </c>
      <c r="L751" s="358" t="n">
        <v>0</v>
      </c>
      <c r="M751" s="385" t="n">
        <v>1</v>
      </c>
      <c r="N751" s="385" t="n">
        <v>0</v>
      </c>
      <c r="O751" s="385" t="n">
        <v>0</v>
      </c>
      <c r="P751" s="365" t="n">
        <v>1</v>
      </c>
    </row>
    <row r="752" customFormat="false" ht="15" hidden="true" customHeight="false" outlineLevel="0" collapsed="false">
      <c r="B752" s="360" t="s">
        <v>3146</v>
      </c>
      <c r="C752" s="385" t="n">
        <v>1</v>
      </c>
      <c r="D752" s="385" t="n">
        <v>0</v>
      </c>
      <c r="E752" s="385" t="n">
        <v>0</v>
      </c>
      <c r="F752" s="365" t="n">
        <v>1</v>
      </c>
      <c r="G752" s="380" t="n">
        <v>0</v>
      </c>
      <c r="H752" s="358" t="n">
        <v>0</v>
      </c>
      <c r="I752" s="358" t="n">
        <v>0</v>
      </c>
      <c r="J752" s="358" t="n">
        <v>0</v>
      </c>
      <c r="K752" s="358" t="n">
        <v>0</v>
      </c>
      <c r="L752" s="358" t="n">
        <v>0</v>
      </c>
      <c r="M752" s="385" t="n">
        <v>1</v>
      </c>
      <c r="N752" s="385" t="n">
        <v>0</v>
      </c>
      <c r="O752" s="385" t="n">
        <v>0</v>
      </c>
      <c r="P752" s="365" t="n">
        <v>1</v>
      </c>
    </row>
    <row r="753" customFormat="false" ht="15" hidden="true" customHeight="false" outlineLevel="0" collapsed="false">
      <c r="B753" s="360" t="s">
        <v>3147</v>
      </c>
      <c r="C753" s="385" t="n">
        <v>1</v>
      </c>
      <c r="D753" s="385" t="n">
        <v>0</v>
      </c>
      <c r="E753" s="385" t="n">
        <v>0</v>
      </c>
      <c r="F753" s="365" t="n">
        <v>1</v>
      </c>
      <c r="G753" s="380" t="n">
        <v>0</v>
      </c>
      <c r="H753" s="358" t="n">
        <v>0</v>
      </c>
      <c r="I753" s="358" t="n">
        <v>0</v>
      </c>
      <c r="J753" s="358" t="n">
        <v>0</v>
      </c>
      <c r="K753" s="358" t="n">
        <v>0</v>
      </c>
      <c r="L753" s="358" t="n">
        <v>0</v>
      </c>
      <c r="M753" s="385" t="n">
        <v>1</v>
      </c>
      <c r="N753" s="385" t="n">
        <v>0</v>
      </c>
      <c r="O753" s="385" t="n">
        <v>0</v>
      </c>
      <c r="P753" s="365" t="n">
        <v>1</v>
      </c>
    </row>
    <row r="754" customFormat="false" ht="15" hidden="true" customHeight="false" outlineLevel="0" collapsed="false">
      <c r="B754" s="360" t="s">
        <v>3148</v>
      </c>
      <c r="C754" s="385" t="n">
        <v>1</v>
      </c>
      <c r="D754" s="385" t="n">
        <v>0</v>
      </c>
      <c r="E754" s="385" t="n">
        <v>0</v>
      </c>
      <c r="F754" s="365" t="n">
        <v>1</v>
      </c>
      <c r="G754" s="380" t="n">
        <v>0</v>
      </c>
      <c r="H754" s="358" t="n">
        <v>0</v>
      </c>
      <c r="I754" s="358" t="n">
        <v>0</v>
      </c>
      <c r="J754" s="358" t="n">
        <v>0</v>
      </c>
      <c r="K754" s="358" t="n">
        <v>0</v>
      </c>
      <c r="L754" s="358" t="n">
        <v>0</v>
      </c>
      <c r="M754" s="385" t="n">
        <v>1</v>
      </c>
      <c r="N754" s="385" t="n">
        <v>0</v>
      </c>
      <c r="O754" s="385" t="n">
        <v>0</v>
      </c>
      <c r="P754" s="365" t="n">
        <v>1</v>
      </c>
    </row>
    <row r="755" customFormat="false" ht="15" hidden="true" customHeight="false" outlineLevel="0" collapsed="false">
      <c r="B755" s="360" t="s">
        <v>3149</v>
      </c>
      <c r="C755" s="385" t="n">
        <v>1</v>
      </c>
      <c r="D755" s="385" t="n">
        <v>0</v>
      </c>
      <c r="E755" s="385" t="n">
        <v>0</v>
      </c>
      <c r="F755" s="365" t="n">
        <v>1</v>
      </c>
      <c r="G755" s="380" t="n">
        <v>0</v>
      </c>
      <c r="H755" s="358" t="n">
        <v>0</v>
      </c>
      <c r="I755" s="358" t="n">
        <v>0</v>
      </c>
      <c r="J755" s="358" t="n">
        <v>0</v>
      </c>
      <c r="K755" s="358" t="n">
        <v>0</v>
      </c>
      <c r="L755" s="358" t="n">
        <v>0</v>
      </c>
      <c r="M755" s="385" t="n">
        <v>1</v>
      </c>
      <c r="N755" s="385" t="n">
        <v>0</v>
      </c>
      <c r="O755" s="385" t="n">
        <v>0</v>
      </c>
      <c r="P755" s="365" t="n">
        <v>1</v>
      </c>
    </row>
    <row r="756" customFormat="false" ht="15" hidden="true" customHeight="false" outlineLevel="0" collapsed="false">
      <c r="B756" s="360" t="s">
        <v>3150</v>
      </c>
      <c r="C756" s="385" t="n">
        <v>0</v>
      </c>
      <c r="D756" s="385" t="n">
        <v>0</v>
      </c>
      <c r="E756" s="385" t="n">
        <v>0</v>
      </c>
      <c r="F756" s="365" t="n">
        <v>0</v>
      </c>
      <c r="G756" s="380" t="n">
        <v>1</v>
      </c>
      <c r="H756" s="358" t="n">
        <v>0</v>
      </c>
      <c r="I756" s="358" t="n">
        <v>0</v>
      </c>
      <c r="J756" s="358" t="n">
        <v>0</v>
      </c>
      <c r="K756" s="358" t="n">
        <v>0</v>
      </c>
      <c r="L756" s="358" t="n">
        <v>0</v>
      </c>
      <c r="M756" s="385" t="n">
        <v>1</v>
      </c>
      <c r="N756" s="385" t="n">
        <v>0</v>
      </c>
      <c r="O756" s="385" t="n">
        <v>0</v>
      </c>
      <c r="P756" s="365" t="n">
        <v>1</v>
      </c>
    </row>
    <row r="757" customFormat="false" ht="15" hidden="true" customHeight="false" outlineLevel="0" collapsed="false">
      <c r="B757" s="360" t="s">
        <v>3151</v>
      </c>
      <c r="C757" s="385" t="n">
        <v>1</v>
      </c>
      <c r="D757" s="385" t="n">
        <v>0</v>
      </c>
      <c r="E757" s="385" t="n">
        <v>0</v>
      </c>
      <c r="F757" s="365" t="n">
        <v>1</v>
      </c>
      <c r="G757" s="380" t="n">
        <v>0</v>
      </c>
      <c r="H757" s="358" t="n">
        <v>0</v>
      </c>
      <c r="I757" s="358" t="n">
        <v>0</v>
      </c>
      <c r="J757" s="358" t="n">
        <v>0</v>
      </c>
      <c r="K757" s="358" t="n">
        <v>0</v>
      </c>
      <c r="L757" s="358" t="n">
        <v>0</v>
      </c>
      <c r="M757" s="385" t="n">
        <v>1</v>
      </c>
      <c r="N757" s="385" t="n">
        <v>0</v>
      </c>
      <c r="O757" s="385" t="n">
        <v>0</v>
      </c>
      <c r="P757" s="365" t="n">
        <v>1</v>
      </c>
    </row>
    <row r="758" customFormat="false" ht="15" hidden="true" customHeight="false" outlineLevel="0" collapsed="false">
      <c r="B758" s="360" t="s">
        <v>3152</v>
      </c>
      <c r="C758" s="385" t="n">
        <v>1</v>
      </c>
      <c r="D758" s="385" t="n">
        <v>0</v>
      </c>
      <c r="E758" s="385" t="n">
        <v>0</v>
      </c>
      <c r="F758" s="365" t="n">
        <v>1</v>
      </c>
      <c r="G758" s="380" t="n">
        <v>0</v>
      </c>
      <c r="H758" s="358" t="n">
        <v>0</v>
      </c>
      <c r="I758" s="358" t="n">
        <v>0</v>
      </c>
      <c r="J758" s="358" t="n">
        <v>0</v>
      </c>
      <c r="K758" s="358" t="n">
        <v>0</v>
      </c>
      <c r="L758" s="358" t="n">
        <v>0</v>
      </c>
      <c r="M758" s="385" t="n">
        <v>1</v>
      </c>
      <c r="N758" s="385" t="n">
        <v>0</v>
      </c>
      <c r="O758" s="385" t="n">
        <v>0</v>
      </c>
      <c r="P758" s="365" t="n">
        <v>1</v>
      </c>
    </row>
    <row r="759" customFormat="false" ht="15" hidden="true" customHeight="false" outlineLevel="0" collapsed="false">
      <c r="B759" s="360" t="s">
        <v>3153</v>
      </c>
      <c r="C759" s="385" t="n">
        <v>1</v>
      </c>
      <c r="D759" s="385" t="n">
        <v>0</v>
      </c>
      <c r="E759" s="385" t="n">
        <v>0</v>
      </c>
      <c r="F759" s="365" t="n">
        <v>1</v>
      </c>
      <c r="G759" s="380" t="n">
        <v>0</v>
      </c>
      <c r="H759" s="358" t="n">
        <v>0</v>
      </c>
      <c r="I759" s="358" t="n">
        <v>0</v>
      </c>
      <c r="J759" s="358" t="n">
        <v>0</v>
      </c>
      <c r="K759" s="358" t="n">
        <v>0</v>
      </c>
      <c r="L759" s="358" t="n">
        <v>0</v>
      </c>
      <c r="M759" s="385" t="n">
        <v>1</v>
      </c>
      <c r="N759" s="385" t="n">
        <v>0</v>
      </c>
      <c r="O759" s="385" t="n">
        <v>0</v>
      </c>
      <c r="P759" s="365" t="n">
        <v>1</v>
      </c>
    </row>
    <row r="760" customFormat="false" ht="15" hidden="true" customHeight="false" outlineLevel="0" collapsed="false">
      <c r="B760" s="360" t="s">
        <v>3154</v>
      </c>
      <c r="C760" s="385" t="n">
        <v>1</v>
      </c>
      <c r="D760" s="385" t="n">
        <v>0</v>
      </c>
      <c r="E760" s="385" t="n">
        <v>0</v>
      </c>
      <c r="F760" s="365" t="n">
        <v>1</v>
      </c>
      <c r="G760" s="380" t="n">
        <v>0</v>
      </c>
      <c r="H760" s="358" t="n">
        <v>0</v>
      </c>
      <c r="I760" s="358" t="n">
        <v>0</v>
      </c>
      <c r="J760" s="358" t="n">
        <v>0</v>
      </c>
      <c r="K760" s="358" t="n">
        <v>0</v>
      </c>
      <c r="L760" s="358" t="n">
        <v>0</v>
      </c>
      <c r="M760" s="385" t="n">
        <v>1</v>
      </c>
      <c r="N760" s="385" t="n">
        <v>0</v>
      </c>
      <c r="O760" s="385" t="n">
        <v>0</v>
      </c>
      <c r="P760" s="365" t="n">
        <v>1</v>
      </c>
    </row>
    <row r="761" customFormat="false" ht="15" hidden="true" customHeight="false" outlineLevel="0" collapsed="false">
      <c r="B761" s="360" t="s">
        <v>3155</v>
      </c>
      <c r="C761" s="385" t="n">
        <v>1</v>
      </c>
      <c r="D761" s="385" t="n">
        <v>0</v>
      </c>
      <c r="E761" s="385" t="n">
        <v>0</v>
      </c>
      <c r="F761" s="365" t="n">
        <v>1</v>
      </c>
      <c r="G761" s="380" t="n">
        <v>0</v>
      </c>
      <c r="H761" s="358" t="n">
        <v>0</v>
      </c>
      <c r="I761" s="358" t="n">
        <v>0</v>
      </c>
      <c r="J761" s="358" t="n">
        <v>0</v>
      </c>
      <c r="K761" s="358" t="n">
        <v>0</v>
      </c>
      <c r="L761" s="358" t="n">
        <v>0</v>
      </c>
      <c r="M761" s="385" t="n">
        <v>1</v>
      </c>
      <c r="N761" s="385" t="n">
        <v>0</v>
      </c>
      <c r="O761" s="385" t="n">
        <v>0</v>
      </c>
      <c r="P761" s="365" t="n">
        <v>1</v>
      </c>
    </row>
    <row r="762" customFormat="false" ht="15" hidden="true" customHeight="false" outlineLevel="0" collapsed="false">
      <c r="B762" s="360" t="s">
        <v>3156</v>
      </c>
      <c r="C762" s="385" t="n">
        <v>1</v>
      </c>
      <c r="D762" s="385" t="n">
        <v>0</v>
      </c>
      <c r="E762" s="385" t="n">
        <v>0</v>
      </c>
      <c r="F762" s="365" t="n">
        <v>1</v>
      </c>
      <c r="G762" s="380" t="n">
        <v>0</v>
      </c>
      <c r="H762" s="358" t="n">
        <v>0</v>
      </c>
      <c r="I762" s="358" t="n">
        <v>0</v>
      </c>
      <c r="J762" s="358" t="n">
        <v>0</v>
      </c>
      <c r="K762" s="358" t="n">
        <v>0</v>
      </c>
      <c r="L762" s="358" t="n">
        <v>0</v>
      </c>
      <c r="M762" s="385" t="n">
        <v>1</v>
      </c>
      <c r="N762" s="385" t="n">
        <v>0</v>
      </c>
      <c r="O762" s="385" t="n">
        <v>0</v>
      </c>
      <c r="P762" s="365" t="n">
        <v>1</v>
      </c>
    </row>
    <row r="763" customFormat="false" ht="15" hidden="true" customHeight="false" outlineLevel="0" collapsed="false">
      <c r="B763" s="360" t="s">
        <v>3157</v>
      </c>
      <c r="C763" s="385" t="n">
        <v>1</v>
      </c>
      <c r="D763" s="385" t="n">
        <v>0</v>
      </c>
      <c r="E763" s="385" t="n">
        <v>0</v>
      </c>
      <c r="F763" s="365" t="n">
        <v>1</v>
      </c>
      <c r="G763" s="380" t="n">
        <v>0</v>
      </c>
      <c r="H763" s="358" t="n">
        <v>0</v>
      </c>
      <c r="I763" s="358" t="n">
        <v>0</v>
      </c>
      <c r="J763" s="358" t="n">
        <v>0</v>
      </c>
      <c r="K763" s="358" t="n">
        <v>0</v>
      </c>
      <c r="L763" s="358" t="n">
        <v>0</v>
      </c>
      <c r="M763" s="385" t="n">
        <v>1</v>
      </c>
      <c r="N763" s="385" t="n">
        <v>0</v>
      </c>
      <c r="O763" s="385" t="n">
        <v>0</v>
      </c>
      <c r="P763" s="365" t="n">
        <v>1</v>
      </c>
    </row>
    <row r="764" customFormat="false" ht="15" hidden="true" customHeight="false" outlineLevel="0" collapsed="false">
      <c r="B764" s="360" t="s">
        <v>3158</v>
      </c>
      <c r="C764" s="385" t="n">
        <v>1</v>
      </c>
      <c r="D764" s="385" t="n">
        <v>0</v>
      </c>
      <c r="E764" s="385" t="n">
        <v>0</v>
      </c>
      <c r="F764" s="365" t="n">
        <v>1</v>
      </c>
      <c r="G764" s="380" t="n">
        <v>0</v>
      </c>
      <c r="H764" s="358" t="n">
        <v>0</v>
      </c>
      <c r="I764" s="358" t="n">
        <v>0</v>
      </c>
      <c r="J764" s="358" t="n">
        <v>0</v>
      </c>
      <c r="K764" s="358" t="n">
        <v>0</v>
      </c>
      <c r="L764" s="358" t="n">
        <v>0</v>
      </c>
      <c r="M764" s="385" t="n">
        <v>1</v>
      </c>
      <c r="N764" s="385" t="n">
        <v>0</v>
      </c>
      <c r="O764" s="385" t="n">
        <v>0</v>
      </c>
      <c r="P764" s="365" t="n">
        <v>1</v>
      </c>
    </row>
    <row r="765" customFormat="false" ht="15" hidden="true" customHeight="false" outlineLevel="0" collapsed="false">
      <c r="B765" s="360" t="s">
        <v>3159</v>
      </c>
      <c r="C765" s="385" t="n">
        <v>1</v>
      </c>
      <c r="D765" s="385" t="n">
        <v>0</v>
      </c>
      <c r="E765" s="385" t="n">
        <v>0</v>
      </c>
      <c r="F765" s="365" t="n">
        <v>1</v>
      </c>
      <c r="G765" s="380" t="n">
        <v>0</v>
      </c>
      <c r="H765" s="358" t="n">
        <v>0</v>
      </c>
      <c r="I765" s="358" t="n">
        <v>0</v>
      </c>
      <c r="J765" s="358" t="n">
        <v>0</v>
      </c>
      <c r="K765" s="358" t="n">
        <v>0</v>
      </c>
      <c r="L765" s="358" t="n">
        <v>0</v>
      </c>
      <c r="M765" s="385" t="n">
        <v>1</v>
      </c>
      <c r="N765" s="385" t="n">
        <v>0</v>
      </c>
      <c r="O765" s="385" t="n">
        <v>0</v>
      </c>
      <c r="P765" s="365" t="n">
        <v>1</v>
      </c>
    </row>
    <row r="766" customFormat="false" ht="15" hidden="true" customHeight="false" outlineLevel="0" collapsed="false">
      <c r="B766" s="360" t="s">
        <v>3160</v>
      </c>
      <c r="C766" s="385" t="n">
        <v>1</v>
      </c>
      <c r="D766" s="385" t="n">
        <v>0</v>
      </c>
      <c r="E766" s="385" t="n">
        <v>0</v>
      </c>
      <c r="F766" s="365" t="n">
        <v>1</v>
      </c>
      <c r="G766" s="380" t="n">
        <v>0</v>
      </c>
      <c r="H766" s="358" t="n">
        <v>0</v>
      </c>
      <c r="I766" s="358" t="n">
        <v>0</v>
      </c>
      <c r="J766" s="358" t="n">
        <v>0</v>
      </c>
      <c r="K766" s="358" t="n">
        <v>0</v>
      </c>
      <c r="L766" s="358" t="n">
        <v>0</v>
      </c>
      <c r="M766" s="385" t="n">
        <v>1</v>
      </c>
      <c r="N766" s="385" t="n">
        <v>0</v>
      </c>
      <c r="O766" s="385" t="n">
        <v>0</v>
      </c>
      <c r="P766" s="365" t="n">
        <v>1</v>
      </c>
    </row>
    <row r="767" customFormat="false" ht="15" hidden="true" customHeight="false" outlineLevel="0" collapsed="false">
      <c r="B767" s="360" t="s">
        <v>3161</v>
      </c>
      <c r="C767" s="385" t="n">
        <v>1</v>
      </c>
      <c r="D767" s="385" t="n">
        <v>0</v>
      </c>
      <c r="E767" s="385" t="n">
        <v>0</v>
      </c>
      <c r="F767" s="365" t="n">
        <v>1</v>
      </c>
      <c r="G767" s="380" t="n">
        <v>0</v>
      </c>
      <c r="H767" s="358" t="n">
        <v>0</v>
      </c>
      <c r="I767" s="358" t="n">
        <v>0</v>
      </c>
      <c r="J767" s="358" t="n">
        <v>0</v>
      </c>
      <c r="K767" s="358" t="n">
        <v>0</v>
      </c>
      <c r="L767" s="358" t="n">
        <v>0</v>
      </c>
      <c r="M767" s="385" t="n">
        <v>1</v>
      </c>
      <c r="N767" s="385" t="n">
        <v>0</v>
      </c>
      <c r="O767" s="385" t="n">
        <v>0</v>
      </c>
      <c r="P767" s="365" t="n">
        <v>1</v>
      </c>
    </row>
    <row r="768" customFormat="false" ht="15" hidden="true" customHeight="false" outlineLevel="0" collapsed="false">
      <c r="B768" s="360" t="s">
        <v>3162</v>
      </c>
      <c r="C768" s="385" t="n">
        <v>1</v>
      </c>
      <c r="D768" s="385" t="n">
        <v>0</v>
      </c>
      <c r="E768" s="385" t="n">
        <v>0</v>
      </c>
      <c r="F768" s="365" t="n">
        <v>1</v>
      </c>
      <c r="G768" s="380" t="n">
        <v>0</v>
      </c>
      <c r="H768" s="358" t="n">
        <v>0</v>
      </c>
      <c r="I768" s="358" t="n">
        <v>0</v>
      </c>
      <c r="J768" s="358" t="n">
        <v>0</v>
      </c>
      <c r="K768" s="358" t="n">
        <v>0</v>
      </c>
      <c r="L768" s="358" t="n">
        <v>0</v>
      </c>
      <c r="M768" s="385" t="n">
        <v>1</v>
      </c>
      <c r="N768" s="385" t="n">
        <v>0</v>
      </c>
      <c r="O768" s="385" t="n">
        <v>0</v>
      </c>
      <c r="P768" s="365" t="n">
        <v>1</v>
      </c>
    </row>
    <row r="769" customFormat="false" ht="15" hidden="true" customHeight="false" outlineLevel="0" collapsed="false">
      <c r="B769" s="360" t="s">
        <v>3163</v>
      </c>
      <c r="C769" s="385" t="n">
        <v>1</v>
      </c>
      <c r="D769" s="385" t="n">
        <v>0</v>
      </c>
      <c r="E769" s="385" t="n">
        <v>0</v>
      </c>
      <c r="F769" s="365" t="n">
        <v>1</v>
      </c>
      <c r="G769" s="380" t="n">
        <v>0</v>
      </c>
      <c r="H769" s="358" t="n">
        <v>0</v>
      </c>
      <c r="I769" s="358" t="n">
        <v>0</v>
      </c>
      <c r="J769" s="358" t="n">
        <v>0</v>
      </c>
      <c r="K769" s="358" t="n">
        <v>0</v>
      </c>
      <c r="L769" s="358" t="n">
        <v>0</v>
      </c>
      <c r="M769" s="385" t="n">
        <v>1</v>
      </c>
      <c r="N769" s="385" t="n">
        <v>0</v>
      </c>
      <c r="O769" s="385" t="n">
        <v>0</v>
      </c>
      <c r="P769" s="365" t="n">
        <v>1</v>
      </c>
    </row>
    <row r="770" customFormat="false" ht="15" hidden="true" customHeight="false" outlineLevel="0" collapsed="false">
      <c r="B770" s="360" t="s">
        <v>3164</v>
      </c>
      <c r="C770" s="385" t="n">
        <v>1</v>
      </c>
      <c r="D770" s="385" t="n">
        <v>0</v>
      </c>
      <c r="E770" s="385" t="n">
        <v>0</v>
      </c>
      <c r="F770" s="365" t="n">
        <v>1</v>
      </c>
      <c r="G770" s="380" t="n">
        <v>0</v>
      </c>
      <c r="H770" s="358" t="n">
        <v>0</v>
      </c>
      <c r="I770" s="358" t="n">
        <v>0</v>
      </c>
      <c r="J770" s="358" t="n">
        <v>0</v>
      </c>
      <c r="K770" s="358" t="n">
        <v>0</v>
      </c>
      <c r="L770" s="358" t="n">
        <v>0</v>
      </c>
      <c r="M770" s="385" t="n">
        <v>1</v>
      </c>
      <c r="N770" s="385" t="n">
        <v>0</v>
      </c>
      <c r="O770" s="385" t="n">
        <v>0</v>
      </c>
      <c r="P770" s="365" t="n">
        <v>1</v>
      </c>
    </row>
    <row r="771" customFormat="false" ht="15" hidden="true" customHeight="false" outlineLevel="0" collapsed="false">
      <c r="B771" s="360" t="s">
        <v>3165</v>
      </c>
      <c r="C771" s="385" t="n">
        <v>1</v>
      </c>
      <c r="D771" s="385" t="n">
        <v>0</v>
      </c>
      <c r="E771" s="385" t="n">
        <v>0</v>
      </c>
      <c r="F771" s="365" t="n">
        <v>1</v>
      </c>
      <c r="G771" s="380" t="n">
        <v>0</v>
      </c>
      <c r="H771" s="358" t="n">
        <v>0</v>
      </c>
      <c r="I771" s="358" t="n">
        <v>0</v>
      </c>
      <c r="J771" s="358" t="n">
        <v>0</v>
      </c>
      <c r="K771" s="358" t="n">
        <v>0</v>
      </c>
      <c r="L771" s="358" t="n">
        <v>0</v>
      </c>
      <c r="M771" s="385" t="n">
        <v>1</v>
      </c>
      <c r="N771" s="385" t="n">
        <v>0</v>
      </c>
      <c r="O771" s="385" t="n">
        <v>0</v>
      </c>
      <c r="P771" s="365" t="n">
        <v>1</v>
      </c>
    </row>
    <row r="772" customFormat="false" ht="15" hidden="true" customHeight="false" outlineLevel="0" collapsed="false">
      <c r="B772" s="360" t="s">
        <v>3166</v>
      </c>
      <c r="C772" s="385" t="n">
        <v>1</v>
      </c>
      <c r="D772" s="385" t="n">
        <v>0</v>
      </c>
      <c r="E772" s="385" t="n">
        <v>0</v>
      </c>
      <c r="F772" s="365" t="n">
        <v>1</v>
      </c>
      <c r="G772" s="380" t="n">
        <v>0</v>
      </c>
      <c r="H772" s="358" t="n">
        <v>0</v>
      </c>
      <c r="I772" s="358" t="n">
        <v>0</v>
      </c>
      <c r="J772" s="358" t="n">
        <v>0</v>
      </c>
      <c r="K772" s="358" t="n">
        <v>0</v>
      </c>
      <c r="L772" s="358" t="n">
        <v>0</v>
      </c>
      <c r="M772" s="385" t="n">
        <v>1</v>
      </c>
      <c r="N772" s="385" t="n">
        <v>0</v>
      </c>
      <c r="O772" s="385" t="n">
        <v>0</v>
      </c>
      <c r="P772" s="365" t="n">
        <v>1</v>
      </c>
    </row>
    <row r="773" customFormat="false" ht="15" hidden="true" customHeight="false" outlineLevel="0" collapsed="false">
      <c r="B773" s="360" t="s">
        <v>3167</v>
      </c>
      <c r="C773" s="385" t="n">
        <v>1</v>
      </c>
      <c r="D773" s="385" t="n">
        <v>0</v>
      </c>
      <c r="E773" s="385" t="n">
        <v>0</v>
      </c>
      <c r="F773" s="365" t="n">
        <v>1</v>
      </c>
      <c r="G773" s="380" t="n">
        <v>0</v>
      </c>
      <c r="H773" s="358" t="n">
        <v>0</v>
      </c>
      <c r="I773" s="358" t="n">
        <v>0</v>
      </c>
      <c r="J773" s="358" t="n">
        <v>0</v>
      </c>
      <c r="K773" s="358" t="n">
        <v>0</v>
      </c>
      <c r="L773" s="358" t="n">
        <v>0</v>
      </c>
      <c r="M773" s="385" t="n">
        <v>1</v>
      </c>
      <c r="N773" s="385" t="n">
        <v>0</v>
      </c>
      <c r="O773" s="385" t="n">
        <v>0</v>
      </c>
      <c r="P773" s="365" t="n">
        <v>1</v>
      </c>
    </row>
    <row r="774" customFormat="false" ht="15" hidden="true" customHeight="false" outlineLevel="0" collapsed="false">
      <c r="B774" s="360" t="s">
        <v>3168</v>
      </c>
      <c r="C774" s="385" t="n">
        <v>1</v>
      </c>
      <c r="D774" s="385" t="n">
        <v>0</v>
      </c>
      <c r="E774" s="385" t="n">
        <v>0</v>
      </c>
      <c r="F774" s="365" t="n">
        <v>1</v>
      </c>
      <c r="G774" s="380" t="n">
        <v>0</v>
      </c>
      <c r="H774" s="358" t="n">
        <v>0</v>
      </c>
      <c r="I774" s="358" t="n">
        <v>0</v>
      </c>
      <c r="J774" s="358" t="n">
        <v>0</v>
      </c>
      <c r="K774" s="358" t="n">
        <v>0</v>
      </c>
      <c r="L774" s="358" t="n">
        <v>0</v>
      </c>
      <c r="M774" s="385" t="n">
        <v>1</v>
      </c>
      <c r="N774" s="385" t="n">
        <v>0</v>
      </c>
      <c r="O774" s="385" t="n">
        <v>0</v>
      </c>
      <c r="P774" s="365" t="n">
        <v>1</v>
      </c>
    </row>
    <row r="775" customFormat="false" ht="15" hidden="true" customHeight="false" outlineLevel="0" collapsed="false">
      <c r="B775" s="360" t="s">
        <v>3169</v>
      </c>
      <c r="C775" s="385" t="n">
        <v>1</v>
      </c>
      <c r="D775" s="385" t="n">
        <v>0</v>
      </c>
      <c r="E775" s="385" t="n">
        <v>0</v>
      </c>
      <c r="F775" s="365" t="n">
        <v>1</v>
      </c>
      <c r="G775" s="380" t="n">
        <v>0</v>
      </c>
      <c r="H775" s="358" t="n">
        <v>0</v>
      </c>
      <c r="I775" s="358" t="n">
        <v>0</v>
      </c>
      <c r="J775" s="358" t="n">
        <v>0</v>
      </c>
      <c r="K775" s="358" t="n">
        <v>0</v>
      </c>
      <c r="L775" s="358" t="n">
        <v>0</v>
      </c>
      <c r="M775" s="385" t="n">
        <v>1</v>
      </c>
      <c r="N775" s="385" t="n">
        <v>0</v>
      </c>
      <c r="O775" s="385" t="n">
        <v>0</v>
      </c>
      <c r="P775" s="365" t="n">
        <v>1</v>
      </c>
    </row>
    <row r="776" customFormat="false" ht="15" hidden="true" customHeight="false" outlineLevel="0" collapsed="false">
      <c r="B776" s="360" t="s">
        <v>3170</v>
      </c>
      <c r="C776" s="385" t="n">
        <v>1</v>
      </c>
      <c r="D776" s="385" t="n">
        <v>0</v>
      </c>
      <c r="E776" s="385" t="n">
        <v>0</v>
      </c>
      <c r="F776" s="365" t="n">
        <v>1</v>
      </c>
      <c r="G776" s="380" t="n">
        <v>0</v>
      </c>
      <c r="H776" s="358" t="n">
        <v>0</v>
      </c>
      <c r="I776" s="358" t="n">
        <v>0</v>
      </c>
      <c r="J776" s="358" t="n">
        <v>0</v>
      </c>
      <c r="K776" s="358" t="n">
        <v>0</v>
      </c>
      <c r="L776" s="358" t="n">
        <v>0</v>
      </c>
      <c r="M776" s="385" t="n">
        <v>1</v>
      </c>
      <c r="N776" s="385" t="n">
        <v>0</v>
      </c>
      <c r="O776" s="385" t="n">
        <v>0</v>
      </c>
      <c r="P776" s="365" t="n">
        <v>1</v>
      </c>
    </row>
    <row r="777" customFormat="false" ht="15" hidden="true" customHeight="false" outlineLevel="0" collapsed="false">
      <c r="B777" s="360" t="s">
        <v>3171</v>
      </c>
      <c r="C777" s="385" t="n">
        <v>0</v>
      </c>
      <c r="D777" s="385" t="n">
        <v>0</v>
      </c>
      <c r="E777" s="385" t="n">
        <v>0</v>
      </c>
      <c r="F777" s="365" t="n">
        <v>0</v>
      </c>
      <c r="G777" s="380" t="n">
        <v>1</v>
      </c>
      <c r="H777" s="358" t="n">
        <v>0</v>
      </c>
      <c r="I777" s="358" t="n">
        <v>0</v>
      </c>
      <c r="J777" s="358" t="n">
        <v>0</v>
      </c>
      <c r="K777" s="358" t="n">
        <v>0</v>
      </c>
      <c r="L777" s="358" t="n">
        <v>0</v>
      </c>
      <c r="M777" s="385" t="n">
        <v>1</v>
      </c>
      <c r="N777" s="385" t="n">
        <v>0</v>
      </c>
      <c r="O777" s="385" t="n">
        <v>0</v>
      </c>
      <c r="P777" s="365" t="n">
        <v>1</v>
      </c>
    </row>
    <row r="778" customFormat="false" ht="15" hidden="true" customHeight="false" outlineLevel="0" collapsed="false">
      <c r="B778" s="360" t="s">
        <v>3172</v>
      </c>
      <c r="C778" s="385" t="n">
        <v>1</v>
      </c>
      <c r="D778" s="385" t="n">
        <v>0</v>
      </c>
      <c r="E778" s="385" t="n">
        <v>0</v>
      </c>
      <c r="F778" s="365" t="n">
        <v>1</v>
      </c>
      <c r="G778" s="380" t="n">
        <v>0</v>
      </c>
      <c r="H778" s="358" t="n">
        <v>0</v>
      </c>
      <c r="I778" s="358" t="n">
        <v>0</v>
      </c>
      <c r="J778" s="358" t="n">
        <v>0</v>
      </c>
      <c r="K778" s="358" t="n">
        <v>0</v>
      </c>
      <c r="L778" s="358" t="n">
        <v>0</v>
      </c>
      <c r="M778" s="385" t="n">
        <v>1</v>
      </c>
      <c r="N778" s="385" t="n">
        <v>0</v>
      </c>
      <c r="O778" s="385" t="n">
        <v>0</v>
      </c>
      <c r="P778" s="365" t="n">
        <v>1</v>
      </c>
    </row>
    <row r="779" customFormat="false" ht="15" hidden="true" customHeight="false" outlineLevel="0" collapsed="false">
      <c r="B779" s="360" t="s">
        <v>3173</v>
      </c>
      <c r="C779" s="385" t="n">
        <v>1</v>
      </c>
      <c r="D779" s="385" t="n">
        <v>0</v>
      </c>
      <c r="E779" s="385" t="n">
        <v>0</v>
      </c>
      <c r="F779" s="365" t="n">
        <v>1</v>
      </c>
      <c r="G779" s="380" t="n">
        <v>0</v>
      </c>
      <c r="H779" s="358" t="n">
        <v>0</v>
      </c>
      <c r="I779" s="358" t="n">
        <v>0</v>
      </c>
      <c r="J779" s="358" t="n">
        <v>0</v>
      </c>
      <c r="K779" s="358" t="n">
        <v>0</v>
      </c>
      <c r="L779" s="358" t="n">
        <v>0</v>
      </c>
      <c r="M779" s="385" t="n">
        <v>1</v>
      </c>
      <c r="N779" s="385" t="n">
        <v>0</v>
      </c>
      <c r="O779" s="385" t="n">
        <v>0</v>
      </c>
      <c r="P779" s="365" t="n">
        <v>1</v>
      </c>
    </row>
    <row r="780" customFormat="false" ht="15" hidden="true" customHeight="false" outlineLevel="0" collapsed="false">
      <c r="B780" s="360" t="s">
        <v>3174</v>
      </c>
      <c r="C780" s="385" t="n">
        <v>1</v>
      </c>
      <c r="D780" s="385" t="n">
        <v>0</v>
      </c>
      <c r="E780" s="385" t="n">
        <v>0</v>
      </c>
      <c r="F780" s="365" t="n">
        <v>1</v>
      </c>
      <c r="G780" s="380" t="n">
        <v>0</v>
      </c>
      <c r="H780" s="358" t="n">
        <v>0</v>
      </c>
      <c r="I780" s="358" t="n">
        <v>0</v>
      </c>
      <c r="J780" s="358" t="n">
        <v>0</v>
      </c>
      <c r="K780" s="358" t="n">
        <v>0</v>
      </c>
      <c r="L780" s="358" t="n">
        <v>0</v>
      </c>
      <c r="M780" s="385" t="n">
        <v>1</v>
      </c>
      <c r="N780" s="385" t="n">
        <v>0</v>
      </c>
      <c r="O780" s="385" t="n">
        <v>0</v>
      </c>
      <c r="P780" s="365" t="n">
        <v>1</v>
      </c>
    </row>
    <row r="781" customFormat="false" ht="15" hidden="true" customHeight="false" outlineLevel="0" collapsed="false">
      <c r="B781" s="360" t="s">
        <v>3175</v>
      </c>
      <c r="C781" s="385" t="n">
        <v>1</v>
      </c>
      <c r="D781" s="385" t="n">
        <v>0</v>
      </c>
      <c r="E781" s="385" t="n">
        <v>0</v>
      </c>
      <c r="F781" s="365" t="n">
        <v>1</v>
      </c>
      <c r="G781" s="380" t="n">
        <v>0</v>
      </c>
      <c r="H781" s="358" t="n">
        <v>0</v>
      </c>
      <c r="I781" s="358" t="n">
        <v>0</v>
      </c>
      <c r="J781" s="358" t="n">
        <v>0</v>
      </c>
      <c r="K781" s="358" t="n">
        <v>0</v>
      </c>
      <c r="L781" s="358" t="n">
        <v>0</v>
      </c>
      <c r="M781" s="385" t="n">
        <v>1</v>
      </c>
      <c r="N781" s="385" t="n">
        <v>0</v>
      </c>
      <c r="O781" s="385" t="n">
        <v>0</v>
      </c>
      <c r="P781" s="365" t="n">
        <v>1</v>
      </c>
    </row>
    <row r="782" customFormat="false" ht="15" hidden="true" customHeight="false" outlineLevel="0" collapsed="false">
      <c r="B782" s="360" t="s">
        <v>3176</v>
      </c>
      <c r="C782" s="385" t="n">
        <v>1</v>
      </c>
      <c r="D782" s="385" t="n">
        <v>0</v>
      </c>
      <c r="E782" s="385" t="n">
        <v>0</v>
      </c>
      <c r="F782" s="365" t="n">
        <v>1</v>
      </c>
      <c r="G782" s="380" t="n">
        <v>0</v>
      </c>
      <c r="H782" s="358" t="n">
        <v>0</v>
      </c>
      <c r="I782" s="358" t="n">
        <v>0</v>
      </c>
      <c r="J782" s="358" t="n">
        <v>0</v>
      </c>
      <c r="K782" s="358" t="n">
        <v>0</v>
      </c>
      <c r="L782" s="358" t="n">
        <v>0</v>
      </c>
      <c r="M782" s="385" t="n">
        <v>1</v>
      </c>
      <c r="N782" s="385" t="n">
        <v>0</v>
      </c>
      <c r="O782" s="385" t="n">
        <v>0</v>
      </c>
      <c r="P782" s="365" t="n">
        <v>1</v>
      </c>
    </row>
    <row r="783" customFormat="false" ht="15" hidden="true" customHeight="false" outlineLevel="0" collapsed="false">
      <c r="B783" s="360" t="s">
        <v>3177</v>
      </c>
      <c r="C783" s="385" t="n">
        <v>1</v>
      </c>
      <c r="D783" s="385" t="n">
        <v>0</v>
      </c>
      <c r="E783" s="385" t="n">
        <v>0</v>
      </c>
      <c r="F783" s="365" t="n">
        <v>1</v>
      </c>
      <c r="G783" s="380" t="n">
        <v>0</v>
      </c>
      <c r="H783" s="358" t="n">
        <v>0</v>
      </c>
      <c r="I783" s="358" t="n">
        <v>0</v>
      </c>
      <c r="J783" s="358" t="n">
        <v>0</v>
      </c>
      <c r="K783" s="358" t="n">
        <v>0</v>
      </c>
      <c r="L783" s="358" t="n">
        <v>0</v>
      </c>
      <c r="M783" s="385" t="n">
        <v>1</v>
      </c>
      <c r="N783" s="385" t="n">
        <v>0</v>
      </c>
      <c r="O783" s="385" t="n">
        <v>0</v>
      </c>
      <c r="P783" s="365" t="n">
        <v>1</v>
      </c>
    </row>
    <row r="784" customFormat="false" ht="15" hidden="true" customHeight="false" outlineLevel="0" collapsed="false">
      <c r="B784" s="360" t="s">
        <v>3178</v>
      </c>
      <c r="C784" s="385" t="n">
        <v>1</v>
      </c>
      <c r="D784" s="385" t="n">
        <v>0</v>
      </c>
      <c r="E784" s="385" t="n">
        <v>0</v>
      </c>
      <c r="F784" s="365" t="n">
        <v>1</v>
      </c>
      <c r="G784" s="380" t="n">
        <v>0</v>
      </c>
      <c r="H784" s="358" t="n">
        <v>0</v>
      </c>
      <c r="I784" s="358" t="n">
        <v>0</v>
      </c>
      <c r="J784" s="358" t="n">
        <v>0</v>
      </c>
      <c r="K784" s="358" t="n">
        <v>0</v>
      </c>
      <c r="L784" s="358" t="n">
        <v>0</v>
      </c>
      <c r="M784" s="385" t="n">
        <v>1</v>
      </c>
      <c r="N784" s="385" t="n">
        <v>0</v>
      </c>
      <c r="O784" s="385" t="n">
        <v>0</v>
      </c>
      <c r="P784" s="365" t="n">
        <v>1</v>
      </c>
    </row>
    <row r="785" customFormat="false" ht="15" hidden="true" customHeight="false" outlineLevel="0" collapsed="false">
      <c r="B785" s="360" t="s">
        <v>3179</v>
      </c>
      <c r="C785" s="385" t="n">
        <v>1</v>
      </c>
      <c r="D785" s="385" t="n">
        <v>0</v>
      </c>
      <c r="E785" s="385" t="n">
        <v>0</v>
      </c>
      <c r="F785" s="365" t="n">
        <v>1</v>
      </c>
      <c r="G785" s="380" t="n">
        <v>0</v>
      </c>
      <c r="H785" s="358" t="n">
        <v>0</v>
      </c>
      <c r="I785" s="358" t="n">
        <v>0</v>
      </c>
      <c r="J785" s="358" t="n">
        <v>0</v>
      </c>
      <c r="K785" s="358" t="n">
        <v>0</v>
      </c>
      <c r="L785" s="358" t="n">
        <v>0</v>
      </c>
      <c r="M785" s="385" t="n">
        <v>1</v>
      </c>
      <c r="N785" s="385" t="n">
        <v>0</v>
      </c>
      <c r="O785" s="385" t="n">
        <v>0</v>
      </c>
      <c r="P785" s="365" t="n">
        <v>1</v>
      </c>
    </row>
    <row r="786" customFormat="false" ht="15" hidden="true" customHeight="false" outlineLevel="0" collapsed="false">
      <c r="B786" s="360" t="s">
        <v>3180</v>
      </c>
      <c r="C786" s="385" t="n">
        <v>1</v>
      </c>
      <c r="D786" s="385" t="n">
        <v>0</v>
      </c>
      <c r="E786" s="385" t="n">
        <v>0</v>
      </c>
      <c r="F786" s="365" t="n">
        <v>1</v>
      </c>
      <c r="G786" s="380" t="n">
        <v>0</v>
      </c>
      <c r="H786" s="358" t="n">
        <v>0</v>
      </c>
      <c r="I786" s="358" t="n">
        <v>0</v>
      </c>
      <c r="J786" s="358" t="n">
        <v>0</v>
      </c>
      <c r="K786" s="358" t="n">
        <v>0</v>
      </c>
      <c r="L786" s="358" t="n">
        <v>0</v>
      </c>
      <c r="M786" s="385" t="n">
        <v>1</v>
      </c>
      <c r="N786" s="385" t="n">
        <v>0</v>
      </c>
      <c r="O786" s="385" t="n">
        <v>0</v>
      </c>
      <c r="P786" s="365" t="n">
        <v>1</v>
      </c>
    </row>
    <row r="787" customFormat="false" ht="15" hidden="true" customHeight="false" outlineLevel="0" collapsed="false">
      <c r="B787" s="360" t="s">
        <v>3181</v>
      </c>
      <c r="C787" s="385" t="n">
        <v>1</v>
      </c>
      <c r="D787" s="385" t="n">
        <v>0</v>
      </c>
      <c r="E787" s="385" t="n">
        <v>0</v>
      </c>
      <c r="F787" s="365" t="n">
        <v>1</v>
      </c>
      <c r="G787" s="380" t="n">
        <v>0</v>
      </c>
      <c r="H787" s="358" t="n">
        <v>0</v>
      </c>
      <c r="I787" s="358" t="n">
        <v>0</v>
      </c>
      <c r="J787" s="358" t="n">
        <v>0</v>
      </c>
      <c r="K787" s="358" t="n">
        <v>0</v>
      </c>
      <c r="L787" s="358" t="n">
        <v>0</v>
      </c>
      <c r="M787" s="385" t="n">
        <v>1</v>
      </c>
      <c r="N787" s="385" t="n">
        <v>0</v>
      </c>
      <c r="O787" s="385" t="n">
        <v>0</v>
      </c>
      <c r="P787" s="365" t="n">
        <v>1</v>
      </c>
    </row>
    <row r="788" customFormat="false" ht="15" hidden="true" customHeight="false" outlineLevel="0" collapsed="false">
      <c r="B788" s="360" t="s">
        <v>3182</v>
      </c>
      <c r="C788" s="385" t="n">
        <v>1</v>
      </c>
      <c r="D788" s="385" t="n">
        <v>0</v>
      </c>
      <c r="E788" s="385" t="n">
        <v>0</v>
      </c>
      <c r="F788" s="365" t="n">
        <v>1</v>
      </c>
      <c r="G788" s="380" t="n">
        <v>0</v>
      </c>
      <c r="H788" s="358" t="n">
        <v>0</v>
      </c>
      <c r="I788" s="358" t="n">
        <v>0</v>
      </c>
      <c r="J788" s="358" t="n">
        <v>0</v>
      </c>
      <c r="K788" s="358" t="n">
        <v>0</v>
      </c>
      <c r="L788" s="358" t="n">
        <v>0</v>
      </c>
      <c r="M788" s="385" t="n">
        <v>1</v>
      </c>
      <c r="N788" s="385" t="n">
        <v>0</v>
      </c>
      <c r="O788" s="385" t="n">
        <v>0</v>
      </c>
      <c r="P788" s="365" t="n">
        <v>1</v>
      </c>
    </row>
    <row r="789" customFormat="false" ht="15" hidden="true" customHeight="false" outlineLevel="0" collapsed="false">
      <c r="B789" s="360" t="s">
        <v>3183</v>
      </c>
      <c r="C789" s="385" t="n">
        <v>1</v>
      </c>
      <c r="D789" s="385" t="n">
        <v>0</v>
      </c>
      <c r="E789" s="385" t="n">
        <v>0</v>
      </c>
      <c r="F789" s="365" t="n">
        <v>1</v>
      </c>
      <c r="G789" s="380" t="n">
        <v>0</v>
      </c>
      <c r="H789" s="358" t="n">
        <v>0</v>
      </c>
      <c r="I789" s="358" t="n">
        <v>0</v>
      </c>
      <c r="J789" s="358" t="n">
        <v>0</v>
      </c>
      <c r="K789" s="358" t="n">
        <v>0</v>
      </c>
      <c r="L789" s="358" t="n">
        <v>0</v>
      </c>
      <c r="M789" s="385" t="n">
        <v>1</v>
      </c>
      <c r="N789" s="385" t="n">
        <v>0</v>
      </c>
      <c r="O789" s="385" t="n">
        <v>0</v>
      </c>
      <c r="P789" s="365" t="n">
        <v>1</v>
      </c>
    </row>
    <row r="790" customFormat="false" ht="15" hidden="true" customHeight="false" outlineLevel="0" collapsed="false">
      <c r="B790" s="360" t="s">
        <v>3184</v>
      </c>
      <c r="C790" s="385" t="n">
        <v>1</v>
      </c>
      <c r="D790" s="385" t="n">
        <v>0</v>
      </c>
      <c r="E790" s="385" t="n">
        <v>0</v>
      </c>
      <c r="F790" s="365" t="n">
        <v>1</v>
      </c>
      <c r="G790" s="380" t="n">
        <v>0</v>
      </c>
      <c r="H790" s="358" t="n">
        <v>0</v>
      </c>
      <c r="I790" s="358" t="n">
        <v>0</v>
      </c>
      <c r="J790" s="358" t="n">
        <v>0</v>
      </c>
      <c r="K790" s="358" t="n">
        <v>0</v>
      </c>
      <c r="L790" s="358" t="n">
        <v>0</v>
      </c>
      <c r="M790" s="385" t="n">
        <v>1</v>
      </c>
      <c r="N790" s="385" t="n">
        <v>0</v>
      </c>
      <c r="O790" s="385" t="n">
        <v>0</v>
      </c>
      <c r="P790" s="365" t="n">
        <v>1</v>
      </c>
    </row>
    <row r="791" customFormat="false" ht="15" hidden="true" customHeight="false" outlineLevel="0" collapsed="false">
      <c r="B791" s="360" t="s">
        <v>3185</v>
      </c>
      <c r="C791" s="385" t="n">
        <v>1</v>
      </c>
      <c r="D791" s="385" t="n">
        <v>0</v>
      </c>
      <c r="E791" s="385" t="n">
        <v>0</v>
      </c>
      <c r="F791" s="365" t="n">
        <v>1</v>
      </c>
      <c r="G791" s="380" t="n">
        <v>0</v>
      </c>
      <c r="H791" s="358" t="n">
        <v>0</v>
      </c>
      <c r="I791" s="358" t="n">
        <v>0</v>
      </c>
      <c r="J791" s="358" t="n">
        <v>0</v>
      </c>
      <c r="K791" s="358" t="n">
        <v>0</v>
      </c>
      <c r="L791" s="358" t="n">
        <v>0</v>
      </c>
      <c r="M791" s="385" t="n">
        <v>1</v>
      </c>
      <c r="N791" s="385" t="n">
        <v>0</v>
      </c>
      <c r="O791" s="385" t="n">
        <v>0</v>
      </c>
      <c r="P791" s="365" t="n">
        <v>1</v>
      </c>
    </row>
    <row r="792" customFormat="false" ht="15" hidden="true" customHeight="false" outlineLevel="0" collapsed="false">
      <c r="B792" s="360" t="s">
        <v>3186</v>
      </c>
      <c r="C792" s="385" t="n">
        <v>1</v>
      </c>
      <c r="D792" s="385" t="n">
        <v>0</v>
      </c>
      <c r="E792" s="385" t="n">
        <v>0</v>
      </c>
      <c r="F792" s="365" t="n">
        <v>1</v>
      </c>
      <c r="G792" s="380" t="n">
        <v>0</v>
      </c>
      <c r="H792" s="358" t="n">
        <v>0</v>
      </c>
      <c r="I792" s="358" t="n">
        <v>0</v>
      </c>
      <c r="J792" s="358" t="n">
        <v>0</v>
      </c>
      <c r="K792" s="358" t="n">
        <v>0</v>
      </c>
      <c r="L792" s="358" t="n">
        <v>0</v>
      </c>
      <c r="M792" s="385" t="n">
        <v>1</v>
      </c>
      <c r="N792" s="385" t="n">
        <v>0</v>
      </c>
      <c r="O792" s="385" t="n">
        <v>0</v>
      </c>
      <c r="P792" s="365" t="n">
        <v>1</v>
      </c>
    </row>
    <row r="793" customFormat="false" ht="15" hidden="true" customHeight="false" outlineLevel="0" collapsed="false">
      <c r="B793" s="360" t="s">
        <v>3187</v>
      </c>
      <c r="C793" s="385" t="n">
        <v>1</v>
      </c>
      <c r="D793" s="385" t="n">
        <v>0</v>
      </c>
      <c r="E793" s="385" t="n">
        <v>0</v>
      </c>
      <c r="F793" s="365" t="n">
        <v>1</v>
      </c>
      <c r="G793" s="380" t="n">
        <v>0</v>
      </c>
      <c r="H793" s="358" t="n">
        <v>0</v>
      </c>
      <c r="I793" s="358" t="n">
        <v>0</v>
      </c>
      <c r="J793" s="358" t="n">
        <v>0</v>
      </c>
      <c r="K793" s="358" t="n">
        <v>0</v>
      </c>
      <c r="L793" s="358" t="n">
        <v>0</v>
      </c>
      <c r="M793" s="385" t="n">
        <v>1</v>
      </c>
      <c r="N793" s="385" t="n">
        <v>0</v>
      </c>
      <c r="O793" s="385" t="n">
        <v>0</v>
      </c>
      <c r="P793" s="365" t="n">
        <v>1</v>
      </c>
    </row>
    <row r="794" customFormat="false" ht="15" hidden="true" customHeight="false" outlineLevel="0" collapsed="false">
      <c r="B794" s="360" t="s">
        <v>3188</v>
      </c>
      <c r="C794" s="385" t="n">
        <v>1</v>
      </c>
      <c r="D794" s="385" t="n">
        <v>0</v>
      </c>
      <c r="E794" s="385" t="n">
        <v>0</v>
      </c>
      <c r="F794" s="365" t="n">
        <v>1</v>
      </c>
      <c r="G794" s="380" t="n">
        <v>0</v>
      </c>
      <c r="H794" s="358" t="n">
        <v>0</v>
      </c>
      <c r="I794" s="358" t="n">
        <v>0</v>
      </c>
      <c r="J794" s="358" t="n">
        <v>0</v>
      </c>
      <c r="K794" s="358" t="n">
        <v>0</v>
      </c>
      <c r="L794" s="358" t="n">
        <v>0</v>
      </c>
      <c r="M794" s="385" t="n">
        <v>1</v>
      </c>
      <c r="N794" s="385" t="n">
        <v>0</v>
      </c>
      <c r="O794" s="385" t="n">
        <v>0</v>
      </c>
      <c r="P794" s="365" t="n">
        <v>1</v>
      </c>
    </row>
    <row r="795" customFormat="false" ht="15" hidden="true" customHeight="false" outlineLevel="0" collapsed="false">
      <c r="B795" s="360" t="s">
        <v>3189</v>
      </c>
      <c r="C795" s="385" t="n">
        <v>1</v>
      </c>
      <c r="D795" s="385" t="n">
        <v>0</v>
      </c>
      <c r="E795" s="385" t="n">
        <v>0</v>
      </c>
      <c r="F795" s="365" t="n">
        <v>1</v>
      </c>
      <c r="G795" s="380" t="n">
        <v>0</v>
      </c>
      <c r="H795" s="358" t="n">
        <v>0</v>
      </c>
      <c r="I795" s="358" t="n">
        <v>0</v>
      </c>
      <c r="J795" s="358" t="n">
        <v>0</v>
      </c>
      <c r="K795" s="358" t="n">
        <v>0</v>
      </c>
      <c r="L795" s="358" t="n">
        <v>0</v>
      </c>
      <c r="M795" s="385" t="n">
        <v>1</v>
      </c>
      <c r="N795" s="385" t="n">
        <v>0</v>
      </c>
      <c r="O795" s="385" t="n">
        <v>0</v>
      </c>
      <c r="P795" s="365" t="n">
        <v>1</v>
      </c>
    </row>
    <row r="796" customFormat="false" ht="15" hidden="true" customHeight="false" outlineLevel="0" collapsed="false">
      <c r="B796" s="360" t="s">
        <v>3190</v>
      </c>
      <c r="C796" s="385" t="n">
        <v>1</v>
      </c>
      <c r="D796" s="385" t="n">
        <v>0</v>
      </c>
      <c r="E796" s="385" t="n">
        <v>0</v>
      </c>
      <c r="F796" s="365" t="n">
        <v>1</v>
      </c>
      <c r="G796" s="380" t="n">
        <v>0</v>
      </c>
      <c r="H796" s="358" t="n">
        <v>0</v>
      </c>
      <c r="I796" s="358" t="n">
        <v>0</v>
      </c>
      <c r="J796" s="358" t="n">
        <v>0</v>
      </c>
      <c r="K796" s="358" t="n">
        <v>0</v>
      </c>
      <c r="L796" s="358" t="n">
        <v>0</v>
      </c>
      <c r="M796" s="385" t="n">
        <v>1</v>
      </c>
      <c r="N796" s="385" t="n">
        <v>0</v>
      </c>
      <c r="O796" s="385" t="n">
        <v>0</v>
      </c>
      <c r="P796" s="365" t="n">
        <v>1</v>
      </c>
    </row>
    <row r="797" customFormat="false" ht="15" hidden="true" customHeight="false" outlineLevel="0" collapsed="false">
      <c r="B797" s="360" t="s">
        <v>3191</v>
      </c>
      <c r="C797" s="385" t="n">
        <v>1</v>
      </c>
      <c r="D797" s="385" t="n">
        <v>0</v>
      </c>
      <c r="E797" s="385" t="n">
        <v>0</v>
      </c>
      <c r="F797" s="365" t="n">
        <v>1</v>
      </c>
      <c r="G797" s="380" t="n">
        <v>0</v>
      </c>
      <c r="H797" s="358" t="n">
        <v>0</v>
      </c>
      <c r="I797" s="358" t="n">
        <v>0</v>
      </c>
      <c r="J797" s="358" t="n">
        <v>0</v>
      </c>
      <c r="K797" s="358" t="n">
        <v>0</v>
      </c>
      <c r="L797" s="358" t="n">
        <v>0</v>
      </c>
      <c r="M797" s="385" t="n">
        <v>1</v>
      </c>
      <c r="N797" s="385" t="n">
        <v>0</v>
      </c>
      <c r="O797" s="385" t="n">
        <v>0</v>
      </c>
      <c r="P797" s="365" t="n">
        <v>1</v>
      </c>
    </row>
    <row r="798" customFormat="false" ht="15" hidden="true" customHeight="false" outlineLevel="0" collapsed="false">
      <c r="B798" s="360" t="s">
        <v>3192</v>
      </c>
      <c r="C798" s="385" t="n">
        <v>1</v>
      </c>
      <c r="D798" s="385" t="n">
        <v>0</v>
      </c>
      <c r="E798" s="385" t="n">
        <v>0</v>
      </c>
      <c r="F798" s="365" t="n">
        <v>1</v>
      </c>
      <c r="G798" s="380" t="n">
        <v>0</v>
      </c>
      <c r="H798" s="358" t="n">
        <v>0</v>
      </c>
      <c r="I798" s="358" t="n">
        <v>0</v>
      </c>
      <c r="J798" s="358" t="n">
        <v>0</v>
      </c>
      <c r="K798" s="358" t="n">
        <v>0</v>
      </c>
      <c r="L798" s="358" t="n">
        <v>0</v>
      </c>
      <c r="M798" s="385" t="n">
        <v>1</v>
      </c>
      <c r="N798" s="385" t="n">
        <v>0</v>
      </c>
      <c r="O798" s="385" t="n">
        <v>0</v>
      </c>
      <c r="P798" s="365" t="n">
        <v>1</v>
      </c>
    </row>
    <row r="799" customFormat="false" ht="15" hidden="true" customHeight="false" outlineLevel="0" collapsed="false">
      <c r="B799" s="360" t="s">
        <v>3193</v>
      </c>
      <c r="C799" s="385" t="n">
        <v>1</v>
      </c>
      <c r="D799" s="385" t="n">
        <v>0</v>
      </c>
      <c r="E799" s="385" t="n">
        <v>0</v>
      </c>
      <c r="F799" s="365" t="n">
        <v>1</v>
      </c>
      <c r="G799" s="380" t="n">
        <v>0</v>
      </c>
      <c r="H799" s="358" t="n">
        <v>0</v>
      </c>
      <c r="I799" s="358" t="n">
        <v>0</v>
      </c>
      <c r="J799" s="358" t="n">
        <v>0</v>
      </c>
      <c r="K799" s="358" t="n">
        <v>0</v>
      </c>
      <c r="L799" s="358" t="n">
        <v>0</v>
      </c>
      <c r="M799" s="385" t="n">
        <v>1</v>
      </c>
      <c r="N799" s="385" t="n">
        <v>0</v>
      </c>
      <c r="O799" s="385" t="n">
        <v>0</v>
      </c>
      <c r="P799" s="365" t="n">
        <v>1</v>
      </c>
    </row>
    <row r="800" customFormat="false" ht="15" hidden="true" customHeight="false" outlineLevel="0" collapsed="false">
      <c r="B800" s="360" t="s">
        <v>3194</v>
      </c>
      <c r="C800" s="385" t="n">
        <v>1</v>
      </c>
      <c r="D800" s="385" t="n">
        <v>0</v>
      </c>
      <c r="E800" s="385" t="n">
        <v>0</v>
      </c>
      <c r="F800" s="365" t="n">
        <v>1</v>
      </c>
      <c r="G800" s="380" t="n">
        <v>0</v>
      </c>
      <c r="H800" s="358" t="n">
        <v>0</v>
      </c>
      <c r="I800" s="358" t="n">
        <v>0</v>
      </c>
      <c r="J800" s="358" t="n">
        <v>0</v>
      </c>
      <c r="K800" s="358" t="n">
        <v>0</v>
      </c>
      <c r="L800" s="358" t="n">
        <v>0</v>
      </c>
      <c r="M800" s="385" t="n">
        <v>1</v>
      </c>
      <c r="N800" s="385" t="n">
        <v>0</v>
      </c>
      <c r="O800" s="385" t="n">
        <v>0</v>
      </c>
      <c r="P800" s="365" t="n">
        <v>1</v>
      </c>
    </row>
    <row r="801" customFormat="false" ht="15" hidden="true" customHeight="false" outlineLevel="0" collapsed="false">
      <c r="B801" s="360" t="s">
        <v>3195</v>
      </c>
      <c r="C801" s="385" t="n">
        <v>1</v>
      </c>
      <c r="D801" s="385" t="n">
        <v>0</v>
      </c>
      <c r="E801" s="385" t="n">
        <v>0</v>
      </c>
      <c r="F801" s="365" t="n">
        <v>1</v>
      </c>
      <c r="G801" s="380" t="n">
        <v>0</v>
      </c>
      <c r="H801" s="358" t="n">
        <v>0</v>
      </c>
      <c r="I801" s="358" t="n">
        <v>0</v>
      </c>
      <c r="J801" s="358" t="n">
        <v>0</v>
      </c>
      <c r="K801" s="358" t="n">
        <v>0</v>
      </c>
      <c r="L801" s="358" t="n">
        <v>0</v>
      </c>
      <c r="M801" s="385" t="n">
        <v>1</v>
      </c>
      <c r="N801" s="385" t="n">
        <v>0</v>
      </c>
      <c r="O801" s="385" t="n">
        <v>0</v>
      </c>
      <c r="P801" s="365" t="n">
        <v>1</v>
      </c>
    </row>
    <row r="802" customFormat="false" ht="15" hidden="true" customHeight="false" outlineLevel="0" collapsed="false">
      <c r="B802" s="360" t="s">
        <v>3196</v>
      </c>
      <c r="C802" s="385" t="n">
        <v>1</v>
      </c>
      <c r="D802" s="385" t="n">
        <v>0</v>
      </c>
      <c r="E802" s="385" t="n">
        <v>0</v>
      </c>
      <c r="F802" s="365" t="n">
        <v>1</v>
      </c>
      <c r="G802" s="380" t="n">
        <v>0</v>
      </c>
      <c r="H802" s="358" t="n">
        <v>0</v>
      </c>
      <c r="I802" s="358" t="n">
        <v>0</v>
      </c>
      <c r="J802" s="358" t="n">
        <v>0</v>
      </c>
      <c r="K802" s="358" t="n">
        <v>0</v>
      </c>
      <c r="L802" s="358" t="n">
        <v>0</v>
      </c>
      <c r="M802" s="385" t="n">
        <v>1</v>
      </c>
      <c r="N802" s="385" t="n">
        <v>0</v>
      </c>
      <c r="O802" s="385" t="n">
        <v>0</v>
      </c>
      <c r="P802" s="365" t="n">
        <v>1</v>
      </c>
    </row>
    <row r="803" customFormat="false" ht="15" hidden="true" customHeight="false" outlineLevel="0" collapsed="false">
      <c r="B803" s="360" t="s">
        <v>3197</v>
      </c>
      <c r="C803" s="385" t="n">
        <v>1</v>
      </c>
      <c r="D803" s="385" t="n">
        <v>0</v>
      </c>
      <c r="E803" s="385" t="n">
        <v>0</v>
      </c>
      <c r="F803" s="365" t="n">
        <v>1</v>
      </c>
      <c r="G803" s="380" t="n">
        <v>0</v>
      </c>
      <c r="H803" s="358" t="n">
        <v>0</v>
      </c>
      <c r="I803" s="358" t="n">
        <v>0</v>
      </c>
      <c r="J803" s="358" t="n">
        <v>0</v>
      </c>
      <c r="K803" s="358" t="n">
        <v>0</v>
      </c>
      <c r="L803" s="358" t="n">
        <v>0</v>
      </c>
      <c r="M803" s="385" t="n">
        <v>1</v>
      </c>
      <c r="N803" s="385" t="n">
        <v>0</v>
      </c>
      <c r="O803" s="385" t="n">
        <v>0</v>
      </c>
      <c r="P803" s="365" t="n">
        <v>1</v>
      </c>
    </row>
    <row r="804" customFormat="false" ht="15" hidden="true" customHeight="false" outlineLevel="0" collapsed="false">
      <c r="B804" s="360" t="s">
        <v>3198</v>
      </c>
      <c r="C804" s="385" t="n">
        <v>1</v>
      </c>
      <c r="D804" s="385" t="n">
        <v>0</v>
      </c>
      <c r="E804" s="385" t="n">
        <v>0</v>
      </c>
      <c r="F804" s="365" t="n">
        <v>1</v>
      </c>
      <c r="G804" s="380" t="n">
        <v>0</v>
      </c>
      <c r="H804" s="358" t="n">
        <v>0</v>
      </c>
      <c r="I804" s="358" t="n">
        <v>0</v>
      </c>
      <c r="J804" s="358" t="n">
        <v>0</v>
      </c>
      <c r="K804" s="358" t="n">
        <v>0</v>
      </c>
      <c r="L804" s="358" t="n">
        <v>0</v>
      </c>
      <c r="M804" s="385" t="n">
        <v>1</v>
      </c>
      <c r="N804" s="385" t="n">
        <v>0</v>
      </c>
      <c r="O804" s="385" t="n">
        <v>0</v>
      </c>
      <c r="P804" s="365" t="n">
        <v>1</v>
      </c>
    </row>
    <row r="805" customFormat="false" ht="15" hidden="true" customHeight="false" outlineLevel="0" collapsed="false">
      <c r="B805" s="360" t="s">
        <v>3199</v>
      </c>
      <c r="C805" s="385" t="n">
        <v>1</v>
      </c>
      <c r="D805" s="385" t="n">
        <v>0</v>
      </c>
      <c r="E805" s="385" t="n">
        <v>0</v>
      </c>
      <c r="F805" s="365" t="n">
        <v>1</v>
      </c>
      <c r="G805" s="380" t="n">
        <v>0</v>
      </c>
      <c r="H805" s="358" t="n">
        <v>0</v>
      </c>
      <c r="I805" s="358" t="n">
        <v>0</v>
      </c>
      <c r="J805" s="358" t="n">
        <v>0</v>
      </c>
      <c r="K805" s="358" t="n">
        <v>0</v>
      </c>
      <c r="L805" s="358" t="n">
        <v>0</v>
      </c>
      <c r="M805" s="385" t="n">
        <v>1</v>
      </c>
      <c r="N805" s="385" t="n">
        <v>0</v>
      </c>
      <c r="O805" s="385" t="n">
        <v>0</v>
      </c>
      <c r="P805" s="365" t="n">
        <v>1</v>
      </c>
    </row>
    <row r="806" customFormat="false" ht="15" hidden="true" customHeight="false" outlineLevel="0" collapsed="false">
      <c r="B806" s="360" t="s">
        <v>3200</v>
      </c>
      <c r="C806" s="385" t="n">
        <v>1</v>
      </c>
      <c r="D806" s="385" t="n">
        <v>0</v>
      </c>
      <c r="E806" s="385" t="n">
        <v>0</v>
      </c>
      <c r="F806" s="365" t="n">
        <v>1</v>
      </c>
      <c r="G806" s="380" t="n">
        <v>0</v>
      </c>
      <c r="H806" s="358" t="n">
        <v>0</v>
      </c>
      <c r="I806" s="358" t="n">
        <v>0</v>
      </c>
      <c r="J806" s="358" t="n">
        <v>0</v>
      </c>
      <c r="K806" s="358" t="n">
        <v>0</v>
      </c>
      <c r="L806" s="358" t="n">
        <v>0</v>
      </c>
      <c r="M806" s="385" t="n">
        <v>1</v>
      </c>
      <c r="N806" s="385" t="n">
        <v>0</v>
      </c>
      <c r="O806" s="385" t="n">
        <v>0</v>
      </c>
      <c r="P806" s="365" t="n">
        <v>1</v>
      </c>
    </row>
    <row r="807" customFormat="false" ht="15" hidden="true" customHeight="false" outlineLevel="0" collapsed="false">
      <c r="B807" s="360" t="s">
        <v>3201</v>
      </c>
      <c r="C807" s="385" t="n">
        <v>1</v>
      </c>
      <c r="D807" s="385" t="n">
        <v>0</v>
      </c>
      <c r="E807" s="385" t="n">
        <v>0</v>
      </c>
      <c r="F807" s="365" t="n">
        <v>1</v>
      </c>
      <c r="G807" s="380" t="n">
        <v>0</v>
      </c>
      <c r="H807" s="358" t="n">
        <v>0</v>
      </c>
      <c r="I807" s="358" t="n">
        <v>0</v>
      </c>
      <c r="J807" s="358" t="n">
        <v>0</v>
      </c>
      <c r="K807" s="358" t="n">
        <v>0</v>
      </c>
      <c r="L807" s="358" t="n">
        <v>0</v>
      </c>
      <c r="M807" s="385" t="n">
        <v>1</v>
      </c>
      <c r="N807" s="385" t="n">
        <v>0</v>
      </c>
      <c r="O807" s="385" t="n">
        <v>0</v>
      </c>
      <c r="P807" s="365" t="n">
        <v>1</v>
      </c>
    </row>
    <row r="808" customFormat="false" ht="15" hidden="true" customHeight="false" outlineLevel="0" collapsed="false">
      <c r="B808" s="360" t="s">
        <v>3202</v>
      </c>
      <c r="C808" s="385" t="n">
        <v>1</v>
      </c>
      <c r="D808" s="385" t="n">
        <v>0</v>
      </c>
      <c r="E808" s="385" t="n">
        <v>0</v>
      </c>
      <c r="F808" s="365" t="n">
        <v>1</v>
      </c>
      <c r="G808" s="380" t="n">
        <v>0</v>
      </c>
      <c r="H808" s="358" t="n">
        <v>0</v>
      </c>
      <c r="I808" s="358" t="n">
        <v>0</v>
      </c>
      <c r="J808" s="358" t="n">
        <v>0</v>
      </c>
      <c r="K808" s="358" t="n">
        <v>0</v>
      </c>
      <c r="L808" s="358" t="n">
        <v>0</v>
      </c>
      <c r="M808" s="385" t="n">
        <v>1</v>
      </c>
      <c r="N808" s="385" t="n">
        <v>0</v>
      </c>
      <c r="O808" s="385" t="n">
        <v>0</v>
      </c>
      <c r="P808" s="365" t="n">
        <v>1</v>
      </c>
    </row>
    <row r="809" customFormat="false" ht="15" hidden="true" customHeight="false" outlineLevel="0" collapsed="false">
      <c r="B809" s="360" t="s">
        <v>3203</v>
      </c>
      <c r="C809" s="385" t="n">
        <v>1</v>
      </c>
      <c r="D809" s="385" t="n">
        <v>0</v>
      </c>
      <c r="E809" s="385" t="n">
        <v>0</v>
      </c>
      <c r="F809" s="365" t="n">
        <v>1</v>
      </c>
      <c r="G809" s="380" t="n">
        <v>0</v>
      </c>
      <c r="H809" s="358" t="n">
        <v>0</v>
      </c>
      <c r="I809" s="358" t="n">
        <v>0</v>
      </c>
      <c r="J809" s="358" t="n">
        <v>0</v>
      </c>
      <c r="K809" s="358" t="n">
        <v>0</v>
      </c>
      <c r="L809" s="358" t="n">
        <v>0</v>
      </c>
      <c r="M809" s="385" t="n">
        <v>1</v>
      </c>
      <c r="N809" s="385" t="n">
        <v>0</v>
      </c>
      <c r="O809" s="385" t="n">
        <v>0</v>
      </c>
      <c r="P809" s="365" t="n">
        <v>1</v>
      </c>
    </row>
    <row r="810" customFormat="false" ht="15" hidden="true" customHeight="false" outlineLevel="0" collapsed="false">
      <c r="B810" s="360" t="s">
        <v>3204</v>
      </c>
      <c r="C810" s="385" t="n">
        <v>1</v>
      </c>
      <c r="D810" s="385" t="n">
        <v>0</v>
      </c>
      <c r="E810" s="385" t="n">
        <v>0</v>
      </c>
      <c r="F810" s="365" t="n">
        <v>1</v>
      </c>
      <c r="G810" s="380" t="n">
        <v>0</v>
      </c>
      <c r="H810" s="358" t="n">
        <v>0</v>
      </c>
      <c r="I810" s="358" t="n">
        <v>0</v>
      </c>
      <c r="J810" s="358" t="n">
        <v>0</v>
      </c>
      <c r="K810" s="358" t="n">
        <v>0</v>
      </c>
      <c r="L810" s="358" t="n">
        <v>0</v>
      </c>
      <c r="M810" s="385" t="n">
        <v>1</v>
      </c>
      <c r="N810" s="385" t="n">
        <v>0</v>
      </c>
      <c r="O810" s="385" t="n">
        <v>0</v>
      </c>
      <c r="P810" s="365" t="n">
        <v>1</v>
      </c>
    </row>
    <row r="811" customFormat="false" ht="15" hidden="true" customHeight="false" outlineLevel="0" collapsed="false">
      <c r="B811" s="360" t="s">
        <v>3205</v>
      </c>
      <c r="C811" s="385" t="n">
        <v>1</v>
      </c>
      <c r="D811" s="385" t="n">
        <v>0</v>
      </c>
      <c r="E811" s="385" t="n">
        <v>0</v>
      </c>
      <c r="F811" s="365" t="n">
        <v>1</v>
      </c>
      <c r="G811" s="380" t="n">
        <v>0</v>
      </c>
      <c r="H811" s="358" t="n">
        <v>0</v>
      </c>
      <c r="I811" s="358" t="n">
        <v>0</v>
      </c>
      <c r="J811" s="358" t="n">
        <v>0</v>
      </c>
      <c r="K811" s="358" t="n">
        <v>0</v>
      </c>
      <c r="L811" s="358" t="n">
        <v>0</v>
      </c>
      <c r="M811" s="385" t="n">
        <v>1</v>
      </c>
      <c r="N811" s="385" t="n">
        <v>0</v>
      </c>
      <c r="O811" s="385" t="n">
        <v>0</v>
      </c>
      <c r="P811" s="365" t="n">
        <v>1</v>
      </c>
    </row>
    <row r="812" customFormat="false" ht="15" hidden="true" customHeight="false" outlineLevel="0" collapsed="false">
      <c r="B812" s="360" t="s">
        <v>3206</v>
      </c>
      <c r="C812" s="385" t="n">
        <v>1</v>
      </c>
      <c r="D812" s="385" t="n">
        <v>0</v>
      </c>
      <c r="E812" s="385" t="n">
        <v>0</v>
      </c>
      <c r="F812" s="365" t="n">
        <v>1</v>
      </c>
      <c r="G812" s="380" t="n">
        <v>0</v>
      </c>
      <c r="H812" s="358" t="n">
        <v>0</v>
      </c>
      <c r="I812" s="358" t="n">
        <v>0</v>
      </c>
      <c r="J812" s="358" t="n">
        <v>0</v>
      </c>
      <c r="K812" s="358" t="n">
        <v>0</v>
      </c>
      <c r="L812" s="358" t="n">
        <v>0</v>
      </c>
      <c r="M812" s="385" t="n">
        <v>1</v>
      </c>
      <c r="N812" s="385" t="n">
        <v>0</v>
      </c>
      <c r="O812" s="385" t="n">
        <v>0</v>
      </c>
      <c r="P812" s="365" t="n">
        <v>1</v>
      </c>
    </row>
    <row r="813" customFormat="false" ht="15" hidden="true" customHeight="false" outlineLevel="0" collapsed="false">
      <c r="B813" s="360" t="s">
        <v>3207</v>
      </c>
      <c r="C813" s="385" t="n">
        <v>1</v>
      </c>
      <c r="D813" s="385" t="n">
        <v>0</v>
      </c>
      <c r="E813" s="385" t="n">
        <v>0</v>
      </c>
      <c r="F813" s="365" t="n">
        <v>1</v>
      </c>
      <c r="G813" s="380" t="n">
        <v>0</v>
      </c>
      <c r="H813" s="358" t="n">
        <v>0</v>
      </c>
      <c r="I813" s="358" t="n">
        <v>0</v>
      </c>
      <c r="J813" s="358" t="n">
        <v>0</v>
      </c>
      <c r="K813" s="358" t="n">
        <v>0</v>
      </c>
      <c r="L813" s="358" t="n">
        <v>0</v>
      </c>
      <c r="M813" s="385" t="n">
        <v>1</v>
      </c>
      <c r="N813" s="385" t="n">
        <v>0</v>
      </c>
      <c r="O813" s="385" t="n">
        <v>0</v>
      </c>
      <c r="P813" s="365" t="n">
        <v>1</v>
      </c>
    </row>
    <row r="814" customFormat="false" ht="15" hidden="true" customHeight="false" outlineLevel="0" collapsed="false">
      <c r="B814" s="360" t="s">
        <v>3208</v>
      </c>
      <c r="C814" s="385" t="n">
        <v>1</v>
      </c>
      <c r="D814" s="385" t="n">
        <v>0</v>
      </c>
      <c r="E814" s="385" t="n">
        <v>0</v>
      </c>
      <c r="F814" s="365" t="n">
        <v>1</v>
      </c>
      <c r="G814" s="380" t="n">
        <v>0</v>
      </c>
      <c r="H814" s="358" t="n">
        <v>0</v>
      </c>
      <c r="I814" s="358" t="n">
        <v>0</v>
      </c>
      <c r="J814" s="358" t="n">
        <v>0</v>
      </c>
      <c r="K814" s="358" t="n">
        <v>0</v>
      </c>
      <c r="L814" s="358" t="n">
        <v>0</v>
      </c>
      <c r="M814" s="385" t="n">
        <v>1</v>
      </c>
      <c r="N814" s="385" t="n">
        <v>0</v>
      </c>
      <c r="O814" s="385" t="n">
        <v>0</v>
      </c>
      <c r="P814" s="365" t="n">
        <v>1</v>
      </c>
    </row>
    <row r="815" customFormat="false" ht="15" hidden="true" customHeight="false" outlineLevel="0" collapsed="false">
      <c r="B815" s="360" t="s">
        <v>3209</v>
      </c>
      <c r="C815" s="385" t="n">
        <v>1</v>
      </c>
      <c r="D815" s="385" t="n">
        <v>0</v>
      </c>
      <c r="E815" s="385" t="n">
        <v>0</v>
      </c>
      <c r="F815" s="365" t="n">
        <v>1</v>
      </c>
      <c r="G815" s="380" t="n">
        <v>0</v>
      </c>
      <c r="H815" s="358" t="n">
        <v>0</v>
      </c>
      <c r="I815" s="358" t="n">
        <v>0</v>
      </c>
      <c r="J815" s="358" t="n">
        <v>0</v>
      </c>
      <c r="K815" s="358" t="n">
        <v>0</v>
      </c>
      <c r="L815" s="358" t="n">
        <v>0</v>
      </c>
      <c r="M815" s="385" t="n">
        <v>1</v>
      </c>
      <c r="N815" s="385" t="n">
        <v>0</v>
      </c>
      <c r="O815" s="385" t="n">
        <v>0</v>
      </c>
      <c r="P815" s="365" t="n">
        <v>1</v>
      </c>
    </row>
    <row r="816" customFormat="false" ht="15" hidden="true" customHeight="false" outlineLevel="0" collapsed="false">
      <c r="B816" s="360" t="s">
        <v>3210</v>
      </c>
      <c r="C816" s="385" t="n">
        <v>1</v>
      </c>
      <c r="D816" s="385" t="n">
        <v>0</v>
      </c>
      <c r="E816" s="385" t="n">
        <v>0</v>
      </c>
      <c r="F816" s="365" t="n">
        <v>1</v>
      </c>
      <c r="G816" s="380" t="n">
        <v>0</v>
      </c>
      <c r="H816" s="358" t="n">
        <v>0</v>
      </c>
      <c r="I816" s="358" t="n">
        <v>0</v>
      </c>
      <c r="J816" s="358" t="n">
        <v>0</v>
      </c>
      <c r="K816" s="358" t="n">
        <v>0</v>
      </c>
      <c r="L816" s="358" t="n">
        <v>0</v>
      </c>
      <c r="M816" s="385" t="n">
        <v>1</v>
      </c>
      <c r="N816" s="385" t="n">
        <v>0</v>
      </c>
      <c r="O816" s="385" t="n">
        <v>0</v>
      </c>
      <c r="P816" s="365" t="n">
        <v>1</v>
      </c>
    </row>
    <row r="817" customFormat="false" ht="15" hidden="true" customHeight="false" outlineLevel="0" collapsed="false">
      <c r="B817" s="360" t="s">
        <v>3211</v>
      </c>
      <c r="C817" s="385" t="n">
        <v>1</v>
      </c>
      <c r="D817" s="385" t="n">
        <v>0</v>
      </c>
      <c r="E817" s="385" t="n">
        <v>0</v>
      </c>
      <c r="F817" s="365" t="n">
        <v>1</v>
      </c>
      <c r="G817" s="380" t="n">
        <v>0</v>
      </c>
      <c r="H817" s="358" t="n">
        <v>0</v>
      </c>
      <c r="I817" s="358" t="n">
        <v>0</v>
      </c>
      <c r="J817" s="358" t="n">
        <v>0</v>
      </c>
      <c r="K817" s="358" t="n">
        <v>0</v>
      </c>
      <c r="L817" s="358" t="n">
        <v>0</v>
      </c>
      <c r="M817" s="385" t="n">
        <v>1</v>
      </c>
      <c r="N817" s="385" t="n">
        <v>0</v>
      </c>
      <c r="O817" s="385" t="n">
        <v>0</v>
      </c>
      <c r="P817" s="365" t="n">
        <v>1</v>
      </c>
    </row>
    <row r="818" customFormat="false" ht="15" hidden="true" customHeight="false" outlineLevel="0" collapsed="false">
      <c r="B818" s="361" t="s">
        <v>3212</v>
      </c>
      <c r="C818" s="385" t="n">
        <v>1</v>
      </c>
      <c r="D818" s="385" t="n">
        <v>0</v>
      </c>
      <c r="E818" s="385" t="n">
        <v>0</v>
      </c>
      <c r="F818" s="365" t="n">
        <v>1</v>
      </c>
      <c r="G818" s="380" t="n">
        <v>0</v>
      </c>
      <c r="H818" s="358" t="n">
        <v>0</v>
      </c>
      <c r="I818" s="358" t="n">
        <v>0</v>
      </c>
      <c r="J818" s="358" t="n">
        <v>0</v>
      </c>
      <c r="K818" s="358" t="n">
        <v>0</v>
      </c>
      <c r="L818" s="358" t="n">
        <v>0</v>
      </c>
      <c r="M818" s="385" t="n">
        <v>1</v>
      </c>
      <c r="N818" s="385" t="n">
        <v>0</v>
      </c>
      <c r="O818" s="385" t="n">
        <v>0</v>
      </c>
      <c r="P818" s="365" t="n">
        <v>1</v>
      </c>
    </row>
    <row r="819" customFormat="false" ht="15" hidden="false" customHeight="false" outlineLevel="0" collapsed="false">
      <c r="B819" s="364" t="s">
        <v>2468</v>
      </c>
      <c r="C819" s="385" t="n">
        <v>34</v>
      </c>
      <c r="D819" s="385" t="n">
        <v>11</v>
      </c>
      <c r="E819" s="385" t="n">
        <v>2</v>
      </c>
      <c r="F819" s="365" t="n">
        <v>47</v>
      </c>
      <c r="G819" s="380" t="n">
        <v>0</v>
      </c>
      <c r="H819" s="358" t="n">
        <v>0</v>
      </c>
      <c r="I819" s="358" t="n">
        <v>0</v>
      </c>
      <c r="J819" s="358" t="n">
        <v>0</v>
      </c>
      <c r="K819" s="358" t="n">
        <v>0</v>
      </c>
      <c r="L819" s="358" t="n">
        <v>0</v>
      </c>
      <c r="M819" s="385" t="n">
        <v>34</v>
      </c>
      <c r="N819" s="385" t="n">
        <v>11</v>
      </c>
      <c r="O819" s="385" t="n">
        <v>2</v>
      </c>
      <c r="P819" s="365" t="n">
        <v>47</v>
      </c>
    </row>
    <row r="820" customFormat="false" ht="15" hidden="true" customHeight="false" outlineLevel="0" collapsed="false">
      <c r="B820" s="386" t="s">
        <v>3595</v>
      </c>
      <c r="C820" s="381" t="n">
        <v>0</v>
      </c>
      <c r="D820" s="381" t="n">
        <v>1</v>
      </c>
      <c r="E820" s="381" t="n">
        <v>0</v>
      </c>
      <c r="F820" s="359" t="n">
        <v>1</v>
      </c>
      <c r="G820" s="380" t="n">
        <v>0</v>
      </c>
      <c r="H820" s="358" t="n">
        <v>0</v>
      </c>
      <c r="I820" s="358" t="n">
        <v>0</v>
      </c>
      <c r="J820" s="358" t="n">
        <v>0</v>
      </c>
      <c r="K820" s="358" t="n">
        <v>0</v>
      </c>
      <c r="L820" s="358" t="n">
        <v>0</v>
      </c>
      <c r="M820" s="381" t="n">
        <v>0</v>
      </c>
      <c r="N820" s="381" t="n">
        <v>1</v>
      </c>
      <c r="O820" s="381" t="n">
        <v>0</v>
      </c>
      <c r="P820" s="359" t="n">
        <v>1</v>
      </c>
    </row>
    <row r="821" customFormat="false" ht="15" hidden="true" customHeight="false" outlineLevel="0" collapsed="false">
      <c r="B821" s="386" t="s">
        <v>3596</v>
      </c>
      <c r="C821" s="381" t="n">
        <v>0</v>
      </c>
      <c r="D821" s="381" t="n">
        <v>1</v>
      </c>
      <c r="E821" s="381" t="n">
        <v>0</v>
      </c>
      <c r="F821" s="359" t="n">
        <v>1</v>
      </c>
      <c r="G821" s="380" t="n">
        <v>0</v>
      </c>
      <c r="H821" s="358" t="n">
        <v>0</v>
      </c>
      <c r="I821" s="358" t="n">
        <v>0</v>
      </c>
      <c r="J821" s="358" t="n">
        <v>0</v>
      </c>
      <c r="K821" s="358" t="n">
        <v>0</v>
      </c>
      <c r="L821" s="358" t="n">
        <v>0</v>
      </c>
      <c r="M821" s="381" t="n">
        <v>0</v>
      </c>
      <c r="N821" s="381" t="n">
        <v>1</v>
      </c>
      <c r="O821" s="381" t="n">
        <v>0</v>
      </c>
      <c r="P821" s="359" t="n">
        <v>1</v>
      </c>
    </row>
    <row r="822" customFormat="false" ht="15" hidden="true" customHeight="false" outlineLevel="0" collapsed="false">
      <c r="B822" s="386" t="s">
        <v>3597</v>
      </c>
      <c r="C822" s="381" t="n">
        <v>0</v>
      </c>
      <c r="D822" s="381" t="n">
        <v>1</v>
      </c>
      <c r="E822" s="381" t="n">
        <v>0</v>
      </c>
      <c r="F822" s="359" t="n">
        <v>1</v>
      </c>
      <c r="G822" s="380" t="n">
        <v>0</v>
      </c>
      <c r="H822" s="358" t="n">
        <v>0</v>
      </c>
      <c r="I822" s="358" t="n">
        <v>0</v>
      </c>
      <c r="J822" s="358" t="n">
        <v>0</v>
      </c>
      <c r="K822" s="358" t="n">
        <v>0</v>
      </c>
      <c r="L822" s="358" t="n">
        <v>0</v>
      </c>
      <c r="M822" s="381" t="n">
        <v>0</v>
      </c>
      <c r="N822" s="381" t="n">
        <v>1</v>
      </c>
      <c r="O822" s="381" t="n">
        <v>0</v>
      </c>
      <c r="P822" s="359" t="n">
        <v>1</v>
      </c>
    </row>
    <row r="823" customFormat="false" ht="15" hidden="true" customHeight="false" outlineLevel="0" collapsed="false">
      <c r="B823" s="386" t="s">
        <v>3598</v>
      </c>
      <c r="C823" s="381" t="n">
        <v>0</v>
      </c>
      <c r="D823" s="381" t="n">
        <v>1</v>
      </c>
      <c r="E823" s="381" t="n">
        <v>0</v>
      </c>
      <c r="F823" s="359" t="n">
        <v>1</v>
      </c>
      <c r="G823" s="380" t="n">
        <v>0</v>
      </c>
      <c r="H823" s="358" t="n">
        <v>0</v>
      </c>
      <c r="I823" s="358" t="n">
        <v>0</v>
      </c>
      <c r="J823" s="358" t="n">
        <v>0</v>
      </c>
      <c r="K823" s="358" t="n">
        <v>0</v>
      </c>
      <c r="L823" s="358" t="n">
        <v>0</v>
      </c>
      <c r="M823" s="381" t="n">
        <v>0</v>
      </c>
      <c r="N823" s="381" t="n">
        <v>1</v>
      </c>
      <c r="O823" s="381" t="n">
        <v>0</v>
      </c>
      <c r="P823" s="359" t="n">
        <v>1</v>
      </c>
    </row>
    <row r="824" customFormat="false" ht="15" hidden="true" customHeight="false" outlineLevel="0" collapsed="false">
      <c r="B824" s="386" t="s">
        <v>3599</v>
      </c>
      <c r="C824" s="381" t="n">
        <v>0</v>
      </c>
      <c r="D824" s="381" t="n">
        <v>1</v>
      </c>
      <c r="E824" s="381" t="n">
        <v>0</v>
      </c>
      <c r="F824" s="359" t="n">
        <v>1</v>
      </c>
      <c r="G824" s="380" t="n">
        <v>0</v>
      </c>
      <c r="H824" s="358" t="n">
        <v>0</v>
      </c>
      <c r="I824" s="358" t="n">
        <v>0</v>
      </c>
      <c r="J824" s="358" t="n">
        <v>0</v>
      </c>
      <c r="K824" s="358" t="n">
        <v>0</v>
      </c>
      <c r="L824" s="358" t="n">
        <v>0</v>
      </c>
      <c r="M824" s="381" t="n">
        <v>0</v>
      </c>
      <c r="N824" s="381" t="n">
        <v>1</v>
      </c>
      <c r="O824" s="381" t="n">
        <v>0</v>
      </c>
      <c r="P824" s="359" t="n">
        <v>1</v>
      </c>
    </row>
    <row r="825" customFormat="false" ht="15" hidden="true" customHeight="false" outlineLevel="0" collapsed="false">
      <c r="B825" s="386" t="s">
        <v>3600</v>
      </c>
      <c r="C825" s="381" t="n">
        <v>0</v>
      </c>
      <c r="D825" s="381" t="n">
        <v>1</v>
      </c>
      <c r="E825" s="381" t="n">
        <v>0</v>
      </c>
      <c r="F825" s="359" t="n">
        <v>1</v>
      </c>
      <c r="G825" s="380" t="n">
        <v>0</v>
      </c>
      <c r="H825" s="358" t="n">
        <v>0</v>
      </c>
      <c r="I825" s="358" t="n">
        <v>0</v>
      </c>
      <c r="J825" s="358" t="n">
        <v>0</v>
      </c>
      <c r="K825" s="358" t="n">
        <v>0</v>
      </c>
      <c r="L825" s="358" t="n">
        <v>0</v>
      </c>
      <c r="M825" s="381" t="n">
        <v>0</v>
      </c>
      <c r="N825" s="381" t="n">
        <v>1</v>
      </c>
      <c r="O825" s="381" t="n">
        <v>0</v>
      </c>
      <c r="P825" s="359" t="n">
        <v>1</v>
      </c>
    </row>
    <row r="826" customFormat="false" ht="15" hidden="true" customHeight="false" outlineLevel="0" collapsed="false">
      <c r="B826" s="386" t="s">
        <v>3601</v>
      </c>
      <c r="C826" s="381" t="n">
        <v>0</v>
      </c>
      <c r="D826" s="381" t="n">
        <v>1</v>
      </c>
      <c r="E826" s="381" t="n">
        <v>0</v>
      </c>
      <c r="F826" s="359" t="n">
        <v>1</v>
      </c>
      <c r="G826" s="380" t="n">
        <v>0</v>
      </c>
      <c r="H826" s="358" t="n">
        <v>0</v>
      </c>
      <c r="I826" s="358" t="n">
        <v>0</v>
      </c>
      <c r="J826" s="358" t="n">
        <v>0</v>
      </c>
      <c r="K826" s="358" t="n">
        <v>0</v>
      </c>
      <c r="L826" s="358" t="n">
        <v>0</v>
      </c>
      <c r="M826" s="381" t="n">
        <v>0</v>
      </c>
      <c r="N826" s="381" t="n">
        <v>1</v>
      </c>
      <c r="O826" s="381" t="n">
        <v>0</v>
      </c>
      <c r="P826" s="359" t="n">
        <v>1</v>
      </c>
    </row>
    <row r="827" customFormat="false" ht="15" hidden="true" customHeight="false" outlineLevel="0" collapsed="false">
      <c r="B827" s="386" t="s">
        <v>3602</v>
      </c>
      <c r="C827" s="381" t="n">
        <v>0</v>
      </c>
      <c r="D827" s="381" t="n">
        <v>1</v>
      </c>
      <c r="E827" s="381" t="n">
        <v>0</v>
      </c>
      <c r="F827" s="359" t="n">
        <v>1</v>
      </c>
      <c r="G827" s="380" t="n">
        <v>0</v>
      </c>
      <c r="H827" s="358" t="n">
        <v>0</v>
      </c>
      <c r="I827" s="358" t="n">
        <v>0</v>
      </c>
      <c r="J827" s="358" t="n">
        <v>0</v>
      </c>
      <c r="K827" s="358" t="n">
        <v>0</v>
      </c>
      <c r="L827" s="358" t="n">
        <v>0</v>
      </c>
      <c r="M827" s="381" t="n">
        <v>0</v>
      </c>
      <c r="N827" s="381" t="n">
        <v>1</v>
      </c>
      <c r="O827" s="381" t="n">
        <v>0</v>
      </c>
      <c r="P827" s="359" t="n">
        <v>1</v>
      </c>
    </row>
    <row r="828" customFormat="false" ht="15" hidden="true" customHeight="false" outlineLevel="0" collapsed="false">
      <c r="B828" s="386" t="s">
        <v>3603</v>
      </c>
      <c r="C828" s="381" t="n">
        <v>0</v>
      </c>
      <c r="D828" s="381" t="n">
        <v>1</v>
      </c>
      <c r="E828" s="381" t="n">
        <v>0</v>
      </c>
      <c r="F828" s="359" t="n">
        <v>1</v>
      </c>
      <c r="G828" s="380" t="n">
        <v>0</v>
      </c>
      <c r="H828" s="358" t="n">
        <v>0</v>
      </c>
      <c r="I828" s="358" t="n">
        <v>0</v>
      </c>
      <c r="J828" s="358" t="n">
        <v>0</v>
      </c>
      <c r="K828" s="358" t="n">
        <v>0</v>
      </c>
      <c r="L828" s="358" t="n">
        <v>0</v>
      </c>
      <c r="M828" s="381" t="n">
        <v>0</v>
      </c>
      <c r="N828" s="381" t="n">
        <v>1</v>
      </c>
      <c r="O828" s="381" t="n">
        <v>0</v>
      </c>
      <c r="P828" s="359" t="n">
        <v>1</v>
      </c>
    </row>
    <row r="829" customFormat="false" ht="15" hidden="true" customHeight="false" outlineLevel="0" collapsed="false">
      <c r="B829" s="386" t="s">
        <v>3604</v>
      </c>
      <c r="C829" s="381" t="n">
        <v>0</v>
      </c>
      <c r="D829" s="381" t="n">
        <v>1</v>
      </c>
      <c r="E829" s="381" t="n">
        <v>0</v>
      </c>
      <c r="F829" s="359" t="n">
        <v>1</v>
      </c>
      <c r="G829" s="380" t="n">
        <v>0</v>
      </c>
      <c r="H829" s="358" t="n">
        <v>0</v>
      </c>
      <c r="I829" s="358" t="n">
        <v>0</v>
      </c>
      <c r="J829" s="358" t="n">
        <v>0</v>
      </c>
      <c r="K829" s="358" t="n">
        <v>0</v>
      </c>
      <c r="L829" s="358" t="n">
        <v>0</v>
      </c>
      <c r="M829" s="381" t="n">
        <v>0</v>
      </c>
      <c r="N829" s="381" t="n">
        <v>1</v>
      </c>
      <c r="O829" s="381" t="n">
        <v>0</v>
      </c>
      <c r="P829" s="359" t="n">
        <v>1</v>
      </c>
    </row>
    <row r="830" customFormat="false" ht="15" hidden="true" customHeight="false" outlineLevel="0" collapsed="false">
      <c r="B830" s="386" t="s">
        <v>3605</v>
      </c>
      <c r="C830" s="381" t="n">
        <v>0</v>
      </c>
      <c r="D830" s="381" t="n">
        <v>1</v>
      </c>
      <c r="E830" s="381" t="n">
        <v>0</v>
      </c>
      <c r="F830" s="359" t="n">
        <v>1</v>
      </c>
      <c r="G830" s="380" t="n">
        <v>0</v>
      </c>
      <c r="H830" s="358" t="n">
        <v>0</v>
      </c>
      <c r="I830" s="358" t="n">
        <v>0</v>
      </c>
      <c r="J830" s="358" t="n">
        <v>0</v>
      </c>
      <c r="K830" s="358" t="n">
        <v>0</v>
      </c>
      <c r="L830" s="358" t="n">
        <v>0</v>
      </c>
      <c r="M830" s="381" t="n">
        <v>0</v>
      </c>
      <c r="N830" s="381" t="n">
        <v>1</v>
      </c>
      <c r="O830" s="381" t="n">
        <v>0</v>
      </c>
      <c r="P830" s="359" t="n">
        <v>1</v>
      </c>
    </row>
    <row r="831" customFormat="false" ht="15" hidden="true" customHeight="false" outlineLevel="0" collapsed="false">
      <c r="B831" s="360" t="s">
        <v>3606</v>
      </c>
      <c r="C831" s="381" t="n">
        <v>0</v>
      </c>
      <c r="D831" s="381" t="n">
        <v>0</v>
      </c>
      <c r="E831" s="381" t="n">
        <v>1</v>
      </c>
      <c r="F831" s="359" t="n">
        <v>1</v>
      </c>
      <c r="G831" s="380" t="n">
        <v>0</v>
      </c>
      <c r="H831" s="358" t="n">
        <v>0</v>
      </c>
      <c r="I831" s="358" t="n">
        <v>0</v>
      </c>
      <c r="J831" s="358" t="n">
        <v>0</v>
      </c>
      <c r="K831" s="358" t="n">
        <v>0</v>
      </c>
      <c r="L831" s="358" t="n">
        <v>0</v>
      </c>
      <c r="M831" s="381" t="n">
        <v>0</v>
      </c>
      <c r="N831" s="381" t="n">
        <v>0</v>
      </c>
      <c r="O831" s="381" t="n">
        <v>1</v>
      </c>
      <c r="P831" s="359" t="n">
        <v>1</v>
      </c>
    </row>
    <row r="832" customFormat="false" ht="15" hidden="true" customHeight="false" outlineLevel="0" collapsed="false">
      <c r="B832" s="361" t="s">
        <v>3607</v>
      </c>
      <c r="C832" s="381" t="n">
        <v>0</v>
      </c>
      <c r="D832" s="381" t="n">
        <v>0</v>
      </c>
      <c r="E832" s="381" t="n">
        <v>1</v>
      </c>
      <c r="F832" s="359" t="n">
        <v>1</v>
      </c>
      <c r="G832" s="380" t="n">
        <v>0</v>
      </c>
      <c r="H832" s="358" t="n">
        <v>0</v>
      </c>
      <c r="I832" s="358" t="n">
        <v>0</v>
      </c>
      <c r="J832" s="358" t="n">
        <v>0</v>
      </c>
      <c r="K832" s="358" t="n">
        <v>0</v>
      </c>
      <c r="L832" s="358" t="n">
        <v>0</v>
      </c>
      <c r="M832" s="381" t="n">
        <v>0</v>
      </c>
      <c r="N832" s="381" t="n">
        <v>0</v>
      </c>
      <c r="O832" s="381" t="n">
        <v>1</v>
      </c>
      <c r="P832" s="359" t="n">
        <v>1</v>
      </c>
    </row>
    <row r="833" customFormat="false" ht="15" hidden="true" customHeight="false" outlineLevel="0" collapsed="false">
      <c r="B833" s="360" t="s">
        <v>3213</v>
      </c>
      <c r="C833" s="381" t="n">
        <v>1</v>
      </c>
      <c r="D833" s="381" t="n">
        <v>0</v>
      </c>
      <c r="E833" s="381" t="n">
        <v>0</v>
      </c>
      <c r="F833" s="359" t="n">
        <v>1</v>
      </c>
      <c r="G833" s="380" t="n">
        <v>0</v>
      </c>
      <c r="H833" s="358" t="n">
        <v>0</v>
      </c>
      <c r="I833" s="358" t="n">
        <v>0</v>
      </c>
      <c r="J833" s="358" t="n">
        <v>0</v>
      </c>
      <c r="K833" s="358" t="n">
        <v>0</v>
      </c>
      <c r="L833" s="358" t="n">
        <v>0</v>
      </c>
      <c r="M833" s="381" t="n">
        <v>1</v>
      </c>
      <c r="N833" s="381" t="n">
        <v>0</v>
      </c>
      <c r="O833" s="381" t="n">
        <v>0</v>
      </c>
      <c r="P833" s="359" t="n">
        <v>1</v>
      </c>
    </row>
    <row r="834" customFormat="false" ht="15" hidden="true" customHeight="false" outlineLevel="0" collapsed="false">
      <c r="B834" s="360" t="s">
        <v>3214</v>
      </c>
      <c r="C834" s="381" t="n">
        <v>1</v>
      </c>
      <c r="D834" s="381" t="n">
        <v>0</v>
      </c>
      <c r="E834" s="381" t="n">
        <v>0</v>
      </c>
      <c r="F834" s="359" t="n">
        <v>1</v>
      </c>
      <c r="G834" s="380" t="n">
        <v>0</v>
      </c>
      <c r="H834" s="358" t="n">
        <v>0</v>
      </c>
      <c r="I834" s="358" t="n">
        <v>0</v>
      </c>
      <c r="J834" s="358" t="n">
        <v>0</v>
      </c>
      <c r="K834" s="358" t="n">
        <v>0</v>
      </c>
      <c r="L834" s="358" t="n">
        <v>0</v>
      </c>
      <c r="M834" s="381" t="n">
        <v>1</v>
      </c>
      <c r="N834" s="381" t="n">
        <v>0</v>
      </c>
      <c r="O834" s="381" t="n">
        <v>0</v>
      </c>
      <c r="P834" s="359" t="n">
        <v>1</v>
      </c>
    </row>
    <row r="835" customFormat="false" ht="15" hidden="true" customHeight="false" outlineLevel="0" collapsed="false">
      <c r="B835" s="360" t="s">
        <v>3215</v>
      </c>
      <c r="C835" s="381" t="n">
        <v>1</v>
      </c>
      <c r="D835" s="381" t="n">
        <v>0</v>
      </c>
      <c r="E835" s="381" t="n">
        <v>0</v>
      </c>
      <c r="F835" s="359" t="n">
        <v>1</v>
      </c>
      <c r="G835" s="380" t="n">
        <v>0</v>
      </c>
      <c r="H835" s="358" t="n">
        <v>0</v>
      </c>
      <c r="I835" s="358" t="n">
        <v>0</v>
      </c>
      <c r="J835" s="358" t="n">
        <v>0</v>
      </c>
      <c r="K835" s="358" t="n">
        <v>0</v>
      </c>
      <c r="L835" s="358" t="n">
        <v>0</v>
      </c>
      <c r="M835" s="381" t="n">
        <v>1</v>
      </c>
      <c r="N835" s="381" t="n">
        <v>0</v>
      </c>
      <c r="O835" s="381" t="n">
        <v>0</v>
      </c>
      <c r="P835" s="359" t="n">
        <v>1</v>
      </c>
    </row>
    <row r="836" customFormat="false" ht="15" hidden="true" customHeight="false" outlineLevel="0" collapsed="false">
      <c r="B836" s="360" t="s">
        <v>3216</v>
      </c>
      <c r="C836" s="381" t="n">
        <v>1</v>
      </c>
      <c r="D836" s="381" t="n">
        <v>0</v>
      </c>
      <c r="E836" s="381" t="n">
        <v>0</v>
      </c>
      <c r="F836" s="359" t="n">
        <v>1</v>
      </c>
      <c r="G836" s="380" t="n">
        <v>0</v>
      </c>
      <c r="H836" s="358" t="n">
        <v>0</v>
      </c>
      <c r="I836" s="358" t="n">
        <v>0</v>
      </c>
      <c r="J836" s="358" t="n">
        <v>0</v>
      </c>
      <c r="K836" s="358" t="n">
        <v>0</v>
      </c>
      <c r="L836" s="358" t="n">
        <v>0</v>
      </c>
      <c r="M836" s="381" t="n">
        <v>1</v>
      </c>
      <c r="N836" s="381" t="n">
        <v>0</v>
      </c>
      <c r="O836" s="381" t="n">
        <v>0</v>
      </c>
      <c r="P836" s="359" t="n">
        <v>1</v>
      </c>
    </row>
    <row r="837" customFormat="false" ht="15" hidden="true" customHeight="false" outlineLevel="0" collapsed="false">
      <c r="B837" s="360" t="s">
        <v>3217</v>
      </c>
      <c r="C837" s="381" t="n">
        <v>1</v>
      </c>
      <c r="D837" s="381" t="n">
        <v>0</v>
      </c>
      <c r="E837" s="381" t="n">
        <v>0</v>
      </c>
      <c r="F837" s="359" t="n">
        <v>1</v>
      </c>
      <c r="G837" s="380" t="n">
        <v>0</v>
      </c>
      <c r="H837" s="358" t="n">
        <v>0</v>
      </c>
      <c r="I837" s="358" t="n">
        <v>0</v>
      </c>
      <c r="J837" s="358" t="n">
        <v>0</v>
      </c>
      <c r="K837" s="358" t="n">
        <v>0</v>
      </c>
      <c r="L837" s="358" t="n">
        <v>0</v>
      </c>
      <c r="M837" s="381" t="n">
        <v>1</v>
      </c>
      <c r="N837" s="381" t="n">
        <v>0</v>
      </c>
      <c r="O837" s="381" t="n">
        <v>0</v>
      </c>
      <c r="P837" s="359" t="n">
        <v>1</v>
      </c>
    </row>
    <row r="838" customFormat="false" ht="15" hidden="true" customHeight="false" outlineLevel="0" collapsed="false">
      <c r="B838" s="360" t="s">
        <v>3218</v>
      </c>
      <c r="C838" s="381" t="n">
        <v>1</v>
      </c>
      <c r="D838" s="381" t="n">
        <v>0</v>
      </c>
      <c r="E838" s="381" t="n">
        <v>0</v>
      </c>
      <c r="F838" s="359" t="n">
        <v>1</v>
      </c>
      <c r="G838" s="380" t="n">
        <v>0</v>
      </c>
      <c r="H838" s="358" t="n">
        <v>0</v>
      </c>
      <c r="I838" s="358" t="n">
        <v>0</v>
      </c>
      <c r="J838" s="358" t="n">
        <v>0</v>
      </c>
      <c r="K838" s="358" t="n">
        <v>0</v>
      </c>
      <c r="L838" s="358" t="n">
        <v>0</v>
      </c>
      <c r="M838" s="381" t="n">
        <v>1</v>
      </c>
      <c r="N838" s="381" t="n">
        <v>0</v>
      </c>
      <c r="O838" s="381" t="n">
        <v>0</v>
      </c>
      <c r="P838" s="359" t="n">
        <v>1</v>
      </c>
    </row>
    <row r="839" customFormat="false" ht="15" hidden="true" customHeight="false" outlineLevel="0" collapsed="false">
      <c r="B839" s="360" t="s">
        <v>3219</v>
      </c>
      <c r="C839" s="381" t="n">
        <v>1</v>
      </c>
      <c r="D839" s="381" t="n">
        <v>0</v>
      </c>
      <c r="E839" s="381" t="n">
        <v>0</v>
      </c>
      <c r="F839" s="359" t="n">
        <v>1</v>
      </c>
      <c r="G839" s="380" t="n">
        <v>0</v>
      </c>
      <c r="H839" s="358" t="n">
        <v>0</v>
      </c>
      <c r="I839" s="358" t="n">
        <v>0</v>
      </c>
      <c r="J839" s="358" t="n">
        <v>0</v>
      </c>
      <c r="K839" s="358" t="n">
        <v>0</v>
      </c>
      <c r="L839" s="358" t="n">
        <v>0</v>
      </c>
      <c r="M839" s="381" t="n">
        <v>1</v>
      </c>
      <c r="N839" s="381" t="n">
        <v>0</v>
      </c>
      <c r="O839" s="381" t="n">
        <v>0</v>
      </c>
      <c r="P839" s="359" t="n">
        <v>1</v>
      </c>
    </row>
    <row r="840" customFormat="false" ht="15" hidden="true" customHeight="false" outlineLevel="0" collapsed="false">
      <c r="B840" s="360" t="s">
        <v>3220</v>
      </c>
      <c r="C840" s="381" t="n">
        <v>1</v>
      </c>
      <c r="D840" s="381" t="n">
        <v>0</v>
      </c>
      <c r="E840" s="381" t="n">
        <v>0</v>
      </c>
      <c r="F840" s="359" t="n">
        <v>1</v>
      </c>
      <c r="G840" s="380" t="n">
        <v>0</v>
      </c>
      <c r="H840" s="358" t="n">
        <v>0</v>
      </c>
      <c r="I840" s="358" t="n">
        <v>0</v>
      </c>
      <c r="J840" s="358" t="n">
        <v>0</v>
      </c>
      <c r="K840" s="358" t="n">
        <v>0</v>
      </c>
      <c r="L840" s="358" t="n">
        <v>0</v>
      </c>
      <c r="M840" s="381" t="n">
        <v>1</v>
      </c>
      <c r="N840" s="381" t="n">
        <v>0</v>
      </c>
      <c r="O840" s="381" t="n">
        <v>0</v>
      </c>
      <c r="P840" s="359" t="n">
        <v>1</v>
      </c>
    </row>
    <row r="841" customFormat="false" ht="15" hidden="true" customHeight="false" outlineLevel="0" collapsed="false">
      <c r="B841" s="360" t="s">
        <v>3221</v>
      </c>
      <c r="C841" s="381" t="n">
        <v>1</v>
      </c>
      <c r="D841" s="381" t="n">
        <v>0</v>
      </c>
      <c r="E841" s="381" t="n">
        <v>0</v>
      </c>
      <c r="F841" s="359" t="n">
        <v>1</v>
      </c>
      <c r="G841" s="380" t="n">
        <v>0</v>
      </c>
      <c r="H841" s="358" t="n">
        <v>0</v>
      </c>
      <c r="I841" s="358" t="n">
        <v>0</v>
      </c>
      <c r="J841" s="358" t="n">
        <v>0</v>
      </c>
      <c r="K841" s="358" t="n">
        <v>0</v>
      </c>
      <c r="L841" s="358" t="n">
        <v>0</v>
      </c>
      <c r="M841" s="381" t="n">
        <v>1</v>
      </c>
      <c r="N841" s="381" t="n">
        <v>0</v>
      </c>
      <c r="O841" s="381" t="n">
        <v>0</v>
      </c>
      <c r="P841" s="359" t="n">
        <v>1</v>
      </c>
    </row>
    <row r="842" customFormat="false" ht="15" hidden="true" customHeight="false" outlineLevel="0" collapsed="false">
      <c r="B842" s="360" t="s">
        <v>3222</v>
      </c>
      <c r="C842" s="381" t="n">
        <v>1</v>
      </c>
      <c r="D842" s="381" t="n">
        <v>0</v>
      </c>
      <c r="E842" s="381" t="n">
        <v>0</v>
      </c>
      <c r="F842" s="359" t="n">
        <v>1</v>
      </c>
      <c r="G842" s="380" t="n">
        <v>0</v>
      </c>
      <c r="H842" s="358" t="n">
        <v>0</v>
      </c>
      <c r="I842" s="358" t="n">
        <v>0</v>
      </c>
      <c r="J842" s="358" t="n">
        <v>0</v>
      </c>
      <c r="K842" s="358" t="n">
        <v>0</v>
      </c>
      <c r="L842" s="358" t="n">
        <v>0</v>
      </c>
      <c r="M842" s="381" t="n">
        <v>1</v>
      </c>
      <c r="N842" s="381" t="n">
        <v>0</v>
      </c>
      <c r="O842" s="381" t="n">
        <v>0</v>
      </c>
      <c r="P842" s="359" t="n">
        <v>1</v>
      </c>
    </row>
    <row r="843" customFormat="false" ht="15" hidden="true" customHeight="false" outlineLevel="0" collapsed="false">
      <c r="B843" s="360" t="s">
        <v>3223</v>
      </c>
      <c r="C843" s="381" t="n">
        <v>1</v>
      </c>
      <c r="D843" s="381" t="n">
        <v>0</v>
      </c>
      <c r="E843" s="381" t="n">
        <v>0</v>
      </c>
      <c r="F843" s="359" t="n">
        <v>1</v>
      </c>
      <c r="G843" s="380" t="n">
        <v>0</v>
      </c>
      <c r="H843" s="358" t="n">
        <v>0</v>
      </c>
      <c r="I843" s="358" t="n">
        <v>0</v>
      </c>
      <c r="J843" s="358" t="n">
        <v>0</v>
      </c>
      <c r="K843" s="358" t="n">
        <v>0</v>
      </c>
      <c r="L843" s="358" t="n">
        <v>0</v>
      </c>
      <c r="M843" s="381" t="n">
        <v>1</v>
      </c>
      <c r="N843" s="381" t="n">
        <v>0</v>
      </c>
      <c r="O843" s="381" t="n">
        <v>0</v>
      </c>
      <c r="P843" s="359" t="n">
        <v>1</v>
      </c>
    </row>
    <row r="844" customFormat="false" ht="15" hidden="true" customHeight="false" outlineLevel="0" collapsed="false">
      <c r="B844" s="360" t="s">
        <v>3224</v>
      </c>
      <c r="C844" s="381" t="n">
        <v>1</v>
      </c>
      <c r="D844" s="381" t="n">
        <v>0</v>
      </c>
      <c r="E844" s="381" t="n">
        <v>0</v>
      </c>
      <c r="F844" s="359" t="n">
        <v>1</v>
      </c>
      <c r="G844" s="380" t="n">
        <v>0</v>
      </c>
      <c r="H844" s="358" t="n">
        <v>0</v>
      </c>
      <c r="I844" s="358" t="n">
        <v>0</v>
      </c>
      <c r="J844" s="358" t="n">
        <v>0</v>
      </c>
      <c r="K844" s="358" t="n">
        <v>0</v>
      </c>
      <c r="L844" s="358" t="n">
        <v>0</v>
      </c>
      <c r="M844" s="381" t="n">
        <v>1</v>
      </c>
      <c r="N844" s="381" t="n">
        <v>0</v>
      </c>
      <c r="O844" s="381" t="n">
        <v>0</v>
      </c>
      <c r="P844" s="359" t="n">
        <v>1</v>
      </c>
    </row>
    <row r="845" customFormat="false" ht="15" hidden="true" customHeight="false" outlineLevel="0" collapsed="false">
      <c r="B845" s="360" t="s">
        <v>3225</v>
      </c>
      <c r="C845" s="381" t="n">
        <v>1</v>
      </c>
      <c r="D845" s="381" t="n">
        <v>0</v>
      </c>
      <c r="E845" s="381" t="n">
        <v>0</v>
      </c>
      <c r="F845" s="359" t="n">
        <v>1</v>
      </c>
      <c r="G845" s="380" t="n">
        <v>0</v>
      </c>
      <c r="H845" s="358" t="n">
        <v>0</v>
      </c>
      <c r="I845" s="358" t="n">
        <v>0</v>
      </c>
      <c r="J845" s="358" t="n">
        <v>0</v>
      </c>
      <c r="K845" s="358" t="n">
        <v>0</v>
      </c>
      <c r="L845" s="358" t="n">
        <v>0</v>
      </c>
      <c r="M845" s="381" t="n">
        <v>1</v>
      </c>
      <c r="N845" s="381" t="n">
        <v>0</v>
      </c>
      <c r="O845" s="381" t="n">
        <v>0</v>
      </c>
      <c r="P845" s="359" t="n">
        <v>1</v>
      </c>
    </row>
    <row r="846" customFormat="false" ht="15" hidden="true" customHeight="false" outlineLevel="0" collapsed="false">
      <c r="B846" s="360" t="s">
        <v>3226</v>
      </c>
      <c r="C846" s="381" t="n">
        <v>1</v>
      </c>
      <c r="D846" s="381" t="n">
        <v>0</v>
      </c>
      <c r="E846" s="381" t="n">
        <v>0</v>
      </c>
      <c r="F846" s="359" t="n">
        <v>1</v>
      </c>
      <c r="G846" s="380" t="n">
        <v>0</v>
      </c>
      <c r="H846" s="358" t="n">
        <v>0</v>
      </c>
      <c r="I846" s="358" t="n">
        <v>0</v>
      </c>
      <c r="J846" s="358" t="n">
        <v>0</v>
      </c>
      <c r="K846" s="358" t="n">
        <v>0</v>
      </c>
      <c r="L846" s="358" t="n">
        <v>0</v>
      </c>
      <c r="M846" s="381" t="n">
        <v>1</v>
      </c>
      <c r="N846" s="381" t="n">
        <v>0</v>
      </c>
      <c r="O846" s="381" t="n">
        <v>0</v>
      </c>
      <c r="P846" s="359" t="n">
        <v>1</v>
      </c>
    </row>
    <row r="847" customFormat="false" ht="15" hidden="true" customHeight="false" outlineLevel="0" collapsed="false">
      <c r="B847" s="360" t="s">
        <v>3227</v>
      </c>
      <c r="C847" s="381" t="n">
        <v>1</v>
      </c>
      <c r="D847" s="381" t="n">
        <v>0</v>
      </c>
      <c r="E847" s="381" t="n">
        <v>0</v>
      </c>
      <c r="F847" s="359" t="n">
        <v>1</v>
      </c>
      <c r="G847" s="380" t="n">
        <v>0</v>
      </c>
      <c r="H847" s="358" t="n">
        <v>0</v>
      </c>
      <c r="I847" s="358" t="n">
        <v>0</v>
      </c>
      <c r="J847" s="358" t="n">
        <v>0</v>
      </c>
      <c r="K847" s="358" t="n">
        <v>0</v>
      </c>
      <c r="L847" s="358" t="n">
        <v>0</v>
      </c>
      <c r="M847" s="381" t="n">
        <v>1</v>
      </c>
      <c r="N847" s="381" t="n">
        <v>0</v>
      </c>
      <c r="O847" s="381" t="n">
        <v>0</v>
      </c>
      <c r="P847" s="359" t="n">
        <v>1</v>
      </c>
    </row>
    <row r="848" customFormat="false" ht="15" hidden="true" customHeight="false" outlineLevel="0" collapsed="false">
      <c r="B848" s="360" t="s">
        <v>3228</v>
      </c>
      <c r="C848" s="381" t="n">
        <v>1</v>
      </c>
      <c r="D848" s="381" t="n">
        <v>0</v>
      </c>
      <c r="E848" s="381" t="n">
        <v>0</v>
      </c>
      <c r="F848" s="359" t="n">
        <v>1</v>
      </c>
      <c r="G848" s="380" t="n">
        <v>0</v>
      </c>
      <c r="H848" s="358" t="n">
        <v>0</v>
      </c>
      <c r="I848" s="358" t="n">
        <v>0</v>
      </c>
      <c r="J848" s="358" t="n">
        <v>0</v>
      </c>
      <c r="K848" s="358" t="n">
        <v>0</v>
      </c>
      <c r="L848" s="358" t="n">
        <v>0</v>
      </c>
      <c r="M848" s="381" t="n">
        <v>1</v>
      </c>
      <c r="N848" s="381" t="n">
        <v>0</v>
      </c>
      <c r="O848" s="381" t="n">
        <v>0</v>
      </c>
      <c r="P848" s="359" t="n">
        <v>1</v>
      </c>
    </row>
    <row r="849" customFormat="false" ht="15" hidden="true" customHeight="false" outlineLevel="0" collapsed="false">
      <c r="B849" s="360" t="s">
        <v>3229</v>
      </c>
      <c r="C849" s="381" t="n">
        <v>1</v>
      </c>
      <c r="D849" s="381" t="n">
        <v>0</v>
      </c>
      <c r="E849" s="381" t="n">
        <v>0</v>
      </c>
      <c r="F849" s="359" t="n">
        <v>1</v>
      </c>
      <c r="G849" s="380" t="n">
        <v>0</v>
      </c>
      <c r="H849" s="358" t="n">
        <v>0</v>
      </c>
      <c r="I849" s="358" t="n">
        <v>0</v>
      </c>
      <c r="J849" s="358" t="n">
        <v>0</v>
      </c>
      <c r="K849" s="358" t="n">
        <v>0</v>
      </c>
      <c r="L849" s="358" t="n">
        <v>0</v>
      </c>
      <c r="M849" s="381" t="n">
        <v>1</v>
      </c>
      <c r="N849" s="381" t="n">
        <v>0</v>
      </c>
      <c r="O849" s="381" t="n">
        <v>0</v>
      </c>
      <c r="P849" s="359" t="n">
        <v>1</v>
      </c>
    </row>
    <row r="850" customFormat="false" ht="15" hidden="true" customHeight="false" outlineLevel="0" collapsed="false">
      <c r="B850" s="360" t="s">
        <v>3230</v>
      </c>
      <c r="C850" s="381" t="n">
        <v>1</v>
      </c>
      <c r="D850" s="381" t="n">
        <v>0</v>
      </c>
      <c r="E850" s="381" t="n">
        <v>0</v>
      </c>
      <c r="F850" s="359" t="n">
        <v>1</v>
      </c>
      <c r="G850" s="380" t="n">
        <v>0</v>
      </c>
      <c r="H850" s="358" t="n">
        <v>0</v>
      </c>
      <c r="I850" s="358" t="n">
        <v>0</v>
      </c>
      <c r="J850" s="358" t="n">
        <v>0</v>
      </c>
      <c r="K850" s="358" t="n">
        <v>0</v>
      </c>
      <c r="L850" s="358" t="n">
        <v>0</v>
      </c>
      <c r="M850" s="381" t="n">
        <v>1</v>
      </c>
      <c r="N850" s="381" t="n">
        <v>0</v>
      </c>
      <c r="O850" s="381" t="n">
        <v>0</v>
      </c>
      <c r="P850" s="359" t="n">
        <v>1</v>
      </c>
    </row>
    <row r="851" customFormat="false" ht="15" hidden="true" customHeight="false" outlineLevel="0" collapsed="false">
      <c r="B851" s="360" t="s">
        <v>3231</v>
      </c>
      <c r="C851" s="381" t="n">
        <v>1</v>
      </c>
      <c r="D851" s="381" t="n">
        <v>0</v>
      </c>
      <c r="E851" s="381" t="n">
        <v>0</v>
      </c>
      <c r="F851" s="359" t="n">
        <v>1</v>
      </c>
      <c r="G851" s="380" t="n">
        <v>0</v>
      </c>
      <c r="H851" s="358" t="n">
        <v>0</v>
      </c>
      <c r="I851" s="358" t="n">
        <v>0</v>
      </c>
      <c r="J851" s="358" t="n">
        <v>0</v>
      </c>
      <c r="K851" s="358" t="n">
        <v>0</v>
      </c>
      <c r="L851" s="358" t="n">
        <v>0</v>
      </c>
      <c r="M851" s="381" t="n">
        <v>1</v>
      </c>
      <c r="N851" s="381" t="n">
        <v>0</v>
      </c>
      <c r="O851" s="381" t="n">
        <v>0</v>
      </c>
      <c r="P851" s="359" t="n">
        <v>1</v>
      </c>
    </row>
    <row r="852" customFormat="false" ht="15" hidden="true" customHeight="false" outlineLevel="0" collapsed="false">
      <c r="B852" s="360" t="s">
        <v>3232</v>
      </c>
      <c r="C852" s="381" t="n">
        <v>1</v>
      </c>
      <c r="D852" s="381" t="n">
        <v>0</v>
      </c>
      <c r="E852" s="381" t="n">
        <v>0</v>
      </c>
      <c r="F852" s="359" t="n">
        <v>1</v>
      </c>
      <c r="G852" s="380" t="n">
        <v>0</v>
      </c>
      <c r="H852" s="358" t="n">
        <v>0</v>
      </c>
      <c r="I852" s="358" t="n">
        <v>0</v>
      </c>
      <c r="J852" s="358" t="n">
        <v>0</v>
      </c>
      <c r="K852" s="358" t="n">
        <v>0</v>
      </c>
      <c r="L852" s="358" t="n">
        <v>0</v>
      </c>
      <c r="M852" s="381" t="n">
        <v>1</v>
      </c>
      <c r="N852" s="381" t="n">
        <v>0</v>
      </c>
      <c r="O852" s="381" t="n">
        <v>0</v>
      </c>
      <c r="P852" s="359" t="n">
        <v>1</v>
      </c>
    </row>
    <row r="853" customFormat="false" ht="15" hidden="true" customHeight="false" outlineLevel="0" collapsed="false">
      <c r="B853" s="360" t="s">
        <v>3233</v>
      </c>
      <c r="C853" s="381" t="n">
        <v>1</v>
      </c>
      <c r="D853" s="381" t="n">
        <v>0</v>
      </c>
      <c r="E853" s="381" t="n">
        <v>0</v>
      </c>
      <c r="F853" s="359" t="n">
        <v>1</v>
      </c>
      <c r="G853" s="380" t="n">
        <v>0</v>
      </c>
      <c r="H853" s="358" t="n">
        <v>0</v>
      </c>
      <c r="I853" s="358" t="n">
        <v>0</v>
      </c>
      <c r="J853" s="358" t="n">
        <v>0</v>
      </c>
      <c r="K853" s="358" t="n">
        <v>0</v>
      </c>
      <c r="L853" s="358" t="n">
        <v>0</v>
      </c>
      <c r="M853" s="381" t="n">
        <v>1</v>
      </c>
      <c r="N853" s="381" t="n">
        <v>0</v>
      </c>
      <c r="O853" s="381" t="n">
        <v>0</v>
      </c>
      <c r="P853" s="359" t="n">
        <v>1</v>
      </c>
    </row>
    <row r="854" customFormat="false" ht="15" hidden="true" customHeight="false" outlineLevel="0" collapsed="false">
      <c r="B854" s="360" t="s">
        <v>3234</v>
      </c>
      <c r="C854" s="381" t="n">
        <v>1</v>
      </c>
      <c r="D854" s="381" t="n">
        <v>0</v>
      </c>
      <c r="E854" s="381" t="n">
        <v>0</v>
      </c>
      <c r="F854" s="359" t="n">
        <v>1</v>
      </c>
      <c r="G854" s="380" t="n">
        <v>0</v>
      </c>
      <c r="H854" s="358" t="n">
        <v>0</v>
      </c>
      <c r="I854" s="358" t="n">
        <v>0</v>
      </c>
      <c r="J854" s="358" t="n">
        <v>0</v>
      </c>
      <c r="K854" s="358" t="n">
        <v>0</v>
      </c>
      <c r="L854" s="358" t="n">
        <v>0</v>
      </c>
      <c r="M854" s="381" t="n">
        <v>1</v>
      </c>
      <c r="N854" s="381" t="n">
        <v>0</v>
      </c>
      <c r="O854" s="381" t="n">
        <v>0</v>
      </c>
      <c r="P854" s="359" t="n">
        <v>1</v>
      </c>
    </row>
    <row r="855" customFormat="false" ht="15" hidden="true" customHeight="false" outlineLevel="0" collapsed="false">
      <c r="B855" s="360" t="s">
        <v>3235</v>
      </c>
      <c r="C855" s="381" t="n">
        <v>1</v>
      </c>
      <c r="D855" s="381" t="n">
        <v>0</v>
      </c>
      <c r="E855" s="381" t="n">
        <v>0</v>
      </c>
      <c r="F855" s="359" t="n">
        <v>1</v>
      </c>
      <c r="G855" s="380" t="n">
        <v>0</v>
      </c>
      <c r="H855" s="358" t="n">
        <v>0</v>
      </c>
      <c r="I855" s="358" t="n">
        <v>0</v>
      </c>
      <c r="J855" s="358" t="n">
        <v>0</v>
      </c>
      <c r="K855" s="358" t="n">
        <v>0</v>
      </c>
      <c r="L855" s="358" t="n">
        <v>0</v>
      </c>
      <c r="M855" s="381" t="n">
        <v>1</v>
      </c>
      <c r="N855" s="381" t="n">
        <v>0</v>
      </c>
      <c r="O855" s="381" t="n">
        <v>0</v>
      </c>
      <c r="P855" s="359" t="n">
        <v>1</v>
      </c>
    </row>
    <row r="856" customFormat="false" ht="15" hidden="true" customHeight="false" outlineLevel="0" collapsed="false">
      <c r="B856" s="360" t="s">
        <v>3236</v>
      </c>
      <c r="C856" s="381" t="n">
        <v>1</v>
      </c>
      <c r="D856" s="381" t="n">
        <v>0</v>
      </c>
      <c r="E856" s="381" t="n">
        <v>0</v>
      </c>
      <c r="F856" s="359" t="n">
        <v>1</v>
      </c>
      <c r="G856" s="380" t="n">
        <v>0</v>
      </c>
      <c r="H856" s="358" t="n">
        <v>0</v>
      </c>
      <c r="I856" s="358" t="n">
        <v>0</v>
      </c>
      <c r="J856" s="358" t="n">
        <v>0</v>
      </c>
      <c r="K856" s="358" t="n">
        <v>0</v>
      </c>
      <c r="L856" s="358" t="n">
        <v>0</v>
      </c>
      <c r="M856" s="381" t="n">
        <v>1</v>
      </c>
      <c r="N856" s="381" t="n">
        <v>0</v>
      </c>
      <c r="O856" s="381" t="n">
        <v>0</v>
      </c>
      <c r="P856" s="359" t="n">
        <v>1</v>
      </c>
    </row>
    <row r="857" customFormat="false" ht="15" hidden="true" customHeight="false" outlineLevel="0" collapsed="false">
      <c r="B857" s="360" t="s">
        <v>3237</v>
      </c>
      <c r="C857" s="381" t="n">
        <v>1</v>
      </c>
      <c r="D857" s="381" t="n">
        <v>0</v>
      </c>
      <c r="E857" s="381" t="n">
        <v>0</v>
      </c>
      <c r="F857" s="359" t="n">
        <v>1</v>
      </c>
      <c r="G857" s="380" t="n">
        <v>0</v>
      </c>
      <c r="H857" s="358" t="n">
        <v>0</v>
      </c>
      <c r="I857" s="358" t="n">
        <v>0</v>
      </c>
      <c r="J857" s="358" t="n">
        <v>0</v>
      </c>
      <c r="K857" s="358" t="n">
        <v>0</v>
      </c>
      <c r="L857" s="358" t="n">
        <v>0</v>
      </c>
      <c r="M857" s="381" t="n">
        <v>1</v>
      </c>
      <c r="N857" s="381" t="n">
        <v>0</v>
      </c>
      <c r="O857" s="381" t="n">
        <v>0</v>
      </c>
      <c r="P857" s="359" t="n">
        <v>1</v>
      </c>
    </row>
    <row r="858" customFormat="false" ht="15" hidden="true" customHeight="false" outlineLevel="0" collapsed="false">
      <c r="B858" s="360" t="s">
        <v>3238</v>
      </c>
      <c r="C858" s="381" t="n">
        <v>1</v>
      </c>
      <c r="D858" s="381" t="n">
        <v>0</v>
      </c>
      <c r="E858" s="381" t="n">
        <v>0</v>
      </c>
      <c r="F858" s="359" t="n">
        <v>1</v>
      </c>
      <c r="G858" s="380" t="n">
        <v>0</v>
      </c>
      <c r="H858" s="358" t="n">
        <v>0</v>
      </c>
      <c r="I858" s="358" t="n">
        <v>0</v>
      </c>
      <c r="J858" s="358" t="n">
        <v>0</v>
      </c>
      <c r="K858" s="358" t="n">
        <v>0</v>
      </c>
      <c r="L858" s="358" t="n">
        <v>0</v>
      </c>
      <c r="M858" s="381" t="n">
        <v>1</v>
      </c>
      <c r="N858" s="381" t="n">
        <v>0</v>
      </c>
      <c r="O858" s="381" t="n">
        <v>0</v>
      </c>
      <c r="P858" s="359" t="n">
        <v>1</v>
      </c>
    </row>
    <row r="859" customFormat="false" ht="15" hidden="true" customHeight="false" outlineLevel="0" collapsed="false">
      <c r="B859" s="360" t="s">
        <v>3239</v>
      </c>
      <c r="C859" s="381" t="n">
        <v>1</v>
      </c>
      <c r="D859" s="381" t="n">
        <v>0</v>
      </c>
      <c r="E859" s="381" t="n">
        <v>0</v>
      </c>
      <c r="F859" s="359" t="n">
        <v>1</v>
      </c>
      <c r="G859" s="380" t="n">
        <v>0</v>
      </c>
      <c r="H859" s="358" t="n">
        <v>0</v>
      </c>
      <c r="I859" s="358" t="n">
        <v>0</v>
      </c>
      <c r="J859" s="358" t="n">
        <v>0</v>
      </c>
      <c r="K859" s="358" t="n">
        <v>0</v>
      </c>
      <c r="L859" s="358" t="n">
        <v>0</v>
      </c>
      <c r="M859" s="381" t="n">
        <v>1</v>
      </c>
      <c r="N859" s="381" t="n">
        <v>0</v>
      </c>
      <c r="O859" s="381" t="n">
        <v>0</v>
      </c>
      <c r="P859" s="359" t="n">
        <v>1</v>
      </c>
    </row>
    <row r="860" customFormat="false" ht="15" hidden="true" customHeight="false" outlineLevel="0" collapsed="false">
      <c r="B860" s="360" t="s">
        <v>3240</v>
      </c>
      <c r="C860" s="381" t="n">
        <v>1</v>
      </c>
      <c r="D860" s="381" t="n">
        <v>0</v>
      </c>
      <c r="E860" s="381" t="n">
        <v>0</v>
      </c>
      <c r="F860" s="359" t="n">
        <v>1</v>
      </c>
      <c r="G860" s="380" t="n">
        <v>0</v>
      </c>
      <c r="H860" s="358" t="n">
        <v>0</v>
      </c>
      <c r="I860" s="358" t="n">
        <v>0</v>
      </c>
      <c r="J860" s="358" t="n">
        <v>0</v>
      </c>
      <c r="K860" s="358" t="n">
        <v>0</v>
      </c>
      <c r="L860" s="358" t="n">
        <v>0</v>
      </c>
      <c r="M860" s="381" t="n">
        <v>1</v>
      </c>
      <c r="N860" s="381" t="n">
        <v>0</v>
      </c>
      <c r="O860" s="381" t="n">
        <v>0</v>
      </c>
      <c r="P860" s="359" t="n">
        <v>1</v>
      </c>
    </row>
    <row r="861" customFormat="false" ht="15" hidden="true" customHeight="false" outlineLevel="0" collapsed="false">
      <c r="B861" s="360" t="s">
        <v>3242</v>
      </c>
      <c r="C861" s="381" t="n">
        <v>1</v>
      </c>
      <c r="D861" s="381" t="n">
        <v>0</v>
      </c>
      <c r="E861" s="381" t="n">
        <v>0</v>
      </c>
      <c r="F861" s="359" t="n">
        <v>1</v>
      </c>
      <c r="G861" s="380" t="n">
        <v>0</v>
      </c>
      <c r="H861" s="358" t="n">
        <v>0</v>
      </c>
      <c r="I861" s="358" t="n">
        <v>0</v>
      </c>
      <c r="J861" s="358" t="n">
        <v>0</v>
      </c>
      <c r="K861" s="358" t="n">
        <v>0</v>
      </c>
      <c r="L861" s="358" t="n">
        <v>0</v>
      </c>
      <c r="M861" s="381" t="n">
        <v>1</v>
      </c>
      <c r="N861" s="381" t="n">
        <v>0</v>
      </c>
      <c r="O861" s="381" t="n">
        <v>0</v>
      </c>
      <c r="P861" s="359" t="n">
        <v>1</v>
      </c>
    </row>
    <row r="862" customFormat="false" ht="15" hidden="true" customHeight="false" outlineLevel="0" collapsed="false">
      <c r="B862" s="360" t="s">
        <v>3243</v>
      </c>
      <c r="C862" s="381" t="n">
        <v>1</v>
      </c>
      <c r="D862" s="381" t="n">
        <v>0</v>
      </c>
      <c r="E862" s="381" t="n">
        <v>0</v>
      </c>
      <c r="F862" s="359" t="n">
        <v>1</v>
      </c>
      <c r="G862" s="380" t="n">
        <v>0</v>
      </c>
      <c r="H862" s="358" t="n">
        <v>0</v>
      </c>
      <c r="I862" s="358" t="n">
        <v>0</v>
      </c>
      <c r="J862" s="358" t="n">
        <v>0</v>
      </c>
      <c r="K862" s="358" t="n">
        <v>0</v>
      </c>
      <c r="L862" s="358" t="n">
        <v>0</v>
      </c>
      <c r="M862" s="381" t="n">
        <v>1</v>
      </c>
      <c r="N862" s="381" t="n">
        <v>0</v>
      </c>
      <c r="O862" s="381" t="n">
        <v>0</v>
      </c>
      <c r="P862" s="359" t="n">
        <v>1</v>
      </c>
    </row>
    <row r="863" customFormat="false" ht="15" hidden="true" customHeight="false" outlineLevel="0" collapsed="false">
      <c r="B863" s="360" t="s">
        <v>3244</v>
      </c>
      <c r="C863" s="381" t="n">
        <v>1</v>
      </c>
      <c r="D863" s="381" t="n">
        <v>0</v>
      </c>
      <c r="E863" s="381" t="n">
        <v>0</v>
      </c>
      <c r="F863" s="359" t="n">
        <v>1</v>
      </c>
      <c r="G863" s="380" t="n">
        <v>0</v>
      </c>
      <c r="H863" s="358" t="n">
        <v>0</v>
      </c>
      <c r="I863" s="358" t="n">
        <v>0</v>
      </c>
      <c r="J863" s="358" t="n">
        <v>0</v>
      </c>
      <c r="K863" s="358" t="n">
        <v>0</v>
      </c>
      <c r="L863" s="358" t="n">
        <v>0</v>
      </c>
      <c r="M863" s="381" t="n">
        <v>1</v>
      </c>
      <c r="N863" s="381" t="n">
        <v>0</v>
      </c>
      <c r="O863" s="381" t="n">
        <v>0</v>
      </c>
      <c r="P863" s="359" t="n">
        <v>1</v>
      </c>
    </row>
    <row r="864" customFormat="false" ht="15" hidden="true" customHeight="false" outlineLevel="0" collapsed="false">
      <c r="B864" s="360" t="s">
        <v>3245</v>
      </c>
      <c r="C864" s="381" t="n">
        <v>1</v>
      </c>
      <c r="D864" s="381" t="n">
        <v>0</v>
      </c>
      <c r="E864" s="381" t="n">
        <v>0</v>
      </c>
      <c r="F864" s="359" t="n">
        <v>1</v>
      </c>
      <c r="G864" s="380" t="n">
        <v>0</v>
      </c>
      <c r="H864" s="358" t="n">
        <v>0</v>
      </c>
      <c r="I864" s="358" t="n">
        <v>0</v>
      </c>
      <c r="J864" s="358" t="n">
        <v>0</v>
      </c>
      <c r="K864" s="358" t="n">
        <v>0</v>
      </c>
      <c r="L864" s="358" t="n">
        <v>0</v>
      </c>
      <c r="M864" s="381" t="n">
        <v>1</v>
      </c>
      <c r="N864" s="381" t="n">
        <v>0</v>
      </c>
      <c r="O864" s="381" t="n">
        <v>0</v>
      </c>
      <c r="P864" s="359" t="n">
        <v>1</v>
      </c>
    </row>
    <row r="865" customFormat="false" ht="15" hidden="true" customHeight="false" outlineLevel="0" collapsed="false">
      <c r="B865" s="360" t="s">
        <v>3246</v>
      </c>
      <c r="C865" s="381" t="n">
        <v>1</v>
      </c>
      <c r="D865" s="381" t="n">
        <v>0</v>
      </c>
      <c r="E865" s="381" t="n">
        <v>0</v>
      </c>
      <c r="F865" s="359" t="n">
        <v>1</v>
      </c>
      <c r="G865" s="380" t="n">
        <v>0</v>
      </c>
      <c r="H865" s="358" t="n">
        <v>0</v>
      </c>
      <c r="I865" s="358" t="n">
        <v>0</v>
      </c>
      <c r="J865" s="358" t="n">
        <v>0</v>
      </c>
      <c r="K865" s="358" t="n">
        <v>0</v>
      </c>
      <c r="L865" s="358" t="n">
        <v>0</v>
      </c>
      <c r="M865" s="381" t="n">
        <v>1</v>
      </c>
      <c r="N865" s="381" t="n">
        <v>0</v>
      </c>
      <c r="O865" s="381" t="n">
        <v>0</v>
      </c>
      <c r="P865" s="359" t="n">
        <v>1</v>
      </c>
    </row>
    <row r="866" customFormat="false" ht="15" hidden="true" customHeight="false" outlineLevel="0" collapsed="false">
      <c r="B866" s="361" t="s">
        <v>3247</v>
      </c>
      <c r="C866" s="381" t="n">
        <v>1</v>
      </c>
      <c r="D866" s="381" t="n">
        <v>0</v>
      </c>
      <c r="E866" s="381" t="n">
        <v>0</v>
      </c>
      <c r="F866" s="359" t="n">
        <v>1</v>
      </c>
      <c r="G866" s="380" t="n">
        <v>0</v>
      </c>
      <c r="H866" s="358" t="n">
        <v>0</v>
      </c>
      <c r="I866" s="358" t="n">
        <v>0</v>
      </c>
      <c r="J866" s="358" t="n">
        <v>0</v>
      </c>
      <c r="K866" s="358" t="n">
        <v>0</v>
      </c>
      <c r="L866" s="358" t="n">
        <v>0</v>
      </c>
      <c r="M866" s="381" t="n">
        <v>1</v>
      </c>
      <c r="N866" s="381" t="n">
        <v>0</v>
      </c>
      <c r="O866" s="381" t="n">
        <v>0</v>
      </c>
      <c r="P866" s="359" t="n">
        <v>1</v>
      </c>
    </row>
    <row r="867" customFormat="false" ht="15" hidden="false" customHeight="false" outlineLevel="0" collapsed="false">
      <c r="B867" s="313" t="s">
        <v>2472</v>
      </c>
      <c r="C867" s="379" t="n">
        <v>28</v>
      </c>
      <c r="D867" s="379" t="n">
        <v>0</v>
      </c>
      <c r="E867" s="379" t="n">
        <v>0</v>
      </c>
      <c r="F867" s="357" t="n">
        <v>28</v>
      </c>
      <c r="G867" s="380" t="n">
        <v>0</v>
      </c>
      <c r="H867" s="358" t="n">
        <v>0</v>
      </c>
      <c r="I867" s="358" t="n">
        <v>0</v>
      </c>
      <c r="J867" s="358" t="n">
        <v>0</v>
      </c>
      <c r="K867" s="358" t="n">
        <v>0</v>
      </c>
      <c r="L867" s="358" t="n">
        <v>0</v>
      </c>
      <c r="M867" s="379" t="n">
        <v>28</v>
      </c>
      <c r="N867" s="379" t="n">
        <v>0</v>
      </c>
      <c r="O867" s="379" t="n">
        <v>0</v>
      </c>
      <c r="P867" s="357" t="n">
        <v>28</v>
      </c>
    </row>
    <row r="868" customFormat="false" ht="15" hidden="false" customHeight="false" outlineLevel="0" collapsed="false">
      <c r="B868" s="364" t="s">
        <v>2472</v>
      </c>
      <c r="C868" s="385" t="n">
        <v>17</v>
      </c>
      <c r="D868" s="385" t="n">
        <v>0</v>
      </c>
      <c r="E868" s="385" t="n">
        <v>0</v>
      </c>
      <c r="F868" s="365" t="n">
        <v>17</v>
      </c>
      <c r="G868" s="380" t="n">
        <v>0</v>
      </c>
      <c r="H868" s="358" t="n">
        <v>0</v>
      </c>
      <c r="I868" s="358" t="n">
        <v>0</v>
      </c>
      <c r="J868" s="358" t="n">
        <v>0</v>
      </c>
      <c r="K868" s="358" t="n">
        <v>0</v>
      </c>
      <c r="L868" s="358" t="n">
        <v>0</v>
      </c>
      <c r="M868" s="385" t="n">
        <v>17</v>
      </c>
      <c r="N868" s="385" t="n">
        <v>0</v>
      </c>
      <c r="O868" s="385" t="n">
        <v>0</v>
      </c>
      <c r="P868" s="365" t="n">
        <v>17</v>
      </c>
    </row>
    <row r="869" customFormat="false" ht="15" hidden="true" customHeight="false" outlineLevel="0" collapsed="false">
      <c r="B869" s="360" t="s">
        <v>3248</v>
      </c>
      <c r="C869" s="381" t="n">
        <v>1</v>
      </c>
      <c r="D869" s="381" t="n">
        <v>0</v>
      </c>
      <c r="E869" s="381" t="n">
        <v>0</v>
      </c>
      <c r="F869" s="359" t="n">
        <v>1</v>
      </c>
      <c r="G869" s="380" t="n">
        <v>0</v>
      </c>
      <c r="H869" s="358" t="n">
        <v>0</v>
      </c>
      <c r="I869" s="358" t="n">
        <v>0</v>
      </c>
      <c r="J869" s="358" t="n">
        <v>0</v>
      </c>
      <c r="K869" s="358" t="n">
        <v>0</v>
      </c>
      <c r="L869" s="358" t="n">
        <v>0</v>
      </c>
      <c r="M869" s="381" t="n">
        <v>1</v>
      </c>
      <c r="N869" s="381" t="n">
        <v>0</v>
      </c>
      <c r="O869" s="381" t="n">
        <v>0</v>
      </c>
      <c r="P869" s="359" t="n">
        <v>1</v>
      </c>
    </row>
    <row r="870" customFormat="false" ht="15" hidden="true" customHeight="false" outlineLevel="0" collapsed="false">
      <c r="B870" s="360" t="s">
        <v>3249</v>
      </c>
      <c r="C870" s="381" t="n">
        <v>1</v>
      </c>
      <c r="D870" s="381" t="n">
        <v>0</v>
      </c>
      <c r="E870" s="381" t="n">
        <v>0</v>
      </c>
      <c r="F870" s="359" t="n">
        <v>1</v>
      </c>
      <c r="G870" s="380" t="n">
        <v>0</v>
      </c>
      <c r="H870" s="358" t="n">
        <v>0</v>
      </c>
      <c r="I870" s="358" t="n">
        <v>0</v>
      </c>
      <c r="J870" s="358" t="n">
        <v>0</v>
      </c>
      <c r="K870" s="358" t="n">
        <v>0</v>
      </c>
      <c r="L870" s="358" t="n">
        <v>0</v>
      </c>
      <c r="M870" s="381" t="n">
        <v>1</v>
      </c>
      <c r="N870" s="381" t="n">
        <v>0</v>
      </c>
      <c r="O870" s="381" t="n">
        <v>0</v>
      </c>
      <c r="P870" s="359" t="n">
        <v>1</v>
      </c>
    </row>
    <row r="871" customFormat="false" ht="15" hidden="true" customHeight="false" outlineLevel="0" collapsed="false">
      <c r="B871" s="360" t="s">
        <v>3250</v>
      </c>
      <c r="C871" s="381" t="n">
        <v>1</v>
      </c>
      <c r="D871" s="381" t="n">
        <v>0</v>
      </c>
      <c r="E871" s="381" t="n">
        <v>0</v>
      </c>
      <c r="F871" s="359" t="n">
        <v>1</v>
      </c>
      <c r="G871" s="380" t="n">
        <v>0</v>
      </c>
      <c r="H871" s="358" t="n">
        <v>0</v>
      </c>
      <c r="I871" s="358" t="n">
        <v>0</v>
      </c>
      <c r="J871" s="358" t="n">
        <v>0</v>
      </c>
      <c r="K871" s="358" t="n">
        <v>0</v>
      </c>
      <c r="L871" s="358" t="n">
        <v>0</v>
      </c>
      <c r="M871" s="381" t="n">
        <v>1</v>
      </c>
      <c r="N871" s="381" t="n">
        <v>0</v>
      </c>
      <c r="O871" s="381" t="n">
        <v>0</v>
      </c>
      <c r="P871" s="359" t="n">
        <v>1</v>
      </c>
    </row>
    <row r="872" customFormat="false" ht="15" hidden="true" customHeight="false" outlineLevel="0" collapsed="false">
      <c r="B872" s="360" t="s">
        <v>3251</v>
      </c>
      <c r="C872" s="381" t="n">
        <v>1</v>
      </c>
      <c r="D872" s="381" t="n">
        <v>0</v>
      </c>
      <c r="E872" s="381" t="n">
        <v>0</v>
      </c>
      <c r="F872" s="359" t="n">
        <v>1</v>
      </c>
      <c r="G872" s="380" t="n">
        <v>0</v>
      </c>
      <c r="H872" s="358" t="n">
        <v>0</v>
      </c>
      <c r="I872" s="358" t="n">
        <v>0</v>
      </c>
      <c r="J872" s="358" t="n">
        <v>0</v>
      </c>
      <c r="K872" s="358" t="n">
        <v>0</v>
      </c>
      <c r="L872" s="358" t="n">
        <v>0</v>
      </c>
      <c r="M872" s="381" t="n">
        <v>1</v>
      </c>
      <c r="N872" s="381" t="n">
        <v>0</v>
      </c>
      <c r="O872" s="381" t="n">
        <v>0</v>
      </c>
      <c r="P872" s="359" t="n">
        <v>1</v>
      </c>
    </row>
    <row r="873" customFormat="false" ht="15" hidden="true" customHeight="false" outlineLevel="0" collapsed="false">
      <c r="B873" s="360" t="s">
        <v>3252</v>
      </c>
      <c r="C873" s="381" t="n">
        <v>1</v>
      </c>
      <c r="D873" s="381" t="n">
        <v>0</v>
      </c>
      <c r="E873" s="381" t="n">
        <v>0</v>
      </c>
      <c r="F873" s="359" t="n">
        <v>1</v>
      </c>
      <c r="G873" s="380" t="n">
        <v>0</v>
      </c>
      <c r="H873" s="358" t="n">
        <v>0</v>
      </c>
      <c r="I873" s="358" t="n">
        <v>0</v>
      </c>
      <c r="J873" s="358" t="n">
        <v>0</v>
      </c>
      <c r="K873" s="358" t="n">
        <v>0</v>
      </c>
      <c r="L873" s="358" t="n">
        <v>0</v>
      </c>
      <c r="M873" s="381" t="n">
        <v>1</v>
      </c>
      <c r="N873" s="381" t="n">
        <v>0</v>
      </c>
      <c r="O873" s="381" t="n">
        <v>0</v>
      </c>
      <c r="P873" s="359" t="n">
        <v>1</v>
      </c>
    </row>
    <row r="874" customFormat="false" ht="15" hidden="true" customHeight="false" outlineLevel="0" collapsed="false">
      <c r="B874" s="360" t="s">
        <v>3253</v>
      </c>
      <c r="C874" s="381" t="n">
        <v>1</v>
      </c>
      <c r="D874" s="381" t="n">
        <v>0</v>
      </c>
      <c r="E874" s="381" t="n">
        <v>0</v>
      </c>
      <c r="F874" s="359" t="n">
        <v>1</v>
      </c>
      <c r="G874" s="380" t="n">
        <v>0</v>
      </c>
      <c r="H874" s="358" t="n">
        <v>0</v>
      </c>
      <c r="I874" s="358" t="n">
        <v>0</v>
      </c>
      <c r="J874" s="358" t="n">
        <v>0</v>
      </c>
      <c r="K874" s="358" t="n">
        <v>0</v>
      </c>
      <c r="L874" s="358" t="n">
        <v>0</v>
      </c>
      <c r="M874" s="381" t="n">
        <v>1</v>
      </c>
      <c r="N874" s="381" t="n">
        <v>0</v>
      </c>
      <c r="O874" s="381" t="n">
        <v>0</v>
      </c>
      <c r="P874" s="359" t="n">
        <v>1</v>
      </c>
    </row>
    <row r="875" customFormat="false" ht="15" hidden="true" customHeight="false" outlineLevel="0" collapsed="false">
      <c r="B875" s="360" t="s">
        <v>3254</v>
      </c>
      <c r="C875" s="381" t="n">
        <v>1</v>
      </c>
      <c r="D875" s="381" t="n">
        <v>0</v>
      </c>
      <c r="E875" s="381" t="n">
        <v>0</v>
      </c>
      <c r="F875" s="359" t="n">
        <v>1</v>
      </c>
      <c r="G875" s="380" t="n">
        <v>0</v>
      </c>
      <c r="H875" s="358" t="n">
        <v>0</v>
      </c>
      <c r="I875" s="358" t="n">
        <v>0</v>
      </c>
      <c r="J875" s="358" t="n">
        <v>0</v>
      </c>
      <c r="K875" s="358" t="n">
        <v>0</v>
      </c>
      <c r="L875" s="358" t="n">
        <v>0</v>
      </c>
      <c r="M875" s="381" t="n">
        <v>1</v>
      </c>
      <c r="N875" s="381" t="n">
        <v>0</v>
      </c>
      <c r="O875" s="381" t="n">
        <v>0</v>
      </c>
      <c r="P875" s="359" t="n">
        <v>1</v>
      </c>
    </row>
    <row r="876" customFormat="false" ht="15" hidden="true" customHeight="false" outlineLevel="0" collapsed="false">
      <c r="B876" s="360" t="s">
        <v>3255</v>
      </c>
      <c r="C876" s="381" t="n">
        <v>1</v>
      </c>
      <c r="D876" s="381" t="n">
        <v>0</v>
      </c>
      <c r="E876" s="381" t="n">
        <v>0</v>
      </c>
      <c r="F876" s="359" t="n">
        <v>1</v>
      </c>
      <c r="G876" s="380" t="n">
        <v>0</v>
      </c>
      <c r="H876" s="358" t="n">
        <v>0</v>
      </c>
      <c r="I876" s="358" t="n">
        <v>0</v>
      </c>
      <c r="J876" s="358" t="n">
        <v>0</v>
      </c>
      <c r="K876" s="358" t="n">
        <v>0</v>
      </c>
      <c r="L876" s="358" t="n">
        <v>0</v>
      </c>
      <c r="M876" s="381" t="n">
        <v>1</v>
      </c>
      <c r="N876" s="381" t="n">
        <v>0</v>
      </c>
      <c r="O876" s="381" t="n">
        <v>0</v>
      </c>
      <c r="P876" s="359" t="n">
        <v>1</v>
      </c>
    </row>
    <row r="877" customFormat="false" ht="15" hidden="true" customHeight="false" outlineLevel="0" collapsed="false">
      <c r="B877" s="360" t="s">
        <v>3256</v>
      </c>
      <c r="C877" s="381" t="n">
        <v>1</v>
      </c>
      <c r="D877" s="381" t="n">
        <v>0</v>
      </c>
      <c r="E877" s="381" t="n">
        <v>0</v>
      </c>
      <c r="F877" s="359" t="n">
        <v>1</v>
      </c>
      <c r="G877" s="380" t="n">
        <v>0</v>
      </c>
      <c r="H877" s="358" t="n">
        <v>0</v>
      </c>
      <c r="I877" s="358" t="n">
        <v>0</v>
      </c>
      <c r="J877" s="358" t="n">
        <v>0</v>
      </c>
      <c r="K877" s="358" t="n">
        <v>0</v>
      </c>
      <c r="L877" s="358" t="n">
        <v>0</v>
      </c>
      <c r="M877" s="381" t="n">
        <v>1</v>
      </c>
      <c r="N877" s="381" t="n">
        <v>0</v>
      </c>
      <c r="O877" s="381" t="n">
        <v>0</v>
      </c>
      <c r="P877" s="359" t="n">
        <v>1</v>
      </c>
    </row>
    <row r="878" customFormat="false" ht="15" hidden="true" customHeight="false" outlineLevel="0" collapsed="false">
      <c r="B878" s="360" t="s">
        <v>3257</v>
      </c>
      <c r="C878" s="381" t="n">
        <v>1</v>
      </c>
      <c r="D878" s="381" t="n">
        <v>0</v>
      </c>
      <c r="E878" s="381" t="n">
        <v>0</v>
      </c>
      <c r="F878" s="359" t="n">
        <v>1</v>
      </c>
      <c r="G878" s="380" t="n">
        <v>0</v>
      </c>
      <c r="H878" s="358" t="n">
        <v>0</v>
      </c>
      <c r="I878" s="358" t="n">
        <v>0</v>
      </c>
      <c r="J878" s="358" t="n">
        <v>0</v>
      </c>
      <c r="K878" s="358" t="n">
        <v>0</v>
      </c>
      <c r="L878" s="358" t="n">
        <v>0</v>
      </c>
      <c r="M878" s="381" t="n">
        <v>1</v>
      </c>
      <c r="N878" s="381" t="n">
        <v>0</v>
      </c>
      <c r="O878" s="381" t="n">
        <v>0</v>
      </c>
      <c r="P878" s="359" t="n">
        <v>1</v>
      </c>
    </row>
    <row r="879" customFormat="false" ht="15" hidden="true" customHeight="false" outlineLevel="0" collapsed="false">
      <c r="B879" s="360" t="s">
        <v>3258</v>
      </c>
      <c r="C879" s="381" t="n">
        <v>1</v>
      </c>
      <c r="D879" s="381" t="n">
        <v>0</v>
      </c>
      <c r="E879" s="381" t="n">
        <v>0</v>
      </c>
      <c r="F879" s="359" t="n">
        <v>1</v>
      </c>
      <c r="G879" s="380" t="n">
        <v>0</v>
      </c>
      <c r="H879" s="358" t="n">
        <v>0</v>
      </c>
      <c r="I879" s="358" t="n">
        <v>0</v>
      </c>
      <c r="J879" s="358" t="n">
        <v>0</v>
      </c>
      <c r="K879" s="358" t="n">
        <v>0</v>
      </c>
      <c r="L879" s="358" t="n">
        <v>0</v>
      </c>
      <c r="M879" s="381" t="n">
        <v>1</v>
      </c>
      <c r="N879" s="381" t="n">
        <v>0</v>
      </c>
      <c r="O879" s="381" t="n">
        <v>0</v>
      </c>
      <c r="P879" s="359" t="n">
        <v>1</v>
      </c>
    </row>
    <row r="880" customFormat="false" ht="15" hidden="true" customHeight="false" outlineLevel="0" collapsed="false">
      <c r="B880" s="360" t="s">
        <v>3259</v>
      </c>
      <c r="C880" s="381" t="n">
        <v>1</v>
      </c>
      <c r="D880" s="381" t="n">
        <v>0</v>
      </c>
      <c r="E880" s="381" t="n">
        <v>0</v>
      </c>
      <c r="F880" s="359" t="n">
        <v>1</v>
      </c>
      <c r="G880" s="380" t="n">
        <v>0</v>
      </c>
      <c r="H880" s="358" t="n">
        <v>0</v>
      </c>
      <c r="I880" s="358" t="n">
        <v>0</v>
      </c>
      <c r="J880" s="358" t="n">
        <v>0</v>
      </c>
      <c r="K880" s="358" t="n">
        <v>0</v>
      </c>
      <c r="L880" s="358" t="n">
        <v>0</v>
      </c>
      <c r="M880" s="381" t="n">
        <v>1</v>
      </c>
      <c r="N880" s="381" t="n">
        <v>0</v>
      </c>
      <c r="O880" s="381" t="n">
        <v>0</v>
      </c>
      <c r="P880" s="359" t="n">
        <v>1</v>
      </c>
    </row>
    <row r="881" customFormat="false" ht="15" hidden="true" customHeight="false" outlineLevel="0" collapsed="false">
      <c r="B881" s="360" t="s">
        <v>3260</v>
      </c>
      <c r="C881" s="381" t="n">
        <v>1</v>
      </c>
      <c r="D881" s="381" t="n">
        <v>0</v>
      </c>
      <c r="E881" s="381" t="n">
        <v>0</v>
      </c>
      <c r="F881" s="359" t="n">
        <v>1</v>
      </c>
      <c r="G881" s="380" t="n">
        <v>0</v>
      </c>
      <c r="H881" s="358" t="n">
        <v>0</v>
      </c>
      <c r="I881" s="358" t="n">
        <v>0</v>
      </c>
      <c r="J881" s="358" t="n">
        <v>0</v>
      </c>
      <c r="K881" s="358" t="n">
        <v>0</v>
      </c>
      <c r="L881" s="358" t="n">
        <v>0</v>
      </c>
      <c r="M881" s="381" t="n">
        <v>1</v>
      </c>
      <c r="N881" s="381" t="n">
        <v>0</v>
      </c>
      <c r="O881" s="381" t="n">
        <v>0</v>
      </c>
      <c r="P881" s="359" t="n">
        <v>1</v>
      </c>
    </row>
    <row r="882" customFormat="false" ht="15" hidden="true" customHeight="false" outlineLevel="0" collapsed="false">
      <c r="B882" s="360" t="s">
        <v>3261</v>
      </c>
      <c r="C882" s="381" t="n">
        <v>1</v>
      </c>
      <c r="D882" s="381" t="n">
        <v>0</v>
      </c>
      <c r="E882" s="381" t="n">
        <v>0</v>
      </c>
      <c r="F882" s="359" t="n">
        <v>1</v>
      </c>
      <c r="G882" s="380" t="n">
        <v>0</v>
      </c>
      <c r="H882" s="358" t="n">
        <v>0</v>
      </c>
      <c r="I882" s="358" t="n">
        <v>0</v>
      </c>
      <c r="J882" s="358" t="n">
        <v>0</v>
      </c>
      <c r="K882" s="358" t="n">
        <v>0</v>
      </c>
      <c r="L882" s="358" t="n">
        <v>0</v>
      </c>
      <c r="M882" s="381" t="n">
        <v>1</v>
      </c>
      <c r="N882" s="381" t="n">
        <v>0</v>
      </c>
      <c r="O882" s="381" t="n">
        <v>0</v>
      </c>
      <c r="P882" s="359" t="n">
        <v>1</v>
      </c>
    </row>
    <row r="883" customFormat="false" ht="15" hidden="true" customHeight="false" outlineLevel="0" collapsed="false">
      <c r="B883" s="360" t="s">
        <v>3262</v>
      </c>
      <c r="C883" s="381" t="n">
        <v>1</v>
      </c>
      <c r="D883" s="381" t="n">
        <v>0</v>
      </c>
      <c r="E883" s="381" t="n">
        <v>0</v>
      </c>
      <c r="F883" s="359" t="n">
        <v>1</v>
      </c>
      <c r="G883" s="380" t="n">
        <v>0</v>
      </c>
      <c r="H883" s="358" t="n">
        <v>0</v>
      </c>
      <c r="I883" s="358" t="n">
        <v>0</v>
      </c>
      <c r="J883" s="358" t="n">
        <v>0</v>
      </c>
      <c r="K883" s="358" t="n">
        <v>0</v>
      </c>
      <c r="L883" s="358" t="n">
        <v>0</v>
      </c>
      <c r="M883" s="381" t="n">
        <v>1</v>
      </c>
      <c r="N883" s="381" t="n">
        <v>0</v>
      </c>
      <c r="O883" s="381" t="n">
        <v>0</v>
      </c>
      <c r="P883" s="359" t="n">
        <v>1</v>
      </c>
    </row>
    <row r="884" customFormat="false" ht="15" hidden="true" customHeight="false" outlineLevel="0" collapsed="false">
      <c r="B884" s="360" t="s">
        <v>3263</v>
      </c>
      <c r="C884" s="381" t="n">
        <v>1</v>
      </c>
      <c r="D884" s="381" t="n">
        <v>0</v>
      </c>
      <c r="E884" s="381" t="n">
        <v>0</v>
      </c>
      <c r="F884" s="359" t="n">
        <v>1</v>
      </c>
      <c r="G884" s="380" t="n">
        <v>0</v>
      </c>
      <c r="H884" s="358" t="n">
        <v>0</v>
      </c>
      <c r="I884" s="358" t="n">
        <v>0</v>
      </c>
      <c r="J884" s="358" t="n">
        <v>0</v>
      </c>
      <c r="K884" s="358" t="n">
        <v>0</v>
      </c>
      <c r="L884" s="358" t="n">
        <v>0</v>
      </c>
      <c r="M884" s="381" t="n">
        <v>1</v>
      </c>
      <c r="N884" s="381" t="n">
        <v>0</v>
      </c>
      <c r="O884" s="381" t="n">
        <v>0</v>
      </c>
      <c r="P884" s="359" t="n">
        <v>1</v>
      </c>
    </row>
    <row r="885" customFormat="false" ht="15" hidden="true" customHeight="false" outlineLevel="0" collapsed="false">
      <c r="B885" s="360" t="s">
        <v>3264</v>
      </c>
      <c r="C885" s="381" t="n">
        <v>1</v>
      </c>
      <c r="D885" s="381" t="n">
        <v>0</v>
      </c>
      <c r="E885" s="381" t="n">
        <v>0</v>
      </c>
      <c r="F885" s="359" t="n">
        <v>1</v>
      </c>
      <c r="G885" s="380" t="n">
        <v>0</v>
      </c>
      <c r="H885" s="358" t="n">
        <v>0</v>
      </c>
      <c r="I885" s="358" t="n">
        <v>0</v>
      </c>
      <c r="J885" s="358" t="n">
        <v>0</v>
      </c>
      <c r="K885" s="358" t="n">
        <v>0</v>
      </c>
      <c r="L885" s="358" t="n">
        <v>0</v>
      </c>
      <c r="M885" s="381" t="n">
        <v>1</v>
      </c>
      <c r="N885" s="381" t="n">
        <v>0</v>
      </c>
      <c r="O885" s="381" t="n">
        <v>0</v>
      </c>
      <c r="P885" s="359" t="n">
        <v>1</v>
      </c>
    </row>
    <row r="886" customFormat="false" ht="15" hidden="false" customHeight="false" outlineLevel="0" collapsed="false">
      <c r="B886" s="364" t="s">
        <v>2468</v>
      </c>
      <c r="C886" s="385" t="n">
        <v>11</v>
      </c>
      <c r="D886" s="385" t="n">
        <v>0</v>
      </c>
      <c r="E886" s="385" t="n">
        <v>0</v>
      </c>
      <c r="F886" s="365" t="n">
        <v>11</v>
      </c>
      <c r="G886" s="380" t="n">
        <v>0</v>
      </c>
      <c r="H886" s="358" t="n">
        <v>0</v>
      </c>
      <c r="I886" s="358" t="n">
        <v>0</v>
      </c>
      <c r="J886" s="358" t="n">
        <v>0</v>
      </c>
      <c r="K886" s="358" t="n">
        <v>0</v>
      </c>
      <c r="L886" s="358" t="n">
        <v>0</v>
      </c>
      <c r="M886" s="385" t="n">
        <v>11</v>
      </c>
      <c r="N886" s="385" t="n">
        <v>0</v>
      </c>
      <c r="O886" s="385" t="n">
        <v>0</v>
      </c>
      <c r="P886" s="365" t="n">
        <v>11</v>
      </c>
    </row>
    <row r="887" customFormat="false" ht="15" hidden="true" customHeight="false" outlineLevel="0" collapsed="false">
      <c r="B887" s="360" t="s">
        <v>3265</v>
      </c>
      <c r="C887" s="381" t="n">
        <v>1</v>
      </c>
      <c r="D887" s="381" t="n">
        <v>0</v>
      </c>
      <c r="E887" s="381" t="n">
        <v>0</v>
      </c>
      <c r="F887" s="359" t="n">
        <v>1</v>
      </c>
      <c r="G887" s="380" t="n">
        <v>0</v>
      </c>
      <c r="H887" s="358" t="n">
        <v>0</v>
      </c>
      <c r="I887" s="358" t="n">
        <v>0</v>
      </c>
      <c r="J887" s="358" t="n">
        <v>0</v>
      </c>
      <c r="K887" s="358" t="n">
        <v>0</v>
      </c>
      <c r="L887" s="358" t="n">
        <v>0</v>
      </c>
      <c r="M887" s="381" t="n">
        <v>1</v>
      </c>
      <c r="N887" s="381" t="n">
        <v>0</v>
      </c>
      <c r="O887" s="381" t="n">
        <v>0</v>
      </c>
      <c r="P887" s="359" t="n">
        <v>1</v>
      </c>
    </row>
    <row r="888" customFormat="false" ht="15" hidden="true" customHeight="false" outlineLevel="0" collapsed="false">
      <c r="B888" s="360" t="s">
        <v>3266</v>
      </c>
      <c r="C888" s="381" t="n">
        <v>1</v>
      </c>
      <c r="D888" s="381" t="n">
        <v>0</v>
      </c>
      <c r="E888" s="381" t="n">
        <v>0</v>
      </c>
      <c r="F888" s="359" t="n">
        <v>1</v>
      </c>
      <c r="G888" s="380" t="n">
        <v>0</v>
      </c>
      <c r="H888" s="358" t="n">
        <v>0</v>
      </c>
      <c r="I888" s="358" t="n">
        <v>0</v>
      </c>
      <c r="J888" s="358" t="n">
        <v>0</v>
      </c>
      <c r="K888" s="358" t="n">
        <v>0</v>
      </c>
      <c r="L888" s="358" t="n">
        <v>0</v>
      </c>
      <c r="M888" s="381" t="n">
        <v>1</v>
      </c>
      <c r="N888" s="381" t="n">
        <v>0</v>
      </c>
      <c r="O888" s="381" t="n">
        <v>0</v>
      </c>
      <c r="P888" s="359" t="n">
        <v>1</v>
      </c>
    </row>
    <row r="889" customFormat="false" ht="15" hidden="true" customHeight="false" outlineLevel="0" collapsed="false">
      <c r="B889" s="360" t="s">
        <v>3267</v>
      </c>
      <c r="C889" s="381" t="n">
        <v>1</v>
      </c>
      <c r="D889" s="381" t="n">
        <v>0</v>
      </c>
      <c r="E889" s="381" t="n">
        <v>0</v>
      </c>
      <c r="F889" s="359" t="n">
        <v>1</v>
      </c>
      <c r="G889" s="380" t="n">
        <v>0</v>
      </c>
      <c r="H889" s="358" t="n">
        <v>0</v>
      </c>
      <c r="I889" s="358" t="n">
        <v>0</v>
      </c>
      <c r="J889" s="358" t="n">
        <v>0</v>
      </c>
      <c r="K889" s="358" t="n">
        <v>0</v>
      </c>
      <c r="L889" s="358" t="n">
        <v>0</v>
      </c>
      <c r="M889" s="381" t="n">
        <v>1</v>
      </c>
      <c r="N889" s="381" t="n">
        <v>0</v>
      </c>
      <c r="O889" s="381" t="n">
        <v>0</v>
      </c>
      <c r="P889" s="359" t="n">
        <v>1</v>
      </c>
    </row>
    <row r="890" customFormat="false" ht="15" hidden="true" customHeight="false" outlineLevel="0" collapsed="false">
      <c r="B890" s="360" t="s">
        <v>3268</v>
      </c>
      <c r="C890" s="381" t="n">
        <v>1</v>
      </c>
      <c r="D890" s="381" t="n">
        <v>0</v>
      </c>
      <c r="E890" s="381" t="n">
        <v>0</v>
      </c>
      <c r="F890" s="359" t="n">
        <v>1</v>
      </c>
      <c r="G890" s="380" t="n">
        <v>0</v>
      </c>
      <c r="H890" s="358" t="n">
        <v>0</v>
      </c>
      <c r="I890" s="358" t="n">
        <v>0</v>
      </c>
      <c r="J890" s="358" t="n">
        <v>0</v>
      </c>
      <c r="K890" s="358" t="n">
        <v>0</v>
      </c>
      <c r="L890" s="358" t="n">
        <v>0</v>
      </c>
      <c r="M890" s="381" t="n">
        <v>1</v>
      </c>
      <c r="N890" s="381" t="n">
        <v>0</v>
      </c>
      <c r="O890" s="381" t="n">
        <v>0</v>
      </c>
      <c r="P890" s="359" t="n">
        <v>1</v>
      </c>
    </row>
    <row r="891" customFormat="false" ht="15" hidden="true" customHeight="false" outlineLevel="0" collapsed="false">
      <c r="B891" s="360" t="s">
        <v>3269</v>
      </c>
      <c r="C891" s="381" t="n">
        <v>1</v>
      </c>
      <c r="D891" s="381" t="n">
        <v>0</v>
      </c>
      <c r="E891" s="381" t="n">
        <v>0</v>
      </c>
      <c r="F891" s="359" t="n">
        <v>1</v>
      </c>
      <c r="G891" s="380" t="n">
        <v>0</v>
      </c>
      <c r="H891" s="358" t="n">
        <v>0</v>
      </c>
      <c r="I891" s="358" t="n">
        <v>0</v>
      </c>
      <c r="J891" s="358" t="n">
        <v>0</v>
      </c>
      <c r="K891" s="358" t="n">
        <v>0</v>
      </c>
      <c r="L891" s="358" t="n">
        <v>0</v>
      </c>
      <c r="M891" s="381" t="n">
        <v>1</v>
      </c>
      <c r="N891" s="381" t="n">
        <v>0</v>
      </c>
      <c r="O891" s="381" t="n">
        <v>0</v>
      </c>
      <c r="P891" s="359" t="n">
        <v>1</v>
      </c>
    </row>
    <row r="892" customFormat="false" ht="15" hidden="true" customHeight="false" outlineLevel="0" collapsed="false">
      <c r="B892" s="360" t="s">
        <v>3270</v>
      </c>
      <c r="C892" s="381" t="n">
        <v>1</v>
      </c>
      <c r="D892" s="381" t="n">
        <v>0</v>
      </c>
      <c r="E892" s="381" t="n">
        <v>0</v>
      </c>
      <c r="F892" s="359" t="n">
        <v>1</v>
      </c>
      <c r="G892" s="380" t="n">
        <v>0</v>
      </c>
      <c r="H892" s="358" t="n">
        <v>0</v>
      </c>
      <c r="I892" s="358" t="n">
        <v>0</v>
      </c>
      <c r="J892" s="358" t="n">
        <v>0</v>
      </c>
      <c r="K892" s="358" t="n">
        <v>0</v>
      </c>
      <c r="L892" s="358" t="n">
        <v>0</v>
      </c>
      <c r="M892" s="381" t="n">
        <v>1</v>
      </c>
      <c r="N892" s="381" t="n">
        <v>0</v>
      </c>
      <c r="O892" s="381" t="n">
        <v>0</v>
      </c>
      <c r="P892" s="359" t="n">
        <v>1</v>
      </c>
    </row>
    <row r="893" customFormat="false" ht="15" hidden="true" customHeight="false" outlineLevel="0" collapsed="false">
      <c r="B893" s="360" t="s">
        <v>3271</v>
      </c>
      <c r="C893" s="381" t="n">
        <v>1</v>
      </c>
      <c r="D893" s="381" t="n">
        <v>0</v>
      </c>
      <c r="E893" s="381" t="n">
        <v>0</v>
      </c>
      <c r="F893" s="359" t="n">
        <v>1</v>
      </c>
      <c r="G893" s="380" t="n">
        <v>0</v>
      </c>
      <c r="H893" s="358" t="n">
        <v>0</v>
      </c>
      <c r="I893" s="358" t="n">
        <v>0</v>
      </c>
      <c r="J893" s="358" t="n">
        <v>0</v>
      </c>
      <c r="K893" s="358" t="n">
        <v>0</v>
      </c>
      <c r="L893" s="358" t="n">
        <v>0</v>
      </c>
      <c r="M893" s="381" t="n">
        <v>1</v>
      </c>
      <c r="N893" s="381" t="n">
        <v>0</v>
      </c>
      <c r="O893" s="381" t="n">
        <v>0</v>
      </c>
      <c r="P893" s="359" t="n">
        <v>1</v>
      </c>
    </row>
    <row r="894" customFormat="false" ht="15" hidden="true" customHeight="false" outlineLevel="0" collapsed="false">
      <c r="B894" s="360" t="s">
        <v>3272</v>
      </c>
      <c r="C894" s="381" t="n">
        <v>1</v>
      </c>
      <c r="D894" s="381" t="n">
        <v>0</v>
      </c>
      <c r="E894" s="381" t="n">
        <v>0</v>
      </c>
      <c r="F894" s="359" t="n">
        <v>1</v>
      </c>
      <c r="G894" s="380" t="n">
        <v>0</v>
      </c>
      <c r="H894" s="358" t="n">
        <v>0</v>
      </c>
      <c r="I894" s="358" t="n">
        <v>0</v>
      </c>
      <c r="J894" s="358" t="n">
        <v>0</v>
      </c>
      <c r="K894" s="358" t="n">
        <v>0</v>
      </c>
      <c r="L894" s="358" t="n">
        <v>0</v>
      </c>
      <c r="M894" s="381" t="n">
        <v>1</v>
      </c>
      <c r="N894" s="381" t="n">
        <v>0</v>
      </c>
      <c r="O894" s="381" t="n">
        <v>0</v>
      </c>
      <c r="P894" s="359" t="n">
        <v>1</v>
      </c>
    </row>
    <row r="895" customFormat="false" ht="15" hidden="true" customHeight="false" outlineLevel="0" collapsed="false">
      <c r="B895" s="360" t="s">
        <v>3273</v>
      </c>
      <c r="C895" s="381" t="n">
        <v>1</v>
      </c>
      <c r="D895" s="381" t="n">
        <v>0</v>
      </c>
      <c r="E895" s="381" t="n">
        <v>0</v>
      </c>
      <c r="F895" s="359" t="n">
        <v>1</v>
      </c>
      <c r="G895" s="380" t="n">
        <v>0</v>
      </c>
      <c r="H895" s="358" t="n">
        <v>0</v>
      </c>
      <c r="I895" s="358" t="n">
        <v>0</v>
      </c>
      <c r="J895" s="358" t="n">
        <v>0</v>
      </c>
      <c r="K895" s="358" t="n">
        <v>0</v>
      </c>
      <c r="L895" s="358" t="n">
        <v>0</v>
      </c>
      <c r="M895" s="381" t="n">
        <v>1</v>
      </c>
      <c r="N895" s="381" t="n">
        <v>0</v>
      </c>
      <c r="O895" s="381" t="n">
        <v>0</v>
      </c>
      <c r="P895" s="359" t="n">
        <v>1</v>
      </c>
    </row>
    <row r="896" customFormat="false" ht="15" hidden="true" customHeight="false" outlineLevel="0" collapsed="false">
      <c r="B896" s="360" t="s">
        <v>3274</v>
      </c>
      <c r="C896" s="381" t="n">
        <v>1</v>
      </c>
      <c r="D896" s="381" t="n">
        <v>0</v>
      </c>
      <c r="E896" s="381" t="n">
        <v>0</v>
      </c>
      <c r="F896" s="359" t="n">
        <v>1</v>
      </c>
      <c r="G896" s="380" t="n">
        <v>0</v>
      </c>
      <c r="H896" s="358" t="n">
        <v>0</v>
      </c>
      <c r="I896" s="358" t="n">
        <v>0</v>
      </c>
      <c r="J896" s="358" t="n">
        <v>0</v>
      </c>
      <c r="K896" s="358" t="n">
        <v>0</v>
      </c>
      <c r="L896" s="358" t="n">
        <v>0</v>
      </c>
      <c r="M896" s="381" t="n">
        <v>1</v>
      </c>
      <c r="N896" s="381" t="n">
        <v>0</v>
      </c>
      <c r="O896" s="381" t="n">
        <v>0</v>
      </c>
      <c r="P896" s="359" t="n">
        <v>1</v>
      </c>
    </row>
    <row r="897" customFormat="false" ht="15" hidden="true" customHeight="false" outlineLevel="0" collapsed="false">
      <c r="B897" s="360" t="s">
        <v>3275</v>
      </c>
      <c r="C897" s="381" t="n">
        <v>1</v>
      </c>
      <c r="D897" s="381" t="n">
        <v>0</v>
      </c>
      <c r="E897" s="381" t="n">
        <v>0</v>
      </c>
      <c r="F897" s="359" t="n">
        <v>1</v>
      </c>
      <c r="G897" s="380" t="n">
        <v>0</v>
      </c>
      <c r="H897" s="358" t="n">
        <v>0</v>
      </c>
      <c r="I897" s="358" t="n">
        <v>0</v>
      </c>
      <c r="J897" s="358" t="n">
        <v>0</v>
      </c>
      <c r="K897" s="358" t="n">
        <v>0</v>
      </c>
      <c r="L897" s="358" t="n">
        <v>0</v>
      </c>
      <c r="M897" s="381" t="n">
        <v>1</v>
      </c>
      <c r="N897" s="381" t="n">
        <v>0</v>
      </c>
      <c r="O897" s="381" t="n">
        <v>0</v>
      </c>
      <c r="P897" s="359" t="n">
        <v>1</v>
      </c>
    </row>
    <row r="898" customFormat="false" ht="15" hidden="false" customHeight="false" outlineLevel="0" collapsed="false">
      <c r="B898" s="313" t="s">
        <v>2473</v>
      </c>
      <c r="C898" s="379" t="n">
        <v>21</v>
      </c>
      <c r="D898" s="379" t="n">
        <v>0</v>
      </c>
      <c r="E898" s="379" t="n">
        <v>1</v>
      </c>
      <c r="F898" s="357" t="n">
        <v>22</v>
      </c>
      <c r="G898" s="380" t="n">
        <v>1</v>
      </c>
      <c r="H898" s="358" t="n">
        <v>0</v>
      </c>
      <c r="I898" s="358" t="n">
        <v>0</v>
      </c>
      <c r="J898" s="358" t="n">
        <v>0</v>
      </c>
      <c r="K898" s="358" t="n">
        <v>0</v>
      </c>
      <c r="L898" s="358" t="n">
        <v>-1</v>
      </c>
      <c r="M898" s="379" t="n">
        <v>22</v>
      </c>
      <c r="N898" s="379" t="n">
        <v>0</v>
      </c>
      <c r="O898" s="379" t="n">
        <v>0</v>
      </c>
      <c r="P898" s="357" t="n">
        <v>22</v>
      </c>
    </row>
    <row r="899" customFormat="false" ht="15" hidden="true" customHeight="false" outlineLevel="0" collapsed="false">
      <c r="B899" s="360" t="s">
        <v>3608</v>
      </c>
      <c r="C899" s="381" t="n">
        <v>0</v>
      </c>
      <c r="D899" s="381" t="n">
        <v>0</v>
      </c>
      <c r="E899" s="381" t="n">
        <v>1</v>
      </c>
      <c r="F899" s="359" t="n">
        <v>1</v>
      </c>
      <c r="G899" s="380" t="n">
        <v>0</v>
      </c>
      <c r="H899" s="358" t="n">
        <v>0</v>
      </c>
      <c r="I899" s="358" t="n">
        <v>0</v>
      </c>
      <c r="J899" s="358" t="n">
        <v>0</v>
      </c>
      <c r="K899" s="358" t="n">
        <v>0</v>
      </c>
      <c r="L899" s="358" t="n">
        <v>-1</v>
      </c>
      <c r="M899" s="381" t="n">
        <v>0</v>
      </c>
      <c r="N899" s="381" t="n">
        <v>0</v>
      </c>
      <c r="O899" s="381" t="n">
        <v>0</v>
      </c>
      <c r="P899" s="359" t="n">
        <v>0</v>
      </c>
    </row>
    <row r="900" customFormat="false" ht="15" hidden="true" customHeight="false" outlineLevel="0" collapsed="false">
      <c r="B900" s="360" t="s">
        <v>3276</v>
      </c>
      <c r="C900" s="381" t="n">
        <v>1</v>
      </c>
      <c r="D900" s="381" t="n">
        <v>0</v>
      </c>
      <c r="E900" s="381" t="n">
        <v>0</v>
      </c>
      <c r="F900" s="359" t="n">
        <v>1</v>
      </c>
      <c r="G900" s="380" t="n">
        <v>0</v>
      </c>
      <c r="H900" s="358" t="n">
        <v>0</v>
      </c>
      <c r="I900" s="358" t="n">
        <v>0</v>
      </c>
      <c r="J900" s="358" t="n">
        <v>0</v>
      </c>
      <c r="K900" s="358" t="n">
        <v>0</v>
      </c>
      <c r="L900" s="358" t="n">
        <v>0</v>
      </c>
      <c r="M900" s="381" t="n">
        <v>1</v>
      </c>
      <c r="N900" s="381" t="n">
        <v>0</v>
      </c>
      <c r="O900" s="381" t="n">
        <v>0</v>
      </c>
      <c r="P900" s="359" t="n">
        <v>1</v>
      </c>
    </row>
    <row r="901" customFormat="false" ht="15" hidden="true" customHeight="false" outlineLevel="0" collapsed="false">
      <c r="B901" s="360" t="s">
        <v>3277</v>
      </c>
      <c r="C901" s="381" t="n">
        <v>1</v>
      </c>
      <c r="D901" s="381" t="n">
        <v>0</v>
      </c>
      <c r="E901" s="381" t="n">
        <v>0</v>
      </c>
      <c r="F901" s="359" t="n">
        <v>1</v>
      </c>
      <c r="G901" s="380" t="n">
        <v>0</v>
      </c>
      <c r="H901" s="358" t="n">
        <v>0</v>
      </c>
      <c r="I901" s="358" t="n">
        <v>0</v>
      </c>
      <c r="J901" s="358" t="n">
        <v>0</v>
      </c>
      <c r="K901" s="358" t="n">
        <v>0</v>
      </c>
      <c r="L901" s="358" t="n">
        <v>0</v>
      </c>
      <c r="M901" s="381" t="n">
        <v>1</v>
      </c>
      <c r="N901" s="381" t="n">
        <v>0</v>
      </c>
      <c r="O901" s="381" t="n">
        <v>0</v>
      </c>
      <c r="P901" s="359" t="n">
        <v>1</v>
      </c>
    </row>
    <row r="902" customFormat="false" ht="15" hidden="true" customHeight="false" outlineLevel="0" collapsed="false">
      <c r="B902" s="360" t="s">
        <v>3278</v>
      </c>
      <c r="C902" s="381" t="n">
        <v>1</v>
      </c>
      <c r="D902" s="381" t="n">
        <v>0</v>
      </c>
      <c r="E902" s="381" t="n">
        <v>0</v>
      </c>
      <c r="F902" s="359" t="n">
        <v>1</v>
      </c>
      <c r="G902" s="380" t="n">
        <v>0</v>
      </c>
      <c r="H902" s="358" t="n">
        <v>0</v>
      </c>
      <c r="I902" s="358" t="n">
        <v>0</v>
      </c>
      <c r="J902" s="358" t="n">
        <v>0</v>
      </c>
      <c r="K902" s="358" t="n">
        <v>0</v>
      </c>
      <c r="L902" s="358" t="n">
        <v>0</v>
      </c>
      <c r="M902" s="381" t="n">
        <v>1</v>
      </c>
      <c r="N902" s="381" t="n">
        <v>0</v>
      </c>
      <c r="O902" s="381" t="n">
        <v>0</v>
      </c>
      <c r="P902" s="359" t="n">
        <v>1</v>
      </c>
    </row>
    <row r="903" customFormat="false" ht="15" hidden="true" customHeight="false" outlineLevel="0" collapsed="false">
      <c r="B903" s="360" t="s">
        <v>3279</v>
      </c>
      <c r="C903" s="381" t="n">
        <v>1</v>
      </c>
      <c r="D903" s="381" t="n">
        <v>0</v>
      </c>
      <c r="E903" s="381" t="n">
        <v>0</v>
      </c>
      <c r="F903" s="359" t="n">
        <v>1</v>
      </c>
      <c r="G903" s="380" t="n">
        <v>0</v>
      </c>
      <c r="H903" s="358" t="n">
        <v>0</v>
      </c>
      <c r="I903" s="358" t="n">
        <v>0</v>
      </c>
      <c r="J903" s="358" t="n">
        <v>0</v>
      </c>
      <c r="K903" s="358" t="n">
        <v>0</v>
      </c>
      <c r="L903" s="358" t="n">
        <v>0</v>
      </c>
      <c r="M903" s="381" t="n">
        <v>1</v>
      </c>
      <c r="N903" s="381" t="n">
        <v>0</v>
      </c>
      <c r="O903" s="381" t="n">
        <v>0</v>
      </c>
      <c r="P903" s="359" t="n">
        <v>1</v>
      </c>
    </row>
    <row r="904" customFormat="false" ht="15" hidden="true" customHeight="false" outlineLevel="0" collapsed="false">
      <c r="B904" s="360" t="s">
        <v>3280</v>
      </c>
      <c r="C904" s="381" t="n">
        <v>1</v>
      </c>
      <c r="D904" s="381" t="n">
        <v>0</v>
      </c>
      <c r="E904" s="381" t="n">
        <v>0</v>
      </c>
      <c r="F904" s="359" t="n">
        <v>1</v>
      </c>
      <c r="G904" s="380" t="n">
        <v>0</v>
      </c>
      <c r="H904" s="358" t="n">
        <v>0</v>
      </c>
      <c r="I904" s="358" t="n">
        <v>0</v>
      </c>
      <c r="J904" s="358" t="n">
        <v>0</v>
      </c>
      <c r="K904" s="358" t="n">
        <v>0</v>
      </c>
      <c r="L904" s="358" t="n">
        <v>0</v>
      </c>
      <c r="M904" s="381" t="n">
        <v>1</v>
      </c>
      <c r="N904" s="381" t="n">
        <v>0</v>
      </c>
      <c r="O904" s="381" t="n">
        <v>0</v>
      </c>
      <c r="P904" s="359" t="n">
        <v>1</v>
      </c>
    </row>
    <row r="905" customFormat="false" ht="15" hidden="true" customHeight="false" outlineLevel="0" collapsed="false">
      <c r="B905" s="360" t="s">
        <v>3281</v>
      </c>
      <c r="C905" s="381" t="n">
        <v>1</v>
      </c>
      <c r="D905" s="381" t="n">
        <v>0</v>
      </c>
      <c r="E905" s="381" t="n">
        <v>0</v>
      </c>
      <c r="F905" s="359" t="n">
        <v>1</v>
      </c>
      <c r="G905" s="380" t="n">
        <v>0</v>
      </c>
      <c r="H905" s="358" t="n">
        <v>0</v>
      </c>
      <c r="I905" s="358" t="n">
        <v>0</v>
      </c>
      <c r="J905" s="358" t="n">
        <v>0</v>
      </c>
      <c r="K905" s="358" t="n">
        <v>0</v>
      </c>
      <c r="L905" s="358" t="n">
        <v>0</v>
      </c>
      <c r="M905" s="381" t="n">
        <v>1</v>
      </c>
      <c r="N905" s="381" t="n">
        <v>0</v>
      </c>
      <c r="O905" s="381" t="n">
        <v>0</v>
      </c>
      <c r="P905" s="359" t="n">
        <v>1</v>
      </c>
    </row>
    <row r="906" customFormat="false" ht="15" hidden="true" customHeight="false" outlineLevel="0" collapsed="false">
      <c r="B906" s="360" t="s">
        <v>3282</v>
      </c>
      <c r="C906" s="381" t="n">
        <v>1</v>
      </c>
      <c r="D906" s="381" t="n">
        <v>0</v>
      </c>
      <c r="E906" s="381" t="n">
        <v>0</v>
      </c>
      <c r="F906" s="359" t="n">
        <v>1</v>
      </c>
      <c r="G906" s="380" t="n">
        <v>0</v>
      </c>
      <c r="H906" s="358" t="n">
        <v>0</v>
      </c>
      <c r="I906" s="358" t="n">
        <v>0</v>
      </c>
      <c r="J906" s="358" t="n">
        <v>0</v>
      </c>
      <c r="K906" s="358" t="n">
        <v>0</v>
      </c>
      <c r="L906" s="358" t="n">
        <v>0</v>
      </c>
      <c r="M906" s="381" t="n">
        <v>1</v>
      </c>
      <c r="N906" s="381" t="n">
        <v>0</v>
      </c>
      <c r="O906" s="381" t="n">
        <v>0</v>
      </c>
      <c r="P906" s="359" t="n">
        <v>1</v>
      </c>
    </row>
    <row r="907" customFormat="false" ht="15" hidden="true" customHeight="false" outlineLevel="0" collapsed="false">
      <c r="B907" s="360" t="s">
        <v>3283</v>
      </c>
      <c r="C907" s="381" t="n">
        <v>1</v>
      </c>
      <c r="D907" s="381" t="n">
        <v>0</v>
      </c>
      <c r="E907" s="381" t="n">
        <v>0</v>
      </c>
      <c r="F907" s="359" t="n">
        <v>1</v>
      </c>
      <c r="G907" s="380" t="n">
        <v>0</v>
      </c>
      <c r="H907" s="358" t="n">
        <v>0</v>
      </c>
      <c r="I907" s="358" t="n">
        <v>0</v>
      </c>
      <c r="J907" s="358" t="n">
        <v>0</v>
      </c>
      <c r="K907" s="358" t="n">
        <v>0</v>
      </c>
      <c r="L907" s="358" t="n">
        <v>0</v>
      </c>
      <c r="M907" s="381" t="n">
        <v>1</v>
      </c>
      <c r="N907" s="381" t="n">
        <v>0</v>
      </c>
      <c r="O907" s="381" t="n">
        <v>0</v>
      </c>
      <c r="P907" s="359" t="n">
        <v>1</v>
      </c>
    </row>
    <row r="908" customFormat="false" ht="15" hidden="true" customHeight="false" outlineLevel="0" collapsed="false">
      <c r="B908" s="360" t="s">
        <v>3284</v>
      </c>
      <c r="C908" s="381" t="n">
        <v>1</v>
      </c>
      <c r="D908" s="381" t="n">
        <v>0</v>
      </c>
      <c r="E908" s="381" t="n">
        <v>0</v>
      </c>
      <c r="F908" s="359" t="n">
        <v>1</v>
      </c>
      <c r="G908" s="380" t="n">
        <v>0</v>
      </c>
      <c r="H908" s="358" t="n">
        <v>0</v>
      </c>
      <c r="I908" s="358" t="n">
        <v>0</v>
      </c>
      <c r="J908" s="358" t="n">
        <v>0</v>
      </c>
      <c r="K908" s="358" t="n">
        <v>0</v>
      </c>
      <c r="L908" s="358" t="n">
        <v>0</v>
      </c>
      <c r="M908" s="381" t="n">
        <v>1</v>
      </c>
      <c r="N908" s="381" t="n">
        <v>0</v>
      </c>
      <c r="O908" s="381" t="n">
        <v>0</v>
      </c>
      <c r="P908" s="359" t="n">
        <v>1</v>
      </c>
    </row>
    <row r="909" customFormat="false" ht="15" hidden="true" customHeight="false" outlineLevel="0" collapsed="false">
      <c r="B909" s="360" t="s">
        <v>3285</v>
      </c>
      <c r="C909" s="381" t="n">
        <v>1</v>
      </c>
      <c r="D909" s="381" t="n">
        <v>0</v>
      </c>
      <c r="E909" s="381" t="n">
        <v>0</v>
      </c>
      <c r="F909" s="359" t="n">
        <v>1</v>
      </c>
      <c r="G909" s="380" t="n">
        <v>0</v>
      </c>
      <c r="H909" s="358" t="n">
        <v>0</v>
      </c>
      <c r="I909" s="358" t="n">
        <v>0</v>
      </c>
      <c r="J909" s="358" t="n">
        <v>0</v>
      </c>
      <c r="K909" s="358" t="n">
        <v>0</v>
      </c>
      <c r="L909" s="358" t="n">
        <v>0</v>
      </c>
      <c r="M909" s="381" t="n">
        <v>1</v>
      </c>
      <c r="N909" s="381" t="n">
        <v>0</v>
      </c>
      <c r="O909" s="381" t="n">
        <v>0</v>
      </c>
      <c r="P909" s="359" t="n">
        <v>1</v>
      </c>
    </row>
    <row r="910" customFormat="false" ht="15" hidden="true" customHeight="false" outlineLevel="0" collapsed="false">
      <c r="B910" s="360" t="s">
        <v>3286</v>
      </c>
      <c r="C910" s="381" t="n">
        <v>1</v>
      </c>
      <c r="D910" s="381" t="n">
        <v>0</v>
      </c>
      <c r="E910" s="381" t="n">
        <v>0</v>
      </c>
      <c r="F910" s="359" t="n">
        <v>1</v>
      </c>
      <c r="G910" s="380" t="n">
        <v>0</v>
      </c>
      <c r="H910" s="358" t="n">
        <v>0</v>
      </c>
      <c r="I910" s="358" t="n">
        <v>0</v>
      </c>
      <c r="J910" s="358" t="n">
        <v>0</v>
      </c>
      <c r="K910" s="358" t="n">
        <v>0</v>
      </c>
      <c r="L910" s="358" t="n">
        <v>0</v>
      </c>
      <c r="M910" s="381" t="n">
        <v>1</v>
      </c>
      <c r="N910" s="381" t="n">
        <v>0</v>
      </c>
      <c r="O910" s="381" t="n">
        <v>0</v>
      </c>
      <c r="P910" s="359" t="n">
        <v>1</v>
      </c>
    </row>
    <row r="911" customFormat="false" ht="15" hidden="true" customHeight="false" outlineLevel="0" collapsed="false">
      <c r="B911" s="360" t="s">
        <v>3287</v>
      </c>
      <c r="C911" s="381" t="n">
        <v>1</v>
      </c>
      <c r="D911" s="381" t="n">
        <v>0</v>
      </c>
      <c r="E911" s="381" t="n">
        <v>0</v>
      </c>
      <c r="F911" s="359" t="n">
        <v>1</v>
      </c>
      <c r="G911" s="380" t="n">
        <v>0</v>
      </c>
      <c r="H911" s="358" t="n">
        <v>0</v>
      </c>
      <c r="I911" s="358" t="n">
        <v>0</v>
      </c>
      <c r="J911" s="358" t="n">
        <v>0</v>
      </c>
      <c r="K911" s="358" t="n">
        <v>0</v>
      </c>
      <c r="L911" s="358" t="n">
        <v>0</v>
      </c>
      <c r="M911" s="381" t="n">
        <v>1</v>
      </c>
      <c r="N911" s="381" t="n">
        <v>0</v>
      </c>
      <c r="O911" s="381" t="n">
        <v>0</v>
      </c>
      <c r="P911" s="359" t="n">
        <v>1</v>
      </c>
    </row>
    <row r="912" customFormat="false" ht="15" hidden="true" customHeight="false" outlineLevel="0" collapsed="false">
      <c r="B912" s="360" t="s">
        <v>3288</v>
      </c>
      <c r="C912" s="381" t="n">
        <v>1</v>
      </c>
      <c r="D912" s="381" t="n">
        <v>0</v>
      </c>
      <c r="E912" s="381" t="n">
        <v>0</v>
      </c>
      <c r="F912" s="359" t="n">
        <v>1</v>
      </c>
      <c r="G912" s="380" t="n">
        <v>0</v>
      </c>
      <c r="H912" s="358" t="n">
        <v>0</v>
      </c>
      <c r="I912" s="358" t="n">
        <v>0</v>
      </c>
      <c r="J912" s="358" t="n">
        <v>0</v>
      </c>
      <c r="K912" s="358" t="n">
        <v>0</v>
      </c>
      <c r="L912" s="358" t="n">
        <v>0</v>
      </c>
      <c r="M912" s="381" t="n">
        <v>1</v>
      </c>
      <c r="N912" s="381" t="n">
        <v>0</v>
      </c>
      <c r="O912" s="381" t="n">
        <v>0</v>
      </c>
      <c r="P912" s="359" t="n">
        <v>1</v>
      </c>
    </row>
    <row r="913" customFormat="false" ht="15" hidden="true" customHeight="false" outlineLevel="0" collapsed="false">
      <c r="B913" s="360" t="s">
        <v>3289</v>
      </c>
      <c r="C913" s="381" t="n">
        <v>1</v>
      </c>
      <c r="D913" s="381" t="n">
        <v>0</v>
      </c>
      <c r="E913" s="381" t="n">
        <v>0</v>
      </c>
      <c r="F913" s="359" t="n">
        <v>1</v>
      </c>
      <c r="G913" s="380" t="n">
        <v>0</v>
      </c>
      <c r="H913" s="358" t="n">
        <v>0</v>
      </c>
      <c r="I913" s="358" t="n">
        <v>0</v>
      </c>
      <c r="J913" s="358" t="n">
        <v>0</v>
      </c>
      <c r="K913" s="358" t="n">
        <v>0</v>
      </c>
      <c r="L913" s="358" t="n">
        <v>0</v>
      </c>
      <c r="M913" s="381" t="n">
        <v>1</v>
      </c>
      <c r="N913" s="381" t="n">
        <v>0</v>
      </c>
      <c r="O913" s="381" t="n">
        <v>0</v>
      </c>
      <c r="P913" s="359" t="n">
        <v>1</v>
      </c>
    </row>
    <row r="914" customFormat="false" ht="15" hidden="true" customHeight="false" outlineLevel="0" collapsed="false">
      <c r="B914" s="360" t="s">
        <v>3290</v>
      </c>
      <c r="C914" s="381" t="n">
        <v>1</v>
      </c>
      <c r="D914" s="381" t="n">
        <v>0</v>
      </c>
      <c r="E914" s="381" t="n">
        <v>0</v>
      </c>
      <c r="F914" s="359" t="n">
        <v>1</v>
      </c>
      <c r="G914" s="380" t="n">
        <v>0</v>
      </c>
      <c r="H914" s="358" t="n">
        <v>0</v>
      </c>
      <c r="I914" s="358" t="n">
        <v>0</v>
      </c>
      <c r="J914" s="358" t="n">
        <v>0</v>
      </c>
      <c r="K914" s="358" t="n">
        <v>0</v>
      </c>
      <c r="L914" s="358" t="n">
        <v>0</v>
      </c>
      <c r="M914" s="381" t="n">
        <v>1</v>
      </c>
      <c r="N914" s="381" t="n">
        <v>0</v>
      </c>
      <c r="O914" s="381" t="n">
        <v>0</v>
      </c>
      <c r="P914" s="359" t="n">
        <v>1</v>
      </c>
    </row>
    <row r="915" customFormat="false" ht="15" hidden="true" customHeight="false" outlineLevel="0" collapsed="false">
      <c r="B915" s="360" t="s">
        <v>3291</v>
      </c>
      <c r="C915" s="381" t="n">
        <v>1</v>
      </c>
      <c r="D915" s="381" t="n">
        <v>0</v>
      </c>
      <c r="E915" s="381" t="n">
        <v>0</v>
      </c>
      <c r="F915" s="359" t="n">
        <v>1</v>
      </c>
      <c r="G915" s="380" t="n">
        <v>0</v>
      </c>
      <c r="H915" s="358" t="n">
        <v>0</v>
      </c>
      <c r="I915" s="358" t="n">
        <v>0</v>
      </c>
      <c r="J915" s="358" t="n">
        <v>0</v>
      </c>
      <c r="K915" s="358" t="n">
        <v>0</v>
      </c>
      <c r="L915" s="358" t="n">
        <v>0</v>
      </c>
      <c r="M915" s="381" t="n">
        <v>1</v>
      </c>
      <c r="N915" s="381" t="n">
        <v>0</v>
      </c>
      <c r="O915" s="381" t="n">
        <v>0</v>
      </c>
      <c r="P915" s="359" t="n">
        <v>1</v>
      </c>
    </row>
    <row r="916" customFormat="false" ht="15" hidden="true" customHeight="false" outlineLevel="0" collapsed="false">
      <c r="B916" s="361" t="s">
        <v>3292</v>
      </c>
      <c r="C916" s="381" t="n">
        <v>0</v>
      </c>
      <c r="D916" s="381" t="n">
        <v>0</v>
      </c>
      <c r="E916" s="381" t="n">
        <v>0</v>
      </c>
      <c r="F916" s="359" t="n">
        <v>0</v>
      </c>
      <c r="G916" s="380" t="n">
        <v>1</v>
      </c>
      <c r="H916" s="358" t="n">
        <v>0</v>
      </c>
      <c r="I916" s="358" t="n">
        <v>0</v>
      </c>
      <c r="J916" s="358" t="n">
        <v>0</v>
      </c>
      <c r="K916" s="358" t="n">
        <v>0</v>
      </c>
      <c r="L916" s="358" t="n">
        <v>0</v>
      </c>
      <c r="M916" s="381" t="n">
        <v>1</v>
      </c>
      <c r="N916" s="381" t="n">
        <v>0</v>
      </c>
      <c r="O916" s="381" t="n">
        <v>0</v>
      </c>
      <c r="P916" s="359" t="n">
        <v>1</v>
      </c>
    </row>
    <row r="917" customFormat="false" ht="15" hidden="true" customHeight="false" outlineLevel="0" collapsed="false">
      <c r="B917" s="360" t="s">
        <v>3293</v>
      </c>
      <c r="C917" s="381" t="n">
        <v>1</v>
      </c>
      <c r="D917" s="381" t="n">
        <v>0</v>
      </c>
      <c r="E917" s="381" t="n">
        <v>0</v>
      </c>
      <c r="F917" s="359" t="n">
        <v>1</v>
      </c>
      <c r="G917" s="380" t="n">
        <v>0</v>
      </c>
      <c r="H917" s="358" t="n">
        <v>0</v>
      </c>
      <c r="I917" s="358" t="n">
        <v>0</v>
      </c>
      <c r="J917" s="358" t="n">
        <v>0</v>
      </c>
      <c r="K917" s="358" t="n">
        <v>0</v>
      </c>
      <c r="L917" s="358" t="n">
        <v>0</v>
      </c>
      <c r="M917" s="381" t="n">
        <v>1</v>
      </c>
      <c r="N917" s="381" t="n">
        <v>0</v>
      </c>
      <c r="O917" s="381" t="n">
        <v>0</v>
      </c>
      <c r="P917" s="359" t="n">
        <v>1</v>
      </c>
    </row>
    <row r="918" customFormat="false" ht="15" hidden="true" customHeight="false" outlineLevel="0" collapsed="false">
      <c r="B918" s="360" t="s">
        <v>3294</v>
      </c>
      <c r="C918" s="381" t="n">
        <v>1</v>
      </c>
      <c r="D918" s="381" t="n">
        <v>0</v>
      </c>
      <c r="E918" s="381" t="n">
        <v>0</v>
      </c>
      <c r="F918" s="359" t="n">
        <v>1</v>
      </c>
      <c r="G918" s="380" t="n">
        <v>0</v>
      </c>
      <c r="H918" s="358" t="n">
        <v>0</v>
      </c>
      <c r="I918" s="358" t="n">
        <v>0</v>
      </c>
      <c r="J918" s="358" t="n">
        <v>0</v>
      </c>
      <c r="K918" s="358" t="n">
        <v>0</v>
      </c>
      <c r="L918" s="358" t="n">
        <v>0</v>
      </c>
      <c r="M918" s="381" t="n">
        <v>1</v>
      </c>
      <c r="N918" s="381" t="n">
        <v>0</v>
      </c>
      <c r="O918" s="381" t="n">
        <v>0</v>
      </c>
      <c r="P918" s="359" t="n">
        <v>1</v>
      </c>
    </row>
    <row r="919" customFormat="false" ht="15" hidden="true" customHeight="false" outlineLevel="0" collapsed="false">
      <c r="B919" s="360" t="s">
        <v>3295</v>
      </c>
      <c r="C919" s="381" t="n">
        <v>1</v>
      </c>
      <c r="D919" s="381" t="n">
        <v>0</v>
      </c>
      <c r="E919" s="381" t="n">
        <v>0</v>
      </c>
      <c r="F919" s="359" t="n">
        <v>1</v>
      </c>
      <c r="G919" s="380" t="n">
        <v>0</v>
      </c>
      <c r="H919" s="358" t="n">
        <v>0</v>
      </c>
      <c r="I919" s="358" t="n">
        <v>0</v>
      </c>
      <c r="J919" s="358" t="n">
        <v>0</v>
      </c>
      <c r="K919" s="358" t="n">
        <v>0</v>
      </c>
      <c r="L919" s="358" t="n">
        <v>0</v>
      </c>
      <c r="M919" s="381" t="n">
        <v>1</v>
      </c>
      <c r="N919" s="381" t="n">
        <v>0</v>
      </c>
      <c r="O919" s="381" t="n">
        <v>0</v>
      </c>
      <c r="P919" s="359" t="n">
        <v>1</v>
      </c>
    </row>
    <row r="920" customFormat="false" ht="15" hidden="true" customHeight="false" outlineLevel="0" collapsed="false">
      <c r="B920" s="360" t="s">
        <v>3296</v>
      </c>
      <c r="C920" s="381" t="n">
        <v>1</v>
      </c>
      <c r="D920" s="381" t="n">
        <v>0</v>
      </c>
      <c r="E920" s="381" t="n">
        <v>0</v>
      </c>
      <c r="F920" s="359" t="n">
        <v>1</v>
      </c>
      <c r="G920" s="380" t="n">
        <v>0</v>
      </c>
      <c r="H920" s="358" t="n">
        <v>0</v>
      </c>
      <c r="I920" s="358" t="n">
        <v>0</v>
      </c>
      <c r="J920" s="358" t="n">
        <v>0</v>
      </c>
      <c r="K920" s="358" t="n">
        <v>0</v>
      </c>
      <c r="L920" s="358" t="n">
        <v>0</v>
      </c>
      <c r="M920" s="381" t="n">
        <v>1</v>
      </c>
      <c r="N920" s="381" t="n">
        <v>0</v>
      </c>
      <c r="O920" s="381" t="n">
        <v>0</v>
      </c>
      <c r="P920" s="359" t="n">
        <v>1</v>
      </c>
    </row>
    <row r="921" customFormat="false" ht="15" hidden="true" customHeight="false" outlineLevel="0" collapsed="false">
      <c r="B921" s="360" t="s">
        <v>3297</v>
      </c>
      <c r="C921" s="381" t="n">
        <v>1</v>
      </c>
      <c r="D921" s="381" t="n">
        <v>0</v>
      </c>
      <c r="E921" s="381" t="n">
        <v>0</v>
      </c>
      <c r="F921" s="359" t="n">
        <v>1</v>
      </c>
      <c r="G921" s="380" t="n">
        <v>0</v>
      </c>
      <c r="H921" s="358" t="n">
        <v>0</v>
      </c>
      <c r="I921" s="358" t="n">
        <v>0</v>
      </c>
      <c r="J921" s="358" t="n">
        <v>0</v>
      </c>
      <c r="K921" s="358" t="n">
        <v>0</v>
      </c>
      <c r="L921" s="358" t="n">
        <v>0</v>
      </c>
      <c r="M921" s="381" t="n">
        <v>1</v>
      </c>
      <c r="N921" s="381" t="n">
        <v>0</v>
      </c>
      <c r="O921" s="381" t="n">
        <v>0</v>
      </c>
      <c r="P921" s="359" t="n">
        <v>1</v>
      </c>
    </row>
    <row r="922" customFormat="false" ht="15" hidden="false" customHeight="false" outlineLevel="0" collapsed="false">
      <c r="B922" s="356" t="s">
        <v>615</v>
      </c>
      <c r="C922" s="379" t="n">
        <v>72</v>
      </c>
      <c r="D922" s="379" t="n">
        <v>1</v>
      </c>
      <c r="E922" s="379" t="n">
        <v>0</v>
      </c>
      <c r="F922" s="357" t="n">
        <v>73</v>
      </c>
      <c r="G922" s="380" t="n">
        <v>0</v>
      </c>
      <c r="H922" s="358" t="n">
        <v>0</v>
      </c>
      <c r="I922" s="358" t="n">
        <v>0</v>
      </c>
      <c r="J922" s="358" t="n">
        <v>0</v>
      </c>
      <c r="K922" s="358" t="n">
        <v>0</v>
      </c>
      <c r="L922" s="358" t="n">
        <v>0</v>
      </c>
      <c r="M922" s="379" t="n">
        <v>72</v>
      </c>
      <c r="N922" s="379" t="n">
        <v>1</v>
      </c>
      <c r="O922" s="379" t="n">
        <v>0</v>
      </c>
      <c r="P922" s="357" t="n">
        <v>73</v>
      </c>
    </row>
    <row r="923" customFormat="false" ht="15" hidden="true" customHeight="false" outlineLevel="0" collapsed="false">
      <c r="B923" s="360" t="s">
        <v>3579</v>
      </c>
      <c r="C923" s="381" t="n">
        <v>0</v>
      </c>
      <c r="D923" s="381" t="n">
        <v>1</v>
      </c>
      <c r="E923" s="381" t="n">
        <v>0</v>
      </c>
      <c r="F923" s="359" t="n">
        <v>1</v>
      </c>
      <c r="G923" s="380" t="n">
        <v>0</v>
      </c>
      <c r="H923" s="358" t="n">
        <v>0</v>
      </c>
      <c r="I923" s="358" t="n">
        <v>0</v>
      </c>
      <c r="J923" s="358" t="n">
        <v>0</v>
      </c>
      <c r="K923" s="358" t="n">
        <v>0</v>
      </c>
      <c r="L923" s="358" t="n">
        <v>0</v>
      </c>
      <c r="M923" s="381" t="n">
        <v>0</v>
      </c>
      <c r="N923" s="381" t="n">
        <v>1</v>
      </c>
      <c r="O923" s="381" t="n">
        <v>0</v>
      </c>
      <c r="P923" s="359" t="n">
        <v>1</v>
      </c>
    </row>
    <row r="924" customFormat="false" ht="15" hidden="true" customHeight="false" outlineLevel="0" collapsed="false">
      <c r="B924" s="360" t="s">
        <v>3298</v>
      </c>
      <c r="C924" s="381" t="n">
        <v>1</v>
      </c>
      <c r="D924" s="381" t="n">
        <v>0</v>
      </c>
      <c r="E924" s="381" t="n">
        <v>0</v>
      </c>
      <c r="F924" s="359" t="n">
        <v>1</v>
      </c>
      <c r="G924" s="380" t="n">
        <v>0</v>
      </c>
      <c r="H924" s="358" t="n">
        <v>0</v>
      </c>
      <c r="I924" s="358" t="n">
        <v>0</v>
      </c>
      <c r="J924" s="358" t="n">
        <v>0</v>
      </c>
      <c r="K924" s="358" t="n">
        <v>0</v>
      </c>
      <c r="L924" s="358" t="n">
        <v>0</v>
      </c>
      <c r="M924" s="381" t="n">
        <v>1</v>
      </c>
      <c r="N924" s="381" t="n">
        <v>0</v>
      </c>
      <c r="O924" s="381" t="n">
        <v>0</v>
      </c>
      <c r="P924" s="359" t="n">
        <v>1</v>
      </c>
    </row>
    <row r="925" customFormat="false" ht="15" hidden="true" customHeight="false" outlineLevel="0" collapsed="false">
      <c r="B925" s="360" t="s">
        <v>3299</v>
      </c>
      <c r="C925" s="381" t="n">
        <v>1</v>
      </c>
      <c r="D925" s="381" t="n">
        <v>0</v>
      </c>
      <c r="E925" s="381" t="n">
        <v>0</v>
      </c>
      <c r="F925" s="359" t="n">
        <v>1</v>
      </c>
      <c r="G925" s="380" t="n">
        <v>0</v>
      </c>
      <c r="H925" s="358" t="n">
        <v>0</v>
      </c>
      <c r="I925" s="358" t="n">
        <v>0</v>
      </c>
      <c r="J925" s="358" t="n">
        <v>0</v>
      </c>
      <c r="K925" s="358" t="n">
        <v>0</v>
      </c>
      <c r="L925" s="358" t="n">
        <v>0</v>
      </c>
      <c r="M925" s="381" t="n">
        <v>1</v>
      </c>
      <c r="N925" s="381" t="n">
        <v>0</v>
      </c>
      <c r="O925" s="381" t="n">
        <v>0</v>
      </c>
      <c r="P925" s="359" t="n">
        <v>1</v>
      </c>
    </row>
    <row r="926" customFormat="false" ht="15" hidden="true" customHeight="false" outlineLevel="0" collapsed="false">
      <c r="B926" s="360" t="s">
        <v>3300</v>
      </c>
      <c r="C926" s="381" t="n">
        <v>1</v>
      </c>
      <c r="D926" s="381" t="n">
        <v>0</v>
      </c>
      <c r="E926" s="381" t="n">
        <v>0</v>
      </c>
      <c r="F926" s="359" t="n">
        <v>1</v>
      </c>
      <c r="G926" s="380" t="n">
        <v>0</v>
      </c>
      <c r="H926" s="358" t="n">
        <v>0</v>
      </c>
      <c r="I926" s="358" t="n">
        <v>0</v>
      </c>
      <c r="J926" s="358" t="n">
        <v>0</v>
      </c>
      <c r="K926" s="358" t="n">
        <v>0</v>
      </c>
      <c r="L926" s="358" t="n">
        <v>0</v>
      </c>
      <c r="M926" s="381" t="n">
        <v>1</v>
      </c>
      <c r="N926" s="381" t="n">
        <v>0</v>
      </c>
      <c r="O926" s="381" t="n">
        <v>0</v>
      </c>
      <c r="P926" s="359" t="n">
        <v>1</v>
      </c>
    </row>
    <row r="927" customFormat="false" ht="15" hidden="true" customHeight="false" outlineLevel="0" collapsed="false">
      <c r="B927" s="360" t="s">
        <v>3301</v>
      </c>
      <c r="C927" s="381" t="n">
        <v>1</v>
      </c>
      <c r="D927" s="381" t="n">
        <v>0</v>
      </c>
      <c r="E927" s="381" t="n">
        <v>0</v>
      </c>
      <c r="F927" s="359" t="n">
        <v>1</v>
      </c>
      <c r="G927" s="380" t="n">
        <v>0</v>
      </c>
      <c r="H927" s="358" t="n">
        <v>0</v>
      </c>
      <c r="I927" s="358" t="n">
        <v>0</v>
      </c>
      <c r="J927" s="358" t="n">
        <v>0</v>
      </c>
      <c r="K927" s="358" t="n">
        <v>0</v>
      </c>
      <c r="L927" s="358" t="n">
        <v>0</v>
      </c>
      <c r="M927" s="381" t="n">
        <v>1</v>
      </c>
      <c r="N927" s="381" t="n">
        <v>0</v>
      </c>
      <c r="O927" s="381" t="n">
        <v>0</v>
      </c>
      <c r="P927" s="359" t="n">
        <v>1</v>
      </c>
    </row>
    <row r="928" customFormat="false" ht="15" hidden="true" customHeight="false" outlineLevel="0" collapsed="false">
      <c r="B928" s="360" t="s">
        <v>3302</v>
      </c>
      <c r="C928" s="381" t="n">
        <v>1</v>
      </c>
      <c r="D928" s="381" t="n">
        <v>0</v>
      </c>
      <c r="E928" s="381" t="n">
        <v>0</v>
      </c>
      <c r="F928" s="359" t="n">
        <v>1</v>
      </c>
      <c r="G928" s="380" t="n">
        <v>0</v>
      </c>
      <c r="H928" s="358" t="n">
        <v>0</v>
      </c>
      <c r="I928" s="358" t="n">
        <v>0</v>
      </c>
      <c r="J928" s="358" t="n">
        <v>0</v>
      </c>
      <c r="K928" s="358" t="n">
        <v>0</v>
      </c>
      <c r="L928" s="358" t="n">
        <v>0</v>
      </c>
      <c r="M928" s="381" t="n">
        <v>1</v>
      </c>
      <c r="N928" s="381" t="n">
        <v>0</v>
      </c>
      <c r="O928" s="381" t="n">
        <v>0</v>
      </c>
      <c r="P928" s="359" t="n">
        <v>1</v>
      </c>
    </row>
    <row r="929" customFormat="false" ht="15" hidden="true" customHeight="false" outlineLevel="0" collapsed="false">
      <c r="B929" s="360" t="s">
        <v>3303</v>
      </c>
      <c r="C929" s="381" t="n">
        <v>1</v>
      </c>
      <c r="D929" s="381" t="n">
        <v>0</v>
      </c>
      <c r="E929" s="381" t="n">
        <v>0</v>
      </c>
      <c r="F929" s="359" t="n">
        <v>1</v>
      </c>
      <c r="G929" s="380" t="n">
        <v>0</v>
      </c>
      <c r="H929" s="358" t="n">
        <v>0</v>
      </c>
      <c r="I929" s="358" t="n">
        <v>0</v>
      </c>
      <c r="J929" s="358" t="n">
        <v>0</v>
      </c>
      <c r="K929" s="358" t="n">
        <v>0</v>
      </c>
      <c r="L929" s="358" t="n">
        <v>0</v>
      </c>
      <c r="M929" s="381" t="n">
        <v>1</v>
      </c>
      <c r="N929" s="381" t="n">
        <v>0</v>
      </c>
      <c r="O929" s="381" t="n">
        <v>0</v>
      </c>
      <c r="P929" s="359" t="n">
        <v>1</v>
      </c>
    </row>
    <row r="930" customFormat="false" ht="15" hidden="true" customHeight="false" outlineLevel="0" collapsed="false">
      <c r="B930" s="360" t="s">
        <v>3304</v>
      </c>
      <c r="C930" s="381" t="n">
        <v>1</v>
      </c>
      <c r="D930" s="381" t="n">
        <v>0</v>
      </c>
      <c r="E930" s="381" t="n">
        <v>0</v>
      </c>
      <c r="F930" s="359" t="n">
        <v>1</v>
      </c>
      <c r="G930" s="380" t="n">
        <v>0</v>
      </c>
      <c r="H930" s="358" t="n">
        <v>0</v>
      </c>
      <c r="I930" s="358" t="n">
        <v>0</v>
      </c>
      <c r="J930" s="358" t="n">
        <v>0</v>
      </c>
      <c r="K930" s="358" t="n">
        <v>0</v>
      </c>
      <c r="L930" s="358" t="n">
        <v>0</v>
      </c>
      <c r="M930" s="381" t="n">
        <v>1</v>
      </c>
      <c r="N930" s="381" t="n">
        <v>0</v>
      </c>
      <c r="O930" s="381" t="n">
        <v>0</v>
      </c>
      <c r="P930" s="359" t="n">
        <v>1</v>
      </c>
    </row>
    <row r="931" customFormat="false" ht="15" hidden="true" customHeight="false" outlineLevel="0" collapsed="false">
      <c r="B931" s="360" t="s">
        <v>3305</v>
      </c>
      <c r="C931" s="381" t="n">
        <v>1</v>
      </c>
      <c r="D931" s="381" t="n">
        <v>0</v>
      </c>
      <c r="E931" s="381" t="n">
        <v>0</v>
      </c>
      <c r="F931" s="359" t="n">
        <v>1</v>
      </c>
      <c r="G931" s="380" t="n">
        <v>0</v>
      </c>
      <c r="H931" s="358" t="n">
        <v>0</v>
      </c>
      <c r="I931" s="358" t="n">
        <v>0</v>
      </c>
      <c r="J931" s="358" t="n">
        <v>0</v>
      </c>
      <c r="K931" s="358" t="n">
        <v>0</v>
      </c>
      <c r="L931" s="358" t="n">
        <v>0</v>
      </c>
      <c r="M931" s="381" t="n">
        <v>1</v>
      </c>
      <c r="N931" s="381" t="n">
        <v>0</v>
      </c>
      <c r="O931" s="381" t="n">
        <v>0</v>
      </c>
      <c r="P931" s="359" t="n">
        <v>1</v>
      </c>
    </row>
    <row r="932" customFormat="false" ht="15" hidden="true" customHeight="false" outlineLevel="0" collapsed="false">
      <c r="B932" s="360" t="s">
        <v>3306</v>
      </c>
      <c r="C932" s="381" t="n">
        <v>1</v>
      </c>
      <c r="D932" s="381" t="n">
        <v>0</v>
      </c>
      <c r="E932" s="381" t="n">
        <v>0</v>
      </c>
      <c r="F932" s="359" t="n">
        <v>1</v>
      </c>
      <c r="G932" s="380" t="n">
        <v>0</v>
      </c>
      <c r="H932" s="358" t="n">
        <v>0</v>
      </c>
      <c r="I932" s="358" t="n">
        <v>0</v>
      </c>
      <c r="J932" s="358" t="n">
        <v>0</v>
      </c>
      <c r="K932" s="358" t="n">
        <v>0</v>
      </c>
      <c r="L932" s="358" t="n">
        <v>0</v>
      </c>
      <c r="M932" s="381" t="n">
        <v>1</v>
      </c>
      <c r="N932" s="381" t="n">
        <v>0</v>
      </c>
      <c r="O932" s="381" t="n">
        <v>0</v>
      </c>
      <c r="P932" s="359" t="n">
        <v>1</v>
      </c>
    </row>
    <row r="933" customFormat="false" ht="15" hidden="true" customHeight="false" outlineLevel="0" collapsed="false">
      <c r="B933" s="360" t="s">
        <v>3307</v>
      </c>
      <c r="C933" s="381" t="n">
        <v>1</v>
      </c>
      <c r="D933" s="381" t="n">
        <v>0</v>
      </c>
      <c r="E933" s="381" t="n">
        <v>0</v>
      </c>
      <c r="F933" s="359" t="n">
        <v>1</v>
      </c>
      <c r="G933" s="380" t="n">
        <v>0</v>
      </c>
      <c r="H933" s="358" t="n">
        <v>0</v>
      </c>
      <c r="I933" s="358" t="n">
        <v>0</v>
      </c>
      <c r="J933" s="358" t="n">
        <v>0</v>
      </c>
      <c r="K933" s="358" t="n">
        <v>0</v>
      </c>
      <c r="L933" s="358" t="n">
        <v>0</v>
      </c>
      <c r="M933" s="381" t="n">
        <v>1</v>
      </c>
      <c r="N933" s="381" t="n">
        <v>0</v>
      </c>
      <c r="O933" s="381" t="n">
        <v>0</v>
      </c>
      <c r="P933" s="359" t="n">
        <v>1</v>
      </c>
    </row>
    <row r="934" customFormat="false" ht="15" hidden="true" customHeight="false" outlineLevel="0" collapsed="false">
      <c r="B934" s="360" t="s">
        <v>3308</v>
      </c>
      <c r="C934" s="381" t="n">
        <v>1</v>
      </c>
      <c r="D934" s="381" t="n">
        <v>0</v>
      </c>
      <c r="E934" s="381" t="n">
        <v>0</v>
      </c>
      <c r="F934" s="359" t="n">
        <v>1</v>
      </c>
      <c r="G934" s="380" t="n">
        <v>0</v>
      </c>
      <c r="H934" s="358" t="n">
        <v>0</v>
      </c>
      <c r="I934" s="358" t="n">
        <v>0</v>
      </c>
      <c r="J934" s="358" t="n">
        <v>0</v>
      </c>
      <c r="K934" s="358" t="n">
        <v>0</v>
      </c>
      <c r="L934" s="358" t="n">
        <v>0</v>
      </c>
      <c r="M934" s="381" t="n">
        <v>1</v>
      </c>
      <c r="N934" s="381" t="n">
        <v>0</v>
      </c>
      <c r="O934" s="381" t="n">
        <v>0</v>
      </c>
      <c r="P934" s="359" t="n">
        <v>1</v>
      </c>
    </row>
    <row r="935" customFormat="false" ht="15" hidden="true" customHeight="false" outlineLevel="0" collapsed="false">
      <c r="B935" s="360" t="s">
        <v>3309</v>
      </c>
      <c r="C935" s="381" t="n">
        <v>1</v>
      </c>
      <c r="D935" s="381" t="n">
        <v>0</v>
      </c>
      <c r="E935" s="381" t="n">
        <v>0</v>
      </c>
      <c r="F935" s="359" t="n">
        <v>1</v>
      </c>
      <c r="G935" s="380" t="n">
        <v>0</v>
      </c>
      <c r="H935" s="358" t="n">
        <v>0</v>
      </c>
      <c r="I935" s="358" t="n">
        <v>0</v>
      </c>
      <c r="J935" s="358" t="n">
        <v>0</v>
      </c>
      <c r="K935" s="358" t="n">
        <v>0</v>
      </c>
      <c r="L935" s="358" t="n">
        <v>0</v>
      </c>
      <c r="M935" s="381" t="n">
        <v>1</v>
      </c>
      <c r="N935" s="381" t="n">
        <v>0</v>
      </c>
      <c r="O935" s="381" t="n">
        <v>0</v>
      </c>
      <c r="P935" s="359" t="n">
        <v>1</v>
      </c>
    </row>
    <row r="936" customFormat="false" ht="15" hidden="true" customHeight="false" outlineLevel="0" collapsed="false">
      <c r="B936" s="360" t="s">
        <v>3310</v>
      </c>
      <c r="C936" s="381" t="n">
        <v>1</v>
      </c>
      <c r="D936" s="381" t="n">
        <v>0</v>
      </c>
      <c r="E936" s="381" t="n">
        <v>0</v>
      </c>
      <c r="F936" s="359" t="n">
        <v>1</v>
      </c>
      <c r="G936" s="380" t="n">
        <v>0</v>
      </c>
      <c r="H936" s="358" t="n">
        <v>0</v>
      </c>
      <c r="I936" s="358" t="n">
        <v>0</v>
      </c>
      <c r="J936" s="358" t="n">
        <v>0</v>
      </c>
      <c r="K936" s="358" t="n">
        <v>0</v>
      </c>
      <c r="L936" s="358" t="n">
        <v>0</v>
      </c>
      <c r="M936" s="381" t="n">
        <v>1</v>
      </c>
      <c r="N936" s="381" t="n">
        <v>0</v>
      </c>
      <c r="O936" s="381" t="n">
        <v>0</v>
      </c>
      <c r="P936" s="359" t="n">
        <v>1</v>
      </c>
    </row>
    <row r="937" customFormat="false" ht="15" hidden="true" customHeight="false" outlineLevel="0" collapsed="false">
      <c r="B937" s="360" t="s">
        <v>3311</v>
      </c>
      <c r="C937" s="381" t="n">
        <v>1</v>
      </c>
      <c r="D937" s="381" t="n">
        <v>0</v>
      </c>
      <c r="E937" s="381" t="n">
        <v>0</v>
      </c>
      <c r="F937" s="359" t="n">
        <v>1</v>
      </c>
      <c r="G937" s="380" t="n">
        <v>0</v>
      </c>
      <c r="H937" s="358" t="n">
        <v>0</v>
      </c>
      <c r="I937" s="358" t="n">
        <v>0</v>
      </c>
      <c r="J937" s="358" t="n">
        <v>0</v>
      </c>
      <c r="K937" s="358" t="n">
        <v>0</v>
      </c>
      <c r="L937" s="358" t="n">
        <v>0</v>
      </c>
      <c r="M937" s="381" t="n">
        <v>1</v>
      </c>
      <c r="N937" s="381" t="n">
        <v>0</v>
      </c>
      <c r="O937" s="381" t="n">
        <v>0</v>
      </c>
      <c r="P937" s="359" t="n">
        <v>1</v>
      </c>
    </row>
    <row r="938" customFormat="false" ht="15" hidden="true" customHeight="false" outlineLevel="0" collapsed="false">
      <c r="B938" s="360" t="s">
        <v>3312</v>
      </c>
      <c r="C938" s="381" t="n">
        <v>1</v>
      </c>
      <c r="D938" s="381" t="n">
        <v>0</v>
      </c>
      <c r="E938" s="381" t="n">
        <v>0</v>
      </c>
      <c r="F938" s="359" t="n">
        <v>1</v>
      </c>
      <c r="G938" s="380" t="n">
        <v>0</v>
      </c>
      <c r="H938" s="358" t="n">
        <v>0</v>
      </c>
      <c r="I938" s="358" t="n">
        <v>0</v>
      </c>
      <c r="J938" s="358" t="n">
        <v>0</v>
      </c>
      <c r="K938" s="358" t="n">
        <v>0</v>
      </c>
      <c r="L938" s="358" t="n">
        <v>0</v>
      </c>
      <c r="M938" s="381" t="n">
        <v>1</v>
      </c>
      <c r="N938" s="381" t="n">
        <v>0</v>
      </c>
      <c r="O938" s="381" t="n">
        <v>0</v>
      </c>
      <c r="P938" s="359" t="n">
        <v>1</v>
      </c>
    </row>
    <row r="939" customFormat="false" ht="15" hidden="true" customHeight="false" outlineLevel="0" collapsed="false">
      <c r="B939" s="360" t="s">
        <v>3313</v>
      </c>
      <c r="C939" s="381" t="n">
        <v>1</v>
      </c>
      <c r="D939" s="381" t="n">
        <v>0</v>
      </c>
      <c r="E939" s="381" t="n">
        <v>0</v>
      </c>
      <c r="F939" s="359" t="n">
        <v>1</v>
      </c>
      <c r="G939" s="380" t="n">
        <v>0</v>
      </c>
      <c r="H939" s="358" t="n">
        <v>0</v>
      </c>
      <c r="I939" s="358" t="n">
        <v>0</v>
      </c>
      <c r="J939" s="358" t="n">
        <v>0</v>
      </c>
      <c r="K939" s="358" t="n">
        <v>0</v>
      </c>
      <c r="L939" s="358" t="n">
        <v>0</v>
      </c>
      <c r="M939" s="381" t="n">
        <v>1</v>
      </c>
      <c r="N939" s="381" t="n">
        <v>0</v>
      </c>
      <c r="O939" s="381" t="n">
        <v>0</v>
      </c>
      <c r="P939" s="359" t="n">
        <v>1</v>
      </c>
    </row>
    <row r="940" customFormat="false" ht="15" hidden="true" customHeight="false" outlineLevel="0" collapsed="false">
      <c r="B940" s="360" t="s">
        <v>3314</v>
      </c>
      <c r="C940" s="381" t="n">
        <v>1</v>
      </c>
      <c r="D940" s="381" t="n">
        <v>0</v>
      </c>
      <c r="E940" s="381" t="n">
        <v>0</v>
      </c>
      <c r="F940" s="359" t="n">
        <v>1</v>
      </c>
      <c r="G940" s="380" t="n">
        <v>0</v>
      </c>
      <c r="H940" s="358" t="n">
        <v>0</v>
      </c>
      <c r="I940" s="358" t="n">
        <v>0</v>
      </c>
      <c r="J940" s="358" t="n">
        <v>0</v>
      </c>
      <c r="K940" s="358" t="n">
        <v>0</v>
      </c>
      <c r="L940" s="358" t="n">
        <v>0</v>
      </c>
      <c r="M940" s="381" t="n">
        <v>1</v>
      </c>
      <c r="N940" s="381" t="n">
        <v>0</v>
      </c>
      <c r="O940" s="381" t="n">
        <v>0</v>
      </c>
      <c r="P940" s="359" t="n">
        <v>1</v>
      </c>
    </row>
    <row r="941" customFormat="false" ht="15" hidden="true" customHeight="false" outlineLevel="0" collapsed="false">
      <c r="B941" s="360" t="s">
        <v>3315</v>
      </c>
      <c r="C941" s="381" t="n">
        <v>1</v>
      </c>
      <c r="D941" s="381" t="n">
        <v>0</v>
      </c>
      <c r="E941" s="381" t="n">
        <v>0</v>
      </c>
      <c r="F941" s="359" t="n">
        <v>1</v>
      </c>
      <c r="G941" s="380" t="n">
        <v>0</v>
      </c>
      <c r="H941" s="358" t="n">
        <v>0</v>
      </c>
      <c r="I941" s="358" t="n">
        <v>0</v>
      </c>
      <c r="J941" s="358" t="n">
        <v>0</v>
      </c>
      <c r="K941" s="358" t="n">
        <v>0</v>
      </c>
      <c r="L941" s="358" t="n">
        <v>0</v>
      </c>
      <c r="M941" s="381" t="n">
        <v>1</v>
      </c>
      <c r="N941" s="381" t="n">
        <v>0</v>
      </c>
      <c r="O941" s="381" t="n">
        <v>0</v>
      </c>
      <c r="P941" s="359" t="n">
        <v>1</v>
      </c>
    </row>
    <row r="942" customFormat="false" ht="15" hidden="true" customHeight="false" outlineLevel="0" collapsed="false">
      <c r="B942" s="360" t="s">
        <v>3316</v>
      </c>
      <c r="C942" s="381" t="n">
        <v>1</v>
      </c>
      <c r="D942" s="381" t="n">
        <v>0</v>
      </c>
      <c r="E942" s="381" t="n">
        <v>0</v>
      </c>
      <c r="F942" s="359" t="n">
        <v>1</v>
      </c>
      <c r="G942" s="380" t="n">
        <v>0</v>
      </c>
      <c r="H942" s="358" t="n">
        <v>0</v>
      </c>
      <c r="I942" s="358" t="n">
        <v>0</v>
      </c>
      <c r="J942" s="358" t="n">
        <v>0</v>
      </c>
      <c r="K942" s="358" t="n">
        <v>0</v>
      </c>
      <c r="L942" s="358" t="n">
        <v>0</v>
      </c>
      <c r="M942" s="381" t="n">
        <v>1</v>
      </c>
      <c r="N942" s="381" t="n">
        <v>0</v>
      </c>
      <c r="O942" s="381" t="n">
        <v>0</v>
      </c>
      <c r="P942" s="359" t="n">
        <v>1</v>
      </c>
    </row>
    <row r="943" customFormat="false" ht="15" hidden="true" customHeight="false" outlineLevel="0" collapsed="false">
      <c r="B943" s="360" t="s">
        <v>3317</v>
      </c>
      <c r="C943" s="381" t="n">
        <v>1</v>
      </c>
      <c r="D943" s="381" t="n">
        <v>0</v>
      </c>
      <c r="E943" s="381" t="n">
        <v>0</v>
      </c>
      <c r="F943" s="359" t="n">
        <v>1</v>
      </c>
      <c r="G943" s="380" t="n">
        <v>0</v>
      </c>
      <c r="H943" s="358" t="n">
        <v>0</v>
      </c>
      <c r="I943" s="358" t="n">
        <v>0</v>
      </c>
      <c r="J943" s="358" t="n">
        <v>0</v>
      </c>
      <c r="K943" s="358" t="n">
        <v>0</v>
      </c>
      <c r="L943" s="358" t="n">
        <v>0</v>
      </c>
      <c r="M943" s="381" t="n">
        <v>1</v>
      </c>
      <c r="N943" s="381" t="n">
        <v>0</v>
      </c>
      <c r="O943" s="381" t="n">
        <v>0</v>
      </c>
      <c r="P943" s="359" t="n">
        <v>1</v>
      </c>
    </row>
    <row r="944" customFormat="false" ht="15" hidden="true" customHeight="false" outlineLevel="0" collapsed="false">
      <c r="B944" s="360" t="s">
        <v>3318</v>
      </c>
      <c r="C944" s="381" t="n">
        <v>1</v>
      </c>
      <c r="D944" s="381" t="n">
        <v>0</v>
      </c>
      <c r="E944" s="381" t="n">
        <v>0</v>
      </c>
      <c r="F944" s="359" t="n">
        <v>1</v>
      </c>
      <c r="G944" s="380" t="n">
        <v>0</v>
      </c>
      <c r="H944" s="358" t="n">
        <v>0</v>
      </c>
      <c r="I944" s="358" t="n">
        <v>0</v>
      </c>
      <c r="J944" s="358" t="n">
        <v>0</v>
      </c>
      <c r="K944" s="358" t="n">
        <v>0</v>
      </c>
      <c r="L944" s="358" t="n">
        <v>0</v>
      </c>
      <c r="M944" s="381" t="n">
        <v>1</v>
      </c>
      <c r="N944" s="381" t="n">
        <v>0</v>
      </c>
      <c r="O944" s="381" t="n">
        <v>0</v>
      </c>
      <c r="P944" s="359" t="n">
        <v>1</v>
      </c>
    </row>
    <row r="945" customFormat="false" ht="15" hidden="true" customHeight="false" outlineLevel="0" collapsed="false">
      <c r="B945" s="360" t="s">
        <v>3319</v>
      </c>
      <c r="C945" s="381" t="n">
        <v>1</v>
      </c>
      <c r="D945" s="381" t="n">
        <v>0</v>
      </c>
      <c r="E945" s="381" t="n">
        <v>0</v>
      </c>
      <c r="F945" s="359" t="n">
        <v>1</v>
      </c>
      <c r="G945" s="380" t="n">
        <v>0</v>
      </c>
      <c r="H945" s="358" t="n">
        <v>0</v>
      </c>
      <c r="I945" s="358" t="n">
        <v>0</v>
      </c>
      <c r="J945" s="358" t="n">
        <v>0</v>
      </c>
      <c r="K945" s="358" t="n">
        <v>0</v>
      </c>
      <c r="L945" s="358" t="n">
        <v>0</v>
      </c>
      <c r="M945" s="381" t="n">
        <v>1</v>
      </c>
      <c r="N945" s="381" t="n">
        <v>0</v>
      </c>
      <c r="O945" s="381" t="n">
        <v>0</v>
      </c>
      <c r="P945" s="359" t="n">
        <v>1</v>
      </c>
    </row>
    <row r="946" customFormat="false" ht="15" hidden="true" customHeight="false" outlineLevel="0" collapsed="false">
      <c r="B946" s="360" t="s">
        <v>3320</v>
      </c>
      <c r="C946" s="381" t="n">
        <v>1</v>
      </c>
      <c r="D946" s="381" t="n">
        <v>0</v>
      </c>
      <c r="E946" s="381" t="n">
        <v>0</v>
      </c>
      <c r="F946" s="359" t="n">
        <v>1</v>
      </c>
      <c r="G946" s="380" t="n">
        <v>0</v>
      </c>
      <c r="H946" s="358" t="n">
        <v>0</v>
      </c>
      <c r="I946" s="358" t="n">
        <v>0</v>
      </c>
      <c r="J946" s="358" t="n">
        <v>0</v>
      </c>
      <c r="K946" s="358" t="n">
        <v>0</v>
      </c>
      <c r="L946" s="358" t="n">
        <v>0</v>
      </c>
      <c r="M946" s="381" t="n">
        <v>1</v>
      </c>
      <c r="N946" s="381" t="n">
        <v>0</v>
      </c>
      <c r="O946" s="381" t="n">
        <v>0</v>
      </c>
      <c r="P946" s="359" t="n">
        <v>1</v>
      </c>
    </row>
    <row r="947" customFormat="false" ht="15" hidden="true" customHeight="false" outlineLevel="0" collapsed="false">
      <c r="B947" s="360" t="s">
        <v>3321</v>
      </c>
      <c r="C947" s="381" t="n">
        <v>1</v>
      </c>
      <c r="D947" s="381" t="n">
        <v>0</v>
      </c>
      <c r="E947" s="381" t="n">
        <v>0</v>
      </c>
      <c r="F947" s="359" t="n">
        <v>1</v>
      </c>
      <c r="G947" s="380" t="n">
        <v>0</v>
      </c>
      <c r="H947" s="358" t="n">
        <v>0</v>
      </c>
      <c r="I947" s="358" t="n">
        <v>0</v>
      </c>
      <c r="J947" s="358" t="n">
        <v>0</v>
      </c>
      <c r="K947" s="358" t="n">
        <v>0</v>
      </c>
      <c r="L947" s="358" t="n">
        <v>0</v>
      </c>
      <c r="M947" s="381" t="n">
        <v>1</v>
      </c>
      <c r="N947" s="381" t="n">
        <v>0</v>
      </c>
      <c r="O947" s="381" t="n">
        <v>0</v>
      </c>
      <c r="P947" s="359" t="n">
        <v>1</v>
      </c>
    </row>
    <row r="948" customFormat="false" ht="15" hidden="true" customHeight="false" outlineLevel="0" collapsed="false">
      <c r="B948" s="360" t="s">
        <v>3322</v>
      </c>
      <c r="C948" s="381" t="n">
        <v>1</v>
      </c>
      <c r="D948" s="381" t="n">
        <v>0</v>
      </c>
      <c r="E948" s="381" t="n">
        <v>0</v>
      </c>
      <c r="F948" s="359" t="n">
        <v>1</v>
      </c>
      <c r="G948" s="380" t="n">
        <v>0</v>
      </c>
      <c r="H948" s="358" t="n">
        <v>0</v>
      </c>
      <c r="I948" s="358" t="n">
        <v>0</v>
      </c>
      <c r="J948" s="358" t="n">
        <v>0</v>
      </c>
      <c r="K948" s="358" t="n">
        <v>0</v>
      </c>
      <c r="L948" s="358" t="n">
        <v>0</v>
      </c>
      <c r="M948" s="381" t="n">
        <v>1</v>
      </c>
      <c r="N948" s="381" t="n">
        <v>0</v>
      </c>
      <c r="O948" s="381" t="n">
        <v>0</v>
      </c>
      <c r="P948" s="359" t="n">
        <v>1</v>
      </c>
    </row>
    <row r="949" customFormat="false" ht="15" hidden="true" customHeight="false" outlineLevel="0" collapsed="false">
      <c r="B949" s="360" t="s">
        <v>3323</v>
      </c>
      <c r="C949" s="381" t="n">
        <v>1</v>
      </c>
      <c r="D949" s="381" t="n">
        <v>0</v>
      </c>
      <c r="E949" s="381" t="n">
        <v>0</v>
      </c>
      <c r="F949" s="359" t="n">
        <v>1</v>
      </c>
      <c r="G949" s="380" t="n">
        <v>0</v>
      </c>
      <c r="H949" s="358" t="n">
        <v>0</v>
      </c>
      <c r="I949" s="358" t="n">
        <v>0</v>
      </c>
      <c r="J949" s="358" t="n">
        <v>0</v>
      </c>
      <c r="K949" s="358" t="n">
        <v>0</v>
      </c>
      <c r="L949" s="358" t="n">
        <v>0</v>
      </c>
      <c r="M949" s="381" t="n">
        <v>1</v>
      </c>
      <c r="N949" s="381" t="n">
        <v>0</v>
      </c>
      <c r="O949" s="381" t="n">
        <v>0</v>
      </c>
      <c r="P949" s="359" t="n">
        <v>1</v>
      </c>
    </row>
    <row r="950" customFormat="false" ht="15" hidden="true" customHeight="false" outlineLevel="0" collapsed="false">
      <c r="B950" s="360" t="s">
        <v>3324</v>
      </c>
      <c r="C950" s="381" t="n">
        <v>1</v>
      </c>
      <c r="D950" s="381" t="n">
        <v>0</v>
      </c>
      <c r="E950" s="381" t="n">
        <v>0</v>
      </c>
      <c r="F950" s="359" t="n">
        <v>1</v>
      </c>
      <c r="G950" s="380" t="n">
        <v>0</v>
      </c>
      <c r="H950" s="358" t="n">
        <v>0</v>
      </c>
      <c r="I950" s="358" t="n">
        <v>0</v>
      </c>
      <c r="J950" s="358" t="n">
        <v>0</v>
      </c>
      <c r="K950" s="358" t="n">
        <v>0</v>
      </c>
      <c r="L950" s="358" t="n">
        <v>0</v>
      </c>
      <c r="M950" s="381" t="n">
        <v>1</v>
      </c>
      <c r="N950" s="381" t="n">
        <v>0</v>
      </c>
      <c r="O950" s="381" t="n">
        <v>0</v>
      </c>
      <c r="P950" s="359" t="n">
        <v>1</v>
      </c>
    </row>
    <row r="951" customFormat="false" ht="15" hidden="true" customHeight="false" outlineLevel="0" collapsed="false">
      <c r="B951" s="360" t="s">
        <v>3325</v>
      </c>
      <c r="C951" s="381" t="n">
        <v>1</v>
      </c>
      <c r="D951" s="381" t="n">
        <v>0</v>
      </c>
      <c r="E951" s="381" t="n">
        <v>0</v>
      </c>
      <c r="F951" s="359" t="n">
        <v>1</v>
      </c>
      <c r="G951" s="380" t="n">
        <v>0</v>
      </c>
      <c r="H951" s="358" t="n">
        <v>0</v>
      </c>
      <c r="I951" s="358" t="n">
        <v>0</v>
      </c>
      <c r="J951" s="358" t="n">
        <v>0</v>
      </c>
      <c r="K951" s="358" t="n">
        <v>0</v>
      </c>
      <c r="L951" s="358" t="n">
        <v>0</v>
      </c>
      <c r="M951" s="381" t="n">
        <v>1</v>
      </c>
      <c r="N951" s="381" t="n">
        <v>0</v>
      </c>
      <c r="O951" s="381" t="n">
        <v>0</v>
      </c>
      <c r="P951" s="359" t="n">
        <v>1</v>
      </c>
    </row>
    <row r="952" customFormat="false" ht="15" hidden="true" customHeight="false" outlineLevel="0" collapsed="false">
      <c r="B952" s="360" t="s">
        <v>3326</v>
      </c>
      <c r="C952" s="381" t="n">
        <v>1</v>
      </c>
      <c r="D952" s="381" t="n">
        <v>0</v>
      </c>
      <c r="E952" s="381" t="n">
        <v>0</v>
      </c>
      <c r="F952" s="359" t="n">
        <v>1</v>
      </c>
      <c r="G952" s="380" t="n">
        <v>0</v>
      </c>
      <c r="H952" s="358" t="n">
        <v>0</v>
      </c>
      <c r="I952" s="358" t="n">
        <v>0</v>
      </c>
      <c r="J952" s="358" t="n">
        <v>0</v>
      </c>
      <c r="K952" s="358" t="n">
        <v>0</v>
      </c>
      <c r="L952" s="358" t="n">
        <v>0</v>
      </c>
      <c r="M952" s="381" t="n">
        <v>1</v>
      </c>
      <c r="N952" s="381" t="n">
        <v>0</v>
      </c>
      <c r="O952" s="381" t="n">
        <v>0</v>
      </c>
      <c r="P952" s="359" t="n">
        <v>1</v>
      </c>
    </row>
    <row r="953" customFormat="false" ht="15" hidden="true" customHeight="false" outlineLevel="0" collapsed="false">
      <c r="B953" s="360" t="s">
        <v>3327</v>
      </c>
      <c r="C953" s="381" t="n">
        <v>1</v>
      </c>
      <c r="D953" s="381" t="n">
        <v>0</v>
      </c>
      <c r="E953" s="381" t="n">
        <v>0</v>
      </c>
      <c r="F953" s="359" t="n">
        <v>1</v>
      </c>
      <c r="G953" s="380" t="n">
        <v>0</v>
      </c>
      <c r="H953" s="358" t="n">
        <v>0</v>
      </c>
      <c r="I953" s="358" t="n">
        <v>0</v>
      </c>
      <c r="J953" s="358" t="n">
        <v>0</v>
      </c>
      <c r="K953" s="358" t="n">
        <v>0</v>
      </c>
      <c r="L953" s="358" t="n">
        <v>0</v>
      </c>
      <c r="M953" s="381" t="n">
        <v>1</v>
      </c>
      <c r="N953" s="381" t="n">
        <v>0</v>
      </c>
      <c r="O953" s="381" t="n">
        <v>0</v>
      </c>
      <c r="P953" s="359" t="n">
        <v>1</v>
      </c>
    </row>
    <row r="954" customFormat="false" ht="15" hidden="true" customHeight="false" outlineLevel="0" collapsed="false">
      <c r="B954" s="360" t="s">
        <v>3328</v>
      </c>
      <c r="C954" s="381" t="n">
        <v>1</v>
      </c>
      <c r="D954" s="381" t="n">
        <v>0</v>
      </c>
      <c r="E954" s="381" t="n">
        <v>0</v>
      </c>
      <c r="F954" s="359" t="n">
        <v>1</v>
      </c>
      <c r="G954" s="380" t="n">
        <v>0</v>
      </c>
      <c r="H954" s="358" t="n">
        <v>0</v>
      </c>
      <c r="I954" s="358" t="n">
        <v>0</v>
      </c>
      <c r="J954" s="358" t="n">
        <v>0</v>
      </c>
      <c r="K954" s="358" t="n">
        <v>0</v>
      </c>
      <c r="L954" s="358" t="n">
        <v>0</v>
      </c>
      <c r="M954" s="381" t="n">
        <v>1</v>
      </c>
      <c r="N954" s="381" t="n">
        <v>0</v>
      </c>
      <c r="O954" s="381" t="n">
        <v>0</v>
      </c>
      <c r="P954" s="359" t="n">
        <v>1</v>
      </c>
    </row>
    <row r="955" customFormat="false" ht="15" hidden="true" customHeight="false" outlineLevel="0" collapsed="false">
      <c r="B955" s="360" t="s">
        <v>3329</v>
      </c>
      <c r="C955" s="381" t="n">
        <v>1</v>
      </c>
      <c r="D955" s="381" t="n">
        <v>0</v>
      </c>
      <c r="E955" s="381" t="n">
        <v>0</v>
      </c>
      <c r="F955" s="359" t="n">
        <v>1</v>
      </c>
      <c r="G955" s="380" t="n">
        <v>0</v>
      </c>
      <c r="H955" s="358" t="n">
        <v>0</v>
      </c>
      <c r="I955" s="358" t="n">
        <v>0</v>
      </c>
      <c r="J955" s="358" t="n">
        <v>0</v>
      </c>
      <c r="K955" s="358" t="n">
        <v>0</v>
      </c>
      <c r="L955" s="358" t="n">
        <v>0</v>
      </c>
      <c r="M955" s="381" t="n">
        <v>1</v>
      </c>
      <c r="N955" s="381" t="n">
        <v>0</v>
      </c>
      <c r="O955" s="381" t="n">
        <v>0</v>
      </c>
      <c r="P955" s="359" t="n">
        <v>1</v>
      </c>
    </row>
    <row r="956" customFormat="false" ht="15" hidden="true" customHeight="false" outlineLevel="0" collapsed="false">
      <c r="B956" s="360" t="s">
        <v>3330</v>
      </c>
      <c r="C956" s="381" t="n">
        <v>1</v>
      </c>
      <c r="D956" s="381" t="n">
        <v>0</v>
      </c>
      <c r="E956" s="381" t="n">
        <v>0</v>
      </c>
      <c r="F956" s="359" t="n">
        <v>1</v>
      </c>
      <c r="G956" s="380" t="n">
        <v>0</v>
      </c>
      <c r="H956" s="358" t="n">
        <v>0</v>
      </c>
      <c r="I956" s="358" t="n">
        <v>0</v>
      </c>
      <c r="J956" s="358" t="n">
        <v>0</v>
      </c>
      <c r="K956" s="358" t="n">
        <v>0</v>
      </c>
      <c r="L956" s="358" t="n">
        <v>0</v>
      </c>
      <c r="M956" s="381" t="n">
        <v>1</v>
      </c>
      <c r="N956" s="381" t="n">
        <v>0</v>
      </c>
      <c r="O956" s="381" t="n">
        <v>0</v>
      </c>
      <c r="P956" s="359" t="n">
        <v>1</v>
      </c>
    </row>
    <row r="957" customFormat="false" ht="15" hidden="true" customHeight="false" outlineLevel="0" collapsed="false">
      <c r="B957" s="360" t="s">
        <v>3331</v>
      </c>
      <c r="C957" s="381" t="n">
        <v>1</v>
      </c>
      <c r="D957" s="381" t="n">
        <v>0</v>
      </c>
      <c r="E957" s="381" t="n">
        <v>0</v>
      </c>
      <c r="F957" s="359" t="n">
        <v>1</v>
      </c>
      <c r="G957" s="380" t="n">
        <v>0</v>
      </c>
      <c r="H957" s="358" t="n">
        <v>0</v>
      </c>
      <c r="I957" s="358" t="n">
        <v>0</v>
      </c>
      <c r="J957" s="358" t="n">
        <v>0</v>
      </c>
      <c r="K957" s="358" t="n">
        <v>0</v>
      </c>
      <c r="L957" s="358" t="n">
        <v>0</v>
      </c>
      <c r="M957" s="381" t="n">
        <v>1</v>
      </c>
      <c r="N957" s="381" t="n">
        <v>0</v>
      </c>
      <c r="O957" s="381" t="n">
        <v>0</v>
      </c>
      <c r="P957" s="359" t="n">
        <v>1</v>
      </c>
    </row>
    <row r="958" customFormat="false" ht="15" hidden="true" customHeight="false" outlineLevel="0" collapsed="false">
      <c r="B958" s="360" t="s">
        <v>3332</v>
      </c>
      <c r="C958" s="381" t="n">
        <v>0</v>
      </c>
      <c r="D958" s="381" t="n">
        <v>0</v>
      </c>
      <c r="E958" s="381" t="n">
        <v>0</v>
      </c>
      <c r="F958" s="359" t="n">
        <v>0</v>
      </c>
      <c r="G958" s="380" t="n">
        <v>0</v>
      </c>
      <c r="H958" s="358" t="n">
        <v>0</v>
      </c>
      <c r="I958" s="358" t="n">
        <v>0</v>
      </c>
      <c r="J958" s="358" t="n">
        <v>0</v>
      </c>
      <c r="K958" s="358" t="n">
        <v>0</v>
      </c>
      <c r="L958" s="358" t="n">
        <v>0</v>
      </c>
      <c r="M958" s="381" t="n">
        <v>0</v>
      </c>
      <c r="N958" s="381" t="n">
        <v>0</v>
      </c>
      <c r="O958" s="381" t="n">
        <v>0</v>
      </c>
      <c r="P958" s="359" t="n">
        <v>0</v>
      </c>
    </row>
    <row r="959" customFormat="false" ht="15" hidden="true" customHeight="false" outlineLevel="0" collapsed="false">
      <c r="B959" s="360" t="s">
        <v>3333</v>
      </c>
      <c r="C959" s="381" t="n">
        <v>1</v>
      </c>
      <c r="D959" s="381" t="n">
        <v>0</v>
      </c>
      <c r="E959" s="381" t="n">
        <v>0</v>
      </c>
      <c r="F959" s="359" t="n">
        <v>1</v>
      </c>
      <c r="G959" s="380" t="n">
        <v>0</v>
      </c>
      <c r="H959" s="358" t="n">
        <v>0</v>
      </c>
      <c r="I959" s="358" t="n">
        <v>0</v>
      </c>
      <c r="J959" s="358" t="n">
        <v>0</v>
      </c>
      <c r="K959" s="358" t="n">
        <v>0</v>
      </c>
      <c r="L959" s="358" t="n">
        <v>0</v>
      </c>
      <c r="M959" s="381" t="n">
        <v>1</v>
      </c>
      <c r="N959" s="381" t="n">
        <v>0</v>
      </c>
      <c r="O959" s="381" t="n">
        <v>0</v>
      </c>
      <c r="P959" s="359" t="n">
        <v>1</v>
      </c>
    </row>
    <row r="960" customFormat="false" ht="15" hidden="true" customHeight="false" outlineLevel="0" collapsed="false">
      <c r="B960" s="360" t="s">
        <v>3334</v>
      </c>
      <c r="C960" s="381" t="n">
        <v>1</v>
      </c>
      <c r="D960" s="381" t="n">
        <v>0</v>
      </c>
      <c r="E960" s="381" t="n">
        <v>0</v>
      </c>
      <c r="F960" s="359" t="n">
        <v>1</v>
      </c>
      <c r="G960" s="380" t="n">
        <v>0</v>
      </c>
      <c r="H960" s="358" t="n">
        <v>0</v>
      </c>
      <c r="I960" s="358" t="n">
        <v>0</v>
      </c>
      <c r="J960" s="358" t="n">
        <v>0</v>
      </c>
      <c r="K960" s="358" t="n">
        <v>0</v>
      </c>
      <c r="L960" s="358" t="n">
        <v>0</v>
      </c>
      <c r="M960" s="381" t="n">
        <v>1</v>
      </c>
      <c r="N960" s="381" t="n">
        <v>0</v>
      </c>
      <c r="O960" s="381" t="n">
        <v>0</v>
      </c>
      <c r="P960" s="359" t="n">
        <v>1</v>
      </c>
    </row>
    <row r="961" customFormat="false" ht="15" hidden="true" customHeight="false" outlineLevel="0" collapsed="false">
      <c r="B961" s="360" t="s">
        <v>3335</v>
      </c>
      <c r="C961" s="381" t="n">
        <v>1</v>
      </c>
      <c r="D961" s="381" t="n">
        <v>0</v>
      </c>
      <c r="E961" s="381" t="n">
        <v>0</v>
      </c>
      <c r="F961" s="359" t="n">
        <v>1</v>
      </c>
      <c r="G961" s="380" t="n">
        <v>0</v>
      </c>
      <c r="H961" s="358" t="n">
        <v>0</v>
      </c>
      <c r="I961" s="358" t="n">
        <v>0</v>
      </c>
      <c r="J961" s="358" t="n">
        <v>0</v>
      </c>
      <c r="K961" s="358" t="n">
        <v>0</v>
      </c>
      <c r="L961" s="358" t="n">
        <v>0</v>
      </c>
      <c r="M961" s="381" t="n">
        <v>1</v>
      </c>
      <c r="N961" s="381" t="n">
        <v>0</v>
      </c>
      <c r="O961" s="381" t="n">
        <v>0</v>
      </c>
      <c r="P961" s="359" t="n">
        <v>1</v>
      </c>
    </row>
    <row r="962" customFormat="false" ht="15" hidden="true" customHeight="false" outlineLevel="0" collapsed="false">
      <c r="B962" s="360" t="s">
        <v>3336</v>
      </c>
      <c r="C962" s="381" t="n">
        <v>1</v>
      </c>
      <c r="D962" s="381" t="n">
        <v>0</v>
      </c>
      <c r="E962" s="381" t="n">
        <v>0</v>
      </c>
      <c r="F962" s="359" t="n">
        <v>1</v>
      </c>
      <c r="G962" s="380" t="n">
        <v>0</v>
      </c>
      <c r="H962" s="358" t="n">
        <v>0</v>
      </c>
      <c r="I962" s="358" t="n">
        <v>0</v>
      </c>
      <c r="J962" s="358" t="n">
        <v>0</v>
      </c>
      <c r="K962" s="358" t="n">
        <v>0</v>
      </c>
      <c r="L962" s="358" t="n">
        <v>0</v>
      </c>
      <c r="M962" s="381" t="n">
        <v>1</v>
      </c>
      <c r="N962" s="381" t="n">
        <v>0</v>
      </c>
      <c r="O962" s="381" t="n">
        <v>0</v>
      </c>
      <c r="P962" s="359" t="n">
        <v>1</v>
      </c>
    </row>
    <row r="963" customFormat="false" ht="15" hidden="true" customHeight="false" outlineLevel="0" collapsed="false">
      <c r="B963" s="360" t="s">
        <v>3337</v>
      </c>
      <c r="C963" s="381" t="n">
        <v>1</v>
      </c>
      <c r="D963" s="381" t="n">
        <v>0</v>
      </c>
      <c r="E963" s="381" t="n">
        <v>0</v>
      </c>
      <c r="F963" s="359" t="n">
        <v>1</v>
      </c>
      <c r="G963" s="380" t="n">
        <v>0</v>
      </c>
      <c r="H963" s="358" t="n">
        <v>0</v>
      </c>
      <c r="I963" s="358" t="n">
        <v>0</v>
      </c>
      <c r="J963" s="358" t="n">
        <v>0</v>
      </c>
      <c r="K963" s="358" t="n">
        <v>0</v>
      </c>
      <c r="L963" s="358" t="n">
        <v>0</v>
      </c>
      <c r="M963" s="381" t="n">
        <v>1</v>
      </c>
      <c r="N963" s="381" t="n">
        <v>0</v>
      </c>
      <c r="O963" s="381" t="n">
        <v>0</v>
      </c>
      <c r="P963" s="359" t="n">
        <v>1</v>
      </c>
    </row>
    <row r="964" customFormat="false" ht="15" hidden="true" customHeight="false" outlineLevel="0" collapsed="false">
      <c r="B964" s="360" t="s">
        <v>3338</v>
      </c>
      <c r="C964" s="381" t="n">
        <v>1</v>
      </c>
      <c r="D964" s="381" t="n">
        <v>0</v>
      </c>
      <c r="E964" s="381" t="n">
        <v>0</v>
      </c>
      <c r="F964" s="359" t="n">
        <v>1</v>
      </c>
      <c r="G964" s="380" t="n">
        <v>0</v>
      </c>
      <c r="H964" s="358" t="n">
        <v>0</v>
      </c>
      <c r="I964" s="358" t="n">
        <v>0</v>
      </c>
      <c r="J964" s="358" t="n">
        <v>0</v>
      </c>
      <c r="K964" s="358" t="n">
        <v>0</v>
      </c>
      <c r="L964" s="358" t="n">
        <v>0</v>
      </c>
      <c r="M964" s="381" t="n">
        <v>1</v>
      </c>
      <c r="N964" s="381" t="n">
        <v>0</v>
      </c>
      <c r="O964" s="381" t="n">
        <v>0</v>
      </c>
      <c r="P964" s="359" t="n">
        <v>1</v>
      </c>
    </row>
    <row r="965" customFormat="false" ht="15" hidden="true" customHeight="false" outlineLevel="0" collapsed="false">
      <c r="B965" s="360" t="s">
        <v>3339</v>
      </c>
      <c r="C965" s="381" t="n">
        <v>1</v>
      </c>
      <c r="D965" s="381" t="n">
        <v>0</v>
      </c>
      <c r="E965" s="381" t="n">
        <v>0</v>
      </c>
      <c r="F965" s="359" t="n">
        <v>1</v>
      </c>
      <c r="G965" s="380" t="n">
        <v>0</v>
      </c>
      <c r="H965" s="358" t="n">
        <v>0</v>
      </c>
      <c r="I965" s="358" t="n">
        <v>0</v>
      </c>
      <c r="J965" s="358" t="n">
        <v>0</v>
      </c>
      <c r="K965" s="358" t="n">
        <v>0</v>
      </c>
      <c r="L965" s="358" t="n">
        <v>0</v>
      </c>
      <c r="M965" s="381" t="n">
        <v>1</v>
      </c>
      <c r="N965" s="381" t="n">
        <v>0</v>
      </c>
      <c r="O965" s="381" t="n">
        <v>0</v>
      </c>
      <c r="P965" s="359" t="n">
        <v>1</v>
      </c>
    </row>
    <row r="966" customFormat="false" ht="15" hidden="true" customHeight="false" outlineLevel="0" collapsed="false">
      <c r="B966" s="360" t="s">
        <v>3340</v>
      </c>
      <c r="C966" s="381" t="n">
        <v>1</v>
      </c>
      <c r="D966" s="381" t="n">
        <v>0</v>
      </c>
      <c r="E966" s="381" t="n">
        <v>0</v>
      </c>
      <c r="F966" s="359" t="n">
        <v>1</v>
      </c>
      <c r="G966" s="380" t="n">
        <v>0</v>
      </c>
      <c r="H966" s="358" t="n">
        <v>0</v>
      </c>
      <c r="I966" s="358" t="n">
        <v>0</v>
      </c>
      <c r="J966" s="358" t="n">
        <v>0</v>
      </c>
      <c r="K966" s="358" t="n">
        <v>0</v>
      </c>
      <c r="L966" s="358" t="n">
        <v>0</v>
      </c>
      <c r="M966" s="381" t="n">
        <v>1</v>
      </c>
      <c r="N966" s="381" t="n">
        <v>0</v>
      </c>
      <c r="O966" s="381" t="n">
        <v>0</v>
      </c>
      <c r="P966" s="359" t="n">
        <v>1</v>
      </c>
    </row>
    <row r="967" customFormat="false" ht="15" hidden="true" customHeight="false" outlineLevel="0" collapsed="false">
      <c r="B967" s="360" t="s">
        <v>3341</v>
      </c>
      <c r="C967" s="381" t="n">
        <v>1</v>
      </c>
      <c r="D967" s="381" t="n">
        <v>0</v>
      </c>
      <c r="E967" s="381" t="n">
        <v>0</v>
      </c>
      <c r="F967" s="359" t="n">
        <v>1</v>
      </c>
      <c r="G967" s="380" t="n">
        <v>0</v>
      </c>
      <c r="H967" s="358" t="n">
        <v>0</v>
      </c>
      <c r="I967" s="358" t="n">
        <v>0</v>
      </c>
      <c r="J967" s="358" t="n">
        <v>0</v>
      </c>
      <c r="K967" s="358" t="n">
        <v>0</v>
      </c>
      <c r="L967" s="358" t="n">
        <v>0</v>
      </c>
      <c r="M967" s="381" t="n">
        <v>1</v>
      </c>
      <c r="N967" s="381" t="n">
        <v>0</v>
      </c>
      <c r="O967" s="381" t="n">
        <v>0</v>
      </c>
      <c r="P967" s="359" t="n">
        <v>1</v>
      </c>
    </row>
    <row r="968" customFormat="false" ht="15" hidden="true" customHeight="false" outlineLevel="0" collapsed="false">
      <c r="B968" s="360" t="s">
        <v>3342</v>
      </c>
      <c r="C968" s="381" t="n">
        <v>1</v>
      </c>
      <c r="D968" s="381" t="n">
        <v>0</v>
      </c>
      <c r="E968" s="381" t="n">
        <v>0</v>
      </c>
      <c r="F968" s="359" t="n">
        <v>1</v>
      </c>
      <c r="G968" s="380" t="n">
        <v>0</v>
      </c>
      <c r="H968" s="358" t="n">
        <v>0</v>
      </c>
      <c r="I968" s="358" t="n">
        <v>0</v>
      </c>
      <c r="J968" s="358" t="n">
        <v>0</v>
      </c>
      <c r="K968" s="358" t="n">
        <v>0</v>
      </c>
      <c r="L968" s="358" t="n">
        <v>0</v>
      </c>
      <c r="M968" s="381" t="n">
        <v>1</v>
      </c>
      <c r="N968" s="381" t="n">
        <v>0</v>
      </c>
      <c r="O968" s="381" t="n">
        <v>0</v>
      </c>
      <c r="P968" s="359" t="n">
        <v>1</v>
      </c>
    </row>
    <row r="969" customFormat="false" ht="15" hidden="true" customHeight="false" outlineLevel="0" collapsed="false">
      <c r="B969" s="360" t="s">
        <v>3343</v>
      </c>
      <c r="C969" s="381" t="n">
        <v>1</v>
      </c>
      <c r="D969" s="381" t="n">
        <v>0</v>
      </c>
      <c r="E969" s="381" t="n">
        <v>0</v>
      </c>
      <c r="F969" s="359" t="n">
        <v>1</v>
      </c>
      <c r="G969" s="380" t="n">
        <v>0</v>
      </c>
      <c r="H969" s="358" t="n">
        <v>0</v>
      </c>
      <c r="I969" s="358" t="n">
        <v>0</v>
      </c>
      <c r="J969" s="358" t="n">
        <v>0</v>
      </c>
      <c r="K969" s="358" t="n">
        <v>0</v>
      </c>
      <c r="L969" s="358" t="n">
        <v>0</v>
      </c>
      <c r="M969" s="381" t="n">
        <v>1</v>
      </c>
      <c r="N969" s="381" t="n">
        <v>0</v>
      </c>
      <c r="O969" s="381" t="n">
        <v>0</v>
      </c>
      <c r="P969" s="359" t="n">
        <v>1</v>
      </c>
    </row>
    <row r="970" customFormat="false" ht="15" hidden="true" customHeight="false" outlineLevel="0" collapsed="false">
      <c r="B970" s="360" t="s">
        <v>3344</v>
      </c>
      <c r="C970" s="381" t="n">
        <v>1</v>
      </c>
      <c r="D970" s="381" t="n">
        <v>0</v>
      </c>
      <c r="E970" s="381" t="n">
        <v>0</v>
      </c>
      <c r="F970" s="359" t="n">
        <v>1</v>
      </c>
      <c r="G970" s="380" t="n">
        <v>0</v>
      </c>
      <c r="H970" s="358" t="n">
        <v>0</v>
      </c>
      <c r="I970" s="358" t="n">
        <v>0</v>
      </c>
      <c r="J970" s="358" t="n">
        <v>0</v>
      </c>
      <c r="K970" s="358" t="n">
        <v>0</v>
      </c>
      <c r="L970" s="358" t="n">
        <v>0</v>
      </c>
      <c r="M970" s="381" t="n">
        <v>1</v>
      </c>
      <c r="N970" s="381" t="n">
        <v>0</v>
      </c>
      <c r="O970" s="381" t="n">
        <v>0</v>
      </c>
      <c r="P970" s="359" t="n">
        <v>1</v>
      </c>
    </row>
    <row r="971" customFormat="false" ht="15" hidden="true" customHeight="false" outlineLevel="0" collapsed="false">
      <c r="B971" s="360" t="s">
        <v>3345</v>
      </c>
      <c r="C971" s="381" t="n">
        <v>1</v>
      </c>
      <c r="D971" s="381" t="n">
        <v>0</v>
      </c>
      <c r="E971" s="381" t="n">
        <v>0</v>
      </c>
      <c r="F971" s="359" t="n">
        <v>1</v>
      </c>
      <c r="G971" s="380" t="n">
        <v>0</v>
      </c>
      <c r="H971" s="358" t="n">
        <v>0</v>
      </c>
      <c r="I971" s="358" t="n">
        <v>0</v>
      </c>
      <c r="J971" s="358" t="n">
        <v>0</v>
      </c>
      <c r="K971" s="358" t="n">
        <v>0</v>
      </c>
      <c r="L971" s="358" t="n">
        <v>0</v>
      </c>
      <c r="M971" s="381" t="n">
        <v>1</v>
      </c>
      <c r="N971" s="381" t="n">
        <v>0</v>
      </c>
      <c r="O971" s="381" t="n">
        <v>0</v>
      </c>
      <c r="P971" s="359" t="n">
        <v>1</v>
      </c>
    </row>
    <row r="972" customFormat="false" ht="15" hidden="true" customHeight="false" outlineLevel="0" collapsed="false">
      <c r="B972" s="360" t="s">
        <v>3346</v>
      </c>
      <c r="C972" s="381" t="n">
        <v>1</v>
      </c>
      <c r="D972" s="381" t="n">
        <v>0</v>
      </c>
      <c r="E972" s="381" t="n">
        <v>0</v>
      </c>
      <c r="F972" s="359" t="n">
        <v>1</v>
      </c>
      <c r="G972" s="380" t="n">
        <v>0</v>
      </c>
      <c r="H972" s="358" t="n">
        <v>0</v>
      </c>
      <c r="I972" s="358" t="n">
        <v>0</v>
      </c>
      <c r="J972" s="358" t="n">
        <v>0</v>
      </c>
      <c r="K972" s="358" t="n">
        <v>0</v>
      </c>
      <c r="L972" s="358" t="n">
        <v>0</v>
      </c>
      <c r="M972" s="381" t="n">
        <v>1</v>
      </c>
      <c r="N972" s="381" t="n">
        <v>0</v>
      </c>
      <c r="O972" s="381" t="n">
        <v>0</v>
      </c>
      <c r="P972" s="359" t="n">
        <v>1</v>
      </c>
    </row>
    <row r="973" customFormat="false" ht="15" hidden="true" customHeight="false" outlineLevel="0" collapsed="false">
      <c r="B973" s="360" t="s">
        <v>3347</v>
      </c>
      <c r="C973" s="381" t="n">
        <v>1</v>
      </c>
      <c r="D973" s="381" t="n">
        <v>0</v>
      </c>
      <c r="E973" s="381" t="n">
        <v>0</v>
      </c>
      <c r="F973" s="359" t="n">
        <v>1</v>
      </c>
      <c r="G973" s="380" t="n">
        <v>0</v>
      </c>
      <c r="H973" s="358" t="n">
        <v>0</v>
      </c>
      <c r="I973" s="358" t="n">
        <v>0</v>
      </c>
      <c r="J973" s="358" t="n">
        <v>0</v>
      </c>
      <c r="K973" s="358" t="n">
        <v>0</v>
      </c>
      <c r="L973" s="358" t="n">
        <v>0</v>
      </c>
      <c r="M973" s="381" t="n">
        <v>1</v>
      </c>
      <c r="N973" s="381" t="n">
        <v>0</v>
      </c>
      <c r="O973" s="381" t="n">
        <v>0</v>
      </c>
      <c r="P973" s="359" t="n">
        <v>1</v>
      </c>
    </row>
    <row r="974" customFormat="false" ht="15" hidden="true" customHeight="false" outlineLevel="0" collapsed="false">
      <c r="B974" s="360" t="s">
        <v>3348</v>
      </c>
      <c r="C974" s="381" t="n">
        <v>1</v>
      </c>
      <c r="D974" s="381" t="n">
        <v>0</v>
      </c>
      <c r="E974" s="381" t="n">
        <v>0</v>
      </c>
      <c r="F974" s="359" t="n">
        <v>1</v>
      </c>
      <c r="G974" s="380" t="n">
        <v>0</v>
      </c>
      <c r="H974" s="358" t="n">
        <v>0</v>
      </c>
      <c r="I974" s="358" t="n">
        <v>0</v>
      </c>
      <c r="J974" s="358" t="n">
        <v>0</v>
      </c>
      <c r="K974" s="358" t="n">
        <v>0</v>
      </c>
      <c r="L974" s="358" t="n">
        <v>0</v>
      </c>
      <c r="M974" s="381" t="n">
        <v>1</v>
      </c>
      <c r="N974" s="381" t="n">
        <v>0</v>
      </c>
      <c r="O974" s="381" t="n">
        <v>0</v>
      </c>
      <c r="P974" s="359" t="n">
        <v>1</v>
      </c>
    </row>
    <row r="975" customFormat="false" ht="15" hidden="true" customHeight="false" outlineLevel="0" collapsed="false">
      <c r="B975" s="360" t="s">
        <v>3349</v>
      </c>
      <c r="C975" s="381" t="n">
        <v>1</v>
      </c>
      <c r="D975" s="381" t="n">
        <v>0</v>
      </c>
      <c r="E975" s="381" t="n">
        <v>0</v>
      </c>
      <c r="F975" s="359" t="n">
        <v>1</v>
      </c>
      <c r="G975" s="380" t="n">
        <v>0</v>
      </c>
      <c r="H975" s="358" t="n">
        <v>0</v>
      </c>
      <c r="I975" s="358" t="n">
        <v>0</v>
      </c>
      <c r="J975" s="358" t="n">
        <v>0</v>
      </c>
      <c r="K975" s="358" t="n">
        <v>0</v>
      </c>
      <c r="L975" s="358" t="n">
        <v>0</v>
      </c>
      <c r="M975" s="381" t="n">
        <v>1</v>
      </c>
      <c r="N975" s="381" t="n">
        <v>0</v>
      </c>
      <c r="O975" s="381" t="n">
        <v>0</v>
      </c>
      <c r="P975" s="359" t="n">
        <v>1</v>
      </c>
    </row>
    <row r="976" customFormat="false" ht="15" hidden="true" customHeight="false" outlineLevel="0" collapsed="false">
      <c r="B976" s="360" t="s">
        <v>3350</v>
      </c>
      <c r="C976" s="381" t="n">
        <v>1</v>
      </c>
      <c r="D976" s="381" t="n">
        <v>0</v>
      </c>
      <c r="E976" s="381" t="n">
        <v>0</v>
      </c>
      <c r="F976" s="359" t="n">
        <v>1</v>
      </c>
      <c r="G976" s="380" t="n">
        <v>0</v>
      </c>
      <c r="H976" s="358" t="n">
        <v>0</v>
      </c>
      <c r="I976" s="358" t="n">
        <v>0</v>
      </c>
      <c r="J976" s="358" t="n">
        <v>0</v>
      </c>
      <c r="K976" s="358" t="n">
        <v>0</v>
      </c>
      <c r="L976" s="358" t="n">
        <v>0</v>
      </c>
      <c r="M976" s="381" t="n">
        <v>1</v>
      </c>
      <c r="N976" s="381" t="n">
        <v>0</v>
      </c>
      <c r="O976" s="381" t="n">
        <v>0</v>
      </c>
      <c r="P976" s="359" t="n">
        <v>1</v>
      </c>
    </row>
    <row r="977" customFormat="false" ht="15" hidden="true" customHeight="false" outlineLevel="0" collapsed="false">
      <c r="B977" s="360" t="s">
        <v>3351</v>
      </c>
      <c r="C977" s="381" t="n">
        <v>1</v>
      </c>
      <c r="D977" s="381" t="n">
        <v>0</v>
      </c>
      <c r="E977" s="381" t="n">
        <v>0</v>
      </c>
      <c r="F977" s="359" t="n">
        <v>1</v>
      </c>
      <c r="G977" s="380" t="n">
        <v>0</v>
      </c>
      <c r="H977" s="358" t="n">
        <v>0</v>
      </c>
      <c r="I977" s="358" t="n">
        <v>0</v>
      </c>
      <c r="J977" s="358" t="n">
        <v>0</v>
      </c>
      <c r="K977" s="358" t="n">
        <v>0</v>
      </c>
      <c r="L977" s="358" t="n">
        <v>0</v>
      </c>
      <c r="M977" s="381" t="n">
        <v>1</v>
      </c>
      <c r="N977" s="381" t="n">
        <v>0</v>
      </c>
      <c r="O977" s="381" t="n">
        <v>0</v>
      </c>
      <c r="P977" s="359" t="n">
        <v>1</v>
      </c>
    </row>
    <row r="978" customFormat="false" ht="15" hidden="true" customHeight="false" outlineLevel="0" collapsed="false">
      <c r="B978" s="360" t="s">
        <v>3352</v>
      </c>
      <c r="C978" s="381" t="n">
        <v>1</v>
      </c>
      <c r="D978" s="381" t="n">
        <v>0</v>
      </c>
      <c r="E978" s="381" t="n">
        <v>0</v>
      </c>
      <c r="F978" s="359" t="n">
        <v>1</v>
      </c>
      <c r="G978" s="380" t="n">
        <v>0</v>
      </c>
      <c r="H978" s="358" t="n">
        <v>0</v>
      </c>
      <c r="I978" s="358" t="n">
        <v>0</v>
      </c>
      <c r="J978" s="358" t="n">
        <v>0</v>
      </c>
      <c r="K978" s="358" t="n">
        <v>0</v>
      </c>
      <c r="L978" s="358" t="n">
        <v>0</v>
      </c>
      <c r="M978" s="381" t="n">
        <v>1</v>
      </c>
      <c r="N978" s="381" t="n">
        <v>0</v>
      </c>
      <c r="O978" s="381" t="n">
        <v>0</v>
      </c>
      <c r="P978" s="359" t="n">
        <v>1</v>
      </c>
    </row>
    <row r="979" customFormat="false" ht="15" hidden="true" customHeight="false" outlineLevel="0" collapsed="false">
      <c r="B979" s="360" t="s">
        <v>3353</v>
      </c>
      <c r="C979" s="381" t="n">
        <v>1</v>
      </c>
      <c r="D979" s="381" t="n">
        <v>0</v>
      </c>
      <c r="E979" s="381" t="n">
        <v>0</v>
      </c>
      <c r="F979" s="359" t="n">
        <v>1</v>
      </c>
      <c r="G979" s="380" t="n">
        <v>0</v>
      </c>
      <c r="H979" s="358" t="n">
        <v>0</v>
      </c>
      <c r="I979" s="358" t="n">
        <v>0</v>
      </c>
      <c r="J979" s="358" t="n">
        <v>0</v>
      </c>
      <c r="K979" s="358" t="n">
        <v>0</v>
      </c>
      <c r="L979" s="358" t="n">
        <v>0</v>
      </c>
      <c r="M979" s="381" t="n">
        <v>1</v>
      </c>
      <c r="N979" s="381" t="n">
        <v>0</v>
      </c>
      <c r="O979" s="381" t="n">
        <v>0</v>
      </c>
      <c r="P979" s="359" t="n">
        <v>1</v>
      </c>
    </row>
    <row r="980" customFormat="false" ht="15" hidden="true" customHeight="false" outlineLevel="0" collapsed="false">
      <c r="B980" s="360" t="s">
        <v>3354</v>
      </c>
      <c r="C980" s="381" t="n">
        <v>1</v>
      </c>
      <c r="D980" s="381" t="n">
        <v>0</v>
      </c>
      <c r="E980" s="381" t="n">
        <v>0</v>
      </c>
      <c r="F980" s="359" t="n">
        <v>1</v>
      </c>
      <c r="G980" s="380" t="n">
        <v>0</v>
      </c>
      <c r="H980" s="358" t="n">
        <v>0</v>
      </c>
      <c r="I980" s="358" t="n">
        <v>0</v>
      </c>
      <c r="J980" s="358" t="n">
        <v>0</v>
      </c>
      <c r="K980" s="358" t="n">
        <v>0</v>
      </c>
      <c r="L980" s="358" t="n">
        <v>0</v>
      </c>
      <c r="M980" s="381" t="n">
        <v>1</v>
      </c>
      <c r="N980" s="381" t="n">
        <v>0</v>
      </c>
      <c r="O980" s="381" t="n">
        <v>0</v>
      </c>
      <c r="P980" s="359" t="n">
        <v>1</v>
      </c>
    </row>
    <row r="981" customFormat="false" ht="15" hidden="true" customHeight="false" outlineLevel="0" collapsed="false">
      <c r="B981" s="360" t="s">
        <v>3355</v>
      </c>
      <c r="C981" s="381" t="n">
        <v>1</v>
      </c>
      <c r="D981" s="381" t="n">
        <v>0</v>
      </c>
      <c r="E981" s="381" t="n">
        <v>0</v>
      </c>
      <c r="F981" s="359" t="n">
        <v>1</v>
      </c>
      <c r="G981" s="380" t="n">
        <v>0</v>
      </c>
      <c r="H981" s="358" t="n">
        <v>0</v>
      </c>
      <c r="I981" s="358" t="n">
        <v>0</v>
      </c>
      <c r="J981" s="358" t="n">
        <v>0</v>
      </c>
      <c r="K981" s="358" t="n">
        <v>0</v>
      </c>
      <c r="L981" s="358" t="n">
        <v>0</v>
      </c>
      <c r="M981" s="381" t="n">
        <v>1</v>
      </c>
      <c r="N981" s="381" t="n">
        <v>0</v>
      </c>
      <c r="O981" s="381" t="n">
        <v>0</v>
      </c>
      <c r="P981" s="359" t="n">
        <v>1</v>
      </c>
    </row>
    <row r="982" customFormat="false" ht="15" hidden="true" customHeight="false" outlineLevel="0" collapsed="false">
      <c r="B982" s="360" t="s">
        <v>3356</v>
      </c>
      <c r="C982" s="381" t="n">
        <v>1</v>
      </c>
      <c r="D982" s="381" t="n">
        <v>0</v>
      </c>
      <c r="E982" s="381" t="n">
        <v>0</v>
      </c>
      <c r="F982" s="359" t="n">
        <v>1</v>
      </c>
      <c r="G982" s="380" t="n">
        <v>0</v>
      </c>
      <c r="H982" s="358" t="n">
        <v>0</v>
      </c>
      <c r="I982" s="358" t="n">
        <v>0</v>
      </c>
      <c r="J982" s="358" t="n">
        <v>0</v>
      </c>
      <c r="K982" s="358" t="n">
        <v>0</v>
      </c>
      <c r="L982" s="358" t="n">
        <v>0</v>
      </c>
      <c r="M982" s="381" t="n">
        <v>1</v>
      </c>
      <c r="N982" s="381" t="n">
        <v>0</v>
      </c>
      <c r="O982" s="381" t="n">
        <v>0</v>
      </c>
      <c r="P982" s="359" t="n">
        <v>1</v>
      </c>
    </row>
    <row r="983" customFormat="false" ht="15" hidden="true" customHeight="false" outlineLevel="0" collapsed="false">
      <c r="B983" s="360" t="s">
        <v>3357</v>
      </c>
      <c r="C983" s="381" t="n">
        <v>1</v>
      </c>
      <c r="D983" s="381" t="n">
        <v>0</v>
      </c>
      <c r="E983" s="381" t="n">
        <v>0</v>
      </c>
      <c r="F983" s="359" t="n">
        <v>1</v>
      </c>
      <c r="G983" s="380" t="n">
        <v>0</v>
      </c>
      <c r="H983" s="358" t="n">
        <v>0</v>
      </c>
      <c r="I983" s="358" t="n">
        <v>0</v>
      </c>
      <c r="J983" s="358" t="n">
        <v>0</v>
      </c>
      <c r="K983" s="358" t="n">
        <v>0</v>
      </c>
      <c r="L983" s="358" t="n">
        <v>0</v>
      </c>
      <c r="M983" s="381" t="n">
        <v>1</v>
      </c>
      <c r="N983" s="381" t="n">
        <v>0</v>
      </c>
      <c r="O983" s="381" t="n">
        <v>0</v>
      </c>
      <c r="P983" s="359" t="n">
        <v>1</v>
      </c>
    </row>
    <row r="984" customFormat="false" ht="15" hidden="true" customHeight="false" outlineLevel="0" collapsed="false">
      <c r="B984" s="360" t="s">
        <v>3358</v>
      </c>
      <c r="C984" s="381" t="n">
        <v>1</v>
      </c>
      <c r="D984" s="381" t="n">
        <v>0</v>
      </c>
      <c r="E984" s="381" t="n">
        <v>0</v>
      </c>
      <c r="F984" s="359" t="n">
        <v>1</v>
      </c>
      <c r="G984" s="380" t="n">
        <v>0</v>
      </c>
      <c r="H984" s="358" t="n">
        <v>0</v>
      </c>
      <c r="I984" s="358" t="n">
        <v>0</v>
      </c>
      <c r="J984" s="358" t="n">
        <v>0</v>
      </c>
      <c r="K984" s="358" t="n">
        <v>0</v>
      </c>
      <c r="L984" s="358" t="n">
        <v>0</v>
      </c>
      <c r="M984" s="381" t="n">
        <v>1</v>
      </c>
      <c r="N984" s="381" t="n">
        <v>0</v>
      </c>
      <c r="O984" s="381" t="n">
        <v>0</v>
      </c>
      <c r="P984" s="359" t="n">
        <v>1</v>
      </c>
    </row>
    <row r="985" customFormat="false" ht="15" hidden="true" customHeight="false" outlineLevel="0" collapsed="false">
      <c r="B985" s="360" t="s">
        <v>3359</v>
      </c>
      <c r="C985" s="381" t="n">
        <v>1</v>
      </c>
      <c r="D985" s="381" t="n">
        <v>0</v>
      </c>
      <c r="E985" s="381" t="n">
        <v>0</v>
      </c>
      <c r="F985" s="359" t="n">
        <v>1</v>
      </c>
      <c r="G985" s="380" t="n">
        <v>0</v>
      </c>
      <c r="H985" s="358" t="n">
        <v>0</v>
      </c>
      <c r="I985" s="358" t="n">
        <v>0</v>
      </c>
      <c r="J985" s="358" t="n">
        <v>0</v>
      </c>
      <c r="K985" s="358" t="n">
        <v>0</v>
      </c>
      <c r="L985" s="358" t="n">
        <v>0</v>
      </c>
      <c r="M985" s="381" t="n">
        <v>1</v>
      </c>
      <c r="N985" s="381" t="n">
        <v>0</v>
      </c>
      <c r="O985" s="381" t="n">
        <v>0</v>
      </c>
      <c r="P985" s="359" t="n">
        <v>1</v>
      </c>
    </row>
    <row r="986" customFormat="false" ht="15" hidden="true" customHeight="false" outlineLevel="0" collapsed="false">
      <c r="B986" s="360" t="s">
        <v>3360</v>
      </c>
      <c r="C986" s="381" t="n">
        <v>1</v>
      </c>
      <c r="D986" s="381" t="n">
        <v>0</v>
      </c>
      <c r="E986" s="381" t="n">
        <v>0</v>
      </c>
      <c r="F986" s="359" t="n">
        <v>1</v>
      </c>
      <c r="G986" s="380" t="n">
        <v>0</v>
      </c>
      <c r="H986" s="358" t="n">
        <v>0</v>
      </c>
      <c r="I986" s="358" t="n">
        <v>0</v>
      </c>
      <c r="J986" s="358" t="n">
        <v>0</v>
      </c>
      <c r="K986" s="358" t="n">
        <v>0</v>
      </c>
      <c r="L986" s="358" t="n">
        <v>0</v>
      </c>
      <c r="M986" s="381" t="n">
        <v>1</v>
      </c>
      <c r="N986" s="381" t="n">
        <v>0</v>
      </c>
      <c r="O986" s="381" t="n">
        <v>0</v>
      </c>
      <c r="P986" s="359" t="n">
        <v>1</v>
      </c>
    </row>
    <row r="987" customFormat="false" ht="15" hidden="true" customHeight="false" outlineLevel="0" collapsed="false">
      <c r="B987" s="360" t="s">
        <v>3361</v>
      </c>
      <c r="C987" s="381" t="n">
        <v>1</v>
      </c>
      <c r="D987" s="381" t="n">
        <v>0</v>
      </c>
      <c r="E987" s="381" t="n">
        <v>0</v>
      </c>
      <c r="F987" s="359" t="n">
        <v>1</v>
      </c>
      <c r="G987" s="380" t="n">
        <v>0</v>
      </c>
      <c r="H987" s="358" t="n">
        <v>0</v>
      </c>
      <c r="I987" s="358" t="n">
        <v>0</v>
      </c>
      <c r="J987" s="358" t="n">
        <v>0</v>
      </c>
      <c r="K987" s="358" t="n">
        <v>0</v>
      </c>
      <c r="L987" s="358" t="n">
        <v>0</v>
      </c>
      <c r="M987" s="381" t="n">
        <v>1</v>
      </c>
      <c r="N987" s="381" t="n">
        <v>0</v>
      </c>
      <c r="O987" s="381" t="n">
        <v>0</v>
      </c>
      <c r="P987" s="359" t="n">
        <v>1</v>
      </c>
    </row>
    <row r="988" customFormat="false" ht="15" hidden="true" customHeight="false" outlineLevel="0" collapsed="false">
      <c r="B988" s="360" t="s">
        <v>3362</v>
      </c>
      <c r="C988" s="381" t="n">
        <v>1</v>
      </c>
      <c r="D988" s="381" t="n">
        <v>0</v>
      </c>
      <c r="E988" s="381" t="n">
        <v>0</v>
      </c>
      <c r="F988" s="359" t="n">
        <v>1</v>
      </c>
      <c r="G988" s="380" t="n">
        <v>0</v>
      </c>
      <c r="H988" s="358" t="n">
        <v>0</v>
      </c>
      <c r="I988" s="358" t="n">
        <v>0</v>
      </c>
      <c r="J988" s="358" t="n">
        <v>0</v>
      </c>
      <c r="K988" s="358" t="n">
        <v>0</v>
      </c>
      <c r="L988" s="358" t="n">
        <v>0</v>
      </c>
      <c r="M988" s="381" t="n">
        <v>1</v>
      </c>
      <c r="N988" s="381" t="n">
        <v>0</v>
      </c>
      <c r="O988" s="381" t="n">
        <v>0</v>
      </c>
      <c r="P988" s="359" t="n">
        <v>1</v>
      </c>
    </row>
    <row r="989" customFormat="false" ht="15" hidden="true" customHeight="false" outlineLevel="0" collapsed="false">
      <c r="B989" s="360" t="s">
        <v>3363</v>
      </c>
      <c r="C989" s="381" t="n">
        <v>1</v>
      </c>
      <c r="D989" s="381" t="n">
        <v>0</v>
      </c>
      <c r="E989" s="381" t="n">
        <v>0</v>
      </c>
      <c r="F989" s="359" t="n">
        <v>1</v>
      </c>
      <c r="G989" s="380" t="n">
        <v>0</v>
      </c>
      <c r="H989" s="358" t="n">
        <v>0</v>
      </c>
      <c r="I989" s="358" t="n">
        <v>0</v>
      </c>
      <c r="J989" s="358" t="n">
        <v>0</v>
      </c>
      <c r="K989" s="358" t="n">
        <v>0</v>
      </c>
      <c r="L989" s="358" t="n">
        <v>0</v>
      </c>
      <c r="M989" s="381" t="n">
        <v>1</v>
      </c>
      <c r="N989" s="381" t="n">
        <v>0</v>
      </c>
      <c r="O989" s="381" t="n">
        <v>0</v>
      </c>
      <c r="P989" s="359" t="n">
        <v>1</v>
      </c>
    </row>
    <row r="990" customFormat="false" ht="15" hidden="true" customHeight="false" outlineLevel="0" collapsed="false">
      <c r="B990" s="360" t="s">
        <v>3364</v>
      </c>
      <c r="C990" s="381" t="n">
        <v>1</v>
      </c>
      <c r="D990" s="381" t="n">
        <v>0</v>
      </c>
      <c r="E990" s="381" t="n">
        <v>0</v>
      </c>
      <c r="F990" s="359" t="n">
        <v>1</v>
      </c>
      <c r="G990" s="380" t="n">
        <v>0</v>
      </c>
      <c r="H990" s="358" t="n">
        <v>0</v>
      </c>
      <c r="I990" s="358" t="n">
        <v>0</v>
      </c>
      <c r="J990" s="358" t="n">
        <v>0</v>
      </c>
      <c r="K990" s="358" t="n">
        <v>0</v>
      </c>
      <c r="L990" s="358" t="n">
        <v>0</v>
      </c>
      <c r="M990" s="381" t="n">
        <v>1</v>
      </c>
      <c r="N990" s="381" t="n">
        <v>0</v>
      </c>
      <c r="O990" s="381" t="n">
        <v>0</v>
      </c>
      <c r="P990" s="359" t="n">
        <v>1</v>
      </c>
    </row>
    <row r="991" customFormat="false" ht="15" hidden="true" customHeight="false" outlineLevel="0" collapsed="false">
      <c r="B991" s="360" t="s">
        <v>3365</v>
      </c>
      <c r="C991" s="381" t="n">
        <v>1</v>
      </c>
      <c r="D991" s="381" t="n">
        <v>0</v>
      </c>
      <c r="E991" s="381" t="n">
        <v>0</v>
      </c>
      <c r="F991" s="359" t="n">
        <v>1</v>
      </c>
      <c r="G991" s="380" t="n">
        <v>0</v>
      </c>
      <c r="H991" s="358" t="n">
        <v>0</v>
      </c>
      <c r="I991" s="358" t="n">
        <v>0</v>
      </c>
      <c r="J991" s="358" t="n">
        <v>0</v>
      </c>
      <c r="K991" s="358" t="n">
        <v>0</v>
      </c>
      <c r="L991" s="358" t="n">
        <v>0</v>
      </c>
      <c r="M991" s="381" t="n">
        <v>1</v>
      </c>
      <c r="N991" s="381" t="n">
        <v>0</v>
      </c>
      <c r="O991" s="381" t="n">
        <v>0</v>
      </c>
      <c r="P991" s="359" t="n">
        <v>1</v>
      </c>
    </row>
    <row r="992" customFormat="false" ht="15" hidden="true" customHeight="false" outlineLevel="0" collapsed="false">
      <c r="B992" s="360" t="s">
        <v>3366</v>
      </c>
      <c r="C992" s="381" t="n">
        <v>1</v>
      </c>
      <c r="D992" s="381" t="n">
        <v>0</v>
      </c>
      <c r="E992" s="381" t="n">
        <v>0</v>
      </c>
      <c r="F992" s="359" t="n">
        <v>1</v>
      </c>
      <c r="G992" s="380" t="n">
        <v>0</v>
      </c>
      <c r="H992" s="358" t="n">
        <v>0</v>
      </c>
      <c r="I992" s="358" t="n">
        <v>0</v>
      </c>
      <c r="J992" s="358" t="n">
        <v>0</v>
      </c>
      <c r="K992" s="358" t="n">
        <v>0</v>
      </c>
      <c r="L992" s="358" t="n">
        <v>0</v>
      </c>
      <c r="M992" s="381" t="n">
        <v>1</v>
      </c>
      <c r="N992" s="381" t="n">
        <v>0</v>
      </c>
      <c r="O992" s="381" t="n">
        <v>0</v>
      </c>
      <c r="P992" s="359" t="n">
        <v>1</v>
      </c>
    </row>
    <row r="993" customFormat="false" ht="15" hidden="true" customHeight="false" outlineLevel="0" collapsed="false">
      <c r="B993" s="360" t="s">
        <v>3367</v>
      </c>
      <c r="C993" s="381" t="n">
        <v>1</v>
      </c>
      <c r="D993" s="381" t="n">
        <v>0</v>
      </c>
      <c r="E993" s="381" t="n">
        <v>0</v>
      </c>
      <c r="F993" s="359" t="n">
        <v>1</v>
      </c>
      <c r="G993" s="380" t="n">
        <v>0</v>
      </c>
      <c r="H993" s="358" t="n">
        <v>0</v>
      </c>
      <c r="I993" s="358" t="n">
        <v>0</v>
      </c>
      <c r="J993" s="358" t="n">
        <v>0</v>
      </c>
      <c r="K993" s="358" t="n">
        <v>0</v>
      </c>
      <c r="L993" s="358" t="n">
        <v>0</v>
      </c>
      <c r="M993" s="381" t="n">
        <v>1</v>
      </c>
      <c r="N993" s="381" t="n">
        <v>0</v>
      </c>
      <c r="O993" s="381" t="n">
        <v>0</v>
      </c>
      <c r="P993" s="359" t="n">
        <v>1</v>
      </c>
    </row>
    <row r="994" customFormat="false" ht="15" hidden="true" customHeight="false" outlineLevel="0" collapsed="false">
      <c r="B994" s="360" t="s">
        <v>3368</v>
      </c>
      <c r="C994" s="381" t="n">
        <v>1</v>
      </c>
      <c r="D994" s="381" t="n">
        <v>0</v>
      </c>
      <c r="E994" s="381" t="n">
        <v>0</v>
      </c>
      <c r="F994" s="359" t="n">
        <v>1</v>
      </c>
      <c r="G994" s="380" t="n">
        <v>0</v>
      </c>
      <c r="H994" s="358" t="n">
        <v>0</v>
      </c>
      <c r="I994" s="358" t="n">
        <v>0</v>
      </c>
      <c r="J994" s="358" t="n">
        <v>0</v>
      </c>
      <c r="K994" s="358" t="n">
        <v>0</v>
      </c>
      <c r="L994" s="358" t="n">
        <v>0</v>
      </c>
      <c r="M994" s="381" t="n">
        <v>1</v>
      </c>
      <c r="N994" s="381" t="n">
        <v>0</v>
      </c>
      <c r="O994" s="381" t="n">
        <v>0</v>
      </c>
      <c r="P994" s="359" t="n">
        <v>1</v>
      </c>
    </row>
    <row r="995" customFormat="false" ht="15" hidden="true" customHeight="false" outlineLevel="0" collapsed="false">
      <c r="B995" s="360" t="s">
        <v>3369</v>
      </c>
      <c r="C995" s="381" t="n">
        <v>1</v>
      </c>
      <c r="D995" s="381" t="n">
        <v>0</v>
      </c>
      <c r="E995" s="381" t="n">
        <v>0</v>
      </c>
      <c r="F995" s="359" t="n">
        <v>1</v>
      </c>
      <c r="G995" s="380" t="n">
        <v>0</v>
      </c>
      <c r="H995" s="358" t="n">
        <v>0</v>
      </c>
      <c r="I995" s="358" t="n">
        <v>0</v>
      </c>
      <c r="J995" s="358" t="n">
        <v>0</v>
      </c>
      <c r="K995" s="358" t="n">
        <v>0</v>
      </c>
      <c r="L995" s="358" t="n">
        <v>0</v>
      </c>
      <c r="M995" s="381" t="n">
        <v>1</v>
      </c>
      <c r="N995" s="381" t="n">
        <v>0</v>
      </c>
      <c r="O995" s="381" t="n">
        <v>0</v>
      </c>
      <c r="P995" s="359" t="n">
        <v>1</v>
      </c>
    </row>
    <row r="996" customFormat="false" ht="15" hidden="true" customHeight="false" outlineLevel="0" collapsed="false">
      <c r="B996" s="360" t="s">
        <v>3370</v>
      </c>
      <c r="C996" s="381" t="n">
        <v>1</v>
      </c>
      <c r="D996" s="381" t="n">
        <v>0</v>
      </c>
      <c r="E996" s="381" t="n">
        <v>0</v>
      </c>
      <c r="F996" s="359" t="n">
        <v>1</v>
      </c>
      <c r="G996" s="380" t="n">
        <v>0</v>
      </c>
      <c r="H996" s="358" t="n">
        <v>0</v>
      </c>
      <c r="I996" s="358" t="n">
        <v>0</v>
      </c>
      <c r="J996" s="358" t="n">
        <v>0</v>
      </c>
      <c r="K996" s="358" t="n">
        <v>0</v>
      </c>
      <c r="L996" s="358" t="n">
        <v>0</v>
      </c>
      <c r="M996" s="381" t="n">
        <v>1</v>
      </c>
      <c r="N996" s="381" t="n">
        <v>0</v>
      </c>
      <c r="O996" s="381" t="n">
        <v>0</v>
      </c>
      <c r="P996" s="359" t="n">
        <v>1</v>
      </c>
    </row>
    <row r="997" customFormat="false" ht="15" hidden="false" customHeight="false" outlineLevel="0" collapsed="false">
      <c r="B997" s="356" t="s">
        <v>2474</v>
      </c>
      <c r="C997" s="379" t="n">
        <v>26</v>
      </c>
      <c r="D997" s="379" t="n">
        <v>0</v>
      </c>
      <c r="E997" s="379" t="n">
        <v>0</v>
      </c>
      <c r="F997" s="357" t="n">
        <v>26</v>
      </c>
      <c r="G997" s="380" t="n">
        <v>0</v>
      </c>
      <c r="H997" s="358" t="n">
        <v>0</v>
      </c>
      <c r="I997" s="358" t="n">
        <v>0</v>
      </c>
      <c r="J997" s="358" t="n">
        <v>0</v>
      </c>
      <c r="K997" s="358" t="n">
        <v>0</v>
      </c>
      <c r="L997" s="358" t="n">
        <v>0</v>
      </c>
      <c r="M997" s="379" t="n">
        <v>26</v>
      </c>
      <c r="N997" s="379" t="n">
        <v>0</v>
      </c>
      <c r="O997" s="379" t="n">
        <v>0</v>
      </c>
      <c r="P997" s="357" t="n">
        <v>26</v>
      </c>
    </row>
    <row r="998" customFormat="false" ht="15" hidden="true" customHeight="false" outlineLevel="0" collapsed="false">
      <c r="B998" s="360" t="s">
        <v>3371</v>
      </c>
      <c r="C998" s="381" t="n">
        <v>1</v>
      </c>
      <c r="D998" s="381" t="n">
        <v>0</v>
      </c>
      <c r="E998" s="381" t="n">
        <v>0</v>
      </c>
      <c r="F998" s="359" t="n">
        <v>1</v>
      </c>
      <c r="G998" s="380" t="n">
        <v>0</v>
      </c>
      <c r="H998" s="358" t="n">
        <v>0</v>
      </c>
      <c r="I998" s="358" t="n">
        <v>0</v>
      </c>
      <c r="J998" s="358" t="n">
        <v>0</v>
      </c>
      <c r="K998" s="358" t="n">
        <v>0</v>
      </c>
      <c r="L998" s="358" t="n">
        <v>0</v>
      </c>
      <c r="M998" s="381" t="n">
        <v>1</v>
      </c>
      <c r="N998" s="381" t="n">
        <v>0</v>
      </c>
      <c r="O998" s="381" t="n">
        <v>0</v>
      </c>
      <c r="P998" s="359" t="n">
        <v>1</v>
      </c>
    </row>
    <row r="999" customFormat="false" ht="15" hidden="true" customHeight="false" outlineLevel="0" collapsed="false">
      <c r="B999" s="360" t="s">
        <v>3372</v>
      </c>
      <c r="C999" s="381" t="n">
        <v>1</v>
      </c>
      <c r="D999" s="381" t="n">
        <v>0</v>
      </c>
      <c r="E999" s="381" t="n">
        <v>0</v>
      </c>
      <c r="F999" s="359" t="n">
        <v>1</v>
      </c>
      <c r="G999" s="380" t="n">
        <v>0</v>
      </c>
      <c r="H999" s="358" t="n">
        <v>0</v>
      </c>
      <c r="I999" s="358" t="n">
        <v>0</v>
      </c>
      <c r="J999" s="358" t="n">
        <v>0</v>
      </c>
      <c r="K999" s="358" t="n">
        <v>0</v>
      </c>
      <c r="L999" s="358" t="n">
        <v>0</v>
      </c>
      <c r="M999" s="381" t="n">
        <v>1</v>
      </c>
      <c r="N999" s="381" t="n">
        <v>0</v>
      </c>
      <c r="O999" s="381" t="n">
        <v>0</v>
      </c>
      <c r="P999" s="359" t="n">
        <v>1</v>
      </c>
    </row>
    <row r="1000" customFormat="false" ht="15" hidden="true" customHeight="false" outlineLevel="0" collapsed="false">
      <c r="B1000" s="360" t="s">
        <v>3373</v>
      </c>
      <c r="C1000" s="381" t="n">
        <v>1</v>
      </c>
      <c r="D1000" s="381" t="n">
        <v>0</v>
      </c>
      <c r="E1000" s="381" t="n">
        <v>0</v>
      </c>
      <c r="F1000" s="359" t="n">
        <v>1</v>
      </c>
      <c r="G1000" s="380" t="n">
        <v>0</v>
      </c>
      <c r="H1000" s="358" t="n">
        <v>0</v>
      </c>
      <c r="I1000" s="358" t="n">
        <v>0</v>
      </c>
      <c r="J1000" s="358" t="n">
        <v>0</v>
      </c>
      <c r="K1000" s="358" t="n">
        <v>0</v>
      </c>
      <c r="L1000" s="358" t="n">
        <v>0</v>
      </c>
      <c r="M1000" s="381" t="n">
        <v>1</v>
      </c>
      <c r="N1000" s="381" t="n">
        <v>0</v>
      </c>
      <c r="O1000" s="381" t="n">
        <v>0</v>
      </c>
      <c r="P1000" s="359" t="n">
        <v>1</v>
      </c>
    </row>
    <row r="1001" customFormat="false" ht="15" hidden="true" customHeight="false" outlineLevel="0" collapsed="false">
      <c r="B1001" s="360" t="s">
        <v>3374</v>
      </c>
      <c r="C1001" s="381" t="n">
        <v>1</v>
      </c>
      <c r="D1001" s="381" t="n">
        <v>0</v>
      </c>
      <c r="E1001" s="381" t="n">
        <v>0</v>
      </c>
      <c r="F1001" s="359" t="n">
        <v>1</v>
      </c>
      <c r="G1001" s="380" t="n">
        <v>0</v>
      </c>
      <c r="H1001" s="358" t="n">
        <v>0</v>
      </c>
      <c r="I1001" s="358" t="n">
        <v>0</v>
      </c>
      <c r="J1001" s="358" t="n">
        <v>0</v>
      </c>
      <c r="K1001" s="358" t="n">
        <v>0</v>
      </c>
      <c r="L1001" s="358" t="n">
        <v>0</v>
      </c>
      <c r="M1001" s="381" t="n">
        <v>1</v>
      </c>
      <c r="N1001" s="381" t="n">
        <v>0</v>
      </c>
      <c r="O1001" s="381" t="n">
        <v>0</v>
      </c>
      <c r="P1001" s="359" t="n">
        <v>1</v>
      </c>
    </row>
    <row r="1002" customFormat="false" ht="15" hidden="true" customHeight="false" outlineLevel="0" collapsed="false">
      <c r="B1002" s="360" t="s">
        <v>3375</v>
      </c>
      <c r="C1002" s="381" t="n">
        <v>1</v>
      </c>
      <c r="D1002" s="381" t="n">
        <v>0</v>
      </c>
      <c r="E1002" s="381" t="n">
        <v>0</v>
      </c>
      <c r="F1002" s="359" t="n">
        <v>1</v>
      </c>
      <c r="G1002" s="380" t="n">
        <v>0</v>
      </c>
      <c r="H1002" s="358" t="n">
        <v>0</v>
      </c>
      <c r="I1002" s="358" t="n">
        <v>0</v>
      </c>
      <c r="J1002" s="358" t="n">
        <v>0</v>
      </c>
      <c r="K1002" s="358" t="n">
        <v>0</v>
      </c>
      <c r="L1002" s="358" t="n">
        <v>0</v>
      </c>
      <c r="M1002" s="381" t="n">
        <v>1</v>
      </c>
      <c r="N1002" s="381" t="n">
        <v>0</v>
      </c>
      <c r="O1002" s="381" t="n">
        <v>0</v>
      </c>
      <c r="P1002" s="359" t="n">
        <v>1</v>
      </c>
    </row>
    <row r="1003" customFormat="false" ht="15" hidden="true" customHeight="false" outlineLevel="0" collapsed="false">
      <c r="B1003" s="360" t="s">
        <v>3376</v>
      </c>
      <c r="C1003" s="381" t="n">
        <v>1</v>
      </c>
      <c r="D1003" s="381" t="n">
        <v>0</v>
      </c>
      <c r="E1003" s="381" t="n">
        <v>0</v>
      </c>
      <c r="F1003" s="359" t="n">
        <v>1</v>
      </c>
      <c r="G1003" s="380" t="n">
        <v>0</v>
      </c>
      <c r="H1003" s="358" t="n">
        <v>0</v>
      </c>
      <c r="I1003" s="358" t="n">
        <v>0</v>
      </c>
      <c r="J1003" s="358" t="n">
        <v>0</v>
      </c>
      <c r="K1003" s="358" t="n">
        <v>0</v>
      </c>
      <c r="L1003" s="358" t="n">
        <v>0</v>
      </c>
      <c r="M1003" s="381" t="n">
        <v>1</v>
      </c>
      <c r="N1003" s="381" t="n">
        <v>0</v>
      </c>
      <c r="O1003" s="381" t="n">
        <v>0</v>
      </c>
      <c r="P1003" s="359" t="n">
        <v>1</v>
      </c>
    </row>
    <row r="1004" customFormat="false" ht="15" hidden="true" customHeight="false" outlineLevel="0" collapsed="false">
      <c r="B1004" s="360" t="s">
        <v>3377</v>
      </c>
      <c r="C1004" s="381" t="n">
        <v>1</v>
      </c>
      <c r="D1004" s="381" t="n">
        <v>0</v>
      </c>
      <c r="E1004" s="381" t="n">
        <v>0</v>
      </c>
      <c r="F1004" s="359" t="n">
        <v>1</v>
      </c>
      <c r="G1004" s="380" t="n">
        <v>0</v>
      </c>
      <c r="H1004" s="358" t="n">
        <v>0</v>
      </c>
      <c r="I1004" s="358" t="n">
        <v>0</v>
      </c>
      <c r="J1004" s="358" t="n">
        <v>0</v>
      </c>
      <c r="K1004" s="358" t="n">
        <v>0</v>
      </c>
      <c r="L1004" s="358" t="n">
        <v>0</v>
      </c>
      <c r="M1004" s="381" t="n">
        <v>1</v>
      </c>
      <c r="N1004" s="381" t="n">
        <v>0</v>
      </c>
      <c r="O1004" s="381" t="n">
        <v>0</v>
      </c>
      <c r="P1004" s="359" t="n">
        <v>1</v>
      </c>
    </row>
    <row r="1005" customFormat="false" ht="15" hidden="true" customHeight="false" outlineLevel="0" collapsed="false">
      <c r="B1005" s="360" t="s">
        <v>3609</v>
      </c>
      <c r="C1005" s="381" t="n">
        <v>0</v>
      </c>
      <c r="D1005" s="381" t="n">
        <v>0</v>
      </c>
      <c r="E1005" s="381" t="n">
        <v>0</v>
      </c>
      <c r="F1005" s="359" t="n">
        <v>0</v>
      </c>
      <c r="G1005" s="380" t="n">
        <v>0</v>
      </c>
      <c r="H1005" s="358" t="n">
        <v>0</v>
      </c>
      <c r="I1005" s="358" t="n">
        <v>0</v>
      </c>
      <c r="J1005" s="358" t="n">
        <v>0</v>
      </c>
      <c r="K1005" s="358" t="n">
        <v>0</v>
      </c>
      <c r="L1005" s="358" t="n">
        <v>0</v>
      </c>
      <c r="M1005" s="381" t="n">
        <v>0</v>
      </c>
      <c r="N1005" s="381" t="n">
        <v>0</v>
      </c>
      <c r="O1005" s="381" t="n">
        <v>0</v>
      </c>
      <c r="P1005" s="359" t="n">
        <v>0</v>
      </c>
    </row>
    <row r="1006" customFormat="false" ht="15" hidden="true" customHeight="false" outlineLevel="0" collapsed="false">
      <c r="B1006" s="360" t="s">
        <v>3378</v>
      </c>
      <c r="C1006" s="381" t="n">
        <v>1</v>
      </c>
      <c r="D1006" s="381" t="n">
        <v>0</v>
      </c>
      <c r="E1006" s="381" t="n">
        <v>0</v>
      </c>
      <c r="F1006" s="359" t="n">
        <v>1</v>
      </c>
      <c r="G1006" s="380" t="n">
        <v>0</v>
      </c>
      <c r="H1006" s="358" t="n">
        <v>0</v>
      </c>
      <c r="I1006" s="358" t="n">
        <v>0</v>
      </c>
      <c r="J1006" s="358" t="n">
        <v>0</v>
      </c>
      <c r="K1006" s="358" t="n">
        <v>0</v>
      </c>
      <c r="L1006" s="358" t="n">
        <v>0</v>
      </c>
      <c r="M1006" s="381" t="n">
        <v>1</v>
      </c>
      <c r="N1006" s="381" t="n">
        <v>0</v>
      </c>
      <c r="O1006" s="381" t="n">
        <v>0</v>
      </c>
      <c r="P1006" s="359" t="n">
        <v>1</v>
      </c>
    </row>
    <row r="1007" customFormat="false" ht="15" hidden="true" customHeight="false" outlineLevel="0" collapsed="false">
      <c r="B1007" s="360" t="s">
        <v>3379</v>
      </c>
      <c r="C1007" s="381" t="n">
        <v>1</v>
      </c>
      <c r="D1007" s="381" t="n">
        <v>0</v>
      </c>
      <c r="E1007" s="381" t="n">
        <v>0</v>
      </c>
      <c r="F1007" s="359" t="n">
        <v>1</v>
      </c>
      <c r="G1007" s="380" t="n">
        <v>0</v>
      </c>
      <c r="H1007" s="358" t="n">
        <v>0</v>
      </c>
      <c r="I1007" s="358" t="n">
        <v>0</v>
      </c>
      <c r="J1007" s="358" t="n">
        <v>0</v>
      </c>
      <c r="K1007" s="358" t="n">
        <v>0</v>
      </c>
      <c r="L1007" s="358" t="n">
        <v>0</v>
      </c>
      <c r="M1007" s="381" t="n">
        <v>1</v>
      </c>
      <c r="N1007" s="381" t="n">
        <v>0</v>
      </c>
      <c r="O1007" s="381" t="n">
        <v>0</v>
      </c>
      <c r="P1007" s="359" t="n">
        <v>1</v>
      </c>
    </row>
    <row r="1008" customFormat="false" ht="15" hidden="true" customHeight="false" outlineLevel="0" collapsed="false">
      <c r="B1008" s="360" t="s">
        <v>3380</v>
      </c>
      <c r="C1008" s="381" t="n">
        <v>1</v>
      </c>
      <c r="D1008" s="381" t="n">
        <v>0</v>
      </c>
      <c r="E1008" s="381" t="n">
        <v>0</v>
      </c>
      <c r="F1008" s="359" t="n">
        <v>1</v>
      </c>
      <c r="G1008" s="380" t="n">
        <v>0</v>
      </c>
      <c r="H1008" s="358" t="n">
        <v>0</v>
      </c>
      <c r="I1008" s="358" t="n">
        <v>0</v>
      </c>
      <c r="J1008" s="358" t="n">
        <v>0</v>
      </c>
      <c r="K1008" s="358" t="n">
        <v>0</v>
      </c>
      <c r="L1008" s="358" t="n">
        <v>0</v>
      </c>
      <c r="M1008" s="381" t="n">
        <v>1</v>
      </c>
      <c r="N1008" s="381" t="n">
        <v>0</v>
      </c>
      <c r="O1008" s="381" t="n">
        <v>0</v>
      </c>
      <c r="P1008" s="359" t="n">
        <v>1</v>
      </c>
    </row>
    <row r="1009" customFormat="false" ht="15" hidden="true" customHeight="false" outlineLevel="0" collapsed="false">
      <c r="B1009" s="360" t="s">
        <v>3381</v>
      </c>
      <c r="C1009" s="381" t="n">
        <v>1</v>
      </c>
      <c r="D1009" s="381" t="n">
        <v>0</v>
      </c>
      <c r="E1009" s="381" t="n">
        <v>0</v>
      </c>
      <c r="F1009" s="359" t="n">
        <v>1</v>
      </c>
      <c r="G1009" s="380" t="n">
        <v>0</v>
      </c>
      <c r="H1009" s="358" t="n">
        <v>0</v>
      </c>
      <c r="I1009" s="358" t="n">
        <v>0</v>
      </c>
      <c r="J1009" s="358" t="n">
        <v>0</v>
      </c>
      <c r="K1009" s="358" t="n">
        <v>0</v>
      </c>
      <c r="L1009" s="358" t="n">
        <v>0</v>
      </c>
      <c r="M1009" s="381" t="n">
        <v>1</v>
      </c>
      <c r="N1009" s="381" t="n">
        <v>0</v>
      </c>
      <c r="O1009" s="381" t="n">
        <v>0</v>
      </c>
      <c r="P1009" s="359" t="n">
        <v>1</v>
      </c>
    </row>
    <row r="1010" customFormat="false" ht="15" hidden="true" customHeight="false" outlineLevel="0" collapsed="false">
      <c r="B1010" s="360" t="s">
        <v>3382</v>
      </c>
      <c r="C1010" s="381" t="n">
        <v>1</v>
      </c>
      <c r="D1010" s="381" t="n">
        <v>0</v>
      </c>
      <c r="E1010" s="381" t="n">
        <v>0</v>
      </c>
      <c r="F1010" s="359" t="n">
        <v>1</v>
      </c>
      <c r="G1010" s="380" t="n">
        <v>0</v>
      </c>
      <c r="H1010" s="358" t="n">
        <v>0</v>
      </c>
      <c r="I1010" s="358" t="n">
        <v>0</v>
      </c>
      <c r="J1010" s="358" t="n">
        <v>0</v>
      </c>
      <c r="K1010" s="358" t="n">
        <v>0</v>
      </c>
      <c r="L1010" s="358" t="n">
        <v>0</v>
      </c>
      <c r="M1010" s="381" t="n">
        <v>1</v>
      </c>
      <c r="N1010" s="381" t="n">
        <v>0</v>
      </c>
      <c r="O1010" s="381" t="n">
        <v>0</v>
      </c>
      <c r="P1010" s="359" t="n">
        <v>1</v>
      </c>
    </row>
    <row r="1011" customFormat="false" ht="15" hidden="true" customHeight="false" outlineLevel="0" collapsed="false">
      <c r="B1011" s="360" t="s">
        <v>3383</v>
      </c>
      <c r="C1011" s="381" t="n">
        <v>1</v>
      </c>
      <c r="D1011" s="381" t="n">
        <v>0</v>
      </c>
      <c r="E1011" s="381" t="n">
        <v>0</v>
      </c>
      <c r="F1011" s="359" t="n">
        <v>1</v>
      </c>
      <c r="G1011" s="380" t="n">
        <v>0</v>
      </c>
      <c r="H1011" s="358" t="n">
        <v>0</v>
      </c>
      <c r="I1011" s="358" t="n">
        <v>0</v>
      </c>
      <c r="J1011" s="358" t="n">
        <v>0</v>
      </c>
      <c r="K1011" s="358" t="n">
        <v>0</v>
      </c>
      <c r="L1011" s="358" t="n">
        <v>0</v>
      </c>
      <c r="M1011" s="381" t="n">
        <v>1</v>
      </c>
      <c r="N1011" s="381" t="n">
        <v>0</v>
      </c>
      <c r="O1011" s="381" t="n">
        <v>0</v>
      </c>
      <c r="P1011" s="359" t="n">
        <v>1</v>
      </c>
    </row>
    <row r="1012" customFormat="false" ht="15" hidden="true" customHeight="false" outlineLevel="0" collapsed="false">
      <c r="B1012" s="360" t="s">
        <v>3384</v>
      </c>
      <c r="C1012" s="381" t="n">
        <v>1</v>
      </c>
      <c r="D1012" s="381" t="n">
        <v>0</v>
      </c>
      <c r="E1012" s="381" t="n">
        <v>0</v>
      </c>
      <c r="F1012" s="359" t="n">
        <v>1</v>
      </c>
      <c r="G1012" s="380" t="n">
        <v>0</v>
      </c>
      <c r="H1012" s="358" t="n">
        <v>0</v>
      </c>
      <c r="I1012" s="358" t="n">
        <v>0</v>
      </c>
      <c r="J1012" s="358" t="n">
        <v>0</v>
      </c>
      <c r="K1012" s="358" t="n">
        <v>0</v>
      </c>
      <c r="L1012" s="358" t="n">
        <v>0</v>
      </c>
      <c r="M1012" s="381" t="n">
        <v>1</v>
      </c>
      <c r="N1012" s="381" t="n">
        <v>0</v>
      </c>
      <c r="O1012" s="381" t="n">
        <v>0</v>
      </c>
      <c r="P1012" s="359" t="n">
        <v>1</v>
      </c>
    </row>
    <row r="1013" customFormat="false" ht="15" hidden="true" customHeight="false" outlineLevel="0" collapsed="false">
      <c r="B1013" s="360" t="s">
        <v>3385</v>
      </c>
      <c r="C1013" s="381" t="n">
        <v>1</v>
      </c>
      <c r="D1013" s="381" t="n">
        <v>0</v>
      </c>
      <c r="E1013" s="381" t="n">
        <v>0</v>
      </c>
      <c r="F1013" s="359" t="n">
        <v>1</v>
      </c>
      <c r="G1013" s="380" t="n">
        <v>0</v>
      </c>
      <c r="H1013" s="358" t="n">
        <v>0</v>
      </c>
      <c r="I1013" s="358" t="n">
        <v>0</v>
      </c>
      <c r="J1013" s="358" t="n">
        <v>0</v>
      </c>
      <c r="K1013" s="358" t="n">
        <v>0</v>
      </c>
      <c r="L1013" s="358" t="n">
        <v>0</v>
      </c>
      <c r="M1013" s="381" t="n">
        <v>1</v>
      </c>
      <c r="N1013" s="381" t="n">
        <v>0</v>
      </c>
      <c r="O1013" s="381" t="n">
        <v>0</v>
      </c>
      <c r="P1013" s="359" t="n">
        <v>1</v>
      </c>
    </row>
    <row r="1014" customFormat="false" ht="15" hidden="true" customHeight="false" outlineLevel="0" collapsed="false">
      <c r="B1014" s="360" t="s">
        <v>3386</v>
      </c>
      <c r="C1014" s="381" t="n">
        <v>1</v>
      </c>
      <c r="D1014" s="381" t="n">
        <v>0</v>
      </c>
      <c r="E1014" s="381" t="n">
        <v>0</v>
      </c>
      <c r="F1014" s="359" t="n">
        <v>1</v>
      </c>
      <c r="G1014" s="380" t="n">
        <v>0</v>
      </c>
      <c r="H1014" s="358" t="n">
        <v>0</v>
      </c>
      <c r="I1014" s="358" t="n">
        <v>0</v>
      </c>
      <c r="J1014" s="358" t="n">
        <v>0</v>
      </c>
      <c r="K1014" s="358" t="n">
        <v>0</v>
      </c>
      <c r="L1014" s="358" t="n">
        <v>0</v>
      </c>
      <c r="M1014" s="381" t="n">
        <v>1</v>
      </c>
      <c r="N1014" s="381" t="n">
        <v>0</v>
      </c>
      <c r="O1014" s="381" t="n">
        <v>0</v>
      </c>
      <c r="P1014" s="359" t="n">
        <v>1</v>
      </c>
    </row>
    <row r="1015" customFormat="false" ht="15" hidden="true" customHeight="false" outlineLevel="0" collapsed="false">
      <c r="B1015" s="360" t="s">
        <v>3387</v>
      </c>
      <c r="C1015" s="381" t="n">
        <v>1</v>
      </c>
      <c r="D1015" s="381" t="n">
        <v>0</v>
      </c>
      <c r="E1015" s="381" t="n">
        <v>0</v>
      </c>
      <c r="F1015" s="359" t="n">
        <v>1</v>
      </c>
      <c r="G1015" s="380" t="n">
        <v>0</v>
      </c>
      <c r="H1015" s="358" t="n">
        <v>0</v>
      </c>
      <c r="I1015" s="358" t="n">
        <v>0</v>
      </c>
      <c r="J1015" s="358" t="n">
        <v>0</v>
      </c>
      <c r="K1015" s="358" t="n">
        <v>0</v>
      </c>
      <c r="L1015" s="358" t="n">
        <v>0</v>
      </c>
      <c r="M1015" s="381" t="n">
        <v>1</v>
      </c>
      <c r="N1015" s="381" t="n">
        <v>0</v>
      </c>
      <c r="O1015" s="381" t="n">
        <v>0</v>
      </c>
      <c r="P1015" s="359" t="n">
        <v>1</v>
      </c>
    </row>
    <row r="1016" customFormat="false" ht="15" hidden="true" customHeight="false" outlineLevel="0" collapsed="false">
      <c r="B1016" s="360" t="s">
        <v>3388</v>
      </c>
      <c r="C1016" s="381" t="n">
        <v>1</v>
      </c>
      <c r="D1016" s="381" t="n">
        <v>0</v>
      </c>
      <c r="E1016" s="381" t="n">
        <v>0</v>
      </c>
      <c r="F1016" s="359" t="n">
        <v>1</v>
      </c>
      <c r="G1016" s="380" t="n">
        <v>0</v>
      </c>
      <c r="H1016" s="358" t="n">
        <v>0</v>
      </c>
      <c r="I1016" s="358" t="n">
        <v>0</v>
      </c>
      <c r="J1016" s="358" t="n">
        <v>0</v>
      </c>
      <c r="K1016" s="358" t="n">
        <v>0</v>
      </c>
      <c r="L1016" s="358" t="n">
        <v>0</v>
      </c>
      <c r="M1016" s="381" t="n">
        <v>1</v>
      </c>
      <c r="N1016" s="381" t="n">
        <v>0</v>
      </c>
      <c r="O1016" s="381" t="n">
        <v>0</v>
      </c>
      <c r="P1016" s="359" t="n">
        <v>1</v>
      </c>
    </row>
    <row r="1017" customFormat="false" ht="15" hidden="true" customHeight="false" outlineLevel="0" collapsed="false">
      <c r="B1017" s="360" t="s">
        <v>3389</v>
      </c>
      <c r="C1017" s="381" t="n">
        <v>1</v>
      </c>
      <c r="D1017" s="381" t="n">
        <v>0</v>
      </c>
      <c r="E1017" s="381" t="n">
        <v>0</v>
      </c>
      <c r="F1017" s="359" t="n">
        <v>1</v>
      </c>
      <c r="G1017" s="380" t="n">
        <v>0</v>
      </c>
      <c r="H1017" s="358" t="n">
        <v>0</v>
      </c>
      <c r="I1017" s="358" t="n">
        <v>0</v>
      </c>
      <c r="J1017" s="358" t="n">
        <v>0</v>
      </c>
      <c r="K1017" s="358" t="n">
        <v>0</v>
      </c>
      <c r="L1017" s="358" t="n">
        <v>0</v>
      </c>
      <c r="M1017" s="381" t="n">
        <v>1</v>
      </c>
      <c r="N1017" s="381" t="n">
        <v>0</v>
      </c>
      <c r="O1017" s="381" t="n">
        <v>0</v>
      </c>
      <c r="P1017" s="359" t="n">
        <v>1</v>
      </c>
    </row>
    <row r="1018" customFormat="false" ht="15" hidden="true" customHeight="false" outlineLevel="0" collapsed="false">
      <c r="B1018" s="360" t="s">
        <v>3390</v>
      </c>
      <c r="C1018" s="381" t="n">
        <v>1</v>
      </c>
      <c r="D1018" s="381" t="n">
        <v>0</v>
      </c>
      <c r="E1018" s="381" t="n">
        <v>0</v>
      </c>
      <c r="F1018" s="359" t="n">
        <v>1</v>
      </c>
      <c r="G1018" s="380" t="n">
        <v>0</v>
      </c>
      <c r="H1018" s="358" t="n">
        <v>0</v>
      </c>
      <c r="I1018" s="358" t="n">
        <v>0</v>
      </c>
      <c r="J1018" s="358" t="n">
        <v>0</v>
      </c>
      <c r="K1018" s="358" t="n">
        <v>0</v>
      </c>
      <c r="L1018" s="358" t="n">
        <v>0</v>
      </c>
      <c r="M1018" s="381" t="n">
        <v>1</v>
      </c>
      <c r="N1018" s="381" t="n">
        <v>0</v>
      </c>
      <c r="O1018" s="381" t="n">
        <v>0</v>
      </c>
      <c r="P1018" s="359" t="n">
        <v>1</v>
      </c>
    </row>
    <row r="1019" customFormat="false" ht="15" hidden="true" customHeight="false" outlineLevel="0" collapsed="false">
      <c r="B1019" s="360" t="s">
        <v>3391</v>
      </c>
      <c r="C1019" s="381" t="n">
        <v>1</v>
      </c>
      <c r="D1019" s="381" t="n">
        <v>0</v>
      </c>
      <c r="E1019" s="381" t="n">
        <v>0</v>
      </c>
      <c r="F1019" s="359" t="n">
        <v>1</v>
      </c>
      <c r="G1019" s="380" t="n">
        <v>0</v>
      </c>
      <c r="H1019" s="358" t="n">
        <v>0</v>
      </c>
      <c r="I1019" s="358" t="n">
        <v>0</v>
      </c>
      <c r="J1019" s="358" t="n">
        <v>0</v>
      </c>
      <c r="K1019" s="358" t="n">
        <v>0</v>
      </c>
      <c r="L1019" s="358" t="n">
        <v>0</v>
      </c>
      <c r="M1019" s="381" t="n">
        <v>1</v>
      </c>
      <c r="N1019" s="381" t="n">
        <v>0</v>
      </c>
      <c r="O1019" s="381" t="n">
        <v>0</v>
      </c>
      <c r="P1019" s="359" t="n">
        <v>1</v>
      </c>
    </row>
    <row r="1020" customFormat="false" ht="15" hidden="true" customHeight="false" outlineLevel="0" collapsed="false">
      <c r="B1020" s="360" t="s">
        <v>3392</v>
      </c>
      <c r="C1020" s="381" t="n">
        <v>1</v>
      </c>
      <c r="D1020" s="381" t="n">
        <v>0</v>
      </c>
      <c r="E1020" s="381" t="n">
        <v>0</v>
      </c>
      <c r="F1020" s="359" t="n">
        <v>1</v>
      </c>
      <c r="G1020" s="380" t="n">
        <v>0</v>
      </c>
      <c r="H1020" s="358" t="n">
        <v>0</v>
      </c>
      <c r="I1020" s="358" t="n">
        <v>0</v>
      </c>
      <c r="J1020" s="358" t="n">
        <v>0</v>
      </c>
      <c r="K1020" s="358" t="n">
        <v>0</v>
      </c>
      <c r="L1020" s="358" t="n">
        <v>0</v>
      </c>
      <c r="M1020" s="381" t="n">
        <v>1</v>
      </c>
      <c r="N1020" s="381" t="n">
        <v>0</v>
      </c>
      <c r="O1020" s="381" t="n">
        <v>0</v>
      </c>
      <c r="P1020" s="359" t="n">
        <v>1</v>
      </c>
    </row>
    <row r="1021" customFormat="false" ht="15" hidden="true" customHeight="false" outlineLevel="0" collapsed="false">
      <c r="B1021" s="360" t="s">
        <v>3393</v>
      </c>
      <c r="C1021" s="381" t="n">
        <v>1</v>
      </c>
      <c r="D1021" s="381" t="n">
        <v>0</v>
      </c>
      <c r="E1021" s="381" t="n">
        <v>0</v>
      </c>
      <c r="F1021" s="359" t="n">
        <v>1</v>
      </c>
      <c r="G1021" s="380" t="n">
        <v>0</v>
      </c>
      <c r="H1021" s="358" t="n">
        <v>0</v>
      </c>
      <c r="I1021" s="358" t="n">
        <v>0</v>
      </c>
      <c r="J1021" s="358" t="n">
        <v>0</v>
      </c>
      <c r="K1021" s="358" t="n">
        <v>0</v>
      </c>
      <c r="L1021" s="358" t="n">
        <v>0</v>
      </c>
      <c r="M1021" s="381" t="n">
        <v>1</v>
      </c>
      <c r="N1021" s="381" t="n">
        <v>0</v>
      </c>
      <c r="O1021" s="381" t="n">
        <v>0</v>
      </c>
      <c r="P1021" s="359" t="n">
        <v>1</v>
      </c>
    </row>
    <row r="1022" customFormat="false" ht="15" hidden="true" customHeight="false" outlineLevel="0" collapsed="false">
      <c r="B1022" s="360" t="s">
        <v>3394</v>
      </c>
      <c r="C1022" s="381" t="n">
        <v>1</v>
      </c>
      <c r="D1022" s="381" t="n">
        <v>0</v>
      </c>
      <c r="E1022" s="381" t="n">
        <v>0</v>
      </c>
      <c r="F1022" s="359" t="n">
        <v>1</v>
      </c>
      <c r="G1022" s="380" t="n">
        <v>0</v>
      </c>
      <c r="H1022" s="358" t="n">
        <v>0</v>
      </c>
      <c r="I1022" s="358" t="n">
        <v>0</v>
      </c>
      <c r="J1022" s="358" t="n">
        <v>0</v>
      </c>
      <c r="K1022" s="358" t="n">
        <v>0</v>
      </c>
      <c r="L1022" s="358" t="n">
        <v>0</v>
      </c>
      <c r="M1022" s="381" t="n">
        <v>1</v>
      </c>
      <c r="N1022" s="381" t="n">
        <v>0</v>
      </c>
      <c r="O1022" s="381" t="n">
        <v>0</v>
      </c>
      <c r="P1022" s="359" t="n">
        <v>1</v>
      </c>
    </row>
    <row r="1023" customFormat="false" ht="15" hidden="true" customHeight="false" outlineLevel="0" collapsed="false">
      <c r="B1023" s="360" t="s">
        <v>3395</v>
      </c>
      <c r="C1023" s="381" t="n">
        <v>1</v>
      </c>
      <c r="D1023" s="381" t="n">
        <v>0</v>
      </c>
      <c r="E1023" s="381" t="n">
        <v>0</v>
      </c>
      <c r="F1023" s="359" t="n">
        <v>1</v>
      </c>
      <c r="G1023" s="380" t="n">
        <v>0</v>
      </c>
      <c r="H1023" s="358" t="n">
        <v>0</v>
      </c>
      <c r="I1023" s="358" t="n">
        <v>0</v>
      </c>
      <c r="J1023" s="358" t="n">
        <v>0</v>
      </c>
      <c r="K1023" s="358" t="n">
        <v>0</v>
      </c>
      <c r="L1023" s="358" t="n">
        <v>0</v>
      </c>
      <c r="M1023" s="381" t="n">
        <v>1</v>
      </c>
      <c r="N1023" s="381" t="n">
        <v>0</v>
      </c>
      <c r="O1023" s="381" t="n">
        <v>0</v>
      </c>
      <c r="P1023" s="359" t="n">
        <v>1</v>
      </c>
    </row>
    <row r="1024" customFormat="false" ht="15" hidden="true" customHeight="false" outlineLevel="0" collapsed="false">
      <c r="B1024" s="360" t="s">
        <v>3396</v>
      </c>
      <c r="C1024" s="381" t="n">
        <v>1</v>
      </c>
      <c r="D1024" s="381" t="n">
        <v>0</v>
      </c>
      <c r="E1024" s="381" t="n">
        <v>0</v>
      </c>
      <c r="F1024" s="359" t="n">
        <v>1</v>
      </c>
      <c r="G1024" s="380" t="n">
        <v>0</v>
      </c>
      <c r="H1024" s="358" t="n">
        <v>0</v>
      </c>
      <c r="I1024" s="358" t="n">
        <v>0</v>
      </c>
      <c r="J1024" s="358" t="n">
        <v>0</v>
      </c>
      <c r="K1024" s="358" t="n">
        <v>0</v>
      </c>
      <c r="L1024" s="358" t="n">
        <v>0</v>
      </c>
      <c r="M1024" s="381" t="n">
        <v>1</v>
      </c>
      <c r="N1024" s="381" t="n">
        <v>0</v>
      </c>
      <c r="O1024" s="381" t="n">
        <v>0</v>
      </c>
      <c r="P1024" s="359" t="n">
        <v>1</v>
      </c>
    </row>
    <row r="1025" customFormat="false" ht="15" hidden="false" customHeight="false" outlineLevel="0" collapsed="false">
      <c r="B1025" s="356" t="s">
        <v>2475</v>
      </c>
      <c r="C1025" s="379" t="n">
        <v>6</v>
      </c>
      <c r="D1025" s="379" t="n">
        <v>0</v>
      </c>
      <c r="E1025" s="379" t="n">
        <v>0</v>
      </c>
      <c r="F1025" s="357" t="n">
        <v>6</v>
      </c>
      <c r="G1025" s="380" t="n">
        <v>0</v>
      </c>
      <c r="H1025" s="358" t="n">
        <v>0</v>
      </c>
      <c r="I1025" s="358" t="n">
        <v>0</v>
      </c>
      <c r="J1025" s="358" t="n">
        <v>0</v>
      </c>
      <c r="K1025" s="358" t="n">
        <v>0</v>
      </c>
      <c r="L1025" s="358" t="n">
        <v>0</v>
      </c>
      <c r="M1025" s="379" t="n">
        <v>6</v>
      </c>
      <c r="N1025" s="379" t="n">
        <v>0</v>
      </c>
      <c r="O1025" s="379" t="n">
        <v>0</v>
      </c>
      <c r="P1025" s="357" t="n">
        <v>6</v>
      </c>
    </row>
    <row r="1026" customFormat="false" ht="15" hidden="true" customHeight="false" outlineLevel="0" collapsed="false">
      <c r="B1026" s="360" t="s">
        <v>3397</v>
      </c>
      <c r="C1026" s="381" t="n">
        <v>1</v>
      </c>
      <c r="D1026" s="381" t="n">
        <v>0</v>
      </c>
      <c r="E1026" s="381" t="n">
        <v>0</v>
      </c>
      <c r="F1026" s="359" t="n">
        <v>1</v>
      </c>
      <c r="G1026" s="380" t="n">
        <v>0</v>
      </c>
      <c r="H1026" s="358" t="n">
        <v>0</v>
      </c>
      <c r="I1026" s="358" t="n">
        <v>0</v>
      </c>
      <c r="J1026" s="358" t="n">
        <v>0</v>
      </c>
      <c r="K1026" s="358" t="n">
        <v>0</v>
      </c>
      <c r="L1026" s="358" t="n">
        <v>0</v>
      </c>
      <c r="M1026" s="381" t="n">
        <v>1</v>
      </c>
      <c r="N1026" s="381" t="n">
        <v>0</v>
      </c>
      <c r="O1026" s="381" t="n">
        <v>0</v>
      </c>
      <c r="P1026" s="359" t="n">
        <v>1</v>
      </c>
    </row>
    <row r="1027" customFormat="false" ht="15" hidden="true" customHeight="false" outlineLevel="0" collapsed="false">
      <c r="B1027" s="360" t="s">
        <v>3398</v>
      </c>
      <c r="C1027" s="381" t="n">
        <v>1</v>
      </c>
      <c r="D1027" s="381" t="n">
        <v>0</v>
      </c>
      <c r="E1027" s="381" t="n">
        <v>0</v>
      </c>
      <c r="F1027" s="359" t="n">
        <v>1</v>
      </c>
      <c r="G1027" s="380" t="n">
        <v>0</v>
      </c>
      <c r="H1027" s="358" t="n">
        <v>0</v>
      </c>
      <c r="I1027" s="358" t="n">
        <v>0</v>
      </c>
      <c r="J1027" s="358" t="n">
        <v>0</v>
      </c>
      <c r="K1027" s="358" t="n">
        <v>0</v>
      </c>
      <c r="L1027" s="358" t="n">
        <v>0</v>
      </c>
      <c r="M1027" s="381" t="n">
        <v>1</v>
      </c>
      <c r="N1027" s="381" t="n">
        <v>0</v>
      </c>
      <c r="O1027" s="381" t="n">
        <v>0</v>
      </c>
      <c r="P1027" s="359" t="n">
        <v>1</v>
      </c>
    </row>
    <row r="1028" customFormat="false" ht="15" hidden="true" customHeight="false" outlineLevel="0" collapsed="false">
      <c r="B1028" s="360" t="s">
        <v>3399</v>
      </c>
      <c r="C1028" s="381" t="n">
        <v>1</v>
      </c>
      <c r="D1028" s="381" t="n">
        <v>0</v>
      </c>
      <c r="E1028" s="381" t="n">
        <v>0</v>
      </c>
      <c r="F1028" s="359" t="n">
        <v>1</v>
      </c>
      <c r="G1028" s="380" t="n">
        <v>0</v>
      </c>
      <c r="H1028" s="358" t="n">
        <v>0</v>
      </c>
      <c r="I1028" s="358" t="n">
        <v>0</v>
      </c>
      <c r="J1028" s="358" t="n">
        <v>0</v>
      </c>
      <c r="K1028" s="358" t="n">
        <v>0</v>
      </c>
      <c r="L1028" s="358" t="n">
        <v>0</v>
      </c>
      <c r="M1028" s="381" t="n">
        <v>1</v>
      </c>
      <c r="N1028" s="381" t="n">
        <v>0</v>
      </c>
      <c r="O1028" s="381" t="n">
        <v>0</v>
      </c>
      <c r="P1028" s="359" t="n">
        <v>1</v>
      </c>
    </row>
    <row r="1029" customFormat="false" ht="15" hidden="true" customHeight="false" outlineLevel="0" collapsed="false">
      <c r="B1029" s="360" t="s">
        <v>3400</v>
      </c>
      <c r="C1029" s="381" t="n">
        <v>1</v>
      </c>
      <c r="D1029" s="381" t="n">
        <v>0</v>
      </c>
      <c r="E1029" s="381" t="n">
        <v>0</v>
      </c>
      <c r="F1029" s="359" t="n">
        <v>1</v>
      </c>
      <c r="G1029" s="380" t="n">
        <v>0</v>
      </c>
      <c r="H1029" s="358" t="n">
        <v>0</v>
      </c>
      <c r="I1029" s="358" t="n">
        <v>0</v>
      </c>
      <c r="J1029" s="358" t="n">
        <v>0</v>
      </c>
      <c r="K1029" s="358" t="n">
        <v>0</v>
      </c>
      <c r="L1029" s="358" t="n">
        <v>0</v>
      </c>
      <c r="M1029" s="381" t="n">
        <v>1</v>
      </c>
      <c r="N1029" s="381" t="n">
        <v>0</v>
      </c>
      <c r="O1029" s="381" t="n">
        <v>0</v>
      </c>
      <c r="P1029" s="359" t="n">
        <v>1</v>
      </c>
    </row>
    <row r="1030" customFormat="false" ht="15" hidden="true" customHeight="false" outlineLevel="0" collapsed="false">
      <c r="B1030" s="360" t="s">
        <v>3401</v>
      </c>
      <c r="C1030" s="381" t="n">
        <v>1</v>
      </c>
      <c r="D1030" s="381" t="n">
        <v>0</v>
      </c>
      <c r="E1030" s="381" t="n">
        <v>0</v>
      </c>
      <c r="F1030" s="359" t="n">
        <v>1</v>
      </c>
      <c r="G1030" s="380" t="n">
        <v>0</v>
      </c>
      <c r="H1030" s="358" t="n">
        <v>0</v>
      </c>
      <c r="I1030" s="358" t="n">
        <v>0</v>
      </c>
      <c r="J1030" s="358" t="n">
        <v>0</v>
      </c>
      <c r="K1030" s="358" t="n">
        <v>0</v>
      </c>
      <c r="L1030" s="358" t="n">
        <v>0</v>
      </c>
      <c r="M1030" s="381" t="n">
        <v>1</v>
      </c>
      <c r="N1030" s="381" t="n">
        <v>0</v>
      </c>
      <c r="O1030" s="381" t="n">
        <v>0</v>
      </c>
      <c r="P1030" s="359" t="n">
        <v>1</v>
      </c>
    </row>
    <row r="1031" customFormat="false" ht="15" hidden="true" customHeight="false" outlineLevel="0" collapsed="false">
      <c r="B1031" s="360" t="s">
        <v>3402</v>
      </c>
      <c r="C1031" s="381" t="n">
        <v>1</v>
      </c>
      <c r="D1031" s="381" t="n">
        <v>0</v>
      </c>
      <c r="E1031" s="381" t="n">
        <v>0</v>
      </c>
      <c r="F1031" s="359" t="n">
        <v>1</v>
      </c>
      <c r="G1031" s="380" t="n">
        <v>0</v>
      </c>
      <c r="H1031" s="358" t="n">
        <v>0</v>
      </c>
      <c r="I1031" s="358" t="n">
        <v>0</v>
      </c>
      <c r="J1031" s="358" t="n">
        <v>0</v>
      </c>
      <c r="K1031" s="358" t="n">
        <v>0</v>
      </c>
      <c r="L1031" s="358" t="n">
        <v>0</v>
      </c>
      <c r="M1031" s="381" t="n">
        <v>1</v>
      </c>
      <c r="N1031" s="381" t="n">
        <v>0</v>
      </c>
      <c r="O1031" s="381" t="n">
        <v>0</v>
      </c>
      <c r="P1031" s="359" t="n">
        <v>1</v>
      </c>
    </row>
    <row r="1032" customFormat="false" ht="15" hidden="false" customHeight="false" outlineLevel="0" collapsed="false">
      <c r="B1032" s="356" t="s">
        <v>2476</v>
      </c>
      <c r="C1032" s="379" t="n">
        <v>27</v>
      </c>
      <c r="D1032" s="379" t="n">
        <v>4</v>
      </c>
      <c r="E1032" s="379" t="n">
        <v>2</v>
      </c>
      <c r="F1032" s="357" t="n">
        <v>33</v>
      </c>
      <c r="G1032" s="380" t="n">
        <v>0</v>
      </c>
      <c r="H1032" s="358" t="n">
        <v>0</v>
      </c>
      <c r="I1032" s="358" t="n">
        <v>0</v>
      </c>
      <c r="J1032" s="358" t="n">
        <v>0</v>
      </c>
      <c r="K1032" s="358" t="n">
        <v>0</v>
      </c>
      <c r="L1032" s="358" t="n">
        <v>0</v>
      </c>
      <c r="M1032" s="379" t="n">
        <v>27</v>
      </c>
      <c r="N1032" s="379" t="n">
        <v>4</v>
      </c>
      <c r="O1032" s="379" t="n">
        <v>2</v>
      </c>
      <c r="P1032" s="357" t="n">
        <v>33</v>
      </c>
    </row>
    <row r="1033" customFormat="false" ht="15" hidden="false" customHeight="false" outlineLevel="0" collapsed="false">
      <c r="B1033" s="364" t="s">
        <v>2476</v>
      </c>
      <c r="C1033" s="385" t="n">
        <v>21</v>
      </c>
      <c r="D1033" s="385" t="n">
        <v>3</v>
      </c>
      <c r="E1033" s="385" t="n">
        <v>1</v>
      </c>
      <c r="F1033" s="365" t="n">
        <v>25</v>
      </c>
      <c r="G1033" s="380" t="n">
        <v>0</v>
      </c>
      <c r="H1033" s="358" t="n">
        <v>0</v>
      </c>
      <c r="I1033" s="358" t="n">
        <v>0</v>
      </c>
      <c r="J1033" s="358" t="n">
        <v>0</v>
      </c>
      <c r="K1033" s="358" t="n">
        <v>0</v>
      </c>
      <c r="L1033" s="358" t="n">
        <v>0</v>
      </c>
      <c r="M1033" s="385" t="n">
        <v>21</v>
      </c>
      <c r="N1033" s="385" t="n">
        <v>3</v>
      </c>
      <c r="O1033" s="385" t="n">
        <v>1</v>
      </c>
      <c r="P1033" s="365" t="n">
        <v>25</v>
      </c>
    </row>
    <row r="1034" customFormat="false" ht="15" hidden="true" customHeight="false" outlineLevel="0" collapsed="false">
      <c r="B1034" s="360" t="s">
        <v>3610</v>
      </c>
      <c r="C1034" s="385" t="n">
        <v>0</v>
      </c>
      <c r="D1034" s="385" t="n">
        <v>1</v>
      </c>
      <c r="E1034" s="385" t="n">
        <v>0</v>
      </c>
      <c r="F1034" s="365" t="n">
        <v>1</v>
      </c>
      <c r="G1034" s="380" t="n">
        <v>0</v>
      </c>
      <c r="H1034" s="358" t="n">
        <v>0</v>
      </c>
      <c r="I1034" s="358" t="n">
        <v>0</v>
      </c>
      <c r="J1034" s="358" t="n">
        <v>0</v>
      </c>
      <c r="K1034" s="358" t="n">
        <v>0</v>
      </c>
      <c r="L1034" s="358" t="n">
        <v>0</v>
      </c>
      <c r="M1034" s="385" t="n">
        <v>0</v>
      </c>
      <c r="N1034" s="385" t="n">
        <v>1</v>
      </c>
      <c r="O1034" s="385" t="n">
        <v>0</v>
      </c>
      <c r="P1034" s="365" t="n">
        <v>1</v>
      </c>
    </row>
    <row r="1035" customFormat="false" ht="15" hidden="true" customHeight="false" outlineLevel="0" collapsed="false">
      <c r="B1035" s="360" t="s">
        <v>3611</v>
      </c>
      <c r="C1035" s="385" t="n">
        <v>0</v>
      </c>
      <c r="D1035" s="385" t="n">
        <v>1</v>
      </c>
      <c r="E1035" s="385" t="n">
        <v>0</v>
      </c>
      <c r="F1035" s="365" t="n">
        <v>1</v>
      </c>
      <c r="G1035" s="380" t="n">
        <v>0</v>
      </c>
      <c r="H1035" s="358" t="n">
        <v>0</v>
      </c>
      <c r="I1035" s="358" t="n">
        <v>0</v>
      </c>
      <c r="J1035" s="358" t="n">
        <v>0</v>
      </c>
      <c r="K1035" s="358" t="n">
        <v>0</v>
      </c>
      <c r="L1035" s="358" t="n">
        <v>0</v>
      </c>
      <c r="M1035" s="385" t="n">
        <v>0</v>
      </c>
      <c r="N1035" s="385" t="n">
        <v>1</v>
      </c>
      <c r="O1035" s="385" t="n">
        <v>0</v>
      </c>
      <c r="P1035" s="365" t="n">
        <v>1</v>
      </c>
    </row>
    <row r="1036" customFormat="false" ht="15" hidden="true" customHeight="false" outlineLevel="0" collapsed="false">
      <c r="B1036" s="360" t="s">
        <v>3612</v>
      </c>
      <c r="C1036" s="385" t="n">
        <v>0</v>
      </c>
      <c r="D1036" s="385" t="n">
        <v>1</v>
      </c>
      <c r="E1036" s="385" t="n">
        <v>0</v>
      </c>
      <c r="F1036" s="365" t="n">
        <v>1</v>
      </c>
      <c r="G1036" s="380" t="n">
        <v>0</v>
      </c>
      <c r="H1036" s="358" t="n">
        <v>0</v>
      </c>
      <c r="I1036" s="358" t="n">
        <v>0</v>
      </c>
      <c r="J1036" s="358" t="n">
        <v>0</v>
      </c>
      <c r="K1036" s="358" t="n">
        <v>0</v>
      </c>
      <c r="L1036" s="358" t="n">
        <v>0</v>
      </c>
      <c r="M1036" s="385" t="n">
        <v>0</v>
      </c>
      <c r="N1036" s="385" t="n">
        <v>1</v>
      </c>
      <c r="O1036" s="385" t="n">
        <v>0</v>
      </c>
      <c r="P1036" s="365" t="n">
        <v>1</v>
      </c>
    </row>
    <row r="1037" customFormat="false" ht="15" hidden="true" customHeight="false" outlineLevel="0" collapsed="false">
      <c r="B1037" s="360" t="s">
        <v>3613</v>
      </c>
      <c r="C1037" s="385" t="n">
        <v>0</v>
      </c>
      <c r="D1037" s="385" t="n">
        <v>0</v>
      </c>
      <c r="E1037" s="385" t="n">
        <v>1</v>
      </c>
      <c r="F1037" s="365" t="n">
        <v>1</v>
      </c>
      <c r="G1037" s="380" t="n">
        <v>0</v>
      </c>
      <c r="H1037" s="358" t="n">
        <v>0</v>
      </c>
      <c r="I1037" s="358" t="n">
        <v>0</v>
      </c>
      <c r="J1037" s="358" t="n">
        <v>0</v>
      </c>
      <c r="K1037" s="358" t="n">
        <v>0</v>
      </c>
      <c r="L1037" s="358" t="n">
        <v>0</v>
      </c>
      <c r="M1037" s="385" t="n">
        <v>0</v>
      </c>
      <c r="N1037" s="385" t="n">
        <v>0</v>
      </c>
      <c r="O1037" s="385" t="n">
        <v>1</v>
      </c>
      <c r="P1037" s="365" t="n">
        <v>1</v>
      </c>
    </row>
    <row r="1038" customFormat="false" ht="15" hidden="true" customHeight="false" outlineLevel="0" collapsed="false">
      <c r="B1038" s="361" t="s">
        <v>3403</v>
      </c>
      <c r="C1038" s="385" t="n">
        <v>1</v>
      </c>
      <c r="D1038" s="385" t="n">
        <v>0</v>
      </c>
      <c r="E1038" s="385" t="n">
        <v>0</v>
      </c>
      <c r="F1038" s="365" t="n">
        <v>1</v>
      </c>
      <c r="G1038" s="380" t="n">
        <v>0</v>
      </c>
      <c r="H1038" s="358" t="n">
        <v>0</v>
      </c>
      <c r="I1038" s="358" t="n">
        <v>0</v>
      </c>
      <c r="J1038" s="358" t="n">
        <v>0</v>
      </c>
      <c r="K1038" s="358" t="n">
        <v>0</v>
      </c>
      <c r="L1038" s="358" t="n">
        <v>0</v>
      </c>
      <c r="M1038" s="385" t="n">
        <v>1</v>
      </c>
      <c r="N1038" s="385" t="n">
        <v>0</v>
      </c>
      <c r="O1038" s="385" t="n">
        <v>0</v>
      </c>
      <c r="P1038" s="365" t="n">
        <v>1</v>
      </c>
    </row>
    <row r="1039" customFormat="false" ht="15" hidden="true" customHeight="false" outlineLevel="0" collapsed="false">
      <c r="B1039" s="360" t="s">
        <v>3404</v>
      </c>
      <c r="C1039" s="385" t="n">
        <v>1</v>
      </c>
      <c r="D1039" s="385" t="n">
        <v>0</v>
      </c>
      <c r="E1039" s="385" t="n">
        <v>0</v>
      </c>
      <c r="F1039" s="365" t="n">
        <v>1</v>
      </c>
      <c r="G1039" s="380" t="n">
        <v>0</v>
      </c>
      <c r="H1039" s="358" t="n">
        <v>0</v>
      </c>
      <c r="I1039" s="358" t="n">
        <v>0</v>
      </c>
      <c r="J1039" s="358" t="n">
        <v>0</v>
      </c>
      <c r="K1039" s="358" t="n">
        <v>0</v>
      </c>
      <c r="L1039" s="358" t="n">
        <v>0</v>
      </c>
      <c r="M1039" s="385" t="n">
        <v>1</v>
      </c>
      <c r="N1039" s="385" t="n">
        <v>0</v>
      </c>
      <c r="O1039" s="385" t="n">
        <v>0</v>
      </c>
      <c r="P1039" s="365" t="n">
        <v>1</v>
      </c>
    </row>
    <row r="1040" customFormat="false" ht="15" hidden="true" customHeight="false" outlineLevel="0" collapsed="false">
      <c r="B1040" s="360" t="s">
        <v>3405</v>
      </c>
      <c r="C1040" s="385" t="n">
        <v>1</v>
      </c>
      <c r="D1040" s="385" t="n">
        <v>0</v>
      </c>
      <c r="E1040" s="385" t="n">
        <v>0</v>
      </c>
      <c r="F1040" s="365" t="n">
        <v>1</v>
      </c>
      <c r="G1040" s="380" t="n">
        <v>0</v>
      </c>
      <c r="H1040" s="358" t="n">
        <v>0</v>
      </c>
      <c r="I1040" s="358" t="n">
        <v>0</v>
      </c>
      <c r="J1040" s="358" t="n">
        <v>0</v>
      </c>
      <c r="K1040" s="358" t="n">
        <v>0</v>
      </c>
      <c r="L1040" s="358" t="n">
        <v>0</v>
      </c>
      <c r="M1040" s="385" t="n">
        <v>1</v>
      </c>
      <c r="N1040" s="385" t="n">
        <v>0</v>
      </c>
      <c r="O1040" s="385" t="n">
        <v>0</v>
      </c>
      <c r="P1040" s="365" t="n">
        <v>1</v>
      </c>
    </row>
    <row r="1041" customFormat="false" ht="15" hidden="true" customHeight="false" outlineLevel="0" collapsed="false">
      <c r="B1041" s="360" t="s">
        <v>3406</v>
      </c>
      <c r="C1041" s="385" t="n">
        <v>1</v>
      </c>
      <c r="D1041" s="385" t="n">
        <v>0</v>
      </c>
      <c r="E1041" s="385" t="n">
        <v>0</v>
      </c>
      <c r="F1041" s="365" t="n">
        <v>1</v>
      </c>
      <c r="G1041" s="380" t="n">
        <v>0</v>
      </c>
      <c r="H1041" s="358" t="n">
        <v>0</v>
      </c>
      <c r="I1041" s="358" t="n">
        <v>0</v>
      </c>
      <c r="J1041" s="358" t="n">
        <v>0</v>
      </c>
      <c r="K1041" s="358" t="n">
        <v>0</v>
      </c>
      <c r="L1041" s="358" t="n">
        <v>0</v>
      </c>
      <c r="M1041" s="385" t="n">
        <v>1</v>
      </c>
      <c r="N1041" s="385" t="n">
        <v>0</v>
      </c>
      <c r="O1041" s="385" t="n">
        <v>0</v>
      </c>
      <c r="P1041" s="365" t="n">
        <v>1</v>
      </c>
    </row>
    <row r="1042" customFormat="false" ht="15" hidden="true" customHeight="false" outlineLevel="0" collapsed="false">
      <c r="B1042" s="360" t="s">
        <v>3407</v>
      </c>
      <c r="C1042" s="385" t="n">
        <v>1</v>
      </c>
      <c r="D1042" s="385" t="n">
        <v>0</v>
      </c>
      <c r="E1042" s="385" t="n">
        <v>0</v>
      </c>
      <c r="F1042" s="365" t="n">
        <v>1</v>
      </c>
      <c r="G1042" s="380" t="n">
        <v>0</v>
      </c>
      <c r="H1042" s="358" t="n">
        <v>0</v>
      </c>
      <c r="I1042" s="358" t="n">
        <v>0</v>
      </c>
      <c r="J1042" s="358" t="n">
        <v>0</v>
      </c>
      <c r="K1042" s="358" t="n">
        <v>0</v>
      </c>
      <c r="L1042" s="358" t="n">
        <v>0</v>
      </c>
      <c r="M1042" s="385" t="n">
        <v>1</v>
      </c>
      <c r="N1042" s="385" t="n">
        <v>0</v>
      </c>
      <c r="O1042" s="385" t="n">
        <v>0</v>
      </c>
      <c r="P1042" s="365" t="n">
        <v>1</v>
      </c>
    </row>
    <row r="1043" customFormat="false" ht="15" hidden="true" customHeight="false" outlineLevel="0" collapsed="false">
      <c r="B1043" s="360" t="s">
        <v>3408</v>
      </c>
      <c r="C1043" s="385" t="n">
        <v>1</v>
      </c>
      <c r="D1043" s="385" t="n">
        <v>0</v>
      </c>
      <c r="E1043" s="385" t="n">
        <v>0</v>
      </c>
      <c r="F1043" s="365" t="n">
        <v>1</v>
      </c>
      <c r="G1043" s="380" t="n">
        <v>0</v>
      </c>
      <c r="H1043" s="358" t="n">
        <v>0</v>
      </c>
      <c r="I1043" s="358" t="n">
        <v>0</v>
      </c>
      <c r="J1043" s="358" t="n">
        <v>0</v>
      </c>
      <c r="K1043" s="358" t="n">
        <v>0</v>
      </c>
      <c r="L1043" s="358" t="n">
        <v>0</v>
      </c>
      <c r="M1043" s="385" t="n">
        <v>1</v>
      </c>
      <c r="N1043" s="385" t="n">
        <v>0</v>
      </c>
      <c r="O1043" s="385" t="n">
        <v>0</v>
      </c>
      <c r="P1043" s="365" t="n">
        <v>1</v>
      </c>
    </row>
    <row r="1044" customFormat="false" ht="15" hidden="true" customHeight="false" outlineLevel="0" collapsed="false">
      <c r="B1044" s="360" t="s">
        <v>3409</v>
      </c>
      <c r="C1044" s="385" t="n">
        <v>1</v>
      </c>
      <c r="D1044" s="385" t="n">
        <v>0</v>
      </c>
      <c r="E1044" s="385" t="n">
        <v>0</v>
      </c>
      <c r="F1044" s="365" t="n">
        <v>1</v>
      </c>
      <c r="G1044" s="380" t="n">
        <v>0</v>
      </c>
      <c r="H1044" s="358" t="n">
        <v>0</v>
      </c>
      <c r="I1044" s="358" t="n">
        <v>0</v>
      </c>
      <c r="J1044" s="358" t="n">
        <v>0</v>
      </c>
      <c r="K1044" s="358" t="n">
        <v>0</v>
      </c>
      <c r="L1044" s="358" t="n">
        <v>0</v>
      </c>
      <c r="M1044" s="385" t="n">
        <v>1</v>
      </c>
      <c r="N1044" s="385" t="n">
        <v>0</v>
      </c>
      <c r="O1044" s="385" t="n">
        <v>0</v>
      </c>
      <c r="P1044" s="365" t="n">
        <v>1</v>
      </c>
    </row>
    <row r="1045" customFormat="false" ht="15" hidden="true" customHeight="false" outlineLevel="0" collapsed="false">
      <c r="B1045" s="361" t="s">
        <v>3410</v>
      </c>
      <c r="C1045" s="385" t="n">
        <v>1</v>
      </c>
      <c r="D1045" s="385" t="n">
        <v>0</v>
      </c>
      <c r="E1045" s="385" t="n">
        <v>0</v>
      </c>
      <c r="F1045" s="365" t="n">
        <v>1</v>
      </c>
      <c r="G1045" s="380" t="n">
        <v>0</v>
      </c>
      <c r="H1045" s="358" t="n">
        <v>0</v>
      </c>
      <c r="I1045" s="358" t="n">
        <v>0</v>
      </c>
      <c r="J1045" s="358" t="n">
        <v>0</v>
      </c>
      <c r="K1045" s="358" t="n">
        <v>0</v>
      </c>
      <c r="L1045" s="358" t="n">
        <v>0</v>
      </c>
      <c r="M1045" s="385" t="n">
        <v>1</v>
      </c>
      <c r="N1045" s="385" t="n">
        <v>0</v>
      </c>
      <c r="O1045" s="385" t="n">
        <v>0</v>
      </c>
      <c r="P1045" s="365" t="n">
        <v>1</v>
      </c>
    </row>
    <row r="1046" customFormat="false" ht="15" hidden="true" customHeight="false" outlineLevel="0" collapsed="false">
      <c r="B1046" s="360" t="s">
        <v>3411</v>
      </c>
      <c r="C1046" s="385" t="n">
        <v>1</v>
      </c>
      <c r="D1046" s="385" t="n">
        <v>0</v>
      </c>
      <c r="E1046" s="385" t="n">
        <v>0</v>
      </c>
      <c r="F1046" s="365" t="n">
        <v>1</v>
      </c>
      <c r="G1046" s="380" t="n">
        <v>0</v>
      </c>
      <c r="H1046" s="358" t="n">
        <v>0</v>
      </c>
      <c r="I1046" s="358" t="n">
        <v>0</v>
      </c>
      <c r="J1046" s="358" t="n">
        <v>0</v>
      </c>
      <c r="K1046" s="358" t="n">
        <v>0</v>
      </c>
      <c r="L1046" s="358" t="n">
        <v>0</v>
      </c>
      <c r="M1046" s="385" t="n">
        <v>1</v>
      </c>
      <c r="N1046" s="385" t="n">
        <v>0</v>
      </c>
      <c r="O1046" s="385" t="n">
        <v>0</v>
      </c>
      <c r="P1046" s="365" t="n">
        <v>1</v>
      </c>
    </row>
    <row r="1047" customFormat="false" ht="15" hidden="true" customHeight="false" outlineLevel="0" collapsed="false">
      <c r="B1047" s="361" t="s">
        <v>3412</v>
      </c>
      <c r="C1047" s="385" t="n">
        <v>1</v>
      </c>
      <c r="D1047" s="385" t="n">
        <v>0</v>
      </c>
      <c r="E1047" s="385" t="n">
        <v>0</v>
      </c>
      <c r="F1047" s="365" t="n">
        <v>1</v>
      </c>
      <c r="G1047" s="380" t="n">
        <v>0</v>
      </c>
      <c r="H1047" s="358" t="n">
        <v>0</v>
      </c>
      <c r="I1047" s="358" t="n">
        <v>0</v>
      </c>
      <c r="J1047" s="358" t="n">
        <v>0</v>
      </c>
      <c r="K1047" s="358" t="n">
        <v>0</v>
      </c>
      <c r="L1047" s="358" t="n">
        <v>0</v>
      </c>
      <c r="M1047" s="385" t="n">
        <v>1</v>
      </c>
      <c r="N1047" s="385" t="n">
        <v>0</v>
      </c>
      <c r="O1047" s="385" t="n">
        <v>0</v>
      </c>
      <c r="P1047" s="365" t="n">
        <v>1</v>
      </c>
    </row>
    <row r="1048" customFormat="false" ht="15" hidden="true" customHeight="false" outlineLevel="0" collapsed="false">
      <c r="B1048" s="361" t="s">
        <v>3413</v>
      </c>
      <c r="C1048" s="385" t="n">
        <v>1</v>
      </c>
      <c r="D1048" s="385" t="n">
        <v>0</v>
      </c>
      <c r="E1048" s="385" t="n">
        <v>0</v>
      </c>
      <c r="F1048" s="365" t="n">
        <v>1</v>
      </c>
      <c r="G1048" s="380" t="n">
        <v>0</v>
      </c>
      <c r="H1048" s="358" t="n">
        <v>0</v>
      </c>
      <c r="I1048" s="358" t="n">
        <v>0</v>
      </c>
      <c r="J1048" s="358" t="n">
        <v>0</v>
      </c>
      <c r="K1048" s="358" t="n">
        <v>0</v>
      </c>
      <c r="L1048" s="358" t="n">
        <v>0</v>
      </c>
      <c r="M1048" s="385" t="n">
        <v>1</v>
      </c>
      <c r="N1048" s="385" t="n">
        <v>0</v>
      </c>
      <c r="O1048" s="385" t="n">
        <v>0</v>
      </c>
      <c r="P1048" s="365" t="n">
        <v>1</v>
      </c>
    </row>
    <row r="1049" customFormat="false" ht="15" hidden="true" customHeight="false" outlineLevel="0" collapsed="false">
      <c r="B1049" s="360" t="s">
        <v>3414</v>
      </c>
      <c r="C1049" s="385" t="n">
        <v>1</v>
      </c>
      <c r="D1049" s="385" t="n">
        <v>0</v>
      </c>
      <c r="E1049" s="385" t="n">
        <v>0</v>
      </c>
      <c r="F1049" s="365" t="n">
        <v>1</v>
      </c>
      <c r="G1049" s="380" t="n">
        <v>0</v>
      </c>
      <c r="H1049" s="358" t="n">
        <v>0</v>
      </c>
      <c r="I1049" s="358" t="n">
        <v>0</v>
      </c>
      <c r="J1049" s="358" t="n">
        <v>0</v>
      </c>
      <c r="K1049" s="358" t="n">
        <v>0</v>
      </c>
      <c r="L1049" s="358" t="n">
        <v>0</v>
      </c>
      <c r="M1049" s="385" t="n">
        <v>1</v>
      </c>
      <c r="N1049" s="385" t="n">
        <v>0</v>
      </c>
      <c r="O1049" s="385" t="n">
        <v>0</v>
      </c>
      <c r="P1049" s="365" t="n">
        <v>1</v>
      </c>
    </row>
    <row r="1050" customFormat="false" ht="15" hidden="true" customHeight="false" outlineLevel="0" collapsed="false">
      <c r="B1050" s="360" t="s">
        <v>3415</v>
      </c>
      <c r="C1050" s="385" t="n">
        <v>1</v>
      </c>
      <c r="D1050" s="385" t="n">
        <v>0</v>
      </c>
      <c r="E1050" s="385" t="n">
        <v>0</v>
      </c>
      <c r="F1050" s="365" t="n">
        <v>1</v>
      </c>
      <c r="G1050" s="380" t="n">
        <v>0</v>
      </c>
      <c r="H1050" s="358" t="n">
        <v>0</v>
      </c>
      <c r="I1050" s="358" t="n">
        <v>0</v>
      </c>
      <c r="J1050" s="358" t="n">
        <v>0</v>
      </c>
      <c r="K1050" s="358" t="n">
        <v>0</v>
      </c>
      <c r="L1050" s="358" t="n">
        <v>0</v>
      </c>
      <c r="M1050" s="385" t="n">
        <v>1</v>
      </c>
      <c r="N1050" s="385" t="n">
        <v>0</v>
      </c>
      <c r="O1050" s="385" t="n">
        <v>0</v>
      </c>
      <c r="P1050" s="365" t="n">
        <v>1</v>
      </c>
    </row>
    <row r="1051" customFormat="false" ht="15" hidden="true" customHeight="false" outlineLevel="0" collapsed="false">
      <c r="B1051" s="360" t="s">
        <v>3416</v>
      </c>
      <c r="C1051" s="385" t="n">
        <v>1</v>
      </c>
      <c r="D1051" s="385" t="n">
        <v>0</v>
      </c>
      <c r="E1051" s="385" t="n">
        <v>0</v>
      </c>
      <c r="F1051" s="365" t="n">
        <v>1</v>
      </c>
      <c r="G1051" s="380" t="n">
        <v>0</v>
      </c>
      <c r="H1051" s="358" t="n">
        <v>0</v>
      </c>
      <c r="I1051" s="358" t="n">
        <v>0</v>
      </c>
      <c r="J1051" s="358" t="n">
        <v>0</v>
      </c>
      <c r="K1051" s="358" t="n">
        <v>0</v>
      </c>
      <c r="L1051" s="358" t="n">
        <v>0</v>
      </c>
      <c r="M1051" s="385" t="n">
        <v>1</v>
      </c>
      <c r="N1051" s="385" t="n">
        <v>0</v>
      </c>
      <c r="O1051" s="385" t="n">
        <v>0</v>
      </c>
      <c r="P1051" s="365" t="n">
        <v>1</v>
      </c>
    </row>
    <row r="1052" customFormat="false" ht="15" hidden="true" customHeight="false" outlineLevel="0" collapsed="false">
      <c r="B1052" s="360" t="s">
        <v>3417</v>
      </c>
      <c r="C1052" s="385" t="n">
        <v>1</v>
      </c>
      <c r="D1052" s="385" t="n">
        <v>0</v>
      </c>
      <c r="E1052" s="385" t="n">
        <v>0</v>
      </c>
      <c r="F1052" s="365" t="n">
        <v>1</v>
      </c>
      <c r="G1052" s="380" t="n">
        <v>0</v>
      </c>
      <c r="H1052" s="358" t="n">
        <v>0</v>
      </c>
      <c r="I1052" s="358" t="n">
        <v>0</v>
      </c>
      <c r="J1052" s="358" t="n">
        <v>0</v>
      </c>
      <c r="K1052" s="358" t="n">
        <v>0</v>
      </c>
      <c r="L1052" s="358" t="n">
        <v>0</v>
      </c>
      <c r="M1052" s="385" t="n">
        <v>1</v>
      </c>
      <c r="N1052" s="385" t="n">
        <v>0</v>
      </c>
      <c r="O1052" s="385" t="n">
        <v>0</v>
      </c>
      <c r="P1052" s="365" t="n">
        <v>1</v>
      </c>
    </row>
    <row r="1053" customFormat="false" ht="15" hidden="true" customHeight="false" outlineLevel="0" collapsed="false">
      <c r="B1053" s="360" t="s">
        <v>3418</v>
      </c>
      <c r="C1053" s="385" t="n">
        <v>1</v>
      </c>
      <c r="D1053" s="385" t="n">
        <v>0</v>
      </c>
      <c r="E1053" s="385" t="n">
        <v>0</v>
      </c>
      <c r="F1053" s="365" t="n">
        <v>1</v>
      </c>
      <c r="G1053" s="380" t="n">
        <v>0</v>
      </c>
      <c r="H1053" s="358" t="n">
        <v>0</v>
      </c>
      <c r="I1053" s="358" t="n">
        <v>0</v>
      </c>
      <c r="J1053" s="358" t="n">
        <v>0</v>
      </c>
      <c r="K1053" s="358" t="n">
        <v>0</v>
      </c>
      <c r="L1053" s="358" t="n">
        <v>0</v>
      </c>
      <c r="M1053" s="385" t="n">
        <v>1</v>
      </c>
      <c r="N1053" s="385" t="n">
        <v>0</v>
      </c>
      <c r="O1053" s="385" t="n">
        <v>0</v>
      </c>
      <c r="P1053" s="365" t="n">
        <v>1</v>
      </c>
    </row>
    <row r="1054" customFormat="false" ht="15" hidden="true" customHeight="false" outlineLevel="0" collapsed="false">
      <c r="B1054" s="360" t="s">
        <v>3419</v>
      </c>
      <c r="C1054" s="385" t="n">
        <v>1</v>
      </c>
      <c r="D1054" s="385" t="n">
        <v>0</v>
      </c>
      <c r="E1054" s="385" t="n">
        <v>0</v>
      </c>
      <c r="F1054" s="365" t="n">
        <v>1</v>
      </c>
      <c r="G1054" s="380" t="n">
        <v>0</v>
      </c>
      <c r="H1054" s="358" t="n">
        <v>0</v>
      </c>
      <c r="I1054" s="358" t="n">
        <v>0</v>
      </c>
      <c r="J1054" s="358" t="n">
        <v>0</v>
      </c>
      <c r="K1054" s="358" t="n">
        <v>0</v>
      </c>
      <c r="L1054" s="358" t="n">
        <v>0</v>
      </c>
      <c r="M1054" s="385" t="n">
        <v>1</v>
      </c>
      <c r="N1054" s="385" t="n">
        <v>0</v>
      </c>
      <c r="O1054" s="385" t="n">
        <v>0</v>
      </c>
      <c r="P1054" s="365" t="n">
        <v>1</v>
      </c>
    </row>
    <row r="1055" customFormat="false" ht="15" hidden="true" customHeight="false" outlineLevel="0" collapsed="false">
      <c r="B1055" s="360" t="s">
        <v>3420</v>
      </c>
      <c r="C1055" s="385" t="n">
        <v>1</v>
      </c>
      <c r="D1055" s="385" t="n">
        <v>0</v>
      </c>
      <c r="E1055" s="385" t="n">
        <v>0</v>
      </c>
      <c r="F1055" s="365" t="n">
        <v>1</v>
      </c>
      <c r="G1055" s="380" t="n">
        <v>0</v>
      </c>
      <c r="H1055" s="358" t="n">
        <v>0</v>
      </c>
      <c r="I1055" s="358" t="n">
        <v>0</v>
      </c>
      <c r="J1055" s="358" t="n">
        <v>0</v>
      </c>
      <c r="K1055" s="358" t="n">
        <v>0</v>
      </c>
      <c r="L1055" s="358" t="n">
        <v>0</v>
      </c>
      <c r="M1055" s="385" t="n">
        <v>1</v>
      </c>
      <c r="N1055" s="385" t="n">
        <v>0</v>
      </c>
      <c r="O1055" s="385" t="n">
        <v>0</v>
      </c>
      <c r="P1055" s="365" t="n">
        <v>1</v>
      </c>
    </row>
    <row r="1056" customFormat="false" ht="15" hidden="true" customHeight="false" outlineLevel="0" collapsed="false">
      <c r="B1056" s="360" t="s">
        <v>3421</v>
      </c>
      <c r="C1056" s="385" t="n">
        <v>1</v>
      </c>
      <c r="D1056" s="385" t="n">
        <v>0</v>
      </c>
      <c r="E1056" s="385" t="n">
        <v>0</v>
      </c>
      <c r="F1056" s="365" t="n">
        <v>1</v>
      </c>
      <c r="G1056" s="380" t="n">
        <v>0</v>
      </c>
      <c r="H1056" s="358" t="n">
        <v>0</v>
      </c>
      <c r="I1056" s="358" t="n">
        <v>0</v>
      </c>
      <c r="J1056" s="358" t="n">
        <v>0</v>
      </c>
      <c r="K1056" s="358" t="n">
        <v>0</v>
      </c>
      <c r="L1056" s="358" t="n">
        <v>0</v>
      </c>
      <c r="M1056" s="385" t="n">
        <v>1</v>
      </c>
      <c r="N1056" s="385" t="n">
        <v>0</v>
      </c>
      <c r="O1056" s="385" t="n">
        <v>0</v>
      </c>
      <c r="P1056" s="365" t="n">
        <v>1</v>
      </c>
    </row>
    <row r="1057" customFormat="false" ht="15" hidden="true" customHeight="false" outlineLevel="0" collapsed="false">
      <c r="B1057" s="360" t="s">
        <v>3422</v>
      </c>
      <c r="C1057" s="385" t="n">
        <v>1</v>
      </c>
      <c r="D1057" s="385" t="n">
        <v>0</v>
      </c>
      <c r="E1057" s="385" t="n">
        <v>0</v>
      </c>
      <c r="F1057" s="365" t="n">
        <v>1</v>
      </c>
      <c r="G1057" s="380" t="n">
        <v>0</v>
      </c>
      <c r="H1057" s="358" t="n">
        <v>0</v>
      </c>
      <c r="I1057" s="358" t="n">
        <v>0</v>
      </c>
      <c r="J1057" s="358" t="n">
        <v>0</v>
      </c>
      <c r="K1057" s="358" t="n">
        <v>0</v>
      </c>
      <c r="L1057" s="358" t="n">
        <v>0</v>
      </c>
      <c r="M1057" s="385" t="n">
        <v>1</v>
      </c>
      <c r="N1057" s="385" t="n">
        <v>0</v>
      </c>
      <c r="O1057" s="385" t="n">
        <v>0</v>
      </c>
      <c r="P1057" s="365" t="n">
        <v>1</v>
      </c>
    </row>
    <row r="1058" customFormat="false" ht="15" hidden="true" customHeight="false" outlineLevel="0" collapsed="false">
      <c r="B1058" s="360" t="s">
        <v>3423</v>
      </c>
      <c r="C1058" s="385" t="n">
        <v>1</v>
      </c>
      <c r="D1058" s="385" t="n">
        <v>0</v>
      </c>
      <c r="E1058" s="385" t="n">
        <v>0</v>
      </c>
      <c r="F1058" s="365" t="n">
        <v>1</v>
      </c>
      <c r="G1058" s="380" t="n">
        <v>0</v>
      </c>
      <c r="H1058" s="358" t="n">
        <v>0</v>
      </c>
      <c r="I1058" s="358" t="n">
        <v>0</v>
      </c>
      <c r="J1058" s="358" t="n">
        <v>0</v>
      </c>
      <c r="K1058" s="358" t="n">
        <v>0</v>
      </c>
      <c r="L1058" s="358" t="n">
        <v>0</v>
      </c>
      <c r="M1058" s="385" t="n">
        <v>1</v>
      </c>
      <c r="N1058" s="385" t="n">
        <v>0</v>
      </c>
      <c r="O1058" s="385" t="n">
        <v>0</v>
      </c>
      <c r="P1058" s="365" t="n">
        <v>1</v>
      </c>
    </row>
    <row r="1059" customFormat="false" ht="15" hidden="false" customHeight="false" outlineLevel="0" collapsed="false">
      <c r="B1059" s="364" t="s">
        <v>2468</v>
      </c>
      <c r="C1059" s="385" t="n">
        <v>6</v>
      </c>
      <c r="D1059" s="385" t="n">
        <v>1</v>
      </c>
      <c r="E1059" s="385" t="n">
        <v>1</v>
      </c>
      <c r="F1059" s="365" t="n">
        <v>8</v>
      </c>
      <c r="G1059" s="380" t="n">
        <v>0</v>
      </c>
      <c r="H1059" s="358" t="n">
        <v>0</v>
      </c>
      <c r="I1059" s="358" t="n">
        <v>0</v>
      </c>
      <c r="J1059" s="358" t="n">
        <v>0</v>
      </c>
      <c r="K1059" s="358" t="n">
        <v>0</v>
      </c>
      <c r="L1059" s="358" t="n">
        <v>0</v>
      </c>
      <c r="M1059" s="385" t="n">
        <v>6</v>
      </c>
      <c r="N1059" s="385" t="n">
        <v>1</v>
      </c>
      <c r="O1059" s="385" t="n">
        <v>1</v>
      </c>
      <c r="P1059" s="365" t="n">
        <v>8</v>
      </c>
    </row>
    <row r="1060" customFormat="false" ht="15" hidden="true" customHeight="false" outlineLevel="0" collapsed="false">
      <c r="B1060" s="360" t="s">
        <v>3614</v>
      </c>
      <c r="C1060" s="381" t="n">
        <v>0</v>
      </c>
      <c r="D1060" s="381" t="n">
        <v>1</v>
      </c>
      <c r="E1060" s="381" t="n">
        <v>0</v>
      </c>
      <c r="F1060" s="359" t="n">
        <v>1</v>
      </c>
      <c r="G1060" s="380" t="n">
        <v>0</v>
      </c>
      <c r="H1060" s="358" t="n">
        <v>0</v>
      </c>
      <c r="I1060" s="358" t="n">
        <v>0</v>
      </c>
      <c r="J1060" s="358" t="n">
        <v>0</v>
      </c>
      <c r="K1060" s="358" t="n">
        <v>0</v>
      </c>
      <c r="L1060" s="358" t="n">
        <v>0</v>
      </c>
      <c r="M1060" s="381" t="n">
        <v>0</v>
      </c>
      <c r="N1060" s="381" t="n">
        <v>1</v>
      </c>
      <c r="O1060" s="381" t="n">
        <v>0</v>
      </c>
      <c r="P1060" s="359" t="n">
        <v>1</v>
      </c>
    </row>
    <row r="1061" customFormat="false" ht="15" hidden="true" customHeight="false" outlineLevel="0" collapsed="false">
      <c r="B1061" s="361" t="s">
        <v>3615</v>
      </c>
      <c r="C1061" s="381" t="n">
        <v>0</v>
      </c>
      <c r="D1061" s="381" t="n">
        <v>0</v>
      </c>
      <c r="E1061" s="381" t="n">
        <v>1</v>
      </c>
      <c r="F1061" s="359" t="n">
        <v>1</v>
      </c>
      <c r="G1061" s="380" t="n">
        <v>0</v>
      </c>
      <c r="H1061" s="358" t="n">
        <v>0</v>
      </c>
      <c r="I1061" s="358" t="n">
        <v>0</v>
      </c>
      <c r="J1061" s="358" t="n">
        <v>0</v>
      </c>
      <c r="K1061" s="358" t="n">
        <v>0</v>
      </c>
      <c r="L1061" s="358" t="n">
        <v>0</v>
      </c>
      <c r="M1061" s="381" t="n">
        <v>0</v>
      </c>
      <c r="N1061" s="381" t="n">
        <v>0</v>
      </c>
      <c r="O1061" s="381" t="n">
        <v>1</v>
      </c>
      <c r="P1061" s="359" t="n">
        <v>1</v>
      </c>
    </row>
    <row r="1062" customFormat="false" ht="15" hidden="true" customHeight="false" outlineLevel="0" collapsed="false">
      <c r="B1062" s="360" t="s">
        <v>3403</v>
      </c>
      <c r="C1062" s="381" t="n">
        <v>0</v>
      </c>
      <c r="D1062" s="381" t="n">
        <v>0</v>
      </c>
      <c r="E1062" s="381" t="n">
        <v>0</v>
      </c>
      <c r="F1062" s="359" t="n">
        <v>0</v>
      </c>
      <c r="G1062" s="380" t="n">
        <v>0</v>
      </c>
      <c r="H1062" s="358" t="n">
        <v>0</v>
      </c>
      <c r="I1062" s="358" t="n">
        <v>0</v>
      </c>
      <c r="J1062" s="358" t="n">
        <v>0</v>
      </c>
      <c r="K1062" s="358" t="n">
        <v>0</v>
      </c>
      <c r="L1062" s="358" t="n">
        <v>0</v>
      </c>
      <c r="M1062" s="381" t="n">
        <v>0</v>
      </c>
      <c r="N1062" s="381" t="n">
        <v>0</v>
      </c>
      <c r="O1062" s="381" t="n">
        <v>0</v>
      </c>
      <c r="P1062" s="359" t="n">
        <v>0</v>
      </c>
    </row>
    <row r="1063" customFormat="false" ht="15" hidden="true" customHeight="false" outlineLevel="0" collapsed="false">
      <c r="B1063" s="360" t="s">
        <v>3424</v>
      </c>
      <c r="C1063" s="381" t="n">
        <v>1</v>
      </c>
      <c r="D1063" s="381" t="n">
        <v>0</v>
      </c>
      <c r="E1063" s="381" t="n">
        <v>0</v>
      </c>
      <c r="F1063" s="359" t="n">
        <v>1</v>
      </c>
      <c r="G1063" s="380" t="n">
        <v>0</v>
      </c>
      <c r="H1063" s="358" t="n">
        <v>0</v>
      </c>
      <c r="I1063" s="358" t="n">
        <v>0</v>
      </c>
      <c r="J1063" s="358" t="n">
        <v>0</v>
      </c>
      <c r="K1063" s="358" t="n">
        <v>0</v>
      </c>
      <c r="L1063" s="358" t="n">
        <v>0</v>
      </c>
      <c r="M1063" s="381" t="n">
        <v>1</v>
      </c>
      <c r="N1063" s="381" t="n">
        <v>0</v>
      </c>
      <c r="O1063" s="381" t="n">
        <v>0</v>
      </c>
      <c r="P1063" s="359" t="n">
        <v>1</v>
      </c>
    </row>
    <row r="1064" customFormat="false" ht="15" hidden="true" customHeight="false" outlineLevel="0" collapsed="false">
      <c r="B1064" s="360" t="s">
        <v>3425</v>
      </c>
      <c r="C1064" s="381" t="n">
        <v>1</v>
      </c>
      <c r="D1064" s="381" t="n">
        <v>0</v>
      </c>
      <c r="E1064" s="381" t="n">
        <v>0</v>
      </c>
      <c r="F1064" s="359" t="n">
        <v>1</v>
      </c>
      <c r="G1064" s="380" t="n">
        <v>0</v>
      </c>
      <c r="H1064" s="358" t="n">
        <v>0</v>
      </c>
      <c r="I1064" s="358" t="n">
        <v>0</v>
      </c>
      <c r="J1064" s="358" t="n">
        <v>0</v>
      </c>
      <c r="K1064" s="358" t="n">
        <v>0</v>
      </c>
      <c r="L1064" s="358" t="n">
        <v>0</v>
      </c>
      <c r="M1064" s="381" t="n">
        <v>1</v>
      </c>
      <c r="N1064" s="381" t="n">
        <v>0</v>
      </c>
      <c r="O1064" s="381" t="n">
        <v>0</v>
      </c>
      <c r="P1064" s="359" t="n">
        <v>1</v>
      </c>
    </row>
    <row r="1065" customFormat="false" ht="15" hidden="true" customHeight="false" outlineLevel="0" collapsed="false">
      <c r="B1065" s="360" t="s">
        <v>3426</v>
      </c>
      <c r="C1065" s="381" t="n">
        <v>1</v>
      </c>
      <c r="D1065" s="381" t="n">
        <v>0</v>
      </c>
      <c r="E1065" s="381" t="n">
        <v>0</v>
      </c>
      <c r="F1065" s="359" t="n">
        <v>1</v>
      </c>
      <c r="G1065" s="380" t="n">
        <v>0</v>
      </c>
      <c r="H1065" s="358" t="n">
        <v>0</v>
      </c>
      <c r="I1065" s="358" t="n">
        <v>0</v>
      </c>
      <c r="J1065" s="358" t="n">
        <v>0</v>
      </c>
      <c r="K1065" s="358" t="n">
        <v>0</v>
      </c>
      <c r="L1065" s="358" t="n">
        <v>0</v>
      </c>
      <c r="M1065" s="381" t="n">
        <v>1</v>
      </c>
      <c r="N1065" s="381" t="n">
        <v>0</v>
      </c>
      <c r="O1065" s="381" t="n">
        <v>0</v>
      </c>
      <c r="P1065" s="359" t="n">
        <v>1</v>
      </c>
    </row>
    <row r="1066" customFormat="false" ht="15" hidden="true" customHeight="false" outlineLevel="0" collapsed="false">
      <c r="B1066" s="360" t="s">
        <v>3427</v>
      </c>
      <c r="C1066" s="381" t="n">
        <v>1</v>
      </c>
      <c r="D1066" s="381" t="n">
        <v>0</v>
      </c>
      <c r="E1066" s="381" t="n">
        <v>0</v>
      </c>
      <c r="F1066" s="359" t="n">
        <v>1</v>
      </c>
      <c r="G1066" s="380" t="n">
        <v>0</v>
      </c>
      <c r="H1066" s="358" t="n">
        <v>0</v>
      </c>
      <c r="I1066" s="358" t="n">
        <v>0</v>
      </c>
      <c r="J1066" s="358" t="n">
        <v>0</v>
      </c>
      <c r="K1066" s="358" t="n">
        <v>0</v>
      </c>
      <c r="L1066" s="358" t="n">
        <v>0</v>
      </c>
      <c r="M1066" s="381" t="n">
        <v>1</v>
      </c>
      <c r="N1066" s="381" t="n">
        <v>0</v>
      </c>
      <c r="O1066" s="381" t="n">
        <v>0</v>
      </c>
      <c r="P1066" s="359" t="n">
        <v>1</v>
      </c>
    </row>
    <row r="1067" customFormat="false" ht="15" hidden="true" customHeight="false" outlineLevel="0" collapsed="false">
      <c r="B1067" s="360" t="s">
        <v>3428</v>
      </c>
      <c r="C1067" s="381" t="n">
        <v>1</v>
      </c>
      <c r="D1067" s="381" t="n">
        <v>0</v>
      </c>
      <c r="E1067" s="381" t="n">
        <v>0</v>
      </c>
      <c r="F1067" s="359" t="n">
        <v>1</v>
      </c>
      <c r="G1067" s="380" t="n">
        <v>0</v>
      </c>
      <c r="H1067" s="358" t="n">
        <v>0</v>
      </c>
      <c r="I1067" s="358" t="n">
        <v>0</v>
      </c>
      <c r="J1067" s="358" t="n">
        <v>0</v>
      </c>
      <c r="K1067" s="358" t="n">
        <v>0</v>
      </c>
      <c r="L1067" s="358" t="n">
        <v>0</v>
      </c>
      <c r="M1067" s="381" t="n">
        <v>1</v>
      </c>
      <c r="N1067" s="381" t="n">
        <v>0</v>
      </c>
      <c r="O1067" s="381" t="n">
        <v>0</v>
      </c>
      <c r="P1067" s="359" t="n">
        <v>1</v>
      </c>
    </row>
    <row r="1068" customFormat="false" ht="15" hidden="true" customHeight="false" outlineLevel="0" collapsed="false">
      <c r="B1068" s="360" t="s">
        <v>3429</v>
      </c>
      <c r="C1068" s="381" t="n">
        <v>1</v>
      </c>
      <c r="D1068" s="381" t="n">
        <v>0</v>
      </c>
      <c r="E1068" s="381" t="n">
        <v>0</v>
      </c>
      <c r="F1068" s="359" t="n">
        <v>1</v>
      </c>
      <c r="G1068" s="380" t="n">
        <v>0</v>
      </c>
      <c r="H1068" s="358" t="n">
        <v>0</v>
      </c>
      <c r="I1068" s="358" t="n">
        <v>0</v>
      </c>
      <c r="J1068" s="358" t="n">
        <v>0</v>
      </c>
      <c r="K1068" s="358" t="n">
        <v>0</v>
      </c>
      <c r="L1068" s="358" t="n">
        <v>0</v>
      </c>
      <c r="M1068" s="381" t="n">
        <v>1</v>
      </c>
      <c r="N1068" s="381" t="n">
        <v>0</v>
      </c>
      <c r="O1068" s="381" t="n">
        <v>0</v>
      </c>
      <c r="P1068" s="359" t="n">
        <v>1</v>
      </c>
    </row>
    <row r="1069" customFormat="false" ht="15" hidden="false" customHeight="false" outlineLevel="0" collapsed="false">
      <c r="B1069" s="356" t="s">
        <v>2477</v>
      </c>
      <c r="C1069" s="379" t="n">
        <v>2</v>
      </c>
      <c r="D1069" s="379" t="n">
        <v>0</v>
      </c>
      <c r="E1069" s="379" t="n">
        <v>1</v>
      </c>
      <c r="F1069" s="357" t="n">
        <v>3</v>
      </c>
      <c r="G1069" s="380" t="n">
        <v>0</v>
      </c>
      <c r="H1069" s="358" t="n">
        <v>0</v>
      </c>
      <c r="I1069" s="358" t="n">
        <v>0</v>
      </c>
      <c r="J1069" s="358" t="n">
        <v>0</v>
      </c>
      <c r="K1069" s="358" t="n">
        <v>0</v>
      </c>
      <c r="L1069" s="358" t="n">
        <v>0</v>
      </c>
      <c r="M1069" s="379" t="n">
        <v>2</v>
      </c>
      <c r="N1069" s="379" t="n">
        <v>0</v>
      </c>
      <c r="O1069" s="379" t="n">
        <v>1</v>
      </c>
      <c r="P1069" s="357" t="n">
        <v>3</v>
      </c>
    </row>
    <row r="1070" customFormat="false" ht="15" hidden="true" customHeight="false" outlineLevel="0" collapsed="false">
      <c r="B1070" s="361" t="s">
        <v>3616</v>
      </c>
      <c r="C1070" s="381" t="n">
        <v>0</v>
      </c>
      <c r="D1070" s="381" t="n">
        <v>0</v>
      </c>
      <c r="E1070" s="381" t="n">
        <v>1</v>
      </c>
      <c r="F1070" s="359" t="n">
        <v>1</v>
      </c>
      <c r="G1070" s="380" t="n">
        <v>0</v>
      </c>
      <c r="H1070" s="358" t="n">
        <v>0</v>
      </c>
      <c r="I1070" s="358" t="n">
        <v>0</v>
      </c>
      <c r="J1070" s="358" t="n">
        <v>0</v>
      </c>
      <c r="K1070" s="358" t="n">
        <v>0</v>
      </c>
      <c r="L1070" s="358" t="n">
        <v>0</v>
      </c>
      <c r="M1070" s="381" t="n">
        <v>0</v>
      </c>
      <c r="N1070" s="381" t="n">
        <v>0</v>
      </c>
      <c r="O1070" s="381" t="n">
        <v>1</v>
      </c>
      <c r="P1070" s="359" t="n">
        <v>1</v>
      </c>
    </row>
    <row r="1071" customFormat="false" ht="15" hidden="true" customHeight="false" outlineLevel="0" collapsed="false">
      <c r="B1071" s="360" t="s">
        <v>3430</v>
      </c>
      <c r="C1071" s="381" t="n">
        <v>1</v>
      </c>
      <c r="D1071" s="381" t="n">
        <v>0</v>
      </c>
      <c r="E1071" s="381" t="n">
        <v>0</v>
      </c>
      <c r="F1071" s="359" t="n">
        <v>1</v>
      </c>
      <c r="G1071" s="380" t="n">
        <v>0</v>
      </c>
      <c r="H1071" s="358" t="n">
        <v>0</v>
      </c>
      <c r="I1071" s="358" t="n">
        <v>0</v>
      </c>
      <c r="J1071" s="358" t="n">
        <v>0</v>
      </c>
      <c r="K1071" s="358" t="n">
        <v>0</v>
      </c>
      <c r="L1071" s="358" t="n">
        <v>0</v>
      </c>
      <c r="M1071" s="381" t="n">
        <v>1</v>
      </c>
      <c r="N1071" s="381" t="n">
        <v>0</v>
      </c>
      <c r="O1071" s="381" t="n">
        <v>0</v>
      </c>
      <c r="P1071" s="359" t="n">
        <v>1</v>
      </c>
    </row>
    <row r="1072" customFormat="false" ht="15" hidden="true" customHeight="false" outlineLevel="0" collapsed="false">
      <c r="B1072" s="360" t="s">
        <v>3431</v>
      </c>
      <c r="C1072" s="381" t="n">
        <v>1</v>
      </c>
      <c r="D1072" s="381" t="n">
        <v>0</v>
      </c>
      <c r="E1072" s="381" t="n">
        <v>0</v>
      </c>
      <c r="F1072" s="359" t="n">
        <v>1</v>
      </c>
      <c r="G1072" s="380" t="n">
        <v>0</v>
      </c>
      <c r="H1072" s="358" t="n">
        <v>0</v>
      </c>
      <c r="I1072" s="358" t="n">
        <v>0</v>
      </c>
      <c r="J1072" s="358" t="n">
        <v>0</v>
      </c>
      <c r="K1072" s="358" t="n">
        <v>0</v>
      </c>
      <c r="L1072" s="358" t="n">
        <v>0</v>
      </c>
      <c r="M1072" s="381" t="n">
        <v>1</v>
      </c>
      <c r="N1072" s="381" t="n">
        <v>0</v>
      </c>
      <c r="O1072" s="381" t="n">
        <v>0</v>
      </c>
      <c r="P1072" s="359" t="n">
        <v>1</v>
      </c>
    </row>
    <row r="1073" customFormat="false" ht="15" hidden="false" customHeight="false" outlineLevel="0" collapsed="false">
      <c r="B1073" s="362" t="s">
        <v>2478</v>
      </c>
      <c r="C1073" s="363" t="n">
        <v>5</v>
      </c>
      <c r="D1073" s="363" t="n">
        <v>0</v>
      </c>
      <c r="E1073" s="363" t="n">
        <v>1</v>
      </c>
      <c r="F1073" s="363" t="n">
        <v>6</v>
      </c>
      <c r="G1073" s="384" t="n">
        <v>0</v>
      </c>
      <c r="H1073" s="363" t="n">
        <v>0</v>
      </c>
      <c r="I1073" s="363" t="n">
        <v>0</v>
      </c>
      <c r="J1073" s="363" t="n">
        <v>0</v>
      </c>
      <c r="K1073" s="363" t="n">
        <v>0</v>
      </c>
      <c r="L1073" s="363" t="n">
        <v>0</v>
      </c>
      <c r="M1073" s="363" t="n">
        <v>5</v>
      </c>
      <c r="N1073" s="363" t="n">
        <v>0</v>
      </c>
      <c r="O1073" s="363" t="n">
        <v>1</v>
      </c>
      <c r="P1073" s="363" t="n">
        <v>6</v>
      </c>
    </row>
    <row r="1074" customFormat="false" ht="15" hidden="true" customHeight="false" outlineLevel="0" collapsed="false">
      <c r="B1074" s="360" t="s">
        <v>3617</v>
      </c>
      <c r="C1074" s="381" t="n">
        <v>0</v>
      </c>
      <c r="D1074" s="381" t="n">
        <v>0</v>
      </c>
      <c r="E1074" s="381" t="n">
        <v>1</v>
      </c>
      <c r="F1074" s="359" t="n">
        <v>1</v>
      </c>
      <c r="G1074" s="380" t="n">
        <v>0</v>
      </c>
      <c r="H1074" s="358" t="n">
        <v>0</v>
      </c>
      <c r="I1074" s="358" t="n">
        <v>0</v>
      </c>
      <c r="J1074" s="358" t="n">
        <v>0</v>
      </c>
      <c r="K1074" s="358" t="n">
        <v>0</v>
      </c>
      <c r="L1074" s="358" t="n">
        <v>0</v>
      </c>
      <c r="M1074" s="381" t="n">
        <v>0</v>
      </c>
      <c r="N1074" s="381" t="n">
        <v>0</v>
      </c>
      <c r="O1074" s="381" t="n">
        <v>1</v>
      </c>
      <c r="P1074" s="359" t="n">
        <v>1</v>
      </c>
    </row>
    <row r="1075" customFormat="false" ht="15" hidden="true" customHeight="false" outlineLevel="0" collapsed="false">
      <c r="B1075" s="360" t="s">
        <v>3432</v>
      </c>
      <c r="C1075" s="381" t="n">
        <v>1</v>
      </c>
      <c r="D1075" s="381" t="n">
        <v>0</v>
      </c>
      <c r="E1075" s="381" t="n">
        <v>0</v>
      </c>
      <c r="F1075" s="359" t="n">
        <v>1</v>
      </c>
      <c r="G1075" s="380" t="n">
        <v>0</v>
      </c>
      <c r="H1075" s="358" t="n">
        <v>0</v>
      </c>
      <c r="I1075" s="358" t="n">
        <v>0</v>
      </c>
      <c r="J1075" s="358" t="n">
        <v>0</v>
      </c>
      <c r="K1075" s="358" t="n">
        <v>0</v>
      </c>
      <c r="L1075" s="358" t="n">
        <v>0</v>
      </c>
      <c r="M1075" s="381" t="n">
        <v>1</v>
      </c>
      <c r="N1075" s="381" t="n">
        <v>0</v>
      </c>
      <c r="O1075" s="381" t="n">
        <v>0</v>
      </c>
      <c r="P1075" s="359" t="n">
        <v>1</v>
      </c>
    </row>
    <row r="1076" customFormat="false" ht="15" hidden="true" customHeight="false" outlineLevel="0" collapsed="false">
      <c r="B1076" s="360" t="s">
        <v>3433</v>
      </c>
      <c r="C1076" s="381" t="n">
        <v>1</v>
      </c>
      <c r="D1076" s="381" t="n">
        <v>0</v>
      </c>
      <c r="E1076" s="381" t="n">
        <v>0</v>
      </c>
      <c r="F1076" s="359" t="n">
        <v>1</v>
      </c>
      <c r="G1076" s="380" t="n">
        <v>0</v>
      </c>
      <c r="H1076" s="358" t="n">
        <v>0</v>
      </c>
      <c r="I1076" s="358" t="n">
        <v>0</v>
      </c>
      <c r="J1076" s="358" t="n">
        <v>0</v>
      </c>
      <c r="K1076" s="358" t="n">
        <v>0</v>
      </c>
      <c r="L1076" s="358" t="n">
        <v>0</v>
      </c>
      <c r="M1076" s="381" t="n">
        <v>1</v>
      </c>
      <c r="N1076" s="381" t="n">
        <v>0</v>
      </c>
      <c r="O1076" s="381" t="n">
        <v>0</v>
      </c>
      <c r="P1076" s="359" t="n">
        <v>1</v>
      </c>
    </row>
    <row r="1077" customFormat="false" ht="15" hidden="true" customHeight="false" outlineLevel="0" collapsed="false">
      <c r="B1077" s="360" t="s">
        <v>3434</v>
      </c>
      <c r="C1077" s="381" t="n">
        <v>1</v>
      </c>
      <c r="D1077" s="381" t="n">
        <v>0</v>
      </c>
      <c r="E1077" s="381" t="n">
        <v>0</v>
      </c>
      <c r="F1077" s="359" t="n">
        <v>1</v>
      </c>
      <c r="G1077" s="380" t="n">
        <v>0</v>
      </c>
      <c r="H1077" s="358" t="n">
        <v>0</v>
      </c>
      <c r="I1077" s="358" t="n">
        <v>0</v>
      </c>
      <c r="J1077" s="358" t="n">
        <v>0</v>
      </c>
      <c r="K1077" s="358" t="n">
        <v>0</v>
      </c>
      <c r="L1077" s="358" t="n">
        <v>0</v>
      </c>
      <c r="M1077" s="381" t="n">
        <v>1</v>
      </c>
      <c r="N1077" s="381" t="n">
        <v>0</v>
      </c>
      <c r="O1077" s="381" t="n">
        <v>0</v>
      </c>
      <c r="P1077" s="359" t="n">
        <v>1</v>
      </c>
    </row>
    <row r="1078" customFormat="false" ht="15" hidden="true" customHeight="false" outlineLevel="0" collapsed="false">
      <c r="B1078" s="360" t="s">
        <v>3435</v>
      </c>
      <c r="C1078" s="381" t="n">
        <v>1</v>
      </c>
      <c r="D1078" s="381" t="n">
        <v>0</v>
      </c>
      <c r="E1078" s="381" t="n">
        <v>0</v>
      </c>
      <c r="F1078" s="359" t="n">
        <v>1</v>
      </c>
      <c r="G1078" s="380" t="n">
        <v>0</v>
      </c>
      <c r="H1078" s="358" t="n">
        <v>0</v>
      </c>
      <c r="I1078" s="358" t="n">
        <v>0</v>
      </c>
      <c r="J1078" s="358" t="n">
        <v>0</v>
      </c>
      <c r="K1078" s="358" t="n">
        <v>0</v>
      </c>
      <c r="L1078" s="358" t="n">
        <v>0</v>
      </c>
      <c r="M1078" s="381" t="n">
        <v>1</v>
      </c>
      <c r="N1078" s="381" t="n">
        <v>0</v>
      </c>
      <c r="O1078" s="381" t="n">
        <v>0</v>
      </c>
      <c r="P1078" s="359" t="n">
        <v>1</v>
      </c>
    </row>
    <row r="1079" customFormat="false" ht="15" hidden="true" customHeight="false" outlineLevel="0" collapsed="false">
      <c r="B1079" s="360" t="s">
        <v>3436</v>
      </c>
      <c r="C1079" s="381" t="n">
        <v>1</v>
      </c>
      <c r="D1079" s="381" t="n">
        <v>0</v>
      </c>
      <c r="E1079" s="381" t="n">
        <v>0</v>
      </c>
      <c r="F1079" s="359" t="n">
        <v>1</v>
      </c>
      <c r="G1079" s="380" t="n">
        <v>0</v>
      </c>
      <c r="H1079" s="358" t="n">
        <v>0</v>
      </c>
      <c r="I1079" s="358" t="n">
        <v>0</v>
      </c>
      <c r="J1079" s="358" t="n">
        <v>0</v>
      </c>
      <c r="K1079" s="358" t="n">
        <v>0</v>
      </c>
      <c r="L1079" s="358" t="n">
        <v>0</v>
      </c>
      <c r="M1079" s="381" t="n">
        <v>1</v>
      </c>
      <c r="N1079" s="381" t="n">
        <v>0</v>
      </c>
      <c r="O1079" s="381" t="n">
        <v>0</v>
      </c>
      <c r="P1079" s="359" t="n">
        <v>1</v>
      </c>
    </row>
    <row r="1080" customFormat="false" ht="15" hidden="false" customHeight="false" outlineLevel="0" collapsed="false">
      <c r="B1080" s="362" t="s">
        <v>2479</v>
      </c>
      <c r="C1080" s="363" t="n">
        <v>1</v>
      </c>
      <c r="D1080" s="363" t="n">
        <v>0</v>
      </c>
      <c r="E1080" s="363" t="n">
        <v>0</v>
      </c>
      <c r="F1080" s="363" t="n">
        <v>1</v>
      </c>
      <c r="G1080" s="384" t="n">
        <v>0</v>
      </c>
      <c r="H1080" s="363" t="n">
        <v>0</v>
      </c>
      <c r="I1080" s="363" t="n">
        <v>0</v>
      </c>
      <c r="J1080" s="363" t="n">
        <v>0</v>
      </c>
      <c r="K1080" s="363" t="n">
        <v>0</v>
      </c>
      <c r="L1080" s="363" t="n">
        <v>0</v>
      </c>
      <c r="M1080" s="363" t="n">
        <v>1</v>
      </c>
      <c r="N1080" s="363" t="n">
        <v>0</v>
      </c>
      <c r="O1080" s="363" t="n">
        <v>0</v>
      </c>
      <c r="P1080" s="363" t="n">
        <v>1</v>
      </c>
    </row>
    <row r="1081" customFormat="false" ht="15" hidden="true" customHeight="false" outlineLevel="0" collapsed="false">
      <c r="B1081" s="360" t="s">
        <v>3437</v>
      </c>
      <c r="C1081" s="381" t="n">
        <v>1</v>
      </c>
      <c r="D1081" s="381" t="n">
        <v>0</v>
      </c>
      <c r="E1081" s="381" t="n">
        <v>0</v>
      </c>
      <c r="F1081" s="359" t="n">
        <v>1</v>
      </c>
      <c r="G1081" s="380" t="n">
        <v>0</v>
      </c>
      <c r="H1081" s="358" t="n">
        <v>0</v>
      </c>
      <c r="I1081" s="358" t="n">
        <v>0</v>
      </c>
      <c r="J1081" s="358" t="n">
        <v>0</v>
      </c>
      <c r="K1081" s="358" t="n">
        <v>0</v>
      </c>
      <c r="L1081" s="358" t="n">
        <v>0</v>
      </c>
      <c r="M1081" s="381" t="n">
        <v>1</v>
      </c>
      <c r="N1081" s="381" t="n">
        <v>0</v>
      </c>
      <c r="O1081" s="381" t="n">
        <v>0</v>
      </c>
      <c r="P1081" s="359" t="n">
        <v>1</v>
      </c>
    </row>
    <row r="1082" customFormat="false" ht="15" hidden="false" customHeight="false" outlineLevel="0" collapsed="false">
      <c r="B1082" s="351" t="s">
        <v>3438</v>
      </c>
      <c r="C1082" s="352" t="n">
        <v>922</v>
      </c>
      <c r="D1082" s="352" t="n">
        <v>68</v>
      </c>
      <c r="E1082" s="352" t="n">
        <v>28</v>
      </c>
      <c r="F1082" s="352" t="n">
        <v>1018</v>
      </c>
      <c r="G1082" s="377" t="n">
        <v>7</v>
      </c>
      <c r="H1082" s="352" t="n">
        <v>-1</v>
      </c>
      <c r="I1082" s="352" t="n">
        <v>0</v>
      </c>
      <c r="J1082" s="352" t="n">
        <v>0</v>
      </c>
      <c r="K1082" s="352" t="n">
        <v>-4</v>
      </c>
      <c r="L1082" s="352" t="n">
        <v>-2</v>
      </c>
      <c r="M1082" s="352" t="n">
        <v>928</v>
      </c>
      <c r="N1082" s="352" t="n">
        <v>64</v>
      </c>
      <c r="O1082" s="352" t="n">
        <v>26</v>
      </c>
      <c r="P1082" s="352" t="n">
        <v>1018</v>
      </c>
    </row>
    <row r="1083" customFormat="false" ht="15" hidden="false" customHeight="false" outlineLevel="0" collapsed="false">
      <c r="B1083" s="362" t="s">
        <v>2480</v>
      </c>
      <c r="C1083" s="363" t="n">
        <v>59</v>
      </c>
      <c r="D1083" s="363" t="n">
        <v>0</v>
      </c>
      <c r="E1083" s="363" t="n">
        <v>20</v>
      </c>
      <c r="F1083" s="363" t="n">
        <v>79</v>
      </c>
      <c r="G1083" s="384" t="n">
        <v>0</v>
      </c>
      <c r="H1083" s="363" t="n">
        <v>-1</v>
      </c>
      <c r="I1083" s="363" t="n">
        <v>0</v>
      </c>
      <c r="J1083" s="363" t="n">
        <v>0</v>
      </c>
      <c r="K1083" s="363" t="n">
        <v>0</v>
      </c>
      <c r="L1083" s="363" t="n">
        <v>1</v>
      </c>
      <c r="M1083" s="363" t="n">
        <v>58</v>
      </c>
      <c r="N1083" s="363" t="n">
        <v>0</v>
      </c>
      <c r="O1083" s="363" t="n">
        <v>21</v>
      </c>
      <c r="P1083" s="363" t="n">
        <v>79</v>
      </c>
    </row>
    <row r="1084" customFormat="false" ht="15" hidden="true" customHeight="false" outlineLevel="0" collapsed="false">
      <c r="B1084" s="360" t="s">
        <v>3618</v>
      </c>
      <c r="C1084" s="381" t="n">
        <v>0</v>
      </c>
      <c r="D1084" s="381" t="n">
        <v>0</v>
      </c>
      <c r="E1084" s="381" t="n">
        <v>20</v>
      </c>
      <c r="F1084" s="359" t="n">
        <v>20</v>
      </c>
      <c r="G1084" s="380" t="n">
        <v>0</v>
      </c>
      <c r="H1084" s="358" t="n">
        <v>0</v>
      </c>
      <c r="I1084" s="358" t="n">
        <v>0</v>
      </c>
      <c r="J1084" s="358" t="n">
        <v>0</v>
      </c>
      <c r="K1084" s="358" t="n">
        <v>0</v>
      </c>
      <c r="L1084" s="358" t="n">
        <v>1</v>
      </c>
      <c r="M1084" s="381" t="n">
        <v>0</v>
      </c>
      <c r="N1084" s="381" t="n">
        <v>0</v>
      </c>
      <c r="O1084" s="381" t="n">
        <v>21</v>
      </c>
      <c r="P1084" s="359" t="n">
        <v>21</v>
      </c>
    </row>
    <row r="1085" customFormat="false" ht="15" hidden="true" customHeight="false" outlineLevel="0" collapsed="false">
      <c r="B1085" s="360" t="s">
        <v>3439</v>
      </c>
      <c r="C1085" s="381" t="n">
        <v>1</v>
      </c>
      <c r="D1085" s="381" t="n">
        <v>0</v>
      </c>
      <c r="E1085" s="381" t="n">
        <v>0</v>
      </c>
      <c r="F1085" s="359" t="n">
        <v>1</v>
      </c>
      <c r="G1085" s="380" t="n">
        <v>0</v>
      </c>
      <c r="H1085" s="358" t="n">
        <v>0</v>
      </c>
      <c r="I1085" s="358" t="n">
        <v>0</v>
      </c>
      <c r="J1085" s="358" t="n">
        <v>0</v>
      </c>
      <c r="K1085" s="358" t="n">
        <v>0</v>
      </c>
      <c r="L1085" s="358" t="n">
        <v>0</v>
      </c>
      <c r="M1085" s="381" t="n">
        <v>1</v>
      </c>
      <c r="N1085" s="381" t="n">
        <v>0</v>
      </c>
      <c r="O1085" s="381" t="n">
        <v>0</v>
      </c>
      <c r="P1085" s="359" t="n">
        <v>1</v>
      </c>
    </row>
    <row r="1086" customFormat="false" ht="15" hidden="true" customHeight="false" outlineLevel="0" collapsed="false">
      <c r="B1086" s="360" t="s">
        <v>3440</v>
      </c>
      <c r="C1086" s="381" t="n">
        <v>1</v>
      </c>
      <c r="D1086" s="381" t="n">
        <v>0</v>
      </c>
      <c r="E1086" s="381" t="n">
        <v>0</v>
      </c>
      <c r="F1086" s="359" t="n">
        <v>1</v>
      </c>
      <c r="G1086" s="380" t="n">
        <v>0</v>
      </c>
      <c r="H1086" s="358" t="n">
        <v>0</v>
      </c>
      <c r="I1086" s="358" t="n">
        <v>0</v>
      </c>
      <c r="J1086" s="358" t="n">
        <v>0</v>
      </c>
      <c r="K1086" s="358" t="n">
        <v>0</v>
      </c>
      <c r="L1086" s="358" t="n">
        <v>0</v>
      </c>
      <c r="M1086" s="381" t="n">
        <v>1</v>
      </c>
      <c r="N1086" s="381" t="n">
        <v>0</v>
      </c>
      <c r="O1086" s="381" t="n">
        <v>0</v>
      </c>
      <c r="P1086" s="359" t="n">
        <v>1</v>
      </c>
    </row>
    <row r="1087" customFormat="false" ht="15" hidden="true" customHeight="false" outlineLevel="0" collapsed="false">
      <c r="B1087" s="360" t="s">
        <v>3441</v>
      </c>
      <c r="C1087" s="381" t="n">
        <v>1</v>
      </c>
      <c r="D1087" s="381" t="n">
        <v>0</v>
      </c>
      <c r="E1087" s="381" t="n">
        <v>0</v>
      </c>
      <c r="F1087" s="359" t="n">
        <v>1</v>
      </c>
      <c r="G1087" s="380" t="n">
        <v>0</v>
      </c>
      <c r="H1087" s="358" t="n">
        <v>0</v>
      </c>
      <c r="I1087" s="358" t="n">
        <v>0</v>
      </c>
      <c r="J1087" s="358" t="n">
        <v>0</v>
      </c>
      <c r="K1087" s="358" t="n">
        <v>0</v>
      </c>
      <c r="L1087" s="358" t="n">
        <v>0</v>
      </c>
      <c r="M1087" s="381" t="n">
        <v>1</v>
      </c>
      <c r="N1087" s="381" t="n">
        <v>0</v>
      </c>
      <c r="O1087" s="381" t="n">
        <v>0</v>
      </c>
      <c r="P1087" s="359" t="n">
        <v>1</v>
      </c>
    </row>
    <row r="1088" customFormat="false" ht="15" hidden="true" customHeight="false" outlineLevel="0" collapsed="false">
      <c r="B1088" s="360" t="s">
        <v>3442</v>
      </c>
      <c r="C1088" s="381" t="n">
        <v>1</v>
      </c>
      <c r="D1088" s="381" t="n">
        <v>0</v>
      </c>
      <c r="E1088" s="381" t="n">
        <v>0</v>
      </c>
      <c r="F1088" s="359" t="n">
        <v>1</v>
      </c>
      <c r="G1088" s="380" t="n">
        <v>0</v>
      </c>
      <c r="H1088" s="358" t="n">
        <v>0</v>
      </c>
      <c r="I1088" s="358" t="n">
        <v>0</v>
      </c>
      <c r="J1088" s="358" t="n">
        <v>0</v>
      </c>
      <c r="K1088" s="358" t="n">
        <v>0</v>
      </c>
      <c r="L1088" s="358" t="n">
        <v>0</v>
      </c>
      <c r="M1088" s="381" t="n">
        <v>1</v>
      </c>
      <c r="N1088" s="381" t="n">
        <v>0</v>
      </c>
      <c r="O1088" s="381" t="n">
        <v>0</v>
      </c>
      <c r="P1088" s="359" t="n">
        <v>1</v>
      </c>
    </row>
    <row r="1089" customFormat="false" ht="15" hidden="true" customHeight="false" outlineLevel="0" collapsed="false">
      <c r="B1089" s="360" t="s">
        <v>3443</v>
      </c>
      <c r="C1089" s="381" t="n">
        <v>1</v>
      </c>
      <c r="D1089" s="381" t="n">
        <v>0</v>
      </c>
      <c r="E1089" s="381" t="n">
        <v>0</v>
      </c>
      <c r="F1089" s="359" t="n">
        <v>1</v>
      </c>
      <c r="G1089" s="380" t="n">
        <v>0</v>
      </c>
      <c r="H1089" s="358" t="n">
        <v>0</v>
      </c>
      <c r="I1089" s="358" t="n">
        <v>0</v>
      </c>
      <c r="J1089" s="358" t="n">
        <v>0</v>
      </c>
      <c r="K1089" s="358" t="n">
        <v>0</v>
      </c>
      <c r="L1089" s="358" t="n">
        <v>0</v>
      </c>
      <c r="M1089" s="381" t="n">
        <v>1</v>
      </c>
      <c r="N1089" s="381" t="n">
        <v>0</v>
      </c>
      <c r="O1089" s="381" t="n">
        <v>0</v>
      </c>
      <c r="P1089" s="359" t="n">
        <v>1</v>
      </c>
    </row>
    <row r="1090" customFormat="false" ht="15" hidden="true" customHeight="false" outlineLevel="0" collapsed="false">
      <c r="B1090" s="360" t="s">
        <v>3444</v>
      </c>
      <c r="C1090" s="381" t="n">
        <v>1</v>
      </c>
      <c r="D1090" s="381" t="n">
        <v>0</v>
      </c>
      <c r="E1090" s="381" t="n">
        <v>0</v>
      </c>
      <c r="F1090" s="359" t="n">
        <v>1</v>
      </c>
      <c r="G1090" s="380" t="n">
        <v>0</v>
      </c>
      <c r="H1090" s="358" t="n">
        <v>0</v>
      </c>
      <c r="I1090" s="358" t="n">
        <v>0</v>
      </c>
      <c r="J1090" s="358" t="n">
        <v>0</v>
      </c>
      <c r="K1090" s="358" t="n">
        <v>0</v>
      </c>
      <c r="L1090" s="358" t="n">
        <v>0</v>
      </c>
      <c r="M1090" s="381" t="n">
        <v>1</v>
      </c>
      <c r="N1090" s="381" t="n">
        <v>0</v>
      </c>
      <c r="O1090" s="381" t="n">
        <v>0</v>
      </c>
      <c r="P1090" s="359" t="n">
        <v>1</v>
      </c>
    </row>
    <row r="1091" customFormat="false" ht="15" hidden="true" customHeight="false" outlineLevel="0" collapsed="false">
      <c r="B1091" s="360" t="s">
        <v>3445</v>
      </c>
      <c r="C1091" s="381" t="n">
        <v>1</v>
      </c>
      <c r="D1091" s="381" t="n">
        <v>0</v>
      </c>
      <c r="E1091" s="381" t="n">
        <v>0</v>
      </c>
      <c r="F1091" s="359" t="n">
        <v>1</v>
      </c>
      <c r="G1091" s="380" t="n">
        <v>0</v>
      </c>
      <c r="H1091" s="358" t="n">
        <v>0</v>
      </c>
      <c r="I1091" s="358" t="n">
        <v>0</v>
      </c>
      <c r="J1091" s="358" t="n">
        <v>0</v>
      </c>
      <c r="K1091" s="358" t="n">
        <v>0</v>
      </c>
      <c r="L1091" s="358" t="n">
        <v>0</v>
      </c>
      <c r="M1091" s="381" t="n">
        <v>1</v>
      </c>
      <c r="N1091" s="381" t="n">
        <v>0</v>
      </c>
      <c r="O1091" s="381" t="n">
        <v>0</v>
      </c>
      <c r="P1091" s="359" t="n">
        <v>1</v>
      </c>
    </row>
    <row r="1092" customFormat="false" ht="15" hidden="true" customHeight="false" outlineLevel="0" collapsed="false">
      <c r="B1092" s="360" t="s">
        <v>3446</v>
      </c>
      <c r="C1092" s="381" t="n">
        <v>1</v>
      </c>
      <c r="D1092" s="381" t="n">
        <v>0</v>
      </c>
      <c r="E1092" s="381" t="n">
        <v>0</v>
      </c>
      <c r="F1092" s="359" t="n">
        <v>1</v>
      </c>
      <c r="G1092" s="380" t="n">
        <v>0</v>
      </c>
      <c r="H1092" s="358" t="n">
        <v>0</v>
      </c>
      <c r="I1092" s="358" t="n">
        <v>0</v>
      </c>
      <c r="J1092" s="358" t="n">
        <v>0</v>
      </c>
      <c r="K1092" s="358" t="n">
        <v>0</v>
      </c>
      <c r="L1092" s="358" t="n">
        <v>0</v>
      </c>
      <c r="M1092" s="381" t="n">
        <v>1</v>
      </c>
      <c r="N1092" s="381" t="n">
        <v>0</v>
      </c>
      <c r="O1092" s="381" t="n">
        <v>0</v>
      </c>
      <c r="P1092" s="359" t="n">
        <v>1</v>
      </c>
    </row>
    <row r="1093" customFormat="false" ht="15" hidden="true" customHeight="false" outlineLevel="0" collapsed="false">
      <c r="B1093" s="360" t="s">
        <v>3447</v>
      </c>
      <c r="C1093" s="381" t="n">
        <v>1</v>
      </c>
      <c r="D1093" s="381" t="n">
        <v>0</v>
      </c>
      <c r="E1093" s="381" t="n">
        <v>0</v>
      </c>
      <c r="F1093" s="359" t="n">
        <v>1</v>
      </c>
      <c r="G1093" s="380" t="n">
        <v>0</v>
      </c>
      <c r="H1093" s="358" t="n">
        <v>0</v>
      </c>
      <c r="I1093" s="358" t="n">
        <v>0</v>
      </c>
      <c r="J1093" s="358" t="n">
        <v>0</v>
      </c>
      <c r="K1093" s="358" t="n">
        <v>0</v>
      </c>
      <c r="L1093" s="358" t="n">
        <v>0</v>
      </c>
      <c r="M1093" s="381" t="n">
        <v>1</v>
      </c>
      <c r="N1093" s="381" t="n">
        <v>0</v>
      </c>
      <c r="O1093" s="381" t="n">
        <v>0</v>
      </c>
      <c r="P1093" s="359" t="n">
        <v>1</v>
      </c>
    </row>
    <row r="1094" customFormat="false" ht="15" hidden="true" customHeight="false" outlineLevel="0" collapsed="false">
      <c r="B1094" s="360" t="s">
        <v>3448</v>
      </c>
      <c r="C1094" s="381" t="n">
        <v>1</v>
      </c>
      <c r="D1094" s="381" t="n">
        <v>0</v>
      </c>
      <c r="E1094" s="381" t="n">
        <v>0</v>
      </c>
      <c r="F1094" s="359" t="n">
        <v>1</v>
      </c>
      <c r="G1094" s="380" t="n">
        <v>0</v>
      </c>
      <c r="H1094" s="358" t="n">
        <v>0</v>
      </c>
      <c r="I1094" s="358" t="n">
        <v>0</v>
      </c>
      <c r="J1094" s="358" t="n">
        <v>0</v>
      </c>
      <c r="K1094" s="358" t="n">
        <v>0</v>
      </c>
      <c r="L1094" s="358" t="n">
        <v>0</v>
      </c>
      <c r="M1094" s="381" t="n">
        <v>1</v>
      </c>
      <c r="N1094" s="381" t="n">
        <v>0</v>
      </c>
      <c r="O1094" s="381" t="n">
        <v>0</v>
      </c>
      <c r="P1094" s="359" t="n">
        <v>1</v>
      </c>
    </row>
    <row r="1095" customFormat="false" ht="15" hidden="true" customHeight="false" outlineLevel="0" collapsed="false">
      <c r="B1095" s="360" t="s">
        <v>3449</v>
      </c>
      <c r="C1095" s="381" t="n">
        <v>1</v>
      </c>
      <c r="D1095" s="381" t="n">
        <v>0</v>
      </c>
      <c r="E1095" s="381" t="n">
        <v>0</v>
      </c>
      <c r="F1095" s="359" t="n">
        <v>1</v>
      </c>
      <c r="G1095" s="380" t="n">
        <v>0</v>
      </c>
      <c r="H1095" s="358" t="n">
        <v>0</v>
      </c>
      <c r="I1095" s="358" t="n">
        <v>0</v>
      </c>
      <c r="J1095" s="358" t="n">
        <v>0</v>
      </c>
      <c r="K1095" s="358" t="n">
        <v>0</v>
      </c>
      <c r="L1095" s="358" t="n">
        <v>0</v>
      </c>
      <c r="M1095" s="381" t="n">
        <v>1</v>
      </c>
      <c r="N1095" s="381" t="n">
        <v>0</v>
      </c>
      <c r="O1095" s="381" t="n">
        <v>0</v>
      </c>
      <c r="P1095" s="359" t="n">
        <v>1</v>
      </c>
    </row>
    <row r="1096" customFormat="false" ht="15" hidden="true" customHeight="false" outlineLevel="0" collapsed="false">
      <c r="B1096" s="360" t="s">
        <v>3450</v>
      </c>
      <c r="C1096" s="381" t="n">
        <v>1</v>
      </c>
      <c r="D1096" s="381" t="n">
        <v>0</v>
      </c>
      <c r="E1096" s="381" t="n">
        <v>0</v>
      </c>
      <c r="F1096" s="359" t="n">
        <v>1</v>
      </c>
      <c r="G1096" s="380" t="n">
        <v>0</v>
      </c>
      <c r="H1096" s="358" t="n">
        <v>0</v>
      </c>
      <c r="I1096" s="358" t="n">
        <v>0</v>
      </c>
      <c r="J1096" s="358" t="n">
        <v>0</v>
      </c>
      <c r="K1096" s="358" t="n">
        <v>0</v>
      </c>
      <c r="L1096" s="358" t="n">
        <v>0</v>
      </c>
      <c r="M1096" s="381" t="n">
        <v>1</v>
      </c>
      <c r="N1096" s="381" t="n">
        <v>0</v>
      </c>
      <c r="O1096" s="381" t="n">
        <v>0</v>
      </c>
      <c r="P1096" s="359" t="n">
        <v>1</v>
      </c>
    </row>
    <row r="1097" customFormat="false" ht="15" hidden="true" customHeight="false" outlineLevel="0" collapsed="false">
      <c r="B1097" s="360" t="s">
        <v>3451</v>
      </c>
      <c r="C1097" s="381" t="n">
        <v>1</v>
      </c>
      <c r="D1097" s="381" t="n">
        <v>0</v>
      </c>
      <c r="E1097" s="381" t="n">
        <v>0</v>
      </c>
      <c r="F1097" s="359" t="n">
        <v>1</v>
      </c>
      <c r="G1097" s="380" t="n">
        <v>0</v>
      </c>
      <c r="H1097" s="358" t="n">
        <v>0</v>
      </c>
      <c r="I1097" s="358" t="n">
        <v>0</v>
      </c>
      <c r="J1097" s="358" t="n">
        <v>0</v>
      </c>
      <c r="K1097" s="358" t="n">
        <v>0</v>
      </c>
      <c r="L1097" s="358" t="n">
        <v>0</v>
      </c>
      <c r="M1097" s="381" t="n">
        <v>1</v>
      </c>
      <c r="N1097" s="381" t="n">
        <v>0</v>
      </c>
      <c r="O1097" s="381" t="n">
        <v>0</v>
      </c>
      <c r="P1097" s="359" t="n">
        <v>1</v>
      </c>
    </row>
    <row r="1098" customFormat="false" ht="15" hidden="true" customHeight="false" outlineLevel="0" collapsed="false">
      <c r="B1098" s="360" t="s">
        <v>3452</v>
      </c>
      <c r="C1098" s="381" t="n">
        <v>1</v>
      </c>
      <c r="D1098" s="381" t="n">
        <v>0</v>
      </c>
      <c r="E1098" s="381" t="n">
        <v>0</v>
      </c>
      <c r="F1098" s="359" t="n">
        <v>1</v>
      </c>
      <c r="G1098" s="380" t="n">
        <v>0</v>
      </c>
      <c r="H1098" s="358" t="n">
        <v>0</v>
      </c>
      <c r="I1098" s="358" t="n">
        <v>0</v>
      </c>
      <c r="J1098" s="358" t="n">
        <v>0</v>
      </c>
      <c r="K1098" s="358" t="n">
        <v>0</v>
      </c>
      <c r="L1098" s="358" t="n">
        <v>0</v>
      </c>
      <c r="M1098" s="381" t="n">
        <v>1</v>
      </c>
      <c r="N1098" s="381" t="n">
        <v>0</v>
      </c>
      <c r="O1098" s="381" t="n">
        <v>0</v>
      </c>
      <c r="P1098" s="359" t="n">
        <v>1</v>
      </c>
    </row>
    <row r="1099" customFormat="false" ht="15" hidden="true" customHeight="false" outlineLevel="0" collapsed="false">
      <c r="B1099" s="360" t="s">
        <v>3453</v>
      </c>
      <c r="C1099" s="381" t="n">
        <v>1</v>
      </c>
      <c r="D1099" s="381" t="n">
        <v>0</v>
      </c>
      <c r="E1099" s="381" t="n">
        <v>0</v>
      </c>
      <c r="F1099" s="359" t="n">
        <v>1</v>
      </c>
      <c r="G1099" s="380" t="n">
        <v>0</v>
      </c>
      <c r="H1099" s="358" t="n">
        <v>0</v>
      </c>
      <c r="I1099" s="358" t="n">
        <v>0</v>
      </c>
      <c r="J1099" s="358" t="n">
        <v>0</v>
      </c>
      <c r="K1099" s="358" t="n">
        <v>0</v>
      </c>
      <c r="L1099" s="358" t="n">
        <v>0</v>
      </c>
      <c r="M1099" s="381" t="n">
        <v>1</v>
      </c>
      <c r="N1099" s="381" t="n">
        <v>0</v>
      </c>
      <c r="O1099" s="381" t="n">
        <v>0</v>
      </c>
      <c r="P1099" s="359" t="n">
        <v>1</v>
      </c>
    </row>
    <row r="1100" customFormat="false" ht="15" hidden="true" customHeight="false" outlineLevel="0" collapsed="false">
      <c r="B1100" s="360" t="s">
        <v>3454</v>
      </c>
      <c r="C1100" s="381" t="n">
        <v>1</v>
      </c>
      <c r="D1100" s="381" t="n">
        <v>0</v>
      </c>
      <c r="E1100" s="381" t="n">
        <v>0</v>
      </c>
      <c r="F1100" s="359" t="n">
        <v>1</v>
      </c>
      <c r="G1100" s="380" t="n">
        <v>0</v>
      </c>
      <c r="H1100" s="358" t="n">
        <v>0</v>
      </c>
      <c r="I1100" s="358" t="n">
        <v>0</v>
      </c>
      <c r="J1100" s="358" t="n">
        <v>0</v>
      </c>
      <c r="K1100" s="358" t="n">
        <v>0</v>
      </c>
      <c r="L1100" s="358" t="n">
        <v>0</v>
      </c>
      <c r="M1100" s="381" t="n">
        <v>1</v>
      </c>
      <c r="N1100" s="381" t="n">
        <v>0</v>
      </c>
      <c r="O1100" s="381" t="n">
        <v>0</v>
      </c>
      <c r="P1100" s="359" t="n">
        <v>1</v>
      </c>
    </row>
    <row r="1101" customFormat="false" ht="15" hidden="true" customHeight="false" outlineLevel="0" collapsed="false">
      <c r="B1101" s="360" t="s">
        <v>3455</v>
      </c>
      <c r="C1101" s="381" t="n">
        <v>1</v>
      </c>
      <c r="D1101" s="381" t="n">
        <v>0</v>
      </c>
      <c r="E1101" s="381" t="n">
        <v>0</v>
      </c>
      <c r="F1101" s="359" t="n">
        <v>1</v>
      </c>
      <c r="G1101" s="380" t="n">
        <v>0</v>
      </c>
      <c r="H1101" s="358" t="n">
        <v>0</v>
      </c>
      <c r="I1101" s="358" t="n">
        <v>0</v>
      </c>
      <c r="J1101" s="358" t="n">
        <v>0</v>
      </c>
      <c r="K1101" s="358" t="n">
        <v>0</v>
      </c>
      <c r="L1101" s="358" t="n">
        <v>0</v>
      </c>
      <c r="M1101" s="381" t="n">
        <v>1</v>
      </c>
      <c r="N1101" s="381" t="n">
        <v>0</v>
      </c>
      <c r="O1101" s="381" t="n">
        <v>0</v>
      </c>
      <c r="P1101" s="359" t="n">
        <v>1</v>
      </c>
    </row>
    <row r="1102" customFormat="false" ht="15" hidden="true" customHeight="false" outlineLevel="0" collapsed="false">
      <c r="B1102" s="360" t="s">
        <v>3456</v>
      </c>
      <c r="C1102" s="381" t="n">
        <v>1</v>
      </c>
      <c r="D1102" s="381" t="n">
        <v>0</v>
      </c>
      <c r="E1102" s="381" t="n">
        <v>0</v>
      </c>
      <c r="F1102" s="359" t="n">
        <v>1</v>
      </c>
      <c r="G1102" s="380" t="n">
        <v>0</v>
      </c>
      <c r="H1102" s="358" t="n">
        <v>0</v>
      </c>
      <c r="I1102" s="358" t="n">
        <v>0</v>
      </c>
      <c r="J1102" s="358" t="n">
        <v>0</v>
      </c>
      <c r="K1102" s="358" t="n">
        <v>0</v>
      </c>
      <c r="L1102" s="358" t="n">
        <v>0</v>
      </c>
      <c r="M1102" s="381" t="n">
        <v>1</v>
      </c>
      <c r="N1102" s="381" t="n">
        <v>0</v>
      </c>
      <c r="O1102" s="381" t="n">
        <v>0</v>
      </c>
      <c r="P1102" s="359" t="n">
        <v>1</v>
      </c>
    </row>
    <row r="1103" customFormat="false" ht="15" hidden="true" customHeight="false" outlineLevel="0" collapsed="false">
      <c r="B1103" s="360" t="s">
        <v>3457</v>
      </c>
      <c r="C1103" s="381" t="n">
        <v>1</v>
      </c>
      <c r="D1103" s="381" t="n">
        <v>0</v>
      </c>
      <c r="E1103" s="381" t="n">
        <v>0</v>
      </c>
      <c r="F1103" s="359" t="n">
        <v>1</v>
      </c>
      <c r="G1103" s="380" t="n">
        <v>0</v>
      </c>
      <c r="H1103" s="358" t="n">
        <v>0</v>
      </c>
      <c r="I1103" s="358" t="n">
        <v>0</v>
      </c>
      <c r="J1103" s="358" t="n">
        <v>0</v>
      </c>
      <c r="K1103" s="358" t="n">
        <v>0</v>
      </c>
      <c r="L1103" s="358" t="n">
        <v>0</v>
      </c>
      <c r="M1103" s="381" t="n">
        <v>1</v>
      </c>
      <c r="N1103" s="381" t="n">
        <v>0</v>
      </c>
      <c r="O1103" s="381" t="n">
        <v>0</v>
      </c>
      <c r="P1103" s="359" t="n">
        <v>1</v>
      </c>
    </row>
    <row r="1104" customFormat="false" ht="15" hidden="true" customHeight="false" outlineLevel="0" collapsed="false">
      <c r="B1104" s="360" t="s">
        <v>3458</v>
      </c>
      <c r="C1104" s="381" t="n">
        <v>1</v>
      </c>
      <c r="D1104" s="381" t="n">
        <v>0</v>
      </c>
      <c r="E1104" s="381" t="n">
        <v>0</v>
      </c>
      <c r="F1104" s="359" t="n">
        <v>1</v>
      </c>
      <c r="G1104" s="380" t="n">
        <v>0</v>
      </c>
      <c r="H1104" s="358" t="n">
        <v>0</v>
      </c>
      <c r="I1104" s="358" t="n">
        <v>0</v>
      </c>
      <c r="J1104" s="358" t="n">
        <v>0</v>
      </c>
      <c r="K1104" s="358" t="n">
        <v>0</v>
      </c>
      <c r="L1104" s="358" t="n">
        <v>0</v>
      </c>
      <c r="M1104" s="381" t="n">
        <v>1</v>
      </c>
      <c r="N1104" s="381" t="n">
        <v>0</v>
      </c>
      <c r="O1104" s="381" t="n">
        <v>0</v>
      </c>
      <c r="P1104" s="359" t="n">
        <v>1</v>
      </c>
    </row>
    <row r="1105" customFormat="false" ht="15" hidden="true" customHeight="false" outlineLevel="0" collapsed="false">
      <c r="B1105" s="360" t="s">
        <v>3459</v>
      </c>
      <c r="C1105" s="381" t="n">
        <v>1</v>
      </c>
      <c r="D1105" s="381" t="n">
        <v>0</v>
      </c>
      <c r="E1105" s="381" t="n">
        <v>0</v>
      </c>
      <c r="F1105" s="359" t="n">
        <v>1</v>
      </c>
      <c r="G1105" s="380" t="n">
        <v>0</v>
      </c>
      <c r="H1105" s="358" t="n">
        <v>0</v>
      </c>
      <c r="I1105" s="358" t="n">
        <v>0</v>
      </c>
      <c r="J1105" s="358" t="n">
        <v>0</v>
      </c>
      <c r="K1105" s="358" t="n">
        <v>0</v>
      </c>
      <c r="L1105" s="358" t="n">
        <v>0</v>
      </c>
      <c r="M1105" s="381" t="n">
        <v>1</v>
      </c>
      <c r="N1105" s="381" t="n">
        <v>0</v>
      </c>
      <c r="O1105" s="381" t="n">
        <v>0</v>
      </c>
      <c r="P1105" s="359" t="n">
        <v>1</v>
      </c>
    </row>
    <row r="1106" customFormat="false" ht="15" hidden="true" customHeight="false" outlineLevel="0" collapsed="false">
      <c r="B1106" s="360" t="s">
        <v>3460</v>
      </c>
      <c r="C1106" s="381" t="n">
        <v>1</v>
      </c>
      <c r="D1106" s="381" t="n">
        <v>0</v>
      </c>
      <c r="E1106" s="381" t="n">
        <v>0</v>
      </c>
      <c r="F1106" s="359" t="n">
        <v>1</v>
      </c>
      <c r="G1106" s="380" t="n">
        <v>0</v>
      </c>
      <c r="H1106" s="358" t="n">
        <v>0</v>
      </c>
      <c r="I1106" s="358" t="n">
        <v>0</v>
      </c>
      <c r="J1106" s="358" t="n">
        <v>0</v>
      </c>
      <c r="K1106" s="358" t="n">
        <v>0</v>
      </c>
      <c r="L1106" s="358" t="n">
        <v>0</v>
      </c>
      <c r="M1106" s="381" t="n">
        <v>1</v>
      </c>
      <c r="N1106" s="381" t="n">
        <v>0</v>
      </c>
      <c r="O1106" s="381" t="n">
        <v>0</v>
      </c>
      <c r="P1106" s="359" t="n">
        <v>1</v>
      </c>
    </row>
    <row r="1107" customFormat="false" ht="15" hidden="true" customHeight="false" outlineLevel="0" collapsed="false">
      <c r="B1107" s="360" t="s">
        <v>3461</v>
      </c>
      <c r="C1107" s="381" t="n">
        <v>1</v>
      </c>
      <c r="D1107" s="381" t="n">
        <v>0</v>
      </c>
      <c r="E1107" s="381" t="n">
        <v>0</v>
      </c>
      <c r="F1107" s="359" t="n">
        <v>1</v>
      </c>
      <c r="G1107" s="380" t="n">
        <v>0</v>
      </c>
      <c r="H1107" s="358" t="n">
        <v>0</v>
      </c>
      <c r="I1107" s="358" t="n">
        <v>0</v>
      </c>
      <c r="J1107" s="358" t="n">
        <v>0</v>
      </c>
      <c r="K1107" s="358" t="n">
        <v>0</v>
      </c>
      <c r="L1107" s="358" t="n">
        <v>0</v>
      </c>
      <c r="M1107" s="381" t="n">
        <v>1</v>
      </c>
      <c r="N1107" s="381" t="n">
        <v>0</v>
      </c>
      <c r="O1107" s="381" t="n">
        <v>0</v>
      </c>
      <c r="P1107" s="359" t="n">
        <v>1</v>
      </c>
    </row>
    <row r="1108" customFormat="false" ht="15" hidden="true" customHeight="false" outlineLevel="0" collapsed="false">
      <c r="B1108" s="360" t="s">
        <v>3462</v>
      </c>
      <c r="C1108" s="381" t="n">
        <v>1</v>
      </c>
      <c r="D1108" s="381" t="n">
        <v>0</v>
      </c>
      <c r="E1108" s="381" t="n">
        <v>0</v>
      </c>
      <c r="F1108" s="359" t="n">
        <v>1</v>
      </c>
      <c r="G1108" s="380" t="n">
        <v>0</v>
      </c>
      <c r="H1108" s="358" t="n">
        <v>0</v>
      </c>
      <c r="I1108" s="358" t="n">
        <v>0</v>
      </c>
      <c r="J1108" s="358" t="n">
        <v>0</v>
      </c>
      <c r="K1108" s="358" t="n">
        <v>0</v>
      </c>
      <c r="L1108" s="358" t="n">
        <v>0</v>
      </c>
      <c r="M1108" s="381" t="n">
        <v>1</v>
      </c>
      <c r="N1108" s="381" t="n">
        <v>0</v>
      </c>
      <c r="O1108" s="381" t="n">
        <v>0</v>
      </c>
      <c r="P1108" s="359" t="n">
        <v>1</v>
      </c>
    </row>
    <row r="1109" customFormat="false" ht="15" hidden="true" customHeight="false" outlineLevel="0" collapsed="false">
      <c r="B1109" s="360" t="s">
        <v>3463</v>
      </c>
      <c r="C1109" s="381" t="n">
        <v>1</v>
      </c>
      <c r="D1109" s="381" t="n">
        <v>0</v>
      </c>
      <c r="E1109" s="381" t="n">
        <v>0</v>
      </c>
      <c r="F1109" s="359" t="n">
        <v>1</v>
      </c>
      <c r="G1109" s="380" t="n">
        <v>0</v>
      </c>
      <c r="H1109" s="358" t="n">
        <v>0</v>
      </c>
      <c r="I1109" s="358" t="n">
        <v>0</v>
      </c>
      <c r="J1109" s="358" t="n">
        <v>0</v>
      </c>
      <c r="K1109" s="358" t="n">
        <v>0</v>
      </c>
      <c r="L1109" s="358" t="n">
        <v>0</v>
      </c>
      <c r="M1109" s="381" t="n">
        <v>1</v>
      </c>
      <c r="N1109" s="381" t="n">
        <v>0</v>
      </c>
      <c r="O1109" s="381" t="n">
        <v>0</v>
      </c>
      <c r="P1109" s="359" t="n">
        <v>1</v>
      </c>
    </row>
    <row r="1110" customFormat="false" ht="15" hidden="true" customHeight="false" outlineLevel="0" collapsed="false">
      <c r="B1110" s="360" t="s">
        <v>3464</v>
      </c>
      <c r="C1110" s="381" t="n">
        <v>1</v>
      </c>
      <c r="D1110" s="381" t="n">
        <v>0</v>
      </c>
      <c r="E1110" s="381" t="n">
        <v>0</v>
      </c>
      <c r="F1110" s="359" t="n">
        <v>1</v>
      </c>
      <c r="G1110" s="380" t="n">
        <v>0</v>
      </c>
      <c r="H1110" s="358" t="n">
        <v>0</v>
      </c>
      <c r="I1110" s="358" t="n">
        <v>0</v>
      </c>
      <c r="J1110" s="358" t="n">
        <v>0</v>
      </c>
      <c r="K1110" s="358" t="n">
        <v>0</v>
      </c>
      <c r="L1110" s="358" t="n">
        <v>0</v>
      </c>
      <c r="M1110" s="381" t="n">
        <v>1</v>
      </c>
      <c r="N1110" s="381" t="n">
        <v>0</v>
      </c>
      <c r="O1110" s="381" t="n">
        <v>0</v>
      </c>
      <c r="P1110" s="359" t="n">
        <v>1</v>
      </c>
    </row>
    <row r="1111" customFormat="false" ht="15" hidden="true" customHeight="false" outlineLevel="0" collapsed="false">
      <c r="B1111" s="360" t="s">
        <v>3465</v>
      </c>
      <c r="C1111" s="381" t="n">
        <v>1</v>
      </c>
      <c r="D1111" s="381" t="n">
        <v>0</v>
      </c>
      <c r="E1111" s="381" t="n">
        <v>0</v>
      </c>
      <c r="F1111" s="359" t="n">
        <v>1</v>
      </c>
      <c r="G1111" s="380" t="n">
        <v>0</v>
      </c>
      <c r="H1111" s="358" t="n">
        <v>0</v>
      </c>
      <c r="I1111" s="358" t="n">
        <v>0</v>
      </c>
      <c r="J1111" s="358" t="n">
        <v>0</v>
      </c>
      <c r="K1111" s="358" t="n">
        <v>0</v>
      </c>
      <c r="L1111" s="358" t="n">
        <v>0</v>
      </c>
      <c r="M1111" s="381" t="n">
        <v>1</v>
      </c>
      <c r="N1111" s="381" t="n">
        <v>0</v>
      </c>
      <c r="O1111" s="381" t="n">
        <v>0</v>
      </c>
      <c r="P1111" s="359" t="n">
        <v>1</v>
      </c>
    </row>
    <row r="1112" customFormat="false" ht="15" hidden="true" customHeight="false" outlineLevel="0" collapsed="false">
      <c r="B1112" s="360" t="s">
        <v>3466</v>
      </c>
      <c r="C1112" s="381" t="n">
        <v>1</v>
      </c>
      <c r="D1112" s="381" t="n">
        <v>0</v>
      </c>
      <c r="E1112" s="381" t="n">
        <v>0</v>
      </c>
      <c r="F1112" s="359" t="n">
        <v>1</v>
      </c>
      <c r="G1112" s="380" t="n">
        <v>0</v>
      </c>
      <c r="H1112" s="358" t="n">
        <v>0</v>
      </c>
      <c r="I1112" s="358" t="n">
        <v>0</v>
      </c>
      <c r="J1112" s="358" t="n">
        <v>0</v>
      </c>
      <c r="K1112" s="358" t="n">
        <v>0</v>
      </c>
      <c r="L1112" s="358" t="n">
        <v>0</v>
      </c>
      <c r="M1112" s="381" t="n">
        <v>1</v>
      </c>
      <c r="N1112" s="381" t="n">
        <v>0</v>
      </c>
      <c r="O1112" s="381" t="n">
        <v>0</v>
      </c>
      <c r="P1112" s="359" t="n">
        <v>1</v>
      </c>
    </row>
    <row r="1113" customFormat="false" ht="15" hidden="true" customHeight="false" outlineLevel="0" collapsed="false">
      <c r="B1113" s="360" t="s">
        <v>3467</v>
      </c>
      <c r="C1113" s="381" t="n">
        <v>1</v>
      </c>
      <c r="D1113" s="381" t="n">
        <v>0</v>
      </c>
      <c r="E1113" s="381" t="n">
        <v>0</v>
      </c>
      <c r="F1113" s="359" t="n">
        <v>1</v>
      </c>
      <c r="G1113" s="380" t="n">
        <v>0</v>
      </c>
      <c r="H1113" s="358" t="n">
        <v>0</v>
      </c>
      <c r="I1113" s="358" t="n">
        <v>0</v>
      </c>
      <c r="J1113" s="358" t="n">
        <v>0</v>
      </c>
      <c r="K1113" s="358" t="n">
        <v>0</v>
      </c>
      <c r="L1113" s="358" t="n">
        <v>0</v>
      </c>
      <c r="M1113" s="381" t="n">
        <v>1</v>
      </c>
      <c r="N1113" s="381" t="n">
        <v>0</v>
      </c>
      <c r="O1113" s="381" t="n">
        <v>0</v>
      </c>
      <c r="P1113" s="359" t="n">
        <v>1</v>
      </c>
    </row>
    <row r="1114" customFormat="false" ht="15" hidden="true" customHeight="false" outlineLevel="0" collapsed="false">
      <c r="B1114" s="360" t="s">
        <v>3468</v>
      </c>
      <c r="C1114" s="381" t="n">
        <v>1</v>
      </c>
      <c r="D1114" s="381" t="n">
        <v>0</v>
      </c>
      <c r="E1114" s="381" t="n">
        <v>0</v>
      </c>
      <c r="F1114" s="359" t="n">
        <v>1</v>
      </c>
      <c r="G1114" s="380" t="n">
        <v>0</v>
      </c>
      <c r="H1114" s="358" t="n">
        <v>0</v>
      </c>
      <c r="I1114" s="358" t="n">
        <v>0</v>
      </c>
      <c r="J1114" s="358" t="n">
        <v>0</v>
      </c>
      <c r="K1114" s="358" t="n">
        <v>0</v>
      </c>
      <c r="L1114" s="358" t="n">
        <v>0</v>
      </c>
      <c r="M1114" s="381" t="n">
        <v>1</v>
      </c>
      <c r="N1114" s="381" t="n">
        <v>0</v>
      </c>
      <c r="O1114" s="381" t="n">
        <v>0</v>
      </c>
      <c r="P1114" s="359" t="n">
        <v>1</v>
      </c>
    </row>
    <row r="1115" customFormat="false" ht="15" hidden="true" customHeight="false" outlineLevel="0" collapsed="false">
      <c r="B1115" s="360" t="s">
        <v>3469</v>
      </c>
      <c r="C1115" s="381" t="n">
        <v>1</v>
      </c>
      <c r="D1115" s="381" t="n">
        <v>0</v>
      </c>
      <c r="E1115" s="381" t="n">
        <v>0</v>
      </c>
      <c r="F1115" s="359" t="n">
        <v>1</v>
      </c>
      <c r="G1115" s="380" t="n">
        <v>0</v>
      </c>
      <c r="H1115" s="358" t="n">
        <v>0</v>
      </c>
      <c r="I1115" s="358" t="n">
        <v>0</v>
      </c>
      <c r="J1115" s="358" t="n">
        <v>0</v>
      </c>
      <c r="K1115" s="358" t="n">
        <v>0</v>
      </c>
      <c r="L1115" s="358" t="n">
        <v>0</v>
      </c>
      <c r="M1115" s="381" t="n">
        <v>1</v>
      </c>
      <c r="N1115" s="381" t="n">
        <v>0</v>
      </c>
      <c r="O1115" s="381" t="n">
        <v>0</v>
      </c>
      <c r="P1115" s="359" t="n">
        <v>1</v>
      </c>
    </row>
    <row r="1116" customFormat="false" ht="15" hidden="true" customHeight="false" outlineLevel="0" collapsed="false">
      <c r="B1116" s="360" t="s">
        <v>3470</v>
      </c>
      <c r="C1116" s="381" t="n">
        <v>1</v>
      </c>
      <c r="D1116" s="381" t="n">
        <v>0</v>
      </c>
      <c r="E1116" s="381" t="n">
        <v>0</v>
      </c>
      <c r="F1116" s="359" t="n">
        <v>1</v>
      </c>
      <c r="G1116" s="380" t="n">
        <v>0</v>
      </c>
      <c r="H1116" s="358" t="n">
        <v>0</v>
      </c>
      <c r="I1116" s="358" t="n">
        <v>0</v>
      </c>
      <c r="J1116" s="358" t="n">
        <v>0</v>
      </c>
      <c r="K1116" s="358" t="n">
        <v>0</v>
      </c>
      <c r="L1116" s="358" t="n">
        <v>0</v>
      </c>
      <c r="M1116" s="381" t="n">
        <v>1</v>
      </c>
      <c r="N1116" s="381" t="n">
        <v>0</v>
      </c>
      <c r="O1116" s="381" t="n">
        <v>0</v>
      </c>
      <c r="P1116" s="359" t="n">
        <v>1</v>
      </c>
    </row>
    <row r="1117" customFormat="false" ht="15" hidden="true" customHeight="false" outlineLevel="0" collapsed="false">
      <c r="B1117" s="360" t="s">
        <v>3471</v>
      </c>
      <c r="C1117" s="381" t="n">
        <v>1</v>
      </c>
      <c r="D1117" s="381" t="n">
        <v>0</v>
      </c>
      <c r="E1117" s="381" t="n">
        <v>0</v>
      </c>
      <c r="F1117" s="359" t="n">
        <v>1</v>
      </c>
      <c r="G1117" s="380" t="n">
        <v>0</v>
      </c>
      <c r="H1117" s="358" t="n">
        <v>0</v>
      </c>
      <c r="I1117" s="358" t="n">
        <v>0</v>
      </c>
      <c r="J1117" s="358" t="n">
        <v>0</v>
      </c>
      <c r="K1117" s="358" t="n">
        <v>0</v>
      </c>
      <c r="L1117" s="358" t="n">
        <v>0</v>
      </c>
      <c r="M1117" s="381" t="n">
        <v>1</v>
      </c>
      <c r="N1117" s="381" t="n">
        <v>0</v>
      </c>
      <c r="O1117" s="381" t="n">
        <v>0</v>
      </c>
      <c r="P1117" s="359" t="n">
        <v>1</v>
      </c>
    </row>
    <row r="1118" customFormat="false" ht="15" hidden="true" customHeight="false" outlineLevel="0" collapsed="false">
      <c r="B1118" s="360" t="s">
        <v>3472</v>
      </c>
      <c r="C1118" s="381" t="n">
        <v>1</v>
      </c>
      <c r="D1118" s="381" t="n">
        <v>0</v>
      </c>
      <c r="E1118" s="381" t="n">
        <v>0</v>
      </c>
      <c r="F1118" s="359" t="n">
        <v>1</v>
      </c>
      <c r="G1118" s="380" t="n">
        <v>0</v>
      </c>
      <c r="H1118" s="358" t="n">
        <v>0</v>
      </c>
      <c r="I1118" s="358" t="n">
        <v>0</v>
      </c>
      <c r="J1118" s="358" t="n">
        <v>0</v>
      </c>
      <c r="K1118" s="358" t="n">
        <v>0</v>
      </c>
      <c r="L1118" s="358" t="n">
        <v>0</v>
      </c>
      <c r="M1118" s="381" t="n">
        <v>1</v>
      </c>
      <c r="N1118" s="381" t="n">
        <v>0</v>
      </c>
      <c r="O1118" s="381" t="n">
        <v>0</v>
      </c>
      <c r="P1118" s="359" t="n">
        <v>1</v>
      </c>
    </row>
    <row r="1119" customFormat="false" ht="15" hidden="true" customHeight="false" outlineLevel="0" collapsed="false">
      <c r="B1119" s="360" t="s">
        <v>3473</v>
      </c>
      <c r="C1119" s="381" t="n">
        <v>1</v>
      </c>
      <c r="D1119" s="381" t="n">
        <v>0</v>
      </c>
      <c r="E1119" s="381" t="n">
        <v>0</v>
      </c>
      <c r="F1119" s="359" t="n">
        <v>1</v>
      </c>
      <c r="G1119" s="380" t="n">
        <v>0</v>
      </c>
      <c r="H1119" s="358" t="n">
        <v>0</v>
      </c>
      <c r="I1119" s="358" t="n">
        <v>0</v>
      </c>
      <c r="J1119" s="358" t="n">
        <v>0</v>
      </c>
      <c r="K1119" s="358" t="n">
        <v>0</v>
      </c>
      <c r="L1119" s="358" t="n">
        <v>0</v>
      </c>
      <c r="M1119" s="381" t="n">
        <v>1</v>
      </c>
      <c r="N1119" s="381" t="n">
        <v>0</v>
      </c>
      <c r="O1119" s="381" t="n">
        <v>0</v>
      </c>
      <c r="P1119" s="359" t="n">
        <v>1</v>
      </c>
    </row>
    <row r="1120" customFormat="false" ht="15" hidden="true" customHeight="false" outlineLevel="0" collapsed="false">
      <c r="B1120" s="360" t="s">
        <v>3474</v>
      </c>
      <c r="C1120" s="381" t="n">
        <v>1</v>
      </c>
      <c r="D1120" s="381" t="n">
        <v>0</v>
      </c>
      <c r="E1120" s="381" t="n">
        <v>0</v>
      </c>
      <c r="F1120" s="359" t="n">
        <v>1</v>
      </c>
      <c r="G1120" s="380" t="n">
        <v>0</v>
      </c>
      <c r="H1120" s="358" t="n">
        <v>0</v>
      </c>
      <c r="I1120" s="358" t="n">
        <v>0</v>
      </c>
      <c r="J1120" s="358" t="n">
        <v>0</v>
      </c>
      <c r="K1120" s="358" t="n">
        <v>0</v>
      </c>
      <c r="L1120" s="358" t="n">
        <v>0</v>
      </c>
      <c r="M1120" s="381" t="n">
        <v>1</v>
      </c>
      <c r="N1120" s="381" t="n">
        <v>0</v>
      </c>
      <c r="O1120" s="381" t="n">
        <v>0</v>
      </c>
      <c r="P1120" s="359" t="n">
        <v>1</v>
      </c>
    </row>
    <row r="1121" customFormat="false" ht="15" hidden="true" customHeight="false" outlineLevel="0" collapsed="false">
      <c r="B1121" s="360" t="s">
        <v>3475</v>
      </c>
      <c r="C1121" s="381" t="n">
        <v>1</v>
      </c>
      <c r="D1121" s="381" t="n">
        <v>0</v>
      </c>
      <c r="E1121" s="381" t="n">
        <v>0</v>
      </c>
      <c r="F1121" s="359" t="n">
        <v>1</v>
      </c>
      <c r="G1121" s="380" t="n">
        <v>0</v>
      </c>
      <c r="H1121" s="358" t="n">
        <v>0</v>
      </c>
      <c r="I1121" s="358" t="n">
        <v>0</v>
      </c>
      <c r="J1121" s="358" t="n">
        <v>0</v>
      </c>
      <c r="K1121" s="358" t="n">
        <v>0</v>
      </c>
      <c r="L1121" s="358" t="n">
        <v>0</v>
      </c>
      <c r="M1121" s="381" t="n">
        <v>1</v>
      </c>
      <c r="N1121" s="381" t="n">
        <v>0</v>
      </c>
      <c r="O1121" s="381" t="n">
        <v>0</v>
      </c>
      <c r="P1121" s="359" t="n">
        <v>1</v>
      </c>
    </row>
    <row r="1122" customFormat="false" ht="15" hidden="true" customHeight="false" outlineLevel="0" collapsed="false">
      <c r="B1122" s="360" t="s">
        <v>3476</v>
      </c>
      <c r="C1122" s="381" t="n">
        <v>1</v>
      </c>
      <c r="D1122" s="381" t="n">
        <v>0</v>
      </c>
      <c r="E1122" s="381" t="n">
        <v>0</v>
      </c>
      <c r="F1122" s="359" t="n">
        <v>1</v>
      </c>
      <c r="G1122" s="380" t="n">
        <v>0</v>
      </c>
      <c r="H1122" s="358" t="n">
        <v>0</v>
      </c>
      <c r="I1122" s="358" t="n">
        <v>0</v>
      </c>
      <c r="J1122" s="358" t="n">
        <v>0</v>
      </c>
      <c r="K1122" s="358" t="n">
        <v>0</v>
      </c>
      <c r="L1122" s="358" t="n">
        <v>0</v>
      </c>
      <c r="M1122" s="381" t="n">
        <v>1</v>
      </c>
      <c r="N1122" s="381" t="n">
        <v>0</v>
      </c>
      <c r="O1122" s="381" t="n">
        <v>0</v>
      </c>
      <c r="P1122" s="359" t="n">
        <v>1</v>
      </c>
    </row>
    <row r="1123" customFormat="false" ht="15" hidden="true" customHeight="false" outlineLevel="0" collapsed="false">
      <c r="B1123" s="360" t="s">
        <v>3477</v>
      </c>
      <c r="C1123" s="381" t="n">
        <v>1</v>
      </c>
      <c r="D1123" s="381" t="n">
        <v>0</v>
      </c>
      <c r="E1123" s="381" t="n">
        <v>0</v>
      </c>
      <c r="F1123" s="359" t="n">
        <v>1</v>
      </c>
      <c r="G1123" s="380" t="n">
        <v>0</v>
      </c>
      <c r="H1123" s="358" t="n">
        <v>0</v>
      </c>
      <c r="I1123" s="358" t="n">
        <v>0</v>
      </c>
      <c r="J1123" s="358" t="n">
        <v>0</v>
      </c>
      <c r="K1123" s="358" t="n">
        <v>0</v>
      </c>
      <c r="L1123" s="358" t="n">
        <v>0</v>
      </c>
      <c r="M1123" s="381" t="n">
        <v>1</v>
      </c>
      <c r="N1123" s="381" t="n">
        <v>0</v>
      </c>
      <c r="O1123" s="381" t="n">
        <v>0</v>
      </c>
      <c r="P1123" s="359" t="n">
        <v>1</v>
      </c>
    </row>
    <row r="1124" customFormat="false" ht="15" hidden="true" customHeight="false" outlineLevel="0" collapsed="false">
      <c r="B1124" s="360" t="s">
        <v>3478</v>
      </c>
      <c r="C1124" s="381" t="n">
        <v>1</v>
      </c>
      <c r="D1124" s="381" t="n">
        <v>0</v>
      </c>
      <c r="E1124" s="381" t="n">
        <v>0</v>
      </c>
      <c r="F1124" s="359" t="n">
        <v>1</v>
      </c>
      <c r="G1124" s="380" t="n">
        <v>0</v>
      </c>
      <c r="H1124" s="358" t="n">
        <v>0</v>
      </c>
      <c r="I1124" s="358" t="n">
        <v>0</v>
      </c>
      <c r="J1124" s="358" t="n">
        <v>0</v>
      </c>
      <c r="K1124" s="358" t="n">
        <v>0</v>
      </c>
      <c r="L1124" s="358" t="n">
        <v>0</v>
      </c>
      <c r="M1124" s="381" t="n">
        <v>1</v>
      </c>
      <c r="N1124" s="381" t="n">
        <v>0</v>
      </c>
      <c r="O1124" s="381" t="n">
        <v>0</v>
      </c>
      <c r="P1124" s="359" t="n">
        <v>1</v>
      </c>
    </row>
    <row r="1125" customFormat="false" ht="15" hidden="true" customHeight="false" outlineLevel="0" collapsed="false">
      <c r="B1125" s="360" t="s">
        <v>3479</v>
      </c>
      <c r="C1125" s="381" t="n">
        <v>1</v>
      </c>
      <c r="D1125" s="381" t="n">
        <v>0</v>
      </c>
      <c r="E1125" s="381" t="n">
        <v>0</v>
      </c>
      <c r="F1125" s="359" t="n">
        <v>1</v>
      </c>
      <c r="G1125" s="380" t="n">
        <v>0</v>
      </c>
      <c r="H1125" s="358" t="n">
        <v>0</v>
      </c>
      <c r="I1125" s="358" t="n">
        <v>0</v>
      </c>
      <c r="J1125" s="358" t="n">
        <v>0</v>
      </c>
      <c r="K1125" s="358" t="n">
        <v>0</v>
      </c>
      <c r="L1125" s="358" t="n">
        <v>0</v>
      </c>
      <c r="M1125" s="381" t="n">
        <v>1</v>
      </c>
      <c r="N1125" s="381" t="n">
        <v>0</v>
      </c>
      <c r="O1125" s="381" t="n">
        <v>0</v>
      </c>
      <c r="P1125" s="359" t="n">
        <v>1</v>
      </c>
    </row>
    <row r="1126" customFormat="false" ht="15" hidden="true" customHeight="false" outlineLevel="0" collapsed="false">
      <c r="B1126" s="360" t="s">
        <v>3480</v>
      </c>
      <c r="C1126" s="381" t="n">
        <v>1</v>
      </c>
      <c r="D1126" s="381" t="n">
        <v>0</v>
      </c>
      <c r="E1126" s="381" t="n">
        <v>0</v>
      </c>
      <c r="F1126" s="359" t="n">
        <v>1</v>
      </c>
      <c r="G1126" s="380" t="n">
        <v>0</v>
      </c>
      <c r="H1126" s="358" t="n">
        <v>0</v>
      </c>
      <c r="I1126" s="358" t="n">
        <v>0</v>
      </c>
      <c r="J1126" s="358" t="n">
        <v>0</v>
      </c>
      <c r="K1126" s="358" t="n">
        <v>0</v>
      </c>
      <c r="L1126" s="358" t="n">
        <v>0</v>
      </c>
      <c r="M1126" s="381" t="n">
        <v>1</v>
      </c>
      <c r="N1126" s="381" t="n">
        <v>0</v>
      </c>
      <c r="O1126" s="381" t="n">
        <v>0</v>
      </c>
      <c r="P1126" s="359" t="n">
        <v>1</v>
      </c>
    </row>
    <row r="1127" customFormat="false" ht="15" hidden="true" customHeight="false" outlineLevel="0" collapsed="false">
      <c r="B1127" s="360" t="s">
        <v>3481</v>
      </c>
      <c r="C1127" s="381" t="n">
        <v>1</v>
      </c>
      <c r="D1127" s="381" t="n">
        <v>0</v>
      </c>
      <c r="E1127" s="381" t="n">
        <v>0</v>
      </c>
      <c r="F1127" s="359" t="n">
        <v>1</v>
      </c>
      <c r="G1127" s="380" t="n">
        <v>0</v>
      </c>
      <c r="H1127" s="358" t="n">
        <v>0</v>
      </c>
      <c r="I1127" s="358" t="n">
        <v>0</v>
      </c>
      <c r="J1127" s="358" t="n">
        <v>0</v>
      </c>
      <c r="K1127" s="358" t="n">
        <v>0</v>
      </c>
      <c r="L1127" s="358" t="n">
        <v>0</v>
      </c>
      <c r="M1127" s="381" t="n">
        <v>1</v>
      </c>
      <c r="N1127" s="381" t="n">
        <v>0</v>
      </c>
      <c r="O1127" s="381" t="n">
        <v>0</v>
      </c>
      <c r="P1127" s="359" t="n">
        <v>1</v>
      </c>
    </row>
    <row r="1128" customFormat="false" ht="15" hidden="true" customHeight="false" outlineLevel="0" collapsed="false">
      <c r="B1128" s="360" t="s">
        <v>3482</v>
      </c>
      <c r="C1128" s="381" t="n">
        <v>1</v>
      </c>
      <c r="D1128" s="381" t="n">
        <v>0</v>
      </c>
      <c r="E1128" s="381" t="n">
        <v>0</v>
      </c>
      <c r="F1128" s="359" t="n">
        <v>1</v>
      </c>
      <c r="G1128" s="380" t="n">
        <v>0</v>
      </c>
      <c r="H1128" s="358" t="n">
        <v>0</v>
      </c>
      <c r="I1128" s="358" t="n">
        <v>0</v>
      </c>
      <c r="J1128" s="358" t="n">
        <v>0</v>
      </c>
      <c r="K1128" s="358" t="n">
        <v>0</v>
      </c>
      <c r="L1128" s="358" t="n">
        <v>0</v>
      </c>
      <c r="M1128" s="381" t="n">
        <v>1</v>
      </c>
      <c r="N1128" s="381" t="n">
        <v>0</v>
      </c>
      <c r="O1128" s="381" t="n">
        <v>0</v>
      </c>
      <c r="P1128" s="359" t="n">
        <v>1</v>
      </c>
    </row>
    <row r="1129" customFormat="false" ht="15" hidden="true" customHeight="false" outlineLevel="0" collapsed="false">
      <c r="B1129" s="360" t="s">
        <v>3483</v>
      </c>
      <c r="C1129" s="381" t="n">
        <v>1</v>
      </c>
      <c r="D1129" s="381" t="n">
        <v>0</v>
      </c>
      <c r="E1129" s="381" t="n">
        <v>0</v>
      </c>
      <c r="F1129" s="359" t="n">
        <v>1</v>
      </c>
      <c r="G1129" s="380" t="n">
        <v>0</v>
      </c>
      <c r="H1129" s="358" t="n">
        <v>0</v>
      </c>
      <c r="I1129" s="358" t="n">
        <v>0</v>
      </c>
      <c r="J1129" s="358" t="n">
        <v>0</v>
      </c>
      <c r="K1129" s="358" t="n">
        <v>0</v>
      </c>
      <c r="L1129" s="358" t="n">
        <v>0</v>
      </c>
      <c r="M1129" s="381" t="n">
        <v>1</v>
      </c>
      <c r="N1129" s="381" t="n">
        <v>0</v>
      </c>
      <c r="O1129" s="381" t="n">
        <v>0</v>
      </c>
      <c r="P1129" s="359" t="n">
        <v>1</v>
      </c>
    </row>
    <row r="1130" customFormat="false" ht="15" hidden="true" customHeight="false" outlineLevel="0" collapsed="false">
      <c r="B1130" s="360" t="s">
        <v>3484</v>
      </c>
      <c r="C1130" s="381" t="n">
        <v>1</v>
      </c>
      <c r="D1130" s="381" t="n">
        <v>0</v>
      </c>
      <c r="E1130" s="381" t="n">
        <v>0</v>
      </c>
      <c r="F1130" s="359" t="n">
        <v>1</v>
      </c>
      <c r="G1130" s="380" t="n">
        <v>0</v>
      </c>
      <c r="H1130" s="358" t="n">
        <v>0</v>
      </c>
      <c r="I1130" s="358" t="n">
        <v>0</v>
      </c>
      <c r="J1130" s="358" t="n">
        <v>0</v>
      </c>
      <c r="K1130" s="358" t="n">
        <v>0</v>
      </c>
      <c r="L1130" s="358" t="n">
        <v>0</v>
      </c>
      <c r="M1130" s="381" t="n">
        <v>1</v>
      </c>
      <c r="N1130" s="381" t="n">
        <v>0</v>
      </c>
      <c r="O1130" s="381" t="n">
        <v>0</v>
      </c>
      <c r="P1130" s="359" t="n">
        <v>1</v>
      </c>
    </row>
    <row r="1131" customFormat="false" ht="15" hidden="true" customHeight="false" outlineLevel="0" collapsed="false">
      <c r="B1131" s="360" t="s">
        <v>3485</v>
      </c>
      <c r="C1131" s="381" t="n">
        <v>1</v>
      </c>
      <c r="D1131" s="381" t="n">
        <v>0</v>
      </c>
      <c r="E1131" s="381" t="n">
        <v>0</v>
      </c>
      <c r="F1131" s="359" t="n">
        <v>1</v>
      </c>
      <c r="G1131" s="380" t="n">
        <v>0</v>
      </c>
      <c r="H1131" s="358" t="n">
        <v>0</v>
      </c>
      <c r="I1131" s="358" t="n">
        <v>0</v>
      </c>
      <c r="J1131" s="358" t="n">
        <v>0</v>
      </c>
      <c r="K1131" s="358" t="n">
        <v>0</v>
      </c>
      <c r="L1131" s="358" t="n">
        <v>0</v>
      </c>
      <c r="M1131" s="381" t="n">
        <v>1</v>
      </c>
      <c r="N1131" s="381" t="n">
        <v>0</v>
      </c>
      <c r="O1131" s="381" t="n">
        <v>0</v>
      </c>
      <c r="P1131" s="359" t="n">
        <v>1</v>
      </c>
    </row>
    <row r="1132" customFormat="false" ht="15" hidden="true" customHeight="false" outlineLevel="0" collapsed="false">
      <c r="B1132" s="360" t="s">
        <v>3486</v>
      </c>
      <c r="C1132" s="381" t="n">
        <v>1</v>
      </c>
      <c r="D1132" s="381" t="n">
        <v>0</v>
      </c>
      <c r="E1132" s="381" t="n">
        <v>0</v>
      </c>
      <c r="F1132" s="359" t="n">
        <v>1</v>
      </c>
      <c r="G1132" s="380" t="n">
        <v>0</v>
      </c>
      <c r="H1132" s="358" t="n">
        <v>0</v>
      </c>
      <c r="I1132" s="358" t="n">
        <v>0</v>
      </c>
      <c r="J1132" s="358" t="n">
        <v>0</v>
      </c>
      <c r="K1132" s="358" t="n">
        <v>0</v>
      </c>
      <c r="L1132" s="358" t="n">
        <v>0</v>
      </c>
      <c r="M1132" s="381" t="n">
        <v>1</v>
      </c>
      <c r="N1132" s="381" t="n">
        <v>0</v>
      </c>
      <c r="O1132" s="381" t="n">
        <v>0</v>
      </c>
      <c r="P1132" s="359" t="n">
        <v>1</v>
      </c>
    </row>
    <row r="1133" customFormat="false" ht="15" hidden="true" customHeight="false" outlineLevel="0" collapsed="false">
      <c r="B1133" s="360" t="s">
        <v>3487</v>
      </c>
      <c r="C1133" s="381" t="n">
        <v>1</v>
      </c>
      <c r="D1133" s="381" t="n">
        <v>0</v>
      </c>
      <c r="E1133" s="381" t="n">
        <v>0</v>
      </c>
      <c r="F1133" s="359" t="n">
        <v>1</v>
      </c>
      <c r="G1133" s="380" t="n">
        <v>0</v>
      </c>
      <c r="H1133" s="358" t="n">
        <v>0</v>
      </c>
      <c r="I1133" s="358" t="n">
        <v>0</v>
      </c>
      <c r="J1133" s="358" t="n">
        <v>0</v>
      </c>
      <c r="K1133" s="358" t="n">
        <v>0</v>
      </c>
      <c r="L1133" s="358" t="n">
        <v>0</v>
      </c>
      <c r="M1133" s="381" t="n">
        <v>1</v>
      </c>
      <c r="N1133" s="381" t="n">
        <v>0</v>
      </c>
      <c r="O1133" s="381" t="n">
        <v>0</v>
      </c>
      <c r="P1133" s="359" t="n">
        <v>1</v>
      </c>
    </row>
    <row r="1134" customFormat="false" ht="15" hidden="true" customHeight="false" outlineLevel="0" collapsed="false">
      <c r="B1134" s="360" t="s">
        <v>3488</v>
      </c>
      <c r="C1134" s="381" t="n">
        <v>1</v>
      </c>
      <c r="D1134" s="381" t="n">
        <v>0</v>
      </c>
      <c r="E1134" s="381" t="n">
        <v>0</v>
      </c>
      <c r="F1134" s="359" t="n">
        <v>1</v>
      </c>
      <c r="G1134" s="380" t="n">
        <v>0</v>
      </c>
      <c r="H1134" s="358" t="n">
        <v>-1</v>
      </c>
      <c r="I1134" s="358" t="n">
        <v>0</v>
      </c>
      <c r="J1134" s="358" t="n">
        <v>0</v>
      </c>
      <c r="K1134" s="358" t="n">
        <v>0</v>
      </c>
      <c r="L1134" s="358" t="n">
        <v>0</v>
      </c>
      <c r="M1134" s="381" t="n">
        <v>0</v>
      </c>
      <c r="N1134" s="381" t="n">
        <v>0</v>
      </c>
      <c r="O1134" s="381" t="n">
        <v>0</v>
      </c>
      <c r="P1134" s="359" t="n">
        <v>0</v>
      </c>
    </row>
    <row r="1135" customFormat="false" ht="15" hidden="true" customHeight="false" outlineLevel="0" collapsed="false">
      <c r="B1135" s="360" t="s">
        <v>3489</v>
      </c>
      <c r="C1135" s="381" t="n">
        <v>1</v>
      </c>
      <c r="D1135" s="381" t="n">
        <v>0</v>
      </c>
      <c r="E1135" s="381" t="n">
        <v>0</v>
      </c>
      <c r="F1135" s="359" t="n">
        <v>1</v>
      </c>
      <c r="G1135" s="380" t="n">
        <v>0</v>
      </c>
      <c r="H1135" s="358" t="n">
        <v>0</v>
      </c>
      <c r="I1135" s="358" t="n">
        <v>0</v>
      </c>
      <c r="J1135" s="358" t="n">
        <v>0</v>
      </c>
      <c r="K1135" s="358" t="n">
        <v>0</v>
      </c>
      <c r="L1135" s="358" t="n">
        <v>0</v>
      </c>
      <c r="M1135" s="381" t="n">
        <v>1</v>
      </c>
      <c r="N1135" s="381" t="n">
        <v>0</v>
      </c>
      <c r="O1135" s="381" t="n">
        <v>0</v>
      </c>
      <c r="P1135" s="359" t="n">
        <v>1</v>
      </c>
    </row>
    <row r="1136" customFormat="false" ht="15" hidden="true" customHeight="false" outlineLevel="0" collapsed="false">
      <c r="B1136" s="360" t="s">
        <v>3490</v>
      </c>
      <c r="C1136" s="381" t="n">
        <v>1</v>
      </c>
      <c r="D1136" s="381" t="n">
        <v>0</v>
      </c>
      <c r="E1136" s="381" t="n">
        <v>0</v>
      </c>
      <c r="F1136" s="359" t="n">
        <v>1</v>
      </c>
      <c r="G1136" s="380" t="n">
        <v>0</v>
      </c>
      <c r="H1136" s="358" t="n">
        <v>0</v>
      </c>
      <c r="I1136" s="358" t="n">
        <v>0</v>
      </c>
      <c r="J1136" s="358" t="n">
        <v>0</v>
      </c>
      <c r="K1136" s="358" t="n">
        <v>0</v>
      </c>
      <c r="L1136" s="358" t="n">
        <v>0</v>
      </c>
      <c r="M1136" s="381" t="n">
        <v>1</v>
      </c>
      <c r="N1136" s="381" t="n">
        <v>0</v>
      </c>
      <c r="O1136" s="381" t="n">
        <v>0</v>
      </c>
      <c r="P1136" s="359" t="n">
        <v>1</v>
      </c>
    </row>
    <row r="1137" customFormat="false" ht="15" hidden="true" customHeight="false" outlineLevel="0" collapsed="false">
      <c r="B1137" s="360" t="s">
        <v>3491</v>
      </c>
      <c r="C1137" s="381" t="n">
        <v>1</v>
      </c>
      <c r="D1137" s="381" t="n">
        <v>0</v>
      </c>
      <c r="E1137" s="381" t="n">
        <v>0</v>
      </c>
      <c r="F1137" s="359" t="n">
        <v>1</v>
      </c>
      <c r="G1137" s="380" t="n">
        <v>0</v>
      </c>
      <c r="H1137" s="358" t="n">
        <v>0</v>
      </c>
      <c r="I1137" s="358" t="n">
        <v>0</v>
      </c>
      <c r="J1137" s="358" t="n">
        <v>0</v>
      </c>
      <c r="K1137" s="358" t="n">
        <v>0</v>
      </c>
      <c r="L1137" s="358" t="n">
        <v>0</v>
      </c>
      <c r="M1137" s="381" t="n">
        <v>1</v>
      </c>
      <c r="N1137" s="381" t="n">
        <v>0</v>
      </c>
      <c r="O1137" s="381" t="n">
        <v>0</v>
      </c>
      <c r="P1137" s="359" t="n">
        <v>1</v>
      </c>
    </row>
    <row r="1138" customFormat="false" ht="15" hidden="true" customHeight="false" outlineLevel="0" collapsed="false">
      <c r="B1138" s="360" t="s">
        <v>3492</v>
      </c>
      <c r="C1138" s="381" t="n">
        <v>1</v>
      </c>
      <c r="D1138" s="381" t="n">
        <v>0</v>
      </c>
      <c r="E1138" s="381" t="n">
        <v>0</v>
      </c>
      <c r="F1138" s="359" t="n">
        <v>1</v>
      </c>
      <c r="G1138" s="380" t="n">
        <v>0</v>
      </c>
      <c r="H1138" s="358" t="n">
        <v>0</v>
      </c>
      <c r="I1138" s="358" t="n">
        <v>0</v>
      </c>
      <c r="J1138" s="358" t="n">
        <v>0</v>
      </c>
      <c r="K1138" s="358" t="n">
        <v>0</v>
      </c>
      <c r="L1138" s="358" t="n">
        <v>0</v>
      </c>
      <c r="M1138" s="381" t="n">
        <v>1</v>
      </c>
      <c r="N1138" s="381" t="n">
        <v>0</v>
      </c>
      <c r="O1138" s="381" t="n">
        <v>0</v>
      </c>
      <c r="P1138" s="359" t="n">
        <v>1</v>
      </c>
    </row>
    <row r="1139" customFormat="false" ht="15" hidden="true" customHeight="false" outlineLevel="0" collapsed="false">
      <c r="B1139" s="360" t="s">
        <v>3493</v>
      </c>
      <c r="C1139" s="381" t="n">
        <v>1</v>
      </c>
      <c r="D1139" s="381" t="n">
        <v>0</v>
      </c>
      <c r="E1139" s="381" t="n">
        <v>0</v>
      </c>
      <c r="F1139" s="359" t="n">
        <v>1</v>
      </c>
      <c r="G1139" s="380" t="n">
        <v>0</v>
      </c>
      <c r="H1139" s="358" t="n">
        <v>0</v>
      </c>
      <c r="I1139" s="358" t="n">
        <v>0</v>
      </c>
      <c r="J1139" s="358" t="n">
        <v>0</v>
      </c>
      <c r="K1139" s="358" t="n">
        <v>0</v>
      </c>
      <c r="L1139" s="358" t="n">
        <v>0</v>
      </c>
      <c r="M1139" s="381" t="n">
        <v>1</v>
      </c>
      <c r="N1139" s="381" t="n">
        <v>0</v>
      </c>
      <c r="O1139" s="381" t="n">
        <v>0</v>
      </c>
      <c r="P1139" s="359" t="n">
        <v>1</v>
      </c>
    </row>
    <row r="1140" customFormat="false" ht="15" hidden="true" customHeight="false" outlineLevel="0" collapsed="false">
      <c r="B1140" s="360" t="s">
        <v>3494</v>
      </c>
      <c r="C1140" s="381" t="n">
        <v>1</v>
      </c>
      <c r="D1140" s="381" t="n">
        <v>0</v>
      </c>
      <c r="E1140" s="381" t="n">
        <v>0</v>
      </c>
      <c r="F1140" s="359" t="n">
        <v>1</v>
      </c>
      <c r="G1140" s="380" t="n">
        <v>0</v>
      </c>
      <c r="H1140" s="358" t="n">
        <v>0</v>
      </c>
      <c r="I1140" s="358" t="n">
        <v>0</v>
      </c>
      <c r="J1140" s="358" t="n">
        <v>0</v>
      </c>
      <c r="K1140" s="358" t="n">
        <v>0</v>
      </c>
      <c r="L1140" s="358" t="n">
        <v>0</v>
      </c>
      <c r="M1140" s="381" t="n">
        <v>1</v>
      </c>
      <c r="N1140" s="381" t="n">
        <v>0</v>
      </c>
      <c r="O1140" s="381" t="n">
        <v>0</v>
      </c>
      <c r="P1140" s="359" t="n">
        <v>1</v>
      </c>
    </row>
    <row r="1141" customFormat="false" ht="15" hidden="true" customHeight="false" outlineLevel="0" collapsed="false">
      <c r="B1141" s="360" t="s">
        <v>3495</v>
      </c>
      <c r="C1141" s="381" t="n">
        <v>1</v>
      </c>
      <c r="D1141" s="381" t="n">
        <v>0</v>
      </c>
      <c r="E1141" s="381" t="n">
        <v>0</v>
      </c>
      <c r="F1141" s="359" t="n">
        <v>1</v>
      </c>
      <c r="G1141" s="380" t="n">
        <v>0</v>
      </c>
      <c r="H1141" s="358" t="n">
        <v>0</v>
      </c>
      <c r="I1141" s="358" t="n">
        <v>0</v>
      </c>
      <c r="J1141" s="358" t="n">
        <v>0</v>
      </c>
      <c r="K1141" s="358" t="n">
        <v>0</v>
      </c>
      <c r="L1141" s="358" t="n">
        <v>0</v>
      </c>
      <c r="M1141" s="381" t="n">
        <v>1</v>
      </c>
      <c r="N1141" s="381" t="n">
        <v>0</v>
      </c>
      <c r="O1141" s="381" t="n">
        <v>0</v>
      </c>
      <c r="P1141" s="359" t="n">
        <v>1</v>
      </c>
    </row>
    <row r="1142" customFormat="false" ht="15" hidden="true" customHeight="false" outlineLevel="0" collapsed="false">
      <c r="B1142" s="360" t="s">
        <v>3496</v>
      </c>
      <c r="C1142" s="381" t="n">
        <v>1</v>
      </c>
      <c r="D1142" s="381" t="n">
        <v>0</v>
      </c>
      <c r="E1142" s="381" t="n">
        <v>0</v>
      </c>
      <c r="F1142" s="359" t="n">
        <v>1</v>
      </c>
      <c r="G1142" s="380" t="n">
        <v>0</v>
      </c>
      <c r="H1142" s="358" t="n">
        <v>0</v>
      </c>
      <c r="I1142" s="358" t="n">
        <v>0</v>
      </c>
      <c r="J1142" s="358" t="n">
        <v>0</v>
      </c>
      <c r="K1142" s="358" t="n">
        <v>0</v>
      </c>
      <c r="L1142" s="358" t="n">
        <v>0</v>
      </c>
      <c r="M1142" s="381" t="n">
        <v>1</v>
      </c>
      <c r="N1142" s="381" t="n">
        <v>0</v>
      </c>
      <c r="O1142" s="381" t="n">
        <v>0</v>
      </c>
      <c r="P1142" s="359" t="n">
        <v>1</v>
      </c>
    </row>
    <row r="1143" customFormat="false" ht="15" hidden="true" customHeight="false" outlineLevel="0" collapsed="false">
      <c r="B1143" s="360" t="s">
        <v>3497</v>
      </c>
      <c r="C1143" s="381" t="n">
        <v>1</v>
      </c>
      <c r="D1143" s="381" t="n">
        <v>0</v>
      </c>
      <c r="E1143" s="381" t="n">
        <v>0</v>
      </c>
      <c r="F1143" s="359" t="n">
        <v>1</v>
      </c>
      <c r="G1143" s="380" t="n">
        <v>0</v>
      </c>
      <c r="H1143" s="358" t="n">
        <v>0</v>
      </c>
      <c r="I1143" s="358" t="n">
        <v>0</v>
      </c>
      <c r="J1143" s="358" t="n">
        <v>0</v>
      </c>
      <c r="K1143" s="358" t="n">
        <v>0</v>
      </c>
      <c r="L1143" s="358" t="n">
        <v>0</v>
      </c>
      <c r="M1143" s="381" t="n">
        <v>1</v>
      </c>
      <c r="N1143" s="381" t="n">
        <v>0</v>
      </c>
      <c r="O1143" s="381" t="n">
        <v>0</v>
      </c>
      <c r="P1143" s="359" t="n">
        <v>1</v>
      </c>
    </row>
    <row r="1144" customFormat="false" ht="15" hidden="false" customHeight="false" outlineLevel="0" collapsed="false">
      <c r="B1144" s="351" t="s">
        <v>2481</v>
      </c>
      <c r="C1144" s="352" t="n">
        <v>981</v>
      </c>
      <c r="D1144" s="352" t="n">
        <v>68</v>
      </c>
      <c r="E1144" s="352" t="n">
        <v>48</v>
      </c>
      <c r="F1144" s="352" t="n">
        <v>1097</v>
      </c>
      <c r="G1144" s="377" t="n">
        <v>7</v>
      </c>
      <c r="H1144" s="352" t="n">
        <v>-2</v>
      </c>
      <c r="I1144" s="352" t="n">
        <v>0</v>
      </c>
      <c r="J1144" s="352" t="n">
        <v>0</v>
      </c>
      <c r="K1144" s="352" t="n">
        <v>-4</v>
      </c>
      <c r="L1144" s="352" t="n">
        <v>-1</v>
      </c>
      <c r="M1144" s="352" t="n">
        <v>986</v>
      </c>
      <c r="N1144" s="352" t="n">
        <v>64</v>
      </c>
      <c r="O1144" s="352" t="n">
        <v>47</v>
      </c>
      <c r="P1144" s="352" t="n">
        <v>1097</v>
      </c>
    </row>
  </sheetData>
  <autoFilter ref="B6:P1144"/>
  <mergeCells count="4">
    <mergeCell ref="B5:B6"/>
    <mergeCell ref="C5:F5"/>
    <mergeCell ref="G5:L5"/>
    <mergeCell ref="M5:P5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M1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55.15"/>
    <col collapsed="false" customWidth="true" hidden="false" outlineLevel="0" max="3" min="3" style="0" width="17"/>
    <col collapsed="false" customWidth="true" hidden="false" outlineLevel="0" max="5" min="5" style="0" width="19.71"/>
    <col collapsed="false" customWidth="true" hidden="false" outlineLevel="0" max="6" min="6" style="0" width="17"/>
    <col collapsed="false" customWidth="true" hidden="false" outlineLevel="0" max="8" min="8" style="0" width="18.14"/>
    <col collapsed="false" customWidth="true" hidden="false" outlineLevel="0" max="10" min="10" style="0" width="19.71"/>
  </cols>
  <sheetData>
    <row r="1" customFormat="false" ht="15" hidden="false" customHeight="false" outlineLevel="0" collapsed="false">
      <c r="A1" s="185" t="s">
        <v>1</v>
      </c>
    </row>
    <row r="2" customFormat="false" ht="18.75" hidden="false" customHeight="true" outlineLevel="0" collapsed="false">
      <c r="B2" s="128" t="s">
        <v>3509</v>
      </c>
      <c r="M2" s="126" t="s">
        <v>1705</v>
      </c>
    </row>
    <row r="3" customFormat="false" ht="18.75" hidden="false" customHeight="true" outlineLevel="0" collapsed="false">
      <c r="B3" s="289" t="s">
        <v>2498</v>
      </c>
    </row>
    <row r="4" customFormat="false" ht="19.5" hidden="false" customHeight="true" outlineLevel="0" collapsed="false">
      <c r="B4" s="289"/>
    </row>
    <row r="5" customFormat="false" ht="39" hidden="false" customHeight="true" outlineLevel="0" collapsed="false">
      <c r="B5" s="347"/>
      <c r="C5" s="387" t="s">
        <v>3619</v>
      </c>
      <c r="D5" s="387"/>
      <c r="E5" s="387"/>
      <c r="F5" s="349" t="s">
        <v>2500</v>
      </c>
      <c r="G5" s="349"/>
      <c r="H5" s="387" t="s">
        <v>3620</v>
      </c>
      <c r="I5" s="387"/>
      <c r="J5" s="387"/>
    </row>
    <row r="6" customFormat="false" ht="68.25" hidden="false" customHeight="true" outlineLevel="0" collapsed="false">
      <c r="B6" s="347"/>
      <c r="C6" s="376" t="s">
        <v>3513</v>
      </c>
      <c r="D6" s="376" t="s">
        <v>3514</v>
      </c>
      <c r="E6" s="376" t="s">
        <v>3621</v>
      </c>
      <c r="F6" s="349" t="s">
        <v>3513</v>
      </c>
      <c r="G6" s="349" t="s">
        <v>3514</v>
      </c>
      <c r="H6" s="376" t="s">
        <v>3513</v>
      </c>
      <c r="I6" s="376" t="s">
        <v>3514</v>
      </c>
      <c r="J6" s="376" t="s">
        <v>3621</v>
      </c>
    </row>
    <row r="7" customFormat="false" ht="15.75" hidden="false" customHeight="true" outlineLevel="0" collapsed="false">
      <c r="B7" s="351" t="s">
        <v>2506</v>
      </c>
      <c r="C7" s="352" t="n">
        <v>68</v>
      </c>
      <c r="D7" s="352" t="n">
        <v>27</v>
      </c>
      <c r="E7" s="352" t="n">
        <v>95</v>
      </c>
      <c r="F7" s="352" t="n">
        <v>-4</v>
      </c>
      <c r="G7" s="352" t="n">
        <v>-2</v>
      </c>
      <c r="H7" s="352" t="n">
        <v>64</v>
      </c>
      <c r="I7" s="352" t="n">
        <v>25</v>
      </c>
      <c r="J7" s="352" t="n">
        <v>89</v>
      </c>
    </row>
    <row r="8" customFormat="false" ht="15" hidden="false" customHeight="false" outlineLevel="0" collapsed="false">
      <c r="B8" s="353" t="s">
        <v>1961</v>
      </c>
      <c r="C8" s="354" t="n">
        <v>29</v>
      </c>
      <c r="D8" s="354" t="n">
        <v>16</v>
      </c>
      <c r="E8" s="354" t="n">
        <v>45</v>
      </c>
      <c r="F8" s="354" t="n">
        <v>-2</v>
      </c>
      <c r="G8" s="354" t="n">
        <v>0</v>
      </c>
      <c r="H8" s="354" t="n">
        <v>27</v>
      </c>
      <c r="I8" s="354" t="n">
        <v>16</v>
      </c>
      <c r="J8" s="354" t="n">
        <v>43</v>
      </c>
    </row>
    <row r="9" customFormat="false" ht="15" hidden="false" customHeight="false" outlineLevel="0" collapsed="false">
      <c r="B9" s="356" t="s">
        <v>2457</v>
      </c>
      <c r="C9" s="379" t="n">
        <v>20</v>
      </c>
      <c r="D9" s="379" t="n">
        <v>3</v>
      </c>
      <c r="E9" s="357" t="n">
        <v>23</v>
      </c>
      <c r="F9" s="358" t="n">
        <v>-2</v>
      </c>
      <c r="G9" s="358" t="n">
        <v>0</v>
      </c>
      <c r="H9" s="379" t="n">
        <v>18</v>
      </c>
      <c r="I9" s="379" t="n">
        <v>3</v>
      </c>
      <c r="J9" s="357" t="n">
        <v>21</v>
      </c>
    </row>
    <row r="10" customFormat="false" ht="15" hidden="false" customHeight="false" outlineLevel="0" collapsed="false">
      <c r="B10" s="310" t="s">
        <v>2459</v>
      </c>
      <c r="C10" s="381" t="n">
        <v>2</v>
      </c>
      <c r="D10" s="381" t="n">
        <v>0</v>
      </c>
      <c r="E10" s="359" t="n">
        <v>2</v>
      </c>
      <c r="F10" s="358" t="n">
        <v>0</v>
      </c>
      <c r="G10" s="358" t="n">
        <v>0</v>
      </c>
      <c r="H10" s="381" t="n">
        <v>2</v>
      </c>
      <c r="I10" s="381" t="n">
        <v>0</v>
      </c>
      <c r="J10" s="359" t="n">
        <v>2</v>
      </c>
    </row>
    <row r="11" customFormat="false" ht="15" hidden="true" customHeight="false" outlineLevel="0" collapsed="false">
      <c r="B11" s="360" t="s">
        <v>3516</v>
      </c>
      <c r="C11" s="381" t="n">
        <v>1</v>
      </c>
      <c r="D11" s="381" t="n">
        <v>0</v>
      </c>
      <c r="E11" s="359" t="n">
        <v>1</v>
      </c>
      <c r="F11" s="358" t="n">
        <v>0</v>
      </c>
      <c r="G11" s="358" t="n">
        <v>0</v>
      </c>
      <c r="H11" s="381" t="n">
        <v>1</v>
      </c>
      <c r="I11" s="381" t="n">
        <v>0</v>
      </c>
      <c r="J11" s="359" t="n">
        <v>1</v>
      </c>
    </row>
    <row r="12" customFormat="false" ht="15" hidden="true" customHeight="false" outlineLevel="0" collapsed="false">
      <c r="B12" s="360" t="s">
        <v>3517</v>
      </c>
      <c r="C12" s="381" t="n">
        <v>1</v>
      </c>
      <c r="D12" s="381" t="n">
        <v>0</v>
      </c>
      <c r="E12" s="359" t="n">
        <v>1</v>
      </c>
      <c r="F12" s="358" t="n">
        <v>0</v>
      </c>
      <c r="G12" s="358" t="n">
        <v>0</v>
      </c>
      <c r="H12" s="381" t="n">
        <v>1</v>
      </c>
      <c r="I12" s="381" t="n">
        <v>0</v>
      </c>
      <c r="J12" s="359" t="n">
        <v>1</v>
      </c>
    </row>
    <row r="13" customFormat="false" ht="15" hidden="false" customHeight="false" outlineLevel="0" collapsed="false">
      <c r="B13" s="310" t="s">
        <v>1411</v>
      </c>
      <c r="C13" s="381" t="n">
        <v>4</v>
      </c>
      <c r="D13" s="381" t="n">
        <v>1</v>
      </c>
      <c r="E13" s="359" t="n">
        <v>5</v>
      </c>
      <c r="F13" s="358" t="n">
        <v>0</v>
      </c>
      <c r="G13" s="358" t="n">
        <v>0</v>
      </c>
      <c r="H13" s="381" t="n">
        <v>4</v>
      </c>
      <c r="I13" s="381" t="n">
        <v>1</v>
      </c>
      <c r="J13" s="359" t="n">
        <v>5</v>
      </c>
    </row>
    <row r="14" customFormat="false" ht="15" hidden="true" customHeight="false" outlineLevel="0" collapsed="false">
      <c r="B14" s="360" t="s">
        <v>3518</v>
      </c>
      <c r="C14" s="381" t="n">
        <v>1</v>
      </c>
      <c r="D14" s="381" t="n">
        <v>0</v>
      </c>
      <c r="E14" s="359" t="n">
        <v>1</v>
      </c>
      <c r="F14" s="358" t="n">
        <v>0</v>
      </c>
      <c r="G14" s="358" t="n">
        <v>0</v>
      </c>
      <c r="H14" s="381" t="n">
        <v>1</v>
      </c>
      <c r="I14" s="381" t="n">
        <v>0</v>
      </c>
      <c r="J14" s="359" t="n">
        <v>1</v>
      </c>
    </row>
    <row r="15" customFormat="false" ht="15" hidden="true" customHeight="false" outlineLevel="0" collapsed="false">
      <c r="B15" s="360" t="s">
        <v>3519</v>
      </c>
      <c r="C15" s="381" t="n">
        <v>1</v>
      </c>
      <c r="D15" s="381" t="n">
        <v>0</v>
      </c>
      <c r="E15" s="359" t="n">
        <v>1</v>
      </c>
      <c r="F15" s="358" t="n">
        <v>0</v>
      </c>
      <c r="G15" s="358" t="n">
        <v>0</v>
      </c>
      <c r="H15" s="381" t="n">
        <v>1</v>
      </c>
      <c r="I15" s="381" t="n">
        <v>0</v>
      </c>
      <c r="J15" s="359" t="n">
        <v>1</v>
      </c>
    </row>
    <row r="16" customFormat="false" ht="15" hidden="true" customHeight="false" outlineLevel="0" collapsed="false">
      <c r="B16" s="360" t="s">
        <v>3520</v>
      </c>
      <c r="C16" s="381" t="n">
        <v>1</v>
      </c>
      <c r="D16" s="381" t="n">
        <v>0</v>
      </c>
      <c r="E16" s="359" t="n">
        <v>1</v>
      </c>
      <c r="F16" s="358" t="n">
        <v>0</v>
      </c>
      <c r="G16" s="358" t="n">
        <v>0</v>
      </c>
      <c r="H16" s="381" t="n">
        <v>1</v>
      </c>
      <c r="I16" s="381" t="n">
        <v>0</v>
      </c>
      <c r="J16" s="359" t="n">
        <v>1</v>
      </c>
    </row>
    <row r="17" customFormat="false" ht="15" hidden="true" customHeight="false" outlineLevel="0" collapsed="false">
      <c r="B17" s="360" t="s">
        <v>3521</v>
      </c>
      <c r="C17" s="381" t="n">
        <v>1</v>
      </c>
      <c r="D17" s="381" t="n">
        <v>0</v>
      </c>
      <c r="E17" s="359" t="n">
        <v>1</v>
      </c>
      <c r="F17" s="358" t="n">
        <v>0</v>
      </c>
      <c r="G17" s="358" t="n">
        <v>0</v>
      </c>
      <c r="H17" s="381" t="n">
        <v>1</v>
      </c>
      <c r="I17" s="381" t="n">
        <v>0</v>
      </c>
      <c r="J17" s="359" t="n">
        <v>1</v>
      </c>
    </row>
    <row r="18" customFormat="false" ht="15" hidden="true" customHeight="false" outlineLevel="0" collapsed="false">
      <c r="B18" s="360" t="s">
        <v>3522</v>
      </c>
      <c r="C18" s="381" t="n">
        <v>0</v>
      </c>
      <c r="D18" s="381" t="n">
        <v>1</v>
      </c>
      <c r="E18" s="359" t="n">
        <v>1</v>
      </c>
      <c r="F18" s="358" t="n">
        <v>0</v>
      </c>
      <c r="G18" s="358" t="n">
        <v>0</v>
      </c>
      <c r="H18" s="381" t="n">
        <v>0</v>
      </c>
      <c r="I18" s="381" t="n">
        <v>1</v>
      </c>
      <c r="J18" s="359" t="n">
        <v>1</v>
      </c>
    </row>
    <row r="19" customFormat="false" ht="15" hidden="false" customHeight="false" outlineLevel="0" collapsed="false">
      <c r="B19" s="310" t="s">
        <v>1808</v>
      </c>
      <c r="C19" s="381" t="n">
        <v>7</v>
      </c>
      <c r="D19" s="381" t="n">
        <v>0</v>
      </c>
      <c r="E19" s="359" t="n">
        <v>7</v>
      </c>
      <c r="F19" s="358" t="n">
        <v>0</v>
      </c>
      <c r="G19" s="358" t="n">
        <v>0</v>
      </c>
      <c r="H19" s="381" t="n">
        <v>7</v>
      </c>
      <c r="I19" s="381" t="n">
        <v>0</v>
      </c>
      <c r="J19" s="359" t="n">
        <v>7</v>
      </c>
    </row>
    <row r="20" customFormat="false" ht="15" hidden="true" customHeight="false" outlineLevel="0" collapsed="false">
      <c r="B20" s="360" t="s">
        <v>3523</v>
      </c>
      <c r="C20" s="381" t="n">
        <v>1</v>
      </c>
      <c r="D20" s="381" t="n">
        <v>0</v>
      </c>
      <c r="E20" s="359" t="n">
        <v>1</v>
      </c>
      <c r="F20" s="358" t="n">
        <v>0</v>
      </c>
      <c r="G20" s="358" t="n">
        <v>0</v>
      </c>
      <c r="H20" s="381" t="n">
        <v>1</v>
      </c>
      <c r="I20" s="381" t="n">
        <v>0</v>
      </c>
      <c r="J20" s="359" t="n">
        <v>1</v>
      </c>
    </row>
    <row r="21" customFormat="false" ht="15" hidden="true" customHeight="false" outlineLevel="0" collapsed="false">
      <c r="B21" s="360" t="s">
        <v>3524</v>
      </c>
      <c r="C21" s="381" t="n">
        <v>1</v>
      </c>
      <c r="D21" s="381" t="n">
        <v>0</v>
      </c>
      <c r="E21" s="359" t="n">
        <v>1</v>
      </c>
      <c r="F21" s="358" t="n">
        <v>0</v>
      </c>
      <c r="G21" s="358" t="n">
        <v>0</v>
      </c>
      <c r="H21" s="381" t="n">
        <v>1</v>
      </c>
      <c r="I21" s="381" t="n">
        <v>0</v>
      </c>
      <c r="J21" s="359" t="n">
        <v>1</v>
      </c>
    </row>
    <row r="22" customFormat="false" ht="15" hidden="true" customHeight="false" outlineLevel="0" collapsed="false">
      <c r="B22" s="360" t="s">
        <v>3525</v>
      </c>
      <c r="C22" s="381" t="n">
        <v>1</v>
      </c>
      <c r="D22" s="381" t="n">
        <v>0</v>
      </c>
      <c r="E22" s="359" t="n">
        <v>1</v>
      </c>
      <c r="F22" s="358" t="n">
        <v>0</v>
      </c>
      <c r="G22" s="358" t="n">
        <v>0</v>
      </c>
      <c r="H22" s="381" t="n">
        <v>1</v>
      </c>
      <c r="I22" s="381" t="n">
        <v>0</v>
      </c>
      <c r="J22" s="359" t="n">
        <v>1</v>
      </c>
    </row>
    <row r="23" customFormat="false" ht="15" hidden="true" customHeight="false" outlineLevel="0" collapsed="false">
      <c r="B23" s="360" t="s">
        <v>3526</v>
      </c>
      <c r="C23" s="381" t="n">
        <v>1</v>
      </c>
      <c r="D23" s="381" t="n">
        <v>0</v>
      </c>
      <c r="E23" s="359" t="n">
        <v>1</v>
      </c>
      <c r="F23" s="358" t="n">
        <v>0</v>
      </c>
      <c r="G23" s="358" t="n">
        <v>0</v>
      </c>
      <c r="H23" s="381" t="n">
        <v>1</v>
      </c>
      <c r="I23" s="381" t="n">
        <v>0</v>
      </c>
      <c r="J23" s="359" t="n">
        <v>1</v>
      </c>
    </row>
    <row r="24" customFormat="false" ht="15" hidden="true" customHeight="false" outlineLevel="0" collapsed="false">
      <c r="B24" s="360" t="s">
        <v>3527</v>
      </c>
      <c r="C24" s="381" t="n">
        <v>1</v>
      </c>
      <c r="D24" s="381" t="n">
        <v>0</v>
      </c>
      <c r="E24" s="359" t="n">
        <v>1</v>
      </c>
      <c r="F24" s="358" t="n">
        <v>0</v>
      </c>
      <c r="G24" s="358" t="n">
        <v>0</v>
      </c>
      <c r="H24" s="381" t="n">
        <v>1</v>
      </c>
      <c r="I24" s="381" t="n">
        <v>0</v>
      </c>
      <c r="J24" s="359" t="n">
        <v>1</v>
      </c>
    </row>
    <row r="25" customFormat="false" ht="15" hidden="true" customHeight="false" outlineLevel="0" collapsed="false">
      <c r="B25" s="360" t="s">
        <v>3528</v>
      </c>
      <c r="C25" s="381" t="n">
        <v>1</v>
      </c>
      <c r="D25" s="381" t="n">
        <v>0</v>
      </c>
      <c r="E25" s="359" t="n">
        <v>1</v>
      </c>
      <c r="F25" s="358" t="n">
        <v>0</v>
      </c>
      <c r="G25" s="358" t="n">
        <v>0</v>
      </c>
      <c r="H25" s="381" t="n">
        <v>1</v>
      </c>
      <c r="I25" s="381" t="n">
        <v>0</v>
      </c>
      <c r="J25" s="359" t="n">
        <v>1</v>
      </c>
    </row>
    <row r="26" customFormat="false" ht="15" hidden="true" customHeight="false" outlineLevel="0" collapsed="false">
      <c r="B26" s="360" t="s">
        <v>3529</v>
      </c>
      <c r="C26" s="381" t="n">
        <v>1</v>
      </c>
      <c r="D26" s="381" t="n">
        <v>0</v>
      </c>
      <c r="E26" s="359" t="n">
        <v>1</v>
      </c>
      <c r="F26" s="358" t="n">
        <v>0</v>
      </c>
      <c r="G26" s="358" t="n">
        <v>0</v>
      </c>
      <c r="H26" s="381" t="n">
        <v>1</v>
      </c>
      <c r="I26" s="381" t="n">
        <v>0</v>
      </c>
      <c r="J26" s="359" t="n">
        <v>1</v>
      </c>
    </row>
    <row r="27" customFormat="false" ht="15" hidden="false" customHeight="false" outlineLevel="0" collapsed="false">
      <c r="B27" s="310" t="s">
        <v>1814</v>
      </c>
      <c r="C27" s="381" t="n">
        <v>2</v>
      </c>
      <c r="D27" s="381" t="n">
        <v>0</v>
      </c>
      <c r="E27" s="359" t="n">
        <v>2</v>
      </c>
      <c r="F27" s="358" t="n">
        <v>-2</v>
      </c>
      <c r="G27" s="358" t="n">
        <v>0</v>
      </c>
      <c r="H27" s="381" t="n">
        <v>0</v>
      </c>
      <c r="I27" s="381" t="n">
        <v>0</v>
      </c>
      <c r="J27" s="359" t="n">
        <v>0</v>
      </c>
    </row>
    <row r="28" customFormat="false" ht="15" hidden="false" customHeight="false" outlineLevel="0" collapsed="false">
      <c r="B28" s="360" t="s">
        <v>3530</v>
      </c>
      <c r="C28" s="381" t="n">
        <v>1</v>
      </c>
      <c r="D28" s="381" t="n">
        <v>0</v>
      </c>
      <c r="E28" s="359" t="n">
        <v>1</v>
      </c>
      <c r="F28" s="358" t="n">
        <v>-1</v>
      </c>
      <c r="G28" s="358" t="n">
        <v>0</v>
      </c>
      <c r="H28" s="381" t="n">
        <v>0</v>
      </c>
      <c r="I28" s="381" t="n">
        <v>0</v>
      </c>
      <c r="J28" s="359" t="n">
        <v>0</v>
      </c>
    </row>
    <row r="29" customFormat="false" ht="15" hidden="false" customHeight="false" outlineLevel="0" collapsed="false">
      <c r="B29" s="360" t="s">
        <v>3531</v>
      </c>
      <c r="C29" s="381" t="n">
        <v>1</v>
      </c>
      <c r="D29" s="381" t="n">
        <v>0</v>
      </c>
      <c r="E29" s="359" t="n">
        <v>1</v>
      </c>
      <c r="F29" s="358" t="n">
        <v>-1</v>
      </c>
      <c r="G29" s="358" t="n">
        <v>0</v>
      </c>
      <c r="H29" s="381" t="n">
        <v>0</v>
      </c>
      <c r="I29" s="381" t="n">
        <v>0</v>
      </c>
      <c r="J29" s="359" t="n">
        <v>0</v>
      </c>
    </row>
    <row r="30" customFormat="false" ht="15" hidden="false" customHeight="false" outlineLevel="0" collapsed="false">
      <c r="B30" s="310" t="s">
        <v>2460</v>
      </c>
      <c r="C30" s="381" t="n">
        <v>5</v>
      </c>
      <c r="D30" s="381" t="n">
        <v>2</v>
      </c>
      <c r="E30" s="359" t="n">
        <v>7</v>
      </c>
      <c r="F30" s="358" t="n">
        <v>0</v>
      </c>
      <c r="G30" s="358" t="n">
        <v>0</v>
      </c>
      <c r="H30" s="381" t="n">
        <v>5</v>
      </c>
      <c r="I30" s="381" t="n">
        <v>2</v>
      </c>
      <c r="J30" s="359" t="n">
        <v>7</v>
      </c>
    </row>
    <row r="31" customFormat="false" ht="15" hidden="true" customHeight="false" outlineLevel="0" collapsed="false">
      <c r="B31" s="360" t="s">
        <v>3532</v>
      </c>
      <c r="C31" s="381" t="n">
        <v>1</v>
      </c>
      <c r="D31" s="381" t="n">
        <v>0</v>
      </c>
      <c r="E31" s="359" t="n">
        <v>1</v>
      </c>
      <c r="F31" s="358" t="n">
        <v>0</v>
      </c>
      <c r="G31" s="358" t="n">
        <v>0</v>
      </c>
      <c r="H31" s="381" t="n">
        <v>1</v>
      </c>
      <c r="I31" s="381" t="n">
        <v>0</v>
      </c>
      <c r="J31" s="359" t="n">
        <v>1</v>
      </c>
    </row>
    <row r="32" customFormat="false" ht="15" hidden="true" customHeight="false" outlineLevel="0" collapsed="false">
      <c r="B32" s="360" t="s">
        <v>3533</v>
      </c>
      <c r="C32" s="381" t="n">
        <v>1</v>
      </c>
      <c r="D32" s="381" t="n">
        <v>0</v>
      </c>
      <c r="E32" s="359" t="n">
        <v>1</v>
      </c>
      <c r="F32" s="358" t="n">
        <v>0</v>
      </c>
      <c r="G32" s="358" t="n">
        <v>0</v>
      </c>
      <c r="H32" s="381" t="n">
        <v>1</v>
      </c>
      <c r="I32" s="381" t="n">
        <v>0</v>
      </c>
      <c r="J32" s="359" t="n">
        <v>1</v>
      </c>
    </row>
    <row r="33" customFormat="false" ht="15" hidden="true" customHeight="false" outlineLevel="0" collapsed="false">
      <c r="B33" s="360" t="s">
        <v>3534</v>
      </c>
      <c r="C33" s="381" t="n">
        <v>1</v>
      </c>
      <c r="D33" s="381" t="n">
        <v>0</v>
      </c>
      <c r="E33" s="359" t="n">
        <v>1</v>
      </c>
      <c r="F33" s="358" t="n">
        <v>0</v>
      </c>
      <c r="G33" s="358" t="n">
        <v>0</v>
      </c>
      <c r="H33" s="381" t="n">
        <v>1</v>
      </c>
      <c r="I33" s="381" t="n">
        <v>0</v>
      </c>
      <c r="J33" s="359" t="n">
        <v>1</v>
      </c>
    </row>
    <row r="34" customFormat="false" ht="15" hidden="true" customHeight="false" outlineLevel="0" collapsed="false">
      <c r="B34" s="360" t="s">
        <v>3535</v>
      </c>
      <c r="C34" s="381" t="n">
        <v>1</v>
      </c>
      <c r="D34" s="381" t="n">
        <v>0</v>
      </c>
      <c r="E34" s="359" t="n">
        <v>1</v>
      </c>
      <c r="F34" s="358" t="n">
        <v>0</v>
      </c>
      <c r="G34" s="358" t="n">
        <v>0</v>
      </c>
      <c r="H34" s="381" t="n">
        <v>1</v>
      </c>
      <c r="I34" s="381" t="n">
        <v>0</v>
      </c>
      <c r="J34" s="359" t="n">
        <v>1</v>
      </c>
    </row>
    <row r="35" customFormat="false" ht="15" hidden="true" customHeight="false" outlineLevel="0" collapsed="false">
      <c r="B35" s="360" t="s">
        <v>3536</v>
      </c>
      <c r="C35" s="381" t="n">
        <v>1</v>
      </c>
      <c r="D35" s="381" t="n">
        <v>0</v>
      </c>
      <c r="E35" s="359" t="n">
        <v>1</v>
      </c>
      <c r="F35" s="358" t="n">
        <v>0</v>
      </c>
      <c r="G35" s="358" t="n">
        <v>0</v>
      </c>
      <c r="H35" s="381" t="n">
        <v>1</v>
      </c>
      <c r="I35" s="381" t="n">
        <v>0</v>
      </c>
      <c r="J35" s="359" t="n">
        <v>1</v>
      </c>
    </row>
    <row r="36" customFormat="false" ht="15" hidden="true" customHeight="false" outlineLevel="0" collapsed="false">
      <c r="B36" s="360" t="s">
        <v>3537</v>
      </c>
      <c r="C36" s="381" t="n">
        <v>0</v>
      </c>
      <c r="D36" s="381" t="n">
        <v>1</v>
      </c>
      <c r="E36" s="359" t="n">
        <v>1</v>
      </c>
      <c r="F36" s="358" t="n">
        <v>0</v>
      </c>
      <c r="G36" s="358" t="n">
        <v>0</v>
      </c>
      <c r="H36" s="381" t="n">
        <v>0</v>
      </c>
      <c r="I36" s="381" t="n">
        <v>1</v>
      </c>
      <c r="J36" s="359" t="n">
        <v>1</v>
      </c>
    </row>
    <row r="37" customFormat="false" ht="15" hidden="true" customHeight="false" outlineLevel="0" collapsed="false">
      <c r="B37" s="360" t="s">
        <v>3538</v>
      </c>
      <c r="C37" s="381" t="n">
        <v>0</v>
      </c>
      <c r="D37" s="381" t="n">
        <v>1</v>
      </c>
      <c r="E37" s="359" t="n">
        <v>1</v>
      </c>
      <c r="F37" s="358" t="n">
        <v>0</v>
      </c>
      <c r="G37" s="358" t="n">
        <v>0</v>
      </c>
      <c r="H37" s="381" t="n">
        <v>0</v>
      </c>
      <c r="I37" s="381" t="n">
        <v>1</v>
      </c>
      <c r="J37" s="359" t="n">
        <v>1</v>
      </c>
    </row>
    <row r="38" customFormat="false" ht="15" hidden="false" customHeight="false" outlineLevel="0" collapsed="false">
      <c r="B38" s="356" t="s">
        <v>2464</v>
      </c>
      <c r="C38" s="379" t="n">
        <v>9</v>
      </c>
      <c r="D38" s="379" t="n">
        <v>13</v>
      </c>
      <c r="E38" s="357" t="n">
        <v>22</v>
      </c>
      <c r="F38" s="358" t="n">
        <v>0</v>
      </c>
      <c r="G38" s="358" t="n">
        <v>0</v>
      </c>
      <c r="H38" s="379" t="n">
        <v>9</v>
      </c>
      <c r="I38" s="379" t="n">
        <v>13</v>
      </c>
      <c r="J38" s="357" t="n">
        <v>22</v>
      </c>
    </row>
    <row r="39" customFormat="false" ht="15" hidden="true" customHeight="false" outlineLevel="0" collapsed="false">
      <c r="B39" s="360" t="s">
        <v>3539</v>
      </c>
      <c r="C39" s="381" t="n">
        <v>1</v>
      </c>
      <c r="D39" s="381" t="n">
        <v>0</v>
      </c>
      <c r="E39" s="359" t="n">
        <v>1</v>
      </c>
      <c r="F39" s="358" t="n">
        <v>0</v>
      </c>
      <c r="G39" s="358" t="n">
        <v>0</v>
      </c>
      <c r="H39" s="381" t="n">
        <v>1</v>
      </c>
      <c r="I39" s="381" t="n">
        <v>0</v>
      </c>
      <c r="J39" s="359" t="n">
        <v>1</v>
      </c>
    </row>
    <row r="40" customFormat="false" ht="15" hidden="true" customHeight="false" outlineLevel="0" collapsed="false">
      <c r="B40" s="360" t="s">
        <v>3540</v>
      </c>
      <c r="C40" s="381" t="n">
        <v>1</v>
      </c>
      <c r="D40" s="381" t="n">
        <v>0</v>
      </c>
      <c r="E40" s="359" t="n">
        <v>1</v>
      </c>
      <c r="F40" s="358" t="n">
        <v>0</v>
      </c>
      <c r="G40" s="358" t="n">
        <v>0</v>
      </c>
      <c r="H40" s="381" t="n">
        <v>1</v>
      </c>
      <c r="I40" s="381" t="n">
        <v>0</v>
      </c>
      <c r="J40" s="359" t="n">
        <v>1</v>
      </c>
    </row>
    <row r="41" customFormat="false" ht="15" hidden="true" customHeight="false" outlineLevel="0" collapsed="false">
      <c r="B41" s="360" t="s">
        <v>3541</v>
      </c>
      <c r="C41" s="381" t="n">
        <v>2</v>
      </c>
      <c r="D41" s="381" t="n">
        <v>0</v>
      </c>
      <c r="E41" s="359" t="n">
        <v>2</v>
      </c>
      <c r="F41" s="358" t="n">
        <v>0</v>
      </c>
      <c r="G41" s="358" t="n">
        <v>0</v>
      </c>
      <c r="H41" s="381" t="n">
        <v>2</v>
      </c>
      <c r="I41" s="381" t="n">
        <v>0</v>
      </c>
      <c r="J41" s="359" t="n">
        <v>2</v>
      </c>
    </row>
    <row r="42" customFormat="false" ht="15" hidden="true" customHeight="false" outlineLevel="0" collapsed="false">
      <c r="B42" s="360" t="s">
        <v>3542</v>
      </c>
      <c r="C42" s="381" t="n">
        <v>1</v>
      </c>
      <c r="D42" s="381" t="n">
        <v>0</v>
      </c>
      <c r="E42" s="359" t="n">
        <v>1</v>
      </c>
      <c r="F42" s="358" t="n">
        <v>0</v>
      </c>
      <c r="G42" s="358" t="n">
        <v>0</v>
      </c>
      <c r="H42" s="381" t="n">
        <v>1</v>
      </c>
      <c r="I42" s="381" t="n">
        <v>0</v>
      </c>
      <c r="J42" s="359" t="n">
        <v>1</v>
      </c>
    </row>
    <row r="43" customFormat="false" ht="15" hidden="true" customHeight="false" outlineLevel="0" collapsed="false">
      <c r="B43" s="360" t="s">
        <v>3543</v>
      </c>
      <c r="C43" s="381" t="n">
        <v>1</v>
      </c>
      <c r="D43" s="381" t="n">
        <v>0</v>
      </c>
      <c r="E43" s="359" t="n">
        <v>1</v>
      </c>
      <c r="F43" s="358" t="n">
        <v>0</v>
      </c>
      <c r="G43" s="358" t="n">
        <v>0</v>
      </c>
      <c r="H43" s="381" t="n">
        <v>1</v>
      </c>
      <c r="I43" s="381" t="n">
        <v>0</v>
      </c>
      <c r="J43" s="359" t="n">
        <v>1</v>
      </c>
    </row>
    <row r="44" customFormat="false" ht="15" hidden="true" customHeight="false" outlineLevel="0" collapsed="false">
      <c r="B44" s="360" t="s">
        <v>3544</v>
      </c>
      <c r="C44" s="381" t="n">
        <v>1</v>
      </c>
      <c r="D44" s="381" t="n">
        <v>0</v>
      </c>
      <c r="E44" s="359" t="n">
        <v>1</v>
      </c>
      <c r="F44" s="358" t="n">
        <v>0</v>
      </c>
      <c r="G44" s="358" t="n">
        <v>0</v>
      </c>
      <c r="H44" s="381" t="n">
        <v>1</v>
      </c>
      <c r="I44" s="381" t="n">
        <v>0</v>
      </c>
      <c r="J44" s="359" t="n">
        <v>1</v>
      </c>
    </row>
    <row r="45" customFormat="false" ht="15" hidden="true" customHeight="false" outlineLevel="0" collapsed="false">
      <c r="B45" s="360" t="s">
        <v>3545</v>
      </c>
      <c r="C45" s="381" t="n">
        <v>1</v>
      </c>
      <c r="D45" s="381" t="n">
        <v>0</v>
      </c>
      <c r="E45" s="359" t="n">
        <v>1</v>
      </c>
      <c r="F45" s="358" t="n">
        <v>0</v>
      </c>
      <c r="G45" s="358" t="n">
        <v>0</v>
      </c>
      <c r="H45" s="381" t="n">
        <v>1</v>
      </c>
      <c r="I45" s="381" t="n">
        <v>0</v>
      </c>
      <c r="J45" s="359" t="n">
        <v>1</v>
      </c>
    </row>
    <row r="46" customFormat="false" ht="15" hidden="true" customHeight="false" outlineLevel="0" collapsed="false">
      <c r="B46" s="360" t="s">
        <v>3546</v>
      </c>
      <c r="C46" s="381" t="n">
        <v>1</v>
      </c>
      <c r="D46" s="381" t="n">
        <v>0</v>
      </c>
      <c r="E46" s="359" t="n">
        <v>1</v>
      </c>
      <c r="F46" s="358" t="n">
        <v>0</v>
      </c>
      <c r="G46" s="358" t="n">
        <v>0</v>
      </c>
      <c r="H46" s="381" t="n">
        <v>1</v>
      </c>
      <c r="I46" s="381" t="n">
        <v>0</v>
      </c>
      <c r="J46" s="359" t="n">
        <v>1</v>
      </c>
    </row>
    <row r="47" customFormat="false" ht="15" hidden="true" customHeight="false" outlineLevel="0" collapsed="false">
      <c r="B47" s="360" t="s">
        <v>3547</v>
      </c>
      <c r="C47" s="381" t="n">
        <v>0</v>
      </c>
      <c r="D47" s="381" t="n">
        <v>1</v>
      </c>
      <c r="E47" s="359" t="n">
        <v>1</v>
      </c>
      <c r="F47" s="358" t="n">
        <v>0</v>
      </c>
      <c r="G47" s="358" t="n">
        <v>0</v>
      </c>
      <c r="H47" s="381" t="n">
        <v>0</v>
      </c>
      <c r="I47" s="381" t="n">
        <v>1</v>
      </c>
      <c r="J47" s="359" t="n">
        <v>1</v>
      </c>
    </row>
    <row r="48" customFormat="false" ht="15" hidden="true" customHeight="false" outlineLevel="0" collapsed="false">
      <c r="B48" s="360" t="s">
        <v>3548</v>
      </c>
      <c r="C48" s="381" t="n">
        <v>0</v>
      </c>
      <c r="D48" s="381" t="n">
        <v>1</v>
      </c>
      <c r="E48" s="359" t="n">
        <v>1</v>
      </c>
      <c r="F48" s="358" t="n">
        <v>0</v>
      </c>
      <c r="G48" s="358" t="n">
        <v>0</v>
      </c>
      <c r="H48" s="381" t="n">
        <v>0</v>
      </c>
      <c r="I48" s="381" t="n">
        <v>1</v>
      </c>
      <c r="J48" s="359" t="n">
        <v>1</v>
      </c>
    </row>
    <row r="49" customFormat="false" ht="15" hidden="true" customHeight="false" outlineLevel="0" collapsed="false">
      <c r="B49" s="360" t="s">
        <v>3549</v>
      </c>
      <c r="C49" s="381" t="n">
        <v>0</v>
      </c>
      <c r="D49" s="381" t="n">
        <v>1</v>
      </c>
      <c r="E49" s="359" t="n">
        <v>1</v>
      </c>
      <c r="F49" s="358" t="n">
        <v>0</v>
      </c>
      <c r="G49" s="358" t="n">
        <v>0</v>
      </c>
      <c r="H49" s="381" t="n">
        <v>0</v>
      </c>
      <c r="I49" s="381" t="n">
        <v>1</v>
      </c>
      <c r="J49" s="359" t="n">
        <v>1</v>
      </c>
    </row>
    <row r="50" customFormat="false" ht="15" hidden="true" customHeight="false" outlineLevel="0" collapsed="false">
      <c r="B50" s="360" t="s">
        <v>3550</v>
      </c>
      <c r="C50" s="381" t="n">
        <v>0</v>
      </c>
      <c r="D50" s="381" t="n">
        <v>1</v>
      </c>
      <c r="E50" s="359" t="n">
        <v>1</v>
      </c>
      <c r="F50" s="358" t="n">
        <v>0</v>
      </c>
      <c r="G50" s="358" t="n">
        <v>0</v>
      </c>
      <c r="H50" s="381" t="n">
        <v>0</v>
      </c>
      <c r="I50" s="381" t="n">
        <v>1</v>
      </c>
      <c r="J50" s="359" t="n">
        <v>1</v>
      </c>
    </row>
    <row r="51" customFormat="false" ht="15" hidden="true" customHeight="false" outlineLevel="0" collapsed="false">
      <c r="B51" s="360" t="s">
        <v>3551</v>
      </c>
      <c r="C51" s="381" t="n">
        <v>0</v>
      </c>
      <c r="D51" s="381" t="n">
        <v>1</v>
      </c>
      <c r="E51" s="359" t="n">
        <v>1</v>
      </c>
      <c r="F51" s="358" t="n">
        <v>0</v>
      </c>
      <c r="G51" s="358" t="n">
        <v>0</v>
      </c>
      <c r="H51" s="381" t="n">
        <v>0</v>
      </c>
      <c r="I51" s="381" t="n">
        <v>1</v>
      </c>
      <c r="J51" s="359" t="n">
        <v>1</v>
      </c>
    </row>
    <row r="52" customFormat="false" ht="15" hidden="true" customHeight="false" outlineLevel="0" collapsed="false">
      <c r="B52" s="360" t="s">
        <v>3552</v>
      </c>
      <c r="C52" s="381" t="n">
        <v>0</v>
      </c>
      <c r="D52" s="381" t="n">
        <v>1</v>
      </c>
      <c r="E52" s="359" t="n">
        <v>1</v>
      </c>
      <c r="F52" s="358" t="n">
        <v>0</v>
      </c>
      <c r="G52" s="358" t="n">
        <v>0</v>
      </c>
      <c r="H52" s="381" t="n">
        <v>0</v>
      </c>
      <c r="I52" s="381" t="n">
        <v>1</v>
      </c>
      <c r="J52" s="359" t="n">
        <v>1</v>
      </c>
    </row>
    <row r="53" customFormat="false" ht="15" hidden="true" customHeight="false" outlineLevel="0" collapsed="false">
      <c r="B53" s="360" t="s">
        <v>3553</v>
      </c>
      <c r="C53" s="381" t="n">
        <v>0</v>
      </c>
      <c r="D53" s="381" t="n">
        <v>1</v>
      </c>
      <c r="E53" s="359" t="n">
        <v>1</v>
      </c>
      <c r="F53" s="358" t="n">
        <v>0</v>
      </c>
      <c r="G53" s="358" t="n">
        <v>0</v>
      </c>
      <c r="H53" s="381" t="n">
        <v>0</v>
      </c>
      <c r="I53" s="381" t="n">
        <v>1</v>
      </c>
      <c r="J53" s="359" t="n">
        <v>1</v>
      </c>
    </row>
    <row r="54" customFormat="false" ht="15" hidden="true" customHeight="false" outlineLevel="0" collapsed="false">
      <c r="B54" s="360" t="s">
        <v>3554</v>
      </c>
      <c r="C54" s="381" t="n">
        <v>0</v>
      </c>
      <c r="D54" s="381" t="n">
        <v>1</v>
      </c>
      <c r="E54" s="359" t="n">
        <v>1</v>
      </c>
      <c r="F54" s="358" t="n">
        <v>0</v>
      </c>
      <c r="G54" s="358" t="n">
        <v>0</v>
      </c>
      <c r="H54" s="381" t="n">
        <v>0</v>
      </c>
      <c r="I54" s="381" t="n">
        <v>1</v>
      </c>
      <c r="J54" s="359" t="n">
        <v>1</v>
      </c>
    </row>
    <row r="55" customFormat="false" ht="15" hidden="true" customHeight="false" outlineLevel="0" collapsed="false">
      <c r="B55" s="360" t="s">
        <v>3555</v>
      </c>
      <c r="C55" s="381" t="n">
        <v>0</v>
      </c>
      <c r="D55" s="381" t="n">
        <v>1</v>
      </c>
      <c r="E55" s="359" t="n">
        <v>1</v>
      </c>
      <c r="F55" s="358" t="n">
        <v>0</v>
      </c>
      <c r="G55" s="358" t="n">
        <v>0</v>
      </c>
      <c r="H55" s="381" t="n">
        <v>0</v>
      </c>
      <c r="I55" s="381" t="n">
        <v>1</v>
      </c>
      <c r="J55" s="359" t="n">
        <v>1</v>
      </c>
    </row>
    <row r="56" customFormat="false" ht="15" hidden="true" customHeight="false" outlineLevel="0" collapsed="false">
      <c r="B56" s="360" t="s">
        <v>3556</v>
      </c>
      <c r="C56" s="381" t="n">
        <v>0</v>
      </c>
      <c r="D56" s="381" t="n">
        <v>1</v>
      </c>
      <c r="E56" s="359" t="n">
        <v>1</v>
      </c>
      <c r="F56" s="358" t="n">
        <v>0</v>
      </c>
      <c r="G56" s="358" t="n">
        <v>0</v>
      </c>
      <c r="H56" s="381" t="n">
        <v>0</v>
      </c>
      <c r="I56" s="381" t="n">
        <v>1</v>
      </c>
      <c r="J56" s="359" t="n">
        <v>1</v>
      </c>
    </row>
    <row r="57" customFormat="false" ht="15" hidden="true" customHeight="false" outlineLevel="0" collapsed="false">
      <c r="B57" s="360" t="s">
        <v>3557</v>
      </c>
      <c r="C57" s="381" t="n">
        <v>0</v>
      </c>
      <c r="D57" s="381" t="n">
        <v>1</v>
      </c>
      <c r="E57" s="359" t="n">
        <v>1</v>
      </c>
      <c r="F57" s="358" t="n">
        <v>0</v>
      </c>
      <c r="G57" s="358" t="n">
        <v>0</v>
      </c>
      <c r="H57" s="381" t="n">
        <v>0</v>
      </c>
      <c r="I57" s="381" t="n">
        <v>1</v>
      </c>
      <c r="J57" s="359" t="n">
        <v>1</v>
      </c>
    </row>
    <row r="58" customFormat="false" ht="15" hidden="true" customHeight="false" outlineLevel="0" collapsed="false">
      <c r="B58" s="360" t="s">
        <v>3558</v>
      </c>
      <c r="C58" s="381" t="n">
        <v>0</v>
      </c>
      <c r="D58" s="381" t="n">
        <v>1</v>
      </c>
      <c r="E58" s="359" t="n">
        <v>1</v>
      </c>
      <c r="F58" s="358" t="n">
        <v>0</v>
      </c>
      <c r="G58" s="358" t="n">
        <v>0</v>
      </c>
      <c r="H58" s="381" t="n">
        <v>0</v>
      </c>
      <c r="I58" s="381" t="n">
        <v>1</v>
      </c>
      <c r="J58" s="359" t="n">
        <v>1</v>
      </c>
    </row>
    <row r="59" customFormat="false" ht="15" hidden="true" customHeight="false" outlineLevel="0" collapsed="false">
      <c r="B59" s="360" t="s">
        <v>3559</v>
      </c>
      <c r="C59" s="381" t="n">
        <v>0</v>
      </c>
      <c r="D59" s="381" t="n">
        <v>1</v>
      </c>
      <c r="E59" s="359" t="n">
        <v>1</v>
      </c>
      <c r="F59" s="358" t="n">
        <v>0</v>
      </c>
      <c r="G59" s="358" t="n">
        <v>0</v>
      </c>
      <c r="H59" s="381" t="n">
        <v>0</v>
      </c>
      <c r="I59" s="381" t="n">
        <v>1</v>
      </c>
      <c r="J59" s="359" t="n">
        <v>1</v>
      </c>
    </row>
    <row r="60" customFormat="false" ht="15" hidden="false" customHeight="false" outlineLevel="0" collapsed="false">
      <c r="B60" s="383" t="s">
        <v>2465</v>
      </c>
      <c r="C60" s="363" t="n">
        <v>39</v>
      </c>
      <c r="D60" s="363" t="n">
        <v>11</v>
      </c>
      <c r="E60" s="363" t="n">
        <v>50</v>
      </c>
      <c r="F60" s="363" t="n">
        <v>-2</v>
      </c>
      <c r="G60" s="363" t="n">
        <v>-2</v>
      </c>
      <c r="H60" s="363" t="n">
        <v>37</v>
      </c>
      <c r="I60" s="363" t="n">
        <v>9</v>
      </c>
      <c r="J60" s="363" t="n">
        <v>46</v>
      </c>
    </row>
    <row r="61" customFormat="false" ht="15" hidden="false" customHeight="false" outlineLevel="0" collapsed="false">
      <c r="B61" s="356" t="s">
        <v>2466</v>
      </c>
      <c r="C61" s="379" t="n">
        <v>34</v>
      </c>
      <c r="D61" s="379" t="n">
        <v>8</v>
      </c>
      <c r="E61" s="357" t="n">
        <v>42</v>
      </c>
      <c r="F61" s="358" t="n">
        <v>-2</v>
      </c>
      <c r="G61" s="358" t="n">
        <v>-2</v>
      </c>
      <c r="H61" s="379" t="n">
        <v>32</v>
      </c>
      <c r="I61" s="379" t="n">
        <v>6</v>
      </c>
      <c r="J61" s="357" t="n">
        <v>38</v>
      </c>
    </row>
    <row r="62" customFormat="false" ht="15" hidden="false" customHeight="false" outlineLevel="0" collapsed="false">
      <c r="B62" s="313" t="s">
        <v>2466</v>
      </c>
      <c r="C62" s="379" t="n">
        <v>2</v>
      </c>
      <c r="D62" s="379" t="n">
        <v>0</v>
      </c>
      <c r="E62" s="357" t="n">
        <v>2</v>
      </c>
      <c r="F62" s="358" t="n">
        <v>0</v>
      </c>
      <c r="G62" s="358" t="n">
        <v>0</v>
      </c>
      <c r="H62" s="379" t="n">
        <v>2</v>
      </c>
      <c r="I62" s="379" t="n">
        <v>0</v>
      </c>
      <c r="J62" s="357" t="n">
        <v>2</v>
      </c>
    </row>
    <row r="63" customFormat="false" ht="15" hidden="true" customHeight="false" outlineLevel="0" collapsed="false">
      <c r="B63" s="360" t="s">
        <v>3566</v>
      </c>
      <c r="C63" s="381" t="n">
        <v>1</v>
      </c>
      <c r="D63" s="381" t="n">
        <v>0</v>
      </c>
      <c r="E63" s="359" t="n">
        <v>1</v>
      </c>
      <c r="F63" s="358" t="n">
        <v>0</v>
      </c>
      <c r="G63" s="358" t="n">
        <v>0</v>
      </c>
      <c r="H63" s="381" t="n">
        <v>1</v>
      </c>
      <c r="I63" s="381" t="n">
        <v>0</v>
      </c>
      <c r="J63" s="359" t="n">
        <v>1</v>
      </c>
    </row>
    <row r="64" customFormat="false" ht="15" hidden="true" customHeight="false" outlineLevel="0" collapsed="false">
      <c r="B64" s="360" t="s">
        <v>3567</v>
      </c>
      <c r="C64" s="381" t="n">
        <v>1</v>
      </c>
      <c r="D64" s="381" t="n">
        <v>0</v>
      </c>
      <c r="E64" s="359" t="n">
        <v>1</v>
      </c>
      <c r="F64" s="358" t="n">
        <v>0</v>
      </c>
      <c r="G64" s="358" t="n">
        <v>0</v>
      </c>
      <c r="H64" s="381" t="n">
        <v>1</v>
      </c>
      <c r="I64" s="381" t="n">
        <v>0</v>
      </c>
      <c r="J64" s="359" t="n">
        <v>1</v>
      </c>
    </row>
    <row r="65" customFormat="false" ht="15" hidden="false" customHeight="false" outlineLevel="0" collapsed="false">
      <c r="B65" s="313" t="s">
        <v>2467</v>
      </c>
      <c r="C65" s="379" t="n">
        <v>5</v>
      </c>
      <c r="D65" s="379" t="n">
        <v>1</v>
      </c>
      <c r="E65" s="357" t="n">
        <v>6</v>
      </c>
      <c r="F65" s="358" t="n">
        <v>0</v>
      </c>
      <c r="G65" s="358" t="n">
        <v>-1</v>
      </c>
      <c r="H65" s="379" t="n">
        <v>5</v>
      </c>
      <c r="I65" s="379" t="n">
        <v>0</v>
      </c>
      <c r="J65" s="357" t="n">
        <v>5</v>
      </c>
    </row>
    <row r="66" customFormat="false" ht="15" hidden="false" customHeight="false" outlineLevel="0" collapsed="false">
      <c r="B66" s="364" t="s">
        <v>2467</v>
      </c>
      <c r="C66" s="385" t="n">
        <v>3</v>
      </c>
      <c r="D66" s="385" t="n">
        <v>0</v>
      </c>
      <c r="E66" s="365" t="n">
        <v>3</v>
      </c>
      <c r="F66" s="358" t="n">
        <v>0</v>
      </c>
      <c r="G66" s="358" t="n">
        <v>0</v>
      </c>
      <c r="H66" s="385" t="n">
        <v>3</v>
      </c>
      <c r="I66" s="385" t="n">
        <v>0</v>
      </c>
      <c r="J66" s="365" t="n">
        <v>3</v>
      </c>
    </row>
    <row r="67" customFormat="false" ht="15" hidden="true" customHeight="false" outlineLevel="0" collapsed="false">
      <c r="B67" s="360" t="s">
        <v>3568</v>
      </c>
      <c r="C67" s="381" t="n">
        <v>1</v>
      </c>
      <c r="D67" s="381" t="n">
        <v>0</v>
      </c>
      <c r="E67" s="359" t="n">
        <v>1</v>
      </c>
      <c r="F67" s="358" t="n">
        <v>0</v>
      </c>
      <c r="G67" s="358" t="n">
        <v>0</v>
      </c>
      <c r="H67" s="381" t="n">
        <v>1</v>
      </c>
      <c r="I67" s="381" t="n">
        <v>0</v>
      </c>
      <c r="J67" s="359" t="n">
        <v>1</v>
      </c>
    </row>
    <row r="68" customFormat="false" ht="15" hidden="true" customHeight="false" outlineLevel="0" collapsed="false">
      <c r="B68" s="360" t="s">
        <v>3569</v>
      </c>
      <c r="C68" s="381" t="n">
        <v>1</v>
      </c>
      <c r="D68" s="381" t="n">
        <v>0</v>
      </c>
      <c r="E68" s="359" t="n">
        <v>1</v>
      </c>
      <c r="F68" s="358" t="n">
        <v>0</v>
      </c>
      <c r="G68" s="358" t="n">
        <v>0</v>
      </c>
      <c r="H68" s="381" t="n">
        <v>1</v>
      </c>
      <c r="I68" s="381" t="n">
        <v>0</v>
      </c>
      <c r="J68" s="359" t="n">
        <v>1</v>
      </c>
    </row>
    <row r="69" customFormat="false" ht="15" hidden="true" customHeight="false" outlineLevel="0" collapsed="false">
      <c r="B69" s="361" t="s">
        <v>3570</v>
      </c>
      <c r="C69" s="381" t="n">
        <v>1</v>
      </c>
      <c r="D69" s="381" t="n">
        <v>0</v>
      </c>
      <c r="E69" s="359" t="n">
        <v>1</v>
      </c>
      <c r="F69" s="358" t="n">
        <v>0</v>
      </c>
      <c r="G69" s="358" t="n">
        <v>0</v>
      </c>
      <c r="H69" s="381" t="n">
        <v>1</v>
      </c>
      <c r="I69" s="381" t="n">
        <v>0</v>
      </c>
      <c r="J69" s="359" t="n">
        <v>1</v>
      </c>
    </row>
    <row r="70" customFormat="false" ht="15" hidden="false" customHeight="false" outlineLevel="0" collapsed="false">
      <c r="B70" s="364" t="s">
        <v>2468</v>
      </c>
      <c r="C70" s="385" t="n">
        <v>2</v>
      </c>
      <c r="D70" s="385" t="n">
        <v>1</v>
      </c>
      <c r="E70" s="365" t="n">
        <v>3</v>
      </c>
      <c r="F70" s="358" t="n">
        <v>0</v>
      </c>
      <c r="G70" s="358" t="n">
        <v>-1</v>
      </c>
      <c r="H70" s="385" t="n">
        <v>2</v>
      </c>
      <c r="I70" s="385" t="n">
        <v>0</v>
      </c>
      <c r="J70" s="365" t="n">
        <v>2</v>
      </c>
    </row>
    <row r="71" customFormat="false" ht="15" hidden="true" customHeight="false" outlineLevel="0" collapsed="false">
      <c r="B71" s="360" t="s">
        <v>3571</v>
      </c>
      <c r="C71" s="381" t="n">
        <v>1</v>
      </c>
      <c r="D71" s="381" t="n">
        <v>0</v>
      </c>
      <c r="E71" s="359" t="n">
        <v>1</v>
      </c>
      <c r="F71" s="358" t="n">
        <v>0</v>
      </c>
      <c r="G71" s="358" t="n">
        <v>0</v>
      </c>
      <c r="H71" s="381" t="n">
        <v>1</v>
      </c>
      <c r="I71" s="381" t="n">
        <v>0</v>
      </c>
      <c r="J71" s="359" t="n">
        <v>1</v>
      </c>
    </row>
    <row r="72" customFormat="false" ht="15" hidden="true" customHeight="false" outlineLevel="0" collapsed="false">
      <c r="B72" s="360" t="s">
        <v>3572</v>
      </c>
      <c r="C72" s="381" t="n">
        <v>1</v>
      </c>
      <c r="D72" s="381" t="n">
        <v>0</v>
      </c>
      <c r="E72" s="359" t="n">
        <v>1</v>
      </c>
      <c r="F72" s="358" t="n">
        <v>0</v>
      </c>
      <c r="G72" s="358" t="n">
        <v>0</v>
      </c>
      <c r="H72" s="381" t="n">
        <v>1</v>
      </c>
      <c r="I72" s="381" t="n">
        <v>0</v>
      </c>
      <c r="J72" s="359" t="n">
        <v>1</v>
      </c>
    </row>
    <row r="73" customFormat="false" ht="15" hidden="true" customHeight="false" outlineLevel="0" collapsed="false">
      <c r="B73" s="360" t="s">
        <v>3573</v>
      </c>
      <c r="C73" s="381" t="n">
        <v>0</v>
      </c>
      <c r="D73" s="381" t="n">
        <v>1</v>
      </c>
      <c r="E73" s="359" t="n">
        <v>1</v>
      </c>
      <c r="F73" s="358" t="n">
        <v>0</v>
      </c>
      <c r="G73" s="358" t="n">
        <v>-1</v>
      </c>
      <c r="H73" s="381" t="n">
        <v>0</v>
      </c>
      <c r="I73" s="381" t="n">
        <v>0</v>
      </c>
      <c r="J73" s="359" t="n">
        <v>0</v>
      </c>
    </row>
    <row r="74" customFormat="false" ht="15" hidden="false" customHeight="false" outlineLevel="0" collapsed="false">
      <c r="B74" s="313" t="s">
        <v>2469</v>
      </c>
      <c r="C74" s="379" t="n">
        <v>1</v>
      </c>
      <c r="D74" s="379" t="n">
        <v>1</v>
      </c>
      <c r="E74" s="357" t="n">
        <v>2</v>
      </c>
      <c r="F74" s="358" t="n">
        <v>0</v>
      </c>
      <c r="G74" s="358" t="n">
        <v>1</v>
      </c>
      <c r="H74" s="379" t="n">
        <v>1</v>
      </c>
      <c r="I74" s="379" t="n">
        <v>2</v>
      </c>
      <c r="J74" s="357" t="n">
        <v>3</v>
      </c>
    </row>
    <row r="75" customFormat="false" ht="15" hidden="true" customHeight="false" outlineLevel="0" collapsed="false">
      <c r="B75" s="360" t="s">
        <v>3574</v>
      </c>
      <c r="C75" s="381" t="n">
        <v>1</v>
      </c>
      <c r="D75" s="381" t="n">
        <v>0</v>
      </c>
      <c r="E75" s="359" t="n">
        <v>1</v>
      </c>
      <c r="F75" s="358" t="n">
        <v>0</v>
      </c>
      <c r="G75" s="358" t="n">
        <v>0</v>
      </c>
      <c r="H75" s="381" t="n">
        <v>1</v>
      </c>
      <c r="I75" s="381" t="n">
        <v>0</v>
      </c>
      <c r="J75" s="359" t="n">
        <v>1</v>
      </c>
    </row>
    <row r="76" customFormat="false" ht="15" hidden="true" customHeight="false" outlineLevel="0" collapsed="false">
      <c r="B76" s="360" t="s">
        <v>3575</v>
      </c>
      <c r="C76" s="381" t="n">
        <v>0</v>
      </c>
      <c r="D76" s="381" t="n">
        <v>1</v>
      </c>
      <c r="E76" s="359" t="n">
        <v>1</v>
      </c>
      <c r="F76" s="358" t="n">
        <v>0</v>
      </c>
      <c r="G76" s="358" t="n">
        <v>0</v>
      </c>
      <c r="H76" s="381" t="n">
        <v>0</v>
      </c>
      <c r="I76" s="381" t="n">
        <v>1</v>
      </c>
      <c r="J76" s="359" t="n">
        <v>1</v>
      </c>
    </row>
    <row r="77" customFormat="false" ht="15" hidden="true" customHeight="false" outlineLevel="0" collapsed="false">
      <c r="B77" s="360" t="s">
        <v>3576</v>
      </c>
      <c r="C77" s="381" t="n">
        <v>0</v>
      </c>
      <c r="D77" s="381" t="n">
        <v>0</v>
      </c>
      <c r="E77" s="359" t="n">
        <v>0</v>
      </c>
      <c r="F77" s="358" t="n">
        <v>0</v>
      </c>
      <c r="G77" s="358" t="n">
        <v>1</v>
      </c>
      <c r="H77" s="381" t="n">
        <v>0</v>
      </c>
      <c r="I77" s="381" t="n">
        <v>1</v>
      </c>
      <c r="J77" s="359" t="n">
        <v>1</v>
      </c>
    </row>
    <row r="78" customFormat="false" ht="15" hidden="false" customHeight="false" outlineLevel="0" collapsed="false">
      <c r="B78" s="313" t="s">
        <v>2470</v>
      </c>
      <c r="C78" s="379" t="n">
        <v>3</v>
      </c>
      <c r="D78" s="379" t="n">
        <v>0</v>
      </c>
      <c r="E78" s="357" t="n">
        <v>3</v>
      </c>
      <c r="F78" s="358" t="n">
        <v>0</v>
      </c>
      <c r="G78" s="358" t="n">
        <v>0</v>
      </c>
      <c r="H78" s="379" t="n">
        <v>3</v>
      </c>
      <c r="I78" s="379" t="n">
        <v>0</v>
      </c>
      <c r="J78" s="357" t="n">
        <v>3</v>
      </c>
    </row>
    <row r="79" customFormat="false" ht="15" hidden="false" customHeight="false" outlineLevel="0" collapsed="false">
      <c r="B79" s="364" t="s">
        <v>2470</v>
      </c>
      <c r="C79" s="385" t="n">
        <v>1</v>
      </c>
      <c r="D79" s="385" t="n">
        <v>0</v>
      </c>
      <c r="E79" s="365" t="n">
        <v>1</v>
      </c>
      <c r="F79" s="358" t="n">
        <v>0</v>
      </c>
      <c r="G79" s="358" t="n">
        <v>0</v>
      </c>
      <c r="H79" s="385" t="n">
        <v>1</v>
      </c>
      <c r="I79" s="385" t="n">
        <v>0</v>
      </c>
      <c r="J79" s="365" t="n">
        <v>1</v>
      </c>
    </row>
    <row r="80" customFormat="false" ht="15" hidden="true" customHeight="false" outlineLevel="0" collapsed="false">
      <c r="B80" s="360" t="s">
        <v>3577</v>
      </c>
      <c r="C80" s="381" t="n">
        <v>1</v>
      </c>
      <c r="D80" s="381" t="n">
        <v>0</v>
      </c>
      <c r="E80" s="359" t="n">
        <v>1</v>
      </c>
      <c r="F80" s="358" t="n">
        <v>0</v>
      </c>
      <c r="G80" s="358" t="n">
        <v>0</v>
      </c>
      <c r="H80" s="381" t="n">
        <v>1</v>
      </c>
      <c r="I80" s="381" t="n">
        <v>0</v>
      </c>
      <c r="J80" s="359" t="n">
        <v>1</v>
      </c>
    </row>
    <row r="81" customFormat="false" ht="15" hidden="false" customHeight="false" outlineLevel="0" collapsed="false">
      <c r="B81" s="364" t="s">
        <v>2468</v>
      </c>
      <c r="C81" s="385" t="n">
        <v>2</v>
      </c>
      <c r="D81" s="385" t="n">
        <v>0</v>
      </c>
      <c r="E81" s="365" t="n">
        <v>2</v>
      </c>
      <c r="F81" s="358" t="n">
        <v>0</v>
      </c>
      <c r="G81" s="358" t="n">
        <v>0</v>
      </c>
      <c r="H81" s="385" t="n">
        <v>2</v>
      </c>
      <c r="I81" s="385" t="n">
        <v>0</v>
      </c>
      <c r="J81" s="365" t="n">
        <v>2</v>
      </c>
    </row>
    <row r="82" customFormat="false" ht="15" hidden="true" customHeight="false" outlineLevel="0" collapsed="false">
      <c r="B82" s="386" t="s">
        <v>3578</v>
      </c>
      <c r="C82" s="381" t="n">
        <v>1</v>
      </c>
      <c r="D82" s="381" t="n">
        <v>0</v>
      </c>
      <c r="E82" s="359" t="n">
        <v>1</v>
      </c>
      <c r="F82" s="358" t="n">
        <v>0</v>
      </c>
      <c r="G82" s="358" t="n">
        <v>0</v>
      </c>
      <c r="H82" s="381" t="n">
        <v>1</v>
      </c>
      <c r="I82" s="381" t="n">
        <v>0</v>
      </c>
      <c r="J82" s="359" t="n">
        <v>1</v>
      </c>
    </row>
    <row r="83" customFormat="false" ht="15" hidden="true" customHeight="false" outlineLevel="0" collapsed="false">
      <c r="B83" s="386" t="s">
        <v>3579</v>
      </c>
      <c r="C83" s="381" t="n">
        <v>1</v>
      </c>
      <c r="D83" s="381" t="n">
        <v>0</v>
      </c>
      <c r="E83" s="359" t="n">
        <v>1</v>
      </c>
      <c r="F83" s="358" t="n">
        <v>0</v>
      </c>
      <c r="G83" s="358" t="n">
        <v>0</v>
      </c>
      <c r="H83" s="381" t="n">
        <v>1</v>
      </c>
      <c r="I83" s="381" t="n">
        <v>0</v>
      </c>
      <c r="J83" s="359" t="n">
        <v>1</v>
      </c>
    </row>
    <row r="84" customFormat="false" ht="15" hidden="true" customHeight="false" outlineLevel="0" collapsed="false">
      <c r="B84" s="360" t="s">
        <v>2981</v>
      </c>
      <c r="C84" s="381" t="n">
        <v>0</v>
      </c>
      <c r="D84" s="381" t="n">
        <v>0</v>
      </c>
      <c r="E84" s="359" t="n">
        <v>0</v>
      </c>
      <c r="F84" s="358" t="n">
        <v>0</v>
      </c>
      <c r="G84" s="358" t="n">
        <v>0</v>
      </c>
      <c r="H84" s="381" t="n">
        <v>0</v>
      </c>
      <c r="I84" s="381" t="n">
        <v>0</v>
      </c>
      <c r="J84" s="359" t="n">
        <v>0</v>
      </c>
    </row>
    <row r="85" customFormat="false" ht="15" hidden="true" customHeight="false" outlineLevel="0" collapsed="false">
      <c r="B85" s="360" t="s">
        <v>2982</v>
      </c>
      <c r="C85" s="381" t="n">
        <v>0</v>
      </c>
      <c r="D85" s="381" t="n">
        <v>0</v>
      </c>
      <c r="E85" s="359" t="n">
        <v>0</v>
      </c>
      <c r="F85" s="358" t="n">
        <v>0</v>
      </c>
      <c r="G85" s="358" t="n">
        <v>0</v>
      </c>
      <c r="H85" s="381" t="n">
        <v>0</v>
      </c>
      <c r="I85" s="381" t="n">
        <v>0</v>
      </c>
      <c r="J85" s="359" t="n">
        <v>0</v>
      </c>
    </row>
    <row r="86" customFormat="false" ht="15" hidden="true" customHeight="false" outlineLevel="0" collapsed="false">
      <c r="B86" s="360" t="s">
        <v>2983</v>
      </c>
      <c r="C86" s="381" t="n">
        <v>0</v>
      </c>
      <c r="D86" s="381" t="n">
        <v>0</v>
      </c>
      <c r="E86" s="359" t="n">
        <v>0</v>
      </c>
      <c r="F86" s="358" t="n">
        <v>0</v>
      </c>
      <c r="G86" s="358" t="n">
        <v>0</v>
      </c>
      <c r="H86" s="381" t="n">
        <v>0</v>
      </c>
      <c r="I86" s="381" t="n">
        <v>0</v>
      </c>
      <c r="J86" s="359" t="n">
        <v>0</v>
      </c>
    </row>
    <row r="87" customFormat="false" ht="15" hidden="true" customHeight="false" outlineLevel="0" collapsed="false">
      <c r="B87" s="360" t="s">
        <v>2984</v>
      </c>
      <c r="C87" s="381" t="n">
        <v>0</v>
      </c>
      <c r="D87" s="381" t="n">
        <v>0</v>
      </c>
      <c r="E87" s="359" t="n">
        <v>0</v>
      </c>
      <c r="F87" s="358" t="n">
        <v>0</v>
      </c>
      <c r="G87" s="358" t="n">
        <v>0</v>
      </c>
      <c r="H87" s="381" t="n">
        <v>0</v>
      </c>
      <c r="I87" s="381" t="n">
        <v>0</v>
      </c>
      <c r="J87" s="359" t="n">
        <v>0</v>
      </c>
    </row>
    <row r="88" customFormat="false" ht="15" hidden="true" customHeight="false" outlineLevel="0" collapsed="false">
      <c r="B88" s="360" t="s">
        <v>2985</v>
      </c>
      <c r="C88" s="381" t="n">
        <v>0</v>
      </c>
      <c r="D88" s="381" t="n">
        <v>0</v>
      </c>
      <c r="E88" s="359" t="n">
        <v>0</v>
      </c>
      <c r="F88" s="358" t="n">
        <v>0</v>
      </c>
      <c r="G88" s="358" t="n">
        <v>0</v>
      </c>
      <c r="H88" s="381" t="n">
        <v>0</v>
      </c>
      <c r="I88" s="381" t="n">
        <v>0</v>
      </c>
      <c r="J88" s="359" t="n">
        <v>0</v>
      </c>
    </row>
    <row r="89" customFormat="false" ht="15" hidden="true" customHeight="false" outlineLevel="0" collapsed="false">
      <c r="B89" s="360" t="s">
        <v>2986</v>
      </c>
      <c r="C89" s="381" t="n">
        <v>0</v>
      </c>
      <c r="D89" s="381" t="n">
        <v>0</v>
      </c>
      <c r="E89" s="359" t="n">
        <v>0</v>
      </c>
      <c r="F89" s="358" t="n">
        <v>0</v>
      </c>
      <c r="G89" s="358" t="n">
        <v>0</v>
      </c>
      <c r="H89" s="381" t="n">
        <v>0</v>
      </c>
      <c r="I89" s="381" t="n">
        <v>0</v>
      </c>
      <c r="J89" s="359" t="n">
        <v>0</v>
      </c>
    </row>
    <row r="90" customFormat="false" ht="15" hidden="true" customHeight="false" outlineLevel="0" collapsed="false">
      <c r="B90" s="360" t="s">
        <v>2987</v>
      </c>
      <c r="C90" s="381" t="n">
        <v>0</v>
      </c>
      <c r="D90" s="381" t="n">
        <v>0</v>
      </c>
      <c r="E90" s="359" t="n">
        <v>0</v>
      </c>
      <c r="F90" s="358" t="n">
        <v>0</v>
      </c>
      <c r="G90" s="358" t="n">
        <v>0</v>
      </c>
      <c r="H90" s="381" t="n">
        <v>0</v>
      </c>
      <c r="I90" s="381" t="n">
        <v>0</v>
      </c>
      <c r="J90" s="359" t="n">
        <v>0</v>
      </c>
    </row>
    <row r="91" customFormat="false" ht="15" hidden="true" customHeight="false" outlineLevel="0" collapsed="false">
      <c r="B91" s="360" t="s">
        <v>2988</v>
      </c>
      <c r="C91" s="381" t="n">
        <v>0</v>
      </c>
      <c r="D91" s="381" t="n">
        <v>0</v>
      </c>
      <c r="E91" s="359" t="n">
        <v>0</v>
      </c>
      <c r="F91" s="358" t="n">
        <v>0</v>
      </c>
      <c r="G91" s="358" t="n">
        <v>0</v>
      </c>
      <c r="H91" s="381" t="n">
        <v>0</v>
      </c>
      <c r="I91" s="381" t="n">
        <v>0</v>
      </c>
      <c r="J91" s="359" t="n">
        <v>0</v>
      </c>
    </row>
    <row r="92" customFormat="false" ht="15" hidden="true" customHeight="false" outlineLevel="0" collapsed="false">
      <c r="B92" s="360" t="s">
        <v>2989</v>
      </c>
      <c r="C92" s="381" t="n">
        <v>0</v>
      </c>
      <c r="D92" s="381" t="n">
        <v>0</v>
      </c>
      <c r="E92" s="359" t="n">
        <v>0</v>
      </c>
      <c r="F92" s="358" t="n">
        <v>0</v>
      </c>
      <c r="G92" s="358" t="n">
        <v>0</v>
      </c>
      <c r="H92" s="381" t="n">
        <v>0</v>
      </c>
      <c r="I92" s="381" t="n">
        <v>0</v>
      </c>
      <c r="J92" s="359" t="n">
        <v>0</v>
      </c>
    </row>
    <row r="93" customFormat="false" ht="15" hidden="true" customHeight="false" outlineLevel="0" collapsed="false">
      <c r="B93" s="360" t="s">
        <v>2990</v>
      </c>
      <c r="C93" s="381" t="n">
        <v>0</v>
      </c>
      <c r="D93" s="381" t="n">
        <v>0</v>
      </c>
      <c r="E93" s="359" t="n">
        <v>0</v>
      </c>
      <c r="F93" s="358" t="n">
        <v>0</v>
      </c>
      <c r="G93" s="358" t="n">
        <v>0</v>
      </c>
      <c r="H93" s="381" t="n">
        <v>0</v>
      </c>
      <c r="I93" s="381" t="n">
        <v>0</v>
      </c>
      <c r="J93" s="359" t="n">
        <v>0</v>
      </c>
    </row>
    <row r="94" customFormat="false" ht="15" hidden="true" customHeight="false" outlineLevel="0" collapsed="false">
      <c r="B94" s="360" t="s">
        <v>2991</v>
      </c>
      <c r="C94" s="381" t="n">
        <v>0</v>
      </c>
      <c r="D94" s="381" t="n">
        <v>0</v>
      </c>
      <c r="E94" s="359" t="n">
        <v>0</v>
      </c>
      <c r="F94" s="358" t="n">
        <v>0</v>
      </c>
      <c r="G94" s="358" t="n">
        <v>0</v>
      </c>
      <c r="H94" s="381" t="n">
        <v>0</v>
      </c>
      <c r="I94" s="381" t="n">
        <v>0</v>
      </c>
      <c r="J94" s="359" t="n">
        <v>0</v>
      </c>
    </row>
    <row r="95" customFormat="false" ht="15" hidden="true" customHeight="false" outlineLevel="0" collapsed="false">
      <c r="B95" s="360" t="s">
        <v>2992</v>
      </c>
      <c r="C95" s="381" t="n">
        <v>0</v>
      </c>
      <c r="D95" s="381" t="n">
        <v>0</v>
      </c>
      <c r="E95" s="359" t="n">
        <v>0</v>
      </c>
      <c r="F95" s="358" t="n">
        <v>0</v>
      </c>
      <c r="G95" s="358" t="n">
        <v>0</v>
      </c>
      <c r="H95" s="381" t="n">
        <v>0</v>
      </c>
      <c r="I95" s="381" t="n">
        <v>0</v>
      </c>
      <c r="J95" s="359" t="n">
        <v>0</v>
      </c>
    </row>
    <row r="96" customFormat="false" ht="15" hidden="true" customHeight="false" outlineLevel="0" collapsed="false">
      <c r="B96" s="360" t="s">
        <v>2993</v>
      </c>
      <c r="C96" s="381" t="n">
        <v>0</v>
      </c>
      <c r="D96" s="381" t="n">
        <v>0</v>
      </c>
      <c r="E96" s="359" t="n">
        <v>0</v>
      </c>
      <c r="F96" s="358" t="n">
        <v>0</v>
      </c>
      <c r="G96" s="358" t="n">
        <v>0</v>
      </c>
      <c r="H96" s="381" t="n">
        <v>0</v>
      </c>
      <c r="I96" s="381" t="n">
        <v>0</v>
      </c>
      <c r="J96" s="359" t="n">
        <v>0</v>
      </c>
    </row>
    <row r="97" customFormat="false" ht="15" hidden="false" customHeight="false" outlineLevel="0" collapsed="false">
      <c r="B97" s="313" t="s">
        <v>1859</v>
      </c>
      <c r="C97" s="379" t="n">
        <v>23</v>
      </c>
      <c r="D97" s="379" t="n">
        <v>5</v>
      </c>
      <c r="E97" s="357" t="n">
        <v>28</v>
      </c>
      <c r="F97" s="358" t="n">
        <v>-2</v>
      </c>
      <c r="G97" s="358" t="n">
        <v>-1</v>
      </c>
      <c r="H97" s="379" t="n">
        <v>21</v>
      </c>
      <c r="I97" s="379" t="n">
        <v>4</v>
      </c>
      <c r="J97" s="357" t="n">
        <v>25</v>
      </c>
    </row>
    <row r="98" customFormat="false" ht="15" hidden="false" customHeight="false" outlineLevel="0" collapsed="false">
      <c r="B98" s="364" t="s">
        <v>1859</v>
      </c>
      <c r="C98" s="385" t="n">
        <v>12</v>
      </c>
      <c r="D98" s="385" t="n">
        <v>3</v>
      </c>
      <c r="E98" s="365" t="n">
        <v>15</v>
      </c>
      <c r="F98" s="358" t="n">
        <v>-2</v>
      </c>
      <c r="G98" s="358" t="n">
        <v>-1</v>
      </c>
      <c r="H98" s="385" t="n">
        <v>10</v>
      </c>
      <c r="I98" s="385" t="n">
        <v>2</v>
      </c>
      <c r="J98" s="365" t="n">
        <v>12</v>
      </c>
    </row>
    <row r="99" customFormat="false" ht="15" hidden="true" customHeight="false" outlineLevel="0" collapsed="false">
      <c r="B99" s="360" t="s">
        <v>3580</v>
      </c>
      <c r="C99" s="385" t="n">
        <v>1</v>
      </c>
      <c r="D99" s="385" t="n">
        <v>0</v>
      </c>
      <c r="E99" s="365" t="n">
        <v>1</v>
      </c>
      <c r="F99" s="358" t="n">
        <v>0</v>
      </c>
      <c r="G99" s="358" t="n">
        <v>0</v>
      </c>
      <c r="H99" s="385" t="n">
        <v>1</v>
      </c>
      <c r="I99" s="385" t="n">
        <v>0</v>
      </c>
      <c r="J99" s="365" t="n">
        <v>1</v>
      </c>
    </row>
    <row r="100" customFormat="false" ht="15" hidden="true" customHeight="false" outlineLevel="0" collapsed="false">
      <c r="B100" s="360" t="s">
        <v>3581</v>
      </c>
      <c r="C100" s="385" t="n">
        <v>1</v>
      </c>
      <c r="D100" s="385" t="n">
        <v>0</v>
      </c>
      <c r="E100" s="365" t="n">
        <v>1</v>
      </c>
      <c r="F100" s="358" t="n">
        <v>-1</v>
      </c>
      <c r="G100" s="358" t="n">
        <v>0</v>
      </c>
      <c r="H100" s="385" t="n">
        <v>0</v>
      </c>
      <c r="I100" s="385" t="n">
        <v>0</v>
      </c>
      <c r="J100" s="365" t="n">
        <v>0</v>
      </c>
    </row>
    <row r="101" customFormat="false" ht="15" hidden="true" customHeight="false" outlineLevel="0" collapsed="false">
      <c r="B101" s="360" t="s">
        <v>3582</v>
      </c>
      <c r="C101" s="385" t="n">
        <v>1</v>
      </c>
      <c r="D101" s="385" t="n">
        <v>0</v>
      </c>
      <c r="E101" s="365" t="n">
        <v>1</v>
      </c>
      <c r="F101" s="358" t="n">
        <v>0</v>
      </c>
      <c r="G101" s="358" t="n">
        <v>0</v>
      </c>
      <c r="H101" s="385" t="n">
        <v>1</v>
      </c>
      <c r="I101" s="385" t="n">
        <v>0</v>
      </c>
      <c r="J101" s="365" t="n">
        <v>1</v>
      </c>
    </row>
    <row r="102" customFormat="false" ht="15" hidden="true" customHeight="false" outlineLevel="0" collapsed="false">
      <c r="B102" s="360" t="s">
        <v>3583</v>
      </c>
      <c r="C102" s="385" t="n">
        <v>1</v>
      </c>
      <c r="D102" s="385" t="n">
        <v>0</v>
      </c>
      <c r="E102" s="365" t="n">
        <v>1</v>
      </c>
      <c r="F102" s="358" t="n">
        <v>-1</v>
      </c>
      <c r="G102" s="358" t="n">
        <v>0</v>
      </c>
      <c r="H102" s="385" t="n">
        <v>0</v>
      </c>
      <c r="I102" s="385" t="n">
        <v>0</v>
      </c>
      <c r="J102" s="365" t="n">
        <v>0</v>
      </c>
    </row>
    <row r="103" customFormat="false" ht="15" hidden="true" customHeight="false" outlineLevel="0" collapsed="false">
      <c r="B103" s="360" t="s">
        <v>3584</v>
      </c>
      <c r="C103" s="385" t="n">
        <v>1</v>
      </c>
      <c r="D103" s="385" t="n">
        <v>0</v>
      </c>
      <c r="E103" s="365" t="n">
        <v>1</v>
      </c>
      <c r="F103" s="358" t="n">
        <v>0</v>
      </c>
      <c r="G103" s="358" t="n">
        <v>0</v>
      </c>
      <c r="H103" s="385" t="n">
        <v>1</v>
      </c>
      <c r="I103" s="385" t="n">
        <v>0</v>
      </c>
      <c r="J103" s="365" t="n">
        <v>1</v>
      </c>
    </row>
    <row r="104" customFormat="false" ht="15" hidden="true" customHeight="false" outlineLevel="0" collapsed="false">
      <c r="B104" s="360" t="s">
        <v>3585</v>
      </c>
      <c r="C104" s="385" t="n">
        <v>1</v>
      </c>
      <c r="D104" s="385" t="n">
        <v>0</v>
      </c>
      <c r="E104" s="365" t="n">
        <v>1</v>
      </c>
      <c r="F104" s="358" t="n">
        <v>0</v>
      </c>
      <c r="G104" s="358" t="n">
        <v>0</v>
      </c>
      <c r="H104" s="385" t="n">
        <v>1</v>
      </c>
      <c r="I104" s="385" t="n">
        <v>0</v>
      </c>
      <c r="J104" s="365" t="n">
        <v>1</v>
      </c>
    </row>
    <row r="105" customFormat="false" ht="15" hidden="true" customHeight="false" outlineLevel="0" collapsed="false">
      <c r="B105" s="360" t="s">
        <v>3586</v>
      </c>
      <c r="C105" s="385" t="n">
        <v>1</v>
      </c>
      <c r="D105" s="385" t="n">
        <v>0</v>
      </c>
      <c r="E105" s="365" t="n">
        <v>1</v>
      </c>
      <c r="F105" s="358" t="n">
        <v>0</v>
      </c>
      <c r="G105" s="358" t="n">
        <v>0</v>
      </c>
      <c r="H105" s="385" t="n">
        <v>1</v>
      </c>
      <c r="I105" s="385" t="n">
        <v>0</v>
      </c>
      <c r="J105" s="365" t="n">
        <v>1</v>
      </c>
    </row>
    <row r="106" customFormat="false" ht="15" hidden="true" customHeight="false" outlineLevel="0" collapsed="false">
      <c r="B106" s="360" t="s">
        <v>3587</v>
      </c>
      <c r="C106" s="385" t="n">
        <v>1</v>
      </c>
      <c r="D106" s="385" t="n">
        <v>0</v>
      </c>
      <c r="E106" s="365" t="n">
        <v>1</v>
      </c>
      <c r="F106" s="358" t="n">
        <v>0</v>
      </c>
      <c r="G106" s="358" t="n">
        <v>0</v>
      </c>
      <c r="H106" s="385" t="n">
        <v>1</v>
      </c>
      <c r="I106" s="385" t="n">
        <v>0</v>
      </c>
      <c r="J106" s="365" t="n">
        <v>1</v>
      </c>
    </row>
    <row r="107" customFormat="false" ht="15" hidden="true" customHeight="false" outlineLevel="0" collapsed="false">
      <c r="B107" s="360" t="s">
        <v>3588</v>
      </c>
      <c r="C107" s="385" t="n">
        <v>1</v>
      </c>
      <c r="D107" s="385" t="n">
        <v>0</v>
      </c>
      <c r="E107" s="365" t="n">
        <v>1</v>
      </c>
      <c r="F107" s="358" t="n">
        <v>0</v>
      </c>
      <c r="G107" s="358" t="n">
        <v>0</v>
      </c>
      <c r="H107" s="385" t="n">
        <v>1</v>
      </c>
      <c r="I107" s="385" t="n">
        <v>0</v>
      </c>
      <c r="J107" s="365" t="n">
        <v>1</v>
      </c>
    </row>
    <row r="108" customFormat="false" ht="15" hidden="true" customHeight="false" outlineLevel="0" collapsed="false">
      <c r="B108" s="360" t="s">
        <v>3589</v>
      </c>
      <c r="C108" s="385" t="n">
        <v>1</v>
      </c>
      <c r="D108" s="385" t="n">
        <v>0</v>
      </c>
      <c r="E108" s="365" t="n">
        <v>1</v>
      </c>
      <c r="F108" s="358" t="n">
        <v>0</v>
      </c>
      <c r="G108" s="358" t="n">
        <v>0</v>
      </c>
      <c r="H108" s="385" t="n">
        <v>1</v>
      </c>
      <c r="I108" s="385" t="n">
        <v>0</v>
      </c>
      <c r="J108" s="365" t="n">
        <v>1</v>
      </c>
    </row>
    <row r="109" customFormat="false" ht="15" hidden="true" customHeight="false" outlineLevel="0" collapsed="false">
      <c r="B109" s="360" t="s">
        <v>3590</v>
      </c>
      <c r="C109" s="385" t="n">
        <v>1</v>
      </c>
      <c r="D109" s="385" t="n">
        <v>0</v>
      </c>
      <c r="E109" s="365" t="n">
        <v>1</v>
      </c>
      <c r="F109" s="358" t="n">
        <v>0</v>
      </c>
      <c r="G109" s="358" t="n">
        <v>0</v>
      </c>
      <c r="H109" s="385" t="n">
        <v>1</v>
      </c>
      <c r="I109" s="385" t="n">
        <v>0</v>
      </c>
      <c r="J109" s="365" t="n">
        <v>1</v>
      </c>
    </row>
    <row r="110" customFormat="false" ht="15" hidden="true" customHeight="false" outlineLevel="0" collapsed="false">
      <c r="B110" s="360" t="s">
        <v>3591</v>
      </c>
      <c r="C110" s="385" t="n">
        <v>1</v>
      </c>
      <c r="D110" s="385" t="n">
        <v>0</v>
      </c>
      <c r="E110" s="365" t="n">
        <v>1</v>
      </c>
      <c r="F110" s="358" t="n">
        <v>0</v>
      </c>
      <c r="G110" s="358" t="n">
        <v>0</v>
      </c>
      <c r="H110" s="385" t="n">
        <v>1</v>
      </c>
      <c r="I110" s="385" t="n">
        <v>0</v>
      </c>
      <c r="J110" s="365" t="n">
        <v>1</v>
      </c>
    </row>
    <row r="111" customFormat="false" ht="15" hidden="true" customHeight="false" outlineLevel="0" collapsed="false">
      <c r="B111" s="360" t="s">
        <v>3592</v>
      </c>
      <c r="C111" s="385" t="n">
        <v>0</v>
      </c>
      <c r="D111" s="385" t="n">
        <v>1</v>
      </c>
      <c r="E111" s="365" t="n">
        <v>1</v>
      </c>
      <c r="F111" s="358" t="n">
        <v>0</v>
      </c>
      <c r="G111" s="358" t="n">
        <v>-1</v>
      </c>
      <c r="H111" s="385" t="n">
        <v>0</v>
      </c>
      <c r="I111" s="385" t="n">
        <v>0</v>
      </c>
      <c r="J111" s="365" t="n">
        <v>0</v>
      </c>
    </row>
    <row r="112" customFormat="false" ht="15" hidden="true" customHeight="false" outlineLevel="0" collapsed="false">
      <c r="B112" s="360" t="s">
        <v>3593</v>
      </c>
      <c r="C112" s="385" t="n">
        <v>0</v>
      </c>
      <c r="D112" s="385" t="n">
        <v>1</v>
      </c>
      <c r="E112" s="365" t="n">
        <v>1</v>
      </c>
      <c r="F112" s="358" t="n">
        <v>0</v>
      </c>
      <c r="G112" s="358" t="n">
        <v>0</v>
      </c>
      <c r="H112" s="385" t="n">
        <v>0</v>
      </c>
      <c r="I112" s="385" t="n">
        <v>1</v>
      </c>
      <c r="J112" s="365" t="n">
        <v>1</v>
      </c>
    </row>
    <row r="113" customFormat="false" ht="15" hidden="true" customHeight="false" outlineLevel="0" collapsed="false">
      <c r="B113" s="360" t="s">
        <v>3594</v>
      </c>
      <c r="C113" s="385" t="n">
        <v>0</v>
      </c>
      <c r="D113" s="385" t="n">
        <v>1</v>
      </c>
      <c r="E113" s="365" t="n">
        <v>1</v>
      </c>
      <c r="F113" s="358" t="n">
        <v>0</v>
      </c>
      <c r="G113" s="358" t="n">
        <v>0</v>
      </c>
      <c r="H113" s="385" t="n">
        <v>0</v>
      </c>
      <c r="I113" s="385" t="n">
        <v>1</v>
      </c>
      <c r="J113" s="365" t="n">
        <v>1</v>
      </c>
    </row>
    <row r="114" customFormat="false" ht="15" hidden="false" customHeight="false" outlineLevel="0" collapsed="false">
      <c r="B114" s="364" t="s">
        <v>2468</v>
      </c>
      <c r="C114" s="385" t="n">
        <v>11</v>
      </c>
      <c r="D114" s="385" t="n">
        <v>2</v>
      </c>
      <c r="E114" s="365" t="n">
        <v>13</v>
      </c>
      <c r="F114" s="358" t="n">
        <v>0</v>
      </c>
      <c r="G114" s="358" t="n">
        <v>0</v>
      </c>
      <c r="H114" s="385" t="n">
        <v>11</v>
      </c>
      <c r="I114" s="385" t="n">
        <v>2</v>
      </c>
      <c r="J114" s="365" t="n">
        <v>13</v>
      </c>
    </row>
    <row r="115" customFormat="false" ht="15" hidden="true" customHeight="false" outlineLevel="0" collapsed="false">
      <c r="B115" s="386" t="s">
        <v>3595</v>
      </c>
      <c r="C115" s="381" t="n">
        <v>1</v>
      </c>
      <c r="D115" s="381" t="n">
        <v>0</v>
      </c>
      <c r="E115" s="359" t="n">
        <v>1</v>
      </c>
      <c r="F115" s="358" t="n">
        <v>0</v>
      </c>
      <c r="G115" s="358" t="n">
        <v>0</v>
      </c>
      <c r="H115" s="381" t="n">
        <v>1</v>
      </c>
      <c r="I115" s="381" t="n">
        <v>0</v>
      </c>
      <c r="J115" s="359" t="n">
        <v>1</v>
      </c>
    </row>
    <row r="116" customFormat="false" ht="15" hidden="true" customHeight="false" outlineLevel="0" collapsed="false">
      <c r="B116" s="386" t="s">
        <v>3596</v>
      </c>
      <c r="C116" s="381" t="n">
        <v>1</v>
      </c>
      <c r="D116" s="381" t="n">
        <v>0</v>
      </c>
      <c r="E116" s="359" t="n">
        <v>1</v>
      </c>
      <c r="F116" s="358" t="n">
        <v>0</v>
      </c>
      <c r="G116" s="358" t="n">
        <v>0</v>
      </c>
      <c r="H116" s="381" t="n">
        <v>1</v>
      </c>
      <c r="I116" s="381" t="n">
        <v>0</v>
      </c>
      <c r="J116" s="359" t="n">
        <v>1</v>
      </c>
    </row>
    <row r="117" customFormat="false" ht="15" hidden="true" customHeight="false" outlineLevel="0" collapsed="false">
      <c r="B117" s="386" t="s">
        <v>3597</v>
      </c>
      <c r="C117" s="381" t="n">
        <v>1</v>
      </c>
      <c r="D117" s="381" t="n">
        <v>0</v>
      </c>
      <c r="E117" s="359" t="n">
        <v>1</v>
      </c>
      <c r="F117" s="358" t="n">
        <v>0</v>
      </c>
      <c r="G117" s="358" t="n">
        <v>0</v>
      </c>
      <c r="H117" s="381" t="n">
        <v>1</v>
      </c>
      <c r="I117" s="381" t="n">
        <v>0</v>
      </c>
      <c r="J117" s="359" t="n">
        <v>1</v>
      </c>
    </row>
    <row r="118" customFormat="false" ht="15" hidden="true" customHeight="false" outlineLevel="0" collapsed="false">
      <c r="B118" s="386" t="s">
        <v>3598</v>
      </c>
      <c r="C118" s="381" t="n">
        <v>1</v>
      </c>
      <c r="D118" s="381" t="n">
        <v>0</v>
      </c>
      <c r="E118" s="359" t="n">
        <v>1</v>
      </c>
      <c r="F118" s="358" t="n">
        <v>0</v>
      </c>
      <c r="G118" s="358" t="n">
        <v>0</v>
      </c>
      <c r="H118" s="381" t="n">
        <v>1</v>
      </c>
      <c r="I118" s="381" t="n">
        <v>0</v>
      </c>
      <c r="J118" s="359" t="n">
        <v>1</v>
      </c>
    </row>
    <row r="119" customFormat="false" ht="15" hidden="true" customHeight="false" outlineLevel="0" collapsed="false">
      <c r="B119" s="386" t="s">
        <v>3599</v>
      </c>
      <c r="C119" s="381" t="n">
        <v>1</v>
      </c>
      <c r="D119" s="381" t="n">
        <v>0</v>
      </c>
      <c r="E119" s="359" t="n">
        <v>1</v>
      </c>
      <c r="F119" s="358" t="n">
        <v>0</v>
      </c>
      <c r="G119" s="358" t="n">
        <v>0</v>
      </c>
      <c r="H119" s="381" t="n">
        <v>1</v>
      </c>
      <c r="I119" s="381" t="n">
        <v>0</v>
      </c>
      <c r="J119" s="359" t="n">
        <v>1</v>
      </c>
    </row>
    <row r="120" customFormat="false" ht="15" hidden="true" customHeight="false" outlineLevel="0" collapsed="false">
      <c r="B120" s="386" t="s">
        <v>3600</v>
      </c>
      <c r="C120" s="381" t="n">
        <v>1</v>
      </c>
      <c r="D120" s="381" t="n">
        <v>0</v>
      </c>
      <c r="E120" s="359" t="n">
        <v>1</v>
      </c>
      <c r="F120" s="358" t="n">
        <v>0</v>
      </c>
      <c r="G120" s="358" t="n">
        <v>0</v>
      </c>
      <c r="H120" s="381" t="n">
        <v>1</v>
      </c>
      <c r="I120" s="381" t="n">
        <v>0</v>
      </c>
      <c r="J120" s="359" t="n">
        <v>1</v>
      </c>
    </row>
    <row r="121" customFormat="false" ht="15" hidden="true" customHeight="false" outlineLevel="0" collapsed="false">
      <c r="B121" s="386" t="s">
        <v>3601</v>
      </c>
      <c r="C121" s="381" t="n">
        <v>1</v>
      </c>
      <c r="D121" s="381" t="n">
        <v>0</v>
      </c>
      <c r="E121" s="359" t="n">
        <v>1</v>
      </c>
      <c r="F121" s="358" t="n">
        <v>0</v>
      </c>
      <c r="G121" s="358" t="n">
        <v>0</v>
      </c>
      <c r="H121" s="381" t="n">
        <v>1</v>
      </c>
      <c r="I121" s="381" t="n">
        <v>0</v>
      </c>
      <c r="J121" s="359" t="n">
        <v>1</v>
      </c>
    </row>
    <row r="122" customFormat="false" ht="15" hidden="true" customHeight="false" outlineLevel="0" collapsed="false">
      <c r="B122" s="386" t="s">
        <v>3602</v>
      </c>
      <c r="C122" s="381" t="n">
        <v>1</v>
      </c>
      <c r="D122" s="381" t="n">
        <v>0</v>
      </c>
      <c r="E122" s="359" t="n">
        <v>1</v>
      </c>
      <c r="F122" s="358" t="n">
        <v>0</v>
      </c>
      <c r="G122" s="358" t="n">
        <v>0</v>
      </c>
      <c r="H122" s="381" t="n">
        <v>1</v>
      </c>
      <c r="I122" s="381" t="n">
        <v>0</v>
      </c>
      <c r="J122" s="359" t="n">
        <v>1</v>
      </c>
    </row>
    <row r="123" customFormat="false" ht="15" hidden="true" customHeight="false" outlineLevel="0" collapsed="false">
      <c r="B123" s="386" t="s">
        <v>3603</v>
      </c>
      <c r="C123" s="381" t="n">
        <v>1</v>
      </c>
      <c r="D123" s="381" t="n">
        <v>0</v>
      </c>
      <c r="E123" s="359" t="n">
        <v>1</v>
      </c>
      <c r="F123" s="358" t="n">
        <v>0</v>
      </c>
      <c r="G123" s="358" t="n">
        <v>0</v>
      </c>
      <c r="H123" s="381" t="n">
        <v>1</v>
      </c>
      <c r="I123" s="381" t="n">
        <v>0</v>
      </c>
      <c r="J123" s="359" t="n">
        <v>1</v>
      </c>
    </row>
    <row r="124" customFormat="false" ht="15" hidden="true" customHeight="false" outlineLevel="0" collapsed="false">
      <c r="B124" s="386" t="s">
        <v>3604</v>
      </c>
      <c r="C124" s="381" t="n">
        <v>1</v>
      </c>
      <c r="D124" s="381" t="n">
        <v>0</v>
      </c>
      <c r="E124" s="359" t="n">
        <v>1</v>
      </c>
      <c r="F124" s="358" t="n">
        <v>0</v>
      </c>
      <c r="G124" s="358" t="n">
        <v>0</v>
      </c>
      <c r="H124" s="381" t="n">
        <v>1</v>
      </c>
      <c r="I124" s="381" t="n">
        <v>0</v>
      </c>
      <c r="J124" s="359" t="n">
        <v>1</v>
      </c>
    </row>
    <row r="125" customFormat="false" ht="15" hidden="true" customHeight="false" outlineLevel="0" collapsed="false">
      <c r="B125" s="386" t="s">
        <v>3605</v>
      </c>
      <c r="C125" s="381" t="n">
        <v>1</v>
      </c>
      <c r="D125" s="381" t="n">
        <v>0</v>
      </c>
      <c r="E125" s="359" t="n">
        <v>1</v>
      </c>
      <c r="F125" s="358" t="n">
        <v>0</v>
      </c>
      <c r="G125" s="358" t="n">
        <v>0</v>
      </c>
      <c r="H125" s="381" t="n">
        <v>1</v>
      </c>
      <c r="I125" s="381" t="n">
        <v>0</v>
      </c>
      <c r="J125" s="359" t="n">
        <v>1</v>
      </c>
    </row>
    <row r="126" customFormat="false" ht="15" hidden="true" customHeight="false" outlineLevel="0" collapsed="false">
      <c r="B126" s="360" t="s">
        <v>3606</v>
      </c>
      <c r="C126" s="381" t="n">
        <v>0</v>
      </c>
      <c r="D126" s="381" t="n">
        <v>1</v>
      </c>
      <c r="E126" s="359" t="n">
        <v>1</v>
      </c>
      <c r="F126" s="358" t="n">
        <v>0</v>
      </c>
      <c r="G126" s="358" t="n">
        <v>0</v>
      </c>
      <c r="H126" s="381" t="n">
        <v>0</v>
      </c>
      <c r="I126" s="381" t="n">
        <v>1</v>
      </c>
      <c r="J126" s="359" t="n">
        <v>1</v>
      </c>
    </row>
    <row r="127" customFormat="false" ht="15" hidden="true" customHeight="false" outlineLevel="0" collapsed="false">
      <c r="B127" s="361" t="s">
        <v>3607</v>
      </c>
      <c r="C127" s="381" t="n">
        <v>0</v>
      </c>
      <c r="D127" s="381" t="n">
        <v>1</v>
      </c>
      <c r="E127" s="359" t="n">
        <v>1</v>
      </c>
      <c r="F127" s="358" t="n">
        <v>0</v>
      </c>
      <c r="G127" s="358" t="n">
        <v>0</v>
      </c>
      <c r="H127" s="381" t="n">
        <v>0</v>
      </c>
      <c r="I127" s="381" t="n">
        <v>1</v>
      </c>
      <c r="J127" s="359" t="n">
        <v>1</v>
      </c>
    </row>
    <row r="128" customFormat="false" ht="15" hidden="false" customHeight="false" outlineLevel="0" collapsed="false">
      <c r="B128" s="313" t="s">
        <v>2473</v>
      </c>
      <c r="C128" s="379" t="n">
        <v>0</v>
      </c>
      <c r="D128" s="379" t="n">
        <v>1</v>
      </c>
      <c r="E128" s="357" t="n">
        <v>1</v>
      </c>
      <c r="F128" s="358" t="n">
        <v>0</v>
      </c>
      <c r="G128" s="358" t="n">
        <v>-1</v>
      </c>
      <c r="H128" s="379" t="n">
        <v>0</v>
      </c>
      <c r="I128" s="379" t="n">
        <v>0</v>
      </c>
      <c r="J128" s="357" t="n">
        <v>0</v>
      </c>
    </row>
    <row r="129" customFormat="false" ht="15" hidden="true" customHeight="false" outlineLevel="0" collapsed="false">
      <c r="B129" s="360" t="s">
        <v>3608</v>
      </c>
      <c r="C129" s="381" t="n">
        <v>0</v>
      </c>
      <c r="D129" s="381" t="n">
        <v>1</v>
      </c>
      <c r="E129" s="359" t="n">
        <v>1</v>
      </c>
      <c r="F129" s="358" t="n">
        <v>0</v>
      </c>
      <c r="G129" s="358" t="n">
        <v>-1</v>
      </c>
      <c r="H129" s="381" t="n">
        <v>0</v>
      </c>
      <c r="I129" s="381" t="n">
        <v>0</v>
      </c>
      <c r="J129" s="359" t="n">
        <v>0</v>
      </c>
    </row>
    <row r="130" customFormat="false" ht="15" hidden="false" customHeight="false" outlineLevel="0" collapsed="false">
      <c r="B130" s="356" t="s">
        <v>615</v>
      </c>
      <c r="C130" s="379" t="n">
        <v>1</v>
      </c>
      <c r="D130" s="379" t="n">
        <v>0</v>
      </c>
      <c r="E130" s="357" t="n">
        <v>1</v>
      </c>
      <c r="F130" s="358" t="n">
        <v>0</v>
      </c>
      <c r="G130" s="358" t="n">
        <v>0</v>
      </c>
      <c r="H130" s="379" t="n">
        <v>1</v>
      </c>
      <c r="I130" s="379" t="n">
        <v>0</v>
      </c>
      <c r="J130" s="357" t="n">
        <v>1</v>
      </c>
    </row>
    <row r="131" customFormat="false" ht="15" hidden="true" customHeight="false" outlineLevel="0" collapsed="false">
      <c r="B131" s="360" t="s">
        <v>3579</v>
      </c>
      <c r="C131" s="381" t="n">
        <v>1</v>
      </c>
      <c r="D131" s="381" t="n">
        <v>0</v>
      </c>
      <c r="E131" s="359" t="n">
        <v>1</v>
      </c>
      <c r="F131" s="358" t="n">
        <v>0</v>
      </c>
      <c r="G131" s="358" t="n">
        <v>0</v>
      </c>
      <c r="H131" s="381" t="n">
        <v>1</v>
      </c>
      <c r="I131" s="381" t="n">
        <v>0</v>
      </c>
      <c r="J131" s="359" t="n">
        <v>1</v>
      </c>
    </row>
    <row r="132" customFormat="false" ht="15" hidden="false" customHeight="false" outlineLevel="0" collapsed="false">
      <c r="B132" s="356" t="s">
        <v>2476</v>
      </c>
      <c r="C132" s="379" t="n">
        <v>4</v>
      </c>
      <c r="D132" s="379" t="n">
        <v>2</v>
      </c>
      <c r="E132" s="357" t="n">
        <v>6</v>
      </c>
      <c r="F132" s="358" t="n">
        <v>0</v>
      </c>
      <c r="G132" s="358" t="n">
        <v>0</v>
      </c>
      <c r="H132" s="379" t="n">
        <v>4</v>
      </c>
      <c r="I132" s="379" t="n">
        <v>2</v>
      </c>
      <c r="J132" s="357" t="n">
        <v>6</v>
      </c>
    </row>
    <row r="133" customFormat="false" ht="15" hidden="false" customHeight="false" outlineLevel="0" collapsed="false">
      <c r="B133" s="364" t="s">
        <v>2476</v>
      </c>
      <c r="C133" s="385" t="n">
        <v>3</v>
      </c>
      <c r="D133" s="385" t="n">
        <v>1</v>
      </c>
      <c r="E133" s="365" t="n">
        <v>4</v>
      </c>
      <c r="F133" s="358" t="n">
        <v>0</v>
      </c>
      <c r="G133" s="358" t="n">
        <v>0</v>
      </c>
      <c r="H133" s="385" t="n">
        <v>3</v>
      </c>
      <c r="I133" s="385" t="n">
        <v>1</v>
      </c>
      <c r="J133" s="365" t="n">
        <v>4</v>
      </c>
    </row>
    <row r="134" customFormat="false" ht="15" hidden="true" customHeight="false" outlineLevel="0" collapsed="false">
      <c r="B134" s="360" t="s">
        <v>3610</v>
      </c>
      <c r="C134" s="385" t="n">
        <v>1</v>
      </c>
      <c r="D134" s="385" t="n">
        <v>0</v>
      </c>
      <c r="E134" s="365" t="n">
        <v>1</v>
      </c>
      <c r="F134" s="358" t="n">
        <v>0</v>
      </c>
      <c r="G134" s="358" t="n">
        <v>0</v>
      </c>
      <c r="H134" s="385" t="n">
        <v>1</v>
      </c>
      <c r="I134" s="385" t="n">
        <v>0</v>
      </c>
      <c r="J134" s="365" t="n">
        <v>1</v>
      </c>
    </row>
    <row r="135" customFormat="false" ht="15" hidden="true" customHeight="false" outlineLevel="0" collapsed="false">
      <c r="B135" s="360" t="s">
        <v>3611</v>
      </c>
      <c r="C135" s="385" t="n">
        <v>1</v>
      </c>
      <c r="D135" s="385" t="n">
        <v>0</v>
      </c>
      <c r="E135" s="365" t="n">
        <v>1</v>
      </c>
      <c r="F135" s="358" t="n">
        <v>0</v>
      </c>
      <c r="G135" s="358" t="n">
        <v>0</v>
      </c>
      <c r="H135" s="385" t="n">
        <v>1</v>
      </c>
      <c r="I135" s="385" t="n">
        <v>0</v>
      </c>
      <c r="J135" s="365" t="n">
        <v>1</v>
      </c>
    </row>
    <row r="136" customFormat="false" ht="15" hidden="true" customHeight="false" outlineLevel="0" collapsed="false">
      <c r="B136" s="360" t="s">
        <v>3612</v>
      </c>
      <c r="C136" s="385" t="n">
        <v>1</v>
      </c>
      <c r="D136" s="385" t="n">
        <v>0</v>
      </c>
      <c r="E136" s="365" t="n">
        <v>1</v>
      </c>
      <c r="F136" s="358" t="n">
        <v>0</v>
      </c>
      <c r="G136" s="358" t="n">
        <v>0</v>
      </c>
      <c r="H136" s="385" t="n">
        <v>1</v>
      </c>
      <c r="I136" s="385" t="n">
        <v>0</v>
      </c>
      <c r="J136" s="365" t="n">
        <v>1</v>
      </c>
    </row>
    <row r="137" customFormat="false" ht="15" hidden="true" customHeight="false" outlineLevel="0" collapsed="false">
      <c r="B137" s="360" t="s">
        <v>3613</v>
      </c>
      <c r="C137" s="385" t="n">
        <v>0</v>
      </c>
      <c r="D137" s="385" t="n">
        <v>1</v>
      </c>
      <c r="E137" s="365" t="n">
        <v>1</v>
      </c>
      <c r="F137" s="358" t="n">
        <v>0</v>
      </c>
      <c r="G137" s="358" t="n">
        <v>0</v>
      </c>
      <c r="H137" s="385" t="n">
        <v>0</v>
      </c>
      <c r="I137" s="385" t="n">
        <v>1</v>
      </c>
      <c r="J137" s="365" t="n">
        <v>1</v>
      </c>
    </row>
    <row r="138" customFormat="false" ht="15" hidden="false" customHeight="false" outlineLevel="0" collapsed="false">
      <c r="B138" s="364" t="s">
        <v>2468</v>
      </c>
      <c r="C138" s="385" t="n">
        <v>1</v>
      </c>
      <c r="D138" s="385" t="n">
        <v>1</v>
      </c>
      <c r="E138" s="365" t="n">
        <v>2</v>
      </c>
      <c r="F138" s="358" t="n">
        <v>0</v>
      </c>
      <c r="G138" s="358" t="n">
        <v>0</v>
      </c>
      <c r="H138" s="385" t="n">
        <v>1</v>
      </c>
      <c r="I138" s="385" t="n">
        <v>1</v>
      </c>
      <c r="J138" s="365" t="n">
        <v>2</v>
      </c>
    </row>
    <row r="139" customFormat="false" ht="15" hidden="true" customHeight="false" outlineLevel="0" collapsed="false">
      <c r="B139" s="360" t="s">
        <v>3614</v>
      </c>
      <c r="C139" s="381" t="n">
        <v>1</v>
      </c>
      <c r="D139" s="381" t="n">
        <v>0</v>
      </c>
      <c r="E139" s="359" t="n">
        <v>1</v>
      </c>
      <c r="F139" s="358" t="n">
        <v>0</v>
      </c>
      <c r="G139" s="358" t="n">
        <v>0</v>
      </c>
      <c r="H139" s="381" t="n">
        <v>1</v>
      </c>
      <c r="I139" s="381" t="n">
        <v>0</v>
      </c>
      <c r="J139" s="359" t="n">
        <v>1</v>
      </c>
    </row>
    <row r="140" customFormat="false" ht="15" hidden="true" customHeight="false" outlineLevel="0" collapsed="false">
      <c r="B140" s="361" t="s">
        <v>3615</v>
      </c>
      <c r="C140" s="381" t="n">
        <v>0</v>
      </c>
      <c r="D140" s="381" t="n">
        <v>1</v>
      </c>
      <c r="E140" s="359" t="n">
        <v>1</v>
      </c>
      <c r="F140" s="358" t="n">
        <v>0</v>
      </c>
      <c r="G140" s="358" t="n">
        <v>0</v>
      </c>
      <c r="H140" s="381" t="n">
        <v>0</v>
      </c>
      <c r="I140" s="381" t="n">
        <v>1</v>
      </c>
      <c r="J140" s="359" t="n">
        <v>1</v>
      </c>
    </row>
    <row r="141" customFormat="false" ht="15" hidden="false" customHeight="false" outlineLevel="0" collapsed="false">
      <c r="B141" s="356" t="s">
        <v>2477</v>
      </c>
      <c r="C141" s="379" t="n">
        <v>0</v>
      </c>
      <c r="D141" s="379" t="n">
        <v>1</v>
      </c>
      <c r="E141" s="357" t="n">
        <v>1</v>
      </c>
      <c r="F141" s="358" t="n">
        <v>0</v>
      </c>
      <c r="G141" s="358" t="n">
        <v>0</v>
      </c>
      <c r="H141" s="379" t="n">
        <v>0</v>
      </c>
      <c r="I141" s="379" t="n">
        <v>1</v>
      </c>
      <c r="J141" s="357" t="n">
        <v>1</v>
      </c>
    </row>
    <row r="142" customFormat="false" ht="15" hidden="true" customHeight="false" outlineLevel="0" collapsed="false">
      <c r="B142" s="361" t="s">
        <v>3616</v>
      </c>
      <c r="C142" s="381" t="n">
        <v>0</v>
      </c>
      <c r="D142" s="381" t="n">
        <v>1</v>
      </c>
      <c r="E142" s="359" t="n">
        <v>1</v>
      </c>
      <c r="F142" s="358" t="n">
        <v>0</v>
      </c>
      <c r="G142" s="358" t="n">
        <v>0</v>
      </c>
      <c r="H142" s="381" t="n">
        <v>0</v>
      </c>
      <c r="I142" s="381" t="n">
        <v>1</v>
      </c>
      <c r="J142" s="359" t="n">
        <v>1</v>
      </c>
    </row>
    <row r="143" customFormat="false" ht="15" hidden="false" customHeight="false" outlineLevel="0" collapsed="false">
      <c r="B143" s="362" t="s">
        <v>2478</v>
      </c>
      <c r="C143" s="363" t="n">
        <v>0</v>
      </c>
      <c r="D143" s="363" t="n">
        <v>1</v>
      </c>
      <c r="E143" s="363" t="n">
        <v>1</v>
      </c>
      <c r="F143" s="363" t="n">
        <v>0</v>
      </c>
      <c r="G143" s="363" t="n">
        <v>0</v>
      </c>
      <c r="H143" s="363" t="n">
        <v>0</v>
      </c>
      <c r="I143" s="363" t="n">
        <v>1</v>
      </c>
      <c r="J143" s="363" t="n">
        <v>1</v>
      </c>
    </row>
    <row r="144" customFormat="false" ht="15" hidden="true" customHeight="false" outlineLevel="0" collapsed="false">
      <c r="B144" s="360" t="s">
        <v>3617</v>
      </c>
      <c r="C144" s="381" t="n">
        <v>0</v>
      </c>
      <c r="D144" s="381" t="n">
        <v>1</v>
      </c>
      <c r="E144" s="359" t="n">
        <v>1</v>
      </c>
      <c r="F144" s="358" t="n">
        <v>0</v>
      </c>
      <c r="G144" s="358" t="n">
        <v>0</v>
      </c>
      <c r="H144" s="381" t="n">
        <v>0</v>
      </c>
      <c r="I144" s="381" t="n">
        <v>1</v>
      </c>
      <c r="J144" s="359" t="n">
        <v>1</v>
      </c>
    </row>
    <row r="145" customFormat="false" ht="15" hidden="false" customHeight="false" outlineLevel="0" collapsed="false">
      <c r="B145" s="351" t="s">
        <v>3438</v>
      </c>
      <c r="C145" s="352" t="n">
        <v>68</v>
      </c>
      <c r="D145" s="352" t="n">
        <v>28</v>
      </c>
      <c r="E145" s="352" t="n">
        <v>96</v>
      </c>
      <c r="F145" s="352" t="n">
        <v>-4</v>
      </c>
      <c r="G145" s="352" t="n">
        <v>-2</v>
      </c>
      <c r="H145" s="352" t="n">
        <v>64</v>
      </c>
      <c r="I145" s="352" t="n">
        <v>26</v>
      </c>
      <c r="J145" s="352" t="n">
        <v>90</v>
      </c>
    </row>
    <row r="146" customFormat="false" ht="15" hidden="false" customHeight="false" outlineLevel="0" collapsed="false">
      <c r="B146" s="362" t="s">
        <v>2480</v>
      </c>
      <c r="C146" s="363" t="n">
        <v>0</v>
      </c>
      <c r="D146" s="363" t="n">
        <v>20</v>
      </c>
      <c r="E146" s="363" t="n">
        <v>20</v>
      </c>
      <c r="F146" s="363" t="n">
        <v>0</v>
      </c>
      <c r="G146" s="363" t="n">
        <v>1</v>
      </c>
      <c r="H146" s="363" t="n">
        <v>0</v>
      </c>
      <c r="I146" s="363" t="n">
        <v>21</v>
      </c>
      <c r="J146" s="363" t="n">
        <v>21</v>
      </c>
    </row>
    <row r="147" customFormat="false" ht="15" hidden="true" customHeight="false" outlineLevel="0" collapsed="false">
      <c r="B147" s="360" t="s">
        <v>3618</v>
      </c>
      <c r="C147" s="381" t="n">
        <v>0</v>
      </c>
      <c r="D147" s="381" t="n">
        <v>20</v>
      </c>
      <c r="E147" s="359" t="n">
        <v>20</v>
      </c>
      <c r="F147" s="358" t="n">
        <v>0</v>
      </c>
      <c r="G147" s="358" t="n">
        <v>1</v>
      </c>
      <c r="H147" s="381" t="n">
        <v>0</v>
      </c>
      <c r="I147" s="381" t="n">
        <v>21</v>
      </c>
      <c r="J147" s="359" t="n">
        <v>21</v>
      </c>
    </row>
    <row r="148" customFormat="false" ht="15" hidden="false" customHeight="false" outlineLevel="0" collapsed="false">
      <c r="B148" s="351" t="s">
        <v>2481</v>
      </c>
      <c r="C148" s="352" t="n">
        <v>68</v>
      </c>
      <c r="D148" s="352" t="n">
        <v>48</v>
      </c>
      <c r="E148" s="352" t="n">
        <v>116</v>
      </c>
      <c r="F148" s="352" t="n">
        <v>-4</v>
      </c>
      <c r="G148" s="352" t="n">
        <v>-1</v>
      </c>
      <c r="H148" s="352" t="n">
        <v>64</v>
      </c>
      <c r="I148" s="352" t="n">
        <v>47</v>
      </c>
      <c r="J148" s="352" t="n">
        <v>111</v>
      </c>
    </row>
  </sheetData>
  <autoFilter ref="B6:J148"/>
  <mergeCells count="4">
    <mergeCell ref="B5:B6"/>
    <mergeCell ref="C5:E5"/>
    <mergeCell ref="F5:G5"/>
    <mergeCell ref="H5:J5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A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8.86"/>
    <col collapsed="false" customWidth="true" hidden="false" outlineLevel="0" max="4" min="4" style="0" width="9.86"/>
    <col collapsed="false" customWidth="true" hidden="false" outlineLevel="0" max="5" min="5" style="0" width="11.85"/>
    <col collapsed="false" customWidth="true" hidden="false" outlineLevel="0" max="6" min="6" style="0" width="12.71"/>
    <col collapsed="false" customWidth="true" hidden="false" outlineLevel="0" max="7" min="7" style="0" width="10.57"/>
    <col collapsed="false" customWidth="true" hidden="false" outlineLevel="0" max="8" min="8" style="0" width="38.42"/>
    <col collapsed="false" customWidth="true" hidden="false" outlineLevel="0" max="9" min="9" style="0" width="11.29"/>
    <col collapsed="false" customWidth="true" hidden="false" outlineLevel="0" max="10" min="10" style="0" width="8.15"/>
    <col collapsed="false" customWidth="true" hidden="false" outlineLevel="0" max="11" min="11" style="0" width="11.43"/>
    <col collapsed="false" customWidth="true" hidden="false" outlineLevel="0" max="12" min="12" style="0" width="12.15"/>
    <col collapsed="false" customWidth="true" hidden="false" outlineLevel="0" max="13" min="13" style="0" width="10"/>
    <col collapsed="false" customWidth="true" hidden="false" outlineLevel="0" max="14" min="14" style="0" width="8.86"/>
    <col collapsed="false" customWidth="true" hidden="false" outlineLevel="0" max="16" min="15" style="0" width="11.85"/>
    <col collapsed="false" customWidth="true" hidden="false" outlineLevel="0" max="17" min="17" style="0" width="24.57"/>
    <col collapsed="false" customWidth="true" hidden="true" outlineLevel="0" max="18" min="18" style="0" width="18.57"/>
    <col collapsed="false" customWidth="true" hidden="true" outlineLevel="0" max="19" min="19" style="0" width="9.57"/>
    <col collapsed="false" customWidth="true" hidden="false" outlineLevel="0" max="20" min="20" style="0" width="24.57"/>
    <col collapsed="false" customWidth="true" hidden="true" outlineLevel="0" max="21" min="21" style="0" width="18.57"/>
    <col collapsed="false" customWidth="true" hidden="true" outlineLevel="0" max="22" min="22" style="0" width="7.86"/>
    <col collapsed="false" customWidth="true" hidden="false" outlineLevel="0" max="23" min="23" style="0" width="11"/>
    <col collapsed="false" customWidth="true" hidden="false" outlineLevel="0" max="24" min="24" style="0" width="17.57"/>
    <col collapsed="false" customWidth="true" hidden="false" outlineLevel="0" max="26" min="26" style="0" width="9.71"/>
    <col collapsed="false" customWidth="true" hidden="false" outlineLevel="0" max="27" min="27" style="0" width="19.86"/>
    <col collapsed="false" customWidth="true" hidden="false" outlineLevel="0" max="28" min="28" style="0" width="19"/>
    <col collapsed="false" customWidth="true" hidden="false" outlineLevel="0" max="29" min="29" style="0" width="9.57"/>
    <col collapsed="false" customWidth="true" hidden="false" outlineLevel="0" max="30" min="30" style="0" width="9.29"/>
    <col collapsed="false" customWidth="true" hidden="false" outlineLevel="0" max="32" min="32" style="0" width="8.86"/>
    <col collapsed="false" customWidth="true" hidden="false" outlineLevel="0" max="33" min="33" style="0" width="3.42"/>
  </cols>
  <sheetData>
    <row r="1" customFormat="false" ht="15" hidden="false" customHeight="false" outlineLevel="0" collapsed="false">
      <c r="A1" s="185" t="s">
        <v>1</v>
      </c>
      <c r="B1" s="388" t="s">
        <v>3622</v>
      </c>
    </row>
    <row r="2" customFormat="false" ht="15" hidden="false" customHeight="false" outlineLevel="0" collapsed="false">
      <c r="B2" s="388" t="s">
        <v>3623</v>
      </c>
    </row>
    <row r="3" customFormat="false" ht="15" hidden="false" customHeight="false" outlineLevel="0" collapsed="false">
      <c r="B3" s="389" t="s">
        <v>3624</v>
      </c>
    </row>
    <row r="4" customFormat="false" ht="15" hidden="false" customHeight="false" outlineLevel="0" collapsed="false">
      <c r="B4" s="389" t="s">
        <v>3625</v>
      </c>
    </row>
    <row r="5" customFormat="false" ht="15" hidden="false" customHeight="false" outlineLevel="0" collapsed="false">
      <c r="B5" s="389" t="s">
        <v>3626</v>
      </c>
    </row>
    <row r="6" customFormat="false" ht="15" hidden="false" customHeight="false" outlineLevel="0" collapsed="false">
      <c r="B6" s="389" t="s">
        <v>3627</v>
      </c>
    </row>
    <row r="8" customFormat="false" ht="21" hidden="false" customHeight="true" outlineLevel="0" collapsed="false">
      <c r="B8" s="390" t="s">
        <v>3628</v>
      </c>
      <c r="H8" s="391" t="s">
        <v>3629</v>
      </c>
      <c r="I8" s="391"/>
      <c r="J8" s="391"/>
      <c r="K8" s="391"/>
      <c r="O8" s="392"/>
      <c r="P8" s="392"/>
    </row>
    <row r="10" customFormat="false" ht="60" hidden="false" customHeight="true" outlineLevel="0" collapsed="false">
      <c r="B10" s="161" t="s">
        <v>3630</v>
      </c>
      <c r="C10" s="162" t="s">
        <v>1718</v>
      </c>
      <c r="D10" s="161" t="s">
        <v>1719</v>
      </c>
      <c r="E10" s="161" t="s">
        <v>3631</v>
      </c>
      <c r="F10" s="161" t="s">
        <v>3632</v>
      </c>
      <c r="G10" s="161" t="s">
        <v>1720</v>
      </c>
      <c r="H10" s="161" t="s">
        <v>1477</v>
      </c>
      <c r="I10" s="161" t="s">
        <v>1729</v>
      </c>
      <c r="J10" s="163" t="s">
        <v>3633</v>
      </c>
      <c r="K10" s="163" t="s">
        <v>3634</v>
      </c>
      <c r="L10" s="163" t="s">
        <v>3635</v>
      </c>
      <c r="M10" s="163" t="s">
        <v>3636</v>
      </c>
      <c r="N10" s="163" t="s">
        <v>3637</v>
      </c>
      <c r="O10" s="163" t="s">
        <v>1731</v>
      </c>
      <c r="P10" s="164" t="s">
        <v>3638</v>
      </c>
      <c r="Q10" s="163" t="s">
        <v>1721</v>
      </c>
      <c r="R10" s="163" t="s">
        <v>3639</v>
      </c>
      <c r="S10" s="163" t="s">
        <v>1723</v>
      </c>
      <c r="T10" s="163" t="s">
        <v>1724</v>
      </c>
      <c r="U10" s="163" t="s">
        <v>1725</v>
      </c>
      <c r="V10" s="163" t="s">
        <v>1726</v>
      </c>
      <c r="W10" s="162" t="s">
        <v>1727</v>
      </c>
      <c r="X10" s="164" t="s">
        <v>1728</v>
      </c>
      <c r="Y10" s="163" t="s">
        <v>3640</v>
      </c>
      <c r="Z10" s="162" t="s">
        <v>3641</v>
      </c>
      <c r="AA10" s="164" t="s">
        <v>1732</v>
      </c>
      <c r="AB10" s="164" t="s">
        <v>1733</v>
      </c>
      <c r="AC10" s="161" t="s">
        <v>3642</v>
      </c>
      <c r="AD10" s="163" t="s">
        <v>1735</v>
      </c>
      <c r="AE10" s="163" t="s">
        <v>1736</v>
      </c>
      <c r="AF10" s="162" t="s">
        <v>1737</v>
      </c>
      <c r="AG10" s="162" t="s">
        <v>1456</v>
      </c>
    </row>
    <row r="11" customFormat="false" ht="15" hidden="false" customHeight="false" outlineLevel="0" collapsed="false">
      <c r="B11" s="174" t="n">
        <v>1111111</v>
      </c>
      <c r="C11" s="174" t="s">
        <v>1789</v>
      </c>
      <c r="D11" s="174" t="s">
        <v>1425</v>
      </c>
      <c r="E11" s="174"/>
      <c r="F11" s="174"/>
      <c r="G11" s="174"/>
      <c r="H11" s="174" t="s">
        <v>3643</v>
      </c>
      <c r="I11" s="174" t="s">
        <v>3644</v>
      </c>
      <c r="J11" s="174"/>
      <c r="K11" s="174" t="s">
        <v>3645</v>
      </c>
      <c r="L11" s="176" t="s">
        <v>3645</v>
      </c>
      <c r="M11" s="176"/>
      <c r="N11" s="176"/>
      <c r="O11" s="174"/>
      <c r="P11" s="176"/>
      <c r="Q11" s="174" t="s">
        <v>3646</v>
      </c>
      <c r="R11" s="174" t="s">
        <v>3647</v>
      </c>
      <c r="S11" s="174" t="s">
        <v>1789</v>
      </c>
      <c r="T11" s="175" t="s">
        <v>3646</v>
      </c>
      <c r="U11" s="175" t="s">
        <v>3647</v>
      </c>
      <c r="V11" s="175" t="s">
        <v>1789</v>
      </c>
      <c r="W11" s="176"/>
      <c r="X11" s="174" t="s">
        <v>1860</v>
      </c>
      <c r="Y11" s="175" t="s">
        <v>1860</v>
      </c>
      <c r="Z11" s="176"/>
      <c r="AA11" s="174" t="s">
        <v>1741</v>
      </c>
      <c r="AB11" s="175" t="s">
        <v>1741</v>
      </c>
      <c r="AC11" s="176"/>
      <c r="AD11" s="174" t="s">
        <v>3648</v>
      </c>
      <c r="AE11" s="175" t="s">
        <v>3648</v>
      </c>
      <c r="AF11" s="176"/>
      <c r="AG11" s="174" t="n">
        <v>1</v>
      </c>
    </row>
    <row r="12" customFormat="false" ht="15" hidden="false" customHeight="false" outlineLevel="0" collapsed="false">
      <c r="B12" s="174" t="n">
        <v>1111112</v>
      </c>
      <c r="C12" s="174" t="n">
        <v>7340923</v>
      </c>
      <c r="D12" s="174" t="s">
        <v>1425</v>
      </c>
      <c r="E12" s="174" t="s">
        <v>1392</v>
      </c>
      <c r="F12" s="174"/>
      <c r="G12" s="174"/>
      <c r="H12" s="174" t="s">
        <v>3649</v>
      </c>
      <c r="I12" s="174" t="s">
        <v>1794</v>
      </c>
      <c r="J12" s="174"/>
      <c r="K12" s="174" t="s">
        <v>3645</v>
      </c>
      <c r="L12" s="176" t="s">
        <v>3645</v>
      </c>
      <c r="M12" s="176"/>
      <c r="N12" s="176"/>
      <c r="O12" s="174"/>
      <c r="P12" s="176"/>
      <c r="Q12" s="174" t="s">
        <v>1808</v>
      </c>
      <c r="R12" s="174" t="s">
        <v>3650</v>
      </c>
      <c r="S12" s="174" t="s">
        <v>1789</v>
      </c>
      <c r="T12" s="393" t="s">
        <v>1962</v>
      </c>
      <c r="U12" s="175" t="s">
        <v>3651</v>
      </c>
      <c r="V12" s="175" t="s">
        <v>1789</v>
      </c>
      <c r="W12" s="394" t="n">
        <v>46204</v>
      </c>
      <c r="X12" s="174" t="s">
        <v>1793</v>
      </c>
      <c r="Y12" s="175" t="s">
        <v>1793</v>
      </c>
      <c r="Z12" s="176"/>
      <c r="AA12" s="174" t="s">
        <v>1795</v>
      </c>
      <c r="AB12" s="175" t="s">
        <v>1795</v>
      </c>
      <c r="AC12" s="176"/>
      <c r="AD12" s="174" t="s">
        <v>3652</v>
      </c>
      <c r="AE12" s="175" t="s">
        <v>3652</v>
      </c>
      <c r="AF12" s="176"/>
      <c r="AG12" s="174" t="n">
        <v>1</v>
      </c>
    </row>
    <row r="13" customFormat="false" ht="15" hidden="false" customHeight="false" outlineLevel="0" collapsed="false">
      <c r="B13" s="395" t="n">
        <v>1111113</v>
      </c>
      <c r="C13" s="395"/>
      <c r="D13" s="395" t="s">
        <v>1425</v>
      </c>
      <c r="E13" s="395"/>
      <c r="F13" s="395"/>
      <c r="G13" s="395"/>
      <c r="H13" s="395" t="s">
        <v>1802</v>
      </c>
      <c r="I13" s="396" t="n">
        <v>43045</v>
      </c>
      <c r="J13" s="395"/>
      <c r="K13" s="395" t="s">
        <v>3645</v>
      </c>
      <c r="L13" s="397" t="s">
        <v>3653</v>
      </c>
      <c r="M13" s="397"/>
      <c r="N13" s="397"/>
      <c r="O13" s="395"/>
      <c r="P13" s="398" t="n">
        <v>46154</v>
      </c>
      <c r="Q13" s="174" t="s">
        <v>1808</v>
      </c>
      <c r="R13" s="395"/>
      <c r="S13" s="395"/>
      <c r="T13" s="175" t="s">
        <v>3646</v>
      </c>
      <c r="U13" s="175" t="s">
        <v>3647</v>
      </c>
      <c r="V13" s="175" t="s">
        <v>1789</v>
      </c>
      <c r="W13" s="176"/>
      <c r="X13" s="395"/>
      <c r="Y13" s="399"/>
      <c r="Z13" s="397"/>
      <c r="AA13" s="174" t="s">
        <v>3654</v>
      </c>
      <c r="AB13" s="399"/>
      <c r="AC13" s="397"/>
      <c r="AD13" s="395"/>
      <c r="AE13" s="399"/>
      <c r="AF13" s="397"/>
      <c r="AG13" s="395" t="n">
        <v>0</v>
      </c>
    </row>
    <row r="14" customFormat="false" ht="15" hidden="false" customHeight="false" outlineLevel="0" collapsed="false">
      <c r="B14" s="174" t="n">
        <v>4444440</v>
      </c>
      <c r="C14" s="174"/>
      <c r="D14" s="174" t="s">
        <v>1462</v>
      </c>
      <c r="E14" s="174" t="s">
        <v>3655</v>
      </c>
      <c r="F14" s="174" t="s">
        <v>3656</v>
      </c>
      <c r="G14" s="174"/>
      <c r="H14" s="174" t="s">
        <v>3657</v>
      </c>
      <c r="I14" s="400" t="n">
        <v>46265</v>
      </c>
      <c r="J14" s="400" t="s">
        <v>891</v>
      </c>
      <c r="K14" s="174"/>
      <c r="L14" s="174"/>
      <c r="M14" s="174"/>
      <c r="N14" s="174"/>
      <c r="O14" s="176"/>
      <c r="P14" s="174"/>
      <c r="Q14" s="174" t="s">
        <v>1962</v>
      </c>
      <c r="R14" s="174"/>
      <c r="S14" s="174"/>
      <c r="T14" s="175"/>
      <c r="U14" s="175"/>
      <c r="V14" s="175"/>
      <c r="W14" s="176"/>
      <c r="X14" s="174"/>
      <c r="Y14" s="175"/>
      <c r="Z14" s="176"/>
      <c r="AA14" s="174" t="s">
        <v>3654</v>
      </c>
      <c r="AB14" s="175"/>
      <c r="AC14" s="176"/>
      <c r="AD14" s="174"/>
      <c r="AE14" s="175"/>
      <c r="AF14" s="176"/>
      <c r="AG14" s="174" t="n">
        <v>1</v>
      </c>
    </row>
    <row r="15" customFormat="false" ht="15" hidden="false" customHeight="false" outlineLevel="0" collapsed="false">
      <c r="B15" s="395" t="n">
        <v>4444441</v>
      </c>
      <c r="C15" s="395"/>
      <c r="D15" s="395" t="s">
        <v>1462</v>
      </c>
      <c r="E15" s="395" t="s">
        <v>1392</v>
      </c>
      <c r="F15" s="395" t="s">
        <v>3658</v>
      </c>
      <c r="G15" s="395"/>
      <c r="H15" s="395" t="s">
        <v>3659</v>
      </c>
      <c r="I15" s="396" t="n">
        <v>46234</v>
      </c>
      <c r="J15" s="396" t="s">
        <v>3660</v>
      </c>
      <c r="K15" s="395"/>
      <c r="L15" s="395"/>
      <c r="M15" s="395"/>
      <c r="N15" s="395"/>
      <c r="O15" s="397"/>
      <c r="P15" s="395"/>
      <c r="Q15" s="395" t="s">
        <v>1808</v>
      </c>
      <c r="R15" s="395"/>
      <c r="S15" s="395"/>
      <c r="T15" s="399"/>
      <c r="U15" s="399"/>
      <c r="V15" s="399"/>
      <c r="W15" s="397"/>
      <c r="X15" s="395"/>
      <c r="Y15" s="399"/>
      <c r="Z15" s="397"/>
      <c r="AA15" s="174" t="s">
        <v>3661</v>
      </c>
      <c r="AB15" s="399"/>
      <c r="AC15" s="397"/>
      <c r="AD15" s="395"/>
      <c r="AE15" s="399"/>
      <c r="AF15" s="397"/>
      <c r="AG15" s="395" t="n">
        <v>0</v>
      </c>
    </row>
    <row r="21" customFormat="false" ht="15" hidden="false" customHeight="false" outlineLevel="0" collapsed="false">
      <c r="B21" s="401"/>
    </row>
    <row r="22" customFormat="false" ht="15" hidden="false" customHeight="false" outlineLevel="0" collapsed="false">
      <c r="B22" s="401"/>
    </row>
    <row r="23" customFormat="false" ht="15" hidden="false" customHeight="false" outlineLevel="0" collapsed="false">
      <c r="B23" s="401"/>
    </row>
    <row r="24" customFormat="false" ht="15" hidden="false" customHeight="false" outlineLevel="0" collapsed="false">
      <c r="B24" s="401"/>
    </row>
  </sheetData>
  <autoFilter ref="B10:AG15"/>
  <mergeCells count="1">
    <mergeCell ref="H8:K8"/>
  </mergeCells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.57"/>
    <col collapsed="false" customWidth="true" hidden="false" outlineLevel="0" max="2" min="2" style="0" width="32.71"/>
    <col collapsed="false" customWidth="true" hidden="false" outlineLevel="0" max="3" min="3" style="0" width="18.14"/>
    <col collapsed="false" customWidth="true" hidden="false" outlineLevel="0" max="4" min="4" style="0" width="21.71"/>
    <col collapsed="false" customWidth="true" hidden="false" outlineLevel="0" max="5" min="5" style="0" width="30.29"/>
    <col collapsed="false" customWidth="true" hidden="false" outlineLevel="0" max="6" min="6" style="0" width="12.42"/>
    <col collapsed="false" customWidth="true" hidden="false" outlineLevel="0" max="8" min="8" style="0" width="23"/>
    <col collapsed="false" customWidth="true" hidden="false" outlineLevel="0" max="9" min="9" style="0" width="12.42"/>
  </cols>
  <sheetData>
    <row r="1" customFormat="false" ht="26.25" hidden="false" customHeight="true" outlineLevel="0" collapsed="false">
      <c r="A1" s="204" t="s">
        <v>3662</v>
      </c>
      <c r="B1" s="185" t="s">
        <v>1</v>
      </c>
      <c r="C1" s="402"/>
      <c r="D1" s="402"/>
      <c r="E1" s="402"/>
      <c r="F1" s="402"/>
      <c r="G1" s="402"/>
      <c r="H1" s="402"/>
      <c r="I1" s="402"/>
      <c r="J1" s="402"/>
      <c r="K1" s="126" t="s">
        <v>1705</v>
      </c>
      <c r="L1" s="402"/>
      <c r="M1" s="402"/>
      <c r="N1" s="402"/>
      <c r="O1" s="402"/>
      <c r="P1" s="402"/>
      <c r="Q1" s="402"/>
      <c r="R1" s="402"/>
      <c r="S1" s="402"/>
      <c r="T1" s="402"/>
      <c r="U1" s="402"/>
      <c r="V1" s="402"/>
      <c r="W1" s="402"/>
      <c r="X1" s="402"/>
      <c r="Y1" s="402"/>
    </row>
    <row r="2" customFormat="false" ht="128.25" hidden="false" customHeight="true" outlineLevel="0" collapsed="false">
      <c r="B2" s="202"/>
      <c r="C2" s="202"/>
      <c r="D2" s="202"/>
      <c r="E2" s="202"/>
      <c r="F2" s="202"/>
      <c r="G2" s="202"/>
      <c r="H2" s="202"/>
    </row>
    <row r="3" customFormat="false" ht="15" hidden="false" customHeight="false" outlineLevel="0" collapsed="false">
      <c r="A3" s="214" t="s">
        <v>701</v>
      </c>
      <c r="B3" s="403"/>
      <c r="C3" s="403"/>
      <c r="D3" s="403"/>
      <c r="E3" s="403"/>
      <c r="F3" s="403"/>
      <c r="G3" s="403"/>
      <c r="H3" s="403"/>
      <c r="I3" s="214"/>
      <c r="J3" s="214"/>
      <c r="K3" s="214"/>
      <c r="L3" s="214"/>
      <c r="M3" s="214"/>
      <c r="N3" s="214" t="s">
        <v>3663</v>
      </c>
      <c r="O3" s="214"/>
      <c r="P3" s="214"/>
      <c r="Q3" s="214"/>
      <c r="R3" s="214"/>
      <c r="S3" s="214"/>
      <c r="T3" s="214"/>
      <c r="U3" s="214"/>
      <c r="V3" s="214"/>
      <c r="W3" s="214"/>
      <c r="X3" s="214"/>
      <c r="Y3" s="214"/>
    </row>
    <row r="4" customFormat="false" ht="15" hidden="false" customHeight="false" outlineLevel="0" collapsed="false">
      <c r="A4" s="214" t="s">
        <v>1438</v>
      </c>
      <c r="B4" s="403" t="s">
        <v>3664</v>
      </c>
      <c r="C4" s="403" t="s">
        <v>3665</v>
      </c>
      <c r="D4" s="403" t="s">
        <v>3666</v>
      </c>
      <c r="E4" s="403" t="s">
        <v>3667</v>
      </c>
      <c r="F4" s="403" t="s">
        <v>3668</v>
      </c>
      <c r="G4" s="403" t="s">
        <v>3669</v>
      </c>
      <c r="H4" s="403" t="s">
        <v>3670</v>
      </c>
      <c r="I4" s="214" t="s">
        <v>3671</v>
      </c>
      <c r="J4" s="214" t="s">
        <v>1719</v>
      </c>
      <c r="K4" s="214" t="s">
        <v>3672</v>
      </c>
      <c r="L4" s="214" t="s">
        <v>3673</v>
      </c>
      <c r="M4" s="214" t="s">
        <v>1893</v>
      </c>
      <c r="N4" s="214" t="s">
        <v>1920</v>
      </c>
      <c r="O4" s="214" t="s">
        <v>1921</v>
      </c>
      <c r="P4" s="214" t="s">
        <v>1922</v>
      </c>
      <c r="Q4" s="214" t="s">
        <v>1923</v>
      </c>
      <c r="R4" s="214" t="s">
        <v>1924</v>
      </c>
      <c r="S4" s="214" t="s">
        <v>1925</v>
      </c>
      <c r="T4" s="214" t="s">
        <v>1926</v>
      </c>
      <c r="U4" s="214" t="s">
        <v>1927</v>
      </c>
      <c r="V4" s="214" t="s">
        <v>1928</v>
      </c>
      <c r="W4" s="214" t="s">
        <v>1929</v>
      </c>
      <c r="X4" s="214" t="s">
        <v>1930</v>
      </c>
      <c r="Y4" s="214" t="s">
        <v>1931</v>
      </c>
    </row>
    <row r="5" customFormat="false" ht="15" hidden="false" customHeight="false" outlineLevel="0" collapsed="false">
      <c r="A5" s="214" t="s">
        <v>1712</v>
      </c>
      <c r="B5" s="403"/>
      <c r="C5" s="403"/>
      <c r="D5" s="403"/>
      <c r="E5" s="403" t="s">
        <v>3674</v>
      </c>
      <c r="F5" s="403" t="s">
        <v>3675</v>
      </c>
      <c r="G5" s="403" t="s">
        <v>3676</v>
      </c>
      <c r="H5" s="403" t="s">
        <v>3677</v>
      </c>
      <c r="I5" s="214" t="s">
        <v>3678</v>
      </c>
      <c r="J5" s="214" t="s">
        <v>1425</v>
      </c>
      <c r="K5" s="214" t="s">
        <v>3679</v>
      </c>
      <c r="L5" s="214" t="s">
        <v>3680</v>
      </c>
      <c r="M5" s="214" t="s">
        <v>1874</v>
      </c>
      <c r="N5" s="404" t="n">
        <v>0</v>
      </c>
      <c r="O5" s="404" t="n">
        <v>0</v>
      </c>
      <c r="P5" s="404" t="n">
        <v>0</v>
      </c>
      <c r="Q5" s="404" t="n">
        <v>0</v>
      </c>
      <c r="R5" s="404" t="n">
        <v>0</v>
      </c>
      <c r="S5" s="404" t="n">
        <v>0</v>
      </c>
      <c r="T5" s="404" t="n">
        <v>0</v>
      </c>
      <c r="U5" s="404" t="n">
        <v>0</v>
      </c>
      <c r="V5" s="404" t="n">
        <v>0</v>
      </c>
      <c r="W5" s="404" t="n">
        <v>0</v>
      </c>
      <c r="X5" s="404" t="n">
        <v>0</v>
      </c>
      <c r="Y5" s="404" t="n">
        <v>0</v>
      </c>
    </row>
    <row r="6" customFormat="false" ht="15" hidden="false" customHeight="false" outlineLevel="0" collapsed="false">
      <c r="A6" s="214" t="s">
        <v>1712</v>
      </c>
      <c r="B6" s="403" t="s">
        <v>3681</v>
      </c>
      <c r="C6" s="403" t="s">
        <v>3682</v>
      </c>
      <c r="D6" s="403" t="s">
        <v>3683</v>
      </c>
      <c r="E6" s="403" t="s">
        <v>468</v>
      </c>
      <c r="F6" s="403" t="s">
        <v>3684</v>
      </c>
      <c r="G6" s="403" t="s">
        <v>3685</v>
      </c>
      <c r="H6" s="403" t="s">
        <v>1975</v>
      </c>
      <c r="I6" s="214" t="s">
        <v>3686</v>
      </c>
      <c r="J6" s="214" t="s">
        <v>1425</v>
      </c>
      <c r="K6" s="214" t="s">
        <v>3679</v>
      </c>
      <c r="L6" s="214" t="s">
        <v>2483</v>
      </c>
      <c r="M6" s="214" t="s">
        <v>1874</v>
      </c>
      <c r="N6" s="404" t="n">
        <v>5000</v>
      </c>
      <c r="O6" s="404" t="n">
        <v>5000</v>
      </c>
      <c r="P6" s="404" t="n">
        <v>5000</v>
      </c>
      <c r="Q6" s="404" t="n">
        <v>5000</v>
      </c>
      <c r="R6" s="404" t="n">
        <v>5000</v>
      </c>
      <c r="S6" s="404" t="n">
        <v>5000</v>
      </c>
      <c r="T6" s="404" t="n">
        <v>5000</v>
      </c>
      <c r="U6" s="404" t="n">
        <v>5000</v>
      </c>
      <c r="V6" s="404" t="n">
        <v>5000</v>
      </c>
      <c r="W6" s="404" t="n">
        <v>5000</v>
      </c>
      <c r="X6" s="404" t="n">
        <v>5000</v>
      </c>
      <c r="Y6" s="404" t="n">
        <v>5000</v>
      </c>
    </row>
    <row r="7" customFormat="false" ht="15" hidden="false" customHeight="false" outlineLevel="0" collapsed="false">
      <c r="A7" s="214" t="s">
        <v>1712</v>
      </c>
      <c r="B7" s="403" t="s">
        <v>3681</v>
      </c>
      <c r="C7" s="403" t="s">
        <v>3682</v>
      </c>
      <c r="D7" s="403" t="s">
        <v>3683</v>
      </c>
      <c r="E7" s="403" t="s">
        <v>468</v>
      </c>
      <c r="F7" s="403" t="s">
        <v>3684</v>
      </c>
      <c r="G7" s="403" t="s">
        <v>3685</v>
      </c>
      <c r="H7" s="403" t="s">
        <v>1976</v>
      </c>
      <c r="I7" s="214" t="s">
        <v>2436</v>
      </c>
      <c r="J7" s="214" t="s">
        <v>1425</v>
      </c>
      <c r="K7" s="214" t="s">
        <v>3679</v>
      </c>
      <c r="L7" s="214" t="s">
        <v>3680</v>
      </c>
      <c r="M7" s="214" t="s">
        <v>1874</v>
      </c>
      <c r="N7" s="404" t="n">
        <v>103000</v>
      </c>
      <c r="O7" s="404" t="n">
        <v>103000</v>
      </c>
      <c r="P7" s="404" t="n">
        <v>103000</v>
      </c>
      <c r="Q7" s="404" t="n">
        <v>103000</v>
      </c>
      <c r="R7" s="404" t="n">
        <v>103000</v>
      </c>
      <c r="S7" s="404" t="n">
        <v>103000</v>
      </c>
      <c r="T7" s="404" t="n">
        <v>103000</v>
      </c>
      <c r="U7" s="404" t="n">
        <v>103000</v>
      </c>
      <c r="V7" s="404" t="n">
        <v>103000</v>
      </c>
      <c r="W7" s="404" t="n">
        <v>103000</v>
      </c>
      <c r="X7" s="404" t="n">
        <v>103000</v>
      </c>
      <c r="Y7" s="404" t="n">
        <v>103000</v>
      </c>
    </row>
    <row r="8" customFormat="false" ht="15" hidden="false" customHeight="false" outlineLevel="0" collapsed="false">
      <c r="A8" s="214" t="s">
        <v>1712</v>
      </c>
      <c r="B8" s="403" t="s">
        <v>3681</v>
      </c>
      <c r="C8" s="403" t="s">
        <v>3682</v>
      </c>
      <c r="D8" s="403" t="s">
        <v>3683</v>
      </c>
      <c r="E8" s="403" t="s">
        <v>468</v>
      </c>
      <c r="F8" s="403" t="s">
        <v>3684</v>
      </c>
      <c r="G8" s="403" t="s">
        <v>3685</v>
      </c>
      <c r="H8" s="403" t="s">
        <v>1977</v>
      </c>
      <c r="I8" s="214" t="s">
        <v>474</v>
      </c>
      <c r="J8" s="214" t="s">
        <v>1425</v>
      </c>
      <c r="K8" s="214" t="s">
        <v>3679</v>
      </c>
      <c r="L8" s="214" t="s">
        <v>3680</v>
      </c>
      <c r="M8" s="214" t="s">
        <v>1874</v>
      </c>
      <c r="N8" s="404" t="n">
        <v>35000</v>
      </c>
      <c r="O8" s="404" t="n">
        <v>35000</v>
      </c>
      <c r="P8" s="404" t="n">
        <v>35000</v>
      </c>
      <c r="Q8" s="404" t="n">
        <v>35000</v>
      </c>
      <c r="R8" s="404" t="n">
        <v>35000</v>
      </c>
      <c r="S8" s="404" t="n">
        <v>35000</v>
      </c>
      <c r="T8" s="404" t="n">
        <v>35000</v>
      </c>
      <c r="U8" s="404" t="n">
        <v>35000</v>
      </c>
      <c r="V8" s="404" t="n">
        <v>35000</v>
      </c>
      <c r="W8" s="404" t="n">
        <v>35000</v>
      </c>
      <c r="X8" s="404" t="n">
        <v>35000</v>
      </c>
      <c r="Y8" s="404" t="n">
        <v>35000</v>
      </c>
    </row>
    <row r="9" customFormat="false" ht="15" hidden="false" customHeight="false" outlineLevel="0" collapsed="false">
      <c r="A9" s="214" t="s">
        <v>1712</v>
      </c>
      <c r="B9" s="403" t="s">
        <v>3681</v>
      </c>
      <c r="C9" s="403" t="s">
        <v>3682</v>
      </c>
      <c r="D9" s="403" t="s">
        <v>3683</v>
      </c>
      <c r="E9" s="403" t="s">
        <v>468</v>
      </c>
      <c r="F9" s="403" t="s">
        <v>3684</v>
      </c>
      <c r="G9" s="403" t="s">
        <v>3685</v>
      </c>
      <c r="H9" s="403" t="s">
        <v>1978</v>
      </c>
      <c r="I9" s="214" t="s">
        <v>3687</v>
      </c>
      <c r="J9" s="214" t="s">
        <v>1425</v>
      </c>
      <c r="K9" s="214" t="s">
        <v>3679</v>
      </c>
      <c r="L9" s="214" t="s">
        <v>3680</v>
      </c>
      <c r="M9" s="214" t="s">
        <v>1874</v>
      </c>
      <c r="N9" s="404" t="n">
        <v>622000</v>
      </c>
      <c r="O9" s="404" t="n">
        <v>622000</v>
      </c>
      <c r="P9" s="404" t="n">
        <v>622000</v>
      </c>
      <c r="Q9" s="404" t="n">
        <v>622000</v>
      </c>
      <c r="R9" s="404" t="n">
        <v>622000</v>
      </c>
      <c r="S9" s="404" t="n">
        <v>622000</v>
      </c>
      <c r="T9" s="404" t="n">
        <v>622000</v>
      </c>
      <c r="U9" s="404" t="n">
        <v>622000</v>
      </c>
      <c r="V9" s="404" t="n">
        <v>622000</v>
      </c>
      <c r="W9" s="404" t="n">
        <v>622000</v>
      </c>
      <c r="X9" s="404" t="n">
        <v>622000</v>
      </c>
      <c r="Y9" s="404" t="n">
        <v>622000</v>
      </c>
    </row>
    <row r="10" customFormat="false" ht="15" hidden="false" customHeight="false" outlineLevel="0" collapsed="false">
      <c r="A10" s="214" t="s">
        <v>1712</v>
      </c>
      <c r="B10" s="403" t="s">
        <v>3681</v>
      </c>
      <c r="C10" s="403" t="s">
        <v>3682</v>
      </c>
      <c r="D10" s="403" t="s">
        <v>3683</v>
      </c>
      <c r="E10" s="403" t="s">
        <v>468</v>
      </c>
      <c r="F10" s="403" t="s">
        <v>3684</v>
      </c>
      <c r="G10" s="403" t="s">
        <v>3685</v>
      </c>
      <c r="H10" s="403" t="s">
        <v>1979</v>
      </c>
      <c r="I10" s="214" t="s">
        <v>756</v>
      </c>
      <c r="J10" s="214" t="s">
        <v>1425</v>
      </c>
      <c r="K10" s="214" t="s">
        <v>3679</v>
      </c>
      <c r="L10" s="214" t="s">
        <v>3680</v>
      </c>
      <c r="M10" s="214" t="s">
        <v>1874</v>
      </c>
      <c r="N10" s="404" t="n">
        <v>306000</v>
      </c>
      <c r="O10" s="404" t="n">
        <v>306000</v>
      </c>
      <c r="P10" s="404" t="n">
        <v>306000</v>
      </c>
      <c r="Q10" s="404" t="n">
        <v>306000</v>
      </c>
      <c r="R10" s="404" t="n">
        <v>306000</v>
      </c>
      <c r="S10" s="404" t="n">
        <v>306000</v>
      </c>
      <c r="T10" s="404" t="n">
        <v>306000</v>
      </c>
      <c r="U10" s="404" t="n">
        <v>306000</v>
      </c>
      <c r="V10" s="404" t="n">
        <v>306000</v>
      </c>
      <c r="W10" s="404" t="n">
        <v>306000</v>
      </c>
      <c r="X10" s="404" t="n">
        <v>306000</v>
      </c>
      <c r="Y10" s="404" t="n">
        <v>306000</v>
      </c>
    </row>
    <row r="11" customFormat="false" ht="15" hidden="false" customHeight="false" outlineLevel="0" collapsed="false">
      <c r="A11" s="214" t="s">
        <v>1712</v>
      </c>
      <c r="B11" s="403" t="s">
        <v>3681</v>
      </c>
      <c r="C11" s="403" t="s">
        <v>3682</v>
      </c>
      <c r="D11" s="403" t="s">
        <v>3683</v>
      </c>
      <c r="E11" s="403" t="s">
        <v>468</v>
      </c>
      <c r="F11" s="403" t="s">
        <v>3684</v>
      </c>
      <c r="G11" s="403" t="s">
        <v>3685</v>
      </c>
      <c r="H11" s="403" t="s">
        <v>1980</v>
      </c>
      <c r="I11" s="214" t="s">
        <v>3688</v>
      </c>
      <c r="J11" s="214" t="s">
        <v>1425</v>
      </c>
      <c r="K11" s="214" t="s">
        <v>3679</v>
      </c>
      <c r="L11" s="214" t="s">
        <v>2483</v>
      </c>
      <c r="M11" s="214" t="s">
        <v>1874</v>
      </c>
      <c r="N11" s="404" t="n">
        <v>3000</v>
      </c>
      <c r="O11" s="404" t="n">
        <v>3000</v>
      </c>
      <c r="P11" s="404" t="n">
        <v>3000</v>
      </c>
      <c r="Q11" s="404" t="n">
        <v>3000</v>
      </c>
      <c r="R11" s="404" t="n">
        <v>3000</v>
      </c>
      <c r="S11" s="404" t="n">
        <v>3000</v>
      </c>
      <c r="T11" s="404" t="n">
        <v>3000</v>
      </c>
      <c r="U11" s="404" t="n">
        <v>3000</v>
      </c>
      <c r="V11" s="404" t="n">
        <v>3000</v>
      </c>
      <c r="W11" s="404" t="n">
        <v>3000</v>
      </c>
      <c r="X11" s="404" t="n">
        <v>3000</v>
      </c>
      <c r="Y11" s="404" t="n">
        <v>3000</v>
      </c>
    </row>
    <row r="12" customFormat="false" ht="15" hidden="false" customHeight="false" outlineLevel="0" collapsed="false">
      <c r="A12" s="214" t="s">
        <v>1712</v>
      </c>
      <c r="B12" s="403" t="s">
        <v>3681</v>
      </c>
      <c r="C12" s="403" t="s">
        <v>3682</v>
      </c>
      <c r="D12" s="403" t="s">
        <v>3683</v>
      </c>
      <c r="E12" s="403" t="s">
        <v>468</v>
      </c>
      <c r="F12" s="403" t="s">
        <v>3684</v>
      </c>
      <c r="G12" s="403" t="s">
        <v>3685</v>
      </c>
      <c r="H12" s="403" t="s">
        <v>1980</v>
      </c>
      <c r="I12" s="214" t="s">
        <v>3688</v>
      </c>
      <c r="J12" s="214" t="s">
        <v>1425</v>
      </c>
      <c r="K12" s="214" t="s">
        <v>3679</v>
      </c>
      <c r="L12" s="214" t="s">
        <v>3680</v>
      </c>
      <c r="M12" s="214" t="s">
        <v>1874</v>
      </c>
      <c r="N12" s="404" t="n">
        <v>50000</v>
      </c>
      <c r="O12" s="404" t="n">
        <v>50000</v>
      </c>
      <c r="P12" s="404" t="n">
        <v>50000</v>
      </c>
      <c r="Q12" s="404" t="n">
        <v>50000</v>
      </c>
      <c r="R12" s="404" t="n">
        <v>50000</v>
      </c>
      <c r="S12" s="404" t="n">
        <v>50000</v>
      </c>
      <c r="T12" s="404" t="n">
        <v>50000</v>
      </c>
      <c r="U12" s="404" t="n">
        <v>50000</v>
      </c>
      <c r="V12" s="404" t="n">
        <v>50000</v>
      </c>
      <c r="W12" s="404" t="n">
        <v>50000</v>
      </c>
      <c r="X12" s="404" t="n">
        <v>50000</v>
      </c>
      <c r="Y12" s="404" t="n">
        <v>50000</v>
      </c>
    </row>
    <row r="13" customFormat="false" ht="15" hidden="false" customHeight="false" outlineLevel="0" collapsed="false">
      <c r="A13" s="214" t="s">
        <v>1713</v>
      </c>
      <c r="B13" s="403" t="s">
        <v>3689</v>
      </c>
      <c r="C13" s="403" t="s">
        <v>3690</v>
      </c>
      <c r="D13" s="403" t="s">
        <v>3691</v>
      </c>
      <c r="E13" s="403" t="s">
        <v>468</v>
      </c>
      <c r="F13" s="403" t="s">
        <v>3684</v>
      </c>
      <c r="G13" s="403" t="s">
        <v>3685</v>
      </c>
      <c r="H13" s="403" t="s">
        <v>3692</v>
      </c>
      <c r="I13" s="214" t="s">
        <v>3693</v>
      </c>
      <c r="J13" s="214" t="s">
        <v>1425</v>
      </c>
      <c r="K13" s="214" t="s">
        <v>3679</v>
      </c>
      <c r="L13" s="214" t="s">
        <v>3680</v>
      </c>
      <c r="M13" s="214" t="s">
        <v>1874</v>
      </c>
      <c r="N13" s="404" t="n">
        <v>569000</v>
      </c>
      <c r="O13" s="404" t="n">
        <v>611600</v>
      </c>
      <c r="P13" s="404" t="n">
        <v>544800</v>
      </c>
      <c r="Q13" s="404" t="n">
        <v>544800</v>
      </c>
      <c r="R13" s="404" t="n">
        <v>544800</v>
      </c>
      <c r="S13" s="404" t="n">
        <v>544800</v>
      </c>
      <c r="T13" s="404" t="n">
        <v>544800</v>
      </c>
      <c r="U13" s="404" t="n">
        <v>544800</v>
      </c>
      <c r="V13" s="404" t="n">
        <v>544800</v>
      </c>
      <c r="W13" s="404" t="n">
        <v>544800</v>
      </c>
      <c r="X13" s="404" t="n">
        <v>544800</v>
      </c>
      <c r="Y13" s="404" t="n">
        <v>544800</v>
      </c>
    </row>
    <row r="14" customFormat="false" ht="15" hidden="false" customHeight="false" outlineLevel="0" collapsed="false">
      <c r="A14" s="214" t="s">
        <v>1713</v>
      </c>
      <c r="B14" s="403" t="s">
        <v>3689</v>
      </c>
      <c r="C14" s="403" t="s">
        <v>3690</v>
      </c>
      <c r="D14" s="403" t="s">
        <v>3691</v>
      </c>
      <c r="E14" s="403" t="s">
        <v>468</v>
      </c>
      <c r="F14" s="403" t="s">
        <v>3684</v>
      </c>
      <c r="G14" s="403" t="s">
        <v>3685</v>
      </c>
      <c r="H14" s="403" t="s">
        <v>1976</v>
      </c>
      <c r="I14" s="214" t="s">
        <v>2436</v>
      </c>
      <c r="J14" s="214" t="s">
        <v>1425</v>
      </c>
      <c r="K14" s="214" t="s">
        <v>3679</v>
      </c>
      <c r="L14" s="214" t="s">
        <v>3680</v>
      </c>
      <c r="M14" s="214" t="s">
        <v>1874</v>
      </c>
      <c r="N14" s="404" t="n">
        <v>232500</v>
      </c>
      <c r="O14" s="404" t="n">
        <v>232500</v>
      </c>
      <c r="P14" s="404" t="n">
        <v>232500</v>
      </c>
      <c r="Q14" s="404" t="n">
        <v>232500</v>
      </c>
      <c r="R14" s="404" t="n">
        <v>232500</v>
      </c>
      <c r="S14" s="404" t="n">
        <v>232500</v>
      </c>
      <c r="T14" s="404" t="n">
        <v>232500</v>
      </c>
      <c r="U14" s="404" t="n">
        <v>232500</v>
      </c>
      <c r="V14" s="404" t="n">
        <v>232500</v>
      </c>
      <c r="W14" s="404" t="n">
        <v>232500</v>
      </c>
      <c r="X14" s="404" t="n">
        <v>232500</v>
      </c>
      <c r="Y14" s="404" t="n">
        <v>232500</v>
      </c>
    </row>
    <row r="15" customFormat="false" ht="15" hidden="false" customHeight="false" outlineLevel="0" collapsed="false">
      <c r="A15" s="214" t="s">
        <v>1713</v>
      </c>
      <c r="B15" s="403" t="s">
        <v>3689</v>
      </c>
      <c r="C15" s="403" t="s">
        <v>3690</v>
      </c>
      <c r="D15" s="403" t="s">
        <v>3691</v>
      </c>
      <c r="E15" s="403" t="s">
        <v>468</v>
      </c>
      <c r="F15" s="403" t="s">
        <v>3684</v>
      </c>
      <c r="G15" s="403" t="s">
        <v>3685</v>
      </c>
      <c r="H15" s="403" t="s">
        <v>1977</v>
      </c>
      <c r="I15" s="214" t="s">
        <v>474</v>
      </c>
      <c r="J15" s="214" t="s">
        <v>1425</v>
      </c>
      <c r="K15" s="214" t="s">
        <v>3679</v>
      </c>
      <c r="L15" s="214" t="s">
        <v>2480</v>
      </c>
      <c r="M15" s="214" t="s">
        <v>1874</v>
      </c>
      <c r="N15" s="404" t="n">
        <v>75000</v>
      </c>
      <c r="O15" s="404" t="n">
        <v>75000</v>
      </c>
      <c r="P15" s="404" t="n">
        <v>75000</v>
      </c>
      <c r="Q15" s="404" t="n">
        <v>75000</v>
      </c>
      <c r="R15" s="404" t="n">
        <v>75000</v>
      </c>
      <c r="S15" s="404" t="n">
        <v>75000</v>
      </c>
      <c r="T15" s="404" t="n">
        <v>75000</v>
      </c>
      <c r="U15" s="404" t="n">
        <v>75000</v>
      </c>
      <c r="V15" s="404" t="n">
        <v>75000</v>
      </c>
      <c r="W15" s="404" t="n">
        <v>75000</v>
      </c>
      <c r="X15" s="404" t="n">
        <v>75000</v>
      </c>
      <c r="Y15" s="404" t="n">
        <v>75000</v>
      </c>
    </row>
    <row r="16" customFormat="false" ht="15" hidden="false" customHeight="false" outlineLevel="0" collapsed="false">
      <c r="A16" s="214" t="s">
        <v>1713</v>
      </c>
      <c r="B16" s="403" t="s">
        <v>3689</v>
      </c>
      <c r="C16" s="403" t="s">
        <v>3690</v>
      </c>
      <c r="D16" s="403" t="s">
        <v>3691</v>
      </c>
      <c r="E16" s="403" t="s">
        <v>468</v>
      </c>
      <c r="F16" s="403" t="s">
        <v>3684</v>
      </c>
      <c r="G16" s="403" t="s">
        <v>3685</v>
      </c>
      <c r="H16" s="403" t="s">
        <v>1977</v>
      </c>
      <c r="I16" s="214" t="s">
        <v>474</v>
      </c>
      <c r="J16" s="214" t="s">
        <v>1425</v>
      </c>
      <c r="K16" s="214" t="s">
        <v>3679</v>
      </c>
      <c r="L16" s="214" t="s">
        <v>3680</v>
      </c>
      <c r="M16" s="214" t="s">
        <v>1874</v>
      </c>
      <c r="N16" s="404" t="n">
        <v>7900000</v>
      </c>
      <c r="O16" s="404" t="n">
        <v>8165000</v>
      </c>
      <c r="P16" s="404" t="n">
        <v>7985000</v>
      </c>
      <c r="Q16" s="404" t="n">
        <v>7985000</v>
      </c>
      <c r="R16" s="404" t="n">
        <v>7985000</v>
      </c>
      <c r="S16" s="404" t="n">
        <v>7985000</v>
      </c>
      <c r="T16" s="404" t="n">
        <v>7985000</v>
      </c>
      <c r="U16" s="404" t="n">
        <v>7985000</v>
      </c>
      <c r="V16" s="404" t="n">
        <v>7985000</v>
      </c>
      <c r="W16" s="404" t="n">
        <v>7985000</v>
      </c>
      <c r="X16" s="404" t="n">
        <v>7985000</v>
      </c>
      <c r="Y16" s="404" t="n">
        <v>7985000</v>
      </c>
    </row>
    <row r="17" customFormat="false" ht="15" hidden="false" customHeight="false" outlineLevel="0" collapsed="false">
      <c r="A17" s="214" t="s">
        <v>1713</v>
      </c>
      <c r="B17" s="403" t="s">
        <v>3689</v>
      </c>
      <c r="C17" s="403" t="s">
        <v>3690</v>
      </c>
      <c r="D17" s="403" t="s">
        <v>3691</v>
      </c>
      <c r="E17" s="403" t="s">
        <v>468</v>
      </c>
      <c r="F17" s="403" t="s">
        <v>3684</v>
      </c>
      <c r="G17" s="403" t="s">
        <v>3685</v>
      </c>
      <c r="H17" s="403" t="s">
        <v>1979</v>
      </c>
      <c r="I17" s="214" t="s">
        <v>756</v>
      </c>
      <c r="J17" s="214" t="s">
        <v>1425</v>
      </c>
      <c r="K17" s="214" t="s">
        <v>3679</v>
      </c>
      <c r="L17" s="214" t="s">
        <v>3680</v>
      </c>
      <c r="M17" s="214" t="s">
        <v>1874</v>
      </c>
      <c r="N17" s="404" t="n">
        <v>6822000</v>
      </c>
      <c r="O17" s="404" t="n">
        <v>6822000</v>
      </c>
      <c r="P17" s="404" t="n">
        <v>6822000</v>
      </c>
      <c r="Q17" s="404" t="n">
        <v>6822000</v>
      </c>
      <c r="R17" s="404" t="n">
        <v>6822000</v>
      </c>
      <c r="S17" s="404" t="n">
        <v>6822000</v>
      </c>
      <c r="T17" s="404" t="n">
        <v>6822000</v>
      </c>
      <c r="U17" s="404" t="n">
        <v>6822000</v>
      </c>
      <c r="V17" s="404" t="n">
        <v>6822000</v>
      </c>
      <c r="W17" s="404" t="n">
        <v>6822000</v>
      </c>
      <c r="X17" s="404" t="n">
        <v>6822000</v>
      </c>
      <c r="Y17" s="404" t="n">
        <v>6822000</v>
      </c>
    </row>
    <row r="18" customFormat="false" ht="15" hidden="false" customHeight="false" outlineLevel="0" collapsed="false">
      <c r="A18" s="214" t="s">
        <v>1713</v>
      </c>
      <c r="B18" s="403" t="s">
        <v>3689</v>
      </c>
      <c r="C18" s="403" t="s">
        <v>3690</v>
      </c>
      <c r="D18" s="403" t="s">
        <v>3691</v>
      </c>
      <c r="E18" s="403" t="s">
        <v>2004</v>
      </c>
      <c r="F18" s="403" t="s">
        <v>3694</v>
      </c>
      <c r="G18" s="403" t="s">
        <v>3695</v>
      </c>
      <c r="H18" s="403" t="s">
        <v>3696</v>
      </c>
      <c r="I18" s="214" t="s">
        <v>2430</v>
      </c>
      <c r="J18" s="214" t="s">
        <v>1425</v>
      </c>
      <c r="K18" s="214" t="s">
        <v>3679</v>
      </c>
      <c r="L18" s="214" t="s">
        <v>3680</v>
      </c>
      <c r="M18" s="214" t="s">
        <v>1874</v>
      </c>
      <c r="N18" s="404" t="n">
        <v>15704.7715377184</v>
      </c>
      <c r="O18" s="404" t="n">
        <v>15704.7715377184</v>
      </c>
      <c r="P18" s="404" t="n">
        <v>15704.7715377184</v>
      </c>
      <c r="Q18" s="404" t="n">
        <v>15704.7715377184</v>
      </c>
      <c r="R18" s="404" t="n">
        <v>15704.7715377184</v>
      </c>
      <c r="S18" s="404" t="n">
        <v>15704.7715377184</v>
      </c>
      <c r="T18" s="404" t="n">
        <v>15704.7715377184</v>
      </c>
      <c r="U18" s="404" t="n">
        <v>15704.7715377184</v>
      </c>
      <c r="V18" s="404" t="n">
        <v>15704.7715377184</v>
      </c>
      <c r="W18" s="404" t="n">
        <v>15704.7715377184</v>
      </c>
      <c r="X18" s="404" t="n">
        <v>15704.7715377184</v>
      </c>
      <c r="Y18" s="404" t="n">
        <v>15704.7715377184</v>
      </c>
    </row>
    <row r="19" customFormat="false" ht="15" hidden="false" customHeight="false" outlineLevel="0" collapsed="false">
      <c r="A19" s="214" t="s">
        <v>1713</v>
      </c>
      <c r="B19" s="403" t="s">
        <v>3689</v>
      </c>
      <c r="C19" s="403" t="s">
        <v>3690</v>
      </c>
      <c r="D19" s="403" t="s">
        <v>3691</v>
      </c>
      <c r="E19" s="403" t="s">
        <v>2006</v>
      </c>
      <c r="F19" s="403" t="s">
        <v>3697</v>
      </c>
      <c r="G19" s="403" t="s">
        <v>3698</v>
      </c>
      <c r="H19" s="403" t="s">
        <v>3696</v>
      </c>
      <c r="I19" s="214" t="s">
        <v>2430</v>
      </c>
      <c r="J19" s="214" t="s">
        <v>1425</v>
      </c>
      <c r="K19" s="214" t="s">
        <v>3679</v>
      </c>
      <c r="L19" s="214" t="s">
        <v>3680</v>
      </c>
      <c r="M19" s="214" t="s">
        <v>1874</v>
      </c>
      <c r="N19" s="404" t="n">
        <v>997265.720056966</v>
      </c>
      <c r="O19" s="404" t="n">
        <v>997265.720056966</v>
      </c>
      <c r="P19" s="404" t="n">
        <v>997265.720056966</v>
      </c>
      <c r="Q19" s="404" t="n">
        <v>997265.720056966</v>
      </c>
      <c r="R19" s="404" t="n">
        <v>997265.720056966</v>
      </c>
      <c r="S19" s="404" t="n">
        <v>997265.720056966</v>
      </c>
      <c r="T19" s="404" t="n">
        <v>997265.720056966</v>
      </c>
      <c r="U19" s="404" t="n">
        <v>997265.720056966</v>
      </c>
      <c r="V19" s="404" t="n">
        <v>997265.720056966</v>
      </c>
      <c r="W19" s="404" t="n">
        <v>997265.720056966</v>
      </c>
      <c r="X19" s="404" t="n">
        <v>997265.720056966</v>
      </c>
      <c r="Y19" s="404" t="n">
        <v>997265.720056966</v>
      </c>
    </row>
    <row r="20" customFormat="false" ht="15" hidden="false" customHeight="false" outlineLevel="0" collapsed="false">
      <c r="A20" s="214" t="s">
        <v>1713</v>
      </c>
      <c r="B20" s="403" t="s">
        <v>3689</v>
      </c>
      <c r="C20" s="403" t="s">
        <v>3690</v>
      </c>
      <c r="D20" s="403" t="s">
        <v>3691</v>
      </c>
      <c r="E20" s="403" t="s">
        <v>2008</v>
      </c>
      <c r="F20" s="403" t="s">
        <v>3699</v>
      </c>
      <c r="G20" s="403" t="s">
        <v>3700</v>
      </c>
      <c r="H20" s="403" t="s">
        <v>3701</v>
      </c>
      <c r="I20" s="214" t="s">
        <v>3702</v>
      </c>
      <c r="J20" s="214" t="s">
        <v>1425</v>
      </c>
      <c r="K20" s="214" t="s">
        <v>3679</v>
      </c>
      <c r="L20" s="214" t="s">
        <v>3680</v>
      </c>
      <c r="M20" s="214" t="s">
        <v>1874</v>
      </c>
      <c r="N20" s="404" t="n">
        <v>16222.521126859</v>
      </c>
      <c r="O20" s="404" t="n">
        <v>16222.521126859</v>
      </c>
      <c r="P20" s="404" t="n">
        <v>16222.521126859</v>
      </c>
      <c r="Q20" s="404" t="n">
        <v>16222.521126859</v>
      </c>
      <c r="R20" s="404" t="n">
        <v>16222.521126859</v>
      </c>
      <c r="S20" s="404" t="n">
        <v>16222.521126859</v>
      </c>
      <c r="T20" s="404" t="n">
        <v>16222.521126859</v>
      </c>
      <c r="U20" s="404" t="n">
        <v>16222.521126859</v>
      </c>
      <c r="V20" s="404" t="n">
        <v>16222.521126859</v>
      </c>
      <c r="W20" s="404" t="n">
        <v>16222.521126859</v>
      </c>
      <c r="X20" s="404" t="n">
        <v>16222.521126859</v>
      </c>
      <c r="Y20" s="404" t="n">
        <v>16222.521126859</v>
      </c>
    </row>
    <row r="21" customFormat="false" ht="15" hidden="false" customHeight="false" outlineLevel="0" collapsed="false">
      <c r="A21" s="214" t="s">
        <v>1713</v>
      </c>
      <c r="B21" s="403" t="s">
        <v>3689</v>
      </c>
      <c r="C21" s="403" t="s">
        <v>3690</v>
      </c>
      <c r="D21" s="403" t="s">
        <v>3691</v>
      </c>
      <c r="E21" s="403" t="s">
        <v>2009</v>
      </c>
      <c r="F21" s="403" t="s">
        <v>3703</v>
      </c>
      <c r="G21" s="403" t="s">
        <v>3704</v>
      </c>
      <c r="H21" s="403" t="s">
        <v>1977</v>
      </c>
      <c r="I21" s="214" t="s">
        <v>474</v>
      </c>
      <c r="J21" s="214" t="s">
        <v>1425</v>
      </c>
      <c r="K21" s="214" t="s">
        <v>3679</v>
      </c>
      <c r="L21" s="214" t="s">
        <v>2480</v>
      </c>
      <c r="M21" s="214" t="s">
        <v>1874</v>
      </c>
      <c r="N21" s="404" t="n">
        <v>2919.8</v>
      </c>
      <c r="O21" s="404" t="n">
        <v>2919.8</v>
      </c>
      <c r="P21" s="404" t="n">
        <v>2919.8</v>
      </c>
      <c r="Q21" s="404" t="n">
        <v>2919.8</v>
      </c>
      <c r="R21" s="404" t="n">
        <v>2919.8</v>
      </c>
      <c r="S21" s="404" t="n">
        <v>2919.8</v>
      </c>
      <c r="T21" s="404" t="n">
        <v>2919.8</v>
      </c>
      <c r="U21" s="404" t="n">
        <v>2919.8</v>
      </c>
      <c r="V21" s="404" t="n">
        <v>2919.8</v>
      </c>
      <c r="W21" s="404" t="n">
        <v>2919.8</v>
      </c>
      <c r="X21" s="404" t="n">
        <v>2919.8</v>
      </c>
      <c r="Y21" s="404" t="n">
        <v>2919.8</v>
      </c>
    </row>
    <row r="22" customFormat="false" ht="15" hidden="false" customHeight="false" outlineLevel="0" collapsed="false">
      <c r="A22" s="214" t="s">
        <v>1713</v>
      </c>
      <c r="B22" s="403" t="s">
        <v>3689</v>
      </c>
      <c r="C22" s="403" t="s">
        <v>3690</v>
      </c>
      <c r="D22" s="403" t="s">
        <v>3691</v>
      </c>
      <c r="E22" s="403" t="s">
        <v>3705</v>
      </c>
      <c r="F22" s="403" t="s">
        <v>3706</v>
      </c>
      <c r="G22" s="403" t="s">
        <v>3707</v>
      </c>
      <c r="H22" s="403" t="s">
        <v>1991</v>
      </c>
      <c r="I22" s="214" t="s">
        <v>3708</v>
      </c>
      <c r="J22" s="214" t="s">
        <v>1425</v>
      </c>
      <c r="K22" s="214" t="s">
        <v>3679</v>
      </c>
      <c r="L22" s="214" t="s">
        <v>3680</v>
      </c>
      <c r="M22" s="214" t="s">
        <v>1874</v>
      </c>
      <c r="N22" s="404"/>
      <c r="O22" s="404"/>
      <c r="P22" s="404"/>
      <c r="Q22" s="404"/>
      <c r="R22" s="404"/>
      <c r="S22" s="404"/>
      <c r="T22" s="404"/>
      <c r="U22" s="404"/>
      <c r="V22" s="404"/>
      <c r="W22" s="404"/>
      <c r="X22" s="404"/>
      <c r="Y22" s="404" t="n">
        <v>9245832.05</v>
      </c>
    </row>
    <row r="23" customFormat="false" ht="15" hidden="false" customHeight="false" outlineLevel="0" collapsed="false">
      <c r="A23" s="214" t="s">
        <v>1713</v>
      </c>
      <c r="B23" s="403" t="s">
        <v>3689</v>
      </c>
      <c r="C23" s="403" t="s">
        <v>3690</v>
      </c>
      <c r="D23" s="403" t="s">
        <v>3691</v>
      </c>
      <c r="E23" s="403" t="s">
        <v>3709</v>
      </c>
      <c r="F23" s="403" t="s">
        <v>3710</v>
      </c>
      <c r="G23" s="403" t="s">
        <v>3711</v>
      </c>
      <c r="H23" s="403" t="s">
        <v>3712</v>
      </c>
      <c r="I23" s="214" t="s">
        <v>3713</v>
      </c>
      <c r="J23" s="214" t="s">
        <v>1425</v>
      </c>
      <c r="K23" s="214" t="s">
        <v>3679</v>
      </c>
      <c r="L23" s="214" t="s">
        <v>3680</v>
      </c>
      <c r="M23" s="214" t="s">
        <v>1874</v>
      </c>
      <c r="N23" s="404"/>
      <c r="O23" s="404"/>
      <c r="P23" s="404"/>
      <c r="Q23" s="404"/>
      <c r="R23" s="404"/>
      <c r="S23" s="404"/>
      <c r="T23" s="404"/>
      <c r="U23" s="404"/>
      <c r="V23" s="404"/>
      <c r="W23" s="404"/>
      <c r="X23" s="404"/>
      <c r="Y23" s="404" t="n">
        <v>11909885.7150865</v>
      </c>
    </row>
  </sheetData>
  <hyperlinks>
    <hyperlink ref="B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G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42"/>
    <col collapsed="false" customWidth="true" hidden="false" outlineLevel="0" max="2" min="2" style="0" width="19.42"/>
    <col collapsed="false" customWidth="true" hidden="false" outlineLevel="0" max="3" min="3" style="0" width="9.86"/>
    <col collapsed="false" customWidth="true" hidden="false" outlineLevel="0" max="4" min="4" style="0" width="24.71"/>
    <col collapsed="false" customWidth="true" hidden="false" outlineLevel="0" max="5" min="5" style="0" width="13.15"/>
    <col collapsed="false" customWidth="true" hidden="false" outlineLevel="0" max="6" min="6" style="0" width="17.57"/>
    <col collapsed="false" customWidth="true" hidden="false" outlineLevel="0" max="7" min="7" style="0" width="14.71"/>
    <col collapsed="false" customWidth="true" hidden="false" outlineLevel="0" max="8" min="8" style="0" width="19"/>
    <col collapsed="false" customWidth="true" hidden="false" outlineLevel="0" max="9" min="9" style="0" width="21.14"/>
    <col collapsed="false" customWidth="true" hidden="false" outlineLevel="0" max="10" min="10" style="0" width="9.42"/>
    <col collapsed="false" customWidth="true" hidden="false" outlineLevel="0" max="11" min="11" style="0" width="10.14"/>
    <col collapsed="false" customWidth="true" hidden="false" outlineLevel="0" max="12" min="12" style="0" width="8.86"/>
    <col collapsed="false" customWidth="true" hidden="false" outlineLevel="0" max="13" min="13" style="0" width="3.71"/>
    <col collapsed="false" customWidth="true" hidden="false" outlineLevel="0" max="25" min="25" style="0" width="4.86"/>
    <col collapsed="false" customWidth="true" hidden="false" outlineLevel="0" max="37" min="37" style="0" width="4"/>
    <col collapsed="false" customWidth="true" hidden="false" outlineLevel="0" max="49" min="49" style="0" width="3.15"/>
    <col collapsed="false" customWidth="true" hidden="false" outlineLevel="0" max="90" min="90" style="0" width="3.42"/>
  </cols>
  <sheetData>
    <row r="1" customFormat="false" ht="26.25" hidden="false" customHeight="true" outlineLevel="0" collapsed="false">
      <c r="A1" s="185" t="s">
        <v>1</v>
      </c>
      <c r="B1" s="204" t="s">
        <v>3714</v>
      </c>
      <c r="V1" s="126" t="s">
        <v>1705</v>
      </c>
    </row>
    <row r="3" customFormat="false" ht="15" hidden="false" customHeight="false" outlineLevel="0" collapsed="false">
      <c r="A3" s="218"/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405" t="s">
        <v>3715</v>
      </c>
      <c r="N3" s="405"/>
      <c r="O3" s="405"/>
      <c r="P3" s="405"/>
      <c r="Q3" s="405"/>
      <c r="R3" s="405"/>
      <c r="S3" s="405"/>
      <c r="T3" s="405"/>
      <c r="U3" s="405"/>
      <c r="V3" s="405"/>
      <c r="W3" s="405"/>
      <c r="X3" s="405"/>
      <c r="Y3" s="406" t="s">
        <v>3716</v>
      </c>
      <c r="Z3" s="406"/>
      <c r="AA3" s="406"/>
      <c r="AB3" s="406"/>
      <c r="AC3" s="406"/>
      <c r="AD3" s="406"/>
      <c r="AE3" s="406"/>
      <c r="AF3" s="406"/>
      <c r="AG3" s="406"/>
      <c r="AH3" s="406"/>
      <c r="AI3" s="406"/>
      <c r="AJ3" s="406"/>
      <c r="AK3" s="407" t="s">
        <v>1963</v>
      </c>
      <c r="AL3" s="407"/>
      <c r="AM3" s="407"/>
      <c r="AN3" s="407"/>
      <c r="AO3" s="407"/>
      <c r="AP3" s="407"/>
      <c r="AQ3" s="407"/>
      <c r="AR3" s="407"/>
      <c r="AS3" s="407"/>
      <c r="AT3" s="407"/>
      <c r="AU3" s="407"/>
      <c r="AV3" s="407"/>
      <c r="AW3" s="408" t="s">
        <v>448</v>
      </c>
      <c r="AX3" s="408"/>
      <c r="AY3" s="408"/>
      <c r="AZ3" s="408"/>
      <c r="BA3" s="408"/>
      <c r="BB3" s="408"/>
      <c r="BC3" s="408"/>
      <c r="BD3" s="408"/>
      <c r="BE3" s="408"/>
      <c r="BF3" s="408"/>
      <c r="BG3" s="408"/>
      <c r="BH3" s="408"/>
      <c r="BI3" s="409" t="s">
        <v>449</v>
      </c>
      <c r="BJ3" s="409"/>
      <c r="BK3" s="409"/>
      <c r="BL3" s="409"/>
      <c r="BM3" s="409"/>
      <c r="BN3" s="409"/>
      <c r="BO3" s="409"/>
      <c r="BP3" s="409"/>
      <c r="BQ3" s="409"/>
      <c r="BR3" s="409"/>
      <c r="BS3" s="409"/>
      <c r="BT3" s="409"/>
      <c r="BU3" s="410" t="s">
        <v>785</v>
      </c>
      <c r="BV3" s="410"/>
      <c r="BW3" s="410"/>
      <c r="BX3" s="410"/>
      <c r="BY3" s="410"/>
      <c r="BZ3" s="410"/>
      <c r="CA3" s="410"/>
      <c r="CB3" s="410"/>
      <c r="CC3" s="410"/>
      <c r="CD3" s="410"/>
      <c r="CE3" s="410"/>
      <c r="CF3" s="410"/>
      <c r="CG3" s="411" t="s">
        <v>1959</v>
      </c>
      <c r="CH3" s="411"/>
      <c r="CI3" s="411"/>
      <c r="CJ3" s="411"/>
      <c r="CK3" s="411"/>
      <c r="CL3" s="411"/>
      <c r="CM3" s="411"/>
      <c r="CN3" s="411"/>
      <c r="CO3" s="411"/>
      <c r="CP3" s="411"/>
      <c r="CQ3" s="411"/>
      <c r="CR3" s="411"/>
      <c r="CS3" s="412" t="s">
        <v>3717</v>
      </c>
      <c r="CT3" s="412"/>
      <c r="CU3" s="412"/>
      <c r="CV3" s="412"/>
      <c r="CW3" s="412"/>
      <c r="CX3" s="412"/>
      <c r="CY3" s="412"/>
      <c r="CZ3" s="412"/>
      <c r="DA3" s="412"/>
      <c r="DB3" s="412"/>
      <c r="DC3" s="412"/>
      <c r="DD3" s="412"/>
      <c r="DE3" s="413" t="s">
        <v>453</v>
      </c>
      <c r="DF3" s="413"/>
      <c r="DG3" s="413"/>
      <c r="DH3" s="413"/>
      <c r="DI3" s="413"/>
      <c r="DJ3" s="413"/>
      <c r="DK3" s="413"/>
      <c r="DL3" s="413"/>
      <c r="DM3" s="413"/>
      <c r="DN3" s="413"/>
      <c r="DO3" s="413"/>
      <c r="DP3" s="413"/>
      <c r="DQ3" s="414" t="s">
        <v>452</v>
      </c>
      <c r="DR3" s="414"/>
      <c r="DS3" s="414"/>
      <c r="DT3" s="414"/>
      <c r="DU3" s="414"/>
      <c r="DV3" s="414"/>
      <c r="DW3" s="414"/>
      <c r="DX3" s="414"/>
      <c r="DY3" s="414"/>
      <c r="DZ3" s="414"/>
      <c r="EA3" s="414"/>
      <c r="EB3" s="414"/>
      <c r="EC3" s="415" t="s">
        <v>3718</v>
      </c>
      <c r="ED3" s="415"/>
      <c r="EE3" s="415"/>
      <c r="EF3" s="415"/>
      <c r="EG3" s="415"/>
      <c r="EH3" s="415"/>
      <c r="EI3" s="415"/>
      <c r="EJ3" s="415"/>
      <c r="EK3" s="415"/>
      <c r="EL3" s="415"/>
      <c r="EM3" s="415"/>
      <c r="EN3" s="415"/>
      <c r="EO3" s="416" t="s">
        <v>3719</v>
      </c>
      <c r="EP3" s="416"/>
      <c r="EQ3" s="416"/>
      <c r="ER3" s="416"/>
      <c r="ES3" s="416"/>
      <c r="ET3" s="416"/>
      <c r="EU3" s="416"/>
      <c r="EV3" s="416"/>
      <c r="EW3" s="416"/>
      <c r="EX3" s="416"/>
      <c r="EY3" s="416"/>
      <c r="EZ3" s="416"/>
      <c r="FA3" s="417" t="s">
        <v>3720</v>
      </c>
      <c r="FB3" s="417"/>
      <c r="FC3" s="417"/>
      <c r="FD3" s="417"/>
      <c r="FE3" s="417"/>
      <c r="FF3" s="417"/>
      <c r="FG3" s="417"/>
      <c r="FH3" s="417"/>
      <c r="FI3" s="417"/>
      <c r="FJ3" s="417"/>
      <c r="FK3" s="417"/>
      <c r="FL3" s="417"/>
      <c r="FM3" s="418" t="s">
        <v>3721</v>
      </c>
      <c r="FN3" s="418"/>
      <c r="FO3" s="418"/>
      <c r="FP3" s="418"/>
      <c r="FQ3" s="418"/>
      <c r="FR3" s="418"/>
      <c r="FS3" s="418"/>
      <c r="FT3" s="418"/>
      <c r="FU3" s="418"/>
      <c r="FV3" s="418"/>
      <c r="FW3" s="418"/>
      <c r="FX3" s="418"/>
      <c r="FY3" s="403" t="s">
        <v>793</v>
      </c>
      <c r="FZ3" s="403"/>
      <c r="GA3" s="403"/>
      <c r="GB3" s="403"/>
      <c r="GC3" s="403"/>
      <c r="GD3" s="403"/>
      <c r="GE3" s="403"/>
      <c r="GF3" s="403"/>
      <c r="GG3" s="403"/>
      <c r="GH3" s="403"/>
      <c r="GI3" s="403"/>
      <c r="GJ3" s="403"/>
    </row>
    <row r="4" customFormat="false" ht="15.75" hidden="false" customHeight="true" outlineLevel="0" collapsed="false">
      <c r="A4" s="218"/>
      <c r="B4" s="214" t="s">
        <v>1719</v>
      </c>
      <c r="C4" s="214" t="s">
        <v>798</v>
      </c>
      <c r="D4" s="214" t="s">
        <v>3722</v>
      </c>
      <c r="E4" s="214" t="s">
        <v>3723</v>
      </c>
      <c r="F4" s="214" t="s">
        <v>1728</v>
      </c>
      <c r="G4" s="214" t="s">
        <v>1438</v>
      </c>
      <c r="H4" s="214" t="s">
        <v>1830</v>
      </c>
      <c r="I4" s="214" t="s">
        <v>1853</v>
      </c>
      <c r="J4" s="214" t="s">
        <v>3671</v>
      </c>
      <c r="K4" s="214" t="s">
        <v>1889</v>
      </c>
      <c r="L4" s="214" t="s">
        <v>1893</v>
      </c>
      <c r="M4" s="214" t="s">
        <v>1920</v>
      </c>
      <c r="N4" s="214" t="s">
        <v>1921</v>
      </c>
      <c r="O4" s="214" t="s">
        <v>1922</v>
      </c>
      <c r="P4" s="214" t="s">
        <v>1923</v>
      </c>
      <c r="Q4" s="214" t="s">
        <v>1924</v>
      </c>
      <c r="R4" s="214" t="s">
        <v>1925</v>
      </c>
      <c r="S4" s="214" t="s">
        <v>1926</v>
      </c>
      <c r="T4" s="214" t="s">
        <v>1927</v>
      </c>
      <c r="U4" s="214" t="s">
        <v>1928</v>
      </c>
      <c r="V4" s="214" t="s">
        <v>1929</v>
      </c>
      <c r="W4" s="214" t="s">
        <v>1930</v>
      </c>
      <c r="X4" s="214" t="s">
        <v>1931</v>
      </c>
      <c r="Y4" s="214" t="s">
        <v>1920</v>
      </c>
      <c r="Z4" s="214" t="s">
        <v>1921</v>
      </c>
      <c r="AA4" s="214" t="s">
        <v>1922</v>
      </c>
      <c r="AB4" s="214" t="s">
        <v>1923</v>
      </c>
      <c r="AC4" s="214" t="s">
        <v>1924</v>
      </c>
      <c r="AD4" s="214" t="s">
        <v>1925</v>
      </c>
      <c r="AE4" s="214" t="s">
        <v>1926</v>
      </c>
      <c r="AF4" s="214" t="s">
        <v>1927</v>
      </c>
      <c r="AG4" s="214" t="s">
        <v>1928</v>
      </c>
      <c r="AH4" s="214" t="s">
        <v>1929</v>
      </c>
      <c r="AI4" s="214" t="s">
        <v>1930</v>
      </c>
      <c r="AJ4" s="214" t="s">
        <v>1931</v>
      </c>
      <c r="AK4" s="214" t="s">
        <v>1920</v>
      </c>
      <c r="AL4" s="214" t="s">
        <v>1921</v>
      </c>
      <c r="AM4" s="214" t="s">
        <v>1922</v>
      </c>
      <c r="AN4" s="214" t="s">
        <v>1923</v>
      </c>
      <c r="AO4" s="214" t="s">
        <v>1924</v>
      </c>
      <c r="AP4" s="214" t="s">
        <v>1925</v>
      </c>
      <c r="AQ4" s="214" t="s">
        <v>1926</v>
      </c>
      <c r="AR4" s="214" t="s">
        <v>1927</v>
      </c>
      <c r="AS4" s="214" t="s">
        <v>1928</v>
      </c>
      <c r="AT4" s="214" t="s">
        <v>1929</v>
      </c>
      <c r="AU4" s="214" t="s">
        <v>1930</v>
      </c>
      <c r="AV4" s="214" t="s">
        <v>1931</v>
      </c>
      <c r="AW4" s="214" t="s">
        <v>1920</v>
      </c>
      <c r="AX4" s="214" t="s">
        <v>1921</v>
      </c>
      <c r="AY4" s="214" t="s">
        <v>1922</v>
      </c>
      <c r="AZ4" s="214" t="s">
        <v>1923</v>
      </c>
      <c r="BA4" s="214" t="s">
        <v>1924</v>
      </c>
      <c r="BB4" s="214" t="s">
        <v>1925</v>
      </c>
      <c r="BC4" s="214" t="s">
        <v>1926</v>
      </c>
      <c r="BD4" s="214" t="s">
        <v>1927</v>
      </c>
      <c r="BE4" s="214" t="s">
        <v>1928</v>
      </c>
      <c r="BF4" s="214" t="s">
        <v>1929</v>
      </c>
      <c r="BG4" s="214" t="s">
        <v>1930</v>
      </c>
      <c r="BH4" s="214" t="s">
        <v>1931</v>
      </c>
      <c r="BI4" s="214" t="s">
        <v>1920</v>
      </c>
      <c r="BJ4" s="214" t="s">
        <v>1921</v>
      </c>
      <c r="BK4" s="214" t="s">
        <v>1922</v>
      </c>
      <c r="BL4" s="214" t="s">
        <v>1923</v>
      </c>
      <c r="BM4" s="214" t="s">
        <v>1924</v>
      </c>
      <c r="BN4" s="214" t="s">
        <v>1925</v>
      </c>
      <c r="BO4" s="214" t="s">
        <v>1926</v>
      </c>
      <c r="BP4" s="214" t="s">
        <v>1927</v>
      </c>
      <c r="BQ4" s="214" t="s">
        <v>1928</v>
      </c>
      <c r="BR4" s="214" t="s">
        <v>1929</v>
      </c>
      <c r="BS4" s="214" t="s">
        <v>1930</v>
      </c>
      <c r="BT4" s="214" t="s">
        <v>1931</v>
      </c>
      <c r="BU4" s="214" t="s">
        <v>1920</v>
      </c>
      <c r="BV4" s="214" t="s">
        <v>1921</v>
      </c>
      <c r="BW4" s="214" t="s">
        <v>1922</v>
      </c>
      <c r="BX4" s="214" t="s">
        <v>1923</v>
      </c>
      <c r="BY4" s="214" t="s">
        <v>1924</v>
      </c>
      <c r="BZ4" s="214" t="s">
        <v>1925</v>
      </c>
      <c r="CA4" s="214" t="s">
        <v>1926</v>
      </c>
      <c r="CB4" s="214" t="s">
        <v>1927</v>
      </c>
      <c r="CC4" s="214" t="s">
        <v>1928</v>
      </c>
      <c r="CD4" s="214" t="s">
        <v>1929</v>
      </c>
      <c r="CE4" s="214" t="s">
        <v>1930</v>
      </c>
      <c r="CF4" s="214" t="s">
        <v>1931</v>
      </c>
      <c r="CG4" s="214" t="s">
        <v>1920</v>
      </c>
      <c r="CH4" s="214" t="s">
        <v>1921</v>
      </c>
      <c r="CI4" s="214" t="s">
        <v>1922</v>
      </c>
      <c r="CJ4" s="214" t="s">
        <v>1923</v>
      </c>
      <c r="CK4" s="214" t="s">
        <v>1924</v>
      </c>
      <c r="CL4" s="214" t="s">
        <v>1925</v>
      </c>
      <c r="CM4" s="214" t="s">
        <v>1926</v>
      </c>
      <c r="CN4" s="214" t="s">
        <v>1927</v>
      </c>
      <c r="CO4" s="214" t="s">
        <v>1928</v>
      </c>
      <c r="CP4" s="214" t="s">
        <v>1929</v>
      </c>
      <c r="CQ4" s="214" t="s">
        <v>1930</v>
      </c>
      <c r="CR4" s="214" t="s">
        <v>1931</v>
      </c>
      <c r="CS4" s="214" t="s">
        <v>1920</v>
      </c>
      <c r="CT4" s="214" t="s">
        <v>1921</v>
      </c>
      <c r="CU4" s="214" t="s">
        <v>1922</v>
      </c>
      <c r="CV4" s="214" t="s">
        <v>1923</v>
      </c>
      <c r="CW4" s="214" t="s">
        <v>1924</v>
      </c>
      <c r="CX4" s="214" t="s">
        <v>1925</v>
      </c>
      <c r="CY4" s="214" t="s">
        <v>1926</v>
      </c>
      <c r="CZ4" s="214" t="s">
        <v>1927</v>
      </c>
      <c r="DA4" s="214" t="s">
        <v>1928</v>
      </c>
      <c r="DB4" s="214" t="s">
        <v>1929</v>
      </c>
      <c r="DC4" s="214" t="s">
        <v>1930</v>
      </c>
      <c r="DD4" s="214" t="s">
        <v>1931</v>
      </c>
      <c r="DE4" s="214" t="s">
        <v>1920</v>
      </c>
      <c r="DF4" s="214" t="s">
        <v>1921</v>
      </c>
      <c r="DG4" s="214" t="s">
        <v>1922</v>
      </c>
      <c r="DH4" s="214" t="s">
        <v>1923</v>
      </c>
      <c r="DI4" s="214" t="s">
        <v>1924</v>
      </c>
      <c r="DJ4" s="214" t="s">
        <v>1925</v>
      </c>
      <c r="DK4" s="214" t="s">
        <v>1926</v>
      </c>
      <c r="DL4" s="214" t="s">
        <v>1927</v>
      </c>
      <c r="DM4" s="214" t="s">
        <v>1928</v>
      </c>
      <c r="DN4" s="214" t="s">
        <v>1929</v>
      </c>
      <c r="DO4" s="214" t="s">
        <v>1930</v>
      </c>
      <c r="DP4" s="214" t="s">
        <v>1931</v>
      </c>
      <c r="DQ4" s="214" t="s">
        <v>1920</v>
      </c>
      <c r="DR4" s="214" t="s">
        <v>1921</v>
      </c>
      <c r="DS4" s="214" t="s">
        <v>1922</v>
      </c>
      <c r="DT4" s="214" t="s">
        <v>1923</v>
      </c>
      <c r="DU4" s="214" t="s">
        <v>1924</v>
      </c>
      <c r="DV4" s="214" t="s">
        <v>1925</v>
      </c>
      <c r="DW4" s="214" t="s">
        <v>1926</v>
      </c>
      <c r="DX4" s="214" t="s">
        <v>1927</v>
      </c>
      <c r="DY4" s="214" t="s">
        <v>1928</v>
      </c>
      <c r="DZ4" s="214" t="s">
        <v>1929</v>
      </c>
      <c r="EA4" s="214" t="s">
        <v>1930</v>
      </c>
      <c r="EB4" s="214" t="s">
        <v>1931</v>
      </c>
      <c r="EC4" s="214" t="s">
        <v>1920</v>
      </c>
      <c r="ED4" s="214" t="s">
        <v>1921</v>
      </c>
      <c r="EE4" s="214" t="s">
        <v>1922</v>
      </c>
      <c r="EF4" s="214" t="s">
        <v>1923</v>
      </c>
      <c r="EG4" s="214" t="s">
        <v>1924</v>
      </c>
      <c r="EH4" s="214" t="s">
        <v>1925</v>
      </c>
      <c r="EI4" s="214" t="s">
        <v>1926</v>
      </c>
      <c r="EJ4" s="214" t="s">
        <v>1927</v>
      </c>
      <c r="EK4" s="214" t="s">
        <v>1928</v>
      </c>
      <c r="EL4" s="214" t="s">
        <v>1929</v>
      </c>
      <c r="EM4" s="214" t="s">
        <v>1930</v>
      </c>
      <c r="EN4" s="214" t="s">
        <v>1931</v>
      </c>
      <c r="EO4" s="214" t="s">
        <v>1920</v>
      </c>
      <c r="EP4" s="214" t="s">
        <v>1921</v>
      </c>
      <c r="EQ4" s="214" t="s">
        <v>1922</v>
      </c>
      <c r="ER4" s="214" t="s">
        <v>1923</v>
      </c>
      <c r="ES4" s="214" t="s">
        <v>1924</v>
      </c>
      <c r="ET4" s="214" t="s">
        <v>1925</v>
      </c>
      <c r="EU4" s="214" t="s">
        <v>1926</v>
      </c>
      <c r="EV4" s="214" t="s">
        <v>1927</v>
      </c>
      <c r="EW4" s="214" t="s">
        <v>1928</v>
      </c>
      <c r="EX4" s="214" t="s">
        <v>1929</v>
      </c>
      <c r="EY4" s="214" t="s">
        <v>1930</v>
      </c>
      <c r="EZ4" s="214" t="s">
        <v>1931</v>
      </c>
      <c r="FA4" s="214" t="s">
        <v>1920</v>
      </c>
      <c r="FB4" s="214" t="s">
        <v>1921</v>
      </c>
      <c r="FC4" s="214" t="s">
        <v>1922</v>
      </c>
      <c r="FD4" s="214" t="s">
        <v>1923</v>
      </c>
      <c r="FE4" s="214" t="s">
        <v>1924</v>
      </c>
      <c r="FF4" s="214" t="s">
        <v>1925</v>
      </c>
      <c r="FG4" s="214" t="s">
        <v>1926</v>
      </c>
      <c r="FH4" s="214" t="s">
        <v>1927</v>
      </c>
      <c r="FI4" s="214" t="s">
        <v>1928</v>
      </c>
      <c r="FJ4" s="214" t="s">
        <v>1929</v>
      </c>
      <c r="FK4" s="214" t="s">
        <v>1930</v>
      </c>
      <c r="FL4" s="214" t="s">
        <v>1931</v>
      </c>
      <c r="FM4" s="214" t="s">
        <v>1920</v>
      </c>
      <c r="FN4" s="214" t="s">
        <v>1921</v>
      </c>
      <c r="FO4" s="214" t="s">
        <v>1922</v>
      </c>
      <c r="FP4" s="214" t="s">
        <v>1923</v>
      </c>
      <c r="FQ4" s="214" t="s">
        <v>1924</v>
      </c>
      <c r="FR4" s="214" t="s">
        <v>1925</v>
      </c>
      <c r="FS4" s="214" t="s">
        <v>1926</v>
      </c>
      <c r="FT4" s="214" t="s">
        <v>1927</v>
      </c>
      <c r="FU4" s="214" t="s">
        <v>1928</v>
      </c>
      <c r="FV4" s="214" t="s">
        <v>1929</v>
      </c>
      <c r="FW4" s="214" t="s">
        <v>1930</v>
      </c>
      <c r="FX4" s="214" t="s">
        <v>1931</v>
      </c>
      <c r="FY4" s="214" t="s">
        <v>1920</v>
      </c>
      <c r="FZ4" s="214" t="s">
        <v>1921</v>
      </c>
      <c r="GA4" s="214" t="s">
        <v>1922</v>
      </c>
      <c r="GB4" s="214" t="s">
        <v>1923</v>
      </c>
      <c r="GC4" s="214" t="s">
        <v>1924</v>
      </c>
      <c r="GD4" s="214" t="s">
        <v>1925</v>
      </c>
      <c r="GE4" s="214" t="s">
        <v>1926</v>
      </c>
      <c r="GF4" s="214" t="s">
        <v>1927</v>
      </c>
      <c r="GG4" s="214" t="s">
        <v>1928</v>
      </c>
      <c r="GH4" s="214" t="s">
        <v>1929</v>
      </c>
      <c r="GI4" s="214" t="s">
        <v>1930</v>
      </c>
      <c r="GJ4" s="214" t="s">
        <v>1931</v>
      </c>
    </row>
    <row r="5" customFormat="false" ht="15" hidden="false" customHeight="false" outlineLevel="0" collapsed="false">
      <c r="A5" s="218"/>
      <c r="B5" s="214" t="s">
        <v>1425</v>
      </c>
      <c r="C5" s="214" t="s">
        <v>3724</v>
      </c>
      <c r="D5" s="214"/>
      <c r="E5" s="214" t="s">
        <v>3725</v>
      </c>
      <c r="F5" s="214" t="s">
        <v>1864</v>
      </c>
      <c r="G5" s="214" t="s">
        <v>1712</v>
      </c>
      <c r="H5" s="214" t="s">
        <v>1742</v>
      </c>
      <c r="I5" s="214" t="s">
        <v>1411</v>
      </c>
      <c r="J5" s="214" t="s">
        <v>3687</v>
      </c>
      <c r="K5" s="214" t="s">
        <v>3679</v>
      </c>
      <c r="L5" s="214" t="s">
        <v>1874</v>
      </c>
      <c r="M5" s="419" t="n">
        <v>1</v>
      </c>
      <c r="N5" s="419" t="n">
        <v>1</v>
      </c>
      <c r="O5" s="419" t="n">
        <v>1</v>
      </c>
      <c r="P5" s="419" t="n">
        <v>1</v>
      </c>
      <c r="Q5" s="419" t="n">
        <v>1</v>
      </c>
      <c r="R5" s="419" t="n">
        <v>1</v>
      </c>
      <c r="S5" s="419" t="n">
        <v>1</v>
      </c>
      <c r="T5" s="419" t="n">
        <v>1</v>
      </c>
      <c r="U5" s="419" t="n">
        <v>1</v>
      </c>
      <c r="V5" s="419" t="n">
        <v>1</v>
      </c>
      <c r="W5" s="419" t="n">
        <v>1</v>
      </c>
      <c r="X5" s="419" t="n">
        <v>1</v>
      </c>
      <c r="Y5" s="420" t="n">
        <v>0.991666666666667</v>
      </c>
      <c r="Z5" s="420" t="n">
        <v>0.991666666666667</v>
      </c>
      <c r="AA5" s="420" t="n">
        <v>0.991666666666667</v>
      </c>
      <c r="AB5" s="420" t="n">
        <v>0.991666666666667</v>
      </c>
      <c r="AC5" s="420" t="n">
        <v>0.991666666666667</v>
      </c>
      <c r="AD5" s="420" t="n">
        <v>0.991666666666667</v>
      </c>
      <c r="AE5" s="420" t="n">
        <v>0.991666666666667</v>
      </c>
      <c r="AF5" s="420" t="n">
        <v>0.991666666666667</v>
      </c>
      <c r="AG5" s="420" t="n">
        <v>0.991666666666667</v>
      </c>
      <c r="AH5" s="420" t="n">
        <v>0.991666666666667</v>
      </c>
      <c r="AI5" s="420" t="n">
        <v>0.991666666666667</v>
      </c>
      <c r="AJ5" s="420" t="n">
        <v>0.991666666666667</v>
      </c>
      <c r="AK5" s="421"/>
      <c r="AL5" s="421"/>
      <c r="AM5" s="421"/>
      <c r="AN5" s="421"/>
      <c r="AO5" s="421"/>
      <c r="AP5" s="421"/>
      <c r="AQ5" s="421"/>
      <c r="AR5" s="421"/>
      <c r="AS5" s="421"/>
      <c r="AT5" s="421"/>
      <c r="AU5" s="421"/>
      <c r="AV5" s="421"/>
      <c r="AW5" s="422"/>
      <c r="AX5" s="422"/>
      <c r="AY5" s="422"/>
      <c r="AZ5" s="422"/>
      <c r="BA5" s="422"/>
      <c r="BB5" s="422"/>
      <c r="BC5" s="422"/>
      <c r="BD5" s="422"/>
      <c r="BE5" s="422"/>
      <c r="BF5" s="422"/>
      <c r="BG5" s="422"/>
      <c r="BH5" s="422"/>
      <c r="BI5" s="423"/>
      <c r="BJ5" s="423"/>
      <c r="BK5" s="423"/>
      <c r="BL5" s="423"/>
      <c r="BM5" s="423"/>
      <c r="BN5" s="423"/>
      <c r="BO5" s="423"/>
      <c r="BP5" s="423"/>
      <c r="BQ5" s="423"/>
      <c r="BR5" s="423"/>
      <c r="BS5" s="423"/>
      <c r="BT5" s="423"/>
      <c r="BU5" s="424"/>
      <c r="BV5" s="424"/>
      <c r="BW5" s="424"/>
      <c r="BX5" s="424"/>
      <c r="BY5" s="424"/>
      <c r="BZ5" s="424"/>
      <c r="CA5" s="424"/>
      <c r="CB5" s="424"/>
      <c r="CC5" s="424"/>
      <c r="CD5" s="424"/>
      <c r="CE5" s="424"/>
      <c r="CF5" s="424"/>
      <c r="CG5" s="425"/>
      <c r="CH5" s="425"/>
      <c r="CI5" s="425"/>
      <c r="CJ5" s="425"/>
      <c r="CK5" s="425"/>
      <c r="CL5" s="425"/>
      <c r="CM5" s="425"/>
      <c r="CN5" s="425"/>
      <c r="CO5" s="425"/>
      <c r="CP5" s="425"/>
      <c r="CQ5" s="425"/>
      <c r="CR5" s="425"/>
      <c r="CS5" s="426"/>
      <c r="CT5" s="426"/>
      <c r="CU5" s="426"/>
      <c r="CV5" s="426"/>
      <c r="CW5" s="426"/>
      <c r="CX5" s="426"/>
      <c r="CY5" s="426"/>
      <c r="CZ5" s="426"/>
      <c r="DA5" s="426"/>
      <c r="DB5" s="426"/>
      <c r="DC5" s="426"/>
      <c r="DD5" s="426"/>
      <c r="DE5" s="427"/>
      <c r="DF5" s="427"/>
      <c r="DG5" s="427"/>
      <c r="DH5" s="427"/>
      <c r="DI5" s="427"/>
      <c r="DJ5" s="427"/>
      <c r="DK5" s="427"/>
      <c r="DL5" s="427"/>
      <c r="DM5" s="427"/>
      <c r="DN5" s="427"/>
      <c r="DO5" s="427"/>
      <c r="DP5" s="427"/>
      <c r="DQ5" s="428"/>
      <c r="DR5" s="428"/>
      <c r="DS5" s="428"/>
      <c r="DT5" s="428"/>
      <c r="DU5" s="428"/>
      <c r="DV5" s="428"/>
      <c r="DW5" s="428"/>
      <c r="DX5" s="428"/>
      <c r="DY5" s="428"/>
      <c r="DZ5" s="428"/>
      <c r="EA5" s="428"/>
      <c r="EB5" s="428"/>
      <c r="EC5" s="429"/>
      <c r="ED5" s="429"/>
      <c r="EE5" s="429"/>
      <c r="EF5" s="429"/>
      <c r="EG5" s="429"/>
      <c r="EH5" s="429"/>
      <c r="EI5" s="429"/>
      <c r="EJ5" s="429"/>
      <c r="EK5" s="429"/>
      <c r="EL5" s="429"/>
      <c r="EM5" s="429"/>
      <c r="EN5" s="429"/>
      <c r="EO5" s="430"/>
      <c r="EP5" s="430"/>
      <c r="EQ5" s="430"/>
      <c r="ER5" s="430"/>
      <c r="ES5" s="430"/>
      <c r="ET5" s="430"/>
      <c r="EU5" s="430"/>
      <c r="EV5" s="430"/>
      <c r="EW5" s="430"/>
      <c r="EX5" s="430"/>
      <c r="EY5" s="430"/>
      <c r="EZ5" s="430"/>
      <c r="FA5" s="431"/>
      <c r="FB5" s="431"/>
      <c r="FC5" s="431"/>
      <c r="FD5" s="431"/>
      <c r="FE5" s="431"/>
      <c r="FF5" s="431"/>
      <c r="FG5" s="431"/>
      <c r="FH5" s="431"/>
      <c r="FI5" s="431"/>
      <c r="FJ5" s="431"/>
      <c r="FK5" s="431"/>
      <c r="FL5" s="431"/>
      <c r="FM5" s="432"/>
      <c r="FN5" s="432"/>
      <c r="FO5" s="432"/>
      <c r="FP5" s="432"/>
      <c r="FQ5" s="432"/>
      <c r="FR5" s="432"/>
      <c r="FS5" s="432"/>
      <c r="FT5" s="432"/>
      <c r="FU5" s="432"/>
      <c r="FV5" s="432"/>
      <c r="FW5" s="432"/>
      <c r="FX5" s="432"/>
      <c r="FY5" s="433"/>
      <c r="FZ5" s="433"/>
      <c r="GA5" s="433"/>
      <c r="GB5" s="433"/>
      <c r="GC5" s="433"/>
      <c r="GD5" s="433"/>
      <c r="GE5" s="433"/>
      <c r="GF5" s="433"/>
      <c r="GG5" s="433"/>
      <c r="GH5" s="433"/>
      <c r="GI5" s="433"/>
      <c r="GJ5" s="433"/>
    </row>
    <row r="6" customFormat="false" ht="15" hidden="false" customHeight="false" outlineLevel="0" collapsed="false">
      <c r="A6" s="218"/>
      <c r="B6" s="214" t="s">
        <v>1425</v>
      </c>
      <c r="C6" s="214" t="s">
        <v>3724</v>
      </c>
      <c r="D6" s="214"/>
      <c r="E6" s="214" t="s">
        <v>3725</v>
      </c>
      <c r="F6" s="214" t="s">
        <v>1864</v>
      </c>
      <c r="G6" s="214" t="s">
        <v>1712</v>
      </c>
      <c r="H6" s="214" t="s">
        <v>1743</v>
      </c>
      <c r="I6" s="214" t="s">
        <v>1411</v>
      </c>
      <c r="J6" s="214" t="s">
        <v>3687</v>
      </c>
      <c r="K6" s="214" t="s">
        <v>3679</v>
      </c>
      <c r="L6" s="214" t="s">
        <v>1874</v>
      </c>
      <c r="M6" s="419" t="n">
        <v>0</v>
      </c>
      <c r="N6" s="419" t="n">
        <v>0</v>
      </c>
      <c r="O6" s="419" t="n">
        <v>0</v>
      </c>
      <c r="P6" s="419" t="n">
        <v>0</v>
      </c>
      <c r="Q6" s="419" t="n">
        <v>0</v>
      </c>
      <c r="R6" s="419" t="n">
        <v>0</v>
      </c>
      <c r="S6" s="419" t="n">
        <v>0</v>
      </c>
      <c r="T6" s="419" t="n">
        <v>0</v>
      </c>
      <c r="U6" s="419" t="n">
        <v>0</v>
      </c>
      <c r="V6" s="419" t="n">
        <v>0</v>
      </c>
      <c r="W6" s="419" t="n">
        <v>0</v>
      </c>
      <c r="X6" s="419" t="n">
        <v>0</v>
      </c>
      <c r="Y6" s="420" t="n">
        <v>0.00833333333333333</v>
      </c>
      <c r="Z6" s="420" t="n">
        <v>0.00833333333333333</v>
      </c>
      <c r="AA6" s="420" t="n">
        <v>0.00833333333333333</v>
      </c>
      <c r="AB6" s="420" t="n">
        <v>0.00833333333333333</v>
      </c>
      <c r="AC6" s="420" t="n">
        <v>0.00833333333333333</v>
      </c>
      <c r="AD6" s="420" t="n">
        <v>0.00833333333333333</v>
      </c>
      <c r="AE6" s="420" t="n">
        <v>0.00833333333333333</v>
      </c>
      <c r="AF6" s="420" t="n">
        <v>0.00833333333333333</v>
      </c>
      <c r="AG6" s="420" t="n">
        <v>0.00833333333333333</v>
      </c>
      <c r="AH6" s="420" t="n">
        <v>0.00833333333333333</v>
      </c>
      <c r="AI6" s="420" t="n">
        <v>0.00833333333333333</v>
      </c>
      <c r="AJ6" s="420" t="n">
        <v>0.00833333333333333</v>
      </c>
      <c r="AK6" s="421"/>
      <c r="AL6" s="421"/>
      <c r="AM6" s="421"/>
      <c r="AN6" s="421"/>
      <c r="AO6" s="421"/>
      <c r="AP6" s="421"/>
      <c r="AQ6" s="421"/>
      <c r="AR6" s="421"/>
      <c r="AS6" s="421"/>
      <c r="AT6" s="421"/>
      <c r="AU6" s="421"/>
      <c r="AV6" s="421"/>
      <c r="AW6" s="422"/>
      <c r="AX6" s="422"/>
      <c r="AY6" s="422"/>
      <c r="AZ6" s="422"/>
      <c r="BA6" s="422"/>
      <c r="BB6" s="422"/>
      <c r="BC6" s="422"/>
      <c r="BD6" s="422"/>
      <c r="BE6" s="422"/>
      <c r="BF6" s="422"/>
      <c r="BG6" s="422"/>
      <c r="BH6" s="422"/>
      <c r="BI6" s="423"/>
      <c r="BJ6" s="423"/>
      <c r="BK6" s="423"/>
      <c r="BL6" s="423"/>
      <c r="BM6" s="423"/>
      <c r="BN6" s="423"/>
      <c r="BO6" s="423"/>
      <c r="BP6" s="423"/>
      <c r="BQ6" s="423"/>
      <c r="BR6" s="423"/>
      <c r="BS6" s="423"/>
      <c r="BT6" s="423"/>
      <c r="BU6" s="424"/>
      <c r="BV6" s="424"/>
      <c r="BW6" s="424"/>
      <c r="BX6" s="424"/>
      <c r="BY6" s="424"/>
      <c r="BZ6" s="424"/>
      <c r="CA6" s="424"/>
      <c r="CB6" s="424"/>
      <c r="CC6" s="424"/>
      <c r="CD6" s="424"/>
      <c r="CE6" s="424"/>
      <c r="CF6" s="424"/>
      <c r="CG6" s="425"/>
      <c r="CH6" s="425"/>
      <c r="CI6" s="425"/>
      <c r="CJ6" s="425"/>
      <c r="CK6" s="425"/>
      <c r="CL6" s="425"/>
      <c r="CM6" s="425"/>
      <c r="CN6" s="425"/>
      <c r="CO6" s="425"/>
      <c r="CP6" s="425"/>
      <c r="CQ6" s="425"/>
      <c r="CR6" s="425"/>
      <c r="CS6" s="426"/>
      <c r="CT6" s="426"/>
      <c r="CU6" s="426"/>
      <c r="CV6" s="426"/>
      <c r="CW6" s="426"/>
      <c r="CX6" s="426"/>
      <c r="CY6" s="426"/>
      <c r="CZ6" s="426"/>
      <c r="DA6" s="426"/>
      <c r="DB6" s="426"/>
      <c r="DC6" s="426"/>
      <c r="DD6" s="426"/>
      <c r="DE6" s="427"/>
      <c r="DF6" s="427"/>
      <c r="DG6" s="427"/>
      <c r="DH6" s="427"/>
      <c r="DI6" s="427"/>
      <c r="DJ6" s="427"/>
      <c r="DK6" s="427"/>
      <c r="DL6" s="427"/>
      <c r="DM6" s="427"/>
      <c r="DN6" s="427"/>
      <c r="DO6" s="427"/>
      <c r="DP6" s="427"/>
      <c r="DQ6" s="428"/>
      <c r="DR6" s="428"/>
      <c r="DS6" s="428"/>
      <c r="DT6" s="428"/>
      <c r="DU6" s="428"/>
      <c r="DV6" s="428"/>
      <c r="DW6" s="428"/>
      <c r="DX6" s="428"/>
      <c r="DY6" s="428"/>
      <c r="DZ6" s="428"/>
      <c r="EA6" s="428"/>
      <c r="EB6" s="428"/>
      <c r="EC6" s="429"/>
      <c r="ED6" s="429"/>
      <c r="EE6" s="429"/>
      <c r="EF6" s="429"/>
      <c r="EG6" s="429"/>
      <c r="EH6" s="429"/>
      <c r="EI6" s="429"/>
      <c r="EJ6" s="429"/>
      <c r="EK6" s="429"/>
      <c r="EL6" s="429"/>
      <c r="EM6" s="429"/>
      <c r="EN6" s="429"/>
      <c r="EO6" s="430"/>
      <c r="EP6" s="430"/>
      <c r="EQ6" s="430"/>
      <c r="ER6" s="430"/>
      <c r="ES6" s="430"/>
      <c r="ET6" s="430"/>
      <c r="EU6" s="430"/>
      <c r="EV6" s="430"/>
      <c r="EW6" s="430"/>
      <c r="EX6" s="430"/>
      <c r="EY6" s="430"/>
      <c r="EZ6" s="430"/>
      <c r="FA6" s="431"/>
      <c r="FB6" s="431"/>
      <c r="FC6" s="431"/>
      <c r="FD6" s="431"/>
      <c r="FE6" s="431"/>
      <c r="FF6" s="431"/>
      <c r="FG6" s="431"/>
      <c r="FH6" s="431"/>
      <c r="FI6" s="431"/>
      <c r="FJ6" s="431"/>
      <c r="FK6" s="431"/>
      <c r="FL6" s="431"/>
      <c r="FM6" s="432"/>
      <c r="FN6" s="432"/>
      <c r="FO6" s="432"/>
      <c r="FP6" s="432"/>
      <c r="FQ6" s="432"/>
      <c r="FR6" s="432"/>
      <c r="FS6" s="432"/>
      <c r="FT6" s="432"/>
      <c r="FU6" s="432"/>
      <c r="FV6" s="432"/>
      <c r="FW6" s="432"/>
      <c r="FX6" s="432"/>
      <c r="FY6" s="433"/>
      <c r="FZ6" s="433"/>
      <c r="GA6" s="433"/>
      <c r="GB6" s="433"/>
      <c r="GC6" s="433"/>
      <c r="GD6" s="433"/>
      <c r="GE6" s="433"/>
      <c r="GF6" s="433"/>
      <c r="GG6" s="433"/>
      <c r="GH6" s="433"/>
      <c r="GI6" s="433"/>
      <c r="GJ6" s="433"/>
    </row>
    <row r="7" customFormat="false" ht="15" hidden="false" customHeight="false" outlineLevel="0" collapsed="false">
      <c r="B7" s="214" t="s">
        <v>1425</v>
      </c>
      <c r="C7" s="214" t="s">
        <v>3726</v>
      </c>
      <c r="D7" s="214"/>
      <c r="E7" s="214" t="s">
        <v>3727</v>
      </c>
      <c r="F7" s="214" t="s">
        <v>1861</v>
      </c>
      <c r="G7" s="214" t="s">
        <v>1712</v>
      </c>
      <c r="H7" s="214" t="s">
        <v>1744</v>
      </c>
      <c r="I7" s="214" t="s">
        <v>615</v>
      </c>
      <c r="J7" s="214" t="s">
        <v>476</v>
      </c>
      <c r="K7" s="214" t="s">
        <v>3679</v>
      </c>
      <c r="L7" s="214" t="s">
        <v>1874</v>
      </c>
      <c r="M7" s="419" t="n">
        <v>1</v>
      </c>
      <c r="N7" s="419" t="n">
        <v>1</v>
      </c>
      <c r="O7" s="419" t="n">
        <v>1</v>
      </c>
      <c r="P7" s="419" t="n">
        <v>1</v>
      </c>
      <c r="Q7" s="419" t="n">
        <v>1</v>
      </c>
      <c r="R7" s="419" t="n">
        <v>1</v>
      </c>
      <c r="S7" s="419" t="n">
        <v>1</v>
      </c>
      <c r="T7" s="419" t="n">
        <v>1</v>
      </c>
      <c r="U7" s="419" t="n">
        <v>1</v>
      </c>
      <c r="V7" s="419" t="n">
        <v>1</v>
      </c>
      <c r="W7" s="419" t="n">
        <v>1</v>
      </c>
      <c r="X7" s="419" t="n">
        <v>1</v>
      </c>
      <c r="Y7" s="420" t="n">
        <v>1</v>
      </c>
      <c r="Z7" s="420" t="n">
        <v>1</v>
      </c>
      <c r="AA7" s="420" t="n">
        <v>1</v>
      </c>
      <c r="AB7" s="420" t="n">
        <v>1</v>
      </c>
      <c r="AC7" s="420" t="n">
        <v>1</v>
      </c>
      <c r="AD7" s="420" t="n">
        <v>1</v>
      </c>
      <c r="AE7" s="420" t="n">
        <v>1</v>
      </c>
      <c r="AF7" s="420" t="n">
        <v>1</v>
      </c>
      <c r="AG7" s="420" t="n">
        <v>1</v>
      </c>
      <c r="AH7" s="420" t="n">
        <v>1</v>
      </c>
      <c r="AI7" s="420" t="n">
        <v>1</v>
      </c>
      <c r="AJ7" s="420" t="n">
        <v>1</v>
      </c>
      <c r="AK7" s="421"/>
      <c r="AL7" s="421"/>
      <c r="AM7" s="421"/>
      <c r="AN7" s="421"/>
      <c r="AO7" s="421"/>
      <c r="AP7" s="421"/>
      <c r="AQ7" s="421"/>
      <c r="AR7" s="421"/>
      <c r="AS7" s="421"/>
      <c r="AT7" s="421"/>
      <c r="AU7" s="421"/>
      <c r="AV7" s="421"/>
      <c r="AW7" s="422"/>
      <c r="AX7" s="422"/>
      <c r="AY7" s="422"/>
      <c r="AZ7" s="422"/>
      <c r="BA7" s="422"/>
      <c r="BB7" s="422"/>
      <c r="BC7" s="422"/>
      <c r="BD7" s="422"/>
      <c r="BE7" s="422"/>
      <c r="BF7" s="422"/>
      <c r="BG7" s="422"/>
      <c r="BH7" s="422"/>
      <c r="BI7" s="423"/>
      <c r="BJ7" s="423"/>
      <c r="BK7" s="423"/>
      <c r="BL7" s="423"/>
      <c r="BM7" s="423"/>
      <c r="BN7" s="423"/>
      <c r="BO7" s="423"/>
      <c r="BP7" s="423"/>
      <c r="BQ7" s="423"/>
      <c r="BR7" s="423"/>
      <c r="BS7" s="423"/>
      <c r="BT7" s="423"/>
      <c r="BU7" s="424"/>
      <c r="BV7" s="424"/>
      <c r="BW7" s="424"/>
      <c r="BX7" s="424"/>
      <c r="BY7" s="424"/>
      <c r="BZ7" s="424"/>
      <c r="CA7" s="424"/>
      <c r="CB7" s="424"/>
      <c r="CC7" s="424"/>
      <c r="CD7" s="424"/>
      <c r="CE7" s="424"/>
      <c r="CF7" s="424"/>
      <c r="CG7" s="425"/>
      <c r="CH7" s="425"/>
      <c r="CI7" s="425"/>
      <c r="CJ7" s="425"/>
      <c r="CK7" s="425"/>
      <c r="CL7" s="425"/>
      <c r="CM7" s="425"/>
      <c r="CN7" s="425"/>
      <c r="CO7" s="425"/>
      <c r="CP7" s="425"/>
      <c r="CQ7" s="425"/>
      <c r="CR7" s="425"/>
      <c r="CS7" s="426"/>
      <c r="CT7" s="426"/>
      <c r="CU7" s="426"/>
      <c r="CV7" s="426"/>
      <c r="CW7" s="426"/>
      <c r="CX7" s="426"/>
      <c r="CY7" s="426"/>
      <c r="CZ7" s="426"/>
      <c r="DA7" s="426"/>
      <c r="DB7" s="426"/>
      <c r="DC7" s="426"/>
      <c r="DD7" s="426"/>
      <c r="DE7" s="427"/>
      <c r="DF7" s="427"/>
      <c r="DG7" s="427"/>
      <c r="DH7" s="427"/>
      <c r="DI7" s="427"/>
      <c r="DJ7" s="427"/>
      <c r="DK7" s="427"/>
      <c r="DL7" s="427"/>
      <c r="DM7" s="427"/>
      <c r="DN7" s="427"/>
      <c r="DO7" s="427"/>
      <c r="DP7" s="427"/>
      <c r="DQ7" s="428"/>
      <c r="DR7" s="428"/>
      <c r="DS7" s="428"/>
      <c r="DT7" s="428"/>
      <c r="DU7" s="428"/>
      <c r="DV7" s="428"/>
      <c r="DW7" s="428"/>
      <c r="DX7" s="428"/>
      <c r="DY7" s="428"/>
      <c r="DZ7" s="428"/>
      <c r="EA7" s="428"/>
      <c r="EB7" s="428"/>
      <c r="EC7" s="429"/>
      <c r="ED7" s="429"/>
      <c r="EE7" s="429"/>
      <c r="EF7" s="429"/>
      <c r="EG7" s="429"/>
      <c r="EH7" s="429"/>
      <c r="EI7" s="429"/>
      <c r="EJ7" s="429"/>
      <c r="EK7" s="429"/>
      <c r="EL7" s="429"/>
      <c r="EM7" s="429"/>
      <c r="EN7" s="429"/>
      <c r="EO7" s="430"/>
      <c r="EP7" s="430"/>
      <c r="EQ7" s="430"/>
      <c r="ER7" s="430"/>
      <c r="ES7" s="430"/>
      <c r="ET7" s="430"/>
      <c r="EU7" s="430"/>
      <c r="EV7" s="430"/>
      <c r="EW7" s="430"/>
      <c r="EX7" s="430"/>
      <c r="EY7" s="430"/>
      <c r="EZ7" s="430"/>
      <c r="FA7" s="431"/>
      <c r="FB7" s="431"/>
      <c r="FC7" s="431"/>
      <c r="FD7" s="431"/>
      <c r="FE7" s="431"/>
      <c r="FF7" s="431"/>
      <c r="FG7" s="431"/>
      <c r="FH7" s="431"/>
      <c r="FI7" s="431"/>
      <c r="FJ7" s="431"/>
      <c r="FK7" s="431"/>
      <c r="FL7" s="431"/>
      <c r="FM7" s="432"/>
      <c r="FN7" s="432"/>
      <c r="FO7" s="432"/>
      <c r="FP7" s="432"/>
      <c r="FQ7" s="432"/>
      <c r="FR7" s="432"/>
      <c r="FS7" s="432"/>
      <c r="FT7" s="432"/>
      <c r="FU7" s="432"/>
      <c r="FV7" s="432"/>
      <c r="FW7" s="432"/>
      <c r="FX7" s="432"/>
      <c r="FY7" s="433"/>
      <c r="FZ7" s="433"/>
      <c r="GA7" s="433"/>
      <c r="GB7" s="433"/>
      <c r="GC7" s="433"/>
      <c r="GD7" s="433"/>
      <c r="GE7" s="433"/>
      <c r="GF7" s="433"/>
      <c r="GG7" s="433"/>
      <c r="GH7" s="433"/>
      <c r="GI7" s="433"/>
      <c r="GJ7" s="433"/>
    </row>
    <row r="8" customFormat="false" ht="15" hidden="false" customHeight="false" outlineLevel="0" collapsed="false">
      <c r="B8" s="214" t="s">
        <v>1425</v>
      </c>
      <c r="C8" s="214" t="s">
        <v>3728</v>
      </c>
      <c r="D8" s="214"/>
      <c r="E8" s="214" t="s">
        <v>3729</v>
      </c>
      <c r="F8" s="214" t="s">
        <v>1861</v>
      </c>
      <c r="G8" s="214" t="s">
        <v>1712</v>
      </c>
      <c r="H8" s="214" t="s">
        <v>1745</v>
      </c>
      <c r="I8" s="214" t="s">
        <v>1859</v>
      </c>
      <c r="J8" s="214" t="s">
        <v>467</v>
      </c>
      <c r="K8" s="214" t="s">
        <v>3679</v>
      </c>
      <c r="L8" s="214" t="s">
        <v>1874</v>
      </c>
      <c r="M8" s="419" t="n">
        <v>1</v>
      </c>
      <c r="N8" s="419" t="n">
        <v>1</v>
      </c>
      <c r="O8" s="419" t="n">
        <v>1</v>
      </c>
      <c r="P8" s="419" t="n">
        <v>1</v>
      </c>
      <c r="Q8" s="419" t="n">
        <v>1</v>
      </c>
      <c r="R8" s="419" t="n">
        <v>1</v>
      </c>
      <c r="S8" s="419" t="n">
        <v>1</v>
      </c>
      <c r="T8" s="419" t="n">
        <v>1</v>
      </c>
      <c r="U8" s="419" t="n">
        <v>1</v>
      </c>
      <c r="V8" s="419" t="n">
        <v>1</v>
      </c>
      <c r="W8" s="419" t="n">
        <v>1</v>
      </c>
      <c r="X8" s="419" t="n">
        <v>1</v>
      </c>
      <c r="Y8" s="420" t="n">
        <v>0.6</v>
      </c>
      <c r="Z8" s="420" t="n">
        <v>0.6</v>
      </c>
      <c r="AA8" s="420" t="n">
        <v>0.6</v>
      </c>
      <c r="AB8" s="420" t="n">
        <v>0.6</v>
      </c>
      <c r="AC8" s="420" t="n">
        <v>0.6</v>
      </c>
      <c r="AD8" s="420" t="n">
        <v>0.6</v>
      </c>
      <c r="AE8" s="420" t="n">
        <v>0.6</v>
      </c>
      <c r="AF8" s="420" t="n">
        <v>0.6</v>
      </c>
      <c r="AG8" s="420" t="n">
        <v>0.6</v>
      </c>
      <c r="AH8" s="420" t="n">
        <v>0.6</v>
      </c>
      <c r="AI8" s="420" t="n">
        <v>0.6</v>
      </c>
      <c r="AJ8" s="420" t="n">
        <v>0.6</v>
      </c>
      <c r="AK8" s="421"/>
      <c r="AL8" s="421"/>
      <c r="AM8" s="421"/>
      <c r="AN8" s="421"/>
      <c r="AO8" s="421"/>
      <c r="AP8" s="421"/>
      <c r="AQ8" s="421"/>
      <c r="AR8" s="421"/>
      <c r="AS8" s="421"/>
      <c r="AT8" s="421"/>
      <c r="AU8" s="421"/>
      <c r="AV8" s="421"/>
      <c r="AW8" s="422"/>
      <c r="AX8" s="422"/>
      <c r="AY8" s="422"/>
      <c r="AZ8" s="422"/>
      <c r="BA8" s="422"/>
      <c r="BB8" s="422"/>
      <c r="BC8" s="422"/>
      <c r="BD8" s="422"/>
      <c r="BE8" s="422"/>
      <c r="BF8" s="422"/>
      <c r="BG8" s="422"/>
      <c r="BH8" s="422"/>
      <c r="BI8" s="423"/>
      <c r="BJ8" s="423"/>
      <c r="BK8" s="423"/>
      <c r="BL8" s="423"/>
      <c r="BM8" s="423"/>
      <c r="BN8" s="423"/>
      <c r="BO8" s="423"/>
      <c r="BP8" s="423"/>
      <c r="BQ8" s="423"/>
      <c r="BR8" s="423"/>
      <c r="BS8" s="423"/>
      <c r="BT8" s="423"/>
      <c r="BU8" s="424"/>
      <c r="BV8" s="424"/>
      <c r="BW8" s="424"/>
      <c r="BX8" s="424"/>
      <c r="BY8" s="424"/>
      <c r="BZ8" s="424"/>
      <c r="CA8" s="424"/>
      <c r="CB8" s="424"/>
      <c r="CC8" s="424"/>
      <c r="CD8" s="424"/>
      <c r="CE8" s="424"/>
      <c r="CF8" s="424"/>
      <c r="CG8" s="425"/>
      <c r="CH8" s="425"/>
      <c r="CI8" s="425"/>
      <c r="CJ8" s="425"/>
      <c r="CK8" s="425"/>
      <c r="CL8" s="425"/>
      <c r="CM8" s="425"/>
      <c r="CN8" s="425"/>
      <c r="CO8" s="425"/>
      <c r="CP8" s="425"/>
      <c r="CQ8" s="425"/>
      <c r="CR8" s="425"/>
      <c r="CS8" s="426"/>
      <c r="CT8" s="426"/>
      <c r="CU8" s="426"/>
      <c r="CV8" s="426"/>
      <c r="CW8" s="426"/>
      <c r="CX8" s="426"/>
      <c r="CY8" s="426"/>
      <c r="CZ8" s="426"/>
      <c r="DA8" s="426"/>
      <c r="DB8" s="426"/>
      <c r="DC8" s="426"/>
      <c r="DD8" s="426"/>
      <c r="DE8" s="427"/>
      <c r="DF8" s="427"/>
      <c r="DG8" s="427"/>
      <c r="DH8" s="427"/>
      <c r="DI8" s="427"/>
      <c r="DJ8" s="427"/>
      <c r="DK8" s="427"/>
      <c r="DL8" s="427"/>
      <c r="DM8" s="427"/>
      <c r="DN8" s="427"/>
      <c r="DO8" s="427"/>
      <c r="DP8" s="427"/>
      <c r="DQ8" s="428"/>
      <c r="DR8" s="428"/>
      <c r="DS8" s="428"/>
      <c r="DT8" s="428"/>
      <c r="DU8" s="428"/>
      <c r="DV8" s="428"/>
      <c r="DW8" s="428"/>
      <c r="DX8" s="428"/>
      <c r="DY8" s="428"/>
      <c r="DZ8" s="428"/>
      <c r="EA8" s="428"/>
      <c r="EB8" s="428"/>
      <c r="EC8" s="429"/>
      <c r="ED8" s="429"/>
      <c r="EE8" s="429"/>
      <c r="EF8" s="429"/>
      <c r="EG8" s="429"/>
      <c r="EH8" s="429"/>
      <c r="EI8" s="429"/>
      <c r="EJ8" s="429"/>
      <c r="EK8" s="429"/>
      <c r="EL8" s="429"/>
      <c r="EM8" s="429"/>
      <c r="EN8" s="429"/>
      <c r="EO8" s="430"/>
      <c r="EP8" s="430"/>
      <c r="EQ8" s="430"/>
      <c r="ER8" s="430"/>
      <c r="ES8" s="430"/>
      <c r="ET8" s="430"/>
      <c r="EU8" s="430"/>
      <c r="EV8" s="430"/>
      <c r="EW8" s="430"/>
      <c r="EX8" s="430"/>
      <c r="EY8" s="430"/>
      <c r="EZ8" s="430"/>
      <c r="FA8" s="431"/>
      <c r="FB8" s="431"/>
      <c r="FC8" s="431"/>
      <c r="FD8" s="431"/>
      <c r="FE8" s="431"/>
      <c r="FF8" s="431"/>
      <c r="FG8" s="431"/>
      <c r="FH8" s="431"/>
      <c r="FI8" s="431"/>
      <c r="FJ8" s="431"/>
      <c r="FK8" s="431"/>
      <c r="FL8" s="431"/>
      <c r="FM8" s="432"/>
      <c r="FN8" s="432"/>
      <c r="FO8" s="432"/>
      <c r="FP8" s="432"/>
      <c r="FQ8" s="432"/>
      <c r="FR8" s="432"/>
      <c r="FS8" s="432"/>
      <c r="FT8" s="432"/>
      <c r="FU8" s="432"/>
      <c r="FV8" s="432"/>
      <c r="FW8" s="432"/>
      <c r="FX8" s="432"/>
      <c r="FY8" s="433"/>
      <c r="FZ8" s="433"/>
      <c r="GA8" s="433"/>
      <c r="GB8" s="433"/>
      <c r="GC8" s="433"/>
      <c r="GD8" s="433"/>
      <c r="GE8" s="433"/>
      <c r="GF8" s="433"/>
      <c r="GG8" s="433"/>
      <c r="GH8" s="433"/>
      <c r="GI8" s="433"/>
      <c r="GJ8" s="433"/>
    </row>
    <row r="9" customFormat="false" ht="15" hidden="false" customHeight="false" outlineLevel="0" collapsed="false">
      <c r="B9" s="214" t="s">
        <v>1425</v>
      </c>
      <c r="C9" s="214" t="s">
        <v>3728</v>
      </c>
      <c r="D9" s="214"/>
      <c r="E9" s="214" t="s">
        <v>3729</v>
      </c>
      <c r="F9" s="214" t="s">
        <v>1861</v>
      </c>
      <c r="G9" s="214" t="s">
        <v>1712</v>
      </c>
      <c r="H9" s="214" t="s">
        <v>1746</v>
      </c>
      <c r="I9" s="214" t="s">
        <v>1859</v>
      </c>
      <c r="J9" s="214" t="s">
        <v>467</v>
      </c>
      <c r="K9" s="214" t="s">
        <v>3679</v>
      </c>
      <c r="L9" s="214" t="s">
        <v>1874</v>
      </c>
      <c r="M9" s="419" t="n">
        <v>0</v>
      </c>
      <c r="N9" s="419" t="n">
        <v>0</v>
      </c>
      <c r="O9" s="419" t="n">
        <v>0</v>
      </c>
      <c r="P9" s="419" t="n">
        <v>0</v>
      </c>
      <c r="Q9" s="419" t="n">
        <v>0</v>
      </c>
      <c r="R9" s="419" t="n">
        <v>0</v>
      </c>
      <c r="S9" s="419" t="n">
        <v>0</v>
      </c>
      <c r="T9" s="419" t="n">
        <v>0</v>
      </c>
      <c r="U9" s="419" t="n">
        <v>0</v>
      </c>
      <c r="V9" s="419" t="n">
        <v>0</v>
      </c>
      <c r="W9" s="419" t="n">
        <v>0</v>
      </c>
      <c r="X9" s="419" t="n">
        <v>0</v>
      </c>
      <c r="Y9" s="420" t="n">
        <v>0.4</v>
      </c>
      <c r="Z9" s="420" t="n">
        <v>0.4</v>
      </c>
      <c r="AA9" s="420" t="n">
        <v>0.4</v>
      </c>
      <c r="AB9" s="420" t="n">
        <v>0.4</v>
      </c>
      <c r="AC9" s="420" t="n">
        <v>0.4</v>
      </c>
      <c r="AD9" s="420" t="n">
        <v>0.4</v>
      </c>
      <c r="AE9" s="420" t="n">
        <v>0.4</v>
      </c>
      <c r="AF9" s="420" t="n">
        <v>0.4</v>
      </c>
      <c r="AG9" s="420" t="n">
        <v>0.4</v>
      </c>
      <c r="AH9" s="420" t="n">
        <v>0.4</v>
      </c>
      <c r="AI9" s="420" t="n">
        <v>0.4</v>
      </c>
      <c r="AJ9" s="420" t="n">
        <v>0.4</v>
      </c>
      <c r="AK9" s="421"/>
      <c r="AL9" s="421"/>
      <c r="AM9" s="421"/>
      <c r="AN9" s="421"/>
      <c r="AO9" s="421"/>
      <c r="AP9" s="421"/>
      <c r="AQ9" s="421"/>
      <c r="AR9" s="421"/>
      <c r="AS9" s="421"/>
      <c r="AT9" s="421"/>
      <c r="AU9" s="421"/>
      <c r="AV9" s="421"/>
      <c r="AW9" s="422"/>
      <c r="AX9" s="422"/>
      <c r="AY9" s="422"/>
      <c r="AZ9" s="422"/>
      <c r="BA9" s="422"/>
      <c r="BB9" s="422"/>
      <c r="BC9" s="422"/>
      <c r="BD9" s="422"/>
      <c r="BE9" s="422"/>
      <c r="BF9" s="422"/>
      <c r="BG9" s="422"/>
      <c r="BH9" s="422"/>
      <c r="BI9" s="423"/>
      <c r="BJ9" s="423"/>
      <c r="BK9" s="423"/>
      <c r="BL9" s="423"/>
      <c r="BM9" s="423"/>
      <c r="BN9" s="423"/>
      <c r="BO9" s="423"/>
      <c r="BP9" s="423"/>
      <c r="BQ9" s="423"/>
      <c r="BR9" s="423"/>
      <c r="BS9" s="423"/>
      <c r="BT9" s="423"/>
      <c r="BU9" s="424"/>
      <c r="BV9" s="424"/>
      <c r="BW9" s="424"/>
      <c r="BX9" s="424"/>
      <c r="BY9" s="424"/>
      <c r="BZ9" s="424"/>
      <c r="CA9" s="424"/>
      <c r="CB9" s="424"/>
      <c r="CC9" s="424"/>
      <c r="CD9" s="424"/>
      <c r="CE9" s="424"/>
      <c r="CF9" s="424"/>
      <c r="CG9" s="425"/>
      <c r="CH9" s="425"/>
      <c r="CI9" s="425"/>
      <c r="CJ9" s="425"/>
      <c r="CK9" s="425"/>
      <c r="CL9" s="425"/>
      <c r="CM9" s="425"/>
      <c r="CN9" s="425"/>
      <c r="CO9" s="425"/>
      <c r="CP9" s="425"/>
      <c r="CQ9" s="425"/>
      <c r="CR9" s="425"/>
      <c r="CS9" s="426"/>
      <c r="CT9" s="426"/>
      <c r="CU9" s="426"/>
      <c r="CV9" s="426"/>
      <c r="CW9" s="426"/>
      <c r="CX9" s="426"/>
      <c r="CY9" s="426"/>
      <c r="CZ9" s="426"/>
      <c r="DA9" s="426"/>
      <c r="DB9" s="426"/>
      <c r="DC9" s="426"/>
      <c r="DD9" s="426"/>
      <c r="DE9" s="427"/>
      <c r="DF9" s="427"/>
      <c r="DG9" s="427"/>
      <c r="DH9" s="427"/>
      <c r="DI9" s="427"/>
      <c r="DJ9" s="427"/>
      <c r="DK9" s="427"/>
      <c r="DL9" s="427"/>
      <c r="DM9" s="427"/>
      <c r="DN9" s="427"/>
      <c r="DO9" s="427"/>
      <c r="DP9" s="427"/>
      <c r="DQ9" s="428"/>
      <c r="DR9" s="428"/>
      <c r="DS9" s="428"/>
      <c r="DT9" s="428"/>
      <c r="DU9" s="428"/>
      <c r="DV9" s="428"/>
      <c r="DW9" s="428"/>
      <c r="DX9" s="428"/>
      <c r="DY9" s="428"/>
      <c r="DZ9" s="428"/>
      <c r="EA9" s="428"/>
      <c r="EB9" s="428"/>
      <c r="EC9" s="429"/>
      <c r="ED9" s="429"/>
      <c r="EE9" s="429"/>
      <c r="EF9" s="429"/>
      <c r="EG9" s="429"/>
      <c r="EH9" s="429"/>
      <c r="EI9" s="429"/>
      <c r="EJ9" s="429"/>
      <c r="EK9" s="429"/>
      <c r="EL9" s="429"/>
      <c r="EM9" s="429"/>
      <c r="EN9" s="429"/>
      <c r="EO9" s="430"/>
      <c r="EP9" s="430"/>
      <c r="EQ9" s="430"/>
      <c r="ER9" s="430"/>
      <c r="ES9" s="430"/>
      <c r="ET9" s="430"/>
      <c r="EU9" s="430"/>
      <c r="EV9" s="430"/>
      <c r="EW9" s="430"/>
      <c r="EX9" s="430"/>
      <c r="EY9" s="430"/>
      <c r="EZ9" s="430"/>
      <c r="FA9" s="431"/>
      <c r="FB9" s="431"/>
      <c r="FC9" s="431"/>
      <c r="FD9" s="431"/>
      <c r="FE9" s="431"/>
      <c r="FF9" s="431"/>
      <c r="FG9" s="431"/>
      <c r="FH9" s="431"/>
      <c r="FI9" s="431"/>
      <c r="FJ9" s="431"/>
      <c r="FK9" s="431"/>
      <c r="FL9" s="431"/>
      <c r="FM9" s="432"/>
      <c r="FN9" s="432"/>
      <c r="FO9" s="432"/>
      <c r="FP9" s="432"/>
      <c r="FQ9" s="432"/>
      <c r="FR9" s="432"/>
      <c r="FS9" s="432"/>
      <c r="FT9" s="432"/>
      <c r="FU9" s="432"/>
      <c r="FV9" s="432"/>
      <c r="FW9" s="432"/>
      <c r="FX9" s="432"/>
      <c r="FY9" s="433"/>
      <c r="FZ9" s="433"/>
      <c r="GA9" s="433"/>
      <c r="GB9" s="433"/>
      <c r="GC9" s="433"/>
      <c r="GD9" s="433"/>
      <c r="GE9" s="433"/>
      <c r="GF9" s="433"/>
      <c r="GG9" s="433"/>
      <c r="GH9" s="433"/>
      <c r="GI9" s="433"/>
      <c r="GJ9" s="433"/>
    </row>
    <row r="10" customFormat="false" ht="15" hidden="false" customHeight="false" outlineLevel="0" collapsed="false">
      <c r="B10" s="214" t="s">
        <v>1425</v>
      </c>
      <c r="C10" s="214" t="s">
        <v>3730</v>
      </c>
      <c r="D10" s="214"/>
      <c r="E10" s="214" t="s">
        <v>3731</v>
      </c>
      <c r="F10" s="214" t="s">
        <v>1793</v>
      </c>
      <c r="G10" s="214" t="s">
        <v>1712</v>
      </c>
      <c r="H10" s="214" t="s">
        <v>1747</v>
      </c>
      <c r="I10" s="214" t="s">
        <v>1787</v>
      </c>
      <c r="J10" s="214" t="s">
        <v>483</v>
      </c>
      <c r="K10" s="214" t="s">
        <v>3679</v>
      </c>
      <c r="L10" s="214" t="s">
        <v>1874</v>
      </c>
      <c r="M10" s="419" t="n">
        <v>1</v>
      </c>
      <c r="N10" s="419" t="n">
        <v>1</v>
      </c>
      <c r="O10" s="419" t="n">
        <v>1</v>
      </c>
      <c r="P10" s="419" t="n">
        <v>1</v>
      </c>
      <c r="Q10" s="419" t="n">
        <v>1</v>
      </c>
      <c r="R10" s="419" t="n">
        <v>1</v>
      </c>
      <c r="S10" s="419" t="n">
        <v>1</v>
      </c>
      <c r="T10" s="419" t="n">
        <v>1</v>
      </c>
      <c r="U10" s="419" t="n">
        <v>1</v>
      </c>
      <c r="V10" s="419" t="n">
        <v>1</v>
      </c>
      <c r="W10" s="419" t="n">
        <v>1</v>
      </c>
      <c r="X10" s="419" t="n">
        <v>1</v>
      </c>
      <c r="Y10" s="420" t="n">
        <v>0.993916666666667</v>
      </c>
      <c r="Z10" s="420" t="n">
        <v>0.994785714285714</v>
      </c>
      <c r="AA10" s="420" t="n">
        <v>0.994785714285714</v>
      </c>
      <c r="AB10" s="420" t="n">
        <v>0.994785714285714</v>
      </c>
      <c r="AC10" s="420" t="n">
        <v>0.994785714285714</v>
      </c>
      <c r="AD10" s="420" t="n">
        <v>0.994785714285714</v>
      </c>
      <c r="AE10" s="420" t="n">
        <v>0.994785714285714</v>
      </c>
      <c r="AF10" s="420" t="n">
        <v>0.994785714285714</v>
      </c>
      <c r="AG10" s="420" t="n">
        <v>0.994785714285714</v>
      </c>
      <c r="AH10" s="420" t="n">
        <v>0.994785714285714</v>
      </c>
      <c r="AI10" s="420" t="n">
        <v>0.994785714285714</v>
      </c>
      <c r="AJ10" s="420" t="n">
        <v>0.994785714285714</v>
      </c>
      <c r="AK10" s="421"/>
      <c r="AL10" s="421"/>
      <c r="AM10" s="421"/>
      <c r="AN10" s="421"/>
      <c r="AO10" s="421"/>
      <c r="AP10" s="421"/>
      <c r="AQ10" s="421"/>
      <c r="AR10" s="421"/>
      <c r="AS10" s="421"/>
      <c r="AT10" s="421"/>
      <c r="AU10" s="421"/>
      <c r="AV10" s="421"/>
      <c r="AW10" s="422"/>
      <c r="AX10" s="422"/>
      <c r="AY10" s="422"/>
      <c r="AZ10" s="422"/>
      <c r="BA10" s="422"/>
      <c r="BB10" s="422"/>
      <c r="BC10" s="422"/>
      <c r="BD10" s="422"/>
      <c r="BE10" s="422"/>
      <c r="BF10" s="422"/>
      <c r="BG10" s="422"/>
      <c r="BH10" s="422"/>
      <c r="BI10" s="423"/>
      <c r="BJ10" s="423"/>
      <c r="BK10" s="423"/>
      <c r="BL10" s="423"/>
      <c r="BM10" s="423"/>
      <c r="BN10" s="423"/>
      <c r="BO10" s="423"/>
      <c r="BP10" s="423"/>
      <c r="BQ10" s="423"/>
      <c r="BR10" s="423"/>
      <c r="BS10" s="423"/>
      <c r="BT10" s="423"/>
      <c r="BU10" s="424"/>
      <c r="BV10" s="424"/>
      <c r="BW10" s="424"/>
      <c r="BX10" s="424"/>
      <c r="BY10" s="424"/>
      <c r="BZ10" s="424"/>
      <c r="CA10" s="424"/>
      <c r="CB10" s="424"/>
      <c r="CC10" s="424"/>
      <c r="CD10" s="424"/>
      <c r="CE10" s="424"/>
      <c r="CF10" s="424"/>
      <c r="CG10" s="425"/>
      <c r="CH10" s="425"/>
      <c r="CI10" s="425"/>
      <c r="CJ10" s="425"/>
      <c r="CK10" s="425"/>
      <c r="CL10" s="425"/>
      <c r="CM10" s="425"/>
      <c r="CN10" s="425"/>
      <c r="CO10" s="425"/>
      <c r="CP10" s="425"/>
      <c r="CQ10" s="425"/>
      <c r="CR10" s="425"/>
      <c r="CS10" s="426"/>
      <c r="CT10" s="426"/>
      <c r="CU10" s="426"/>
      <c r="CV10" s="426"/>
      <c r="CW10" s="426"/>
      <c r="CX10" s="426"/>
      <c r="CY10" s="426"/>
      <c r="CZ10" s="426"/>
      <c r="DA10" s="426"/>
      <c r="DB10" s="426"/>
      <c r="DC10" s="426"/>
      <c r="DD10" s="426"/>
      <c r="DE10" s="427"/>
      <c r="DF10" s="427"/>
      <c r="DG10" s="427"/>
      <c r="DH10" s="427"/>
      <c r="DI10" s="427"/>
      <c r="DJ10" s="427"/>
      <c r="DK10" s="427"/>
      <c r="DL10" s="427"/>
      <c r="DM10" s="427"/>
      <c r="DN10" s="427"/>
      <c r="DO10" s="427"/>
      <c r="DP10" s="427"/>
      <c r="DQ10" s="428"/>
      <c r="DR10" s="428"/>
      <c r="DS10" s="428"/>
      <c r="DT10" s="428"/>
      <c r="DU10" s="428"/>
      <c r="DV10" s="428"/>
      <c r="DW10" s="428"/>
      <c r="DX10" s="428"/>
      <c r="DY10" s="428"/>
      <c r="DZ10" s="428"/>
      <c r="EA10" s="428"/>
      <c r="EB10" s="428"/>
      <c r="EC10" s="429"/>
      <c r="ED10" s="429"/>
      <c r="EE10" s="429"/>
      <c r="EF10" s="429"/>
      <c r="EG10" s="429"/>
      <c r="EH10" s="429"/>
      <c r="EI10" s="429"/>
      <c r="EJ10" s="429"/>
      <c r="EK10" s="429"/>
      <c r="EL10" s="429"/>
      <c r="EM10" s="429"/>
      <c r="EN10" s="429"/>
      <c r="EO10" s="430"/>
      <c r="EP10" s="430"/>
      <c r="EQ10" s="430"/>
      <c r="ER10" s="430"/>
      <c r="ES10" s="430"/>
      <c r="ET10" s="430"/>
      <c r="EU10" s="430"/>
      <c r="EV10" s="430"/>
      <c r="EW10" s="430"/>
      <c r="EX10" s="430"/>
      <c r="EY10" s="430"/>
      <c r="EZ10" s="430"/>
      <c r="FA10" s="431"/>
      <c r="FB10" s="431"/>
      <c r="FC10" s="431"/>
      <c r="FD10" s="431"/>
      <c r="FE10" s="431"/>
      <c r="FF10" s="431"/>
      <c r="FG10" s="431"/>
      <c r="FH10" s="431"/>
      <c r="FI10" s="431"/>
      <c r="FJ10" s="431"/>
      <c r="FK10" s="431"/>
      <c r="FL10" s="431"/>
      <c r="FM10" s="432"/>
      <c r="FN10" s="432"/>
      <c r="FO10" s="432"/>
      <c r="FP10" s="432"/>
      <c r="FQ10" s="432"/>
      <c r="FR10" s="432"/>
      <c r="FS10" s="432"/>
      <c r="FT10" s="432"/>
      <c r="FU10" s="432"/>
      <c r="FV10" s="432"/>
      <c r="FW10" s="432"/>
      <c r="FX10" s="432"/>
      <c r="FY10" s="433"/>
      <c r="FZ10" s="433"/>
      <c r="GA10" s="433"/>
      <c r="GB10" s="433"/>
      <c r="GC10" s="433"/>
      <c r="GD10" s="433"/>
      <c r="GE10" s="433"/>
      <c r="GF10" s="433"/>
      <c r="GG10" s="433"/>
      <c r="GH10" s="433"/>
      <c r="GI10" s="433"/>
      <c r="GJ10" s="433"/>
    </row>
    <row r="11" customFormat="false" ht="15" hidden="false" customHeight="false" outlineLevel="0" collapsed="false">
      <c r="B11" s="214" t="s">
        <v>1425</v>
      </c>
      <c r="C11" s="214" t="s">
        <v>3732</v>
      </c>
      <c r="D11" s="214"/>
      <c r="E11" s="214" t="s">
        <v>3733</v>
      </c>
      <c r="F11" s="214" t="s">
        <v>1861</v>
      </c>
      <c r="G11" s="214" t="s">
        <v>1712</v>
      </c>
      <c r="H11" s="214" t="s">
        <v>1748</v>
      </c>
      <c r="I11" s="214" t="s">
        <v>615</v>
      </c>
      <c r="J11" s="214" t="s">
        <v>476</v>
      </c>
      <c r="K11" s="214" t="s">
        <v>3679</v>
      </c>
      <c r="L11" s="214" t="s">
        <v>1874</v>
      </c>
      <c r="M11" s="419" t="n">
        <v>0</v>
      </c>
      <c r="N11" s="419" t="n">
        <v>0</v>
      </c>
      <c r="O11" s="419" t="n">
        <v>0</v>
      </c>
      <c r="P11" s="419" t="n">
        <v>0</v>
      </c>
      <c r="Q11" s="419" t="n">
        <v>0</v>
      </c>
      <c r="R11" s="419" t="n">
        <v>0</v>
      </c>
      <c r="S11" s="419" t="n">
        <v>0</v>
      </c>
      <c r="T11" s="419" t="n">
        <v>0</v>
      </c>
      <c r="U11" s="419" t="n">
        <v>0</v>
      </c>
      <c r="V11" s="419" t="n">
        <v>0</v>
      </c>
      <c r="W11" s="419" t="n">
        <v>0</v>
      </c>
      <c r="X11" s="419" t="n">
        <v>0</v>
      </c>
      <c r="Y11" s="420"/>
      <c r="Z11" s="420"/>
      <c r="AA11" s="420"/>
      <c r="AB11" s="420"/>
      <c r="AC11" s="420"/>
      <c r="AD11" s="420"/>
      <c r="AE11" s="420"/>
      <c r="AF11" s="420"/>
      <c r="AG11" s="420"/>
      <c r="AH11" s="420"/>
      <c r="AI11" s="420"/>
      <c r="AJ11" s="420"/>
      <c r="AK11" s="421"/>
      <c r="AL11" s="421"/>
      <c r="AM11" s="421"/>
      <c r="AN11" s="421"/>
      <c r="AO11" s="421"/>
      <c r="AP11" s="421"/>
      <c r="AQ11" s="421"/>
      <c r="AR11" s="421"/>
      <c r="AS11" s="421"/>
      <c r="AT11" s="421"/>
      <c r="AU11" s="421"/>
      <c r="AV11" s="421"/>
      <c r="AW11" s="422"/>
      <c r="AX11" s="422"/>
      <c r="AY11" s="422"/>
      <c r="AZ11" s="422"/>
      <c r="BA11" s="422"/>
      <c r="BB11" s="422"/>
      <c r="BC11" s="422"/>
      <c r="BD11" s="422"/>
      <c r="BE11" s="422"/>
      <c r="BF11" s="422"/>
      <c r="BG11" s="422"/>
      <c r="BH11" s="422"/>
      <c r="BI11" s="423"/>
      <c r="BJ11" s="423"/>
      <c r="BK11" s="423"/>
      <c r="BL11" s="423"/>
      <c r="BM11" s="423"/>
      <c r="BN11" s="423"/>
      <c r="BO11" s="423"/>
      <c r="BP11" s="423"/>
      <c r="BQ11" s="423"/>
      <c r="BR11" s="423"/>
      <c r="BS11" s="423"/>
      <c r="BT11" s="423"/>
      <c r="BU11" s="424"/>
      <c r="BV11" s="424"/>
      <c r="BW11" s="424"/>
      <c r="BX11" s="424"/>
      <c r="BY11" s="424"/>
      <c r="BZ11" s="424"/>
      <c r="CA11" s="424"/>
      <c r="CB11" s="424"/>
      <c r="CC11" s="424"/>
      <c r="CD11" s="424"/>
      <c r="CE11" s="424"/>
      <c r="CF11" s="424"/>
      <c r="CG11" s="425"/>
      <c r="CH11" s="425"/>
      <c r="CI11" s="425"/>
      <c r="CJ11" s="425"/>
      <c r="CK11" s="425"/>
      <c r="CL11" s="425"/>
      <c r="CM11" s="425"/>
      <c r="CN11" s="425"/>
      <c r="CO11" s="425"/>
      <c r="CP11" s="425"/>
      <c r="CQ11" s="425"/>
      <c r="CR11" s="425"/>
      <c r="CS11" s="426"/>
      <c r="CT11" s="426"/>
      <c r="CU11" s="426"/>
      <c r="CV11" s="426"/>
      <c r="CW11" s="426"/>
      <c r="CX11" s="426"/>
      <c r="CY11" s="426"/>
      <c r="CZ11" s="426"/>
      <c r="DA11" s="426"/>
      <c r="DB11" s="426"/>
      <c r="DC11" s="426"/>
      <c r="DD11" s="426"/>
      <c r="DE11" s="427"/>
      <c r="DF11" s="427"/>
      <c r="DG11" s="427"/>
      <c r="DH11" s="427"/>
      <c r="DI11" s="427"/>
      <c r="DJ11" s="427"/>
      <c r="DK11" s="427"/>
      <c r="DL11" s="427"/>
      <c r="DM11" s="427"/>
      <c r="DN11" s="427"/>
      <c r="DO11" s="427"/>
      <c r="DP11" s="427"/>
      <c r="DQ11" s="428"/>
      <c r="DR11" s="428"/>
      <c r="DS11" s="428"/>
      <c r="DT11" s="428"/>
      <c r="DU11" s="428"/>
      <c r="DV11" s="428"/>
      <c r="DW11" s="428"/>
      <c r="DX11" s="428"/>
      <c r="DY11" s="428"/>
      <c r="DZ11" s="428"/>
      <c r="EA11" s="428"/>
      <c r="EB11" s="428"/>
      <c r="EC11" s="429"/>
      <c r="ED11" s="429"/>
      <c r="EE11" s="429"/>
      <c r="EF11" s="429"/>
      <c r="EG11" s="429"/>
      <c r="EH11" s="429"/>
      <c r="EI11" s="429"/>
      <c r="EJ11" s="429"/>
      <c r="EK11" s="429"/>
      <c r="EL11" s="429"/>
      <c r="EM11" s="429"/>
      <c r="EN11" s="429"/>
      <c r="EO11" s="430"/>
      <c r="EP11" s="430"/>
      <c r="EQ11" s="430"/>
      <c r="ER11" s="430"/>
      <c r="ES11" s="430"/>
      <c r="ET11" s="430"/>
      <c r="EU11" s="430"/>
      <c r="EV11" s="430"/>
      <c r="EW11" s="430"/>
      <c r="EX11" s="430"/>
      <c r="EY11" s="430"/>
      <c r="EZ11" s="430"/>
      <c r="FA11" s="431"/>
      <c r="FB11" s="431"/>
      <c r="FC11" s="431"/>
      <c r="FD11" s="431"/>
      <c r="FE11" s="431"/>
      <c r="FF11" s="431"/>
      <c r="FG11" s="431"/>
      <c r="FH11" s="431"/>
      <c r="FI11" s="431"/>
      <c r="FJ11" s="431"/>
      <c r="FK11" s="431"/>
      <c r="FL11" s="431"/>
      <c r="FM11" s="432"/>
      <c r="FN11" s="432"/>
      <c r="FO11" s="432"/>
      <c r="FP11" s="432"/>
      <c r="FQ11" s="432"/>
      <c r="FR11" s="432"/>
      <c r="FS11" s="432"/>
      <c r="FT11" s="432"/>
      <c r="FU11" s="432"/>
      <c r="FV11" s="432"/>
      <c r="FW11" s="432"/>
      <c r="FX11" s="432"/>
      <c r="FY11" s="433"/>
      <c r="FZ11" s="433"/>
      <c r="GA11" s="433"/>
      <c r="GB11" s="433"/>
      <c r="GC11" s="433"/>
      <c r="GD11" s="433"/>
      <c r="GE11" s="433"/>
      <c r="GF11" s="433"/>
      <c r="GG11" s="433"/>
      <c r="GH11" s="433"/>
      <c r="GI11" s="433"/>
      <c r="GJ11" s="433"/>
    </row>
    <row r="12" customFormat="false" ht="15" hidden="false" customHeight="false" outlineLevel="0" collapsed="false">
      <c r="B12" s="214" t="s">
        <v>1425</v>
      </c>
      <c r="C12" s="214" t="s">
        <v>3732</v>
      </c>
      <c r="D12" s="214"/>
      <c r="E12" s="214" t="s">
        <v>3733</v>
      </c>
      <c r="F12" s="214" t="s">
        <v>1861</v>
      </c>
      <c r="G12" s="214" t="s">
        <v>1712</v>
      </c>
      <c r="H12" s="214" t="s">
        <v>1749</v>
      </c>
      <c r="I12" s="214" t="s">
        <v>615</v>
      </c>
      <c r="J12" s="214" t="s">
        <v>476</v>
      </c>
      <c r="K12" s="214" t="s">
        <v>3679</v>
      </c>
      <c r="L12" s="214" t="s">
        <v>1874</v>
      </c>
      <c r="M12" s="419" t="n">
        <v>1</v>
      </c>
      <c r="N12" s="419" t="n">
        <v>1</v>
      </c>
      <c r="O12" s="419" t="n">
        <v>1</v>
      </c>
      <c r="P12" s="419" t="n">
        <v>1</v>
      </c>
      <c r="Q12" s="419" t="n">
        <v>1</v>
      </c>
      <c r="R12" s="419" t="n">
        <v>1</v>
      </c>
      <c r="S12" s="419" t="n">
        <v>1</v>
      </c>
      <c r="T12" s="419" t="n">
        <v>1</v>
      </c>
      <c r="U12" s="419" t="n">
        <v>1</v>
      </c>
      <c r="V12" s="419" t="n">
        <v>1</v>
      </c>
      <c r="W12" s="419" t="n">
        <v>1</v>
      </c>
      <c r="X12" s="419" t="n">
        <v>1</v>
      </c>
      <c r="Y12" s="420"/>
      <c r="Z12" s="420"/>
      <c r="AA12" s="420"/>
      <c r="AB12" s="420"/>
      <c r="AC12" s="420"/>
      <c r="AD12" s="420"/>
      <c r="AE12" s="420"/>
      <c r="AF12" s="420"/>
      <c r="AG12" s="420"/>
      <c r="AH12" s="420"/>
      <c r="AI12" s="420"/>
      <c r="AJ12" s="420"/>
      <c r="AK12" s="421"/>
      <c r="AL12" s="421"/>
      <c r="AM12" s="421"/>
      <c r="AN12" s="421"/>
      <c r="AO12" s="421"/>
      <c r="AP12" s="421"/>
      <c r="AQ12" s="421"/>
      <c r="AR12" s="421"/>
      <c r="AS12" s="421"/>
      <c r="AT12" s="421"/>
      <c r="AU12" s="421"/>
      <c r="AV12" s="421"/>
      <c r="AW12" s="422"/>
      <c r="AX12" s="422"/>
      <c r="AY12" s="422"/>
      <c r="AZ12" s="422"/>
      <c r="BA12" s="422"/>
      <c r="BB12" s="422"/>
      <c r="BC12" s="422"/>
      <c r="BD12" s="422"/>
      <c r="BE12" s="422"/>
      <c r="BF12" s="422"/>
      <c r="BG12" s="422"/>
      <c r="BH12" s="422"/>
      <c r="BI12" s="423"/>
      <c r="BJ12" s="423"/>
      <c r="BK12" s="423"/>
      <c r="BL12" s="423"/>
      <c r="BM12" s="423"/>
      <c r="BN12" s="423"/>
      <c r="BO12" s="423"/>
      <c r="BP12" s="423"/>
      <c r="BQ12" s="423"/>
      <c r="BR12" s="423"/>
      <c r="BS12" s="423"/>
      <c r="BT12" s="423"/>
      <c r="BU12" s="424"/>
      <c r="BV12" s="424"/>
      <c r="BW12" s="424"/>
      <c r="BX12" s="424"/>
      <c r="BY12" s="424"/>
      <c r="BZ12" s="424"/>
      <c r="CA12" s="424"/>
      <c r="CB12" s="424"/>
      <c r="CC12" s="424"/>
      <c r="CD12" s="424"/>
      <c r="CE12" s="424"/>
      <c r="CF12" s="424"/>
      <c r="CG12" s="425"/>
      <c r="CH12" s="425"/>
      <c r="CI12" s="425"/>
      <c r="CJ12" s="425"/>
      <c r="CK12" s="425"/>
      <c r="CL12" s="425"/>
      <c r="CM12" s="425"/>
      <c r="CN12" s="425"/>
      <c r="CO12" s="425"/>
      <c r="CP12" s="425"/>
      <c r="CQ12" s="425"/>
      <c r="CR12" s="425"/>
      <c r="CS12" s="426"/>
      <c r="CT12" s="426"/>
      <c r="CU12" s="426"/>
      <c r="CV12" s="426"/>
      <c r="CW12" s="426"/>
      <c r="CX12" s="426"/>
      <c r="CY12" s="426"/>
      <c r="CZ12" s="426"/>
      <c r="DA12" s="426"/>
      <c r="DB12" s="426"/>
      <c r="DC12" s="426"/>
      <c r="DD12" s="426"/>
      <c r="DE12" s="427"/>
      <c r="DF12" s="427"/>
      <c r="DG12" s="427"/>
      <c r="DH12" s="427"/>
      <c r="DI12" s="427"/>
      <c r="DJ12" s="427"/>
      <c r="DK12" s="427"/>
      <c r="DL12" s="427"/>
      <c r="DM12" s="427"/>
      <c r="DN12" s="427"/>
      <c r="DO12" s="427"/>
      <c r="DP12" s="427"/>
      <c r="DQ12" s="428"/>
      <c r="DR12" s="428"/>
      <c r="DS12" s="428"/>
      <c r="DT12" s="428"/>
      <c r="DU12" s="428"/>
      <c r="DV12" s="428"/>
      <c r="DW12" s="428"/>
      <c r="DX12" s="428"/>
      <c r="DY12" s="428"/>
      <c r="DZ12" s="428"/>
      <c r="EA12" s="428"/>
      <c r="EB12" s="428"/>
      <c r="EC12" s="429"/>
      <c r="ED12" s="429"/>
      <c r="EE12" s="429"/>
      <c r="EF12" s="429"/>
      <c r="EG12" s="429"/>
      <c r="EH12" s="429"/>
      <c r="EI12" s="429"/>
      <c r="EJ12" s="429"/>
      <c r="EK12" s="429"/>
      <c r="EL12" s="429"/>
      <c r="EM12" s="429"/>
      <c r="EN12" s="429"/>
      <c r="EO12" s="430"/>
      <c r="EP12" s="430"/>
      <c r="EQ12" s="430"/>
      <c r="ER12" s="430"/>
      <c r="ES12" s="430"/>
      <c r="ET12" s="430"/>
      <c r="EU12" s="430"/>
      <c r="EV12" s="430"/>
      <c r="EW12" s="430"/>
      <c r="EX12" s="430"/>
      <c r="EY12" s="430"/>
      <c r="EZ12" s="430"/>
      <c r="FA12" s="431"/>
      <c r="FB12" s="431"/>
      <c r="FC12" s="431"/>
      <c r="FD12" s="431"/>
      <c r="FE12" s="431"/>
      <c r="FF12" s="431"/>
      <c r="FG12" s="431"/>
      <c r="FH12" s="431"/>
      <c r="FI12" s="431"/>
      <c r="FJ12" s="431"/>
      <c r="FK12" s="431"/>
      <c r="FL12" s="431"/>
      <c r="FM12" s="432"/>
      <c r="FN12" s="432"/>
      <c r="FO12" s="432"/>
      <c r="FP12" s="432"/>
      <c r="FQ12" s="432"/>
      <c r="FR12" s="432"/>
      <c r="FS12" s="432"/>
      <c r="FT12" s="432"/>
      <c r="FU12" s="432"/>
      <c r="FV12" s="432"/>
      <c r="FW12" s="432"/>
      <c r="FX12" s="432"/>
      <c r="FY12" s="433"/>
      <c r="FZ12" s="433"/>
      <c r="GA12" s="433"/>
      <c r="GB12" s="433"/>
      <c r="GC12" s="433"/>
      <c r="GD12" s="433"/>
      <c r="GE12" s="433"/>
      <c r="GF12" s="433"/>
      <c r="GG12" s="433"/>
      <c r="GH12" s="433"/>
      <c r="GI12" s="433"/>
      <c r="GJ12" s="433"/>
    </row>
    <row r="13" customFormat="false" ht="15" hidden="false" customHeight="false" outlineLevel="0" collapsed="false">
      <c r="B13" s="214" t="s">
        <v>1425</v>
      </c>
      <c r="C13" s="214" t="s">
        <v>3734</v>
      </c>
      <c r="D13" s="214"/>
      <c r="E13" s="214" t="s">
        <v>3735</v>
      </c>
      <c r="F13" s="214" t="s">
        <v>1860</v>
      </c>
      <c r="G13" s="214" t="s">
        <v>1712</v>
      </c>
      <c r="H13" s="214" t="s">
        <v>1750</v>
      </c>
      <c r="I13" s="214" t="s">
        <v>615</v>
      </c>
      <c r="J13" s="214" t="s">
        <v>476</v>
      </c>
      <c r="K13" s="214" t="s">
        <v>3679</v>
      </c>
      <c r="L13" s="214" t="s">
        <v>1874</v>
      </c>
      <c r="M13" s="419" t="n">
        <v>1</v>
      </c>
      <c r="N13" s="419" t="n">
        <v>1</v>
      </c>
      <c r="O13" s="419" t="n">
        <v>1</v>
      </c>
      <c r="P13" s="419" t="n">
        <v>1</v>
      </c>
      <c r="Q13" s="419" t="n">
        <v>1</v>
      </c>
      <c r="R13" s="419" t="n">
        <v>1</v>
      </c>
      <c r="S13" s="419" t="n">
        <v>1</v>
      </c>
      <c r="T13" s="419" t="n">
        <v>1</v>
      </c>
      <c r="U13" s="419" t="n">
        <v>1</v>
      </c>
      <c r="V13" s="419" t="n">
        <v>1</v>
      </c>
      <c r="W13" s="419" t="n">
        <v>1</v>
      </c>
      <c r="X13" s="419" t="n">
        <v>1</v>
      </c>
      <c r="Y13" s="420" t="n">
        <v>0.373333333333333</v>
      </c>
      <c r="Z13" s="420" t="n">
        <v>0.373333333333333</v>
      </c>
      <c r="AA13" s="420" t="n">
        <v>0.373333333333333</v>
      </c>
      <c r="AB13" s="420" t="n">
        <v>0.373333333333333</v>
      </c>
      <c r="AC13" s="420" t="n">
        <v>0.373333333333333</v>
      </c>
      <c r="AD13" s="420" t="n">
        <v>0.373333333333333</v>
      </c>
      <c r="AE13" s="420" t="n">
        <v>0.373333333333333</v>
      </c>
      <c r="AF13" s="420" t="n">
        <v>0.373333333333333</v>
      </c>
      <c r="AG13" s="420" t="n">
        <v>0.373333333333333</v>
      </c>
      <c r="AH13" s="420" t="n">
        <v>0.373333333333333</v>
      </c>
      <c r="AI13" s="420" t="n">
        <v>0.373333333333333</v>
      </c>
      <c r="AJ13" s="420" t="n">
        <v>0.373333333333333</v>
      </c>
      <c r="AK13" s="421"/>
      <c r="AL13" s="421"/>
      <c r="AM13" s="421"/>
      <c r="AN13" s="421"/>
      <c r="AO13" s="421"/>
      <c r="AP13" s="421"/>
      <c r="AQ13" s="421"/>
      <c r="AR13" s="421"/>
      <c r="AS13" s="421"/>
      <c r="AT13" s="421"/>
      <c r="AU13" s="421"/>
      <c r="AV13" s="421"/>
      <c r="AW13" s="422"/>
      <c r="AX13" s="422"/>
      <c r="AY13" s="422"/>
      <c r="AZ13" s="422"/>
      <c r="BA13" s="422"/>
      <c r="BB13" s="422"/>
      <c r="BC13" s="422"/>
      <c r="BD13" s="422"/>
      <c r="BE13" s="422"/>
      <c r="BF13" s="422"/>
      <c r="BG13" s="422"/>
      <c r="BH13" s="422"/>
      <c r="BI13" s="423"/>
      <c r="BJ13" s="423"/>
      <c r="BK13" s="423"/>
      <c r="BL13" s="423"/>
      <c r="BM13" s="423"/>
      <c r="BN13" s="423"/>
      <c r="BO13" s="423"/>
      <c r="BP13" s="423"/>
      <c r="BQ13" s="423"/>
      <c r="BR13" s="423"/>
      <c r="BS13" s="423"/>
      <c r="BT13" s="423"/>
      <c r="BU13" s="424"/>
      <c r="BV13" s="424"/>
      <c r="BW13" s="424"/>
      <c r="BX13" s="424"/>
      <c r="BY13" s="424"/>
      <c r="BZ13" s="424"/>
      <c r="CA13" s="424"/>
      <c r="CB13" s="424"/>
      <c r="CC13" s="424"/>
      <c r="CD13" s="424"/>
      <c r="CE13" s="424"/>
      <c r="CF13" s="424"/>
      <c r="CG13" s="425"/>
      <c r="CH13" s="425"/>
      <c r="CI13" s="425"/>
      <c r="CJ13" s="425"/>
      <c r="CK13" s="425"/>
      <c r="CL13" s="425"/>
      <c r="CM13" s="425"/>
      <c r="CN13" s="425"/>
      <c r="CO13" s="425"/>
      <c r="CP13" s="425"/>
      <c r="CQ13" s="425"/>
      <c r="CR13" s="425"/>
      <c r="CS13" s="426"/>
      <c r="CT13" s="426"/>
      <c r="CU13" s="426"/>
      <c r="CV13" s="426"/>
      <c r="CW13" s="426"/>
      <c r="CX13" s="426"/>
      <c r="CY13" s="426"/>
      <c r="CZ13" s="426"/>
      <c r="DA13" s="426"/>
      <c r="DB13" s="426"/>
      <c r="DC13" s="426"/>
      <c r="DD13" s="426"/>
      <c r="DE13" s="427"/>
      <c r="DF13" s="427"/>
      <c r="DG13" s="427"/>
      <c r="DH13" s="427"/>
      <c r="DI13" s="427"/>
      <c r="DJ13" s="427"/>
      <c r="DK13" s="427"/>
      <c r="DL13" s="427"/>
      <c r="DM13" s="427"/>
      <c r="DN13" s="427"/>
      <c r="DO13" s="427"/>
      <c r="DP13" s="427"/>
      <c r="DQ13" s="428"/>
      <c r="DR13" s="428"/>
      <c r="DS13" s="428"/>
      <c r="DT13" s="428"/>
      <c r="DU13" s="428"/>
      <c r="DV13" s="428"/>
      <c r="DW13" s="428"/>
      <c r="DX13" s="428"/>
      <c r="DY13" s="428"/>
      <c r="DZ13" s="428"/>
      <c r="EA13" s="428"/>
      <c r="EB13" s="428"/>
      <c r="EC13" s="429"/>
      <c r="ED13" s="429"/>
      <c r="EE13" s="429"/>
      <c r="EF13" s="429"/>
      <c r="EG13" s="429"/>
      <c r="EH13" s="429"/>
      <c r="EI13" s="429"/>
      <c r="EJ13" s="429"/>
      <c r="EK13" s="429"/>
      <c r="EL13" s="429"/>
      <c r="EM13" s="429"/>
      <c r="EN13" s="429"/>
      <c r="EO13" s="430"/>
      <c r="EP13" s="430"/>
      <c r="EQ13" s="430"/>
      <c r="ER13" s="430"/>
      <c r="ES13" s="430"/>
      <c r="ET13" s="430"/>
      <c r="EU13" s="430"/>
      <c r="EV13" s="430"/>
      <c r="EW13" s="430"/>
      <c r="EX13" s="430"/>
      <c r="EY13" s="430"/>
      <c r="EZ13" s="430"/>
      <c r="FA13" s="431"/>
      <c r="FB13" s="431"/>
      <c r="FC13" s="431"/>
      <c r="FD13" s="431"/>
      <c r="FE13" s="431"/>
      <c r="FF13" s="431"/>
      <c r="FG13" s="431"/>
      <c r="FH13" s="431"/>
      <c r="FI13" s="431"/>
      <c r="FJ13" s="431"/>
      <c r="FK13" s="431"/>
      <c r="FL13" s="431"/>
      <c r="FM13" s="432"/>
      <c r="FN13" s="432"/>
      <c r="FO13" s="432"/>
      <c r="FP13" s="432"/>
      <c r="FQ13" s="432"/>
      <c r="FR13" s="432"/>
      <c r="FS13" s="432"/>
      <c r="FT13" s="432"/>
      <c r="FU13" s="432"/>
      <c r="FV13" s="432"/>
      <c r="FW13" s="432"/>
      <c r="FX13" s="432"/>
      <c r="FY13" s="433"/>
      <c r="FZ13" s="433"/>
      <c r="GA13" s="433"/>
      <c r="GB13" s="433"/>
      <c r="GC13" s="433"/>
      <c r="GD13" s="433"/>
      <c r="GE13" s="433"/>
      <c r="GF13" s="433"/>
      <c r="GG13" s="433"/>
      <c r="GH13" s="433"/>
      <c r="GI13" s="433"/>
      <c r="GJ13" s="433"/>
    </row>
    <row r="14" customFormat="false" ht="15" hidden="false" customHeight="false" outlineLevel="0" collapsed="false">
      <c r="B14" s="214" t="s">
        <v>1425</v>
      </c>
      <c r="C14" s="214" t="s">
        <v>3734</v>
      </c>
      <c r="D14" s="214"/>
      <c r="E14" s="214" t="s">
        <v>3735</v>
      </c>
      <c r="F14" s="214" t="s">
        <v>1860</v>
      </c>
      <c r="G14" s="214" t="s">
        <v>1712</v>
      </c>
      <c r="H14" s="214" t="s">
        <v>1751</v>
      </c>
      <c r="I14" s="214" t="s">
        <v>615</v>
      </c>
      <c r="J14" s="214" t="s">
        <v>476</v>
      </c>
      <c r="K14" s="214" t="s">
        <v>3679</v>
      </c>
      <c r="L14" s="214" t="s">
        <v>1874</v>
      </c>
      <c r="M14" s="419" t="n">
        <v>0</v>
      </c>
      <c r="N14" s="419" t="n">
        <v>0</v>
      </c>
      <c r="O14" s="419" t="n">
        <v>0</v>
      </c>
      <c r="P14" s="419" t="n">
        <v>0</v>
      </c>
      <c r="Q14" s="419" t="n">
        <v>0</v>
      </c>
      <c r="R14" s="419" t="n">
        <v>0</v>
      </c>
      <c r="S14" s="419" t="n">
        <v>0</v>
      </c>
      <c r="T14" s="419" t="n">
        <v>0</v>
      </c>
      <c r="U14" s="419" t="n">
        <v>0</v>
      </c>
      <c r="V14" s="419" t="n">
        <v>0</v>
      </c>
      <c r="W14" s="419" t="n">
        <v>0</v>
      </c>
      <c r="X14" s="419" t="n">
        <v>0</v>
      </c>
      <c r="Y14" s="420" t="n">
        <v>0.208333333333333</v>
      </c>
      <c r="Z14" s="420" t="n">
        <v>0.208333333333333</v>
      </c>
      <c r="AA14" s="420" t="n">
        <v>0.208333333333333</v>
      </c>
      <c r="AB14" s="420" t="n">
        <v>0.208333333333333</v>
      </c>
      <c r="AC14" s="420" t="n">
        <v>0.208333333333333</v>
      </c>
      <c r="AD14" s="420" t="n">
        <v>0.208333333333333</v>
      </c>
      <c r="AE14" s="420" t="n">
        <v>0.208333333333333</v>
      </c>
      <c r="AF14" s="420" t="n">
        <v>0.208333333333333</v>
      </c>
      <c r="AG14" s="420" t="n">
        <v>0.208333333333333</v>
      </c>
      <c r="AH14" s="420" t="n">
        <v>0.208333333333333</v>
      </c>
      <c r="AI14" s="420" t="n">
        <v>0.208333333333333</v>
      </c>
      <c r="AJ14" s="420" t="n">
        <v>0.208333333333333</v>
      </c>
      <c r="AK14" s="421"/>
      <c r="AL14" s="421"/>
      <c r="AM14" s="421"/>
      <c r="AN14" s="421"/>
      <c r="AO14" s="421"/>
      <c r="AP14" s="421"/>
      <c r="AQ14" s="421"/>
      <c r="AR14" s="421"/>
      <c r="AS14" s="421"/>
      <c r="AT14" s="421"/>
      <c r="AU14" s="421"/>
      <c r="AV14" s="421"/>
      <c r="AW14" s="422"/>
      <c r="AX14" s="422"/>
      <c r="AY14" s="422"/>
      <c r="AZ14" s="422"/>
      <c r="BA14" s="422"/>
      <c r="BB14" s="422"/>
      <c r="BC14" s="422"/>
      <c r="BD14" s="422"/>
      <c r="BE14" s="422"/>
      <c r="BF14" s="422"/>
      <c r="BG14" s="422"/>
      <c r="BH14" s="422"/>
      <c r="BI14" s="423"/>
      <c r="BJ14" s="423"/>
      <c r="BK14" s="423"/>
      <c r="BL14" s="423"/>
      <c r="BM14" s="423"/>
      <c r="BN14" s="423"/>
      <c r="BO14" s="423"/>
      <c r="BP14" s="423"/>
      <c r="BQ14" s="423"/>
      <c r="BR14" s="423"/>
      <c r="BS14" s="423"/>
      <c r="BT14" s="423"/>
      <c r="BU14" s="424"/>
      <c r="BV14" s="424"/>
      <c r="BW14" s="424"/>
      <c r="BX14" s="424"/>
      <c r="BY14" s="424"/>
      <c r="BZ14" s="424"/>
      <c r="CA14" s="424"/>
      <c r="CB14" s="424"/>
      <c r="CC14" s="424"/>
      <c r="CD14" s="424"/>
      <c r="CE14" s="424"/>
      <c r="CF14" s="424"/>
      <c r="CG14" s="425"/>
      <c r="CH14" s="425"/>
      <c r="CI14" s="425"/>
      <c r="CJ14" s="425"/>
      <c r="CK14" s="425"/>
      <c r="CL14" s="425"/>
      <c r="CM14" s="425"/>
      <c r="CN14" s="425"/>
      <c r="CO14" s="425"/>
      <c r="CP14" s="425"/>
      <c r="CQ14" s="425"/>
      <c r="CR14" s="425"/>
      <c r="CS14" s="426"/>
      <c r="CT14" s="426"/>
      <c r="CU14" s="426"/>
      <c r="CV14" s="426"/>
      <c r="CW14" s="426"/>
      <c r="CX14" s="426"/>
      <c r="CY14" s="426"/>
      <c r="CZ14" s="426"/>
      <c r="DA14" s="426"/>
      <c r="DB14" s="426"/>
      <c r="DC14" s="426"/>
      <c r="DD14" s="426"/>
      <c r="DE14" s="427"/>
      <c r="DF14" s="427"/>
      <c r="DG14" s="427"/>
      <c r="DH14" s="427"/>
      <c r="DI14" s="427"/>
      <c r="DJ14" s="427"/>
      <c r="DK14" s="427"/>
      <c r="DL14" s="427"/>
      <c r="DM14" s="427"/>
      <c r="DN14" s="427"/>
      <c r="DO14" s="427"/>
      <c r="DP14" s="427"/>
      <c r="DQ14" s="428"/>
      <c r="DR14" s="428"/>
      <c r="DS14" s="428"/>
      <c r="DT14" s="428"/>
      <c r="DU14" s="428"/>
      <c r="DV14" s="428"/>
      <c r="DW14" s="428"/>
      <c r="DX14" s="428"/>
      <c r="DY14" s="428"/>
      <c r="DZ14" s="428"/>
      <c r="EA14" s="428"/>
      <c r="EB14" s="428"/>
      <c r="EC14" s="429"/>
      <c r="ED14" s="429"/>
      <c r="EE14" s="429"/>
      <c r="EF14" s="429"/>
      <c r="EG14" s="429"/>
      <c r="EH14" s="429"/>
      <c r="EI14" s="429"/>
      <c r="EJ14" s="429"/>
      <c r="EK14" s="429"/>
      <c r="EL14" s="429"/>
      <c r="EM14" s="429"/>
      <c r="EN14" s="429"/>
      <c r="EO14" s="430"/>
      <c r="EP14" s="430"/>
      <c r="EQ14" s="430"/>
      <c r="ER14" s="430"/>
      <c r="ES14" s="430"/>
      <c r="ET14" s="430"/>
      <c r="EU14" s="430"/>
      <c r="EV14" s="430"/>
      <c r="EW14" s="430"/>
      <c r="EX14" s="430"/>
      <c r="EY14" s="430"/>
      <c r="EZ14" s="430"/>
      <c r="FA14" s="431"/>
      <c r="FB14" s="431"/>
      <c r="FC14" s="431"/>
      <c r="FD14" s="431"/>
      <c r="FE14" s="431"/>
      <c r="FF14" s="431"/>
      <c r="FG14" s="431"/>
      <c r="FH14" s="431"/>
      <c r="FI14" s="431"/>
      <c r="FJ14" s="431"/>
      <c r="FK14" s="431"/>
      <c r="FL14" s="431"/>
      <c r="FM14" s="432"/>
      <c r="FN14" s="432"/>
      <c r="FO14" s="432"/>
      <c r="FP14" s="432"/>
      <c r="FQ14" s="432"/>
      <c r="FR14" s="432"/>
      <c r="FS14" s="432"/>
      <c r="FT14" s="432"/>
      <c r="FU14" s="432"/>
      <c r="FV14" s="432"/>
      <c r="FW14" s="432"/>
      <c r="FX14" s="432"/>
      <c r="FY14" s="433"/>
      <c r="FZ14" s="433"/>
      <c r="GA14" s="433"/>
      <c r="GB14" s="433"/>
      <c r="GC14" s="433"/>
      <c r="GD14" s="433"/>
      <c r="GE14" s="433"/>
      <c r="GF14" s="433"/>
      <c r="GG14" s="433"/>
      <c r="GH14" s="433"/>
      <c r="GI14" s="433"/>
      <c r="GJ14" s="433"/>
    </row>
    <row r="15" customFormat="false" ht="15" hidden="false" customHeight="false" outlineLevel="0" collapsed="false">
      <c r="B15" s="214" t="s">
        <v>1425</v>
      </c>
      <c r="C15" s="214" t="s">
        <v>3734</v>
      </c>
      <c r="D15" s="214"/>
      <c r="E15" s="214" t="s">
        <v>3735</v>
      </c>
      <c r="F15" s="214" t="s">
        <v>1860</v>
      </c>
      <c r="G15" s="214" t="s">
        <v>1712</v>
      </c>
      <c r="H15" s="214" t="s">
        <v>1752</v>
      </c>
      <c r="I15" s="214" t="s">
        <v>615</v>
      </c>
      <c r="J15" s="214" t="s">
        <v>476</v>
      </c>
      <c r="K15" s="214" t="s">
        <v>3679</v>
      </c>
      <c r="L15" s="214" t="s">
        <v>1874</v>
      </c>
      <c r="M15" s="419" t="n">
        <v>0</v>
      </c>
      <c r="N15" s="419" t="n">
        <v>0</v>
      </c>
      <c r="O15" s="419" t="n">
        <v>0</v>
      </c>
      <c r="P15" s="419" t="n">
        <v>0</v>
      </c>
      <c r="Q15" s="419" t="n">
        <v>0</v>
      </c>
      <c r="R15" s="419" t="n">
        <v>0</v>
      </c>
      <c r="S15" s="419" t="n">
        <v>0</v>
      </c>
      <c r="T15" s="419" t="n">
        <v>0</v>
      </c>
      <c r="U15" s="419" t="n">
        <v>0</v>
      </c>
      <c r="V15" s="419" t="n">
        <v>0</v>
      </c>
      <c r="W15" s="419" t="n">
        <v>0</v>
      </c>
      <c r="X15" s="419" t="n">
        <v>0</v>
      </c>
      <c r="Y15" s="420" t="n">
        <v>0.418333333333333</v>
      </c>
      <c r="Z15" s="420" t="n">
        <v>0.418333333333333</v>
      </c>
      <c r="AA15" s="420" t="n">
        <v>0.418333333333333</v>
      </c>
      <c r="AB15" s="420" t="n">
        <v>0.418333333333333</v>
      </c>
      <c r="AC15" s="420" t="n">
        <v>0.418333333333333</v>
      </c>
      <c r="AD15" s="420" t="n">
        <v>0.418333333333333</v>
      </c>
      <c r="AE15" s="420" t="n">
        <v>0.418333333333333</v>
      </c>
      <c r="AF15" s="420" t="n">
        <v>0.418333333333333</v>
      </c>
      <c r="AG15" s="420" t="n">
        <v>0.418333333333333</v>
      </c>
      <c r="AH15" s="420" t="n">
        <v>0.418333333333333</v>
      </c>
      <c r="AI15" s="420" t="n">
        <v>0.418333333333333</v>
      </c>
      <c r="AJ15" s="420" t="n">
        <v>0.418333333333333</v>
      </c>
      <c r="AK15" s="421"/>
      <c r="AL15" s="421"/>
      <c r="AM15" s="421"/>
      <c r="AN15" s="421"/>
      <c r="AO15" s="421"/>
      <c r="AP15" s="421"/>
      <c r="AQ15" s="421"/>
      <c r="AR15" s="421"/>
      <c r="AS15" s="421"/>
      <c r="AT15" s="421"/>
      <c r="AU15" s="421"/>
      <c r="AV15" s="421"/>
      <c r="AW15" s="422"/>
      <c r="AX15" s="422"/>
      <c r="AY15" s="422"/>
      <c r="AZ15" s="422"/>
      <c r="BA15" s="422"/>
      <c r="BB15" s="422"/>
      <c r="BC15" s="422"/>
      <c r="BD15" s="422"/>
      <c r="BE15" s="422"/>
      <c r="BF15" s="422"/>
      <c r="BG15" s="422"/>
      <c r="BH15" s="422"/>
      <c r="BI15" s="423"/>
      <c r="BJ15" s="423"/>
      <c r="BK15" s="423"/>
      <c r="BL15" s="423"/>
      <c r="BM15" s="423"/>
      <c r="BN15" s="423"/>
      <c r="BO15" s="423"/>
      <c r="BP15" s="423"/>
      <c r="BQ15" s="423"/>
      <c r="BR15" s="423"/>
      <c r="BS15" s="423"/>
      <c r="BT15" s="423"/>
      <c r="BU15" s="424"/>
      <c r="BV15" s="424"/>
      <c r="BW15" s="424"/>
      <c r="BX15" s="424"/>
      <c r="BY15" s="424"/>
      <c r="BZ15" s="424"/>
      <c r="CA15" s="424"/>
      <c r="CB15" s="424"/>
      <c r="CC15" s="424"/>
      <c r="CD15" s="424"/>
      <c r="CE15" s="424"/>
      <c r="CF15" s="424"/>
      <c r="CG15" s="425"/>
      <c r="CH15" s="425"/>
      <c r="CI15" s="425"/>
      <c r="CJ15" s="425"/>
      <c r="CK15" s="425"/>
      <c r="CL15" s="425"/>
      <c r="CM15" s="425"/>
      <c r="CN15" s="425"/>
      <c r="CO15" s="425"/>
      <c r="CP15" s="425"/>
      <c r="CQ15" s="425"/>
      <c r="CR15" s="425"/>
      <c r="CS15" s="426"/>
      <c r="CT15" s="426"/>
      <c r="CU15" s="426"/>
      <c r="CV15" s="426"/>
      <c r="CW15" s="426"/>
      <c r="CX15" s="426"/>
      <c r="CY15" s="426"/>
      <c r="CZ15" s="426"/>
      <c r="DA15" s="426"/>
      <c r="DB15" s="426"/>
      <c r="DC15" s="426"/>
      <c r="DD15" s="426"/>
      <c r="DE15" s="427"/>
      <c r="DF15" s="427"/>
      <c r="DG15" s="427"/>
      <c r="DH15" s="427"/>
      <c r="DI15" s="427"/>
      <c r="DJ15" s="427"/>
      <c r="DK15" s="427"/>
      <c r="DL15" s="427"/>
      <c r="DM15" s="427"/>
      <c r="DN15" s="427"/>
      <c r="DO15" s="427"/>
      <c r="DP15" s="427"/>
      <c r="DQ15" s="428"/>
      <c r="DR15" s="428"/>
      <c r="DS15" s="428"/>
      <c r="DT15" s="428"/>
      <c r="DU15" s="428"/>
      <c r="DV15" s="428"/>
      <c r="DW15" s="428"/>
      <c r="DX15" s="428"/>
      <c r="DY15" s="428"/>
      <c r="DZ15" s="428"/>
      <c r="EA15" s="428"/>
      <c r="EB15" s="428"/>
      <c r="EC15" s="429"/>
      <c r="ED15" s="429"/>
      <c r="EE15" s="429"/>
      <c r="EF15" s="429"/>
      <c r="EG15" s="429"/>
      <c r="EH15" s="429"/>
      <c r="EI15" s="429"/>
      <c r="EJ15" s="429"/>
      <c r="EK15" s="429"/>
      <c r="EL15" s="429"/>
      <c r="EM15" s="429"/>
      <c r="EN15" s="429"/>
      <c r="EO15" s="430"/>
      <c r="EP15" s="430"/>
      <c r="EQ15" s="430"/>
      <c r="ER15" s="430"/>
      <c r="ES15" s="430"/>
      <c r="ET15" s="430"/>
      <c r="EU15" s="430"/>
      <c r="EV15" s="430"/>
      <c r="EW15" s="430"/>
      <c r="EX15" s="430"/>
      <c r="EY15" s="430"/>
      <c r="EZ15" s="430"/>
      <c r="FA15" s="431"/>
      <c r="FB15" s="431"/>
      <c r="FC15" s="431"/>
      <c r="FD15" s="431"/>
      <c r="FE15" s="431"/>
      <c r="FF15" s="431"/>
      <c r="FG15" s="431"/>
      <c r="FH15" s="431"/>
      <c r="FI15" s="431"/>
      <c r="FJ15" s="431"/>
      <c r="FK15" s="431"/>
      <c r="FL15" s="431"/>
      <c r="FM15" s="432"/>
      <c r="FN15" s="432"/>
      <c r="FO15" s="432"/>
      <c r="FP15" s="432"/>
      <c r="FQ15" s="432"/>
      <c r="FR15" s="432"/>
      <c r="FS15" s="432"/>
      <c r="FT15" s="432"/>
      <c r="FU15" s="432"/>
      <c r="FV15" s="432"/>
      <c r="FW15" s="432"/>
      <c r="FX15" s="432"/>
      <c r="FY15" s="433"/>
      <c r="FZ15" s="433"/>
      <c r="GA15" s="433"/>
      <c r="GB15" s="433"/>
      <c r="GC15" s="433"/>
      <c r="GD15" s="433"/>
      <c r="GE15" s="433"/>
      <c r="GF15" s="433"/>
      <c r="GG15" s="433"/>
      <c r="GH15" s="433"/>
      <c r="GI15" s="433"/>
      <c r="GJ15" s="433"/>
    </row>
    <row r="16" customFormat="false" ht="15" hidden="false" customHeight="false" outlineLevel="0" collapsed="false">
      <c r="B16" s="214" t="s">
        <v>1425</v>
      </c>
      <c r="C16" s="214" t="s">
        <v>3736</v>
      </c>
      <c r="D16" s="214"/>
      <c r="E16" s="214" t="s">
        <v>3737</v>
      </c>
      <c r="F16" s="214" t="s">
        <v>1793</v>
      </c>
      <c r="G16" s="214" t="s">
        <v>1712</v>
      </c>
      <c r="H16" s="214" t="s">
        <v>1753</v>
      </c>
      <c r="I16" s="214" t="s">
        <v>1787</v>
      </c>
      <c r="J16" s="214" t="s">
        <v>483</v>
      </c>
      <c r="K16" s="214" t="s">
        <v>3679</v>
      </c>
      <c r="L16" s="214" t="s">
        <v>1874</v>
      </c>
      <c r="M16" s="419" t="n">
        <v>1</v>
      </c>
      <c r="N16" s="419" t="n">
        <v>1</v>
      </c>
      <c r="O16" s="419" t="n">
        <v>1</v>
      </c>
      <c r="P16" s="419" t="n">
        <v>1</v>
      </c>
      <c r="Q16" s="419" t="n">
        <v>1</v>
      </c>
      <c r="R16" s="419" t="n">
        <v>1</v>
      </c>
      <c r="S16" s="419" t="n">
        <v>1</v>
      </c>
      <c r="T16" s="419" t="n">
        <v>1</v>
      </c>
      <c r="U16" s="419" t="n">
        <v>1</v>
      </c>
      <c r="V16" s="419" t="n">
        <v>1</v>
      </c>
      <c r="W16" s="419" t="n">
        <v>1</v>
      </c>
      <c r="X16" s="419" t="n">
        <v>1</v>
      </c>
      <c r="Y16" s="420" t="n">
        <v>0.99</v>
      </c>
      <c r="Z16" s="420" t="n">
        <v>0.991428571428571</v>
      </c>
      <c r="AA16" s="420" t="n">
        <v>0.991428571428571</v>
      </c>
      <c r="AB16" s="420" t="n">
        <v>0.991428571428571</v>
      </c>
      <c r="AC16" s="420" t="n">
        <v>0.991428571428571</v>
      </c>
      <c r="AD16" s="420" t="n">
        <v>0.991428571428571</v>
      </c>
      <c r="AE16" s="420" t="n">
        <v>0.991428571428571</v>
      </c>
      <c r="AF16" s="420" t="n">
        <v>0.991428571428571</v>
      </c>
      <c r="AG16" s="420" t="n">
        <v>0.991428571428571</v>
      </c>
      <c r="AH16" s="420" t="n">
        <v>0.991428571428571</v>
      </c>
      <c r="AI16" s="420" t="n">
        <v>0.991428571428571</v>
      </c>
      <c r="AJ16" s="420" t="n">
        <v>0.991428571428571</v>
      </c>
      <c r="AK16" s="421"/>
      <c r="AL16" s="421"/>
      <c r="AM16" s="421"/>
      <c r="AN16" s="421"/>
      <c r="AO16" s="421"/>
      <c r="AP16" s="421"/>
      <c r="AQ16" s="421"/>
      <c r="AR16" s="421"/>
      <c r="AS16" s="421"/>
      <c r="AT16" s="421"/>
      <c r="AU16" s="421"/>
      <c r="AV16" s="421"/>
      <c r="AW16" s="422"/>
      <c r="AX16" s="422"/>
      <c r="AY16" s="422"/>
      <c r="AZ16" s="422"/>
      <c r="BA16" s="422"/>
      <c r="BB16" s="422"/>
      <c r="BC16" s="422"/>
      <c r="BD16" s="422"/>
      <c r="BE16" s="422"/>
      <c r="BF16" s="422"/>
      <c r="BG16" s="422"/>
      <c r="BH16" s="422"/>
      <c r="BI16" s="423"/>
      <c r="BJ16" s="423"/>
      <c r="BK16" s="423"/>
      <c r="BL16" s="423"/>
      <c r="BM16" s="423"/>
      <c r="BN16" s="423"/>
      <c r="BO16" s="423"/>
      <c r="BP16" s="423"/>
      <c r="BQ16" s="423"/>
      <c r="BR16" s="423"/>
      <c r="BS16" s="423"/>
      <c r="BT16" s="423"/>
      <c r="BU16" s="424"/>
      <c r="BV16" s="424"/>
      <c r="BW16" s="424"/>
      <c r="BX16" s="424"/>
      <c r="BY16" s="424"/>
      <c r="BZ16" s="424"/>
      <c r="CA16" s="424"/>
      <c r="CB16" s="424"/>
      <c r="CC16" s="424"/>
      <c r="CD16" s="424"/>
      <c r="CE16" s="424"/>
      <c r="CF16" s="424"/>
      <c r="CG16" s="425"/>
      <c r="CH16" s="425"/>
      <c r="CI16" s="425"/>
      <c r="CJ16" s="425"/>
      <c r="CK16" s="425"/>
      <c r="CL16" s="425"/>
      <c r="CM16" s="425"/>
      <c r="CN16" s="425"/>
      <c r="CO16" s="425"/>
      <c r="CP16" s="425"/>
      <c r="CQ16" s="425"/>
      <c r="CR16" s="425"/>
      <c r="CS16" s="426"/>
      <c r="CT16" s="426"/>
      <c r="CU16" s="426"/>
      <c r="CV16" s="426"/>
      <c r="CW16" s="426"/>
      <c r="CX16" s="426"/>
      <c r="CY16" s="426"/>
      <c r="CZ16" s="426"/>
      <c r="DA16" s="426"/>
      <c r="DB16" s="426"/>
      <c r="DC16" s="426"/>
      <c r="DD16" s="426"/>
      <c r="DE16" s="427"/>
      <c r="DF16" s="427"/>
      <c r="DG16" s="427"/>
      <c r="DH16" s="427"/>
      <c r="DI16" s="427"/>
      <c r="DJ16" s="427"/>
      <c r="DK16" s="427"/>
      <c r="DL16" s="427"/>
      <c r="DM16" s="427"/>
      <c r="DN16" s="427"/>
      <c r="DO16" s="427"/>
      <c r="DP16" s="427"/>
      <c r="DQ16" s="428"/>
      <c r="DR16" s="428"/>
      <c r="DS16" s="428"/>
      <c r="DT16" s="428"/>
      <c r="DU16" s="428"/>
      <c r="DV16" s="428"/>
      <c r="DW16" s="428"/>
      <c r="DX16" s="428"/>
      <c r="DY16" s="428"/>
      <c r="DZ16" s="428"/>
      <c r="EA16" s="428"/>
      <c r="EB16" s="428"/>
      <c r="EC16" s="429"/>
      <c r="ED16" s="429"/>
      <c r="EE16" s="429"/>
      <c r="EF16" s="429"/>
      <c r="EG16" s="429"/>
      <c r="EH16" s="429"/>
      <c r="EI16" s="429"/>
      <c r="EJ16" s="429"/>
      <c r="EK16" s="429"/>
      <c r="EL16" s="429"/>
      <c r="EM16" s="429"/>
      <c r="EN16" s="429"/>
      <c r="EO16" s="430"/>
      <c r="EP16" s="430"/>
      <c r="EQ16" s="430"/>
      <c r="ER16" s="430"/>
      <c r="ES16" s="430"/>
      <c r="ET16" s="430"/>
      <c r="EU16" s="430"/>
      <c r="EV16" s="430"/>
      <c r="EW16" s="430"/>
      <c r="EX16" s="430"/>
      <c r="EY16" s="430"/>
      <c r="EZ16" s="430"/>
      <c r="FA16" s="431"/>
      <c r="FB16" s="431"/>
      <c r="FC16" s="431"/>
      <c r="FD16" s="431"/>
      <c r="FE16" s="431"/>
      <c r="FF16" s="431"/>
      <c r="FG16" s="431"/>
      <c r="FH16" s="431"/>
      <c r="FI16" s="431"/>
      <c r="FJ16" s="431"/>
      <c r="FK16" s="431"/>
      <c r="FL16" s="431"/>
      <c r="FM16" s="432"/>
      <c r="FN16" s="432"/>
      <c r="FO16" s="432"/>
      <c r="FP16" s="432"/>
      <c r="FQ16" s="432"/>
      <c r="FR16" s="432"/>
      <c r="FS16" s="432"/>
      <c r="FT16" s="432"/>
      <c r="FU16" s="432"/>
      <c r="FV16" s="432"/>
      <c r="FW16" s="432"/>
      <c r="FX16" s="432"/>
      <c r="FY16" s="433"/>
      <c r="FZ16" s="433"/>
      <c r="GA16" s="433"/>
      <c r="GB16" s="433"/>
      <c r="GC16" s="433"/>
      <c r="GD16" s="433"/>
      <c r="GE16" s="433"/>
      <c r="GF16" s="433"/>
      <c r="GG16" s="433"/>
      <c r="GH16" s="433"/>
      <c r="GI16" s="433"/>
      <c r="GJ16" s="433"/>
    </row>
    <row r="17" customFormat="false" ht="15" hidden="false" customHeight="false" outlineLevel="0" collapsed="false">
      <c r="B17" s="214" t="s">
        <v>1425</v>
      </c>
      <c r="C17" s="214" t="s">
        <v>3736</v>
      </c>
      <c r="D17" s="214"/>
      <c r="E17" s="214" t="s">
        <v>3737</v>
      </c>
      <c r="F17" s="214" t="s">
        <v>1793</v>
      </c>
      <c r="G17" s="214" t="s">
        <v>1712</v>
      </c>
      <c r="H17" s="214" t="s">
        <v>1754</v>
      </c>
      <c r="I17" s="214" t="s">
        <v>1787</v>
      </c>
      <c r="J17" s="214" t="s">
        <v>483</v>
      </c>
      <c r="K17" s="214" t="s">
        <v>3679</v>
      </c>
      <c r="L17" s="214" t="s">
        <v>1874</v>
      </c>
      <c r="M17" s="419" t="n">
        <v>0</v>
      </c>
      <c r="N17" s="419" t="n">
        <v>0</v>
      </c>
      <c r="O17" s="419" t="n">
        <v>0</v>
      </c>
      <c r="P17" s="419" t="n">
        <v>0</v>
      </c>
      <c r="Q17" s="419" t="n">
        <v>0</v>
      </c>
      <c r="R17" s="419" t="n">
        <v>0</v>
      </c>
      <c r="S17" s="419" t="n">
        <v>0</v>
      </c>
      <c r="T17" s="419" t="n">
        <v>0</v>
      </c>
      <c r="U17" s="419" t="n">
        <v>0</v>
      </c>
      <c r="V17" s="419" t="n">
        <v>0</v>
      </c>
      <c r="W17" s="419" t="n">
        <v>0</v>
      </c>
      <c r="X17" s="419" t="n">
        <v>0</v>
      </c>
      <c r="Y17" s="420" t="n">
        <v>0.01</v>
      </c>
      <c r="Z17" s="420" t="n">
        <v>0.00857142857142857</v>
      </c>
      <c r="AA17" s="420" t="n">
        <v>0.00857142857142857</v>
      </c>
      <c r="AB17" s="420" t="n">
        <v>0.00857142857142857</v>
      </c>
      <c r="AC17" s="420" t="n">
        <v>0.00857142857142857</v>
      </c>
      <c r="AD17" s="420" t="n">
        <v>0.00857142857142857</v>
      </c>
      <c r="AE17" s="420" t="n">
        <v>0.00857142857142857</v>
      </c>
      <c r="AF17" s="420" t="n">
        <v>0.00857142857142857</v>
      </c>
      <c r="AG17" s="420" t="n">
        <v>0.00857142857142857</v>
      </c>
      <c r="AH17" s="420" t="n">
        <v>0.00857142857142857</v>
      </c>
      <c r="AI17" s="420" t="n">
        <v>0.00857142857142857</v>
      </c>
      <c r="AJ17" s="420" t="n">
        <v>0.00857142857142857</v>
      </c>
      <c r="AK17" s="421"/>
      <c r="AL17" s="421"/>
      <c r="AM17" s="421"/>
      <c r="AN17" s="421"/>
      <c r="AO17" s="421"/>
      <c r="AP17" s="421"/>
      <c r="AQ17" s="421"/>
      <c r="AR17" s="421"/>
      <c r="AS17" s="421"/>
      <c r="AT17" s="421"/>
      <c r="AU17" s="421"/>
      <c r="AV17" s="421"/>
      <c r="AW17" s="422"/>
      <c r="AX17" s="422"/>
      <c r="AY17" s="422"/>
      <c r="AZ17" s="422"/>
      <c r="BA17" s="422"/>
      <c r="BB17" s="422"/>
      <c r="BC17" s="422"/>
      <c r="BD17" s="422"/>
      <c r="BE17" s="422"/>
      <c r="BF17" s="422"/>
      <c r="BG17" s="422"/>
      <c r="BH17" s="422"/>
      <c r="BI17" s="423"/>
      <c r="BJ17" s="423"/>
      <c r="BK17" s="423"/>
      <c r="BL17" s="423"/>
      <c r="BM17" s="423"/>
      <c r="BN17" s="423"/>
      <c r="BO17" s="423"/>
      <c r="BP17" s="423"/>
      <c r="BQ17" s="423"/>
      <c r="BR17" s="423"/>
      <c r="BS17" s="423"/>
      <c r="BT17" s="423"/>
      <c r="BU17" s="424"/>
      <c r="BV17" s="424"/>
      <c r="BW17" s="424"/>
      <c r="BX17" s="424"/>
      <c r="BY17" s="424"/>
      <c r="BZ17" s="424"/>
      <c r="CA17" s="424"/>
      <c r="CB17" s="424"/>
      <c r="CC17" s="424"/>
      <c r="CD17" s="424"/>
      <c r="CE17" s="424"/>
      <c r="CF17" s="424"/>
      <c r="CG17" s="425"/>
      <c r="CH17" s="425"/>
      <c r="CI17" s="425"/>
      <c r="CJ17" s="425"/>
      <c r="CK17" s="425"/>
      <c r="CL17" s="425"/>
      <c r="CM17" s="425"/>
      <c r="CN17" s="425"/>
      <c r="CO17" s="425"/>
      <c r="CP17" s="425"/>
      <c r="CQ17" s="425"/>
      <c r="CR17" s="425"/>
      <c r="CS17" s="426"/>
      <c r="CT17" s="426"/>
      <c r="CU17" s="426"/>
      <c r="CV17" s="426"/>
      <c r="CW17" s="426"/>
      <c r="CX17" s="426"/>
      <c r="CY17" s="426"/>
      <c r="CZ17" s="426"/>
      <c r="DA17" s="426"/>
      <c r="DB17" s="426"/>
      <c r="DC17" s="426"/>
      <c r="DD17" s="426"/>
      <c r="DE17" s="427"/>
      <c r="DF17" s="427"/>
      <c r="DG17" s="427"/>
      <c r="DH17" s="427"/>
      <c r="DI17" s="427"/>
      <c r="DJ17" s="427"/>
      <c r="DK17" s="427"/>
      <c r="DL17" s="427"/>
      <c r="DM17" s="427"/>
      <c r="DN17" s="427"/>
      <c r="DO17" s="427"/>
      <c r="DP17" s="427"/>
      <c r="DQ17" s="428"/>
      <c r="DR17" s="428"/>
      <c r="DS17" s="428"/>
      <c r="DT17" s="428"/>
      <c r="DU17" s="428"/>
      <c r="DV17" s="428"/>
      <c r="DW17" s="428"/>
      <c r="DX17" s="428"/>
      <c r="DY17" s="428"/>
      <c r="DZ17" s="428"/>
      <c r="EA17" s="428"/>
      <c r="EB17" s="428"/>
      <c r="EC17" s="429"/>
      <c r="ED17" s="429"/>
      <c r="EE17" s="429"/>
      <c r="EF17" s="429"/>
      <c r="EG17" s="429"/>
      <c r="EH17" s="429"/>
      <c r="EI17" s="429"/>
      <c r="EJ17" s="429"/>
      <c r="EK17" s="429"/>
      <c r="EL17" s="429"/>
      <c r="EM17" s="429"/>
      <c r="EN17" s="429"/>
      <c r="EO17" s="430"/>
      <c r="EP17" s="430"/>
      <c r="EQ17" s="430"/>
      <c r="ER17" s="430"/>
      <c r="ES17" s="430"/>
      <c r="ET17" s="430"/>
      <c r="EU17" s="430"/>
      <c r="EV17" s="430"/>
      <c r="EW17" s="430"/>
      <c r="EX17" s="430"/>
      <c r="EY17" s="430"/>
      <c r="EZ17" s="430"/>
      <c r="FA17" s="431"/>
      <c r="FB17" s="431"/>
      <c r="FC17" s="431"/>
      <c r="FD17" s="431"/>
      <c r="FE17" s="431"/>
      <c r="FF17" s="431"/>
      <c r="FG17" s="431"/>
      <c r="FH17" s="431"/>
      <c r="FI17" s="431"/>
      <c r="FJ17" s="431"/>
      <c r="FK17" s="431"/>
      <c r="FL17" s="431"/>
      <c r="FM17" s="432"/>
      <c r="FN17" s="432"/>
      <c r="FO17" s="432"/>
      <c r="FP17" s="432"/>
      <c r="FQ17" s="432"/>
      <c r="FR17" s="432"/>
      <c r="FS17" s="432"/>
      <c r="FT17" s="432"/>
      <c r="FU17" s="432"/>
      <c r="FV17" s="432"/>
      <c r="FW17" s="432"/>
      <c r="FX17" s="432"/>
      <c r="FY17" s="433"/>
      <c r="FZ17" s="433"/>
      <c r="GA17" s="433"/>
      <c r="GB17" s="433"/>
      <c r="GC17" s="433"/>
      <c r="GD17" s="433"/>
      <c r="GE17" s="433"/>
      <c r="GF17" s="433"/>
      <c r="GG17" s="433"/>
      <c r="GH17" s="433"/>
      <c r="GI17" s="433"/>
      <c r="GJ17" s="433"/>
    </row>
    <row r="18" customFormat="false" ht="15" hidden="false" customHeight="false" outlineLevel="0" collapsed="false">
      <c r="B18" s="214" t="s">
        <v>1425</v>
      </c>
      <c r="C18" s="214" t="s">
        <v>3738</v>
      </c>
      <c r="D18" s="214"/>
      <c r="E18" s="214" t="s">
        <v>3739</v>
      </c>
      <c r="F18" s="214" t="s">
        <v>1958</v>
      </c>
      <c r="G18" s="214" t="s">
        <v>1712</v>
      </c>
      <c r="H18" s="214" t="s">
        <v>1755</v>
      </c>
      <c r="I18" s="214" t="s">
        <v>1808</v>
      </c>
      <c r="J18" s="214" t="s">
        <v>3686</v>
      </c>
      <c r="K18" s="214" t="s">
        <v>3679</v>
      </c>
      <c r="L18" s="214" t="s">
        <v>1874</v>
      </c>
      <c r="M18" s="419" t="n">
        <v>0</v>
      </c>
      <c r="N18" s="419" t="n">
        <v>0</v>
      </c>
      <c r="O18" s="419" t="n">
        <v>0</v>
      </c>
      <c r="P18" s="419" t="n">
        <v>0</v>
      </c>
      <c r="Q18" s="419" t="n">
        <v>0</v>
      </c>
      <c r="R18" s="419" t="n">
        <v>0</v>
      </c>
      <c r="S18" s="419" t="n">
        <v>0</v>
      </c>
      <c r="T18" s="419" t="n">
        <v>0</v>
      </c>
      <c r="U18" s="419" t="n">
        <v>0</v>
      </c>
      <c r="V18" s="419" t="n">
        <v>0</v>
      </c>
      <c r="W18" s="419" t="n">
        <v>0</v>
      </c>
      <c r="X18" s="419" t="n">
        <v>0</v>
      </c>
      <c r="Y18" s="420" t="n">
        <v>0.180220426157237</v>
      </c>
      <c r="Z18" s="420" t="n">
        <v>0.180220426157237</v>
      </c>
      <c r="AA18" s="420" t="n">
        <v>0.180220426157237</v>
      </c>
      <c r="AB18" s="420" t="n">
        <v>0.180220426157237</v>
      </c>
      <c r="AC18" s="420" t="n">
        <v>0.180220426157237</v>
      </c>
      <c r="AD18" s="420" t="n">
        <v>0.180220426157237</v>
      </c>
      <c r="AE18" s="420" t="n">
        <v>0.180220426157237</v>
      </c>
      <c r="AF18" s="420" t="n">
        <v>0.180220426157237</v>
      </c>
      <c r="AG18" s="420" t="n">
        <v>0.180220426157237</v>
      </c>
      <c r="AH18" s="420" t="n">
        <v>0.180220426157237</v>
      </c>
      <c r="AI18" s="420" t="n">
        <v>0.180220426157237</v>
      </c>
      <c r="AJ18" s="420" t="n">
        <v>0.180220426157237</v>
      </c>
      <c r="AK18" s="421"/>
      <c r="AL18" s="421"/>
      <c r="AM18" s="421"/>
      <c r="AN18" s="421"/>
      <c r="AO18" s="421"/>
      <c r="AP18" s="421"/>
      <c r="AQ18" s="421"/>
      <c r="AR18" s="421"/>
      <c r="AS18" s="421"/>
      <c r="AT18" s="421"/>
      <c r="AU18" s="421"/>
      <c r="AV18" s="421"/>
      <c r="AW18" s="422"/>
      <c r="AX18" s="422"/>
      <c r="AY18" s="422"/>
      <c r="AZ18" s="422"/>
      <c r="BA18" s="422"/>
      <c r="BB18" s="422"/>
      <c r="BC18" s="422"/>
      <c r="BD18" s="422"/>
      <c r="BE18" s="422"/>
      <c r="BF18" s="422"/>
      <c r="BG18" s="422"/>
      <c r="BH18" s="422"/>
      <c r="BI18" s="423"/>
      <c r="BJ18" s="423"/>
      <c r="BK18" s="423"/>
      <c r="BL18" s="423"/>
      <c r="BM18" s="423"/>
      <c r="BN18" s="423"/>
      <c r="BO18" s="423"/>
      <c r="BP18" s="423"/>
      <c r="BQ18" s="423"/>
      <c r="BR18" s="423"/>
      <c r="BS18" s="423"/>
      <c r="BT18" s="423"/>
      <c r="BU18" s="424"/>
      <c r="BV18" s="424"/>
      <c r="BW18" s="424"/>
      <c r="BX18" s="424"/>
      <c r="BY18" s="424"/>
      <c r="BZ18" s="424"/>
      <c r="CA18" s="424"/>
      <c r="CB18" s="424"/>
      <c r="CC18" s="424"/>
      <c r="CD18" s="424"/>
      <c r="CE18" s="424"/>
      <c r="CF18" s="424"/>
      <c r="CG18" s="425"/>
      <c r="CH18" s="425"/>
      <c r="CI18" s="425"/>
      <c r="CJ18" s="425"/>
      <c r="CK18" s="425"/>
      <c r="CL18" s="425"/>
      <c r="CM18" s="425"/>
      <c r="CN18" s="425"/>
      <c r="CO18" s="425"/>
      <c r="CP18" s="425"/>
      <c r="CQ18" s="425"/>
      <c r="CR18" s="425"/>
      <c r="CS18" s="426"/>
      <c r="CT18" s="426"/>
      <c r="CU18" s="426"/>
      <c r="CV18" s="426"/>
      <c r="CW18" s="426"/>
      <c r="CX18" s="426"/>
      <c r="CY18" s="426"/>
      <c r="CZ18" s="426"/>
      <c r="DA18" s="426"/>
      <c r="DB18" s="426"/>
      <c r="DC18" s="426"/>
      <c r="DD18" s="426"/>
      <c r="DE18" s="427"/>
      <c r="DF18" s="427"/>
      <c r="DG18" s="427"/>
      <c r="DH18" s="427"/>
      <c r="DI18" s="427"/>
      <c r="DJ18" s="427"/>
      <c r="DK18" s="427"/>
      <c r="DL18" s="427"/>
      <c r="DM18" s="427"/>
      <c r="DN18" s="427"/>
      <c r="DO18" s="427"/>
      <c r="DP18" s="427"/>
      <c r="DQ18" s="428"/>
      <c r="DR18" s="428"/>
      <c r="DS18" s="428"/>
      <c r="DT18" s="428"/>
      <c r="DU18" s="428"/>
      <c r="DV18" s="428"/>
      <c r="DW18" s="428"/>
      <c r="DX18" s="428"/>
      <c r="DY18" s="428"/>
      <c r="DZ18" s="428"/>
      <c r="EA18" s="428"/>
      <c r="EB18" s="428"/>
      <c r="EC18" s="429"/>
      <c r="ED18" s="429"/>
      <c r="EE18" s="429"/>
      <c r="EF18" s="429"/>
      <c r="EG18" s="429"/>
      <c r="EH18" s="429"/>
      <c r="EI18" s="429"/>
      <c r="EJ18" s="429"/>
      <c r="EK18" s="429"/>
      <c r="EL18" s="429"/>
      <c r="EM18" s="429"/>
      <c r="EN18" s="429"/>
      <c r="EO18" s="430"/>
      <c r="EP18" s="430"/>
      <c r="EQ18" s="430"/>
      <c r="ER18" s="430"/>
      <c r="ES18" s="430"/>
      <c r="ET18" s="430"/>
      <c r="EU18" s="430"/>
      <c r="EV18" s="430"/>
      <c r="EW18" s="430"/>
      <c r="EX18" s="430"/>
      <c r="EY18" s="430"/>
      <c r="EZ18" s="430"/>
      <c r="FA18" s="431"/>
      <c r="FB18" s="431"/>
      <c r="FC18" s="431"/>
      <c r="FD18" s="431"/>
      <c r="FE18" s="431"/>
      <c r="FF18" s="431"/>
      <c r="FG18" s="431"/>
      <c r="FH18" s="431"/>
      <c r="FI18" s="431"/>
      <c r="FJ18" s="431"/>
      <c r="FK18" s="431"/>
      <c r="FL18" s="431"/>
      <c r="FM18" s="432"/>
      <c r="FN18" s="432"/>
      <c r="FO18" s="432"/>
      <c r="FP18" s="432"/>
      <c r="FQ18" s="432"/>
      <c r="FR18" s="432"/>
      <c r="FS18" s="432"/>
      <c r="FT18" s="432"/>
      <c r="FU18" s="432"/>
      <c r="FV18" s="432"/>
      <c r="FW18" s="432"/>
      <c r="FX18" s="432"/>
      <c r="FY18" s="433"/>
      <c r="FZ18" s="433"/>
      <c r="GA18" s="433"/>
      <c r="GB18" s="433"/>
      <c r="GC18" s="433"/>
      <c r="GD18" s="433"/>
      <c r="GE18" s="433"/>
      <c r="GF18" s="433"/>
      <c r="GG18" s="433"/>
      <c r="GH18" s="433"/>
      <c r="GI18" s="433"/>
      <c r="GJ18" s="433"/>
    </row>
    <row r="19" customFormat="false" ht="15" hidden="false" customHeight="false" outlineLevel="0" collapsed="false">
      <c r="B19" s="214" t="s">
        <v>1425</v>
      </c>
      <c r="C19" s="214" t="s">
        <v>3738</v>
      </c>
      <c r="D19" s="214"/>
      <c r="E19" s="214" t="s">
        <v>3739</v>
      </c>
      <c r="F19" s="214" t="s">
        <v>1958</v>
      </c>
      <c r="G19" s="214" t="s">
        <v>1712</v>
      </c>
      <c r="H19" s="214" t="s">
        <v>1756</v>
      </c>
      <c r="I19" s="214" t="s">
        <v>1808</v>
      </c>
      <c r="J19" s="214" t="s">
        <v>3686</v>
      </c>
      <c r="K19" s="214" t="s">
        <v>3679</v>
      </c>
      <c r="L19" s="214" t="s">
        <v>1874</v>
      </c>
      <c r="M19" s="419" t="n">
        <v>0</v>
      </c>
      <c r="N19" s="419" t="n">
        <v>0</v>
      </c>
      <c r="O19" s="419" t="n">
        <v>0</v>
      </c>
      <c r="P19" s="419" t="n">
        <v>0</v>
      </c>
      <c r="Q19" s="419" t="n">
        <v>0</v>
      </c>
      <c r="R19" s="419" t="n">
        <v>0</v>
      </c>
      <c r="S19" s="419" t="n">
        <v>0</v>
      </c>
      <c r="T19" s="419" t="n">
        <v>0</v>
      </c>
      <c r="U19" s="419" t="n">
        <v>0</v>
      </c>
      <c r="V19" s="419" t="n">
        <v>0</v>
      </c>
      <c r="W19" s="419" t="n">
        <v>0</v>
      </c>
      <c r="X19" s="419" t="n">
        <v>0</v>
      </c>
      <c r="Y19" s="420" t="n">
        <v>0.21948567229978</v>
      </c>
      <c r="Z19" s="420" t="n">
        <v>0.21948567229978</v>
      </c>
      <c r="AA19" s="420" t="n">
        <v>0.21948567229978</v>
      </c>
      <c r="AB19" s="420" t="n">
        <v>0.21948567229978</v>
      </c>
      <c r="AC19" s="420" t="n">
        <v>0.21948567229978</v>
      </c>
      <c r="AD19" s="420" t="n">
        <v>0.21948567229978</v>
      </c>
      <c r="AE19" s="420" t="n">
        <v>0.21948567229978</v>
      </c>
      <c r="AF19" s="420" t="n">
        <v>0.21948567229978</v>
      </c>
      <c r="AG19" s="420" t="n">
        <v>0.21948567229978</v>
      </c>
      <c r="AH19" s="420" t="n">
        <v>0.21948567229978</v>
      </c>
      <c r="AI19" s="420" t="n">
        <v>0.21948567229978</v>
      </c>
      <c r="AJ19" s="420" t="n">
        <v>0.21948567229978</v>
      </c>
      <c r="AK19" s="421"/>
      <c r="AL19" s="421"/>
      <c r="AM19" s="421"/>
      <c r="AN19" s="421"/>
      <c r="AO19" s="421"/>
      <c r="AP19" s="421"/>
      <c r="AQ19" s="421"/>
      <c r="AR19" s="421"/>
      <c r="AS19" s="421"/>
      <c r="AT19" s="421"/>
      <c r="AU19" s="421"/>
      <c r="AV19" s="421"/>
      <c r="AW19" s="422"/>
      <c r="AX19" s="422"/>
      <c r="AY19" s="422"/>
      <c r="AZ19" s="422"/>
      <c r="BA19" s="422"/>
      <c r="BB19" s="422"/>
      <c r="BC19" s="422"/>
      <c r="BD19" s="422"/>
      <c r="BE19" s="422"/>
      <c r="BF19" s="422"/>
      <c r="BG19" s="422"/>
      <c r="BH19" s="422"/>
      <c r="BI19" s="423"/>
      <c r="BJ19" s="423"/>
      <c r="BK19" s="423"/>
      <c r="BL19" s="423"/>
      <c r="BM19" s="423"/>
      <c r="BN19" s="423"/>
      <c r="BO19" s="423"/>
      <c r="BP19" s="423"/>
      <c r="BQ19" s="423"/>
      <c r="BR19" s="423"/>
      <c r="BS19" s="423"/>
      <c r="BT19" s="423"/>
      <c r="BU19" s="424"/>
      <c r="BV19" s="424"/>
      <c r="BW19" s="424"/>
      <c r="BX19" s="424"/>
      <c r="BY19" s="424"/>
      <c r="BZ19" s="424"/>
      <c r="CA19" s="424"/>
      <c r="CB19" s="424"/>
      <c r="CC19" s="424"/>
      <c r="CD19" s="424"/>
      <c r="CE19" s="424"/>
      <c r="CF19" s="424"/>
      <c r="CG19" s="425"/>
      <c r="CH19" s="425"/>
      <c r="CI19" s="425"/>
      <c r="CJ19" s="425"/>
      <c r="CK19" s="425"/>
      <c r="CL19" s="425"/>
      <c r="CM19" s="425"/>
      <c r="CN19" s="425"/>
      <c r="CO19" s="425"/>
      <c r="CP19" s="425"/>
      <c r="CQ19" s="425"/>
      <c r="CR19" s="425"/>
      <c r="CS19" s="426"/>
      <c r="CT19" s="426"/>
      <c r="CU19" s="426"/>
      <c r="CV19" s="426"/>
      <c r="CW19" s="426"/>
      <c r="CX19" s="426"/>
      <c r="CY19" s="426"/>
      <c r="CZ19" s="426"/>
      <c r="DA19" s="426"/>
      <c r="DB19" s="426"/>
      <c r="DC19" s="426"/>
      <c r="DD19" s="426"/>
      <c r="DE19" s="427"/>
      <c r="DF19" s="427"/>
      <c r="DG19" s="427"/>
      <c r="DH19" s="427"/>
      <c r="DI19" s="427"/>
      <c r="DJ19" s="427"/>
      <c r="DK19" s="427"/>
      <c r="DL19" s="427"/>
      <c r="DM19" s="427"/>
      <c r="DN19" s="427"/>
      <c r="DO19" s="427"/>
      <c r="DP19" s="427"/>
      <c r="DQ19" s="428"/>
      <c r="DR19" s="428"/>
      <c r="DS19" s="428"/>
      <c r="DT19" s="428"/>
      <c r="DU19" s="428"/>
      <c r="DV19" s="428"/>
      <c r="DW19" s="428"/>
      <c r="DX19" s="428"/>
      <c r="DY19" s="428"/>
      <c r="DZ19" s="428"/>
      <c r="EA19" s="428"/>
      <c r="EB19" s="428"/>
      <c r="EC19" s="429"/>
      <c r="ED19" s="429"/>
      <c r="EE19" s="429"/>
      <c r="EF19" s="429"/>
      <c r="EG19" s="429"/>
      <c r="EH19" s="429"/>
      <c r="EI19" s="429"/>
      <c r="EJ19" s="429"/>
      <c r="EK19" s="429"/>
      <c r="EL19" s="429"/>
      <c r="EM19" s="429"/>
      <c r="EN19" s="429"/>
      <c r="EO19" s="430"/>
      <c r="EP19" s="430"/>
      <c r="EQ19" s="430"/>
      <c r="ER19" s="430"/>
      <c r="ES19" s="430"/>
      <c r="ET19" s="430"/>
      <c r="EU19" s="430"/>
      <c r="EV19" s="430"/>
      <c r="EW19" s="430"/>
      <c r="EX19" s="430"/>
      <c r="EY19" s="430"/>
      <c r="EZ19" s="430"/>
      <c r="FA19" s="431"/>
      <c r="FB19" s="431"/>
      <c r="FC19" s="431"/>
      <c r="FD19" s="431"/>
      <c r="FE19" s="431"/>
      <c r="FF19" s="431"/>
      <c r="FG19" s="431"/>
      <c r="FH19" s="431"/>
      <c r="FI19" s="431"/>
      <c r="FJ19" s="431"/>
      <c r="FK19" s="431"/>
      <c r="FL19" s="431"/>
      <c r="FM19" s="432"/>
      <c r="FN19" s="432"/>
      <c r="FO19" s="432"/>
      <c r="FP19" s="432"/>
      <c r="FQ19" s="432"/>
      <c r="FR19" s="432"/>
      <c r="FS19" s="432"/>
      <c r="FT19" s="432"/>
      <c r="FU19" s="432"/>
      <c r="FV19" s="432"/>
      <c r="FW19" s="432"/>
      <c r="FX19" s="432"/>
      <c r="FY19" s="433"/>
      <c r="FZ19" s="433"/>
      <c r="GA19" s="433"/>
      <c r="GB19" s="433"/>
      <c r="GC19" s="433"/>
      <c r="GD19" s="433"/>
      <c r="GE19" s="433"/>
      <c r="GF19" s="433"/>
      <c r="GG19" s="433"/>
      <c r="GH19" s="433"/>
      <c r="GI19" s="433"/>
      <c r="GJ19" s="433"/>
    </row>
    <row r="20" customFormat="false" ht="15" hidden="false" customHeight="false" outlineLevel="0" collapsed="false">
      <c r="B20" s="214" t="s">
        <v>1425</v>
      </c>
      <c r="C20" s="214" t="s">
        <v>3740</v>
      </c>
      <c r="D20" s="214"/>
      <c r="E20" s="214" t="s">
        <v>3741</v>
      </c>
      <c r="F20" s="214" t="s">
        <v>1960</v>
      </c>
      <c r="G20" s="214" t="s">
        <v>1712</v>
      </c>
      <c r="H20" s="214" t="s">
        <v>1757</v>
      </c>
      <c r="I20" s="214" t="s">
        <v>1808</v>
      </c>
      <c r="J20" s="214" t="s">
        <v>3742</v>
      </c>
      <c r="K20" s="214" t="s">
        <v>3679</v>
      </c>
      <c r="L20" s="214" t="s">
        <v>1874</v>
      </c>
      <c r="M20" s="419" t="n">
        <v>0</v>
      </c>
      <c r="N20" s="419" t="n">
        <v>0</v>
      </c>
      <c r="O20" s="419" t="n">
        <v>0</v>
      </c>
      <c r="P20" s="419" t="n">
        <v>0</v>
      </c>
      <c r="Q20" s="419" t="n">
        <v>0</v>
      </c>
      <c r="R20" s="419" t="n">
        <v>0</v>
      </c>
      <c r="S20" s="419" t="n">
        <v>0</v>
      </c>
      <c r="T20" s="419" t="n">
        <v>0</v>
      </c>
      <c r="U20" s="419" t="n">
        <v>0</v>
      </c>
      <c r="V20" s="419" t="n">
        <v>0</v>
      </c>
      <c r="W20" s="419" t="n">
        <v>0</v>
      </c>
      <c r="X20" s="419" t="n">
        <v>0</v>
      </c>
      <c r="Y20" s="420" t="n">
        <v>0.003125</v>
      </c>
      <c r="Z20" s="420" t="n">
        <v>0.003125</v>
      </c>
      <c r="AA20" s="420" t="n">
        <v>0.003125</v>
      </c>
      <c r="AB20" s="420" t="n">
        <v>0.003125</v>
      </c>
      <c r="AC20" s="420" t="n">
        <v>0.003125</v>
      </c>
      <c r="AD20" s="420" t="n">
        <v>0.003125</v>
      </c>
      <c r="AE20" s="420" t="n">
        <v>0.003125</v>
      </c>
      <c r="AF20" s="420" t="n">
        <v>0.003125</v>
      </c>
      <c r="AG20" s="420" t="n">
        <v>0.003125</v>
      </c>
      <c r="AH20" s="420" t="n">
        <v>0.003125</v>
      </c>
      <c r="AI20" s="420" t="n">
        <v>0.003125</v>
      </c>
      <c r="AJ20" s="420" t="n">
        <v>0.003125</v>
      </c>
      <c r="AK20" s="421"/>
      <c r="AL20" s="421"/>
      <c r="AM20" s="421"/>
      <c r="AN20" s="421"/>
      <c r="AO20" s="421"/>
      <c r="AP20" s="421"/>
      <c r="AQ20" s="421"/>
      <c r="AR20" s="421"/>
      <c r="AS20" s="421"/>
      <c r="AT20" s="421"/>
      <c r="AU20" s="421"/>
      <c r="AV20" s="421"/>
      <c r="AW20" s="422"/>
      <c r="AX20" s="422"/>
      <c r="AY20" s="422"/>
      <c r="AZ20" s="422"/>
      <c r="BA20" s="422"/>
      <c r="BB20" s="422"/>
      <c r="BC20" s="422"/>
      <c r="BD20" s="422"/>
      <c r="BE20" s="422"/>
      <c r="BF20" s="422"/>
      <c r="BG20" s="422"/>
      <c r="BH20" s="422"/>
      <c r="BI20" s="423"/>
      <c r="BJ20" s="423"/>
      <c r="BK20" s="423"/>
      <c r="BL20" s="423"/>
      <c r="BM20" s="423"/>
      <c r="BN20" s="423"/>
      <c r="BO20" s="423"/>
      <c r="BP20" s="423"/>
      <c r="BQ20" s="423"/>
      <c r="BR20" s="423"/>
      <c r="BS20" s="423"/>
      <c r="BT20" s="423"/>
      <c r="BU20" s="424"/>
      <c r="BV20" s="424"/>
      <c r="BW20" s="424"/>
      <c r="BX20" s="424"/>
      <c r="BY20" s="424"/>
      <c r="BZ20" s="424"/>
      <c r="CA20" s="424"/>
      <c r="CB20" s="424"/>
      <c r="CC20" s="424"/>
      <c r="CD20" s="424"/>
      <c r="CE20" s="424"/>
      <c r="CF20" s="424"/>
      <c r="CG20" s="425"/>
      <c r="CH20" s="425"/>
      <c r="CI20" s="425"/>
      <c r="CJ20" s="425"/>
      <c r="CK20" s="425"/>
      <c r="CL20" s="425"/>
      <c r="CM20" s="425"/>
      <c r="CN20" s="425"/>
      <c r="CO20" s="425"/>
      <c r="CP20" s="425"/>
      <c r="CQ20" s="425"/>
      <c r="CR20" s="425"/>
      <c r="CS20" s="426"/>
      <c r="CT20" s="426"/>
      <c r="CU20" s="426"/>
      <c r="CV20" s="426"/>
      <c r="CW20" s="426"/>
      <c r="CX20" s="426"/>
      <c r="CY20" s="426"/>
      <c r="CZ20" s="426"/>
      <c r="DA20" s="426"/>
      <c r="DB20" s="426"/>
      <c r="DC20" s="426"/>
      <c r="DD20" s="426"/>
      <c r="DE20" s="427"/>
      <c r="DF20" s="427"/>
      <c r="DG20" s="427"/>
      <c r="DH20" s="427"/>
      <c r="DI20" s="427"/>
      <c r="DJ20" s="427"/>
      <c r="DK20" s="427"/>
      <c r="DL20" s="427"/>
      <c r="DM20" s="427"/>
      <c r="DN20" s="427"/>
      <c r="DO20" s="427"/>
      <c r="DP20" s="427"/>
      <c r="DQ20" s="428"/>
      <c r="DR20" s="428"/>
      <c r="DS20" s="428"/>
      <c r="DT20" s="428"/>
      <c r="DU20" s="428"/>
      <c r="DV20" s="428"/>
      <c r="DW20" s="428"/>
      <c r="DX20" s="428"/>
      <c r="DY20" s="428"/>
      <c r="DZ20" s="428"/>
      <c r="EA20" s="428"/>
      <c r="EB20" s="428"/>
      <c r="EC20" s="429"/>
      <c r="ED20" s="429"/>
      <c r="EE20" s="429"/>
      <c r="EF20" s="429"/>
      <c r="EG20" s="429"/>
      <c r="EH20" s="429"/>
      <c r="EI20" s="429"/>
      <c r="EJ20" s="429"/>
      <c r="EK20" s="429"/>
      <c r="EL20" s="429"/>
      <c r="EM20" s="429"/>
      <c r="EN20" s="429"/>
      <c r="EO20" s="430"/>
      <c r="EP20" s="430"/>
      <c r="EQ20" s="430"/>
      <c r="ER20" s="430"/>
      <c r="ES20" s="430"/>
      <c r="ET20" s="430"/>
      <c r="EU20" s="430"/>
      <c r="EV20" s="430"/>
      <c r="EW20" s="430"/>
      <c r="EX20" s="430"/>
      <c r="EY20" s="430"/>
      <c r="EZ20" s="430"/>
      <c r="FA20" s="431"/>
      <c r="FB20" s="431"/>
      <c r="FC20" s="431"/>
      <c r="FD20" s="431"/>
      <c r="FE20" s="431"/>
      <c r="FF20" s="431"/>
      <c r="FG20" s="431"/>
      <c r="FH20" s="431"/>
      <c r="FI20" s="431"/>
      <c r="FJ20" s="431"/>
      <c r="FK20" s="431"/>
      <c r="FL20" s="431"/>
      <c r="FM20" s="432"/>
      <c r="FN20" s="432"/>
      <c r="FO20" s="432"/>
      <c r="FP20" s="432"/>
      <c r="FQ20" s="432"/>
      <c r="FR20" s="432"/>
      <c r="FS20" s="432"/>
      <c r="FT20" s="432"/>
      <c r="FU20" s="432"/>
      <c r="FV20" s="432"/>
      <c r="FW20" s="432"/>
      <c r="FX20" s="432"/>
      <c r="FY20" s="433"/>
      <c r="FZ20" s="433"/>
      <c r="GA20" s="433"/>
      <c r="GB20" s="433"/>
      <c r="GC20" s="433"/>
      <c r="GD20" s="433"/>
      <c r="GE20" s="433"/>
      <c r="GF20" s="433"/>
      <c r="GG20" s="433"/>
      <c r="GH20" s="433"/>
      <c r="GI20" s="433"/>
      <c r="GJ20" s="433"/>
    </row>
    <row r="21" customFormat="false" ht="15" hidden="false" customHeight="false" outlineLevel="0" collapsed="false">
      <c r="B21" s="214" t="s">
        <v>1425</v>
      </c>
      <c r="C21" s="214" t="s">
        <v>3743</v>
      </c>
      <c r="D21" s="214"/>
      <c r="E21" s="214" t="s">
        <v>3744</v>
      </c>
      <c r="F21" s="214" t="s">
        <v>1958</v>
      </c>
      <c r="G21" s="214" t="s">
        <v>1712</v>
      </c>
      <c r="H21" s="214" t="s">
        <v>1758</v>
      </c>
      <c r="I21" s="214" t="s">
        <v>2483</v>
      </c>
      <c r="J21" s="214" t="s">
        <v>483</v>
      </c>
      <c r="K21" s="214" t="s">
        <v>3679</v>
      </c>
      <c r="L21" s="214" t="s">
        <v>1874</v>
      </c>
      <c r="M21" s="419" t="n">
        <v>0</v>
      </c>
      <c r="N21" s="419" t="n">
        <v>0</v>
      </c>
      <c r="O21" s="419" t="n">
        <v>0</v>
      </c>
      <c r="P21" s="419" t="n">
        <v>0</v>
      </c>
      <c r="Q21" s="419" t="n">
        <v>0</v>
      </c>
      <c r="R21" s="419" t="n">
        <v>0</v>
      </c>
      <c r="S21" s="419" t="n">
        <v>0</v>
      </c>
      <c r="T21" s="419" t="n">
        <v>0</v>
      </c>
      <c r="U21" s="419" t="n">
        <v>0</v>
      </c>
      <c r="V21" s="419" t="n">
        <v>0</v>
      </c>
      <c r="W21" s="419" t="n">
        <v>0</v>
      </c>
      <c r="X21" s="419" t="n">
        <v>0</v>
      </c>
      <c r="Y21" s="420" t="n">
        <v>0.233333571428571</v>
      </c>
      <c r="Z21" s="420" t="n">
        <v>0.233333571428571</v>
      </c>
      <c r="AA21" s="420" t="n">
        <v>0.233333571428571</v>
      </c>
      <c r="AB21" s="420" t="n">
        <v>0.233333571428571</v>
      </c>
      <c r="AC21" s="420" t="n">
        <v>0.233333571428571</v>
      </c>
      <c r="AD21" s="420" t="n">
        <v>0.233333571428571</v>
      </c>
      <c r="AE21" s="420" t="n">
        <v>0.233333571428571</v>
      </c>
      <c r="AF21" s="420" t="n">
        <v>0.233333571428571</v>
      </c>
      <c r="AG21" s="420" t="n">
        <v>0.233333571428571</v>
      </c>
      <c r="AH21" s="420" t="n">
        <v>0.233333571428571</v>
      </c>
      <c r="AI21" s="420" t="n">
        <v>0.233333571428571</v>
      </c>
      <c r="AJ21" s="420" t="n">
        <v>0.233333571428571</v>
      </c>
      <c r="AK21" s="421"/>
      <c r="AL21" s="421"/>
      <c r="AM21" s="421"/>
      <c r="AN21" s="421"/>
      <c r="AO21" s="421"/>
      <c r="AP21" s="421"/>
      <c r="AQ21" s="421"/>
      <c r="AR21" s="421"/>
      <c r="AS21" s="421"/>
      <c r="AT21" s="421"/>
      <c r="AU21" s="421"/>
      <c r="AV21" s="421"/>
      <c r="AW21" s="422"/>
      <c r="AX21" s="422"/>
      <c r="AY21" s="422"/>
      <c r="AZ21" s="422"/>
      <c r="BA21" s="422"/>
      <c r="BB21" s="422"/>
      <c r="BC21" s="422"/>
      <c r="BD21" s="422"/>
      <c r="BE21" s="422"/>
      <c r="BF21" s="422"/>
      <c r="BG21" s="422"/>
      <c r="BH21" s="422"/>
      <c r="BI21" s="423"/>
      <c r="BJ21" s="423"/>
      <c r="BK21" s="423"/>
      <c r="BL21" s="423"/>
      <c r="BM21" s="423"/>
      <c r="BN21" s="423"/>
      <c r="BO21" s="423"/>
      <c r="BP21" s="423"/>
      <c r="BQ21" s="423"/>
      <c r="BR21" s="423"/>
      <c r="BS21" s="423"/>
      <c r="BT21" s="423"/>
      <c r="BU21" s="424"/>
      <c r="BV21" s="424"/>
      <c r="BW21" s="424"/>
      <c r="BX21" s="424"/>
      <c r="BY21" s="424"/>
      <c r="BZ21" s="424"/>
      <c r="CA21" s="424"/>
      <c r="CB21" s="424"/>
      <c r="CC21" s="424"/>
      <c r="CD21" s="424"/>
      <c r="CE21" s="424"/>
      <c r="CF21" s="424"/>
      <c r="CG21" s="425"/>
      <c r="CH21" s="425"/>
      <c r="CI21" s="425"/>
      <c r="CJ21" s="425"/>
      <c r="CK21" s="425"/>
      <c r="CL21" s="425"/>
      <c r="CM21" s="425"/>
      <c r="CN21" s="425"/>
      <c r="CO21" s="425"/>
      <c r="CP21" s="425"/>
      <c r="CQ21" s="425"/>
      <c r="CR21" s="425"/>
      <c r="CS21" s="426"/>
      <c r="CT21" s="426"/>
      <c r="CU21" s="426"/>
      <c r="CV21" s="426"/>
      <c r="CW21" s="426"/>
      <c r="CX21" s="426"/>
      <c r="CY21" s="426"/>
      <c r="CZ21" s="426"/>
      <c r="DA21" s="426"/>
      <c r="DB21" s="426"/>
      <c r="DC21" s="426"/>
      <c r="DD21" s="426"/>
      <c r="DE21" s="427"/>
      <c r="DF21" s="427"/>
      <c r="DG21" s="427"/>
      <c r="DH21" s="427"/>
      <c r="DI21" s="427"/>
      <c r="DJ21" s="427"/>
      <c r="DK21" s="427"/>
      <c r="DL21" s="427"/>
      <c r="DM21" s="427"/>
      <c r="DN21" s="427"/>
      <c r="DO21" s="427"/>
      <c r="DP21" s="427"/>
      <c r="DQ21" s="428"/>
      <c r="DR21" s="428"/>
      <c r="DS21" s="428"/>
      <c r="DT21" s="428"/>
      <c r="DU21" s="428"/>
      <c r="DV21" s="428"/>
      <c r="DW21" s="428"/>
      <c r="DX21" s="428"/>
      <c r="DY21" s="428"/>
      <c r="DZ21" s="428"/>
      <c r="EA21" s="428"/>
      <c r="EB21" s="428"/>
      <c r="EC21" s="429"/>
      <c r="ED21" s="429"/>
      <c r="EE21" s="429"/>
      <c r="EF21" s="429"/>
      <c r="EG21" s="429"/>
      <c r="EH21" s="429"/>
      <c r="EI21" s="429"/>
      <c r="EJ21" s="429"/>
      <c r="EK21" s="429"/>
      <c r="EL21" s="429"/>
      <c r="EM21" s="429"/>
      <c r="EN21" s="429"/>
      <c r="EO21" s="430"/>
      <c r="EP21" s="430"/>
      <c r="EQ21" s="430"/>
      <c r="ER21" s="430"/>
      <c r="ES21" s="430"/>
      <c r="ET21" s="430"/>
      <c r="EU21" s="430"/>
      <c r="EV21" s="430"/>
      <c r="EW21" s="430"/>
      <c r="EX21" s="430"/>
      <c r="EY21" s="430"/>
      <c r="EZ21" s="430"/>
      <c r="FA21" s="431"/>
      <c r="FB21" s="431"/>
      <c r="FC21" s="431"/>
      <c r="FD21" s="431"/>
      <c r="FE21" s="431"/>
      <c r="FF21" s="431"/>
      <c r="FG21" s="431"/>
      <c r="FH21" s="431"/>
      <c r="FI21" s="431"/>
      <c r="FJ21" s="431"/>
      <c r="FK21" s="431"/>
      <c r="FL21" s="431"/>
      <c r="FM21" s="432"/>
      <c r="FN21" s="432"/>
      <c r="FO21" s="432"/>
      <c r="FP21" s="432"/>
      <c r="FQ21" s="432"/>
      <c r="FR21" s="432"/>
      <c r="FS21" s="432"/>
      <c r="FT21" s="432"/>
      <c r="FU21" s="432"/>
      <c r="FV21" s="432"/>
      <c r="FW21" s="432"/>
      <c r="FX21" s="432"/>
      <c r="FY21" s="433"/>
      <c r="FZ21" s="433"/>
      <c r="GA21" s="433"/>
      <c r="GB21" s="433"/>
      <c r="GC21" s="433"/>
      <c r="GD21" s="433"/>
      <c r="GE21" s="433"/>
      <c r="GF21" s="433"/>
      <c r="GG21" s="433"/>
      <c r="GH21" s="433"/>
      <c r="GI21" s="433"/>
      <c r="GJ21" s="433"/>
    </row>
    <row r="22" customFormat="false" ht="15" hidden="false" customHeight="false" outlineLevel="0" collapsed="false">
      <c r="B22" s="214" t="s">
        <v>1425</v>
      </c>
      <c r="C22" s="214" t="s">
        <v>3743</v>
      </c>
      <c r="D22" s="214"/>
      <c r="E22" s="214" t="s">
        <v>3744</v>
      </c>
      <c r="F22" s="214" t="s">
        <v>1958</v>
      </c>
      <c r="G22" s="214" t="s">
        <v>1712</v>
      </c>
      <c r="H22" s="214" t="s">
        <v>1759</v>
      </c>
      <c r="I22" s="214" t="s">
        <v>2483</v>
      </c>
      <c r="J22" s="214" t="s">
        <v>483</v>
      </c>
      <c r="K22" s="214" t="s">
        <v>3679</v>
      </c>
      <c r="L22" s="214" t="s">
        <v>1874</v>
      </c>
      <c r="M22" s="419" t="n">
        <v>1</v>
      </c>
      <c r="N22" s="419" t="n">
        <v>1</v>
      </c>
      <c r="O22" s="419" t="n">
        <v>1</v>
      </c>
      <c r="P22" s="419" t="n">
        <v>1</v>
      </c>
      <c r="Q22" s="419" t="n">
        <v>1</v>
      </c>
      <c r="R22" s="419" t="n">
        <v>1</v>
      </c>
      <c r="S22" s="419" t="n">
        <v>1</v>
      </c>
      <c r="T22" s="419" t="n">
        <v>1</v>
      </c>
      <c r="U22" s="419" t="n">
        <v>1</v>
      </c>
      <c r="V22" s="419" t="n">
        <v>1</v>
      </c>
      <c r="W22" s="419" t="n">
        <v>1</v>
      </c>
      <c r="X22" s="419" t="n">
        <v>1</v>
      </c>
      <c r="Y22" s="420" t="n">
        <v>0.0357142857142857</v>
      </c>
      <c r="Z22" s="420" t="n">
        <v>0.0357142857142857</v>
      </c>
      <c r="AA22" s="420" t="n">
        <v>0.0357142857142857</v>
      </c>
      <c r="AB22" s="420" t="n">
        <v>0.0357142857142857</v>
      </c>
      <c r="AC22" s="420" t="n">
        <v>0.0357142857142857</v>
      </c>
      <c r="AD22" s="420" t="n">
        <v>0.0357142857142857</v>
      </c>
      <c r="AE22" s="420" t="n">
        <v>0.0357142857142857</v>
      </c>
      <c r="AF22" s="420" t="n">
        <v>0.0357142857142857</v>
      </c>
      <c r="AG22" s="420" t="n">
        <v>0.0357142857142857</v>
      </c>
      <c r="AH22" s="420" t="n">
        <v>0.0357142857142857</v>
      </c>
      <c r="AI22" s="420" t="n">
        <v>0.0357142857142857</v>
      </c>
      <c r="AJ22" s="420" t="n">
        <v>0.0357142857142857</v>
      </c>
      <c r="AK22" s="421"/>
      <c r="AL22" s="421"/>
      <c r="AM22" s="421"/>
      <c r="AN22" s="421"/>
      <c r="AO22" s="421"/>
      <c r="AP22" s="421"/>
      <c r="AQ22" s="421"/>
      <c r="AR22" s="421"/>
      <c r="AS22" s="421"/>
      <c r="AT22" s="421"/>
      <c r="AU22" s="421"/>
      <c r="AV22" s="421"/>
      <c r="AW22" s="422"/>
      <c r="AX22" s="422"/>
      <c r="AY22" s="422"/>
      <c r="AZ22" s="422"/>
      <c r="BA22" s="422"/>
      <c r="BB22" s="422"/>
      <c r="BC22" s="422"/>
      <c r="BD22" s="422"/>
      <c r="BE22" s="422"/>
      <c r="BF22" s="422"/>
      <c r="BG22" s="422"/>
      <c r="BH22" s="422"/>
      <c r="BI22" s="423"/>
      <c r="BJ22" s="423"/>
      <c r="BK22" s="423"/>
      <c r="BL22" s="423"/>
      <c r="BM22" s="423"/>
      <c r="BN22" s="423"/>
      <c r="BO22" s="423"/>
      <c r="BP22" s="423"/>
      <c r="BQ22" s="423"/>
      <c r="BR22" s="423"/>
      <c r="BS22" s="423"/>
      <c r="BT22" s="423"/>
      <c r="BU22" s="424"/>
      <c r="BV22" s="424"/>
      <c r="BW22" s="424"/>
      <c r="BX22" s="424"/>
      <c r="BY22" s="424"/>
      <c r="BZ22" s="424"/>
      <c r="CA22" s="424"/>
      <c r="CB22" s="424"/>
      <c r="CC22" s="424"/>
      <c r="CD22" s="424"/>
      <c r="CE22" s="424"/>
      <c r="CF22" s="424"/>
      <c r="CG22" s="425"/>
      <c r="CH22" s="425"/>
      <c r="CI22" s="425"/>
      <c r="CJ22" s="425"/>
      <c r="CK22" s="425"/>
      <c r="CL22" s="425"/>
      <c r="CM22" s="425"/>
      <c r="CN22" s="425"/>
      <c r="CO22" s="425"/>
      <c r="CP22" s="425"/>
      <c r="CQ22" s="425"/>
      <c r="CR22" s="425"/>
      <c r="CS22" s="426"/>
      <c r="CT22" s="426"/>
      <c r="CU22" s="426"/>
      <c r="CV22" s="426"/>
      <c r="CW22" s="426"/>
      <c r="CX22" s="426"/>
      <c r="CY22" s="426"/>
      <c r="CZ22" s="426"/>
      <c r="DA22" s="426"/>
      <c r="DB22" s="426"/>
      <c r="DC22" s="426"/>
      <c r="DD22" s="426"/>
      <c r="DE22" s="427"/>
      <c r="DF22" s="427"/>
      <c r="DG22" s="427"/>
      <c r="DH22" s="427"/>
      <c r="DI22" s="427"/>
      <c r="DJ22" s="427"/>
      <c r="DK22" s="427"/>
      <c r="DL22" s="427"/>
      <c r="DM22" s="427"/>
      <c r="DN22" s="427"/>
      <c r="DO22" s="427"/>
      <c r="DP22" s="427"/>
      <c r="DQ22" s="428"/>
      <c r="DR22" s="428"/>
      <c r="DS22" s="428"/>
      <c r="DT22" s="428"/>
      <c r="DU22" s="428"/>
      <c r="DV22" s="428"/>
      <c r="DW22" s="428"/>
      <c r="DX22" s="428"/>
      <c r="DY22" s="428"/>
      <c r="DZ22" s="428"/>
      <c r="EA22" s="428"/>
      <c r="EB22" s="428"/>
      <c r="EC22" s="429"/>
      <c r="ED22" s="429"/>
      <c r="EE22" s="429"/>
      <c r="EF22" s="429"/>
      <c r="EG22" s="429"/>
      <c r="EH22" s="429"/>
      <c r="EI22" s="429"/>
      <c r="EJ22" s="429"/>
      <c r="EK22" s="429"/>
      <c r="EL22" s="429"/>
      <c r="EM22" s="429"/>
      <c r="EN22" s="429"/>
      <c r="EO22" s="430"/>
      <c r="EP22" s="430"/>
      <c r="EQ22" s="430"/>
      <c r="ER22" s="430"/>
      <c r="ES22" s="430"/>
      <c r="ET22" s="430"/>
      <c r="EU22" s="430"/>
      <c r="EV22" s="430"/>
      <c r="EW22" s="430"/>
      <c r="EX22" s="430"/>
      <c r="EY22" s="430"/>
      <c r="EZ22" s="430"/>
      <c r="FA22" s="431"/>
      <c r="FB22" s="431"/>
      <c r="FC22" s="431"/>
      <c r="FD22" s="431"/>
      <c r="FE22" s="431"/>
      <c r="FF22" s="431"/>
      <c r="FG22" s="431"/>
      <c r="FH22" s="431"/>
      <c r="FI22" s="431"/>
      <c r="FJ22" s="431"/>
      <c r="FK22" s="431"/>
      <c r="FL22" s="431"/>
      <c r="FM22" s="432"/>
      <c r="FN22" s="432"/>
      <c r="FO22" s="432"/>
      <c r="FP22" s="432"/>
      <c r="FQ22" s="432"/>
      <c r="FR22" s="432"/>
      <c r="FS22" s="432"/>
      <c r="FT22" s="432"/>
      <c r="FU22" s="432"/>
      <c r="FV22" s="432"/>
      <c r="FW22" s="432"/>
      <c r="FX22" s="432"/>
      <c r="FY22" s="433"/>
      <c r="FZ22" s="433"/>
      <c r="GA22" s="433"/>
      <c r="GB22" s="433"/>
      <c r="GC22" s="433"/>
      <c r="GD22" s="433"/>
      <c r="GE22" s="433"/>
      <c r="GF22" s="433"/>
      <c r="GG22" s="433"/>
      <c r="GH22" s="433"/>
      <c r="GI22" s="433"/>
      <c r="GJ22" s="433"/>
    </row>
    <row r="23" customFormat="false" ht="15" hidden="false" customHeight="false" outlineLevel="0" collapsed="false">
      <c r="B23" s="214" t="s">
        <v>1425</v>
      </c>
      <c r="C23" s="214" t="s">
        <v>3743</v>
      </c>
      <c r="D23" s="214"/>
      <c r="E23" s="214" t="s">
        <v>3744</v>
      </c>
      <c r="F23" s="214" t="s">
        <v>1958</v>
      </c>
      <c r="G23" s="214" t="s">
        <v>1712</v>
      </c>
      <c r="H23" s="214" t="s">
        <v>1760</v>
      </c>
      <c r="I23" s="214" t="s">
        <v>2483</v>
      </c>
      <c r="J23" s="214" t="s">
        <v>483</v>
      </c>
      <c r="K23" s="214" t="s">
        <v>3679</v>
      </c>
      <c r="L23" s="214" t="s">
        <v>1874</v>
      </c>
      <c r="M23" s="419" t="n">
        <v>0</v>
      </c>
      <c r="N23" s="419" t="n">
        <v>0</v>
      </c>
      <c r="O23" s="419" t="n">
        <v>0</v>
      </c>
      <c r="P23" s="419" t="n">
        <v>0</v>
      </c>
      <c r="Q23" s="419" t="n">
        <v>0</v>
      </c>
      <c r="R23" s="419" t="n">
        <v>0</v>
      </c>
      <c r="S23" s="419" t="n">
        <v>0</v>
      </c>
      <c r="T23" s="419" t="n">
        <v>0</v>
      </c>
      <c r="U23" s="419" t="n">
        <v>0</v>
      </c>
      <c r="V23" s="419" t="n">
        <v>0</v>
      </c>
      <c r="W23" s="419" t="n">
        <v>0</v>
      </c>
      <c r="X23" s="419" t="n">
        <v>0</v>
      </c>
      <c r="Y23" s="420" t="n">
        <v>0.266666428571429</v>
      </c>
      <c r="Z23" s="420" t="n">
        <v>0.266666428571429</v>
      </c>
      <c r="AA23" s="420" t="n">
        <v>0.266666428571429</v>
      </c>
      <c r="AB23" s="420" t="n">
        <v>0.266666428571429</v>
      </c>
      <c r="AC23" s="420" t="n">
        <v>0.266666428571429</v>
      </c>
      <c r="AD23" s="420" t="n">
        <v>0.266666428571429</v>
      </c>
      <c r="AE23" s="420" t="n">
        <v>0.266666428571429</v>
      </c>
      <c r="AF23" s="420" t="n">
        <v>0.266666428571429</v>
      </c>
      <c r="AG23" s="420" t="n">
        <v>0.266666428571429</v>
      </c>
      <c r="AH23" s="420" t="n">
        <v>0.266666428571429</v>
      </c>
      <c r="AI23" s="420" t="n">
        <v>0.266666428571429</v>
      </c>
      <c r="AJ23" s="420" t="n">
        <v>0.266666428571429</v>
      </c>
      <c r="AK23" s="421"/>
      <c r="AL23" s="421"/>
      <c r="AM23" s="421"/>
      <c r="AN23" s="421"/>
      <c r="AO23" s="421"/>
      <c r="AP23" s="421"/>
      <c r="AQ23" s="421"/>
      <c r="AR23" s="421"/>
      <c r="AS23" s="421"/>
      <c r="AT23" s="421"/>
      <c r="AU23" s="421"/>
      <c r="AV23" s="421"/>
      <c r="AW23" s="422"/>
      <c r="AX23" s="422"/>
      <c r="AY23" s="422"/>
      <c r="AZ23" s="422"/>
      <c r="BA23" s="422"/>
      <c r="BB23" s="422"/>
      <c r="BC23" s="422"/>
      <c r="BD23" s="422"/>
      <c r="BE23" s="422"/>
      <c r="BF23" s="422"/>
      <c r="BG23" s="422"/>
      <c r="BH23" s="422"/>
      <c r="BI23" s="423"/>
      <c r="BJ23" s="423"/>
      <c r="BK23" s="423"/>
      <c r="BL23" s="423"/>
      <c r="BM23" s="423"/>
      <c r="BN23" s="423"/>
      <c r="BO23" s="423"/>
      <c r="BP23" s="423"/>
      <c r="BQ23" s="423"/>
      <c r="BR23" s="423"/>
      <c r="BS23" s="423"/>
      <c r="BT23" s="423"/>
      <c r="BU23" s="424"/>
      <c r="BV23" s="424"/>
      <c r="BW23" s="424"/>
      <c r="BX23" s="424"/>
      <c r="BY23" s="424"/>
      <c r="BZ23" s="424"/>
      <c r="CA23" s="424"/>
      <c r="CB23" s="424"/>
      <c r="CC23" s="424"/>
      <c r="CD23" s="424"/>
      <c r="CE23" s="424"/>
      <c r="CF23" s="424"/>
      <c r="CG23" s="425"/>
      <c r="CH23" s="425"/>
      <c r="CI23" s="425"/>
      <c r="CJ23" s="425"/>
      <c r="CK23" s="425"/>
      <c r="CL23" s="425"/>
      <c r="CM23" s="425"/>
      <c r="CN23" s="425"/>
      <c r="CO23" s="425"/>
      <c r="CP23" s="425"/>
      <c r="CQ23" s="425"/>
      <c r="CR23" s="425"/>
      <c r="CS23" s="426"/>
      <c r="CT23" s="426"/>
      <c r="CU23" s="426"/>
      <c r="CV23" s="426"/>
      <c r="CW23" s="426"/>
      <c r="CX23" s="426"/>
      <c r="CY23" s="426"/>
      <c r="CZ23" s="426"/>
      <c r="DA23" s="426"/>
      <c r="DB23" s="426"/>
      <c r="DC23" s="426"/>
      <c r="DD23" s="426"/>
      <c r="DE23" s="427"/>
      <c r="DF23" s="427"/>
      <c r="DG23" s="427"/>
      <c r="DH23" s="427"/>
      <c r="DI23" s="427"/>
      <c r="DJ23" s="427"/>
      <c r="DK23" s="427"/>
      <c r="DL23" s="427"/>
      <c r="DM23" s="427"/>
      <c r="DN23" s="427"/>
      <c r="DO23" s="427"/>
      <c r="DP23" s="427"/>
      <c r="DQ23" s="428"/>
      <c r="DR23" s="428"/>
      <c r="DS23" s="428"/>
      <c r="DT23" s="428"/>
      <c r="DU23" s="428"/>
      <c r="DV23" s="428"/>
      <c r="DW23" s="428"/>
      <c r="DX23" s="428"/>
      <c r="DY23" s="428"/>
      <c r="DZ23" s="428"/>
      <c r="EA23" s="428"/>
      <c r="EB23" s="428"/>
      <c r="EC23" s="429"/>
      <c r="ED23" s="429"/>
      <c r="EE23" s="429"/>
      <c r="EF23" s="429"/>
      <c r="EG23" s="429"/>
      <c r="EH23" s="429"/>
      <c r="EI23" s="429"/>
      <c r="EJ23" s="429"/>
      <c r="EK23" s="429"/>
      <c r="EL23" s="429"/>
      <c r="EM23" s="429"/>
      <c r="EN23" s="429"/>
      <c r="EO23" s="430"/>
      <c r="EP23" s="430"/>
      <c r="EQ23" s="430"/>
      <c r="ER23" s="430"/>
      <c r="ES23" s="430"/>
      <c r="ET23" s="430"/>
      <c r="EU23" s="430"/>
      <c r="EV23" s="430"/>
      <c r="EW23" s="430"/>
      <c r="EX23" s="430"/>
      <c r="EY23" s="430"/>
      <c r="EZ23" s="430"/>
      <c r="FA23" s="431"/>
      <c r="FB23" s="431"/>
      <c r="FC23" s="431"/>
      <c r="FD23" s="431"/>
      <c r="FE23" s="431"/>
      <c r="FF23" s="431"/>
      <c r="FG23" s="431"/>
      <c r="FH23" s="431"/>
      <c r="FI23" s="431"/>
      <c r="FJ23" s="431"/>
      <c r="FK23" s="431"/>
      <c r="FL23" s="431"/>
      <c r="FM23" s="432"/>
      <c r="FN23" s="432"/>
      <c r="FO23" s="432"/>
      <c r="FP23" s="432"/>
      <c r="FQ23" s="432"/>
      <c r="FR23" s="432"/>
      <c r="FS23" s="432"/>
      <c r="FT23" s="432"/>
      <c r="FU23" s="432"/>
      <c r="FV23" s="432"/>
      <c r="FW23" s="432"/>
      <c r="FX23" s="432"/>
      <c r="FY23" s="433"/>
      <c r="FZ23" s="433"/>
      <c r="GA23" s="433"/>
      <c r="GB23" s="433"/>
      <c r="GC23" s="433"/>
      <c r="GD23" s="433"/>
      <c r="GE23" s="433"/>
      <c r="GF23" s="433"/>
      <c r="GG23" s="433"/>
      <c r="GH23" s="433"/>
      <c r="GI23" s="433"/>
      <c r="GJ23" s="433"/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A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.42"/>
    <col collapsed="false" customWidth="true" hidden="false" outlineLevel="0" max="18" min="18" style="0" width="10"/>
  </cols>
  <sheetData>
    <row r="1" customFormat="false" ht="26.25" hidden="false" customHeight="true" outlineLevel="0" collapsed="false">
      <c r="A1" s="275" t="s">
        <v>3745</v>
      </c>
      <c r="B1" s="185" t="s">
        <v>1</v>
      </c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  <c r="U1" s="126" t="s">
        <v>1705</v>
      </c>
      <c r="V1" s="402"/>
    </row>
    <row r="4" customFormat="false" ht="18.75" hidden="false" customHeight="true" outlineLevel="0" collapsed="false">
      <c r="R4" s="128" t="s">
        <v>3746</v>
      </c>
      <c r="W4" s="128" t="s">
        <v>3747</v>
      </c>
    </row>
    <row r="5" customFormat="false" ht="60" hidden="false" customHeight="true" outlineLevel="0" collapsed="false">
      <c r="A5" s="224" t="s">
        <v>1829</v>
      </c>
      <c r="B5" s="224" t="s">
        <v>1719</v>
      </c>
      <c r="C5" s="224" t="s">
        <v>798</v>
      </c>
      <c r="D5" s="224" t="s">
        <v>3722</v>
      </c>
      <c r="E5" s="224" t="s">
        <v>1889</v>
      </c>
      <c r="F5" s="224" t="s">
        <v>3723</v>
      </c>
      <c r="G5" s="224" t="s">
        <v>3748</v>
      </c>
      <c r="H5" s="224" t="s">
        <v>3749</v>
      </c>
      <c r="I5" s="224" t="s">
        <v>3750</v>
      </c>
      <c r="J5" s="224" t="s">
        <v>3751</v>
      </c>
      <c r="K5" s="224" t="s">
        <v>3752</v>
      </c>
      <c r="L5" s="224" t="s">
        <v>1830</v>
      </c>
      <c r="M5" s="224" t="s">
        <v>1853</v>
      </c>
      <c r="N5" s="224" t="s">
        <v>1728</v>
      </c>
      <c r="O5" s="224" t="s">
        <v>1443</v>
      </c>
      <c r="P5" s="224" t="s">
        <v>1477</v>
      </c>
      <c r="Q5" s="224" t="s">
        <v>1893</v>
      </c>
      <c r="R5" s="434" t="s">
        <v>3753</v>
      </c>
      <c r="S5" s="434" t="s">
        <v>3754</v>
      </c>
      <c r="T5" s="434" t="s">
        <v>1833</v>
      </c>
      <c r="U5" s="434" t="s">
        <v>1834</v>
      </c>
      <c r="V5" s="434" t="s">
        <v>3755</v>
      </c>
      <c r="W5" s="435" t="s">
        <v>3753</v>
      </c>
      <c r="X5" s="435" t="s">
        <v>3754</v>
      </c>
      <c r="Y5" s="435" t="s">
        <v>1833</v>
      </c>
      <c r="Z5" s="435" t="s">
        <v>1834</v>
      </c>
      <c r="AA5" s="435" t="s">
        <v>3755</v>
      </c>
    </row>
  </sheetData>
  <hyperlinks>
    <hyperlink ref="B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828E"/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.14"/>
  </cols>
  <sheetData>
    <row r="1" customFormat="false" ht="15" hidden="false" customHeight="false" outlineLevel="0" collapsed="false">
      <c r="A1" s="185" t="s">
        <v>1</v>
      </c>
    </row>
    <row r="10" customFormat="false" ht="15" hidden="false" customHeight="false" outlineLevel="0" collapsed="false">
      <c r="Q10" s="126" t="s">
        <v>1705</v>
      </c>
    </row>
  </sheetData>
  <hyperlinks>
    <hyperlink ref="A1" location="'01_Report_Registry'!B2" display="⇦ Оглавление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2026-07-20T14:12:35Z</dcterms:created>
  <dc:creator>openpyxl</dc:creator>
  <dc:description/>
  <dc:language>en-US</dc:language>
  <cp:lastModifiedBy/>
  <dcterms:modified xsi:type="dcterms:W3CDTF">2026-07-20T22:15:28Z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